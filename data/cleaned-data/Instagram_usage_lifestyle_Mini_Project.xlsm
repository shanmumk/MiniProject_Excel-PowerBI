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muthukumaraswamymt/Documents/shanmu/Mini Project/"/>
    </mc:Choice>
  </mc:AlternateContent>
  <xr:revisionPtr revIDLastSave="0" documentId="8_{60C14BA4-60D4-784B-BEEA-77EA8E57D04A}" xr6:coauthVersionLast="47" xr6:coauthVersionMax="47" xr10:uidLastSave="{00000000-0000-0000-0000-000000000000}"/>
  <bookViews>
    <workbookView xWindow="380" yWindow="600" windowWidth="28040" windowHeight="16120" firstSheet="1" activeTab="7" xr2:uid="{DF875961-631B-B348-B5F7-EAF9D25B0CB5}"/>
  </bookViews>
  <sheets>
    <sheet name="Instagram_Usage_Lifestyle_Mini_" sheetId="1" r:id="rId1"/>
    <sheet name="User_Background_Details" sheetId="2" r:id="rId2"/>
    <sheet name="User_BG_Chart" sheetId="8" r:id="rId3"/>
    <sheet name="User_Lifestyle_Health" sheetId="3" r:id="rId4"/>
    <sheet name="User_LifeStyle_Health_Chart" sheetId="9" r:id="rId5"/>
    <sheet name="Daily_Weekly_Habits" sheetId="4" r:id="rId6"/>
    <sheet name="Daily_Weekly_Habits_Chart" sheetId="11" r:id="rId7"/>
    <sheet name="InstagramUsage_and_Engagement" sheetId="5" r:id="rId8"/>
  </sheets>
  <definedNames>
    <definedName name="_xlnm._FilterDatabase" localSheetId="5" hidden="1">Daily_Weekly_Habits!$A$1:$H$1</definedName>
    <definedName name="_xlnm._FilterDatabase" localSheetId="0" hidden="1">Instagram_Usage_Lifestyle_Mini_!$A$1:$BF$1001</definedName>
    <definedName name="_xlnm._FilterDatabase" localSheetId="7" hidden="1">InstagramUsage_and_Engagement!$A$1:$AF$1001</definedName>
    <definedName name="_xlnm._FilterDatabase" localSheetId="1" hidden="1">User_Background_Details!$A$1:$L$1</definedName>
    <definedName name="_xlnm._FilterDatabase" localSheetId="3" hidden="1">User_Lifestyle_Health!$A$1:$M$1001</definedName>
  </definedNames>
  <calcPr calcId="191029"/>
  <pivotCaches>
    <pivotCache cacheId="19" r:id="rId9"/>
    <pivotCache cacheId="20" r:id="rId10"/>
    <pivotCache cacheId="21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 a="1"/>
  <c r="B2" i="4" s="1"/>
  <c r="H2" i="4" s="1" a="1"/>
  <c r="H2" i="4" s="1"/>
  <c r="B3" i="4" a="1"/>
  <c r="B3" i="4" s="1"/>
  <c r="H3" i="4" s="1" a="1"/>
  <c r="H3" i="4" s="1"/>
  <c r="B4" i="4" a="1"/>
  <c r="B4" i="4" s="1"/>
  <c r="H4" i="4" s="1" a="1"/>
  <c r="H4" i="4" s="1"/>
  <c r="B5" i="4" a="1"/>
  <c r="B5" i="4" s="1"/>
  <c r="H5" i="4" s="1" a="1"/>
  <c r="H5" i="4" s="1"/>
  <c r="B6" i="4" a="1"/>
  <c r="B6" i="4" s="1"/>
  <c r="H6" i="4" s="1" a="1"/>
  <c r="H6" i="4" s="1"/>
  <c r="B7" i="4" a="1"/>
  <c r="B7" i="4" s="1"/>
  <c r="H7" i="4" s="1" a="1"/>
  <c r="H7" i="4" s="1"/>
  <c r="B8" i="4" a="1"/>
  <c r="B8" i="4" s="1"/>
  <c r="H8" i="4" s="1" a="1"/>
  <c r="H8" i="4" s="1"/>
  <c r="B9" i="4" a="1"/>
  <c r="B9" i="4" s="1"/>
  <c r="H9" i="4" s="1" a="1"/>
  <c r="H9" i="4" s="1"/>
  <c r="B10" i="4" a="1"/>
  <c r="B10" i="4" s="1"/>
  <c r="H10" i="4" s="1" a="1"/>
  <c r="H10" i="4" s="1"/>
  <c r="B11" i="4" a="1"/>
  <c r="B11" i="4" s="1"/>
  <c r="H11" i="4" s="1" a="1"/>
  <c r="H11" i="4" s="1"/>
  <c r="B12" i="4" a="1"/>
  <c r="B12" i="4" s="1"/>
  <c r="H12" i="4" s="1" a="1"/>
  <c r="H12" i="4" s="1"/>
  <c r="B13" i="4" a="1"/>
  <c r="B13" i="4" s="1"/>
  <c r="H13" i="4" s="1" a="1"/>
  <c r="H13" i="4" s="1"/>
  <c r="B14" i="4" a="1"/>
  <c r="B14" i="4" s="1"/>
  <c r="H14" i="4" s="1" a="1"/>
  <c r="H14" i="4" s="1"/>
  <c r="B15" i="4" a="1"/>
  <c r="B15" i="4" s="1"/>
  <c r="H15" i="4" s="1" a="1"/>
  <c r="H15" i="4" s="1"/>
  <c r="B16" i="4" a="1"/>
  <c r="B16" i="4" s="1"/>
  <c r="H16" i="4" s="1" a="1"/>
  <c r="H16" i="4" s="1"/>
  <c r="B17" i="4" a="1"/>
  <c r="B17" i="4" s="1"/>
  <c r="H17" i="4" s="1" a="1"/>
  <c r="H17" i="4" s="1"/>
  <c r="B18" i="4" a="1"/>
  <c r="B18" i="4" s="1"/>
  <c r="H18" i="4" s="1" a="1"/>
  <c r="H18" i="4" s="1"/>
  <c r="B19" i="4" a="1"/>
  <c r="B19" i="4" s="1"/>
  <c r="H19" i="4" s="1" a="1"/>
  <c r="H19" i="4" s="1"/>
  <c r="B20" i="4" a="1"/>
  <c r="B20" i="4" s="1"/>
  <c r="H20" i="4" s="1" a="1"/>
  <c r="H20" i="4" s="1"/>
  <c r="B21" i="4" a="1"/>
  <c r="B21" i="4" s="1"/>
  <c r="H21" i="4" s="1" a="1"/>
  <c r="H21" i="4" s="1"/>
  <c r="B22" i="4" a="1"/>
  <c r="B22" i="4" s="1"/>
  <c r="H22" i="4" s="1" a="1"/>
  <c r="H22" i="4" s="1"/>
  <c r="B23" i="4" a="1"/>
  <c r="B23" i="4" s="1"/>
  <c r="H23" i="4" s="1" a="1"/>
  <c r="H23" i="4" s="1"/>
  <c r="B24" i="4" a="1"/>
  <c r="B24" i="4" s="1"/>
  <c r="H24" i="4" s="1" a="1"/>
  <c r="H24" i="4" s="1"/>
  <c r="B25" i="4" a="1"/>
  <c r="B25" i="4" s="1"/>
  <c r="H25" i="4" s="1" a="1"/>
  <c r="H25" i="4" s="1"/>
  <c r="B26" i="4" a="1"/>
  <c r="B26" i="4" s="1"/>
  <c r="H26" i="4" s="1" a="1"/>
  <c r="H26" i="4" s="1"/>
  <c r="B27" i="4" a="1"/>
  <c r="B27" i="4" s="1"/>
  <c r="H27" i="4" s="1" a="1"/>
  <c r="H27" i="4" s="1"/>
  <c r="B28" i="4" a="1"/>
  <c r="B28" i="4" s="1"/>
  <c r="H28" i="4" s="1" a="1"/>
  <c r="H28" i="4" s="1"/>
  <c r="B29" i="4" a="1"/>
  <c r="B29" i="4" s="1"/>
  <c r="H29" i="4" s="1" a="1"/>
  <c r="H29" i="4" s="1"/>
  <c r="B30" i="4" a="1"/>
  <c r="B30" i="4" s="1"/>
  <c r="H30" i="4" s="1" a="1"/>
  <c r="H30" i="4" s="1"/>
  <c r="B31" i="4" a="1"/>
  <c r="B31" i="4" s="1"/>
  <c r="H31" i="4" s="1" a="1"/>
  <c r="H31" i="4" s="1"/>
  <c r="B32" i="4" a="1"/>
  <c r="B32" i="4" s="1"/>
  <c r="H32" i="4" s="1" a="1"/>
  <c r="H32" i="4" s="1"/>
  <c r="B33" i="4" a="1"/>
  <c r="B33" i="4" s="1"/>
  <c r="H33" i="4" s="1" a="1"/>
  <c r="H33" i="4" s="1"/>
  <c r="B34" i="4" a="1"/>
  <c r="B34" i="4" s="1"/>
  <c r="H34" i="4" s="1" a="1"/>
  <c r="H34" i="4" s="1"/>
  <c r="B35" i="4" a="1"/>
  <c r="B35" i="4" s="1"/>
  <c r="H35" i="4" s="1" a="1"/>
  <c r="H35" i="4" s="1"/>
  <c r="B36" i="4" a="1"/>
  <c r="B36" i="4" s="1"/>
  <c r="H36" i="4" s="1" a="1"/>
  <c r="H36" i="4" s="1"/>
  <c r="B37" i="4" a="1"/>
  <c r="B37" i="4" s="1"/>
  <c r="H37" i="4" s="1" a="1"/>
  <c r="H37" i="4" s="1"/>
  <c r="B38" i="4" a="1"/>
  <c r="B38" i="4" s="1"/>
  <c r="H38" i="4" s="1" a="1"/>
  <c r="H38" i="4" s="1"/>
  <c r="B39" i="4" a="1"/>
  <c r="B39" i="4" s="1"/>
  <c r="H39" i="4" s="1" a="1"/>
  <c r="H39" i="4" s="1"/>
  <c r="B40" i="4" a="1"/>
  <c r="B40" i="4" s="1"/>
  <c r="H40" i="4" s="1" a="1"/>
  <c r="H40" i="4" s="1"/>
  <c r="B41" i="4" a="1"/>
  <c r="B41" i="4" s="1"/>
  <c r="H41" i="4" s="1" a="1"/>
  <c r="H41" i="4" s="1"/>
  <c r="B42" i="4" a="1"/>
  <c r="B42" i="4" s="1"/>
  <c r="H42" i="4" s="1" a="1"/>
  <c r="H42" i="4" s="1"/>
  <c r="B43" i="4" a="1"/>
  <c r="B43" i="4" s="1"/>
  <c r="H43" i="4" s="1" a="1"/>
  <c r="H43" i="4" s="1"/>
  <c r="B44" i="4" a="1"/>
  <c r="B44" i="4" s="1"/>
  <c r="H44" i="4" s="1" a="1"/>
  <c r="H44" i="4" s="1"/>
  <c r="B45" i="4" a="1"/>
  <c r="B45" i="4" s="1"/>
  <c r="H45" i="4" s="1" a="1"/>
  <c r="H45" i="4" s="1"/>
  <c r="B46" i="4" a="1"/>
  <c r="B46" i="4" s="1"/>
  <c r="H46" i="4" s="1" a="1"/>
  <c r="H46" i="4" s="1"/>
  <c r="B47" i="4" a="1"/>
  <c r="B47" i="4" s="1"/>
  <c r="H47" i="4" s="1" a="1"/>
  <c r="H47" i="4" s="1"/>
  <c r="B48" i="4" a="1"/>
  <c r="B48" i="4" s="1"/>
  <c r="H48" i="4" s="1" a="1"/>
  <c r="H48" i="4" s="1"/>
  <c r="B49" i="4" a="1"/>
  <c r="B49" i="4" s="1"/>
  <c r="H49" i="4" s="1" a="1"/>
  <c r="H49" i="4" s="1"/>
  <c r="B50" i="4" a="1"/>
  <c r="B50" i="4" s="1"/>
  <c r="H50" i="4" s="1" a="1"/>
  <c r="H50" i="4" s="1"/>
  <c r="B51" i="4" a="1"/>
  <c r="B51" i="4" s="1"/>
  <c r="H51" i="4" s="1" a="1"/>
  <c r="H51" i="4" s="1"/>
  <c r="B52" i="4" a="1"/>
  <c r="B52" i="4" s="1"/>
  <c r="H52" i="4" s="1" a="1"/>
  <c r="H52" i="4" s="1"/>
  <c r="B53" i="4" a="1"/>
  <c r="B53" i="4" s="1"/>
  <c r="H53" i="4" s="1" a="1"/>
  <c r="H53" i="4" s="1"/>
  <c r="B54" i="4" a="1"/>
  <c r="B54" i="4" s="1"/>
  <c r="H54" i="4" s="1" a="1"/>
  <c r="H54" i="4" s="1"/>
  <c r="B55" i="4" a="1"/>
  <c r="B55" i="4" s="1"/>
  <c r="H55" i="4" s="1" a="1"/>
  <c r="H55" i="4" s="1"/>
  <c r="B56" i="4" a="1"/>
  <c r="B56" i="4" s="1"/>
  <c r="H56" i="4" s="1" a="1"/>
  <c r="H56" i="4" s="1"/>
  <c r="B57" i="4" a="1"/>
  <c r="B57" i="4" s="1"/>
  <c r="H57" i="4" s="1" a="1"/>
  <c r="H57" i="4" s="1"/>
  <c r="B58" i="4" a="1"/>
  <c r="B58" i="4" s="1"/>
  <c r="H58" i="4" s="1" a="1"/>
  <c r="H58" i="4" s="1"/>
  <c r="B59" i="4" a="1"/>
  <c r="B59" i="4" s="1"/>
  <c r="H59" i="4" s="1" a="1"/>
  <c r="H59" i="4" s="1"/>
  <c r="B60" i="4" a="1"/>
  <c r="B60" i="4" s="1"/>
  <c r="H60" i="4" s="1" a="1"/>
  <c r="H60" i="4" s="1"/>
  <c r="B61" i="4" a="1"/>
  <c r="B61" i="4" s="1"/>
  <c r="H61" i="4" s="1" a="1"/>
  <c r="H61" i="4" s="1"/>
  <c r="B62" i="4" a="1"/>
  <c r="B62" i="4" s="1"/>
  <c r="H62" i="4" s="1" a="1"/>
  <c r="H62" i="4" s="1"/>
  <c r="B63" i="4" a="1"/>
  <c r="B63" i="4" s="1"/>
  <c r="H63" i="4" s="1" a="1"/>
  <c r="H63" i="4" s="1"/>
  <c r="B64" i="4" a="1"/>
  <c r="B64" i="4" s="1"/>
  <c r="H64" i="4" s="1" a="1"/>
  <c r="H64" i="4" s="1"/>
  <c r="B65" i="4" a="1"/>
  <c r="B65" i="4" s="1"/>
  <c r="H65" i="4" s="1" a="1"/>
  <c r="H65" i="4" s="1"/>
  <c r="B66" i="4" a="1"/>
  <c r="B66" i="4" s="1"/>
  <c r="H66" i="4" s="1" a="1"/>
  <c r="H66" i="4" s="1"/>
  <c r="B67" i="4" a="1"/>
  <c r="B67" i="4" s="1"/>
  <c r="H67" i="4" s="1" a="1"/>
  <c r="H67" i="4" s="1"/>
  <c r="B68" i="4" a="1"/>
  <c r="B68" i="4" s="1"/>
  <c r="H68" i="4" s="1" a="1"/>
  <c r="H68" i="4" s="1"/>
  <c r="B69" i="4" a="1"/>
  <c r="B69" i="4" s="1"/>
  <c r="H69" i="4" s="1" a="1"/>
  <c r="H69" i="4" s="1"/>
  <c r="B70" i="4" a="1"/>
  <c r="B70" i="4" s="1"/>
  <c r="H70" i="4" s="1" a="1"/>
  <c r="H70" i="4" s="1"/>
  <c r="B71" i="4" a="1"/>
  <c r="B71" i="4" s="1"/>
  <c r="H71" i="4" s="1" a="1"/>
  <c r="H71" i="4" s="1"/>
  <c r="B72" i="4" a="1"/>
  <c r="B72" i="4" s="1"/>
  <c r="H72" i="4" s="1" a="1"/>
  <c r="H72" i="4" s="1"/>
  <c r="B73" i="4" a="1"/>
  <c r="B73" i="4" s="1"/>
  <c r="H73" i="4" s="1" a="1"/>
  <c r="H73" i="4" s="1"/>
  <c r="B74" i="4" a="1"/>
  <c r="B74" i="4" s="1"/>
  <c r="H74" i="4" s="1" a="1"/>
  <c r="H74" i="4" s="1"/>
  <c r="B75" i="4" a="1"/>
  <c r="B75" i="4" s="1"/>
  <c r="H75" i="4" s="1" a="1"/>
  <c r="H75" i="4" s="1"/>
  <c r="B76" i="4" a="1"/>
  <c r="B76" i="4" s="1"/>
  <c r="H76" i="4" s="1" a="1"/>
  <c r="H76" i="4" s="1"/>
  <c r="B77" i="4" a="1"/>
  <c r="B77" i="4" s="1"/>
  <c r="H77" i="4" s="1" a="1"/>
  <c r="H77" i="4" s="1"/>
  <c r="B78" i="4" a="1"/>
  <c r="B78" i="4" s="1"/>
  <c r="H78" i="4" s="1" a="1"/>
  <c r="H78" i="4" s="1"/>
  <c r="B79" i="4" a="1"/>
  <c r="B79" i="4" s="1"/>
  <c r="H79" i="4" s="1" a="1"/>
  <c r="H79" i="4" s="1"/>
  <c r="B80" i="4" a="1"/>
  <c r="B80" i="4" s="1"/>
  <c r="H80" i="4" s="1" a="1"/>
  <c r="H80" i="4" s="1"/>
  <c r="B81" i="4" a="1"/>
  <c r="B81" i="4" s="1"/>
  <c r="H81" i="4" s="1" a="1"/>
  <c r="H81" i="4" s="1"/>
  <c r="B82" i="4" a="1"/>
  <c r="B82" i="4" s="1"/>
  <c r="H82" i="4" s="1" a="1"/>
  <c r="H82" i="4" s="1"/>
  <c r="B83" i="4" a="1"/>
  <c r="B83" i="4" s="1"/>
  <c r="H83" i="4" s="1" a="1"/>
  <c r="H83" i="4" s="1"/>
  <c r="B84" i="4" a="1"/>
  <c r="B84" i="4" s="1"/>
  <c r="H84" i="4" s="1" a="1"/>
  <c r="H84" i="4" s="1"/>
  <c r="B85" i="4" a="1"/>
  <c r="B85" i="4" s="1"/>
  <c r="H85" i="4" s="1" a="1"/>
  <c r="H85" i="4" s="1"/>
  <c r="B86" i="4" a="1"/>
  <c r="B86" i="4" s="1"/>
  <c r="H86" i="4" s="1" a="1"/>
  <c r="H86" i="4" s="1"/>
  <c r="B87" i="4" a="1"/>
  <c r="B87" i="4" s="1"/>
  <c r="H87" i="4" s="1" a="1"/>
  <c r="H87" i="4" s="1"/>
  <c r="B88" i="4" a="1"/>
  <c r="B88" i="4" s="1"/>
  <c r="H88" i="4" s="1" a="1"/>
  <c r="H88" i="4" s="1"/>
  <c r="B89" i="4" a="1"/>
  <c r="B89" i="4" s="1"/>
  <c r="H89" i="4" s="1" a="1"/>
  <c r="H89" i="4" s="1"/>
  <c r="B90" i="4" a="1"/>
  <c r="B90" i="4" s="1"/>
  <c r="H90" i="4" s="1" a="1"/>
  <c r="H90" i="4" s="1"/>
  <c r="B91" i="4" a="1"/>
  <c r="B91" i="4" s="1"/>
  <c r="H91" i="4" s="1" a="1"/>
  <c r="H91" i="4" s="1"/>
  <c r="B92" i="4" a="1"/>
  <c r="B92" i="4" s="1"/>
  <c r="H92" i="4" s="1" a="1"/>
  <c r="H92" i="4" s="1"/>
  <c r="B93" i="4" a="1"/>
  <c r="B93" i="4" s="1"/>
  <c r="H93" i="4" s="1" a="1"/>
  <c r="H93" i="4" s="1"/>
  <c r="B94" i="4" a="1"/>
  <c r="B94" i="4" s="1"/>
  <c r="H94" i="4" s="1" a="1"/>
  <c r="H94" i="4" s="1"/>
  <c r="B95" i="4" a="1"/>
  <c r="B95" i="4" s="1"/>
  <c r="H95" i="4" s="1" a="1"/>
  <c r="H95" i="4" s="1"/>
  <c r="B96" i="4" a="1"/>
  <c r="B96" i="4" s="1"/>
  <c r="H96" i="4" s="1" a="1"/>
  <c r="H96" i="4" s="1"/>
  <c r="B97" i="4" a="1"/>
  <c r="B97" i="4" s="1"/>
  <c r="H97" i="4" s="1" a="1"/>
  <c r="H97" i="4" s="1"/>
  <c r="B98" i="4" a="1"/>
  <c r="B98" i="4" s="1"/>
  <c r="H98" i="4" s="1" a="1"/>
  <c r="H98" i="4" s="1"/>
  <c r="B99" i="4" a="1"/>
  <c r="B99" i="4" s="1"/>
  <c r="H99" i="4" s="1" a="1"/>
  <c r="H99" i="4" s="1"/>
  <c r="B100" i="4" a="1"/>
  <c r="B100" i="4" s="1"/>
  <c r="H100" i="4" s="1" a="1"/>
  <c r="H100" i="4" s="1"/>
  <c r="B101" i="4" a="1"/>
  <c r="B101" i="4" s="1"/>
  <c r="H101" i="4" s="1" a="1"/>
  <c r="H101" i="4" s="1"/>
  <c r="B102" i="4" a="1"/>
  <c r="B102" i="4" s="1"/>
  <c r="H102" i="4" s="1" a="1"/>
  <c r="H102" i="4" s="1"/>
  <c r="B103" i="4" a="1"/>
  <c r="B103" i="4" s="1"/>
  <c r="H103" i="4" s="1" a="1"/>
  <c r="H103" i="4" s="1"/>
  <c r="B104" i="4" a="1"/>
  <c r="B104" i="4" s="1"/>
  <c r="H104" i="4" s="1" a="1"/>
  <c r="H104" i="4" s="1"/>
  <c r="B105" i="4" a="1"/>
  <c r="B105" i="4" s="1"/>
  <c r="H105" i="4" s="1" a="1"/>
  <c r="H105" i="4" s="1"/>
  <c r="B106" i="4" a="1"/>
  <c r="B106" i="4" s="1"/>
  <c r="H106" i="4" s="1" a="1"/>
  <c r="H106" i="4" s="1"/>
  <c r="B107" i="4" a="1"/>
  <c r="B107" i="4" s="1"/>
  <c r="H107" i="4" s="1" a="1"/>
  <c r="H107" i="4" s="1"/>
  <c r="B108" i="4" a="1"/>
  <c r="B108" i="4" s="1"/>
  <c r="H108" i="4" s="1" a="1"/>
  <c r="H108" i="4" s="1"/>
  <c r="B109" i="4" a="1"/>
  <c r="B109" i="4" s="1"/>
  <c r="H109" i="4" s="1" a="1"/>
  <c r="H109" i="4" s="1"/>
  <c r="B110" i="4" a="1"/>
  <c r="B110" i="4" s="1"/>
  <c r="H110" i="4" s="1" a="1"/>
  <c r="H110" i="4" s="1"/>
  <c r="B111" i="4" a="1"/>
  <c r="B111" i="4" s="1"/>
  <c r="H111" i="4" s="1" a="1"/>
  <c r="H111" i="4" s="1"/>
  <c r="B112" i="4" a="1"/>
  <c r="B112" i="4" s="1"/>
  <c r="H112" i="4" s="1" a="1"/>
  <c r="H112" i="4" s="1"/>
  <c r="B113" i="4" a="1"/>
  <c r="B113" i="4" s="1"/>
  <c r="H113" i="4" s="1" a="1"/>
  <c r="H113" i="4" s="1"/>
  <c r="B114" i="4" a="1"/>
  <c r="B114" i="4" s="1"/>
  <c r="H114" i="4" s="1" a="1"/>
  <c r="H114" i="4" s="1"/>
  <c r="B115" i="4" a="1"/>
  <c r="B115" i="4" s="1"/>
  <c r="H115" i="4" s="1" a="1"/>
  <c r="H115" i="4" s="1"/>
  <c r="B116" i="4" a="1"/>
  <c r="B116" i="4" s="1"/>
  <c r="H116" i="4" s="1" a="1"/>
  <c r="H116" i="4" s="1"/>
  <c r="B117" i="4" a="1"/>
  <c r="B117" i="4" s="1"/>
  <c r="H117" i="4" s="1" a="1"/>
  <c r="H117" i="4" s="1"/>
  <c r="B118" i="4" a="1"/>
  <c r="B118" i="4" s="1"/>
  <c r="H118" i="4" s="1" a="1"/>
  <c r="H118" i="4" s="1"/>
  <c r="B119" i="4" a="1"/>
  <c r="B119" i="4" s="1"/>
  <c r="H119" i="4" s="1" a="1"/>
  <c r="H119" i="4" s="1"/>
  <c r="B120" i="4" a="1"/>
  <c r="B120" i="4" s="1"/>
  <c r="H120" i="4" s="1" a="1"/>
  <c r="H120" i="4" s="1"/>
  <c r="B121" i="4" a="1"/>
  <c r="B121" i="4" s="1"/>
  <c r="H121" i="4" s="1" a="1"/>
  <c r="H121" i="4" s="1"/>
  <c r="B122" i="4" a="1"/>
  <c r="B122" i="4" s="1"/>
  <c r="H122" i="4" s="1" a="1"/>
  <c r="H122" i="4" s="1"/>
  <c r="B123" i="4" a="1"/>
  <c r="B123" i="4" s="1"/>
  <c r="H123" i="4" s="1" a="1"/>
  <c r="H123" i="4" s="1"/>
  <c r="B124" i="4" a="1"/>
  <c r="B124" i="4" s="1"/>
  <c r="H124" i="4" s="1" a="1"/>
  <c r="H124" i="4" s="1"/>
  <c r="B125" i="4" a="1"/>
  <c r="B125" i="4" s="1"/>
  <c r="H125" i="4" s="1" a="1"/>
  <c r="H125" i="4" s="1"/>
  <c r="B126" i="4" a="1"/>
  <c r="B126" i="4" s="1"/>
  <c r="H126" i="4" s="1" a="1"/>
  <c r="H126" i="4" s="1"/>
  <c r="B127" i="4" a="1"/>
  <c r="B127" i="4" s="1"/>
  <c r="H127" i="4" s="1" a="1"/>
  <c r="H127" i="4" s="1"/>
  <c r="B128" i="4" a="1"/>
  <c r="B128" i="4" s="1"/>
  <c r="H128" i="4" s="1" a="1"/>
  <c r="H128" i="4" s="1"/>
  <c r="B129" i="4" a="1"/>
  <c r="B129" i="4" s="1"/>
  <c r="H129" i="4" s="1" a="1"/>
  <c r="H129" i="4" s="1"/>
  <c r="B130" i="4" a="1"/>
  <c r="B130" i="4" s="1"/>
  <c r="H130" i="4" s="1" a="1"/>
  <c r="H130" i="4" s="1"/>
  <c r="B131" i="4" a="1"/>
  <c r="B131" i="4" s="1"/>
  <c r="H131" i="4" s="1" a="1"/>
  <c r="H131" i="4" s="1"/>
  <c r="B132" i="4" a="1"/>
  <c r="B132" i="4" s="1"/>
  <c r="H132" i="4" s="1" a="1"/>
  <c r="H132" i="4" s="1"/>
  <c r="B133" i="4" a="1"/>
  <c r="B133" i="4" s="1"/>
  <c r="H133" i="4" s="1" a="1"/>
  <c r="H133" i="4" s="1"/>
  <c r="B134" i="4" a="1"/>
  <c r="B134" i="4" s="1"/>
  <c r="H134" i="4" s="1" a="1"/>
  <c r="H134" i="4" s="1"/>
  <c r="B135" i="4" a="1"/>
  <c r="B135" i="4" s="1"/>
  <c r="H135" i="4" s="1" a="1"/>
  <c r="H135" i="4" s="1"/>
  <c r="B136" i="4" a="1"/>
  <c r="B136" i="4" s="1"/>
  <c r="H136" i="4" s="1" a="1"/>
  <c r="H136" i="4" s="1"/>
  <c r="B137" i="4" a="1"/>
  <c r="B137" i="4" s="1"/>
  <c r="H137" i="4" s="1" a="1"/>
  <c r="H137" i="4" s="1"/>
  <c r="B138" i="4" a="1"/>
  <c r="B138" i="4" s="1"/>
  <c r="H138" i="4" s="1" a="1"/>
  <c r="H138" i="4" s="1"/>
  <c r="B139" i="4" a="1"/>
  <c r="B139" i="4" s="1"/>
  <c r="H139" i="4" s="1" a="1"/>
  <c r="H139" i="4" s="1"/>
  <c r="B140" i="4" a="1"/>
  <c r="B140" i="4" s="1"/>
  <c r="H140" i="4" s="1" a="1"/>
  <c r="H140" i="4" s="1"/>
  <c r="B141" i="4" a="1"/>
  <c r="B141" i="4" s="1"/>
  <c r="H141" i="4" s="1" a="1"/>
  <c r="H141" i="4" s="1"/>
  <c r="B142" i="4" a="1"/>
  <c r="B142" i="4" s="1"/>
  <c r="H142" i="4" s="1" a="1"/>
  <c r="H142" i="4" s="1"/>
  <c r="B143" i="4" a="1"/>
  <c r="B143" i="4" s="1"/>
  <c r="H143" i="4" s="1" a="1"/>
  <c r="H143" i="4" s="1"/>
  <c r="B144" i="4" a="1"/>
  <c r="B144" i="4" s="1"/>
  <c r="H144" i="4" s="1" a="1"/>
  <c r="H144" i="4" s="1"/>
  <c r="B145" i="4" a="1"/>
  <c r="B145" i="4" s="1"/>
  <c r="H145" i="4" s="1" a="1"/>
  <c r="H145" i="4" s="1"/>
  <c r="B146" i="4" a="1"/>
  <c r="B146" i="4" s="1"/>
  <c r="H146" i="4" s="1" a="1"/>
  <c r="H146" i="4" s="1"/>
  <c r="B147" i="4" a="1"/>
  <c r="B147" i="4" s="1"/>
  <c r="H147" i="4" s="1" a="1"/>
  <c r="H147" i="4" s="1"/>
  <c r="B148" i="4" a="1"/>
  <c r="B148" i="4" s="1"/>
  <c r="H148" i="4" s="1" a="1"/>
  <c r="H148" i="4" s="1"/>
  <c r="B149" i="4" a="1"/>
  <c r="B149" i="4" s="1"/>
  <c r="H149" i="4" s="1" a="1"/>
  <c r="H149" i="4" s="1"/>
  <c r="B150" i="4" a="1"/>
  <c r="B150" i="4" s="1"/>
  <c r="H150" i="4" s="1" a="1"/>
  <c r="H150" i="4" s="1"/>
  <c r="B151" i="4" a="1"/>
  <c r="B151" i="4" s="1"/>
  <c r="H151" i="4" s="1" a="1"/>
  <c r="H151" i="4" s="1"/>
  <c r="B152" i="4" a="1"/>
  <c r="B152" i="4" s="1"/>
  <c r="H152" i="4" s="1" a="1"/>
  <c r="H152" i="4" s="1"/>
  <c r="B153" i="4" a="1"/>
  <c r="B153" i="4" s="1"/>
  <c r="H153" i="4" s="1" a="1"/>
  <c r="H153" i="4" s="1"/>
  <c r="B154" i="4" a="1"/>
  <c r="B154" i="4" s="1"/>
  <c r="H154" i="4" s="1" a="1"/>
  <c r="H154" i="4" s="1"/>
  <c r="B155" i="4" a="1"/>
  <c r="B155" i="4" s="1"/>
  <c r="H155" i="4" s="1" a="1"/>
  <c r="H155" i="4" s="1"/>
  <c r="B156" i="4" a="1"/>
  <c r="B156" i="4" s="1"/>
  <c r="H156" i="4" s="1" a="1"/>
  <c r="H156" i="4" s="1"/>
  <c r="B157" i="4" a="1"/>
  <c r="B157" i="4" s="1"/>
  <c r="H157" i="4" s="1" a="1"/>
  <c r="H157" i="4" s="1"/>
  <c r="B158" i="4" a="1"/>
  <c r="B158" i="4" s="1"/>
  <c r="H158" i="4" s="1" a="1"/>
  <c r="H158" i="4" s="1"/>
  <c r="B159" i="4" a="1"/>
  <c r="B159" i="4" s="1"/>
  <c r="H159" i="4" s="1" a="1"/>
  <c r="H159" i="4" s="1"/>
  <c r="B160" i="4" a="1"/>
  <c r="B160" i="4" s="1"/>
  <c r="H160" i="4" s="1" a="1"/>
  <c r="H160" i="4" s="1"/>
  <c r="B161" i="4" a="1"/>
  <c r="B161" i="4" s="1"/>
  <c r="H161" i="4" s="1" a="1"/>
  <c r="H161" i="4" s="1"/>
  <c r="B162" i="4" a="1"/>
  <c r="B162" i="4" s="1"/>
  <c r="H162" i="4" s="1" a="1"/>
  <c r="H162" i="4" s="1"/>
  <c r="B163" i="4" a="1"/>
  <c r="B163" i="4" s="1"/>
  <c r="H163" i="4" s="1" a="1"/>
  <c r="H163" i="4" s="1"/>
  <c r="B164" i="4" a="1"/>
  <c r="B164" i="4" s="1"/>
  <c r="H164" i="4" s="1" a="1"/>
  <c r="H164" i="4" s="1"/>
  <c r="B165" i="4" a="1"/>
  <c r="B165" i="4" s="1"/>
  <c r="H165" i="4" s="1" a="1"/>
  <c r="H165" i="4" s="1"/>
  <c r="B166" i="4" a="1"/>
  <c r="B166" i="4" s="1"/>
  <c r="H166" i="4" s="1" a="1"/>
  <c r="H166" i="4" s="1"/>
  <c r="B167" i="4" a="1"/>
  <c r="B167" i="4" s="1"/>
  <c r="H167" i="4" s="1" a="1"/>
  <c r="H167" i="4" s="1"/>
  <c r="B168" i="4" a="1"/>
  <c r="B168" i="4" s="1"/>
  <c r="H168" i="4" s="1" a="1"/>
  <c r="H168" i="4" s="1"/>
  <c r="B169" i="4" a="1"/>
  <c r="B169" i="4" s="1"/>
  <c r="H169" i="4" s="1" a="1"/>
  <c r="H169" i="4" s="1"/>
  <c r="B170" i="4" a="1"/>
  <c r="B170" i="4" s="1"/>
  <c r="H170" i="4" s="1" a="1"/>
  <c r="H170" i="4" s="1"/>
  <c r="B171" i="4" a="1"/>
  <c r="B171" i="4" s="1"/>
  <c r="H171" i="4" s="1" a="1"/>
  <c r="H171" i="4" s="1"/>
  <c r="B172" i="4" a="1"/>
  <c r="B172" i="4" s="1"/>
  <c r="H172" i="4" s="1" a="1"/>
  <c r="H172" i="4" s="1"/>
  <c r="B173" i="4" a="1"/>
  <c r="B173" i="4" s="1"/>
  <c r="H173" i="4" s="1" a="1"/>
  <c r="H173" i="4" s="1"/>
  <c r="B174" i="4" a="1"/>
  <c r="B174" i="4" s="1"/>
  <c r="H174" i="4" s="1" a="1"/>
  <c r="H174" i="4" s="1"/>
  <c r="B175" i="4" a="1"/>
  <c r="B175" i="4" s="1"/>
  <c r="H175" i="4" s="1" a="1"/>
  <c r="H175" i="4" s="1"/>
  <c r="B176" i="4" a="1"/>
  <c r="B176" i="4" s="1"/>
  <c r="H176" i="4" s="1" a="1"/>
  <c r="H176" i="4" s="1"/>
  <c r="B177" i="4" a="1"/>
  <c r="B177" i="4" s="1"/>
  <c r="H177" i="4" s="1" a="1"/>
  <c r="H177" i="4" s="1"/>
  <c r="B178" i="4" a="1"/>
  <c r="B178" i="4" s="1"/>
  <c r="H178" i="4" s="1" a="1"/>
  <c r="H178" i="4" s="1"/>
  <c r="B179" i="4" a="1"/>
  <c r="B179" i="4" s="1"/>
  <c r="H179" i="4" s="1" a="1"/>
  <c r="H179" i="4" s="1"/>
  <c r="B180" i="4" a="1"/>
  <c r="B180" i="4" s="1"/>
  <c r="H180" i="4" s="1" a="1"/>
  <c r="H180" i="4" s="1"/>
  <c r="B181" i="4" a="1"/>
  <c r="B181" i="4" s="1"/>
  <c r="H181" i="4" s="1" a="1"/>
  <c r="H181" i="4" s="1"/>
  <c r="B182" i="4" a="1"/>
  <c r="B182" i="4" s="1"/>
  <c r="H182" i="4" s="1" a="1"/>
  <c r="H182" i="4" s="1"/>
  <c r="B183" i="4" a="1"/>
  <c r="B183" i="4" s="1"/>
  <c r="H183" i="4" s="1" a="1"/>
  <c r="H183" i="4" s="1"/>
  <c r="B184" i="4" a="1"/>
  <c r="B184" i="4" s="1"/>
  <c r="H184" i="4" s="1" a="1"/>
  <c r="H184" i="4" s="1"/>
  <c r="B185" i="4" a="1"/>
  <c r="B185" i="4" s="1"/>
  <c r="H185" i="4" s="1" a="1"/>
  <c r="H185" i="4" s="1"/>
  <c r="B186" i="4" a="1"/>
  <c r="B186" i="4" s="1"/>
  <c r="H186" i="4" s="1" a="1"/>
  <c r="H186" i="4" s="1"/>
  <c r="B187" i="4" a="1"/>
  <c r="B187" i="4" s="1"/>
  <c r="H187" i="4" s="1" a="1"/>
  <c r="H187" i="4" s="1"/>
  <c r="B188" i="4" a="1"/>
  <c r="B188" i="4" s="1"/>
  <c r="H188" i="4" s="1" a="1"/>
  <c r="H188" i="4" s="1"/>
  <c r="B189" i="4" a="1"/>
  <c r="B189" i="4" s="1"/>
  <c r="H189" i="4" s="1" a="1"/>
  <c r="H189" i="4" s="1"/>
  <c r="B190" i="4" a="1"/>
  <c r="B190" i="4" s="1"/>
  <c r="H190" i="4" s="1" a="1"/>
  <c r="H190" i="4" s="1"/>
  <c r="B191" i="4" a="1"/>
  <c r="B191" i="4" s="1"/>
  <c r="H191" i="4" s="1" a="1"/>
  <c r="H191" i="4" s="1"/>
  <c r="B192" i="4" a="1"/>
  <c r="B192" i="4" s="1"/>
  <c r="H192" i="4" s="1" a="1"/>
  <c r="H192" i="4" s="1"/>
  <c r="B193" i="4" a="1"/>
  <c r="B193" i="4" s="1"/>
  <c r="H193" i="4" s="1" a="1"/>
  <c r="H193" i="4" s="1"/>
  <c r="B194" i="4" a="1"/>
  <c r="B194" i="4" s="1"/>
  <c r="H194" i="4" s="1" a="1"/>
  <c r="H194" i="4" s="1"/>
  <c r="B195" i="4" a="1"/>
  <c r="B195" i="4" s="1"/>
  <c r="H195" i="4" s="1" a="1"/>
  <c r="H195" i="4" s="1"/>
  <c r="B196" i="4" a="1"/>
  <c r="B196" i="4" s="1"/>
  <c r="H196" i="4" s="1" a="1"/>
  <c r="H196" i="4" s="1"/>
  <c r="B197" i="4" a="1"/>
  <c r="B197" i="4" s="1"/>
  <c r="H197" i="4" s="1" a="1"/>
  <c r="H197" i="4" s="1"/>
  <c r="B198" i="4" a="1"/>
  <c r="B198" i="4" s="1"/>
  <c r="H198" i="4" s="1" a="1"/>
  <c r="H198" i="4" s="1"/>
  <c r="B199" i="4" a="1"/>
  <c r="B199" i="4" s="1"/>
  <c r="H199" i="4" s="1" a="1"/>
  <c r="H199" i="4" s="1"/>
  <c r="B200" i="4" a="1"/>
  <c r="B200" i="4" s="1"/>
  <c r="H200" i="4" s="1" a="1"/>
  <c r="H200" i="4" s="1"/>
  <c r="B201" i="4" a="1"/>
  <c r="B201" i="4" s="1"/>
  <c r="H201" i="4" s="1" a="1"/>
  <c r="H201" i="4" s="1"/>
  <c r="B202" i="4" a="1"/>
  <c r="B202" i="4" s="1"/>
  <c r="H202" i="4" s="1" a="1"/>
  <c r="H202" i="4" s="1"/>
  <c r="B203" i="4" a="1"/>
  <c r="B203" i="4" s="1"/>
  <c r="H203" i="4" s="1" a="1"/>
  <c r="H203" i="4" s="1"/>
  <c r="B204" i="4" a="1"/>
  <c r="B204" i="4" s="1"/>
  <c r="H204" i="4" s="1" a="1"/>
  <c r="H204" i="4" s="1"/>
  <c r="B205" i="4" a="1"/>
  <c r="B205" i="4" s="1"/>
  <c r="H205" i="4" s="1" a="1"/>
  <c r="H205" i="4" s="1"/>
  <c r="B206" i="4" a="1"/>
  <c r="B206" i="4" s="1"/>
  <c r="H206" i="4" s="1" a="1"/>
  <c r="H206" i="4" s="1"/>
  <c r="B207" i="4" a="1"/>
  <c r="B207" i="4" s="1"/>
  <c r="H207" i="4" s="1" a="1"/>
  <c r="H207" i="4" s="1"/>
  <c r="B208" i="4" a="1"/>
  <c r="B208" i="4" s="1"/>
  <c r="H208" i="4" s="1" a="1"/>
  <c r="H208" i="4" s="1"/>
  <c r="B209" i="4" a="1"/>
  <c r="B209" i="4" s="1"/>
  <c r="H209" i="4" s="1" a="1"/>
  <c r="H209" i="4" s="1"/>
  <c r="B210" i="4" a="1"/>
  <c r="B210" i="4" s="1"/>
  <c r="H210" i="4" s="1" a="1"/>
  <c r="H210" i="4" s="1"/>
  <c r="B211" i="4" a="1"/>
  <c r="B211" i="4" s="1"/>
  <c r="H211" i="4" s="1" a="1"/>
  <c r="H211" i="4" s="1"/>
  <c r="B212" i="4" a="1"/>
  <c r="B212" i="4" s="1"/>
  <c r="H212" i="4" s="1" a="1"/>
  <c r="H212" i="4" s="1"/>
  <c r="B213" i="4" a="1"/>
  <c r="B213" i="4" s="1"/>
  <c r="H213" i="4" s="1" a="1"/>
  <c r="H213" i="4" s="1"/>
  <c r="B214" i="4" a="1"/>
  <c r="B214" i="4" s="1"/>
  <c r="H214" i="4" s="1" a="1"/>
  <c r="H214" i="4" s="1"/>
  <c r="B215" i="4" a="1"/>
  <c r="B215" i="4" s="1"/>
  <c r="H215" i="4" s="1" a="1"/>
  <c r="H215" i="4" s="1"/>
  <c r="B216" i="4" a="1"/>
  <c r="B216" i="4" s="1"/>
  <c r="H216" i="4" s="1" a="1"/>
  <c r="H216" i="4" s="1"/>
  <c r="B217" i="4" a="1"/>
  <c r="B217" i="4" s="1"/>
  <c r="H217" i="4" s="1" a="1"/>
  <c r="H217" i="4" s="1"/>
  <c r="B218" i="4" a="1"/>
  <c r="B218" i="4" s="1"/>
  <c r="H218" i="4" s="1" a="1"/>
  <c r="H218" i="4" s="1"/>
  <c r="B219" i="4" a="1"/>
  <c r="B219" i="4" s="1"/>
  <c r="H219" i="4" s="1" a="1"/>
  <c r="H219" i="4" s="1"/>
  <c r="B220" i="4" a="1"/>
  <c r="B220" i="4" s="1"/>
  <c r="H220" i="4" s="1" a="1"/>
  <c r="H220" i="4" s="1"/>
  <c r="B221" i="4" a="1"/>
  <c r="B221" i="4" s="1"/>
  <c r="H221" i="4" s="1" a="1"/>
  <c r="H221" i="4" s="1"/>
  <c r="B222" i="4" a="1"/>
  <c r="B222" i="4" s="1"/>
  <c r="H222" i="4" s="1" a="1"/>
  <c r="H222" i="4" s="1"/>
  <c r="B223" i="4" a="1"/>
  <c r="B223" i="4" s="1"/>
  <c r="H223" i="4" s="1" a="1"/>
  <c r="H223" i="4" s="1"/>
  <c r="B224" i="4" a="1"/>
  <c r="B224" i="4" s="1"/>
  <c r="H224" i="4" s="1" a="1"/>
  <c r="H224" i="4" s="1"/>
  <c r="B225" i="4" a="1"/>
  <c r="B225" i="4" s="1"/>
  <c r="H225" i="4" s="1" a="1"/>
  <c r="H225" i="4" s="1"/>
  <c r="B226" i="4" a="1"/>
  <c r="B226" i="4" s="1"/>
  <c r="H226" i="4" s="1" a="1"/>
  <c r="H226" i="4" s="1"/>
  <c r="B227" i="4" a="1"/>
  <c r="B227" i="4" s="1"/>
  <c r="H227" i="4" s="1" a="1"/>
  <c r="H227" i="4" s="1"/>
  <c r="B228" i="4" a="1"/>
  <c r="B228" i="4" s="1"/>
  <c r="H228" i="4" s="1" a="1"/>
  <c r="H228" i="4" s="1"/>
  <c r="B229" i="4" a="1"/>
  <c r="B229" i="4" s="1"/>
  <c r="H229" i="4" s="1" a="1"/>
  <c r="H229" i="4" s="1"/>
  <c r="B230" i="4" a="1"/>
  <c r="B230" i="4" s="1"/>
  <c r="H230" i="4" s="1" a="1"/>
  <c r="H230" i="4" s="1"/>
  <c r="B231" i="4" a="1"/>
  <c r="B231" i="4" s="1"/>
  <c r="H231" i="4" s="1" a="1"/>
  <c r="H231" i="4" s="1"/>
  <c r="B232" i="4" a="1"/>
  <c r="B232" i="4" s="1"/>
  <c r="H232" i="4" s="1" a="1"/>
  <c r="H232" i="4" s="1"/>
  <c r="B233" i="4" a="1"/>
  <c r="B233" i="4" s="1"/>
  <c r="H233" i="4" s="1" a="1"/>
  <c r="H233" i="4" s="1"/>
  <c r="B234" i="4" a="1"/>
  <c r="B234" i="4" s="1"/>
  <c r="H234" i="4" s="1" a="1"/>
  <c r="H234" i="4" s="1"/>
  <c r="B235" i="4" a="1"/>
  <c r="B235" i="4" s="1"/>
  <c r="H235" i="4" s="1" a="1"/>
  <c r="H235" i="4" s="1"/>
  <c r="B236" i="4" a="1"/>
  <c r="B236" i="4" s="1"/>
  <c r="H236" i="4" s="1" a="1"/>
  <c r="H236" i="4" s="1"/>
  <c r="B237" i="4" a="1"/>
  <c r="B237" i="4" s="1"/>
  <c r="H237" i="4" s="1" a="1"/>
  <c r="H237" i="4" s="1"/>
  <c r="B238" i="4" a="1"/>
  <c r="B238" i="4" s="1"/>
  <c r="H238" i="4" s="1" a="1"/>
  <c r="H238" i="4" s="1"/>
  <c r="B239" i="4" a="1"/>
  <c r="B239" i="4" s="1"/>
  <c r="H239" i="4" s="1" a="1"/>
  <c r="H239" i="4" s="1"/>
  <c r="B240" i="4" a="1"/>
  <c r="B240" i="4" s="1"/>
  <c r="H240" i="4" s="1" a="1"/>
  <c r="H240" i="4" s="1"/>
  <c r="B241" i="4" a="1"/>
  <c r="B241" i="4" s="1"/>
  <c r="H241" i="4" s="1" a="1"/>
  <c r="H241" i="4" s="1"/>
  <c r="B242" i="4" a="1"/>
  <c r="B242" i="4" s="1"/>
  <c r="H242" i="4" s="1" a="1"/>
  <c r="H242" i="4" s="1"/>
  <c r="B243" i="4" a="1"/>
  <c r="B243" i="4" s="1"/>
  <c r="H243" i="4" s="1" a="1"/>
  <c r="H243" i="4" s="1"/>
  <c r="B244" i="4" a="1"/>
  <c r="B244" i="4" s="1"/>
  <c r="H244" i="4" s="1" a="1"/>
  <c r="H244" i="4" s="1"/>
  <c r="B245" i="4" a="1"/>
  <c r="B245" i="4" s="1"/>
  <c r="H245" i="4" s="1" a="1"/>
  <c r="H245" i="4" s="1"/>
  <c r="B246" i="4" a="1"/>
  <c r="B246" i="4" s="1"/>
  <c r="H246" i="4" s="1" a="1"/>
  <c r="H246" i="4" s="1"/>
  <c r="B247" i="4" a="1"/>
  <c r="B247" i="4" s="1"/>
  <c r="H247" i="4" s="1" a="1"/>
  <c r="H247" i="4" s="1"/>
  <c r="B248" i="4" a="1"/>
  <c r="B248" i="4" s="1"/>
  <c r="H248" i="4" s="1" a="1"/>
  <c r="H248" i="4" s="1"/>
  <c r="B249" i="4" a="1"/>
  <c r="B249" i="4" s="1"/>
  <c r="H249" i="4" s="1" a="1"/>
  <c r="H249" i="4" s="1"/>
  <c r="B250" i="4" a="1"/>
  <c r="B250" i="4" s="1"/>
  <c r="H250" i="4" s="1" a="1"/>
  <c r="H250" i="4" s="1"/>
  <c r="B251" i="4" a="1"/>
  <c r="B251" i="4" s="1"/>
  <c r="H251" i="4" s="1" a="1"/>
  <c r="H251" i="4" s="1"/>
  <c r="B252" i="4" a="1"/>
  <c r="B252" i="4" s="1"/>
  <c r="H252" i="4" s="1" a="1"/>
  <c r="H252" i="4" s="1"/>
  <c r="B253" i="4" a="1"/>
  <c r="B253" i="4" s="1"/>
  <c r="H253" i="4" s="1" a="1"/>
  <c r="H253" i="4" s="1"/>
  <c r="B254" i="4" a="1"/>
  <c r="B254" i="4" s="1"/>
  <c r="H254" i="4" s="1" a="1"/>
  <c r="H254" i="4" s="1"/>
  <c r="B255" i="4" a="1"/>
  <c r="B255" i="4" s="1"/>
  <c r="H255" i="4" s="1" a="1"/>
  <c r="H255" i="4" s="1"/>
  <c r="B256" i="4" a="1"/>
  <c r="B256" i="4" s="1"/>
  <c r="H256" i="4" s="1" a="1"/>
  <c r="H256" i="4" s="1"/>
  <c r="B257" i="4" a="1"/>
  <c r="B257" i="4" s="1"/>
  <c r="H257" i="4" s="1" a="1"/>
  <c r="H257" i="4" s="1"/>
  <c r="B258" i="4" a="1"/>
  <c r="B258" i="4" s="1"/>
  <c r="H258" i="4" s="1" a="1"/>
  <c r="H258" i="4" s="1"/>
  <c r="B259" i="4" a="1"/>
  <c r="B259" i="4" s="1"/>
  <c r="H259" i="4" s="1" a="1"/>
  <c r="H259" i="4" s="1"/>
  <c r="B260" i="4" a="1"/>
  <c r="B260" i="4" s="1"/>
  <c r="H260" i="4" s="1" a="1"/>
  <c r="H260" i="4" s="1"/>
  <c r="B261" i="4" a="1"/>
  <c r="B261" i="4" s="1"/>
  <c r="H261" i="4" s="1" a="1"/>
  <c r="H261" i="4" s="1"/>
  <c r="B262" i="4" a="1"/>
  <c r="B262" i="4" s="1"/>
  <c r="H262" i="4" s="1" a="1"/>
  <c r="H262" i="4" s="1"/>
  <c r="B263" i="4" a="1"/>
  <c r="B263" i="4" s="1"/>
  <c r="H263" i="4" s="1" a="1"/>
  <c r="H263" i="4" s="1"/>
  <c r="B264" i="4" a="1"/>
  <c r="B264" i="4" s="1"/>
  <c r="H264" i="4" s="1" a="1"/>
  <c r="H264" i="4" s="1"/>
  <c r="B265" i="4" a="1"/>
  <c r="B265" i="4" s="1"/>
  <c r="H265" i="4" s="1" a="1"/>
  <c r="H265" i="4" s="1"/>
  <c r="B266" i="4" a="1"/>
  <c r="B266" i="4" s="1"/>
  <c r="H266" i="4" s="1" a="1"/>
  <c r="H266" i="4" s="1"/>
  <c r="B267" i="4" a="1"/>
  <c r="B267" i="4" s="1"/>
  <c r="H267" i="4" s="1" a="1"/>
  <c r="H267" i="4" s="1"/>
  <c r="B268" i="4" a="1"/>
  <c r="B268" i="4" s="1"/>
  <c r="H268" i="4" s="1" a="1"/>
  <c r="H268" i="4" s="1"/>
  <c r="B269" i="4" a="1"/>
  <c r="B269" i="4" s="1"/>
  <c r="H269" i="4" s="1" a="1"/>
  <c r="H269" i="4" s="1"/>
  <c r="B270" i="4" a="1"/>
  <c r="B270" i="4" s="1"/>
  <c r="H270" i="4" s="1" a="1"/>
  <c r="H270" i="4" s="1"/>
  <c r="B271" i="4" a="1"/>
  <c r="B271" i="4" s="1"/>
  <c r="H271" i="4" s="1" a="1"/>
  <c r="H271" i="4" s="1"/>
  <c r="B272" i="4" a="1"/>
  <c r="B272" i="4" s="1"/>
  <c r="H272" i="4" s="1" a="1"/>
  <c r="H272" i="4" s="1"/>
  <c r="B273" i="4" a="1"/>
  <c r="B273" i="4" s="1"/>
  <c r="H273" i="4" s="1" a="1"/>
  <c r="H273" i="4" s="1"/>
  <c r="B274" i="4" a="1"/>
  <c r="B274" i="4" s="1"/>
  <c r="H274" i="4" s="1" a="1"/>
  <c r="H274" i="4" s="1"/>
  <c r="B275" i="4" a="1"/>
  <c r="B275" i="4" s="1"/>
  <c r="H275" i="4" s="1" a="1"/>
  <c r="H275" i="4" s="1"/>
  <c r="B276" i="4" a="1"/>
  <c r="B276" i="4" s="1"/>
  <c r="H276" i="4" s="1" a="1"/>
  <c r="H276" i="4" s="1"/>
  <c r="B277" i="4" a="1"/>
  <c r="B277" i="4" s="1"/>
  <c r="H277" i="4" s="1" a="1"/>
  <c r="H277" i="4" s="1"/>
  <c r="B278" i="4" a="1"/>
  <c r="B278" i="4" s="1"/>
  <c r="H278" i="4" s="1" a="1"/>
  <c r="H278" i="4" s="1"/>
  <c r="B279" i="4" a="1"/>
  <c r="B279" i="4" s="1"/>
  <c r="H279" i="4" s="1" a="1"/>
  <c r="H279" i="4" s="1"/>
  <c r="B280" i="4" a="1"/>
  <c r="B280" i="4" s="1"/>
  <c r="H280" i="4" s="1" a="1"/>
  <c r="H280" i="4" s="1"/>
  <c r="B281" i="4" a="1"/>
  <c r="B281" i="4" s="1"/>
  <c r="H281" i="4" s="1" a="1"/>
  <c r="H281" i="4" s="1"/>
  <c r="B282" i="4" a="1"/>
  <c r="B282" i="4" s="1"/>
  <c r="H282" i="4" s="1" a="1"/>
  <c r="H282" i="4" s="1"/>
  <c r="B283" i="4" a="1"/>
  <c r="B283" i="4" s="1"/>
  <c r="H283" i="4" s="1" a="1"/>
  <c r="H283" i="4" s="1"/>
  <c r="B284" i="4" a="1"/>
  <c r="B284" i="4" s="1"/>
  <c r="H284" i="4" s="1" a="1"/>
  <c r="H284" i="4" s="1"/>
  <c r="B285" i="4" a="1"/>
  <c r="B285" i="4" s="1"/>
  <c r="H285" i="4" s="1" a="1"/>
  <c r="H285" i="4" s="1"/>
  <c r="B286" i="4" a="1"/>
  <c r="B286" i="4" s="1"/>
  <c r="H286" i="4" s="1" a="1"/>
  <c r="H286" i="4" s="1"/>
  <c r="B287" i="4" a="1"/>
  <c r="B287" i="4" s="1"/>
  <c r="H287" i="4" s="1" a="1"/>
  <c r="H287" i="4" s="1"/>
  <c r="B288" i="4" a="1"/>
  <c r="B288" i="4" s="1"/>
  <c r="H288" i="4" s="1" a="1"/>
  <c r="H288" i="4" s="1"/>
  <c r="B289" i="4" a="1"/>
  <c r="B289" i="4" s="1"/>
  <c r="H289" i="4" s="1" a="1"/>
  <c r="H289" i="4" s="1"/>
  <c r="B290" i="4" a="1"/>
  <c r="B290" i="4" s="1"/>
  <c r="H290" i="4" s="1" a="1"/>
  <c r="H290" i="4" s="1"/>
  <c r="B291" i="4" a="1"/>
  <c r="B291" i="4" s="1"/>
  <c r="H291" i="4" s="1" a="1"/>
  <c r="H291" i="4" s="1"/>
  <c r="B292" i="4" a="1"/>
  <c r="B292" i="4" s="1"/>
  <c r="H292" i="4" s="1" a="1"/>
  <c r="H292" i="4" s="1"/>
  <c r="B293" i="4" a="1"/>
  <c r="B293" i="4" s="1"/>
  <c r="H293" i="4" s="1" a="1"/>
  <c r="H293" i="4" s="1"/>
  <c r="B294" i="4" a="1"/>
  <c r="B294" i="4" s="1"/>
  <c r="H294" i="4" s="1" a="1"/>
  <c r="H294" i="4" s="1"/>
  <c r="B295" i="4" a="1"/>
  <c r="B295" i="4" s="1"/>
  <c r="H295" i="4" s="1" a="1"/>
  <c r="H295" i="4" s="1"/>
  <c r="B296" i="4" a="1"/>
  <c r="B296" i="4" s="1"/>
  <c r="H296" i="4" s="1" a="1"/>
  <c r="H296" i="4" s="1"/>
  <c r="B297" i="4" a="1"/>
  <c r="B297" i="4" s="1"/>
  <c r="H297" i="4" s="1" a="1"/>
  <c r="H297" i="4" s="1"/>
  <c r="B298" i="4" a="1"/>
  <c r="B298" i="4" s="1"/>
  <c r="H298" i="4" s="1" a="1"/>
  <c r="H298" i="4" s="1"/>
  <c r="B299" i="4" a="1"/>
  <c r="B299" i="4" s="1"/>
  <c r="H299" i="4" s="1" a="1"/>
  <c r="H299" i="4" s="1"/>
  <c r="B300" i="4" a="1"/>
  <c r="B300" i="4" s="1"/>
  <c r="H300" i="4" s="1" a="1"/>
  <c r="H300" i="4" s="1"/>
  <c r="B301" i="4" a="1"/>
  <c r="B301" i="4" s="1"/>
  <c r="H301" i="4" s="1" a="1"/>
  <c r="H301" i="4" s="1"/>
  <c r="B302" i="4" a="1"/>
  <c r="B302" i="4" s="1"/>
  <c r="H302" i="4" s="1" a="1"/>
  <c r="H302" i="4" s="1"/>
  <c r="B303" i="4" a="1"/>
  <c r="B303" i="4" s="1"/>
  <c r="H303" i="4" s="1" a="1"/>
  <c r="H303" i="4" s="1"/>
  <c r="B304" i="4" a="1"/>
  <c r="B304" i="4" s="1"/>
  <c r="H304" i="4" s="1" a="1"/>
  <c r="H304" i="4" s="1"/>
  <c r="B305" i="4" a="1"/>
  <c r="B305" i="4" s="1"/>
  <c r="H305" i="4" s="1" a="1"/>
  <c r="H305" i="4" s="1"/>
  <c r="B306" i="4" a="1"/>
  <c r="B306" i="4" s="1"/>
  <c r="H306" i="4" s="1" a="1"/>
  <c r="H306" i="4" s="1"/>
  <c r="B307" i="4" a="1"/>
  <c r="B307" i="4" s="1"/>
  <c r="H307" i="4" s="1" a="1"/>
  <c r="H307" i="4" s="1"/>
  <c r="B308" i="4" a="1"/>
  <c r="B308" i="4" s="1"/>
  <c r="H308" i="4" s="1" a="1"/>
  <c r="H308" i="4" s="1"/>
  <c r="B309" i="4" a="1"/>
  <c r="B309" i="4" s="1"/>
  <c r="H309" i="4" s="1" a="1"/>
  <c r="H309" i="4" s="1"/>
  <c r="B310" i="4" a="1"/>
  <c r="B310" i="4" s="1"/>
  <c r="H310" i="4" s="1" a="1"/>
  <c r="H310" i="4" s="1"/>
  <c r="B311" i="4" a="1"/>
  <c r="B311" i="4" s="1"/>
  <c r="H311" i="4" s="1" a="1"/>
  <c r="H311" i="4" s="1"/>
  <c r="B312" i="4" a="1"/>
  <c r="B312" i="4" s="1"/>
  <c r="H312" i="4" s="1" a="1"/>
  <c r="H312" i="4" s="1"/>
  <c r="B313" i="4" a="1"/>
  <c r="B313" i="4" s="1"/>
  <c r="H313" i="4" s="1" a="1"/>
  <c r="H313" i="4" s="1"/>
  <c r="B314" i="4" a="1"/>
  <c r="B314" i="4" s="1"/>
  <c r="H314" i="4" s="1" a="1"/>
  <c r="H314" i="4" s="1"/>
  <c r="B315" i="4" a="1"/>
  <c r="B315" i="4" s="1"/>
  <c r="H315" i="4" s="1" a="1"/>
  <c r="H315" i="4" s="1"/>
  <c r="B316" i="4" a="1"/>
  <c r="B316" i="4" s="1"/>
  <c r="H316" i="4" s="1" a="1"/>
  <c r="H316" i="4" s="1"/>
  <c r="B317" i="4" a="1"/>
  <c r="B317" i="4" s="1"/>
  <c r="H317" i="4" s="1" a="1"/>
  <c r="H317" i="4" s="1"/>
  <c r="B318" i="4" a="1"/>
  <c r="B318" i="4" s="1"/>
  <c r="H318" i="4" s="1" a="1"/>
  <c r="H318" i="4" s="1"/>
  <c r="B319" i="4" a="1"/>
  <c r="B319" i="4" s="1"/>
  <c r="H319" i="4" s="1" a="1"/>
  <c r="H319" i="4" s="1"/>
  <c r="B320" i="4" a="1"/>
  <c r="B320" i="4" s="1"/>
  <c r="H320" i="4" s="1" a="1"/>
  <c r="H320" i="4" s="1"/>
  <c r="B321" i="4" a="1"/>
  <c r="B321" i="4" s="1"/>
  <c r="H321" i="4" s="1" a="1"/>
  <c r="H321" i="4" s="1"/>
  <c r="B322" i="4" a="1"/>
  <c r="B322" i="4" s="1"/>
  <c r="H322" i="4" s="1" a="1"/>
  <c r="H322" i="4" s="1"/>
  <c r="B323" i="4" a="1"/>
  <c r="B323" i="4" s="1"/>
  <c r="H323" i="4" s="1" a="1"/>
  <c r="H323" i="4" s="1"/>
  <c r="B324" i="4" a="1"/>
  <c r="B324" i="4" s="1"/>
  <c r="H324" i="4" s="1" a="1"/>
  <c r="H324" i="4" s="1"/>
  <c r="B325" i="4" a="1"/>
  <c r="B325" i="4" s="1"/>
  <c r="H325" i="4" s="1" a="1"/>
  <c r="H325" i="4" s="1"/>
  <c r="B326" i="4" a="1"/>
  <c r="B326" i="4" s="1"/>
  <c r="H326" i="4" s="1" a="1"/>
  <c r="H326" i="4" s="1"/>
  <c r="B327" i="4" a="1"/>
  <c r="B327" i="4" s="1"/>
  <c r="H327" i="4" s="1" a="1"/>
  <c r="H327" i="4" s="1"/>
  <c r="B328" i="4" a="1"/>
  <c r="B328" i="4" s="1"/>
  <c r="H328" i="4" s="1" a="1"/>
  <c r="H328" i="4" s="1"/>
  <c r="B329" i="4" a="1"/>
  <c r="B329" i="4" s="1"/>
  <c r="H329" i="4" s="1" a="1"/>
  <c r="H329" i="4" s="1"/>
  <c r="B330" i="4" a="1"/>
  <c r="B330" i="4" s="1"/>
  <c r="H330" i="4" s="1" a="1"/>
  <c r="H330" i="4" s="1"/>
  <c r="B331" i="4" a="1"/>
  <c r="B331" i="4" s="1"/>
  <c r="H331" i="4" s="1" a="1"/>
  <c r="H331" i="4" s="1"/>
  <c r="B332" i="4" a="1"/>
  <c r="B332" i="4" s="1"/>
  <c r="H332" i="4" s="1" a="1"/>
  <c r="H332" i="4" s="1"/>
  <c r="B333" i="4" a="1"/>
  <c r="B333" i="4" s="1"/>
  <c r="H333" i="4" s="1" a="1"/>
  <c r="H333" i="4" s="1"/>
  <c r="B334" i="4" a="1"/>
  <c r="B334" i="4" s="1"/>
  <c r="H334" i="4" s="1" a="1"/>
  <c r="H334" i="4" s="1"/>
  <c r="B335" i="4" a="1"/>
  <c r="B335" i="4" s="1"/>
  <c r="H335" i="4" s="1" a="1"/>
  <c r="H335" i="4" s="1"/>
  <c r="B336" i="4" a="1"/>
  <c r="B336" i="4" s="1"/>
  <c r="H336" i="4" s="1" a="1"/>
  <c r="H336" i="4" s="1"/>
  <c r="B337" i="4" a="1"/>
  <c r="B337" i="4" s="1"/>
  <c r="H337" i="4" s="1" a="1"/>
  <c r="H337" i="4" s="1"/>
  <c r="B338" i="4" a="1"/>
  <c r="B338" i="4" s="1"/>
  <c r="H338" i="4" s="1" a="1"/>
  <c r="H338" i="4" s="1"/>
  <c r="B339" i="4" a="1"/>
  <c r="B339" i="4" s="1"/>
  <c r="H339" i="4" s="1" a="1"/>
  <c r="H339" i="4" s="1"/>
  <c r="B340" i="4" a="1"/>
  <c r="B340" i="4" s="1"/>
  <c r="H340" i="4" s="1" a="1"/>
  <c r="H340" i="4" s="1"/>
  <c r="B341" i="4" a="1"/>
  <c r="B341" i="4" s="1"/>
  <c r="H341" i="4" s="1" a="1"/>
  <c r="H341" i="4" s="1"/>
  <c r="B342" i="4" a="1"/>
  <c r="B342" i="4" s="1"/>
  <c r="H342" i="4" s="1" a="1"/>
  <c r="H342" i="4" s="1"/>
  <c r="B343" i="4" a="1"/>
  <c r="B343" i="4" s="1"/>
  <c r="H343" i="4" s="1" a="1"/>
  <c r="H343" i="4" s="1"/>
  <c r="B344" i="4" a="1"/>
  <c r="B344" i="4" s="1"/>
  <c r="H344" i="4" s="1" a="1"/>
  <c r="H344" i="4" s="1"/>
  <c r="B345" i="4" a="1"/>
  <c r="B345" i="4" s="1"/>
  <c r="H345" i="4" s="1" a="1"/>
  <c r="H345" i="4" s="1"/>
  <c r="B346" i="4" a="1"/>
  <c r="B346" i="4" s="1"/>
  <c r="H346" i="4" s="1" a="1"/>
  <c r="H346" i="4" s="1"/>
  <c r="B347" i="4" a="1"/>
  <c r="B347" i="4" s="1"/>
  <c r="H347" i="4" s="1" a="1"/>
  <c r="H347" i="4" s="1"/>
  <c r="B348" i="4" a="1"/>
  <c r="B348" i="4" s="1"/>
  <c r="H348" i="4" s="1" a="1"/>
  <c r="H348" i="4" s="1"/>
  <c r="B349" i="4" a="1"/>
  <c r="B349" i="4" s="1"/>
  <c r="H349" i="4" s="1" a="1"/>
  <c r="H349" i="4" s="1"/>
  <c r="B350" i="4" a="1"/>
  <c r="B350" i="4" s="1"/>
  <c r="H350" i="4" s="1" a="1"/>
  <c r="H350" i="4" s="1"/>
  <c r="B351" i="4" a="1"/>
  <c r="B351" i="4" s="1"/>
  <c r="H351" i="4" s="1" a="1"/>
  <c r="H351" i="4" s="1"/>
  <c r="B352" i="4" a="1"/>
  <c r="B352" i="4" s="1"/>
  <c r="H352" i="4" s="1" a="1"/>
  <c r="H352" i="4" s="1"/>
  <c r="B353" i="4" a="1"/>
  <c r="B353" i="4" s="1"/>
  <c r="H353" i="4" s="1" a="1"/>
  <c r="H353" i="4" s="1"/>
  <c r="B354" i="4" a="1"/>
  <c r="B354" i="4" s="1"/>
  <c r="H354" i="4" s="1" a="1"/>
  <c r="H354" i="4" s="1"/>
  <c r="B355" i="4" a="1"/>
  <c r="B355" i="4" s="1"/>
  <c r="H355" i="4" s="1" a="1"/>
  <c r="H355" i="4" s="1"/>
  <c r="B356" i="4" a="1"/>
  <c r="B356" i="4" s="1"/>
  <c r="H356" i="4" s="1" a="1"/>
  <c r="H356" i="4" s="1"/>
  <c r="B357" i="4" a="1"/>
  <c r="B357" i="4" s="1"/>
  <c r="H357" i="4" s="1" a="1"/>
  <c r="H357" i="4" s="1"/>
  <c r="B358" i="4" a="1"/>
  <c r="B358" i="4" s="1"/>
  <c r="H358" i="4" s="1" a="1"/>
  <c r="H358" i="4" s="1"/>
  <c r="B359" i="4" a="1"/>
  <c r="B359" i="4" s="1"/>
  <c r="H359" i="4" s="1" a="1"/>
  <c r="H359" i="4" s="1"/>
  <c r="B360" i="4" a="1"/>
  <c r="B360" i="4" s="1"/>
  <c r="H360" i="4" s="1" a="1"/>
  <c r="H360" i="4" s="1"/>
  <c r="B361" i="4" a="1"/>
  <c r="B361" i="4" s="1"/>
  <c r="H361" i="4" s="1" a="1"/>
  <c r="H361" i="4" s="1"/>
  <c r="B362" i="4" a="1"/>
  <c r="B362" i="4" s="1"/>
  <c r="H362" i="4" s="1" a="1"/>
  <c r="H362" i="4" s="1"/>
  <c r="B363" i="4" a="1"/>
  <c r="B363" i="4" s="1"/>
  <c r="H363" i="4" s="1" a="1"/>
  <c r="H363" i="4" s="1"/>
  <c r="B364" i="4" a="1"/>
  <c r="B364" i="4" s="1"/>
  <c r="H364" i="4" s="1" a="1"/>
  <c r="H364" i="4" s="1"/>
  <c r="B365" i="4" a="1"/>
  <c r="B365" i="4" s="1"/>
  <c r="H365" i="4" s="1" a="1"/>
  <c r="H365" i="4" s="1"/>
  <c r="B366" i="4" a="1"/>
  <c r="B366" i="4" s="1"/>
  <c r="H366" i="4" s="1" a="1"/>
  <c r="H366" i="4" s="1"/>
  <c r="B367" i="4" a="1"/>
  <c r="B367" i="4" s="1"/>
  <c r="H367" i="4" s="1" a="1"/>
  <c r="H367" i="4" s="1"/>
  <c r="B368" i="4" a="1"/>
  <c r="B368" i="4" s="1"/>
  <c r="H368" i="4" s="1" a="1"/>
  <c r="H368" i="4" s="1"/>
  <c r="B369" i="4" a="1"/>
  <c r="B369" i="4" s="1"/>
  <c r="H369" i="4" s="1" a="1"/>
  <c r="H369" i="4" s="1"/>
  <c r="B370" i="4" a="1"/>
  <c r="B370" i="4" s="1"/>
  <c r="H370" i="4" s="1" a="1"/>
  <c r="H370" i="4" s="1"/>
  <c r="B371" i="4" a="1"/>
  <c r="B371" i="4" s="1"/>
  <c r="H371" i="4" s="1" a="1"/>
  <c r="H371" i="4" s="1"/>
  <c r="B372" i="4" a="1"/>
  <c r="B372" i="4" s="1"/>
  <c r="H372" i="4" s="1" a="1"/>
  <c r="H372" i="4" s="1"/>
  <c r="B373" i="4" a="1"/>
  <c r="B373" i="4" s="1"/>
  <c r="H373" i="4" s="1" a="1"/>
  <c r="H373" i="4" s="1"/>
  <c r="B374" i="4" a="1"/>
  <c r="B374" i="4" s="1"/>
  <c r="H374" i="4" s="1" a="1"/>
  <c r="H374" i="4" s="1"/>
  <c r="B375" i="4" a="1"/>
  <c r="B375" i="4" s="1"/>
  <c r="H375" i="4" s="1" a="1"/>
  <c r="H375" i="4" s="1"/>
  <c r="B376" i="4" a="1"/>
  <c r="B376" i="4" s="1"/>
  <c r="H376" i="4" s="1" a="1"/>
  <c r="H376" i="4" s="1"/>
  <c r="B377" i="4" a="1"/>
  <c r="B377" i="4" s="1"/>
  <c r="H377" i="4" s="1" a="1"/>
  <c r="H377" i="4" s="1"/>
  <c r="B378" i="4" a="1"/>
  <c r="B378" i="4" s="1"/>
  <c r="H378" i="4" s="1" a="1"/>
  <c r="H378" i="4" s="1"/>
  <c r="B379" i="4" a="1"/>
  <c r="B379" i="4" s="1"/>
  <c r="H379" i="4" s="1" a="1"/>
  <c r="H379" i="4" s="1"/>
  <c r="B380" i="4" a="1"/>
  <c r="B380" i="4" s="1"/>
  <c r="H380" i="4" s="1" a="1"/>
  <c r="H380" i="4" s="1"/>
  <c r="B381" i="4" a="1"/>
  <c r="B381" i="4" s="1"/>
  <c r="H381" i="4" s="1" a="1"/>
  <c r="H381" i="4" s="1"/>
  <c r="B382" i="4" a="1"/>
  <c r="B382" i="4" s="1"/>
  <c r="H382" i="4" s="1" a="1"/>
  <c r="H382" i="4" s="1"/>
  <c r="B383" i="4" a="1"/>
  <c r="B383" i="4" s="1"/>
  <c r="H383" i="4" s="1" a="1"/>
  <c r="H383" i="4" s="1"/>
  <c r="B384" i="4" a="1"/>
  <c r="B384" i="4" s="1"/>
  <c r="H384" i="4" s="1" a="1"/>
  <c r="H384" i="4" s="1"/>
  <c r="B385" i="4" a="1"/>
  <c r="B385" i="4" s="1"/>
  <c r="H385" i="4" s="1" a="1"/>
  <c r="H385" i="4" s="1"/>
  <c r="B386" i="4" a="1"/>
  <c r="B386" i="4" s="1"/>
  <c r="H386" i="4" s="1" a="1"/>
  <c r="H386" i="4" s="1"/>
  <c r="B387" i="4" a="1"/>
  <c r="B387" i="4" s="1"/>
  <c r="H387" i="4" s="1" a="1"/>
  <c r="H387" i="4" s="1"/>
  <c r="B388" i="4" a="1"/>
  <c r="B388" i="4" s="1"/>
  <c r="H388" i="4" s="1" a="1"/>
  <c r="H388" i="4" s="1"/>
  <c r="B389" i="4" a="1"/>
  <c r="B389" i="4" s="1"/>
  <c r="H389" i="4" s="1" a="1"/>
  <c r="H389" i="4" s="1"/>
  <c r="B390" i="4" a="1"/>
  <c r="B390" i="4" s="1"/>
  <c r="H390" i="4" s="1" a="1"/>
  <c r="H390" i="4" s="1"/>
  <c r="B391" i="4" a="1"/>
  <c r="B391" i="4" s="1"/>
  <c r="H391" i="4" s="1" a="1"/>
  <c r="H391" i="4" s="1"/>
  <c r="B392" i="4" a="1"/>
  <c r="B392" i="4" s="1"/>
  <c r="H392" i="4" s="1" a="1"/>
  <c r="H392" i="4" s="1"/>
  <c r="B393" i="4" a="1"/>
  <c r="B393" i="4" s="1"/>
  <c r="H393" i="4" s="1" a="1"/>
  <c r="H393" i="4" s="1"/>
  <c r="B394" i="4" a="1"/>
  <c r="B394" i="4" s="1"/>
  <c r="H394" i="4" s="1" a="1"/>
  <c r="H394" i="4" s="1"/>
  <c r="B395" i="4" a="1"/>
  <c r="B395" i="4" s="1"/>
  <c r="H395" i="4" s="1" a="1"/>
  <c r="H395" i="4" s="1"/>
  <c r="B396" i="4" a="1"/>
  <c r="B396" i="4" s="1"/>
  <c r="H396" i="4" s="1" a="1"/>
  <c r="H396" i="4" s="1"/>
  <c r="B397" i="4" a="1"/>
  <c r="B397" i="4" s="1"/>
  <c r="H397" i="4" s="1" a="1"/>
  <c r="H397" i="4" s="1"/>
  <c r="B398" i="4" a="1"/>
  <c r="B398" i="4" s="1"/>
  <c r="H398" i="4" s="1" a="1"/>
  <c r="H398" i="4" s="1"/>
  <c r="B399" i="4" a="1"/>
  <c r="B399" i="4" s="1"/>
  <c r="H399" i="4" s="1" a="1"/>
  <c r="H399" i="4" s="1"/>
  <c r="B400" i="4" a="1"/>
  <c r="B400" i="4" s="1"/>
  <c r="H400" i="4" s="1" a="1"/>
  <c r="H400" i="4" s="1"/>
  <c r="B401" i="4" a="1"/>
  <c r="B401" i="4" s="1"/>
  <c r="H401" i="4" s="1" a="1"/>
  <c r="H401" i="4" s="1"/>
  <c r="B402" i="4" a="1"/>
  <c r="B402" i="4" s="1"/>
  <c r="H402" i="4" s="1" a="1"/>
  <c r="H402" i="4" s="1"/>
  <c r="B403" i="4" a="1"/>
  <c r="B403" i="4" s="1"/>
  <c r="H403" i="4" s="1" a="1"/>
  <c r="H403" i="4" s="1"/>
  <c r="B404" i="4" a="1"/>
  <c r="B404" i="4" s="1"/>
  <c r="H404" i="4" s="1" a="1"/>
  <c r="H404" i="4" s="1"/>
  <c r="B405" i="4" a="1"/>
  <c r="B405" i="4" s="1"/>
  <c r="H405" i="4" s="1" a="1"/>
  <c r="H405" i="4" s="1"/>
  <c r="B406" i="4" a="1"/>
  <c r="B406" i="4" s="1"/>
  <c r="H406" i="4" s="1" a="1"/>
  <c r="H406" i="4" s="1"/>
  <c r="B407" i="4" a="1"/>
  <c r="B407" i="4" s="1"/>
  <c r="H407" i="4" s="1" a="1"/>
  <c r="H407" i="4" s="1"/>
  <c r="B408" i="4" a="1"/>
  <c r="B408" i="4" s="1"/>
  <c r="H408" i="4" s="1" a="1"/>
  <c r="H408" i="4" s="1"/>
  <c r="B409" i="4" a="1"/>
  <c r="B409" i="4" s="1"/>
  <c r="H409" i="4" s="1" a="1"/>
  <c r="H409" i="4" s="1"/>
  <c r="B410" i="4" a="1"/>
  <c r="B410" i="4" s="1"/>
  <c r="H410" i="4" s="1" a="1"/>
  <c r="H410" i="4" s="1"/>
  <c r="B411" i="4" a="1"/>
  <c r="B411" i="4" s="1"/>
  <c r="H411" i="4" s="1" a="1"/>
  <c r="H411" i="4" s="1"/>
  <c r="B412" i="4" a="1"/>
  <c r="B412" i="4" s="1"/>
  <c r="H412" i="4" s="1" a="1"/>
  <c r="H412" i="4" s="1"/>
  <c r="B413" i="4" a="1"/>
  <c r="B413" i="4" s="1"/>
  <c r="H413" i="4" s="1" a="1"/>
  <c r="H413" i="4" s="1"/>
  <c r="B414" i="4" a="1"/>
  <c r="B414" i="4" s="1"/>
  <c r="H414" i="4" s="1" a="1"/>
  <c r="H414" i="4" s="1"/>
  <c r="B415" i="4" a="1"/>
  <c r="B415" i="4" s="1"/>
  <c r="H415" i="4" s="1" a="1"/>
  <c r="H415" i="4" s="1"/>
  <c r="B416" i="4" a="1"/>
  <c r="B416" i="4" s="1"/>
  <c r="H416" i="4" s="1" a="1"/>
  <c r="H416" i="4" s="1"/>
  <c r="B417" i="4" a="1"/>
  <c r="B417" i="4" s="1"/>
  <c r="H417" i="4" s="1" a="1"/>
  <c r="H417" i="4" s="1"/>
  <c r="B418" i="4" a="1"/>
  <c r="B418" i="4" s="1"/>
  <c r="H418" i="4" s="1" a="1"/>
  <c r="H418" i="4" s="1"/>
  <c r="B419" i="4" a="1"/>
  <c r="B419" i="4" s="1"/>
  <c r="H419" i="4" s="1" a="1"/>
  <c r="H419" i="4" s="1"/>
  <c r="B420" i="4" a="1"/>
  <c r="B420" i="4" s="1"/>
  <c r="H420" i="4" s="1" a="1"/>
  <c r="H420" i="4" s="1"/>
  <c r="B421" i="4" a="1"/>
  <c r="B421" i="4" s="1"/>
  <c r="H421" i="4" s="1" a="1"/>
  <c r="H421" i="4" s="1"/>
  <c r="B422" i="4" a="1"/>
  <c r="B422" i="4" s="1"/>
  <c r="H422" i="4" s="1" a="1"/>
  <c r="H422" i="4" s="1"/>
  <c r="B423" i="4" a="1"/>
  <c r="B423" i="4" s="1"/>
  <c r="H423" i="4" s="1" a="1"/>
  <c r="H423" i="4" s="1"/>
  <c r="B424" i="4" a="1"/>
  <c r="B424" i="4" s="1"/>
  <c r="H424" i="4" s="1" a="1"/>
  <c r="H424" i="4" s="1"/>
  <c r="B425" i="4" a="1"/>
  <c r="B425" i="4" s="1"/>
  <c r="H425" i="4" s="1" a="1"/>
  <c r="H425" i="4" s="1"/>
  <c r="B426" i="4" a="1"/>
  <c r="B426" i="4" s="1"/>
  <c r="H426" i="4" s="1" a="1"/>
  <c r="H426" i="4" s="1"/>
  <c r="B427" i="4" a="1"/>
  <c r="B427" i="4" s="1"/>
  <c r="H427" i="4" s="1" a="1"/>
  <c r="H427" i="4" s="1"/>
  <c r="B428" i="4" a="1"/>
  <c r="B428" i="4" s="1"/>
  <c r="H428" i="4" s="1" a="1"/>
  <c r="H428" i="4" s="1"/>
  <c r="B429" i="4" a="1"/>
  <c r="B429" i="4" s="1"/>
  <c r="H429" i="4" s="1" a="1"/>
  <c r="H429" i="4" s="1"/>
  <c r="B430" i="4" a="1"/>
  <c r="B430" i="4" s="1"/>
  <c r="H430" i="4" s="1" a="1"/>
  <c r="H430" i="4" s="1"/>
  <c r="B431" i="4" a="1"/>
  <c r="B431" i="4" s="1"/>
  <c r="H431" i="4" s="1" a="1"/>
  <c r="H431" i="4" s="1"/>
  <c r="B432" i="4" a="1"/>
  <c r="B432" i="4" s="1"/>
  <c r="H432" i="4" s="1" a="1"/>
  <c r="H432" i="4" s="1"/>
  <c r="B433" i="4" a="1"/>
  <c r="B433" i="4" s="1"/>
  <c r="H433" i="4" s="1" a="1"/>
  <c r="H433" i="4" s="1"/>
  <c r="B434" i="4" a="1"/>
  <c r="B434" i="4" s="1"/>
  <c r="H434" i="4" s="1" a="1"/>
  <c r="H434" i="4" s="1"/>
  <c r="B435" i="4" a="1"/>
  <c r="B435" i="4" s="1"/>
  <c r="H435" i="4" s="1" a="1"/>
  <c r="H435" i="4" s="1"/>
  <c r="B436" i="4" a="1"/>
  <c r="B436" i="4" s="1"/>
  <c r="H436" i="4" s="1" a="1"/>
  <c r="H436" i="4" s="1"/>
  <c r="B437" i="4" a="1"/>
  <c r="B437" i="4" s="1"/>
  <c r="H437" i="4" s="1" a="1"/>
  <c r="H437" i="4" s="1"/>
  <c r="B438" i="4" a="1"/>
  <c r="B438" i="4" s="1"/>
  <c r="H438" i="4" s="1" a="1"/>
  <c r="H438" i="4" s="1"/>
  <c r="B439" i="4" a="1"/>
  <c r="B439" i="4" s="1"/>
  <c r="H439" i="4" s="1" a="1"/>
  <c r="H439" i="4" s="1"/>
  <c r="B440" i="4" a="1"/>
  <c r="B440" i="4" s="1"/>
  <c r="H440" i="4" s="1" a="1"/>
  <c r="H440" i="4" s="1"/>
  <c r="B441" i="4" a="1"/>
  <c r="B441" i="4" s="1"/>
  <c r="H441" i="4" s="1" a="1"/>
  <c r="H441" i="4" s="1"/>
  <c r="B442" i="4" a="1"/>
  <c r="B442" i="4" s="1"/>
  <c r="H442" i="4" s="1" a="1"/>
  <c r="H442" i="4" s="1"/>
  <c r="B443" i="4" a="1"/>
  <c r="B443" i="4" s="1"/>
  <c r="H443" i="4" s="1" a="1"/>
  <c r="H443" i="4" s="1"/>
  <c r="B444" i="4" a="1"/>
  <c r="B444" i="4" s="1"/>
  <c r="H444" i="4" s="1" a="1"/>
  <c r="H444" i="4" s="1"/>
  <c r="B445" i="4" a="1"/>
  <c r="B445" i="4" s="1"/>
  <c r="H445" i="4" s="1" a="1"/>
  <c r="H445" i="4" s="1"/>
  <c r="B446" i="4" a="1"/>
  <c r="B446" i="4" s="1"/>
  <c r="H446" i="4" s="1" a="1"/>
  <c r="H446" i="4" s="1"/>
  <c r="B447" i="4" a="1"/>
  <c r="B447" i="4" s="1"/>
  <c r="H447" i="4" s="1" a="1"/>
  <c r="H447" i="4" s="1"/>
  <c r="B448" i="4" a="1"/>
  <c r="B448" i="4" s="1"/>
  <c r="H448" i="4" s="1" a="1"/>
  <c r="H448" i="4" s="1"/>
  <c r="B449" i="4" a="1"/>
  <c r="B449" i="4" s="1"/>
  <c r="H449" i="4" s="1" a="1"/>
  <c r="H449" i="4" s="1"/>
  <c r="B450" i="4" a="1"/>
  <c r="B450" i="4" s="1"/>
  <c r="H450" i="4" s="1" a="1"/>
  <c r="H450" i="4" s="1"/>
  <c r="B451" i="4" a="1"/>
  <c r="B451" i="4" s="1"/>
  <c r="H451" i="4" s="1" a="1"/>
  <c r="H451" i="4" s="1"/>
  <c r="B452" i="4" a="1"/>
  <c r="B452" i="4" s="1"/>
  <c r="H452" i="4" s="1" a="1"/>
  <c r="H452" i="4" s="1"/>
  <c r="B453" i="4" a="1"/>
  <c r="B453" i="4" s="1"/>
  <c r="H453" i="4" s="1" a="1"/>
  <c r="H453" i="4" s="1"/>
  <c r="B454" i="4" a="1"/>
  <c r="B454" i="4" s="1"/>
  <c r="H454" i="4" s="1" a="1"/>
  <c r="H454" i="4" s="1"/>
  <c r="B455" i="4" a="1"/>
  <c r="B455" i="4" s="1"/>
  <c r="H455" i="4" s="1" a="1"/>
  <c r="H455" i="4" s="1"/>
  <c r="B456" i="4" a="1"/>
  <c r="B456" i="4" s="1"/>
  <c r="H456" i="4" s="1" a="1"/>
  <c r="H456" i="4" s="1"/>
  <c r="B457" i="4" a="1"/>
  <c r="B457" i="4" s="1"/>
  <c r="H457" i="4" s="1" a="1"/>
  <c r="H457" i="4" s="1"/>
  <c r="B458" i="4" a="1"/>
  <c r="B458" i="4" s="1"/>
  <c r="H458" i="4" s="1" a="1"/>
  <c r="H458" i="4" s="1"/>
  <c r="B459" i="4" a="1"/>
  <c r="B459" i="4" s="1"/>
  <c r="H459" i="4" s="1" a="1"/>
  <c r="H459" i="4" s="1"/>
  <c r="B460" i="4" a="1"/>
  <c r="B460" i="4" s="1"/>
  <c r="H460" i="4" s="1" a="1"/>
  <c r="H460" i="4" s="1"/>
  <c r="B461" i="4" a="1"/>
  <c r="B461" i="4" s="1"/>
  <c r="H461" i="4" s="1" a="1"/>
  <c r="H461" i="4" s="1"/>
  <c r="B462" i="4" a="1"/>
  <c r="B462" i="4" s="1"/>
  <c r="H462" i="4" s="1" a="1"/>
  <c r="H462" i="4" s="1"/>
  <c r="B463" i="4" a="1"/>
  <c r="B463" i="4" s="1"/>
  <c r="H463" i="4" s="1" a="1"/>
  <c r="H463" i="4" s="1"/>
  <c r="B464" i="4" a="1"/>
  <c r="B464" i="4" s="1"/>
  <c r="H464" i="4" s="1" a="1"/>
  <c r="H464" i="4" s="1"/>
  <c r="B465" i="4" a="1"/>
  <c r="B465" i="4" s="1"/>
  <c r="H465" i="4" s="1" a="1"/>
  <c r="H465" i="4" s="1"/>
  <c r="B466" i="4" a="1"/>
  <c r="B466" i="4" s="1"/>
  <c r="H466" i="4" s="1" a="1"/>
  <c r="H466" i="4" s="1"/>
  <c r="B467" i="4" a="1"/>
  <c r="B467" i="4" s="1"/>
  <c r="H467" i="4" s="1" a="1"/>
  <c r="H467" i="4" s="1"/>
  <c r="B468" i="4" a="1"/>
  <c r="B468" i="4" s="1"/>
  <c r="H468" i="4" s="1" a="1"/>
  <c r="H468" i="4" s="1"/>
  <c r="B469" i="4" a="1"/>
  <c r="B469" i="4" s="1"/>
  <c r="H469" i="4" s="1" a="1"/>
  <c r="H469" i="4" s="1"/>
  <c r="B470" i="4" a="1"/>
  <c r="B470" i="4" s="1"/>
  <c r="H470" i="4" s="1" a="1"/>
  <c r="H470" i="4" s="1"/>
  <c r="B471" i="4" a="1"/>
  <c r="B471" i="4" s="1"/>
  <c r="H471" i="4" s="1" a="1"/>
  <c r="H471" i="4" s="1"/>
  <c r="B472" i="4" a="1"/>
  <c r="B472" i="4" s="1"/>
  <c r="H472" i="4" s="1" a="1"/>
  <c r="H472" i="4" s="1"/>
  <c r="B473" i="4" a="1"/>
  <c r="B473" i="4" s="1"/>
  <c r="H473" i="4" s="1" a="1"/>
  <c r="H473" i="4" s="1"/>
  <c r="B474" i="4" a="1"/>
  <c r="B474" i="4" s="1"/>
  <c r="H474" i="4" s="1" a="1"/>
  <c r="H474" i="4" s="1"/>
  <c r="B475" i="4" a="1"/>
  <c r="B475" i="4" s="1"/>
  <c r="H475" i="4" s="1" a="1"/>
  <c r="H475" i="4" s="1"/>
  <c r="B476" i="4" a="1"/>
  <c r="B476" i="4" s="1"/>
  <c r="H476" i="4" s="1" a="1"/>
  <c r="H476" i="4" s="1"/>
  <c r="B477" i="4" a="1"/>
  <c r="B477" i="4" s="1"/>
  <c r="H477" i="4" s="1" a="1"/>
  <c r="H477" i="4" s="1"/>
  <c r="B478" i="4" a="1"/>
  <c r="B478" i="4" s="1"/>
  <c r="H478" i="4" s="1" a="1"/>
  <c r="H478" i="4" s="1"/>
  <c r="B479" i="4" a="1"/>
  <c r="B479" i="4" s="1"/>
  <c r="H479" i="4" s="1" a="1"/>
  <c r="H479" i="4" s="1"/>
  <c r="B480" i="4" a="1"/>
  <c r="B480" i="4" s="1"/>
  <c r="H480" i="4" s="1" a="1"/>
  <c r="H480" i="4" s="1"/>
  <c r="B481" i="4" a="1"/>
  <c r="B481" i="4" s="1"/>
  <c r="H481" i="4" s="1" a="1"/>
  <c r="H481" i="4" s="1"/>
  <c r="B482" i="4" a="1"/>
  <c r="B482" i="4" s="1"/>
  <c r="H482" i="4" s="1" a="1"/>
  <c r="H482" i="4" s="1"/>
  <c r="B483" i="4" a="1"/>
  <c r="B483" i="4" s="1"/>
  <c r="H483" i="4" s="1" a="1"/>
  <c r="H483" i="4" s="1"/>
  <c r="B484" i="4" a="1"/>
  <c r="B484" i="4" s="1"/>
  <c r="H484" i="4" s="1" a="1"/>
  <c r="H484" i="4" s="1"/>
  <c r="B485" i="4" a="1"/>
  <c r="B485" i="4" s="1"/>
  <c r="H485" i="4" s="1" a="1"/>
  <c r="H485" i="4" s="1"/>
  <c r="B486" i="4" a="1"/>
  <c r="B486" i="4" s="1"/>
  <c r="H486" i="4" s="1" a="1"/>
  <c r="H486" i="4" s="1"/>
  <c r="B487" i="4" a="1"/>
  <c r="B487" i="4" s="1"/>
  <c r="H487" i="4" s="1" a="1"/>
  <c r="H487" i="4" s="1"/>
  <c r="B488" i="4" a="1"/>
  <c r="B488" i="4" s="1"/>
  <c r="H488" i="4" s="1" a="1"/>
  <c r="H488" i="4" s="1"/>
  <c r="B489" i="4" a="1"/>
  <c r="B489" i="4" s="1"/>
  <c r="H489" i="4" s="1" a="1"/>
  <c r="H489" i="4" s="1"/>
  <c r="B490" i="4" a="1"/>
  <c r="B490" i="4" s="1"/>
  <c r="H490" i="4" s="1" a="1"/>
  <c r="H490" i="4" s="1"/>
  <c r="B491" i="4" a="1"/>
  <c r="B491" i="4" s="1"/>
  <c r="H491" i="4" s="1" a="1"/>
  <c r="H491" i="4" s="1"/>
  <c r="B492" i="4" a="1"/>
  <c r="B492" i="4" s="1"/>
  <c r="H492" i="4" s="1" a="1"/>
  <c r="H492" i="4" s="1"/>
  <c r="B493" i="4" a="1"/>
  <c r="B493" i="4" s="1"/>
  <c r="H493" i="4" s="1" a="1"/>
  <c r="H493" i="4" s="1"/>
  <c r="B494" i="4" a="1"/>
  <c r="B494" i="4" s="1"/>
  <c r="H494" i="4" s="1" a="1"/>
  <c r="H494" i="4" s="1"/>
  <c r="B495" i="4" a="1"/>
  <c r="B495" i="4" s="1"/>
  <c r="H495" i="4" s="1" a="1"/>
  <c r="H495" i="4" s="1"/>
  <c r="B496" i="4" a="1"/>
  <c r="B496" i="4" s="1"/>
  <c r="H496" i="4" s="1" a="1"/>
  <c r="H496" i="4" s="1"/>
  <c r="B497" i="4" a="1"/>
  <c r="B497" i="4" s="1"/>
  <c r="H497" i="4" s="1" a="1"/>
  <c r="H497" i="4" s="1"/>
  <c r="B498" i="4" a="1"/>
  <c r="B498" i="4" s="1"/>
  <c r="H498" i="4" s="1" a="1"/>
  <c r="H498" i="4" s="1"/>
  <c r="B499" i="4" a="1"/>
  <c r="B499" i="4" s="1"/>
  <c r="H499" i="4" s="1" a="1"/>
  <c r="H499" i="4" s="1"/>
  <c r="B500" i="4" a="1"/>
  <c r="B500" i="4" s="1"/>
  <c r="H500" i="4" s="1" a="1"/>
  <c r="H500" i="4" s="1"/>
  <c r="B501" i="4" a="1"/>
  <c r="B501" i="4" s="1"/>
  <c r="H501" i="4" s="1" a="1"/>
  <c r="H501" i="4" s="1"/>
  <c r="B502" i="4" a="1"/>
  <c r="B502" i="4" s="1"/>
  <c r="H502" i="4" s="1" a="1"/>
  <c r="H502" i="4" s="1"/>
  <c r="B503" i="4" a="1"/>
  <c r="B503" i="4" s="1"/>
  <c r="H503" i="4" s="1" a="1"/>
  <c r="H503" i="4" s="1"/>
  <c r="B504" i="4" a="1"/>
  <c r="B504" i="4" s="1"/>
  <c r="H504" i="4" s="1" a="1"/>
  <c r="H504" i="4" s="1"/>
  <c r="B505" i="4" a="1"/>
  <c r="B505" i="4" s="1"/>
  <c r="H505" i="4" s="1" a="1"/>
  <c r="H505" i="4" s="1"/>
  <c r="B506" i="4" a="1"/>
  <c r="B506" i="4" s="1"/>
  <c r="H506" i="4" s="1" a="1"/>
  <c r="H506" i="4" s="1"/>
  <c r="B507" i="4" a="1"/>
  <c r="B507" i="4" s="1"/>
  <c r="H507" i="4" s="1" a="1"/>
  <c r="H507" i="4" s="1"/>
  <c r="B508" i="4" a="1"/>
  <c r="B508" i="4" s="1"/>
  <c r="H508" i="4" s="1" a="1"/>
  <c r="H508" i="4" s="1"/>
  <c r="B509" i="4" a="1"/>
  <c r="B509" i="4" s="1"/>
  <c r="H509" i="4" s="1" a="1"/>
  <c r="H509" i="4" s="1"/>
  <c r="B510" i="4" a="1"/>
  <c r="B510" i="4" s="1"/>
  <c r="H510" i="4" s="1" a="1"/>
  <c r="H510" i="4" s="1"/>
  <c r="B511" i="4" a="1"/>
  <c r="B511" i="4" s="1"/>
  <c r="H511" i="4" s="1" a="1"/>
  <c r="H511" i="4" s="1"/>
  <c r="B512" i="4" a="1"/>
  <c r="B512" i="4" s="1"/>
  <c r="H512" i="4" s="1" a="1"/>
  <c r="H512" i="4" s="1"/>
  <c r="B513" i="4" a="1"/>
  <c r="B513" i="4" s="1"/>
  <c r="H513" i="4" s="1" a="1"/>
  <c r="H513" i="4" s="1"/>
  <c r="B514" i="4" a="1"/>
  <c r="B514" i="4" s="1"/>
  <c r="H514" i="4" s="1" a="1"/>
  <c r="H514" i="4" s="1"/>
  <c r="B515" i="4" a="1"/>
  <c r="B515" i="4" s="1"/>
  <c r="H515" i="4" s="1" a="1"/>
  <c r="H515" i="4" s="1"/>
  <c r="B516" i="4" a="1"/>
  <c r="B516" i="4" s="1"/>
  <c r="H516" i="4" s="1" a="1"/>
  <c r="H516" i="4" s="1"/>
  <c r="B517" i="4" a="1"/>
  <c r="B517" i="4" s="1"/>
  <c r="H517" i="4" s="1" a="1"/>
  <c r="H517" i="4" s="1"/>
  <c r="B518" i="4" a="1"/>
  <c r="B518" i="4" s="1"/>
  <c r="H518" i="4" s="1" a="1"/>
  <c r="H518" i="4" s="1"/>
  <c r="B519" i="4" a="1"/>
  <c r="B519" i="4" s="1"/>
  <c r="H519" i="4" s="1" a="1"/>
  <c r="H519" i="4" s="1"/>
  <c r="B520" i="4" a="1"/>
  <c r="B520" i="4" s="1"/>
  <c r="H520" i="4" s="1" a="1"/>
  <c r="H520" i="4" s="1"/>
  <c r="B521" i="4" a="1"/>
  <c r="B521" i="4" s="1"/>
  <c r="H521" i="4" s="1" a="1"/>
  <c r="H521" i="4" s="1"/>
  <c r="B522" i="4" a="1"/>
  <c r="B522" i="4" s="1"/>
  <c r="H522" i="4" s="1" a="1"/>
  <c r="H522" i="4" s="1"/>
  <c r="B523" i="4" a="1"/>
  <c r="B523" i="4" s="1"/>
  <c r="H523" i="4" s="1" a="1"/>
  <c r="H523" i="4" s="1"/>
  <c r="B524" i="4" a="1"/>
  <c r="B524" i="4" s="1"/>
  <c r="H524" i="4" s="1" a="1"/>
  <c r="H524" i="4" s="1"/>
  <c r="B525" i="4" a="1"/>
  <c r="B525" i="4" s="1"/>
  <c r="H525" i="4" s="1" a="1"/>
  <c r="H525" i="4" s="1"/>
  <c r="B526" i="4" a="1"/>
  <c r="B526" i="4" s="1"/>
  <c r="H526" i="4" s="1" a="1"/>
  <c r="H526" i="4" s="1"/>
  <c r="B527" i="4" a="1"/>
  <c r="B527" i="4" s="1"/>
  <c r="H527" i="4" s="1" a="1"/>
  <c r="H527" i="4" s="1"/>
  <c r="B528" i="4" a="1"/>
  <c r="B528" i="4" s="1"/>
  <c r="H528" i="4" s="1" a="1"/>
  <c r="H528" i="4" s="1"/>
  <c r="B529" i="4" a="1"/>
  <c r="B529" i="4" s="1"/>
  <c r="H529" i="4" s="1" a="1"/>
  <c r="H529" i="4" s="1"/>
  <c r="B530" i="4" a="1"/>
  <c r="B530" i="4" s="1"/>
  <c r="H530" i="4" s="1" a="1"/>
  <c r="H530" i="4" s="1"/>
  <c r="B531" i="4" a="1"/>
  <c r="B531" i="4" s="1"/>
  <c r="H531" i="4" s="1" a="1"/>
  <c r="H531" i="4" s="1"/>
  <c r="B532" i="4" a="1"/>
  <c r="B532" i="4" s="1"/>
  <c r="H532" i="4" s="1" a="1"/>
  <c r="H532" i="4" s="1"/>
  <c r="B533" i="4" a="1"/>
  <c r="B533" i="4" s="1"/>
  <c r="H533" i="4" s="1" a="1"/>
  <c r="H533" i="4" s="1"/>
  <c r="B534" i="4" a="1"/>
  <c r="B534" i="4" s="1"/>
  <c r="H534" i="4" s="1" a="1"/>
  <c r="H534" i="4" s="1"/>
  <c r="B535" i="4" a="1"/>
  <c r="B535" i="4" s="1"/>
  <c r="H535" i="4" s="1" a="1"/>
  <c r="H535" i="4" s="1"/>
  <c r="B536" i="4" a="1"/>
  <c r="B536" i="4" s="1"/>
  <c r="H536" i="4" s="1" a="1"/>
  <c r="H536" i="4" s="1"/>
  <c r="B537" i="4" a="1"/>
  <c r="B537" i="4" s="1"/>
  <c r="H537" i="4" s="1" a="1"/>
  <c r="H537" i="4" s="1"/>
  <c r="B538" i="4" a="1"/>
  <c r="B538" i="4" s="1"/>
  <c r="H538" i="4" s="1" a="1"/>
  <c r="H538" i="4" s="1"/>
  <c r="B539" i="4" a="1"/>
  <c r="B539" i="4" s="1"/>
  <c r="H539" i="4" s="1" a="1"/>
  <c r="H539" i="4" s="1"/>
  <c r="B540" i="4" a="1"/>
  <c r="B540" i="4" s="1"/>
  <c r="H540" i="4" s="1" a="1"/>
  <c r="H540" i="4" s="1"/>
  <c r="B541" i="4" a="1"/>
  <c r="B541" i="4" s="1"/>
  <c r="H541" i="4" s="1" a="1"/>
  <c r="H541" i="4" s="1"/>
  <c r="B542" i="4" a="1"/>
  <c r="B542" i="4" s="1"/>
  <c r="H542" i="4" s="1" a="1"/>
  <c r="H542" i="4" s="1"/>
  <c r="B543" i="4" a="1"/>
  <c r="B543" i="4" s="1"/>
  <c r="H543" i="4" s="1" a="1"/>
  <c r="H543" i="4" s="1"/>
  <c r="B544" i="4" a="1"/>
  <c r="B544" i="4" s="1"/>
  <c r="H544" i="4" s="1" a="1"/>
  <c r="H544" i="4" s="1"/>
  <c r="B545" i="4" a="1"/>
  <c r="B545" i="4" s="1"/>
  <c r="H545" i="4" s="1" a="1"/>
  <c r="H545" i="4" s="1"/>
  <c r="B546" i="4" a="1"/>
  <c r="B546" i="4" s="1"/>
  <c r="H546" i="4" s="1" a="1"/>
  <c r="H546" i="4" s="1"/>
  <c r="B547" i="4" a="1"/>
  <c r="B547" i="4" s="1"/>
  <c r="H547" i="4" s="1" a="1"/>
  <c r="H547" i="4" s="1"/>
  <c r="B548" i="4" a="1"/>
  <c r="B548" i="4" s="1"/>
  <c r="H548" i="4" s="1" a="1"/>
  <c r="H548" i="4" s="1"/>
  <c r="B549" i="4" a="1"/>
  <c r="B549" i="4" s="1"/>
  <c r="H549" i="4" s="1" a="1"/>
  <c r="H549" i="4" s="1"/>
  <c r="B550" i="4" a="1"/>
  <c r="B550" i="4" s="1"/>
  <c r="H550" i="4" s="1" a="1"/>
  <c r="H550" i="4" s="1"/>
  <c r="B551" i="4" a="1"/>
  <c r="B551" i="4" s="1"/>
  <c r="H551" i="4" s="1" a="1"/>
  <c r="H551" i="4" s="1"/>
  <c r="B552" i="4" a="1"/>
  <c r="B552" i="4" s="1"/>
  <c r="H552" i="4" s="1" a="1"/>
  <c r="H552" i="4" s="1"/>
  <c r="B553" i="4" a="1"/>
  <c r="B553" i="4" s="1"/>
  <c r="H553" i="4" s="1" a="1"/>
  <c r="H553" i="4" s="1"/>
  <c r="B554" i="4" a="1"/>
  <c r="B554" i="4" s="1"/>
  <c r="H554" i="4" s="1" a="1"/>
  <c r="H554" i="4" s="1"/>
  <c r="B555" i="4" a="1"/>
  <c r="B555" i="4" s="1"/>
  <c r="H555" i="4" s="1" a="1"/>
  <c r="H555" i="4" s="1"/>
  <c r="B556" i="4" a="1"/>
  <c r="B556" i="4" s="1"/>
  <c r="H556" i="4" s="1" a="1"/>
  <c r="H556" i="4" s="1"/>
  <c r="B557" i="4" a="1"/>
  <c r="B557" i="4" s="1"/>
  <c r="H557" i="4" s="1" a="1"/>
  <c r="H557" i="4" s="1"/>
  <c r="B558" i="4" a="1"/>
  <c r="B558" i="4" s="1"/>
  <c r="H558" i="4" s="1" a="1"/>
  <c r="H558" i="4" s="1"/>
  <c r="B559" i="4" a="1"/>
  <c r="B559" i="4" s="1"/>
  <c r="H559" i="4" s="1" a="1"/>
  <c r="H559" i="4" s="1"/>
  <c r="B560" i="4" a="1"/>
  <c r="B560" i="4" s="1"/>
  <c r="H560" i="4" s="1" a="1"/>
  <c r="H560" i="4" s="1"/>
  <c r="B561" i="4" a="1"/>
  <c r="B561" i="4" s="1"/>
  <c r="H561" i="4" s="1" a="1"/>
  <c r="H561" i="4" s="1"/>
  <c r="B562" i="4" a="1"/>
  <c r="B562" i="4" s="1"/>
  <c r="H562" i="4" s="1" a="1"/>
  <c r="H562" i="4" s="1"/>
  <c r="B563" i="4" a="1"/>
  <c r="B563" i="4" s="1"/>
  <c r="H563" i="4" s="1" a="1"/>
  <c r="H563" i="4" s="1"/>
  <c r="B564" i="4" a="1"/>
  <c r="B564" i="4" s="1"/>
  <c r="H564" i="4" s="1" a="1"/>
  <c r="H564" i="4" s="1"/>
  <c r="B565" i="4" a="1"/>
  <c r="B565" i="4" s="1"/>
  <c r="H565" i="4" s="1" a="1"/>
  <c r="H565" i="4" s="1"/>
  <c r="B566" i="4" a="1"/>
  <c r="B566" i="4" s="1"/>
  <c r="H566" i="4" s="1" a="1"/>
  <c r="H566" i="4" s="1"/>
  <c r="B567" i="4" a="1"/>
  <c r="B567" i="4" s="1"/>
  <c r="H567" i="4" s="1" a="1"/>
  <c r="H567" i="4" s="1"/>
  <c r="B568" i="4" a="1"/>
  <c r="B568" i="4" s="1"/>
  <c r="H568" i="4" s="1" a="1"/>
  <c r="H568" i="4" s="1"/>
  <c r="B569" i="4" a="1"/>
  <c r="B569" i="4" s="1"/>
  <c r="H569" i="4" s="1" a="1"/>
  <c r="H569" i="4" s="1"/>
  <c r="B570" i="4" a="1"/>
  <c r="B570" i="4" s="1"/>
  <c r="H570" i="4" s="1" a="1"/>
  <c r="H570" i="4" s="1"/>
  <c r="B571" i="4" a="1"/>
  <c r="B571" i="4" s="1"/>
  <c r="H571" i="4" s="1" a="1"/>
  <c r="H571" i="4" s="1"/>
  <c r="B572" i="4" a="1"/>
  <c r="B572" i="4" s="1"/>
  <c r="H572" i="4" s="1" a="1"/>
  <c r="H572" i="4" s="1"/>
  <c r="B573" i="4" a="1"/>
  <c r="B573" i="4" s="1"/>
  <c r="H573" i="4" s="1" a="1"/>
  <c r="H573" i="4" s="1"/>
  <c r="B574" i="4" a="1"/>
  <c r="B574" i="4" s="1"/>
  <c r="H574" i="4" s="1" a="1"/>
  <c r="H574" i="4" s="1"/>
  <c r="B575" i="4" a="1"/>
  <c r="B575" i="4" s="1"/>
  <c r="H575" i="4" s="1" a="1"/>
  <c r="H575" i="4" s="1"/>
  <c r="B576" i="4" a="1"/>
  <c r="B576" i="4" s="1"/>
  <c r="H576" i="4" s="1" a="1"/>
  <c r="H576" i="4" s="1"/>
  <c r="B577" i="4" a="1"/>
  <c r="B577" i="4" s="1"/>
  <c r="H577" i="4" s="1" a="1"/>
  <c r="H577" i="4" s="1"/>
  <c r="B578" i="4" a="1"/>
  <c r="B578" i="4" s="1"/>
  <c r="H578" i="4" s="1" a="1"/>
  <c r="H578" i="4" s="1"/>
  <c r="B579" i="4" a="1"/>
  <c r="B579" i="4" s="1"/>
  <c r="H579" i="4" s="1" a="1"/>
  <c r="H579" i="4" s="1"/>
  <c r="B580" i="4" a="1"/>
  <c r="B580" i="4" s="1"/>
  <c r="H580" i="4" s="1" a="1"/>
  <c r="H580" i="4" s="1"/>
  <c r="B581" i="4" a="1"/>
  <c r="B581" i="4" s="1"/>
  <c r="H581" i="4" s="1" a="1"/>
  <c r="H581" i="4" s="1"/>
  <c r="B582" i="4" a="1"/>
  <c r="B582" i="4" s="1"/>
  <c r="H582" i="4" s="1" a="1"/>
  <c r="H582" i="4" s="1"/>
  <c r="B583" i="4" a="1"/>
  <c r="B583" i="4" s="1"/>
  <c r="H583" i="4" s="1" a="1"/>
  <c r="H583" i="4" s="1"/>
  <c r="B584" i="4" a="1"/>
  <c r="B584" i="4" s="1"/>
  <c r="H584" i="4" s="1" a="1"/>
  <c r="H584" i="4" s="1"/>
  <c r="B585" i="4" a="1"/>
  <c r="B585" i="4" s="1"/>
  <c r="H585" i="4" s="1" a="1"/>
  <c r="H585" i="4" s="1"/>
  <c r="B586" i="4" a="1"/>
  <c r="B586" i="4" s="1"/>
  <c r="H586" i="4" s="1" a="1"/>
  <c r="H586" i="4" s="1"/>
  <c r="B587" i="4" a="1"/>
  <c r="B587" i="4" s="1"/>
  <c r="H587" i="4" s="1" a="1"/>
  <c r="H587" i="4" s="1"/>
  <c r="B588" i="4" a="1"/>
  <c r="B588" i="4" s="1"/>
  <c r="H588" i="4" s="1" a="1"/>
  <c r="H588" i="4" s="1"/>
  <c r="B589" i="4" a="1"/>
  <c r="B589" i="4" s="1"/>
  <c r="H589" i="4" s="1" a="1"/>
  <c r="H589" i="4" s="1"/>
  <c r="B590" i="4" a="1"/>
  <c r="B590" i="4" s="1"/>
  <c r="H590" i="4" s="1" a="1"/>
  <c r="H590" i="4" s="1"/>
  <c r="B591" i="4" a="1"/>
  <c r="B591" i="4" s="1"/>
  <c r="H591" i="4" s="1" a="1"/>
  <c r="H591" i="4" s="1"/>
  <c r="B592" i="4" a="1"/>
  <c r="B592" i="4" s="1"/>
  <c r="H592" i="4" s="1" a="1"/>
  <c r="H592" i="4" s="1"/>
  <c r="B593" i="4" a="1"/>
  <c r="B593" i="4" s="1"/>
  <c r="H593" i="4" s="1" a="1"/>
  <c r="H593" i="4" s="1"/>
  <c r="B594" i="4" a="1"/>
  <c r="B594" i="4" s="1"/>
  <c r="H594" i="4" s="1" a="1"/>
  <c r="H594" i="4" s="1"/>
  <c r="B595" i="4" a="1"/>
  <c r="B595" i="4" s="1"/>
  <c r="H595" i="4" s="1" a="1"/>
  <c r="H595" i="4" s="1"/>
  <c r="B596" i="4" a="1"/>
  <c r="B596" i="4" s="1"/>
  <c r="H596" i="4" s="1" a="1"/>
  <c r="H596" i="4" s="1"/>
  <c r="B597" i="4" a="1"/>
  <c r="B597" i="4" s="1"/>
  <c r="H597" i="4" s="1" a="1"/>
  <c r="H597" i="4" s="1"/>
  <c r="B598" i="4" a="1"/>
  <c r="B598" i="4" s="1"/>
  <c r="H598" i="4" s="1" a="1"/>
  <c r="H598" i="4" s="1"/>
  <c r="B599" i="4" a="1"/>
  <c r="B599" i="4" s="1"/>
  <c r="H599" i="4" s="1" a="1"/>
  <c r="H599" i="4" s="1"/>
  <c r="B600" i="4" a="1"/>
  <c r="B600" i="4" s="1"/>
  <c r="H600" i="4" s="1" a="1"/>
  <c r="H600" i="4" s="1"/>
  <c r="B601" i="4" a="1"/>
  <c r="B601" i="4" s="1"/>
  <c r="H601" i="4" s="1" a="1"/>
  <c r="H601" i="4" s="1"/>
  <c r="B602" i="4" a="1"/>
  <c r="B602" i="4" s="1"/>
  <c r="H602" i="4" s="1" a="1"/>
  <c r="H602" i="4" s="1"/>
  <c r="B603" i="4" a="1"/>
  <c r="B603" i="4" s="1"/>
  <c r="H603" i="4" s="1" a="1"/>
  <c r="H603" i="4" s="1"/>
  <c r="B604" i="4" a="1"/>
  <c r="B604" i="4" s="1"/>
  <c r="H604" i="4" s="1" a="1"/>
  <c r="H604" i="4" s="1"/>
  <c r="B605" i="4" a="1"/>
  <c r="B605" i="4" s="1"/>
  <c r="H605" i="4" s="1" a="1"/>
  <c r="H605" i="4" s="1"/>
  <c r="B606" i="4" a="1"/>
  <c r="B606" i="4" s="1"/>
  <c r="H606" i="4" s="1" a="1"/>
  <c r="H606" i="4" s="1"/>
  <c r="B607" i="4" a="1"/>
  <c r="B607" i="4" s="1"/>
  <c r="H607" i="4" s="1" a="1"/>
  <c r="H607" i="4" s="1"/>
  <c r="B608" i="4" a="1"/>
  <c r="B608" i="4" s="1"/>
  <c r="H608" i="4" s="1" a="1"/>
  <c r="H608" i="4" s="1"/>
  <c r="B609" i="4" a="1"/>
  <c r="B609" i="4" s="1"/>
  <c r="H609" i="4" s="1" a="1"/>
  <c r="H609" i="4" s="1"/>
  <c r="B610" i="4" a="1"/>
  <c r="B610" i="4" s="1"/>
  <c r="H610" i="4" s="1" a="1"/>
  <c r="H610" i="4" s="1"/>
  <c r="B611" i="4" a="1"/>
  <c r="B611" i="4" s="1"/>
  <c r="H611" i="4" s="1" a="1"/>
  <c r="H611" i="4" s="1"/>
  <c r="B612" i="4" a="1"/>
  <c r="B612" i="4" s="1"/>
  <c r="H612" i="4" s="1" a="1"/>
  <c r="H612" i="4" s="1"/>
  <c r="B613" i="4" a="1"/>
  <c r="B613" i="4" s="1"/>
  <c r="H613" i="4" s="1" a="1"/>
  <c r="H613" i="4" s="1"/>
  <c r="B614" i="4" a="1"/>
  <c r="B614" i="4" s="1"/>
  <c r="H614" i="4" s="1" a="1"/>
  <c r="H614" i="4" s="1"/>
  <c r="B615" i="4" a="1"/>
  <c r="B615" i="4" s="1"/>
  <c r="H615" i="4" s="1" a="1"/>
  <c r="H615" i="4" s="1"/>
  <c r="B616" i="4" a="1"/>
  <c r="B616" i="4" s="1"/>
  <c r="H616" i="4" s="1" a="1"/>
  <c r="H616" i="4" s="1"/>
  <c r="B617" i="4" a="1"/>
  <c r="B617" i="4" s="1"/>
  <c r="H617" i="4" s="1" a="1"/>
  <c r="H617" i="4" s="1"/>
  <c r="B618" i="4" a="1"/>
  <c r="B618" i="4" s="1"/>
  <c r="H618" i="4" s="1" a="1"/>
  <c r="H618" i="4" s="1"/>
  <c r="B619" i="4" a="1"/>
  <c r="B619" i="4" s="1"/>
  <c r="H619" i="4" s="1" a="1"/>
  <c r="H619" i="4" s="1"/>
  <c r="B620" i="4" a="1"/>
  <c r="B620" i="4" s="1"/>
  <c r="H620" i="4" s="1" a="1"/>
  <c r="H620" i="4" s="1"/>
  <c r="B621" i="4" a="1"/>
  <c r="B621" i="4" s="1"/>
  <c r="H621" i="4" s="1" a="1"/>
  <c r="H621" i="4" s="1"/>
  <c r="B622" i="4" a="1"/>
  <c r="B622" i="4" s="1"/>
  <c r="H622" i="4" s="1" a="1"/>
  <c r="H622" i="4" s="1"/>
  <c r="B623" i="4" a="1"/>
  <c r="B623" i="4" s="1"/>
  <c r="H623" i="4" s="1" a="1"/>
  <c r="H623" i="4" s="1"/>
  <c r="B624" i="4" a="1"/>
  <c r="B624" i="4" s="1"/>
  <c r="H624" i="4" s="1" a="1"/>
  <c r="H624" i="4" s="1"/>
  <c r="B625" i="4" a="1"/>
  <c r="B625" i="4" s="1"/>
  <c r="H625" i="4" s="1" a="1"/>
  <c r="H625" i="4" s="1"/>
  <c r="B626" i="4" a="1"/>
  <c r="B626" i="4" s="1"/>
  <c r="H626" i="4" s="1" a="1"/>
  <c r="H626" i="4" s="1"/>
  <c r="B627" i="4" a="1"/>
  <c r="B627" i="4" s="1"/>
  <c r="H627" i="4" s="1" a="1"/>
  <c r="H627" i="4" s="1"/>
  <c r="B628" i="4" a="1"/>
  <c r="B628" i="4" s="1"/>
  <c r="H628" i="4" s="1" a="1"/>
  <c r="H628" i="4" s="1"/>
  <c r="B629" i="4" a="1"/>
  <c r="B629" i="4" s="1"/>
  <c r="H629" i="4" s="1" a="1"/>
  <c r="H629" i="4" s="1"/>
  <c r="B630" i="4" a="1"/>
  <c r="B630" i="4" s="1"/>
  <c r="H630" i="4" s="1" a="1"/>
  <c r="H630" i="4" s="1"/>
  <c r="B631" i="4" a="1"/>
  <c r="B631" i="4" s="1"/>
  <c r="H631" i="4" s="1" a="1"/>
  <c r="H631" i="4" s="1"/>
  <c r="B632" i="4" a="1"/>
  <c r="B632" i="4" s="1"/>
  <c r="H632" i="4" s="1" a="1"/>
  <c r="H632" i="4" s="1"/>
  <c r="B633" i="4" a="1"/>
  <c r="B633" i="4" s="1"/>
  <c r="H633" i="4" s="1" a="1"/>
  <c r="H633" i="4" s="1"/>
  <c r="B634" i="4" a="1"/>
  <c r="B634" i="4" s="1"/>
  <c r="H634" i="4" s="1" a="1"/>
  <c r="H634" i="4" s="1"/>
  <c r="B635" i="4" a="1"/>
  <c r="B635" i="4" s="1"/>
  <c r="H635" i="4" s="1" a="1"/>
  <c r="H635" i="4" s="1"/>
  <c r="B636" i="4" a="1"/>
  <c r="B636" i="4" s="1"/>
  <c r="H636" i="4" s="1" a="1"/>
  <c r="H636" i="4" s="1"/>
  <c r="B637" i="4" a="1"/>
  <c r="B637" i="4" s="1"/>
  <c r="H637" i="4" s="1" a="1"/>
  <c r="H637" i="4" s="1"/>
  <c r="B638" i="4" a="1"/>
  <c r="B638" i="4" s="1"/>
  <c r="H638" i="4" s="1" a="1"/>
  <c r="H638" i="4" s="1"/>
  <c r="B639" i="4" a="1"/>
  <c r="B639" i="4" s="1"/>
  <c r="H639" i="4" s="1" a="1"/>
  <c r="H639" i="4" s="1"/>
  <c r="B640" i="4" a="1"/>
  <c r="B640" i="4" s="1"/>
  <c r="H640" i="4" s="1" a="1"/>
  <c r="H640" i="4" s="1"/>
  <c r="B641" i="4" a="1"/>
  <c r="B641" i="4" s="1"/>
  <c r="H641" i="4" s="1" a="1"/>
  <c r="H641" i="4" s="1"/>
  <c r="B642" i="4" a="1"/>
  <c r="B642" i="4" s="1"/>
  <c r="H642" i="4" s="1" a="1"/>
  <c r="H642" i="4" s="1"/>
  <c r="B643" i="4" a="1"/>
  <c r="B643" i="4" s="1"/>
  <c r="H643" i="4" s="1" a="1"/>
  <c r="H643" i="4" s="1"/>
  <c r="B644" i="4" a="1"/>
  <c r="B644" i="4" s="1"/>
  <c r="H644" i="4" s="1" a="1"/>
  <c r="H644" i="4" s="1"/>
  <c r="B645" i="4" a="1"/>
  <c r="B645" i="4" s="1"/>
  <c r="H645" i="4" s="1" a="1"/>
  <c r="H645" i="4" s="1"/>
  <c r="B646" i="4" a="1"/>
  <c r="B646" i="4" s="1"/>
  <c r="H646" i="4" s="1" a="1"/>
  <c r="H646" i="4" s="1"/>
  <c r="B647" i="4" a="1"/>
  <c r="B647" i="4" s="1"/>
  <c r="H647" i="4" s="1" a="1"/>
  <c r="H647" i="4" s="1"/>
  <c r="B648" i="4" a="1"/>
  <c r="B648" i="4" s="1"/>
  <c r="H648" i="4" s="1" a="1"/>
  <c r="H648" i="4" s="1"/>
  <c r="B649" i="4" a="1"/>
  <c r="B649" i="4" s="1"/>
  <c r="H649" i="4" s="1" a="1"/>
  <c r="H649" i="4" s="1"/>
  <c r="B650" i="4" a="1"/>
  <c r="B650" i="4" s="1"/>
  <c r="H650" i="4" s="1" a="1"/>
  <c r="H650" i="4" s="1"/>
  <c r="B651" i="4" a="1"/>
  <c r="B651" i="4" s="1"/>
  <c r="H651" i="4" s="1" a="1"/>
  <c r="H651" i="4" s="1"/>
  <c r="B652" i="4" a="1"/>
  <c r="B652" i="4" s="1"/>
  <c r="H652" i="4" s="1" a="1"/>
  <c r="H652" i="4" s="1"/>
  <c r="B653" i="4" a="1"/>
  <c r="B653" i="4" s="1"/>
  <c r="H653" i="4" s="1" a="1"/>
  <c r="H653" i="4" s="1"/>
  <c r="B654" i="4" a="1"/>
  <c r="B654" i="4" s="1"/>
  <c r="H654" i="4" s="1" a="1"/>
  <c r="H654" i="4" s="1"/>
  <c r="B655" i="4" a="1"/>
  <c r="B655" i="4" s="1"/>
  <c r="H655" i="4" s="1" a="1"/>
  <c r="H655" i="4" s="1"/>
  <c r="B656" i="4" a="1"/>
  <c r="B656" i="4" s="1"/>
  <c r="H656" i="4" s="1" a="1"/>
  <c r="H656" i="4" s="1"/>
  <c r="B657" i="4" a="1"/>
  <c r="B657" i="4" s="1"/>
  <c r="H657" i="4" s="1" a="1"/>
  <c r="H657" i="4" s="1"/>
  <c r="B658" i="4" a="1"/>
  <c r="B658" i="4" s="1"/>
  <c r="H658" i="4" s="1" a="1"/>
  <c r="H658" i="4" s="1"/>
  <c r="B659" i="4" a="1"/>
  <c r="B659" i="4" s="1"/>
  <c r="H659" i="4" s="1" a="1"/>
  <c r="H659" i="4" s="1"/>
  <c r="B660" i="4" a="1"/>
  <c r="B660" i="4" s="1"/>
  <c r="H660" i="4" s="1" a="1"/>
  <c r="H660" i="4" s="1"/>
  <c r="B661" i="4" a="1"/>
  <c r="B661" i="4" s="1"/>
  <c r="H661" i="4" s="1" a="1"/>
  <c r="H661" i="4" s="1"/>
  <c r="B662" i="4" a="1"/>
  <c r="B662" i="4" s="1"/>
  <c r="H662" i="4" s="1" a="1"/>
  <c r="H662" i="4" s="1"/>
  <c r="B663" i="4" a="1"/>
  <c r="B663" i="4" s="1"/>
  <c r="H663" i="4" s="1" a="1"/>
  <c r="H663" i="4" s="1"/>
  <c r="B664" i="4" a="1"/>
  <c r="B664" i="4" s="1"/>
  <c r="H664" i="4" s="1" a="1"/>
  <c r="H664" i="4" s="1"/>
  <c r="B665" i="4" a="1"/>
  <c r="B665" i="4" s="1"/>
  <c r="H665" i="4" s="1" a="1"/>
  <c r="H665" i="4" s="1"/>
  <c r="B666" i="4" a="1"/>
  <c r="B666" i="4" s="1"/>
  <c r="H666" i="4" s="1" a="1"/>
  <c r="H666" i="4" s="1"/>
  <c r="B667" i="4" a="1"/>
  <c r="B667" i="4" s="1"/>
  <c r="H667" i="4" s="1" a="1"/>
  <c r="H667" i="4" s="1"/>
  <c r="B668" i="4" a="1"/>
  <c r="B668" i="4" s="1"/>
  <c r="H668" i="4" s="1" a="1"/>
  <c r="H668" i="4" s="1"/>
  <c r="B669" i="4" a="1"/>
  <c r="B669" i="4" s="1"/>
  <c r="H669" i="4" s="1" a="1"/>
  <c r="H669" i="4" s="1"/>
  <c r="B670" i="4" a="1"/>
  <c r="B670" i="4" s="1"/>
  <c r="H670" i="4" s="1" a="1"/>
  <c r="H670" i="4" s="1"/>
  <c r="B671" i="4" a="1"/>
  <c r="B671" i="4" s="1"/>
  <c r="H671" i="4" s="1" a="1"/>
  <c r="H671" i="4" s="1"/>
  <c r="B672" i="4" a="1"/>
  <c r="B672" i="4" s="1"/>
  <c r="H672" i="4" s="1" a="1"/>
  <c r="H672" i="4" s="1"/>
  <c r="B673" i="4" a="1"/>
  <c r="B673" i="4" s="1"/>
  <c r="H673" i="4" s="1" a="1"/>
  <c r="H673" i="4" s="1"/>
  <c r="B674" i="4" a="1"/>
  <c r="B674" i="4" s="1"/>
  <c r="H674" i="4" s="1" a="1"/>
  <c r="H674" i="4" s="1"/>
  <c r="B675" i="4" a="1"/>
  <c r="B675" i="4" s="1"/>
  <c r="H675" i="4" s="1" a="1"/>
  <c r="H675" i="4" s="1"/>
  <c r="B676" i="4" a="1"/>
  <c r="B676" i="4" s="1"/>
  <c r="H676" i="4" s="1" a="1"/>
  <c r="H676" i="4" s="1"/>
  <c r="B677" i="4" a="1"/>
  <c r="B677" i="4" s="1"/>
  <c r="H677" i="4" s="1" a="1"/>
  <c r="H677" i="4" s="1"/>
  <c r="B678" i="4" a="1"/>
  <c r="B678" i="4" s="1"/>
  <c r="H678" i="4" s="1" a="1"/>
  <c r="H678" i="4" s="1"/>
  <c r="B679" i="4" a="1"/>
  <c r="B679" i="4" s="1"/>
  <c r="H679" i="4" s="1" a="1"/>
  <c r="H679" i="4" s="1"/>
  <c r="B680" i="4" a="1"/>
  <c r="B680" i="4" s="1"/>
  <c r="H680" i="4" s="1" a="1"/>
  <c r="H680" i="4" s="1"/>
  <c r="B681" i="4" a="1"/>
  <c r="B681" i="4" s="1"/>
  <c r="H681" i="4" s="1" a="1"/>
  <c r="H681" i="4" s="1"/>
  <c r="B682" i="4" a="1"/>
  <c r="B682" i="4" s="1"/>
  <c r="H682" i="4" s="1" a="1"/>
  <c r="H682" i="4" s="1"/>
  <c r="B683" i="4" a="1"/>
  <c r="B683" i="4" s="1"/>
  <c r="H683" i="4" s="1" a="1"/>
  <c r="H683" i="4" s="1"/>
  <c r="B684" i="4" a="1"/>
  <c r="B684" i="4" s="1"/>
  <c r="H684" i="4" s="1" a="1"/>
  <c r="H684" i="4" s="1"/>
  <c r="B685" i="4" a="1"/>
  <c r="B685" i="4" s="1"/>
  <c r="H685" i="4" s="1" a="1"/>
  <c r="H685" i="4" s="1"/>
  <c r="B686" i="4" a="1"/>
  <c r="B686" i="4" s="1"/>
  <c r="H686" i="4" s="1" a="1"/>
  <c r="H686" i="4" s="1"/>
  <c r="B687" i="4" a="1"/>
  <c r="B687" i="4" s="1"/>
  <c r="H687" i="4" s="1" a="1"/>
  <c r="H687" i="4" s="1"/>
  <c r="B688" i="4" a="1"/>
  <c r="B688" i="4" s="1"/>
  <c r="H688" i="4" s="1" a="1"/>
  <c r="H688" i="4" s="1"/>
  <c r="B689" i="4" a="1"/>
  <c r="B689" i="4" s="1"/>
  <c r="H689" i="4" s="1" a="1"/>
  <c r="H689" i="4" s="1"/>
  <c r="B690" i="4" a="1"/>
  <c r="B690" i="4" s="1"/>
  <c r="H690" i="4" s="1" a="1"/>
  <c r="H690" i="4" s="1"/>
  <c r="B691" i="4" a="1"/>
  <c r="B691" i="4" s="1"/>
  <c r="H691" i="4" s="1" a="1"/>
  <c r="H691" i="4" s="1"/>
  <c r="B692" i="4" a="1"/>
  <c r="B692" i="4" s="1"/>
  <c r="H692" i="4" s="1" a="1"/>
  <c r="H692" i="4" s="1"/>
  <c r="B693" i="4" a="1"/>
  <c r="B693" i="4" s="1"/>
  <c r="H693" i="4" s="1" a="1"/>
  <c r="H693" i="4" s="1"/>
  <c r="B694" i="4" a="1"/>
  <c r="B694" i="4" s="1"/>
  <c r="H694" i="4" s="1" a="1"/>
  <c r="H694" i="4" s="1"/>
  <c r="B695" i="4" a="1"/>
  <c r="B695" i="4" s="1"/>
  <c r="H695" i="4" s="1" a="1"/>
  <c r="H695" i="4" s="1"/>
  <c r="B696" i="4" a="1"/>
  <c r="B696" i="4" s="1"/>
  <c r="H696" i="4" s="1" a="1"/>
  <c r="H696" i="4" s="1"/>
  <c r="B697" i="4" a="1"/>
  <c r="B697" i="4" s="1"/>
  <c r="H697" i="4" s="1" a="1"/>
  <c r="H697" i="4" s="1"/>
  <c r="B698" i="4" a="1"/>
  <c r="B698" i="4" s="1"/>
  <c r="H698" i="4" s="1" a="1"/>
  <c r="H698" i="4" s="1"/>
  <c r="B699" i="4" a="1"/>
  <c r="B699" i="4" s="1"/>
  <c r="H699" i="4" s="1" a="1"/>
  <c r="H699" i="4" s="1"/>
  <c r="B700" i="4" a="1"/>
  <c r="B700" i="4" s="1"/>
  <c r="H700" i="4" s="1" a="1"/>
  <c r="H700" i="4" s="1"/>
  <c r="B701" i="4" a="1"/>
  <c r="B701" i="4" s="1"/>
  <c r="H701" i="4" s="1" a="1"/>
  <c r="H701" i="4" s="1"/>
  <c r="B702" i="4" a="1"/>
  <c r="B702" i="4" s="1"/>
  <c r="H702" i="4" s="1" a="1"/>
  <c r="H702" i="4" s="1"/>
  <c r="B703" i="4" a="1"/>
  <c r="B703" i="4" s="1"/>
  <c r="H703" i="4" s="1" a="1"/>
  <c r="H703" i="4" s="1"/>
  <c r="B704" i="4" a="1"/>
  <c r="B704" i="4" s="1"/>
  <c r="H704" i="4" s="1" a="1"/>
  <c r="H704" i="4" s="1"/>
  <c r="B705" i="4" a="1"/>
  <c r="B705" i="4" s="1"/>
  <c r="H705" i="4" s="1" a="1"/>
  <c r="H705" i="4" s="1"/>
  <c r="B706" i="4" a="1"/>
  <c r="B706" i="4" s="1"/>
  <c r="H706" i="4" s="1" a="1"/>
  <c r="H706" i="4" s="1"/>
  <c r="B707" i="4" a="1"/>
  <c r="B707" i="4" s="1"/>
  <c r="H707" i="4" s="1" a="1"/>
  <c r="H707" i="4" s="1"/>
  <c r="B708" i="4" a="1"/>
  <c r="B708" i="4" s="1"/>
  <c r="H708" i="4" s="1" a="1"/>
  <c r="H708" i="4" s="1"/>
  <c r="B709" i="4" a="1"/>
  <c r="B709" i="4" s="1"/>
  <c r="H709" i="4" s="1" a="1"/>
  <c r="H709" i="4" s="1"/>
  <c r="B710" i="4" a="1"/>
  <c r="B710" i="4" s="1"/>
  <c r="H710" i="4" s="1" a="1"/>
  <c r="H710" i="4" s="1"/>
  <c r="B711" i="4" a="1"/>
  <c r="B711" i="4" s="1"/>
  <c r="H711" i="4" s="1" a="1"/>
  <c r="H711" i="4" s="1"/>
  <c r="B712" i="4" a="1"/>
  <c r="B712" i="4" s="1"/>
  <c r="H712" i="4" s="1" a="1"/>
  <c r="H712" i="4" s="1"/>
  <c r="B713" i="4" a="1"/>
  <c r="B713" i="4" s="1"/>
  <c r="H713" i="4" s="1" a="1"/>
  <c r="H713" i="4" s="1"/>
  <c r="B714" i="4" a="1"/>
  <c r="B714" i="4" s="1"/>
  <c r="H714" i="4" s="1" a="1"/>
  <c r="H714" i="4" s="1"/>
  <c r="B715" i="4" a="1"/>
  <c r="B715" i="4" s="1"/>
  <c r="H715" i="4" s="1" a="1"/>
  <c r="H715" i="4" s="1"/>
  <c r="B716" i="4" a="1"/>
  <c r="B716" i="4" s="1"/>
  <c r="H716" i="4" s="1" a="1"/>
  <c r="H716" i="4" s="1"/>
  <c r="B717" i="4" a="1"/>
  <c r="B717" i="4" s="1"/>
  <c r="H717" i="4" s="1" a="1"/>
  <c r="H717" i="4" s="1"/>
  <c r="B718" i="4" a="1"/>
  <c r="B718" i="4" s="1"/>
  <c r="H718" i="4" s="1" a="1"/>
  <c r="H718" i="4" s="1"/>
  <c r="B719" i="4" a="1"/>
  <c r="B719" i="4" s="1"/>
  <c r="H719" i="4" s="1" a="1"/>
  <c r="H719" i="4" s="1"/>
  <c r="B720" i="4" a="1"/>
  <c r="B720" i="4" s="1"/>
  <c r="H720" i="4" s="1" a="1"/>
  <c r="H720" i="4" s="1"/>
  <c r="B721" i="4" a="1"/>
  <c r="B721" i="4" s="1"/>
  <c r="H721" i="4" s="1" a="1"/>
  <c r="H721" i="4" s="1"/>
  <c r="B722" i="4" a="1"/>
  <c r="B722" i="4" s="1"/>
  <c r="H722" i="4" s="1" a="1"/>
  <c r="H722" i="4" s="1"/>
  <c r="B723" i="4" a="1"/>
  <c r="B723" i="4" s="1"/>
  <c r="H723" i="4" s="1" a="1"/>
  <c r="H723" i="4" s="1"/>
  <c r="B724" i="4" a="1"/>
  <c r="B724" i="4" s="1"/>
  <c r="H724" i="4" s="1" a="1"/>
  <c r="H724" i="4" s="1"/>
  <c r="B725" i="4" a="1"/>
  <c r="B725" i="4" s="1"/>
  <c r="H725" i="4" s="1" a="1"/>
  <c r="H725" i="4" s="1"/>
  <c r="B726" i="4" a="1"/>
  <c r="B726" i="4" s="1"/>
  <c r="H726" i="4" s="1" a="1"/>
  <c r="H726" i="4" s="1"/>
  <c r="B727" i="4" a="1"/>
  <c r="B727" i="4" s="1"/>
  <c r="H727" i="4" s="1" a="1"/>
  <c r="H727" i="4" s="1"/>
  <c r="B728" i="4" a="1"/>
  <c r="B728" i="4" s="1"/>
  <c r="H728" i="4" s="1" a="1"/>
  <c r="H728" i="4" s="1"/>
  <c r="B729" i="4" a="1"/>
  <c r="B729" i="4" s="1"/>
  <c r="H729" i="4" s="1" a="1"/>
  <c r="H729" i="4" s="1"/>
  <c r="B730" i="4" a="1"/>
  <c r="B730" i="4" s="1"/>
  <c r="H730" i="4" s="1" a="1"/>
  <c r="H730" i="4" s="1"/>
  <c r="B731" i="4" a="1"/>
  <c r="B731" i="4" s="1"/>
  <c r="H731" i="4" s="1" a="1"/>
  <c r="H731" i="4" s="1"/>
  <c r="B732" i="4" a="1"/>
  <c r="B732" i="4" s="1"/>
  <c r="H732" i="4" s="1" a="1"/>
  <c r="H732" i="4" s="1"/>
  <c r="B733" i="4" a="1"/>
  <c r="B733" i="4" s="1"/>
  <c r="H733" i="4" s="1" a="1"/>
  <c r="H733" i="4" s="1"/>
  <c r="B734" i="4" a="1"/>
  <c r="B734" i="4" s="1"/>
  <c r="H734" i="4" s="1" a="1"/>
  <c r="H734" i="4" s="1"/>
  <c r="B735" i="4" a="1"/>
  <c r="B735" i="4" s="1"/>
  <c r="H735" i="4" s="1" a="1"/>
  <c r="H735" i="4" s="1"/>
  <c r="B736" i="4" a="1"/>
  <c r="B736" i="4" s="1"/>
  <c r="H736" i="4" s="1" a="1"/>
  <c r="H736" i="4" s="1"/>
  <c r="B737" i="4" a="1"/>
  <c r="B737" i="4" s="1"/>
  <c r="H737" i="4" s="1" a="1"/>
  <c r="H737" i="4" s="1"/>
  <c r="B738" i="4" a="1"/>
  <c r="B738" i="4" s="1"/>
  <c r="H738" i="4" s="1" a="1"/>
  <c r="H738" i="4" s="1"/>
  <c r="B739" i="4" a="1"/>
  <c r="B739" i="4" s="1"/>
  <c r="H739" i="4" s="1" a="1"/>
  <c r="H739" i="4" s="1"/>
  <c r="B740" i="4" a="1"/>
  <c r="B740" i="4" s="1"/>
  <c r="H740" i="4" s="1" a="1"/>
  <c r="H740" i="4" s="1"/>
  <c r="B741" i="4" a="1"/>
  <c r="B741" i="4" s="1"/>
  <c r="H741" i="4" s="1" a="1"/>
  <c r="H741" i="4" s="1"/>
  <c r="B742" i="4" a="1"/>
  <c r="B742" i="4" s="1"/>
  <c r="H742" i="4" s="1" a="1"/>
  <c r="H742" i="4" s="1"/>
  <c r="B743" i="4" a="1"/>
  <c r="B743" i="4" s="1"/>
  <c r="H743" i="4" s="1" a="1"/>
  <c r="H743" i="4" s="1"/>
  <c r="B744" i="4" a="1"/>
  <c r="B744" i="4" s="1"/>
  <c r="H744" i="4" s="1" a="1"/>
  <c r="H744" i="4" s="1"/>
  <c r="B745" i="4" a="1"/>
  <c r="B745" i="4" s="1"/>
  <c r="H745" i="4" s="1" a="1"/>
  <c r="H745" i="4" s="1"/>
  <c r="B746" i="4" a="1"/>
  <c r="B746" i="4" s="1"/>
  <c r="H746" i="4" s="1" a="1"/>
  <c r="H746" i="4" s="1"/>
  <c r="B747" i="4" a="1"/>
  <c r="B747" i="4" s="1"/>
  <c r="H747" i="4" s="1" a="1"/>
  <c r="H747" i="4" s="1"/>
  <c r="B748" i="4" a="1"/>
  <c r="B748" i="4" s="1"/>
  <c r="H748" i="4" s="1" a="1"/>
  <c r="H748" i="4" s="1"/>
  <c r="B749" i="4" a="1"/>
  <c r="B749" i="4" s="1"/>
  <c r="H749" i="4" s="1" a="1"/>
  <c r="H749" i="4" s="1"/>
  <c r="B750" i="4" a="1"/>
  <c r="B750" i="4" s="1"/>
  <c r="H750" i="4" s="1" a="1"/>
  <c r="H750" i="4" s="1"/>
  <c r="B751" i="4" a="1"/>
  <c r="B751" i="4" s="1"/>
  <c r="H751" i="4" s="1" a="1"/>
  <c r="H751" i="4" s="1"/>
  <c r="B752" i="4" a="1"/>
  <c r="B752" i="4" s="1"/>
  <c r="H752" i="4" s="1" a="1"/>
  <c r="H752" i="4" s="1"/>
  <c r="B753" i="4" a="1"/>
  <c r="B753" i="4" s="1"/>
  <c r="H753" i="4" s="1" a="1"/>
  <c r="H753" i="4" s="1"/>
  <c r="B754" i="4" a="1"/>
  <c r="B754" i="4" s="1"/>
  <c r="H754" i="4" s="1" a="1"/>
  <c r="H754" i="4" s="1"/>
  <c r="B755" i="4" a="1"/>
  <c r="B755" i="4" s="1"/>
  <c r="H755" i="4" s="1" a="1"/>
  <c r="H755" i="4" s="1"/>
  <c r="B756" i="4" a="1"/>
  <c r="B756" i="4" s="1"/>
  <c r="H756" i="4" s="1" a="1"/>
  <c r="H756" i="4" s="1"/>
  <c r="B757" i="4" a="1"/>
  <c r="B757" i="4" s="1"/>
  <c r="H757" i="4" s="1" a="1"/>
  <c r="H757" i="4" s="1"/>
  <c r="B758" i="4" a="1"/>
  <c r="B758" i="4" s="1"/>
  <c r="H758" i="4" s="1" a="1"/>
  <c r="H758" i="4" s="1"/>
  <c r="B759" i="4" a="1"/>
  <c r="B759" i="4" s="1"/>
  <c r="H759" i="4" s="1" a="1"/>
  <c r="H759" i="4" s="1"/>
  <c r="B760" i="4" a="1"/>
  <c r="B760" i="4" s="1"/>
  <c r="H760" i="4" s="1" a="1"/>
  <c r="H760" i="4" s="1"/>
  <c r="B761" i="4" a="1"/>
  <c r="B761" i="4" s="1"/>
  <c r="H761" i="4" s="1" a="1"/>
  <c r="H761" i="4" s="1"/>
  <c r="B762" i="4" a="1"/>
  <c r="B762" i="4" s="1"/>
  <c r="H762" i="4" s="1" a="1"/>
  <c r="H762" i="4" s="1"/>
  <c r="B763" i="4" a="1"/>
  <c r="B763" i="4" s="1"/>
  <c r="H763" i="4" s="1" a="1"/>
  <c r="H763" i="4" s="1"/>
  <c r="B764" i="4" a="1"/>
  <c r="B764" i="4" s="1"/>
  <c r="H764" i="4" s="1" a="1"/>
  <c r="H764" i="4" s="1"/>
  <c r="B765" i="4" a="1"/>
  <c r="B765" i="4" s="1"/>
  <c r="H765" i="4" s="1" a="1"/>
  <c r="H765" i="4" s="1"/>
  <c r="B766" i="4" a="1"/>
  <c r="B766" i="4" s="1"/>
  <c r="H766" i="4" s="1" a="1"/>
  <c r="H766" i="4" s="1"/>
  <c r="B767" i="4" a="1"/>
  <c r="B767" i="4" s="1"/>
  <c r="H767" i="4" s="1" a="1"/>
  <c r="H767" i="4" s="1"/>
  <c r="B768" i="4" a="1"/>
  <c r="B768" i="4" s="1"/>
  <c r="H768" i="4" s="1" a="1"/>
  <c r="H768" i="4" s="1"/>
  <c r="B769" i="4" a="1"/>
  <c r="B769" i="4" s="1"/>
  <c r="H769" i="4" s="1" a="1"/>
  <c r="H769" i="4" s="1"/>
  <c r="B770" i="4" a="1"/>
  <c r="B770" i="4" s="1"/>
  <c r="H770" i="4" s="1" a="1"/>
  <c r="H770" i="4" s="1"/>
  <c r="B771" i="4" a="1"/>
  <c r="B771" i="4" s="1"/>
  <c r="H771" i="4" s="1" a="1"/>
  <c r="H771" i="4" s="1"/>
  <c r="B772" i="4" a="1"/>
  <c r="B772" i="4" s="1"/>
  <c r="H772" i="4" s="1" a="1"/>
  <c r="H772" i="4" s="1"/>
  <c r="B773" i="4" a="1"/>
  <c r="B773" i="4" s="1"/>
  <c r="H773" i="4" s="1" a="1"/>
  <c r="H773" i="4" s="1"/>
  <c r="B774" i="4" a="1"/>
  <c r="B774" i="4" s="1"/>
  <c r="H774" i="4" s="1" a="1"/>
  <c r="H774" i="4" s="1"/>
  <c r="B775" i="4" a="1"/>
  <c r="B775" i="4" s="1"/>
  <c r="H775" i="4" s="1" a="1"/>
  <c r="H775" i="4" s="1"/>
  <c r="B776" i="4" a="1"/>
  <c r="B776" i="4" s="1"/>
  <c r="H776" i="4" s="1" a="1"/>
  <c r="H776" i="4" s="1"/>
  <c r="B777" i="4" a="1"/>
  <c r="B777" i="4" s="1"/>
  <c r="H777" i="4" s="1" a="1"/>
  <c r="H777" i="4" s="1"/>
  <c r="B778" i="4" a="1"/>
  <c r="B778" i="4" s="1"/>
  <c r="H778" i="4" s="1" a="1"/>
  <c r="H778" i="4" s="1"/>
  <c r="B779" i="4" a="1"/>
  <c r="B779" i="4" s="1"/>
  <c r="H779" i="4" s="1" a="1"/>
  <c r="H779" i="4" s="1"/>
  <c r="B780" i="4" a="1"/>
  <c r="B780" i="4" s="1"/>
  <c r="H780" i="4" s="1" a="1"/>
  <c r="H780" i="4" s="1"/>
  <c r="B781" i="4" a="1"/>
  <c r="B781" i="4" s="1"/>
  <c r="H781" i="4" s="1" a="1"/>
  <c r="H781" i="4" s="1"/>
  <c r="B782" i="4" a="1"/>
  <c r="B782" i="4" s="1"/>
  <c r="H782" i="4" s="1" a="1"/>
  <c r="H782" i="4" s="1"/>
  <c r="B783" i="4" a="1"/>
  <c r="B783" i="4" s="1"/>
  <c r="H783" i="4" s="1" a="1"/>
  <c r="H783" i="4" s="1"/>
  <c r="B784" i="4" a="1"/>
  <c r="B784" i="4" s="1"/>
  <c r="H784" i="4" s="1" a="1"/>
  <c r="H784" i="4" s="1"/>
  <c r="B785" i="4" a="1"/>
  <c r="B785" i="4" s="1"/>
  <c r="H785" i="4" s="1" a="1"/>
  <c r="H785" i="4" s="1"/>
  <c r="B786" i="4" a="1"/>
  <c r="B786" i="4" s="1"/>
  <c r="H786" i="4" s="1" a="1"/>
  <c r="H786" i="4" s="1"/>
  <c r="B787" i="4" a="1"/>
  <c r="B787" i="4" s="1"/>
  <c r="H787" i="4" s="1" a="1"/>
  <c r="H787" i="4" s="1"/>
  <c r="B788" i="4" a="1"/>
  <c r="B788" i="4" s="1"/>
  <c r="H788" i="4" s="1" a="1"/>
  <c r="H788" i="4" s="1"/>
  <c r="B789" i="4" a="1"/>
  <c r="B789" i="4" s="1"/>
  <c r="H789" i="4" s="1" a="1"/>
  <c r="H789" i="4" s="1"/>
  <c r="B790" i="4" a="1"/>
  <c r="B790" i="4" s="1"/>
  <c r="H790" i="4" s="1" a="1"/>
  <c r="H790" i="4" s="1"/>
  <c r="B791" i="4" a="1"/>
  <c r="B791" i="4" s="1"/>
  <c r="H791" i="4" s="1" a="1"/>
  <c r="H791" i="4" s="1"/>
  <c r="B792" i="4" a="1"/>
  <c r="B792" i="4" s="1"/>
  <c r="H792" i="4" s="1" a="1"/>
  <c r="H792" i="4" s="1"/>
  <c r="B793" i="4" a="1"/>
  <c r="B793" i="4" s="1"/>
  <c r="H793" i="4" s="1" a="1"/>
  <c r="H793" i="4" s="1"/>
  <c r="B794" i="4" a="1"/>
  <c r="B794" i="4" s="1"/>
  <c r="H794" i="4" s="1" a="1"/>
  <c r="H794" i="4" s="1"/>
  <c r="B795" i="4" a="1"/>
  <c r="B795" i="4" s="1"/>
  <c r="H795" i="4" s="1" a="1"/>
  <c r="H795" i="4" s="1"/>
  <c r="B796" i="4" a="1"/>
  <c r="B796" i="4" s="1"/>
  <c r="H796" i="4" s="1" a="1"/>
  <c r="H796" i="4" s="1"/>
  <c r="B797" i="4" a="1"/>
  <c r="B797" i="4" s="1"/>
  <c r="H797" i="4" s="1" a="1"/>
  <c r="H797" i="4" s="1"/>
  <c r="B798" i="4" a="1"/>
  <c r="B798" i="4" s="1"/>
  <c r="H798" i="4" s="1" a="1"/>
  <c r="H798" i="4" s="1"/>
  <c r="B799" i="4" a="1"/>
  <c r="B799" i="4" s="1"/>
  <c r="H799" i="4" s="1" a="1"/>
  <c r="H799" i="4" s="1"/>
  <c r="B800" i="4" a="1"/>
  <c r="B800" i="4" s="1"/>
  <c r="H800" i="4" s="1" a="1"/>
  <c r="H800" i="4" s="1"/>
  <c r="B801" i="4" a="1"/>
  <c r="B801" i="4" s="1"/>
  <c r="H801" i="4" s="1" a="1"/>
  <c r="H801" i="4" s="1"/>
  <c r="B802" i="4" a="1"/>
  <c r="B802" i="4" s="1"/>
  <c r="H802" i="4" s="1" a="1"/>
  <c r="H802" i="4" s="1"/>
  <c r="B803" i="4" a="1"/>
  <c r="B803" i="4" s="1"/>
  <c r="H803" i="4" s="1" a="1"/>
  <c r="H803" i="4" s="1"/>
  <c r="B804" i="4" a="1"/>
  <c r="B804" i="4" s="1"/>
  <c r="H804" i="4" s="1" a="1"/>
  <c r="H804" i="4" s="1"/>
  <c r="B805" i="4" a="1"/>
  <c r="B805" i="4" s="1"/>
  <c r="H805" i="4" s="1" a="1"/>
  <c r="H805" i="4" s="1"/>
  <c r="B806" i="4" a="1"/>
  <c r="B806" i="4" s="1"/>
  <c r="H806" i="4" s="1" a="1"/>
  <c r="H806" i="4" s="1"/>
  <c r="B807" i="4" a="1"/>
  <c r="B807" i="4" s="1"/>
  <c r="H807" i="4" s="1" a="1"/>
  <c r="H807" i="4" s="1"/>
  <c r="B808" i="4" a="1"/>
  <c r="B808" i="4" s="1"/>
  <c r="H808" i="4" s="1" a="1"/>
  <c r="H808" i="4" s="1"/>
  <c r="B809" i="4" a="1"/>
  <c r="B809" i="4" s="1"/>
  <c r="H809" i="4" s="1" a="1"/>
  <c r="H809" i="4" s="1"/>
  <c r="B810" i="4" a="1"/>
  <c r="B810" i="4" s="1"/>
  <c r="H810" i="4" s="1" a="1"/>
  <c r="H810" i="4" s="1"/>
  <c r="B811" i="4" a="1"/>
  <c r="B811" i="4" s="1"/>
  <c r="H811" i="4" s="1" a="1"/>
  <c r="H811" i="4" s="1"/>
  <c r="B812" i="4" a="1"/>
  <c r="B812" i="4" s="1"/>
  <c r="H812" i="4" s="1" a="1"/>
  <c r="H812" i="4" s="1"/>
  <c r="B813" i="4" a="1"/>
  <c r="B813" i="4" s="1"/>
  <c r="H813" i="4" s="1" a="1"/>
  <c r="H813" i="4" s="1"/>
  <c r="B814" i="4" a="1"/>
  <c r="B814" i="4" s="1"/>
  <c r="H814" i="4" s="1" a="1"/>
  <c r="H814" i="4" s="1"/>
  <c r="B815" i="4" a="1"/>
  <c r="B815" i="4" s="1"/>
  <c r="H815" i="4" s="1" a="1"/>
  <c r="H815" i="4" s="1"/>
  <c r="B816" i="4" a="1"/>
  <c r="B816" i="4" s="1"/>
  <c r="H816" i="4" s="1" a="1"/>
  <c r="H816" i="4" s="1"/>
  <c r="B817" i="4" a="1"/>
  <c r="B817" i="4" s="1"/>
  <c r="H817" i="4" s="1" a="1"/>
  <c r="H817" i="4" s="1"/>
  <c r="B818" i="4" a="1"/>
  <c r="B818" i="4" s="1"/>
  <c r="H818" i="4" s="1" a="1"/>
  <c r="H818" i="4" s="1"/>
  <c r="B819" i="4" a="1"/>
  <c r="B819" i="4" s="1"/>
  <c r="H819" i="4" s="1" a="1"/>
  <c r="H819" i="4" s="1"/>
  <c r="B820" i="4" a="1"/>
  <c r="B820" i="4" s="1"/>
  <c r="H820" i="4" s="1" a="1"/>
  <c r="H820" i="4" s="1"/>
  <c r="B821" i="4" a="1"/>
  <c r="B821" i="4" s="1"/>
  <c r="H821" i="4" s="1" a="1"/>
  <c r="H821" i="4" s="1"/>
  <c r="B822" i="4" a="1"/>
  <c r="B822" i="4" s="1"/>
  <c r="H822" i="4" s="1" a="1"/>
  <c r="H822" i="4" s="1"/>
  <c r="B823" i="4" a="1"/>
  <c r="B823" i="4" s="1"/>
  <c r="H823" i="4" s="1" a="1"/>
  <c r="H823" i="4" s="1"/>
  <c r="B824" i="4" a="1"/>
  <c r="B824" i="4" s="1"/>
  <c r="H824" i="4" s="1" a="1"/>
  <c r="H824" i="4" s="1"/>
  <c r="B825" i="4" a="1"/>
  <c r="B825" i="4" s="1"/>
  <c r="H825" i="4" s="1" a="1"/>
  <c r="H825" i="4" s="1"/>
  <c r="B826" i="4" a="1"/>
  <c r="B826" i="4" s="1"/>
  <c r="H826" i="4" s="1" a="1"/>
  <c r="H826" i="4" s="1"/>
  <c r="B827" i="4" a="1"/>
  <c r="B827" i="4" s="1"/>
  <c r="H827" i="4" s="1" a="1"/>
  <c r="H827" i="4" s="1"/>
  <c r="B828" i="4" a="1"/>
  <c r="B828" i="4" s="1"/>
  <c r="H828" i="4" s="1" a="1"/>
  <c r="H828" i="4" s="1"/>
  <c r="B829" i="4" a="1"/>
  <c r="B829" i="4" s="1"/>
  <c r="H829" i="4" s="1" a="1"/>
  <c r="H829" i="4" s="1"/>
  <c r="B830" i="4" a="1"/>
  <c r="B830" i="4" s="1"/>
  <c r="H830" i="4" s="1" a="1"/>
  <c r="H830" i="4" s="1"/>
  <c r="B831" i="4" a="1"/>
  <c r="B831" i="4" s="1"/>
  <c r="H831" i="4" s="1" a="1"/>
  <c r="H831" i="4" s="1"/>
  <c r="B832" i="4" a="1"/>
  <c r="B832" i="4" s="1"/>
  <c r="H832" i="4" s="1" a="1"/>
  <c r="H832" i="4" s="1"/>
  <c r="B833" i="4" a="1"/>
  <c r="B833" i="4" s="1"/>
  <c r="H833" i="4" s="1" a="1"/>
  <c r="H833" i="4" s="1"/>
  <c r="B834" i="4" a="1"/>
  <c r="B834" i="4" s="1"/>
  <c r="H834" i="4" s="1" a="1"/>
  <c r="H834" i="4" s="1"/>
  <c r="B835" i="4" a="1"/>
  <c r="B835" i="4" s="1"/>
  <c r="H835" i="4" s="1" a="1"/>
  <c r="H835" i="4" s="1"/>
  <c r="B836" i="4" a="1"/>
  <c r="B836" i="4" s="1"/>
  <c r="H836" i="4" s="1" a="1"/>
  <c r="H836" i="4" s="1"/>
  <c r="B837" i="4" a="1"/>
  <c r="B837" i="4" s="1"/>
  <c r="H837" i="4" s="1" a="1"/>
  <c r="H837" i="4" s="1"/>
  <c r="B838" i="4" a="1"/>
  <c r="B838" i="4" s="1"/>
  <c r="H838" i="4" s="1" a="1"/>
  <c r="H838" i="4" s="1"/>
  <c r="B839" i="4" a="1"/>
  <c r="B839" i="4" s="1"/>
  <c r="H839" i="4" s="1" a="1"/>
  <c r="H839" i="4" s="1"/>
  <c r="B840" i="4" a="1"/>
  <c r="B840" i="4" s="1"/>
  <c r="H840" i="4" s="1" a="1"/>
  <c r="H840" i="4" s="1"/>
  <c r="B841" i="4" a="1"/>
  <c r="B841" i="4" s="1"/>
  <c r="H841" i="4" s="1" a="1"/>
  <c r="H841" i="4" s="1"/>
  <c r="B842" i="4" a="1"/>
  <c r="B842" i="4" s="1"/>
  <c r="H842" i="4" s="1" a="1"/>
  <c r="H842" i="4" s="1"/>
  <c r="B843" i="4" a="1"/>
  <c r="B843" i="4" s="1"/>
  <c r="H843" i="4" s="1" a="1"/>
  <c r="H843" i="4" s="1"/>
  <c r="B844" i="4" a="1"/>
  <c r="B844" i="4" s="1"/>
  <c r="H844" i="4" s="1" a="1"/>
  <c r="H844" i="4" s="1"/>
  <c r="B845" i="4" a="1"/>
  <c r="B845" i="4" s="1"/>
  <c r="H845" i="4" s="1" a="1"/>
  <c r="H845" i="4" s="1"/>
  <c r="B846" i="4" a="1"/>
  <c r="B846" i="4" s="1"/>
  <c r="H846" i="4" s="1" a="1"/>
  <c r="H846" i="4" s="1"/>
  <c r="B847" i="4" a="1"/>
  <c r="B847" i="4" s="1"/>
  <c r="H847" i="4" s="1" a="1"/>
  <c r="H847" i="4" s="1"/>
  <c r="B848" i="4" a="1"/>
  <c r="B848" i="4" s="1"/>
  <c r="H848" i="4" s="1" a="1"/>
  <c r="H848" i="4" s="1"/>
  <c r="B849" i="4" a="1"/>
  <c r="B849" i="4" s="1"/>
  <c r="H849" i="4" s="1" a="1"/>
  <c r="H849" i="4" s="1"/>
  <c r="B850" i="4" a="1"/>
  <c r="B850" i="4" s="1"/>
  <c r="H850" i="4" s="1" a="1"/>
  <c r="H850" i="4" s="1"/>
  <c r="B851" i="4" a="1"/>
  <c r="B851" i="4" s="1"/>
  <c r="H851" i="4" s="1" a="1"/>
  <c r="H851" i="4" s="1"/>
  <c r="B852" i="4" a="1"/>
  <c r="B852" i="4" s="1"/>
  <c r="H852" i="4" s="1" a="1"/>
  <c r="H852" i="4" s="1"/>
  <c r="B853" i="4" a="1"/>
  <c r="B853" i="4" s="1"/>
  <c r="H853" i="4" s="1" a="1"/>
  <c r="H853" i="4" s="1"/>
  <c r="B854" i="4" a="1"/>
  <c r="B854" i="4" s="1"/>
  <c r="H854" i="4" s="1" a="1"/>
  <c r="H854" i="4" s="1"/>
  <c r="B855" i="4" a="1"/>
  <c r="B855" i="4" s="1"/>
  <c r="H855" i="4" s="1" a="1"/>
  <c r="H855" i="4" s="1"/>
  <c r="B856" i="4" a="1"/>
  <c r="B856" i="4" s="1"/>
  <c r="H856" i="4" s="1" a="1"/>
  <c r="H856" i="4" s="1"/>
  <c r="B857" i="4" a="1"/>
  <c r="B857" i="4" s="1"/>
  <c r="H857" i="4" s="1" a="1"/>
  <c r="H857" i="4" s="1"/>
  <c r="B858" i="4" a="1"/>
  <c r="B858" i="4" s="1"/>
  <c r="H858" i="4" s="1" a="1"/>
  <c r="H858" i="4" s="1"/>
  <c r="B859" i="4" a="1"/>
  <c r="B859" i="4" s="1"/>
  <c r="H859" i="4" s="1" a="1"/>
  <c r="H859" i="4" s="1"/>
  <c r="B860" i="4" a="1"/>
  <c r="B860" i="4" s="1"/>
  <c r="H860" i="4" s="1" a="1"/>
  <c r="H860" i="4" s="1"/>
  <c r="B861" i="4" a="1"/>
  <c r="B861" i="4" s="1"/>
  <c r="H861" i="4" s="1" a="1"/>
  <c r="H861" i="4" s="1"/>
  <c r="B862" i="4" a="1"/>
  <c r="B862" i="4" s="1"/>
  <c r="H862" i="4" s="1" a="1"/>
  <c r="H862" i="4" s="1"/>
  <c r="B863" i="4" a="1"/>
  <c r="B863" i="4" s="1"/>
  <c r="H863" i="4" s="1" a="1"/>
  <c r="H863" i="4" s="1"/>
  <c r="B864" i="4" a="1"/>
  <c r="B864" i="4" s="1"/>
  <c r="H864" i="4" s="1" a="1"/>
  <c r="H864" i="4" s="1"/>
  <c r="B865" i="4" a="1"/>
  <c r="B865" i="4" s="1"/>
  <c r="H865" i="4" s="1" a="1"/>
  <c r="H865" i="4" s="1"/>
  <c r="B866" i="4" a="1"/>
  <c r="B866" i="4" s="1"/>
  <c r="H866" i="4" s="1" a="1"/>
  <c r="H866" i="4" s="1"/>
  <c r="B867" i="4" a="1"/>
  <c r="B867" i="4" s="1"/>
  <c r="H867" i="4" s="1" a="1"/>
  <c r="H867" i="4" s="1"/>
  <c r="B868" i="4" a="1"/>
  <c r="B868" i="4" s="1"/>
  <c r="H868" i="4" s="1" a="1"/>
  <c r="H868" i="4" s="1"/>
  <c r="B869" i="4" a="1"/>
  <c r="B869" i="4" s="1"/>
  <c r="H869" i="4" s="1" a="1"/>
  <c r="H869" i="4" s="1"/>
  <c r="B870" i="4" a="1"/>
  <c r="B870" i="4" s="1"/>
  <c r="H870" i="4" s="1" a="1"/>
  <c r="H870" i="4" s="1"/>
  <c r="B871" i="4" a="1"/>
  <c r="B871" i="4" s="1"/>
  <c r="H871" i="4" s="1" a="1"/>
  <c r="H871" i="4" s="1"/>
  <c r="B872" i="4" a="1"/>
  <c r="B872" i="4" s="1"/>
  <c r="H872" i="4" s="1" a="1"/>
  <c r="H872" i="4" s="1"/>
  <c r="B873" i="4" a="1"/>
  <c r="B873" i="4" s="1"/>
  <c r="H873" i="4" s="1" a="1"/>
  <c r="H873" i="4" s="1"/>
  <c r="B874" i="4" a="1"/>
  <c r="B874" i="4" s="1"/>
  <c r="H874" i="4" s="1" a="1"/>
  <c r="H874" i="4" s="1"/>
  <c r="B875" i="4" a="1"/>
  <c r="B875" i="4" s="1"/>
  <c r="H875" i="4" s="1" a="1"/>
  <c r="H875" i="4" s="1"/>
  <c r="B876" i="4" a="1"/>
  <c r="B876" i="4" s="1"/>
  <c r="H876" i="4" s="1" a="1"/>
  <c r="H876" i="4" s="1"/>
  <c r="B877" i="4" a="1"/>
  <c r="B877" i="4" s="1"/>
  <c r="H877" i="4" s="1" a="1"/>
  <c r="H877" i="4" s="1"/>
  <c r="B878" i="4" a="1"/>
  <c r="B878" i="4" s="1"/>
  <c r="H878" i="4" s="1" a="1"/>
  <c r="H878" i="4" s="1"/>
  <c r="B879" i="4" a="1"/>
  <c r="B879" i="4" s="1"/>
  <c r="H879" i="4" s="1" a="1"/>
  <c r="H879" i="4" s="1"/>
  <c r="B880" i="4" a="1"/>
  <c r="B880" i="4" s="1"/>
  <c r="H880" i="4" s="1" a="1"/>
  <c r="H880" i="4" s="1"/>
  <c r="B881" i="4" a="1"/>
  <c r="B881" i="4" s="1"/>
  <c r="H881" i="4" s="1" a="1"/>
  <c r="H881" i="4" s="1"/>
  <c r="B882" i="4" a="1"/>
  <c r="B882" i="4" s="1"/>
  <c r="H882" i="4" s="1" a="1"/>
  <c r="H882" i="4" s="1"/>
  <c r="B883" i="4" a="1"/>
  <c r="B883" i="4" s="1"/>
  <c r="H883" i="4" s="1" a="1"/>
  <c r="H883" i="4" s="1"/>
  <c r="B884" i="4" a="1"/>
  <c r="B884" i="4" s="1"/>
  <c r="H884" i="4" s="1" a="1"/>
  <c r="H884" i="4" s="1"/>
  <c r="B885" i="4" a="1"/>
  <c r="B885" i="4" s="1"/>
  <c r="H885" i="4" s="1" a="1"/>
  <c r="H885" i="4" s="1"/>
  <c r="B886" i="4" a="1"/>
  <c r="B886" i="4" s="1"/>
  <c r="H886" i="4" s="1" a="1"/>
  <c r="H886" i="4" s="1"/>
  <c r="B887" i="4" a="1"/>
  <c r="B887" i="4" s="1"/>
  <c r="H887" i="4" s="1" a="1"/>
  <c r="H887" i="4" s="1"/>
  <c r="B888" i="4" a="1"/>
  <c r="B888" i="4" s="1"/>
  <c r="H888" i="4" s="1" a="1"/>
  <c r="H888" i="4" s="1"/>
  <c r="B889" i="4" a="1"/>
  <c r="B889" i="4" s="1"/>
  <c r="H889" i="4" s="1" a="1"/>
  <c r="H889" i="4" s="1"/>
  <c r="B890" i="4" a="1"/>
  <c r="B890" i="4" s="1"/>
  <c r="H890" i="4" s="1" a="1"/>
  <c r="H890" i="4" s="1"/>
  <c r="B891" i="4" a="1"/>
  <c r="B891" i="4" s="1"/>
  <c r="H891" i="4" s="1" a="1"/>
  <c r="H891" i="4" s="1"/>
  <c r="B892" i="4" a="1"/>
  <c r="B892" i="4" s="1"/>
  <c r="H892" i="4" s="1" a="1"/>
  <c r="H892" i="4" s="1"/>
  <c r="B893" i="4" a="1"/>
  <c r="B893" i="4" s="1"/>
  <c r="H893" i="4" s="1" a="1"/>
  <c r="H893" i="4" s="1"/>
  <c r="B894" i="4" a="1"/>
  <c r="B894" i="4" s="1"/>
  <c r="H894" i="4" s="1" a="1"/>
  <c r="H894" i="4" s="1"/>
  <c r="B895" i="4" a="1"/>
  <c r="B895" i="4" s="1"/>
  <c r="H895" i="4" s="1" a="1"/>
  <c r="H895" i="4" s="1"/>
  <c r="B896" i="4" a="1"/>
  <c r="B896" i="4" s="1"/>
  <c r="H896" i="4" s="1" a="1"/>
  <c r="H896" i="4" s="1"/>
  <c r="B897" i="4" a="1"/>
  <c r="B897" i="4" s="1"/>
  <c r="H897" i="4" s="1" a="1"/>
  <c r="H897" i="4" s="1"/>
  <c r="B898" i="4" a="1"/>
  <c r="B898" i="4" s="1"/>
  <c r="H898" i="4" s="1" a="1"/>
  <c r="H898" i="4" s="1"/>
  <c r="B899" i="4" a="1"/>
  <c r="B899" i="4" s="1"/>
  <c r="H899" i="4" s="1" a="1"/>
  <c r="H899" i="4" s="1"/>
  <c r="B900" i="4" a="1"/>
  <c r="B900" i="4" s="1"/>
  <c r="H900" i="4" s="1" a="1"/>
  <c r="H900" i="4" s="1"/>
  <c r="B901" i="4" a="1"/>
  <c r="B901" i="4" s="1"/>
  <c r="H901" i="4" s="1" a="1"/>
  <c r="H901" i="4" s="1"/>
  <c r="B902" i="4" a="1"/>
  <c r="B902" i="4" s="1"/>
  <c r="H902" i="4" s="1" a="1"/>
  <c r="H902" i="4" s="1"/>
  <c r="B903" i="4" a="1"/>
  <c r="B903" i="4" s="1"/>
  <c r="H903" i="4" s="1" a="1"/>
  <c r="H903" i="4" s="1"/>
  <c r="B904" i="4" a="1"/>
  <c r="B904" i="4" s="1"/>
  <c r="H904" i="4" s="1" a="1"/>
  <c r="H904" i="4" s="1"/>
  <c r="B905" i="4" a="1"/>
  <c r="B905" i="4" s="1"/>
  <c r="H905" i="4" s="1" a="1"/>
  <c r="H905" i="4" s="1"/>
  <c r="B906" i="4" a="1"/>
  <c r="B906" i="4" s="1"/>
  <c r="H906" i="4" s="1" a="1"/>
  <c r="H906" i="4" s="1"/>
  <c r="B907" i="4" a="1"/>
  <c r="B907" i="4" s="1"/>
  <c r="H907" i="4" s="1" a="1"/>
  <c r="H907" i="4" s="1"/>
  <c r="B908" i="4" a="1"/>
  <c r="B908" i="4" s="1"/>
  <c r="H908" i="4" s="1" a="1"/>
  <c r="H908" i="4" s="1"/>
  <c r="B909" i="4" a="1"/>
  <c r="B909" i="4" s="1"/>
  <c r="H909" i="4" s="1" a="1"/>
  <c r="H909" i="4" s="1"/>
  <c r="B910" i="4" a="1"/>
  <c r="B910" i="4" s="1"/>
  <c r="H910" i="4" s="1" a="1"/>
  <c r="H910" i="4" s="1"/>
  <c r="B911" i="4" a="1"/>
  <c r="B911" i="4" s="1"/>
  <c r="H911" i="4" s="1" a="1"/>
  <c r="H911" i="4" s="1"/>
  <c r="B912" i="4" a="1"/>
  <c r="B912" i="4" s="1"/>
  <c r="H912" i="4" s="1" a="1"/>
  <c r="H912" i="4" s="1"/>
  <c r="B913" i="4" a="1"/>
  <c r="B913" i="4" s="1"/>
  <c r="H913" i="4" s="1" a="1"/>
  <c r="H913" i="4" s="1"/>
  <c r="B914" i="4" a="1"/>
  <c r="B914" i="4" s="1"/>
  <c r="H914" i="4" s="1" a="1"/>
  <c r="H914" i="4" s="1"/>
  <c r="B915" i="4" a="1"/>
  <c r="B915" i="4" s="1"/>
  <c r="H915" i="4" s="1" a="1"/>
  <c r="H915" i="4" s="1"/>
  <c r="B916" i="4" a="1"/>
  <c r="B916" i="4" s="1"/>
  <c r="H916" i="4" s="1" a="1"/>
  <c r="H916" i="4" s="1"/>
  <c r="B917" i="4" a="1"/>
  <c r="B917" i="4" s="1"/>
  <c r="H917" i="4" s="1" a="1"/>
  <c r="H917" i="4" s="1"/>
  <c r="B918" i="4" a="1"/>
  <c r="B918" i="4" s="1"/>
  <c r="H918" i="4" s="1" a="1"/>
  <c r="H918" i="4" s="1"/>
  <c r="B919" i="4" a="1"/>
  <c r="B919" i="4" s="1"/>
  <c r="H919" i="4" s="1" a="1"/>
  <c r="H919" i="4" s="1"/>
  <c r="B920" i="4" a="1"/>
  <c r="B920" i="4" s="1"/>
  <c r="H920" i="4" s="1" a="1"/>
  <c r="H920" i="4" s="1"/>
  <c r="B921" i="4" a="1"/>
  <c r="B921" i="4" s="1"/>
  <c r="H921" i="4" s="1" a="1"/>
  <c r="H921" i="4" s="1"/>
  <c r="B922" i="4" a="1"/>
  <c r="B922" i="4" s="1"/>
  <c r="H922" i="4" s="1" a="1"/>
  <c r="H922" i="4" s="1"/>
  <c r="B923" i="4" a="1"/>
  <c r="B923" i="4" s="1"/>
  <c r="H923" i="4" s="1" a="1"/>
  <c r="H923" i="4" s="1"/>
  <c r="B924" i="4" a="1"/>
  <c r="B924" i="4" s="1"/>
  <c r="H924" i="4" s="1" a="1"/>
  <c r="H924" i="4" s="1"/>
  <c r="B925" i="4" a="1"/>
  <c r="B925" i="4" s="1"/>
  <c r="H925" i="4" s="1" a="1"/>
  <c r="H925" i="4" s="1"/>
  <c r="B926" i="4" a="1"/>
  <c r="B926" i="4" s="1"/>
  <c r="H926" i="4" s="1" a="1"/>
  <c r="H926" i="4" s="1"/>
  <c r="B927" i="4" a="1"/>
  <c r="B927" i="4" s="1"/>
  <c r="H927" i="4" s="1" a="1"/>
  <c r="H927" i="4" s="1"/>
  <c r="B928" i="4" a="1"/>
  <c r="B928" i="4" s="1"/>
  <c r="H928" i="4" s="1" a="1"/>
  <c r="H928" i="4" s="1"/>
  <c r="B929" i="4" a="1"/>
  <c r="B929" i="4" s="1"/>
  <c r="H929" i="4" s="1" a="1"/>
  <c r="H929" i="4" s="1"/>
  <c r="B930" i="4" a="1"/>
  <c r="B930" i="4" s="1"/>
  <c r="H930" i="4" s="1" a="1"/>
  <c r="H930" i="4" s="1"/>
  <c r="B931" i="4" a="1"/>
  <c r="B931" i="4" s="1"/>
  <c r="H931" i="4" s="1" a="1"/>
  <c r="H931" i="4" s="1"/>
  <c r="B932" i="4" a="1"/>
  <c r="B932" i="4" s="1"/>
  <c r="H932" i="4" s="1" a="1"/>
  <c r="H932" i="4" s="1"/>
  <c r="B933" i="4" a="1"/>
  <c r="B933" i="4" s="1"/>
  <c r="H933" i="4" s="1" a="1"/>
  <c r="H933" i="4" s="1"/>
  <c r="B934" i="4" a="1"/>
  <c r="B934" i="4" s="1"/>
  <c r="H934" i="4" s="1" a="1"/>
  <c r="H934" i="4" s="1"/>
  <c r="B935" i="4" a="1"/>
  <c r="B935" i="4" s="1"/>
  <c r="H935" i="4" s="1" a="1"/>
  <c r="H935" i="4" s="1"/>
  <c r="B936" i="4" a="1"/>
  <c r="B936" i="4" s="1"/>
  <c r="H936" i="4" s="1" a="1"/>
  <c r="H936" i="4" s="1"/>
  <c r="B937" i="4" a="1"/>
  <c r="B937" i="4" s="1"/>
  <c r="H937" i="4" s="1" a="1"/>
  <c r="H937" i="4" s="1"/>
  <c r="B938" i="4" a="1"/>
  <c r="B938" i="4" s="1"/>
  <c r="H938" i="4" s="1" a="1"/>
  <c r="H938" i="4" s="1"/>
  <c r="B939" i="4" a="1"/>
  <c r="B939" i="4" s="1"/>
  <c r="H939" i="4" s="1" a="1"/>
  <c r="H939" i="4" s="1"/>
  <c r="B940" i="4" a="1"/>
  <c r="B940" i="4" s="1"/>
  <c r="H940" i="4" s="1" a="1"/>
  <c r="H940" i="4" s="1"/>
  <c r="B941" i="4" a="1"/>
  <c r="B941" i="4" s="1"/>
  <c r="H941" i="4" s="1" a="1"/>
  <c r="H941" i="4" s="1"/>
  <c r="B942" i="4" a="1"/>
  <c r="B942" i="4" s="1"/>
  <c r="H942" i="4" s="1" a="1"/>
  <c r="H942" i="4" s="1"/>
  <c r="B943" i="4" a="1"/>
  <c r="B943" i="4" s="1"/>
  <c r="H943" i="4" s="1" a="1"/>
  <c r="H943" i="4" s="1"/>
  <c r="B944" i="4" a="1"/>
  <c r="B944" i="4" s="1"/>
  <c r="H944" i="4" s="1" a="1"/>
  <c r="H944" i="4" s="1"/>
  <c r="B945" i="4" a="1"/>
  <c r="B945" i="4" s="1"/>
  <c r="H945" i="4" s="1" a="1"/>
  <c r="H945" i="4" s="1"/>
  <c r="B946" i="4" a="1"/>
  <c r="B946" i="4" s="1"/>
  <c r="H946" i="4" s="1" a="1"/>
  <c r="H946" i="4" s="1"/>
  <c r="B947" i="4" a="1"/>
  <c r="B947" i="4" s="1"/>
  <c r="H947" i="4" s="1" a="1"/>
  <c r="H947" i="4" s="1"/>
  <c r="B948" i="4" a="1"/>
  <c r="B948" i="4" s="1"/>
  <c r="H948" i="4" s="1" a="1"/>
  <c r="H948" i="4" s="1"/>
  <c r="B949" i="4" a="1"/>
  <c r="B949" i="4" s="1"/>
  <c r="H949" i="4" s="1" a="1"/>
  <c r="H949" i="4" s="1"/>
  <c r="B950" i="4" a="1"/>
  <c r="B950" i="4" s="1"/>
  <c r="H950" i="4" s="1" a="1"/>
  <c r="H950" i="4" s="1"/>
  <c r="B951" i="4" a="1"/>
  <c r="B951" i="4" s="1"/>
  <c r="H951" i="4" s="1" a="1"/>
  <c r="H951" i="4" s="1"/>
  <c r="B952" i="4" a="1"/>
  <c r="B952" i="4" s="1"/>
  <c r="H952" i="4" s="1" a="1"/>
  <c r="H952" i="4" s="1"/>
  <c r="B953" i="4" a="1"/>
  <c r="B953" i="4" s="1"/>
  <c r="H953" i="4" s="1" a="1"/>
  <c r="H953" i="4" s="1"/>
  <c r="B954" i="4" a="1"/>
  <c r="B954" i="4" s="1"/>
  <c r="H954" i="4" s="1" a="1"/>
  <c r="H954" i="4" s="1"/>
  <c r="B955" i="4" a="1"/>
  <c r="B955" i="4" s="1"/>
  <c r="H955" i="4" s="1" a="1"/>
  <c r="H955" i="4" s="1"/>
  <c r="B956" i="4" a="1"/>
  <c r="B956" i="4" s="1"/>
  <c r="H956" i="4" s="1" a="1"/>
  <c r="H956" i="4" s="1"/>
  <c r="B957" i="4" a="1"/>
  <c r="B957" i="4" s="1"/>
  <c r="H957" i="4" s="1" a="1"/>
  <c r="H957" i="4" s="1"/>
  <c r="B958" i="4" a="1"/>
  <c r="B958" i="4" s="1"/>
  <c r="H958" i="4" s="1" a="1"/>
  <c r="H958" i="4" s="1"/>
  <c r="B959" i="4" a="1"/>
  <c r="B959" i="4" s="1"/>
  <c r="H959" i="4" s="1" a="1"/>
  <c r="H959" i="4" s="1"/>
  <c r="B960" i="4" a="1"/>
  <c r="B960" i="4" s="1"/>
  <c r="H960" i="4" s="1" a="1"/>
  <c r="H960" i="4" s="1"/>
  <c r="B961" i="4" a="1"/>
  <c r="B961" i="4" s="1"/>
  <c r="H961" i="4" s="1" a="1"/>
  <c r="H961" i="4" s="1"/>
  <c r="B962" i="4" a="1"/>
  <c r="B962" i="4" s="1"/>
  <c r="H962" i="4" s="1" a="1"/>
  <c r="H962" i="4" s="1"/>
  <c r="B963" i="4" a="1"/>
  <c r="B963" i="4" s="1"/>
  <c r="H963" i="4" s="1" a="1"/>
  <c r="H963" i="4" s="1"/>
  <c r="B964" i="4" a="1"/>
  <c r="B964" i="4" s="1"/>
  <c r="H964" i="4" s="1" a="1"/>
  <c r="H964" i="4" s="1"/>
  <c r="B965" i="4" a="1"/>
  <c r="B965" i="4" s="1"/>
  <c r="H965" i="4" s="1" a="1"/>
  <c r="H965" i="4" s="1"/>
  <c r="B966" i="4" a="1"/>
  <c r="B966" i="4" s="1"/>
  <c r="H966" i="4" s="1" a="1"/>
  <c r="H966" i="4" s="1"/>
  <c r="B967" i="4" a="1"/>
  <c r="B967" i="4" s="1"/>
  <c r="H967" i="4" s="1" a="1"/>
  <c r="H967" i="4" s="1"/>
  <c r="B968" i="4" a="1"/>
  <c r="B968" i="4" s="1"/>
  <c r="H968" i="4" s="1" a="1"/>
  <c r="H968" i="4" s="1"/>
  <c r="B969" i="4" a="1"/>
  <c r="B969" i="4" s="1"/>
  <c r="H969" i="4" s="1" a="1"/>
  <c r="H969" i="4" s="1"/>
  <c r="B970" i="4" a="1"/>
  <c r="B970" i="4" s="1"/>
  <c r="H970" i="4" s="1" a="1"/>
  <c r="H970" i="4" s="1"/>
  <c r="B971" i="4" a="1"/>
  <c r="B971" i="4" s="1"/>
  <c r="H971" i="4" s="1" a="1"/>
  <c r="H971" i="4" s="1"/>
  <c r="B972" i="4" a="1"/>
  <c r="B972" i="4" s="1"/>
  <c r="H972" i="4" s="1" a="1"/>
  <c r="H972" i="4" s="1"/>
  <c r="B973" i="4" a="1"/>
  <c r="B973" i="4" s="1"/>
  <c r="H973" i="4" s="1" a="1"/>
  <c r="H973" i="4" s="1"/>
  <c r="B974" i="4" a="1"/>
  <c r="B974" i="4" s="1"/>
  <c r="H974" i="4" s="1" a="1"/>
  <c r="H974" i="4" s="1"/>
  <c r="B975" i="4" a="1"/>
  <c r="B975" i="4" s="1"/>
  <c r="H975" i="4" s="1" a="1"/>
  <c r="H975" i="4" s="1"/>
  <c r="B976" i="4" a="1"/>
  <c r="B976" i="4" s="1"/>
  <c r="H976" i="4" s="1" a="1"/>
  <c r="H976" i="4" s="1"/>
  <c r="B977" i="4" a="1"/>
  <c r="B977" i="4" s="1"/>
  <c r="H977" i="4" s="1" a="1"/>
  <c r="H977" i="4" s="1"/>
  <c r="B978" i="4" a="1"/>
  <c r="B978" i="4" s="1"/>
  <c r="H978" i="4" s="1" a="1"/>
  <c r="H978" i="4" s="1"/>
  <c r="B979" i="4" a="1"/>
  <c r="B979" i="4" s="1"/>
  <c r="H979" i="4" s="1" a="1"/>
  <c r="H979" i="4" s="1"/>
  <c r="B980" i="4" a="1"/>
  <c r="B980" i="4" s="1"/>
  <c r="H980" i="4" s="1" a="1"/>
  <c r="H980" i="4" s="1"/>
  <c r="B981" i="4" a="1"/>
  <c r="B981" i="4" s="1"/>
  <c r="H981" i="4" s="1" a="1"/>
  <c r="H981" i="4" s="1"/>
  <c r="B982" i="4" a="1"/>
  <c r="B982" i="4" s="1"/>
  <c r="H982" i="4" s="1" a="1"/>
  <c r="H982" i="4" s="1"/>
  <c r="B983" i="4" a="1"/>
  <c r="B983" i="4" s="1"/>
  <c r="H983" i="4" s="1" a="1"/>
  <c r="H983" i="4" s="1"/>
  <c r="B984" i="4" a="1"/>
  <c r="B984" i="4" s="1"/>
  <c r="H984" i="4" s="1" a="1"/>
  <c r="H984" i="4" s="1"/>
  <c r="B985" i="4" a="1"/>
  <c r="B985" i="4" s="1"/>
  <c r="H985" i="4" s="1" a="1"/>
  <c r="H985" i="4" s="1"/>
  <c r="B986" i="4" a="1"/>
  <c r="B986" i="4" s="1"/>
  <c r="H986" i="4" s="1" a="1"/>
  <c r="H986" i="4" s="1"/>
  <c r="B987" i="4" a="1"/>
  <c r="B987" i="4" s="1"/>
  <c r="H987" i="4" s="1" a="1"/>
  <c r="H987" i="4" s="1"/>
  <c r="B988" i="4" a="1"/>
  <c r="B988" i="4" s="1"/>
  <c r="H988" i="4" s="1" a="1"/>
  <c r="H988" i="4" s="1"/>
  <c r="B989" i="4" a="1"/>
  <c r="B989" i="4" s="1"/>
  <c r="H989" i="4" s="1" a="1"/>
  <c r="H989" i="4" s="1"/>
  <c r="B990" i="4" a="1"/>
  <c r="B990" i="4" s="1"/>
  <c r="H990" i="4" s="1" a="1"/>
  <c r="H990" i="4" s="1"/>
  <c r="B991" i="4" a="1"/>
  <c r="B991" i="4" s="1"/>
  <c r="H991" i="4" s="1" a="1"/>
  <c r="H991" i="4" s="1"/>
  <c r="B992" i="4" a="1"/>
  <c r="B992" i="4" s="1"/>
  <c r="H992" i="4" s="1" a="1"/>
  <c r="H992" i="4" s="1"/>
  <c r="B993" i="4" a="1"/>
  <c r="B993" i="4" s="1"/>
  <c r="H993" i="4" s="1" a="1"/>
  <c r="H993" i="4" s="1"/>
  <c r="B994" i="4" a="1"/>
  <c r="B994" i="4" s="1"/>
  <c r="H994" i="4" s="1" a="1"/>
  <c r="H994" i="4" s="1"/>
  <c r="B995" i="4" a="1"/>
  <c r="B995" i="4" s="1"/>
  <c r="H995" i="4" s="1" a="1"/>
  <c r="H995" i="4" s="1"/>
  <c r="B996" i="4" a="1"/>
  <c r="B996" i="4" s="1"/>
  <c r="H996" i="4" s="1" a="1"/>
  <c r="H996" i="4" s="1"/>
  <c r="B997" i="4" a="1"/>
  <c r="B997" i="4" s="1"/>
  <c r="H997" i="4" s="1" a="1"/>
  <c r="H997" i="4" s="1"/>
  <c r="B998" i="4" a="1"/>
  <c r="B998" i="4" s="1"/>
  <c r="H998" i="4" s="1" a="1"/>
  <c r="H998" i="4" s="1"/>
  <c r="B999" i="4" a="1"/>
  <c r="B999" i="4" s="1"/>
  <c r="H999" i="4" s="1" a="1"/>
  <c r="H999" i="4" s="1"/>
  <c r="B1000" i="4" a="1"/>
  <c r="B1000" i="4" s="1"/>
  <c r="H1000" i="4" s="1" a="1"/>
  <c r="H1000" i="4" s="1"/>
  <c r="B1001" i="4" a="1"/>
  <c r="B1001" i="4" s="1"/>
  <c r="H1001" i="4" s="1" a="1"/>
  <c r="H1001" i="4" s="1"/>
  <c r="AF1001" i="5"/>
  <c r="L26" i="2" a="1"/>
  <c r="L26" i="2" s="1"/>
  <c r="L33" i="2" a="1"/>
  <c r="L33" i="2" s="1"/>
  <c r="L42" i="2" a="1"/>
  <c r="L42" i="2" s="1"/>
  <c r="L66" i="2"/>
  <c r="L85" i="2" a="1"/>
  <c r="L85" i="2" s="1"/>
  <c r="L116" i="2" a="1"/>
  <c r="L116" i="2" s="1"/>
  <c r="L129" i="2" a="1"/>
  <c r="L129" i="2" s="1"/>
  <c r="L136" i="2" a="1"/>
  <c r="L136" i="2" s="1"/>
  <c r="L162" i="2" a="1"/>
  <c r="L162" i="2" s="1"/>
  <c r="L176" i="2" a="1"/>
  <c r="L176" i="2" s="1"/>
  <c r="L208" i="2"/>
  <c r="L209" i="2" a="1"/>
  <c r="L209" i="2" s="1"/>
  <c r="L250" i="2" a="1"/>
  <c r="L250" i="2" s="1"/>
  <c r="L279" i="2" a="1"/>
  <c r="L279" i="2" s="1"/>
  <c r="L288" i="2"/>
  <c r="L319" i="2" a="1"/>
  <c r="L319" i="2" s="1"/>
  <c r="L320" i="2"/>
  <c r="L360" i="2" a="1"/>
  <c r="L360" i="2" s="1"/>
  <c r="L364" i="2" a="1"/>
  <c r="L364" i="2" s="1"/>
  <c r="L411" i="2"/>
  <c r="L445" i="2" a="1"/>
  <c r="L445" i="2" s="1"/>
  <c r="L564" i="2" a="1"/>
  <c r="L564" i="2" s="1"/>
  <c r="L608" i="2" a="1"/>
  <c r="L608" i="2" s="1"/>
  <c r="L617" i="2" a="1"/>
  <c r="L617" i="2" s="1"/>
  <c r="L625" i="2" a="1"/>
  <c r="L625" i="2" s="1"/>
  <c r="L632" i="2" a="1"/>
  <c r="L632" i="2" s="1"/>
  <c r="L649" i="2" a="1"/>
  <c r="L649" i="2" s="1"/>
  <c r="L657" i="2" a="1"/>
  <c r="L657" i="2" s="1"/>
  <c r="L666" i="2" a="1"/>
  <c r="L666" i="2" s="1"/>
  <c r="L673" i="2" a="1"/>
  <c r="L673" i="2" s="1"/>
  <c r="L722" i="2" a="1"/>
  <c r="L722" i="2" s="1"/>
  <c r="L730" i="2" a="1"/>
  <c r="L730" i="2" s="1"/>
  <c r="L737" i="2" a="1"/>
  <c r="L737" i="2" s="1"/>
  <c r="L786" i="2" a="1"/>
  <c r="L786" i="2" s="1"/>
  <c r="L794" i="2" a="1"/>
  <c r="L794" i="2" s="1"/>
  <c r="L801" i="2" a="1"/>
  <c r="L801" i="2" s="1"/>
  <c r="L847" i="2" a="1"/>
  <c r="L847" i="2" s="1"/>
  <c r="L852" i="2" a="1"/>
  <c r="L852" i="2" s="1"/>
  <c r="L912" i="2" a="1"/>
  <c r="L912" i="2" s="1"/>
  <c r="L927" i="2" a="1"/>
  <c r="L927" i="2" s="1"/>
  <c r="L946" i="2" a="1"/>
  <c r="L946" i="2" s="1"/>
  <c r="L956" i="2" a="1"/>
  <c r="L956" i="2" s="1"/>
  <c r="C2" i="2"/>
  <c r="L2" i="2" s="1" a="1"/>
  <c r="L2" i="2" s="1"/>
  <c r="C3" i="2"/>
  <c r="L3" i="2" s="1" a="1"/>
  <c r="L3" i="2" s="1"/>
  <c r="C4" i="2"/>
  <c r="L4" i="2" s="1" a="1"/>
  <c r="L4" i="2" s="1"/>
  <c r="C5" i="2"/>
  <c r="L5" i="2" s="1" a="1"/>
  <c r="L5" i="2" s="1"/>
  <c r="C6" i="2"/>
  <c r="L6" i="2" s="1" a="1"/>
  <c r="L6" i="2" s="1"/>
  <c r="C7" i="2"/>
  <c r="L7" i="2" s="1" a="1"/>
  <c r="L7" i="2" s="1"/>
  <c r="C8" i="2"/>
  <c r="L8" i="2" s="1" a="1"/>
  <c r="L8" i="2" s="1"/>
  <c r="C9" i="2"/>
  <c r="L9" i="2" s="1" a="1"/>
  <c r="L9" i="2" s="1"/>
  <c r="C10" i="2"/>
  <c r="L10" i="2" s="1" a="1"/>
  <c r="L10" i="2" s="1"/>
  <c r="C11" i="2"/>
  <c r="L11" i="2" s="1" a="1"/>
  <c r="L11" i="2" s="1"/>
  <c r="C12" i="2"/>
  <c r="L12" i="2" s="1" a="1"/>
  <c r="L12" i="2" s="1"/>
  <c r="C13" i="2"/>
  <c r="L13" i="2" s="1" a="1"/>
  <c r="L13" i="2" s="1"/>
  <c r="C14" i="2"/>
  <c r="L14" i="2" s="1" a="1"/>
  <c r="L14" i="2" s="1"/>
  <c r="C15" i="2"/>
  <c r="L15" i="2" s="1" a="1"/>
  <c r="L15" i="2" s="1"/>
  <c r="C16" i="2"/>
  <c r="L16" i="2" s="1" a="1"/>
  <c r="L16" i="2" s="1"/>
  <c r="C17" i="2"/>
  <c r="L17" i="2" s="1" a="1"/>
  <c r="L17" i="2" s="1"/>
  <c r="C18" i="2"/>
  <c r="L18" i="2" s="1" a="1"/>
  <c r="L18" i="2" s="1"/>
  <c r="C19" i="2"/>
  <c r="L19" i="2" s="1" a="1"/>
  <c r="L19" i="2" s="1"/>
  <c r="C20" i="2"/>
  <c r="L20" i="2" s="1" a="1"/>
  <c r="L20" i="2" s="1"/>
  <c r="C21" i="2"/>
  <c r="L21" i="2" s="1" a="1"/>
  <c r="L21" i="2" s="1"/>
  <c r="C22" i="2"/>
  <c r="L22" i="2" s="1" a="1"/>
  <c r="L22" i="2" s="1"/>
  <c r="C23" i="2"/>
  <c r="L23" i="2" s="1" a="1"/>
  <c r="L23" i="2" s="1"/>
  <c r="C24" i="2"/>
  <c r="L24" i="2" s="1" a="1"/>
  <c r="L24" i="2" s="1"/>
  <c r="C25" i="2"/>
  <c r="L25" i="2" s="1" a="1"/>
  <c r="L25" i="2" s="1"/>
  <c r="C26" i="2"/>
  <c r="C27" i="2"/>
  <c r="L27" i="2" s="1" a="1"/>
  <c r="L27" i="2" s="1"/>
  <c r="C28" i="2"/>
  <c r="L28" i="2" s="1" a="1"/>
  <c r="L28" i="2" s="1"/>
  <c r="C29" i="2"/>
  <c r="L29" i="2" s="1" a="1"/>
  <c r="L29" i="2" s="1"/>
  <c r="C30" i="2"/>
  <c r="L30" i="2" s="1" a="1"/>
  <c r="L30" i="2" s="1"/>
  <c r="C31" i="2"/>
  <c r="L31" i="2" s="1" a="1"/>
  <c r="L31" i="2" s="1"/>
  <c r="C32" i="2"/>
  <c r="L32" i="2" s="1" a="1"/>
  <c r="L32" i="2" s="1"/>
  <c r="C33" i="2"/>
  <c r="C34" i="2"/>
  <c r="L34" i="2" s="1" a="1"/>
  <c r="L34" i="2" s="1"/>
  <c r="C35" i="2"/>
  <c r="L35" i="2" s="1" a="1"/>
  <c r="L35" i="2" s="1"/>
  <c r="C36" i="2"/>
  <c r="L36" i="2" s="1" a="1"/>
  <c r="L36" i="2" s="1"/>
  <c r="C37" i="2"/>
  <c r="L37" i="2" s="1" a="1"/>
  <c r="L37" i="2" s="1"/>
  <c r="C38" i="2"/>
  <c r="L38" i="2" s="1" a="1"/>
  <c r="L38" i="2" s="1"/>
  <c r="C39" i="2"/>
  <c r="L39" i="2" s="1" a="1"/>
  <c r="L39" i="2" s="1"/>
  <c r="C40" i="2"/>
  <c r="L40" i="2" s="1" a="1"/>
  <c r="L40" i="2" s="1"/>
  <c r="C41" i="2"/>
  <c r="L41" i="2" s="1" a="1"/>
  <c r="L41" i="2" s="1"/>
  <c r="C42" i="2"/>
  <c r="C43" i="2"/>
  <c r="L43" i="2" s="1" a="1"/>
  <c r="L43" i="2" s="1"/>
  <c r="C44" i="2"/>
  <c r="L44" i="2" s="1" a="1"/>
  <c r="L44" i="2" s="1"/>
  <c r="C45" i="2"/>
  <c r="L45" i="2" s="1" a="1"/>
  <c r="L45" i="2" s="1"/>
  <c r="C46" i="2"/>
  <c r="L46" i="2" s="1" a="1"/>
  <c r="L46" i="2" s="1"/>
  <c r="C47" i="2"/>
  <c r="L47" i="2" s="1" a="1"/>
  <c r="L47" i="2" s="1"/>
  <c r="C48" i="2"/>
  <c r="L48" i="2" s="1" a="1"/>
  <c r="L48" i="2" s="1"/>
  <c r="C49" i="2"/>
  <c r="L49" i="2" s="1" a="1"/>
  <c r="L49" i="2" s="1"/>
  <c r="C50" i="2"/>
  <c r="L50" i="2" s="1" a="1"/>
  <c r="L50" i="2" s="1"/>
  <c r="C51" i="2"/>
  <c r="L51" i="2" s="1" a="1"/>
  <c r="L51" i="2" s="1"/>
  <c r="C52" i="2"/>
  <c r="L52" i="2" s="1" a="1"/>
  <c r="L52" i="2" s="1"/>
  <c r="C53" i="2"/>
  <c r="L53" i="2" s="1" a="1"/>
  <c r="L53" i="2" s="1"/>
  <c r="C54" i="2"/>
  <c r="L54" i="2" s="1" a="1"/>
  <c r="L54" i="2" s="1"/>
  <c r="C55" i="2"/>
  <c r="L55" i="2" s="1" a="1"/>
  <c r="L55" i="2" s="1"/>
  <c r="C56" i="2"/>
  <c r="L56" i="2" s="1" a="1"/>
  <c r="L56" i="2" s="1"/>
  <c r="C57" i="2"/>
  <c r="L57" i="2" s="1" a="1"/>
  <c r="L57" i="2" s="1"/>
  <c r="C58" i="2"/>
  <c r="L58" i="2" s="1" a="1"/>
  <c r="L58" i="2" s="1"/>
  <c r="C59" i="2"/>
  <c r="L59" i="2" s="1" a="1"/>
  <c r="L59" i="2" s="1"/>
  <c r="C60" i="2"/>
  <c r="L60" i="2" s="1" a="1"/>
  <c r="L60" i="2" s="1"/>
  <c r="C61" i="2"/>
  <c r="L61" i="2" s="1" a="1"/>
  <c r="L61" i="2" s="1"/>
  <c r="C62" i="2"/>
  <c r="L62" i="2" s="1" a="1"/>
  <c r="L62" i="2" s="1"/>
  <c r="C63" i="2"/>
  <c r="L63" i="2" s="1" a="1"/>
  <c r="L63" i="2" s="1"/>
  <c r="C64" i="2"/>
  <c r="L64" i="2" s="1" a="1"/>
  <c r="L64" i="2" s="1"/>
  <c r="C65" i="2"/>
  <c r="L65" i="2" s="1" a="1"/>
  <c r="L65" i="2" s="1"/>
  <c r="C66" i="2"/>
  <c r="L66" i="2" s="1" a="1"/>
  <c r="C67" i="2"/>
  <c r="L67" i="2" s="1" a="1"/>
  <c r="L67" i="2" s="1"/>
  <c r="C68" i="2"/>
  <c r="L68" i="2" s="1" a="1"/>
  <c r="L68" i="2" s="1"/>
  <c r="C69" i="2"/>
  <c r="L69" i="2" s="1" a="1"/>
  <c r="L69" i="2" s="1"/>
  <c r="C70" i="2"/>
  <c r="L70" i="2" s="1" a="1"/>
  <c r="L70" i="2" s="1"/>
  <c r="C71" i="2"/>
  <c r="L71" i="2" s="1" a="1"/>
  <c r="L71" i="2" s="1"/>
  <c r="C72" i="2"/>
  <c r="L72" i="2" s="1" a="1"/>
  <c r="L72" i="2" s="1"/>
  <c r="C73" i="2"/>
  <c r="L73" i="2" s="1" a="1"/>
  <c r="L73" i="2" s="1"/>
  <c r="C74" i="2"/>
  <c r="L74" i="2" s="1" a="1"/>
  <c r="L74" i="2" s="1"/>
  <c r="C75" i="2"/>
  <c r="L75" i="2" s="1" a="1"/>
  <c r="L75" i="2" s="1"/>
  <c r="C76" i="2"/>
  <c r="L76" i="2" s="1" a="1"/>
  <c r="L76" i="2" s="1"/>
  <c r="C77" i="2"/>
  <c r="L77" i="2" s="1" a="1"/>
  <c r="L77" i="2" s="1"/>
  <c r="C78" i="2"/>
  <c r="L78" i="2" s="1" a="1"/>
  <c r="L78" i="2" s="1"/>
  <c r="C79" i="2"/>
  <c r="L79" i="2" s="1" a="1"/>
  <c r="L79" i="2" s="1"/>
  <c r="C80" i="2"/>
  <c r="L80" i="2" s="1" a="1"/>
  <c r="L80" i="2" s="1"/>
  <c r="C81" i="2"/>
  <c r="L81" i="2" s="1" a="1"/>
  <c r="L81" i="2" s="1"/>
  <c r="C82" i="2"/>
  <c r="L82" i="2" s="1" a="1"/>
  <c r="L82" i="2" s="1"/>
  <c r="C83" i="2"/>
  <c r="L83" i="2" s="1" a="1"/>
  <c r="L83" i="2" s="1"/>
  <c r="C84" i="2"/>
  <c r="L84" i="2" s="1" a="1"/>
  <c r="L84" i="2" s="1"/>
  <c r="C85" i="2"/>
  <c r="C86" i="2"/>
  <c r="L86" i="2" s="1" a="1"/>
  <c r="L86" i="2" s="1"/>
  <c r="C87" i="2"/>
  <c r="L87" i="2" s="1" a="1"/>
  <c r="L87" i="2" s="1"/>
  <c r="C88" i="2"/>
  <c r="L88" i="2" s="1" a="1"/>
  <c r="L88" i="2" s="1"/>
  <c r="C89" i="2"/>
  <c r="L89" i="2" s="1" a="1"/>
  <c r="L89" i="2" s="1"/>
  <c r="C90" i="2"/>
  <c r="L90" i="2" s="1" a="1"/>
  <c r="L90" i="2" s="1"/>
  <c r="C91" i="2"/>
  <c r="L91" i="2" s="1" a="1"/>
  <c r="L91" i="2" s="1"/>
  <c r="C92" i="2"/>
  <c r="L92" i="2" s="1" a="1"/>
  <c r="L92" i="2" s="1"/>
  <c r="C93" i="2"/>
  <c r="L93" i="2" s="1" a="1"/>
  <c r="L93" i="2" s="1"/>
  <c r="C94" i="2"/>
  <c r="L94" i="2" s="1" a="1"/>
  <c r="L94" i="2" s="1"/>
  <c r="C95" i="2"/>
  <c r="L95" i="2" s="1" a="1"/>
  <c r="L95" i="2" s="1"/>
  <c r="C96" i="2"/>
  <c r="L96" i="2" s="1" a="1"/>
  <c r="L96" i="2" s="1"/>
  <c r="C97" i="2"/>
  <c r="L97" i="2" s="1" a="1"/>
  <c r="L97" i="2" s="1"/>
  <c r="C98" i="2"/>
  <c r="L98" i="2" s="1" a="1"/>
  <c r="L98" i="2" s="1"/>
  <c r="C99" i="2"/>
  <c r="L99" i="2" s="1" a="1"/>
  <c r="L99" i="2" s="1"/>
  <c r="C100" i="2"/>
  <c r="L100" i="2" s="1" a="1"/>
  <c r="L100" i="2" s="1"/>
  <c r="C101" i="2"/>
  <c r="L101" i="2" s="1" a="1"/>
  <c r="L101" i="2" s="1"/>
  <c r="C102" i="2"/>
  <c r="L102" i="2" s="1" a="1"/>
  <c r="L102" i="2" s="1"/>
  <c r="C103" i="2"/>
  <c r="L103" i="2" s="1" a="1"/>
  <c r="L103" i="2" s="1"/>
  <c r="C104" i="2"/>
  <c r="L104" i="2" s="1" a="1"/>
  <c r="L104" i="2" s="1"/>
  <c r="C105" i="2"/>
  <c r="L105" i="2" s="1" a="1"/>
  <c r="L105" i="2" s="1"/>
  <c r="C106" i="2"/>
  <c r="L106" i="2" s="1" a="1"/>
  <c r="L106" i="2" s="1"/>
  <c r="C107" i="2"/>
  <c r="L107" i="2" s="1" a="1"/>
  <c r="L107" i="2" s="1"/>
  <c r="C108" i="2"/>
  <c r="L108" i="2" s="1" a="1"/>
  <c r="L108" i="2" s="1"/>
  <c r="C109" i="2"/>
  <c r="L109" i="2" s="1" a="1"/>
  <c r="L109" i="2" s="1"/>
  <c r="C110" i="2"/>
  <c r="L110" i="2" s="1" a="1"/>
  <c r="L110" i="2" s="1"/>
  <c r="C111" i="2"/>
  <c r="L111" i="2" s="1" a="1"/>
  <c r="L111" i="2" s="1"/>
  <c r="C112" i="2"/>
  <c r="L112" i="2" s="1" a="1"/>
  <c r="L112" i="2" s="1"/>
  <c r="C113" i="2"/>
  <c r="L113" i="2" s="1" a="1"/>
  <c r="L113" i="2" s="1"/>
  <c r="C114" i="2"/>
  <c r="L114" i="2" s="1" a="1"/>
  <c r="L114" i="2" s="1"/>
  <c r="C115" i="2"/>
  <c r="L115" i="2" s="1" a="1"/>
  <c r="L115" i="2" s="1"/>
  <c r="C116" i="2"/>
  <c r="C117" i="2"/>
  <c r="L117" i="2" s="1" a="1"/>
  <c r="L117" i="2" s="1"/>
  <c r="C118" i="2"/>
  <c r="L118" i="2" s="1" a="1"/>
  <c r="L118" i="2" s="1"/>
  <c r="C119" i="2"/>
  <c r="L119" i="2" s="1" a="1"/>
  <c r="L119" i="2" s="1"/>
  <c r="C120" i="2"/>
  <c r="L120" i="2" s="1" a="1"/>
  <c r="L120" i="2" s="1"/>
  <c r="C121" i="2"/>
  <c r="L121" i="2" s="1" a="1"/>
  <c r="L121" i="2" s="1"/>
  <c r="C122" i="2"/>
  <c r="L122" i="2" s="1" a="1"/>
  <c r="L122" i="2" s="1"/>
  <c r="C123" i="2"/>
  <c r="L123" i="2" s="1" a="1"/>
  <c r="L123" i="2" s="1"/>
  <c r="C124" i="2"/>
  <c r="L124" i="2" s="1" a="1"/>
  <c r="L124" i="2" s="1"/>
  <c r="C125" i="2"/>
  <c r="L125" i="2" s="1" a="1"/>
  <c r="L125" i="2" s="1"/>
  <c r="C126" i="2"/>
  <c r="L126" i="2" s="1" a="1"/>
  <c r="L126" i="2" s="1"/>
  <c r="C127" i="2"/>
  <c r="L127" i="2" s="1" a="1"/>
  <c r="L127" i="2" s="1"/>
  <c r="C128" i="2"/>
  <c r="L128" i="2" s="1" a="1"/>
  <c r="L128" i="2" s="1"/>
  <c r="C129" i="2"/>
  <c r="C130" i="2"/>
  <c r="L130" i="2" s="1" a="1"/>
  <c r="L130" i="2" s="1"/>
  <c r="C131" i="2"/>
  <c r="L131" i="2" s="1" a="1"/>
  <c r="L131" i="2" s="1"/>
  <c r="C132" i="2"/>
  <c r="L132" i="2" s="1" a="1"/>
  <c r="L132" i="2" s="1"/>
  <c r="C133" i="2"/>
  <c r="L133" i="2" s="1" a="1"/>
  <c r="L133" i="2" s="1"/>
  <c r="C134" i="2"/>
  <c r="L134" i="2" s="1" a="1"/>
  <c r="L134" i="2" s="1"/>
  <c r="C135" i="2"/>
  <c r="L135" i="2" s="1" a="1"/>
  <c r="L135" i="2" s="1"/>
  <c r="C136" i="2"/>
  <c r="C137" i="2"/>
  <c r="L137" i="2" s="1" a="1"/>
  <c r="L137" i="2" s="1"/>
  <c r="C138" i="2"/>
  <c r="L138" i="2" s="1" a="1"/>
  <c r="L138" i="2" s="1"/>
  <c r="C139" i="2"/>
  <c r="L139" i="2" s="1" a="1"/>
  <c r="L139" i="2" s="1"/>
  <c r="C140" i="2"/>
  <c r="L140" i="2" s="1" a="1"/>
  <c r="L140" i="2" s="1"/>
  <c r="C141" i="2"/>
  <c r="L141" i="2" s="1" a="1"/>
  <c r="L141" i="2" s="1"/>
  <c r="C142" i="2"/>
  <c r="L142" i="2" s="1" a="1"/>
  <c r="L142" i="2" s="1"/>
  <c r="C143" i="2"/>
  <c r="L143" i="2" s="1" a="1"/>
  <c r="L143" i="2" s="1"/>
  <c r="C144" i="2"/>
  <c r="L144" i="2" s="1" a="1"/>
  <c r="L144" i="2" s="1"/>
  <c r="C145" i="2"/>
  <c r="L145" i="2" s="1" a="1"/>
  <c r="L145" i="2" s="1"/>
  <c r="C146" i="2"/>
  <c r="L146" i="2" s="1" a="1"/>
  <c r="L146" i="2" s="1"/>
  <c r="C147" i="2"/>
  <c r="L147" i="2" s="1" a="1"/>
  <c r="L147" i="2" s="1"/>
  <c r="C148" i="2"/>
  <c r="L148" i="2" s="1" a="1"/>
  <c r="L148" i="2" s="1"/>
  <c r="C149" i="2"/>
  <c r="L149" i="2" s="1" a="1"/>
  <c r="L149" i="2" s="1"/>
  <c r="C150" i="2"/>
  <c r="L150" i="2" s="1" a="1"/>
  <c r="L150" i="2" s="1"/>
  <c r="C151" i="2"/>
  <c r="L151" i="2" s="1" a="1"/>
  <c r="L151" i="2" s="1"/>
  <c r="C152" i="2"/>
  <c r="L152" i="2" s="1" a="1"/>
  <c r="L152" i="2" s="1"/>
  <c r="C153" i="2"/>
  <c r="L153" i="2" s="1" a="1"/>
  <c r="L153" i="2" s="1"/>
  <c r="C154" i="2"/>
  <c r="L154" i="2" s="1" a="1"/>
  <c r="L154" i="2" s="1"/>
  <c r="C155" i="2"/>
  <c r="L155" i="2" s="1" a="1"/>
  <c r="L155" i="2" s="1"/>
  <c r="C156" i="2"/>
  <c r="L156" i="2" s="1" a="1"/>
  <c r="L156" i="2" s="1"/>
  <c r="C157" i="2"/>
  <c r="L157" i="2" s="1" a="1"/>
  <c r="L157" i="2" s="1"/>
  <c r="C158" i="2"/>
  <c r="L158" i="2" s="1" a="1"/>
  <c r="L158" i="2" s="1"/>
  <c r="C159" i="2"/>
  <c r="L159" i="2" s="1" a="1"/>
  <c r="L159" i="2" s="1"/>
  <c r="C160" i="2"/>
  <c r="L160" i="2" s="1" a="1"/>
  <c r="L160" i="2" s="1"/>
  <c r="C161" i="2"/>
  <c r="L161" i="2" s="1" a="1"/>
  <c r="L161" i="2" s="1"/>
  <c r="C162" i="2"/>
  <c r="C163" i="2"/>
  <c r="L163" i="2" s="1" a="1"/>
  <c r="L163" i="2" s="1"/>
  <c r="C164" i="2"/>
  <c r="L164" i="2" s="1" a="1"/>
  <c r="L164" i="2" s="1"/>
  <c r="C165" i="2"/>
  <c r="L165" i="2" s="1" a="1"/>
  <c r="L165" i="2" s="1"/>
  <c r="C166" i="2"/>
  <c r="L166" i="2" s="1" a="1"/>
  <c r="L166" i="2" s="1"/>
  <c r="C167" i="2"/>
  <c r="L167" i="2" s="1" a="1"/>
  <c r="L167" i="2" s="1"/>
  <c r="C168" i="2"/>
  <c r="L168" i="2" s="1" a="1"/>
  <c r="L168" i="2" s="1"/>
  <c r="C169" i="2"/>
  <c r="L169" i="2" s="1" a="1"/>
  <c r="L169" i="2" s="1"/>
  <c r="C170" i="2"/>
  <c r="L170" i="2" s="1" a="1"/>
  <c r="L170" i="2" s="1"/>
  <c r="C171" i="2"/>
  <c r="L171" i="2" s="1" a="1"/>
  <c r="L171" i="2" s="1"/>
  <c r="C172" i="2"/>
  <c r="L172" i="2" s="1" a="1"/>
  <c r="L172" i="2" s="1"/>
  <c r="C173" i="2"/>
  <c r="L173" i="2" s="1" a="1"/>
  <c r="L173" i="2" s="1"/>
  <c r="C174" i="2"/>
  <c r="L174" i="2" s="1" a="1"/>
  <c r="L174" i="2" s="1"/>
  <c r="C175" i="2"/>
  <c r="L175" i="2" s="1" a="1"/>
  <c r="L175" i="2" s="1"/>
  <c r="C176" i="2"/>
  <c r="C177" i="2"/>
  <c r="L177" i="2" s="1" a="1"/>
  <c r="L177" i="2" s="1"/>
  <c r="C178" i="2"/>
  <c r="L178" i="2" s="1" a="1"/>
  <c r="L178" i="2" s="1"/>
  <c r="C179" i="2"/>
  <c r="L179" i="2" s="1" a="1"/>
  <c r="L179" i="2" s="1"/>
  <c r="C180" i="2"/>
  <c r="L180" i="2" s="1" a="1"/>
  <c r="L180" i="2" s="1"/>
  <c r="C181" i="2"/>
  <c r="L181" i="2" s="1" a="1"/>
  <c r="L181" i="2" s="1"/>
  <c r="C182" i="2"/>
  <c r="L182" i="2" s="1" a="1"/>
  <c r="L182" i="2" s="1"/>
  <c r="C183" i="2"/>
  <c r="L183" i="2" s="1" a="1"/>
  <c r="L183" i="2" s="1"/>
  <c r="C184" i="2"/>
  <c r="L184" i="2" s="1" a="1"/>
  <c r="L184" i="2" s="1"/>
  <c r="C185" i="2"/>
  <c r="L185" i="2" s="1" a="1"/>
  <c r="L185" i="2" s="1"/>
  <c r="C186" i="2"/>
  <c r="L186" i="2" s="1" a="1"/>
  <c r="L186" i="2" s="1"/>
  <c r="C187" i="2"/>
  <c r="L187" i="2" s="1" a="1"/>
  <c r="L187" i="2" s="1"/>
  <c r="C188" i="2"/>
  <c r="L188" i="2" s="1" a="1"/>
  <c r="L188" i="2" s="1"/>
  <c r="C189" i="2"/>
  <c r="L189" i="2" s="1" a="1"/>
  <c r="L189" i="2" s="1"/>
  <c r="C190" i="2"/>
  <c r="L190" i="2" s="1" a="1"/>
  <c r="L190" i="2" s="1"/>
  <c r="C191" i="2"/>
  <c r="L191" i="2" s="1" a="1"/>
  <c r="L191" i="2" s="1"/>
  <c r="C192" i="2"/>
  <c r="L192" i="2" s="1" a="1"/>
  <c r="L192" i="2" s="1"/>
  <c r="C193" i="2"/>
  <c r="L193" i="2" s="1" a="1"/>
  <c r="L193" i="2" s="1"/>
  <c r="C194" i="2"/>
  <c r="L194" i="2" s="1" a="1"/>
  <c r="L194" i="2" s="1"/>
  <c r="C195" i="2"/>
  <c r="L195" i="2" s="1" a="1"/>
  <c r="L195" i="2" s="1"/>
  <c r="C196" i="2"/>
  <c r="L196" i="2" s="1" a="1"/>
  <c r="L196" i="2" s="1"/>
  <c r="C197" i="2"/>
  <c r="L197" i="2" s="1" a="1"/>
  <c r="L197" i="2" s="1"/>
  <c r="C198" i="2"/>
  <c r="L198" i="2" s="1" a="1"/>
  <c r="L198" i="2" s="1"/>
  <c r="C199" i="2"/>
  <c r="L199" i="2" s="1" a="1"/>
  <c r="L199" i="2" s="1"/>
  <c r="C200" i="2"/>
  <c r="L200" i="2" s="1" a="1"/>
  <c r="L200" i="2" s="1"/>
  <c r="C201" i="2"/>
  <c r="L201" i="2" s="1" a="1"/>
  <c r="L201" i="2" s="1"/>
  <c r="C202" i="2"/>
  <c r="L202" i="2" s="1" a="1"/>
  <c r="L202" i="2" s="1"/>
  <c r="C203" i="2"/>
  <c r="L203" i="2" s="1" a="1"/>
  <c r="L203" i="2" s="1"/>
  <c r="C204" i="2"/>
  <c r="L204" i="2" s="1" a="1"/>
  <c r="L204" i="2" s="1"/>
  <c r="C205" i="2"/>
  <c r="L205" i="2" s="1" a="1"/>
  <c r="L205" i="2" s="1"/>
  <c r="C206" i="2"/>
  <c r="L206" i="2" s="1" a="1"/>
  <c r="L206" i="2" s="1"/>
  <c r="C207" i="2"/>
  <c r="L207" i="2" s="1" a="1"/>
  <c r="L207" i="2" s="1"/>
  <c r="C208" i="2"/>
  <c r="L208" i="2" s="1" a="1"/>
  <c r="C209" i="2"/>
  <c r="C210" i="2"/>
  <c r="L210" i="2" s="1" a="1"/>
  <c r="L210" i="2" s="1"/>
  <c r="C211" i="2"/>
  <c r="L211" i="2" s="1" a="1"/>
  <c r="L211" i="2" s="1"/>
  <c r="C212" i="2"/>
  <c r="L212" i="2" s="1" a="1"/>
  <c r="L212" i="2" s="1"/>
  <c r="C213" i="2"/>
  <c r="L213" i="2" s="1" a="1"/>
  <c r="L213" i="2" s="1"/>
  <c r="C214" i="2"/>
  <c r="L214" i="2" s="1" a="1"/>
  <c r="L214" i="2" s="1"/>
  <c r="C215" i="2"/>
  <c r="L215" i="2" s="1" a="1"/>
  <c r="L215" i="2" s="1"/>
  <c r="C216" i="2"/>
  <c r="L216" i="2" s="1" a="1"/>
  <c r="L216" i="2" s="1"/>
  <c r="C217" i="2"/>
  <c r="L217" i="2" s="1" a="1"/>
  <c r="L217" i="2" s="1"/>
  <c r="C218" i="2"/>
  <c r="L218" i="2" s="1" a="1"/>
  <c r="L218" i="2" s="1"/>
  <c r="C219" i="2"/>
  <c r="L219" i="2" s="1" a="1"/>
  <c r="L219" i="2" s="1"/>
  <c r="C220" i="2"/>
  <c r="L220" i="2" s="1" a="1"/>
  <c r="L220" i="2" s="1"/>
  <c r="C221" i="2"/>
  <c r="L221" i="2" s="1" a="1"/>
  <c r="L221" i="2" s="1"/>
  <c r="C222" i="2"/>
  <c r="L222" i="2" s="1" a="1"/>
  <c r="L222" i="2" s="1"/>
  <c r="C223" i="2"/>
  <c r="L223" i="2" s="1" a="1"/>
  <c r="L223" i="2" s="1"/>
  <c r="C224" i="2"/>
  <c r="L224" i="2" s="1" a="1"/>
  <c r="L224" i="2" s="1"/>
  <c r="C225" i="2"/>
  <c r="L225" i="2" s="1" a="1"/>
  <c r="L225" i="2" s="1"/>
  <c r="C226" i="2"/>
  <c r="L226" i="2" s="1" a="1"/>
  <c r="L226" i="2" s="1"/>
  <c r="C227" i="2"/>
  <c r="L227" i="2" s="1" a="1"/>
  <c r="L227" i="2" s="1"/>
  <c r="C228" i="2"/>
  <c r="L228" i="2" s="1" a="1"/>
  <c r="L228" i="2" s="1"/>
  <c r="C229" i="2"/>
  <c r="L229" i="2" s="1" a="1"/>
  <c r="L229" i="2" s="1"/>
  <c r="C230" i="2"/>
  <c r="L230" i="2" s="1" a="1"/>
  <c r="L230" i="2" s="1"/>
  <c r="C231" i="2"/>
  <c r="L231" i="2" s="1" a="1"/>
  <c r="L231" i="2" s="1"/>
  <c r="C232" i="2"/>
  <c r="L232" i="2" s="1" a="1"/>
  <c r="L232" i="2" s="1"/>
  <c r="C233" i="2"/>
  <c r="L233" i="2" s="1" a="1"/>
  <c r="L233" i="2" s="1"/>
  <c r="C234" i="2"/>
  <c r="L234" i="2" s="1" a="1"/>
  <c r="L234" i="2" s="1"/>
  <c r="C235" i="2"/>
  <c r="L235" i="2" s="1" a="1"/>
  <c r="L235" i="2" s="1"/>
  <c r="C236" i="2"/>
  <c r="L236" i="2" s="1" a="1"/>
  <c r="L236" i="2" s="1"/>
  <c r="C237" i="2"/>
  <c r="L237" i="2" s="1" a="1"/>
  <c r="L237" i="2" s="1"/>
  <c r="C238" i="2"/>
  <c r="L238" i="2" s="1" a="1"/>
  <c r="L238" i="2" s="1"/>
  <c r="C239" i="2"/>
  <c r="L239" i="2" s="1" a="1"/>
  <c r="L239" i="2" s="1"/>
  <c r="C240" i="2"/>
  <c r="L240" i="2" s="1" a="1"/>
  <c r="L240" i="2" s="1"/>
  <c r="C241" i="2"/>
  <c r="L241" i="2" s="1" a="1"/>
  <c r="L241" i="2" s="1"/>
  <c r="C242" i="2"/>
  <c r="L242" i="2" s="1" a="1"/>
  <c r="L242" i="2" s="1"/>
  <c r="C243" i="2"/>
  <c r="L243" i="2" s="1" a="1"/>
  <c r="L243" i="2" s="1"/>
  <c r="C244" i="2"/>
  <c r="L244" i="2" s="1" a="1"/>
  <c r="L244" i="2" s="1"/>
  <c r="C245" i="2"/>
  <c r="L245" i="2" s="1" a="1"/>
  <c r="L245" i="2" s="1"/>
  <c r="C246" i="2"/>
  <c r="L246" i="2" s="1" a="1"/>
  <c r="L246" i="2" s="1"/>
  <c r="C247" i="2"/>
  <c r="L247" i="2" s="1" a="1"/>
  <c r="L247" i="2" s="1"/>
  <c r="C248" i="2"/>
  <c r="L248" i="2" s="1" a="1"/>
  <c r="L248" i="2" s="1"/>
  <c r="C249" i="2"/>
  <c r="L249" i="2" s="1" a="1"/>
  <c r="L249" i="2" s="1"/>
  <c r="C250" i="2"/>
  <c r="C251" i="2"/>
  <c r="L251" i="2" s="1" a="1"/>
  <c r="L251" i="2" s="1"/>
  <c r="C252" i="2"/>
  <c r="L252" i="2" s="1" a="1"/>
  <c r="L252" i="2" s="1"/>
  <c r="C253" i="2"/>
  <c r="L253" i="2" s="1" a="1"/>
  <c r="L253" i="2" s="1"/>
  <c r="C254" i="2"/>
  <c r="L254" i="2" s="1" a="1"/>
  <c r="L254" i="2" s="1"/>
  <c r="C255" i="2"/>
  <c r="L255" i="2" s="1" a="1"/>
  <c r="L255" i="2" s="1"/>
  <c r="C256" i="2"/>
  <c r="L256" i="2" s="1" a="1"/>
  <c r="L256" i="2" s="1"/>
  <c r="C257" i="2"/>
  <c r="L257" i="2" s="1" a="1"/>
  <c r="L257" i="2" s="1"/>
  <c r="C258" i="2"/>
  <c r="L258" i="2" s="1" a="1"/>
  <c r="L258" i="2" s="1"/>
  <c r="C259" i="2"/>
  <c r="L259" i="2" s="1" a="1"/>
  <c r="L259" i="2" s="1"/>
  <c r="C260" i="2"/>
  <c r="L260" i="2" s="1" a="1"/>
  <c r="L260" i="2" s="1"/>
  <c r="C261" i="2"/>
  <c r="L261" i="2" s="1" a="1"/>
  <c r="L261" i="2" s="1"/>
  <c r="C262" i="2"/>
  <c r="L262" i="2" s="1" a="1"/>
  <c r="L262" i="2" s="1"/>
  <c r="C263" i="2"/>
  <c r="L263" i="2" s="1" a="1"/>
  <c r="L263" i="2" s="1"/>
  <c r="C264" i="2"/>
  <c r="L264" i="2" s="1" a="1"/>
  <c r="L264" i="2" s="1"/>
  <c r="C265" i="2"/>
  <c r="L265" i="2" s="1" a="1"/>
  <c r="L265" i="2" s="1"/>
  <c r="C266" i="2"/>
  <c r="L266" i="2" s="1" a="1"/>
  <c r="L266" i="2" s="1"/>
  <c r="C267" i="2"/>
  <c r="L267" i="2" s="1" a="1"/>
  <c r="L267" i="2" s="1"/>
  <c r="C268" i="2"/>
  <c r="L268" i="2" s="1" a="1"/>
  <c r="L268" i="2" s="1"/>
  <c r="C269" i="2"/>
  <c r="L269" i="2" s="1" a="1"/>
  <c r="L269" i="2" s="1"/>
  <c r="C270" i="2"/>
  <c r="L270" i="2" s="1" a="1"/>
  <c r="L270" i="2" s="1"/>
  <c r="C271" i="2"/>
  <c r="L271" i="2" s="1" a="1"/>
  <c r="L271" i="2" s="1"/>
  <c r="C272" i="2"/>
  <c r="L272" i="2" s="1" a="1"/>
  <c r="L272" i="2" s="1"/>
  <c r="C273" i="2"/>
  <c r="L273" i="2" s="1" a="1"/>
  <c r="L273" i="2" s="1"/>
  <c r="C274" i="2"/>
  <c r="L274" i="2" s="1" a="1"/>
  <c r="L274" i="2" s="1"/>
  <c r="C275" i="2"/>
  <c r="L275" i="2" s="1" a="1"/>
  <c r="L275" i="2" s="1"/>
  <c r="C276" i="2"/>
  <c r="L276" i="2" s="1" a="1"/>
  <c r="L276" i="2" s="1"/>
  <c r="C277" i="2"/>
  <c r="L277" i="2" s="1" a="1"/>
  <c r="L277" i="2" s="1"/>
  <c r="C278" i="2"/>
  <c r="L278" i="2" s="1" a="1"/>
  <c r="L278" i="2" s="1"/>
  <c r="C279" i="2"/>
  <c r="C280" i="2"/>
  <c r="L280" i="2" s="1" a="1"/>
  <c r="L280" i="2" s="1"/>
  <c r="C281" i="2"/>
  <c r="L281" i="2" s="1" a="1"/>
  <c r="L281" i="2" s="1"/>
  <c r="C282" i="2"/>
  <c r="L282" i="2" s="1" a="1"/>
  <c r="L282" i="2" s="1"/>
  <c r="C283" i="2"/>
  <c r="L283" i="2" s="1" a="1"/>
  <c r="L283" i="2" s="1"/>
  <c r="C284" i="2"/>
  <c r="L284" i="2" s="1" a="1"/>
  <c r="L284" i="2" s="1"/>
  <c r="C285" i="2"/>
  <c r="L285" i="2" s="1" a="1"/>
  <c r="L285" i="2" s="1"/>
  <c r="C286" i="2"/>
  <c r="L286" i="2" s="1" a="1"/>
  <c r="L286" i="2" s="1"/>
  <c r="C287" i="2"/>
  <c r="L287" i="2" s="1" a="1"/>
  <c r="L287" i="2" s="1"/>
  <c r="C288" i="2"/>
  <c r="L288" i="2" s="1" a="1"/>
  <c r="C289" i="2"/>
  <c r="L289" i="2" s="1" a="1"/>
  <c r="L289" i="2" s="1"/>
  <c r="C290" i="2"/>
  <c r="L290" i="2" s="1" a="1"/>
  <c r="L290" i="2" s="1"/>
  <c r="C291" i="2"/>
  <c r="L291" i="2" s="1" a="1"/>
  <c r="L291" i="2" s="1"/>
  <c r="C292" i="2"/>
  <c r="L292" i="2" s="1" a="1"/>
  <c r="L292" i="2" s="1"/>
  <c r="C293" i="2"/>
  <c r="L293" i="2" s="1" a="1"/>
  <c r="L293" i="2" s="1"/>
  <c r="C294" i="2"/>
  <c r="L294" i="2" s="1" a="1"/>
  <c r="L294" i="2" s="1"/>
  <c r="C295" i="2"/>
  <c r="L295" i="2" s="1" a="1"/>
  <c r="L295" i="2" s="1"/>
  <c r="C296" i="2"/>
  <c r="L296" i="2" s="1" a="1"/>
  <c r="L296" i="2" s="1"/>
  <c r="C297" i="2"/>
  <c r="L297" i="2" s="1" a="1"/>
  <c r="L297" i="2" s="1"/>
  <c r="C298" i="2"/>
  <c r="L298" i="2" s="1" a="1"/>
  <c r="L298" i="2" s="1"/>
  <c r="C299" i="2"/>
  <c r="L299" i="2" s="1" a="1"/>
  <c r="L299" i="2" s="1"/>
  <c r="C300" i="2"/>
  <c r="L300" i="2" s="1" a="1"/>
  <c r="L300" i="2" s="1"/>
  <c r="C301" i="2"/>
  <c r="L301" i="2" s="1" a="1"/>
  <c r="L301" i="2" s="1"/>
  <c r="C302" i="2"/>
  <c r="L302" i="2" s="1" a="1"/>
  <c r="L302" i="2" s="1"/>
  <c r="C303" i="2"/>
  <c r="L303" i="2" s="1" a="1"/>
  <c r="L303" i="2" s="1"/>
  <c r="C304" i="2"/>
  <c r="L304" i="2" s="1" a="1"/>
  <c r="L304" i="2" s="1"/>
  <c r="C305" i="2"/>
  <c r="L305" i="2" s="1" a="1"/>
  <c r="L305" i="2" s="1"/>
  <c r="C306" i="2"/>
  <c r="L306" i="2" s="1" a="1"/>
  <c r="L306" i="2" s="1"/>
  <c r="C307" i="2"/>
  <c r="L307" i="2" s="1" a="1"/>
  <c r="L307" i="2" s="1"/>
  <c r="C308" i="2"/>
  <c r="L308" i="2" s="1" a="1"/>
  <c r="L308" i="2" s="1"/>
  <c r="C309" i="2"/>
  <c r="L309" i="2" s="1" a="1"/>
  <c r="L309" i="2" s="1"/>
  <c r="C310" i="2"/>
  <c r="L310" i="2" s="1" a="1"/>
  <c r="L310" i="2" s="1"/>
  <c r="C311" i="2"/>
  <c r="L311" i="2" s="1" a="1"/>
  <c r="L311" i="2" s="1"/>
  <c r="C312" i="2"/>
  <c r="L312" i="2" s="1" a="1"/>
  <c r="L312" i="2" s="1"/>
  <c r="C313" i="2"/>
  <c r="L313" i="2" s="1" a="1"/>
  <c r="L313" i="2" s="1"/>
  <c r="C314" i="2"/>
  <c r="L314" i="2" s="1" a="1"/>
  <c r="L314" i="2" s="1"/>
  <c r="C315" i="2"/>
  <c r="L315" i="2" s="1" a="1"/>
  <c r="L315" i="2" s="1"/>
  <c r="C316" i="2"/>
  <c r="L316" i="2" s="1" a="1"/>
  <c r="L316" i="2" s="1"/>
  <c r="C317" i="2"/>
  <c r="L317" i="2" s="1" a="1"/>
  <c r="L317" i="2" s="1"/>
  <c r="C318" i="2"/>
  <c r="L318" i="2" s="1" a="1"/>
  <c r="L318" i="2" s="1"/>
  <c r="C319" i="2"/>
  <c r="C320" i="2"/>
  <c r="L320" i="2" s="1" a="1"/>
  <c r="C321" i="2"/>
  <c r="L321" i="2" s="1" a="1"/>
  <c r="L321" i="2" s="1"/>
  <c r="C322" i="2"/>
  <c r="L322" i="2" s="1" a="1"/>
  <c r="L322" i="2" s="1"/>
  <c r="C323" i="2"/>
  <c r="L323" i="2" s="1" a="1"/>
  <c r="L323" i="2" s="1"/>
  <c r="C324" i="2"/>
  <c r="L324" i="2" s="1" a="1"/>
  <c r="L324" i="2" s="1"/>
  <c r="C325" i="2"/>
  <c r="L325" i="2" s="1" a="1"/>
  <c r="L325" i="2" s="1"/>
  <c r="C326" i="2"/>
  <c r="L326" i="2" s="1" a="1"/>
  <c r="L326" i="2" s="1"/>
  <c r="C327" i="2"/>
  <c r="L327" i="2" s="1" a="1"/>
  <c r="L327" i="2" s="1"/>
  <c r="C328" i="2"/>
  <c r="L328" i="2" s="1" a="1"/>
  <c r="L328" i="2" s="1"/>
  <c r="C329" i="2"/>
  <c r="L329" i="2" s="1" a="1"/>
  <c r="L329" i="2" s="1"/>
  <c r="C330" i="2"/>
  <c r="L330" i="2" s="1" a="1"/>
  <c r="L330" i="2" s="1"/>
  <c r="C331" i="2"/>
  <c r="L331" i="2" s="1" a="1"/>
  <c r="L331" i="2" s="1"/>
  <c r="C332" i="2"/>
  <c r="L332" i="2" s="1" a="1"/>
  <c r="L332" i="2" s="1"/>
  <c r="C333" i="2"/>
  <c r="L333" i="2" s="1" a="1"/>
  <c r="L333" i="2" s="1"/>
  <c r="C334" i="2"/>
  <c r="L334" i="2" s="1" a="1"/>
  <c r="L334" i="2" s="1"/>
  <c r="C335" i="2"/>
  <c r="L335" i="2" s="1" a="1"/>
  <c r="L335" i="2" s="1"/>
  <c r="C336" i="2"/>
  <c r="L336" i="2" s="1" a="1"/>
  <c r="L336" i="2" s="1"/>
  <c r="C337" i="2"/>
  <c r="L337" i="2" s="1" a="1"/>
  <c r="L337" i="2" s="1"/>
  <c r="C338" i="2"/>
  <c r="L338" i="2" s="1" a="1"/>
  <c r="L338" i="2" s="1"/>
  <c r="C339" i="2"/>
  <c r="L339" i="2" s="1" a="1"/>
  <c r="L339" i="2" s="1"/>
  <c r="C340" i="2"/>
  <c r="L340" i="2" s="1" a="1"/>
  <c r="L340" i="2" s="1"/>
  <c r="C341" i="2"/>
  <c r="L341" i="2" s="1" a="1"/>
  <c r="L341" i="2" s="1"/>
  <c r="C342" i="2"/>
  <c r="L342" i="2" s="1" a="1"/>
  <c r="L342" i="2" s="1"/>
  <c r="C343" i="2"/>
  <c r="L343" i="2" s="1" a="1"/>
  <c r="L343" i="2" s="1"/>
  <c r="C344" i="2"/>
  <c r="L344" i="2" s="1" a="1"/>
  <c r="L344" i="2" s="1"/>
  <c r="C345" i="2"/>
  <c r="L345" i="2" s="1" a="1"/>
  <c r="L345" i="2" s="1"/>
  <c r="C346" i="2"/>
  <c r="L346" i="2" s="1" a="1"/>
  <c r="L346" i="2" s="1"/>
  <c r="C347" i="2"/>
  <c r="L347" i="2" s="1" a="1"/>
  <c r="L347" i="2" s="1"/>
  <c r="C348" i="2"/>
  <c r="L348" i="2" s="1" a="1"/>
  <c r="L348" i="2" s="1"/>
  <c r="C349" i="2"/>
  <c r="L349" i="2" s="1" a="1"/>
  <c r="L349" i="2" s="1"/>
  <c r="C350" i="2"/>
  <c r="L350" i="2" s="1" a="1"/>
  <c r="L350" i="2" s="1"/>
  <c r="C351" i="2"/>
  <c r="L351" i="2" s="1" a="1"/>
  <c r="L351" i="2" s="1"/>
  <c r="C352" i="2"/>
  <c r="L352" i="2" s="1" a="1"/>
  <c r="L352" i="2" s="1"/>
  <c r="C353" i="2"/>
  <c r="L353" i="2" s="1" a="1"/>
  <c r="L353" i="2" s="1"/>
  <c r="C354" i="2"/>
  <c r="L354" i="2" s="1" a="1"/>
  <c r="L354" i="2" s="1"/>
  <c r="C355" i="2"/>
  <c r="L355" i="2" s="1" a="1"/>
  <c r="L355" i="2" s="1"/>
  <c r="C356" i="2"/>
  <c r="L356" i="2" s="1" a="1"/>
  <c r="L356" i="2" s="1"/>
  <c r="C357" i="2"/>
  <c r="L357" i="2" s="1" a="1"/>
  <c r="L357" i="2" s="1"/>
  <c r="C358" i="2"/>
  <c r="L358" i="2" s="1" a="1"/>
  <c r="L358" i="2" s="1"/>
  <c r="C359" i="2"/>
  <c r="L359" i="2" s="1" a="1"/>
  <c r="L359" i="2" s="1"/>
  <c r="C360" i="2"/>
  <c r="C361" i="2"/>
  <c r="L361" i="2" s="1" a="1"/>
  <c r="L361" i="2" s="1"/>
  <c r="C362" i="2"/>
  <c r="L362" i="2" s="1" a="1"/>
  <c r="L362" i="2" s="1"/>
  <c r="C363" i="2"/>
  <c r="L363" i="2" s="1" a="1"/>
  <c r="L363" i="2" s="1"/>
  <c r="C364" i="2"/>
  <c r="C365" i="2"/>
  <c r="L365" i="2" s="1" a="1"/>
  <c r="L365" i="2" s="1"/>
  <c r="C366" i="2"/>
  <c r="L366" i="2" s="1" a="1"/>
  <c r="L366" i="2" s="1"/>
  <c r="C367" i="2"/>
  <c r="L367" i="2" s="1" a="1"/>
  <c r="L367" i="2" s="1"/>
  <c r="C368" i="2"/>
  <c r="L368" i="2" s="1" a="1"/>
  <c r="L368" i="2" s="1"/>
  <c r="C369" i="2"/>
  <c r="L369" i="2" s="1" a="1"/>
  <c r="L369" i="2" s="1"/>
  <c r="C370" i="2"/>
  <c r="L370" i="2" s="1" a="1"/>
  <c r="L370" i="2" s="1"/>
  <c r="C371" i="2"/>
  <c r="L371" i="2" s="1" a="1"/>
  <c r="L371" i="2" s="1"/>
  <c r="C372" i="2"/>
  <c r="L372" i="2" s="1" a="1"/>
  <c r="L372" i="2" s="1"/>
  <c r="C373" i="2"/>
  <c r="L373" i="2" s="1" a="1"/>
  <c r="L373" i="2" s="1"/>
  <c r="C374" i="2"/>
  <c r="L374" i="2" s="1" a="1"/>
  <c r="L374" i="2" s="1"/>
  <c r="C375" i="2"/>
  <c r="L375" i="2" s="1" a="1"/>
  <c r="L375" i="2" s="1"/>
  <c r="C376" i="2"/>
  <c r="L376" i="2" s="1" a="1"/>
  <c r="L376" i="2" s="1"/>
  <c r="C377" i="2"/>
  <c r="L377" i="2" s="1" a="1"/>
  <c r="L377" i="2" s="1"/>
  <c r="C378" i="2"/>
  <c r="L378" i="2" s="1" a="1"/>
  <c r="L378" i="2" s="1"/>
  <c r="C379" i="2"/>
  <c r="L379" i="2" s="1" a="1"/>
  <c r="L379" i="2" s="1"/>
  <c r="C380" i="2"/>
  <c r="L380" i="2" s="1" a="1"/>
  <c r="L380" i="2" s="1"/>
  <c r="C381" i="2"/>
  <c r="L381" i="2" s="1" a="1"/>
  <c r="L381" i="2" s="1"/>
  <c r="C382" i="2"/>
  <c r="L382" i="2" s="1" a="1"/>
  <c r="L382" i="2" s="1"/>
  <c r="C383" i="2"/>
  <c r="L383" i="2" s="1" a="1"/>
  <c r="L383" i="2" s="1"/>
  <c r="C384" i="2"/>
  <c r="L384" i="2" s="1" a="1"/>
  <c r="L384" i="2" s="1"/>
  <c r="C385" i="2"/>
  <c r="L385" i="2" s="1" a="1"/>
  <c r="L385" i="2" s="1"/>
  <c r="C386" i="2"/>
  <c r="L386" i="2" s="1" a="1"/>
  <c r="L386" i="2" s="1"/>
  <c r="C387" i="2"/>
  <c r="L387" i="2" s="1" a="1"/>
  <c r="L387" i="2" s="1"/>
  <c r="C388" i="2"/>
  <c r="L388" i="2" s="1" a="1"/>
  <c r="L388" i="2" s="1"/>
  <c r="C389" i="2"/>
  <c r="L389" i="2" s="1" a="1"/>
  <c r="L389" i="2" s="1"/>
  <c r="C390" i="2"/>
  <c r="L390" i="2" s="1" a="1"/>
  <c r="L390" i="2" s="1"/>
  <c r="C391" i="2"/>
  <c r="L391" i="2" s="1" a="1"/>
  <c r="L391" i="2" s="1"/>
  <c r="C392" i="2"/>
  <c r="L392" i="2" s="1" a="1"/>
  <c r="L392" i="2" s="1"/>
  <c r="C393" i="2"/>
  <c r="L393" i="2" s="1" a="1"/>
  <c r="L393" i="2" s="1"/>
  <c r="C394" i="2"/>
  <c r="L394" i="2" s="1" a="1"/>
  <c r="L394" i="2" s="1"/>
  <c r="C395" i="2"/>
  <c r="L395" i="2" s="1" a="1"/>
  <c r="L395" i="2" s="1"/>
  <c r="C396" i="2"/>
  <c r="L396" i="2" s="1" a="1"/>
  <c r="L396" i="2" s="1"/>
  <c r="C397" i="2"/>
  <c r="L397" i="2" s="1" a="1"/>
  <c r="L397" i="2" s="1"/>
  <c r="C398" i="2"/>
  <c r="L398" i="2" s="1" a="1"/>
  <c r="L398" i="2" s="1"/>
  <c r="C399" i="2"/>
  <c r="L399" i="2" s="1" a="1"/>
  <c r="L399" i="2" s="1"/>
  <c r="C400" i="2"/>
  <c r="L400" i="2" s="1" a="1"/>
  <c r="L400" i="2" s="1"/>
  <c r="C401" i="2"/>
  <c r="L401" i="2" s="1" a="1"/>
  <c r="L401" i="2" s="1"/>
  <c r="C402" i="2"/>
  <c r="L402" i="2" s="1" a="1"/>
  <c r="L402" i="2" s="1"/>
  <c r="C403" i="2"/>
  <c r="L403" i="2" s="1" a="1"/>
  <c r="L403" i="2" s="1"/>
  <c r="C404" i="2"/>
  <c r="L404" i="2" s="1" a="1"/>
  <c r="L404" i="2" s="1"/>
  <c r="C405" i="2"/>
  <c r="L405" i="2" s="1" a="1"/>
  <c r="L405" i="2" s="1"/>
  <c r="C406" i="2"/>
  <c r="L406" i="2" s="1" a="1"/>
  <c r="L406" i="2" s="1"/>
  <c r="C407" i="2"/>
  <c r="L407" i="2" s="1" a="1"/>
  <c r="L407" i="2" s="1"/>
  <c r="C408" i="2"/>
  <c r="L408" i="2" s="1" a="1"/>
  <c r="L408" i="2" s="1"/>
  <c r="C409" i="2"/>
  <c r="L409" i="2" s="1" a="1"/>
  <c r="L409" i="2" s="1"/>
  <c r="C410" i="2"/>
  <c r="L410" i="2" s="1" a="1"/>
  <c r="L410" i="2" s="1"/>
  <c r="C411" i="2"/>
  <c r="L411" i="2" s="1" a="1"/>
  <c r="C412" i="2"/>
  <c r="L412" i="2" s="1" a="1"/>
  <c r="L412" i="2" s="1"/>
  <c r="C413" i="2"/>
  <c r="L413" i="2" s="1" a="1"/>
  <c r="L413" i="2" s="1"/>
  <c r="C414" i="2"/>
  <c r="L414" i="2" s="1" a="1"/>
  <c r="L414" i="2" s="1"/>
  <c r="C415" i="2"/>
  <c r="L415" i="2" s="1" a="1"/>
  <c r="L415" i="2" s="1"/>
  <c r="C416" i="2"/>
  <c r="L416" i="2" s="1" a="1"/>
  <c r="L416" i="2" s="1"/>
  <c r="C417" i="2"/>
  <c r="L417" i="2" s="1" a="1"/>
  <c r="L417" i="2" s="1"/>
  <c r="C418" i="2"/>
  <c r="L418" i="2" s="1" a="1"/>
  <c r="L418" i="2" s="1"/>
  <c r="C419" i="2"/>
  <c r="L419" i="2" s="1" a="1"/>
  <c r="L419" i="2" s="1"/>
  <c r="C420" i="2"/>
  <c r="L420" i="2" s="1" a="1"/>
  <c r="L420" i="2" s="1"/>
  <c r="C421" i="2"/>
  <c r="L421" i="2" s="1" a="1"/>
  <c r="L421" i="2" s="1"/>
  <c r="C422" i="2"/>
  <c r="L422" i="2" s="1" a="1"/>
  <c r="L422" i="2" s="1"/>
  <c r="C423" i="2"/>
  <c r="L423" i="2" s="1" a="1"/>
  <c r="L423" i="2" s="1"/>
  <c r="C424" i="2"/>
  <c r="L424" i="2" s="1" a="1"/>
  <c r="L424" i="2" s="1"/>
  <c r="C425" i="2"/>
  <c r="L425" i="2" s="1" a="1"/>
  <c r="L425" i="2" s="1"/>
  <c r="C426" i="2"/>
  <c r="L426" i="2" s="1" a="1"/>
  <c r="L426" i="2" s="1"/>
  <c r="C427" i="2"/>
  <c r="L427" i="2" s="1" a="1"/>
  <c r="L427" i="2" s="1"/>
  <c r="C428" i="2"/>
  <c r="L428" i="2" s="1" a="1"/>
  <c r="L428" i="2" s="1"/>
  <c r="C429" i="2"/>
  <c r="L429" i="2" s="1" a="1"/>
  <c r="L429" i="2" s="1"/>
  <c r="C430" i="2"/>
  <c r="L430" i="2" s="1" a="1"/>
  <c r="L430" i="2" s="1"/>
  <c r="C431" i="2"/>
  <c r="L431" i="2" s="1" a="1"/>
  <c r="L431" i="2" s="1"/>
  <c r="C432" i="2"/>
  <c r="L432" i="2" s="1" a="1"/>
  <c r="L432" i="2" s="1"/>
  <c r="C433" i="2"/>
  <c r="L433" i="2" s="1" a="1"/>
  <c r="L433" i="2" s="1"/>
  <c r="C434" i="2"/>
  <c r="L434" i="2" s="1" a="1"/>
  <c r="L434" i="2" s="1"/>
  <c r="C435" i="2"/>
  <c r="L435" i="2" s="1" a="1"/>
  <c r="L435" i="2" s="1"/>
  <c r="C436" i="2"/>
  <c r="L436" i="2" s="1" a="1"/>
  <c r="L436" i="2" s="1"/>
  <c r="C437" i="2"/>
  <c r="L437" i="2" s="1" a="1"/>
  <c r="L437" i="2" s="1"/>
  <c r="C438" i="2"/>
  <c r="L438" i="2" s="1" a="1"/>
  <c r="L438" i="2" s="1"/>
  <c r="C439" i="2"/>
  <c r="L439" i="2" s="1" a="1"/>
  <c r="L439" i="2" s="1"/>
  <c r="C440" i="2"/>
  <c r="L440" i="2" s="1" a="1"/>
  <c r="L440" i="2" s="1"/>
  <c r="C441" i="2"/>
  <c r="L441" i="2" s="1" a="1"/>
  <c r="L441" i="2" s="1"/>
  <c r="C442" i="2"/>
  <c r="L442" i="2" s="1" a="1"/>
  <c r="L442" i="2" s="1"/>
  <c r="C443" i="2"/>
  <c r="L443" i="2" s="1" a="1"/>
  <c r="L443" i="2" s="1"/>
  <c r="C444" i="2"/>
  <c r="L444" i="2" s="1" a="1"/>
  <c r="L444" i="2" s="1"/>
  <c r="C445" i="2"/>
  <c r="C446" i="2"/>
  <c r="L446" i="2" s="1" a="1"/>
  <c r="L446" i="2" s="1"/>
  <c r="C447" i="2"/>
  <c r="L447" i="2" s="1" a="1"/>
  <c r="L447" i="2" s="1"/>
  <c r="C448" i="2"/>
  <c r="L448" i="2" s="1" a="1"/>
  <c r="L448" i="2" s="1"/>
  <c r="C449" i="2"/>
  <c r="L449" i="2" s="1" a="1"/>
  <c r="L449" i="2" s="1"/>
  <c r="C450" i="2"/>
  <c r="L450" i="2" s="1" a="1"/>
  <c r="L450" i="2" s="1"/>
  <c r="C451" i="2"/>
  <c r="L451" i="2" s="1" a="1"/>
  <c r="L451" i="2" s="1"/>
  <c r="C452" i="2"/>
  <c r="L452" i="2" s="1" a="1"/>
  <c r="L452" i="2" s="1"/>
  <c r="C453" i="2"/>
  <c r="L453" i="2" s="1" a="1"/>
  <c r="L453" i="2" s="1"/>
  <c r="C454" i="2"/>
  <c r="L454" i="2" s="1" a="1"/>
  <c r="L454" i="2" s="1"/>
  <c r="C455" i="2"/>
  <c r="L455" i="2" s="1" a="1"/>
  <c r="L455" i="2" s="1"/>
  <c r="C456" i="2"/>
  <c r="L456" i="2" s="1" a="1"/>
  <c r="L456" i="2" s="1"/>
  <c r="C457" i="2"/>
  <c r="L457" i="2" s="1" a="1"/>
  <c r="L457" i="2" s="1"/>
  <c r="C458" i="2"/>
  <c r="L458" i="2" s="1" a="1"/>
  <c r="L458" i="2" s="1"/>
  <c r="C459" i="2"/>
  <c r="L459" i="2" s="1" a="1"/>
  <c r="L459" i="2" s="1"/>
  <c r="C460" i="2"/>
  <c r="L460" i="2" s="1" a="1"/>
  <c r="L460" i="2" s="1"/>
  <c r="C461" i="2"/>
  <c r="L461" i="2" s="1" a="1"/>
  <c r="L461" i="2" s="1"/>
  <c r="C462" i="2"/>
  <c r="L462" i="2" s="1" a="1"/>
  <c r="L462" i="2" s="1"/>
  <c r="C463" i="2"/>
  <c r="L463" i="2" s="1" a="1"/>
  <c r="L463" i="2" s="1"/>
  <c r="C464" i="2"/>
  <c r="L464" i="2" s="1" a="1"/>
  <c r="L464" i="2" s="1"/>
  <c r="C465" i="2"/>
  <c r="L465" i="2" s="1" a="1"/>
  <c r="L465" i="2" s="1"/>
  <c r="C466" i="2"/>
  <c r="L466" i="2" s="1" a="1"/>
  <c r="L466" i="2" s="1"/>
  <c r="C467" i="2"/>
  <c r="L467" i="2" s="1" a="1"/>
  <c r="L467" i="2" s="1"/>
  <c r="C468" i="2"/>
  <c r="L468" i="2" s="1" a="1"/>
  <c r="L468" i="2" s="1"/>
  <c r="C469" i="2"/>
  <c r="L469" i="2" s="1" a="1"/>
  <c r="L469" i="2" s="1"/>
  <c r="C470" i="2"/>
  <c r="L470" i="2" s="1" a="1"/>
  <c r="L470" i="2" s="1"/>
  <c r="C471" i="2"/>
  <c r="L471" i="2" s="1" a="1"/>
  <c r="L471" i="2" s="1"/>
  <c r="C472" i="2"/>
  <c r="L472" i="2" s="1" a="1"/>
  <c r="L472" i="2" s="1"/>
  <c r="C473" i="2"/>
  <c r="L473" i="2" s="1" a="1"/>
  <c r="L473" i="2" s="1"/>
  <c r="C474" i="2"/>
  <c r="L474" i="2" s="1" a="1"/>
  <c r="L474" i="2" s="1"/>
  <c r="C475" i="2"/>
  <c r="L475" i="2" s="1" a="1"/>
  <c r="L475" i="2" s="1"/>
  <c r="C476" i="2"/>
  <c r="L476" i="2" s="1" a="1"/>
  <c r="L476" i="2" s="1"/>
  <c r="C477" i="2"/>
  <c r="L477" i="2" s="1" a="1"/>
  <c r="L477" i="2" s="1"/>
  <c r="C478" i="2"/>
  <c r="L478" i="2" s="1" a="1"/>
  <c r="L478" i="2" s="1"/>
  <c r="C479" i="2"/>
  <c r="L479" i="2" s="1" a="1"/>
  <c r="L479" i="2" s="1"/>
  <c r="C480" i="2"/>
  <c r="L480" i="2" s="1" a="1"/>
  <c r="L480" i="2" s="1"/>
  <c r="C481" i="2"/>
  <c r="L481" i="2" s="1" a="1"/>
  <c r="L481" i="2" s="1"/>
  <c r="C482" i="2"/>
  <c r="L482" i="2" s="1" a="1"/>
  <c r="L482" i="2" s="1"/>
  <c r="C483" i="2"/>
  <c r="L483" i="2" s="1" a="1"/>
  <c r="L483" i="2" s="1"/>
  <c r="C484" i="2"/>
  <c r="L484" i="2" s="1" a="1"/>
  <c r="L484" i="2" s="1"/>
  <c r="C485" i="2"/>
  <c r="L485" i="2" s="1" a="1"/>
  <c r="L485" i="2" s="1"/>
  <c r="C486" i="2"/>
  <c r="L486" i="2" s="1" a="1"/>
  <c r="L486" i="2" s="1"/>
  <c r="C487" i="2"/>
  <c r="L487" i="2" s="1" a="1"/>
  <c r="L487" i="2" s="1"/>
  <c r="C488" i="2"/>
  <c r="L488" i="2" s="1" a="1"/>
  <c r="L488" i="2" s="1"/>
  <c r="C489" i="2"/>
  <c r="L489" i="2" s="1" a="1"/>
  <c r="L489" i="2" s="1"/>
  <c r="C490" i="2"/>
  <c r="L490" i="2" s="1" a="1"/>
  <c r="L490" i="2" s="1"/>
  <c r="C491" i="2"/>
  <c r="L491" i="2" s="1" a="1"/>
  <c r="L491" i="2" s="1"/>
  <c r="C492" i="2"/>
  <c r="L492" i="2" s="1" a="1"/>
  <c r="L492" i="2" s="1"/>
  <c r="C493" i="2"/>
  <c r="L493" i="2" s="1" a="1"/>
  <c r="L493" i="2" s="1"/>
  <c r="C494" i="2"/>
  <c r="L494" i="2" s="1" a="1"/>
  <c r="L494" i="2" s="1"/>
  <c r="C495" i="2"/>
  <c r="L495" i="2" s="1" a="1"/>
  <c r="L495" i="2" s="1"/>
  <c r="C496" i="2"/>
  <c r="L496" i="2" s="1" a="1"/>
  <c r="L496" i="2" s="1"/>
  <c r="C497" i="2"/>
  <c r="L497" i="2" s="1" a="1"/>
  <c r="L497" i="2" s="1"/>
  <c r="C498" i="2"/>
  <c r="L498" i="2" s="1" a="1"/>
  <c r="L498" i="2" s="1"/>
  <c r="C499" i="2"/>
  <c r="L499" i="2" s="1" a="1"/>
  <c r="L499" i="2" s="1"/>
  <c r="C500" i="2"/>
  <c r="L500" i="2" s="1" a="1"/>
  <c r="L500" i="2" s="1"/>
  <c r="C501" i="2"/>
  <c r="L501" i="2" s="1" a="1"/>
  <c r="L501" i="2" s="1"/>
  <c r="C502" i="2"/>
  <c r="L502" i="2" s="1" a="1"/>
  <c r="L502" i="2" s="1"/>
  <c r="C503" i="2"/>
  <c r="L503" i="2" s="1" a="1"/>
  <c r="L503" i="2" s="1"/>
  <c r="C504" i="2"/>
  <c r="L504" i="2" s="1" a="1"/>
  <c r="L504" i="2" s="1"/>
  <c r="C505" i="2"/>
  <c r="L505" i="2" s="1" a="1"/>
  <c r="L505" i="2" s="1"/>
  <c r="C506" i="2"/>
  <c r="L506" i="2" s="1" a="1"/>
  <c r="L506" i="2" s="1"/>
  <c r="C507" i="2"/>
  <c r="L507" i="2" s="1" a="1"/>
  <c r="L507" i="2" s="1"/>
  <c r="C508" i="2"/>
  <c r="L508" i="2" s="1" a="1"/>
  <c r="L508" i="2" s="1"/>
  <c r="C509" i="2"/>
  <c r="L509" i="2" s="1" a="1"/>
  <c r="L509" i="2" s="1"/>
  <c r="C510" i="2"/>
  <c r="L510" i="2" s="1" a="1"/>
  <c r="L510" i="2" s="1"/>
  <c r="C511" i="2"/>
  <c r="L511" i="2" s="1" a="1"/>
  <c r="L511" i="2" s="1"/>
  <c r="C512" i="2"/>
  <c r="L512" i="2" s="1" a="1"/>
  <c r="L512" i="2" s="1"/>
  <c r="C513" i="2"/>
  <c r="L513" i="2" s="1" a="1"/>
  <c r="L513" i="2" s="1"/>
  <c r="C514" i="2"/>
  <c r="L514" i="2" s="1" a="1"/>
  <c r="L514" i="2" s="1"/>
  <c r="C515" i="2"/>
  <c r="L515" i="2" s="1" a="1"/>
  <c r="L515" i="2" s="1"/>
  <c r="C516" i="2"/>
  <c r="L516" i="2" s="1" a="1"/>
  <c r="L516" i="2" s="1"/>
  <c r="C517" i="2"/>
  <c r="L517" i="2" s="1" a="1"/>
  <c r="L517" i="2" s="1"/>
  <c r="C518" i="2"/>
  <c r="L518" i="2" s="1" a="1"/>
  <c r="L518" i="2" s="1"/>
  <c r="C519" i="2"/>
  <c r="L519" i="2" s="1" a="1"/>
  <c r="L519" i="2" s="1"/>
  <c r="C520" i="2"/>
  <c r="L520" i="2" s="1" a="1"/>
  <c r="L520" i="2" s="1"/>
  <c r="C521" i="2"/>
  <c r="L521" i="2" s="1" a="1"/>
  <c r="L521" i="2" s="1"/>
  <c r="C522" i="2"/>
  <c r="L522" i="2" s="1" a="1"/>
  <c r="L522" i="2" s="1"/>
  <c r="C523" i="2"/>
  <c r="L523" i="2" s="1" a="1"/>
  <c r="L523" i="2" s="1"/>
  <c r="C524" i="2"/>
  <c r="L524" i="2" s="1" a="1"/>
  <c r="L524" i="2" s="1"/>
  <c r="C525" i="2"/>
  <c r="L525" i="2" s="1" a="1"/>
  <c r="L525" i="2" s="1"/>
  <c r="C526" i="2"/>
  <c r="L526" i="2" s="1" a="1"/>
  <c r="L526" i="2" s="1"/>
  <c r="C527" i="2"/>
  <c r="L527" i="2" s="1" a="1"/>
  <c r="L527" i="2" s="1"/>
  <c r="C528" i="2"/>
  <c r="L528" i="2" s="1" a="1"/>
  <c r="L528" i="2" s="1"/>
  <c r="C529" i="2"/>
  <c r="L529" i="2" s="1" a="1"/>
  <c r="L529" i="2" s="1"/>
  <c r="C530" i="2"/>
  <c r="L530" i="2" s="1" a="1"/>
  <c r="L530" i="2" s="1"/>
  <c r="C531" i="2"/>
  <c r="L531" i="2" s="1" a="1"/>
  <c r="L531" i="2" s="1"/>
  <c r="C532" i="2"/>
  <c r="L532" i="2" s="1" a="1"/>
  <c r="L532" i="2" s="1"/>
  <c r="C533" i="2"/>
  <c r="L533" i="2" s="1" a="1"/>
  <c r="L533" i="2" s="1"/>
  <c r="C534" i="2"/>
  <c r="L534" i="2" s="1" a="1"/>
  <c r="L534" i="2" s="1"/>
  <c r="C535" i="2"/>
  <c r="L535" i="2" s="1" a="1"/>
  <c r="L535" i="2" s="1"/>
  <c r="C536" i="2"/>
  <c r="L536" i="2" s="1" a="1"/>
  <c r="L536" i="2" s="1"/>
  <c r="C537" i="2"/>
  <c r="L537" i="2" s="1" a="1"/>
  <c r="L537" i="2" s="1"/>
  <c r="C538" i="2"/>
  <c r="L538" i="2" s="1" a="1"/>
  <c r="L538" i="2" s="1"/>
  <c r="C539" i="2"/>
  <c r="L539" i="2" s="1" a="1"/>
  <c r="L539" i="2" s="1"/>
  <c r="C540" i="2"/>
  <c r="L540" i="2" s="1" a="1"/>
  <c r="L540" i="2" s="1"/>
  <c r="C541" i="2"/>
  <c r="L541" i="2" s="1" a="1"/>
  <c r="L541" i="2" s="1"/>
  <c r="C542" i="2"/>
  <c r="L542" i="2" s="1" a="1"/>
  <c r="L542" i="2" s="1"/>
  <c r="C543" i="2"/>
  <c r="L543" i="2" s="1" a="1"/>
  <c r="L543" i="2" s="1"/>
  <c r="C544" i="2"/>
  <c r="L544" i="2" s="1" a="1"/>
  <c r="L544" i="2" s="1"/>
  <c r="C545" i="2"/>
  <c r="L545" i="2" s="1" a="1"/>
  <c r="L545" i="2" s="1"/>
  <c r="C546" i="2"/>
  <c r="L546" i="2" s="1" a="1"/>
  <c r="L546" i="2" s="1"/>
  <c r="C547" i="2"/>
  <c r="L547" i="2" s="1" a="1"/>
  <c r="L547" i="2" s="1"/>
  <c r="C548" i="2"/>
  <c r="L548" i="2" s="1" a="1"/>
  <c r="L548" i="2" s="1"/>
  <c r="C549" i="2"/>
  <c r="L549" i="2" s="1" a="1"/>
  <c r="L549" i="2" s="1"/>
  <c r="C550" i="2"/>
  <c r="L550" i="2" s="1" a="1"/>
  <c r="L550" i="2" s="1"/>
  <c r="C551" i="2"/>
  <c r="L551" i="2" s="1" a="1"/>
  <c r="L551" i="2" s="1"/>
  <c r="C552" i="2"/>
  <c r="L552" i="2" s="1" a="1"/>
  <c r="L552" i="2" s="1"/>
  <c r="C553" i="2"/>
  <c r="L553" i="2" s="1" a="1"/>
  <c r="L553" i="2" s="1"/>
  <c r="C554" i="2"/>
  <c r="L554" i="2" s="1" a="1"/>
  <c r="L554" i="2" s="1"/>
  <c r="C555" i="2"/>
  <c r="L555" i="2" s="1" a="1"/>
  <c r="L555" i="2" s="1"/>
  <c r="C556" i="2"/>
  <c r="L556" i="2" s="1" a="1"/>
  <c r="L556" i="2" s="1"/>
  <c r="C557" i="2"/>
  <c r="L557" i="2" s="1" a="1"/>
  <c r="L557" i="2" s="1"/>
  <c r="C558" i="2"/>
  <c r="L558" i="2" s="1" a="1"/>
  <c r="L558" i="2" s="1"/>
  <c r="C559" i="2"/>
  <c r="L559" i="2" s="1" a="1"/>
  <c r="L559" i="2" s="1"/>
  <c r="C560" i="2"/>
  <c r="L560" i="2" s="1" a="1"/>
  <c r="L560" i="2" s="1"/>
  <c r="C561" i="2"/>
  <c r="L561" i="2" s="1" a="1"/>
  <c r="L561" i="2" s="1"/>
  <c r="C562" i="2"/>
  <c r="L562" i="2" s="1" a="1"/>
  <c r="L562" i="2" s="1"/>
  <c r="C563" i="2"/>
  <c r="L563" i="2" s="1" a="1"/>
  <c r="L563" i="2" s="1"/>
  <c r="C564" i="2"/>
  <c r="C565" i="2"/>
  <c r="L565" i="2" s="1" a="1"/>
  <c r="L565" i="2" s="1"/>
  <c r="C566" i="2"/>
  <c r="L566" i="2" s="1" a="1"/>
  <c r="L566" i="2" s="1"/>
  <c r="C567" i="2"/>
  <c r="L567" i="2" s="1" a="1"/>
  <c r="L567" i="2" s="1"/>
  <c r="C568" i="2"/>
  <c r="L568" i="2" s="1" a="1"/>
  <c r="L568" i="2" s="1"/>
  <c r="C569" i="2"/>
  <c r="L569" i="2" s="1" a="1"/>
  <c r="L569" i="2" s="1"/>
  <c r="C570" i="2"/>
  <c r="L570" i="2" s="1" a="1"/>
  <c r="L570" i="2" s="1"/>
  <c r="C571" i="2"/>
  <c r="L571" i="2" s="1" a="1"/>
  <c r="L571" i="2" s="1"/>
  <c r="C572" i="2"/>
  <c r="L572" i="2" s="1" a="1"/>
  <c r="L572" i="2" s="1"/>
  <c r="C573" i="2"/>
  <c r="L573" i="2" s="1" a="1"/>
  <c r="L573" i="2" s="1"/>
  <c r="C574" i="2"/>
  <c r="L574" i="2" s="1" a="1"/>
  <c r="L574" i="2" s="1"/>
  <c r="C575" i="2"/>
  <c r="L575" i="2" s="1" a="1"/>
  <c r="L575" i="2" s="1"/>
  <c r="C576" i="2"/>
  <c r="L576" i="2" s="1" a="1"/>
  <c r="L576" i="2" s="1"/>
  <c r="C577" i="2"/>
  <c r="L577" i="2" s="1" a="1"/>
  <c r="L577" i="2" s="1"/>
  <c r="C578" i="2"/>
  <c r="L578" i="2" s="1" a="1"/>
  <c r="L578" i="2" s="1"/>
  <c r="C579" i="2"/>
  <c r="L579" i="2" s="1" a="1"/>
  <c r="L579" i="2" s="1"/>
  <c r="C580" i="2"/>
  <c r="L580" i="2" s="1" a="1"/>
  <c r="L580" i="2" s="1"/>
  <c r="C581" i="2"/>
  <c r="L581" i="2" s="1" a="1"/>
  <c r="L581" i="2" s="1"/>
  <c r="C582" i="2"/>
  <c r="L582" i="2" s="1" a="1"/>
  <c r="L582" i="2" s="1"/>
  <c r="C583" i="2"/>
  <c r="L583" i="2" s="1" a="1"/>
  <c r="L583" i="2" s="1"/>
  <c r="C584" i="2"/>
  <c r="L584" i="2" s="1" a="1"/>
  <c r="L584" i="2" s="1"/>
  <c r="C585" i="2"/>
  <c r="L585" i="2" s="1" a="1"/>
  <c r="L585" i="2" s="1"/>
  <c r="C586" i="2"/>
  <c r="L586" i="2" s="1" a="1"/>
  <c r="L586" i="2" s="1"/>
  <c r="C587" i="2"/>
  <c r="L587" i="2" s="1" a="1"/>
  <c r="L587" i="2" s="1"/>
  <c r="C588" i="2"/>
  <c r="L588" i="2" s="1" a="1"/>
  <c r="L588" i="2" s="1"/>
  <c r="C589" i="2"/>
  <c r="L589" i="2" s="1" a="1"/>
  <c r="L589" i="2" s="1"/>
  <c r="C590" i="2"/>
  <c r="L590" i="2" s="1" a="1"/>
  <c r="L590" i="2" s="1"/>
  <c r="C591" i="2"/>
  <c r="L591" i="2" s="1" a="1"/>
  <c r="L591" i="2" s="1"/>
  <c r="C592" i="2"/>
  <c r="L592" i="2" s="1" a="1"/>
  <c r="L592" i="2" s="1"/>
  <c r="C593" i="2"/>
  <c r="L593" i="2" s="1" a="1"/>
  <c r="L593" i="2" s="1"/>
  <c r="C594" i="2"/>
  <c r="L594" i="2" s="1" a="1"/>
  <c r="L594" i="2" s="1"/>
  <c r="C595" i="2"/>
  <c r="L595" i="2" s="1" a="1"/>
  <c r="L595" i="2" s="1"/>
  <c r="C596" i="2"/>
  <c r="L596" i="2" s="1" a="1"/>
  <c r="L596" i="2" s="1"/>
  <c r="C597" i="2"/>
  <c r="L597" i="2" s="1" a="1"/>
  <c r="L597" i="2" s="1"/>
  <c r="C598" i="2"/>
  <c r="L598" i="2" s="1" a="1"/>
  <c r="L598" i="2" s="1"/>
  <c r="C599" i="2"/>
  <c r="L599" i="2" s="1" a="1"/>
  <c r="L599" i="2" s="1"/>
  <c r="C600" i="2"/>
  <c r="L600" i="2" s="1" a="1"/>
  <c r="L600" i="2" s="1"/>
  <c r="C601" i="2"/>
  <c r="L601" i="2" s="1" a="1"/>
  <c r="L601" i="2" s="1"/>
  <c r="C602" i="2"/>
  <c r="L602" i="2" s="1" a="1"/>
  <c r="L602" i="2" s="1"/>
  <c r="C603" i="2"/>
  <c r="L603" i="2" s="1" a="1"/>
  <c r="L603" i="2" s="1"/>
  <c r="C604" i="2"/>
  <c r="L604" i="2" s="1" a="1"/>
  <c r="L604" i="2" s="1"/>
  <c r="C605" i="2"/>
  <c r="L605" i="2" s="1" a="1"/>
  <c r="L605" i="2" s="1"/>
  <c r="C606" i="2"/>
  <c r="L606" i="2" s="1" a="1"/>
  <c r="L606" i="2" s="1"/>
  <c r="C607" i="2"/>
  <c r="L607" i="2" s="1" a="1"/>
  <c r="L607" i="2" s="1"/>
  <c r="C608" i="2"/>
  <c r="C609" i="2"/>
  <c r="L609" i="2" s="1" a="1"/>
  <c r="L609" i="2" s="1"/>
  <c r="C610" i="2"/>
  <c r="L610" i="2" s="1" a="1"/>
  <c r="L610" i="2" s="1"/>
  <c r="C611" i="2"/>
  <c r="L611" i="2" s="1" a="1"/>
  <c r="L611" i="2" s="1"/>
  <c r="C612" i="2"/>
  <c r="L612" i="2" s="1" a="1"/>
  <c r="L612" i="2" s="1"/>
  <c r="C613" i="2"/>
  <c r="L613" i="2" s="1" a="1"/>
  <c r="L613" i="2" s="1"/>
  <c r="C614" i="2"/>
  <c r="L614" i="2" s="1" a="1"/>
  <c r="L614" i="2" s="1"/>
  <c r="C615" i="2"/>
  <c r="L615" i="2" s="1" a="1"/>
  <c r="L615" i="2" s="1"/>
  <c r="C616" i="2"/>
  <c r="L616" i="2" s="1" a="1"/>
  <c r="L616" i="2" s="1"/>
  <c r="C617" i="2"/>
  <c r="C618" i="2"/>
  <c r="L618" i="2" s="1" a="1"/>
  <c r="L618" i="2" s="1"/>
  <c r="C619" i="2"/>
  <c r="L619" i="2" s="1" a="1"/>
  <c r="L619" i="2" s="1"/>
  <c r="C620" i="2"/>
  <c r="L620" i="2" s="1" a="1"/>
  <c r="L620" i="2" s="1"/>
  <c r="C621" i="2"/>
  <c r="L621" i="2" s="1" a="1"/>
  <c r="L621" i="2" s="1"/>
  <c r="C622" i="2"/>
  <c r="L622" i="2" s="1" a="1"/>
  <c r="L622" i="2" s="1"/>
  <c r="C623" i="2"/>
  <c r="L623" i="2" s="1" a="1"/>
  <c r="L623" i="2" s="1"/>
  <c r="C624" i="2"/>
  <c r="L624" i="2" s="1" a="1"/>
  <c r="L624" i="2" s="1"/>
  <c r="C625" i="2"/>
  <c r="C626" i="2"/>
  <c r="L626" i="2" s="1" a="1"/>
  <c r="L626" i="2" s="1"/>
  <c r="C627" i="2"/>
  <c r="L627" i="2" s="1" a="1"/>
  <c r="L627" i="2" s="1"/>
  <c r="C628" i="2"/>
  <c r="L628" i="2" s="1" a="1"/>
  <c r="L628" i="2" s="1"/>
  <c r="C629" i="2"/>
  <c r="L629" i="2" s="1" a="1"/>
  <c r="L629" i="2" s="1"/>
  <c r="C630" i="2"/>
  <c r="L630" i="2" s="1" a="1"/>
  <c r="L630" i="2" s="1"/>
  <c r="C631" i="2"/>
  <c r="L631" i="2" s="1" a="1"/>
  <c r="L631" i="2" s="1"/>
  <c r="C632" i="2"/>
  <c r="C633" i="2"/>
  <c r="L633" i="2" s="1" a="1"/>
  <c r="L633" i="2" s="1"/>
  <c r="C634" i="2"/>
  <c r="L634" i="2" s="1" a="1"/>
  <c r="L634" i="2" s="1"/>
  <c r="C635" i="2"/>
  <c r="L635" i="2" s="1" a="1"/>
  <c r="L635" i="2" s="1"/>
  <c r="C636" i="2"/>
  <c r="L636" i="2" s="1" a="1"/>
  <c r="L636" i="2" s="1"/>
  <c r="C637" i="2"/>
  <c r="L637" i="2" s="1" a="1"/>
  <c r="L637" i="2" s="1"/>
  <c r="C638" i="2"/>
  <c r="L638" i="2" s="1" a="1"/>
  <c r="L638" i="2" s="1"/>
  <c r="C639" i="2"/>
  <c r="L639" i="2" s="1" a="1"/>
  <c r="L639" i="2" s="1"/>
  <c r="C640" i="2"/>
  <c r="L640" i="2" s="1" a="1"/>
  <c r="L640" i="2" s="1"/>
  <c r="C641" i="2"/>
  <c r="L641" i="2" s="1" a="1"/>
  <c r="L641" i="2" s="1"/>
  <c r="C642" i="2"/>
  <c r="L642" i="2" s="1" a="1"/>
  <c r="L642" i="2" s="1"/>
  <c r="C643" i="2"/>
  <c r="L643" i="2" s="1" a="1"/>
  <c r="L643" i="2" s="1"/>
  <c r="C644" i="2"/>
  <c r="L644" i="2" s="1" a="1"/>
  <c r="L644" i="2" s="1"/>
  <c r="C645" i="2"/>
  <c r="L645" i="2" s="1" a="1"/>
  <c r="L645" i="2" s="1"/>
  <c r="C646" i="2"/>
  <c r="L646" i="2" s="1" a="1"/>
  <c r="L646" i="2" s="1"/>
  <c r="C647" i="2"/>
  <c r="L647" i="2" s="1" a="1"/>
  <c r="L647" i="2" s="1"/>
  <c r="C648" i="2"/>
  <c r="L648" i="2" s="1" a="1"/>
  <c r="L648" i="2" s="1"/>
  <c r="C649" i="2"/>
  <c r="C650" i="2"/>
  <c r="L650" i="2" s="1" a="1"/>
  <c r="L650" i="2" s="1"/>
  <c r="C651" i="2"/>
  <c r="L651" i="2" s="1" a="1"/>
  <c r="L651" i="2" s="1"/>
  <c r="C652" i="2"/>
  <c r="L652" i="2" s="1" a="1"/>
  <c r="L652" i="2" s="1"/>
  <c r="C653" i="2"/>
  <c r="L653" i="2" s="1" a="1"/>
  <c r="L653" i="2" s="1"/>
  <c r="C654" i="2"/>
  <c r="L654" i="2" s="1" a="1"/>
  <c r="L654" i="2" s="1"/>
  <c r="C655" i="2"/>
  <c r="L655" i="2" s="1" a="1"/>
  <c r="L655" i="2" s="1"/>
  <c r="C656" i="2"/>
  <c r="L656" i="2" s="1" a="1"/>
  <c r="L656" i="2" s="1"/>
  <c r="C657" i="2"/>
  <c r="C658" i="2"/>
  <c r="L658" i="2" s="1" a="1"/>
  <c r="L658" i="2" s="1"/>
  <c r="C659" i="2"/>
  <c r="L659" i="2" s="1" a="1"/>
  <c r="L659" i="2" s="1"/>
  <c r="C660" i="2"/>
  <c r="L660" i="2" s="1" a="1"/>
  <c r="L660" i="2" s="1"/>
  <c r="C661" i="2"/>
  <c r="L661" i="2" s="1" a="1"/>
  <c r="L661" i="2" s="1"/>
  <c r="C662" i="2"/>
  <c r="L662" i="2" s="1" a="1"/>
  <c r="L662" i="2" s="1"/>
  <c r="C663" i="2"/>
  <c r="L663" i="2" s="1" a="1"/>
  <c r="L663" i="2" s="1"/>
  <c r="C664" i="2"/>
  <c r="L664" i="2" s="1" a="1"/>
  <c r="L664" i="2" s="1"/>
  <c r="C665" i="2"/>
  <c r="L665" i="2" s="1" a="1"/>
  <c r="L665" i="2" s="1"/>
  <c r="C666" i="2"/>
  <c r="C667" i="2"/>
  <c r="L667" i="2" s="1" a="1"/>
  <c r="L667" i="2" s="1"/>
  <c r="C668" i="2"/>
  <c r="L668" i="2" s="1" a="1"/>
  <c r="L668" i="2" s="1"/>
  <c r="C669" i="2"/>
  <c r="L669" i="2" s="1" a="1"/>
  <c r="L669" i="2" s="1"/>
  <c r="C670" i="2"/>
  <c r="L670" i="2" s="1" a="1"/>
  <c r="L670" i="2" s="1"/>
  <c r="C671" i="2"/>
  <c r="L671" i="2" s="1" a="1"/>
  <c r="L671" i="2" s="1"/>
  <c r="C672" i="2"/>
  <c r="L672" i="2" s="1" a="1"/>
  <c r="L672" i="2" s="1"/>
  <c r="C673" i="2"/>
  <c r="C674" i="2"/>
  <c r="L674" i="2" s="1" a="1"/>
  <c r="L674" i="2" s="1"/>
  <c r="C675" i="2"/>
  <c r="L675" i="2" s="1" a="1"/>
  <c r="L675" i="2" s="1"/>
  <c r="C676" i="2"/>
  <c r="L676" i="2" s="1" a="1"/>
  <c r="L676" i="2" s="1"/>
  <c r="C677" i="2"/>
  <c r="L677" i="2" s="1" a="1"/>
  <c r="L677" i="2" s="1"/>
  <c r="C678" i="2"/>
  <c r="L678" i="2" s="1" a="1"/>
  <c r="L678" i="2" s="1"/>
  <c r="C679" i="2"/>
  <c r="L679" i="2" s="1" a="1"/>
  <c r="L679" i="2" s="1"/>
  <c r="C680" i="2"/>
  <c r="L680" i="2" s="1" a="1"/>
  <c r="L680" i="2" s="1"/>
  <c r="C681" i="2"/>
  <c r="L681" i="2" s="1" a="1"/>
  <c r="L681" i="2" s="1"/>
  <c r="C682" i="2"/>
  <c r="L682" i="2" s="1" a="1"/>
  <c r="L682" i="2" s="1"/>
  <c r="C683" i="2"/>
  <c r="L683" i="2" s="1" a="1"/>
  <c r="L683" i="2" s="1"/>
  <c r="C684" i="2"/>
  <c r="L684" i="2" s="1" a="1"/>
  <c r="L684" i="2" s="1"/>
  <c r="C685" i="2"/>
  <c r="L685" i="2" s="1" a="1"/>
  <c r="L685" i="2" s="1"/>
  <c r="C686" i="2"/>
  <c r="L686" i="2" s="1" a="1"/>
  <c r="L686" i="2" s="1"/>
  <c r="C687" i="2"/>
  <c r="L687" i="2" s="1" a="1"/>
  <c r="L687" i="2" s="1"/>
  <c r="C688" i="2"/>
  <c r="L688" i="2" s="1" a="1"/>
  <c r="L688" i="2" s="1"/>
  <c r="C689" i="2"/>
  <c r="L689" i="2" s="1" a="1"/>
  <c r="L689" i="2" s="1"/>
  <c r="C690" i="2"/>
  <c r="L690" i="2" s="1" a="1"/>
  <c r="L690" i="2" s="1"/>
  <c r="C691" i="2"/>
  <c r="L691" i="2" s="1" a="1"/>
  <c r="L691" i="2" s="1"/>
  <c r="C692" i="2"/>
  <c r="L692" i="2" s="1" a="1"/>
  <c r="L692" i="2" s="1"/>
  <c r="C693" i="2"/>
  <c r="L693" i="2" s="1" a="1"/>
  <c r="L693" i="2" s="1"/>
  <c r="C694" i="2"/>
  <c r="L694" i="2" s="1" a="1"/>
  <c r="L694" i="2" s="1"/>
  <c r="C695" i="2"/>
  <c r="L695" i="2" s="1" a="1"/>
  <c r="L695" i="2" s="1"/>
  <c r="C696" i="2"/>
  <c r="L696" i="2" s="1" a="1"/>
  <c r="L696" i="2" s="1"/>
  <c r="C697" i="2"/>
  <c r="L697" i="2" s="1" a="1"/>
  <c r="L697" i="2" s="1"/>
  <c r="C698" i="2"/>
  <c r="L698" i="2" s="1" a="1"/>
  <c r="L698" i="2" s="1"/>
  <c r="C699" i="2"/>
  <c r="L699" i="2" s="1" a="1"/>
  <c r="L699" i="2" s="1"/>
  <c r="C700" i="2"/>
  <c r="L700" i="2" s="1" a="1"/>
  <c r="L700" i="2" s="1"/>
  <c r="C701" i="2"/>
  <c r="L701" i="2" s="1" a="1"/>
  <c r="L701" i="2" s="1"/>
  <c r="C702" i="2"/>
  <c r="L702" i="2" s="1" a="1"/>
  <c r="L702" i="2" s="1"/>
  <c r="C703" i="2"/>
  <c r="L703" i="2" s="1" a="1"/>
  <c r="L703" i="2" s="1"/>
  <c r="C704" i="2"/>
  <c r="L704" i="2" s="1" a="1"/>
  <c r="L704" i="2" s="1"/>
  <c r="C705" i="2"/>
  <c r="L705" i="2" s="1" a="1"/>
  <c r="L705" i="2" s="1"/>
  <c r="C706" i="2"/>
  <c r="L706" i="2" s="1" a="1"/>
  <c r="L706" i="2" s="1"/>
  <c r="C707" i="2"/>
  <c r="L707" i="2" s="1" a="1"/>
  <c r="L707" i="2" s="1"/>
  <c r="C708" i="2"/>
  <c r="L708" i="2" s="1" a="1"/>
  <c r="L708" i="2" s="1"/>
  <c r="C709" i="2"/>
  <c r="L709" i="2" s="1" a="1"/>
  <c r="L709" i="2" s="1"/>
  <c r="C710" i="2"/>
  <c r="L710" i="2" s="1" a="1"/>
  <c r="L710" i="2" s="1"/>
  <c r="C711" i="2"/>
  <c r="L711" i="2" s="1" a="1"/>
  <c r="L711" i="2" s="1"/>
  <c r="C712" i="2"/>
  <c r="L712" i="2" s="1" a="1"/>
  <c r="L712" i="2" s="1"/>
  <c r="C713" i="2"/>
  <c r="L713" i="2" s="1" a="1"/>
  <c r="L713" i="2" s="1"/>
  <c r="C714" i="2"/>
  <c r="L714" i="2" s="1" a="1"/>
  <c r="L714" i="2" s="1"/>
  <c r="C715" i="2"/>
  <c r="L715" i="2" s="1" a="1"/>
  <c r="L715" i="2" s="1"/>
  <c r="C716" i="2"/>
  <c r="L716" i="2" s="1" a="1"/>
  <c r="L716" i="2" s="1"/>
  <c r="C717" i="2"/>
  <c r="L717" i="2" s="1" a="1"/>
  <c r="L717" i="2" s="1"/>
  <c r="C718" i="2"/>
  <c r="L718" i="2" s="1" a="1"/>
  <c r="L718" i="2" s="1"/>
  <c r="C719" i="2"/>
  <c r="L719" i="2" s="1" a="1"/>
  <c r="L719" i="2" s="1"/>
  <c r="C720" i="2"/>
  <c r="L720" i="2" s="1" a="1"/>
  <c r="L720" i="2" s="1"/>
  <c r="C721" i="2"/>
  <c r="L721" i="2" s="1" a="1"/>
  <c r="L721" i="2" s="1"/>
  <c r="C722" i="2"/>
  <c r="C723" i="2"/>
  <c r="L723" i="2" s="1" a="1"/>
  <c r="L723" i="2" s="1"/>
  <c r="C724" i="2"/>
  <c r="L724" i="2" s="1" a="1"/>
  <c r="L724" i="2" s="1"/>
  <c r="C725" i="2"/>
  <c r="L725" i="2" s="1" a="1"/>
  <c r="L725" i="2" s="1"/>
  <c r="C726" i="2"/>
  <c r="L726" i="2" s="1" a="1"/>
  <c r="L726" i="2" s="1"/>
  <c r="C727" i="2"/>
  <c r="L727" i="2" s="1" a="1"/>
  <c r="L727" i="2" s="1"/>
  <c r="C728" i="2"/>
  <c r="L728" i="2" s="1" a="1"/>
  <c r="L728" i="2" s="1"/>
  <c r="C729" i="2"/>
  <c r="L729" i="2" s="1" a="1"/>
  <c r="L729" i="2" s="1"/>
  <c r="C730" i="2"/>
  <c r="C731" i="2"/>
  <c r="L731" i="2" s="1" a="1"/>
  <c r="L731" i="2" s="1"/>
  <c r="C732" i="2"/>
  <c r="L732" i="2" s="1" a="1"/>
  <c r="L732" i="2" s="1"/>
  <c r="C733" i="2"/>
  <c r="L733" i="2" s="1" a="1"/>
  <c r="L733" i="2" s="1"/>
  <c r="C734" i="2"/>
  <c r="L734" i="2" s="1" a="1"/>
  <c r="L734" i="2" s="1"/>
  <c r="C735" i="2"/>
  <c r="L735" i="2" s="1" a="1"/>
  <c r="L735" i="2" s="1"/>
  <c r="C736" i="2"/>
  <c r="L736" i="2" s="1" a="1"/>
  <c r="L736" i="2" s="1"/>
  <c r="C737" i="2"/>
  <c r="C738" i="2"/>
  <c r="L738" i="2" s="1" a="1"/>
  <c r="L738" i="2" s="1"/>
  <c r="C739" i="2"/>
  <c r="L739" i="2" s="1" a="1"/>
  <c r="L739" i="2" s="1"/>
  <c r="C740" i="2"/>
  <c r="L740" i="2" s="1" a="1"/>
  <c r="L740" i="2" s="1"/>
  <c r="C741" i="2"/>
  <c r="L741" i="2" s="1" a="1"/>
  <c r="L741" i="2" s="1"/>
  <c r="C742" i="2"/>
  <c r="L742" i="2" s="1" a="1"/>
  <c r="L742" i="2" s="1"/>
  <c r="C743" i="2"/>
  <c r="L743" i="2" s="1" a="1"/>
  <c r="L743" i="2" s="1"/>
  <c r="C744" i="2"/>
  <c r="L744" i="2" s="1" a="1"/>
  <c r="L744" i="2" s="1"/>
  <c r="C745" i="2"/>
  <c r="L745" i="2" s="1" a="1"/>
  <c r="L745" i="2" s="1"/>
  <c r="C746" i="2"/>
  <c r="L746" i="2" s="1" a="1"/>
  <c r="L746" i="2" s="1"/>
  <c r="C747" i="2"/>
  <c r="L747" i="2" s="1" a="1"/>
  <c r="L747" i="2" s="1"/>
  <c r="C748" i="2"/>
  <c r="L748" i="2" s="1" a="1"/>
  <c r="L748" i="2" s="1"/>
  <c r="C749" i="2"/>
  <c r="L749" i="2" s="1" a="1"/>
  <c r="L749" i="2" s="1"/>
  <c r="C750" i="2"/>
  <c r="L750" i="2" s="1" a="1"/>
  <c r="L750" i="2" s="1"/>
  <c r="C751" i="2"/>
  <c r="L751" i="2" s="1" a="1"/>
  <c r="L751" i="2" s="1"/>
  <c r="C752" i="2"/>
  <c r="L752" i="2" s="1" a="1"/>
  <c r="L752" i="2" s="1"/>
  <c r="C753" i="2"/>
  <c r="L753" i="2" s="1" a="1"/>
  <c r="L753" i="2" s="1"/>
  <c r="C754" i="2"/>
  <c r="L754" i="2" s="1" a="1"/>
  <c r="L754" i="2" s="1"/>
  <c r="C755" i="2"/>
  <c r="L755" i="2" s="1" a="1"/>
  <c r="L755" i="2" s="1"/>
  <c r="C756" i="2"/>
  <c r="L756" i="2" s="1" a="1"/>
  <c r="L756" i="2" s="1"/>
  <c r="C757" i="2"/>
  <c r="L757" i="2" s="1" a="1"/>
  <c r="L757" i="2" s="1"/>
  <c r="C758" i="2"/>
  <c r="L758" i="2" s="1" a="1"/>
  <c r="L758" i="2" s="1"/>
  <c r="C759" i="2"/>
  <c r="L759" i="2" s="1" a="1"/>
  <c r="L759" i="2" s="1"/>
  <c r="C760" i="2"/>
  <c r="L760" i="2" s="1" a="1"/>
  <c r="L760" i="2" s="1"/>
  <c r="C761" i="2"/>
  <c r="L761" i="2" s="1" a="1"/>
  <c r="L761" i="2" s="1"/>
  <c r="C762" i="2"/>
  <c r="L762" i="2" s="1" a="1"/>
  <c r="L762" i="2" s="1"/>
  <c r="C763" i="2"/>
  <c r="L763" i="2" s="1" a="1"/>
  <c r="L763" i="2" s="1"/>
  <c r="C764" i="2"/>
  <c r="L764" i="2" s="1" a="1"/>
  <c r="L764" i="2" s="1"/>
  <c r="C765" i="2"/>
  <c r="L765" i="2" s="1" a="1"/>
  <c r="L765" i="2" s="1"/>
  <c r="C766" i="2"/>
  <c r="L766" i="2" s="1" a="1"/>
  <c r="L766" i="2" s="1"/>
  <c r="C767" i="2"/>
  <c r="L767" i="2" s="1" a="1"/>
  <c r="L767" i="2" s="1"/>
  <c r="C768" i="2"/>
  <c r="L768" i="2" s="1" a="1"/>
  <c r="L768" i="2" s="1"/>
  <c r="C769" i="2"/>
  <c r="L769" i="2" s="1" a="1"/>
  <c r="L769" i="2" s="1"/>
  <c r="C770" i="2"/>
  <c r="L770" i="2" s="1" a="1"/>
  <c r="L770" i="2" s="1"/>
  <c r="C771" i="2"/>
  <c r="L771" i="2" s="1" a="1"/>
  <c r="L771" i="2" s="1"/>
  <c r="C772" i="2"/>
  <c r="L772" i="2" s="1" a="1"/>
  <c r="L772" i="2" s="1"/>
  <c r="C773" i="2"/>
  <c r="L773" i="2" s="1" a="1"/>
  <c r="L773" i="2" s="1"/>
  <c r="C774" i="2"/>
  <c r="L774" i="2" s="1" a="1"/>
  <c r="L774" i="2" s="1"/>
  <c r="C775" i="2"/>
  <c r="L775" i="2" s="1" a="1"/>
  <c r="L775" i="2" s="1"/>
  <c r="C776" i="2"/>
  <c r="L776" i="2" s="1" a="1"/>
  <c r="L776" i="2" s="1"/>
  <c r="C777" i="2"/>
  <c r="L777" i="2" s="1" a="1"/>
  <c r="L777" i="2" s="1"/>
  <c r="C778" i="2"/>
  <c r="L778" i="2" s="1" a="1"/>
  <c r="L778" i="2" s="1"/>
  <c r="C779" i="2"/>
  <c r="L779" i="2" s="1" a="1"/>
  <c r="L779" i="2" s="1"/>
  <c r="C780" i="2"/>
  <c r="L780" i="2" s="1" a="1"/>
  <c r="L780" i="2" s="1"/>
  <c r="C781" i="2"/>
  <c r="L781" i="2" s="1" a="1"/>
  <c r="L781" i="2" s="1"/>
  <c r="C782" i="2"/>
  <c r="L782" i="2" s="1" a="1"/>
  <c r="L782" i="2" s="1"/>
  <c r="C783" i="2"/>
  <c r="L783" i="2" s="1" a="1"/>
  <c r="L783" i="2" s="1"/>
  <c r="C784" i="2"/>
  <c r="L784" i="2" s="1" a="1"/>
  <c r="L784" i="2" s="1"/>
  <c r="C785" i="2"/>
  <c r="L785" i="2" s="1" a="1"/>
  <c r="L785" i="2" s="1"/>
  <c r="C786" i="2"/>
  <c r="C787" i="2"/>
  <c r="L787" i="2" s="1" a="1"/>
  <c r="L787" i="2" s="1"/>
  <c r="C788" i="2"/>
  <c r="L788" i="2" s="1" a="1"/>
  <c r="L788" i="2" s="1"/>
  <c r="C789" i="2"/>
  <c r="L789" i="2" s="1" a="1"/>
  <c r="L789" i="2" s="1"/>
  <c r="C790" i="2"/>
  <c r="L790" i="2" s="1" a="1"/>
  <c r="L790" i="2" s="1"/>
  <c r="C791" i="2"/>
  <c r="L791" i="2" s="1" a="1"/>
  <c r="L791" i="2" s="1"/>
  <c r="C792" i="2"/>
  <c r="L792" i="2" s="1" a="1"/>
  <c r="L792" i="2" s="1"/>
  <c r="C793" i="2"/>
  <c r="L793" i="2" s="1" a="1"/>
  <c r="L793" i="2" s="1"/>
  <c r="C794" i="2"/>
  <c r="C795" i="2"/>
  <c r="L795" i="2" s="1" a="1"/>
  <c r="L795" i="2" s="1"/>
  <c r="C796" i="2"/>
  <c r="L796" i="2" s="1" a="1"/>
  <c r="L796" i="2" s="1"/>
  <c r="C797" i="2"/>
  <c r="L797" i="2" s="1" a="1"/>
  <c r="L797" i="2" s="1"/>
  <c r="C798" i="2"/>
  <c r="L798" i="2" s="1" a="1"/>
  <c r="L798" i="2" s="1"/>
  <c r="C799" i="2"/>
  <c r="L799" i="2" s="1" a="1"/>
  <c r="L799" i="2" s="1"/>
  <c r="C800" i="2"/>
  <c r="L800" i="2" s="1" a="1"/>
  <c r="L800" i="2" s="1"/>
  <c r="C801" i="2"/>
  <c r="C802" i="2"/>
  <c r="L802" i="2" s="1" a="1"/>
  <c r="L802" i="2" s="1"/>
  <c r="C803" i="2"/>
  <c r="L803" i="2" s="1" a="1"/>
  <c r="L803" i="2" s="1"/>
  <c r="C804" i="2"/>
  <c r="L804" i="2" s="1" a="1"/>
  <c r="L804" i="2" s="1"/>
  <c r="C805" i="2"/>
  <c r="L805" i="2" s="1" a="1"/>
  <c r="L805" i="2" s="1"/>
  <c r="C806" i="2"/>
  <c r="L806" i="2" s="1" a="1"/>
  <c r="L806" i="2" s="1"/>
  <c r="C807" i="2"/>
  <c r="L807" i="2" s="1" a="1"/>
  <c r="L807" i="2" s="1"/>
  <c r="C808" i="2"/>
  <c r="L808" i="2" s="1" a="1"/>
  <c r="L808" i="2" s="1"/>
  <c r="C809" i="2"/>
  <c r="L809" i="2" s="1" a="1"/>
  <c r="L809" i="2" s="1"/>
  <c r="C810" i="2"/>
  <c r="L810" i="2" s="1" a="1"/>
  <c r="L810" i="2" s="1"/>
  <c r="C811" i="2"/>
  <c r="L811" i="2" s="1" a="1"/>
  <c r="L811" i="2" s="1"/>
  <c r="C812" i="2"/>
  <c r="L812" i="2" s="1" a="1"/>
  <c r="L812" i="2" s="1"/>
  <c r="C813" i="2"/>
  <c r="L813" i="2" s="1" a="1"/>
  <c r="L813" i="2" s="1"/>
  <c r="C814" i="2"/>
  <c r="L814" i="2" s="1" a="1"/>
  <c r="L814" i="2" s="1"/>
  <c r="C815" i="2"/>
  <c r="L815" i="2" s="1" a="1"/>
  <c r="L815" i="2" s="1"/>
  <c r="C816" i="2"/>
  <c r="L816" i="2" s="1" a="1"/>
  <c r="L816" i="2" s="1"/>
  <c r="C817" i="2"/>
  <c r="L817" i="2" s="1" a="1"/>
  <c r="L817" i="2" s="1"/>
  <c r="C818" i="2"/>
  <c r="L818" i="2" s="1" a="1"/>
  <c r="L818" i="2" s="1"/>
  <c r="C819" i="2"/>
  <c r="L819" i="2" s="1" a="1"/>
  <c r="L819" i="2" s="1"/>
  <c r="C820" i="2"/>
  <c r="L820" i="2" s="1" a="1"/>
  <c r="L820" i="2" s="1"/>
  <c r="C821" i="2"/>
  <c r="L821" i="2" s="1" a="1"/>
  <c r="L821" i="2" s="1"/>
  <c r="C822" i="2"/>
  <c r="L822" i="2" s="1" a="1"/>
  <c r="L822" i="2" s="1"/>
  <c r="C823" i="2"/>
  <c r="L823" i="2" s="1" a="1"/>
  <c r="L823" i="2" s="1"/>
  <c r="C824" i="2"/>
  <c r="L824" i="2" s="1" a="1"/>
  <c r="L824" i="2" s="1"/>
  <c r="C825" i="2"/>
  <c r="L825" i="2" s="1" a="1"/>
  <c r="L825" i="2" s="1"/>
  <c r="C826" i="2"/>
  <c r="L826" i="2" s="1" a="1"/>
  <c r="L826" i="2" s="1"/>
  <c r="C827" i="2"/>
  <c r="L827" i="2" s="1" a="1"/>
  <c r="L827" i="2" s="1"/>
  <c r="C828" i="2"/>
  <c r="L828" i="2" s="1" a="1"/>
  <c r="L828" i="2" s="1"/>
  <c r="C829" i="2"/>
  <c r="L829" i="2" s="1" a="1"/>
  <c r="L829" i="2" s="1"/>
  <c r="C830" i="2"/>
  <c r="L830" i="2" s="1" a="1"/>
  <c r="L830" i="2" s="1"/>
  <c r="C831" i="2"/>
  <c r="L831" i="2" s="1" a="1"/>
  <c r="L831" i="2" s="1"/>
  <c r="C832" i="2"/>
  <c r="L832" i="2" s="1" a="1"/>
  <c r="L832" i="2" s="1"/>
  <c r="C833" i="2"/>
  <c r="L833" i="2" s="1" a="1"/>
  <c r="L833" i="2" s="1"/>
  <c r="C834" i="2"/>
  <c r="L834" i="2" s="1" a="1"/>
  <c r="L834" i="2" s="1"/>
  <c r="C835" i="2"/>
  <c r="L835" i="2" s="1" a="1"/>
  <c r="L835" i="2" s="1"/>
  <c r="C836" i="2"/>
  <c r="L836" i="2" s="1" a="1"/>
  <c r="L836" i="2" s="1"/>
  <c r="C837" i="2"/>
  <c r="L837" i="2" s="1" a="1"/>
  <c r="L837" i="2" s="1"/>
  <c r="C838" i="2"/>
  <c r="L838" i="2" s="1" a="1"/>
  <c r="L838" i="2" s="1"/>
  <c r="C839" i="2"/>
  <c r="L839" i="2" s="1" a="1"/>
  <c r="L839" i="2" s="1"/>
  <c r="C840" i="2"/>
  <c r="L840" i="2" s="1" a="1"/>
  <c r="L840" i="2" s="1"/>
  <c r="C841" i="2"/>
  <c r="L841" i="2" s="1" a="1"/>
  <c r="L841" i="2" s="1"/>
  <c r="C842" i="2"/>
  <c r="L842" i="2" s="1" a="1"/>
  <c r="L842" i="2" s="1"/>
  <c r="C843" i="2"/>
  <c r="L843" i="2" s="1" a="1"/>
  <c r="L843" i="2" s="1"/>
  <c r="C844" i="2"/>
  <c r="L844" i="2" s="1" a="1"/>
  <c r="L844" i="2" s="1"/>
  <c r="C845" i="2"/>
  <c r="L845" i="2" s="1" a="1"/>
  <c r="L845" i="2" s="1"/>
  <c r="C846" i="2"/>
  <c r="L846" i="2" s="1" a="1"/>
  <c r="L846" i="2" s="1"/>
  <c r="C847" i="2"/>
  <c r="C848" i="2"/>
  <c r="L848" i="2" s="1" a="1"/>
  <c r="L848" i="2" s="1"/>
  <c r="C849" i="2"/>
  <c r="L849" i="2" s="1" a="1"/>
  <c r="L849" i="2" s="1"/>
  <c r="C850" i="2"/>
  <c r="L850" i="2" s="1" a="1"/>
  <c r="L850" i="2" s="1"/>
  <c r="C851" i="2"/>
  <c r="L851" i="2" s="1" a="1"/>
  <c r="L851" i="2" s="1"/>
  <c r="C852" i="2"/>
  <c r="C853" i="2"/>
  <c r="L853" i="2" s="1" a="1"/>
  <c r="L853" i="2" s="1"/>
  <c r="C854" i="2"/>
  <c r="L854" i="2" s="1" a="1"/>
  <c r="L854" i="2" s="1"/>
  <c r="C855" i="2"/>
  <c r="L855" i="2" s="1" a="1"/>
  <c r="L855" i="2" s="1"/>
  <c r="C856" i="2"/>
  <c r="L856" i="2" s="1" a="1"/>
  <c r="L856" i="2" s="1"/>
  <c r="C857" i="2"/>
  <c r="L857" i="2" s="1" a="1"/>
  <c r="L857" i="2" s="1"/>
  <c r="C858" i="2"/>
  <c r="L858" i="2" s="1" a="1"/>
  <c r="L858" i="2" s="1"/>
  <c r="C859" i="2"/>
  <c r="L859" i="2" s="1" a="1"/>
  <c r="L859" i="2" s="1"/>
  <c r="C860" i="2"/>
  <c r="L860" i="2" s="1" a="1"/>
  <c r="L860" i="2" s="1"/>
  <c r="C861" i="2"/>
  <c r="L861" i="2" s="1" a="1"/>
  <c r="L861" i="2" s="1"/>
  <c r="C862" i="2"/>
  <c r="L862" i="2" s="1" a="1"/>
  <c r="L862" i="2" s="1"/>
  <c r="C863" i="2"/>
  <c r="L863" i="2" s="1" a="1"/>
  <c r="L863" i="2" s="1"/>
  <c r="C864" i="2"/>
  <c r="L864" i="2" s="1" a="1"/>
  <c r="L864" i="2" s="1"/>
  <c r="C865" i="2"/>
  <c r="L865" i="2" s="1" a="1"/>
  <c r="L865" i="2" s="1"/>
  <c r="C866" i="2"/>
  <c r="L866" i="2" s="1" a="1"/>
  <c r="L866" i="2" s="1"/>
  <c r="C867" i="2"/>
  <c r="L867" i="2" s="1" a="1"/>
  <c r="L867" i="2" s="1"/>
  <c r="C868" i="2"/>
  <c r="L868" i="2" s="1" a="1"/>
  <c r="L868" i="2" s="1"/>
  <c r="C869" i="2"/>
  <c r="L869" i="2" s="1" a="1"/>
  <c r="L869" i="2" s="1"/>
  <c r="C870" i="2"/>
  <c r="L870" i="2" s="1" a="1"/>
  <c r="L870" i="2" s="1"/>
  <c r="C871" i="2"/>
  <c r="L871" i="2" s="1" a="1"/>
  <c r="L871" i="2" s="1"/>
  <c r="C872" i="2"/>
  <c r="L872" i="2" s="1" a="1"/>
  <c r="L872" i="2" s="1"/>
  <c r="C873" i="2"/>
  <c r="L873" i="2" s="1" a="1"/>
  <c r="L873" i="2" s="1"/>
  <c r="C874" i="2"/>
  <c r="L874" i="2" s="1" a="1"/>
  <c r="L874" i="2" s="1"/>
  <c r="C875" i="2"/>
  <c r="L875" i="2" s="1" a="1"/>
  <c r="L875" i="2" s="1"/>
  <c r="C876" i="2"/>
  <c r="L876" i="2" s="1" a="1"/>
  <c r="L876" i="2" s="1"/>
  <c r="C877" i="2"/>
  <c r="L877" i="2" s="1" a="1"/>
  <c r="L877" i="2" s="1"/>
  <c r="C878" i="2"/>
  <c r="L878" i="2" s="1" a="1"/>
  <c r="L878" i="2" s="1"/>
  <c r="C879" i="2"/>
  <c r="L879" i="2" s="1" a="1"/>
  <c r="L879" i="2" s="1"/>
  <c r="C880" i="2"/>
  <c r="L880" i="2" s="1" a="1"/>
  <c r="L880" i="2" s="1"/>
  <c r="C881" i="2"/>
  <c r="L881" i="2" s="1" a="1"/>
  <c r="L881" i="2" s="1"/>
  <c r="C882" i="2"/>
  <c r="L882" i="2" s="1" a="1"/>
  <c r="L882" i="2" s="1"/>
  <c r="C883" i="2"/>
  <c r="L883" i="2" s="1" a="1"/>
  <c r="L883" i="2" s="1"/>
  <c r="C884" i="2"/>
  <c r="L884" i="2" s="1" a="1"/>
  <c r="L884" i="2" s="1"/>
  <c r="C885" i="2"/>
  <c r="L885" i="2" s="1" a="1"/>
  <c r="L885" i="2" s="1"/>
  <c r="C886" i="2"/>
  <c r="L886" i="2" s="1" a="1"/>
  <c r="L886" i="2" s="1"/>
  <c r="C887" i="2"/>
  <c r="L887" i="2" s="1" a="1"/>
  <c r="L887" i="2" s="1"/>
  <c r="C888" i="2"/>
  <c r="L888" i="2" s="1" a="1"/>
  <c r="L888" i="2" s="1"/>
  <c r="C889" i="2"/>
  <c r="L889" i="2" s="1" a="1"/>
  <c r="L889" i="2" s="1"/>
  <c r="C890" i="2"/>
  <c r="L890" i="2" s="1" a="1"/>
  <c r="L890" i="2" s="1"/>
  <c r="C891" i="2"/>
  <c r="L891" i="2" s="1" a="1"/>
  <c r="L891" i="2" s="1"/>
  <c r="C892" i="2"/>
  <c r="L892" i="2" s="1" a="1"/>
  <c r="L892" i="2" s="1"/>
  <c r="C893" i="2"/>
  <c r="L893" i="2" s="1" a="1"/>
  <c r="L893" i="2" s="1"/>
  <c r="C894" i="2"/>
  <c r="L894" i="2" s="1" a="1"/>
  <c r="L894" i="2" s="1"/>
  <c r="C895" i="2"/>
  <c r="L895" i="2" s="1" a="1"/>
  <c r="L895" i="2" s="1"/>
  <c r="C896" i="2"/>
  <c r="L896" i="2" s="1" a="1"/>
  <c r="L896" i="2" s="1"/>
  <c r="C897" i="2"/>
  <c r="L897" i="2" s="1" a="1"/>
  <c r="L897" i="2" s="1"/>
  <c r="C898" i="2"/>
  <c r="L898" i="2" s="1" a="1"/>
  <c r="L898" i="2" s="1"/>
  <c r="C899" i="2"/>
  <c r="L899" i="2" s="1" a="1"/>
  <c r="L899" i="2" s="1"/>
  <c r="C900" i="2"/>
  <c r="L900" i="2" s="1" a="1"/>
  <c r="L900" i="2" s="1"/>
  <c r="C901" i="2"/>
  <c r="L901" i="2" s="1" a="1"/>
  <c r="L901" i="2" s="1"/>
  <c r="C902" i="2"/>
  <c r="L902" i="2" s="1" a="1"/>
  <c r="L902" i="2" s="1"/>
  <c r="C903" i="2"/>
  <c r="L903" i="2" s="1" a="1"/>
  <c r="L903" i="2" s="1"/>
  <c r="C904" i="2"/>
  <c r="L904" i="2" s="1" a="1"/>
  <c r="L904" i="2" s="1"/>
  <c r="C905" i="2"/>
  <c r="L905" i="2" s="1" a="1"/>
  <c r="L905" i="2" s="1"/>
  <c r="C906" i="2"/>
  <c r="L906" i="2" s="1" a="1"/>
  <c r="L906" i="2" s="1"/>
  <c r="C907" i="2"/>
  <c r="L907" i="2" s="1" a="1"/>
  <c r="L907" i="2" s="1"/>
  <c r="C908" i="2"/>
  <c r="L908" i="2" s="1" a="1"/>
  <c r="L908" i="2" s="1"/>
  <c r="C909" i="2"/>
  <c r="L909" i="2" s="1" a="1"/>
  <c r="L909" i="2" s="1"/>
  <c r="C910" i="2"/>
  <c r="L910" i="2" s="1" a="1"/>
  <c r="L910" i="2" s="1"/>
  <c r="C911" i="2"/>
  <c r="L911" i="2" s="1" a="1"/>
  <c r="L911" i="2" s="1"/>
  <c r="C912" i="2"/>
  <c r="C913" i="2"/>
  <c r="L913" i="2" s="1" a="1"/>
  <c r="L913" i="2" s="1"/>
  <c r="C914" i="2"/>
  <c r="L914" i="2" s="1" a="1"/>
  <c r="L914" i="2" s="1"/>
  <c r="C915" i="2"/>
  <c r="L915" i="2" s="1" a="1"/>
  <c r="L915" i="2" s="1"/>
  <c r="C916" i="2"/>
  <c r="L916" i="2" s="1" a="1"/>
  <c r="L916" i="2" s="1"/>
  <c r="C917" i="2"/>
  <c r="L917" i="2" s="1" a="1"/>
  <c r="L917" i="2" s="1"/>
  <c r="C918" i="2"/>
  <c r="L918" i="2" s="1" a="1"/>
  <c r="L918" i="2" s="1"/>
  <c r="C919" i="2"/>
  <c r="L919" i="2" s="1" a="1"/>
  <c r="L919" i="2" s="1"/>
  <c r="C920" i="2"/>
  <c r="L920" i="2" s="1" a="1"/>
  <c r="L920" i="2" s="1"/>
  <c r="C921" i="2"/>
  <c r="L921" i="2" s="1" a="1"/>
  <c r="L921" i="2" s="1"/>
  <c r="C922" i="2"/>
  <c r="L922" i="2" s="1" a="1"/>
  <c r="L922" i="2" s="1"/>
  <c r="C923" i="2"/>
  <c r="L923" i="2" s="1" a="1"/>
  <c r="L923" i="2" s="1"/>
  <c r="C924" i="2"/>
  <c r="L924" i="2" s="1" a="1"/>
  <c r="L924" i="2" s="1"/>
  <c r="C925" i="2"/>
  <c r="L925" i="2" s="1" a="1"/>
  <c r="L925" i="2" s="1"/>
  <c r="C926" i="2"/>
  <c r="L926" i="2" s="1" a="1"/>
  <c r="L926" i="2" s="1"/>
  <c r="C927" i="2"/>
  <c r="C928" i="2"/>
  <c r="L928" i="2" s="1" a="1"/>
  <c r="L928" i="2" s="1"/>
  <c r="C929" i="2"/>
  <c r="L929" i="2" s="1" a="1"/>
  <c r="L929" i="2" s="1"/>
  <c r="C930" i="2"/>
  <c r="L930" i="2" s="1" a="1"/>
  <c r="L930" i="2" s="1"/>
  <c r="C931" i="2"/>
  <c r="L931" i="2" s="1" a="1"/>
  <c r="L931" i="2" s="1"/>
  <c r="C932" i="2"/>
  <c r="L932" i="2" s="1" a="1"/>
  <c r="L932" i="2" s="1"/>
  <c r="C933" i="2"/>
  <c r="L933" i="2" s="1" a="1"/>
  <c r="L933" i="2" s="1"/>
  <c r="C934" i="2"/>
  <c r="L934" i="2" s="1" a="1"/>
  <c r="L934" i="2" s="1"/>
  <c r="C935" i="2"/>
  <c r="L935" i="2" s="1" a="1"/>
  <c r="L935" i="2" s="1"/>
  <c r="C936" i="2"/>
  <c r="L936" i="2" s="1" a="1"/>
  <c r="L936" i="2" s="1"/>
  <c r="C937" i="2"/>
  <c r="L937" i="2" s="1" a="1"/>
  <c r="L937" i="2" s="1"/>
  <c r="C938" i="2"/>
  <c r="L938" i="2" s="1" a="1"/>
  <c r="L938" i="2" s="1"/>
  <c r="C939" i="2"/>
  <c r="L939" i="2" s="1" a="1"/>
  <c r="L939" i="2" s="1"/>
  <c r="C940" i="2"/>
  <c r="L940" i="2" s="1" a="1"/>
  <c r="L940" i="2" s="1"/>
  <c r="C941" i="2"/>
  <c r="L941" i="2" s="1" a="1"/>
  <c r="L941" i="2" s="1"/>
  <c r="C942" i="2"/>
  <c r="L942" i="2" s="1" a="1"/>
  <c r="L942" i="2" s="1"/>
  <c r="C943" i="2"/>
  <c r="L943" i="2" s="1" a="1"/>
  <c r="L943" i="2" s="1"/>
  <c r="C944" i="2"/>
  <c r="L944" i="2" s="1" a="1"/>
  <c r="L944" i="2" s="1"/>
  <c r="C945" i="2"/>
  <c r="L945" i="2" s="1" a="1"/>
  <c r="L945" i="2" s="1"/>
  <c r="C946" i="2"/>
  <c r="C947" i="2"/>
  <c r="L947" i="2" s="1" a="1"/>
  <c r="L947" i="2" s="1"/>
  <c r="C948" i="2"/>
  <c r="L948" i="2" s="1" a="1"/>
  <c r="L948" i="2" s="1"/>
  <c r="C949" i="2"/>
  <c r="L949" i="2" s="1" a="1"/>
  <c r="L949" i="2" s="1"/>
  <c r="C950" i="2"/>
  <c r="L950" i="2" s="1" a="1"/>
  <c r="L950" i="2" s="1"/>
  <c r="C951" i="2"/>
  <c r="L951" i="2" s="1" a="1"/>
  <c r="L951" i="2" s="1"/>
  <c r="C952" i="2"/>
  <c r="L952" i="2" s="1" a="1"/>
  <c r="L952" i="2" s="1"/>
  <c r="C953" i="2"/>
  <c r="L953" i="2" s="1" a="1"/>
  <c r="L953" i="2" s="1"/>
  <c r="C954" i="2"/>
  <c r="L954" i="2" s="1" a="1"/>
  <c r="L954" i="2" s="1"/>
  <c r="C955" i="2"/>
  <c r="L955" i="2" s="1" a="1"/>
  <c r="L955" i="2" s="1"/>
  <c r="C956" i="2"/>
  <c r="C957" i="2"/>
  <c r="L957" i="2" s="1" a="1"/>
  <c r="L957" i="2" s="1"/>
  <c r="C958" i="2"/>
  <c r="L958" i="2" s="1" a="1"/>
  <c r="L958" i="2" s="1"/>
  <c r="C959" i="2"/>
  <c r="L959" i="2" s="1" a="1"/>
  <c r="L959" i="2" s="1"/>
  <c r="C960" i="2"/>
  <c r="L960" i="2" s="1" a="1"/>
  <c r="L960" i="2" s="1"/>
  <c r="C961" i="2"/>
  <c r="L961" i="2" s="1" a="1"/>
  <c r="L961" i="2" s="1"/>
  <c r="C962" i="2"/>
  <c r="L962" i="2" s="1" a="1"/>
  <c r="L962" i="2" s="1"/>
  <c r="C963" i="2"/>
  <c r="L963" i="2" s="1" a="1"/>
  <c r="L963" i="2" s="1"/>
  <c r="C964" i="2"/>
  <c r="L964" i="2" s="1" a="1"/>
  <c r="L964" i="2" s="1"/>
  <c r="C965" i="2"/>
  <c r="L965" i="2" s="1" a="1"/>
  <c r="L965" i="2" s="1"/>
  <c r="C966" i="2"/>
  <c r="L966" i="2" s="1" a="1"/>
  <c r="L966" i="2" s="1"/>
  <c r="C967" i="2"/>
  <c r="L967" i="2" s="1" a="1"/>
  <c r="L967" i="2" s="1"/>
  <c r="C968" i="2"/>
  <c r="L968" i="2" s="1" a="1"/>
  <c r="L968" i="2" s="1"/>
  <c r="C969" i="2"/>
  <c r="L969" i="2" s="1" a="1"/>
  <c r="L969" i="2" s="1"/>
  <c r="C970" i="2"/>
  <c r="L970" i="2" s="1" a="1"/>
  <c r="L970" i="2" s="1"/>
  <c r="C971" i="2"/>
  <c r="L971" i="2" s="1" a="1"/>
  <c r="L971" i="2" s="1"/>
  <c r="C972" i="2"/>
  <c r="L972" i="2" s="1" a="1"/>
  <c r="L972" i="2" s="1"/>
  <c r="C973" i="2"/>
  <c r="L973" i="2" s="1" a="1"/>
  <c r="L973" i="2" s="1"/>
  <c r="C974" i="2"/>
  <c r="L974" i="2" s="1" a="1"/>
  <c r="L974" i="2" s="1"/>
  <c r="C975" i="2"/>
  <c r="L975" i="2" s="1" a="1"/>
  <c r="L975" i="2" s="1"/>
  <c r="C976" i="2"/>
  <c r="L976" i="2" s="1" a="1"/>
  <c r="L976" i="2" s="1"/>
  <c r="C977" i="2"/>
  <c r="L977" i="2" s="1" a="1"/>
  <c r="L977" i="2" s="1"/>
  <c r="C978" i="2"/>
  <c r="L978" i="2" s="1" a="1"/>
  <c r="L978" i="2" s="1"/>
  <c r="C979" i="2"/>
  <c r="L979" i="2" s="1" a="1"/>
  <c r="L979" i="2" s="1"/>
  <c r="C980" i="2"/>
  <c r="L980" i="2" s="1" a="1"/>
  <c r="L980" i="2" s="1"/>
  <c r="C981" i="2"/>
  <c r="L981" i="2" s="1" a="1"/>
  <c r="L981" i="2" s="1"/>
  <c r="C982" i="2"/>
  <c r="L982" i="2" s="1" a="1"/>
  <c r="L982" i="2" s="1"/>
  <c r="C983" i="2"/>
  <c r="L983" i="2" s="1" a="1"/>
  <c r="L983" i="2" s="1"/>
  <c r="C984" i="2"/>
  <c r="L984" i="2" s="1" a="1"/>
  <c r="L984" i="2" s="1"/>
  <c r="C985" i="2"/>
  <c r="L985" i="2" s="1" a="1"/>
  <c r="L985" i="2" s="1"/>
  <c r="C986" i="2"/>
  <c r="L986" i="2" s="1" a="1"/>
  <c r="L986" i="2" s="1"/>
  <c r="C987" i="2"/>
  <c r="L987" i="2" s="1" a="1"/>
  <c r="L987" i="2" s="1"/>
  <c r="C988" i="2"/>
  <c r="L988" i="2" s="1" a="1"/>
  <c r="L988" i="2" s="1"/>
  <c r="C989" i="2"/>
  <c r="L989" i="2" s="1" a="1"/>
  <c r="L989" i="2" s="1"/>
  <c r="C990" i="2"/>
  <c r="L990" i="2" s="1" a="1"/>
  <c r="L990" i="2" s="1"/>
  <c r="C991" i="2"/>
  <c r="L991" i="2" s="1" a="1"/>
  <c r="L991" i="2" s="1"/>
  <c r="C992" i="2"/>
  <c r="L992" i="2" s="1" a="1"/>
  <c r="L992" i="2" s="1"/>
  <c r="C993" i="2"/>
  <c r="L993" i="2" s="1" a="1"/>
  <c r="L993" i="2" s="1"/>
  <c r="C994" i="2"/>
  <c r="L994" i="2" s="1" a="1"/>
  <c r="L994" i="2" s="1"/>
  <c r="C995" i="2"/>
  <c r="L995" i="2" s="1" a="1"/>
  <c r="L995" i="2" s="1"/>
  <c r="C996" i="2"/>
  <c r="L996" i="2" s="1" a="1"/>
  <c r="L996" i="2" s="1"/>
  <c r="C997" i="2"/>
  <c r="L997" i="2" s="1" a="1"/>
  <c r="L997" i="2" s="1"/>
  <c r="C998" i="2"/>
  <c r="L998" i="2" s="1" a="1"/>
  <c r="L998" i="2" s="1"/>
  <c r="C999" i="2"/>
  <c r="L999" i="2" s="1" a="1"/>
  <c r="L999" i="2" s="1"/>
  <c r="C1000" i="2"/>
  <c r="L1000" i="2" s="1" a="1"/>
  <c r="L1000" i="2" s="1"/>
  <c r="C1001" i="2"/>
  <c r="L1001" i="2" s="1" a="1"/>
  <c r="L1001" i="2" s="1"/>
  <c r="B3" i="3" a="1"/>
  <c r="B3" i="3" s="1"/>
  <c r="B4" i="3" a="1"/>
  <c r="B5" i="3" a="1"/>
  <c r="B6" i="3" a="1"/>
  <c r="B7" i="3" a="1"/>
  <c r="B8" i="3" a="1"/>
  <c r="B9" i="3" a="1"/>
  <c r="B10" i="3" a="1"/>
  <c r="B11" i="3" a="1"/>
  <c r="B12" i="3" a="1"/>
  <c r="B13" i="3" a="1"/>
  <c r="B13" i="3" s="1"/>
  <c r="B14" i="3" a="1"/>
  <c r="B14" i="3" s="1"/>
  <c r="B15" i="3" a="1"/>
  <c r="B15" i="3" s="1"/>
  <c r="B16" i="3" a="1"/>
  <c r="B17" i="3" a="1"/>
  <c r="B18" i="3" a="1"/>
  <c r="B19" i="3" a="1"/>
  <c r="B19" i="3" s="1"/>
  <c r="B20" i="3" a="1"/>
  <c r="B20" i="3" s="1"/>
  <c r="B21" i="3" a="1"/>
  <c r="B22" i="3" a="1"/>
  <c r="M22" i="3" s="1" a="1"/>
  <c r="M22" i="3" s="1"/>
  <c r="B23" i="3" a="1"/>
  <c r="B24" i="3" a="1"/>
  <c r="B25" i="3" a="1"/>
  <c r="B26" i="3" a="1"/>
  <c r="B27" i="3" a="1"/>
  <c r="B27" i="3" s="1"/>
  <c r="B28" i="3" a="1"/>
  <c r="M28" i="3" s="1" a="1"/>
  <c r="M28" i="3" s="1"/>
  <c r="B29" i="3" a="1"/>
  <c r="B30" i="3" a="1"/>
  <c r="B31" i="3" a="1"/>
  <c r="B32" i="3" a="1"/>
  <c r="B32" i="3" s="1"/>
  <c r="B33" i="3" a="1"/>
  <c r="B33" i="3" s="1"/>
  <c r="B34" i="3" a="1"/>
  <c r="M34" i="3" s="1" a="1"/>
  <c r="M34" i="3" s="1"/>
  <c r="B35" i="3" a="1"/>
  <c r="B36" i="3" a="1"/>
  <c r="B37" i="3" a="1"/>
  <c r="B38" i="3" a="1"/>
  <c r="B39" i="3" a="1"/>
  <c r="B40" i="3" a="1"/>
  <c r="B41" i="3" a="1"/>
  <c r="B42" i="3" a="1"/>
  <c r="M42" i="3" s="1" a="1"/>
  <c r="M42" i="3" s="1"/>
  <c r="B43" i="3" a="1"/>
  <c r="B43" i="3" s="1"/>
  <c r="B44" i="3" a="1"/>
  <c r="B45" i="3" a="1"/>
  <c r="B46" i="3" a="1"/>
  <c r="M46" i="3" s="1" a="1"/>
  <c r="M46" i="3" s="1"/>
  <c r="B47" i="3" a="1"/>
  <c r="B48" i="3" a="1"/>
  <c r="B49" i="3" a="1"/>
  <c r="B50" i="3" a="1"/>
  <c r="B50" i="3" s="1"/>
  <c r="B51" i="3" a="1"/>
  <c r="B52" i="3" a="1"/>
  <c r="B53" i="3" a="1"/>
  <c r="B54" i="3" a="1"/>
  <c r="B55" i="3" a="1"/>
  <c r="B56" i="3" a="1"/>
  <c r="B57" i="3" a="1"/>
  <c r="B58" i="3" a="1"/>
  <c r="B59" i="3" a="1"/>
  <c r="B60" i="3" a="1"/>
  <c r="M60" i="3" s="1" a="1"/>
  <c r="M60" i="3" s="1"/>
  <c r="B61" i="3" a="1"/>
  <c r="B62" i="3" a="1"/>
  <c r="B63" i="3" a="1"/>
  <c r="B64" i="3" a="1"/>
  <c r="B65" i="3" a="1"/>
  <c r="B66" i="3" a="1"/>
  <c r="B66" i="3" s="1"/>
  <c r="B67" i="3" a="1"/>
  <c r="B68" i="3" a="1"/>
  <c r="B69" i="3" a="1"/>
  <c r="B70" i="3" a="1"/>
  <c r="M70" i="3" s="1" a="1"/>
  <c r="M70" i="3" s="1"/>
  <c r="B70" i="3"/>
  <c r="B71" i="3" a="1"/>
  <c r="B72" i="3" a="1"/>
  <c r="B73" i="3" a="1"/>
  <c r="B74" i="3" a="1"/>
  <c r="B75" i="3" a="1"/>
  <c r="B76" i="3" a="1"/>
  <c r="B77" i="3" a="1"/>
  <c r="B78" i="3" a="1"/>
  <c r="B78" i="3" s="1"/>
  <c r="B79" i="3" a="1"/>
  <c r="B80" i="3" a="1"/>
  <c r="B80" i="3" s="1"/>
  <c r="B81" i="3" a="1"/>
  <c r="B82" i="3" a="1"/>
  <c r="B83" i="3" a="1"/>
  <c r="B84" i="3" a="1"/>
  <c r="B85" i="3" a="1"/>
  <c r="B86" i="3" a="1"/>
  <c r="B87" i="3" a="1"/>
  <c r="B88" i="3" a="1"/>
  <c r="B89" i="3" a="1"/>
  <c r="B90" i="3" a="1"/>
  <c r="B91" i="3" a="1"/>
  <c r="B92" i="3" a="1"/>
  <c r="B93" i="3" a="1"/>
  <c r="B94" i="3" a="1"/>
  <c r="B95" i="3" a="1"/>
  <c r="B96" i="3" a="1"/>
  <c r="B97" i="3" a="1"/>
  <c r="B98" i="3" a="1"/>
  <c r="B99" i="3" a="1"/>
  <c r="B100" i="3" a="1"/>
  <c r="B101" i="3" a="1"/>
  <c r="B102" i="3" a="1"/>
  <c r="M102" i="3" s="1" a="1"/>
  <c r="M102" i="3" s="1"/>
  <c r="B103" i="3" a="1"/>
  <c r="B104" i="3" a="1"/>
  <c r="B105" i="3" a="1"/>
  <c r="B106" i="3" a="1"/>
  <c r="B107" i="3" a="1"/>
  <c r="B108" i="3" a="1"/>
  <c r="B109" i="3" a="1"/>
  <c r="B110" i="3" a="1"/>
  <c r="M110" i="3" s="1" a="1"/>
  <c r="M110" i="3" s="1"/>
  <c r="B111" i="3" a="1"/>
  <c r="B112" i="3" a="1"/>
  <c r="B113" i="3" a="1"/>
  <c r="B114" i="3" a="1"/>
  <c r="B115" i="3" a="1"/>
  <c r="B116" i="3" a="1"/>
  <c r="B117" i="3" a="1"/>
  <c r="B118" i="3" a="1"/>
  <c r="M118" i="3" s="1" a="1"/>
  <c r="M118" i="3" s="1"/>
  <c r="B119" i="3" a="1"/>
  <c r="B120" i="3" a="1"/>
  <c r="B121" i="3" a="1"/>
  <c r="B122" i="3" a="1"/>
  <c r="B123" i="3" a="1"/>
  <c r="B124" i="3" a="1"/>
  <c r="M124" i="3" s="1" a="1"/>
  <c r="M124" i="3" s="1"/>
  <c r="B125" i="3" a="1"/>
  <c r="B126" i="3" a="1"/>
  <c r="B127" i="3" a="1"/>
  <c r="B128" i="3" a="1"/>
  <c r="B129" i="3" a="1"/>
  <c r="B130" i="3" a="1"/>
  <c r="B131" i="3" a="1"/>
  <c r="B132" i="3" a="1"/>
  <c r="B133" i="3" a="1"/>
  <c r="B134" i="3" a="1"/>
  <c r="B135" i="3" a="1"/>
  <c r="B136" i="3" a="1"/>
  <c r="B137" i="3" a="1"/>
  <c r="B138" i="3" a="1"/>
  <c r="B139" i="3" a="1"/>
  <c r="B140" i="3" a="1"/>
  <c r="M140" i="3" s="1" a="1"/>
  <c r="M140" i="3" s="1"/>
  <c r="B141" i="3" a="1"/>
  <c r="B142" i="3" a="1"/>
  <c r="M142" i="3" s="1" a="1"/>
  <c r="M142" i="3" s="1"/>
  <c r="B142" i="3"/>
  <c r="B143" i="3" a="1"/>
  <c r="B144" i="3" a="1"/>
  <c r="B145" i="3" a="1"/>
  <c r="B146" i="3" a="1"/>
  <c r="B147" i="3" a="1"/>
  <c r="B148" i="3" a="1"/>
  <c r="B149" i="3" a="1"/>
  <c r="B150" i="3" a="1"/>
  <c r="M150" i="3" s="1" a="1"/>
  <c r="M150" i="3" s="1"/>
  <c r="B151" i="3" a="1"/>
  <c r="B152" i="3" a="1"/>
  <c r="B153" i="3" a="1"/>
  <c r="B154" i="3" a="1"/>
  <c r="M154" i="3" s="1" a="1"/>
  <c r="M154" i="3" s="1"/>
  <c r="B155" i="3" a="1"/>
  <c r="B156" i="3" a="1"/>
  <c r="M156" i="3" s="1" a="1"/>
  <c r="M156" i="3" s="1"/>
  <c r="B157" i="3" a="1"/>
  <c r="B158" i="3" a="1"/>
  <c r="B159" i="3" a="1"/>
  <c r="B160" i="3" a="1"/>
  <c r="B161" i="3" a="1"/>
  <c r="B162" i="3" a="1"/>
  <c r="B163" i="3" a="1"/>
  <c r="B164" i="3" a="1"/>
  <c r="B165" i="3" a="1"/>
  <c r="B166" i="3" a="1"/>
  <c r="B167" i="3" a="1"/>
  <c r="B168" i="3" a="1"/>
  <c r="B169" i="3" a="1"/>
  <c r="B170" i="3" a="1"/>
  <c r="B171" i="3" a="1"/>
  <c r="B172" i="3" a="1"/>
  <c r="B173" i="3" a="1"/>
  <c r="B174" i="3" a="1"/>
  <c r="B175" i="3" a="1"/>
  <c r="B176" i="3" a="1"/>
  <c r="B177" i="3" a="1"/>
  <c r="B178" i="3" a="1"/>
  <c r="B179" i="3" a="1"/>
  <c r="B180" i="3" a="1"/>
  <c r="B181" i="3" a="1"/>
  <c r="B182" i="3" a="1"/>
  <c r="M182" i="3" s="1" a="1"/>
  <c r="M182" i="3" s="1"/>
  <c r="B182" i="3"/>
  <c r="B183" i="3" a="1"/>
  <c r="B184" i="3" a="1"/>
  <c r="B185" i="3" a="1"/>
  <c r="B186" i="3" a="1"/>
  <c r="M186" i="3" s="1" a="1"/>
  <c r="M186" i="3" s="1"/>
  <c r="B187" i="3" a="1"/>
  <c r="B188" i="3" a="1"/>
  <c r="M188" i="3" s="1" a="1"/>
  <c r="M188" i="3" s="1"/>
  <c r="B189" i="3" a="1"/>
  <c r="B190" i="3" a="1"/>
  <c r="B191" i="3" a="1"/>
  <c r="B192" i="3" a="1"/>
  <c r="B193" i="3" a="1"/>
  <c r="B194" i="3" a="1"/>
  <c r="M194" i="3" s="1" a="1"/>
  <c r="M194" i="3" s="1"/>
  <c r="B195" i="3" a="1"/>
  <c r="B196" i="3" a="1"/>
  <c r="B197" i="3" a="1"/>
  <c r="B198" i="3" a="1"/>
  <c r="B199" i="3" a="1"/>
  <c r="B200" i="3" a="1"/>
  <c r="B201" i="3" a="1"/>
  <c r="B202" i="3" a="1"/>
  <c r="M202" i="3" s="1" a="1"/>
  <c r="M202" i="3" s="1"/>
  <c r="B203" i="3" a="1"/>
  <c r="B204" i="3" a="1"/>
  <c r="B205" i="3" a="1"/>
  <c r="B206" i="3" a="1"/>
  <c r="M206" i="3" s="1" a="1"/>
  <c r="M206" i="3" s="1"/>
  <c r="B207" i="3" a="1"/>
  <c r="B208" i="3" a="1"/>
  <c r="B209" i="3" a="1"/>
  <c r="B210" i="3" a="1"/>
  <c r="B211" i="3" a="1"/>
  <c r="B212" i="3" a="1"/>
  <c r="B213" i="3" a="1"/>
  <c r="B214" i="3" a="1"/>
  <c r="B215" i="3" a="1"/>
  <c r="B216" i="3" a="1"/>
  <c r="B217" i="3" a="1"/>
  <c r="B218" i="3" a="1"/>
  <c r="B219" i="3" a="1"/>
  <c r="B220" i="3" a="1"/>
  <c r="B221" i="3" a="1"/>
  <c r="B222" i="3" a="1"/>
  <c r="B223" i="3" a="1"/>
  <c r="B224" i="3" a="1"/>
  <c r="B225" i="3" a="1"/>
  <c r="B226" i="3" a="1"/>
  <c r="B227" i="3" a="1"/>
  <c r="B228" i="3" a="1"/>
  <c r="B229" i="3" a="1"/>
  <c r="B230" i="3" a="1"/>
  <c r="M230" i="3" s="1" a="1"/>
  <c r="M230" i="3" s="1"/>
  <c r="B231" i="3" a="1"/>
  <c r="B232" i="3" a="1"/>
  <c r="B233" i="3" a="1"/>
  <c r="B234" i="3" a="1"/>
  <c r="B235" i="3" a="1"/>
  <c r="B236" i="3" a="1"/>
  <c r="M236" i="3" s="1" a="1"/>
  <c r="M236" i="3" s="1"/>
  <c r="B237" i="3" a="1"/>
  <c r="B238" i="3" a="1"/>
  <c r="B239" i="3" a="1"/>
  <c r="B240" i="3" a="1"/>
  <c r="B241" i="3" a="1"/>
  <c r="B242" i="3" a="1"/>
  <c r="B243" i="3" a="1"/>
  <c r="B244" i="3" a="1"/>
  <c r="B245" i="3" a="1"/>
  <c r="B246" i="3" a="1"/>
  <c r="B247" i="3" a="1"/>
  <c r="B248" i="3" a="1"/>
  <c r="B249" i="3" a="1"/>
  <c r="B250" i="3" a="1"/>
  <c r="M250" i="3" s="1" a="1"/>
  <c r="M250" i="3" s="1"/>
  <c r="B251" i="3" a="1"/>
  <c r="B252" i="3" a="1"/>
  <c r="B253" i="3" a="1"/>
  <c r="B254" i="3" a="1"/>
  <c r="B255" i="3" a="1"/>
  <c r="B256" i="3" a="1"/>
  <c r="B257" i="3" a="1"/>
  <c r="B258" i="3" a="1"/>
  <c r="B259" i="3" a="1"/>
  <c r="B260" i="3" a="1"/>
  <c r="B261" i="3" a="1"/>
  <c r="B262" i="3" a="1"/>
  <c r="M262" i="3" s="1" a="1"/>
  <c r="M262" i="3" s="1"/>
  <c r="B263" i="3" a="1"/>
  <c r="B264" i="3" a="1"/>
  <c r="B265" i="3" a="1"/>
  <c r="B266" i="3" a="1"/>
  <c r="B267" i="3" a="1"/>
  <c r="B268" i="3" a="1"/>
  <c r="M268" i="3" s="1" a="1"/>
  <c r="M268" i="3" s="1"/>
  <c r="B269" i="3" a="1"/>
  <c r="B270" i="3" a="1"/>
  <c r="B271" i="3" a="1"/>
  <c r="B272" i="3" a="1"/>
  <c r="B273" i="3" a="1"/>
  <c r="B274" i="3" a="1"/>
  <c r="B275" i="3" a="1"/>
  <c r="B276" i="3" a="1"/>
  <c r="B277" i="3" a="1"/>
  <c r="B278" i="3" a="1"/>
  <c r="B279" i="3" a="1"/>
  <c r="B280" i="3" a="1"/>
  <c r="B281" i="3" a="1"/>
  <c r="B282" i="3" a="1"/>
  <c r="B283" i="3" a="1"/>
  <c r="B284" i="3" a="1"/>
  <c r="B285" i="3" a="1"/>
  <c r="B286" i="3" a="1"/>
  <c r="B287" i="3" a="1"/>
  <c r="B288" i="3" a="1"/>
  <c r="B289" i="3" a="1"/>
  <c r="B290" i="3" a="1"/>
  <c r="B291" i="3" a="1"/>
  <c r="B292" i="3" a="1"/>
  <c r="B293" i="3" a="1"/>
  <c r="B294" i="3" a="1"/>
  <c r="B295" i="3" a="1"/>
  <c r="B296" i="3" a="1"/>
  <c r="B297" i="3" a="1"/>
  <c r="B298" i="3" a="1"/>
  <c r="B299" i="3" a="1"/>
  <c r="B300" i="3" a="1"/>
  <c r="M300" i="3" s="1" a="1"/>
  <c r="M300" i="3" s="1"/>
  <c r="B301" i="3" a="1"/>
  <c r="B302" i="3" a="1"/>
  <c r="B303" i="3" a="1"/>
  <c r="B304" i="3" a="1"/>
  <c r="B305" i="3" a="1"/>
  <c r="B306" i="3" a="1"/>
  <c r="B307" i="3" a="1"/>
  <c r="B308" i="3" a="1"/>
  <c r="B309" i="3" a="1"/>
  <c r="B310" i="3" a="1"/>
  <c r="M310" i="3" s="1" a="1"/>
  <c r="M310" i="3" s="1"/>
  <c r="B311" i="3" a="1"/>
  <c r="B312" i="3" a="1"/>
  <c r="B313" i="3" a="1"/>
  <c r="B314" i="3" a="1"/>
  <c r="B315" i="3" a="1"/>
  <c r="B316" i="3" a="1"/>
  <c r="B317" i="3" a="1"/>
  <c r="B318" i="3" a="1"/>
  <c r="B319" i="3" a="1"/>
  <c r="B320" i="3" a="1"/>
  <c r="B321" i="3" a="1"/>
  <c r="B322" i="3" a="1"/>
  <c r="B323" i="3" a="1"/>
  <c r="B324" i="3" a="1"/>
  <c r="B325" i="3" a="1"/>
  <c r="B326" i="3" a="1"/>
  <c r="B327" i="3" a="1"/>
  <c r="B328" i="3" a="1"/>
  <c r="B329" i="3" a="1"/>
  <c r="B330" i="3" a="1"/>
  <c r="B331" i="3" a="1"/>
  <c r="B332" i="3" a="1"/>
  <c r="B333" i="3" a="1"/>
  <c r="B334" i="3" a="1"/>
  <c r="B335" i="3" a="1"/>
  <c r="B336" i="3" a="1"/>
  <c r="B337" i="3" a="1"/>
  <c r="B338" i="3" a="1"/>
  <c r="B339" i="3" a="1"/>
  <c r="B340" i="3" a="1"/>
  <c r="B341" i="3" a="1"/>
  <c r="B342" i="3" a="1"/>
  <c r="B343" i="3" a="1"/>
  <c r="B344" i="3" a="1"/>
  <c r="B345" i="3" a="1"/>
  <c r="B346" i="3" a="1"/>
  <c r="M346" i="3" s="1" a="1"/>
  <c r="M346" i="3" s="1"/>
  <c r="B347" i="3" a="1"/>
  <c r="B348" i="3" a="1"/>
  <c r="B349" i="3" a="1"/>
  <c r="M349" i="3" s="1" a="1"/>
  <c r="M349" i="3" s="1"/>
  <c r="B350" i="3" a="1"/>
  <c r="B351" i="3" a="1"/>
  <c r="B352" i="3" a="1"/>
  <c r="B353" i="3" a="1"/>
  <c r="B354" i="3" a="1"/>
  <c r="B355" i="3" a="1"/>
  <c r="B356" i="3" a="1"/>
  <c r="B357" i="3" a="1"/>
  <c r="B358" i="3" a="1"/>
  <c r="B359" i="3" a="1"/>
  <c r="B360" i="3" a="1"/>
  <c r="B361" i="3" a="1"/>
  <c r="M361" i="3" s="1" a="1"/>
  <c r="M361" i="3" s="1"/>
  <c r="B362" i="3" a="1"/>
  <c r="B363" i="3" a="1"/>
  <c r="B364" i="3" a="1"/>
  <c r="B365" i="3" a="1"/>
  <c r="B366" i="3" a="1"/>
  <c r="M366" i="3" s="1" a="1"/>
  <c r="M366" i="3" s="1"/>
  <c r="B366" i="3"/>
  <c r="B367" i="3" a="1"/>
  <c r="B368" i="3" a="1"/>
  <c r="B369" i="3" a="1"/>
  <c r="B370" i="3" a="1"/>
  <c r="B371" i="3" a="1"/>
  <c r="M371" i="3" s="1" a="1"/>
  <c r="M371" i="3" s="1"/>
  <c r="B372" i="3" a="1"/>
  <c r="B373" i="3" a="1"/>
  <c r="B374" i="3" a="1"/>
  <c r="B375" i="3" a="1"/>
  <c r="B376" i="3" a="1"/>
  <c r="B377" i="3" a="1"/>
  <c r="B378" i="3" a="1"/>
  <c r="B379" i="3" a="1"/>
  <c r="M379" i="3" s="1" a="1"/>
  <c r="M379" i="3" s="1"/>
  <c r="B380" i="3" a="1"/>
  <c r="B381" i="3" a="1"/>
  <c r="B382" i="3" a="1"/>
  <c r="M382" i="3" s="1" a="1"/>
  <c r="M382" i="3" s="1"/>
  <c r="B383" i="3" a="1"/>
  <c r="B384" i="3" a="1"/>
  <c r="B385" i="3" a="1"/>
  <c r="B386" i="3" a="1"/>
  <c r="B387" i="3" a="1"/>
  <c r="B388" i="3" a="1"/>
  <c r="B389" i="3" a="1"/>
  <c r="B390" i="3" a="1"/>
  <c r="B391" i="3" a="1"/>
  <c r="B392" i="3" a="1"/>
  <c r="B393" i="3" a="1"/>
  <c r="B394" i="3" a="1"/>
  <c r="B395" i="3" a="1"/>
  <c r="B396" i="3" a="1"/>
  <c r="B397" i="3" a="1"/>
  <c r="B398" i="3" a="1"/>
  <c r="B399" i="3" a="1"/>
  <c r="M399" i="3" s="1" a="1"/>
  <c r="M399" i="3" s="1"/>
  <c r="B400" i="3" a="1"/>
  <c r="B401" i="3" a="1"/>
  <c r="M401" i="3" s="1" a="1"/>
  <c r="M401" i="3" s="1"/>
  <c r="B402" i="3" a="1"/>
  <c r="B403" i="3" a="1"/>
  <c r="B404" i="3" a="1"/>
  <c r="B405" i="3" a="1"/>
  <c r="M405" i="3" s="1" a="1"/>
  <c r="M405" i="3" s="1"/>
  <c r="B406" i="3" a="1"/>
  <c r="B407" i="3" a="1"/>
  <c r="B408" i="3" a="1"/>
  <c r="B409" i="3" a="1"/>
  <c r="B410" i="3" a="1"/>
  <c r="B411" i="3" a="1"/>
  <c r="B412" i="3" a="1"/>
  <c r="B413" i="3" a="1"/>
  <c r="B414" i="3" a="1"/>
  <c r="B415" i="3" a="1"/>
  <c r="B416" i="3" a="1"/>
  <c r="B417" i="3" a="1"/>
  <c r="B418" i="3" a="1"/>
  <c r="B419" i="3" a="1"/>
  <c r="B420" i="3" a="1"/>
  <c r="B421" i="3" a="1"/>
  <c r="B422" i="3" a="1"/>
  <c r="B423" i="3" a="1"/>
  <c r="B424" i="3" a="1"/>
  <c r="B425" i="3" a="1"/>
  <c r="B426" i="3" a="1"/>
  <c r="B427" i="3" a="1"/>
  <c r="B428" i="3" a="1"/>
  <c r="B429" i="3" a="1"/>
  <c r="B430" i="3" a="1"/>
  <c r="B431" i="3" a="1"/>
  <c r="M431" i="3" s="1" a="1"/>
  <c r="M431" i="3" s="1"/>
  <c r="B432" i="3" a="1"/>
  <c r="B433" i="3" a="1"/>
  <c r="M433" i="3" s="1" a="1"/>
  <c r="M433" i="3" s="1"/>
  <c r="B434" i="3" a="1"/>
  <c r="B435" i="3" a="1"/>
  <c r="B436" i="3" a="1"/>
  <c r="B437" i="3" a="1"/>
  <c r="M437" i="3" s="1" a="1"/>
  <c r="M437" i="3" s="1"/>
  <c r="B438" i="3" a="1"/>
  <c r="B439" i="3" a="1"/>
  <c r="B440" i="3" a="1"/>
  <c r="B441" i="3" a="1"/>
  <c r="B442" i="3" a="1"/>
  <c r="B443" i="3" a="1"/>
  <c r="B444" i="3" a="1"/>
  <c r="B445" i="3" a="1"/>
  <c r="B446" i="3" a="1"/>
  <c r="B447" i="3" a="1"/>
  <c r="B448" i="3" a="1"/>
  <c r="B449" i="3" a="1"/>
  <c r="B450" i="3" a="1"/>
  <c r="B451" i="3" a="1"/>
  <c r="B452" i="3" a="1"/>
  <c r="B453" i="3" a="1"/>
  <c r="B454" i="3" a="1"/>
  <c r="B455" i="3" a="1"/>
  <c r="B456" i="3" a="1"/>
  <c r="B457" i="3" a="1"/>
  <c r="B458" i="3" a="1"/>
  <c r="B459" i="3" a="1"/>
  <c r="B460" i="3" a="1"/>
  <c r="B461" i="3" a="1"/>
  <c r="B462" i="3" a="1"/>
  <c r="B463" i="3" a="1"/>
  <c r="M463" i="3" s="1" a="1"/>
  <c r="M463" i="3" s="1"/>
  <c r="B464" i="3" a="1"/>
  <c r="B465" i="3" a="1"/>
  <c r="M465" i="3" s="1" a="1"/>
  <c r="M465" i="3" s="1"/>
  <c r="B466" i="3" a="1"/>
  <c r="B467" i="3" a="1"/>
  <c r="B468" i="3" a="1"/>
  <c r="B469" i="3" a="1"/>
  <c r="M469" i="3" s="1" a="1"/>
  <c r="M469" i="3" s="1"/>
  <c r="B470" i="3" a="1"/>
  <c r="B471" i="3" a="1"/>
  <c r="B472" i="3" a="1"/>
  <c r="B473" i="3" a="1"/>
  <c r="B474" i="3" a="1"/>
  <c r="B475" i="3" a="1"/>
  <c r="B476" i="3" a="1"/>
  <c r="B477" i="3" a="1"/>
  <c r="B478" i="3" a="1"/>
  <c r="B479" i="3" a="1"/>
  <c r="B480" i="3" a="1"/>
  <c r="B481" i="3" a="1"/>
  <c r="B482" i="3" a="1"/>
  <c r="B483" i="3" a="1"/>
  <c r="B484" i="3" a="1"/>
  <c r="B485" i="3" a="1"/>
  <c r="B486" i="3" a="1"/>
  <c r="B487" i="3" a="1"/>
  <c r="B488" i="3" a="1"/>
  <c r="B489" i="3" a="1"/>
  <c r="B490" i="3" a="1"/>
  <c r="B491" i="3" a="1"/>
  <c r="B492" i="3" a="1"/>
  <c r="B493" i="3" a="1"/>
  <c r="B494" i="3" a="1"/>
  <c r="B495" i="3" a="1"/>
  <c r="B496" i="3" a="1"/>
  <c r="B497" i="3" a="1"/>
  <c r="B498" i="3" a="1"/>
  <c r="B499" i="3" a="1"/>
  <c r="B500" i="3" a="1"/>
  <c r="B501" i="3" a="1"/>
  <c r="M501" i="3" s="1" a="1"/>
  <c r="M501" i="3" s="1"/>
  <c r="B501" i="3"/>
  <c r="B502" i="3" a="1"/>
  <c r="B503" i="3" a="1"/>
  <c r="B504" i="3" a="1"/>
  <c r="B505" i="3" a="1"/>
  <c r="B506" i="3" a="1"/>
  <c r="B507" i="3" a="1"/>
  <c r="B508" i="3" a="1"/>
  <c r="B509" i="3" a="1"/>
  <c r="B510" i="3" a="1"/>
  <c r="B511" i="3" a="1"/>
  <c r="B512" i="3" a="1"/>
  <c r="B513" i="3" a="1"/>
  <c r="B514" i="3" a="1"/>
  <c r="B515" i="3" a="1"/>
  <c r="B516" i="3" a="1"/>
  <c r="B517" i="3" a="1"/>
  <c r="B518" i="3" a="1"/>
  <c r="B519" i="3" a="1"/>
  <c r="B520" i="3" a="1"/>
  <c r="B521" i="3" a="1"/>
  <c r="B522" i="3" a="1"/>
  <c r="B523" i="3" a="1"/>
  <c r="B524" i="3" a="1"/>
  <c r="B525" i="3" a="1"/>
  <c r="B526" i="3" a="1"/>
  <c r="B527" i="3" a="1"/>
  <c r="B528" i="3" a="1"/>
  <c r="B529" i="3" a="1"/>
  <c r="B530" i="3" a="1"/>
  <c r="B531" i="3" a="1"/>
  <c r="B532" i="3" a="1"/>
  <c r="B533" i="3" a="1"/>
  <c r="M533" i="3" s="1" a="1"/>
  <c r="M533" i="3" s="1"/>
  <c r="B534" i="3" a="1"/>
  <c r="B535" i="3" a="1"/>
  <c r="M535" i="3" s="1" a="1"/>
  <c r="M535" i="3" s="1"/>
  <c r="B536" i="3" a="1"/>
  <c r="B537" i="3" a="1"/>
  <c r="B538" i="3" a="1"/>
  <c r="B539" i="3" a="1"/>
  <c r="B540" i="3" a="1"/>
  <c r="B541" i="3" a="1"/>
  <c r="B542" i="3" a="1"/>
  <c r="B543" i="3" a="1"/>
  <c r="B544" i="3" a="1"/>
  <c r="B545" i="3" a="1"/>
  <c r="B546" i="3" a="1"/>
  <c r="B547" i="3" a="1"/>
  <c r="B548" i="3" a="1"/>
  <c r="B549" i="3" a="1"/>
  <c r="M549" i="3" s="1" a="1"/>
  <c r="M549" i="3" s="1"/>
  <c r="B550" i="3" a="1"/>
  <c r="B551" i="3" a="1"/>
  <c r="M551" i="3" s="1" a="1"/>
  <c r="M551" i="3" s="1"/>
  <c r="B552" i="3" a="1"/>
  <c r="B553" i="3" a="1"/>
  <c r="M553" i="3" s="1" a="1"/>
  <c r="M553" i="3" s="1"/>
  <c r="B554" i="3" a="1"/>
  <c r="B555" i="3" a="1"/>
  <c r="B556" i="3" a="1"/>
  <c r="B557" i="3" a="1"/>
  <c r="B558" i="3" a="1"/>
  <c r="B559" i="3" a="1"/>
  <c r="M559" i="3" s="1" a="1"/>
  <c r="M559" i="3" s="1"/>
  <c r="B560" i="3" a="1"/>
  <c r="B561" i="3" a="1"/>
  <c r="B562" i="3" a="1"/>
  <c r="B563" i="3" a="1"/>
  <c r="B564" i="3" a="1"/>
  <c r="B565" i="3" a="1"/>
  <c r="M565" i="3" s="1" a="1"/>
  <c r="M565" i="3" s="1"/>
  <c r="B566" i="3" a="1"/>
  <c r="B567" i="3" a="1"/>
  <c r="M567" i="3" s="1" a="1"/>
  <c r="M567" i="3" s="1"/>
  <c r="B567" i="3"/>
  <c r="B568" i="3" a="1"/>
  <c r="B569" i="3" a="1"/>
  <c r="M569" i="3" s="1" a="1"/>
  <c r="M569" i="3" s="1"/>
  <c r="B570" i="3" a="1"/>
  <c r="B571" i="3" a="1"/>
  <c r="M571" i="3" s="1" a="1"/>
  <c r="M571" i="3" s="1"/>
  <c r="B572" i="3" a="1"/>
  <c r="B573" i="3" a="1"/>
  <c r="B574" i="3" a="1"/>
  <c r="B575" i="3" a="1"/>
  <c r="M575" i="3" s="1" a="1"/>
  <c r="M575" i="3" s="1"/>
  <c r="B576" i="3" a="1"/>
  <c r="B577" i="3" a="1"/>
  <c r="B578" i="3" a="1"/>
  <c r="B579" i="3" a="1"/>
  <c r="B580" i="3" a="1"/>
  <c r="B581" i="3" a="1"/>
  <c r="B582" i="3" a="1"/>
  <c r="B583" i="3" a="1"/>
  <c r="M583" i="3" s="1" a="1"/>
  <c r="M583" i="3" s="1"/>
  <c r="B584" i="3" a="1"/>
  <c r="B585" i="3" a="1"/>
  <c r="M585" i="3" s="1" a="1"/>
  <c r="M585" i="3" s="1"/>
  <c r="B586" i="3" a="1"/>
  <c r="B587" i="3" a="1"/>
  <c r="M587" i="3" s="1" a="1"/>
  <c r="M587" i="3" s="1"/>
  <c r="B587" i="3"/>
  <c r="B588" i="3" a="1"/>
  <c r="B589" i="3" a="1"/>
  <c r="B590" i="3" a="1"/>
  <c r="B591" i="3" a="1"/>
  <c r="M591" i="3" s="1" a="1"/>
  <c r="M591" i="3" s="1"/>
  <c r="B592" i="3" a="1"/>
  <c r="B593" i="3" a="1"/>
  <c r="B594" i="3" a="1"/>
  <c r="B595" i="3" a="1"/>
  <c r="B596" i="3" a="1"/>
  <c r="B597" i="3" a="1"/>
  <c r="B598" i="3" a="1"/>
  <c r="B599" i="3" a="1"/>
  <c r="B600" i="3" a="1"/>
  <c r="B601" i="3" a="1"/>
  <c r="M601" i="3" s="1" a="1"/>
  <c r="M601" i="3" s="1"/>
  <c r="B602" i="3" a="1"/>
  <c r="B603" i="3" a="1"/>
  <c r="M603" i="3" s="1" a="1"/>
  <c r="M603" i="3" s="1"/>
  <c r="B604" i="3" a="1"/>
  <c r="B605" i="3" a="1"/>
  <c r="B606" i="3" a="1"/>
  <c r="B607" i="3" a="1"/>
  <c r="M607" i="3" s="1" a="1"/>
  <c r="M607" i="3" s="1"/>
  <c r="B608" i="3" a="1"/>
  <c r="B609" i="3" a="1"/>
  <c r="B610" i="3" a="1"/>
  <c r="B611" i="3" a="1"/>
  <c r="B612" i="3" a="1"/>
  <c r="B613" i="3" a="1"/>
  <c r="B614" i="3" a="1"/>
  <c r="B615" i="3" a="1"/>
  <c r="M615" i="3" s="1" a="1"/>
  <c r="M615" i="3" s="1"/>
  <c r="B616" i="3" a="1"/>
  <c r="B617" i="3" a="1"/>
  <c r="B618" i="3" a="1"/>
  <c r="B619" i="3" a="1"/>
  <c r="M619" i="3" s="1" a="1"/>
  <c r="M619" i="3" s="1"/>
  <c r="B620" i="3" a="1"/>
  <c r="B621" i="3" a="1"/>
  <c r="B622" i="3" a="1"/>
  <c r="B623" i="3" a="1"/>
  <c r="B624" i="3" a="1"/>
  <c r="B625" i="3" a="1"/>
  <c r="B626" i="3" a="1"/>
  <c r="B627" i="3" a="1"/>
  <c r="B628" i="3" a="1"/>
  <c r="B629" i="3" a="1"/>
  <c r="B630" i="3" a="1"/>
  <c r="B631" i="3" a="1"/>
  <c r="M631" i="3" s="1" a="1"/>
  <c r="M631" i="3" s="1"/>
  <c r="B632" i="3" a="1"/>
  <c r="B633" i="3" a="1"/>
  <c r="B634" i="3" a="1"/>
  <c r="B635" i="3" a="1"/>
  <c r="M635" i="3" s="1" a="1"/>
  <c r="M635" i="3" s="1"/>
  <c r="B636" i="3" a="1"/>
  <c r="B637" i="3" a="1"/>
  <c r="B638" i="3" a="1"/>
  <c r="B639" i="3" a="1"/>
  <c r="M639" i="3" s="1" a="1"/>
  <c r="M639" i="3" s="1"/>
  <c r="B640" i="3" a="1"/>
  <c r="B641" i="3" a="1"/>
  <c r="B642" i="3" a="1"/>
  <c r="B643" i="3" a="1"/>
  <c r="B644" i="3" a="1"/>
  <c r="B645" i="3" a="1"/>
  <c r="B646" i="3" a="1"/>
  <c r="B647" i="3" a="1"/>
  <c r="M647" i="3" s="1" a="1"/>
  <c r="M647" i="3" s="1"/>
  <c r="B648" i="3" a="1"/>
  <c r="B649" i="3" a="1"/>
  <c r="B650" i="3" a="1"/>
  <c r="B651" i="3" a="1"/>
  <c r="B652" i="3" a="1"/>
  <c r="B653" i="3" a="1"/>
  <c r="B654" i="3" a="1"/>
  <c r="B655" i="3" a="1"/>
  <c r="M655" i="3" s="1" a="1"/>
  <c r="M655" i="3" s="1"/>
  <c r="B656" i="3" a="1"/>
  <c r="B657" i="3" a="1"/>
  <c r="B658" i="3" a="1"/>
  <c r="M658" i="3" s="1" a="1"/>
  <c r="M658" i="3" s="1"/>
  <c r="B659" i="3" a="1"/>
  <c r="B660" i="3" a="1"/>
  <c r="B661" i="3" a="1"/>
  <c r="B662" i="3" a="1"/>
  <c r="B663" i="3" a="1"/>
  <c r="M663" i="3" s="1" a="1"/>
  <c r="M663" i="3" s="1"/>
  <c r="B664" i="3" a="1"/>
  <c r="B665" i="3" a="1"/>
  <c r="B666" i="3" a="1"/>
  <c r="B667" i="3" a="1"/>
  <c r="B668" i="3" a="1"/>
  <c r="B669" i="3" a="1"/>
  <c r="M669" i="3" s="1" a="1"/>
  <c r="M669" i="3" s="1"/>
  <c r="B669" i="3"/>
  <c r="B670" i="3" a="1"/>
  <c r="B671" i="3" a="1"/>
  <c r="B672" i="3" a="1"/>
  <c r="B673" i="3" a="1"/>
  <c r="M673" i="3" s="1" a="1"/>
  <c r="M673" i="3" s="1"/>
  <c r="B674" i="3" a="1"/>
  <c r="B675" i="3" a="1"/>
  <c r="B676" i="3" a="1"/>
  <c r="B677" i="3" a="1"/>
  <c r="B678" i="3" a="1"/>
  <c r="B679" i="3" a="1"/>
  <c r="M679" i="3" s="1" a="1"/>
  <c r="M679" i="3" s="1"/>
  <c r="B680" i="3" a="1"/>
  <c r="B681" i="3" a="1"/>
  <c r="B682" i="3" a="1"/>
  <c r="M682" i="3" s="1" a="1"/>
  <c r="M682" i="3" s="1"/>
  <c r="B683" i="3" a="1"/>
  <c r="B684" i="3" a="1"/>
  <c r="B685" i="3" a="1"/>
  <c r="B686" i="3" a="1"/>
  <c r="M686" i="3" s="1" a="1"/>
  <c r="M686" i="3" s="1"/>
  <c r="B687" i="3" a="1"/>
  <c r="B688" i="3" a="1"/>
  <c r="B689" i="3" a="1"/>
  <c r="B690" i="3" a="1"/>
  <c r="M690" i="3" s="1" a="1"/>
  <c r="M690" i="3" s="1"/>
  <c r="B691" i="3" a="1"/>
  <c r="M691" i="3" s="1" a="1"/>
  <c r="M691" i="3" s="1"/>
  <c r="B692" i="3" a="1"/>
  <c r="B693" i="3" a="1"/>
  <c r="M693" i="3" s="1" a="1"/>
  <c r="M693" i="3" s="1"/>
  <c r="B694" i="3" a="1"/>
  <c r="B695" i="3" a="1"/>
  <c r="M695" i="3" s="1" a="1"/>
  <c r="M695" i="3" s="1"/>
  <c r="B696" i="3" a="1"/>
  <c r="B697" i="3" a="1"/>
  <c r="B698" i="3" a="1"/>
  <c r="B699" i="3" a="1"/>
  <c r="B700" i="3" a="1"/>
  <c r="B701" i="3" a="1"/>
  <c r="M701" i="3" s="1" a="1"/>
  <c r="M701" i="3" s="1"/>
  <c r="B702" i="3" a="1"/>
  <c r="M702" i="3" s="1" a="1"/>
  <c r="M702" i="3" s="1"/>
  <c r="B703" i="3" a="1"/>
  <c r="B704" i="3" a="1"/>
  <c r="B705" i="3" a="1"/>
  <c r="M705" i="3" s="1" a="1"/>
  <c r="M705" i="3" s="1"/>
  <c r="B706" i="3" a="1"/>
  <c r="B707" i="3" a="1"/>
  <c r="B708" i="3" a="1"/>
  <c r="B709" i="3" a="1"/>
  <c r="M709" i="3" s="1" a="1"/>
  <c r="M709" i="3" s="1"/>
  <c r="B710" i="3" a="1"/>
  <c r="B711" i="3" a="1"/>
  <c r="B712" i="3" a="1"/>
  <c r="B713" i="3" a="1"/>
  <c r="M713" i="3" s="1" a="1"/>
  <c r="M713" i="3" s="1"/>
  <c r="B714" i="3" a="1"/>
  <c r="B715" i="3" a="1"/>
  <c r="B716" i="3" a="1"/>
  <c r="B717" i="3" a="1"/>
  <c r="B718" i="3" a="1"/>
  <c r="M718" i="3" s="1" a="1"/>
  <c r="M718" i="3" s="1"/>
  <c r="B719" i="3" a="1"/>
  <c r="M719" i="3" s="1" a="1"/>
  <c r="M719" i="3" s="1"/>
  <c r="B720" i="3" a="1"/>
  <c r="B721" i="3" a="1"/>
  <c r="B722" i="3" a="1"/>
  <c r="B723" i="3" a="1"/>
  <c r="M723" i="3" s="1" a="1"/>
  <c r="M723" i="3" s="1"/>
  <c r="B724" i="3" a="1"/>
  <c r="B725" i="3" a="1"/>
  <c r="B726" i="3" a="1"/>
  <c r="B727" i="3" a="1"/>
  <c r="B728" i="3" a="1"/>
  <c r="B729" i="3" a="1"/>
  <c r="B730" i="3" a="1"/>
  <c r="B731" i="3" a="1"/>
  <c r="B732" i="3" a="1"/>
  <c r="B733" i="3" a="1"/>
  <c r="B734" i="3" a="1"/>
  <c r="M734" i="3" s="1" a="1"/>
  <c r="M734" i="3" s="1"/>
  <c r="B735" i="3" a="1"/>
  <c r="B736" i="3" a="1"/>
  <c r="B737" i="3" a="1"/>
  <c r="B738" i="3" a="1"/>
  <c r="B739" i="3" a="1"/>
  <c r="B740" i="3" a="1"/>
  <c r="B741" i="3" a="1"/>
  <c r="M741" i="3" s="1" a="1"/>
  <c r="M741" i="3" s="1"/>
  <c r="B742" i="3" a="1"/>
  <c r="B743" i="3" a="1"/>
  <c r="M743" i="3" s="1" a="1"/>
  <c r="M743" i="3" s="1"/>
  <c r="B744" i="3" a="1"/>
  <c r="B745" i="3" a="1"/>
  <c r="M745" i="3" s="1" a="1"/>
  <c r="M745" i="3" s="1"/>
  <c r="B745" i="3"/>
  <c r="B746" i="3" a="1"/>
  <c r="M746" i="3" s="1" a="1"/>
  <c r="M746" i="3" s="1"/>
  <c r="B747" i="3" a="1"/>
  <c r="B748" i="3" a="1"/>
  <c r="B749" i="3" a="1"/>
  <c r="B750" i="3" a="1"/>
  <c r="M750" i="3" s="1" a="1"/>
  <c r="M750" i="3" s="1"/>
  <c r="B751" i="3" a="1"/>
  <c r="M751" i="3" s="1" a="1"/>
  <c r="M751" i="3" s="1"/>
  <c r="B752" i="3" a="1"/>
  <c r="B753" i="3" a="1"/>
  <c r="B754" i="3" a="1"/>
  <c r="M754" i="3" s="1" a="1"/>
  <c r="M754" i="3" s="1"/>
  <c r="B755" i="3" a="1"/>
  <c r="M755" i="3" s="1" a="1"/>
  <c r="M755" i="3" s="1"/>
  <c r="B756" i="3" a="1"/>
  <c r="B757" i="3" a="1"/>
  <c r="M757" i="3" s="1" a="1"/>
  <c r="M757" i="3" s="1"/>
  <c r="B758" i="3" a="1"/>
  <c r="B759" i="3" a="1"/>
  <c r="M759" i="3" s="1" a="1"/>
  <c r="M759" i="3" s="1"/>
  <c r="B760" i="3" a="1"/>
  <c r="B761" i="3" a="1"/>
  <c r="B762" i="3" a="1"/>
  <c r="B763" i="3" a="1"/>
  <c r="M763" i="3" s="1" a="1"/>
  <c r="M763" i="3" s="1"/>
  <c r="B764" i="3" a="1"/>
  <c r="B765" i="3" a="1"/>
  <c r="M765" i="3" s="1" a="1"/>
  <c r="M765" i="3" s="1"/>
  <c r="B766" i="3" a="1"/>
  <c r="M766" i="3" s="1" a="1"/>
  <c r="M766" i="3" s="1"/>
  <c r="B767" i="3" a="1"/>
  <c r="B768" i="3" a="1"/>
  <c r="B769" i="3" a="1"/>
  <c r="B770" i="3" a="1"/>
  <c r="B771" i="3" a="1"/>
  <c r="B772" i="3" a="1"/>
  <c r="B773" i="3" a="1"/>
  <c r="M773" i="3" s="1" a="1"/>
  <c r="M773" i="3" s="1"/>
  <c r="B774" i="3" a="1"/>
  <c r="M774" i="3" s="1" a="1"/>
  <c r="M774" i="3" s="1"/>
  <c r="B775" i="3" a="1"/>
  <c r="B776" i="3" a="1"/>
  <c r="B777" i="3" a="1"/>
  <c r="B778" i="3" a="1"/>
  <c r="M778" i="3" s="1" a="1"/>
  <c r="M778" i="3" s="1"/>
  <c r="B778" i="3"/>
  <c r="B779" i="3" a="1"/>
  <c r="B780" i="3" a="1"/>
  <c r="B781" i="3" a="1"/>
  <c r="B782" i="3" a="1"/>
  <c r="M782" i="3" s="1" a="1"/>
  <c r="M782" i="3" s="1"/>
  <c r="B783" i="3" a="1"/>
  <c r="M783" i="3" s="1" a="1"/>
  <c r="M783" i="3" s="1"/>
  <c r="B784" i="3" a="1"/>
  <c r="B785" i="3" a="1"/>
  <c r="B786" i="3" a="1"/>
  <c r="B787" i="3" a="1"/>
  <c r="M787" i="3" s="1" a="1"/>
  <c r="M787" i="3" s="1"/>
  <c r="B788" i="3" a="1"/>
  <c r="B789" i="3" a="1"/>
  <c r="M789" i="3" s="1" a="1"/>
  <c r="M789" i="3" s="1"/>
  <c r="B790" i="3" a="1"/>
  <c r="B791" i="3" a="1"/>
  <c r="B792" i="3" a="1"/>
  <c r="B793" i="3" a="1"/>
  <c r="B794" i="3" a="1"/>
  <c r="B795" i="3" a="1"/>
  <c r="M795" i="3" s="1" a="1"/>
  <c r="M795" i="3" s="1"/>
  <c r="B796" i="3" a="1"/>
  <c r="B797" i="3" a="1"/>
  <c r="B798" i="3" a="1"/>
  <c r="M798" i="3" s="1" a="1"/>
  <c r="M798" i="3" s="1"/>
  <c r="B798" i="3"/>
  <c r="B799" i="3" a="1"/>
  <c r="B800" i="3" a="1"/>
  <c r="B801" i="3" a="1"/>
  <c r="M801" i="3" s="1" a="1"/>
  <c r="M801" i="3" s="1"/>
  <c r="B802" i="3" a="1"/>
  <c r="B803" i="3" a="1"/>
  <c r="B804" i="3" a="1"/>
  <c r="B805" i="3" a="1"/>
  <c r="B806" i="3" a="1"/>
  <c r="M806" i="3" s="1" a="1"/>
  <c r="M806" i="3" s="1"/>
  <c r="B807" i="3" a="1"/>
  <c r="M807" i="3" s="1" a="1"/>
  <c r="M807" i="3" s="1"/>
  <c r="B808" i="3" a="1"/>
  <c r="B809" i="3" a="1"/>
  <c r="M809" i="3" s="1" a="1"/>
  <c r="M809" i="3" s="1"/>
  <c r="B810" i="3" a="1"/>
  <c r="M810" i="3" s="1" a="1"/>
  <c r="M810" i="3" s="1"/>
  <c r="B811" i="3" a="1"/>
  <c r="B812" i="3" a="1"/>
  <c r="B813" i="3" a="1"/>
  <c r="B814" i="3" a="1"/>
  <c r="M814" i="3" s="1" a="1"/>
  <c r="M814" i="3" s="1"/>
  <c r="B815" i="3" a="1"/>
  <c r="B816" i="3" a="1"/>
  <c r="B817" i="3" a="1"/>
  <c r="B818" i="3" a="1"/>
  <c r="M818" i="3" s="1" a="1"/>
  <c r="M818" i="3" s="1"/>
  <c r="B819" i="3" a="1"/>
  <c r="M819" i="3" s="1" a="1"/>
  <c r="M819" i="3" s="1"/>
  <c r="B820" i="3" a="1"/>
  <c r="B821" i="3" a="1"/>
  <c r="M821" i="3" s="1" a="1"/>
  <c r="M821" i="3" s="1"/>
  <c r="B822" i="3" a="1"/>
  <c r="B823" i="3" a="1"/>
  <c r="M823" i="3" s="1" a="1"/>
  <c r="M823" i="3" s="1"/>
  <c r="B824" i="3" a="1"/>
  <c r="B825" i="3" a="1"/>
  <c r="B826" i="3" a="1"/>
  <c r="B827" i="3" a="1"/>
  <c r="M827" i="3" s="1" a="1"/>
  <c r="M827" i="3" s="1"/>
  <c r="B827" i="3"/>
  <c r="B828" i="3" a="1"/>
  <c r="B829" i="3" a="1"/>
  <c r="M829" i="3" s="1" a="1"/>
  <c r="M829" i="3" s="1"/>
  <c r="B830" i="3" a="1"/>
  <c r="M830" i="3" s="1" a="1"/>
  <c r="M830" i="3" s="1"/>
  <c r="B831" i="3" a="1"/>
  <c r="B832" i="3" a="1"/>
  <c r="B833" i="3" a="1"/>
  <c r="M833" i="3" s="1" a="1"/>
  <c r="M833" i="3" s="1"/>
  <c r="B834" i="3" a="1"/>
  <c r="B835" i="3" a="1"/>
  <c r="B836" i="3" a="1"/>
  <c r="B837" i="3" a="1"/>
  <c r="M837" i="3" s="1" a="1"/>
  <c r="M837" i="3" s="1"/>
  <c r="B838" i="3" a="1"/>
  <c r="M838" i="3" s="1" a="1"/>
  <c r="M838" i="3" s="1"/>
  <c r="B839" i="3" a="1"/>
  <c r="M839" i="3" s="1" a="1"/>
  <c r="M839" i="3" s="1"/>
  <c r="B840" i="3" a="1"/>
  <c r="B841" i="3" a="1"/>
  <c r="M841" i="3" s="1" a="1"/>
  <c r="M841" i="3" s="1"/>
  <c r="B842" i="3" a="1"/>
  <c r="B843" i="3" a="1"/>
  <c r="B844" i="3" a="1"/>
  <c r="B845" i="3" a="1"/>
  <c r="B846" i="3" a="1"/>
  <c r="B847" i="3" a="1"/>
  <c r="M847" i="3" s="1" a="1"/>
  <c r="M847" i="3" s="1"/>
  <c r="B848" i="3" a="1"/>
  <c r="B849" i="3" a="1"/>
  <c r="B850" i="3" a="1"/>
  <c r="B851" i="3" a="1"/>
  <c r="M851" i="3" s="1" a="1"/>
  <c r="M851" i="3" s="1"/>
  <c r="B852" i="3" a="1"/>
  <c r="B853" i="3" a="1"/>
  <c r="M853" i="3" s="1" a="1"/>
  <c r="M853" i="3" s="1"/>
  <c r="B854" i="3" a="1"/>
  <c r="B855" i="3" a="1"/>
  <c r="M855" i="3" s="1" a="1"/>
  <c r="M855" i="3" s="1"/>
  <c r="B856" i="3" a="1"/>
  <c r="B857" i="3" a="1"/>
  <c r="B858" i="3" a="1"/>
  <c r="B859" i="3" a="1"/>
  <c r="B860" i="3" a="1"/>
  <c r="B861" i="3" a="1"/>
  <c r="M861" i="3" s="1" a="1"/>
  <c r="M861" i="3" s="1"/>
  <c r="B862" i="3" a="1"/>
  <c r="M862" i="3" s="1" a="1"/>
  <c r="M862" i="3" s="1"/>
  <c r="B862" i="3"/>
  <c r="B863" i="3" a="1"/>
  <c r="B864" i="3" a="1"/>
  <c r="B865" i="3" a="1"/>
  <c r="M865" i="3" s="1" a="1"/>
  <c r="M865" i="3" s="1"/>
  <c r="B865" i="3"/>
  <c r="B866" i="3" a="1"/>
  <c r="B867" i="3" a="1"/>
  <c r="B868" i="3" a="1"/>
  <c r="B869" i="3" a="1"/>
  <c r="M869" i="3" s="1" a="1"/>
  <c r="M869" i="3" s="1"/>
  <c r="B870" i="3" a="1"/>
  <c r="M870" i="3" s="1" a="1"/>
  <c r="M870" i="3" s="1"/>
  <c r="B871" i="3" a="1"/>
  <c r="B872" i="3" a="1"/>
  <c r="B873" i="3" a="1"/>
  <c r="B874" i="3" a="1"/>
  <c r="B875" i="3" a="1"/>
  <c r="B876" i="3" a="1"/>
  <c r="B877" i="3" a="1"/>
  <c r="B878" i="3" a="1"/>
  <c r="M878" i="3" s="1" a="1"/>
  <c r="M878" i="3" s="1"/>
  <c r="B879" i="3" a="1"/>
  <c r="M879" i="3" s="1" a="1"/>
  <c r="M879" i="3" s="1"/>
  <c r="B880" i="3" a="1"/>
  <c r="B881" i="3" a="1"/>
  <c r="B882" i="3" a="1"/>
  <c r="B883" i="3" a="1"/>
  <c r="M883" i="3" s="1" a="1"/>
  <c r="M883" i="3" s="1"/>
  <c r="B884" i="3" a="1"/>
  <c r="B885" i="3" a="1"/>
  <c r="B886" i="3" a="1"/>
  <c r="B887" i="3" a="1"/>
  <c r="B888" i="3" a="1"/>
  <c r="B889" i="3" a="1"/>
  <c r="B890" i="3" a="1"/>
  <c r="B891" i="3" a="1"/>
  <c r="B892" i="3" a="1"/>
  <c r="B893" i="3" a="1"/>
  <c r="B894" i="3" a="1"/>
  <c r="M894" i="3" s="1" a="1"/>
  <c r="M894" i="3" s="1"/>
  <c r="B895" i="3" a="1"/>
  <c r="B896" i="3" a="1"/>
  <c r="B897" i="3" a="1"/>
  <c r="M897" i="3" s="1" a="1"/>
  <c r="M897" i="3" s="1"/>
  <c r="B898" i="3" a="1"/>
  <c r="B899" i="3" a="1"/>
  <c r="B900" i="3" a="1"/>
  <c r="B901" i="3" a="1"/>
  <c r="M901" i="3" s="1" a="1"/>
  <c r="M901" i="3" s="1"/>
  <c r="B902" i="3" a="1"/>
  <c r="B903" i="3" a="1"/>
  <c r="M903" i="3" s="1" a="1"/>
  <c r="M903" i="3" s="1"/>
  <c r="B904" i="3" a="1"/>
  <c r="B905" i="3" a="1"/>
  <c r="M905" i="3" s="1" a="1"/>
  <c r="M905" i="3" s="1"/>
  <c r="B905" i="3"/>
  <c r="B906" i="3" a="1"/>
  <c r="M906" i="3" s="1" a="1"/>
  <c r="M906" i="3" s="1"/>
  <c r="B907" i="3" a="1"/>
  <c r="B908" i="3" a="1"/>
  <c r="B909" i="3" a="1"/>
  <c r="B910" i="3" a="1"/>
  <c r="M910" i="3" s="1" a="1"/>
  <c r="M910" i="3" s="1"/>
  <c r="B911" i="3" a="1"/>
  <c r="M911" i="3" s="1" a="1"/>
  <c r="M911" i="3" s="1"/>
  <c r="B912" i="3" a="1"/>
  <c r="B913" i="3" a="1"/>
  <c r="B914" i="3" a="1"/>
  <c r="B915" i="3" a="1"/>
  <c r="M915" i="3" s="1" a="1"/>
  <c r="M915" i="3" s="1"/>
  <c r="B915" i="3"/>
  <c r="B916" i="3" a="1"/>
  <c r="B917" i="3" a="1"/>
  <c r="M917" i="3" s="1" a="1"/>
  <c r="M917" i="3" s="1"/>
  <c r="B918" i="3" a="1"/>
  <c r="B919" i="3" a="1"/>
  <c r="M919" i="3" s="1" a="1"/>
  <c r="M919" i="3" s="1"/>
  <c r="B920" i="3" a="1"/>
  <c r="B921" i="3" a="1"/>
  <c r="B922" i="3" a="1"/>
  <c r="B923" i="3" a="1"/>
  <c r="M923" i="3" s="1" a="1"/>
  <c r="M923" i="3" s="1"/>
  <c r="B924" i="3" a="1"/>
  <c r="B925" i="3" a="1"/>
  <c r="M925" i="3" s="1" a="1"/>
  <c r="M925" i="3" s="1"/>
  <c r="B926" i="3" a="1"/>
  <c r="M926" i="3" s="1" a="1"/>
  <c r="M926" i="3" s="1"/>
  <c r="B926" i="3"/>
  <c r="B927" i="3" a="1"/>
  <c r="B928" i="3" a="1"/>
  <c r="B929" i="3" a="1"/>
  <c r="B930" i="3" a="1"/>
  <c r="B931" i="3" a="1"/>
  <c r="B932" i="3" a="1"/>
  <c r="B933" i="3" a="1"/>
  <c r="M933" i="3" s="1" a="1"/>
  <c r="M933" i="3" s="1"/>
  <c r="B933" i="3"/>
  <c r="B934" i="3" a="1"/>
  <c r="M934" i="3" s="1" a="1"/>
  <c r="M934" i="3" s="1"/>
  <c r="B935" i="3" a="1"/>
  <c r="M935" i="3" s="1" a="1"/>
  <c r="M935" i="3" s="1"/>
  <c r="B935" i="3"/>
  <c r="B936" i="3" a="1"/>
  <c r="B937" i="3" a="1"/>
  <c r="B938" i="3" a="1"/>
  <c r="M938" i="3" s="1" a="1"/>
  <c r="M938" i="3" s="1"/>
  <c r="B938" i="3"/>
  <c r="B939" i="3" a="1"/>
  <c r="B940" i="3" a="1"/>
  <c r="B941" i="3" a="1"/>
  <c r="B942" i="3" a="1"/>
  <c r="M942" i="3" s="1" a="1"/>
  <c r="M942" i="3" s="1"/>
  <c r="B943" i="3" a="1"/>
  <c r="M943" i="3" s="1" a="1"/>
  <c r="M943" i="3" s="1"/>
  <c r="B944" i="3" a="1"/>
  <c r="B945" i="3" a="1"/>
  <c r="B946" i="3" a="1"/>
  <c r="B947" i="3" a="1"/>
  <c r="M947" i="3" s="1" a="1"/>
  <c r="M947" i="3" s="1"/>
  <c r="B948" i="3" a="1"/>
  <c r="B949" i="3" a="1"/>
  <c r="M949" i="3" s="1" a="1"/>
  <c r="M949" i="3" s="1"/>
  <c r="B950" i="3" a="1"/>
  <c r="B951" i="3" a="1"/>
  <c r="M951" i="3" s="1" a="1"/>
  <c r="M951" i="3" s="1"/>
  <c r="B951" i="3"/>
  <c r="B952" i="3" a="1"/>
  <c r="B953" i="3" a="1"/>
  <c r="B954" i="3" a="1"/>
  <c r="B955" i="3" a="1"/>
  <c r="M955" i="3" s="1" a="1"/>
  <c r="M955" i="3" s="1"/>
  <c r="B956" i="3" a="1"/>
  <c r="B957" i="3" a="1"/>
  <c r="M957" i="3" s="1" a="1"/>
  <c r="M957" i="3" s="1"/>
  <c r="B958" i="3" a="1"/>
  <c r="M958" i="3" s="1" a="1"/>
  <c r="M958" i="3" s="1"/>
  <c r="B959" i="3" a="1"/>
  <c r="B960" i="3" a="1"/>
  <c r="B961" i="3" a="1"/>
  <c r="M961" i="3" s="1" a="1"/>
  <c r="M961" i="3" s="1"/>
  <c r="B962" i="3" a="1"/>
  <c r="B963" i="3" a="1"/>
  <c r="B964" i="3" a="1"/>
  <c r="B965" i="3" a="1"/>
  <c r="M965" i="3" s="1" a="1"/>
  <c r="M965" i="3" s="1"/>
  <c r="B966" i="3" a="1"/>
  <c r="M966" i="3" s="1" a="1"/>
  <c r="M966" i="3" s="1"/>
  <c r="B966" i="3"/>
  <c r="B967" i="3" a="1"/>
  <c r="M967" i="3" s="1" a="1"/>
  <c r="M967" i="3" s="1"/>
  <c r="B968" i="3" a="1"/>
  <c r="B969" i="3" a="1"/>
  <c r="M969" i="3" s="1" a="1"/>
  <c r="M969" i="3" s="1"/>
  <c r="B969" i="3"/>
  <c r="B970" i="3" a="1"/>
  <c r="B971" i="3" a="1"/>
  <c r="B972" i="3" a="1"/>
  <c r="B973" i="3" a="1"/>
  <c r="B974" i="3" a="1"/>
  <c r="B975" i="3" a="1"/>
  <c r="M975" i="3" s="1" a="1"/>
  <c r="M975" i="3" s="1"/>
  <c r="B976" i="3" a="1"/>
  <c r="B977" i="3" a="1"/>
  <c r="B978" i="3" a="1"/>
  <c r="M978" i="3" s="1" a="1"/>
  <c r="M978" i="3" s="1"/>
  <c r="B979" i="3" a="1"/>
  <c r="B980" i="3" a="1"/>
  <c r="B981" i="3" a="1"/>
  <c r="B982" i="3" a="1"/>
  <c r="B983" i="3" a="1"/>
  <c r="M983" i="3" s="1" a="1"/>
  <c r="M983" i="3" s="1"/>
  <c r="B984" i="3" a="1"/>
  <c r="B985" i="3" a="1"/>
  <c r="B986" i="3" a="1"/>
  <c r="B987" i="3" a="1"/>
  <c r="B988" i="3" a="1"/>
  <c r="B989" i="3" a="1"/>
  <c r="M989" i="3" s="1" a="1"/>
  <c r="M989" i="3" s="1"/>
  <c r="B990" i="3" a="1"/>
  <c r="B991" i="3" a="1"/>
  <c r="B992" i="3" a="1"/>
  <c r="B993" i="3" a="1"/>
  <c r="M993" i="3" s="1" a="1"/>
  <c r="M993" i="3" s="1"/>
  <c r="B993" i="3"/>
  <c r="B994" i="3" a="1"/>
  <c r="M994" i="3" s="1" a="1"/>
  <c r="M994" i="3" s="1"/>
  <c r="B995" i="3" a="1"/>
  <c r="B996" i="3" a="1"/>
  <c r="M996" i="3" s="1" a="1"/>
  <c r="M996" i="3" s="1"/>
  <c r="B997" i="3" a="1"/>
  <c r="M997" i="3" s="1" a="1"/>
  <c r="M997" i="3" s="1"/>
  <c r="B997" i="3"/>
  <c r="B998" i="3" a="1"/>
  <c r="M998" i="3" s="1" a="1"/>
  <c r="M998" i="3" s="1"/>
  <c r="B999" i="3" a="1"/>
  <c r="B1000" i="3" a="1"/>
  <c r="M1000" i="3" s="1" a="1"/>
  <c r="M1000" i="3" s="1"/>
  <c r="B1001" i="3" a="1"/>
  <c r="B2" i="3" a="1"/>
  <c r="I2" i="2"/>
  <c r="B3" i="5" a="1"/>
  <c r="B4" i="5" a="1"/>
  <c r="B5" i="5" a="1"/>
  <c r="B6" i="5" a="1"/>
  <c r="B7" i="5" a="1"/>
  <c r="B8" i="5" a="1"/>
  <c r="B9" i="5" a="1"/>
  <c r="B10" i="5" a="1"/>
  <c r="B11" i="5" a="1"/>
  <c r="B11" i="5" s="1"/>
  <c r="B12" i="5" a="1"/>
  <c r="B13" i="5" a="1"/>
  <c r="B14" i="5" a="1"/>
  <c r="B15" i="5" a="1"/>
  <c r="B16" i="5" a="1"/>
  <c r="B17" i="5" a="1"/>
  <c r="B17" i="5" s="1"/>
  <c r="B18" i="5" a="1"/>
  <c r="B18" i="5" s="1"/>
  <c r="B19" i="5" a="1"/>
  <c r="B19" i="5" s="1"/>
  <c r="B20" i="5" a="1"/>
  <c r="B20" i="5" s="1"/>
  <c r="B21" i="5" a="1"/>
  <c r="B22" i="5" a="1"/>
  <c r="B23" i="5" a="1"/>
  <c r="B24" i="5" a="1"/>
  <c r="B25" i="5" a="1"/>
  <c r="B26" i="5" a="1"/>
  <c r="B26" i="5" s="1"/>
  <c r="B27" i="5" a="1"/>
  <c r="B27" i="5" s="1"/>
  <c r="B28" i="5" a="1"/>
  <c r="B28" i="5" s="1"/>
  <c r="B29" i="5" a="1"/>
  <c r="B29" i="5" s="1"/>
  <c r="B30" i="5" a="1"/>
  <c r="B31" i="5" a="1"/>
  <c r="B32" i="5" a="1"/>
  <c r="B33" i="5" a="1"/>
  <c r="B34" i="5" a="1"/>
  <c r="B35" i="5" a="1"/>
  <c r="B35" i="5" s="1"/>
  <c r="B36" i="5" a="1"/>
  <c r="B36" i="5" s="1"/>
  <c r="B37" i="5" a="1"/>
  <c r="B37" i="5" s="1"/>
  <c r="B38" i="5" a="1"/>
  <c r="B38" i="5" s="1"/>
  <c r="B39" i="5" a="1"/>
  <c r="B40" i="5" a="1"/>
  <c r="B41" i="5" a="1"/>
  <c r="B42" i="5" a="1"/>
  <c r="B43" i="5" a="1"/>
  <c r="B44" i="5" a="1"/>
  <c r="B44" i="5" s="1"/>
  <c r="B45" i="5" a="1"/>
  <c r="B45" i="5" s="1"/>
  <c r="B46" i="5" a="1"/>
  <c r="B46" i="5" s="1"/>
  <c r="B47" i="5" a="1"/>
  <c r="B48" i="5" a="1"/>
  <c r="B48" i="5" s="1"/>
  <c r="B49" i="5" a="1"/>
  <c r="B50" i="5" a="1"/>
  <c r="B51" i="5" a="1"/>
  <c r="B52" i="5" a="1"/>
  <c r="B53" i="5" a="1"/>
  <c r="B53" i="5" s="1"/>
  <c r="B54" i="5" a="1"/>
  <c r="B54" i="5" s="1"/>
  <c r="B55" i="5" a="1"/>
  <c r="B56" i="5" a="1"/>
  <c r="B56" i="5" s="1"/>
  <c r="B57" i="5" a="1"/>
  <c r="B57" i="5" s="1"/>
  <c r="B58" i="5" a="1"/>
  <c r="B59" i="5" a="1"/>
  <c r="B60" i="5" a="1"/>
  <c r="B61" i="5" a="1"/>
  <c r="B62" i="5" a="1"/>
  <c r="B62" i="5" s="1"/>
  <c r="B63" i="5" a="1"/>
  <c r="B64" i="5" a="1"/>
  <c r="B64" i="5" s="1"/>
  <c r="B65" i="5" a="1"/>
  <c r="B65" i="5" s="1"/>
  <c r="B66" i="5" a="1"/>
  <c r="B66" i="5" s="1"/>
  <c r="B67" i="5" a="1"/>
  <c r="B68" i="5" a="1"/>
  <c r="B69" i="5" a="1"/>
  <c r="B70" i="5" a="1"/>
  <c r="B71" i="5" a="1"/>
  <c r="B72" i="5" a="1"/>
  <c r="B72" i="5" s="1"/>
  <c r="B73" i="5" a="1"/>
  <c r="B73" i="5" s="1"/>
  <c r="B74" i="5" a="1"/>
  <c r="B74" i="5" s="1"/>
  <c r="B75" i="5" a="1"/>
  <c r="B75" i="5" s="1"/>
  <c r="B76" i="5" a="1"/>
  <c r="B77" i="5" a="1"/>
  <c r="B78" i="5" a="1"/>
  <c r="B79" i="5" a="1"/>
  <c r="B80" i="5" a="1"/>
  <c r="B81" i="5" a="1"/>
  <c r="B81" i="5" s="1"/>
  <c r="B82" i="5" a="1"/>
  <c r="B82" i="5" s="1"/>
  <c r="B83" i="5" a="1"/>
  <c r="B83" i="5" s="1"/>
  <c r="B84" i="5" a="1"/>
  <c r="B84" i="5" s="1"/>
  <c r="B85" i="5" a="1"/>
  <c r="B86" i="5" a="1"/>
  <c r="B87" i="5" a="1"/>
  <c r="B88" i="5" a="1"/>
  <c r="B89" i="5" a="1"/>
  <c r="B90" i="5" a="1"/>
  <c r="B90" i="5" s="1"/>
  <c r="B91" i="5" a="1"/>
  <c r="B91" i="5" s="1"/>
  <c r="B92" i="5" a="1"/>
  <c r="B92" i="5" s="1"/>
  <c r="B93" i="5" a="1"/>
  <c r="B93" i="5" s="1"/>
  <c r="B94" i="5" a="1"/>
  <c r="B95" i="5" a="1"/>
  <c r="B96" i="5" a="1"/>
  <c r="B97" i="5" a="1"/>
  <c r="B98" i="5" a="1"/>
  <c r="B99" i="5" a="1"/>
  <c r="B99" i="5" s="1"/>
  <c r="B100" i="5" a="1"/>
  <c r="B100" i="5" s="1"/>
  <c r="B101" i="5" a="1"/>
  <c r="B101" i="5" s="1"/>
  <c r="B102" i="5" a="1"/>
  <c r="B102" i="5" s="1"/>
  <c r="B103" i="5" a="1"/>
  <c r="B104" i="5" a="1"/>
  <c r="B105" i="5" a="1"/>
  <c r="B106" i="5" a="1"/>
  <c r="B107" i="5" a="1"/>
  <c r="B108" i="5" a="1"/>
  <c r="B108" i="5" s="1"/>
  <c r="B109" i="5" a="1"/>
  <c r="B109" i="5" s="1"/>
  <c r="B110" i="5" a="1"/>
  <c r="B110" i="5" s="1"/>
  <c r="B111" i="5" a="1"/>
  <c r="B112" i="5" a="1"/>
  <c r="B112" i="5" s="1"/>
  <c r="B113" i="5" a="1"/>
  <c r="B114" i="5" a="1"/>
  <c r="B115" i="5" a="1"/>
  <c r="B116" i="5" a="1"/>
  <c r="B117" i="5" a="1"/>
  <c r="B117" i="5" s="1"/>
  <c r="B118" i="5" a="1"/>
  <c r="B118" i="5" s="1"/>
  <c r="B119" i="5" a="1"/>
  <c r="B120" i="5" a="1"/>
  <c r="B120" i="5" s="1"/>
  <c r="B121" i="5" a="1"/>
  <c r="B121" i="5" s="1"/>
  <c r="B122" i="5" a="1"/>
  <c r="B123" i="5" a="1"/>
  <c r="B124" i="5" a="1"/>
  <c r="B125" i="5" a="1"/>
  <c r="B126" i="5" a="1"/>
  <c r="B126" i="5" s="1"/>
  <c r="B127" i="5" a="1"/>
  <c r="B128" i="5" a="1"/>
  <c r="B128" i="5" s="1"/>
  <c r="B129" i="5" a="1"/>
  <c r="B129" i="5" s="1"/>
  <c r="B130" i="5" a="1"/>
  <c r="B130" i="5" s="1"/>
  <c r="B131" i="5" a="1"/>
  <c r="B132" i="5" a="1"/>
  <c r="B133" i="5" a="1"/>
  <c r="B134" i="5" a="1"/>
  <c r="B135" i="5" a="1"/>
  <c r="B136" i="5" a="1"/>
  <c r="B136" i="5" s="1"/>
  <c r="B137" i="5" a="1"/>
  <c r="B137" i="5" s="1"/>
  <c r="B138" i="5" a="1"/>
  <c r="B138" i="5" s="1"/>
  <c r="B139" i="5" a="1"/>
  <c r="B139" i="5" s="1"/>
  <c r="B140" i="5" a="1"/>
  <c r="B141" i="5" a="1"/>
  <c r="B142" i="5" a="1"/>
  <c r="B143" i="5" a="1"/>
  <c r="B144" i="5" a="1"/>
  <c r="B145" i="5" a="1"/>
  <c r="B145" i="5" s="1"/>
  <c r="B146" i="5" a="1"/>
  <c r="B146" i="5" s="1"/>
  <c r="B147" i="5" a="1"/>
  <c r="B147" i="5" s="1"/>
  <c r="B148" i="5" a="1"/>
  <c r="B148" i="5" s="1"/>
  <c r="B149" i="5" a="1"/>
  <c r="B150" i="5" a="1"/>
  <c r="B151" i="5" a="1"/>
  <c r="B152" i="5" a="1"/>
  <c r="B153" i="5" a="1"/>
  <c r="B154" i="5" a="1"/>
  <c r="B154" i="5" s="1"/>
  <c r="B155" i="5" a="1"/>
  <c r="B155" i="5" s="1"/>
  <c r="B156" i="5" a="1"/>
  <c r="B156" i="5" s="1"/>
  <c r="B157" i="5" a="1"/>
  <c r="B157" i="5" s="1"/>
  <c r="B158" i="5" a="1"/>
  <c r="B159" i="5" a="1"/>
  <c r="B160" i="5" a="1"/>
  <c r="B161" i="5" a="1"/>
  <c r="B162" i="5" a="1"/>
  <c r="B163" i="5" a="1"/>
  <c r="B163" i="5" s="1"/>
  <c r="B164" i="5" a="1"/>
  <c r="B164" i="5" s="1"/>
  <c r="B165" i="5" a="1"/>
  <c r="B165" i="5" s="1"/>
  <c r="B166" i="5" a="1"/>
  <c r="B166" i="5" s="1"/>
  <c r="B167" i="5" a="1"/>
  <c r="B168" i="5" a="1"/>
  <c r="B169" i="5" a="1"/>
  <c r="B170" i="5" a="1"/>
  <c r="B171" i="5" a="1"/>
  <c r="B172" i="5" a="1"/>
  <c r="B172" i="5" s="1"/>
  <c r="B173" i="5" a="1"/>
  <c r="B173" i="5" s="1"/>
  <c r="B174" i="5" a="1"/>
  <c r="B174" i="5" s="1"/>
  <c r="B175" i="5" a="1"/>
  <c r="B176" i="5" a="1"/>
  <c r="B176" i="5" s="1"/>
  <c r="B177" i="5" a="1"/>
  <c r="B178" i="5" a="1"/>
  <c r="B179" i="5" a="1"/>
  <c r="B180" i="5" a="1"/>
  <c r="B181" i="5" a="1"/>
  <c r="B181" i="5" s="1"/>
  <c r="B182" i="5" a="1"/>
  <c r="B182" i="5" s="1"/>
  <c r="B183" i="5" a="1"/>
  <c r="B184" i="5" a="1"/>
  <c r="B184" i="5" s="1"/>
  <c r="B185" i="5" a="1"/>
  <c r="B186" i="5" a="1"/>
  <c r="B187" i="5" a="1"/>
  <c r="B188" i="5" a="1"/>
  <c r="B189" i="5" a="1"/>
  <c r="B190" i="5" a="1"/>
  <c r="B190" i="5" s="1"/>
  <c r="B191" i="5" a="1"/>
  <c r="B192" i="5" a="1"/>
  <c r="B192" i="5" s="1"/>
  <c r="B193" i="5" a="1"/>
  <c r="B194" i="5" a="1"/>
  <c r="B194" i="5" s="1"/>
  <c r="B195" i="5" a="1"/>
  <c r="B196" i="5" a="1"/>
  <c r="B197" i="5" a="1"/>
  <c r="B198" i="5" a="1"/>
  <c r="B199" i="5" a="1"/>
  <c r="B200" i="5" a="1"/>
  <c r="B200" i="5" s="1"/>
  <c r="B201" i="5" a="1"/>
  <c r="B202" i="5" a="1"/>
  <c r="B202" i="5" s="1"/>
  <c r="B203" i="5" a="1"/>
  <c r="B203" i="5" s="1"/>
  <c r="B204" i="5" a="1"/>
  <c r="B205" i="5" a="1"/>
  <c r="B206" i="5" a="1"/>
  <c r="B207" i="5" a="1"/>
  <c r="B208" i="5" a="1"/>
  <c r="B209" i="5" a="1"/>
  <c r="B210" i="5" a="1"/>
  <c r="B210" i="5" s="1"/>
  <c r="B211" i="5" a="1"/>
  <c r="B211" i="5" s="1"/>
  <c r="B212" i="5" a="1"/>
  <c r="B213" i="5" a="1"/>
  <c r="B214" i="5" a="1"/>
  <c r="B215" i="5" a="1"/>
  <c r="B216" i="5" a="1"/>
  <c r="B217" i="5" a="1"/>
  <c r="B218" i="5" a="1"/>
  <c r="B218" i="5" s="1"/>
  <c r="B219" i="5" a="1"/>
  <c r="B219" i="5" s="1"/>
  <c r="B220" i="5" a="1"/>
  <c r="B221" i="5" a="1"/>
  <c r="B221" i="5" s="1"/>
  <c r="B222" i="5" a="1"/>
  <c r="B223" i="5" a="1"/>
  <c r="B224" i="5" a="1"/>
  <c r="B225" i="5" a="1"/>
  <c r="B226" i="5" a="1"/>
  <c r="B227" i="5" a="1"/>
  <c r="B227" i="5" s="1"/>
  <c r="B228" i="5" a="1"/>
  <c r="B229" i="5" a="1"/>
  <c r="B229" i="5" s="1"/>
  <c r="B230" i="5" a="1"/>
  <c r="B231" i="5" a="1"/>
  <c r="B232" i="5" a="1"/>
  <c r="B233" i="5" a="1"/>
  <c r="B234" i="5" a="1"/>
  <c r="B235" i="5" a="1"/>
  <c r="B236" i="5" a="1"/>
  <c r="B237" i="5" a="1"/>
  <c r="B237" i="5" s="1"/>
  <c r="B238" i="5" a="1"/>
  <c r="B239" i="5" a="1"/>
  <c r="B240" i="5" a="1"/>
  <c r="B241" i="5" a="1"/>
  <c r="B242" i="5" a="1"/>
  <c r="B243" i="5" a="1"/>
  <c r="B244" i="5" a="1"/>
  <c r="B245" i="5" a="1"/>
  <c r="B245" i="5" s="1"/>
  <c r="B246" i="5" a="1"/>
  <c r="B247" i="5" a="1"/>
  <c r="B248" i="5" a="1"/>
  <c r="B249" i="5" a="1"/>
  <c r="B250" i="5" a="1"/>
  <c r="B251" i="5" a="1"/>
  <c r="B252" i="5" a="1"/>
  <c r="B253" i="5" a="1"/>
  <c r="B254" i="5" a="1"/>
  <c r="B255" i="5" a="1"/>
  <c r="B256" i="5" a="1"/>
  <c r="B257" i="5" a="1"/>
  <c r="B258" i="5" a="1"/>
  <c r="B258" i="5" s="1"/>
  <c r="B259" i="5" a="1"/>
  <c r="B260" i="5" a="1"/>
  <c r="B261" i="5" a="1"/>
  <c r="B262" i="5" a="1"/>
  <c r="B263" i="5" a="1"/>
  <c r="B264" i="5" a="1"/>
  <c r="B265" i="5" a="1"/>
  <c r="B266" i="5" a="1"/>
  <c r="B266" i="5" s="1"/>
  <c r="B267" i="5" a="1"/>
  <c r="B267" i="5" s="1"/>
  <c r="B268" i="5" a="1"/>
  <c r="B269" i="5" a="1"/>
  <c r="B270" i="5" a="1"/>
  <c r="B271" i="5" a="1"/>
  <c r="B272" i="5" a="1"/>
  <c r="B273" i="5" a="1"/>
  <c r="B274" i="5" a="1"/>
  <c r="B274" i="5" s="1"/>
  <c r="B275" i="5" a="1"/>
  <c r="B275" i="5" s="1"/>
  <c r="B276" i="5" a="1"/>
  <c r="B277" i="5" a="1"/>
  <c r="B278" i="5" a="1"/>
  <c r="B279" i="5" a="1"/>
  <c r="B280" i="5" a="1"/>
  <c r="B281" i="5" a="1"/>
  <c r="B282" i="5" a="1"/>
  <c r="B282" i="5" s="1"/>
  <c r="B283" i="5" a="1"/>
  <c r="B283" i="5" s="1"/>
  <c r="B284" i="5" a="1"/>
  <c r="B285" i="5" a="1"/>
  <c r="B285" i="5" s="1"/>
  <c r="B286" i="5" a="1"/>
  <c r="B287" i="5" a="1"/>
  <c r="B288" i="5" a="1"/>
  <c r="B289" i="5" a="1"/>
  <c r="B290" i="5" a="1"/>
  <c r="B291" i="5" a="1"/>
  <c r="B291" i="5" s="1"/>
  <c r="B292" i="5" a="1"/>
  <c r="B293" i="5" a="1"/>
  <c r="B293" i="5" s="1"/>
  <c r="B294" i="5" a="1"/>
  <c r="B295" i="5" a="1"/>
  <c r="B296" i="5" a="1"/>
  <c r="B297" i="5" a="1"/>
  <c r="B298" i="5" a="1"/>
  <c r="B299" i="5" a="1"/>
  <c r="B300" i="5" a="1"/>
  <c r="B301" i="5" a="1"/>
  <c r="B301" i="5" s="1"/>
  <c r="B302" i="5" a="1"/>
  <c r="B303" i="5" a="1"/>
  <c r="B304" i="5" a="1"/>
  <c r="B305" i="5" a="1"/>
  <c r="B306" i="5" a="1"/>
  <c r="B307" i="5" a="1"/>
  <c r="B308" i="5" a="1"/>
  <c r="B309" i="5" a="1"/>
  <c r="B309" i="5" s="1"/>
  <c r="B310" i="5" a="1"/>
  <c r="B311" i="5" a="1"/>
  <c r="B312" i="5" a="1"/>
  <c r="B313" i="5" a="1"/>
  <c r="B314" i="5" a="1"/>
  <c r="B315" i="5" a="1"/>
  <c r="B316" i="5" a="1"/>
  <c r="B317" i="5" a="1"/>
  <c r="B318" i="5" a="1"/>
  <c r="B319" i="5" a="1"/>
  <c r="B320" i="5" a="1"/>
  <c r="B321" i="5" a="1"/>
  <c r="B322" i="5" a="1"/>
  <c r="B323" i="5" a="1"/>
  <c r="B324" i="5" a="1"/>
  <c r="B325" i="5" a="1"/>
  <c r="B326" i="5" a="1"/>
  <c r="B327" i="5" a="1"/>
  <c r="B328" i="5" a="1"/>
  <c r="B329" i="5" a="1"/>
  <c r="B330" i="5" a="1"/>
  <c r="B331" i="5" a="1"/>
  <c r="B332" i="5" a="1"/>
  <c r="B333" i="5" a="1"/>
  <c r="B334" i="5" a="1"/>
  <c r="B335" i="5" a="1"/>
  <c r="B336" i="5" a="1"/>
  <c r="B337" i="5" a="1"/>
  <c r="B338" i="5" a="1"/>
  <c r="B339" i="5" a="1"/>
  <c r="B340" i="5" a="1"/>
  <c r="B341" i="5" a="1"/>
  <c r="B342" i="5" a="1"/>
  <c r="B343" i="5" a="1"/>
  <c r="B344" i="5" a="1"/>
  <c r="B345" i="5" a="1"/>
  <c r="B346" i="5" a="1"/>
  <c r="B347" i="5" a="1"/>
  <c r="B348" i="5" a="1"/>
  <c r="B349" i="5" a="1"/>
  <c r="B350" i="5" a="1"/>
  <c r="B351" i="5" a="1"/>
  <c r="B352" i="5" a="1"/>
  <c r="B353" i="5" a="1"/>
  <c r="B354" i="5" a="1"/>
  <c r="B355" i="5" a="1"/>
  <c r="B356" i="5" a="1"/>
  <c r="B357" i="5" a="1"/>
  <c r="B358" i="5" a="1"/>
  <c r="B359" i="5" a="1"/>
  <c r="B360" i="5" a="1"/>
  <c r="B361" i="5" a="1"/>
  <c r="B362" i="5" a="1"/>
  <c r="B363" i="5" a="1"/>
  <c r="B364" i="5" a="1"/>
  <c r="B365" i="5" a="1"/>
  <c r="B366" i="5" a="1"/>
  <c r="B367" i="5" a="1"/>
  <c r="B368" i="5" a="1"/>
  <c r="B369" i="5" a="1"/>
  <c r="B370" i="5" a="1"/>
  <c r="B371" i="5" a="1"/>
  <c r="B372" i="5" a="1"/>
  <c r="B373" i="5" a="1"/>
  <c r="B374" i="5" a="1"/>
  <c r="B375" i="5" a="1"/>
  <c r="B376" i="5" a="1"/>
  <c r="B377" i="5" a="1"/>
  <c r="B378" i="5" a="1"/>
  <c r="B379" i="5" a="1"/>
  <c r="B380" i="5" a="1"/>
  <c r="B381" i="5" a="1"/>
  <c r="B382" i="5" a="1"/>
  <c r="B383" i="5" a="1"/>
  <c r="B384" i="5" a="1"/>
  <c r="B385" i="5" a="1"/>
  <c r="B386" i="5" a="1"/>
  <c r="B387" i="5" a="1"/>
  <c r="B388" i="5" a="1"/>
  <c r="B389" i="5" a="1"/>
  <c r="B390" i="5" a="1"/>
  <c r="B391" i="5" a="1"/>
  <c r="B392" i="5" a="1"/>
  <c r="B393" i="5" a="1"/>
  <c r="B394" i="5" a="1"/>
  <c r="B395" i="5" a="1"/>
  <c r="B396" i="5" a="1"/>
  <c r="B397" i="5" a="1"/>
  <c r="B398" i="5" a="1"/>
  <c r="B399" i="5" a="1"/>
  <c r="B400" i="5" a="1"/>
  <c r="B401" i="5" a="1"/>
  <c r="B402" i="5" a="1"/>
  <c r="B403" i="5" a="1"/>
  <c r="B404" i="5" a="1"/>
  <c r="B405" i="5" a="1"/>
  <c r="B406" i="5" a="1"/>
  <c r="B407" i="5" a="1"/>
  <c r="B408" i="5" a="1"/>
  <c r="B409" i="5" a="1"/>
  <c r="B410" i="5" a="1"/>
  <c r="B411" i="5" a="1"/>
  <c r="B412" i="5" a="1"/>
  <c r="B413" i="5" a="1"/>
  <c r="B414" i="5" a="1"/>
  <c r="B415" i="5" a="1"/>
  <c r="B416" i="5" a="1"/>
  <c r="B417" i="5" a="1"/>
  <c r="B418" i="5" a="1"/>
  <c r="B419" i="5" a="1"/>
  <c r="B420" i="5" a="1"/>
  <c r="B421" i="5" a="1"/>
  <c r="B422" i="5" a="1"/>
  <c r="B423" i="5" a="1"/>
  <c r="B424" i="5" a="1"/>
  <c r="B425" i="5" a="1"/>
  <c r="B426" i="5" a="1"/>
  <c r="B427" i="5" a="1"/>
  <c r="B428" i="5" a="1"/>
  <c r="B429" i="5" a="1"/>
  <c r="B430" i="5" a="1"/>
  <c r="B431" i="5" a="1"/>
  <c r="B432" i="5" a="1"/>
  <c r="B433" i="5" a="1"/>
  <c r="B434" i="5" a="1"/>
  <c r="B435" i="5" a="1"/>
  <c r="B436" i="5" a="1"/>
  <c r="B437" i="5" a="1"/>
  <c r="B438" i="5" a="1"/>
  <c r="B439" i="5" a="1"/>
  <c r="B440" i="5" a="1"/>
  <c r="B441" i="5" a="1"/>
  <c r="B442" i="5" a="1"/>
  <c r="B443" i="5" a="1"/>
  <c r="B444" i="5" a="1"/>
  <c r="B445" i="5" a="1"/>
  <c r="B446" i="5" a="1"/>
  <c r="B447" i="5" a="1"/>
  <c r="B448" i="5" a="1"/>
  <c r="B449" i="5" a="1"/>
  <c r="B450" i="5" a="1"/>
  <c r="B451" i="5" a="1"/>
  <c r="B452" i="5" a="1"/>
  <c r="B453" i="5" a="1"/>
  <c r="B454" i="5" a="1"/>
  <c r="B455" i="5" a="1"/>
  <c r="B456" i="5" a="1"/>
  <c r="B457" i="5" a="1"/>
  <c r="B458" i="5" a="1"/>
  <c r="B459" i="5" a="1"/>
  <c r="B460" i="5" a="1"/>
  <c r="B461" i="5" a="1"/>
  <c r="B462" i="5" a="1"/>
  <c r="B463" i="5" a="1"/>
  <c r="B464" i="5" a="1"/>
  <c r="B465" i="5" a="1"/>
  <c r="B466" i="5" a="1"/>
  <c r="B467" i="5" a="1"/>
  <c r="B468" i="5" a="1"/>
  <c r="B469" i="5" a="1"/>
  <c r="B470" i="5" a="1"/>
  <c r="B471" i="5" a="1"/>
  <c r="B472" i="5" a="1"/>
  <c r="B473" i="5" a="1"/>
  <c r="B474" i="5" a="1"/>
  <c r="B475" i="5" a="1"/>
  <c r="B476" i="5" a="1"/>
  <c r="B477" i="5" a="1"/>
  <c r="B478" i="5" a="1"/>
  <c r="B479" i="5" a="1"/>
  <c r="B480" i="5" a="1"/>
  <c r="B481" i="5" a="1"/>
  <c r="B482" i="5" a="1"/>
  <c r="B483" i="5" a="1"/>
  <c r="B484" i="5" a="1"/>
  <c r="B485" i="5" a="1"/>
  <c r="B486" i="5" a="1"/>
  <c r="B487" i="5" a="1"/>
  <c r="B488" i="5" a="1"/>
  <c r="B489" i="5" a="1"/>
  <c r="B490" i="5" a="1"/>
  <c r="B491" i="5" a="1"/>
  <c r="B492" i="5" a="1"/>
  <c r="B493" i="5" a="1"/>
  <c r="B494" i="5" a="1"/>
  <c r="B495" i="5" a="1"/>
  <c r="B496" i="5" a="1"/>
  <c r="B497" i="5" a="1"/>
  <c r="B498" i="5" a="1"/>
  <c r="B499" i="5" a="1"/>
  <c r="B500" i="5" a="1"/>
  <c r="B501" i="5" a="1"/>
  <c r="B502" i="5" a="1"/>
  <c r="B503" i="5" a="1"/>
  <c r="B504" i="5" a="1"/>
  <c r="B505" i="5" a="1"/>
  <c r="B506" i="5" a="1"/>
  <c r="B507" i="5" a="1"/>
  <c r="B508" i="5" a="1"/>
  <c r="B509" i="5" a="1"/>
  <c r="B510" i="5" a="1"/>
  <c r="B511" i="5" a="1"/>
  <c r="B512" i="5" a="1"/>
  <c r="B513" i="5" a="1"/>
  <c r="B514" i="5" a="1"/>
  <c r="B515" i="5" a="1"/>
  <c r="B516" i="5" a="1"/>
  <c r="B517" i="5" a="1"/>
  <c r="B518" i="5" a="1"/>
  <c r="B519" i="5" a="1"/>
  <c r="B520" i="5" a="1"/>
  <c r="B521" i="5" a="1"/>
  <c r="B522" i="5" a="1"/>
  <c r="B523" i="5" a="1"/>
  <c r="B524" i="5" a="1"/>
  <c r="B525" i="5" a="1"/>
  <c r="B526" i="5" a="1"/>
  <c r="B527" i="5" a="1"/>
  <c r="B528" i="5" a="1"/>
  <c r="B529" i="5" a="1"/>
  <c r="B530" i="5" a="1"/>
  <c r="B531" i="5" a="1"/>
  <c r="B532" i="5" a="1"/>
  <c r="B533" i="5" a="1"/>
  <c r="B534" i="5" a="1"/>
  <c r="B535" i="5" a="1"/>
  <c r="B536" i="5" a="1"/>
  <c r="B537" i="5" a="1"/>
  <c r="B538" i="5" a="1"/>
  <c r="B539" i="5" a="1"/>
  <c r="B540" i="5" a="1"/>
  <c r="B541" i="5" a="1"/>
  <c r="B542" i="5" a="1"/>
  <c r="B543" i="5" a="1"/>
  <c r="B544" i="5" a="1"/>
  <c r="B545" i="5" a="1"/>
  <c r="B546" i="5" a="1"/>
  <c r="B547" i="5" a="1"/>
  <c r="B548" i="5" a="1"/>
  <c r="B549" i="5" a="1"/>
  <c r="B550" i="5" a="1"/>
  <c r="B551" i="5" a="1"/>
  <c r="B552" i="5" a="1"/>
  <c r="B553" i="5" a="1"/>
  <c r="B554" i="5" a="1"/>
  <c r="B555" i="5" a="1"/>
  <c r="B556" i="5" a="1"/>
  <c r="B557" i="5" a="1"/>
  <c r="B558" i="5" a="1"/>
  <c r="B559" i="5" a="1"/>
  <c r="B560" i="5" a="1"/>
  <c r="B561" i="5" a="1"/>
  <c r="B562" i="5" a="1"/>
  <c r="B563" i="5" a="1"/>
  <c r="B564" i="5" a="1"/>
  <c r="B565" i="5" a="1"/>
  <c r="B566" i="5" a="1"/>
  <c r="B567" i="5" a="1"/>
  <c r="B568" i="5" a="1"/>
  <c r="B569" i="5" a="1"/>
  <c r="B570" i="5" a="1"/>
  <c r="B571" i="5" a="1"/>
  <c r="B572" i="5" a="1"/>
  <c r="B573" i="5" a="1"/>
  <c r="B574" i="5" a="1"/>
  <c r="B575" i="5" a="1"/>
  <c r="B576" i="5" a="1"/>
  <c r="B577" i="5" a="1"/>
  <c r="B578" i="5" a="1"/>
  <c r="B579" i="5" a="1"/>
  <c r="B580" i="5" a="1"/>
  <c r="B581" i="5" a="1"/>
  <c r="B582" i="5" a="1"/>
  <c r="B583" i="5" a="1"/>
  <c r="B584" i="5" a="1"/>
  <c r="B585" i="5" a="1"/>
  <c r="B586" i="5" a="1"/>
  <c r="B587" i="5" a="1"/>
  <c r="B588" i="5" a="1"/>
  <c r="B589" i="5" a="1"/>
  <c r="B590" i="5" a="1"/>
  <c r="B591" i="5" a="1"/>
  <c r="B592" i="5" a="1"/>
  <c r="B593" i="5" a="1"/>
  <c r="B594" i="5" a="1"/>
  <c r="B595" i="5" a="1"/>
  <c r="B596" i="5" a="1"/>
  <c r="B597" i="5" a="1"/>
  <c r="B598" i="5" a="1"/>
  <c r="B599" i="5" a="1"/>
  <c r="B600" i="5" a="1"/>
  <c r="B601" i="5" a="1"/>
  <c r="B602" i="5" a="1"/>
  <c r="B603" i="5" a="1"/>
  <c r="B604" i="5" a="1"/>
  <c r="B605" i="5" a="1"/>
  <c r="B606" i="5" a="1"/>
  <c r="B607" i="5" a="1"/>
  <c r="B608" i="5" a="1"/>
  <c r="B609" i="5" a="1"/>
  <c r="B610" i="5" a="1"/>
  <c r="B611" i="5" a="1"/>
  <c r="B612" i="5" a="1"/>
  <c r="B613" i="5" a="1"/>
  <c r="B614" i="5" a="1"/>
  <c r="B615" i="5" a="1"/>
  <c r="B616" i="5" a="1"/>
  <c r="B617" i="5" a="1"/>
  <c r="B618" i="5" a="1"/>
  <c r="B619" i="5" a="1"/>
  <c r="B620" i="5" a="1"/>
  <c r="B621" i="5" a="1"/>
  <c r="B622" i="5" a="1"/>
  <c r="B623" i="5" a="1"/>
  <c r="B624" i="5" a="1"/>
  <c r="B625" i="5" a="1"/>
  <c r="B626" i="5" a="1"/>
  <c r="B627" i="5" a="1"/>
  <c r="B628" i="5" a="1"/>
  <c r="B629" i="5" a="1"/>
  <c r="B630" i="5" a="1"/>
  <c r="B631" i="5" a="1"/>
  <c r="B632" i="5" a="1"/>
  <c r="B633" i="5" a="1"/>
  <c r="B634" i="5" a="1"/>
  <c r="B635" i="5" a="1"/>
  <c r="B636" i="5" a="1"/>
  <c r="B637" i="5" a="1"/>
  <c r="B638" i="5" a="1"/>
  <c r="B639" i="5" a="1"/>
  <c r="B640" i="5" a="1"/>
  <c r="B641" i="5" a="1"/>
  <c r="B642" i="5" a="1"/>
  <c r="B643" i="5" a="1"/>
  <c r="B644" i="5" a="1"/>
  <c r="B645" i="5" a="1"/>
  <c r="B646" i="5" a="1"/>
  <c r="B647" i="5" a="1"/>
  <c r="B648" i="5" a="1"/>
  <c r="B649" i="5" a="1"/>
  <c r="B650" i="5" a="1"/>
  <c r="B651" i="5" a="1"/>
  <c r="B652" i="5" a="1"/>
  <c r="B653" i="5" a="1"/>
  <c r="B654" i="5" a="1"/>
  <c r="B655" i="5" a="1"/>
  <c r="B656" i="5" a="1"/>
  <c r="B657" i="5" a="1"/>
  <c r="B658" i="5" a="1"/>
  <c r="B659" i="5" a="1"/>
  <c r="B660" i="5" a="1"/>
  <c r="B661" i="5" a="1"/>
  <c r="B662" i="5" a="1"/>
  <c r="B663" i="5" a="1"/>
  <c r="B664" i="5" a="1"/>
  <c r="B665" i="5" a="1"/>
  <c r="B666" i="5" a="1"/>
  <c r="B667" i="5" a="1"/>
  <c r="B668" i="5" a="1"/>
  <c r="B669" i="5" a="1"/>
  <c r="B670" i="5" a="1"/>
  <c r="B671" i="5" a="1"/>
  <c r="B672" i="5" a="1"/>
  <c r="B673" i="5" a="1"/>
  <c r="B674" i="5" a="1"/>
  <c r="B675" i="5" a="1"/>
  <c r="B676" i="5" a="1"/>
  <c r="B677" i="5" a="1"/>
  <c r="B678" i="5" a="1"/>
  <c r="B679" i="5" a="1"/>
  <c r="B680" i="5" a="1"/>
  <c r="B681" i="5" a="1"/>
  <c r="B682" i="5" a="1"/>
  <c r="B683" i="5" a="1"/>
  <c r="B684" i="5" a="1"/>
  <c r="B685" i="5" a="1"/>
  <c r="B686" i="5" a="1"/>
  <c r="B687" i="5" a="1"/>
  <c r="B688" i="5" a="1"/>
  <c r="B689" i="5" a="1"/>
  <c r="B690" i="5" a="1"/>
  <c r="B691" i="5" a="1"/>
  <c r="B692" i="5" a="1"/>
  <c r="B693" i="5" a="1"/>
  <c r="B694" i="5" a="1"/>
  <c r="B695" i="5" a="1"/>
  <c r="B696" i="5" a="1"/>
  <c r="B697" i="5" a="1"/>
  <c r="B698" i="5" a="1"/>
  <c r="B699" i="5" a="1"/>
  <c r="B700" i="5" a="1"/>
  <c r="B701" i="5" a="1"/>
  <c r="B702" i="5" a="1"/>
  <c r="B703" i="5" a="1"/>
  <c r="B704" i="5" a="1"/>
  <c r="B705" i="5" a="1"/>
  <c r="B706" i="5" a="1"/>
  <c r="B707" i="5" a="1"/>
  <c r="B708" i="5" a="1"/>
  <c r="B709" i="5" a="1"/>
  <c r="B710" i="5" a="1"/>
  <c r="B711" i="5" a="1"/>
  <c r="B712" i="5" a="1"/>
  <c r="B713" i="5" a="1"/>
  <c r="B714" i="5" a="1"/>
  <c r="B715" i="5" a="1"/>
  <c r="B716" i="5" a="1"/>
  <c r="B717" i="5" a="1"/>
  <c r="B718" i="5" a="1"/>
  <c r="B719" i="5" a="1"/>
  <c r="B720" i="5" a="1"/>
  <c r="B721" i="5" a="1"/>
  <c r="B722" i="5" a="1"/>
  <c r="B723" i="5" a="1"/>
  <c r="B724" i="5" a="1"/>
  <c r="B725" i="5" a="1"/>
  <c r="B726" i="5" a="1"/>
  <c r="B727" i="5" a="1"/>
  <c r="B728" i="5" a="1"/>
  <c r="B729" i="5" a="1"/>
  <c r="B730" i="5" a="1"/>
  <c r="B731" i="5" a="1"/>
  <c r="B732" i="5" a="1"/>
  <c r="B733" i="5" a="1"/>
  <c r="B734" i="5" a="1"/>
  <c r="B735" i="5" a="1"/>
  <c r="B736" i="5" a="1"/>
  <c r="B737" i="5" a="1"/>
  <c r="B738" i="5" a="1"/>
  <c r="B739" i="5" a="1"/>
  <c r="B740" i="5" a="1"/>
  <c r="B741" i="5" a="1"/>
  <c r="B742" i="5" a="1"/>
  <c r="B743" i="5" a="1"/>
  <c r="B744" i="5" a="1"/>
  <c r="B745" i="5" a="1"/>
  <c r="B746" i="5" a="1"/>
  <c r="B747" i="5" a="1"/>
  <c r="B748" i="5" a="1"/>
  <c r="B749" i="5" a="1"/>
  <c r="B750" i="5" a="1"/>
  <c r="B751" i="5" a="1"/>
  <c r="B752" i="5" a="1"/>
  <c r="B753" i="5" a="1"/>
  <c r="B754" i="5" a="1"/>
  <c r="B755" i="5" a="1"/>
  <c r="B756" i="5" a="1"/>
  <c r="B757" i="5" a="1"/>
  <c r="B758" i="5" a="1"/>
  <c r="B759" i="5" a="1"/>
  <c r="B760" i="5" a="1"/>
  <c r="B761" i="5" a="1"/>
  <c r="B762" i="5" a="1"/>
  <c r="B763" i="5" a="1"/>
  <c r="B764" i="5" a="1"/>
  <c r="AF764" i="5" s="1"/>
  <c r="B765" i="5" a="1"/>
  <c r="B766" i="5" a="1"/>
  <c r="B767" i="5" a="1"/>
  <c r="B768" i="5" a="1"/>
  <c r="B769" i="5" a="1"/>
  <c r="B770" i="5" a="1"/>
  <c r="B771" i="5" a="1"/>
  <c r="B772" i="5" a="1"/>
  <c r="B773" i="5" a="1"/>
  <c r="B774" i="5" a="1"/>
  <c r="B775" i="5" a="1"/>
  <c r="B776" i="5" a="1"/>
  <c r="B777" i="5" a="1"/>
  <c r="B778" i="5" a="1"/>
  <c r="B779" i="5" a="1"/>
  <c r="B780" i="5" a="1"/>
  <c r="B781" i="5" a="1"/>
  <c r="B782" i="5" a="1"/>
  <c r="B783" i="5" a="1"/>
  <c r="B784" i="5" a="1"/>
  <c r="B785" i="5" a="1"/>
  <c r="B786" i="5" a="1"/>
  <c r="B787" i="5" a="1"/>
  <c r="B788" i="5" a="1"/>
  <c r="B789" i="5" a="1"/>
  <c r="B790" i="5" a="1"/>
  <c r="B791" i="5" a="1"/>
  <c r="B792" i="5" a="1"/>
  <c r="B793" i="5" a="1"/>
  <c r="B794" i="5" a="1"/>
  <c r="B795" i="5" a="1"/>
  <c r="B796" i="5" a="1"/>
  <c r="B797" i="5" a="1"/>
  <c r="B798" i="5" a="1"/>
  <c r="B799" i="5" a="1"/>
  <c r="B800" i="5" a="1"/>
  <c r="B801" i="5" a="1"/>
  <c r="B802" i="5" a="1"/>
  <c r="B803" i="5" a="1"/>
  <c r="B804" i="5" a="1"/>
  <c r="B805" i="5" a="1"/>
  <c r="B806" i="5" a="1"/>
  <c r="B807" i="5" a="1"/>
  <c r="B808" i="5" a="1"/>
  <c r="B809" i="5" a="1"/>
  <c r="B810" i="5" a="1"/>
  <c r="B811" i="5" a="1"/>
  <c r="B812" i="5" a="1"/>
  <c r="B813" i="5" a="1"/>
  <c r="B814" i="5" a="1"/>
  <c r="B815" i="5" a="1"/>
  <c r="B816" i="5" a="1"/>
  <c r="B817" i="5" a="1"/>
  <c r="B818" i="5" a="1"/>
  <c r="B819" i="5" a="1"/>
  <c r="B820" i="5" a="1"/>
  <c r="B821" i="5" a="1"/>
  <c r="B822" i="5" a="1"/>
  <c r="B823" i="5" a="1"/>
  <c r="B824" i="5" a="1"/>
  <c r="B825" i="5" a="1"/>
  <c r="B826" i="5" a="1"/>
  <c r="B827" i="5" a="1"/>
  <c r="B828" i="5" a="1"/>
  <c r="B829" i="5" a="1"/>
  <c r="B830" i="5" a="1"/>
  <c r="B831" i="5" a="1"/>
  <c r="B832" i="5" a="1"/>
  <c r="B833" i="5" a="1"/>
  <c r="B834" i="5" a="1"/>
  <c r="B835" i="5" a="1"/>
  <c r="B836" i="5" a="1"/>
  <c r="B837" i="5" a="1"/>
  <c r="B838" i="5" a="1"/>
  <c r="B839" i="5" a="1"/>
  <c r="B840" i="5" a="1"/>
  <c r="B841" i="5" a="1"/>
  <c r="B842" i="5" a="1"/>
  <c r="B843" i="5" a="1"/>
  <c r="B844" i="5" a="1"/>
  <c r="B845" i="5" a="1"/>
  <c r="B846" i="5" a="1"/>
  <c r="B847" i="5" a="1"/>
  <c r="B848" i="5" a="1"/>
  <c r="B849" i="5" a="1"/>
  <c r="B850" i="5" a="1"/>
  <c r="B851" i="5" a="1"/>
  <c r="B852" i="5" a="1"/>
  <c r="B853" i="5" a="1"/>
  <c r="B854" i="5" a="1"/>
  <c r="B855" i="5" a="1"/>
  <c r="B856" i="5" a="1"/>
  <c r="B857" i="5" a="1"/>
  <c r="B858" i="5" a="1"/>
  <c r="B859" i="5" a="1"/>
  <c r="B860" i="5" a="1"/>
  <c r="B861" i="5" a="1"/>
  <c r="B862" i="5" a="1"/>
  <c r="B863" i="5" a="1"/>
  <c r="B864" i="5" a="1"/>
  <c r="B865" i="5" a="1"/>
  <c r="B866" i="5" a="1"/>
  <c r="B867" i="5" a="1"/>
  <c r="B868" i="5" a="1"/>
  <c r="B869" i="5" a="1"/>
  <c r="B870" i="5" a="1"/>
  <c r="B871" i="5" a="1"/>
  <c r="B872" i="5" a="1"/>
  <c r="B873" i="5" a="1"/>
  <c r="B874" i="5" a="1"/>
  <c r="B875" i="5" a="1"/>
  <c r="B876" i="5" a="1"/>
  <c r="B877" i="5" a="1"/>
  <c r="B878" i="5" a="1"/>
  <c r="B879" i="5" a="1"/>
  <c r="B880" i="5" a="1"/>
  <c r="B881" i="5" a="1"/>
  <c r="B882" i="5" a="1"/>
  <c r="B883" i="5" a="1"/>
  <c r="B884" i="5" a="1"/>
  <c r="B885" i="5" a="1"/>
  <c r="B886" i="5" a="1"/>
  <c r="B887" i="5" a="1"/>
  <c r="B888" i="5" a="1"/>
  <c r="B889" i="5" a="1"/>
  <c r="B890" i="5" a="1"/>
  <c r="B891" i="5" a="1"/>
  <c r="B892" i="5" a="1"/>
  <c r="B893" i="5" a="1"/>
  <c r="B894" i="5" a="1"/>
  <c r="B895" i="5" a="1"/>
  <c r="B896" i="5" a="1"/>
  <c r="B897" i="5" a="1"/>
  <c r="B898" i="5" a="1"/>
  <c r="B899" i="5" a="1"/>
  <c r="B900" i="5" a="1"/>
  <c r="B901" i="5" a="1"/>
  <c r="B902" i="5" a="1"/>
  <c r="B903" i="5" a="1"/>
  <c r="B904" i="5" a="1"/>
  <c r="B905" i="5" a="1"/>
  <c r="B906" i="5" a="1"/>
  <c r="B907" i="5" a="1"/>
  <c r="B908" i="5" a="1"/>
  <c r="B909" i="5" a="1"/>
  <c r="B910" i="5" a="1"/>
  <c r="B911" i="5" a="1"/>
  <c r="B912" i="5" a="1"/>
  <c r="B913" i="5" a="1"/>
  <c r="B914" i="5" a="1"/>
  <c r="B915" i="5" a="1"/>
  <c r="B916" i="5" a="1"/>
  <c r="B917" i="5" a="1"/>
  <c r="B918" i="5" a="1"/>
  <c r="B919" i="5" a="1"/>
  <c r="B920" i="5" a="1"/>
  <c r="B921" i="5" a="1"/>
  <c r="B922" i="5" a="1"/>
  <c r="B923" i="5" a="1"/>
  <c r="B924" i="5" a="1"/>
  <c r="B925" i="5" a="1"/>
  <c r="B926" i="5" a="1"/>
  <c r="B927" i="5" a="1"/>
  <c r="B928" i="5" a="1"/>
  <c r="B929" i="5" a="1"/>
  <c r="B930" i="5" a="1"/>
  <c r="B931" i="5" a="1"/>
  <c r="B932" i="5" a="1"/>
  <c r="B933" i="5" a="1"/>
  <c r="B934" i="5" a="1"/>
  <c r="B935" i="5" a="1"/>
  <c r="B936" i="5" a="1"/>
  <c r="B937" i="5" a="1"/>
  <c r="B938" i="5" a="1"/>
  <c r="B939" i="5" a="1"/>
  <c r="B940" i="5" a="1"/>
  <c r="B941" i="5" a="1"/>
  <c r="B942" i="5" a="1"/>
  <c r="B943" i="5" a="1"/>
  <c r="B944" i="5" a="1"/>
  <c r="B945" i="5" a="1"/>
  <c r="B946" i="5" a="1"/>
  <c r="B947" i="5" a="1"/>
  <c r="B948" i="5" a="1"/>
  <c r="AF948" i="5" s="1"/>
  <c r="B949" i="5" a="1"/>
  <c r="B950" i="5" a="1"/>
  <c r="B951" i="5" a="1"/>
  <c r="B952" i="5" a="1"/>
  <c r="B953" i="5" a="1"/>
  <c r="B954" i="5" a="1"/>
  <c r="B955" i="5" a="1"/>
  <c r="B956" i="5" a="1"/>
  <c r="B957" i="5" a="1"/>
  <c r="B958" i="5" a="1"/>
  <c r="B959" i="5" a="1"/>
  <c r="B960" i="5" a="1"/>
  <c r="B961" i="5" a="1"/>
  <c r="B962" i="5" a="1"/>
  <c r="B963" i="5" a="1"/>
  <c r="B964" i="5" a="1"/>
  <c r="B965" i="5" a="1"/>
  <c r="B966" i="5" a="1"/>
  <c r="B967" i="5" a="1"/>
  <c r="B968" i="5" a="1"/>
  <c r="B969" i="5" a="1"/>
  <c r="B970" i="5" a="1"/>
  <c r="B971" i="5" a="1"/>
  <c r="B972" i="5" a="1"/>
  <c r="B973" i="5" a="1"/>
  <c r="B974" i="5" a="1"/>
  <c r="B975" i="5" a="1"/>
  <c r="B976" i="5" a="1"/>
  <c r="B977" i="5" a="1"/>
  <c r="B978" i="5" a="1"/>
  <c r="B979" i="5" a="1"/>
  <c r="B980" i="5" a="1"/>
  <c r="B981" i="5" a="1"/>
  <c r="B982" i="5" a="1"/>
  <c r="B983" i="5" a="1"/>
  <c r="B984" i="5" a="1"/>
  <c r="B985" i="5" a="1"/>
  <c r="B986" i="5" a="1"/>
  <c r="B987" i="5" a="1"/>
  <c r="B988" i="5" a="1"/>
  <c r="B989" i="5" a="1"/>
  <c r="B990" i="5" a="1"/>
  <c r="B991" i="5" a="1"/>
  <c r="B992" i="5" a="1"/>
  <c r="B993" i="5" a="1"/>
  <c r="B994" i="5" a="1"/>
  <c r="B995" i="5" a="1"/>
  <c r="B996" i="5" a="1"/>
  <c r="B997" i="5" a="1"/>
  <c r="B998" i="5" a="1"/>
  <c r="B999" i="5" a="1"/>
  <c r="B1000" i="5" a="1"/>
  <c r="B2" i="5" a="1"/>
  <c r="D4" i="2"/>
  <c r="E4" i="2"/>
  <c r="F4" i="2"/>
  <c r="G4" i="2"/>
  <c r="H4" i="2"/>
  <c r="I4" i="2"/>
  <c r="J4" i="2"/>
  <c r="K4" i="2"/>
  <c r="D5" i="2"/>
  <c r="E5" i="2"/>
  <c r="F5" i="2"/>
  <c r="G5" i="2"/>
  <c r="H5" i="2"/>
  <c r="I5" i="2"/>
  <c r="J5" i="2"/>
  <c r="K5" i="2"/>
  <c r="D6" i="2"/>
  <c r="E6" i="2"/>
  <c r="F6" i="2"/>
  <c r="G6" i="2"/>
  <c r="H6" i="2"/>
  <c r="I6" i="2"/>
  <c r="J6" i="2"/>
  <c r="K6" i="2"/>
  <c r="D7" i="2"/>
  <c r="E7" i="2"/>
  <c r="F7" i="2"/>
  <c r="G7" i="2"/>
  <c r="H7" i="2"/>
  <c r="I7" i="2"/>
  <c r="J7" i="2"/>
  <c r="K7" i="2"/>
  <c r="D8" i="2"/>
  <c r="E8" i="2"/>
  <c r="F8" i="2"/>
  <c r="G8" i="2"/>
  <c r="H8" i="2"/>
  <c r="I8" i="2"/>
  <c r="J8" i="2"/>
  <c r="K8" i="2"/>
  <c r="D9" i="2"/>
  <c r="E9" i="2"/>
  <c r="F9" i="2"/>
  <c r="G9" i="2"/>
  <c r="H9" i="2"/>
  <c r="I9" i="2"/>
  <c r="J9" i="2"/>
  <c r="K9" i="2"/>
  <c r="D10" i="2"/>
  <c r="E10" i="2"/>
  <c r="F10" i="2"/>
  <c r="G10" i="2"/>
  <c r="H10" i="2"/>
  <c r="I10" i="2"/>
  <c r="J10" i="2"/>
  <c r="K10" i="2"/>
  <c r="D11" i="2"/>
  <c r="E11" i="2"/>
  <c r="F11" i="2"/>
  <c r="G11" i="2"/>
  <c r="H11" i="2"/>
  <c r="I11" i="2"/>
  <c r="J11" i="2"/>
  <c r="K11" i="2"/>
  <c r="D12" i="2"/>
  <c r="E12" i="2"/>
  <c r="F12" i="2"/>
  <c r="G12" i="2"/>
  <c r="H12" i="2"/>
  <c r="I12" i="2"/>
  <c r="J12" i="2"/>
  <c r="K12" i="2"/>
  <c r="D13" i="2"/>
  <c r="E13" i="2"/>
  <c r="F13" i="2"/>
  <c r="G13" i="2"/>
  <c r="H13" i="2"/>
  <c r="I13" i="2"/>
  <c r="J13" i="2"/>
  <c r="K13" i="2"/>
  <c r="D14" i="2"/>
  <c r="E14" i="2"/>
  <c r="F14" i="2"/>
  <c r="G14" i="2"/>
  <c r="H14" i="2"/>
  <c r="I14" i="2"/>
  <c r="J14" i="2"/>
  <c r="K14" i="2"/>
  <c r="D15" i="2"/>
  <c r="E15" i="2"/>
  <c r="F15" i="2"/>
  <c r="G15" i="2"/>
  <c r="H15" i="2"/>
  <c r="I15" i="2"/>
  <c r="J15" i="2"/>
  <c r="K15" i="2"/>
  <c r="D16" i="2"/>
  <c r="E16" i="2"/>
  <c r="F16" i="2"/>
  <c r="G16" i="2"/>
  <c r="H16" i="2"/>
  <c r="I16" i="2"/>
  <c r="J16" i="2"/>
  <c r="K16" i="2"/>
  <c r="D17" i="2"/>
  <c r="E17" i="2"/>
  <c r="F17" i="2"/>
  <c r="G17" i="2"/>
  <c r="H17" i="2"/>
  <c r="I17" i="2"/>
  <c r="J17" i="2"/>
  <c r="K17" i="2"/>
  <c r="D18" i="2"/>
  <c r="E18" i="2"/>
  <c r="F18" i="2"/>
  <c r="G18" i="2"/>
  <c r="H18" i="2"/>
  <c r="I18" i="2"/>
  <c r="J18" i="2"/>
  <c r="K18" i="2"/>
  <c r="D19" i="2"/>
  <c r="E19" i="2"/>
  <c r="F19" i="2"/>
  <c r="G19" i="2"/>
  <c r="H19" i="2"/>
  <c r="I19" i="2"/>
  <c r="J19" i="2"/>
  <c r="K19" i="2"/>
  <c r="D20" i="2"/>
  <c r="E20" i="2"/>
  <c r="F20" i="2"/>
  <c r="G20" i="2"/>
  <c r="H20" i="2"/>
  <c r="I20" i="2"/>
  <c r="J20" i="2"/>
  <c r="K20" i="2"/>
  <c r="D21" i="2"/>
  <c r="E21" i="2"/>
  <c r="F21" i="2"/>
  <c r="G21" i="2"/>
  <c r="H21" i="2"/>
  <c r="I21" i="2"/>
  <c r="J21" i="2"/>
  <c r="K21" i="2"/>
  <c r="D22" i="2"/>
  <c r="E22" i="2"/>
  <c r="F22" i="2"/>
  <c r="G22" i="2"/>
  <c r="H22" i="2"/>
  <c r="I22" i="2"/>
  <c r="J22" i="2"/>
  <c r="K22" i="2"/>
  <c r="D23" i="2"/>
  <c r="E23" i="2"/>
  <c r="F23" i="2"/>
  <c r="G23" i="2"/>
  <c r="H23" i="2"/>
  <c r="I23" i="2"/>
  <c r="J23" i="2"/>
  <c r="K23" i="2"/>
  <c r="D24" i="2"/>
  <c r="E24" i="2"/>
  <c r="F24" i="2"/>
  <c r="G24" i="2"/>
  <c r="H24" i="2"/>
  <c r="I24" i="2"/>
  <c r="J24" i="2"/>
  <c r="K24" i="2"/>
  <c r="D25" i="2"/>
  <c r="E25" i="2"/>
  <c r="F25" i="2"/>
  <c r="G25" i="2"/>
  <c r="H25" i="2"/>
  <c r="I25" i="2"/>
  <c r="J25" i="2"/>
  <c r="K25" i="2"/>
  <c r="D26" i="2"/>
  <c r="E26" i="2"/>
  <c r="F26" i="2"/>
  <c r="G26" i="2"/>
  <c r="H26" i="2"/>
  <c r="I26" i="2"/>
  <c r="J26" i="2"/>
  <c r="K26" i="2"/>
  <c r="D27" i="2"/>
  <c r="E27" i="2"/>
  <c r="F27" i="2"/>
  <c r="G27" i="2"/>
  <c r="H27" i="2"/>
  <c r="I27" i="2"/>
  <c r="J27" i="2"/>
  <c r="K27" i="2"/>
  <c r="D28" i="2"/>
  <c r="E28" i="2"/>
  <c r="F28" i="2"/>
  <c r="G28" i="2"/>
  <c r="H28" i="2"/>
  <c r="I28" i="2"/>
  <c r="J28" i="2"/>
  <c r="K28" i="2"/>
  <c r="D29" i="2"/>
  <c r="E29" i="2"/>
  <c r="F29" i="2"/>
  <c r="G29" i="2"/>
  <c r="H29" i="2"/>
  <c r="I29" i="2"/>
  <c r="J29" i="2"/>
  <c r="K29" i="2"/>
  <c r="D30" i="2"/>
  <c r="E30" i="2"/>
  <c r="F30" i="2"/>
  <c r="G30" i="2"/>
  <c r="H30" i="2"/>
  <c r="I30" i="2"/>
  <c r="J30" i="2"/>
  <c r="K30" i="2"/>
  <c r="D31" i="2"/>
  <c r="E31" i="2"/>
  <c r="F31" i="2"/>
  <c r="G31" i="2"/>
  <c r="H31" i="2"/>
  <c r="I31" i="2"/>
  <c r="J31" i="2"/>
  <c r="K31" i="2"/>
  <c r="D32" i="2"/>
  <c r="E32" i="2"/>
  <c r="F32" i="2"/>
  <c r="G32" i="2"/>
  <c r="H32" i="2"/>
  <c r="I32" i="2"/>
  <c r="J32" i="2"/>
  <c r="K32" i="2"/>
  <c r="D33" i="2"/>
  <c r="E33" i="2"/>
  <c r="F33" i="2"/>
  <c r="G33" i="2"/>
  <c r="H33" i="2"/>
  <c r="I33" i="2"/>
  <c r="J33" i="2"/>
  <c r="K33" i="2"/>
  <c r="D34" i="2"/>
  <c r="E34" i="2"/>
  <c r="F34" i="2"/>
  <c r="G34" i="2"/>
  <c r="H34" i="2"/>
  <c r="I34" i="2"/>
  <c r="J34" i="2"/>
  <c r="K34" i="2"/>
  <c r="D35" i="2"/>
  <c r="E35" i="2"/>
  <c r="F35" i="2"/>
  <c r="G35" i="2"/>
  <c r="H35" i="2"/>
  <c r="I35" i="2"/>
  <c r="J35" i="2"/>
  <c r="K35" i="2"/>
  <c r="D36" i="2"/>
  <c r="E36" i="2"/>
  <c r="F36" i="2"/>
  <c r="G36" i="2"/>
  <c r="H36" i="2"/>
  <c r="I36" i="2"/>
  <c r="J36" i="2"/>
  <c r="K36" i="2"/>
  <c r="D37" i="2"/>
  <c r="E37" i="2"/>
  <c r="F37" i="2"/>
  <c r="G37" i="2"/>
  <c r="H37" i="2"/>
  <c r="I37" i="2"/>
  <c r="J37" i="2"/>
  <c r="K37" i="2"/>
  <c r="D38" i="2"/>
  <c r="E38" i="2"/>
  <c r="F38" i="2"/>
  <c r="G38" i="2"/>
  <c r="H38" i="2"/>
  <c r="I38" i="2"/>
  <c r="J38" i="2"/>
  <c r="K38" i="2"/>
  <c r="D39" i="2"/>
  <c r="E39" i="2"/>
  <c r="F39" i="2"/>
  <c r="G39" i="2"/>
  <c r="H39" i="2"/>
  <c r="I39" i="2"/>
  <c r="J39" i="2"/>
  <c r="K39" i="2"/>
  <c r="D40" i="2"/>
  <c r="E40" i="2"/>
  <c r="F40" i="2"/>
  <c r="G40" i="2"/>
  <c r="H40" i="2"/>
  <c r="I40" i="2"/>
  <c r="J40" i="2"/>
  <c r="K40" i="2"/>
  <c r="D41" i="2"/>
  <c r="E41" i="2"/>
  <c r="F41" i="2"/>
  <c r="G41" i="2"/>
  <c r="H41" i="2"/>
  <c r="I41" i="2"/>
  <c r="J41" i="2"/>
  <c r="K41" i="2"/>
  <c r="D42" i="2"/>
  <c r="E42" i="2"/>
  <c r="F42" i="2"/>
  <c r="G42" i="2"/>
  <c r="H42" i="2"/>
  <c r="I42" i="2"/>
  <c r="J42" i="2"/>
  <c r="K42" i="2"/>
  <c r="D43" i="2"/>
  <c r="E43" i="2"/>
  <c r="F43" i="2"/>
  <c r="G43" i="2"/>
  <c r="H43" i="2"/>
  <c r="I43" i="2"/>
  <c r="J43" i="2"/>
  <c r="K43" i="2"/>
  <c r="D44" i="2"/>
  <c r="E44" i="2"/>
  <c r="F44" i="2"/>
  <c r="G44" i="2"/>
  <c r="H44" i="2"/>
  <c r="I44" i="2"/>
  <c r="J44" i="2"/>
  <c r="K44" i="2"/>
  <c r="D45" i="2"/>
  <c r="E45" i="2"/>
  <c r="F45" i="2"/>
  <c r="G45" i="2"/>
  <c r="H45" i="2"/>
  <c r="I45" i="2"/>
  <c r="J45" i="2"/>
  <c r="K45" i="2"/>
  <c r="D46" i="2"/>
  <c r="E46" i="2"/>
  <c r="F46" i="2"/>
  <c r="G46" i="2"/>
  <c r="H46" i="2"/>
  <c r="I46" i="2"/>
  <c r="J46" i="2"/>
  <c r="K46" i="2"/>
  <c r="D47" i="2"/>
  <c r="E47" i="2"/>
  <c r="F47" i="2"/>
  <c r="G47" i="2"/>
  <c r="H47" i="2"/>
  <c r="I47" i="2"/>
  <c r="J47" i="2"/>
  <c r="K47" i="2"/>
  <c r="D48" i="2"/>
  <c r="E48" i="2"/>
  <c r="F48" i="2"/>
  <c r="G48" i="2"/>
  <c r="H48" i="2"/>
  <c r="I48" i="2"/>
  <c r="J48" i="2"/>
  <c r="K48" i="2"/>
  <c r="D49" i="2"/>
  <c r="E49" i="2"/>
  <c r="F49" i="2"/>
  <c r="G49" i="2"/>
  <c r="H49" i="2"/>
  <c r="I49" i="2"/>
  <c r="J49" i="2"/>
  <c r="K49" i="2"/>
  <c r="D50" i="2"/>
  <c r="E50" i="2"/>
  <c r="F50" i="2"/>
  <c r="G50" i="2"/>
  <c r="H50" i="2"/>
  <c r="I50" i="2"/>
  <c r="J50" i="2"/>
  <c r="K50" i="2"/>
  <c r="D51" i="2"/>
  <c r="E51" i="2"/>
  <c r="F51" i="2"/>
  <c r="G51" i="2"/>
  <c r="H51" i="2"/>
  <c r="I51" i="2"/>
  <c r="J51" i="2"/>
  <c r="K51" i="2"/>
  <c r="D52" i="2"/>
  <c r="E52" i="2"/>
  <c r="F52" i="2"/>
  <c r="G52" i="2"/>
  <c r="H52" i="2"/>
  <c r="I52" i="2"/>
  <c r="J52" i="2"/>
  <c r="K52" i="2"/>
  <c r="D53" i="2"/>
  <c r="E53" i="2"/>
  <c r="F53" i="2"/>
  <c r="G53" i="2"/>
  <c r="H53" i="2"/>
  <c r="I53" i="2"/>
  <c r="J53" i="2"/>
  <c r="K53" i="2"/>
  <c r="D54" i="2"/>
  <c r="E54" i="2"/>
  <c r="F54" i="2"/>
  <c r="G54" i="2"/>
  <c r="H54" i="2"/>
  <c r="I54" i="2"/>
  <c r="J54" i="2"/>
  <c r="K54" i="2"/>
  <c r="D55" i="2"/>
  <c r="E55" i="2"/>
  <c r="F55" i="2"/>
  <c r="G55" i="2"/>
  <c r="H55" i="2"/>
  <c r="I55" i="2"/>
  <c r="J55" i="2"/>
  <c r="K55" i="2"/>
  <c r="D56" i="2"/>
  <c r="E56" i="2"/>
  <c r="F56" i="2"/>
  <c r="G56" i="2"/>
  <c r="H56" i="2"/>
  <c r="I56" i="2"/>
  <c r="J56" i="2"/>
  <c r="K56" i="2"/>
  <c r="D57" i="2"/>
  <c r="E57" i="2"/>
  <c r="F57" i="2"/>
  <c r="G57" i="2"/>
  <c r="H57" i="2"/>
  <c r="I57" i="2"/>
  <c r="J57" i="2"/>
  <c r="K57" i="2"/>
  <c r="D58" i="2"/>
  <c r="E58" i="2"/>
  <c r="F58" i="2"/>
  <c r="G58" i="2"/>
  <c r="H58" i="2"/>
  <c r="I58" i="2"/>
  <c r="J58" i="2"/>
  <c r="K58" i="2"/>
  <c r="D59" i="2"/>
  <c r="E59" i="2"/>
  <c r="F59" i="2"/>
  <c r="G59" i="2"/>
  <c r="H59" i="2"/>
  <c r="I59" i="2"/>
  <c r="J59" i="2"/>
  <c r="K59" i="2"/>
  <c r="D60" i="2"/>
  <c r="E60" i="2"/>
  <c r="F60" i="2"/>
  <c r="G60" i="2"/>
  <c r="H60" i="2"/>
  <c r="I60" i="2"/>
  <c r="J60" i="2"/>
  <c r="K60" i="2"/>
  <c r="D61" i="2"/>
  <c r="E61" i="2"/>
  <c r="F61" i="2"/>
  <c r="G61" i="2"/>
  <c r="H61" i="2"/>
  <c r="I61" i="2"/>
  <c r="J61" i="2"/>
  <c r="K61" i="2"/>
  <c r="D62" i="2"/>
  <c r="E62" i="2"/>
  <c r="F62" i="2"/>
  <c r="G62" i="2"/>
  <c r="H62" i="2"/>
  <c r="I62" i="2"/>
  <c r="J62" i="2"/>
  <c r="K62" i="2"/>
  <c r="D63" i="2"/>
  <c r="E63" i="2"/>
  <c r="F63" i="2"/>
  <c r="G63" i="2"/>
  <c r="H63" i="2"/>
  <c r="I63" i="2"/>
  <c r="J63" i="2"/>
  <c r="K63" i="2"/>
  <c r="D64" i="2"/>
  <c r="E64" i="2"/>
  <c r="F64" i="2"/>
  <c r="G64" i="2"/>
  <c r="H64" i="2"/>
  <c r="I64" i="2"/>
  <c r="J64" i="2"/>
  <c r="K64" i="2"/>
  <c r="D65" i="2"/>
  <c r="E65" i="2"/>
  <c r="F65" i="2"/>
  <c r="G65" i="2"/>
  <c r="H65" i="2"/>
  <c r="I65" i="2"/>
  <c r="J65" i="2"/>
  <c r="K65" i="2"/>
  <c r="D66" i="2"/>
  <c r="E66" i="2"/>
  <c r="F66" i="2"/>
  <c r="G66" i="2"/>
  <c r="H66" i="2"/>
  <c r="I66" i="2"/>
  <c r="J66" i="2"/>
  <c r="K66" i="2"/>
  <c r="D67" i="2"/>
  <c r="E67" i="2"/>
  <c r="F67" i="2"/>
  <c r="G67" i="2"/>
  <c r="H67" i="2"/>
  <c r="I67" i="2"/>
  <c r="J67" i="2"/>
  <c r="K67" i="2"/>
  <c r="D68" i="2"/>
  <c r="E68" i="2"/>
  <c r="F68" i="2"/>
  <c r="G68" i="2"/>
  <c r="H68" i="2"/>
  <c r="I68" i="2"/>
  <c r="J68" i="2"/>
  <c r="K68" i="2"/>
  <c r="D69" i="2"/>
  <c r="E69" i="2"/>
  <c r="F69" i="2"/>
  <c r="G69" i="2"/>
  <c r="H69" i="2"/>
  <c r="I69" i="2"/>
  <c r="J69" i="2"/>
  <c r="K69" i="2"/>
  <c r="D70" i="2"/>
  <c r="E70" i="2"/>
  <c r="F70" i="2"/>
  <c r="G70" i="2"/>
  <c r="H70" i="2"/>
  <c r="I70" i="2"/>
  <c r="J70" i="2"/>
  <c r="K70" i="2"/>
  <c r="D71" i="2"/>
  <c r="E71" i="2"/>
  <c r="F71" i="2"/>
  <c r="G71" i="2"/>
  <c r="H71" i="2"/>
  <c r="I71" i="2"/>
  <c r="J71" i="2"/>
  <c r="K71" i="2"/>
  <c r="D72" i="2"/>
  <c r="E72" i="2"/>
  <c r="F72" i="2"/>
  <c r="G72" i="2"/>
  <c r="H72" i="2"/>
  <c r="I72" i="2"/>
  <c r="J72" i="2"/>
  <c r="K72" i="2"/>
  <c r="D73" i="2"/>
  <c r="E73" i="2"/>
  <c r="F73" i="2"/>
  <c r="G73" i="2"/>
  <c r="H73" i="2"/>
  <c r="I73" i="2"/>
  <c r="J73" i="2"/>
  <c r="K73" i="2"/>
  <c r="D74" i="2"/>
  <c r="E74" i="2"/>
  <c r="F74" i="2"/>
  <c r="G74" i="2"/>
  <c r="H74" i="2"/>
  <c r="I74" i="2"/>
  <c r="J74" i="2"/>
  <c r="K74" i="2"/>
  <c r="D75" i="2"/>
  <c r="E75" i="2"/>
  <c r="F75" i="2"/>
  <c r="G75" i="2"/>
  <c r="H75" i="2"/>
  <c r="I75" i="2"/>
  <c r="J75" i="2"/>
  <c r="K75" i="2"/>
  <c r="D76" i="2"/>
  <c r="E76" i="2"/>
  <c r="F76" i="2"/>
  <c r="G76" i="2"/>
  <c r="H76" i="2"/>
  <c r="I76" i="2"/>
  <c r="J76" i="2"/>
  <c r="K76" i="2"/>
  <c r="D77" i="2"/>
  <c r="E77" i="2"/>
  <c r="F77" i="2"/>
  <c r="G77" i="2"/>
  <c r="H77" i="2"/>
  <c r="I77" i="2"/>
  <c r="J77" i="2"/>
  <c r="K77" i="2"/>
  <c r="D78" i="2"/>
  <c r="E78" i="2"/>
  <c r="F78" i="2"/>
  <c r="G78" i="2"/>
  <c r="H78" i="2"/>
  <c r="I78" i="2"/>
  <c r="J78" i="2"/>
  <c r="K78" i="2"/>
  <c r="D79" i="2"/>
  <c r="E79" i="2"/>
  <c r="F79" i="2"/>
  <c r="G79" i="2"/>
  <c r="H79" i="2"/>
  <c r="I79" i="2"/>
  <c r="J79" i="2"/>
  <c r="K79" i="2"/>
  <c r="D80" i="2"/>
  <c r="E80" i="2"/>
  <c r="F80" i="2"/>
  <c r="G80" i="2"/>
  <c r="H80" i="2"/>
  <c r="I80" i="2"/>
  <c r="J80" i="2"/>
  <c r="K80" i="2"/>
  <c r="D81" i="2"/>
  <c r="E81" i="2"/>
  <c r="F81" i="2"/>
  <c r="G81" i="2"/>
  <c r="H81" i="2"/>
  <c r="I81" i="2"/>
  <c r="J81" i="2"/>
  <c r="K81" i="2"/>
  <c r="D82" i="2"/>
  <c r="E82" i="2"/>
  <c r="F82" i="2"/>
  <c r="G82" i="2"/>
  <c r="H82" i="2"/>
  <c r="I82" i="2"/>
  <c r="J82" i="2"/>
  <c r="K82" i="2"/>
  <c r="D83" i="2"/>
  <c r="E83" i="2"/>
  <c r="F83" i="2"/>
  <c r="G83" i="2"/>
  <c r="H83" i="2"/>
  <c r="I83" i="2"/>
  <c r="J83" i="2"/>
  <c r="K83" i="2"/>
  <c r="D84" i="2"/>
  <c r="E84" i="2"/>
  <c r="F84" i="2"/>
  <c r="G84" i="2"/>
  <c r="H84" i="2"/>
  <c r="I84" i="2"/>
  <c r="J84" i="2"/>
  <c r="K84" i="2"/>
  <c r="D85" i="2"/>
  <c r="E85" i="2"/>
  <c r="F85" i="2"/>
  <c r="G85" i="2"/>
  <c r="H85" i="2"/>
  <c r="I85" i="2"/>
  <c r="J85" i="2"/>
  <c r="K85" i="2"/>
  <c r="D86" i="2"/>
  <c r="E86" i="2"/>
  <c r="F86" i="2"/>
  <c r="G86" i="2"/>
  <c r="H86" i="2"/>
  <c r="I86" i="2"/>
  <c r="J86" i="2"/>
  <c r="K86" i="2"/>
  <c r="D87" i="2"/>
  <c r="E87" i="2"/>
  <c r="F87" i="2"/>
  <c r="G87" i="2"/>
  <c r="H87" i="2"/>
  <c r="I87" i="2"/>
  <c r="J87" i="2"/>
  <c r="K87" i="2"/>
  <c r="D88" i="2"/>
  <c r="E88" i="2"/>
  <c r="F88" i="2"/>
  <c r="G88" i="2"/>
  <c r="H88" i="2"/>
  <c r="I88" i="2"/>
  <c r="J88" i="2"/>
  <c r="K88" i="2"/>
  <c r="D89" i="2"/>
  <c r="E89" i="2"/>
  <c r="F89" i="2"/>
  <c r="G89" i="2"/>
  <c r="H89" i="2"/>
  <c r="I89" i="2"/>
  <c r="J89" i="2"/>
  <c r="K89" i="2"/>
  <c r="D90" i="2"/>
  <c r="E90" i="2"/>
  <c r="F90" i="2"/>
  <c r="G90" i="2"/>
  <c r="H90" i="2"/>
  <c r="I90" i="2"/>
  <c r="J90" i="2"/>
  <c r="K90" i="2"/>
  <c r="D91" i="2"/>
  <c r="E91" i="2"/>
  <c r="F91" i="2"/>
  <c r="G91" i="2"/>
  <c r="H91" i="2"/>
  <c r="I91" i="2"/>
  <c r="J91" i="2"/>
  <c r="K91" i="2"/>
  <c r="D92" i="2"/>
  <c r="E92" i="2"/>
  <c r="F92" i="2"/>
  <c r="G92" i="2"/>
  <c r="H92" i="2"/>
  <c r="I92" i="2"/>
  <c r="J92" i="2"/>
  <c r="K92" i="2"/>
  <c r="D93" i="2"/>
  <c r="E93" i="2"/>
  <c r="F93" i="2"/>
  <c r="G93" i="2"/>
  <c r="H93" i="2"/>
  <c r="I93" i="2"/>
  <c r="J93" i="2"/>
  <c r="K93" i="2"/>
  <c r="D94" i="2"/>
  <c r="E94" i="2"/>
  <c r="F94" i="2"/>
  <c r="G94" i="2"/>
  <c r="H94" i="2"/>
  <c r="I94" i="2"/>
  <c r="J94" i="2"/>
  <c r="K94" i="2"/>
  <c r="D95" i="2"/>
  <c r="E95" i="2"/>
  <c r="F95" i="2"/>
  <c r="G95" i="2"/>
  <c r="H95" i="2"/>
  <c r="I95" i="2"/>
  <c r="J95" i="2"/>
  <c r="K95" i="2"/>
  <c r="D96" i="2"/>
  <c r="E96" i="2"/>
  <c r="F96" i="2"/>
  <c r="G96" i="2"/>
  <c r="H96" i="2"/>
  <c r="I96" i="2"/>
  <c r="J96" i="2"/>
  <c r="K96" i="2"/>
  <c r="D97" i="2"/>
  <c r="E97" i="2"/>
  <c r="F97" i="2"/>
  <c r="G97" i="2"/>
  <c r="H97" i="2"/>
  <c r="I97" i="2"/>
  <c r="J97" i="2"/>
  <c r="K97" i="2"/>
  <c r="D98" i="2"/>
  <c r="E98" i="2"/>
  <c r="F98" i="2"/>
  <c r="G98" i="2"/>
  <c r="H98" i="2"/>
  <c r="I98" i="2"/>
  <c r="J98" i="2"/>
  <c r="K98" i="2"/>
  <c r="D99" i="2"/>
  <c r="E99" i="2"/>
  <c r="F99" i="2"/>
  <c r="G99" i="2"/>
  <c r="H99" i="2"/>
  <c r="I99" i="2"/>
  <c r="J99" i="2"/>
  <c r="K99" i="2"/>
  <c r="D100" i="2"/>
  <c r="E100" i="2"/>
  <c r="F100" i="2"/>
  <c r="G100" i="2"/>
  <c r="H100" i="2"/>
  <c r="I100" i="2"/>
  <c r="J100" i="2"/>
  <c r="K100" i="2"/>
  <c r="D101" i="2"/>
  <c r="E101" i="2"/>
  <c r="F101" i="2"/>
  <c r="G101" i="2"/>
  <c r="H101" i="2"/>
  <c r="I101" i="2"/>
  <c r="J101" i="2"/>
  <c r="K101" i="2"/>
  <c r="D102" i="2"/>
  <c r="E102" i="2"/>
  <c r="F102" i="2"/>
  <c r="G102" i="2"/>
  <c r="H102" i="2"/>
  <c r="I102" i="2"/>
  <c r="J102" i="2"/>
  <c r="K102" i="2"/>
  <c r="D103" i="2"/>
  <c r="E103" i="2"/>
  <c r="F103" i="2"/>
  <c r="G103" i="2"/>
  <c r="H103" i="2"/>
  <c r="I103" i="2"/>
  <c r="J103" i="2"/>
  <c r="K103" i="2"/>
  <c r="D104" i="2"/>
  <c r="E104" i="2"/>
  <c r="F104" i="2"/>
  <c r="G104" i="2"/>
  <c r="H104" i="2"/>
  <c r="I104" i="2"/>
  <c r="J104" i="2"/>
  <c r="K104" i="2"/>
  <c r="D105" i="2"/>
  <c r="E105" i="2"/>
  <c r="F105" i="2"/>
  <c r="G105" i="2"/>
  <c r="H105" i="2"/>
  <c r="I105" i="2"/>
  <c r="J105" i="2"/>
  <c r="K105" i="2"/>
  <c r="D106" i="2"/>
  <c r="E106" i="2"/>
  <c r="F106" i="2"/>
  <c r="G106" i="2"/>
  <c r="H106" i="2"/>
  <c r="I106" i="2"/>
  <c r="J106" i="2"/>
  <c r="K106" i="2"/>
  <c r="D107" i="2"/>
  <c r="E107" i="2"/>
  <c r="F107" i="2"/>
  <c r="G107" i="2"/>
  <c r="H107" i="2"/>
  <c r="I107" i="2"/>
  <c r="J107" i="2"/>
  <c r="K107" i="2"/>
  <c r="D108" i="2"/>
  <c r="E108" i="2"/>
  <c r="F108" i="2"/>
  <c r="G108" i="2"/>
  <c r="H108" i="2"/>
  <c r="I108" i="2"/>
  <c r="J108" i="2"/>
  <c r="K108" i="2"/>
  <c r="D109" i="2"/>
  <c r="E109" i="2"/>
  <c r="F109" i="2"/>
  <c r="G109" i="2"/>
  <c r="H109" i="2"/>
  <c r="I109" i="2"/>
  <c r="J109" i="2"/>
  <c r="K109" i="2"/>
  <c r="D110" i="2"/>
  <c r="E110" i="2"/>
  <c r="F110" i="2"/>
  <c r="G110" i="2"/>
  <c r="H110" i="2"/>
  <c r="I110" i="2"/>
  <c r="J110" i="2"/>
  <c r="K110" i="2"/>
  <c r="D111" i="2"/>
  <c r="E111" i="2"/>
  <c r="F111" i="2"/>
  <c r="G111" i="2"/>
  <c r="H111" i="2"/>
  <c r="I111" i="2"/>
  <c r="J111" i="2"/>
  <c r="K111" i="2"/>
  <c r="D112" i="2"/>
  <c r="E112" i="2"/>
  <c r="F112" i="2"/>
  <c r="G112" i="2"/>
  <c r="H112" i="2"/>
  <c r="I112" i="2"/>
  <c r="J112" i="2"/>
  <c r="K112" i="2"/>
  <c r="D113" i="2"/>
  <c r="E113" i="2"/>
  <c r="F113" i="2"/>
  <c r="G113" i="2"/>
  <c r="H113" i="2"/>
  <c r="I113" i="2"/>
  <c r="J113" i="2"/>
  <c r="K113" i="2"/>
  <c r="D114" i="2"/>
  <c r="E114" i="2"/>
  <c r="F114" i="2"/>
  <c r="G114" i="2"/>
  <c r="H114" i="2"/>
  <c r="I114" i="2"/>
  <c r="J114" i="2"/>
  <c r="K114" i="2"/>
  <c r="D115" i="2"/>
  <c r="E115" i="2"/>
  <c r="F115" i="2"/>
  <c r="G115" i="2"/>
  <c r="H115" i="2"/>
  <c r="I115" i="2"/>
  <c r="J115" i="2"/>
  <c r="K115" i="2"/>
  <c r="D116" i="2"/>
  <c r="E116" i="2"/>
  <c r="F116" i="2"/>
  <c r="G116" i="2"/>
  <c r="H116" i="2"/>
  <c r="I116" i="2"/>
  <c r="J116" i="2"/>
  <c r="K116" i="2"/>
  <c r="D117" i="2"/>
  <c r="E117" i="2"/>
  <c r="F117" i="2"/>
  <c r="G117" i="2"/>
  <c r="H117" i="2"/>
  <c r="I117" i="2"/>
  <c r="J117" i="2"/>
  <c r="K117" i="2"/>
  <c r="D118" i="2"/>
  <c r="E118" i="2"/>
  <c r="F118" i="2"/>
  <c r="G118" i="2"/>
  <c r="H118" i="2"/>
  <c r="I118" i="2"/>
  <c r="J118" i="2"/>
  <c r="K118" i="2"/>
  <c r="D119" i="2"/>
  <c r="E119" i="2"/>
  <c r="F119" i="2"/>
  <c r="G119" i="2"/>
  <c r="H119" i="2"/>
  <c r="I119" i="2"/>
  <c r="J119" i="2"/>
  <c r="K119" i="2"/>
  <c r="D120" i="2"/>
  <c r="E120" i="2"/>
  <c r="F120" i="2"/>
  <c r="G120" i="2"/>
  <c r="H120" i="2"/>
  <c r="I120" i="2"/>
  <c r="J120" i="2"/>
  <c r="K120" i="2"/>
  <c r="D121" i="2"/>
  <c r="E121" i="2"/>
  <c r="F121" i="2"/>
  <c r="G121" i="2"/>
  <c r="H121" i="2"/>
  <c r="I121" i="2"/>
  <c r="J121" i="2"/>
  <c r="K121" i="2"/>
  <c r="D122" i="2"/>
  <c r="E122" i="2"/>
  <c r="F122" i="2"/>
  <c r="G122" i="2"/>
  <c r="H122" i="2"/>
  <c r="I122" i="2"/>
  <c r="J122" i="2"/>
  <c r="K122" i="2"/>
  <c r="D123" i="2"/>
  <c r="E123" i="2"/>
  <c r="F123" i="2"/>
  <c r="G123" i="2"/>
  <c r="H123" i="2"/>
  <c r="I123" i="2"/>
  <c r="J123" i="2"/>
  <c r="K123" i="2"/>
  <c r="D124" i="2"/>
  <c r="E124" i="2"/>
  <c r="F124" i="2"/>
  <c r="G124" i="2"/>
  <c r="H124" i="2"/>
  <c r="I124" i="2"/>
  <c r="J124" i="2"/>
  <c r="K124" i="2"/>
  <c r="D125" i="2"/>
  <c r="E125" i="2"/>
  <c r="F125" i="2"/>
  <c r="G125" i="2"/>
  <c r="H125" i="2"/>
  <c r="I125" i="2"/>
  <c r="J125" i="2"/>
  <c r="K125" i="2"/>
  <c r="D126" i="2"/>
  <c r="E126" i="2"/>
  <c r="F126" i="2"/>
  <c r="G126" i="2"/>
  <c r="H126" i="2"/>
  <c r="I126" i="2"/>
  <c r="J126" i="2"/>
  <c r="K126" i="2"/>
  <c r="D127" i="2"/>
  <c r="E127" i="2"/>
  <c r="F127" i="2"/>
  <c r="G127" i="2"/>
  <c r="H127" i="2"/>
  <c r="I127" i="2"/>
  <c r="J127" i="2"/>
  <c r="K127" i="2"/>
  <c r="D128" i="2"/>
  <c r="E128" i="2"/>
  <c r="F128" i="2"/>
  <c r="G128" i="2"/>
  <c r="H128" i="2"/>
  <c r="I128" i="2"/>
  <c r="J128" i="2"/>
  <c r="K128" i="2"/>
  <c r="D129" i="2"/>
  <c r="E129" i="2"/>
  <c r="F129" i="2"/>
  <c r="G129" i="2"/>
  <c r="H129" i="2"/>
  <c r="I129" i="2"/>
  <c r="J129" i="2"/>
  <c r="K129" i="2"/>
  <c r="D130" i="2"/>
  <c r="E130" i="2"/>
  <c r="F130" i="2"/>
  <c r="G130" i="2"/>
  <c r="H130" i="2"/>
  <c r="I130" i="2"/>
  <c r="J130" i="2"/>
  <c r="K130" i="2"/>
  <c r="D131" i="2"/>
  <c r="E131" i="2"/>
  <c r="F131" i="2"/>
  <c r="G131" i="2"/>
  <c r="H131" i="2"/>
  <c r="I131" i="2"/>
  <c r="J131" i="2"/>
  <c r="K131" i="2"/>
  <c r="D132" i="2"/>
  <c r="E132" i="2"/>
  <c r="F132" i="2"/>
  <c r="G132" i="2"/>
  <c r="H132" i="2"/>
  <c r="I132" i="2"/>
  <c r="J132" i="2"/>
  <c r="K132" i="2"/>
  <c r="D133" i="2"/>
  <c r="E133" i="2"/>
  <c r="F133" i="2"/>
  <c r="G133" i="2"/>
  <c r="H133" i="2"/>
  <c r="I133" i="2"/>
  <c r="J133" i="2"/>
  <c r="K133" i="2"/>
  <c r="D134" i="2"/>
  <c r="E134" i="2"/>
  <c r="F134" i="2"/>
  <c r="G134" i="2"/>
  <c r="H134" i="2"/>
  <c r="I134" i="2"/>
  <c r="J134" i="2"/>
  <c r="K134" i="2"/>
  <c r="D135" i="2"/>
  <c r="E135" i="2"/>
  <c r="F135" i="2"/>
  <c r="G135" i="2"/>
  <c r="H135" i="2"/>
  <c r="I135" i="2"/>
  <c r="J135" i="2"/>
  <c r="K135" i="2"/>
  <c r="D136" i="2"/>
  <c r="E136" i="2"/>
  <c r="F136" i="2"/>
  <c r="G136" i="2"/>
  <c r="H136" i="2"/>
  <c r="I136" i="2"/>
  <c r="J136" i="2"/>
  <c r="K136" i="2"/>
  <c r="D137" i="2"/>
  <c r="E137" i="2"/>
  <c r="F137" i="2"/>
  <c r="G137" i="2"/>
  <c r="H137" i="2"/>
  <c r="I137" i="2"/>
  <c r="J137" i="2"/>
  <c r="K137" i="2"/>
  <c r="D138" i="2"/>
  <c r="E138" i="2"/>
  <c r="F138" i="2"/>
  <c r="G138" i="2"/>
  <c r="H138" i="2"/>
  <c r="I138" i="2"/>
  <c r="J138" i="2"/>
  <c r="K138" i="2"/>
  <c r="D139" i="2"/>
  <c r="E139" i="2"/>
  <c r="F139" i="2"/>
  <c r="G139" i="2"/>
  <c r="H139" i="2"/>
  <c r="I139" i="2"/>
  <c r="J139" i="2"/>
  <c r="K139" i="2"/>
  <c r="D140" i="2"/>
  <c r="E140" i="2"/>
  <c r="F140" i="2"/>
  <c r="G140" i="2"/>
  <c r="H140" i="2"/>
  <c r="I140" i="2"/>
  <c r="J140" i="2"/>
  <c r="K140" i="2"/>
  <c r="D141" i="2"/>
  <c r="E141" i="2"/>
  <c r="F141" i="2"/>
  <c r="G141" i="2"/>
  <c r="H141" i="2"/>
  <c r="I141" i="2"/>
  <c r="J141" i="2"/>
  <c r="K141" i="2"/>
  <c r="D142" i="2"/>
  <c r="E142" i="2"/>
  <c r="F142" i="2"/>
  <c r="G142" i="2"/>
  <c r="H142" i="2"/>
  <c r="I142" i="2"/>
  <c r="J142" i="2"/>
  <c r="K142" i="2"/>
  <c r="D143" i="2"/>
  <c r="E143" i="2"/>
  <c r="F143" i="2"/>
  <c r="G143" i="2"/>
  <c r="H143" i="2"/>
  <c r="I143" i="2"/>
  <c r="J143" i="2"/>
  <c r="K143" i="2"/>
  <c r="D144" i="2"/>
  <c r="E144" i="2"/>
  <c r="F144" i="2"/>
  <c r="G144" i="2"/>
  <c r="H144" i="2"/>
  <c r="I144" i="2"/>
  <c r="J144" i="2"/>
  <c r="K144" i="2"/>
  <c r="D145" i="2"/>
  <c r="E145" i="2"/>
  <c r="F145" i="2"/>
  <c r="G145" i="2"/>
  <c r="H145" i="2"/>
  <c r="I145" i="2"/>
  <c r="J145" i="2"/>
  <c r="K145" i="2"/>
  <c r="D146" i="2"/>
  <c r="E146" i="2"/>
  <c r="F146" i="2"/>
  <c r="G146" i="2"/>
  <c r="H146" i="2"/>
  <c r="I146" i="2"/>
  <c r="J146" i="2"/>
  <c r="K146" i="2"/>
  <c r="D147" i="2"/>
  <c r="E147" i="2"/>
  <c r="F147" i="2"/>
  <c r="G147" i="2"/>
  <c r="H147" i="2"/>
  <c r="I147" i="2"/>
  <c r="J147" i="2"/>
  <c r="K147" i="2"/>
  <c r="D148" i="2"/>
  <c r="E148" i="2"/>
  <c r="F148" i="2"/>
  <c r="G148" i="2"/>
  <c r="H148" i="2"/>
  <c r="I148" i="2"/>
  <c r="J148" i="2"/>
  <c r="K148" i="2"/>
  <c r="D149" i="2"/>
  <c r="E149" i="2"/>
  <c r="F149" i="2"/>
  <c r="G149" i="2"/>
  <c r="H149" i="2"/>
  <c r="I149" i="2"/>
  <c r="J149" i="2"/>
  <c r="K149" i="2"/>
  <c r="D150" i="2"/>
  <c r="E150" i="2"/>
  <c r="F150" i="2"/>
  <c r="G150" i="2"/>
  <c r="H150" i="2"/>
  <c r="I150" i="2"/>
  <c r="J150" i="2"/>
  <c r="K150" i="2"/>
  <c r="D151" i="2"/>
  <c r="E151" i="2"/>
  <c r="F151" i="2"/>
  <c r="G151" i="2"/>
  <c r="H151" i="2"/>
  <c r="I151" i="2"/>
  <c r="J151" i="2"/>
  <c r="K151" i="2"/>
  <c r="D152" i="2"/>
  <c r="E152" i="2"/>
  <c r="F152" i="2"/>
  <c r="G152" i="2"/>
  <c r="H152" i="2"/>
  <c r="I152" i="2"/>
  <c r="J152" i="2"/>
  <c r="K152" i="2"/>
  <c r="D153" i="2"/>
  <c r="E153" i="2"/>
  <c r="F153" i="2"/>
  <c r="G153" i="2"/>
  <c r="H153" i="2"/>
  <c r="I153" i="2"/>
  <c r="J153" i="2"/>
  <c r="K153" i="2"/>
  <c r="D154" i="2"/>
  <c r="E154" i="2"/>
  <c r="F154" i="2"/>
  <c r="G154" i="2"/>
  <c r="H154" i="2"/>
  <c r="I154" i="2"/>
  <c r="J154" i="2"/>
  <c r="K154" i="2"/>
  <c r="D155" i="2"/>
  <c r="E155" i="2"/>
  <c r="F155" i="2"/>
  <c r="G155" i="2"/>
  <c r="H155" i="2"/>
  <c r="I155" i="2"/>
  <c r="J155" i="2"/>
  <c r="K155" i="2"/>
  <c r="D156" i="2"/>
  <c r="E156" i="2"/>
  <c r="F156" i="2"/>
  <c r="G156" i="2"/>
  <c r="H156" i="2"/>
  <c r="I156" i="2"/>
  <c r="J156" i="2"/>
  <c r="K156" i="2"/>
  <c r="D157" i="2"/>
  <c r="E157" i="2"/>
  <c r="F157" i="2"/>
  <c r="G157" i="2"/>
  <c r="H157" i="2"/>
  <c r="I157" i="2"/>
  <c r="J157" i="2"/>
  <c r="K157" i="2"/>
  <c r="D158" i="2"/>
  <c r="E158" i="2"/>
  <c r="F158" i="2"/>
  <c r="G158" i="2"/>
  <c r="H158" i="2"/>
  <c r="I158" i="2"/>
  <c r="J158" i="2"/>
  <c r="K158" i="2"/>
  <c r="D159" i="2"/>
  <c r="E159" i="2"/>
  <c r="F159" i="2"/>
  <c r="G159" i="2"/>
  <c r="H159" i="2"/>
  <c r="I159" i="2"/>
  <c r="J159" i="2"/>
  <c r="K159" i="2"/>
  <c r="D160" i="2"/>
  <c r="E160" i="2"/>
  <c r="F160" i="2"/>
  <c r="G160" i="2"/>
  <c r="H160" i="2"/>
  <c r="I160" i="2"/>
  <c r="J160" i="2"/>
  <c r="K160" i="2"/>
  <c r="D161" i="2"/>
  <c r="E161" i="2"/>
  <c r="F161" i="2"/>
  <c r="G161" i="2"/>
  <c r="H161" i="2"/>
  <c r="I161" i="2"/>
  <c r="J161" i="2"/>
  <c r="K161" i="2"/>
  <c r="D162" i="2"/>
  <c r="E162" i="2"/>
  <c r="F162" i="2"/>
  <c r="G162" i="2"/>
  <c r="H162" i="2"/>
  <c r="I162" i="2"/>
  <c r="J162" i="2"/>
  <c r="K162" i="2"/>
  <c r="D163" i="2"/>
  <c r="E163" i="2"/>
  <c r="F163" i="2"/>
  <c r="G163" i="2"/>
  <c r="H163" i="2"/>
  <c r="I163" i="2"/>
  <c r="J163" i="2"/>
  <c r="K163" i="2"/>
  <c r="D164" i="2"/>
  <c r="E164" i="2"/>
  <c r="F164" i="2"/>
  <c r="G164" i="2"/>
  <c r="H164" i="2"/>
  <c r="I164" i="2"/>
  <c r="J164" i="2"/>
  <c r="K164" i="2"/>
  <c r="D165" i="2"/>
  <c r="E165" i="2"/>
  <c r="F165" i="2"/>
  <c r="G165" i="2"/>
  <c r="H165" i="2"/>
  <c r="I165" i="2"/>
  <c r="J165" i="2"/>
  <c r="K165" i="2"/>
  <c r="D166" i="2"/>
  <c r="E166" i="2"/>
  <c r="F166" i="2"/>
  <c r="G166" i="2"/>
  <c r="H166" i="2"/>
  <c r="I166" i="2"/>
  <c r="J166" i="2"/>
  <c r="K166" i="2"/>
  <c r="D167" i="2"/>
  <c r="E167" i="2"/>
  <c r="F167" i="2"/>
  <c r="G167" i="2"/>
  <c r="H167" i="2"/>
  <c r="I167" i="2"/>
  <c r="J167" i="2"/>
  <c r="K167" i="2"/>
  <c r="D168" i="2"/>
  <c r="E168" i="2"/>
  <c r="F168" i="2"/>
  <c r="G168" i="2"/>
  <c r="H168" i="2"/>
  <c r="I168" i="2"/>
  <c r="J168" i="2"/>
  <c r="K168" i="2"/>
  <c r="D169" i="2"/>
  <c r="E169" i="2"/>
  <c r="F169" i="2"/>
  <c r="G169" i="2"/>
  <c r="H169" i="2"/>
  <c r="I169" i="2"/>
  <c r="J169" i="2"/>
  <c r="K169" i="2"/>
  <c r="D170" i="2"/>
  <c r="E170" i="2"/>
  <c r="F170" i="2"/>
  <c r="G170" i="2"/>
  <c r="H170" i="2"/>
  <c r="I170" i="2"/>
  <c r="J170" i="2"/>
  <c r="K170" i="2"/>
  <c r="D171" i="2"/>
  <c r="E171" i="2"/>
  <c r="F171" i="2"/>
  <c r="G171" i="2"/>
  <c r="H171" i="2"/>
  <c r="I171" i="2"/>
  <c r="J171" i="2"/>
  <c r="K171" i="2"/>
  <c r="D172" i="2"/>
  <c r="E172" i="2"/>
  <c r="F172" i="2"/>
  <c r="G172" i="2"/>
  <c r="H172" i="2"/>
  <c r="I172" i="2"/>
  <c r="J172" i="2"/>
  <c r="K172" i="2"/>
  <c r="D173" i="2"/>
  <c r="E173" i="2"/>
  <c r="F173" i="2"/>
  <c r="G173" i="2"/>
  <c r="H173" i="2"/>
  <c r="I173" i="2"/>
  <c r="J173" i="2"/>
  <c r="K173" i="2"/>
  <c r="D174" i="2"/>
  <c r="E174" i="2"/>
  <c r="F174" i="2"/>
  <c r="G174" i="2"/>
  <c r="H174" i="2"/>
  <c r="I174" i="2"/>
  <c r="J174" i="2"/>
  <c r="K174" i="2"/>
  <c r="D175" i="2"/>
  <c r="E175" i="2"/>
  <c r="F175" i="2"/>
  <c r="G175" i="2"/>
  <c r="H175" i="2"/>
  <c r="I175" i="2"/>
  <c r="J175" i="2"/>
  <c r="K175" i="2"/>
  <c r="D176" i="2"/>
  <c r="E176" i="2"/>
  <c r="F176" i="2"/>
  <c r="G176" i="2"/>
  <c r="H176" i="2"/>
  <c r="I176" i="2"/>
  <c r="J176" i="2"/>
  <c r="K176" i="2"/>
  <c r="D177" i="2"/>
  <c r="E177" i="2"/>
  <c r="F177" i="2"/>
  <c r="G177" i="2"/>
  <c r="H177" i="2"/>
  <c r="I177" i="2"/>
  <c r="J177" i="2"/>
  <c r="K177" i="2"/>
  <c r="D178" i="2"/>
  <c r="E178" i="2"/>
  <c r="F178" i="2"/>
  <c r="G178" i="2"/>
  <c r="H178" i="2"/>
  <c r="I178" i="2"/>
  <c r="J178" i="2"/>
  <c r="K178" i="2"/>
  <c r="D179" i="2"/>
  <c r="E179" i="2"/>
  <c r="F179" i="2"/>
  <c r="G179" i="2"/>
  <c r="H179" i="2"/>
  <c r="I179" i="2"/>
  <c r="J179" i="2"/>
  <c r="K179" i="2"/>
  <c r="D180" i="2"/>
  <c r="E180" i="2"/>
  <c r="F180" i="2"/>
  <c r="G180" i="2"/>
  <c r="H180" i="2"/>
  <c r="I180" i="2"/>
  <c r="J180" i="2"/>
  <c r="K180" i="2"/>
  <c r="D181" i="2"/>
  <c r="E181" i="2"/>
  <c r="F181" i="2"/>
  <c r="G181" i="2"/>
  <c r="H181" i="2"/>
  <c r="I181" i="2"/>
  <c r="J181" i="2"/>
  <c r="K181" i="2"/>
  <c r="D182" i="2"/>
  <c r="E182" i="2"/>
  <c r="F182" i="2"/>
  <c r="G182" i="2"/>
  <c r="H182" i="2"/>
  <c r="I182" i="2"/>
  <c r="J182" i="2"/>
  <c r="K182" i="2"/>
  <c r="D183" i="2"/>
  <c r="E183" i="2"/>
  <c r="F183" i="2"/>
  <c r="G183" i="2"/>
  <c r="H183" i="2"/>
  <c r="I183" i="2"/>
  <c r="J183" i="2"/>
  <c r="K183" i="2"/>
  <c r="D184" i="2"/>
  <c r="E184" i="2"/>
  <c r="F184" i="2"/>
  <c r="G184" i="2"/>
  <c r="H184" i="2"/>
  <c r="I184" i="2"/>
  <c r="J184" i="2"/>
  <c r="K184" i="2"/>
  <c r="D185" i="2"/>
  <c r="E185" i="2"/>
  <c r="F185" i="2"/>
  <c r="G185" i="2"/>
  <c r="H185" i="2"/>
  <c r="I185" i="2"/>
  <c r="J185" i="2"/>
  <c r="K185" i="2"/>
  <c r="D186" i="2"/>
  <c r="E186" i="2"/>
  <c r="F186" i="2"/>
  <c r="G186" i="2"/>
  <c r="H186" i="2"/>
  <c r="I186" i="2"/>
  <c r="J186" i="2"/>
  <c r="K186" i="2"/>
  <c r="D187" i="2"/>
  <c r="E187" i="2"/>
  <c r="F187" i="2"/>
  <c r="G187" i="2"/>
  <c r="H187" i="2"/>
  <c r="I187" i="2"/>
  <c r="J187" i="2"/>
  <c r="K187" i="2"/>
  <c r="D188" i="2"/>
  <c r="E188" i="2"/>
  <c r="F188" i="2"/>
  <c r="G188" i="2"/>
  <c r="H188" i="2"/>
  <c r="I188" i="2"/>
  <c r="J188" i="2"/>
  <c r="K188" i="2"/>
  <c r="D189" i="2"/>
  <c r="E189" i="2"/>
  <c r="F189" i="2"/>
  <c r="G189" i="2"/>
  <c r="H189" i="2"/>
  <c r="I189" i="2"/>
  <c r="J189" i="2"/>
  <c r="K189" i="2"/>
  <c r="D190" i="2"/>
  <c r="E190" i="2"/>
  <c r="F190" i="2"/>
  <c r="G190" i="2"/>
  <c r="H190" i="2"/>
  <c r="I190" i="2"/>
  <c r="J190" i="2"/>
  <c r="K190" i="2"/>
  <c r="D191" i="2"/>
  <c r="E191" i="2"/>
  <c r="F191" i="2"/>
  <c r="G191" i="2"/>
  <c r="H191" i="2"/>
  <c r="I191" i="2"/>
  <c r="J191" i="2"/>
  <c r="K191" i="2"/>
  <c r="D192" i="2"/>
  <c r="E192" i="2"/>
  <c r="F192" i="2"/>
  <c r="G192" i="2"/>
  <c r="H192" i="2"/>
  <c r="I192" i="2"/>
  <c r="J192" i="2"/>
  <c r="K192" i="2"/>
  <c r="D193" i="2"/>
  <c r="E193" i="2"/>
  <c r="F193" i="2"/>
  <c r="G193" i="2"/>
  <c r="H193" i="2"/>
  <c r="I193" i="2"/>
  <c r="J193" i="2"/>
  <c r="K193" i="2"/>
  <c r="D194" i="2"/>
  <c r="E194" i="2"/>
  <c r="F194" i="2"/>
  <c r="G194" i="2"/>
  <c r="H194" i="2"/>
  <c r="I194" i="2"/>
  <c r="J194" i="2"/>
  <c r="K194" i="2"/>
  <c r="D195" i="2"/>
  <c r="E195" i="2"/>
  <c r="F195" i="2"/>
  <c r="G195" i="2"/>
  <c r="H195" i="2"/>
  <c r="I195" i="2"/>
  <c r="J195" i="2"/>
  <c r="K195" i="2"/>
  <c r="D196" i="2"/>
  <c r="E196" i="2"/>
  <c r="F196" i="2"/>
  <c r="G196" i="2"/>
  <c r="H196" i="2"/>
  <c r="I196" i="2"/>
  <c r="J196" i="2"/>
  <c r="K196" i="2"/>
  <c r="D197" i="2"/>
  <c r="E197" i="2"/>
  <c r="F197" i="2"/>
  <c r="G197" i="2"/>
  <c r="H197" i="2"/>
  <c r="I197" i="2"/>
  <c r="J197" i="2"/>
  <c r="K197" i="2"/>
  <c r="D198" i="2"/>
  <c r="E198" i="2"/>
  <c r="F198" i="2"/>
  <c r="G198" i="2"/>
  <c r="H198" i="2"/>
  <c r="I198" i="2"/>
  <c r="J198" i="2"/>
  <c r="K198" i="2"/>
  <c r="D199" i="2"/>
  <c r="E199" i="2"/>
  <c r="F199" i="2"/>
  <c r="G199" i="2"/>
  <c r="H199" i="2"/>
  <c r="I199" i="2"/>
  <c r="J199" i="2"/>
  <c r="K199" i="2"/>
  <c r="D200" i="2"/>
  <c r="E200" i="2"/>
  <c r="F200" i="2"/>
  <c r="G200" i="2"/>
  <c r="H200" i="2"/>
  <c r="I200" i="2"/>
  <c r="J200" i="2"/>
  <c r="K200" i="2"/>
  <c r="D201" i="2"/>
  <c r="E201" i="2"/>
  <c r="F201" i="2"/>
  <c r="G201" i="2"/>
  <c r="H201" i="2"/>
  <c r="I201" i="2"/>
  <c r="J201" i="2"/>
  <c r="K201" i="2"/>
  <c r="D202" i="2"/>
  <c r="E202" i="2"/>
  <c r="F202" i="2"/>
  <c r="G202" i="2"/>
  <c r="H202" i="2"/>
  <c r="I202" i="2"/>
  <c r="J202" i="2"/>
  <c r="K202" i="2"/>
  <c r="D203" i="2"/>
  <c r="E203" i="2"/>
  <c r="F203" i="2"/>
  <c r="G203" i="2"/>
  <c r="H203" i="2"/>
  <c r="I203" i="2"/>
  <c r="J203" i="2"/>
  <c r="K203" i="2"/>
  <c r="D204" i="2"/>
  <c r="E204" i="2"/>
  <c r="F204" i="2"/>
  <c r="G204" i="2"/>
  <c r="H204" i="2"/>
  <c r="I204" i="2"/>
  <c r="J204" i="2"/>
  <c r="K204" i="2"/>
  <c r="D205" i="2"/>
  <c r="E205" i="2"/>
  <c r="F205" i="2"/>
  <c r="G205" i="2"/>
  <c r="H205" i="2"/>
  <c r="I205" i="2"/>
  <c r="J205" i="2"/>
  <c r="K205" i="2"/>
  <c r="D206" i="2"/>
  <c r="E206" i="2"/>
  <c r="F206" i="2"/>
  <c r="G206" i="2"/>
  <c r="H206" i="2"/>
  <c r="I206" i="2"/>
  <c r="J206" i="2"/>
  <c r="K206" i="2"/>
  <c r="D207" i="2"/>
  <c r="E207" i="2"/>
  <c r="F207" i="2"/>
  <c r="G207" i="2"/>
  <c r="H207" i="2"/>
  <c r="I207" i="2"/>
  <c r="J207" i="2"/>
  <c r="K207" i="2"/>
  <c r="D208" i="2"/>
  <c r="E208" i="2"/>
  <c r="F208" i="2"/>
  <c r="G208" i="2"/>
  <c r="H208" i="2"/>
  <c r="I208" i="2"/>
  <c r="J208" i="2"/>
  <c r="K208" i="2"/>
  <c r="D209" i="2"/>
  <c r="E209" i="2"/>
  <c r="F209" i="2"/>
  <c r="G209" i="2"/>
  <c r="H209" i="2"/>
  <c r="I209" i="2"/>
  <c r="J209" i="2"/>
  <c r="K209" i="2"/>
  <c r="D210" i="2"/>
  <c r="E210" i="2"/>
  <c r="F210" i="2"/>
  <c r="G210" i="2"/>
  <c r="H210" i="2"/>
  <c r="I210" i="2"/>
  <c r="J210" i="2"/>
  <c r="K210" i="2"/>
  <c r="D211" i="2"/>
  <c r="E211" i="2"/>
  <c r="F211" i="2"/>
  <c r="G211" i="2"/>
  <c r="H211" i="2"/>
  <c r="I211" i="2"/>
  <c r="J211" i="2"/>
  <c r="K211" i="2"/>
  <c r="D212" i="2"/>
  <c r="E212" i="2"/>
  <c r="F212" i="2"/>
  <c r="G212" i="2"/>
  <c r="H212" i="2"/>
  <c r="I212" i="2"/>
  <c r="J212" i="2"/>
  <c r="K212" i="2"/>
  <c r="D213" i="2"/>
  <c r="E213" i="2"/>
  <c r="F213" i="2"/>
  <c r="G213" i="2"/>
  <c r="H213" i="2"/>
  <c r="I213" i="2"/>
  <c r="J213" i="2"/>
  <c r="K213" i="2"/>
  <c r="D214" i="2"/>
  <c r="E214" i="2"/>
  <c r="F214" i="2"/>
  <c r="G214" i="2"/>
  <c r="H214" i="2"/>
  <c r="I214" i="2"/>
  <c r="J214" i="2"/>
  <c r="K214" i="2"/>
  <c r="D215" i="2"/>
  <c r="E215" i="2"/>
  <c r="F215" i="2"/>
  <c r="G215" i="2"/>
  <c r="H215" i="2"/>
  <c r="I215" i="2"/>
  <c r="J215" i="2"/>
  <c r="K215" i="2"/>
  <c r="D216" i="2"/>
  <c r="E216" i="2"/>
  <c r="F216" i="2"/>
  <c r="G216" i="2"/>
  <c r="H216" i="2"/>
  <c r="I216" i="2"/>
  <c r="J216" i="2"/>
  <c r="K216" i="2"/>
  <c r="D217" i="2"/>
  <c r="E217" i="2"/>
  <c r="F217" i="2"/>
  <c r="G217" i="2"/>
  <c r="H217" i="2"/>
  <c r="I217" i="2"/>
  <c r="J217" i="2"/>
  <c r="K217" i="2"/>
  <c r="D218" i="2"/>
  <c r="E218" i="2"/>
  <c r="F218" i="2"/>
  <c r="G218" i="2"/>
  <c r="H218" i="2"/>
  <c r="I218" i="2"/>
  <c r="J218" i="2"/>
  <c r="K218" i="2"/>
  <c r="D219" i="2"/>
  <c r="E219" i="2"/>
  <c r="F219" i="2"/>
  <c r="G219" i="2"/>
  <c r="H219" i="2"/>
  <c r="I219" i="2"/>
  <c r="J219" i="2"/>
  <c r="K219" i="2"/>
  <c r="D220" i="2"/>
  <c r="E220" i="2"/>
  <c r="F220" i="2"/>
  <c r="G220" i="2"/>
  <c r="H220" i="2"/>
  <c r="I220" i="2"/>
  <c r="J220" i="2"/>
  <c r="K220" i="2"/>
  <c r="D221" i="2"/>
  <c r="E221" i="2"/>
  <c r="F221" i="2"/>
  <c r="G221" i="2"/>
  <c r="H221" i="2"/>
  <c r="I221" i="2"/>
  <c r="J221" i="2"/>
  <c r="K221" i="2"/>
  <c r="D222" i="2"/>
  <c r="E222" i="2"/>
  <c r="F222" i="2"/>
  <c r="G222" i="2"/>
  <c r="H222" i="2"/>
  <c r="I222" i="2"/>
  <c r="J222" i="2"/>
  <c r="K222" i="2"/>
  <c r="D223" i="2"/>
  <c r="E223" i="2"/>
  <c r="F223" i="2"/>
  <c r="G223" i="2"/>
  <c r="H223" i="2"/>
  <c r="I223" i="2"/>
  <c r="J223" i="2"/>
  <c r="K223" i="2"/>
  <c r="D224" i="2"/>
  <c r="E224" i="2"/>
  <c r="F224" i="2"/>
  <c r="G224" i="2"/>
  <c r="H224" i="2"/>
  <c r="I224" i="2"/>
  <c r="J224" i="2"/>
  <c r="K224" i="2"/>
  <c r="D225" i="2"/>
  <c r="E225" i="2"/>
  <c r="F225" i="2"/>
  <c r="G225" i="2"/>
  <c r="H225" i="2"/>
  <c r="I225" i="2"/>
  <c r="J225" i="2"/>
  <c r="K225" i="2"/>
  <c r="D226" i="2"/>
  <c r="E226" i="2"/>
  <c r="F226" i="2"/>
  <c r="G226" i="2"/>
  <c r="H226" i="2"/>
  <c r="I226" i="2"/>
  <c r="J226" i="2"/>
  <c r="K226" i="2"/>
  <c r="D227" i="2"/>
  <c r="E227" i="2"/>
  <c r="F227" i="2"/>
  <c r="G227" i="2"/>
  <c r="H227" i="2"/>
  <c r="I227" i="2"/>
  <c r="J227" i="2"/>
  <c r="K227" i="2"/>
  <c r="D228" i="2"/>
  <c r="E228" i="2"/>
  <c r="F228" i="2"/>
  <c r="G228" i="2"/>
  <c r="H228" i="2"/>
  <c r="I228" i="2"/>
  <c r="J228" i="2"/>
  <c r="K228" i="2"/>
  <c r="D229" i="2"/>
  <c r="E229" i="2"/>
  <c r="F229" i="2"/>
  <c r="G229" i="2"/>
  <c r="H229" i="2"/>
  <c r="I229" i="2"/>
  <c r="J229" i="2"/>
  <c r="K229" i="2"/>
  <c r="D230" i="2"/>
  <c r="E230" i="2"/>
  <c r="F230" i="2"/>
  <c r="G230" i="2"/>
  <c r="H230" i="2"/>
  <c r="I230" i="2"/>
  <c r="J230" i="2"/>
  <c r="K230" i="2"/>
  <c r="D231" i="2"/>
  <c r="E231" i="2"/>
  <c r="F231" i="2"/>
  <c r="G231" i="2"/>
  <c r="H231" i="2"/>
  <c r="I231" i="2"/>
  <c r="J231" i="2"/>
  <c r="K231" i="2"/>
  <c r="D232" i="2"/>
  <c r="E232" i="2"/>
  <c r="F232" i="2"/>
  <c r="G232" i="2"/>
  <c r="H232" i="2"/>
  <c r="I232" i="2"/>
  <c r="J232" i="2"/>
  <c r="K232" i="2"/>
  <c r="D233" i="2"/>
  <c r="E233" i="2"/>
  <c r="F233" i="2"/>
  <c r="G233" i="2"/>
  <c r="H233" i="2"/>
  <c r="I233" i="2"/>
  <c r="J233" i="2"/>
  <c r="K233" i="2"/>
  <c r="D234" i="2"/>
  <c r="E234" i="2"/>
  <c r="F234" i="2"/>
  <c r="G234" i="2"/>
  <c r="H234" i="2"/>
  <c r="I234" i="2"/>
  <c r="J234" i="2"/>
  <c r="K234" i="2"/>
  <c r="D235" i="2"/>
  <c r="E235" i="2"/>
  <c r="F235" i="2"/>
  <c r="G235" i="2"/>
  <c r="H235" i="2"/>
  <c r="I235" i="2"/>
  <c r="J235" i="2"/>
  <c r="K235" i="2"/>
  <c r="D236" i="2"/>
  <c r="E236" i="2"/>
  <c r="F236" i="2"/>
  <c r="G236" i="2"/>
  <c r="H236" i="2"/>
  <c r="I236" i="2"/>
  <c r="J236" i="2"/>
  <c r="K236" i="2"/>
  <c r="D237" i="2"/>
  <c r="E237" i="2"/>
  <c r="F237" i="2"/>
  <c r="G237" i="2"/>
  <c r="H237" i="2"/>
  <c r="I237" i="2"/>
  <c r="J237" i="2"/>
  <c r="K237" i="2"/>
  <c r="D238" i="2"/>
  <c r="E238" i="2"/>
  <c r="F238" i="2"/>
  <c r="G238" i="2"/>
  <c r="H238" i="2"/>
  <c r="I238" i="2"/>
  <c r="J238" i="2"/>
  <c r="K238" i="2"/>
  <c r="D239" i="2"/>
  <c r="E239" i="2"/>
  <c r="F239" i="2"/>
  <c r="G239" i="2"/>
  <c r="H239" i="2"/>
  <c r="I239" i="2"/>
  <c r="J239" i="2"/>
  <c r="K239" i="2"/>
  <c r="D240" i="2"/>
  <c r="E240" i="2"/>
  <c r="F240" i="2"/>
  <c r="G240" i="2"/>
  <c r="H240" i="2"/>
  <c r="I240" i="2"/>
  <c r="J240" i="2"/>
  <c r="K240" i="2"/>
  <c r="D241" i="2"/>
  <c r="E241" i="2"/>
  <c r="F241" i="2"/>
  <c r="G241" i="2"/>
  <c r="H241" i="2"/>
  <c r="I241" i="2"/>
  <c r="J241" i="2"/>
  <c r="K241" i="2"/>
  <c r="D242" i="2"/>
  <c r="E242" i="2"/>
  <c r="F242" i="2"/>
  <c r="G242" i="2"/>
  <c r="H242" i="2"/>
  <c r="I242" i="2"/>
  <c r="J242" i="2"/>
  <c r="K242" i="2"/>
  <c r="D243" i="2"/>
  <c r="E243" i="2"/>
  <c r="F243" i="2"/>
  <c r="G243" i="2"/>
  <c r="H243" i="2"/>
  <c r="I243" i="2"/>
  <c r="J243" i="2"/>
  <c r="K243" i="2"/>
  <c r="D244" i="2"/>
  <c r="E244" i="2"/>
  <c r="F244" i="2"/>
  <c r="G244" i="2"/>
  <c r="H244" i="2"/>
  <c r="I244" i="2"/>
  <c r="J244" i="2"/>
  <c r="K244" i="2"/>
  <c r="D245" i="2"/>
  <c r="E245" i="2"/>
  <c r="F245" i="2"/>
  <c r="G245" i="2"/>
  <c r="H245" i="2"/>
  <c r="I245" i="2"/>
  <c r="J245" i="2"/>
  <c r="K245" i="2"/>
  <c r="D246" i="2"/>
  <c r="E246" i="2"/>
  <c r="F246" i="2"/>
  <c r="G246" i="2"/>
  <c r="H246" i="2"/>
  <c r="I246" i="2"/>
  <c r="J246" i="2"/>
  <c r="K246" i="2"/>
  <c r="D247" i="2"/>
  <c r="E247" i="2"/>
  <c r="F247" i="2"/>
  <c r="G247" i="2"/>
  <c r="H247" i="2"/>
  <c r="I247" i="2"/>
  <c r="J247" i="2"/>
  <c r="K247" i="2"/>
  <c r="D248" i="2"/>
  <c r="E248" i="2"/>
  <c r="F248" i="2"/>
  <c r="G248" i="2"/>
  <c r="H248" i="2"/>
  <c r="I248" i="2"/>
  <c r="J248" i="2"/>
  <c r="K248" i="2"/>
  <c r="D249" i="2"/>
  <c r="E249" i="2"/>
  <c r="F249" i="2"/>
  <c r="G249" i="2"/>
  <c r="H249" i="2"/>
  <c r="I249" i="2"/>
  <c r="J249" i="2"/>
  <c r="K249" i="2"/>
  <c r="D250" i="2"/>
  <c r="E250" i="2"/>
  <c r="F250" i="2"/>
  <c r="G250" i="2"/>
  <c r="H250" i="2"/>
  <c r="I250" i="2"/>
  <c r="J250" i="2"/>
  <c r="K250" i="2"/>
  <c r="D251" i="2"/>
  <c r="E251" i="2"/>
  <c r="F251" i="2"/>
  <c r="G251" i="2"/>
  <c r="H251" i="2"/>
  <c r="I251" i="2"/>
  <c r="J251" i="2"/>
  <c r="K251" i="2"/>
  <c r="D252" i="2"/>
  <c r="E252" i="2"/>
  <c r="F252" i="2"/>
  <c r="G252" i="2"/>
  <c r="H252" i="2"/>
  <c r="I252" i="2"/>
  <c r="J252" i="2"/>
  <c r="K252" i="2"/>
  <c r="D253" i="2"/>
  <c r="E253" i="2"/>
  <c r="F253" i="2"/>
  <c r="G253" i="2"/>
  <c r="H253" i="2"/>
  <c r="I253" i="2"/>
  <c r="J253" i="2"/>
  <c r="K253" i="2"/>
  <c r="D254" i="2"/>
  <c r="E254" i="2"/>
  <c r="F254" i="2"/>
  <c r="G254" i="2"/>
  <c r="H254" i="2"/>
  <c r="I254" i="2"/>
  <c r="J254" i="2"/>
  <c r="K254" i="2"/>
  <c r="D255" i="2"/>
  <c r="E255" i="2"/>
  <c r="F255" i="2"/>
  <c r="G255" i="2"/>
  <c r="H255" i="2"/>
  <c r="I255" i="2"/>
  <c r="J255" i="2"/>
  <c r="K255" i="2"/>
  <c r="D256" i="2"/>
  <c r="E256" i="2"/>
  <c r="F256" i="2"/>
  <c r="G256" i="2"/>
  <c r="H256" i="2"/>
  <c r="I256" i="2"/>
  <c r="J256" i="2"/>
  <c r="K256" i="2"/>
  <c r="D257" i="2"/>
  <c r="E257" i="2"/>
  <c r="F257" i="2"/>
  <c r="G257" i="2"/>
  <c r="H257" i="2"/>
  <c r="I257" i="2"/>
  <c r="J257" i="2"/>
  <c r="K257" i="2"/>
  <c r="D258" i="2"/>
  <c r="E258" i="2"/>
  <c r="F258" i="2"/>
  <c r="G258" i="2"/>
  <c r="H258" i="2"/>
  <c r="I258" i="2"/>
  <c r="J258" i="2"/>
  <c r="K258" i="2"/>
  <c r="D259" i="2"/>
  <c r="E259" i="2"/>
  <c r="F259" i="2"/>
  <c r="G259" i="2"/>
  <c r="H259" i="2"/>
  <c r="I259" i="2"/>
  <c r="J259" i="2"/>
  <c r="K259" i="2"/>
  <c r="D260" i="2"/>
  <c r="E260" i="2"/>
  <c r="F260" i="2"/>
  <c r="G260" i="2"/>
  <c r="H260" i="2"/>
  <c r="I260" i="2"/>
  <c r="J260" i="2"/>
  <c r="K260" i="2"/>
  <c r="D261" i="2"/>
  <c r="E261" i="2"/>
  <c r="F261" i="2"/>
  <c r="G261" i="2"/>
  <c r="H261" i="2"/>
  <c r="I261" i="2"/>
  <c r="J261" i="2"/>
  <c r="K261" i="2"/>
  <c r="D262" i="2"/>
  <c r="E262" i="2"/>
  <c r="F262" i="2"/>
  <c r="G262" i="2"/>
  <c r="H262" i="2"/>
  <c r="I262" i="2"/>
  <c r="J262" i="2"/>
  <c r="K262" i="2"/>
  <c r="D263" i="2"/>
  <c r="E263" i="2"/>
  <c r="F263" i="2"/>
  <c r="G263" i="2"/>
  <c r="H263" i="2"/>
  <c r="I263" i="2"/>
  <c r="J263" i="2"/>
  <c r="K263" i="2"/>
  <c r="D264" i="2"/>
  <c r="E264" i="2"/>
  <c r="F264" i="2"/>
  <c r="G264" i="2"/>
  <c r="H264" i="2"/>
  <c r="I264" i="2"/>
  <c r="J264" i="2"/>
  <c r="K264" i="2"/>
  <c r="D265" i="2"/>
  <c r="E265" i="2"/>
  <c r="F265" i="2"/>
  <c r="G265" i="2"/>
  <c r="H265" i="2"/>
  <c r="I265" i="2"/>
  <c r="J265" i="2"/>
  <c r="K265" i="2"/>
  <c r="D266" i="2"/>
  <c r="E266" i="2"/>
  <c r="F266" i="2"/>
  <c r="G266" i="2"/>
  <c r="H266" i="2"/>
  <c r="I266" i="2"/>
  <c r="J266" i="2"/>
  <c r="K266" i="2"/>
  <c r="D267" i="2"/>
  <c r="E267" i="2"/>
  <c r="F267" i="2"/>
  <c r="G267" i="2"/>
  <c r="H267" i="2"/>
  <c r="I267" i="2"/>
  <c r="J267" i="2"/>
  <c r="K267" i="2"/>
  <c r="D268" i="2"/>
  <c r="E268" i="2"/>
  <c r="F268" i="2"/>
  <c r="G268" i="2"/>
  <c r="H268" i="2"/>
  <c r="I268" i="2"/>
  <c r="J268" i="2"/>
  <c r="K268" i="2"/>
  <c r="D269" i="2"/>
  <c r="E269" i="2"/>
  <c r="F269" i="2"/>
  <c r="G269" i="2"/>
  <c r="H269" i="2"/>
  <c r="I269" i="2"/>
  <c r="J269" i="2"/>
  <c r="K269" i="2"/>
  <c r="D270" i="2"/>
  <c r="E270" i="2"/>
  <c r="F270" i="2"/>
  <c r="G270" i="2"/>
  <c r="H270" i="2"/>
  <c r="I270" i="2"/>
  <c r="J270" i="2"/>
  <c r="K270" i="2"/>
  <c r="D271" i="2"/>
  <c r="E271" i="2"/>
  <c r="F271" i="2"/>
  <c r="G271" i="2"/>
  <c r="H271" i="2"/>
  <c r="I271" i="2"/>
  <c r="J271" i="2"/>
  <c r="K271" i="2"/>
  <c r="D272" i="2"/>
  <c r="E272" i="2"/>
  <c r="F272" i="2"/>
  <c r="G272" i="2"/>
  <c r="H272" i="2"/>
  <c r="I272" i="2"/>
  <c r="J272" i="2"/>
  <c r="K272" i="2"/>
  <c r="D273" i="2"/>
  <c r="E273" i="2"/>
  <c r="F273" i="2"/>
  <c r="G273" i="2"/>
  <c r="H273" i="2"/>
  <c r="I273" i="2"/>
  <c r="J273" i="2"/>
  <c r="K273" i="2"/>
  <c r="D274" i="2"/>
  <c r="E274" i="2"/>
  <c r="F274" i="2"/>
  <c r="G274" i="2"/>
  <c r="H274" i="2"/>
  <c r="I274" i="2"/>
  <c r="J274" i="2"/>
  <c r="K274" i="2"/>
  <c r="D275" i="2"/>
  <c r="E275" i="2"/>
  <c r="F275" i="2"/>
  <c r="G275" i="2"/>
  <c r="H275" i="2"/>
  <c r="I275" i="2"/>
  <c r="J275" i="2"/>
  <c r="K275" i="2"/>
  <c r="D276" i="2"/>
  <c r="E276" i="2"/>
  <c r="F276" i="2"/>
  <c r="G276" i="2"/>
  <c r="H276" i="2"/>
  <c r="I276" i="2"/>
  <c r="J276" i="2"/>
  <c r="K276" i="2"/>
  <c r="D277" i="2"/>
  <c r="E277" i="2"/>
  <c r="F277" i="2"/>
  <c r="G277" i="2"/>
  <c r="H277" i="2"/>
  <c r="I277" i="2"/>
  <c r="J277" i="2"/>
  <c r="K277" i="2"/>
  <c r="D278" i="2"/>
  <c r="E278" i="2"/>
  <c r="F278" i="2"/>
  <c r="G278" i="2"/>
  <c r="H278" i="2"/>
  <c r="I278" i="2"/>
  <c r="J278" i="2"/>
  <c r="K278" i="2"/>
  <c r="D279" i="2"/>
  <c r="E279" i="2"/>
  <c r="F279" i="2"/>
  <c r="G279" i="2"/>
  <c r="H279" i="2"/>
  <c r="I279" i="2"/>
  <c r="J279" i="2"/>
  <c r="K279" i="2"/>
  <c r="D280" i="2"/>
  <c r="E280" i="2"/>
  <c r="F280" i="2"/>
  <c r="G280" i="2"/>
  <c r="H280" i="2"/>
  <c r="I280" i="2"/>
  <c r="J280" i="2"/>
  <c r="K280" i="2"/>
  <c r="D281" i="2"/>
  <c r="E281" i="2"/>
  <c r="F281" i="2"/>
  <c r="G281" i="2"/>
  <c r="H281" i="2"/>
  <c r="I281" i="2"/>
  <c r="J281" i="2"/>
  <c r="K281" i="2"/>
  <c r="D282" i="2"/>
  <c r="E282" i="2"/>
  <c r="F282" i="2"/>
  <c r="G282" i="2"/>
  <c r="H282" i="2"/>
  <c r="I282" i="2"/>
  <c r="J282" i="2"/>
  <c r="K282" i="2"/>
  <c r="D283" i="2"/>
  <c r="E283" i="2"/>
  <c r="F283" i="2"/>
  <c r="G283" i="2"/>
  <c r="H283" i="2"/>
  <c r="I283" i="2"/>
  <c r="J283" i="2"/>
  <c r="K283" i="2"/>
  <c r="D284" i="2"/>
  <c r="E284" i="2"/>
  <c r="F284" i="2"/>
  <c r="G284" i="2"/>
  <c r="H284" i="2"/>
  <c r="I284" i="2"/>
  <c r="J284" i="2"/>
  <c r="K284" i="2"/>
  <c r="D285" i="2"/>
  <c r="E285" i="2"/>
  <c r="F285" i="2"/>
  <c r="G285" i="2"/>
  <c r="H285" i="2"/>
  <c r="I285" i="2"/>
  <c r="J285" i="2"/>
  <c r="K285" i="2"/>
  <c r="D286" i="2"/>
  <c r="E286" i="2"/>
  <c r="F286" i="2"/>
  <c r="G286" i="2"/>
  <c r="H286" i="2"/>
  <c r="I286" i="2"/>
  <c r="J286" i="2"/>
  <c r="K286" i="2"/>
  <c r="D287" i="2"/>
  <c r="E287" i="2"/>
  <c r="F287" i="2"/>
  <c r="G287" i="2"/>
  <c r="H287" i="2"/>
  <c r="I287" i="2"/>
  <c r="J287" i="2"/>
  <c r="K287" i="2"/>
  <c r="D288" i="2"/>
  <c r="E288" i="2"/>
  <c r="F288" i="2"/>
  <c r="G288" i="2"/>
  <c r="H288" i="2"/>
  <c r="I288" i="2"/>
  <c r="J288" i="2"/>
  <c r="K288" i="2"/>
  <c r="D289" i="2"/>
  <c r="E289" i="2"/>
  <c r="F289" i="2"/>
  <c r="G289" i="2"/>
  <c r="H289" i="2"/>
  <c r="I289" i="2"/>
  <c r="J289" i="2"/>
  <c r="K289" i="2"/>
  <c r="D290" i="2"/>
  <c r="E290" i="2"/>
  <c r="F290" i="2"/>
  <c r="G290" i="2"/>
  <c r="H290" i="2"/>
  <c r="I290" i="2"/>
  <c r="J290" i="2"/>
  <c r="K290" i="2"/>
  <c r="D291" i="2"/>
  <c r="E291" i="2"/>
  <c r="F291" i="2"/>
  <c r="G291" i="2"/>
  <c r="H291" i="2"/>
  <c r="I291" i="2"/>
  <c r="J291" i="2"/>
  <c r="K291" i="2"/>
  <c r="D292" i="2"/>
  <c r="E292" i="2"/>
  <c r="F292" i="2"/>
  <c r="G292" i="2"/>
  <c r="H292" i="2"/>
  <c r="I292" i="2"/>
  <c r="J292" i="2"/>
  <c r="K292" i="2"/>
  <c r="D293" i="2"/>
  <c r="E293" i="2"/>
  <c r="F293" i="2"/>
  <c r="G293" i="2"/>
  <c r="H293" i="2"/>
  <c r="I293" i="2"/>
  <c r="J293" i="2"/>
  <c r="K293" i="2"/>
  <c r="D294" i="2"/>
  <c r="E294" i="2"/>
  <c r="F294" i="2"/>
  <c r="G294" i="2"/>
  <c r="H294" i="2"/>
  <c r="I294" i="2"/>
  <c r="J294" i="2"/>
  <c r="K294" i="2"/>
  <c r="D295" i="2"/>
  <c r="E295" i="2"/>
  <c r="F295" i="2"/>
  <c r="G295" i="2"/>
  <c r="H295" i="2"/>
  <c r="I295" i="2"/>
  <c r="J295" i="2"/>
  <c r="K295" i="2"/>
  <c r="D296" i="2"/>
  <c r="E296" i="2"/>
  <c r="F296" i="2"/>
  <c r="G296" i="2"/>
  <c r="H296" i="2"/>
  <c r="I296" i="2"/>
  <c r="J296" i="2"/>
  <c r="K296" i="2"/>
  <c r="D297" i="2"/>
  <c r="E297" i="2"/>
  <c r="F297" i="2"/>
  <c r="G297" i="2"/>
  <c r="H297" i="2"/>
  <c r="I297" i="2"/>
  <c r="J297" i="2"/>
  <c r="K297" i="2"/>
  <c r="D298" i="2"/>
  <c r="E298" i="2"/>
  <c r="F298" i="2"/>
  <c r="G298" i="2"/>
  <c r="H298" i="2"/>
  <c r="I298" i="2"/>
  <c r="J298" i="2"/>
  <c r="K298" i="2"/>
  <c r="D299" i="2"/>
  <c r="E299" i="2"/>
  <c r="F299" i="2"/>
  <c r="G299" i="2"/>
  <c r="H299" i="2"/>
  <c r="I299" i="2"/>
  <c r="J299" i="2"/>
  <c r="K299" i="2"/>
  <c r="D300" i="2"/>
  <c r="E300" i="2"/>
  <c r="F300" i="2"/>
  <c r="G300" i="2"/>
  <c r="H300" i="2"/>
  <c r="I300" i="2"/>
  <c r="J300" i="2"/>
  <c r="K300" i="2"/>
  <c r="D301" i="2"/>
  <c r="E301" i="2"/>
  <c r="F301" i="2"/>
  <c r="G301" i="2"/>
  <c r="H301" i="2"/>
  <c r="I301" i="2"/>
  <c r="J301" i="2"/>
  <c r="K301" i="2"/>
  <c r="D302" i="2"/>
  <c r="E302" i="2"/>
  <c r="F302" i="2"/>
  <c r="G302" i="2"/>
  <c r="H302" i="2"/>
  <c r="I302" i="2"/>
  <c r="J302" i="2"/>
  <c r="K302" i="2"/>
  <c r="D303" i="2"/>
  <c r="E303" i="2"/>
  <c r="F303" i="2"/>
  <c r="G303" i="2"/>
  <c r="H303" i="2"/>
  <c r="I303" i="2"/>
  <c r="J303" i="2"/>
  <c r="K303" i="2"/>
  <c r="D304" i="2"/>
  <c r="E304" i="2"/>
  <c r="F304" i="2"/>
  <c r="G304" i="2"/>
  <c r="H304" i="2"/>
  <c r="I304" i="2"/>
  <c r="J304" i="2"/>
  <c r="K304" i="2"/>
  <c r="D305" i="2"/>
  <c r="E305" i="2"/>
  <c r="F305" i="2"/>
  <c r="G305" i="2"/>
  <c r="H305" i="2"/>
  <c r="I305" i="2"/>
  <c r="J305" i="2"/>
  <c r="K305" i="2"/>
  <c r="D306" i="2"/>
  <c r="E306" i="2"/>
  <c r="F306" i="2"/>
  <c r="G306" i="2"/>
  <c r="H306" i="2"/>
  <c r="I306" i="2"/>
  <c r="J306" i="2"/>
  <c r="K306" i="2"/>
  <c r="D307" i="2"/>
  <c r="E307" i="2"/>
  <c r="F307" i="2"/>
  <c r="G307" i="2"/>
  <c r="H307" i="2"/>
  <c r="I307" i="2"/>
  <c r="J307" i="2"/>
  <c r="K307" i="2"/>
  <c r="D308" i="2"/>
  <c r="E308" i="2"/>
  <c r="F308" i="2"/>
  <c r="G308" i="2"/>
  <c r="H308" i="2"/>
  <c r="I308" i="2"/>
  <c r="J308" i="2"/>
  <c r="K308" i="2"/>
  <c r="D309" i="2"/>
  <c r="E309" i="2"/>
  <c r="F309" i="2"/>
  <c r="G309" i="2"/>
  <c r="H309" i="2"/>
  <c r="I309" i="2"/>
  <c r="J309" i="2"/>
  <c r="K309" i="2"/>
  <c r="D310" i="2"/>
  <c r="E310" i="2"/>
  <c r="F310" i="2"/>
  <c r="G310" i="2"/>
  <c r="H310" i="2"/>
  <c r="I310" i="2"/>
  <c r="J310" i="2"/>
  <c r="K310" i="2"/>
  <c r="D311" i="2"/>
  <c r="E311" i="2"/>
  <c r="F311" i="2"/>
  <c r="G311" i="2"/>
  <c r="H311" i="2"/>
  <c r="I311" i="2"/>
  <c r="J311" i="2"/>
  <c r="K311" i="2"/>
  <c r="D312" i="2"/>
  <c r="E312" i="2"/>
  <c r="F312" i="2"/>
  <c r="G312" i="2"/>
  <c r="H312" i="2"/>
  <c r="I312" i="2"/>
  <c r="J312" i="2"/>
  <c r="K312" i="2"/>
  <c r="D313" i="2"/>
  <c r="E313" i="2"/>
  <c r="F313" i="2"/>
  <c r="G313" i="2"/>
  <c r="H313" i="2"/>
  <c r="I313" i="2"/>
  <c r="J313" i="2"/>
  <c r="K313" i="2"/>
  <c r="D314" i="2"/>
  <c r="E314" i="2"/>
  <c r="F314" i="2"/>
  <c r="G314" i="2"/>
  <c r="H314" i="2"/>
  <c r="I314" i="2"/>
  <c r="J314" i="2"/>
  <c r="K314" i="2"/>
  <c r="D315" i="2"/>
  <c r="E315" i="2"/>
  <c r="F315" i="2"/>
  <c r="G315" i="2"/>
  <c r="H315" i="2"/>
  <c r="I315" i="2"/>
  <c r="J315" i="2"/>
  <c r="K315" i="2"/>
  <c r="D316" i="2"/>
  <c r="E316" i="2"/>
  <c r="F316" i="2"/>
  <c r="G316" i="2"/>
  <c r="H316" i="2"/>
  <c r="I316" i="2"/>
  <c r="J316" i="2"/>
  <c r="K316" i="2"/>
  <c r="D317" i="2"/>
  <c r="E317" i="2"/>
  <c r="F317" i="2"/>
  <c r="G317" i="2"/>
  <c r="H317" i="2"/>
  <c r="I317" i="2"/>
  <c r="J317" i="2"/>
  <c r="K317" i="2"/>
  <c r="D318" i="2"/>
  <c r="E318" i="2"/>
  <c r="F318" i="2"/>
  <c r="G318" i="2"/>
  <c r="H318" i="2"/>
  <c r="I318" i="2"/>
  <c r="J318" i="2"/>
  <c r="K318" i="2"/>
  <c r="D319" i="2"/>
  <c r="E319" i="2"/>
  <c r="F319" i="2"/>
  <c r="G319" i="2"/>
  <c r="H319" i="2"/>
  <c r="I319" i="2"/>
  <c r="J319" i="2"/>
  <c r="K319" i="2"/>
  <c r="D320" i="2"/>
  <c r="E320" i="2"/>
  <c r="F320" i="2"/>
  <c r="G320" i="2"/>
  <c r="H320" i="2"/>
  <c r="I320" i="2"/>
  <c r="J320" i="2"/>
  <c r="K320" i="2"/>
  <c r="D321" i="2"/>
  <c r="E321" i="2"/>
  <c r="F321" i="2"/>
  <c r="G321" i="2"/>
  <c r="H321" i="2"/>
  <c r="I321" i="2"/>
  <c r="J321" i="2"/>
  <c r="K321" i="2"/>
  <c r="D322" i="2"/>
  <c r="E322" i="2"/>
  <c r="F322" i="2"/>
  <c r="G322" i="2"/>
  <c r="H322" i="2"/>
  <c r="I322" i="2"/>
  <c r="J322" i="2"/>
  <c r="K322" i="2"/>
  <c r="D323" i="2"/>
  <c r="E323" i="2"/>
  <c r="F323" i="2"/>
  <c r="G323" i="2"/>
  <c r="H323" i="2"/>
  <c r="I323" i="2"/>
  <c r="J323" i="2"/>
  <c r="K323" i="2"/>
  <c r="D324" i="2"/>
  <c r="E324" i="2"/>
  <c r="F324" i="2"/>
  <c r="G324" i="2"/>
  <c r="H324" i="2"/>
  <c r="I324" i="2"/>
  <c r="J324" i="2"/>
  <c r="K324" i="2"/>
  <c r="D325" i="2"/>
  <c r="E325" i="2"/>
  <c r="F325" i="2"/>
  <c r="G325" i="2"/>
  <c r="H325" i="2"/>
  <c r="I325" i="2"/>
  <c r="J325" i="2"/>
  <c r="K325" i="2"/>
  <c r="D326" i="2"/>
  <c r="E326" i="2"/>
  <c r="F326" i="2"/>
  <c r="G326" i="2"/>
  <c r="H326" i="2"/>
  <c r="I326" i="2"/>
  <c r="J326" i="2"/>
  <c r="K326" i="2"/>
  <c r="D327" i="2"/>
  <c r="E327" i="2"/>
  <c r="F327" i="2"/>
  <c r="G327" i="2"/>
  <c r="H327" i="2"/>
  <c r="I327" i="2"/>
  <c r="J327" i="2"/>
  <c r="K327" i="2"/>
  <c r="D328" i="2"/>
  <c r="E328" i="2"/>
  <c r="F328" i="2"/>
  <c r="G328" i="2"/>
  <c r="H328" i="2"/>
  <c r="I328" i="2"/>
  <c r="J328" i="2"/>
  <c r="K328" i="2"/>
  <c r="D329" i="2"/>
  <c r="E329" i="2"/>
  <c r="F329" i="2"/>
  <c r="G329" i="2"/>
  <c r="H329" i="2"/>
  <c r="I329" i="2"/>
  <c r="J329" i="2"/>
  <c r="K329" i="2"/>
  <c r="D330" i="2"/>
  <c r="E330" i="2"/>
  <c r="F330" i="2"/>
  <c r="G330" i="2"/>
  <c r="H330" i="2"/>
  <c r="I330" i="2"/>
  <c r="J330" i="2"/>
  <c r="K330" i="2"/>
  <c r="D331" i="2"/>
  <c r="E331" i="2"/>
  <c r="F331" i="2"/>
  <c r="G331" i="2"/>
  <c r="H331" i="2"/>
  <c r="I331" i="2"/>
  <c r="J331" i="2"/>
  <c r="K331" i="2"/>
  <c r="D332" i="2"/>
  <c r="E332" i="2"/>
  <c r="F332" i="2"/>
  <c r="G332" i="2"/>
  <c r="H332" i="2"/>
  <c r="I332" i="2"/>
  <c r="J332" i="2"/>
  <c r="K332" i="2"/>
  <c r="D333" i="2"/>
  <c r="E333" i="2"/>
  <c r="F333" i="2"/>
  <c r="G333" i="2"/>
  <c r="H333" i="2"/>
  <c r="I333" i="2"/>
  <c r="J333" i="2"/>
  <c r="K333" i="2"/>
  <c r="D334" i="2"/>
  <c r="E334" i="2"/>
  <c r="F334" i="2"/>
  <c r="G334" i="2"/>
  <c r="H334" i="2"/>
  <c r="I334" i="2"/>
  <c r="J334" i="2"/>
  <c r="K334" i="2"/>
  <c r="D335" i="2"/>
  <c r="E335" i="2"/>
  <c r="F335" i="2"/>
  <c r="G335" i="2"/>
  <c r="H335" i="2"/>
  <c r="I335" i="2"/>
  <c r="J335" i="2"/>
  <c r="K335" i="2"/>
  <c r="D336" i="2"/>
  <c r="E336" i="2"/>
  <c r="F336" i="2"/>
  <c r="G336" i="2"/>
  <c r="H336" i="2"/>
  <c r="I336" i="2"/>
  <c r="J336" i="2"/>
  <c r="K336" i="2"/>
  <c r="D337" i="2"/>
  <c r="E337" i="2"/>
  <c r="F337" i="2"/>
  <c r="G337" i="2"/>
  <c r="H337" i="2"/>
  <c r="I337" i="2"/>
  <c r="J337" i="2"/>
  <c r="K337" i="2"/>
  <c r="D338" i="2"/>
  <c r="E338" i="2"/>
  <c r="F338" i="2"/>
  <c r="G338" i="2"/>
  <c r="H338" i="2"/>
  <c r="I338" i="2"/>
  <c r="J338" i="2"/>
  <c r="K338" i="2"/>
  <c r="D339" i="2"/>
  <c r="E339" i="2"/>
  <c r="F339" i="2"/>
  <c r="G339" i="2"/>
  <c r="H339" i="2"/>
  <c r="I339" i="2"/>
  <c r="J339" i="2"/>
  <c r="K339" i="2"/>
  <c r="D340" i="2"/>
  <c r="E340" i="2"/>
  <c r="F340" i="2"/>
  <c r="G340" i="2"/>
  <c r="H340" i="2"/>
  <c r="I340" i="2"/>
  <c r="J340" i="2"/>
  <c r="K340" i="2"/>
  <c r="D341" i="2"/>
  <c r="E341" i="2"/>
  <c r="F341" i="2"/>
  <c r="G341" i="2"/>
  <c r="H341" i="2"/>
  <c r="I341" i="2"/>
  <c r="J341" i="2"/>
  <c r="K341" i="2"/>
  <c r="D342" i="2"/>
  <c r="E342" i="2"/>
  <c r="F342" i="2"/>
  <c r="G342" i="2"/>
  <c r="H342" i="2"/>
  <c r="I342" i="2"/>
  <c r="J342" i="2"/>
  <c r="K342" i="2"/>
  <c r="D343" i="2"/>
  <c r="E343" i="2"/>
  <c r="F343" i="2"/>
  <c r="G343" i="2"/>
  <c r="H343" i="2"/>
  <c r="I343" i="2"/>
  <c r="J343" i="2"/>
  <c r="K343" i="2"/>
  <c r="D344" i="2"/>
  <c r="E344" i="2"/>
  <c r="F344" i="2"/>
  <c r="G344" i="2"/>
  <c r="H344" i="2"/>
  <c r="I344" i="2"/>
  <c r="J344" i="2"/>
  <c r="K344" i="2"/>
  <c r="D345" i="2"/>
  <c r="E345" i="2"/>
  <c r="F345" i="2"/>
  <c r="G345" i="2"/>
  <c r="H345" i="2"/>
  <c r="I345" i="2"/>
  <c r="J345" i="2"/>
  <c r="K345" i="2"/>
  <c r="D346" i="2"/>
  <c r="E346" i="2"/>
  <c r="F346" i="2"/>
  <c r="G346" i="2"/>
  <c r="H346" i="2"/>
  <c r="I346" i="2"/>
  <c r="J346" i="2"/>
  <c r="K346" i="2"/>
  <c r="D347" i="2"/>
  <c r="E347" i="2"/>
  <c r="F347" i="2"/>
  <c r="G347" i="2"/>
  <c r="H347" i="2"/>
  <c r="I347" i="2"/>
  <c r="J347" i="2"/>
  <c r="K347" i="2"/>
  <c r="D348" i="2"/>
  <c r="E348" i="2"/>
  <c r="F348" i="2"/>
  <c r="G348" i="2"/>
  <c r="H348" i="2"/>
  <c r="I348" i="2"/>
  <c r="J348" i="2"/>
  <c r="K348" i="2"/>
  <c r="D349" i="2"/>
  <c r="E349" i="2"/>
  <c r="F349" i="2"/>
  <c r="G349" i="2"/>
  <c r="H349" i="2"/>
  <c r="I349" i="2"/>
  <c r="J349" i="2"/>
  <c r="K349" i="2"/>
  <c r="D350" i="2"/>
  <c r="E350" i="2"/>
  <c r="F350" i="2"/>
  <c r="G350" i="2"/>
  <c r="H350" i="2"/>
  <c r="I350" i="2"/>
  <c r="J350" i="2"/>
  <c r="K350" i="2"/>
  <c r="D351" i="2"/>
  <c r="E351" i="2"/>
  <c r="F351" i="2"/>
  <c r="G351" i="2"/>
  <c r="H351" i="2"/>
  <c r="I351" i="2"/>
  <c r="J351" i="2"/>
  <c r="K351" i="2"/>
  <c r="D352" i="2"/>
  <c r="E352" i="2"/>
  <c r="F352" i="2"/>
  <c r="G352" i="2"/>
  <c r="H352" i="2"/>
  <c r="I352" i="2"/>
  <c r="J352" i="2"/>
  <c r="K352" i="2"/>
  <c r="D353" i="2"/>
  <c r="E353" i="2"/>
  <c r="F353" i="2"/>
  <c r="G353" i="2"/>
  <c r="H353" i="2"/>
  <c r="I353" i="2"/>
  <c r="J353" i="2"/>
  <c r="K353" i="2"/>
  <c r="D354" i="2"/>
  <c r="E354" i="2"/>
  <c r="F354" i="2"/>
  <c r="G354" i="2"/>
  <c r="H354" i="2"/>
  <c r="I354" i="2"/>
  <c r="J354" i="2"/>
  <c r="K354" i="2"/>
  <c r="D355" i="2"/>
  <c r="E355" i="2"/>
  <c r="F355" i="2"/>
  <c r="G355" i="2"/>
  <c r="H355" i="2"/>
  <c r="I355" i="2"/>
  <c r="J355" i="2"/>
  <c r="K355" i="2"/>
  <c r="D356" i="2"/>
  <c r="E356" i="2"/>
  <c r="F356" i="2"/>
  <c r="G356" i="2"/>
  <c r="H356" i="2"/>
  <c r="I356" i="2"/>
  <c r="J356" i="2"/>
  <c r="K356" i="2"/>
  <c r="D357" i="2"/>
  <c r="E357" i="2"/>
  <c r="F357" i="2"/>
  <c r="G357" i="2"/>
  <c r="H357" i="2"/>
  <c r="I357" i="2"/>
  <c r="J357" i="2"/>
  <c r="K357" i="2"/>
  <c r="D358" i="2"/>
  <c r="E358" i="2"/>
  <c r="F358" i="2"/>
  <c r="G358" i="2"/>
  <c r="H358" i="2"/>
  <c r="I358" i="2"/>
  <c r="J358" i="2"/>
  <c r="K358" i="2"/>
  <c r="D359" i="2"/>
  <c r="E359" i="2"/>
  <c r="F359" i="2"/>
  <c r="G359" i="2"/>
  <c r="H359" i="2"/>
  <c r="I359" i="2"/>
  <c r="J359" i="2"/>
  <c r="K359" i="2"/>
  <c r="D360" i="2"/>
  <c r="E360" i="2"/>
  <c r="F360" i="2"/>
  <c r="G360" i="2"/>
  <c r="H360" i="2"/>
  <c r="I360" i="2"/>
  <c r="J360" i="2"/>
  <c r="K360" i="2"/>
  <c r="D361" i="2"/>
  <c r="E361" i="2"/>
  <c r="F361" i="2"/>
  <c r="G361" i="2"/>
  <c r="H361" i="2"/>
  <c r="I361" i="2"/>
  <c r="J361" i="2"/>
  <c r="K361" i="2"/>
  <c r="D362" i="2"/>
  <c r="E362" i="2"/>
  <c r="F362" i="2"/>
  <c r="G362" i="2"/>
  <c r="H362" i="2"/>
  <c r="I362" i="2"/>
  <c r="J362" i="2"/>
  <c r="K362" i="2"/>
  <c r="D363" i="2"/>
  <c r="E363" i="2"/>
  <c r="F363" i="2"/>
  <c r="G363" i="2"/>
  <c r="H363" i="2"/>
  <c r="I363" i="2"/>
  <c r="J363" i="2"/>
  <c r="K363" i="2"/>
  <c r="D364" i="2"/>
  <c r="E364" i="2"/>
  <c r="F364" i="2"/>
  <c r="G364" i="2"/>
  <c r="H364" i="2"/>
  <c r="I364" i="2"/>
  <c r="J364" i="2"/>
  <c r="K364" i="2"/>
  <c r="D365" i="2"/>
  <c r="E365" i="2"/>
  <c r="F365" i="2"/>
  <c r="G365" i="2"/>
  <c r="H365" i="2"/>
  <c r="I365" i="2"/>
  <c r="J365" i="2"/>
  <c r="K365" i="2"/>
  <c r="D366" i="2"/>
  <c r="E366" i="2"/>
  <c r="F366" i="2"/>
  <c r="G366" i="2"/>
  <c r="H366" i="2"/>
  <c r="I366" i="2"/>
  <c r="J366" i="2"/>
  <c r="K366" i="2"/>
  <c r="D367" i="2"/>
  <c r="E367" i="2"/>
  <c r="F367" i="2"/>
  <c r="G367" i="2"/>
  <c r="H367" i="2"/>
  <c r="I367" i="2"/>
  <c r="J367" i="2"/>
  <c r="K367" i="2"/>
  <c r="D368" i="2"/>
  <c r="E368" i="2"/>
  <c r="F368" i="2"/>
  <c r="G368" i="2"/>
  <c r="H368" i="2"/>
  <c r="I368" i="2"/>
  <c r="J368" i="2"/>
  <c r="K368" i="2"/>
  <c r="D369" i="2"/>
  <c r="E369" i="2"/>
  <c r="F369" i="2"/>
  <c r="G369" i="2"/>
  <c r="H369" i="2"/>
  <c r="I369" i="2"/>
  <c r="J369" i="2"/>
  <c r="K369" i="2"/>
  <c r="D370" i="2"/>
  <c r="E370" i="2"/>
  <c r="F370" i="2"/>
  <c r="G370" i="2"/>
  <c r="H370" i="2"/>
  <c r="I370" i="2"/>
  <c r="J370" i="2"/>
  <c r="K370" i="2"/>
  <c r="D371" i="2"/>
  <c r="E371" i="2"/>
  <c r="F371" i="2"/>
  <c r="G371" i="2"/>
  <c r="H371" i="2"/>
  <c r="I371" i="2"/>
  <c r="J371" i="2"/>
  <c r="K371" i="2"/>
  <c r="D372" i="2"/>
  <c r="E372" i="2"/>
  <c r="F372" i="2"/>
  <c r="G372" i="2"/>
  <c r="H372" i="2"/>
  <c r="I372" i="2"/>
  <c r="J372" i="2"/>
  <c r="K372" i="2"/>
  <c r="D373" i="2"/>
  <c r="E373" i="2"/>
  <c r="F373" i="2"/>
  <c r="G373" i="2"/>
  <c r="H373" i="2"/>
  <c r="I373" i="2"/>
  <c r="J373" i="2"/>
  <c r="K373" i="2"/>
  <c r="D374" i="2"/>
  <c r="E374" i="2"/>
  <c r="F374" i="2"/>
  <c r="G374" i="2"/>
  <c r="H374" i="2"/>
  <c r="I374" i="2"/>
  <c r="J374" i="2"/>
  <c r="K374" i="2"/>
  <c r="D375" i="2"/>
  <c r="E375" i="2"/>
  <c r="F375" i="2"/>
  <c r="G375" i="2"/>
  <c r="H375" i="2"/>
  <c r="I375" i="2"/>
  <c r="J375" i="2"/>
  <c r="K375" i="2"/>
  <c r="D376" i="2"/>
  <c r="E376" i="2"/>
  <c r="F376" i="2"/>
  <c r="G376" i="2"/>
  <c r="H376" i="2"/>
  <c r="I376" i="2"/>
  <c r="J376" i="2"/>
  <c r="K376" i="2"/>
  <c r="D377" i="2"/>
  <c r="E377" i="2"/>
  <c r="F377" i="2"/>
  <c r="G377" i="2"/>
  <c r="H377" i="2"/>
  <c r="I377" i="2"/>
  <c r="J377" i="2"/>
  <c r="K377" i="2"/>
  <c r="D378" i="2"/>
  <c r="E378" i="2"/>
  <c r="F378" i="2"/>
  <c r="G378" i="2"/>
  <c r="H378" i="2"/>
  <c r="I378" i="2"/>
  <c r="J378" i="2"/>
  <c r="K378" i="2"/>
  <c r="D379" i="2"/>
  <c r="E379" i="2"/>
  <c r="F379" i="2"/>
  <c r="G379" i="2"/>
  <c r="H379" i="2"/>
  <c r="I379" i="2"/>
  <c r="J379" i="2"/>
  <c r="K379" i="2"/>
  <c r="D380" i="2"/>
  <c r="E380" i="2"/>
  <c r="F380" i="2"/>
  <c r="G380" i="2"/>
  <c r="H380" i="2"/>
  <c r="I380" i="2"/>
  <c r="J380" i="2"/>
  <c r="K380" i="2"/>
  <c r="D381" i="2"/>
  <c r="E381" i="2"/>
  <c r="F381" i="2"/>
  <c r="G381" i="2"/>
  <c r="H381" i="2"/>
  <c r="I381" i="2"/>
  <c r="J381" i="2"/>
  <c r="K381" i="2"/>
  <c r="D382" i="2"/>
  <c r="E382" i="2"/>
  <c r="F382" i="2"/>
  <c r="G382" i="2"/>
  <c r="H382" i="2"/>
  <c r="I382" i="2"/>
  <c r="J382" i="2"/>
  <c r="K382" i="2"/>
  <c r="D383" i="2"/>
  <c r="E383" i="2"/>
  <c r="F383" i="2"/>
  <c r="G383" i="2"/>
  <c r="H383" i="2"/>
  <c r="I383" i="2"/>
  <c r="J383" i="2"/>
  <c r="K383" i="2"/>
  <c r="D384" i="2"/>
  <c r="E384" i="2"/>
  <c r="F384" i="2"/>
  <c r="G384" i="2"/>
  <c r="H384" i="2"/>
  <c r="I384" i="2"/>
  <c r="J384" i="2"/>
  <c r="K384" i="2"/>
  <c r="D385" i="2"/>
  <c r="E385" i="2"/>
  <c r="F385" i="2"/>
  <c r="G385" i="2"/>
  <c r="H385" i="2"/>
  <c r="I385" i="2"/>
  <c r="J385" i="2"/>
  <c r="K385" i="2"/>
  <c r="D386" i="2"/>
  <c r="E386" i="2"/>
  <c r="F386" i="2"/>
  <c r="G386" i="2"/>
  <c r="H386" i="2"/>
  <c r="I386" i="2"/>
  <c r="J386" i="2"/>
  <c r="K386" i="2"/>
  <c r="D387" i="2"/>
  <c r="E387" i="2"/>
  <c r="F387" i="2"/>
  <c r="G387" i="2"/>
  <c r="H387" i="2"/>
  <c r="I387" i="2"/>
  <c r="J387" i="2"/>
  <c r="K387" i="2"/>
  <c r="D388" i="2"/>
  <c r="E388" i="2"/>
  <c r="F388" i="2"/>
  <c r="G388" i="2"/>
  <c r="H388" i="2"/>
  <c r="I388" i="2"/>
  <c r="J388" i="2"/>
  <c r="K388" i="2"/>
  <c r="D389" i="2"/>
  <c r="E389" i="2"/>
  <c r="F389" i="2"/>
  <c r="G389" i="2"/>
  <c r="H389" i="2"/>
  <c r="I389" i="2"/>
  <c r="J389" i="2"/>
  <c r="K389" i="2"/>
  <c r="D390" i="2"/>
  <c r="E390" i="2"/>
  <c r="F390" i="2"/>
  <c r="G390" i="2"/>
  <c r="H390" i="2"/>
  <c r="I390" i="2"/>
  <c r="J390" i="2"/>
  <c r="K390" i="2"/>
  <c r="D391" i="2"/>
  <c r="E391" i="2"/>
  <c r="F391" i="2"/>
  <c r="G391" i="2"/>
  <c r="H391" i="2"/>
  <c r="I391" i="2"/>
  <c r="J391" i="2"/>
  <c r="K391" i="2"/>
  <c r="D392" i="2"/>
  <c r="E392" i="2"/>
  <c r="F392" i="2"/>
  <c r="G392" i="2"/>
  <c r="H392" i="2"/>
  <c r="I392" i="2"/>
  <c r="J392" i="2"/>
  <c r="K392" i="2"/>
  <c r="D393" i="2"/>
  <c r="E393" i="2"/>
  <c r="F393" i="2"/>
  <c r="G393" i="2"/>
  <c r="H393" i="2"/>
  <c r="I393" i="2"/>
  <c r="J393" i="2"/>
  <c r="K393" i="2"/>
  <c r="D394" i="2"/>
  <c r="E394" i="2"/>
  <c r="F394" i="2"/>
  <c r="G394" i="2"/>
  <c r="H394" i="2"/>
  <c r="I394" i="2"/>
  <c r="J394" i="2"/>
  <c r="K394" i="2"/>
  <c r="D395" i="2"/>
  <c r="E395" i="2"/>
  <c r="F395" i="2"/>
  <c r="G395" i="2"/>
  <c r="H395" i="2"/>
  <c r="I395" i="2"/>
  <c r="J395" i="2"/>
  <c r="K395" i="2"/>
  <c r="D396" i="2"/>
  <c r="E396" i="2"/>
  <c r="F396" i="2"/>
  <c r="G396" i="2"/>
  <c r="H396" i="2"/>
  <c r="I396" i="2"/>
  <c r="J396" i="2"/>
  <c r="K396" i="2"/>
  <c r="D397" i="2"/>
  <c r="E397" i="2"/>
  <c r="F397" i="2"/>
  <c r="G397" i="2"/>
  <c r="H397" i="2"/>
  <c r="I397" i="2"/>
  <c r="J397" i="2"/>
  <c r="K397" i="2"/>
  <c r="D398" i="2"/>
  <c r="E398" i="2"/>
  <c r="F398" i="2"/>
  <c r="G398" i="2"/>
  <c r="H398" i="2"/>
  <c r="I398" i="2"/>
  <c r="J398" i="2"/>
  <c r="K398" i="2"/>
  <c r="D399" i="2"/>
  <c r="E399" i="2"/>
  <c r="F399" i="2"/>
  <c r="G399" i="2"/>
  <c r="H399" i="2"/>
  <c r="I399" i="2"/>
  <c r="J399" i="2"/>
  <c r="K399" i="2"/>
  <c r="D400" i="2"/>
  <c r="E400" i="2"/>
  <c r="F400" i="2"/>
  <c r="G400" i="2"/>
  <c r="H400" i="2"/>
  <c r="I400" i="2"/>
  <c r="J400" i="2"/>
  <c r="K400" i="2"/>
  <c r="D401" i="2"/>
  <c r="E401" i="2"/>
  <c r="F401" i="2"/>
  <c r="G401" i="2"/>
  <c r="H401" i="2"/>
  <c r="I401" i="2"/>
  <c r="J401" i="2"/>
  <c r="K401" i="2"/>
  <c r="D402" i="2"/>
  <c r="E402" i="2"/>
  <c r="F402" i="2"/>
  <c r="G402" i="2"/>
  <c r="H402" i="2"/>
  <c r="I402" i="2"/>
  <c r="J402" i="2"/>
  <c r="K402" i="2"/>
  <c r="D403" i="2"/>
  <c r="E403" i="2"/>
  <c r="F403" i="2"/>
  <c r="G403" i="2"/>
  <c r="H403" i="2"/>
  <c r="I403" i="2"/>
  <c r="J403" i="2"/>
  <c r="K403" i="2"/>
  <c r="D404" i="2"/>
  <c r="E404" i="2"/>
  <c r="F404" i="2"/>
  <c r="G404" i="2"/>
  <c r="H404" i="2"/>
  <c r="I404" i="2"/>
  <c r="J404" i="2"/>
  <c r="K404" i="2"/>
  <c r="D405" i="2"/>
  <c r="E405" i="2"/>
  <c r="F405" i="2"/>
  <c r="G405" i="2"/>
  <c r="H405" i="2"/>
  <c r="I405" i="2"/>
  <c r="J405" i="2"/>
  <c r="K405" i="2"/>
  <c r="D406" i="2"/>
  <c r="E406" i="2"/>
  <c r="F406" i="2"/>
  <c r="G406" i="2"/>
  <c r="H406" i="2"/>
  <c r="I406" i="2"/>
  <c r="J406" i="2"/>
  <c r="K406" i="2"/>
  <c r="D407" i="2"/>
  <c r="E407" i="2"/>
  <c r="F407" i="2"/>
  <c r="G407" i="2"/>
  <c r="H407" i="2"/>
  <c r="I407" i="2"/>
  <c r="J407" i="2"/>
  <c r="K407" i="2"/>
  <c r="D408" i="2"/>
  <c r="E408" i="2"/>
  <c r="F408" i="2"/>
  <c r="G408" i="2"/>
  <c r="H408" i="2"/>
  <c r="I408" i="2"/>
  <c r="J408" i="2"/>
  <c r="K408" i="2"/>
  <c r="D409" i="2"/>
  <c r="E409" i="2"/>
  <c r="F409" i="2"/>
  <c r="G409" i="2"/>
  <c r="H409" i="2"/>
  <c r="I409" i="2"/>
  <c r="J409" i="2"/>
  <c r="K409" i="2"/>
  <c r="D410" i="2"/>
  <c r="E410" i="2"/>
  <c r="F410" i="2"/>
  <c r="G410" i="2"/>
  <c r="H410" i="2"/>
  <c r="I410" i="2"/>
  <c r="J410" i="2"/>
  <c r="K410" i="2"/>
  <c r="D411" i="2"/>
  <c r="E411" i="2"/>
  <c r="F411" i="2"/>
  <c r="G411" i="2"/>
  <c r="H411" i="2"/>
  <c r="I411" i="2"/>
  <c r="J411" i="2"/>
  <c r="K411" i="2"/>
  <c r="D412" i="2"/>
  <c r="E412" i="2"/>
  <c r="F412" i="2"/>
  <c r="G412" i="2"/>
  <c r="H412" i="2"/>
  <c r="I412" i="2"/>
  <c r="J412" i="2"/>
  <c r="K412" i="2"/>
  <c r="D413" i="2"/>
  <c r="E413" i="2"/>
  <c r="F413" i="2"/>
  <c r="G413" i="2"/>
  <c r="H413" i="2"/>
  <c r="I413" i="2"/>
  <c r="J413" i="2"/>
  <c r="K413" i="2"/>
  <c r="D414" i="2"/>
  <c r="E414" i="2"/>
  <c r="F414" i="2"/>
  <c r="G414" i="2"/>
  <c r="H414" i="2"/>
  <c r="I414" i="2"/>
  <c r="J414" i="2"/>
  <c r="K414" i="2"/>
  <c r="D415" i="2"/>
  <c r="E415" i="2"/>
  <c r="F415" i="2"/>
  <c r="G415" i="2"/>
  <c r="H415" i="2"/>
  <c r="I415" i="2"/>
  <c r="J415" i="2"/>
  <c r="K415" i="2"/>
  <c r="D416" i="2"/>
  <c r="E416" i="2"/>
  <c r="F416" i="2"/>
  <c r="G416" i="2"/>
  <c r="H416" i="2"/>
  <c r="I416" i="2"/>
  <c r="J416" i="2"/>
  <c r="K416" i="2"/>
  <c r="D417" i="2"/>
  <c r="E417" i="2"/>
  <c r="F417" i="2"/>
  <c r="G417" i="2"/>
  <c r="H417" i="2"/>
  <c r="I417" i="2"/>
  <c r="J417" i="2"/>
  <c r="K417" i="2"/>
  <c r="D418" i="2"/>
  <c r="E418" i="2"/>
  <c r="F418" i="2"/>
  <c r="G418" i="2"/>
  <c r="H418" i="2"/>
  <c r="I418" i="2"/>
  <c r="J418" i="2"/>
  <c r="K418" i="2"/>
  <c r="D419" i="2"/>
  <c r="E419" i="2"/>
  <c r="F419" i="2"/>
  <c r="G419" i="2"/>
  <c r="H419" i="2"/>
  <c r="I419" i="2"/>
  <c r="J419" i="2"/>
  <c r="K419" i="2"/>
  <c r="D420" i="2"/>
  <c r="E420" i="2"/>
  <c r="F420" i="2"/>
  <c r="G420" i="2"/>
  <c r="H420" i="2"/>
  <c r="I420" i="2"/>
  <c r="J420" i="2"/>
  <c r="K420" i="2"/>
  <c r="D421" i="2"/>
  <c r="E421" i="2"/>
  <c r="F421" i="2"/>
  <c r="G421" i="2"/>
  <c r="H421" i="2"/>
  <c r="I421" i="2"/>
  <c r="J421" i="2"/>
  <c r="K421" i="2"/>
  <c r="D422" i="2"/>
  <c r="E422" i="2"/>
  <c r="F422" i="2"/>
  <c r="G422" i="2"/>
  <c r="H422" i="2"/>
  <c r="I422" i="2"/>
  <c r="J422" i="2"/>
  <c r="K422" i="2"/>
  <c r="D423" i="2"/>
  <c r="E423" i="2"/>
  <c r="F423" i="2"/>
  <c r="G423" i="2"/>
  <c r="H423" i="2"/>
  <c r="I423" i="2"/>
  <c r="J423" i="2"/>
  <c r="K423" i="2"/>
  <c r="D424" i="2"/>
  <c r="E424" i="2"/>
  <c r="F424" i="2"/>
  <c r="G424" i="2"/>
  <c r="H424" i="2"/>
  <c r="I424" i="2"/>
  <c r="J424" i="2"/>
  <c r="K424" i="2"/>
  <c r="D425" i="2"/>
  <c r="E425" i="2"/>
  <c r="F425" i="2"/>
  <c r="G425" i="2"/>
  <c r="H425" i="2"/>
  <c r="I425" i="2"/>
  <c r="J425" i="2"/>
  <c r="K425" i="2"/>
  <c r="D426" i="2"/>
  <c r="E426" i="2"/>
  <c r="F426" i="2"/>
  <c r="G426" i="2"/>
  <c r="H426" i="2"/>
  <c r="I426" i="2"/>
  <c r="J426" i="2"/>
  <c r="K426" i="2"/>
  <c r="D427" i="2"/>
  <c r="E427" i="2"/>
  <c r="F427" i="2"/>
  <c r="G427" i="2"/>
  <c r="H427" i="2"/>
  <c r="I427" i="2"/>
  <c r="J427" i="2"/>
  <c r="K427" i="2"/>
  <c r="D428" i="2"/>
  <c r="E428" i="2"/>
  <c r="F428" i="2"/>
  <c r="G428" i="2"/>
  <c r="H428" i="2"/>
  <c r="I428" i="2"/>
  <c r="J428" i="2"/>
  <c r="K428" i="2"/>
  <c r="D429" i="2"/>
  <c r="E429" i="2"/>
  <c r="F429" i="2"/>
  <c r="G429" i="2"/>
  <c r="H429" i="2"/>
  <c r="I429" i="2"/>
  <c r="J429" i="2"/>
  <c r="K429" i="2"/>
  <c r="D430" i="2"/>
  <c r="E430" i="2"/>
  <c r="F430" i="2"/>
  <c r="G430" i="2"/>
  <c r="H430" i="2"/>
  <c r="I430" i="2"/>
  <c r="J430" i="2"/>
  <c r="K430" i="2"/>
  <c r="D431" i="2"/>
  <c r="E431" i="2"/>
  <c r="F431" i="2"/>
  <c r="G431" i="2"/>
  <c r="H431" i="2"/>
  <c r="I431" i="2"/>
  <c r="J431" i="2"/>
  <c r="K431" i="2"/>
  <c r="D432" i="2"/>
  <c r="E432" i="2"/>
  <c r="F432" i="2"/>
  <c r="G432" i="2"/>
  <c r="H432" i="2"/>
  <c r="I432" i="2"/>
  <c r="J432" i="2"/>
  <c r="K432" i="2"/>
  <c r="D433" i="2"/>
  <c r="E433" i="2"/>
  <c r="F433" i="2"/>
  <c r="G433" i="2"/>
  <c r="H433" i="2"/>
  <c r="I433" i="2"/>
  <c r="J433" i="2"/>
  <c r="K433" i="2"/>
  <c r="D434" i="2"/>
  <c r="E434" i="2"/>
  <c r="F434" i="2"/>
  <c r="G434" i="2"/>
  <c r="H434" i="2"/>
  <c r="I434" i="2"/>
  <c r="J434" i="2"/>
  <c r="K434" i="2"/>
  <c r="D435" i="2"/>
  <c r="E435" i="2"/>
  <c r="F435" i="2"/>
  <c r="G435" i="2"/>
  <c r="H435" i="2"/>
  <c r="I435" i="2"/>
  <c r="J435" i="2"/>
  <c r="K435" i="2"/>
  <c r="D436" i="2"/>
  <c r="E436" i="2"/>
  <c r="F436" i="2"/>
  <c r="G436" i="2"/>
  <c r="H436" i="2"/>
  <c r="I436" i="2"/>
  <c r="J436" i="2"/>
  <c r="K436" i="2"/>
  <c r="D437" i="2"/>
  <c r="E437" i="2"/>
  <c r="F437" i="2"/>
  <c r="G437" i="2"/>
  <c r="H437" i="2"/>
  <c r="I437" i="2"/>
  <c r="J437" i="2"/>
  <c r="K437" i="2"/>
  <c r="D438" i="2"/>
  <c r="E438" i="2"/>
  <c r="F438" i="2"/>
  <c r="G438" i="2"/>
  <c r="H438" i="2"/>
  <c r="I438" i="2"/>
  <c r="J438" i="2"/>
  <c r="K438" i="2"/>
  <c r="D439" i="2"/>
  <c r="E439" i="2"/>
  <c r="F439" i="2"/>
  <c r="G439" i="2"/>
  <c r="H439" i="2"/>
  <c r="I439" i="2"/>
  <c r="J439" i="2"/>
  <c r="K439" i="2"/>
  <c r="D440" i="2"/>
  <c r="E440" i="2"/>
  <c r="F440" i="2"/>
  <c r="G440" i="2"/>
  <c r="H440" i="2"/>
  <c r="I440" i="2"/>
  <c r="J440" i="2"/>
  <c r="K440" i="2"/>
  <c r="D441" i="2"/>
  <c r="E441" i="2"/>
  <c r="F441" i="2"/>
  <c r="G441" i="2"/>
  <c r="H441" i="2"/>
  <c r="I441" i="2"/>
  <c r="J441" i="2"/>
  <c r="K441" i="2"/>
  <c r="D442" i="2"/>
  <c r="E442" i="2"/>
  <c r="F442" i="2"/>
  <c r="G442" i="2"/>
  <c r="H442" i="2"/>
  <c r="I442" i="2"/>
  <c r="J442" i="2"/>
  <c r="K442" i="2"/>
  <c r="D443" i="2"/>
  <c r="E443" i="2"/>
  <c r="F443" i="2"/>
  <c r="G443" i="2"/>
  <c r="H443" i="2"/>
  <c r="I443" i="2"/>
  <c r="J443" i="2"/>
  <c r="K443" i="2"/>
  <c r="D444" i="2"/>
  <c r="E444" i="2"/>
  <c r="F444" i="2"/>
  <c r="G444" i="2"/>
  <c r="H444" i="2"/>
  <c r="I444" i="2"/>
  <c r="J444" i="2"/>
  <c r="K444" i="2"/>
  <c r="D445" i="2"/>
  <c r="E445" i="2"/>
  <c r="F445" i="2"/>
  <c r="G445" i="2"/>
  <c r="H445" i="2"/>
  <c r="I445" i="2"/>
  <c r="J445" i="2"/>
  <c r="K445" i="2"/>
  <c r="D446" i="2"/>
  <c r="E446" i="2"/>
  <c r="F446" i="2"/>
  <c r="G446" i="2"/>
  <c r="H446" i="2"/>
  <c r="I446" i="2"/>
  <c r="J446" i="2"/>
  <c r="K446" i="2"/>
  <c r="D447" i="2"/>
  <c r="E447" i="2"/>
  <c r="F447" i="2"/>
  <c r="G447" i="2"/>
  <c r="H447" i="2"/>
  <c r="I447" i="2"/>
  <c r="J447" i="2"/>
  <c r="K447" i="2"/>
  <c r="D448" i="2"/>
  <c r="E448" i="2"/>
  <c r="F448" i="2"/>
  <c r="G448" i="2"/>
  <c r="H448" i="2"/>
  <c r="I448" i="2"/>
  <c r="J448" i="2"/>
  <c r="K448" i="2"/>
  <c r="D449" i="2"/>
  <c r="E449" i="2"/>
  <c r="F449" i="2"/>
  <c r="G449" i="2"/>
  <c r="H449" i="2"/>
  <c r="I449" i="2"/>
  <c r="J449" i="2"/>
  <c r="K449" i="2"/>
  <c r="D450" i="2"/>
  <c r="E450" i="2"/>
  <c r="F450" i="2"/>
  <c r="G450" i="2"/>
  <c r="H450" i="2"/>
  <c r="I450" i="2"/>
  <c r="J450" i="2"/>
  <c r="K450" i="2"/>
  <c r="D451" i="2"/>
  <c r="E451" i="2"/>
  <c r="F451" i="2"/>
  <c r="G451" i="2"/>
  <c r="H451" i="2"/>
  <c r="I451" i="2"/>
  <c r="J451" i="2"/>
  <c r="K451" i="2"/>
  <c r="D452" i="2"/>
  <c r="E452" i="2"/>
  <c r="F452" i="2"/>
  <c r="G452" i="2"/>
  <c r="H452" i="2"/>
  <c r="I452" i="2"/>
  <c r="J452" i="2"/>
  <c r="K452" i="2"/>
  <c r="D453" i="2"/>
  <c r="E453" i="2"/>
  <c r="F453" i="2"/>
  <c r="G453" i="2"/>
  <c r="H453" i="2"/>
  <c r="I453" i="2"/>
  <c r="J453" i="2"/>
  <c r="K453" i="2"/>
  <c r="D454" i="2"/>
  <c r="E454" i="2"/>
  <c r="F454" i="2"/>
  <c r="G454" i="2"/>
  <c r="H454" i="2"/>
  <c r="I454" i="2"/>
  <c r="J454" i="2"/>
  <c r="K454" i="2"/>
  <c r="D455" i="2"/>
  <c r="E455" i="2"/>
  <c r="F455" i="2"/>
  <c r="G455" i="2"/>
  <c r="H455" i="2"/>
  <c r="I455" i="2"/>
  <c r="J455" i="2"/>
  <c r="K455" i="2"/>
  <c r="D456" i="2"/>
  <c r="E456" i="2"/>
  <c r="F456" i="2"/>
  <c r="G456" i="2"/>
  <c r="H456" i="2"/>
  <c r="I456" i="2"/>
  <c r="J456" i="2"/>
  <c r="K456" i="2"/>
  <c r="D457" i="2"/>
  <c r="E457" i="2"/>
  <c r="F457" i="2"/>
  <c r="G457" i="2"/>
  <c r="H457" i="2"/>
  <c r="I457" i="2"/>
  <c r="J457" i="2"/>
  <c r="K457" i="2"/>
  <c r="D458" i="2"/>
  <c r="E458" i="2"/>
  <c r="F458" i="2"/>
  <c r="G458" i="2"/>
  <c r="H458" i="2"/>
  <c r="I458" i="2"/>
  <c r="J458" i="2"/>
  <c r="K458" i="2"/>
  <c r="D459" i="2"/>
  <c r="E459" i="2"/>
  <c r="F459" i="2"/>
  <c r="G459" i="2"/>
  <c r="H459" i="2"/>
  <c r="I459" i="2"/>
  <c r="J459" i="2"/>
  <c r="K459" i="2"/>
  <c r="D460" i="2"/>
  <c r="E460" i="2"/>
  <c r="F460" i="2"/>
  <c r="G460" i="2"/>
  <c r="H460" i="2"/>
  <c r="I460" i="2"/>
  <c r="J460" i="2"/>
  <c r="K460" i="2"/>
  <c r="D461" i="2"/>
  <c r="E461" i="2"/>
  <c r="F461" i="2"/>
  <c r="G461" i="2"/>
  <c r="H461" i="2"/>
  <c r="I461" i="2"/>
  <c r="J461" i="2"/>
  <c r="K461" i="2"/>
  <c r="D462" i="2"/>
  <c r="E462" i="2"/>
  <c r="F462" i="2"/>
  <c r="G462" i="2"/>
  <c r="H462" i="2"/>
  <c r="I462" i="2"/>
  <c r="J462" i="2"/>
  <c r="K462" i="2"/>
  <c r="D463" i="2"/>
  <c r="E463" i="2"/>
  <c r="F463" i="2"/>
  <c r="G463" i="2"/>
  <c r="H463" i="2"/>
  <c r="I463" i="2"/>
  <c r="J463" i="2"/>
  <c r="K463" i="2"/>
  <c r="D464" i="2"/>
  <c r="E464" i="2"/>
  <c r="F464" i="2"/>
  <c r="G464" i="2"/>
  <c r="H464" i="2"/>
  <c r="I464" i="2"/>
  <c r="J464" i="2"/>
  <c r="K464" i="2"/>
  <c r="D465" i="2"/>
  <c r="E465" i="2"/>
  <c r="F465" i="2"/>
  <c r="G465" i="2"/>
  <c r="H465" i="2"/>
  <c r="I465" i="2"/>
  <c r="J465" i="2"/>
  <c r="K465" i="2"/>
  <c r="D466" i="2"/>
  <c r="E466" i="2"/>
  <c r="F466" i="2"/>
  <c r="G466" i="2"/>
  <c r="H466" i="2"/>
  <c r="I466" i="2"/>
  <c r="J466" i="2"/>
  <c r="K466" i="2"/>
  <c r="D467" i="2"/>
  <c r="E467" i="2"/>
  <c r="F467" i="2"/>
  <c r="G467" i="2"/>
  <c r="H467" i="2"/>
  <c r="I467" i="2"/>
  <c r="J467" i="2"/>
  <c r="K467" i="2"/>
  <c r="D468" i="2"/>
  <c r="E468" i="2"/>
  <c r="F468" i="2"/>
  <c r="G468" i="2"/>
  <c r="H468" i="2"/>
  <c r="I468" i="2"/>
  <c r="J468" i="2"/>
  <c r="K468" i="2"/>
  <c r="D469" i="2"/>
  <c r="E469" i="2"/>
  <c r="F469" i="2"/>
  <c r="G469" i="2"/>
  <c r="H469" i="2"/>
  <c r="I469" i="2"/>
  <c r="J469" i="2"/>
  <c r="K469" i="2"/>
  <c r="D470" i="2"/>
  <c r="E470" i="2"/>
  <c r="F470" i="2"/>
  <c r="G470" i="2"/>
  <c r="H470" i="2"/>
  <c r="I470" i="2"/>
  <c r="J470" i="2"/>
  <c r="K470" i="2"/>
  <c r="D471" i="2"/>
  <c r="E471" i="2"/>
  <c r="F471" i="2"/>
  <c r="G471" i="2"/>
  <c r="H471" i="2"/>
  <c r="I471" i="2"/>
  <c r="J471" i="2"/>
  <c r="K471" i="2"/>
  <c r="D472" i="2"/>
  <c r="E472" i="2"/>
  <c r="F472" i="2"/>
  <c r="G472" i="2"/>
  <c r="H472" i="2"/>
  <c r="I472" i="2"/>
  <c r="J472" i="2"/>
  <c r="K472" i="2"/>
  <c r="D473" i="2"/>
  <c r="E473" i="2"/>
  <c r="F473" i="2"/>
  <c r="G473" i="2"/>
  <c r="H473" i="2"/>
  <c r="I473" i="2"/>
  <c r="J473" i="2"/>
  <c r="K473" i="2"/>
  <c r="D474" i="2"/>
  <c r="E474" i="2"/>
  <c r="F474" i="2"/>
  <c r="G474" i="2"/>
  <c r="H474" i="2"/>
  <c r="I474" i="2"/>
  <c r="J474" i="2"/>
  <c r="K474" i="2"/>
  <c r="D475" i="2"/>
  <c r="E475" i="2"/>
  <c r="F475" i="2"/>
  <c r="G475" i="2"/>
  <c r="H475" i="2"/>
  <c r="I475" i="2"/>
  <c r="J475" i="2"/>
  <c r="K475" i="2"/>
  <c r="D476" i="2"/>
  <c r="E476" i="2"/>
  <c r="F476" i="2"/>
  <c r="G476" i="2"/>
  <c r="H476" i="2"/>
  <c r="I476" i="2"/>
  <c r="J476" i="2"/>
  <c r="K476" i="2"/>
  <c r="D477" i="2"/>
  <c r="E477" i="2"/>
  <c r="F477" i="2"/>
  <c r="G477" i="2"/>
  <c r="H477" i="2"/>
  <c r="I477" i="2"/>
  <c r="J477" i="2"/>
  <c r="K477" i="2"/>
  <c r="D478" i="2"/>
  <c r="E478" i="2"/>
  <c r="F478" i="2"/>
  <c r="G478" i="2"/>
  <c r="H478" i="2"/>
  <c r="I478" i="2"/>
  <c r="J478" i="2"/>
  <c r="K478" i="2"/>
  <c r="D479" i="2"/>
  <c r="E479" i="2"/>
  <c r="F479" i="2"/>
  <c r="G479" i="2"/>
  <c r="H479" i="2"/>
  <c r="I479" i="2"/>
  <c r="J479" i="2"/>
  <c r="K479" i="2"/>
  <c r="D480" i="2"/>
  <c r="E480" i="2"/>
  <c r="F480" i="2"/>
  <c r="G480" i="2"/>
  <c r="H480" i="2"/>
  <c r="I480" i="2"/>
  <c r="J480" i="2"/>
  <c r="K480" i="2"/>
  <c r="D481" i="2"/>
  <c r="E481" i="2"/>
  <c r="F481" i="2"/>
  <c r="G481" i="2"/>
  <c r="H481" i="2"/>
  <c r="I481" i="2"/>
  <c r="J481" i="2"/>
  <c r="K481" i="2"/>
  <c r="D482" i="2"/>
  <c r="E482" i="2"/>
  <c r="F482" i="2"/>
  <c r="G482" i="2"/>
  <c r="H482" i="2"/>
  <c r="I482" i="2"/>
  <c r="J482" i="2"/>
  <c r="K482" i="2"/>
  <c r="D483" i="2"/>
  <c r="E483" i="2"/>
  <c r="F483" i="2"/>
  <c r="G483" i="2"/>
  <c r="H483" i="2"/>
  <c r="I483" i="2"/>
  <c r="J483" i="2"/>
  <c r="K483" i="2"/>
  <c r="D484" i="2"/>
  <c r="E484" i="2"/>
  <c r="F484" i="2"/>
  <c r="G484" i="2"/>
  <c r="H484" i="2"/>
  <c r="I484" i="2"/>
  <c r="J484" i="2"/>
  <c r="K484" i="2"/>
  <c r="D485" i="2"/>
  <c r="E485" i="2"/>
  <c r="F485" i="2"/>
  <c r="G485" i="2"/>
  <c r="H485" i="2"/>
  <c r="I485" i="2"/>
  <c r="J485" i="2"/>
  <c r="K485" i="2"/>
  <c r="D486" i="2"/>
  <c r="E486" i="2"/>
  <c r="F486" i="2"/>
  <c r="G486" i="2"/>
  <c r="H486" i="2"/>
  <c r="I486" i="2"/>
  <c r="J486" i="2"/>
  <c r="K486" i="2"/>
  <c r="D487" i="2"/>
  <c r="E487" i="2"/>
  <c r="F487" i="2"/>
  <c r="G487" i="2"/>
  <c r="H487" i="2"/>
  <c r="I487" i="2"/>
  <c r="J487" i="2"/>
  <c r="K487" i="2"/>
  <c r="D488" i="2"/>
  <c r="E488" i="2"/>
  <c r="F488" i="2"/>
  <c r="G488" i="2"/>
  <c r="H488" i="2"/>
  <c r="I488" i="2"/>
  <c r="J488" i="2"/>
  <c r="K488" i="2"/>
  <c r="D489" i="2"/>
  <c r="E489" i="2"/>
  <c r="F489" i="2"/>
  <c r="G489" i="2"/>
  <c r="H489" i="2"/>
  <c r="I489" i="2"/>
  <c r="J489" i="2"/>
  <c r="K489" i="2"/>
  <c r="D490" i="2"/>
  <c r="E490" i="2"/>
  <c r="F490" i="2"/>
  <c r="G490" i="2"/>
  <c r="H490" i="2"/>
  <c r="I490" i="2"/>
  <c r="J490" i="2"/>
  <c r="K490" i="2"/>
  <c r="D491" i="2"/>
  <c r="E491" i="2"/>
  <c r="F491" i="2"/>
  <c r="G491" i="2"/>
  <c r="H491" i="2"/>
  <c r="I491" i="2"/>
  <c r="J491" i="2"/>
  <c r="K491" i="2"/>
  <c r="D492" i="2"/>
  <c r="E492" i="2"/>
  <c r="F492" i="2"/>
  <c r="G492" i="2"/>
  <c r="H492" i="2"/>
  <c r="I492" i="2"/>
  <c r="J492" i="2"/>
  <c r="K492" i="2"/>
  <c r="D493" i="2"/>
  <c r="E493" i="2"/>
  <c r="F493" i="2"/>
  <c r="G493" i="2"/>
  <c r="H493" i="2"/>
  <c r="I493" i="2"/>
  <c r="J493" i="2"/>
  <c r="K493" i="2"/>
  <c r="D494" i="2"/>
  <c r="E494" i="2"/>
  <c r="F494" i="2"/>
  <c r="G494" i="2"/>
  <c r="H494" i="2"/>
  <c r="I494" i="2"/>
  <c r="J494" i="2"/>
  <c r="K494" i="2"/>
  <c r="D495" i="2"/>
  <c r="E495" i="2"/>
  <c r="F495" i="2"/>
  <c r="G495" i="2"/>
  <c r="H495" i="2"/>
  <c r="I495" i="2"/>
  <c r="J495" i="2"/>
  <c r="K495" i="2"/>
  <c r="D496" i="2"/>
  <c r="E496" i="2"/>
  <c r="F496" i="2"/>
  <c r="G496" i="2"/>
  <c r="H496" i="2"/>
  <c r="I496" i="2"/>
  <c r="J496" i="2"/>
  <c r="K496" i="2"/>
  <c r="D497" i="2"/>
  <c r="E497" i="2"/>
  <c r="F497" i="2"/>
  <c r="G497" i="2"/>
  <c r="H497" i="2"/>
  <c r="I497" i="2"/>
  <c r="J497" i="2"/>
  <c r="K497" i="2"/>
  <c r="D498" i="2"/>
  <c r="E498" i="2"/>
  <c r="F498" i="2"/>
  <c r="G498" i="2"/>
  <c r="H498" i="2"/>
  <c r="I498" i="2"/>
  <c r="J498" i="2"/>
  <c r="K498" i="2"/>
  <c r="D499" i="2"/>
  <c r="E499" i="2"/>
  <c r="F499" i="2"/>
  <c r="G499" i="2"/>
  <c r="H499" i="2"/>
  <c r="I499" i="2"/>
  <c r="J499" i="2"/>
  <c r="K499" i="2"/>
  <c r="D500" i="2"/>
  <c r="E500" i="2"/>
  <c r="F500" i="2"/>
  <c r="G500" i="2"/>
  <c r="H500" i="2"/>
  <c r="I500" i="2"/>
  <c r="J500" i="2"/>
  <c r="K500" i="2"/>
  <c r="D501" i="2"/>
  <c r="E501" i="2"/>
  <c r="F501" i="2"/>
  <c r="G501" i="2"/>
  <c r="H501" i="2"/>
  <c r="I501" i="2"/>
  <c r="J501" i="2"/>
  <c r="K501" i="2"/>
  <c r="D502" i="2"/>
  <c r="E502" i="2"/>
  <c r="F502" i="2"/>
  <c r="G502" i="2"/>
  <c r="H502" i="2"/>
  <c r="I502" i="2"/>
  <c r="J502" i="2"/>
  <c r="K502" i="2"/>
  <c r="D503" i="2"/>
  <c r="E503" i="2"/>
  <c r="F503" i="2"/>
  <c r="G503" i="2"/>
  <c r="H503" i="2"/>
  <c r="I503" i="2"/>
  <c r="J503" i="2"/>
  <c r="K503" i="2"/>
  <c r="D504" i="2"/>
  <c r="E504" i="2"/>
  <c r="F504" i="2"/>
  <c r="G504" i="2"/>
  <c r="H504" i="2"/>
  <c r="I504" i="2"/>
  <c r="J504" i="2"/>
  <c r="K504" i="2"/>
  <c r="D505" i="2"/>
  <c r="E505" i="2"/>
  <c r="F505" i="2"/>
  <c r="G505" i="2"/>
  <c r="H505" i="2"/>
  <c r="I505" i="2"/>
  <c r="J505" i="2"/>
  <c r="K505" i="2"/>
  <c r="D506" i="2"/>
  <c r="E506" i="2"/>
  <c r="F506" i="2"/>
  <c r="G506" i="2"/>
  <c r="H506" i="2"/>
  <c r="I506" i="2"/>
  <c r="J506" i="2"/>
  <c r="K506" i="2"/>
  <c r="D507" i="2"/>
  <c r="E507" i="2"/>
  <c r="F507" i="2"/>
  <c r="G507" i="2"/>
  <c r="H507" i="2"/>
  <c r="I507" i="2"/>
  <c r="J507" i="2"/>
  <c r="K507" i="2"/>
  <c r="D508" i="2"/>
  <c r="E508" i="2"/>
  <c r="F508" i="2"/>
  <c r="G508" i="2"/>
  <c r="H508" i="2"/>
  <c r="I508" i="2"/>
  <c r="J508" i="2"/>
  <c r="K508" i="2"/>
  <c r="D509" i="2"/>
  <c r="E509" i="2"/>
  <c r="F509" i="2"/>
  <c r="G509" i="2"/>
  <c r="H509" i="2"/>
  <c r="I509" i="2"/>
  <c r="J509" i="2"/>
  <c r="K509" i="2"/>
  <c r="D510" i="2"/>
  <c r="E510" i="2"/>
  <c r="F510" i="2"/>
  <c r="G510" i="2"/>
  <c r="H510" i="2"/>
  <c r="I510" i="2"/>
  <c r="J510" i="2"/>
  <c r="K510" i="2"/>
  <c r="D511" i="2"/>
  <c r="E511" i="2"/>
  <c r="F511" i="2"/>
  <c r="G511" i="2"/>
  <c r="H511" i="2"/>
  <c r="I511" i="2"/>
  <c r="J511" i="2"/>
  <c r="K511" i="2"/>
  <c r="D512" i="2"/>
  <c r="E512" i="2"/>
  <c r="F512" i="2"/>
  <c r="G512" i="2"/>
  <c r="H512" i="2"/>
  <c r="I512" i="2"/>
  <c r="J512" i="2"/>
  <c r="K512" i="2"/>
  <c r="D513" i="2"/>
  <c r="E513" i="2"/>
  <c r="F513" i="2"/>
  <c r="G513" i="2"/>
  <c r="H513" i="2"/>
  <c r="I513" i="2"/>
  <c r="J513" i="2"/>
  <c r="K513" i="2"/>
  <c r="D514" i="2"/>
  <c r="E514" i="2"/>
  <c r="F514" i="2"/>
  <c r="G514" i="2"/>
  <c r="H514" i="2"/>
  <c r="I514" i="2"/>
  <c r="J514" i="2"/>
  <c r="K514" i="2"/>
  <c r="D515" i="2"/>
  <c r="E515" i="2"/>
  <c r="F515" i="2"/>
  <c r="G515" i="2"/>
  <c r="H515" i="2"/>
  <c r="I515" i="2"/>
  <c r="J515" i="2"/>
  <c r="K515" i="2"/>
  <c r="D516" i="2"/>
  <c r="E516" i="2"/>
  <c r="F516" i="2"/>
  <c r="G516" i="2"/>
  <c r="H516" i="2"/>
  <c r="I516" i="2"/>
  <c r="J516" i="2"/>
  <c r="K516" i="2"/>
  <c r="D517" i="2"/>
  <c r="E517" i="2"/>
  <c r="F517" i="2"/>
  <c r="G517" i="2"/>
  <c r="H517" i="2"/>
  <c r="I517" i="2"/>
  <c r="J517" i="2"/>
  <c r="K517" i="2"/>
  <c r="D518" i="2"/>
  <c r="E518" i="2"/>
  <c r="F518" i="2"/>
  <c r="G518" i="2"/>
  <c r="H518" i="2"/>
  <c r="I518" i="2"/>
  <c r="J518" i="2"/>
  <c r="K518" i="2"/>
  <c r="D519" i="2"/>
  <c r="E519" i="2"/>
  <c r="F519" i="2"/>
  <c r="G519" i="2"/>
  <c r="H519" i="2"/>
  <c r="I519" i="2"/>
  <c r="J519" i="2"/>
  <c r="K519" i="2"/>
  <c r="D520" i="2"/>
  <c r="E520" i="2"/>
  <c r="F520" i="2"/>
  <c r="G520" i="2"/>
  <c r="H520" i="2"/>
  <c r="I520" i="2"/>
  <c r="J520" i="2"/>
  <c r="K520" i="2"/>
  <c r="D521" i="2"/>
  <c r="E521" i="2"/>
  <c r="F521" i="2"/>
  <c r="G521" i="2"/>
  <c r="H521" i="2"/>
  <c r="I521" i="2"/>
  <c r="J521" i="2"/>
  <c r="K521" i="2"/>
  <c r="D522" i="2"/>
  <c r="E522" i="2"/>
  <c r="F522" i="2"/>
  <c r="G522" i="2"/>
  <c r="H522" i="2"/>
  <c r="I522" i="2"/>
  <c r="J522" i="2"/>
  <c r="K522" i="2"/>
  <c r="D523" i="2"/>
  <c r="E523" i="2"/>
  <c r="F523" i="2"/>
  <c r="G523" i="2"/>
  <c r="H523" i="2"/>
  <c r="I523" i="2"/>
  <c r="J523" i="2"/>
  <c r="K523" i="2"/>
  <c r="D524" i="2"/>
  <c r="E524" i="2"/>
  <c r="F524" i="2"/>
  <c r="G524" i="2"/>
  <c r="H524" i="2"/>
  <c r="I524" i="2"/>
  <c r="J524" i="2"/>
  <c r="K524" i="2"/>
  <c r="D525" i="2"/>
  <c r="E525" i="2"/>
  <c r="F525" i="2"/>
  <c r="G525" i="2"/>
  <c r="H525" i="2"/>
  <c r="I525" i="2"/>
  <c r="J525" i="2"/>
  <c r="K525" i="2"/>
  <c r="D526" i="2"/>
  <c r="E526" i="2"/>
  <c r="F526" i="2"/>
  <c r="G526" i="2"/>
  <c r="H526" i="2"/>
  <c r="I526" i="2"/>
  <c r="J526" i="2"/>
  <c r="K526" i="2"/>
  <c r="D527" i="2"/>
  <c r="E527" i="2"/>
  <c r="F527" i="2"/>
  <c r="G527" i="2"/>
  <c r="H527" i="2"/>
  <c r="I527" i="2"/>
  <c r="J527" i="2"/>
  <c r="K527" i="2"/>
  <c r="D528" i="2"/>
  <c r="E528" i="2"/>
  <c r="F528" i="2"/>
  <c r="G528" i="2"/>
  <c r="H528" i="2"/>
  <c r="I528" i="2"/>
  <c r="J528" i="2"/>
  <c r="K528" i="2"/>
  <c r="D529" i="2"/>
  <c r="E529" i="2"/>
  <c r="F529" i="2"/>
  <c r="G529" i="2"/>
  <c r="H529" i="2"/>
  <c r="I529" i="2"/>
  <c r="J529" i="2"/>
  <c r="K529" i="2"/>
  <c r="D530" i="2"/>
  <c r="E530" i="2"/>
  <c r="F530" i="2"/>
  <c r="G530" i="2"/>
  <c r="H530" i="2"/>
  <c r="I530" i="2"/>
  <c r="J530" i="2"/>
  <c r="K530" i="2"/>
  <c r="D531" i="2"/>
  <c r="E531" i="2"/>
  <c r="F531" i="2"/>
  <c r="G531" i="2"/>
  <c r="H531" i="2"/>
  <c r="I531" i="2"/>
  <c r="J531" i="2"/>
  <c r="K531" i="2"/>
  <c r="D532" i="2"/>
  <c r="E532" i="2"/>
  <c r="F532" i="2"/>
  <c r="G532" i="2"/>
  <c r="H532" i="2"/>
  <c r="I532" i="2"/>
  <c r="J532" i="2"/>
  <c r="K532" i="2"/>
  <c r="D533" i="2"/>
  <c r="E533" i="2"/>
  <c r="F533" i="2"/>
  <c r="G533" i="2"/>
  <c r="H533" i="2"/>
  <c r="I533" i="2"/>
  <c r="J533" i="2"/>
  <c r="K533" i="2"/>
  <c r="D534" i="2"/>
  <c r="E534" i="2"/>
  <c r="F534" i="2"/>
  <c r="G534" i="2"/>
  <c r="H534" i="2"/>
  <c r="I534" i="2"/>
  <c r="J534" i="2"/>
  <c r="K534" i="2"/>
  <c r="D535" i="2"/>
  <c r="E535" i="2"/>
  <c r="F535" i="2"/>
  <c r="G535" i="2"/>
  <c r="H535" i="2"/>
  <c r="I535" i="2"/>
  <c r="J535" i="2"/>
  <c r="K535" i="2"/>
  <c r="D536" i="2"/>
  <c r="E536" i="2"/>
  <c r="F536" i="2"/>
  <c r="G536" i="2"/>
  <c r="H536" i="2"/>
  <c r="I536" i="2"/>
  <c r="J536" i="2"/>
  <c r="K536" i="2"/>
  <c r="D537" i="2"/>
  <c r="E537" i="2"/>
  <c r="F537" i="2"/>
  <c r="G537" i="2"/>
  <c r="H537" i="2"/>
  <c r="I537" i="2"/>
  <c r="J537" i="2"/>
  <c r="K537" i="2"/>
  <c r="D538" i="2"/>
  <c r="E538" i="2"/>
  <c r="F538" i="2"/>
  <c r="G538" i="2"/>
  <c r="H538" i="2"/>
  <c r="I538" i="2"/>
  <c r="J538" i="2"/>
  <c r="K538" i="2"/>
  <c r="D539" i="2"/>
  <c r="E539" i="2"/>
  <c r="F539" i="2"/>
  <c r="G539" i="2"/>
  <c r="H539" i="2"/>
  <c r="I539" i="2"/>
  <c r="J539" i="2"/>
  <c r="K539" i="2"/>
  <c r="D540" i="2"/>
  <c r="E540" i="2"/>
  <c r="F540" i="2"/>
  <c r="G540" i="2"/>
  <c r="H540" i="2"/>
  <c r="I540" i="2"/>
  <c r="J540" i="2"/>
  <c r="K540" i="2"/>
  <c r="D541" i="2"/>
  <c r="E541" i="2"/>
  <c r="F541" i="2"/>
  <c r="G541" i="2"/>
  <c r="H541" i="2"/>
  <c r="I541" i="2"/>
  <c r="J541" i="2"/>
  <c r="K541" i="2"/>
  <c r="D542" i="2"/>
  <c r="E542" i="2"/>
  <c r="F542" i="2"/>
  <c r="G542" i="2"/>
  <c r="H542" i="2"/>
  <c r="I542" i="2"/>
  <c r="J542" i="2"/>
  <c r="K542" i="2"/>
  <c r="D543" i="2"/>
  <c r="E543" i="2"/>
  <c r="F543" i="2"/>
  <c r="G543" i="2"/>
  <c r="H543" i="2"/>
  <c r="I543" i="2"/>
  <c r="J543" i="2"/>
  <c r="K543" i="2"/>
  <c r="D544" i="2"/>
  <c r="E544" i="2"/>
  <c r="F544" i="2"/>
  <c r="G544" i="2"/>
  <c r="H544" i="2"/>
  <c r="I544" i="2"/>
  <c r="J544" i="2"/>
  <c r="K544" i="2"/>
  <c r="D545" i="2"/>
  <c r="E545" i="2"/>
  <c r="F545" i="2"/>
  <c r="G545" i="2"/>
  <c r="H545" i="2"/>
  <c r="I545" i="2"/>
  <c r="J545" i="2"/>
  <c r="K545" i="2"/>
  <c r="D546" i="2"/>
  <c r="E546" i="2"/>
  <c r="F546" i="2"/>
  <c r="G546" i="2"/>
  <c r="H546" i="2"/>
  <c r="I546" i="2"/>
  <c r="J546" i="2"/>
  <c r="K546" i="2"/>
  <c r="D547" i="2"/>
  <c r="E547" i="2"/>
  <c r="F547" i="2"/>
  <c r="G547" i="2"/>
  <c r="H547" i="2"/>
  <c r="I547" i="2"/>
  <c r="J547" i="2"/>
  <c r="K547" i="2"/>
  <c r="D548" i="2"/>
  <c r="E548" i="2"/>
  <c r="F548" i="2"/>
  <c r="G548" i="2"/>
  <c r="H548" i="2"/>
  <c r="I548" i="2"/>
  <c r="J548" i="2"/>
  <c r="K548" i="2"/>
  <c r="D549" i="2"/>
  <c r="E549" i="2"/>
  <c r="F549" i="2"/>
  <c r="G549" i="2"/>
  <c r="H549" i="2"/>
  <c r="I549" i="2"/>
  <c r="J549" i="2"/>
  <c r="K549" i="2"/>
  <c r="D550" i="2"/>
  <c r="E550" i="2"/>
  <c r="F550" i="2"/>
  <c r="G550" i="2"/>
  <c r="H550" i="2"/>
  <c r="I550" i="2"/>
  <c r="J550" i="2"/>
  <c r="K550" i="2"/>
  <c r="D551" i="2"/>
  <c r="E551" i="2"/>
  <c r="F551" i="2"/>
  <c r="G551" i="2"/>
  <c r="H551" i="2"/>
  <c r="I551" i="2"/>
  <c r="J551" i="2"/>
  <c r="K551" i="2"/>
  <c r="D552" i="2"/>
  <c r="E552" i="2"/>
  <c r="F552" i="2"/>
  <c r="G552" i="2"/>
  <c r="H552" i="2"/>
  <c r="I552" i="2"/>
  <c r="J552" i="2"/>
  <c r="K552" i="2"/>
  <c r="D553" i="2"/>
  <c r="E553" i="2"/>
  <c r="F553" i="2"/>
  <c r="G553" i="2"/>
  <c r="H553" i="2"/>
  <c r="I553" i="2"/>
  <c r="J553" i="2"/>
  <c r="K553" i="2"/>
  <c r="D554" i="2"/>
  <c r="E554" i="2"/>
  <c r="F554" i="2"/>
  <c r="G554" i="2"/>
  <c r="H554" i="2"/>
  <c r="I554" i="2"/>
  <c r="J554" i="2"/>
  <c r="K554" i="2"/>
  <c r="D555" i="2"/>
  <c r="E555" i="2"/>
  <c r="F555" i="2"/>
  <c r="G555" i="2"/>
  <c r="H555" i="2"/>
  <c r="I555" i="2"/>
  <c r="J555" i="2"/>
  <c r="K555" i="2"/>
  <c r="D556" i="2"/>
  <c r="E556" i="2"/>
  <c r="F556" i="2"/>
  <c r="G556" i="2"/>
  <c r="H556" i="2"/>
  <c r="I556" i="2"/>
  <c r="J556" i="2"/>
  <c r="K556" i="2"/>
  <c r="D557" i="2"/>
  <c r="E557" i="2"/>
  <c r="F557" i="2"/>
  <c r="G557" i="2"/>
  <c r="H557" i="2"/>
  <c r="I557" i="2"/>
  <c r="J557" i="2"/>
  <c r="K557" i="2"/>
  <c r="D558" i="2"/>
  <c r="E558" i="2"/>
  <c r="F558" i="2"/>
  <c r="G558" i="2"/>
  <c r="H558" i="2"/>
  <c r="I558" i="2"/>
  <c r="J558" i="2"/>
  <c r="K558" i="2"/>
  <c r="D559" i="2"/>
  <c r="E559" i="2"/>
  <c r="F559" i="2"/>
  <c r="G559" i="2"/>
  <c r="H559" i="2"/>
  <c r="I559" i="2"/>
  <c r="J559" i="2"/>
  <c r="K559" i="2"/>
  <c r="D560" i="2"/>
  <c r="E560" i="2"/>
  <c r="F560" i="2"/>
  <c r="G560" i="2"/>
  <c r="H560" i="2"/>
  <c r="I560" i="2"/>
  <c r="J560" i="2"/>
  <c r="K560" i="2"/>
  <c r="D561" i="2"/>
  <c r="E561" i="2"/>
  <c r="F561" i="2"/>
  <c r="G561" i="2"/>
  <c r="H561" i="2"/>
  <c r="I561" i="2"/>
  <c r="J561" i="2"/>
  <c r="K561" i="2"/>
  <c r="D562" i="2"/>
  <c r="E562" i="2"/>
  <c r="F562" i="2"/>
  <c r="G562" i="2"/>
  <c r="H562" i="2"/>
  <c r="I562" i="2"/>
  <c r="J562" i="2"/>
  <c r="K562" i="2"/>
  <c r="D563" i="2"/>
  <c r="E563" i="2"/>
  <c r="F563" i="2"/>
  <c r="G563" i="2"/>
  <c r="H563" i="2"/>
  <c r="I563" i="2"/>
  <c r="J563" i="2"/>
  <c r="K563" i="2"/>
  <c r="D564" i="2"/>
  <c r="E564" i="2"/>
  <c r="F564" i="2"/>
  <c r="G564" i="2"/>
  <c r="H564" i="2"/>
  <c r="I564" i="2"/>
  <c r="J564" i="2"/>
  <c r="K564" i="2"/>
  <c r="D565" i="2"/>
  <c r="E565" i="2"/>
  <c r="F565" i="2"/>
  <c r="G565" i="2"/>
  <c r="H565" i="2"/>
  <c r="I565" i="2"/>
  <c r="J565" i="2"/>
  <c r="K565" i="2"/>
  <c r="D566" i="2"/>
  <c r="E566" i="2"/>
  <c r="F566" i="2"/>
  <c r="G566" i="2"/>
  <c r="H566" i="2"/>
  <c r="I566" i="2"/>
  <c r="J566" i="2"/>
  <c r="K566" i="2"/>
  <c r="D567" i="2"/>
  <c r="E567" i="2"/>
  <c r="F567" i="2"/>
  <c r="G567" i="2"/>
  <c r="H567" i="2"/>
  <c r="I567" i="2"/>
  <c r="J567" i="2"/>
  <c r="K567" i="2"/>
  <c r="D568" i="2"/>
  <c r="E568" i="2"/>
  <c r="F568" i="2"/>
  <c r="G568" i="2"/>
  <c r="H568" i="2"/>
  <c r="I568" i="2"/>
  <c r="J568" i="2"/>
  <c r="K568" i="2"/>
  <c r="D569" i="2"/>
  <c r="E569" i="2"/>
  <c r="F569" i="2"/>
  <c r="G569" i="2"/>
  <c r="H569" i="2"/>
  <c r="I569" i="2"/>
  <c r="J569" i="2"/>
  <c r="K569" i="2"/>
  <c r="D570" i="2"/>
  <c r="E570" i="2"/>
  <c r="F570" i="2"/>
  <c r="G570" i="2"/>
  <c r="H570" i="2"/>
  <c r="I570" i="2"/>
  <c r="J570" i="2"/>
  <c r="K570" i="2"/>
  <c r="D571" i="2"/>
  <c r="E571" i="2"/>
  <c r="F571" i="2"/>
  <c r="G571" i="2"/>
  <c r="H571" i="2"/>
  <c r="I571" i="2"/>
  <c r="J571" i="2"/>
  <c r="K571" i="2"/>
  <c r="D572" i="2"/>
  <c r="E572" i="2"/>
  <c r="F572" i="2"/>
  <c r="G572" i="2"/>
  <c r="H572" i="2"/>
  <c r="I572" i="2"/>
  <c r="J572" i="2"/>
  <c r="K572" i="2"/>
  <c r="D573" i="2"/>
  <c r="E573" i="2"/>
  <c r="F573" i="2"/>
  <c r="G573" i="2"/>
  <c r="H573" i="2"/>
  <c r="I573" i="2"/>
  <c r="J573" i="2"/>
  <c r="K573" i="2"/>
  <c r="D574" i="2"/>
  <c r="E574" i="2"/>
  <c r="F574" i="2"/>
  <c r="G574" i="2"/>
  <c r="H574" i="2"/>
  <c r="I574" i="2"/>
  <c r="J574" i="2"/>
  <c r="K574" i="2"/>
  <c r="D575" i="2"/>
  <c r="E575" i="2"/>
  <c r="F575" i="2"/>
  <c r="G575" i="2"/>
  <c r="H575" i="2"/>
  <c r="I575" i="2"/>
  <c r="J575" i="2"/>
  <c r="K575" i="2"/>
  <c r="D576" i="2"/>
  <c r="E576" i="2"/>
  <c r="F576" i="2"/>
  <c r="G576" i="2"/>
  <c r="H576" i="2"/>
  <c r="I576" i="2"/>
  <c r="J576" i="2"/>
  <c r="K576" i="2"/>
  <c r="D577" i="2"/>
  <c r="E577" i="2"/>
  <c r="F577" i="2"/>
  <c r="G577" i="2"/>
  <c r="H577" i="2"/>
  <c r="I577" i="2"/>
  <c r="J577" i="2"/>
  <c r="K577" i="2"/>
  <c r="D578" i="2"/>
  <c r="E578" i="2"/>
  <c r="F578" i="2"/>
  <c r="G578" i="2"/>
  <c r="H578" i="2"/>
  <c r="I578" i="2"/>
  <c r="J578" i="2"/>
  <c r="K578" i="2"/>
  <c r="D579" i="2"/>
  <c r="E579" i="2"/>
  <c r="F579" i="2"/>
  <c r="G579" i="2"/>
  <c r="H579" i="2"/>
  <c r="I579" i="2"/>
  <c r="J579" i="2"/>
  <c r="K579" i="2"/>
  <c r="D580" i="2"/>
  <c r="E580" i="2"/>
  <c r="F580" i="2"/>
  <c r="G580" i="2"/>
  <c r="H580" i="2"/>
  <c r="I580" i="2"/>
  <c r="J580" i="2"/>
  <c r="K580" i="2"/>
  <c r="D581" i="2"/>
  <c r="E581" i="2"/>
  <c r="F581" i="2"/>
  <c r="G581" i="2"/>
  <c r="H581" i="2"/>
  <c r="I581" i="2"/>
  <c r="J581" i="2"/>
  <c r="K581" i="2"/>
  <c r="D582" i="2"/>
  <c r="E582" i="2"/>
  <c r="F582" i="2"/>
  <c r="G582" i="2"/>
  <c r="H582" i="2"/>
  <c r="I582" i="2"/>
  <c r="J582" i="2"/>
  <c r="K582" i="2"/>
  <c r="D583" i="2"/>
  <c r="E583" i="2"/>
  <c r="F583" i="2"/>
  <c r="G583" i="2"/>
  <c r="H583" i="2"/>
  <c r="I583" i="2"/>
  <c r="J583" i="2"/>
  <c r="K583" i="2"/>
  <c r="D584" i="2"/>
  <c r="E584" i="2"/>
  <c r="F584" i="2"/>
  <c r="G584" i="2"/>
  <c r="H584" i="2"/>
  <c r="I584" i="2"/>
  <c r="J584" i="2"/>
  <c r="K584" i="2"/>
  <c r="D585" i="2"/>
  <c r="E585" i="2"/>
  <c r="F585" i="2"/>
  <c r="G585" i="2"/>
  <c r="H585" i="2"/>
  <c r="I585" i="2"/>
  <c r="J585" i="2"/>
  <c r="K585" i="2"/>
  <c r="D586" i="2"/>
  <c r="E586" i="2"/>
  <c r="F586" i="2"/>
  <c r="G586" i="2"/>
  <c r="H586" i="2"/>
  <c r="I586" i="2"/>
  <c r="J586" i="2"/>
  <c r="K586" i="2"/>
  <c r="D587" i="2"/>
  <c r="E587" i="2"/>
  <c r="F587" i="2"/>
  <c r="G587" i="2"/>
  <c r="H587" i="2"/>
  <c r="I587" i="2"/>
  <c r="J587" i="2"/>
  <c r="K587" i="2"/>
  <c r="D588" i="2"/>
  <c r="E588" i="2"/>
  <c r="F588" i="2"/>
  <c r="G588" i="2"/>
  <c r="H588" i="2"/>
  <c r="I588" i="2"/>
  <c r="J588" i="2"/>
  <c r="K588" i="2"/>
  <c r="D589" i="2"/>
  <c r="E589" i="2"/>
  <c r="F589" i="2"/>
  <c r="G589" i="2"/>
  <c r="H589" i="2"/>
  <c r="I589" i="2"/>
  <c r="J589" i="2"/>
  <c r="K589" i="2"/>
  <c r="D590" i="2"/>
  <c r="E590" i="2"/>
  <c r="F590" i="2"/>
  <c r="G590" i="2"/>
  <c r="H590" i="2"/>
  <c r="I590" i="2"/>
  <c r="J590" i="2"/>
  <c r="K590" i="2"/>
  <c r="D591" i="2"/>
  <c r="E591" i="2"/>
  <c r="F591" i="2"/>
  <c r="G591" i="2"/>
  <c r="H591" i="2"/>
  <c r="I591" i="2"/>
  <c r="J591" i="2"/>
  <c r="K591" i="2"/>
  <c r="D592" i="2"/>
  <c r="E592" i="2"/>
  <c r="F592" i="2"/>
  <c r="G592" i="2"/>
  <c r="H592" i="2"/>
  <c r="I592" i="2"/>
  <c r="J592" i="2"/>
  <c r="K592" i="2"/>
  <c r="D593" i="2"/>
  <c r="E593" i="2"/>
  <c r="F593" i="2"/>
  <c r="G593" i="2"/>
  <c r="H593" i="2"/>
  <c r="I593" i="2"/>
  <c r="J593" i="2"/>
  <c r="K593" i="2"/>
  <c r="D594" i="2"/>
  <c r="E594" i="2"/>
  <c r="F594" i="2"/>
  <c r="G594" i="2"/>
  <c r="H594" i="2"/>
  <c r="I594" i="2"/>
  <c r="J594" i="2"/>
  <c r="K594" i="2"/>
  <c r="D595" i="2"/>
  <c r="E595" i="2"/>
  <c r="F595" i="2"/>
  <c r="G595" i="2"/>
  <c r="H595" i="2"/>
  <c r="I595" i="2"/>
  <c r="J595" i="2"/>
  <c r="K595" i="2"/>
  <c r="D596" i="2"/>
  <c r="E596" i="2"/>
  <c r="F596" i="2"/>
  <c r="G596" i="2"/>
  <c r="H596" i="2"/>
  <c r="I596" i="2"/>
  <c r="J596" i="2"/>
  <c r="K596" i="2"/>
  <c r="D597" i="2"/>
  <c r="E597" i="2"/>
  <c r="F597" i="2"/>
  <c r="G597" i="2"/>
  <c r="H597" i="2"/>
  <c r="I597" i="2"/>
  <c r="J597" i="2"/>
  <c r="K597" i="2"/>
  <c r="D598" i="2"/>
  <c r="E598" i="2"/>
  <c r="F598" i="2"/>
  <c r="G598" i="2"/>
  <c r="H598" i="2"/>
  <c r="I598" i="2"/>
  <c r="J598" i="2"/>
  <c r="K598" i="2"/>
  <c r="D599" i="2"/>
  <c r="E599" i="2"/>
  <c r="F599" i="2"/>
  <c r="G599" i="2"/>
  <c r="H599" i="2"/>
  <c r="I599" i="2"/>
  <c r="J599" i="2"/>
  <c r="K599" i="2"/>
  <c r="D600" i="2"/>
  <c r="E600" i="2"/>
  <c r="F600" i="2"/>
  <c r="G600" i="2"/>
  <c r="H600" i="2"/>
  <c r="I600" i="2"/>
  <c r="J600" i="2"/>
  <c r="K600" i="2"/>
  <c r="D601" i="2"/>
  <c r="E601" i="2"/>
  <c r="F601" i="2"/>
  <c r="G601" i="2"/>
  <c r="H601" i="2"/>
  <c r="I601" i="2"/>
  <c r="J601" i="2"/>
  <c r="K601" i="2"/>
  <c r="D602" i="2"/>
  <c r="E602" i="2"/>
  <c r="F602" i="2"/>
  <c r="G602" i="2"/>
  <c r="H602" i="2"/>
  <c r="I602" i="2"/>
  <c r="J602" i="2"/>
  <c r="K602" i="2"/>
  <c r="D603" i="2"/>
  <c r="E603" i="2"/>
  <c r="F603" i="2"/>
  <c r="G603" i="2"/>
  <c r="H603" i="2"/>
  <c r="I603" i="2"/>
  <c r="J603" i="2"/>
  <c r="K603" i="2"/>
  <c r="D604" i="2"/>
  <c r="E604" i="2"/>
  <c r="F604" i="2"/>
  <c r="G604" i="2"/>
  <c r="H604" i="2"/>
  <c r="I604" i="2"/>
  <c r="J604" i="2"/>
  <c r="K604" i="2"/>
  <c r="D605" i="2"/>
  <c r="E605" i="2"/>
  <c r="F605" i="2"/>
  <c r="G605" i="2"/>
  <c r="H605" i="2"/>
  <c r="I605" i="2"/>
  <c r="J605" i="2"/>
  <c r="K605" i="2"/>
  <c r="D606" i="2"/>
  <c r="E606" i="2"/>
  <c r="F606" i="2"/>
  <c r="G606" i="2"/>
  <c r="H606" i="2"/>
  <c r="I606" i="2"/>
  <c r="J606" i="2"/>
  <c r="K606" i="2"/>
  <c r="D607" i="2"/>
  <c r="E607" i="2"/>
  <c r="F607" i="2"/>
  <c r="G607" i="2"/>
  <c r="H607" i="2"/>
  <c r="I607" i="2"/>
  <c r="J607" i="2"/>
  <c r="K607" i="2"/>
  <c r="D608" i="2"/>
  <c r="E608" i="2"/>
  <c r="F608" i="2"/>
  <c r="G608" i="2"/>
  <c r="H608" i="2"/>
  <c r="I608" i="2"/>
  <c r="J608" i="2"/>
  <c r="K608" i="2"/>
  <c r="D609" i="2"/>
  <c r="E609" i="2"/>
  <c r="F609" i="2"/>
  <c r="G609" i="2"/>
  <c r="H609" i="2"/>
  <c r="I609" i="2"/>
  <c r="J609" i="2"/>
  <c r="K609" i="2"/>
  <c r="D610" i="2"/>
  <c r="E610" i="2"/>
  <c r="F610" i="2"/>
  <c r="G610" i="2"/>
  <c r="H610" i="2"/>
  <c r="I610" i="2"/>
  <c r="J610" i="2"/>
  <c r="K610" i="2"/>
  <c r="D611" i="2"/>
  <c r="E611" i="2"/>
  <c r="F611" i="2"/>
  <c r="G611" i="2"/>
  <c r="H611" i="2"/>
  <c r="I611" i="2"/>
  <c r="J611" i="2"/>
  <c r="K611" i="2"/>
  <c r="D612" i="2"/>
  <c r="E612" i="2"/>
  <c r="F612" i="2"/>
  <c r="G612" i="2"/>
  <c r="H612" i="2"/>
  <c r="I612" i="2"/>
  <c r="J612" i="2"/>
  <c r="K612" i="2"/>
  <c r="D613" i="2"/>
  <c r="E613" i="2"/>
  <c r="F613" i="2"/>
  <c r="G613" i="2"/>
  <c r="H613" i="2"/>
  <c r="I613" i="2"/>
  <c r="J613" i="2"/>
  <c r="K613" i="2"/>
  <c r="D614" i="2"/>
  <c r="E614" i="2"/>
  <c r="F614" i="2"/>
  <c r="G614" i="2"/>
  <c r="H614" i="2"/>
  <c r="I614" i="2"/>
  <c r="J614" i="2"/>
  <c r="K614" i="2"/>
  <c r="D615" i="2"/>
  <c r="E615" i="2"/>
  <c r="F615" i="2"/>
  <c r="G615" i="2"/>
  <c r="H615" i="2"/>
  <c r="I615" i="2"/>
  <c r="J615" i="2"/>
  <c r="K615" i="2"/>
  <c r="D616" i="2"/>
  <c r="E616" i="2"/>
  <c r="F616" i="2"/>
  <c r="G616" i="2"/>
  <c r="H616" i="2"/>
  <c r="I616" i="2"/>
  <c r="J616" i="2"/>
  <c r="K616" i="2"/>
  <c r="D617" i="2"/>
  <c r="E617" i="2"/>
  <c r="F617" i="2"/>
  <c r="G617" i="2"/>
  <c r="H617" i="2"/>
  <c r="I617" i="2"/>
  <c r="J617" i="2"/>
  <c r="K617" i="2"/>
  <c r="D618" i="2"/>
  <c r="E618" i="2"/>
  <c r="F618" i="2"/>
  <c r="G618" i="2"/>
  <c r="H618" i="2"/>
  <c r="I618" i="2"/>
  <c r="J618" i="2"/>
  <c r="K618" i="2"/>
  <c r="D619" i="2"/>
  <c r="E619" i="2"/>
  <c r="F619" i="2"/>
  <c r="G619" i="2"/>
  <c r="H619" i="2"/>
  <c r="I619" i="2"/>
  <c r="J619" i="2"/>
  <c r="K619" i="2"/>
  <c r="D620" i="2"/>
  <c r="E620" i="2"/>
  <c r="F620" i="2"/>
  <c r="G620" i="2"/>
  <c r="H620" i="2"/>
  <c r="I620" i="2"/>
  <c r="J620" i="2"/>
  <c r="K620" i="2"/>
  <c r="D621" i="2"/>
  <c r="E621" i="2"/>
  <c r="F621" i="2"/>
  <c r="G621" i="2"/>
  <c r="H621" i="2"/>
  <c r="I621" i="2"/>
  <c r="J621" i="2"/>
  <c r="K621" i="2"/>
  <c r="D622" i="2"/>
  <c r="E622" i="2"/>
  <c r="F622" i="2"/>
  <c r="G622" i="2"/>
  <c r="H622" i="2"/>
  <c r="I622" i="2"/>
  <c r="J622" i="2"/>
  <c r="K622" i="2"/>
  <c r="D623" i="2"/>
  <c r="E623" i="2"/>
  <c r="F623" i="2"/>
  <c r="G623" i="2"/>
  <c r="H623" i="2"/>
  <c r="I623" i="2"/>
  <c r="J623" i="2"/>
  <c r="K623" i="2"/>
  <c r="D624" i="2"/>
  <c r="E624" i="2"/>
  <c r="F624" i="2"/>
  <c r="G624" i="2"/>
  <c r="H624" i="2"/>
  <c r="I624" i="2"/>
  <c r="J624" i="2"/>
  <c r="K624" i="2"/>
  <c r="D625" i="2"/>
  <c r="E625" i="2"/>
  <c r="F625" i="2"/>
  <c r="G625" i="2"/>
  <c r="H625" i="2"/>
  <c r="I625" i="2"/>
  <c r="J625" i="2"/>
  <c r="K625" i="2"/>
  <c r="D626" i="2"/>
  <c r="E626" i="2"/>
  <c r="F626" i="2"/>
  <c r="G626" i="2"/>
  <c r="H626" i="2"/>
  <c r="I626" i="2"/>
  <c r="J626" i="2"/>
  <c r="K626" i="2"/>
  <c r="D627" i="2"/>
  <c r="E627" i="2"/>
  <c r="F627" i="2"/>
  <c r="G627" i="2"/>
  <c r="H627" i="2"/>
  <c r="I627" i="2"/>
  <c r="J627" i="2"/>
  <c r="K627" i="2"/>
  <c r="D628" i="2"/>
  <c r="E628" i="2"/>
  <c r="F628" i="2"/>
  <c r="G628" i="2"/>
  <c r="H628" i="2"/>
  <c r="I628" i="2"/>
  <c r="J628" i="2"/>
  <c r="K628" i="2"/>
  <c r="D629" i="2"/>
  <c r="E629" i="2"/>
  <c r="F629" i="2"/>
  <c r="G629" i="2"/>
  <c r="H629" i="2"/>
  <c r="I629" i="2"/>
  <c r="J629" i="2"/>
  <c r="K629" i="2"/>
  <c r="D630" i="2"/>
  <c r="E630" i="2"/>
  <c r="F630" i="2"/>
  <c r="G630" i="2"/>
  <c r="H630" i="2"/>
  <c r="I630" i="2"/>
  <c r="J630" i="2"/>
  <c r="K630" i="2"/>
  <c r="D631" i="2"/>
  <c r="E631" i="2"/>
  <c r="F631" i="2"/>
  <c r="G631" i="2"/>
  <c r="H631" i="2"/>
  <c r="I631" i="2"/>
  <c r="J631" i="2"/>
  <c r="K631" i="2"/>
  <c r="D632" i="2"/>
  <c r="E632" i="2"/>
  <c r="F632" i="2"/>
  <c r="G632" i="2"/>
  <c r="H632" i="2"/>
  <c r="I632" i="2"/>
  <c r="J632" i="2"/>
  <c r="K632" i="2"/>
  <c r="D633" i="2"/>
  <c r="E633" i="2"/>
  <c r="F633" i="2"/>
  <c r="G633" i="2"/>
  <c r="H633" i="2"/>
  <c r="I633" i="2"/>
  <c r="J633" i="2"/>
  <c r="K633" i="2"/>
  <c r="D634" i="2"/>
  <c r="E634" i="2"/>
  <c r="F634" i="2"/>
  <c r="G634" i="2"/>
  <c r="H634" i="2"/>
  <c r="I634" i="2"/>
  <c r="J634" i="2"/>
  <c r="K634" i="2"/>
  <c r="D635" i="2"/>
  <c r="E635" i="2"/>
  <c r="F635" i="2"/>
  <c r="G635" i="2"/>
  <c r="H635" i="2"/>
  <c r="I635" i="2"/>
  <c r="J635" i="2"/>
  <c r="K635" i="2"/>
  <c r="D636" i="2"/>
  <c r="E636" i="2"/>
  <c r="F636" i="2"/>
  <c r="G636" i="2"/>
  <c r="H636" i="2"/>
  <c r="I636" i="2"/>
  <c r="J636" i="2"/>
  <c r="K636" i="2"/>
  <c r="D637" i="2"/>
  <c r="E637" i="2"/>
  <c r="F637" i="2"/>
  <c r="G637" i="2"/>
  <c r="H637" i="2"/>
  <c r="I637" i="2"/>
  <c r="J637" i="2"/>
  <c r="K637" i="2"/>
  <c r="D638" i="2"/>
  <c r="E638" i="2"/>
  <c r="F638" i="2"/>
  <c r="G638" i="2"/>
  <c r="H638" i="2"/>
  <c r="I638" i="2"/>
  <c r="J638" i="2"/>
  <c r="K638" i="2"/>
  <c r="D639" i="2"/>
  <c r="E639" i="2"/>
  <c r="F639" i="2"/>
  <c r="G639" i="2"/>
  <c r="H639" i="2"/>
  <c r="I639" i="2"/>
  <c r="J639" i="2"/>
  <c r="K639" i="2"/>
  <c r="D640" i="2"/>
  <c r="E640" i="2"/>
  <c r="F640" i="2"/>
  <c r="G640" i="2"/>
  <c r="H640" i="2"/>
  <c r="I640" i="2"/>
  <c r="J640" i="2"/>
  <c r="K640" i="2"/>
  <c r="D641" i="2"/>
  <c r="E641" i="2"/>
  <c r="F641" i="2"/>
  <c r="G641" i="2"/>
  <c r="H641" i="2"/>
  <c r="I641" i="2"/>
  <c r="J641" i="2"/>
  <c r="K641" i="2"/>
  <c r="D642" i="2"/>
  <c r="E642" i="2"/>
  <c r="F642" i="2"/>
  <c r="G642" i="2"/>
  <c r="H642" i="2"/>
  <c r="I642" i="2"/>
  <c r="J642" i="2"/>
  <c r="K642" i="2"/>
  <c r="D643" i="2"/>
  <c r="E643" i="2"/>
  <c r="F643" i="2"/>
  <c r="G643" i="2"/>
  <c r="H643" i="2"/>
  <c r="I643" i="2"/>
  <c r="J643" i="2"/>
  <c r="K643" i="2"/>
  <c r="D644" i="2"/>
  <c r="E644" i="2"/>
  <c r="F644" i="2"/>
  <c r="G644" i="2"/>
  <c r="H644" i="2"/>
  <c r="I644" i="2"/>
  <c r="J644" i="2"/>
  <c r="K644" i="2"/>
  <c r="D645" i="2"/>
  <c r="E645" i="2"/>
  <c r="F645" i="2"/>
  <c r="G645" i="2"/>
  <c r="H645" i="2"/>
  <c r="I645" i="2"/>
  <c r="J645" i="2"/>
  <c r="K645" i="2"/>
  <c r="D646" i="2"/>
  <c r="E646" i="2"/>
  <c r="F646" i="2"/>
  <c r="G646" i="2"/>
  <c r="H646" i="2"/>
  <c r="I646" i="2"/>
  <c r="J646" i="2"/>
  <c r="K646" i="2"/>
  <c r="D647" i="2"/>
  <c r="E647" i="2"/>
  <c r="F647" i="2"/>
  <c r="G647" i="2"/>
  <c r="H647" i="2"/>
  <c r="I647" i="2"/>
  <c r="J647" i="2"/>
  <c r="K647" i="2"/>
  <c r="D648" i="2"/>
  <c r="E648" i="2"/>
  <c r="F648" i="2"/>
  <c r="G648" i="2"/>
  <c r="H648" i="2"/>
  <c r="I648" i="2"/>
  <c r="J648" i="2"/>
  <c r="K648" i="2"/>
  <c r="D649" i="2"/>
  <c r="E649" i="2"/>
  <c r="F649" i="2"/>
  <c r="G649" i="2"/>
  <c r="H649" i="2"/>
  <c r="I649" i="2"/>
  <c r="J649" i="2"/>
  <c r="K649" i="2"/>
  <c r="D650" i="2"/>
  <c r="E650" i="2"/>
  <c r="F650" i="2"/>
  <c r="G650" i="2"/>
  <c r="H650" i="2"/>
  <c r="I650" i="2"/>
  <c r="J650" i="2"/>
  <c r="K650" i="2"/>
  <c r="D651" i="2"/>
  <c r="E651" i="2"/>
  <c r="F651" i="2"/>
  <c r="G651" i="2"/>
  <c r="H651" i="2"/>
  <c r="I651" i="2"/>
  <c r="J651" i="2"/>
  <c r="K651" i="2"/>
  <c r="D652" i="2"/>
  <c r="E652" i="2"/>
  <c r="F652" i="2"/>
  <c r="G652" i="2"/>
  <c r="H652" i="2"/>
  <c r="I652" i="2"/>
  <c r="J652" i="2"/>
  <c r="K652" i="2"/>
  <c r="D653" i="2"/>
  <c r="E653" i="2"/>
  <c r="F653" i="2"/>
  <c r="G653" i="2"/>
  <c r="H653" i="2"/>
  <c r="I653" i="2"/>
  <c r="J653" i="2"/>
  <c r="K653" i="2"/>
  <c r="D654" i="2"/>
  <c r="E654" i="2"/>
  <c r="F654" i="2"/>
  <c r="G654" i="2"/>
  <c r="H654" i="2"/>
  <c r="I654" i="2"/>
  <c r="J654" i="2"/>
  <c r="K654" i="2"/>
  <c r="D655" i="2"/>
  <c r="E655" i="2"/>
  <c r="F655" i="2"/>
  <c r="G655" i="2"/>
  <c r="H655" i="2"/>
  <c r="I655" i="2"/>
  <c r="J655" i="2"/>
  <c r="K655" i="2"/>
  <c r="D656" i="2"/>
  <c r="E656" i="2"/>
  <c r="F656" i="2"/>
  <c r="G656" i="2"/>
  <c r="H656" i="2"/>
  <c r="I656" i="2"/>
  <c r="J656" i="2"/>
  <c r="K656" i="2"/>
  <c r="D657" i="2"/>
  <c r="E657" i="2"/>
  <c r="F657" i="2"/>
  <c r="G657" i="2"/>
  <c r="H657" i="2"/>
  <c r="I657" i="2"/>
  <c r="J657" i="2"/>
  <c r="K657" i="2"/>
  <c r="D658" i="2"/>
  <c r="E658" i="2"/>
  <c r="F658" i="2"/>
  <c r="G658" i="2"/>
  <c r="H658" i="2"/>
  <c r="I658" i="2"/>
  <c r="J658" i="2"/>
  <c r="K658" i="2"/>
  <c r="D659" i="2"/>
  <c r="E659" i="2"/>
  <c r="F659" i="2"/>
  <c r="G659" i="2"/>
  <c r="H659" i="2"/>
  <c r="I659" i="2"/>
  <c r="J659" i="2"/>
  <c r="K659" i="2"/>
  <c r="D660" i="2"/>
  <c r="E660" i="2"/>
  <c r="F660" i="2"/>
  <c r="G660" i="2"/>
  <c r="H660" i="2"/>
  <c r="I660" i="2"/>
  <c r="J660" i="2"/>
  <c r="K660" i="2"/>
  <c r="D661" i="2"/>
  <c r="E661" i="2"/>
  <c r="F661" i="2"/>
  <c r="G661" i="2"/>
  <c r="H661" i="2"/>
  <c r="I661" i="2"/>
  <c r="J661" i="2"/>
  <c r="K661" i="2"/>
  <c r="D662" i="2"/>
  <c r="E662" i="2"/>
  <c r="F662" i="2"/>
  <c r="G662" i="2"/>
  <c r="H662" i="2"/>
  <c r="I662" i="2"/>
  <c r="J662" i="2"/>
  <c r="K662" i="2"/>
  <c r="D663" i="2"/>
  <c r="E663" i="2"/>
  <c r="F663" i="2"/>
  <c r="G663" i="2"/>
  <c r="H663" i="2"/>
  <c r="I663" i="2"/>
  <c r="J663" i="2"/>
  <c r="K663" i="2"/>
  <c r="D664" i="2"/>
  <c r="E664" i="2"/>
  <c r="F664" i="2"/>
  <c r="G664" i="2"/>
  <c r="H664" i="2"/>
  <c r="I664" i="2"/>
  <c r="J664" i="2"/>
  <c r="K664" i="2"/>
  <c r="D665" i="2"/>
  <c r="E665" i="2"/>
  <c r="F665" i="2"/>
  <c r="G665" i="2"/>
  <c r="H665" i="2"/>
  <c r="I665" i="2"/>
  <c r="J665" i="2"/>
  <c r="K665" i="2"/>
  <c r="D666" i="2"/>
  <c r="E666" i="2"/>
  <c r="F666" i="2"/>
  <c r="G666" i="2"/>
  <c r="H666" i="2"/>
  <c r="I666" i="2"/>
  <c r="J666" i="2"/>
  <c r="K666" i="2"/>
  <c r="D667" i="2"/>
  <c r="E667" i="2"/>
  <c r="F667" i="2"/>
  <c r="G667" i="2"/>
  <c r="H667" i="2"/>
  <c r="I667" i="2"/>
  <c r="J667" i="2"/>
  <c r="K667" i="2"/>
  <c r="D668" i="2"/>
  <c r="E668" i="2"/>
  <c r="F668" i="2"/>
  <c r="G668" i="2"/>
  <c r="H668" i="2"/>
  <c r="I668" i="2"/>
  <c r="J668" i="2"/>
  <c r="K668" i="2"/>
  <c r="D669" i="2"/>
  <c r="E669" i="2"/>
  <c r="F669" i="2"/>
  <c r="G669" i="2"/>
  <c r="H669" i="2"/>
  <c r="I669" i="2"/>
  <c r="J669" i="2"/>
  <c r="K669" i="2"/>
  <c r="D670" i="2"/>
  <c r="E670" i="2"/>
  <c r="F670" i="2"/>
  <c r="G670" i="2"/>
  <c r="H670" i="2"/>
  <c r="I670" i="2"/>
  <c r="J670" i="2"/>
  <c r="K670" i="2"/>
  <c r="D671" i="2"/>
  <c r="E671" i="2"/>
  <c r="F671" i="2"/>
  <c r="G671" i="2"/>
  <c r="H671" i="2"/>
  <c r="I671" i="2"/>
  <c r="J671" i="2"/>
  <c r="K671" i="2"/>
  <c r="D672" i="2"/>
  <c r="E672" i="2"/>
  <c r="F672" i="2"/>
  <c r="G672" i="2"/>
  <c r="H672" i="2"/>
  <c r="I672" i="2"/>
  <c r="J672" i="2"/>
  <c r="K672" i="2"/>
  <c r="D673" i="2"/>
  <c r="E673" i="2"/>
  <c r="F673" i="2"/>
  <c r="G673" i="2"/>
  <c r="H673" i="2"/>
  <c r="I673" i="2"/>
  <c r="J673" i="2"/>
  <c r="K673" i="2"/>
  <c r="D674" i="2"/>
  <c r="E674" i="2"/>
  <c r="F674" i="2"/>
  <c r="G674" i="2"/>
  <c r="H674" i="2"/>
  <c r="I674" i="2"/>
  <c r="J674" i="2"/>
  <c r="K674" i="2"/>
  <c r="D675" i="2"/>
  <c r="E675" i="2"/>
  <c r="F675" i="2"/>
  <c r="G675" i="2"/>
  <c r="H675" i="2"/>
  <c r="I675" i="2"/>
  <c r="J675" i="2"/>
  <c r="K675" i="2"/>
  <c r="D676" i="2"/>
  <c r="E676" i="2"/>
  <c r="F676" i="2"/>
  <c r="G676" i="2"/>
  <c r="H676" i="2"/>
  <c r="I676" i="2"/>
  <c r="J676" i="2"/>
  <c r="K676" i="2"/>
  <c r="D677" i="2"/>
  <c r="E677" i="2"/>
  <c r="F677" i="2"/>
  <c r="G677" i="2"/>
  <c r="H677" i="2"/>
  <c r="I677" i="2"/>
  <c r="J677" i="2"/>
  <c r="K677" i="2"/>
  <c r="D678" i="2"/>
  <c r="E678" i="2"/>
  <c r="F678" i="2"/>
  <c r="G678" i="2"/>
  <c r="H678" i="2"/>
  <c r="I678" i="2"/>
  <c r="J678" i="2"/>
  <c r="K678" i="2"/>
  <c r="D679" i="2"/>
  <c r="E679" i="2"/>
  <c r="F679" i="2"/>
  <c r="G679" i="2"/>
  <c r="H679" i="2"/>
  <c r="I679" i="2"/>
  <c r="J679" i="2"/>
  <c r="K679" i="2"/>
  <c r="D680" i="2"/>
  <c r="E680" i="2"/>
  <c r="F680" i="2"/>
  <c r="G680" i="2"/>
  <c r="H680" i="2"/>
  <c r="I680" i="2"/>
  <c r="J680" i="2"/>
  <c r="K680" i="2"/>
  <c r="D681" i="2"/>
  <c r="E681" i="2"/>
  <c r="F681" i="2"/>
  <c r="G681" i="2"/>
  <c r="H681" i="2"/>
  <c r="I681" i="2"/>
  <c r="J681" i="2"/>
  <c r="K681" i="2"/>
  <c r="D682" i="2"/>
  <c r="E682" i="2"/>
  <c r="F682" i="2"/>
  <c r="G682" i="2"/>
  <c r="H682" i="2"/>
  <c r="I682" i="2"/>
  <c r="J682" i="2"/>
  <c r="K682" i="2"/>
  <c r="D683" i="2"/>
  <c r="E683" i="2"/>
  <c r="F683" i="2"/>
  <c r="G683" i="2"/>
  <c r="H683" i="2"/>
  <c r="I683" i="2"/>
  <c r="J683" i="2"/>
  <c r="K683" i="2"/>
  <c r="D684" i="2"/>
  <c r="E684" i="2"/>
  <c r="F684" i="2"/>
  <c r="G684" i="2"/>
  <c r="H684" i="2"/>
  <c r="I684" i="2"/>
  <c r="J684" i="2"/>
  <c r="K684" i="2"/>
  <c r="D685" i="2"/>
  <c r="E685" i="2"/>
  <c r="F685" i="2"/>
  <c r="G685" i="2"/>
  <c r="H685" i="2"/>
  <c r="I685" i="2"/>
  <c r="J685" i="2"/>
  <c r="K685" i="2"/>
  <c r="D686" i="2"/>
  <c r="E686" i="2"/>
  <c r="F686" i="2"/>
  <c r="G686" i="2"/>
  <c r="H686" i="2"/>
  <c r="I686" i="2"/>
  <c r="J686" i="2"/>
  <c r="K686" i="2"/>
  <c r="D687" i="2"/>
  <c r="E687" i="2"/>
  <c r="F687" i="2"/>
  <c r="G687" i="2"/>
  <c r="H687" i="2"/>
  <c r="I687" i="2"/>
  <c r="J687" i="2"/>
  <c r="K687" i="2"/>
  <c r="D688" i="2"/>
  <c r="E688" i="2"/>
  <c r="F688" i="2"/>
  <c r="G688" i="2"/>
  <c r="H688" i="2"/>
  <c r="I688" i="2"/>
  <c r="J688" i="2"/>
  <c r="K688" i="2"/>
  <c r="D689" i="2"/>
  <c r="E689" i="2"/>
  <c r="F689" i="2"/>
  <c r="G689" i="2"/>
  <c r="H689" i="2"/>
  <c r="I689" i="2"/>
  <c r="J689" i="2"/>
  <c r="K689" i="2"/>
  <c r="D690" i="2"/>
  <c r="E690" i="2"/>
  <c r="F690" i="2"/>
  <c r="G690" i="2"/>
  <c r="H690" i="2"/>
  <c r="I690" i="2"/>
  <c r="J690" i="2"/>
  <c r="K690" i="2"/>
  <c r="D691" i="2"/>
  <c r="E691" i="2"/>
  <c r="F691" i="2"/>
  <c r="G691" i="2"/>
  <c r="H691" i="2"/>
  <c r="I691" i="2"/>
  <c r="J691" i="2"/>
  <c r="K691" i="2"/>
  <c r="D692" i="2"/>
  <c r="E692" i="2"/>
  <c r="F692" i="2"/>
  <c r="G692" i="2"/>
  <c r="H692" i="2"/>
  <c r="I692" i="2"/>
  <c r="J692" i="2"/>
  <c r="K692" i="2"/>
  <c r="D693" i="2"/>
  <c r="E693" i="2"/>
  <c r="F693" i="2"/>
  <c r="G693" i="2"/>
  <c r="H693" i="2"/>
  <c r="I693" i="2"/>
  <c r="J693" i="2"/>
  <c r="K693" i="2"/>
  <c r="D694" i="2"/>
  <c r="E694" i="2"/>
  <c r="F694" i="2"/>
  <c r="G694" i="2"/>
  <c r="H694" i="2"/>
  <c r="I694" i="2"/>
  <c r="J694" i="2"/>
  <c r="K694" i="2"/>
  <c r="D695" i="2"/>
  <c r="E695" i="2"/>
  <c r="F695" i="2"/>
  <c r="G695" i="2"/>
  <c r="H695" i="2"/>
  <c r="I695" i="2"/>
  <c r="J695" i="2"/>
  <c r="K695" i="2"/>
  <c r="D696" i="2"/>
  <c r="E696" i="2"/>
  <c r="F696" i="2"/>
  <c r="G696" i="2"/>
  <c r="H696" i="2"/>
  <c r="I696" i="2"/>
  <c r="J696" i="2"/>
  <c r="K696" i="2"/>
  <c r="D697" i="2"/>
  <c r="E697" i="2"/>
  <c r="F697" i="2"/>
  <c r="G697" i="2"/>
  <c r="H697" i="2"/>
  <c r="I697" i="2"/>
  <c r="J697" i="2"/>
  <c r="K697" i="2"/>
  <c r="D698" i="2"/>
  <c r="E698" i="2"/>
  <c r="F698" i="2"/>
  <c r="G698" i="2"/>
  <c r="H698" i="2"/>
  <c r="I698" i="2"/>
  <c r="J698" i="2"/>
  <c r="K698" i="2"/>
  <c r="D699" i="2"/>
  <c r="E699" i="2"/>
  <c r="F699" i="2"/>
  <c r="G699" i="2"/>
  <c r="H699" i="2"/>
  <c r="I699" i="2"/>
  <c r="J699" i="2"/>
  <c r="K699" i="2"/>
  <c r="D700" i="2"/>
  <c r="E700" i="2"/>
  <c r="F700" i="2"/>
  <c r="G700" i="2"/>
  <c r="H700" i="2"/>
  <c r="I700" i="2"/>
  <c r="J700" i="2"/>
  <c r="K700" i="2"/>
  <c r="D701" i="2"/>
  <c r="E701" i="2"/>
  <c r="F701" i="2"/>
  <c r="G701" i="2"/>
  <c r="H701" i="2"/>
  <c r="I701" i="2"/>
  <c r="J701" i="2"/>
  <c r="K701" i="2"/>
  <c r="D702" i="2"/>
  <c r="E702" i="2"/>
  <c r="F702" i="2"/>
  <c r="G702" i="2"/>
  <c r="H702" i="2"/>
  <c r="I702" i="2"/>
  <c r="J702" i="2"/>
  <c r="K702" i="2"/>
  <c r="D703" i="2"/>
  <c r="E703" i="2"/>
  <c r="F703" i="2"/>
  <c r="G703" i="2"/>
  <c r="H703" i="2"/>
  <c r="I703" i="2"/>
  <c r="J703" i="2"/>
  <c r="K703" i="2"/>
  <c r="D704" i="2"/>
  <c r="E704" i="2"/>
  <c r="F704" i="2"/>
  <c r="G704" i="2"/>
  <c r="H704" i="2"/>
  <c r="I704" i="2"/>
  <c r="J704" i="2"/>
  <c r="K704" i="2"/>
  <c r="D705" i="2"/>
  <c r="E705" i="2"/>
  <c r="F705" i="2"/>
  <c r="G705" i="2"/>
  <c r="H705" i="2"/>
  <c r="I705" i="2"/>
  <c r="J705" i="2"/>
  <c r="K705" i="2"/>
  <c r="D706" i="2"/>
  <c r="E706" i="2"/>
  <c r="F706" i="2"/>
  <c r="G706" i="2"/>
  <c r="H706" i="2"/>
  <c r="I706" i="2"/>
  <c r="J706" i="2"/>
  <c r="K706" i="2"/>
  <c r="D707" i="2"/>
  <c r="E707" i="2"/>
  <c r="F707" i="2"/>
  <c r="G707" i="2"/>
  <c r="H707" i="2"/>
  <c r="I707" i="2"/>
  <c r="J707" i="2"/>
  <c r="K707" i="2"/>
  <c r="D708" i="2"/>
  <c r="E708" i="2"/>
  <c r="F708" i="2"/>
  <c r="G708" i="2"/>
  <c r="H708" i="2"/>
  <c r="I708" i="2"/>
  <c r="J708" i="2"/>
  <c r="K708" i="2"/>
  <c r="D709" i="2"/>
  <c r="E709" i="2"/>
  <c r="F709" i="2"/>
  <c r="G709" i="2"/>
  <c r="H709" i="2"/>
  <c r="I709" i="2"/>
  <c r="J709" i="2"/>
  <c r="K709" i="2"/>
  <c r="D710" i="2"/>
  <c r="E710" i="2"/>
  <c r="F710" i="2"/>
  <c r="G710" i="2"/>
  <c r="H710" i="2"/>
  <c r="I710" i="2"/>
  <c r="J710" i="2"/>
  <c r="K710" i="2"/>
  <c r="D711" i="2"/>
  <c r="E711" i="2"/>
  <c r="F711" i="2"/>
  <c r="G711" i="2"/>
  <c r="H711" i="2"/>
  <c r="I711" i="2"/>
  <c r="J711" i="2"/>
  <c r="K711" i="2"/>
  <c r="D712" i="2"/>
  <c r="E712" i="2"/>
  <c r="F712" i="2"/>
  <c r="G712" i="2"/>
  <c r="H712" i="2"/>
  <c r="I712" i="2"/>
  <c r="J712" i="2"/>
  <c r="K712" i="2"/>
  <c r="D713" i="2"/>
  <c r="E713" i="2"/>
  <c r="F713" i="2"/>
  <c r="G713" i="2"/>
  <c r="H713" i="2"/>
  <c r="I713" i="2"/>
  <c r="J713" i="2"/>
  <c r="K713" i="2"/>
  <c r="D714" i="2"/>
  <c r="E714" i="2"/>
  <c r="F714" i="2"/>
  <c r="G714" i="2"/>
  <c r="H714" i="2"/>
  <c r="I714" i="2"/>
  <c r="J714" i="2"/>
  <c r="K714" i="2"/>
  <c r="D715" i="2"/>
  <c r="E715" i="2"/>
  <c r="F715" i="2"/>
  <c r="G715" i="2"/>
  <c r="H715" i="2"/>
  <c r="I715" i="2"/>
  <c r="J715" i="2"/>
  <c r="K715" i="2"/>
  <c r="D716" i="2"/>
  <c r="E716" i="2"/>
  <c r="F716" i="2"/>
  <c r="G716" i="2"/>
  <c r="H716" i="2"/>
  <c r="I716" i="2"/>
  <c r="J716" i="2"/>
  <c r="K716" i="2"/>
  <c r="D717" i="2"/>
  <c r="E717" i="2"/>
  <c r="F717" i="2"/>
  <c r="G717" i="2"/>
  <c r="H717" i="2"/>
  <c r="I717" i="2"/>
  <c r="J717" i="2"/>
  <c r="K717" i="2"/>
  <c r="D718" i="2"/>
  <c r="E718" i="2"/>
  <c r="F718" i="2"/>
  <c r="G718" i="2"/>
  <c r="H718" i="2"/>
  <c r="I718" i="2"/>
  <c r="J718" i="2"/>
  <c r="K718" i="2"/>
  <c r="D719" i="2"/>
  <c r="E719" i="2"/>
  <c r="F719" i="2"/>
  <c r="G719" i="2"/>
  <c r="H719" i="2"/>
  <c r="I719" i="2"/>
  <c r="J719" i="2"/>
  <c r="K719" i="2"/>
  <c r="D720" i="2"/>
  <c r="E720" i="2"/>
  <c r="F720" i="2"/>
  <c r="G720" i="2"/>
  <c r="H720" i="2"/>
  <c r="I720" i="2"/>
  <c r="J720" i="2"/>
  <c r="K720" i="2"/>
  <c r="D721" i="2"/>
  <c r="E721" i="2"/>
  <c r="F721" i="2"/>
  <c r="G721" i="2"/>
  <c r="H721" i="2"/>
  <c r="I721" i="2"/>
  <c r="J721" i="2"/>
  <c r="K721" i="2"/>
  <c r="D722" i="2"/>
  <c r="E722" i="2"/>
  <c r="F722" i="2"/>
  <c r="G722" i="2"/>
  <c r="H722" i="2"/>
  <c r="I722" i="2"/>
  <c r="J722" i="2"/>
  <c r="K722" i="2"/>
  <c r="D723" i="2"/>
  <c r="E723" i="2"/>
  <c r="F723" i="2"/>
  <c r="G723" i="2"/>
  <c r="H723" i="2"/>
  <c r="I723" i="2"/>
  <c r="J723" i="2"/>
  <c r="K723" i="2"/>
  <c r="D724" i="2"/>
  <c r="E724" i="2"/>
  <c r="F724" i="2"/>
  <c r="G724" i="2"/>
  <c r="H724" i="2"/>
  <c r="I724" i="2"/>
  <c r="J724" i="2"/>
  <c r="K724" i="2"/>
  <c r="D725" i="2"/>
  <c r="E725" i="2"/>
  <c r="F725" i="2"/>
  <c r="G725" i="2"/>
  <c r="H725" i="2"/>
  <c r="I725" i="2"/>
  <c r="J725" i="2"/>
  <c r="K725" i="2"/>
  <c r="D726" i="2"/>
  <c r="E726" i="2"/>
  <c r="F726" i="2"/>
  <c r="G726" i="2"/>
  <c r="H726" i="2"/>
  <c r="I726" i="2"/>
  <c r="J726" i="2"/>
  <c r="K726" i="2"/>
  <c r="D727" i="2"/>
  <c r="E727" i="2"/>
  <c r="F727" i="2"/>
  <c r="G727" i="2"/>
  <c r="H727" i="2"/>
  <c r="I727" i="2"/>
  <c r="J727" i="2"/>
  <c r="K727" i="2"/>
  <c r="D728" i="2"/>
  <c r="E728" i="2"/>
  <c r="F728" i="2"/>
  <c r="G728" i="2"/>
  <c r="H728" i="2"/>
  <c r="I728" i="2"/>
  <c r="J728" i="2"/>
  <c r="K728" i="2"/>
  <c r="D729" i="2"/>
  <c r="E729" i="2"/>
  <c r="F729" i="2"/>
  <c r="G729" i="2"/>
  <c r="H729" i="2"/>
  <c r="I729" i="2"/>
  <c r="J729" i="2"/>
  <c r="K729" i="2"/>
  <c r="D730" i="2"/>
  <c r="E730" i="2"/>
  <c r="F730" i="2"/>
  <c r="G730" i="2"/>
  <c r="H730" i="2"/>
  <c r="I730" i="2"/>
  <c r="J730" i="2"/>
  <c r="K730" i="2"/>
  <c r="D731" i="2"/>
  <c r="E731" i="2"/>
  <c r="F731" i="2"/>
  <c r="G731" i="2"/>
  <c r="H731" i="2"/>
  <c r="I731" i="2"/>
  <c r="J731" i="2"/>
  <c r="K731" i="2"/>
  <c r="D732" i="2"/>
  <c r="E732" i="2"/>
  <c r="F732" i="2"/>
  <c r="G732" i="2"/>
  <c r="H732" i="2"/>
  <c r="I732" i="2"/>
  <c r="J732" i="2"/>
  <c r="K732" i="2"/>
  <c r="D733" i="2"/>
  <c r="E733" i="2"/>
  <c r="F733" i="2"/>
  <c r="G733" i="2"/>
  <c r="H733" i="2"/>
  <c r="I733" i="2"/>
  <c r="J733" i="2"/>
  <c r="K733" i="2"/>
  <c r="D734" i="2"/>
  <c r="E734" i="2"/>
  <c r="F734" i="2"/>
  <c r="G734" i="2"/>
  <c r="H734" i="2"/>
  <c r="I734" i="2"/>
  <c r="J734" i="2"/>
  <c r="K734" i="2"/>
  <c r="D735" i="2"/>
  <c r="E735" i="2"/>
  <c r="F735" i="2"/>
  <c r="G735" i="2"/>
  <c r="H735" i="2"/>
  <c r="I735" i="2"/>
  <c r="J735" i="2"/>
  <c r="K735" i="2"/>
  <c r="D736" i="2"/>
  <c r="E736" i="2"/>
  <c r="F736" i="2"/>
  <c r="G736" i="2"/>
  <c r="H736" i="2"/>
  <c r="I736" i="2"/>
  <c r="J736" i="2"/>
  <c r="K736" i="2"/>
  <c r="D737" i="2"/>
  <c r="E737" i="2"/>
  <c r="F737" i="2"/>
  <c r="G737" i="2"/>
  <c r="H737" i="2"/>
  <c r="I737" i="2"/>
  <c r="J737" i="2"/>
  <c r="K737" i="2"/>
  <c r="D738" i="2"/>
  <c r="E738" i="2"/>
  <c r="F738" i="2"/>
  <c r="G738" i="2"/>
  <c r="H738" i="2"/>
  <c r="I738" i="2"/>
  <c r="J738" i="2"/>
  <c r="K738" i="2"/>
  <c r="D739" i="2"/>
  <c r="E739" i="2"/>
  <c r="F739" i="2"/>
  <c r="G739" i="2"/>
  <c r="H739" i="2"/>
  <c r="I739" i="2"/>
  <c r="J739" i="2"/>
  <c r="K739" i="2"/>
  <c r="D740" i="2"/>
  <c r="E740" i="2"/>
  <c r="F740" i="2"/>
  <c r="G740" i="2"/>
  <c r="H740" i="2"/>
  <c r="I740" i="2"/>
  <c r="J740" i="2"/>
  <c r="K740" i="2"/>
  <c r="D741" i="2"/>
  <c r="E741" i="2"/>
  <c r="F741" i="2"/>
  <c r="G741" i="2"/>
  <c r="H741" i="2"/>
  <c r="I741" i="2"/>
  <c r="J741" i="2"/>
  <c r="K741" i="2"/>
  <c r="D742" i="2"/>
  <c r="E742" i="2"/>
  <c r="F742" i="2"/>
  <c r="G742" i="2"/>
  <c r="H742" i="2"/>
  <c r="I742" i="2"/>
  <c r="J742" i="2"/>
  <c r="K742" i="2"/>
  <c r="D743" i="2"/>
  <c r="E743" i="2"/>
  <c r="F743" i="2"/>
  <c r="G743" i="2"/>
  <c r="H743" i="2"/>
  <c r="I743" i="2"/>
  <c r="J743" i="2"/>
  <c r="K743" i="2"/>
  <c r="D744" i="2"/>
  <c r="E744" i="2"/>
  <c r="F744" i="2"/>
  <c r="G744" i="2"/>
  <c r="H744" i="2"/>
  <c r="I744" i="2"/>
  <c r="J744" i="2"/>
  <c r="K744" i="2"/>
  <c r="D745" i="2"/>
  <c r="E745" i="2"/>
  <c r="F745" i="2"/>
  <c r="G745" i="2"/>
  <c r="H745" i="2"/>
  <c r="I745" i="2"/>
  <c r="J745" i="2"/>
  <c r="K745" i="2"/>
  <c r="D746" i="2"/>
  <c r="E746" i="2"/>
  <c r="F746" i="2"/>
  <c r="G746" i="2"/>
  <c r="H746" i="2"/>
  <c r="I746" i="2"/>
  <c r="J746" i="2"/>
  <c r="K746" i="2"/>
  <c r="D747" i="2"/>
  <c r="E747" i="2"/>
  <c r="F747" i="2"/>
  <c r="G747" i="2"/>
  <c r="H747" i="2"/>
  <c r="I747" i="2"/>
  <c r="J747" i="2"/>
  <c r="K747" i="2"/>
  <c r="D748" i="2"/>
  <c r="E748" i="2"/>
  <c r="F748" i="2"/>
  <c r="G748" i="2"/>
  <c r="H748" i="2"/>
  <c r="I748" i="2"/>
  <c r="J748" i="2"/>
  <c r="K748" i="2"/>
  <c r="D749" i="2"/>
  <c r="E749" i="2"/>
  <c r="F749" i="2"/>
  <c r="G749" i="2"/>
  <c r="H749" i="2"/>
  <c r="I749" i="2"/>
  <c r="J749" i="2"/>
  <c r="K749" i="2"/>
  <c r="D750" i="2"/>
  <c r="E750" i="2"/>
  <c r="F750" i="2"/>
  <c r="G750" i="2"/>
  <c r="H750" i="2"/>
  <c r="I750" i="2"/>
  <c r="J750" i="2"/>
  <c r="K750" i="2"/>
  <c r="D751" i="2"/>
  <c r="E751" i="2"/>
  <c r="F751" i="2"/>
  <c r="G751" i="2"/>
  <c r="H751" i="2"/>
  <c r="I751" i="2"/>
  <c r="J751" i="2"/>
  <c r="K751" i="2"/>
  <c r="D752" i="2"/>
  <c r="E752" i="2"/>
  <c r="F752" i="2"/>
  <c r="G752" i="2"/>
  <c r="H752" i="2"/>
  <c r="I752" i="2"/>
  <c r="J752" i="2"/>
  <c r="K752" i="2"/>
  <c r="D753" i="2"/>
  <c r="E753" i="2"/>
  <c r="F753" i="2"/>
  <c r="G753" i="2"/>
  <c r="H753" i="2"/>
  <c r="I753" i="2"/>
  <c r="J753" i="2"/>
  <c r="K753" i="2"/>
  <c r="D754" i="2"/>
  <c r="E754" i="2"/>
  <c r="F754" i="2"/>
  <c r="G754" i="2"/>
  <c r="H754" i="2"/>
  <c r="I754" i="2"/>
  <c r="J754" i="2"/>
  <c r="K754" i="2"/>
  <c r="D755" i="2"/>
  <c r="E755" i="2"/>
  <c r="F755" i="2"/>
  <c r="G755" i="2"/>
  <c r="H755" i="2"/>
  <c r="I755" i="2"/>
  <c r="J755" i="2"/>
  <c r="K755" i="2"/>
  <c r="D756" i="2"/>
  <c r="E756" i="2"/>
  <c r="F756" i="2"/>
  <c r="G756" i="2"/>
  <c r="H756" i="2"/>
  <c r="I756" i="2"/>
  <c r="J756" i="2"/>
  <c r="K756" i="2"/>
  <c r="D757" i="2"/>
  <c r="E757" i="2"/>
  <c r="F757" i="2"/>
  <c r="G757" i="2"/>
  <c r="H757" i="2"/>
  <c r="I757" i="2"/>
  <c r="J757" i="2"/>
  <c r="K757" i="2"/>
  <c r="D758" i="2"/>
  <c r="E758" i="2"/>
  <c r="F758" i="2"/>
  <c r="G758" i="2"/>
  <c r="H758" i="2"/>
  <c r="I758" i="2"/>
  <c r="J758" i="2"/>
  <c r="K758" i="2"/>
  <c r="D759" i="2"/>
  <c r="E759" i="2"/>
  <c r="F759" i="2"/>
  <c r="G759" i="2"/>
  <c r="H759" i="2"/>
  <c r="I759" i="2"/>
  <c r="J759" i="2"/>
  <c r="K759" i="2"/>
  <c r="D760" i="2"/>
  <c r="E760" i="2"/>
  <c r="F760" i="2"/>
  <c r="G760" i="2"/>
  <c r="H760" i="2"/>
  <c r="I760" i="2"/>
  <c r="J760" i="2"/>
  <c r="K760" i="2"/>
  <c r="D761" i="2"/>
  <c r="E761" i="2"/>
  <c r="F761" i="2"/>
  <c r="G761" i="2"/>
  <c r="H761" i="2"/>
  <c r="I761" i="2"/>
  <c r="J761" i="2"/>
  <c r="K761" i="2"/>
  <c r="D762" i="2"/>
  <c r="E762" i="2"/>
  <c r="F762" i="2"/>
  <c r="G762" i="2"/>
  <c r="H762" i="2"/>
  <c r="I762" i="2"/>
  <c r="J762" i="2"/>
  <c r="K762" i="2"/>
  <c r="D763" i="2"/>
  <c r="E763" i="2"/>
  <c r="F763" i="2"/>
  <c r="G763" i="2"/>
  <c r="H763" i="2"/>
  <c r="I763" i="2"/>
  <c r="J763" i="2"/>
  <c r="K763" i="2"/>
  <c r="D764" i="2"/>
  <c r="E764" i="2"/>
  <c r="F764" i="2"/>
  <c r="G764" i="2"/>
  <c r="H764" i="2"/>
  <c r="I764" i="2"/>
  <c r="J764" i="2"/>
  <c r="K764" i="2"/>
  <c r="D765" i="2"/>
  <c r="E765" i="2"/>
  <c r="F765" i="2"/>
  <c r="G765" i="2"/>
  <c r="H765" i="2"/>
  <c r="I765" i="2"/>
  <c r="J765" i="2"/>
  <c r="K765" i="2"/>
  <c r="D766" i="2"/>
  <c r="E766" i="2"/>
  <c r="F766" i="2"/>
  <c r="G766" i="2"/>
  <c r="H766" i="2"/>
  <c r="I766" i="2"/>
  <c r="J766" i="2"/>
  <c r="K766" i="2"/>
  <c r="D767" i="2"/>
  <c r="E767" i="2"/>
  <c r="F767" i="2"/>
  <c r="G767" i="2"/>
  <c r="H767" i="2"/>
  <c r="I767" i="2"/>
  <c r="J767" i="2"/>
  <c r="K767" i="2"/>
  <c r="D768" i="2"/>
  <c r="E768" i="2"/>
  <c r="F768" i="2"/>
  <c r="G768" i="2"/>
  <c r="H768" i="2"/>
  <c r="I768" i="2"/>
  <c r="J768" i="2"/>
  <c r="K768" i="2"/>
  <c r="D769" i="2"/>
  <c r="E769" i="2"/>
  <c r="F769" i="2"/>
  <c r="G769" i="2"/>
  <c r="H769" i="2"/>
  <c r="I769" i="2"/>
  <c r="J769" i="2"/>
  <c r="K769" i="2"/>
  <c r="D770" i="2"/>
  <c r="E770" i="2"/>
  <c r="F770" i="2"/>
  <c r="G770" i="2"/>
  <c r="H770" i="2"/>
  <c r="I770" i="2"/>
  <c r="J770" i="2"/>
  <c r="K770" i="2"/>
  <c r="D771" i="2"/>
  <c r="E771" i="2"/>
  <c r="F771" i="2"/>
  <c r="G771" i="2"/>
  <c r="H771" i="2"/>
  <c r="I771" i="2"/>
  <c r="J771" i="2"/>
  <c r="K771" i="2"/>
  <c r="D772" i="2"/>
  <c r="E772" i="2"/>
  <c r="F772" i="2"/>
  <c r="G772" i="2"/>
  <c r="H772" i="2"/>
  <c r="I772" i="2"/>
  <c r="J772" i="2"/>
  <c r="K772" i="2"/>
  <c r="D773" i="2"/>
  <c r="E773" i="2"/>
  <c r="F773" i="2"/>
  <c r="G773" i="2"/>
  <c r="H773" i="2"/>
  <c r="I773" i="2"/>
  <c r="J773" i="2"/>
  <c r="K773" i="2"/>
  <c r="D774" i="2"/>
  <c r="E774" i="2"/>
  <c r="F774" i="2"/>
  <c r="G774" i="2"/>
  <c r="H774" i="2"/>
  <c r="I774" i="2"/>
  <c r="J774" i="2"/>
  <c r="K774" i="2"/>
  <c r="D775" i="2"/>
  <c r="E775" i="2"/>
  <c r="F775" i="2"/>
  <c r="G775" i="2"/>
  <c r="H775" i="2"/>
  <c r="I775" i="2"/>
  <c r="J775" i="2"/>
  <c r="K775" i="2"/>
  <c r="D776" i="2"/>
  <c r="E776" i="2"/>
  <c r="F776" i="2"/>
  <c r="G776" i="2"/>
  <c r="H776" i="2"/>
  <c r="I776" i="2"/>
  <c r="J776" i="2"/>
  <c r="K776" i="2"/>
  <c r="D777" i="2"/>
  <c r="E777" i="2"/>
  <c r="F777" i="2"/>
  <c r="G777" i="2"/>
  <c r="H777" i="2"/>
  <c r="I777" i="2"/>
  <c r="J777" i="2"/>
  <c r="K777" i="2"/>
  <c r="D778" i="2"/>
  <c r="E778" i="2"/>
  <c r="F778" i="2"/>
  <c r="G778" i="2"/>
  <c r="H778" i="2"/>
  <c r="I778" i="2"/>
  <c r="J778" i="2"/>
  <c r="K778" i="2"/>
  <c r="D779" i="2"/>
  <c r="E779" i="2"/>
  <c r="F779" i="2"/>
  <c r="G779" i="2"/>
  <c r="H779" i="2"/>
  <c r="I779" i="2"/>
  <c r="J779" i="2"/>
  <c r="K779" i="2"/>
  <c r="D780" i="2"/>
  <c r="E780" i="2"/>
  <c r="F780" i="2"/>
  <c r="G780" i="2"/>
  <c r="H780" i="2"/>
  <c r="I780" i="2"/>
  <c r="J780" i="2"/>
  <c r="K780" i="2"/>
  <c r="D781" i="2"/>
  <c r="E781" i="2"/>
  <c r="F781" i="2"/>
  <c r="G781" i="2"/>
  <c r="H781" i="2"/>
  <c r="I781" i="2"/>
  <c r="J781" i="2"/>
  <c r="K781" i="2"/>
  <c r="D782" i="2"/>
  <c r="E782" i="2"/>
  <c r="F782" i="2"/>
  <c r="G782" i="2"/>
  <c r="H782" i="2"/>
  <c r="I782" i="2"/>
  <c r="J782" i="2"/>
  <c r="K782" i="2"/>
  <c r="D783" i="2"/>
  <c r="E783" i="2"/>
  <c r="F783" i="2"/>
  <c r="G783" i="2"/>
  <c r="H783" i="2"/>
  <c r="I783" i="2"/>
  <c r="J783" i="2"/>
  <c r="K783" i="2"/>
  <c r="D784" i="2"/>
  <c r="E784" i="2"/>
  <c r="F784" i="2"/>
  <c r="G784" i="2"/>
  <c r="H784" i="2"/>
  <c r="I784" i="2"/>
  <c r="J784" i="2"/>
  <c r="K784" i="2"/>
  <c r="D785" i="2"/>
  <c r="E785" i="2"/>
  <c r="F785" i="2"/>
  <c r="G785" i="2"/>
  <c r="H785" i="2"/>
  <c r="I785" i="2"/>
  <c r="J785" i="2"/>
  <c r="K785" i="2"/>
  <c r="D786" i="2"/>
  <c r="E786" i="2"/>
  <c r="F786" i="2"/>
  <c r="G786" i="2"/>
  <c r="H786" i="2"/>
  <c r="I786" i="2"/>
  <c r="J786" i="2"/>
  <c r="K786" i="2"/>
  <c r="D787" i="2"/>
  <c r="E787" i="2"/>
  <c r="F787" i="2"/>
  <c r="G787" i="2"/>
  <c r="H787" i="2"/>
  <c r="I787" i="2"/>
  <c r="J787" i="2"/>
  <c r="K787" i="2"/>
  <c r="D788" i="2"/>
  <c r="E788" i="2"/>
  <c r="F788" i="2"/>
  <c r="G788" i="2"/>
  <c r="H788" i="2"/>
  <c r="I788" i="2"/>
  <c r="J788" i="2"/>
  <c r="K788" i="2"/>
  <c r="D789" i="2"/>
  <c r="E789" i="2"/>
  <c r="F789" i="2"/>
  <c r="G789" i="2"/>
  <c r="H789" i="2"/>
  <c r="I789" i="2"/>
  <c r="J789" i="2"/>
  <c r="K789" i="2"/>
  <c r="D790" i="2"/>
  <c r="E790" i="2"/>
  <c r="F790" i="2"/>
  <c r="G790" i="2"/>
  <c r="H790" i="2"/>
  <c r="I790" i="2"/>
  <c r="J790" i="2"/>
  <c r="K790" i="2"/>
  <c r="D791" i="2"/>
  <c r="E791" i="2"/>
  <c r="F791" i="2"/>
  <c r="G791" i="2"/>
  <c r="H791" i="2"/>
  <c r="I791" i="2"/>
  <c r="J791" i="2"/>
  <c r="K791" i="2"/>
  <c r="D792" i="2"/>
  <c r="E792" i="2"/>
  <c r="F792" i="2"/>
  <c r="G792" i="2"/>
  <c r="H792" i="2"/>
  <c r="I792" i="2"/>
  <c r="J792" i="2"/>
  <c r="K792" i="2"/>
  <c r="D793" i="2"/>
  <c r="E793" i="2"/>
  <c r="F793" i="2"/>
  <c r="G793" i="2"/>
  <c r="H793" i="2"/>
  <c r="I793" i="2"/>
  <c r="J793" i="2"/>
  <c r="K793" i="2"/>
  <c r="D794" i="2"/>
  <c r="E794" i="2"/>
  <c r="F794" i="2"/>
  <c r="G794" i="2"/>
  <c r="H794" i="2"/>
  <c r="I794" i="2"/>
  <c r="J794" i="2"/>
  <c r="K794" i="2"/>
  <c r="D795" i="2"/>
  <c r="E795" i="2"/>
  <c r="F795" i="2"/>
  <c r="G795" i="2"/>
  <c r="H795" i="2"/>
  <c r="I795" i="2"/>
  <c r="J795" i="2"/>
  <c r="K795" i="2"/>
  <c r="D796" i="2"/>
  <c r="E796" i="2"/>
  <c r="F796" i="2"/>
  <c r="G796" i="2"/>
  <c r="H796" i="2"/>
  <c r="I796" i="2"/>
  <c r="J796" i="2"/>
  <c r="K796" i="2"/>
  <c r="D797" i="2"/>
  <c r="E797" i="2"/>
  <c r="F797" i="2"/>
  <c r="G797" i="2"/>
  <c r="H797" i="2"/>
  <c r="I797" i="2"/>
  <c r="J797" i="2"/>
  <c r="K797" i="2"/>
  <c r="D798" i="2"/>
  <c r="E798" i="2"/>
  <c r="F798" i="2"/>
  <c r="G798" i="2"/>
  <c r="H798" i="2"/>
  <c r="I798" i="2"/>
  <c r="J798" i="2"/>
  <c r="K798" i="2"/>
  <c r="D799" i="2"/>
  <c r="E799" i="2"/>
  <c r="F799" i="2"/>
  <c r="G799" i="2"/>
  <c r="H799" i="2"/>
  <c r="I799" i="2"/>
  <c r="J799" i="2"/>
  <c r="K799" i="2"/>
  <c r="D800" i="2"/>
  <c r="E800" i="2"/>
  <c r="F800" i="2"/>
  <c r="G800" i="2"/>
  <c r="H800" i="2"/>
  <c r="I800" i="2"/>
  <c r="J800" i="2"/>
  <c r="K800" i="2"/>
  <c r="D801" i="2"/>
  <c r="E801" i="2"/>
  <c r="F801" i="2"/>
  <c r="G801" i="2"/>
  <c r="H801" i="2"/>
  <c r="I801" i="2"/>
  <c r="J801" i="2"/>
  <c r="K801" i="2"/>
  <c r="D802" i="2"/>
  <c r="E802" i="2"/>
  <c r="F802" i="2"/>
  <c r="G802" i="2"/>
  <c r="H802" i="2"/>
  <c r="I802" i="2"/>
  <c r="J802" i="2"/>
  <c r="K802" i="2"/>
  <c r="D803" i="2"/>
  <c r="E803" i="2"/>
  <c r="F803" i="2"/>
  <c r="G803" i="2"/>
  <c r="H803" i="2"/>
  <c r="I803" i="2"/>
  <c r="J803" i="2"/>
  <c r="K803" i="2"/>
  <c r="D804" i="2"/>
  <c r="E804" i="2"/>
  <c r="F804" i="2"/>
  <c r="G804" i="2"/>
  <c r="H804" i="2"/>
  <c r="I804" i="2"/>
  <c r="J804" i="2"/>
  <c r="K804" i="2"/>
  <c r="D805" i="2"/>
  <c r="E805" i="2"/>
  <c r="F805" i="2"/>
  <c r="G805" i="2"/>
  <c r="H805" i="2"/>
  <c r="I805" i="2"/>
  <c r="J805" i="2"/>
  <c r="K805" i="2"/>
  <c r="D806" i="2"/>
  <c r="E806" i="2"/>
  <c r="F806" i="2"/>
  <c r="G806" i="2"/>
  <c r="H806" i="2"/>
  <c r="I806" i="2"/>
  <c r="J806" i="2"/>
  <c r="K806" i="2"/>
  <c r="D807" i="2"/>
  <c r="E807" i="2"/>
  <c r="F807" i="2"/>
  <c r="G807" i="2"/>
  <c r="H807" i="2"/>
  <c r="I807" i="2"/>
  <c r="J807" i="2"/>
  <c r="K807" i="2"/>
  <c r="D808" i="2"/>
  <c r="E808" i="2"/>
  <c r="F808" i="2"/>
  <c r="G808" i="2"/>
  <c r="H808" i="2"/>
  <c r="I808" i="2"/>
  <c r="J808" i="2"/>
  <c r="K808" i="2"/>
  <c r="D809" i="2"/>
  <c r="E809" i="2"/>
  <c r="F809" i="2"/>
  <c r="G809" i="2"/>
  <c r="H809" i="2"/>
  <c r="I809" i="2"/>
  <c r="J809" i="2"/>
  <c r="K809" i="2"/>
  <c r="D810" i="2"/>
  <c r="E810" i="2"/>
  <c r="F810" i="2"/>
  <c r="G810" i="2"/>
  <c r="H810" i="2"/>
  <c r="I810" i="2"/>
  <c r="J810" i="2"/>
  <c r="K810" i="2"/>
  <c r="D811" i="2"/>
  <c r="E811" i="2"/>
  <c r="F811" i="2"/>
  <c r="G811" i="2"/>
  <c r="H811" i="2"/>
  <c r="I811" i="2"/>
  <c r="J811" i="2"/>
  <c r="K811" i="2"/>
  <c r="D812" i="2"/>
  <c r="E812" i="2"/>
  <c r="F812" i="2"/>
  <c r="G812" i="2"/>
  <c r="H812" i="2"/>
  <c r="I812" i="2"/>
  <c r="J812" i="2"/>
  <c r="K812" i="2"/>
  <c r="D813" i="2"/>
  <c r="E813" i="2"/>
  <c r="F813" i="2"/>
  <c r="G813" i="2"/>
  <c r="H813" i="2"/>
  <c r="I813" i="2"/>
  <c r="J813" i="2"/>
  <c r="K813" i="2"/>
  <c r="D814" i="2"/>
  <c r="E814" i="2"/>
  <c r="F814" i="2"/>
  <c r="G814" i="2"/>
  <c r="H814" i="2"/>
  <c r="I814" i="2"/>
  <c r="J814" i="2"/>
  <c r="K814" i="2"/>
  <c r="D815" i="2"/>
  <c r="E815" i="2"/>
  <c r="F815" i="2"/>
  <c r="G815" i="2"/>
  <c r="H815" i="2"/>
  <c r="I815" i="2"/>
  <c r="J815" i="2"/>
  <c r="K815" i="2"/>
  <c r="D816" i="2"/>
  <c r="E816" i="2"/>
  <c r="F816" i="2"/>
  <c r="G816" i="2"/>
  <c r="H816" i="2"/>
  <c r="I816" i="2"/>
  <c r="J816" i="2"/>
  <c r="K816" i="2"/>
  <c r="D817" i="2"/>
  <c r="E817" i="2"/>
  <c r="F817" i="2"/>
  <c r="G817" i="2"/>
  <c r="H817" i="2"/>
  <c r="I817" i="2"/>
  <c r="J817" i="2"/>
  <c r="K817" i="2"/>
  <c r="D818" i="2"/>
  <c r="E818" i="2"/>
  <c r="F818" i="2"/>
  <c r="G818" i="2"/>
  <c r="H818" i="2"/>
  <c r="I818" i="2"/>
  <c r="J818" i="2"/>
  <c r="K818" i="2"/>
  <c r="D819" i="2"/>
  <c r="E819" i="2"/>
  <c r="F819" i="2"/>
  <c r="G819" i="2"/>
  <c r="H819" i="2"/>
  <c r="I819" i="2"/>
  <c r="J819" i="2"/>
  <c r="K819" i="2"/>
  <c r="D820" i="2"/>
  <c r="E820" i="2"/>
  <c r="F820" i="2"/>
  <c r="G820" i="2"/>
  <c r="H820" i="2"/>
  <c r="I820" i="2"/>
  <c r="J820" i="2"/>
  <c r="K820" i="2"/>
  <c r="D821" i="2"/>
  <c r="E821" i="2"/>
  <c r="F821" i="2"/>
  <c r="G821" i="2"/>
  <c r="H821" i="2"/>
  <c r="I821" i="2"/>
  <c r="J821" i="2"/>
  <c r="K821" i="2"/>
  <c r="D822" i="2"/>
  <c r="E822" i="2"/>
  <c r="F822" i="2"/>
  <c r="G822" i="2"/>
  <c r="H822" i="2"/>
  <c r="I822" i="2"/>
  <c r="J822" i="2"/>
  <c r="K822" i="2"/>
  <c r="D823" i="2"/>
  <c r="E823" i="2"/>
  <c r="F823" i="2"/>
  <c r="G823" i="2"/>
  <c r="H823" i="2"/>
  <c r="I823" i="2"/>
  <c r="J823" i="2"/>
  <c r="K823" i="2"/>
  <c r="D824" i="2"/>
  <c r="E824" i="2"/>
  <c r="F824" i="2"/>
  <c r="G824" i="2"/>
  <c r="H824" i="2"/>
  <c r="I824" i="2"/>
  <c r="J824" i="2"/>
  <c r="K824" i="2"/>
  <c r="D825" i="2"/>
  <c r="E825" i="2"/>
  <c r="F825" i="2"/>
  <c r="G825" i="2"/>
  <c r="H825" i="2"/>
  <c r="I825" i="2"/>
  <c r="J825" i="2"/>
  <c r="K825" i="2"/>
  <c r="D826" i="2"/>
  <c r="E826" i="2"/>
  <c r="F826" i="2"/>
  <c r="G826" i="2"/>
  <c r="H826" i="2"/>
  <c r="I826" i="2"/>
  <c r="J826" i="2"/>
  <c r="K826" i="2"/>
  <c r="D827" i="2"/>
  <c r="E827" i="2"/>
  <c r="F827" i="2"/>
  <c r="G827" i="2"/>
  <c r="H827" i="2"/>
  <c r="I827" i="2"/>
  <c r="J827" i="2"/>
  <c r="K827" i="2"/>
  <c r="D828" i="2"/>
  <c r="E828" i="2"/>
  <c r="F828" i="2"/>
  <c r="G828" i="2"/>
  <c r="H828" i="2"/>
  <c r="I828" i="2"/>
  <c r="J828" i="2"/>
  <c r="K828" i="2"/>
  <c r="D829" i="2"/>
  <c r="E829" i="2"/>
  <c r="F829" i="2"/>
  <c r="G829" i="2"/>
  <c r="H829" i="2"/>
  <c r="I829" i="2"/>
  <c r="J829" i="2"/>
  <c r="K829" i="2"/>
  <c r="D830" i="2"/>
  <c r="E830" i="2"/>
  <c r="F830" i="2"/>
  <c r="G830" i="2"/>
  <c r="H830" i="2"/>
  <c r="I830" i="2"/>
  <c r="J830" i="2"/>
  <c r="K830" i="2"/>
  <c r="D831" i="2"/>
  <c r="E831" i="2"/>
  <c r="F831" i="2"/>
  <c r="G831" i="2"/>
  <c r="H831" i="2"/>
  <c r="I831" i="2"/>
  <c r="J831" i="2"/>
  <c r="K831" i="2"/>
  <c r="D832" i="2"/>
  <c r="E832" i="2"/>
  <c r="F832" i="2"/>
  <c r="G832" i="2"/>
  <c r="H832" i="2"/>
  <c r="I832" i="2"/>
  <c r="J832" i="2"/>
  <c r="K832" i="2"/>
  <c r="D833" i="2"/>
  <c r="E833" i="2"/>
  <c r="F833" i="2"/>
  <c r="G833" i="2"/>
  <c r="H833" i="2"/>
  <c r="I833" i="2"/>
  <c r="J833" i="2"/>
  <c r="K833" i="2"/>
  <c r="D834" i="2"/>
  <c r="E834" i="2"/>
  <c r="F834" i="2"/>
  <c r="G834" i="2"/>
  <c r="H834" i="2"/>
  <c r="I834" i="2"/>
  <c r="J834" i="2"/>
  <c r="K834" i="2"/>
  <c r="D835" i="2"/>
  <c r="E835" i="2"/>
  <c r="F835" i="2"/>
  <c r="G835" i="2"/>
  <c r="H835" i="2"/>
  <c r="I835" i="2"/>
  <c r="J835" i="2"/>
  <c r="K835" i="2"/>
  <c r="D836" i="2"/>
  <c r="E836" i="2"/>
  <c r="F836" i="2"/>
  <c r="G836" i="2"/>
  <c r="H836" i="2"/>
  <c r="I836" i="2"/>
  <c r="J836" i="2"/>
  <c r="K836" i="2"/>
  <c r="D837" i="2"/>
  <c r="E837" i="2"/>
  <c r="F837" i="2"/>
  <c r="G837" i="2"/>
  <c r="H837" i="2"/>
  <c r="I837" i="2"/>
  <c r="J837" i="2"/>
  <c r="K837" i="2"/>
  <c r="D838" i="2"/>
  <c r="E838" i="2"/>
  <c r="F838" i="2"/>
  <c r="G838" i="2"/>
  <c r="H838" i="2"/>
  <c r="I838" i="2"/>
  <c r="J838" i="2"/>
  <c r="K838" i="2"/>
  <c r="D839" i="2"/>
  <c r="E839" i="2"/>
  <c r="F839" i="2"/>
  <c r="G839" i="2"/>
  <c r="H839" i="2"/>
  <c r="I839" i="2"/>
  <c r="J839" i="2"/>
  <c r="K839" i="2"/>
  <c r="D840" i="2"/>
  <c r="E840" i="2"/>
  <c r="F840" i="2"/>
  <c r="G840" i="2"/>
  <c r="H840" i="2"/>
  <c r="I840" i="2"/>
  <c r="J840" i="2"/>
  <c r="K840" i="2"/>
  <c r="D841" i="2"/>
  <c r="E841" i="2"/>
  <c r="F841" i="2"/>
  <c r="G841" i="2"/>
  <c r="H841" i="2"/>
  <c r="I841" i="2"/>
  <c r="J841" i="2"/>
  <c r="K841" i="2"/>
  <c r="D842" i="2"/>
  <c r="E842" i="2"/>
  <c r="F842" i="2"/>
  <c r="G842" i="2"/>
  <c r="H842" i="2"/>
  <c r="I842" i="2"/>
  <c r="J842" i="2"/>
  <c r="K842" i="2"/>
  <c r="D843" i="2"/>
  <c r="E843" i="2"/>
  <c r="F843" i="2"/>
  <c r="G843" i="2"/>
  <c r="H843" i="2"/>
  <c r="I843" i="2"/>
  <c r="J843" i="2"/>
  <c r="K843" i="2"/>
  <c r="D844" i="2"/>
  <c r="E844" i="2"/>
  <c r="F844" i="2"/>
  <c r="G844" i="2"/>
  <c r="H844" i="2"/>
  <c r="I844" i="2"/>
  <c r="J844" i="2"/>
  <c r="K844" i="2"/>
  <c r="D845" i="2"/>
  <c r="E845" i="2"/>
  <c r="F845" i="2"/>
  <c r="G845" i="2"/>
  <c r="H845" i="2"/>
  <c r="I845" i="2"/>
  <c r="J845" i="2"/>
  <c r="K845" i="2"/>
  <c r="D846" i="2"/>
  <c r="E846" i="2"/>
  <c r="F846" i="2"/>
  <c r="G846" i="2"/>
  <c r="H846" i="2"/>
  <c r="I846" i="2"/>
  <c r="J846" i="2"/>
  <c r="K846" i="2"/>
  <c r="D847" i="2"/>
  <c r="E847" i="2"/>
  <c r="F847" i="2"/>
  <c r="G847" i="2"/>
  <c r="H847" i="2"/>
  <c r="I847" i="2"/>
  <c r="J847" i="2"/>
  <c r="K847" i="2"/>
  <c r="D848" i="2"/>
  <c r="E848" i="2"/>
  <c r="F848" i="2"/>
  <c r="G848" i="2"/>
  <c r="H848" i="2"/>
  <c r="I848" i="2"/>
  <c r="J848" i="2"/>
  <c r="K848" i="2"/>
  <c r="D849" i="2"/>
  <c r="E849" i="2"/>
  <c r="F849" i="2"/>
  <c r="G849" i="2"/>
  <c r="H849" i="2"/>
  <c r="I849" i="2"/>
  <c r="J849" i="2"/>
  <c r="K849" i="2"/>
  <c r="D850" i="2"/>
  <c r="E850" i="2"/>
  <c r="F850" i="2"/>
  <c r="G850" i="2"/>
  <c r="H850" i="2"/>
  <c r="I850" i="2"/>
  <c r="J850" i="2"/>
  <c r="K850" i="2"/>
  <c r="D851" i="2"/>
  <c r="E851" i="2"/>
  <c r="F851" i="2"/>
  <c r="G851" i="2"/>
  <c r="H851" i="2"/>
  <c r="I851" i="2"/>
  <c r="J851" i="2"/>
  <c r="K851" i="2"/>
  <c r="D852" i="2"/>
  <c r="E852" i="2"/>
  <c r="F852" i="2"/>
  <c r="G852" i="2"/>
  <c r="H852" i="2"/>
  <c r="I852" i="2"/>
  <c r="J852" i="2"/>
  <c r="K852" i="2"/>
  <c r="D853" i="2"/>
  <c r="E853" i="2"/>
  <c r="F853" i="2"/>
  <c r="G853" i="2"/>
  <c r="H853" i="2"/>
  <c r="I853" i="2"/>
  <c r="J853" i="2"/>
  <c r="K853" i="2"/>
  <c r="D854" i="2"/>
  <c r="E854" i="2"/>
  <c r="F854" i="2"/>
  <c r="G854" i="2"/>
  <c r="H854" i="2"/>
  <c r="I854" i="2"/>
  <c r="J854" i="2"/>
  <c r="K854" i="2"/>
  <c r="D855" i="2"/>
  <c r="E855" i="2"/>
  <c r="F855" i="2"/>
  <c r="G855" i="2"/>
  <c r="H855" i="2"/>
  <c r="I855" i="2"/>
  <c r="J855" i="2"/>
  <c r="K855" i="2"/>
  <c r="D856" i="2"/>
  <c r="E856" i="2"/>
  <c r="F856" i="2"/>
  <c r="G856" i="2"/>
  <c r="H856" i="2"/>
  <c r="I856" i="2"/>
  <c r="J856" i="2"/>
  <c r="K856" i="2"/>
  <c r="D857" i="2"/>
  <c r="E857" i="2"/>
  <c r="F857" i="2"/>
  <c r="G857" i="2"/>
  <c r="H857" i="2"/>
  <c r="I857" i="2"/>
  <c r="J857" i="2"/>
  <c r="K857" i="2"/>
  <c r="D858" i="2"/>
  <c r="E858" i="2"/>
  <c r="F858" i="2"/>
  <c r="G858" i="2"/>
  <c r="H858" i="2"/>
  <c r="I858" i="2"/>
  <c r="J858" i="2"/>
  <c r="K858" i="2"/>
  <c r="D859" i="2"/>
  <c r="E859" i="2"/>
  <c r="F859" i="2"/>
  <c r="G859" i="2"/>
  <c r="H859" i="2"/>
  <c r="I859" i="2"/>
  <c r="J859" i="2"/>
  <c r="K859" i="2"/>
  <c r="D860" i="2"/>
  <c r="E860" i="2"/>
  <c r="F860" i="2"/>
  <c r="G860" i="2"/>
  <c r="H860" i="2"/>
  <c r="I860" i="2"/>
  <c r="J860" i="2"/>
  <c r="K860" i="2"/>
  <c r="D861" i="2"/>
  <c r="E861" i="2"/>
  <c r="F861" i="2"/>
  <c r="G861" i="2"/>
  <c r="H861" i="2"/>
  <c r="I861" i="2"/>
  <c r="J861" i="2"/>
  <c r="K861" i="2"/>
  <c r="D862" i="2"/>
  <c r="E862" i="2"/>
  <c r="F862" i="2"/>
  <c r="G862" i="2"/>
  <c r="H862" i="2"/>
  <c r="I862" i="2"/>
  <c r="J862" i="2"/>
  <c r="K862" i="2"/>
  <c r="D863" i="2"/>
  <c r="E863" i="2"/>
  <c r="F863" i="2"/>
  <c r="G863" i="2"/>
  <c r="H863" i="2"/>
  <c r="I863" i="2"/>
  <c r="J863" i="2"/>
  <c r="K863" i="2"/>
  <c r="D864" i="2"/>
  <c r="E864" i="2"/>
  <c r="F864" i="2"/>
  <c r="G864" i="2"/>
  <c r="H864" i="2"/>
  <c r="I864" i="2"/>
  <c r="J864" i="2"/>
  <c r="K864" i="2"/>
  <c r="D865" i="2"/>
  <c r="E865" i="2"/>
  <c r="F865" i="2"/>
  <c r="G865" i="2"/>
  <c r="H865" i="2"/>
  <c r="I865" i="2"/>
  <c r="J865" i="2"/>
  <c r="K865" i="2"/>
  <c r="D866" i="2"/>
  <c r="E866" i="2"/>
  <c r="F866" i="2"/>
  <c r="G866" i="2"/>
  <c r="H866" i="2"/>
  <c r="I866" i="2"/>
  <c r="J866" i="2"/>
  <c r="K866" i="2"/>
  <c r="D867" i="2"/>
  <c r="E867" i="2"/>
  <c r="F867" i="2"/>
  <c r="G867" i="2"/>
  <c r="H867" i="2"/>
  <c r="I867" i="2"/>
  <c r="J867" i="2"/>
  <c r="K867" i="2"/>
  <c r="D868" i="2"/>
  <c r="E868" i="2"/>
  <c r="F868" i="2"/>
  <c r="G868" i="2"/>
  <c r="H868" i="2"/>
  <c r="I868" i="2"/>
  <c r="J868" i="2"/>
  <c r="K868" i="2"/>
  <c r="D869" i="2"/>
  <c r="E869" i="2"/>
  <c r="F869" i="2"/>
  <c r="G869" i="2"/>
  <c r="H869" i="2"/>
  <c r="I869" i="2"/>
  <c r="J869" i="2"/>
  <c r="K869" i="2"/>
  <c r="D870" i="2"/>
  <c r="E870" i="2"/>
  <c r="F870" i="2"/>
  <c r="G870" i="2"/>
  <c r="H870" i="2"/>
  <c r="I870" i="2"/>
  <c r="J870" i="2"/>
  <c r="K870" i="2"/>
  <c r="D871" i="2"/>
  <c r="E871" i="2"/>
  <c r="F871" i="2"/>
  <c r="G871" i="2"/>
  <c r="H871" i="2"/>
  <c r="I871" i="2"/>
  <c r="J871" i="2"/>
  <c r="K871" i="2"/>
  <c r="D872" i="2"/>
  <c r="E872" i="2"/>
  <c r="F872" i="2"/>
  <c r="G872" i="2"/>
  <c r="H872" i="2"/>
  <c r="I872" i="2"/>
  <c r="J872" i="2"/>
  <c r="K872" i="2"/>
  <c r="D873" i="2"/>
  <c r="E873" i="2"/>
  <c r="F873" i="2"/>
  <c r="G873" i="2"/>
  <c r="H873" i="2"/>
  <c r="I873" i="2"/>
  <c r="J873" i="2"/>
  <c r="K873" i="2"/>
  <c r="D874" i="2"/>
  <c r="E874" i="2"/>
  <c r="F874" i="2"/>
  <c r="G874" i="2"/>
  <c r="H874" i="2"/>
  <c r="I874" i="2"/>
  <c r="J874" i="2"/>
  <c r="K874" i="2"/>
  <c r="D875" i="2"/>
  <c r="E875" i="2"/>
  <c r="F875" i="2"/>
  <c r="G875" i="2"/>
  <c r="H875" i="2"/>
  <c r="I875" i="2"/>
  <c r="J875" i="2"/>
  <c r="K875" i="2"/>
  <c r="D876" i="2"/>
  <c r="E876" i="2"/>
  <c r="F876" i="2"/>
  <c r="G876" i="2"/>
  <c r="H876" i="2"/>
  <c r="I876" i="2"/>
  <c r="J876" i="2"/>
  <c r="K876" i="2"/>
  <c r="D877" i="2"/>
  <c r="E877" i="2"/>
  <c r="F877" i="2"/>
  <c r="G877" i="2"/>
  <c r="H877" i="2"/>
  <c r="I877" i="2"/>
  <c r="J877" i="2"/>
  <c r="K877" i="2"/>
  <c r="D878" i="2"/>
  <c r="E878" i="2"/>
  <c r="F878" i="2"/>
  <c r="G878" i="2"/>
  <c r="H878" i="2"/>
  <c r="I878" i="2"/>
  <c r="J878" i="2"/>
  <c r="K878" i="2"/>
  <c r="D879" i="2"/>
  <c r="E879" i="2"/>
  <c r="F879" i="2"/>
  <c r="G879" i="2"/>
  <c r="H879" i="2"/>
  <c r="I879" i="2"/>
  <c r="J879" i="2"/>
  <c r="K879" i="2"/>
  <c r="D880" i="2"/>
  <c r="E880" i="2"/>
  <c r="F880" i="2"/>
  <c r="G880" i="2"/>
  <c r="H880" i="2"/>
  <c r="I880" i="2"/>
  <c r="J880" i="2"/>
  <c r="K880" i="2"/>
  <c r="D881" i="2"/>
  <c r="E881" i="2"/>
  <c r="F881" i="2"/>
  <c r="G881" i="2"/>
  <c r="H881" i="2"/>
  <c r="I881" i="2"/>
  <c r="J881" i="2"/>
  <c r="K881" i="2"/>
  <c r="D882" i="2"/>
  <c r="E882" i="2"/>
  <c r="F882" i="2"/>
  <c r="G882" i="2"/>
  <c r="H882" i="2"/>
  <c r="I882" i="2"/>
  <c r="J882" i="2"/>
  <c r="K882" i="2"/>
  <c r="D883" i="2"/>
  <c r="E883" i="2"/>
  <c r="F883" i="2"/>
  <c r="G883" i="2"/>
  <c r="H883" i="2"/>
  <c r="I883" i="2"/>
  <c r="J883" i="2"/>
  <c r="K883" i="2"/>
  <c r="D884" i="2"/>
  <c r="E884" i="2"/>
  <c r="F884" i="2"/>
  <c r="G884" i="2"/>
  <c r="H884" i="2"/>
  <c r="I884" i="2"/>
  <c r="J884" i="2"/>
  <c r="K884" i="2"/>
  <c r="D885" i="2"/>
  <c r="E885" i="2"/>
  <c r="F885" i="2"/>
  <c r="G885" i="2"/>
  <c r="H885" i="2"/>
  <c r="I885" i="2"/>
  <c r="J885" i="2"/>
  <c r="K885" i="2"/>
  <c r="D886" i="2"/>
  <c r="E886" i="2"/>
  <c r="F886" i="2"/>
  <c r="G886" i="2"/>
  <c r="H886" i="2"/>
  <c r="I886" i="2"/>
  <c r="J886" i="2"/>
  <c r="K886" i="2"/>
  <c r="D887" i="2"/>
  <c r="E887" i="2"/>
  <c r="F887" i="2"/>
  <c r="G887" i="2"/>
  <c r="H887" i="2"/>
  <c r="I887" i="2"/>
  <c r="J887" i="2"/>
  <c r="K887" i="2"/>
  <c r="D888" i="2"/>
  <c r="E888" i="2"/>
  <c r="F888" i="2"/>
  <c r="G888" i="2"/>
  <c r="H888" i="2"/>
  <c r="I888" i="2"/>
  <c r="J888" i="2"/>
  <c r="K888" i="2"/>
  <c r="D889" i="2"/>
  <c r="E889" i="2"/>
  <c r="F889" i="2"/>
  <c r="G889" i="2"/>
  <c r="H889" i="2"/>
  <c r="I889" i="2"/>
  <c r="J889" i="2"/>
  <c r="K889" i="2"/>
  <c r="D890" i="2"/>
  <c r="E890" i="2"/>
  <c r="F890" i="2"/>
  <c r="G890" i="2"/>
  <c r="H890" i="2"/>
  <c r="I890" i="2"/>
  <c r="J890" i="2"/>
  <c r="K890" i="2"/>
  <c r="D891" i="2"/>
  <c r="E891" i="2"/>
  <c r="F891" i="2"/>
  <c r="G891" i="2"/>
  <c r="H891" i="2"/>
  <c r="I891" i="2"/>
  <c r="J891" i="2"/>
  <c r="K891" i="2"/>
  <c r="D892" i="2"/>
  <c r="E892" i="2"/>
  <c r="F892" i="2"/>
  <c r="G892" i="2"/>
  <c r="H892" i="2"/>
  <c r="I892" i="2"/>
  <c r="J892" i="2"/>
  <c r="K892" i="2"/>
  <c r="D893" i="2"/>
  <c r="E893" i="2"/>
  <c r="F893" i="2"/>
  <c r="G893" i="2"/>
  <c r="H893" i="2"/>
  <c r="I893" i="2"/>
  <c r="J893" i="2"/>
  <c r="K893" i="2"/>
  <c r="D894" i="2"/>
  <c r="E894" i="2"/>
  <c r="F894" i="2"/>
  <c r="G894" i="2"/>
  <c r="H894" i="2"/>
  <c r="I894" i="2"/>
  <c r="J894" i="2"/>
  <c r="K894" i="2"/>
  <c r="D895" i="2"/>
  <c r="E895" i="2"/>
  <c r="F895" i="2"/>
  <c r="G895" i="2"/>
  <c r="H895" i="2"/>
  <c r="I895" i="2"/>
  <c r="J895" i="2"/>
  <c r="K895" i="2"/>
  <c r="D896" i="2"/>
  <c r="E896" i="2"/>
  <c r="F896" i="2"/>
  <c r="G896" i="2"/>
  <c r="H896" i="2"/>
  <c r="I896" i="2"/>
  <c r="J896" i="2"/>
  <c r="K896" i="2"/>
  <c r="D897" i="2"/>
  <c r="E897" i="2"/>
  <c r="F897" i="2"/>
  <c r="G897" i="2"/>
  <c r="H897" i="2"/>
  <c r="I897" i="2"/>
  <c r="J897" i="2"/>
  <c r="K897" i="2"/>
  <c r="D898" i="2"/>
  <c r="E898" i="2"/>
  <c r="F898" i="2"/>
  <c r="G898" i="2"/>
  <c r="H898" i="2"/>
  <c r="I898" i="2"/>
  <c r="J898" i="2"/>
  <c r="K898" i="2"/>
  <c r="D899" i="2"/>
  <c r="E899" i="2"/>
  <c r="F899" i="2"/>
  <c r="G899" i="2"/>
  <c r="H899" i="2"/>
  <c r="I899" i="2"/>
  <c r="J899" i="2"/>
  <c r="K899" i="2"/>
  <c r="D900" i="2"/>
  <c r="E900" i="2"/>
  <c r="F900" i="2"/>
  <c r="G900" i="2"/>
  <c r="H900" i="2"/>
  <c r="I900" i="2"/>
  <c r="J900" i="2"/>
  <c r="K900" i="2"/>
  <c r="D901" i="2"/>
  <c r="E901" i="2"/>
  <c r="F901" i="2"/>
  <c r="G901" i="2"/>
  <c r="H901" i="2"/>
  <c r="I901" i="2"/>
  <c r="J901" i="2"/>
  <c r="K901" i="2"/>
  <c r="D902" i="2"/>
  <c r="E902" i="2"/>
  <c r="F902" i="2"/>
  <c r="G902" i="2"/>
  <c r="H902" i="2"/>
  <c r="I902" i="2"/>
  <c r="J902" i="2"/>
  <c r="K902" i="2"/>
  <c r="D903" i="2"/>
  <c r="E903" i="2"/>
  <c r="F903" i="2"/>
  <c r="G903" i="2"/>
  <c r="H903" i="2"/>
  <c r="I903" i="2"/>
  <c r="J903" i="2"/>
  <c r="K903" i="2"/>
  <c r="D904" i="2"/>
  <c r="E904" i="2"/>
  <c r="F904" i="2"/>
  <c r="G904" i="2"/>
  <c r="H904" i="2"/>
  <c r="I904" i="2"/>
  <c r="J904" i="2"/>
  <c r="K904" i="2"/>
  <c r="D905" i="2"/>
  <c r="E905" i="2"/>
  <c r="F905" i="2"/>
  <c r="G905" i="2"/>
  <c r="H905" i="2"/>
  <c r="I905" i="2"/>
  <c r="J905" i="2"/>
  <c r="K905" i="2"/>
  <c r="D906" i="2"/>
  <c r="E906" i="2"/>
  <c r="F906" i="2"/>
  <c r="G906" i="2"/>
  <c r="H906" i="2"/>
  <c r="I906" i="2"/>
  <c r="J906" i="2"/>
  <c r="K906" i="2"/>
  <c r="D907" i="2"/>
  <c r="E907" i="2"/>
  <c r="F907" i="2"/>
  <c r="G907" i="2"/>
  <c r="H907" i="2"/>
  <c r="I907" i="2"/>
  <c r="J907" i="2"/>
  <c r="K907" i="2"/>
  <c r="D908" i="2"/>
  <c r="E908" i="2"/>
  <c r="F908" i="2"/>
  <c r="G908" i="2"/>
  <c r="H908" i="2"/>
  <c r="I908" i="2"/>
  <c r="J908" i="2"/>
  <c r="K908" i="2"/>
  <c r="D909" i="2"/>
  <c r="E909" i="2"/>
  <c r="F909" i="2"/>
  <c r="G909" i="2"/>
  <c r="H909" i="2"/>
  <c r="I909" i="2"/>
  <c r="J909" i="2"/>
  <c r="K909" i="2"/>
  <c r="D910" i="2"/>
  <c r="E910" i="2"/>
  <c r="F910" i="2"/>
  <c r="G910" i="2"/>
  <c r="H910" i="2"/>
  <c r="I910" i="2"/>
  <c r="J910" i="2"/>
  <c r="K910" i="2"/>
  <c r="D911" i="2"/>
  <c r="E911" i="2"/>
  <c r="F911" i="2"/>
  <c r="G911" i="2"/>
  <c r="H911" i="2"/>
  <c r="I911" i="2"/>
  <c r="J911" i="2"/>
  <c r="K911" i="2"/>
  <c r="D912" i="2"/>
  <c r="E912" i="2"/>
  <c r="F912" i="2"/>
  <c r="G912" i="2"/>
  <c r="H912" i="2"/>
  <c r="I912" i="2"/>
  <c r="J912" i="2"/>
  <c r="K912" i="2"/>
  <c r="D913" i="2"/>
  <c r="E913" i="2"/>
  <c r="F913" i="2"/>
  <c r="G913" i="2"/>
  <c r="H913" i="2"/>
  <c r="I913" i="2"/>
  <c r="J913" i="2"/>
  <c r="K913" i="2"/>
  <c r="D914" i="2"/>
  <c r="E914" i="2"/>
  <c r="F914" i="2"/>
  <c r="G914" i="2"/>
  <c r="H914" i="2"/>
  <c r="I914" i="2"/>
  <c r="J914" i="2"/>
  <c r="K914" i="2"/>
  <c r="D915" i="2"/>
  <c r="E915" i="2"/>
  <c r="F915" i="2"/>
  <c r="G915" i="2"/>
  <c r="H915" i="2"/>
  <c r="I915" i="2"/>
  <c r="J915" i="2"/>
  <c r="K915" i="2"/>
  <c r="D916" i="2"/>
  <c r="E916" i="2"/>
  <c r="F916" i="2"/>
  <c r="G916" i="2"/>
  <c r="H916" i="2"/>
  <c r="I916" i="2"/>
  <c r="J916" i="2"/>
  <c r="K916" i="2"/>
  <c r="D917" i="2"/>
  <c r="E917" i="2"/>
  <c r="F917" i="2"/>
  <c r="G917" i="2"/>
  <c r="H917" i="2"/>
  <c r="I917" i="2"/>
  <c r="J917" i="2"/>
  <c r="K917" i="2"/>
  <c r="D918" i="2"/>
  <c r="E918" i="2"/>
  <c r="F918" i="2"/>
  <c r="G918" i="2"/>
  <c r="H918" i="2"/>
  <c r="I918" i="2"/>
  <c r="J918" i="2"/>
  <c r="K918" i="2"/>
  <c r="D919" i="2"/>
  <c r="E919" i="2"/>
  <c r="F919" i="2"/>
  <c r="G919" i="2"/>
  <c r="H919" i="2"/>
  <c r="I919" i="2"/>
  <c r="J919" i="2"/>
  <c r="K919" i="2"/>
  <c r="D920" i="2"/>
  <c r="E920" i="2"/>
  <c r="F920" i="2"/>
  <c r="G920" i="2"/>
  <c r="H920" i="2"/>
  <c r="I920" i="2"/>
  <c r="J920" i="2"/>
  <c r="K920" i="2"/>
  <c r="D921" i="2"/>
  <c r="E921" i="2"/>
  <c r="F921" i="2"/>
  <c r="G921" i="2"/>
  <c r="H921" i="2"/>
  <c r="I921" i="2"/>
  <c r="J921" i="2"/>
  <c r="K921" i="2"/>
  <c r="D922" i="2"/>
  <c r="E922" i="2"/>
  <c r="F922" i="2"/>
  <c r="G922" i="2"/>
  <c r="H922" i="2"/>
  <c r="I922" i="2"/>
  <c r="J922" i="2"/>
  <c r="K922" i="2"/>
  <c r="D923" i="2"/>
  <c r="E923" i="2"/>
  <c r="F923" i="2"/>
  <c r="G923" i="2"/>
  <c r="H923" i="2"/>
  <c r="I923" i="2"/>
  <c r="J923" i="2"/>
  <c r="K923" i="2"/>
  <c r="D924" i="2"/>
  <c r="E924" i="2"/>
  <c r="F924" i="2"/>
  <c r="G924" i="2"/>
  <c r="H924" i="2"/>
  <c r="I924" i="2"/>
  <c r="J924" i="2"/>
  <c r="K924" i="2"/>
  <c r="D925" i="2"/>
  <c r="E925" i="2"/>
  <c r="F925" i="2"/>
  <c r="G925" i="2"/>
  <c r="H925" i="2"/>
  <c r="I925" i="2"/>
  <c r="J925" i="2"/>
  <c r="K925" i="2"/>
  <c r="D926" i="2"/>
  <c r="E926" i="2"/>
  <c r="F926" i="2"/>
  <c r="G926" i="2"/>
  <c r="H926" i="2"/>
  <c r="I926" i="2"/>
  <c r="J926" i="2"/>
  <c r="K926" i="2"/>
  <c r="D927" i="2"/>
  <c r="E927" i="2"/>
  <c r="F927" i="2"/>
  <c r="G927" i="2"/>
  <c r="H927" i="2"/>
  <c r="I927" i="2"/>
  <c r="J927" i="2"/>
  <c r="K927" i="2"/>
  <c r="D928" i="2"/>
  <c r="E928" i="2"/>
  <c r="F928" i="2"/>
  <c r="G928" i="2"/>
  <c r="H928" i="2"/>
  <c r="I928" i="2"/>
  <c r="J928" i="2"/>
  <c r="K928" i="2"/>
  <c r="D929" i="2"/>
  <c r="E929" i="2"/>
  <c r="F929" i="2"/>
  <c r="G929" i="2"/>
  <c r="H929" i="2"/>
  <c r="I929" i="2"/>
  <c r="J929" i="2"/>
  <c r="K929" i="2"/>
  <c r="D930" i="2"/>
  <c r="E930" i="2"/>
  <c r="F930" i="2"/>
  <c r="G930" i="2"/>
  <c r="H930" i="2"/>
  <c r="I930" i="2"/>
  <c r="J930" i="2"/>
  <c r="K930" i="2"/>
  <c r="D931" i="2"/>
  <c r="E931" i="2"/>
  <c r="F931" i="2"/>
  <c r="G931" i="2"/>
  <c r="H931" i="2"/>
  <c r="I931" i="2"/>
  <c r="J931" i="2"/>
  <c r="K931" i="2"/>
  <c r="D932" i="2"/>
  <c r="E932" i="2"/>
  <c r="F932" i="2"/>
  <c r="G932" i="2"/>
  <c r="H932" i="2"/>
  <c r="I932" i="2"/>
  <c r="J932" i="2"/>
  <c r="K932" i="2"/>
  <c r="D933" i="2"/>
  <c r="E933" i="2"/>
  <c r="F933" i="2"/>
  <c r="G933" i="2"/>
  <c r="H933" i="2"/>
  <c r="I933" i="2"/>
  <c r="J933" i="2"/>
  <c r="K933" i="2"/>
  <c r="D934" i="2"/>
  <c r="E934" i="2"/>
  <c r="F934" i="2"/>
  <c r="G934" i="2"/>
  <c r="H934" i="2"/>
  <c r="I934" i="2"/>
  <c r="J934" i="2"/>
  <c r="K934" i="2"/>
  <c r="D935" i="2"/>
  <c r="E935" i="2"/>
  <c r="F935" i="2"/>
  <c r="G935" i="2"/>
  <c r="H935" i="2"/>
  <c r="I935" i="2"/>
  <c r="J935" i="2"/>
  <c r="K935" i="2"/>
  <c r="D936" i="2"/>
  <c r="E936" i="2"/>
  <c r="F936" i="2"/>
  <c r="G936" i="2"/>
  <c r="H936" i="2"/>
  <c r="I936" i="2"/>
  <c r="J936" i="2"/>
  <c r="K936" i="2"/>
  <c r="D937" i="2"/>
  <c r="E937" i="2"/>
  <c r="F937" i="2"/>
  <c r="G937" i="2"/>
  <c r="H937" i="2"/>
  <c r="I937" i="2"/>
  <c r="J937" i="2"/>
  <c r="K937" i="2"/>
  <c r="D938" i="2"/>
  <c r="E938" i="2"/>
  <c r="F938" i="2"/>
  <c r="G938" i="2"/>
  <c r="H938" i="2"/>
  <c r="I938" i="2"/>
  <c r="J938" i="2"/>
  <c r="K938" i="2"/>
  <c r="D939" i="2"/>
  <c r="E939" i="2"/>
  <c r="F939" i="2"/>
  <c r="G939" i="2"/>
  <c r="H939" i="2"/>
  <c r="I939" i="2"/>
  <c r="J939" i="2"/>
  <c r="K939" i="2"/>
  <c r="D940" i="2"/>
  <c r="E940" i="2"/>
  <c r="F940" i="2"/>
  <c r="G940" i="2"/>
  <c r="H940" i="2"/>
  <c r="I940" i="2"/>
  <c r="J940" i="2"/>
  <c r="K940" i="2"/>
  <c r="D941" i="2"/>
  <c r="E941" i="2"/>
  <c r="F941" i="2"/>
  <c r="G941" i="2"/>
  <c r="H941" i="2"/>
  <c r="I941" i="2"/>
  <c r="J941" i="2"/>
  <c r="K941" i="2"/>
  <c r="D942" i="2"/>
  <c r="E942" i="2"/>
  <c r="F942" i="2"/>
  <c r="G942" i="2"/>
  <c r="H942" i="2"/>
  <c r="I942" i="2"/>
  <c r="J942" i="2"/>
  <c r="K942" i="2"/>
  <c r="D943" i="2"/>
  <c r="E943" i="2"/>
  <c r="F943" i="2"/>
  <c r="G943" i="2"/>
  <c r="H943" i="2"/>
  <c r="I943" i="2"/>
  <c r="J943" i="2"/>
  <c r="K943" i="2"/>
  <c r="D944" i="2"/>
  <c r="E944" i="2"/>
  <c r="F944" i="2"/>
  <c r="G944" i="2"/>
  <c r="H944" i="2"/>
  <c r="I944" i="2"/>
  <c r="J944" i="2"/>
  <c r="K944" i="2"/>
  <c r="D945" i="2"/>
  <c r="E945" i="2"/>
  <c r="F945" i="2"/>
  <c r="G945" i="2"/>
  <c r="H945" i="2"/>
  <c r="I945" i="2"/>
  <c r="J945" i="2"/>
  <c r="K945" i="2"/>
  <c r="D946" i="2"/>
  <c r="E946" i="2"/>
  <c r="F946" i="2"/>
  <c r="G946" i="2"/>
  <c r="H946" i="2"/>
  <c r="I946" i="2"/>
  <c r="J946" i="2"/>
  <c r="K946" i="2"/>
  <c r="D947" i="2"/>
  <c r="E947" i="2"/>
  <c r="F947" i="2"/>
  <c r="G947" i="2"/>
  <c r="H947" i="2"/>
  <c r="I947" i="2"/>
  <c r="J947" i="2"/>
  <c r="K947" i="2"/>
  <c r="D948" i="2"/>
  <c r="E948" i="2"/>
  <c r="F948" i="2"/>
  <c r="G948" i="2"/>
  <c r="H948" i="2"/>
  <c r="I948" i="2"/>
  <c r="J948" i="2"/>
  <c r="K948" i="2"/>
  <c r="D949" i="2"/>
  <c r="E949" i="2"/>
  <c r="F949" i="2"/>
  <c r="G949" i="2"/>
  <c r="H949" i="2"/>
  <c r="I949" i="2"/>
  <c r="J949" i="2"/>
  <c r="K949" i="2"/>
  <c r="D950" i="2"/>
  <c r="E950" i="2"/>
  <c r="F950" i="2"/>
  <c r="G950" i="2"/>
  <c r="H950" i="2"/>
  <c r="I950" i="2"/>
  <c r="J950" i="2"/>
  <c r="K950" i="2"/>
  <c r="D951" i="2"/>
  <c r="E951" i="2"/>
  <c r="F951" i="2"/>
  <c r="G951" i="2"/>
  <c r="H951" i="2"/>
  <c r="I951" i="2"/>
  <c r="J951" i="2"/>
  <c r="K951" i="2"/>
  <c r="D952" i="2"/>
  <c r="E952" i="2"/>
  <c r="F952" i="2"/>
  <c r="G952" i="2"/>
  <c r="H952" i="2"/>
  <c r="I952" i="2"/>
  <c r="J952" i="2"/>
  <c r="K952" i="2"/>
  <c r="D953" i="2"/>
  <c r="E953" i="2"/>
  <c r="F953" i="2"/>
  <c r="G953" i="2"/>
  <c r="H953" i="2"/>
  <c r="I953" i="2"/>
  <c r="J953" i="2"/>
  <c r="K953" i="2"/>
  <c r="D954" i="2"/>
  <c r="E954" i="2"/>
  <c r="F954" i="2"/>
  <c r="G954" i="2"/>
  <c r="H954" i="2"/>
  <c r="I954" i="2"/>
  <c r="J954" i="2"/>
  <c r="K954" i="2"/>
  <c r="D955" i="2"/>
  <c r="E955" i="2"/>
  <c r="F955" i="2"/>
  <c r="G955" i="2"/>
  <c r="H955" i="2"/>
  <c r="I955" i="2"/>
  <c r="J955" i="2"/>
  <c r="K955" i="2"/>
  <c r="D956" i="2"/>
  <c r="E956" i="2"/>
  <c r="F956" i="2"/>
  <c r="G956" i="2"/>
  <c r="H956" i="2"/>
  <c r="I956" i="2"/>
  <c r="J956" i="2"/>
  <c r="K956" i="2"/>
  <c r="D957" i="2"/>
  <c r="E957" i="2"/>
  <c r="F957" i="2"/>
  <c r="G957" i="2"/>
  <c r="H957" i="2"/>
  <c r="I957" i="2"/>
  <c r="J957" i="2"/>
  <c r="K957" i="2"/>
  <c r="D958" i="2"/>
  <c r="E958" i="2"/>
  <c r="F958" i="2"/>
  <c r="G958" i="2"/>
  <c r="H958" i="2"/>
  <c r="I958" i="2"/>
  <c r="J958" i="2"/>
  <c r="K958" i="2"/>
  <c r="D959" i="2"/>
  <c r="E959" i="2"/>
  <c r="F959" i="2"/>
  <c r="G959" i="2"/>
  <c r="H959" i="2"/>
  <c r="I959" i="2"/>
  <c r="J959" i="2"/>
  <c r="K959" i="2"/>
  <c r="D960" i="2"/>
  <c r="E960" i="2"/>
  <c r="F960" i="2"/>
  <c r="G960" i="2"/>
  <c r="H960" i="2"/>
  <c r="I960" i="2"/>
  <c r="J960" i="2"/>
  <c r="K960" i="2"/>
  <c r="D961" i="2"/>
  <c r="E961" i="2"/>
  <c r="F961" i="2"/>
  <c r="G961" i="2"/>
  <c r="H961" i="2"/>
  <c r="I961" i="2"/>
  <c r="J961" i="2"/>
  <c r="K961" i="2"/>
  <c r="D962" i="2"/>
  <c r="E962" i="2"/>
  <c r="F962" i="2"/>
  <c r="G962" i="2"/>
  <c r="H962" i="2"/>
  <c r="I962" i="2"/>
  <c r="J962" i="2"/>
  <c r="K962" i="2"/>
  <c r="D963" i="2"/>
  <c r="E963" i="2"/>
  <c r="F963" i="2"/>
  <c r="G963" i="2"/>
  <c r="H963" i="2"/>
  <c r="I963" i="2"/>
  <c r="J963" i="2"/>
  <c r="K963" i="2"/>
  <c r="D964" i="2"/>
  <c r="E964" i="2"/>
  <c r="F964" i="2"/>
  <c r="G964" i="2"/>
  <c r="H964" i="2"/>
  <c r="I964" i="2"/>
  <c r="J964" i="2"/>
  <c r="K964" i="2"/>
  <c r="D965" i="2"/>
  <c r="E965" i="2"/>
  <c r="F965" i="2"/>
  <c r="G965" i="2"/>
  <c r="H965" i="2"/>
  <c r="I965" i="2"/>
  <c r="J965" i="2"/>
  <c r="K965" i="2"/>
  <c r="D966" i="2"/>
  <c r="E966" i="2"/>
  <c r="F966" i="2"/>
  <c r="G966" i="2"/>
  <c r="H966" i="2"/>
  <c r="I966" i="2"/>
  <c r="J966" i="2"/>
  <c r="K966" i="2"/>
  <c r="D967" i="2"/>
  <c r="E967" i="2"/>
  <c r="F967" i="2"/>
  <c r="G967" i="2"/>
  <c r="H967" i="2"/>
  <c r="I967" i="2"/>
  <c r="J967" i="2"/>
  <c r="K967" i="2"/>
  <c r="D968" i="2"/>
  <c r="E968" i="2"/>
  <c r="F968" i="2"/>
  <c r="G968" i="2"/>
  <c r="H968" i="2"/>
  <c r="I968" i="2"/>
  <c r="J968" i="2"/>
  <c r="K968" i="2"/>
  <c r="D969" i="2"/>
  <c r="E969" i="2"/>
  <c r="F969" i="2"/>
  <c r="G969" i="2"/>
  <c r="H969" i="2"/>
  <c r="I969" i="2"/>
  <c r="J969" i="2"/>
  <c r="K969" i="2"/>
  <c r="D970" i="2"/>
  <c r="E970" i="2"/>
  <c r="F970" i="2"/>
  <c r="G970" i="2"/>
  <c r="H970" i="2"/>
  <c r="I970" i="2"/>
  <c r="J970" i="2"/>
  <c r="K970" i="2"/>
  <c r="D971" i="2"/>
  <c r="E971" i="2"/>
  <c r="F971" i="2"/>
  <c r="G971" i="2"/>
  <c r="H971" i="2"/>
  <c r="I971" i="2"/>
  <c r="J971" i="2"/>
  <c r="K971" i="2"/>
  <c r="D972" i="2"/>
  <c r="E972" i="2"/>
  <c r="F972" i="2"/>
  <c r="G972" i="2"/>
  <c r="H972" i="2"/>
  <c r="I972" i="2"/>
  <c r="J972" i="2"/>
  <c r="K972" i="2"/>
  <c r="D973" i="2"/>
  <c r="E973" i="2"/>
  <c r="F973" i="2"/>
  <c r="G973" i="2"/>
  <c r="H973" i="2"/>
  <c r="I973" i="2"/>
  <c r="J973" i="2"/>
  <c r="K973" i="2"/>
  <c r="D974" i="2"/>
  <c r="E974" i="2"/>
  <c r="F974" i="2"/>
  <c r="G974" i="2"/>
  <c r="H974" i="2"/>
  <c r="I974" i="2"/>
  <c r="J974" i="2"/>
  <c r="K974" i="2"/>
  <c r="D975" i="2"/>
  <c r="E975" i="2"/>
  <c r="F975" i="2"/>
  <c r="G975" i="2"/>
  <c r="H975" i="2"/>
  <c r="I975" i="2"/>
  <c r="J975" i="2"/>
  <c r="K975" i="2"/>
  <c r="D976" i="2"/>
  <c r="E976" i="2"/>
  <c r="F976" i="2"/>
  <c r="G976" i="2"/>
  <c r="H976" i="2"/>
  <c r="I976" i="2"/>
  <c r="J976" i="2"/>
  <c r="K976" i="2"/>
  <c r="D977" i="2"/>
  <c r="E977" i="2"/>
  <c r="F977" i="2"/>
  <c r="G977" i="2"/>
  <c r="H977" i="2"/>
  <c r="I977" i="2"/>
  <c r="J977" i="2"/>
  <c r="K977" i="2"/>
  <c r="D978" i="2"/>
  <c r="E978" i="2"/>
  <c r="F978" i="2"/>
  <c r="G978" i="2"/>
  <c r="H978" i="2"/>
  <c r="I978" i="2"/>
  <c r="J978" i="2"/>
  <c r="K978" i="2"/>
  <c r="D979" i="2"/>
  <c r="E979" i="2"/>
  <c r="F979" i="2"/>
  <c r="G979" i="2"/>
  <c r="H979" i="2"/>
  <c r="I979" i="2"/>
  <c r="J979" i="2"/>
  <c r="K979" i="2"/>
  <c r="D980" i="2"/>
  <c r="E980" i="2"/>
  <c r="F980" i="2"/>
  <c r="G980" i="2"/>
  <c r="H980" i="2"/>
  <c r="I980" i="2"/>
  <c r="J980" i="2"/>
  <c r="K980" i="2"/>
  <c r="D981" i="2"/>
  <c r="E981" i="2"/>
  <c r="F981" i="2"/>
  <c r="G981" i="2"/>
  <c r="H981" i="2"/>
  <c r="I981" i="2"/>
  <c r="J981" i="2"/>
  <c r="K981" i="2"/>
  <c r="D982" i="2"/>
  <c r="E982" i="2"/>
  <c r="F982" i="2"/>
  <c r="G982" i="2"/>
  <c r="H982" i="2"/>
  <c r="I982" i="2"/>
  <c r="J982" i="2"/>
  <c r="K982" i="2"/>
  <c r="D983" i="2"/>
  <c r="E983" i="2"/>
  <c r="F983" i="2"/>
  <c r="G983" i="2"/>
  <c r="H983" i="2"/>
  <c r="I983" i="2"/>
  <c r="J983" i="2"/>
  <c r="K983" i="2"/>
  <c r="D984" i="2"/>
  <c r="E984" i="2"/>
  <c r="F984" i="2"/>
  <c r="G984" i="2"/>
  <c r="H984" i="2"/>
  <c r="I984" i="2"/>
  <c r="J984" i="2"/>
  <c r="K984" i="2"/>
  <c r="D985" i="2"/>
  <c r="E985" i="2"/>
  <c r="F985" i="2"/>
  <c r="G985" i="2"/>
  <c r="H985" i="2"/>
  <c r="I985" i="2"/>
  <c r="J985" i="2"/>
  <c r="K985" i="2"/>
  <c r="D986" i="2"/>
  <c r="E986" i="2"/>
  <c r="F986" i="2"/>
  <c r="G986" i="2"/>
  <c r="H986" i="2"/>
  <c r="I986" i="2"/>
  <c r="J986" i="2"/>
  <c r="K986" i="2"/>
  <c r="D987" i="2"/>
  <c r="E987" i="2"/>
  <c r="F987" i="2"/>
  <c r="G987" i="2"/>
  <c r="H987" i="2"/>
  <c r="I987" i="2"/>
  <c r="J987" i="2"/>
  <c r="K987" i="2"/>
  <c r="D988" i="2"/>
  <c r="E988" i="2"/>
  <c r="F988" i="2"/>
  <c r="G988" i="2"/>
  <c r="H988" i="2"/>
  <c r="I988" i="2"/>
  <c r="J988" i="2"/>
  <c r="K988" i="2"/>
  <c r="D989" i="2"/>
  <c r="E989" i="2"/>
  <c r="F989" i="2"/>
  <c r="G989" i="2"/>
  <c r="H989" i="2"/>
  <c r="I989" i="2"/>
  <c r="J989" i="2"/>
  <c r="K989" i="2"/>
  <c r="D990" i="2"/>
  <c r="E990" i="2"/>
  <c r="F990" i="2"/>
  <c r="G990" i="2"/>
  <c r="H990" i="2"/>
  <c r="I990" i="2"/>
  <c r="J990" i="2"/>
  <c r="K990" i="2"/>
  <c r="D991" i="2"/>
  <c r="E991" i="2"/>
  <c r="F991" i="2"/>
  <c r="G991" i="2"/>
  <c r="H991" i="2"/>
  <c r="I991" i="2"/>
  <c r="J991" i="2"/>
  <c r="K991" i="2"/>
  <c r="D992" i="2"/>
  <c r="E992" i="2"/>
  <c r="F992" i="2"/>
  <c r="G992" i="2"/>
  <c r="H992" i="2"/>
  <c r="I992" i="2"/>
  <c r="J992" i="2"/>
  <c r="K992" i="2"/>
  <c r="D993" i="2"/>
  <c r="E993" i="2"/>
  <c r="F993" i="2"/>
  <c r="G993" i="2"/>
  <c r="H993" i="2"/>
  <c r="I993" i="2"/>
  <c r="J993" i="2"/>
  <c r="K993" i="2"/>
  <c r="D994" i="2"/>
  <c r="E994" i="2"/>
  <c r="F994" i="2"/>
  <c r="G994" i="2"/>
  <c r="H994" i="2"/>
  <c r="I994" i="2"/>
  <c r="J994" i="2"/>
  <c r="K994" i="2"/>
  <c r="D995" i="2"/>
  <c r="E995" i="2"/>
  <c r="F995" i="2"/>
  <c r="G995" i="2"/>
  <c r="H995" i="2"/>
  <c r="I995" i="2"/>
  <c r="J995" i="2"/>
  <c r="K995" i="2"/>
  <c r="D996" i="2"/>
  <c r="E996" i="2"/>
  <c r="F996" i="2"/>
  <c r="G996" i="2"/>
  <c r="H996" i="2"/>
  <c r="I996" i="2"/>
  <c r="J996" i="2"/>
  <c r="K996" i="2"/>
  <c r="D997" i="2"/>
  <c r="E997" i="2"/>
  <c r="F997" i="2"/>
  <c r="G997" i="2"/>
  <c r="H997" i="2"/>
  <c r="I997" i="2"/>
  <c r="J997" i="2"/>
  <c r="K997" i="2"/>
  <c r="D998" i="2"/>
  <c r="E998" i="2"/>
  <c r="F998" i="2"/>
  <c r="G998" i="2"/>
  <c r="H998" i="2"/>
  <c r="I998" i="2"/>
  <c r="J998" i="2"/>
  <c r="K998" i="2"/>
  <c r="D999" i="2"/>
  <c r="E999" i="2"/>
  <c r="F999" i="2"/>
  <c r="G999" i="2"/>
  <c r="H999" i="2"/>
  <c r="I999" i="2"/>
  <c r="J999" i="2"/>
  <c r="K999" i="2"/>
  <c r="D1000" i="2"/>
  <c r="E1000" i="2"/>
  <c r="F1000" i="2"/>
  <c r="G1000" i="2"/>
  <c r="H1000" i="2"/>
  <c r="I1000" i="2"/>
  <c r="J1000" i="2"/>
  <c r="K1000" i="2"/>
  <c r="D1001" i="2"/>
  <c r="E1001" i="2"/>
  <c r="F1001" i="2"/>
  <c r="G1001" i="2"/>
  <c r="H1001" i="2"/>
  <c r="I1001" i="2"/>
  <c r="J1001" i="2"/>
  <c r="K1001" i="2"/>
  <c r="D2" i="2"/>
  <c r="E2" i="2"/>
  <c r="F2" i="2"/>
  <c r="G2" i="2"/>
  <c r="H2" i="2"/>
  <c r="J2" i="2"/>
  <c r="K2" i="2"/>
  <c r="D3" i="2"/>
  <c r="E3" i="2"/>
  <c r="F3" i="2"/>
  <c r="G3" i="2"/>
  <c r="H3" i="2"/>
  <c r="I3" i="2"/>
  <c r="J3" i="2"/>
  <c r="K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2" i="2"/>
  <c r="B934" i="3" l="1"/>
  <c r="B906" i="3"/>
  <c r="B901" i="3"/>
  <c r="B879" i="3"/>
  <c r="B821" i="3"/>
  <c r="B814" i="3"/>
  <c r="B807" i="3"/>
  <c r="B433" i="3"/>
  <c r="B371" i="3"/>
  <c r="B635" i="3"/>
  <c r="B463" i="3"/>
  <c r="B401" i="3"/>
  <c r="B268" i="3"/>
  <c r="B230" i="3"/>
  <c r="B34" i="3"/>
  <c r="B957" i="3"/>
  <c r="B903" i="3"/>
  <c r="B897" i="3"/>
  <c r="B853" i="3"/>
  <c r="B838" i="3"/>
  <c r="B250" i="3"/>
  <c r="B188" i="3"/>
  <c r="B709" i="3"/>
  <c r="B110" i="3"/>
  <c r="B998" i="3"/>
  <c r="B978" i="3"/>
  <c r="B958" i="3"/>
  <c r="B947" i="3"/>
  <c r="B861" i="3"/>
  <c r="B847" i="3"/>
  <c r="B723" i="3"/>
  <c r="B679" i="3"/>
  <c r="B619" i="3"/>
  <c r="B469" i="3"/>
  <c r="B310" i="3"/>
  <c r="B202" i="3"/>
  <c r="M134" i="3" a="1"/>
  <c r="M134" i="3" s="1"/>
  <c r="B134" i="3"/>
  <c r="B118" i="3"/>
  <c r="B42" i="3"/>
  <c r="B28" i="3"/>
  <c r="C32" i="8"/>
  <c r="D33" i="8"/>
  <c r="D32" i="8"/>
  <c r="D31" i="8"/>
  <c r="C33" i="8"/>
  <c r="C31" i="8"/>
  <c r="B691" i="3"/>
  <c r="B647" i="3"/>
  <c r="B559" i="3"/>
  <c r="B437" i="3"/>
  <c r="B431" i="3"/>
  <c r="B102" i="3"/>
  <c r="M10" i="3" a="1"/>
  <c r="M10" i="3" s="1"/>
  <c r="B10" i="3"/>
  <c r="B989" i="3"/>
  <c r="B961" i="3"/>
  <c r="B878" i="3"/>
  <c r="B837" i="3"/>
  <c r="B682" i="3"/>
  <c r="B601" i="3"/>
  <c r="B571" i="3"/>
  <c r="B535" i="3"/>
  <c r="M54" i="3" a="1"/>
  <c r="M54" i="3" s="1"/>
  <c r="B54" i="3"/>
  <c r="B955" i="3"/>
  <c r="B949" i="3"/>
  <c r="B943" i="3"/>
  <c r="B883" i="3"/>
  <c r="B801" i="3"/>
  <c r="B795" i="3"/>
  <c r="B607" i="3"/>
  <c r="B549" i="3"/>
  <c r="B382" i="3"/>
  <c r="M76" i="3" a="1"/>
  <c r="M76" i="3" s="1"/>
  <c r="B76" i="3"/>
  <c r="B930" i="3"/>
  <c r="M930" i="3" a="1"/>
  <c r="M930" i="3" s="1"/>
  <c r="B924" i="3"/>
  <c r="M924" i="3" a="1"/>
  <c r="M924" i="3" s="1"/>
  <c r="B918" i="3"/>
  <c r="M918" i="3" a="1"/>
  <c r="M918" i="3" s="1"/>
  <c r="B912" i="3"/>
  <c r="M912" i="3" a="1"/>
  <c r="M912" i="3" s="1"/>
  <c r="B895" i="3"/>
  <c r="M895" i="3" a="1"/>
  <c r="M895" i="3" s="1"/>
  <c r="B888" i="3"/>
  <c r="M888" i="3" a="1"/>
  <c r="M888" i="3" s="1"/>
  <c r="B881" i="3"/>
  <c r="M881" i="3" a="1"/>
  <c r="M881" i="3" s="1"/>
  <c r="B875" i="3"/>
  <c r="M875" i="3" a="1"/>
  <c r="M875" i="3" s="1"/>
  <c r="B856" i="3"/>
  <c r="M856" i="3" a="1"/>
  <c r="M856" i="3" s="1"/>
  <c r="B844" i="3"/>
  <c r="M844" i="3" a="1"/>
  <c r="M844" i="3" s="1"/>
  <c r="B816" i="3"/>
  <c r="M816" i="3" a="1"/>
  <c r="M816" i="3" s="1"/>
  <c r="B805" i="3"/>
  <c r="M805" i="3" a="1"/>
  <c r="M805" i="3" s="1"/>
  <c r="B792" i="3"/>
  <c r="M792" i="3" a="1"/>
  <c r="M792" i="3" s="1"/>
  <c r="B786" i="3"/>
  <c r="M786" i="3" a="1"/>
  <c r="M786" i="3" s="1"/>
  <c r="B780" i="3"/>
  <c r="M780" i="3" a="1"/>
  <c r="M780" i="3" s="1"/>
  <c r="B767" i="3"/>
  <c r="M767" i="3" a="1"/>
  <c r="M767" i="3" s="1"/>
  <c r="B762" i="3"/>
  <c r="M762" i="3" a="1"/>
  <c r="M762" i="3" s="1"/>
  <c r="B756" i="3"/>
  <c r="M756" i="3" a="1"/>
  <c r="M756" i="3" s="1"/>
  <c r="B740" i="3"/>
  <c r="M740" i="3" a="1"/>
  <c r="M740" i="3" s="1"/>
  <c r="B733" i="3"/>
  <c r="M733" i="3" a="1"/>
  <c r="M733" i="3" s="1"/>
  <c r="B725" i="3"/>
  <c r="M725" i="3" a="1"/>
  <c r="M725" i="3" s="1"/>
  <c r="B706" i="3"/>
  <c r="M706" i="3" a="1"/>
  <c r="M706" i="3" s="1"/>
  <c r="B694" i="3"/>
  <c r="M694" i="3" a="1"/>
  <c r="M694" i="3" s="1"/>
  <c r="B689" i="3"/>
  <c r="M689" i="3" a="1"/>
  <c r="M689" i="3" s="1"/>
  <c r="B676" i="3"/>
  <c r="M676" i="3" a="1"/>
  <c r="M676" i="3" s="1"/>
  <c r="B656" i="3"/>
  <c r="M656" i="3" a="1"/>
  <c r="M656" i="3" s="1"/>
  <c r="B649" i="3"/>
  <c r="M649" i="3" a="1"/>
  <c r="M649" i="3" s="1"/>
  <c r="B642" i="3"/>
  <c r="M642" i="3" a="1"/>
  <c r="M642" i="3" s="1"/>
  <c r="B629" i="3"/>
  <c r="M629" i="3" a="1"/>
  <c r="M629" i="3" s="1"/>
  <c r="B621" i="3"/>
  <c r="M621" i="3" a="1"/>
  <c r="M621" i="3" s="1"/>
  <c r="B594" i="3"/>
  <c r="M594" i="3" a="1"/>
  <c r="M594" i="3" s="1"/>
  <c r="B582" i="3"/>
  <c r="M582" i="3" a="1"/>
  <c r="M582" i="3" s="1"/>
  <c r="B563" i="3"/>
  <c r="M563" i="3" a="1"/>
  <c r="M563" i="3" s="1"/>
  <c r="B556" i="3"/>
  <c r="M556" i="3" a="1"/>
  <c r="M556" i="3" s="1"/>
  <c r="B550" i="3"/>
  <c r="M550" i="3" a="1"/>
  <c r="M550" i="3" s="1"/>
  <c r="B543" i="3"/>
  <c r="M543" i="3" a="1"/>
  <c r="M543" i="3" s="1"/>
  <c r="B529" i="3"/>
  <c r="M529" i="3" a="1"/>
  <c r="M529" i="3" s="1"/>
  <c r="B521" i="3"/>
  <c r="M521" i="3" a="1"/>
  <c r="M521" i="3" s="1"/>
  <c r="B513" i="3"/>
  <c r="M513" i="3" a="1"/>
  <c r="M513" i="3" s="1"/>
  <c r="B505" i="3"/>
  <c r="M505" i="3" a="1"/>
  <c r="M505" i="3" s="1"/>
  <c r="B498" i="3"/>
  <c r="M498" i="3" a="1"/>
  <c r="M498" i="3" s="1"/>
  <c r="B490" i="3"/>
  <c r="M490" i="3" a="1"/>
  <c r="M490" i="3" s="1"/>
  <c r="B482" i="3"/>
  <c r="M482" i="3" a="1"/>
  <c r="M482" i="3" s="1"/>
  <c r="B474" i="3"/>
  <c r="M474" i="3" a="1"/>
  <c r="M474" i="3" s="1"/>
  <c r="B467" i="3"/>
  <c r="M467" i="3" a="1"/>
  <c r="M467" i="3" s="1"/>
  <c r="B461" i="3"/>
  <c r="M461" i="3" a="1"/>
  <c r="M461" i="3" s="1"/>
  <c r="B453" i="3"/>
  <c r="M453" i="3" a="1"/>
  <c r="M453" i="3" s="1"/>
  <c r="B445" i="3"/>
  <c r="M445" i="3" a="1"/>
  <c r="M445" i="3" s="1"/>
  <c r="B424" i="3"/>
  <c r="M424" i="3" a="1"/>
  <c r="M424" i="3" s="1"/>
  <c r="B416" i="3"/>
  <c r="M416" i="3" a="1"/>
  <c r="M416" i="3" s="1"/>
  <c r="B408" i="3"/>
  <c r="M408" i="3" a="1"/>
  <c r="M408" i="3" s="1"/>
  <c r="B395" i="3"/>
  <c r="M395" i="3" a="1"/>
  <c r="M395" i="3" s="1"/>
  <c r="B387" i="3"/>
  <c r="M387" i="3" a="1"/>
  <c r="M387" i="3" s="1"/>
  <c r="B380" i="3"/>
  <c r="M380" i="3" a="1"/>
  <c r="M380" i="3" s="1"/>
  <c r="B373" i="3"/>
  <c r="M373" i="3" a="1"/>
  <c r="M373" i="3" s="1"/>
  <c r="B360" i="3"/>
  <c r="M360" i="3" a="1"/>
  <c r="M360" i="3" s="1"/>
  <c r="B352" i="3"/>
  <c r="M352" i="3" a="1"/>
  <c r="M352" i="3" s="1"/>
  <c r="B338" i="3"/>
  <c r="M338" i="3" a="1"/>
  <c r="M338" i="3" s="1"/>
  <c r="B330" i="3"/>
  <c r="M330" i="3" a="1"/>
  <c r="M330" i="3" s="1"/>
  <c r="B322" i="3"/>
  <c r="M322" i="3" a="1"/>
  <c r="M322" i="3" s="1"/>
  <c r="B314" i="3"/>
  <c r="M314" i="3" a="1"/>
  <c r="M314" i="3" s="1"/>
  <c r="B307" i="3"/>
  <c r="M307" i="3" a="1"/>
  <c r="M307" i="3" s="1"/>
  <c r="B292" i="3"/>
  <c r="M292" i="3" a="1"/>
  <c r="M292" i="3" s="1"/>
  <c r="B284" i="3"/>
  <c r="M284" i="3" a="1"/>
  <c r="M284" i="3" s="1"/>
  <c r="B276" i="3"/>
  <c r="M276" i="3" a="1"/>
  <c r="M276" i="3" s="1"/>
  <c r="B254" i="3"/>
  <c r="M254" i="3" a="1"/>
  <c r="M254" i="3" s="1"/>
  <c r="B247" i="3"/>
  <c r="M247" i="3" a="1"/>
  <c r="M247" i="3" s="1"/>
  <c r="B239" i="3"/>
  <c r="M239" i="3" a="1"/>
  <c r="M239" i="3" s="1"/>
  <c r="B232" i="3"/>
  <c r="M232" i="3" a="1"/>
  <c r="M232" i="3" s="1"/>
  <c r="B225" i="3"/>
  <c r="M225" i="3" a="1"/>
  <c r="M225" i="3" s="1"/>
  <c r="B217" i="3"/>
  <c r="M217" i="3" a="1"/>
  <c r="M217" i="3" s="1"/>
  <c r="B209" i="3"/>
  <c r="M209" i="3" a="1"/>
  <c r="M209" i="3" s="1"/>
  <c r="B195" i="3"/>
  <c r="M195" i="3" a="1"/>
  <c r="M195" i="3" s="1"/>
  <c r="B175" i="3"/>
  <c r="M175" i="3" a="1"/>
  <c r="M175" i="3" s="1"/>
  <c r="B167" i="3"/>
  <c r="M167" i="3" a="1"/>
  <c r="M167" i="3" s="1"/>
  <c r="B159" i="3"/>
  <c r="M159" i="3" a="1"/>
  <c r="M159" i="3" s="1"/>
  <c r="B153" i="3"/>
  <c r="M153" i="3" a="1"/>
  <c r="M153" i="3" s="1"/>
  <c r="B146" i="3"/>
  <c r="M146" i="3" a="1"/>
  <c r="M146" i="3" s="1"/>
  <c r="B133" i="3"/>
  <c r="M133" i="3" a="1"/>
  <c r="M133" i="3" s="1"/>
  <c r="B125" i="3"/>
  <c r="M125" i="3" a="1"/>
  <c r="M125" i="3" s="1"/>
  <c r="B111" i="3"/>
  <c r="M111" i="3" a="1"/>
  <c r="M111" i="3" s="1"/>
  <c r="B104" i="3"/>
  <c r="M104" i="3" a="1"/>
  <c r="M104" i="3" s="1"/>
  <c r="B97" i="3"/>
  <c r="M97" i="3" a="1"/>
  <c r="M97" i="3" s="1"/>
  <c r="B89" i="3"/>
  <c r="M89" i="3" a="1"/>
  <c r="M89" i="3" s="1"/>
  <c r="B81" i="3"/>
  <c r="M81" i="3" a="1"/>
  <c r="M81" i="3" s="1"/>
  <c r="B74" i="3"/>
  <c r="M74" i="3" a="1"/>
  <c r="M74" i="3" s="1"/>
  <c r="B67" i="3"/>
  <c r="M67" i="3" a="1"/>
  <c r="M67" i="3" s="1"/>
  <c r="B53" i="3"/>
  <c r="M53" i="3" a="1"/>
  <c r="M53" i="3" s="1"/>
  <c r="B16" i="3"/>
  <c r="M16" i="3" a="1"/>
  <c r="M16" i="3" s="1"/>
  <c r="B953" i="3"/>
  <c r="M953" i="3" a="1"/>
  <c r="M953" i="3" s="1"/>
  <c r="B999" i="3"/>
  <c r="M999" i="3" a="1"/>
  <c r="M999" i="3" s="1"/>
  <c r="B994" i="3"/>
  <c r="B982" i="3"/>
  <c r="M982" i="3" a="1"/>
  <c r="M982" i="3" s="1"/>
  <c r="B975" i="3"/>
  <c r="B964" i="3"/>
  <c r="M964" i="3" a="1"/>
  <c r="M964" i="3" s="1"/>
  <c r="B952" i="3"/>
  <c r="M952" i="3" a="1"/>
  <c r="M952" i="3" s="1"/>
  <c r="B941" i="3"/>
  <c r="M941" i="3" a="1"/>
  <c r="M941" i="3" s="1"/>
  <c r="B929" i="3"/>
  <c r="M929" i="3" a="1"/>
  <c r="M929" i="3" s="1"/>
  <c r="B923" i="3"/>
  <c r="B917" i="3"/>
  <c r="B911" i="3"/>
  <c r="B894" i="3"/>
  <c r="B887" i="3"/>
  <c r="M887" i="3" a="1"/>
  <c r="M887" i="3" s="1"/>
  <c r="B880" i="3"/>
  <c r="M880" i="3" a="1"/>
  <c r="M880" i="3" s="1"/>
  <c r="B874" i="3"/>
  <c r="M874" i="3" a="1"/>
  <c r="M874" i="3" s="1"/>
  <c r="B868" i="3"/>
  <c r="M868" i="3" a="1"/>
  <c r="M868" i="3" s="1"/>
  <c r="B855" i="3"/>
  <c r="B850" i="3"/>
  <c r="M850" i="3" a="1"/>
  <c r="M850" i="3" s="1"/>
  <c r="B843" i="3"/>
  <c r="M843" i="3" a="1"/>
  <c r="M843" i="3" s="1"/>
  <c r="B832" i="3"/>
  <c r="M832" i="3" a="1"/>
  <c r="M832" i="3" s="1"/>
  <c r="B815" i="3"/>
  <c r="M815" i="3" a="1"/>
  <c r="M815" i="3" s="1"/>
  <c r="B809" i="3"/>
  <c r="B804" i="3"/>
  <c r="M804" i="3" a="1"/>
  <c r="M804" i="3" s="1"/>
  <c r="B791" i="3"/>
  <c r="M791" i="3" a="1"/>
  <c r="M791" i="3" s="1"/>
  <c r="B785" i="3"/>
  <c r="M785" i="3" a="1"/>
  <c r="M785" i="3" s="1"/>
  <c r="B779" i="3"/>
  <c r="M779" i="3" a="1"/>
  <c r="M779" i="3" s="1"/>
  <c r="B773" i="3"/>
  <c r="B766" i="3"/>
  <c r="B761" i="3"/>
  <c r="M761" i="3" a="1"/>
  <c r="M761" i="3" s="1"/>
  <c r="B755" i="3"/>
  <c r="B750" i="3"/>
  <c r="B739" i="3"/>
  <c r="M739" i="3" a="1"/>
  <c r="M739" i="3" s="1"/>
  <c r="B732" i="3"/>
  <c r="M732" i="3" a="1"/>
  <c r="M732" i="3" s="1"/>
  <c r="B724" i="3"/>
  <c r="M724" i="3" a="1"/>
  <c r="M724" i="3" s="1"/>
  <c r="B718" i="3"/>
  <c r="B712" i="3"/>
  <c r="M712" i="3" a="1"/>
  <c r="M712" i="3" s="1"/>
  <c r="B705" i="3"/>
  <c r="B700" i="3"/>
  <c r="M700" i="3" a="1"/>
  <c r="M700" i="3" s="1"/>
  <c r="B693" i="3"/>
  <c r="B688" i="3"/>
  <c r="M688" i="3" a="1"/>
  <c r="M688" i="3" s="1"/>
  <c r="B675" i="3"/>
  <c r="M675" i="3" a="1"/>
  <c r="M675" i="3" s="1"/>
  <c r="B662" i="3"/>
  <c r="M662" i="3" a="1"/>
  <c r="M662" i="3" s="1"/>
  <c r="B655" i="3"/>
  <c r="B648" i="3"/>
  <c r="M648" i="3" a="1"/>
  <c r="M648" i="3" s="1"/>
  <c r="B641" i="3"/>
  <c r="M641" i="3" a="1"/>
  <c r="M641" i="3" s="1"/>
  <c r="B628" i="3"/>
  <c r="M628" i="3" a="1"/>
  <c r="M628" i="3" s="1"/>
  <c r="B620" i="3"/>
  <c r="M620" i="3" a="1"/>
  <c r="M620" i="3" s="1"/>
  <c r="B614" i="3"/>
  <c r="M614" i="3" a="1"/>
  <c r="M614" i="3" s="1"/>
  <c r="B593" i="3"/>
  <c r="M593" i="3" a="1"/>
  <c r="M593" i="3" s="1"/>
  <c r="B581" i="3"/>
  <c r="M581" i="3" a="1"/>
  <c r="M581" i="3" s="1"/>
  <c r="B574" i="3"/>
  <c r="M574" i="3" a="1"/>
  <c r="M574" i="3" s="1"/>
  <c r="B568" i="3"/>
  <c r="M568" i="3" a="1"/>
  <c r="M568" i="3" s="1"/>
  <c r="B562" i="3"/>
  <c r="M562" i="3" a="1"/>
  <c r="M562" i="3" s="1"/>
  <c r="B555" i="3"/>
  <c r="M555" i="3" a="1"/>
  <c r="M555" i="3" s="1"/>
  <c r="B542" i="3"/>
  <c r="M542" i="3" a="1"/>
  <c r="M542" i="3" s="1"/>
  <c r="B528" i="3"/>
  <c r="M528" i="3" a="1"/>
  <c r="M528" i="3" s="1"/>
  <c r="B520" i="3"/>
  <c r="M520" i="3" a="1"/>
  <c r="M520" i="3" s="1"/>
  <c r="B512" i="3"/>
  <c r="M512" i="3" a="1"/>
  <c r="M512" i="3" s="1"/>
  <c r="B504" i="3"/>
  <c r="M504" i="3" a="1"/>
  <c r="M504" i="3" s="1"/>
  <c r="B497" i="3"/>
  <c r="M497" i="3" a="1"/>
  <c r="M497" i="3" s="1"/>
  <c r="B489" i="3"/>
  <c r="M489" i="3" a="1"/>
  <c r="M489" i="3" s="1"/>
  <c r="B481" i="3"/>
  <c r="M481" i="3" a="1"/>
  <c r="M481" i="3" s="1"/>
  <c r="B473" i="3"/>
  <c r="M473" i="3" a="1"/>
  <c r="M473" i="3" s="1"/>
  <c r="B466" i="3"/>
  <c r="M466" i="3" a="1"/>
  <c r="M466" i="3" s="1"/>
  <c r="B460" i="3"/>
  <c r="M460" i="3" a="1"/>
  <c r="M460" i="3" s="1"/>
  <c r="B452" i="3"/>
  <c r="M452" i="3" a="1"/>
  <c r="M452" i="3" s="1"/>
  <c r="B444" i="3"/>
  <c r="M444" i="3" a="1"/>
  <c r="M444" i="3" s="1"/>
  <c r="B423" i="3"/>
  <c r="M423" i="3" a="1"/>
  <c r="M423" i="3" s="1"/>
  <c r="B415" i="3"/>
  <c r="M415" i="3" a="1"/>
  <c r="M415" i="3" s="1"/>
  <c r="B407" i="3"/>
  <c r="M407" i="3" a="1"/>
  <c r="M407" i="3" s="1"/>
  <c r="B394" i="3"/>
  <c r="M394" i="3" a="1"/>
  <c r="M394" i="3" s="1"/>
  <c r="B386" i="3"/>
  <c r="M386" i="3" a="1"/>
  <c r="M386" i="3" s="1"/>
  <c r="B379" i="3"/>
  <c r="B372" i="3"/>
  <c r="M372" i="3" a="1"/>
  <c r="M372" i="3" s="1"/>
  <c r="B359" i="3"/>
  <c r="M359" i="3" a="1"/>
  <c r="M359" i="3" s="1"/>
  <c r="B351" i="3"/>
  <c r="M351" i="3" a="1"/>
  <c r="M351" i="3" s="1"/>
  <c r="B345" i="3"/>
  <c r="M345" i="3" a="1"/>
  <c r="M345" i="3" s="1"/>
  <c r="B337" i="3"/>
  <c r="M337" i="3" a="1"/>
  <c r="M337" i="3" s="1"/>
  <c r="B329" i="3"/>
  <c r="M329" i="3" a="1"/>
  <c r="M329" i="3" s="1"/>
  <c r="B321" i="3"/>
  <c r="M321" i="3" a="1"/>
  <c r="M321" i="3" s="1"/>
  <c r="B313" i="3"/>
  <c r="M313" i="3" a="1"/>
  <c r="M313" i="3" s="1"/>
  <c r="B306" i="3"/>
  <c r="M306" i="3" a="1"/>
  <c r="M306" i="3" s="1"/>
  <c r="B299" i="3"/>
  <c r="M299" i="3" a="1"/>
  <c r="M299" i="3" s="1"/>
  <c r="B291" i="3"/>
  <c r="M291" i="3" a="1"/>
  <c r="M291" i="3" s="1"/>
  <c r="B283" i="3"/>
  <c r="M283" i="3" a="1"/>
  <c r="M283" i="3" s="1"/>
  <c r="B275" i="3"/>
  <c r="M275" i="3" a="1"/>
  <c r="M275" i="3" s="1"/>
  <c r="B261" i="3"/>
  <c r="M261" i="3" a="1"/>
  <c r="M261" i="3" s="1"/>
  <c r="B253" i="3"/>
  <c r="M253" i="3" a="1"/>
  <c r="M253" i="3" s="1"/>
  <c r="B246" i="3"/>
  <c r="M246" i="3" a="1"/>
  <c r="M246" i="3" s="1"/>
  <c r="B238" i="3"/>
  <c r="M238" i="3" a="1"/>
  <c r="M238" i="3" s="1"/>
  <c r="B231" i="3"/>
  <c r="M231" i="3" a="1"/>
  <c r="M231" i="3" s="1"/>
  <c r="B224" i="3"/>
  <c r="M224" i="3" a="1"/>
  <c r="M224" i="3" s="1"/>
  <c r="B216" i="3"/>
  <c r="M216" i="3" a="1"/>
  <c r="M216" i="3" s="1"/>
  <c r="B208" i="3"/>
  <c r="M208" i="3" a="1"/>
  <c r="M208" i="3" s="1"/>
  <c r="B194" i="3"/>
  <c r="B174" i="3"/>
  <c r="M174" i="3" a="1"/>
  <c r="M174" i="3" s="1"/>
  <c r="B166" i="3"/>
  <c r="M166" i="3" a="1"/>
  <c r="M166" i="3" s="1"/>
  <c r="B158" i="3"/>
  <c r="M158" i="3" a="1"/>
  <c r="M158" i="3" s="1"/>
  <c r="B152" i="3"/>
  <c r="M152" i="3" a="1"/>
  <c r="M152" i="3" s="1"/>
  <c r="B145" i="3"/>
  <c r="M145" i="3" a="1"/>
  <c r="M145" i="3" s="1"/>
  <c r="B139" i="3"/>
  <c r="M139" i="3" a="1"/>
  <c r="M139" i="3" s="1"/>
  <c r="B132" i="3"/>
  <c r="M132" i="3" a="1"/>
  <c r="M132" i="3" s="1"/>
  <c r="B124" i="3"/>
  <c r="B44" i="3"/>
  <c r="M44" i="3" a="1"/>
  <c r="M44" i="3" s="1"/>
  <c r="B37" i="3"/>
  <c r="M37" i="3" a="1"/>
  <c r="M37" i="3" s="1"/>
  <c r="B30" i="3"/>
  <c r="M30" i="3" a="1"/>
  <c r="M30" i="3" s="1"/>
  <c r="B23" i="3"/>
  <c r="M23" i="3" a="1"/>
  <c r="M23" i="3" s="1"/>
  <c r="B988" i="3"/>
  <c r="M988" i="3" a="1"/>
  <c r="M988" i="3" s="1"/>
  <c r="B981" i="3"/>
  <c r="M981" i="3" a="1"/>
  <c r="M981" i="3" s="1"/>
  <c r="B968" i="3"/>
  <c r="M968" i="3" a="1"/>
  <c r="M968" i="3" s="1"/>
  <c r="B963" i="3"/>
  <c r="M963" i="3" a="1"/>
  <c r="M963" i="3" s="1"/>
  <c r="B946" i="3"/>
  <c r="M946" i="3" a="1"/>
  <c r="M946" i="3" s="1"/>
  <c r="B940" i="3"/>
  <c r="M940" i="3" a="1"/>
  <c r="M940" i="3" s="1"/>
  <c r="B928" i="3"/>
  <c r="M928" i="3" a="1"/>
  <c r="M928" i="3" s="1"/>
  <c r="B900" i="3"/>
  <c r="M900" i="3" a="1"/>
  <c r="M900" i="3" s="1"/>
  <c r="B886" i="3"/>
  <c r="M886" i="3" a="1"/>
  <c r="M886" i="3" s="1"/>
  <c r="B873" i="3"/>
  <c r="M873" i="3" a="1"/>
  <c r="M873" i="3" s="1"/>
  <c r="B867" i="3"/>
  <c r="M867" i="3" a="1"/>
  <c r="M867" i="3" s="1"/>
  <c r="B849" i="3"/>
  <c r="M849" i="3" a="1"/>
  <c r="M849" i="3" s="1"/>
  <c r="B842" i="3"/>
  <c r="M842" i="3" a="1"/>
  <c r="M842" i="3" s="1"/>
  <c r="B831" i="3"/>
  <c r="M831" i="3" a="1"/>
  <c r="M831" i="3" s="1"/>
  <c r="B826" i="3"/>
  <c r="M826" i="3" a="1"/>
  <c r="M826" i="3" s="1"/>
  <c r="B820" i="3"/>
  <c r="M820" i="3" a="1"/>
  <c r="M820" i="3" s="1"/>
  <c r="B803" i="3"/>
  <c r="M803" i="3" a="1"/>
  <c r="M803" i="3" s="1"/>
  <c r="B797" i="3"/>
  <c r="M797" i="3" a="1"/>
  <c r="M797" i="3" s="1"/>
  <c r="B790" i="3"/>
  <c r="M790" i="3" a="1"/>
  <c r="M790" i="3" s="1"/>
  <c r="B784" i="3"/>
  <c r="M784" i="3" a="1"/>
  <c r="M784" i="3" s="1"/>
  <c r="B760" i="3"/>
  <c r="M760" i="3" a="1"/>
  <c r="M760" i="3" s="1"/>
  <c r="B744" i="3"/>
  <c r="M744" i="3" a="1"/>
  <c r="M744" i="3" s="1"/>
  <c r="B738" i="3"/>
  <c r="M738" i="3" a="1"/>
  <c r="M738" i="3" s="1"/>
  <c r="B731" i="3"/>
  <c r="M731" i="3" a="1"/>
  <c r="M731" i="3" s="1"/>
  <c r="B711" i="3"/>
  <c r="M711" i="3" a="1"/>
  <c r="M711" i="3" s="1"/>
  <c r="B699" i="3"/>
  <c r="M699" i="3" a="1"/>
  <c r="M699" i="3" s="1"/>
  <c r="B687" i="3"/>
  <c r="M687" i="3" a="1"/>
  <c r="M687" i="3" s="1"/>
  <c r="B681" i="3"/>
  <c r="M681" i="3" a="1"/>
  <c r="M681" i="3" s="1"/>
  <c r="B674" i="3"/>
  <c r="M674" i="3" a="1"/>
  <c r="M674" i="3" s="1"/>
  <c r="B668" i="3"/>
  <c r="M668" i="3" a="1"/>
  <c r="M668" i="3" s="1"/>
  <c r="B661" i="3"/>
  <c r="M661" i="3" a="1"/>
  <c r="M661" i="3" s="1"/>
  <c r="B640" i="3"/>
  <c r="M640" i="3" a="1"/>
  <c r="M640" i="3" s="1"/>
  <c r="B634" i="3"/>
  <c r="M634" i="3" a="1"/>
  <c r="M634" i="3" s="1"/>
  <c r="B627" i="3"/>
  <c r="M627" i="3" a="1"/>
  <c r="M627" i="3" s="1"/>
  <c r="B613" i="3"/>
  <c r="M613" i="3" a="1"/>
  <c r="M613" i="3" s="1"/>
  <c r="B606" i="3"/>
  <c r="M606" i="3" a="1"/>
  <c r="M606" i="3" s="1"/>
  <c r="B600" i="3"/>
  <c r="M600" i="3" a="1"/>
  <c r="M600" i="3" s="1"/>
  <c r="B592" i="3"/>
  <c r="M592" i="3" a="1"/>
  <c r="M592" i="3" s="1"/>
  <c r="B586" i="3"/>
  <c r="M586" i="3" a="1"/>
  <c r="M586" i="3" s="1"/>
  <c r="B580" i="3"/>
  <c r="M580" i="3" a="1"/>
  <c r="M580" i="3" s="1"/>
  <c r="B573" i="3"/>
  <c r="M573" i="3" a="1"/>
  <c r="M573" i="3" s="1"/>
  <c r="B561" i="3"/>
  <c r="M561" i="3" a="1"/>
  <c r="M561" i="3" s="1"/>
  <c r="B554" i="3"/>
  <c r="M554" i="3" a="1"/>
  <c r="M554" i="3" s="1"/>
  <c r="B541" i="3"/>
  <c r="M541" i="3" a="1"/>
  <c r="M541" i="3" s="1"/>
  <c r="B534" i="3"/>
  <c r="M534" i="3" a="1"/>
  <c r="M534" i="3" s="1"/>
  <c r="B527" i="3"/>
  <c r="M527" i="3" a="1"/>
  <c r="M527" i="3" s="1"/>
  <c r="B519" i="3"/>
  <c r="M519" i="3" a="1"/>
  <c r="M519" i="3" s="1"/>
  <c r="B511" i="3"/>
  <c r="M511" i="3" a="1"/>
  <c r="M511" i="3" s="1"/>
  <c r="B503" i="3"/>
  <c r="M503" i="3" a="1"/>
  <c r="M503" i="3" s="1"/>
  <c r="B496" i="3"/>
  <c r="M496" i="3" a="1"/>
  <c r="M496" i="3" s="1"/>
  <c r="B488" i="3"/>
  <c r="M488" i="3" a="1"/>
  <c r="M488" i="3" s="1"/>
  <c r="B480" i="3"/>
  <c r="M480" i="3" a="1"/>
  <c r="M480" i="3" s="1"/>
  <c r="B472" i="3"/>
  <c r="M472" i="3" a="1"/>
  <c r="M472" i="3" s="1"/>
  <c r="B465" i="3"/>
  <c r="B459" i="3"/>
  <c r="M459" i="3" a="1"/>
  <c r="M459" i="3" s="1"/>
  <c r="B451" i="3"/>
  <c r="M451" i="3" a="1"/>
  <c r="M451" i="3" s="1"/>
  <c r="B443" i="3"/>
  <c r="M443" i="3" a="1"/>
  <c r="M443" i="3" s="1"/>
  <c r="B436" i="3"/>
  <c r="M436" i="3" a="1"/>
  <c r="M436" i="3" s="1"/>
  <c r="B430" i="3"/>
  <c r="M430" i="3" a="1"/>
  <c r="M430" i="3" s="1"/>
  <c r="B422" i="3"/>
  <c r="M422" i="3" a="1"/>
  <c r="M422" i="3" s="1"/>
  <c r="B414" i="3"/>
  <c r="M414" i="3" a="1"/>
  <c r="M414" i="3" s="1"/>
  <c r="B406" i="3"/>
  <c r="M406" i="3" a="1"/>
  <c r="M406" i="3" s="1"/>
  <c r="B400" i="3"/>
  <c r="M400" i="3" a="1"/>
  <c r="M400" i="3" s="1"/>
  <c r="B393" i="3"/>
  <c r="M393" i="3" a="1"/>
  <c r="M393" i="3" s="1"/>
  <c r="B385" i="3"/>
  <c r="M385" i="3" a="1"/>
  <c r="M385" i="3" s="1"/>
  <c r="B365" i="3"/>
  <c r="M365" i="3" a="1"/>
  <c r="M365" i="3" s="1"/>
  <c r="B358" i="3"/>
  <c r="M358" i="3" a="1"/>
  <c r="M358" i="3" s="1"/>
  <c r="B350" i="3"/>
  <c r="M350" i="3" a="1"/>
  <c r="M350" i="3" s="1"/>
  <c r="B344" i="3"/>
  <c r="M344" i="3" a="1"/>
  <c r="M344" i="3" s="1"/>
  <c r="B336" i="3"/>
  <c r="M336" i="3" a="1"/>
  <c r="M336" i="3" s="1"/>
  <c r="B328" i="3"/>
  <c r="M328" i="3" a="1"/>
  <c r="M328" i="3" s="1"/>
  <c r="B320" i="3"/>
  <c r="M320" i="3" a="1"/>
  <c r="M320" i="3" s="1"/>
  <c r="B312" i="3"/>
  <c r="M312" i="3" a="1"/>
  <c r="M312" i="3" s="1"/>
  <c r="B305" i="3"/>
  <c r="M305" i="3" a="1"/>
  <c r="M305" i="3" s="1"/>
  <c r="B298" i="3"/>
  <c r="M298" i="3" a="1"/>
  <c r="M298" i="3" s="1"/>
  <c r="B290" i="3"/>
  <c r="M290" i="3" a="1"/>
  <c r="M290" i="3" s="1"/>
  <c r="B282" i="3"/>
  <c r="M282" i="3" a="1"/>
  <c r="M282" i="3" s="1"/>
  <c r="B274" i="3"/>
  <c r="M274" i="3" a="1"/>
  <c r="M274" i="3" s="1"/>
  <c r="B267" i="3"/>
  <c r="M267" i="3" a="1"/>
  <c r="M267" i="3" s="1"/>
  <c r="B260" i="3"/>
  <c r="M260" i="3" a="1"/>
  <c r="M260" i="3" s="1"/>
  <c r="B252" i="3"/>
  <c r="M252" i="3" a="1"/>
  <c r="M252" i="3" s="1"/>
  <c r="B245" i="3"/>
  <c r="M245" i="3" a="1"/>
  <c r="M245" i="3" s="1"/>
  <c r="B237" i="3"/>
  <c r="M237" i="3" a="1"/>
  <c r="M237" i="3" s="1"/>
  <c r="B223" i="3"/>
  <c r="M223" i="3" a="1"/>
  <c r="M223" i="3" s="1"/>
  <c r="B215" i="3"/>
  <c r="M215" i="3" a="1"/>
  <c r="M215" i="3" s="1"/>
  <c r="B207" i="3"/>
  <c r="M207" i="3" a="1"/>
  <c r="M207" i="3" s="1"/>
  <c r="B201" i="3"/>
  <c r="M201" i="3" a="1"/>
  <c r="M201" i="3" s="1"/>
  <c r="B187" i="3"/>
  <c r="M187" i="3" a="1"/>
  <c r="M187" i="3" s="1"/>
  <c r="B181" i="3"/>
  <c r="M181" i="3" a="1"/>
  <c r="M181" i="3" s="1"/>
  <c r="B173" i="3"/>
  <c r="M173" i="3" a="1"/>
  <c r="M173" i="3" s="1"/>
  <c r="B165" i="3"/>
  <c r="M165" i="3" a="1"/>
  <c r="M165" i="3" s="1"/>
  <c r="B157" i="3"/>
  <c r="M157" i="3" a="1"/>
  <c r="M157" i="3" s="1"/>
  <c r="B151" i="3"/>
  <c r="M151" i="3" a="1"/>
  <c r="M151" i="3" s="1"/>
  <c r="B144" i="3"/>
  <c r="M144" i="3" a="1"/>
  <c r="M144" i="3" s="1"/>
  <c r="B138" i="3"/>
  <c r="M138" i="3" a="1"/>
  <c r="M138" i="3" s="1"/>
  <c r="B131" i="3"/>
  <c r="M131" i="3" a="1"/>
  <c r="M131" i="3" s="1"/>
  <c r="B117" i="3"/>
  <c r="M117" i="3" a="1"/>
  <c r="M117" i="3" s="1"/>
  <c r="B95" i="3"/>
  <c r="M95" i="3" a="1"/>
  <c r="M95" i="3" s="1"/>
  <c r="B87" i="3"/>
  <c r="M87" i="3" a="1"/>
  <c r="M87" i="3" s="1"/>
  <c r="B79" i="3"/>
  <c r="M79" i="3" a="1"/>
  <c r="M79" i="3" s="1"/>
  <c r="B72" i="3"/>
  <c r="M72" i="3" a="1"/>
  <c r="M72" i="3" s="1"/>
  <c r="B65" i="3"/>
  <c r="M65" i="3" a="1"/>
  <c r="M65" i="3" s="1"/>
  <c r="B58" i="3"/>
  <c r="M58" i="3" a="1"/>
  <c r="M58" i="3" s="1"/>
  <c r="B51" i="3"/>
  <c r="M51" i="3" a="1"/>
  <c r="M51" i="3" s="1"/>
  <c r="B987" i="3"/>
  <c r="M987" i="3" a="1"/>
  <c r="M987" i="3" s="1"/>
  <c r="B980" i="3"/>
  <c r="M980" i="3" a="1"/>
  <c r="M980" i="3" s="1"/>
  <c r="B974" i="3"/>
  <c r="M974" i="3" a="1"/>
  <c r="M974" i="3" s="1"/>
  <c r="B967" i="3"/>
  <c r="B962" i="3"/>
  <c r="M962" i="3" a="1"/>
  <c r="M962" i="3" s="1"/>
  <c r="B945" i="3"/>
  <c r="M945" i="3" a="1"/>
  <c r="M945" i="3" s="1"/>
  <c r="B939" i="3"/>
  <c r="M939" i="3" a="1"/>
  <c r="M939" i="3" s="1"/>
  <c r="B927" i="3"/>
  <c r="M927" i="3" a="1"/>
  <c r="M927" i="3" s="1"/>
  <c r="B922" i="3"/>
  <c r="M922" i="3" a="1"/>
  <c r="M922" i="3" s="1"/>
  <c r="B916" i="3"/>
  <c r="M916" i="3" a="1"/>
  <c r="M916" i="3" s="1"/>
  <c r="B910" i="3"/>
  <c r="B899" i="3"/>
  <c r="M899" i="3" a="1"/>
  <c r="M899" i="3" s="1"/>
  <c r="B893" i="3"/>
  <c r="M893" i="3" a="1"/>
  <c r="M893" i="3" s="1"/>
  <c r="B885" i="3"/>
  <c r="M885" i="3" a="1"/>
  <c r="M885" i="3" s="1"/>
  <c r="B872" i="3"/>
  <c r="M872" i="3" a="1"/>
  <c r="M872" i="3" s="1"/>
  <c r="B866" i="3"/>
  <c r="M866" i="3" a="1"/>
  <c r="M866" i="3" s="1"/>
  <c r="B854" i="3"/>
  <c r="M854" i="3" a="1"/>
  <c r="M854" i="3" s="1"/>
  <c r="B848" i="3"/>
  <c r="M848" i="3" a="1"/>
  <c r="M848" i="3" s="1"/>
  <c r="B841" i="3"/>
  <c r="B830" i="3"/>
  <c r="B825" i="3"/>
  <c r="M825" i="3" a="1"/>
  <c r="M825" i="3" s="1"/>
  <c r="B819" i="3"/>
  <c r="B808" i="3"/>
  <c r="M808" i="3" a="1"/>
  <c r="M808" i="3" s="1"/>
  <c r="B802" i="3"/>
  <c r="M802" i="3" a="1"/>
  <c r="M802" i="3" s="1"/>
  <c r="B796" i="3"/>
  <c r="M796" i="3" a="1"/>
  <c r="M796" i="3" s="1"/>
  <c r="B789" i="3"/>
  <c r="B783" i="3"/>
  <c r="B772" i="3"/>
  <c r="M772" i="3" a="1"/>
  <c r="M772" i="3" s="1"/>
  <c r="B765" i="3"/>
  <c r="B759" i="3"/>
  <c r="B754" i="3"/>
  <c r="B749" i="3"/>
  <c r="M749" i="3" a="1"/>
  <c r="M749" i="3" s="1"/>
  <c r="B743" i="3"/>
  <c r="B737" i="3"/>
  <c r="M737" i="3" a="1"/>
  <c r="M737" i="3" s="1"/>
  <c r="B730" i="3"/>
  <c r="M730" i="3" a="1"/>
  <c r="M730" i="3" s="1"/>
  <c r="B717" i="3"/>
  <c r="M717" i="3" a="1"/>
  <c r="M717" i="3" s="1"/>
  <c r="B710" i="3"/>
  <c r="M710" i="3" a="1"/>
  <c r="M710" i="3" s="1"/>
  <c r="B704" i="3"/>
  <c r="M704" i="3" a="1"/>
  <c r="M704" i="3" s="1"/>
  <c r="B698" i="3"/>
  <c r="M698" i="3" a="1"/>
  <c r="M698" i="3" s="1"/>
  <c r="B692" i="3"/>
  <c r="M692" i="3" a="1"/>
  <c r="M692" i="3" s="1"/>
  <c r="B686" i="3"/>
  <c r="B680" i="3"/>
  <c r="M680" i="3" a="1"/>
  <c r="M680" i="3" s="1"/>
  <c r="B673" i="3"/>
  <c r="B667" i="3"/>
  <c r="M667" i="3" a="1"/>
  <c r="M667" i="3" s="1"/>
  <c r="B660" i="3"/>
  <c r="M660" i="3" a="1"/>
  <c r="M660" i="3" s="1"/>
  <c r="B654" i="3"/>
  <c r="M654" i="3" a="1"/>
  <c r="M654" i="3" s="1"/>
  <c r="B639" i="3"/>
  <c r="B633" i="3"/>
  <c r="M633" i="3" a="1"/>
  <c r="M633" i="3" s="1"/>
  <c r="B626" i="3"/>
  <c r="M626" i="3" a="1"/>
  <c r="M626" i="3" s="1"/>
  <c r="B612" i="3"/>
  <c r="M612" i="3" a="1"/>
  <c r="M612" i="3" s="1"/>
  <c r="B605" i="3"/>
  <c r="M605" i="3" a="1"/>
  <c r="M605" i="3" s="1"/>
  <c r="B599" i="3"/>
  <c r="M599" i="3" a="1"/>
  <c r="M599" i="3" s="1"/>
  <c r="B591" i="3"/>
  <c r="B585" i="3"/>
  <c r="B579" i="3"/>
  <c r="M579" i="3" a="1"/>
  <c r="M579" i="3" s="1"/>
  <c r="B572" i="3"/>
  <c r="M572" i="3" a="1"/>
  <c r="M572" i="3" s="1"/>
  <c r="B560" i="3"/>
  <c r="M560" i="3" a="1"/>
  <c r="M560" i="3" s="1"/>
  <c r="B553" i="3"/>
  <c r="B548" i="3"/>
  <c r="M548" i="3" a="1"/>
  <c r="M548" i="3" s="1"/>
  <c r="B540" i="3"/>
  <c r="M540" i="3" a="1"/>
  <c r="M540" i="3" s="1"/>
  <c r="B533" i="3"/>
  <c r="B526" i="3"/>
  <c r="M526" i="3" a="1"/>
  <c r="M526" i="3" s="1"/>
  <c r="B518" i="3"/>
  <c r="M518" i="3" a="1"/>
  <c r="M518" i="3" s="1"/>
  <c r="B510" i="3"/>
  <c r="M510" i="3" a="1"/>
  <c r="M510" i="3" s="1"/>
  <c r="B502" i="3"/>
  <c r="M502" i="3" a="1"/>
  <c r="M502" i="3" s="1"/>
  <c r="B495" i="3"/>
  <c r="M495" i="3" a="1"/>
  <c r="M495" i="3" s="1"/>
  <c r="B487" i="3"/>
  <c r="M487" i="3" a="1"/>
  <c r="M487" i="3" s="1"/>
  <c r="B479" i="3"/>
  <c r="M479" i="3" a="1"/>
  <c r="M479" i="3" s="1"/>
  <c r="B471" i="3"/>
  <c r="M471" i="3" a="1"/>
  <c r="M471" i="3" s="1"/>
  <c r="B458" i="3"/>
  <c r="M458" i="3" a="1"/>
  <c r="M458" i="3" s="1"/>
  <c r="B450" i="3"/>
  <c r="M450" i="3" a="1"/>
  <c r="M450" i="3" s="1"/>
  <c r="B442" i="3"/>
  <c r="M442" i="3" a="1"/>
  <c r="M442" i="3" s="1"/>
  <c r="B435" i="3"/>
  <c r="M435" i="3" a="1"/>
  <c r="M435" i="3" s="1"/>
  <c r="B429" i="3"/>
  <c r="M429" i="3" a="1"/>
  <c r="M429" i="3" s="1"/>
  <c r="B421" i="3"/>
  <c r="M421" i="3" a="1"/>
  <c r="M421" i="3" s="1"/>
  <c r="B413" i="3"/>
  <c r="M413" i="3" a="1"/>
  <c r="M413" i="3" s="1"/>
  <c r="B405" i="3"/>
  <c r="B399" i="3"/>
  <c r="B392" i="3"/>
  <c r="M392" i="3" a="1"/>
  <c r="M392" i="3" s="1"/>
  <c r="B384" i="3"/>
  <c r="M384" i="3" a="1"/>
  <c r="M384" i="3" s="1"/>
  <c r="B378" i="3"/>
  <c r="M378" i="3" a="1"/>
  <c r="M378" i="3" s="1"/>
  <c r="B364" i="3"/>
  <c r="M364" i="3" a="1"/>
  <c r="M364" i="3" s="1"/>
  <c r="B357" i="3"/>
  <c r="M357" i="3" a="1"/>
  <c r="M357" i="3" s="1"/>
  <c r="B349" i="3"/>
  <c r="B343" i="3"/>
  <c r="M343" i="3" a="1"/>
  <c r="M343" i="3" s="1"/>
  <c r="B335" i="3"/>
  <c r="M335" i="3" a="1"/>
  <c r="M335" i="3" s="1"/>
  <c r="B327" i="3"/>
  <c r="M327" i="3" a="1"/>
  <c r="M327" i="3" s="1"/>
  <c r="B319" i="3"/>
  <c r="M319" i="3" a="1"/>
  <c r="M319" i="3" s="1"/>
  <c r="B311" i="3"/>
  <c r="M311" i="3" a="1"/>
  <c r="M311" i="3" s="1"/>
  <c r="B304" i="3"/>
  <c r="M304" i="3" a="1"/>
  <c r="M304" i="3" s="1"/>
  <c r="B297" i="3"/>
  <c r="M297" i="3" a="1"/>
  <c r="M297" i="3" s="1"/>
  <c r="B289" i="3"/>
  <c r="M289" i="3" a="1"/>
  <c r="M289" i="3" s="1"/>
  <c r="B281" i="3"/>
  <c r="M281" i="3" a="1"/>
  <c r="M281" i="3" s="1"/>
  <c r="B273" i="3"/>
  <c r="M273" i="3" a="1"/>
  <c r="M273" i="3" s="1"/>
  <c r="B266" i="3"/>
  <c r="M266" i="3" a="1"/>
  <c r="M266" i="3" s="1"/>
  <c r="B259" i="3"/>
  <c r="M259" i="3" a="1"/>
  <c r="M259" i="3" s="1"/>
  <c r="B251" i="3"/>
  <c r="M251" i="3" a="1"/>
  <c r="M251" i="3" s="1"/>
  <c r="B244" i="3"/>
  <c r="M244" i="3" a="1"/>
  <c r="M244" i="3" s="1"/>
  <c r="B236" i="3"/>
  <c r="B222" i="3"/>
  <c r="M222" i="3" a="1"/>
  <c r="M222" i="3" s="1"/>
  <c r="B214" i="3"/>
  <c r="M214" i="3" a="1"/>
  <c r="M214" i="3" s="1"/>
  <c r="B206" i="3"/>
  <c r="B200" i="3"/>
  <c r="M200" i="3" a="1"/>
  <c r="M200" i="3" s="1"/>
  <c r="B193" i="3"/>
  <c r="M193" i="3" a="1"/>
  <c r="M193" i="3" s="1"/>
  <c r="B186" i="3"/>
  <c r="B180" i="3"/>
  <c r="M180" i="3" a="1"/>
  <c r="M180" i="3" s="1"/>
  <c r="B172" i="3"/>
  <c r="M172" i="3" a="1"/>
  <c r="M172" i="3" s="1"/>
  <c r="B164" i="3"/>
  <c r="M164" i="3" a="1"/>
  <c r="M164" i="3" s="1"/>
  <c r="B156" i="3"/>
  <c r="B150" i="3"/>
  <c r="B143" i="3"/>
  <c r="M143" i="3" a="1"/>
  <c r="M143" i="3" s="1"/>
  <c r="B137" i="3"/>
  <c r="M137" i="3" a="1"/>
  <c r="M137" i="3" s="1"/>
  <c r="B130" i="3"/>
  <c r="M130" i="3" a="1"/>
  <c r="M130" i="3" s="1"/>
  <c r="B123" i="3"/>
  <c r="M123" i="3" a="1"/>
  <c r="M123" i="3" s="1"/>
  <c r="B116" i="3"/>
  <c r="M116" i="3" a="1"/>
  <c r="M116" i="3" s="1"/>
  <c r="B109" i="3"/>
  <c r="M109" i="3" a="1"/>
  <c r="M109" i="3" s="1"/>
  <c r="B35" i="3"/>
  <c r="M35" i="3" a="1"/>
  <c r="M35" i="3" s="1"/>
  <c r="B578" i="3"/>
  <c r="M578" i="3" a="1"/>
  <c r="M578" i="3" s="1"/>
  <c r="B547" i="3"/>
  <c r="M547" i="3" a="1"/>
  <c r="M547" i="3" s="1"/>
  <c r="B539" i="3"/>
  <c r="M539" i="3" a="1"/>
  <c r="M539" i="3" s="1"/>
  <c r="B525" i="3"/>
  <c r="M525" i="3" a="1"/>
  <c r="M525" i="3" s="1"/>
  <c r="B517" i="3"/>
  <c r="M517" i="3" a="1"/>
  <c r="M517" i="3" s="1"/>
  <c r="B509" i="3"/>
  <c r="M509" i="3" a="1"/>
  <c r="M509" i="3" s="1"/>
  <c r="B494" i="3"/>
  <c r="M494" i="3" a="1"/>
  <c r="M494" i="3" s="1"/>
  <c r="B486" i="3"/>
  <c r="M486" i="3" a="1"/>
  <c r="M486" i="3" s="1"/>
  <c r="B478" i="3"/>
  <c r="M478" i="3" a="1"/>
  <c r="M478" i="3" s="1"/>
  <c r="B470" i="3"/>
  <c r="M470" i="3" a="1"/>
  <c r="M470" i="3" s="1"/>
  <c r="B464" i="3"/>
  <c r="M464" i="3" a="1"/>
  <c r="M464" i="3" s="1"/>
  <c r="B457" i="3"/>
  <c r="M457" i="3" a="1"/>
  <c r="M457" i="3" s="1"/>
  <c r="B449" i="3"/>
  <c r="M449" i="3" a="1"/>
  <c r="M449" i="3" s="1"/>
  <c r="B441" i="3"/>
  <c r="M441" i="3" a="1"/>
  <c r="M441" i="3" s="1"/>
  <c r="B434" i="3"/>
  <c r="M434" i="3" a="1"/>
  <c r="M434" i="3" s="1"/>
  <c r="B428" i="3"/>
  <c r="M428" i="3" a="1"/>
  <c r="M428" i="3" s="1"/>
  <c r="B420" i="3"/>
  <c r="M420" i="3" a="1"/>
  <c r="M420" i="3" s="1"/>
  <c r="B412" i="3"/>
  <c r="M412" i="3" a="1"/>
  <c r="M412" i="3" s="1"/>
  <c r="B391" i="3"/>
  <c r="M391" i="3" a="1"/>
  <c r="M391" i="3" s="1"/>
  <c r="B383" i="3"/>
  <c r="M383" i="3" a="1"/>
  <c r="M383" i="3" s="1"/>
  <c r="B377" i="3"/>
  <c r="M377" i="3" a="1"/>
  <c r="M377" i="3" s="1"/>
  <c r="B370" i="3"/>
  <c r="M370" i="3" a="1"/>
  <c r="M370" i="3" s="1"/>
  <c r="B363" i="3"/>
  <c r="M363" i="3" a="1"/>
  <c r="M363" i="3" s="1"/>
  <c r="B356" i="3"/>
  <c r="M356" i="3" a="1"/>
  <c r="M356" i="3" s="1"/>
  <c r="B342" i="3"/>
  <c r="M342" i="3" a="1"/>
  <c r="M342" i="3" s="1"/>
  <c r="B334" i="3"/>
  <c r="M334" i="3" a="1"/>
  <c r="M334" i="3" s="1"/>
  <c r="B326" i="3"/>
  <c r="M326" i="3" a="1"/>
  <c r="M326" i="3" s="1"/>
  <c r="B318" i="3"/>
  <c r="M318" i="3" a="1"/>
  <c r="M318" i="3" s="1"/>
  <c r="B303" i="3"/>
  <c r="M303" i="3" a="1"/>
  <c r="M303" i="3" s="1"/>
  <c r="B296" i="3"/>
  <c r="M296" i="3" a="1"/>
  <c r="M296" i="3" s="1"/>
  <c r="B288" i="3"/>
  <c r="M288" i="3" a="1"/>
  <c r="M288" i="3" s="1"/>
  <c r="B280" i="3"/>
  <c r="M280" i="3" a="1"/>
  <c r="M280" i="3" s="1"/>
  <c r="B272" i="3"/>
  <c r="M272" i="3" a="1"/>
  <c r="M272" i="3" s="1"/>
  <c r="B265" i="3"/>
  <c r="M265" i="3" a="1"/>
  <c r="M265" i="3" s="1"/>
  <c r="B258" i="3"/>
  <c r="M258" i="3" a="1"/>
  <c r="M258" i="3" s="1"/>
  <c r="B243" i="3"/>
  <c r="M243" i="3" a="1"/>
  <c r="M243" i="3" s="1"/>
  <c r="B229" i="3"/>
  <c r="M229" i="3" a="1"/>
  <c r="M229" i="3" s="1"/>
  <c r="B221" i="3"/>
  <c r="M221" i="3" a="1"/>
  <c r="M221" i="3" s="1"/>
  <c r="B213" i="3"/>
  <c r="M213" i="3" a="1"/>
  <c r="M213" i="3" s="1"/>
  <c r="B199" i="3"/>
  <c r="M199" i="3" a="1"/>
  <c r="M199" i="3" s="1"/>
  <c r="B192" i="3"/>
  <c r="M192" i="3" a="1"/>
  <c r="M192" i="3" s="1"/>
  <c r="B179" i="3"/>
  <c r="M179" i="3" a="1"/>
  <c r="M179" i="3" s="1"/>
  <c r="B171" i="3"/>
  <c r="M171" i="3" a="1"/>
  <c r="M171" i="3" s="1"/>
  <c r="B163" i="3"/>
  <c r="M163" i="3" a="1"/>
  <c r="M163" i="3" s="1"/>
  <c r="B136" i="3"/>
  <c r="M136" i="3" a="1"/>
  <c r="M136" i="3" s="1"/>
  <c r="B129" i="3"/>
  <c r="M129" i="3" a="1"/>
  <c r="M129" i="3" s="1"/>
  <c r="B122" i="3"/>
  <c r="M122" i="3" a="1"/>
  <c r="M122" i="3" s="1"/>
  <c r="B115" i="3"/>
  <c r="M115" i="3" a="1"/>
  <c r="M115" i="3" s="1"/>
  <c r="B108" i="3"/>
  <c r="M108" i="3" a="1"/>
  <c r="M108" i="3" s="1"/>
  <c r="B101" i="3"/>
  <c r="M101" i="3" a="1"/>
  <c r="M101" i="3" s="1"/>
  <c r="B93" i="3"/>
  <c r="M93" i="3" a="1"/>
  <c r="M93" i="3" s="1"/>
  <c r="B85" i="3"/>
  <c r="M85" i="3" a="1"/>
  <c r="M85" i="3" s="1"/>
  <c r="B77" i="3"/>
  <c r="M77" i="3" a="1"/>
  <c r="M77" i="3" s="1"/>
  <c r="B63" i="3"/>
  <c r="M63" i="3" a="1"/>
  <c r="M63" i="3" s="1"/>
  <c r="B56" i="3"/>
  <c r="M56" i="3" a="1"/>
  <c r="M56" i="3" s="1"/>
  <c r="B49" i="3"/>
  <c r="M49" i="3" a="1"/>
  <c r="M49" i="3" s="1"/>
  <c r="B995" i="3"/>
  <c r="M995" i="3" a="1"/>
  <c r="M995" i="3" s="1"/>
  <c r="B976" i="3"/>
  <c r="M976" i="3" a="1"/>
  <c r="M976" i="3" s="1"/>
  <c r="B986" i="3"/>
  <c r="M986" i="3" a="1"/>
  <c r="M986" i="3" s="1"/>
  <c r="B973" i="3"/>
  <c r="M973" i="3" a="1"/>
  <c r="M973" i="3" s="1"/>
  <c r="B956" i="3"/>
  <c r="M956" i="3" a="1"/>
  <c r="M956" i="3" s="1"/>
  <c r="B944" i="3"/>
  <c r="M944" i="3" a="1"/>
  <c r="M944" i="3" s="1"/>
  <c r="B921" i="3"/>
  <c r="M921" i="3" a="1"/>
  <c r="M921" i="3" s="1"/>
  <c r="B898" i="3"/>
  <c r="M898" i="3" a="1"/>
  <c r="M898" i="3" s="1"/>
  <c r="B892" i="3"/>
  <c r="M892" i="3" a="1"/>
  <c r="M892" i="3" s="1"/>
  <c r="B871" i="3"/>
  <c r="M871" i="3" a="1"/>
  <c r="M871" i="3" s="1"/>
  <c r="B860" i="3"/>
  <c r="M860" i="3" a="1"/>
  <c r="M860" i="3" s="1"/>
  <c r="B836" i="3"/>
  <c r="M836" i="3" a="1"/>
  <c r="M836" i="3" s="1"/>
  <c r="B824" i="3"/>
  <c r="M824" i="3" a="1"/>
  <c r="M824" i="3" s="1"/>
  <c r="B813" i="3"/>
  <c r="M813" i="3" a="1"/>
  <c r="M813" i="3" s="1"/>
  <c r="B777" i="3"/>
  <c r="M777" i="3" a="1"/>
  <c r="M777" i="3" s="1"/>
  <c r="B771" i="3"/>
  <c r="M771" i="3" a="1"/>
  <c r="M771" i="3" s="1"/>
  <c r="B646" i="3"/>
  <c r="M646" i="3" a="1"/>
  <c r="M646" i="3" s="1"/>
  <c r="B625" i="3"/>
  <c r="M625" i="3" a="1"/>
  <c r="M625" i="3" s="1"/>
  <c r="B604" i="3"/>
  <c r="M604" i="3" a="1"/>
  <c r="M604" i="3" s="1"/>
  <c r="B2" i="3"/>
  <c r="M2" i="3" a="1"/>
  <c r="M2" i="3" s="1"/>
  <c r="B992" i="3"/>
  <c r="M992" i="3" a="1"/>
  <c r="M992" i="3" s="1"/>
  <c r="B985" i="3"/>
  <c r="M985" i="3" a="1"/>
  <c r="M985" i="3" s="1"/>
  <c r="B972" i="3"/>
  <c r="M972" i="3" a="1"/>
  <c r="M972" i="3" s="1"/>
  <c r="B920" i="3"/>
  <c r="M920" i="3" a="1"/>
  <c r="M920" i="3" s="1"/>
  <c r="B909" i="3"/>
  <c r="M909" i="3" a="1"/>
  <c r="M909" i="3" s="1"/>
  <c r="B891" i="3"/>
  <c r="M891" i="3" a="1"/>
  <c r="M891" i="3" s="1"/>
  <c r="B870" i="3"/>
  <c r="B859" i="3"/>
  <c r="M859" i="3" a="1"/>
  <c r="M859" i="3" s="1"/>
  <c r="B840" i="3"/>
  <c r="M840" i="3" a="1"/>
  <c r="M840" i="3" s="1"/>
  <c r="B835" i="3"/>
  <c r="M835" i="3" a="1"/>
  <c r="M835" i="3" s="1"/>
  <c r="B829" i="3"/>
  <c r="B823" i="3"/>
  <c r="B818" i="3"/>
  <c r="B812" i="3"/>
  <c r="M812" i="3" a="1"/>
  <c r="M812" i="3" s="1"/>
  <c r="B788" i="3"/>
  <c r="M788" i="3" a="1"/>
  <c r="M788" i="3" s="1"/>
  <c r="B782" i="3"/>
  <c r="B776" i="3"/>
  <c r="M776" i="3" a="1"/>
  <c r="M776" i="3" s="1"/>
  <c r="B770" i="3"/>
  <c r="M770" i="3" a="1"/>
  <c r="M770" i="3" s="1"/>
  <c r="B764" i="3"/>
  <c r="M764" i="3" a="1"/>
  <c r="M764" i="3" s="1"/>
  <c r="B758" i="3"/>
  <c r="M758" i="3" a="1"/>
  <c r="M758" i="3" s="1"/>
  <c r="B753" i="3"/>
  <c r="M753" i="3" a="1"/>
  <c r="M753" i="3" s="1"/>
  <c r="B747" i="3"/>
  <c r="M747" i="3" a="1"/>
  <c r="M747" i="3" s="1"/>
  <c r="B742" i="3"/>
  <c r="M742" i="3" a="1"/>
  <c r="M742" i="3" s="1"/>
  <c r="B735" i="3"/>
  <c r="M735" i="3" a="1"/>
  <c r="M735" i="3" s="1"/>
  <c r="B728" i="3"/>
  <c r="M728" i="3" a="1"/>
  <c r="M728" i="3" s="1"/>
  <c r="B721" i="3"/>
  <c r="M721" i="3" a="1"/>
  <c r="M721" i="3" s="1"/>
  <c r="B715" i="3"/>
  <c r="M715" i="3" a="1"/>
  <c r="M715" i="3" s="1"/>
  <c r="B702" i="3"/>
  <c r="B696" i="3"/>
  <c r="M696" i="3" a="1"/>
  <c r="M696" i="3" s="1"/>
  <c r="B685" i="3"/>
  <c r="M685" i="3" a="1"/>
  <c r="M685" i="3" s="1"/>
  <c r="B672" i="3"/>
  <c r="M672" i="3" a="1"/>
  <c r="M672" i="3" s="1"/>
  <c r="B665" i="3"/>
  <c r="M665" i="3" a="1"/>
  <c r="M665" i="3" s="1"/>
  <c r="B658" i="3"/>
  <c r="B652" i="3"/>
  <c r="M652" i="3" a="1"/>
  <c r="M652" i="3" s="1"/>
  <c r="B645" i="3"/>
  <c r="M645" i="3" a="1"/>
  <c r="M645" i="3" s="1"/>
  <c r="B638" i="3"/>
  <c r="M638" i="3" a="1"/>
  <c r="M638" i="3" s="1"/>
  <c r="B631" i="3"/>
  <c r="B624" i="3"/>
  <c r="M624" i="3" a="1"/>
  <c r="M624" i="3" s="1"/>
  <c r="B617" i="3"/>
  <c r="M617" i="3" a="1"/>
  <c r="M617" i="3" s="1"/>
  <c r="B610" i="3"/>
  <c r="M610" i="3" a="1"/>
  <c r="M610" i="3" s="1"/>
  <c r="B603" i="3"/>
  <c r="B597" i="3"/>
  <c r="M597" i="3" a="1"/>
  <c r="M597" i="3" s="1"/>
  <c r="B590" i="3"/>
  <c r="M590" i="3" a="1"/>
  <c r="M590" i="3" s="1"/>
  <c r="B584" i="3"/>
  <c r="M584" i="3" a="1"/>
  <c r="M584" i="3" s="1"/>
  <c r="B577" i="3"/>
  <c r="M577" i="3" a="1"/>
  <c r="M577" i="3" s="1"/>
  <c r="B565" i="3"/>
  <c r="B552" i="3"/>
  <c r="M552" i="3" a="1"/>
  <c r="M552" i="3" s="1"/>
  <c r="B546" i="3"/>
  <c r="M546" i="3" a="1"/>
  <c r="M546" i="3" s="1"/>
  <c r="B538" i="3"/>
  <c r="M538" i="3" a="1"/>
  <c r="M538" i="3" s="1"/>
  <c r="B532" i="3"/>
  <c r="M532" i="3" a="1"/>
  <c r="M532" i="3" s="1"/>
  <c r="B524" i="3"/>
  <c r="M524" i="3" a="1"/>
  <c r="M524" i="3" s="1"/>
  <c r="B516" i="3"/>
  <c r="M516" i="3" a="1"/>
  <c r="M516" i="3" s="1"/>
  <c r="B508" i="3"/>
  <c r="M508" i="3" a="1"/>
  <c r="M508" i="3" s="1"/>
  <c r="B493" i="3"/>
  <c r="M493" i="3" a="1"/>
  <c r="M493" i="3" s="1"/>
  <c r="B485" i="3"/>
  <c r="M485" i="3" a="1"/>
  <c r="M485" i="3" s="1"/>
  <c r="B477" i="3"/>
  <c r="M477" i="3" a="1"/>
  <c r="M477" i="3" s="1"/>
  <c r="B456" i="3"/>
  <c r="M456" i="3" a="1"/>
  <c r="M456" i="3" s="1"/>
  <c r="B448" i="3"/>
  <c r="M448" i="3" a="1"/>
  <c r="M448" i="3" s="1"/>
  <c r="B440" i="3"/>
  <c r="M440" i="3" a="1"/>
  <c r="M440" i="3" s="1"/>
  <c r="B427" i="3"/>
  <c r="M427" i="3" a="1"/>
  <c r="M427" i="3" s="1"/>
  <c r="B419" i="3"/>
  <c r="M419" i="3" a="1"/>
  <c r="M419" i="3" s="1"/>
  <c r="B411" i="3"/>
  <c r="M411" i="3" a="1"/>
  <c r="M411" i="3" s="1"/>
  <c r="B404" i="3"/>
  <c r="M404" i="3" a="1"/>
  <c r="M404" i="3" s="1"/>
  <c r="B398" i="3"/>
  <c r="M398" i="3" a="1"/>
  <c r="M398" i="3" s="1"/>
  <c r="B390" i="3"/>
  <c r="M390" i="3" a="1"/>
  <c r="M390" i="3" s="1"/>
  <c r="B376" i="3"/>
  <c r="M376" i="3" a="1"/>
  <c r="M376" i="3" s="1"/>
  <c r="B369" i="3"/>
  <c r="M369" i="3" a="1"/>
  <c r="M369" i="3" s="1"/>
  <c r="B362" i="3"/>
  <c r="M362" i="3" a="1"/>
  <c r="M362" i="3" s="1"/>
  <c r="B355" i="3"/>
  <c r="M355" i="3" a="1"/>
  <c r="M355" i="3" s="1"/>
  <c r="B348" i="3"/>
  <c r="M348" i="3" a="1"/>
  <c r="M348" i="3" s="1"/>
  <c r="B341" i="3"/>
  <c r="M341" i="3" a="1"/>
  <c r="M341" i="3" s="1"/>
  <c r="B333" i="3"/>
  <c r="M333" i="3" a="1"/>
  <c r="M333" i="3" s="1"/>
  <c r="B325" i="3"/>
  <c r="M325" i="3" a="1"/>
  <c r="M325" i="3" s="1"/>
  <c r="B317" i="3"/>
  <c r="M317" i="3" a="1"/>
  <c r="M317" i="3" s="1"/>
  <c r="B302" i="3"/>
  <c r="M302" i="3" a="1"/>
  <c r="M302" i="3" s="1"/>
  <c r="B295" i="3"/>
  <c r="M295" i="3" a="1"/>
  <c r="M295" i="3" s="1"/>
  <c r="B287" i="3"/>
  <c r="M287" i="3" a="1"/>
  <c r="M287" i="3" s="1"/>
  <c r="B279" i="3"/>
  <c r="M279" i="3" a="1"/>
  <c r="M279" i="3" s="1"/>
  <c r="B271" i="3"/>
  <c r="M271" i="3" a="1"/>
  <c r="M271" i="3" s="1"/>
  <c r="B264" i="3"/>
  <c r="M264" i="3" a="1"/>
  <c r="M264" i="3" s="1"/>
  <c r="B257" i="3"/>
  <c r="M257" i="3" a="1"/>
  <c r="M257" i="3" s="1"/>
  <c r="B242" i="3"/>
  <c r="M242" i="3" a="1"/>
  <c r="M242" i="3" s="1"/>
  <c r="B235" i="3"/>
  <c r="M235" i="3" a="1"/>
  <c r="M235" i="3" s="1"/>
  <c r="B228" i="3"/>
  <c r="M228" i="3" a="1"/>
  <c r="M228" i="3" s="1"/>
  <c r="B220" i="3"/>
  <c r="M220" i="3" a="1"/>
  <c r="M220" i="3" s="1"/>
  <c r="B212" i="3"/>
  <c r="M212" i="3" a="1"/>
  <c r="M212" i="3" s="1"/>
  <c r="B205" i="3"/>
  <c r="M205" i="3" a="1"/>
  <c r="M205" i="3" s="1"/>
  <c r="B198" i="3"/>
  <c r="M198" i="3" a="1"/>
  <c r="M198" i="3" s="1"/>
  <c r="B191" i="3"/>
  <c r="M191" i="3" a="1"/>
  <c r="M191" i="3" s="1"/>
  <c r="B185" i="3"/>
  <c r="M185" i="3" a="1"/>
  <c r="M185" i="3" s="1"/>
  <c r="B178" i="3"/>
  <c r="M178" i="3" a="1"/>
  <c r="M178" i="3" s="1"/>
  <c r="B170" i="3"/>
  <c r="M170" i="3" a="1"/>
  <c r="M170" i="3" s="1"/>
  <c r="B162" i="3"/>
  <c r="M162" i="3" a="1"/>
  <c r="M162" i="3" s="1"/>
  <c r="B155" i="3"/>
  <c r="M155" i="3" a="1"/>
  <c r="M155" i="3" s="1"/>
  <c r="B149" i="3"/>
  <c r="M149" i="3" a="1"/>
  <c r="M149" i="3" s="1"/>
  <c r="B135" i="3"/>
  <c r="M135" i="3" a="1"/>
  <c r="M135" i="3" s="1"/>
  <c r="B128" i="3"/>
  <c r="M128" i="3" a="1"/>
  <c r="M128" i="3" s="1"/>
  <c r="B121" i="3"/>
  <c r="M121" i="3" a="1"/>
  <c r="M121" i="3" s="1"/>
  <c r="B114" i="3"/>
  <c r="M114" i="3" a="1"/>
  <c r="M114" i="3" s="1"/>
  <c r="B107" i="3"/>
  <c r="M107" i="3" a="1"/>
  <c r="M107" i="3" s="1"/>
  <c r="B100" i="3"/>
  <c r="M100" i="3" a="1"/>
  <c r="M100" i="3" s="1"/>
  <c r="B92" i="3"/>
  <c r="M92" i="3" a="1"/>
  <c r="M92" i="3" s="1"/>
  <c r="B84" i="3"/>
  <c r="M84" i="3" a="1"/>
  <c r="M84" i="3" s="1"/>
  <c r="B62" i="3"/>
  <c r="M62" i="3" a="1"/>
  <c r="M62" i="3" s="1"/>
  <c r="B55" i="3"/>
  <c r="M55" i="3" a="1"/>
  <c r="M55" i="3" s="1"/>
  <c r="B48" i="3"/>
  <c r="M48" i="3" a="1"/>
  <c r="M48" i="3" s="1"/>
  <c r="B979" i="3"/>
  <c r="M979" i="3" a="1"/>
  <c r="M979" i="3" s="1"/>
  <c r="B950" i="3"/>
  <c r="M950" i="3" a="1"/>
  <c r="M950" i="3" s="1"/>
  <c r="B904" i="3"/>
  <c r="M904" i="3" a="1"/>
  <c r="M904" i="3" s="1"/>
  <c r="B884" i="3"/>
  <c r="M884" i="3" a="1"/>
  <c r="M884" i="3" s="1"/>
  <c r="B729" i="3"/>
  <c r="M729" i="3" a="1"/>
  <c r="M729" i="3" s="1"/>
  <c r="B716" i="3"/>
  <c r="M716" i="3" a="1"/>
  <c r="M716" i="3" s="1"/>
  <c r="B697" i="3"/>
  <c r="M697" i="3" a="1"/>
  <c r="M697" i="3" s="1"/>
  <c r="B618" i="3"/>
  <c r="M618" i="3" a="1"/>
  <c r="M618" i="3" s="1"/>
  <c r="B598" i="3"/>
  <c r="M598" i="3" a="1"/>
  <c r="M598" i="3" s="1"/>
  <c r="B566" i="3"/>
  <c r="M566" i="3" a="1"/>
  <c r="M566" i="3" s="1"/>
  <c r="B1001" i="3"/>
  <c r="M1001" i="3" a="1"/>
  <c r="M1001" i="3" s="1"/>
  <c r="B996" i="3"/>
  <c r="B991" i="3"/>
  <c r="M991" i="3" a="1"/>
  <c r="M991" i="3" s="1"/>
  <c r="B984" i="3"/>
  <c r="M984" i="3" a="1"/>
  <c r="M984" i="3" s="1"/>
  <c r="B971" i="3"/>
  <c r="M971" i="3" a="1"/>
  <c r="M971" i="3" s="1"/>
  <c r="B960" i="3"/>
  <c r="M960" i="3" a="1"/>
  <c r="M960" i="3" s="1"/>
  <c r="B937" i="3"/>
  <c r="M937" i="3" a="1"/>
  <c r="M937" i="3" s="1"/>
  <c r="B932" i="3"/>
  <c r="M932" i="3" a="1"/>
  <c r="M932" i="3" s="1"/>
  <c r="B925" i="3"/>
  <c r="B919" i="3"/>
  <c r="B914" i="3"/>
  <c r="M914" i="3" a="1"/>
  <c r="M914" i="3" s="1"/>
  <c r="B908" i="3"/>
  <c r="M908" i="3" a="1"/>
  <c r="M908" i="3" s="1"/>
  <c r="B890" i="3"/>
  <c r="M890" i="3" a="1"/>
  <c r="M890" i="3" s="1"/>
  <c r="B877" i="3"/>
  <c r="M877" i="3" a="1"/>
  <c r="M877" i="3" s="1"/>
  <c r="B864" i="3"/>
  <c r="M864" i="3" a="1"/>
  <c r="M864" i="3" s="1"/>
  <c r="B858" i="3"/>
  <c r="M858" i="3" a="1"/>
  <c r="M858" i="3" s="1"/>
  <c r="B852" i="3"/>
  <c r="M852" i="3" a="1"/>
  <c r="M852" i="3" s="1"/>
  <c r="B846" i="3"/>
  <c r="M846" i="3" a="1"/>
  <c r="M846" i="3" s="1"/>
  <c r="B839" i="3"/>
  <c r="B834" i="3"/>
  <c r="M834" i="3" a="1"/>
  <c r="M834" i="3" s="1"/>
  <c r="B811" i="3"/>
  <c r="M811" i="3" a="1"/>
  <c r="M811" i="3" s="1"/>
  <c r="B806" i="3"/>
  <c r="B800" i="3"/>
  <c r="M800" i="3" a="1"/>
  <c r="M800" i="3" s="1"/>
  <c r="B794" i="3"/>
  <c r="M794" i="3" a="1"/>
  <c r="M794" i="3" s="1"/>
  <c r="B787" i="3"/>
  <c r="B775" i="3"/>
  <c r="M775" i="3" a="1"/>
  <c r="M775" i="3" s="1"/>
  <c r="B769" i="3"/>
  <c r="M769" i="3" a="1"/>
  <c r="M769" i="3" s="1"/>
  <c r="B763" i="3"/>
  <c r="B757" i="3"/>
  <c r="B752" i="3"/>
  <c r="M752" i="3" a="1"/>
  <c r="M752" i="3" s="1"/>
  <c r="B746" i="3"/>
  <c r="B741" i="3"/>
  <c r="B734" i="3"/>
  <c r="B727" i="3"/>
  <c r="M727" i="3" a="1"/>
  <c r="M727" i="3" s="1"/>
  <c r="B720" i="3"/>
  <c r="M720" i="3" a="1"/>
  <c r="M720" i="3" s="1"/>
  <c r="B714" i="3"/>
  <c r="M714" i="3" a="1"/>
  <c r="M714" i="3" s="1"/>
  <c r="B708" i="3"/>
  <c r="M708" i="3" a="1"/>
  <c r="M708" i="3" s="1"/>
  <c r="B695" i="3"/>
  <c r="B690" i="3"/>
  <c r="B684" i="3"/>
  <c r="M684" i="3" a="1"/>
  <c r="M684" i="3" s="1"/>
  <c r="B678" i="3"/>
  <c r="M678" i="3" a="1"/>
  <c r="M678" i="3" s="1"/>
  <c r="B671" i="3"/>
  <c r="M671" i="3" a="1"/>
  <c r="M671" i="3" s="1"/>
  <c r="B664" i="3"/>
  <c r="M664" i="3" a="1"/>
  <c r="M664" i="3" s="1"/>
  <c r="B651" i="3"/>
  <c r="M651" i="3" a="1"/>
  <c r="M651" i="3" s="1"/>
  <c r="B644" i="3"/>
  <c r="M644" i="3" a="1"/>
  <c r="M644" i="3" s="1"/>
  <c r="B637" i="3"/>
  <c r="M637" i="3" a="1"/>
  <c r="M637" i="3" s="1"/>
  <c r="B623" i="3"/>
  <c r="M623" i="3" a="1"/>
  <c r="M623" i="3" s="1"/>
  <c r="B616" i="3"/>
  <c r="M616" i="3" a="1"/>
  <c r="M616" i="3" s="1"/>
  <c r="B609" i="3"/>
  <c r="M609" i="3" a="1"/>
  <c r="M609" i="3" s="1"/>
  <c r="B596" i="3"/>
  <c r="M596" i="3" a="1"/>
  <c r="M596" i="3" s="1"/>
  <c r="B589" i="3"/>
  <c r="M589" i="3" a="1"/>
  <c r="M589" i="3" s="1"/>
  <c r="B583" i="3"/>
  <c r="B576" i="3"/>
  <c r="M576" i="3" a="1"/>
  <c r="M576" i="3" s="1"/>
  <c r="B570" i="3"/>
  <c r="M570" i="3" a="1"/>
  <c r="M570" i="3" s="1"/>
  <c r="B558" i="3"/>
  <c r="M558" i="3" a="1"/>
  <c r="M558" i="3" s="1"/>
  <c r="B551" i="3"/>
  <c r="B545" i="3"/>
  <c r="M545" i="3" a="1"/>
  <c r="M545" i="3" s="1"/>
  <c r="B537" i="3"/>
  <c r="M537" i="3" a="1"/>
  <c r="M537" i="3" s="1"/>
  <c r="B531" i="3"/>
  <c r="M531" i="3" a="1"/>
  <c r="M531" i="3" s="1"/>
  <c r="B523" i="3"/>
  <c r="M523" i="3" a="1"/>
  <c r="M523" i="3" s="1"/>
  <c r="B515" i="3"/>
  <c r="M515" i="3" a="1"/>
  <c r="M515" i="3" s="1"/>
  <c r="B507" i="3"/>
  <c r="M507" i="3" a="1"/>
  <c r="M507" i="3" s="1"/>
  <c r="B500" i="3"/>
  <c r="M500" i="3" a="1"/>
  <c r="M500" i="3" s="1"/>
  <c r="B492" i="3"/>
  <c r="M492" i="3" a="1"/>
  <c r="M492" i="3" s="1"/>
  <c r="B484" i="3"/>
  <c r="M484" i="3" a="1"/>
  <c r="M484" i="3" s="1"/>
  <c r="B476" i="3"/>
  <c r="M476" i="3" a="1"/>
  <c r="M476" i="3" s="1"/>
  <c r="B455" i="3"/>
  <c r="M455" i="3" a="1"/>
  <c r="M455" i="3" s="1"/>
  <c r="B447" i="3"/>
  <c r="M447" i="3" a="1"/>
  <c r="M447" i="3" s="1"/>
  <c r="B439" i="3"/>
  <c r="M439" i="3" a="1"/>
  <c r="M439" i="3" s="1"/>
  <c r="B426" i="3"/>
  <c r="M426" i="3" a="1"/>
  <c r="M426" i="3" s="1"/>
  <c r="B418" i="3"/>
  <c r="M418" i="3" a="1"/>
  <c r="M418" i="3" s="1"/>
  <c r="B410" i="3"/>
  <c r="M410" i="3" a="1"/>
  <c r="M410" i="3" s="1"/>
  <c r="B403" i="3"/>
  <c r="M403" i="3" a="1"/>
  <c r="M403" i="3" s="1"/>
  <c r="B397" i="3"/>
  <c r="M397" i="3" a="1"/>
  <c r="M397" i="3" s="1"/>
  <c r="B389" i="3"/>
  <c r="M389" i="3" a="1"/>
  <c r="M389" i="3" s="1"/>
  <c r="B375" i="3"/>
  <c r="M375" i="3" a="1"/>
  <c r="M375" i="3" s="1"/>
  <c r="B368" i="3"/>
  <c r="M368" i="3" a="1"/>
  <c r="M368" i="3" s="1"/>
  <c r="B361" i="3"/>
  <c r="B354" i="3"/>
  <c r="M354" i="3" a="1"/>
  <c r="M354" i="3" s="1"/>
  <c r="B347" i="3"/>
  <c r="M347" i="3" a="1"/>
  <c r="M347" i="3" s="1"/>
  <c r="B340" i="3"/>
  <c r="M340" i="3" a="1"/>
  <c r="M340" i="3" s="1"/>
  <c r="B332" i="3"/>
  <c r="M332" i="3" a="1"/>
  <c r="M332" i="3" s="1"/>
  <c r="B324" i="3"/>
  <c r="M324" i="3" a="1"/>
  <c r="M324" i="3" s="1"/>
  <c r="B316" i="3"/>
  <c r="M316" i="3" a="1"/>
  <c r="M316" i="3" s="1"/>
  <c r="B309" i="3"/>
  <c r="M309" i="3" a="1"/>
  <c r="M309" i="3" s="1"/>
  <c r="B301" i="3"/>
  <c r="M301" i="3" a="1"/>
  <c r="M301" i="3" s="1"/>
  <c r="B294" i="3"/>
  <c r="M294" i="3" a="1"/>
  <c r="M294" i="3" s="1"/>
  <c r="B286" i="3"/>
  <c r="M286" i="3" a="1"/>
  <c r="M286" i="3" s="1"/>
  <c r="B278" i="3"/>
  <c r="M278" i="3" a="1"/>
  <c r="M278" i="3" s="1"/>
  <c r="B270" i="3"/>
  <c r="M270" i="3" a="1"/>
  <c r="M270" i="3" s="1"/>
  <c r="B263" i="3"/>
  <c r="M263" i="3" a="1"/>
  <c r="M263" i="3" s="1"/>
  <c r="B256" i="3"/>
  <c r="M256" i="3" a="1"/>
  <c r="M256" i="3" s="1"/>
  <c r="B249" i="3"/>
  <c r="M249" i="3" a="1"/>
  <c r="M249" i="3" s="1"/>
  <c r="B241" i="3"/>
  <c r="M241" i="3" a="1"/>
  <c r="M241" i="3" s="1"/>
  <c r="B234" i="3"/>
  <c r="M234" i="3" a="1"/>
  <c r="M234" i="3" s="1"/>
  <c r="B227" i="3"/>
  <c r="M227" i="3" a="1"/>
  <c r="M227" i="3" s="1"/>
  <c r="B219" i="3"/>
  <c r="M219" i="3" a="1"/>
  <c r="M219" i="3" s="1"/>
  <c r="B211" i="3"/>
  <c r="M211" i="3" a="1"/>
  <c r="M211" i="3" s="1"/>
  <c r="B204" i="3"/>
  <c r="M204" i="3" a="1"/>
  <c r="M204" i="3" s="1"/>
  <c r="B197" i="3"/>
  <c r="M197" i="3" a="1"/>
  <c r="M197" i="3" s="1"/>
  <c r="B190" i="3"/>
  <c r="M190" i="3" a="1"/>
  <c r="M190" i="3" s="1"/>
  <c r="B184" i="3"/>
  <c r="M184" i="3" a="1"/>
  <c r="M184" i="3" s="1"/>
  <c r="B177" i="3"/>
  <c r="M177" i="3" a="1"/>
  <c r="M177" i="3" s="1"/>
  <c r="B169" i="3"/>
  <c r="M169" i="3" a="1"/>
  <c r="M169" i="3" s="1"/>
  <c r="B161" i="3"/>
  <c r="M161" i="3" a="1"/>
  <c r="M161" i="3" s="1"/>
  <c r="B154" i="3"/>
  <c r="B148" i="3"/>
  <c r="M148" i="3" a="1"/>
  <c r="M148" i="3" s="1"/>
  <c r="B141" i="3"/>
  <c r="M141" i="3" a="1"/>
  <c r="M141" i="3" s="1"/>
  <c r="B127" i="3"/>
  <c r="M127" i="3" a="1"/>
  <c r="M127" i="3" s="1"/>
  <c r="B120" i="3"/>
  <c r="M120" i="3" a="1"/>
  <c r="M120" i="3" s="1"/>
  <c r="B113" i="3"/>
  <c r="M113" i="3" a="1"/>
  <c r="M113" i="3" s="1"/>
  <c r="B106" i="3"/>
  <c r="M106" i="3" a="1"/>
  <c r="M106" i="3" s="1"/>
  <c r="B99" i="3"/>
  <c r="M99" i="3" a="1"/>
  <c r="M99" i="3" s="1"/>
  <c r="B91" i="3"/>
  <c r="M91" i="3" a="1"/>
  <c r="M91" i="3" s="1"/>
  <c r="B83" i="3"/>
  <c r="M83" i="3" a="1"/>
  <c r="M83" i="3" s="1"/>
  <c r="B69" i="3"/>
  <c r="M69" i="3" a="1"/>
  <c r="M69" i="3" s="1"/>
  <c r="B61" i="3"/>
  <c r="M61" i="3" a="1"/>
  <c r="M61" i="3" s="1"/>
  <c r="B47" i="3"/>
  <c r="M47" i="3" a="1"/>
  <c r="M47" i="3" s="1"/>
  <c r="B748" i="3"/>
  <c r="M748" i="3" a="1"/>
  <c r="M748" i="3" s="1"/>
  <c r="B736" i="3"/>
  <c r="M736" i="3" a="1"/>
  <c r="M736" i="3" s="1"/>
  <c r="B722" i="3"/>
  <c r="M722" i="3" a="1"/>
  <c r="M722" i="3" s="1"/>
  <c r="B703" i="3"/>
  <c r="M703" i="3" a="1"/>
  <c r="M703" i="3" s="1"/>
  <c r="B666" i="3"/>
  <c r="M666" i="3" a="1"/>
  <c r="M666" i="3" s="1"/>
  <c r="B659" i="3"/>
  <c r="M659" i="3" a="1"/>
  <c r="M659" i="3" s="1"/>
  <c r="B653" i="3"/>
  <c r="M653" i="3" a="1"/>
  <c r="M653" i="3" s="1"/>
  <c r="B632" i="3"/>
  <c r="M632" i="3" a="1"/>
  <c r="M632" i="3" s="1"/>
  <c r="B611" i="3"/>
  <c r="M611" i="3" a="1"/>
  <c r="M611" i="3" s="1"/>
  <c r="B1000" i="3"/>
  <c r="B990" i="3"/>
  <c r="M990" i="3" a="1"/>
  <c r="M990" i="3" s="1"/>
  <c r="B983" i="3"/>
  <c r="B977" i="3"/>
  <c r="M977" i="3" a="1"/>
  <c r="M977" i="3" s="1"/>
  <c r="B970" i="3"/>
  <c r="M970" i="3" a="1"/>
  <c r="M970" i="3" s="1"/>
  <c r="B965" i="3"/>
  <c r="B959" i="3"/>
  <c r="M959" i="3" a="1"/>
  <c r="M959" i="3" s="1"/>
  <c r="B954" i="3"/>
  <c r="M954" i="3" a="1"/>
  <c r="M954" i="3" s="1"/>
  <c r="B948" i="3"/>
  <c r="M948" i="3" a="1"/>
  <c r="M948" i="3" s="1"/>
  <c r="B942" i="3"/>
  <c r="B936" i="3"/>
  <c r="M936" i="3" a="1"/>
  <c r="M936" i="3" s="1"/>
  <c r="B931" i="3"/>
  <c r="M931" i="3" a="1"/>
  <c r="M931" i="3" s="1"/>
  <c r="B913" i="3"/>
  <c r="M913" i="3" a="1"/>
  <c r="M913" i="3" s="1"/>
  <c r="B907" i="3"/>
  <c r="M907" i="3" a="1"/>
  <c r="M907" i="3" s="1"/>
  <c r="B902" i="3"/>
  <c r="M902" i="3" a="1"/>
  <c r="M902" i="3" s="1"/>
  <c r="B896" i="3"/>
  <c r="M896" i="3" a="1"/>
  <c r="M896" i="3" s="1"/>
  <c r="B889" i="3"/>
  <c r="M889" i="3" a="1"/>
  <c r="M889" i="3" s="1"/>
  <c r="B882" i="3"/>
  <c r="M882" i="3" a="1"/>
  <c r="M882" i="3" s="1"/>
  <c r="B876" i="3"/>
  <c r="M876" i="3" a="1"/>
  <c r="M876" i="3" s="1"/>
  <c r="B869" i="3"/>
  <c r="B863" i="3"/>
  <c r="M863" i="3" a="1"/>
  <c r="M863" i="3" s="1"/>
  <c r="B857" i="3"/>
  <c r="M857" i="3" a="1"/>
  <c r="M857" i="3" s="1"/>
  <c r="B851" i="3"/>
  <c r="B845" i="3"/>
  <c r="M845" i="3" a="1"/>
  <c r="M845" i="3" s="1"/>
  <c r="B833" i="3"/>
  <c r="B828" i="3"/>
  <c r="M828" i="3" a="1"/>
  <c r="M828" i="3" s="1"/>
  <c r="B822" i="3"/>
  <c r="M822" i="3" a="1"/>
  <c r="M822" i="3" s="1"/>
  <c r="B817" i="3"/>
  <c r="M817" i="3" a="1"/>
  <c r="M817" i="3" s="1"/>
  <c r="B810" i="3"/>
  <c r="B799" i="3"/>
  <c r="M799" i="3" a="1"/>
  <c r="M799" i="3" s="1"/>
  <c r="B793" i="3"/>
  <c r="M793" i="3" a="1"/>
  <c r="M793" i="3" s="1"/>
  <c r="B781" i="3"/>
  <c r="M781" i="3" a="1"/>
  <c r="M781" i="3" s="1"/>
  <c r="B774" i="3"/>
  <c r="B768" i="3"/>
  <c r="M768" i="3" a="1"/>
  <c r="M768" i="3" s="1"/>
  <c r="B751" i="3"/>
  <c r="B726" i="3"/>
  <c r="M726" i="3" a="1"/>
  <c r="M726" i="3" s="1"/>
  <c r="B719" i="3"/>
  <c r="B713" i="3"/>
  <c r="B707" i="3"/>
  <c r="M707" i="3" a="1"/>
  <c r="M707" i="3" s="1"/>
  <c r="B701" i="3"/>
  <c r="B683" i="3"/>
  <c r="M683" i="3" a="1"/>
  <c r="M683" i="3" s="1"/>
  <c r="B677" i="3"/>
  <c r="M677" i="3" a="1"/>
  <c r="M677" i="3" s="1"/>
  <c r="B670" i="3"/>
  <c r="M670" i="3" a="1"/>
  <c r="M670" i="3" s="1"/>
  <c r="B663" i="3"/>
  <c r="B657" i="3"/>
  <c r="M657" i="3" a="1"/>
  <c r="M657" i="3" s="1"/>
  <c r="B650" i="3"/>
  <c r="M650" i="3" a="1"/>
  <c r="M650" i="3" s="1"/>
  <c r="B643" i="3"/>
  <c r="M643" i="3" a="1"/>
  <c r="M643" i="3" s="1"/>
  <c r="B636" i="3"/>
  <c r="M636" i="3" a="1"/>
  <c r="M636" i="3" s="1"/>
  <c r="B630" i="3"/>
  <c r="M630" i="3" a="1"/>
  <c r="M630" i="3" s="1"/>
  <c r="B622" i="3"/>
  <c r="M622" i="3" a="1"/>
  <c r="M622" i="3" s="1"/>
  <c r="B615" i="3"/>
  <c r="B608" i="3"/>
  <c r="M608" i="3" a="1"/>
  <c r="M608" i="3" s="1"/>
  <c r="B602" i="3"/>
  <c r="M602" i="3" a="1"/>
  <c r="M602" i="3" s="1"/>
  <c r="B595" i="3"/>
  <c r="M595" i="3" a="1"/>
  <c r="M595" i="3" s="1"/>
  <c r="B588" i="3"/>
  <c r="M588" i="3" a="1"/>
  <c r="M588" i="3" s="1"/>
  <c r="B575" i="3"/>
  <c r="B569" i="3"/>
  <c r="B564" i="3"/>
  <c r="M564" i="3" a="1"/>
  <c r="M564" i="3" s="1"/>
  <c r="B557" i="3"/>
  <c r="M557" i="3" a="1"/>
  <c r="M557" i="3" s="1"/>
  <c r="B544" i="3"/>
  <c r="M544" i="3" a="1"/>
  <c r="M544" i="3" s="1"/>
  <c r="B536" i="3"/>
  <c r="M536" i="3" a="1"/>
  <c r="M536" i="3" s="1"/>
  <c r="B530" i="3"/>
  <c r="M530" i="3" a="1"/>
  <c r="M530" i="3" s="1"/>
  <c r="B522" i="3"/>
  <c r="M522" i="3" a="1"/>
  <c r="M522" i="3" s="1"/>
  <c r="B514" i="3"/>
  <c r="M514" i="3" a="1"/>
  <c r="M514" i="3" s="1"/>
  <c r="B506" i="3"/>
  <c r="M506" i="3" a="1"/>
  <c r="M506" i="3" s="1"/>
  <c r="B499" i="3"/>
  <c r="M499" i="3" a="1"/>
  <c r="M499" i="3" s="1"/>
  <c r="B491" i="3"/>
  <c r="M491" i="3" a="1"/>
  <c r="M491" i="3" s="1"/>
  <c r="B483" i="3"/>
  <c r="M483" i="3" a="1"/>
  <c r="M483" i="3" s="1"/>
  <c r="B475" i="3"/>
  <c r="M475" i="3" a="1"/>
  <c r="M475" i="3" s="1"/>
  <c r="B468" i="3"/>
  <c r="M468" i="3" a="1"/>
  <c r="M468" i="3" s="1"/>
  <c r="B462" i="3"/>
  <c r="M462" i="3" a="1"/>
  <c r="M462" i="3" s="1"/>
  <c r="B454" i="3"/>
  <c r="M454" i="3" a="1"/>
  <c r="M454" i="3" s="1"/>
  <c r="B446" i="3"/>
  <c r="M446" i="3" a="1"/>
  <c r="M446" i="3" s="1"/>
  <c r="B438" i="3"/>
  <c r="M438" i="3" a="1"/>
  <c r="M438" i="3" s="1"/>
  <c r="B432" i="3"/>
  <c r="M432" i="3" a="1"/>
  <c r="M432" i="3" s="1"/>
  <c r="B425" i="3"/>
  <c r="M425" i="3" a="1"/>
  <c r="M425" i="3" s="1"/>
  <c r="B417" i="3"/>
  <c r="M417" i="3" a="1"/>
  <c r="M417" i="3" s="1"/>
  <c r="B409" i="3"/>
  <c r="M409" i="3" a="1"/>
  <c r="M409" i="3" s="1"/>
  <c r="B402" i="3"/>
  <c r="M402" i="3" a="1"/>
  <c r="M402" i="3" s="1"/>
  <c r="B396" i="3"/>
  <c r="M396" i="3" a="1"/>
  <c r="M396" i="3" s="1"/>
  <c r="B388" i="3"/>
  <c r="M388" i="3" a="1"/>
  <c r="M388" i="3" s="1"/>
  <c r="B381" i="3"/>
  <c r="M381" i="3" a="1"/>
  <c r="M381" i="3" s="1"/>
  <c r="B374" i="3"/>
  <c r="M374" i="3" a="1"/>
  <c r="M374" i="3" s="1"/>
  <c r="B367" i="3"/>
  <c r="M367" i="3" a="1"/>
  <c r="M367" i="3" s="1"/>
  <c r="B353" i="3"/>
  <c r="M353" i="3" a="1"/>
  <c r="M353" i="3" s="1"/>
  <c r="B346" i="3"/>
  <c r="B339" i="3"/>
  <c r="M339" i="3" a="1"/>
  <c r="M339" i="3" s="1"/>
  <c r="B331" i="3"/>
  <c r="M331" i="3" a="1"/>
  <c r="M331" i="3" s="1"/>
  <c r="B323" i="3"/>
  <c r="M323" i="3" a="1"/>
  <c r="M323" i="3" s="1"/>
  <c r="B315" i="3"/>
  <c r="M315" i="3" a="1"/>
  <c r="M315" i="3" s="1"/>
  <c r="B308" i="3"/>
  <c r="M308" i="3" a="1"/>
  <c r="M308" i="3" s="1"/>
  <c r="B300" i="3"/>
  <c r="B293" i="3"/>
  <c r="M293" i="3" a="1"/>
  <c r="M293" i="3" s="1"/>
  <c r="B285" i="3"/>
  <c r="M285" i="3" a="1"/>
  <c r="M285" i="3" s="1"/>
  <c r="B277" i="3"/>
  <c r="M277" i="3" a="1"/>
  <c r="M277" i="3" s="1"/>
  <c r="B269" i="3"/>
  <c r="M269" i="3" a="1"/>
  <c r="M269" i="3" s="1"/>
  <c r="B262" i="3"/>
  <c r="B255" i="3"/>
  <c r="M255" i="3" a="1"/>
  <c r="M255" i="3" s="1"/>
  <c r="B248" i="3"/>
  <c r="M248" i="3" a="1"/>
  <c r="M248" i="3" s="1"/>
  <c r="B240" i="3"/>
  <c r="M240" i="3" a="1"/>
  <c r="M240" i="3" s="1"/>
  <c r="B233" i="3"/>
  <c r="M233" i="3" a="1"/>
  <c r="M233" i="3" s="1"/>
  <c r="B226" i="3"/>
  <c r="M226" i="3" a="1"/>
  <c r="M226" i="3" s="1"/>
  <c r="B218" i="3"/>
  <c r="M218" i="3" a="1"/>
  <c r="M218" i="3" s="1"/>
  <c r="B210" i="3"/>
  <c r="M210" i="3" a="1"/>
  <c r="M210" i="3" s="1"/>
  <c r="B203" i="3"/>
  <c r="M203" i="3" a="1"/>
  <c r="M203" i="3" s="1"/>
  <c r="B196" i="3"/>
  <c r="M196" i="3" a="1"/>
  <c r="M196" i="3" s="1"/>
  <c r="B189" i="3"/>
  <c r="M189" i="3" a="1"/>
  <c r="M189" i="3" s="1"/>
  <c r="B183" i="3"/>
  <c r="M183" i="3" a="1"/>
  <c r="M183" i="3" s="1"/>
  <c r="B176" i="3"/>
  <c r="M176" i="3" a="1"/>
  <c r="M176" i="3" s="1"/>
  <c r="B168" i="3"/>
  <c r="M168" i="3" a="1"/>
  <c r="M168" i="3" s="1"/>
  <c r="B160" i="3"/>
  <c r="M160" i="3" a="1"/>
  <c r="M160" i="3" s="1"/>
  <c r="B147" i="3"/>
  <c r="M147" i="3" a="1"/>
  <c r="M147" i="3" s="1"/>
  <c r="B140" i="3"/>
  <c r="B126" i="3"/>
  <c r="M126" i="3" a="1"/>
  <c r="M126" i="3" s="1"/>
  <c r="B119" i="3"/>
  <c r="M119" i="3" a="1"/>
  <c r="M119" i="3" s="1"/>
  <c r="B112" i="3"/>
  <c r="M112" i="3" a="1"/>
  <c r="M112" i="3" s="1"/>
  <c r="B105" i="3"/>
  <c r="M105" i="3" a="1"/>
  <c r="M105" i="3" s="1"/>
  <c r="B98" i="3"/>
  <c r="M98" i="3" a="1"/>
  <c r="M98" i="3" s="1"/>
  <c r="B90" i="3"/>
  <c r="M90" i="3" a="1"/>
  <c r="M90" i="3" s="1"/>
  <c r="B82" i="3"/>
  <c r="M82" i="3" a="1"/>
  <c r="M82" i="3" s="1"/>
  <c r="B75" i="3"/>
  <c r="M75" i="3" a="1"/>
  <c r="M75" i="3" s="1"/>
  <c r="B68" i="3"/>
  <c r="M68" i="3" a="1"/>
  <c r="M68" i="3" s="1"/>
  <c r="B60" i="3"/>
  <c r="B21" i="3"/>
  <c r="M21" i="3" a="1"/>
  <c r="M21" i="3" s="1"/>
  <c r="B7" i="3"/>
  <c r="M7" i="3" a="1"/>
  <c r="M7" i="3" s="1"/>
  <c r="M80" i="3" a="1"/>
  <c r="M80" i="3" s="1"/>
  <c r="M3" i="3" a="1"/>
  <c r="M3" i="3" s="1"/>
  <c r="B41" i="3"/>
  <c r="M41" i="3" a="1"/>
  <c r="M41" i="3" s="1"/>
  <c r="B6" i="3"/>
  <c r="M6" i="3" a="1"/>
  <c r="M6" i="3" s="1"/>
  <c r="M32" i="3" a="1"/>
  <c r="M32" i="3" s="1"/>
  <c r="B46" i="3"/>
  <c r="B40" i="3"/>
  <c r="M40" i="3" a="1"/>
  <c r="M40" i="3" s="1"/>
  <c r="B26" i="3"/>
  <c r="M26" i="3" a="1"/>
  <c r="M26" i="3" s="1"/>
  <c r="B12" i="3"/>
  <c r="M12" i="3" a="1"/>
  <c r="M12" i="3" s="1"/>
  <c r="B5" i="3"/>
  <c r="M5" i="3" a="1"/>
  <c r="M5" i="3" s="1"/>
  <c r="M78" i="3" a="1"/>
  <c r="M78" i="3" s="1"/>
  <c r="M50" i="3" a="1"/>
  <c r="M50" i="3" s="1"/>
  <c r="M27" i="3" a="1"/>
  <c r="M27" i="3" s="1"/>
  <c r="B39" i="3"/>
  <c r="M39" i="3" a="1"/>
  <c r="M39" i="3" s="1"/>
  <c r="B25" i="3"/>
  <c r="M25" i="3" a="1"/>
  <c r="M25" i="3" s="1"/>
  <c r="B18" i="3"/>
  <c r="M18" i="3" a="1"/>
  <c r="M18" i="3" s="1"/>
  <c r="B11" i="3"/>
  <c r="M11" i="3" a="1"/>
  <c r="M11" i="3" s="1"/>
  <c r="B4" i="3"/>
  <c r="M4" i="3" a="1"/>
  <c r="M4" i="3" s="1"/>
  <c r="M20" i="3" a="1"/>
  <c r="M20" i="3" s="1"/>
  <c r="B103" i="3"/>
  <c r="M103" i="3" a="1"/>
  <c r="M103" i="3" s="1"/>
  <c r="B96" i="3"/>
  <c r="M96" i="3" a="1"/>
  <c r="M96" i="3" s="1"/>
  <c r="B88" i="3"/>
  <c r="M88" i="3" a="1"/>
  <c r="M88" i="3" s="1"/>
  <c r="B73" i="3"/>
  <c r="M73" i="3" a="1"/>
  <c r="M73" i="3" s="1"/>
  <c r="B59" i="3"/>
  <c r="M59" i="3" a="1"/>
  <c r="M59" i="3" s="1"/>
  <c r="B52" i="3"/>
  <c r="M52" i="3" a="1"/>
  <c r="M52" i="3" s="1"/>
  <c r="B45" i="3"/>
  <c r="M45" i="3" a="1"/>
  <c r="M45" i="3" s="1"/>
  <c r="B38" i="3"/>
  <c r="M38" i="3" a="1"/>
  <c r="M38" i="3" s="1"/>
  <c r="B31" i="3"/>
  <c r="M31" i="3" a="1"/>
  <c r="M31" i="3" s="1"/>
  <c r="B24" i="3"/>
  <c r="M24" i="3" a="1"/>
  <c r="M24" i="3" s="1"/>
  <c r="B17" i="3"/>
  <c r="M17" i="3" a="1"/>
  <c r="M17" i="3" s="1"/>
  <c r="M19" i="3" a="1"/>
  <c r="M19" i="3" s="1"/>
  <c r="M66" i="3" a="1"/>
  <c r="M66" i="3" s="1"/>
  <c r="M43" i="3" a="1"/>
  <c r="M43" i="3" s="1"/>
  <c r="M15" i="3" a="1"/>
  <c r="M15" i="3" s="1"/>
  <c r="B94" i="3"/>
  <c r="M94" i="3" a="1"/>
  <c r="M94" i="3" s="1"/>
  <c r="B86" i="3"/>
  <c r="M86" i="3" a="1"/>
  <c r="M86" i="3" s="1"/>
  <c r="B71" i="3"/>
  <c r="M71" i="3" a="1"/>
  <c r="M71" i="3" s="1"/>
  <c r="B64" i="3"/>
  <c r="M64" i="3" a="1"/>
  <c r="M64" i="3" s="1"/>
  <c r="B57" i="3"/>
  <c r="M57" i="3" a="1"/>
  <c r="M57" i="3" s="1"/>
  <c r="B36" i="3"/>
  <c r="M36" i="3" a="1"/>
  <c r="M36" i="3" s="1"/>
  <c r="B29" i="3"/>
  <c r="M29" i="3" a="1"/>
  <c r="M29" i="3" s="1"/>
  <c r="B22" i="3"/>
  <c r="B9" i="3"/>
  <c r="M9" i="3" a="1"/>
  <c r="M9" i="3" s="1"/>
  <c r="M14" i="3" a="1"/>
  <c r="M14" i="3" s="1"/>
  <c r="B8" i="3"/>
  <c r="M8" i="3" a="1"/>
  <c r="M8" i="3" s="1"/>
  <c r="M33" i="3" a="1"/>
  <c r="M33" i="3" s="1"/>
  <c r="M13" i="3" a="1"/>
  <c r="M13" i="3" s="1"/>
  <c r="B996" i="5"/>
  <c r="AF996" i="5"/>
  <c r="B945" i="5"/>
  <c r="AF945" i="5"/>
  <c r="B937" i="5"/>
  <c r="AF937" i="5"/>
  <c r="B929" i="5"/>
  <c r="AF929" i="5"/>
  <c r="B921" i="5"/>
  <c r="AF921" i="5"/>
  <c r="B913" i="5"/>
  <c r="AF913" i="5"/>
  <c r="B905" i="5"/>
  <c r="AF905" i="5"/>
  <c r="B897" i="5"/>
  <c r="AF897" i="5"/>
  <c r="B889" i="5"/>
  <c r="AF889" i="5"/>
  <c r="B881" i="5"/>
  <c r="AF881" i="5"/>
  <c r="B873" i="5"/>
  <c r="AF873" i="5"/>
  <c r="B865" i="5"/>
  <c r="AF865" i="5"/>
  <c r="B857" i="5"/>
  <c r="AF857" i="5"/>
  <c r="B849" i="5"/>
  <c r="AF849" i="5"/>
  <c r="B841" i="5"/>
  <c r="AF841" i="5"/>
  <c r="B833" i="5"/>
  <c r="AF833" i="5"/>
  <c r="B825" i="5"/>
  <c r="AF825" i="5"/>
  <c r="B817" i="5"/>
  <c r="AF817" i="5"/>
  <c r="B809" i="5"/>
  <c r="AF809" i="5"/>
  <c r="B801" i="5"/>
  <c r="AF801" i="5"/>
  <c r="B793" i="5"/>
  <c r="AF793" i="5"/>
  <c r="B785" i="5"/>
  <c r="AF785" i="5"/>
  <c r="B777" i="5"/>
  <c r="AF777" i="5"/>
  <c r="B769" i="5"/>
  <c r="AF769" i="5"/>
  <c r="B762" i="5"/>
  <c r="AF762" i="5"/>
  <c r="B754" i="5"/>
  <c r="AF754" i="5"/>
  <c r="B746" i="5"/>
  <c r="AF746" i="5"/>
  <c r="B738" i="5"/>
  <c r="AF738" i="5"/>
  <c r="B730" i="5"/>
  <c r="AF730" i="5"/>
  <c r="B722" i="5"/>
  <c r="AF722" i="5"/>
  <c r="B714" i="5"/>
  <c r="AF714" i="5"/>
  <c r="B706" i="5"/>
  <c r="AF706" i="5"/>
  <c r="B698" i="5"/>
  <c r="AF698" i="5"/>
  <c r="B690" i="5"/>
  <c r="AF690" i="5"/>
  <c r="B682" i="5"/>
  <c r="AF682" i="5"/>
  <c r="B674" i="5"/>
  <c r="AF674" i="5"/>
  <c r="B666" i="5"/>
  <c r="AF666" i="5"/>
  <c r="B658" i="5"/>
  <c r="AF658" i="5"/>
  <c r="B650" i="5"/>
  <c r="AF650" i="5"/>
  <c r="B642" i="5"/>
  <c r="AF642" i="5"/>
  <c r="B634" i="5"/>
  <c r="AF634" i="5"/>
  <c r="B626" i="5"/>
  <c r="AF626" i="5"/>
  <c r="B618" i="5"/>
  <c r="AF618" i="5"/>
  <c r="B610" i="5"/>
  <c r="AF610" i="5"/>
  <c r="B602" i="5"/>
  <c r="AF602" i="5"/>
  <c r="B594" i="5"/>
  <c r="AF594" i="5"/>
  <c r="B586" i="5"/>
  <c r="AF586" i="5"/>
  <c r="B578" i="5"/>
  <c r="AF578" i="5"/>
  <c r="B570" i="5"/>
  <c r="AF570" i="5"/>
  <c r="B562" i="5"/>
  <c r="AF562" i="5"/>
  <c r="B554" i="5"/>
  <c r="AF554" i="5"/>
  <c r="B546" i="5"/>
  <c r="AF546" i="5"/>
  <c r="B538" i="5"/>
  <c r="AF538" i="5"/>
  <c r="B530" i="5"/>
  <c r="AF530" i="5"/>
  <c r="B522" i="5"/>
  <c r="AF522" i="5"/>
  <c r="B514" i="5"/>
  <c r="AF514" i="5"/>
  <c r="B506" i="5"/>
  <c r="AF506" i="5"/>
  <c r="B498" i="5"/>
  <c r="AF498" i="5"/>
  <c r="B490" i="5"/>
  <c r="AF490" i="5"/>
  <c r="B482" i="5"/>
  <c r="AF482" i="5"/>
  <c r="B474" i="5"/>
  <c r="AF474" i="5"/>
  <c r="B466" i="5"/>
  <c r="AF466" i="5"/>
  <c r="B458" i="5"/>
  <c r="AF458" i="5"/>
  <c r="B450" i="5"/>
  <c r="AF450" i="5"/>
  <c r="B442" i="5"/>
  <c r="AF442" i="5"/>
  <c r="B434" i="5"/>
  <c r="AF434" i="5"/>
  <c r="B426" i="5"/>
  <c r="AF426" i="5"/>
  <c r="B418" i="5"/>
  <c r="AF418" i="5"/>
  <c r="B410" i="5"/>
  <c r="AF410" i="5"/>
  <c r="B402" i="5"/>
  <c r="AF402" i="5"/>
  <c r="B394" i="5"/>
  <c r="AF394" i="5"/>
  <c r="B386" i="5"/>
  <c r="AF386" i="5"/>
  <c r="B378" i="5"/>
  <c r="AF378" i="5"/>
  <c r="B370" i="5"/>
  <c r="AF370" i="5"/>
  <c r="B362" i="5"/>
  <c r="AF362" i="5"/>
  <c r="B354" i="5"/>
  <c r="AF354" i="5"/>
  <c r="B346" i="5"/>
  <c r="AF346" i="5"/>
  <c r="B338" i="5"/>
  <c r="AF338" i="5"/>
  <c r="B330" i="5"/>
  <c r="AF330" i="5"/>
  <c r="B322" i="5"/>
  <c r="AF322" i="5"/>
  <c r="B314" i="5"/>
  <c r="AF314" i="5"/>
  <c r="B988" i="5"/>
  <c r="AF988" i="5"/>
  <c r="B971" i="5"/>
  <c r="AF971" i="5"/>
  <c r="B1000" i="5"/>
  <c r="AF1000" i="5"/>
  <c r="B992" i="5"/>
  <c r="AF992" i="5"/>
  <c r="B984" i="5"/>
  <c r="AF984" i="5"/>
  <c r="B976" i="5"/>
  <c r="AF976" i="5"/>
  <c r="B968" i="5"/>
  <c r="AF968" i="5"/>
  <c r="B960" i="5"/>
  <c r="AF960" i="5"/>
  <c r="B952" i="5"/>
  <c r="AF952" i="5"/>
  <c r="B999" i="5"/>
  <c r="AF999" i="5"/>
  <c r="B991" i="5"/>
  <c r="AF991" i="5"/>
  <c r="B983" i="5"/>
  <c r="AF983" i="5"/>
  <c r="B975" i="5"/>
  <c r="AF975" i="5"/>
  <c r="B967" i="5"/>
  <c r="AF967" i="5"/>
  <c r="B959" i="5"/>
  <c r="AF959" i="5"/>
  <c r="B951" i="5"/>
  <c r="AF951" i="5"/>
  <c r="B944" i="5"/>
  <c r="AF944" i="5"/>
  <c r="B936" i="5"/>
  <c r="AF936" i="5"/>
  <c r="B928" i="5"/>
  <c r="AF928" i="5"/>
  <c r="B920" i="5"/>
  <c r="AF920" i="5"/>
  <c r="B912" i="5"/>
  <c r="AF912" i="5"/>
  <c r="B904" i="5"/>
  <c r="AF904" i="5"/>
  <c r="B896" i="5"/>
  <c r="AF896" i="5"/>
  <c r="B888" i="5"/>
  <c r="AF888" i="5"/>
  <c r="B880" i="5"/>
  <c r="AF880" i="5"/>
  <c r="B872" i="5"/>
  <c r="AF872" i="5"/>
  <c r="B864" i="5"/>
  <c r="AF864" i="5"/>
  <c r="B856" i="5"/>
  <c r="AF856" i="5"/>
  <c r="B848" i="5"/>
  <c r="AF848" i="5"/>
  <c r="B840" i="5"/>
  <c r="AF840" i="5"/>
  <c r="B832" i="5"/>
  <c r="AF832" i="5"/>
  <c r="B824" i="5"/>
  <c r="AF824" i="5"/>
  <c r="B816" i="5"/>
  <c r="AF816" i="5"/>
  <c r="B808" i="5"/>
  <c r="AF808" i="5"/>
  <c r="B800" i="5"/>
  <c r="AF800" i="5"/>
  <c r="B792" i="5"/>
  <c r="AF792" i="5"/>
  <c r="B784" i="5"/>
  <c r="AF784" i="5"/>
  <c r="B776" i="5"/>
  <c r="AF776" i="5"/>
  <c r="B768" i="5"/>
  <c r="AF768" i="5"/>
  <c r="B761" i="5"/>
  <c r="AF761" i="5"/>
  <c r="B753" i="5"/>
  <c r="AF753" i="5"/>
  <c r="B745" i="5"/>
  <c r="AF745" i="5"/>
  <c r="B737" i="5"/>
  <c r="AF737" i="5"/>
  <c r="B729" i="5"/>
  <c r="AF729" i="5"/>
  <c r="B721" i="5"/>
  <c r="AF721" i="5"/>
  <c r="B713" i="5"/>
  <c r="AF713" i="5"/>
  <c r="B705" i="5"/>
  <c r="AF705" i="5"/>
  <c r="B697" i="5"/>
  <c r="AF697" i="5"/>
  <c r="B689" i="5"/>
  <c r="AF689" i="5"/>
  <c r="B681" i="5"/>
  <c r="AF681" i="5"/>
  <c r="B673" i="5"/>
  <c r="AF673" i="5"/>
  <c r="B665" i="5"/>
  <c r="AF665" i="5"/>
  <c r="B657" i="5"/>
  <c r="AF657" i="5"/>
  <c r="B649" i="5"/>
  <c r="AF649" i="5"/>
  <c r="B641" i="5"/>
  <c r="AF641" i="5"/>
  <c r="B633" i="5"/>
  <c r="AF633" i="5"/>
  <c r="B625" i="5"/>
  <c r="AF625" i="5"/>
  <c r="B617" i="5"/>
  <c r="AF617" i="5"/>
  <c r="B609" i="5"/>
  <c r="AF609" i="5"/>
  <c r="B601" i="5"/>
  <c r="AF601" i="5"/>
  <c r="B593" i="5"/>
  <c r="AF593" i="5"/>
  <c r="B585" i="5"/>
  <c r="AF585" i="5"/>
  <c r="B577" i="5"/>
  <c r="AF577" i="5"/>
  <c r="B569" i="5"/>
  <c r="AF569" i="5"/>
  <c r="B561" i="5"/>
  <c r="AF561" i="5"/>
  <c r="B553" i="5"/>
  <c r="AF553" i="5"/>
  <c r="B545" i="5"/>
  <c r="AF545" i="5"/>
  <c r="B537" i="5"/>
  <c r="AF537" i="5"/>
  <c r="B529" i="5"/>
  <c r="AF529" i="5"/>
  <c r="B521" i="5"/>
  <c r="AF521" i="5"/>
  <c r="B513" i="5"/>
  <c r="AF513" i="5"/>
  <c r="B505" i="5"/>
  <c r="AF505" i="5"/>
  <c r="B497" i="5"/>
  <c r="AF497" i="5"/>
  <c r="B489" i="5"/>
  <c r="AF489" i="5"/>
  <c r="B481" i="5"/>
  <c r="AF481" i="5"/>
  <c r="B473" i="5"/>
  <c r="AF473" i="5"/>
  <c r="B465" i="5"/>
  <c r="AF465" i="5"/>
  <c r="B457" i="5"/>
  <c r="AF457" i="5"/>
  <c r="B449" i="5"/>
  <c r="AF449" i="5"/>
  <c r="B441" i="5"/>
  <c r="AF441" i="5"/>
  <c r="B433" i="5"/>
  <c r="AF433" i="5"/>
  <c r="B425" i="5"/>
  <c r="AF425" i="5"/>
  <c r="B417" i="5"/>
  <c r="AF417" i="5"/>
  <c r="B409" i="5"/>
  <c r="AF409" i="5"/>
  <c r="B401" i="5"/>
  <c r="AF401" i="5"/>
  <c r="B393" i="5"/>
  <c r="AF393" i="5"/>
  <c r="B385" i="5"/>
  <c r="AF385" i="5"/>
  <c r="B377" i="5"/>
  <c r="AF377" i="5"/>
  <c r="B369" i="5"/>
  <c r="AF369" i="5"/>
  <c r="B361" i="5"/>
  <c r="AF361" i="5"/>
  <c r="B353" i="5"/>
  <c r="AF353" i="5"/>
  <c r="B345" i="5"/>
  <c r="AF345" i="5"/>
  <c r="B337" i="5"/>
  <c r="AF337" i="5"/>
  <c r="B329" i="5"/>
  <c r="AF329" i="5"/>
  <c r="B321" i="5"/>
  <c r="AF321" i="5"/>
  <c r="B313" i="5"/>
  <c r="AF313" i="5"/>
  <c r="B305" i="5"/>
  <c r="AF305" i="5"/>
  <c r="B297" i="5"/>
  <c r="AF297" i="5"/>
  <c r="B289" i="5"/>
  <c r="AF289" i="5"/>
  <c r="B281" i="5"/>
  <c r="AF281" i="5"/>
  <c r="B273" i="5"/>
  <c r="AF273" i="5"/>
  <c r="B265" i="5"/>
  <c r="AF265" i="5"/>
  <c r="B257" i="5"/>
  <c r="AF257" i="5"/>
  <c r="B249" i="5"/>
  <c r="AF249" i="5"/>
  <c r="B241" i="5"/>
  <c r="AF241" i="5"/>
  <c r="B233" i="5"/>
  <c r="AF233" i="5"/>
  <c r="B225" i="5"/>
  <c r="AF225" i="5"/>
  <c r="B217" i="5"/>
  <c r="AF217" i="5"/>
  <c r="B209" i="5"/>
  <c r="AF209" i="5"/>
  <c r="B201" i="5"/>
  <c r="AF201" i="5"/>
  <c r="B193" i="5"/>
  <c r="AF193" i="5"/>
  <c r="B185" i="5"/>
  <c r="AF185" i="5"/>
  <c r="B177" i="5"/>
  <c r="AF177" i="5"/>
  <c r="B169" i="5"/>
  <c r="AF169" i="5"/>
  <c r="B161" i="5"/>
  <c r="AF161" i="5"/>
  <c r="B153" i="5"/>
  <c r="AF153" i="5"/>
  <c r="B966" i="5"/>
  <c r="AF966" i="5"/>
  <c r="B958" i="5"/>
  <c r="AF958" i="5"/>
  <c r="B950" i="5"/>
  <c r="AF950" i="5"/>
  <c r="B943" i="5"/>
  <c r="AF943" i="5"/>
  <c r="B935" i="5"/>
  <c r="AF935" i="5"/>
  <c r="B927" i="5"/>
  <c r="AF927" i="5"/>
  <c r="B919" i="5"/>
  <c r="AF919" i="5"/>
  <c r="B911" i="5"/>
  <c r="AF911" i="5"/>
  <c r="B903" i="5"/>
  <c r="AF903" i="5"/>
  <c r="B895" i="5"/>
  <c r="AF895" i="5"/>
  <c r="B887" i="5"/>
  <c r="AF887" i="5"/>
  <c r="B879" i="5"/>
  <c r="AF879" i="5"/>
  <c r="B871" i="5"/>
  <c r="AF871" i="5"/>
  <c r="B863" i="5"/>
  <c r="AF863" i="5"/>
  <c r="B855" i="5"/>
  <c r="AF855" i="5"/>
  <c r="B847" i="5"/>
  <c r="AF847" i="5"/>
  <c r="B839" i="5"/>
  <c r="AF839" i="5"/>
  <c r="B831" i="5"/>
  <c r="AF831" i="5"/>
  <c r="B823" i="5"/>
  <c r="AF823" i="5"/>
  <c r="B815" i="5"/>
  <c r="AF815" i="5"/>
  <c r="B807" i="5"/>
  <c r="AF807" i="5"/>
  <c r="B799" i="5"/>
  <c r="AF799" i="5"/>
  <c r="B791" i="5"/>
  <c r="AF791" i="5"/>
  <c r="B783" i="5"/>
  <c r="AF783" i="5"/>
  <c r="B775" i="5"/>
  <c r="AF775" i="5"/>
  <c r="B767" i="5"/>
  <c r="AF767" i="5"/>
  <c r="B760" i="5"/>
  <c r="AF760" i="5"/>
  <c r="B752" i="5"/>
  <c r="AF752" i="5"/>
  <c r="B744" i="5"/>
  <c r="AF744" i="5"/>
  <c r="B736" i="5"/>
  <c r="AF736" i="5"/>
  <c r="B728" i="5"/>
  <c r="AF728" i="5"/>
  <c r="B720" i="5"/>
  <c r="AF720" i="5"/>
  <c r="B712" i="5"/>
  <c r="AF712" i="5"/>
  <c r="B704" i="5"/>
  <c r="AF704" i="5"/>
  <c r="B696" i="5"/>
  <c r="AF696" i="5"/>
  <c r="B688" i="5"/>
  <c r="AF688" i="5"/>
  <c r="B680" i="5"/>
  <c r="AF680" i="5"/>
  <c r="B672" i="5"/>
  <c r="AF672" i="5"/>
  <c r="B664" i="5"/>
  <c r="AF664" i="5"/>
  <c r="B656" i="5"/>
  <c r="AF656" i="5"/>
  <c r="B648" i="5"/>
  <c r="AF648" i="5"/>
  <c r="B640" i="5"/>
  <c r="AF640" i="5"/>
  <c r="B632" i="5"/>
  <c r="AF632" i="5"/>
  <c r="B624" i="5"/>
  <c r="AF624" i="5"/>
  <c r="B616" i="5"/>
  <c r="AF616" i="5"/>
  <c r="B608" i="5"/>
  <c r="AF608" i="5"/>
  <c r="B600" i="5"/>
  <c r="AF600" i="5"/>
  <c r="B592" i="5"/>
  <c r="AF592" i="5"/>
  <c r="B584" i="5"/>
  <c r="AF584" i="5"/>
  <c r="B576" i="5"/>
  <c r="AF576" i="5"/>
  <c r="B568" i="5"/>
  <c r="AF568" i="5"/>
  <c r="B560" i="5"/>
  <c r="AF560" i="5"/>
  <c r="B552" i="5"/>
  <c r="AF552" i="5"/>
  <c r="B544" i="5"/>
  <c r="AF544" i="5"/>
  <c r="B536" i="5"/>
  <c r="AF536" i="5"/>
  <c r="B528" i="5"/>
  <c r="AF528" i="5"/>
  <c r="B520" i="5"/>
  <c r="AF520" i="5"/>
  <c r="B512" i="5"/>
  <c r="AF512" i="5"/>
  <c r="B504" i="5"/>
  <c r="AF504" i="5"/>
  <c r="B496" i="5"/>
  <c r="AF496" i="5"/>
  <c r="B488" i="5"/>
  <c r="AF488" i="5"/>
  <c r="B480" i="5"/>
  <c r="AF480" i="5"/>
  <c r="B472" i="5"/>
  <c r="AF472" i="5"/>
  <c r="B464" i="5"/>
  <c r="AF464" i="5"/>
  <c r="B456" i="5"/>
  <c r="AF456" i="5"/>
  <c r="B448" i="5"/>
  <c r="AF448" i="5"/>
  <c r="B440" i="5"/>
  <c r="AF440" i="5"/>
  <c r="B432" i="5"/>
  <c r="AF432" i="5"/>
  <c r="B424" i="5"/>
  <c r="AF424" i="5"/>
  <c r="B416" i="5"/>
  <c r="AF416" i="5"/>
  <c r="B408" i="5"/>
  <c r="AF408" i="5"/>
  <c r="B400" i="5"/>
  <c r="AF400" i="5"/>
  <c r="B392" i="5"/>
  <c r="AF392" i="5"/>
  <c r="B384" i="5"/>
  <c r="AF384" i="5"/>
  <c r="B376" i="5"/>
  <c r="AF376" i="5"/>
  <c r="B368" i="5"/>
  <c r="AF368" i="5"/>
  <c r="B360" i="5"/>
  <c r="AF360" i="5"/>
  <c r="B352" i="5"/>
  <c r="AF352" i="5"/>
  <c r="B344" i="5"/>
  <c r="AF344" i="5"/>
  <c r="B336" i="5"/>
  <c r="AF336" i="5"/>
  <c r="B328" i="5"/>
  <c r="AF328" i="5"/>
  <c r="B320" i="5"/>
  <c r="AF320" i="5"/>
  <c r="B312" i="5"/>
  <c r="AF312" i="5"/>
  <c r="B304" i="5"/>
  <c r="AF304" i="5"/>
  <c r="B296" i="5"/>
  <c r="AF296" i="5"/>
  <c r="B288" i="5"/>
  <c r="AF288" i="5"/>
  <c r="B280" i="5"/>
  <c r="AF280" i="5"/>
  <c r="B272" i="5"/>
  <c r="AF272" i="5"/>
  <c r="B264" i="5"/>
  <c r="AF264" i="5"/>
  <c r="B256" i="5"/>
  <c r="AF256" i="5"/>
  <c r="B248" i="5"/>
  <c r="AF248" i="5"/>
  <c r="B240" i="5"/>
  <c r="AF240" i="5"/>
  <c r="B232" i="5"/>
  <c r="AF232" i="5"/>
  <c r="B998" i="5"/>
  <c r="AF998" i="5"/>
  <c r="B990" i="5"/>
  <c r="AF990" i="5"/>
  <c r="B982" i="5"/>
  <c r="AF982" i="5"/>
  <c r="B974" i="5"/>
  <c r="AF974" i="5"/>
  <c r="B997" i="5"/>
  <c r="AF997" i="5"/>
  <c r="B989" i="5"/>
  <c r="AF989" i="5"/>
  <c r="B981" i="5"/>
  <c r="AF981" i="5"/>
  <c r="B973" i="5"/>
  <c r="AF973" i="5"/>
  <c r="B965" i="5"/>
  <c r="AF965" i="5"/>
  <c r="B957" i="5"/>
  <c r="AF957" i="5"/>
  <c r="B949" i="5"/>
  <c r="AF949" i="5"/>
  <c r="B942" i="5"/>
  <c r="AF942" i="5"/>
  <c r="B934" i="5"/>
  <c r="AF934" i="5"/>
  <c r="B926" i="5"/>
  <c r="AF926" i="5"/>
  <c r="B918" i="5"/>
  <c r="AF918" i="5"/>
  <c r="B910" i="5"/>
  <c r="AF910" i="5"/>
  <c r="B902" i="5"/>
  <c r="AF902" i="5"/>
  <c r="B894" i="5"/>
  <c r="AF894" i="5"/>
  <c r="B886" i="5"/>
  <c r="AF886" i="5"/>
  <c r="B878" i="5"/>
  <c r="AF878" i="5"/>
  <c r="B870" i="5"/>
  <c r="AF870" i="5"/>
  <c r="B862" i="5"/>
  <c r="AF862" i="5"/>
  <c r="B854" i="5"/>
  <c r="AF854" i="5"/>
  <c r="B846" i="5"/>
  <c r="AF846" i="5"/>
  <c r="B838" i="5"/>
  <c r="AF838" i="5"/>
  <c r="B830" i="5"/>
  <c r="AF830" i="5"/>
  <c r="B822" i="5"/>
  <c r="AF822" i="5"/>
  <c r="B814" i="5"/>
  <c r="AF814" i="5"/>
  <c r="B806" i="5"/>
  <c r="AF806" i="5"/>
  <c r="B798" i="5"/>
  <c r="AF798" i="5"/>
  <c r="B790" i="5"/>
  <c r="AF790" i="5"/>
  <c r="B782" i="5"/>
  <c r="AF782" i="5"/>
  <c r="B774" i="5"/>
  <c r="AF774" i="5"/>
  <c r="B766" i="5"/>
  <c r="AF766" i="5"/>
  <c r="B759" i="5"/>
  <c r="AF759" i="5"/>
  <c r="B751" i="5"/>
  <c r="AF751" i="5"/>
  <c r="B743" i="5"/>
  <c r="AF743" i="5"/>
  <c r="B735" i="5"/>
  <c r="AF735" i="5"/>
  <c r="B727" i="5"/>
  <c r="AF727" i="5"/>
  <c r="B719" i="5"/>
  <c r="AF719" i="5"/>
  <c r="B711" i="5"/>
  <c r="AF711" i="5"/>
  <c r="B703" i="5"/>
  <c r="AF703" i="5"/>
  <c r="B695" i="5"/>
  <c r="AF695" i="5"/>
  <c r="B687" i="5"/>
  <c r="AF687" i="5"/>
  <c r="B679" i="5"/>
  <c r="AF679" i="5"/>
  <c r="B671" i="5"/>
  <c r="AF671" i="5"/>
  <c r="B663" i="5"/>
  <c r="AF663" i="5"/>
  <c r="B655" i="5"/>
  <c r="AF655" i="5"/>
  <c r="B647" i="5"/>
  <c r="AF647" i="5"/>
  <c r="B639" i="5"/>
  <c r="AF639" i="5"/>
  <c r="B631" i="5"/>
  <c r="AF631" i="5"/>
  <c r="B623" i="5"/>
  <c r="AF623" i="5"/>
  <c r="B615" i="5"/>
  <c r="AF615" i="5"/>
  <c r="B607" i="5"/>
  <c r="AF607" i="5"/>
  <c r="B599" i="5"/>
  <c r="AF599" i="5"/>
  <c r="B591" i="5"/>
  <c r="AF591" i="5"/>
  <c r="B583" i="5"/>
  <c r="AF583" i="5"/>
  <c r="B575" i="5"/>
  <c r="AF575" i="5"/>
  <c r="B567" i="5"/>
  <c r="AF567" i="5"/>
  <c r="B559" i="5"/>
  <c r="AF559" i="5"/>
  <c r="B551" i="5"/>
  <c r="AF551" i="5"/>
  <c r="B543" i="5"/>
  <c r="AF543" i="5"/>
  <c r="B535" i="5"/>
  <c r="AF535" i="5"/>
  <c r="B527" i="5"/>
  <c r="AF527" i="5"/>
  <c r="B519" i="5"/>
  <c r="AF519" i="5"/>
  <c r="B511" i="5"/>
  <c r="AF511" i="5"/>
  <c r="B503" i="5"/>
  <c r="AF503" i="5"/>
  <c r="B495" i="5"/>
  <c r="AF495" i="5"/>
  <c r="B487" i="5"/>
  <c r="AF487" i="5"/>
  <c r="B479" i="5"/>
  <c r="AF479" i="5"/>
  <c r="B471" i="5"/>
  <c r="AF471" i="5"/>
  <c r="B463" i="5"/>
  <c r="AF463" i="5"/>
  <c r="B455" i="5"/>
  <c r="AF455" i="5"/>
  <c r="B447" i="5"/>
  <c r="AF447" i="5"/>
  <c r="B439" i="5"/>
  <c r="AF439" i="5"/>
  <c r="B431" i="5"/>
  <c r="AF431" i="5"/>
  <c r="B423" i="5"/>
  <c r="AF423" i="5"/>
  <c r="B415" i="5"/>
  <c r="AF415" i="5"/>
  <c r="B407" i="5"/>
  <c r="AF407" i="5"/>
  <c r="B399" i="5"/>
  <c r="AF399" i="5"/>
  <c r="B391" i="5"/>
  <c r="AF391" i="5"/>
  <c r="B383" i="5"/>
  <c r="AF383" i="5"/>
  <c r="B375" i="5"/>
  <c r="AF375" i="5"/>
  <c r="B367" i="5"/>
  <c r="AF367" i="5"/>
  <c r="B359" i="5"/>
  <c r="AF359" i="5"/>
  <c r="B351" i="5"/>
  <c r="AF351" i="5"/>
  <c r="B343" i="5"/>
  <c r="AF343" i="5"/>
  <c r="B335" i="5"/>
  <c r="AF335" i="5"/>
  <c r="B980" i="5"/>
  <c r="AF980" i="5"/>
  <c r="B972" i="5"/>
  <c r="AF972" i="5"/>
  <c r="B964" i="5"/>
  <c r="AF964" i="5"/>
  <c r="B956" i="5"/>
  <c r="AF956" i="5"/>
  <c r="B948" i="5"/>
  <c r="B941" i="5"/>
  <c r="AF941" i="5"/>
  <c r="B933" i="5"/>
  <c r="AF933" i="5"/>
  <c r="B925" i="5"/>
  <c r="AF925" i="5"/>
  <c r="B917" i="5"/>
  <c r="AF917" i="5"/>
  <c r="B909" i="5"/>
  <c r="AF909" i="5"/>
  <c r="B901" i="5"/>
  <c r="AF901" i="5"/>
  <c r="B893" i="5"/>
  <c r="AF893" i="5"/>
  <c r="B885" i="5"/>
  <c r="AF885" i="5"/>
  <c r="B877" i="5"/>
  <c r="AF877" i="5"/>
  <c r="B869" i="5"/>
  <c r="AF869" i="5"/>
  <c r="B861" i="5"/>
  <c r="AF861" i="5"/>
  <c r="B853" i="5"/>
  <c r="AF853" i="5"/>
  <c r="B845" i="5"/>
  <c r="AF845" i="5"/>
  <c r="B837" i="5"/>
  <c r="AF837" i="5"/>
  <c r="B829" i="5"/>
  <c r="AF829" i="5"/>
  <c r="B821" i="5"/>
  <c r="AF821" i="5"/>
  <c r="B813" i="5"/>
  <c r="AF813" i="5"/>
  <c r="B805" i="5"/>
  <c r="AF805" i="5"/>
  <c r="B797" i="5"/>
  <c r="AF797" i="5"/>
  <c r="B789" i="5"/>
  <c r="AF789" i="5"/>
  <c r="B781" i="5"/>
  <c r="AF781" i="5"/>
  <c r="B773" i="5"/>
  <c r="AF773" i="5"/>
  <c r="B765" i="5"/>
  <c r="AF765" i="5"/>
  <c r="B758" i="5"/>
  <c r="AF758" i="5"/>
  <c r="B750" i="5"/>
  <c r="AF750" i="5"/>
  <c r="B742" i="5"/>
  <c r="AF742" i="5"/>
  <c r="B734" i="5"/>
  <c r="AF734" i="5"/>
  <c r="B726" i="5"/>
  <c r="AF726" i="5"/>
  <c r="B718" i="5"/>
  <c r="AF718" i="5"/>
  <c r="B710" i="5"/>
  <c r="AF710" i="5"/>
  <c r="B702" i="5"/>
  <c r="AF702" i="5"/>
  <c r="B694" i="5"/>
  <c r="AF694" i="5"/>
  <c r="B686" i="5"/>
  <c r="AF686" i="5"/>
  <c r="B678" i="5"/>
  <c r="AF678" i="5"/>
  <c r="B670" i="5"/>
  <c r="AF670" i="5"/>
  <c r="B662" i="5"/>
  <c r="AF662" i="5"/>
  <c r="B654" i="5"/>
  <c r="AF654" i="5"/>
  <c r="B646" i="5"/>
  <c r="AF646" i="5"/>
  <c r="B638" i="5"/>
  <c r="AF638" i="5"/>
  <c r="B630" i="5"/>
  <c r="AF630" i="5"/>
  <c r="B622" i="5"/>
  <c r="AF622" i="5"/>
  <c r="B614" i="5"/>
  <c r="AF614" i="5"/>
  <c r="B606" i="5"/>
  <c r="AF606" i="5"/>
  <c r="B598" i="5"/>
  <c r="AF598" i="5"/>
  <c r="B590" i="5"/>
  <c r="AF590" i="5"/>
  <c r="B582" i="5"/>
  <c r="AF582" i="5"/>
  <c r="B574" i="5"/>
  <c r="AF574" i="5"/>
  <c r="B566" i="5"/>
  <c r="AF566" i="5"/>
  <c r="B558" i="5"/>
  <c r="AF558" i="5"/>
  <c r="B550" i="5"/>
  <c r="AF550" i="5"/>
  <c r="B542" i="5"/>
  <c r="AF542" i="5"/>
  <c r="B534" i="5"/>
  <c r="AF534" i="5"/>
  <c r="B526" i="5"/>
  <c r="AF526" i="5"/>
  <c r="B518" i="5"/>
  <c r="AF518" i="5"/>
  <c r="B510" i="5"/>
  <c r="AF510" i="5"/>
  <c r="B502" i="5"/>
  <c r="AF502" i="5"/>
  <c r="B494" i="5"/>
  <c r="AF494" i="5"/>
  <c r="B486" i="5"/>
  <c r="AF486" i="5"/>
  <c r="B478" i="5"/>
  <c r="AF478" i="5"/>
  <c r="B470" i="5"/>
  <c r="AF470" i="5"/>
  <c r="B462" i="5"/>
  <c r="AF462" i="5"/>
  <c r="B454" i="5"/>
  <c r="AF454" i="5"/>
  <c r="B446" i="5"/>
  <c r="AF446" i="5"/>
  <c r="B438" i="5"/>
  <c r="AF438" i="5"/>
  <c r="B430" i="5"/>
  <c r="AF430" i="5"/>
  <c r="B422" i="5"/>
  <c r="AF422" i="5"/>
  <c r="B414" i="5"/>
  <c r="AF414" i="5"/>
  <c r="B406" i="5"/>
  <c r="AF406" i="5"/>
  <c r="B398" i="5"/>
  <c r="AF398" i="5"/>
  <c r="B390" i="5"/>
  <c r="AF390" i="5"/>
  <c r="B382" i="5"/>
  <c r="AF382" i="5"/>
  <c r="B374" i="5"/>
  <c r="AF374" i="5"/>
  <c r="B366" i="5"/>
  <c r="AF366" i="5"/>
  <c r="B358" i="5"/>
  <c r="AF358" i="5"/>
  <c r="B350" i="5"/>
  <c r="AF350" i="5"/>
  <c r="B342" i="5"/>
  <c r="AF342" i="5"/>
  <c r="B334" i="5"/>
  <c r="AF334" i="5"/>
  <c r="B326" i="5"/>
  <c r="AF326" i="5"/>
  <c r="B318" i="5"/>
  <c r="AF318" i="5"/>
  <c r="B310" i="5"/>
  <c r="AF310" i="5"/>
  <c r="B302" i="5"/>
  <c r="AF302" i="5"/>
  <c r="B294" i="5"/>
  <c r="AF294" i="5"/>
  <c r="B286" i="5"/>
  <c r="AF286" i="5"/>
  <c r="B278" i="5"/>
  <c r="AF278" i="5"/>
  <c r="B270" i="5"/>
  <c r="AF270" i="5"/>
  <c r="B262" i="5"/>
  <c r="AF262" i="5"/>
  <c r="B254" i="5"/>
  <c r="AF254" i="5"/>
  <c r="B246" i="5"/>
  <c r="AF246" i="5"/>
  <c r="B238" i="5"/>
  <c r="AF238" i="5"/>
  <c r="B230" i="5"/>
  <c r="AF230" i="5"/>
  <c r="B222" i="5"/>
  <c r="AF222" i="5"/>
  <c r="B987" i="5"/>
  <c r="AF987" i="5"/>
  <c r="B940" i="5"/>
  <c r="AF940" i="5"/>
  <c r="B932" i="5"/>
  <c r="AF932" i="5"/>
  <c r="B924" i="5"/>
  <c r="AF924" i="5"/>
  <c r="B916" i="5"/>
  <c r="AF916" i="5"/>
  <c r="B908" i="5"/>
  <c r="AF908" i="5"/>
  <c r="B900" i="5"/>
  <c r="AF900" i="5"/>
  <c r="B892" i="5"/>
  <c r="AF892" i="5"/>
  <c r="B884" i="5"/>
  <c r="AF884" i="5"/>
  <c r="B876" i="5"/>
  <c r="AF876" i="5"/>
  <c r="B868" i="5"/>
  <c r="AF868" i="5"/>
  <c r="B860" i="5"/>
  <c r="AF860" i="5"/>
  <c r="B852" i="5"/>
  <c r="AF852" i="5"/>
  <c r="B844" i="5"/>
  <c r="AF844" i="5"/>
  <c r="B836" i="5"/>
  <c r="AF836" i="5"/>
  <c r="B828" i="5"/>
  <c r="AF828" i="5"/>
  <c r="B820" i="5"/>
  <c r="AF820" i="5"/>
  <c r="B812" i="5"/>
  <c r="AF812" i="5"/>
  <c r="B804" i="5"/>
  <c r="AF804" i="5"/>
  <c r="B796" i="5"/>
  <c r="AF796" i="5"/>
  <c r="B788" i="5"/>
  <c r="AF788" i="5"/>
  <c r="B780" i="5"/>
  <c r="AF780" i="5"/>
  <c r="B772" i="5"/>
  <c r="AF772" i="5"/>
  <c r="B764" i="5"/>
  <c r="B757" i="5"/>
  <c r="AF757" i="5"/>
  <c r="B749" i="5"/>
  <c r="AF749" i="5"/>
  <c r="B741" i="5"/>
  <c r="AF741" i="5"/>
  <c r="B733" i="5"/>
  <c r="AF733" i="5"/>
  <c r="B725" i="5"/>
  <c r="AF725" i="5"/>
  <c r="B717" i="5"/>
  <c r="AF717" i="5"/>
  <c r="B709" i="5"/>
  <c r="AF709" i="5"/>
  <c r="B701" i="5"/>
  <c r="AF701" i="5"/>
  <c r="B693" i="5"/>
  <c r="AF693" i="5"/>
  <c r="B685" i="5"/>
  <c r="AF685" i="5"/>
  <c r="B677" i="5"/>
  <c r="AF677" i="5"/>
  <c r="B669" i="5"/>
  <c r="AF669" i="5"/>
  <c r="B661" i="5"/>
  <c r="AF661" i="5"/>
  <c r="B653" i="5"/>
  <c r="AF653" i="5"/>
  <c r="B645" i="5"/>
  <c r="AF645" i="5"/>
  <c r="B637" i="5"/>
  <c r="AF637" i="5"/>
  <c r="B629" i="5"/>
  <c r="AF629" i="5"/>
  <c r="B621" i="5"/>
  <c r="AF621" i="5"/>
  <c r="B613" i="5"/>
  <c r="AF613" i="5"/>
  <c r="B605" i="5"/>
  <c r="AF605" i="5"/>
  <c r="B597" i="5"/>
  <c r="AF597" i="5"/>
  <c r="B589" i="5"/>
  <c r="AF589" i="5"/>
  <c r="B581" i="5"/>
  <c r="AF581" i="5"/>
  <c r="B573" i="5"/>
  <c r="AF573" i="5"/>
  <c r="B565" i="5"/>
  <c r="AF565" i="5"/>
  <c r="B557" i="5"/>
  <c r="AF557" i="5"/>
  <c r="B549" i="5"/>
  <c r="AF549" i="5"/>
  <c r="B541" i="5"/>
  <c r="AF541" i="5"/>
  <c r="B533" i="5"/>
  <c r="AF533" i="5"/>
  <c r="B525" i="5"/>
  <c r="AF525" i="5"/>
  <c r="B517" i="5"/>
  <c r="AF517" i="5"/>
  <c r="B509" i="5"/>
  <c r="AF509" i="5"/>
  <c r="B501" i="5"/>
  <c r="AF501" i="5"/>
  <c r="B493" i="5"/>
  <c r="AF493" i="5"/>
  <c r="B485" i="5"/>
  <c r="AF485" i="5"/>
  <c r="B477" i="5"/>
  <c r="AF477" i="5"/>
  <c r="B469" i="5"/>
  <c r="AF469" i="5"/>
  <c r="B461" i="5"/>
  <c r="AF461" i="5"/>
  <c r="B453" i="5"/>
  <c r="AF453" i="5"/>
  <c r="B445" i="5"/>
  <c r="AF445" i="5"/>
  <c r="B437" i="5"/>
  <c r="AF437" i="5"/>
  <c r="B429" i="5"/>
  <c r="AF429" i="5"/>
  <c r="B421" i="5"/>
  <c r="AF421" i="5"/>
  <c r="B413" i="5"/>
  <c r="AF413" i="5"/>
  <c r="B405" i="5"/>
  <c r="AF405" i="5"/>
  <c r="B397" i="5"/>
  <c r="AF397" i="5"/>
  <c r="B389" i="5"/>
  <c r="AF389" i="5"/>
  <c r="B381" i="5"/>
  <c r="AF381" i="5"/>
  <c r="B373" i="5"/>
  <c r="AF373" i="5"/>
  <c r="B365" i="5"/>
  <c r="AF365" i="5"/>
  <c r="B357" i="5"/>
  <c r="AF357" i="5"/>
  <c r="B349" i="5"/>
  <c r="AF349" i="5"/>
  <c r="B341" i="5"/>
  <c r="AF341" i="5"/>
  <c r="B995" i="5"/>
  <c r="AF995" i="5"/>
  <c r="B979" i="5"/>
  <c r="AF979" i="5"/>
  <c r="B955" i="5"/>
  <c r="AF955" i="5"/>
  <c r="B986" i="5"/>
  <c r="AF986" i="5"/>
  <c r="B970" i="5"/>
  <c r="AF970" i="5"/>
  <c r="B962" i="5"/>
  <c r="AF962" i="5"/>
  <c r="B947" i="5"/>
  <c r="AF947" i="5"/>
  <c r="B939" i="5"/>
  <c r="AF939" i="5"/>
  <c r="B931" i="5"/>
  <c r="AF931" i="5"/>
  <c r="B923" i="5"/>
  <c r="AF923" i="5"/>
  <c r="B915" i="5"/>
  <c r="AF915" i="5"/>
  <c r="B907" i="5"/>
  <c r="AF907" i="5"/>
  <c r="B899" i="5"/>
  <c r="AF899" i="5"/>
  <c r="B891" i="5"/>
  <c r="AF891" i="5"/>
  <c r="B883" i="5"/>
  <c r="AF883" i="5"/>
  <c r="B875" i="5"/>
  <c r="AF875" i="5"/>
  <c r="B867" i="5"/>
  <c r="AF867" i="5"/>
  <c r="B859" i="5"/>
  <c r="AF859" i="5"/>
  <c r="B851" i="5"/>
  <c r="AF851" i="5"/>
  <c r="B843" i="5"/>
  <c r="AF843" i="5"/>
  <c r="B835" i="5"/>
  <c r="AF835" i="5"/>
  <c r="B827" i="5"/>
  <c r="AF827" i="5"/>
  <c r="B819" i="5"/>
  <c r="AF819" i="5"/>
  <c r="B811" i="5"/>
  <c r="AF811" i="5"/>
  <c r="B803" i="5"/>
  <c r="AF803" i="5"/>
  <c r="B795" i="5"/>
  <c r="AF795" i="5"/>
  <c r="B787" i="5"/>
  <c r="AF787" i="5"/>
  <c r="B779" i="5"/>
  <c r="AF779" i="5"/>
  <c r="B771" i="5"/>
  <c r="AF771" i="5"/>
  <c r="B756" i="5"/>
  <c r="AF756" i="5"/>
  <c r="B748" i="5"/>
  <c r="AF748" i="5"/>
  <c r="B740" i="5"/>
  <c r="AF740" i="5"/>
  <c r="B732" i="5"/>
  <c r="AF732" i="5"/>
  <c r="B724" i="5"/>
  <c r="AF724" i="5"/>
  <c r="B716" i="5"/>
  <c r="AF716" i="5"/>
  <c r="B708" i="5"/>
  <c r="AF708" i="5"/>
  <c r="B700" i="5"/>
  <c r="AF700" i="5"/>
  <c r="B692" i="5"/>
  <c r="AF692" i="5"/>
  <c r="B684" i="5"/>
  <c r="AF684" i="5"/>
  <c r="B676" i="5"/>
  <c r="AF676" i="5"/>
  <c r="B668" i="5"/>
  <c r="AF668" i="5"/>
  <c r="B660" i="5"/>
  <c r="AF660" i="5"/>
  <c r="B652" i="5"/>
  <c r="AF652" i="5"/>
  <c r="B644" i="5"/>
  <c r="AF644" i="5"/>
  <c r="B636" i="5"/>
  <c r="AF636" i="5"/>
  <c r="B628" i="5"/>
  <c r="AF628" i="5"/>
  <c r="B620" i="5"/>
  <c r="AF620" i="5"/>
  <c r="B612" i="5"/>
  <c r="AF612" i="5"/>
  <c r="B604" i="5"/>
  <c r="AF604" i="5"/>
  <c r="B596" i="5"/>
  <c r="AF596" i="5"/>
  <c r="B588" i="5"/>
  <c r="AF588" i="5"/>
  <c r="B580" i="5"/>
  <c r="AF580" i="5"/>
  <c r="B572" i="5"/>
  <c r="AF572" i="5"/>
  <c r="B564" i="5"/>
  <c r="AF564" i="5"/>
  <c r="B556" i="5"/>
  <c r="AF556" i="5"/>
  <c r="B548" i="5"/>
  <c r="AF548" i="5"/>
  <c r="B540" i="5"/>
  <c r="AF540" i="5"/>
  <c r="B532" i="5"/>
  <c r="AF532" i="5"/>
  <c r="B524" i="5"/>
  <c r="AF524" i="5"/>
  <c r="B516" i="5"/>
  <c r="AF516" i="5"/>
  <c r="B508" i="5"/>
  <c r="AF508" i="5"/>
  <c r="B500" i="5"/>
  <c r="AF500" i="5"/>
  <c r="B492" i="5"/>
  <c r="AF492" i="5"/>
  <c r="B484" i="5"/>
  <c r="AF484" i="5"/>
  <c r="B476" i="5"/>
  <c r="AF476" i="5"/>
  <c r="B468" i="5"/>
  <c r="AF468" i="5"/>
  <c r="B460" i="5"/>
  <c r="AF460" i="5"/>
  <c r="B452" i="5"/>
  <c r="AF452" i="5"/>
  <c r="B444" i="5"/>
  <c r="AF444" i="5"/>
  <c r="B436" i="5"/>
  <c r="AF436" i="5"/>
  <c r="B428" i="5"/>
  <c r="AF428" i="5"/>
  <c r="B420" i="5"/>
  <c r="AF420" i="5"/>
  <c r="B412" i="5"/>
  <c r="AF412" i="5"/>
  <c r="B404" i="5"/>
  <c r="AF404" i="5"/>
  <c r="B396" i="5"/>
  <c r="AF396" i="5"/>
  <c r="B388" i="5"/>
  <c r="AF388" i="5"/>
  <c r="B380" i="5"/>
  <c r="AF380" i="5"/>
  <c r="B372" i="5"/>
  <c r="AF372" i="5"/>
  <c r="B364" i="5"/>
  <c r="AF364" i="5"/>
  <c r="B356" i="5"/>
  <c r="AF356" i="5"/>
  <c r="B348" i="5"/>
  <c r="AF348" i="5"/>
  <c r="B340" i="5"/>
  <c r="AF340" i="5"/>
  <c r="B332" i="5"/>
  <c r="AF332" i="5"/>
  <c r="B324" i="5"/>
  <c r="AF324" i="5"/>
  <c r="B316" i="5"/>
  <c r="AF316" i="5"/>
  <c r="B308" i="5"/>
  <c r="AF308" i="5"/>
  <c r="B300" i="5"/>
  <c r="AF300" i="5"/>
  <c r="B292" i="5"/>
  <c r="AF292" i="5"/>
  <c r="B284" i="5"/>
  <c r="AF284" i="5"/>
  <c r="B276" i="5"/>
  <c r="AF276" i="5"/>
  <c r="B268" i="5"/>
  <c r="AF268" i="5"/>
  <c r="B260" i="5"/>
  <c r="AF260" i="5"/>
  <c r="B252" i="5"/>
  <c r="AF252" i="5"/>
  <c r="B244" i="5"/>
  <c r="AF244" i="5"/>
  <c r="B236" i="5"/>
  <c r="AF236" i="5"/>
  <c r="B228" i="5"/>
  <c r="AF228" i="5"/>
  <c r="B220" i="5"/>
  <c r="AF220" i="5"/>
  <c r="B212" i="5"/>
  <c r="AF212" i="5"/>
  <c r="B204" i="5"/>
  <c r="AF204" i="5"/>
  <c r="B196" i="5"/>
  <c r="AF196" i="5"/>
  <c r="B963" i="5"/>
  <c r="AF963" i="5"/>
  <c r="B994" i="5"/>
  <c r="AF994" i="5"/>
  <c r="B978" i="5"/>
  <c r="AF978" i="5"/>
  <c r="B954" i="5"/>
  <c r="AF954" i="5"/>
  <c r="B2" i="5"/>
  <c r="AF2" i="5"/>
  <c r="B993" i="5"/>
  <c r="AF993" i="5"/>
  <c r="B985" i="5"/>
  <c r="AF985" i="5"/>
  <c r="B977" i="5"/>
  <c r="AF977" i="5"/>
  <c r="B969" i="5"/>
  <c r="AF969" i="5"/>
  <c r="B961" i="5"/>
  <c r="AF961" i="5"/>
  <c r="B953" i="5"/>
  <c r="AF953" i="5"/>
  <c r="B946" i="5"/>
  <c r="AF946" i="5"/>
  <c r="B938" i="5"/>
  <c r="AF938" i="5"/>
  <c r="B930" i="5"/>
  <c r="AF930" i="5"/>
  <c r="B922" i="5"/>
  <c r="AF922" i="5"/>
  <c r="B914" i="5"/>
  <c r="AF914" i="5"/>
  <c r="B906" i="5"/>
  <c r="AF906" i="5"/>
  <c r="B898" i="5"/>
  <c r="AF898" i="5"/>
  <c r="B890" i="5"/>
  <c r="AF890" i="5"/>
  <c r="B882" i="5"/>
  <c r="AF882" i="5"/>
  <c r="B874" i="5"/>
  <c r="AF874" i="5"/>
  <c r="B866" i="5"/>
  <c r="AF866" i="5"/>
  <c r="B858" i="5"/>
  <c r="AF858" i="5"/>
  <c r="B850" i="5"/>
  <c r="AF850" i="5"/>
  <c r="B842" i="5"/>
  <c r="AF842" i="5"/>
  <c r="B834" i="5"/>
  <c r="AF834" i="5"/>
  <c r="B826" i="5"/>
  <c r="AF826" i="5"/>
  <c r="B818" i="5"/>
  <c r="AF818" i="5"/>
  <c r="B810" i="5"/>
  <c r="AF810" i="5"/>
  <c r="B802" i="5"/>
  <c r="AF802" i="5"/>
  <c r="B794" i="5"/>
  <c r="AF794" i="5"/>
  <c r="B786" i="5"/>
  <c r="AF786" i="5"/>
  <c r="B778" i="5"/>
  <c r="AF778" i="5"/>
  <c r="B770" i="5"/>
  <c r="AF770" i="5"/>
  <c r="B763" i="5"/>
  <c r="AF763" i="5"/>
  <c r="B755" i="5"/>
  <c r="AF755" i="5"/>
  <c r="B747" i="5"/>
  <c r="AF747" i="5"/>
  <c r="B739" i="5"/>
  <c r="AF739" i="5"/>
  <c r="B731" i="5"/>
  <c r="AF731" i="5"/>
  <c r="B723" i="5"/>
  <c r="AF723" i="5"/>
  <c r="B715" i="5"/>
  <c r="AF715" i="5"/>
  <c r="B707" i="5"/>
  <c r="AF707" i="5"/>
  <c r="B699" i="5"/>
  <c r="AF699" i="5"/>
  <c r="B691" i="5"/>
  <c r="AF691" i="5"/>
  <c r="B683" i="5"/>
  <c r="AF683" i="5"/>
  <c r="B675" i="5"/>
  <c r="AF675" i="5"/>
  <c r="B667" i="5"/>
  <c r="AF667" i="5"/>
  <c r="B659" i="5"/>
  <c r="AF659" i="5"/>
  <c r="B651" i="5"/>
  <c r="AF651" i="5"/>
  <c r="B643" i="5"/>
  <c r="AF643" i="5"/>
  <c r="B635" i="5"/>
  <c r="AF635" i="5"/>
  <c r="B627" i="5"/>
  <c r="AF627" i="5"/>
  <c r="B619" i="5"/>
  <c r="AF619" i="5"/>
  <c r="B611" i="5"/>
  <c r="AF611" i="5"/>
  <c r="B603" i="5"/>
  <c r="AF603" i="5"/>
  <c r="B595" i="5"/>
  <c r="AF595" i="5"/>
  <c r="B587" i="5"/>
  <c r="AF587" i="5"/>
  <c r="B579" i="5"/>
  <c r="AF579" i="5"/>
  <c r="B571" i="5"/>
  <c r="AF571" i="5"/>
  <c r="B563" i="5"/>
  <c r="AF563" i="5"/>
  <c r="B555" i="5"/>
  <c r="AF555" i="5"/>
  <c r="B547" i="5"/>
  <c r="AF547" i="5"/>
  <c r="B539" i="5"/>
  <c r="AF539" i="5"/>
  <c r="B531" i="5"/>
  <c r="AF531" i="5"/>
  <c r="B523" i="5"/>
  <c r="AF523" i="5"/>
  <c r="B515" i="5"/>
  <c r="AF515" i="5"/>
  <c r="B507" i="5"/>
  <c r="AF507" i="5"/>
  <c r="B499" i="5"/>
  <c r="AF499" i="5"/>
  <c r="B491" i="5"/>
  <c r="AF491" i="5"/>
  <c r="B483" i="5"/>
  <c r="AF483" i="5"/>
  <c r="B475" i="5"/>
  <c r="AF475" i="5"/>
  <c r="B467" i="5"/>
  <c r="AF467" i="5"/>
  <c r="B459" i="5"/>
  <c r="AF459" i="5"/>
  <c r="B451" i="5"/>
  <c r="AF451" i="5"/>
  <c r="B443" i="5"/>
  <c r="AF443" i="5"/>
  <c r="B435" i="5"/>
  <c r="AF435" i="5"/>
  <c r="B427" i="5"/>
  <c r="AF427" i="5"/>
  <c r="B419" i="5"/>
  <c r="AF419" i="5"/>
  <c r="B411" i="5"/>
  <c r="AF411" i="5"/>
  <c r="B403" i="5"/>
  <c r="AF403" i="5"/>
  <c r="B395" i="5"/>
  <c r="AF395" i="5"/>
  <c r="B387" i="5"/>
  <c r="AF387" i="5"/>
  <c r="B379" i="5"/>
  <c r="AF379" i="5"/>
  <c r="B371" i="5"/>
  <c r="AF371" i="5"/>
  <c r="B363" i="5"/>
  <c r="AF363" i="5"/>
  <c r="B355" i="5"/>
  <c r="AF355" i="5"/>
  <c r="B347" i="5"/>
  <c r="AF347" i="5"/>
  <c r="B339" i="5"/>
  <c r="AF339" i="5"/>
  <c r="B331" i="5"/>
  <c r="AF331" i="5"/>
  <c r="B323" i="5"/>
  <c r="AF323" i="5"/>
  <c r="B315" i="5"/>
  <c r="AF315" i="5"/>
  <c r="B307" i="5"/>
  <c r="AF307" i="5"/>
  <c r="B299" i="5"/>
  <c r="AF299" i="5"/>
  <c r="B259" i="5"/>
  <c r="AF259" i="5"/>
  <c r="B251" i="5"/>
  <c r="AF251" i="5"/>
  <c r="B243" i="5"/>
  <c r="AF243" i="5"/>
  <c r="B235" i="5"/>
  <c r="AF235" i="5"/>
  <c r="B195" i="5"/>
  <c r="AF195" i="5"/>
  <c r="B187" i="5"/>
  <c r="AF187" i="5"/>
  <c r="B179" i="5"/>
  <c r="AF179" i="5"/>
  <c r="B171" i="5"/>
  <c r="AF171" i="5"/>
  <c r="B131" i="5"/>
  <c r="AF131" i="5"/>
  <c r="B123" i="5"/>
  <c r="AF123" i="5"/>
  <c r="B115" i="5"/>
  <c r="AF115" i="5"/>
  <c r="B107" i="5"/>
  <c r="AF107" i="5"/>
  <c r="B67" i="5"/>
  <c r="AF67" i="5"/>
  <c r="B59" i="5"/>
  <c r="AF59" i="5"/>
  <c r="B51" i="5"/>
  <c r="AF51" i="5"/>
  <c r="B43" i="5"/>
  <c r="AF43" i="5"/>
  <c r="B3" i="5"/>
  <c r="AF3" i="5"/>
  <c r="AF309" i="5"/>
  <c r="AF291" i="5"/>
  <c r="AF218" i="5"/>
  <c r="AF200" i="5"/>
  <c r="AF181" i="5"/>
  <c r="AF163" i="5"/>
  <c r="AF145" i="5"/>
  <c r="AF126" i="5"/>
  <c r="AF108" i="5"/>
  <c r="AF90" i="5"/>
  <c r="AF72" i="5"/>
  <c r="AF53" i="5"/>
  <c r="AF35" i="5"/>
  <c r="AF17" i="5"/>
  <c r="B306" i="5"/>
  <c r="AF306" i="5"/>
  <c r="B298" i="5"/>
  <c r="AF298" i="5"/>
  <c r="B290" i="5"/>
  <c r="AF290" i="5"/>
  <c r="B250" i="5"/>
  <c r="AF250" i="5"/>
  <c r="B242" i="5"/>
  <c r="AF242" i="5"/>
  <c r="B234" i="5"/>
  <c r="AF234" i="5"/>
  <c r="B226" i="5"/>
  <c r="AF226" i="5"/>
  <c r="B186" i="5"/>
  <c r="AF186" i="5"/>
  <c r="B178" i="5"/>
  <c r="AF178" i="5"/>
  <c r="B170" i="5"/>
  <c r="AF170" i="5"/>
  <c r="B162" i="5"/>
  <c r="AF162" i="5"/>
  <c r="B122" i="5"/>
  <c r="AF122" i="5"/>
  <c r="B114" i="5"/>
  <c r="AF114" i="5"/>
  <c r="B106" i="5"/>
  <c r="AF106" i="5"/>
  <c r="B98" i="5"/>
  <c r="AF98" i="5"/>
  <c r="B58" i="5"/>
  <c r="AF58" i="5"/>
  <c r="B50" i="5"/>
  <c r="AF50" i="5"/>
  <c r="B42" i="5"/>
  <c r="AF42" i="5"/>
  <c r="B34" i="5"/>
  <c r="AF34" i="5"/>
  <c r="B10" i="5"/>
  <c r="AF10" i="5"/>
  <c r="AF285" i="5"/>
  <c r="AF267" i="5"/>
  <c r="AF194" i="5"/>
  <c r="AF176" i="5"/>
  <c r="AF157" i="5"/>
  <c r="AF139" i="5"/>
  <c r="AF121" i="5"/>
  <c r="AF102" i="5"/>
  <c r="AF84" i="5"/>
  <c r="AF66" i="5"/>
  <c r="AF48" i="5"/>
  <c r="AF29" i="5"/>
  <c r="AF11" i="5"/>
  <c r="B113" i="5"/>
  <c r="AF113" i="5"/>
  <c r="B105" i="5"/>
  <c r="AF105" i="5"/>
  <c r="B97" i="5"/>
  <c r="AF97" i="5"/>
  <c r="B89" i="5"/>
  <c r="AF89" i="5"/>
  <c r="B49" i="5"/>
  <c r="AF49" i="5"/>
  <c r="B41" i="5"/>
  <c r="AF41" i="5"/>
  <c r="B33" i="5"/>
  <c r="AF33" i="5"/>
  <c r="B25" i="5"/>
  <c r="AF25" i="5"/>
  <c r="B9" i="5"/>
  <c r="AF9" i="5"/>
  <c r="AF266" i="5"/>
  <c r="AF229" i="5"/>
  <c r="AF211" i="5"/>
  <c r="AF174" i="5"/>
  <c r="AF156" i="5"/>
  <c r="AF138" i="5"/>
  <c r="AF120" i="5"/>
  <c r="AF101" i="5"/>
  <c r="AF83" i="5"/>
  <c r="AF65" i="5"/>
  <c r="AF46" i="5"/>
  <c r="AF28" i="5"/>
  <c r="B224" i="5"/>
  <c r="AF224" i="5"/>
  <c r="B216" i="5"/>
  <c r="AF216" i="5"/>
  <c r="B208" i="5"/>
  <c r="AF208" i="5"/>
  <c r="B168" i="5"/>
  <c r="AF168" i="5"/>
  <c r="B160" i="5"/>
  <c r="AF160" i="5"/>
  <c r="B152" i="5"/>
  <c r="AF152" i="5"/>
  <c r="B144" i="5"/>
  <c r="AF144" i="5"/>
  <c r="B104" i="5"/>
  <c r="AF104" i="5"/>
  <c r="B96" i="5"/>
  <c r="AF96" i="5"/>
  <c r="B88" i="5"/>
  <c r="AF88" i="5"/>
  <c r="B80" i="5"/>
  <c r="AF80" i="5"/>
  <c r="B40" i="5"/>
  <c r="AF40" i="5"/>
  <c r="B32" i="5"/>
  <c r="AF32" i="5"/>
  <c r="B24" i="5"/>
  <c r="AF24" i="5"/>
  <c r="B16" i="5"/>
  <c r="AF16" i="5"/>
  <c r="B8" i="5"/>
  <c r="AF8" i="5"/>
  <c r="AF301" i="5"/>
  <c r="AF283" i="5"/>
  <c r="AF210" i="5"/>
  <c r="AF192" i="5"/>
  <c r="AF173" i="5"/>
  <c r="AF155" i="5"/>
  <c r="AF137" i="5"/>
  <c r="AF118" i="5"/>
  <c r="AF100" i="5"/>
  <c r="AF82" i="5"/>
  <c r="AF64" i="5"/>
  <c r="AF45" i="5"/>
  <c r="AF27" i="5"/>
  <c r="B327" i="5"/>
  <c r="AF327" i="5"/>
  <c r="B319" i="5"/>
  <c r="AF319" i="5"/>
  <c r="B311" i="5"/>
  <c r="AF311" i="5"/>
  <c r="B303" i="5"/>
  <c r="AF303" i="5"/>
  <c r="B295" i="5"/>
  <c r="AF295" i="5"/>
  <c r="B287" i="5"/>
  <c r="AF287" i="5"/>
  <c r="B279" i="5"/>
  <c r="AF279" i="5"/>
  <c r="B271" i="5"/>
  <c r="AF271" i="5"/>
  <c r="B263" i="5"/>
  <c r="AF263" i="5"/>
  <c r="B255" i="5"/>
  <c r="AF255" i="5"/>
  <c r="B247" i="5"/>
  <c r="AF247" i="5"/>
  <c r="B239" i="5"/>
  <c r="AF239" i="5"/>
  <c r="B231" i="5"/>
  <c r="AF231" i="5"/>
  <c r="B223" i="5"/>
  <c r="AF223" i="5"/>
  <c r="B215" i="5"/>
  <c r="AF215" i="5"/>
  <c r="B207" i="5"/>
  <c r="AF207" i="5"/>
  <c r="B199" i="5"/>
  <c r="AF199" i="5"/>
  <c r="B191" i="5"/>
  <c r="AF191" i="5"/>
  <c r="B183" i="5"/>
  <c r="AF183" i="5"/>
  <c r="B175" i="5"/>
  <c r="AF175" i="5"/>
  <c r="B167" i="5"/>
  <c r="AF167" i="5"/>
  <c r="B159" i="5"/>
  <c r="AF159" i="5"/>
  <c r="B151" i="5"/>
  <c r="AF151" i="5"/>
  <c r="B143" i="5"/>
  <c r="AF143" i="5"/>
  <c r="B135" i="5"/>
  <c r="AF135" i="5"/>
  <c r="B127" i="5"/>
  <c r="AF127" i="5"/>
  <c r="B119" i="5"/>
  <c r="AF119" i="5"/>
  <c r="B111" i="5"/>
  <c r="AF111" i="5"/>
  <c r="B103" i="5"/>
  <c r="AF103" i="5"/>
  <c r="B95" i="5"/>
  <c r="AF95" i="5"/>
  <c r="B87" i="5"/>
  <c r="AF87" i="5"/>
  <c r="B79" i="5"/>
  <c r="AF79" i="5"/>
  <c r="B71" i="5"/>
  <c r="AF71" i="5"/>
  <c r="B63" i="5"/>
  <c r="AF63" i="5"/>
  <c r="B55" i="5"/>
  <c r="AF55" i="5"/>
  <c r="B47" i="5"/>
  <c r="AF47" i="5"/>
  <c r="B39" i="5"/>
  <c r="AF39" i="5"/>
  <c r="B31" i="5"/>
  <c r="AF31" i="5"/>
  <c r="B23" i="5"/>
  <c r="AF23" i="5"/>
  <c r="B15" i="5"/>
  <c r="AF15" i="5"/>
  <c r="B7" i="5"/>
  <c r="AF7" i="5"/>
  <c r="AF282" i="5"/>
  <c r="AF245" i="5"/>
  <c r="AF227" i="5"/>
  <c r="AF190" i="5"/>
  <c r="AF172" i="5"/>
  <c r="AF154" i="5"/>
  <c r="AF136" i="5"/>
  <c r="AF117" i="5"/>
  <c r="AF99" i="5"/>
  <c r="AF81" i="5"/>
  <c r="AF62" i="5"/>
  <c r="AF44" i="5"/>
  <c r="AF26" i="5"/>
  <c r="B214" i="5"/>
  <c r="AF214" i="5"/>
  <c r="B206" i="5"/>
  <c r="AF206" i="5"/>
  <c r="B198" i="5"/>
  <c r="AF198" i="5"/>
  <c r="B158" i="5"/>
  <c r="AF158" i="5"/>
  <c r="B150" i="5"/>
  <c r="AF150" i="5"/>
  <c r="B142" i="5"/>
  <c r="AF142" i="5"/>
  <c r="B134" i="5"/>
  <c r="AF134" i="5"/>
  <c r="B94" i="5"/>
  <c r="AF94" i="5"/>
  <c r="B86" i="5"/>
  <c r="AF86" i="5"/>
  <c r="B78" i="5"/>
  <c r="AF78" i="5"/>
  <c r="B70" i="5"/>
  <c r="AF70" i="5"/>
  <c r="B30" i="5"/>
  <c r="AF30" i="5"/>
  <c r="B22" i="5"/>
  <c r="AF22" i="5"/>
  <c r="B14" i="5"/>
  <c r="AF14" i="5"/>
  <c r="B6" i="5"/>
  <c r="AF6" i="5"/>
  <c r="AF258" i="5"/>
  <c r="AF221" i="5"/>
  <c r="AF203" i="5"/>
  <c r="AF166" i="5"/>
  <c r="AF148" i="5"/>
  <c r="AF130" i="5"/>
  <c r="AF112" i="5"/>
  <c r="AF93" i="5"/>
  <c r="AF75" i="5"/>
  <c r="AF57" i="5"/>
  <c r="AF38" i="5"/>
  <c r="AF20" i="5"/>
  <c r="B333" i="5"/>
  <c r="AF333" i="5"/>
  <c r="B325" i="5"/>
  <c r="AF325" i="5"/>
  <c r="B317" i="5"/>
  <c r="AF317" i="5"/>
  <c r="B277" i="5"/>
  <c r="AF277" i="5"/>
  <c r="B269" i="5"/>
  <c r="AF269" i="5"/>
  <c r="B261" i="5"/>
  <c r="AF261" i="5"/>
  <c r="B253" i="5"/>
  <c r="AF253" i="5"/>
  <c r="B213" i="5"/>
  <c r="AF213" i="5"/>
  <c r="B205" i="5"/>
  <c r="AF205" i="5"/>
  <c r="B197" i="5"/>
  <c r="AF197" i="5"/>
  <c r="B189" i="5"/>
  <c r="AF189" i="5"/>
  <c r="B149" i="5"/>
  <c r="AF149" i="5"/>
  <c r="B141" i="5"/>
  <c r="AF141" i="5"/>
  <c r="B133" i="5"/>
  <c r="AF133" i="5"/>
  <c r="B125" i="5"/>
  <c r="AF125" i="5"/>
  <c r="B85" i="5"/>
  <c r="AF85" i="5"/>
  <c r="B77" i="5"/>
  <c r="AF77" i="5"/>
  <c r="B69" i="5"/>
  <c r="AF69" i="5"/>
  <c r="B61" i="5"/>
  <c r="AF61" i="5"/>
  <c r="B21" i="5"/>
  <c r="AF21" i="5"/>
  <c r="B13" i="5"/>
  <c r="AF13" i="5"/>
  <c r="B5" i="5"/>
  <c r="AF5" i="5"/>
  <c r="AF293" i="5"/>
  <c r="AF275" i="5"/>
  <c r="AF202" i="5"/>
  <c r="AF184" i="5"/>
  <c r="AF165" i="5"/>
  <c r="AF147" i="5"/>
  <c r="AF129" i="5"/>
  <c r="AF110" i="5"/>
  <c r="AF92" i="5"/>
  <c r="AF74" i="5"/>
  <c r="AF56" i="5"/>
  <c r="AF37" i="5"/>
  <c r="AF19" i="5"/>
  <c r="B188" i="5"/>
  <c r="AF188" i="5"/>
  <c r="B180" i="5"/>
  <c r="AF180" i="5"/>
  <c r="B140" i="5"/>
  <c r="AF140" i="5"/>
  <c r="B132" i="5"/>
  <c r="AF132" i="5"/>
  <c r="B124" i="5"/>
  <c r="AF124" i="5"/>
  <c r="B116" i="5"/>
  <c r="AF116" i="5"/>
  <c r="B76" i="5"/>
  <c r="AF76" i="5"/>
  <c r="B68" i="5"/>
  <c r="AF68" i="5"/>
  <c r="B60" i="5"/>
  <c r="AF60" i="5"/>
  <c r="B52" i="5"/>
  <c r="AF52" i="5"/>
  <c r="B12" i="5"/>
  <c r="AF12" i="5"/>
  <c r="B4" i="5"/>
  <c r="AF4" i="5"/>
  <c r="AF274" i="5"/>
  <c r="AF237" i="5"/>
  <c r="AF219" i="5"/>
  <c r="AF182" i="5"/>
  <c r="AF164" i="5"/>
  <c r="AF146" i="5"/>
  <c r="AF128" i="5"/>
  <c r="AF109" i="5"/>
  <c r="AF91" i="5"/>
  <c r="AF73" i="5"/>
  <c r="AF54" i="5"/>
  <c r="AF36" i="5"/>
  <c r="AF18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<sst xmlns="http://schemas.openxmlformats.org/spreadsheetml/2006/main" count="19158" uniqueCount="146">
  <si>
    <t>Instagram</t>
  </si>
  <si>
    <t>Female</t>
  </si>
  <si>
    <t>India</t>
  </si>
  <si>
    <t>Rural</t>
  </si>
  <si>
    <t>High</t>
  </si>
  <si>
    <t>Retired</t>
  </si>
  <si>
    <t>Single</t>
  </si>
  <si>
    <t>No</t>
  </si>
  <si>
    <t>Good</t>
  </si>
  <si>
    <t>Rarely</t>
  </si>
  <si>
    <t>Mixed</t>
  </si>
  <si>
    <t>Tech</t>
  </si>
  <si>
    <t>Private</t>
  </si>
  <si>
    <t>Yes</t>
  </si>
  <si>
    <t>Free</t>
  </si>
  <si>
    <t>Urban</t>
  </si>
  <si>
    <t>Middle</t>
  </si>
  <si>
    <t>Other</t>
  </si>
  <si>
    <t>Divorced</t>
  </si>
  <si>
    <t>Photos</t>
  </si>
  <si>
    <t>Fashion</t>
  </si>
  <si>
    <t>Public</t>
  </si>
  <si>
    <t>Canada</t>
  </si>
  <si>
    <t>Student</t>
  </si>
  <si>
    <t>Unemployed</t>
  </si>
  <si>
    <t>Poor</t>
  </si>
  <si>
    <t>Never</t>
  </si>
  <si>
    <t>Stories</t>
  </si>
  <si>
    <t>Male</t>
  </si>
  <si>
    <t>Average</t>
  </si>
  <si>
    <t>Videos</t>
  </si>
  <si>
    <t>Food</t>
  </si>
  <si>
    <t>Married</t>
  </si>
  <si>
    <t>Japan</t>
  </si>
  <si>
    <t>Freelancer</t>
  </si>
  <si>
    <t>Travel</t>
  </si>
  <si>
    <t>Reels</t>
  </si>
  <si>
    <t>Art</t>
  </si>
  <si>
    <t>Low</t>
  </si>
  <si>
    <t>Excellent</t>
  </si>
  <si>
    <t>Suburban</t>
  </si>
  <si>
    <t>Former</t>
  </si>
  <si>
    <t>Australia</t>
  </si>
  <si>
    <t>Premium</t>
  </si>
  <si>
    <t>Widowed</t>
  </si>
  <si>
    <t>Live</t>
  </si>
  <si>
    <t>Weekly</t>
  </si>
  <si>
    <t>Brazil</t>
  </si>
  <si>
    <t>Music</t>
  </si>
  <si>
    <t>Business</t>
  </si>
  <si>
    <t>Germany</t>
  </si>
  <si>
    <t>Fitness</t>
  </si>
  <si>
    <t>Daily</t>
  </si>
  <si>
    <t>PhD</t>
  </si>
  <si>
    <t>App_Name</t>
  </si>
  <si>
    <t>User_Id</t>
  </si>
  <si>
    <t>Age</t>
  </si>
  <si>
    <t>Gender</t>
  </si>
  <si>
    <t>Country</t>
  </si>
  <si>
    <t>Urban_Rural</t>
  </si>
  <si>
    <t>Income_Level</t>
  </si>
  <si>
    <t>Employment_Status</t>
  </si>
  <si>
    <t>Education_Level</t>
  </si>
  <si>
    <t>Relationship_Status</t>
  </si>
  <si>
    <t>Has_Children</t>
  </si>
  <si>
    <t>Exercise_Hours_Per_Week</t>
  </si>
  <si>
    <t>Sleep_Hours_Per_Night</t>
  </si>
  <si>
    <t>Diet_Quality</t>
  </si>
  <si>
    <t>Smoking</t>
  </si>
  <si>
    <t>Alcohol_Frequency</t>
  </si>
  <si>
    <t>Perceived_Stress_Score</t>
  </si>
  <si>
    <t>Self_Reported_Happiness</t>
  </si>
  <si>
    <t>Body_Mass_Index</t>
  </si>
  <si>
    <t>Blood_Pressure_Systolic</t>
  </si>
  <si>
    <t>Blood_Pressure_Diastolic</t>
  </si>
  <si>
    <t>Daily_Steps_Count</t>
  </si>
  <si>
    <t>Weekly_Work_Hours</t>
  </si>
  <si>
    <t>Hobbies_Count</t>
  </si>
  <si>
    <t>Social_Events_Per_Month</t>
  </si>
  <si>
    <t>Books_Read_Per_Year</t>
  </si>
  <si>
    <t>Volunteer_Hours_Per_Month</t>
  </si>
  <si>
    <t>Travel_Frequency_Per_Year</t>
  </si>
  <si>
    <t>Daily_Active_Minutes_Instagram</t>
  </si>
  <si>
    <t>Sessions_Per_Day</t>
  </si>
  <si>
    <t>Posts_Created_Per_Week</t>
  </si>
  <si>
    <t>Reels_Watched_Per_Day</t>
  </si>
  <si>
    <t>Stories_Viewed_Per_Day</t>
  </si>
  <si>
    <t>Likes_Given_Per_Day</t>
  </si>
  <si>
    <t>Comments_Written_Per_Day</t>
  </si>
  <si>
    <t>Dms_Sent_Per_Week</t>
  </si>
  <si>
    <t>Dms_Received_Per_Week</t>
  </si>
  <si>
    <t>Ads_Viewed_Per_Day</t>
  </si>
  <si>
    <t>Ads_Clicked_Per_Day</t>
  </si>
  <si>
    <t>Time_On_Feed_Per_Day</t>
  </si>
  <si>
    <t>Time_On_Messages_Per_Day</t>
  </si>
  <si>
    <t>Time_On_Explore_Per_Day</t>
  </si>
  <si>
    <t>Time_On_Reels_Per_Day</t>
  </si>
  <si>
    <t>Followers_Count</t>
  </si>
  <si>
    <t>Following_Count</t>
  </si>
  <si>
    <t>Uses_Premium_Features</t>
  </si>
  <si>
    <t>Notification_Response_Rate</t>
  </si>
  <si>
    <t>Account_Creation_Year</t>
  </si>
  <si>
    <t>Last_Login_Date</t>
  </si>
  <si>
    <t>Average_Session_Length_Minutes</t>
  </si>
  <si>
    <t>Content_Type_Preference</t>
  </si>
  <si>
    <t>Preferred_Content_Theme</t>
  </si>
  <si>
    <t>Privacy_Setting_Level</t>
  </si>
  <si>
    <t>Two_Factor_Auth_Enabled</t>
  </si>
  <si>
    <t>Biometric_Login_Used</t>
  </si>
  <si>
    <t>Linked_Accounts_Count</t>
  </si>
  <si>
    <t>Subscription_Status</t>
  </si>
  <si>
    <t>User_Engagement_Score</t>
  </si>
  <si>
    <t>Bachelors_degree</t>
  </si>
  <si>
    <t>Masters_degree</t>
  </si>
  <si>
    <t>High_school</t>
  </si>
  <si>
    <t>Some_college</t>
  </si>
  <si>
    <t>Upper_middle</t>
  </si>
  <si>
    <t>Lower_middle</t>
  </si>
  <si>
    <t>Full_time_employed</t>
  </si>
  <si>
    <t>Part_time</t>
  </si>
  <si>
    <t>Very_poor</t>
  </si>
  <si>
    <t>Several_times_a_week</t>
  </si>
  <si>
    <t>Friends_only</t>
  </si>
  <si>
    <t>In_a_relationship</t>
  </si>
  <si>
    <t>Non_binary</t>
  </si>
  <si>
    <t>Prefer_not _to _say</t>
  </si>
  <si>
    <t>United _Kingdom</t>
  </si>
  <si>
    <t>South_Korea</t>
  </si>
  <si>
    <t>United_States</t>
  </si>
  <si>
    <t>Age_Group</t>
  </si>
  <si>
    <t>User Type</t>
  </si>
  <si>
    <t>Count</t>
  </si>
  <si>
    <t>Percentage</t>
  </si>
  <si>
    <t>Sleep_Quality</t>
  </si>
  <si>
    <t>Grand Total</t>
  </si>
  <si>
    <t>Count of Gender</t>
  </si>
  <si>
    <t>Row Labels</t>
  </si>
  <si>
    <t>Average of User_Id</t>
  </si>
  <si>
    <t>Count of Country</t>
  </si>
  <si>
    <t>Count of Urban_Rural</t>
  </si>
  <si>
    <t>Weekly_Work_Hours_Category</t>
  </si>
  <si>
    <t>Followrs &amp; Following Count Ratio</t>
  </si>
  <si>
    <t>Normal</t>
  </si>
  <si>
    <t>Count of User_Id</t>
  </si>
  <si>
    <t>Moderate</t>
  </si>
  <si>
    <t>Very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</si>
</sst>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_);\(0.0\)"/>
    <numFmt numFmtId="165" formatCode="0.00_);\(0.00\)"/>
  </numFmts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14"/>
      <color theme="1"/>
      <name val="Aptos Narrow (Body)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19" fillId="0" borderId="0" xfId="0" applyFont="1"/>
    <xf numFmtId="2" fontId="19" fillId="0" borderId="0" xfId="0" applyNumberFormat="1" applyFont="1"/>
    <xf numFmtId="49" fontId="19" fillId="0" borderId="0" xfId="0" applyNumberFormat="1" applyFont="1"/>
    <xf numFmtId="164" fontId="19" fillId="0" borderId="0" xfId="0" applyNumberFormat="1" applyFont="1"/>
    <xf numFmtId="165" fontId="19" fillId="0" borderId="0" xfId="0" applyNumberFormat="1" applyFont="1"/>
    <xf numFmtId="14" fontId="19" fillId="0" borderId="0" xfId="0" applyNumberFormat="1" applyFont="1"/>
    <xf numFmtId="2" fontId="18" fillId="0" borderId="0" xfId="0" applyNumberFormat="1" applyFont="1"/>
    <xf numFmtId="2" fontId="20" fillId="0" borderId="0" xfId="0" applyNumberFormat="1" applyFont="1"/>
    <xf numFmtId="1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9" fontId="0" fillId="0" borderId="0" xfId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</dxf>
    <dxf>
      <numFmt numFmtId="14" formatCode="0.00%"/>
    </dxf>
    <dxf>
      <numFmt numFmtId="19" formatCode="dd/m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[Instagram_usage_lifestyle_Mini_Project.xlsm]User_BG_Chart!PivotTable1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User_BG_Chart!$B$3</c:f>
              <c:strCache>
                <c:ptCount val="1"/>
                <c:pt idx="0">
                  <c:v>Count of Gender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User_BG_Chart!$A$4:$A$7</c:f>
              <c:strCache>
                <c:ptCount val="3"/>
                <c:pt idx="0">
                  <c:v>Rural</c:v>
                </c:pt>
                <c:pt idx="1">
                  <c:v>Suburban</c:v>
                </c:pt>
                <c:pt idx="2">
                  <c:v>Urban</c:v>
                </c:pt>
              </c:strCache>
            </c:strRef>
          </c:cat>
          <c:val>
            <c:numRef>
              <c:f>User_BG_Chart!$B$4:$B$7</c:f>
              <c:numCache>
                <c:formatCode>General</c:formatCode>
                <c:ptCount val="3"/>
                <c:pt idx="0">
                  <c:v>156</c:v>
                </c:pt>
                <c:pt idx="1">
                  <c:v>297</c:v>
                </c:pt>
                <c:pt idx="2">
                  <c:v>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61-E443-BC11-CAE9AB04BE62}"/>
            </c:ext>
          </c:extLst>
        </c:ser>
        <c:ser>
          <c:idx val="1"/>
          <c:order val="1"/>
          <c:tx>
            <c:strRef>
              <c:f>User_BG_Chart!$C$3</c:f>
              <c:strCache>
                <c:ptCount val="1"/>
                <c:pt idx="0">
                  <c:v>Average of User_Id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User_BG_Chart!$A$4:$A$7</c:f>
              <c:strCache>
                <c:ptCount val="3"/>
                <c:pt idx="0">
                  <c:v>Rural</c:v>
                </c:pt>
                <c:pt idx="1">
                  <c:v>Suburban</c:v>
                </c:pt>
                <c:pt idx="2">
                  <c:v>Urban</c:v>
                </c:pt>
              </c:strCache>
            </c:strRef>
          </c:cat>
          <c:val>
            <c:numRef>
              <c:f>User_BG_Chart!$C$4:$C$7</c:f>
              <c:numCache>
                <c:formatCode>General</c:formatCode>
                <c:ptCount val="3"/>
                <c:pt idx="0">
                  <c:v>495.68589743589746</c:v>
                </c:pt>
                <c:pt idx="1">
                  <c:v>515.89225589225589</c:v>
                </c:pt>
                <c:pt idx="2">
                  <c:v>493.51553930530167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61-E443-BC11-CAE9AB04BE62}"/>
            </c:ext>
          </c:extLst>
        </c:ser>
        <c:ser>
          <c:idx val="2"/>
          <c:order val="2"/>
          <c:tx>
            <c:strRef>
              <c:f>User_BG_Chart!$D$3</c:f>
              <c:strCache>
                <c:ptCount val="1"/>
                <c:pt idx="0">
                  <c:v>Count of Urban_Rural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User_BG_Chart!$A$4:$A$7</c:f>
              <c:strCache>
                <c:ptCount val="3"/>
                <c:pt idx="0">
                  <c:v>Rural</c:v>
                </c:pt>
                <c:pt idx="1">
                  <c:v>Suburban</c:v>
                </c:pt>
                <c:pt idx="2">
                  <c:v>Urban</c:v>
                </c:pt>
              </c:strCache>
            </c:strRef>
          </c:cat>
          <c:val>
            <c:numRef>
              <c:f>User_BG_Chart!$D$4:$D$7</c:f>
              <c:numCache>
                <c:formatCode>General</c:formatCode>
                <c:ptCount val="3"/>
                <c:pt idx="0">
                  <c:v>156</c:v>
                </c:pt>
                <c:pt idx="1">
                  <c:v>297</c:v>
                </c:pt>
                <c:pt idx="2">
                  <c:v>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61-E443-BC11-CAE9AB04BE62}"/>
            </c:ext>
          </c:extLst>
        </c:ser>
        <c:ser>
          <c:idx val="3"/>
          <c:order val="3"/>
          <c:tx>
            <c:strRef>
              <c:f>User_BG_Chart!$E$3</c:f>
              <c:strCache>
                <c:ptCount val="1"/>
                <c:pt idx="0">
                  <c:v>Count of Country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User_BG_Chart!$A$4:$A$7</c:f>
              <c:strCache>
                <c:ptCount val="3"/>
                <c:pt idx="0">
                  <c:v>Rural</c:v>
                </c:pt>
                <c:pt idx="1">
                  <c:v>Suburban</c:v>
                </c:pt>
                <c:pt idx="2">
                  <c:v>Urban</c:v>
                </c:pt>
              </c:strCache>
            </c:strRef>
          </c:cat>
          <c:val>
            <c:numRef>
              <c:f>User_BG_Chart!$E$4:$E$7</c:f>
              <c:numCache>
                <c:formatCode>General</c:formatCode>
                <c:ptCount val="3"/>
                <c:pt idx="0">
                  <c:v>156</c:v>
                </c:pt>
                <c:pt idx="1">
                  <c:v>297</c:v>
                </c:pt>
                <c:pt idx="2">
                  <c:v>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61-E443-BC11-CAE9AB04B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54591"/>
        <c:axId val="13656831"/>
      </c:barChart>
      <c:catAx>
        <c:axId val="13654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6831"/>
        <c:crosses val="autoZero"/>
        <c:auto val="1"/>
        <c:lblAlgn val="ctr"/>
        <c:lblOffset val="100"/>
        <c:noMultiLvlLbl val="0"/>
      </c:catAx>
      <c:valAx>
        <c:axId val="1365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4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[Instagram_usage_lifestyle_Mini_Project.xlsm]User_LifeStyle_Health_Chart!PivotTable2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accent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Sleep Quality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accent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User_LifeStyle_Health_Chart!$B$3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E64-FB47-B0B8-C86EF5DC089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E64-FB47-B0B8-C86EF5DC089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E64-FB47-B0B8-C86EF5DC089F}"/>
              </c:ext>
            </c:extLst>
          </c:dPt>
          <c:cat>
            <c:strRef>
              <c:f>User_LifeStyle_Health_Chart!$A$4:$A$7</c:f>
              <c:strCache>
                <c:ptCount val="3"/>
                <c:pt idx="0">
                  <c:v>High</c:v>
                </c:pt>
                <c:pt idx="1">
                  <c:v>Normal</c:v>
                </c:pt>
                <c:pt idx="2">
                  <c:v>Poor</c:v>
                </c:pt>
              </c:strCache>
            </c:strRef>
          </c:cat>
          <c:val>
            <c:numRef>
              <c:f>User_LifeStyle_Health_Chart!$B$4:$B$7</c:f>
              <c:numCache>
                <c:formatCode>General</c:formatCode>
                <c:ptCount val="3"/>
                <c:pt idx="0">
                  <c:v>150</c:v>
                </c:pt>
                <c:pt idx="1">
                  <c:v>692</c:v>
                </c:pt>
                <c:pt idx="2">
                  <c:v>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04-6443-A01C-0EB81C8DC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accent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solidFill>
              <a:schemeClr val="accent1"/>
            </a:solidFill>
          </a:ln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[Instagram_usage_lifestyle_Mini_Project.xlsm]Daily_Weekly_Habits_Chart!PivotTable4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Weekly Work Hours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Daily_Weekly_Habits_Chart!$B$3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Daily_Weekly_Habits_Chart!$A$4:$A$8</c:f>
              <c:strCache>
                <c:ptCount val="4"/>
                <c:pt idx="0">
                  <c:v>High</c:v>
                </c:pt>
                <c:pt idx="1">
                  <c:v>Low</c:v>
                </c:pt>
                <c:pt idx="2">
                  <c:v>Moderate</c:v>
                </c:pt>
                <c:pt idx="3">
                  <c:v>Very High</c:v>
                </c:pt>
              </c:strCache>
            </c:strRef>
          </c:cat>
          <c:val>
            <c:numRef>
              <c:f>Daily_Weekly_Habits_Chart!$B$4:$B$8</c:f>
              <c:numCache>
                <c:formatCode>General</c:formatCode>
                <c:ptCount val="4"/>
                <c:pt idx="0">
                  <c:v>478</c:v>
                </c:pt>
                <c:pt idx="1">
                  <c:v>22</c:v>
                </c:pt>
                <c:pt idx="2">
                  <c:v>481</c:v>
                </c:pt>
                <c:pt idx="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B7-934D-AC40-D3D308326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0695360"/>
        <c:axId val="1229821632"/>
      </c:barChart>
      <c:catAx>
        <c:axId val="1230695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821632"/>
        <c:crosses val="autoZero"/>
        <c:auto val="1"/>
        <c:lblAlgn val="ctr"/>
        <c:lblOffset val="100"/>
        <c:noMultiLvlLbl val="0"/>
      </c:catAx>
      <c:valAx>
        <c:axId val="122982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69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127000</xdr:colOff>
      <xdr:row>10</xdr:row>
      <xdr:rowOff>177800</xdr:rowOff>
    </xdr:from>
    <xdr:to>
      <xdr:col>10</xdr:col>
      <xdr:colOff>165100</xdr:colOff>
      <xdr:row>25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465CC4-8016-0F21-DF51-F4DB679013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1333500</xdr:colOff>
      <xdr:row>10</xdr:row>
      <xdr:rowOff>177800</xdr:rowOff>
    </xdr:from>
    <xdr:to>
      <xdr:col>8</xdr:col>
      <xdr:colOff>546100</xdr:colOff>
      <xdr:row>24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ED832E0-3954-85C9-3D1B-A5887DE7A5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800100</xdr:colOff>
      <xdr:row>10</xdr:row>
      <xdr:rowOff>177800</xdr:rowOff>
    </xdr:from>
    <xdr:to>
      <xdr:col>10</xdr:col>
      <xdr:colOff>419100</xdr:colOff>
      <xdr:row>24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A0A360-1502-C3AC-9AD9-7D8CC6004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uthukumaraswamy M T" refreshedDate="46043.442985879628" createdVersion="8" refreshedVersion="8" minRefreshableVersion="3" recordCount="1000" xr:uid="{86BE64FD-72A0-B74C-B82F-8E69ACAED5C8}">
  <cacheSource type="worksheet">
    <worksheetSource ref="A1:L1001" sheet="User_Background_Details"/>
  </cacheSource>
  <cacheFields count="12">
    <cacheField name="User_Id" numFmtId="0">
      <sharedItems containsSemiMixedTypes="0" containsString="0" containsNumber="1" containsInteger="1" minValue="1" maxValue="1000" count="10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</sharedItems>
    </cacheField>
    <cacheField name="App_Name" numFmtId="0">
      <sharedItems/>
    </cacheField>
    <cacheField name="Age" numFmtId="0">
      <sharedItems containsSemiMixedTypes="0" containsString="0" containsNumber="1" containsInteger="1" minValue="13" maxValue="65"/>
    </cacheField>
    <cacheField name="Gender" numFmtId="0">
      <sharedItems/>
    </cacheField>
    <cacheField name="Country" numFmtId="0">
      <sharedItems/>
    </cacheField>
    <cacheField name="Urban_Rural" numFmtId="0">
      <sharedItems count="3">
        <s v="Rural"/>
        <s v="Urban"/>
        <s v="Suburban"/>
      </sharedItems>
    </cacheField>
    <cacheField name="Income_Level" numFmtId="0">
      <sharedItems/>
    </cacheField>
    <cacheField name="Employment_Status" numFmtId="0">
      <sharedItems/>
    </cacheField>
    <cacheField name="Education_Level" numFmtId="0">
      <sharedItems/>
    </cacheField>
    <cacheField name="Relationship_Status" numFmtId="0">
      <sharedItems/>
    </cacheField>
    <cacheField name="Has_Children" numFmtId="0">
      <sharedItems/>
    </cacheField>
    <cacheField name="Age_Group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uthukumaraswamy M T" refreshedDate="46046.956125578705" createdVersion="8" refreshedVersion="8" minRefreshableVersion="3" recordCount="1000" xr:uid="{A05DBF07-AF93-6B40-A81C-7E7CDB02EDE1}">
  <cacheSource type="worksheet">
    <worksheetSource ref="A1:M1001" sheet="User_Lifestyle_Health"/>
  </cacheSource>
  <cacheFields count="13">
    <cacheField name="User_Id" numFmtId="0">
      <sharedItems containsSemiMixedTypes="0" containsString="0" containsNumber="1" containsInteger="1" minValue="1" maxValue="1000" count="10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</sharedItems>
    </cacheField>
    <cacheField name="Exercise_Hours_Per_Week" numFmtId="0">
      <sharedItems containsSemiMixedTypes="0" containsString="0" containsNumber="1" minValue="0.1" maxValue="20.8"/>
    </cacheField>
    <cacheField name="Sleep_Hours_Per_Night" numFmtId="0">
      <sharedItems containsSemiMixedTypes="0" containsString="0" containsNumber="1" minValue="3.1" maxValue="10" count="61">
        <n v="7.7"/>
        <n v="8.6"/>
        <n v="6.7"/>
        <n v="6.5"/>
        <n v="6.8"/>
        <n v="5.8"/>
        <n v="8.3000000000000007"/>
        <n v="7.5"/>
        <n v="6.6"/>
        <n v="7.3"/>
        <n v="5.3"/>
        <n v="7.2"/>
        <n v="8.1999999999999993"/>
        <n v="6.2"/>
        <n v="6"/>
        <n v="8"/>
        <n v="7.9"/>
        <n v="5.9"/>
        <n v="5.6"/>
        <n v="7.8"/>
        <n v="6.9"/>
        <n v="6.1"/>
        <n v="6.3"/>
        <n v="5.4"/>
        <n v="8.6999999999999993"/>
        <n v="7"/>
        <n v="9.9"/>
        <n v="6.4"/>
        <n v="5.5"/>
        <n v="7.6"/>
        <n v="8.4"/>
        <n v="5.7"/>
        <n v="9"/>
        <n v="7.1"/>
        <n v="4.7"/>
        <n v="5"/>
        <n v="7.4"/>
        <n v="8.1"/>
        <n v="5.0999999999999996"/>
        <n v="8.9"/>
        <n v="9.5"/>
        <n v="8.8000000000000007"/>
        <n v="8.5"/>
        <n v="9.1999999999999993"/>
        <n v="4.5999999999999996"/>
        <n v="9.4"/>
        <n v="5.2"/>
        <n v="4.5"/>
        <n v="9.8000000000000007"/>
        <n v="9.1"/>
        <n v="3.1"/>
        <n v="4.9000000000000004"/>
        <n v="4.4000000000000004"/>
        <n v="9.6"/>
        <n v="4.3"/>
        <n v="4.8"/>
        <n v="10"/>
        <n v="4.2"/>
        <n v="9.3000000000000007"/>
        <n v="3.6"/>
        <n v="4.0999999999999996"/>
      </sharedItems>
    </cacheField>
    <cacheField name="Diet_Quality" numFmtId="0">
      <sharedItems/>
    </cacheField>
    <cacheField name="Smoking" numFmtId="0">
      <sharedItems/>
    </cacheField>
    <cacheField name="Alcohol_Frequency" numFmtId="0">
      <sharedItems/>
    </cacheField>
    <cacheField name="Perceived_Stress_Score" numFmtId="0">
      <sharedItems containsSemiMixedTypes="0" containsString="0" containsNumber="1" containsInteger="1" minValue="0" maxValue="40"/>
    </cacheField>
    <cacheField name="Self_Reported_Happiness" numFmtId="0">
      <sharedItems containsSemiMixedTypes="0" containsString="0" containsNumber="1" containsInteger="1" minValue="1" maxValue="10"/>
    </cacheField>
    <cacheField name="Body_Mass_Index" numFmtId="0">
      <sharedItems containsSemiMixedTypes="0" containsString="0" containsNumber="1" minValue="15" maxValue="38.6"/>
    </cacheField>
    <cacheField name="Blood_Pressure_Systolic" numFmtId="0">
      <sharedItems containsSemiMixedTypes="0" containsString="0" containsNumber="1" containsInteger="1" minValue="90" maxValue="159"/>
    </cacheField>
    <cacheField name="Blood_Pressure_Diastolic" numFmtId="0">
      <sharedItems containsSemiMixedTypes="0" containsString="0" containsNumber="1" containsInteger="1" minValue="60" maxValue="99"/>
    </cacheField>
    <cacheField name="Daily_Steps_Count" numFmtId="0">
      <sharedItems containsSemiMixedTypes="0" containsString="0" containsNumber="1" containsInteger="1" minValue="7674" maxValue="8323"/>
    </cacheField>
    <cacheField name="Sleep_Quality" numFmtId="0">
      <sharedItems count="3">
        <s v="Normal"/>
        <s v="High"/>
        <s v="Poor"/>
      </sharedItems>
    </cacheField>
  </cacheFields>
  <extLst>
    <ext xmlns:x14="http://schemas.microsoft.com/office/spreadsheetml/2009/9/main" uri="{725AE2AE-9491-48be-B2B4-4EB974FC3084}">
      <x14:pivotCacheDefinition pivotCacheId="1700969136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uthukumaraswamy M T" refreshedDate="46046.966572106481" createdVersion="8" refreshedVersion="8" minRefreshableVersion="3" recordCount="1000" xr:uid="{3F5DD581-166B-2F45-B969-3A6F00A1B9F0}">
  <cacheSource type="worksheet">
    <worksheetSource ref="A1:H1001" sheet="Daily_Weekly_Habits"/>
  </cacheSource>
  <cacheFields count="8">
    <cacheField name="User_Id" numFmtId="0">
      <sharedItems containsSemiMixedTypes="0" containsString="0" containsNumber="1" containsInteger="1" minValue="1" maxValue="1000"/>
    </cacheField>
    <cacheField name="Weekly_Work_Hours" numFmtId="0">
      <sharedItems containsSemiMixedTypes="0" containsString="0" containsNumber="1" minValue="9.6999999999999993" maxValue="68.8"/>
    </cacheField>
    <cacheField name="Hobbies_Count" numFmtId="0">
      <sharedItems containsSemiMixedTypes="0" containsString="0" containsNumber="1" containsInteger="1" minValue="0" maxValue="9"/>
    </cacheField>
    <cacheField name="Social_Events_Per_Month" numFmtId="0">
      <sharedItems containsSemiMixedTypes="0" containsString="0" containsNumber="1" containsInteger="1" minValue="0" maxValue="12"/>
    </cacheField>
    <cacheField name="Books_Read_Per_Year" numFmtId="0">
      <sharedItems containsSemiMixedTypes="0" containsString="0" containsNumber="1" containsInteger="1" minValue="2" maxValue="24"/>
    </cacheField>
    <cacheField name="Volunteer_Hours_Per_Month" numFmtId="0">
      <sharedItems containsSemiMixedTypes="0" containsString="0" containsNumber="1" minValue="0" maxValue="16.3"/>
    </cacheField>
    <cacheField name="Travel_Frequency_Per_Year" numFmtId="0">
      <sharedItems containsSemiMixedTypes="0" containsString="0" containsNumber="1" containsInteger="1" minValue="0" maxValue="9"/>
    </cacheField>
    <cacheField name="Weekly_Work_Hours_Category" numFmtId="0">
      <sharedItems count="4">
        <s v="High"/>
        <s v="Low"/>
        <s v="Moderate"/>
        <s v="Very Hig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s v="Instagram"/>
    <n v="51"/>
    <s v="Female"/>
    <s v="India"/>
    <x v="0"/>
    <s v="High"/>
    <s v="Retired"/>
    <s v="Bachelors_degree"/>
    <s v="Single"/>
    <s v="No"/>
    <s v="Seniors"/>
  </r>
  <r>
    <x v="1"/>
    <s v="Instagram"/>
    <n v="64"/>
    <s v="Female"/>
    <s v="United _Kingdom"/>
    <x v="1"/>
    <s v="Middle"/>
    <s v="Full_time_employed"/>
    <s v="Other"/>
    <s v="Divorced"/>
    <s v="No"/>
    <s v="Seniors"/>
  </r>
  <r>
    <x v="2"/>
    <s v="Instagram"/>
    <n v="41"/>
    <s v="Female"/>
    <s v="Canada"/>
    <x v="1"/>
    <s v="Middle"/>
    <s v="Student"/>
    <s v="Bachelors_degree"/>
    <s v="In_a_relationship"/>
    <s v="No"/>
    <s v="Mid_Adults"/>
  </r>
  <r>
    <x v="3"/>
    <s v="Instagram"/>
    <n v="27"/>
    <s v="Non_binary"/>
    <s v="South_Korea"/>
    <x v="1"/>
    <s v="Middle"/>
    <s v="Unemployed"/>
    <s v="Masters_degree"/>
    <s v="In_a_relationship"/>
    <s v="No"/>
    <s v="Young_Adults"/>
  </r>
  <r>
    <x v="4"/>
    <s v="Instagram"/>
    <n v="55"/>
    <s v="Male"/>
    <s v="India"/>
    <x v="1"/>
    <s v="Upper_middle"/>
    <s v="Full_time_employed"/>
    <s v="Bachelors_degree"/>
    <s v="Single"/>
    <s v="No"/>
    <s v="Seniors"/>
  </r>
  <r>
    <x v="5"/>
    <s v="Instagram"/>
    <n v="20"/>
    <s v="Male"/>
    <s v="United_States"/>
    <x v="0"/>
    <s v="Middle"/>
    <s v="Full_time_employed"/>
    <s v="Bachelors_degree"/>
    <s v="Married"/>
    <s v="Yes"/>
    <s v="Youth"/>
  </r>
  <r>
    <x v="6"/>
    <s v="Instagram"/>
    <n v="33"/>
    <s v="Non_binary"/>
    <s v="Japan"/>
    <x v="1"/>
    <s v="Lower_middle"/>
    <s v="Freelancer"/>
    <s v="High_school"/>
    <s v="In_a_relationship"/>
    <s v="No"/>
    <s v="Young_Adults"/>
  </r>
  <r>
    <x v="7"/>
    <s v="Instagram"/>
    <n v="51"/>
    <s v="Female"/>
    <s v="United _Kingdom"/>
    <x v="1"/>
    <s v="Middle"/>
    <s v="Full_time_employed"/>
    <s v="Other"/>
    <s v="Single"/>
    <s v="Yes"/>
    <s v="Seniors"/>
  </r>
  <r>
    <x v="8"/>
    <s v="Instagram"/>
    <n v="31"/>
    <s v="Female"/>
    <s v="United _Kingdom"/>
    <x v="1"/>
    <s v="Upper_middle"/>
    <s v="Retired"/>
    <s v="High_school"/>
    <s v="Single"/>
    <s v="No"/>
    <s v="Young_Adults"/>
  </r>
  <r>
    <x v="9"/>
    <s v="Instagram"/>
    <n v="35"/>
    <s v="Male"/>
    <s v="United_States"/>
    <x v="1"/>
    <s v="Low"/>
    <s v="Student"/>
    <s v="High_school"/>
    <s v="Married"/>
    <s v="No"/>
    <s v="Young_Adults"/>
  </r>
  <r>
    <x v="10"/>
    <s v="Instagram"/>
    <n v="23"/>
    <s v="Male"/>
    <s v="India"/>
    <x v="2"/>
    <s v="Low"/>
    <s v="Full_time_employed"/>
    <s v="Bachelors_degree"/>
    <s v="In_a_relationship"/>
    <s v="Yes"/>
    <s v="Youth"/>
  </r>
  <r>
    <x v="11"/>
    <s v="Instagram"/>
    <n v="23"/>
    <s v="Male"/>
    <s v="United_States"/>
    <x v="1"/>
    <s v="High"/>
    <s v="Full_time_employed"/>
    <s v="Bachelors_degree"/>
    <s v="Divorced"/>
    <s v="Yes"/>
    <s v="Youth"/>
  </r>
  <r>
    <x v="12"/>
    <s v="Instagram"/>
    <n v="36"/>
    <s v="Female"/>
    <s v="Australia"/>
    <x v="1"/>
    <s v="Middle"/>
    <s v="Full_time_employed"/>
    <s v="Some_college"/>
    <s v="Single"/>
    <s v="Yes"/>
    <s v="Mid_Adults"/>
  </r>
  <r>
    <x v="13"/>
    <s v="Instagram"/>
    <n v="65"/>
    <s v="Male"/>
    <s v="Japan"/>
    <x v="1"/>
    <s v="Middle"/>
    <s v="Full_time_employed"/>
    <s v="High_school"/>
    <s v="Widowed"/>
    <s v="No"/>
    <s v="Seniors"/>
  </r>
  <r>
    <x v="14"/>
    <s v="Instagram"/>
    <n v="48"/>
    <s v="Female"/>
    <s v="United _Kingdom"/>
    <x v="1"/>
    <s v="Middle"/>
    <s v="Full_time_employed"/>
    <s v="Bachelors_degree"/>
    <s v="Single"/>
    <s v="Yes"/>
    <s v="Seniors"/>
  </r>
  <r>
    <x v="15"/>
    <s v="Instagram"/>
    <n v="52"/>
    <s v="Female"/>
    <s v="Japan"/>
    <x v="1"/>
    <s v="High"/>
    <s v="Freelancer"/>
    <s v="Bachelors_degree"/>
    <s v="Single"/>
    <s v="No"/>
    <s v="Seniors"/>
  </r>
  <r>
    <x v="16"/>
    <s v="Instagram"/>
    <n v="36"/>
    <s v="Male"/>
    <s v="Brazil"/>
    <x v="1"/>
    <s v="Lower_middle"/>
    <s v="Full_time_employed"/>
    <s v="Some_college"/>
    <s v="Single"/>
    <s v="Yes"/>
    <s v="Mid_Adults"/>
  </r>
  <r>
    <x v="17"/>
    <s v="Instagram"/>
    <n v="15"/>
    <s v="Male"/>
    <s v="Brazil"/>
    <x v="1"/>
    <s v="Middle"/>
    <s v="Retired"/>
    <s v="Bachelors_degree"/>
    <s v="Single"/>
    <s v="Yes"/>
    <s v="Under_18"/>
  </r>
  <r>
    <x v="18"/>
    <s v="Instagram"/>
    <n v="34"/>
    <s v="Female"/>
    <s v="Brazil"/>
    <x v="1"/>
    <s v="Low"/>
    <s v="Retired"/>
    <s v="High_school"/>
    <s v="In_a_relationship"/>
    <s v="No"/>
    <s v="Young_Adults"/>
  </r>
  <r>
    <x v="19"/>
    <s v="Instagram"/>
    <n v="65"/>
    <s v="Prefer_not _to _say"/>
    <s v="Brazil"/>
    <x v="2"/>
    <s v="Low"/>
    <s v="Full_time_employed"/>
    <s v="Bachelors_degree"/>
    <s v="Married"/>
    <s v="Yes"/>
    <s v="Seniors"/>
  </r>
  <r>
    <x v="20"/>
    <s v="Instagram"/>
    <n v="14"/>
    <s v="Male"/>
    <s v="Other"/>
    <x v="1"/>
    <s v="Lower_middle"/>
    <s v="Retired"/>
    <s v="Masters_degree"/>
    <s v="Single"/>
    <s v="No"/>
    <s v="Under_18"/>
  </r>
  <r>
    <x v="21"/>
    <s v="Instagram"/>
    <n v="36"/>
    <s v="Male"/>
    <s v="India"/>
    <x v="1"/>
    <s v="Middle"/>
    <s v="Full_time_employed"/>
    <s v="High_school"/>
    <s v="Married"/>
    <s v="No"/>
    <s v="Mid_Adults"/>
  </r>
  <r>
    <x v="22"/>
    <s v="Instagram"/>
    <n v="56"/>
    <s v="Male"/>
    <s v="India"/>
    <x v="1"/>
    <s v="Lower_middle"/>
    <s v="Student"/>
    <s v="Bachelors_degree"/>
    <s v="Single"/>
    <s v="No"/>
    <s v="Seniors"/>
  </r>
  <r>
    <x v="23"/>
    <s v="Instagram"/>
    <n v="42"/>
    <s v="Prefer_not _to _say"/>
    <s v="United_States"/>
    <x v="2"/>
    <s v="Lower_middle"/>
    <s v="Full_time_employed"/>
    <s v="Masters_degree"/>
    <s v="Single"/>
    <s v="No"/>
    <s v="Mid_Adults"/>
  </r>
  <r>
    <x v="24"/>
    <s v="Instagram"/>
    <n v="50"/>
    <s v="Female"/>
    <s v="United_States"/>
    <x v="1"/>
    <s v="Middle"/>
    <s v="Full_time_employed"/>
    <s v="Bachelors_degree"/>
    <s v="Single"/>
    <s v="No"/>
    <s v="Seniors"/>
  </r>
  <r>
    <x v="25"/>
    <s v="Instagram"/>
    <n v="14"/>
    <s v="Female"/>
    <s v="India"/>
    <x v="1"/>
    <s v="Low"/>
    <s v="Full_time_employed"/>
    <s v="Some_college"/>
    <s v="Divorced"/>
    <s v="No"/>
    <s v="Under_18"/>
  </r>
  <r>
    <x v="26"/>
    <s v="Instagram"/>
    <n v="33"/>
    <s v="Female"/>
    <s v="United_States"/>
    <x v="1"/>
    <s v="Low"/>
    <s v="Freelancer"/>
    <s v="High_school"/>
    <s v="Married"/>
    <s v="No"/>
    <s v="Young_Adults"/>
  </r>
  <r>
    <x v="27"/>
    <s v="Instagram"/>
    <n v="45"/>
    <s v="Female"/>
    <s v="Germany"/>
    <x v="1"/>
    <s v="Lower_middle"/>
    <s v="Full_time_employed"/>
    <s v="Masters_degree"/>
    <s v="In_a_relationship"/>
    <s v="Yes"/>
    <s v="Mid_Adults"/>
  </r>
  <r>
    <x v="28"/>
    <s v="Instagram"/>
    <n v="24"/>
    <s v="Male"/>
    <s v="India"/>
    <x v="1"/>
    <s v="Middle"/>
    <s v="Full_time_employed"/>
    <s v="Bachelors_degree"/>
    <s v="Married"/>
    <s v="Yes"/>
    <s v="Youth"/>
  </r>
  <r>
    <x v="29"/>
    <s v="Instagram"/>
    <n v="34"/>
    <s v="Female"/>
    <s v="Brazil"/>
    <x v="2"/>
    <s v="Middle"/>
    <s v="Student"/>
    <s v="Bachelors_degree"/>
    <s v="Single"/>
    <s v="No"/>
    <s v="Young_Adults"/>
  </r>
  <r>
    <x v="30"/>
    <s v="Instagram"/>
    <n v="56"/>
    <s v="Female"/>
    <s v="United_States"/>
    <x v="1"/>
    <s v="Lower_middle"/>
    <s v="Part_time"/>
    <s v="Some_college"/>
    <s v="Married"/>
    <s v="No"/>
    <s v="Seniors"/>
  </r>
  <r>
    <x v="31"/>
    <s v="Instagram"/>
    <n v="37"/>
    <s v="Male"/>
    <s v="Brazil"/>
    <x v="1"/>
    <s v="Low"/>
    <s v="Full_time_employed"/>
    <s v="High_school"/>
    <s v="Single"/>
    <s v="Yes"/>
    <s v="Mid_Adults"/>
  </r>
  <r>
    <x v="32"/>
    <s v="Instagram"/>
    <n v="61"/>
    <s v="Female"/>
    <s v="United_States"/>
    <x v="2"/>
    <s v="Low"/>
    <s v="Unemployed"/>
    <s v="Bachelors_degree"/>
    <s v="Married"/>
    <s v="Yes"/>
    <s v="Seniors"/>
  </r>
  <r>
    <x v="33"/>
    <s v="Instagram"/>
    <n v="39"/>
    <s v="Male"/>
    <s v="Brazil"/>
    <x v="2"/>
    <s v="Lower_middle"/>
    <s v="Unemployed"/>
    <s v="Some_college"/>
    <s v="Divorced"/>
    <s v="No"/>
    <s v="Mid_Adults"/>
  </r>
  <r>
    <x v="34"/>
    <s v="Instagram"/>
    <n v="54"/>
    <s v="Male"/>
    <s v="Brazil"/>
    <x v="0"/>
    <s v="High"/>
    <s v="Full_time_employed"/>
    <s v="High_school"/>
    <s v="Married"/>
    <s v="No"/>
    <s v="Seniors"/>
  </r>
  <r>
    <x v="35"/>
    <s v="Instagram"/>
    <n v="40"/>
    <s v="Male"/>
    <s v="Australia"/>
    <x v="1"/>
    <s v="Upper_middle"/>
    <s v="Full_time_employed"/>
    <s v="Bachelors_degree"/>
    <s v="Divorced"/>
    <s v="No"/>
    <s v="Mid_Adults"/>
  </r>
  <r>
    <x v="36"/>
    <s v="Instagram"/>
    <n v="28"/>
    <s v="Non_binary"/>
    <s v="India"/>
    <x v="1"/>
    <s v="Low"/>
    <s v="Full_time_employed"/>
    <s v="Bachelors_degree"/>
    <s v="In_a_relationship"/>
    <s v="No"/>
    <s v="Young_Adults"/>
  </r>
  <r>
    <x v="37"/>
    <s v="Instagram"/>
    <n v="27"/>
    <s v="Non_binary"/>
    <s v="Australia"/>
    <x v="1"/>
    <s v="Low"/>
    <s v="Student"/>
    <s v="Bachelors_degree"/>
    <s v="Divorced"/>
    <s v="No"/>
    <s v="Young_Adults"/>
  </r>
  <r>
    <x v="38"/>
    <s v="Instagram"/>
    <n v="59"/>
    <s v="Male"/>
    <s v="Brazil"/>
    <x v="1"/>
    <s v="Low"/>
    <s v="Full_time_employed"/>
    <s v="Some_college"/>
    <s v="Married"/>
    <s v="Yes"/>
    <s v="Seniors"/>
  </r>
  <r>
    <x v="39"/>
    <s v="Instagram"/>
    <n v="63"/>
    <s v="Female"/>
    <s v="United _Kingdom"/>
    <x v="1"/>
    <s v="Upper_middle"/>
    <s v="Full_time_employed"/>
    <s v="Masters_degree"/>
    <s v="In_a_relationship"/>
    <s v="No"/>
    <s v="Seniors"/>
  </r>
  <r>
    <x v="40"/>
    <s v="Instagram"/>
    <n v="56"/>
    <s v="Female"/>
    <s v="South_Korea"/>
    <x v="2"/>
    <s v="Middle"/>
    <s v="Part_time"/>
    <s v="High_school"/>
    <s v="In_a_relationship"/>
    <s v="No"/>
    <s v="Seniors"/>
  </r>
  <r>
    <x v="41"/>
    <s v="Instagram"/>
    <n v="64"/>
    <s v="Male"/>
    <s v="South_Korea"/>
    <x v="1"/>
    <s v="Low"/>
    <s v="Unemployed"/>
    <s v="Some_college"/>
    <s v="In_a_relationship"/>
    <s v="Yes"/>
    <s v="Seniors"/>
  </r>
  <r>
    <x v="42"/>
    <s v="Instagram"/>
    <n v="15"/>
    <s v="Female"/>
    <s v="Other"/>
    <x v="1"/>
    <s v="Low"/>
    <s v="Full_time_employed"/>
    <s v="High_school"/>
    <s v="Married"/>
    <s v="No"/>
    <s v="Under_18"/>
  </r>
  <r>
    <x v="43"/>
    <s v="Instagram"/>
    <n v="49"/>
    <s v="Female"/>
    <s v="Germany"/>
    <x v="1"/>
    <s v="Upper_middle"/>
    <s v="Freelancer"/>
    <s v="Masters_degree"/>
    <s v="Married"/>
    <s v="No"/>
    <s v="Seniors"/>
  </r>
  <r>
    <x v="44"/>
    <s v="Instagram"/>
    <n v="63"/>
    <s v="Male"/>
    <s v="Brazil"/>
    <x v="2"/>
    <s v="Middle"/>
    <s v="Freelancer"/>
    <s v="High_school"/>
    <s v="Single"/>
    <s v="No"/>
    <s v="Seniors"/>
  </r>
  <r>
    <x v="45"/>
    <s v="Instagram"/>
    <n v="19"/>
    <s v="Female"/>
    <s v="Brazil"/>
    <x v="1"/>
    <s v="Low"/>
    <s v="Full_time_employed"/>
    <s v="Masters_degree"/>
    <s v="Married"/>
    <s v="No"/>
    <s v="Youth"/>
  </r>
  <r>
    <x v="46"/>
    <s v="Instagram"/>
    <n v="33"/>
    <s v="Female"/>
    <s v="South_Korea"/>
    <x v="0"/>
    <s v="Middle"/>
    <s v="Part_time"/>
    <s v="Bachelors_degree"/>
    <s v="In_a_relationship"/>
    <s v="Yes"/>
    <s v="Young_Adults"/>
  </r>
  <r>
    <x v="47"/>
    <s v="Instagram"/>
    <n v="21"/>
    <s v="Male"/>
    <s v="United_States"/>
    <x v="1"/>
    <s v="Lower_middle"/>
    <s v="Full_time_employed"/>
    <s v="Bachelors_degree"/>
    <s v="Single"/>
    <s v="No"/>
    <s v="Youth"/>
  </r>
  <r>
    <x v="48"/>
    <s v="Instagram"/>
    <n v="51"/>
    <s v="Female"/>
    <s v="Australia"/>
    <x v="0"/>
    <s v="Middle"/>
    <s v="Full_time_employed"/>
    <s v="Bachelors_degree"/>
    <s v="Divorced"/>
    <s v="No"/>
    <s v="Seniors"/>
  </r>
  <r>
    <x v="49"/>
    <s v="Instagram"/>
    <n v="30"/>
    <s v="Male"/>
    <s v="Japan"/>
    <x v="2"/>
    <s v="Middle"/>
    <s v="Full_time_employed"/>
    <s v="Bachelors_degree"/>
    <s v="In_a_relationship"/>
    <s v="Yes"/>
    <s v="Young_Adults"/>
  </r>
  <r>
    <x v="50"/>
    <s v="Instagram"/>
    <n v="16"/>
    <s v="Male"/>
    <s v="United_States"/>
    <x v="2"/>
    <s v="Middle"/>
    <s v="Student"/>
    <s v="Bachelors_degree"/>
    <s v="In_a_relationship"/>
    <s v="Yes"/>
    <s v="Under_18"/>
  </r>
  <r>
    <x v="51"/>
    <s v="Instagram"/>
    <n v="37"/>
    <s v="Female"/>
    <s v="Brazil"/>
    <x v="2"/>
    <s v="Middle"/>
    <s v="Student"/>
    <s v="Bachelors_degree"/>
    <s v="Widowed"/>
    <s v="Yes"/>
    <s v="Mid_Adults"/>
  </r>
  <r>
    <x v="52"/>
    <s v="Instagram"/>
    <n v="26"/>
    <s v="Non_binary"/>
    <s v="United_States"/>
    <x v="1"/>
    <s v="High"/>
    <s v="Freelancer"/>
    <s v="High_school"/>
    <s v="In_a_relationship"/>
    <s v="No"/>
    <s v="Young_Adults"/>
  </r>
  <r>
    <x v="53"/>
    <s v="Instagram"/>
    <n v="62"/>
    <s v="Male"/>
    <s v="Brazil"/>
    <x v="1"/>
    <s v="Lower_middle"/>
    <s v="Full_time_employed"/>
    <s v="Bachelors_degree"/>
    <s v="In_a_relationship"/>
    <s v="No"/>
    <s v="Seniors"/>
  </r>
  <r>
    <x v="54"/>
    <s v="Instagram"/>
    <n v="21"/>
    <s v="Male"/>
    <s v="Japan"/>
    <x v="1"/>
    <s v="Middle"/>
    <s v="Full_time_employed"/>
    <s v="Bachelors_degree"/>
    <s v="In_a_relationship"/>
    <s v="No"/>
    <s v="Youth"/>
  </r>
  <r>
    <x v="55"/>
    <s v="Instagram"/>
    <n v="38"/>
    <s v="Female"/>
    <s v="India"/>
    <x v="2"/>
    <s v="Low"/>
    <s v="Full_time_employed"/>
    <s v="High_school"/>
    <s v="Single"/>
    <s v="No"/>
    <s v="Mid_Adults"/>
  </r>
  <r>
    <x v="56"/>
    <s v="Instagram"/>
    <n v="65"/>
    <s v="Female"/>
    <s v="Brazil"/>
    <x v="0"/>
    <s v="Middle"/>
    <s v="Full_time_employed"/>
    <s v="High_school"/>
    <s v="Married"/>
    <s v="No"/>
    <s v="Seniors"/>
  </r>
  <r>
    <x v="57"/>
    <s v="Instagram"/>
    <n v="14"/>
    <s v="Female"/>
    <s v="Canada"/>
    <x v="1"/>
    <s v="Low"/>
    <s v="Full_time_employed"/>
    <s v="PhD"/>
    <s v="Divorced"/>
    <s v="Yes"/>
    <s v="Under_18"/>
  </r>
  <r>
    <x v="58"/>
    <s v="Instagram"/>
    <n v="32"/>
    <s v="Male"/>
    <s v="India"/>
    <x v="1"/>
    <s v="Lower_middle"/>
    <s v="Full_time_employed"/>
    <s v="High_school"/>
    <s v="Divorced"/>
    <s v="No"/>
    <s v="Young_Adults"/>
  </r>
  <r>
    <x v="59"/>
    <s v="Instagram"/>
    <n v="40"/>
    <s v="Male"/>
    <s v="United_States"/>
    <x v="2"/>
    <s v="Lower_middle"/>
    <s v="Freelancer"/>
    <s v="Masters_degree"/>
    <s v="Single"/>
    <s v="No"/>
    <s v="Mid_Adults"/>
  </r>
  <r>
    <x v="60"/>
    <s v="Instagram"/>
    <n v="59"/>
    <s v="Male"/>
    <s v="India"/>
    <x v="1"/>
    <s v="Low"/>
    <s v="Unemployed"/>
    <s v="Bachelors_degree"/>
    <s v="Married"/>
    <s v="No"/>
    <s v="Seniors"/>
  </r>
  <r>
    <x v="61"/>
    <s v="Instagram"/>
    <n v="19"/>
    <s v="Female"/>
    <s v="Canada"/>
    <x v="1"/>
    <s v="Upper_middle"/>
    <s v="Freelancer"/>
    <s v="Bachelors_degree"/>
    <s v="Married"/>
    <s v="Yes"/>
    <s v="Youth"/>
  </r>
  <r>
    <x v="62"/>
    <s v="Instagram"/>
    <n v="56"/>
    <s v="Male"/>
    <s v="Brazil"/>
    <x v="1"/>
    <s v="Middle"/>
    <s v="Unemployed"/>
    <s v="Bachelors_degree"/>
    <s v="Single"/>
    <s v="Yes"/>
    <s v="Seniors"/>
  </r>
  <r>
    <x v="63"/>
    <s v="Instagram"/>
    <n v="20"/>
    <s v="Female"/>
    <s v="Canada"/>
    <x v="0"/>
    <s v="Middle"/>
    <s v="Student"/>
    <s v="Bachelors_degree"/>
    <s v="In_a_relationship"/>
    <s v="No"/>
    <s v="Youth"/>
  </r>
  <r>
    <x v="64"/>
    <s v="Instagram"/>
    <n v="59"/>
    <s v="Male"/>
    <s v="Canada"/>
    <x v="2"/>
    <s v="Low"/>
    <s v="Freelancer"/>
    <s v="Other"/>
    <s v="Single"/>
    <s v="Yes"/>
    <s v="Seniors"/>
  </r>
  <r>
    <x v="65"/>
    <s v="Instagram"/>
    <n v="47"/>
    <s v="Female"/>
    <s v="United_States"/>
    <x v="2"/>
    <s v="Low"/>
    <s v="Unemployed"/>
    <s v="Bachelors_degree"/>
    <s v="In_a_relationship"/>
    <s v="No"/>
    <s v="Seniors"/>
  </r>
  <r>
    <x v="66"/>
    <s v="Instagram"/>
    <n v="26"/>
    <s v="Male"/>
    <s v="United_States"/>
    <x v="1"/>
    <s v="Lower_middle"/>
    <s v="Freelancer"/>
    <s v="Bachelors_degree"/>
    <s v="In_a_relationship"/>
    <s v="No"/>
    <s v="Young_Adults"/>
  </r>
  <r>
    <x v="67"/>
    <s v="Instagram"/>
    <n v="29"/>
    <s v="Male"/>
    <s v="Other"/>
    <x v="0"/>
    <s v="Lower_middle"/>
    <s v="Unemployed"/>
    <s v="Some_college"/>
    <s v="Divorced"/>
    <s v="No"/>
    <s v="Young_Adults"/>
  </r>
  <r>
    <x v="68"/>
    <s v="Instagram"/>
    <n v="48"/>
    <s v="Female"/>
    <s v="Other"/>
    <x v="1"/>
    <s v="Lower_middle"/>
    <s v="Unemployed"/>
    <s v="Masters_degree"/>
    <s v="Single"/>
    <s v="Yes"/>
    <s v="Seniors"/>
  </r>
  <r>
    <x v="69"/>
    <s v="Instagram"/>
    <n v="62"/>
    <s v="Male"/>
    <s v="Canada"/>
    <x v="1"/>
    <s v="Lower_middle"/>
    <s v="Part_time"/>
    <s v="Bachelors_degree"/>
    <s v="In_a_relationship"/>
    <s v="No"/>
    <s v="Seniors"/>
  </r>
  <r>
    <x v="70"/>
    <s v="Instagram"/>
    <n v="52"/>
    <s v="Female"/>
    <s v="United_States"/>
    <x v="2"/>
    <s v="Lower_middle"/>
    <s v="Freelancer"/>
    <s v="High_school"/>
    <s v="Single"/>
    <s v="No"/>
    <s v="Seniors"/>
  </r>
  <r>
    <x v="71"/>
    <s v="Instagram"/>
    <n v="16"/>
    <s v="Female"/>
    <s v="South_Korea"/>
    <x v="1"/>
    <s v="Lower_middle"/>
    <s v="Freelancer"/>
    <s v="Some_college"/>
    <s v="Single"/>
    <s v="No"/>
    <s v="Under_18"/>
  </r>
  <r>
    <x v="72"/>
    <s v="Instagram"/>
    <n v="14"/>
    <s v="Female"/>
    <s v="Australia"/>
    <x v="2"/>
    <s v="Middle"/>
    <s v="Student"/>
    <s v="Bachelors_degree"/>
    <s v="Married"/>
    <s v="No"/>
    <s v="Under_18"/>
  </r>
  <r>
    <x v="73"/>
    <s v="Instagram"/>
    <n v="18"/>
    <s v="Male"/>
    <s v="United_States"/>
    <x v="1"/>
    <s v="Lower_middle"/>
    <s v="Full_time_employed"/>
    <s v="Bachelors_degree"/>
    <s v="Married"/>
    <s v="Yes"/>
    <s v="Youth"/>
  </r>
  <r>
    <x v="74"/>
    <s v="Instagram"/>
    <n v="54"/>
    <s v="Male"/>
    <s v="India"/>
    <x v="1"/>
    <s v="Low"/>
    <s v="Student"/>
    <s v="Bachelors_degree"/>
    <s v="Married"/>
    <s v="No"/>
    <s v="Seniors"/>
  </r>
  <r>
    <x v="75"/>
    <s v="Instagram"/>
    <n v="16"/>
    <s v="Male"/>
    <s v="United_States"/>
    <x v="0"/>
    <s v="Low"/>
    <s v="Student"/>
    <s v="Bachelors_degree"/>
    <s v="Single"/>
    <s v="No"/>
    <s v="Under_18"/>
  </r>
  <r>
    <x v="76"/>
    <s v="Instagram"/>
    <n v="41"/>
    <s v="Male"/>
    <s v="Other"/>
    <x v="1"/>
    <s v="Middle"/>
    <s v="Full_time_employed"/>
    <s v="Some_college"/>
    <s v="Single"/>
    <s v="Yes"/>
    <s v="Mid_Adults"/>
  </r>
  <r>
    <x v="77"/>
    <s v="Instagram"/>
    <n v="30"/>
    <s v="Female"/>
    <s v="India"/>
    <x v="2"/>
    <s v="Middle"/>
    <s v="Full_time_employed"/>
    <s v="High_school"/>
    <s v="In_a_relationship"/>
    <s v="No"/>
    <s v="Young_Adults"/>
  </r>
  <r>
    <x v="78"/>
    <s v="Instagram"/>
    <n v="38"/>
    <s v="Male"/>
    <s v="Canada"/>
    <x v="1"/>
    <s v="Low"/>
    <s v="Full_time_employed"/>
    <s v="High_school"/>
    <s v="Married"/>
    <s v="No"/>
    <s v="Mid_Adults"/>
  </r>
  <r>
    <x v="79"/>
    <s v="Instagram"/>
    <n v="56"/>
    <s v="Male"/>
    <s v="Australia"/>
    <x v="2"/>
    <s v="Lower_middle"/>
    <s v="Unemployed"/>
    <s v="Bachelors_degree"/>
    <s v="Single"/>
    <s v="Yes"/>
    <s v="Seniors"/>
  </r>
  <r>
    <x v="80"/>
    <s v="Instagram"/>
    <n v="46"/>
    <s v="Male"/>
    <s v="India"/>
    <x v="1"/>
    <s v="Middle"/>
    <s v="Full_time_employed"/>
    <s v="Masters_degree"/>
    <s v="In_a_relationship"/>
    <s v="No"/>
    <s v="Seniors"/>
  </r>
  <r>
    <x v="81"/>
    <s v="Instagram"/>
    <n v="22"/>
    <s v="Female"/>
    <s v="United_States"/>
    <x v="1"/>
    <s v="High"/>
    <s v="Freelancer"/>
    <s v="Bachelors_degree"/>
    <s v="Single"/>
    <s v="No"/>
    <s v="Youth"/>
  </r>
  <r>
    <x v="82"/>
    <s v="Instagram"/>
    <n v="48"/>
    <s v="Non_binary"/>
    <s v="United_States"/>
    <x v="1"/>
    <s v="Low"/>
    <s v="Unemployed"/>
    <s v="Bachelors_degree"/>
    <s v="Married"/>
    <s v="Yes"/>
    <s v="Seniors"/>
  </r>
  <r>
    <x v="83"/>
    <s v="Instagram"/>
    <n v="26"/>
    <s v="Female"/>
    <s v="United_States"/>
    <x v="1"/>
    <s v="Middle"/>
    <s v="Full_time_employed"/>
    <s v="Other"/>
    <s v="In_a_relationship"/>
    <s v="Yes"/>
    <s v="Young_Adults"/>
  </r>
  <r>
    <x v="84"/>
    <s v="Instagram"/>
    <n v="43"/>
    <s v="Male"/>
    <s v="United _Kingdom"/>
    <x v="1"/>
    <s v="Low"/>
    <s v="Part_time"/>
    <s v="Bachelors_degree"/>
    <s v="Single"/>
    <s v="No"/>
    <s v="Mid_Adults"/>
  </r>
  <r>
    <x v="85"/>
    <s v="Instagram"/>
    <n v="60"/>
    <s v="Male"/>
    <s v="South_Korea"/>
    <x v="2"/>
    <s v="Low"/>
    <s v="Full_time_employed"/>
    <s v="Masters_degree"/>
    <s v="Married"/>
    <s v="No"/>
    <s v="Seniors"/>
  </r>
  <r>
    <x v="86"/>
    <s v="Instagram"/>
    <n v="27"/>
    <s v="Male"/>
    <s v="United_States"/>
    <x v="1"/>
    <s v="Middle"/>
    <s v="Student"/>
    <s v="High_school"/>
    <s v="In_a_relationship"/>
    <s v="Yes"/>
    <s v="Young_Adults"/>
  </r>
  <r>
    <x v="87"/>
    <s v="Instagram"/>
    <n v="20"/>
    <s v="Male"/>
    <s v="Japan"/>
    <x v="0"/>
    <s v="Lower_middle"/>
    <s v="Freelancer"/>
    <s v="Masters_degree"/>
    <s v="Married"/>
    <s v="Yes"/>
    <s v="Youth"/>
  </r>
  <r>
    <x v="88"/>
    <s v="Instagram"/>
    <n v="26"/>
    <s v="Female"/>
    <s v="Other"/>
    <x v="2"/>
    <s v="Middle"/>
    <s v="Full_time_employed"/>
    <s v="High_school"/>
    <s v="Divorced"/>
    <s v="No"/>
    <s v="Young_Adults"/>
  </r>
  <r>
    <x v="89"/>
    <s v="Instagram"/>
    <n v="35"/>
    <s v="Female"/>
    <s v="India"/>
    <x v="2"/>
    <s v="Upper_middle"/>
    <s v="Full_time_employed"/>
    <s v="Bachelors_degree"/>
    <s v="Married"/>
    <s v="No"/>
    <s v="Young_Adults"/>
  </r>
  <r>
    <x v="90"/>
    <s v="Instagram"/>
    <n v="52"/>
    <s v="Male"/>
    <s v="United_States"/>
    <x v="2"/>
    <s v="Middle"/>
    <s v="Unemployed"/>
    <s v="Bachelors_degree"/>
    <s v="Single"/>
    <s v="No"/>
    <s v="Seniors"/>
  </r>
  <r>
    <x v="91"/>
    <s v="Instagram"/>
    <n v="33"/>
    <s v="Female"/>
    <s v="South_Korea"/>
    <x v="0"/>
    <s v="Lower_middle"/>
    <s v="Unemployed"/>
    <s v="Bachelors_degree"/>
    <s v="Single"/>
    <s v="No"/>
    <s v="Young_Adults"/>
  </r>
  <r>
    <x v="92"/>
    <s v="Instagram"/>
    <n v="28"/>
    <s v="Female"/>
    <s v="Germany"/>
    <x v="2"/>
    <s v="Middle"/>
    <s v="Full_time_employed"/>
    <s v="Some_college"/>
    <s v="In_a_relationship"/>
    <s v="Yes"/>
    <s v="Young_Adults"/>
  </r>
  <r>
    <x v="93"/>
    <s v="Instagram"/>
    <n v="57"/>
    <s v="Male"/>
    <s v="India"/>
    <x v="1"/>
    <s v="Upper_middle"/>
    <s v="Full_time_employed"/>
    <s v="High_school"/>
    <s v="Married"/>
    <s v="Yes"/>
    <s v="Seniors"/>
  </r>
  <r>
    <x v="94"/>
    <s v="Instagram"/>
    <n v="30"/>
    <s v="Male"/>
    <s v="Brazil"/>
    <x v="2"/>
    <s v="Middle"/>
    <s v="Freelancer"/>
    <s v="Bachelors_degree"/>
    <s v="Single"/>
    <s v="No"/>
    <s v="Young_Adults"/>
  </r>
  <r>
    <x v="95"/>
    <s v="Instagram"/>
    <n v="59"/>
    <s v="Male"/>
    <s v="Brazil"/>
    <x v="1"/>
    <s v="Middle"/>
    <s v="Freelancer"/>
    <s v="High_school"/>
    <s v="Married"/>
    <s v="No"/>
    <s v="Seniors"/>
  </r>
  <r>
    <x v="96"/>
    <s v="Instagram"/>
    <n v="65"/>
    <s v="Male"/>
    <s v="United_States"/>
    <x v="1"/>
    <s v="Middle"/>
    <s v="Retired"/>
    <s v="Some_college"/>
    <s v="Single"/>
    <s v="No"/>
    <s v="Seniors"/>
  </r>
  <r>
    <x v="97"/>
    <s v="Instagram"/>
    <n v="36"/>
    <s v="Male"/>
    <s v="United _Kingdom"/>
    <x v="0"/>
    <s v="Lower_middle"/>
    <s v="Full_time_employed"/>
    <s v="High_school"/>
    <s v="Single"/>
    <s v="No"/>
    <s v="Mid_Adults"/>
  </r>
  <r>
    <x v="98"/>
    <s v="Instagram"/>
    <n v="38"/>
    <s v="Female"/>
    <s v="United_States"/>
    <x v="1"/>
    <s v="Middle"/>
    <s v="Freelancer"/>
    <s v="Some_college"/>
    <s v="In_a_relationship"/>
    <s v="No"/>
    <s v="Mid_Adults"/>
  </r>
  <r>
    <x v="99"/>
    <s v="Instagram"/>
    <n v="37"/>
    <s v="Prefer_not _to _say"/>
    <s v="Japan"/>
    <x v="0"/>
    <s v="Middle"/>
    <s v="Full_time_employed"/>
    <s v="High_school"/>
    <s v="Married"/>
    <s v="No"/>
    <s v="Mid_Adults"/>
  </r>
  <r>
    <x v="100"/>
    <s v="Instagram"/>
    <n v="57"/>
    <s v="Male"/>
    <s v="United_States"/>
    <x v="1"/>
    <s v="Low"/>
    <s v="Freelancer"/>
    <s v="High_school"/>
    <s v="In_a_relationship"/>
    <s v="No"/>
    <s v="Seniors"/>
  </r>
  <r>
    <x v="101"/>
    <s v="Instagram"/>
    <n v="53"/>
    <s v="Male"/>
    <s v="India"/>
    <x v="0"/>
    <s v="Low"/>
    <s v="Full_time_employed"/>
    <s v="Some_college"/>
    <s v="In_a_relationship"/>
    <s v="No"/>
    <s v="Seniors"/>
  </r>
  <r>
    <x v="102"/>
    <s v="Instagram"/>
    <n v="41"/>
    <s v="Male"/>
    <s v="United _Kingdom"/>
    <x v="2"/>
    <s v="Middle"/>
    <s v="Retired"/>
    <s v="Some_college"/>
    <s v="Single"/>
    <s v="Yes"/>
    <s v="Mid_Adults"/>
  </r>
  <r>
    <x v="103"/>
    <s v="Instagram"/>
    <n v="27"/>
    <s v="Female"/>
    <s v="India"/>
    <x v="0"/>
    <s v="Middle"/>
    <s v="Freelancer"/>
    <s v="Masters_degree"/>
    <s v="Married"/>
    <s v="No"/>
    <s v="Young_Adults"/>
  </r>
  <r>
    <x v="104"/>
    <s v="Instagram"/>
    <n v="57"/>
    <s v="Male"/>
    <s v="Other"/>
    <x v="2"/>
    <s v="Lower_middle"/>
    <s v="Student"/>
    <s v="Masters_degree"/>
    <s v="In_a_relationship"/>
    <s v="No"/>
    <s v="Seniors"/>
  </r>
  <r>
    <x v="105"/>
    <s v="Instagram"/>
    <n v="13"/>
    <s v="Female"/>
    <s v="United_States"/>
    <x v="0"/>
    <s v="High"/>
    <s v="Student"/>
    <s v="Bachelors_degree"/>
    <s v="Single"/>
    <s v="No"/>
    <s v="Under_18"/>
  </r>
  <r>
    <x v="106"/>
    <s v="Instagram"/>
    <n v="37"/>
    <s v="Male"/>
    <s v="Germany"/>
    <x v="1"/>
    <s v="Low"/>
    <s v="Unemployed"/>
    <s v="Bachelors_degree"/>
    <s v="In_a_relationship"/>
    <s v="Yes"/>
    <s v="Mid_Adults"/>
  </r>
  <r>
    <x v="107"/>
    <s v="Instagram"/>
    <n v="19"/>
    <s v="Female"/>
    <s v="United _Kingdom"/>
    <x v="1"/>
    <s v="Middle"/>
    <s v="Freelancer"/>
    <s v="High_school"/>
    <s v="In_a_relationship"/>
    <s v="Yes"/>
    <s v="Youth"/>
  </r>
  <r>
    <x v="108"/>
    <s v="Instagram"/>
    <n v="21"/>
    <s v="Male"/>
    <s v="Brazil"/>
    <x v="1"/>
    <s v="Low"/>
    <s v="Full_time_employed"/>
    <s v="Bachelors_degree"/>
    <s v="Single"/>
    <s v="No"/>
    <s v="Youth"/>
  </r>
  <r>
    <x v="109"/>
    <s v="Instagram"/>
    <n v="36"/>
    <s v="Female"/>
    <s v="Japan"/>
    <x v="2"/>
    <s v="Low"/>
    <s v="Full_time_employed"/>
    <s v="Bachelors_degree"/>
    <s v="Single"/>
    <s v="No"/>
    <s v="Mid_Adults"/>
  </r>
  <r>
    <x v="110"/>
    <s v="Instagram"/>
    <n v="13"/>
    <s v="Female"/>
    <s v="Germany"/>
    <x v="2"/>
    <s v="Middle"/>
    <s v="Full_time_employed"/>
    <s v="Bachelors_degree"/>
    <s v="Single"/>
    <s v="No"/>
    <s v="Under_18"/>
  </r>
  <r>
    <x v="111"/>
    <s v="Instagram"/>
    <n v="56"/>
    <s v="Female"/>
    <s v="Australia"/>
    <x v="2"/>
    <s v="Middle"/>
    <s v="Student"/>
    <s v="Some_college"/>
    <s v="Single"/>
    <s v="Yes"/>
    <s v="Seniors"/>
  </r>
  <r>
    <x v="112"/>
    <s v="Instagram"/>
    <n v="20"/>
    <s v="Male"/>
    <s v="India"/>
    <x v="0"/>
    <s v="Low"/>
    <s v="Full_time_employed"/>
    <s v="Some_college"/>
    <s v="Single"/>
    <s v="No"/>
    <s v="Youth"/>
  </r>
  <r>
    <x v="113"/>
    <s v="Instagram"/>
    <n v="36"/>
    <s v="Female"/>
    <s v="Australia"/>
    <x v="0"/>
    <s v="Low"/>
    <s v="Full_time_employed"/>
    <s v="PhD"/>
    <s v="In_a_relationship"/>
    <s v="No"/>
    <s v="Mid_Adults"/>
  </r>
  <r>
    <x v="114"/>
    <s v="Instagram"/>
    <n v="23"/>
    <s v="Female"/>
    <s v="United _Kingdom"/>
    <x v="2"/>
    <s v="Middle"/>
    <s v="Full_time_employed"/>
    <s v="Bachelors_degree"/>
    <s v="Single"/>
    <s v="No"/>
    <s v="Youth"/>
  </r>
  <r>
    <x v="115"/>
    <s v="Instagram"/>
    <n v="63"/>
    <s v="Male"/>
    <s v="India"/>
    <x v="1"/>
    <s v="Middle"/>
    <s v="Student"/>
    <s v="High_school"/>
    <s v="Married"/>
    <s v="No"/>
    <s v="Seniors"/>
  </r>
  <r>
    <x v="116"/>
    <s v="Instagram"/>
    <n v="29"/>
    <s v="Male"/>
    <s v="Other"/>
    <x v="2"/>
    <s v="Low"/>
    <s v="Unemployed"/>
    <s v="Masters_degree"/>
    <s v="In_a_relationship"/>
    <s v="No"/>
    <s v="Young_Adults"/>
  </r>
  <r>
    <x v="117"/>
    <s v="Instagram"/>
    <n v="20"/>
    <s v="Female"/>
    <s v="South_Korea"/>
    <x v="1"/>
    <s v="Low"/>
    <s v="Student"/>
    <s v="High_school"/>
    <s v="Single"/>
    <s v="No"/>
    <s v="Youth"/>
  </r>
  <r>
    <x v="118"/>
    <s v="Instagram"/>
    <n v="47"/>
    <s v="Male"/>
    <s v="India"/>
    <x v="2"/>
    <s v="Low"/>
    <s v="Freelancer"/>
    <s v="Some_college"/>
    <s v="In_a_relationship"/>
    <s v="No"/>
    <s v="Seniors"/>
  </r>
  <r>
    <x v="119"/>
    <s v="Instagram"/>
    <n v="47"/>
    <s v="Male"/>
    <s v="South_Korea"/>
    <x v="1"/>
    <s v="Low"/>
    <s v="Full_time_employed"/>
    <s v="Bachelors_degree"/>
    <s v="Single"/>
    <s v="No"/>
    <s v="Seniors"/>
  </r>
  <r>
    <x v="120"/>
    <s v="Instagram"/>
    <n v="45"/>
    <s v="Male"/>
    <s v="Canada"/>
    <x v="1"/>
    <s v="Lower_middle"/>
    <s v="Retired"/>
    <s v="Masters_degree"/>
    <s v="Divorced"/>
    <s v="Yes"/>
    <s v="Mid_Adults"/>
  </r>
  <r>
    <x v="121"/>
    <s v="Instagram"/>
    <n v="17"/>
    <s v="Male"/>
    <s v="India"/>
    <x v="1"/>
    <s v="Middle"/>
    <s v="Full_time_employed"/>
    <s v="Some_college"/>
    <s v="Married"/>
    <s v="No"/>
    <s v="Under_18"/>
  </r>
  <r>
    <x v="122"/>
    <s v="Instagram"/>
    <n v="54"/>
    <s v="Female"/>
    <s v="Canada"/>
    <x v="2"/>
    <s v="Lower_middle"/>
    <s v="Student"/>
    <s v="Other"/>
    <s v="Single"/>
    <s v="No"/>
    <s v="Seniors"/>
  </r>
  <r>
    <x v="123"/>
    <s v="Instagram"/>
    <n v="51"/>
    <s v="Male"/>
    <s v="United_States"/>
    <x v="1"/>
    <s v="Upper_middle"/>
    <s v="Full_time_employed"/>
    <s v="Masters_degree"/>
    <s v="Married"/>
    <s v="No"/>
    <s v="Seniors"/>
  </r>
  <r>
    <x v="124"/>
    <s v="Instagram"/>
    <n v="53"/>
    <s v="Female"/>
    <s v="Canada"/>
    <x v="1"/>
    <s v="Lower_middle"/>
    <s v="Full_time_employed"/>
    <s v="Bachelors_degree"/>
    <s v="Single"/>
    <s v="No"/>
    <s v="Seniors"/>
  </r>
  <r>
    <x v="125"/>
    <s v="Instagram"/>
    <n v="40"/>
    <s v="Female"/>
    <s v="United_States"/>
    <x v="2"/>
    <s v="Upper_middle"/>
    <s v="Student"/>
    <s v="Bachelors_degree"/>
    <s v="In_a_relationship"/>
    <s v="No"/>
    <s v="Mid_Adults"/>
  </r>
  <r>
    <x v="126"/>
    <s v="Instagram"/>
    <n v="19"/>
    <s v="Male"/>
    <s v="Japan"/>
    <x v="1"/>
    <s v="Low"/>
    <s v="Full_time_employed"/>
    <s v="Some_college"/>
    <s v="Single"/>
    <s v="No"/>
    <s v="Youth"/>
  </r>
  <r>
    <x v="127"/>
    <s v="Instagram"/>
    <n v="21"/>
    <s v="Non_binary"/>
    <s v="Australia"/>
    <x v="2"/>
    <s v="Upper_middle"/>
    <s v="Full_time_employed"/>
    <s v="High_school"/>
    <s v="In_a_relationship"/>
    <s v="Yes"/>
    <s v="Youth"/>
  </r>
  <r>
    <x v="128"/>
    <s v="Instagram"/>
    <n v="20"/>
    <s v="Female"/>
    <s v="United _Kingdom"/>
    <x v="0"/>
    <s v="Lower_middle"/>
    <s v="Part_time"/>
    <s v="Bachelors_degree"/>
    <s v="In_a_relationship"/>
    <s v="No"/>
    <s v="Youth"/>
  </r>
  <r>
    <x v="129"/>
    <s v="Instagram"/>
    <n v="24"/>
    <s v="Male"/>
    <s v="India"/>
    <x v="1"/>
    <s v="High"/>
    <s v="Full_time_employed"/>
    <s v="Some_college"/>
    <s v="In_a_relationship"/>
    <s v="No"/>
    <s v="Youth"/>
  </r>
  <r>
    <x v="130"/>
    <s v="Instagram"/>
    <n v="46"/>
    <s v="Male"/>
    <s v="United_States"/>
    <x v="1"/>
    <s v="High"/>
    <s v="Full_time_employed"/>
    <s v="Some_college"/>
    <s v="Widowed"/>
    <s v="No"/>
    <s v="Seniors"/>
  </r>
  <r>
    <x v="131"/>
    <s v="Instagram"/>
    <n v="45"/>
    <s v="Male"/>
    <s v="India"/>
    <x v="1"/>
    <s v="Low"/>
    <s v="Retired"/>
    <s v="Bachelors_degree"/>
    <s v="Married"/>
    <s v="Yes"/>
    <s v="Mid_Adults"/>
  </r>
  <r>
    <x v="132"/>
    <s v="Instagram"/>
    <n v="60"/>
    <s v="Female"/>
    <s v="Brazil"/>
    <x v="1"/>
    <s v="Low"/>
    <s v="Student"/>
    <s v="High_school"/>
    <s v="Single"/>
    <s v="No"/>
    <s v="Seniors"/>
  </r>
  <r>
    <x v="133"/>
    <s v="Instagram"/>
    <n v="35"/>
    <s v="Male"/>
    <s v="India"/>
    <x v="1"/>
    <s v="Low"/>
    <s v="Student"/>
    <s v="Some_college"/>
    <s v="In_a_relationship"/>
    <s v="No"/>
    <s v="Young_Adults"/>
  </r>
  <r>
    <x v="134"/>
    <s v="Instagram"/>
    <n v="36"/>
    <s v="Female"/>
    <s v="United_States"/>
    <x v="1"/>
    <s v="Lower_middle"/>
    <s v="Freelancer"/>
    <s v="Other"/>
    <s v="Single"/>
    <s v="No"/>
    <s v="Mid_Adults"/>
  </r>
  <r>
    <x v="135"/>
    <s v="Instagram"/>
    <n v="49"/>
    <s v="Female"/>
    <s v="United_States"/>
    <x v="1"/>
    <s v="Middle"/>
    <s v="Student"/>
    <s v="PhD"/>
    <s v="Divorced"/>
    <s v="No"/>
    <s v="Seniors"/>
  </r>
  <r>
    <x v="136"/>
    <s v="Instagram"/>
    <n v="47"/>
    <s v="Male"/>
    <s v="United_States"/>
    <x v="1"/>
    <s v="Upper_middle"/>
    <s v="Student"/>
    <s v="High_school"/>
    <s v="Single"/>
    <s v="No"/>
    <s v="Seniors"/>
  </r>
  <r>
    <x v="137"/>
    <s v="Instagram"/>
    <n v="56"/>
    <s v="Female"/>
    <s v="Australia"/>
    <x v="1"/>
    <s v="Upper_middle"/>
    <s v="Unemployed"/>
    <s v="Some_college"/>
    <s v="Single"/>
    <s v="No"/>
    <s v="Seniors"/>
  </r>
  <r>
    <x v="138"/>
    <s v="Instagram"/>
    <n v="52"/>
    <s v="Female"/>
    <s v="United_States"/>
    <x v="1"/>
    <s v="Middle"/>
    <s v="Part_time"/>
    <s v="Bachelors_degree"/>
    <s v="Single"/>
    <s v="No"/>
    <s v="Seniors"/>
  </r>
  <r>
    <x v="139"/>
    <s v="Instagram"/>
    <n v="34"/>
    <s v="Female"/>
    <s v="South_Korea"/>
    <x v="1"/>
    <s v="Lower_middle"/>
    <s v="Student"/>
    <s v="High_school"/>
    <s v="Married"/>
    <s v="Yes"/>
    <s v="Young_Adults"/>
  </r>
  <r>
    <x v="140"/>
    <s v="Instagram"/>
    <n v="39"/>
    <s v="Male"/>
    <s v="Canada"/>
    <x v="2"/>
    <s v="Lower_middle"/>
    <s v="Part_time"/>
    <s v="High_school"/>
    <s v="In_a_relationship"/>
    <s v="No"/>
    <s v="Mid_Adults"/>
  </r>
  <r>
    <x v="141"/>
    <s v="Instagram"/>
    <n v="47"/>
    <s v="Male"/>
    <s v="Brazil"/>
    <x v="2"/>
    <s v="High"/>
    <s v="Freelancer"/>
    <s v="High_school"/>
    <s v="Married"/>
    <s v="No"/>
    <s v="Seniors"/>
  </r>
  <r>
    <x v="142"/>
    <s v="Instagram"/>
    <n v="13"/>
    <s v="Female"/>
    <s v="Australia"/>
    <x v="1"/>
    <s v="Low"/>
    <s v="Full_time_employed"/>
    <s v="Bachelors_degree"/>
    <s v="In_a_relationship"/>
    <s v="No"/>
    <s v="Under_18"/>
  </r>
  <r>
    <x v="143"/>
    <s v="Instagram"/>
    <n v="47"/>
    <s v="Female"/>
    <s v="Brazil"/>
    <x v="1"/>
    <s v="High"/>
    <s v="Full_time_employed"/>
    <s v="Bachelors_degree"/>
    <s v="Single"/>
    <s v="No"/>
    <s v="Seniors"/>
  </r>
  <r>
    <x v="144"/>
    <s v="Instagram"/>
    <n v="49"/>
    <s v="Female"/>
    <s v="Brazil"/>
    <x v="1"/>
    <s v="Lower_middle"/>
    <s v="Freelancer"/>
    <s v="Masters_degree"/>
    <s v="Single"/>
    <s v="Yes"/>
    <s v="Seniors"/>
  </r>
  <r>
    <x v="145"/>
    <s v="Instagram"/>
    <n v="59"/>
    <s v="Prefer_not _to _say"/>
    <s v="United_States"/>
    <x v="2"/>
    <s v="Lower_middle"/>
    <s v="Full_time_employed"/>
    <s v="Bachelors_degree"/>
    <s v="In_a_relationship"/>
    <s v="Yes"/>
    <s v="Seniors"/>
  </r>
  <r>
    <x v="146"/>
    <s v="Instagram"/>
    <n v="26"/>
    <s v="Male"/>
    <s v="Canada"/>
    <x v="1"/>
    <s v="Upper_middle"/>
    <s v="Full_time_employed"/>
    <s v="Bachelors_degree"/>
    <s v="In_a_relationship"/>
    <s v="Yes"/>
    <s v="Young_Adults"/>
  </r>
  <r>
    <x v="147"/>
    <s v="Instagram"/>
    <n v="15"/>
    <s v="Female"/>
    <s v="United _Kingdom"/>
    <x v="2"/>
    <s v="Middle"/>
    <s v="Unemployed"/>
    <s v="High_school"/>
    <s v="Single"/>
    <s v="No"/>
    <s v="Under_18"/>
  </r>
  <r>
    <x v="148"/>
    <s v="Instagram"/>
    <n v="13"/>
    <s v="Non_binary"/>
    <s v="Other"/>
    <x v="1"/>
    <s v="Middle"/>
    <s v="Student"/>
    <s v="Bachelors_degree"/>
    <s v="In_a_relationship"/>
    <s v="Yes"/>
    <s v="Under_18"/>
  </r>
  <r>
    <x v="149"/>
    <s v="Instagram"/>
    <n v="17"/>
    <s v="Female"/>
    <s v="Australia"/>
    <x v="1"/>
    <s v="Upper_middle"/>
    <s v="Student"/>
    <s v="Bachelors_degree"/>
    <s v="Single"/>
    <s v="No"/>
    <s v="Under_18"/>
  </r>
  <r>
    <x v="150"/>
    <s v="Instagram"/>
    <n v="38"/>
    <s v="Male"/>
    <s v="United _Kingdom"/>
    <x v="1"/>
    <s v="Lower_middle"/>
    <s v="Full_time_employed"/>
    <s v="Bachelors_degree"/>
    <s v="Single"/>
    <s v="No"/>
    <s v="Mid_Adults"/>
  </r>
  <r>
    <x v="151"/>
    <s v="Instagram"/>
    <n v="26"/>
    <s v="Female"/>
    <s v="United_States"/>
    <x v="2"/>
    <s v="Low"/>
    <s v="Freelancer"/>
    <s v="Some_college"/>
    <s v="In_a_relationship"/>
    <s v="No"/>
    <s v="Young_Adults"/>
  </r>
  <r>
    <x v="152"/>
    <s v="Instagram"/>
    <n v="51"/>
    <s v="Female"/>
    <s v="United_States"/>
    <x v="0"/>
    <s v="Lower_middle"/>
    <s v="Student"/>
    <s v="Some_college"/>
    <s v="Single"/>
    <s v="No"/>
    <s v="Seniors"/>
  </r>
  <r>
    <x v="153"/>
    <s v="Instagram"/>
    <n v="39"/>
    <s v="Non_binary"/>
    <s v="United_States"/>
    <x v="1"/>
    <s v="Middle"/>
    <s v="Part_time"/>
    <s v="High_school"/>
    <s v="Married"/>
    <s v="Yes"/>
    <s v="Mid_Adults"/>
  </r>
  <r>
    <x v="154"/>
    <s v="Instagram"/>
    <n v="21"/>
    <s v="Prefer_not _to _say"/>
    <s v="South_Korea"/>
    <x v="2"/>
    <s v="Middle"/>
    <s v="Full_time_employed"/>
    <s v="High_school"/>
    <s v="Married"/>
    <s v="No"/>
    <s v="Youth"/>
  </r>
  <r>
    <x v="155"/>
    <s v="Instagram"/>
    <n v="27"/>
    <s v="Female"/>
    <s v="United _Kingdom"/>
    <x v="1"/>
    <s v="Lower_middle"/>
    <s v="Unemployed"/>
    <s v="High_school"/>
    <s v="Divorced"/>
    <s v="No"/>
    <s v="Young_Adults"/>
  </r>
  <r>
    <x v="156"/>
    <s v="Instagram"/>
    <n v="27"/>
    <s v="Female"/>
    <s v="Other"/>
    <x v="1"/>
    <s v="High"/>
    <s v="Full_time_employed"/>
    <s v="Bachelors_degree"/>
    <s v="Single"/>
    <s v="Yes"/>
    <s v="Young_Adults"/>
  </r>
  <r>
    <x v="157"/>
    <s v="Instagram"/>
    <n v="38"/>
    <s v="Female"/>
    <s v="United _Kingdom"/>
    <x v="2"/>
    <s v="Upper_middle"/>
    <s v="Student"/>
    <s v="Bachelors_degree"/>
    <s v="In_a_relationship"/>
    <s v="No"/>
    <s v="Mid_Adults"/>
  </r>
  <r>
    <x v="158"/>
    <s v="Instagram"/>
    <n v="54"/>
    <s v="Male"/>
    <s v="United_States"/>
    <x v="1"/>
    <s v="Upper_middle"/>
    <s v="Full_time_employed"/>
    <s v="Bachelors_degree"/>
    <s v="Divorced"/>
    <s v="No"/>
    <s v="Seniors"/>
  </r>
  <r>
    <x v="159"/>
    <s v="Instagram"/>
    <n v="25"/>
    <s v="Female"/>
    <s v="United_States"/>
    <x v="2"/>
    <s v="Middle"/>
    <s v="Full_time_employed"/>
    <s v="High_school"/>
    <s v="Divorced"/>
    <s v="No"/>
    <s v="Youth"/>
  </r>
  <r>
    <x v="160"/>
    <s v="Instagram"/>
    <n v="63"/>
    <s v="Male"/>
    <s v="Australia"/>
    <x v="1"/>
    <s v="Low"/>
    <s v="Full_time_employed"/>
    <s v="Bachelors_degree"/>
    <s v="Single"/>
    <s v="No"/>
    <s v="Seniors"/>
  </r>
  <r>
    <x v="161"/>
    <s v="Instagram"/>
    <n v="44"/>
    <s v="Male"/>
    <s v="Brazil"/>
    <x v="1"/>
    <s v="Middle"/>
    <s v="Freelancer"/>
    <s v="High_school"/>
    <s v="Married"/>
    <s v="Yes"/>
    <s v="Mid_Adults"/>
  </r>
  <r>
    <x v="162"/>
    <s v="Instagram"/>
    <n v="51"/>
    <s v="Female"/>
    <s v="Brazil"/>
    <x v="1"/>
    <s v="Low"/>
    <s v="Full_time_employed"/>
    <s v="High_school"/>
    <s v="Married"/>
    <s v="No"/>
    <s v="Seniors"/>
  </r>
  <r>
    <x v="163"/>
    <s v="Instagram"/>
    <n v="61"/>
    <s v="Male"/>
    <s v="United_States"/>
    <x v="2"/>
    <s v="High"/>
    <s v="Full_time_employed"/>
    <s v="Bachelors_degree"/>
    <s v="Married"/>
    <s v="No"/>
    <s v="Seniors"/>
  </r>
  <r>
    <x v="164"/>
    <s v="Instagram"/>
    <n v="64"/>
    <s v="Male"/>
    <s v="Other"/>
    <x v="1"/>
    <s v="Middle"/>
    <s v="Student"/>
    <s v="Bachelors_degree"/>
    <s v="Single"/>
    <s v="Yes"/>
    <s v="Seniors"/>
  </r>
  <r>
    <x v="165"/>
    <s v="Instagram"/>
    <n v="44"/>
    <s v="Male"/>
    <s v="United_States"/>
    <x v="1"/>
    <s v="Low"/>
    <s v="Freelancer"/>
    <s v="Some_college"/>
    <s v="Single"/>
    <s v="No"/>
    <s v="Mid_Adults"/>
  </r>
  <r>
    <x v="166"/>
    <s v="Instagram"/>
    <n v="16"/>
    <s v="Female"/>
    <s v="United_States"/>
    <x v="0"/>
    <s v="Upper_middle"/>
    <s v="Part_time"/>
    <s v="High_school"/>
    <s v="Married"/>
    <s v="No"/>
    <s v="Under_18"/>
  </r>
  <r>
    <x v="167"/>
    <s v="Instagram"/>
    <n v="42"/>
    <s v="Male"/>
    <s v="United_States"/>
    <x v="1"/>
    <s v="Low"/>
    <s v="Full_time_employed"/>
    <s v="PhD"/>
    <s v="Married"/>
    <s v="No"/>
    <s v="Mid_Adults"/>
  </r>
  <r>
    <x v="168"/>
    <s v="Instagram"/>
    <n v="49"/>
    <s v="Female"/>
    <s v="United_States"/>
    <x v="1"/>
    <s v="Lower_middle"/>
    <s v="Part_time"/>
    <s v="Some_college"/>
    <s v="Single"/>
    <s v="No"/>
    <s v="Seniors"/>
  </r>
  <r>
    <x v="169"/>
    <s v="Instagram"/>
    <n v="35"/>
    <s v="Prefer_not _to _say"/>
    <s v="South_Korea"/>
    <x v="1"/>
    <s v="Middle"/>
    <s v="Part_time"/>
    <s v="High_school"/>
    <s v="In_a_relationship"/>
    <s v="No"/>
    <s v="Young_Adults"/>
  </r>
  <r>
    <x v="170"/>
    <s v="Instagram"/>
    <n v="51"/>
    <s v="Prefer_not _to _say"/>
    <s v="United_States"/>
    <x v="1"/>
    <s v="Lower_middle"/>
    <s v="Full_time_employed"/>
    <s v="Other"/>
    <s v="Married"/>
    <s v="No"/>
    <s v="Seniors"/>
  </r>
  <r>
    <x v="171"/>
    <s v="Instagram"/>
    <n v="57"/>
    <s v="Male"/>
    <s v="Other"/>
    <x v="0"/>
    <s v="Upper_middle"/>
    <s v="Student"/>
    <s v="Some_college"/>
    <s v="Married"/>
    <s v="No"/>
    <s v="Seniors"/>
  </r>
  <r>
    <x v="172"/>
    <s v="Instagram"/>
    <n v="27"/>
    <s v="Female"/>
    <s v="Australia"/>
    <x v="2"/>
    <s v="Middle"/>
    <s v="Student"/>
    <s v="Masters_degree"/>
    <s v="In_a_relationship"/>
    <s v="No"/>
    <s v="Young_Adults"/>
  </r>
  <r>
    <x v="173"/>
    <s v="Instagram"/>
    <n v="55"/>
    <s v="Male"/>
    <s v="Australia"/>
    <x v="1"/>
    <s v="Lower_middle"/>
    <s v="Freelancer"/>
    <s v="High_school"/>
    <s v="In_a_relationship"/>
    <s v="No"/>
    <s v="Seniors"/>
  </r>
  <r>
    <x v="174"/>
    <s v="Instagram"/>
    <n v="41"/>
    <s v="Female"/>
    <s v="Australia"/>
    <x v="2"/>
    <s v="Upper_middle"/>
    <s v="Unemployed"/>
    <s v="Bachelors_degree"/>
    <s v="Married"/>
    <s v="No"/>
    <s v="Mid_Adults"/>
  </r>
  <r>
    <x v="175"/>
    <s v="Instagram"/>
    <n v="48"/>
    <s v="Female"/>
    <s v="India"/>
    <x v="1"/>
    <s v="Upper_middle"/>
    <s v="Full_time_employed"/>
    <s v="High_school"/>
    <s v="Single"/>
    <s v="Yes"/>
    <s v="Seniors"/>
  </r>
  <r>
    <x v="176"/>
    <s v="Instagram"/>
    <n v="25"/>
    <s v="Male"/>
    <s v="India"/>
    <x v="1"/>
    <s v="Lower_middle"/>
    <s v="Student"/>
    <s v="Bachelors_degree"/>
    <s v="Single"/>
    <s v="No"/>
    <s v="Youth"/>
  </r>
  <r>
    <x v="177"/>
    <s v="Instagram"/>
    <n v="44"/>
    <s v="Male"/>
    <s v="Brazil"/>
    <x v="2"/>
    <s v="Low"/>
    <s v="Full_time_employed"/>
    <s v="Other"/>
    <s v="In_a_relationship"/>
    <s v="No"/>
    <s v="Mid_Adults"/>
  </r>
  <r>
    <x v="178"/>
    <s v="Instagram"/>
    <n v="19"/>
    <s v="Male"/>
    <s v="Brazil"/>
    <x v="2"/>
    <s v="Middle"/>
    <s v="Full_time_employed"/>
    <s v="Bachelors_degree"/>
    <s v="In_a_relationship"/>
    <s v="No"/>
    <s v="Youth"/>
  </r>
  <r>
    <x v="179"/>
    <s v="Instagram"/>
    <n v="63"/>
    <s v="Male"/>
    <s v="Other"/>
    <x v="1"/>
    <s v="Middle"/>
    <s v="Unemployed"/>
    <s v="Masters_degree"/>
    <s v="In_a_relationship"/>
    <s v="Yes"/>
    <s v="Seniors"/>
  </r>
  <r>
    <x v="180"/>
    <s v="Instagram"/>
    <n v="34"/>
    <s v="Male"/>
    <s v="Canada"/>
    <x v="1"/>
    <s v="Middle"/>
    <s v="Freelancer"/>
    <s v="Bachelors_degree"/>
    <s v="Divorced"/>
    <s v="No"/>
    <s v="Young_Adults"/>
  </r>
  <r>
    <x v="181"/>
    <s v="Instagram"/>
    <n v="40"/>
    <s v="Female"/>
    <s v="United_States"/>
    <x v="1"/>
    <s v="Middle"/>
    <s v="Unemployed"/>
    <s v="Bachelors_degree"/>
    <s v="Single"/>
    <s v="No"/>
    <s v="Mid_Adults"/>
  </r>
  <r>
    <x v="182"/>
    <s v="Instagram"/>
    <n v="14"/>
    <s v="Female"/>
    <s v="India"/>
    <x v="2"/>
    <s v="Middle"/>
    <s v="Freelancer"/>
    <s v="Masters_degree"/>
    <s v="Married"/>
    <s v="No"/>
    <s v="Under_18"/>
  </r>
  <r>
    <x v="183"/>
    <s v="Instagram"/>
    <n v="54"/>
    <s v="Female"/>
    <s v="United_States"/>
    <x v="1"/>
    <s v="Lower_middle"/>
    <s v="Unemployed"/>
    <s v="Bachelors_degree"/>
    <s v="Widowed"/>
    <s v="Yes"/>
    <s v="Seniors"/>
  </r>
  <r>
    <x v="184"/>
    <s v="Instagram"/>
    <n v="57"/>
    <s v="Female"/>
    <s v="South_Korea"/>
    <x v="2"/>
    <s v="Lower_middle"/>
    <s v="Full_time_employed"/>
    <s v="Bachelors_degree"/>
    <s v="Single"/>
    <s v="Yes"/>
    <s v="Seniors"/>
  </r>
  <r>
    <x v="185"/>
    <s v="Instagram"/>
    <n v="65"/>
    <s v="Female"/>
    <s v="South_Korea"/>
    <x v="2"/>
    <s v="Middle"/>
    <s v="Part_time"/>
    <s v="High_school"/>
    <s v="In_a_relationship"/>
    <s v="No"/>
    <s v="Seniors"/>
  </r>
  <r>
    <x v="186"/>
    <s v="Instagram"/>
    <n v="18"/>
    <s v="Male"/>
    <s v="India"/>
    <x v="1"/>
    <s v="High"/>
    <s v="Full_time_employed"/>
    <s v="Masters_degree"/>
    <s v="In_a_relationship"/>
    <s v="No"/>
    <s v="Youth"/>
  </r>
  <r>
    <x v="187"/>
    <s v="Instagram"/>
    <n v="40"/>
    <s v="Female"/>
    <s v="India"/>
    <x v="1"/>
    <s v="Middle"/>
    <s v="Student"/>
    <s v="High_school"/>
    <s v="Single"/>
    <s v="No"/>
    <s v="Mid_Adults"/>
  </r>
  <r>
    <x v="188"/>
    <s v="Instagram"/>
    <n v="40"/>
    <s v="Female"/>
    <s v="India"/>
    <x v="1"/>
    <s v="Middle"/>
    <s v="Freelancer"/>
    <s v="High_school"/>
    <s v="Married"/>
    <s v="No"/>
    <s v="Mid_Adults"/>
  </r>
  <r>
    <x v="189"/>
    <s v="Instagram"/>
    <n v="56"/>
    <s v="Male"/>
    <s v="India"/>
    <x v="1"/>
    <s v="Lower_middle"/>
    <s v="Student"/>
    <s v="Masters_degree"/>
    <s v="In_a_relationship"/>
    <s v="No"/>
    <s v="Seniors"/>
  </r>
  <r>
    <x v="190"/>
    <s v="Instagram"/>
    <n v="56"/>
    <s v="Female"/>
    <s v="Other"/>
    <x v="2"/>
    <s v="High"/>
    <s v="Full_time_employed"/>
    <s v="Bachelors_degree"/>
    <s v="In_a_relationship"/>
    <s v="Yes"/>
    <s v="Seniors"/>
  </r>
  <r>
    <x v="191"/>
    <s v="Instagram"/>
    <n v="32"/>
    <s v="Female"/>
    <s v="Other"/>
    <x v="1"/>
    <s v="Middle"/>
    <s v="Freelancer"/>
    <s v="Some_college"/>
    <s v="Single"/>
    <s v="No"/>
    <s v="Young_Adults"/>
  </r>
  <r>
    <x v="192"/>
    <s v="Instagram"/>
    <n v="42"/>
    <s v="Female"/>
    <s v="Germany"/>
    <x v="2"/>
    <s v="Low"/>
    <s v="Full_time_employed"/>
    <s v="High_school"/>
    <s v="Single"/>
    <s v="No"/>
    <s v="Mid_Adults"/>
  </r>
  <r>
    <x v="193"/>
    <s v="Instagram"/>
    <n v="23"/>
    <s v="Female"/>
    <s v="Germany"/>
    <x v="1"/>
    <s v="Middle"/>
    <s v="Part_time"/>
    <s v="Some_college"/>
    <s v="Married"/>
    <s v="No"/>
    <s v="Youth"/>
  </r>
  <r>
    <x v="194"/>
    <s v="Instagram"/>
    <n v="40"/>
    <s v="Female"/>
    <s v="United_States"/>
    <x v="1"/>
    <s v="High"/>
    <s v="Full_time_employed"/>
    <s v="High_school"/>
    <s v="Single"/>
    <s v="Yes"/>
    <s v="Mid_Adults"/>
  </r>
  <r>
    <x v="195"/>
    <s v="Instagram"/>
    <n v="37"/>
    <s v="Female"/>
    <s v="United_States"/>
    <x v="1"/>
    <s v="High"/>
    <s v="Unemployed"/>
    <s v="High_school"/>
    <s v="In_a_relationship"/>
    <s v="Yes"/>
    <s v="Mid_Adults"/>
  </r>
  <r>
    <x v="196"/>
    <s v="Instagram"/>
    <n v="51"/>
    <s v="Female"/>
    <s v="Germany"/>
    <x v="1"/>
    <s v="Middle"/>
    <s v="Freelancer"/>
    <s v="Bachelors_degree"/>
    <s v="In_a_relationship"/>
    <s v="Yes"/>
    <s v="Seniors"/>
  </r>
  <r>
    <x v="197"/>
    <s v="Instagram"/>
    <n v="45"/>
    <s v="Female"/>
    <s v="South_Korea"/>
    <x v="2"/>
    <s v="Low"/>
    <s v="Student"/>
    <s v="Some_college"/>
    <s v="Married"/>
    <s v="Yes"/>
    <s v="Mid_Adults"/>
  </r>
  <r>
    <x v="198"/>
    <s v="Instagram"/>
    <n v="13"/>
    <s v="Male"/>
    <s v="Canada"/>
    <x v="2"/>
    <s v="Upper_middle"/>
    <s v="Unemployed"/>
    <s v="Some_college"/>
    <s v="Married"/>
    <s v="No"/>
    <s v="Under_18"/>
  </r>
  <r>
    <x v="199"/>
    <s v="Instagram"/>
    <n v="39"/>
    <s v="Female"/>
    <s v="Other"/>
    <x v="0"/>
    <s v="Upper_middle"/>
    <s v="Student"/>
    <s v="Bachelors_degree"/>
    <s v="In_a_relationship"/>
    <s v="No"/>
    <s v="Mid_Adults"/>
  </r>
  <r>
    <x v="200"/>
    <s v="Instagram"/>
    <n v="64"/>
    <s v="Female"/>
    <s v="United_States"/>
    <x v="0"/>
    <s v="High"/>
    <s v="Part_time"/>
    <s v="Other"/>
    <s v="In_a_relationship"/>
    <s v="No"/>
    <s v="Seniors"/>
  </r>
  <r>
    <x v="201"/>
    <s v="Instagram"/>
    <n v="25"/>
    <s v="Female"/>
    <s v="India"/>
    <x v="1"/>
    <s v="Low"/>
    <s v="Full_time_employed"/>
    <s v="Bachelors_degree"/>
    <s v="Married"/>
    <s v="Yes"/>
    <s v="Youth"/>
  </r>
  <r>
    <x v="202"/>
    <s v="Instagram"/>
    <n v="53"/>
    <s v="Male"/>
    <s v="United_States"/>
    <x v="1"/>
    <s v="Upper_middle"/>
    <s v="Full_time_employed"/>
    <s v="High_school"/>
    <s v="Single"/>
    <s v="No"/>
    <s v="Seniors"/>
  </r>
  <r>
    <x v="203"/>
    <s v="Instagram"/>
    <n v="15"/>
    <s v="Female"/>
    <s v="Brazil"/>
    <x v="1"/>
    <s v="Middle"/>
    <s v="Student"/>
    <s v="Some_college"/>
    <s v="In_a_relationship"/>
    <s v="No"/>
    <s v="Under_18"/>
  </r>
  <r>
    <x v="204"/>
    <s v="Instagram"/>
    <n v="51"/>
    <s v="Male"/>
    <s v="United _Kingdom"/>
    <x v="0"/>
    <s v="Low"/>
    <s v="Part_time"/>
    <s v="Masters_degree"/>
    <s v="Single"/>
    <s v="No"/>
    <s v="Seniors"/>
  </r>
  <r>
    <x v="205"/>
    <s v="Instagram"/>
    <n v="18"/>
    <s v="Female"/>
    <s v="United _Kingdom"/>
    <x v="1"/>
    <s v="Middle"/>
    <s v="Full_time_employed"/>
    <s v="Bachelors_degree"/>
    <s v="In_a_relationship"/>
    <s v="Yes"/>
    <s v="Youth"/>
  </r>
  <r>
    <x v="206"/>
    <s v="Instagram"/>
    <n v="20"/>
    <s v="Female"/>
    <s v="United_States"/>
    <x v="1"/>
    <s v="Low"/>
    <s v="Freelancer"/>
    <s v="High_school"/>
    <s v="In_a_relationship"/>
    <s v="No"/>
    <s v="Youth"/>
  </r>
  <r>
    <x v="207"/>
    <s v="Instagram"/>
    <n v="39"/>
    <s v="Female"/>
    <s v="India"/>
    <x v="1"/>
    <s v="Middle"/>
    <s v="Full_time_employed"/>
    <s v="Some_college"/>
    <s v="Married"/>
    <s v="No"/>
    <s v="Mid_Adults"/>
  </r>
  <r>
    <x v="208"/>
    <s v="Instagram"/>
    <n v="21"/>
    <s v="Male"/>
    <s v="South_Korea"/>
    <x v="0"/>
    <s v="Upper_middle"/>
    <s v="Full_time_employed"/>
    <s v="Some_college"/>
    <s v="Single"/>
    <s v="No"/>
    <s v="Youth"/>
  </r>
  <r>
    <x v="209"/>
    <s v="Instagram"/>
    <n v="49"/>
    <s v="Female"/>
    <s v="Germany"/>
    <x v="1"/>
    <s v="Lower_middle"/>
    <s v="Full_time_employed"/>
    <s v="Masters_degree"/>
    <s v="Single"/>
    <s v="Yes"/>
    <s v="Seniors"/>
  </r>
  <r>
    <x v="210"/>
    <s v="Instagram"/>
    <n v="45"/>
    <s v="Female"/>
    <s v="Canada"/>
    <x v="0"/>
    <s v="Lower_middle"/>
    <s v="Full_time_employed"/>
    <s v="Some_college"/>
    <s v="Single"/>
    <s v="No"/>
    <s v="Mid_Adults"/>
  </r>
  <r>
    <x v="211"/>
    <s v="Instagram"/>
    <n v="63"/>
    <s v="Male"/>
    <s v="United _Kingdom"/>
    <x v="1"/>
    <s v="High"/>
    <s v="Full_time_employed"/>
    <s v="Bachelors_degree"/>
    <s v="Single"/>
    <s v="No"/>
    <s v="Seniors"/>
  </r>
  <r>
    <x v="212"/>
    <s v="Instagram"/>
    <n v="54"/>
    <s v="Female"/>
    <s v="United _Kingdom"/>
    <x v="1"/>
    <s v="High"/>
    <s v="Unemployed"/>
    <s v="Other"/>
    <s v="Married"/>
    <s v="No"/>
    <s v="Seniors"/>
  </r>
  <r>
    <x v="213"/>
    <s v="Instagram"/>
    <n v="56"/>
    <s v="Female"/>
    <s v="Australia"/>
    <x v="2"/>
    <s v="High"/>
    <s v="Full_time_employed"/>
    <s v="Some_college"/>
    <s v="Single"/>
    <s v="No"/>
    <s v="Seniors"/>
  </r>
  <r>
    <x v="214"/>
    <s v="Instagram"/>
    <n v="36"/>
    <s v="Male"/>
    <s v="United_States"/>
    <x v="1"/>
    <s v="High"/>
    <s v="Full_time_employed"/>
    <s v="Other"/>
    <s v="Single"/>
    <s v="No"/>
    <s v="Mid_Adults"/>
  </r>
  <r>
    <x v="215"/>
    <s v="Instagram"/>
    <n v="27"/>
    <s v="Female"/>
    <s v="United_States"/>
    <x v="0"/>
    <s v="Middle"/>
    <s v="Freelancer"/>
    <s v="Some_college"/>
    <s v="In_a_relationship"/>
    <s v="No"/>
    <s v="Young_Adults"/>
  </r>
  <r>
    <x v="216"/>
    <s v="Instagram"/>
    <n v="44"/>
    <s v="Female"/>
    <s v="Brazil"/>
    <x v="2"/>
    <s v="Lower_middle"/>
    <s v="Full_time_employed"/>
    <s v="PhD"/>
    <s v="Single"/>
    <s v="No"/>
    <s v="Mid_Adults"/>
  </r>
  <r>
    <x v="217"/>
    <s v="Instagram"/>
    <n v="44"/>
    <s v="Non_binary"/>
    <s v="United_States"/>
    <x v="1"/>
    <s v="Lower_middle"/>
    <s v="Part_time"/>
    <s v="Bachelors_degree"/>
    <s v="Single"/>
    <s v="No"/>
    <s v="Mid_Adults"/>
  </r>
  <r>
    <x v="218"/>
    <s v="Instagram"/>
    <n v="36"/>
    <s v="Male"/>
    <s v="South_Korea"/>
    <x v="1"/>
    <s v="Low"/>
    <s v="Unemployed"/>
    <s v="High_school"/>
    <s v="Single"/>
    <s v="No"/>
    <s v="Mid_Adults"/>
  </r>
  <r>
    <x v="219"/>
    <s v="Instagram"/>
    <n v="53"/>
    <s v="Male"/>
    <s v="United _Kingdom"/>
    <x v="2"/>
    <s v="Middle"/>
    <s v="Full_time_employed"/>
    <s v="Masters_degree"/>
    <s v="Widowed"/>
    <s v="No"/>
    <s v="Seniors"/>
  </r>
  <r>
    <x v="220"/>
    <s v="Instagram"/>
    <n v="64"/>
    <s v="Male"/>
    <s v="Canada"/>
    <x v="2"/>
    <s v="Middle"/>
    <s v="Student"/>
    <s v="Bachelors_degree"/>
    <s v="Single"/>
    <s v="No"/>
    <s v="Seniors"/>
  </r>
  <r>
    <x v="221"/>
    <s v="Instagram"/>
    <n v="61"/>
    <s v="Female"/>
    <s v="Brazil"/>
    <x v="0"/>
    <s v="Middle"/>
    <s v="Full_time_employed"/>
    <s v="Some_college"/>
    <s v="Single"/>
    <s v="No"/>
    <s v="Seniors"/>
  </r>
  <r>
    <x v="222"/>
    <s v="Instagram"/>
    <n v="61"/>
    <s v="Male"/>
    <s v="Japan"/>
    <x v="1"/>
    <s v="Upper_middle"/>
    <s v="Full_time_employed"/>
    <s v="Bachelors_degree"/>
    <s v="Married"/>
    <s v="No"/>
    <s v="Seniors"/>
  </r>
  <r>
    <x v="223"/>
    <s v="Instagram"/>
    <n v="64"/>
    <s v="Male"/>
    <s v="Brazil"/>
    <x v="2"/>
    <s v="Upper_middle"/>
    <s v="Freelancer"/>
    <s v="Some_college"/>
    <s v="Divorced"/>
    <s v="No"/>
    <s v="Seniors"/>
  </r>
  <r>
    <x v="224"/>
    <s v="Instagram"/>
    <n v="24"/>
    <s v="Female"/>
    <s v="Japan"/>
    <x v="2"/>
    <s v="Lower_middle"/>
    <s v="Full_time_employed"/>
    <s v="Some_college"/>
    <s v="Married"/>
    <s v="No"/>
    <s v="Youth"/>
  </r>
  <r>
    <x v="225"/>
    <s v="Instagram"/>
    <n v="51"/>
    <s v="Male"/>
    <s v="India"/>
    <x v="1"/>
    <s v="Low"/>
    <s v="Part_time"/>
    <s v="Bachelors_degree"/>
    <s v="Married"/>
    <s v="No"/>
    <s v="Seniors"/>
  </r>
  <r>
    <x v="226"/>
    <s v="Instagram"/>
    <n v="14"/>
    <s v="Male"/>
    <s v="United_States"/>
    <x v="1"/>
    <s v="Lower_middle"/>
    <s v="Freelancer"/>
    <s v="Bachelors_degree"/>
    <s v="Married"/>
    <s v="No"/>
    <s v="Under_18"/>
  </r>
  <r>
    <x v="227"/>
    <s v="Instagram"/>
    <n v="15"/>
    <s v="Female"/>
    <s v="Other"/>
    <x v="1"/>
    <s v="Low"/>
    <s v="Full_time_employed"/>
    <s v="Masters_degree"/>
    <s v="Single"/>
    <s v="No"/>
    <s v="Under_18"/>
  </r>
  <r>
    <x v="228"/>
    <s v="Instagram"/>
    <n v="61"/>
    <s v="Male"/>
    <s v="Other"/>
    <x v="1"/>
    <s v="Low"/>
    <s v="Full_time_employed"/>
    <s v="Some_college"/>
    <s v="Single"/>
    <s v="Yes"/>
    <s v="Seniors"/>
  </r>
  <r>
    <x v="229"/>
    <s v="Instagram"/>
    <n v="49"/>
    <s v="Male"/>
    <s v="Other"/>
    <x v="1"/>
    <s v="Middle"/>
    <s v="Full_time_employed"/>
    <s v="Bachelors_degree"/>
    <s v="In_a_relationship"/>
    <s v="Yes"/>
    <s v="Seniors"/>
  </r>
  <r>
    <x v="230"/>
    <s v="Instagram"/>
    <n v="61"/>
    <s v="Female"/>
    <s v="United _Kingdom"/>
    <x v="2"/>
    <s v="Low"/>
    <s v="Full_time_employed"/>
    <s v="High_school"/>
    <s v="Divorced"/>
    <s v="No"/>
    <s v="Seniors"/>
  </r>
  <r>
    <x v="231"/>
    <s v="Instagram"/>
    <n v="29"/>
    <s v="Female"/>
    <s v="United_States"/>
    <x v="2"/>
    <s v="Low"/>
    <s v="Full_time_employed"/>
    <s v="Some_college"/>
    <s v="Married"/>
    <s v="No"/>
    <s v="Young_Adults"/>
  </r>
  <r>
    <x v="232"/>
    <s v="Instagram"/>
    <n v="61"/>
    <s v="Female"/>
    <s v="United _Kingdom"/>
    <x v="0"/>
    <s v="Lower_middle"/>
    <s v="Part_time"/>
    <s v="Bachelors_degree"/>
    <s v="Single"/>
    <s v="No"/>
    <s v="Seniors"/>
  </r>
  <r>
    <x v="233"/>
    <s v="Instagram"/>
    <n v="14"/>
    <s v="Male"/>
    <s v="Brazil"/>
    <x v="1"/>
    <s v="Low"/>
    <s v="Full_time_employed"/>
    <s v="Masters_degree"/>
    <s v="Married"/>
    <s v="No"/>
    <s v="Under_18"/>
  </r>
  <r>
    <x v="234"/>
    <s v="Instagram"/>
    <n v="14"/>
    <s v="Female"/>
    <s v="Brazil"/>
    <x v="2"/>
    <s v="Low"/>
    <s v="Full_time_employed"/>
    <s v="Some_college"/>
    <s v="Married"/>
    <s v="Yes"/>
    <s v="Under_18"/>
  </r>
  <r>
    <x v="235"/>
    <s v="Instagram"/>
    <n v="40"/>
    <s v="Female"/>
    <s v="Brazil"/>
    <x v="0"/>
    <s v="Lower_middle"/>
    <s v="Part_time"/>
    <s v="High_school"/>
    <s v="Single"/>
    <s v="No"/>
    <s v="Mid_Adults"/>
  </r>
  <r>
    <x v="236"/>
    <s v="Instagram"/>
    <n v="35"/>
    <s v="Male"/>
    <s v="United_States"/>
    <x v="1"/>
    <s v="Low"/>
    <s v="Student"/>
    <s v="Some_college"/>
    <s v="In_a_relationship"/>
    <s v="No"/>
    <s v="Young_Adults"/>
  </r>
  <r>
    <x v="237"/>
    <s v="Instagram"/>
    <n v="49"/>
    <s v="Male"/>
    <s v="Canada"/>
    <x v="1"/>
    <s v="Low"/>
    <s v="Full_time_employed"/>
    <s v="Masters_degree"/>
    <s v="Single"/>
    <s v="No"/>
    <s v="Seniors"/>
  </r>
  <r>
    <x v="238"/>
    <s v="Instagram"/>
    <n v="44"/>
    <s v="Male"/>
    <s v="Other"/>
    <x v="2"/>
    <s v="Middle"/>
    <s v="Full_time_employed"/>
    <s v="Masters_degree"/>
    <s v="Divorced"/>
    <s v="Yes"/>
    <s v="Mid_Adults"/>
  </r>
  <r>
    <x v="239"/>
    <s v="Instagram"/>
    <n v="45"/>
    <s v="Male"/>
    <s v="United_States"/>
    <x v="1"/>
    <s v="Middle"/>
    <s v="Full_time_employed"/>
    <s v="Some_college"/>
    <s v="Single"/>
    <s v="No"/>
    <s v="Mid_Adults"/>
  </r>
  <r>
    <x v="240"/>
    <s v="Instagram"/>
    <n v="13"/>
    <s v="Female"/>
    <s v="India"/>
    <x v="1"/>
    <s v="Middle"/>
    <s v="Student"/>
    <s v="High_school"/>
    <s v="Single"/>
    <s v="Yes"/>
    <s v="Under_18"/>
  </r>
  <r>
    <x v="241"/>
    <s v="Instagram"/>
    <n v="31"/>
    <s v="Female"/>
    <s v="Japan"/>
    <x v="1"/>
    <s v="Upper_middle"/>
    <s v="Part_time"/>
    <s v="High_school"/>
    <s v="Single"/>
    <s v="No"/>
    <s v="Young_Adults"/>
  </r>
  <r>
    <x v="242"/>
    <s v="Instagram"/>
    <n v="14"/>
    <s v="Non_binary"/>
    <s v="United_States"/>
    <x v="2"/>
    <s v="Upper_middle"/>
    <s v="Student"/>
    <s v="Some_college"/>
    <s v="Married"/>
    <s v="Yes"/>
    <s v="Under_18"/>
  </r>
  <r>
    <x v="243"/>
    <s v="Instagram"/>
    <n v="65"/>
    <s v="Female"/>
    <s v="Japan"/>
    <x v="1"/>
    <s v="Middle"/>
    <s v="Unemployed"/>
    <s v="Bachelors_degree"/>
    <s v="In_a_relationship"/>
    <s v="No"/>
    <s v="Seniors"/>
  </r>
  <r>
    <x v="244"/>
    <s v="Instagram"/>
    <n v="56"/>
    <s v="Female"/>
    <s v="United _Kingdom"/>
    <x v="1"/>
    <s v="Lower_middle"/>
    <s v="Full_time_employed"/>
    <s v="High_school"/>
    <s v="In_a_relationship"/>
    <s v="No"/>
    <s v="Seniors"/>
  </r>
  <r>
    <x v="245"/>
    <s v="Instagram"/>
    <n v="38"/>
    <s v="Female"/>
    <s v="United_States"/>
    <x v="0"/>
    <s v="Middle"/>
    <s v="Full_time_employed"/>
    <s v="Bachelors_degree"/>
    <s v="In_a_relationship"/>
    <s v="Yes"/>
    <s v="Mid_Adults"/>
  </r>
  <r>
    <x v="246"/>
    <s v="Instagram"/>
    <n v="44"/>
    <s v="Male"/>
    <s v="India"/>
    <x v="1"/>
    <s v="Middle"/>
    <s v="Retired"/>
    <s v="Bachelors_degree"/>
    <s v="Single"/>
    <s v="No"/>
    <s v="Mid_Adults"/>
  </r>
  <r>
    <x v="247"/>
    <s v="Instagram"/>
    <n v="18"/>
    <s v="Male"/>
    <s v="United_States"/>
    <x v="2"/>
    <s v="Low"/>
    <s v="Full_time_employed"/>
    <s v="Bachelors_degree"/>
    <s v="Single"/>
    <s v="No"/>
    <s v="Youth"/>
  </r>
  <r>
    <x v="248"/>
    <s v="Instagram"/>
    <n v="44"/>
    <s v="Female"/>
    <s v="United _Kingdom"/>
    <x v="2"/>
    <s v="Upper_middle"/>
    <s v="Full_time_employed"/>
    <s v="Bachelors_degree"/>
    <s v="Married"/>
    <s v="No"/>
    <s v="Mid_Adults"/>
  </r>
  <r>
    <x v="249"/>
    <s v="Instagram"/>
    <n v="16"/>
    <s v="Female"/>
    <s v="United_States"/>
    <x v="2"/>
    <s v="Upper_middle"/>
    <s v="Student"/>
    <s v="Bachelors_degree"/>
    <s v="Divorced"/>
    <s v="Yes"/>
    <s v="Under_18"/>
  </r>
  <r>
    <x v="250"/>
    <s v="Instagram"/>
    <n v="23"/>
    <s v="Female"/>
    <s v="United_States"/>
    <x v="1"/>
    <s v="Middle"/>
    <s v="Full_time_employed"/>
    <s v="Bachelors_degree"/>
    <s v="Divorced"/>
    <s v="No"/>
    <s v="Youth"/>
  </r>
  <r>
    <x v="251"/>
    <s v="Instagram"/>
    <n v="29"/>
    <s v="Female"/>
    <s v="United_States"/>
    <x v="0"/>
    <s v="Lower_middle"/>
    <s v="Part_time"/>
    <s v="Some_college"/>
    <s v="In_a_relationship"/>
    <s v="Yes"/>
    <s v="Young_Adults"/>
  </r>
  <r>
    <x v="252"/>
    <s v="Instagram"/>
    <n v="50"/>
    <s v="Male"/>
    <s v="Australia"/>
    <x v="1"/>
    <s v="Low"/>
    <s v="Full_time_employed"/>
    <s v="Bachelors_degree"/>
    <s v="Single"/>
    <s v="No"/>
    <s v="Seniors"/>
  </r>
  <r>
    <x v="253"/>
    <s v="Instagram"/>
    <n v="36"/>
    <s v="Female"/>
    <s v="India"/>
    <x v="1"/>
    <s v="Lower_middle"/>
    <s v="Part_time"/>
    <s v="Masters_degree"/>
    <s v="In_a_relationship"/>
    <s v="No"/>
    <s v="Mid_Adults"/>
  </r>
  <r>
    <x v="254"/>
    <s v="Instagram"/>
    <n v="17"/>
    <s v="Female"/>
    <s v="India"/>
    <x v="0"/>
    <s v="Lower_middle"/>
    <s v="Full_time_employed"/>
    <s v="High_school"/>
    <s v="In_a_relationship"/>
    <s v="No"/>
    <s v="Under_18"/>
  </r>
  <r>
    <x v="255"/>
    <s v="Instagram"/>
    <n v="64"/>
    <s v="Female"/>
    <s v="United_States"/>
    <x v="1"/>
    <s v="Low"/>
    <s v="Full_time_employed"/>
    <s v="High_school"/>
    <s v="Married"/>
    <s v="Yes"/>
    <s v="Seniors"/>
  </r>
  <r>
    <x v="256"/>
    <s v="Instagram"/>
    <n v="46"/>
    <s v="Female"/>
    <s v="United_States"/>
    <x v="0"/>
    <s v="Lower_middle"/>
    <s v="Student"/>
    <s v="Some_college"/>
    <s v="Divorced"/>
    <s v="Yes"/>
    <s v="Seniors"/>
  </r>
  <r>
    <x v="257"/>
    <s v="Instagram"/>
    <n v="18"/>
    <s v="Female"/>
    <s v="United_States"/>
    <x v="0"/>
    <s v="Low"/>
    <s v="Unemployed"/>
    <s v="High_school"/>
    <s v="Married"/>
    <s v="No"/>
    <s v="Youth"/>
  </r>
  <r>
    <x v="258"/>
    <s v="Instagram"/>
    <n v="34"/>
    <s v="Male"/>
    <s v="South_Korea"/>
    <x v="1"/>
    <s v="Low"/>
    <s v="Full_time_employed"/>
    <s v="Masters_degree"/>
    <s v="Single"/>
    <s v="No"/>
    <s v="Young_Adults"/>
  </r>
  <r>
    <x v="259"/>
    <s v="Instagram"/>
    <n v="23"/>
    <s v="Male"/>
    <s v="United _Kingdom"/>
    <x v="1"/>
    <s v="Middle"/>
    <s v="Full_time_employed"/>
    <s v="High_school"/>
    <s v="Single"/>
    <s v="No"/>
    <s v="Youth"/>
  </r>
  <r>
    <x v="260"/>
    <s v="Instagram"/>
    <n v="60"/>
    <s v="Female"/>
    <s v="Germany"/>
    <x v="1"/>
    <s v="Upper_middle"/>
    <s v="Full_time_employed"/>
    <s v="Some_college"/>
    <s v="In_a_relationship"/>
    <s v="Yes"/>
    <s v="Seniors"/>
  </r>
  <r>
    <x v="261"/>
    <s v="Instagram"/>
    <n v="28"/>
    <s v="Male"/>
    <s v="United _Kingdom"/>
    <x v="1"/>
    <s v="Middle"/>
    <s v="Part_time"/>
    <s v="High_school"/>
    <s v="Single"/>
    <s v="Yes"/>
    <s v="Young_Adults"/>
  </r>
  <r>
    <x v="262"/>
    <s v="Instagram"/>
    <n v="45"/>
    <s v="Male"/>
    <s v="United_States"/>
    <x v="1"/>
    <s v="Middle"/>
    <s v="Full_time_employed"/>
    <s v="Bachelors_degree"/>
    <s v="Single"/>
    <s v="No"/>
    <s v="Mid_Adults"/>
  </r>
  <r>
    <x v="263"/>
    <s v="Instagram"/>
    <n v="21"/>
    <s v="Female"/>
    <s v="United_States"/>
    <x v="1"/>
    <s v="Middle"/>
    <s v="Retired"/>
    <s v="High_school"/>
    <s v="Single"/>
    <s v="No"/>
    <s v="Youth"/>
  </r>
  <r>
    <x v="264"/>
    <s v="Instagram"/>
    <n v="18"/>
    <s v="Female"/>
    <s v="India"/>
    <x v="2"/>
    <s v="Middle"/>
    <s v="Student"/>
    <s v="Some_college"/>
    <s v="In_a_relationship"/>
    <s v="No"/>
    <s v="Youth"/>
  </r>
  <r>
    <x v="265"/>
    <s v="Instagram"/>
    <n v="28"/>
    <s v="Male"/>
    <s v="Brazil"/>
    <x v="1"/>
    <s v="Lower_middle"/>
    <s v="Student"/>
    <s v="Bachelors_degree"/>
    <s v="Single"/>
    <s v="No"/>
    <s v="Young_Adults"/>
  </r>
  <r>
    <x v="266"/>
    <s v="Instagram"/>
    <n v="41"/>
    <s v="Male"/>
    <s v="United_States"/>
    <x v="0"/>
    <s v="Upper_middle"/>
    <s v="Part_time"/>
    <s v="Masters_degree"/>
    <s v="Married"/>
    <s v="No"/>
    <s v="Mid_Adults"/>
  </r>
  <r>
    <x v="267"/>
    <s v="Instagram"/>
    <n v="15"/>
    <s v="Female"/>
    <s v="India"/>
    <x v="1"/>
    <s v="Upper_middle"/>
    <s v="Unemployed"/>
    <s v="Some_college"/>
    <s v="Single"/>
    <s v="No"/>
    <s v="Under_18"/>
  </r>
  <r>
    <x v="268"/>
    <s v="Instagram"/>
    <n v="32"/>
    <s v="Male"/>
    <s v="United_States"/>
    <x v="2"/>
    <s v="Lower_middle"/>
    <s v="Freelancer"/>
    <s v="Bachelors_degree"/>
    <s v="Single"/>
    <s v="Yes"/>
    <s v="Young_Adults"/>
  </r>
  <r>
    <x v="269"/>
    <s v="Instagram"/>
    <n v="48"/>
    <s v="Male"/>
    <s v="Germany"/>
    <x v="0"/>
    <s v="Low"/>
    <s v="Full_time_employed"/>
    <s v="Other"/>
    <s v="Married"/>
    <s v="No"/>
    <s v="Seniors"/>
  </r>
  <r>
    <x v="270"/>
    <s v="Instagram"/>
    <n v="31"/>
    <s v="Male"/>
    <s v="United _Kingdom"/>
    <x v="1"/>
    <s v="Lower_middle"/>
    <s v="Student"/>
    <s v="Some_college"/>
    <s v="Married"/>
    <s v="No"/>
    <s v="Young_Adults"/>
  </r>
  <r>
    <x v="271"/>
    <s v="Instagram"/>
    <n v="38"/>
    <s v="Male"/>
    <s v="India"/>
    <x v="1"/>
    <s v="Middle"/>
    <s v="Part_time"/>
    <s v="High_school"/>
    <s v="Married"/>
    <s v="No"/>
    <s v="Mid_Adults"/>
  </r>
  <r>
    <x v="272"/>
    <s v="Instagram"/>
    <n v="15"/>
    <s v="Female"/>
    <s v="Canada"/>
    <x v="1"/>
    <s v="Middle"/>
    <s v="Student"/>
    <s v="High_school"/>
    <s v="Single"/>
    <s v="Yes"/>
    <s v="Under_18"/>
  </r>
  <r>
    <x v="273"/>
    <s v="Instagram"/>
    <n v="31"/>
    <s v="Male"/>
    <s v="United_States"/>
    <x v="1"/>
    <s v="Lower_middle"/>
    <s v="Student"/>
    <s v="Masters_degree"/>
    <s v="In_a_relationship"/>
    <s v="No"/>
    <s v="Young_Adults"/>
  </r>
  <r>
    <x v="274"/>
    <s v="Instagram"/>
    <n v="32"/>
    <s v="Female"/>
    <s v="South_Korea"/>
    <x v="2"/>
    <s v="High"/>
    <s v="Full_time_employed"/>
    <s v="High_school"/>
    <s v="Married"/>
    <s v="Yes"/>
    <s v="Young_Adults"/>
  </r>
  <r>
    <x v="275"/>
    <s v="Instagram"/>
    <n v="44"/>
    <s v="Male"/>
    <s v="United_States"/>
    <x v="1"/>
    <s v="Upper_middle"/>
    <s v="Full_time_employed"/>
    <s v="Masters_degree"/>
    <s v="In_a_relationship"/>
    <s v="No"/>
    <s v="Mid_Adults"/>
  </r>
  <r>
    <x v="276"/>
    <s v="Instagram"/>
    <n v="19"/>
    <s v="Male"/>
    <s v="United_States"/>
    <x v="1"/>
    <s v="Low"/>
    <s v="Student"/>
    <s v="Bachelors_degree"/>
    <s v="In_a_relationship"/>
    <s v="No"/>
    <s v="Youth"/>
  </r>
  <r>
    <x v="277"/>
    <s v="Instagram"/>
    <n v="64"/>
    <s v="Male"/>
    <s v="Australia"/>
    <x v="0"/>
    <s v="Middle"/>
    <s v="Full_time_employed"/>
    <s v="Some_college"/>
    <s v="Single"/>
    <s v="No"/>
    <s v="Seniors"/>
  </r>
  <r>
    <x v="278"/>
    <s v="Instagram"/>
    <n v="53"/>
    <s v="Male"/>
    <s v="Brazil"/>
    <x v="0"/>
    <s v="Lower_middle"/>
    <s v="Freelancer"/>
    <s v="Some_college"/>
    <s v="Single"/>
    <s v="No"/>
    <s v="Seniors"/>
  </r>
  <r>
    <x v="279"/>
    <s v="Instagram"/>
    <n v="45"/>
    <s v="Female"/>
    <s v="India"/>
    <x v="1"/>
    <s v="Middle"/>
    <s v="Full_time_employed"/>
    <s v="Bachelors_degree"/>
    <s v="Single"/>
    <s v="Yes"/>
    <s v="Mid_Adults"/>
  </r>
  <r>
    <x v="280"/>
    <s v="Instagram"/>
    <n v="52"/>
    <s v="Male"/>
    <s v="South_Korea"/>
    <x v="1"/>
    <s v="Upper_middle"/>
    <s v="Student"/>
    <s v="Bachelors_degree"/>
    <s v="Single"/>
    <s v="No"/>
    <s v="Seniors"/>
  </r>
  <r>
    <x v="281"/>
    <s v="Instagram"/>
    <n v="51"/>
    <s v="Male"/>
    <s v="Japan"/>
    <x v="2"/>
    <s v="Upper_middle"/>
    <s v="Student"/>
    <s v="High_school"/>
    <s v="Single"/>
    <s v="No"/>
    <s v="Seniors"/>
  </r>
  <r>
    <x v="282"/>
    <s v="Instagram"/>
    <n v="30"/>
    <s v="Female"/>
    <s v="United_States"/>
    <x v="0"/>
    <s v="Lower_middle"/>
    <s v="Unemployed"/>
    <s v="Masters_degree"/>
    <s v="Single"/>
    <s v="No"/>
    <s v="Young_Adults"/>
  </r>
  <r>
    <x v="283"/>
    <s v="Instagram"/>
    <n v="52"/>
    <s v="Male"/>
    <s v="South_Korea"/>
    <x v="0"/>
    <s v="Low"/>
    <s v="Retired"/>
    <s v="Bachelors_degree"/>
    <s v="Single"/>
    <s v="Yes"/>
    <s v="Seniors"/>
  </r>
  <r>
    <x v="284"/>
    <s v="Instagram"/>
    <n v="13"/>
    <s v="Male"/>
    <s v="Other"/>
    <x v="2"/>
    <s v="Upper_middle"/>
    <s v="Full_time_employed"/>
    <s v="Bachelors_degree"/>
    <s v="Married"/>
    <s v="Yes"/>
    <s v="Under_18"/>
  </r>
  <r>
    <x v="285"/>
    <s v="Instagram"/>
    <n v="23"/>
    <s v="Male"/>
    <s v="India"/>
    <x v="1"/>
    <s v="Middle"/>
    <s v="Freelancer"/>
    <s v="High_school"/>
    <s v="Single"/>
    <s v="Yes"/>
    <s v="Youth"/>
  </r>
  <r>
    <x v="286"/>
    <s v="Instagram"/>
    <n v="40"/>
    <s v="Male"/>
    <s v="Japan"/>
    <x v="0"/>
    <s v="Low"/>
    <s v="Student"/>
    <s v="Masters_degree"/>
    <s v="In_a_relationship"/>
    <s v="No"/>
    <s v="Mid_Adults"/>
  </r>
  <r>
    <x v="287"/>
    <s v="Instagram"/>
    <n v="37"/>
    <s v="Male"/>
    <s v="Other"/>
    <x v="0"/>
    <s v="Lower_middle"/>
    <s v="Full_time_employed"/>
    <s v="Some_college"/>
    <s v="In_a_relationship"/>
    <s v="No"/>
    <s v="Mid_Adults"/>
  </r>
  <r>
    <x v="288"/>
    <s v="Instagram"/>
    <n v="62"/>
    <s v="Male"/>
    <s v="Canada"/>
    <x v="2"/>
    <s v="Upper_middle"/>
    <s v="Full_time_employed"/>
    <s v="High_school"/>
    <s v="Single"/>
    <s v="No"/>
    <s v="Seniors"/>
  </r>
  <r>
    <x v="289"/>
    <s v="Instagram"/>
    <n v="35"/>
    <s v="Male"/>
    <s v="South_Korea"/>
    <x v="2"/>
    <s v="Middle"/>
    <s v="Student"/>
    <s v="Some_college"/>
    <s v="Married"/>
    <s v="Yes"/>
    <s v="Young_Adults"/>
  </r>
  <r>
    <x v="290"/>
    <s v="Instagram"/>
    <n v="43"/>
    <s v="Non_binary"/>
    <s v="India"/>
    <x v="0"/>
    <s v="Lower_middle"/>
    <s v="Full_time_employed"/>
    <s v="Some_college"/>
    <s v="Divorced"/>
    <s v="No"/>
    <s v="Mid_Adults"/>
  </r>
  <r>
    <x v="291"/>
    <s v="Instagram"/>
    <n v="42"/>
    <s v="Female"/>
    <s v="South_Korea"/>
    <x v="1"/>
    <s v="Upper_middle"/>
    <s v="Full_time_employed"/>
    <s v="Bachelors_degree"/>
    <s v="Single"/>
    <s v="Yes"/>
    <s v="Mid_Adults"/>
  </r>
  <r>
    <x v="292"/>
    <s v="Instagram"/>
    <n v="54"/>
    <s v="Male"/>
    <s v="Germany"/>
    <x v="0"/>
    <s v="Low"/>
    <s v="Full_time_employed"/>
    <s v="Masters_degree"/>
    <s v="In_a_relationship"/>
    <s v="Yes"/>
    <s v="Seniors"/>
  </r>
  <r>
    <x v="293"/>
    <s v="Instagram"/>
    <n v="47"/>
    <s v="Male"/>
    <s v="South_Korea"/>
    <x v="2"/>
    <s v="Upper_middle"/>
    <s v="Freelancer"/>
    <s v="High_school"/>
    <s v="Divorced"/>
    <s v="No"/>
    <s v="Seniors"/>
  </r>
  <r>
    <x v="294"/>
    <s v="Instagram"/>
    <n v="19"/>
    <s v="Male"/>
    <s v="United_States"/>
    <x v="0"/>
    <s v="Lower_middle"/>
    <s v="Freelancer"/>
    <s v="Some_college"/>
    <s v="Single"/>
    <s v="No"/>
    <s v="Youth"/>
  </r>
  <r>
    <x v="295"/>
    <s v="Instagram"/>
    <n v="28"/>
    <s v="Female"/>
    <s v="Brazil"/>
    <x v="2"/>
    <s v="Middle"/>
    <s v="Part_time"/>
    <s v="Some_college"/>
    <s v="Married"/>
    <s v="No"/>
    <s v="Young_Adults"/>
  </r>
  <r>
    <x v="296"/>
    <s v="Instagram"/>
    <n v="38"/>
    <s v="Male"/>
    <s v="Other"/>
    <x v="0"/>
    <s v="High"/>
    <s v="Unemployed"/>
    <s v="Bachelors_degree"/>
    <s v="In_a_relationship"/>
    <s v="No"/>
    <s v="Mid_Adults"/>
  </r>
  <r>
    <x v="297"/>
    <s v="Instagram"/>
    <n v="60"/>
    <s v="Male"/>
    <s v="Canada"/>
    <x v="2"/>
    <s v="Low"/>
    <s v="Full_time_employed"/>
    <s v="Masters_degree"/>
    <s v="Divorced"/>
    <s v="No"/>
    <s v="Seniors"/>
  </r>
  <r>
    <x v="298"/>
    <s v="Instagram"/>
    <n v="64"/>
    <s v="Female"/>
    <s v="Other"/>
    <x v="1"/>
    <s v="High"/>
    <s v="Freelancer"/>
    <s v="Bachelors_degree"/>
    <s v="Single"/>
    <s v="No"/>
    <s v="Seniors"/>
  </r>
  <r>
    <x v="299"/>
    <s v="Instagram"/>
    <n v="61"/>
    <s v="Male"/>
    <s v="Germany"/>
    <x v="1"/>
    <s v="High"/>
    <s v="Full_time_employed"/>
    <s v="Bachelors_degree"/>
    <s v="Divorced"/>
    <s v="No"/>
    <s v="Seniors"/>
  </r>
  <r>
    <x v="300"/>
    <s v="Instagram"/>
    <n v="14"/>
    <s v="Non_binary"/>
    <s v="United_States"/>
    <x v="0"/>
    <s v="Lower_middle"/>
    <s v="Student"/>
    <s v="High_school"/>
    <s v="Single"/>
    <s v="Yes"/>
    <s v="Under_18"/>
  </r>
  <r>
    <x v="301"/>
    <s v="Instagram"/>
    <n v="13"/>
    <s v="Female"/>
    <s v="United _Kingdom"/>
    <x v="1"/>
    <s v="Upper_middle"/>
    <s v="Student"/>
    <s v="Bachelors_degree"/>
    <s v="In_a_relationship"/>
    <s v="No"/>
    <s v="Under_18"/>
  </r>
  <r>
    <x v="302"/>
    <s v="Instagram"/>
    <n v="60"/>
    <s v="Male"/>
    <s v="Germany"/>
    <x v="1"/>
    <s v="Low"/>
    <s v="Student"/>
    <s v="Masters_degree"/>
    <s v="Married"/>
    <s v="No"/>
    <s v="Seniors"/>
  </r>
  <r>
    <x v="303"/>
    <s v="Instagram"/>
    <n v="24"/>
    <s v="Male"/>
    <s v="India"/>
    <x v="1"/>
    <s v="Middle"/>
    <s v="Student"/>
    <s v="High_school"/>
    <s v="Married"/>
    <s v="No"/>
    <s v="Youth"/>
  </r>
  <r>
    <x v="304"/>
    <s v="Instagram"/>
    <n v="17"/>
    <s v="Female"/>
    <s v="Brazil"/>
    <x v="0"/>
    <s v="Middle"/>
    <s v="Unemployed"/>
    <s v="High_school"/>
    <s v="In_a_relationship"/>
    <s v="No"/>
    <s v="Under_18"/>
  </r>
  <r>
    <x v="305"/>
    <s v="Instagram"/>
    <n v="49"/>
    <s v="Female"/>
    <s v="Brazil"/>
    <x v="2"/>
    <s v="Middle"/>
    <s v="Freelancer"/>
    <s v="Bachelors_degree"/>
    <s v="Single"/>
    <s v="Yes"/>
    <s v="Seniors"/>
  </r>
  <r>
    <x v="306"/>
    <s v="Instagram"/>
    <n v="44"/>
    <s v="Male"/>
    <s v="South_Korea"/>
    <x v="2"/>
    <s v="Low"/>
    <s v="Full_time_employed"/>
    <s v="Some_college"/>
    <s v="Single"/>
    <s v="No"/>
    <s v="Mid_Adults"/>
  </r>
  <r>
    <x v="307"/>
    <s v="Instagram"/>
    <n v="21"/>
    <s v="Female"/>
    <s v="India"/>
    <x v="0"/>
    <s v="High"/>
    <s v="Student"/>
    <s v="High_school"/>
    <s v="In_a_relationship"/>
    <s v="No"/>
    <s v="Youth"/>
  </r>
  <r>
    <x v="308"/>
    <s v="Instagram"/>
    <n v="53"/>
    <s v="Male"/>
    <s v="India"/>
    <x v="0"/>
    <s v="High"/>
    <s v="Full_time_employed"/>
    <s v="High_school"/>
    <s v="Married"/>
    <s v="No"/>
    <s v="Seniors"/>
  </r>
  <r>
    <x v="309"/>
    <s v="Instagram"/>
    <n v="47"/>
    <s v="Male"/>
    <s v="Australia"/>
    <x v="1"/>
    <s v="Lower_middle"/>
    <s v="Full_time_employed"/>
    <s v="High_school"/>
    <s v="Single"/>
    <s v="No"/>
    <s v="Seniors"/>
  </r>
  <r>
    <x v="310"/>
    <s v="Instagram"/>
    <n v="31"/>
    <s v="Male"/>
    <s v="United_States"/>
    <x v="2"/>
    <s v="Low"/>
    <s v="Freelancer"/>
    <s v="High_school"/>
    <s v="Single"/>
    <s v="No"/>
    <s v="Young_Adults"/>
  </r>
  <r>
    <x v="311"/>
    <s v="Instagram"/>
    <n v="60"/>
    <s v="Female"/>
    <s v="Canada"/>
    <x v="2"/>
    <s v="Upper_middle"/>
    <s v="Full_time_employed"/>
    <s v="High_school"/>
    <s v="Divorced"/>
    <s v="No"/>
    <s v="Seniors"/>
  </r>
  <r>
    <x v="312"/>
    <s v="Instagram"/>
    <n v="28"/>
    <s v="Male"/>
    <s v="Other"/>
    <x v="1"/>
    <s v="Low"/>
    <s v="Full_time_employed"/>
    <s v="Bachelors_degree"/>
    <s v="Married"/>
    <s v="Yes"/>
    <s v="Young_Adults"/>
  </r>
  <r>
    <x v="313"/>
    <s v="Instagram"/>
    <n v="15"/>
    <s v="Male"/>
    <s v="Brazil"/>
    <x v="2"/>
    <s v="Low"/>
    <s v="Full_time_employed"/>
    <s v="High_school"/>
    <s v="Married"/>
    <s v="No"/>
    <s v="Under_18"/>
  </r>
  <r>
    <x v="314"/>
    <s v="Instagram"/>
    <n v="32"/>
    <s v="Male"/>
    <s v="Japan"/>
    <x v="1"/>
    <s v="Low"/>
    <s v="Full_time_employed"/>
    <s v="Some_college"/>
    <s v="Married"/>
    <s v="No"/>
    <s v="Young_Adults"/>
  </r>
  <r>
    <x v="315"/>
    <s v="Instagram"/>
    <n v="36"/>
    <s v="Female"/>
    <s v="United_States"/>
    <x v="1"/>
    <s v="Low"/>
    <s v="Student"/>
    <s v="Masters_degree"/>
    <s v="Single"/>
    <s v="Yes"/>
    <s v="Mid_Adults"/>
  </r>
  <r>
    <x v="316"/>
    <s v="Instagram"/>
    <n v="45"/>
    <s v="Female"/>
    <s v="Japan"/>
    <x v="1"/>
    <s v="Low"/>
    <s v="Full_time_employed"/>
    <s v="High_school"/>
    <s v="Single"/>
    <s v="No"/>
    <s v="Mid_Adults"/>
  </r>
  <r>
    <x v="317"/>
    <s v="Instagram"/>
    <n v="36"/>
    <s v="Male"/>
    <s v="Germany"/>
    <x v="2"/>
    <s v="Middle"/>
    <s v="Unemployed"/>
    <s v="High_school"/>
    <s v="Married"/>
    <s v="No"/>
    <s v="Mid_Adults"/>
  </r>
  <r>
    <x v="318"/>
    <s v="Instagram"/>
    <n v="64"/>
    <s v="Male"/>
    <s v="India"/>
    <x v="1"/>
    <s v="Low"/>
    <s v="Part_time"/>
    <s v="Masters_degree"/>
    <s v="In_a_relationship"/>
    <s v="No"/>
    <s v="Seniors"/>
  </r>
  <r>
    <x v="319"/>
    <s v="Instagram"/>
    <n v="23"/>
    <s v="Female"/>
    <s v="Brazil"/>
    <x v="1"/>
    <s v="Middle"/>
    <s v="Full_time_employed"/>
    <s v="Some_college"/>
    <s v="In_a_relationship"/>
    <s v="Yes"/>
    <s v="Youth"/>
  </r>
  <r>
    <x v="320"/>
    <s v="Instagram"/>
    <n v="61"/>
    <s v="Female"/>
    <s v="United_States"/>
    <x v="2"/>
    <s v="Middle"/>
    <s v="Full_time_employed"/>
    <s v="Other"/>
    <s v="In_a_relationship"/>
    <s v="No"/>
    <s v="Seniors"/>
  </r>
  <r>
    <x v="321"/>
    <s v="Instagram"/>
    <n v="20"/>
    <s v="Female"/>
    <s v="Other"/>
    <x v="1"/>
    <s v="Lower_middle"/>
    <s v="Full_time_employed"/>
    <s v="High_school"/>
    <s v="Divorced"/>
    <s v="No"/>
    <s v="Youth"/>
  </r>
  <r>
    <x v="322"/>
    <s v="Instagram"/>
    <n v="48"/>
    <s v="Male"/>
    <s v="Japan"/>
    <x v="1"/>
    <s v="Lower_middle"/>
    <s v="Part_time"/>
    <s v="Bachelors_degree"/>
    <s v="Single"/>
    <s v="No"/>
    <s v="Seniors"/>
  </r>
  <r>
    <x v="323"/>
    <s v="Instagram"/>
    <n v="50"/>
    <s v="Female"/>
    <s v="South_Korea"/>
    <x v="0"/>
    <s v="Low"/>
    <s v="Freelancer"/>
    <s v="Bachelors_degree"/>
    <s v="In_a_relationship"/>
    <s v="No"/>
    <s v="Seniors"/>
  </r>
  <r>
    <x v="324"/>
    <s v="Instagram"/>
    <n v="52"/>
    <s v="Male"/>
    <s v="India"/>
    <x v="0"/>
    <s v="Lower_middle"/>
    <s v="Unemployed"/>
    <s v="Some_college"/>
    <s v="Single"/>
    <s v="Yes"/>
    <s v="Seniors"/>
  </r>
  <r>
    <x v="325"/>
    <s v="Instagram"/>
    <n v="32"/>
    <s v="Male"/>
    <s v="India"/>
    <x v="1"/>
    <s v="Lower_middle"/>
    <s v="Unemployed"/>
    <s v="Bachelors_degree"/>
    <s v="In_a_relationship"/>
    <s v="No"/>
    <s v="Young_Adults"/>
  </r>
  <r>
    <x v="326"/>
    <s v="Instagram"/>
    <n v="47"/>
    <s v="Male"/>
    <s v="Other"/>
    <x v="1"/>
    <s v="Middle"/>
    <s v="Part_time"/>
    <s v="Masters_degree"/>
    <s v="Married"/>
    <s v="No"/>
    <s v="Seniors"/>
  </r>
  <r>
    <x v="327"/>
    <s v="Instagram"/>
    <n v="60"/>
    <s v="Male"/>
    <s v="Canada"/>
    <x v="0"/>
    <s v="Lower_middle"/>
    <s v="Student"/>
    <s v="Masters_degree"/>
    <s v="Single"/>
    <s v="No"/>
    <s v="Seniors"/>
  </r>
  <r>
    <x v="328"/>
    <s v="Instagram"/>
    <n v="37"/>
    <s v="Female"/>
    <s v="Japan"/>
    <x v="2"/>
    <s v="Middle"/>
    <s v="Student"/>
    <s v="Some_college"/>
    <s v="Married"/>
    <s v="No"/>
    <s v="Mid_Adults"/>
  </r>
  <r>
    <x v="329"/>
    <s v="Instagram"/>
    <n v="47"/>
    <s v="Female"/>
    <s v="India"/>
    <x v="2"/>
    <s v="Lower_middle"/>
    <s v="Student"/>
    <s v="Bachelors_degree"/>
    <s v="Single"/>
    <s v="No"/>
    <s v="Seniors"/>
  </r>
  <r>
    <x v="330"/>
    <s v="Instagram"/>
    <n v="37"/>
    <s v="Female"/>
    <s v="Brazil"/>
    <x v="1"/>
    <s v="Lower_middle"/>
    <s v="Full_time_employed"/>
    <s v="Some_college"/>
    <s v="In_a_relationship"/>
    <s v="No"/>
    <s v="Mid_Adults"/>
  </r>
  <r>
    <x v="331"/>
    <s v="Instagram"/>
    <n v="41"/>
    <s v="Non_binary"/>
    <s v="United _Kingdom"/>
    <x v="2"/>
    <s v="High"/>
    <s v="Freelancer"/>
    <s v="Bachelors_degree"/>
    <s v="Single"/>
    <s v="Yes"/>
    <s v="Mid_Adults"/>
  </r>
  <r>
    <x v="332"/>
    <s v="Instagram"/>
    <n v="30"/>
    <s v="Female"/>
    <s v="India"/>
    <x v="1"/>
    <s v="Middle"/>
    <s v="Full_time_employed"/>
    <s v="Masters_degree"/>
    <s v="Single"/>
    <s v="No"/>
    <s v="Young_Adults"/>
  </r>
  <r>
    <x v="333"/>
    <s v="Instagram"/>
    <n v="58"/>
    <s v="Female"/>
    <s v="United_States"/>
    <x v="2"/>
    <s v="Lower_middle"/>
    <s v="Student"/>
    <s v="High_school"/>
    <s v="Single"/>
    <s v="No"/>
    <s v="Seniors"/>
  </r>
  <r>
    <x v="334"/>
    <s v="Instagram"/>
    <n v="30"/>
    <s v="Female"/>
    <s v="United_States"/>
    <x v="1"/>
    <s v="Middle"/>
    <s v="Full_time_employed"/>
    <s v="High_school"/>
    <s v="Single"/>
    <s v="No"/>
    <s v="Young_Adults"/>
  </r>
  <r>
    <x v="335"/>
    <s v="Instagram"/>
    <n v="14"/>
    <s v="Female"/>
    <s v="Brazil"/>
    <x v="0"/>
    <s v="Low"/>
    <s v="Full_time_employed"/>
    <s v="PhD"/>
    <s v="Single"/>
    <s v="No"/>
    <s v="Under_18"/>
  </r>
  <r>
    <x v="336"/>
    <s v="Instagram"/>
    <n v="47"/>
    <s v="Female"/>
    <s v="United_States"/>
    <x v="0"/>
    <s v="Lower_middle"/>
    <s v="Student"/>
    <s v="Bachelors_degree"/>
    <s v="Married"/>
    <s v="Yes"/>
    <s v="Seniors"/>
  </r>
  <r>
    <x v="337"/>
    <s v="Instagram"/>
    <n v="28"/>
    <s v="Male"/>
    <s v="United_States"/>
    <x v="2"/>
    <s v="Low"/>
    <s v="Full_time_employed"/>
    <s v="Bachelors_degree"/>
    <s v="Married"/>
    <s v="Yes"/>
    <s v="Young_Adults"/>
  </r>
  <r>
    <x v="338"/>
    <s v="Instagram"/>
    <n v="53"/>
    <s v="Male"/>
    <s v="India"/>
    <x v="0"/>
    <s v="Middle"/>
    <s v="Full_time_employed"/>
    <s v="PhD"/>
    <s v="Single"/>
    <s v="No"/>
    <s v="Seniors"/>
  </r>
  <r>
    <x v="339"/>
    <s v="Instagram"/>
    <n v="48"/>
    <s v="Male"/>
    <s v="Brazil"/>
    <x v="1"/>
    <s v="Middle"/>
    <s v="Full_time_employed"/>
    <s v="PhD"/>
    <s v="Married"/>
    <s v="No"/>
    <s v="Seniors"/>
  </r>
  <r>
    <x v="340"/>
    <s v="Instagram"/>
    <n v="45"/>
    <s v="Male"/>
    <s v="India"/>
    <x v="1"/>
    <s v="Upper_middle"/>
    <s v="Full_time_employed"/>
    <s v="Bachelors_degree"/>
    <s v="Single"/>
    <s v="Yes"/>
    <s v="Mid_Adults"/>
  </r>
  <r>
    <x v="341"/>
    <s v="Instagram"/>
    <n v="16"/>
    <s v="Female"/>
    <s v="United_States"/>
    <x v="2"/>
    <s v="Middle"/>
    <s v="Part_time"/>
    <s v="High_school"/>
    <s v="In_a_relationship"/>
    <s v="No"/>
    <s v="Under_18"/>
  </r>
  <r>
    <x v="342"/>
    <s v="Instagram"/>
    <n v="45"/>
    <s v="Male"/>
    <s v="Canada"/>
    <x v="2"/>
    <s v="Middle"/>
    <s v="Student"/>
    <s v="High_school"/>
    <s v="Married"/>
    <s v="No"/>
    <s v="Mid_Adults"/>
  </r>
  <r>
    <x v="343"/>
    <s v="Instagram"/>
    <n v="26"/>
    <s v="Female"/>
    <s v="South_Korea"/>
    <x v="0"/>
    <s v="Low"/>
    <s v="Full_time_employed"/>
    <s v="Masters_degree"/>
    <s v="In_a_relationship"/>
    <s v="No"/>
    <s v="Young_Adults"/>
  </r>
  <r>
    <x v="344"/>
    <s v="Instagram"/>
    <n v="33"/>
    <s v="Male"/>
    <s v="Germany"/>
    <x v="2"/>
    <s v="Low"/>
    <s v="Student"/>
    <s v="High_school"/>
    <s v="In_a_relationship"/>
    <s v="No"/>
    <s v="Young_Adults"/>
  </r>
  <r>
    <x v="345"/>
    <s v="Instagram"/>
    <n v="60"/>
    <s v="Female"/>
    <s v="Other"/>
    <x v="2"/>
    <s v="Upper_middle"/>
    <s v="Full_time_employed"/>
    <s v="PhD"/>
    <s v="Divorced"/>
    <s v="No"/>
    <s v="Seniors"/>
  </r>
  <r>
    <x v="346"/>
    <s v="Instagram"/>
    <n v="32"/>
    <s v="Female"/>
    <s v="United_States"/>
    <x v="2"/>
    <s v="Middle"/>
    <s v="Unemployed"/>
    <s v="High_school"/>
    <s v="Single"/>
    <s v="No"/>
    <s v="Young_Adults"/>
  </r>
  <r>
    <x v="347"/>
    <s v="Instagram"/>
    <n v="20"/>
    <s v="Female"/>
    <s v="Australia"/>
    <x v="2"/>
    <s v="Low"/>
    <s v="Student"/>
    <s v="Bachelors_degree"/>
    <s v="Divorced"/>
    <s v="No"/>
    <s v="Youth"/>
  </r>
  <r>
    <x v="348"/>
    <s v="Instagram"/>
    <n v="19"/>
    <s v="Male"/>
    <s v="Canada"/>
    <x v="2"/>
    <s v="High"/>
    <s v="Full_time_employed"/>
    <s v="Some_college"/>
    <s v="In_a_relationship"/>
    <s v="Yes"/>
    <s v="Youth"/>
  </r>
  <r>
    <x v="349"/>
    <s v="Instagram"/>
    <n v="15"/>
    <s v="Female"/>
    <s v="Brazil"/>
    <x v="2"/>
    <s v="Middle"/>
    <s v="Unemployed"/>
    <s v="Bachelors_degree"/>
    <s v="In_a_relationship"/>
    <s v="No"/>
    <s v="Under_18"/>
  </r>
  <r>
    <x v="350"/>
    <s v="Instagram"/>
    <n v="29"/>
    <s v="Male"/>
    <s v="United_States"/>
    <x v="2"/>
    <s v="Lower_middle"/>
    <s v="Full_time_employed"/>
    <s v="Some_college"/>
    <s v="In_a_relationship"/>
    <s v="No"/>
    <s v="Young_Adults"/>
  </r>
  <r>
    <x v="351"/>
    <s v="Instagram"/>
    <n v="45"/>
    <s v="Female"/>
    <s v="Australia"/>
    <x v="2"/>
    <s v="Upper_middle"/>
    <s v="Student"/>
    <s v="Bachelors_degree"/>
    <s v="Single"/>
    <s v="No"/>
    <s v="Mid_Adults"/>
  </r>
  <r>
    <x v="352"/>
    <s v="Instagram"/>
    <n v="60"/>
    <s v="Female"/>
    <s v="Brazil"/>
    <x v="1"/>
    <s v="Lower_middle"/>
    <s v="Full_time_employed"/>
    <s v="High_school"/>
    <s v="In_a_relationship"/>
    <s v="No"/>
    <s v="Seniors"/>
  </r>
  <r>
    <x v="353"/>
    <s v="Instagram"/>
    <n v="24"/>
    <s v="Male"/>
    <s v="Brazil"/>
    <x v="2"/>
    <s v="Middle"/>
    <s v="Unemployed"/>
    <s v="Bachelors_degree"/>
    <s v="Single"/>
    <s v="No"/>
    <s v="Youth"/>
  </r>
  <r>
    <x v="354"/>
    <s v="Instagram"/>
    <n v="63"/>
    <s v="Male"/>
    <s v="United_States"/>
    <x v="2"/>
    <s v="Upper_middle"/>
    <s v="Full_time_employed"/>
    <s v="Bachelors_degree"/>
    <s v="In_a_relationship"/>
    <s v="Yes"/>
    <s v="Seniors"/>
  </r>
  <r>
    <x v="355"/>
    <s v="Instagram"/>
    <n v="34"/>
    <s v="Male"/>
    <s v="United _Kingdom"/>
    <x v="2"/>
    <s v="Upper_middle"/>
    <s v="Freelancer"/>
    <s v="Some_college"/>
    <s v="Single"/>
    <s v="No"/>
    <s v="Young_Adults"/>
  </r>
  <r>
    <x v="356"/>
    <s v="Instagram"/>
    <n v="34"/>
    <s v="Female"/>
    <s v="United_States"/>
    <x v="0"/>
    <s v="High"/>
    <s v="Full_time_employed"/>
    <s v="High_school"/>
    <s v="In_a_relationship"/>
    <s v="No"/>
    <s v="Young_Adults"/>
  </r>
  <r>
    <x v="357"/>
    <s v="Instagram"/>
    <n v="58"/>
    <s v="Female"/>
    <s v="Other"/>
    <x v="2"/>
    <s v="Middle"/>
    <s v="Freelancer"/>
    <s v="Bachelors_degree"/>
    <s v="Married"/>
    <s v="No"/>
    <s v="Seniors"/>
  </r>
  <r>
    <x v="358"/>
    <s v="Instagram"/>
    <n v="42"/>
    <s v="Female"/>
    <s v="Australia"/>
    <x v="0"/>
    <s v="Lower_middle"/>
    <s v="Full_time_employed"/>
    <s v="PhD"/>
    <s v="Single"/>
    <s v="Yes"/>
    <s v="Mid_Adults"/>
  </r>
  <r>
    <x v="359"/>
    <s v="Instagram"/>
    <n v="50"/>
    <s v="Male"/>
    <s v="Other"/>
    <x v="1"/>
    <s v="Low"/>
    <s v="Full_time_employed"/>
    <s v="High_school"/>
    <s v="Married"/>
    <s v="No"/>
    <s v="Seniors"/>
  </r>
  <r>
    <x v="360"/>
    <s v="Instagram"/>
    <n v="50"/>
    <s v="Male"/>
    <s v="India"/>
    <x v="2"/>
    <s v="Middle"/>
    <s v="Full_time_employed"/>
    <s v="High_school"/>
    <s v="Single"/>
    <s v="No"/>
    <s v="Seniors"/>
  </r>
  <r>
    <x v="361"/>
    <s v="Instagram"/>
    <n v="57"/>
    <s v="Female"/>
    <s v="United_States"/>
    <x v="2"/>
    <s v="Lower_middle"/>
    <s v="Student"/>
    <s v="Some_college"/>
    <s v="Single"/>
    <s v="No"/>
    <s v="Seniors"/>
  </r>
  <r>
    <x v="362"/>
    <s v="Instagram"/>
    <n v="63"/>
    <s v="Male"/>
    <s v="South_Korea"/>
    <x v="0"/>
    <s v="Lower_middle"/>
    <s v="Full_time_employed"/>
    <s v="Bachelors_degree"/>
    <s v="Single"/>
    <s v="No"/>
    <s v="Seniors"/>
  </r>
  <r>
    <x v="363"/>
    <s v="Instagram"/>
    <n v="20"/>
    <s v="Female"/>
    <s v="South_Korea"/>
    <x v="1"/>
    <s v="Middle"/>
    <s v="Unemployed"/>
    <s v="Bachelors_degree"/>
    <s v="Single"/>
    <s v="Yes"/>
    <s v="Youth"/>
  </r>
  <r>
    <x v="364"/>
    <s v="Instagram"/>
    <n v="39"/>
    <s v="Male"/>
    <s v="Brazil"/>
    <x v="1"/>
    <s v="Middle"/>
    <s v="Student"/>
    <s v="High_school"/>
    <s v="Single"/>
    <s v="No"/>
    <s v="Mid_Adults"/>
  </r>
  <r>
    <x v="365"/>
    <s v="Instagram"/>
    <n v="39"/>
    <s v="Female"/>
    <s v="India"/>
    <x v="2"/>
    <s v="Lower_middle"/>
    <s v="Full_time_employed"/>
    <s v="Some_college"/>
    <s v="Single"/>
    <s v="No"/>
    <s v="Mid_Adults"/>
  </r>
  <r>
    <x v="366"/>
    <s v="Instagram"/>
    <n v="46"/>
    <s v="Male"/>
    <s v="United _Kingdom"/>
    <x v="1"/>
    <s v="Upper_middle"/>
    <s v="Full_time_employed"/>
    <s v="Bachelors_degree"/>
    <s v="Single"/>
    <s v="No"/>
    <s v="Seniors"/>
  </r>
  <r>
    <x v="367"/>
    <s v="Instagram"/>
    <n v="33"/>
    <s v="Male"/>
    <s v="United _Kingdom"/>
    <x v="1"/>
    <s v="Low"/>
    <s v="Student"/>
    <s v="High_school"/>
    <s v="Married"/>
    <s v="No"/>
    <s v="Young_Adults"/>
  </r>
  <r>
    <x v="368"/>
    <s v="Instagram"/>
    <n v="42"/>
    <s v="Female"/>
    <s v="United_States"/>
    <x v="1"/>
    <s v="Upper_middle"/>
    <s v="Unemployed"/>
    <s v="High_school"/>
    <s v="Married"/>
    <s v="No"/>
    <s v="Mid_Adults"/>
  </r>
  <r>
    <x v="369"/>
    <s v="Instagram"/>
    <n v="45"/>
    <s v="Male"/>
    <s v="United _Kingdom"/>
    <x v="0"/>
    <s v="Low"/>
    <s v="Freelancer"/>
    <s v="High_school"/>
    <s v="Single"/>
    <s v="No"/>
    <s v="Mid_Adults"/>
  </r>
  <r>
    <x v="370"/>
    <s v="Instagram"/>
    <n v="40"/>
    <s v="Female"/>
    <s v="India"/>
    <x v="1"/>
    <s v="Upper_middle"/>
    <s v="Full_time_employed"/>
    <s v="High_school"/>
    <s v="Married"/>
    <s v="No"/>
    <s v="Mid_Adults"/>
  </r>
  <r>
    <x v="371"/>
    <s v="Instagram"/>
    <n v="59"/>
    <s v="Male"/>
    <s v="United_States"/>
    <x v="1"/>
    <s v="Middle"/>
    <s v="Freelancer"/>
    <s v="Some_college"/>
    <s v="Married"/>
    <s v="No"/>
    <s v="Seniors"/>
  </r>
  <r>
    <x v="372"/>
    <s v="Instagram"/>
    <n v="45"/>
    <s v="Male"/>
    <s v="Germany"/>
    <x v="1"/>
    <s v="Upper_middle"/>
    <s v="Full_time_employed"/>
    <s v="Bachelors_degree"/>
    <s v="Widowed"/>
    <s v="No"/>
    <s v="Mid_Adults"/>
  </r>
  <r>
    <x v="373"/>
    <s v="Instagram"/>
    <n v="17"/>
    <s v="Female"/>
    <s v="South_Korea"/>
    <x v="1"/>
    <s v="Low"/>
    <s v="Student"/>
    <s v="Masters_degree"/>
    <s v="Single"/>
    <s v="Yes"/>
    <s v="Under_18"/>
  </r>
  <r>
    <x v="374"/>
    <s v="Instagram"/>
    <n v="60"/>
    <s v="Male"/>
    <s v="India"/>
    <x v="1"/>
    <s v="Middle"/>
    <s v="Full_time_employed"/>
    <s v="Bachelors_degree"/>
    <s v="In_a_relationship"/>
    <s v="No"/>
    <s v="Seniors"/>
  </r>
  <r>
    <x v="375"/>
    <s v="Instagram"/>
    <n v="31"/>
    <s v="Female"/>
    <s v="India"/>
    <x v="0"/>
    <s v="Low"/>
    <s v="Full_time_employed"/>
    <s v="Some_college"/>
    <s v="Single"/>
    <s v="No"/>
    <s v="Young_Adults"/>
  </r>
  <r>
    <x v="376"/>
    <s v="Instagram"/>
    <n v="16"/>
    <s v="Male"/>
    <s v="United _Kingdom"/>
    <x v="1"/>
    <s v="Middle"/>
    <s v="Freelancer"/>
    <s v="Masters_degree"/>
    <s v="Married"/>
    <s v="No"/>
    <s v="Under_18"/>
  </r>
  <r>
    <x v="377"/>
    <s v="Instagram"/>
    <n v="47"/>
    <s v="Female"/>
    <s v="South_Korea"/>
    <x v="2"/>
    <s v="Middle"/>
    <s v="Student"/>
    <s v="Bachelors_degree"/>
    <s v="Single"/>
    <s v="No"/>
    <s v="Seniors"/>
  </r>
  <r>
    <x v="378"/>
    <s v="Instagram"/>
    <n v="61"/>
    <s v="Male"/>
    <s v="Brazil"/>
    <x v="1"/>
    <s v="Middle"/>
    <s v="Student"/>
    <s v="PhD"/>
    <s v="In_a_relationship"/>
    <s v="Yes"/>
    <s v="Seniors"/>
  </r>
  <r>
    <x v="379"/>
    <s v="Instagram"/>
    <n v="29"/>
    <s v="Male"/>
    <s v="India"/>
    <x v="1"/>
    <s v="Lower_middle"/>
    <s v="Full_time_employed"/>
    <s v="High_school"/>
    <s v="Single"/>
    <s v="No"/>
    <s v="Young_Adults"/>
  </r>
  <r>
    <x v="380"/>
    <s v="Instagram"/>
    <n v="56"/>
    <s v="Male"/>
    <s v="Brazil"/>
    <x v="1"/>
    <s v="Upper_middle"/>
    <s v="Unemployed"/>
    <s v="Bachelors_degree"/>
    <s v="In_a_relationship"/>
    <s v="Yes"/>
    <s v="Seniors"/>
  </r>
  <r>
    <x v="381"/>
    <s v="Instagram"/>
    <n v="40"/>
    <s v="Male"/>
    <s v="United_States"/>
    <x v="2"/>
    <s v="Middle"/>
    <s v="Full_time_employed"/>
    <s v="Bachelors_degree"/>
    <s v="Single"/>
    <s v="Yes"/>
    <s v="Mid_Adults"/>
  </r>
  <r>
    <x v="382"/>
    <s v="Instagram"/>
    <n v="42"/>
    <s v="Male"/>
    <s v="Brazil"/>
    <x v="1"/>
    <s v="Lower_middle"/>
    <s v="Student"/>
    <s v="Some_college"/>
    <s v="Married"/>
    <s v="No"/>
    <s v="Mid_Adults"/>
  </r>
  <r>
    <x v="383"/>
    <s v="Instagram"/>
    <n v="41"/>
    <s v="Female"/>
    <s v="India"/>
    <x v="1"/>
    <s v="Low"/>
    <s v="Student"/>
    <s v="High_school"/>
    <s v="Divorced"/>
    <s v="Yes"/>
    <s v="Mid_Adults"/>
  </r>
  <r>
    <x v="384"/>
    <s v="Instagram"/>
    <n v="58"/>
    <s v="Male"/>
    <s v="Canada"/>
    <x v="1"/>
    <s v="Low"/>
    <s v="Student"/>
    <s v="Masters_degree"/>
    <s v="Divorced"/>
    <s v="Yes"/>
    <s v="Seniors"/>
  </r>
  <r>
    <x v="385"/>
    <s v="Instagram"/>
    <n v="65"/>
    <s v="Female"/>
    <s v="United_States"/>
    <x v="1"/>
    <s v="Upper_middle"/>
    <s v="Full_time_employed"/>
    <s v="Bachelors_degree"/>
    <s v="Single"/>
    <s v="No"/>
    <s v="Seniors"/>
  </r>
  <r>
    <x v="386"/>
    <s v="Instagram"/>
    <n v="18"/>
    <s v="Male"/>
    <s v="United_States"/>
    <x v="2"/>
    <s v="Low"/>
    <s v="Full_time_employed"/>
    <s v="Bachelors_degree"/>
    <s v="Single"/>
    <s v="No"/>
    <s v="Youth"/>
  </r>
  <r>
    <x v="387"/>
    <s v="Instagram"/>
    <n v="47"/>
    <s v="Male"/>
    <s v="India"/>
    <x v="2"/>
    <s v="Lower_middle"/>
    <s v="Student"/>
    <s v="Bachelors_degree"/>
    <s v="Single"/>
    <s v="Yes"/>
    <s v="Seniors"/>
  </r>
  <r>
    <x v="388"/>
    <s v="Instagram"/>
    <n v="53"/>
    <s v="Female"/>
    <s v="United _Kingdom"/>
    <x v="2"/>
    <s v="Low"/>
    <s v="Full_time_employed"/>
    <s v="High_school"/>
    <s v="Married"/>
    <s v="Yes"/>
    <s v="Seniors"/>
  </r>
  <r>
    <x v="389"/>
    <s v="Instagram"/>
    <n v="49"/>
    <s v="Male"/>
    <s v="United _Kingdom"/>
    <x v="2"/>
    <s v="Middle"/>
    <s v="Full_time_employed"/>
    <s v="High_school"/>
    <s v="Single"/>
    <s v="No"/>
    <s v="Seniors"/>
  </r>
  <r>
    <x v="390"/>
    <s v="Instagram"/>
    <n v="36"/>
    <s v="Female"/>
    <s v="United_States"/>
    <x v="1"/>
    <s v="High"/>
    <s v="Full_time_employed"/>
    <s v="Some_college"/>
    <s v="Married"/>
    <s v="Yes"/>
    <s v="Mid_Adults"/>
  </r>
  <r>
    <x v="391"/>
    <s v="Instagram"/>
    <n v="41"/>
    <s v="Male"/>
    <s v="Canada"/>
    <x v="2"/>
    <s v="Middle"/>
    <s v="Full_time_employed"/>
    <s v="Bachelors_degree"/>
    <s v="In_a_relationship"/>
    <s v="Yes"/>
    <s v="Mid_Adults"/>
  </r>
  <r>
    <x v="392"/>
    <s v="Instagram"/>
    <n v="61"/>
    <s v="Male"/>
    <s v="Canada"/>
    <x v="0"/>
    <s v="Low"/>
    <s v="Student"/>
    <s v="Other"/>
    <s v="In_a_relationship"/>
    <s v="No"/>
    <s v="Seniors"/>
  </r>
  <r>
    <x v="393"/>
    <s v="Instagram"/>
    <n v="58"/>
    <s v="Male"/>
    <s v="Other"/>
    <x v="2"/>
    <s v="Upper_middle"/>
    <s v="Freelancer"/>
    <s v="High_school"/>
    <s v="Single"/>
    <s v="No"/>
    <s v="Seniors"/>
  </r>
  <r>
    <x v="394"/>
    <s v="Instagram"/>
    <n v="65"/>
    <s v="Male"/>
    <s v="India"/>
    <x v="1"/>
    <s v="Lower_middle"/>
    <s v="Student"/>
    <s v="High_school"/>
    <s v="Married"/>
    <s v="No"/>
    <s v="Seniors"/>
  </r>
  <r>
    <x v="395"/>
    <s v="Instagram"/>
    <n v="43"/>
    <s v="Female"/>
    <s v="Brazil"/>
    <x v="1"/>
    <s v="High"/>
    <s v="Full_time_employed"/>
    <s v="Masters_degree"/>
    <s v="Single"/>
    <s v="No"/>
    <s v="Mid_Adults"/>
  </r>
  <r>
    <x v="396"/>
    <s v="Instagram"/>
    <n v="47"/>
    <s v="Female"/>
    <s v="India"/>
    <x v="1"/>
    <s v="Middle"/>
    <s v="Student"/>
    <s v="Bachelors_degree"/>
    <s v="In_a_relationship"/>
    <s v="No"/>
    <s v="Seniors"/>
  </r>
  <r>
    <x v="397"/>
    <s v="Instagram"/>
    <n v="45"/>
    <s v="Male"/>
    <s v="Australia"/>
    <x v="1"/>
    <s v="Low"/>
    <s v="Full_time_employed"/>
    <s v="Other"/>
    <s v="Single"/>
    <s v="No"/>
    <s v="Mid_Adults"/>
  </r>
  <r>
    <x v="398"/>
    <s v="Instagram"/>
    <n v="64"/>
    <s v="Male"/>
    <s v="Canada"/>
    <x v="1"/>
    <s v="Middle"/>
    <s v="Full_time_employed"/>
    <s v="Other"/>
    <s v="In_a_relationship"/>
    <s v="No"/>
    <s v="Seniors"/>
  </r>
  <r>
    <x v="399"/>
    <s v="Instagram"/>
    <n v="33"/>
    <s v="Female"/>
    <s v="United_States"/>
    <x v="1"/>
    <s v="Upper_middle"/>
    <s v="Part_time"/>
    <s v="Some_college"/>
    <s v="In_a_relationship"/>
    <s v="Yes"/>
    <s v="Young_Adults"/>
  </r>
  <r>
    <x v="400"/>
    <s v="Instagram"/>
    <n v="44"/>
    <s v="Female"/>
    <s v="India"/>
    <x v="1"/>
    <s v="High"/>
    <s v="Full_time_employed"/>
    <s v="Bachelors_degree"/>
    <s v="Married"/>
    <s v="No"/>
    <s v="Mid_Adults"/>
  </r>
  <r>
    <x v="401"/>
    <s v="Instagram"/>
    <n v="35"/>
    <s v="Female"/>
    <s v="United _Kingdom"/>
    <x v="1"/>
    <s v="Middle"/>
    <s v="Full_time_employed"/>
    <s v="Bachelors_degree"/>
    <s v="Divorced"/>
    <s v="No"/>
    <s v="Young_Adults"/>
  </r>
  <r>
    <x v="402"/>
    <s v="Instagram"/>
    <n v="45"/>
    <s v="Female"/>
    <s v="India"/>
    <x v="2"/>
    <s v="Upper_middle"/>
    <s v="Student"/>
    <s v="Bachelors_degree"/>
    <s v="Single"/>
    <s v="No"/>
    <s v="Mid_Adults"/>
  </r>
  <r>
    <x v="403"/>
    <s v="Instagram"/>
    <n v="15"/>
    <s v="Male"/>
    <s v="United_States"/>
    <x v="1"/>
    <s v="Middle"/>
    <s v="Student"/>
    <s v="Some_college"/>
    <s v="In_a_relationship"/>
    <s v="No"/>
    <s v="Under_18"/>
  </r>
  <r>
    <x v="404"/>
    <s v="Instagram"/>
    <n v="30"/>
    <s v="Male"/>
    <s v="Brazil"/>
    <x v="1"/>
    <s v="Middle"/>
    <s v="Student"/>
    <s v="High_school"/>
    <s v="In_a_relationship"/>
    <s v="No"/>
    <s v="Young_Adults"/>
  </r>
  <r>
    <x v="405"/>
    <s v="Instagram"/>
    <n v="37"/>
    <s v="Female"/>
    <s v="Australia"/>
    <x v="1"/>
    <s v="Low"/>
    <s v="Full_time_employed"/>
    <s v="Bachelors_degree"/>
    <s v="Married"/>
    <s v="Yes"/>
    <s v="Mid_Adults"/>
  </r>
  <r>
    <x v="406"/>
    <s v="Instagram"/>
    <n v="54"/>
    <s v="Male"/>
    <s v="Germany"/>
    <x v="0"/>
    <s v="Lower_middle"/>
    <s v="Full_time_employed"/>
    <s v="Bachelors_degree"/>
    <s v="Single"/>
    <s v="No"/>
    <s v="Seniors"/>
  </r>
  <r>
    <x v="407"/>
    <s v="Instagram"/>
    <n v="43"/>
    <s v="Male"/>
    <s v="United_States"/>
    <x v="1"/>
    <s v="Low"/>
    <s v="Student"/>
    <s v="Masters_degree"/>
    <s v="In_a_relationship"/>
    <s v="Yes"/>
    <s v="Mid_Adults"/>
  </r>
  <r>
    <x v="408"/>
    <s v="Instagram"/>
    <n v="15"/>
    <s v="Male"/>
    <s v="India"/>
    <x v="1"/>
    <s v="Low"/>
    <s v="Full_time_employed"/>
    <s v="Some_college"/>
    <s v="Married"/>
    <s v="No"/>
    <s v="Under_18"/>
  </r>
  <r>
    <x v="409"/>
    <s v="Instagram"/>
    <n v="52"/>
    <s v="Female"/>
    <s v="Other"/>
    <x v="2"/>
    <s v="Upper_middle"/>
    <s v="Student"/>
    <s v="High_school"/>
    <s v="Single"/>
    <s v="No"/>
    <s v="Seniors"/>
  </r>
  <r>
    <x v="410"/>
    <s v="Instagram"/>
    <n v="58"/>
    <s v="Male"/>
    <s v="India"/>
    <x v="1"/>
    <s v="Upper_middle"/>
    <s v="Freelancer"/>
    <s v="Some_college"/>
    <s v="Single"/>
    <s v="Yes"/>
    <s v="Seniors"/>
  </r>
  <r>
    <x v="411"/>
    <s v="Instagram"/>
    <n v="36"/>
    <s v="Non_binary"/>
    <s v="United_States"/>
    <x v="1"/>
    <s v="Middle"/>
    <s v="Full_time_employed"/>
    <s v="Other"/>
    <s v="Married"/>
    <s v="No"/>
    <s v="Mid_Adults"/>
  </r>
  <r>
    <x v="412"/>
    <s v="Instagram"/>
    <n v="62"/>
    <s v="Female"/>
    <s v="United _Kingdom"/>
    <x v="1"/>
    <s v="Lower_middle"/>
    <s v="Freelancer"/>
    <s v="High_school"/>
    <s v="In_a_relationship"/>
    <s v="No"/>
    <s v="Seniors"/>
  </r>
  <r>
    <x v="413"/>
    <s v="Instagram"/>
    <n v="44"/>
    <s v="Female"/>
    <s v="Canada"/>
    <x v="1"/>
    <s v="Middle"/>
    <s v="Full_time_employed"/>
    <s v="High_school"/>
    <s v="Widowed"/>
    <s v="Yes"/>
    <s v="Mid_Adults"/>
  </r>
  <r>
    <x v="414"/>
    <s v="Instagram"/>
    <n v="59"/>
    <s v="Male"/>
    <s v="United_States"/>
    <x v="2"/>
    <s v="Upper_middle"/>
    <s v="Full_time_employed"/>
    <s v="Bachelors_degree"/>
    <s v="Married"/>
    <s v="No"/>
    <s v="Seniors"/>
  </r>
  <r>
    <x v="415"/>
    <s v="Instagram"/>
    <n v="34"/>
    <s v="Male"/>
    <s v="Brazil"/>
    <x v="1"/>
    <s v="Lower_middle"/>
    <s v="Retired"/>
    <s v="Some_college"/>
    <s v="Single"/>
    <s v="No"/>
    <s v="Young_Adults"/>
  </r>
  <r>
    <x v="416"/>
    <s v="Instagram"/>
    <n v="35"/>
    <s v="Male"/>
    <s v="Australia"/>
    <x v="1"/>
    <s v="Middle"/>
    <s v="Part_time"/>
    <s v="Bachelors_degree"/>
    <s v="Married"/>
    <s v="Yes"/>
    <s v="Young_Adults"/>
  </r>
  <r>
    <x v="417"/>
    <s v="Instagram"/>
    <n v="14"/>
    <s v="Male"/>
    <s v="United_States"/>
    <x v="1"/>
    <s v="Low"/>
    <s v="Freelancer"/>
    <s v="High_school"/>
    <s v="In_a_relationship"/>
    <s v="No"/>
    <s v="Under_18"/>
  </r>
  <r>
    <x v="418"/>
    <s v="Instagram"/>
    <n v="39"/>
    <s v="Male"/>
    <s v="United _Kingdom"/>
    <x v="1"/>
    <s v="Low"/>
    <s v="Full_time_employed"/>
    <s v="Other"/>
    <s v="In_a_relationship"/>
    <s v="Yes"/>
    <s v="Mid_Adults"/>
  </r>
  <r>
    <x v="419"/>
    <s v="Instagram"/>
    <n v="54"/>
    <s v="Male"/>
    <s v="Brazil"/>
    <x v="0"/>
    <s v="Middle"/>
    <s v="Freelancer"/>
    <s v="Some_college"/>
    <s v="Single"/>
    <s v="Yes"/>
    <s v="Seniors"/>
  </r>
  <r>
    <x v="420"/>
    <s v="Instagram"/>
    <n v="14"/>
    <s v="Male"/>
    <s v="India"/>
    <x v="2"/>
    <s v="Lower_middle"/>
    <s v="Part_time"/>
    <s v="High_school"/>
    <s v="Divorced"/>
    <s v="No"/>
    <s v="Under_18"/>
  </r>
  <r>
    <x v="421"/>
    <s v="Instagram"/>
    <n v="38"/>
    <s v="Female"/>
    <s v="United_States"/>
    <x v="0"/>
    <s v="Upper_middle"/>
    <s v="Student"/>
    <s v="Other"/>
    <s v="Married"/>
    <s v="Yes"/>
    <s v="Mid_Adults"/>
  </r>
  <r>
    <x v="422"/>
    <s v="Instagram"/>
    <n v="29"/>
    <s v="Male"/>
    <s v="United_States"/>
    <x v="2"/>
    <s v="Lower_middle"/>
    <s v="Full_time_employed"/>
    <s v="High_school"/>
    <s v="Married"/>
    <s v="No"/>
    <s v="Young_Adults"/>
  </r>
  <r>
    <x v="423"/>
    <s v="Instagram"/>
    <n v="52"/>
    <s v="Male"/>
    <s v="United_States"/>
    <x v="1"/>
    <s v="Upper_middle"/>
    <s v="Full_time_employed"/>
    <s v="Bachelors_degree"/>
    <s v="Married"/>
    <s v="Yes"/>
    <s v="Seniors"/>
  </r>
  <r>
    <x v="424"/>
    <s v="Instagram"/>
    <n v="45"/>
    <s v="Male"/>
    <s v="Other"/>
    <x v="1"/>
    <s v="Lower_middle"/>
    <s v="Freelancer"/>
    <s v="Bachelors_degree"/>
    <s v="Married"/>
    <s v="Yes"/>
    <s v="Mid_Adults"/>
  </r>
  <r>
    <x v="425"/>
    <s v="Instagram"/>
    <n v="21"/>
    <s v="Male"/>
    <s v="India"/>
    <x v="1"/>
    <s v="Upper_middle"/>
    <s v="Full_time_employed"/>
    <s v="Some_college"/>
    <s v="Single"/>
    <s v="Yes"/>
    <s v="Youth"/>
  </r>
  <r>
    <x v="426"/>
    <s v="Instagram"/>
    <n v="55"/>
    <s v="Female"/>
    <s v="United_States"/>
    <x v="0"/>
    <s v="Upper_middle"/>
    <s v="Retired"/>
    <s v="High_school"/>
    <s v="Single"/>
    <s v="No"/>
    <s v="Seniors"/>
  </r>
  <r>
    <x v="427"/>
    <s v="Instagram"/>
    <n v="60"/>
    <s v="Male"/>
    <s v="United_States"/>
    <x v="1"/>
    <s v="Lower_middle"/>
    <s v="Full_time_employed"/>
    <s v="High_school"/>
    <s v="In_a_relationship"/>
    <s v="Yes"/>
    <s v="Seniors"/>
  </r>
  <r>
    <x v="428"/>
    <s v="Instagram"/>
    <n v="51"/>
    <s v="Male"/>
    <s v="India"/>
    <x v="1"/>
    <s v="Middle"/>
    <s v="Student"/>
    <s v="Masters_degree"/>
    <s v="In_a_relationship"/>
    <s v="No"/>
    <s v="Seniors"/>
  </r>
  <r>
    <x v="429"/>
    <s v="Instagram"/>
    <n v="41"/>
    <s v="Male"/>
    <s v="India"/>
    <x v="2"/>
    <s v="Middle"/>
    <s v="Full_time_employed"/>
    <s v="Some_college"/>
    <s v="Single"/>
    <s v="No"/>
    <s v="Mid_Adults"/>
  </r>
  <r>
    <x v="430"/>
    <s v="Instagram"/>
    <n v="54"/>
    <s v="Male"/>
    <s v="United_States"/>
    <x v="2"/>
    <s v="Middle"/>
    <s v="Student"/>
    <s v="Bachelors_degree"/>
    <s v="Single"/>
    <s v="No"/>
    <s v="Seniors"/>
  </r>
  <r>
    <x v="431"/>
    <s v="Instagram"/>
    <n v="38"/>
    <s v="Female"/>
    <s v="Brazil"/>
    <x v="2"/>
    <s v="Middle"/>
    <s v="Freelancer"/>
    <s v="Bachelors_degree"/>
    <s v="Married"/>
    <s v="No"/>
    <s v="Mid_Adults"/>
  </r>
  <r>
    <x v="432"/>
    <s v="Instagram"/>
    <n v="47"/>
    <s v="Female"/>
    <s v="Australia"/>
    <x v="1"/>
    <s v="Middle"/>
    <s v="Student"/>
    <s v="Masters_degree"/>
    <s v="Single"/>
    <s v="Yes"/>
    <s v="Seniors"/>
  </r>
  <r>
    <x v="433"/>
    <s v="Instagram"/>
    <n v="62"/>
    <s v="Male"/>
    <s v="South_Korea"/>
    <x v="2"/>
    <s v="Middle"/>
    <s v="Full_time_employed"/>
    <s v="Bachelors_degree"/>
    <s v="Married"/>
    <s v="Yes"/>
    <s v="Seniors"/>
  </r>
  <r>
    <x v="434"/>
    <s v="Instagram"/>
    <n v="37"/>
    <s v="Male"/>
    <s v="United_States"/>
    <x v="0"/>
    <s v="Low"/>
    <s v="Student"/>
    <s v="Some_college"/>
    <s v="Married"/>
    <s v="No"/>
    <s v="Mid_Adults"/>
  </r>
  <r>
    <x v="435"/>
    <s v="Instagram"/>
    <n v="36"/>
    <s v="Male"/>
    <s v="Germany"/>
    <x v="1"/>
    <s v="Middle"/>
    <s v="Freelancer"/>
    <s v="Masters_degree"/>
    <s v="In_a_relationship"/>
    <s v="Yes"/>
    <s v="Mid_Adults"/>
  </r>
  <r>
    <x v="436"/>
    <s v="Instagram"/>
    <n v="25"/>
    <s v="Male"/>
    <s v="United _Kingdom"/>
    <x v="2"/>
    <s v="Low"/>
    <s v="Full_time_employed"/>
    <s v="High_school"/>
    <s v="In_a_relationship"/>
    <s v="No"/>
    <s v="Youth"/>
  </r>
  <r>
    <x v="437"/>
    <s v="Instagram"/>
    <n v="19"/>
    <s v="Female"/>
    <s v="South_Korea"/>
    <x v="2"/>
    <s v="Upper_middle"/>
    <s v="Student"/>
    <s v="Some_college"/>
    <s v="Married"/>
    <s v="No"/>
    <s v="Youth"/>
  </r>
  <r>
    <x v="438"/>
    <s v="Instagram"/>
    <n v="48"/>
    <s v="Female"/>
    <s v="United_States"/>
    <x v="2"/>
    <s v="Lower_middle"/>
    <s v="Freelancer"/>
    <s v="Some_college"/>
    <s v="Single"/>
    <s v="No"/>
    <s v="Seniors"/>
  </r>
  <r>
    <x v="439"/>
    <s v="Instagram"/>
    <n v="57"/>
    <s v="Male"/>
    <s v="India"/>
    <x v="1"/>
    <s v="Low"/>
    <s v="Full_time_employed"/>
    <s v="Bachelors_degree"/>
    <s v="Married"/>
    <s v="No"/>
    <s v="Seniors"/>
  </r>
  <r>
    <x v="440"/>
    <s v="Instagram"/>
    <n v="32"/>
    <s v="Female"/>
    <s v="Other"/>
    <x v="2"/>
    <s v="Lower_middle"/>
    <s v="Student"/>
    <s v="Bachelors_degree"/>
    <s v="Married"/>
    <s v="Yes"/>
    <s v="Young_Adults"/>
  </r>
  <r>
    <x v="441"/>
    <s v="Instagram"/>
    <n v="13"/>
    <s v="Female"/>
    <s v="South_Korea"/>
    <x v="1"/>
    <s v="Lower_middle"/>
    <s v="Full_time_employed"/>
    <s v="Bachelors_degree"/>
    <s v="Divorced"/>
    <s v="Yes"/>
    <s v="Under_18"/>
  </r>
  <r>
    <x v="442"/>
    <s v="Instagram"/>
    <n v="20"/>
    <s v="Male"/>
    <s v="Japan"/>
    <x v="1"/>
    <s v="Low"/>
    <s v="Student"/>
    <s v="Bachelors_degree"/>
    <s v="Married"/>
    <s v="No"/>
    <s v="Youth"/>
  </r>
  <r>
    <x v="443"/>
    <s v="Instagram"/>
    <n v="58"/>
    <s v="Female"/>
    <s v="India"/>
    <x v="1"/>
    <s v="Low"/>
    <s v="Full_time_employed"/>
    <s v="Bachelors_degree"/>
    <s v="Single"/>
    <s v="Yes"/>
    <s v="Seniors"/>
  </r>
  <r>
    <x v="444"/>
    <s v="Instagram"/>
    <n v="28"/>
    <s v="Male"/>
    <s v="United_States"/>
    <x v="2"/>
    <s v="Low"/>
    <s v="Part_time"/>
    <s v="Other"/>
    <s v="Single"/>
    <s v="No"/>
    <s v="Young_Adults"/>
  </r>
  <r>
    <x v="445"/>
    <s v="Instagram"/>
    <n v="26"/>
    <s v="Male"/>
    <s v="United_States"/>
    <x v="2"/>
    <s v="Low"/>
    <s v="Full_time_employed"/>
    <s v="High_school"/>
    <s v="Single"/>
    <s v="No"/>
    <s v="Young_Adults"/>
  </r>
  <r>
    <x v="446"/>
    <s v="Instagram"/>
    <n v="24"/>
    <s v="Female"/>
    <s v="Brazil"/>
    <x v="2"/>
    <s v="Upper_middle"/>
    <s v="Full_time_employed"/>
    <s v="Bachelors_degree"/>
    <s v="Married"/>
    <s v="Yes"/>
    <s v="Youth"/>
  </r>
  <r>
    <x v="447"/>
    <s v="Instagram"/>
    <n v="63"/>
    <s v="Male"/>
    <s v="Australia"/>
    <x v="0"/>
    <s v="Low"/>
    <s v="Part_time"/>
    <s v="PhD"/>
    <s v="In_a_relationship"/>
    <s v="No"/>
    <s v="Seniors"/>
  </r>
  <r>
    <x v="448"/>
    <s v="Instagram"/>
    <n v="35"/>
    <s v="Female"/>
    <s v="South_Korea"/>
    <x v="1"/>
    <s v="Lower_middle"/>
    <s v="Full_time_employed"/>
    <s v="High_school"/>
    <s v="Single"/>
    <s v="No"/>
    <s v="Young_Adults"/>
  </r>
  <r>
    <x v="449"/>
    <s v="Instagram"/>
    <n v="27"/>
    <s v="Female"/>
    <s v="United_States"/>
    <x v="2"/>
    <s v="Upper_middle"/>
    <s v="Full_time_employed"/>
    <s v="Bachelors_degree"/>
    <s v="In_a_relationship"/>
    <s v="No"/>
    <s v="Young_Adults"/>
  </r>
  <r>
    <x v="450"/>
    <s v="Instagram"/>
    <n v="40"/>
    <s v="Female"/>
    <s v="Canada"/>
    <x v="1"/>
    <s v="Low"/>
    <s v="Unemployed"/>
    <s v="Bachelors_degree"/>
    <s v="In_a_relationship"/>
    <s v="No"/>
    <s v="Mid_Adults"/>
  </r>
  <r>
    <x v="451"/>
    <s v="Instagram"/>
    <n v="46"/>
    <s v="Male"/>
    <s v="United _Kingdom"/>
    <x v="2"/>
    <s v="Upper_middle"/>
    <s v="Full_time_employed"/>
    <s v="Some_college"/>
    <s v="Single"/>
    <s v="No"/>
    <s v="Seniors"/>
  </r>
  <r>
    <x v="452"/>
    <s v="Instagram"/>
    <n v="14"/>
    <s v="Female"/>
    <s v="Brazil"/>
    <x v="1"/>
    <s v="High"/>
    <s v="Unemployed"/>
    <s v="Bachelors_degree"/>
    <s v="Single"/>
    <s v="No"/>
    <s v="Under_18"/>
  </r>
  <r>
    <x v="453"/>
    <s v="Instagram"/>
    <n v="44"/>
    <s v="Female"/>
    <s v="India"/>
    <x v="0"/>
    <s v="Lower_middle"/>
    <s v="Student"/>
    <s v="High_school"/>
    <s v="Single"/>
    <s v="No"/>
    <s v="Mid_Adults"/>
  </r>
  <r>
    <x v="454"/>
    <s v="Instagram"/>
    <n v="35"/>
    <s v="Female"/>
    <s v="United _Kingdom"/>
    <x v="1"/>
    <s v="Lower_middle"/>
    <s v="Full_time_employed"/>
    <s v="Bachelors_degree"/>
    <s v="Married"/>
    <s v="No"/>
    <s v="Young_Adults"/>
  </r>
  <r>
    <x v="455"/>
    <s v="Instagram"/>
    <n v="34"/>
    <s v="Female"/>
    <s v="Other"/>
    <x v="1"/>
    <s v="Lower_middle"/>
    <s v="Full_time_employed"/>
    <s v="Some_college"/>
    <s v="Married"/>
    <s v="Yes"/>
    <s v="Young_Adults"/>
  </r>
  <r>
    <x v="456"/>
    <s v="Instagram"/>
    <n v="63"/>
    <s v="Female"/>
    <s v="India"/>
    <x v="1"/>
    <s v="Upper_middle"/>
    <s v="Student"/>
    <s v="Bachelors_degree"/>
    <s v="Married"/>
    <s v="No"/>
    <s v="Seniors"/>
  </r>
  <r>
    <x v="457"/>
    <s v="Instagram"/>
    <n v="37"/>
    <s v="Female"/>
    <s v="Other"/>
    <x v="2"/>
    <s v="Low"/>
    <s v="Full_time_employed"/>
    <s v="Bachelors_degree"/>
    <s v="Married"/>
    <s v="No"/>
    <s v="Mid_Adults"/>
  </r>
  <r>
    <x v="458"/>
    <s v="Instagram"/>
    <n v="34"/>
    <s v="Male"/>
    <s v="United_States"/>
    <x v="1"/>
    <s v="Middle"/>
    <s v="Part_time"/>
    <s v="High_school"/>
    <s v="Single"/>
    <s v="No"/>
    <s v="Young_Adults"/>
  </r>
  <r>
    <x v="459"/>
    <s v="Instagram"/>
    <n v="34"/>
    <s v="Female"/>
    <s v="Other"/>
    <x v="0"/>
    <s v="Middle"/>
    <s v="Full_time_employed"/>
    <s v="Other"/>
    <s v="Single"/>
    <s v="No"/>
    <s v="Young_Adults"/>
  </r>
  <r>
    <x v="460"/>
    <s v="Instagram"/>
    <n v="61"/>
    <s v="Female"/>
    <s v="United _Kingdom"/>
    <x v="1"/>
    <s v="High"/>
    <s v="Full_time_employed"/>
    <s v="High_school"/>
    <s v="Divorced"/>
    <s v="Yes"/>
    <s v="Seniors"/>
  </r>
  <r>
    <x v="461"/>
    <s v="Instagram"/>
    <n v="64"/>
    <s v="Male"/>
    <s v="Canada"/>
    <x v="0"/>
    <s v="Upper_middle"/>
    <s v="Part_time"/>
    <s v="Bachelors_degree"/>
    <s v="In_a_relationship"/>
    <s v="No"/>
    <s v="Seniors"/>
  </r>
  <r>
    <x v="462"/>
    <s v="Instagram"/>
    <n v="54"/>
    <s v="Male"/>
    <s v="Other"/>
    <x v="2"/>
    <s v="Middle"/>
    <s v="Full_time_employed"/>
    <s v="Bachelors_degree"/>
    <s v="Married"/>
    <s v="Yes"/>
    <s v="Seniors"/>
  </r>
  <r>
    <x v="463"/>
    <s v="Instagram"/>
    <n v="18"/>
    <s v="Female"/>
    <s v="Other"/>
    <x v="0"/>
    <s v="Upper_middle"/>
    <s v="Full_time_employed"/>
    <s v="Masters_degree"/>
    <s v="Single"/>
    <s v="Yes"/>
    <s v="Youth"/>
  </r>
  <r>
    <x v="464"/>
    <s v="Instagram"/>
    <n v="27"/>
    <s v="Male"/>
    <s v="Brazil"/>
    <x v="1"/>
    <s v="Middle"/>
    <s v="Freelancer"/>
    <s v="Some_college"/>
    <s v="Single"/>
    <s v="No"/>
    <s v="Young_Adults"/>
  </r>
  <r>
    <x v="465"/>
    <s v="Instagram"/>
    <n v="55"/>
    <s v="Female"/>
    <s v="United_States"/>
    <x v="1"/>
    <s v="Upper_middle"/>
    <s v="Freelancer"/>
    <s v="Some_college"/>
    <s v="Divorced"/>
    <s v="No"/>
    <s v="Seniors"/>
  </r>
  <r>
    <x v="466"/>
    <s v="Instagram"/>
    <n v="49"/>
    <s v="Female"/>
    <s v="Japan"/>
    <x v="1"/>
    <s v="High"/>
    <s v="Freelancer"/>
    <s v="Bachelors_degree"/>
    <s v="Single"/>
    <s v="Yes"/>
    <s v="Seniors"/>
  </r>
  <r>
    <x v="467"/>
    <s v="Instagram"/>
    <n v="45"/>
    <s v="Female"/>
    <s v="India"/>
    <x v="1"/>
    <s v="Middle"/>
    <s v="Full_time_employed"/>
    <s v="Bachelors_degree"/>
    <s v="Married"/>
    <s v="No"/>
    <s v="Mid_Adults"/>
  </r>
  <r>
    <x v="468"/>
    <s v="Instagram"/>
    <n v="20"/>
    <s v="Female"/>
    <s v="United_States"/>
    <x v="2"/>
    <s v="Middle"/>
    <s v="Unemployed"/>
    <s v="Some_college"/>
    <s v="Divorced"/>
    <s v="No"/>
    <s v="Youth"/>
  </r>
  <r>
    <x v="469"/>
    <s v="Instagram"/>
    <n v="65"/>
    <s v="Female"/>
    <s v="United_States"/>
    <x v="1"/>
    <s v="Lower_middle"/>
    <s v="Full_time_employed"/>
    <s v="Some_college"/>
    <s v="Married"/>
    <s v="Yes"/>
    <s v="Seniors"/>
  </r>
  <r>
    <x v="470"/>
    <s v="Instagram"/>
    <n v="56"/>
    <s v="Female"/>
    <s v="Australia"/>
    <x v="1"/>
    <s v="Lower_middle"/>
    <s v="Full_time_employed"/>
    <s v="High_school"/>
    <s v="Single"/>
    <s v="No"/>
    <s v="Seniors"/>
  </r>
  <r>
    <x v="471"/>
    <s v="Instagram"/>
    <n v="56"/>
    <s v="Male"/>
    <s v="India"/>
    <x v="1"/>
    <s v="Middle"/>
    <s v="Full_time_employed"/>
    <s v="Masters_degree"/>
    <s v="Married"/>
    <s v="Yes"/>
    <s v="Seniors"/>
  </r>
  <r>
    <x v="472"/>
    <s v="Instagram"/>
    <n v="17"/>
    <s v="Female"/>
    <s v="United_States"/>
    <x v="1"/>
    <s v="Middle"/>
    <s v="Full_time_employed"/>
    <s v="Bachelors_degree"/>
    <s v="Married"/>
    <s v="Yes"/>
    <s v="Under_18"/>
  </r>
  <r>
    <x v="473"/>
    <s v="Instagram"/>
    <n v="51"/>
    <s v="Male"/>
    <s v="United _Kingdom"/>
    <x v="1"/>
    <s v="Upper_middle"/>
    <s v="Student"/>
    <s v="Bachelors_degree"/>
    <s v="In_a_relationship"/>
    <s v="No"/>
    <s v="Seniors"/>
  </r>
  <r>
    <x v="474"/>
    <s v="Instagram"/>
    <n v="16"/>
    <s v="Male"/>
    <s v="United_States"/>
    <x v="1"/>
    <s v="Lower_middle"/>
    <s v="Freelancer"/>
    <s v="Some_college"/>
    <s v="Single"/>
    <s v="No"/>
    <s v="Under_18"/>
  </r>
  <r>
    <x v="475"/>
    <s v="Instagram"/>
    <n v="18"/>
    <s v="Female"/>
    <s v="Japan"/>
    <x v="1"/>
    <s v="Low"/>
    <s v="Student"/>
    <s v="Bachelors_degree"/>
    <s v="Divorced"/>
    <s v="No"/>
    <s v="Youth"/>
  </r>
  <r>
    <x v="476"/>
    <s v="Instagram"/>
    <n v="57"/>
    <s v="Male"/>
    <s v="United_States"/>
    <x v="2"/>
    <s v="Middle"/>
    <s v="Full_time_employed"/>
    <s v="High_school"/>
    <s v="In_a_relationship"/>
    <s v="Yes"/>
    <s v="Seniors"/>
  </r>
  <r>
    <x v="477"/>
    <s v="Instagram"/>
    <n v="44"/>
    <s v="Male"/>
    <s v="Canada"/>
    <x v="1"/>
    <s v="Middle"/>
    <s v="Part_time"/>
    <s v="Other"/>
    <s v="Single"/>
    <s v="No"/>
    <s v="Mid_Adults"/>
  </r>
  <r>
    <x v="478"/>
    <s v="Instagram"/>
    <n v="64"/>
    <s v="Male"/>
    <s v="Japan"/>
    <x v="2"/>
    <s v="Upper_middle"/>
    <s v="Unemployed"/>
    <s v="Bachelors_degree"/>
    <s v="Married"/>
    <s v="No"/>
    <s v="Seniors"/>
  </r>
  <r>
    <x v="479"/>
    <s v="Instagram"/>
    <n v="42"/>
    <s v="Male"/>
    <s v="Brazil"/>
    <x v="1"/>
    <s v="Lower_middle"/>
    <s v="Full_time_employed"/>
    <s v="Some_college"/>
    <s v="Married"/>
    <s v="Yes"/>
    <s v="Mid_Adults"/>
  </r>
  <r>
    <x v="480"/>
    <s v="Instagram"/>
    <n v="59"/>
    <s v="Male"/>
    <s v="Germany"/>
    <x v="1"/>
    <s v="Middle"/>
    <s v="Full_time_employed"/>
    <s v="Bachelors_degree"/>
    <s v="Single"/>
    <s v="No"/>
    <s v="Seniors"/>
  </r>
  <r>
    <x v="481"/>
    <s v="Instagram"/>
    <n v="47"/>
    <s v="Female"/>
    <s v="India"/>
    <x v="1"/>
    <s v="Low"/>
    <s v="Student"/>
    <s v="Other"/>
    <s v="Married"/>
    <s v="Yes"/>
    <s v="Seniors"/>
  </r>
  <r>
    <x v="482"/>
    <s v="Instagram"/>
    <n v="52"/>
    <s v="Female"/>
    <s v="India"/>
    <x v="1"/>
    <s v="Lower_middle"/>
    <s v="Freelancer"/>
    <s v="Some_college"/>
    <s v="In_a_relationship"/>
    <s v="No"/>
    <s v="Seniors"/>
  </r>
  <r>
    <x v="483"/>
    <s v="Instagram"/>
    <n v="64"/>
    <s v="Female"/>
    <s v="Japan"/>
    <x v="1"/>
    <s v="Lower_middle"/>
    <s v="Student"/>
    <s v="Some_college"/>
    <s v="Married"/>
    <s v="No"/>
    <s v="Seniors"/>
  </r>
  <r>
    <x v="484"/>
    <s v="Instagram"/>
    <n v="28"/>
    <s v="Female"/>
    <s v="Australia"/>
    <x v="1"/>
    <s v="Low"/>
    <s v="Freelancer"/>
    <s v="Some_college"/>
    <s v="Widowed"/>
    <s v="No"/>
    <s v="Young_Adults"/>
  </r>
  <r>
    <x v="485"/>
    <s v="Instagram"/>
    <n v="25"/>
    <s v="Male"/>
    <s v="India"/>
    <x v="0"/>
    <s v="Upper_middle"/>
    <s v="Full_time_employed"/>
    <s v="Some_college"/>
    <s v="Married"/>
    <s v="No"/>
    <s v="Youth"/>
  </r>
  <r>
    <x v="486"/>
    <s v="Instagram"/>
    <n v="62"/>
    <s v="Male"/>
    <s v="Brazil"/>
    <x v="0"/>
    <s v="Upper_middle"/>
    <s v="Full_time_employed"/>
    <s v="High_school"/>
    <s v="Married"/>
    <s v="No"/>
    <s v="Seniors"/>
  </r>
  <r>
    <x v="487"/>
    <s v="Instagram"/>
    <n v="54"/>
    <s v="Female"/>
    <s v="United_States"/>
    <x v="2"/>
    <s v="Lower_middle"/>
    <s v="Student"/>
    <s v="Bachelors_degree"/>
    <s v="Divorced"/>
    <s v="No"/>
    <s v="Seniors"/>
  </r>
  <r>
    <x v="488"/>
    <s v="Instagram"/>
    <n v="42"/>
    <s v="Female"/>
    <s v="Brazil"/>
    <x v="1"/>
    <s v="Middle"/>
    <s v="Part_time"/>
    <s v="Bachelors_degree"/>
    <s v="In_a_relationship"/>
    <s v="No"/>
    <s v="Mid_Adults"/>
  </r>
  <r>
    <x v="489"/>
    <s v="Instagram"/>
    <n v="31"/>
    <s v="Female"/>
    <s v="Canada"/>
    <x v="2"/>
    <s v="Low"/>
    <s v="Full_time_employed"/>
    <s v="Some_college"/>
    <s v="Single"/>
    <s v="No"/>
    <s v="Young_Adults"/>
  </r>
  <r>
    <x v="490"/>
    <s v="Instagram"/>
    <n v="29"/>
    <s v="Male"/>
    <s v="United _Kingdom"/>
    <x v="2"/>
    <s v="Low"/>
    <s v="Student"/>
    <s v="Bachelors_degree"/>
    <s v="Single"/>
    <s v="No"/>
    <s v="Young_Adults"/>
  </r>
  <r>
    <x v="491"/>
    <s v="Instagram"/>
    <n v="31"/>
    <s v="Female"/>
    <s v="Other"/>
    <x v="1"/>
    <s v="Middle"/>
    <s v="Student"/>
    <s v="Some_college"/>
    <s v="Single"/>
    <s v="Yes"/>
    <s v="Young_Adults"/>
  </r>
  <r>
    <x v="492"/>
    <s v="Instagram"/>
    <n v="40"/>
    <s v="Female"/>
    <s v="Germany"/>
    <x v="1"/>
    <s v="Lower_middle"/>
    <s v="Student"/>
    <s v="High_school"/>
    <s v="In_a_relationship"/>
    <s v="No"/>
    <s v="Mid_Adults"/>
  </r>
  <r>
    <x v="493"/>
    <s v="Instagram"/>
    <n v="38"/>
    <s v="Male"/>
    <s v="India"/>
    <x v="1"/>
    <s v="Upper_middle"/>
    <s v="Freelancer"/>
    <s v="High_school"/>
    <s v="Single"/>
    <s v="No"/>
    <s v="Mid_Adults"/>
  </r>
  <r>
    <x v="494"/>
    <s v="Instagram"/>
    <n v="49"/>
    <s v="Male"/>
    <s v="United_States"/>
    <x v="1"/>
    <s v="Lower_middle"/>
    <s v="Unemployed"/>
    <s v="PhD"/>
    <s v="Single"/>
    <s v="Yes"/>
    <s v="Seniors"/>
  </r>
  <r>
    <x v="495"/>
    <s v="Instagram"/>
    <n v="38"/>
    <s v="Female"/>
    <s v="Australia"/>
    <x v="0"/>
    <s v="Middle"/>
    <s v="Full_time_employed"/>
    <s v="Some_college"/>
    <s v="Single"/>
    <s v="Yes"/>
    <s v="Mid_Adults"/>
  </r>
  <r>
    <x v="496"/>
    <s v="Instagram"/>
    <n v="65"/>
    <s v="Female"/>
    <s v="Germany"/>
    <x v="2"/>
    <s v="Middle"/>
    <s v="Student"/>
    <s v="High_school"/>
    <s v="Married"/>
    <s v="No"/>
    <s v="Seniors"/>
  </r>
  <r>
    <x v="497"/>
    <s v="Instagram"/>
    <n v="35"/>
    <s v="Male"/>
    <s v="United_States"/>
    <x v="1"/>
    <s v="High"/>
    <s v="Freelancer"/>
    <s v="High_school"/>
    <s v="Single"/>
    <s v="No"/>
    <s v="Young_Adults"/>
  </r>
  <r>
    <x v="498"/>
    <s v="Instagram"/>
    <n v="21"/>
    <s v="Female"/>
    <s v="United _Kingdom"/>
    <x v="1"/>
    <s v="Middle"/>
    <s v="Student"/>
    <s v="High_school"/>
    <s v="Single"/>
    <s v="No"/>
    <s v="Youth"/>
  </r>
  <r>
    <x v="499"/>
    <s v="Instagram"/>
    <n v="24"/>
    <s v="Female"/>
    <s v="India"/>
    <x v="1"/>
    <s v="Low"/>
    <s v="Freelancer"/>
    <s v="Some_college"/>
    <s v="Married"/>
    <s v="Yes"/>
    <s v="Youth"/>
  </r>
  <r>
    <x v="500"/>
    <s v="Instagram"/>
    <n v="65"/>
    <s v="Male"/>
    <s v="Australia"/>
    <x v="1"/>
    <s v="Upper_middle"/>
    <s v="Freelancer"/>
    <s v="PhD"/>
    <s v="Single"/>
    <s v="Yes"/>
    <s v="Seniors"/>
  </r>
  <r>
    <x v="501"/>
    <s v="Instagram"/>
    <n v="13"/>
    <s v="Female"/>
    <s v="Japan"/>
    <x v="2"/>
    <s v="Lower_middle"/>
    <s v="Full_time_employed"/>
    <s v="High_school"/>
    <s v="Married"/>
    <s v="No"/>
    <s v="Under_18"/>
  </r>
  <r>
    <x v="502"/>
    <s v="Instagram"/>
    <n v="13"/>
    <s v="Female"/>
    <s v="United_States"/>
    <x v="1"/>
    <s v="Low"/>
    <s v="Full_time_employed"/>
    <s v="High_school"/>
    <s v="In_a_relationship"/>
    <s v="Yes"/>
    <s v="Under_18"/>
  </r>
  <r>
    <x v="503"/>
    <s v="Instagram"/>
    <n v="59"/>
    <s v="Male"/>
    <s v="India"/>
    <x v="1"/>
    <s v="Lower_middle"/>
    <s v="Freelancer"/>
    <s v="High_school"/>
    <s v="Married"/>
    <s v="No"/>
    <s v="Seniors"/>
  </r>
  <r>
    <x v="504"/>
    <s v="Instagram"/>
    <n v="46"/>
    <s v="Female"/>
    <s v="Brazil"/>
    <x v="2"/>
    <s v="Middle"/>
    <s v="Student"/>
    <s v="Bachelors_degree"/>
    <s v="Divorced"/>
    <s v="No"/>
    <s v="Seniors"/>
  </r>
  <r>
    <x v="505"/>
    <s v="Instagram"/>
    <n v="44"/>
    <s v="Female"/>
    <s v="India"/>
    <x v="2"/>
    <s v="Middle"/>
    <s v="Full_time_employed"/>
    <s v="Some_college"/>
    <s v="Single"/>
    <s v="Yes"/>
    <s v="Mid_Adults"/>
  </r>
  <r>
    <x v="506"/>
    <s v="Instagram"/>
    <n v="60"/>
    <s v="Female"/>
    <s v="India"/>
    <x v="1"/>
    <s v="High"/>
    <s v="Full_time_employed"/>
    <s v="Bachelors_degree"/>
    <s v="Divorced"/>
    <s v="No"/>
    <s v="Seniors"/>
  </r>
  <r>
    <x v="507"/>
    <s v="Instagram"/>
    <n v="37"/>
    <s v="Female"/>
    <s v="Germany"/>
    <x v="2"/>
    <s v="Middle"/>
    <s v="Freelancer"/>
    <s v="Bachelors_degree"/>
    <s v="Single"/>
    <s v="No"/>
    <s v="Mid_Adults"/>
  </r>
  <r>
    <x v="508"/>
    <s v="Instagram"/>
    <n v="52"/>
    <s v="Female"/>
    <s v="United_States"/>
    <x v="2"/>
    <s v="Lower_middle"/>
    <s v="Student"/>
    <s v="High_school"/>
    <s v="Married"/>
    <s v="No"/>
    <s v="Seniors"/>
  </r>
  <r>
    <x v="509"/>
    <s v="Instagram"/>
    <n v="57"/>
    <s v="Male"/>
    <s v="Brazil"/>
    <x v="2"/>
    <s v="Lower_middle"/>
    <s v="Full_time_employed"/>
    <s v="High_school"/>
    <s v="Married"/>
    <s v="Yes"/>
    <s v="Seniors"/>
  </r>
  <r>
    <x v="510"/>
    <s v="Instagram"/>
    <n v="65"/>
    <s v="Male"/>
    <s v="United _Kingdom"/>
    <x v="1"/>
    <s v="Upper_middle"/>
    <s v="Full_time_employed"/>
    <s v="High_school"/>
    <s v="In_a_relationship"/>
    <s v="No"/>
    <s v="Seniors"/>
  </r>
  <r>
    <x v="511"/>
    <s v="Instagram"/>
    <n v="13"/>
    <s v="Female"/>
    <s v="United_States"/>
    <x v="2"/>
    <s v="Upper_middle"/>
    <s v="Student"/>
    <s v="Bachelors_degree"/>
    <s v="In_a_relationship"/>
    <s v="Yes"/>
    <s v="Under_18"/>
  </r>
  <r>
    <x v="512"/>
    <s v="Instagram"/>
    <n v="28"/>
    <s v="Female"/>
    <s v="South_Korea"/>
    <x v="1"/>
    <s v="Upper_middle"/>
    <s v="Full_time_employed"/>
    <s v="Bachelors_degree"/>
    <s v="In_a_relationship"/>
    <s v="No"/>
    <s v="Young_Adults"/>
  </r>
  <r>
    <x v="513"/>
    <s v="Instagram"/>
    <n v="51"/>
    <s v="Male"/>
    <s v="South_Korea"/>
    <x v="0"/>
    <s v="High"/>
    <s v="Full_time_employed"/>
    <s v="High_school"/>
    <s v="Married"/>
    <s v="No"/>
    <s v="Seniors"/>
  </r>
  <r>
    <x v="514"/>
    <s v="Instagram"/>
    <n v="17"/>
    <s v="Female"/>
    <s v="United _Kingdom"/>
    <x v="1"/>
    <s v="Upper_middle"/>
    <s v="Unemployed"/>
    <s v="High_school"/>
    <s v="In_a_relationship"/>
    <s v="No"/>
    <s v="Under_18"/>
  </r>
  <r>
    <x v="515"/>
    <s v="Instagram"/>
    <n v="34"/>
    <s v="Male"/>
    <s v="India"/>
    <x v="0"/>
    <s v="Upper_middle"/>
    <s v="Full_time_employed"/>
    <s v="High_school"/>
    <s v="Single"/>
    <s v="No"/>
    <s v="Young_Adults"/>
  </r>
  <r>
    <x v="516"/>
    <s v="Instagram"/>
    <n v="41"/>
    <s v="Male"/>
    <s v="India"/>
    <x v="1"/>
    <s v="Lower_middle"/>
    <s v="Freelancer"/>
    <s v="Some_college"/>
    <s v="Married"/>
    <s v="Yes"/>
    <s v="Mid_Adults"/>
  </r>
  <r>
    <x v="517"/>
    <s v="Instagram"/>
    <n v="15"/>
    <s v="Female"/>
    <s v="India"/>
    <x v="0"/>
    <s v="Upper_middle"/>
    <s v="Full_time_employed"/>
    <s v="Bachelors_degree"/>
    <s v="Single"/>
    <s v="No"/>
    <s v="Under_18"/>
  </r>
  <r>
    <x v="518"/>
    <s v="Instagram"/>
    <n v="24"/>
    <s v="Male"/>
    <s v="United _Kingdom"/>
    <x v="0"/>
    <s v="Upper_middle"/>
    <s v="Full_time_employed"/>
    <s v="Bachelors_degree"/>
    <s v="Single"/>
    <s v="No"/>
    <s v="Youth"/>
  </r>
  <r>
    <x v="519"/>
    <s v="Instagram"/>
    <n v="38"/>
    <s v="Female"/>
    <s v="Germany"/>
    <x v="0"/>
    <s v="Upper_middle"/>
    <s v="Part_time"/>
    <s v="Some_college"/>
    <s v="Single"/>
    <s v="No"/>
    <s v="Mid_Adults"/>
  </r>
  <r>
    <x v="520"/>
    <s v="Instagram"/>
    <n v="28"/>
    <s v="Male"/>
    <s v="United _Kingdom"/>
    <x v="1"/>
    <s v="Middle"/>
    <s v="Full_time_employed"/>
    <s v="Bachelors_degree"/>
    <s v="In_a_relationship"/>
    <s v="No"/>
    <s v="Young_Adults"/>
  </r>
  <r>
    <x v="521"/>
    <s v="Instagram"/>
    <n v="63"/>
    <s v="Female"/>
    <s v="Australia"/>
    <x v="2"/>
    <s v="Low"/>
    <s v="Full_time_employed"/>
    <s v="Some_college"/>
    <s v="Single"/>
    <s v="Yes"/>
    <s v="Seniors"/>
  </r>
  <r>
    <x v="522"/>
    <s v="Instagram"/>
    <n v="49"/>
    <s v="Female"/>
    <s v="India"/>
    <x v="2"/>
    <s v="Low"/>
    <s v="Student"/>
    <s v="High_school"/>
    <s v="Divorced"/>
    <s v="No"/>
    <s v="Seniors"/>
  </r>
  <r>
    <x v="523"/>
    <s v="Instagram"/>
    <n v="34"/>
    <s v="Male"/>
    <s v="Brazil"/>
    <x v="0"/>
    <s v="Lower_middle"/>
    <s v="Unemployed"/>
    <s v="Masters_degree"/>
    <s v="In_a_relationship"/>
    <s v="No"/>
    <s v="Young_Adults"/>
  </r>
  <r>
    <x v="524"/>
    <s v="Instagram"/>
    <n v="41"/>
    <s v="Female"/>
    <s v="Japan"/>
    <x v="1"/>
    <s v="Middle"/>
    <s v="Full_time_employed"/>
    <s v="Bachelors_degree"/>
    <s v="Single"/>
    <s v="Yes"/>
    <s v="Mid_Adults"/>
  </r>
  <r>
    <x v="525"/>
    <s v="Instagram"/>
    <n v="26"/>
    <s v="Female"/>
    <s v="South_Korea"/>
    <x v="1"/>
    <s v="Lower_middle"/>
    <s v="Student"/>
    <s v="Bachelors_degree"/>
    <s v="In_a_relationship"/>
    <s v="No"/>
    <s v="Young_Adults"/>
  </r>
  <r>
    <x v="526"/>
    <s v="Instagram"/>
    <n v="40"/>
    <s v="Female"/>
    <s v="United_States"/>
    <x v="2"/>
    <s v="High"/>
    <s v="Full_time_employed"/>
    <s v="Other"/>
    <s v="Single"/>
    <s v="Yes"/>
    <s v="Mid_Adults"/>
  </r>
  <r>
    <x v="527"/>
    <s v="Instagram"/>
    <n v="17"/>
    <s v="Male"/>
    <s v="Australia"/>
    <x v="0"/>
    <s v="Middle"/>
    <s v="Full_time_employed"/>
    <s v="Bachelors_degree"/>
    <s v="In_a_relationship"/>
    <s v="No"/>
    <s v="Under_18"/>
  </r>
  <r>
    <x v="528"/>
    <s v="Instagram"/>
    <n v="59"/>
    <s v="Male"/>
    <s v="Canada"/>
    <x v="2"/>
    <s v="Upper_middle"/>
    <s v="Full_time_employed"/>
    <s v="Other"/>
    <s v="Divorced"/>
    <s v="Yes"/>
    <s v="Seniors"/>
  </r>
  <r>
    <x v="529"/>
    <s v="Instagram"/>
    <n v="61"/>
    <s v="Female"/>
    <s v="Australia"/>
    <x v="0"/>
    <s v="Upper_middle"/>
    <s v="Full_time_employed"/>
    <s v="Masters_degree"/>
    <s v="In_a_relationship"/>
    <s v="Yes"/>
    <s v="Seniors"/>
  </r>
  <r>
    <x v="530"/>
    <s v="Instagram"/>
    <n v="42"/>
    <s v="Female"/>
    <s v="Australia"/>
    <x v="0"/>
    <s v="Low"/>
    <s v="Student"/>
    <s v="Some_college"/>
    <s v="Single"/>
    <s v="Yes"/>
    <s v="Mid_Adults"/>
  </r>
  <r>
    <x v="531"/>
    <s v="Instagram"/>
    <n v="58"/>
    <s v="Male"/>
    <s v="India"/>
    <x v="2"/>
    <s v="Middle"/>
    <s v="Freelancer"/>
    <s v="High_school"/>
    <s v="In_a_relationship"/>
    <s v="No"/>
    <s v="Seniors"/>
  </r>
  <r>
    <x v="532"/>
    <s v="Instagram"/>
    <n v="64"/>
    <s v="Female"/>
    <s v="Canada"/>
    <x v="2"/>
    <s v="Lower_middle"/>
    <s v="Full_time_employed"/>
    <s v="High_school"/>
    <s v="Single"/>
    <s v="No"/>
    <s v="Seniors"/>
  </r>
  <r>
    <x v="533"/>
    <s v="Instagram"/>
    <n v="17"/>
    <s v="Female"/>
    <s v="Australia"/>
    <x v="0"/>
    <s v="Low"/>
    <s v="Student"/>
    <s v="Masters_degree"/>
    <s v="Single"/>
    <s v="No"/>
    <s v="Under_18"/>
  </r>
  <r>
    <x v="534"/>
    <s v="Instagram"/>
    <n v="24"/>
    <s v="Female"/>
    <s v="United _Kingdom"/>
    <x v="1"/>
    <s v="Upper_middle"/>
    <s v="Unemployed"/>
    <s v="PhD"/>
    <s v="Married"/>
    <s v="No"/>
    <s v="Youth"/>
  </r>
  <r>
    <x v="535"/>
    <s v="Instagram"/>
    <n v="28"/>
    <s v="Male"/>
    <s v="Other"/>
    <x v="0"/>
    <s v="Lower_middle"/>
    <s v="Full_time_employed"/>
    <s v="High_school"/>
    <s v="Single"/>
    <s v="Yes"/>
    <s v="Young_Adults"/>
  </r>
  <r>
    <x v="536"/>
    <s v="Instagram"/>
    <n v="38"/>
    <s v="Male"/>
    <s v="India"/>
    <x v="2"/>
    <s v="Lower_middle"/>
    <s v="Unemployed"/>
    <s v="Bachelors_degree"/>
    <s v="Married"/>
    <s v="No"/>
    <s v="Mid_Adults"/>
  </r>
  <r>
    <x v="537"/>
    <s v="Instagram"/>
    <n v="38"/>
    <s v="Male"/>
    <s v="United_States"/>
    <x v="2"/>
    <s v="Lower_middle"/>
    <s v="Full_time_employed"/>
    <s v="Bachelors_degree"/>
    <s v="In_a_relationship"/>
    <s v="No"/>
    <s v="Mid_Adults"/>
  </r>
  <r>
    <x v="538"/>
    <s v="Instagram"/>
    <n v="60"/>
    <s v="Female"/>
    <s v="India"/>
    <x v="1"/>
    <s v="Middle"/>
    <s v="Full_time_employed"/>
    <s v="Masters_degree"/>
    <s v="Single"/>
    <s v="No"/>
    <s v="Seniors"/>
  </r>
  <r>
    <x v="539"/>
    <s v="Instagram"/>
    <n v="33"/>
    <s v="Male"/>
    <s v="United_States"/>
    <x v="2"/>
    <s v="Middle"/>
    <s v="Full_time_employed"/>
    <s v="Other"/>
    <s v="Single"/>
    <s v="Yes"/>
    <s v="Young_Adults"/>
  </r>
  <r>
    <x v="540"/>
    <s v="Instagram"/>
    <n v="51"/>
    <s v="Male"/>
    <s v="India"/>
    <x v="1"/>
    <s v="Lower_middle"/>
    <s v="Full_time_employed"/>
    <s v="Some_college"/>
    <s v="Single"/>
    <s v="No"/>
    <s v="Seniors"/>
  </r>
  <r>
    <x v="541"/>
    <s v="Instagram"/>
    <n v="48"/>
    <s v="Female"/>
    <s v="Other"/>
    <x v="1"/>
    <s v="Upper_middle"/>
    <s v="Full_time_employed"/>
    <s v="Bachelors_degree"/>
    <s v="Married"/>
    <s v="No"/>
    <s v="Seniors"/>
  </r>
  <r>
    <x v="542"/>
    <s v="Instagram"/>
    <n v="45"/>
    <s v="Female"/>
    <s v="Canada"/>
    <x v="0"/>
    <s v="Lower_middle"/>
    <s v="Full_time_employed"/>
    <s v="Masters_degree"/>
    <s v="Widowed"/>
    <s v="Yes"/>
    <s v="Mid_Adults"/>
  </r>
  <r>
    <x v="543"/>
    <s v="Instagram"/>
    <n v="42"/>
    <s v="Female"/>
    <s v="Germany"/>
    <x v="0"/>
    <s v="Middle"/>
    <s v="Student"/>
    <s v="Bachelors_degree"/>
    <s v="Single"/>
    <s v="No"/>
    <s v="Mid_Adults"/>
  </r>
  <r>
    <x v="544"/>
    <s v="Instagram"/>
    <n v="49"/>
    <s v="Female"/>
    <s v="Canada"/>
    <x v="1"/>
    <s v="Middle"/>
    <s v="Student"/>
    <s v="High_school"/>
    <s v="Single"/>
    <s v="No"/>
    <s v="Seniors"/>
  </r>
  <r>
    <x v="545"/>
    <s v="Instagram"/>
    <n v="35"/>
    <s v="Male"/>
    <s v="Canada"/>
    <x v="0"/>
    <s v="High"/>
    <s v="Student"/>
    <s v="Bachelors_degree"/>
    <s v="Married"/>
    <s v="No"/>
    <s v="Young_Adults"/>
  </r>
  <r>
    <x v="546"/>
    <s v="Instagram"/>
    <n v="22"/>
    <s v="Female"/>
    <s v="India"/>
    <x v="2"/>
    <s v="Low"/>
    <s v="Student"/>
    <s v="High_school"/>
    <s v="Divorced"/>
    <s v="No"/>
    <s v="Youth"/>
  </r>
  <r>
    <x v="547"/>
    <s v="Instagram"/>
    <n v="17"/>
    <s v="Male"/>
    <s v="South_Korea"/>
    <x v="2"/>
    <s v="Low"/>
    <s v="Full_time_employed"/>
    <s v="Bachelors_degree"/>
    <s v="In_a_relationship"/>
    <s v="No"/>
    <s v="Under_18"/>
  </r>
  <r>
    <x v="548"/>
    <s v="Instagram"/>
    <n v="48"/>
    <s v="Male"/>
    <s v="South_Korea"/>
    <x v="2"/>
    <s v="Lower_middle"/>
    <s v="Full_time_employed"/>
    <s v="Bachelors_degree"/>
    <s v="Married"/>
    <s v="No"/>
    <s v="Seniors"/>
  </r>
  <r>
    <x v="549"/>
    <s v="Instagram"/>
    <n v="46"/>
    <s v="Male"/>
    <s v="United _Kingdom"/>
    <x v="0"/>
    <s v="Low"/>
    <s v="Full_time_employed"/>
    <s v="High_school"/>
    <s v="Married"/>
    <s v="No"/>
    <s v="Seniors"/>
  </r>
  <r>
    <x v="550"/>
    <s v="Instagram"/>
    <n v="64"/>
    <s v="Non_binary"/>
    <s v="Other"/>
    <x v="1"/>
    <s v="Upper_middle"/>
    <s v="Unemployed"/>
    <s v="High_school"/>
    <s v="Single"/>
    <s v="Yes"/>
    <s v="Seniors"/>
  </r>
  <r>
    <x v="551"/>
    <s v="Instagram"/>
    <n v="43"/>
    <s v="Female"/>
    <s v="Australia"/>
    <x v="2"/>
    <s v="Middle"/>
    <s v="Full_time_employed"/>
    <s v="High_school"/>
    <s v="Single"/>
    <s v="No"/>
    <s v="Mid_Adults"/>
  </r>
  <r>
    <x v="552"/>
    <s v="Instagram"/>
    <n v="22"/>
    <s v="Female"/>
    <s v="Australia"/>
    <x v="1"/>
    <s v="Low"/>
    <s v="Full_time_employed"/>
    <s v="Bachelors_degree"/>
    <s v="Married"/>
    <s v="Yes"/>
    <s v="Youth"/>
  </r>
  <r>
    <x v="553"/>
    <s v="Instagram"/>
    <n v="31"/>
    <s v="Non_binary"/>
    <s v="Other"/>
    <x v="2"/>
    <s v="Upper_middle"/>
    <s v="Unemployed"/>
    <s v="High_school"/>
    <s v="Married"/>
    <s v="No"/>
    <s v="Young_Adults"/>
  </r>
  <r>
    <x v="554"/>
    <s v="Instagram"/>
    <n v="44"/>
    <s v="Female"/>
    <s v="South_Korea"/>
    <x v="0"/>
    <s v="Low"/>
    <s v="Student"/>
    <s v="Some_college"/>
    <s v="In_a_relationship"/>
    <s v="Yes"/>
    <s v="Mid_Adults"/>
  </r>
  <r>
    <x v="555"/>
    <s v="Instagram"/>
    <n v="13"/>
    <s v="Female"/>
    <s v="Brazil"/>
    <x v="1"/>
    <s v="Lower_middle"/>
    <s v="Full_time_employed"/>
    <s v="Masters_degree"/>
    <s v="Single"/>
    <s v="No"/>
    <s v="Under_18"/>
  </r>
  <r>
    <x v="556"/>
    <s v="Instagram"/>
    <n v="17"/>
    <s v="Non_binary"/>
    <s v="Other"/>
    <x v="1"/>
    <s v="Middle"/>
    <s v="Full_time_employed"/>
    <s v="Masters_degree"/>
    <s v="Single"/>
    <s v="No"/>
    <s v="Under_18"/>
  </r>
  <r>
    <x v="557"/>
    <s v="Instagram"/>
    <n v="57"/>
    <s v="Male"/>
    <s v="India"/>
    <x v="1"/>
    <s v="Middle"/>
    <s v="Full_time_employed"/>
    <s v="Some_college"/>
    <s v="In_a_relationship"/>
    <s v="No"/>
    <s v="Seniors"/>
  </r>
  <r>
    <x v="558"/>
    <s v="Instagram"/>
    <n v="16"/>
    <s v="Male"/>
    <s v="Brazil"/>
    <x v="1"/>
    <s v="Upper_middle"/>
    <s v="Full_time_employed"/>
    <s v="High_school"/>
    <s v="Divorced"/>
    <s v="No"/>
    <s v="Under_18"/>
  </r>
  <r>
    <x v="559"/>
    <s v="Instagram"/>
    <n v="28"/>
    <s v="Male"/>
    <s v="Germany"/>
    <x v="1"/>
    <s v="Upper_middle"/>
    <s v="Unemployed"/>
    <s v="High_school"/>
    <s v="Married"/>
    <s v="No"/>
    <s v="Young_Adults"/>
  </r>
  <r>
    <x v="560"/>
    <s v="Instagram"/>
    <n v="36"/>
    <s v="Female"/>
    <s v="Germany"/>
    <x v="1"/>
    <s v="Middle"/>
    <s v="Full_time_employed"/>
    <s v="Bachelors_degree"/>
    <s v="Single"/>
    <s v="No"/>
    <s v="Mid_Adults"/>
  </r>
  <r>
    <x v="561"/>
    <s v="Instagram"/>
    <n v="28"/>
    <s v="Male"/>
    <s v="Brazil"/>
    <x v="1"/>
    <s v="Upper_middle"/>
    <s v="Part_time"/>
    <s v="High_school"/>
    <s v="Divorced"/>
    <s v="Yes"/>
    <s v="Young_Adults"/>
  </r>
  <r>
    <x v="562"/>
    <s v="Instagram"/>
    <n v="14"/>
    <s v="Female"/>
    <s v="Other"/>
    <x v="1"/>
    <s v="Middle"/>
    <s v="Full_time_employed"/>
    <s v="Some_college"/>
    <s v="Single"/>
    <s v="Yes"/>
    <s v="Under_18"/>
  </r>
  <r>
    <x v="563"/>
    <s v="Instagram"/>
    <n v="61"/>
    <s v="Female"/>
    <s v="Canada"/>
    <x v="1"/>
    <s v="Low"/>
    <s v="Full_time_employed"/>
    <s v="Some_college"/>
    <s v="Married"/>
    <s v="Yes"/>
    <s v="Seniors"/>
  </r>
  <r>
    <x v="564"/>
    <s v="Instagram"/>
    <n v="40"/>
    <s v="Female"/>
    <s v="United_States"/>
    <x v="1"/>
    <s v="Lower_middle"/>
    <s v="Student"/>
    <s v="High_school"/>
    <s v="In_a_relationship"/>
    <s v="Yes"/>
    <s v="Mid_Adults"/>
  </r>
  <r>
    <x v="565"/>
    <s v="Instagram"/>
    <n v="44"/>
    <s v="Female"/>
    <s v="India"/>
    <x v="2"/>
    <s v="Upper_middle"/>
    <s v="Full_time_employed"/>
    <s v="Masters_degree"/>
    <s v="Single"/>
    <s v="No"/>
    <s v="Mid_Adults"/>
  </r>
  <r>
    <x v="566"/>
    <s v="Instagram"/>
    <n v="39"/>
    <s v="Female"/>
    <s v="United_States"/>
    <x v="1"/>
    <s v="High"/>
    <s v="Freelancer"/>
    <s v="Bachelors_degree"/>
    <s v="In_a_relationship"/>
    <s v="Yes"/>
    <s v="Mid_Adults"/>
  </r>
  <r>
    <x v="567"/>
    <s v="Instagram"/>
    <n v="32"/>
    <s v="Non_binary"/>
    <s v="Japan"/>
    <x v="1"/>
    <s v="Upper_middle"/>
    <s v="Full_time_employed"/>
    <s v="Bachelors_degree"/>
    <s v="Single"/>
    <s v="Yes"/>
    <s v="Young_Adults"/>
  </r>
  <r>
    <x v="568"/>
    <s v="Instagram"/>
    <n v="36"/>
    <s v="Female"/>
    <s v="United_States"/>
    <x v="1"/>
    <s v="Middle"/>
    <s v="Retired"/>
    <s v="High_school"/>
    <s v="Single"/>
    <s v="No"/>
    <s v="Mid_Adults"/>
  </r>
  <r>
    <x v="569"/>
    <s v="Instagram"/>
    <n v="24"/>
    <s v="Female"/>
    <s v="United_States"/>
    <x v="0"/>
    <s v="Low"/>
    <s v="Part_time"/>
    <s v="High_school"/>
    <s v="Married"/>
    <s v="No"/>
    <s v="Youth"/>
  </r>
  <r>
    <x v="570"/>
    <s v="Instagram"/>
    <n v="62"/>
    <s v="Female"/>
    <s v="United_States"/>
    <x v="2"/>
    <s v="High"/>
    <s v="Full_time_employed"/>
    <s v="Some_college"/>
    <s v="Married"/>
    <s v="Yes"/>
    <s v="Seniors"/>
  </r>
  <r>
    <x v="571"/>
    <s v="Instagram"/>
    <n v="47"/>
    <s v="Female"/>
    <s v="United_States"/>
    <x v="2"/>
    <s v="Lower_middle"/>
    <s v="Full_time_employed"/>
    <s v="Some_college"/>
    <s v="In_a_relationship"/>
    <s v="Yes"/>
    <s v="Seniors"/>
  </r>
  <r>
    <x v="572"/>
    <s v="Instagram"/>
    <n v="45"/>
    <s v="Male"/>
    <s v="India"/>
    <x v="2"/>
    <s v="Middle"/>
    <s v="Full_time_employed"/>
    <s v="Some_college"/>
    <s v="Divorced"/>
    <s v="No"/>
    <s v="Mid_Adults"/>
  </r>
  <r>
    <x v="573"/>
    <s v="Instagram"/>
    <n v="45"/>
    <s v="Female"/>
    <s v="Brazil"/>
    <x v="1"/>
    <s v="Lower_middle"/>
    <s v="Student"/>
    <s v="Masters_degree"/>
    <s v="Married"/>
    <s v="No"/>
    <s v="Mid_Adults"/>
  </r>
  <r>
    <x v="574"/>
    <s v="Instagram"/>
    <n v="63"/>
    <s v="Male"/>
    <s v="Brazil"/>
    <x v="1"/>
    <s v="High"/>
    <s v="Student"/>
    <s v="Bachelors_degree"/>
    <s v="Married"/>
    <s v="Yes"/>
    <s v="Seniors"/>
  </r>
  <r>
    <x v="575"/>
    <s v="Instagram"/>
    <n v="55"/>
    <s v="Female"/>
    <s v="Brazil"/>
    <x v="1"/>
    <s v="Low"/>
    <s v="Unemployed"/>
    <s v="High_school"/>
    <s v="Married"/>
    <s v="No"/>
    <s v="Seniors"/>
  </r>
  <r>
    <x v="576"/>
    <s v="Instagram"/>
    <n v="49"/>
    <s v="Male"/>
    <s v="Other"/>
    <x v="1"/>
    <s v="Lower_middle"/>
    <s v="Full_time_employed"/>
    <s v="Some_college"/>
    <s v="Single"/>
    <s v="No"/>
    <s v="Seniors"/>
  </r>
  <r>
    <x v="577"/>
    <s v="Instagram"/>
    <n v="24"/>
    <s v="Male"/>
    <s v="United_States"/>
    <x v="1"/>
    <s v="Middle"/>
    <s v="Full_time_employed"/>
    <s v="PhD"/>
    <s v="Married"/>
    <s v="Yes"/>
    <s v="Youth"/>
  </r>
  <r>
    <x v="578"/>
    <s v="Instagram"/>
    <n v="15"/>
    <s v="Male"/>
    <s v="Other"/>
    <x v="1"/>
    <s v="Lower_middle"/>
    <s v="Freelancer"/>
    <s v="High_school"/>
    <s v="Single"/>
    <s v="No"/>
    <s v="Under_18"/>
  </r>
  <r>
    <x v="579"/>
    <s v="Instagram"/>
    <n v="13"/>
    <s v="Male"/>
    <s v="India"/>
    <x v="1"/>
    <s v="Low"/>
    <s v="Student"/>
    <s v="Some_college"/>
    <s v="Single"/>
    <s v="No"/>
    <s v="Under_18"/>
  </r>
  <r>
    <x v="580"/>
    <s v="Instagram"/>
    <n v="45"/>
    <s v="Female"/>
    <s v="United_States"/>
    <x v="0"/>
    <s v="Upper_middle"/>
    <s v="Retired"/>
    <s v="High_school"/>
    <s v="Married"/>
    <s v="No"/>
    <s v="Mid_Adults"/>
  </r>
  <r>
    <x v="581"/>
    <s v="Instagram"/>
    <n v="52"/>
    <s v="Female"/>
    <s v="Canada"/>
    <x v="1"/>
    <s v="Middle"/>
    <s v="Full_time_employed"/>
    <s v="Some_college"/>
    <s v="Single"/>
    <s v="No"/>
    <s v="Seniors"/>
  </r>
  <r>
    <x v="582"/>
    <s v="Instagram"/>
    <n v="22"/>
    <s v="Male"/>
    <s v="South_Korea"/>
    <x v="0"/>
    <s v="Upper_middle"/>
    <s v="Student"/>
    <s v="Some_college"/>
    <s v="Single"/>
    <s v="No"/>
    <s v="Youth"/>
  </r>
  <r>
    <x v="583"/>
    <s v="Instagram"/>
    <n v="55"/>
    <s v="Male"/>
    <s v="South_Korea"/>
    <x v="2"/>
    <s v="Low"/>
    <s v="Full_time_employed"/>
    <s v="Masters_degree"/>
    <s v="In_a_relationship"/>
    <s v="Yes"/>
    <s v="Seniors"/>
  </r>
  <r>
    <x v="584"/>
    <s v="Instagram"/>
    <n v="56"/>
    <s v="Male"/>
    <s v="United_States"/>
    <x v="1"/>
    <s v="Lower_middle"/>
    <s v="Student"/>
    <s v="Bachelors_degree"/>
    <s v="In_a_relationship"/>
    <s v="No"/>
    <s v="Seniors"/>
  </r>
  <r>
    <x v="585"/>
    <s v="Instagram"/>
    <n v="41"/>
    <s v="Female"/>
    <s v="Canada"/>
    <x v="2"/>
    <s v="Lower_middle"/>
    <s v="Freelancer"/>
    <s v="Some_college"/>
    <s v="Single"/>
    <s v="Yes"/>
    <s v="Mid_Adults"/>
  </r>
  <r>
    <x v="586"/>
    <s v="Instagram"/>
    <n v="25"/>
    <s v="Male"/>
    <s v="Australia"/>
    <x v="1"/>
    <s v="Middle"/>
    <s v="Full_time_employed"/>
    <s v="Some_college"/>
    <s v="In_a_relationship"/>
    <s v="Yes"/>
    <s v="Youth"/>
  </r>
  <r>
    <x v="587"/>
    <s v="Instagram"/>
    <n v="24"/>
    <s v="Male"/>
    <s v="Japan"/>
    <x v="1"/>
    <s v="Middle"/>
    <s v="Full_time_employed"/>
    <s v="Bachelors_degree"/>
    <s v="Married"/>
    <s v="No"/>
    <s v="Youth"/>
  </r>
  <r>
    <x v="588"/>
    <s v="Instagram"/>
    <n v="43"/>
    <s v="Female"/>
    <s v="Germany"/>
    <x v="1"/>
    <s v="Middle"/>
    <s v="Freelancer"/>
    <s v="Some_college"/>
    <s v="Single"/>
    <s v="No"/>
    <s v="Mid_Adults"/>
  </r>
  <r>
    <x v="589"/>
    <s v="Instagram"/>
    <n v="58"/>
    <s v="Female"/>
    <s v="United _Kingdom"/>
    <x v="1"/>
    <s v="Lower_middle"/>
    <s v="Full_time_employed"/>
    <s v="Some_college"/>
    <s v="Married"/>
    <s v="Yes"/>
    <s v="Seniors"/>
  </r>
  <r>
    <x v="590"/>
    <s v="Instagram"/>
    <n v="14"/>
    <s v="Male"/>
    <s v="Other"/>
    <x v="2"/>
    <s v="Lower_middle"/>
    <s v="Full_time_employed"/>
    <s v="Some_college"/>
    <s v="Single"/>
    <s v="No"/>
    <s v="Under_18"/>
  </r>
  <r>
    <x v="591"/>
    <s v="Instagram"/>
    <n v="63"/>
    <s v="Male"/>
    <s v="United_States"/>
    <x v="1"/>
    <s v="Lower_middle"/>
    <s v="Student"/>
    <s v="Other"/>
    <s v="In_a_relationship"/>
    <s v="Yes"/>
    <s v="Seniors"/>
  </r>
  <r>
    <x v="592"/>
    <s v="Instagram"/>
    <n v="62"/>
    <s v="Female"/>
    <s v="Germany"/>
    <x v="1"/>
    <s v="Low"/>
    <s v="Full_time_employed"/>
    <s v="Bachelors_degree"/>
    <s v="Single"/>
    <s v="No"/>
    <s v="Seniors"/>
  </r>
  <r>
    <x v="593"/>
    <s v="Instagram"/>
    <n v="47"/>
    <s v="Male"/>
    <s v="Other"/>
    <x v="0"/>
    <s v="Lower_middle"/>
    <s v="Student"/>
    <s v="Masters_degree"/>
    <s v="Married"/>
    <s v="No"/>
    <s v="Seniors"/>
  </r>
  <r>
    <x v="594"/>
    <s v="Instagram"/>
    <n v="35"/>
    <s v="Male"/>
    <s v="India"/>
    <x v="1"/>
    <s v="Lower_middle"/>
    <s v="Full_time_employed"/>
    <s v="High_school"/>
    <s v="Married"/>
    <s v="Yes"/>
    <s v="Young_Adults"/>
  </r>
  <r>
    <x v="595"/>
    <s v="Instagram"/>
    <n v="29"/>
    <s v="Female"/>
    <s v="Brazil"/>
    <x v="0"/>
    <s v="Middle"/>
    <s v="Freelancer"/>
    <s v="High_school"/>
    <s v="Single"/>
    <s v="No"/>
    <s v="Young_Adults"/>
  </r>
  <r>
    <x v="596"/>
    <s v="Instagram"/>
    <n v="38"/>
    <s v="Female"/>
    <s v="Canada"/>
    <x v="1"/>
    <s v="Middle"/>
    <s v="Full_time_employed"/>
    <s v="Some_college"/>
    <s v="Married"/>
    <s v="No"/>
    <s v="Mid_Adults"/>
  </r>
  <r>
    <x v="597"/>
    <s v="Instagram"/>
    <n v="20"/>
    <s v="Male"/>
    <s v="Japan"/>
    <x v="1"/>
    <s v="Low"/>
    <s v="Full_time_employed"/>
    <s v="High_school"/>
    <s v="In_a_relationship"/>
    <s v="No"/>
    <s v="Youth"/>
  </r>
  <r>
    <x v="598"/>
    <s v="Instagram"/>
    <n v="41"/>
    <s v="Male"/>
    <s v="India"/>
    <x v="1"/>
    <s v="Middle"/>
    <s v="Unemployed"/>
    <s v="High_school"/>
    <s v="In_a_relationship"/>
    <s v="No"/>
    <s v="Mid_Adults"/>
  </r>
  <r>
    <x v="599"/>
    <s v="Instagram"/>
    <n v="38"/>
    <s v="Female"/>
    <s v="India"/>
    <x v="2"/>
    <s v="Low"/>
    <s v="Full_time_employed"/>
    <s v="Some_college"/>
    <s v="In_a_relationship"/>
    <s v="Yes"/>
    <s v="Mid_Adults"/>
  </r>
  <r>
    <x v="600"/>
    <s v="Instagram"/>
    <n v="22"/>
    <s v="Female"/>
    <s v="United_States"/>
    <x v="2"/>
    <s v="Middle"/>
    <s v="Student"/>
    <s v="Bachelors_degree"/>
    <s v="Single"/>
    <s v="Yes"/>
    <s v="Youth"/>
  </r>
  <r>
    <x v="601"/>
    <s v="Instagram"/>
    <n v="38"/>
    <s v="Female"/>
    <s v="United_States"/>
    <x v="1"/>
    <s v="Low"/>
    <s v="Student"/>
    <s v="Masters_degree"/>
    <s v="Married"/>
    <s v="Yes"/>
    <s v="Mid_Adults"/>
  </r>
  <r>
    <x v="602"/>
    <s v="Instagram"/>
    <n v="46"/>
    <s v="Male"/>
    <s v="United _Kingdom"/>
    <x v="0"/>
    <s v="Upper_middle"/>
    <s v="Full_time_employed"/>
    <s v="Bachelors_degree"/>
    <s v="Single"/>
    <s v="Yes"/>
    <s v="Seniors"/>
  </r>
  <r>
    <x v="603"/>
    <s v="Instagram"/>
    <n v="63"/>
    <s v="Female"/>
    <s v="Canada"/>
    <x v="2"/>
    <s v="Upper_middle"/>
    <s v="Full_time_employed"/>
    <s v="Bachelors_degree"/>
    <s v="Single"/>
    <s v="No"/>
    <s v="Seniors"/>
  </r>
  <r>
    <x v="604"/>
    <s v="Instagram"/>
    <n v="53"/>
    <s v="Female"/>
    <s v="India"/>
    <x v="1"/>
    <s v="Lower_middle"/>
    <s v="Part_time"/>
    <s v="Bachelors_degree"/>
    <s v="Single"/>
    <s v="Yes"/>
    <s v="Seniors"/>
  </r>
  <r>
    <x v="605"/>
    <s v="Instagram"/>
    <n v="19"/>
    <s v="Male"/>
    <s v="Germany"/>
    <x v="1"/>
    <s v="Middle"/>
    <s v="Student"/>
    <s v="High_school"/>
    <s v="Married"/>
    <s v="No"/>
    <s v="Youth"/>
  </r>
  <r>
    <x v="606"/>
    <s v="Instagram"/>
    <n v="16"/>
    <s v="Male"/>
    <s v="Japan"/>
    <x v="1"/>
    <s v="Low"/>
    <s v="Student"/>
    <s v="High_school"/>
    <s v="Single"/>
    <s v="No"/>
    <s v="Under_18"/>
  </r>
  <r>
    <x v="607"/>
    <s v="Instagram"/>
    <n v="65"/>
    <s v="Male"/>
    <s v="United_States"/>
    <x v="1"/>
    <s v="Middle"/>
    <s v="Full_time_employed"/>
    <s v="Some_college"/>
    <s v="In_a_relationship"/>
    <s v="No"/>
    <s v="Seniors"/>
  </r>
  <r>
    <x v="608"/>
    <s v="Instagram"/>
    <n v="62"/>
    <s v="Male"/>
    <s v="India"/>
    <x v="2"/>
    <s v="Low"/>
    <s v="Full_time_employed"/>
    <s v="Bachelors_degree"/>
    <s v="Single"/>
    <s v="No"/>
    <s v="Seniors"/>
  </r>
  <r>
    <x v="609"/>
    <s v="Instagram"/>
    <n v="57"/>
    <s v="Male"/>
    <s v="United_States"/>
    <x v="1"/>
    <s v="High"/>
    <s v="Part_time"/>
    <s v="High_school"/>
    <s v="In_a_relationship"/>
    <s v="No"/>
    <s v="Seniors"/>
  </r>
  <r>
    <x v="610"/>
    <s v="Instagram"/>
    <n v="23"/>
    <s v="Male"/>
    <s v="Canada"/>
    <x v="1"/>
    <s v="High"/>
    <s v="Full_time_employed"/>
    <s v="High_school"/>
    <s v="Married"/>
    <s v="No"/>
    <s v="Youth"/>
  </r>
  <r>
    <x v="611"/>
    <s v="Instagram"/>
    <n v="41"/>
    <s v="Female"/>
    <s v="United_States"/>
    <x v="1"/>
    <s v="Lower_middle"/>
    <s v="Unemployed"/>
    <s v="High_school"/>
    <s v="Married"/>
    <s v="No"/>
    <s v="Mid_Adults"/>
  </r>
  <r>
    <x v="612"/>
    <s v="Instagram"/>
    <n v="48"/>
    <s v="Male"/>
    <s v="India"/>
    <x v="2"/>
    <s v="Middle"/>
    <s v="Student"/>
    <s v="Some_college"/>
    <s v="Single"/>
    <s v="No"/>
    <s v="Seniors"/>
  </r>
  <r>
    <x v="613"/>
    <s v="Instagram"/>
    <n v="37"/>
    <s v="Female"/>
    <s v="United _Kingdom"/>
    <x v="0"/>
    <s v="Middle"/>
    <s v="Full_time_employed"/>
    <s v="Masters_degree"/>
    <s v="Single"/>
    <s v="Yes"/>
    <s v="Mid_Adults"/>
  </r>
  <r>
    <x v="614"/>
    <s v="Instagram"/>
    <n v="33"/>
    <s v="Male"/>
    <s v="Brazil"/>
    <x v="2"/>
    <s v="Middle"/>
    <s v="Full_time_employed"/>
    <s v="Bachelors_degree"/>
    <s v="Single"/>
    <s v="No"/>
    <s v="Young_Adults"/>
  </r>
  <r>
    <x v="615"/>
    <s v="Instagram"/>
    <n v="48"/>
    <s v="Female"/>
    <s v="United_States"/>
    <x v="1"/>
    <s v="Lower_middle"/>
    <s v="Part_time"/>
    <s v="High_school"/>
    <s v="In_a_relationship"/>
    <s v="No"/>
    <s v="Seniors"/>
  </r>
  <r>
    <x v="616"/>
    <s v="Instagram"/>
    <n v="22"/>
    <s v="Female"/>
    <s v="Australia"/>
    <x v="2"/>
    <s v="Middle"/>
    <s v="Unemployed"/>
    <s v="Some_college"/>
    <s v="Married"/>
    <s v="Yes"/>
    <s v="Youth"/>
  </r>
  <r>
    <x v="617"/>
    <s v="Instagram"/>
    <n v="49"/>
    <s v="Male"/>
    <s v="South_Korea"/>
    <x v="1"/>
    <s v="High"/>
    <s v="Full_time_employed"/>
    <s v="Some_college"/>
    <s v="Single"/>
    <s v="No"/>
    <s v="Seniors"/>
  </r>
  <r>
    <x v="618"/>
    <s v="Instagram"/>
    <n v="21"/>
    <s v="Male"/>
    <s v="United_States"/>
    <x v="2"/>
    <s v="Middle"/>
    <s v="Full_time_employed"/>
    <s v="High_school"/>
    <s v="Married"/>
    <s v="No"/>
    <s v="Youth"/>
  </r>
  <r>
    <x v="619"/>
    <s v="Instagram"/>
    <n v="36"/>
    <s v="Male"/>
    <s v="India"/>
    <x v="2"/>
    <s v="Lower_middle"/>
    <s v="Full_time_employed"/>
    <s v="Other"/>
    <s v="Single"/>
    <s v="No"/>
    <s v="Mid_Adults"/>
  </r>
  <r>
    <x v="620"/>
    <s v="Instagram"/>
    <n v="47"/>
    <s v="Male"/>
    <s v="Australia"/>
    <x v="1"/>
    <s v="Lower_middle"/>
    <s v="Full_time_employed"/>
    <s v="Bachelors_degree"/>
    <s v="Divorced"/>
    <s v="No"/>
    <s v="Seniors"/>
  </r>
  <r>
    <x v="621"/>
    <s v="Instagram"/>
    <n v="61"/>
    <s v="Female"/>
    <s v="India"/>
    <x v="2"/>
    <s v="Lower_middle"/>
    <s v="Full_time_employed"/>
    <s v="High_school"/>
    <s v="Single"/>
    <s v="No"/>
    <s v="Seniors"/>
  </r>
  <r>
    <x v="622"/>
    <s v="Instagram"/>
    <n v="47"/>
    <s v="Male"/>
    <s v="Australia"/>
    <x v="1"/>
    <s v="Lower_middle"/>
    <s v="Freelancer"/>
    <s v="Bachelors_degree"/>
    <s v="Single"/>
    <s v="No"/>
    <s v="Seniors"/>
  </r>
  <r>
    <x v="623"/>
    <s v="Instagram"/>
    <n v="60"/>
    <s v="Male"/>
    <s v="United_States"/>
    <x v="1"/>
    <s v="Middle"/>
    <s v="Full_time_employed"/>
    <s v="Bachelors_degree"/>
    <s v="In_a_relationship"/>
    <s v="No"/>
    <s v="Seniors"/>
  </r>
  <r>
    <x v="624"/>
    <s v="Instagram"/>
    <n v="48"/>
    <s v="Female"/>
    <s v="United_States"/>
    <x v="1"/>
    <s v="High"/>
    <s v="Student"/>
    <s v="Bachelors_degree"/>
    <s v="Single"/>
    <s v="No"/>
    <s v="Seniors"/>
  </r>
  <r>
    <x v="625"/>
    <s v="Instagram"/>
    <n v="30"/>
    <s v="Male"/>
    <s v="United_States"/>
    <x v="1"/>
    <s v="Lower_middle"/>
    <s v="Freelancer"/>
    <s v="Some_college"/>
    <s v="Married"/>
    <s v="No"/>
    <s v="Young_Adults"/>
  </r>
  <r>
    <x v="626"/>
    <s v="Instagram"/>
    <n v="61"/>
    <s v="Male"/>
    <s v="United _Kingdom"/>
    <x v="1"/>
    <s v="Lower_middle"/>
    <s v="Unemployed"/>
    <s v="Masters_degree"/>
    <s v="Divorced"/>
    <s v="No"/>
    <s v="Seniors"/>
  </r>
  <r>
    <x v="627"/>
    <s v="Instagram"/>
    <n v="51"/>
    <s v="Female"/>
    <s v="India"/>
    <x v="0"/>
    <s v="Upper_middle"/>
    <s v="Freelancer"/>
    <s v="Bachelors_degree"/>
    <s v="In_a_relationship"/>
    <s v="No"/>
    <s v="Seniors"/>
  </r>
  <r>
    <x v="628"/>
    <s v="Instagram"/>
    <n v="44"/>
    <s v="Male"/>
    <s v="Brazil"/>
    <x v="0"/>
    <s v="Middle"/>
    <s v="Full_time_employed"/>
    <s v="Some_college"/>
    <s v="Married"/>
    <s v="Yes"/>
    <s v="Mid_Adults"/>
  </r>
  <r>
    <x v="629"/>
    <s v="Instagram"/>
    <n v="36"/>
    <s v="Female"/>
    <s v="Other"/>
    <x v="1"/>
    <s v="Middle"/>
    <s v="Full_time_employed"/>
    <s v="Bachelors_degree"/>
    <s v="Single"/>
    <s v="No"/>
    <s v="Mid_Adults"/>
  </r>
  <r>
    <x v="630"/>
    <s v="Instagram"/>
    <n v="35"/>
    <s v="Male"/>
    <s v="Brazil"/>
    <x v="2"/>
    <s v="Upper_middle"/>
    <s v="Part_time"/>
    <s v="PhD"/>
    <s v="In_a_relationship"/>
    <s v="No"/>
    <s v="Young_Adults"/>
  </r>
  <r>
    <x v="631"/>
    <s v="Instagram"/>
    <n v="44"/>
    <s v="Male"/>
    <s v="India"/>
    <x v="1"/>
    <s v="Lower_middle"/>
    <s v="Full_time_employed"/>
    <s v="High_school"/>
    <s v="Married"/>
    <s v="Yes"/>
    <s v="Mid_Adults"/>
  </r>
  <r>
    <x v="632"/>
    <s v="Instagram"/>
    <n v="49"/>
    <s v="Male"/>
    <s v="Brazil"/>
    <x v="0"/>
    <s v="Middle"/>
    <s v="Student"/>
    <s v="Bachelors_degree"/>
    <s v="Single"/>
    <s v="No"/>
    <s v="Seniors"/>
  </r>
  <r>
    <x v="633"/>
    <s v="Instagram"/>
    <n v="24"/>
    <s v="Male"/>
    <s v="India"/>
    <x v="1"/>
    <s v="Lower_middle"/>
    <s v="Part_time"/>
    <s v="Other"/>
    <s v="In_a_relationship"/>
    <s v="No"/>
    <s v="Youth"/>
  </r>
  <r>
    <x v="634"/>
    <s v="Instagram"/>
    <n v="61"/>
    <s v="Male"/>
    <s v="United _Kingdom"/>
    <x v="1"/>
    <s v="Middle"/>
    <s v="Full_time_employed"/>
    <s v="Bachelors_degree"/>
    <s v="Single"/>
    <s v="No"/>
    <s v="Seniors"/>
  </r>
  <r>
    <x v="635"/>
    <s v="Instagram"/>
    <n v="25"/>
    <s v="Non_binary"/>
    <s v="South_Korea"/>
    <x v="2"/>
    <s v="Middle"/>
    <s v="Student"/>
    <s v="High_school"/>
    <s v="Divorced"/>
    <s v="No"/>
    <s v="Youth"/>
  </r>
  <r>
    <x v="636"/>
    <s v="Instagram"/>
    <n v="35"/>
    <s v="Male"/>
    <s v="Australia"/>
    <x v="1"/>
    <s v="Middle"/>
    <s v="Freelancer"/>
    <s v="High_school"/>
    <s v="Single"/>
    <s v="No"/>
    <s v="Young_Adults"/>
  </r>
  <r>
    <x v="637"/>
    <s v="Instagram"/>
    <n v="37"/>
    <s v="Male"/>
    <s v="United_States"/>
    <x v="1"/>
    <s v="High"/>
    <s v="Full_time_employed"/>
    <s v="High_school"/>
    <s v="Married"/>
    <s v="No"/>
    <s v="Mid_Adults"/>
  </r>
  <r>
    <x v="638"/>
    <s v="Instagram"/>
    <n v="47"/>
    <s v="Male"/>
    <s v="India"/>
    <x v="2"/>
    <s v="High"/>
    <s v="Full_time_employed"/>
    <s v="Masters_degree"/>
    <s v="Single"/>
    <s v="Yes"/>
    <s v="Seniors"/>
  </r>
  <r>
    <x v="639"/>
    <s v="Instagram"/>
    <n v="53"/>
    <s v="Male"/>
    <s v="India"/>
    <x v="1"/>
    <s v="Middle"/>
    <s v="Student"/>
    <s v="High_school"/>
    <s v="Single"/>
    <s v="Yes"/>
    <s v="Seniors"/>
  </r>
  <r>
    <x v="640"/>
    <s v="Instagram"/>
    <n v="42"/>
    <s v="Female"/>
    <s v="United_States"/>
    <x v="0"/>
    <s v="Low"/>
    <s v="Freelancer"/>
    <s v="High_school"/>
    <s v="In_a_relationship"/>
    <s v="Yes"/>
    <s v="Mid_Adults"/>
  </r>
  <r>
    <x v="641"/>
    <s v="Instagram"/>
    <n v="29"/>
    <s v="Male"/>
    <s v="United_States"/>
    <x v="1"/>
    <s v="Low"/>
    <s v="Retired"/>
    <s v="Some_college"/>
    <s v="Single"/>
    <s v="No"/>
    <s v="Young_Adults"/>
  </r>
  <r>
    <x v="642"/>
    <s v="Instagram"/>
    <n v="61"/>
    <s v="Female"/>
    <s v="United_States"/>
    <x v="1"/>
    <s v="Low"/>
    <s v="Full_time_employed"/>
    <s v="High_school"/>
    <s v="Married"/>
    <s v="No"/>
    <s v="Seniors"/>
  </r>
  <r>
    <x v="643"/>
    <s v="Instagram"/>
    <n v="32"/>
    <s v="Female"/>
    <s v="Canada"/>
    <x v="1"/>
    <s v="Low"/>
    <s v="Student"/>
    <s v="Bachelors_degree"/>
    <s v="In_a_relationship"/>
    <s v="No"/>
    <s v="Young_Adults"/>
  </r>
  <r>
    <x v="644"/>
    <s v="Instagram"/>
    <n v="60"/>
    <s v="Non_binary"/>
    <s v="India"/>
    <x v="2"/>
    <s v="Middle"/>
    <s v="Full_time_employed"/>
    <s v="Bachelors_degree"/>
    <s v="Married"/>
    <s v="Yes"/>
    <s v="Seniors"/>
  </r>
  <r>
    <x v="645"/>
    <s v="Instagram"/>
    <n v="37"/>
    <s v="Male"/>
    <s v="United_States"/>
    <x v="1"/>
    <s v="Low"/>
    <s v="Part_time"/>
    <s v="Bachelors_degree"/>
    <s v="In_a_relationship"/>
    <s v="Yes"/>
    <s v="Mid_Adults"/>
  </r>
  <r>
    <x v="646"/>
    <s v="Instagram"/>
    <n v="34"/>
    <s v="Female"/>
    <s v="Germany"/>
    <x v="1"/>
    <s v="Upper_middle"/>
    <s v="Student"/>
    <s v="Bachelors_degree"/>
    <s v="In_a_relationship"/>
    <s v="No"/>
    <s v="Young_Adults"/>
  </r>
  <r>
    <x v="647"/>
    <s v="Instagram"/>
    <n v="25"/>
    <s v="Male"/>
    <s v="India"/>
    <x v="1"/>
    <s v="Upper_middle"/>
    <s v="Full_time_employed"/>
    <s v="Bachelors_degree"/>
    <s v="Married"/>
    <s v="Yes"/>
    <s v="Youth"/>
  </r>
  <r>
    <x v="648"/>
    <s v="Instagram"/>
    <n v="31"/>
    <s v="Female"/>
    <s v="Australia"/>
    <x v="0"/>
    <s v="Upper_middle"/>
    <s v="Unemployed"/>
    <s v="High_school"/>
    <s v="Single"/>
    <s v="No"/>
    <s v="Young_Adults"/>
  </r>
  <r>
    <x v="649"/>
    <s v="Instagram"/>
    <n v="61"/>
    <s v="Male"/>
    <s v="United _Kingdom"/>
    <x v="2"/>
    <s v="Lower_middle"/>
    <s v="Full_time_employed"/>
    <s v="Masters_degree"/>
    <s v="Married"/>
    <s v="No"/>
    <s v="Seniors"/>
  </r>
  <r>
    <x v="650"/>
    <s v="Instagram"/>
    <n v="48"/>
    <s v="Male"/>
    <s v="India"/>
    <x v="2"/>
    <s v="Lower_middle"/>
    <s v="Student"/>
    <s v="High_school"/>
    <s v="Single"/>
    <s v="Yes"/>
    <s v="Seniors"/>
  </r>
  <r>
    <x v="651"/>
    <s v="Instagram"/>
    <n v="24"/>
    <s v="Male"/>
    <s v="United_States"/>
    <x v="2"/>
    <s v="Lower_middle"/>
    <s v="Freelancer"/>
    <s v="Some_college"/>
    <s v="In_a_relationship"/>
    <s v="No"/>
    <s v="Youth"/>
  </r>
  <r>
    <x v="652"/>
    <s v="Instagram"/>
    <n v="53"/>
    <s v="Male"/>
    <s v="India"/>
    <x v="1"/>
    <s v="Lower_middle"/>
    <s v="Freelancer"/>
    <s v="Some_college"/>
    <s v="Single"/>
    <s v="Yes"/>
    <s v="Seniors"/>
  </r>
  <r>
    <x v="653"/>
    <s v="Instagram"/>
    <n v="31"/>
    <s v="Male"/>
    <s v="United_States"/>
    <x v="2"/>
    <s v="High"/>
    <s v="Full_time_employed"/>
    <s v="High_school"/>
    <s v="Married"/>
    <s v="No"/>
    <s v="Young_Adults"/>
  </r>
  <r>
    <x v="654"/>
    <s v="Instagram"/>
    <n v="24"/>
    <s v="Female"/>
    <s v="India"/>
    <x v="1"/>
    <s v="Low"/>
    <s v="Full_time_employed"/>
    <s v="Masters_degree"/>
    <s v="Single"/>
    <s v="No"/>
    <s v="Youth"/>
  </r>
  <r>
    <x v="655"/>
    <s v="Instagram"/>
    <n v="21"/>
    <s v="Male"/>
    <s v="United_States"/>
    <x v="2"/>
    <s v="Middle"/>
    <s v="Full_time_employed"/>
    <s v="High_school"/>
    <s v="In_a_relationship"/>
    <s v="No"/>
    <s v="Youth"/>
  </r>
  <r>
    <x v="656"/>
    <s v="Instagram"/>
    <n v="19"/>
    <s v="Male"/>
    <s v="India"/>
    <x v="1"/>
    <s v="High"/>
    <s v="Full_time_employed"/>
    <s v="Bachelors_degree"/>
    <s v="Single"/>
    <s v="No"/>
    <s v="Youth"/>
  </r>
  <r>
    <x v="657"/>
    <s v="Instagram"/>
    <n v="40"/>
    <s v="Female"/>
    <s v="United_States"/>
    <x v="1"/>
    <s v="Lower_middle"/>
    <s v="Part_time"/>
    <s v="Some_college"/>
    <s v="In_a_relationship"/>
    <s v="No"/>
    <s v="Mid_Adults"/>
  </r>
  <r>
    <x v="658"/>
    <s v="Instagram"/>
    <n v="26"/>
    <s v="Male"/>
    <s v="India"/>
    <x v="1"/>
    <s v="Upper_middle"/>
    <s v="Full_time_employed"/>
    <s v="Some_college"/>
    <s v="Married"/>
    <s v="No"/>
    <s v="Young_Adults"/>
  </r>
  <r>
    <x v="659"/>
    <s v="Instagram"/>
    <n v="43"/>
    <s v="Female"/>
    <s v="Other"/>
    <x v="1"/>
    <s v="Low"/>
    <s v="Student"/>
    <s v="Bachelors_degree"/>
    <s v="Single"/>
    <s v="No"/>
    <s v="Mid_Adults"/>
  </r>
  <r>
    <x v="660"/>
    <s v="Instagram"/>
    <n v="64"/>
    <s v="Female"/>
    <s v="Canada"/>
    <x v="1"/>
    <s v="High"/>
    <s v="Full_time_employed"/>
    <s v="PhD"/>
    <s v="Married"/>
    <s v="No"/>
    <s v="Seniors"/>
  </r>
  <r>
    <x v="661"/>
    <s v="Instagram"/>
    <n v="31"/>
    <s v="Male"/>
    <s v="India"/>
    <x v="1"/>
    <s v="Upper_middle"/>
    <s v="Part_time"/>
    <s v="Bachelors_degree"/>
    <s v="In_a_relationship"/>
    <s v="Yes"/>
    <s v="Young_Adults"/>
  </r>
  <r>
    <x v="662"/>
    <s v="Instagram"/>
    <n v="59"/>
    <s v="Male"/>
    <s v="United_States"/>
    <x v="1"/>
    <s v="Lower_middle"/>
    <s v="Full_time_employed"/>
    <s v="Some_college"/>
    <s v="Widowed"/>
    <s v="Yes"/>
    <s v="Seniors"/>
  </r>
  <r>
    <x v="663"/>
    <s v="Instagram"/>
    <n v="28"/>
    <s v="Female"/>
    <s v="South_Korea"/>
    <x v="1"/>
    <s v="Lower_middle"/>
    <s v="Full_time_employed"/>
    <s v="Masters_degree"/>
    <s v="Single"/>
    <s v="No"/>
    <s v="Young_Adults"/>
  </r>
  <r>
    <x v="664"/>
    <s v="Instagram"/>
    <n v="65"/>
    <s v="Female"/>
    <s v="Brazil"/>
    <x v="1"/>
    <s v="Low"/>
    <s v="Part_time"/>
    <s v="Bachelors_degree"/>
    <s v="Single"/>
    <s v="Yes"/>
    <s v="Seniors"/>
  </r>
  <r>
    <x v="665"/>
    <s v="Instagram"/>
    <n v="17"/>
    <s v="Male"/>
    <s v="India"/>
    <x v="1"/>
    <s v="Low"/>
    <s v="Full_time_employed"/>
    <s v="Some_college"/>
    <s v="In_a_relationship"/>
    <s v="No"/>
    <s v="Under_18"/>
  </r>
  <r>
    <x v="666"/>
    <s v="Instagram"/>
    <n v="47"/>
    <s v="Female"/>
    <s v="India"/>
    <x v="1"/>
    <s v="Middle"/>
    <s v="Full_time_employed"/>
    <s v="High_school"/>
    <s v="In_a_relationship"/>
    <s v="No"/>
    <s v="Seniors"/>
  </r>
  <r>
    <x v="667"/>
    <s v="Instagram"/>
    <n v="24"/>
    <s v="Male"/>
    <s v="Australia"/>
    <x v="1"/>
    <s v="Middle"/>
    <s v="Freelancer"/>
    <s v="Bachelors_degree"/>
    <s v="In_a_relationship"/>
    <s v="No"/>
    <s v="Youth"/>
  </r>
  <r>
    <x v="668"/>
    <s v="Instagram"/>
    <n v="37"/>
    <s v="Male"/>
    <s v="Canada"/>
    <x v="1"/>
    <s v="Low"/>
    <s v="Student"/>
    <s v="High_school"/>
    <s v="Single"/>
    <s v="No"/>
    <s v="Mid_Adults"/>
  </r>
  <r>
    <x v="669"/>
    <s v="Instagram"/>
    <n v="64"/>
    <s v="Male"/>
    <s v="Other"/>
    <x v="1"/>
    <s v="Lower_middle"/>
    <s v="Full_time_employed"/>
    <s v="Some_college"/>
    <s v="Single"/>
    <s v="No"/>
    <s v="Seniors"/>
  </r>
  <r>
    <x v="670"/>
    <s v="Instagram"/>
    <n v="33"/>
    <s v="Male"/>
    <s v="Japan"/>
    <x v="2"/>
    <s v="Upper_middle"/>
    <s v="Student"/>
    <s v="Masters_degree"/>
    <s v="Divorced"/>
    <s v="No"/>
    <s v="Young_Adults"/>
  </r>
  <r>
    <x v="671"/>
    <s v="Instagram"/>
    <n v="48"/>
    <s v="Male"/>
    <s v="United _Kingdom"/>
    <x v="0"/>
    <s v="Upper_middle"/>
    <s v="Part_time"/>
    <s v="High_school"/>
    <s v="Married"/>
    <s v="No"/>
    <s v="Seniors"/>
  </r>
  <r>
    <x v="672"/>
    <s v="Instagram"/>
    <n v="65"/>
    <s v="Female"/>
    <s v="Other"/>
    <x v="2"/>
    <s v="Low"/>
    <s v="Full_time_employed"/>
    <s v="Bachelors_degree"/>
    <s v="In_a_relationship"/>
    <s v="No"/>
    <s v="Seniors"/>
  </r>
  <r>
    <x v="673"/>
    <s v="Instagram"/>
    <n v="35"/>
    <s v="Male"/>
    <s v="United _Kingdom"/>
    <x v="1"/>
    <s v="Upper_middle"/>
    <s v="Unemployed"/>
    <s v="High_school"/>
    <s v="Divorced"/>
    <s v="No"/>
    <s v="Young_Adults"/>
  </r>
  <r>
    <x v="674"/>
    <s v="Instagram"/>
    <n v="28"/>
    <s v="Female"/>
    <s v="India"/>
    <x v="0"/>
    <s v="High"/>
    <s v="Full_time_employed"/>
    <s v="Some_college"/>
    <s v="Single"/>
    <s v="No"/>
    <s v="Young_Adults"/>
  </r>
  <r>
    <x v="675"/>
    <s v="Instagram"/>
    <n v="51"/>
    <s v="Male"/>
    <s v="Other"/>
    <x v="2"/>
    <s v="Low"/>
    <s v="Full_time_employed"/>
    <s v="Some_college"/>
    <s v="Married"/>
    <s v="No"/>
    <s v="Seniors"/>
  </r>
  <r>
    <x v="676"/>
    <s v="Instagram"/>
    <n v="57"/>
    <s v="Female"/>
    <s v="South_Korea"/>
    <x v="1"/>
    <s v="Middle"/>
    <s v="Unemployed"/>
    <s v="Masters_degree"/>
    <s v="In_a_relationship"/>
    <s v="Yes"/>
    <s v="Seniors"/>
  </r>
  <r>
    <x v="677"/>
    <s v="Instagram"/>
    <n v="65"/>
    <s v="Female"/>
    <s v="United_States"/>
    <x v="1"/>
    <s v="Lower_middle"/>
    <s v="Freelancer"/>
    <s v="Some_college"/>
    <s v="Single"/>
    <s v="Yes"/>
    <s v="Seniors"/>
  </r>
  <r>
    <x v="678"/>
    <s v="Instagram"/>
    <n v="54"/>
    <s v="Female"/>
    <s v="United_States"/>
    <x v="2"/>
    <s v="Lower_middle"/>
    <s v="Full_time_employed"/>
    <s v="Some_college"/>
    <s v="Married"/>
    <s v="No"/>
    <s v="Seniors"/>
  </r>
  <r>
    <x v="679"/>
    <s v="Instagram"/>
    <n v="51"/>
    <s v="Female"/>
    <s v="United _Kingdom"/>
    <x v="1"/>
    <s v="Lower_middle"/>
    <s v="Part_time"/>
    <s v="Masters_degree"/>
    <s v="Single"/>
    <s v="No"/>
    <s v="Seniors"/>
  </r>
  <r>
    <x v="680"/>
    <s v="Instagram"/>
    <n v="26"/>
    <s v="Female"/>
    <s v="Other"/>
    <x v="0"/>
    <s v="Low"/>
    <s v="Freelancer"/>
    <s v="Bachelors_degree"/>
    <s v="In_a_relationship"/>
    <s v="Yes"/>
    <s v="Young_Adults"/>
  </r>
  <r>
    <x v="681"/>
    <s v="Instagram"/>
    <n v="43"/>
    <s v="Male"/>
    <s v="United_States"/>
    <x v="1"/>
    <s v="Middle"/>
    <s v="Full_time_employed"/>
    <s v="Masters_degree"/>
    <s v="Divorced"/>
    <s v="No"/>
    <s v="Mid_Adults"/>
  </r>
  <r>
    <x v="682"/>
    <s v="Instagram"/>
    <n v="17"/>
    <s v="Female"/>
    <s v="India"/>
    <x v="1"/>
    <s v="Low"/>
    <s v="Full_time_employed"/>
    <s v="High_school"/>
    <s v="In_a_relationship"/>
    <s v="No"/>
    <s v="Under_18"/>
  </r>
  <r>
    <x v="683"/>
    <s v="Instagram"/>
    <n v="47"/>
    <s v="Female"/>
    <s v="Brazil"/>
    <x v="2"/>
    <s v="Lower_middle"/>
    <s v="Full_time_employed"/>
    <s v="Some_college"/>
    <s v="Single"/>
    <s v="Yes"/>
    <s v="Seniors"/>
  </r>
  <r>
    <x v="684"/>
    <s v="Instagram"/>
    <n v="35"/>
    <s v="Male"/>
    <s v="Germany"/>
    <x v="1"/>
    <s v="Middle"/>
    <s v="Freelancer"/>
    <s v="Some_college"/>
    <s v="In_a_relationship"/>
    <s v="Yes"/>
    <s v="Young_Adults"/>
  </r>
  <r>
    <x v="685"/>
    <s v="Instagram"/>
    <n v="41"/>
    <s v="Male"/>
    <s v="Canada"/>
    <x v="0"/>
    <s v="Lower_middle"/>
    <s v="Unemployed"/>
    <s v="Bachelors_degree"/>
    <s v="Married"/>
    <s v="No"/>
    <s v="Mid_Adults"/>
  </r>
  <r>
    <x v="686"/>
    <s v="Instagram"/>
    <n v="55"/>
    <s v="Male"/>
    <s v="United_States"/>
    <x v="1"/>
    <s v="Lower_middle"/>
    <s v="Full_time_employed"/>
    <s v="High_school"/>
    <s v="Single"/>
    <s v="Yes"/>
    <s v="Seniors"/>
  </r>
  <r>
    <x v="687"/>
    <s v="Instagram"/>
    <n v="23"/>
    <s v="Male"/>
    <s v="India"/>
    <x v="2"/>
    <s v="Middle"/>
    <s v="Full_time_employed"/>
    <s v="Bachelors_degree"/>
    <s v="Married"/>
    <s v="No"/>
    <s v="Youth"/>
  </r>
  <r>
    <x v="688"/>
    <s v="Instagram"/>
    <n v="30"/>
    <s v="Female"/>
    <s v="Other"/>
    <x v="1"/>
    <s v="Lower_middle"/>
    <s v="Student"/>
    <s v="High_school"/>
    <s v="In_a_relationship"/>
    <s v="Yes"/>
    <s v="Young_Adults"/>
  </r>
  <r>
    <x v="689"/>
    <s v="Instagram"/>
    <n v="59"/>
    <s v="Female"/>
    <s v="United_States"/>
    <x v="1"/>
    <s v="Lower_middle"/>
    <s v="Full_time_employed"/>
    <s v="High_school"/>
    <s v="In_a_relationship"/>
    <s v="No"/>
    <s v="Seniors"/>
  </r>
  <r>
    <x v="690"/>
    <s v="Instagram"/>
    <n v="24"/>
    <s v="Male"/>
    <s v="Brazil"/>
    <x v="1"/>
    <s v="Low"/>
    <s v="Unemployed"/>
    <s v="Bachelors_degree"/>
    <s v="Divorced"/>
    <s v="Yes"/>
    <s v="Youth"/>
  </r>
  <r>
    <x v="691"/>
    <s v="Instagram"/>
    <n v="21"/>
    <s v="Non_binary"/>
    <s v="India"/>
    <x v="1"/>
    <s v="High"/>
    <s v="Student"/>
    <s v="Bachelors_degree"/>
    <s v="Single"/>
    <s v="No"/>
    <s v="Youth"/>
  </r>
  <r>
    <x v="692"/>
    <s v="Instagram"/>
    <n v="22"/>
    <s v="Male"/>
    <s v="Brazil"/>
    <x v="2"/>
    <s v="Middle"/>
    <s v="Full_time_employed"/>
    <s v="Masters_degree"/>
    <s v="Married"/>
    <s v="Yes"/>
    <s v="Youth"/>
  </r>
  <r>
    <x v="693"/>
    <s v="Instagram"/>
    <n v="56"/>
    <s v="Male"/>
    <s v="India"/>
    <x v="1"/>
    <s v="Middle"/>
    <s v="Full_time_employed"/>
    <s v="Bachelors_degree"/>
    <s v="Single"/>
    <s v="No"/>
    <s v="Seniors"/>
  </r>
  <r>
    <x v="694"/>
    <s v="Instagram"/>
    <n v="29"/>
    <s v="Male"/>
    <s v="Brazil"/>
    <x v="1"/>
    <s v="Low"/>
    <s v="Full_time_employed"/>
    <s v="Some_college"/>
    <s v="Married"/>
    <s v="No"/>
    <s v="Young_Adults"/>
  </r>
  <r>
    <x v="695"/>
    <s v="Instagram"/>
    <n v="50"/>
    <s v="Female"/>
    <s v="United_States"/>
    <x v="1"/>
    <s v="Lower_middle"/>
    <s v="Full_time_employed"/>
    <s v="Masters_degree"/>
    <s v="Married"/>
    <s v="No"/>
    <s v="Seniors"/>
  </r>
  <r>
    <x v="696"/>
    <s v="Instagram"/>
    <n v="19"/>
    <s v="Female"/>
    <s v="Canada"/>
    <x v="1"/>
    <s v="Middle"/>
    <s v="Student"/>
    <s v="Bachelors_degree"/>
    <s v="Married"/>
    <s v="Yes"/>
    <s v="Youth"/>
  </r>
  <r>
    <x v="697"/>
    <s v="Instagram"/>
    <n v="58"/>
    <s v="Female"/>
    <s v="Other"/>
    <x v="1"/>
    <s v="Middle"/>
    <s v="Full_time_employed"/>
    <s v="Some_college"/>
    <s v="Married"/>
    <s v="Yes"/>
    <s v="Seniors"/>
  </r>
  <r>
    <x v="698"/>
    <s v="Instagram"/>
    <n v="25"/>
    <s v="Female"/>
    <s v="Other"/>
    <x v="1"/>
    <s v="Upper_middle"/>
    <s v="Student"/>
    <s v="Some_college"/>
    <s v="Divorced"/>
    <s v="No"/>
    <s v="Youth"/>
  </r>
  <r>
    <x v="699"/>
    <s v="Instagram"/>
    <n v="52"/>
    <s v="Male"/>
    <s v="Australia"/>
    <x v="1"/>
    <s v="Middle"/>
    <s v="Student"/>
    <s v="Bachelors_degree"/>
    <s v="Married"/>
    <s v="Yes"/>
    <s v="Seniors"/>
  </r>
  <r>
    <x v="700"/>
    <s v="Instagram"/>
    <n v="54"/>
    <s v="Non_binary"/>
    <s v="South_Korea"/>
    <x v="2"/>
    <s v="Upper_middle"/>
    <s v="Full_time_employed"/>
    <s v="Bachelors_degree"/>
    <s v="Single"/>
    <s v="Yes"/>
    <s v="Seniors"/>
  </r>
  <r>
    <x v="701"/>
    <s v="Instagram"/>
    <n v="21"/>
    <s v="Female"/>
    <s v="United _Kingdom"/>
    <x v="1"/>
    <s v="Low"/>
    <s v="Full_time_employed"/>
    <s v="High_school"/>
    <s v="Single"/>
    <s v="Yes"/>
    <s v="Youth"/>
  </r>
  <r>
    <x v="702"/>
    <s v="Instagram"/>
    <n v="62"/>
    <s v="Female"/>
    <s v="United_States"/>
    <x v="1"/>
    <s v="Upper_middle"/>
    <s v="Student"/>
    <s v="Some_college"/>
    <s v="In_a_relationship"/>
    <s v="No"/>
    <s v="Seniors"/>
  </r>
  <r>
    <x v="703"/>
    <s v="Instagram"/>
    <n v="39"/>
    <s v="Female"/>
    <s v="United _Kingdom"/>
    <x v="2"/>
    <s v="Lower_middle"/>
    <s v="Student"/>
    <s v="Bachelors_degree"/>
    <s v="Single"/>
    <s v="Yes"/>
    <s v="Mid_Adults"/>
  </r>
  <r>
    <x v="704"/>
    <s v="Instagram"/>
    <n v="14"/>
    <s v="Male"/>
    <s v="South_Korea"/>
    <x v="2"/>
    <s v="Lower_middle"/>
    <s v="Full_time_employed"/>
    <s v="High_school"/>
    <s v="Single"/>
    <s v="No"/>
    <s v="Under_18"/>
  </r>
  <r>
    <x v="705"/>
    <s v="Instagram"/>
    <n v="17"/>
    <s v="Male"/>
    <s v="India"/>
    <x v="1"/>
    <s v="Lower_middle"/>
    <s v="Full_time_employed"/>
    <s v="Bachelors_degree"/>
    <s v="Single"/>
    <s v="No"/>
    <s v="Under_18"/>
  </r>
  <r>
    <x v="706"/>
    <s v="Instagram"/>
    <n v="41"/>
    <s v="Female"/>
    <s v="India"/>
    <x v="1"/>
    <s v="Lower_middle"/>
    <s v="Student"/>
    <s v="Bachelors_degree"/>
    <s v="In_a_relationship"/>
    <s v="No"/>
    <s v="Mid_Adults"/>
  </r>
  <r>
    <x v="707"/>
    <s v="Instagram"/>
    <n v="49"/>
    <s v="Female"/>
    <s v="Brazil"/>
    <x v="2"/>
    <s v="Low"/>
    <s v="Part_time"/>
    <s v="Bachelors_degree"/>
    <s v="Single"/>
    <s v="Yes"/>
    <s v="Seniors"/>
  </r>
  <r>
    <x v="708"/>
    <s v="Instagram"/>
    <n v="50"/>
    <s v="Female"/>
    <s v="South_Korea"/>
    <x v="1"/>
    <s v="Middle"/>
    <s v="Full_time_employed"/>
    <s v="Some_college"/>
    <s v="Single"/>
    <s v="No"/>
    <s v="Seniors"/>
  </r>
  <r>
    <x v="709"/>
    <s v="Instagram"/>
    <n v="31"/>
    <s v="Male"/>
    <s v="Australia"/>
    <x v="2"/>
    <s v="Lower_middle"/>
    <s v="Student"/>
    <s v="High_school"/>
    <s v="In_a_relationship"/>
    <s v="Yes"/>
    <s v="Young_Adults"/>
  </r>
  <r>
    <x v="710"/>
    <s v="Instagram"/>
    <n v="20"/>
    <s v="Female"/>
    <s v="United_States"/>
    <x v="2"/>
    <s v="Low"/>
    <s v="Student"/>
    <s v="High_school"/>
    <s v="Married"/>
    <s v="Yes"/>
    <s v="Youth"/>
  </r>
  <r>
    <x v="711"/>
    <s v="Instagram"/>
    <n v="60"/>
    <s v="Female"/>
    <s v="South_Korea"/>
    <x v="2"/>
    <s v="Upper_middle"/>
    <s v="Unemployed"/>
    <s v="Bachelors_degree"/>
    <s v="Single"/>
    <s v="No"/>
    <s v="Seniors"/>
  </r>
  <r>
    <x v="712"/>
    <s v="Instagram"/>
    <n v="57"/>
    <s v="Male"/>
    <s v="India"/>
    <x v="2"/>
    <s v="Middle"/>
    <s v="Part_time"/>
    <s v="Masters_degree"/>
    <s v="In_a_relationship"/>
    <s v="No"/>
    <s v="Seniors"/>
  </r>
  <r>
    <x v="713"/>
    <s v="Instagram"/>
    <n v="13"/>
    <s v="Male"/>
    <s v="United_States"/>
    <x v="1"/>
    <s v="Middle"/>
    <s v="Full_time_employed"/>
    <s v="High_school"/>
    <s v="In_a_relationship"/>
    <s v="No"/>
    <s v="Under_18"/>
  </r>
  <r>
    <x v="714"/>
    <s v="Instagram"/>
    <n v="34"/>
    <s v="Male"/>
    <s v="Japan"/>
    <x v="1"/>
    <s v="Middle"/>
    <s v="Student"/>
    <s v="Masters_degree"/>
    <s v="Single"/>
    <s v="No"/>
    <s v="Young_Adults"/>
  </r>
  <r>
    <x v="715"/>
    <s v="Instagram"/>
    <n v="64"/>
    <s v="Female"/>
    <s v="Japan"/>
    <x v="2"/>
    <s v="Middle"/>
    <s v="Retired"/>
    <s v="Some_college"/>
    <s v="Single"/>
    <s v="No"/>
    <s v="Seniors"/>
  </r>
  <r>
    <x v="716"/>
    <s v="Instagram"/>
    <n v="29"/>
    <s v="Male"/>
    <s v="India"/>
    <x v="1"/>
    <s v="Middle"/>
    <s v="Student"/>
    <s v="High_school"/>
    <s v="In_a_relationship"/>
    <s v="No"/>
    <s v="Young_Adults"/>
  </r>
  <r>
    <x v="717"/>
    <s v="Instagram"/>
    <n v="19"/>
    <s v="Male"/>
    <s v="Brazil"/>
    <x v="0"/>
    <s v="Middle"/>
    <s v="Unemployed"/>
    <s v="Some_college"/>
    <s v="In_a_relationship"/>
    <s v="No"/>
    <s v="Youth"/>
  </r>
  <r>
    <x v="718"/>
    <s v="Instagram"/>
    <n v="37"/>
    <s v="Female"/>
    <s v="Brazil"/>
    <x v="2"/>
    <s v="High"/>
    <s v="Full_time_employed"/>
    <s v="Bachelors_degree"/>
    <s v="Married"/>
    <s v="No"/>
    <s v="Mid_Adults"/>
  </r>
  <r>
    <x v="719"/>
    <s v="Instagram"/>
    <n v="57"/>
    <s v="Female"/>
    <s v="United_States"/>
    <x v="1"/>
    <s v="Middle"/>
    <s v="Freelancer"/>
    <s v="Masters_degree"/>
    <s v="Single"/>
    <s v="Yes"/>
    <s v="Seniors"/>
  </r>
  <r>
    <x v="720"/>
    <s v="Instagram"/>
    <n v="16"/>
    <s v="Male"/>
    <s v="Germany"/>
    <x v="0"/>
    <s v="Lower_middle"/>
    <s v="Full_time_employed"/>
    <s v="Some_college"/>
    <s v="Single"/>
    <s v="Yes"/>
    <s v="Under_18"/>
  </r>
  <r>
    <x v="721"/>
    <s v="Instagram"/>
    <n v="48"/>
    <s v="Female"/>
    <s v="India"/>
    <x v="1"/>
    <s v="Upper_middle"/>
    <s v="Full_time_employed"/>
    <s v="Bachelors_degree"/>
    <s v="Married"/>
    <s v="No"/>
    <s v="Seniors"/>
  </r>
  <r>
    <x v="722"/>
    <s v="Instagram"/>
    <n v="18"/>
    <s v="Female"/>
    <s v="India"/>
    <x v="1"/>
    <s v="Middle"/>
    <s v="Student"/>
    <s v="Other"/>
    <s v="Married"/>
    <s v="No"/>
    <s v="Youth"/>
  </r>
  <r>
    <x v="723"/>
    <s v="Instagram"/>
    <n v="43"/>
    <s v="Male"/>
    <s v="United_States"/>
    <x v="1"/>
    <s v="Lower_middle"/>
    <s v="Full_time_employed"/>
    <s v="Bachelors_degree"/>
    <s v="In_a_relationship"/>
    <s v="No"/>
    <s v="Mid_Adults"/>
  </r>
  <r>
    <x v="724"/>
    <s v="Instagram"/>
    <n v="31"/>
    <s v="Female"/>
    <s v="Other"/>
    <x v="2"/>
    <s v="Middle"/>
    <s v="Full_time_employed"/>
    <s v="Masters_degree"/>
    <s v="Married"/>
    <s v="No"/>
    <s v="Young_Adults"/>
  </r>
  <r>
    <x v="725"/>
    <s v="Instagram"/>
    <n v="56"/>
    <s v="Male"/>
    <s v="Brazil"/>
    <x v="1"/>
    <s v="Lower_middle"/>
    <s v="Full_time_employed"/>
    <s v="Bachelors_degree"/>
    <s v="Married"/>
    <s v="Yes"/>
    <s v="Seniors"/>
  </r>
  <r>
    <x v="726"/>
    <s v="Instagram"/>
    <n v="51"/>
    <s v="Female"/>
    <s v="Australia"/>
    <x v="1"/>
    <s v="Middle"/>
    <s v="Student"/>
    <s v="Bachelors_degree"/>
    <s v="Single"/>
    <s v="No"/>
    <s v="Seniors"/>
  </r>
  <r>
    <x v="727"/>
    <s v="Instagram"/>
    <n v="39"/>
    <s v="Female"/>
    <s v="Canada"/>
    <x v="1"/>
    <s v="Low"/>
    <s v="Full_time_employed"/>
    <s v="Bachelors_degree"/>
    <s v="Single"/>
    <s v="No"/>
    <s v="Mid_Adults"/>
  </r>
  <r>
    <x v="728"/>
    <s v="Instagram"/>
    <n v="22"/>
    <s v="Male"/>
    <s v="Japan"/>
    <x v="1"/>
    <s v="High"/>
    <s v="Full_time_employed"/>
    <s v="Other"/>
    <s v="Single"/>
    <s v="Yes"/>
    <s v="Youth"/>
  </r>
  <r>
    <x v="729"/>
    <s v="Instagram"/>
    <n v="38"/>
    <s v="Male"/>
    <s v="Brazil"/>
    <x v="1"/>
    <s v="Middle"/>
    <s v="Full_time_employed"/>
    <s v="Masters_degree"/>
    <s v="Single"/>
    <s v="No"/>
    <s v="Mid_Adults"/>
  </r>
  <r>
    <x v="730"/>
    <s v="Instagram"/>
    <n v="31"/>
    <s v="Female"/>
    <s v="United_States"/>
    <x v="2"/>
    <s v="Lower_middle"/>
    <s v="Student"/>
    <s v="High_school"/>
    <s v="In_a_relationship"/>
    <s v="No"/>
    <s v="Young_Adults"/>
  </r>
  <r>
    <x v="731"/>
    <s v="Instagram"/>
    <n v="51"/>
    <s v="Male"/>
    <s v="Germany"/>
    <x v="0"/>
    <s v="Middle"/>
    <s v="Freelancer"/>
    <s v="Some_college"/>
    <s v="Single"/>
    <s v="No"/>
    <s v="Seniors"/>
  </r>
  <r>
    <x v="732"/>
    <s v="Instagram"/>
    <n v="15"/>
    <s v="Male"/>
    <s v="Australia"/>
    <x v="2"/>
    <s v="Middle"/>
    <s v="Part_time"/>
    <s v="Some_college"/>
    <s v="Single"/>
    <s v="Yes"/>
    <s v="Under_18"/>
  </r>
  <r>
    <x v="733"/>
    <s v="Instagram"/>
    <n v="57"/>
    <s v="Female"/>
    <s v="Germany"/>
    <x v="2"/>
    <s v="High"/>
    <s v="Unemployed"/>
    <s v="High_school"/>
    <s v="In_a_relationship"/>
    <s v="Yes"/>
    <s v="Seniors"/>
  </r>
  <r>
    <x v="734"/>
    <s v="Instagram"/>
    <n v="25"/>
    <s v="Male"/>
    <s v="Other"/>
    <x v="1"/>
    <s v="Lower_middle"/>
    <s v="Full_time_employed"/>
    <s v="High_school"/>
    <s v="Single"/>
    <s v="Yes"/>
    <s v="Youth"/>
  </r>
  <r>
    <x v="735"/>
    <s v="Instagram"/>
    <n v="62"/>
    <s v="Female"/>
    <s v="United_States"/>
    <x v="2"/>
    <s v="High"/>
    <s v="Student"/>
    <s v="Bachelors_degree"/>
    <s v="In_a_relationship"/>
    <s v="No"/>
    <s v="Seniors"/>
  </r>
  <r>
    <x v="736"/>
    <s v="Instagram"/>
    <n v="40"/>
    <s v="Female"/>
    <s v="Other"/>
    <x v="1"/>
    <s v="Upper_middle"/>
    <s v="Student"/>
    <s v="Other"/>
    <s v="In_a_relationship"/>
    <s v="No"/>
    <s v="Mid_Adults"/>
  </r>
  <r>
    <x v="737"/>
    <s v="Instagram"/>
    <n v="32"/>
    <s v="Male"/>
    <s v="United_States"/>
    <x v="2"/>
    <s v="Lower_middle"/>
    <s v="Student"/>
    <s v="Bachelors_degree"/>
    <s v="In_a_relationship"/>
    <s v="No"/>
    <s v="Young_Adults"/>
  </r>
  <r>
    <x v="738"/>
    <s v="Instagram"/>
    <n v="40"/>
    <s v="Male"/>
    <s v="Japan"/>
    <x v="1"/>
    <s v="Lower_middle"/>
    <s v="Full_time_employed"/>
    <s v="PhD"/>
    <s v="Married"/>
    <s v="No"/>
    <s v="Mid_Adults"/>
  </r>
  <r>
    <x v="739"/>
    <s v="Instagram"/>
    <n v="20"/>
    <s v="Female"/>
    <s v="Canada"/>
    <x v="0"/>
    <s v="Middle"/>
    <s v="Retired"/>
    <s v="Bachelors_degree"/>
    <s v="In_a_relationship"/>
    <s v="No"/>
    <s v="Youth"/>
  </r>
  <r>
    <x v="740"/>
    <s v="Instagram"/>
    <n v="53"/>
    <s v="Female"/>
    <s v="South_Korea"/>
    <x v="2"/>
    <s v="Low"/>
    <s v="Full_time_employed"/>
    <s v="High_school"/>
    <s v="Single"/>
    <s v="No"/>
    <s v="Seniors"/>
  </r>
  <r>
    <x v="741"/>
    <s v="Instagram"/>
    <n v="51"/>
    <s v="Male"/>
    <s v="United_States"/>
    <x v="2"/>
    <s v="Low"/>
    <s v="Student"/>
    <s v="Masters_degree"/>
    <s v="Married"/>
    <s v="No"/>
    <s v="Seniors"/>
  </r>
  <r>
    <x v="742"/>
    <s v="Instagram"/>
    <n v="13"/>
    <s v="Non_binary"/>
    <s v="Brazil"/>
    <x v="2"/>
    <s v="Middle"/>
    <s v="Full_time_employed"/>
    <s v="High_school"/>
    <s v="Single"/>
    <s v="Yes"/>
    <s v="Under_18"/>
  </r>
  <r>
    <x v="743"/>
    <s v="Instagram"/>
    <n v="15"/>
    <s v="Prefer_not _to _say"/>
    <s v="Germany"/>
    <x v="1"/>
    <s v="High"/>
    <s v="Student"/>
    <s v="Other"/>
    <s v="In_a_relationship"/>
    <s v="No"/>
    <s v="Under_18"/>
  </r>
  <r>
    <x v="744"/>
    <s v="Instagram"/>
    <n v="25"/>
    <s v="Male"/>
    <s v="Germany"/>
    <x v="2"/>
    <s v="Low"/>
    <s v="Part_time"/>
    <s v="Bachelors_degree"/>
    <s v="In_a_relationship"/>
    <s v="Yes"/>
    <s v="Youth"/>
  </r>
  <r>
    <x v="745"/>
    <s v="Instagram"/>
    <n v="40"/>
    <s v="Male"/>
    <s v="United_States"/>
    <x v="1"/>
    <s v="Middle"/>
    <s v="Student"/>
    <s v="Masters_degree"/>
    <s v="Divorced"/>
    <s v="No"/>
    <s v="Mid_Adults"/>
  </r>
  <r>
    <x v="746"/>
    <s v="Instagram"/>
    <n v="61"/>
    <s v="Male"/>
    <s v="Japan"/>
    <x v="1"/>
    <s v="Lower_middle"/>
    <s v="Full_time_employed"/>
    <s v="Bachelors_degree"/>
    <s v="In_a_relationship"/>
    <s v="No"/>
    <s v="Seniors"/>
  </r>
  <r>
    <x v="747"/>
    <s v="Instagram"/>
    <n v="37"/>
    <s v="Female"/>
    <s v="Australia"/>
    <x v="1"/>
    <s v="Lower_middle"/>
    <s v="Full_time_employed"/>
    <s v="High_school"/>
    <s v="Single"/>
    <s v="Yes"/>
    <s v="Mid_Adults"/>
  </r>
  <r>
    <x v="748"/>
    <s v="Instagram"/>
    <n v="45"/>
    <s v="Female"/>
    <s v="Canada"/>
    <x v="1"/>
    <s v="Low"/>
    <s v="Student"/>
    <s v="High_school"/>
    <s v="Single"/>
    <s v="No"/>
    <s v="Mid_Adults"/>
  </r>
  <r>
    <x v="749"/>
    <s v="Instagram"/>
    <n v="50"/>
    <s v="Male"/>
    <s v="United_States"/>
    <x v="2"/>
    <s v="Low"/>
    <s v="Retired"/>
    <s v="Masters_degree"/>
    <s v="Married"/>
    <s v="No"/>
    <s v="Seniors"/>
  </r>
  <r>
    <x v="750"/>
    <s v="Instagram"/>
    <n v="65"/>
    <s v="Female"/>
    <s v="United_States"/>
    <x v="1"/>
    <s v="Lower_middle"/>
    <s v="Student"/>
    <s v="Bachelors_degree"/>
    <s v="Married"/>
    <s v="No"/>
    <s v="Seniors"/>
  </r>
  <r>
    <x v="751"/>
    <s v="Instagram"/>
    <n v="18"/>
    <s v="Male"/>
    <s v="United _Kingdom"/>
    <x v="1"/>
    <s v="Low"/>
    <s v="Part_time"/>
    <s v="Bachelors_degree"/>
    <s v="Married"/>
    <s v="No"/>
    <s v="Youth"/>
  </r>
  <r>
    <x v="752"/>
    <s v="Instagram"/>
    <n v="56"/>
    <s v="Non_binary"/>
    <s v="United _Kingdom"/>
    <x v="1"/>
    <s v="High"/>
    <s v="Full_time_employed"/>
    <s v="PhD"/>
    <s v="Single"/>
    <s v="No"/>
    <s v="Seniors"/>
  </r>
  <r>
    <x v="753"/>
    <s v="Instagram"/>
    <n v="57"/>
    <s v="Male"/>
    <s v="India"/>
    <x v="1"/>
    <s v="Lower_middle"/>
    <s v="Student"/>
    <s v="Masters_degree"/>
    <s v="Single"/>
    <s v="No"/>
    <s v="Seniors"/>
  </r>
  <r>
    <x v="754"/>
    <s v="Instagram"/>
    <n v="44"/>
    <s v="Male"/>
    <s v="United _Kingdom"/>
    <x v="1"/>
    <s v="Lower_middle"/>
    <s v="Full_time_employed"/>
    <s v="High_school"/>
    <s v="Married"/>
    <s v="Yes"/>
    <s v="Mid_Adults"/>
  </r>
  <r>
    <x v="755"/>
    <s v="Instagram"/>
    <n v="57"/>
    <s v="Male"/>
    <s v="Brazil"/>
    <x v="1"/>
    <s v="Middle"/>
    <s v="Student"/>
    <s v="Bachelors_degree"/>
    <s v="Married"/>
    <s v="No"/>
    <s v="Seniors"/>
  </r>
  <r>
    <x v="756"/>
    <s v="Instagram"/>
    <n v="59"/>
    <s v="Non_binary"/>
    <s v="India"/>
    <x v="1"/>
    <s v="Low"/>
    <s v="Full_time_employed"/>
    <s v="High_school"/>
    <s v="Married"/>
    <s v="No"/>
    <s v="Seniors"/>
  </r>
  <r>
    <x v="757"/>
    <s v="Instagram"/>
    <n v="33"/>
    <s v="Male"/>
    <s v="Other"/>
    <x v="1"/>
    <s v="Middle"/>
    <s v="Student"/>
    <s v="Some_college"/>
    <s v="Married"/>
    <s v="No"/>
    <s v="Young_Adults"/>
  </r>
  <r>
    <x v="758"/>
    <s v="Instagram"/>
    <n v="28"/>
    <s v="Male"/>
    <s v="United_States"/>
    <x v="0"/>
    <s v="Middle"/>
    <s v="Unemployed"/>
    <s v="Masters_degree"/>
    <s v="In_a_relationship"/>
    <s v="Yes"/>
    <s v="Young_Adults"/>
  </r>
  <r>
    <x v="759"/>
    <s v="Instagram"/>
    <n v="33"/>
    <s v="Male"/>
    <s v="United_States"/>
    <x v="0"/>
    <s v="Lower_middle"/>
    <s v="Full_time_employed"/>
    <s v="High_school"/>
    <s v="Single"/>
    <s v="Yes"/>
    <s v="Young_Adults"/>
  </r>
  <r>
    <x v="760"/>
    <s v="Instagram"/>
    <n v="23"/>
    <s v="Male"/>
    <s v="South_Korea"/>
    <x v="1"/>
    <s v="Middle"/>
    <s v="Full_time_employed"/>
    <s v="Bachelors_degree"/>
    <s v="Married"/>
    <s v="No"/>
    <s v="Youth"/>
  </r>
  <r>
    <x v="761"/>
    <s v="Instagram"/>
    <n v="49"/>
    <s v="Female"/>
    <s v="Australia"/>
    <x v="1"/>
    <s v="Lower_middle"/>
    <s v="Full_time_employed"/>
    <s v="Bachelors_degree"/>
    <s v="Married"/>
    <s v="No"/>
    <s v="Seniors"/>
  </r>
  <r>
    <x v="762"/>
    <s v="Instagram"/>
    <n v="48"/>
    <s v="Male"/>
    <s v="United_States"/>
    <x v="2"/>
    <s v="Lower_middle"/>
    <s v="Full_time_employed"/>
    <s v="High_school"/>
    <s v="Divorced"/>
    <s v="No"/>
    <s v="Seniors"/>
  </r>
  <r>
    <x v="763"/>
    <s v="Instagram"/>
    <n v="47"/>
    <s v="Male"/>
    <s v="Other"/>
    <x v="1"/>
    <s v="Upper_middle"/>
    <s v="Full_time_employed"/>
    <s v="Bachelors_degree"/>
    <s v="Married"/>
    <s v="No"/>
    <s v="Seniors"/>
  </r>
  <r>
    <x v="764"/>
    <s v="Instagram"/>
    <n v="31"/>
    <s v="Male"/>
    <s v="Other"/>
    <x v="0"/>
    <s v="Low"/>
    <s v="Part_time"/>
    <s v="High_school"/>
    <s v="Single"/>
    <s v="No"/>
    <s v="Young_Adults"/>
  </r>
  <r>
    <x v="765"/>
    <s v="Instagram"/>
    <n v="32"/>
    <s v="Male"/>
    <s v="Other"/>
    <x v="2"/>
    <s v="Upper_middle"/>
    <s v="Full_time_employed"/>
    <s v="Some_college"/>
    <s v="Single"/>
    <s v="Yes"/>
    <s v="Young_Adults"/>
  </r>
  <r>
    <x v="766"/>
    <s v="Instagram"/>
    <n v="30"/>
    <s v="Female"/>
    <s v="Brazil"/>
    <x v="0"/>
    <s v="Lower_middle"/>
    <s v="Full_time_employed"/>
    <s v="Some_college"/>
    <s v="Single"/>
    <s v="No"/>
    <s v="Young_Adults"/>
  </r>
  <r>
    <x v="767"/>
    <s v="Instagram"/>
    <n v="59"/>
    <s v="Male"/>
    <s v="United _Kingdom"/>
    <x v="0"/>
    <s v="Lower_middle"/>
    <s v="Full_time_employed"/>
    <s v="Bachelors_degree"/>
    <s v="Married"/>
    <s v="No"/>
    <s v="Seniors"/>
  </r>
  <r>
    <x v="768"/>
    <s v="Instagram"/>
    <n v="53"/>
    <s v="Female"/>
    <s v="Germany"/>
    <x v="1"/>
    <s v="High"/>
    <s v="Full_time_employed"/>
    <s v="Bachelors_degree"/>
    <s v="In_a_relationship"/>
    <s v="No"/>
    <s v="Seniors"/>
  </r>
  <r>
    <x v="769"/>
    <s v="Instagram"/>
    <n v="61"/>
    <s v="Female"/>
    <s v="Japan"/>
    <x v="0"/>
    <s v="Middle"/>
    <s v="Full_time_employed"/>
    <s v="Bachelors_degree"/>
    <s v="Single"/>
    <s v="No"/>
    <s v="Seniors"/>
  </r>
  <r>
    <x v="770"/>
    <s v="Instagram"/>
    <n v="26"/>
    <s v="Female"/>
    <s v="India"/>
    <x v="0"/>
    <s v="Low"/>
    <s v="Full_time_employed"/>
    <s v="Bachelors_degree"/>
    <s v="In_a_relationship"/>
    <s v="No"/>
    <s v="Young_Adults"/>
  </r>
  <r>
    <x v="771"/>
    <s v="Instagram"/>
    <n v="27"/>
    <s v="Male"/>
    <s v="Japan"/>
    <x v="0"/>
    <s v="Lower_middle"/>
    <s v="Full_time_employed"/>
    <s v="Bachelors_degree"/>
    <s v="Married"/>
    <s v="No"/>
    <s v="Young_Adults"/>
  </r>
  <r>
    <x v="772"/>
    <s v="Instagram"/>
    <n v="43"/>
    <s v="Prefer_not _to _say"/>
    <s v="South_Korea"/>
    <x v="2"/>
    <s v="Lower_middle"/>
    <s v="Full_time_employed"/>
    <s v="Some_college"/>
    <s v="Single"/>
    <s v="No"/>
    <s v="Mid_Adults"/>
  </r>
  <r>
    <x v="773"/>
    <s v="Instagram"/>
    <n v="13"/>
    <s v="Female"/>
    <s v="India"/>
    <x v="2"/>
    <s v="Lower_middle"/>
    <s v="Full_time_employed"/>
    <s v="Other"/>
    <s v="Single"/>
    <s v="Yes"/>
    <s v="Under_18"/>
  </r>
  <r>
    <x v="774"/>
    <s v="Instagram"/>
    <n v="65"/>
    <s v="Male"/>
    <s v="United_States"/>
    <x v="0"/>
    <s v="High"/>
    <s v="Student"/>
    <s v="Bachelors_degree"/>
    <s v="Single"/>
    <s v="No"/>
    <s v="Seniors"/>
  </r>
  <r>
    <x v="775"/>
    <s v="Instagram"/>
    <n v="15"/>
    <s v="Male"/>
    <s v="United _Kingdom"/>
    <x v="2"/>
    <s v="Upper_middle"/>
    <s v="Student"/>
    <s v="Some_college"/>
    <s v="Single"/>
    <s v="Yes"/>
    <s v="Under_18"/>
  </r>
  <r>
    <x v="776"/>
    <s v="Instagram"/>
    <n v="28"/>
    <s v="Male"/>
    <s v="Brazil"/>
    <x v="2"/>
    <s v="Lower_middle"/>
    <s v="Unemployed"/>
    <s v="Bachelors_degree"/>
    <s v="Divorced"/>
    <s v="Yes"/>
    <s v="Young_Adults"/>
  </r>
  <r>
    <x v="777"/>
    <s v="Instagram"/>
    <n v="35"/>
    <s v="Male"/>
    <s v="Australia"/>
    <x v="1"/>
    <s v="Middle"/>
    <s v="Student"/>
    <s v="Bachelors_degree"/>
    <s v="Single"/>
    <s v="Yes"/>
    <s v="Young_Adults"/>
  </r>
  <r>
    <x v="778"/>
    <s v="Instagram"/>
    <n v="23"/>
    <s v="Male"/>
    <s v="India"/>
    <x v="1"/>
    <s v="Upper_middle"/>
    <s v="Freelancer"/>
    <s v="Some_college"/>
    <s v="Married"/>
    <s v="No"/>
    <s v="Youth"/>
  </r>
  <r>
    <x v="779"/>
    <s v="Instagram"/>
    <n v="24"/>
    <s v="Female"/>
    <s v="Germany"/>
    <x v="2"/>
    <s v="Low"/>
    <s v="Student"/>
    <s v="High_school"/>
    <s v="Married"/>
    <s v="Yes"/>
    <s v="Youth"/>
  </r>
  <r>
    <x v="780"/>
    <s v="Instagram"/>
    <n v="22"/>
    <s v="Female"/>
    <s v="India"/>
    <x v="1"/>
    <s v="Middle"/>
    <s v="Full_time_employed"/>
    <s v="Bachelors_degree"/>
    <s v="Single"/>
    <s v="Yes"/>
    <s v="Youth"/>
  </r>
  <r>
    <x v="781"/>
    <s v="Instagram"/>
    <n v="44"/>
    <s v="Female"/>
    <s v="Germany"/>
    <x v="2"/>
    <s v="Lower_middle"/>
    <s v="Full_time_employed"/>
    <s v="Bachelors_degree"/>
    <s v="In_a_relationship"/>
    <s v="Yes"/>
    <s v="Mid_Adults"/>
  </r>
  <r>
    <x v="782"/>
    <s v="Instagram"/>
    <n v="28"/>
    <s v="Male"/>
    <s v="Brazil"/>
    <x v="2"/>
    <s v="Middle"/>
    <s v="Student"/>
    <s v="High_school"/>
    <s v="Single"/>
    <s v="Yes"/>
    <s v="Young_Adults"/>
  </r>
  <r>
    <x v="783"/>
    <s v="Instagram"/>
    <n v="20"/>
    <s v="Female"/>
    <s v="India"/>
    <x v="2"/>
    <s v="Lower_middle"/>
    <s v="Full_time_employed"/>
    <s v="Bachelors_degree"/>
    <s v="Single"/>
    <s v="No"/>
    <s v="Youth"/>
  </r>
  <r>
    <x v="784"/>
    <s v="Instagram"/>
    <n v="50"/>
    <s v="Male"/>
    <s v="India"/>
    <x v="1"/>
    <s v="Upper_middle"/>
    <s v="Student"/>
    <s v="Bachelors_degree"/>
    <s v="Single"/>
    <s v="No"/>
    <s v="Seniors"/>
  </r>
  <r>
    <x v="785"/>
    <s v="Instagram"/>
    <n v="24"/>
    <s v="Male"/>
    <s v="Japan"/>
    <x v="1"/>
    <s v="Middle"/>
    <s v="Student"/>
    <s v="Masters_degree"/>
    <s v="Single"/>
    <s v="No"/>
    <s v="Youth"/>
  </r>
  <r>
    <x v="786"/>
    <s v="Instagram"/>
    <n v="36"/>
    <s v="Female"/>
    <s v="South_Korea"/>
    <x v="1"/>
    <s v="Middle"/>
    <s v="Unemployed"/>
    <s v="Masters_degree"/>
    <s v="Married"/>
    <s v="No"/>
    <s v="Mid_Adults"/>
  </r>
  <r>
    <x v="787"/>
    <s v="Instagram"/>
    <n v="40"/>
    <s v="Female"/>
    <s v="Brazil"/>
    <x v="2"/>
    <s v="High"/>
    <s v="Part_time"/>
    <s v="Some_college"/>
    <s v="Married"/>
    <s v="No"/>
    <s v="Mid_Adults"/>
  </r>
  <r>
    <x v="788"/>
    <s v="Instagram"/>
    <n v="65"/>
    <s v="Male"/>
    <s v="United_States"/>
    <x v="2"/>
    <s v="Lower_middle"/>
    <s v="Full_time_employed"/>
    <s v="Bachelors_degree"/>
    <s v="Married"/>
    <s v="No"/>
    <s v="Seniors"/>
  </r>
  <r>
    <x v="789"/>
    <s v="Instagram"/>
    <n v="20"/>
    <s v="Male"/>
    <s v="Brazil"/>
    <x v="2"/>
    <s v="Upper_middle"/>
    <s v="Part_time"/>
    <s v="PhD"/>
    <s v="Single"/>
    <s v="No"/>
    <s v="Youth"/>
  </r>
  <r>
    <x v="790"/>
    <s v="Instagram"/>
    <n v="40"/>
    <s v="Female"/>
    <s v="Other"/>
    <x v="1"/>
    <s v="Upper_middle"/>
    <s v="Student"/>
    <s v="Other"/>
    <s v="Single"/>
    <s v="No"/>
    <s v="Mid_Adults"/>
  </r>
  <r>
    <x v="791"/>
    <s v="Instagram"/>
    <n v="48"/>
    <s v="Female"/>
    <s v="Australia"/>
    <x v="2"/>
    <s v="Middle"/>
    <s v="Student"/>
    <s v="Some_college"/>
    <s v="In_a_relationship"/>
    <s v="Yes"/>
    <s v="Seniors"/>
  </r>
  <r>
    <x v="792"/>
    <s v="Instagram"/>
    <n v="38"/>
    <s v="Female"/>
    <s v="United_States"/>
    <x v="0"/>
    <s v="Lower_middle"/>
    <s v="Student"/>
    <s v="Some_college"/>
    <s v="In_a_relationship"/>
    <s v="No"/>
    <s v="Mid_Adults"/>
  </r>
  <r>
    <x v="793"/>
    <s v="Instagram"/>
    <n v="20"/>
    <s v="Female"/>
    <s v="Brazil"/>
    <x v="0"/>
    <s v="Upper_middle"/>
    <s v="Full_time_employed"/>
    <s v="Bachelors_degree"/>
    <s v="Single"/>
    <s v="No"/>
    <s v="Youth"/>
  </r>
  <r>
    <x v="794"/>
    <s v="Instagram"/>
    <n v="62"/>
    <s v="Male"/>
    <s v="South_Korea"/>
    <x v="1"/>
    <s v="Low"/>
    <s v="Student"/>
    <s v="Some_college"/>
    <s v="Divorced"/>
    <s v="No"/>
    <s v="Seniors"/>
  </r>
  <r>
    <x v="795"/>
    <s v="Instagram"/>
    <n v="40"/>
    <s v="Female"/>
    <s v="Canada"/>
    <x v="0"/>
    <s v="Lower_middle"/>
    <s v="Full_time_employed"/>
    <s v="Bachelors_degree"/>
    <s v="In_a_relationship"/>
    <s v="No"/>
    <s v="Mid_Adults"/>
  </r>
  <r>
    <x v="796"/>
    <s v="Instagram"/>
    <n v="40"/>
    <s v="Female"/>
    <s v="United_States"/>
    <x v="1"/>
    <s v="Lower_middle"/>
    <s v="Full_time_employed"/>
    <s v="Bachelors_degree"/>
    <s v="Single"/>
    <s v="No"/>
    <s v="Mid_Adults"/>
  </r>
  <r>
    <x v="797"/>
    <s v="Instagram"/>
    <n v="49"/>
    <s v="Male"/>
    <s v="Japan"/>
    <x v="1"/>
    <s v="Middle"/>
    <s v="Full_time_employed"/>
    <s v="Other"/>
    <s v="Widowed"/>
    <s v="Yes"/>
    <s v="Seniors"/>
  </r>
  <r>
    <x v="798"/>
    <s v="Instagram"/>
    <n v="53"/>
    <s v="Female"/>
    <s v="India"/>
    <x v="1"/>
    <s v="Upper_middle"/>
    <s v="Full_time_employed"/>
    <s v="High_school"/>
    <s v="Single"/>
    <s v="Yes"/>
    <s v="Seniors"/>
  </r>
  <r>
    <x v="799"/>
    <s v="Instagram"/>
    <n v="48"/>
    <s v="Female"/>
    <s v="Australia"/>
    <x v="2"/>
    <s v="Low"/>
    <s v="Part_time"/>
    <s v="Some_college"/>
    <s v="In_a_relationship"/>
    <s v="No"/>
    <s v="Seniors"/>
  </r>
  <r>
    <x v="800"/>
    <s v="Instagram"/>
    <n v="39"/>
    <s v="Male"/>
    <s v="United _Kingdom"/>
    <x v="1"/>
    <s v="Middle"/>
    <s v="Full_time_employed"/>
    <s v="Some_college"/>
    <s v="Single"/>
    <s v="Yes"/>
    <s v="Mid_Adults"/>
  </r>
  <r>
    <x v="801"/>
    <s v="Instagram"/>
    <n v="29"/>
    <s v="Female"/>
    <s v="United_States"/>
    <x v="1"/>
    <s v="Upper_middle"/>
    <s v="Full_time_employed"/>
    <s v="High_school"/>
    <s v="In_a_relationship"/>
    <s v="No"/>
    <s v="Young_Adults"/>
  </r>
  <r>
    <x v="802"/>
    <s v="Instagram"/>
    <n v="21"/>
    <s v="Female"/>
    <s v="Germany"/>
    <x v="1"/>
    <s v="Upper_middle"/>
    <s v="Full_time_employed"/>
    <s v="Bachelors_degree"/>
    <s v="Single"/>
    <s v="No"/>
    <s v="Youth"/>
  </r>
  <r>
    <x v="803"/>
    <s v="Instagram"/>
    <n v="45"/>
    <s v="Male"/>
    <s v="United_States"/>
    <x v="2"/>
    <s v="High"/>
    <s v="Student"/>
    <s v="Some_college"/>
    <s v="Single"/>
    <s v="Yes"/>
    <s v="Mid_Adults"/>
  </r>
  <r>
    <x v="804"/>
    <s v="Instagram"/>
    <n v="65"/>
    <s v="Female"/>
    <s v="United_States"/>
    <x v="1"/>
    <s v="Middle"/>
    <s v="Full_time_employed"/>
    <s v="Bachelors_degree"/>
    <s v="Single"/>
    <s v="No"/>
    <s v="Seniors"/>
  </r>
  <r>
    <x v="805"/>
    <s v="Instagram"/>
    <n v="32"/>
    <s v="Female"/>
    <s v="United _Kingdom"/>
    <x v="1"/>
    <s v="Middle"/>
    <s v="Full_time_employed"/>
    <s v="High_school"/>
    <s v="Married"/>
    <s v="No"/>
    <s v="Young_Adults"/>
  </r>
  <r>
    <x v="806"/>
    <s v="Instagram"/>
    <n v="25"/>
    <s v="Male"/>
    <s v="Brazil"/>
    <x v="0"/>
    <s v="Upper_middle"/>
    <s v="Full_time_employed"/>
    <s v="High_school"/>
    <s v="In_a_relationship"/>
    <s v="No"/>
    <s v="Youth"/>
  </r>
  <r>
    <x v="807"/>
    <s v="Instagram"/>
    <n v="40"/>
    <s v="Female"/>
    <s v="India"/>
    <x v="2"/>
    <s v="Low"/>
    <s v="Full_time_employed"/>
    <s v="Bachelors_degree"/>
    <s v="Married"/>
    <s v="Yes"/>
    <s v="Mid_Adults"/>
  </r>
  <r>
    <x v="808"/>
    <s v="Instagram"/>
    <n v="60"/>
    <s v="Female"/>
    <s v="India"/>
    <x v="0"/>
    <s v="Lower_middle"/>
    <s v="Full_time_employed"/>
    <s v="Bachelors_degree"/>
    <s v="Single"/>
    <s v="No"/>
    <s v="Seniors"/>
  </r>
  <r>
    <x v="809"/>
    <s v="Instagram"/>
    <n v="41"/>
    <s v="Male"/>
    <s v="Germany"/>
    <x v="2"/>
    <s v="Low"/>
    <s v="Full_time_employed"/>
    <s v="Other"/>
    <s v="In_a_relationship"/>
    <s v="No"/>
    <s v="Mid_Adults"/>
  </r>
  <r>
    <x v="810"/>
    <s v="Instagram"/>
    <n v="25"/>
    <s v="Male"/>
    <s v="Brazil"/>
    <x v="2"/>
    <s v="Middle"/>
    <s v="Unemployed"/>
    <s v="Masters_degree"/>
    <s v="In_a_relationship"/>
    <s v="Yes"/>
    <s v="Youth"/>
  </r>
  <r>
    <x v="811"/>
    <s v="Instagram"/>
    <n v="58"/>
    <s v="Female"/>
    <s v="United_States"/>
    <x v="0"/>
    <s v="Lower_middle"/>
    <s v="Freelancer"/>
    <s v="Bachelors_degree"/>
    <s v="Single"/>
    <s v="Yes"/>
    <s v="Seniors"/>
  </r>
  <r>
    <x v="812"/>
    <s v="Instagram"/>
    <n v="47"/>
    <s v="Female"/>
    <s v="United_States"/>
    <x v="0"/>
    <s v="Low"/>
    <s v="Part_time"/>
    <s v="Some_college"/>
    <s v="Single"/>
    <s v="No"/>
    <s v="Seniors"/>
  </r>
  <r>
    <x v="813"/>
    <s v="Instagram"/>
    <n v="18"/>
    <s v="Male"/>
    <s v="United _Kingdom"/>
    <x v="2"/>
    <s v="Lower_middle"/>
    <s v="Part_time"/>
    <s v="Masters_degree"/>
    <s v="Divorced"/>
    <s v="No"/>
    <s v="Youth"/>
  </r>
  <r>
    <x v="814"/>
    <s v="Instagram"/>
    <n v="30"/>
    <s v="Female"/>
    <s v="United_States"/>
    <x v="1"/>
    <s v="Lower_middle"/>
    <s v="Full_time_employed"/>
    <s v="Bachelors_degree"/>
    <s v="Married"/>
    <s v="No"/>
    <s v="Young_Adults"/>
  </r>
  <r>
    <x v="815"/>
    <s v="Instagram"/>
    <n v="63"/>
    <s v="Female"/>
    <s v="United_States"/>
    <x v="0"/>
    <s v="Low"/>
    <s v="Full_time_employed"/>
    <s v="High_school"/>
    <s v="Divorced"/>
    <s v="Yes"/>
    <s v="Seniors"/>
  </r>
  <r>
    <x v="816"/>
    <s v="Instagram"/>
    <n v="17"/>
    <s v="Male"/>
    <s v="South_Korea"/>
    <x v="1"/>
    <s v="Upper_middle"/>
    <s v="Full_time_employed"/>
    <s v="Bachelors_degree"/>
    <s v="Married"/>
    <s v="No"/>
    <s v="Under_18"/>
  </r>
  <r>
    <x v="817"/>
    <s v="Instagram"/>
    <n v="59"/>
    <s v="Female"/>
    <s v="Canada"/>
    <x v="1"/>
    <s v="Middle"/>
    <s v="Freelancer"/>
    <s v="High_school"/>
    <s v="In_a_relationship"/>
    <s v="Yes"/>
    <s v="Seniors"/>
  </r>
  <r>
    <x v="818"/>
    <s v="Instagram"/>
    <n v="37"/>
    <s v="Male"/>
    <s v="United_States"/>
    <x v="1"/>
    <s v="Low"/>
    <s v="Full_time_employed"/>
    <s v="Bachelors_degree"/>
    <s v="In_a_relationship"/>
    <s v="No"/>
    <s v="Mid_Adults"/>
  </r>
  <r>
    <x v="819"/>
    <s v="Instagram"/>
    <n v="14"/>
    <s v="Female"/>
    <s v="India"/>
    <x v="0"/>
    <s v="Low"/>
    <s v="Full_time_employed"/>
    <s v="High_school"/>
    <s v="In_a_relationship"/>
    <s v="No"/>
    <s v="Under_18"/>
  </r>
  <r>
    <x v="820"/>
    <s v="Instagram"/>
    <n v="22"/>
    <s v="Male"/>
    <s v="Japan"/>
    <x v="1"/>
    <s v="Upper_middle"/>
    <s v="Full_time_employed"/>
    <s v="Bachelors_degree"/>
    <s v="Single"/>
    <s v="Yes"/>
    <s v="Youth"/>
  </r>
  <r>
    <x v="821"/>
    <s v="Instagram"/>
    <n v="42"/>
    <s v="Male"/>
    <s v="Brazil"/>
    <x v="2"/>
    <s v="Middle"/>
    <s v="Full_time_employed"/>
    <s v="Bachelors_degree"/>
    <s v="Married"/>
    <s v="Yes"/>
    <s v="Mid_Adults"/>
  </r>
  <r>
    <x v="822"/>
    <s v="Instagram"/>
    <n v="62"/>
    <s v="Female"/>
    <s v="Other"/>
    <x v="0"/>
    <s v="Middle"/>
    <s v="Full_time_employed"/>
    <s v="High_school"/>
    <s v="In_a_relationship"/>
    <s v="No"/>
    <s v="Seniors"/>
  </r>
  <r>
    <x v="823"/>
    <s v="Instagram"/>
    <n v="57"/>
    <s v="Female"/>
    <s v="United _Kingdom"/>
    <x v="2"/>
    <s v="High"/>
    <s v="Full_time_employed"/>
    <s v="Bachelors_degree"/>
    <s v="Single"/>
    <s v="No"/>
    <s v="Seniors"/>
  </r>
  <r>
    <x v="824"/>
    <s v="Instagram"/>
    <n v="17"/>
    <s v="Female"/>
    <s v="India"/>
    <x v="1"/>
    <s v="Upper_middle"/>
    <s v="Full_time_employed"/>
    <s v="High_school"/>
    <s v="In_a_relationship"/>
    <s v="Yes"/>
    <s v="Under_18"/>
  </r>
  <r>
    <x v="825"/>
    <s v="Instagram"/>
    <n v="45"/>
    <s v="Male"/>
    <s v="United_States"/>
    <x v="1"/>
    <s v="Low"/>
    <s v="Unemployed"/>
    <s v="High_school"/>
    <s v="Single"/>
    <s v="No"/>
    <s v="Mid_Adults"/>
  </r>
  <r>
    <x v="826"/>
    <s v="Instagram"/>
    <n v="13"/>
    <s v="Male"/>
    <s v="United_States"/>
    <x v="1"/>
    <s v="Upper_middle"/>
    <s v="Unemployed"/>
    <s v="Some_college"/>
    <s v="Single"/>
    <s v="No"/>
    <s v="Under_18"/>
  </r>
  <r>
    <x v="827"/>
    <s v="Instagram"/>
    <n v="30"/>
    <s v="Female"/>
    <s v="United _Kingdom"/>
    <x v="0"/>
    <s v="Lower_middle"/>
    <s v="Unemployed"/>
    <s v="High_school"/>
    <s v="Divorced"/>
    <s v="No"/>
    <s v="Young_Adults"/>
  </r>
  <r>
    <x v="828"/>
    <s v="Instagram"/>
    <n v="44"/>
    <s v="Male"/>
    <s v="Australia"/>
    <x v="1"/>
    <s v="Low"/>
    <s v="Full_time_employed"/>
    <s v="High_school"/>
    <s v="Married"/>
    <s v="Yes"/>
    <s v="Mid_Adults"/>
  </r>
  <r>
    <x v="829"/>
    <s v="Instagram"/>
    <n v="59"/>
    <s v="Male"/>
    <s v="United_States"/>
    <x v="1"/>
    <s v="High"/>
    <s v="Student"/>
    <s v="Bachelors_degree"/>
    <s v="Married"/>
    <s v="No"/>
    <s v="Seniors"/>
  </r>
  <r>
    <x v="830"/>
    <s v="Instagram"/>
    <n v="61"/>
    <s v="Male"/>
    <s v="United_States"/>
    <x v="1"/>
    <s v="Upper_middle"/>
    <s v="Full_time_employed"/>
    <s v="High_school"/>
    <s v="In_a_relationship"/>
    <s v="Yes"/>
    <s v="Seniors"/>
  </r>
  <r>
    <x v="831"/>
    <s v="Instagram"/>
    <n v="23"/>
    <s v="Female"/>
    <s v="Australia"/>
    <x v="2"/>
    <s v="High"/>
    <s v="Full_time_employed"/>
    <s v="Bachelors_degree"/>
    <s v="In_a_relationship"/>
    <s v="No"/>
    <s v="Youth"/>
  </r>
  <r>
    <x v="832"/>
    <s v="Instagram"/>
    <n v="33"/>
    <s v="Female"/>
    <s v="Canada"/>
    <x v="1"/>
    <s v="Middle"/>
    <s v="Student"/>
    <s v="Bachelors_degree"/>
    <s v="Single"/>
    <s v="Yes"/>
    <s v="Young_Adults"/>
  </r>
  <r>
    <x v="833"/>
    <s v="Instagram"/>
    <n v="38"/>
    <s v="Male"/>
    <s v="United_States"/>
    <x v="2"/>
    <s v="Low"/>
    <s v="Freelancer"/>
    <s v="Bachelors_degree"/>
    <s v="Married"/>
    <s v="Yes"/>
    <s v="Mid_Adults"/>
  </r>
  <r>
    <x v="834"/>
    <s v="Instagram"/>
    <n v="37"/>
    <s v="Male"/>
    <s v="United_States"/>
    <x v="2"/>
    <s v="Low"/>
    <s v="Full_time_employed"/>
    <s v="Bachelors_degree"/>
    <s v="Divorced"/>
    <s v="No"/>
    <s v="Mid_Adults"/>
  </r>
  <r>
    <x v="835"/>
    <s v="Instagram"/>
    <n v="34"/>
    <s v="Male"/>
    <s v="Germany"/>
    <x v="1"/>
    <s v="Middle"/>
    <s v="Student"/>
    <s v="High_school"/>
    <s v="Single"/>
    <s v="No"/>
    <s v="Young_Adults"/>
  </r>
  <r>
    <x v="836"/>
    <s v="Instagram"/>
    <n v="39"/>
    <s v="Female"/>
    <s v="Brazil"/>
    <x v="1"/>
    <s v="Middle"/>
    <s v="Unemployed"/>
    <s v="Some_college"/>
    <s v="Divorced"/>
    <s v="Yes"/>
    <s v="Mid_Adults"/>
  </r>
  <r>
    <x v="837"/>
    <s v="Instagram"/>
    <n v="61"/>
    <s v="Female"/>
    <s v="United_States"/>
    <x v="2"/>
    <s v="Low"/>
    <s v="Full_time_employed"/>
    <s v="High_school"/>
    <s v="Single"/>
    <s v="No"/>
    <s v="Seniors"/>
  </r>
  <r>
    <x v="838"/>
    <s v="Instagram"/>
    <n v="25"/>
    <s v="Female"/>
    <s v="South_Korea"/>
    <x v="1"/>
    <s v="Middle"/>
    <s v="Full_time_employed"/>
    <s v="Bachelors_degree"/>
    <s v="Married"/>
    <s v="Yes"/>
    <s v="Youth"/>
  </r>
  <r>
    <x v="839"/>
    <s v="Instagram"/>
    <n v="45"/>
    <s v="Male"/>
    <s v="United_States"/>
    <x v="2"/>
    <s v="Low"/>
    <s v="Full_time_employed"/>
    <s v="Bachelors_degree"/>
    <s v="Single"/>
    <s v="No"/>
    <s v="Mid_Adults"/>
  </r>
  <r>
    <x v="840"/>
    <s v="Instagram"/>
    <n v="46"/>
    <s v="Female"/>
    <s v="Brazil"/>
    <x v="2"/>
    <s v="Low"/>
    <s v="Full_time_employed"/>
    <s v="Masters_degree"/>
    <s v="Single"/>
    <s v="Yes"/>
    <s v="Seniors"/>
  </r>
  <r>
    <x v="841"/>
    <s v="Instagram"/>
    <n v="53"/>
    <s v="Male"/>
    <s v="United _Kingdom"/>
    <x v="1"/>
    <s v="Lower_middle"/>
    <s v="Student"/>
    <s v="Masters_degree"/>
    <s v="Married"/>
    <s v="No"/>
    <s v="Seniors"/>
  </r>
  <r>
    <x v="842"/>
    <s v="Instagram"/>
    <n v="47"/>
    <s v="Female"/>
    <s v="India"/>
    <x v="0"/>
    <s v="Middle"/>
    <s v="Full_time_employed"/>
    <s v="High_school"/>
    <s v="Single"/>
    <s v="No"/>
    <s v="Seniors"/>
  </r>
  <r>
    <x v="843"/>
    <s v="Instagram"/>
    <n v="13"/>
    <s v="Female"/>
    <s v="Other"/>
    <x v="2"/>
    <s v="Upper_middle"/>
    <s v="Full_time_employed"/>
    <s v="PhD"/>
    <s v="Single"/>
    <s v="No"/>
    <s v="Under_18"/>
  </r>
  <r>
    <x v="844"/>
    <s v="Instagram"/>
    <n v="33"/>
    <s v="Male"/>
    <s v="United_States"/>
    <x v="1"/>
    <s v="Middle"/>
    <s v="Retired"/>
    <s v="Masters_degree"/>
    <s v="In_a_relationship"/>
    <s v="No"/>
    <s v="Young_Adults"/>
  </r>
  <r>
    <x v="845"/>
    <s v="Instagram"/>
    <n v="60"/>
    <s v="Female"/>
    <s v="India"/>
    <x v="0"/>
    <s v="Lower_middle"/>
    <s v="Full_time_employed"/>
    <s v="High_school"/>
    <s v="In_a_relationship"/>
    <s v="No"/>
    <s v="Seniors"/>
  </r>
  <r>
    <x v="846"/>
    <s v="Instagram"/>
    <n v="18"/>
    <s v="Female"/>
    <s v="Other"/>
    <x v="1"/>
    <s v="Middle"/>
    <s v="Student"/>
    <s v="High_school"/>
    <s v="Single"/>
    <s v="Yes"/>
    <s v="Youth"/>
  </r>
  <r>
    <x v="847"/>
    <s v="Instagram"/>
    <n v="40"/>
    <s v="Male"/>
    <s v="United _Kingdom"/>
    <x v="0"/>
    <s v="Middle"/>
    <s v="Part_time"/>
    <s v="High_school"/>
    <s v="In_a_relationship"/>
    <s v="No"/>
    <s v="Mid_Adults"/>
  </r>
  <r>
    <x v="848"/>
    <s v="Instagram"/>
    <n v="29"/>
    <s v="Male"/>
    <s v="India"/>
    <x v="1"/>
    <s v="Lower_middle"/>
    <s v="Student"/>
    <s v="Bachelors_degree"/>
    <s v="Divorced"/>
    <s v="Yes"/>
    <s v="Young_Adults"/>
  </r>
  <r>
    <x v="849"/>
    <s v="Instagram"/>
    <n v="17"/>
    <s v="Female"/>
    <s v="India"/>
    <x v="1"/>
    <s v="Upper_middle"/>
    <s v="Unemployed"/>
    <s v="High_school"/>
    <s v="Married"/>
    <s v="No"/>
    <s v="Under_18"/>
  </r>
  <r>
    <x v="850"/>
    <s v="Instagram"/>
    <n v="43"/>
    <s v="Female"/>
    <s v="United_States"/>
    <x v="1"/>
    <s v="Middle"/>
    <s v="Full_time_employed"/>
    <s v="High_school"/>
    <s v="Divorced"/>
    <s v="No"/>
    <s v="Mid_Adults"/>
  </r>
  <r>
    <x v="851"/>
    <s v="Instagram"/>
    <n v="17"/>
    <s v="Female"/>
    <s v="United_States"/>
    <x v="1"/>
    <s v="Lower_middle"/>
    <s v="Full_time_employed"/>
    <s v="Masters_degree"/>
    <s v="Single"/>
    <s v="No"/>
    <s v="Under_18"/>
  </r>
  <r>
    <x v="852"/>
    <s v="Instagram"/>
    <n v="50"/>
    <s v="Male"/>
    <s v="Canada"/>
    <x v="2"/>
    <s v="Lower_middle"/>
    <s v="Full_time_employed"/>
    <s v="Other"/>
    <s v="In_a_relationship"/>
    <s v="Yes"/>
    <s v="Seniors"/>
  </r>
  <r>
    <x v="853"/>
    <s v="Instagram"/>
    <n v="15"/>
    <s v="Male"/>
    <s v="United_States"/>
    <x v="1"/>
    <s v="High"/>
    <s v="Unemployed"/>
    <s v="Bachelors_degree"/>
    <s v="Divorced"/>
    <s v="Yes"/>
    <s v="Under_18"/>
  </r>
  <r>
    <x v="854"/>
    <s v="Instagram"/>
    <n v="65"/>
    <s v="Male"/>
    <s v="Japan"/>
    <x v="0"/>
    <s v="Upper_middle"/>
    <s v="Freelancer"/>
    <s v="High_school"/>
    <s v="Divorced"/>
    <s v="No"/>
    <s v="Seniors"/>
  </r>
  <r>
    <x v="855"/>
    <s v="Instagram"/>
    <n v="35"/>
    <s v="Female"/>
    <s v="United_States"/>
    <x v="2"/>
    <s v="Middle"/>
    <s v="Freelancer"/>
    <s v="High_school"/>
    <s v="In_a_relationship"/>
    <s v="No"/>
    <s v="Young_Adults"/>
  </r>
  <r>
    <x v="856"/>
    <s v="Instagram"/>
    <n v="49"/>
    <s v="Female"/>
    <s v="United_States"/>
    <x v="1"/>
    <s v="Lower_middle"/>
    <s v="Part_time"/>
    <s v="High_school"/>
    <s v="Single"/>
    <s v="Yes"/>
    <s v="Seniors"/>
  </r>
  <r>
    <x v="857"/>
    <s v="Instagram"/>
    <n v="65"/>
    <s v="Female"/>
    <s v="United_States"/>
    <x v="2"/>
    <s v="Low"/>
    <s v="Full_time_employed"/>
    <s v="Other"/>
    <s v="Married"/>
    <s v="No"/>
    <s v="Seniors"/>
  </r>
  <r>
    <x v="858"/>
    <s v="Instagram"/>
    <n v="49"/>
    <s v="Female"/>
    <s v="South_Korea"/>
    <x v="1"/>
    <s v="High"/>
    <s v="Full_time_employed"/>
    <s v="Bachelors_degree"/>
    <s v="In_a_relationship"/>
    <s v="No"/>
    <s v="Seniors"/>
  </r>
  <r>
    <x v="859"/>
    <s v="Instagram"/>
    <n v="22"/>
    <s v="Female"/>
    <s v="United_States"/>
    <x v="0"/>
    <s v="Middle"/>
    <s v="Full_time_employed"/>
    <s v="Some_college"/>
    <s v="Single"/>
    <s v="Yes"/>
    <s v="Youth"/>
  </r>
  <r>
    <x v="860"/>
    <s v="Instagram"/>
    <n v="22"/>
    <s v="Female"/>
    <s v="Japan"/>
    <x v="2"/>
    <s v="High"/>
    <s v="Part_time"/>
    <s v="High_school"/>
    <s v="Married"/>
    <s v="No"/>
    <s v="Youth"/>
  </r>
  <r>
    <x v="861"/>
    <s v="Instagram"/>
    <n v="31"/>
    <s v="Male"/>
    <s v="Brazil"/>
    <x v="0"/>
    <s v="Middle"/>
    <s v="Full_time_employed"/>
    <s v="High_school"/>
    <s v="Single"/>
    <s v="No"/>
    <s v="Young_Adults"/>
  </r>
  <r>
    <x v="862"/>
    <s v="Instagram"/>
    <n v="29"/>
    <s v="Female"/>
    <s v="Australia"/>
    <x v="1"/>
    <s v="Lower_middle"/>
    <s v="Full_time_employed"/>
    <s v="High_school"/>
    <s v="Single"/>
    <s v="Yes"/>
    <s v="Young_Adults"/>
  </r>
  <r>
    <x v="863"/>
    <s v="Instagram"/>
    <n v="33"/>
    <s v="Female"/>
    <s v="India"/>
    <x v="2"/>
    <s v="Low"/>
    <s v="Full_time_employed"/>
    <s v="Some_college"/>
    <s v="Single"/>
    <s v="Yes"/>
    <s v="Young_Adults"/>
  </r>
  <r>
    <x v="864"/>
    <s v="Instagram"/>
    <n v="26"/>
    <s v="Female"/>
    <s v="United _Kingdom"/>
    <x v="0"/>
    <s v="Middle"/>
    <s v="Full_time_employed"/>
    <s v="Masters_degree"/>
    <s v="Single"/>
    <s v="No"/>
    <s v="Young_Adults"/>
  </r>
  <r>
    <x v="865"/>
    <s v="Instagram"/>
    <n v="21"/>
    <s v="Female"/>
    <s v="Germany"/>
    <x v="1"/>
    <s v="Low"/>
    <s v="Unemployed"/>
    <s v="Some_college"/>
    <s v="Divorced"/>
    <s v="Yes"/>
    <s v="Youth"/>
  </r>
  <r>
    <x v="866"/>
    <s v="Instagram"/>
    <n v="58"/>
    <s v="Male"/>
    <s v="India"/>
    <x v="2"/>
    <s v="Lower_middle"/>
    <s v="Part_time"/>
    <s v="Other"/>
    <s v="Single"/>
    <s v="No"/>
    <s v="Seniors"/>
  </r>
  <r>
    <x v="867"/>
    <s v="Instagram"/>
    <n v="13"/>
    <s v="Male"/>
    <s v="India"/>
    <x v="1"/>
    <s v="Lower_middle"/>
    <s v="Freelancer"/>
    <s v="Bachelors_degree"/>
    <s v="Single"/>
    <s v="No"/>
    <s v="Under_18"/>
  </r>
  <r>
    <x v="868"/>
    <s v="Instagram"/>
    <n v="63"/>
    <s v="Female"/>
    <s v="Australia"/>
    <x v="1"/>
    <s v="Low"/>
    <s v="Full_time_employed"/>
    <s v="Bachelors_degree"/>
    <s v="In_a_relationship"/>
    <s v="Yes"/>
    <s v="Seniors"/>
  </r>
  <r>
    <x v="869"/>
    <s v="Instagram"/>
    <n v="57"/>
    <s v="Female"/>
    <s v="Brazil"/>
    <x v="2"/>
    <s v="Upper_middle"/>
    <s v="Full_time_employed"/>
    <s v="Some_college"/>
    <s v="Single"/>
    <s v="No"/>
    <s v="Seniors"/>
  </r>
  <r>
    <x v="870"/>
    <s v="Instagram"/>
    <n v="25"/>
    <s v="Female"/>
    <s v="United_States"/>
    <x v="1"/>
    <s v="Middle"/>
    <s v="Student"/>
    <s v="Masters_degree"/>
    <s v="Single"/>
    <s v="No"/>
    <s v="Youth"/>
  </r>
  <r>
    <x v="871"/>
    <s v="Instagram"/>
    <n v="16"/>
    <s v="Female"/>
    <s v="United_States"/>
    <x v="1"/>
    <s v="Lower_middle"/>
    <s v="Retired"/>
    <s v="Some_college"/>
    <s v="Single"/>
    <s v="No"/>
    <s v="Under_18"/>
  </r>
  <r>
    <x v="872"/>
    <s v="Instagram"/>
    <n v="13"/>
    <s v="Female"/>
    <s v="Brazil"/>
    <x v="1"/>
    <s v="Lower_middle"/>
    <s v="Full_time_employed"/>
    <s v="High_school"/>
    <s v="Married"/>
    <s v="No"/>
    <s v="Under_18"/>
  </r>
  <r>
    <x v="873"/>
    <s v="Instagram"/>
    <n v="61"/>
    <s v="Female"/>
    <s v="India"/>
    <x v="0"/>
    <s v="Lower_middle"/>
    <s v="Unemployed"/>
    <s v="High_school"/>
    <s v="Divorced"/>
    <s v="Yes"/>
    <s v="Seniors"/>
  </r>
  <r>
    <x v="874"/>
    <s v="Instagram"/>
    <n v="52"/>
    <s v="Male"/>
    <s v="Other"/>
    <x v="2"/>
    <s v="Upper_middle"/>
    <s v="Part_time"/>
    <s v="Bachelors_degree"/>
    <s v="Single"/>
    <s v="No"/>
    <s v="Seniors"/>
  </r>
  <r>
    <x v="875"/>
    <s v="Instagram"/>
    <n v="44"/>
    <s v="Female"/>
    <s v="Germany"/>
    <x v="1"/>
    <s v="Upper_middle"/>
    <s v="Full_time_employed"/>
    <s v="Some_college"/>
    <s v="Married"/>
    <s v="Yes"/>
    <s v="Mid_Adults"/>
  </r>
  <r>
    <x v="876"/>
    <s v="Instagram"/>
    <n v="46"/>
    <s v="Female"/>
    <s v="United_States"/>
    <x v="1"/>
    <s v="Middle"/>
    <s v="Freelancer"/>
    <s v="High_school"/>
    <s v="Single"/>
    <s v="No"/>
    <s v="Seniors"/>
  </r>
  <r>
    <x v="877"/>
    <s v="Instagram"/>
    <n v="40"/>
    <s v="Male"/>
    <s v="United_States"/>
    <x v="1"/>
    <s v="Upper_middle"/>
    <s v="Freelancer"/>
    <s v="Bachelors_degree"/>
    <s v="Single"/>
    <s v="No"/>
    <s v="Mid_Adults"/>
  </r>
  <r>
    <x v="878"/>
    <s v="Instagram"/>
    <n v="43"/>
    <s v="Non_binary"/>
    <s v="India"/>
    <x v="0"/>
    <s v="Middle"/>
    <s v="Full_time_employed"/>
    <s v="High_school"/>
    <s v="Single"/>
    <s v="No"/>
    <s v="Mid_Adults"/>
  </r>
  <r>
    <x v="879"/>
    <s v="Instagram"/>
    <n v="20"/>
    <s v="Male"/>
    <s v="Other"/>
    <x v="1"/>
    <s v="Upper_middle"/>
    <s v="Full_time_employed"/>
    <s v="Bachelors_degree"/>
    <s v="In_a_relationship"/>
    <s v="No"/>
    <s v="Youth"/>
  </r>
  <r>
    <x v="880"/>
    <s v="Instagram"/>
    <n v="51"/>
    <s v="Male"/>
    <s v="India"/>
    <x v="1"/>
    <s v="Low"/>
    <s v="Full_time_employed"/>
    <s v="Some_college"/>
    <s v="Divorced"/>
    <s v="No"/>
    <s v="Seniors"/>
  </r>
  <r>
    <x v="881"/>
    <s v="Instagram"/>
    <n v="38"/>
    <s v="Prefer_not _to _say"/>
    <s v="Japan"/>
    <x v="0"/>
    <s v="Middle"/>
    <s v="Full_time_employed"/>
    <s v="Masters_degree"/>
    <s v="Single"/>
    <s v="No"/>
    <s v="Mid_Adults"/>
  </r>
  <r>
    <x v="882"/>
    <s v="Instagram"/>
    <n v="46"/>
    <s v="Male"/>
    <s v="United _Kingdom"/>
    <x v="1"/>
    <s v="Lower_middle"/>
    <s v="Full_time_employed"/>
    <s v="High_school"/>
    <s v="Single"/>
    <s v="No"/>
    <s v="Seniors"/>
  </r>
  <r>
    <x v="883"/>
    <s v="Instagram"/>
    <n v="15"/>
    <s v="Male"/>
    <s v="United_States"/>
    <x v="0"/>
    <s v="Lower_middle"/>
    <s v="Freelancer"/>
    <s v="Other"/>
    <s v="Married"/>
    <s v="Yes"/>
    <s v="Under_18"/>
  </r>
  <r>
    <x v="884"/>
    <s v="Instagram"/>
    <n v="62"/>
    <s v="Male"/>
    <s v="Australia"/>
    <x v="1"/>
    <s v="Middle"/>
    <s v="Part_time"/>
    <s v="Bachelors_degree"/>
    <s v="Divorced"/>
    <s v="No"/>
    <s v="Seniors"/>
  </r>
  <r>
    <x v="885"/>
    <s v="Instagram"/>
    <n v="24"/>
    <s v="Male"/>
    <s v="Brazil"/>
    <x v="2"/>
    <s v="Low"/>
    <s v="Full_time_employed"/>
    <s v="Bachelors_degree"/>
    <s v="In_a_relationship"/>
    <s v="No"/>
    <s v="Youth"/>
  </r>
  <r>
    <x v="886"/>
    <s v="Instagram"/>
    <n v="13"/>
    <s v="Female"/>
    <s v="Canada"/>
    <x v="2"/>
    <s v="Lower_middle"/>
    <s v="Full_time_employed"/>
    <s v="PhD"/>
    <s v="In_a_relationship"/>
    <s v="No"/>
    <s v="Under_18"/>
  </r>
  <r>
    <x v="887"/>
    <s v="Instagram"/>
    <n v="56"/>
    <s v="Female"/>
    <s v="United_States"/>
    <x v="1"/>
    <s v="High"/>
    <s v="Full_time_employed"/>
    <s v="Bachelors_degree"/>
    <s v="Single"/>
    <s v="No"/>
    <s v="Seniors"/>
  </r>
  <r>
    <x v="888"/>
    <s v="Instagram"/>
    <n v="17"/>
    <s v="Female"/>
    <s v="United_States"/>
    <x v="0"/>
    <s v="Lower_middle"/>
    <s v="Full_time_employed"/>
    <s v="Bachelors_degree"/>
    <s v="Married"/>
    <s v="Yes"/>
    <s v="Under_18"/>
  </r>
  <r>
    <x v="889"/>
    <s v="Instagram"/>
    <n v="42"/>
    <s v="Male"/>
    <s v="Germany"/>
    <x v="1"/>
    <s v="Upper_middle"/>
    <s v="Part_time"/>
    <s v="High_school"/>
    <s v="Single"/>
    <s v="No"/>
    <s v="Mid_Adults"/>
  </r>
  <r>
    <x v="890"/>
    <s v="Instagram"/>
    <n v="42"/>
    <s v="Male"/>
    <s v="India"/>
    <x v="1"/>
    <s v="Middle"/>
    <s v="Full_time_employed"/>
    <s v="Bachelors_degree"/>
    <s v="Single"/>
    <s v="No"/>
    <s v="Mid_Adults"/>
  </r>
  <r>
    <x v="891"/>
    <s v="Instagram"/>
    <n v="29"/>
    <s v="Female"/>
    <s v="India"/>
    <x v="2"/>
    <s v="Middle"/>
    <s v="Freelancer"/>
    <s v="High_school"/>
    <s v="Married"/>
    <s v="Yes"/>
    <s v="Young_Adults"/>
  </r>
  <r>
    <x v="892"/>
    <s v="Instagram"/>
    <n v="60"/>
    <s v="Male"/>
    <s v="United _Kingdom"/>
    <x v="1"/>
    <s v="Low"/>
    <s v="Student"/>
    <s v="Bachelors_degree"/>
    <s v="Single"/>
    <s v="No"/>
    <s v="Seniors"/>
  </r>
  <r>
    <x v="893"/>
    <s v="Instagram"/>
    <n v="59"/>
    <s v="Female"/>
    <s v="Japan"/>
    <x v="0"/>
    <s v="Middle"/>
    <s v="Full_time_employed"/>
    <s v="High_school"/>
    <s v="In_a_relationship"/>
    <s v="No"/>
    <s v="Seniors"/>
  </r>
  <r>
    <x v="894"/>
    <s v="Instagram"/>
    <n v="35"/>
    <s v="Male"/>
    <s v="United _Kingdom"/>
    <x v="1"/>
    <s v="High"/>
    <s v="Freelancer"/>
    <s v="Masters_degree"/>
    <s v="In_a_relationship"/>
    <s v="No"/>
    <s v="Young_Adults"/>
  </r>
  <r>
    <x v="895"/>
    <s v="Instagram"/>
    <n v="27"/>
    <s v="Female"/>
    <s v="India"/>
    <x v="1"/>
    <s v="Middle"/>
    <s v="Freelancer"/>
    <s v="Bachelors_degree"/>
    <s v="Single"/>
    <s v="Yes"/>
    <s v="Young_Adults"/>
  </r>
  <r>
    <x v="896"/>
    <s v="Instagram"/>
    <n v="49"/>
    <s v="Female"/>
    <s v="Germany"/>
    <x v="1"/>
    <s v="High"/>
    <s v="Student"/>
    <s v="Other"/>
    <s v="Single"/>
    <s v="No"/>
    <s v="Seniors"/>
  </r>
  <r>
    <x v="897"/>
    <s v="Instagram"/>
    <n v="33"/>
    <s v="Male"/>
    <s v="South_Korea"/>
    <x v="2"/>
    <s v="Upper_middle"/>
    <s v="Full_time_employed"/>
    <s v="Some_college"/>
    <s v="Divorced"/>
    <s v="No"/>
    <s v="Young_Adults"/>
  </r>
  <r>
    <x v="898"/>
    <s v="Instagram"/>
    <n v="26"/>
    <s v="Female"/>
    <s v="United _Kingdom"/>
    <x v="2"/>
    <s v="Lower_middle"/>
    <s v="Unemployed"/>
    <s v="Bachelors_degree"/>
    <s v="Married"/>
    <s v="No"/>
    <s v="Young_Adults"/>
  </r>
  <r>
    <x v="899"/>
    <s v="Instagram"/>
    <n v="14"/>
    <s v="Male"/>
    <s v="Canada"/>
    <x v="2"/>
    <s v="High"/>
    <s v="Student"/>
    <s v="High_school"/>
    <s v="In_a_relationship"/>
    <s v="No"/>
    <s v="Under_18"/>
  </r>
  <r>
    <x v="900"/>
    <s v="Instagram"/>
    <n v="23"/>
    <s v="Female"/>
    <s v="India"/>
    <x v="2"/>
    <s v="Lower_middle"/>
    <s v="Full_time_employed"/>
    <s v="Bachelors_degree"/>
    <s v="Single"/>
    <s v="No"/>
    <s v="Youth"/>
  </r>
  <r>
    <x v="901"/>
    <s v="Instagram"/>
    <n v="63"/>
    <s v="Female"/>
    <s v="United_States"/>
    <x v="0"/>
    <s v="Upper_middle"/>
    <s v="Full_time_employed"/>
    <s v="High_school"/>
    <s v="In_a_relationship"/>
    <s v="No"/>
    <s v="Seniors"/>
  </r>
  <r>
    <x v="902"/>
    <s v="Instagram"/>
    <n v="51"/>
    <s v="Male"/>
    <s v="United_States"/>
    <x v="2"/>
    <s v="Upper_middle"/>
    <s v="Unemployed"/>
    <s v="Some_college"/>
    <s v="Single"/>
    <s v="No"/>
    <s v="Seniors"/>
  </r>
  <r>
    <x v="903"/>
    <s v="Instagram"/>
    <n v="50"/>
    <s v="Male"/>
    <s v="South_Korea"/>
    <x v="1"/>
    <s v="Lower_middle"/>
    <s v="Student"/>
    <s v="Bachelors_degree"/>
    <s v="Single"/>
    <s v="No"/>
    <s v="Seniors"/>
  </r>
  <r>
    <x v="904"/>
    <s v="Instagram"/>
    <n v="46"/>
    <s v="Female"/>
    <s v="United_States"/>
    <x v="1"/>
    <s v="Middle"/>
    <s v="Full_time_employed"/>
    <s v="Masters_degree"/>
    <s v="Single"/>
    <s v="No"/>
    <s v="Seniors"/>
  </r>
  <r>
    <x v="905"/>
    <s v="Instagram"/>
    <n v="50"/>
    <s v="Female"/>
    <s v="India"/>
    <x v="2"/>
    <s v="Low"/>
    <s v="Full_time_employed"/>
    <s v="Bachelors_degree"/>
    <s v="Single"/>
    <s v="No"/>
    <s v="Seniors"/>
  </r>
  <r>
    <x v="906"/>
    <s v="Instagram"/>
    <n v="62"/>
    <s v="Female"/>
    <s v="Brazil"/>
    <x v="1"/>
    <s v="High"/>
    <s v="Full_time_employed"/>
    <s v="Masters_degree"/>
    <s v="Single"/>
    <s v="No"/>
    <s v="Seniors"/>
  </r>
  <r>
    <x v="907"/>
    <s v="Instagram"/>
    <n v="46"/>
    <s v="Female"/>
    <s v="United_States"/>
    <x v="2"/>
    <s v="Upper_middle"/>
    <s v="Full_time_employed"/>
    <s v="Masters_degree"/>
    <s v="Single"/>
    <s v="No"/>
    <s v="Seniors"/>
  </r>
  <r>
    <x v="908"/>
    <s v="Instagram"/>
    <n v="30"/>
    <s v="Male"/>
    <s v="South_Korea"/>
    <x v="1"/>
    <s v="Upper_middle"/>
    <s v="Retired"/>
    <s v="High_school"/>
    <s v="Widowed"/>
    <s v="No"/>
    <s v="Young_Adults"/>
  </r>
  <r>
    <x v="909"/>
    <s v="Instagram"/>
    <n v="42"/>
    <s v="Female"/>
    <s v="India"/>
    <x v="1"/>
    <s v="Lower_middle"/>
    <s v="Student"/>
    <s v="High_school"/>
    <s v="In_a_relationship"/>
    <s v="No"/>
    <s v="Mid_Adults"/>
  </r>
  <r>
    <x v="910"/>
    <s v="Instagram"/>
    <n v="27"/>
    <s v="Female"/>
    <s v="United_States"/>
    <x v="1"/>
    <s v="Low"/>
    <s v="Part_time"/>
    <s v="PhD"/>
    <s v="In_a_relationship"/>
    <s v="No"/>
    <s v="Young_Adults"/>
  </r>
  <r>
    <x v="911"/>
    <s v="Instagram"/>
    <n v="39"/>
    <s v="Female"/>
    <s v="Australia"/>
    <x v="1"/>
    <s v="Low"/>
    <s v="Full_time_employed"/>
    <s v="Some_college"/>
    <s v="Married"/>
    <s v="No"/>
    <s v="Mid_Adults"/>
  </r>
  <r>
    <x v="912"/>
    <s v="Instagram"/>
    <n v="63"/>
    <s v="Female"/>
    <s v="United_States"/>
    <x v="1"/>
    <s v="Upper_middle"/>
    <s v="Unemployed"/>
    <s v="High_school"/>
    <s v="Divorced"/>
    <s v="No"/>
    <s v="Seniors"/>
  </r>
  <r>
    <x v="913"/>
    <s v="Instagram"/>
    <n v="46"/>
    <s v="Male"/>
    <s v="Other"/>
    <x v="1"/>
    <s v="Middle"/>
    <s v="Student"/>
    <s v="High_school"/>
    <s v="Divorced"/>
    <s v="No"/>
    <s v="Seniors"/>
  </r>
  <r>
    <x v="914"/>
    <s v="Instagram"/>
    <n v="64"/>
    <s v="Male"/>
    <s v="United_States"/>
    <x v="1"/>
    <s v="High"/>
    <s v="Part_time"/>
    <s v="Bachelors_degree"/>
    <s v="Single"/>
    <s v="No"/>
    <s v="Seniors"/>
  </r>
  <r>
    <x v="915"/>
    <s v="Instagram"/>
    <n v="50"/>
    <s v="Male"/>
    <s v="South_Korea"/>
    <x v="1"/>
    <s v="Lower_middle"/>
    <s v="Full_time_employed"/>
    <s v="Bachelors_degree"/>
    <s v="Single"/>
    <s v="No"/>
    <s v="Seniors"/>
  </r>
  <r>
    <x v="916"/>
    <s v="Instagram"/>
    <n v="45"/>
    <s v="Female"/>
    <s v="Other"/>
    <x v="2"/>
    <s v="Upper_middle"/>
    <s v="Full_time_employed"/>
    <s v="Masters_degree"/>
    <s v="In_a_relationship"/>
    <s v="No"/>
    <s v="Mid_Adults"/>
  </r>
  <r>
    <x v="917"/>
    <s v="Instagram"/>
    <n v="36"/>
    <s v="Male"/>
    <s v="India"/>
    <x v="1"/>
    <s v="Low"/>
    <s v="Unemployed"/>
    <s v="High_school"/>
    <s v="In_a_relationship"/>
    <s v="No"/>
    <s v="Mid_Adults"/>
  </r>
  <r>
    <x v="918"/>
    <s v="Instagram"/>
    <n v="27"/>
    <s v="Female"/>
    <s v="Brazil"/>
    <x v="2"/>
    <s v="High"/>
    <s v="Freelancer"/>
    <s v="Masters_degree"/>
    <s v="Single"/>
    <s v="No"/>
    <s v="Young_Adults"/>
  </r>
  <r>
    <x v="919"/>
    <s v="Instagram"/>
    <n v="42"/>
    <s v="Female"/>
    <s v="United_States"/>
    <x v="1"/>
    <s v="Lower_middle"/>
    <s v="Full_time_employed"/>
    <s v="Masters_degree"/>
    <s v="In_a_relationship"/>
    <s v="Yes"/>
    <s v="Mid_Adults"/>
  </r>
  <r>
    <x v="920"/>
    <s v="Instagram"/>
    <n v="54"/>
    <s v="Female"/>
    <s v="India"/>
    <x v="1"/>
    <s v="Upper_middle"/>
    <s v="Full_time_employed"/>
    <s v="Bachelors_degree"/>
    <s v="In_a_relationship"/>
    <s v="No"/>
    <s v="Seniors"/>
  </r>
  <r>
    <x v="921"/>
    <s v="Instagram"/>
    <n v="63"/>
    <s v="Male"/>
    <s v="Canada"/>
    <x v="1"/>
    <s v="Middle"/>
    <s v="Unemployed"/>
    <s v="Bachelors_degree"/>
    <s v="Married"/>
    <s v="No"/>
    <s v="Seniors"/>
  </r>
  <r>
    <x v="922"/>
    <s v="Instagram"/>
    <n v="29"/>
    <s v="Male"/>
    <s v="United_States"/>
    <x v="1"/>
    <s v="Upper_middle"/>
    <s v="Part_time"/>
    <s v="Some_college"/>
    <s v="Married"/>
    <s v="No"/>
    <s v="Young_Adults"/>
  </r>
  <r>
    <x v="923"/>
    <s v="Instagram"/>
    <n v="17"/>
    <s v="Male"/>
    <s v="India"/>
    <x v="2"/>
    <s v="Middle"/>
    <s v="Part_time"/>
    <s v="High_school"/>
    <s v="In_a_relationship"/>
    <s v="No"/>
    <s v="Under_18"/>
  </r>
  <r>
    <x v="924"/>
    <s v="Instagram"/>
    <n v="41"/>
    <s v="Female"/>
    <s v="Germany"/>
    <x v="2"/>
    <s v="Middle"/>
    <s v="Student"/>
    <s v="High_school"/>
    <s v="In_a_relationship"/>
    <s v="No"/>
    <s v="Mid_Adults"/>
  </r>
  <r>
    <x v="925"/>
    <s v="Instagram"/>
    <n v="16"/>
    <s v="Non_binary"/>
    <s v="Germany"/>
    <x v="2"/>
    <s v="Upper_middle"/>
    <s v="Part_time"/>
    <s v="Some_college"/>
    <s v="Divorced"/>
    <s v="No"/>
    <s v="Under_18"/>
  </r>
  <r>
    <x v="926"/>
    <s v="Instagram"/>
    <n v="22"/>
    <s v="Male"/>
    <s v="United_States"/>
    <x v="1"/>
    <s v="Middle"/>
    <s v="Full_time_employed"/>
    <s v="High_school"/>
    <s v="Single"/>
    <s v="Yes"/>
    <s v="Youth"/>
  </r>
  <r>
    <x v="927"/>
    <s v="Instagram"/>
    <n v="29"/>
    <s v="Male"/>
    <s v="India"/>
    <x v="0"/>
    <s v="Upper_middle"/>
    <s v="Full_time_employed"/>
    <s v="Bachelors_degree"/>
    <s v="Single"/>
    <s v="No"/>
    <s v="Young_Adults"/>
  </r>
  <r>
    <x v="928"/>
    <s v="Instagram"/>
    <n v="22"/>
    <s v="Female"/>
    <s v="United _Kingdom"/>
    <x v="2"/>
    <s v="Lower_middle"/>
    <s v="Student"/>
    <s v="Bachelors_degree"/>
    <s v="In_a_relationship"/>
    <s v="No"/>
    <s v="Youth"/>
  </r>
  <r>
    <x v="929"/>
    <s v="Instagram"/>
    <n v="29"/>
    <s v="Female"/>
    <s v="Canada"/>
    <x v="1"/>
    <s v="Upper_middle"/>
    <s v="Student"/>
    <s v="High_school"/>
    <s v="Single"/>
    <s v="No"/>
    <s v="Young_Adults"/>
  </r>
  <r>
    <x v="930"/>
    <s v="Instagram"/>
    <n v="32"/>
    <s v="Female"/>
    <s v="India"/>
    <x v="0"/>
    <s v="Low"/>
    <s v="Retired"/>
    <s v="Bachelors_degree"/>
    <s v="In_a_relationship"/>
    <s v="No"/>
    <s v="Young_Adults"/>
  </r>
  <r>
    <x v="931"/>
    <s v="Instagram"/>
    <n v="36"/>
    <s v="Male"/>
    <s v="Canada"/>
    <x v="2"/>
    <s v="Upper_middle"/>
    <s v="Part_time"/>
    <s v="Some_college"/>
    <s v="Married"/>
    <s v="No"/>
    <s v="Mid_Adults"/>
  </r>
  <r>
    <x v="932"/>
    <s v="Instagram"/>
    <n v="17"/>
    <s v="Female"/>
    <s v="Brazil"/>
    <x v="1"/>
    <s v="Lower_middle"/>
    <s v="Freelancer"/>
    <s v="Some_college"/>
    <s v="Single"/>
    <s v="No"/>
    <s v="Under_18"/>
  </r>
  <r>
    <x v="933"/>
    <s v="Instagram"/>
    <n v="46"/>
    <s v="Male"/>
    <s v="India"/>
    <x v="1"/>
    <s v="Lower_middle"/>
    <s v="Student"/>
    <s v="Bachelors_degree"/>
    <s v="Single"/>
    <s v="Yes"/>
    <s v="Seniors"/>
  </r>
  <r>
    <x v="934"/>
    <s v="Instagram"/>
    <n v="18"/>
    <s v="Female"/>
    <s v="India"/>
    <x v="1"/>
    <s v="Upper_middle"/>
    <s v="Part_time"/>
    <s v="High_school"/>
    <s v="In_a_relationship"/>
    <s v="No"/>
    <s v="Youth"/>
  </r>
  <r>
    <x v="935"/>
    <s v="Instagram"/>
    <n v="65"/>
    <s v="Male"/>
    <s v="Brazil"/>
    <x v="2"/>
    <s v="Upper_middle"/>
    <s v="Part_time"/>
    <s v="Bachelors_degree"/>
    <s v="Divorced"/>
    <s v="Yes"/>
    <s v="Seniors"/>
  </r>
  <r>
    <x v="936"/>
    <s v="Instagram"/>
    <n v="14"/>
    <s v="Male"/>
    <s v="United_States"/>
    <x v="1"/>
    <s v="Lower_middle"/>
    <s v="Full_time_employed"/>
    <s v="Bachelors_degree"/>
    <s v="Single"/>
    <s v="Yes"/>
    <s v="Under_18"/>
  </r>
  <r>
    <x v="937"/>
    <s v="Instagram"/>
    <n v="25"/>
    <s v="Female"/>
    <s v="Germany"/>
    <x v="1"/>
    <s v="Lower_middle"/>
    <s v="Student"/>
    <s v="Masters_degree"/>
    <s v="Married"/>
    <s v="No"/>
    <s v="Youth"/>
  </r>
  <r>
    <x v="938"/>
    <s v="Instagram"/>
    <n v="55"/>
    <s v="Male"/>
    <s v="Brazil"/>
    <x v="0"/>
    <s v="Lower_middle"/>
    <s v="Full_time_employed"/>
    <s v="High_school"/>
    <s v="In_a_relationship"/>
    <s v="No"/>
    <s v="Seniors"/>
  </r>
  <r>
    <x v="939"/>
    <s v="Instagram"/>
    <n v="55"/>
    <s v="Female"/>
    <s v="Brazil"/>
    <x v="2"/>
    <s v="Low"/>
    <s v="Student"/>
    <s v="High_school"/>
    <s v="Married"/>
    <s v="No"/>
    <s v="Seniors"/>
  </r>
  <r>
    <x v="940"/>
    <s v="Instagram"/>
    <n v="60"/>
    <s v="Male"/>
    <s v="United_States"/>
    <x v="2"/>
    <s v="Upper_middle"/>
    <s v="Full_time_employed"/>
    <s v="High_school"/>
    <s v="Single"/>
    <s v="Yes"/>
    <s v="Seniors"/>
  </r>
  <r>
    <x v="941"/>
    <s v="Instagram"/>
    <n v="23"/>
    <s v="Female"/>
    <s v="United_States"/>
    <x v="1"/>
    <s v="Upper_middle"/>
    <s v="Full_time_employed"/>
    <s v="Masters_degree"/>
    <s v="Single"/>
    <s v="No"/>
    <s v="Youth"/>
  </r>
  <r>
    <x v="942"/>
    <s v="Instagram"/>
    <n v="63"/>
    <s v="Male"/>
    <s v="United _Kingdom"/>
    <x v="2"/>
    <s v="Upper_middle"/>
    <s v="Student"/>
    <s v="Other"/>
    <s v="Single"/>
    <s v="No"/>
    <s v="Seniors"/>
  </r>
  <r>
    <x v="943"/>
    <s v="Instagram"/>
    <n v="59"/>
    <s v="Female"/>
    <s v="Other"/>
    <x v="2"/>
    <s v="Upper_middle"/>
    <s v="Freelancer"/>
    <s v="Masters_degree"/>
    <s v="Married"/>
    <s v="No"/>
    <s v="Seniors"/>
  </r>
  <r>
    <x v="944"/>
    <s v="Instagram"/>
    <n v="35"/>
    <s v="Male"/>
    <s v="United _Kingdom"/>
    <x v="2"/>
    <s v="Middle"/>
    <s v="Freelancer"/>
    <s v="Masters_degree"/>
    <s v="In_a_relationship"/>
    <s v="No"/>
    <s v="Young_Adults"/>
  </r>
  <r>
    <x v="945"/>
    <s v="Instagram"/>
    <n v="28"/>
    <s v="Female"/>
    <s v="United_States"/>
    <x v="1"/>
    <s v="High"/>
    <s v="Full_time_employed"/>
    <s v="Masters_degree"/>
    <s v="Married"/>
    <s v="No"/>
    <s v="Young_Adults"/>
  </r>
  <r>
    <x v="946"/>
    <s v="Instagram"/>
    <n v="43"/>
    <s v="Male"/>
    <s v="Australia"/>
    <x v="2"/>
    <s v="Middle"/>
    <s v="Unemployed"/>
    <s v="Bachelors_degree"/>
    <s v="Single"/>
    <s v="No"/>
    <s v="Mid_Adults"/>
  </r>
  <r>
    <x v="947"/>
    <s v="Instagram"/>
    <n v="23"/>
    <s v="Female"/>
    <s v="Other"/>
    <x v="2"/>
    <s v="Middle"/>
    <s v="Full_time_employed"/>
    <s v="Some_college"/>
    <s v="Single"/>
    <s v="No"/>
    <s v="Youth"/>
  </r>
  <r>
    <x v="948"/>
    <s v="Instagram"/>
    <n v="28"/>
    <s v="Male"/>
    <s v="United_States"/>
    <x v="1"/>
    <s v="Upper_middle"/>
    <s v="Student"/>
    <s v="Bachelors_degree"/>
    <s v="Single"/>
    <s v="Yes"/>
    <s v="Young_Adults"/>
  </r>
  <r>
    <x v="949"/>
    <s v="Instagram"/>
    <n v="20"/>
    <s v="Female"/>
    <s v="United_States"/>
    <x v="1"/>
    <s v="High"/>
    <s v="Unemployed"/>
    <s v="High_school"/>
    <s v="Married"/>
    <s v="No"/>
    <s v="Youth"/>
  </r>
  <r>
    <x v="950"/>
    <s v="Instagram"/>
    <n v="16"/>
    <s v="Male"/>
    <s v="India"/>
    <x v="1"/>
    <s v="Middle"/>
    <s v="Student"/>
    <s v="Some_college"/>
    <s v="Single"/>
    <s v="No"/>
    <s v="Under_18"/>
  </r>
  <r>
    <x v="951"/>
    <s v="Instagram"/>
    <n v="52"/>
    <s v="Female"/>
    <s v="United_States"/>
    <x v="1"/>
    <s v="Lower_middle"/>
    <s v="Full_time_employed"/>
    <s v="Bachelors_degree"/>
    <s v="Married"/>
    <s v="No"/>
    <s v="Seniors"/>
  </r>
  <r>
    <x v="952"/>
    <s v="Instagram"/>
    <n v="16"/>
    <s v="Female"/>
    <s v="United_States"/>
    <x v="1"/>
    <s v="Middle"/>
    <s v="Student"/>
    <s v="Bachelors_degree"/>
    <s v="Single"/>
    <s v="No"/>
    <s v="Under_18"/>
  </r>
  <r>
    <x v="953"/>
    <s v="Instagram"/>
    <n v="37"/>
    <s v="Female"/>
    <s v="United_States"/>
    <x v="2"/>
    <s v="Lower_middle"/>
    <s v="Student"/>
    <s v="High_school"/>
    <s v="Married"/>
    <s v="No"/>
    <s v="Mid_Adults"/>
  </r>
  <r>
    <x v="954"/>
    <s v="Instagram"/>
    <n v="15"/>
    <s v="Prefer_not _to _say"/>
    <s v="India"/>
    <x v="1"/>
    <s v="Upper_middle"/>
    <s v="Full_time_employed"/>
    <s v="Bachelors_degree"/>
    <s v="In_a_relationship"/>
    <s v="No"/>
    <s v="Under_18"/>
  </r>
  <r>
    <x v="955"/>
    <s v="Instagram"/>
    <n v="44"/>
    <s v="Male"/>
    <s v="Canada"/>
    <x v="0"/>
    <s v="Middle"/>
    <s v="Part_time"/>
    <s v="Some_college"/>
    <s v="Single"/>
    <s v="No"/>
    <s v="Mid_Adults"/>
  </r>
  <r>
    <x v="956"/>
    <s v="Instagram"/>
    <n v="15"/>
    <s v="Female"/>
    <s v="India"/>
    <x v="1"/>
    <s v="Middle"/>
    <s v="Full_time_employed"/>
    <s v="Some_college"/>
    <s v="Single"/>
    <s v="No"/>
    <s v="Under_18"/>
  </r>
  <r>
    <x v="957"/>
    <s v="Instagram"/>
    <n v="39"/>
    <s v="Female"/>
    <s v="Brazil"/>
    <x v="0"/>
    <s v="Upper_middle"/>
    <s v="Unemployed"/>
    <s v="Bachelors_degree"/>
    <s v="Single"/>
    <s v="No"/>
    <s v="Mid_Adults"/>
  </r>
  <r>
    <x v="958"/>
    <s v="Instagram"/>
    <n v="41"/>
    <s v="Male"/>
    <s v="Australia"/>
    <x v="1"/>
    <s v="Lower_middle"/>
    <s v="Full_time_employed"/>
    <s v="Some_college"/>
    <s v="In_a_relationship"/>
    <s v="No"/>
    <s v="Mid_Adults"/>
  </r>
  <r>
    <x v="959"/>
    <s v="Instagram"/>
    <n v="44"/>
    <s v="Male"/>
    <s v="India"/>
    <x v="2"/>
    <s v="Lower_middle"/>
    <s v="Full_time_employed"/>
    <s v="Some_college"/>
    <s v="Single"/>
    <s v="No"/>
    <s v="Mid_Adults"/>
  </r>
  <r>
    <x v="960"/>
    <s v="Instagram"/>
    <n v="62"/>
    <s v="Male"/>
    <s v="United_States"/>
    <x v="1"/>
    <s v="Middle"/>
    <s v="Full_time_employed"/>
    <s v="PhD"/>
    <s v="In_a_relationship"/>
    <s v="No"/>
    <s v="Seniors"/>
  </r>
  <r>
    <x v="961"/>
    <s v="Instagram"/>
    <n v="63"/>
    <s v="Male"/>
    <s v="United_States"/>
    <x v="1"/>
    <s v="High"/>
    <s v="Full_time_employed"/>
    <s v="Bachelors_degree"/>
    <s v="Single"/>
    <s v="No"/>
    <s v="Seniors"/>
  </r>
  <r>
    <x v="962"/>
    <s v="Instagram"/>
    <n v="31"/>
    <s v="Male"/>
    <s v="United_States"/>
    <x v="1"/>
    <s v="Upper_middle"/>
    <s v="Freelancer"/>
    <s v="Bachelors_degree"/>
    <s v="Single"/>
    <s v="No"/>
    <s v="Young_Adults"/>
  </r>
  <r>
    <x v="963"/>
    <s v="Instagram"/>
    <n v="33"/>
    <s v="Female"/>
    <s v="United_States"/>
    <x v="1"/>
    <s v="Middle"/>
    <s v="Freelancer"/>
    <s v="Bachelors_degree"/>
    <s v="Single"/>
    <s v="No"/>
    <s v="Young_Adults"/>
  </r>
  <r>
    <x v="964"/>
    <s v="Instagram"/>
    <n v="17"/>
    <s v="Male"/>
    <s v="United _Kingdom"/>
    <x v="2"/>
    <s v="Low"/>
    <s v="Part_time"/>
    <s v="Bachelors_degree"/>
    <s v="Single"/>
    <s v="Yes"/>
    <s v="Under_18"/>
  </r>
  <r>
    <x v="965"/>
    <s v="Instagram"/>
    <n v="30"/>
    <s v="Female"/>
    <s v="India"/>
    <x v="1"/>
    <s v="Middle"/>
    <s v="Unemployed"/>
    <s v="High_school"/>
    <s v="Single"/>
    <s v="No"/>
    <s v="Young_Adults"/>
  </r>
  <r>
    <x v="966"/>
    <s v="Instagram"/>
    <n v="40"/>
    <s v="Male"/>
    <s v="India"/>
    <x v="1"/>
    <s v="Lower_middle"/>
    <s v="Full_time_employed"/>
    <s v="High_school"/>
    <s v="Single"/>
    <s v="No"/>
    <s v="Mid_Adults"/>
  </r>
  <r>
    <x v="967"/>
    <s v="Instagram"/>
    <n v="54"/>
    <s v="Female"/>
    <s v="Brazil"/>
    <x v="1"/>
    <s v="Upper_middle"/>
    <s v="Freelancer"/>
    <s v="High_school"/>
    <s v="Single"/>
    <s v="Yes"/>
    <s v="Seniors"/>
  </r>
  <r>
    <x v="968"/>
    <s v="Instagram"/>
    <n v="34"/>
    <s v="Male"/>
    <s v="Brazil"/>
    <x v="1"/>
    <s v="Lower_middle"/>
    <s v="Full_time_employed"/>
    <s v="High_school"/>
    <s v="Single"/>
    <s v="No"/>
    <s v="Young_Adults"/>
  </r>
  <r>
    <x v="969"/>
    <s v="Instagram"/>
    <n v="33"/>
    <s v="Female"/>
    <s v="India"/>
    <x v="1"/>
    <s v="Middle"/>
    <s v="Full_time_employed"/>
    <s v="Masters_degree"/>
    <s v="In_a_relationship"/>
    <s v="No"/>
    <s v="Young_Adults"/>
  </r>
  <r>
    <x v="970"/>
    <s v="Instagram"/>
    <n v="18"/>
    <s v="Female"/>
    <s v="India"/>
    <x v="1"/>
    <s v="Low"/>
    <s v="Student"/>
    <s v="Other"/>
    <s v="Single"/>
    <s v="No"/>
    <s v="Youth"/>
  </r>
  <r>
    <x v="971"/>
    <s v="Instagram"/>
    <n v="13"/>
    <s v="Male"/>
    <s v="Brazil"/>
    <x v="2"/>
    <s v="Lower_middle"/>
    <s v="Full_time_employed"/>
    <s v="Some_college"/>
    <s v="Single"/>
    <s v="Yes"/>
    <s v="Under_18"/>
  </r>
  <r>
    <x v="972"/>
    <s v="Instagram"/>
    <n v="17"/>
    <s v="Female"/>
    <s v="Brazil"/>
    <x v="1"/>
    <s v="Lower_middle"/>
    <s v="Full_time_employed"/>
    <s v="High_school"/>
    <s v="Married"/>
    <s v="No"/>
    <s v="Under_18"/>
  </r>
  <r>
    <x v="973"/>
    <s v="Instagram"/>
    <n v="53"/>
    <s v="Male"/>
    <s v="India"/>
    <x v="1"/>
    <s v="Lower_middle"/>
    <s v="Part_time"/>
    <s v="PhD"/>
    <s v="Single"/>
    <s v="No"/>
    <s v="Seniors"/>
  </r>
  <r>
    <x v="974"/>
    <s v="Instagram"/>
    <n v="24"/>
    <s v="Female"/>
    <s v="United_States"/>
    <x v="1"/>
    <s v="Middle"/>
    <s v="Full_time_employed"/>
    <s v="Some_college"/>
    <s v="Widowed"/>
    <s v="No"/>
    <s v="Youth"/>
  </r>
  <r>
    <x v="975"/>
    <s v="Instagram"/>
    <n v="38"/>
    <s v="Female"/>
    <s v="Canada"/>
    <x v="2"/>
    <s v="Upper_middle"/>
    <s v="Part_time"/>
    <s v="Bachelors_degree"/>
    <s v="In_a_relationship"/>
    <s v="No"/>
    <s v="Mid_Adults"/>
  </r>
  <r>
    <x v="976"/>
    <s v="Instagram"/>
    <n v="58"/>
    <s v="Male"/>
    <s v="South_Korea"/>
    <x v="1"/>
    <s v="Upper_middle"/>
    <s v="Unemployed"/>
    <s v="Some_college"/>
    <s v="In_a_relationship"/>
    <s v="No"/>
    <s v="Seniors"/>
  </r>
  <r>
    <x v="977"/>
    <s v="Instagram"/>
    <n v="46"/>
    <s v="Male"/>
    <s v="Other"/>
    <x v="2"/>
    <s v="Low"/>
    <s v="Full_time_employed"/>
    <s v="Bachelors_degree"/>
    <s v="Divorced"/>
    <s v="Yes"/>
    <s v="Seniors"/>
  </r>
  <r>
    <x v="978"/>
    <s v="Instagram"/>
    <n v="61"/>
    <s v="Female"/>
    <s v="Germany"/>
    <x v="1"/>
    <s v="Upper_middle"/>
    <s v="Student"/>
    <s v="Some_college"/>
    <s v="Married"/>
    <s v="No"/>
    <s v="Seniors"/>
  </r>
  <r>
    <x v="979"/>
    <s v="Instagram"/>
    <n v="26"/>
    <s v="Male"/>
    <s v="United_States"/>
    <x v="2"/>
    <s v="Lower_middle"/>
    <s v="Full_time_employed"/>
    <s v="Bachelors_degree"/>
    <s v="In_a_relationship"/>
    <s v="Yes"/>
    <s v="Young_Adults"/>
  </r>
  <r>
    <x v="980"/>
    <s v="Instagram"/>
    <n v="38"/>
    <s v="Male"/>
    <s v="Brazil"/>
    <x v="1"/>
    <s v="Middle"/>
    <s v="Full_time_employed"/>
    <s v="Some_college"/>
    <s v="Single"/>
    <s v="No"/>
    <s v="Mid_Adults"/>
  </r>
  <r>
    <x v="981"/>
    <s v="Instagram"/>
    <n v="57"/>
    <s v="Female"/>
    <s v="India"/>
    <x v="1"/>
    <s v="Middle"/>
    <s v="Freelancer"/>
    <s v="Bachelors_degree"/>
    <s v="In_a_relationship"/>
    <s v="No"/>
    <s v="Seniors"/>
  </r>
  <r>
    <x v="982"/>
    <s v="Instagram"/>
    <n v="39"/>
    <s v="Male"/>
    <s v="Other"/>
    <x v="1"/>
    <s v="Middle"/>
    <s v="Full_time_employed"/>
    <s v="Bachelors_degree"/>
    <s v="In_a_relationship"/>
    <s v="No"/>
    <s v="Mid_Adults"/>
  </r>
  <r>
    <x v="983"/>
    <s v="Instagram"/>
    <n v="21"/>
    <s v="Female"/>
    <s v="Brazil"/>
    <x v="0"/>
    <s v="Upper_middle"/>
    <s v="Full_time_employed"/>
    <s v="Bachelors_degree"/>
    <s v="Married"/>
    <s v="Yes"/>
    <s v="Youth"/>
  </r>
  <r>
    <x v="984"/>
    <s v="Instagram"/>
    <n v="38"/>
    <s v="Male"/>
    <s v="United _Kingdom"/>
    <x v="2"/>
    <s v="Upper_middle"/>
    <s v="Student"/>
    <s v="Bachelors_degree"/>
    <s v="Single"/>
    <s v="No"/>
    <s v="Mid_Adults"/>
  </r>
  <r>
    <x v="985"/>
    <s v="Instagram"/>
    <n v="59"/>
    <s v="Female"/>
    <s v="Brazil"/>
    <x v="0"/>
    <s v="Low"/>
    <s v="Unemployed"/>
    <s v="Some_college"/>
    <s v="Married"/>
    <s v="No"/>
    <s v="Seniors"/>
  </r>
  <r>
    <x v="986"/>
    <s v="Instagram"/>
    <n v="34"/>
    <s v="Female"/>
    <s v="Brazil"/>
    <x v="1"/>
    <s v="Lower_middle"/>
    <s v="Full_time_employed"/>
    <s v="Bachelors_degree"/>
    <s v="Married"/>
    <s v="Yes"/>
    <s v="Young_Adults"/>
  </r>
  <r>
    <x v="987"/>
    <s v="Instagram"/>
    <n v="59"/>
    <s v="Female"/>
    <s v="United_States"/>
    <x v="2"/>
    <s v="Upper_middle"/>
    <s v="Full_time_employed"/>
    <s v="Bachelors_degree"/>
    <s v="In_a_relationship"/>
    <s v="No"/>
    <s v="Seniors"/>
  </r>
  <r>
    <x v="988"/>
    <s v="Instagram"/>
    <n v="42"/>
    <s v="Male"/>
    <s v="Other"/>
    <x v="2"/>
    <s v="Lower_middle"/>
    <s v="Student"/>
    <s v="High_school"/>
    <s v="In_a_relationship"/>
    <s v="Yes"/>
    <s v="Mid_Adults"/>
  </r>
  <r>
    <x v="989"/>
    <s v="Instagram"/>
    <n v="55"/>
    <s v="Male"/>
    <s v="United_States"/>
    <x v="2"/>
    <s v="Upper_middle"/>
    <s v="Student"/>
    <s v="Masters_degree"/>
    <s v="Single"/>
    <s v="No"/>
    <s v="Seniors"/>
  </r>
  <r>
    <x v="990"/>
    <s v="Instagram"/>
    <n v="60"/>
    <s v="Male"/>
    <s v="South_Korea"/>
    <x v="2"/>
    <s v="Upper_middle"/>
    <s v="Freelancer"/>
    <s v="Some_college"/>
    <s v="Single"/>
    <s v="No"/>
    <s v="Seniors"/>
  </r>
  <r>
    <x v="991"/>
    <s v="Instagram"/>
    <n v="29"/>
    <s v="Female"/>
    <s v="United_States"/>
    <x v="2"/>
    <s v="Lower_middle"/>
    <s v="Student"/>
    <s v="Some_college"/>
    <s v="In_a_relationship"/>
    <s v="No"/>
    <s v="Young_Adults"/>
  </r>
  <r>
    <x v="992"/>
    <s v="Instagram"/>
    <n v="38"/>
    <s v="Female"/>
    <s v="India"/>
    <x v="1"/>
    <s v="Upper_middle"/>
    <s v="Full_time_employed"/>
    <s v="Some_college"/>
    <s v="In_a_relationship"/>
    <s v="No"/>
    <s v="Mid_Adults"/>
  </r>
  <r>
    <x v="993"/>
    <s v="Instagram"/>
    <n v="48"/>
    <s v="Female"/>
    <s v="India"/>
    <x v="0"/>
    <s v="Middle"/>
    <s v="Student"/>
    <s v="Bachelors_degree"/>
    <s v="Married"/>
    <s v="No"/>
    <s v="Seniors"/>
  </r>
  <r>
    <x v="994"/>
    <s v="Instagram"/>
    <n v="13"/>
    <s v="Female"/>
    <s v="India"/>
    <x v="1"/>
    <s v="Low"/>
    <s v="Student"/>
    <s v="High_school"/>
    <s v="Single"/>
    <s v="No"/>
    <s v="Under_18"/>
  </r>
  <r>
    <x v="995"/>
    <s v="Instagram"/>
    <n v="20"/>
    <s v="Female"/>
    <s v="India"/>
    <x v="2"/>
    <s v="Low"/>
    <s v="Student"/>
    <s v="Bachelors_degree"/>
    <s v="In_a_relationship"/>
    <s v="Yes"/>
    <s v="Youth"/>
  </r>
  <r>
    <x v="996"/>
    <s v="Instagram"/>
    <n v="61"/>
    <s v="Female"/>
    <s v="United _Kingdom"/>
    <x v="2"/>
    <s v="Low"/>
    <s v="Student"/>
    <s v="High_school"/>
    <s v="Divorced"/>
    <s v="No"/>
    <s v="Seniors"/>
  </r>
  <r>
    <x v="997"/>
    <s v="Instagram"/>
    <n v="47"/>
    <s v="Female"/>
    <s v="India"/>
    <x v="1"/>
    <s v="Upper_middle"/>
    <s v="Student"/>
    <s v="High_school"/>
    <s v="In_a_relationship"/>
    <s v="No"/>
    <s v="Seniors"/>
  </r>
  <r>
    <x v="998"/>
    <s v="Instagram"/>
    <n v="64"/>
    <s v="Male"/>
    <s v="United_States"/>
    <x v="2"/>
    <s v="Upper_middle"/>
    <s v="Full_time_employed"/>
    <s v="Some_college"/>
    <s v="In_a_relationship"/>
    <s v="Yes"/>
    <s v="Seniors"/>
  </r>
  <r>
    <x v="999"/>
    <s v="Instagram"/>
    <n v="27"/>
    <s v="Female"/>
    <s v="Canada"/>
    <x v="1"/>
    <s v="Middle"/>
    <s v="Unemployed"/>
    <s v="Bachelors_degree"/>
    <s v="In_a_relationship"/>
    <s v="No"/>
    <s v="Young_Adults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n v="7.2"/>
    <x v="0"/>
    <s v="Good"/>
    <s v="No"/>
    <s v="Rarely"/>
    <n v="3"/>
    <n v="8"/>
    <n v="20.8"/>
    <n v="148"/>
    <n v="86"/>
    <n v="8107"/>
    <x v="0"/>
  </r>
  <r>
    <x v="1"/>
    <n v="10.9"/>
    <x v="1"/>
    <s v="Very_poor"/>
    <s v="No"/>
    <s v="Rarely"/>
    <n v="1"/>
    <n v="1"/>
    <n v="23.5"/>
    <n v="133"/>
    <n v="84"/>
    <n v="8059"/>
    <x v="1"/>
  </r>
  <r>
    <x v="2"/>
    <n v="5"/>
    <x v="2"/>
    <s v="Good"/>
    <s v="No"/>
    <s v="Rarely"/>
    <n v="4"/>
    <n v="10"/>
    <n v="28.6"/>
    <n v="135"/>
    <n v="88"/>
    <n v="7872"/>
    <x v="0"/>
  </r>
  <r>
    <x v="3"/>
    <n v="10.6"/>
    <x v="3"/>
    <s v="Poor"/>
    <s v="Yes"/>
    <s v="Never"/>
    <n v="18"/>
    <n v="1"/>
    <n v="22.5"/>
    <n v="105"/>
    <n v="73"/>
    <n v="7801"/>
    <x v="0"/>
  </r>
  <r>
    <x v="4"/>
    <n v="7.7"/>
    <x v="4"/>
    <s v="Average"/>
    <s v="No"/>
    <s v="Never"/>
    <n v="19"/>
    <n v="1"/>
    <n v="28.1"/>
    <n v="146"/>
    <n v="90"/>
    <n v="8005"/>
    <x v="0"/>
  </r>
  <r>
    <x v="5"/>
    <n v="5.2"/>
    <x v="5"/>
    <s v="Poor"/>
    <s v="No"/>
    <s v="Several_times_a_week"/>
    <n v="1"/>
    <n v="3"/>
    <n v="25.7"/>
    <n v="138"/>
    <n v="71"/>
    <n v="7964"/>
    <x v="2"/>
  </r>
  <r>
    <x v="6"/>
    <n v="6.5"/>
    <x v="0"/>
    <s v="Poor"/>
    <s v="No"/>
    <s v="Never"/>
    <n v="23"/>
    <n v="10"/>
    <n v="24.5"/>
    <n v="114"/>
    <n v="72"/>
    <n v="7861"/>
    <x v="0"/>
  </r>
  <r>
    <x v="7"/>
    <n v="10.5"/>
    <x v="0"/>
    <s v="Average"/>
    <s v="No"/>
    <s v="Several_times_a_week"/>
    <n v="33"/>
    <n v="3"/>
    <n v="20.3"/>
    <n v="118"/>
    <n v="85"/>
    <n v="7932"/>
    <x v="0"/>
  </r>
  <r>
    <x v="8"/>
    <n v="4.2"/>
    <x v="6"/>
    <s v="Poor"/>
    <s v="No"/>
    <s v="Rarely"/>
    <n v="12"/>
    <n v="6"/>
    <n v="22.2"/>
    <n v="93"/>
    <n v="98"/>
    <n v="8127"/>
    <x v="1"/>
  </r>
  <r>
    <x v="9"/>
    <n v="2.1"/>
    <x v="3"/>
    <s v="Excellent"/>
    <s v="No"/>
    <s v="Rarely"/>
    <n v="25"/>
    <n v="10"/>
    <n v="23.3"/>
    <n v="128"/>
    <n v="75"/>
    <n v="8144"/>
    <x v="0"/>
  </r>
  <r>
    <x v="10"/>
    <n v="1.5"/>
    <x v="3"/>
    <s v="Poor"/>
    <s v="Former"/>
    <s v="Rarely"/>
    <n v="14"/>
    <n v="3"/>
    <n v="22.1"/>
    <n v="158"/>
    <n v="95"/>
    <n v="8009"/>
    <x v="0"/>
  </r>
  <r>
    <x v="11"/>
    <n v="3.3"/>
    <x v="7"/>
    <s v="Poor"/>
    <s v="No"/>
    <s v="Rarely"/>
    <n v="15"/>
    <n v="7"/>
    <n v="21.4"/>
    <n v="149"/>
    <n v="74"/>
    <n v="7925"/>
    <x v="0"/>
  </r>
  <r>
    <x v="12"/>
    <n v="10.1"/>
    <x v="8"/>
    <s v="Very_poor"/>
    <s v="No"/>
    <s v="Never"/>
    <n v="7"/>
    <n v="10"/>
    <n v="24.3"/>
    <n v="129"/>
    <n v="80"/>
    <n v="8006"/>
    <x v="0"/>
  </r>
  <r>
    <x v="13"/>
    <n v="8.6999999999999993"/>
    <x v="9"/>
    <s v="Average"/>
    <s v="No"/>
    <s v="Never"/>
    <n v="7"/>
    <n v="8"/>
    <n v="24.5"/>
    <n v="120"/>
    <n v="69"/>
    <n v="8120"/>
    <x v="0"/>
  </r>
  <r>
    <x v="14"/>
    <n v="9.5"/>
    <x v="10"/>
    <s v="Very_poor"/>
    <s v="No"/>
    <s v="Rarely"/>
    <n v="31"/>
    <n v="3"/>
    <n v="29.8"/>
    <n v="113"/>
    <n v="88"/>
    <n v="7973"/>
    <x v="2"/>
  </r>
  <r>
    <x v="15"/>
    <n v="10.7"/>
    <x v="11"/>
    <s v="Poor"/>
    <s v="No"/>
    <s v="Weekly"/>
    <n v="2"/>
    <n v="10"/>
    <n v="30.1"/>
    <n v="127"/>
    <n v="65"/>
    <n v="8022"/>
    <x v="0"/>
  </r>
  <r>
    <x v="16"/>
    <n v="2.8"/>
    <x v="12"/>
    <s v="Good"/>
    <s v="No"/>
    <s v="Rarely"/>
    <n v="37"/>
    <n v="9"/>
    <n v="26.8"/>
    <n v="108"/>
    <n v="86"/>
    <n v="8120"/>
    <x v="1"/>
  </r>
  <r>
    <x v="17"/>
    <n v="11.6"/>
    <x v="13"/>
    <s v="Average"/>
    <s v="No"/>
    <s v="Weekly"/>
    <n v="40"/>
    <n v="2"/>
    <n v="26.3"/>
    <n v="151"/>
    <n v="78"/>
    <n v="7981"/>
    <x v="0"/>
  </r>
  <r>
    <x v="18"/>
    <n v="7.3"/>
    <x v="14"/>
    <s v="Excellent"/>
    <s v="No"/>
    <s v="Rarely"/>
    <n v="20"/>
    <n v="3"/>
    <n v="29.6"/>
    <n v="109"/>
    <n v="67"/>
    <n v="8194"/>
    <x v="0"/>
  </r>
  <r>
    <x v="19"/>
    <n v="8"/>
    <x v="15"/>
    <s v="Average"/>
    <s v="Yes"/>
    <s v="Rarely"/>
    <n v="12"/>
    <n v="5"/>
    <n v="27.1"/>
    <n v="126"/>
    <n v="92"/>
    <n v="8048"/>
    <x v="0"/>
  </r>
  <r>
    <x v="20"/>
    <n v="3.6"/>
    <x v="14"/>
    <s v="Good"/>
    <s v="No"/>
    <s v="Several_times_a_week"/>
    <n v="7"/>
    <n v="5"/>
    <n v="27.8"/>
    <n v="148"/>
    <n v="80"/>
    <n v="8006"/>
    <x v="0"/>
  </r>
  <r>
    <x v="21"/>
    <n v="10.6"/>
    <x v="16"/>
    <s v="Average"/>
    <s v="No"/>
    <s v="Rarely"/>
    <n v="6"/>
    <n v="8"/>
    <n v="23.3"/>
    <n v="92"/>
    <n v="70"/>
    <n v="7979"/>
    <x v="0"/>
  </r>
  <r>
    <x v="22"/>
    <n v="9.6"/>
    <x v="0"/>
    <s v="Excellent"/>
    <s v="No"/>
    <s v="Weekly"/>
    <n v="10"/>
    <n v="1"/>
    <n v="23.7"/>
    <n v="91"/>
    <n v="97"/>
    <n v="8043"/>
    <x v="0"/>
  </r>
  <r>
    <x v="23"/>
    <n v="5.5"/>
    <x v="17"/>
    <s v="Excellent"/>
    <s v="No"/>
    <s v="Rarely"/>
    <n v="25"/>
    <n v="4"/>
    <n v="24.8"/>
    <n v="103"/>
    <n v="82"/>
    <n v="7925"/>
    <x v="2"/>
  </r>
  <r>
    <x v="24"/>
    <n v="9.8000000000000007"/>
    <x v="18"/>
    <s v="Poor"/>
    <s v="No"/>
    <s v="Rarely"/>
    <n v="22"/>
    <n v="10"/>
    <n v="33"/>
    <n v="134"/>
    <n v="98"/>
    <n v="7977"/>
    <x v="2"/>
  </r>
  <r>
    <x v="25"/>
    <n v="6.2"/>
    <x v="4"/>
    <s v="Good"/>
    <s v="Yes"/>
    <s v="Rarely"/>
    <n v="14"/>
    <n v="2"/>
    <n v="27.1"/>
    <n v="136"/>
    <n v="82"/>
    <n v="7994"/>
    <x v="0"/>
  </r>
  <r>
    <x v="26"/>
    <n v="7.8"/>
    <x v="16"/>
    <s v="Average"/>
    <s v="No"/>
    <s v="Weekly"/>
    <n v="30"/>
    <n v="8"/>
    <n v="20.399999999999999"/>
    <n v="143"/>
    <n v="64"/>
    <n v="8072"/>
    <x v="0"/>
  </r>
  <r>
    <x v="27"/>
    <n v="4"/>
    <x v="19"/>
    <s v="Average"/>
    <s v="No"/>
    <s v="Never"/>
    <n v="0"/>
    <n v="9"/>
    <n v="22.7"/>
    <n v="131"/>
    <n v="96"/>
    <n v="7941"/>
    <x v="0"/>
  </r>
  <r>
    <x v="28"/>
    <n v="6.8"/>
    <x v="13"/>
    <s v="Good"/>
    <s v="No"/>
    <s v="Several_times_a_week"/>
    <n v="30"/>
    <n v="1"/>
    <n v="25.2"/>
    <n v="117"/>
    <n v="75"/>
    <n v="7925"/>
    <x v="0"/>
  </r>
  <r>
    <x v="29"/>
    <n v="6.7"/>
    <x v="11"/>
    <s v="Good"/>
    <s v="Yes"/>
    <s v="Several_times_a_week"/>
    <n v="26"/>
    <n v="7"/>
    <n v="29.7"/>
    <n v="95"/>
    <n v="96"/>
    <n v="8018"/>
    <x v="0"/>
  </r>
  <r>
    <x v="30"/>
    <n v="8.3000000000000007"/>
    <x v="20"/>
    <s v="Average"/>
    <s v="Yes"/>
    <s v="Several_times_a_week"/>
    <n v="3"/>
    <n v="2"/>
    <n v="20.9"/>
    <n v="138"/>
    <n v="94"/>
    <n v="7877"/>
    <x v="0"/>
  </r>
  <r>
    <x v="31"/>
    <n v="1"/>
    <x v="9"/>
    <s v="Good"/>
    <s v="No"/>
    <s v="Never"/>
    <n v="22"/>
    <n v="1"/>
    <n v="23.1"/>
    <n v="157"/>
    <n v="79"/>
    <n v="7873"/>
    <x v="0"/>
  </r>
  <r>
    <x v="32"/>
    <n v="10.1"/>
    <x v="0"/>
    <s v="Average"/>
    <s v="No"/>
    <s v="Weekly"/>
    <n v="22"/>
    <n v="9"/>
    <n v="25.1"/>
    <n v="99"/>
    <n v="82"/>
    <n v="7998"/>
    <x v="0"/>
  </r>
  <r>
    <x v="33"/>
    <n v="5.9"/>
    <x v="16"/>
    <s v="Poor"/>
    <s v="Yes"/>
    <s v="Rarely"/>
    <n v="27"/>
    <n v="8"/>
    <n v="23.3"/>
    <n v="155"/>
    <n v="95"/>
    <n v="7934"/>
    <x v="0"/>
  </r>
  <r>
    <x v="34"/>
    <n v="2.2000000000000002"/>
    <x v="19"/>
    <s v="Average"/>
    <s v="No"/>
    <s v="Weekly"/>
    <n v="10"/>
    <n v="6"/>
    <n v="25.2"/>
    <n v="131"/>
    <n v="81"/>
    <n v="8053"/>
    <x v="0"/>
  </r>
  <r>
    <x v="35"/>
    <n v="1.2"/>
    <x v="11"/>
    <s v="Poor"/>
    <s v="Former"/>
    <s v="Never"/>
    <n v="23"/>
    <n v="5"/>
    <n v="25"/>
    <n v="104"/>
    <n v="92"/>
    <n v="7941"/>
    <x v="0"/>
  </r>
  <r>
    <x v="36"/>
    <n v="5.8"/>
    <x v="16"/>
    <s v="Average"/>
    <s v="No"/>
    <s v="Rarely"/>
    <n v="3"/>
    <n v="7"/>
    <n v="22.6"/>
    <n v="94"/>
    <n v="73"/>
    <n v="8177"/>
    <x v="0"/>
  </r>
  <r>
    <x v="37"/>
    <n v="9.6999999999999993"/>
    <x v="20"/>
    <s v="Excellent"/>
    <s v="Yes"/>
    <s v="Never"/>
    <n v="12"/>
    <n v="2"/>
    <n v="20.100000000000001"/>
    <n v="112"/>
    <n v="93"/>
    <n v="7976"/>
    <x v="0"/>
  </r>
  <r>
    <x v="38"/>
    <n v="11.7"/>
    <x v="21"/>
    <s v="Average"/>
    <s v="No"/>
    <s v="Weekly"/>
    <n v="22"/>
    <n v="9"/>
    <n v="29.4"/>
    <n v="113"/>
    <n v="79"/>
    <n v="8055"/>
    <x v="0"/>
  </r>
  <r>
    <x v="39"/>
    <n v="13"/>
    <x v="22"/>
    <s v="Poor"/>
    <s v="No"/>
    <s v="Never"/>
    <n v="1"/>
    <n v="6"/>
    <n v="24.7"/>
    <n v="154"/>
    <n v="69"/>
    <n v="7952"/>
    <x v="0"/>
  </r>
  <r>
    <x v="40"/>
    <n v="12.7"/>
    <x v="23"/>
    <s v="Excellent"/>
    <s v="No"/>
    <s v="Never"/>
    <n v="32"/>
    <n v="7"/>
    <n v="25.6"/>
    <n v="139"/>
    <n v="83"/>
    <n v="7994"/>
    <x v="2"/>
  </r>
  <r>
    <x v="41"/>
    <n v="3.7"/>
    <x v="13"/>
    <s v="Poor"/>
    <s v="Former"/>
    <s v="Daily"/>
    <n v="10"/>
    <n v="6"/>
    <n v="18.600000000000001"/>
    <n v="124"/>
    <n v="79"/>
    <n v="8100"/>
    <x v="0"/>
  </r>
  <r>
    <x v="42"/>
    <n v="7.7"/>
    <x v="24"/>
    <s v="Good"/>
    <s v="No"/>
    <s v="Several_times_a_week"/>
    <n v="19"/>
    <n v="4"/>
    <n v="29.7"/>
    <n v="126"/>
    <n v="97"/>
    <n v="8175"/>
    <x v="1"/>
  </r>
  <r>
    <x v="43"/>
    <n v="7.2"/>
    <x v="7"/>
    <s v="Average"/>
    <s v="No"/>
    <s v="Rarely"/>
    <n v="26"/>
    <n v="7"/>
    <n v="25.9"/>
    <n v="137"/>
    <n v="73"/>
    <n v="8082"/>
    <x v="0"/>
  </r>
  <r>
    <x v="44"/>
    <n v="8.5"/>
    <x v="25"/>
    <s v="Average"/>
    <s v="No"/>
    <s v="Daily"/>
    <n v="4"/>
    <n v="2"/>
    <n v="27.3"/>
    <n v="97"/>
    <n v="67"/>
    <n v="8143"/>
    <x v="0"/>
  </r>
  <r>
    <x v="45"/>
    <n v="2.9"/>
    <x v="22"/>
    <s v="Poor"/>
    <s v="Yes"/>
    <s v="Never"/>
    <n v="19"/>
    <n v="1"/>
    <n v="23.2"/>
    <n v="96"/>
    <n v="68"/>
    <n v="8085"/>
    <x v="0"/>
  </r>
  <r>
    <x v="46"/>
    <n v="7.4"/>
    <x v="26"/>
    <s v="Average"/>
    <s v="No"/>
    <s v="Rarely"/>
    <n v="7"/>
    <n v="1"/>
    <n v="22.8"/>
    <n v="156"/>
    <n v="89"/>
    <n v="7888"/>
    <x v="1"/>
  </r>
  <r>
    <x v="47"/>
    <n v="2.5"/>
    <x v="21"/>
    <s v="Excellent"/>
    <s v="Yes"/>
    <s v="Rarely"/>
    <n v="2"/>
    <n v="9"/>
    <n v="25.2"/>
    <n v="105"/>
    <n v="63"/>
    <n v="8089"/>
    <x v="0"/>
  </r>
  <r>
    <x v="48"/>
    <n v="9.5"/>
    <x v="15"/>
    <s v="Poor"/>
    <s v="Former"/>
    <s v="Rarely"/>
    <n v="17"/>
    <n v="6"/>
    <n v="21.2"/>
    <n v="153"/>
    <n v="93"/>
    <n v="7968"/>
    <x v="0"/>
  </r>
  <r>
    <x v="49"/>
    <n v="5.5"/>
    <x v="27"/>
    <s v="Good"/>
    <s v="No"/>
    <s v="Rarely"/>
    <n v="39"/>
    <n v="1"/>
    <n v="22.8"/>
    <n v="108"/>
    <n v="62"/>
    <n v="8123"/>
    <x v="0"/>
  </r>
  <r>
    <x v="50"/>
    <n v="4.8"/>
    <x v="28"/>
    <s v="Good"/>
    <s v="Yes"/>
    <s v="Daily"/>
    <n v="35"/>
    <n v="8"/>
    <n v="21.3"/>
    <n v="95"/>
    <n v="95"/>
    <n v="7981"/>
    <x v="2"/>
  </r>
  <r>
    <x v="51"/>
    <n v="2.7"/>
    <x v="29"/>
    <s v="Average"/>
    <s v="Former"/>
    <s v="Never"/>
    <n v="35"/>
    <n v="6"/>
    <n v="22.4"/>
    <n v="152"/>
    <n v="75"/>
    <n v="7941"/>
    <x v="0"/>
  </r>
  <r>
    <x v="52"/>
    <n v="4.2"/>
    <x v="14"/>
    <s v="Poor"/>
    <s v="No"/>
    <s v="Never"/>
    <n v="32"/>
    <n v="4"/>
    <n v="30.3"/>
    <n v="101"/>
    <n v="92"/>
    <n v="8065"/>
    <x v="0"/>
  </r>
  <r>
    <x v="53"/>
    <n v="1.3"/>
    <x v="25"/>
    <s v="Average"/>
    <s v="Former"/>
    <s v="Rarely"/>
    <n v="11"/>
    <n v="1"/>
    <n v="26"/>
    <n v="103"/>
    <n v="71"/>
    <n v="8047"/>
    <x v="0"/>
  </r>
  <r>
    <x v="54"/>
    <n v="4.5999999999999996"/>
    <x v="28"/>
    <s v="Poor"/>
    <s v="No"/>
    <s v="Weekly"/>
    <n v="34"/>
    <n v="5"/>
    <n v="28.9"/>
    <n v="124"/>
    <n v="82"/>
    <n v="7958"/>
    <x v="2"/>
  </r>
  <r>
    <x v="55"/>
    <n v="10.5"/>
    <x v="23"/>
    <s v="Poor"/>
    <s v="Yes"/>
    <s v="Never"/>
    <n v="26"/>
    <n v="9"/>
    <n v="23.5"/>
    <n v="100"/>
    <n v="72"/>
    <n v="8061"/>
    <x v="2"/>
  </r>
  <r>
    <x v="56"/>
    <n v="4.0999999999999996"/>
    <x v="29"/>
    <s v="Excellent"/>
    <s v="No"/>
    <s v="Rarely"/>
    <n v="18"/>
    <n v="4"/>
    <n v="18.7"/>
    <n v="151"/>
    <n v="79"/>
    <n v="8010"/>
    <x v="0"/>
  </r>
  <r>
    <x v="57"/>
    <n v="6.9"/>
    <x v="2"/>
    <s v="Average"/>
    <s v="No"/>
    <s v="Never"/>
    <n v="4"/>
    <n v="9"/>
    <n v="20.100000000000001"/>
    <n v="142"/>
    <n v="88"/>
    <n v="8006"/>
    <x v="0"/>
  </r>
  <r>
    <x v="58"/>
    <n v="18.5"/>
    <x v="6"/>
    <s v="Excellent"/>
    <s v="No"/>
    <s v="Rarely"/>
    <n v="27"/>
    <n v="4"/>
    <n v="26.8"/>
    <n v="117"/>
    <n v="99"/>
    <n v="7887"/>
    <x v="1"/>
  </r>
  <r>
    <x v="59"/>
    <n v="1.8"/>
    <x v="13"/>
    <s v="Good"/>
    <s v="No"/>
    <s v="Never"/>
    <n v="17"/>
    <n v="10"/>
    <n v="27"/>
    <n v="102"/>
    <n v="63"/>
    <n v="8010"/>
    <x v="0"/>
  </r>
  <r>
    <x v="60"/>
    <n v="13.8"/>
    <x v="3"/>
    <s v="Average"/>
    <s v="No"/>
    <s v="Never"/>
    <n v="30"/>
    <n v="8"/>
    <n v="23.4"/>
    <n v="151"/>
    <n v="85"/>
    <n v="8080"/>
    <x v="0"/>
  </r>
  <r>
    <x v="61"/>
    <n v="5"/>
    <x v="18"/>
    <s v="Average"/>
    <s v="No"/>
    <s v="Never"/>
    <n v="26"/>
    <n v="4"/>
    <n v="23.8"/>
    <n v="136"/>
    <n v="67"/>
    <n v="7888"/>
    <x v="2"/>
  </r>
  <r>
    <x v="62"/>
    <n v="8"/>
    <x v="12"/>
    <s v="Poor"/>
    <s v="No"/>
    <s v="Rarely"/>
    <n v="19"/>
    <n v="2"/>
    <n v="24.3"/>
    <n v="157"/>
    <n v="97"/>
    <n v="7914"/>
    <x v="1"/>
  </r>
  <r>
    <x v="63"/>
    <n v="12.3"/>
    <x v="0"/>
    <s v="Good"/>
    <s v="No"/>
    <s v="Weekly"/>
    <n v="6"/>
    <n v="1"/>
    <n v="27.5"/>
    <n v="106"/>
    <n v="61"/>
    <n v="7981"/>
    <x v="0"/>
  </r>
  <r>
    <x v="64"/>
    <n v="2.2000000000000002"/>
    <x v="30"/>
    <s v="Excellent"/>
    <s v="No"/>
    <s v="Rarely"/>
    <n v="8"/>
    <n v="7"/>
    <n v="18.5"/>
    <n v="146"/>
    <n v="93"/>
    <n v="7926"/>
    <x v="1"/>
  </r>
  <r>
    <x v="65"/>
    <n v="7.6"/>
    <x v="12"/>
    <s v="Average"/>
    <s v="No"/>
    <s v="Several_times_a_week"/>
    <n v="0"/>
    <n v="6"/>
    <n v="28.5"/>
    <n v="106"/>
    <n v="70"/>
    <n v="8082"/>
    <x v="1"/>
  </r>
  <r>
    <x v="66"/>
    <n v="8.9"/>
    <x v="2"/>
    <s v="Poor"/>
    <s v="No"/>
    <s v="Never"/>
    <n v="38"/>
    <n v="8"/>
    <n v="21.4"/>
    <n v="107"/>
    <n v="83"/>
    <n v="8020"/>
    <x v="0"/>
  </r>
  <r>
    <x v="67"/>
    <n v="7.1"/>
    <x v="25"/>
    <s v="Excellent"/>
    <s v="No"/>
    <s v="Never"/>
    <n v="29"/>
    <n v="4"/>
    <n v="23.1"/>
    <n v="106"/>
    <n v="85"/>
    <n v="7966"/>
    <x v="0"/>
  </r>
  <r>
    <x v="68"/>
    <n v="1.9"/>
    <x v="5"/>
    <s v="Excellent"/>
    <s v="No"/>
    <s v="Rarely"/>
    <n v="29"/>
    <n v="3"/>
    <n v="25.7"/>
    <n v="148"/>
    <n v="73"/>
    <n v="8030"/>
    <x v="2"/>
  </r>
  <r>
    <x v="69"/>
    <n v="4.9000000000000004"/>
    <x v="0"/>
    <s v="Average"/>
    <s v="No"/>
    <s v="Rarely"/>
    <n v="15"/>
    <n v="8"/>
    <n v="27.7"/>
    <n v="133"/>
    <n v="83"/>
    <n v="8002"/>
    <x v="0"/>
  </r>
  <r>
    <x v="70"/>
    <n v="7.6"/>
    <x v="11"/>
    <s v="Average"/>
    <s v="No"/>
    <s v="Weekly"/>
    <n v="31"/>
    <n v="10"/>
    <n v="27.6"/>
    <n v="129"/>
    <n v="96"/>
    <n v="8018"/>
    <x v="0"/>
  </r>
  <r>
    <x v="71"/>
    <n v="9.3000000000000007"/>
    <x v="11"/>
    <s v="Poor"/>
    <s v="No"/>
    <s v="Rarely"/>
    <n v="8"/>
    <n v="5"/>
    <n v="33.700000000000003"/>
    <n v="110"/>
    <n v="91"/>
    <n v="7940"/>
    <x v="0"/>
  </r>
  <r>
    <x v="72"/>
    <n v="7.5"/>
    <x v="2"/>
    <s v="Excellent"/>
    <s v="No"/>
    <s v="Weekly"/>
    <n v="11"/>
    <n v="2"/>
    <n v="33.5"/>
    <n v="110"/>
    <n v="79"/>
    <n v="8109"/>
    <x v="0"/>
  </r>
  <r>
    <x v="73"/>
    <n v="10.199999999999999"/>
    <x v="2"/>
    <s v="Average"/>
    <s v="Former"/>
    <s v="Several_times_a_week"/>
    <n v="27"/>
    <n v="2"/>
    <n v="30.8"/>
    <n v="97"/>
    <n v="65"/>
    <n v="8125"/>
    <x v="0"/>
  </r>
  <r>
    <x v="74"/>
    <n v="4.8"/>
    <x v="14"/>
    <s v="Average"/>
    <s v="No"/>
    <s v="Daily"/>
    <n v="30"/>
    <n v="4"/>
    <n v="29"/>
    <n v="119"/>
    <n v="78"/>
    <n v="8174"/>
    <x v="0"/>
  </r>
  <r>
    <x v="75"/>
    <n v="10.5"/>
    <x v="7"/>
    <s v="Average"/>
    <s v="No"/>
    <s v="Never"/>
    <n v="21"/>
    <n v="7"/>
    <n v="23.3"/>
    <n v="156"/>
    <n v="76"/>
    <n v="8053"/>
    <x v="0"/>
  </r>
  <r>
    <x v="76"/>
    <n v="4.5"/>
    <x v="8"/>
    <s v="Average"/>
    <s v="No"/>
    <s v="Several_times_a_week"/>
    <n v="25"/>
    <n v="3"/>
    <n v="28.4"/>
    <n v="121"/>
    <n v="81"/>
    <n v="8000"/>
    <x v="0"/>
  </r>
  <r>
    <x v="77"/>
    <n v="13.2"/>
    <x v="4"/>
    <s v="Excellent"/>
    <s v="No"/>
    <s v="Weekly"/>
    <n v="33"/>
    <n v="1"/>
    <n v="19.2"/>
    <n v="140"/>
    <n v="81"/>
    <n v="8090"/>
    <x v="0"/>
  </r>
  <r>
    <x v="78"/>
    <n v="7.8"/>
    <x v="29"/>
    <s v="Poor"/>
    <s v="No"/>
    <s v="Never"/>
    <n v="38"/>
    <n v="6"/>
    <n v="24.3"/>
    <n v="153"/>
    <n v="82"/>
    <n v="7749"/>
    <x v="0"/>
  </r>
  <r>
    <x v="79"/>
    <n v="5"/>
    <x v="31"/>
    <s v="Good"/>
    <s v="Yes"/>
    <s v="Several_times_a_week"/>
    <n v="12"/>
    <n v="8"/>
    <n v="29.5"/>
    <n v="132"/>
    <n v="67"/>
    <n v="7985"/>
    <x v="2"/>
  </r>
  <r>
    <x v="80"/>
    <n v="16"/>
    <x v="32"/>
    <s v="Excellent"/>
    <s v="No"/>
    <s v="Rarely"/>
    <n v="36"/>
    <n v="2"/>
    <n v="19.8"/>
    <n v="127"/>
    <n v="99"/>
    <n v="7930"/>
    <x v="1"/>
  </r>
  <r>
    <x v="81"/>
    <n v="13.2"/>
    <x v="21"/>
    <s v="Average"/>
    <s v="No"/>
    <s v="Daily"/>
    <n v="5"/>
    <n v="4"/>
    <n v="21.8"/>
    <n v="90"/>
    <n v="79"/>
    <n v="8131"/>
    <x v="0"/>
  </r>
  <r>
    <x v="82"/>
    <n v="1.8"/>
    <x v="9"/>
    <s v="Excellent"/>
    <s v="No"/>
    <s v="Never"/>
    <n v="30"/>
    <n v="2"/>
    <n v="28.1"/>
    <n v="111"/>
    <n v="89"/>
    <n v="8134"/>
    <x v="0"/>
  </r>
  <r>
    <x v="83"/>
    <n v="16.8"/>
    <x v="1"/>
    <s v="Excellent"/>
    <s v="No"/>
    <s v="Weekly"/>
    <n v="2"/>
    <n v="5"/>
    <n v="20.5"/>
    <n v="130"/>
    <n v="96"/>
    <n v="7983"/>
    <x v="1"/>
  </r>
  <r>
    <x v="84"/>
    <n v="11"/>
    <x v="24"/>
    <s v="Average"/>
    <s v="No"/>
    <s v="Rarely"/>
    <n v="10"/>
    <n v="5"/>
    <n v="25.4"/>
    <n v="157"/>
    <n v="89"/>
    <n v="7962"/>
    <x v="1"/>
  </r>
  <r>
    <x v="85"/>
    <n v="4.3"/>
    <x v="13"/>
    <s v="Average"/>
    <s v="Former"/>
    <s v="Weekly"/>
    <n v="35"/>
    <n v="6"/>
    <n v="28.9"/>
    <n v="95"/>
    <n v="81"/>
    <n v="7833"/>
    <x v="0"/>
  </r>
  <r>
    <x v="86"/>
    <n v="10.4"/>
    <x v="13"/>
    <s v="Average"/>
    <s v="No"/>
    <s v="Rarely"/>
    <n v="0"/>
    <n v="7"/>
    <n v="35.4"/>
    <n v="107"/>
    <n v="96"/>
    <n v="7979"/>
    <x v="0"/>
  </r>
  <r>
    <x v="87"/>
    <n v="2.1"/>
    <x v="20"/>
    <s v="Good"/>
    <s v="No"/>
    <s v="Weekly"/>
    <n v="6"/>
    <n v="4"/>
    <n v="23.1"/>
    <n v="135"/>
    <n v="92"/>
    <n v="7996"/>
    <x v="0"/>
  </r>
  <r>
    <x v="88"/>
    <n v="4.0999999999999996"/>
    <x v="33"/>
    <s v="Average"/>
    <s v="No"/>
    <s v="Weekly"/>
    <n v="39"/>
    <n v="9"/>
    <n v="24.3"/>
    <n v="100"/>
    <n v="87"/>
    <n v="8055"/>
    <x v="0"/>
  </r>
  <r>
    <x v="89"/>
    <n v="6.6"/>
    <x v="22"/>
    <s v="Poor"/>
    <s v="No"/>
    <s v="Never"/>
    <n v="6"/>
    <n v="9"/>
    <n v="26.4"/>
    <n v="91"/>
    <n v="75"/>
    <n v="8008"/>
    <x v="0"/>
  </r>
  <r>
    <x v="90"/>
    <n v="8.6999999999999993"/>
    <x v="34"/>
    <s v="Average"/>
    <s v="Former"/>
    <s v="Weekly"/>
    <n v="8"/>
    <n v="1"/>
    <n v="23.3"/>
    <n v="101"/>
    <n v="72"/>
    <n v="8118"/>
    <x v="2"/>
  </r>
  <r>
    <x v="91"/>
    <n v="10.5"/>
    <x v="35"/>
    <s v="Poor"/>
    <s v="Former"/>
    <s v="Rarely"/>
    <n v="20"/>
    <n v="3"/>
    <n v="26.9"/>
    <n v="104"/>
    <n v="62"/>
    <n v="8076"/>
    <x v="2"/>
  </r>
  <r>
    <x v="92"/>
    <n v="9.6999999999999993"/>
    <x v="31"/>
    <s v="Average"/>
    <s v="No"/>
    <s v="Never"/>
    <n v="14"/>
    <n v="4"/>
    <n v="27.2"/>
    <n v="134"/>
    <n v="90"/>
    <n v="8045"/>
    <x v="2"/>
  </r>
  <r>
    <x v="93"/>
    <n v="0.3"/>
    <x v="0"/>
    <s v="Good"/>
    <s v="Yes"/>
    <s v="Never"/>
    <n v="1"/>
    <n v="6"/>
    <n v="20.8"/>
    <n v="153"/>
    <n v="69"/>
    <n v="7865"/>
    <x v="0"/>
  </r>
  <r>
    <x v="94"/>
    <n v="5.6"/>
    <x v="23"/>
    <s v="Average"/>
    <s v="No"/>
    <s v="Never"/>
    <n v="17"/>
    <n v="7"/>
    <n v="28.5"/>
    <n v="154"/>
    <n v="84"/>
    <n v="8079"/>
    <x v="2"/>
  </r>
  <r>
    <x v="95"/>
    <n v="4.2"/>
    <x v="6"/>
    <s v="Average"/>
    <s v="No"/>
    <s v="Never"/>
    <n v="26"/>
    <n v="2"/>
    <n v="17.399999999999999"/>
    <n v="121"/>
    <n v="63"/>
    <n v="8101"/>
    <x v="1"/>
  </r>
  <r>
    <x v="96"/>
    <n v="5.9"/>
    <x v="4"/>
    <s v="Good"/>
    <s v="No"/>
    <s v="Rarely"/>
    <n v="1"/>
    <n v="5"/>
    <n v="21.7"/>
    <n v="136"/>
    <n v="61"/>
    <n v="8121"/>
    <x v="0"/>
  </r>
  <r>
    <x v="97"/>
    <n v="1.8"/>
    <x v="19"/>
    <s v="Excellent"/>
    <s v="No"/>
    <s v="Never"/>
    <n v="36"/>
    <n v="7"/>
    <n v="21.7"/>
    <n v="97"/>
    <n v="76"/>
    <n v="7907"/>
    <x v="0"/>
  </r>
  <r>
    <x v="98"/>
    <n v="4.0999999999999996"/>
    <x v="4"/>
    <s v="Average"/>
    <s v="No"/>
    <s v="Never"/>
    <n v="11"/>
    <n v="4"/>
    <n v="26.4"/>
    <n v="94"/>
    <n v="96"/>
    <n v="7802"/>
    <x v="0"/>
  </r>
  <r>
    <x v="99"/>
    <n v="5.6"/>
    <x v="36"/>
    <s v="Average"/>
    <s v="No"/>
    <s v="Weekly"/>
    <n v="24"/>
    <n v="4"/>
    <n v="25.8"/>
    <n v="131"/>
    <n v="98"/>
    <n v="7783"/>
    <x v="0"/>
  </r>
  <r>
    <x v="100"/>
    <n v="4"/>
    <x v="16"/>
    <s v="Average"/>
    <s v="No"/>
    <s v="Rarely"/>
    <n v="11"/>
    <n v="3"/>
    <n v="26.5"/>
    <n v="127"/>
    <n v="72"/>
    <n v="8126"/>
    <x v="0"/>
  </r>
  <r>
    <x v="101"/>
    <n v="6.6"/>
    <x v="20"/>
    <s v="Excellent"/>
    <s v="No"/>
    <s v="Weekly"/>
    <n v="40"/>
    <n v="4"/>
    <n v="27.6"/>
    <n v="139"/>
    <n v="73"/>
    <n v="7902"/>
    <x v="0"/>
  </r>
  <r>
    <x v="102"/>
    <n v="8.1999999999999993"/>
    <x v="29"/>
    <s v="Average"/>
    <s v="No"/>
    <s v="Never"/>
    <n v="24"/>
    <n v="6"/>
    <n v="19.7"/>
    <n v="150"/>
    <n v="69"/>
    <n v="8080"/>
    <x v="0"/>
  </r>
  <r>
    <x v="103"/>
    <n v="4.7"/>
    <x v="36"/>
    <s v="Good"/>
    <s v="No"/>
    <s v="Rarely"/>
    <n v="34"/>
    <n v="1"/>
    <n v="24.1"/>
    <n v="133"/>
    <n v="87"/>
    <n v="7960"/>
    <x v="0"/>
  </r>
  <r>
    <x v="104"/>
    <n v="7.9"/>
    <x v="27"/>
    <s v="Good"/>
    <s v="No"/>
    <s v="Several_times_a_week"/>
    <n v="40"/>
    <n v="7"/>
    <n v="26.8"/>
    <n v="153"/>
    <n v="87"/>
    <n v="7945"/>
    <x v="0"/>
  </r>
  <r>
    <x v="105"/>
    <n v="14.4"/>
    <x v="27"/>
    <s v="Average"/>
    <s v="No"/>
    <s v="Never"/>
    <n v="32"/>
    <n v="10"/>
    <n v="17.3"/>
    <n v="153"/>
    <n v="70"/>
    <n v="8014"/>
    <x v="0"/>
  </r>
  <r>
    <x v="106"/>
    <n v="9.1"/>
    <x v="13"/>
    <s v="Average"/>
    <s v="No"/>
    <s v="Rarely"/>
    <n v="10"/>
    <n v="8"/>
    <n v="25"/>
    <n v="158"/>
    <n v="73"/>
    <n v="7912"/>
    <x v="0"/>
  </r>
  <r>
    <x v="107"/>
    <n v="4.8"/>
    <x v="22"/>
    <s v="Average"/>
    <s v="No"/>
    <s v="Daily"/>
    <n v="12"/>
    <n v="10"/>
    <n v="22"/>
    <n v="155"/>
    <n v="89"/>
    <n v="7944"/>
    <x v="0"/>
  </r>
  <r>
    <x v="108"/>
    <n v="5.2"/>
    <x v="17"/>
    <s v="Good"/>
    <s v="Former"/>
    <s v="Never"/>
    <n v="30"/>
    <n v="8"/>
    <n v="24.4"/>
    <n v="139"/>
    <n v="77"/>
    <n v="8174"/>
    <x v="2"/>
  </r>
  <r>
    <x v="109"/>
    <n v="5.0999999999999996"/>
    <x v="20"/>
    <s v="Poor"/>
    <s v="No"/>
    <s v="Daily"/>
    <n v="40"/>
    <n v="8"/>
    <n v="27.1"/>
    <n v="109"/>
    <n v="70"/>
    <n v="8007"/>
    <x v="0"/>
  </r>
  <r>
    <x v="110"/>
    <n v="3.2"/>
    <x v="6"/>
    <s v="Poor"/>
    <s v="No"/>
    <s v="Weekly"/>
    <n v="20"/>
    <n v="9"/>
    <n v="16.3"/>
    <n v="118"/>
    <n v="74"/>
    <n v="7994"/>
    <x v="1"/>
  </r>
  <r>
    <x v="111"/>
    <n v="11.6"/>
    <x v="18"/>
    <s v="Average"/>
    <s v="No"/>
    <s v="Never"/>
    <n v="28"/>
    <n v="6"/>
    <n v="22.1"/>
    <n v="141"/>
    <n v="71"/>
    <n v="8003"/>
    <x v="2"/>
  </r>
  <r>
    <x v="112"/>
    <n v="6"/>
    <x v="9"/>
    <s v="Average"/>
    <s v="No"/>
    <s v="Rarely"/>
    <n v="34"/>
    <n v="1"/>
    <n v="22.3"/>
    <n v="150"/>
    <n v="85"/>
    <n v="7903"/>
    <x v="0"/>
  </r>
  <r>
    <x v="113"/>
    <n v="7.4"/>
    <x v="33"/>
    <s v="Excellent"/>
    <s v="Former"/>
    <s v="Rarely"/>
    <n v="28"/>
    <n v="7"/>
    <n v="28.7"/>
    <n v="121"/>
    <n v="71"/>
    <n v="8005"/>
    <x v="0"/>
  </r>
  <r>
    <x v="114"/>
    <n v="3.6"/>
    <x v="20"/>
    <s v="Very_poor"/>
    <s v="No"/>
    <s v="Daily"/>
    <n v="23"/>
    <n v="6"/>
    <n v="20.3"/>
    <n v="105"/>
    <n v="91"/>
    <n v="8003"/>
    <x v="0"/>
  </r>
  <r>
    <x v="115"/>
    <n v="5"/>
    <x v="35"/>
    <s v="Good"/>
    <s v="No"/>
    <s v="Weekly"/>
    <n v="36"/>
    <n v="3"/>
    <n v="19.399999999999999"/>
    <n v="111"/>
    <n v="77"/>
    <n v="7829"/>
    <x v="2"/>
  </r>
  <r>
    <x v="116"/>
    <n v="2.9"/>
    <x v="13"/>
    <s v="Excellent"/>
    <s v="No"/>
    <s v="Never"/>
    <n v="8"/>
    <n v="1"/>
    <n v="26.1"/>
    <n v="133"/>
    <n v="76"/>
    <n v="7946"/>
    <x v="0"/>
  </r>
  <r>
    <x v="117"/>
    <n v="4.9000000000000004"/>
    <x v="33"/>
    <s v="Average"/>
    <s v="No"/>
    <s v="Never"/>
    <n v="26"/>
    <n v="10"/>
    <n v="21.3"/>
    <n v="142"/>
    <n v="77"/>
    <n v="8112"/>
    <x v="0"/>
  </r>
  <r>
    <x v="118"/>
    <n v="5.6"/>
    <x v="0"/>
    <s v="Good"/>
    <s v="No"/>
    <s v="Rarely"/>
    <n v="12"/>
    <n v="4"/>
    <n v="23"/>
    <n v="107"/>
    <n v="99"/>
    <n v="7956"/>
    <x v="0"/>
  </r>
  <r>
    <x v="119"/>
    <n v="4"/>
    <x v="37"/>
    <s v="Good"/>
    <s v="No"/>
    <s v="Never"/>
    <n v="23"/>
    <n v="9"/>
    <n v="27.2"/>
    <n v="118"/>
    <n v="82"/>
    <n v="8081"/>
    <x v="1"/>
  </r>
  <r>
    <x v="120"/>
    <n v="6.9"/>
    <x v="1"/>
    <s v="Excellent"/>
    <s v="No"/>
    <s v="Rarely"/>
    <n v="32"/>
    <n v="7"/>
    <n v="30.8"/>
    <n v="106"/>
    <n v="80"/>
    <n v="8024"/>
    <x v="1"/>
  </r>
  <r>
    <x v="121"/>
    <n v="2.2000000000000002"/>
    <x v="36"/>
    <s v="Very_poor"/>
    <s v="Former"/>
    <s v="Rarely"/>
    <n v="21"/>
    <n v="1"/>
    <n v="26.5"/>
    <n v="152"/>
    <n v="68"/>
    <n v="8011"/>
    <x v="0"/>
  </r>
  <r>
    <x v="122"/>
    <n v="9.3000000000000007"/>
    <x v="29"/>
    <s v="Good"/>
    <s v="Former"/>
    <s v="Rarely"/>
    <n v="14"/>
    <n v="4"/>
    <n v="25.7"/>
    <n v="145"/>
    <n v="85"/>
    <n v="7979"/>
    <x v="0"/>
  </r>
  <r>
    <x v="123"/>
    <n v="13.3"/>
    <x v="2"/>
    <s v="Good"/>
    <s v="Yes"/>
    <s v="Never"/>
    <n v="9"/>
    <n v="10"/>
    <n v="24.9"/>
    <n v="100"/>
    <n v="60"/>
    <n v="7942"/>
    <x v="0"/>
  </r>
  <r>
    <x v="124"/>
    <n v="5.4"/>
    <x v="4"/>
    <s v="Poor"/>
    <s v="No"/>
    <s v="Never"/>
    <n v="14"/>
    <n v="2"/>
    <n v="20.399999999999999"/>
    <n v="123"/>
    <n v="66"/>
    <n v="8041"/>
    <x v="0"/>
  </r>
  <r>
    <x v="125"/>
    <n v="2.8"/>
    <x v="38"/>
    <s v="Average"/>
    <s v="No"/>
    <s v="Rarely"/>
    <n v="22"/>
    <n v="9"/>
    <n v="31"/>
    <n v="97"/>
    <n v="60"/>
    <n v="8067"/>
    <x v="2"/>
  </r>
  <r>
    <x v="126"/>
    <n v="5.5"/>
    <x v="5"/>
    <s v="Average"/>
    <s v="No"/>
    <s v="Weekly"/>
    <n v="15"/>
    <n v="9"/>
    <n v="30.8"/>
    <n v="158"/>
    <n v="67"/>
    <n v="7931"/>
    <x v="2"/>
  </r>
  <r>
    <x v="127"/>
    <n v="12.7"/>
    <x v="39"/>
    <s v="Excellent"/>
    <s v="No"/>
    <s v="Never"/>
    <n v="31"/>
    <n v="3"/>
    <n v="21.9"/>
    <n v="101"/>
    <n v="69"/>
    <n v="7971"/>
    <x v="1"/>
  </r>
  <r>
    <x v="128"/>
    <n v="13.5"/>
    <x v="13"/>
    <s v="Very_poor"/>
    <s v="No"/>
    <s v="Never"/>
    <n v="16"/>
    <n v="8"/>
    <n v="27.2"/>
    <n v="122"/>
    <n v="92"/>
    <n v="7958"/>
    <x v="0"/>
  </r>
  <r>
    <x v="129"/>
    <n v="2.6"/>
    <x v="1"/>
    <s v="Good"/>
    <s v="Former"/>
    <s v="Daily"/>
    <n v="5"/>
    <n v="8"/>
    <n v="26.8"/>
    <n v="115"/>
    <n v="62"/>
    <n v="8080"/>
    <x v="1"/>
  </r>
  <r>
    <x v="130"/>
    <n v="13.2"/>
    <x v="9"/>
    <s v="Poor"/>
    <s v="No"/>
    <s v="Several_times_a_week"/>
    <n v="26"/>
    <n v="3"/>
    <n v="27.7"/>
    <n v="152"/>
    <n v="67"/>
    <n v="8037"/>
    <x v="0"/>
  </r>
  <r>
    <x v="131"/>
    <n v="8"/>
    <x v="0"/>
    <s v="Average"/>
    <s v="No"/>
    <s v="Rarely"/>
    <n v="30"/>
    <n v="6"/>
    <n v="20.7"/>
    <n v="143"/>
    <n v="99"/>
    <n v="8104"/>
    <x v="0"/>
  </r>
  <r>
    <x v="132"/>
    <n v="6.5"/>
    <x v="33"/>
    <s v="Poor"/>
    <s v="No"/>
    <s v="Weekly"/>
    <n v="29"/>
    <n v="1"/>
    <n v="20.3"/>
    <n v="156"/>
    <n v="87"/>
    <n v="7969"/>
    <x v="0"/>
  </r>
  <r>
    <x v="133"/>
    <n v="5"/>
    <x v="29"/>
    <s v="Excellent"/>
    <s v="No"/>
    <s v="Never"/>
    <n v="38"/>
    <n v="3"/>
    <n v="20.399999999999999"/>
    <n v="97"/>
    <n v="77"/>
    <n v="8002"/>
    <x v="0"/>
  </r>
  <r>
    <x v="134"/>
    <n v="3.3"/>
    <x v="14"/>
    <s v="Very_poor"/>
    <s v="No"/>
    <s v="Rarely"/>
    <n v="22"/>
    <n v="10"/>
    <n v="20.399999999999999"/>
    <n v="117"/>
    <n v="97"/>
    <n v="7946"/>
    <x v="0"/>
  </r>
  <r>
    <x v="135"/>
    <n v="5.3"/>
    <x v="36"/>
    <s v="Average"/>
    <s v="No"/>
    <s v="Weekly"/>
    <n v="22"/>
    <n v="4"/>
    <n v="19.8"/>
    <n v="130"/>
    <n v="85"/>
    <n v="8078"/>
    <x v="0"/>
  </r>
  <r>
    <x v="136"/>
    <n v="6.7"/>
    <x v="8"/>
    <s v="Very_poor"/>
    <s v="No"/>
    <s v="Never"/>
    <n v="35"/>
    <n v="1"/>
    <n v="28.1"/>
    <n v="158"/>
    <n v="83"/>
    <n v="7998"/>
    <x v="0"/>
  </r>
  <r>
    <x v="137"/>
    <n v="1"/>
    <x v="17"/>
    <s v="Average"/>
    <s v="Yes"/>
    <s v="Rarely"/>
    <n v="34"/>
    <n v="1"/>
    <n v="24.6"/>
    <n v="133"/>
    <n v="69"/>
    <n v="8084"/>
    <x v="2"/>
  </r>
  <r>
    <x v="138"/>
    <n v="4.7"/>
    <x v="20"/>
    <s v="Poor"/>
    <s v="Yes"/>
    <s v="Never"/>
    <n v="19"/>
    <n v="10"/>
    <n v="21.4"/>
    <n v="130"/>
    <n v="88"/>
    <n v="8121"/>
    <x v="0"/>
  </r>
  <r>
    <x v="139"/>
    <n v="5.6"/>
    <x v="32"/>
    <s v="Good"/>
    <s v="No"/>
    <s v="Rarely"/>
    <n v="5"/>
    <n v="2"/>
    <n v="21"/>
    <n v="123"/>
    <n v="77"/>
    <n v="8052"/>
    <x v="1"/>
  </r>
  <r>
    <x v="140"/>
    <n v="6.2"/>
    <x v="4"/>
    <s v="Very_poor"/>
    <s v="No"/>
    <s v="Rarely"/>
    <n v="8"/>
    <n v="4"/>
    <n v="29.5"/>
    <n v="91"/>
    <n v="70"/>
    <n v="7834"/>
    <x v="0"/>
  </r>
  <r>
    <x v="141"/>
    <n v="10.199999999999999"/>
    <x v="29"/>
    <s v="Very_poor"/>
    <s v="Former"/>
    <s v="Daily"/>
    <n v="27"/>
    <n v="5"/>
    <n v="32"/>
    <n v="146"/>
    <n v="96"/>
    <n v="7953"/>
    <x v="0"/>
  </r>
  <r>
    <x v="142"/>
    <n v="5.8"/>
    <x v="21"/>
    <s v="Very_poor"/>
    <s v="No"/>
    <s v="Weekly"/>
    <n v="15"/>
    <n v="10"/>
    <n v="22.3"/>
    <n v="147"/>
    <n v="61"/>
    <n v="8023"/>
    <x v="0"/>
  </r>
  <r>
    <x v="143"/>
    <n v="7.1"/>
    <x v="22"/>
    <s v="Average"/>
    <s v="Former"/>
    <s v="Rarely"/>
    <n v="26"/>
    <n v="10"/>
    <n v="18.5"/>
    <n v="95"/>
    <n v="73"/>
    <n v="7997"/>
    <x v="0"/>
  </r>
  <r>
    <x v="144"/>
    <n v="6.3"/>
    <x v="16"/>
    <s v="Excellent"/>
    <s v="Yes"/>
    <s v="Rarely"/>
    <n v="28"/>
    <n v="8"/>
    <n v="24.9"/>
    <n v="150"/>
    <n v="80"/>
    <n v="8043"/>
    <x v="0"/>
  </r>
  <r>
    <x v="145"/>
    <n v="6.2"/>
    <x v="34"/>
    <s v="Excellent"/>
    <s v="No"/>
    <s v="Weekly"/>
    <n v="10"/>
    <n v="4"/>
    <n v="36.9"/>
    <n v="145"/>
    <n v="75"/>
    <n v="7909"/>
    <x v="2"/>
  </r>
  <r>
    <x v="146"/>
    <n v="11.3"/>
    <x v="30"/>
    <s v="Excellent"/>
    <s v="No"/>
    <s v="Never"/>
    <n v="25"/>
    <n v="6"/>
    <n v="24.5"/>
    <n v="134"/>
    <n v="95"/>
    <n v="7935"/>
    <x v="1"/>
  </r>
  <r>
    <x v="147"/>
    <n v="7.6"/>
    <x v="27"/>
    <s v="Very_poor"/>
    <s v="No"/>
    <s v="Never"/>
    <n v="17"/>
    <n v="5"/>
    <n v="27.4"/>
    <n v="111"/>
    <n v="99"/>
    <n v="8156"/>
    <x v="0"/>
  </r>
  <r>
    <x v="148"/>
    <n v="16.899999999999999"/>
    <x v="40"/>
    <s v="Average"/>
    <s v="No"/>
    <s v="Rarely"/>
    <n v="18"/>
    <n v="3"/>
    <n v="30.2"/>
    <n v="96"/>
    <n v="98"/>
    <n v="7905"/>
    <x v="1"/>
  </r>
  <r>
    <x v="149"/>
    <n v="16.600000000000001"/>
    <x v="13"/>
    <s v="Excellent"/>
    <s v="No"/>
    <s v="Rarely"/>
    <n v="13"/>
    <n v="3"/>
    <n v="32.299999999999997"/>
    <n v="97"/>
    <n v="87"/>
    <n v="7842"/>
    <x v="0"/>
  </r>
  <r>
    <x v="150"/>
    <n v="2.2999999999999998"/>
    <x v="12"/>
    <s v="Average"/>
    <s v="No"/>
    <s v="Weekly"/>
    <n v="28"/>
    <n v="2"/>
    <n v="25.8"/>
    <n v="114"/>
    <n v="64"/>
    <n v="7999"/>
    <x v="1"/>
  </r>
  <r>
    <x v="151"/>
    <n v="15.5"/>
    <x v="36"/>
    <s v="Good"/>
    <s v="Former"/>
    <s v="Rarely"/>
    <n v="27"/>
    <n v="6"/>
    <n v="26"/>
    <n v="125"/>
    <n v="79"/>
    <n v="8062"/>
    <x v="0"/>
  </r>
  <r>
    <x v="152"/>
    <n v="9"/>
    <x v="41"/>
    <s v="Good"/>
    <s v="Former"/>
    <s v="Rarely"/>
    <n v="19"/>
    <n v="1"/>
    <n v="28.4"/>
    <n v="155"/>
    <n v="70"/>
    <n v="7997"/>
    <x v="1"/>
  </r>
  <r>
    <x v="153"/>
    <n v="11.2"/>
    <x v="8"/>
    <s v="Average"/>
    <s v="Yes"/>
    <s v="Weekly"/>
    <n v="34"/>
    <n v="7"/>
    <n v="26.9"/>
    <n v="117"/>
    <n v="91"/>
    <n v="8039"/>
    <x v="0"/>
  </r>
  <r>
    <x v="154"/>
    <n v="1.1000000000000001"/>
    <x v="19"/>
    <s v="Average"/>
    <s v="No"/>
    <s v="Rarely"/>
    <n v="30"/>
    <n v="7"/>
    <n v="20.7"/>
    <n v="95"/>
    <n v="93"/>
    <n v="8118"/>
    <x v="0"/>
  </r>
  <r>
    <x v="155"/>
    <n v="3.6"/>
    <x v="21"/>
    <s v="Good"/>
    <s v="No"/>
    <s v="Never"/>
    <n v="24"/>
    <n v="8"/>
    <n v="24.1"/>
    <n v="141"/>
    <n v="80"/>
    <n v="7974"/>
    <x v="0"/>
  </r>
  <r>
    <x v="156"/>
    <n v="5.9"/>
    <x v="15"/>
    <s v="Average"/>
    <s v="No"/>
    <s v="Rarely"/>
    <n v="34"/>
    <n v="6"/>
    <n v="24.1"/>
    <n v="94"/>
    <n v="72"/>
    <n v="8060"/>
    <x v="0"/>
  </r>
  <r>
    <x v="157"/>
    <n v="12.2"/>
    <x v="20"/>
    <s v="Excellent"/>
    <s v="No"/>
    <s v="Rarely"/>
    <n v="14"/>
    <n v="3"/>
    <n v="23.1"/>
    <n v="116"/>
    <n v="89"/>
    <n v="7863"/>
    <x v="0"/>
  </r>
  <r>
    <x v="158"/>
    <n v="7.4"/>
    <x v="23"/>
    <s v="Very_poor"/>
    <s v="No"/>
    <s v="Never"/>
    <n v="9"/>
    <n v="6"/>
    <n v="29.5"/>
    <n v="137"/>
    <n v="78"/>
    <n v="7848"/>
    <x v="2"/>
  </r>
  <r>
    <x v="159"/>
    <n v="5.9"/>
    <x v="32"/>
    <s v="Average"/>
    <s v="No"/>
    <s v="Never"/>
    <n v="34"/>
    <n v="3"/>
    <n v="22.4"/>
    <n v="148"/>
    <n v="84"/>
    <n v="8025"/>
    <x v="1"/>
  </r>
  <r>
    <x v="160"/>
    <n v="5.6"/>
    <x v="19"/>
    <s v="Average"/>
    <s v="No"/>
    <s v="Rarely"/>
    <n v="5"/>
    <n v="3"/>
    <n v="23"/>
    <n v="93"/>
    <n v="67"/>
    <n v="7943"/>
    <x v="0"/>
  </r>
  <r>
    <x v="161"/>
    <n v="9.6999999999999993"/>
    <x v="18"/>
    <s v="Very_poor"/>
    <s v="Yes"/>
    <s v="Weekly"/>
    <n v="6"/>
    <n v="9"/>
    <n v="29.4"/>
    <n v="110"/>
    <n v="69"/>
    <n v="7945"/>
    <x v="2"/>
  </r>
  <r>
    <x v="162"/>
    <n v="4.3"/>
    <x v="33"/>
    <s v="Poor"/>
    <s v="No"/>
    <s v="Rarely"/>
    <n v="19"/>
    <n v="6"/>
    <n v="27.6"/>
    <n v="122"/>
    <n v="75"/>
    <n v="7996"/>
    <x v="0"/>
  </r>
  <r>
    <x v="163"/>
    <n v="8.1"/>
    <x v="16"/>
    <s v="Excellent"/>
    <s v="No"/>
    <s v="Never"/>
    <n v="39"/>
    <n v="1"/>
    <n v="25.8"/>
    <n v="146"/>
    <n v="89"/>
    <n v="8126"/>
    <x v="0"/>
  </r>
  <r>
    <x v="164"/>
    <n v="14.2"/>
    <x v="42"/>
    <s v="Good"/>
    <s v="No"/>
    <s v="Weekly"/>
    <n v="7"/>
    <n v="2"/>
    <n v="30.5"/>
    <n v="95"/>
    <n v="97"/>
    <n v="7895"/>
    <x v="1"/>
  </r>
  <r>
    <x v="165"/>
    <n v="4.0999999999999996"/>
    <x v="24"/>
    <s v="Average"/>
    <s v="Yes"/>
    <s v="Weekly"/>
    <n v="12"/>
    <n v="9"/>
    <n v="19.899999999999999"/>
    <n v="154"/>
    <n v="79"/>
    <n v="8207"/>
    <x v="1"/>
  </r>
  <r>
    <x v="166"/>
    <n v="7.9"/>
    <x v="2"/>
    <s v="Average"/>
    <s v="No"/>
    <s v="Never"/>
    <n v="20"/>
    <n v="9"/>
    <n v="18.3"/>
    <n v="147"/>
    <n v="61"/>
    <n v="7863"/>
    <x v="0"/>
  </r>
  <r>
    <x v="167"/>
    <n v="3.7"/>
    <x v="6"/>
    <s v="Very_poor"/>
    <s v="No"/>
    <s v="Rarely"/>
    <n v="40"/>
    <n v="5"/>
    <n v="20.3"/>
    <n v="143"/>
    <n v="73"/>
    <n v="7993"/>
    <x v="1"/>
  </r>
  <r>
    <x v="168"/>
    <n v="1.9"/>
    <x v="20"/>
    <s v="Good"/>
    <s v="No"/>
    <s v="Rarely"/>
    <n v="33"/>
    <n v="9"/>
    <n v="25.4"/>
    <n v="155"/>
    <n v="80"/>
    <n v="8057"/>
    <x v="0"/>
  </r>
  <r>
    <x v="169"/>
    <n v="8.1999999999999993"/>
    <x v="41"/>
    <s v="Poor"/>
    <s v="Former"/>
    <s v="Rarely"/>
    <n v="2"/>
    <n v="2"/>
    <n v="22.4"/>
    <n v="139"/>
    <n v="63"/>
    <n v="8034"/>
    <x v="1"/>
  </r>
  <r>
    <x v="170"/>
    <n v="6.3"/>
    <x v="3"/>
    <s v="Average"/>
    <s v="No"/>
    <s v="Never"/>
    <n v="31"/>
    <n v="8"/>
    <n v="25.9"/>
    <n v="150"/>
    <n v="88"/>
    <n v="7853"/>
    <x v="0"/>
  </r>
  <r>
    <x v="171"/>
    <n v="5.2"/>
    <x v="38"/>
    <s v="Average"/>
    <s v="No"/>
    <s v="Weekly"/>
    <n v="34"/>
    <n v="4"/>
    <n v="24.5"/>
    <n v="134"/>
    <n v="99"/>
    <n v="7984"/>
    <x v="2"/>
  </r>
  <r>
    <x v="172"/>
    <n v="5.0999999999999996"/>
    <x v="22"/>
    <s v="Average"/>
    <s v="No"/>
    <s v="Never"/>
    <n v="20"/>
    <n v="2"/>
    <n v="25.9"/>
    <n v="94"/>
    <n v="70"/>
    <n v="8097"/>
    <x v="0"/>
  </r>
  <r>
    <x v="173"/>
    <n v="7.7"/>
    <x v="29"/>
    <s v="Average"/>
    <s v="Yes"/>
    <s v="Rarely"/>
    <n v="9"/>
    <n v="5"/>
    <n v="15.3"/>
    <n v="147"/>
    <n v="94"/>
    <n v="8066"/>
    <x v="0"/>
  </r>
  <r>
    <x v="174"/>
    <n v="5.0999999999999996"/>
    <x v="0"/>
    <s v="Very_poor"/>
    <s v="No"/>
    <s v="Rarely"/>
    <n v="8"/>
    <n v="1"/>
    <n v="21.2"/>
    <n v="100"/>
    <n v="91"/>
    <n v="7946"/>
    <x v="0"/>
  </r>
  <r>
    <x v="175"/>
    <n v="4.7"/>
    <x v="3"/>
    <s v="Good"/>
    <s v="No"/>
    <s v="Never"/>
    <n v="10"/>
    <n v="8"/>
    <n v="23.2"/>
    <n v="107"/>
    <n v="62"/>
    <n v="8020"/>
    <x v="0"/>
  </r>
  <r>
    <x v="176"/>
    <n v="3.1"/>
    <x v="29"/>
    <s v="Average"/>
    <s v="No"/>
    <s v="Never"/>
    <n v="19"/>
    <n v="1"/>
    <n v="15"/>
    <n v="128"/>
    <n v="71"/>
    <n v="7837"/>
    <x v="0"/>
  </r>
  <r>
    <x v="177"/>
    <n v="10.9"/>
    <x v="10"/>
    <s v="Average"/>
    <s v="No"/>
    <s v="Rarely"/>
    <n v="26"/>
    <n v="9"/>
    <n v="26.5"/>
    <n v="98"/>
    <n v="99"/>
    <n v="7834"/>
    <x v="2"/>
  </r>
  <r>
    <x v="178"/>
    <n v="2.7"/>
    <x v="9"/>
    <s v="Poor"/>
    <s v="No"/>
    <s v="Rarely"/>
    <n v="36"/>
    <n v="8"/>
    <n v="25.3"/>
    <n v="91"/>
    <n v="61"/>
    <n v="7950"/>
    <x v="0"/>
  </r>
  <r>
    <x v="179"/>
    <n v="4.5"/>
    <x v="43"/>
    <s v="Excellent"/>
    <s v="No"/>
    <s v="Weekly"/>
    <n v="8"/>
    <n v="7"/>
    <n v="28.9"/>
    <n v="127"/>
    <n v="98"/>
    <n v="7901"/>
    <x v="1"/>
  </r>
  <r>
    <x v="180"/>
    <n v="1"/>
    <x v="25"/>
    <s v="Average"/>
    <s v="Former"/>
    <s v="Never"/>
    <n v="23"/>
    <n v="5"/>
    <n v="27.4"/>
    <n v="126"/>
    <n v="72"/>
    <n v="7974"/>
    <x v="0"/>
  </r>
  <r>
    <x v="181"/>
    <n v="1.5"/>
    <x v="33"/>
    <s v="Excellent"/>
    <s v="No"/>
    <s v="Never"/>
    <n v="16"/>
    <n v="1"/>
    <n v="34.799999999999997"/>
    <n v="146"/>
    <n v="87"/>
    <n v="8028"/>
    <x v="0"/>
  </r>
  <r>
    <x v="182"/>
    <n v="5.3"/>
    <x v="39"/>
    <s v="Average"/>
    <s v="Former"/>
    <s v="Never"/>
    <n v="25"/>
    <n v="1"/>
    <n v="20.2"/>
    <n v="153"/>
    <n v="66"/>
    <n v="7865"/>
    <x v="1"/>
  </r>
  <r>
    <x v="183"/>
    <n v="3.8"/>
    <x v="38"/>
    <s v="Very_poor"/>
    <s v="No"/>
    <s v="Daily"/>
    <n v="37"/>
    <n v="9"/>
    <n v="26.4"/>
    <n v="143"/>
    <n v="69"/>
    <n v="8061"/>
    <x v="2"/>
  </r>
  <r>
    <x v="184"/>
    <n v="11.5"/>
    <x v="3"/>
    <s v="Average"/>
    <s v="No"/>
    <s v="Rarely"/>
    <n v="1"/>
    <n v="9"/>
    <n v="29"/>
    <n v="124"/>
    <n v="82"/>
    <n v="8073"/>
    <x v="0"/>
  </r>
  <r>
    <x v="185"/>
    <n v="4.8"/>
    <x v="12"/>
    <s v="Good"/>
    <s v="No"/>
    <s v="Never"/>
    <n v="5"/>
    <n v="1"/>
    <n v="26"/>
    <n v="158"/>
    <n v="79"/>
    <n v="8020"/>
    <x v="1"/>
  </r>
  <r>
    <x v="186"/>
    <n v="2.7"/>
    <x v="3"/>
    <s v="Good"/>
    <s v="No"/>
    <s v="Rarely"/>
    <n v="6"/>
    <n v="8"/>
    <n v="27.5"/>
    <n v="134"/>
    <n v="71"/>
    <n v="7919"/>
    <x v="0"/>
  </r>
  <r>
    <x v="187"/>
    <n v="15.2"/>
    <x v="2"/>
    <s v="Average"/>
    <s v="No"/>
    <s v="Daily"/>
    <n v="23"/>
    <n v="1"/>
    <n v="24.5"/>
    <n v="150"/>
    <n v="85"/>
    <n v="8121"/>
    <x v="0"/>
  </r>
  <r>
    <x v="188"/>
    <n v="12.8"/>
    <x v="29"/>
    <s v="Good"/>
    <s v="Yes"/>
    <s v="Never"/>
    <n v="24"/>
    <n v="10"/>
    <n v="25.2"/>
    <n v="145"/>
    <n v="69"/>
    <n v="8006"/>
    <x v="0"/>
  </r>
  <r>
    <x v="189"/>
    <n v="10.8"/>
    <x v="17"/>
    <s v="Good"/>
    <s v="Yes"/>
    <s v="Rarely"/>
    <n v="28"/>
    <n v="6"/>
    <n v="24.4"/>
    <n v="106"/>
    <n v="85"/>
    <n v="7939"/>
    <x v="2"/>
  </r>
  <r>
    <x v="190"/>
    <n v="7.5"/>
    <x v="8"/>
    <s v="Good"/>
    <s v="Yes"/>
    <s v="Rarely"/>
    <n v="30"/>
    <n v="7"/>
    <n v="27.3"/>
    <n v="99"/>
    <n v="83"/>
    <n v="8001"/>
    <x v="0"/>
  </r>
  <r>
    <x v="191"/>
    <n v="6.3"/>
    <x v="9"/>
    <s v="Average"/>
    <s v="No"/>
    <s v="Weekly"/>
    <n v="8"/>
    <n v="7"/>
    <n v="28.5"/>
    <n v="123"/>
    <n v="80"/>
    <n v="8026"/>
    <x v="0"/>
  </r>
  <r>
    <x v="192"/>
    <n v="6.5"/>
    <x v="6"/>
    <s v="Good"/>
    <s v="No"/>
    <s v="Never"/>
    <n v="31"/>
    <n v="7"/>
    <n v="22.5"/>
    <n v="109"/>
    <n v="77"/>
    <n v="7866"/>
    <x v="1"/>
  </r>
  <r>
    <x v="193"/>
    <n v="8.4"/>
    <x v="19"/>
    <s v="Very_poor"/>
    <s v="No"/>
    <s v="Rarely"/>
    <n v="31"/>
    <n v="9"/>
    <n v="21.4"/>
    <n v="157"/>
    <n v="95"/>
    <n v="8159"/>
    <x v="0"/>
  </r>
  <r>
    <x v="194"/>
    <n v="4.5"/>
    <x v="36"/>
    <s v="Very_poor"/>
    <s v="Yes"/>
    <s v="Rarely"/>
    <n v="38"/>
    <n v="7"/>
    <n v="30.4"/>
    <n v="95"/>
    <n v="84"/>
    <n v="7938"/>
    <x v="0"/>
  </r>
  <r>
    <x v="195"/>
    <n v="4.9000000000000004"/>
    <x v="0"/>
    <s v="Average"/>
    <s v="Former"/>
    <s v="Rarely"/>
    <n v="36"/>
    <n v="10"/>
    <n v="28.4"/>
    <n v="107"/>
    <n v="95"/>
    <n v="8046"/>
    <x v="0"/>
  </r>
  <r>
    <x v="196"/>
    <n v="4.8"/>
    <x v="2"/>
    <s v="Good"/>
    <s v="No"/>
    <s v="Several_times_a_week"/>
    <n v="12"/>
    <n v="5"/>
    <n v="25.7"/>
    <n v="97"/>
    <n v="97"/>
    <n v="8032"/>
    <x v="0"/>
  </r>
  <r>
    <x v="197"/>
    <n v="3.2"/>
    <x v="0"/>
    <s v="Average"/>
    <s v="No"/>
    <s v="Rarely"/>
    <n v="35"/>
    <n v="7"/>
    <n v="24.5"/>
    <n v="109"/>
    <n v="79"/>
    <n v="8001"/>
    <x v="0"/>
  </r>
  <r>
    <x v="198"/>
    <n v="8.8000000000000007"/>
    <x v="44"/>
    <s v="Poor"/>
    <s v="No"/>
    <s v="Weekly"/>
    <n v="0"/>
    <n v="9"/>
    <n v="27.4"/>
    <n v="103"/>
    <n v="66"/>
    <n v="7955"/>
    <x v="2"/>
  </r>
  <r>
    <x v="199"/>
    <n v="12.9"/>
    <x v="38"/>
    <s v="Average"/>
    <s v="No"/>
    <s v="Several_times_a_week"/>
    <n v="16"/>
    <n v="9"/>
    <n v="26.2"/>
    <n v="130"/>
    <n v="73"/>
    <n v="8036"/>
    <x v="2"/>
  </r>
  <r>
    <x v="200"/>
    <n v="5"/>
    <x v="2"/>
    <s v="Very_poor"/>
    <s v="Yes"/>
    <s v="Weekly"/>
    <n v="19"/>
    <n v="4"/>
    <n v="28.3"/>
    <n v="141"/>
    <n v="83"/>
    <n v="8056"/>
    <x v="0"/>
  </r>
  <r>
    <x v="201"/>
    <n v="7.1"/>
    <x v="36"/>
    <s v="Excellent"/>
    <s v="No"/>
    <s v="Rarely"/>
    <n v="22"/>
    <n v="3"/>
    <n v="25.5"/>
    <n v="149"/>
    <n v="89"/>
    <n v="8043"/>
    <x v="0"/>
  </r>
  <r>
    <x v="202"/>
    <n v="6"/>
    <x v="35"/>
    <s v="Good"/>
    <s v="No"/>
    <s v="Several_times_a_week"/>
    <n v="40"/>
    <n v="3"/>
    <n v="17.8"/>
    <n v="117"/>
    <n v="82"/>
    <n v="8002"/>
    <x v="2"/>
  </r>
  <r>
    <x v="203"/>
    <n v="7.3"/>
    <x v="13"/>
    <s v="Average"/>
    <s v="No"/>
    <s v="Weekly"/>
    <n v="7"/>
    <n v="10"/>
    <n v="21.2"/>
    <n v="149"/>
    <n v="63"/>
    <n v="7946"/>
    <x v="0"/>
  </r>
  <r>
    <x v="204"/>
    <n v="2.1"/>
    <x v="27"/>
    <s v="Average"/>
    <s v="Yes"/>
    <s v="Rarely"/>
    <n v="16"/>
    <n v="3"/>
    <n v="26.5"/>
    <n v="140"/>
    <n v="83"/>
    <n v="7984"/>
    <x v="0"/>
  </r>
  <r>
    <x v="205"/>
    <n v="5.6"/>
    <x v="33"/>
    <s v="Average"/>
    <s v="No"/>
    <s v="Rarely"/>
    <n v="25"/>
    <n v="5"/>
    <n v="25.5"/>
    <n v="130"/>
    <n v="68"/>
    <n v="7975"/>
    <x v="0"/>
  </r>
  <r>
    <x v="206"/>
    <n v="6.9"/>
    <x v="31"/>
    <s v="Average"/>
    <s v="No"/>
    <s v="Weekly"/>
    <n v="27"/>
    <n v="2"/>
    <n v="24.5"/>
    <n v="136"/>
    <n v="88"/>
    <n v="8188"/>
    <x v="2"/>
  </r>
  <r>
    <x v="207"/>
    <n v="6.1"/>
    <x v="1"/>
    <s v="Very_poor"/>
    <s v="No"/>
    <s v="Rarely"/>
    <n v="40"/>
    <n v="9"/>
    <n v="29.9"/>
    <n v="122"/>
    <n v="97"/>
    <n v="7954"/>
    <x v="1"/>
  </r>
  <r>
    <x v="208"/>
    <n v="5.7"/>
    <x v="37"/>
    <s v="Excellent"/>
    <s v="No"/>
    <s v="Weekly"/>
    <n v="27"/>
    <n v="8"/>
    <n v="24.3"/>
    <n v="117"/>
    <n v="75"/>
    <n v="8220"/>
    <x v="1"/>
  </r>
  <r>
    <x v="209"/>
    <n v="7.1"/>
    <x v="19"/>
    <s v="Excellent"/>
    <s v="No"/>
    <s v="Never"/>
    <n v="8"/>
    <n v="6"/>
    <n v="23.6"/>
    <n v="135"/>
    <n v="63"/>
    <n v="8207"/>
    <x v="0"/>
  </r>
  <r>
    <x v="210"/>
    <n v="9.1"/>
    <x v="7"/>
    <s v="Average"/>
    <s v="No"/>
    <s v="Several_times_a_week"/>
    <n v="11"/>
    <n v="3"/>
    <n v="28.3"/>
    <n v="139"/>
    <n v="95"/>
    <n v="8038"/>
    <x v="0"/>
  </r>
  <r>
    <x v="211"/>
    <n v="2.8"/>
    <x v="9"/>
    <s v="Good"/>
    <s v="No"/>
    <s v="Rarely"/>
    <n v="23"/>
    <n v="5"/>
    <n v="26.6"/>
    <n v="145"/>
    <n v="76"/>
    <n v="7977"/>
    <x v="0"/>
  </r>
  <r>
    <x v="212"/>
    <n v="8.5"/>
    <x v="4"/>
    <s v="Excellent"/>
    <s v="Yes"/>
    <s v="Weekly"/>
    <n v="9"/>
    <n v="10"/>
    <n v="20.3"/>
    <n v="115"/>
    <n v="94"/>
    <n v="7915"/>
    <x v="0"/>
  </r>
  <r>
    <x v="213"/>
    <n v="4.0999999999999996"/>
    <x v="2"/>
    <s v="Poor"/>
    <s v="Former"/>
    <s v="Several_times_a_week"/>
    <n v="35"/>
    <n v="8"/>
    <n v="23.7"/>
    <n v="92"/>
    <n v="94"/>
    <n v="7797"/>
    <x v="0"/>
  </r>
  <r>
    <x v="214"/>
    <n v="6.4"/>
    <x v="36"/>
    <s v="Poor"/>
    <s v="No"/>
    <s v="Rarely"/>
    <n v="28"/>
    <n v="4"/>
    <n v="18.8"/>
    <n v="90"/>
    <n v="64"/>
    <n v="7954"/>
    <x v="0"/>
  </r>
  <r>
    <x v="215"/>
    <n v="6.9"/>
    <x v="11"/>
    <s v="Average"/>
    <s v="No"/>
    <s v="Rarely"/>
    <n v="31"/>
    <n v="8"/>
    <n v="20.399999999999999"/>
    <n v="108"/>
    <n v="92"/>
    <n v="7939"/>
    <x v="0"/>
  </r>
  <r>
    <x v="216"/>
    <n v="12.4"/>
    <x v="25"/>
    <s v="Average"/>
    <s v="No"/>
    <s v="Weekly"/>
    <n v="32"/>
    <n v="9"/>
    <n v="21.7"/>
    <n v="145"/>
    <n v="92"/>
    <n v="7966"/>
    <x v="0"/>
  </r>
  <r>
    <x v="217"/>
    <n v="11.8"/>
    <x v="2"/>
    <s v="Poor"/>
    <s v="No"/>
    <s v="Several_times_a_week"/>
    <n v="38"/>
    <n v="5"/>
    <n v="16.7"/>
    <n v="98"/>
    <n v="67"/>
    <n v="8048"/>
    <x v="0"/>
  </r>
  <r>
    <x v="218"/>
    <n v="5"/>
    <x v="4"/>
    <s v="Average"/>
    <s v="No"/>
    <s v="Never"/>
    <n v="29"/>
    <n v="3"/>
    <n v="16.8"/>
    <n v="118"/>
    <n v="89"/>
    <n v="7991"/>
    <x v="0"/>
  </r>
  <r>
    <x v="219"/>
    <n v="3.8"/>
    <x v="8"/>
    <s v="Poor"/>
    <s v="No"/>
    <s v="Several_times_a_week"/>
    <n v="29"/>
    <n v="2"/>
    <n v="23.5"/>
    <n v="109"/>
    <n v="84"/>
    <n v="8023"/>
    <x v="0"/>
  </r>
  <r>
    <x v="220"/>
    <n v="1.5"/>
    <x v="18"/>
    <s v="Poor"/>
    <s v="No"/>
    <s v="Rarely"/>
    <n v="0"/>
    <n v="6"/>
    <n v="30.5"/>
    <n v="112"/>
    <n v="91"/>
    <n v="8015"/>
    <x v="2"/>
  </r>
  <r>
    <x v="221"/>
    <n v="11.1"/>
    <x v="24"/>
    <s v="Poor"/>
    <s v="Yes"/>
    <s v="Daily"/>
    <n v="24"/>
    <n v="5"/>
    <n v="22.9"/>
    <n v="102"/>
    <n v="75"/>
    <n v="8162"/>
    <x v="1"/>
  </r>
  <r>
    <x v="222"/>
    <n v="8.1999999999999993"/>
    <x v="14"/>
    <s v="Very_poor"/>
    <s v="Former"/>
    <s v="Rarely"/>
    <n v="20"/>
    <n v="2"/>
    <n v="21.4"/>
    <n v="107"/>
    <n v="80"/>
    <n v="8109"/>
    <x v="0"/>
  </r>
  <r>
    <x v="223"/>
    <n v="13.8"/>
    <x v="8"/>
    <s v="Very_poor"/>
    <s v="No"/>
    <s v="Never"/>
    <n v="7"/>
    <n v="9"/>
    <n v="20.8"/>
    <n v="156"/>
    <n v="81"/>
    <n v="8029"/>
    <x v="0"/>
  </r>
  <r>
    <x v="224"/>
    <n v="11.3"/>
    <x v="17"/>
    <s v="Excellent"/>
    <s v="Former"/>
    <s v="Rarely"/>
    <n v="14"/>
    <n v="7"/>
    <n v="25.1"/>
    <n v="105"/>
    <n v="63"/>
    <n v="7964"/>
    <x v="2"/>
  </r>
  <r>
    <x v="225"/>
    <n v="0.9"/>
    <x v="29"/>
    <s v="Average"/>
    <s v="Former"/>
    <s v="Never"/>
    <n v="38"/>
    <n v="6"/>
    <n v="26.9"/>
    <n v="111"/>
    <n v="70"/>
    <n v="8073"/>
    <x v="0"/>
  </r>
  <r>
    <x v="226"/>
    <n v="10.1"/>
    <x v="41"/>
    <s v="Average"/>
    <s v="No"/>
    <s v="Rarely"/>
    <n v="17"/>
    <n v="6"/>
    <n v="22.8"/>
    <n v="140"/>
    <n v="79"/>
    <n v="7872"/>
    <x v="1"/>
  </r>
  <r>
    <x v="227"/>
    <n v="9.6999999999999993"/>
    <x v="8"/>
    <s v="Poor"/>
    <s v="Yes"/>
    <s v="Never"/>
    <n v="24"/>
    <n v="1"/>
    <n v="23.9"/>
    <n v="111"/>
    <n v="63"/>
    <n v="7838"/>
    <x v="0"/>
  </r>
  <r>
    <x v="228"/>
    <n v="9.6"/>
    <x v="33"/>
    <s v="Average"/>
    <s v="Yes"/>
    <s v="Rarely"/>
    <n v="28"/>
    <n v="10"/>
    <n v="27.4"/>
    <n v="141"/>
    <n v="61"/>
    <n v="8002"/>
    <x v="0"/>
  </r>
  <r>
    <x v="229"/>
    <n v="7.3"/>
    <x v="31"/>
    <s v="Average"/>
    <s v="Yes"/>
    <s v="Rarely"/>
    <n v="0"/>
    <n v="7"/>
    <n v="19.399999999999999"/>
    <n v="152"/>
    <n v="77"/>
    <n v="7878"/>
    <x v="2"/>
  </r>
  <r>
    <x v="230"/>
    <n v="9.3000000000000007"/>
    <x v="20"/>
    <s v="Good"/>
    <s v="No"/>
    <s v="Several_times_a_week"/>
    <n v="28"/>
    <n v="8"/>
    <n v="24.1"/>
    <n v="158"/>
    <n v="98"/>
    <n v="7963"/>
    <x v="0"/>
  </r>
  <r>
    <x v="231"/>
    <n v="7.8"/>
    <x v="0"/>
    <s v="Average"/>
    <s v="No"/>
    <s v="Never"/>
    <n v="30"/>
    <n v="6"/>
    <n v="30"/>
    <n v="127"/>
    <n v="89"/>
    <n v="8126"/>
    <x v="0"/>
  </r>
  <r>
    <x v="232"/>
    <n v="10.6"/>
    <x v="16"/>
    <s v="Good"/>
    <s v="No"/>
    <s v="Never"/>
    <n v="6"/>
    <n v="9"/>
    <n v="26"/>
    <n v="107"/>
    <n v="62"/>
    <n v="7989"/>
    <x v="0"/>
  </r>
  <r>
    <x v="233"/>
    <n v="14.1"/>
    <x v="22"/>
    <s v="Very_poor"/>
    <s v="No"/>
    <s v="Rarely"/>
    <n v="9"/>
    <n v="8"/>
    <n v="22.5"/>
    <n v="128"/>
    <n v="91"/>
    <n v="7932"/>
    <x v="0"/>
  </r>
  <r>
    <x v="234"/>
    <n v="10"/>
    <x v="8"/>
    <s v="Excellent"/>
    <s v="No"/>
    <s v="Never"/>
    <n v="15"/>
    <n v="2"/>
    <n v="20.5"/>
    <n v="122"/>
    <n v="73"/>
    <n v="7975"/>
    <x v="0"/>
  </r>
  <r>
    <x v="235"/>
    <n v="4.8"/>
    <x v="25"/>
    <s v="Good"/>
    <s v="No"/>
    <s v="Daily"/>
    <n v="37"/>
    <n v="3"/>
    <n v="19"/>
    <n v="155"/>
    <n v="60"/>
    <n v="7870"/>
    <x v="0"/>
  </r>
  <r>
    <x v="236"/>
    <n v="11"/>
    <x v="30"/>
    <s v="Good"/>
    <s v="No"/>
    <s v="Rarely"/>
    <n v="28"/>
    <n v="8"/>
    <n v="22.7"/>
    <n v="141"/>
    <n v="64"/>
    <n v="7876"/>
    <x v="1"/>
  </r>
  <r>
    <x v="237"/>
    <n v="0.6"/>
    <x v="9"/>
    <s v="Poor"/>
    <s v="No"/>
    <s v="Rarely"/>
    <n v="5"/>
    <n v="6"/>
    <n v="20.2"/>
    <n v="127"/>
    <n v="67"/>
    <n v="8091"/>
    <x v="0"/>
  </r>
  <r>
    <x v="238"/>
    <n v="5.2"/>
    <x v="9"/>
    <s v="Excellent"/>
    <s v="Yes"/>
    <s v="Never"/>
    <n v="30"/>
    <n v="7"/>
    <n v="28.1"/>
    <n v="123"/>
    <n v="63"/>
    <n v="8072"/>
    <x v="0"/>
  </r>
  <r>
    <x v="239"/>
    <n v="2.9"/>
    <x v="7"/>
    <s v="Average"/>
    <s v="No"/>
    <s v="Rarely"/>
    <n v="13"/>
    <n v="5"/>
    <n v="29.9"/>
    <n v="98"/>
    <n v="80"/>
    <n v="8042"/>
    <x v="0"/>
  </r>
  <r>
    <x v="240"/>
    <n v="9.9"/>
    <x v="2"/>
    <s v="Poor"/>
    <s v="No"/>
    <s v="Rarely"/>
    <n v="25"/>
    <n v="7"/>
    <n v="31.8"/>
    <n v="124"/>
    <n v="95"/>
    <n v="7975"/>
    <x v="0"/>
  </r>
  <r>
    <x v="241"/>
    <n v="7"/>
    <x v="25"/>
    <s v="Average"/>
    <s v="No"/>
    <s v="Rarely"/>
    <n v="2"/>
    <n v="6"/>
    <n v="19.899999999999999"/>
    <n v="140"/>
    <n v="95"/>
    <n v="8006"/>
    <x v="0"/>
  </r>
  <r>
    <x v="242"/>
    <n v="1.4"/>
    <x v="3"/>
    <s v="Excellent"/>
    <s v="Yes"/>
    <s v="Never"/>
    <n v="38"/>
    <n v="5"/>
    <n v="17.7"/>
    <n v="153"/>
    <n v="87"/>
    <n v="8148"/>
    <x v="0"/>
  </r>
  <r>
    <x v="243"/>
    <n v="4.5999999999999996"/>
    <x v="11"/>
    <s v="Good"/>
    <s v="No"/>
    <s v="Never"/>
    <n v="11"/>
    <n v="5"/>
    <n v="26.4"/>
    <n v="96"/>
    <n v="66"/>
    <n v="7842"/>
    <x v="0"/>
  </r>
  <r>
    <x v="244"/>
    <n v="2.7"/>
    <x v="5"/>
    <s v="Very_poor"/>
    <s v="No"/>
    <s v="Weekly"/>
    <n v="6"/>
    <n v="7"/>
    <n v="22.6"/>
    <n v="112"/>
    <n v="86"/>
    <n v="8173"/>
    <x v="2"/>
  </r>
  <r>
    <x v="245"/>
    <n v="6.6"/>
    <x v="7"/>
    <s v="Average"/>
    <s v="Yes"/>
    <s v="Never"/>
    <n v="18"/>
    <n v="6"/>
    <n v="21"/>
    <n v="147"/>
    <n v="70"/>
    <n v="7945"/>
    <x v="0"/>
  </r>
  <r>
    <x v="246"/>
    <n v="8.5"/>
    <x v="21"/>
    <s v="Average"/>
    <s v="No"/>
    <s v="Rarely"/>
    <n v="31"/>
    <n v="3"/>
    <n v="21.2"/>
    <n v="125"/>
    <n v="74"/>
    <n v="7897"/>
    <x v="0"/>
  </r>
  <r>
    <x v="247"/>
    <n v="6.6"/>
    <x v="37"/>
    <s v="Very_poor"/>
    <s v="No"/>
    <s v="Never"/>
    <n v="11"/>
    <n v="10"/>
    <n v="23.9"/>
    <n v="147"/>
    <n v="81"/>
    <n v="7899"/>
    <x v="1"/>
  </r>
  <r>
    <x v="248"/>
    <n v="7.3"/>
    <x v="21"/>
    <s v="Average"/>
    <s v="Yes"/>
    <s v="Never"/>
    <n v="31"/>
    <n v="3"/>
    <n v="23.5"/>
    <n v="157"/>
    <n v="93"/>
    <n v="8051"/>
    <x v="0"/>
  </r>
  <r>
    <x v="249"/>
    <n v="4.9000000000000004"/>
    <x v="14"/>
    <s v="Average"/>
    <s v="Yes"/>
    <s v="Weekly"/>
    <n v="33"/>
    <n v="8"/>
    <n v="28.9"/>
    <n v="111"/>
    <n v="68"/>
    <n v="7836"/>
    <x v="0"/>
  </r>
  <r>
    <x v="250"/>
    <n v="2.7"/>
    <x v="29"/>
    <s v="Average"/>
    <s v="Former"/>
    <s v="Rarely"/>
    <n v="26"/>
    <n v="10"/>
    <n v="24.5"/>
    <n v="135"/>
    <n v="81"/>
    <n v="8086"/>
    <x v="0"/>
  </r>
  <r>
    <x v="251"/>
    <n v="4.2"/>
    <x v="8"/>
    <s v="Good"/>
    <s v="No"/>
    <s v="Several_times_a_week"/>
    <n v="9"/>
    <n v="7"/>
    <n v="29.3"/>
    <n v="153"/>
    <n v="67"/>
    <n v="8086"/>
    <x v="0"/>
  </r>
  <r>
    <x v="252"/>
    <n v="0.8"/>
    <x v="33"/>
    <s v="Poor"/>
    <s v="No"/>
    <s v="Rarely"/>
    <n v="4"/>
    <n v="5"/>
    <n v="28.3"/>
    <n v="101"/>
    <n v="72"/>
    <n v="8011"/>
    <x v="0"/>
  </r>
  <r>
    <x v="253"/>
    <n v="4.2"/>
    <x v="15"/>
    <s v="Very_poor"/>
    <s v="No"/>
    <s v="Never"/>
    <n v="15"/>
    <n v="7"/>
    <n v="25.5"/>
    <n v="112"/>
    <n v="62"/>
    <n v="8044"/>
    <x v="0"/>
  </r>
  <r>
    <x v="254"/>
    <n v="3.7"/>
    <x v="18"/>
    <s v="Poor"/>
    <s v="No"/>
    <s v="Weekly"/>
    <n v="0"/>
    <n v="2"/>
    <n v="24.4"/>
    <n v="122"/>
    <n v="73"/>
    <n v="7985"/>
    <x v="2"/>
  </r>
  <r>
    <x v="255"/>
    <n v="7.6"/>
    <x v="20"/>
    <s v="Good"/>
    <s v="Former"/>
    <s v="Weekly"/>
    <n v="18"/>
    <n v="1"/>
    <n v="27.6"/>
    <n v="118"/>
    <n v="73"/>
    <n v="8047"/>
    <x v="0"/>
  </r>
  <r>
    <x v="256"/>
    <n v="10"/>
    <x v="18"/>
    <s v="Good"/>
    <s v="Yes"/>
    <s v="Rarely"/>
    <n v="24"/>
    <n v="3"/>
    <n v="28.9"/>
    <n v="141"/>
    <n v="64"/>
    <n v="8073"/>
    <x v="2"/>
  </r>
  <r>
    <x v="257"/>
    <n v="9.5"/>
    <x v="36"/>
    <s v="Average"/>
    <s v="No"/>
    <s v="Never"/>
    <n v="29"/>
    <n v="3"/>
    <n v="21.5"/>
    <n v="95"/>
    <n v="92"/>
    <n v="7930"/>
    <x v="0"/>
  </r>
  <r>
    <x v="258"/>
    <n v="3.7"/>
    <x v="11"/>
    <s v="Very_poor"/>
    <s v="No"/>
    <s v="Weekly"/>
    <n v="9"/>
    <n v="4"/>
    <n v="25.8"/>
    <n v="147"/>
    <n v="74"/>
    <n v="7989"/>
    <x v="0"/>
  </r>
  <r>
    <x v="259"/>
    <n v="3.9"/>
    <x v="39"/>
    <s v="Average"/>
    <s v="No"/>
    <s v="Never"/>
    <n v="18"/>
    <n v="7"/>
    <n v="29.3"/>
    <n v="100"/>
    <n v="70"/>
    <n v="8018"/>
    <x v="1"/>
  </r>
  <r>
    <x v="260"/>
    <n v="5.4"/>
    <x v="14"/>
    <s v="Excellent"/>
    <s v="No"/>
    <s v="Rarely"/>
    <n v="37"/>
    <n v="5"/>
    <n v="23.9"/>
    <n v="92"/>
    <n v="94"/>
    <n v="8072"/>
    <x v="0"/>
  </r>
  <r>
    <x v="261"/>
    <n v="9.6"/>
    <x v="2"/>
    <s v="Good"/>
    <s v="No"/>
    <s v="Never"/>
    <n v="14"/>
    <n v="3"/>
    <n v="23.8"/>
    <n v="144"/>
    <n v="80"/>
    <n v="7913"/>
    <x v="0"/>
  </r>
  <r>
    <x v="262"/>
    <n v="6.6"/>
    <x v="15"/>
    <s v="Average"/>
    <s v="Yes"/>
    <s v="Several_times_a_week"/>
    <n v="25"/>
    <n v="4"/>
    <n v="33"/>
    <n v="123"/>
    <n v="72"/>
    <n v="7940"/>
    <x v="0"/>
  </r>
  <r>
    <x v="263"/>
    <n v="12.7"/>
    <x v="16"/>
    <s v="Very_poor"/>
    <s v="No"/>
    <s v="Rarely"/>
    <n v="0"/>
    <n v="4"/>
    <n v="20.5"/>
    <n v="105"/>
    <n v="89"/>
    <n v="8014"/>
    <x v="0"/>
  </r>
  <r>
    <x v="264"/>
    <n v="3.4"/>
    <x v="31"/>
    <s v="Average"/>
    <s v="No"/>
    <s v="Never"/>
    <n v="9"/>
    <n v="4"/>
    <n v="24.3"/>
    <n v="150"/>
    <n v="68"/>
    <n v="7954"/>
    <x v="2"/>
  </r>
  <r>
    <x v="265"/>
    <n v="9.3000000000000007"/>
    <x v="4"/>
    <s v="Very_poor"/>
    <s v="No"/>
    <s v="Rarely"/>
    <n v="2"/>
    <n v="7"/>
    <n v="20.5"/>
    <n v="156"/>
    <n v="92"/>
    <n v="8101"/>
    <x v="0"/>
  </r>
  <r>
    <x v="266"/>
    <n v="9.9"/>
    <x v="11"/>
    <s v="Average"/>
    <s v="Yes"/>
    <s v="Never"/>
    <n v="7"/>
    <n v="8"/>
    <n v="20.9"/>
    <n v="99"/>
    <n v="85"/>
    <n v="7973"/>
    <x v="0"/>
  </r>
  <r>
    <x v="267"/>
    <n v="1"/>
    <x v="9"/>
    <s v="Poor"/>
    <s v="No"/>
    <s v="Never"/>
    <n v="31"/>
    <n v="7"/>
    <n v="31"/>
    <n v="154"/>
    <n v="60"/>
    <n v="8009"/>
    <x v="0"/>
  </r>
  <r>
    <x v="268"/>
    <n v="14.7"/>
    <x v="3"/>
    <s v="Excellent"/>
    <s v="No"/>
    <s v="Rarely"/>
    <n v="26"/>
    <n v="9"/>
    <n v="27.5"/>
    <n v="126"/>
    <n v="78"/>
    <n v="8057"/>
    <x v="0"/>
  </r>
  <r>
    <x v="269"/>
    <n v="4.2"/>
    <x v="0"/>
    <s v="Excellent"/>
    <s v="No"/>
    <s v="Never"/>
    <n v="26"/>
    <n v="1"/>
    <n v="24.6"/>
    <n v="128"/>
    <n v="80"/>
    <n v="7844"/>
    <x v="0"/>
  </r>
  <r>
    <x v="270"/>
    <n v="12.4"/>
    <x v="6"/>
    <s v="Good"/>
    <s v="No"/>
    <s v="Several_times_a_week"/>
    <n v="29"/>
    <n v="4"/>
    <n v="25.9"/>
    <n v="102"/>
    <n v="66"/>
    <n v="8041"/>
    <x v="1"/>
  </r>
  <r>
    <x v="271"/>
    <n v="11.9"/>
    <x v="7"/>
    <s v="Average"/>
    <s v="No"/>
    <s v="Daily"/>
    <n v="32"/>
    <n v="2"/>
    <n v="21.5"/>
    <n v="131"/>
    <n v="87"/>
    <n v="8053"/>
    <x v="0"/>
  </r>
  <r>
    <x v="272"/>
    <n v="7.5"/>
    <x v="45"/>
    <s v="Good"/>
    <s v="No"/>
    <s v="Never"/>
    <n v="3"/>
    <n v="2"/>
    <n v="22"/>
    <n v="110"/>
    <n v="65"/>
    <n v="8134"/>
    <x v="1"/>
  </r>
  <r>
    <x v="273"/>
    <n v="3.5"/>
    <x v="13"/>
    <s v="Poor"/>
    <s v="No"/>
    <s v="Rarely"/>
    <n v="36"/>
    <n v="7"/>
    <n v="30.2"/>
    <n v="152"/>
    <n v="85"/>
    <n v="7914"/>
    <x v="0"/>
  </r>
  <r>
    <x v="274"/>
    <n v="4.2"/>
    <x v="25"/>
    <s v="Good"/>
    <s v="No"/>
    <s v="Never"/>
    <n v="22"/>
    <n v="9"/>
    <n v="19.8"/>
    <n v="112"/>
    <n v="61"/>
    <n v="8006"/>
    <x v="0"/>
  </r>
  <r>
    <x v="275"/>
    <n v="8.8000000000000007"/>
    <x v="23"/>
    <s v="Excellent"/>
    <s v="No"/>
    <s v="Rarely"/>
    <n v="18"/>
    <n v="7"/>
    <n v="23"/>
    <n v="111"/>
    <n v="73"/>
    <n v="7937"/>
    <x v="2"/>
  </r>
  <r>
    <x v="276"/>
    <n v="8.5"/>
    <x v="0"/>
    <s v="Average"/>
    <s v="No"/>
    <s v="Weekly"/>
    <n v="36"/>
    <n v="9"/>
    <n v="24.8"/>
    <n v="90"/>
    <n v="80"/>
    <n v="7849"/>
    <x v="0"/>
  </r>
  <r>
    <x v="277"/>
    <n v="5.9"/>
    <x v="16"/>
    <s v="Average"/>
    <s v="No"/>
    <s v="Rarely"/>
    <n v="34"/>
    <n v="2"/>
    <n v="38.6"/>
    <n v="126"/>
    <n v="84"/>
    <n v="8089"/>
    <x v="0"/>
  </r>
  <r>
    <x v="278"/>
    <n v="9.4"/>
    <x v="1"/>
    <s v="Excellent"/>
    <s v="No"/>
    <s v="Never"/>
    <n v="28"/>
    <n v="1"/>
    <n v="25.3"/>
    <n v="101"/>
    <n v="65"/>
    <n v="8012"/>
    <x v="1"/>
  </r>
  <r>
    <x v="279"/>
    <n v="13"/>
    <x v="46"/>
    <s v="Good"/>
    <s v="Yes"/>
    <s v="Weekly"/>
    <n v="3"/>
    <n v="6"/>
    <n v="33.9"/>
    <n v="154"/>
    <n v="98"/>
    <n v="7929"/>
    <x v="2"/>
  </r>
  <r>
    <x v="280"/>
    <n v="8.6999999999999993"/>
    <x v="25"/>
    <s v="Very_poor"/>
    <s v="No"/>
    <s v="Weekly"/>
    <n v="33"/>
    <n v="9"/>
    <n v="24.1"/>
    <n v="120"/>
    <n v="97"/>
    <n v="8177"/>
    <x v="0"/>
  </r>
  <r>
    <x v="281"/>
    <n v="13.3"/>
    <x v="33"/>
    <s v="Average"/>
    <s v="No"/>
    <s v="Rarely"/>
    <n v="32"/>
    <n v="1"/>
    <n v="25.9"/>
    <n v="127"/>
    <n v="78"/>
    <n v="8086"/>
    <x v="0"/>
  </r>
  <r>
    <x v="282"/>
    <n v="1.6"/>
    <x v="8"/>
    <s v="Good"/>
    <s v="No"/>
    <s v="Never"/>
    <n v="36"/>
    <n v="2"/>
    <n v="21.9"/>
    <n v="142"/>
    <n v="96"/>
    <n v="8036"/>
    <x v="0"/>
  </r>
  <r>
    <x v="283"/>
    <n v="6.5"/>
    <x v="30"/>
    <s v="Average"/>
    <s v="No"/>
    <s v="Never"/>
    <n v="37"/>
    <n v="7"/>
    <n v="18.5"/>
    <n v="146"/>
    <n v="99"/>
    <n v="8043"/>
    <x v="1"/>
  </r>
  <r>
    <x v="284"/>
    <n v="4"/>
    <x v="33"/>
    <s v="Excellent"/>
    <s v="No"/>
    <s v="Rarely"/>
    <n v="25"/>
    <n v="6"/>
    <n v="27.7"/>
    <n v="132"/>
    <n v="96"/>
    <n v="7977"/>
    <x v="0"/>
  </r>
  <r>
    <x v="285"/>
    <n v="8"/>
    <x v="12"/>
    <s v="Good"/>
    <s v="No"/>
    <s v="Rarely"/>
    <n v="3"/>
    <n v="2"/>
    <n v="26"/>
    <n v="147"/>
    <n v="71"/>
    <n v="7967"/>
    <x v="1"/>
  </r>
  <r>
    <x v="286"/>
    <n v="6.8"/>
    <x v="25"/>
    <s v="Excellent"/>
    <s v="No"/>
    <s v="Several_times_a_week"/>
    <n v="38"/>
    <n v="10"/>
    <n v="28"/>
    <n v="151"/>
    <n v="85"/>
    <n v="7973"/>
    <x v="0"/>
  </r>
  <r>
    <x v="287"/>
    <n v="16.5"/>
    <x v="20"/>
    <s v="Poor"/>
    <s v="No"/>
    <s v="Rarely"/>
    <n v="12"/>
    <n v="10"/>
    <n v="25.4"/>
    <n v="157"/>
    <n v="90"/>
    <n v="8202"/>
    <x v="0"/>
  </r>
  <r>
    <x v="288"/>
    <n v="2.1"/>
    <x v="25"/>
    <s v="Poor"/>
    <s v="No"/>
    <s v="Never"/>
    <n v="8"/>
    <n v="9"/>
    <n v="27.2"/>
    <n v="126"/>
    <n v="65"/>
    <n v="8144"/>
    <x v="0"/>
  </r>
  <r>
    <x v="289"/>
    <n v="14.2"/>
    <x v="29"/>
    <s v="Average"/>
    <s v="Yes"/>
    <s v="Rarely"/>
    <n v="11"/>
    <n v="10"/>
    <n v="31"/>
    <n v="105"/>
    <n v="79"/>
    <n v="8097"/>
    <x v="0"/>
  </r>
  <r>
    <x v="290"/>
    <n v="2.2999999999999998"/>
    <x v="36"/>
    <s v="Average"/>
    <s v="Yes"/>
    <s v="Weekly"/>
    <n v="11"/>
    <n v="9"/>
    <n v="26.8"/>
    <n v="139"/>
    <n v="90"/>
    <n v="7928"/>
    <x v="0"/>
  </r>
  <r>
    <x v="291"/>
    <n v="9.4"/>
    <x v="14"/>
    <s v="Excellent"/>
    <s v="Yes"/>
    <s v="Rarely"/>
    <n v="33"/>
    <n v="6"/>
    <n v="23.9"/>
    <n v="110"/>
    <n v="89"/>
    <n v="7879"/>
    <x v="0"/>
  </r>
  <r>
    <x v="292"/>
    <n v="16.399999999999999"/>
    <x v="36"/>
    <s v="Average"/>
    <s v="No"/>
    <s v="Weekly"/>
    <n v="0"/>
    <n v="4"/>
    <n v="26.1"/>
    <n v="116"/>
    <n v="71"/>
    <n v="8138"/>
    <x v="0"/>
  </r>
  <r>
    <x v="293"/>
    <n v="0.9"/>
    <x v="14"/>
    <s v="Average"/>
    <s v="No"/>
    <s v="Never"/>
    <n v="19"/>
    <n v="3"/>
    <n v="24.1"/>
    <n v="149"/>
    <n v="61"/>
    <n v="8070"/>
    <x v="0"/>
  </r>
  <r>
    <x v="294"/>
    <n v="4"/>
    <x v="32"/>
    <s v="Average"/>
    <s v="Yes"/>
    <s v="Never"/>
    <n v="21"/>
    <n v="5"/>
    <n v="30.8"/>
    <n v="106"/>
    <n v="75"/>
    <n v="8003"/>
    <x v="1"/>
  </r>
  <r>
    <x v="295"/>
    <n v="10.3"/>
    <x v="25"/>
    <s v="Poor"/>
    <s v="Former"/>
    <s v="Rarely"/>
    <n v="19"/>
    <n v="5"/>
    <n v="20.7"/>
    <n v="91"/>
    <n v="73"/>
    <n v="8057"/>
    <x v="0"/>
  </r>
  <r>
    <x v="296"/>
    <n v="4.7"/>
    <x v="17"/>
    <s v="Poor"/>
    <s v="No"/>
    <s v="Never"/>
    <n v="6"/>
    <n v="1"/>
    <n v="25.4"/>
    <n v="124"/>
    <n v="65"/>
    <n v="7971"/>
    <x v="2"/>
  </r>
  <r>
    <x v="297"/>
    <n v="17.100000000000001"/>
    <x v="8"/>
    <s v="Good"/>
    <s v="No"/>
    <s v="Weekly"/>
    <n v="2"/>
    <n v="1"/>
    <n v="25.4"/>
    <n v="148"/>
    <n v="87"/>
    <n v="8162"/>
    <x v="0"/>
  </r>
  <r>
    <x v="298"/>
    <n v="4.2"/>
    <x v="7"/>
    <s v="Poor"/>
    <s v="No"/>
    <s v="Never"/>
    <n v="33"/>
    <n v="2"/>
    <n v="27"/>
    <n v="100"/>
    <n v="90"/>
    <n v="7952"/>
    <x v="0"/>
  </r>
  <r>
    <x v="299"/>
    <n v="4.4000000000000004"/>
    <x v="36"/>
    <s v="Poor"/>
    <s v="Yes"/>
    <s v="Several_times_a_week"/>
    <n v="5"/>
    <n v="6"/>
    <n v="23.3"/>
    <n v="90"/>
    <n v="80"/>
    <n v="7909"/>
    <x v="0"/>
  </r>
  <r>
    <x v="300"/>
    <n v="10.6"/>
    <x v="36"/>
    <s v="Average"/>
    <s v="No"/>
    <s v="Weekly"/>
    <n v="22"/>
    <n v="9"/>
    <n v="23.7"/>
    <n v="90"/>
    <n v="81"/>
    <n v="7967"/>
    <x v="0"/>
  </r>
  <r>
    <x v="301"/>
    <n v="12"/>
    <x v="0"/>
    <s v="Good"/>
    <s v="Yes"/>
    <s v="Weekly"/>
    <n v="26"/>
    <n v="3"/>
    <n v="29.6"/>
    <n v="120"/>
    <n v="72"/>
    <n v="8139"/>
    <x v="0"/>
  </r>
  <r>
    <x v="302"/>
    <n v="1.1000000000000001"/>
    <x v="2"/>
    <s v="Average"/>
    <s v="Former"/>
    <s v="Rarely"/>
    <n v="9"/>
    <n v="9"/>
    <n v="24.9"/>
    <n v="119"/>
    <n v="78"/>
    <n v="8035"/>
    <x v="0"/>
  </r>
  <r>
    <x v="303"/>
    <n v="13"/>
    <x v="4"/>
    <s v="Very_poor"/>
    <s v="No"/>
    <s v="Never"/>
    <n v="4"/>
    <n v="10"/>
    <n v="21.7"/>
    <n v="121"/>
    <n v="79"/>
    <n v="8084"/>
    <x v="0"/>
  </r>
  <r>
    <x v="304"/>
    <n v="8.4"/>
    <x v="8"/>
    <s v="Good"/>
    <s v="No"/>
    <s v="Rarely"/>
    <n v="8"/>
    <n v="6"/>
    <n v="30.8"/>
    <n v="118"/>
    <n v="90"/>
    <n v="7924"/>
    <x v="0"/>
  </r>
  <r>
    <x v="305"/>
    <n v="10.8"/>
    <x v="33"/>
    <s v="Good"/>
    <s v="No"/>
    <s v="Rarely"/>
    <n v="6"/>
    <n v="9"/>
    <n v="25.1"/>
    <n v="154"/>
    <n v="80"/>
    <n v="8142"/>
    <x v="0"/>
  </r>
  <r>
    <x v="306"/>
    <n v="10.1"/>
    <x v="11"/>
    <s v="Average"/>
    <s v="No"/>
    <s v="Rarely"/>
    <n v="39"/>
    <n v="6"/>
    <n v="30.6"/>
    <n v="137"/>
    <n v="85"/>
    <n v="8055"/>
    <x v="0"/>
  </r>
  <r>
    <x v="307"/>
    <n v="9.5"/>
    <x v="45"/>
    <s v="Poor"/>
    <s v="No"/>
    <s v="Weekly"/>
    <n v="28"/>
    <n v="9"/>
    <n v="29.3"/>
    <n v="115"/>
    <n v="92"/>
    <n v="8098"/>
    <x v="1"/>
  </r>
  <r>
    <x v="308"/>
    <n v="4.5"/>
    <x v="3"/>
    <s v="Poor"/>
    <s v="No"/>
    <s v="Never"/>
    <n v="10"/>
    <n v="10"/>
    <n v="25.2"/>
    <n v="107"/>
    <n v="63"/>
    <n v="8016"/>
    <x v="0"/>
  </r>
  <r>
    <x v="309"/>
    <n v="3"/>
    <x v="36"/>
    <s v="Very_poor"/>
    <s v="Former"/>
    <s v="Daily"/>
    <n v="23"/>
    <n v="5"/>
    <n v="25.6"/>
    <n v="142"/>
    <n v="83"/>
    <n v="8032"/>
    <x v="0"/>
  </r>
  <r>
    <x v="310"/>
    <n v="7.2"/>
    <x v="4"/>
    <s v="Average"/>
    <s v="No"/>
    <s v="Rarely"/>
    <n v="22"/>
    <n v="6"/>
    <n v="21.4"/>
    <n v="127"/>
    <n v="75"/>
    <n v="7930"/>
    <x v="0"/>
  </r>
  <r>
    <x v="311"/>
    <n v="5.8"/>
    <x v="37"/>
    <s v="Good"/>
    <s v="Former"/>
    <s v="Weekly"/>
    <n v="4"/>
    <n v="1"/>
    <n v="26.5"/>
    <n v="157"/>
    <n v="66"/>
    <n v="8033"/>
    <x v="1"/>
  </r>
  <r>
    <x v="312"/>
    <n v="6.3"/>
    <x v="17"/>
    <s v="Average"/>
    <s v="No"/>
    <s v="Weekly"/>
    <n v="10"/>
    <n v="6"/>
    <n v="37.200000000000003"/>
    <n v="101"/>
    <n v="65"/>
    <n v="7957"/>
    <x v="2"/>
  </r>
  <r>
    <x v="313"/>
    <n v="13.1"/>
    <x v="15"/>
    <s v="Good"/>
    <s v="Yes"/>
    <s v="Weekly"/>
    <n v="17"/>
    <n v="5"/>
    <n v="34.200000000000003"/>
    <n v="151"/>
    <n v="98"/>
    <n v="8045"/>
    <x v="0"/>
  </r>
  <r>
    <x v="314"/>
    <n v="8.6"/>
    <x v="4"/>
    <s v="Excellent"/>
    <s v="No"/>
    <s v="Rarely"/>
    <n v="8"/>
    <n v="4"/>
    <n v="20.100000000000001"/>
    <n v="121"/>
    <n v="80"/>
    <n v="8044"/>
    <x v="0"/>
  </r>
  <r>
    <x v="315"/>
    <n v="1.3"/>
    <x v="22"/>
    <s v="Poor"/>
    <s v="No"/>
    <s v="Rarely"/>
    <n v="9"/>
    <n v="9"/>
    <n v="26.7"/>
    <n v="154"/>
    <n v="88"/>
    <n v="8144"/>
    <x v="0"/>
  </r>
  <r>
    <x v="316"/>
    <n v="13.4"/>
    <x v="3"/>
    <s v="Excellent"/>
    <s v="No"/>
    <s v="Never"/>
    <n v="10"/>
    <n v="2"/>
    <n v="31.1"/>
    <n v="96"/>
    <n v="80"/>
    <n v="8083"/>
    <x v="0"/>
  </r>
  <r>
    <x v="317"/>
    <n v="10.199999999999999"/>
    <x v="36"/>
    <s v="Good"/>
    <s v="No"/>
    <s v="Rarely"/>
    <n v="35"/>
    <n v="7"/>
    <n v="29.2"/>
    <n v="112"/>
    <n v="67"/>
    <n v="7728"/>
    <x v="0"/>
  </r>
  <r>
    <x v="318"/>
    <n v="11.2"/>
    <x v="23"/>
    <s v="Poor"/>
    <s v="Yes"/>
    <s v="Rarely"/>
    <n v="9"/>
    <n v="7"/>
    <n v="29.4"/>
    <n v="121"/>
    <n v="90"/>
    <n v="8044"/>
    <x v="2"/>
  </r>
  <r>
    <x v="319"/>
    <n v="10.6"/>
    <x v="36"/>
    <s v="Average"/>
    <s v="No"/>
    <s v="Several_times_a_week"/>
    <n v="30"/>
    <n v="10"/>
    <n v="24"/>
    <n v="115"/>
    <n v="70"/>
    <n v="7999"/>
    <x v="0"/>
  </r>
  <r>
    <x v="320"/>
    <n v="9.3000000000000007"/>
    <x v="9"/>
    <s v="Excellent"/>
    <s v="No"/>
    <s v="Several_times_a_week"/>
    <n v="5"/>
    <n v="1"/>
    <n v="21.5"/>
    <n v="106"/>
    <n v="73"/>
    <n v="8001"/>
    <x v="0"/>
  </r>
  <r>
    <x v="321"/>
    <n v="5.8"/>
    <x v="8"/>
    <s v="Average"/>
    <s v="Yes"/>
    <s v="Never"/>
    <n v="11"/>
    <n v="6"/>
    <n v="21"/>
    <n v="144"/>
    <n v="72"/>
    <n v="8125"/>
    <x v="0"/>
  </r>
  <r>
    <x v="322"/>
    <n v="8.1"/>
    <x v="5"/>
    <s v="Good"/>
    <s v="Yes"/>
    <s v="Weekly"/>
    <n v="36"/>
    <n v="10"/>
    <n v="28.6"/>
    <n v="154"/>
    <n v="67"/>
    <n v="7931"/>
    <x v="2"/>
  </r>
  <r>
    <x v="323"/>
    <n v="4.8"/>
    <x v="20"/>
    <s v="Good"/>
    <s v="Yes"/>
    <s v="Weekly"/>
    <n v="5"/>
    <n v="6"/>
    <n v="21"/>
    <n v="113"/>
    <n v="80"/>
    <n v="7989"/>
    <x v="0"/>
  </r>
  <r>
    <x v="324"/>
    <n v="3.7"/>
    <x v="22"/>
    <s v="Excellent"/>
    <s v="No"/>
    <s v="Rarely"/>
    <n v="5"/>
    <n v="2"/>
    <n v="28.8"/>
    <n v="101"/>
    <n v="96"/>
    <n v="7956"/>
    <x v="0"/>
  </r>
  <r>
    <x v="325"/>
    <n v="15.2"/>
    <x v="34"/>
    <s v="Good"/>
    <s v="Former"/>
    <s v="Never"/>
    <n v="23"/>
    <n v="1"/>
    <n v="22"/>
    <n v="107"/>
    <n v="81"/>
    <n v="7999"/>
    <x v="2"/>
  </r>
  <r>
    <x v="326"/>
    <n v="9.1"/>
    <x v="22"/>
    <s v="Excellent"/>
    <s v="No"/>
    <s v="Rarely"/>
    <n v="21"/>
    <n v="1"/>
    <n v="21.6"/>
    <n v="113"/>
    <n v="92"/>
    <n v="7950"/>
    <x v="0"/>
  </r>
  <r>
    <x v="327"/>
    <n v="7"/>
    <x v="28"/>
    <s v="Excellent"/>
    <s v="No"/>
    <s v="Weekly"/>
    <n v="14"/>
    <n v="1"/>
    <n v="29.3"/>
    <n v="128"/>
    <n v="75"/>
    <n v="7876"/>
    <x v="2"/>
  </r>
  <r>
    <x v="328"/>
    <n v="5.0999999999999996"/>
    <x v="17"/>
    <s v="Excellent"/>
    <s v="Yes"/>
    <s v="Several_times_a_week"/>
    <n v="38"/>
    <n v="4"/>
    <n v="22.7"/>
    <n v="129"/>
    <n v="84"/>
    <n v="7862"/>
    <x v="2"/>
  </r>
  <r>
    <x v="329"/>
    <n v="2.8"/>
    <x v="33"/>
    <s v="Poor"/>
    <s v="No"/>
    <s v="Rarely"/>
    <n v="13"/>
    <n v="5"/>
    <n v="28.7"/>
    <n v="114"/>
    <n v="88"/>
    <n v="8254"/>
    <x v="0"/>
  </r>
  <r>
    <x v="330"/>
    <n v="10.4"/>
    <x v="25"/>
    <s v="Good"/>
    <s v="No"/>
    <s v="Never"/>
    <n v="29"/>
    <n v="2"/>
    <n v="23.6"/>
    <n v="153"/>
    <n v="81"/>
    <n v="8054"/>
    <x v="0"/>
  </r>
  <r>
    <x v="331"/>
    <n v="5.2"/>
    <x v="20"/>
    <s v="Poor"/>
    <s v="No"/>
    <s v="Never"/>
    <n v="2"/>
    <n v="8"/>
    <n v="17.3"/>
    <n v="152"/>
    <n v="64"/>
    <n v="8069"/>
    <x v="0"/>
  </r>
  <r>
    <x v="332"/>
    <n v="3"/>
    <x v="10"/>
    <s v="Poor"/>
    <s v="No"/>
    <s v="Never"/>
    <n v="22"/>
    <n v="1"/>
    <n v="29.6"/>
    <n v="132"/>
    <n v="80"/>
    <n v="8045"/>
    <x v="2"/>
  </r>
  <r>
    <x v="333"/>
    <n v="14.9"/>
    <x v="4"/>
    <s v="Average"/>
    <s v="No"/>
    <s v="Weekly"/>
    <n v="14"/>
    <n v="2"/>
    <n v="23.3"/>
    <n v="105"/>
    <n v="84"/>
    <n v="7979"/>
    <x v="0"/>
  </r>
  <r>
    <x v="334"/>
    <n v="6.5"/>
    <x v="35"/>
    <s v="Good"/>
    <s v="No"/>
    <s v="Rarely"/>
    <n v="12"/>
    <n v="7"/>
    <n v="26.8"/>
    <n v="91"/>
    <n v="71"/>
    <n v="8017"/>
    <x v="2"/>
  </r>
  <r>
    <x v="335"/>
    <n v="12.2"/>
    <x v="30"/>
    <s v="Average"/>
    <s v="No"/>
    <s v="Rarely"/>
    <n v="6"/>
    <n v="2"/>
    <n v="24.8"/>
    <n v="125"/>
    <n v="74"/>
    <n v="8022"/>
    <x v="1"/>
  </r>
  <r>
    <x v="336"/>
    <n v="5.5"/>
    <x v="27"/>
    <s v="Average"/>
    <s v="No"/>
    <s v="Weekly"/>
    <n v="6"/>
    <n v="5"/>
    <n v="26.7"/>
    <n v="153"/>
    <n v="91"/>
    <n v="8141"/>
    <x v="0"/>
  </r>
  <r>
    <x v="337"/>
    <n v="2.2999999999999998"/>
    <x v="25"/>
    <s v="Good"/>
    <s v="No"/>
    <s v="Never"/>
    <n v="32"/>
    <n v="1"/>
    <n v="28.2"/>
    <n v="148"/>
    <n v="65"/>
    <n v="8009"/>
    <x v="0"/>
  </r>
  <r>
    <x v="338"/>
    <n v="5.4"/>
    <x v="7"/>
    <s v="Poor"/>
    <s v="No"/>
    <s v="Weekly"/>
    <n v="34"/>
    <n v="3"/>
    <n v="28.1"/>
    <n v="125"/>
    <n v="79"/>
    <n v="7873"/>
    <x v="0"/>
  </r>
  <r>
    <x v="339"/>
    <n v="9"/>
    <x v="2"/>
    <s v="Good"/>
    <s v="No"/>
    <s v="Never"/>
    <n v="26"/>
    <n v="2"/>
    <n v="27.4"/>
    <n v="148"/>
    <n v="96"/>
    <n v="8141"/>
    <x v="0"/>
  </r>
  <r>
    <x v="340"/>
    <n v="9.6999999999999993"/>
    <x v="15"/>
    <s v="Average"/>
    <s v="No"/>
    <s v="Rarely"/>
    <n v="15"/>
    <n v="9"/>
    <n v="27.8"/>
    <n v="125"/>
    <n v="87"/>
    <n v="7900"/>
    <x v="0"/>
  </r>
  <r>
    <x v="341"/>
    <n v="9.6"/>
    <x v="16"/>
    <s v="Average"/>
    <s v="No"/>
    <s v="Rarely"/>
    <n v="13"/>
    <n v="10"/>
    <n v="22.2"/>
    <n v="105"/>
    <n v="92"/>
    <n v="7833"/>
    <x v="0"/>
  </r>
  <r>
    <x v="342"/>
    <n v="5.8"/>
    <x v="2"/>
    <s v="Poor"/>
    <s v="Former"/>
    <s v="Rarely"/>
    <n v="13"/>
    <n v="4"/>
    <n v="25.4"/>
    <n v="136"/>
    <n v="86"/>
    <n v="7946"/>
    <x v="0"/>
  </r>
  <r>
    <x v="343"/>
    <n v="5.9"/>
    <x v="47"/>
    <s v="Good"/>
    <s v="No"/>
    <s v="Several_times_a_week"/>
    <n v="40"/>
    <n v="9"/>
    <n v="27.1"/>
    <n v="131"/>
    <n v="86"/>
    <n v="8022"/>
    <x v="2"/>
  </r>
  <r>
    <x v="344"/>
    <n v="6.3"/>
    <x v="10"/>
    <s v="Poor"/>
    <s v="No"/>
    <s v="Rarely"/>
    <n v="6"/>
    <n v="9"/>
    <n v="21.8"/>
    <n v="137"/>
    <n v="96"/>
    <n v="8193"/>
    <x v="2"/>
  </r>
  <r>
    <x v="345"/>
    <n v="3.4"/>
    <x v="30"/>
    <s v="Poor"/>
    <s v="No"/>
    <s v="Rarely"/>
    <n v="4"/>
    <n v="8"/>
    <n v="23"/>
    <n v="145"/>
    <n v="95"/>
    <n v="7965"/>
    <x v="1"/>
  </r>
  <r>
    <x v="346"/>
    <n v="5.2"/>
    <x v="16"/>
    <s v="Good"/>
    <s v="Former"/>
    <s v="Daily"/>
    <n v="39"/>
    <n v="3"/>
    <n v="32.5"/>
    <n v="138"/>
    <n v="73"/>
    <n v="7955"/>
    <x v="0"/>
  </r>
  <r>
    <x v="347"/>
    <n v="13.8"/>
    <x v="15"/>
    <s v="Average"/>
    <s v="No"/>
    <s v="Weekly"/>
    <n v="28"/>
    <n v="6"/>
    <n v="29.1"/>
    <n v="125"/>
    <n v="62"/>
    <n v="7876"/>
    <x v="0"/>
  </r>
  <r>
    <x v="348"/>
    <n v="9.4"/>
    <x v="22"/>
    <s v="Poor"/>
    <s v="Yes"/>
    <s v="Rarely"/>
    <n v="13"/>
    <n v="4"/>
    <n v="25.5"/>
    <n v="120"/>
    <n v="67"/>
    <n v="8042"/>
    <x v="0"/>
  </r>
  <r>
    <x v="349"/>
    <n v="4.5"/>
    <x v="1"/>
    <s v="Average"/>
    <s v="Yes"/>
    <s v="Never"/>
    <n v="33"/>
    <n v="5"/>
    <n v="24.7"/>
    <n v="145"/>
    <n v="63"/>
    <n v="8006"/>
    <x v="1"/>
  </r>
  <r>
    <x v="350"/>
    <n v="3.6"/>
    <x v="6"/>
    <s v="Excellent"/>
    <s v="Former"/>
    <s v="Rarely"/>
    <n v="36"/>
    <n v="1"/>
    <n v="19"/>
    <n v="119"/>
    <n v="79"/>
    <n v="7980"/>
    <x v="1"/>
  </r>
  <r>
    <x v="351"/>
    <n v="9.9"/>
    <x v="8"/>
    <s v="Average"/>
    <s v="Yes"/>
    <s v="Rarely"/>
    <n v="9"/>
    <n v="6"/>
    <n v="25.4"/>
    <n v="136"/>
    <n v="72"/>
    <n v="7961"/>
    <x v="0"/>
  </r>
  <r>
    <x v="352"/>
    <n v="2"/>
    <x v="27"/>
    <s v="Very_poor"/>
    <s v="No"/>
    <s v="Never"/>
    <n v="17"/>
    <n v="10"/>
    <n v="22.9"/>
    <n v="148"/>
    <n v="81"/>
    <n v="7891"/>
    <x v="0"/>
  </r>
  <r>
    <x v="353"/>
    <n v="6.3"/>
    <x v="13"/>
    <s v="Good"/>
    <s v="No"/>
    <s v="Never"/>
    <n v="9"/>
    <n v="7"/>
    <n v="23.2"/>
    <n v="145"/>
    <n v="87"/>
    <n v="7920"/>
    <x v="0"/>
  </r>
  <r>
    <x v="354"/>
    <n v="12.4"/>
    <x v="0"/>
    <s v="Average"/>
    <s v="No"/>
    <s v="Rarely"/>
    <n v="22"/>
    <n v="6"/>
    <n v="26"/>
    <n v="159"/>
    <n v="65"/>
    <n v="7995"/>
    <x v="0"/>
  </r>
  <r>
    <x v="355"/>
    <n v="4.7"/>
    <x v="3"/>
    <s v="Average"/>
    <s v="No"/>
    <s v="Never"/>
    <n v="12"/>
    <n v="10"/>
    <n v="22.6"/>
    <n v="115"/>
    <n v="78"/>
    <n v="7922"/>
    <x v="0"/>
  </r>
  <r>
    <x v="356"/>
    <n v="3.3"/>
    <x v="31"/>
    <s v="Average"/>
    <s v="No"/>
    <s v="Several_times_a_week"/>
    <n v="38"/>
    <n v="8"/>
    <n v="28.3"/>
    <n v="99"/>
    <n v="89"/>
    <n v="7833"/>
    <x v="2"/>
  </r>
  <r>
    <x v="357"/>
    <n v="3.2"/>
    <x v="42"/>
    <s v="Average"/>
    <s v="No"/>
    <s v="Rarely"/>
    <n v="20"/>
    <n v="3"/>
    <n v="32.4"/>
    <n v="114"/>
    <n v="88"/>
    <n v="7984"/>
    <x v="1"/>
  </r>
  <r>
    <x v="358"/>
    <n v="5.9"/>
    <x v="25"/>
    <s v="Good"/>
    <s v="No"/>
    <s v="Never"/>
    <n v="33"/>
    <n v="8"/>
    <n v="27.3"/>
    <n v="151"/>
    <n v="82"/>
    <n v="8041"/>
    <x v="0"/>
  </r>
  <r>
    <x v="359"/>
    <n v="2.8"/>
    <x v="44"/>
    <s v="Poor"/>
    <s v="No"/>
    <s v="Never"/>
    <n v="1"/>
    <n v="7"/>
    <n v="22.9"/>
    <n v="148"/>
    <n v="75"/>
    <n v="8151"/>
    <x v="2"/>
  </r>
  <r>
    <x v="360"/>
    <n v="11.1"/>
    <x v="9"/>
    <s v="Poor"/>
    <s v="No"/>
    <s v="Several_times_a_week"/>
    <n v="22"/>
    <n v="6"/>
    <n v="20.5"/>
    <n v="119"/>
    <n v="96"/>
    <n v="8051"/>
    <x v="0"/>
  </r>
  <r>
    <x v="361"/>
    <n v="13.5"/>
    <x v="6"/>
    <s v="Very_poor"/>
    <s v="No"/>
    <s v="Never"/>
    <n v="4"/>
    <n v="3"/>
    <n v="15"/>
    <n v="126"/>
    <n v="77"/>
    <n v="8047"/>
    <x v="1"/>
  </r>
  <r>
    <x v="362"/>
    <n v="3.3"/>
    <x v="9"/>
    <s v="Excellent"/>
    <s v="No"/>
    <s v="Rarely"/>
    <n v="6"/>
    <n v="9"/>
    <n v="25.3"/>
    <n v="98"/>
    <n v="65"/>
    <n v="7956"/>
    <x v="0"/>
  </r>
  <r>
    <x v="363"/>
    <n v="3.1"/>
    <x v="2"/>
    <s v="Poor"/>
    <s v="Yes"/>
    <s v="Never"/>
    <n v="13"/>
    <n v="3"/>
    <n v="25"/>
    <n v="150"/>
    <n v="92"/>
    <n v="8011"/>
    <x v="0"/>
  </r>
  <r>
    <x v="364"/>
    <n v="3.4"/>
    <x v="9"/>
    <s v="Poor"/>
    <s v="No"/>
    <s v="Rarely"/>
    <n v="6"/>
    <n v="9"/>
    <n v="32.9"/>
    <n v="96"/>
    <n v="64"/>
    <n v="7969"/>
    <x v="0"/>
  </r>
  <r>
    <x v="365"/>
    <n v="13.5"/>
    <x v="25"/>
    <s v="Very_poor"/>
    <s v="No"/>
    <s v="Several_times_a_week"/>
    <n v="31"/>
    <n v="10"/>
    <n v="26.7"/>
    <n v="119"/>
    <n v="98"/>
    <n v="7996"/>
    <x v="0"/>
  </r>
  <r>
    <x v="366"/>
    <n v="10.3"/>
    <x v="25"/>
    <s v="Good"/>
    <s v="No"/>
    <s v="Rarely"/>
    <n v="23"/>
    <n v="9"/>
    <n v="22.9"/>
    <n v="106"/>
    <n v="63"/>
    <n v="8007"/>
    <x v="0"/>
  </r>
  <r>
    <x v="367"/>
    <n v="11.2"/>
    <x v="12"/>
    <s v="Average"/>
    <s v="Yes"/>
    <s v="Rarely"/>
    <n v="35"/>
    <n v="9"/>
    <n v="24.8"/>
    <n v="154"/>
    <n v="86"/>
    <n v="7957"/>
    <x v="1"/>
  </r>
  <r>
    <x v="368"/>
    <n v="9.1"/>
    <x v="2"/>
    <s v="Poor"/>
    <s v="No"/>
    <s v="Rarely"/>
    <n v="33"/>
    <n v="5"/>
    <n v="24.5"/>
    <n v="147"/>
    <n v="65"/>
    <n v="8019"/>
    <x v="0"/>
  </r>
  <r>
    <x v="369"/>
    <n v="7.9"/>
    <x v="4"/>
    <s v="Average"/>
    <s v="Former"/>
    <s v="Never"/>
    <n v="7"/>
    <n v="2"/>
    <n v="26.1"/>
    <n v="159"/>
    <n v="82"/>
    <n v="7905"/>
    <x v="0"/>
  </r>
  <r>
    <x v="370"/>
    <n v="7.3"/>
    <x v="19"/>
    <s v="Poor"/>
    <s v="No"/>
    <s v="Never"/>
    <n v="30"/>
    <n v="8"/>
    <n v="26.6"/>
    <n v="135"/>
    <n v="61"/>
    <n v="7911"/>
    <x v="0"/>
  </r>
  <r>
    <x v="371"/>
    <n v="6.4"/>
    <x v="48"/>
    <s v="Poor"/>
    <s v="Yes"/>
    <s v="Rarely"/>
    <n v="11"/>
    <n v="3"/>
    <n v="30.3"/>
    <n v="124"/>
    <n v="96"/>
    <n v="7969"/>
    <x v="1"/>
  </r>
  <r>
    <x v="372"/>
    <n v="4"/>
    <x v="29"/>
    <s v="Average"/>
    <s v="No"/>
    <s v="Weekly"/>
    <n v="2"/>
    <n v="1"/>
    <n v="28.3"/>
    <n v="127"/>
    <n v="81"/>
    <n v="8002"/>
    <x v="0"/>
  </r>
  <r>
    <x v="373"/>
    <n v="9.8000000000000007"/>
    <x v="15"/>
    <s v="Good"/>
    <s v="No"/>
    <s v="Never"/>
    <n v="38"/>
    <n v="8"/>
    <n v="23"/>
    <n v="138"/>
    <n v="87"/>
    <n v="7937"/>
    <x v="0"/>
  </r>
  <r>
    <x v="374"/>
    <n v="2.1"/>
    <x v="2"/>
    <s v="Good"/>
    <s v="Yes"/>
    <s v="Weekly"/>
    <n v="40"/>
    <n v="7"/>
    <n v="22.8"/>
    <n v="148"/>
    <n v="93"/>
    <n v="7885"/>
    <x v="0"/>
  </r>
  <r>
    <x v="375"/>
    <n v="8.6"/>
    <x v="24"/>
    <s v="Very_poor"/>
    <s v="Yes"/>
    <s v="Weekly"/>
    <n v="13"/>
    <n v="7"/>
    <n v="26.5"/>
    <n v="134"/>
    <n v="93"/>
    <n v="7887"/>
    <x v="1"/>
  </r>
  <r>
    <x v="376"/>
    <n v="7.8"/>
    <x v="4"/>
    <s v="Excellent"/>
    <s v="No"/>
    <s v="Never"/>
    <n v="17"/>
    <n v="1"/>
    <n v="26"/>
    <n v="99"/>
    <n v="71"/>
    <n v="7912"/>
    <x v="0"/>
  </r>
  <r>
    <x v="377"/>
    <n v="11.1"/>
    <x v="5"/>
    <s v="Average"/>
    <s v="No"/>
    <s v="Rarely"/>
    <n v="19"/>
    <n v="5"/>
    <n v="17.7"/>
    <n v="105"/>
    <n v="95"/>
    <n v="7839"/>
    <x v="2"/>
  </r>
  <r>
    <x v="378"/>
    <n v="2.6"/>
    <x v="20"/>
    <s v="Good"/>
    <s v="Yes"/>
    <s v="Weekly"/>
    <n v="26"/>
    <n v="1"/>
    <n v="26.4"/>
    <n v="131"/>
    <n v="63"/>
    <n v="7811"/>
    <x v="0"/>
  </r>
  <r>
    <x v="379"/>
    <n v="7"/>
    <x v="40"/>
    <s v="Excellent"/>
    <s v="Yes"/>
    <s v="Never"/>
    <n v="0"/>
    <n v="4"/>
    <n v="20.3"/>
    <n v="154"/>
    <n v="84"/>
    <n v="8048"/>
    <x v="1"/>
  </r>
  <r>
    <x v="380"/>
    <n v="9.1"/>
    <x v="17"/>
    <s v="Good"/>
    <s v="No"/>
    <s v="Rarely"/>
    <n v="4"/>
    <n v="2"/>
    <n v="31.4"/>
    <n v="117"/>
    <n v="99"/>
    <n v="7967"/>
    <x v="2"/>
  </r>
  <r>
    <x v="381"/>
    <n v="7"/>
    <x v="15"/>
    <s v="Very_poor"/>
    <s v="No"/>
    <s v="Never"/>
    <n v="20"/>
    <n v="2"/>
    <n v="25.6"/>
    <n v="158"/>
    <n v="88"/>
    <n v="7924"/>
    <x v="0"/>
  </r>
  <r>
    <x v="382"/>
    <n v="4.5999999999999996"/>
    <x v="37"/>
    <s v="Good"/>
    <s v="No"/>
    <s v="Never"/>
    <n v="1"/>
    <n v="5"/>
    <n v="15.3"/>
    <n v="157"/>
    <n v="83"/>
    <n v="8020"/>
    <x v="1"/>
  </r>
  <r>
    <x v="383"/>
    <n v="10.5"/>
    <x v="15"/>
    <s v="Poor"/>
    <s v="No"/>
    <s v="Never"/>
    <n v="36"/>
    <n v="2"/>
    <n v="22.1"/>
    <n v="145"/>
    <n v="75"/>
    <n v="7992"/>
    <x v="0"/>
  </r>
  <r>
    <x v="384"/>
    <n v="5.5"/>
    <x v="49"/>
    <s v="Good"/>
    <s v="No"/>
    <s v="Never"/>
    <n v="16"/>
    <n v="6"/>
    <n v="26.1"/>
    <n v="115"/>
    <n v="70"/>
    <n v="8024"/>
    <x v="1"/>
  </r>
  <r>
    <x v="385"/>
    <n v="5.4"/>
    <x v="37"/>
    <s v="Average"/>
    <s v="No"/>
    <s v="Rarely"/>
    <n v="18"/>
    <n v="3"/>
    <n v="27.1"/>
    <n v="111"/>
    <n v="85"/>
    <n v="8009"/>
    <x v="1"/>
  </r>
  <r>
    <x v="386"/>
    <n v="6.3"/>
    <x v="10"/>
    <s v="Very_poor"/>
    <s v="No"/>
    <s v="Rarely"/>
    <n v="39"/>
    <n v="3"/>
    <n v="27.6"/>
    <n v="136"/>
    <n v="89"/>
    <n v="8093"/>
    <x v="2"/>
  </r>
  <r>
    <x v="387"/>
    <n v="10.199999999999999"/>
    <x v="27"/>
    <s v="Average"/>
    <s v="No"/>
    <s v="Rarely"/>
    <n v="1"/>
    <n v="7"/>
    <n v="22.8"/>
    <n v="90"/>
    <n v="97"/>
    <n v="8143"/>
    <x v="0"/>
  </r>
  <r>
    <x v="388"/>
    <n v="10.1"/>
    <x v="25"/>
    <s v="Average"/>
    <s v="Yes"/>
    <s v="Weekly"/>
    <n v="35"/>
    <n v="8"/>
    <n v="27.4"/>
    <n v="91"/>
    <n v="99"/>
    <n v="8033"/>
    <x v="0"/>
  </r>
  <r>
    <x v="389"/>
    <n v="8.9"/>
    <x v="13"/>
    <s v="Average"/>
    <s v="No"/>
    <s v="Weekly"/>
    <n v="33"/>
    <n v="7"/>
    <n v="31.4"/>
    <n v="100"/>
    <n v="65"/>
    <n v="7983"/>
    <x v="0"/>
  </r>
  <r>
    <x v="390"/>
    <n v="5.4"/>
    <x v="33"/>
    <s v="Average"/>
    <s v="Yes"/>
    <s v="Never"/>
    <n v="37"/>
    <n v="8"/>
    <n v="19.2"/>
    <n v="117"/>
    <n v="60"/>
    <n v="7855"/>
    <x v="0"/>
  </r>
  <r>
    <x v="391"/>
    <n v="15.4"/>
    <x v="29"/>
    <s v="Poor"/>
    <s v="No"/>
    <s v="Never"/>
    <n v="12"/>
    <n v="7"/>
    <n v="24.9"/>
    <n v="127"/>
    <n v="68"/>
    <n v="8042"/>
    <x v="0"/>
  </r>
  <r>
    <x v="392"/>
    <n v="15.2"/>
    <x v="33"/>
    <s v="Average"/>
    <s v="No"/>
    <s v="Never"/>
    <n v="38"/>
    <n v="1"/>
    <n v="27"/>
    <n v="128"/>
    <n v="62"/>
    <n v="7995"/>
    <x v="0"/>
  </r>
  <r>
    <x v="393"/>
    <n v="10.1"/>
    <x v="4"/>
    <s v="Good"/>
    <s v="Yes"/>
    <s v="Rarely"/>
    <n v="40"/>
    <n v="2"/>
    <n v="29.6"/>
    <n v="113"/>
    <n v="77"/>
    <n v="7995"/>
    <x v="0"/>
  </r>
  <r>
    <x v="394"/>
    <n v="13.4"/>
    <x v="16"/>
    <s v="Very_poor"/>
    <s v="No"/>
    <s v="Never"/>
    <n v="36"/>
    <n v="1"/>
    <n v="29"/>
    <n v="118"/>
    <n v="78"/>
    <n v="8128"/>
    <x v="0"/>
  </r>
  <r>
    <x v="395"/>
    <n v="4.8"/>
    <x v="8"/>
    <s v="Poor"/>
    <s v="No"/>
    <s v="Never"/>
    <n v="8"/>
    <n v="5"/>
    <n v="30.4"/>
    <n v="107"/>
    <n v="60"/>
    <n v="7894"/>
    <x v="0"/>
  </r>
  <r>
    <x v="396"/>
    <n v="9.3000000000000007"/>
    <x v="8"/>
    <s v="Poor"/>
    <s v="No"/>
    <s v="Rarely"/>
    <n v="5"/>
    <n v="8"/>
    <n v="26.8"/>
    <n v="121"/>
    <n v="61"/>
    <n v="7898"/>
    <x v="0"/>
  </r>
  <r>
    <x v="397"/>
    <n v="9.9"/>
    <x v="19"/>
    <s v="Average"/>
    <s v="Yes"/>
    <s v="Weekly"/>
    <n v="36"/>
    <n v="2"/>
    <n v="25.3"/>
    <n v="155"/>
    <n v="83"/>
    <n v="7988"/>
    <x v="0"/>
  </r>
  <r>
    <x v="398"/>
    <n v="11.5"/>
    <x v="3"/>
    <s v="Excellent"/>
    <s v="No"/>
    <s v="Never"/>
    <n v="36"/>
    <n v="7"/>
    <n v="24.4"/>
    <n v="140"/>
    <n v="89"/>
    <n v="8014"/>
    <x v="0"/>
  </r>
  <r>
    <x v="399"/>
    <n v="4.8"/>
    <x v="8"/>
    <s v="Good"/>
    <s v="No"/>
    <s v="Weekly"/>
    <n v="28"/>
    <n v="8"/>
    <n v="29.3"/>
    <n v="127"/>
    <n v="84"/>
    <n v="8094"/>
    <x v="0"/>
  </r>
  <r>
    <x v="400"/>
    <n v="4"/>
    <x v="50"/>
    <s v="Good"/>
    <s v="Former"/>
    <s v="Never"/>
    <n v="35"/>
    <n v="4"/>
    <n v="29.5"/>
    <n v="147"/>
    <n v="84"/>
    <n v="7963"/>
    <x v="2"/>
  </r>
  <r>
    <x v="401"/>
    <n v="8.4"/>
    <x v="22"/>
    <s v="Poor"/>
    <s v="No"/>
    <s v="Daily"/>
    <n v="2"/>
    <n v="7"/>
    <n v="27.2"/>
    <n v="137"/>
    <n v="97"/>
    <n v="7938"/>
    <x v="0"/>
  </r>
  <r>
    <x v="402"/>
    <n v="14"/>
    <x v="0"/>
    <s v="Excellent"/>
    <s v="Former"/>
    <s v="Never"/>
    <n v="26"/>
    <n v="6"/>
    <n v="26.3"/>
    <n v="140"/>
    <n v="90"/>
    <n v="8024"/>
    <x v="0"/>
  </r>
  <r>
    <x v="403"/>
    <n v="1.2"/>
    <x v="9"/>
    <s v="Excellent"/>
    <s v="No"/>
    <s v="Never"/>
    <n v="31"/>
    <n v="6"/>
    <n v="29.9"/>
    <n v="126"/>
    <n v="86"/>
    <n v="7963"/>
    <x v="0"/>
  </r>
  <r>
    <x v="404"/>
    <n v="14.8"/>
    <x v="12"/>
    <s v="Good"/>
    <s v="No"/>
    <s v="Several_times_a_week"/>
    <n v="28"/>
    <n v="3"/>
    <n v="24.4"/>
    <n v="113"/>
    <n v="98"/>
    <n v="7946"/>
    <x v="1"/>
  </r>
  <r>
    <x v="405"/>
    <n v="6.8"/>
    <x v="33"/>
    <s v="Good"/>
    <s v="Yes"/>
    <s v="Never"/>
    <n v="4"/>
    <n v="10"/>
    <n v="19.7"/>
    <n v="146"/>
    <n v="62"/>
    <n v="7847"/>
    <x v="0"/>
  </r>
  <r>
    <x v="406"/>
    <n v="11.1"/>
    <x v="2"/>
    <s v="Very_poor"/>
    <s v="Former"/>
    <s v="Never"/>
    <n v="36"/>
    <n v="10"/>
    <n v="21.6"/>
    <n v="101"/>
    <n v="93"/>
    <n v="8060"/>
    <x v="0"/>
  </r>
  <r>
    <x v="407"/>
    <n v="5.4"/>
    <x v="30"/>
    <s v="Poor"/>
    <s v="No"/>
    <s v="Never"/>
    <n v="16"/>
    <n v="10"/>
    <n v="30.2"/>
    <n v="145"/>
    <n v="79"/>
    <n v="8039"/>
    <x v="1"/>
  </r>
  <r>
    <x v="408"/>
    <n v="12.1"/>
    <x v="13"/>
    <s v="Poor"/>
    <s v="No"/>
    <s v="Weekly"/>
    <n v="25"/>
    <n v="6"/>
    <n v="28.5"/>
    <n v="139"/>
    <n v="72"/>
    <n v="8127"/>
    <x v="0"/>
  </r>
  <r>
    <x v="409"/>
    <n v="5.9"/>
    <x v="21"/>
    <s v="Average"/>
    <s v="Former"/>
    <s v="Rarely"/>
    <n v="13"/>
    <n v="2"/>
    <n v="27.1"/>
    <n v="151"/>
    <n v="75"/>
    <n v="7959"/>
    <x v="0"/>
  </r>
  <r>
    <x v="410"/>
    <n v="6"/>
    <x v="29"/>
    <s v="Average"/>
    <s v="Former"/>
    <s v="Never"/>
    <n v="12"/>
    <n v="9"/>
    <n v="24.5"/>
    <n v="137"/>
    <n v="85"/>
    <n v="8080"/>
    <x v="0"/>
  </r>
  <r>
    <x v="411"/>
    <n v="3.4"/>
    <x v="29"/>
    <s v="Very_poor"/>
    <s v="No"/>
    <s v="Weekly"/>
    <n v="12"/>
    <n v="8"/>
    <n v="19.5"/>
    <n v="136"/>
    <n v="62"/>
    <n v="7969"/>
    <x v="0"/>
  </r>
  <r>
    <x v="412"/>
    <n v="16.3"/>
    <x v="11"/>
    <s v="Very_poor"/>
    <s v="Yes"/>
    <s v="Daily"/>
    <n v="32"/>
    <n v="7"/>
    <n v="26.4"/>
    <n v="154"/>
    <n v="82"/>
    <n v="7842"/>
    <x v="0"/>
  </r>
  <r>
    <x v="413"/>
    <n v="5.5"/>
    <x v="36"/>
    <s v="Very_poor"/>
    <s v="No"/>
    <s v="Never"/>
    <n v="9"/>
    <n v="5"/>
    <n v="25.9"/>
    <n v="105"/>
    <n v="86"/>
    <n v="8141"/>
    <x v="0"/>
  </r>
  <r>
    <x v="414"/>
    <n v="12.7"/>
    <x v="7"/>
    <s v="Average"/>
    <s v="No"/>
    <s v="Rarely"/>
    <n v="40"/>
    <n v="9"/>
    <n v="21.5"/>
    <n v="144"/>
    <n v="82"/>
    <n v="8021"/>
    <x v="0"/>
  </r>
  <r>
    <x v="415"/>
    <n v="13.2"/>
    <x v="3"/>
    <s v="Average"/>
    <s v="No"/>
    <s v="Rarely"/>
    <n v="19"/>
    <n v="6"/>
    <n v="24.1"/>
    <n v="157"/>
    <n v="81"/>
    <n v="8064"/>
    <x v="0"/>
  </r>
  <r>
    <x v="416"/>
    <n v="4"/>
    <x v="2"/>
    <s v="Average"/>
    <s v="No"/>
    <s v="Rarely"/>
    <n v="34"/>
    <n v="9"/>
    <n v="31.5"/>
    <n v="139"/>
    <n v="82"/>
    <n v="7910"/>
    <x v="0"/>
  </r>
  <r>
    <x v="417"/>
    <n v="6.5"/>
    <x v="0"/>
    <s v="Average"/>
    <s v="No"/>
    <s v="Never"/>
    <n v="19"/>
    <n v="3"/>
    <n v="22.6"/>
    <n v="122"/>
    <n v="65"/>
    <n v="7926"/>
    <x v="0"/>
  </r>
  <r>
    <x v="418"/>
    <n v="6.5"/>
    <x v="49"/>
    <s v="Excellent"/>
    <s v="Former"/>
    <s v="Weekly"/>
    <n v="31"/>
    <n v="9"/>
    <n v="25"/>
    <n v="122"/>
    <n v="89"/>
    <n v="7991"/>
    <x v="1"/>
  </r>
  <r>
    <x v="419"/>
    <n v="3.4"/>
    <x v="24"/>
    <s v="Poor"/>
    <s v="No"/>
    <s v="Weekly"/>
    <n v="8"/>
    <n v="9"/>
    <n v="26.5"/>
    <n v="121"/>
    <n v="83"/>
    <n v="7996"/>
    <x v="1"/>
  </r>
  <r>
    <x v="420"/>
    <n v="2.4"/>
    <x v="36"/>
    <s v="Excellent"/>
    <s v="Yes"/>
    <s v="Rarely"/>
    <n v="25"/>
    <n v="8"/>
    <n v="20.3"/>
    <n v="149"/>
    <n v="82"/>
    <n v="7939"/>
    <x v="0"/>
  </r>
  <r>
    <x v="421"/>
    <n v="6.1"/>
    <x v="29"/>
    <s v="Poor"/>
    <s v="No"/>
    <s v="Several_times_a_week"/>
    <n v="34"/>
    <n v="6"/>
    <n v="25.5"/>
    <n v="98"/>
    <n v="98"/>
    <n v="8120"/>
    <x v="0"/>
  </r>
  <r>
    <x v="422"/>
    <n v="5.5"/>
    <x v="46"/>
    <s v="Poor"/>
    <s v="No"/>
    <s v="Never"/>
    <n v="4"/>
    <n v="1"/>
    <n v="33.5"/>
    <n v="135"/>
    <n v="94"/>
    <n v="7958"/>
    <x v="2"/>
  </r>
  <r>
    <x v="423"/>
    <n v="7.3"/>
    <x v="37"/>
    <s v="Average"/>
    <s v="No"/>
    <s v="Weekly"/>
    <n v="35"/>
    <n v="1"/>
    <n v="23.3"/>
    <n v="121"/>
    <n v="98"/>
    <n v="8086"/>
    <x v="1"/>
  </r>
  <r>
    <x v="424"/>
    <n v="7.5"/>
    <x v="33"/>
    <s v="Average"/>
    <s v="Former"/>
    <s v="Never"/>
    <n v="24"/>
    <n v="7"/>
    <n v="15.8"/>
    <n v="96"/>
    <n v="80"/>
    <n v="7876"/>
    <x v="0"/>
  </r>
  <r>
    <x v="425"/>
    <n v="1.1000000000000001"/>
    <x v="23"/>
    <s v="Average"/>
    <s v="No"/>
    <s v="Weekly"/>
    <n v="1"/>
    <n v="3"/>
    <n v="28.1"/>
    <n v="114"/>
    <n v="81"/>
    <n v="7930"/>
    <x v="2"/>
  </r>
  <r>
    <x v="426"/>
    <n v="14.7"/>
    <x v="36"/>
    <s v="Good"/>
    <s v="No"/>
    <s v="Weekly"/>
    <n v="8"/>
    <n v="4"/>
    <n v="29"/>
    <n v="110"/>
    <n v="69"/>
    <n v="8097"/>
    <x v="0"/>
  </r>
  <r>
    <x v="427"/>
    <n v="4.5"/>
    <x v="4"/>
    <s v="Poor"/>
    <s v="No"/>
    <s v="Rarely"/>
    <n v="14"/>
    <n v="3"/>
    <n v="26.1"/>
    <n v="124"/>
    <n v="71"/>
    <n v="8261"/>
    <x v="0"/>
  </r>
  <r>
    <x v="428"/>
    <n v="4.7"/>
    <x v="22"/>
    <s v="Average"/>
    <s v="No"/>
    <s v="Never"/>
    <n v="36"/>
    <n v="10"/>
    <n v="25.6"/>
    <n v="116"/>
    <n v="64"/>
    <n v="8199"/>
    <x v="0"/>
  </r>
  <r>
    <x v="429"/>
    <n v="10.9"/>
    <x v="27"/>
    <s v="Average"/>
    <s v="Former"/>
    <s v="Never"/>
    <n v="34"/>
    <n v="6"/>
    <n v="28.4"/>
    <n v="140"/>
    <n v="65"/>
    <n v="7999"/>
    <x v="0"/>
  </r>
  <r>
    <x v="430"/>
    <n v="1.8"/>
    <x v="2"/>
    <s v="Poor"/>
    <s v="No"/>
    <s v="Rarely"/>
    <n v="8"/>
    <n v="2"/>
    <n v="22.2"/>
    <n v="150"/>
    <n v="76"/>
    <n v="8036"/>
    <x v="0"/>
  </r>
  <r>
    <x v="431"/>
    <n v="3.7"/>
    <x v="18"/>
    <s v="Poor"/>
    <s v="No"/>
    <s v="Rarely"/>
    <n v="0"/>
    <n v="6"/>
    <n v="21.2"/>
    <n v="138"/>
    <n v="91"/>
    <n v="8104"/>
    <x v="2"/>
  </r>
  <r>
    <x v="432"/>
    <n v="1.4"/>
    <x v="29"/>
    <s v="Very_poor"/>
    <s v="No"/>
    <s v="Weekly"/>
    <n v="38"/>
    <n v="9"/>
    <n v="29.9"/>
    <n v="102"/>
    <n v="63"/>
    <n v="7961"/>
    <x v="0"/>
  </r>
  <r>
    <x v="433"/>
    <n v="11.9"/>
    <x v="20"/>
    <s v="Poor"/>
    <s v="No"/>
    <s v="Weekly"/>
    <n v="10"/>
    <n v="8"/>
    <n v="27.3"/>
    <n v="115"/>
    <n v="81"/>
    <n v="7984"/>
    <x v="0"/>
  </r>
  <r>
    <x v="434"/>
    <n v="4"/>
    <x v="13"/>
    <s v="Average"/>
    <s v="No"/>
    <s v="Never"/>
    <n v="33"/>
    <n v="10"/>
    <n v="20.9"/>
    <n v="148"/>
    <n v="77"/>
    <n v="8060"/>
    <x v="0"/>
  </r>
  <r>
    <x v="435"/>
    <n v="4.8"/>
    <x v="12"/>
    <s v="Good"/>
    <s v="Former"/>
    <s v="Weekly"/>
    <n v="28"/>
    <n v="2"/>
    <n v="28.3"/>
    <n v="122"/>
    <n v="65"/>
    <n v="8100"/>
    <x v="1"/>
  </r>
  <r>
    <x v="436"/>
    <n v="9"/>
    <x v="8"/>
    <s v="Good"/>
    <s v="No"/>
    <s v="Never"/>
    <n v="21"/>
    <n v="4"/>
    <n v="27.7"/>
    <n v="140"/>
    <n v="67"/>
    <n v="8008"/>
    <x v="0"/>
  </r>
  <r>
    <x v="437"/>
    <n v="10.5"/>
    <x v="32"/>
    <s v="Average"/>
    <s v="No"/>
    <s v="Weekly"/>
    <n v="8"/>
    <n v="9"/>
    <n v="31.7"/>
    <n v="117"/>
    <n v="72"/>
    <n v="8058"/>
    <x v="1"/>
  </r>
  <r>
    <x v="438"/>
    <n v="9.1"/>
    <x v="29"/>
    <s v="Average"/>
    <s v="No"/>
    <s v="Rarely"/>
    <n v="31"/>
    <n v="8"/>
    <n v="18.5"/>
    <n v="111"/>
    <n v="79"/>
    <n v="8067"/>
    <x v="0"/>
  </r>
  <r>
    <x v="439"/>
    <n v="1.5"/>
    <x v="22"/>
    <s v="Good"/>
    <s v="Yes"/>
    <s v="Rarely"/>
    <n v="18"/>
    <n v="8"/>
    <n v="29.2"/>
    <n v="159"/>
    <n v="68"/>
    <n v="8032"/>
    <x v="0"/>
  </r>
  <r>
    <x v="440"/>
    <n v="0.6"/>
    <x v="0"/>
    <s v="Average"/>
    <s v="No"/>
    <s v="Never"/>
    <n v="38"/>
    <n v="5"/>
    <n v="32.5"/>
    <n v="104"/>
    <n v="71"/>
    <n v="8111"/>
    <x v="0"/>
  </r>
  <r>
    <x v="441"/>
    <n v="4.5999999999999996"/>
    <x v="22"/>
    <s v="Average"/>
    <s v="Yes"/>
    <s v="Never"/>
    <n v="27"/>
    <n v="6"/>
    <n v="32.5"/>
    <n v="116"/>
    <n v="69"/>
    <n v="8095"/>
    <x v="0"/>
  </r>
  <r>
    <x v="442"/>
    <n v="10.9"/>
    <x v="7"/>
    <s v="Excellent"/>
    <s v="Former"/>
    <s v="Never"/>
    <n v="18"/>
    <n v="7"/>
    <n v="36.299999999999997"/>
    <n v="136"/>
    <n v="72"/>
    <n v="8138"/>
    <x v="0"/>
  </r>
  <r>
    <x v="443"/>
    <n v="8.3000000000000007"/>
    <x v="36"/>
    <s v="Good"/>
    <s v="No"/>
    <s v="Rarely"/>
    <n v="31"/>
    <n v="5"/>
    <n v="29"/>
    <n v="116"/>
    <n v="95"/>
    <n v="8002"/>
    <x v="0"/>
  </r>
  <r>
    <x v="444"/>
    <n v="12.6"/>
    <x v="4"/>
    <s v="Good"/>
    <s v="No"/>
    <s v="Never"/>
    <n v="15"/>
    <n v="9"/>
    <n v="25.5"/>
    <n v="157"/>
    <n v="97"/>
    <n v="8247"/>
    <x v="0"/>
  </r>
  <r>
    <x v="445"/>
    <n v="6.9"/>
    <x v="4"/>
    <s v="Excellent"/>
    <s v="No"/>
    <s v="Rarely"/>
    <n v="11"/>
    <n v="1"/>
    <n v="26.1"/>
    <n v="129"/>
    <n v="81"/>
    <n v="7985"/>
    <x v="0"/>
  </r>
  <r>
    <x v="446"/>
    <n v="10.199999999999999"/>
    <x v="12"/>
    <s v="Excellent"/>
    <s v="Former"/>
    <s v="Rarely"/>
    <n v="6"/>
    <n v="9"/>
    <n v="25"/>
    <n v="112"/>
    <n v="96"/>
    <n v="7994"/>
    <x v="1"/>
  </r>
  <r>
    <x v="447"/>
    <n v="6.4"/>
    <x v="3"/>
    <s v="Average"/>
    <s v="No"/>
    <s v="Rarely"/>
    <n v="7"/>
    <n v="10"/>
    <n v="25.1"/>
    <n v="157"/>
    <n v="84"/>
    <n v="7984"/>
    <x v="0"/>
  </r>
  <r>
    <x v="448"/>
    <n v="5.3"/>
    <x v="3"/>
    <s v="Poor"/>
    <s v="No"/>
    <s v="Rarely"/>
    <n v="25"/>
    <n v="5"/>
    <n v="27.4"/>
    <n v="146"/>
    <n v="98"/>
    <n v="7876"/>
    <x v="0"/>
  </r>
  <r>
    <x v="449"/>
    <n v="1.9"/>
    <x v="13"/>
    <s v="Average"/>
    <s v="No"/>
    <s v="Never"/>
    <n v="16"/>
    <n v="8"/>
    <n v="26.8"/>
    <n v="159"/>
    <n v="95"/>
    <n v="8045"/>
    <x v="0"/>
  </r>
  <r>
    <x v="450"/>
    <n v="5.9"/>
    <x v="51"/>
    <s v="Very_poor"/>
    <s v="No"/>
    <s v="Rarely"/>
    <n v="8"/>
    <n v="4"/>
    <n v="21.9"/>
    <n v="92"/>
    <n v="62"/>
    <n v="8009"/>
    <x v="2"/>
  </r>
  <r>
    <x v="451"/>
    <n v="15.2"/>
    <x v="23"/>
    <s v="Good"/>
    <s v="No"/>
    <s v="Rarely"/>
    <n v="17"/>
    <n v="7"/>
    <n v="26"/>
    <n v="155"/>
    <n v="76"/>
    <n v="7971"/>
    <x v="2"/>
  </r>
  <r>
    <x v="452"/>
    <n v="3.7"/>
    <x v="33"/>
    <s v="Poor"/>
    <s v="No"/>
    <s v="Never"/>
    <n v="35"/>
    <n v="4"/>
    <n v="26.3"/>
    <n v="99"/>
    <n v="95"/>
    <n v="7875"/>
    <x v="0"/>
  </r>
  <r>
    <x v="453"/>
    <n v="10.6"/>
    <x v="4"/>
    <s v="Very_poor"/>
    <s v="No"/>
    <s v="Several_times_a_week"/>
    <n v="26"/>
    <n v="4"/>
    <n v="25.9"/>
    <n v="153"/>
    <n v="62"/>
    <n v="7889"/>
    <x v="0"/>
  </r>
  <r>
    <x v="454"/>
    <n v="12.9"/>
    <x v="37"/>
    <s v="Average"/>
    <s v="No"/>
    <s v="Daily"/>
    <n v="16"/>
    <n v="10"/>
    <n v="19.7"/>
    <n v="138"/>
    <n v="96"/>
    <n v="7955"/>
    <x v="1"/>
  </r>
  <r>
    <x v="455"/>
    <n v="4.3"/>
    <x v="25"/>
    <s v="Poor"/>
    <s v="No"/>
    <s v="Rarely"/>
    <n v="7"/>
    <n v="6"/>
    <n v="26.7"/>
    <n v="113"/>
    <n v="84"/>
    <n v="7952"/>
    <x v="0"/>
  </r>
  <r>
    <x v="456"/>
    <n v="5.9"/>
    <x v="16"/>
    <s v="Poor"/>
    <s v="No"/>
    <s v="Rarely"/>
    <n v="11"/>
    <n v="4"/>
    <n v="27.8"/>
    <n v="133"/>
    <n v="70"/>
    <n v="7940"/>
    <x v="0"/>
  </r>
  <r>
    <x v="457"/>
    <n v="10.4"/>
    <x v="37"/>
    <s v="Average"/>
    <s v="No"/>
    <s v="Weekly"/>
    <n v="19"/>
    <n v="7"/>
    <n v="22.3"/>
    <n v="129"/>
    <n v="63"/>
    <n v="7940"/>
    <x v="1"/>
  </r>
  <r>
    <x v="458"/>
    <n v="8.5"/>
    <x v="17"/>
    <s v="Very_poor"/>
    <s v="Former"/>
    <s v="Weekly"/>
    <n v="29"/>
    <n v="5"/>
    <n v="32.200000000000003"/>
    <n v="148"/>
    <n v="76"/>
    <n v="7882"/>
    <x v="2"/>
  </r>
  <r>
    <x v="459"/>
    <n v="5.4"/>
    <x v="3"/>
    <s v="Average"/>
    <s v="No"/>
    <s v="Never"/>
    <n v="13"/>
    <n v="4"/>
    <n v="24.2"/>
    <n v="131"/>
    <n v="69"/>
    <n v="7954"/>
    <x v="0"/>
  </r>
  <r>
    <x v="460"/>
    <n v="2"/>
    <x v="21"/>
    <s v="Poor"/>
    <s v="No"/>
    <s v="Rarely"/>
    <n v="18"/>
    <n v="7"/>
    <n v="26.4"/>
    <n v="118"/>
    <n v="68"/>
    <n v="7898"/>
    <x v="0"/>
  </r>
  <r>
    <x v="461"/>
    <n v="10.3"/>
    <x v="42"/>
    <s v="Excellent"/>
    <s v="No"/>
    <s v="Daily"/>
    <n v="27"/>
    <n v="1"/>
    <n v="30"/>
    <n v="119"/>
    <n v="75"/>
    <n v="8025"/>
    <x v="1"/>
  </r>
  <r>
    <x v="462"/>
    <n v="8.8000000000000007"/>
    <x v="9"/>
    <s v="Average"/>
    <s v="Yes"/>
    <s v="Never"/>
    <n v="36"/>
    <n v="3"/>
    <n v="29.4"/>
    <n v="143"/>
    <n v="91"/>
    <n v="8052"/>
    <x v="0"/>
  </r>
  <r>
    <x v="463"/>
    <n v="5.8"/>
    <x v="2"/>
    <s v="Very_poor"/>
    <s v="No"/>
    <s v="Rarely"/>
    <n v="6"/>
    <n v="9"/>
    <n v="25.4"/>
    <n v="103"/>
    <n v="96"/>
    <n v="7984"/>
    <x v="0"/>
  </r>
  <r>
    <x v="464"/>
    <n v="2.2999999999999998"/>
    <x v="22"/>
    <s v="Average"/>
    <s v="No"/>
    <s v="Several_times_a_week"/>
    <n v="3"/>
    <n v="2"/>
    <n v="23.3"/>
    <n v="152"/>
    <n v="85"/>
    <n v="8044"/>
    <x v="0"/>
  </r>
  <r>
    <x v="465"/>
    <n v="9.1999999999999993"/>
    <x v="28"/>
    <s v="Average"/>
    <s v="No"/>
    <s v="Rarely"/>
    <n v="26"/>
    <n v="4"/>
    <n v="22.4"/>
    <n v="104"/>
    <n v="65"/>
    <n v="7919"/>
    <x v="2"/>
  </r>
  <r>
    <x v="466"/>
    <n v="4.0999999999999996"/>
    <x v="16"/>
    <s v="Excellent"/>
    <s v="Yes"/>
    <s v="Weekly"/>
    <n v="24"/>
    <n v="10"/>
    <n v="29.4"/>
    <n v="95"/>
    <n v="80"/>
    <n v="8130"/>
    <x v="0"/>
  </r>
  <r>
    <x v="467"/>
    <n v="10.1"/>
    <x v="7"/>
    <s v="Average"/>
    <s v="No"/>
    <s v="Weekly"/>
    <n v="30"/>
    <n v="3"/>
    <n v="25.3"/>
    <n v="112"/>
    <n v="90"/>
    <n v="8030"/>
    <x v="0"/>
  </r>
  <r>
    <x v="468"/>
    <n v="4.4000000000000004"/>
    <x v="29"/>
    <s v="Poor"/>
    <s v="Former"/>
    <s v="Never"/>
    <n v="39"/>
    <n v="5"/>
    <n v="22.4"/>
    <n v="99"/>
    <n v="93"/>
    <n v="7940"/>
    <x v="0"/>
  </r>
  <r>
    <x v="469"/>
    <n v="4.5"/>
    <x v="11"/>
    <s v="Good"/>
    <s v="No"/>
    <s v="Several_times_a_week"/>
    <n v="14"/>
    <n v="2"/>
    <n v="19.100000000000001"/>
    <n v="134"/>
    <n v="97"/>
    <n v="7948"/>
    <x v="0"/>
  </r>
  <r>
    <x v="470"/>
    <n v="6.6"/>
    <x v="36"/>
    <s v="Very_poor"/>
    <s v="No"/>
    <s v="Several_times_a_week"/>
    <n v="4"/>
    <n v="9"/>
    <n v="26.5"/>
    <n v="132"/>
    <n v="62"/>
    <n v="8019"/>
    <x v="0"/>
  </r>
  <r>
    <x v="471"/>
    <n v="11.9"/>
    <x v="42"/>
    <s v="Good"/>
    <s v="No"/>
    <s v="Never"/>
    <n v="37"/>
    <n v="1"/>
    <n v="23.9"/>
    <n v="125"/>
    <n v="85"/>
    <n v="8024"/>
    <x v="1"/>
  </r>
  <r>
    <x v="472"/>
    <n v="4.2"/>
    <x v="19"/>
    <s v="Very_poor"/>
    <s v="No"/>
    <s v="Rarely"/>
    <n v="8"/>
    <n v="4"/>
    <n v="17.2"/>
    <n v="149"/>
    <n v="83"/>
    <n v="8007"/>
    <x v="0"/>
  </r>
  <r>
    <x v="473"/>
    <n v="10.3"/>
    <x v="35"/>
    <s v="Poor"/>
    <s v="No"/>
    <s v="Weekly"/>
    <n v="10"/>
    <n v="5"/>
    <n v="26.7"/>
    <n v="120"/>
    <n v="97"/>
    <n v="8044"/>
    <x v="2"/>
  </r>
  <r>
    <x v="474"/>
    <n v="8.1999999999999993"/>
    <x v="52"/>
    <s v="Average"/>
    <s v="Yes"/>
    <s v="Rarely"/>
    <n v="18"/>
    <n v="6"/>
    <n v="29.3"/>
    <n v="143"/>
    <n v="81"/>
    <n v="7877"/>
    <x v="2"/>
  </r>
  <r>
    <x v="475"/>
    <n v="11"/>
    <x v="13"/>
    <s v="Poor"/>
    <s v="Former"/>
    <s v="Never"/>
    <n v="2"/>
    <n v="2"/>
    <n v="29.6"/>
    <n v="124"/>
    <n v="74"/>
    <n v="8206"/>
    <x v="0"/>
  </r>
  <r>
    <x v="476"/>
    <n v="16.399999999999999"/>
    <x v="24"/>
    <s v="Average"/>
    <s v="No"/>
    <s v="Never"/>
    <n v="17"/>
    <n v="6"/>
    <n v="22.1"/>
    <n v="145"/>
    <n v="91"/>
    <n v="8033"/>
    <x v="1"/>
  </r>
  <r>
    <x v="477"/>
    <n v="16.8"/>
    <x v="12"/>
    <s v="Very_poor"/>
    <s v="No"/>
    <s v="Rarely"/>
    <n v="8"/>
    <n v="2"/>
    <n v="25.2"/>
    <n v="119"/>
    <n v="60"/>
    <n v="7806"/>
    <x v="1"/>
  </r>
  <r>
    <x v="478"/>
    <n v="4.5999999999999996"/>
    <x v="7"/>
    <s v="Poor"/>
    <s v="No"/>
    <s v="Rarely"/>
    <n v="39"/>
    <n v="4"/>
    <n v="30.9"/>
    <n v="126"/>
    <n v="69"/>
    <n v="8125"/>
    <x v="0"/>
  </r>
  <r>
    <x v="479"/>
    <n v="3.8"/>
    <x v="18"/>
    <s v="Good"/>
    <s v="No"/>
    <s v="Weekly"/>
    <n v="11"/>
    <n v="7"/>
    <n v="27.1"/>
    <n v="102"/>
    <n v="92"/>
    <n v="8194"/>
    <x v="2"/>
  </r>
  <r>
    <x v="480"/>
    <n v="4"/>
    <x v="53"/>
    <s v="Average"/>
    <s v="No"/>
    <s v="Rarely"/>
    <n v="13"/>
    <n v="1"/>
    <n v="32.6"/>
    <n v="105"/>
    <n v="75"/>
    <n v="7921"/>
    <x v="1"/>
  </r>
  <r>
    <x v="481"/>
    <n v="3.2"/>
    <x v="20"/>
    <s v="Average"/>
    <s v="Yes"/>
    <s v="Rarely"/>
    <n v="5"/>
    <n v="6"/>
    <n v="28.9"/>
    <n v="144"/>
    <n v="74"/>
    <n v="7886"/>
    <x v="0"/>
  </r>
  <r>
    <x v="482"/>
    <n v="4.5"/>
    <x v="39"/>
    <s v="Average"/>
    <s v="No"/>
    <s v="Rarely"/>
    <n v="32"/>
    <n v="6"/>
    <n v="15"/>
    <n v="126"/>
    <n v="78"/>
    <n v="8052"/>
    <x v="1"/>
  </r>
  <r>
    <x v="483"/>
    <n v="5.5"/>
    <x v="8"/>
    <s v="Average"/>
    <s v="Yes"/>
    <s v="Rarely"/>
    <n v="35"/>
    <n v="8"/>
    <n v="25.7"/>
    <n v="142"/>
    <n v="91"/>
    <n v="7994"/>
    <x v="0"/>
  </r>
  <r>
    <x v="484"/>
    <n v="12"/>
    <x v="18"/>
    <s v="Average"/>
    <s v="No"/>
    <s v="Rarely"/>
    <n v="28"/>
    <n v="6"/>
    <n v="32.700000000000003"/>
    <n v="121"/>
    <n v="76"/>
    <n v="8006"/>
    <x v="2"/>
  </r>
  <r>
    <x v="485"/>
    <n v="4.5999999999999996"/>
    <x v="14"/>
    <s v="Poor"/>
    <s v="No"/>
    <s v="Weekly"/>
    <n v="34"/>
    <n v="6"/>
    <n v="29.6"/>
    <n v="109"/>
    <n v="98"/>
    <n v="8035"/>
    <x v="0"/>
  </r>
  <r>
    <x v="486"/>
    <n v="7.7"/>
    <x v="2"/>
    <s v="Excellent"/>
    <s v="No"/>
    <s v="Rarely"/>
    <n v="2"/>
    <n v="2"/>
    <n v="27.1"/>
    <n v="108"/>
    <n v="82"/>
    <n v="8049"/>
    <x v="0"/>
  </r>
  <r>
    <x v="487"/>
    <n v="2.9"/>
    <x v="21"/>
    <s v="Poor"/>
    <s v="No"/>
    <s v="Rarely"/>
    <n v="22"/>
    <n v="2"/>
    <n v="19.8"/>
    <n v="109"/>
    <n v="87"/>
    <n v="8081"/>
    <x v="0"/>
  </r>
  <r>
    <x v="488"/>
    <n v="10.5"/>
    <x v="35"/>
    <s v="Average"/>
    <s v="No"/>
    <s v="Never"/>
    <n v="34"/>
    <n v="3"/>
    <n v="26.5"/>
    <n v="102"/>
    <n v="70"/>
    <n v="7985"/>
    <x v="2"/>
  </r>
  <r>
    <x v="489"/>
    <n v="11.9"/>
    <x v="7"/>
    <s v="Poor"/>
    <s v="No"/>
    <s v="Weekly"/>
    <n v="11"/>
    <n v="8"/>
    <n v="20.6"/>
    <n v="149"/>
    <n v="73"/>
    <n v="7970"/>
    <x v="0"/>
  </r>
  <r>
    <x v="490"/>
    <n v="2.7"/>
    <x v="4"/>
    <s v="Average"/>
    <s v="No"/>
    <s v="Never"/>
    <n v="1"/>
    <n v="7"/>
    <n v="20.6"/>
    <n v="110"/>
    <n v="74"/>
    <n v="7936"/>
    <x v="0"/>
  </r>
  <r>
    <x v="491"/>
    <n v="4.4000000000000004"/>
    <x v="16"/>
    <s v="Excellent"/>
    <s v="No"/>
    <s v="Weekly"/>
    <n v="9"/>
    <n v="9"/>
    <n v="21.2"/>
    <n v="156"/>
    <n v="90"/>
    <n v="8069"/>
    <x v="0"/>
  </r>
  <r>
    <x v="492"/>
    <n v="4"/>
    <x v="14"/>
    <s v="Excellent"/>
    <s v="No"/>
    <s v="Never"/>
    <n v="21"/>
    <n v="10"/>
    <n v="28.8"/>
    <n v="108"/>
    <n v="80"/>
    <n v="7808"/>
    <x v="0"/>
  </r>
  <r>
    <x v="493"/>
    <n v="11.2"/>
    <x v="51"/>
    <s v="Very_poor"/>
    <s v="No"/>
    <s v="Several_times_a_week"/>
    <n v="23"/>
    <n v="10"/>
    <n v="23.7"/>
    <n v="105"/>
    <n v="75"/>
    <n v="8147"/>
    <x v="2"/>
  </r>
  <r>
    <x v="494"/>
    <n v="3.6"/>
    <x v="29"/>
    <s v="Good"/>
    <s v="No"/>
    <s v="Weekly"/>
    <n v="37"/>
    <n v="4"/>
    <n v="22.6"/>
    <n v="144"/>
    <n v="61"/>
    <n v="7958"/>
    <x v="0"/>
  </r>
  <r>
    <x v="495"/>
    <n v="3.4"/>
    <x v="17"/>
    <s v="Average"/>
    <s v="No"/>
    <s v="Weekly"/>
    <n v="24"/>
    <n v="8"/>
    <n v="27.4"/>
    <n v="123"/>
    <n v="90"/>
    <n v="8009"/>
    <x v="2"/>
  </r>
  <r>
    <x v="496"/>
    <n v="7"/>
    <x v="6"/>
    <s v="Excellent"/>
    <s v="No"/>
    <s v="Rarely"/>
    <n v="22"/>
    <n v="10"/>
    <n v="31"/>
    <n v="137"/>
    <n v="82"/>
    <n v="7905"/>
    <x v="1"/>
  </r>
  <r>
    <x v="497"/>
    <n v="8.4"/>
    <x v="21"/>
    <s v="Poor"/>
    <s v="Yes"/>
    <s v="Never"/>
    <n v="40"/>
    <n v="1"/>
    <n v="24.4"/>
    <n v="103"/>
    <n v="80"/>
    <n v="7983"/>
    <x v="0"/>
  </r>
  <r>
    <x v="498"/>
    <n v="5.5"/>
    <x v="29"/>
    <s v="Average"/>
    <s v="No"/>
    <s v="Several_times_a_week"/>
    <n v="35"/>
    <n v="5"/>
    <n v="17.600000000000001"/>
    <n v="151"/>
    <n v="69"/>
    <n v="7977"/>
    <x v="0"/>
  </r>
  <r>
    <x v="499"/>
    <n v="3.4"/>
    <x v="4"/>
    <s v="Average"/>
    <s v="Former"/>
    <s v="Never"/>
    <n v="36"/>
    <n v="5"/>
    <n v="28.9"/>
    <n v="103"/>
    <n v="76"/>
    <n v="8127"/>
    <x v="0"/>
  </r>
  <r>
    <x v="500"/>
    <n v="7.2"/>
    <x v="9"/>
    <s v="Average"/>
    <s v="No"/>
    <s v="Never"/>
    <n v="13"/>
    <n v="8"/>
    <n v="25.7"/>
    <n v="128"/>
    <n v="64"/>
    <n v="8025"/>
    <x v="0"/>
  </r>
  <r>
    <x v="501"/>
    <n v="4.5"/>
    <x v="17"/>
    <s v="Average"/>
    <s v="No"/>
    <s v="Rarely"/>
    <n v="29"/>
    <n v="5"/>
    <n v="34"/>
    <n v="135"/>
    <n v="81"/>
    <n v="7974"/>
    <x v="2"/>
  </r>
  <r>
    <x v="502"/>
    <n v="5.9"/>
    <x v="8"/>
    <s v="Good"/>
    <s v="No"/>
    <s v="Several_times_a_week"/>
    <n v="1"/>
    <n v="10"/>
    <n v="23.5"/>
    <n v="131"/>
    <n v="82"/>
    <n v="8075"/>
    <x v="0"/>
  </r>
  <r>
    <x v="503"/>
    <n v="9.9"/>
    <x v="20"/>
    <s v="Poor"/>
    <s v="No"/>
    <s v="Rarely"/>
    <n v="35"/>
    <n v="7"/>
    <n v="16.899999999999999"/>
    <n v="143"/>
    <n v="61"/>
    <n v="7920"/>
    <x v="0"/>
  </r>
  <r>
    <x v="504"/>
    <n v="3.9"/>
    <x v="36"/>
    <s v="Excellent"/>
    <s v="No"/>
    <s v="Rarely"/>
    <n v="13"/>
    <n v="7"/>
    <n v="26.4"/>
    <n v="152"/>
    <n v="87"/>
    <n v="8032"/>
    <x v="0"/>
  </r>
  <r>
    <x v="505"/>
    <n v="3.5"/>
    <x v="14"/>
    <s v="Average"/>
    <s v="Former"/>
    <s v="Never"/>
    <n v="7"/>
    <n v="6"/>
    <n v="26"/>
    <n v="105"/>
    <n v="92"/>
    <n v="8102"/>
    <x v="0"/>
  </r>
  <r>
    <x v="506"/>
    <n v="3.4"/>
    <x v="23"/>
    <s v="Good"/>
    <s v="No"/>
    <s v="Several_times_a_week"/>
    <n v="4"/>
    <n v="6"/>
    <n v="22.6"/>
    <n v="157"/>
    <n v="72"/>
    <n v="7930"/>
    <x v="2"/>
  </r>
  <r>
    <x v="507"/>
    <n v="4.8"/>
    <x v="20"/>
    <s v="Good"/>
    <s v="No"/>
    <s v="Rarely"/>
    <n v="35"/>
    <n v="3"/>
    <n v="19.7"/>
    <n v="150"/>
    <n v="96"/>
    <n v="7997"/>
    <x v="0"/>
  </r>
  <r>
    <x v="508"/>
    <n v="6.9"/>
    <x v="20"/>
    <s v="Average"/>
    <s v="No"/>
    <s v="Weekly"/>
    <n v="13"/>
    <n v="3"/>
    <n v="20.7"/>
    <n v="92"/>
    <n v="74"/>
    <n v="8111"/>
    <x v="0"/>
  </r>
  <r>
    <x v="509"/>
    <n v="11.3"/>
    <x v="22"/>
    <s v="Average"/>
    <s v="No"/>
    <s v="Weekly"/>
    <n v="21"/>
    <n v="5"/>
    <n v="22.6"/>
    <n v="92"/>
    <n v="62"/>
    <n v="7996"/>
    <x v="0"/>
  </r>
  <r>
    <x v="510"/>
    <n v="11.9"/>
    <x v="3"/>
    <s v="Excellent"/>
    <s v="No"/>
    <s v="Never"/>
    <n v="8"/>
    <n v="6"/>
    <n v="22.3"/>
    <n v="156"/>
    <n v="82"/>
    <n v="7866"/>
    <x v="0"/>
  </r>
  <r>
    <x v="511"/>
    <n v="15.3"/>
    <x v="19"/>
    <s v="Good"/>
    <s v="No"/>
    <s v="Weekly"/>
    <n v="19"/>
    <n v="9"/>
    <n v="27.8"/>
    <n v="107"/>
    <n v="64"/>
    <n v="8113"/>
    <x v="0"/>
  </r>
  <r>
    <x v="512"/>
    <n v="5.5"/>
    <x v="0"/>
    <s v="Average"/>
    <s v="No"/>
    <s v="Rarely"/>
    <n v="17"/>
    <n v="5"/>
    <n v="28.9"/>
    <n v="115"/>
    <n v="83"/>
    <n v="7952"/>
    <x v="0"/>
  </r>
  <r>
    <x v="513"/>
    <n v="8.6999999999999993"/>
    <x v="14"/>
    <s v="Average"/>
    <s v="Yes"/>
    <s v="Weekly"/>
    <n v="26"/>
    <n v="7"/>
    <n v="22.5"/>
    <n v="126"/>
    <n v="65"/>
    <n v="7982"/>
    <x v="0"/>
  </r>
  <r>
    <x v="514"/>
    <n v="4.0999999999999996"/>
    <x v="19"/>
    <s v="Good"/>
    <s v="Former"/>
    <s v="Rarely"/>
    <n v="33"/>
    <n v="6"/>
    <n v="21.6"/>
    <n v="92"/>
    <n v="98"/>
    <n v="7800"/>
    <x v="0"/>
  </r>
  <r>
    <x v="515"/>
    <n v="6.8"/>
    <x v="33"/>
    <s v="Good"/>
    <s v="No"/>
    <s v="Never"/>
    <n v="24"/>
    <n v="6"/>
    <n v="28.5"/>
    <n v="157"/>
    <n v="76"/>
    <n v="8014"/>
    <x v="0"/>
  </r>
  <r>
    <x v="516"/>
    <n v="4.3"/>
    <x v="41"/>
    <s v="Excellent"/>
    <s v="No"/>
    <s v="Rarely"/>
    <n v="28"/>
    <n v="1"/>
    <n v="27.6"/>
    <n v="157"/>
    <n v="81"/>
    <n v="7974"/>
    <x v="1"/>
  </r>
  <r>
    <x v="517"/>
    <n v="6"/>
    <x v="7"/>
    <s v="Average"/>
    <s v="Former"/>
    <s v="Weekly"/>
    <n v="23"/>
    <n v="7"/>
    <n v="27.3"/>
    <n v="104"/>
    <n v="98"/>
    <n v="8164"/>
    <x v="0"/>
  </r>
  <r>
    <x v="518"/>
    <n v="9.6999999999999993"/>
    <x v="7"/>
    <s v="Excellent"/>
    <s v="No"/>
    <s v="Never"/>
    <n v="3"/>
    <n v="8"/>
    <n v="23.5"/>
    <n v="98"/>
    <n v="75"/>
    <n v="8259"/>
    <x v="0"/>
  </r>
  <r>
    <x v="519"/>
    <n v="7.2"/>
    <x v="33"/>
    <s v="Good"/>
    <s v="No"/>
    <s v="Rarely"/>
    <n v="24"/>
    <n v="5"/>
    <n v="26.6"/>
    <n v="125"/>
    <n v="64"/>
    <n v="8052"/>
    <x v="0"/>
  </r>
  <r>
    <x v="520"/>
    <n v="5"/>
    <x v="4"/>
    <s v="Good"/>
    <s v="No"/>
    <s v="Rarely"/>
    <n v="34"/>
    <n v="8"/>
    <n v="27.2"/>
    <n v="94"/>
    <n v="63"/>
    <n v="7886"/>
    <x v="0"/>
  </r>
  <r>
    <x v="521"/>
    <n v="2.5"/>
    <x v="28"/>
    <s v="Very_poor"/>
    <s v="No"/>
    <s v="Daily"/>
    <n v="26"/>
    <n v="1"/>
    <n v="23"/>
    <n v="128"/>
    <n v="64"/>
    <n v="7845"/>
    <x v="2"/>
  </r>
  <r>
    <x v="522"/>
    <n v="9.9"/>
    <x v="41"/>
    <s v="Excellent"/>
    <s v="No"/>
    <s v="Weekly"/>
    <n v="34"/>
    <n v="1"/>
    <n v="23"/>
    <n v="138"/>
    <n v="81"/>
    <n v="8095"/>
    <x v="1"/>
  </r>
  <r>
    <x v="523"/>
    <n v="7"/>
    <x v="17"/>
    <s v="Excellent"/>
    <s v="No"/>
    <s v="Several_times_a_week"/>
    <n v="40"/>
    <n v="1"/>
    <n v="27.9"/>
    <n v="121"/>
    <n v="93"/>
    <n v="7826"/>
    <x v="2"/>
  </r>
  <r>
    <x v="524"/>
    <n v="10.7"/>
    <x v="31"/>
    <s v="Average"/>
    <s v="No"/>
    <s v="Never"/>
    <n v="34"/>
    <n v="2"/>
    <n v="27.5"/>
    <n v="138"/>
    <n v="60"/>
    <n v="8120"/>
    <x v="2"/>
  </r>
  <r>
    <x v="525"/>
    <n v="12.8"/>
    <x v="10"/>
    <s v="Average"/>
    <s v="No"/>
    <s v="Never"/>
    <n v="4"/>
    <n v="1"/>
    <n v="28.9"/>
    <n v="139"/>
    <n v="93"/>
    <n v="7987"/>
    <x v="2"/>
  </r>
  <r>
    <x v="526"/>
    <n v="2.9"/>
    <x v="9"/>
    <s v="Average"/>
    <s v="Yes"/>
    <s v="Rarely"/>
    <n v="21"/>
    <n v="8"/>
    <n v="31.7"/>
    <n v="131"/>
    <n v="90"/>
    <n v="8006"/>
    <x v="0"/>
  </r>
  <r>
    <x v="527"/>
    <n v="3.4"/>
    <x v="14"/>
    <s v="Good"/>
    <s v="No"/>
    <s v="Rarely"/>
    <n v="24"/>
    <n v="7"/>
    <n v="23.5"/>
    <n v="128"/>
    <n v="88"/>
    <n v="8115"/>
    <x v="0"/>
  </r>
  <r>
    <x v="528"/>
    <n v="9.4"/>
    <x v="22"/>
    <s v="Good"/>
    <s v="No"/>
    <s v="Never"/>
    <n v="31"/>
    <n v="9"/>
    <n v="17.100000000000001"/>
    <n v="93"/>
    <n v="83"/>
    <n v="8152"/>
    <x v="0"/>
  </r>
  <r>
    <x v="529"/>
    <n v="5.6"/>
    <x v="31"/>
    <s v="Average"/>
    <s v="No"/>
    <s v="Never"/>
    <n v="5"/>
    <n v="1"/>
    <n v="25.9"/>
    <n v="136"/>
    <n v="70"/>
    <n v="7905"/>
    <x v="2"/>
  </r>
  <r>
    <x v="530"/>
    <n v="15.4"/>
    <x v="8"/>
    <s v="Average"/>
    <s v="Yes"/>
    <s v="Weekly"/>
    <n v="39"/>
    <n v="3"/>
    <n v="27"/>
    <n v="125"/>
    <n v="89"/>
    <n v="8091"/>
    <x v="0"/>
  </r>
  <r>
    <x v="531"/>
    <n v="3.4"/>
    <x v="14"/>
    <s v="Poor"/>
    <s v="No"/>
    <s v="Rarely"/>
    <n v="1"/>
    <n v="5"/>
    <n v="23.7"/>
    <n v="98"/>
    <n v="77"/>
    <n v="8100"/>
    <x v="0"/>
  </r>
  <r>
    <x v="532"/>
    <n v="5.7"/>
    <x v="8"/>
    <s v="Excellent"/>
    <s v="No"/>
    <s v="Rarely"/>
    <n v="30"/>
    <n v="2"/>
    <n v="25.8"/>
    <n v="148"/>
    <n v="83"/>
    <n v="7930"/>
    <x v="0"/>
  </r>
  <r>
    <x v="533"/>
    <n v="4.9000000000000004"/>
    <x v="7"/>
    <s v="Excellent"/>
    <s v="No"/>
    <s v="Never"/>
    <n v="2"/>
    <n v="3"/>
    <n v="27.6"/>
    <n v="112"/>
    <n v="96"/>
    <n v="8137"/>
    <x v="0"/>
  </r>
  <r>
    <x v="534"/>
    <n v="5.8"/>
    <x v="13"/>
    <s v="Very_poor"/>
    <s v="Former"/>
    <s v="Rarely"/>
    <n v="23"/>
    <n v="2"/>
    <n v="25.4"/>
    <n v="159"/>
    <n v="92"/>
    <n v="7994"/>
    <x v="0"/>
  </r>
  <r>
    <x v="535"/>
    <n v="10.8"/>
    <x v="8"/>
    <s v="Poor"/>
    <s v="No"/>
    <s v="Never"/>
    <n v="21"/>
    <n v="3"/>
    <n v="20.6"/>
    <n v="120"/>
    <n v="98"/>
    <n v="8020"/>
    <x v="0"/>
  </r>
  <r>
    <x v="536"/>
    <n v="12.8"/>
    <x v="3"/>
    <s v="Poor"/>
    <s v="Former"/>
    <s v="Rarely"/>
    <n v="26"/>
    <n v="1"/>
    <n v="27.2"/>
    <n v="159"/>
    <n v="79"/>
    <n v="8094"/>
    <x v="0"/>
  </r>
  <r>
    <x v="537"/>
    <n v="9.1999999999999993"/>
    <x v="28"/>
    <s v="Excellent"/>
    <s v="Yes"/>
    <s v="Several_times_a_week"/>
    <n v="10"/>
    <n v="8"/>
    <n v="25.5"/>
    <n v="156"/>
    <n v="65"/>
    <n v="7934"/>
    <x v="2"/>
  </r>
  <r>
    <x v="538"/>
    <n v="14.1"/>
    <x v="22"/>
    <s v="Average"/>
    <s v="Former"/>
    <s v="Never"/>
    <n v="29"/>
    <n v="3"/>
    <n v="21.7"/>
    <n v="135"/>
    <n v="60"/>
    <n v="7938"/>
    <x v="0"/>
  </r>
  <r>
    <x v="539"/>
    <n v="12.5"/>
    <x v="15"/>
    <s v="Very_poor"/>
    <s v="Yes"/>
    <s v="Several_times_a_week"/>
    <n v="17"/>
    <n v="6"/>
    <n v="27.9"/>
    <n v="104"/>
    <n v="95"/>
    <n v="8019"/>
    <x v="0"/>
  </r>
  <r>
    <x v="540"/>
    <n v="9.4"/>
    <x v="45"/>
    <s v="Excellent"/>
    <s v="Former"/>
    <s v="Rarely"/>
    <n v="29"/>
    <n v="6"/>
    <n v="25.5"/>
    <n v="119"/>
    <n v="60"/>
    <n v="8050"/>
    <x v="1"/>
  </r>
  <r>
    <x v="541"/>
    <n v="11.3"/>
    <x v="52"/>
    <s v="Very_poor"/>
    <s v="Yes"/>
    <s v="Rarely"/>
    <n v="30"/>
    <n v="7"/>
    <n v="20.3"/>
    <n v="130"/>
    <n v="61"/>
    <n v="7973"/>
    <x v="2"/>
  </r>
  <r>
    <x v="542"/>
    <n v="8.6999999999999993"/>
    <x v="20"/>
    <s v="Poor"/>
    <s v="No"/>
    <s v="Rarely"/>
    <n v="12"/>
    <n v="6"/>
    <n v="19.899999999999999"/>
    <n v="154"/>
    <n v="77"/>
    <n v="7887"/>
    <x v="0"/>
  </r>
  <r>
    <x v="543"/>
    <n v="5.4"/>
    <x v="23"/>
    <s v="Average"/>
    <s v="No"/>
    <s v="Rarely"/>
    <n v="10"/>
    <n v="6"/>
    <n v="21.1"/>
    <n v="136"/>
    <n v="90"/>
    <n v="8177"/>
    <x v="2"/>
  </r>
  <r>
    <x v="544"/>
    <n v="5.8"/>
    <x v="37"/>
    <s v="Good"/>
    <s v="Yes"/>
    <s v="Daily"/>
    <n v="33"/>
    <n v="2"/>
    <n v="20.7"/>
    <n v="122"/>
    <n v="74"/>
    <n v="7943"/>
    <x v="1"/>
  </r>
  <r>
    <x v="545"/>
    <n v="3.4"/>
    <x v="43"/>
    <s v="Poor"/>
    <s v="Former"/>
    <s v="Daily"/>
    <n v="37"/>
    <n v="4"/>
    <n v="20.6"/>
    <n v="124"/>
    <n v="91"/>
    <n v="8133"/>
    <x v="1"/>
  </r>
  <r>
    <x v="546"/>
    <n v="14"/>
    <x v="20"/>
    <s v="Good"/>
    <s v="No"/>
    <s v="Weekly"/>
    <n v="20"/>
    <n v="4"/>
    <n v="28.8"/>
    <n v="133"/>
    <n v="80"/>
    <n v="8089"/>
    <x v="0"/>
  </r>
  <r>
    <x v="547"/>
    <n v="9.3000000000000007"/>
    <x v="38"/>
    <s v="Good"/>
    <s v="Former"/>
    <s v="Rarely"/>
    <n v="35"/>
    <n v="7"/>
    <n v="18.899999999999999"/>
    <n v="114"/>
    <n v="95"/>
    <n v="7892"/>
    <x v="2"/>
  </r>
  <r>
    <x v="548"/>
    <n v="12.2"/>
    <x v="8"/>
    <s v="Average"/>
    <s v="No"/>
    <s v="Daily"/>
    <n v="34"/>
    <n v="5"/>
    <n v="28.9"/>
    <n v="100"/>
    <n v="72"/>
    <n v="7991"/>
    <x v="0"/>
  </r>
  <r>
    <x v="549"/>
    <n v="8.1999999999999993"/>
    <x v="31"/>
    <s v="Excellent"/>
    <s v="Yes"/>
    <s v="Several_times_a_week"/>
    <n v="12"/>
    <n v="9"/>
    <n v="26.5"/>
    <n v="149"/>
    <n v="84"/>
    <n v="7832"/>
    <x v="2"/>
  </r>
  <r>
    <x v="550"/>
    <n v="15.1"/>
    <x v="16"/>
    <s v="Average"/>
    <s v="No"/>
    <s v="Weekly"/>
    <n v="11"/>
    <n v="2"/>
    <n v="25.7"/>
    <n v="114"/>
    <n v="66"/>
    <n v="8086"/>
    <x v="0"/>
  </r>
  <r>
    <x v="551"/>
    <n v="7.5"/>
    <x v="15"/>
    <s v="Average"/>
    <s v="No"/>
    <s v="Rarely"/>
    <n v="22"/>
    <n v="9"/>
    <n v="25"/>
    <n v="127"/>
    <n v="77"/>
    <n v="7987"/>
    <x v="0"/>
  </r>
  <r>
    <x v="552"/>
    <n v="6.5"/>
    <x v="17"/>
    <s v="Very_poor"/>
    <s v="No"/>
    <s v="Several_times_a_week"/>
    <n v="23"/>
    <n v="8"/>
    <n v="27.4"/>
    <n v="141"/>
    <n v="62"/>
    <n v="8103"/>
    <x v="2"/>
  </r>
  <r>
    <x v="553"/>
    <n v="8.9"/>
    <x v="20"/>
    <s v="Poor"/>
    <s v="No"/>
    <s v="Never"/>
    <n v="0"/>
    <n v="5"/>
    <n v="18.8"/>
    <n v="138"/>
    <n v="77"/>
    <n v="7905"/>
    <x v="0"/>
  </r>
  <r>
    <x v="554"/>
    <n v="3.2"/>
    <x v="29"/>
    <s v="Average"/>
    <s v="No"/>
    <s v="Rarely"/>
    <n v="40"/>
    <n v="2"/>
    <n v="30.9"/>
    <n v="117"/>
    <n v="80"/>
    <n v="7887"/>
    <x v="0"/>
  </r>
  <r>
    <x v="555"/>
    <n v="0.1"/>
    <x v="33"/>
    <s v="Poor"/>
    <s v="No"/>
    <s v="Never"/>
    <n v="20"/>
    <n v="8"/>
    <n v="28.5"/>
    <n v="104"/>
    <n v="97"/>
    <n v="7934"/>
    <x v="0"/>
  </r>
  <r>
    <x v="556"/>
    <n v="4.5999999999999996"/>
    <x v="32"/>
    <s v="Average"/>
    <s v="Former"/>
    <s v="Never"/>
    <n v="38"/>
    <n v="4"/>
    <n v="20.8"/>
    <n v="149"/>
    <n v="70"/>
    <n v="8091"/>
    <x v="1"/>
  </r>
  <r>
    <x v="557"/>
    <n v="6.5"/>
    <x v="13"/>
    <s v="Excellent"/>
    <s v="No"/>
    <s v="Never"/>
    <n v="11"/>
    <n v="6"/>
    <n v="28.5"/>
    <n v="132"/>
    <n v="70"/>
    <n v="7944"/>
    <x v="0"/>
  </r>
  <r>
    <x v="558"/>
    <n v="8.6"/>
    <x v="27"/>
    <s v="Poor"/>
    <s v="Yes"/>
    <s v="Never"/>
    <n v="9"/>
    <n v="7"/>
    <n v="20.3"/>
    <n v="148"/>
    <n v="63"/>
    <n v="7839"/>
    <x v="0"/>
  </r>
  <r>
    <x v="559"/>
    <n v="4.8"/>
    <x v="19"/>
    <s v="Poor"/>
    <s v="No"/>
    <s v="Never"/>
    <n v="40"/>
    <n v="7"/>
    <n v="24.2"/>
    <n v="101"/>
    <n v="84"/>
    <n v="8045"/>
    <x v="0"/>
  </r>
  <r>
    <x v="560"/>
    <n v="9.5"/>
    <x v="5"/>
    <s v="Excellent"/>
    <s v="No"/>
    <s v="Rarely"/>
    <n v="39"/>
    <n v="10"/>
    <n v="21.3"/>
    <n v="101"/>
    <n v="77"/>
    <n v="8077"/>
    <x v="2"/>
  </r>
  <r>
    <x v="561"/>
    <n v="3.9"/>
    <x v="49"/>
    <s v="Good"/>
    <s v="No"/>
    <s v="Never"/>
    <n v="33"/>
    <n v="9"/>
    <n v="20.9"/>
    <n v="117"/>
    <n v="90"/>
    <n v="7974"/>
    <x v="1"/>
  </r>
  <r>
    <x v="562"/>
    <n v="17.8"/>
    <x v="33"/>
    <s v="Good"/>
    <s v="Former"/>
    <s v="Rarely"/>
    <n v="31"/>
    <n v="7"/>
    <n v="22.2"/>
    <n v="119"/>
    <n v="95"/>
    <n v="7829"/>
    <x v="0"/>
  </r>
  <r>
    <x v="563"/>
    <n v="8.4"/>
    <x v="13"/>
    <s v="Average"/>
    <s v="No"/>
    <s v="Rarely"/>
    <n v="24"/>
    <n v="9"/>
    <n v="23"/>
    <n v="123"/>
    <n v="89"/>
    <n v="7990"/>
    <x v="0"/>
  </r>
  <r>
    <x v="564"/>
    <n v="10.9"/>
    <x v="21"/>
    <s v="Excellent"/>
    <s v="No"/>
    <s v="Rarely"/>
    <n v="23"/>
    <n v="9"/>
    <n v="23.5"/>
    <n v="112"/>
    <n v="78"/>
    <n v="7979"/>
    <x v="0"/>
  </r>
  <r>
    <x v="565"/>
    <n v="4.7"/>
    <x v="21"/>
    <s v="Poor"/>
    <s v="Yes"/>
    <s v="Never"/>
    <n v="36"/>
    <n v="7"/>
    <n v="25.3"/>
    <n v="143"/>
    <n v="88"/>
    <n v="7842"/>
    <x v="0"/>
  </r>
  <r>
    <x v="566"/>
    <n v="4.9000000000000004"/>
    <x v="27"/>
    <s v="Excellent"/>
    <s v="No"/>
    <s v="Rarely"/>
    <n v="10"/>
    <n v="2"/>
    <n v="21.6"/>
    <n v="99"/>
    <n v="66"/>
    <n v="7966"/>
    <x v="0"/>
  </r>
  <r>
    <x v="567"/>
    <n v="6.3"/>
    <x v="22"/>
    <s v="Excellent"/>
    <s v="No"/>
    <s v="Daily"/>
    <n v="21"/>
    <n v="9"/>
    <n v="22.8"/>
    <n v="102"/>
    <n v="66"/>
    <n v="8018"/>
    <x v="0"/>
  </r>
  <r>
    <x v="568"/>
    <n v="12.4"/>
    <x v="31"/>
    <s v="Excellent"/>
    <s v="No"/>
    <s v="Never"/>
    <n v="22"/>
    <n v="7"/>
    <n v="29"/>
    <n v="91"/>
    <n v="60"/>
    <n v="8036"/>
    <x v="2"/>
  </r>
  <r>
    <x v="569"/>
    <n v="9"/>
    <x v="15"/>
    <s v="Average"/>
    <s v="No"/>
    <s v="Daily"/>
    <n v="37"/>
    <n v="8"/>
    <n v="25.3"/>
    <n v="155"/>
    <n v="94"/>
    <n v="8004"/>
    <x v="0"/>
  </r>
  <r>
    <x v="570"/>
    <n v="12.7"/>
    <x v="16"/>
    <s v="Good"/>
    <s v="Yes"/>
    <s v="Never"/>
    <n v="2"/>
    <n v="10"/>
    <n v="28.2"/>
    <n v="127"/>
    <n v="76"/>
    <n v="7786"/>
    <x v="0"/>
  </r>
  <r>
    <x v="571"/>
    <n v="4.4000000000000004"/>
    <x v="35"/>
    <s v="Poor"/>
    <s v="No"/>
    <s v="Weekly"/>
    <n v="8"/>
    <n v="10"/>
    <n v="27.7"/>
    <n v="143"/>
    <n v="85"/>
    <n v="8034"/>
    <x v="2"/>
  </r>
  <r>
    <x v="572"/>
    <n v="15.6"/>
    <x v="9"/>
    <s v="Good"/>
    <s v="No"/>
    <s v="Weekly"/>
    <n v="16"/>
    <n v="3"/>
    <n v="26.8"/>
    <n v="106"/>
    <n v="60"/>
    <n v="8092"/>
    <x v="0"/>
  </r>
  <r>
    <x v="573"/>
    <n v="5.8"/>
    <x v="49"/>
    <s v="Very_poor"/>
    <s v="No"/>
    <s v="Weekly"/>
    <n v="31"/>
    <n v="2"/>
    <n v="25.5"/>
    <n v="143"/>
    <n v="72"/>
    <n v="8073"/>
    <x v="1"/>
  </r>
  <r>
    <x v="574"/>
    <n v="3.6"/>
    <x v="36"/>
    <s v="Poor"/>
    <s v="No"/>
    <s v="Rarely"/>
    <n v="26"/>
    <n v="2"/>
    <n v="26.2"/>
    <n v="114"/>
    <n v="75"/>
    <n v="7973"/>
    <x v="0"/>
  </r>
  <r>
    <x v="575"/>
    <n v="3.6"/>
    <x v="34"/>
    <s v="Excellent"/>
    <s v="No"/>
    <s v="Never"/>
    <n v="28"/>
    <n v="1"/>
    <n v="27.1"/>
    <n v="156"/>
    <n v="96"/>
    <n v="8026"/>
    <x v="2"/>
  </r>
  <r>
    <x v="576"/>
    <n v="5.8"/>
    <x v="33"/>
    <s v="Poor"/>
    <s v="No"/>
    <s v="Weekly"/>
    <n v="18"/>
    <n v="5"/>
    <n v="27.1"/>
    <n v="145"/>
    <n v="78"/>
    <n v="7951"/>
    <x v="0"/>
  </r>
  <r>
    <x v="577"/>
    <n v="2.9"/>
    <x v="4"/>
    <s v="Average"/>
    <s v="No"/>
    <s v="Never"/>
    <n v="7"/>
    <n v="2"/>
    <n v="23"/>
    <n v="153"/>
    <n v="70"/>
    <n v="7930"/>
    <x v="0"/>
  </r>
  <r>
    <x v="578"/>
    <n v="8.6999999999999993"/>
    <x v="13"/>
    <s v="Excellent"/>
    <s v="No"/>
    <s v="Never"/>
    <n v="19"/>
    <n v="9"/>
    <n v="22.9"/>
    <n v="143"/>
    <n v="95"/>
    <n v="8149"/>
    <x v="0"/>
  </r>
  <r>
    <x v="579"/>
    <n v="9.8000000000000007"/>
    <x v="14"/>
    <s v="Good"/>
    <s v="No"/>
    <s v="Weekly"/>
    <n v="31"/>
    <n v="1"/>
    <n v="36"/>
    <n v="126"/>
    <n v="85"/>
    <n v="8057"/>
    <x v="0"/>
  </r>
  <r>
    <x v="580"/>
    <n v="9.1"/>
    <x v="18"/>
    <s v="Average"/>
    <s v="No"/>
    <s v="Never"/>
    <n v="33"/>
    <n v="8"/>
    <n v="29.5"/>
    <n v="121"/>
    <n v="84"/>
    <n v="7814"/>
    <x v="2"/>
  </r>
  <r>
    <x v="581"/>
    <n v="1"/>
    <x v="21"/>
    <s v="Excellent"/>
    <s v="No"/>
    <s v="Never"/>
    <n v="35"/>
    <n v="5"/>
    <n v="28.5"/>
    <n v="141"/>
    <n v="98"/>
    <n v="7954"/>
    <x v="0"/>
  </r>
  <r>
    <x v="582"/>
    <n v="8.6"/>
    <x v="0"/>
    <s v="Average"/>
    <s v="No"/>
    <s v="Rarely"/>
    <n v="13"/>
    <n v="4"/>
    <n v="27.5"/>
    <n v="135"/>
    <n v="82"/>
    <n v="7966"/>
    <x v="0"/>
  </r>
  <r>
    <x v="583"/>
    <n v="14.3"/>
    <x v="54"/>
    <s v="Average"/>
    <s v="No"/>
    <s v="Never"/>
    <n v="28"/>
    <n v="10"/>
    <n v="23.9"/>
    <n v="116"/>
    <n v="93"/>
    <n v="7959"/>
    <x v="2"/>
  </r>
  <r>
    <x v="584"/>
    <n v="10"/>
    <x v="16"/>
    <s v="Very_poor"/>
    <s v="No"/>
    <s v="Never"/>
    <n v="16"/>
    <n v="2"/>
    <n v="24.1"/>
    <n v="117"/>
    <n v="90"/>
    <n v="8147"/>
    <x v="0"/>
  </r>
  <r>
    <x v="585"/>
    <n v="8.1"/>
    <x v="6"/>
    <s v="Excellent"/>
    <s v="No"/>
    <s v="Weekly"/>
    <n v="27"/>
    <n v="8"/>
    <n v="18.3"/>
    <n v="112"/>
    <n v="78"/>
    <n v="8052"/>
    <x v="1"/>
  </r>
  <r>
    <x v="586"/>
    <n v="3.1"/>
    <x v="22"/>
    <s v="Poor"/>
    <s v="No"/>
    <s v="Rarely"/>
    <n v="20"/>
    <n v="2"/>
    <n v="23"/>
    <n v="114"/>
    <n v="63"/>
    <n v="7949"/>
    <x v="0"/>
  </r>
  <r>
    <x v="587"/>
    <n v="1.1000000000000001"/>
    <x v="14"/>
    <s v="Good"/>
    <s v="No"/>
    <s v="Never"/>
    <n v="5"/>
    <n v="4"/>
    <n v="25.8"/>
    <n v="96"/>
    <n v="61"/>
    <n v="7975"/>
    <x v="0"/>
  </r>
  <r>
    <x v="588"/>
    <n v="14.3"/>
    <x v="11"/>
    <s v="Very_poor"/>
    <s v="No"/>
    <s v="Never"/>
    <n v="39"/>
    <n v="1"/>
    <n v="24.2"/>
    <n v="102"/>
    <n v="81"/>
    <n v="8152"/>
    <x v="0"/>
  </r>
  <r>
    <x v="589"/>
    <n v="10.5"/>
    <x v="36"/>
    <s v="Average"/>
    <s v="No"/>
    <s v="Weekly"/>
    <n v="26"/>
    <n v="2"/>
    <n v="26.1"/>
    <n v="128"/>
    <n v="65"/>
    <n v="7955"/>
    <x v="0"/>
  </r>
  <r>
    <x v="590"/>
    <n v="2.8"/>
    <x v="19"/>
    <s v="Good"/>
    <s v="No"/>
    <s v="Rarely"/>
    <n v="8"/>
    <n v="5"/>
    <n v="28.8"/>
    <n v="117"/>
    <n v="71"/>
    <n v="8119"/>
    <x v="0"/>
  </r>
  <r>
    <x v="591"/>
    <n v="4.7"/>
    <x v="7"/>
    <s v="Average"/>
    <s v="No"/>
    <s v="Rarely"/>
    <n v="22"/>
    <n v="2"/>
    <n v="23.6"/>
    <n v="114"/>
    <n v="70"/>
    <n v="7961"/>
    <x v="0"/>
  </r>
  <r>
    <x v="592"/>
    <n v="6.6"/>
    <x v="32"/>
    <s v="Good"/>
    <s v="Yes"/>
    <s v="Never"/>
    <n v="13"/>
    <n v="10"/>
    <n v="26.7"/>
    <n v="115"/>
    <n v="97"/>
    <n v="7966"/>
    <x v="1"/>
  </r>
  <r>
    <x v="593"/>
    <n v="4.2"/>
    <x v="24"/>
    <s v="Good"/>
    <s v="Former"/>
    <s v="Weekly"/>
    <n v="5"/>
    <n v="3"/>
    <n v="20"/>
    <n v="109"/>
    <n v="90"/>
    <n v="8086"/>
    <x v="1"/>
  </r>
  <r>
    <x v="594"/>
    <n v="10.6"/>
    <x v="21"/>
    <s v="Good"/>
    <s v="No"/>
    <s v="Weekly"/>
    <n v="0"/>
    <n v="9"/>
    <n v="20.5"/>
    <n v="98"/>
    <n v="96"/>
    <n v="7927"/>
    <x v="0"/>
  </r>
  <r>
    <x v="595"/>
    <n v="4.7"/>
    <x v="55"/>
    <s v="Good"/>
    <s v="No"/>
    <s v="Several_times_a_week"/>
    <n v="0"/>
    <n v="5"/>
    <n v="35.200000000000003"/>
    <n v="138"/>
    <n v="96"/>
    <n v="7945"/>
    <x v="2"/>
  </r>
  <r>
    <x v="596"/>
    <n v="10.9"/>
    <x v="49"/>
    <s v="Excellent"/>
    <s v="No"/>
    <s v="Never"/>
    <n v="6"/>
    <n v="9"/>
    <n v="28.1"/>
    <n v="105"/>
    <n v="81"/>
    <n v="7993"/>
    <x v="1"/>
  </r>
  <r>
    <x v="597"/>
    <n v="6.9"/>
    <x v="16"/>
    <s v="Very_poor"/>
    <s v="Former"/>
    <s v="Weekly"/>
    <n v="15"/>
    <n v="8"/>
    <n v="19.8"/>
    <n v="111"/>
    <n v="74"/>
    <n v="8062"/>
    <x v="0"/>
  </r>
  <r>
    <x v="598"/>
    <n v="3.3"/>
    <x v="36"/>
    <s v="Very_poor"/>
    <s v="No"/>
    <s v="Rarely"/>
    <n v="21"/>
    <n v="5"/>
    <n v="27.7"/>
    <n v="96"/>
    <n v="94"/>
    <n v="7913"/>
    <x v="0"/>
  </r>
  <r>
    <x v="599"/>
    <n v="6.4"/>
    <x v="20"/>
    <s v="Excellent"/>
    <s v="Former"/>
    <s v="Rarely"/>
    <n v="38"/>
    <n v="4"/>
    <n v="30.5"/>
    <n v="103"/>
    <n v="61"/>
    <n v="7932"/>
    <x v="0"/>
  </r>
  <r>
    <x v="600"/>
    <n v="0.3"/>
    <x v="55"/>
    <s v="Very_poor"/>
    <s v="No"/>
    <s v="Weekly"/>
    <n v="26"/>
    <n v="6"/>
    <n v="25.2"/>
    <n v="127"/>
    <n v="72"/>
    <n v="7766"/>
    <x v="2"/>
  </r>
  <r>
    <x v="601"/>
    <n v="13.2"/>
    <x v="56"/>
    <s v="Poor"/>
    <s v="No"/>
    <s v="Rarely"/>
    <n v="19"/>
    <n v="1"/>
    <n v="21.1"/>
    <n v="155"/>
    <n v="96"/>
    <n v="7926"/>
    <x v="1"/>
  </r>
  <r>
    <x v="602"/>
    <n v="8.6999999999999993"/>
    <x v="9"/>
    <s v="Poor"/>
    <s v="No"/>
    <s v="Rarely"/>
    <n v="39"/>
    <n v="4"/>
    <n v="30.7"/>
    <n v="128"/>
    <n v="71"/>
    <n v="7954"/>
    <x v="0"/>
  </r>
  <r>
    <x v="603"/>
    <n v="15.8"/>
    <x v="16"/>
    <s v="Good"/>
    <s v="Yes"/>
    <s v="Daily"/>
    <n v="15"/>
    <n v="10"/>
    <n v="25.5"/>
    <n v="121"/>
    <n v="95"/>
    <n v="7976"/>
    <x v="0"/>
  </r>
  <r>
    <x v="604"/>
    <n v="7.7"/>
    <x v="30"/>
    <s v="Very_poor"/>
    <s v="No"/>
    <s v="Rarely"/>
    <n v="0"/>
    <n v="7"/>
    <n v="22.4"/>
    <n v="157"/>
    <n v="81"/>
    <n v="8102"/>
    <x v="1"/>
  </r>
  <r>
    <x v="605"/>
    <n v="4.2"/>
    <x v="9"/>
    <s v="Poor"/>
    <s v="No"/>
    <s v="Several_times_a_week"/>
    <n v="32"/>
    <n v="6"/>
    <n v="18.8"/>
    <n v="156"/>
    <n v="80"/>
    <n v="7890"/>
    <x v="0"/>
  </r>
  <r>
    <x v="606"/>
    <n v="12.5"/>
    <x v="9"/>
    <s v="Good"/>
    <s v="No"/>
    <s v="Never"/>
    <n v="7"/>
    <n v="4"/>
    <n v="20.9"/>
    <n v="126"/>
    <n v="87"/>
    <n v="7933"/>
    <x v="0"/>
  </r>
  <r>
    <x v="607"/>
    <n v="6.8"/>
    <x v="33"/>
    <s v="Average"/>
    <s v="Yes"/>
    <s v="Rarely"/>
    <n v="29"/>
    <n v="3"/>
    <n v="15.7"/>
    <n v="148"/>
    <n v="64"/>
    <n v="7993"/>
    <x v="0"/>
  </r>
  <r>
    <x v="608"/>
    <n v="14.6"/>
    <x v="12"/>
    <s v="Good"/>
    <s v="No"/>
    <s v="Never"/>
    <n v="22"/>
    <n v="10"/>
    <n v="17.899999999999999"/>
    <n v="116"/>
    <n v="96"/>
    <n v="8038"/>
    <x v="1"/>
  </r>
  <r>
    <x v="609"/>
    <n v="9.9"/>
    <x v="30"/>
    <s v="Very_poor"/>
    <s v="No"/>
    <s v="Never"/>
    <n v="7"/>
    <n v="1"/>
    <n v="27.7"/>
    <n v="158"/>
    <n v="68"/>
    <n v="7993"/>
    <x v="1"/>
  </r>
  <r>
    <x v="610"/>
    <n v="9.4"/>
    <x v="13"/>
    <s v="Average"/>
    <s v="No"/>
    <s v="Weekly"/>
    <n v="37"/>
    <n v="4"/>
    <n v="28.6"/>
    <n v="91"/>
    <n v="64"/>
    <n v="8059"/>
    <x v="0"/>
  </r>
  <r>
    <x v="611"/>
    <n v="2.8"/>
    <x v="17"/>
    <s v="Average"/>
    <s v="No"/>
    <s v="Rarely"/>
    <n v="16"/>
    <n v="4"/>
    <n v="21.9"/>
    <n v="112"/>
    <n v="76"/>
    <n v="8010"/>
    <x v="2"/>
  </r>
  <r>
    <x v="612"/>
    <n v="0.6"/>
    <x v="22"/>
    <s v="Good"/>
    <s v="Yes"/>
    <s v="Rarely"/>
    <n v="38"/>
    <n v="9"/>
    <n v="26.1"/>
    <n v="136"/>
    <n v="85"/>
    <n v="7910"/>
    <x v="0"/>
  </r>
  <r>
    <x v="613"/>
    <n v="5.6"/>
    <x v="25"/>
    <s v="Average"/>
    <s v="No"/>
    <s v="Rarely"/>
    <n v="11"/>
    <n v="3"/>
    <n v="28.6"/>
    <n v="144"/>
    <n v="90"/>
    <n v="7961"/>
    <x v="0"/>
  </r>
  <r>
    <x v="614"/>
    <n v="11.8"/>
    <x v="18"/>
    <s v="Very_poor"/>
    <s v="No"/>
    <s v="Never"/>
    <n v="21"/>
    <n v="7"/>
    <n v="16.899999999999999"/>
    <n v="91"/>
    <n v="81"/>
    <n v="7856"/>
    <x v="2"/>
  </r>
  <r>
    <x v="615"/>
    <n v="6.6"/>
    <x v="45"/>
    <s v="Good"/>
    <s v="No"/>
    <s v="Rarely"/>
    <n v="15"/>
    <n v="5"/>
    <n v="24.8"/>
    <n v="139"/>
    <n v="72"/>
    <n v="7810"/>
    <x v="1"/>
  </r>
  <r>
    <x v="616"/>
    <n v="8"/>
    <x v="36"/>
    <s v="Excellent"/>
    <s v="No"/>
    <s v="Several_times_a_week"/>
    <n v="29"/>
    <n v="4"/>
    <n v="23.6"/>
    <n v="143"/>
    <n v="68"/>
    <n v="8041"/>
    <x v="0"/>
  </r>
  <r>
    <x v="617"/>
    <n v="2.9"/>
    <x v="33"/>
    <s v="Good"/>
    <s v="No"/>
    <s v="Weekly"/>
    <n v="28"/>
    <n v="9"/>
    <n v="29.9"/>
    <n v="103"/>
    <n v="89"/>
    <n v="8126"/>
    <x v="0"/>
  </r>
  <r>
    <x v="618"/>
    <n v="2.5"/>
    <x v="30"/>
    <s v="Average"/>
    <s v="No"/>
    <s v="Rarely"/>
    <n v="40"/>
    <n v="2"/>
    <n v="28.4"/>
    <n v="128"/>
    <n v="66"/>
    <n v="7949"/>
    <x v="1"/>
  </r>
  <r>
    <x v="619"/>
    <n v="10.1"/>
    <x v="7"/>
    <s v="Average"/>
    <s v="No"/>
    <s v="Rarely"/>
    <n v="27"/>
    <n v="6"/>
    <n v="27.9"/>
    <n v="156"/>
    <n v="89"/>
    <n v="8071"/>
    <x v="0"/>
  </r>
  <r>
    <x v="620"/>
    <n v="4.5"/>
    <x v="38"/>
    <s v="Poor"/>
    <s v="No"/>
    <s v="Never"/>
    <n v="10"/>
    <n v="6"/>
    <n v="31.8"/>
    <n v="140"/>
    <n v="66"/>
    <n v="7938"/>
    <x v="2"/>
  </r>
  <r>
    <x v="621"/>
    <n v="3.6"/>
    <x v="35"/>
    <s v="Poor"/>
    <s v="No"/>
    <s v="Rarely"/>
    <n v="36"/>
    <n v="3"/>
    <n v="26.7"/>
    <n v="149"/>
    <n v="83"/>
    <n v="7887"/>
    <x v="2"/>
  </r>
  <r>
    <x v="622"/>
    <n v="2.8"/>
    <x v="1"/>
    <s v="Good"/>
    <s v="No"/>
    <s v="Weekly"/>
    <n v="14"/>
    <n v="10"/>
    <n v="25.6"/>
    <n v="152"/>
    <n v="66"/>
    <n v="7941"/>
    <x v="1"/>
  </r>
  <r>
    <x v="623"/>
    <n v="10.4"/>
    <x v="27"/>
    <s v="Good"/>
    <s v="No"/>
    <s v="Daily"/>
    <n v="16"/>
    <n v="1"/>
    <n v="28.8"/>
    <n v="154"/>
    <n v="62"/>
    <n v="8114"/>
    <x v="0"/>
  </r>
  <r>
    <x v="624"/>
    <n v="15.4"/>
    <x v="37"/>
    <s v="Excellent"/>
    <s v="No"/>
    <s v="Never"/>
    <n v="25"/>
    <n v="7"/>
    <n v="32"/>
    <n v="103"/>
    <n v="74"/>
    <n v="7978"/>
    <x v="1"/>
  </r>
  <r>
    <x v="625"/>
    <n v="7.8"/>
    <x v="7"/>
    <s v="Average"/>
    <s v="No"/>
    <s v="Never"/>
    <n v="28"/>
    <n v="8"/>
    <n v="20.7"/>
    <n v="100"/>
    <n v="74"/>
    <n v="7947"/>
    <x v="0"/>
  </r>
  <r>
    <x v="626"/>
    <n v="1.9"/>
    <x v="28"/>
    <s v="Poor"/>
    <s v="No"/>
    <s v="Rarely"/>
    <n v="5"/>
    <n v="9"/>
    <n v="24.4"/>
    <n v="130"/>
    <n v="88"/>
    <n v="8063"/>
    <x v="2"/>
  </r>
  <r>
    <x v="627"/>
    <n v="3.2"/>
    <x v="27"/>
    <s v="Good"/>
    <s v="No"/>
    <s v="Rarely"/>
    <n v="40"/>
    <n v="1"/>
    <n v="26.8"/>
    <n v="149"/>
    <n v="60"/>
    <n v="7906"/>
    <x v="0"/>
  </r>
  <r>
    <x v="628"/>
    <n v="5.0999999999999996"/>
    <x v="4"/>
    <s v="Average"/>
    <s v="Former"/>
    <s v="Rarely"/>
    <n v="12"/>
    <n v="4"/>
    <n v="25"/>
    <n v="122"/>
    <n v="89"/>
    <n v="8073"/>
    <x v="0"/>
  </r>
  <r>
    <x v="629"/>
    <n v="10.4"/>
    <x v="13"/>
    <s v="Very_poor"/>
    <s v="No"/>
    <s v="Never"/>
    <n v="26"/>
    <n v="10"/>
    <n v="20.100000000000001"/>
    <n v="102"/>
    <n v="63"/>
    <n v="7985"/>
    <x v="0"/>
  </r>
  <r>
    <x v="630"/>
    <n v="2"/>
    <x v="0"/>
    <s v="Very_poor"/>
    <s v="Yes"/>
    <s v="Weekly"/>
    <n v="24"/>
    <n v="2"/>
    <n v="27.2"/>
    <n v="151"/>
    <n v="81"/>
    <n v="8030"/>
    <x v="0"/>
  </r>
  <r>
    <x v="631"/>
    <n v="9.1"/>
    <x v="20"/>
    <s v="Average"/>
    <s v="Yes"/>
    <s v="Rarely"/>
    <n v="37"/>
    <n v="4"/>
    <n v="23.7"/>
    <n v="100"/>
    <n v="94"/>
    <n v="8071"/>
    <x v="0"/>
  </r>
  <r>
    <x v="632"/>
    <n v="6.6"/>
    <x v="36"/>
    <s v="Good"/>
    <s v="No"/>
    <s v="Rarely"/>
    <n v="35"/>
    <n v="9"/>
    <n v="28.7"/>
    <n v="134"/>
    <n v="98"/>
    <n v="8107"/>
    <x v="0"/>
  </r>
  <r>
    <x v="633"/>
    <n v="12.3"/>
    <x v="8"/>
    <s v="Average"/>
    <s v="No"/>
    <s v="Daily"/>
    <n v="18"/>
    <n v="3"/>
    <n v="24.5"/>
    <n v="128"/>
    <n v="68"/>
    <n v="8002"/>
    <x v="0"/>
  </r>
  <r>
    <x v="634"/>
    <n v="6.4"/>
    <x v="13"/>
    <s v="Good"/>
    <s v="Former"/>
    <s v="Rarely"/>
    <n v="2"/>
    <n v="6"/>
    <n v="27.7"/>
    <n v="148"/>
    <n v="89"/>
    <n v="8221"/>
    <x v="0"/>
  </r>
  <r>
    <x v="635"/>
    <n v="13.9"/>
    <x v="3"/>
    <s v="Very_poor"/>
    <s v="No"/>
    <s v="Rarely"/>
    <n v="23"/>
    <n v="6"/>
    <n v="27.3"/>
    <n v="129"/>
    <n v="92"/>
    <n v="8011"/>
    <x v="0"/>
  </r>
  <r>
    <x v="636"/>
    <n v="5.4"/>
    <x v="8"/>
    <s v="Good"/>
    <s v="No"/>
    <s v="Never"/>
    <n v="34"/>
    <n v="3"/>
    <n v="25.7"/>
    <n v="98"/>
    <n v="99"/>
    <n v="8054"/>
    <x v="0"/>
  </r>
  <r>
    <x v="637"/>
    <n v="9.1"/>
    <x v="25"/>
    <s v="Good"/>
    <s v="No"/>
    <s v="Rarely"/>
    <n v="11"/>
    <n v="3"/>
    <n v="27.6"/>
    <n v="101"/>
    <n v="90"/>
    <n v="8146"/>
    <x v="0"/>
  </r>
  <r>
    <x v="638"/>
    <n v="8.8000000000000007"/>
    <x v="20"/>
    <s v="Good"/>
    <s v="No"/>
    <s v="Rarely"/>
    <n v="28"/>
    <n v="2"/>
    <n v="23"/>
    <n v="130"/>
    <n v="85"/>
    <n v="7973"/>
    <x v="0"/>
  </r>
  <r>
    <x v="639"/>
    <n v="4.8"/>
    <x v="4"/>
    <s v="Average"/>
    <s v="No"/>
    <s v="Weekly"/>
    <n v="35"/>
    <n v="8"/>
    <n v="16.100000000000001"/>
    <n v="150"/>
    <n v="73"/>
    <n v="7862"/>
    <x v="0"/>
  </r>
  <r>
    <x v="640"/>
    <n v="12.3"/>
    <x v="57"/>
    <s v="Average"/>
    <s v="No"/>
    <s v="Never"/>
    <n v="2"/>
    <n v="5"/>
    <n v="28.7"/>
    <n v="145"/>
    <n v="73"/>
    <n v="8126"/>
    <x v="2"/>
  </r>
  <r>
    <x v="641"/>
    <n v="1.6"/>
    <x v="16"/>
    <s v="Average"/>
    <s v="No"/>
    <s v="Rarely"/>
    <n v="9"/>
    <n v="1"/>
    <n v="27.1"/>
    <n v="97"/>
    <n v="93"/>
    <n v="8011"/>
    <x v="0"/>
  </r>
  <r>
    <x v="642"/>
    <n v="4.2"/>
    <x v="15"/>
    <s v="Very_poor"/>
    <s v="No"/>
    <s v="Weekly"/>
    <n v="33"/>
    <n v="4"/>
    <n v="25.6"/>
    <n v="144"/>
    <n v="99"/>
    <n v="8169"/>
    <x v="0"/>
  </r>
  <r>
    <x v="643"/>
    <n v="9"/>
    <x v="14"/>
    <s v="Very_poor"/>
    <s v="Yes"/>
    <s v="Rarely"/>
    <n v="16"/>
    <n v="4"/>
    <n v="21.1"/>
    <n v="109"/>
    <n v="62"/>
    <n v="7978"/>
    <x v="0"/>
  </r>
  <r>
    <x v="644"/>
    <n v="1.8"/>
    <x v="11"/>
    <s v="Good"/>
    <s v="No"/>
    <s v="Never"/>
    <n v="1"/>
    <n v="9"/>
    <n v="21"/>
    <n v="150"/>
    <n v="86"/>
    <n v="7870"/>
    <x v="0"/>
  </r>
  <r>
    <x v="645"/>
    <n v="4.5999999999999996"/>
    <x v="9"/>
    <s v="Poor"/>
    <s v="No"/>
    <s v="Rarely"/>
    <n v="36"/>
    <n v="5"/>
    <n v="30"/>
    <n v="99"/>
    <n v="61"/>
    <n v="7877"/>
    <x v="0"/>
  </r>
  <r>
    <x v="646"/>
    <n v="2.7"/>
    <x v="51"/>
    <s v="Average"/>
    <s v="No"/>
    <s v="Never"/>
    <n v="39"/>
    <n v="9"/>
    <n v="30.6"/>
    <n v="104"/>
    <n v="67"/>
    <n v="8001"/>
    <x v="2"/>
  </r>
  <r>
    <x v="647"/>
    <n v="4.4000000000000004"/>
    <x v="5"/>
    <s v="Average"/>
    <s v="Yes"/>
    <s v="Never"/>
    <n v="31"/>
    <n v="8"/>
    <n v="25.7"/>
    <n v="104"/>
    <n v="93"/>
    <n v="7915"/>
    <x v="2"/>
  </r>
  <r>
    <x v="648"/>
    <n v="7.5"/>
    <x v="13"/>
    <s v="Good"/>
    <s v="No"/>
    <s v="Never"/>
    <n v="10"/>
    <n v="8"/>
    <n v="26.9"/>
    <n v="133"/>
    <n v="88"/>
    <n v="8048"/>
    <x v="0"/>
  </r>
  <r>
    <x v="649"/>
    <n v="9.1"/>
    <x v="19"/>
    <s v="Poor"/>
    <s v="No"/>
    <s v="Rarely"/>
    <n v="29"/>
    <n v="7"/>
    <n v="31.6"/>
    <n v="95"/>
    <n v="64"/>
    <n v="7969"/>
    <x v="0"/>
  </r>
  <r>
    <x v="650"/>
    <n v="3.1"/>
    <x v="21"/>
    <s v="Average"/>
    <s v="Former"/>
    <s v="Never"/>
    <n v="20"/>
    <n v="2"/>
    <n v="26.1"/>
    <n v="149"/>
    <n v="89"/>
    <n v="8034"/>
    <x v="0"/>
  </r>
  <r>
    <x v="651"/>
    <n v="4.0999999999999996"/>
    <x v="29"/>
    <s v="Average"/>
    <s v="No"/>
    <s v="Daily"/>
    <n v="12"/>
    <n v="7"/>
    <n v="20.6"/>
    <n v="131"/>
    <n v="85"/>
    <n v="8074"/>
    <x v="0"/>
  </r>
  <r>
    <x v="652"/>
    <n v="5.2"/>
    <x v="21"/>
    <s v="Good"/>
    <s v="No"/>
    <s v="Never"/>
    <n v="17"/>
    <n v="5"/>
    <n v="29.2"/>
    <n v="127"/>
    <n v="70"/>
    <n v="8025"/>
    <x v="0"/>
  </r>
  <r>
    <x v="653"/>
    <n v="5.7"/>
    <x v="31"/>
    <s v="Poor"/>
    <s v="Yes"/>
    <s v="Never"/>
    <n v="29"/>
    <n v="5"/>
    <n v="30.3"/>
    <n v="134"/>
    <n v="98"/>
    <n v="8004"/>
    <x v="2"/>
  </r>
  <r>
    <x v="654"/>
    <n v="1.6"/>
    <x v="36"/>
    <s v="Very_poor"/>
    <s v="No"/>
    <s v="Daily"/>
    <n v="36"/>
    <n v="5"/>
    <n v="27.6"/>
    <n v="99"/>
    <n v="87"/>
    <n v="7869"/>
    <x v="0"/>
  </r>
  <r>
    <x v="655"/>
    <n v="1.7"/>
    <x v="42"/>
    <s v="Average"/>
    <s v="No"/>
    <s v="Rarely"/>
    <n v="35"/>
    <n v="1"/>
    <n v="19.2"/>
    <n v="112"/>
    <n v="73"/>
    <n v="8118"/>
    <x v="1"/>
  </r>
  <r>
    <x v="656"/>
    <n v="8.3000000000000007"/>
    <x v="32"/>
    <s v="Good"/>
    <s v="No"/>
    <s v="Rarely"/>
    <n v="22"/>
    <n v="3"/>
    <n v="21.2"/>
    <n v="95"/>
    <n v="62"/>
    <n v="8112"/>
    <x v="1"/>
  </r>
  <r>
    <x v="657"/>
    <n v="5.0999999999999996"/>
    <x v="7"/>
    <s v="Poor"/>
    <s v="No"/>
    <s v="Several_times_a_week"/>
    <n v="38"/>
    <n v="10"/>
    <n v="35.6"/>
    <n v="110"/>
    <n v="78"/>
    <n v="7978"/>
    <x v="0"/>
  </r>
  <r>
    <x v="658"/>
    <n v="9.1999999999999993"/>
    <x v="31"/>
    <s v="Good"/>
    <s v="No"/>
    <s v="Rarely"/>
    <n v="12"/>
    <n v="1"/>
    <n v="29.1"/>
    <n v="100"/>
    <n v="97"/>
    <n v="7837"/>
    <x v="2"/>
  </r>
  <r>
    <x v="659"/>
    <n v="10.5"/>
    <x v="10"/>
    <s v="Average"/>
    <s v="No"/>
    <s v="Never"/>
    <n v="36"/>
    <n v="7"/>
    <n v="20.9"/>
    <n v="100"/>
    <n v="60"/>
    <n v="8045"/>
    <x v="2"/>
  </r>
  <r>
    <x v="660"/>
    <n v="2.7"/>
    <x v="3"/>
    <s v="Excellent"/>
    <s v="No"/>
    <s v="Rarely"/>
    <n v="7"/>
    <n v="3"/>
    <n v="29.1"/>
    <n v="116"/>
    <n v="63"/>
    <n v="8052"/>
    <x v="0"/>
  </r>
  <r>
    <x v="661"/>
    <n v="2.5"/>
    <x v="45"/>
    <s v="Poor"/>
    <s v="No"/>
    <s v="Several_times_a_week"/>
    <n v="40"/>
    <n v="4"/>
    <n v="24.9"/>
    <n v="105"/>
    <n v="68"/>
    <n v="8057"/>
    <x v="1"/>
  </r>
  <r>
    <x v="662"/>
    <n v="13.6"/>
    <x v="4"/>
    <s v="Very_poor"/>
    <s v="No"/>
    <s v="Never"/>
    <n v="37"/>
    <n v="2"/>
    <n v="30.4"/>
    <n v="157"/>
    <n v="66"/>
    <n v="8029"/>
    <x v="0"/>
  </r>
  <r>
    <x v="663"/>
    <n v="9"/>
    <x v="22"/>
    <s v="Very_poor"/>
    <s v="No"/>
    <s v="Rarely"/>
    <n v="1"/>
    <n v="4"/>
    <n v="18"/>
    <n v="137"/>
    <n v="97"/>
    <n v="8120"/>
    <x v="0"/>
  </r>
  <r>
    <x v="664"/>
    <n v="5"/>
    <x v="36"/>
    <s v="Average"/>
    <s v="No"/>
    <s v="Rarely"/>
    <n v="25"/>
    <n v="6"/>
    <n v="25.1"/>
    <n v="128"/>
    <n v="68"/>
    <n v="8323"/>
    <x v="0"/>
  </r>
  <r>
    <x v="665"/>
    <n v="7"/>
    <x v="29"/>
    <s v="Excellent"/>
    <s v="No"/>
    <s v="Rarely"/>
    <n v="3"/>
    <n v="2"/>
    <n v="30.2"/>
    <n v="140"/>
    <n v="63"/>
    <n v="8037"/>
    <x v="0"/>
  </r>
  <r>
    <x v="666"/>
    <n v="6.5"/>
    <x v="19"/>
    <s v="Good"/>
    <s v="No"/>
    <s v="Never"/>
    <n v="13"/>
    <n v="3"/>
    <n v="35.799999999999997"/>
    <n v="126"/>
    <n v="68"/>
    <n v="7881"/>
    <x v="0"/>
  </r>
  <r>
    <x v="667"/>
    <n v="1.9"/>
    <x v="1"/>
    <s v="Average"/>
    <s v="No"/>
    <s v="Weekly"/>
    <n v="2"/>
    <n v="6"/>
    <n v="29.7"/>
    <n v="128"/>
    <n v="67"/>
    <n v="7908"/>
    <x v="1"/>
  </r>
  <r>
    <x v="668"/>
    <n v="12.7"/>
    <x v="8"/>
    <s v="Average"/>
    <s v="No"/>
    <s v="Never"/>
    <n v="21"/>
    <n v="3"/>
    <n v="28.2"/>
    <n v="145"/>
    <n v="79"/>
    <n v="7961"/>
    <x v="0"/>
  </r>
  <r>
    <x v="669"/>
    <n v="8.3000000000000007"/>
    <x v="29"/>
    <s v="Good"/>
    <s v="No"/>
    <s v="Rarely"/>
    <n v="33"/>
    <n v="6"/>
    <n v="25.3"/>
    <n v="133"/>
    <n v="88"/>
    <n v="8114"/>
    <x v="0"/>
  </r>
  <r>
    <x v="670"/>
    <n v="4.0999999999999996"/>
    <x v="0"/>
    <s v="Average"/>
    <s v="No"/>
    <s v="Weekly"/>
    <n v="11"/>
    <n v="4"/>
    <n v="24.7"/>
    <n v="90"/>
    <n v="97"/>
    <n v="7895"/>
    <x v="0"/>
  </r>
  <r>
    <x v="671"/>
    <n v="9.6"/>
    <x v="19"/>
    <s v="Excellent"/>
    <s v="No"/>
    <s v="Daily"/>
    <n v="2"/>
    <n v="1"/>
    <n v="31.1"/>
    <n v="103"/>
    <n v="63"/>
    <n v="8028"/>
    <x v="0"/>
  </r>
  <r>
    <x v="672"/>
    <n v="2.1"/>
    <x v="20"/>
    <s v="Poor"/>
    <s v="No"/>
    <s v="Daily"/>
    <n v="8"/>
    <n v="1"/>
    <n v="23.2"/>
    <n v="153"/>
    <n v="70"/>
    <n v="7868"/>
    <x v="0"/>
  </r>
  <r>
    <x v="673"/>
    <n v="6.2"/>
    <x v="52"/>
    <s v="Average"/>
    <s v="No"/>
    <s v="Never"/>
    <n v="8"/>
    <n v="7"/>
    <n v="18.5"/>
    <n v="159"/>
    <n v="82"/>
    <n v="7742"/>
    <x v="2"/>
  </r>
  <r>
    <x v="674"/>
    <n v="2.2000000000000002"/>
    <x v="4"/>
    <s v="Excellent"/>
    <s v="No"/>
    <s v="Several_times_a_week"/>
    <n v="13"/>
    <n v="2"/>
    <n v="26.5"/>
    <n v="137"/>
    <n v="69"/>
    <n v="8137"/>
    <x v="0"/>
  </r>
  <r>
    <x v="675"/>
    <n v="3.2"/>
    <x v="44"/>
    <s v="Excellent"/>
    <s v="No"/>
    <s v="Never"/>
    <n v="2"/>
    <n v="1"/>
    <n v="27.2"/>
    <n v="128"/>
    <n v="84"/>
    <n v="7911"/>
    <x v="2"/>
  </r>
  <r>
    <x v="676"/>
    <n v="6.8"/>
    <x v="36"/>
    <s v="Poor"/>
    <s v="No"/>
    <s v="Never"/>
    <n v="35"/>
    <n v="9"/>
    <n v="25.1"/>
    <n v="94"/>
    <n v="69"/>
    <n v="7908"/>
    <x v="0"/>
  </r>
  <r>
    <x v="677"/>
    <n v="16.3"/>
    <x v="30"/>
    <s v="Average"/>
    <s v="Yes"/>
    <s v="Never"/>
    <n v="21"/>
    <n v="2"/>
    <n v="27.1"/>
    <n v="151"/>
    <n v="74"/>
    <n v="8059"/>
    <x v="1"/>
  </r>
  <r>
    <x v="678"/>
    <n v="8.8000000000000007"/>
    <x v="20"/>
    <s v="Good"/>
    <s v="No"/>
    <s v="Several_times_a_week"/>
    <n v="5"/>
    <n v="7"/>
    <n v="29.9"/>
    <n v="106"/>
    <n v="81"/>
    <n v="8018"/>
    <x v="0"/>
  </r>
  <r>
    <x v="679"/>
    <n v="5.9"/>
    <x v="29"/>
    <s v="Very_poor"/>
    <s v="No"/>
    <s v="Rarely"/>
    <n v="21"/>
    <n v="4"/>
    <n v="19.5"/>
    <n v="113"/>
    <n v="75"/>
    <n v="8080"/>
    <x v="0"/>
  </r>
  <r>
    <x v="680"/>
    <n v="6.5"/>
    <x v="0"/>
    <s v="Average"/>
    <s v="No"/>
    <s v="Rarely"/>
    <n v="34"/>
    <n v="4"/>
    <n v="26.9"/>
    <n v="155"/>
    <n v="80"/>
    <n v="7937"/>
    <x v="0"/>
  </r>
  <r>
    <x v="681"/>
    <n v="9.3000000000000007"/>
    <x v="7"/>
    <s v="Poor"/>
    <s v="No"/>
    <s v="Daily"/>
    <n v="36"/>
    <n v="4"/>
    <n v="27.7"/>
    <n v="112"/>
    <n v="76"/>
    <n v="7910"/>
    <x v="0"/>
  </r>
  <r>
    <x v="682"/>
    <n v="12"/>
    <x v="6"/>
    <s v="Excellent"/>
    <s v="No"/>
    <s v="Rarely"/>
    <n v="26"/>
    <n v="2"/>
    <n v="32.4"/>
    <n v="155"/>
    <n v="87"/>
    <n v="8068"/>
    <x v="1"/>
  </r>
  <r>
    <x v="683"/>
    <n v="13.7"/>
    <x v="14"/>
    <s v="Poor"/>
    <s v="No"/>
    <s v="Rarely"/>
    <n v="32"/>
    <n v="9"/>
    <n v="26.6"/>
    <n v="104"/>
    <n v="94"/>
    <n v="7919"/>
    <x v="0"/>
  </r>
  <r>
    <x v="684"/>
    <n v="7.9"/>
    <x v="4"/>
    <s v="Poor"/>
    <s v="No"/>
    <s v="Weekly"/>
    <n v="34"/>
    <n v="10"/>
    <n v="22.3"/>
    <n v="158"/>
    <n v="94"/>
    <n v="8105"/>
    <x v="0"/>
  </r>
  <r>
    <x v="685"/>
    <n v="11.4"/>
    <x v="21"/>
    <s v="Very_poor"/>
    <s v="Yes"/>
    <s v="Weekly"/>
    <n v="8"/>
    <n v="6"/>
    <n v="17.600000000000001"/>
    <n v="90"/>
    <n v="72"/>
    <n v="8093"/>
    <x v="0"/>
  </r>
  <r>
    <x v="686"/>
    <n v="12.7"/>
    <x v="39"/>
    <s v="Average"/>
    <s v="No"/>
    <s v="Never"/>
    <n v="37"/>
    <n v="4"/>
    <n v="26.1"/>
    <n v="151"/>
    <n v="71"/>
    <n v="8151"/>
    <x v="1"/>
  </r>
  <r>
    <x v="687"/>
    <n v="6"/>
    <x v="35"/>
    <s v="Good"/>
    <s v="No"/>
    <s v="Never"/>
    <n v="5"/>
    <n v="2"/>
    <n v="29.3"/>
    <n v="114"/>
    <n v="83"/>
    <n v="8050"/>
    <x v="2"/>
  </r>
  <r>
    <x v="688"/>
    <n v="12"/>
    <x v="0"/>
    <s v="Average"/>
    <s v="No"/>
    <s v="Never"/>
    <n v="23"/>
    <n v="9"/>
    <n v="27.2"/>
    <n v="141"/>
    <n v="97"/>
    <n v="7993"/>
    <x v="0"/>
  </r>
  <r>
    <x v="689"/>
    <n v="6"/>
    <x v="6"/>
    <s v="Average"/>
    <s v="No"/>
    <s v="Rarely"/>
    <n v="30"/>
    <n v="9"/>
    <n v="24"/>
    <n v="99"/>
    <n v="80"/>
    <n v="7977"/>
    <x v="1"/>
  </r>
  <r>
    <x v="690"/>
    <n v="2"/>
    <x v="19"/>
    <s v="Average"/>
    <s v="No"/>
    <s v="Rarely"/>
    <n v="29"/>
    <n v="2"/>
    <n v="25"/>
    <n v="155"/>
    <n v="81"/>
    <n v="7833"/>
    <x v="0"/>
  </r>
  <r>
    <x v="691"/>
    <n v="3.1"/>
    <x v="3"/>
    <s v="Average"/>
    <s v="No"/>
    <s v="Never"/>
    <n v="38"/>
    <n v="9"/>
    <n v="22.5"/>
    <n v="150"/>
    <n v="76"/>
    <n v="7985"/>
    <x v="0"/>
  </r>
  <r>
    <x v="692"/>
    <n v="7.8"/>
    <x v="29"/>
    <s v="Poor"/>
    <s v="Yes"/>
    <s v="Never"/>
    <n v="14"/>
    <n v="3"/>
    <n v="18.2"/>
    <n v="97"/>
    <n v="69"/>
    <n v="8153"/>
    <x v="0"/>
  </r>
  <r>
    <x v="693"/>
    <n v="8.9"/>
    <x v="14"/>
    <s v="Good"/>
    <s v="No"/>
    <s v="Weekly"/>
    <n v="31"/>
    <n v="5"/>
    <n v="27.7"/>
    <n v="124"/>
    <n v="83"/>
    <n v="7913"/>
    <x v="0"/>
  </r>
  <r>
    <x v="694"/>
    <n v="4.9000000000000004"/>
    <x v="15"/>
    <s v="Poor"/>
    <s v="No"/>
    <s v="Rarely"/>
    <n v="17"/>
    <n v="9"/>
    <n v="24.7"/>
    <n v="141"/>
    <n v="65"/>
    <n v="7875"/>
    <x v="0"/>
  </r>
  <r>
    <x v="695"/>
    <n v="10.5"/>
    <x v="36"/>
    <s v="Very_poor"/>
    <s v="No"/>
    <s v="Rarely"/>
    <n v="17"/>
    <n v="3"/>
    <n v="28.3"/>
    <n v="95"/>
    <n v="93"/>
    <n v="8113"/>
    <x v="0"/>
  </r>
  <r>
    <x v="696"/>
    <n v="3"/>
    <x v="20"/>
    <s v="Excellent"/>
    <s v="No"/>
    <s v="Never"/>
    <n v="33"/>
    <n v="7"/>
    <n v="26.5"/>
    <n v="107"/>
    <n v="63"/>
    <n v="7961"/>
    <x v="0"/>
  </r>
  <r>
    <x v="697"/>
    <n v="4.0999999999999996"/>
    <x v="23"/>
    <s v="Very_poor"/>
    <s v="No"/>
    <s v="Weekly"/>
    <n v="5"/>
    <n v="9"/>
    <n v="21.4"/>
    <n v="104"/>
    <n v="74"/>
    <n v="7847"/>
    <x v="2"/>
  </r>
  <r>
    <x v="698"/>
    <n v="4.5"/>
    <x v="37"/>
    <s v="Good"/>
    <s v="No"/>
    <s v="Never"/>
    <n v="6"/>
    <n v="5"/>
    <n v="25"/>
    <n v="155"/>
    <n v="67"/>
    <n v="8040"/>
    <x v="1"/>
  </r>
  <r>
    <x v="699"/>
    <n v="3.9"/>
    <x v="16"/>
    <s v="Poor"/>
    <s v="Former"/>
    <s v="Rarely"/>
    <n v="7"/>
    <n v="9"/>
    <n v="28.9"/>
    <n v="147"/>
    <n v="96"/>
    <n v="7998"/>
    <x v="0"/>
  </r>
  <r>
    <x v="700"/>
    <n v="3.8"/>
    <x v="36"/>
    <s v="Very_poor"/>
    <s v="No"/>
    <s v="Rarely"/>
    <n v="28"/>
    <n v="10"/>
    <n v="29.9"/>
    <n v="143"/>
    <n v="88"/>
    <n v="8133"/>
    <x v="0"/>
  </r>
  <r>
    <x v="701"/>
    <n v="7.9"/>
    <x v="15"/>
    <s v="Very_poor"/>
    <s v="No"/>
    <s v="Weekly"/>
    <n v="12"/>
    <n v="1"/>
    <n v="31.8"/>
    <n v="103"/>
    <n v="95"/>
    <n v="7931"/>
    <x v="0"/>
  </r>
  <r>
    <x v="702"/>
    <n v="2.6"/>
    <x v="4"/>
    <s v="Average"/>
    <s v="No"/>
    <s v="Several_times_a_week"/>
    <n v="36"/>
    <n v="4"/>
    <n v="25.9"/>
    <n v="128"/>
    <n v="78"/>
    <n v="8246"/>
    <x v="0"/>
  </r>
  <r>
    <x v="703"/>
    <n v="4.2"/>
    <x v="30"/>
    <s v="Poor"/>
    <s v="No"/>
    <s v="Rarely"/>
    <n v="40"/>
    <n v="10"/>
    <n v="26.5"/>
    <n v="91"/>
    <n v="69"/>
    <n v="8046"/>
    <x v="1"/>
  </r>
  <r>
    <x v="704"/>
    <n v="8.1"/>
    <x v="14"/>
    <s v="Good"/>
    <s v="No"/>
    <s v="Never"/>
    <n v="32"/>
    <n v="10"/>
    <n v="22.7"/>
    <n v="95"/>
    <n v="74"/>
    <n v="8011"/>
    <x v="0"/>
  </r>
  <r>
    <x v="705"/>
    <n v="6"/>
    <x v="45"/>
    <s v="Good"/>
    <s v="No"/>
    <s v="Several_times_a_week"/>
    <n v="25"/>
    <n v="9"/>
    <n v="23.6"/>
    <n v="94"/>
    <n v="62"/>
    <n v="7988"/>
    <x v="1"/>
  </r>
  <r>
    <x v="706"/>
    <n v="4.0999999999999996"/>
    <x v="6"/>
    <s v="Good"/>
    <s v="No"/>
    <s v="Weekly"/>
    <n v="22"/>
    <n v="9"/>
    <n v="24"/>
    <n v="102"/>
    <n v="99"/>
    <n v="8000"/>
    <x v="1"/>
  </r>
  <r>
    <x v="707"/>
    <n v="1.2"/>
    <x v="22"/>
    <s v="Good"/>
    <s v="No"/>
    <s v="Weekly"/>
    <n v="32"/>
    <n v="7"/>
    <n v="21.9"/>
    <n v="96"/>
    <n v="67"/>
    <n v="8039"/>
    <x v="0"/>
  </r>
  <r>
    <x v="708"/>
    <n v="3.6"/>
    <x v="19"/>
    <s v="Average"/>
    <s v="No"/>
    <s v="Rarely"/>
    <n v="1"/>
    <n v="6"/>
    <n v="25.5"/>
    <n v="133"/>
    <n v="71"/>
    <n v="8085"/>
    <x v="0"/>
  </r>
  <r>
    <x v="709"/>
    <n v="3.8"/>
    <x v="27"/>
    <s v="Average"/>
    <s v="Former"/>
    <s v="Weekly"/>
    <n v="21"/>
    <n v="7"/>
    <n v="24.6"/>
    <n v="154"/>
    <n v="62"/>
    <n v="7935"/>
    <x v="0"/>
  </r>
  <r>
    <x v="710"/>
    <n v="14.5"/>
    <x v="0"/>
    <s v="Excellent"/>
    <s v="No"/>
    <s v="Never"/>
    <n v="35"/>
    <n v="2"/>
    <n v="24"/>
    <n v="110"/>
    <n v="74"/>
    <n v="8006"/>
    <x v="0"/>
  </r>
  <r>
    <x v="711"/>
    <n v="12.8"/>
    <x v="9"/>
    <s v="Average"/>
    <s v="No"/>
    <s v="Never"/>
    <n v="13"/>
    <n v="10"/>
    <n v="26.7"/>
    <n v="93"/>
    <n v="80"/>
    <n v="7868"/>
    <x v="0"/>
  </r>
  <r>
    <x v="712"/>
    <n v="4.9000000000000004"/>
    <x v="20"/>
    <s v="Excellent"/>
    <s v="No"/>
    <s v="Several_times_a_week"/>
    <n v="40"/>
    <n v="4"/>
    <n v="24.1"/>
    <n v="125"/>
    <n v="80"/>
    <n v="7932"/>
    <x v="0"/>
  </r>
  <r>
    <x v="713"/>
    <n v="16.3"/>
    <x v="25"/>
    <s v="Average"/>
    <s v="No"/>
    <s v="Several_times_a_week"/>
    <n v="3"/>
    <n v="8"/>
    <n v="25.2"/>
    <n v="125"/>
    <n v="97"/>
    <n v="7896"/>
    <x v="0"/>
  </r>
  <r>
    <x v="714"/>
    <n v="3.2"/>
    <x v="19"/>
    <s v="Average"/>
    <s v="No"/>
    <s v="Rarely"/>
    <n v="17"/>
    <n v="7"/>
    <n v="23.2"/>
    <n v="117"/>
    <n v="84"/>
    <n v="8040"/>
    <x v="0"/>
  </r>
  <r>
    <x v="715"/>
    <n v="9.1"/>
    <x v="5"/>
    <s v="Average"/>
    <s v="Yes"/>
    <s v="Never"/>
    <n v="1"/>
    <n v="3"/>
    <n v="23"/>
    <n v="158"/>
    <n v="69"/>
    <n v="7881"/>
    <x v="2"/>
  </r>
  <r>
    <x v="716"/>
    <n v="3.8"/>
    <x v="36"/>
    <s v="Excellent"/>
    <s v="No"/>
    <s v="Never"/>
    <n v="8"/>
    <n v="3"/>
    <n v="21.2"/>
    <n v="130"/>
    <n v="92"/>
    <n v="8128"/>
    <x v="0"/>
  </r>
  <r>
    <x v="717"/>
    <n v="6.3"/>
    <x v="7"/>
    <s v="Average"/>
    <s v="Yes"/>
    <s v="Rarely"/>
    <n v="5"/>
    <n v="2"/>
    <n v="27.5"/>
    <n v="143"/>
    <n v="81"/>
    <n v="7947"/>
    <x v="0"/>
  </r>
  <r>
    <x v="718"/>
    <n v="5.4"/>
    <x v="21"/>
    <s v="Good"/>
    <s v="No"/>
    <s v="Weekly"/>
    <n v="15"/>
    <n v="4"/>
    <n v="22.3"/>
    <n v="154"/>
    <n v="98"/>
    <n v="7918"/>
    <x v="0"/>
  </r>
  <r>
    <x v="719"/>
    <n v="4.9000000000000004"/>
    <x v="29"/>
    <s v="Average"/>
    <s v="Yes"/>
    <s v="Weekly"/>
    <n v="18"/>
    <n v="8"/>
    <n v="35"/>
    <n v="117"/>
    <n v="80"/>
    <n v="8091"/>
    <x v="0"/>
  </r>
  <r>
    <x v="720"/>
    <n v="6.4"/>
    <x v="7"/>
    <s v="Average"/>
    <s v="No"/>
    <s v="Rarely"/>
    <n v="5"/>
    <n v="7"/>
    <n v="18.5"/>
    <n v="92"/>
    <n v="67"/>
    <n v="7852"/>
    <x v="0"/>
  </r>
  <r>
    <x v="721"/>
    <n v="12.9"/>
    <x v="22"/>
    <s v="Very_poor"/>
    <s v="No"/>
    <s v="Rarely"/>
    <n v="17"/>
    <n v="6"/>
    <n v="25.2"/>
    <n v="98"/>
    <n v="67"/>
    <n v="8058"/>
    <x v="0"/>
  </r>
  <r>
    <x v="722"/>
    <n v="1.7"/>
    <x v="38"/>
    <s v="Poor"/>
    <s v="No"/>
    <s v="Never"/>
    <n v="23"/>
    <n v="6"/>
    <n v="30.1"/>
    <n v="131"/>
    <n v="97"/>
    <n v="8024"/>
    <x v="2"/>
  </r>
  <r>
    <x v="723"/>
    <n v="10.3"/>
    <x v="27"/>
    <s v="Very_poor"/>
    <s v="No"/>
    <s v="Several_times_a_week"/>
    <n v="2"/>
    <n v="2"/>
    <n v="26.1"/>
    <n v="159"/>
    <n v="68"/>
    <n v="7925"/>
    <x v="0"/>
  </r>
  <r>
    <x v="724"/>
    <n v="9.3000000000000007"/>
    <x v="4"/>
    <s v="Average"/>
    <s v="No"/>
    <s v="Rarely"/>
    <n v="22"/>
    <n v="7"/>
    <n v="28.4"/>
    <n v="140"/>
    <n v="86"/>
    <n v="7980"/>
    <x v="0"/>
  </r>
  <r>
    <x v="725"/>
    <n v="5.4"/>
    <x v="23"/>
    <s v="Good"/>
    <s v="Former"/>
    <s v="Rarely"/>
    <n v="1"/>
    <n v="5"/>
    <n v="26.6"/>
    <n v="125"/>
    <n v="92"/>
    <n v="7918"/>
    <x v="2"/>
  </r>
  <r>
    <x v="726"/>
    <n v="11.4"/>
    <x v="21"/>
    <s v="Average"/>
    <s v="No"/>
    <s v="Weekly"/>
    <n v="38"/>
    <n v="8"/>
    <n v="22.5"/>
    <n v="135"/>
    <n v="61"/>
    <n v="7955"/>
    <x v="0"/>
  </r>
  <r>
    <x v="727"/>
    <n v="12.3"/>
    <x v="20"/>
    <s v="Average"/>
    <s v="No"/>
    <s v="Rarely"/>
    <n v="14"/>
    <n v="10"/>
    <n v="29.6"/>
    <n v="135"/>
    <n v="92"/>
    <n v="8046"/>
    <x v="0"/>
  </r>
  <r>
    <x v="728"/>
    <n v="7.6"/>
    <x v="20"/>
    <s v="Average"/>
    <s v="No"/>
    <s v="Never"/>
    <n v="1"/>
    <n v="10"/>
    <n v="26.1"/>
    <n v="143"/>
    <n v="94"/>
    <n v="7956"/>
    <x v="0"/>
  </r>
  <r>
    <x v="729"/>
    <n v="0.9"/>
    <x v="16"/>
    <s v="Good"/>
    <s v="No"/>
    <s v="Rarely"/>
    <n v="13"/>
    <n v="9"/>
    <n v="23.1"/>
    <n v="119"/>
    <n v="94"/>
    <n v="7819"/>
    <x v="0"/>
  </r>
  <r>
    <x v="730"/>
    <n v="7"/>
    <x v="22"/>
    <s v="Average"/>
    <s v="No"/>
    <s v="Weekly"/>
    <n v="15"/>
    <n v="4"/>
    <n v="20.3"/>
    <n v="90"/>
    <n v="66"/>
    <n v="8035"/>
    <x v="0"/>
  </r>
  <r>
    <x v="731"/>
    <n v="3.7"/>
    <x v="20"/>
    <s v="Average"/>
    <s v="Yes"/>
    <s v="Never"/>
    <n v="0"/>
    <n v="5"/>
    <n v="26.2"/>
    <n v="113"/>
    <n v="80"/>
    <n v="8009"/>
    <x v="0"/>
  </r>
  <r>
    <x v="732"/>
    <n v="4.2"/>
    <x v="9"/>
    <s v="Good"/>
    <s v="No"/>
    <s v="Weekly"/>
    <n v="15"/>
    <n v="8"/>
    <n v="32.200000000000003"/>
    <n v="153"/>
    <n v="80"/>
    <n v="8016"/>
    <x v="0"/>
  </r>
  <r>
    <x v="733"/>
    <n v="4.3"/>
    <x v="35"/>
    <s v="Excellent"/>
    <s v="No"/>
    <s v="Several_times_a_week"/>
    <n v="37"/>
    <n v="7"/>
    <n v="24.1"/>
    <n v="124"/>
    <n v="77"/>
    <n v="8029"/>
    <x v="2"/>
  </r>
  <r>
    <x v="734"/>
    <n v="6.3"/>
    <x v="5"/>
    <s v="Average"/>
    <s v="Yes"/>
    <s v="Rarely"/>
    <n v="23"/>
    <n v="7"/>
    <n v="23.2"/>
    <n v="143"/>
    <n v="81"/>
    <n v="8027"/>
    <x v="2"/>
  </r>
  <r>
    <x v="735"/>
    <n v="6.6"/>
    <x v="19"/>
    <s v="Average"/>
    <s v="No"/>
    <s v="Never"/>
    <n v="10"/>
    <n v="6"/>
    <n v="33.799999999999997"/>
    <n v="95"/>
    <n v="89"/>
    <n v="8099"/>
    <x v="0"/>
  </r>
  <r>
    <x v="736"/>
    <n v="9.1999999999999993"/>
    <x v="7"/>
    <s v="Average"/>
    <s v="No"/>
    <s v="Rarely"/>
    <n v="1"/>
    <n v="3"/>
    <n v="24.2"/>
    <n v="116"/>
    <n v="83"/>
    <n v="7969"/>
    <x v="0"/>
  </r>
  <r>
    <x v="737"/>
    <n v="8.8000000000000007"/>
    <x v="9"/>
    <s v="Good"/>
    <s v="No"/>
    <s v="Several_times_a_week"/>
    <n v="32"/>
    <n v="9"/>
    <n v="26"/>
    <n v="130"/>
    <n v="71"/>
    <n v="8041"/>
    <x v="0"/>
  </r>
  <r>
    <x v="738"/>
    <n v="7.5"/>
    <x v="21"/>
    <s v="Poor"/>
    <s v="No"/>
    <s v="Rarely"/>
    <n v="25"/>
    <n v="9"/>
    <n v="17.100000000000001"/>
    <n v="120"/>
    <n v="65"/>
    <n v="7946"/>
    <x v="0"/>
  </r>
  <r>
    <x v="739"/>
    <n v="6.4"/>
    <x v="12"/>
    <s v="Good"/>
    <s v="Yes"/>
    <s v="Weekly"/>
    <n v="3"/>
    <n v="1"/>
    <n v="24"/>
    <n v="134"/>
    <n v="84"/>
    <n v="7993"/>
    <x v="1"/>
  </r>
  <r>
    <x v="740"/>
    <n v="16"/>
    <x v="9"/>
    <s v="Average"/>
    <s v="No"/>
    <s v="Never"/>
    <n v="12"/>
    <n v="6"/>
    <n v="29.3"/>
    <n v="120"/>
    <n v="60"/>
    <n v="7969"/>
    <x v="0"/>
  </r>
  <r>
    <x v="741"/>
    <n v="8.4"/>
    <x v="22"/>
    <s v="Very_poor"/>
    <s v="Yes"/>
    <s v="Several_times_a_week"/>
    <n v="30"/>
    <n v="4"/>
    <n v="32"/>
    <n v="127"/>
    <n v="84"/>
    <n v="8084"/>
    <x v="0"/>
  </r>
  <r>
    <x v="742"/>
    <n v="4.7"/>
    <x v="9"/>
    <s v="Average"/>
    <s v="No"/>
    <s v="Several_times_a_week"/>
    <n v="19"/>
    <n v="8"/>
    <n v="23.9"/>
    <n v="92"/>
    <n v="90"/>
    <n v="8158"/>
    <x v="0"/>
  </r>
  <r>
    <x v="743"/>
    <n v="6.7"/>
    <x v="53"/>
    <s v="Good"/>
    <s v="No"/>
    <s v="Daily"/>
    <n v="32"/>
    <n v="2"/>
    <n v="25.8"/>
    <n v="138"/>
    <n v="77"/>
    <n v="7970"/>
    <x v="1"/>
  </r>
  <r>
    <x v="744"/>
    <n v="9.3000000000000007"/>
    <x v="37"/>
    <s v="Good"/>
    <s v="Former"/>
    <s v="Weekly"/>
    <n v="16"/>
    <n v="9"/>
    <n v="25.5"/>
    <n v="140"/>
    <n v="96"/>
    <n v="8053"/>
    <x v="1"/>
  </r>
  <r>
    <x v="745"/>
    <n v="1"/>
    <x v="3"/>
    <s v="Good"/>
    <s v="No"/>
    <s v="Daily"/>
    <n v="12"/>
    <n v="8"/>
    <n v="22.4"/>
    <n v="128"/>
    <n v="61"/>
    <n v="8091"/>
    <x v="0"/>
  </r>
  <r>
    <x v="746"/>
    <n v="5.0999999999999996"/>
    <x v="19"/>
    <s v="Good"/>
    <s v="Former"/>
    <s v="Rarely"/>
    <n v="13"/>
    <n v="4"/>
    <n v="29.6"/>
    <n v="153"/>
    <n v="73"/>
    <n v="7967"/>
    <x v="0"/>
  </r>
  <r>
    <x v="747"/>
    <n v="6.7"/>
    <x v="8"/>
    <s v="Poor"/>
    <s v="No"/>
    <s v="Rarely"/>
    <n v="13"/>
    <n v="5"/>
    <n v="26.1"/>
    <n v="115"/>
    <n v="61"/>
    <n v="7874"/>
    <x v="0"/>
  </r>
  <r>
    <x v="748"/>
    <n v="2.9"/>
    <x v="42"/>
    <s v="Good"/>
    <s v="No"/>
    <s v="Never"/>
    <n v="36"/>
    <n v="1"/>
    <n v="25"/>
    <n v="131"/>
    <n v="94"/>
    <n v="7822"/>
    <x v="1"/>
  </r>
  <r>
    <x v="749"/>
    <n v="3.6"/>
    <x v="0"/>
    <s v="Good"/>
    <s v="No"/>
    <s v="Rarely"/>
    <n v="20"/>
    <n v="10"/>
    <n v="21.4"/>
    <n v="158"/>
    <n v="92"/>
    <n v="8085"/>
    <x v="0"/>
  </r>
  <r>
    <x v="750"/>
    <n v="8.1999999999999993"/>
    <x v="12"/>
    <s v="Very_poor"/>
    <s v="Yes"/>
    <s v="Rarely"/>
    <n v="36"/>
    <n v="3"/>
    <n v="21.6"/>
    <n v="114"/>
    <n v="92"/>
    <n v="8040"/>
    <x v="1"/>
  </r>
  <r>
    <x v="751"/>
    <n v="3.5"/>
    <x v="9"/>
    <s v="Good"/>
    <s v="No"/>
    <s v="Rarely"/>
    <n v="5"/>
    <n v="2"/>
    <n v="24.2"/>
    <n v="103"/>
    <n v="86"/>
    <n v="7883"/>
    <x v="0"/>
  </r>
  <r>
    <x v="752"/>
    <n v="3"/>
    <x v="0"/>
    <s v="Poor"/>
    <s v="No"/>
    <s v="Daily"/>
    <n v="30"/>
    <n v="1"/>
    <n v="26.5"/>
    <n v="115"/>
    <n v="94"/>
    <n v="8118"/>
    <x v="0"/>
  </r>
  <r>
    <x v="753"/>
    <n v="4.7"/>
    <x v="26"/>
    <s v="Good"/>
    <s v="No"/>
    <s v="Weekly"/>
    <n v="34"/>
    <n v="10"/>
    <n v="25.8"/>
    <n v="126"/>
    <n v="74"/>
    <n v="7916"/>
    <x v="1"/>
  </r>
  <r>
    <x v="754"/>
    <n v="6.3"/>
    <x v="7"/>
    <s v="Very_poor"/>
    <s v="Yes"/>
    <s v="Never"/>
    <n v="23"/>
    <n v="4"/>
    <n v="22.6"/>
    <n v="99"/>
    <n v="71"/>
    <n v="8122"/>
    <x v="0"/>
  </r>
  <r>
    <x v="755"/>
    <n v="4.9000000000000004"/>
    <x v="21"/>
    <s v="Average"/>
    <s v="Yes"/>
    <s v="Daily"/>
    <n v="19"/>
    <n v="5"/>
    <n v="26.7"/>
    <n v="99"/>
    <n v="95"/>
    <n v="7882"/>
    <x v="0"/>
  </r>
  <r>
    <x v="756"/>
    <n v="8.3000000000000007"/>
    <x v="33"/>
    <s v="Very_poor"/>
    <s v="Former"/>
    <s v="Never"/>
    <n v="10"/>
    <n v="6"/>
    <n v="28.6"/>
    <n v="135"/>
    <n v="62"/>
    <n v="7908"/>
    <x v="0"/>
  </r>
  <r>
    <x v="757"/>
    <n v="6.7"/>
    <x v="32"/>
    <s v="Good"/>
    <s v="No"/>
    <s v="Never"/>
    <n v="20"/>
    <n v="1"/>
    <n v="31.7"/>
    <n v="122"/>
    <n v="71"/>
    <n v="8185"/>
    <x v="1"/>
  </r>
  <r>
    <x v="758"/>
    <n v="14"/>
    <x v="58"/>
    <s v="Good"/>
    <s v="No"/>
    <s v="Weekly"/>
    <n v="0"/>
    <n v="9"/>
    <n v="23"/>
    <n v="122"/>
    <n v="66"/>
    <n v="7907"/>
    <x v="1"/>
  </r>
  <r>
    <x v="759"/>
    <n v="4"/>
    <x v="28"/>
    <s v="Average"/>
    <s v="No"/>
    <s v="Daily"/>
    <n v="38"/>
    <n v="4"/>
    <n v="22.2"/>
    <n v="155"/>
    <n v="65"/>
    <n v="7897"/>
    <x v="2"/>
  </r>
  <r>
    <x v="760"/>
    <n v="3.3"/>
    <x v="25"/>
    <s v="Poor"/>
    <s v="No"/>
    <s v="Never"/>
    <n v="35"/>
    <n v="9"/>
    <n v="25.5"/>
    <n v="136"/>
    <n v="75"/>
    <n v="7978"/>
    <x v="0"/>
  </r>
  <r>
    <x v="761"/>
    <n v="5.4"/>
    <x v="15"/>
    <s v="Average"/>
    <s v="No"/>
    <s v="Never"/>
    <n v="22"/>
    <n v="8"/>
    <n v="22.2"/>
    <n v="135"/>
    <n v="87"/>
    <n v="8072"/>
    <x v="0"/>
  </r>
  <r>
    <x v="762"/>
    <n v="5.7"/>
    <x v="2"/>
    <s v="Average"/>
    <s v="No"/>
    <s v="Never"/>
    <n v="9"/>
    <n v="8"/>
    <n v="24.2"/>
    <n v="150"/>
    <n v="98"/>
    <n v="8075"/>
    <x v="0"/>
  </r>
  <r>
    <x v="763"/>
    <n v="6.4"/>
    <x v="16"/>
    <s v="Good"/>
    <s v="No"/>
    <s v="Weekly"/>
    <n v="1"/>
    <n v="2"/>
    <n v="27.5"/>
    <n v="134"/>
    <n v="61"/>
    <n v="8120"/>
    <x v="0"/>
  </r>
  <r>
    <x v="764"/>
    <n v="14"/>
    <x v="16"/>
    <s v="Good"/>
    <s v="No"/>
    <s v="Daily"/>
    <n v="24"/>
    <n v="3"/>
    <n v="33"/>
    <n v="105"/>
    <n v="98"/>
    <n v="8088"/>
    <x v="0"/>
  </r>
  <r>
    <x v="765"/>
    <n v="11.9"/>
    <x v="10"/>
    <s v="Average"/>
    <s v="Yes"/>
    <s v="Daily"/>
    <n v="24"/>
    <n v="1"/>
    <n v="20.100000000000001"/>
    <n v="151"/>
    <n v="79"/>
    <n v="7932"/>
    <x v="2"/>
  </r>
  <r>
    <x v="766"/>
    <n v="14"/>
    <x v="33"/>
    <s v="Very_poor"/>
    <s v="Former"/>
    <s v="Rarely"/>
    <n v="37"/>
    <n v="4"/>
    <n v="19.8"/>
    <n v="130"/>
    <n v="72"/>
    <n v="7936"/>
    <x v="0"/>
  </r>
  <r>
    <x v="767"/>
    <n v="4.4000000000000004"/>
    <x v="42"/>
    <s v="Average"/>
    <s v="No"/>
    <s v="Rarely"/>
    <n v="35"/>
    <n v="10"/>
    <n v="21.8"/>
    <n v="103"/>
    <n v="89"/>
    <n v="8037"/>
    <x v="1"/>
  </r>
  <r>
    <x v="768"/>
    <n v="7.6"/>
    <x v="7"/>
    <s v="Good"/>
    <s v="No"/>
    <s v="Rarely"/>
    <n v="20"/>
    <n v="4"/>
    <n v="29.7"/>
    <n v="129"/>
    <n v="86"/>
    <n v="7930"/>
    <x v="0"/>
  </r>
  <r>
    <x v="769"/>
    <n v="12.6"/>
    <x v="36"/>
    <s v="Poor"/>
    <s v="No"/>
    <s v="Rarely"/>
    <n v="38"/>
    <n v="3"/>
    <n v="29.3"/>
    <n v="139"/>
    <n v="98"/>
    <n v="7883"/>
    <x v="0"/>
  </r>
  <r>
    <x v="770"/>
    <n v="4.3"/>
    <x v="33"/>
    <s v="Average"/>
    <s v="No"/>
    <s v="Weekly"/>
    <n v="30"/>
    <n v="4"/>
    <n v="27.1"/>
    <n v="123"/>
    <n v="63"/>
    <n v="7942"/>
    <x v="0"/>
  </r>
  <r>
    <x v="771"/>
    <n v="9.5"/>
    <x v="15"/>
    <s v="Good"/>
    <s v="No"/>
    <s v="Rarely"/>
    <n v="36"/>
    <n v="2"/>
    <n v="26.9"/>
    <n v="118"/>
    <n v="77"/>
    <n v="8208"/>
    <x v="0"/>
  </r>
  <r>
    <x v="772"/>
    <n v="12.4"/>
    <x v="7"/>
    <s v="Good"/>
    <s v="No"/>
    <s v="Rarely"/>
    <n v="23"/>
    <n v="9"/>
    <n v="25.3"/>
    <n v="117"/>
    <n v="73"/>
    <n v="7896"/>
    <x v="0"/>
  </r>
  <r>
    <x v="773"/>
    <n v="7.3"/>
    <x v="16"/>
    <s v="Average"/>
    <s v="Yes"/>
    <s v="Daily"/>
    <n v="0"/>
    <n v="1"/>
    <n v="24"/>
    <n v="113"/>
    <n v="60"/>
    <n v="7941"/>
    <x v="0"/>
  </r>
  <r>
    <x v="774"/>
    <n v="1.1000000000000001"/>
    <x v="55"/>
    <s v="Excellent"/>
    <s v="Yes"/>
    <s v="Several_times_a_week"/>
    <n v="23"/>
    <n v="8"/>
    <n v="23.2"/>
    <n v="109"/>
    <n v="93"/>
    <n v="7941"/>
    <x v="2"/>
  </r>
  <r>
    <x v="775"/>
    <n v="3.5"/>
    <x v="14"/>
    <s v="Very_poor"/>
    <s v="No"/>
    <s v="Weekly"/>
    <n v="23"/>
    <n v="8"/>
    <n v="30.6"/>
    <n v="104"/>
    <n v="85"/>
    <n v="7975"/>
    <x v="0"/>
  </r>
  <r>
    <x v="776"/>
    <n v="16.600000000000001"/>
    <x v="46"/>
    <s v="Good"/>
    <s v="No"/>
    <s v="Never"/>
    <n v="3"/>
    <n v="1"/>
    <n v="31.4"/>
    <n v="127"/>
    <n v="65"/>
    <n v="7844"/>
    <x v="2"/>
  </r>
  <r>
    <x v="777"/>
    <n v="10.4"/>
    <x v="19"/>
    <s v="Average"/>
    <s v="No"/>
    <s v="Never"/>
    <n v="10"/>
    <n v="5"/>
    <n v="30.2"/>
    <n v="110"/>
    <n v="94"/>
    <n v="8117"/>
    <x v="0"/>
  </r>
  <r>
    <x v="778"/>
    <n v="8.1999999999999993"/>
    <x v="59"/>
    <s v="Very_poor"/>
    <s v="No"/>
    <s v="Weekly"/>
    <n v="7"/>
    <n v="6"/>
    <n v="31.8"/>
    <n v="126"/>
    <n v="86"/>
    <n v="8078"/>
    <x v="2"/>
  </r>
  <r>
    <x v="779"/>
    <n v="7.6"/>
    <x v="20"/>
    <s v="Average"/>
    <s v="No"/>
    <s v="Never"/>
    <n v="9"/>
    <n v="6"/>
    <n v="28.7"/>
    <n v="110"/>
    <n v="83"/>
    <n v="7904"/>
    <x v="0"/>
  </r>
  <r>
    <x v="780"/>
    <n v="2.6"/>
    <x v="2"/>
    <s v="Average"/>
    <s v="No"/>
    <s v="Rarely"/>
    <n v="17"/>
    <n v="3"/>
    <n v="28.5"/>
    <n v="135"/>
    <n v="78"/>
    <n v="8004"/>
    <x v="0"/>
  </r>
  <r>
    <x v="781"/>
    <n v="8.1"/>
    <x v="7"/>
    <s v="Very_poor"/>
    <s v="No"/>
    <s v="Weekly"/>
    <n v="30"/>
    <n v="3"/>
    <n v="24.8"/>
    <n v="156"/>
    <n v="83"/>
    <n v="7921"/>
    <x v="0"/>
  </r>
  <r>
    <x v="782"/>
    <n v="3.4"/>
    <x v="4"/>
    <s v="Good"/>
    <s v="No"/>
    <s v="Weekly"/>
    <n v="33"/>
    <n v="7"/>
    <n v="22.5"/>
    <n v="101"/>
    <n v="80"/>
    <n v="7888"/>
    <x v="0"/>
  </r>
  <r>
    <x v="783"/>
    <n v="4.5"/>
    <x v="42"/>
    <s v="Average"/>
    <s v="No"/>
    <s v="Rarely"/>
    <n v="18"/>
    <n v="10"/>
    <n v="23.3"/>
    <n v="139"/>
    <n v="67"/>
    <n v="7959"/>
    <x v="1"/>
  </r>
  <r>
    <x v="784"/>
    <n v="8.3000000000000007"/>
    <x v="18"/>
    <s v="Excellent"/>
    <s v="No"/>
    <s v="Never"/>
    <n v="12"/>
    <n v="6"/>
    <n v="27.2"/>
    <n v="153"/>
    <n v="93"/>
    <n v="7976"/>
    <x v="2"/>
  </r>
  <r>
    <x v="785"/>
    <n v="4.3"/>
    <x v="55"/>
    <s v="Good"/>
    <s v="No"/>
    <s v="Weekly"/>
    <n v="22"/>
    <n v="1"/>
    <n v="21.9"/>
    <n v="155"/>
    <n v="94"/>
    <n v="8002"/>
    <x v="2"/>
  </r>
  <r>
    <x v="786"/>
    <n v="8.3000000000000007"/>
    <x v="15"/>
    <s v="Poor"/>
    <s v="No"/>
    <s v="Daily"/>
    <n v="12"/>
    <n v="4"/>
    <n v="27.3"/>
    <n v="119"/>
    <n v="93"/>
    <n v="7955"/>
    <x v="0"/>
  </r>
  <r>
    <x v="787"/>
    <n v="3.7"/>
    <x v="3"/>
    <s v="Good"/>
    <s v="No"/>
    <s v="Rarely"/>
    <n v="9"/>
    <n v="9"/>
    <n v="21.3"/>
    <n v="110"/>
    <n v="96"/>
    <n v="7990"/>
    <x v="0"/>
  </r>
  <r>
    <x v="788"/>
    <n v="2.2000000000000002"/>
    <x v="46"/>
    <s v="Good"/>
    <s v="No"/>
    <s v="Never"/>
    <n v="35"/>
    <n v="9"/>
    <n v="27.8"/>
    <n v="108"/>
    <n v="62"/>
    <n v="7974"/>
    <x v="2"/>
  </r>
  <r>
    <x v="789"/>
    <n v="12.7"/>
    <x v="36"/>
    <s v="Good"/>
    <s v="Yes"/>
    <s v="Several_times_a_week"/>
    <n v="8"/>
    <n v="4"/>
    <n v="24.8"/>
    <n v="157"/>
    <n v="73"/>
    <n v="8050"/>
    <x v="0"/>
  </r>
  <r>
    <x v="790"/>
    <n v="14.3"/>
    <x v="25"/>
    <s v="Average"/>
    <s v="No"/>
    <s v="Rarely"/>
    <n v="5"/>
    <n v="7"/>
    <n v="28.2"/>
    <n v="119"/>
    <n v="98"/>
    <n v="8050"/>
    <x v="0"/>
  </r>
  <r>
    <x v="791"/>
    <n v="13.9"/>
    <x v="11"/>
    <s v="Average"/>
    <s v="No"/>
    <s v="Rarely"/>
    <n v="26"/>
    <n v="4"/>
    <n v="28.2"/>
    <n v="112"/>
    <n v="99"/>
    <n v="7868"/>
    <x v="0"/>
  </r>
  <r>
    <x v="792"/>
    <n v="7.4"/>
    <x v="8"/>
    <s v="Good"/>
    <s v="No"/>
    <s v="Rarely"/>
    <n v="6"/>
    <n v="3"/>
    <n v="29.2"/>
    <n v="148"/>
    <n v="65"/>
    <n v="8060"/>
    <x v="0"/>
  </r>
  <r>
    <x v="793"/>
    <n v="13.6"/>
    <x v="6"/>
    <s v="Good"/>
    <s v="No"/>
    <s v="Several_times_a_week"/>
    <n v="16"/>
    <n v="5"/>
    <n v="27.7"/>
    <n v="123"/>
    <n v="81"/>
    <n v="7971"/>
    <x v="1"/>
  </r>
  <r>
    <x v="794"/>
    <n v="4.5"/>
    <x v="16"/>
    <s v="Average"/>
    <s v="No"/>
    <s v="Weekly"/>
    <n v="26"/>
    <n v="1"/>
    <n v="23.9"/>
    <n v="98"/>
    <n v="79"/>
    <n v="7987"/>
    <x v="0"/>
  </r>
  <r>
    <x v="795"/>
    <n v="11.5"/>
    <x v="8"/>
    <s v="Average"/>
    <s v="No"/>
    <s v="Daily"/>
    <n v="21"/>
    <n v="2"/>
    <n v="22.9"/>
    <n v="90"/>
    <n v="79"/>
    <n v="7970"/>
    <x v="0"/>
  </r>
  <r>
    <x v="796"/>
    <n v="13.3"/>
    <x v="37"/>
    <s v="Average"/>
    <s v="No"/>
    <s v="Several_times_a_week"/>
    <n v="3"/>
    <n v="7"/>
    <n v="25"/>
    <n v="140"/>
    <n v="60"/>
    <n v="8007"/>
    <x v="1"/>
  </r>
  <r>
    <x v="797"/>
    <n v="3.9"/>
    <x v="9"/>
    <s v="Average"/>
    <s v="No"/>
    <s v="Rarely"/>
    <n v="11"/>
    <n v="6"/>
    <n v="22.9"/>
    <n v="131"/>
    <n v="78"/>
    <n v="8069"/>
    <x v="0"/>
  </r>
  <r>
    <x v="798"/>
    <n v="4.5999999999999996"/>
    <x v="36"/>
    <s v="Poor"/>
    <s v="No"/>
    <s v="Never"/>
    <n v="12"/>
    <n v="2"/>
    <n v="20.3"/>
    <n v="112"/>
    <n v="90"/>
    <n v="7862"/>
    <x v="0"/>
  </r>
  <r>
    <x v="799"/>
    <n v="5.2"/>
    <x v="23"/>
    <s v="Poor"/>
    <s v="Former"/>
    <s v="Never"/>
    <n v="3"/>
    <n v="4"/>
    <n v="22.1"/>
    <n v="152"/>
    <n v="60"/>
    <n v="8112"/>
    <x v="2"/>
  </r>
  <r>
    <x v="800"/>
    <n v="4.2"/>
    <x v="9"/>
    <s v="Very_poor"/>
    <s v="No"/>
    <s v="Rarely"/>
    <n v="18"/>
    <n v="4"/>
    <n v="26.4"/>
    <n v="90"/>
    <n v="94"/>
    <n v="8041"/>
    <x v="0"/>
  </r>
  <r>
    <x v="801"/>
    <n v="1.8"/>
    <x v="6"/>
    <s v="Average"/>
    <s v="No"/>
    <s v="Weekly"/>
    <n v="7"/>
    <n v="2"/>
    <n v="30.8"/>
    <n v="90"/>
    <n v="96"/>
    <n v="8010"/>
    <x v="1"/>
  </r>
  <r>
    <x v="802"/>
    <n v="2.1"/>
    <x v="1"/>
    <s v="Good"/>
    <s v="No"/>
    <s v="Weekly"/>
    <n v="29"/>
    <n v="5"/>
    <n v="32.9"/>
    <n v="97"/>
    <n v="67"/>
    <n v="8111"/>
    <x v="1"/>
  </r>
  <r>
    <x v="803"/>
    <n v="10.6"/>
    <x v="7"/>
    <s v="Average"/>
    <s v="No"/>
    <s v="Rarely"/>
    <n v="38"/>
    <n v="4"/>
    <n v="20.5"/>
    <n v="101"/>
    <n v="71"/>
    <n v="8168"/>
    <x v="0"/>
  </r>
  <r>
    <x v="804"/>
    <n v="9.4"/>
    <x v="9"/>
    <s v="Excellent"/>
    <s v="No"/>
    <s v="Never"/>
    <n v="35"/>
    <n v="1"/>
    <n v="34.6"/>
    <n v="126"/>
    <n v="65"/>
    <n v="8019"/>
    <x v="0"/>
  </r>
  <r>
    <x v="805"/>
    <n v="20.8"/>
    <x v="20"/>
    <s v="Average"/>
    <s v="No"/>
    <s v="Rarely"/>
    <n v="7"/>
    <n v="3"/>
    <n v="26.5"/>
    <n v="144"/>
    <n v="82"/>
    <n v="8029"/>
    <x v="0"/>
  </r>
  <r>
    <x v="806"/>
    <n v="11"/>
    <x v="2"/>
    <s v="Good"/>
    <s v="No"/>
    <s v="Several_times_a_week"/>
    <n v="0"/>
    <n v="3"/>
    <n v="23.3"/>
    <n v="91"/>
    <n v="89"/>
    <n v="8061"/>
    <x v="0"/>
  </r>
  <r>
    <x v="807"/>
    <n v="10.4"/>
    <x v="34"/>
    <s v="Good"/>
    <s v="No"/>
    <s v="Several_times_a_week"/>
    <n v="12"/>
    <n v="9"/>
    <n v="28.2"/>
    <n v="153"/>
    <n v="79"/>
    <n v="7945"/>
    <x v="2"/>
  </r>
  <r>
    <x v="808"/>
    <n v="1"/>
    <x v="25"/>
    <s v="Average"/>
    <s v="No"/>
    <s v="Never"/>
    <n v="18"/>
    <n v="4"/>
    <n v="28.7"/>
    <n v="99"/>
    <n v="75"/>
    <n v="7848"/>
    <x v="0"/>
  </r>
  <r>
    <x v="809"/>
    <n v="19.5"/>
    <x v="2"/>
    <s v="Poor"/>
    <s v="No"/>
    <s v="Weekly"/>
    <n v="40"/>
    <n v="6"/>
    <n v="23.6"/>
    <n v="119"/>
    <n v="78"/>
    <n v="7914"/>
    <x v="0"/>
  </r>
  <r>
    <x v="810"/>
    <n v="4.5999999999999996"/>
    <x v="4"/>
    <s v="Average"/>
    <s v="No"/>
    <s v="Daily"/>
    <n v="15"/>
    <n v="3"/>
    <n v="27.6"/>
    <n v="139"/>
    <n v="72"/>
    <n v="7951"/>
    <x v="0"/>
  </r>
  <r>
    <x v="811"/>
    <n v="1"/>
    <x v="31"/>
    <s v="Average"/>
    <s v="No"/>
    <s v="Weekly"/>
    <n v="11"/>
    <n v="5"/>
    <n v="25.4"/>
    <n v="128"/>
    <n v="74"/>
    <n v="8019"/>
    <x v="2"/>
  </r>
  <r>
    <x v="812"/>
    <n v="3"/>
    <x v="20"/>
    <s v="Average"/>
    <s v="Yes"/>
    <s v="Rarely"/>
    <n v="1"/>
    <n v="7"/>
    <n v="25.4"/>
    <n v="106"/>
    <n v="72"/>
    <n v="8101"/>
    <x v="0"/>
  </r>
  <r>
    <x v="813"/>
    <n v="2.1"/>
    <x v="9"/>
    <s v="Average"/>
    <s v="No"/>
    <s v="Rarely"/>
    <n v="9"/>
    <n v="5"/>
    <n v="17"/>
    <n v="98"/>
    <n v="82"/>
    <n v="7913"/>
    <x v="0"/>
  </r>
  <r>
    <x v="814"/>
    <n v="6.9"/>
    <x v="53"/>
    <s v="Average"/>
    <s v="No"/>
    <s v="Daily"/>
    <n v="14"/>
    <n v="3"/>
    <n v="25.3"/>
    <n v="127"/>
    <n v="62"/>
    <n v="8164"/>
    <x v="1"/>
  </r>
  <r>
    <x v="815"/>
    <n v="7.5"/>
    <x v="15"/>
    <s v="Average"/>
    <s v="No"/>
    <s v="Rarely"/>
    <n v="39"/>
    <n v="8"/>
    <n v="29.3"/>
    <n v="134"/>
    <n v="65"/>
    <n v="7892"/>
    <x v="0"/>
  </r>
  <r>
    <x v="816"/>
    <n v="2.1"/>
    <x v="41"/>
    <s v="Good"/>
    <s v="No"/>
    <s v="Rarely"/>
    <n v="25"/>
    <n v="9"/>
    <n v="21.3"/>
    <n v="116"/>
    <n v="72"/>
    <n v="8071"/>
    <x v="1"/>
  </r>
  <r>
    <x v="817"/>
    <n v="11.8"/>
    <x v="28"/>
    <s v="Poor"/>
    <s v="No"/>
    <s v="Several_times_a_week"/>
    <n v="0"/>
    <n v="2"/>
    <n v="18.2"/>
    <n v="132"/>
    <n v="72"/>
    <n v="7903"/>
    <x v="2"/>
  </r>
  <r>
    <x v="818"/>
    <n v="17.100000000000001"/>
    <x v="8"/>
    <s v="Poor"/>
    <s v="No"/>
    <s v="Rarely"/>
    <n v="40"/>
    <n v="9"/>
    <n v="23"/>
    <n v="104"/>
    <n v="87"/>
    <n v="8199"/>
    <x v="0"/>
  </r>
  <r>
    <x v="819"/>
    <n v="2.4"/>
    <x v="27"/>
    <s v="Good"/>
    <s v="No"/>
    <s v="Weekly"/>
    <n v="25"/>
    <n v="2"/>
    <n v="25.3"/>
    <n v="126"/>
    <n v="72"/>
    <n v="8086"/>
    <x v="0"/>
  </r>
  <r>
    <x v="820"/>
    <n v="12.8"/>
    <x v="36"/>
    <s v="Good"/>
    <s v="No"/>
    <s v="Weekly"/>
    <n v="38"/>
    <n v="3"/>
    <n v="29.5"/>
    <n v="113"/>
    <n v="77"/>
    <n v="7845"/>
    <x v="0"/>
  </r>
  <r>
    <x v="821"/>
    <n v="0.6"/>
    <x v="17"/>
    <s v="Poor"/>
    <s v="Yes"/>
    <s v="Never"/>
    <n v="10"/>
    <n v="6"/>
    <n v="23.7"/>
    <n v="133"/>
    <n v="79"/>
    <n v="8108"/>
    <x v="2"/>
  </r>
  <r>
    <x v="822"/>
    <n v="11"/>
    <x v="7"/>
    <s v="Good"/>
    <s v="No"/>
    <s v="Rarely"/>
    <n v="4"/>
    <n v="1"/>
    <n v="29.5"/>
    <n v="144"/>
    <n v="99"/>
    <n v="8095"/>
    <x v="0"/>
  </r>
  <r>
    <x v="823"/>
    <n v="12.9"/>
    <x v="4"/>
    <s v="Average"/>
    <s v="No"/>
    <s v="Several_times_a_week"/>
    <n v="2"/>
    <n v="8"/>
    <n v="27.9"/>
    <n v="98"/>
    <n v="96"/>
    <n v="8123"/>
    <x v="0"/>
  </r>
  <r>
    <x v="824"/>
    <n v="13.3"/>
    <x v="8"/>
    <s v="Average"/>
    <s v="No"/>
    <s v="Never"/>
    <n v="4"/>
    <n v="6"/>
    <n v="23.3"/>
    <n v="129"/>
    <n v="75"/>
    <n v="7976"/>
    <x v="0"/>
  </r>
  <r>
    <x v="825"/>
    <n v="6.4"/>
    <x v="25"/>
    <s v="Good"/>
    <s v="No"/>
    <s v="Rarely"/>
    <n v="15"/>
    <n v="6"/>
    <n v="17.100000000000001"/>
    <n v="124"/>
    <n v="61"/>
    <n v="8125"/>
    <x v="0"/>
  </r>
  <r>
    <x v="826"/>
    <n v="8.4"/>
    <x v="51"/>
    <s v="Excellent"/>
    <s v="Former"/>
    <s v="Rarely"/>
    <n v="39"/>
    <n v="9"/>
    <n v="23.1"/>
    <n v="92"/>
    <n v="79"/>
    <n v="8164"/>
    <x v="2"/>
  </r>
  <r>
    <x v="827"/>
    <n v="8.1999999999999993"/>
    <x v="47"/>
    <s v="Excellent"/>
    <s v="No"/>
    <s v="Rarely"/>
    <n v="3"/>
    <n v="2"/>
    <n v="28.6"/>
    <n v="98"/>
    <n v="82"/>
    <n v="8071"/>
    <x v="2"/>
  </r>
  <r>
    <x v="828"/>
    <n v="12.6"/>
    <x v="31"/>
    <s v="Average"/>
    <s v="No"/>
    <s v="Weekly"/>
    <n v="27"/>
    <n v="8"/>
    <n v="26.2"/>
    <n v="137"/>
    <n v="74"/>
    <n v="7995"/>
    <x v="2"/>
  </r>
  <r>
    <x v="829"/>
    <n v="11.9"/>
    <x v="19"/>
    <s v="Good"/>
    <s v="No"/>
    <s v="Weekly"/>
    <n v="0"/>
    <n v="9"/>
    <n v="19.600000000000001"/>
    <n v="132"/>
    <n v="87"/>
    <n v="8067"/>
    <x v="0"/>
  </r>
  <r>
    <x v="830"/>
    <n v="4.4000000000000004"/>
    <x v="14"/>
    <s v="Average"/>
    <s v="Former"/>
    <s v="Weekly"/>
    <n v="29"/>
    <n v="6"/>
    <n v="31.1"/>
    <n v="139"/>
    <n v="98"/>
    <n v="8032"/>
    <x v="0"/>
  </r>
  <r>
    <x v="831"/>
    <n v="3.5"/>
    <x v="13"/>
    <s v="Poor"/>
    <s v="No"/>
    <s v="Rarely"/>
    <n v="22"/>
    <n v="9"/>
    <n v="29.1"/>
    <n v="100"/>
    <n v="76"/>
    <n v="8089"/>
    <x v="0"/>
  </r>
  <r>
    <x v="832"/>
    <n v="9.6"/>
    <x v="13"/>
    <s v="Poor"/>
    <s v="No"/>
    <s v="Never"/>
    <n v="27"/>
    <n v="8"/>
    <n v="27.1"/>
    <n v="96"/>
    <n v="93"/>
    <n v="7906"/>
    <x v="0"/>
  </r>
  <r>
    <x v="833"/>
    <n v="16.899999999999999"/>
    <x v="2"/>
    <s v="Average"/>
    <s v="Former"/>
    <s v="Never"/>
    <n v="2"/>
    <n v="8"/>
    <n v="24.3"/>
    <n v="94"/>
    <n v="72"/>
    <n v="8160"/>
    <x v="0"/>
  </r>
  <r>
    <x v="834"/>
    <n v="2.9"/>
    <x v="29"/>
    <s v="Excellent"/>
    <s v="No"/>
    <s v="Rarely"/>
    <n v="21"/>
    <n v="9"/>
    <n v="31.6"/>
    <n v="136"/>
    <n v="83"/>
    <n v="7974"/>
    <x v="0"/>
  </r>
  <r>
    <x v="835"/>
    <n v="0.7"/>
    <x v="4"/>
    <s v="Good"/>
    <s v="Yes"/>
    <s v="Rarely"/>
    <n v="25"/>
    <n v="3"/>
    <n v="23.6"/>
    <n v="131"/>
    <n v="87"/>
    <n v="8066"/>
    <x v="0"/>
  </r>
  <r>
    <x v="836"/>
    <n v="2"/>
    <x v="16"/>
    <s v="Good"/>
    <s v="No"/>
    <s v="Weekly"/>
    <n v="31"/>
    <n v="1"/>
    <n v="29"/>
    <n v="137"/>
    <n v="69"/>
    <n v="7895"/>
    <x v="0"/>
  </r>
  <r>
    <x v="837"/>
    <n v="7.8"/>
    <x v="10"/>
    <s v="Average"/>
    <s v="No"/>
    <s v="Daily"/>
    <n v="11"/>
    <n v="10"/>
    <n v="18.2"/>
    <n v="146"/>
    <n v="89"/>
    <n v="7963"/>
    <x v="2"/>
  </r>
  <r>
    <x v="838"/>
    <n v="13"/>
    <x v="8"/>
    <s v="Good"/>
    <s v="No"/>
    <s v="Rarely"/>
    <n v="31"/>
    <n v="9"/>
    <n v="20.2"/>
    <n v="142"/>
    <n v="71"/>
    <n v="7904"/>
    <x v="0"/>
  </r>
  <r>
    <x v="839"/>
    <n v="11.9"/>
    <x v="22"/>
    <s v="Good"/>
    <s v="No"/>
    <s v="Never"/>
    <n v="3"/>
    <n v="4"/>
    <n v="19.100000000000001"/>
    <n v="117"/>
    <n v="73"/>
    <n v="8174"/>
    <x v="0"/>
  </r>
  <r>
    <x v="840"/>
    <n v="7.4"/>
    <x v="13"/>
    <s v="Average"/>
    <s v="No"/>
    <s v="Never"/>
    <n v="27"/>
    <n v="4"/>
    <n v="20.6"/>
    <n v="151"/>
    <n v="91"/>
    <n v="7990"/>
    <x v="0"/>
  </r>
  <r>
    <x v="841"/>
    <n v="7.2"/>
    <x v="11"/>
    <s v="Very_poor"/>
    <s v="Former"/>
    <s v="Weekly"/>
    <n v="33"/>
    <n v="8"/>
    <n v="27.4"/>
    <n v="100"/>
    <n v="99"/>
    <n v="8079"/>
    <x v="0"/>
  </r>
  <r>
    <x v="842"/>
    <n v="10.5"/>
    <x v="9"/>
    <s v="Excellent"/>
    <s v="No"/>
    <s v="Never"/>
    <n v="10"/>
    <n v="4"/>
    <n v="24.1"/>
    <n v="151"/>
    <n v="94"/>
    <n v="7967"/>
    <x v="0"/>
  </r>
  <r>
    <x v="843"/>
    <n v="0.5"/>
    <x v="6"/>
    <s v="Average"/>
    <s v="Yes"/>
    <s v="Daily"/>
    <n v="2"/>
    <n v="1"/>
    <n v="21.2"/>
    <n v="91"/>
    <n v="82"/>
    <n v="8025"/>
    <x v="1"/>
  </r>
  <r>
    <x v="844"/>
    <n v="0.5"/>
    <x v="29"/>
    <s v="Average"/>
    <s v="No"/>
    <s v="Weekly"/>
    <n v="23"/>
    <n v="3"/>
    <n v="22.6"/>
    <n v="122"/>
    <n v="81"/>
    <n v="7826"/>
    <x v="0"/>
  </r>
  <r>
    <x v="845"/>
    <n v="16.399999999999999"/>
    <x v="10"/>
    <s v="Excellent"/>
    <s v="No"/>
    <s v="Rarely"/>
    <n v="10"/>
    <n v="4"/>
    <n v="31.1"/>
    <n v="93"/>
    <n v="98"/>
    <n v="7957"/>
    <x v="2"/>
  </r>
  <r>
    <x v="846"/>
    <n v="9.1"/>
    <x v="36"/>
    <s v="Average"/>
    <s v="No"/>
    <s v="Never"/>
    <n v="37"/>
    <n v="2"/>
    <n v="29.1"/>
    <n v="95"/>
    <n v="85"/>
    <n v="7911"/>
    <x v="0"/>
  </r>
  <r>
    <x v="847"/>
    <n v="2.2999999999999998"/>
    <x v="3"/>
    <s v="Excellent"/>
    <s v="Former"/>
    <s v="Weekly"/>
    <n v="28"/>
    <n v="4"/>
    <n v="34.200000000000003"/>
    <n v="144"/>
    <n v="91"/>
    <n v="8087"/>
    <x v="0"/>
  </r>
  <r>
    <x v="848"/>
    <n v="11.7"/>
    <x v="27"/>
    <s v="Good"/>
    <s v="No"/>
    <s v="Weekly"/>
    <n v="12"/>
    <n v="3"/>
    <n v="25.2"/>
    <n v="132"/>
    <n v="65"/>
    <n v="8028"/>
    <x v="0"/>
  </r>
  <r>
    <x v="849"/>
    <n v="3.2"/>
    <x v="31"/>
    <s v="Average"/>
    <s v="No"/>
    <s v="Never"/>
    <n v="32"/>
    <n v="9"/>
    <n v="28"/>
    <n v="136"/>
    <n v="65"/>
    <n v="7998"/>
    <x v="2"/>
  </r>
  <r>
    <x v="850"/>
    <n v="11.1"/>
    <x v="17"/>
    <s v="Good"/>
    <s v="No"/>
    <s v="Rarely"/>
    <n v="3"/>
    <n v="10"/>
    <n v="31.5"/>
    <n v="152"/>
    <n v="99"/>
    <n v="7793"/>
    <x v="2"/>
  </r>
  <r>
    <x v="851"/>
    <n v="8.5"/>
    <x v="2"/>
    <s v="Poor"/>
    <s v="No"/>
    <s v="Rarely"/>
    <n v="7"/>
    <n v="4"/>
    <n v="22.2"/>
    <n v="131"/>
    <n v="98"/>
    <n v="7985"/>
    <x v="0"/>
  </r>
  <r>
    <x v="852"/>
    <n v="2.8"/>
    <x v="4"/>
    <s v="Average"/>
    <s v="No"/>
    <s v="Rarely"/>
    <n v="0"/>
    <n v="8"/>
    <n v="29.8"/>
    <n v="109"/>
    <n v="75"/>
    <n v="8000"/>
    <x v="0"/>
  </r>
  <r>
    <x v="853"/>
    <n v="4.2"/>
    <x v="14"/>
    <s v="Average"/>
    <s v="No"/>
    <s v="Never"/>
    <n v="26"/>
    <n v="6"/>
    <n v="26.4"/>
    <n v="143"/>
    <n v="60"/>
    <n v="7929"/>
    <x v="0"/>
  </r>
  <r>
    <x v="854"/>
    <n v="1.8"/>
    <x v="6"/>
    <s v="Very_poor"/>
    <s v="No"/>
    <s v="Daily"/>
    <n v="12"/>
    <n v="8"/>
    <n v="21.5"/>
    <n v="120"/>
    <n v="77"/>
    <n v="7998"/>
    <x v="1"/>
  </r>
  <r>
    <x v="855"/>
    <n v="5.3"/>
    <x v="4"/>
    <s v="Average"/>
    <s v="No"/>
    <s v="Daily"/>
    <n v="10"/>
    <n v="5"/>
    <n v="23.5"/>
    <n v="136"/>
    <n v="79"/>
    <n v="7962"/>
    <x v="0"/>
  </r>
  <r>
    <x v="856"/>
    <n v="3.3"/>
    <x v="2"/>
    <s v="Very_poor"/>
    <s v="No"/>
    <s v="Never"/>
    <n v="30"/>
    <n v="6"/>
    <n v="19.3"/>
    <n v="155"/>
    <n v="96"/>
    <n v="8018"/>
    <x v="0"/>
  </r>
  <r>
    <x v="857"/>
    <n v="14.2"/>
    <x v="27"/>
    <s v="Average"/>
    <s v="No"/>
    <s v="Rarely"/>
    <n v="14"/>
    <n v="5"/>
    <n v="18.600000000000001"/>
    <n v="127"/>
    <n v="70"/>
    <n v="8007"/>
    <x v="0"/>
  </r>
  <r>
    <x v="858"/>
    <n v="6.1"/>
    <x v="27"/>
    <s v="Average"/>
    <s v="No"/>
    <s v="Weekly"/>
    <n v="9"/>
    <n v="10"/>
    <n v="29.1"/>
    <n v="96"/>
    <n v="97"/>
    <n v="8081"/>
    <x v="0"/>
  </r>
  <r>
    <x v="859"/>
    <n v="11.6"/>
    <x v="27"/>
    <s v="Average"/>
    <s v="Former"/>
    <s v="Weekly"/>
    <n v="12"/>
    <n v="7"/>
    <n v="25"/>
    <n v="97"/>
    <n v="71"/>
    <n v="7910"/>
    <x v="0"/>
  </r>
  <r>
    <x v="860"/>
    <n v="10"/>
    <x v="11"/>
    <s v="Very_poor"/>
    <s v="No"/>
    <s v="Rarely"/>
    <n v="18"/>
    <n v="2"/>
    <n v="25.5"/>
    <n v="112"/>
    <n v="61"/>
    <n v="8049"/>
    <x v="0"/>
  </r>
  <r>
    <x v="861"/>
    <n v="5.4"/>
    <x v="4"/>
    <s v="Average"/>
    <s v="No"/>
    <s v="Weekly"/>
    <n v="12"/>
    <n v="1"/>
    <n v="21.3"/>
    <n v="119"/>
    <n v="63"/>
    <n v="8163"/>
    <x v="0"/>
  </r>
  <r>
    <x v="862"/>
    <n v="3.6"/>
    <x v="23"/>
    <s v="Poor"/>
    <s v="No"/>
    <s v="Weekly"/>
    <n v="37"/>
    <n v="8"/>
    <n v="26.8"/>
    <n v="125"/>
    <n v="62"/>
    <n v="7999"/>
    <x v="2"/>
  </r>
  <r>
    <x v="863"/>
    <n v="9.1"/>
    <x v="8"/>
    <s v="Good"/>
    <s v="No"/>
    <s v="Rarely"/>
    <n v="34"/>
    <n v="2"/>
    <n v="28"/>
    <n v="99"/>
    <n v="91"/>
    <n v="8059"/>
    <x v="0"/>
  </r>
  <r>
    <x v="864"/>
    <n v="4.2"/>
    <x v="18"/>
    <s v="Average"/>
    <s v="No"/>
    <s v="Several_times_a_week"/>
    <n v="11"/>
    <n v="6"/>
    <n v="26.6"/>
    <n v="150"/>
    <n v="90"/>
    <n v="7847"/>
    <x v="2"/>
  </r>
  <r>
    <x v="865"/>
    <n v="8.5"/>
    <x v="19"/>
    <s v="Excellent"/>
    <s v="No"/>
    <s v="Never"/>
    <n v="23"/>
    <n v="7"/>
    <n v="19.5"/>
    <n v="107"/>
    <n v="67"/>
    <n v="7967"/>
    <x v="0"/>
  </r>
  <r>
    <x v="866"/>
    <n v="0.6"/>
    <x v="36"/>
    <s v="Good"/>
    <s v="No"/>
    <s v="Daily"/>
    <n v="29"/>
    <n v="8"/>
    <n v="30.4"/>
    <n v="142"/>
    <n v="86"/>
    <n v="8008"/>
    <x v="0"/>
  </r>
  <r>
    <x v="867"/>
    <n v="6.8"/>
    <x v="27"/>
    <s v="Average"/>
    <s v="No"/>
    <s v="Weekly"/>
    <n v="2"/>
    <n v="8"/>
    <n v="28.2"/>
    <n v="100"/>
    <n v="85"/>
    <n v="7860"/>
    <x v="0"/>
  </r>
  <r>
    <x v="868"/>
    <n v="9.1"/>
    <x v="37"/>
    <s v="Poor"/>
    <s v="No"/>
    <s v="Never"/>
    <n v="31"/>
    <n v="3"/>
    <n v="28.7"/>
    <n v="133"/>
    <n v="94"/>
    <n v="7974"/>
    <x v="1"/>
  </r>
  <r>
    <x v="869"/>
    <n v="7"/>
    <x v="0"/>
    <s v="Very_poor"/>
    <s v="Yes"/>
    <s v="Rarely"/>
    <n v="20"/>
    <n v="1"/>
    <n v="22.9"/>
    <n v="146"/>
    <n v="86"/>
    <n v="7931"/>
    <x v="0"/>
  </r>
  <r>
    <x v="870"/>
    <n v="11.2"/>
    <x v="20"/>
    <s v="Good"/>
    <s v="No"/>
    <s v="Rarely"/>
    <n v="24"/>
    <n v="1"/>
    <n v="27.5"/>
    <n v="91"/>
    <n v="87"/>
    <n v="8079"/>
    <x v="0"/>
  </r>
  <r>
    <x v="871"/>
    <n v="10.9"/>
    <x v="3"/>
    <s v="Average"/>
    <s v="No"/>
    <s v="Rarely"/>
    <n v="23"/>
    <n v="2"/>
    <n v="21.9"/>
    <n v="104"/>
    <n v="97"/>
    <n v="7916"/>
    <x v="0"/>
  </r>
  <r>
    <x v="872"/>
    <n v="1"/>
    <x v="32"/>
    <s v="Very_poor"/>
    <s v="No"/>
    <s v="Never"/>
    <n v="32"/>
    <n v="9"/>
    <n v="26"/>
    <n v="111"/>
    <n v="61"/>
    <n v="8010"/>
    <x v="1"/>
  </r>
  <r>
    <x v="873"/>
    <n v="7.8"/>
    <x v="5"/>
    <s v="Excellent"/>
    <s v="No"/>
    <s v="Daily"/>
    <n v="8"/>
    <n v="1"/>
    <n v="24"/>
    <n v="139"/>
    <n v="77"/>
    <n v="7849"/>
    <x v="2"/>
  </r>
  <r>
    <x v="874"/>
    <n v="5.7"/>
    <x v="8"/>
    <s v="Very_poor"/>
    <s v="Former"/>
    <s v="Never"/>
    <n v="23"/>
    <n v="10"/>
    <n v="21"/>
    <n v="100"/>
    <n v="88"/>
    <n v="8005"/>
    <x v="0"/>
  </r>
  <r>
    <x v="875"/>
    <n v="3.6"/>
    <x v="11"/>
    <s v="Good"/>
    <s v="No"/>
    <s v="Never"/>
    <n v="40"/>
    <n v="3"/>
    <n v="27.4"/>
    <n v="141"/>
    <n v="84"/>
    <n v="8188"/>
    <x v="0"/>
  </r>
  <r>
    <x v="876"/>
    <n v="4.0999999999999996"/>
    <x v="19"/>
    <s v="Good"/>
    <s v="No"/>
    <s v="Weekly"/>
    <n v="17"/>
    <n v="6"/>
    <n v="34"/>
    <n v="140"/>
    <n v="72"/>
    <n v="7947"/>
    <x v="0"/>
  </r>
  <r>
    <x v="877"/>
    <n v="8.9"/>
    <x v="13"/>
    <s v="Good"/>
    <s v="Yes"/>
    <s v="Rarely"/>
    <n v="39"/>
    <n v="6"/>
    <n v="29.3"/>
    <n v="142"/>
    <n v="81"/>
    <n v="8047"/>
    <x v="0"/>
  </r>
  <r>
    <x v="878"/>
    <n v="3.2"/>
    <x v="31"/>
    <s v="Average"/>
    <s v="No"/>
    <s v="Rarely"/>
    <n v="1"/>
    <n v="9"/>
    <n v="25.6"/>
    <n v="91"/>
    <n v="92"/>
    <n v="7972"/>
    <x v="2"/>
  </r>
  <r>
    <x v="879"/>
    <n v="8.1999999999999993"/>
    <x v="18"/>
    <s v="Average"/>
    <s v="No"/>
    <s v="Weekly"/>
    <n v="11"/>
    <n v="7"/>
    <n v="23.1"/>
    <n v="141"/>
    <n v="77"/>
    <n v="7988"/>
    <x v="2"/>
  </r>
  <r>
    <x v="880"/>
    <n v="5.4"/>
    <x v="5"/>
    <s v="Average"/>
    <s v="Yes"/>
    <s v="Rarely"/>
    <n v="10"/>
    <n v="7"/>
    <n v="25.6"/>
    <n v="135"/>
    <n v="92"/>
    <n v="8151"/>
    <x v="2"/>
  </r>
  <r>
    <x v="881"/>
    <n v="4"/>
    <x v="29"/>
    <s v="Very_poor"/>
    <s v="No"/>
    <s v="Never"/>
    <n v="19"/>
    <n v="9"/>
    <n v="18"/>
    <n v="143"/>
    <n v="67"/>
    <n v="7977"/>
    <x v="0"/>
  </r>
  <r>
    <x v="882"/>
    <n v="3.2"/>
    <x v="22"/>
    <s v="Poor"/>
    <s v="No"/>
    <s v="Several_times_a_week"/>
    <n v="4"/>
    <n v="7"/>
    <n v="23.6"/>
    <n v="123"/>
    <n v="97"/>
    <n v="8032"/>
    <x v="0"/>
  </r>
  <r>
    <x v="883"/>
    <n v="6.2"/>
    <x v="25"/>
    <s v="Average"/>
    <s v="No"/>
    <s v="Rarely"/>
    <n v="6"/>
    <n v="9"/>
    <n v="22.6"/>
    <n v="97"/>
    <n v="84"/>
    <n v="8001"/>
    <x v="0"/>
  </r>
  <r>
    <x v="884"/>
    <n v="9.5"/>
    <x v="16"/>
    <s v="Poor"/>
    <s v="No"/>
    <s v="Never"/>
    <n v="24"/>
    <n v="4"/>
    <n v="29.2"/>
    <n v="130"/>
    <n v="97"/>
    <n v="7998"/>
    <x v="0"/>
  </r>
  <r>
    <x v="885"/>
    <n v="3.8"/>
    <x v="14"/>
    <s v="Average"/>
    <s v="No"/>
    <s v="Daily"/>
    <n v="11"/>
    <n v="4"/>
    <n v="20.9"/>
    <n v="112"/>
    <n v="70"/>
    <n v="8044"/>
    <x v="0"/>
  </r>
  <r>
    <x v="886"/>
    <n v="5.7"/>
    <x v="8"/>
    <s v="Good"/>
    <s v="No"/>
    <s v="Rarely"/>
    <n v="37"/>
    <n v="4"/>
    <n v="26.6"/>
    <n v="103"/>
    <n v="84"/>
    <n v="7962"/>
    <x v="0"/>
  </r>
  <r>
    <x v="887"/>
    <n v="2.9"/>
    <x v="36"/>
    <s v="Good"/>
    <s v="No"/>
    <s v="Never"/>
    <n v="25"/>
    <n v="8"/>
    <n v="29"/>
    <n v="104"/>
    <n v="89"/>
    <n v="7968"/>
    <x v="0"/>
  </r>
  <r>
    <x v="888"/>
    <n v="13"/>
    <x v="2"/>
    <s v="Average"/>
    <s v="No"/>
    <s v="Rarely"/>
    <n v="31"/>
    <n v="10"/>
    <n v="28.2"/>
    <n v="122"/>
    <n v="75"/>
    <n v="7950"/>
    <x v="0"/>
  </r>
  <r>
    <x v="889"/>
    <n v="1.9"/>
    <x v="22"/>
    <s v="Excellent"/>
    <s v="No"/>
    <s v="Weekly"/>
    <n v="14"/>
    <n v="1"/>
    <n v="24.2"/>
    <n v="113"/>
    <n v="94"/>
    <n v="7799"/>
    <x v="0"/>
  </r>
  <r>
    <x v="890"/>
    <n v="3.1"/>
    <x v="53"/>
    <s v="Very_poor"/>
    <s v="Yes"/>
    <s v="Rarely"/>
    <n v="28"/>
    <n v="7"/>
    <n v="27.3"/>
    <n v="99"/>
    <n v="67"/>
    <n v="7914"/>
    <x v="1"/>
  </r>
  <r>
    <x v="891"/>
    <n v="3.1"/>
    <x v="7"/>
    <s v="Average"/>
    <s v="No"/>
    <s v="Weekly"/>
    <n v="36"/>
    <n v="3"/>
    <n v="27.2"/>
    <n v="95"/>
    <n v="94"/>
    <n v="8023"/>
    <x v="0"/>
  </r>
  <r>
    <x v="892"/>
    <n v="6"/>
    <x v="11"/>
    <s v="Good"/>
    <s v="Yes"/>
    <s v="Weekly"/>
    <n v="32"/>
    <n v="5"/>
    <n v="21.7"/>
    <n v="114"/>
    <n v="70"/>
    <n v="7977"/>
    <x v="0"/>
  </r>
  <r>
    <x v="893"/>
    <n v="9.3000000000000007"/>
    <x v="33"/>
    <s v="Excellent"/>
    <s v="No"/>
    <s v="Weekly"/>
    <n v="10"/>
    <n v="9"/>
    <n v="25.9"/>
    <n v="153"/>
    <n v="80"/>
    <n v="8038"/>
    <x v="0"/>
  </r>
  <r>
    <x v="894"/>
    <n v="11.8"/>
    <x v="27"/>
    <s v="Average"/>
    <s v="No"/>
    <s v="Weekly"/>
    <n v="27"/>
    <n v="9"/>
    <n v="25.9"/>
    <n v="129"/>
    <n v="66"/>
    <n v="8102"/>
    <x v="0"/>
  </r>
  <r>
    <x v="895"/>
    <n v="14.9"/>
    <x v="0"/>
    <s v="Poor"/>
    <s v="No"/>
    <s v="Never"/>
    <n v="28"/>
    <n v="2"/>
    <n v="24.9"/>
    <n v="148"/>
    <n v="69"/>
    <n v="7975"/>
    <x v="0"/>
  </r>
  <r>
    <x v="896"/>
    <n v="8.9"/>
    <x v="20"/>
    <s v="Average"/>
    <s v="No"/>
    <s v="Rarely"/>
    <n v="19"/>
    <n v="1"/>
    <n v="29.7"/>
    <n v="136"/>
    <n v="89"/>
    <n v="8059"/>
    <x v="0"/>
  </r>
  <r>
    <x v="897"/>
    <n v="5.9"/>
    <x v="17"/>
    <s v="Good"/>
    <s v="No"/>
    <s v="Rarely"/>
    <n v="36"/>
    <n v="1"/>
    <n v="27.2"/>
    <n v="126"/>
    <n v="82"/>
    <n v="8055"/>
    <x v="2"/>
  </r>
  <r>
    <x v="898"/>
    <n v="7.4"/>
    <x v="60"/>
    <s v="Average"/>
    <s v="No"/>
    <s v="Rarely"/>
    <n v="5"/>
    <n v="9"/>
    <n v="22.7"/>
    <n v="138"/>
    <n v="85"/>
    <n v="8006"/>
    <x v="2"/>
  </r>
  <r>
    <x v="899"/>
    <n v="16.100000000000001"/>
    <x v="56"/>
    <s v="Good"/>
    <s v="No"/>
    <s v="Weekly"/>
    <n v="31"/>
    <n v="3"/>
    <n v="27.4"/>
    <n v="139"/>
    <n v="80"/>
    <n v="7899"/>
    <x v="1"/>
  </r>
  <r>
    <x v="900"/>
    <n v="10.5"/>
    <x v="21"/>
    <s v="Average"/>
    <s v="No"/>
    <s v="Rarely"/>
    <n v="33"/>
    <n v="1"/>
    <n v="26.2"/>
    <n v="106"/>
    <n v="85"/>
    <n v="8032"/>
    <x v="0"/>
  </r>
  <r>
    <x v="901"/>
    <n v="10.7"/>
    <x v="6"/>
    <s v="Very_poor"/>
    <s v="No"/>
    <s v="Rarely"/>
    <n v="0"/>
    <n v="3"/>
    <n v="23.9"/>
    <n v="119"/>
    <n v="62"/>
    <n v="7945"/>
    <x v="1"/>
  </r>
  <r>
    <x v="902"/>
    <n v="1.6"/>
    <x v="33"/>
    <s v="Average"/>
    <s v="No"/>
    <s v="Rarely"/>
    <n v="12"/>
    <n v="7"/>
    <n v="30.1"/>
    <n v="129"/>
    <n v="82"/>
    <n v="8012"/>
    <x v="0"/>
  </r>
  <r>
    <x v="903"/>
    <n v="6.5"/>
    <x v="47"/>
    <s v="Excellent"/>
    <s v="Yes"/>
    <s v="Never"/>
    <n v="27"/>
    <n v="1"/>
    <n v="33.700000000000003"/>
    <n v="110"/>
    <n v="83"/>
    <n v="7674"/>
    <x v="2"/>
  </r>
  <r>
    <x v="904"/>
    <n v="3.5"/>
    <x v="20"/>
    <s v="Average"/>
    <s v="No"/>
    <s v="Weekly"/>
    <n v="40"/>
    <n v="9"/>
    <n v="26.2"/>
    <n v="103"/>
    <n v="86"/>
    <n v="8121"/>
    <x v="0"/>
  </r>
  <r>
    <x v="905"/>
    <n v="15.7"/>
    <x v="14"/>
    <s v="Good"/>
    <s v="No"/>
    <s v="Never"/>
    <n v="28"/>
    <n v="6"/>
    <n v="27.7"/>
    <n v="129"/>
    <n v="80"/>
    <n v="7885"/>
    <x v="0"/>
  </r>
  <r>
    <x v="906"/>
    <n v="8.1999999999999993"/>
    <x v="37"/>
    <s v="Good"/>
    <s v="Former"/>
    <s v="Rarely"/>
    <n v="38"/>
    <n v="10"/>
    <n v="20.399999999999999"/>
    <n v="159"/>
    <n v="76"/>
    <n v="8002"/>
    <x v="1"/>
  </r>
  <r>
    <x v="907"/>
    <n v="1.4"/>
    <x v="8"/>
    <s v="Good"/>
    <s v="No"/>
    <s v="Several_times_a_week"/>
    <n v="1"/>
    <n v="7"/>
    <n v="21.6"/>
    <n v="130"/>
    <n v="93"/>
    <n v="8061"/>
    <x v="0"/>
  </r>
  <r>
    <x v="908"/>
    <n v="4.2"/>
    <x v="42"/>
    <s v="Excellent"/>
    <s v="Former"/>
    <s v="Never"/>
    <n v="6"/>
    <n v="6"/>
    <n v="29.8"/>
    <n v="111"/>
    <n v="91"/>
    <n v="8062"/>
    <x v="1"/>
  </r>
  <r>
    <x v="909"/>
    <n v="11.1"/>
    <x v="36"/>
    <s v="Good"/>
    <s v="No"/>
    <s v="Rarely"/>
    <n v="1"/>
    <n v="2"/>
    <n v="27.1"/>
    <n v="90"/>
    <n v="77"/>
    <n v="8063"/>
    <x v="0"/>
  </r>
  <r>
    <x v="910"/>
    <n v="4.0999999999999996"/>
    <x v="6"/>
    <s v="Average"/>
    <s v="No"/>
    <s v="Rarely"/>
    <n v="18"/>
    <n v="7"/>
    <n v="24.8"/>
    <n v="94"/>
    <n v="98"/>
    <n v="7937"/>
    <x v="1"/>
  </r>
  <r>
    <x v="911"/>
    <n v="6.6"/>
    <x v="27"/>
    <s v="Excellent"/>
    <s v="No"/>
    <s v="Weekly"/>
    <n v="38"/>
    <n v="2"/>
    <n v="33.299999999999997"/>
    <n v="96"/>
    <n v="92"/>
    <n v="8034"/>
    <x v="0"/>
  </r>
  <r>
    <x v="912"/>
    <n v="5.3"/>
    <x v="25"/>
    <s v="Good"/>
    <s v="No"/>
    <s v="Weekly"/>
    <n v="20"/>
    <n v="6"/>
    <n v="25.7"/>
    <n v="143"/>
    <n v="67"/>
    <n v="8032"/>
    <x v="0"/>
  </r>
  <r>
    <x v="913"/>
    <n v="8.1999999999999993"/>
    <x v="5"/>
    <s v="Average"/>
    <s v="No"/>
    <s v="Rarely"/>
    <n v="15"/>
    <n v="4"/>
    <n v="26.1"/>
    <n v="112"/>
    <n v="73"/>
    <n v="8164"/>
    <x v="2"/>
  </r>
  <r>
    <x v="914"/>
    <n v="15.9"/>
    <x v="2"/>
    <s v="Average"/>
    <s v="No"/>
    <s v="Rarely"/>
    <n v="11"/>
    <n v="1"/>
    <n v="21.8"/>
    <n v="119"/>
    <n v="92"/>
    <n v="8149"/>
    <x v="0"/>
  </r>
  <r>
    <x v="915"/>
    <n v="8.9"/>
    <x v="32"/>
    <s v="Excellent"/>
    <s v="No"/>
    <s v="Rarely"/>
    <n v="4"/>
    <n v="8"/>
    <n v="24.1"/>
    <n v="141"/>
    <n v="83"/>
    <n v="7919"/>
    <x v="1"/>
  </r>
  <r>
    <x v="916"/>
    <n v="12.1"/>
    <x v="29"/>
    <s v="Good"/>
    <s v="No"/>
    <s v="Daily"/>
    <n v="29"/>
    <n v="1"/>
    <n v="16.5"/>
    <n v="123"/>
    <n v="68"/>
    <n v="7800"/>
    <x v="0"/>
  </r>
  <r>
    <x v="917"/>
    <n v="8.8000000000000007"/>
    <x v="27"/>
    <s v="Good"/>
    <s v="No"/>
    <s v="Rarely"/>
    <n v="32"/>
    <n v="9"/>
    <n v="31.3"/>
    <n v="136"/>
    <n v="86"/>
    <n v="8039"/>
    <x v="0"/>
  </r>
  <r>
    <x v="918"/>
    <n v="13.4"/>
    <x v="6"/>
    <s v="Poor"/>
    <s v="Yes"/>
    <s v="Several_times_a_week"/>
    <n v="1"/>
    <n v="7"/>
    <n v="25.2"/>
    <n v="144"/>
    <n v="71"/>
    <n v="7987"/>
    <x v="1"/>
  </r>
  <r>
    <x v="919"/>
    <n v="8.1999999999999993"/>
    <x v="42"/>
    <s v="Good"/>
    <s v="No"/>
    <s v="Never"/>
    <n v="17"/>
    <n v="1"/>
    <n v="23.8"/>
    <n v="100"/>
    <n v="85"/>
    <n v="7888"/>
    <x v="1"/>
  </r>
  <r>
    <x v="920"/>
    <n v="11.6"/>
    <x v="30"/>
    <s v="Excellent"/>
    <s v="No"/>
    <s v="Never"/>
    <n v="35"/>
    <n v="6"/>
    <n v="26.7"/>
    <n v="151"/>
    <n v="90"/>
    <n v="8007"/>
    <x v="1"/>
  </r>
  <r>
    <x v="921"/>
    <n v="8.1"/>
    <x v="10"/>
    <s v="Good"/>
    <s v="Yes"/>
    <s v="Daily"/>
    <n v="14"/>
    <n v="2"/>
    <n v="24.3"/>
    <n v="153"/>
    <n v="79"/>
    <n v="7909"/>
    <x v="2"/>
  </r>
  <r>
    <x v="922"/>
    <n v="5.0999999999999996"/>
    <x v="25"/>
    <s v="Good"/>
    <s v="No"/>
    <s v="Never"/>
    <n v="6"/>
    <n v="10"/>
    <n v="26.1"/>
    <n v="116"/>
    <n v="75"/>
    <n v="8094"/>
    <x v="0"/>
  </r>
  <r>
    <x v="923"/>
    <n v="5.4"/>
    <x v="4"/>
    <s v="Average"/>
    <s v="No"/>
    <s v="Rarely"/>
    <n v="34"/>
    <n v="5"/>
    <n v="24.1"/>
    <n v="90"/>
    <n v="79"/>
    <n v="8078"/>
    <x v="0"/>
  </r>
  <r>
    <x v="924"/>
    <n v="8.9"/>
    <x v="20"/>
    <s v="Good"/>
    <s v="No"/>
    <s v="Never"/>
    <n v="40"/>
    <n v="3"/>
    <n v="25.1"/>
    <n v="128"/>
    <n v="75"/>
    <n v="8129"/>
    <x v="0"/>
  </r>
  <r>
    <x v="925"/>
    <n v="12.2"/>
    <x v="20"/>
    <s v="Poor"/>
    <s v="No"/>
    <s v="Rarely"/>
    <n v="4"/>
    <n v="8"/>
    <n v="19"/>
    <n v="156"/>
    <n v="84"/>
    <n v="8119"/>
    <x v="0"/>
  </r>
  <r>
    <x v="926"/>
    <n v="6.5"/>
    <x v="42"/>
    <s v="Excellent"/>
    <s v="No"/>
    <s v="Weekly"/>
    <n v="32"/>
    <n v="10"/>
    <n v="22.8"/>
    <n v="93"/>
    <n v="93"/>
    <n v="7992"/>
    <x v="1"/>
  </r>
  <r>
    <x v="927"/>
    <n v="2.4"/>
    <x v="37"/>
    <s v="Good"/>
    <s v="No"/>
    <s v="Rarely"/>
    <n v="3"/>
    <n v="3"/>
    <n v="24"/>
    <n v="120"/>
    <n v="92"/>
    <n v="8031"/>
    <x v="1"/>
  </r>
  <r>
    <x v="928"/>
    <n v="7.3"/>
    <x v="2"/>
    <s v="Good"/>
    <s v="Yes"/>
    <s v="Several_times_a_week"/>
    <n v="37"/>
    <n v="7"/>
    <n v="26.8"/>
    <n v="119"/>
    <n v="80"/>
    <n v="8044"/>
    <x v="0"/>
  </r>
  <r>
    <x v="929"/>
    <n v="10.5"/>
    <x v="7"/>
    <s v="Good"/>
    <s v="No"/>
    <s v="Rarely"/>
    <n v="1"/>
    <n v="7"/>
    <n v="20.3"/>
    <n v="112"/>
    <n v="95"/>
    <n v="8007"/>
    <x v="0"/>
  </r>
  <r>
    <x v="930"/>
    <n v="6.2"/>
    <x v="35"/>
    <s v="Poor"/>
    <s v="No"/>
    <s v="Never"/>
    <n v="12"/>
    <n v="3"/>
    <n v="16.600000000000001"/>
    <n v="103"/>
    <n v="81"/>
    <n v="8020"/>
    <x v="2"/>
  </r>
  <r>
    <x v="931"/>
    <n v="7.9"/>
    <x v="11"/>
    <s v="Average"/>
    <s v="No"/>
    <s v="Rarely"/>
    <n v="20"/>
    <n v="2"/>
    <n v="16.899999999999999"/>
    <n v="159"/>
    <n v="88"/>
    <n v="8078"/>
    <x v="0"/>
  </r>
  <r>
    <x v="932"/>
    <n v="1.4"/>
    <x v="25"/>
    <s v="Very_poor"/>
    <s v="No"/>
    <s v="Several_times_a_week"/>
    <n v="4"/>
    <n v="8"/>
    <n v="20.7"/>
    <n v="149"/>
    <n v="73"/>
    <n v="8109"/>
    <x v="0"/>
  </r>
  <r>
    <x v="933"/>
    <n v="9.6999999999999993"/>
    <x v="21"/>
    <s v="Good"/>
    <s v="No"/>
    <s v="Never"/>
    <n v="20"/>
    <n v="1"/>
    <n v="25.1"/>
    <n v="143"/>
    <n v="64"/>
    <n v="8139"/>
    <x v="0"/>
  </r>
  <r>
    <x v="934"/>
    <n v="3.3"/>
    <x v="0"/>
    <s v="Good"/>
    <s v="No"/>
    <s v="Rarely"/>
    <n v="19"/>
    <n v="2"/>
    <n v="29"/>
    <n v="159"/>
    <n v="92"/>
    <n v="7969"/>
    <x v="0"/>
  </r>
  <r>
    <x v="935"/>
    <n v="12.1"/>
    <x v="1"/>
    <s v="Poor"/>
    <s v="No"/>
    <s v="Rarely"/>
    <n v="15"/>
    <n v="4"/>
    <n v="28.3"/>
    <n v="127"/>
    <n v="67"/>
    <n v="7847"/>
    <x v="1"/>
  </r>
  <r>
    <x v="936"/>
    <n v="8.6999999999999993"/>
    <x v="19"/>
    <s v="Poor"/>
    <s v="Yes"/>
    <s v="Weekly"/>
    <n v="5"/>
    <n v="1"/>
    <n v="28.6"/>
    <n v="123"/>
    <n v="69"/>
    <n v="8114"/>
    <x v="0"/>
  </r>
  <r>
    <x v="937"/>
    <n v="6"/>
    <x v="10"/>
    <s v="Good"/>
    <s v="Yes"/>
    <s v="Never"/>
    <n v="23"/>
    <n v="3"/>
    <n v="25.1"/>
    <n v="145"/>
    <n v="65"/>
    <n v="7974"/>
    <x v="2"/>
  </r>
  <r>
    <x v="938"/>
    <n v="7.2"/>
    <x v="15"/>
    <s v="Poor"/>
    <s v="Yes"/>
    <s v="Several_times_a_week"/>
    <n v="20"/>
    <n v="5"/>
    <n v="29.6"/>
    <n v="143"/>
    <n v="74"/>
    <n v="8072"/>
    <x v="0"/>
  </r>
  <r>
    <x v="939"/>
    <n v="5.0999999999999996"/>
    <x v="22"/>
    <s v="Average"/>
    <s v="No"/>
    <s v="Rarely"/>
    <n v="11"/>
    <n v="2"/>
    <n v="22.5"/>
    <n v="94"/>
    <n v="96"/>
    <n v="7967"/>
    <x v="0"/>
  </r>
  <r>
    <x v="940"/>
    <n v="11.6"/>
    <x v="14"/>
    <s v="Good"/>
    <s v="No"/>
    <s v="Daily"/>
    <n v="25"/>
    <n v="7"/>
    <n v="25.2"/>
    <n v="144"/>
    <n v="99"/>
    <n v="7961"/>
    <x v="0"/>
  </r>
  <r>
    <x v="941"/>
    <n v="7.4"/>
    <x v="29"/>
    <s v="Excellent"/>
    <s v="No"/>
    <s v="Never"/>
    <n v="34"/>
    <n v="9"/>
    <n v="19.600000000000001"/>
    <n v="149"/>
    <n v="68"/>
    <n v="7958"/>
    <x v="0"/>
  </r>
  <r>
    <x v="942"/>
    <n v="6.3"/>
    <x v="4"/>
    <s v="Poor"/>
    <s v="No"/>
    <s v="Never"/>
    <n v="38"/>
    <n v="7"/>
    <n v="24.9"/>
    <n v="157"/>
    <n v="69"/>
    <n v="8031"/>
    <x v="0"/>
  </r>
  <r>
    <x v="943"/>
    <n v="6.4"/>
    <x v="0"/>
    <s v="Average"/>
    <s v="No"/>
    <s v="Never"/>
    <n v="39"/>
    <n v="1"/>
    <n v="21.6"/>
    <n v="139"/>
    <n v="78"/>
    <n v="8008"/>
    <x v="0"/>
  </r>
  <r>
    <x v="944"/>
    <n v="11.6"/>
    <x v="5"/>
    <s v="Good"/>
    <s v="Yes"/>
    <s v="Weekly"/>
    <n v="14"/>
    <n v="6"/>
    <n v="29.5"/>
    <n v="134"/>
    <n v="84"/>
    <n v="7988"/>
    <x v="2"/>
  </r>
  <r>
    <x v="945"/>
    <n v="5.9"/>
    <x v="27"/>
    <s v="Poor"/>
    <s v="No"/>
    <s v="Never"/>
    <n v="16"/>
    <n v="8"/>
    <n v="29.6"/>
    <n v="113"/>
    <n v="96"/>
    <n v="7930"/>
    <x v="0"/>
  </r>
  <r>
    <x v="946"/>
    <n v="5.3"/>
    <x v="29"/>
    <s v="Good"/>
    <s v="No"/>
    <s v="Weekly"/>
    <n v="12"/>
    <n v="10"/>
    <n v="21.3"/>
    <n v="104"/>
    <n v="63"/>
    <n v="8046"/>
    <x v="0"/>
  </r>
  <r>
    <x v="947"/>
    <n v="6.7"/>
    <x v="11"/>
    <s v="Average"/>
    <s v="Yes"/>
    <s v="Weekly"/>
    <n v="8"/>
    <n v="3"/>
    <n v="25.3"/>
    <n v="158"/>
    <n v="98"/>
    <n v="7880"/>
    <x v="0"/>
  </r>
  <r>
    <x v="948"/>
    <n v="3"/>
    <x v="2"/>
    <s v="Excellent"/>
    <s v="No"/>
    <s v="Weekly"/>
    <n v="13"/>
    <n v="4"/>
    <n v="25"/>
    <n v="116"/>
    <n v="93"/>
    <n v="7980"/>
    <x v="0"/>
  </r>
  <r>
    <x v="949"/>
    <n v="5.8"/>
    <x v="21"/>
    <s v="Average"/>
    <s v="Former"/>
    <s v="Rarely"/>
    <n v="34"/>
    <n v="8"/>
    <n v="23"/>
    <n v="117"/>
    <n v="89"/>
    <n v="8179"/>
    <x v="0"/>
  </r>
  <r>
    <x v="950"/>
    <n v="10"/>
    <x v="0"/>
    <s v="Excellent"/>
    <s v="No"/>
    <s v="Rarely"/>
    <n v="38"/>
    <n v="2"/>
    <n v="27.9"/>
    <n v="139"/>
    <n v="88"/>
    <n v="7993"/>
    <x v="0"/>
  </r>
  <r>
    <x v="951"/>
    <n v="7.7"/>
    <x v="33"/>
    <s v="Average"/>
    <s v="No"/>
    <s v="Never"/>
    <n v="20"/>
    <n v="9"/>
    <n v="25"/>
    <n v="108"/>
    <n v="73"/>
    <n v="8007"/>
    <x v="0"/>
  </r>
  <r>
    <x v="952"/>
    <n v="1.3"/>
    <x v="9"/>
    <s v="Poor"/>
    <s v="No"/>
    <s v="Never"/>
    <n v="2"/>
    <n v="8"/>
    <n v="19.8"/>
    <n v="126"/>
    <n v="65"/>
    <n v="8002"/>
    <x v="0"/>
  </r>
  <r>
    <x v="953"/>
    <n v="5.4"/>
    <x v="33"/>
    <s v="Poor"/>
    <s v="No"/>
    <s v="Weekly"/>
    <n v="20"/>
    <n v="2"/>
    <n v="29.2"/>
    <n v="98"/>
    <n v="67"/>
    <n v="8090"/>
    <x v="0"/>
  </r>
  <r>
    <x v="954"/>
    <n v="7.7"/>
    <x v="31"/>
    <s v="Good"/>
    <s v="No"/>
    <s v="Weekly"/>
    <n v="31"/>
    <n v="6"/>
    <n v="19.5"/>
    <n v="144"/>
    <n v="71"/>
    <n v="8125"/>
    <x v="2"/>
  </r>
  <r>
    <x v="955"/>
    <n v="7.2"/>
    <x v="0"/>
    <s v="Good"/>
    <s v="No"/>
    <s v="Never"/>
    <n v="33"/>
    <n v="4"/>
    <n v="24.1"/>
    <n v="119"/>
    <n v="88"/>
    <n v="7833"/>
    <x v="0"/>
  </r>
  <r>
    <x v="956"/>
    <n v="13.9"/>
    <x v="13"/>
    <s v="Poor"/>
    <s v="No"/>
    <s v="Rarely"/>
    <n v="12"/>
    <n v="2"/>
    <n v="31"/>
    <n v="128"/>
    <n v="82"/>
    <n v="7980"/>
    <x v="0"/>
  </r>
  <r>
    <x v="957"/>
    <n v="11.3"/>
    <x v="15"/>
    <s v="Good"/>
    <s v="No"/>
    <s v="Rarely"/>
    <n v="21"/>
    <n v="4"/>
    <n v="26.3"/>
    <n v="122"/>
    <n v="83"/>
    <n v="8060"/>
    <x v="0"/>
  </r>
  <r>
    <x v="958"/>
    <n v="4.4000000000000004"/>
    <x v="52"/>
    <s v="Average"/>
    <s v="No"/>
    <s v="Several_times_a_week"/>
    <n v="35"/>
    <n v="8"/>
    <n v="31.9"/>
    <n v="126"/>
    <n v="64"/>
    <n v="8003"/>
    <x v="2"/>
  </r>
  <r>
    <x v="959"/>
    <n v="6.7"/>
    <x v="9"/>
    <s v="Good"/>
    <s v="Yes"/>
    <s v="Never"/>
    <n v="7"/>
    <n v="8"/>
    <n v="19.899999999999999"/>
    <n v="104"/>
    <n v="80"/>
    <n v="8042"/>
    <x v="0"/>
  </r>
  <r>
    <x v="960"/>
    <n v="11.1"/>
    <x v="18"/>
    <s v="Poor"/>
    <s v="No"/>
    <s v="Weekly"/>
    <n v="37"/>
    <n v="4"/>
    <n v="31.8"/>
    <n v="102"/>
    <n v="99"/>
    <n v="7912"/>
    <x v="2"/>
  </r>
  <r>
    <x v="961"/>
    <n v="11.1"/>
    <x v="11"/>
    <s v="Poor"/>
    <s v="No"/>
    <s v="Never"/>
    <n v="17"/>
    <n v="6"/>
    <n v="27.5"/>
    <n v="104"/>
    <n v="69"/>
    <n v="8096"/>
    <x v="0"/>
  </r>
  <r>
    <x v="962"/>
    <n v="3.8"/>
    <x v="29"/>
    <s v="Good"/>
    <s v="Former"/>
    <s v="Weekly"/>
    <n v="9"/>
    <n v="2"/>
    <n v="21.1"/>
    <n v="92"/>
    <n v="96"/>
    <n v="7969"/>
    <x v="0"/>
  </r>
  <r>
    <x v="963"/>
    <n v="9.5"/>
    <x v="39"/>
    <s v="Poor"/>
    <s v="No"/>
    <s v="Never"/>
    <n v="11"/>
    <n v="3"/>
    <n v="23.3"/>
    <n v="92"/>
    <n v="63"/>
    <n v="8041"/>
    <x v="1"/>
  </r>
  <r>
    <x v="964"/>
    <n v="3.5"/>
    <x v="29"/>
    <s v="Good"/>
    <s v="No"/>
    <s v="Never"/>
    <n v="14"/>
    <n v="6"/>
    <n v="27.2"/>
    <n v="114"/>
    <n v="61"/>
    <n v="8015"/>
    <x v="0"/>
  </r>
  <r>
    <x v="965"/>
    <n v="1"/>
    <x v="4"/>
    <s v="Poor"/>
    <s v="No"/>
    <s v="Rarely"/>
    <n v="20"/>
    <n v="2"/>
    <n v="21"/>
    <n v="91"/>
    <n v="98"/>
    <n v="7891"/>
    <x v="0"/>
  </r>
  <r>
    <x v="966"/>
    <n v="16.2"/>
    <x v="4"/>
    <s v="Poor"/>
    <s v="Former"/>
    <s v="Weekly"/>
    <n v="8"/>
    <n v="3"/>
    <n v="28.8"/>
    <n v="113"/>
    <n v="91"/>
    <n v="7901"/>
    <x v="0"/>
  </r>
  <r>
    <x v="967"/>
    <n v="11"/>
    <x v="29"/>
    <s v="Good"/>
    <s v="No"/>
    <s v="Never"/>
    <n v="13"/>
    <n v="9"/>
    <n v="25.3"/>
    <n v="138"/>
    <n v="88"/>
    <n v="8013"/>
    <x v="0"/>
  </r>
  <r>
    <x v="968"/>
    <n v="4.5999999999999996"/>
    <x v="19"/>
    <s v="Good"/>
    <s v="No"/>
    <s v="Never"/>
    <n v="2"/>
    <n v="4"/>
    <n v="28.2"/>
    <n v="121"/>
    <n v="72"/>
    <n v="7940"/>
    <x v="0"/>
  </r>
  <r>
    <x v="969"/>
    <n v="1.4"/>
    <x v="20"/>
    <s v="Good"/>
    <s v="No"/>
    <s v="Rarely"/>
    <n v="21"/>
    <n v="4"/>
    <n v="26.4"/>
    <n v="134"/>
    <n v="72"/>
    <n v="7855"/>
    <x v="0"/>
  </r>
  <r>
    <x v="970"/>
    <n v="14.1"/>
    <x v="12"/>
    <s v="Excellent"/>
    <s v="Yes"/>
    <s v="Never"/>
    <n v="26"/>
    <n v="6"/>
    <n v="25.9"/>
    <n v="129"/>
    <n v="80"/>
    <n v="8016"/>
    <x v="1"/>
  </r>
  <r>
    <x v="971"/>
    <n v="1.9"/>
    <x v="23"/>
    <s v="Poor"/>
    <s v="Former"/>
    <s v="Rarely"/>
    <n v="34"/>
    <n v="4"/>
    <n v="30.6"/>
    <n v="115"/>
    <n v="66"/>
    <n v="8048"/>
    <x v="2"/>
  </r>
  <r>
    <x v="972"/>
    <n v="7.7"/>
    <x v="31"/>
    <s v="Very_poor"/>
    <s v="No"/>
    <s v="Rarely"/>
    <n v="14"/>
    <n v="10"/>
    <n v="32.299999999999997"/>
    <n v="124"/>
    <n v="74"/>
    <n v="7936"/>
    <x v="2"/>
  </r>
  <r>
    <x v="973"/>
    <n v="6.8"/>
    <x v="2"/>
    <s v="Poor"/>
    <s v="No"/>
    <s v="Weekly"/>
    <n v="16"/>
    <n v="8"/>
    <n v="26.9"/>
    <n v="131"/>
    <n v="60"/>
    <n v="8016"/>
    <x v="0"/>
  </r>
  <r>
    <x v="974"/>
    <n v="20.6"/>
    <x v="8"/>
    <s v="Good"/>
    <s v="No"/>
    <s v="Never"/>
    <n v="35"/>
    <n v="3"/>
    <n v="22.1"/>
    <n v="147"/>
    <n v="96"/>
    <n v="7928"/>
    <x v="0"/>
  </r>
  <r>
    <x v="975"/>
    <n v="2.8"/>
    <x v="15"/>
    <s v="Average"/>
    <s v="Yes"/>
    <s v="Several_times_a_week"/>
    <n v="3"/>
    <n v="2"/>
    <n v="19.7"/>
    <n v="101"/>
    <n v="92"/>
    <n v="8052"/>
    <x v="0"/>
  </r>
  <r>
    <x v="976"/>
    <n v="15.2"/>
    <x v="29"/>
    <s v="Good"/>
    <s v="No"/>
    <s v="Weekly"/>
    <n v="13"/>
    <n v="8"/>
    <n v="24.8"/>
    <n v="119"/>
    <n v="84"/>
    <n v="7990"/>
    <x v="0"/>
  </r>
  <r>
    <x v="977"/>
    <n v="3.6"/>
    <x v="10"/>
    <s v="Poor"/>
    <s v="No"/>
    <s v="Rarely"/>
    <n v="0"/>
    <n v="1"/>
    <n v="24.3"/>
    <n v="132"/>
    <n v="87"/>
    <n v="7952"/>
    <x v="2"/>
  </r>
  <r>
    <x v="978"/>
    <n v="6.3"/>
    <x v="33"/>
    <s v="Good"/>
    <s v="No"/>
    <s v="Never"/>
    <n v="39"/>
    <n v="5"/>
    <n v="21.4"/>
    <n v="116"/>
    <n v="91"/>
    <n v="7959"/>
    <x v="0"/>
  </r>
  <r>
    <x v="979"/>
    <n v="4"/>
    <x v="17"/>
    <s v="Average"/>
    <s v="No"/>
    <s v="Never"/>
    <n v="23"/>
    <n v="10"/>
    <n v="20"/>
    <n v="120"/>
    <n v="90"/>
    <n v="8018"/>
    <x v="2"/>
  </r>
  <r>
    <x v="980"/>
    <n v="5"/>
    <x v="41"/>
    <s v="Poor"/>
    <s v="No"/>
    <s v="Weekly"/>
    <n v="14"/>
    <n v="8"/>
    <n v="28.7"/>
    <n v="105"/>
    <n v="88"/>
    <n v="7911"/>
    <x v="1"/>
  </r>
  <r>
    <x v="981"/>
    <n v="4.0999999999999996"/>
    <x v="31"/>
    <s v="Good"/>
    <s v="No"/>
    <s v="Never"/>
    <n v="26"/>
    <n v="2"/>
    <n v="24.5"/>
    <n v="151"/>
    <n v="81"/>
    <n v="7977"/>
    <x v="2"/>
  </r>
  <r>
    <x v="982"/>
    <n v="2.6"/>
    <x v="32"/>
    <s v="Good"/>
    <s v="No"/>
    <s v="Never"/>
    <n v="23"/>
    <n v="5"/>
    <n v="25.3"/>
    <n v="151"/>
    <n v="68"/>
    <n v="8056"/>
    <x v="1"/>
  </r>
  <r>
    <x v="983"/>
    <n v="3.9"/>
    <x v="31"/>
    <s v="Good"/>
    <s v="No"/>
    <s v="Rarely"/>
    <n v="37"/>
    <n v="9"/>
    <n v="20.9"/>
    <n v="143"/>
    <n v="88"/>
    <n v="7957"/>
    <x v="2"/>
  </r>
  <r>
    <x v="984"/>
    <n v="4.0999999999999996"/>
    <x v="8"/>
    <s v="Excellent"/>
    <s v="No"/>
    <s v="Never"/>
    <n v="4"/>
    <n v="6"/>
    <n v="25.2"/>
    <n v="131"/>
    <n v="86"/>
    <n v="7897"/>
    <x v="0"/>
  </r>
  <r>
    <x v="985"/>
    <n v="9.1999999999999993"/>
    <x v="36"/>
    <s v="Good"/>
    <s v="No"/>
    <s v="Rarely"/>
    <n v="22"/>
    <n v="4"/>
    <n v="17.2"/>
    <n v="156"/>
    <n v="95"/>
    <n v="8084"/>
    <x v="0"/>
  </r>
  <r>
    <x v="986"/>
    <n v="8"/>
    <x v="3"/>
    <s v="Average"/>
    <s v="Yes"/>
    <s v="Never"/>
    <n v="15"/>
    <n v="5"/>
    <n v="26.2"/>
    <n v="133"/>
    <n v="98"/>
    <n v="7975"/>
    <x v="0"/>
  </r>
  <r>
    <x v="987"/>
    <n v="11.4"/>
    <x v="53"/>
    <s v="Average"/>
    <s v="Yes"/>
    <s v="Never"/>
    <n v="27"/>
    <n v="7"/>
    <n v="18.2"/>
    <n v="126"/>
    <n v="95"/>
    <n v="8026"/>
    <x v="1"/>
  </r>
  <r>
    <x v="988"/>
    <n v="11"/>
    <x v="21"/>
    <s v="Average"/>
    <s v="No"/>
    <s v="Rarely"/>
    <n v="8"/>
    <n v="1"/>
    <n v="25.3"/>
    <n v="121"/>
    <n v="89"/>
    <n v="8061"/>
    <x v="0"/>
  </r>
  <r>
    <x v="989"/>
    <n v="4.2"/>
    <x v="16"/>
    <s v="Excellent"/>
    <s v="No"/>
    <s v="Rarely"/>
    <n v="16"/>
    <n v="5"/>
    <n v="22.3"/>
    <n v="107"/>
    <n v="98"/>
    <n v="7817"/>
    <x v="0"/>
  </r>
  <r>
    <x v="990"/>
    <n v="10.8"/>
    <x v="53"/>
    <s v="Very_poor"/>
    <s v="No"/>
    <s v="Never"/>
    <n v="36"/>
    <n v="5"/>
    <n v="18.100000000000001"/>
    <n v="142"/>
    <n v="68"/>
    <n v="8194"/>
    <x v="1"/>
  </r>
  <r>
    <x v="991"/>
    <n v="4.5"/>
    <x v="7"/>
    <s v="Very_poor"/>
    <s v="No"/>
    <s v="Rarely"/>
    <n v="13"/>
    <n v="10"/>
    <n v="22"/>
    <n v="157"/>
    <n v="81"/>
    <n v="8030"/>
    <x v="0"/>
  </r>
  <r>
    <x v="992"/>
    <n v="11.3"/>
    <x v="3"/>
    <s v="Excellent"/>
    <s v="No"/>
    <s v="Never"/>
    <n v="22"/>
    <n v="6"/>
    <n v="25.9"/>
    <n v="141"/>
    <n v="94"/>
    <n v="7955"/>
    <x v="0"/>
  </r>
  <r>
    <x v="993"/>
    <n v="5.5"/>
    <x v="41"/>
    <s v="Average"/>
    <s v="No"/>
    <s v="Never"/>
    <n v="3"/>
    <n v="3"/>
    <n v="25.7"/>
    <n v="135"/>
    <n v="80"/>
    <n v="8040"/>
    <x v="1"/>
  </r>
  <r>
    <x v="994"/>
    <n v="19.399999999999999"/>
    <x v="29"/>
    <s v="Average"/>
    <s v="No"/>
    <s v="Rarely"/>
    <n v="23"/>
    <n v="4"/>
    <n v="18.8"/>
    <n v="91"/>
    <n v="62"/>
    <n v="8001"/>
    <x v="0"/>
  </r>
  <r>
    <x v="995"/>
    <n v="3.4"/>
    <x v="11"/>
    <s v="Excellent"/>
    <s v="Yes"/>
    <s v="Rarely"/>
    <n v="36"/>
    <n v="4"/>
    <n v="27.7"/>
    <n v="101"/>
    <n v="97"/>
    <n v="7944"/>
    <x v="0"/>
  </r>
  <r>
    <x v="996"/>
    <n v="6.2"/>
    <x v="39"/>
    <s v="Average"/>
    <s v="No"/>
    <s v="Rarely"/>
    <n v="0"/>
    <n v="2"/>
    <n v="24.6"/>
    <n v="143"/>
    <n v="69"/>
    <n v="8050"/>
    <x v="1"/>
  </r>
  <r>
    <x v="997"/>
    <n v="8.6"/>
    <x v="5"/>
    <s v="Poor"/>
    <s v="No"/>
    <s v="Weekly"/>
    <n v="7"/>
    <n v="4"/>
    <n v="31.7"/>
    <n v="118"/>
    <n v="60"/>
    <n v="8026"/>
    <x v="2"/>
  </r>
  <r>
    <x v="998"/>
    <n v="11.5"/>
    <x v="31"/>
    <s v="Average"/>
    <s v="No"/>
    <s v="Never"/>
    <n v="21"/>
    <n v="1"/>
    <n v="22.4"/>
    <n v="125"/>
    <n v="67"/>
    <n v="8020"/>
    <x v="2"/>
  </r>
  <r>
    <x v="999"/>
    <n v="5.2"/>
    <x v="2"/>
    <s v="Average"/>
    <s v="No"/>
    <s v="Never"/>
    <n v="3"/>
    <n v="5"/>
    <n v="21.7"/>
    <n v="159"/>
    <n v="76"/>
    <n v="7983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n v="49.9"/>
    <n v="3"/>
    <n v="4"/>
    <n v="7"/>
    <n v="4.3"/>
    <n v="0"/>
    <x v="0"/>
  </r>
  <r>
    <n v="2"/>
    <n v="15.6"/>
    <n v="0"/>
    <n v="5"/>
    <n v="10"/>
    <n v="4.7"/>
    <n v="2"/>
    <x v="1"/>
  </r>
  <r>
    <n v="3"/>
    <n v="31.8"/>
    <n v="4"/>
    <n v="5"/>
    <n v="14"/>
    <n v="1.5"/>
    <n v="2"/>
    <x v="2"/>
  </r>
  <r>
    <n v="4"/>
    <n v="43.4"/>
    <n v="2"/>
    <n v="3"/>
    <n v="13"/>
    <n v="3.3"/>
    <n v="4"/>
    <x v="0"/>
  </r>
  <r>
    <n v="5"/>
    <n v="50.2"/>
    <n v="2"/>
    <n v="2"/>
    <n v="12"/>
    <n v="4.5"/>
    <n v="3"/>
    <x v="0"/>
  </r>
  <r>
    <n v="6"/>
    <n v="36.200000000000003"/>
    <n v="4"/>
    <n v="3"/>
    <n v="7"/>
    <n v="4.7"/>
    <n v="1"/>
    <x v="2"/>
  </r>
  <r>
    <n v="7"/>
    <n v="38.5"/>
    <n v="4"/>
    <n v="6"/>
    <n v="9"/>
    <n v="1.9"/>
    <n v="4"/>
    <x v="2"/>
  </r>
  <r>
    <n v="8"/>
    <n v="26"/>
    <n v="1"/>
    <n v="2"/>
    <n v="11"/>
    <n v="5.7"/>
    <n v="3"/>
    <x v="2"/>
  </r>
  <r>
    <n v="9"/>
    <n v="27.4"/>
    <n v="5"/>
    <n v="3"/>
    <n v="13"/>
    <n v="2.2000000000000002"/>
    <n v="4"/>
    <x v="2"/>
  </r>
  <r>
    <n v="10"/>
    <n v="37.700000000000003"/>
    <n v="5"/>
    <n v="3"/>
    <n v="12"/>
    <n v="7"/>
    <n v="2"/>
    <x v="2"/>
  </r>
  <r>
    <n v="11"/>
    <n v="30.4"/>
    <n v="2"/>
    <n v="5"/>
    <n v="8"/>
    <n v="2.6"/>
    <n v="2"/>
    <x v="2"/>
  </r>
  <r>
    <n v="12"/>
    <n v="57.2"/>
    <n v="3"/>
    <n v="2"/>
    <n v="13"/>
    <n v="1.2"/>
    <n v="2"/>
    <x v="0"/>
  </r>
  <r>
    <n v="13"/>
    <n v="34.700000000000003"/>
    <n v="4"/>
    <n v="3"/>
    <n v="12"/>
    <n v="1.8"/>
    <n v="1"/>
    <x v="2"/>
  </r>
  <r>
    <n v="14"/>
    <n v="37.6"/>
    <n v="3"/>
    <n v="3"/>
    <n v="10"/>
    <n v="3.2"/>
    <n v="2"/>
    <x v="2"/>
  </r>
  <r>
    <n v="15"/>
    <n v="45.6"/>
    <n v="1"/>
    <n v="3"/>
    <n v="6"/>
    <n v="3.5"/>
    <n v="2"/>
    <x v="0"/>
  </r>
  <r>
    <n v="16"/>
    <n v="38.799999999999997"/>
    <n v="3"/>
    <n v="2"/>
    <n v="9"/>
    <n v="2.7"/>
    <n v="3"/>
    <x v="2"/>
  </r>
  <r>
    <n v="17"/>
    <n v="31.5"/>
    <n v="5"/>
    <n v="7"/>
    <n v="12"/>
    <n v="1.9"/>
    <n v="2"/>
    <x v="2"/>
  </r>
  <r>
    <n v="18"/>
    <n v="58.9"/>
    <n v="2"/>
    <n v="2"/>
    <n v="7"/>
    <n v="6.2"/>
    <n v="1"/>
    <x v="0"/>
  </r>
  <r>
    <n v="19"/>
    <n v="53.9"/>
    <n v="3"/>
    <n v="2"/>
    <n v="11"/>
    <n v="1.8"/>
    <n v="5"/>
    <x v="0"/>
  </r>
  <r>
    <n v="20"/>
    <n v="40.299999999999997"/>
    <n v="3"/>
    <n v="0"/>
    <n v="9"/>
    <n v="0.3"/>
    <n v="1"/>
    <x v="0"/>
  </r>
  <r>
    <n v="21"/>
    <n v="26.9"/>
    <n v="3"/>
    <n v="4"/>
    <n v="5"/>
    <n v="2.9"/>
    <n v="3"/>
    <x v="2"/>
  </r>
  <r>
    <n v="22"/>
    <n v="20"/>
    <n v="3"/>
    <n v="5"/>
    <n v="10"/>
    <n v="1.9"/>
    <n v="5"/>
    <x v="2"/>
  </r>
  <r>
    <n v="23"/>
    <n v="43"/>
    <n v="6"/>
    <n v="3"/>
    <n v="5"/>
    <n v="1.2"/>
    <n v="2"/>
    <x v="0"/>
  </r>
  <r>
    <n v="24"/>
    <n v="37.5"/>
    <n v="4"/>
    <n v="5"/>
    <n v="9"/>
    <n v="1.6"/>
    <n v="4"/>
    <x v="2"/>
  </r>
  <r>
    <n v="25"/>
    <n v="45.2"/>
    <n v="2"/>
    <n v="0"/>
    <n v="12"/>
    <n v="2.6"/>
    <n v="0"/>
    <x v="0"/>
  </r>
  <r>
    <n v="26"/>
    <n v="39"/>
    <n v="3"/>
    <n v="2"/>
    <n v="14"/>
    <n v="2.9"/>
    <n v="0"/>
    <x v="2"/>
  </r>
  <r>
    <n v="27"/>
    <n v="39.4"/>
    <n v="2"/>
    <n v="6"/>
    <n v="8"/>
    <n v="1.1000000000000001"/>
    <n v="5"/>
    <x v="2"/>
  </r>
  <r>
    <n v="28"/>
    <n v="41.5"/>
    <n v="4"/>
    <n v="4"/>
    <n v="13"/>
    <n v="4.8"/>
    <n v="3"/>
    <x v="0"/>
  </r>
  <r>
    <n v="29"/>
    <n v="44.5"/>
    <n v="2"/>
    <n v="1"/>
    <n v="12"/>
    <n v="5.0999999999999996"/>
    <n v="5"/>
    <x v="0"/>
  </r>
  <r>
    <n v="30"/>
    <n v="35.700000000000003"/>
    <n v="6"/>
    <n v="6"/>
    <n v="14"/>
    <n v="0.1"/>
    <n v="1"/>
    <x v="2"/>
  </r>
  <r>
    <n v="31"/>
    <n v="23"/>
    <n v="2"/>
    <n v="2"/>
    <n v="6"/>
    <n v="3.7"/>
    <n v="4"/>
    <x v="2"/>
  </r>
  <r>
    <n v="32"/>
    <n v="32.1"/>
    <n v="3"/>
    <n v="3"/>
    <n v="6"/>
    <n v="3.1"/>
    <n v="4"/>
    <x v="2"/>
  </r>
  <r>
    <n v="33"/>
    <n v="58.3"/>
    <n v="1"/>
    <n v="5"/>
    <n v="12"/>
    <n v="4.0999999999999996"/>
    <n v="3"/>
    <x v="0"/>
  </r>
  <r>
    <n v="34"/>
    <n v="31.6"/>
    <n v="5"/>
    <n v="6"/>
    <n v="14"/>
    <n v="0.8"/>
    <n v="3"/>
    <x v="2"/>
  </r>
  <r>
    <n v="35"/>
    <n v="44.9"/>
    <n v="4"/>
    <n v="4"/>
    <n v="11"/>
    <n v="2.2999999999999998"/>
    <n v="1"/>
    <x v="0"/>
  </r>
  <r>
    <n v="36"/>
    <n v="44.8"/>
    <n v="4"/>
    <n v="5"/>
    <n v="10"/>
    <n v="1.5"/>
    <n v="2"/>
    <x v="0"/>
  </r>
  <r>
    <n v="37"/>
    <n v="55.1"/>
    <n v="3"/>
    <n v="6"/>
    <n v="5"/>
    <n v="13"/>
    <n v="3"/>
    <x v="0"/>
  </r>
  <r>
    <n v="38"/>
    <n v="35.4"/>
    <n v="3"/>
    <n v="1"/>
    <n v="10"/>
    <n v="8"/>
    <n v="3"/>
    <x v="2"/>
  </r>
  <r>
    <n v="39"/>
    <n v="32.6"/>
    <n v="4"/>
    <n v="2"/>
    <n v="13"/>
    <n v="4.4000000000000004"/>
    <n v="4"/>
    <x v="2"/>
  </r>
  <r>
    <n v="40"/>
    <n v="48.6"/>
    <n v="2"/>
    <n v="1"/>
    <n v="12"/>
    <n v="5"/>
    <n v="4"/>
    <x v="0"/>
  </r>
  <r>
    <n v="41"/>
    <n v="19"/>
    <n v="7"/>
    <n v="1"/>
    <n v="12"/>
    <n v="8.5"/>
    <n v="2"/>
    <x v="1"/>
  </r>
  <r>
    <n v="42"/>
    <n v="28.9"/>
    <n v="3"/>
    <n v="4"/>
    <n v="12"/>
    <n v="5.4"/>
    <n v="0"/>
    <x v="2"/>
  </r>
  <r>
    <n v="43"/>
    <n v="33.4"/>
    <n v="4"/>
    <n v="2"/>
    <n v="11"/>
    <n v="12.5"/>
    <n v="1"/>
    <x v="2"/>
  </r>
  <r>
    <n v="44"/>
    <n v="30.6"/>
    <n v="3"/>
    <n v="3"/>
    <n v="12"/>
    <n v="4.5999999999999996"/>
    <n v="4"/>
    <x v="2"/>
  </r>
  <r>
    <n v="45"/>
    <n v="26"/>
    <n v="3"/>
    <n v="7"/>
    <n v="8"/>
    <n v="7.9"/>
    <n v="4"/>
    <x v="2"/>
  </r>
  <r>
    <n v="46"/>
    <n v="48.5"/>
    <n v="2"/>
    <n v="7"/>
    <n v="6"/>
    <n v="1"/>
    <n v="2"/>
    <x v="0"/>
  </r>
  <r>
    <n v="47"/>
    <n v="22.6"/>
    <n v="6"/>
    <n v="3"/>
    <n v="15"/>
    <n v="5.0999999999999996"/>
    <n v="3"/>
    <x v="2"/>
  </r>
  <r>
    <n v="48"/>
    <n v="36.6"/>
    <n v="3"/>
    <n v="5"/>
    <n v="14"/>
    <n v="4"/>
    <n v="2"/>
    <x v="2"/>
  </r>
  <r>
    <n v="49"/>
    <n v="40.700000000000003"/>
    <n v="5"/>
    <n v="3"/>
    <n v="6"/>
    <n v="2"/>
    <n v="2"/>
    <x v="0"/>
  </r>
  <r>
    <n v="50"/>
    <n v="31.7"/>
    <n v="2"/>
    <n v="3"/>
    <n v="10"/>
    <n v="7.4"/>
    <n v="4"/>
    <x v="2"/>
  </r>
  <r>
    <n v="51"/>
    <n v="30.5"/>
    <n v="1"/>
    <n v="3"/>
    <n v="8"/>
    <n v="2.5"/>
    <n v="6"/>
    <x v="2"/>
  </r>
  <r>
    <n v="52"/>
    <n v="39.4"/>
    <n v="2"/>
    <n v="5"/>
    <n v="11"/>
    <n v="4.7"/>
    <n v="4"/>
    <x v="2"/>
  </r>
  <r>
    <n v="53"/>
    <n v="54.5"/>
    <n v="6"/>
    <n v="4"/>
    <n v="8"/>
    <n v="2.2999999999999998"/>
    <n v="4"/>
    <x v="0"/>
  </r>
  <r>
    <n v="54"/>
    <n v="42.6"/>
    <n v="3"/>
    <n v="0"/>
    <n v="8"/>
    <n v="6.9"/>
    <n v="2"/>
    <x v="0"/>
  </r>
  <r>
    <n v="55"/>
    <n v="36.799999999999997"/>
    <n v="2"/>
    <n v="0"/>
    <n v="15"/>
    <n v="2.1"/>
    <n v="3"/>
    <x v="2"/>
  </r>
  <r>
    <n v="56"/>
    <n v="37.700000000000003"/>
    <n v="4"/>
    <n v="2"/>
    <n v="7"/>
    <n v="3.5"/>
    <n v="5"/>
    <x v="2"/>
  </r>
  <r>
    <n v="57"/>
    <n v="40.1"/>
    <n v="1"/>
    <n v="5"/>
    <n v="13"/>
    <n v="6.1"/>
    <n v="4"/>
    <x v="0"/>
  </r>
  <r>
    <n v="58"/>
    <n v="36"/>
    <n v="1"/>
    <n v="2"/>
    <n v="8"/>
    <n v="6.3"/>
    <n v="4"/>
    <x v="2"/>
  </r>
  <r>
    <n v="59"/>
    <n v="52.6"/>
    <n v="3"/>
    <n v="5"/>
    <n v="10"/>
    <n v="9.9"/>
    <n v="0"/>
    <x v="0"/>
  </r>
  <r>
    <n v="60"/>
    <n v="44.9"/>
    <n v="1"/>
    <n v="9"/>
    <n v="7"/>
    <n v="1.6"/>
    <n v="4"/>
    <x v="0"/>
  </r>
  <r>
    <n v="61"/>
    <n v="42.5"/>
    <n v="1"/>
    <n v="3"/>
    <n v="13"/>
    <n v="3.7"/>
    <n v="3"/>
    <x v="0"/>
  </r>
  <r>
    <n v="62"/>
    <n v="54.9"/>
    <n v="4"/>
    <n v="6"/>
    <n v="10"/>
    <n v="5.0999999999999996"/>
    <n v="2"/>
    <x v="0"/>
  </r>
  <r>
    <n v="63"/>
    <n v="29.4"/>
    <n v="5"/>
    <n v="4"/>
    <n v="10"/>
    <n v="7.7"/>
    <n v="6"/>
    <x v="2"/>
  </r>
  <r>
    <n v="64"/>
    <n v="44.9"/>
    <n v="4"/>
    <n v="3"/>
    <n v="7"/>
    <n v="6.2"/>
    <n v="4"/>
    <x v="0"/>
  </r>
  <r>
    <n v="65"/>
    <n v="42.9"/>
    <n v="2"/>
    <n v="5"/>
    <n v="14"/>
    <n v="1.8"/>
    <n v="2"/>
    <x v="0"/>
  </r>
  <r>
    <n v="66"/>
    <n v="41.1"/>
    <n v="1"/>
    <n v="2"/>
    <n v="5"/>
    <n v="1.5"/>
    <n v="2"/>
    <x v="0"/>
  </r>
  <r>
    <n v="67"/>
    <n v="54.2"/>
    <n v="3"/>
    <n v="3"/>
    <n v="6"/>
    <n v="3.2"/>
    <n v="2"/>
    <x v="0"/>
  </r>
  <r>
    <n v="68"/>
    <n v="22.4"/>
    <n v="1"/>
    <n v="2"/>
    <n v="10"/>
    <n v="3.7"/>
    <n v="3"/>
    <x v="2"/>
  </r>
  <r>
    <n v="69"/>
    <n v="48.3"/>
    <n v="5"/>
    <n v="6"/>
    <n v="12"/>
    <n v="1.3"/>
    <n v="2"/>
    <x v="0"/>
  </r>
  <r>
    <n v="70"/>
    <n v="30.3"/>
    <n v="5"/>
    <n v="2"/>
    <n v="12"/>
    <n v="0.9"/>
    <n v="6"/>
    <x v="2"/>
  </r>
  <r>
    <n v="71"/>
    <n v="51.4"/>
    <n v="1"/>
    <n v="8"/>
    <n v="13"/>
    <n v="7.7"/>
    <n v="4"/>
    <x v="0"/>
  </r>
  <r>
    <n v="72"/>
    <n v="46.9"/>
    <n v="3"/>
    <n v="3"/>
    <n v="7"/>
    <n v="3.1"/>
    <n v="1"/>
    <x v="0"/>
  </r>
  <r>
    <n v="73"/>
    <n v="41.9"/>
    <n v="3"/>
    <n v="6"/>
    <n v="10"/>
    <n v="5.0999999999999996"/>
    <n v="3"/>
    <x v="0"/>
  </r>
  <r>
    <n v="74"/>
    <n v="36.9"/>
    <n v="2"/>
    <n v="0"/>
    <n v="9"/>
    <n v="5.0999999999999996"/>
    <n v="2"/>
    <x v="2"/>
  </r>
  <r>
    <n v="75"/>
    <n v="23.4"/>
    <n v="3"/>
    <n v="0"/>
    <n v="11"/>
    <n v="2.4"/>
    <n v="2"/>
    <x v="2"/>
  </r>
  <r>
    <n v="76"/>
    <n v="44.8"/>
    <n v="2"/>
    <n v="4"/>
    <n v="13"/>
    <n v="0.3"/>
    <n v="5"/>
    <x v="0"/>
  </r>
  <r>
    <n v="77"/>
    <n v="54.5"/>
    <n v="0"/>
    <n v="5"/>
    <n v="8"/>
    <n v="1.6"/>
    <n v="2"/>
    <x v="0"/>
  </r>
  <r>
    <n v="78"/>
    <n v="49.9"/>
    <n v="3"/>
    <n v="3"/>
    <n v="16"/>
    <n v="5.3"/>
    <n v="2"/>
    <x v="0"/>
  </r>
  <r>
    <n v="79"/>
    <n v="47.3"/>
    <n v="1"/>
    <n v="10"/>
    <n v="10"/>
    <n v="1.1000000000000001"/>
    <n v="1"/>
    <x v="0"/>
  </r>
  <r>
    <n v="80"/>
    <n v="30.2"/>
    <n v="2"/>
    <n v="5"/>
    <n v="7"/>
    <n v="1.8"/>
    <n v="4"/>
    <x v="2"/>
  </r>
  <r>
    <n v="81"/>
    <n v="28.3"/>
    <n v="3"/>
    <n v="5"/>
    <n v="12"/>
    <n v="2.7"/>
    <n v="3"/>
    <x v="2"/>
  </r>
  <r>
    <n v="82"/>
    <n v="33.799999999999997"/>
    <n v="0"/>
    <n v="3"/>
    <n v="8"/>
    <n v="3.3"/>
    <n v="1"/>
    <x v="2"/>
  </r>
  <r>
    <n v="83"/>
    <n v="41.9"/>
    <n v="3"/>
    <n v="6"/>
    <n v="19"/>
    <n v="4.0999999999999996"/>
    <n v="5"/>
    <x v="0"/>
  </r>
  <r>
    <n v="84"/>
    <n v="43.5"/>
    <n v="2"/>
    <n v="4"/>
    <n v="10"/>
    <n v="3.8"/>
    <n v="1"/>
    <x v="0"/>
  </r>
  <r>
    <n v="85"/>
    <n v="45.4"/>
    <n v="1"/>
    <n v="1"/>
    <n v="18"/>
    <n v="1.2"/>
    <n v="3"/>
    <x v="0"/>
  </r>
  <r>
    <n v="86"/>
    <n v="46.9"/>
    <n v="2"/>
    <n v="2"/>
    <n v="5"/>
    <n v="4.5999999999999996"/>
    <n v="1"/>
    <x v="0"/>
  </r>
  <r>
    <n v="87"/>
    <n v="37.299999999999997"/>
    <n v="8"/>
    <n v="3"/>
    <n v="10"/>
    <n v="2"/>
    <n v="1"/>
    <x v="2"/>
  </r>
  <r>
    <n v="88"/>
    <n v="17.7"/>
    <n v="3"/>
    <n v="3"/>
    <n v="7"/>
    <n v="6.7"/>
    <n v="1"/>
    <x v="1"/>
  </r>
  <r>
    <n v="89"/>
    <n v="37.4"/>
    <n v="4"/>
    <n v="4"/>
    <n v="14"/>
    <n v="3.9"/>
    <n v="7"/>
    <x v="2"/>
  </r>
  <r>
    <n v="90"/>
    <n v="34.5"/>
    <n v="3"/>
    <n v="5"/>
    <n v="7"/>
    <n v="7.8"/>
    <n v="5"/>
    <x v="2"/>
  </r>
  <r>
    <n v="91"/>
    <n v="40.6"/>
    <n v="0"/>
    <n v="3"/>
    <n v="8"/>
    <n v="2.2999999999999998"/>
    <n v="3"/>
    <x v="0"/>
  </r>
  <r>
    <n v="92"/>
    <n v="37.299999999999997"/>
    <n v="3"/>
    <n v="2"/>
    <n v="12"/>
    <n v="3.1"/>
    <n v="3"/>
    <x v="2"/>
  </r>
  <r>
    <n v="93"/>
    <n v="18.2"/>
    <n v="3"/>
    <n v="5"/>
    <n v="8"/>
    <n v="8.3000000000000007"/>
    <n v="3"/>
    <x v="1"/>
  </r>
  <r>
    <n v="94"/>
    <n v="50"/>
    <n v="3"/>
    <n v="6"/>
    <n v="7"/>
    <n v="2.2999999999999998"/>
    <n v="1"/>
    <x v="0"/>
  </r>
  <r>
    <n v="95"/>
    <n v="37.6"/>
    <n v="6"/>
    <n v="4"/>
    <n v="8"/>
    <n v="6.6"/>
    <n v="4"/>
    <x v="2"/>
  </r>
  <r>
    <n v="96"/>
    <n v="42.1"/>
    <n v="2"/>
    <n v="1"/>
    <n v="8"/>
    <n v="4.3"/>
    <n v="5"/>
    <x v="0"/>
  </r>
  <r>
    <n v="97"/>
    <n v="50.7"/>
    <n v="2"/>
    <n v="3"/>
    <n v="13"/>
    <n v="4.7"/>
    <n v="2"/>
    <x v="0"/>
  </r>
  <r>
    <n v="98"/>
    <n v="35.4"/>
    <n v="2"/>
    <n v="4"/>
    <n v="15"/>
    <n v="2.9"/>
    <n v="2"/>
    <x v="2"/>
  </r>
  <r>
    <n v="99"/>
    <n v="45.1"/>
    <n v="6"/>
    <n v="3"/>
    <n v="6"/>
    <n v="3.3"/>
    <n v="5"/>
    <x v="0"/>
  </r>
  <r>
    <n v="100"/>
    <n v="43.7"/>
    <n v="2"/>
    <n v="2"/>
    <n v="10"/>
    <n v="5.0999999999999996"/>
    <n v="3"/>
    <x v="0"/>
  </r>
  <r>
    <n v="101"/>
    <n v="12.7"/>
    <n v="1"/>
    <n v="3"/>
    <n v="5"/>
    <n v="1.4"/>
    <n v="0"/>
    <x v="1"/>
  </r>
  <r>
    <n v="102"/>
    <n v="39.6"/>
    <n v="4"/>
    <n v="3"/>
    <n v="12"/>
    <n v="5.8"/>
    <n v="0"/>
    <x v="2"/>
  </r>
  <r>
    <n v="103"/>
    <n v="43"/>
    <n v="6"/>
    <n v="4"/>
    <n v="10"/>
    <n v="3.1"/>
    <n v="3"/>
    <x v="0"/>
  </r>
  <r>
    <n v="104"/>
    <n v="48.8"/>
    <n v="2"/>
    <n v="5"/>
    <n v="14"/>
    <n v="2.7"/>
    <n v="4"/>
    <x v="0"/>
  </r>
  <r>
    <n v="105"/>
    <n v="47.8"/>
    <n v="0"/>
    <n v="4"/>
    <n v="7"/>
    <n v="3.6"/>
    <n v="3"/>
    <x v="0"/>
  </r>
  <r>
    <n v="106"/>
    <n v="34.700000000000003"/>
    <n v="4"/>
    <n v="4"/>
    <n v="14"/>
    <n v="3"/>
    <n v="1"/>
    <x v="2"/>
  </r>
  <r>
    <n v="107"/>
    <n v="34"/>
    <n v="2"/>
    <n v="4"/>
    <n v="12"/>
    <n v="3"/>
    <n v="5"/>
    <x v="2"/>
  </r>
  <r>
    <n v="108"/>
    <n v="55.4"/>
    <n v="3"/>
    <n v="4"/>
    <n v="10"/>
    <n v="2.1"/>
    <n v="3"/>
    <x v="0"/>
  </r>
  <r>
    <n v="109"/>
    <n v="31.6"/>
    <n v="7"/>
    <n v="4"/>
    <n v="12"/>
    <n v="1.2"/>
    <n v="1"/>
    <x v="2"/>
  </r>
  <r>
    <n v="110"/>
    <n v="35.6"/>
    <n v="0"/>
    <n v="6"/>
    <n v="8"/>
    <n v="9.5"/>
    <n v="4"/>
    <x v="2"/>
  </r>
  <r>
    <n v="111"/>
    <n v="30.1"/>
    <n v="3"/>
    <n v="5"/>
    <n v="13"/>
    <n v="4.3"/>
    <n v="2"/>
    <x v="2"/>
  </r>
  <r>
    <n v="112"/>
    <n v="44.7"/>
    <n v="2"/>
    <n v="4"/>
    <n v="9"/>
    <n v="2.2999999999999998"/>
    <n v="1"/>
    <x v="0"/>
  </r>
  <r>
    <n v="113"/>
    <n v="34.799999999999997"/>
    <n v="4"/>
    <n v="4"/>
    <n v="8"/>
    <n v="5.6"/>
    <n v="5"/>
    <x v="2"/>
  </r>
  <r>
    <n v="114"/>
    <n v="33.799999999999997"/>
    <n v="2"/>
    <n v="4"/>
    <n v="10"/>
    <n v="2"/>
    <n v="4"/>
    <x v="2"/>
  </r>
  <r>
    <n v="115"/>
    <n v="38.299999999999997"/>
    <n v="5"/>
    <n v="4"/>
    <n v="10"/>
    <n v="1"/>
    <n v="1"/>
    <x v="2"/>
  </r>
  <r>
    <n v="116"/>
    <n v="31.4"/>
    <n v="1"/>
    <n v="4"/>
    <n v="10"/>
    <n v="7.7"/>
    <n v="3"/>
    <x v="2"/>
  </r>
  <r>
    <n v="117"/>
    <n v="26.5"/>
    <n v="6"/>
    <n v="6"/>
    <n v="7"/>
    <n v="6.5"/>
    <n v="4"/>
    <x v="2"/>
  </r>
  <r>
    <n v="118"/>
    <n v="34.4"/>
    <n v="2"/>
    <n v="2"/>
    <n v="4"/>
    <n v="7.2"/>
    <n v="3"/>
    <x v="2"/>
  </r>
  <r>
    <n v="119"/>
    <n v="53.3"/>
    <n v="2"/>
    <n v="1"/>
    <n v="13"/>
    <n v="2.2000000000000002"/>
    <n v="5"/>
    <x v="0"/>
  </r>
  <r>
    <n v="120"/>
    <n v="45"/>
    <n v="4"/>
    <n v="4"/>
    <n v="14"/>
    <n v="6.7"/>
    <n v="4"/>
    <x v="0"/>
  </r>
  <r>
    <n v="121"/>
    <n v="26.7"/>
    <n v="4"/>
    <n v="7"/>
    <n v="8"/>
    <n v="2.1"/>
    <n v="3"/>
    <x v="2"/>
  </r>
  <r>
    <n v="122"/>
    <n v="45.7"/>
    <n v="2"/>
    <n v="4"/>
    <n v="6"/>
    <n v="0"/>
    <n v="4"/>
    <x v="0"/>
  </r>
  <r>
    <n v="123"/>
    <n v="32"/>
    <n v="2"/>
    <n v="4"/>
    <n v="7"/>
    <n v="0.7"/>
    <n v="2"/>
    <x v="2"/>
  </r>
  <r>
    <n v="124"/>
    <n v="51.5"/>
    <n v="3"/>
    <n v="6"/>
    <n v="12"/>
    <n v="7.2"/>
    <n v="0"/>
    <x v="0"/>
  </r>
  <r>
    <n v="125"/>
    <n v="21.1"/>
    <n v="1"/>
    <n v="4"/>
    <n v="9"/>
    <n v="8.3000000000000007"/>
    <n v="3"/>
    <x v="2"/>
  </r>
  <r>
    <n v="126"/>
    <n v="42.3"/>
    <n v="3"/>
    <n v="4"/>
    <n v="7"/>
    <n v="3.9"/>
    <n v="4"/>
    <x v="0"/>
  </r>
  <r>
    <n v="127"/>
    <n v="33.9"/>
    <n v="3"/>
    <n v="3"/>
    <n v="9"/>
    <n v="6.4"/>
    <n v="5"/>
    <x v="2"/>
  </r>
  <r>
    <n v="128"/>
    <n v="38.299999999999997"/>
    <n v="5"/>
    <n v="3"/>
    <n v="6"/>
    <n v="0.9"/>
    <n v="6"/>
    <x v="2"/>
  </r>
  <r>
    <n v="129"/>
    <n v="47.6"/>
    <n v="8"/>
    <n v="7"/>
    <n v="9"/>
    <n v="3.6"/>
    <n v="4"/>
    <x v="0"/>
  </r>
  <r>
    <n v="130"/>
    <n v="35.700000000000003"/>
    <n v="3"/>
    <n v="3"/>
    <n v="20"/>
    <n v="2.2999999999999998"/>
    <n v="3"/>
    <x v="2"/>
  </r>
  <r>
    <n v="131"/>
    <n v="30.1"/>
    <n v="3"/>
    <n v="5"/>
    <n v="9"/>
    <n v="2.2999999999999998"/>
    <n v="3"/>
    <x v="2"/>
  </r>
  <r>
    <n v="132"/>
    <n v="39.4"/>
    <n v="3"/>
    <n v="3"/>
    <n v="4"/>
    <n v="3.5"/>
    <n v="0"/>
    <x v="2"/>
  </r>
  <r>
    <n v="133"/>
    <n v="55"/>
    <n v="2"/>
    <n v="3"/>
    <n v="4"/>
    <n v="4.9000000000000004"/>
    <n v="3"/>
    <x v="0"/>
  </r>
  <r>
    <n v="134"/>
    <n v="35.200000000000003"/>
    <n v="3"/>
    <n v="6"/>
    <n v="11"/>
    <n v="0.1"/>
    <n v="2"/>
    <x v="2"/>
  </r>
  <r>
    <n v="135"/>
    <n v="20.8"/>
    <n v="2"/>
    <n v="7"/>
    <n v="6"/>
    <n v="2.4"/>
    <n v="1"/>
    <x v="2"/>
  </r>
  <r>
    <n v="136"/>
    <n v="48.7"/>
    <n v="3"/>
    <n v="2"/>
    <n v="9"/>
    <n v="3.7"/>
    <n v="3"/>
    <x v="0"/>
  </r>
  <r>
    <n v="137"/>
    <n v="38.5"/>
    <n v="2"/>
    <n v="1"/>
    <n v="8"/>
    <n v="4.0999999999999996"/>
    <n v="5"/>
    <x v="2"/>
  </r>
  <r>
    <n v="138"/>
    <n v="29.8"/>
    <n v="4"/>
    <n v="1"/>
    <n v="13"/>
    <n v="2.9"/>
    <n v="2"/>
    <x v="2"/>
  </r>
  <r>
    <n v="139"/>
    <n v="36.4"/>
    <n v="4"/>
    <n v="8"/>
    <n v="11"/>
    <n v="4.5"/>
    <n v="4"/>
    <x v="2"/>
  </r>
  <r>
    <n v="140"/>
    <n v="37.4"/>
    <n v="4"/>
    <n v="4"/>
    <n v="11"/>
    <n v="6.4"/>
    <n v="2"/>
    <x v="2"/>
  </r>
  <r>
    <n v="141"/>
    <n v="38"/>
    <n v="3"/>
    <n v="3"/>
    <n v="11"/>
    <n v="2.2000000000000002"/>
    <n v="3"/>
    <x v="2"/>
  </r>
  <r>
    <n v="142"/>
    <n v="57.3"/>
    <n v="6"/>
    <n v="9"/>
    <n v="11"/>
    <n v="8"/>
    <n v="0"/>
    <x v="0"/>
  </r>
  <r>
    <n v="143"/>
    <n v="54.5"/>
    <n v="1"/>
    <n v="4"/>
    <n v="5"/>
    <n v="1.4"/>
    <n v="3"/>
    <x v="0"/>
  </r>
  <r>
    <n v="144"/>
    <n v="46"/>
    <n v="1"/>
    <n v="3"/>
    <n v="12"/>
    <n v="0.5"/>
    <n v="3"/>
    <x v="0"/>
  </r>
  <r>
    <n v="145"/>
    <n v="31.7"/>
    <n v="0"/>
    <n v="8"/>
    <n v="11"/>
    <n v="3.6"/>
    <n v="7"/>
    <x v="2"/>
  </r>
  <r>
    <n v="146"/>
    <n v="22.8"/>
    <n v="3"/>
    <n v="4"/>
    <n v="6"/>
    <n v="2.5"/>
    <n v="2"/>
    <x v="2"/>
  </r>
  <r>
    <n v="147"/>
    <n v="33.200000000000003"/>
    <n v="3"/>
    <n v="2"/>
    <n v="7"/>
    <n v="6.8"/>
    <n v="4"/>
    <x v="2"/>
  </r>
  <r>
    <n v="148"/>
    <n v="31.6"/>
    <n v="1"/>
    <n v="3"/>
    <n v="11"/>
    <n v="0.9"/>
    <n v="2"/>
    <x v="2"/>
  </r>
  <r>
    <n v="149"/>
    <n v="26.4"/>
    <n v="4"/>
    <n v="3"/>
    <n v="10"/>
    <n v="2.7"/>
    <n v="5"/>
    <x v="2"/>
  </r>
  <r>
    <n v="150"/>
    <n v="42.1"/>
    <n v="1"/>
    <n v="5"/>
    <n v="10"/>
    <n v="4.5"/>
    <n v="0"/>
    <x v="0"/>
  </r>
  <r>
    <n v="151"/>
    <n v="40.9"/>
    <n v="4"/>
    <n v="3"/>
    <n v="13"/>
    <n v="1.6"/>
    <n v="4"/>
    <x v="0"/>
  </r>
  <r>
    <n v="152"/>
    <n v="46.7"/>
    <n v="2"/>
    <n v="0"/>
    <n v="8"/>
    <n v="5.9"/>
    <n v="3"/>
    <x v="0"/>
  </r>
  <r>
    <n v="153"/>
    <n v="27"/>
    <n v="1"/>
    <n v="2"/>
    <n v="14"/>
    <n v="4"/>
    <n v="3"/>
    <x v="2"/>
  </r>
  <r>
    <n v="154"/>
    <n v="37"/>
    <n v="0"/>
    <n v="5"/>
    <n v="12"/>
    <n v="6"/>
    <n v="3"/>
    <x v="2"/>
  </r>
  <r>
    <n v="155"/>
    <n v="53.1"/>
    <n v="6"/>
    <n v="4"/>
    <n v="13"/>
    <n v="5.4"/>
    <n v="0"/>
    <x v="0"/>
  </r>
  <r>
    <n v="156"/>
    <n v="38.6"/>
    <n v="0"/>
    <n v="3"/>
    <n v="8"/>
    <n v="2.4"/>
    <n v="4"/>
    <x v="2"/>
  </r>
  <r>
    <n v="157"/>
    <n v="51.5"/>
    <n v="5"/>
    <n v="6"/>
    <n v="18"/>
    <n v="2.7"/>
    <n v="2"/>
    <x v="0"/>
  </r>
  <r>
    <n v="158"/>
    <n v="36.200000000000003"/>
    <n v="2"/>
    <n v="5"/>
    <n v="12"/>
    <n v="2.6"/>
    <n v="4"/>
    <x v="2"/>
  </r>
  <r>
    <n v="159"/>
    <n v="47.9"/>
    <n v="4"/>
    <n v="3"/>
    <n v="10"/>
    <n v="7.1"/>
    <n v="3"/>
    <x v="0"/>
  </r>
  <r>
    <n v="160"/>
    <n v="33.6"/>
    <n v="5"/>
    <n v="3"/>
    <n v="6"/>
    <n v="2.6"/>
    <n v="3"/>
    <x v="2"/>
  </r>
  <r>
    <n v="161"/>
    <n v="34.5"/>
    <n v="2"/>
    <n v="2"/>
    <n v="13"/>
    <n v="5"/>
    <n v="4"/>
    <x v="2"/>
  </r>
  <r>
    <n v="162"/>
    <n v="48.8"/>
    <n v="4"/>
    <n v="3"/>
    <n v="8"/>
    <n v="2.5"/>
    <n v="4"/>
    <x v="0"/>
  </r>
  <r>
    <n v="163"/>
    <n v="41.9"/>
    <n v="1"/>
    <n v="3"/>
    <n v="11"/>
    <n v="2.2000000000000002"/>
    <n v="3"/>
    <x v="0"/>
  </r>
  <r>
    <n v="164"/>
    <n v="49.4"/>
    <n v="3"/>
    <n v="6"/>
    <n v="9"/>
    <n v="0.5"/>
    <n v="2"/>
    <x v="0"/>
  </r>
  <r>
    <n v="165"/>
    <n v="36.5"/>
    <n v="6"/>
    <n v="5"/>
    <n v="10"/>
    <n v="1"/>
    <n v="0"/>
    <x v="2"/>
  </r>
  <r>
    <n v="166"/>
    <n v="54.9"/>
    <n v="4"/>
    <n v="2"/>
    <n v="13"/>
    <n v="6.4"/>
    <n v="5"/>
    <x v="0"/>
  </r>
  <r>
    <n v="167"/>
    <n v="40.700000000000003"/>
    <n v="3"/>
    <n v="5"/>
    <n v="9"/>
    <n v="7.6"/>
    <n v="0"/>
    <x v="0"/>
  </r>
  <r>
    <n v="168"/>
    <n v="61.9"/>
    <n v="4"/>
    <n v="5"/>
    <n v="7"/>
    <n v="3.2"/>
    <n v="7"/>
    <x v="3"/>
  </r>
  <r>
    <n v="169"/>
    <n v="35.200000000000003"/>
    <n v="2"/>
    <n v="4"/>
    <n v="8"/>
    <n v="1.7"/>
    <n v="2"/>
    <x v="2"/>
  </r>
  <r>
    <n v="170"/>
    <n v="41.4"/>
    <n v="2"/>
    <n v="1"/>
    <n v="11"/>
    <n v="4.2"/>
    <n v="5"/>
    <x v="0"/>
  </r>
  <r>
    <n v="171"/>
    <n v="28.7"/>
    <n v="3"/>
    <n v="5"/>
    <n v="12"/>
    <n v="7.6"/>
    <n v="2"/>
    <x v="2"/>
  </r>
  <r>
    <n v="172"/>
    <n v="33.9"/>
    <n v="2"/>
    <n v="3"/>
    <n v="8"/>
    <n v="0.3"/>
    <n v="1"/>
    <x v="2"/>
  </r>
  <r>
    <n v="173"/>
    <n v="40"/>
    <n v="3"/>
    <n v="4"/>
    <n v="13"/>
    <n v="4.0999999999999996"/>
    <n v="4"/>
    <x v="2"/>
  </r>
  <r>
    <n v="174"/>
    <n v="16.100000000000001"/>
    <n v="4"/>
    <n v="4"/>
    <n v="16"/>
    <n v="6.6"/>
    <n v="3"/>
    <x v="1"/>
  </r>
  <r>
    <n v="175"/>
    <n v="39"/>
    <n v="2"/>
    <n v="5"/>
    <n v="7"/>
    <n v="1.6"/>
    <n v="1"/>
    <x v="2"/>
  </r>
  <r>
    <n v="176"/>
    <n v="33.299999999999997"/>
    <n v="3"/>
    <n v="5"/>
    <n v="4"/>
    <n v="1.2"/>
    <n v="1"/>
    <x v="2"/>
  </r>
  <r>
    <n v="177"/>
    <n v="40.6"/>
    <n v="0"/>
    <n v="5"/>
    <n v="11"/>
    <n v="11.1"/>
    <n v="1"/>
    <x v="0"/>
  </r>
  <r>
    <n v="178"/>
    <n v="42.9"/>
    <n v="0"/>
    <n v="4"/>
    <n v="6"/>
    <n v="7.8"/>
    <n v="0"/>
    <x v="0"/>
  </r>
  <r>
    <n v="179"/>
    <n v="45.7"/>
    <n v="4"/>
    <n v="7"/>
    <n v="9"/>
    <n v="1.9"/>
    <n v="3"/>
    <x v="0"/>
  </r>
  <r>
    <n v="180"/>
    <n v="20"/>
    <n v="4"/>
    <n v="3"/>
    <n v="9"/>
    <n v="9.1"/>
    <n v="2"/>
    <x v="2"/>
  </r>
  <r>
    <n v="181"/>
    <n v="37.6"/>
    <n v="0"/>
    <n v="7"/>
    <n v="10"/>
    <n v="6.5"/>
    <n v="1"/>
    <x v="2"/>
  </r>
  <r>
    <n v="182"/>
    <n v="38.6"/>
    <n v="3"/>
    <n v="6"/>
    <n v="10"/>
    <n v="6.8"/>
    <n v="2"/>
    <x v="2"/>
  </r>
  <r>
    <n v="183"/>
    <n v="39.700000000000003"/>
    <n v="1"/>
    <n v="9"/>
    <n v="20"/>
    <n v="0.7"/>
    <n v="2"/>
    <x v="2"/>
  </r>
  <r>
    <n v="184"/>
    <n v="49.7"/>
    <n v="4"/>
    <n v="2"/>
    <n v="11"/>
    <n v="1.9"/>
    <n v="2"/>
    <x v="0"/>
  </r>
  <r>
    <n v="185"/>
    <n v="39.700000000000003"/>
    <n v="2"/>
    <n v="6"/>
    <n v="10"/>
    <n v="4.5"/>
    <n v="3"/>
    <x v="2"/>
  </r>
  <r>
    <n v="186"/>
    <n v="44.2"/>
    <n v="1"/>
    <n v="8"/>
    <n v="11"/>
    <n v="7.6"/>
    <n v="2"/>
    <x v="0"/>
  </r>
  <r>
    <n v="187"/>
    <n v="53.9"/>
    <n v="2"/>
    <n v="4"/>
    <n v="7"/>
    <n v="10.5"/>
    <n v="6"/>
    <x v="0"/>
  </r>
  <r>
    <n v="188"/>
    <n v="40.5"/>
    <n v="2"/>
    <n v="5"/>
    <n v="13"/>
    <n v="1.5"/>
    <n v="3"/>
    <x v="0"/>
  </r>
  <r>
    <n v="189"/>
    <n v="37.299999999999997"/>
    <n v="5"/>
    <n v="2"/>
    <n v="9"/>
    <n v="4.7"/>
    <n v="2"/>
    <x v="2"/>
  </r>
  <r>
    <n v="190"/>
    <n v="53.6"/>
    <n v="4"/>
    <n v="2"/>
    <n v="12"/>
    <n v="3.4"/>
    <n v="2"/>
    <x v="0"/>
  </r>
  <r>
    <n v="191"/>
    <n v="49.8"/>
    <n v="2"/>
    <n v="7"/>
    <n v="15"/>
    <n v="7.2"/>
    <n v="4"/>
    <x v="0"/>
  </r>
  <r>
    <n v="192"/>
    <n v="42.5"/>
    <n v="5"/>
    <n v="6"/>
    <n v="9"/>
    <n v="1.8"/>
    <n v="2"/>
    <x v="0"/>
  </r>
  <r>
    <n v="193"/>
    <n v="48.3"/>
    <n v="4"/>
    <n v="5"/>
    <n v="7"/>
    <n v="6.4"/>
    <n v="4"/>
    <x v="0"/>
  </r>
  <r>
    <n v="194"/>
    <n v="21.7"/>
    <n v="3"/>
    <n v="4"/>
    <n v="8"/>
    <n v="1"/>
    <n v="1"/>
    <x v="2"/>
  </r>
  <r>
    <n v="195"/>
    <n v="45.2"/>
    <n v="4"/>
    <n v="6"/>
    <n v="17"/>
    <n v="2.8"/>
    <n v="0"/>
    <x v="0"/>
  </r>
  <r>
    <n v="196"/>
    <n v="41.4"/>
    <n v="3"/>
    <n v="1"/>
    <n v="10"/>
    <n v="3.4"/>
    <n v="7"/>
    <x v="0"/>
  </r>
  <r>
    <n v="197"/>
    <n v="47.5"/>
    <n v="3"/>
    <n v="6"/>
    <n v="9"/>
    <n v="2.7"/>
    <n v="3"/>
    <x v="0"/>
  </r>
  <r>
    <n v="198"/>
    <n v="36.4"/>
    <n v="4"/>
    <n v="3"/>
    <n v="6"/>
    <n v="5.4"/>
    <n v="2"/>
    <x v="2"/>
  </r>
  <r>
    <n v="199"/>
    <n v="36"/>
    <n v="5"/>
    <n v="6"/>
    <n v="10"/>
    <n v="7.5"/>
    <n v="3"/>
    <x v="2"/>
  </r>
  <r>
    <n v="200"/>
    <n v="49.5"/>
    <n v="1"/>
    <n v="8"/>
    <n v="11"/>
    <n v="7.3"/>
    <n v="2"/>
    <x v="0"/>
  </r>
  <r>
    <n v="201"/>
    <n v="31.5"/>
    <n v="3"/>
    <n v="2"/>
    <n v="9"/>
    <n v="2"/>
    <n v="3"/>
    <x v="2"/>
  </r>
  <r>
    <n v="202"/>
    <n v="42.6"/>
    <n v="1"/>
    <n v="4"/>
    <n v="10"/>
    <n v="5.0999999999999996"/>
    <n v="5"/>
    <x v="0"/>
  </r>
  <r>
    <n v="203"/>
    <n v="36.200000000000003"/>
    <n v="3"/>
    <n v="4"/>
    <n v="7"/>
    <n v="3.8"/>
    <n v="4"/>
    <x v="2"/>
  </r>
  <r>
    <n v="204"/>
    <n v="26.3"/>
    <n v="3"/>
    <n v="6"/>
    <n v="13"/>
    <n v="5.0999999999999996"/>
    <n v="7"/>
    <x v="2"/>
  </r>
  <r>
    <n v="205"/>
    <n v="43.8"/>
    <n v="1"/>
    <n v="2"/>
    <n v="11"/>
    <n v="10.6"/>
    <n v="4"/>
    <x v="0"/>
  </r>
  <r>
    <n v="206"/>
    <n v="38.1"/>
    <n v="0"/>
    <n v="6"/>
    <n v="21"/>
    <n v="3.9"/>
    <n v="2"/>
    <x v="2"/>
  </r>
  <r>
    <n v="207"/>
    <n v="38.799999999999997"/>
    <n v="3"/>
    <n v="3"/>
    <n v="7"/>
    <n v="2.2999999999999998"/>
    <n v="2"/>
    <x v="2"/>
  </r>
  <r>
    <n v="208"/>
    <n v="60.2"/>
    <n v="2"/>
    <n v="2"/>
    <n v="9"/>
    <n v="3.4"/>
    <n v="1"/>
    <x v="3"/>
  </r>
  <r>
    <n v="209"/>
    <n v="44.4"/>
    <n v="3"/>
    <n v="3"/>
    <n v="8"/>
    <n v="4.2"/>
    <n v="4"/>
    <x v="0"/>
  </r>
  <r>
    <n v="210"/>
    <n v="41.2"/>
    <n v="1"/>
    <n v="6"/>
    <n v="9"/>
    <n v="2.8"/>
    <n v="3"/>
    <x v="0"/>
  </r>
  <r>
    <n v="211"/>
    <n v="52.2"/>
    <n v="4"/>
    <n v="4"/>
    <n v="4"/>
    <n v="1.4"/>
    <n v="3"/>
    <x v="0"/>
  </r>
  <r>
    <n v="212"/>
    <n v="27.3"/>
    <n v="6"/>
    <n v="2"/>
    <n v="12"/>
    <n v="5.7"/>
    <n v="1"/>
    <x v="2"/>
  </r>
  <r>
    <n v="213"/>
    <n v="22.4"/>
    <n v="3"/>
    <n v="2"/>
    <n v="7"/>
    <n v="2.8"/>
    <n v="5"/>
    <x v="2"/>
  </r>
  <r>
    <n v="214"/>
    <n v="50.3"/>
    <n v="2"/>
    <n v="1"/>
    <n v="11"/>
    <n v="3.9"/>
    <n v="2"/>
    <x v="0"/>
  </r>
  <r>
    <n v="215"/>
    <n v="26.9"/>
    <n v="2"/>
    <n v="4"/>
    <n v="21"/>
    <n v="4.3"/>
    <n v="2"/>
    <x v="2"/>
  </r>
  <r>
    <n v="216"/>
    <n v="46.9"/>
    <n v="1"/>
    <n v="4"/>
    <n v="9"/>
    <n v="0.5"/>
    <n v="3"/>
    <x v="0"/>
  </r>
  <r>
    <n v="217"/>
    <n v="51.9"/>
    <n v="4"/>
    <n v="5"/>
    <n v="11"/>
    <n v="3.9"/>
    <n v="1"/>
    <x v="0"/>
  </r>
  <r>
    <n v="218"/>
    <n v="49.6"/>
    <n v="2"/>
    <n v="3"/>
    <n v="7"/>
    <n v="8.9"/>
    <n v="1"/>
    <x v="0"/>
  </r>
  <r>
    <n v="219"/>
    <n v="52.8"/>
    <n v="4"/>
    <n v="3"/>
    <n v="8"/>
    <n v="0.7"/>
    <n v="3"/>
    <x v="0"/>
  </r>
  <r>
    <n v="220"/>
    <n v="32.799999999999997"/>
    <n v="5"/>
    <n v="6"/>
    <n v="12"/>
    <n v="10.5"/>
    <n v="1"/>
    <x v="2"/>
  </r>
  <r>
    <n v="221"/>
    <n v="41.8"/>
    <n v="3"/>
    <n v="2"/>
    <n v="6"/>
    <n v="4.0999999999999996"/>
    <n v="5"/>
    <x v="0"/>
  </r>
  <r>
    <n v="222"/>
    <n v="47"/>
    <n v="4"/>
    <n v="6"/>
    <n v="15"/>
    <n v="3"/>
    <n v="7"/>
    <x v="0"/>
  </r>
  <r>
    <n v="223"/>
    <n v="24.4"/>
    <n v="0"/>
    <n v="7"/>
    <n v="12"/>
    <n v="0.4"/>
    <n v="2"/>
    <x v="2"/>
  </r>
  <r>
    <n v="224"/>
    <n v="17.3"/>
    <n v="3"/>
    <n v="5"/>
    <n v="16"/>
    <n v="1.7"/>
    <n v="1"/>
    <x v="1"/>
  </r>
  <r>
    <n v="225"/>
    <n v="33.700000000000003"/>
    <n v="3"/>
    <n v="6"/>
    <n v="16"/>
    <n v="3.1"/>
    <n v="4"/>
    <x v="2"/>
  </r>
  <r>
    <n v="226"/>
    <n v="32.799999999999997"/>
    <n v="3"/>
    <n v="3"/>
    <n v="18"/>
    <n v="7.2"/>
    <n v="1"/>
    <x v="2"/>
  </r>
  <r>
    <n v="227"/>
    <n v="38"/>
    <n v="4"/>
    <n v="2"/>
    <n v="12"/>
    <n v="2.5"/>
    <n v="3"/>
    <x v="2"/>
  </r>
  <r>
    <n v="228"/>
    <n v="42.3"/>
    <n v="4"/>
    <n v="4"/>
    <n v="13"/>
    <n v="4.3"/>
    <n v="6"/>
    <x v="0"/>
  </r>
  <r>
    <n v="229"/>
    <n v="30.5"/>
    <n v="4"/>
    <n v="2"/>
    <n v="7"/>
    <n v="4.5"/>
    <n v="1"/>
    <x v="2"/>
  </r>
  <r>
    <n v="230"/>
    <n v="44.1"/>
    <n v="3"/>
    <n v="6"/>
    <n v="4"/>
    <n v="8.6999999999999993"/>
    <n v="4"/>
    <x v="0"/>
  </r>
  <r>
    <n v="231"/>
    <n v="46.8"/>
    <n v="2"/>
    <n v="7"/>
    <n v="7"/>
    <n v="1.4"/>
    <n v="3"/>
    <x v="0"/>
  </r>
  <r>
    <n v="232"/>
    <n v="30.3"/>
    <n v="2"/>
    <n v="2"/>
    <n v="10"/>
    <n v="0.5"/>
    <n v="4"/>
    <x v="2"/>
  </r>
  <r>
    <n v="233"/>
    <n v="25.9"/>
    <n v="3"/>
    <n v="2"/>
    <n v="12"/>
    <n v="0.4"/>
    <n v="2"/>
    <x v="2"/>
  </r>
  <r>
    <n v="234"/>
    <n v="39.299999999999997"/>
    <n v="3"/>
    <n v="4"/>
    <n v="7"/>
    <n v="4.5"/>
    <n v="3"/>
    <x v="2"/>
  </r>
  <r>
    <n v="235"/>
    <n v="54.8"/>
    <n v="4"/>
    <n v="4"/>
    <n v="14"/>
    <n v="2.6"/>
    <n v="2"/>
    <x v="0"/>
  </r>
  <r>
    <n v="236"/>
    <n v="39.700000000000003"/>
    <n v="3"/>
    <n v="4"/>
    <n v="9"/>
    <n v="0.3"/>
    <n v="0"/>
    <x v="2"/>
  </r>
  <r>
    <n v="237"/>
    <n v="53.4"/>
    <n v="5"/>
    <n v="6"/>
    <n v="5"/>
    <n v="5.5"/>
    <n v="5"/>
    <x v="0"/>
  </r>
  <r>
    <n v="238"/>
    <n v="31.8"/>
    <n v="3"/>
    <n v="3"/>
    <n v="9"/>
    <n v="4"/>
    <n v="2"/>
    <x v="2"/>
  </r>
  <r>
    <n v="239"/>
    <n v="32.9"/>
    <n v="4"/>
    <n v="1"/>
    <n v="10"/>
    <n v="2.6"/>
    <n v="1"/>
    <x v="2"/>
  </r>
  <r>
    <n v="240"/>
    <n v="39.4"/>
    <n v="1"/>
    <n v="7"/>
    <n v="9"/>
    <n v="1.5"/>
    <n v="5"/>
    <x v="2"/>
  </r>
  <r>
    <n v="241"/>
    <n v="29.9"/>
    <n v="2"/>
    <n v="1"/>
    <n v="12"/>
    <n v="5.7"/>
    <n v="6"/>
    <x v="2"/>
  </r>
  <r>
    <n v="242"/>
    <n v="23.8"/>
    <n v="3"/>
    <n v="3"/>
    <n v="9"/>
    <n v="2.1"/>
    <n v="1"/>
    <x v="2"/>
  </r>
  <r>
    <n v="243"/>
    <n v="47.7"/>
    <n v="2"/>
    <n v="2"/>
    <n v="7"/>
    <n v="4"/>
    <n v="2"/>
    <x v="0"/>
  </r>
  <r>
    <n v="244"/>
    <n v="51.7"/>
    <n v="2"/>
    <n v="3"/>
    <n v="12"/>
    <n v="5.3"/>
    <n v="1"/>
    <x v="0"/>
  </r>
  <r>
    <n v="245"/>
    <n v="45.6"/>
    <n v="1"/>
    <n v="6"/>
    <n v="8"/>
    <n v="2.2999999999999998"/>
    <n v="2"/>
    <x v="0"/>
  </r>
  <r>
    <n v="246"/>
    <n v="44.4"/>
    <n v="0"/>
    <n v="1"/>
    <n v="7"/>
    <n v="5.5"/>
    <n v="2"/>
    <x v="0"/>
  </r>
  <r>
    <n v="247"/>
    <n v="49.1"/>
    <n v="2"/>
    <n v="1"/>
    <n v="15"/>
    <n v="6.7"/>
    <n v="2"/>
    <x v="0"/>
  </r>
  <r>
    <n v="248"/>
    <n v="32.200000000000003"/>
    <n v="3"/>
    <n v="4"/>
    <n v="14"/>
    <n v="5.0999999999999996"/>
    <n v="2"/>
    <x v="2"/>
  </r>
  <r>
    <n v="249"/>
    <n v="40.799999999999997"/>
    <n v="3"/>
    <n v="5"/>
    <n v="6"/>
    <n v="4.7"/>
    <n v="2"/>
    <x v="0"/>
  </r>
  <r>
    <n v="250"/>
    <n v="42.1"/>
    <n v="0"/>
    <n v="6"/>
    <n v="16"/>
    <n v="6.5"/>
    <n v="2"/>
    <x v="0"/>
  </r>
  <r>
    <n v="251"/>
    <n v="26.5"/>
    <n v="3"/>
    <n v="4"/>
    <n v="8"/>
    <n v="3.5"/>
    <n v="2"/>
    <x v="2"/>
  </r>
  <r>
    <n v="252"/>
    <n v="46.8"/>
    <n v="2"/>
    <n v="4"/>
    <n v="5"/>
    <n v="2"/>
    <n v="5"/>
    <x v="0"/>
  </r>
  <r>
    <n v="253"/>
    <n v="51.8"/>
    <n v="5"/>
    <n v="8"/>
    <n v="11"/>
    <n v="1.5"/>
    <n v="3"/>
    <x v="0"/>
  </r>
  <r>
    <n v="254"/>
    <n v="49.9"/>
    <n v="2"/>
    <n v="3"/>
    <n v="5"/>
    <n v="3.1"/>
    <n v="3"/>
    <x v="0"/>
  </r>
  <r>
    <n v="255"/>
    <n v="39.700000000000003"/>
    <n v="1"/>
    <n v="5"/>
    <n v="11"/>
    <n v="3.7"/>
    <n v="3"/>
    <x v="2"/>
  </r>
  <r>
    <n v="256"/>
    <n v="49.1"/>
    <n v="4"/>
    <n v="1"/>
    <n v="9"/>
    <n v="6.5"/>
    <n v="0"/>
    <x v="0"/>
  </r>
  <r>
    <n v="257"/>
    <n v="28.1"/>
    <n v="3"/>
    <n v="0"/>
    <n v="7"/>
    <n v="0.4"/>
    <n v="2"/>
    <x v="2"/>
  </r>
  <r>
    <n v="258"/>
    <n v="33.200000000000003"/>
    <n v="1"/>
    <n v="2"/>
    <n v="8"/>
    <n v="2.5"/>
    <n v="1"/>
    <x v="2"/>
  </r>
  <r>
    <n v="259"/>
    <n v="39.6"/>
    <n v="2"/>
    <n v="3"/>
    <n v="11"/>
    <n v="3.2"/>
    <n v="6"/>
    <x v="2"/>
  </r>
  <r>
    <n v="260"/>
    <n v="52.5"/>
    <n v="2"/>
    <n v="1"/>
    <n v="19"/>
    <n v="3.5"/>
    <n v="5"/>
    <x v="0"/>
  </r>
  <r>
    <n v="261"/>
    <n v="55"/>
    <n v="3"/>
    <n v="3"/>
    <n v="11"/>
    <n v="4.7"/>
    <n v="4"/>
    <x v="0"/>
  </r>
  <r>
    <n v="262"/>
    <n v="39.200000000000003"/>
    <n v="4"/>
    <n v="1"/>
    <n v="16"/>
    <n v="3"/>
    <n v="5"/>
    <x v="2"/>
  </r>
  <r>
    <n v="263"/>
    <n v="36.4"/>
    <n v="5"/>
    <n v="6"/>
    <n v="18"/>
    <n v="3.1"/>
    <n v="4"/>
    <x v="2"/>
  </r>
  <r>
    <n v="264"/>
    <n v="20.3"/>
    <n v="1"/>
    <n v="2"/>
    <n v="5"/>
    <n v="1.8"/>
    <n v="4"/>
    <x v="2"/>
  </r>
  <r>
    <n v="265"/>
    <n v="48.2"/>
    <n v="3"/>
    <n v="2"/>
    <n v="9"/>
    <n v="4.5999999999999996"/>
    <n v="4"/>
    <x v="0"/>
  </r>
  <r>
    <n v="266"/>
    <n v="29"/>
    <n v="4"/>
    <n v="1"/>
    <n v="14"/>
    <n v="4.9000000000000004"/>
    <n v="7"/>
    <x v="2"/>
  </r>
  <r>
    <n v="267"/>
    <n v="42"/>
    <n v="3"/>
    <n v="4"/>
    <n v="17"/>
    <n v="4.5999999999999996"/>
    <n v="4"/>
    <x v="0"/>
  </r>
  <r>
    <n v="268"/>
    <n v="30.8"/>
    <n v="2"/>
    <n v="5"/>
    <n v="6"/>
    <n v="5.8"/>
    <n v="1"/>
    <x v="2"/>
  </r>
  <r>
    <n v="269"/>
    <n v="28.3"/>
    <n v="8"/>
    <n v="8"/>
    <n v="9"/>
    <n v="3.3"/>
    <n v="3"/>
    <x v="2"/>
  </r>
  <r>
    <n v="270"/>
    <n v="48.4"/>
    <n v="1"/>
    <n v="1"/>
    <n v="11"/>
    <n v="4.0999999999999996"/>
    <n v="3"/>
    <x v="0"/>
  </r>
  <r>
    <n v="271"/>
    <n v="33.299999999999997"/>
    <n v="4"/>
    <n v="2"/>
    <n v="14"/>
    <n v="4.9000000000000004"/>
    <n v="3"/>
    <x v="2"/>
  </r>
  <r>
    <n v="272"/>
    <n v="53.1"/>
    <n v="2"/>
    <n v="2"/>
    <n v="12"/>
    <n v="2.2000000000000002"/>
    <n v="3"/>
    <x v="0"/>
  </r>
  <r>
    <n v="273"/>
    <n v="22.2"/>
    <n v="2"/>
    <n v="4"/>
    <n v="5"/>
    <n v="3.7"/>
    <n v="4"/>
    <x v="2"/>
  </r>
  <r>
    <n v="274"/>
    <n v="40.700000000000003"/>
    <n v="3"/>
    <n v="2"/>
    <n v="13"/>
    <n v="1"/>
    <n v="1"/>
    <x v="0"/>
  </r>
  <r>
    <n v="275"/>
    <n v="53.1"/>
    <n v="2"/>
    <n v="10"/>
    <n v="10"/>
    <n v="4.3"/>
    <n v="4"/>
    <x v="0"/>
  </r>
  <r>
    <n v="276"/>
    <n v="56.9"/>
    <n v="2"/>
    <n v="5"/>
    <n v="11"/>
    <n v="6.3"/>
    <n v="3"/>
    <x v="0"/>
  </r>
  <r>
    <n v="277"/>
    <n v="29.8"/>
    <n v="4"/>
    <n v="3"/>
    <n v="9"/>
    <n v="10.3"/>
    <n v="3"/>
    <x v="2"/>
  </r>
  <r>
    <n v="278"/>
    <n v="29.1"/>
    <n v="3"/>
    <n v="5"/>
    <n v="14"/>
    <n v="9"/>
    <n v="5"/>
    <x v="2"/>
  </r>
  <r>
    <n v="279"/>
    <n v="44.7"/>
    <n v="3"/>
    <n v="4"/>
    <n v="12"/>
    <n v="3.3"/>
    <n v="3"/>
    <x v="0"/>
  </r>
  <r>
    <n v="280"/>
    <n v="35.4"/>
    <n v="4"/>
    <n v="1"/>
    <n v="10"/>
    <n v="3.2"/>
    <n v="5"/>
    <x v="2"/>
  </r>
  <r>
    <n v="281"/>
    <n v="25.5"/>
    <n v="5"/>
    <n v="6"/>
    <n v="9"/>
    <n v="1.6"/>
    <n v="2"/>
    <x v="2"/>
  </r>
  <r>
    <n v="282"/>
    <n v="40"/>
    <n v="5"/>
    <n v="5"/>
    <n v="7"/>
    <n v="0.8"/>
    <n v="4"/>
    <x v="2"/>
  </r>
  <r>
    <n v="283"/>
    <n v="38.799999999999997"/>
    <n v="3"/>
    <n v="6"/>
    <n v="9"/>
    <n v="5.2"/>
    <n v="2"/>
    <x v="2"/>
  </r>
  <r>
    <n v="284"/>
    <n v="24.7"/>
    <n v="2"/>
    <n v="8"/>
    <n v="11"/>
    <n v="2.9"/>
    <n v="1"/>
    <x v="2"/>
  </r>
  <r>
    <n v="285"/>
    <n v="25.9"/>
    <n v="1"/>
    <n v="6"/>
    <n v="6"/>
    <n v="1.2"/>
    <n v="4"/>
    <x v="2"/>
  </r>
  <r>
    <n v="286"/>
    <n v="45.2"/>
    <n v="3"/>
    <n v="3"/>
    <n v="8"/>
    <n v="0.4"/>
    <n v="2"/>
    <x v="0"/>
  </r>
  <r>
    <n v="287"/>
    <n v="43.1"/>
    <n v="3"/>
    <n v="6"/>
    <n v="10"/>
    <n v="7.2"/>
    <n v="4"/>
    <x v="0"/>
  </r>
  <r>
    <n v="288"/>
    <n v="40.9"/>
    <n v="3"/>
    <n v="5"/>
    <n v="6"/>
    <n v="1.5"/>
    <n v="1"/>
    <x v="0"/>
  </r>
  <r>
    <n v="289"/>
    <n v="22.2"/>
    <n v="0"/>
    <n v="3"/>
    <n v="15"/>
    <n v="2.5"/>
    <n v="6"/>
    <x v="2"/>
  </r>
  <r>
    <n v="290"/>
    <n v="31.6"/>
    <n v="6"/>
    <n v="3"/>
    <n v="5"/>
    <n v="4"/>
    <n v="5"/>
    <x v="2"/>
  </r>
  <r>
    <n v="291"/>
    <n v="32.4"/>
    <n v="2"/>
    <n v="7"/>
    <n v="12"/>
    <n v="4.0999999999999996"/>
    <n v="5"/>
    <x v="2"/>
  </r>
  <r>
    <n v="292"/>
    <n v="53.3"/>
    <n v="3"/>
    <n v="3"/>
    <n v="9"/>
    <n v="2.5"/>
    <n v="1"/>
    <x v="0"/>
  </r>
  <r>
    <n v="293"/>
    <n v="23.9"/>
    <n v="5"/>
    <n v="4"/>
    <n v="20"/>
    <n v="2.8"/>
    <n v="4"/>
    <x v="2"/>
  </r>
  <r>
    <n v="294"/>
    <n v="43"/>
    <n v="4"/>
    <n v="4"/>
    <n v="12"/>
    <n v="1.2"/>
    <n v="4"/>
    <x v="0"/>
  </r>
  <r>
    <n v="295"/>
    <n v="37.200000000000003"/>
    <n v="1"/>
    <n v="7"/>
    <n v="14"/>
    <n v="3.7"/>
    <n v="2"/>
    <x v="2"/>
  </r>
  <r>
    <n v="296"/>
    <n v="21.8"/>
    <n v="8"/>
    <n v="3"/>
    <n v="13"/>
    <n v="7.2"/>
    <n v="3"/>
    <x v="2"/>
  </r>
  <r>
    <n v="297"/>
    <n v="63.4"/>
    <n v="3"/>
    <n v="6"/>
    <n v="6"/>
    <n v="0.4"/>
    <n v="4"/>
    <x v="3"/>
  </r>
  <r>
    <n v="298"/>
    <n v="47.9"/>
    <n v="3"/>
    <n v="4"/>
    <n v="4"/>
    <n v="6.8"/>
    <n v="2"/>
    <x v="0"/>
  </r>
  <r>
    <n v="299"/>
    <n v="51.2"/>
    <n v="1"/>
    <n v="1"/>
    <n v="15"/>
    <n v="6.9"/>
    <n v="3"/>
    <x v="0"/>
  </r>
  <r>
    <n v="300"/>
    <n v="35.6"/>
    <n v="7"/>
    <n v="3"/>
    <n v="14"/>
    <n v="1.5"/>
    <n v="3"/>
    <x v="2"/>
  </r>
  <r>
    <n v="301"/>
    <n v="50.6"/>
    <n v="1"/>
    <n v="5"/>
    <n v="10"/>
    <n v="3.6"/>
    <n v="2"/>
    <x v="0"/>
  </r>
  <r>
    <n v="302"/>
    <n v="56.7"/>
    <n v="2"/>
    <n v="3"/>
    <n v="8"/>
    <n v="5.7"/>
    <n v="3"/>
    <x v="0"/>
  </r>
  <r>
    <n v="303"/>
    <n v="38.799999999999997"/>
    <n v="4"/>
    <n v="2"/>
    <n v="6"/>
    <n v="0.9"/>
    <n v="3"/>
    <x v="2"/>
  </r>
  <r>
    <n v="304"/>
    <n v="47.4"/>
    <n v="2"/>
    <n v="1"/>
    <n v="9"/>
    <n v="9.6"/>
    <n v="4"/>
    <x v="0"/>
  </r>
  <r>
    <n v="305"/>
    <n v="26.4"/>
    <n v="3"/>
    <n v="3"/>
    <n v="9"/>
    <n v="8.9"/>
    <n v="6"/>
    <x v="2"/>
  </r>
  <r>
    <n v="306"/>
    <n v="41"/>
    <n v="2"/>
    <n v="1"/>
    <n v="13"/>
    <n v="10.199999999999999"/>
    <n v="2"/>
    <x v="0"/>
  </r>
  <r>
    <n v="307"/>
    <n v="51.2"/>
    <n v="4"/>
    <n v="2"/>
    <n v="8"/>
    <n v="4.4000000000000004"/>
    <n v="2"/>
    <x v="0"/>
  </r>
  <r>
    <n v="308"/>
    <n v="44.8"/>
    <n v="6"/>
    <n v="3"/>
    <n v="13"/>
    <n v="1.9"/>
    <n v="4"/>
    <x v="0"/>
  </r>
  <r>
    <n v="309"/>
    <n v="52"/>
    <n v="3"/>
    <n v="11"/>
    <n v="7"/>
    <n v="2.9"/>
    <n v="5"/>
    <x v="0"/>
  </r>
  <r>
    <n v="310"/>
    <n v="56.1"/>
    <n v="2"/>
    <n v="8"/>
    <n v="10"/>
    <n v="5"/>
    <n v="5"/>
    <x v="0"/>
  </r>
  <r>
    <n v="311"/>
    <n v="23.2"/>
    <n v="6"/>
    <n v="3"/>
    <n v="8"/>
    <n v="4.8"/>
    <n v="2"/>
    <x v="2"/>
  </r>
  <r>
    <n v="312"/>
    <n v="56.4"/>
    <n v="2"/>
    <n v="4"/>
    <n v="10"/>
    <n v="0.9"/>
    <n v="0"/>
    <x v="0"/>
  </r>
  <r>
    <n v="313"/>
    <n v="33.799999999999997"/>
    <n v="2"/>
    <n v="5"/>
    <n v="7"/>
    <n v="5.4"/>
    <n v="1"/>
    <x v="2"/>
  </r>
  <r>
    <n v="314"/>
    <n v="30.4"/>
    <n v="3"/>
    <n v="8"/>
    <n v="7"/>
    <n v="3.8"/>
    <n v="1"/>
    <x v="2"/>
  </r>
  <r>
    <n v="315"/>
    <n v="46.5"/>
    <n v="1"/>
    <n v="2"/>
    <n v="5"/>
    <n v="3.9"/>
    <n v="2"/>
    <x v="0"/>
  </r>
  <r>
    <n v="316"/>
    <n v="64.2"/>
    <n v="4"/>
    <n v="1"/>
    <n v="11"/>
    <n v="3.3"/>
    <n v="1"/>
    <x v="3"/>
  </r>
  <r>
    <n v="317"/>
    <n v="48.4"/>
    <n v="3"/>
    <n v="6"/>
    <n v="18"/>
    <n v="3.7"/>
    <n v="3"/>
    <x v="0"/>
  </r>
  <r>
    <n v="318"/>
    <n v="44.1"/>
    <n v="6"/>
    <n v="1"/>
    <n v="6"/>
    <n v="2.9"/>
    <n v="6"/>
    <x v="0"/>
  </r>
  <r>
    <n v="319"/>
    <n v="35.799999999999997"/>
    <n v="4"/>
    <n v="4"/>
    <n v="14"/>
    <n v="1.6"/>
    <n v="3"/>
    <x v="2"/>
  </r>
  <r>
    <n v="320"/>
    <n v="44.6"/>
    <n v="4"/>
    <n v="0"/>
    <n v="10"/>
    <n v="1.7"/>
    <n v="2"/>
    <x v="0"/>
  </r>
  <r>
    <n v="321"/>
    <n v="55.5"/>
    <n v="6"/>
    <n v="3"/>
    <n v="10"/>
    <n v="2.9"/>
    <n v="2"/>
    <x v="0"/>
  </r>
  <r>
    <n v="322"/>
    <n v="60.7"/>
    <n v="3"/>
    <n v="5"/>
    <n v="10"/>
    <n v="2.4"/>
    <n v="3"/>
    <x v="3"/>
  </r>
  <r>
    <n v="323"/>
    <n v="60.5"/>
    <n v="1"/>
    <n v="4"/>
    <n v="9"/>
    <n v="4.0999999999999996"/>
    <n v="5"/>
    <x v="3"/>
  </r>
  <r>
    <n v="324"/>
    <n v="47.9"/>
    <n v="0"/>
    <n v="3"/>
    <n v="12"/>
    <n v="1.1000000000000001"/>
    <n v="3"/>
    <x v="0"/>
  </r>
  <r>
    <n v="325"/>
    <n v="42.6"/>
    <n v="1"/>
    <n v="4"/>
    <n v="9"/>
    <n v="2.4"/>
    <n v="3"/>
    <x v="0"/>
  </r>
  <r>
    <n v="326"/>
    <n v="38.799999999999997"/>
    <n v="2"/>
    <n v="3"/>
    <n v="12"/>
    <n v="0.6"/>
    <n v="6"/>
    <x v="2"/>
  </r>
  <r>
    <n v="327"/>
    <n v="42.7"/>
    <n v="7"/>
    <n v="0"/>
    <n v="12"/>
    <n v="4.9000000000000004"/>
    <n v="1"/>
    <x v="0"/>
  </r>
  <r>
    <n v="328"/>
    <n v="30.7"/>
    <n v="5"/>
    <n v="7"/>
    <n v="12"/>
    <n v="3.5"/>
    <n v="2"/>
    <x v="2"/>
  </r>
  <r>
    <n v="329"/>
    <n v="29.9"/>
    <n v="3"/>
    <n v="5"/>
    <n v="11"/>
    <n v="7.5"/>
    <n v="4"/>
    <x v="2"/>
  </r>
  <r>
    <n v="330"/>
    <n v="27.9"/>
    <n v="2"/>
    <n v="7"/>
    <n v="12"/>
    <n v="4.7"/>
    <n v="3"/>
    <x v="2"/>
  </r>
  <r>
    <n v="331"/>
    <n v="23.9"/>
    <n v="3"/>
    <n v="4"/>
    <n v="8"/>
    <n v="7.5"/>
    <n v="3"/>
    <x v="2"/>
  </r>
  <r>
    <n v="332"/>
    <n v="51.8"/>
    <n v="3"/>
    <n v="8"/>
    <n v="9"/>
    <n v="6.7"/>
    <n v="4"/>
    <x v="0"/>
  </r>
  <r>
    <n v="333"/>
    <n v="31.9"/>
    <n v="6"/>
    <n v="4"/>
    <n v="9"/>
    <n v="1.4"/>
    <n v="2"/>
    <x v="2"/>
  </r>
  <r>
    <n v="334"/>
    <n v="52.9"/>
    <n v="3"/>
    <n v="3"/>
    <n v="4"/>
    <n v="3"/>
    <n v="2"/>
    <x v="0"/>
  </r>
  <r>
    <n v="335"/>
    <n v="39.200000000000003"/>
    <n v="4"/>
    <n v="3"/>
    <n v="17"/>
    <n v="3.8"/>
    <n v="2"/>
    <x v="2"/>
  </r>
  <r>
    <n v="336"/>
    <n v="41.9"/>
    <n v="1"/>
    <n v="1"/>
    <n v="9"/>
    <n v="5.0999999999999996"/>
    <n v="7"/>
    <x v="0"/>
  </r>
  <r>
    <n v="337"/>
    <n v="31.1"/>
    <n v="3"/>
    <n v="5"/>
    <n v="10"/>
    <n v="4.3"/>
    <n v="8"/>
    <x v="2"/>
  </r>
  <r>
    <n v="338"/>
    <n v="37.9"/>
    <n v="3"/>
    <n v="5"/>
    <n v="11"/>
    <n v="1.6"/>
    <n v="3"/>
    <x v="2"/>
  </r>
  <r>
    <n v="339"/>
    <n v="57.1"/>
    <n v="3"/>
    <n v="4"/>
    <n v="9"/>
    <n v="0.6"/>
    <n v="3"/>
    <x v="0"/>
  </r>
  <r>
    <n v="340"/>
    <n v="44.7"/>
    <n v="3"/>
    <n v="1"/>
    <n v="14"/>
    <n v="1"/>
    <n v="4"/>
    <x v="0"/>
  </r>
  <r>
    <n v="341"/>
    <n v="45.2"/>
    <n v="2"/>
    <n v="4"/>
    <n v="9"/>
    <n v="5.5"/>
    <n v="2"/>
    <x v="0"/>
  </r>
  <r>
    <n v="342"/>
    <n v="43.7"/>
    <n v="0"/>
    <n v="4"/>
    <n v="17"/>
    <n v="1.1000000000000001"/>
    <n v="5"/>
    <x v="0"/>
  </r>
  <r>
    <n v="343"/>
    <n v="32.1"/>
    <n v="4"/>
    <n v="5"/>
    <n v="7"/>
    <n v="3"/>
    <n v="0"/>
    <x v="2"/>
  </r>
  <r>
    <n v="344"/>
    <n v="43"/>
    <n v="3"/>
    <n v="3"/>
    <n v="15"/>
    <n v="3.5"/>
    <n v="3"/>
    <x v="0"/>
  </r>
  <r>
    <n v="345"/>
    <n v="30.3"/>
    <n v="5"/>
    <n v="4"/>
    <n v="10"/>
    <n v="8.8000000000000007"/>
    <n v="5"/>
    <x v="2"/>
  </r>
  <r>
    <n v="346"/>
    <n v="29.2"/>
    <n v="5"/>
    <n v="2"/>
    <n v="10"/>
    <n v="5.0999999999999996"/>
    <n v="2"/>
    <x v="2"/>
  </r>
  <r>
    <n v="347"/>
    <n v="36"/>
    <n v="0"/>
    <n v="7"/>
    <n v="3"/>
    <n v="5.5"/>
    <n v="6"/>
    <x v="2"/>
  </r>
  <r>
    <n v="348"/>
    <n v="31.1"/>
    <n v="4"/>
    <n v="5"/>
    <n v="11"/>
    <n v="5.0999999999999996"/>
    <n v="2"/>
    <x v="2"/>
  </r>
  <r>
    <n v="349"/>
    <n v="40.700000000000003"/>
    <n v="5"/>
    <n v="2"/>
    <n v="7"/>
    <n v="4.5999999999999996"/>
    <n v="5"/>
    <x v="0"/>
  </r>
  <r>
    <n v="350"/>
    <n v="57.7"/>
    <n v="1"/>
    <n v="6"/>
    <n v="15"/>
    <n v="1.4"/>
    <n v="2"/>
    <x v="0"/>
  </r>
  <r>
    <n v="351"/>
    <n v="53.9"/>
    <n v="1"/>
    <n v="7"/>
    <n v="16"/>
    <n v="4.5"/>
    <n v="4"/>
    <x v="0"/>
  </r>
  <r>
    <n v="352"/>
    <n v="48"/>
    <n v="0"/>
    <n v="1"/>
    <n v="7"/>
    <n v="1"/>
    <n v="2"/>
    <x v="0"/>
  </r>
  <r>
    <n v="353"/>
    <n v="24.3"/>
    <n v="5"/>
    <n v="7"/>
    <n v="9"/>
    <n v="9.1999999999999993"/>
    <n v="3"/>
    <x v="2"/>
  </r>
  <r>
    <n v="354"/>
    <n v="45.8"/>
    <n v="3"/>
    <n v="3"/>
    <n v="10"/>
    <n v="4.7"/>
    <n v="1"/>
    <x v="0"/>
  </r>
  <r>
    <n v="355"/>
    <n v="41.7"/>
    <n v="2"/>
    <n v="3"/>
    <n v="12"/>
    <n v="6.8"/>
    <n v="4"/>
    <x v="0"/>
  </r>
  <r>
    <n v="356"/>
    <n v="32.299999999999997"/>
    <n v="4"/>
    <n v="5"/>
    <n v="10"/>
    <n v="11"/>
    <n v="1"/>
    <x v="2"/>
  </r>
  <r>
    <n v="357"/>
    <n v="42.8"/>
    <n v="2"/>
    <n v="7"/>
    <n v="10"/>
    <n v="11.2"/>
    <n v="1"/>
    <x v="0"/>
  </r>
  <r>
    <n v="358"/>
    <n v="42.4"/>
    <n v="5"/>
    <n v="1"/>
    <n v="9"/>
    <n v="5.0999999999999996"/>
    <n v="3"/>
    <x v="0"/>
  </r>
  <r>
    <n v="359"/>
    <n v="32.4"/>
    <n v="3"/>
    <n v="5"/>
    <n v="11"/>
    <n v="1.7"/>
    <n v="3"/>
    <x v="2"/>
  </r>
  <r>
    <n v="360"/>
    <n v="42.2"/>
    <n v="6"/>
    <n v="1"/>
    <n v="8"/>
    <n v="4.7"/>
    <n v="2"/>
    <x v="0"/>
  </r>
  <r>
    <n v="361"/>
    <n v="35.299999999999997"/>
    <n v="4"/>
    <n v="11"/>
    <n v="8"/>
    <n v="3.6"/>
    <n v="2"/>
    <x v="2"/>
  </r>
  <r>
    <n v="362"/>
    <n v="32.6"/>
    <n v="3"/>
    <n v="4"/>
    <n v="11"/>
    <n v="2.4"/>
    <n v="4"/>
    <x v="2"/>
  </r>
  <r>
    <n v="363"/>
    <n v="50.1"/>
    <n v="3"/>
    <n v="3"/>
    <n v="9"/>
    <n v="2.7"/>
    <n v="2"/>
    <x v="0"/>
  </r>
  <r>
    <n v="364"/>
    <n v="48"/>
    <n v="2"/>
    <n v="3"/>
    <n v="13"/>
    <n v="1.2"/>
    <n v="0"/>
    <x v="0"/>
  </r>
  <r>
    <n v="365"/>
    <n v="47.6"/>
    <n v="3"/>
    <n v="3"/>
    <n v="13"/>
    <n v="2.6"/>
    <n v="4"/>
    <x v="0"/>
  </r>
  <r>
    <n v="366"/>
    <n v="41"/>
    <n v="2"/>
    <n v="2"/>
    <n v="8"/>
    <n v="6.9"/>
    <n v="8"/>
    <x v="0"/>
  </r>
  <r>
    <n v="367"/>
    <n v="40.299999999999997"/>
    <n v="1"/>
    <n v="3"/>
    <n v="9"/>
    <n v="2.9"/>
    <n v="2"/>
    <x v="0"/>
  </r>
  <r>
    <n v="368"/>
    <n v="37.200000000000003"/>
    <n v="9"/>
    <n v="5"/>
    <n v="10"/>
    <n v="3.8"/>
    <n v="1"/>
    <x v="2"/>
  </r>
  <r>
    <n v="369"/>
    <n v="40.1"/>
    <n v="3"/>
    <n v="6"/>
    <n v="8"/>
    <n v="2"/>
    <n v="3"/>
    <x v="0"/>
  </r>
  <r>
    <n v="370"/>
    <n v="26.7"/>
    <n v="4"/>
    <n v="5"/>
    <n v="6"/>
    <n v="1.6"/>
    <n v="0"/>
    <x v="2"/>
  </r>
  <r>
    <n v="371"/>
    <n v="47.6"/>
    <n v="1"/>
    <n v="4"/>
    <n v="11"/>
    <n v="4.7"/>
    <n v="5"/>
    <x v="0"/>
  </r>
  <r>
    <n v="372"/>
    <n v="56.4"/>
    <n v="2"/>
    <n v="5"/>
    <n v="5"/>
    <n v="3"/>
    <n v="3"/>
    <x v="0"/>
  </r>
  <r>
    <n v="373"/>
    <n v="51.1"/>
    <n v="0"/>
    <n v="4"/>
    <n v="8"/>
    <n v="4.5"/>
    <n v="3"/>
    <x v="0"/>
  </r>
  <r>
    <n v="374"/>
    <n v="29.7"/>
    <n v="6"/>
    <n v="6"/>
    <n v="12"/>
    <n v="4.3"/>
    <n v="2"/>
    <x v="2"/>
  </r>
  <r>
    <n v="375"/>
    <n v="43.4"/>
    <n v="5"/>
    <n v="8"/>
    <n v="10"/>
    <n v="8"/>
    <n v="2"/>
    <x v="0"/>
  </r>
  <r>
    <n v="376"/>
    <n v="33.5"/>
    <n v="1"/>
    <n v="5"/>
    <n v="10"/>
    <n v="3.9"/>
    <n v="2"/>
    <x v="2"/>
  </r>
  <r>
    <n v="377"/>
    <n v="49.7"/>
    <n v="4"/>
    <n v="1"/>
    <n v="11"/>
    <n v="1.1000000000000001"/>
    <n v="1"/>
    <x v="0"/>
  </r>
  <r>
    <n v="378"/>
    <n v="56"/>
    <n v="0"/>
    <n v="7"/>
    <n v="5"/>
    <n v="4.4000000000000004"/>
    <n v="1"/>
    <x v="0"/>
  </r>
  <r>
    <n v="379"/>
    <n v="50.1"/>
    <n v="0"/>
    <n v="6"/>
    <n v="7"/>
    <n v="6.2"/>
    <n v="3"/>
    <x v="0"/>
  </r>
  <r>
    <n v="380"/>
    <n v="41.9"/>
    <n v="3"/>
    <n v="4"/>
    <n v="13"/>
    <n v="8.5"/>
    <n v="2"/>
    <x v="0"/>
  </r>
  <r>
    <n v="381"/>
    <n v="46.6"/>
    <n v="2"/>
    <n v="5"/>
    <n v="7"/>
    <n v="2"/>
    <n v="2"/>
    <x v="0"/>
  </r>
  <r>
    <n v="382"/>
    <n v="37"/>
    <n v="4"/>
    <n v="2"/>
    <n v="5"/>
    <n v="3"/>
    <n v="6"/>
    <x v="2"/>
  </r>
  <r>
    <n v="383"/>
    <n v="38.5"/>
    <n v="2"/>
    <n v="4"/>
    <n v="6"/>
    <n v="2"/>
    <n v="4"/>
    <x v="2"/>
  </r>
  <r>
    <n v="384"/>
    <n v="44.8"/>
    <n v="6"/>
    <n v="1"/>
    <n v="7"/>
    <n v="6.1"/>
    <n v="1"/>
    <x v="0"/>
  </r>
  <r>
    <n v="385"/>
    <n v="41.7"/>
    <n v="3"/>
    <n v="7"/>
    <n v="13"/>
    <n v="4.8"/>
    <n v="3"/>
    <x v="0"/>
  </r>
  <r>
    <n v="386"/>
    <n v="44"/>
    <n v="4"/>
    <n v="3"/>
    <n v="11"/>
    <n v="6.4"/>
    <n v="4"/>
    <x v="0"/>
  </r>
  <r>
    <n v="387"/>
    <n v="66"/>
    <n v="3"/>
    <n v="3"/>
    <n v="10"/>
    <n v="2.4"/>
    <n v="4"/>
    <x v="3"/>
  </r>
  <r>
    <n v="388"/>
    <n v="31.1"/>
    <n v="2"/>
    <n v="5"/>
    <n v="10"/>
    <n v="7.9"/>
    <n v="0"/>
    <x v="2"/>
  </r>
  <r>
    <n v="389"/>
    <n v="22.4"/>
    <n v="6"/>
    <n v="3"/>
    <n v="10"/>
    <n v="1.4"/>
    <n v="4"/>
    <x v="2"/>
  </r>
  <r>
    <n v="390"/>
    <n v="40.6"/>
    <n v="1"/>
    <n v="1"/>
    <n v="13"/>
    <n v="1.1000000000000001"/>
    <n v="4"/>
    <x v="0"/>
  </r>
  <r>
    <n v="391"/>
    <n v="42.8"/>
    <n v="0"/>
    <n v="7"/>
    <n v="12"/>
    <n v="1.9"/>
    <n v="1"/>
    <x v="0"/>
  </r>
  <r>
    <n v="392"/>
    <n v="18.5"/>
    <n v="2"/>
    <n v="4"/>
    <n v="8"/>
    <n v="4.8"/>
    <n v="2"/>
    <x v="1"/>
  </r>
  <r>
    <n v="393"/>
    <n v="38.6"/>
    <n v="3"/>
    <n v="1"/>
    <n v="9"/>
    <n v="7.7"/>
    <n v="2"/>
    <x v="2"/>
  </r>
  <r>
    <n v="394"/>
    <n v="46.6"/>
    <n v="3"/>
    <n v="7"/>
    <n v="2"/>
    <n v="0.9"/>
    <n v="7"/>
    <x v="0"/>
  </r>
  <r>
    <n v="395"/>
    <n v="45"/>
    <n v="2"/>
    <n v="4"/>
    <n v="7"/>
    <n v="1.6"/>
    <n v="2"/>
    <x v="0"/>
  </r>
  <r>
    <n v="396"/>
    <n v="34.9"/>
    <n v="7"/>
    <n v="6"/>
    <n v="9"/>
    <n v="5.0999999999999996"/>
    <n v="1"/>
    <x v="2"/>
  </r>
  <r>
    <n v="397"/>
    <n v="32.5"/>
    <n v="4"/>
    <n v="6"/>
    <n v="12"/>
    <n v="7.3"/>
    <n v="5"/>
    <x v="2"/>
  </r>
  <r>
    <n v="398"/>
    <n v="58.7"/>
    <n v="6"/>
    <n v="2"/>
    <n v="17"/>
    <n v="5.0999999999999996"/>
    <n v="3"/>
    <x v="0"/>
  </r>
  <r>
    <n v="399"/>
    <n v="41.1"/>
    <n v="1"/>
    <n v="3"/>
    <n v="9"/>
    <n v="3.8"/>
    <n v="2"/>
    <x v="0"/>
  </r>
  <r>
    <n v="400"/>
    <n v="37.299999999999997"/>
    <n v="2"/>
    <n v="3"/>
    <n v="6"/>
    <n v="2.1"/>
    <n v="2"/>
    <x v="2"/>
  </r>
  <r>
    <n v="401"/>
    <n v="33.5"/>
    <n v="2"/>
    <n v="5"/>
    <n v="7"/>
    <n v="2.2000000000000002"/>
    <n v="2"/>
    <x v="2"/>
  </r>
  <r>
    <n v="402"/>
    <n v="48.1"/>
    <n v="2"/>
    <n v="2"/>
    <n v="11"/>
    <n v="1.4"/>
    <n v="5"/>
    <x v="0"/>
  </r>
  <r>
    <n v="403"/>
    <n v="40"/>
    <n v="4"/>
    <n v="2"/>
    <n v="20"/>
    <n v="3.9"/>
    <n v="5"/>
    <x v="2"/>
  </r>
  <r>
    <n v="404"/>
    <n v="40.299999999999997"/>
    <n v="3"/>
    <n v="2"/>
    <n v="11"/>
    <n v="4.3"/>
    <n v="2"/>
    <x v="0"/>
  </r>
  <r>
    <n v="405"/>
    <n v="58.3"/>
    <n v="1"/>
    <n v="4"/>
    <n v="14"/>
    <n v="2.5"/>
    <n v="2"/>
    <x v="0"/>
  </r>
  <r>
    <n v="406"/>
    <n v="31.6"/>
    <n v="1"/>
    <n v="2"/>
    <n v="12"/>
    <n v="1.7"/>
    <n v="3"/>
    <x v="2"/>
  </r>
  <r>
    <n v="407"/>
    <n v="41.6"/>
    <n v="1"/>
    <n v="8"/>
    <n v="10"/>
    <n v="5.2"/>
    <n v="3"/>
    <x v="0"/>
  </r>
  <r>
    <n v="408"/>
    <n v="33"/>
    <n v="3"/>
    <n v="6"/>
    <n v="13"/>
    <n v="3.9"/>
    <n v="0"/>
    <x v="2"/>
  </r>
  <r>
    <n v="409"/>
    <n v="37"/>
    <n v="3"/>
    <n v="5"/>
    <n v="5"/>
    <n v="16.3"/>
    <n v="0"/>
    <x v="2"/>
  </r>
  <r>
    <n v="410"/>
    <n v="33.1"/>
    <n v="5"/>
    <n v="2"/>
    <n v="16"/>
    <n v="4.4000000000000004"/>
    <n v="1"/>
    <x v="2"/>
  </r>
  <r>
    <n v="411"/>
    <n v="38.299999999999997"/>
    <n v="3"/>
    <n v="5"/>
    <n v="11"/>
    <n v="3.6"/>
    <n v="3"/>
    <x v="2"/>
  </r>
  <r>
    <n v="412"/>
    <n v="35.4"/>
    <n v="5"/>
    <n v="5"/>
    <n v="16"/>
    <n v="4.5"/>
    <n v="2"/>
    <x v="2"/>
  </r>
  <r>
    <n v="413"/>
    <n v="46.4"/>
    <n v="2"/>
    <n v="8"/>
    <n v="7"/>
    <n v="4.2"/>
    <n v="7"/>
    <x v="0"/>
  </r>
  <r>
    <n v="414"/>
    <n v="36.5"/>
    <n v="1"/>
    <n v="6"/>
    <n v="13"/>
    <n v="3.6"/>
    <n v="1"/>
    <x v="2"/>
  </r>
  <r>
    <n v="415"/>
    <n v="39.6"/>
    <n v="3"/>
    <n v="9"/>
    <n v="11"/>
    <n v="1.6"/>
    <n v="9"/>
    <x v="2"/>
  </r>
  <r>
    <n v="416"/>
    <n v="44.8"/>
    <n v="6"/>
    <n v="8"/>
    <n v="6"/>
    <n v="9.1"/>
    <n v="2"/>
    <x v="0"/>
  </r>
  <r>
    <n v="417"/>
    <n v="31.1"/>
    <n v="3"/>
    <n v="0"/>
    <n v="11"/>
    <n v="3.3"/>
    <n v="4"/>
    <x v="2"/>
  </r>
  <r>
    <n v="418"/>
    <n v="38.700000000000003"/>
    <n v="5"/>
    <n v="4"/>
    <n v="10"/>
    <n v="3.5"/>
    <n v="4"/>
    <x v="2"/>
  </r>
  <r>
    <n v="419"/>
    <n v="40.5"/>
    <n v="2"/>
    <n v="4"/>
    <n v="8"/>
    <n v="5"/>
    <n v="4"/>
    <x v="0"/>
  </r>
  <r>
    <n v="420"/>
    <n v="37.6"/>
    <n v="6"/>
    <n v="7"/>
    <n v="10"/>
    <n v="1.8"/>
    <n v="3"/>
    <x v="2"/>
  </r>
  <r>
    <n v="421"/>
    <n v="48.1"/>
    <n v="6"/>
    <n v="3"/>
    <n v="7"/>
    <n v="2.2000000000000002"/>
    <n v="1"/>
    <x v="0"/>
  </r>
  <r>
    <n v="422"/>
    <n v="33.200000000000003"/>
    <n v="2"/>
    <n v="2"/>
    <n v="14"/>
    <n v="11.1"/>
    <n v="5"/>
    <x v="2"/>
  </r>
  <r>
    <n v="423"/>
    <n v="37.799999999999997"/>
    <n v="4"/>
    <n v="7"/>
    <n v="12"/>
    <n v="3.9"/>
    <n v="4"/>
    <x v="2"/>
  </r>
  <r>
    <n v="424"/>
    <n v="39.700000000000003"/>
    <n v="5"/>
    <n v="4"/>
    <n v="16"/>
    <n v="1"/>
    <n v="1"/>
    <x v="2"/>
  </r>
  <r>
    <n v="425"/>
    <n v="26.3"/>
    <n v="2"/>
    <n v="2"/>
    <n v="11"/>
    <n v="6.3"/>
    <n v="3"/>
    <x v="2"/>
  </r>
  <r>
    <n v="426"/>
    <n v="17.399999999999999"/>
    <n v="3"/>
    <n v="2"/>
    <n v="14"/>
    <n v="2.2999999999999998"/>
    <n v="6"/>
    <x v="1"/>
  </r>
  <r>
    <n v="427"/>
    <n v="21.9"/>
    <n v="1"/>
    <n v="4"/>
    <n v="9"/>
    <n v="3"/>
    <n v="2"/>
    <x v="2"/>
  </r>
  <r>
    <n v="428"/>
    <n v="41"/>
    <n v="6"/>
    <n v="2"/>
    <n v="9"/>
    <n v="0.5"/>
    <n v="3"/>
    <x v="0"/>
  </r>
  <r>
    <n v="429"/>
    <n v="21.4"/>
    <n v="3"/>
    <n v="1"/>
    <n v="17"/>
    <n v="0.5"/>
    <n v="4"/>
    <x v="2"/>
  </r>
  <r>
    <n v="430"/>
    <n v="49.2"/>
    <n v="5"/>
    <n v="2"/>
    <n v="7"/>
    <n v="5.3"/>
    <n v="5"/>
    <x v="0"/>
  </r>
  <r>
    <n v="431"/>
    <n v="19.5"/>
    <n v="4"/>
    <n v="12"/>
    <n v="12"/>
    <n v="4.4000000000000004"/>
    <n v="5"/>
    <x v="1"/>
  </r>
  <r>
    <n v="432"/>
    <n v="27.9"/>
    <n v="4"/>
    <n v="5"/>
    <n v="10"/>
    <n v="5.2"/>
    <n v="5"/>
    <x v="2"/>
  </r>
  <r>
    <n v="433"/>
    <n v="45.1"/>
    <n v="1"/>
    <n v="5"/>
    <n v="16"/>
    <n v="2.8"/>
    <n v="6"/>
    <x v="0"/>
  </r>
  <r>
    <n v="434"/>
    <n v="31.9"/>
    <n v="3"/>
    <n v="7"/>
    <n v="14"/>
    <n v="1.9"/>
    <n v="2"/>
    <x v="2"/>
  </r>
  <r>
    <n v="435"/>
    <n v="40.9"/>
    <n v="2"/>
    <n v="2"/>
    <n v="8"/>
    <n v="3.5"/>
    <n v="1"/>
    <x v="0"/>
  </r>
  <r>
    <n v="436"/>
    <n v="30.5"/>
    <n v="5"/>
    <n v="5"/>
    <n v="9"/>
    <n v="3.2"/>
    <n v="4"/>
    <x v="2"/>
  </r>
  <r>
    <n v="437"/>
    <n v="12.1"/>
    <n v="2"/>
    <n v="4"/>
    <n v="16"/>
    <n v="2.8"/>
    <n v="4"/>
    <x v="1"/>
  </r>
  <r>
    <n v="438"/>
    <n v="50.1"/>
    <n v="2"/>
    <n v="5"/>
    <n v="7"/>
    <n v="5.6"/>
    <n v="4"/>
    <x v="0"/>
  </r>
  <r>
    <n v="439"/>
    <n v="53"/>
    <n v="2"/>
    <n v="3"/>
    <n v="9"/>
    <n v="4.5"/>
    <n v="2"/>
    <x v="0"/>
  </r>
  <r>
    <n v="440"/>
    <n v="27.5"/>
    <n v="2"/>
    <n v="2"/>
    <n v="5"/>
    <n v="4.3"/>
    <n v="2"/>
    <x v="2"/>
  </r>
  <r>
    <n v="441"/>
    <n v="44.1"/>
    <n v="2"/>
    <n v="7"/>
    <n v="6"/>
    <n v="3.1"/>
    <n v="4"/>
    <x v="0"/>
  </r>
  <r>
    <n v="442"/>
    <n v="39"/>
    <n v="2"/>
    <n v="4"/>
    <n v="9"/>
    <n v="3.7"/>
    <n v="1"/>
    <x v="2"/>
  </r>
  <r>
    <n v="443"/>
    <n v="49"/>
    <n v="3"/>
    <n v="5"/>
    <n v="4"/>
    <n v="9.6"/>
    <n v="5"/>
    <x v="0"/>
  </r>
  <r>
    <n v="444"/>
    <n v="59"/>
    <n v="2"/>
    <n v="10"/>
    <n v="9"/>
    <n v="2.2000000000000002"/>
    <n v="1"/>
    <x v="0"/>
  </r>
  <r>
    <n v="445"/>
    <n v="34"/>
    <n v="1"/>
    <n v="4"/>
    <n v="11"/>
    <n v="3.5"/>
    <n v="2"/>
    <x v="2"/>
  </r>
  <r>
    <n v="446"/>
    <n v="59"/>
    <n v="0"/>
    <n v="5"/>
    <n v="7"/>
    <n v="3.2"/>
    <n v="4"/>
    <x v="0"/>
  </r>
  <r>
    <n v="447"/>
    <n v="54.1"/>
    <n v="1"/>
    <n v="7"/>
    <n v="17"/>
    <n v="9.5"/>
    <n v="2"/>
    <x v="0"/>
  </r>
  <r>
    <n v="448"/>
    <n v="40.4"/>
    <n v="0"/>
    <n v="8"/>
    <n v="15"/>
    <n v="2"/>
    <n v="2"/>
    <x v="0"/>
  </r>
  <r>
    <n v="449"/>
    <n v="51.9"/>
    <n v="2"/>
    <n v="11"/>
    <n v="15"/>
    <n v="6.4"/>
    <n v="1"/>
    <x v="0"/>
  </r>
  <r>
    <n v="450"/>
    <n v="37.799999999999997"/>
    <n v="3"/>
    <n v="9"/>
    <n v="13"/>
    <n v="3.9"/>
    <n v="5"/>
    <x v="2"/>
  </r>
  <r>
    <n v="451"/>
    <n v="38.5"/>
    <n v="3"/>
    <n v="4"/>
    <n v="10"/>
    <n v="7.2"/>
    <n v="1"/>
    <x v="2"/>
  </r>
  <r>
    <n v="452"/>
    <n v="54.7"/>
    <n v="2"/>
    <n v="4"/>
    <n v="14"/>
    <n v="0.8"/>
    <n v="1"/>
    <x v="0"/>
  </r>
  <r>
    <n v="453"/>
    <n v="53.9"/>
    <n v="2"/>
    <n v="7"/>
    <n v="9"/>
    <n v="0.3"/>
    <n v="4"/>
    <x v="0"/>
  </r>
  <r>
    <n v="454"/>
    <n v="18.600000000000001"/>
    <n v="3"/>
    <n v="2"/>
    <n v="13"/>
    <n v="4.7"/>
    <n v="5"/>
    <x v="1"/>
  </r>
  <r>
    <n v="455"/>
    <n v="47.4"/>
    <n v="2"/>
    <n v="5"/>
    <n v="6"/>
    <n v="4.0999999999999996"/>
    <n v="2"/>
    <x v="0"/>
  </r>
  <r>
    <n v="456"/>
    <n v="37.5"/>
    <n v="1"/>
    <n v="6"/>
    <n v="5"/>
    <n v="2.2999999999999998"/>
    <n v="4"/>
    <x v="2"/>
  </r>
  <r>
    <n v="457"/>
    <n v="45.9"/>
    <n v="2"/>
    <n v="4"/>
    <n v="11"/>
    <n v="5"/>
    <n v="2"/>
    <x v="0"/>
  </r>
  <r>
    <n v="458"/>
    <n v="50.1"/>
    <n v="4"/>
    <n v="6"/>
    <n v="9"/>
    <n v="5.5"/>
    <n v="3"/>
    <x v="0"/>
  </r>
  <r>
    <n v="459"/>
    <n v="47.2"/>
    <n v="2"/>
    <n v="8"/>
    <n v="10"/>
    <n v="6.4"/>
    <n v="3"/>
    <x v="0"/>
  </r>
  <r>
    <n v="460"/>
    <n v="27.4"/>
    <n v="2"/>
    <n v="4"/>
    <n v="8"/>
    <n v="2.7"/>
    <n v="0"/>
    <x v="2"/>
  </r>
  <r>
    <n v="461"/>
    <n v="38.700000000000003"/>
    <n v="2"/>
    <n v="2"/>
    <n v="7"/>
    <n v="7.5"/>
    <n v="2"/>
    <x v="2"/>
  </r>
  <r>
    <n v="462"/>
    <n v="50.9"/>
    <n v="4"/>
    <n v="2"/>
    <n v="10"/>
    <n v="5.6"/>
    <n v="2"/>
    <x v="0"/>
  </r>
  <r>
    <n v="463"/>
    <n v="43.8"/>
    <n v="4"/>
    <n v="6"/>
    <n v="14"/>
    <n v="5.8"/>
    <n v="3"/>
    <x v="0"/>
  </r>
  <r>
    <n v="464"/>
    <n v="41.3"/>
    <n v="2"/>
    <n v="6"/>
    <n v="10"/>
    <n v="1.7"/>
    <n v="2"/>
    <x v="0"/>
  </r>
  <r>
    <n v="465"/>
    <n v="28.6"/>
    <n v="2"/>
    <n v="3"/>
    <n v="5"/>
    <n v="1.7"/>
    <n v="2"/>
    <x v="2"/>
  </r>
  <r>
    <n v="466"/>
    <n v="50.2"/>
    <n v="2"/>
    <n v="3"/>
    <n v="9"/>
    <n v="1.1000000000000001"/>
    <n v="4"/>
    <x v="0"/>
  </r>
  <r>
    <n v="467"/>
    <n v="63.2"/>
    <n v="1"/>
    <n v="3"/>
    <n v="15"/>
    <n v="5.0999999999999996"/>
    <n v="3"/>
    <x v="3"/>
  </r>
  <r>
    <n v="468"/>
    <n v="33"/>
    <n v="1"/>
    <n v="2"/>
    <n v="7"/>
    <n v="4.2"/>
    <n v="5"/>
    <x v="2"/>
  </r>
  <r>
    <n v="469"/>
    <n v="40.299999999999997"/>
    <n v="5"/>
    <n v="5"/>
    <n v="2"/>
    <n v="7.7"/>
    <n v="3"/>
    <x v="0"/>
  </r>
  <r>
    <n v="470"/>
    <n v="45"/>
    <n v="4"/>
    <n v="8"/>
    <n v="6"/>
    <n v="3.2"/>
    <n v="5"/>
    <x v="0"/>
  </r>
  <r>
    <n v="471"/>
    <n v="47.4"/>
    <n v="3"/>
    <n v="5"/>
    <n v="10"/>
    <n v="0.7"/>
    <n v="3"/>
    <x v="0"/>
  </r>
  <r>
    <n v="472"/>
    <n v="38"/>
    <n v="1"/>
    <n v="2"/>
    <n v="7"/>
    <n v="7.8"/>
    <n v="1"/>
    <x v="2"/>
  </r>
  <r>
    <n v="473"/>
    <n v="22.9"/>
    <n v="3"/>
    <n v="2"/>
    <n v="8"/>
    <n v="3.4"/>
    <n v="4"/>
    <x v="2"/>
  </r>
  <r>
    <n v="474"/>
    <n v="28.7"/>
    <n v="1"/>
    <n v="2"/>
    <n v="9"/>
    <n v="8.1"/>
    <n v="3"/>
    <x v="2"/>
  </r>
  <r>
    <n v="475"/>
    <n v="59.2"/>
    <n v="4"/>
    <n v="6"/>
    <n v="16"/>
    <n v="3.3"/>
    <n v="4"/>
    <x v="0"/>
  </r>
  <r>
    <n v="476"/>
    <n v="47.5"/>
    <n v="1"/>
    <n v="3"/>
    <n v="10"/>
    <n v="6.9"/>
    <n v="1"/>
    <x v="0"/>
  </r>
  <r>
    <n v="477"/>
    <n v="54.7"/>
    <n v="4"/>
    <n v="4"/>
    <n v="15"/>
    <n v="2.1"/>
    <n v="7"/>
    <x v="0"/>
  </r>
  <r>
    <n v="478"/>
    <n v="35.4"/>
    <n v="3"/>
    <n v="4"/>
    <n v="10"/>
    <n v="5.9"/>
    <n v="6"/>
    <x v="2"/>
  </r>
  <r>
    <n v="479"/>
    <n v="40.1"/>
    <n v="0"/>
    <n v="4"/>
    <n v="3"/>
    <n v="4.2"/>
    <n v="5"/>
    <x v="0"/>
  </r>
  <r>
    <n v="480"/>
    <n v="39.700000000000003"/>
    <n v="6"/>
    <n v="6"/>
    <n v="6"/>
    <n v="1.9"/>
    <n v="2"/>
    <x v="2"/>
  </r>
  <r>
    <n v="481"/>
    <n v="46.3"/>
    <n v="3"/>
    <n v="3"/>
    <n v="7"/>
    <n v="0.9"/>
    <n v="2"/>
    <x v="0"/>
  </r>
  <r>
    <n v="482"/>
    <n v="28.8"/>
    <n v="5"/>
    <n v="10"/>
    <n v="8"/>
    <n v="2.2999999999999998"/>
    <n v="5"/>
    <x v="2"/>
  </r>
  <r>
    <n v="483"/>
    <n v="44.6"/>
    <n v="2"/>
    <n v="4"/>
    <n v="10"/>
    <n v="7.5"/>
    <n v="5"/>
    <x v="0"/>
  </r>
  <r>
    <n v="484"/>
    <n v="46.2"/>
    <n v="2"/>
    <n v="1"/>
    <n v="7"/>
    <n v="2.2999999999999998"/>
    <n v="4"/>
    <x v="0"/>
  </r>
  <r>
    <n v="485"/>
    <n v="31.7"/>
    <n v="6"/>
    <n v="5"/>
    <n v="14"/>
    <n v="7.9"/>
    <n v="6"/>
    <x v="2"/>
  </r>
  <r>
    <n v="486"/>
    <n v="43.8"/>
    <n v="4"/>
    <n v="8"/>
    <n v="9"/>
    <n v="6.8"/>
    <n v="5"/>
    <x v="0"/>
  </r>
  <r>
    <n v="487"/>
    <n v="45.2"/>
    <n v="1"/>
    <n v="7"/>
    <n v="6"/>
    <n v="3.6"/>
    <n v="2"/>
    <x v="0"/>
  </r>
  <r>
    <n v="488"/>
    <n v="35.200000000000003"/>
    <n v="7"/>
    <n v="9"/>
    <n v="10"/>
    <n v="6.2"/>
    <n v="4"/>
    <x v="2"/>
  </r>
  <r>
    <n v="489"/>
    <n v="43.2"/>
    <n v="7"/>
    <n v="3"/>
    <n v="11"/>
    <n v="1"/>
    <n v="4"/>
    <x v="0"/>
  </r>
  <r>
    <n v="490"/>
    <n v="31.2"/>
    <n v="3"/>
    <n v="7"/>
    <n v="4"/>
    <n v="3.7"/>
    <n v="3"/>
    <x v="2"/>
  </r>
  <r>
    <n v="491"/>
    <n v="46"/>
    <n v="2"/>
    <n v="6"/>
    <n v="12"/>
    <n v="2.7"/>
    <n v="6"/>
    <x v="0"/>
  </r>
  <r>
    <n v="492"/>
    <n v="35"/>
    <n v="2"/>
    <n v="4"/>
    <n v="10"/>
    <n v="1.3"/>
    <n v="4"/>
    <x v="2"/>
  </r>
  <r>
    <n v="493"/>
    <n v="43.9"/>
    <n v="1"/>
    <n v="3"/>
    <n v="12"/>
    <n v="5.6"/>
    <n v="3"/>
    <x v="0"/>
  </r>
  <r>
    <n v="494"/>
    <n v="42.8"/>
    <n v="3"/>
    <n v="6"/>
    <n v="11"/>
    <n v="6.4"/>
    <n v="3"/>
    <x v="0"/>
  </r>
  <r>
    <n v="495"/>
    <n v="40.1"/>
    <n v="2"/>
    <n v="2"/>
    <n v="12"/>
    <n v="1.2"/>
    <n v="4"/>
    <x v="0"/>
  </r>
  <r>
    <n v="496"/>
    <n v="44.5"/>
    <n v="6"/>
    <n v="3"/>
    <n v="12"/>
    <n v="2.8"/>
    <n v="2"/>
    <x v="0"/>
  </r>
  <r>
    <n v="497"/>
    <n v="42.3"/>
    <n v="4"/>
    <n v="6"/>
    <n v="8"/>
    <n v="3.3"/>
    <n v="2"/>
    <x v="0"/>
  </r>
  <r>
    <n v="498"/>
    <n v="50.5"/>
    <n v="2"/>
    <n v="2"/>
    <n v="11"/>
    <n v="4.5"/>
    <n v="3"/>
    <x v="0"/>
  </r>
  <r>
    <n v="499"/>
    <n v="54"/>
    <n v="2"/>
    <n v="6"/>
    <n v="9"/>
    <n v="5.4"/>
    <n v="3"/>
    <x v="0"/>
  </r>
  <r>
    <n v="500"/>
    <n v="31.4"/>
    <n v="5"/>
    <n v="5"/>
    <n v="12"/>
    <n v="3.1"/>
    <n v="1"/>
    <x v="2"/>
  </r>
  <r>
    <n v="501"/>
    <n v="47.4"/>
    <n v="6"/>
    <n v="0"/>
    <n v="6"/>
    <n v="1.8"/>
    <n v="1"/>
    <x v="0"/>
  </r>
  <r>
    <n v="502"/>
    <n v="32.5"/>
    <n v="3"/>
    <n v="2"/>
    <n v="11"/>
    <n v="7.2"/>
    <n v="5"/>
    <x v="2"/>
  </r>
  <r>
    <n v="503"/>
    <n v="35.200000000000003"/>
    <n v="4"/>
    <n v="6"/>
    <n v="10"/>
    <n v="3.7"/>
    <n v="2"/>
    <x v="2"/>
  </r>
  <r>
    <n v="504"/>
    <n v="48.3"/>
    <n v="5"/>
    <n v="5"/>
    <n v="5"/>
    <n v="4.8"/>
    <n v="2"/>
    <x v="0"/>
  </r>
  <r>
    <n v="505"/>
    <n v="47.5"/>
    <n v="3"/>
    <n v="4"/>
    <n v="8"/>
    <n v="4"/>
    <n v="4"/>
    <x v="0"/>
  </r>
  <r>
    <n v="506"/>
    <n v="29"/>
    <n v="2"/>
    <n v="4"/>
    <n v="6"/>
    <n v="6.9"/>
    <n v="4"/>
    <x v="2"/>
  </r>
  <r>
    <n v="507"/>
    <n v="47.7"/>
    <n v="3"/>
    <n v="3"/>
    <n v="11"/>
    <n v="1.8"/>
    <n v="0"/>
    <x v="0"/>
  </r>
  <r>
    <n v="508"/>
    <n v="31.1"/>
    <n v="2"/>
    <n v="4"/>
    <n v="6"/>
    <n v="3.5"/>
    <n v="7"/>
    <x v="2"/>
  </r>
  <r>
    <n v="509"/>
    <n v="41.3"/>
    <n v="5"/>
    <n v="1"/>
    <n v="5"/>
    <n v="5.4"/>
    <n v="5"/>
    <x v="0"/>
  </r>
  <r>
    <n v="510"/>
    <n v="46.7"/>
    <n v="4"/>
    <n v="5"/>
    <n v="9"/>
    <n v="1.5"/>
    <n v="4"/>
    <x v="0"/>
  </r>
  <r>
    <n v="511"/>
    <n v="51"/>
    <n v="4"/>
    <n v="3"/>
    <n v="10"/>
    <n v="4.9000000000000004"/>
    <n v="7"/>
    <x v="0"/>
  </r>
  <r>
    <n v="512"/>
    <n v="50.9"/>
    <n v="2"/>
    <n v="2"/>
    <n v="8"/>
    <n v="2.7"/>
    <n v="3"/>
    <x v="0"/>
  </r>
  <r>
    <n v="513"/>
    <n v="41.2"/>
    <n v="3"/>
    <n v="6"/>
    <n v="11"/>
    <n v="3.9"/>
    <n v="4"/>
    <x v="0"/>
  </r>
  <r>
    <n v="514"/>
    <n v="40.799999999999997"/>
    <n v="5"/>
    <n v="6"/>
    <n v="10"/>
    <n v="7.3"/>
    <n v="3"/>
    <x v="0"/>
  </r>
  <r>
    <n v="515"/>
    <n v="35.1"/>
    <n v="3"/>
    <n v="0"/>
    <n v="8"/>
    <n v="6.6"/>
    <n v="4"/>
    <x v="2"/>
  </r>
  <r>
    <n v="516"/>
    <n v="41.1"/>
    <n v="1"/>
    <n v="1"/>
    <n v="11"/>
    <n v="4.3"/>
    <n v="1"/>
    <x v="0"/>
  </r>
  <r>
    <n v="517"/>
    <n v="40.799999999999997"/>
    <n v="5"/>
    <n v="3"/>
    <n v="11"/>
    <n v="7.6"/>
    <n v="2"/>
    <x v="0"/>
  </r>
  <r>
    <n v="518"/>
    <n v="36"/>
    <n v="2"/>
    <n v="1"/>
    <n v="11"/>
    <n v="3.4"/>
    <n v="3"/>
    <x v="2"/>
  </r>
  <r>
    <n v="519"/>
    <n v="49.6"/>
    <n v="2"/>
    <n v="0"/>
    <n v="13"/>
    <n v="4"/>
    <n v="4"/>
    <x v="0"/>
  </r>
  <r>
    <n v="520"/>
    <n v="53.7"/>
    <n v="5"/>
    <n v="5"/>
    <n v="11"/>
    <n v="8.6999999999999993"/>
    <n v="3"/>
    <x v="0"/>
  </r>
  <r>
    <n v="521"/>
    <n v="36.4"/>
    <n v="2"/>
    <n v="2"/>
    <n v="6"/>
    <n v="2.4"/>
    <n v="5"/>
    <x v="2"/>
  </r>
  <r>
    <n v="522"/>
    <n v="41.9"/>
    <n v="3"/>
    <n v="6"/>
    <n v="10"/>
    <n v="5.3"/>
    <n v="3"/>
    <x v="0"/>
  </r>
  <r>
    <n v="523"/>
    <n v="24.1"/>
    <n v="3"/>
    <n v="5"/>
    <n v="12"/>
    <n v="4"/>
    <n v="7"/>
    <x v="2"/>
  </r>
  <r>
    <n v="524"/>
    <n v="35.200000000000003"/>
    <n v="2"/>
    <n v="1"/>
    <n v="11"/>
    <n v="1.3"/>
    <n v="2"/>
    <x v="2"/>
  </r>
  <r>
    <n v="525"/>
    <n v="39.1"/>
    <n v="2"/>
    <n v="5"/>
    <n v="16"/>
    <n v="7.4"/>
    <n v="2"/>
    <x v="2"/>
  </r>
  <r>
    <n v="526"/>
    <n v="56.4"/>
    <n v="5"/>
    <n v="2"/>
    <n v="8"/>
    <n v="5.3"/>
    <n v="2"/>
    <x v="0"/>
  </r>
  <r>
    <n v="527"/>
    <n v="13.6"/>
    <n v="1"/>
    <n v="4"/>
    <n v="12"/>
    <n v="3.2"/>
    <n v="2"/>
    <x v="1"/>
  </r>
  <r>
    <n v="528"/>
    <n v="22.8"/>
    <n v="3"/>
    <n v="2"/>
    <n v="9"/>
    <n v="2.5"/>
    <n v="2"/>
    <x v="2"/>
  </r>
  <r>
    <n v="529"/>
    <n v="45.1"/>
    <n v="3"/>
    <n v="2"/>
    <n v="14"/>
    <n v="4.4000000000000004"/>
    <n v="4"/>
    <x v="0"/>
  </r>
  <r>
    <n v="530"/>
    <n v="40.5"/>
    <n v="3"/>
    <n v="4"/>
    <n v="8"/>
    <n v="2.1"/>
    <n v="1"/>
    <x v="0"/>
  </r>
  <r>
    <n v="531"/>
    <n v="29.5"/>
    <n v="6"/>
    <n v="4"/>
    <n v="8"/>
    <n v="0.7"/>
    <n v="3"/>
    <x v="2"/>
  </r>
  <r>
    <n v="532"/>
    <n v="22.2"/>
    <n v="4"/>
    <n v="0"/>
    <n v="13"/>
    <n v="7.8"/>
    <n v="1"/>
    <x v="2"/>
  </r>
  <r>
    <n v="533"/>
    <n v="36.5"/>
    <n v="5"/>
    <n v="3"/>
    <n v="11"/>
    <n v="4"/>
    <n v="3"/>
    <x v="2"/>
  </r>
  <r>
    <n v="534"/>
    <n v="48"/>
    <n v="4"/>
    <n v="2"/>
    <n v="10"/>
    <n v="4.3"/>
    <n v="4"/>
    <x v="0"/>
  </r>
  <r>
    <n v="535"/>
    <n v="54.3"/>
    <n v="2"/>
    <n v="2"/>
    <n v="2"/>
    <n v="5.7"/>
    <n v="6"/>
    <x v="0"/>
  </r>
  <r>
    <n v="536"/>
    <n v="45.3"/>
    <n v="3"/>
    <n v="6"/>
    <n v="14"/>
    <n v="8.6999999999999993"/>
    <n v="2"/>
    <x v="0"/>
  </r>
  <r>
    <n v="537"/>
    <n v="34.5"/>
    <n v="5"/>
    <n v="4"/>
    <n v="11"/>
    <n v="7.2"/>
    <n v="3"/>
    <x v="2"/>
  </r>
  <r>
    <n v="538"/>
    <n v="30.6"/>
    <n v="2"/>
    <n v="2"/>
    <n v="9"/>
    <n v="3.9"/>
    <n v="3"/>
    <x v="2"/>
  </r>
  <r>
    <n v="539"/>
    <n v="41.9"/>
    <n v="5"/>
    <n v="7"/>
    <n v="19"/>
    <n v="4.5999999999999996"/>
    <n v="2"/>
    <x v="0"/>
  </r>
  <r>
    <n v="540"/>
    <n v="47.8"/>
    <n v="0"/>
    <n v="4"/>
    <n v="11"/>
    <n v="2.4"/>
    <n v="2"/>
    <x v="0"/>
  </r>
  <r>
    <n v="541"/>
    <n v="61.1"/>
    <n v="6"/>
    <n v="4"/>
    <n v="8"/>
    <n v="2.7"/>
    <n v="4"/>
    <x v="3"/>
  </r>
  <r>
    <n v="542"/>
    <n v="33.4"/>
    <n v="2"/>
    <n v="5"/>
    <n v="9"/>
    <n v="2.6"/>
    <n v="2"/>
    <x v="2"/>
  </r>
  <r>
    <n v="543"/>
    <n v="42.2"/>
    <n v="0"/>
    <n v="2"/>
    <n v="8"/>
    <n v="5.0999999999999996"/>
    <n v="4"/>
    <x v="0"/>
  </r>
  <r>
    <n v="544"/>
    <n v="29.5"/>
    <n v="1"/>
    <n v="3"/>
    <n v="7"/>
    <n v="7.5"/>
    <n v="6"/>
    <x v="2"/>
  </r>
  <r>
    <n v="545"/>
    <n v="43.6"/>
    <n v="2"/>
    <n v="3"/>
    <n v="14"/>
    <n v="7.3"/>
    <n v="2"/>
    <x v="0"/>
  </r>
  <r>
    <n v="546"/>
    <n v="37"/>
    <n v="3"/>
    <n v="4"/>
    <n v="12"/>
    <n v="5.7"/>
    <n v="3"/>
    <x v="2"/>
  </r>
  <r>
    <n v="547"/>
    <n v="40.700000000000003"/>
    <n v="3"/>
    <n v="2"/>
    <n v="9"/>
    <n v="1.4"/>
    <n v="2"/>
    <x v="0"/>
  </r>
  <r>
    <n v="548"/>
    <n v="29"/>
    <n v="2"/>
    <n v="2"/>
    <n v="7"/>
    <n v="5.0999999999999996"/>
    <n v="7"/>
    <x v="2"/>
  </r>
  <r>
    <n v="549"/>
    <n v="43.1"/>
    <n v="3"/>
    <n v="4"/>
    <n v="8"/>
    <n v="6.7"/>
    <n v="2"/>
    <x v="0"/>
  </r>
  <r>
    <n v="550"/>
    <n v="60.4"/>
    <n v="4"/>
    <n v="5"/>
    <n v="10"/>
    <n v="6.1"/>
    <n v="5"/>
    <x v="3"/>
  </r>
  <r>
    <n v="551"/>
    <n v="47.8"/>
    <n v="4"/>
    <n v="2"/>
    <n v="8"/>
    <n v="4.9000000000000004"/>
    <n v="3"/>
    <x v="0"/>
  </r>
  <r>
    <n v="552"/>
    <n v="41.7"/>
    <n v="5"/>
    <n v="8"/>
    <n v="11"/>
    <n v="2.7"/>
    <n v="7"/>
    <x v="0"/>
  </r>
  <r>
    <n v="553"/>
    <n v="39.799999999999997"/>
    <n v="2"/>
    <n v="7"/>
    <n v="11"/>
    <n v="1.1000000000000001"/>
    <n v="1"/>
    <x v="2"/>
  </r>
  <r>
    <n v="554"/>
    <n v="37.9"/>
    <n v="3"/>
    <n v="3"/>
    <n v="9"/>
    <n v="4.4000000000000004"/>
    <n v="3"/>
    <x v="2"/>
  </r>
  <r>
    <n v="555"/>
    <n v="47.8"/>
    <n v="9"/>
    <n v="6"/>
    <n v="7"/>
    <n v="3.5"/>
    <n v="1"/>
    <x v="0"/>
  </r>
  <r>
    <n v="556"/>
    <n v="25.8"/>
    <n v="1"/>
    <n v="3"/>
    <n v="13"/>
    <n v="1.2"/>
    <n v="1"/>
    <x v="2"/>
  </r>
  <r>
    <n v="557"/>
    <n v="46.7"/>
    <n v="4"/>
    <n v="1"/>
    <n v="11"/>
    <n v="0.9"/>
    <n v="1"/>
    <x v="0"/>
  </r>
  <r>
    <n v="558"/>
    <n v="32.200000000000003"/>
    <n v="3"/>
    <n v="3"/>
    <n v="10"/>
    <n v="3.3"/>
    <n v="3"/>
    <x v="2"/>
  </r>
  <r>
    <n v="559"/>
    <n v="37.799999999999997"/>
    <n v="3"/>
    <n v="7"/>
    <n v="10"/>
    <n v="2.1"/>
    <n v="3"/>
    <x v="2"/>
  </r>
  <r>
    <n v="560"/>
    <n v="37.9"/>
    <n v="2"/>
    <n v="3"/>
    <n v="9"/>
    <n v="2.9"/>
    <n v="1"/>
    <x v="2"/>
  </r>
  <r>
    <n v="561"/>
    <n v="33.9"/>
    <n v="5"/>
    <n v="1"/>
    <n v="6"/>
    <n v="4.9000000000000004"/>
    <n v="3"/>
    <x v="2"/>
  </r>
  <r>
    <n v="562"/>
    <n v="30.1"/>
    <n v="3"/>
    <n v="1"/>
    <n v="7"/>
    <n v="3.8"/>
    <n v="1"/>
    <x v="2"/>
  </r>
  <r>
    <n v="563"/>
    <n v="35.700000000000003"/>
    <n v="3"/>
    <n v="6"/>
    <n v="6"/>
    <n v="3"/>
    <n v="4"/>
    <x v="2"/>
  </r>
  <r>
    <n v="564"/>
    <n v="53.2"/>
    <n v="0"/>
    <n v="5"/>
    <n v="11"/>
    <n v="3.8"/>
    <n v="2"/>
    <x v="0"/>
  </r>
  <r>
    <n v="565"/>
    <n v="45.2"/>
    <n v="5"/>
    <n v="1"/>
    <n v="3"/>
    <n v="8"/>
    <n v="3"/>
    <x v="0"/>
  </r>
  <r>
    <n v="566"/>
    <n v="41.1"/>
    <n v="0"/>
    <n v="5"/>
    <n v="10"/>
    <n v="4.5"/>
    <n v="5"/>
    <x v="0"/>
  </r>
  <r>
    <n v="567"/>
    <n v="18.600000000000001"/>
    <n v="5"/>
    <n v="6"/>
    <n v="12"/>
    <n v="4.2"/>
    <n v="4"/>
    <x v="1"/>
  </r>
  <r>
    <n v="568"/>
    <n v="47.5"/>
    <n v="1"/>
    <n v="4"/>
    <n v="16"/>
    <n v="1"/>
    <n v="5"/>
    <x v="0"/>
  </r>
  <r>
    <n v="569"/>
    <n v="49.2"/>
    <n v="2"/>
    <n v="6"/>
    <n v="11"/>
    <n v="2.5"/>
    <n v="2"/>
    <x v="0"/>
  </r>
  <r>
    <n v="570"/>
    <n v="50.2"/>
    <n v="2"/>
    <n v="4"/>
    <n v="4"/>
    <n v="3.7"/>
    <n v="3"/>
    <x v="0"/>
  </r>
  <r>
    <n v="571"/>
    <n v="15.1"/>
    <n v="4"/>
    <n v="6"/>
    <n v="12"/>
    <n v="3.1"/>
    <n v="8"/>
    <x v="1"/>
  </r>
  <r>
    <n v="572"/>
    <n v="53.2"/>
    <n v="3"/>
    <n v="5"/>
    <n v="12"/>
    <n v="4.0999999999999996"/>
    <n v="4"/>
    <x v="0"/>
  </r>
  <r>
    <n v="573"/>
    <n v="36.5"/>
    <n v="5"/>
    <n v="4"/>
    <n v="7"/>
    <n v="3.8"/>
    <n v="2"/>
    <x v="2"/>
  </r>
  <r>
    <n v="574"/>
    <n v="61.8"/>
    <n v="1"/>
    <n v="4"/>
    <n v="11"/>
    <n v="5.5"/>
    <n v="2"/>
    <x v="3"/>
  </r>
  <r>
    <n v="575"/>
    <n v="35.1"/>
    <n v="3"/>
    <n v="5"/>
    <n v="8"/>
    <n v="1.7"/>
    <n v="2"/>
    <x v="2"/>
  </r>
  <r>
    <n v="576"/>
    <n v="35"/>
    <n v="4"/>
    <n v="4"/>
    <n v="8"/>
    <n v="1.1000000000000001"/>
    <n v="1"/>
    <x v="2"/>
  </r>
  <r>
    <n v="577"/>
    <n v="31.5"/>
    <n v="2"/>
    <n v="3"/>
    <n v="10"/>
    <n v="4.2"/>
    <n v="3"/>
    <x v="2"/>
  </r>
  <r>
    <n v="578"/>
    <n v="60.6"/>
    <n v="2"/>
    <n v="7"/>
    <n v="8"/>
    <n v="3.9"/>
    <n v="6"/>
    <x v="3"/>
  </r>
  <r>
    <n v="579"/>
    <n v="59.7"/>
    <n v="7"/>
    <n v="5"/>
    <n v="10"/>
    <n v="2.4"/>
    <n v="4"/>
    <x v="0"/>
  </r>
  <r>
    <n v="580"/>
    <n v="42"/>
    <n v="3"/>
    <n v="3"/>
    <n v="14"/>
    <n v="1.7"/>
    <n v="3"/>
    <x v="0"/>
  </r>
  <r>
    <n v="581"/>
    <n v="36.5"/>
    <n v="5"/>
    <n v="3"/>
    <n v="7"/>
    <n v="3.8"/>
    <n v="2"/>
    <x v="2"/>
  </r>
  <r>
    <n v="582"/>
    <n v="41"/>
    <n v="3"/>
    <n v="4"/>
    <n v="12"/>
    <n v="4.3"/>
    <n v="3"/>
    <x v="0"/>
  </r>
  <r>
    <n v="583"/>
    <n v="32.799999999999997"/>
    <n v="1"/>
    <n v="2"/>
    <n v="12"/>
    <n v="5"/>
    <n v="1"/>
    <x v="2"/>
  </r>
  <r>
    <n v="584"/>
    <n v="36.1"/>
    <n v="2"/>
    <n v="3"/>
    <n v="7"/>
    <n v="3.2"/>
    <n v="1"/>
    <x v="2"/>
  </r>
  <r>
    <n v="585"/>
    <n v="10.3"/>
    <n v="6"/>
    <n v="5"/>
    <n v="14"/>
    <n v="1.3"/>
    <n v="6"/>
    <x v="1"/>
  </r>
  <r>
    <n v="586"/>
    <n v="35.700000000000003"/>
    <n v="1"/>
    <n v="1"/>
    <n v="10"/>
    <n v="0.7"/>
    <n v="1"/>
    <x v="2"/>
  </r>
  <r>
    <n v="587"/>
    <n v="28.5"/>
    <n v="2"/>
    <n v="3"/>
    <n v="12"/>
    <n v="1.4"/>
    <n v="3"/>
    <x v="2"/>
  </r>
  <r>
    <n v="588"/>
    <n v="24.5"/>
    <n v="1"/>
    <n v="4"/>
    <n v="9"/>
    <n v="6.8"/>
    <n v="5"/>
    <x v="2"/>
  </r>
  <r>
    <n v="589"/>
    <n v="51.3"/>
    <n v="2"/>
    <n v="6"/>
    <n v="6"/>
    <n v="1.8"/>
    <n v="4"/>
    <x v="0"/>
  </r>
  <r>
    <n v="590"/>
    <n v="41.1"/>
    <n v="0"/>
    <n v="2"/>
    <n v="8"/>
    <n v="4.5999999999999996"/>
    <n v="4"/>
    <x v="0"/>
  </r>
  <r>
    <n v="591"/>
    <n v="53.6"/>
    <n v="0"/>
    <n v="5"/>
    <n v="9"/>
    <n v="3.1"/>
    <n v="2"/>
    <x v="0"/>
  </r>
  <r>
    <n v="592"/>
    <n v="30.4"/>
    <n v="1"/>
    <n v="1"/>
    <n v="15"/>
    <n v="5.5"/>
    <n v="2"/>
    <x v="2"/>
  </r>
  <r>
    <n v="593"/>
    <n v="26.2"/>
    <n v="2"/>
    <n v="5"/>
    <n v="11"/>
    <n v="3.7"/>
    <n v="1"/>
    <x v="2"/>
  </r>
  <r>
    <n v="594"/>
    <n v="60.7"/>
    <n v="2"/>
    <n v="4"/>
    <n v="6"/>
    <n v="3.3"/>
    <n v="1"/>
    <x v="3"/>
  </r>
  <r>
    <n v="595"/>
    <n v="25.9"/>
    <n v="4"/>
    <n v="2"/>
    <n v="6"/>
    <n v="4.0999999999999996"/>
    <n v="2"/>
    <x v="2"/>
  </r>
  <r>
    <n v="596"/>
    <n v="39.5"/>
    <n v="2"/>
    <n v="5"/>
    <n v="6"/>
    <n v="5.4"/>
    <n v="3"/>
    <x v="2"/>
  </r>
  <r>
    <n v="597"/>
    <n v="49.7"/>
    <n v="3"/>
    <n v="8"/>
    <n v="7"/>
    <n v="4.7"/>
    <n v="3"/>
    <x v="0"/>
  </r>
  <r>
    <n v="598"/>
    <n v="40.6"/>
    <n v="0"/>
    <n v="3"/>
    <n v="10"/>
    <n v="1.4"/>
    <n v="4"/>
    <x v="0"/>
  </r>
  <r>
    <n v="599"/>
    <n v="36.200000000000003"/>
    <n v="2"/>
    <n v="5"/>
    <n v="8"/>
    <n v="5.2"/>
    <n v="1"/>
    <x v="2"/>
  </r>
  <r>
    <n v="600"/>
    <n v="31.7"/>
    <n v="5"/>
    <n v="5"/>
    <n v="13"/>
    <n v="5.4"/>
    <n v="3"/>
    <x v="2"/>
  </r>
  <r>
    <n v="601"/>
    <n v="34.5"/>
    <n v="0"/>
    <n v="6"/>
    <n v="9"/>
    <n v="4.2"/>
    <n v="3"/>
    <x v="2"/>
  </r>
  <r>
    <n v="602"/>
    <n v="36.9"/>
    <n v="5"/>
    <n v="3"/>
    <n v="10"/>
    <n v="7.7"/>
    <n v="2"/>
    <x v="2"/>
  </r>
  <r>
    <n v="603"/>
    <n v="33.4"/>
    <n v="1"/>
    <n v="1"/>
    <n v="4"/>
    <n v="8"/>
    <n v="5"/>
    <x v="2"/>
  </r>
  <r>
    <n v="604"/>
    <n v="53.4"/>
    <n v="2"/>
    <n v="2"/>
    <n v="9"/>
    <n v="7.8"/>
    <n v="3"/>
    <x v="0"/>
  </r>
  <r>
    <n v="605"/>
    <n v="48.1"/>
    <n v="9"/>
    <n v="4"/>
    <n v="14"/>
    <n v="1.7"/>
    <n v="1"/>
    <x v="0"/>
  </r>
  <r>
    <n v="606"/>
    <n v="41.4"/>
    <n v="3"/>
    <n v="1"/>
    <n v="6"/>
    <n v="6.3"/>
    <n v="8"/>
    <x v="0"/>
  </r>
  <r>
    <n v="607"/>
    <n v="49.2"/>
    <n v="3"/>
    <n v="4"/>
    <n v="8"/>
    <n v="4.4000000000000004"/>
    <n v="4"/>
    <x v="0"/>
  </r>
  <r>
    <n v="608"/>
    <n v="26.1"/>
    <n v="4"/>
    <n v="2"/>
    <n v="10"/>
    <n v="2.8"/>
    <n v="6"/>
    <x v="2"/>
  </r>
  <r>
    <n v="609"/>
    <n v="53.4"/>
    <n v="3"/>
    <n v="7"/>
    <n v="12"/>
    <n v="1.3"/>
    <n v="2"/>
    <x v="0"/>
  </r>
  <r>
    <n v="610"/>
    <n v="41.6"/>
    <n v="4"/>
    <n v="5"/>
    <n v="15"/>
    <n v="1.3"/>
    <n v="4"/>
    <x v="0"/>
  </r>
  <r>
    <n v="611"/>
    <n v="38"/>
    <n v="3"/>
    <n v="4"/>
    <n v="11"/>
    <n v="2.4"/>
    <n v="3"/>
    <x v="2"/>
  </r>
  <r>
    <n v="612"/>
    <n v="24.2"/>
    <n v="2"/>
    <n v="7"/>
    <n v="7"/>
    <n v="10.1"/>
    <n v="4"/>
    <x v="2"/>
  </r>
  <r>
    <n v="613"/>
    <n v="56.2"/>
    <n v="4"/>
    <n v="1"/>
    <n v="12"/>
    <n v="0.4"/>
    <n v="2"/>
    <x v="0"/>
  </r>
  <r>
    <n v="614"/>
    <n v="52.5"/>
    <n v="4"/>
    <n v="4"/>
    <n v="13"/>
    <n v="0.6"/>
    <n v="5"/>
    <x v="0"/>
  </r>
  <r>
    <n v="615"/>
    <n v="34.799999999999997"/>
    <n v="2"/>
    <n v="3"/>
    <n v="8"/>
    <n v="5.3"/>
    <n v="2"/>
    <x v="2"/>
  </r>
  <r>
    <n v="616"/>
    <n v="44.1"/>
    <n v="1"/>
    <n v="3"/>
    <n v="11"/>
    <n v="5.8"/>
    <n v="2"/>
    <x v="0"/>
  </r>
  <r>
    <n v="617"/>
    <n v="29.8"/>
    <n v="3"/>
    <n v="6"/>
    <n v="10"/>
    <n v="6.6"/>
    <n v="2"/>
    <x v="2"/>
  </r>
  <r>
    <n v="618"/>
    <n v="60.9"/>
    <n v="2"/>
    <n v="3"/>
    <n v="15"/>
    <n v="4.0999999999999996"/>
    <n v="4"/>
    <x v="3"/>
  </r>
  <r>
    <n v="619"/>
    <n v="32.200000000000003"/>
    <n v="3"/>
    <n v="3"/>
    <n v="10"/>
    <n v="2.5"/>
    <n v="3"/>
    <x v="2"/>
  </r>
  <r>
    <n v="620"/>
    <n v="37.700000000000003"/>
    <n v="3"/>
    <n v="7"/>
    <n v="12"/>
    <n v="1.3"/>
    <n v="7"/>
    <x v="2"/>
  </r>
  <r>
    <n v="621"/>
    <n v="58"/>
    <n v="5"/>
    <n v="5"/>
    <n v="9"/>
    <n v="0.7"/>
    <n v="2"/>
    <x v="0"/>
  </r>
  <r>
    <n v="622"/>
    <n v="32.9"/>
    <n v="1"/>
    <n v="6"/>
    <n v="11"/>
    <n v="4.3"/>
    <n v="3"/>
    <x v="2"/>
  </r>
  <r>
    <n v="623"/>
    <n v="23.7"/>
    <n v="1"/>
    <n v="4"/>
    <n v="11"/>
    <n v="0.6"/>
    <n v="4"/>
    <x v="2"/>
  </r>
  <r>
    <n v="624"/>
    <n v="27.8"/>
    <n v="2"/>
    <n v="4"/>
    <n v="12"/>
    <n v="6.8"/>
    <n v="2"/>
    <x v="2"/>
  </r>
  <r>
    <n v="625"/>
    <n v="58.3"/>
    <n v="4"/>
    <n v="9"/>
    <n v="9"/>
    <n v="4.0999999999999996"/>
    <n v="6"/>
    <x v="0"/>
  </r>
  <r>
    <n v="626"/>
    <n v="40.1"/>
    <n v="3"/>
    <n v="8"/>
    <n v="6"/>
    <n v="7.6"/>
    <n v="5"/>
    <x v="0"/>
  </r>
  <r>
    <n v="627"/>
    <n v="47.7"/>
    <n v="3"/>
    <n v="5"/>
    <n v="10"/>
    <n v="5.9"/>
    <n v="3"/>
    <x v="0"/>
  </r>
  <r>
    <n v="628"/>
    <n v="9.6999999999999993"/>
    <n v="6"/>
    <n v="5"/>
    <n v="7"/>
    <n v="6.2"/>
    <n v="3"/>
    <x v="1"/>
  </r>
  <r>
    <n v="629"/>
    <n v="53.9"/>
    <n v="0"/>
    <n v="8"/>
    <n v="8"/>
    <n v="1.9"/>
    <n v="5"/>
    <x v="0"/>
  </r>
  <r>
    <n v="630"/>
    <n v="24.8"/>
    <n v="2"/>
    <n v="8"/>
    <n v="5"/>
    <n v="4.3"/>
    <n v="3"/>
    <x v="2"/>
  </r>
  <r>
    <n v="631"/>
    <n v="30.4"/>
    <n v="4"/>
    <n v="3"/>
    <n v="8"/>
    <n v="4.3"/>
    <n v="3"/>
    <x v="2"/>
  </r>
  <r>
    <n v="632"/>
    <n v="48.4"/>
    <n v="4"/>
    <n v="8"/>
    <n v="9"/>
    <n v="2"/>
    <n v="1"/>
    <x v="0"/>
  </r>
  <r>
    <n v="633"/>
    <n v="41.3"/>
    <n v="3"/>
    <n v="4"/>
    <n v="12"/>
    <n v="1.5"/>
    <n v="1"/>
    <x v="0"/>
  </r>
  <r>
    <n v="634"/>
    <n v="42.8"/>
    <n v="3"/>
    <n v="8"/>
    <n v="11"/>
    <n v="5.3"/>
    <n v="3"/>
    <x v="0"/>
  </r>
  <r>
    <n v="635"/>
    <n v="32"/>
    <n v="2"/>
    <n v="7"/>
    <n v="14"/>
    <n v="3"/>
    <n v="3"/>
    <x v="2"/>
  </r>
  <r>
    <n v="636"/>
    <n v="38.5"/>
    <n v="2"/>
    <n v="4"/>
    <n v="8"/>
    <n v="0.9"/>
    <n v="4"/>
    <x v="2"/>
  </r>
  <r>
    <n v="637"/>
    <n v="31.7"/>
    <n v="1"/>
    <n v="6"/>
    <n v="16"/>
    <n v="3.7"/>
    <n v="2"/>
    <x v="2"/>
  </r>
  <r>
    <n v="638"/>
    <n v="42.9"/>
    <n v="1"/>
    <n v="1"/>
    <n v="7"/>
    <n v="8.8000000000000007"/>
    <n v="3"/>
    <x v="0"/>
  </r>
  <r>
    <n v="639"/>
    <n v="38.700000000000003"/>
    <n v="1"/>
    <n v="7"/>
    <n v="9"/>
    <n v="4.2"/>
    <n v="0"/>
    <x v="2"/>
  </r>
  <r>
    <n v="640"/>
    <n v="45.3"/>
    <n v="5"/>
    <n v="3"/>
    <n v="14"/>
    <n v="4.5"/>
    <n v="1"/>
    <x v="0"/>
  </r>
  <r>
    <n v="641"/>
    <n v="46"/>
    <n v="6"/>
    <n v="2"/>
    <n v="11"/>
    <n v="2.5"/>
    <n v="3"/>
    <x v="0"/>
  </r>
  <r>
    <n v="642"/>
    <n v="45.5"/>
    <n v="1"/>
    <n v="8"/>
    <n v="14"/>
    <n v="0.6"/>
    <n v="0"/>
    <x v="0"/>
  </r>
  <r>
    <n v="643"/>
    <n v="37.5"/>
    <n v="6"/>
    <n v="1"/>
    <n v="10"/>
    <n v="3.2"/>
    <n v="5"/>
    <x v="2"/>
  </r>
  <r>
    <n v="644"/>
    <n v="53.5"/>
    <n v="4"/>
    <n v="2"/>
    <n v="10"/>
    <n v="4"/>
    <n v="1"/>
    <x v="0"/>
  </r>
  <r>
    <n v="645"/>
    <n v="44.3"/>
    <n v="1"/>
    <n v="7"/>
    <n v="12"/>
    <n v="4.3"/>
    <n v="1"/>
    <x v="0"/>
  </r>
  <r>
    <n v="646"/>
    <n v="37.700000000000003"/>
    <n v="2"/>
    <n v="3"/>
    <n v="11"/>
    <n v="2.2999999999999998"/>
    <n v="3"/>
    <x v="2"/>
  </r>
  <r>
    <n v="647"/>
    <n v="45.5"/>
    <n v="3"/>
    <n v="4"/>
    <n v="7"/>
    <n v="8.4"/>
    <n v="2"/>
    <x v="0"/>
  </r>
  <r>
    <n v="648"/>
    <n v="33.4"/>
    <n v="4"/>
    <n v="4"/>
    <n v="8"/>
    <n v="1.9"/>
    <n v="3"/>
    <x v="2"/>
  </r>
  <r>
    <n v="649"/>
    <n v="43.5"/>
    <n v="7"/>
    <n v="4"/>
    <n v="10"/>
    <n v="3.6"/>
    <n v="0"/>
    <x v="0"/>
  </r>
  <r>
    <n v="650"/>
    <n v="39.4"/>
    <n v="3"/>
    <n v="4"/>
    <n v="9"/>
    <n v="5.4"/>
    <n v="5"/>
    <x v="2"/>
  </r>
  <r>
    <n v="651"/>
    <n v="53.3"/>
    <n v="3"/>
    <n v="4"/>
    <n v="12"/>
    <n v="6.6"/>
    <n v="6"/>
    <x v="0"/>
  </r>
  <r>
    <n v="652"/>
    <n v="35.700000000000003"/>
    <n v="2"/>
    <n v="3"/>
    <n v="14"/>
    <n v="8.6999999999999993"/>
    <n v="0"/>
    <x v="2"/>
  </r>
  <r>
    <n v="653"/>
    <n v="38.299999999999997"/>
    <n v="4"/>
    <n v="8"/>
    <n v="11"/>
    <n v="5.2"/>
    <n v="6"/>
    <x v="2"/>
  </r>
  <r>
    <n v="654"/>
    <n v="48.3"/>
    <n v="4"/>
    <n v="5"/>
    <n v="11"/>
    <n v="4.5999999999999996"/>
    <n v="1"/>
    <x v="0"/>
  </r>
  <r>
    <n v="655"/>
    <n v="44.6"/>
    <n v="5"/>
    <n v="6"/>
    <n v="11"/>
    <n v="2.4"/>
    <n v="4"/>
    <x v="0"/>
  </r>
  <r>
    <n v="656"/>
    <n v="41.1"/>
    <n v="3"/>
    <n v="5"/>
    <n v="9"/>
    <n v="5"/>
    <n v="1"/>
    <x v="0"/>
  </r>
  <r>
    <n v="657"/>
    <n v="35.799999999999997"/>
    <n v="1"/>
    <n v="4"/>
    <n v="14"/>
    <n v="2.5"/>
    <n v="3"/>
    <x v="2"/>
  </r>
  <r>
    <n v="658"/>
    <n v="37.4"/>
    <n v="4"/>
    <n v="8"/>
    <n v="12"/>
    <n v="1.2"/>
    <n v="3"/>
    <x v="2"/>
  </r>
  <r>
    <n v="659"/>
    <n v="38.1"/>
    <n v="3"/>
    <n v="5"/>
    <n v="8"/>
    <n v="2.5"/>
    <n v="5"/>
    <x v="2"/>
  </r>
  <r>
    <n v="660"/>
    <n v="42.9"/>
    <n v="0"/>
    <n v="2"/>
    <n v="6"/>
    <n v="0.7"/>
    <n v="2"/>
    <x v="0"/>
  </r>
  <r>
    <n v="661"/>
    <n v="50.6"/>
    <n v="5"/>
    <n v="4"/>
    <n v="6"/>
    <n v="2.8"/>
    <n v="3"/>
    <x v="0"/>
  </r>
  <r>
    <n v="662"/>
    <n v="48.1"/>
    <n v="2"/>
    <n v="4"/>
    <n v="8"/>
    <n v="4.7"/>
    <n v="3"/>
    <x v="0"/>
  </r>
  <r>
    <n v="663"/>
    <n v="37.9"/>
    <n v="7"/>
    <n v="3"/>
    <n v="4"/>
    <n v="2.2999999999999998"/>
    <n v="5"/>
    <x v="2"/>
  </r>
  <r>
    <n v="664"/>
    <n v="35.6"/>
    <n v="2"/>
    <n v="1"/>
    <n v="17"/>
    <n v="2.4"/>
    <n v="2"/>
    <x v="2"/>
  </r>
  <r>
    <n v="665"/>
    <n v="50"/>
    <n v="0"/>
    <n v="8"/>
    <n v="14"/>
    <n v="5.9"/>
    <n v="4"/>
    <x v="0"/>
  </r>
  <r>
    <n v="666"/>
    <n v="41.3"/>
    <n v="5"/>
    <n v="3"/>
    <n v="8"/>
    <n v="2.6"/>
    <n v="2"/>
    <x v="0"/>
  </r>
  <r>
    <n v="667"/>
    <n v="45.7"/>
    <n v="2"/>
    <n v="4"/>
    <n v="14"/>
    <n v="1.9"/>
    <n v="0"/>
    <x v="0"/>
  </r>
  <r>
    <n v="668"/>
    <n v="30.8"/>
    <n v="2"/>
    <n v="3"/>
    <n v="13"/>
    <n v="0.6"/>
    <n v="1"/>
    <x v="2"/>
  </r>
  <r>
    <n v="669"/>
    <n v="32.6"/>
    <n v="2"/>
    <n v="3"/>
    <n v="16"/>
    <n v="5.3"/>
    <n v="1"/>
    <x v="2"/>
  </r>
  <r>
    <n v="670"/>
    <n v="39"/>
    <n v="5"/>
    <n v="3"/>
    <n v="14"/>
    <n v="2"/>
    <n v="5"/>
    <x v="2"/>
  </r>
  <r>
    <n v="671"/>
    <n v="35.1"/>
    <n v="2"/>
    <n v="8"/>
    <n v="9"/>
    <n v="6.2"/>
    <n v="2"/>
    <x v="2"/>
  </r>
  <r>
    <n v="672"/>
    <n v="35"/>
    <n v="2"/>
    <n v="4"/>
    <n v="13"/>
    <n v="3"/>
    <n v="2"/>
    <x v="2"/>
  </r>
  <r>
    <n v="673"/>
    <n v="53.3"/>
    <n v="4"/>
    <n v="2"/>
    <n v="8"/>
    <n v="6.3"/>
    <n v="2"/>
    <x v="0"/>
  </r>
  <r>
    <n v="674"/>
    <n v="45.7"/>
    <n v="1"/>
    <n v="3"/>
    <n v="12"/>
    <n v="5.4"/>
    <n v="1"/>
    <x v="0"/>
  </r>
  <r>
    <n v="675"/>
    <n v="41.9"/>
    <n v="2"/>
    <n v="6"/>
    <n v="10"/>
    <n v="4.9000000000000004"/>
    <n v="3"/>
    <x v="0"/>
  </r>
  <r>
    <n v="676"/>
    <n v="34.200000000000003"/>
    <n v="1"/>
    <n v="5"/>
    <n v="10"/>
    <n v="9.4"/>
    <n v="7"/>
    <x v="2"/>
  </r>
  <r>
    <n v="677"/>
    <n v="27.7"/>
    <n v="2"/>
    <n v="2"/>
    <n v="8"/>
    <n v="2.6"/>
    <n v="4"/>
    <x v="2"/>
  </r>
  <r>
    <n v="678"/>
    <n v="34.9"/>
    <n v="3"/>
    <n v="5"/>
    <n v="8"/>
    <n v="1.7"/>
    <n v="4"/>
    <x v="2"/>
  </r>
  <r>
    <n v="679"/>
    <n v="32.1"/>
    <n v="3"/>
    <n v="6"/>
    <n v="11"/>
    <n v="6.3"/>
    <n v="3"/>
    <x v="2"/>
  </r>
  <r>
    <n v="680"/>
    <n v="40.4"/>
    <n v="2"/>
    <n v="6"/>
    <n v="14"/>
    <n v="0.5"/>
    <n v="4"/>
    <x v="0"/>
  </r>
  <r>
    <n v="681"/>
    <n v="56"/>
    <n v="2"/>
    <n v="6"/>
    <n v="9"/>
    <n v="6"/>
    <n v="3"/>
    <x v="0"/>
  </r>
  <r>
    <n v="682"/>
    <n v="46.9"/>
    <n v="3"/>
    <n v="3"/>
    <n v="8"/>
    <n v="3.2"/>
    <n v="3"/>
    <x v="0"/>
  </r>
  <r>
    <n v="683"/>
    <n v="31.3"/>
    <n v="4"/>
    <n v="5"/>
    <n v="10"/>
    <n v="2.7"/>
    <n v="4"/>
    <x v="2"/>
  </r>
  <r>
    <n v="684"/>
    <n v="45.5"/>
    <n v="1"/>
    <n v="1"/>
    <n v="12"/>
    <n v="0.7"/>
    <n v="2"/>
    <x v="0"/>
  </r>
  <r>
    <n v="685"/>
    <n v="68.8"/>
    <n v="3"/>
    <n v="3"/>
    <n v="6"/>
    <n v="3.9"/>
    <n v="5"/>
    <x v="3"/>
  </r>
  <r>
    <n v="686"/>
    <n v="21.4"/>
    <n v="0"/>
    <n v="1"/>
    <n v="16"/>
    <n v="9.9"/>
    <n v="4"/>
    <x v="2"/>
  </r>
  <r>
    <n v="687"/>
    <n v="53"/>
    <n v="5"/>
    <n v="2"/>
    <n v="7"/>
    <n v="6.5"/>
    <n v="4"/>
    <x v="0"/>
  </r>
  <r>
    <n v="688"/>
    <n v="43"/>
    <n v="6"/>
    <n v="2"/>
    <n v="13"/>
    <n v="0.9"/>
    <n v="1"/>
    <x v="0"/>
  </r>
  <r>
    <n v="689"/>
    <n v="34.1"/>
    <n v="2"/>
    <n v="5"/>
    <n v="11"/>
    <n v="1.8"/>
    <n v="2"/>
    <x v="2"/>
  </r>
  <r>
    <n v="690"/>
    <n v="21.5"/>
    <n v="3"/>
    <n v="5"/>
    <n v="6"/>
    <n v="0.8"/>
    <n v="5"/>
    <x v="2"/>
  </r>
  <r>
    <n v="691"/>
    <n v="48.8"/>
    <n v="3"/>
    <n v="4"/>
    <n v="8"/>
    <n v="1.6"/>
    <n v="4"/>
    <x v="0"/>
  </r>
  <r>
    <n v="692"/>
    <n v="56.8"/>
    <n v="2"/>
    <n v="2"/>
    <n v="8"/>
    <n v="10.5"/>
    <n v="3"/>
    <x v="0"/>
  </r>
  <r>
    <n v="693"/>
    <n v="43.8"/>
    <n v="4"/>
    <n v="0"/>
    <n v="15"/>
    <n v="0.1"/>
    <n v="5"/>
    <x v="0"/>
  </r>
  <r>
    <n v="694"/>
    <n v="34.799999999999997"/>
    <n v="3"/>
    <n v="5"/>
    <n v="9"/>
    <n v="1.9"/>
    <n v="3"/>
    <x v="2"/>
  </r>
  <r>
    <n v="695"/>
    <n v="37.700000000000003"/>
    <n v="1"/>
    <n v="3"/>
    <n v="10"/>
    <n v="1.9"/>
    <n v="3"/>
    <x v="2"/>
  </r>
  <r>
    <n v="696"/>
    <n v="33.5"/>
    <n v="4"/>
    <n v="7"/>
    <n v="11"/>
    <n v="8.9"/>
    <n v="3"/>
    <x v="2"/>
  </r>
  <r>
    <n v="697"/>
    <n v="23"/>
    <n v="2"/>
    <n v="1"/>
    <n v="10"/>
    <n v="3.8"/>
    <n v="0"/>
    <x v="2"/>
  </r>
  <r>
    <n v="698"/>
    <n v="32.200000000000003"/>
    <n v="0"/>
    <n v="7"/>
    <n v="10"/>
    <n v="1"/>
    <n v="1"/>
    <x v="2"/>
  </r>
  <r>
    <n v="699"/>
    <n v="37.700000000000003"/>
    <n v="2"/>
    <n v="8"/>
    <n v="8"/>
    <n v="8.4"/>
    <n v="4"/>
    <x v="2"/>
  </r>
  <r>
    <n v="700"/>
    <n v="28.6"/>
    <n v="2"/>
    <n v="5"/>
    <n v="6"/>
    <n v="3.5"/>
    <n v="6"/>
    <x v="2"/>
  </r>
  <r>
    <n v="701"/>
    <n v="38.4"/>
    <n v="3"/>
    <n v="3"/>
    <n v="7"/>
    <n v="3.3"/>
    <n v="6"/>
    <x v="2"/>
  </r>
  <r>
    <n v="702"/>
    <n v="45.2"/>
    <n v="6"/>
    <n v="5"/>
    <n v="24"/>
    <n v="2.8"/>
    <n v="5"/>
    <x v="0"/>
  </r>
  <r>
    <n v="703"/>
    <n v="27.3"/>
    <n v="4"/>
    <n v="5"/>
    <n v="8"/>
    <n v="4.0999999999999996"/>
    <n v="5"/>
    <x v="2"/>
  </r>
  <r>
    <n v="704"/>
    <n v="38.5"/>
    <n v="2"/>
    <n v="5"/>
    <n v="6"/>
    <n v="2.2999999999999998"/>
    <n v="1"/>
    <x v="2"/>
  </r>
  <r>
    <n v="705"/>
    <n v="41.3"/>
    <n v="3"/>
    <n v="2"/>
    <n v="10"/>
    <n v="8.3000000000000007"/>
    <n v="2"/>
    <x v="0"/>
  </r>
  <r>
    <n v="706"/>
    <n v="61.9"/>
    <n v="0"/>
    <n v="4"/>
    <n v="11"/>
    <n v="3.7"/>
    <n v="3"/>
    <x v="3"/>
  </r>
  <r>
    <n v="707"/>
    <n v="45.2"/>
    <n v="5"/>
    <n v="3"/>
    <n v="11"/>
    <n v="2.4"/>
    <n v="4"/>
    <x v="0"/>
  </r>
  <r>
    <n v="708"/>
    <n v="22.8"/>
    <n v="3"/>
    <n v="1"/>
    <n v="17"/>
    <n v="2.4"/>
    <n v="2"/>
    <x v="2"/>
  </r>
  <r>
    <n v="709"/>
    <n v="36.1"/>
    <n v="1"/>
    <n v="4"/>
    <n v="9"/>
    <n v="7"/>
    <n v="5"/>
    <x v="2"/>
  </r>
  <r>
    <n v="710"/>
    <n v="43.1"/>
    <n v="4"/>
    <n v="5"/>
    <n v="11"/>
    <n v="6"/>
    <n v="2"/>
    <x v="0"/>
  </r>
  <r>
    <n v="711"/>
    <n v="35"/>
    <n v="2"/>
    <n v="5"/>
    <n v="7"/>
    <n v="1.1000000000000001"/>
    <n v="1"/>
    <x v="2"/>
  </r>
  <r>
    <n v="712"/>
    <n v="38.4"/>
    <n v="2"/>
    <n v="4"/>
    <n v="8"/>
    <n v="2.7"/>
    <n v="3"/>
    <x v="2"/>
  </r>
  <r>
    <n v="713"/>
    <n v="44.7"/>
    <n v="5"/>
    <n v="2"/>
    <n v="11"/>
    <n v="2.6"/>
    <n v="3"/>
    <x v="0"/>
  </r>
  <r>
    <n v="714"/>
    <n v="60.8"/>
    <n v="2"/>
    <n v="6"/>
    <n v="10"/>
    <n v="9.5"/>
    <n v="2"/>
    <x v="3"/>
  </r>
  <r>
    <n v="715"/>
    <n v="36.200000000000003"/>
    <n v="3"/>
    <n v="1"/>
    <n v="6"/>
    <n v="9.6"/>
    <n v="3"/>
    <x v="2"/>
  </r>
  <r>
    <n v="716"/>
    <n v="14.3"/>
    <n v="1"/>
    <n v="7"/>
    <n v="8"/>
    <n v="2.8"/>
    <n v="2"/>
    <x v="1"/>
  </r>
  <r>
    <n v="717"/>
    <n v="49.6"/>
    <n v="0"/>
    <n v="6"/>
    <n v="13"/>
    <n v="3.8"/>
    <n v="2"/>
    <x v="0"/>
  </r>
  <r>
    <n v="718"/>
    <n v="35.200000000000003"/>
    <n v="6"/>
    <n v="8"/>
    <n v="10"/>
    <n v="6.5"/>
    <n v="6"/>
    <x v="2"/>
  </r>
  <r>
    <n v="719"/>
    <n v="28.9"/>
    <n v="3"/>
    <n v="5"/>
    <n v="10"/>
    <n v="4.5"/>
    <n v="3"/>
    <x v="2"/>
  </r>
  <r>
    <n v="720"/>
    <n v="42.8"/>
    <n v="3"/>
    <n v="1"/>
    <n v="6"/>
    <n v="6.6"/>
    <n v="6"/>
    <x v="0"/>
  </r>
  <r>
    <n v="721"/>
    <n v="48"/>
    <n v="2"/>
    <n v="5"/>
    <n v="6"/>
    <n v="2.2999999999999998"/>
    <n v="3"/>
    <x v="0"/>
  </r>
  <r>
    <n v="722"/>
    <n v="31.7"/>
    <n v="3"/>
    <n v="3"/>
    <n v="6"/>
    <n v="2.5"/>
    <n v="4"/>
    <x v="2"/>
  </r>
  <r>
    <n v="723"/>
    <n v="39"/>
    <n v="3"/>
    <n v="9"/>
    <n v="5"/>
    <n v="1.6"/>
    <n v="5"/>
    <x v="2"/>
  </r>
  <r>
    <n v="724"/>
    <n v="40.5"/>
    <n v="3"/>
    <n v="3"/>
    <n v="10"/>
    <n v="2.6"/>
    <n v="3"/>
    <x v="0"/>
  </r>
  <r>
    <n v="725"/>
    <n v="39.1"/>
    <n v="6"/>
    <n v="3"/>
    <n v="8"/>
    <n v="2.2999999999999998"/>
    <n v="4"/>
    <x v="2"/>
  </r>
  <r>
    <n v="726"/>
    <n v="43.9"/>
    <n v="3"/>
    <n v="5"/>
    <n v="8"/>
    <n v="3.3"/>
    <n v="2"/>
    <x v="0"/>
  </r>
  <r>
    <n v="727"/>
    <n v="26.1"/>
    <n v="2"/>
    <n v="4"/>
    <n v="9"/>
    <n v="3.9"/>
    <n v="4"/>
    <x v="2"/>
  </r>
  <r>
    <n v="728"/>
    <n v="46.8"/>
    <n v="4"/>
    <n v="7"/>
    <n v="15"/>
    <n v="4.9000000000000004"/>
    <n v="1"/>
    <x v="0"/>
  </r>
  <r>
    <n v="729"/>
    <n v="28.6"/>
    <n v="4"/>
    <n v="4"/>
    <n v="4"/>
    <n v="1.7"/>
    <n v="3"/>
    <x v="2"/>
  </r>
  <r>
    <n v="730"/>
    <n v="32.1"/>
    <n v="0"/>
    <n v="3"/>
    <n v="17"/>
    <n v="1.6"/>
    <n v="3"/>
    <x v="2"/>
  </r>
  <r>
    <n v="731"/>
    <n v="31"/>
    <n v="2"/>
    <n v="6"/>
    <n v="13"/>
    <n v="3.7"/>
    <n v="3"/>
    <x v="2"/>
  </r>
  <r>
    <n v="732"/>
    <n v="47.2"/>
    <n v="6"/>
    <n v="2"/>
    <n v="13"/>
    <n v="1.6"/>
    <n v="1"/>
    <x v="0"/>
  </r>
  <r>
    <n v="733"/>
    <n v="45.2"/>
    <n v="2"/>
    <n v="4"/>
    <n v="10"/>
    <n v="2.6"/>
    <n v="2"/>
    <x v="0"/>
  </r>
  <r>
    <n v="734"/>
    <n v="33.200000000000003"/>
    <n v="6"/>
    <n v="2"/>
    <n v="11"/>
    <n v="1.3"/>
    <n v="3"/>
    <x v="2"/>
  </r>
  <r>
    <n v="735"/>
    <n v="45.8"/>
    <n v="2"/>
    <n v="3"/>
    <n v="6"/>
    <n v="5"/>
    <n v="1"/>
    <x v="0"/>
  </r>
  <r>
    <n v="736"/>
    <n v="37.4"/>
    <n v="2"/>
    <n v="2"/>
    <n v="9"/>
    <n v="2.2999999999999998"/>
    <n v="4"/>
    <x v="2"/>
  </r>
  <r>
    <n v="737"/>
    <n v="33.1"/>
    <n v="5"/>
    <n v="4"/>
    <n v="13"/>
    <n v="0.9"/>
    <n v="3"/>
    <x v="2"/>
  </r>
  <r>
    <n v="738"/>
    <n v="37"/>
    <n v="2"/>
    <n v="4"/>
    <n v="10"/>
    <n v="2.7"/>
    <n v="2"/>
    <x v="2"/>
  </r>
  <r>
    <n v="739"/>
    <n v="51.9"/>
    <n v="2"/>
    <n v="2"/>
    <n v="13"/>
    <n v="3.4"/>
    <n v="4"/>
    <x v="0"/>
  </r>
  <r>
    <n v="740"/>
    <n v="44.4"/>
    <n v="3"/>
    <n v="3"/>
    <n v="10"/>
    <n v="2.2000000000000002"/>
    <n v="2"/>
    <x v="0"/>
  </r>
  <r>
    <n v="741"/>
    <n v="44.3"/>
    <n v="2"/>
    <n v="2"/>
    <n v="6"/>
    <n v="2.4"/>
    <n v="2"/>
    <x v="0"/>
  </r>
  <r>
    <n v="742"/>
    <n v="44.9"/>
    <n v="3"/>
    <n v="6"/>
    <n v="17"/>
    <n v="4.0999999999999996"/>
    <n v="4"/>
    <x v="0"/>
  </r>
  <r>
    <n v="743"/>
    <n v="60"/>
    <n v="1"/>
    <n v="1"/>
    <n v="6"/>
    <n v="0.7"/>
    <n v="2"/>
    <x v="0"/>
  </r>
  <r>
    <n v="744"/>
    <n v="33.299999999999997"/>
    <n v="0"/>
    <n v="7"/>
    <n v="8"/>
    <n v="3.5"/>
    <n v="3"/>
    <x v="2"/>
  </r>
  <r>
    <n v="745"/>
    <n v="27.5"/>
    <n v="3"/>
    <n v="7"/>
    <n v="8"/>
    <n v="4.2"/>
    <n v="2"/>
    <x v="2"/>
  </r>
  <r>
    <n v="746"/>
    <n v="56.7"/>
    <n v="0"/>
    <n v="6"/>
    <n v="4"/>
    <n v="1.7"/>
    <n v="2"/>
    <x v="0"/>
  </r>
  <r>
    <n v="747"/>
    <n v="34.5"/>
    <n v="5"/>
    <n v="2"/>
    <n v="14"/>
    <n v="3"/>
    <n v="2"/>
    <x v="2"/>
  </r>
  <r>
    <n v="748"/>
    <n v="41.5"/>
    <n v="7"/>
    <n v="7"/>
    <n v="9"/>
    <n v="8.9"/>
    <n v="2"/>
    <x v="0"/>
  </r>
  <r>
    <n v="749"/>
    <n v="38.5"/>
    <n v="4"/>
    <n v="7"/>
    <n v="6"/>
    <n v="3"/>
    <n v="4"/>
    <x v="2"/>
  </r>
  <r>
    <n v="750"/>
    <n v="30.1"/>
    <n v="2"/>
    <n v="2"/>
    <n v="4"/>
    <n v="2.9"/>
    <n v="2"/>
    <x v="2"/>
  </r>
  <r>
    <n v="751"/>
    <n v="37.799999999999997"/>
    <n v="1"/>
    <n v="2"/>
    <n v="16"/>
    <n v="5.3"/>
    <n v="6"/>
    <x v="2"/>
  </r>
  <r>
    <n v="752"/>
    <n v="57.1"/>
    <n v="6"/>
    <n v="7"/>
    <n v="14"/>
    <n v="8.4"/>
    <n v="1"/>
    <x v="0"/>
  </r>
  <r>
    <n v="753"/>
    <n v="52.8"/>
    <n v="0"/>
    <n v="1"/>
    <n v="10"/>
    <n v="2.4"/>
    <n v="4"/>
    <x v="0"/>
  </r>
  <r>
    <n v="754"/>
    <n v="38.9"/>
    <n v="3"/>
    <n v="5"/>
    <n v="6"/>
    <n v="7.2"/>
    <n v="2"/>
    <x v="2"/>
  </r>
  <r>
    <n v="755"/>
    <n v="48.7"/>
    <n v="3"/>
    <n v="2"/>
    <n v="8"/>
    <n v="5.2"/>
    <n v="1"/>
    <x v="0"/>
  </r>
  <r>
    <n v="756"/>
    <n v="36"/>
    <n v="3"/>
    <n v="7"/>
    <n v="16"/>
    <n v="1.2"/>
    <n v="5"/>
    <x v="2"/>
  </r>
  <r>
    <n v="757"/>
    <n v="26.7"/>
    <n v="3"/>
    <n v="10"/>
    <n v="6"/>
    <n v="5"/>
    <n v="2"/>
    <x v="2"/>
  </r>
  <r>
    <n v="758"/>
    <n v="33.6"/>
    <n v="0"/>
    <n v="5"/>
    <n v="11"/>
    <n v="3.2"/>
    <n v="5"/>
    <x v="2"/>
  </r>
  <r>
    <n v="759"/>
    <n v="36.5"/>
    <n v="1"/>
    <n v="5"/>
    <n v="10"/>
    <n v="2.9"/>
    <n v="3"/>
    <x v="2"/>
  </r>
  <r>
    <n v="760"/>
    <n v="45.3"/>
    <n v="1"/>
    <n v="7"/>
    <n v="6"/>
    <n v="3.5"/>
    <n v="4"/>
    <x v="0"/>
  </r>
  <r>
    <n v="761"/>
    <n v="28.1"/>
    <n v="4"/>
    <n v="6"/>
    <n v="7"/>
    <n v="4.4000000000000004"/>
    <n v="5"/>
    <x v="2"/>
  </r>
  <r>
    <n v="762"/>
    <n v="34.9"/>
    <n v="3"/>
    <n v="0"/>
    <n v="9"/>
    <n v="1.8"/>
    <n v="4"/>
    <x v="2"/>
  </r>
  <r>
    <n v="763"/>
    <n v="27.7"/>
    <n v="3"/>
    <n v="5"/>
    <n v="12"/>
    <n v="2.9"/>
    <n v="1"/>
    <x v="2"/>
  </r>
  <r>
    <n v="764"/>
    <n v="60.4"/>
    <n v="5"/>
    <n v="5"/>
    <n v="8"/>
    <n v="8.6999999999999993"/>
    <n v="2"/>
    <x v="3"/>
  </r>
  <r>
    <n v="765"/>
    <n v="36.5"/>
    <n v="5"/>
    <n v="4"/>
    <n v="10"/>
    <n v="5.3"/>
    <n v="1"/>
    <x v="2"/>
  </r>
  <r>
    <n v="766"/>
    <n v="50.9"/>
    <n v="5"/>
    <n v="6"/>
    <n v="6"/>
    <n v="7.3"/>
    <n v="1"/>
    <x v="0"/>
  </r>
  <r>
    <n v="767"/>
    <n v="46.2"/>
    <n v="6"/>
    <n v="2"/>
    <n v="12"/>
    <n v="5"/>
    <n v="2"/>
    <x v="0"/>
  </r>
  <r>
    <n v="768"/>
    <n v="56.6"/>
    <n v="2"/>
    <n v="5"/>
    <n v="9"/>
    <n v="1.9"/>
    <n v="6"/>
    <x v="0"/>
  </r>
  <r>
    <n v="769"/>
    <n v="55"/>
    <n v="1"/>
    <n v="7"/>
    <n v="9"/>
    <n v="2.4"/>
    <n v="3"/>
    <x v="0"/>
  </r>
  <r>
    <n v="770"/>
    <n v="29.3"/>
    <n v="5"/>
    <n v="2"/>
    <n v="13"/>
    <n v="2.7"/>
    <n v="1"/>
    <x v="2"/>
  </r>
  <r>
    <n v="771"/>
    <n v="43.5"/>
    <n v="3"/>
    <n v="3"/>
    <n v="7"/>
    <n v="3.5"/>
    <n v="1"/>
    <x v="0"/>
  </r>
  <r>
    <n v="772"/>
    <n v="26.3"/>
    <n v="5"/>
    <n v="4"/>
    <n v="7"/>
    <n v="7.1"/>
    <n v="5"/>
    <x v="2"/>
  </r>
  <r>
    <n v="773"/>
    <n v="41.8"/>
    <n v="4"/>
    <n v="5"/>
    <n v="8"/>
    <n v="1.2"/>
    <n v="6"/>
    <x v="0"/>
  </r>
  <r>
    <n v="774"/>
    <n v="40.9"/>
    <n v="1"/>
    <n v="4"/>
    <n v="11"/>
    <n v="3.2"/>
    <n v="1"/>
    <x v="0"/>
  </r>
  <r>
    <n v="775"/>
    <n v="43"/>
    <n v="2"/>
    <n v="5"/>
    <n v="15"/>
    <n v="3"/>
    <n v="5"/>
    <x v="0"/>
  </r>
  <r>
    <n v="776"/>
    <n v="40.700000000000003"/>
    <n v="2"/>
    <n v="1"/>
    <n v="16"/>
    <n v="5.0999999999999996"/>
    <n v="4"/>
    <x v="0"/>
  </r>
  <r>
    <n v="777"/>
    <n v="45.8"/>
    <n v="2"/>
    <n v="6"/>
    <n v="8"/>
    <n v="8.9"/>
    <n v="5"/>
    <x v="0"/>
  </r>
  <r>
    <n v="778"/>
    <n v="29.2"/>
    <n v="4"/>
    <n v="2"/>
    <n v="18"/>
    <n v="0.8"/>
    <n v="4"/>
    <x v="2"/>
  </r>
  <r>
    <n v="779"/>
    <n v="58"/>
    <n v="5"/>
    <n v="6"/>
    <n v="8"/>
    <n v="3.7"/>
    <n v="3"/>
    <x v="0"/>
  </r>
  <r>
    <n v="780"/>
    <n v="43.9"/>
    <n v="3"/>
    <n v="4"/>
    <n v="8"/>
    <n v="0.6"/>
    <n v="6"/>
    <x v="0"/>
  </r>
  <r>
    <n v="781"/>
    <n v="48.2"/>
    <n v="1"/>
    <n v="3"/>
    <n v="9"/>
    <n v="1.7"/>
    <n v="4"/>
    <x v="0"/>
  </r>
  <r>
    <n v="782"/>
    <n v="45.5"/>
    <n v="6"/>
    <n v="7"/>
    <n v="15"/>
    <n v="7.1"/>
    <n v="3"/>
    <x v="0"/>
  </r>
  <r>
    <n v="783"/>
    <n v="45.3"/>
    <n v="0"/>
    <n v="4"/>
    <n v="11"/>
    <n v="1.1000000000000001"/>
    <n v="0"/>
    <x v="0"/>
  </r>
  <r>
    <n v="784"/>
    <n v="34.200000000000003"/>
    <n v="2"/>
    <n v="6"/>
    <n v="8"/>
    <n v="5.2"/>
    <n v="1"/>
    <x v="2"/>
  </r>
  <r>
    <n v="785"/>
    <n v="28.7"/>
    <n v="1"/>
    <n v="4"/>
    <n v="12"/>
    <n v="2.5"/>
    <n v="2"/>
    <x v="2"/>
  </r>
  <r>
    <n v="786"/>
    <n v="32.1"/>
    <n v="2"/>
    <n v="3"/>
    <n v="10"/>
    <n v="3.9"/>
    <n v="1"/>
    <x v="2"/>
  </r>
  <r>
    <n v="787"/>
    <n v="49.8"/>
    <n v="1"/>
    <n v="6"/>
    <n v="13"/>
    <n v="5.6"/>
    <n v="6"/>
    <x v="0"/>
  </r>
  <r>
    <n v="788"/>
    <n v="42.1"/>
    <n v="7"/>
    <n v="7"/>
    <n v="15"/>
    <n v="1.4"/>
    <n v="3"/>
    <x v="0"/>
  </r>
  <r>
    <n v="789"/>
    <n v="52.2"/>
    <n v="4"/>
    <n v="3"/>
    <n v="16"/>
    <n v="6.2"/>
    <n v="7"/>
    <x v="0"/>
  </r>
  <r>
    <n v="790"/>
    <n v="41.8"/>
    <n v="1"/>
    <n v="7"/>
    <n v="10"/>
    <n v="3.8"/>
    <n v="4"/>
    <x v="0"/>
  </r>
  <r>
    <n v="791"/>
    <n v="41.3"/>
    <n v="3"/>
    <n v="6"/>
    <n v="6"/>
    <n v="4.5"/>
    <n v="1"/>
    <x v="0"/>
  </r>
  <r>
    <n v="792"/>
    <n v="36.700000000000003"/>
    <n v="6"/>
    <n v="3"/>
    <n v="11"/>
    <n v="6"/>
    <n v="3"/>
    <x v="2"/>
  </r>
  <r>
    <n v="793"/>
    <n v="22.5"/>
    <n v="2"/>
    <n v="7"/>
    <n v="12"/>
    <n v="4.7"/>
    <n v="5"/>
    <x v="2"/>
  </r>
  <r>
    <n v="794"/>
    <n v="29.9"/>
    <n v="5"/>
    <n v="5"/>
    <n v="18"/>
    <n v="8.4"/>
    <n v="3"/>
    <x v="2"/>
  </r>
  <r>
    <n v="795"/>
    <n v="34.6"/>
    <n v="6"/>
    <n v="8"/>
    <n v="10"/>
    <n v="1.6"/>
    <n v="3"/>
    <x v="2"/>
  </r>
  <r>
    <n v="796"/>
    <n v="32.1"/>
    <n v="3"/>
    <n v="2"/>
    <n v="12"/>
    <n v="2.2999999999999998"/>
    <n v="2"/>
    <x v="2"/>
  </r>
  <r>
    <n v="797"/>
    <n v="52.9"/>
    <n v="7"/>
    <n v="3"/>
    <n v="11"/>
    <n v="3.9"/>
    <n v="7"/>
    <x v="0"/>
  </r>
  <r>
    <n v="798"/>
    <n v="38.1"/>
    <n v="4"/>
    <n v="3"/>
    <n v="12"/>
    <n v="0.8"/>
    <n v="1"/>
    <x v="2"/>
  </r>
  <r>
    <n v="799"/>
    <n v="52"/>
    <n v="3"/>
    <n v="0"/>
    <n v="7"/>
    <n v="4"/>
    <n v="1"/>
    <x v="0"/>
  </r>
  <r>
    <n v="800"/>
    <n v="37.6"/>
    <n v="1"/>
    <n v="3"/>
    <n v="10"/>
    <n v="2.4"/>
    <n v="2"/>
    <x v="2"/>
  </r>
  <r>
    <n v="801"/>
    <n v="51.6"/>
    <n v="4"/>
    <n v="6"/>
    <n v="4"/>
    <n v="2.1"/>
    <n v="4"/>
    <x v="0"/>
  </r>
  <r>
    <n v="802"/>
    <n v="37.799999999999997"/>
    <n v="3"/>
    <n v="4"/>
    <n v="10"/>
    <n v="2.4"/>
    <n v="0"/>
    <x v="2"/>
  </r>
  <r>
    <n v="803"/>
    <n v="32.700000000000003"/>
    <n v="9"/>
    <n v="2"/>
    <n v="8"/>
    <n v="3.3"/>
    <n v="2"/>
    <x v="2"/>
  </r>
  <r>
    <n v="804"/>
    <n v="38.9"/>
    <n v="1"/>
    <n v="2"/>
    <n v="10"/>
    <n v="1.9"/>
    <n v="2"/>
    <x v="2"/>
  </r>
  <r>
    <n v="805"/>
    <n v="39.299999999999997"/>
    <n v="3"/>
    <n v="0"/>
    <n v="11"/>
    <n v="2.2999999999999998"/>
    <n v="3"/>
    <x v="2"/>
  </r>
  <r>
    <n v="806"/>
    <n v="39.299999999999997"/>
    <n v="3"/>
    <n v="4"/>
    <n v="12"/>
    <n v="2.2000000000000002"/>
    <n v="2"/>
    <x v="2"/>
  </r>
  <r>
    <n v="807"/>
    <n v="43.7"/>
    <n v="3"/>
    <n v="1"/>
    <n v="8"/>
    <n v="3.1"/>
    <n v="6"/>
    <x v="0"/>
  </r>
  <r>
    <n v="808"/>
    <n v="56"/>
    <n v="3"/>
    <n v="4"/>
    <n v="10"/>
    <n v="7.3"/>
    <n v="1"/>
    <x v="0"/>
  </r>
  <r>
    <n v="809"/>
    <n v="28.7"/>
    <n v="1"/>
    <n v="3"/>
    <n v="12"/>
    <n v="0.5"/>
    <n v="0"/>
    <x v="2"/>
  </r>
  <r>
    <n v="810"/>
    <n v="36.299999999999997"/>
    <n v="7"/>
    <n v="5"/>
    <n v="5"/>
    <n v="3.2"/>
    <n v="2"/>
    <x v="2"/>
  </r>
  <r>
    <n v="811"/>
    <n v="19.600000000000001"/>
    <n v="2"/>
    <n v="3"/>
    <n v="12"/>
    <n v="1.6"/>
    <n v="3"/>
    <x v="1"/>
  </r>
  <r>
    <n v="812"/>
    <n v="19.8"/>
    <n v="4"/>
    <n v="6"/>
    <n v="12"/>
    <n v="1.9"/>
    <n v="4"/>
    <x v="1"/>
  </r>
  <r>
    <n v="813"/>
    <n v="50.6"/>
    <n v="7"/>
    <n v="3"/>
    <n v="7"/>
    <n v="0.9"/>
    <n v="4"/>
    <x v="0"/>
  </r>
  <r>
    <n v="814"/>
    <n v="33.4"/>
    <n v="2"/>
    <n v="3"/>
    <n v="10"/>
    <n v="0.3"/>
    <n v="3"/>
    <x v="2"/>
  </r>
  <r>
    <n v="815"/>
    <n v="42.1"/>
    <n v="3"/>
    <n v="4"/>
    <n v="10"/>
    <n v="5.3"/>
    <n v="6"/>
    <x v="0"/>
  </r>
  <r>
    <n v="816"/>
    <n v="53.5"/>
    <n v="3"/>
    <n v="5"/>
    <n v="11"/>
    <n v="1"/>
    <n v="2"/>
    <x v="0"/>
  </r>
  <r>
    <n v="817"/>
    <n v="35.799999999999997"/>
    <n v="3"/>
    <n v="2"/>
    <n v="12"/>
    <n v="2.4"/>
    <n v="1"/>
    <x v="2"/>
  </r>
  <r>
    <n v="818"/>
    <n v="52.7"/>
    <n v="6"/>
    <n v="3"/>
    <n v="14"/>
    <n v="3.3"/>
    <n v="3"/>
    <x v="0"/>
  </r>
  <r>
    <n v="819"/>
    <n v="49.9"/>
    <n v="2"/>
    <n v="3"/>
    <n v="12"/>
    <n v="7.8"/>
    <n v="3"/>
    <x v="0"/>
  </r>
  <r>
    <n v="820"/>
    <n v="27.4"/>
    <n v="2"/>
    <n v="2"/>
    <n v="7"/>
    <n v="2.9"/>
    <n v="1"/>
    <x v="2"/>
  </r>
  <r>
    <n v="821"/>
    <n v="45.5"/>
    <n v="0"/>
    <n v="5"/>
    <n v="16"/>
    <n v="2.4"/>
    <n v="3"/>
    <x v="0"/>
  </r>
  <r>
    <n v="822"/>
    <n v="39.200000000000003"/>
    <n v="1"/>
    <n v="5"/>
    <n v="12"/>
    <n v="1.1000000000000001"/>
    <n v="3"/>
    <x v="2"/>
  </r>
  <r>
    <n v="823"/>
    <n v="40.200000000000003"/>
    <n v="2"/>
    <n v="6"/>
    <n v="10"/>
    <n v="3.2"/>
    <n v="3"/>
    <x v="0"/>
  </r>
  <r>
    <n v="824"/>
    <n v="44.1"/>
    <n v="2"/>
    <n v="4"/>
    <n v="10"/>
    <n v="2.6"/>
    <n v="4"/>
    <x v="0"/>
  </r>
  <r>
    <n v="825"/>
    <n v="56"/>
    <n v="0"/>
    <n v="1"/>
    <n v="10"/>
    <n v="6"/>
    <n v="3"/>
    <x v="0"/>
  </r>
  <r>
    <n v="826"/>
    <n v="34.700000000000003"/>
    <n v="4"/>
    <n v="3"/>
    <n v="15"/>
    <n v="2.7"/>
    <n v="3"/>
    <x v="2"/>
  </r>
  <r>
    <n v="827"/>
    <n v="44"/>
    <n v="2"/>
    <n v="4"/>
    <n v="6"/>
    <n v="4.2"/>
    <n v="2"/>
    <x v="0"/>
  </r>
  <r>
    <n v="828"/>
    <n v="40.4"/>
    <n v="4"/>
    <n v="9"/>
    <n v="7"/>
    <n v="3.1"/>
    <n v="3"/>
    <x v="0"/>
  </r>
  <r>
    <n v="829"/>
    <n v="43.7"/>
    <n v="3"/>
    <n v="7"/>
    <n v="12"/>
    <n v="6.1"/>
    <n v="0"/>
    <x v="0"/>
  </r>
  <r>
    <n v="830"/>
    <n v="48.3"/>
    <n v="7"/>
    <n v="7"/>
    <n v="17"/>
    <n v="4.5"/>
    <n v="2"/>
    <x v="0"/>
  </r>
  <r>
    <n v="831"/>
    <n v="30"/>
    <n v="3"/>
    <n v="2"/>
    <n v="8"/>
    <n v="2.7"/>
    <n v="1"/>
    <x v="2"/>
  </r>
  <r>
    <n v="832"/>
    <n v="39.5"/>
    <n v="1"/>
    <n v="4"/>
    <n v="8"/>
    <n v="1.9"/>
    <n v="3"/>
    <x v="2"/>
  </r>
  <r>
    <n v="833"/>
    <n v="43.6"/>
    <n v="5"/>
    <n v="3"/>
    <n v="10"/>
    <n v="2.9"/>
    <n v="2"/>
    <x v="0"/>
  </r>
  <r>
    <n v="834"/>
    <n v="38.5"/>
    <n v="2"/>
    <n v="10"/>
    <n v="7"/>
    <n v="2.2000000000000002"/>
    <n v="2"/>
    <x v="2"/>
  </r>
  <r>
    <n v="835"/>
    <n v="59.7"/>
    <n v="1"/>
    <n v="3"/>
    <n v="10"/>
    <n v="5"/>
    <n v="2"/>
    <x v="0"/>
  </r>
  <r>
    <n v="836"/>
    <n v="49"/>
    <n v="2"/>
    <n v="5"/>
    <n v="13"/>
    <n v="5.4"/>
    <n v="2"/>
    <x v="0"/>
  </r>
  <r>
    <n v="837"/>
    <n v="46.8"/>
    <n v="4"/>
    <n v="7"/>
    <n v="10"/>
    <n v="1.4"/>
    <n v="3"/>
    <x v="0"/>
  </r>
  <r>
    <n v="838"/>
    <n v="33.1"/>
    <n v="2"/>
    <n v="1"/>
    <n v="10"/>
    <n v="8.3000000000000007"/>
    <n v="4"/>
    <x v="2"/>
  </r>
  <r>
    <n v="839"/>
    <n v="44.5"/>
    <n v="3"/>
    <n v="5"/>
    <n v="5"/>
    <n v="6.8"/>
    <n v="7"/>
    <x v="0"/>
  </r>
  <r>
    <n v="840"/>
    <n v="34.1"/>
    <n v="2"/>
    <n v="4"/>
    <n v="14"/>
    <n v="2.7"/>
    <n v="3"/>
    <x v="2"/>
  </r>
  <r>
    <n v="841"/>
    <n v="39.6"/>
    <n v="1"/>
    <n v="4"/>
    <n v="9"/>
    <n v="4"/>
    <n v="1"/>
    <x v="2"/>
  </r>
  <r>
    <n v="842"/>
    <n v="27.4"/>
    <n v="3"/>
    <n v="5"/>
    <n v="5"/>
    <n v="2.1"/>
    <n v="2"/>
    <x v="2"/>
  </r>
  <r>
    <n v="843"/>
    <n v="40.299999999999997"/>
    <n v="3"/>
    <n v="1"/>
    <n v="16"/>
    <n v="0.6"/>
    <n v="1"/>
    <x v="0"/>
  </r>
  <r>
    <n v="844"/>
    <n v="40.5"/>
    <n v="0"/>
    <n v="3"/>
    <n v="8"/>
    <n v="3.2"/>
    <n v="5"/>
    <x v="0"/>
  </r>
  <r>
    <n v="845"/>
    <n v="45.9"/>
    <n v="6"/>
    <n v="3"/>
    <n v="9"/>
    <n v="1.6"/>
    <n v="2"/>
    <x v="0"/>
  </r>
  <r>
    <n v="846"/>
    <n v="43.2"/>
    <n v="2"/>
    <n v="0"/>
    <n v="9"/>
    <n v="1.2"/>
    <n v="1"/>
    <x v="0"/>
  </r>
  <r>
    <n v="847"/>
    <n v="28.9"/>
    <n v="1"/>
    <n v="2"/>
    <n v="14"/>
    <n v="0.4"/>
    <n v="5"/>
    <x v="2"/>
  </r>
  <r>
    <n v="848"/>
    <n v="30.9"/>
    <n v="1"/>
    <n v="4"/>
    <n v="8"/>
    <n v="3"/>
    <n v="1"/>
    <x v="2"/>
  </r>
  <r>
    <n v="849"/>
    <n v="45.6"/>
    <n v="2"/>
    <n v="5"/>
    <n v="10"/>
    <n v="6.5"/>
    <n v="6"/>
    <x v="0"/>
  </r>
  <r>
    <n v="850"/>
    <n v="46.9"/>
    <n v="2"/>
    <n v="4"/>
    <n v="6"/>
    <n v="7.1"/>
    <n v="5"/>
    <x v="0"/>
  </r>
  <r>
    <n v="851"/>
    <n v="37.200000000000003"/>
    <n v="5"/>
    <n v="3"/>
    <n v="13"/>
    <n v="3.8"/>
    <n v="1"/>
    <x v="2"/>
  </r>
  <r>
    <n v="852"/>
    <n v="27.4"/>
    <n v="3"/>
    <n v="6"/>
    <n v="13"/>
    <n v="2.7"/>
    <n v="5"/>
    <x v="2"/>
  </r>
  <r>
    <n v="853"/>
    <n v="49.1"/>
    <n v="3"/>
    <n v="2"/>
    <n v="6"/>
    <n v="3.8"/>
    <n v="4"/>
    <x v="0"/>
  </r>
  <r>
    <n v="854"/>
    <n v="16.2"/>
    <n v="1"/>
    <n v="1"/>
    <n v="13"/>
    <n v="2.2000000000000002"/>
    <n v="4"/>
    <x v="1"/>
  </r>
  <r>
    <n v="855"/>
    <n v="51.7"/>
    <n v="3"/>
    <n v="3"/>
    <n v="13"/>
    <n v="2.6"/>
    <n v="1"/>
    <x v="0"/>
  </r>
  <r>
    <n v="856"/>
    <n v="49.3"/>
    <n v="6"/>
    <n v="5"/>
    <n v="6"/>
    <n v="4"/>
    <n v="3"/>
    <x v="0"/>
  </r>
  <r>
    <n v="857"/>
    <n v="32.9"/>
    <n v="1"/>
    <n v="9"/>
    <n v="13"/>
    <n v="2.5"/>
    <n v="5"/>
    <x v="2"/>
  </r>
  <r>
    <n v="858"/>
    <n v="49.7"/>
    <n v="2"/>
    <n v="4"/>
    <n v="11"/>
    <n v="3"/>
    <n v="1"/>
    <x v="0"/>
  </r>
  <r>
    <n v="859"/>
    <n v="43.2"/>
    <n v="3"/>
    <n v="2"/>
    <n v="12"/>
    <n v="11.8"/>
    <n v="2"/>
    <x v="0"/>
  </r>
  <r>
    <n v="860"/>
    <n v="43.9"/>
    <n v="2"/>
    <n v="8"/>
    <n v="10"/>
    <n v="4.9000000000000004"/>
    <n v="1"/>
    <x v="0"/>
  </r>
  <r>
    <n v="861"/>
    <n v="33"/>
    <n v="5"/>
    <n v="5"/>
    <n v="9"/>
    <n v="3"/>
    <n v="3"/>
    <x v="2"/>
  </r>
  <r>
    <n v="862"/>
    <n v="33.4"/>
    <n v="1"/>
    <n v="2"/>
    <n v="6"/>
    <n v="3.2"/>
    <n v="4"/>
    <x v="2"/>
  </r>
  <r>
    <n v="863"/>
    <n v="38"/>
    <n v="2"/>
    <n v="6"/>
    <n v="6"/>
    <n v="1.4"/>
    <n v="4"/>
    <x v="2"/>
  </r>
  <r>
    <n v="864"/>
    <n v="23.6"/>
    <n v="4"/>
    <n v="6"/>
    <n v="14"/>
    <n v="2.4"/>
    <n v="4"/>
    <x v="2"/>
  </r>
  <r>
    <n v="865"/>
    <n v="52.2"/>
    <n v="2"/>
    <n v="2"/>
    <n v="9"/>
    <n v="5.2"/>
    <n v="5"/>
    <x v="0"/>
  </r>
  <r>
    <n v="866"/>
    <n v="33.4"/>
    <n v="0"/>
    <n v="5"/>
    <n v="9"/>
    <n v="2"/>
    <n v="3"/>
    <x v="2"/>
  </r>
  <r>
    <n v="867"/>
    <n v="39.4"/>
    <n v="6"/>
    <n v="3"/>
    <n v="7"/>
    <n v="6.2"/>
    <n v="1"/>
    <x v="2"/>
  </r>
  <r>
    <n v="868"/>
    <n v="45.7"/>
    <n v="5"/>
    <n v="5"/>
    <n v="10"/>
    <n v="1.4"/>
    <n v="3"/>
    <x v="0"/>
  </r>
  <r>
    <n v="869"/>
    <n v="38.5"/>
    <n v="2"/>
    <n v="2"/>
    <n v="10"/>
    <n v="5.8"/>
    <n v="4"/>
    <x v="2"/>
  </r>
  <r>
    <n v="870"/>
    <n v="45.8"/>
    <n v="2"/>
    <n v="6"/>
    <n v="12"/>
    <n v="3.8"/>
    <n v="3"/>
    <x v="0"/>
  </r>
  <r>
    <n v="871"/>
    <n v="47.1"/>
    <n v="0"/>
    <n v="3"/>
    <n v="5"/>
    <n v="2.2999999999999998"/>
    <n v="3"/>
    <x v="0"/>
  </r>
  <r>
    <n v="872"/>
    <n v="24.3"/>
    <n v="1"/>
    <n v="4"/>
    <n v="9"/>
    <n v="5.7"/>
    <n v="3"/>
    <x v="2"/>
  </r>
  <r>
    <n v="873"/>
    <n v="63.2"/>
    <n v="2"/>
    <n v="3"/>
    <n v="8"/>
    <n v="3.8"/>
    <n v="6"/>
    <x v="3"/>
  </r>
  <r>
    <n v="874"/>
    <n v="34.299999999999997"/>
    <n v="2"/>
    <n v="2"/>
    <n v="16"/>
    <n v="5.2"/>
    <n v="4"/>
    <x v="2"/>
  </r>
  <r>
    <n v="875"/>
    <n v="32.9"/>
    <n v="1"/>
    <n v="1"/>
    <n v="15"/>
    <n v="2"/>
    <n v="6"/>
    <x v="2"/>
  </r>
  <r>
    <n v="876"/>
    <n v="38.799999999999997"/>
    <n v="3"/>
    <n v="1"/>
    <n v="12"/>
    <n v="3.6"/>
    <n v="2"/>
    <x v="2"/>
  </r>
  <r>
    <n v="877"/>
    <n v="32.4"/>
    <n v="1"/>
    <n v="3"/>
    <n v="8"/>
    <n v="2.6"/>
    <n v="3"/>
    <x v="2"/>
  </r>
  <r>
    <n v="878"/>
    <n v="39.799999999999997"/>
    <n v="6"/>
    <n v="3"/>
    <n v="11"/>
    <n v="5.6"/>
    <n v="7"/>
    <x v="2"/>
  </r>
  <r>
    <n v="879"/>
    <n v="53.1"/>
    <n v="3"/>
    <n v="2"/>
    <n v="8"/>
    <n v="2.6"/>
    <n v="2"/>
    <x v="0"/>
  </r>
  <r>
    <n v="880"/>
    <n v="31.3"/>
    <n v="5"/>
    <n v="4"/>
    <n v="11"/>
    <n v="0.3"/>
    <n v="5"/>
    <x v="2"/>
  </r>
  <r>
    <n v="881"/>
    <n v="49.9"/>
    <n v="3"/>
    <n v="3"/>
    <n v="11"/>
    <n v="2.8"/>
    <n v="3"/>
    <x v="0"/>
  </r>
  <r>
    <n v="882"/>
    <n v="37.200000000000003"/>
    <n v="4"/>
    <n v="6"/>
    <n v="7"/>
    <n v="4.0999999999999996"/>
    <n v="2"/>
    <x v="2"/>
  </r>
  <r>
    <n v="883"/>
    <n v="38.1"/>
    <n v="1"/>
    <n v="4"/>
    <n v="4"/>
    <n v="2.2000000000000002"/>
    <n v="3"/>
    <x v="2"/>
  </r>
  <r>
    <n v="884"/>
    <n v="46"/>
    <n v="2"/>
    <n v="2"/>
    <n v="14"/>
    <n v="4.5"/>
    <n v="2"/>
    <x v="0"/>
  </r>
  <r>
    <n v="885"/>
    <n v="24.8"/>
    <n v="1"/>
    <n v="2"/>
    <n v="10"/>
    <n v="1.8"/>
    <n v="8"/>
    <x v="2"/>
  </r>
  <r>
    <n v="886"/>
    <n v="31.6"/>
    <n v="5"/>
    <n v="9"/>
    <n v="12"/>
    <n v="7.5"/>
    <n v="3"/>
    <x v="2"/>
  </r>
  <r>
    <n v="887"/>
    <n v="50.9"/>
    <n v="0"/>
    <n v="4"/>
    <n v="13"/>
    <n v="5.7"/>
    <n v="3"/>
    <x v="0"/>
  </r>
  <r>
    <n v="888"/>
    <n v="49.6"/>
    <n v="2"/>
    <n v="4"/>
    <n v="8"/>
    <n v="1.3"/>
    <n v="3"/>
    <x v="0"/>
  </r>
  <r>
    <n v="889"/>
    <n v="47.4"/>
    <n v="4"/>
    <n v="2"/>
    <n v="10"/>
    <n v="1.1000000000000001"/>
    <n v="4"/>
    <x v="0"/>
  </r>
  <r>
    <n v="890"/>
    <n v="49.7"/>
    <n v="5"/>
    <n v="7"/>
    <n v="6"/>
    <n v="2.6"/>
    <n v="5"/>
    <x v="0"/>
  </r>
  <r>
    <n v="891"/>
    <n v="40.700000000000003"/>
    <n v="3"/>
    <n v="4"/>
    <n v="13"/>
    <n v="1.7"/>
    <n v="3"/>
    <x v="0"/>
  </r>
  <r>
    <n v="892"/>
    <n v="31.8"/>
    <n v="5"/>
    <n v="5"/>
    <n v="10"/>
    <n v="5"/>
    <n v="2"/>
    <x v="2"/>
  </r>
  <r>
    <n v="893"/>
    <n v="50.1"/>
    <n v="2"/>
    <n v="6"/>
    <n v="12"/>
    <n v="8.5"/>
    <n v="4"/>
    <x v="0"/>
  </r>
  <r>
    <n v="894"/>
    <n v="20.3"/>
    <n v="2"/>
    <n v="6"/>
    <n v="9"/>
    <n v="3.7"/>
    <n v="3"/>
    <x v="2"/>
  </r>
  <r>
    <n v="895"/>
    <n v="42.7"/>
    <n v="2"/>
    <n v="5"/>
    <n v="11"/>
    <n v="7"/>
    <n v="5"/>
    <x v="0"/>
  </r>
  <r>
    <n v="896"/>
    <n v="25.7"/>
    <n v="3"/>
    <n v="3"/>
    <n v="14"/>
    <n v="5.4"/>
    <n v="6"/>
    <x v="2"/>
  </r>
  <r>
    <n v="897"/>
    <n v="44"/>
    <n v="5"/>
    <n v="7"/>
    <n v="7"/>
    <n v="0.7"/>
    <n v="3"/>
    <x v="0"/>
  </r>
  <r>
    <n v="898"/>
    <n v="58.4"/>
    <n v="1"/>
    <n v="4"/>
    <n v="13"/>
    <n v="0.8"/>
    <n v="2"/>
    <x v="0"/>
  </r>
  <r>
    <n v="899"/>
    <n v="43.3"/>
    <n v="2"/>
    <n v="4"/>
    <n v="10"/>
    <n v="2.9"/>
    <n v="1"/>
    <x v="0"/>
  </r>
  <r>
    <n v="900"/>
    <n v="39.9"/>
    <n v="3"/>
    <n v="2"/>
    <n v="11"/>
    <n v="1.1000000000000001"/>
    <n v="2"/>
    <x v="2"/>
  </r>
  <r>
    <n v="901"/>
    <n v="35.9"/>
    <n v="3"/>
    <n v="5"/>
    <n v="11"/>
    <n v="5.2"/>
    <n v="5"/>
    <x v="2"/>
  </r>
  <r>
    <n v="902"/>
    <n v="41"/>
    <n v="2"/>
    <n v="4"/>
    <n v="6"/>
    <n v="0.9"/>
    <n v="2"/>
    <x v="0"/>
  </r>
  <r>
    <n v="903"/>
    <n v="38.4"/>
    <n v="0"/>
    <n v="3"/>
    <n v="11"/>
    <n v="5.7"/>
    <n v="3"/>
    <x v="2"/>
  </r>
  <r>
    <n v="904"/>
    <n v="38.9"/>
    <n v="3"/>
    <n v="5"/>
    <n v="10"/>
    <n v="11.4"/>
    <n v="1"/>
    <x v="2"/>
  </r>
  <r>
    <n v="905"/>
    <n v="30.8"/>
    <n v="1"/>
    <n v="7"/>
    <n v="8"/>
    <n v="4.5999999999999996"/>
    <n v="4"/>
    <x v="2"/>
  </r>
  <r>
    <n v="906"/>
    <n v="28.8"/>
    <n v="2"/>
    <n v="5"/>
    <n v="14"/>
    <n v="2.8"/>
    <n v="6"/>
    <x v="2"/>
  </r>
  <r>
    <n v="907"/>
    <n v="41.4"/>
    <n v="2"/>
    <n v="2"/>
    <n v="9"/>
    <n v="5.7"/>
    <n v="4"/>
    <x v="0"/>
  </r>
  <r>
    <n v="908"/>
    <n v="40.700000000000003"/>
    <n v="2"/>
    <n v="2"/>
    <n v="8"/>
    <n v="5.0999999999999996"/>
    <n v="5"/>
    <x v="0"/>
  </r>
  <r>
    <n v="909"/>
    <n v="45.1"/>
    <n v="5"/>
    <n v="7"/>
    <n v="12"/>
    <n v="1.5"/>
    <n v="1"/>
    <x v="0"/>
  </r>
  <r>
    <n v="910"/>
    <n v="38"/>
    <n v="4"/>
    <n v="5"/>
    <n v="3"/>
    <n v="3.4"/>
    <n v="4"/>
    <x v="2"/>
  </r>
  <r>
    <n v="911"/>
    <n v="44.8"/>
    <n v="6"/>
    <n v="4"/>
    <n v="9"/>
    <n v="7.4"/>
    <n v="3"/>
    <x v="0"/>
  </r>
  <r>
    <n v="912"/>
    <n v="21.9"/>
    <n v="5"/>
    <n v="1"/>
    <n v="7"/>
    <n v="9.4"/>
    <n v="2"/>
    <x v="2"/>
  </r>
  <r>
    <n v="913"/>
    <n v="38.5"/>
    <n v="1"/>
    <n v="3"/>
    <n v="6"/>
    <n v="3.4"/>
    <n v="1"/>
    <x v="2"/>
  </r>
  <r>
    <n v="914"/>
    <n v="36.4"/>
    <n v="4"/>
    <n v="5"/>
    <n v="10"/>
    <n v="7.4"/>
    <n v="1"/>
    <x v="2"/>
  </r>
  <r>
    <n v="915"/>
    <n v="41.2"/>
    <n v="3"/>
    <n v="5"/>
    <n v="8"/>
    <n v="4.5999999999999996"/>
    <n v="3"/>
    <x v="0"/>
  </r>
  <r>
    <n v="916"/>
    <n v="29.1"/>
    <n v="5"/>
    <n v="2"/>
    <n v="7"/>
    <n v="2.4"/>
    <n v="2"/>
    <x v="2"/>
  </r>
  <r>
    <n v="917"/>
    <n v="42"/>
    <n v="5"/>
    <n v="3"/>
    <n v="8"/>
    <n v="3.6"/>
    <n v="4"/>
    <x v="0"/>
  </r>
  <r>
    <n v="918"/>
    <n v="38.1"/>
    <n v="4"/>
    <n v="4"/>
    <n v="6"/>
    <n v="1.8"/>
    <n v="3"/>
    <x v="2"/>
  </r>
  <r>
    <n v="919"/>
    <n v="39.6"/>
    <n v="4"/>
    <n v="6"/>
    <n v="10"/>
    <n v="3.4"/>
    <n v="2"/>
    <x v="2"/>
  </r>
  <r>
    <n v="920"/>
    <n v="50"/>
    <n v="1"/>
    <n v="0"/>
    <n v="5"/>
    <n v="1.6"/>
    <n v="1"/>
    <x v="0"/>
  </r>
  <r>
    <n v="921"/>
    <n v="35"/>
    <n v="5"/>
    <n v="2"/>
    <n v="7"/>
    <n v="7.8"/>
    <n v="2"/>
    <x v="2"/>
  </r>
  <r>
    <n v="922"/>
    <n v="30.2"/>
    <n v="5"/>
    <n v="4"/>
    <n v="15"/>
    <n v="6.9"/>
    <n v="5"/>
    <x v="2"/>
  </r>
  <r>
    <n v="923"/>
    <n v="41.1"/>
    <n v="0"/>
    <n v="4"/>
    <n v="10"/>
    <n v="3.3"/>
    <n v="5"/>
    <x v="0"/>
  </r>
  <r>
    <n v="924"/>
    <n v="41.5"/>
    <n v="4"/>
    <n v="1"/>
    <n v="10"/>
    <n v="3.6"/>
    <n v="3"/>
    <x v="0"/>
  </r>
  <r>
    <n v="925"/>
    <n v="52.8"/>
    <n v="4"/>
    <n v="7"/>
    <n v="6"/>
    <n v="9.6999999999999993"/>
    <n v="4"/>
    <x v="0"/>
  </r>
  <r>
    <n v="926"/>
    <n v="52.3"/>
    <n v="2"/>
    <n v="2"/>
    <n v="10"/>
    <n v="4.2"/>
    <n v="1"/>
    <x v="0"/>
  </r>
  <r>
    <n v="927"/>
    <n v="43.4"/>
    <n v="2"/>
    <n v="4"/>
    <n v="9"/>
    <n v="2.5"/>
    <n v="3"/>
    <x v="0"/>
  </r>
  <r>
    <n v="928"/>
    <n v="30.1"/>
    <n v="2"/>
    <n v="1"/>
    <n v="8"/>
    <n v="1"/>
    <n v="2"/>
    <x v="2"/>
  </r>
  <r>
    <n v="929"/>
    <n v="27.7"/>
    <n v="2"/>
    <n v="2"/>
    <n v="11"/>
    <n v="1.1000000000000001"/>
    <n v="4"/>
    <x v="2"/>
  </r>
  <r>
    <n v="930"/>
    <n v="20.6"/>
    <n v="2"/>
    <n v="5"/>
    <n v="10"/>
    <n v="4.5"/>
    <n v="3"/>
    <x v="2"/>
  </r>
  <r>
    <n v="931"/>
    <n v="45.7"/>
    <n v="9"/>
    <n v="6"/>
    <n v="12"/>
    <n v="3.2"/>
    <n v="2"/>
    <x v="0"/>
  </r>
  <r>
    <n v="932"/>
    <n v="33.4"/>
    <n v="4"/>
    <n v="7"/>
    <n v="10"/>
    <n v="4.5999999999999996"/>
    <n v="1"/>
    <x v="2"/>
  </r>
  <r>
    <n v="933"/>
    <n v="34.6"/>
    <n v="2"/>
    <n v="2"/>
    <n v="9"/>
    <n v="1.4"/>
    <n v="3"/>
    <x v="2"/>
  </r>
  <r>
    <n v="934"/>
    <n v="50.1"/>
    <n v="6"/>
    <n v="3"/>
    <n v="10"/>
    <n v="8.6"/>
    <n v="3"/>
    <x v="0"/>
  </r>
  <r>
    <n v="935"/>
    <n v="39.1"/>
    <n v="2"/>
    <n v="4"/>
    <n v="14"/>
    <n v="2.7"/>
    <n v="3"/>
    <x v="2"/>
  </r>
  <r>
    <n v="936"/>
    <n v="50.1"/>
    <n v="5"/>
    <n v="7"/>
    <n v="13"/>
    <n v="4.5"/>
    <n v="4"/>
    <x v="0"/>
  </r>
  <r>
    <n v="937"/>
    <n v="31.1"/>
    <n v="1"/>
    <n v="2"/>
    <n v="7"/>
    <n v="5.7"/>
    <n v="2"/>
    <x v="2"/>
  </r>
  <r>
    <n v="938"/>
    <n v="40.5"/>
    <n v="4"/>
    <n v="5"/>
    <n v="8"/>
    <n v="6.5"/>
    <n v="3"/>
    <x v="0"/>
  </r>
  <r>
    <n v="939"/>
    <n v="47.2"/>
    <n v="2"/>
    <n v="5"/>
    <n v="10"/>
    <n v="5.2"/>
    <n v="2"/>
    <x v="0"/>
  </r>
  <r>
    <n v="940"/>
    <n v="51.4"/>
    <n v="3"/>
    <n v="3"/>
    <n v="8"/>
    <n v="2"/>
    <n v="7"/>
    <x v="0"/>
  </r>
  <r>
    <n v="941"/>
    <n v="37.1"/>
    <n v="3"/>
    <n v="3"/>
    <n v="7"/>
    <n v="5.0999999999999996"/>
    <n v="1"/>
    <x v="2"/>
  </r>
  <r>
    <n v="942"/>
    <n v="48.7"/>
    <n v="4"/>
    <n v="2"/>
    <n v="6"/>
    <n v="4.7"/>
    <n v="2"/>
    <x v="0"/>
  </r>
  <r>
    <n v="943"/>
    <n v="29.8"/>
    <n v="2"/>
    <n v="5"/>
    <n v="10"/>
    <n v="8.1999999999999993"/>
    <n v="5"/>
    <x v="2"/>
  </r>
  <r>
    <n v="944"/>
    <n v="32.200000000000003"/>
    <n v="3"/>
    <n v="2"/>
    <n v="7"/>
    <n v="6"/>
    <n v="4"/>
    <x v="2"/>
  </r>
  <r>
    <n v="945"/>
    <n v="37.5"/>
    <n v="1"/>
    <n v="10"/>
    <n v="7"/>
    <n v="1.2"/>
    <n v="4"/>
    <x v="2"/>
  </r>
  <r>
    <n v="946"/>
    <n v="48.1"/>
    <n v="1"/>
    <n v="3"/>
    <n v="11"/>
    <n v="6.6"/>
    <n v="3"/>
    <x v="0"/>
  </r>
  <r>
    <n v="947"/>
    <n v="29.5"/>
    <n v="3"/>
    <n v="6"/>
    <n v="7"/>
    <n v="5.7"/>
    <n v="4"/>
    <x v="2"/>
  </r>
  <r>
    <n v="948"/>
    <n v="38.700000000000003"/>
    <n v="5"/>
    <n v="2"/>
    <n v="10"/>
    <n v="9.1999999999999993"/>
    <n v="3"/>
    <x v="2"/>
  </r>
  <r>
    <n v="949"/>
    <n v="29.4"/>
    <n v="3"/>
    <n v="4"/>
    <n v="17"/>
    <n v="6.6"/>
    <n v="1"/>
    <x v="2"/>
  </r>
  <r>
    <n v="950"/>
    <n v="27.8"/>
    <n v="0"/>
    <n v="3"/>
    <n v="14"/>
    <n v="5"/>
    <n v="2"/>
    <x v="2"/>
  </r>
  <r>
    <n v="951"/>
    <n v="36.799999999999997"/>
    <n v="8"/>
    <n v="3"/>
    <n v="8"/>
    <n v="7.9"/>
    <n v="6"/>
    <x v="2"/>
  </r>
  <r>
    <n v="952"/>
    <n v="45.2"/>
    <n v="3"/>
    <n v="3"/>
    <n v="6"/>
    <n v="11.8"/>
    <n v="7"/>
    <x v="0"/>
  </r>
  <r>
    <n v="953"/>
    <n v="35.9"/>
    <n v="1"/>
    <n v="5"/>
    <n v="14"/>
    <n v="2.2999999999999998"/>
    <n v="0"/>
    <x v="2"/>
  </r>
  <r>
    <n v="954"/>
    <n v="20.8"/>
    <n v="3"/>
    <n v="4"/>
    <n v="7"/>
    <n v="4.2"/>
    <n v="1"/>
    <x v="2"/>
  </r>
  <r>
    <n v="955"/>
    <n v="43.5"/>
    <n v="5"/>
    <n v="5"/>
    <n v="12"/>
    <n v="5.2"/>
    <n v="5"/>
    <x v="0"/>
  </r>
  <r>
    <n v="956"/>
    <n v="44.3"/>
    <n v="4"/>
    <n v="3"/>
    <n v="13"/>
    <n v="4"/>
    <n v="3"/>
    <x v="0"/>
  </r>
  <r>
    <n v="957"/>
    <n v="21.9"/>
    <n v="3"/>
    <n v="3"/>
    <n v="11"/>
    <n v="6.7"/>
    <n v="6"/>
    <x v="2"/>
  </r>
  <r>
    <n v="958"/>
    <n v="22.6"/>
    <n v="3"/>
    <n v="1"/>
    <n v="8"/>
    <n v="4.5999999999999996"/>
    <n v="2"/>
    <x v="2"/>
  </r>
  <r>
    <n v="959"/>
    <n v="27.4"/>
    <n v="6"/>
    <n v="5"/>
    <n v="8"/>
    <n v="2.6"/>
    <n v="5"/>
    <x v="2"/>
  </r>
  <r>
    <n v="960"/>
    <n v="53.3"/>
    <n v="4"/>
    <n v="3"/>
    <n v="10"/>
    <n v="5.6"/>
    <n v="6"/>
    <x v="0"/>
  </r>
  <r>
    <n v="961"/>
    <n v="24.7"/>
    <n v="4"/>
    <n v="4"/>
    <n v="9"/>
    <n v="3.6"/>
    <n v="3"/>
    <x v="2"/>
  </r>
  <r>
    <n v="962"/>
    <n v="51.6"/>
    <n v="3"/>
    <n v="2"/>
    <n v="9"/>
    <n v="8.9"/>
    <n v="0"/>
    <x v="0"/>
  </r>
  <r>
    <n v="963"/>
    <n v="23.5"/>
    <n v="6"/>
    <n v="4"/>
    <n v="8"/>
    <n v="2.4"/>
    <n v="6"/>
    <x v="2"/>
  </r>
  <r>
    <n v="964"/>
    <n v="47.2"/>
    <n v="2"/>
    <n v="6"/>
    <n v="9"/>
    <n v="2.2000000000000002"/>
    <n v="3"/>
    <x v="0"/>
  </r>
  <r>
    <n v="965"/>
    <n v="29.6"/>
    <n v="5"/>
    <n v="6"/>
    <n v="10"/>
    <n v="7.7"/>
    <n v="2"/>
    <x v="2"/>
  </r>
  <r>
    <n v="966"/>
    <n v="41.7"/>
    <n v="4"/>
    <n v="2"/>
    <n v="12"/>
    <n v="4.5999999999999996"/>
    <n v="4"/>
    <x v="0"/>
  </r>
  <r>
    <n v="967"/>
    <n v="39.6"/>
    <n v="4"/>
    <n v="3"/>
    <n v="15"/>
    <n v="1.1000000000000001"/>
    <n v="3"/>
    <x v="2"/>
  </r>
  <r>
    <n v="968"/>
    <n v="53"/>
    <n v="6"/>
    <n v="3"/>
    <n v="9"/>
    <n v="11.6"/>
    <n v="5"/>
    <x v="0"/>
  </r>
  <r>
    <n v="969"/>
    <n v="22.9"/>
    <n v="2"/>
    <n v="4"/>
    <n v="15"/>
    <n v="3"/>
    <n v="2"/>
    <x v="2"/>
  </r>
  <r>
    <n v="970"/>
    <n v="17.3"/>
    <n v="1"/>
    <n v="4"/>
    <n v="10"/>
    <n v="9.3000000000000007"/>
    <n v="3"/>
    <x v="1"/>
  </r>
  <r>
    <n v="971"/>
    <n v="56.9"/>
    <n v="2"/>
    <n v="0"/>
    <n v="14"/>
    <n v="2.2000000000000002"/>
    <n v="3"/>
    <x v="0"/>
  </r>
  <r>
    <n v="972"/>
    <n v="30.7"/>
    <n v="2"/>
    <n v="3"/>
    <n v="8"/>
    <n v="0.2"/>
    <n v="3"/>
    <x v="2"/>
  </r>
  <r>
    <n v="973"/>
    <n v="40.200000000000003"/>
    <n v="5"/>
    <n v="12"/>
    <n v="12"/>
    <n v="8.3000000000000007"/>
    <n v="4"/>
    <x v="0"/>
  </r>
  <r>
    <n v="974"/>
    <n v="31.4"/>
    <n v="1"/>
    <n v="5"/>
    <n v="9"/>
    <n v="0.3"/>
    <n v="1"/>
    <x v="2"/>
  </r>
  <r>
    <n v="975"/>
    <n v="28.3"/>
    <n v="6"/>
    <n v="4"/>
    <n v="14"/>
    <n v="5.2"/>
    <n v="4"/>
    <x v="2"/>
  </r>
  <r>
    <n v="976"/>
    <n v="27.3"/>
    <n v="1"/>
    <n v="6"/>
    <n v="5"/>
    <n v="4"/>
    <n v="0"/>
    <x v="2"/>
  </r>
  <r>
    <n v="977"/>
    <n v="42.8"/>
    <n v="3"/>
    <n v="4"/>
    <n v="11"/>
    <n v="5.6"/>
    <n v="3"/>
    <x v="0"/>
  </r>
  <r>
    <n v="978"/>
    <n v="27.9"/>
    <n v="3"/>
    <n v="2"/>
    <n v="8"/>
    <n v="6.3"/>
    <n v="3"/>
    <x v="2"/>
  </r>
  <r>
    <n v="979"/>
    <n v="29.1"/>
    <n v="4"/>
    <n v="3"/>
    <n v="11"/>
    <n v="4.9000000000000004"/>
    <n v="1"/>
    <x v="2"/>
  </r>
  <r>
    <n v="980"/>
    <n v="35"/>
    <n v="0"/>
    <n v="3"/>
    <n v="12"/>
    <n v="2.7"/>
    <n v="1"/>
    <x v="2"/>
  </r>
  <r>
    <n v="981"/>
    <n v="32.200000000000003"/>
    <n v="2"/>
    <n v="5"/>
    <n v="10"/>
    <n v="3.1"/>
    <n v="4"/>
    <x v="2"/>
  </r>
  <r>
    <n v="982"/>
    <n v="33.700000000000003"/>
    <n v="3"/>
    <n v="3"/>
    <n v="6"/>
    <n v="4.0999999999999996"/>
    <n v="1"/>
    <x v="2"/>
  </r>
  <r>
    <n v="983"/>
    <n v="43.7"/>
    <n v="4"/>
    <n v="2"/>
    <n v="10"/>
    <n v="6"/>
    <n v="4"/>
    <x v="0"/>
  </r>
  <r>
    <n v="984"/>
    <n v="36.6"/>
    <n v="2"/>
    <n v="2"/>
    <n v="5"/>
    <n v="2.9"/>
    <n v="3"/>
    <x v="2"/>
  </r>
  <r>
    <n v="985"/>
    <n v="27.5"/>
    <n v="2"/>
    <n v="3"/>
    <n v="15"/>
    <n v="4.0999999999999996"/>
    <n v="2"/>
    <x v="2"/>
  </r>
  <r>
    <n v="986"/>
    <n v="29.7"/>
    <n v="2"/>
    <n v="4"/>
    <n v="10"/>
    <n v="2.8"/>
    <n v="4"/>
    <x v="2"/>
  </r>
  <r>
    <n v="987"/>
    <n v="55.7"/>
    <n v="4"/>
    <n v="4"/>
    <n v="19"/>
    <n v="0.4"/>
    <n v="3"/>
    <x v="0"/>
  </r>
  <r>
    <n v="988"/>
    <n v="46.7"/>
    <n v="3"/>
    <n v="4"/>
    <n v="9"/>
    <n v="2.2999999999999998"/>
    <n v="5"/>
    <x v="0"/>
  </r>
  <r>
    <n v="989"/>
    <n v="40.700000000000003"/>
    <n v="3"/>
    <n v="3"/>
    <n v="17"/>
    <n v="3.8"/>
    <n v="2"/>
    <x v="0"/>
  </r>
  <r>
    <n v="990"/>
    <n v="54.4"/>
    <n v="4"/>
    <n v="3"/>
    <n v="10"/>
    <n v="2.5"/>
    <n v="1"/>
    <x v="0"/>
  </r>
  <r>
    <n v="991"/>
    <n v="33.9"/>
    <n v="2"/>
    <n v="4"/>
    <n v="10"/>
    <n v="6.6"/>
    <n v="5"/>
    <x v="2"/>
  </r>
  <r>
    <n v="992"/>
    <n v="31.6"/>
    <n v="0"/>
    <n v="3"/>
    <n v="6"/>
    <n v="3.8"/>
    <n v="5"/>
    <x v="2"/>
  </r>
  <r>
    <n v="993"/>
    <n v="31.2"/>
    <n v="4"/>
    <n v="4"/>
    <n v="7"/>
    <n v="4.7"/>
    <n v="3"/>
    <x v="2"/>
  </r>
  <r>
    <n v="994"/>
    <n v="60"/>
    <n v="0"/>
    <n v="7"/>
    <n v="6"/>
    <n v="6.5"/>
    <n v="3"/>
    <x v="0"/>
  </r>
  <r>
    <n v="995"/>
    <n v="20.2"/>
    <n v="6"/>
    <n v="5"/>
    <n v="10"/>
    <n v="4.5"/>
    <n v="2"/>
    <x v="2"/>
  </r>
  <r>
    <n v="996"/>
    <n v="41.5"/>
    <n v="2"/>
    <n v="3"/>
    <n v="10"/>
    <n v="1.6"/>
    <n v="1"/>
    <x v="0"/>
  </r>
  <r>
    <n v="997"/>
    <n v="31.7"/>
    <n v="8"/>
    <n v="3"/>
    <n v="8"/>
    <n v="4.4000000000000004"/>
    <n v="1"/>
    <x v="2"/>
  </r>
  <r>
    <n v="998"/>
    <n v="48.2"/>
    <n v="2"/>
    <n v="0"/>
    <n v="6"/>
    <n v="1.3"/>
    <n v="3"/>
    <x v="0"/>
  </r>
  <r>
    <n v="999"/>
    <n v="48.3"/>
    <n v="1"/>
    <n v="2"/>
    <n v="12"/>
    <n v="2.1"/>
    <n v="3"/>
    <x v="0"/>
  </r>
  <r>
    <n v="1000"/>
    <n v="42.1"/>
    <n v="3"/>
    <n v="7"/>
    <n v="11"/>
    <n v="3.4"/>
    <n v="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F1A3A4-5292-9E42-81AB-F8156027EA7B}" name="PivotTable1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E7" firstHeaderRow="0" firstDataRow="1" firstDataCol="1"/>
  <pivotFields count="12">
    <pivotField dataField="1" showAll="0">
      <items count="10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t="default"/>
      </items>
    </pivotField>
    <pivotField showAll="0"/>
    <pivotField showAll="0"/>
    <pivotField dataField="1" showAll="0"/>
    <pivotField dataField="1" showAll="0"/>
    <pivotField axis="axisRow" dataField="1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5"/>
  </rowFields>
  <rowItems count="4">
    <i>
      <x/>
    </i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Gender" fld="3" subtotal="count" baseField="0" baseItem="0"/>
    <dataField name="Average of User_Id" fld="0" subtotal="average" baseField="0" baseItem="0"/>
    <dataField name="Count of Urban_Rural" fld="5" subtotal="count" baseField="0" baseItem="0"/>
    <dataField name="Count of Country" fld="4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E2492B-8572-5243-9A97-2B844C273C22}" name="PivotTable2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7" firstHeaderRow="1" firstDataRow="1" firstDataCol="1"/>
  <pivotFields count="13">
    <pivotField dataField="1" showAll="0">
      <items count="10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t="default"/>
      </items>
    </pivotField>
    <pivotField showAll="0"/>
    <pivotField showAll="0">
      <items count="62">
        <item x="50"/>
        <item x="59"/>
        <item x="60"/>
        <item x="57"/>
        <item x="54"/>
        <item x="52"/>
        <item x="47"/>
        <item x="44"/>
        <item x="34"/>
        <item x="55"/>
        <item x="51"/>
        <item x="35"/>
        <item x="38"/>
        <item x="46"/>
        <item x="10"/>
        <item x="23"/>
        <item x="28"/>
        <item x="18"/>
        <item x="31"/>
        <item x="5"/>
        <item x="17"/>
        <item x="14"/>
        <item x="21"/>
        <item x="13"/>
        <item x="22"/>
        <item x="27"/>
        <item x="3"/>
        <item x="8"/>
        <item x="2"/>
        <item x="4"/>
        <item x="20"/>
        <item x="25"/>
        <item x="33"/>
        <item x="11"/>
        <item x="9"/>
        <item x="36"/>
        <item x="7"/>
        <item x="29"/>
        <item x="0"/>
        <item x="19"/>
        <item x="16"/>
        <item x="15"/>
        <item x="37"/>
        <item x="12"/>
        <item x="6"/>
        <item x="30"/>
        <item x="42"/>
        <item x="1"/>
        <item x="24"/>
        <item x="41"/>
        <item x="39"/>
        <item x="32"/>
        <item x="49"/>
        <item x="43"/>
        <item x="58"/>
        <item x="45"/>
        <item x="40"/>
        <item x="53"/>
        <item x="48"/>
        <item x="26"/>
        <item x="5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0"/>
        <item x="2"/>
        <item t="default"/>
      </items>
    </pivotField>
  </pivotFields>
  <rowFields count="1">
    <field x="1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User_Id" fld="0" subtotal="count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EFA85F-0E39-F144-8BA7-4B7CC248B60D}" name="PivotTable4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8" firstHeaderRow="1" firstDataRow="1" firstDataCol="1"/>
  <pivotFields count="8"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User_I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04590C-7236-5749-904C-462DC763D29D}" name="Table1" displayName="Table1" ref="A1:BF1001" totalsRowShown="0" headerRowDxfId="3">
  <autoFilter ref="A1:BF1001" xr:uid="{F8886285-5CA1-7949-BC27-7EBABE850826}">
    <filterColumn colId="0">
      <filters>
        <filter val="1000"/>
      </filters>
    </filterColumn>
  </autoFilter>
  <tableColumns count="58">
    <tableColumn id="1" xr3:uid="{FDBAAD6F-5D07-A14C-8A6F-8671D6A4886C}" name="User_Id"/>
    <tableColumn id="2" xr3:uid="{EE6A4098-D163-124B-9A46-66F517C0A9A7}" name="App_Name"/>
    <tableColumn id="3" xr3:uid="{21A40DA6-2195-6542-AF36-24BD1513C7FF}" name="Age"/>
    <tableColumn id="4" xr3:uid="{5B248A48-424A-D343-8C44-946575C9F170}" name="Gender"/>
    <tableColumn id="5" xr3:uid="{1C93DABD-B144-4A42-AD91-948EA91E84DF}" name="Country"/>
    <tableColumn id="6" xr3:uid="{E83D6926-794E-7745-99FA-32A47B9D19CB}" name="Urban_Rural"/>
    <tableColumn id="7" xr3:uid="{B01CD10D-E94F-D44A-81DA-C362C5F5354B}" name="Income_Level"/>
    <tableColumn id="8" xr3:uid="{B99C83CF-2587-B147-AE76-AE2EE71D9A65}" name="Employment_Status"/>
    <tableColumn id="9" xr3:uid="{D06DEE7D-87E0-6B42-88F9-6B93B6FF80A8}" name="Education_Level"/>
    <tableColumn id="10" xr3:uid="{9EB90AB9-85E0-3E45-B0E9-2E69B1DA3CAB}" name="Relationship_Status"/>
    <tableColumn id="11" xr3:uid="{467D969C-A3B1-7A42-84C0-99AE5E78AB83}" name="Has_Children"/>
    <tableColumn id="12" xr3:uid="{8206E54B-040A-EF40-817D-AFE823381C3E}" name="Exercise_Hours_Per_Week"/>
    <tableColumn id="13" xr3:uid="{A7095B7C-DBEC-3444-9B65-6EE89C77CE2E}" name="Sleep_Hours_Per_Night"/>
    <tableColumn id="14" xr3:uid="{22DC51E9-4F46-1240-A081-330A95EA870C}" name="Diet_Quality"/>
    <tableColumn id="15" xr3:uid="{13F6C4F2-16D0-9F41-BEB7-1A18BEDDEC65}" name="Smoking"/>
    <tableColumn id="16" xr3:uid="{FEF331C9-4486-B344-A491-637E1BD12D1B}" name="Alcohol_Frequency"/>
    <tableColumn id="17" xr3:uid="{E1C8258B-21DA-8F49-90B8-3375833E8BDC}" name="Perceived_Stress_Score"/>
    <tableColumn id="18" xr3:uid="{7EFD6852-D222-CB41-91DC-CC4E66DD45A3}" name="Self_Reported_Happiness"/>
    <tableColumn id="19" xr3:uid="{81321DB2-3A45-1D46-80AC-103B9296D125}" name="Body_Mass_Index"/>
    <tableColumn id="20" xr3:uid="{BBDA3C17-2B10-6043-9039-3AFBD10F15D7}" name="Blood_Pressure_Systolic"/>
    <tableColumn id="21" xr3:uid="{3B6E243B-D5A6-D143-AAB7-C149CF733987}" name="Blood_Pressure_Diastolic"/>
    <tableColumn id="22" xr3:uid="{491939B0-7E64-FB47-AE5B-C4EC05DEF4BB}" name="Daily_Steps_Count"/>
    <tableColumn id="23" xr3:uid="{221F9674-44C0-2644-9185-1E05A36A6CE9}" name="Weekly_Work_Hours"/>
    <tableColumn id="24" xr3:uid="{31D4AC92-CA75-384E-BDF8-211195D87670}" name="Hobbies_Count"/>
    <tableColumn id="25" xr3:uid="{A7E31059-CBA7-374D-BE96-27D00E573407}" name="Social_Events_Per_Month"/>
    <tableColumn id="26" xr3:uid="{70F1E912-FB90-D94F-99FB-5EC01F92EEE4}" name="Books_Read_Per_Year"/>
    <tableColumn id="27" xr3:uid="{F3E0A108-664E-144F-AED2-3D468AA9FA6B}" name="Volunteer_Hours_Per_Month"/>
    <tableColumn id="28" xr3:uid="{7B21D81B-7419-8246-95DE-4B0335740265}" name="Travel_Frequency_Per_Year"/>
    <tableColumn id="29" xr3:uid="{CD226B14-6ACD-5C46-BD1F-68E48675F74B}" name="Daily_Active_Minutes_Instagram"/>
    <tableColumn id="30" xr3:uid="{064C2DE9-2F36-1948-90F3-44B17C8A7B64}" name="Sessions_Per_Day"/>
    <tableColumn id="31" xr3:uid="{4CE20EF4-2E33-9F4C-BE7A-8A6D43DDD78C}" name="Posts_Created_Per_Week"/>
    <tableColumn id="32" xr3:uid="{6E600347-7551-EA4E-B7B5-42F2581B3116}" name="Reels_Watched_Per_Day"/>
    <tableColumn id="33" xr3:uid="{B1DF9EC3-FA9C-EF4D-8D57-286A5D3FB25E}" name="Stories_Viewed_Per_Day"/>
    <tableColumn id="34" xr3:uid="{2ADAB340-0296-254A-852B-72A3CDD5A518}" name="Likes_Given_Per_Day"/>
    <tableColumn id="35" xr3:uid="{43FD732A-E8FE-AC49-9697-1E41570C49BC}" name="Comments_Written_Per_Day"/>
    <tableColumn id="36" xr3:uid="{51B7B5DD-B357-E044-970F-8294A3D5A1EC}" name="Dms_Sent_Per_Week"/>
    <tableColumn id="37" xr3:uid="{BD5E6D6E-F0D0-C748-9180-054B3EE5C434}" name="Dms_Received_Per_Week"/>
    <tableColumn id="38" xr3:uid="{58C85DEF-E48D-764B-AFF7-CC9E01DB5328}" name="Ads_Viewed_Per_Day"/>
    <tableColumn id="39" xr3:uid="{F1F6FC8E-8A10-BD41-B936-8E31C4C087FB}" name="Ads_Clicked_Per_Day"/>
    <tableColumn id="40" xr3:uid="{8115D496-8BAE-6C40-951F-C0CDB725CABA}" name="Time_On_Feed_Per_Day"/>
    <tableColumn id="41" xr3:uid="{CE854823-0042-FB45-BC4F-FE0FB6763915}" name="Time_On_Explore_Per_Day"/>
    <tableColumn id="42" xr3:uid="{C69AA446-835B-5B40-AA67-0CEFE24435BC}" name="Time_On_Messages_Per_Day"/>
    <tableColumn id="43" xr3:uid="{756247A8-CD2D-B94F-B4B2-4E6F94E31055}" name="Time_On_Reels_Per_Day"/>
    <tableColumn id="44" xr3:uid="{D89E3D3F-61EA-DE4C-999C-57A6EF2ED6B2}" name="Followers_Count"/>
    <tableColumn id="45" xr3:uid="{0D3A99BC-7721-D644-8B3A-F06BA7AF4507}" name="Following_Count"/>
    <tableColumn id="46" xr3:uid="{0A41B4E3-BB14-B443-B790-ACCE7AE6DD01}" name="Uses_Premium_Features"/>
    <tableColumn id="47" xr3:uid="{41EDA037-D3C7-C04F-A2CD-2E64E1FAAC69}" name="Notification_Response_Rate"/>
    <tableColumn id="48" xr3:uid="{A8950775-E8D1-FC44-BE29-949BA4884C31}" name="Account_Creation_Year"/>
    <tableColumn id="49" xr3:uid="{8CCA8E99-168A-3B46-9589-00E26BC669A9}" name="Last_Login_Date" dataDxfId="2"/>
    <tableColumn id="50" xr3:uid="{B8308E51-2CBA-4944-A9C2-435A9AC3DEDC}" name="Average_Session_Length_Minutes"/>
    <tableColumn id="51" xr3:uid="{0B079882-228D-EB45-8299-6CA347D992CE}" name="Content_Type_Preference"/>
    <tableColumn id="52" xr3:uid="{F05270D4-9B54-C745-9AE2-45D3E3C2D784}" name="Preferred_Content_Theme"/>
    <tableColumn id="53" xr3:uid="{7AB27A1E-4717-C74C-A6D2-B38309DDDD63}" name="Privacy_Setting_Level"/>
    <tableColumn id="54" xr3:uid="{94C20EA4-8CA8-7543-8508-66EF1D4ED63D}" name="Two_Factor_Auth_Enabled"/>
    <tableColumn id="55" xr3:uid="{5A18AC78-62DB-EF46-A826-9B966C5B6069}" name="Biometric_Login_Used"/>
    <tableColumn id="56" xr3:uid="{345B855F-98D0-624A-AACF-A590413EB0F4}" name="Linked_Accounts_Count"/>
    <tableColumn id="57" xr3:uid="{CC067645-25C0-C743-9849-0B478B492330}" name="Subscription_Status"/>
    <tableColumn id="58" xr3:uid="{64E796E7-371C-734D-A14F-5E536E3A43C0}" name="User_Engagement_Scor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06CE8A-8290-2948-B5F7-ADFBFCE1E460}" name="Table2" displayName="Table2" ref="B30:D33" totalsRowShown="0" headerRowDxfId="0">
  <autoFilter ref="B30:D33" xr:uid="{9406CE8A-8290-2948-B5F7-ADFBFCE1E460}"/>
  <tableColumns count="3">
    <tableColumn id="1" xr3:uid="{8A76282A-264E-6148-95CF-8587F52260CC}" name="User Type"/>
    <tableColumn id="2" xr3:uid="{189DD7C1-119E-AA4C-963F-744AFAB238C5}" name="Count"/>
    <tableColumn id="3" xr3:uid="{529B390A-817C-3340-A302-83906E8B1AA3}" name="Percentage" dataDxfId="1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86285-5CA1-7949-BC27-7EBABE850826}">
  <dimension ref="A1:BF1001"/>
  <sheetViews>
    <sheetView topLeftCell="BA1" workbookViewId="0">
      <selection activeCell="AC1001" sqref="AC1001:BF1001"/>
    </sheetView>
  </sheetViews>
  <sheetFormatPr baseColWidth="10" defaultRowHeight="16" x14ac:dyDescent="0.2"/>
  <cols>
    <col min="1" max="1" width="11" bestFit="1" customWidth="1"/>
    <col min="2" max="2" width="14" bestFit="1" customWidth="1"/>
    <col min="3" max="3" width="7.1640625" bestFit="1" customWidth="1"/>
    <col min="4" max="4" width="16.33203125" bestFit="1" customWidth="1"/>
    <col min="5" max="5" width="14.5" bestFit="1" customWidth="1"/>
    <col min="6" max="6" width="15.6640625" bestFit="1" customWidth="1"/>
    <col min="7" max="7" width="16.83203125" bestFit="1" customWidth="1"/>
    <col min="8" max="8" width="22.6640625" bestFit="1" customWidth="1"/>
    <col min="9" max="9" width="19.33203125" bestFit="1" customWidth="1"/>
    <col min="10" max="10" width="22.83203125" bestFit="1" customWidth="1"/>
    <col min="11" max="11" width="16.6640625" bestFit="1" customWidth="1"/>
    <col min="12" max="12" width="29.83203125" bestFit="1" customWidth="1"/>
    <col min="13" max="13" width="26.5" bestFit="1" customWidth="1"/>
    <col min="14" max="14" width="15.5" bestFit="1" customWidth="1"/>
    <col min="15" max="15" width="12" bestFit="1" customWidth="1"/>
    <col min="16" max="16" width="22.1640625" bestFit="1" customWidth="1"/>
    <col min="17" max="17" width="27.33203125" bestFit="1" customWidth="1"/>
    <col min="18" max="18" width="28.5" bestFit="1" customWidth="1"/>
    <col min="19" max="19" width="20.5" bestFit="1" customWidth="1"/>
    <col min="20" max="20" width="27.6640625" bestFit="1" customWidth="1"/>
    <col min="21" max="21" width="28.6640625" bestFit="1" customWidth="1"/>
    <col min="22" max="22" width="21.83203125" bestFit="1" customWidth="1"/>
    <col min="23" max="23" width="24" bestFit="1" customWidth="1"/>
    <col min="24" max="24" width="18.1640625" bestFit="1" customWidth="1"/>
    <col min="25" max="25" width="28.5" bestFit="1" customWidth="1"/>
    <col min="26" max="26" width="25.33203125" bestFit="1" customWidth="1"/>
    <col min="27" max="27" width="31.33203125" bestFit="1" customWidth="1"/>
    <col min="28" max="28" width="30.6640625" bestFit="1" customWidth="1"/>
    <col min="29" max="29" width="35.33203125" bestFit="1" customWidth="1"/>
    <col min="30" max="30" width="21.33203125" bestFit="1" customWidth="1"/>
    <col min="31" max="31" width="28.6640625" bestFit="1" customWidth="1"/>
    <col min="32" max="33" width="27.83203125" bestFit="1" customWidth="1"/>
    <col min="34" max="34" width="24.5" bestFit="1" customWidth="1"/>
    <col min="35" max="35" width="31.6640625" bestFit="1" customWidth="1"/>
    <col min="36" max="36" width="24.5" bestFit="1" customWidth="1"/>
    <col min="37" max="37" width="29.1640625" bestFit="1" customWidth="1"/>
    <col min="38" max="38" width="24.5" bestFit="1" customWidth="1"/>
    <col min="39" max="39" width="25" bestFit="1" customWidth="1"/>
    <col min="40" max="40" width="27" bestFit="1" customWidth="1"/>
    <col min="41" max="41" width="29.6640625" bestFit="1" customWidth="1"/>
    <col min="42" max="42" width="31.6640625" bestFit="1" customWidth="1"/>
    <col min="43" max="43" width="27.6640625" bestFit="1" customWidth="1"/>
    <col min="44" max="44" width="19.83203125" bestFit="1" customWidth="1"/>
    <col min="45" max="45" width="19.6640625" bestFit="1" customWidth="1"/>
    <col min="46" max="46" width="27.83203125" bestFit="1" customWidth="1"/>
    <col min="47" max="47" width="31" bestFit="1" customWidth="1"/>
    <col min="48" max="48" width="26.5" bestFit="1" customWidth="1"/>
    <col min="49" max="49" width="19.1640625" style="1" bestFit="1" customWidth="1"/>
    <col min="50" max="50" width="36.1640625" bestFit="1" customWidth="1"/>
    <col min="51" max="51" width="28.5" bestFit="1" customWidth="1"/>
    <col min="52" max="52" width="29.1640625" bestFit="1" customWidth="1"/>
    <col min="53" max="53" width="24.83203125" bestFit="1" customWidth="1"/>
    <col min="54" max="54" width="28.83203125" bestFit="1" customWidth="1"/>
    <col min="55" max="55" width="25.33203125" bestFit="1" customWidth="1"/>
    <col min="56" max="56" width="26.83203125" bestFit="1" customWidth="1"/>
    <col min="57" max="57" width="23" bestFit="1" customWidth="1"/>
    <col min="58" max="58" width="27.6640625" bestFit="1" customWidth="1"/>
  </cols>
  <sheetData>
    <row r="1" spans="1:58" ht="19" x14ac:dyDescent="0.25">
      <c r="A1" s="3" t="s">
        <v>55</v>
      </c>
      <c r="B1" s="4" t="s">
        <v>54</v>
      </c>
      <c r="C1" s="3" t="s">
        <v>56</v>
      </c>
      <c r="D1" s="4" t="s">
        <v>57</v>
      </c>
      <c r="E1" s="4" t="s">
        <v>58</v>
      </c>
      <c r="F1" s="4" t="s">
        <v>59</v>
      </c>
      <c r="G1" s="4" t="s">
        <v>60</v>
      </c>
      <c r="H1" s="4" t="s">
        <v>61</v>
      </c>
      <c r="I1" s="4" t="s">
        <v>62</v>
      </c>
      <c r="J1" s="4" t="s">
        <v>63</v>
      </c>
      <c r="K1" s="4" t="s">
        <v>64</v>
      </c>
      <c r="L1" s="5" t="s">
        <v>65</v>
      </c>
      <c r="M1" s="3" t="s">
        <v>66</v>
      </c>
      <c r="N1" s="4" t="s">
        <v>67</v>
      </c>
      <c r="O1" s="4" t="s">
        <v>68</v>
      </c>
      <c r="P1" s="4" t="s">
        <v>69</v>
      </c>
      <c r="Q1" s="3" t="s">
        <v>70</v>
      </c>
      <c r="R1" s="3" t="s">
        <v>71</v>
      </c>
      <c r="S1" s="3" t="s">
        <v>72</v>
      </c>
      <c r="T1" s="3" t="s">
        <v>73</v>
      </c>
      <c r="U1" s="3" t="s">
        <v>74</v>
      </c>
      <c r="V1" s="3" t="s">
        <v>75</v>
      </c>
      <c r="W1" s="3" t="s">
        <v>76</v>
      </c>
      <c r="X1" s="3" t="s">
        <v>77</v>
      </c>
      <c r="Y1" s="3" t="s">
        <v>78</v>
      </c>
      <c r="Z1" s="3" t="s">
        <v>79</v>
      </c>
      <c r="AA1" s="5" t="s">
        <v>80</v>
      </c>
      <c r="AB1" s="3" t="s">
        <v>81</v>
      </c>
      <c r="AC1" s="3" t="s">
        <v>82</v>
      </c>
      <c r="AD1" s="3" t="s">
        <v>83</v>
      </c>
      <c r="AE1" s="3" t="s">
        <v>84</v>
      </c>
      <c r="AF1" s="3" t="s">
        <v>85</v>
      </c>
      <c r="AG1" s="3" t="s">
        <v>86</v>
      </c>
      <c r="AH1" s="3" t="s">
        <v>87</v>
      </c>
      <c r="AI1" s="3" t="s">
        <v>88</v>
      </c>
      <c r="AJ1" s="3" t="s">
        <v>89</v>
      </c>
      <c r="AK1" s="3" t="s">
        <v>90</v>
      </c>
      <c r="AL1" s="3" t="s">
        <v>91</v>
      </c>
      <c r="AM1" s="3" t="s">
        <v>92</v>
      </c>
      <c r="AN1" s="3" t="s">
        <v>93</v>
      </c>
      <c r="AO1" s="3" t="s">
        <v>95</v>
      </c>
      <c r="AP1" s="3" t="s">
        <v>94</v>
      </c>
      <c r="AQ1" s="3" t="s">
        <v>96</v>
      </c>
      <c r="AR1" s="3" t="s">
        <v>97</v>
      </c>
      <c r="AS1" s="3" t="s">
        <v>98</v>
      </c>
      <c r="AT1" s="4" t="s">
        <v>99</v>
      </c>
      <c r="AU1" s="6" t="s">
        <v>100</v>
      </c>
      <c r="AV1" s="3" t="s">
        <v>101</v>
      </c>
      <c r="AW1" s="7" t="s">
        <v>102</v>
      </c>
      <c r="AX1" s="5" t="s">
        <v>103</v>
      </c>
      <c r="AY1" s="4" t="s">
        <v>104</v>
      </c>
      <c r="AZ1" s="4" t="s">
        <v>105</v>
      </c>
      <c r="BA1" s="4" t="s">
        <v>106</v>
      </c>
      <c r="BB1" s="4" t="s">
        <v>107</v>
      </c>
      <c r="BC1" s="4" t="s">
        <v>108</v>
      </c>
      <c r="BD1" s="3" t="s">
        <v>109</v>
      </c>
      <c r="BE1" s="4" t="s">
        <v>110</v>
      </c>
      <c r="BF1" s="6" t="s">
        <v>111</v>
      </c>
    </row>
    <row r="2" spans="1:58" hidden="1" x14ac:dyDescent="0.2">
      <c r="A2">
        <v>1</v>
      </c>
      <c r="B2" t="s">
        <v>0</v>
      </c>
      <c r="C2">
        <v>51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I2" t="s">
        <v>112</v>
      </c>
      <c r="J2" t="s">
        <v>6</v>
      </c>
      <c r="K2" t="s">
        <v>7</v>
      </c>
      <c r="L2">
        <v>7.2</v>
      </c>
      <c r="M2">
        <v>7.7</v>
      </c>
      <c r="N2" t="s">
        <v>8</v>
      </c>
      <c r="O2" t="s">
        <v>7</v>
      </c>
      <c r="P2" t="s">
        <v>9</v>
      </c>
      <c r="Q2">
        <v>3</v>
      </c>
      <c r="R2">
        <v>8</v>
      </c>
      <c r="S2">
        <v>20.8</v>
      </c>
      <c r="T2">
        <v>148</v>
      </c>
      <c r="U2">
        <v>86</v>
      </c>
      <c r="V2">
        <v>8107</v>
      </c>
      <c r="W2">
        <v>49.9</v>
      </c>
      <c r="X2">
        <v>3</v>
      </c>
      <c r="Y2">
        <v>4</v>
      </c>
      <c r="Z2">
        <v>7</v>
      </c>
      <c r="AA2">
        <v>4.3</v>
      </c>
      <c r="AB2">
        <v>0</v>
      </c>
      <c r="AC2">
        <v>5</v>
      </c>
      <c r="AD2">
        <v>1</v>
      </c>
      <c r="AE2">
        <v>3</v>
      </c>
      <c r="AF2">
        <v>42</v>
      </c>
      <c r="AG2">
        <v>28</v>
      </c>
      <c r="AH2">
        <v>28</v>
      </c>
      <c r="AI2">
        <v>5</v>
      </c>
      <c r="AJ2">
        <v>12</v>
      </c>
      <c r="AK2">
        <v>12</v>
      </c>
      <c r="AL2">
        <v>4</v>
      </c>
      <c r="AM2">
        <v>1</v>
      </c>
      <c r="AN2">
        <v>2</v>
      </c>
      <c r="AO2">
        <v>1</v>
      </c>
      <c r="AP2">
        <v>1</v>
      </c>
      <c r="AQ2">
        <v>2</v>
      </c>
      <c r="AR2">
        <v>374</v>
      </c>
      <c r="AS2">
        <v>647</v>
      </c>
      <c r="AT2" t="s">
        <v>7</v>
      </c>
      <c r="AU2">
        <v>0.34</v>
      </c>
      <c r="AV2">
        <v>2015</v>
      </c>
      <c r="AW2" s="1">
        <v>45963</v>
      </c>
      <c r="AX2">
        <v>5</v>
      </c>
      <c r="AY2" t="s">
        <v>10</v>
      </c>
      <c r="AZ2" t="s">
        <v>11</v>
      </c>
      <c r="BA2" t="s">
        <v>12</v>
      </c>
      <c r="BB2" t="s">
        <v>13</v>
      </c>
      <c r="BC2" t="s">
        <v>7</v>
      </c>
      <c r="BD2">
        <v>0</v>
      </c>
      <c r="BE2" t="s">
        <v>14</v>
      </c>
      <c r="BF2">
        <v>7.83</v>
      </c>
    </row>
    <row r="3" spans="1:58" hidden="1" x14ac:dyDescent="0.2">
      <c r="A3">
        <v>2</v>
      </c>
      <c r="B3" t="s">
        <v>0</v>
      </c>
      <c r="C3">
        <v>64</v>
      </c>
      <c r="D3" t="s">
        <v>1</v>
      </c>
      <c r="E3" t="s">
        <v>126</v>
      </c>
      <c r="F3" t="s">
        <v>15</v>
      </c>
      <c r="G3" t="s">
        <v>16</v>
      </c>
      <c r="H3" t="s">
        <v>118</v>
      </c>
      <c r="I3" t="s">
        <v>17</v>
      </c>
      <c r="J3" t="s">
        <v>18</v>
      </c>
      <c r="K3" t="s">
        <v>7</v>
      </c>
      <c r="L3">
        <v>10.9</v>
      </c>
      <c r="M3">
        <v>8.6</v>
      </c>
      <c r="N3" t="s">
        <v>120</v>
      </c>
      <c r="O3" t="s">
        <v>7</v>
      </c>
      <c r="P3" t="s">
        <v>9</v>
      </c>
      <c r="Q3">
        <v>1</v>
      </c>
      <c r="R3">
        <v>1</v>
      </c>
      <c r="S3">
        <v>23.5</v>
      </c>
      <c r="T3">
        <v>133</v>
      </c>
      <c r="U3">
        <v>84</v>
      </c>
      <c r="V3">
        <v>8059</v>
      </c>
      <c r="W3">
        <v>15.6</v>
      </c>
      <c r="X3">
        <v>0</v>
      </c>
      <c r="Y3">
        <v>5</v>
      </c>
      <c r="Z3">
        <v>10</v>
      </c>
      <c r="AA3">
        <v>4.7</v>
      </c>
      <c r="AB3">
        <v>2</v>
      </c>
      <c r="AC3">
        <v>74</v>
      </c>
      <c r="AD3">
        <v>5</v>
      </c>
      <c r="AE3">
        <v>3</v>
      </c>
      <c r="AF3">
        <v>78</v>
      </c>
      <c r="AG3">
        <v>54</v>
      </c>
      <c r="AH3">
        <v>68</v>
      </c>
      <c r="AI3">
        <v>15</v>
      </c>
      <c r="AJ3">
        <v>18</v>
      </c>
      <c r="AK3">
        <v>10</v>
      </c>
      <c r="AL3">
        <v>11</v>
      </c>
      <c r="AM3">
        <v>1</v>
      </c>
      <c r="AN3">
        <v>31</v>
      </c>
      <c r="AO3">
        <v>19</v>
      </c>
      <c r="AP3">
        <v>16</v>
      </c>
      <c r="AQ3">
        <v>19</v>
      </c>
      <c r="AR3">
        <v>2585</v>
      </c>
      <c r="AS3">
        <v>3511</v>
      </c>
      <c r="AT3" t="s">
        <v>7</v>
      </c>
      <c r="AU3">
        <v>0.56000000000000005</v>
      </c>
      <c r="AV3">
        <v>2018</v>
      </c>
      <c r="AW3" s="1">
        <v>45738</v>
      </c>
      <c r="AX3">
        <v>14.8</v>
      </c>
      <c r="AY3" t="s">
        <v>19</v>
      </c>
      <c r="AZ3" t="s">
        <v>20</v>
      </c>
      <c r="BA3" t="s">
        <v>21</v>
      </c>
      <c r="BB3" t="s">
        <v>7</v>
      </c>
      <c r="BC3" t="s">
        <v>7</v>
      </c>
      <c r="BD3">
        <v>3</v>
      </c>
      <c r="BE3" t="s">
        <v>14</v>
      </c>
      <c r="BF3">
        <v>1.43</v>
      </c>
    </row>
    <row r="4" spans="1:58" hidden="1" x14ac:dyDescent="0.2">
      <c r="A4">
        <v>3</v>
      </c>
      <c r="B4" t="s">
        <v>0</v>
      </c>
      <c r="C4">
        <v>41</v>
      </c>
      <c r="D4" t="s">
        <v>1</v>
      </c>
      <c r="E4" t="s">
        <v>22</v>
      </c>
      <c r="F4" t="s">
        <v>15</v>
      </c>
      <c r="G4" t="s">
        <v>16</v>
      </c>
      <c r="H4" t="s">
        <v>23</v>
      </c>
      <c r="I4" t="s">
        <v>112</v>
      </c>
      <c r="J4" t="s">
        <v>123</v>
      </c>
      <c r="K4" t="s">
        <v>7</v>
      </c>
      <c r="L4">
        <v>5</v>
      </c>
      <c r="M4">
        <v>6.7</v>
      </c>
      <c r="N4" t="s">
        <v>8</v>
      </c>
      <c r="O4" t="s">
        <v>7</v>
      </c>
      <c r="P4" t="s">
        <v>9</v>
      </c>
      <c r="Q4">
        <v>4</v>
      </c>
      <c r="R4">
        <v>10</v>
      </c>
      <c r="S4">
        <v>28.6</v>
      </c>
      <c r="T4">
        <v>135</v>
      </c>
      <c r="U4">
        <v>88</v>
      </c>
      <c r="V4">
        <v>7872</v>
      </c>
      <c r="W4">
        <v>31.8</v>
      </c>
      <c r="X4">
        <v>4</v>
      </c>
      <c r="Y4">
        <v>5</v>
      </c>
      <c r="Z4">
        <v>14</v>
      </c>
      <c r="AA4">
        <v>1.5</v>
      </c>
      <c r="AB4">
        <v>2</v>
      </c>
      <c r="AC4">
        <v>5</v>
      </c>
      <c r="AD4">
        <v>1</v>
      </c>
      <c r="AE4">
        <v>7</v>
      </c>
      <c r="AF4">
        <v>29</v>
      </c>
      <c r="AG4">
        <v>26</v>
      </c>
      <c r="AH4">
        <v>25</v>
      </c>
      <c r="AI4">
        <v>6</v>
      </c>
      <c r="AJ4">
        <v>12</v>
      </c>
      <c r="AK4">
        <v>13</v>
      </c>
      <c r="AL4">
        <v>4</v>
      </c>
      <c r="AM4">
        <v>0</v>
      </c>
      <c r="AN4">
        <v>3</v>
      </c>
      <c r="AO4">
        <v>1</v>
      </c>
      <c r="AP4">
        <v>1</v>
      </c>
      <c r="AQ4">
        <v>1</v>
      </c>
      <c r="AR4">
        <v>3414</v>
      </c>
      <c r="AS4">
        <v>6761</v>
      </c>
      <c r="AT4" t="s">
        <v>7</v>
      </c>
      <c r="AU4">
        <v>0.73</v>
      </c>
      <c r="AV4">
        <v>2011</v>
      </c>
      <c r="AW4" s="1">
        <v>45879</v>
      </c>
      <c r="AX4">
        <v>5</v>
      </c>
      <c r="AY4" t="s">
        <v>10</v>
      </c>
      <c r="AZ4" t="s">
        <v>17</v>
      </c>
      <c r="BA4" t="s">
        <v>21</v>
      </c>
      <c r="BB4" t="s">
        <v>13</v>
      </c>
      <c r="BC4" t="s">
        <v>13</v>
      </c>
      <c r="BD4">
        <v>1</v>
      </c>
      <c r="BE4" t="s">
        <v>14</v>
      </c>
      <c r="BF4">
        <v>9.67</v>
      </c>
    </row>
    <row r="5" spans="1:58" hidden="1" x14ac:dyDescent="0.2">
      <c r="A5">
        <v>4</v>
      </c>
      <c r="B5" t="s">
        <v>0</v>
      </c>
      <c r="C5">
        <v>27</v>
      </c>
      <c r="D5" t="s">
        <v>124</v>
      </c>
      <c r="E5" t="s">
        <v>127</v>
      </c>
      <c r="F5" t="s">
        <v>15</v>
      </c>
      <c r="G5" t="s">
        <v>16</v>
      </c>
      <c r="H5" t="s">
        <v>24</v>
      </c>
      <c r="I5" t="s">
        <v>113</v>
      </c>
      <c r="J5" t="s">
        <v>123</v>
      </c>
      <c r="K5" t="s">
        <v>7</v>
      </c>
      <c r="L5">
        <v>10.6</v>
      </c>
      <c r="M5">
        <v>6.5</v>
      </c>
      <c r="N5" t="s">
        <v>25</v>
      </c>
      <c r="O5" t="s">
        <v>13</v>
      </c>
      <c r="P5" t="s">
        <v>26</v>
      </c>
      <c r="Q5">
        <v>18</v>
      </c>
      <c r="R5">
        <v>1</v>
      </c>
      <c r="S5">
        <v>22.5</v>
      </c>
      <c r="T5">
        <v>105</v>
      </c>
      <c r="U5">
        <v>73</v>
      </c>
      <c r="V5">
        <v>7801</v>
      </c>
      <c r="W5">
        <v>43.4</v>
      </c>
      <c r="X5">
        <v>2</v>
      </c>
      <c r="Y5">
        <v>3</v>
      </c>
      <c r="Z5">
        <v>13</v>
      </c>
      <c r="AA5">
        <v>3.3</v>
      </c>
      <c r="AB5">
        <v>4</v>
      </c>
      <c r="AC5">
        <v>233</v>
      </c>
      <c r="AD5">
        <v>9</v>
      </c>
      <c r="AE5">
        <v>5</v>
      </c>
      <c r="AF5">
        <v>241</v>
      </c>
      <c r="AG5">
        <v>109</v>
      </c>
      <c r="AH5">
        <v>132</v>
      </c>
      <c r="AI5">
        <v>36</v>
      </c>
      <c r="AJ5">
        <v>31</v>
      </c>
      <c r="AK5">
        <v>32</v>
      </c>
      <c r="AL5">
        <v>33</v>
      </c>
      <c r="AM5">
        <v>3</v>
      </c>
      <c r="AN5">
        <v>108</v>
      </c>
      <c r="AO5">
        <v>64</v>
      </c>
      <c r="AP5">
        <v>52</v>
      </c>
      <c r="AQ5">
        <v>64</v>
      </c>
      <c r="AR5">
        <v>617</v>
      </c>
      <c r="AS5">
        <v>1193</v>
      </c>
      <c r="AT5" t="s">
        <v>7</v>
      </c>
      <c r="AU5">
        <v>0.73</v>
      </c>
      <c r="AV5">
        <v>2019</v>
      </c>
      <c r="AW5" s="1">
        <v>45747</v>
      </c>
      <c r="AX5">
        <v>25.9</v>
      </c>
      <c r="AY5" t="s">
        <v>27</v>
      </c>
      <c r="AZ5" t="s">
        <v>11</v>
      </c>
      <c r="BA5" t="s">
        <v>12</v>
      </c>
      <c r="BB5" t="s">
        <v>7</v>
      </c>
      <c r="BC5" t="s">
        <v>7</v>
      </c>
      <c r="BD5">
        <v>1</v>
      </c>
      <c r="BE5" t="s">
        <v>14</v>
      </c>
      <c r="BF5">
        <v>0.94</v>
      </c>
    </row>
    <row r="6" spans="1:58" hidden="1" x14ac:dyDescent="0.2">
      <c r="A6">
        <v>5</v>
      </c>
      <c r="B6" t="s">
        <v>0</v>
      </c>
      <c r="C6">
        <v>55</v>
      </c>
      <c r="D6" t="s">
        <v>28</v>
      </c>
      <c r="E6" t="s">
        <v>2</v>
      </c>
      <c r="F6" t="s">
        <v>15</v>
      </c>
      <c r="G6" t="s">
        <v>116</v>
      </c>
      <c r="H6" t="s">
        <v>118</v>
      </c>
      <c r="I6" t="s">
        <v>112</v>
      </c>
      <c r="J6" t="s">
        <v>6</v>
      </c>
      <c r="K6" t="s">
        <v>7</v>
      </c>
      <c r="L6">
        <v>7.7</v>
      </c>
      <c r="M6">
        <v>6.8</v>
      </c>
      <c r="N6" t="s">
        <v>29</v>
      </c>
      <c r="O6" t="s">
        <v>7</v>
      </c>
      <c r="P6" t="s">
        <v>26</v>
      </c>
      <c r="Q6">
        <v>19</v>
      </c>
      <c r="R6">
        <v>1</v>
      </c>
      <c r="S6">
        <v>28.1</v>
      </c>
      <c r="T6">
        <v>146</v>
      </c>
      <c r="U6">
        <v>90</v>
      </c>
      <c r="V6">
        <v>8005</v>
      </c>
      <c r="W6">
        <v>50.2</v>
      </c>
      <c r="X6">
        <v>2</v>
      </c>
      <c r="Y6">
        <v>2</v>
      </c>
      <c r="Z6">
        <v>12</v>
      </c>
      <c r="AA6">
        <v>4.5</v>
      </c>
      <c r="AB6">
        <v>3</v>
      </c>
      <c r="AC6">
        <v>184</v>
      </c>
      <c r="AD6">
        <v>14</v>
      </c>
      <c r="AE6">
        <v>5</v>
      </c>
      <c r="AF6">
        <v>146</v>
      </c>
      <c r="AG6">
        <v>113</v>
      </c>
      <c r="AH6">
        <v>103</v>
      </c>
      <c r="AI6">
        <v>36</v>
      </c>
      <c r="AJ6">
        <v>29</v>
      </c>
      <c r="AK6">
        <v>37</v>
      </c>
      <c r="AL6">
        <v>20</v>
      </c>
      <c r="AM6">
        <v>5</v>
      </c>
      <c r="AN6">
        <v>78</v>
      </c>
      <c r="AO6">
        <v>55</v>
      </c>
      <c r="AP6">
        <v>22</v>
      </c>
      <c r="AQ6">
        <v>55</v>
      </c>
      <c r="AR6">
        <v>1157</v>
      </c>
      <c r="AS6">
        <v>1072</v>
      </c>
      <c r="AT6" t="s">
        <v>13</v>
      </c>
      <c r="AU6">
        <v>0.65</v>
      </c>
      <c r="AV6">
        <v>2017</v>
      </c>
      <c r="AW6" s="1">
        <v>45735</v>
      </c>
      <c r="AX6">
        <v>13.1</v>
      </c>
      <c r="AY6" t="s">
        <v>30</v>
      </c>
      <c r="AZ6" t="s">
        <v>31</v>
      </c>
      <c r="BA6" t="s">
        <v>21</v>
      </c>
      <c r="BB6" t="s">
        <v>13</v>
      </c>
      <c r="BC6" t="s">
        <v>7</v>
      </c>
      <c r="BD6">
        <v>0</v>
      </c>
      <c r="BE6" t="s">
        <v>14</v>
      </c>
      <c r="BF6">
        <v>1.03</v>
      </c>
    </row>
    <row r="7" spans="1:58" hidden="1" x14ac:dyDescent="0.2">
      <c r="A7">
        <v>6</v>
      </c>
      <c r="B7" t="s">
        <v>0</v>
      </c>
      <c r="C7">
        <v>20</v>
      </c>
      <c r="D7" t="s">
        <v>28</v>
      </c>
      <c r="E7" t="s">
        <v>128</v>
      </c>
      <c r="F7" t="s">
        <v>3</v>
      </c>
      <c r="G7" t="s">
        <v>16</v>
      </c>
      <c r="H7" t="s">
        <v>118</v>
      </c>
      <c r="I7" t="s">
        <v>112</v>
      </c>
      <c r="J7" t="s">
        <v>32</v>
      </c>
      <c r="K7" t="s">
        <v>13</v>
      </c>
      <c r="L7">
        <v>5.2</v>
      </c>
      <c r="M7">
        <v>5.8</v>
      </c>
      <c r="N7" t="s">
        <v>25</v>
      </c>
      <c r="O7" t="s">
        <v>7</v>
      </c>
      <c r="P7" t="s">
        <v>121</v>
      </c>
      <c r="Q7">
        <v>1</v>
      </c>
      <c r="R7">
        <v>3</v>
      </c>
      <c r="S7">
        <v>25.7</v>
      </c>
      <c r="T7">
        <v>138</v>
      </c>
      <c r="U7">
        <v>71</v>
      </c>
      <c r="V7">
        <v>7964</v>
      </c>
      <c r="W7">
        <v>36.200000000000003</v>
      </c>
      <c r="X7">
        <v>4</v>
      </c>
      <c r="Y7">
        <v>3</v>
      </c>
      <c r="Z7">
        <v>7</v>
      </c>
      <c r="AA7">
        <v>4.7</v>
      </c>
      <c r="AB7">
        <v>1</v>
      </c>
      <c r="AC7">
        <v>49</v>
      </c>
      <c r="AD7">
        <v>3</v>
      </c>
      <c r="AE7">
        <v>3</v>
      </c>
      <c r="AF7">
        <v>150</v>
      </c>
      <c r="AG7">
        <v>41</v>
      </c>
      <c r="AH7">
        <v>55</v>
      </c>
      <c r="AI7">
        <v>9</v>
      </c>
      <c r="AJ7">
        <v>13</v>
      </c>
      <c r="AK7">
        <v>13</v>
      </c>
      <c r="AL7">
        <v>16</v>
      </c>
      <c r="AM7">
        <v>3</v>
      </c>
      <c r="AN7">
        <v>29</v>
      </c>
      <c r="AO7">
        <v>6</v>
      </c>
      <c r="AP7">
        <v>12</v>
      </c>
      <c r="AQ7">
        <v>13</v>
      </c>
      <c r="AR7">
        <v>259</v>
      </c>
      <c r="AS7">
        <v>534</v>
      </c>
      <c r="AT7" t="s">
        <v>7</v>
      </c>
      <c r="AU7">
        <v>0.13</v>
      </c>
      <c r="AV7">
        <v>2013</v>
      </c>
      <c r="AW7" s="1">
        <v>45697</v>
      </c>
      <c r="AX7">
        <v>16.3</v>
      </c>
      <c r="AY7" t="s">
        <v>19</v>
      </c>
      <c r="AZ7" t="s">
        <v>31</v>
      </c>
      <c r="BA7" t="s">
        <v>122</v>
      </c>
      <c r="BB7" t="s">
        <v>13</v>
      </c>
      <c r="BC7" t="s">
        <v>13</v>
      </c>
      <c r="BD7">
        <v>1</v>
      </c>
      <c r="BE7" t="s">
        <v>14</v>
      </c>
      <c r="BF7">
        <v>1.64</v>
      </c>
    </row>
    <row r="8" spans="1:58" hidden="1" x14ac:dyDescent="0.2">
      <c r="A8">
        <v>7</v>
      </c>
      <c r="B8" t="s">
        <v>0</v>
      </c>
      <c r="C8">
        <v>33</v>
      </c>
      <c r="D8" t="s">
        <v>124</v>
      </c>
      <c r="E8" t="s">
        <v>33</v>
      </c>
      <c r="F8" t="s">
        <v>15</v>
      </c>
      <c r="G8" t="s">
        <v>117</v>
      </c>
      <c r="H8" t="s">
        <v>34</v>
      </c>
      <c r="I8" t="s">
        <v>114</v>
      </c>
      <c r="J8" t="s">
        <v>123</v>
      </c>
      <c r="K8" t="s">
        <v>7</v>
      </c>
      <c r="L8">
        <v>6.5</v>
      </c>
      <c r="M8">
        <v>7.7</v>
      </c>
      <c r="N8" t="s">
        <v>25</v>
      </c>
      <c r="O8" t="s">
        <v>7</v>
      </c>
      <c r="P8" t="s">
        <v>26</v>
      </c>
      <c r="Q8">
        <v>23</v>
      </c>
      <c r="R8">
        <v>10</v>
      </c>
      <c r="S8">
        <v>24.5</v>
      </c>
      <c r="T8">
        <v>114</v>
      </c>
      <c r="U8">
        <v>72</v>
      </c>
      <c r="V8">
        <v>7861</v>
      </c>
      <c r="W8">
        <v>38.5</v>
      </c>
      <c r="X8">
        <v>4</v>
      </c>
      <c r="Y8">
        <v>6</v>
      </c>
      <c r="Z8">
        <v>9</v>
      </c>
      <c r="AA8">
        <v>1.9</v>
      </c>
      <c r="AB8">
        <v>4</v>
      </c>
      <c r="AC8">
        <v>125</v>
      </c>
      <c r="AD8">
        <v>4</v>
      </c>
      <c r="AE8">
        <v>7</v>
      </c>
      <c r="AF8">
        <v>112</v>
      </c>
      <c r="AG8">
        <v>79</v>
      </c>
      <c r="AH8">
        <v>80</v>
      </c>
      <c r="AI8">
        <v>20</v>
      </c>
      <c r="AJ8">
        <v>18</v>
      </c>
      <c r="AK8">
        <v>34</v>
      </c>
      <c r="AL8">
        <v>14</v>
      </c>
      <c r="AM8">
        <v>5</v>
      </c>
      <c r="AN8">
        <v>64</v>
      </c>
      <c r="AO8">
        <v>21</v>
      </c>
      <c r="AP8">
        <v>26</v>
      </c>
      <c r="AQ8">
        <v>44</v>
      </c>
      <c r="AR8">
        <v>4373</v>
      </c>
      <c r="AS8">
        <v>8085</v>
      </c>
      <c r="AT8" t="s">
        <v>7</v>
      </c>
      <c r="AU8">
        <v>0.79</v>
      </c>
      <c r="AV8">
        <v>2012</v>
      </c>
      <c r="AW8" s="1">
        <v>45783</v>
      </c>
      <c r="AX8">
        <v>31.2</v>
      </c>
      <c r="AY8" t="s">
        <v>19</v>
      </c>
      <c r="AZ8" t="s">
        <v>11</v>
      </c>
      <c r="BA8" t="s">
        <v>122</v>
      </c>
      <c r="BB8" t="s">
        <v>13</v>
      </c>
      <c r="BC8" t="s">
        <v>7</v>
      </c>
      <c r="BD8">
        <v>3</v>
      </c>
      <c r="BE8" t="s">
        <v>14</v>
      </c>
      <c r="BF8">
        <v>1.1200000000000001</v>
      </c>
    </row>
    <row r="9" spans="1:58" hidden="1" x14ac:dyDescent="0.2">
      <c r="A9">
        <v>8</v>
      </c>
      <c r="B9" t="s">
        <v>0</v>
      </c>
      <c r="C9">
        <v>51</v>
      </c>
      <c r="D9" t="s">
        <v>1</v>
      </c>
      <c r="E9" t="s">
        <v>126</v>
      </c>
      <c r="F9" t="s">
        <v>15</v>
      </c>
      <c r="G9" t="s">
        <v>16</v>
      </c>
      <c r="H9" t="s">
        <v>118</v>
      </c>
      <c r="I9" t="s">
        <v>17</v>
      </c>
      <c r="J9" t="s">
        <v>6</v>
      </c>
      <c r="K9" t="s">
        <v>13</v>
      </c>
      <c r="L9">
        <v>10.5</v>
      </c>
      <c r="M9">
        <v>7.7</v>
      </c>
      <c r="N9" t="s">
        <v>29</v>
      </c>
      <c r="O9" t="s">
        <v>7</v>
      </c>
      <c r="P9" t="s">
        <v>121</v>
      </c>
      <c r="Q9">
        <v>33</v>
      </c>
      <c r="R9">
        <v>3</v>
      </c>
      <c r="S9">
        <v>20.3</v>
      </c>
      <c r="T9">
        <v>118</v>
      </c>
      <c r="U9">
        <v>85</v>
      </c>
      <c r="V9">
        <v>7932</v>
      </c>
      <c r="W9">
        <v>26</v>
      </c>
      <c r="X9">
        <v>1</v>
      </c>
      <c r="Y9">
        <v>2</v>
      </c>
      <c r="Z9">
        <v>11</v>
      </c>
      <c r="AA9">
        <v>5.7</v>
      </c>
      <c r="AB9">
        <v>3</v>
      </c>
      <c r="AC9">
        <v>282</v>
      </c>
      <c r="AD9">
        <v>14</v>
      </c>
      <c r="AE9">
        <v>5</v>
      </c>
      <c r="AF9">
        <v>227</v>
      </c>
      <c r="AG9">
        <v>144</v>
      </c>
      <c r="AH9">
        <v>158</v>
      </c>
      <c r="AI9">
        <v>50</v>
      </c>
      <c r="AJ9">
        <v>26</v>
      </c>
      <c r="AK9">
        <v>37</v>
      </c>
      <c r="AL9">
        <v>20</v>
      </c>
      <c r="AM9">
        <v>9</v>
      </c>
      <c r="AN9">
        <v>167</v>
      </c>
      <c r="AO9">
        <v>49</v>
      </c>
      <c r="AP9">
        <v>50</v>
      </c>
      <c r="AQ9">
        <v>87</v>
      </c>
      <c r="AR9">
        <v>190</v>
      </c>
      <c r="AS9">
        <v>77</v>
      </c>
      <c r="AT9" t="s">
        <v>7</v>
      </c>
      <c r="AU9">
        <v>0.22</v>
      </c>
      <c r="AV9">
        <v>2014</v>
      </c>
      <c r="AW9" s="1">
        <v>45978</v>
      </c>
      <c r="AX9">
        <v>20.100000000000001</v>
      </c>
      <c r="AY9" t="s">
        <v>30</v>
      </c>
      <c r="AZ9" t="s">
        <v>35</v>
      </c>
      <c r="BA9" t="s">
        <v>21</v>
      </c>
      <c r="BB9" t="s">
        <v>7</v>
      </c>
      <c r="BC9" t="s">
        <v>7</v>
      </c>
      <c r="BD9">
        <v>2</v>
      </c>
      <c r="BE9" t="s">
        <v>14</v>
      </c>
      <c r="BF9">
        <v>0.96</v>
      </c>
    </row>
    <row r="10" spans="1:58" hidden="1" x14ac:dyDescent="0.2">
      <c r="A10">
        <v>9</v>
      </c>
      <c r="B10" t="s">
        <v>0</v>
      </c>
      <c r="C10">
        <v>31</v>
      </c>
      <c r="D10" t="s">
        <v>1</v>
      </c>
      <c r="E10" t="s">
        <v>126</v>
      </c>
      <c r="F10" t="s">
        <v>15</v>
      </c>
      <c r="G10" t="s">
        <v>116</v>
      </c>
      <c r="H10" t="s">
        <v>5</v>
      </c>
      <c r="I10" t="s">
        <v>114</v>
      </c>
      <c r="J10" t="s">
        <v>6</v>
      </c>
      <c r="K10" t="s">
        <v>7</v>
      </c>
      <c r="L10">
        <v>4.2</v>
      </c>
      <c r="M10">
        <v>8.3000000000000007</v>
      </c>
      <c r="N10" t="s">
        <v>25</v>
      </c>
      <c r="O10" t="s">
        <v>7</v>
      </c>
      <c r="P10" t="s">
        <v>9</v>
      </c>
      <c r="Q10">
        <v>12</v>
      </c>
      <c r="R10">
        <v>6</v>
      </c>
      <c r="S10">
        <v>22.2</v>
      </c>
      <c r="T10">
        <v>93</v>
      </c>
      <c r="U10">
        <v>98</v>
      </c>
      <c r="V10">
        <v>8127</v>
      </c>
      <c r="W10">
        <v>27.4</v>
      </c>
      <c r="X10">
        <v>5</v>
      </c>
      <c r="Y10">
        <v>3</v>
      </c>
      <c r="Z10">
        <v>13</v>
      </c>
      <c r="AA10">
        <v>2.2000000000000002</v>
      </c>
      <c r="AB10">
        <v>4</v>
      </c>
      <c r="AC10">
        <v>128</v>
      </c>
      <c r="AD10">
        <v>10</v>
      </c>
      <c r="AE10">
        <v>2</v>
      </c>
      <c r="AF10">
        <v>118</v>
      </c>
      <c r="AG10">
        <v>90</v>
      </c>
      <c r="AH10">
        <v>90</v>
      </c>
      <c r="AI10">
        <v>16</v>
      </c>
      <c r="AJ10">
        <v>20</v>
      </c>
      <c r="AK10">
        <v>18</v>
      </c>
      <c r="AL10">
        <v>23</v>
      </c>
      <c r="AM10">
        <v>2</v>
      </c>
      <c r="AN10">
        <v>64</v>
      </c>
      <c r="AO10">
        <v>38</v>
      </c>
      <c r="AP10">
        <v>31</v>
      </c>
      <c r="AQ10">
        <v>50</v>
      </c>
      <c r="AR10">
        <v>904</v>
      </c>
      <c r="AS10">
        <v>1129</v>
      </c>
      <c r="AT10" t="s">
        <v>7</v>
      </c>
      <c r="AU10">
        <v>0.98</v>
      </c>
      <c r="AV10">
        <v>2011</v>
      </c>
      <c r="AW10" s="1">
        <v>45787</v>
      </c>
      <c r="AX10">
        <v>12.8</v>
      </c>
      <c r="AY10" t="s">
        <v>36</v>
      </c>
      <c r="AZ10" t="s">
        <v>37</v>
      </c>
      <c r="BA10" t="s">
        <v>21</v>
      </c>
      <c r="BB10" t="s">
        <v>13</v>
      </c>
      <c r="BC10" t="s">
        <v>13</v>
      </c>
      <c r="BD10">
        <v>2</v>
      </c>
      <c r="BE10" t="s">
        <v>14</v>
      </c>
      <c r="BF10">
        <v>0.99</v>
      </c>
    </row>
    <row r="11" spans="1:58" hidden="1" x14ac:dyDescent="0.2">
      <c r="A11">
        <v>10</v>
      </c>
      <c r="B11" t="s">
        <v>0</v>
      </c>
      <c r="C11">
        <v>35</v>
      </c>
      <c r="D11" t="s">
        <v>28</v>
      </c>
      <c r="E11" t="s">
        <v>128</v>
      </c>
      <c r="F11" t="s">
        <v>15</v>
      </c>
      <c r="G11" t="s">
        <v>38</v>
      </c>
      <c r="H11" t="s">
        <v>23</v>
      </c>
      <c r="I11" t="s">
        <v>114</v>
      </c>
      <c r="J11" t="s">
        <v>32</v>
      </c>
      <c r="K11" t="s">
        <v>7</v>
      </c>
      <c r="L11">
        <v>2.1</v>
      </c>
      <c r="M11">
        <v>6.5</v>
      </c>
      <c r="N11" t="s">
        <v>39</v>
      </c>
      <c r="O11" t="s">
        <v>7</v>
      </c>
      <c r="P11" t="s">
        <v>9</v>
      </c>
      <c r="Q11">
        <v>25</v>
      </c>
      <c r="R11">
        <v>10</v>
      </c>
      <c r="S11">
        <v>23.3</v>
      </c>
      <c r="T11">
        <v>128</v>
      </c>
      <c r="U11">
        <v>75</v>
      </c>
      <c r="V11">
        <v>8144</v>
      </c>
      <c r="W11">
        <v>37.700000000000003</v>
      </c>
      <c r="X11">
        <v>5</v>
      </c>
      <c r="Y11">
        <v>3</v>
      </c>
      <c r="Z11">
        <v>12</v>
      </c>
      <c r="AA11">
        <v>7</v>
      </c>
      <c r="AB11">
        <v>2</v>
      </c>
      <c r="AC11">
        <v>196</v>
      </c>
      <c r="AD11">
        <v>13</v>
      </c>
      <c r="AE11">
        <v>5</v>
      </c>
      <c r="AF11">
        <v>176</v>
      </c>
      <c r="AG11">
        <v>93</v>
      </c>
      <c r="AH11">
        <v>131</v>
      </c>
      <c r="AI11">
        <v>27</v>
      </c>
      <c r="AJ11">
        <v>22</v>
      </c>
      <c r="AK11">
        <v>30</v>
      </c>
      <c r="AL11">
        <v>24</v>
      </c>
      <c r="AM11">
        <v>1</v>
      </c>
      <c r="AN11">
        <v>115</v>
      </c>
      <c r="AO11">
        <v>34</v>
      </c>
      <c r="AP11">
        <v>27</v>
      </c>
      <c r="AQ11">
        <v>58</v>
      </c>
      <c r="AR11">
        <v>170</v>
      </c>
      <c r="AS11">
        <v>247</v>
      </c>
      <c r="AT11" t="s">
        <v>7</v>
      </c>
      <c r="AU11">
        <v>0.6</v>
      </c>
      <c r="AV11">
        <v>2011</v>
      </c>
      <c r="AW11" s="1">
        <v>45913</v>
      </c>
      <c r="AX11">
        <v>15.1</v>
      </c>
      <c r="AY11" t="s">
        <v>36</v>
      </c>
      <c r="AZ11" t="s">
        <v>11</v>
      </c>
      <c r="BA11" t="s">
        <v>122</v>
      </c>
      <c r="BB11" t="s">
        <v>13</v>
      </c>
      <c r="BC11" t="s">
        <v>7</v>
      </c>
      <c r="BD11">
        <v>1</v>
      </c>
      <c r="BE11" t="s">
        <v>14</v>
      </c>
      <c r="BF11">
        <v>1.02</v>
      </c>
    </row>
    <row r="12" spans="1:58" hidden="1" x14ac:dyDescent="0.2">
      <c r="A12">
        <v>11</v>
      </c>
      <c r="B12" t="s">
        <v>0</v>
      </c>
      <c r="C12">
        <v>23</v>
      </c>
      <c r="D12" t="s">
        <v>28</v>
      </c>
      <c r="E12" t="s">
        <v>2</v>
      </c>
      <c r="F12" t="s">
        <v>40</v>
      </c>
      <c r="G12" t="s">
        <v>38</v>
      </c>
      <c r="H12" t="s">
        <v>118</v>
      </c>
      <c r="I12" t="s">
        <v>112</v>
      </c>
      <c r="J12" t="s">
        <v>123</v>
      </c>
      <c r="K12" t="s">
        <v>13</v>
      </c>
      <c r="L12">
        <v>1.5</v>
      </c>
      <c r="M12">
        <v>6.5</v>
      </c>
      <c r="N12" t="s">
        <v>25</v>
      </c>
      <c r="O12" t="s">
        <v>41</v>
      </c>
      <c r="P12" t="s">
        <v>9</v>
      </c>
      <c r="Q12">
        <v>14</v>
      </c>
      <c r="R12">
        <v>3</v>
      </c>
      <c r="S12">
        <v>22.1</v>
      </c>
      <c r="T12">
        <v>158</v>
      </c>
      <c r="U12">
        <v>95</v>
      </c>
      <c r="V12">
        <v>8009</v>
      </c>
      <c r="W12">
        <v>30.4</v>
      </c>
      <c r="X12">
        <v>2</v>
      </c>
      <c r="Y12">
        <v>5</v>
      </c>
      <c r="Z12">
        <v>8</v>
      </c>
      <c r="AA12">
        <v>2.6</v>
      </c>
      <c r="AB12">
        <v>2</v>
      </c>
      <c r="AC12">
        <v>240</v>
      </c>
      <c r="AD12">
        <v>9</v>
      </c>
      <c r="AE12">
        <v>13</v>
      </c>
      <c r="AF12">
        <v>265</v>
      </c>
      <c r="AG12">
        <v>138</v>
      </c>
      <c r="AH12">
        <v>139</v>
      </c>
      <c r="AI12">
        <v>39</v>
      </c>
      <c r="AJ12">
        <v>28</v>
      </c>
      <c r="AK12">
        <v>33</v>
      </c>
      <c r="AL12">
        <v>21</v>
      </c>
      <c r="AM12">
        <v>5</v>
      </c>
      <c r="AN12">
        <v>113</v>
      </c>
      <c r="AO12">
        <v>56</v>
      </c>
      <c r="AP12">
        <v>28</v>
      </c>
      <c r="AQ12">
        <v>61</v>
      </c>
      <c r="AR12">
        <v>946</v>
      </c>
      <c r="AS12">
        <v>551</v>
      </c>
      <c r="AT12" t="s">
        <v>7</v>
      </c>
      <c r="AU12">
        <v>0.69</v>
      </c>
      <c r="AV12">
        <v>2016</v>
      </c>
      <c r="AW12" s="1">
        <v>45972</v>
      </c>
      <c r="AX12">
        <v>26.7</v>
      </c>
      <c r="AY12" t="s">
        <v>30</v>
      </c>
      <c r="AZ12" t="s">
        <v>11</v>
      </c>
      <c r="BA12" t="s">
        <v>21</v>
      </c>
      <c r="BB12" t="s">
        <v>13</v>
      </c>
      <c r="BC12" t="s">
        <v>7</v>
      </c>
      <c r="BD12">
        <v>2</v>
      </c>
      <c r="BE12" t="s">
        <v>14</v>
      </c>
      <c r="BF12">
        <v>1.06</v>
      </c>
    </row>
    <row r="13" spans="1:58" hidden="1" x14ac:dyDescent="0.2">
      <c r="A13">
        <v>12</v>
      </c>
      <c r="B13" t="s">
        <v>0</v>
      </c>
      <c r="C13">
        <v>23</v>
      </c>
      <c r="D13" t="s">
        <v>28</v>
      </c>
      <c r="E13" t="s">
        <v>128</v>
      </c>
      <c r="F13" t="s">
        <v>15</v>
      </c>
      <c r="G13" t="s">
        <v>4</v>
      </c>
      <c r="H13" t="s">
        <v>118</v>
      </c>
      <c r="I13" t="s">
        <v>112</v>
      </c>
      <c r="J13" t="s">
        <v>18</v>
      </c>
      <c r="K13" t="s">
        <v>13</v>
      </c>
      <c r="L13">
        <v>3.3</v>
      </c>
      <c r="M13">
        <v>7.5</v>
      </c>
      <c r="N13" t="s">
        <v>25</v>
      </c>
      <c r="O13" t="s">
        <v>7</v>
      </c>
      <c r="P13" t="s">
        <v>9</v>
      </c>
      <c r="Q13">
        <v>15</v>
      </c>
      <c r="R13">
        <v>7</v>
      </c>
      <c r="S13">
        <v>21.4</v>
      </c>
      <c r="T13">
        <v>149</v>
      </c>
      <c r="U13">
        <v>74</v>
      </c>
      <c r="V13">
        <v>7925</v>
      </c>
      <c r="W13">
        <v>57.2</v>
      </c>
      <c r="X13">
        <v>3</v>
      </c>
      <c r="Y13">
        <v>2</v>
      </c>
      <c r="Z13">
        <v>13</v>
      </c>
      <c r="AA13">
        <v>1.2</v>
      </c>
      <c r="AB13">
        <v>2</v>
      </c>
      <c r="AC13">
        <v>123</v>
      </c>
      <c r="AD13">
        <v>5</v>
      </c>
      <c r="AE13">
        <v>9</v>
      </c>
      <c r="AF13">
        <v>161</v>
      </c>
      <c r="AG13">
        <v>74</v>
      </c>
      <c r="AH13">
        <v>78</v>
      </c>
      <c r="AI13">
        <v>22</v>
      </c>
      <c r="AJ13">
        <v>22</v>
      </c>
      <c r="AK13">
        <v>18</v>
      </c>
      <c r="AL13">
        <v>11</v>
      </c>
      <c r="AM13">
        <v>3</v>
      </c>
      <c r="AN13">
        <v>68</v>
      </c>
      <c r="AO13">
        <v>23</v>
      </c>
      <c r="AP13">
        <v>17</v>
      </c>
      <c r="AQ13">
        <v>48</v>
      </c>
      <c r="AR13">
        <v>944</v>
      </c>
      <c r="AS13">
        <v>1488</v>
      </c>
      <c r="AT13" t="s">
        <v>7</v>
      </c>
      <c r="AU13">
        <v>0.41</v>
      </c>
      <c r="AV13">
        <v>2012</v>
      </c>
      <c r="AW13" s="1">
        <v>45772</v>
      </c>
      <c r="AX13">
        <v>24.6</v>
      </c>
      <c r="AY13" t="s">
        <v>10</v>
      </c>
      <c r="AZ13" t="s">
        <v>37</v>
      </c>
      <c r="BA13" t="s">
        <v>122</v>
      </c>
      <c r="BB13" t="s">
        <v>13</v>
      </c>
      <c r="BC13" t="s">
        <v>13</v>
      </c>
      <c r="BD13">
        <v>0</v>
      </c>
      <c r="BE13" t="s">
        <v>14</v>
      </c>
      <c r="BF13">
        <v>1.2</v>
      </c>
    </row>
    <row r="14" spans="1:58" hidden="1" x14ac:dyDescent="0.2">
      <c r="A14">
        <v>13</v>
      </c>
      <c r="B14" t="s">
        <v>0</v>
      </c>
      <c r="C14">
        <v>36</v>
      </c>
      <c r="D14" t="s">
        <v>1</v>
      </c>
      <c r="E14" t="s">
        <v>42</v>
      </c>
      <c r="F14" t="s">
        <v>15</v>
      </c>
      <c r="G14" t="s">
        <v>16</v>
      </c>
      <c r="H14" t="s">
        <v>118</v>
      </c>
      <c r="I14" t="s">
        <v>115</v>
      </c>
      <c r="J14" t="s">
        <v>6</v>
      </c>
      <c r="K14" t="s">
        <v>13</v>
      </c>
      <c r="L14">
        <v>10.1</v>
      </c>
      <c r="M14">
        <v>6.6</v>
      </c>
      <c r="N14" t="s">
        <v>120</v>
      </c>
      <c r="O14" t="s">
        <v>7</v>
      </c>
      <c r="P14" t="s">
        <v>26</v>
      </c>
      <c r="Q14">
        <v>7</v>
      </c>
      <c r="R14">
        <v>10</v>
      </c>
      <c r="S14">
        <v>24.3</v>
      </c>
      <c r="T14">
        <v>129</v>
      </c>
      <c r="U14">
        <v>80</v>
      </c>
      <c r="V14">
        <v>8006</v>
      </c>
      <c r="W14">
        <v>34.700000000000003</v>
      </c>
      <c r="X14">
        <v>4</v>
      </c>
      <c r="Y14">
        <v>3</v>
      </c>
      <c r="Z14">
        <v>12</v>
      </c>
      <c r="AA14">
        <v>1.8</v>
      </c>
      <c r="AB14">
        <v>1</v>
      </c>
      <c r="AC14">
        <v>5</v>
      </c>
      <c r="AD14">
        <v>1</v>
      </c>
      <c r="AE14">
        <v>3</v>
      </c>
      <c r="AF14">
        <v>50</v>
      </c>
      <c r="AG14">
        <v>23</v>
      </c>
      <c r="AH14">
        <v>18</v>
      </c>
      <c r="AI14">
        <v>8</v>
      </c>
      <c r="AJ14">
        <v>13</v>
      </c>
      <c r="AK14">
        <v>12</v>
      </c>
      <c r="AL14">
        <v>3</v>
      </c>
      <c r="AM14">
        <v>2</v>
      </c>
      <c r="AN14">
        <v>3</v>
      </c>
      <c r="AO14">
        <v>1</v>
      </c>
      <c r="AP14">
        <v>1</v>
      </c>
      <c r="AQ14">
        <v>2</v>
      </c>
      <c r="AR14">
        <v>386</v>
      </c>
      <c r="AS14">
        <v>792</v>
      </c>
      <c r="AT14" t="s">
        <v>7</v>
      </c>
      <c r="AU14">
        <v>0.89</v>
      </c>
      <c r="AV14">
        <v>2021</v>
      </c>
      <c r="AW14" s="1">
        <v>45680</v>
      </c>
      <c r="AX14">
        <v>5</v>
      </c>
      <c r="AY14" t="s">
        <v>10</v>
      </c>
      <c r="AZ14" t="s">
        <v>20</v>
      </c>
      <c r="BA14" t="s">
        <v>21</v>
      </c>
      <c r="BB14" t="s">
        <v>7</v>
      </c>
      <c r="BC14" t="s">
        <v>13</v>
      </c>
      <c r="BD14">
        <v>2</v>
      </c>
      <c r="BE14" t="s">
        <v>43</v>
      </c>
      <c r="BF14">
        <v>7.17</v>
      </c>
    </row>
    <row r="15" spans="1:58" hidden="1" x14ac:dyDescent="0.2">
      <c r="A15">
        <v>14</v>
      </c>
      <c r="B15" t="s">
        <v>0</v>
      </c>
      <c r="C15">
        <v>65</v>
      </c>
      <c r="D15" t="s">
        <v>28</v>
      </c>
      <c r="E15" t="s">
        <v>33</v>
      </c>
      <c r="F15" t="s">
        <v>15</v>
      </c>
      <c r="G15" t="s">
        <v>16</v>
      </c>
      <c r="H15" t="s">
        <v>118</v>
      </c>
      <c r="I15" t="s">
        <v>114</v>
      </c>
      <c r="J15" t="s">
        <v>44</v>
      </c>
      <c r="K15" t="s">
        <v>7</v>
      </c>
      <c r="L15">
        <v>8.6999999999999993</v>
      </c>
      <c r="M15">
        <v>7.3</v>
      </c>
      <c r="N15" t="s">
        <v>29</v>
      </c>
      <c r="O15" t="s">
        <v>7</v>
      </c>
      <c r="P15" t="s">
        <v>26</v>
      </c>
      <c r="Q15">
        <v>7</v>
      </c>
      <c r="R15">
        <v>8</v>
      </c>
      <c r="S15">
        <v>24.5</v>
      </c>
      <c r="T15">
        <v>120</v>
      </c>
      <c r="U15">
        <v>69</v>
      </c>
      <c r="V15">
        <v>8120</v>
      </c>
      <c r="W15">
        <v>37.6</v>
      </c>
      <c r="X15">
        <v>3</v>
      </c>
      <c r="Y15">
        <v>3</v>
      </c>
      <c r="Z15">
        <v>10</v>
      </c>
      <c r="AA15">
        <v>3.2</v>
      </c>
      <c r="AB15">
        <v>2</v>
      </c>
      <c r="AC15">
        <v>5</v>
      </c>
      <c r="AD15">
        <v>1</v>
      </c>
      <c r="AE15">
        <v>1</v>
      </c>
      <c r="AF15">
        <v>50</v>
      </c>
      <c r="AG15">
        <v>26</v>
      </c>
      <c r="AH15">
        <v>32</v>
      </c>
      <c r="AI15">
        <v>8</v>
      </c>
      <c r="AJ15">
        <v>8</v>
      </c>
      <c r="AK15">
        <v>8</v>
      </c>
      <c r="AL15">
        <v>11</v>
      </c>
      <c r="AM15">
        <v>0</v>
      </c>
      <c r="AN15">
        <v>2</v>
      </c>
      <c r="AO15">
        <v>1</v>
      </c>
      <c r="AP15">
        <v>1</v>
      </c>
      <c r="AQ15">
        <v>1</v>
      </c>
      <c r="AR15">
        <v>802</v>
      </c>
      <c r="AS15">
        <v>1670</v>
      </c>
      <c r="AT15" t="s">
        <v>13</v>
      </c>
      <c r="AU15">
        <v>0.35</v>
      </c>
      <c r="AV15">
        <v>2018</v>
      </c>
      <c r="AW15" s="1">
        <v>45808</v>
      </c>
      <c r="AX15">
        <v>5</v>
      </c>
      <c r="AY15" t="s">
        <v>45</v>
      </c>
      <c r="AZ15" t="s">
        <v>35</v>
      </c>
      <c r="BA15" t="s">
        <v>122</v>
      </c>
      <c r="BB15" t="s">
        <v>13</v>
      </c>
      <c r="BC15" t="s">
        <v>13</v>
      </c>
      <c r="BD15">
        <v>2</v>
      </c>
      <c r="BE15" t="s">
        <v>14</v>
      </c>
      <c r="BF15">
        <v>8.5</v>
      </c>
    </row>
    <row r="16" spans="1:58" hidden="1" x14ac:dyDescent="0.2">
      <c r="A16">
        <v>15</v>
      </c>
      <c r="B16" t="s">
        <v>0</v>
      </c>
      <c r="C16">
        <v>48</v>
      </c>
      <c r="D16" t="s">
        <v>1</v>
      </c>
      <c r="E16" t="s">
        <v>126</v>
      </c>
      <c r="F16" t="s">
        <v>15</v>
      </c>
      <c r="G16" t="s">
        <v>16</v>
      </c>
      <c r="H16" t="s">
        <v>118</v>
      </c>
      <c r="I16" t="s">
        <v>112</v>
      </c>
      <c r="J16" t="s">
        <v>6</v>
      </c>
      <c r="K16" t="s">
        <v>13</v>
      </c>
      <c r="L16">
        <v>9.5</v>
      </c>
      <c r="M16">
        <v>5.3</v>
      </c>
      <c r="N16" t="s">
        <v>120</v>
      </c>
      <c r="O16" t="s">
        <v>7</v>
      </c>
      <c r="P16" t="s">
        <v>9</v>
      </c>
      <c r="Q16">
        <v>31</v>
      </c>
      <c r="R16">
        <v>3</v>
      </c>
      <c r="S16">
        <v>29.8</v>
      </c>
      <c r="T16">
        <v>113</v>
      </c>
      <c r="U16">
        <v>88</v>
      </c>
      <c r="V16">
        <v>7973</v>
      </c>
      <c r="W16">
        <v>45.6</v>
      </c>
      <c r="X16">
        <v>1</v>
      </c>
      <c r="Y16">
        <v>3</v>
      </c>
      <c r="Z16">
        <v>6</v>
      </c>
      <c r="AA16">
        <v>3.5</v>
      </c>
      <c r="AB16">
        <v>2</v>
      </c>
      <c r="AC16">
        <v>363</v>
      </c>
      <c r="AD16">
        <v>45</v>
      </c>
      <c r="AE16">
        <v>10</v>
      </c>
      <c r="AF16">
        <v>260</v>
      </c>
      <c r="AG16">
        <v>150</v>
      </c>
      <c r="AH16">
        <v>184</v>
      </c>
      <c r="AI16">
        <v>68</v>
      </c>
      <c r="AJ16">
        <v>42</v>
      </c>
      <c r="AK16">
        <v>59</v>
      </c>
      <c r="AL16">
        <v>34</v>
      </c>
      <c r="AM16">
        <v>18</v>
      </c>
      <c r="AN16">
        <v>172</v>
      </c>
      <c r="AO16">
        <v>85</v>
      </c>
      <c r="AP16">
        <v>88</v>
      </c>
      <c r="AQ16">
        <v>93</v>
      </c>
      <c r="AR16">
        <v>14566</v>
      </c>
      <c r="AS16">
        <v>10000</v>
      </c>
      <c r="AT16" t="s">
        <v>7</v>
      </c>
      <c r="AU16">
        <v>0.11</v>
      </c>
      <c r="AV16">
        <v>2022</v>
      </c>
      <c r="AW16" s="1">
        <v>45826</v>
      </c>
      <c r="AX16">
        <v>8.1</v>
      </c>
      <c r="AY16" t="s">
        <v>36</v>
      </c>
      <c r="AZ16" t="s">
        <v>20</v>
      </c>
      <c r="BA16" t="s">
        <v>12</v>
      </c>
      <c r="BB16" t="s">
        <v>7</v>
      </c>
      <c r="BC16" t="s">
        <v>7</v>
      </c>
      <c r="BD16">
        <v>0</v>
      </c>
      <c r="BE16" t="s">
        <v>14</v>
      </c>
      <c r="BF16">
        <v>0.96</v>
      </c>
    </row>
    <row r="17" spans="1:58" hidden="1" x14ac:dyDescent="0.2">
      <c r="A17">
        <v>16</v>
      </c>
      <c r="B17" t="s">
        <v>0</v>
      </c>
      <c r="C17">
        <v>52</v>
      </c>
      <c r="D17" t="s">
        <v>1</v>
      </c>
      <c r="E17" t="s">
        <v>33</v>
      </c>
      <c r="F17" t="s">
        <v>15</v>
      </c>
      <c r="G17" t="s">
        <v>4</v>
      </c>
      <c r="H17" t="s">
        <v>34</v>
      </c>
      <c r="I17" t="s">
        <v>112</v>
      </c>
      <c r="J17" t="s">
        <v>6</v>
      </c>
      <c r="K17" t="s">
        <v>7</v>
      </c>
      <c r="L17">
        <v>10.7</v>
      </c>
      <c r="M17">
        <v>7.2</v>
      </c>
      <c r="N17" t="s">
        <v>25</v>
      </c>
      <c r="O17" t="s">
        <v>7</v>
      </c>
      <c r="P17" t="s">
        <v>46</v>
      </c>
      <c r="Q17">
        <v>2</v>
      </c>
      <c r="R17">
        <v>10</v>
      </c>
      <c r="S17">
        <v>30.1</v>
      </c>
      <c r="T17">
        <v>127</v>
      </c>
      <c r="U17">
        <v>65</v>
      </c>
      <c r="V17">
        <v>8022</v>
      </c>
      <c r="W17">
        <v>38.799999999999997</v>
      </c>
      <c r="X17">
        <v>3</v>
      </c>
      <c r="Y17">
        <v>2</v>
      </c>
      <c r="Z17">
        <v>9</v>
      </c>
      <c r="AA17">
        <v>2.7</v>
      </c>
      <c r="AB17">
        <v>3</v>
      </c>
      <c r="AC17">
        <v>5</v>
      </c>
      <c r="AD17">
        <v>1</v>
      </c>
      <c r="AE17">
        <v>3</v>
      </c>
      <c r="AF17">
        <v>39</v>
      </c>
      <c r="AG17">
        <v>31</v>
      </c>
      <c r="AH17">
        <v>31</v>
      </c>
      <c r="AI17">
        <v>6</v>
      </c>
      <c r="AJ17">
        <v>15</v>
      </c>
      <c r="AK17">
        <v>10</v>
      </c>
      <c r="AL17">
        <v>8</v>
      </c>
      <c r="AM17">
        <v>1</v>
      </c>
      <c r="AN17">
        <v>3</v>
      </c>
      <c r="AO17">
        <v>1</v>
      </c>
      <c r="AP17">
        <v>1</v>
      </c>
      <c r="AQ17">
        <v>1</v>
      </c>
      <c r="AR17">
        <v>10965</v>
      </c>
      <c r="AS17">
        <v>10000</v>
      </c>
      <c r="AT17" t="s">
        <v>7</v>
      </c>
      <c r="AU17">
        <v>0.9</v>
      </c>
      <c r="AV17">
        <v>2021</v>
      </c>
      <c r="AW17" s="1">
        <v>45836</v>
      </c>
      <c r="AX17">
        <v>5</v>
      </c>
      <c r="AY17" t="s">
        <v>19</v>
      </c>
      <c r="AZ17" t="s">
        <v>17</v>
      </c>
      <c r="BA17" t="s">
        <v>12</v>
      </c>
      <c r="BB17" t="s">
        <v>13</v>
      </c>
      <c r="BC17" t="s">
        <v>7</v>
      </c>
      <c r="BD17">
        <v>2</v>
      </c>
      <c r="BE17" t="s">
        <v>14</v>
      </c>
      <c r="BF17">
        <v>8.67</v>
      </c>
    </row>
    <row r="18" spans="1:58" hidden="1" x14ac:dyDescent="0.2">
      <c r="A18">
        <v>17</v>
      </c>
      <c r="B18" t="s">
        <v>0</v>
      </c>
      <c r="C18">
        <v>36</v>
      </c>
      <c r="D18" t="s">
        <v>28</v>
      </c>
      <c r="E18" t="s">
        <v>47</v>
      </c>
      <c r="F18" t="s">
        <v>15</v>
      </c>
      <c r="G18" t="s">
        <v>117</v>
      </c>
      <c r="H18" t="s">
        <v>118</v>
      </c>
      <c r="I18" t="s">
        <v>115</v>
      </c>
      <c r="J18" t="s">
        <v>6</v>
      </c>
      <c r="K18" t="s">
        <v>13</v>
      </c>
      <c r="L18">
        <v>2.8</v>
      </c>
      <c r="M18">
        <v>8.1999999999999993</v>
      </c>
      <c r="N18" t="s">
        <v>8</v>
      </c>
      <c r="O18" t="s">
        <v>7</v>
      </c>
      <c r="P18" t="s">
        <v>9</v>
      </c>
      <c r="Q18">
        <v>37</v>
      </c>
      <c r="R18">
        <v>9</v>
      </c>
      <c r="S18">
        <v>26.8</v>
      </c>
      <c r="T18">
        <v>108</v>
      </c>
      <c r="U18">
        <v>86</v>
      </c>
      <c r="V18">
        <v>8120</v>
      </c>
      <c r="W18">
        <v>31.5</v>
      </c>
      <c r="X18">
        <v>5</v>
      </c>
      <c r="Y18">
        <v>7</v>
      </c>
      <c r="Z18">
        <v>12</v>
      </c>
      <c r="AA18">
        <v>1.9</v>
      </c>
      <c r="AB18">
        <v>2</v>
      </c>
      <c r="AC18">
        <v>273</v>
      </c>
      <c r="AD18">
        <v>25</v>
      </c>
      <c r="AE18">
        <v>8</v>
      </c>
      <c r="AF18">
        <v>225</v>
      </c>
      <c r="AG18">
        <v>150</v>
      </c>
      <c r="AH18">
        <v>145</v>
      </c>
      <c r="AI18">
        <v>48</v>
      </c>
      <c r="AJ18">
        <v>36</v>
      </c>
      <c r="AK18">
        <v>44</v>
      </c>
      <c r="AL18">
        <v>17</v>
      </c>
      <c r="AM18">
        <v>7</v>
      </c>
      <c r="AN18">
        <v>157</v>
      </c>
      <c r="AO18">
        <v>44</v>
      </c>
      <c r="AP18">
        <v>29</v>
      </c>
      <c r="AQ18">
        <v>74</v>
      </c>
      <c r="AR18">
        <v>414</v>
      </c>
      <c r="AS18">
        <v>482</v>
      </c>
      <c r="AT18" t="s">
        <v>7</v>
      </c>
      <c r="AU18">
        <v>0.52</v>
      </c>
      <c r="AV18">
        <v>2021</v>
      </c>
      <c r="AW18" s="1">
        <v>45800</v>
      </c>
      <c r="AX18">
        <v>10.9</v>
      </c>
      <c r="AY18" t="s">
        <v>19</v>
      </c>
      <c r="AZ18" t="s">
        <v>48</v>
      </c>
      <c r="BA18" t="s">
        <v>21</v>
      </c>
      <c r="BB18" t="s">
        <v>13</v>
      </c>
      <c r="BC18" t="s">
        <v>7</v>
      </c>
      <c r="BD18">
        <v>2</v>
      </c>
      <c r="BE18" t="s">
        <v>49</v>
      </c>
      <c r="BF18">
        <v>0.97</v>
      </c>
    </row>
    <row r="19" spans="1:58" hidden="1" x14ac:dyDescent="0.2">
      <c r="A19">
        <v>18</v>
      </c>
      <c r="B19" t="s">
        <v>0</v>
      </c>
      <c r="C19">
        <v>15</v>
      </c>
      <c r="D19" t="s">
        <v>28</v>
      </c>
      <c r="E19" t="s">
        <v>47</v>
      </c>
      <c r="F19" t="s">
        <v>15</v>
      </c>
      <c r="G19" t="s">
        <v>16</v>
      </c>
      <c r="H19" t="s">
        <v>5</v>
      </c>
      <c r="I19" t="s">
        <v>112</v>
      </c>
      <c r="J19" t="s">
        <v>6</v>
      </c>
      <c r="K19" t="s">
        <v>13</v>
      </c>
      <c r="L19">
        <v>11.6</v>
      </c>
      <c r="M19">
        <v>6.2</v>
      </c>
      <c r="N19" t="s">
        <v>29</v>
      </c>
      <c r="O19" t="s">
        <v>7</v>
      </c>
      <c r="P19" t="s">
        <v>46</v>
      </c>
      <c r="Q19">
        <v>40</v>
      </c>
      <c r="R19">
        <v>2</v>
      </c>
      <c r="S19">
        <v>26.3</v>
      </c>
      <c r="T19">
        <v>151</v>
      </c>
      <c r="U19">
        <v>78</v>
      </c>
      <c r="V19">
        <v>7981</v>
      </c>
      <c r="W19">
        <v>58.9</v>
      </c>
      <c r="X19">
        <v>2</v>
      </c>
      <c r="Y19">
        <v>2</v>
      </c>
      <c r="Z19">
        <v>7</v>
      </c>
      <c r="AA19">
        <v>6.2</v>
      </c>
      <c r="AB19">
        <v>1</v>
      </c>
      <c r="AC19">
        <v>473</v>
      </c>
      <c r="AD19">
        <v>21</v>
      </c>
      <c r="AE19">
        <v>16</v>
      </c>
      <c r="AF19">
        <v>300</v>
      </c>
      <c r="AG19">
        <v>150</v>
      </c>
      <c r="AH19">
        <v>271</v>
      </c>
      <c r="AI19">
        <v>80</v>
      </c>
      <c r="AJ19">
        <v>60</v>
      </c>
      <c r="AK19">
        <v>65</v>
      </c>
      <c r="AL19">
        <v>39</v>
      </c>
      <c r="AM19">
        <v>10</v>
      </c>
      <c r="AN19">
        <v>256</v>
      </c>
      <c r="AO19">
        <v>122</v>
      </c>
      <c r="AP19">
        <v>74</v>
      </c>
      <c r="AQ19">
        <v>143</v>
      </c>
      <c r="AR19">
        <v>595</v>
      </c>
      <c r="AS19">
        <v>1334</v>
      </c>
      <c r="AT19" t="s">
        <v>7</v>
      </c>
      <c r="AU19">
        <v>0.59</v>
      </c>
      <c r="AV19">
        <v>2013</v>
      </c>
      <c r="AW19" s="1">
        <v>45980</v>
      </c>
      <c r="AX19">
        <v>22.5</v>
      </c>
      <c r="AY19" t="s">
        <v>45</v>
      </c>
      <c r="AZ19" t="s">
        <v>17</v>
      </c>
      <c r="BA19" t="s">
        <v>21</v>
      </c>
      <c r="BB19" t="s">
        <v>7</v>
      </c>
      <c r="BC19" t="s">
        <v>7</v>
      </c>
      <c r="BD19">
        <v>2</v>
      </c>
      <c r="BE19" t="s">
        <v>43</v>
      </c>
      <c r="BF19">
        <v>1.01</v>
      </c>
    </row>
    <row r="20" spans="1:58" hidden="1" x14ac:dyDescent="0.2">
      <c r="A20">
        <v>19</v>
      </c>
      <c r="B20" t="s">
        <v>0</v>
      </c>
      <c r="C20">
        <v>34</v>
      </c>
      <c r="D20" t="s">
        <v>1</v>
      </c>
      <c r="E20" t="s">
        <v>47</v>
      </c>
      <c r="F20" t="s">
        <v>15</v>
      </c>
      <c r="G20" t="s">
        <v>38</v>
      </c>
      <c r="H20" t="s">
        <v>5</v>
      </c>
      <c r="I20" t="s">
        <v>114</v>
      </c>
      <c r="J20" t="s">
        <v>123</v>
      </c>
      <c r="K20" t="s">
        <v>7</v>
      </c>
      <c r="L20">
        <v>7.3</v>
      </c>
      <c r="M20">
        <v>6</v>
      </c>
      <c r="N20" t="s">
        <v>39</v>
      </c>
      <c r="O20" t="s">
        <v>7</v>
      </c>
      <c r="P20" t="s">
        <v>9</v>
      </c>
      <c r="Q20">
        <v>20</v>
      </c>
      <c r="R20">
        <v>3</v>
      </c>
      <c r="S20">
        <v>29.6</v>
      </c>
      <c r="T20">
        <v>109</v>
      </c>
      <c r="U20">
        <v>67</v>
      </c>
      <c r="V20">
        <v>8194</v>
      </c>
      <c r="W20">
        <v>53.9</v>
      </c>
      <c r="X20">
        <v>3</v>
      </c>
      <c r="Y20">
        <v>2</v>
      </c>
      <c r="Z20">
        <v>11</v>
      </c>
      <c r="AA20">
        <v>1.8</v>
      </c>
      <c r="AB20">
        <v>5</v>
      </c>
      <c r="AC20">
        <v>224</v>
      </c>
      <c r="AD20">
        <v>8</v>
      </c>
      <c r="AE20">
        <v>6</v>
      </c>
      <c r="AF20">
        <v>176</v>
      </c>
      <c r="AG20">
        <v>115</v>
      </c>
      <c r="AH20">
        <v>150</v>
      </c>
      <c r="AI20">
        <v>29</v>
      </c>
      <c r="AJ20">
        <v>29</v>
      </c>
      <c r="AK20">
        <v>34</v>
      </c>
      <c r="AL20">
        <v>20</v>
      </c>
      <c r="AM20">
        <v>5</v>
      </c>
      <c r="AN20">
        <v>102</v>
      </c>
      <c r="AO20">
        <v>32</v>
      </c>
      <c r="AP20">
        <v>35</v>
      </c>
      <c r="AQ20">
        <v>65</v>
      </c>
      <c r="AR20">
        <v>812</v>
      </c>
      <c r="AS20">
        <v>1307</v>
      </c>
      <c r="AT20" t="s">
        <v>7</v>
      </c>
      <c r="AU20">
        <v>0.61</v>
      </c>
      <c r="AV20">
        <v>2016</v>
      </c>
      <c r="AW20" s="1">
        <v>45838</v>
      </c>
      <c r="AX20">
        <v>28</v>
      </c>
      <c r="AY20" t="s">
        <v>36</v>
      </c>
      <c r="AZ20" t="s">
        <v>37</v>
      </c>
      <c r="BA20" t="s">
        <v>122</v>
      </c>
      <c r="BB20" t="s">
        <v>13</v>
      </c>
      <c r="BC20" t="s">
        <v>13</v>
      </c>
      <c r="BD20">
        <v>3</v>
      </c>
      <c r="BE20" t="s">
        <v>14</v>
      </c>
      <c r="BF20">
        <v>1</v>
      </c>
    </row>
    <row r="21" spans="1:58" hidden="1" x14ac:dyDescent="0.2">
      <c r="A21">
        <v>20</v>
      </c>
      <c r="B21" t="s">
        <v>0</v>
      </c>
      <c r="C21">
        <v>65</v>
      </c>
      <c r="D21" t="s">
        <v>125</v>
      </c>
      <c r="E21" t="s">
        <v>47</v>
      </c>
      <c r="F21" t="s">
        <v>40</v>
      </c>
      <c r="G21" t="s">
        <v>38</v>
      </c>
      <c r="H21" t="s">
        <v>118</v>
      </c>
      <c r="I21" t="s">
        <v>112</v>
      </c>
      <c r="J21" t="s">
        <v>32</v>
      </c>
      <c r="K21" t="s">
        <v>13</v>
      </c>
      <c r="L21">
        <v>8</v>
      </c>
      <c r="M21">
        <v>8</v>
      </c>
      <c r="N21" t="s">
        <v>29</v>
      </c>
      <c r="O21" t="s">
        <v>13</v>
      </c>
      <c r="P21" t="s">
        <v>9</v>
      </c>
      <c r="Q21">
        <v>12</v>
      </c>
      <c r="R21">
        <v>5</v>
      </c>
      <c r="S21">
        <v>27.1</v>
      </c>
      <c r="T21">
        <v>126</v>
      </c>
      <c r="U21">
        <v>92</v>
      </c>
      <c r="V21">
        <v>8048</v>
      </c>
      <c r="W21">
        <v>40.299999999999997</v>
      </c>
      <c r="X21">
        <v>3</v>
      </c>
      <c r="Y21">
        <v>0</v>
      </c>
      <c r="Z21">
        <v>9</v>
      </c>
      <c r="AA21">
        <v>0.3</v>
      </c>
      <c r="AB21">
        <v>1</v>
      </c>
      <c r="AC21">
        <v>96</v>
      </c>
      <c r="AD21">
        <v>4</v>
      </c>
      <c r="AE21">
        <v>3</v>
      </c>
      <c r="AF21">
        <v>95</v>
      </c>
      <c r="AG21">
        <v>68</v>
      </c>
      <c r="AH21">
        <v>70</v>
      </c>
      <c r="AI21">
        <v>21</v>
      </c>
      <c r="AJ21">
        <v>20</v>
      </c>
      <c r="AK21">
        <v>16</v>
      </c>
      <c r="AL21">
        <v>14</v>
      </c>
      <c r="AM21">
        <v>1</v>
      </c>
      <c r="AN21">
        <v>43</v>
      </c>
      <c r="AO21">
        <v>14</v>
      </c>
      <c r="AP21">
        <v>19</v>
      </c>
      <c r="AQ21">
        <v>32</v>
      </c>
      <c r="AR21">
        <v>1499</v>
      </c>
      <c r="AS21">
        <v>3463</v>
      </c>
      <c r="AT21" t="s">
        <v>7</v>
      </c>
      <c r="AU21">
        <v>0.05</v>
      </c>
      <c r="AV21">
        <v>2025</v>
      </c>
      <c r="AW21" s="1">
        <v>45908</v>
      </c>
      <c r="AX21">
        <v>24</v>
      </c>
      <c r="AY21" t="s">
        <v>27</v>
      </c>
      <c r="AZ21" t="s">
        <v>35</v>
      </c>
      <c r="BA21" t="s">
        <v>12</v>
      </c>
      <c r="BB21" t="s">
        <v>7</v>
      </c>
      <c r="BC21" t="s">
        <v>13</v>
      </c>
      <c r="BD21">
        <v>1</v>
      </c>
      <c r="BE21" t="s">
        <v>14</v>
      </c>
      <c r="BF21">
        <v>1.25</v>
      </c>
    </row>
    <row r="22" spans="1:58" hidden="1" x14ac:dyDescent="0.2">
      <c r="A22">
        <v>21</v>
      </c>
      <c r="B22" t="s">
        <v>0</v>
      </c>
      <c r="C22">
        <v>14</v>
      </c>
      <c r="D22" t="s">
        <v>28</v>
      </c>
      <c r="E22" t="s">
        <v>17</v>
      </c>
      <c r="F22" t="s">
        <v>15</v>
      </c>
      <c r="G22" t="s">
        <v>117</v>
      </c>
      <c r="H22" t="s">
        <v>5</v>
      </c>
      <c r="I22" t="s">
        <v>113</v>
      </c>
      <c r="J22" t="s">
        <v>6</v>
      </c>
      <c r="K22" t="s">
        <v>7</v>
      </c>
      <c r="L22">
        <v>3.6</v>
      </c>
      <c r="M22">
        <v>6</v>
      </c>
      <c r="N22" t="s">
        <v>8</v>
      </c>
      <c r="O22" t="s">
        <v>7</v>
      </c>
      <c r="P22" t="s">
        <v>121</v>
      </c>
      <c r="Q22">
        <v>7</v>
      </c>
      <c r="R22">
        <v>5</v>
      </c>
      <c r="S22">
        <v>27.8</v>
      </c>
      <c r="T22">
        <v>148</v>
      </c>
      <c r="U22">
        <v>80</v>
      </c>
      <c r="V22">
        <v>8006</v>
      </c>
      <c r="W22">
        <v>26.9</v>
      </c>
      <c r="X22">
        <v>3</v>
      </c>
      <c r="Y22">
        <v>4</v>
      </c>
      <c r="Z22">
        <v>5</v>
      </c>
      <c r="AA22">
        <v>2.9</v>
      </c>
      <c r="AB22">
        <v>3</v>
      </c>
      <c r="AC22">
        <v>141</v>
      </c>
      <c r="AD22">
        <v>5</v>
      </c>
      <c r="AE22">
        <v>9</v>
      </c>
      <c r="AF22">
        <v>209</v>
      </c>
      <c r="AG22">
        <v>78</v>
      </c>
      <c r="AH22">
        <v>99</v>
      </c>
      <c r="AI22">
        <v>30</v>
      </c>
      <c r="AJ22">
        <v>23</v>
      </c>
      <c r="AK22">
        <v>24</v>
      </c>
      <c r="AL22">
        <v>16</v>
      </c>
      <c r="AM22">
        <v>2</v>
      </c>
      <c r="AN22">
        <v>83</v>
      </c>
      <c r="AO22">
        <v>28</v>
      </c>
      <c r="AP22">
        <v>23</v>
      </c>
      <c r="AQ22">
        <v>37</v>
      </c>
      <c r="AR22">
        <v>1334</v>
      </c>
      <c r="AS22">
        <v>1930</v>
      </c>
      <c r="AT22" t="s">
        <v>7</v>
      </c>
      <c r="AU22">
        <v>0.24</v>
      </c>
      <c r="AV22">
        <v>2023</v>
      </c>
      <c r="AW22" s="1">
        <v>45825</v>
      </c>
      <c r="AX22">
        <v>28.2</v>
      </c>
      <c r="AY22" t="s">
        <v>30</v>
      </c>
      <c r="AZ22" t="s">
        <v>31</v>
      </c>
      <c r="BA22" t="s">
        <v>21</v>
      </c>
      <c r="BB22" t="s">
        <v>7</v>
      </c>
      <c r="BC22" t="s">
        <v>13</v>
      </c>
      <c r="BD22">
        <v>2</v>
      </c>
      <c r="BE22" t="s">
        <v>14</v>
      </c>
      <c r="BF22">
        <v>1.31</v>
      </c>
    </row>
    <row r="23" spans="1:58" hidden="1" x14ac:dyDescent="0.2">
      <c r="A23">
        <v>22</v>
      </c>
      <c r="B23" t="s">
        <v>0</v>
      </c>
      <c r="C23">
        <v>36</v>
      </c>
      <c r="D23" t="s">
        <v>28</v>
      </c>
      <c r="E23" t="s">
        <v>2</v>
      </c>
      <c r="F23" t="s">
        <v>15</v>
      </c>
      <c r="G23" t="s">
        <v>16</v>
      </c>
      <c r="H23" t="s">
        <v>118</v>
      </c>
      <c r="I23" t="s">
        <v>114</v>
      </c>
      <c r="J23" t="s">
        <v>32</v>
      </c>
      <c r="K23" t="s">
        <v>7</v>
      </c>
      <c r="L23">
        <v>10.6</v>
      </c>
      <c r="M23">
        <v>7.9</v>
      </c>
      <c r="N23" t="s">
        <v>29</v>
      </c>
      <c r="O23" t="s">
        <v>7</v>
      </c>
      <c r="P23" t="s">
        <v>9</v>
      </c>
      <c r="Q23">
        <v>6</v>
      </c>
      <c r="R23">
        <v>8</v>
      </c>
      <c r="S23">
        <v>23.3</v>
      </c>
      <c r="T23">
        <v>92</v>
      </c>
      <c r="U23">
        <v>70</v>
      </c>
      <c r="V23">
        <v>7979</v>
      </c>
      <c r="W23">
        <v>20</v>
      </c>
      <c r="X23">
        <v>3</v>
      </c>
      <c r="Y23">
        <v>5</v>
      </c>
      <c r="Z23">
        <v>10</v>
      </c>
      <c r="AA23">
        <v>1.9</v>
      </c>
      <c r="AB23">
        <v>5</v>
      </c>
      <c r="AC23">
        <v>5</v>
      </c>
      <c r="AD23">
        <v>1</v>
      </c>
      <c r="AE23">
        <v>1</v>
      </c>
      <c r="AF23">
        <v>33</v>
      </c>
      <c r="AG23">
        <v>40</v>
      </c>
      <c r="AH23">
        <v>29</v>
      </c>
      <c r="AI23">
        <v>6</v>
      </c>
      <c r="AJ23">
        <v>6</v>
      </c>
      <c r="AK23">
        <v>5</v>
      </c>
      <c r="AL23">
        <v>4</v>
      </c>
      <c r="AM23">
        <v>3</v>
      </c>
      <c r="AN23">
        <v>2</v>
      </c>
      <c r="AO23">
        <v>1</v>
      </c>
      <c r="AP23">
        <v>1</v>
      </c>
      <c r="AQ23">
        <v>1</v>
      </c>
      <c r="AR23">
        <v>4391</v>
      </c>
      <c r="AS23">
        <v>3451</v>
      </c>
      <c r="AT23" t="s">
        <v>7</v>
      </c>
      <c r="AU23">
        <v>0.33</v>
      </c>
      <c r="AV23">
        <v>2011</v>
      </c>
      <c r="AW23" s="1">
        <v>45849</v>
      </c>
      <c r="AX23">
        <v>5</v>
      </c>
      <c r="AY23" t="s">
        <v>45</v>
      </c>
      <c r="AZ23" t="s">
        <v>35</v>
      </c>
      <c r="BA23" t="s">
        <v>12</v>
      </c>
      <c r="BB23" t="s">
        <v>13</v>
      </c>
      <c r="BC23" t="s">
        <v>13</v>
      </c>
      <c r="BD23">
        <v>3</v>
      </c>
      <c r="BE23" t="s">
        <v>43</v>
      </c>
      <c r="BF23">
        <v>7.33</v>
      </c>
    </row>
    <row r="24" spans="1:58" hidden="1" x14ac:dyDescent="0.2">
      <c r="A24">
        <v>23</v>
      </c>
      <c r="B24" t="s">
        <v>0</v>
      </c>
      <c r="C24">
        <v>56</v>
      </c>
      <c r="D24" t="s">
        <v>28</v>
      </c>
      <c r="E24" t="s">
        <v>2</v>
      </c>
      <c r="F24" t="s">
        <v>15</v>
      </c>
      <c r="G24" t="s">
        <v>117</v>
      </c>
      <c r="H24" t="s">
        <v>23</v>
      </c>
      <c r="I24" t="s">
        <v>112</v>
      </c>
      <c r="J24" t="s">
        <v>6</v>
      </c>
      <c r="K24" t="s">
        <v>7</v>
      </c>
      <c r="L24">
        <v>9.6</v>
      </c>
      <c r="M24">
        <v>7.7</v>
      </c>
      <c r="N24" t="s">
        <v>39</v>
      </c>
      <c r="O24" t="s">
        <v>7</v>
      </c>
      <c r="P24" t="s">
        <v>46</v>
      </c>
      <c r="Q24">
        <v>10</v>
      </c>
      <c r="R24">
        <v>1</v>
      </c>
      <c r="S24">
        <v>23.7</v>
      </c>
      <c r="T24">
        <v>91</v>
      </c>
      <c r="U24">
        <v>97</v>
      </c>
      <c r="V24">
        <v>8043</v>
      </c>
      <c r="W24">
        <v>43</v>
      </c>
      <c r="X24">
        <v>6</v>
      </c>
      <c r="Y24">
        <v>3</v>
      </c>
      <c r="Z24">
        <v>5</v>
      </c>
      <c r="AA24">
        <v>1.2</v>
      </c>
      <c r="AB24">
        <v>2</v>
      </c>
      <c r="AC24">
        <v>187</v>
      </c>
      <c r="AD24">
        <v>11</v>
      </c>
      <c r="AE24">
        <v>0</v>
      </c>
      <c r="AF24">
        <v>171</v>
      </c>
      <c r="AG24">
        <v>100</v>
      </c>
      <c r="AH24">
        <v>102</v>
      </c>
      <c r="AI24">
        <v>47</v>
      </c>
      <c r="AJ24">
        <v>21</v>
      </c>
      <c r="AK24">
        <v>29</v>
      </c>
      <c r="AL24">
        <v>27</v>
      </c>
      <c r="AM24">
        <v>8</v>
      </c>
      <c r="AN24">
        <v>81</v>
      </c>
      <c r="AO24">
        <v>35</v>
      </c>
      <c r="AP24">
        <v>36</v>
      </c>
      <c r="AQ24">
        <v>37</v>
      </c>
      <c r="AR24">
        <v>2238</v>
      </c>
      <c r="AS24">
        <v>1279</v>
      </c>
      <c r="AT24" t="s">
        <v>7</v>
      </c>
      <c r="AU24">
        <v>0.08</v>
      </c>
      <c r="AV24">
        <v>2014</v>
      </c>
      <c r="AW24" s="1">
        <v>45689</v>
      </c>
      <c r="AX24">
        <v>17</v>
      </c>
      <c r="AY24" t="s">
        <v>36</v>
      </c>
      <c r="AZ24" t="s">
        <v>35</v>
      </c>
      <c r="BA24" t="s">
        <v>122</v>
      </c>
      <c r="BB24" t="s">
        <v>7</v>
      </c>
      <c r="BC24" t="s">
        <v>7</v>
      </c>
      <c r="BD24">
        <v>1</v>
      </c>
      <c r="BE24" t="s">
        <v>14</v>
      </c>
      <c r="BF24">
        <v>1.04</v>
      </c>
    </row>
    <row r="25" spans="1:58" hidden="1" x14ac:dyDescent="0.2">
      <c r="A25">
        <v>24</v>
      </c>
      <c r="B25" t="s">
        <v>0</v>
      </c>
      <c r="C25">
        <v>42</v>
      </c>
      <c r="D25" t="s">
        <v>125</v>
      </c>
      <c r="E25" t="s">
        <v>128</v>
      </c>
      <c r="F25" t="s">
        <v>40</v>
      </c>
      <c r="G25" t="s">
        <v>117</v>
      </c>
      <c r="H25" t="s">
        <v>118</v>
      </c>
      <c r="I25" t="s">
        <v>113</v>
      </c>
      <c r="J25" t="s">
        <v>6</v>
      </c>
      <c r="K25" t="s">
        <v>7</v>
      </c>
      <c r="L25">
        <v>5.5</v>
      </c>
      <c r="M25">
        <v>5.9</v>
      </c>
      <c r="N25" t="s">
        <v>39</v>
      </c>
      <c r="O25" t="s">
        <v>7</v>
      </c>
      <c r="P25" t="s">
        <v>9</v>
      </c>
      <c r="Q25">
        <v>25</v>
      </c>
      <c r="R25">
        <v>4</v>
      </c>
      <c r="S25">
        <v>24.8</v>
      </c>
      <c r="T25">
        <v>103</v>
      </c>
      <c r="U25">
        <v>82</v>
      </c>
      <c r="V25">
        <v>7925</v>
      </c>
      <c r="W25">
        <v>37.5</v>
      </c>
      <c r="X25">
        <v>4</v>
      </c>
      <c r="Y25">
        <v>5</v>
      </c>
      <c r="Z25">
        <v>9</v>
      </c>
      <c r="AA25">
        <v>1.6</v>
      </c>
      <c r="AB25">
        <v>4</v>
      </c>
      <c r="AC25">
        <v>221</v>
      </c>
      <c r="AD25">
        <v>8</v>
      </c>
      <c r="AE25">
        <v>5</v>
      </c>
      <c r="AF25">
        <v>152</v>
      </c>
      <c r="AG25">
        <v>108</v>
      </c>
      <c r="AH25">
        <v>134</v>
      </c>
      <c r="AI25">
        <v>51</v>
      </c>
      <c r="AJ25">
        <v>25</v>
      </c>
      <c r="AK25">
        <v>43</v>
      </c>
      <c r="AL25">
        <v>27</v>
      </c>
      <c r="AM25">
        <v>7</v>
      </c>
      <c r="AN25">
        <v>107</v>
      </c>
      <c r="AO25">
        <v>33</v>
      </c>
      <c r="AP25">
        <v>46</v>
      </c>
      <c r="AQ25">
        <v>50</v>
      </c>
      <c r="AR25">
        <v>7667</v>
      </c>
      <c r="AS25">
        <v>10000</v>
      </c>
      <c r="AT25" t="s">
        <v>7</v>
      </c>
      <c r="AU25">
        <v>0.56000000000000005</v>
      </c>
      <c r="AV25">
        <v>2020</v>
      </c>
      <c r="AW25" s="1">
        <v>46015</v>
      </c>
      <c r="AX25">
        <v>27.6</v>
      </c>
      <c r="AY25" t="s">
        <v>45</v>
      </c>
      <c r="AZ25" t="s">
        <v>17</v>
      </c>
      <c r="BA25" t="s">
        <v>21</v>
      </c>
      <c r="BB25" t="s">
        <v>13</v>
      </c>
      <c r="BC25" t="s">
        <v>7</v>
      </c>
      <c r="BD25">
        <v>4</v>
      </c>
      <c r="BE25" t="s">
        <v>14</v>
      </c>
      <c r="BF25">
        <v>1.1299999999999999</v>
      </c>
    </row>
    <row r="26" spans="1:58" hidden="1" x14ac:dyDescent="0.2">
      <c r="A26">
        <v>25</v>
      </c>
      <c r="B26" t="s">
        <v>0</v>
      </c>
      <c r="C26">
        <v>50</v>
      </c>
      <c r="D26" t="s">
        <v>1</v>
      </c>
      <c r="E26" t="s">
        <v>128</v>
      </c>
      <c r="F26" t="s">
        <v>15</v>
      </c>
      <c r="G26" t="s">
        <v>16</v>
      </c>
      <c r="H26" t="s">
        <v>118</v>
      </c>
      <c r="I26" t="s">
        <v>112</v>
      </c>
      <c r="J26" t="s">
        <v>6</v>
      </c>
      <c r="K26" t="s">
        <v>7</v>
      </c>
      <c r="L26">
        <v>9.8000000000000007</v>
      </c>
      <c r="M26">
        <v>5.6</v>
      </c>
      <c r="N26" t="s">
        <v>25</v>
      </c>
      <c r="O26" t="s">
        <v>7</v>
      </c>
      <c r="P26" t="s">
        <v>9</v>
      </c>
      <c r="Q26">
        <v>22</v>
      </c>
      <c r="R26">
        <v>10</v>
      </c>
      <c r="S26">
        <v>33</v>
      </c>
      <c r="T26">
        <v>134</v>
      </c>
      <c r="U26">
        <v>98</v>
      </c>
      <c r="V26">
        <v>7977</v>
      </c>
      <c r="W26">
        <v>45.2</v>
      </c>
      <c r="X26">
        <v>2</v>
      </c>
      <c r="Y26">
        <v>0</v>
      </c>
      <c r="Z26">
        <v>12</v>
      </c>
      <c r="AA26">
        <v>2.6</v>
      </c>
      <c r="AB26">
        <v>0</v>
      </c>
      <c r="AC26">
        <v>59</v>
      </c>
      <c r="AD26">
        <v>3</v>
      </c>
      <c r="AE26">
        <v>2</v>
      </c>
      <c r="AF26">
        <v>74</v>
      </c>
      <c r="AG26">
        <v>54</v>
      </c>
      <c r="AH26">
        <v>59</v>
      </c>
      <c r="AI26">
        <v>10</v>
      </c>
      <c r="AJ26">
        <v>10</v>
      </c>
      <c r="AK26">
        <v>17</v>
      </c>
      <c r="AL26">
        <v>10</v>
      </c>
      <c r="AM26">
        <v>1</v>
      </c>
      <c r="AN26">
        <v>26</v>
      </c>
      <c r="AO26">
        <v>9</v>
      </c>
      <c r="AP26">
        <v>11</v>
      </c>
      <c r="AQ26">
        <v>18</v>
      </c>
      <c r="AR26">
        <v>847</v>
      </c>
      <c r="AS26">
        <v>1015</v>
      </c>
      <c r="AT26" t="s">
        <v>7</v>
      </c>
      <c r="AU26">
        <v>0.79</v>
      </c>
      <c r="AV26">
        <v>2021</v>
      </c>
      <c r="AW26" s="1">
        <v>45836</v>
      </c>
      <c r="AX26">
        <v>19.7</v>
      </c>
      <c r="AY26" t="s">
        <v>10</v>
      </c>
      <c r="AZ26" t="s">
        <v>37</v>
      </c>
      <c r="BA26" t="s">
        <v>122</v>
      </c>
      <c r="BB26" t="s">
        <v>7</v>
      </c>
      <c r="BC26" t="s">
        <v>7</v>
      </c>
      <c r="BD26">
        <v>3</v>
      </c>
      <c r="BE26" t="s">
        <v>14</v>
      </c>
      <c r="BF26">
        <v>1.42</v>
      </c>
    </row>
    <row r="27" spans="1:58" hidden="1" x14ac:dyDescent="0.2">
      <c r="A27">
        <v>26</v>
      </c>
      <c r="B27" t="s">
        <v>0</v>
      </c>
      <c r="C27">
        <v>14</v>
      </c>
      <c r="D27" t="s">
        <v>1</v>
      </c>
      <c r="E27" t="s">
        <v>2</v>
      </c>
      <c r="F27" t="s">
        <v>15</v>
      </c>
      <c r="G27" t="s">
        <v>38</v>
      </c>
      <c r="H27" t="s">
        <v>118</v>
      </c>
      <c r="I27" t="s">
        <v>115</v>
      </c>
      <c r="J27" t="s">
        <v>18</v>
      </c>
      <c r="K27" t="s">
        <v>7</v>
      </c>
      <c r="L27">
        <v>6.2</v>
      </c>
      <c r="M27">
        <v>6.8</v>
      </c>
      <c r="N27" t="s">
        <v>8</v>
      </c>
      <c r="O27" t="s">
        <v>13</v>
      </c>
      <c r="P27" t="s">
        <v>9</v>
      </c>
      <c r="Q27">
        <v>14</v>
      </c>
      <c r="R27">
        <v>2</v>
      </c>
      <c r="S27">
        <v>27.1</v>
      </c>
      <c r="T27">
        <v>136</v>
      </c>
      <c r="U27">
        <v>82</v>
      </c>
      <c r="V27">
        <v>7994</v>
      </c>
      <c r="W27">
        <v>39</v>
      </c>
      <c r="X27">
        <v>3</v>
      </c>
      <c r="Y27">
        <v>2</v>
      </c>
      <c r="Z27">
        <v>14</v>
      </c>
      <c r="AA27">
        <v>2.9</v>
      </c>
      <c r="AB27">
        <v>0</v>
      </c>
      <c r="AC27">
        <v>213</v>
      </c>
      <c r="AD27">
        <v>8</v>
      </c>
      <c r="AE27">
        <v>11</v>
      </c>
      <c r="AF27">
        <v>272</v>
      </c>
      <c r="AG27">
        <v>115</v>
      </c>
      <c r="AH27">
        <v>137</v>
      </c>
      <c r="AI27">
        <v>46</v>
      </c>
      <c r="AJ27">
        <v>28</v>
      </c>
      <c r="AK27">
        <v>36</v>
      </c>
      <c r="AL27">
        <v>23</v>
      </c>
      <c r="AM27">
        <v>3</v>
      </c>
      <c r="AN27">
        <v>121</v>
      </c>
      <c r="AO27">
        <v>54</v>
      </c>
      <c r="AP27">
        <v>44</v>
      </c>
      <c r="AQ27">
        <v>69</v>
      </c>
      <c r="AR27">
        <v>1135</v>
      </c>
      <c r="AS27">
        <v>950</v>
      </c>
      <c r="AT27" t="s">
        <v>7</v>
      </c>
      <c r="AU27">
        <v>0.45</v>
      </c>
      <c r="AV27">
        <v>2024</v>
      </c>
      <c r="AW27" s="1">
        <v>45874</v>
      </c>
      <c r="AX27">
        <v>26.6</v>
      </c>
      <c r="AY27" t="s">
        <v>36</v>
      </c>
      <c r="AZ27" t="s">
        <v>31</v>
      </c>
      <c r="BA27" t="s">
        <v>12</v>
      </c>
      <c r="BB27" t="s">
        <v>13</v>
      </c>
      <c r="BC27" t="s">
        <v>7</v>
      </c>
      <c r="BD27">
        <v>3</v>
      </c>
      <c r="BE27" t="s">
        <v>14</v>
      </c>
      <c r="BF27">
        <v>1.22</v>
      </c>
    </row>
    <row r="28" spans="1:58" hidden="1" x14ac:dyDescent="0.2">
      <c r="A28">
        <v>27</v>
      </c>
      <c r="B28" t="s">
        <v>0</v>
      </c>
      <c r="C28">
        <v>33</v>
      </c>
      <c r="D28" t="s">
        <v>1</v>
      </c>
      <c r="E28" t="s">
        <v>128</v>
      </c>
      <c r="F28" t="s">
        <v>15</v>
      </c>
      <c r="G28" t="s">
        <v>38</v>
      </c>
      <c r="H28" t="s">
        <v>34</v>
      </c>
      <c r="I28" t="s">
        <v>114</v>
      </c>
      <c r="J28" t="s">
        <v>32</v>
      </c>
      <c r="K28" t="s">
        <v>7</v>
      </c>
      <c r="L28">
        <v>7.8</v>
      </c>
      <c r="M28">
        <v>7.9</v>
      </c>
      <c r="N28" t="s">
        <v>29</v>
      </c>
      <c r="O28" t="s">
        <v>7</v>
      </c>
      <c r="P28" t="s">
        <v>46</v>
      </c>
      <c r="Q28">
        <v>30</v>
      </c>
      <c r="R28">
        <v>8</v>
      </c>
      <c r="S28">
        <v>20.399999999999999</v>
      </c>
      <c r="T28">
        <v>143</v>
      </c>
      <c r="U28">
        <v>64</v>
      </c>
      <c r="V28">
        <v>8072</v>
      </c>
      <c r="W28">
        <v>39.4</v>
      </c>
      <c r="X28">
        <v>2</v>
      </c>
      <c r="Y28">
        <v>6</v>
      </c>
      <c r="Z28">
        <v>8</v>
      </c>
      <c r="AA28">
        <v>1.1000000000000001</v>
      </c>
      <c r="AB28">
        <v>5</v>
      </c>
      <c r="AC28">
        <v>224</v>
      </c>
      <c r="AD28">
        <v>14</v>
      </c>
      <c r="AE28">
        <v>5</v>
      </c>
      <c r="AF28">
        <v>189</v>
      </c>
      <c r="AG28">
        <v>104</v>
      </c>
      <c r="AH28">
        <v>148</v>
      </c>
      <c r="AI28">
        <v>37</v>
      </c>
      <c r="AJ28">
        <v>29</v>
      </c>
      <c r="AK28">
        <v>32</v>
      </c>
      <c r="AL28">
        <v>21</v>
      </c>
      <c r="AM28">
        <v>4</v>
      </c>
      <c r="AN28">
        <v>132</v>
      </c>
      <c r="AO28">
        <v>63</v>
      </c>
      <c r="AP28">
        <v>45</v>
      </c>
      <c r="AQ28">
        <v>72</v>
      </c>
      <c r="AR28">
        <v>125</v>
      </c>
      <c r="AS28">
        <v>306</v>
      </c>
      <c r="AT28" t="s">
        <v>7</v>
      </c>
      <c r="AU28">
        <v>0.88</v>
      </c>
      <c r="AV28">
        <v>2011</v>
      </c>
      <c r="AW28" s="1">
        <v>45914</v>
      </c>
      <c r="AX28">
        <v>16</v>
      </c>
      <c r="AY28" t="s">
        <v>10</v>
      </c>
      <c r="AZ28" t="s">
        <v>31</v>
      </c>
      <c r="BA28" t="s">
        <v>122</v>
      </c>
      <c r="BB28" t="s">
        <v>13</v>
      </c>
      <c r="BC28" t="s">
        <v>7</v>
      </c>
      <c r="BD28">
        <v>2</v>
      </c>
      <c r="BE28" t="s">
        <v>14</v>
      </c>
      <c r="BF28">
        <v>1.05</v>
      </c>
    </row>
    <row r="29" spans="1:58" hidden="1" x14ac:dyDescent="0.2">
      <c r="A29">
        <v>28</v>
      </c>
      <c r="B29" t="s">
        <v>0</v>
      </c>
      <c r="C29">
        <v>45</v>
      </c>
      <c r="D29" t="s">
        <v>1</v>
      </c>
      <c r="E29" t="s">
        <v>50</v>
      </c>
      <c r="F29" t="s">
        <v>15</v>
      </c>
      <c r="G29" t="s">
        <v>117</v>
      </c>
      <c r="H29" t="s">
        <v>118</v>
      </c>
      <c r="I29" t="s">
        <v>113</v>
      </c>
      <c r="J29" t="s">
        <v>123</v>
      </c>
      <c r="K29" t="s">
        <v>13</v>
      </c>
      <c r="L29">
        <v>4</v>
      </c>
      <c r="M29">
        <v>7.8</v>
      </c>
      <c r="N29" t="s">
        <v>29</v>
      </c>
      <c r="O29" t="s">
        <v>7</v>
      </c>
      <c r="P29" t="s">
        <v>26</v>
      </c>
      <c r="Q29">
        <v>0</v>
      </c>
      <c r="R29">
        <v>9</v>
      </c>
      <c r="S29">
        <v>22.7</v>
      </c>
      <c r="T29">
        <v>131</v>
      </c>
      <c r="U29">
        <v>96</v>
      </c>
      <c r="V29">
        <v>7941</v>
      </c>
      <c r="W29">
        <v>41.5</v>
      </c>
      <c r="X29">
        <v>4</v>
      </c>
      <c r="Y29">
        <v>4</v>
      </c>
      <c r="Z29">
        <v>13</v>
      </c>
      <c r="AA29">
        <v>4.8</v>
      </c>
      <c r="AB29">
        <v>3</v>
      </c>
      <c r="AC29">
        <v>5</v>
      </c>
      <c r="AD29">
        <v>1</v>
      </c>
      <c r="AE29">
        <v>3</v>
      </c>
      <c r="AF29">
        <v>34</v>
      </c>
      <c r="AG29">
        <v>28</v>
      </c>
      <c r="AH29">
        <v>32</v>
      </c>
      <c r="AI29">
        <v>3</v>
      </c>
      <c r="AJ29">
        <v>7</v>
      </c>
      <c r="AK29">
        <v>5</v>
      </c>
      <c r="AL29">
        <v>5</v>
      </c>
      <c r="AM29">
        <v>4</v>
      </c>
      <c r="AN29">
        <v>3</v>
      </c>
      <c r="AO29">
        <v>1</v>
      </c>
      <c r="AP29">
        <v>1</v>
      </c>
      <c r="AQ29">
        <v>1</v>
      </c>
      <c r="AR29">
        <v>988</v>
      </c>
      <c r="AS29">
        <v>1324</v>
      </c>
      <c r="AT29" t="s">
        <v>7</v>
      </c>
      <c r="AU29">
        <v>0.68</v>
      </c>
      <c r="AV29">
        <v>2022</v>
      </c>
      <c r="AW29" s="1">
        <v>45900</v>
      </c>
      <c r="AX29">
        <v>5</v>
      </c>
      <c r="AY29" t="s">
        <v>36</v>
      </c>
      <c r="AZ29" t="s">
        <v>11</v>
      </c>
      <c r="BA29" t="s">
        <v>21</v>
      </c>
      <c r="BB29" t="s">
        <v>13</v>
      </c>
      <c r="BC29" t="s">
        <v>13</v>
      </c>
      <c r="BD29">
        <v>0</v>
      </c>
      <c r="BE29" t="s">
        <v>14</v>
      </c>
      <c r="BF29">
        <v>7.83</v>
      </c>
    </row>
    <row r="30" spans="1:58" hidden="1" x14ac:dyDescent="0.2">
      <c r="A30">
        <v>29</v>
      </c>
      <c r="B30" t="s">
        <v>0</v>
      </c>
      <c r="C30">
        <v>24</v>
      </c>
      <c r="D30" t="s">
        <v>28</v>
      </c>
      <c r="E30" t="s">
        <v>2</v>
      </c>
      <c r="F30" t="s">
        <v>15</v>
      </c>
      <c r="G30" t="s">
        <v>16</v>
      </c>
      <c r="H30" t="s">
        <v>118</v>
      </c>
      <c r="I30" t="s">
        <v>112</v>
      </c>
      <c r="J30" t="s">
        <v>32</v>
      </c>
      <c r="K30" t="s">
        <v>13</v>
      </c>
      <c r="L30">
        <v>6.8</v>
      </c>
      <c r="M30">
        <v>6.2</v>
      </c>
      <c r="N30" t="s">
        <v>8</v>
      </c>
      <c r="O30" t="s">
        <v>7</v>
      </c>
      <c r="P30" t="s">
        <v>121</v>
      </c>
      <c r="Q30">
        <v>30</v>
      </c>
      <c r="R30">
        <v>1</v>
      </c>
      <c r="S30">
        <v>25.2</v>
      </c>
      <c r="T30">
        <v>117</v>
      </c>
      <c r="U30">
        <v>75</v>
      </c>
      <c r="V30">
        <v>7925</v>
      </c>
      <c r="W30">
        <v>44.5</v>
      </c>
      <c r="X30">
        <v>2</v>
      </c>
      <c r="Y30">
        <v>1</v>
      </c>
      <c r="Z30">
        <v>12</v>
      </c>
      <c r="AA30">
        <v>5.0999999999999996</v>
      </c>
      <c r="AB30">
        <v>5</v>
      </c>
      <c r="AC30">
        <v>329</v>
      </c>
      <c r="AD30">
        <v>16</v>
      </c>
      <c r="AE30">
        <v>16</v>
      </c>
      <c r="AF30">
        <v>300</v>
      </c>
      <c r="AG30">
        <v>150</v>
      </c>
      <c r="AH30">
        <v>188</v>
      </c>
      <c r="AI30">
        <v>60</v>
      </c>
      <c r="AJ30">
        <v>39</v>
      </c>
      <c r="AK30">
        <v>45</v>
      </c>
      <c r="AL30">
        <v>34</v>
      </c>
      <c r="AM30">
        <v>8</v>
      </c>
      <c r="AN30">
        <v>160</v>
      </c>
      <c r="AO30">
        <v>92</v>
      </c>
      <c r="AP30">
        <v>46</v>
      </c>
      <c r="AQ30">
        <v>119</v>
      </c>
      <c r="AR30">
        <v>244</v>
      </c>
      <c r="AS30">
        <v>471</v>
      </c>
      <c r="AT30" t="s">
        <v>7</v>
      </c>
      <c r="AU30">
        <v>0.11</v>
      </c>
      <c r="AV30">
        <v>2015</v>
      </c>
      <c r="AW30" s="1">
        <v>45920</v>
      </c>
      <c r="AX30">
        <v>20.6</v>
      </c>
      <c r="AY30" t="s">
        <v>36</v>
      </c>
      <c r="AZ30" t="s">
        <v>20</v>
      </c>
      <c r="BA30" t="s">
        <v>12</v>
      </c>
      <c r="BB30" t="s">
        <v>7</v>
      </c>
      <c r="BC30" t="s">
        <v>7</v>
      </c>
      <c r="BD30">
        <v>3</v>
      </c>
      <c r="BE30" t="s">
        <v>14</v>
      </c>
      <c r="BF30">
        <v>1.08</v>
      </c>
    </row>
    <row r="31" spans="1:58" hidden="1" x14ac:dyDescent="0.2">
      <c r="A31">
        <v>30</v>
      </c>
      <c r="B31" t="s">
        <v>0</v>
      </c>
      <c r="C31">
        <v>34</v>
      </c>
      <c r="D31" t="s">
        <v>1</v>
      </c>
      <c r="E31" t="s">
        <v>47</v>
      </c>
      <c r="F31" t="s">
        <v>40</v>
      </c>
      <c r="G31" t="s">
        <v>16</v>
      </c>
      <c r="H31" t="s">
        <v>23</v>
      </c>
      <c r="I31" t="s">
        <v>112</v>
      </c>
      <c r="J31" t="s">
        <v>6</v>
      </c>
      <c r="K31" t="s">
        <v>7</v>
      </c>
      <c r="L31">
        <v>6.7</v>
      </c>
      <c r="M31">
        <v>7.2</v>
      </c>
      <c r="N31" t="s">
        <v>8</v>
      </c>
      <c r="O31" t="s">
        <v>13</v>
      </c>
      <c r="P31" t="s">
        <v>121</v>
      </c>
      <c r="Q31">
        <v>26</v>
      </c>
      <c r="R31">
        <v>7</v>
      </c>
      <c r="S31">
        <v>29.7</v>
      </c>
      <c r="T31">
        <v>95</v>
      </c>
      <c r="U31">
        <v>96</v>
      </c>
      <c r="V31">
        <v>8018</v>
      </c>
      <c r="W31">
        <v>35.700000000000003</v>
      </c>
      <c r="X31">
        <v>6</v>
      </c>
      <c r="Y31">
        <v>6</v>
      </c>
      <c r="Z31">
        <v>14</v>
      </c>
      <c r="AA31">
        <v>0.1</v>
      </c>
      <c r="AB31">
        <v>1</v>
      </c>
      <c r="AC31">
        <v>241</v>
      </c>
      <c r="AD31">
        <v>11</v>
      </c>
      <c r="AE31">
        <v>11</v>
      </c>
      <c r="AF31">
        <v>183</v>
      </c>
      <c r="AG31">
        <v>137</v>
      </c>
      <c r="AH31">
        <v>130</v>
      </c>
      <c r="AI31">
        <v>33</v>
      </c>
      <c r="AJ31">
        <v>26</v>
      </c>
      <c r="AK31">
        <v>26</v>
      </c>
      <c r="AL31">
        <v>30</v>
      </c>
      <c r="AM31">
        <v>5</v>
      </c>
      <c r="AN31">
        <v>112</v>
      </c>
      <c r="AO31">
        <v>27</v>
      </c>
      <c r="AP31">
        <v>40</v>
      </c>
      <c r="AQ31">
        <v>88</v>
      </c>
      <c r="AR31">
        <v>1945</v>
      </c>
      <c r="AS31">
        <v>3236</v>
      </c>
      <c r="AT31" t="s">
        <v>13</v>
      </c>
      <c r="AU31">
        <v>0.15</v>
      </c>
      <c r="AV31">
        <v>2023</v>
      </c>
      <c r="AW31" s="1">
        <v>46017</v>
      </c>
      <c r="AX31">
        <v>21.9</v>
      </c>
      <c r="AY31" t="s">
        <v>19</v>
      </c>
      <c r="AZ31" t="s">
        <v>20</v>
      </c>
      <c r="BA31" t="s">
        <v>21</v>
      </c>
      <c r="BB31" t="s">
        <v>7</v>
      </c>
      <c r="BC31" t="s">
        <v>7</v>
      </c>
      <c r="BD31">
        <v>1</v>
      </c>
      <c r="BE31" t="s">
        <v>14</v>
      </c>
      <c r="BF31">
        <v>0.95</v>
      </c>
    </row>
    <row r="32" spans="1:58" hidden="1" x14ac:dyDescent="0.2">
      <c r="A32">
        <v>31</v>
      </c>
      <c r="B32" t="s">
        <v>0</v>
      </c>
      <c r="C32">
        <v>56</v>
      </c>
      <c r="D32" t="s">
        <v>1</v>
      </c>
      <c r="E32" t="s">
        <v>128</v>
      </c>
      <c r="F32" t="s">
        <v>15</v>
      </c>
      <c r="G32" t="s">
        <v>117</v>
      </c>
      <c r="H32" t="s">
        <v>119</v>
      </c>
      <c r="I32" t="s">
        <v>115</v>
      </c>
      <c r="J32" t="s">
        <v>32</v>
      </c>
      <c r="K32" t="s">
        <v>7</v>
      </c>
      <c r="L32">
        <v>8.3000000000000007</v>
      </c>
      <c r="M32">
        <v>6.9</v>
      </c>
      <c r="N32" t="s">
        <v>29</v>
      </c>
      <c r="O32" t="s">
        <v>13</v>
      </c>
      <c r="P32" t="s">
        <v>121</v>
      </c>
      <c r="Q32">
        <v>3</v>
      </c>
      <c r="R32">
        <v>2</v>
      </c>
      <c r="S32">
        <v>20.9</v>
      </c>
      <c r="T32">
        <v>138</v>
      </c>
      <c r="U32">
        <v>94</v>
      </c>
      <c r="V32">
        <v>7877</v>
      </c>
      <c r="W32">
        <v>23</v>
      </c>
      <c r="X32">
        <v>2</v>
      </c>
      <c r="Y32">
        <v>2</v>
      </c>
      <c r="Z32">
        <v>6</v>
      </c>
      <c r="AA32">
        <v>3.7</v>
      </c>
      <c r="AB32">
        <v>4</v>
      </c>
      <c r="AC32">
        <v>67</v>
      </c>
      <c r="AD32">
        <v>3</v>
      </c>
      <c r="AE32">
        <v>2</v>
      </c>
      <c r="AF32">
        <v>93</v>
      </c>
      <c r="AG32">
        <v>57</v>
      </c>
      <c r="AH32">
        <v>46</v>
      </c>
      <c r="AI32">
        <v>15</v>
      </c>
      <c r="AJ32">
        <v>15</v>
      </c>
      <c r="AK32">
        <v>19</v>
      </c>
      <c r="AL32">
        <v>14</v>
      </c>
      <c r="AM32">
        <v>2</v>
      </c>
      <c r="AN32">
        <v>36</v>
      </c>
      <c r="AO32">
        <v>8</v>
      </c>
      <c r="AP32">
        <v>16</v>
      </c>
      <c r="AQ32">
        <v>25</v>
      </c>
      <c r="AR32">
        <v>729</v>
      </c>
      <c r="AS32">
        <v>637</v>
      </c>
      <c r="AT32" t="s">
        <v>13</v>
      </c>
      <c r="AU32">
        <v>0.8</v>
      </c>
      <c r="AV32">
        <v>2022</v>
      </c>
      <c r="AW32" s="1">
        <v>45915</v>
      </c>
      <c r="AX32">
        <v>22.3</v>
      </c>
      <c r="AY32" t="s">
        <v>19</v>
      </c>
      <c r="AZ32" t="s">
        <v>37</v>
      </c>
      <c r="BA32" t="s">
        <v>21</v>
      </c>
      <c r="BB32" t="s">
        <v>13</v>
      </c>
      <c r="BC32" t="s">
        <v>7</v>
      </c>
      <c r="BD32">
        <v>2</v>
      </c>
      <c r="BE32" t="s">
        <v>14</v>
      </c>
      <c r="BF32">
        <v>1.21</v>
      </c>
    </row>
    <row r="33" spans="1:58" hidden="1" x14ac:dyDescent="0.2">
      <c r="A33">
        <v>32</v>
      </c>
      <c r="B33" t="s">
        <v>0</v>
      </c>
      <c r="C33">
        <v>37</v>
      </c>
      <c r="D33" t="s">
        <v>28</v>
      </c>
      <c r="E33" t="s">
        <v>47</v>
      </c>
      <c r="F33" t="s">
        <v>15</v>
      </c>
      <c r="G33" t="s">
        <v>38</v>
      </c>
      <c r="H33" t="s">
        <v>118</v>
      </c>
      <c r="I33" t="s">
        <v>114</v>
      </c>
      <c r="J33" t="s">
        <v>6</v>
      </c>
      <c r="K33" t="s">
        <v>13</v>
      </c>
      <c r="L33">
        <v>1</v>
      </c>
      <c r="M33">
        <v>7.3</v>
      </c>
      <c r="N33" t="s">
        <v>8</v>
      </c>
      <c r="O33" t="s">
        <v>7</v>
      </c>
      <c r="P33" t="s">
        <v>26</v>
      </c>
      <c r="Q33">
        <v>22</v>
      </c>
      <c r="R33">
        <v>1</v>
      </c>
      <c r="S33">
        <v>23.1</v>
      </c>
      <c r="T33">
        <v>157</v>
      </c>
      <c r="U33">
        <v>79</v>
      </c>
      <c r="V33">
        <v>7873</v>
      </c>
      <c r="W33">
        <v>32.1</v>
      </c>
      <c r="X33">
        <v>3</v>
      </c>
      <c r="Y33">
        <v>3</v>
      </c>
      <c r="Z33">
        <v>6</v>
      </c>
      <c r="AA33">
        <v>3.1</v>
      </c>
      <c r="AB33">
        <v>4</v>
      </c>
      <c r="AC33">
        <v>263</v>
      </c>
      <c r="AD33">
        <v>24</v>
      </c>
      <c r="AE33">
        <v>14</v>
      </c>
      <c r="AF33">
        <v>206</v>
      </c>
      <c r="AG33">
        <v>146</v>
      </c>
      <c r="AH33">
        <v>136</v>
      </c>
      <c r="AI33">
        <v>39</v>
      </c>
      <c r="AJ33">
        <v>29</v>
      </c>
      <c r="AK33">
        <v>46</v>
      </c>
      <c r="AL33">
        <v>21</v>
      </c>
      <c r="AM33">
        <v>6</v>
      </c>
      <c r="AN33">
        <v>140</v>
      </c>
      <c r="AO33">
        <v>66</v>
      </c>
      <c r="AP33">
        <v>52</v>
      </c>
      <c r="AQ33">
        <v>83</v>
      </c>
      <c r="AR33">
        <v>1790</v>
      </c>
      <c r="AS33">
        <v>3556</v>
      </c>
      <c r="AT33" t="s">
        <v>7</v>
      </c>
      <c r="AU33">
        <v>0.02</v>
      </c>
      <c r="AV33">
        <v>2015</v>
      </c>
      <c r="AW33" s="1">
        <v>45796</v>
      </c>
      <c r="AX33">
        <v>11</v>
      </c>
      <c r="AY33" t="s">
        <v>45</v>
      </c>
      <c r="AZ33" t="s">
        <v>31</v>
      </c>
      <c r="BA33" t="s">
        <v>21</v>
      </c>
      <c r="BB33" t="s">
        <v>13</v>
      </c>
      <c r="BC33" t="s">
        <v>7</v>
      </c>
      <c r="BD33">
        <v>2</v>
      </c>
      <c r="BE33" t="s">
        <v>14</v>
      </c>
      <c r="BF33">
        <v>0.97</v>
      </c>
    </row>
    <row r="34" spans="1:58" hidden="1" x14ac:dyDescent="0.2">
      <c r="A34">
        <v>33</v>
      </c>
      <c r="B34" t="s">
        <v>0</v>
      </c>
      <c r="C34">
        <v>61</v>
      </c>
      <c r="D34" t="s">
        <v>1</v>
      </c>
      <c r="E34" t="s">
        <v>128</v>
      </c>
      <c r="F34" t="s">
        <v>40</v>
      </c>
      <c r="G34" t="s">
        <v>38</v>
      </c>
      <c r="H34" t="s">
        <v>24</v>
      </c>
      <c r="I34" t="s">
        <v>112</v>
      </c>
      <c r="J34" t="s">
        <v>32</v>
      </c>
      <c r="K34" t="s">
        <v>13</v>
      </c>
      <c r="L34">
        <v>10.1</v>
      </c>
      <c r="M34">
        <v>7.7</v>
      </c>
      <c r="N34" t="s">
        <v>29</v>
      </c>
      <c r="O34" t="s">
        <v>7</v>
      </c>
      <c r="P34" t="s">
        <v>46</v>
      </c>
      <c r="Q34">
        <v>22</v>
      </c>
      <c r="R34">
        <v>9</v>
      </c>
      <c r="S34">
        <v>25.1</v>
      </c>
      <c r="T34">
        <v>99</v>
      </c>
      <c r="U34">
        <v>82</v>
      </c>
      <c r="V34">
        <v>7998</v>
      </c>
      <c r="W34">
        <v>58.3</v>
      </c>
      <c r="X34">
        <v>1</v>
      </c>
      <c r="Y34">
        <v>5</v>
      </c>
      <c r="Z34">
        <v>12</v>
      </c>
      <c r="AA34">
        <v>4.0999999999999996</v>
      </c>
      <c r="AB34">
        <v>3</v>
      </c>
      <c r="AC34">
        <v>107</v>
      </c>
      <c r="AD34">
        <v>4</v>
      </c>
      <c r="AE34">
        <v>3</v>
      </c>
      <c r="AF34">
        <v>107</v>
      </c>
      <c r="AG34">
        <v>66</v>
      </c>
      <c r="AH34">
        <v>88</v>
      </c>
      <c r="AI34">
        <v>20</v>
      </c>
      <c r="AJ34">
        <v>28</v>
      </c>
      <c r="AK34">
        <v>16</v>
      </c>
      <c r="AL34">
        <v>13</v>
      </c>
      <c r="AM34">
        <v>3</v>
      </c>
      <c r="AN34">
        <v>47</v>
      </c>
      <c r="AO34">
        <v>31</v>
      </c>
      <c r="AP34">
        <v>24</v>
      </c>
      <c r="AQ34">
        <v>31</v>
      </c>
      <c r="AR34">
        <v>1492</v>
      </c>
      <c r="AS34">
        <v>1006</v>
      </c>
      <c r="AT34" t="s">
        <v>7</v>
      </c>
      <c r="AU34">
        <v>0.97</v>
      </c>
      <c r="AV34">
        <v>2014</v>
      </c>
      <c r="AW34" s="1">
        <v>45706</v>
      </c>
      <c r="AX34">
        <v>26.8</v>
      </c>
      <c r="AY34" t="s">
        <v>19</v>
      </c>
      <c r="AZ34" t="s">
        <v>11</v>
      </c>
      <c r="BA34" t="s">
        <v>12</v>
      </c>
      <c r="BB34" t="s">
        <v>7</v>
      </c>
      <c r="BC34" t="s">
        <v>7</v>
      </c>
      <c r="BD34">
        <v>1</v>
      </c>
      <c r="BE34" t="s">
        <v>49</v>
      </c>
      <c r="BF34">
        <v>1.27</v>
      </c>
    </row>
    <row r="35" spans="1:58" hidden="1" x14ac:dyDescent="0.2">
      <c r="A35">
        <v>34</v>
      </c>
      <c r="B35" t="s">
        <v>0</v>
      </c>
      <c r="C35">
        <v>39</v>
      </c>
      <c r="D35" t="s">
        <v>28</v>
      </c>
      <c r="E35" t="s">
        <v>47</v>
      </c>
      <c r="F35" t="s">
        <v>40</v>
      </c>
      <c r="G35" t="s">
        <v>117</v>
      </c>
      <c r="H35" t="s">
        <v>24</v>
      </c>
      <c r="I35" t="s">
        <v>115</v>
      </c>
      <c r="J35" t="s">
        <v>18</v>
      </c>
      <c r="K35" t="s">
        <v>7</v>
      </c>
      <c r="L35">
        <v>5.9</v>
      </c>
      <c r="M35">
        <v>7.9</v>
      </c>
      <c r="N35" t="s">
        <v>25</v>
      </c>
      <c r="O35" t="s">
        <v>13</v>
      </c>
      <c r="P35" t="s">
        <v>9</v>
      </c>
      <c r="Q35">
        <v>27</v>
      </c>
      <c r="R35">
        <v>8</v>
      </c>
      <c r="S35">
        <v>23.3</v>
      </c>
      <c r="T35">
        <v>155</v>
      </c>
      <c r="U35">
        <v>95</v>
      </c>
      <c r="V35">
        <v>7934</v>
      </c>
      <c r="W35">
        <v>31.6</v>
      </c>
      <c r="X35">
        <v>5</v>
      </c>
      <c r="Y35">
        <v>6</v>
      </c>
      <c r="Z35">
        <v>14</v>
      </c>
      <c r="AA35">
        <v>0.8</v>
      </c>
      <c r="AB35">
        <v>3</v>
      </c>
      <c r="AC35">
        <v>185</v>
      </c>
      <c r="AD35">
        <v>12</v>
      </c>
      <c r="AE35">
        <v>3</v>
      </c>
      <c r="AF35">
        <v>169</v>
      </c>
      <c r="AG35">
        <v>89</v>
      </c>
      <c r="AH35">
        <v>105</v>
      </c>
      <c r="AI35">
        <v>33</v>
      </c>
      <c r="AJ35">
        <v>28</v>
      </c>
      <c r="AK35">
        <v>31</v>
      </c>
      <c r="AL35">
        <v>24</v>
      </c>
      <c r="AM35">
        <v>4</v>
      </c>
      <c r="AN35">
        <v>81</v>
      </c>
      <c r="AO35">
        <v>28</v>
      </c>
      <c r="AP35">
        <v>41</v>
      </c>
      <c r="AQ35">
        <v>51</v>
      </c>
      <c r="AR35">
        <v>3885</v>
      </c>
      <c r="AS35">
        <v>6249</v>
      </c>
      <c r="AT35" t="s">
        <v>7</v>
      </c>
      <c r="AU35">
        <v>0.77</v>
      </c>
      <c r="AV35">
        <v>2017</v>
      </c>
      <c r="AW35" s="1">
        <v>45957</v>
      </c>
      <c r="AX35">
        <v>15.4</v>
      </c>
      <c r="AY35" t="s">
        <v>45</v>
      </c>
      <c r="AZ35" t="s">
        <v>20</v>
      </c>
      <c r="BA35" t="s">
        <v>21</v>
      </c>
      <c r="BB35" t="s">
        <v>13</v>
      </c>
      <c r="BC35" t="s">
        <v>13</v>
      </c>
      <c r="BD35">
        <v>2</v>
      </c>
      <c r="BE35" t="s">
        <v>14</v>
      </c>
      <c r="BF35">
        <v>0.97</v>
      </c>
    </row>
    <row r="36" spans="1:58" hidden="1" x14ac:dyDescent="0.2">
      <c r="A36">
        <v>35</v>
      </c>
      <c r="B36" t="s">
        <v>0</v>
      </c>
      <c r="C36">
        <v>54</v>
      </c>
      <c r="D36" t="s">
        <v>28</v>
      </c>
      <c r="E36" t="s">
        <v>47</v>
      </c>
      <c r="F36" t="s">
        <v>3</v>
      </c>
      <c r="G36" t="s">
        <v>4</v>
      </c>
      <c r="H36" t="s">
        <v>118</v>
      </c>
      <c r="I36" t="s">
        <v>114</v>
      </c>
      <c r="J36" t="s">
        <v>32</v>
      </c>
      <c r="K36" t="s">
        <v>7</v>
      </c>
      <c r="L36">
        <v>2.2000000000000002</v>
      </c>
      <c r="M36">
        <v>7.8</v>
      </c>
      <c r="N36" t="s">
        <v>29</v>
      </c>
      <c r="O36" t="s">
        <v>7</v>
      </c>
      <c r="P36" t="s">
        <v>46</v>
      </c>
      <c r="Q36">
        <v>10</v>
      </c>
      <c r="R36">
        <v>6</v>
      </c>
      <c r="S36">
        <v>25.2</v>
      </c>
      <c r="T36">
        <v>131</v>
      </c>
      <c r="U36">
        <v>81</v>
      </c>
      <c r="V36">
        <v>8053</v>
      </c>
      <c r="W36">
        <v>44.9</v>
      </c>
      <c r="X36">
        <v>4</v>
      </c>
      <c r="Y36">
        <v>4</v>
      </c>
      <c r="Z36">
        <v>11</v>
      </c>
      <c r="AA36">
        <v>2.2999999999999998</v>
      </c>
      <c r="AB36">
        <v>1</v>
      </c>
      <c r="AC36">
        <v>67</v>
      </c>
      <c r="AD36">
        <v>8</v>
      </c>
      <c r="AE36">
        <v>9</v>
      </c>
      <c r="AF36">
        <v>86</v>
      </c>
      <c r="AG36">
        <v>50</v>
      </c>
      <c r="AH36">
        <v>53</v>
      </c>
      <c r="AI36">
        <v>18</v>
      </c>
      <c r="AJ36">
        <v>19</v>
      </c>
      <c r="AK36">
        <v>16</v>
      </c>
      <c r="AL36">
        <v>9</v>
      </c>
      <c r="AM36">
        <v>3</v>
      </c>
      <c r="AN36">
        <v>39</v>
      </c>
      <c r="AO36">
        <v>12</v>
      </c>
      <c r="AP36">
        <v>8</v>
      </c>
      <c r="AQ36">
        <v>17</v>
      </c>
      <c r="AR36">
        <v>766</v>
      </c>
      <c r="AS36">
        <v>1202</v>
      </c>
      <c r="AT36" t="s">
        <v>13</v>
      </c>
      <c r="AU36">
        <v>0.89</v>
      </c>
      <c r="AV36">
        <v>2012</v>
      </c>
      <c r="AW36" s="1">
        <v>45815</v>
      </c>
      <c r="AX36">
        <v>8.4</v>
      </c>
      <c r="AY36" t="s">
        <v>30</v>
      </c>
      <c r="AZ36" t="s">
        <v>35</v>
      </c>
      <c r="BA36" t="s">
        <v>21</v>
      </c>
      <c r="BB36" t="s">
        <v>13</v>
      </c>
      <c r="BC36" t="s">
        <v>13</v>
      </c>
      <c r="BD36">
        <v>1</v>
      </c>
      <c r="BE36" t="s">
        <v>14</v>
      </c>
      <c r="BF36">
        <v>1.71</v>
      </c>
    </row>
    <row r="37" spans="1:58" hidden="1" x14ac:dyDescent="0.2">
      <c r="A37">
        <v>36</v>
      </c>
      <c r="B37" t="s">
        <v>0</v>
      </c>
      <c r="C37">
        <v>40</v>
      </c>
      <c r="D37" t="s">
        <v>28</v>
      </c>
      <c r="E37" t="s">
        <v>42</v>
      </c>
      <c r="F37" t="s">
        <v>15</v>
      </c>
      <c r="G37" t="s">
        <v>116</v>
      </c>
      <c r="H37" t="s">
        <v>118</v>
      </c>
      <c r="I37" t="s">
        <v>112</v>
      </c>
      <c r="J37" t="s">
        <v>18</v>
      </c>
      <c r="K37" t="s">
        <v>7</v>
      </c>
      <c r="L37">
        <v>1.2</v>
      </c>
      <c r="M37">
        <v>7.2</v>
      </c>
      <c r="N37" t="s">
        <v>25</v>
      </c>
      <c r="O37" t="s">
        <v>41</v>
      </c>
      <c r="P37" t="s">
        <v>26</v>
      </c>
      <c r="Q37">
        <v>23</v>
      </c>
      <c r="R37">
        <v>5</v>
      </c>
      <c r="S37">
        <v>25</v>
      </c>
      <c r="T37">
        <v>104</v>
      </c>
      <c r="U37">
        <v>92</v>
      </c>
      <c r="V37">
        <v>7941</v>
      </c>
      <c r="W37">
        <v>44.8</v>
      </c>
      <c r="X37">
        <v>4</v>
      </c>
      <c r="Y37">
        <v>5</v>
      </c>
      <c r="Z37">
        <v>10</v>
      </c>
      <c r="AA37">
        <v>1.5</v>
      </c>
      <c r="AB37">
        <v>2</v>
      </c>
      <c r="AC37">
        <v>180</v>
      </c>
      <c r="AD37">
        <v>10</v>
      </c>
      <c r="AE37">
        <v>2</v>
      </c>
      <c r="AF37">
        <v>144</v>
      </c>
      <c r="AG37">
        <v>103</v>
      </c>
      <c r="AH37">
        <v>137</v>
      </c>
      <c r="AI37">
        <v>34</v>
      </c>
      <c r="AJ37">
        <v>23</v>
      </c>
      <c r="AK37">
        <v>28</v>
      </c>
      <c r="AL37">
        <v>23</v>
      </c>
      <c r="AM37">
        <v>3</v>
      </c>
      <c r="AN37">
        <v>73</v>
      </c>
      <c r="AO37">
        <v>43</v>
      </c>
      <c r="AP37">
        <v>21</v>
      </c>
      <c r="AQ37">
        <v>51</v>
      </c>
      <c r="AR37">
        <v>111</v>
      </c>
      <c r="AS37">
        <v>276</v>
      </c>
      <c r="AT37" t="s">
        <v>13</v>
      </c>
      <c r="AU37">
        <v>0.27</v>
      </c>
      <c r="AV37">
        <v>2011</v>
      </c>
      <c r="AW37" s="1">
        <v>45953</v>
      </c>
      <c r="AX37">
        <v>18</v>
      </c>
      <c r="AY37" t="s">
        <v>10</v>
      </c>
      <c r="AZ37" t="s">
        <v>51</v>
      </c>
      <c r="BA37" t="s">
        <v>122</v>
      </c>
      <c r="BB37" t="s">
        <v>13</v>
      </c>
      <c r="BC37" t="s">
        <v>7</v>
      </c>
      <c r="BD37">
        <v>0</v>
      </c>
      <c r="BE37" t="s">
        <v>14</v>
      </c>
      <c r="BF37">
        <v>1.17</v>
      </c>
    </row>
    <row r="38" spans="1:58" hidden="1" x14ac:dyDescent="0.2">
      <c r="A38">
        <v>37</v>
      </c>
      <c r="B38" t="s">
        <v>0</v>
      </c>
      <c r="C38">
        <v>28</v>
      </c>
      <c r="D38" t="s">
        <v>124</v>
      </c>
      <c r="E38" t="s">
        <v>2</v>
      </c>
      <c r="F38" t="s">
        <v>15</v>
      </c>
      <c r="G38" t="s">
        <v>38</v>
      </c>
      <c r="H38" t="s">
        <v>118</v>
      </c>
      <c r="I38" t="s">
        <v>112</v>
      </c>
      <c r="J38" t="s">
        <v>123</v>
      </c>
      <c r="K38" t="s">
        <v>7</v>
      </c>
      <c r="L38">
        <v>5.8</v>
      </c>
      <c r="M38">
        <v>7.9</v>
      </c>
      <c r="N38" t="s">
        <v>29</v>
      </c>
      <c r="O38" t="s">
        <v>7</v>
      </c>
      <c r="P38" t="s">
        <v>9</v>
      </c>
      <c r="Q38">
        <v>3</v>
      </c>
      <c r="R38">
        <v>7</v>
      </c>
      <c r="S38">
        <v>22.6</v>
      </c>
      <c r="T38">
        <v>94</v>
      </c>
      <c r="U38">
        <v>73</v>
      </c>
      <c r="V38">
        <v>8177</v>
      </c>
      <c r="W38">
        <v>55.1</v>
      </c>
      <c r="X38">
        <v>3</v>
      </c>
      <c r="Y38">
        <v>6</v>
      </c>
      <c r="Z38">
        <v>5</v>
      </c>
      <c r="AA38">
        <v>13</v>
      </c>
      <c r="AB38">
        <v>3</v>
      </c>
      <c r="AC38">
        <v>37</v>
      </c>
      <c r="AD38">
        <v>1</v>
      </c>
      <c r="AE38">
        <v>3</v>
      </c>
      <c r="AF38">
        <v>163</v>
      </c>
      <c r="AG38">
        <v>48</v>
      </c>
      <c r="AH38">
        <v>51</v>
      </c>
      <c r="AI38">
        <v>16</v>
      </c>
      <c r="AJ38">
        <v>18</v>
      </c>
      <c r="AK38">
        <v>13</v>
      </c>
      <c r="AL38">
        <v>12</v>
      </c>
      <c r="AM38">
        <v>3</v>
      </c>
      <c r="AN38">
        <v>16</v>
      </c>
      <c r="AO38">
        <v>7</v>
      </c>
      <c r="AP38">
        <v>8</v>
      </c>
      <c r="AQ38">
        <v>9</v>
      </c>
      <c r="AR38">
        <v>248</v>
      </c>
      <c r="AS38">
        <v>102</v>
      </c>
      <c r="AT38" t="s">
        <v>7</v>
      </c>
      <c r="AU38">
        <v>0.9</v>
      </c>
      <c r="AV38">
        <v>2011</v>
      </c>
      <c r="AW38" s="1">
        <v>45855</v>
      </c>
      <c r="AX38">
        <v>37</v>
      </c>
      <c r="AY38" t="s">
        <v>36</v>
      </c>
      <c r="AZ38" t="s">
        <v>31</v>
      </c>
      <c r="BA38" t="s">
        <v>122</v>
      </c>
      <c r="BB38" t="s">
        <v>7</v>
      </c>
      <c r="BC38" t="s">
        <v>13</v>
      </c>
      <c r="BD38">
        <v>2</v>
      </c>
      <c r="BE38" t="s">
        <v>14</v>
      </c>
      <c r="BF38">
        <v>2.42</v>
      </c>
    </row>
    <row r="39" spans="1:58" hidden="1" x14ac:dyDescent="0.2">
      <c r="A39">
        <v>38</v>
      </c>
      <c r="B39" t="s">
        <v>0</v>
      </c>
      <c r="C39">
        <v>27</v>
      </c>
      <c r="D39" t="s">
        <v>124</v>
      </c>
      <c r="E39" t="s">
        <v>42</v>
      </c>
      <c r="F39" t="s">
        <v>15</v>
      </c>
      <c r="G39" t="s">
        <v>38</v>
      </c>
      <c r="H39" t="s">
        <v>23</v>
      </c>
      <c r="I39" t="s">
        <v>112</v>
      </c>
      <c r="J39" t="s">
        <v>18</v>
      </c>
      <c r="K39" t="s">
        <v>7</v>
      </c>
      <c r="L39">
        <v>9.6999999999999993</v>
      </c>
      <c r="M39">
        <v>6.9</v>
      </c>
      <c r="N39" t="s">
        <v>39</v>
      </c>
      <c r="O39" t="s">
        <v>13</v>
      </c>
      <c r="P39" t="s">
        <v>26</v>
      </c>
      <c r="Q39">
        <v>12</v>
      </c>
      <c r="R39">
        <v>2</v>
      </c>
      <c r="S39">
        <v>20.100000000000001</v>
      </c>
      <c r="T39">
        <v>112</v>
      </c>
      <c r="U39">
        <v>93</v>
      </c>
      <c r="V39">
        <v>7976</v>
      </c>
      <c r="W39">
        <v>35.4</v>
      </c>
      <c r="X39">
        <v>3</v>
      </c>
      <c r="Y39">
        <v>1</v>
      </c>
      <c r="Z39">
        <v>10</v>
      </c>
      <c r="AA39">
        <v>8</v>
      </c>
      <c r="AB39">
        <v>3</v>
      </c>
      <c r="AC39">
        <v>145</v>
      </c>
      <c r="AD39">
        <v>11</v>
      </c>
      <c r="AE39">
        <v>2</v>
      </c>
      <c r="AF39">
        <v>190</v>
      </c>
      <c r="AG39">
        <v>83</v>
      </c>
      <c r="AH39">
        <v>84</v>
      </c>
      <c r="AI39">
        <v>25</v>
      </c>
      <c r="AJ39">
        <v>21</v>
      </c>
      <c r="AK39">
        <v>28</v>
      </c>
      <c r="AL39">
        <v>14</v>
      </c>
      <c r="AM39">
        <v>3</v>
      </c>
      <c r="AN39">
        <v>87</v>
      </c>
      <c r="AO39">
        <v>24</v>
      </c>
      <c r="AP39">
        <v>20</v>
      </c>
      <c r="AQ39">
        <v>57</v>
      </c>
      <c r="AR39">
        <v>667</v>
      </c>
      <c r="AS39">
        <v>875</v>
      </c>
      <c r="AT39" t="s">
        <v>7</v>
      </c>
      <c r="AU39">
        <v>0.24</v>
      </c>
      <c r="AV39">
        <v>2016</v>
      </c>
      <c r="AW39" s="1">
        <v>45725</v>
      </c>
      <c r="AX39">
        <v>13.2</v>
      </c>
      <c r="AY39" t="s">
        <v>19</v>
      </c>
      <c r="AZ39" t="s">
        <v>37</v>
      </c>
      <c r="BA39" t="s">
        <v>21</v>
      </c>
      <c r="BB39" t="s">
        <v>13</v>
      </c>
      <c r="BC39" t="s">
        <v>7</v>
      </c>
      <c r="BD39">
        <v>4</v>
      </c>
      <c r="BE39" t="s">
        <v>14</v>
      </c>
      <c r="BF39">
        <v>0.96</v>
      </c>
    </row>
    <row r="40" spans="1:58" hidden="1" x14ac:dyDescent="0.2">
      <c r="A40">
        <v>39</v>
      </c>
      <c r="B40" t="s">
        <v>0</v>
      </c>
      <c r="C40">
        <v>59</v>
      </c>
      <c r="D40" t="s">
        <v>28</v>
      </c>
      <c r="E40" t="s">
        <v>47</v>
      </c>
      <c r="F40" t="s">
        <v>15</v>
      </c>
      <c r="G40" t="s">
        <v>38</v>
      </c>
      <c r="H40" t="s">
        <v>118</v>
      </c>
      <c r="I40" t="s">
        <v>115</v>
      </c>
      <c r="J40" t="s">
        <v>32</v>
      </c>
      <c r="K40" t="s">
        <v>13</v>
      </c>
      <c r="L40">
        <v>11.7</v>
      </c>
      <c r="M40">
        <v>6.1</v>
      </c>
      <c r="N40" t="s">
        <v>29</v>
      </c>
      <c r="O40" t="s">
        <v>7</v>
      </c>
      <c r="P40" t="s">
        <v>46</v>
      </c>
      <c r="Q40">
        <v>22</v>
      </c>
      <c r="R40">
        <v>9</v>
      </c>
      <c r="S40">
        <v>29.4</v>
      </c>
      <c r="T40">
        <v>113</v>
      </c>
      <c r="U40">
        <v>79</v>
      </c>
      <c r="V40">
        <v>8055</v>
      </c>
      <c r="W40">
        <v>32.6</v>
      </c>
      <c r="X40">
        <v>4</v>
      </c>
      <c r="Y40">
        <v>2</v>
      </c>
      <c r="Z40">
        <v>13</v>
      </c>
      <c r="AA40">
        <v>4.4000000000000004</v>
      </c>
      <c r="AB40">
        <v>4</v>
      </c>
      <c r="AC40">
        <v>41</v>
      </c>
      <c r="AD40">
        <v>3</v>
      </c>
      <c r="AE40">
        <v>5</v>
      </c>
      <c r="AF40">
        <v>73</v>
      </c>
      <c r="AG40">
        <v>45</v>
      </c>
      <c r="AH40">
        <v>42</v>
      </c>
      <c r="AI40">
        <v>14</v>
      </c>
      <c r="AJ40">
        <v>13</v>
      </c>
      <c r="AK40">
        <v>15</v>
      </c>
      <c r="AL40">
        <v>9</v>
      </c>
      <c r="AM40">
        <v>4</v>
      </c>
      <c r="AN40">
        <v>19</v>
      </c>
      <c r="AO40">
        <v>11</v>
      </c>
      <c r="AP40">
        <v>6</v>
      </c>
      <c r="AQ40">
        <v>9</v>
      </c>
      <c r="AR40">
        <v>601</v>
      </c>
      <c r="AS40">
        <v>267</v>
      </c>
      <c r="AT40" t="s">
        <v>13</v>
      </c>
      <c r="AU40">
        <v>0.87</v>
      </c>
      <c r="AV40">
        <v>2010</v>
      </c>
      <c r="AW40" s="1">
        <v>45806</v>
      </c>
      <c r="AX40">
        <v>13.7</v>
      </c>
      <c r="AY40" t="s">
        <v>27</v>
      </c>
      <c r="AZ40" t="s">
        <v>11</v>
      </c>
      <c r="BA40" t="s">
        <v>12</v>
      </c>
      <c r="BB40" t="s">
        <v>13</v>
      </c>
      <c r="BC40" t="s">
        <v>7</v>
      </c>
      <c r="BD40">
        <v>2</v>
      </c>
      <c r="BE40" t="s">
        <v>14</v>
      </c>
      <c r="BF40">
        <v>2.02</v>
      </c>
    </row>
    <row r="41" spans="1:58" hidden="1" x14ac:dyDescent="0.2">
      <c r="A41">
        <v>40</v>
      </c>
      <c r="B41" t="s">
        <v>0</v>
      </c>
      <c r="C41">
        <v>63</v>
      </c>
      <c r="D41" t="s">
        <v>1</v>
      </c>
      <c r="E41" t="s">
        <v>126</v>
      </c>
      <c r="F41" t="s">
        <v>15</v>
      </c>
      <c r="G41" t="s">
        <v>116</v>
      </c>
      <c r="H41" t="s">
        <v>118</v>
      </c>
      <c r="I41" t="s">
        <v>113</v>
      </c>
      <c r="J41" t="s">
        <v>123</v>
      </c>
      <c r="K41" t="s">
        <v>7</v>
      </c>
      <c r="L41">
        <v>13</v>
      </c>
      <c r="M41">
        <v>6.3</v>
      </c>
      <c r="N41" t="s">
        <v>25</v>
      </c>
      <c r="O41" t="s">
        <v>7</v>
      </c>
      <c r="P41" t="s">
        <v>26</v>
      </c>
      <c r="Q41">
        <v>1</v>
      </c>
      <c r="R41">
        <v>6</v>
      </c>
      <c r="S41">
        <v>24.7</v>
      </c>
      <c r="T41">
        <v>154</v>
      </c>
      <c r="U41">
        <v>69</v>
      </c>
      <c r="V41">
        <v>7952</v>
      </c>
      <c r="W41">
        <v>48.6</v>
      </c>
      <c r="X41">
        <v>2</v>
      </c>
      <c r="Y41">
        <v>1</v>
      </c>
      <c r="Z41">
        <v>12</v>
      </c>
      <c r="AA41">
        <v>5</v>
      </c>
      <c r="AB41">
        <v>4</v>
      </c>
      <c r="AC41">
        <v>5</v>
      </c>
      <c r="AD41">
        <v>1</v>
      </c>
      <c r="AE41">
        <v>5</v>
      </c>
      <c r="AF41">
        <v>41</v>
      </c>
      <c r="AG41">
        <v>25</v>
      </c>
      <c r="AH41">
        <v>22</v>
      </c>
      <c r="AI41">
        <v>8</v>
      </c>
      <c r="AJ41">
        <v>10</v>
      </c>
      <c r="AK41">
        <v>5</v>
      </c>
      <c r="AL41">
        <v>9</v>
      </c>
      <c r="AM41">
        <v>1</v>
      </c>
      <c r="AN41">
        <v>3</v>
      </c>
      <c r="AO41">
        <v>1</v>
      </c>
      <c r="AP41">
        <v>1</v>
      </c>
      <c r="AQ41">
        <v>1</v>
      </c>
      <c r="AR41">
        <v>1010</v>
      </c>
      <c r="AS41">
        <v>1416</v>
      </c>
      <c r="AT41" t="s">
        <v>7</v>
      </c>
      <c r="AU41">
        <v>0.99</v>
      </c>
      <c r="AV41">
        <v>2012</v>
      </c>
      <c r="AW41" s="1">
        <v>45697</v>
      </c>
      <c r="AX41">
        <v>5</v>
      </c>
      <c r="AY41" t="s">
        <v>45</v>
      </c>
      <c r="AZ41" t="s">
        <v>17</v>
      </c>
      <c r="BA41" t="s">
        <v>21</v>
      </c>
      <c r="BB41" t="s">
        <v>13</v>
      </c>
      <c r="BC41" t="s">
        <v>7</v>
      </c>
      <c r="BD41">
        <v>3</v>
      </c>
      <c r="BE41" t="s">
        <v>14</v>
      </c>
      <c r="BF41">
        <v>8.83</v>
      </c>
    </row>
    <row r="42" spans="1:58" hidden="1" x14ac:dyDescent="0.2">
      <c r="A42">
        <v>41</v>
      </c>
      <c r="B42" t="s">
        <v>0</v>
      </c>
      <c r="C42">
        <v>56</v>
      </c>
      <c r="D42" t="s">
        <v>1</v>
      </c>
      <c r="E42" t="s">
        <v>127</v>
      </c>
      <c r="F42" t="s">
        <v>40</v>
      </c>
      <c r="G42" t="s">
        <v>16</v>
      </c>
      <c r="H42" t="s">
        <v>119</v>
      </c>
      <c r="I42" t="s">
        <v>114</v>
      </c>
      <c r="J42" t="s">
        <v>123</v>
      </c>
      <c r="K42" t="s">
        <v>7</v>
      </c>
      <c r="L42">
        <v>12.7</v>
      </c>
      <c r="M42">
        <v>5.4</v>
      </c>
      <c r="N42" t="s">
        <v>39</v>
      </c>
      <c r="O42" t="s">
        <v>7</v>
      </c>
      <c r="P42" t="s">
        <v>26</v>
      </c>
      <c r="Q42">
        <v>32</v>
      </c>
      <c r="R42">
        <v>7</v>
      </c>
      <c r="S42">
        <v>25.6</v>
      </c>
      <c r="T42">
        <v>139</v>
      </c>
      <c r="U42">
        <v>83</v>
      </c>
      <c r="V42">
        <v>7994</v>
      </c>
      <c r="W42">
        <v>19</v>
      </c>
      <c r="X42">
        <v>7</v>
      </c>
      <c r="Y42">
        <v>1</v>
      </c>
      <c r="Z42">
        <v>12</v>
      </c>
      <c r="AA42">
        <v>8.5</v>
      </c>
      <c r="AB42">
        <v>2</v>
      </c>
      <c r="AC42">
        <v>187</v>
      </c>
      <c r="AD42">
        <v>7</v>
      </c>
      <c r="AE42">
        <v>6</v>
      </c>
      <c r="AF42">
        <v>141</v>
      </c>
      <c r="AG42">
        <v>93</v>
      </c>
      <c r="AH42">
        <v>105</v>
      </c>
      <c r="AI42">
        <v>24</v>
      </c>
      <c r="AJ42">
        <v>23</v>
      </c>
      <c r="AK42">
        <v>31</v>
      </c>
      <c r="AL42">
        <v>24</v>
      </c>
      <c r="AM42">
        <v>4</v>
      </c>
      <c r="AN42">
        <v>102</v>
      </c>
      <c r="AO42">
        <v>51</v>
      </c>
      <c r="AP42">
        <v>44</v>
      </c>
      <c r="AQ42">
        <v>54</v>
      </c>
      <c r="AR42">
        <v>1585</v>
      </c>
      <c r="AS42">
        <v>1677</v>
      </c>
      <c r="AT42" t="s">
        <v>7</v>
      </c>
      <c r="AU42">
        <v>0.42</v>
      </c>
      <c r="AV42">
        <v>2023</v>
      </c>
      <c r="AW42" s="1">
        <v>46012</v>
      </c>
      <c r="AX42">
        <v>26.7</v>
      </c>
      <c r="AY42" t="s">
        <v>19</v>
      </c>
      <c r="AZ42" t="s">
        <v>20</v>
      </c>
      <c r="BA42" t="s">
        <v>12</v>
      </c>
      <c r="BB42" t="s">
        <v>13</v>
      </c>
      <c r="BC42" t="s">
        <v>7</v>
      </c>
      <c r="BD42">
        <v>3</v>
      </c>
      <c r="BE42" t="s">
        <v>14</v>
      </c>
      <c r="BF42">
        <v>0.91</v>
      </c>
    </row>
    <row r="43" spans="1:58" hidden="1" x14ac:dyDescent="0.2">
      <c r="A43">
        <v>42</v>
      </c>
      <c r="B43" t="s">
        <v>0</v>
      </c>
      <c r="C43">
        <v>64</v>
      </c>
      <c r="D43" t="s">
        <v>28</v>
      </c>
      <c r="E43" t="s">
        <v>127</v>
      </c>
      <c r="F43" t="s">
        <v>15</v>
      </c>
      <c r="G43" t="s">
        <v>38</v>
      </c>
      <c r="H43" t="s">
        <v>24</v>
      </c>
      <c r="I43" t="s">
        <v>115</v>
      </c>
      <c r="J43" t="s">
        <v>123</v>
      </c>
      <c r="K43" t="s">
        <v>13</v>
      </c>
      <c r="L43">
        <v>3.7</v>
      </c>
      <c r="M43">
        <v>6.2</v>
      </c>
      <c r="N43" t="s">
        <v>25</v>
      </c>
      <c r="O43" t="s">
        <v>41</v>
      </c>
      <c r="P43" t="s">
        <v>52</v>
      </c>
      <c r="Q43">
        <v>10</v>
      </c>
      <c r="R43">
        <v>6</v>
      </c>
      <c r="S43">
        <v>18.600000000000001</v>
      </c>
      <c r="T43">
        <v>124</v>
      </c>
      <c r="U43">
        <v>79</v>
      </c>
      <c r="V43">
        <v>8100</v>
      </c>
      <c r="W43">
        <v>28.9</v>
      </c>
      <c r="X43">
        <v>3</v>
      </c>
      <c r="Y43">
        <v>4</v>
      </c>
      <c r="Z43">
        <v>12</v>
      </c>
      <c r="AA43">
        <v>5.4</v>
      </c>
      <c r="AB43">
        <v>0</v>
      </c>
      <c r="AC43">
        <v>84</v>
      </c>
      <c r="AD43">
        <v>5</v>
      </c>
      <c r="AE43">
        <v>4</v>
      </c>
      <c r="AF43">
        <v>91</v>
      </c>
      <c r="AG43">
        <v>71</v>
      </c>
      <c r="AH43">
        <v>68</v>
      </c>
      <c r="AI43">
        <v>21</v>
      </c>
      <c r="AJ43">
        <v>23</v>
      </c>
      <c r="AK43">
        <v>19</v>
      </c>
      <c r="AL43">
        <v>12</v>
      </c>
      <c r="AM43">
        <v>3</v>
      </c>
      <c r="AN43">
        <v>39</v>
      </c>
      <c r="AO43">
        <v>22</v>
      </c>
      <c r="AP43">
        <v>16</v>
      </c>
      <c r="AQ43">
        <v>27</v>
      </c>
      <c r="AR43">
        <v>394</v>
      </c>
      <c r="AS43">
        <v>625</v>
      </c>
      <c r="AT43" t="s">
        <v>13</v>
      </c>
      <c r="AU43">
        <v>0.74</v>
      </c>
      <c r="AV43">
        <v>2010</v>
      </c>
      <c r="AW43" s="1">
        <v>45716</v>
      </c>
      <c r="AX43">
        <v>16.8</v>
      </c>
      <c r="AY43" t="s">
        <v>10</v>
      </c>
      <c r="AZ43" t="s">
        <v>20</v>
      </c>
      <c r="BA43" t="s">
        <v>12</v>
      </c>
      <c r="BB43" t="s">
        <v>13</v>
      </c>
      <c r="BC43" t="s">
        <v>7</v>
      </c>
      <c r="BD43">
        <v>4</v>
      </c>
      <c r="BE43" t="s">
        <v>14</v>
      </c>
      <c r="BF43">
        <v>1.44</v>
      </c>
    </row>
    <row r="44" spans="1:58" hidden="1" x14ac:dyDescent="0.2">
      <c r="A44">
        <v>43</v>
      </c>
      <c r="B44" t="s">
        <v>0</v>
      </c>
      <c r="C44">
        <v>15</v>
      </c>
      <c r="D44" t="s">
        <v>1</v>
      </c>
      <c r="E44" t="s">
        <v>17</v>
      </c>
      <c r="F44" t="s">
        <v>15</v>
      </c>
      <c r="G44" t="s">
        <v>38</v>
      </c>
      <c r="H44" t="s">
        <v>118</v>
      </c>
      <c r="I44" t="s">
        <v>114</v>
      </c>
      <c r="J44" t="s">
        <v>32</v>
      </c>
      <c r="K44" t="s">
        <v>7</v>
      </c>
      <c r="L44">
        <v>7.7</v>
      </c>
      <c r="M44">
        <v>8.6999999999999993</v>
      </c>
      <c r="N44" t="s">
        <v>8</v>
      </c>
      <c r="O44" t="s">
        <v>7</v>
      </c>
      <c r="P44" t="s">
        <v>121</v>
      </c>
      <c r="Q44">
        <v>19</v>
      </c>
      <c r="R44">
        <v>4</v>
      </c>
      <c r="S44">
        <v>29.7</v>
      </c>
      <c r="T44">
        <v>126</v>
      </c>
      <c r="U44">
        <v>97</v>
      </c>
      <c r="V44">
        <v>8175</v>
      </c>
      <c r="W44">
        <v>33.4</v>
      </c>
      <c r="X44">
        <v>4</v>
      </c>
      <c r="Y44">
        <v>2</v>
      </c>
      <c r="Z44">
        <v>11</v>
      </c>
      <c r="AA44">
        <v>12.5</v>
      </c>
      <c r="AB44">
        <v>1</v>
      </c>
      <c r="AC44">
        <v>237</v>
      </c>
      <c r="AD44">
        <v>15</v>
      </c>
      <c r="AE44">
        <v>15</v>
      </c>
      <c r="AF44">
        <v>260</v>
      </c>
      <c r="AG44">
        <v>138</v>
      </c>
      <c r="AH44">
        <v>144</v>
      </c>
      <c r="AI44">
        <v>46</v>
      </c>
      <c r="AJ44">
        <v>41</v>
      </c>
      <c r="AK44">
        <v>29</v>
      </c>
      <c r="AL44">
        <v>28</v>
      </c>
      <c r="AM44">
        <v>13</v>
      </c>
      <c r="AN44">
        <v>140</v>
      </c>
      <c r="AO44">
        <v>56</v>
      </c>
      <c r="AP44">
        <v>35</v>
      </c>
      <c r="AQ44">
        <v>84</v>
      </c>
      <c r="AR44">
        <v>1754</v>
      </c>
      <c r="AS44">
        <v>2018</v>
      </c>
      <c r="AT44" t="s">
        <v>7</v>
      </c>
      <c r="AU44">
        <v>0.73</v>
      </c>
      <c r="AV44">
        <v>2015</v>
      </c>
      <c r="AW44" s="1">
        <v>45889</v>
      </c>
      <c r="AX44">
        <v>15.8</v>
      </c>
      <c r="AY44" t="s">
        <v>10</v>
      </c>
      <c r="AZ44" t="s">
        <v>35</v>
      </c>
      <c r="BA44" t="s">
        <v>12</v>
      </c>
      <c r="BB44" t="s">
        <v>7</v>
      </c>
      <c r="BC44" t="s">
        <v>13</v>
      </c>
      <c r="BD44">
        <v>2</v>
      </c>
      <c r="BE44" t="s">
        <v>49</v>
      </c>
      <c r="BF44">
        <v>1.18</v>
      </c>
    </row>
    <row r="45" spans="1:58" hidden="1" x14ac:dyDescent="0.2">
      <c r="A45">
        <v>44</v>
      </c>
      <c r="B45" t="s">
        <v>0</v>
      </c>
      <c r="C45">
        <v>49</v>
      </c>
      <c r="D45" t="s">
        <v>1</v>
      </c>
      <c r="E45" t="s">
        <v>50</v>
      </c>
      <c r="F45" t="s">
        <v>15</v>
      </c>
      <c r="G45" t="s">
        <v>116</v>
      </c>
      <c r="H45" t="s">
        <v>34</v>
      </c>
      <c r="I45" t="s">
        <v>113</v>
      </c>
      <c r="J45" t="s">
        <v>32</v>
      </c>
      <c r="K45" t="s">
        <v>7</v>
      </c>
      <c r="L45">
        <v>7.2</v>
      </c>
      <c r="M45">
        <v>7.5</v>
      </c>
      <c r="N45" t="s">
        <v>29</v>
      </c>
      <c r="O45" t="s">
        <v>7</v>
      </c>
      <c r="P45" t="s">
        <v>9</v>
      </c>
      <c r="Q45">
        <v>26</v>
      </c>
      <c r="R45">
        <v>7</v>
      </c>
      <c r="S45">
        <v>25.9</v>
      </c>
      <c r="T45">
        <v>137</v>
      </c>
      <c r="U45">
        <v>73</v>
      </c>
      <c r="V45">
        <v>8082</v>
      </c>
      <c r="W45">
        <v>30.6</v>
      </c>
      <c r="X45">
        <v>3</v>
      </c>
      <c r="Y45">
        <v>3</v>
      </c>
      <c r="Z45">
        <v>12</v>
      </c>
      <c r="AA45">
        <v>4.5999999999999996</v>
      </c>
      <c r="AB45">
        <v>4</v>
      </c>
      <c r="AC45">
        <v>260</v>
      </c>
      <c r="AD45">
        <v>18</v>
      </c>
      <c r="AE45">
        <v>9</v>
      </c>
      <c r="AF45">
        <v>203</v>
      </c>
      <c r="AG45">
        <v>119</v>
      </c>
      <c r="AH45">
        <v>157</v>
      </c>
      <c r="AI45">
        <v>46</v>
      </c>
      <c r="AJ45">
        <v>29</v>
      </c>
      <c r="AK45">
        <v>36</v>
      </c>
      <c r="AL45">
        <v>25</v>
      </c>
      <c r="AM45">
        <v>7</v>
      </c>
      <c r="AN45">
        <v>108</v>
      </c>
      <c r="AO45">
        <v>35</v>
      </c>
      <c r="AP45">
        <v>48</v>
      </c>
      <c r="AQ45">
        <v>92</v>
      </c>
      <c r="AR45">
        <v>4919</v>
      </c>
      <c r="AS45">
        <v>10000</v>
      </c>
      <c r="AT45" t="s">
        <v>7</v>
      </c>
      <c r="AU45">
        <v>0.66</v>
      </c>
      <c r="AV45">
        <v>2022</v>
      </c>
      <c r="AW45" s="1">
        <v>45992</v>
      </c>
      <c r="AX45">
        <v>14.4</v>
      </c>
      <c r="AY45" t="s">
        <v>27</v>
      </c>
      <c r="AZ45" t="s">
        <v>11</v>
      </c>
      <c r="BA45" t="s">
        <v>122</v>
      </c>
      <c r="BB45" t="s">
        <v>7</v>
      </c>
      <c r="BC45" t="s">
        <v>13</v>
      </c>
      <c r="BD45">
        <v>3</v>
      </c>
      <c r="BE45" t="s">
        <v>14</v>
      </c>
      <c r="BF45">
        <v>1.06</v>
      </c>
    </row>
    <row r="46" spans="1:58" hidden="1" x14ac:dyDescent="0.2">
      <c r="A46">
        <v>45</v>
      </c>
      <c r="B46" t="s">
        <v>0</v>
      </c>
      <c r="C46">
        <v>63</v>
      </c>
      <c r="D46" t="s">
        <v>28</v>
      </c>
      <c r="E46" t="s">
        <v>47</v>
      </c>
      <c r="F46" t="s">
        <v>40</v>
      </c>
      <c r="G46" t="s">
        <v>16</v>
      </c>
      <c r="H46" t="s">
        <v>34</v>
      </c>
      <c r="I46" t="s">
        <v>114</v>
      </c>
      <c r="J46" t="s">
        <v>6</v>
      </c>
      <c r="K46" t="s">
        <v>7</v>
      </c>
      <c r="L46">
        <v>8.5</v>
      </c>
      <c r="M46">
        <v>7</v>
      </c>
      <c r="N46" t="s">
        <v>29</v>
      </c>
      <c r="O46" t="s">
        <v>7</v>
      </c>
      <c r="P46" t="s">
        <v>52</v>
      </c>
      <c r="Q46">
        <v>4</v>
      </c>
      <c r="R46">
        <v>2</v>
      </c>
      <c r="S46">
        <v>27.3</v>
      </c>
      <c r="T46">
        <v>97</v>
      </c>
      <c r="U46">
        <v>67</v>
      </c>
      <c r="V46">
        <v>8143</v>
      </c>
      <c r="W46">
        <v>26</v>
      </c>
      <c r="X46">
        <v>3</v>
      </c>
      <c r="Y46">
        <v>7</v>
      </c>
      <c r="Z46">
        <v>8</v>
      </c>
      <c r="AA46">
        <v>7.9</v>
      </c>
      <c r="AB46">
        <v>4</v>
      </c>
      <c r="AC46">
        <v>5</v>
      </c>
      <c r="AD46">
        <v>1</v>
      </c>
      <c r="AE46">
        <v>2</v>
      </c>
      <c r="AF46">
        <v>45</v>
      </c>
      <c r="AG46">
        <v>29</v>
      </c>
      <c r="AH46">
        <v>29</v>
      </c>
      <c r="AI46">
        <v>10</v>
      </c>
      <c r="AJ46">
        <v>11</v>
      </c>
      <c r="AK46">
        <v>3</v>
      </c>
      <c r="AL46">
        <v>10</v>
      </c>
      <c r="AM46">
        <v>1</v>
      </c>
      <c r="AN46">
        <v>3</v>
      </c>
      <c r="AO46">
        <v>1</v>
      </c>
      <c r="AP46">
        <v>1</v>
      </c>
      <c r="AQ46">
        <v>1</v>
      </c>
      <c r="AR46">
        <v>136</v>
      </c>
      <c r="AS46">
        <v>280</v>
      </c>
      <c r="AT46" t="s">
        <v>7</v>
      </c>
      <c r="AU46">
        <v>0.14000000000000001</v>
      </c>
      <c r="AV46">
        <v>2018</v>
      </c>
      <c r="AW46" s="1">
        <v>45984</v>
      </c>
      <c r="AX46">
        <v>5</v>
      </c>
      <c r="AY46" t="s">
        <v>10</v>
      </c>
      <c r="AZ46" t="s">
        <v>37</v>
      </c>
      <c r="BA46" t="s">
        <v>12</v>
      </c>
      <c r="BB46" t="s">
        <v>7</v>
      </c>
      <c r="BC46" t="s">
        <v>7</v>
      </c>
      <c r="BD46">
        <v>4</v>
      </c>
      <c r="BE46" t="s">
        <v>14</v>
      </c>
      <c r="BF46">
        <v>9.17</v>
      </c>
    </row>
    <row r="47" spans="1:58" hidden="1" x14ac:dyDescent="0.2">
      <c r="A47">
        <v>46</v>
      </c>
      <c r="B47" t="s">
        <v>0</v>
      </c>
      <c r="C47">
        <v>19</v>
      </c>
      <c r="D47" t="s">
        <v>1</v>
      </c>
      <c r="E47" t="s">
        <v>47</v>
      </c>
      <c r="F47" t="s">
        <v>15</v>
      </c>
      <c r="G47" t="s">
        <v>38</v>
      </c>
      <c r="H47" t="s">
        <v>118</v>
      </c>
      <c r="I47" t="s">
        <v>113</v>
      </c>
      <c r="J47" t="s">
        <v>32</v>
      </c>
      <c r="K47" t="s">
        <v>7</v>
      </c>
      <c r="L47">
        <v>2.9</v>
      </c>
      <c r="M47">
        <v>6.3</v>
      </c>
      <c r="N47" t="s">
        <v>25</v>
      </c>
      <c r="O47" t="s">
        <v>13</v>
      </c>
      <c r="P47" t="s">
        <v>26</v>
      </c>
      <c r="Q47">
        <v>19</v>
      </c>
      <c r="R47">
        <v>1</v>
      </c>
      <c r="S47">
        <v>23.2</v>
      </c>
      <c r="T47">
        <v>96</v>
      </c>
      <c r="U47">
        <v>68</v>
      </c>
      <c r="V47">
        <v>8085</v>
      </c>
      <c r="W47">
        <v>48.5</v>
      </c>
      <c r="X47">
        <v>2</v>
      </c>
      <c r="Y47">
        <v>7</v>
      </c>
      <c r="Z47">
        <v>6</v>
      </c>
      <c r="AA47">
        <v>1</v>
      </c>
      <c r="AB47">
        <v>2</v>
      </c>
      <c r="AC47">
        <v>302</v>
      </c>
      <c r="AD47">
        <v>11</v>
      </c>
      <c r="AE47">
        <v>13</v>
      </c>
      <c r="AF47">
        <v>300</v>
      </c>
      <c r="AG47">
        <v>144</v>
      </c>
      <c r="AH47">
        <v>187</v>
      </c>
      <c r="AI47">
        <v>43</v>
      </c>
      <c r="AJ47">
        <v>27</v>
      </c>
      <c r="AK47">
        <v>46</v>
      </c>
      <c r="AL47">
        <v>23</v>
      </c>
      <c r="AM47">
        <v>6</v>
      </c>
      <c r="AN47">
        <v>176</v>
      </c>
      <c r="AO47">
        <v>37</v>
      </c>
      <c r="AP47">
        <v>60</v>
      </c>
      <c r="AQ47">
        <v>101</v>
      </c>
      <c r="AR47">
        <v>1686</v>
      </c>
      <c r="AS47">
        <v>3518</v>
      </c>
      <c r="AT47" t="s">
        <v>13</v>
      </c>
      <c r="AU47">
        <v>0.05</v>
      </c>
      <c r="AV47">
        <v>2025</v>
      </c>
      <c r="AW47" s="1">
        <v>46001</v>
      </c>
      <c r="AX47">
        <v>27.5</v>
      </c>
      <c r="AY47" t="s">
        <v>45</v>
      </c>
      <c r="AZ47" t="s">
        <v>31</v>
      </c>
      <c r="BA47" t="s">
        <v>122</v>
      </c>
      <c r="BB47" t="s">
        <v>13</v>
      </c>
      <c r="BC47" t="s">
        <v>7</v>
      </c>
      <c r="BD47">
        <v>3</v>
      </c>
      <c r="BE47" t="s">
        <v>14</v>
      </c>
      <c r="BF47">
        <v>1.03</v>
      </c>
    </row>
    <row r="48" spans="1:58" hidden="1" x14ac:dyDescent="0.2">
      <c r="A48">
        <v>47</v>
      </c>
      <c r="B48" t="s">
        <v>0</v>
      </c>
      <c r="C48">
        <v>33</v>
      </c>
      <c r="D48" t="s">
        <v>1</v>
      </c>
      <c r="E48" t="s">
        <v>127</v>
      </c>
      <c r="F48" t="s">
        <v>3</v>
      </c>
      <c r="G48" t="s">
        <v>16</v>
      </c>
      <c r="H48" t="s">
        <v>119</v>
      </c>
      <c r="I48" t="s">
        <v>112</v>
      </c>
      <c r="J48" t="s">
        <v>123</v>
      </c>
      <c r="K48" t="s">
        <v>13</v>
      </c>
      <c r="L48">
        <v>7.4</v>
      </c>
      <c r="M48">
        <v>9.9</v>
      </c>
      <c r="N48" t="s">
        <v>29</v>
      </c>
      <c r="O48" t="s">
        <v>7</v>
      </c>
      <c r="P48" t="s">
        <v>9</v>
      </c>
      <c r="Q48">
        <v>7</v>
      </c>
      <c r="R48">
        <v>1</v>
      </c>
      <c r="S48">
        <v>22.8</v>
      </c>
      <c r="T48">
        <v>156</v>
      </c>
      <c r="U48">
        <v>89</v>
      </c>
      <c r="V48">
        <v>7888</v>
      </c>
      <c r="W48">
        <v>22.6</v>
      </c>
      <c r="X48">
        <v>6</v>
      </c>
      <c r="Y48">
        <v>3</v>
      </c>
      <c r="Z48">
        <v>15</v>
      </c>
      <c r="AA48">
        <v>5.0999999999999996</v>
      </c>
      <c r="AB48">
        <v>3</v>
      </c>
      <c r="AC48">
        <v>158</v>
      </c>
      <c r="AD48">
        <v>5</v>
      </c>
      <c r="AE48">
        <v>3</v>
      </c>
      <c r="AF48">
        <v>144</v>
      </c>
      <c r="AG48">
        <v>95</v>
      </c>
      <c r="AH48">
        <v>104</v>
      </c>
      <c r="AI48">
        <v>24</v>
      </c>
      <c r="AJ48">
        <v>25</v>
      </c>
      <c r="AK48">
        <v>28</v>
      </c>
      <c r="AL48">
        <v>19</v>
      </c>
      <c r="AM48">
        <v>2</v>
      </c>
      <c r="AN48">
        <v>77</v>
      </c>
      <c r="AO48">
        <v>43</v>
      </c>
      <c r="AP48">
        <v>35</v>
      </c>
      <c r="AQ48">
        <v>62</v>
      </c>
      <c r="AR48">
        <v>890</v>
      </c>
      <c r="AS48">
        <v>1354</v>
      </c>
      <c r="AT48" t="s">
        <v>7</v>
      </c>
      <c r="AU48">
        <v>0.35</v>
      </c>
      <c r="AV48">
        <v>2013</v>
      </c>
      <c r="AW48" s="1">
        <v>45936</v>
      </c>
      <c r="AX48">
        <v>31.6</v>
      </c>
      <c r="AY48" t="s">
        <v>30</v>
      </c>
      <c r="AZ48" t="s">
        <v>17</v>
      </c>
      <c r="BA48" t="s">
        <v>122</v>
      </c>
      <c r="BB48" t="s">
        <v>13</v>
      </c>
      <c r="BC48" t="s">
        <v>13</v>
      </c>
      <c r="BD48">
        <v>1</v>
      </c>
      <c r="BE48" t="s">
        <v>14</v>
      </c>
      <c r="BF48">
        <v>1.01</v>
      </c>
    </row>
    <row r="49" spans="1:58" hidden="1" x14ac:dyDescent="0.2">
      <c r="A49">
        <v>48</v>
      </c>
      <c r="B49" t="s">
        <v>0</v>
      </c>
      <c r="C49">
        <v>21</v>
      </c>
      <c r="D49" t="s">
        <v>28</v>
      </c>
      <c r="E49" t="s">
        <v>128</v>
      </c>
      <c r="F49" t="s">
        <v>15</v>
      </c>
      <c r="G49" t="s">
        <v>117</v>
      </c>
      <c r="H49" t="s">
        <v>118</v>
      </c>
      <c r="I49" t="s">
        <v>112</v>
      </c>
      <c r="J49" t="s">
        <v>6</v>
      </c>
      <c r="K49" t="s">
        <v>7</v>
      </c>
      <c r="L49">
        <v>2.5</v>
      </c>
      <c r="M49">
        <v>6.1</v>
      </c>
      <c r="N49" t="s">
        <v>39</v>
      </c>
      <c r="O49" t="s">
        <v>13</v>
      </c>
      <c r="P49" t="s">
        <v>9</v>
      </c>
      <c r="Q49">
        <v>2</v>
      </c>
      <c r="R49">
        <v>9</v>
      </c>
      <c r="S49">
        <v>25.2</v>
      </c>
      <c r="T49">
        <v>105</v>
      </c>
      <c r="U49">
        <v>63</v>
      </c>
      <c r="V49">
        <v>8089</v>
      </c>
      <c r="W49">
        <v>36.6</v>
      </c>
      <c r="X49">
        <v>3</v>
      </c>
      <c r="Y49">
        <v>5</v>
      </c>
      <c r="Z49">
        <v>14</v>
      </c>
      <c r="AA49">
        <v>4</v>
      </c>
      <c r="AB49">
        <v>2</v>
      </c>
      <c r="AC49">
        <v>27</v>
      </c>
      <c r="AD49">
        <v>1</v>
      </c>
      <c r="AE49">
        <v>11</v>
      </c>
      <c r="AF49">
        <v>125</v>
      </c>
      <c r="AG49">
        <v>32</v>
      </c>
      <c r="AH49">
        <v>39</v>
      </c>
      <c r="AI49">
        <v>9</v>
      </c>
      <c r="AJ49">
        <v>19</v>
      </c>
      <c r="AK49">
        <v>8</v>
      </c>
      <c r="AL49">
        <v>6</v>
      </c>
      <c r="AM49">
        <v>0</v>
      </c>
      <c r="AN49">
        <v>13</v>
      </c>
      <c r="AO49">
        <v>3</v>
      </c>
      <c r="AP49">
        <v>3</v>
      </c>
      <c r="AQ49">
        <v>9</v>
      </c>
      <c r="AR49">
        <v>1200</v>
      </c>
      <c r="AS49">
        <v>2272</v>
      </c>
      <c r="AT49" t="s">
        <v>7</v>
      </c>
      <c r="AU49">
        <v>0.26</v>
      </c>
      <c r="AV49">
        <v>2021</v>
      </c>
      <c r="AW49" s="1">
        <v>45660</v>
      </c>
      <c r="AX49">
        <v>27</v>
      </c>
      <c r="AY49" t="s">
        <v>10</v>
      </c>
      <c r="AZ49" t="s">
        <v>48</v>
      </c>
      <c r="BA49" t="s">
        <v>12</v>
      </c>
      <c r="BB49" t="s">
        <v>13</v>
      </c>
      <c r="BC49" t="s">
        <v>13</v>
      </c>
      <c r="BD49">
        <v>2</v>
      </c>
      <c r="BE49" t="s">
        <v>14</v>
      </c>
      <c r="BF49">
        <v>3.21</v>
      </c>
    </row>
    <row r="50" spans="1:58" hidden="1" x14ac:dyDescent="0.2">
      <c r="A50">
        <v>49</v>
      </c>
      <c r="B50" t="s">
        <v>0</v>
      </c>
      <c r="C50">
        <v>51</v>
      </c>
      <c r="D50" t="s">
        <v>1</v>
      </c>
      <c r="E50" t="s">
        <v>42</v>
      </c>
      <c r="F50" t="s">
        <v>3</v>
      </c>
      <c r="G50" t="s">
        <v>16</v>
      </c>
      <c r="H50" t="s">
        <v>118</v>
      </c>
      <c r="I50" t="s">
        <v>112</v>
      </c>
      <c r="J50" t="s">
        <v>18</v>
      </c>
      <c r="K50" t="s">
        <v>7</v>
      </c>
      <c r="L50">
        <v>9.5</v>
      </c>
      <c r="M50">
        <v>8</v>
      </c>
      <c r="N50" t="s">
        <v>25</v>
      </c>
      <c r="O50" t="s">
        <v>41</v>
      </c>
      <c r="P50" t="s">
        <v>9</v>
      </c>
      <c r="Q50">
        <v>17</v>
      </c>
      <c r="R50">
        <v>6</v>
      </c>
      <c r="S50">
        <v>21.2</v>
      </c>
      <c r="T50">
        <v>153</v>
      </c>
      <c r="U50">
        <v>93</v>
      </c>
      <c r="V50">
        <v>7968</v>
      </c>
      <c r="W50">
        <v>40.700000000000003</v>
      </c>
      <c r="X50">
        <v>5</v>
      </c>
      <c r="Y50">
        <v>3</v>
      </c>
      <c r="Z50">
        <v>6</v>
      </c>
      <c r="AA50">
        <v>2</v>
      </c>
      <c r="AB50">
        <v>2</v>
      </c>
      <c r="AC50">
        <v>225</v>
      </c>
      <c r="AD50">
        <v>15</v>
      </c>
      <c r="AE50">
        <v>5</v>
      </c>
      <c r="AF50">
        <v>179</v>
      </c>
      <c r="AG50">
        <v>113</v>
      </c>
      <c r="AH50">
        <v>162</v>
      </c>
      <c r="AI50">
        <v>34</v>
      </c>
      <c r="AJ50">
        <v>27</v>
      </c>
      <c r="AK50">
        <v>36</v>
      </c>
      <c r="AL50">
        <v>26</v>
      </c>
      <c r="AM50">
        <v>6</v>
      </c>
      <c r="AN50">
        <v>102</v>
      </c>
      <c r="AO50">
        <v>63</v>
      </c>
      <c r="AP50">
        <v>52</v>
      </c>
      <c r="AQ50">
        <v>85</v>
      </c>
      <c r="AR50">
        <v>356</v>
      </c>
      <c r="AS50">
        <v>406</v>
      </c>
      <c r="AT50" t="s">
        <v>7</v>
      </c>
      <c r="AU50">
        <v>0.18</v>
      </c>
      <c r="AV50">
        <v>2011</v>
      </c>
      <c r="AW50" s="1">
        <v>45808</v>
      </c>
      <c r="AX50">
        <v>15</v>
      </c>
      <c r="AY50" t="s">
        <v>30</v>
      </c>
      <c r="AZ50" t="s">
        <v>31</v>
      </c>
      <c r="BA50" t="s">
        <v>21</v>
      </c>
      <c r="BB50" t="s">
        <v>13</v>
      </c>
      <c r="BC50" t="s">
        <v>13</v>
      </c>
      <c r="BD50">
        <v>4</v>
      </c>
      <c r="BE50" t="s">
        <v>14</v>
      </c>
      <c r="BF50">
        <v>1.08</v>
      </c>
    </row>
    <row r="51" spans="1:58" hidden="1" x14ac:dyDescent="0.2">
      <c r="A51">
        <v>50</v>
      </c>
      <c r="B51" t="s">
        <v>0</v>
      </c>
      <c r="C51">
        <v>30</v>
      </c>
      <c r="D51" t="s">
        <v>28</v>
      </c>
      <c r="E51" t="s">
        <v>33</v>
      </c>
      <c r="F51" t="s">
        <v>40</v>
      </c>
      <c r="G51" t="s">
        <v>16</v>
      </c>
      <c r="H51" t="s">
        <v>118</v>
      </c>
      <c r="I51" t="s">
        <v>112</v>
      </c>
      <c r="J51" t="s">
        <v>123</v>
      </c>
      <c r="K51" t="s">
        <v>13</v>
      </c>
      <c r="L51">
        <v>5.5</v>
      </c>
      <c r="M51">
        <v>6.4</v>
      </c>
      <c r="N51" t="s">
        <v>8</v>
      </c>
      <c r="O51" t="s">
        <v>7</v>
      </c>
      <c r="P51" t="s">
        <v>9</v>
      </c>
      <c r="Q51">
        <v>39</v>
      </c>
      <c r="R51">
        <v>1</v>
      </c>
      <c r="S51">
        <v>22.8</v>
      </c>
      <c r="T51">
        <v>108</v>
      </c>
      <c r="U51">
        <v>62</v>
      </c>
      <c r="V51">
        <v>8123</v>
      </c>
      <c r="W51">
        <v>31.7</v>
      </c>
      <c r="X51">
        <v>2</v>
      </c>
      <c r="Y51">
        <v>3</v>
      </c>
      <c r="Z51">
        <v>10</v>
      </c>
      <c r="AA51">
        <v>7.4</v>
      </c>
      <c r="AB51">
        <v>4</v>
      </c>
      <c r="AC51">
        <v>405</v>
      </c>
      <c r="AD51">
        <v>13</v>
      </c>
      <c r="AE51">
        <v>12</v>
      </c>
      <c r="AF51">
        <v>300</v>
      </c>
      <c r="AG51">
        <v>150</v>
      </c>
      <c r="AH51">
        <v>222</v>
      </c>
      <c r="AI51">
        <v>61</v>
      </c>
      <c r="AJ51">
        <v>63</v>
      </c>
      <c r="AK51">
        <v>49</v>
      </c>
      <c r="AL51">
        <v>38</v>
      </c>
      <c r="AM51">
        <v>7</v>
      </c>
      <c r="AN51">
        <v>243</v>
      </c>
      <c r="AO51">
        <v>104</v>
      </c>
      <c r="AP51">
        <v>72</v>
      </c>
      <c r="AQ51">
        <v>123</v>
      </c>
      <c r="AR51">
        <v>1404</v>
      </c>
      <c r="AS51">
        <v>630</v>
      </c>
      <c r="AT51" t="s">
        <v>7</v>
      </c>
      <c r="AU51">
        <v>0.8</v>
      </c>
      <c r="AV51">
        <v>2020</v>
      </c>
      <c r="AW51" s="1">
        <v>45810</v>
      </c>
      <c r="AX51">
        <v>31.2</v>
      </c>
      <c r="AY51" t="s">
        <v>36</v>
      </c>
      <c r="AZ51" t="s">
        <v>48</v>
      </c>
      <c r="BA51" t="s">
        <v>21</v>
      </c>
      <c r="BB51" t="s">
        <v>13</v>
      </c>
      <c r="BC51" t="s">
        <v>7</v>
      </c>
      <c r="BD51">
        <v>1</v>
      </c>
      <c r="BE51" t="s">
        <v>14</v>
      </c>
      <c r="BF51">
        <v>0.94</v>
      </c>
    </row>
    <row r="52" spans="1:58" hidden="1" x14ac:dyDescent="0.2">
      <c r="A52">
        <v>51</v>
      </c>
      <c r="B52" t="s">
        <v>0</v>
      </c>
      <c r="C52">
        <v>16</v>
      </c>
      <c r="D52" t="s">
        <v>28</v>
      </c>
      <c r="E52" t="s">
        <v>128</v>
      </c>
      <c r="F52" t="s">
        <v>40</v>
      </c>
      <c r="G52" t="s">
        <v>16</v>
      </c>
      <c r="H52" t="s">
        <v>23</v>
      </c>
      <c r="I52" t="s">
        <v>112</v>
      </c>
      <c r="J52" t="s">
        <v>123</v>
      </c>
      <c r="K52" t="s">
        <v>13</v>
      </c>
      <c r="L52">
        <v>4.8</v>
      </c>
      <c r="M52">
        <v>5.5</v>
      </c>
      <c r="N52" t="s">
        <v>8</v>
      </c>
      <c r="O52" t="s">
        <v>13</v>
      </c>
      <c r="P52" t="s">
        <v>52</v>
      </c>
      <c r="Q52">
        <v>35</v>
      </c>
      <c r="R52">
        <v>8</v>
      </c>
      <c r="S52">
        <v>21.3</v>
      </c>
      <c r="T52">
        <v>95</v>
      </c>
      <c r="U52">
        <v>95</v>
      </c>
      <c r="V52">
        <v>7981</v>
      </c>
      <c r="W52">
        <v>30.5</v>
      </c>
      <c r="X52">
        <v>1</v>
      </c>
      <c r="Y52">
        <v>3</v>
      </c>
      <c r="Z52">
        <v>8</v>
      </c>
      <c r="AA52">
        <v>2.5</v>
      </c>
      <c r="AB52">
        <v>6</v>
      </c>
      <c r="AC52">
        <v>239</v>
      </c>
      <c r="AD52">
        <v>8</v>
      </c>
      <c r="AE52">
        <v>14</v>
      </c>
      <c r="AF52">
        <v>273</v>
      </c>
      <c r="AG52">
        <v>116</v>
      </c>
      <c r="AH52">
        <v>141</v>
      </c>
      <c r="AI52">
        <v>44</v>
      </c>
      <c r="AJ52">
        <v>42</v>
      </c>
      <c r="AK52">
        <v>33</v>
      </c>
      <c r="AL52">
        <v>16</v>
      </c>
      <c r="AM52">
        <v>8</v>
      </c>
      <c r="AN52">
        <v>121</v>
      </c>
      <c r="AO52">
        <v>25</v>
      </c>
      <c r="AP52">
        <v>29</v>
      </c>
      <c r="AQ52">
        <v>71</v>
      </c>
      <c r="AR52">
        <v>4237</v>
      </c>
      <c r="AS52">
        <v>4438</v>
      </c>
      <c r="AT52" t="s">
        <v>13</v>
      </c>
      <c r="AU52">
        <v>0.82</v>
      </c>
      <c r="AV52">
        <v>2018</v>
      </c>
      <c r="AW52" s="1">
        <v>45784</v>
      </c>
      <c r="AX52">
        <v>29.9</v>
      </c>
      <c r="AY52" t="s">
        <v>36</v>
      </c>
      <c r="AZ52" t="s">
        <v>35</v>
      </c>
      <c r="BA52" t="s">
        <v>21</v>
      </c>
      <c r="BB52" t="s">
        <v>13</v>
      </c>
      <c r="BC52" t="s">
        <v>13</v>
      </c>
      <c r="BD52">
        <v>0</v>
      </c>
      <c r="BE52" t="s">
        <v>14</v>
      </c>
      <c r="BF52">
        <v>1.1299999999999999</v>
      </c>
    </row>
    <row r="53" spans="1:58" hidden="1" x14ac:dyDescent="0.2">
      <c r="A53">
        <v>52</v>
      </c>
      <c r="B53" t="s">
        <v>0</v>
      </c>
      <c r="C53">
        <v>37</v>
      </c>
      <c r="D53" t="s">
        <v>1</v>
      </c>
      <c r="E53" t="s">
        <v>47</v>
      </c>
      <c r="F53" t="s">
        <v>40</v>
      </c>
      <c r="G53" t="s">
        <v>16</v>
      </c>
      <c r="H53" t="s">
        <v>23</v>
      </c>
      <c r="I53" t="s">
        <v>112</v>
      </c>
      <c r="J53" t="s">
        <v>44</v>
      </c>
      <c r="K53" t="s">
        <v>13</v>
      </c>
      <c r="L53">
        <v>2.7</v>
      </c>
      <c r="M53">
        <v>7.6</v>
      </c>
      <c r="N53" t="s">
        <v>29</v>
      </c>
      <c r="O53" t="s">
        <v>41</v>
      </c>
      <c r="P53" t="s">
        <v>26</v>
      </c>
      <c r="Q53">
        <v>35</v>
      </c>
      <c r="R53">
        <v>6</v>
      </c>
      <c r="S53">
        <v>22.4</v>
      </c>
      <c r="T53">
        <v>152</v>
      </c>
      <c r="U53">
        <v>75</v>
      </c>
      <c r="V53">
        <v>7941</v>
      </c>
      <c r="W53">
        <v>39.4</v>
      </c>
      <c r="X53">
        <v>2</v>
      </c>
      <c r="Y53">
        <v>5</v>
      </c>
      <c r="Z53">
        <v>11</v>
      </c>
      <c r="AA53">
        <v>4.7</v>
      </c>
      <c r="AB53">
        <v>4</v>
      </c>
      <c r="AC53">
        <v>296</v>
      </c>
      <c r="AD53">
        <v>18</v>
      </c>
      <c r="AE53">
        <v>7</v>
      </c>
      <c r="AF53">
        <v>237</v>
      </c>
      <c r="AG53">
        <v>134</v>
      </c>
      <c r="AH53">
        <v>185</v>
      </c>
      <c r="AI53">
        <v>40</v>
      </c>
      <c r="AJ53">
        <v>38</v>
      </c>
      <c r="AK53">
        <v>43</v>
      </c>
      <c r="AL53">
        <v>24</v>
      </c>
      <c r="AM53">
        <v>13</v>
      </c>
      <c r="AN53">
        <v>174</v>
      </c>
      <c r="AO53">
        <v>84</v>
      </c>
      <c r="AP53">
        <v>54</v>
      </c>
      <c r="AQ53">
        <v>114</v>
      </c>
      <c r="AR53">
        <v>408</v>
      </c>
      <c r="AS53">
        <v>513</v>
      </c>
      <c r="AT53" t="s">
        <v>13</v>
      </c>
      <c r="AU53">
        <v>0.95</v>
      </c>
      <c r="AV53">
        <v>2015</v>
      </c>
      <c r="AW53" s="1">
        <v>45728</v>
      </c>
      <c r="AX53">
        <v>16.399999999999999</v>
      </c>
      <c r="AY53" t="s">
        <v>10</v>
      </c>
      <c r="AZ53" t="s">
        <v>17</v>
      </c>
      <c r="BA53" t="s">
        <v>21</v>
      </c>
      <c r="BB53" t="s">
        <v>13</v>
      </c>
      <c r="BC53" t="s">
        <v>7</v>
      </c>
      <c r="BD53">
        <v>1</v>
      </c>
      <c r="BE53" t="s">
        <v>14</v>
      </c>
      <c r="BF53">
        <v>0.96</v>
      </c>
    </row>
    <row r="54" spans="1:58" hidden="1" x14ac:dyDescent="0.2">
      <c r="A54">
        <v>53</v>
      </c>
      <c r="B54" t="s">
        <v>0</v>
      </c>
      <c r="C54">
        <v>26</v>
      </c>
      <c r="D54" t="s">
        <v>124</v>
      </c>
      <c r="E54" t="s">
        <v>128</v>
      </c>
      <c r="F54" t="s">
        <v>15</v>
      </c>
      <c r="G54" t="s">
        <v>4</v>
      </c>
      <c r="H54" t="s">
        <v>34</v>
      </c>
      <c r="I54" t="s">
        <v>114</v>
      </c>
      <c r="J54" t="s">
        <v>123</v>
      </c>
      <c r="K54" t="s">
        <v>7</v>
      </c>
      <c r="L54">
        <v>4.2</v>
      </c>
      <c r="M54">
        <v>6</v>
      </c>
      <c r="N54" t="s">
        <v>25</v>
      </c>
      <c r="O54" t="s">
        <v>7</v>
      </c>
      <c r="P54" t="s">
        <v>26</v>
      </c>
      <c r="Q54">
        <v>32</v>
      </c>
      <c r="R54">
        <v>4</v>
      </c>
      <c r="S54">
        <v>30.3</v>
      </c>
      <c r="T54">
        <v>101</v>
      </c>
      <c r="U54">
        <v>92</v>
      </c>
      <c r="V54">
        <v>8065</v>
      </c>
      <c r="W54">
        <v>54.5</v>
      </c>
      <c r="X54">
        <v>6</v>
      </c>
      <c r="Y54">
        <v>4</v>
      </c>
      <c r="Z54">
        <v>8</v>
      </c>
      <c r="AA54">
        <v>2.2999999999999998</v>
      </c>
      <c r="AB54">
        <v>4</v>
      </c>
      <c r="AC54">
        <v>323</v>
      </c>
      <c r="AD54">
        <v>17</v>
      </c>
      <c r="AE54">
        <v>5</v>
      </c>
      <c r="AF54">
        <v>300</v>
      </c>
      <c r="AG54">
        <v>150</v>
      </c>
      <c r="AH54">
        <v>188</v>
      </c>
      <c r="AI54">
        <v>56</v>
      </c>
      <c r="AJ54">
        <v>47</v>
      </c>
      <c r="AK54">
        <v>41</v>
      </c>
      <c r="AL54">
        <v>22</v>
      </c>
      <c r="AM54">
        <v>6</v>
      </c>
      <c r="AN54">
        <v>148</v>
      </c>
      <c r="AO54">
        <v>48</v>
      </c>
      <c r="AP54">
        <v>43</v>
      </c>
      <c r="AQ54">
        <v>123</v>
      </c>
      <c r="AR54">
        <v>278</v>
      </c>
      <c r="AS54">
        <v>205</v>
      </c>
      <c r="AT54" t="s">
        <v>7</v>
      </c>
      <c r="AU54">
        <v>0.68</v>
      </c>
      <c r="AV54">
        <v>2018</v>
      </c>
      <c r="AW54" s="1">
        <v>45823</v>
      </c>
      <c r="AX54">
        <v>19</v>
      </c>
      <c r="AY54" t="s">
        <v>36</v>
      </c>
      <c r="AZ54" t="s">
        <v>35</v>
      </c>
      <c r="BA54" t="s">
        <v>122</v>
      </c>
      <c r="BB54" t="s">
        <v>13</v>
      </c>
      <c r="BC54" t="s">
        <v>7</v>
      </c>
      <c r="BD54">
        <v>3</v>
      </c>
      <c r="BE54" t="s">
        <v>14</v>
      </c>
      <c r="BF54">
        <v>0.97</v>
      </c>
    </row>
    <row r="55" spans="1:58" hidden="1" x14ac:dyDescent="0.2">
      <c r="A55">
        <v>54</v>
      </c>
      <c r="B55" t="s">
        <v>0</v>
      </c>
      <c r="C55">
        <v>62</v>
      </c>
      <c r="D55" t="s">
        <v>28</v>
      </c>
      <c r="E55" t="s">
        <v>47</v>
      </c>
      <c r="F55" t="s">
        <v>15</v>
      </c>
      <c r="G55" t="s">
        <v>117</v>
      </c>
      <c r="H55" t="s">
        <v>118</v>
      </c>
      <c r="I55" t="s">
        <v>112</v>
      </c>
      <c r="J55" t="s">
        <v>123</v>
      </c>
      <c r="K55" t="s">
        <v>7</v>
      </c>
      <c r="L55">
        <v>1.3</v>
      </c>
      <c r="M55">
        <v>7</v>
      </c>
      <c r="N55" t="s">
        <v>29</v>
      </c>
      <c r="O55" t="s">
        <v>41</v>
      </c>
      <c r="P55" t="s">
        <v>9</v>
      </c>
      <c r="Q55">
        <v>11</v>
      </c>
      <c r="R55">
        <v>1</v>
      </c>
      <c r="S55">
        <v>26</v>
      </c>
      <c r="T55">
        <v>103</v>
      </c>
      <c r="U55">
        <v>71</v>
      </c>
      <c r="V55">
        <v>8047</v>
      </c>
      <c r="W55">
        <v>42.6</v>
      </c>
      <c r="X55">
        <v>3</v>
      </c>
      <c r="Y55">
        <v>0</v>
      </c>
      <c r="Z55">
        <v>8</v>
      </c>
      <c r="AA55">
        <v>6.9</v>
      </c>
      <c r="AB55">
        <v>2</v>
      </c>
      <c r="AC55">
        <v>207</v>
      </c>
      <c r="AD55">
        <v>10</v>
      </c>
      <c r="AE55">
        <v>7</v>
      </c>
      <c r="AF55">
        <v>149</v>
      </c>
      <c r="AG55">
        <v>103</v>
      </c>
      <c r="AH55">
        <v>114</v>
      </c>
      <c r="AI55">
        <v>43</v>
      </c>
      <c r="AJ55">
        <v>31</v>
      </c>
      <c r="AK55">
        <v>40</v>
      </c>
      <c r="AL55">
        <v>15</v>
      </c>
      <c r="AM55">
        <v>6</v>
      </c>
      <c r="AN55">
        <v>97</v>
      </c>
      <c r="AO55">
        <v>39</v>
      </c>
      <c r="AP55">
        <v>45</v>
      </c>
      <c r="AQ55">
        <v>54</v>
      </c>
      <c r="AR55">
        <v>442</v>
      </c>
      <c r="AS55">
        <v>662</v>
      </c>
      <c r="AT55" t="s">
        <v>7</v>
      </c>
      <c r="AU55">
        <v>0.09</v>
      </c>
      <c r="AV55">
        <v>2021</v>
      </c>
      <c r="AW55" s="1">
        <v>45782</v>
      </c>
      <c r="AX55">
        <v>20.7</v>
      </c>
      <c r="AY55" t="s">
        <v>45</v>
      </c>
      <c r="AZ55" t="s">
        <v>31</v>
      </c>
      <c r="BA55" t="s">
        <v>12</v>
      </c>
      <c r="BB55" t="s">
        <v>13</v>
      </c>
      <c r="BC55" t="s">
        <v>13</v>
      </c>
      <c r="BD55">
        <v>0</v>
      </c>
      <c r="BE55" t="s">
        <v>14</v>
      </c>
      <c r="BF55">
        <v>1.06</v>
      </c>
    </row>
    <row r="56" spans="1:58" hidden="1" x14ac:dyDescent="0.2">
      <c r="A56">
        <v>55</v>
      </c>
      <c r="B56" t="s">
        <v>0</v>
      </c>
      <c r="C56">
        <v>21</v>
      </c>
      <c r="D56" t="s">
        <v>28</v>
      </c>
      <c r="E56" t="s">
        <v>33</v>
      </c>
      <c r="F56" t="s">
        <v>15</v>
      </c>
      <c r="G56" t="s">
        <v>16</v>
      </c>
      <c r="H56" t="s">
        <v>118</v>
      </c>
      <c r="I56" t="s">
        <v>112</v>
      </c>
      <c r="J56" t="s">
        <v>123</v>
      </c>
      <c r="K56" t="s">
        <v>7</v>
      </c>
      <c r="L56">
        <v>4.5999999999999996</v>
      </c>
      <c r="M56">
        <v>5.5</v>
      </c>
      <c r="N56" t="s">
        <v>25</v>
      </c>
      <c r="O56" t="s">
        <v>7</v>
      </c>
      <c r="P56" t="s">
        <v>46</v>
      </c>
      <c r="Q56">
        <v>34</v>
      </c>
      <c r="R56">
        <v>5</v>
      </c>
      <c r="S56">
        <v>28.9</v>
      </c>
      <c r="T56">
        <v>124</v>
      </c>
      <c r="U56">
        <v>82</v>
      </c>
      <c r="V56">
        <v>7958</v>
      </c>
      <c r="W56">
        <v>36.799999999999997</v>
      </c>
      <c r="X56">
        <v>2</v>
      </c>
      <c r="Y56">
        <v>0</v>
      </c>
      <c r="Z56">
        <v>15</v>
      </c>
      <c r="AA56">
        <v>2.1</v>
      </c>
      <c r="AB56">
        <v>3</v>
      </c>
      <c r="AC56">
        <v>329</v>
      </c>
      <c r="AD56">
        <v>16</v>
      </c>
      <c r="AE56">
        <v>8</v>
      </c>
      <c r="AF56">
        <v>300</v>
      </c>
      <c r="AG56">
        <v>150</v>
      </c>
      <c r="AH56">
        <v>164</v>
      </c>
      <c r="AI56">
        <v>53</v>
      </c>
      <c r="AJ56">
        <v>37</v>
      </c>
      <c r="AK56">
        <v>61</v>
      </c>
      <c r="AL56">
        <v>44</v>
      </c>
      <c r="AM56">
        <v>6</v>
      </c>
      <c r="AN56">
        <v>143</v>
      </c>
      <c r="AO56">
        <v>49</v>
      </c>
      <c r="AP56">
        <v>66</v>
      </c>
      <c r="AQ56">
        <v>116</v>
      </c>
      <c r="AR56">
        <v>11441</v>
      </c>
      <c r="AS56">
        <v>9950</v>
      </c>
      <c r="AT56" t="s">
        <v>7</v>
      </c>
      <c r="AU56">
        <v>0.95</v>
      </c>
      <c r="AV56">
        <v>2012</v>
      </c>
      <c r="AW56" s="1">
        <v>45686</v>
      </c>
      <c r="AX56">
        <v>20.6</v>
      </c>
      <c r="AY56" t="s">
        <v>30</v>
      </c>
      <c r="AZ56" t="s">
        <v>11</v>
      </c>
      <c r="BA56" t="s">
        <v>12</v>
      </c>
      <c r="BB56" t="s">
        <v>13</v>
      </c>
      <c r="BC56" t="s">
        <v>13</v>
      </c>
      <c r="BD56">
        <v>1</v>
      </c>
      <c r="BE56" t="s">
        <v>14</v>
      </c>
      <c r="BF56">
        <v>0.89</v>
      </c>
    </row>
    <row r="57" spans="1:58" hidden="1" x14ac:dyDescent="0.2">
      <c r="A57">
        <v>56</v>
      </c>
      <c r="B57" t="s">
        <v>0</v>
      </c>
      <c r="C57">
        <v>38</v>
      </c>
      <c r="D57" t="s">
        <v>1</v>
      </c>
      <c r="E57" t="s">
        <v>2</v>
      </c>
      <c r="F57" t="s">
        <v>40</v>
      </c>
      <c r="G57" t="s">
        <v>38</v>
      </c>
      <c r="H57" t="s">
        <v>118</v>
      </c>
      <c r="I57" t="s">
        <v>114</v>
      </c>
      <c r="J57" t="s">
        <v>6</v>
      </c>
      <c r="K57" t="s">
        <v>7</v>
      </c>
      <c r="L57">
        <v>10.5</v>
      </c>
      <c r="M57">
        <v>5.4</v>
      </c>
      <c r="N57" t="s">
        <v>25</v>
      </c>
      <c r="O57" t="s">
        <v>13</v>
      </c>
      <c r="P57" t="s">
        <v>26</v>
      </c>
      <c r="Q57">
        <v>26</v>
      </c>
      <c r="R57">
        <v>9</v>
      </c>
      <c r="S57">
        <v>23.5</v>
      </c>
      <c r="T57">
        <v>100</v>
      </c>
      <c r="U57">
        <v>72</v>
      </c>
      <c r="V57">
        <v>8061</v>
      </c>
      <c r="W57">
        <v>37.700000000000003</v>
      </c>
      <c r="X57">
        <v>4</v>
      </c>
      <c r="Y57">
        <v>2</v>
      </c>
      <c r="Z57">
        <v>7</v>
      </c>
      <c r="AA57">
        <v>3.5</v>
      </c>
      <c r="AB57">
        <v>5</v>
      </c>
      <c r="AC57">
        <v>217</v>
      </c>
      <c r="AD57">
        <v>9</v>
      </c>
      <c r="AE57">
        <v>6</v>
      </c>
      <c r="AF57">
        <v>160</v>
      </c>
      <c r="AG57">
        <v>117</v>
      </c>
      <c r="AH57">
        <v>115</v>
      </c>
      <c r="AI57">
        <v>39</v>
      </c>
      <c r="AJ57">
        <v>25</v>
      </c>
      <c r="AK57">
        <v>37</v>
      </c>
      <c r="AL57">
        <v>19</v>
      </c>
      <c r="AM57">
        <v>9</v>
      </c>
      <c r="AN57">
        <v>98</v>
      </c>
      <c r="AO57">
        <v>36</v>
      </c>
      <c r="AP57">
        <v>35</v>
      </c>
      <c r="AQ57">
        <v>46</v>
      </c>
      <c r="AR57">
        <v>146</v>
      </c>
      <c r="AS57">
        <v>177</v>
      </c>
      <c r="AT57" t="s">
        <v>7</v>
      </c>
      <c r="AU57">
        <v>0.37</v>
      </c>
      <c r="AV57">
        <v>2019</v>
      </c>
      <c r="AW57" s="1">
        <v>46024</v>
      </c>
      <c r="AX57">
        <v>24.1</v>
      </c>
      <c r="AY57" t="s">
        <v>10</v>
      </c>
      <c r="AZ57" t="s">
        <v>37</v>
      </c>
      <c r="BA57" t="s">
        <v>122</v>
      </c>
      <c r="BB57" t="s">
        <v>13</v>
      </c>
      <c r="BC57" t="s">
        <v>7</v>
      </c>
      <c r="BD57">
        <v>1</v>
      </c>
      <c r="BE57" t="s">
        <v>14</v>
      </c>
      <c r="BF57">
        <v>0.97</v>
      </c>
    </row>
    <row r="58" spans="1:58" hidden="1" x14ac:dyDescent="0.2">
      <c r="A58">
        <v>57</v>
      </c>
      <c r="B58" t="s">
        <v>0</v>
      </c>
      <c r="C58">
        <v>65</v>
      </c>
      <c r="D58" t="s">
        <v>1</v>
      </c>
      <c r="E58" t="s">
        <v>47</v>
      </c>
      <c r="F58" t="s">
        <v>3</v>
      </c>
      <c r="G58" t="s">
        <v>16</v>
      </c>
      <c r="H58" t="s">
        <v>118</v>
      </c>
      <c r="I58" t="s">
        <v>114</v>
      </c>
      <c r="J58" t="s">
        <v>32</v>
      </c>
      <c r="K58" t="s">
        <v>7</v>
      </c>
      <c r="L58">
        <v>4.0999999999999996</v>
      </c>
      <c r="M58">
        <v>7.6</v>
      </c>
      <c r="N58" t="s">
        <v>39</v>
      </c>
      <c r="O58" t="s">
        <v>7</v>
      </c>
      <c r="P58" t="s">
        <v>9</v>
      </c>
      <c r="Q58">
        <v>18</v>
      </c>
      <c r="R58">
        <v>4</v>
      </c>
      <c r="S58">
        <v>18.7</v>
      </c>
      <c r="T58">
        <v>151</v>
      </c>
      <c r="U58">
        <v>79</v>
      </c>
      <c r="V58">
        <v>8010</v>
      </c>
      <c r="W58">
        <v>40.1</v>
      </c>
      <c r="X58">
        <v>1</v>
      </c>
      <c r="Y58">
        <v>5</v>
      </c>
      <c r="Z58">
        <v>13</v>
      </c>
      <c r="AA58">
        <v>6.1</v>
      </c>
      <c r="AB58">
        <v>4</v>
      </c>
      <c r="AC58">
        <v>123</v>
      </c>
      <c r="AD58">
        <v>5</v>
      </c>
      <c r="AE58">
        <v>3</v>
      </c>
      <c r="AF58">
        <v>126</v>
      </c>
      <c r="AG58">
        <v>79</v>
      </c>
      <c r="AH58">
        <v>96</v>
      </c>
      <c r="AI58">
        <v>26</v>
      </c>
      <c r="AJ58">
        <v>21</v>
      </c>
      <c r="AK58">
        <v>22</v>
      </c>
      <c r="AL58">
        <v>10</v>
      </c>
      <c r="AM58">
        <v>0</v>
      </c>
      <c r="AN58">
        <v>50</v>
      </c>
      <c r="AO58">
        <v>32</v>
      </c>
      <c r="AP58">
        <v>29</v>
      </c>
      <c r="AQ58">
        <v>38</v>
      </c>
      <c r="AR58">
        <v>526</v>
      </c>
      <c r="AS58">
        <v>617</v>
      </c>
      <c r="AT58" t="s">
        <v>13</v>
      </c>
      <c r="AU58">
        <v>0.98</v>
      </c>
      <c r="AV58">
        <v>2018</v>
      </c>
      <c r="AW58" s="1">
        <v>45842</v>
      </c>
      <c r="AX58">
        <v>24.6</v>
      </c>
      <c r="AY58" t="s">
        <v>45</v>
      </c>
      <c r="AZ58" t="s">
        <v>11</v>
      </c>
      <c r="BA58" t="s">
        <v>122</v>
      </c>
      <c r="BB58" t="s">
        <v>13</v>
      </c>
      <c r="BC58" t="s">
        <v>7</v>
      </c>
      <c r="BD58">
        <v>3</v>
      </c>
      <c r="BE58" t="s">
        <v>14</v>
      </c>
      <c r="BF58">
        <v>1.27</v>
      </c>
    </row>
    <row r="59" spans="1:58" hidden="1" x14ac:dyDescent="0.2">
      <c r="A59">
        <v>58</v>
      </c>
      <c r="B59" t="s">
        <v>0</v>
      </c>
      <c r="C59">
        <v>14</v>
      </c>
      <c r="D59" t="s">
        <v>1</v>
      </c>
      <c r="E59" t="s">
        <v>22</v>
      </c>
      <c r="F59" t="s">
        <v>15</v>
      </c>
      <c r="G59" t="s">
        <v>38</v>
      </c>
      <c r="H59" t="s">
        <v>118</v>
      </c>
      <c r="I59" t="s">
        <v>53</v>
      </c>
      <c r="J59" t="s">
        <v>18</v>
      </c>
      <c r="K59" t="s">
        <v>13</v>
      </c>
      <c r="L59">
        <v>6.9</v>
      </c>
      <c r="M59">
        <v>6.7</v>
      </c>
      <c r="N59" t="s">
        <v>29</v>
      </c>
      <c r="O59" t="s">
        <v>7</v>
      </c>
      <c r="P59" t="s">
        <v>26</v>
      </c>
      <c r="Q59">
        <v>4</v>
      </c>
      <c r="R59">
        <v>9</v>
      </c>
      <c r="S59">
        <v>20.100000000000001</v>
      </c>
      <c r="T59">
        <v>142</v>
      </c>
      <c r="U59">
        <v>88</v>
      </c>
      <c r="V59">
        <v>8006</v>
      </c>
      <c r="W59">
        <v>36</v>
      </c>
      <c r="X59">
        <v>1</v>
      </c>
      <c r="Y59">
        <v>2</v>
      </c>
      <c r="Z59">
        <v>8</v>
      </c>
      <c r="AA59">
        <v>6.3</v>
      </c>
      <c r="AB59">
        <v>4</v>
      </c>
      <c r="AC59">
        <v>28</v>
      </c>
      <c r="AD59">
        <v>1</v>
      </c>
      <c r="AE59">
        <v>7</v>
      </c>
      <c r="AF59">
        <v>141</v>
      </c>
      <c r="AG59">
        <v>44</v>
      </c>
      <c r="AH59">
        <v>29</v>
      </c>
      <c r="AI59">
        <v>10</v>
      </c>
      <c r="AJ59">
        <v>14</v>
      </c>
      <c r="AK59">
        <v>10</v>
      </c>
      <c r="AL59">
        <v>3</v>
      </c>
      <c r="AM59">
        <v>3</v>
      </c>
      <c r="AN59">
        <v>12</v>
      </c>
      <c r="AO59">
        <v>6</v>
      </c>
      <c r="AP59">
        <v>5</v>
      </c>
      <c r="AQ59">
        <v>7</v>
      </c>
      <c r="AR59">
        <v>561</v>
      </c>
      <c r="AS59">
        <v>431</v>
      </c>
      <c r="AT59" t="s">
        <v>13</v>
      </c>
      <c r="AU59">
        <v>0.81</v>
      </c>
      <c r="AV59">
        <v>2022</v>
      </c>
      <c r="AW59" s="1">
        <v>45738</v>
      </c>
      <c r="AX59">
        <v>28</v>
      </c>
      <c r="AY59" t="s">
        <v>36</v>
      </c>
      <c r="AZ59" t="s">
        <v>37</v>
      </c>
      <c r="BA59" t="s">
        <v>21</v>
      </c>
      <c r="BB59" t="s">
        <v>7</v>
      </c>
      <c r="BC59" t="s">
        <v>13</v>
      </c>
      <c r="BD59">
        <v>4</v>
      </c>
      <c r="BE59" t="s">
        <v>14</v>
      </c>
      <c r="BF59">
        <v>2.41</v>
      </c>
    </row>
    <row r="60" spans="1:58" hidden="1" x14ac:dyDescent="0.2">
      <c r="A60">
        <v>59</v>
      </c>
      <c r="B60" t="s">
        <v>0</v>
      </c>
      <c r="C60">
        <v>32</v>
      </c>
      <c r="D60" t="s">
        <v>28</v>
      </c>
      <c r="E60" t="s">
        <v>2</v>
      </c>
      <c r="F60" t="s">
        <v>15</v>
      </c>
      <c r="G60" t="s">
        <v>117</v>
      </c>
      <c r="H60" t="s">
        <v>118</v>
      </c>
      <c r="I60" t="s">
        <v>114</v>
      </c>
      <c r="J60" t="s">
        <v>18</v>
      </c>
      <c r="K60" t="s">
        <v>7</v>
      </c>
      <c r="L60">
        <v>18.5</v>
      </c>
      <c r="M60">
        <v>8.3000000000000007</v>
      </c>
      <c r="N60" t="s">
        <v>39</v>
      </c>
      <c r="O60" t="s">
        <v>7</v>
      </c>
      <c r="P60" t="s">
        <v>9</v>
      </c>
      <c r="Q60">
        <v>27</v>
      </c>
      <c r="R60">
        <v>4</v>
      </c>
      <c r="S60">
        <v>26.8</v>
      </c>
      <c r="T60">
        <v>117</v>
      </c>
      <c r="U60">
        <v>99</v>
      </c>
      <c r="V60">
        <v>7887</v>
      </c>
      <c r="W60">
        <v>52.6</v>
      </c>
      <c r="X60">
        <v>3</v>
      </c>
      <c r="Y60">
        <v>5</v>
      </c>
      <c r="Z60">
        <v>10</v>
      </c>
      <c r="AA60">
        <v>9.9</v>
      </c>
      <c r="AB60">
        <v>0</v>
      </c>
      <c r="AC60">
        <v>251</v>
      </c>
      <c r="AD60">
        <v>18</v>
      </c>
      <c r="AE60">
        <v>4</v>
      </c>
      <c r="AF60">
        <v>179</v>
      </c>
      <c r="AG60">
        <v>121</v>
      </c>
      <c r="AH60">
        <v>137</v>
      </c>
      <c r="AI60">
        <v>43</v>
      </c>
      <c r="AJ60">
        <v>37</v>
      </c>
      <c r="AK60">
        <v>26</v>
      </c>
      <c r="AL60">
        <v>26</v>
      </c>
      <c r="AM60">
        <v>7</v>
      </c>
      <c r="AN60">
        <v>102</v>
      </c>
      <c r="AO60">
        <v>64</v>
      </c>
      <c r="AP60">
        <v>38</v>
      </c>
      <c r="AQ60">
        <v>79</v>
      </c>
      <c r="AR60">
        <v>5588</v>
      </c>
      <c r="AS60">
        <v>10000</v>
      </c>
      <c r="AT60" t="s">
        <v>13</v>
      </c>
      <c r="AU60">
        <v>0.27</v>
      </c>
      <c r="AV60">
        <v>2011</v>
      </c>
      <c r="AW60" s="1">
        <v>46018</v>
      </c>
      <c r="AX60">
        <v>13.9</v>
      </c>
      <c r="AY60" t="s">
        <v>27</v>
      </c>
      <c r="AZ60" t="s">
        <v>48</v>
      </c>
      <c r="BA60" t="s">
        <v>12</v>
      </c>
      <c r="BB60" t="s">
        <v>7</v>
      </c>
      <c r="BC60" t="s">
        <v>13</v>
      </c>
      <c r="BD60">
        <v>2</v>
      </c>
      <c r="BE60" t="s">
        <v>14</v>
      </c>
      <c r="BF60">
        <v>0.93</v>
      </c>
    </row>
    <row r="61" spans="1:58" hidden="1" x14ac:dyDescent="0.2">
      <c r="A61">
        <v>60</v>
      </c>
      <c r="B61" t="s">
        <v>0</v>
      </c>
      <c r="C61">
        <v>40</v>
      </c>
      <c r="D61" t="s">
        <v>28</v>
      </c>
      <c r="E61" t="s">
        <v>128</v>
      </c>
      <c r="F61" t="s">
        <v>40</v>
      </c>
      <c r="G61" t="s">
        <v>117</v>
      </c>
      <c r="H61" t="s">
        <v>34</v>
      </c>
      <c r="I61" t="s">
        <v>113</v>
      </c>
      <c r="J61" t="s">
        <v>6</v>
      </c>
      <c r="K61" t="s">
        <v>7</v>
      </c>
      <c r="L61">
        <v>1.8</v>
      </c>
      <c r="M61">
        <v>6.2</v>
      </c>
      <c r="N61" t="s">
        <v>8</v>
      </c>
      <c r="O61" t="s">
        <v>7</v>
      </c>
      <c r="P61" t="s">
        <v>26</v>
      </c>
      <c r="Q61">
        <v>17</v>
      </c>
      <c r="R61">
        <v>10</v>
      </c>
      <c r="S61">
        <v>27</v>
      </c>
      <c r="T61">
        <v>102</v>
      </c>
      <c r="U61">
        <v>63</v>
      </c>
      <c r="V61">
        <v>8010</v>
      </c>
      <c r="W61">
        <v>44.9</v>
      </c>
      <c r="X61">
        <v>1</v>
      </c>
      <c r="Y61">
        <v>9</v>
      </c>
      <c r="Z61">
        <v>7</v>
      </c>
      <c r="AA61">
        <v>1.6</v>
      </c>
      <c r="AB61">
        <v>4</v>
      </c>
      <c r="AC61">
        <v>94</v>
      </c>
      <c r="AD61">
        <v>11</v>
      </c>
      <c r="AE61">
        <v>4</v>
      </c>
      <c r="AF61">
        <v>92</v>
      </c>
      <c r="AG61">
        <v>60</v>
      </c>
      <c r="AH61">
        <v>67</v>
      </c>
      <c r="AI61">
        <v>21</v>
      </c>
      <c r="AJ61">
        <v>21</v>
      </c>
      <c r="AK61">
        <v>17</v>
      </c>
      <c r="AL61">
        <v>15</v>
      </c>
      <c r="AM61">
        <v>3</v>
      </c>
      <c r="AN61">
        <v>44</v>
      </c>
      <c r="AO61">
        <v>23</v>
      </c>
      <c r="AP61">
        <v>21</v>
      </c>
      <c r="AQ61">
        <v>27</v>
      </c>
      <c r="AR61">
        <v>1680</v>
      </c>
      <c r="AS61">
        <v>2399</v>
      </c>
      <c r="AT61" t="s">
        <v>13</v>
      </c>
      <c r="AU61">
        <v>0.02</v>
      </c>
      <c r="AV61">
        <v>2025</v>
      </c>
      <c r="AW61" s="1">
        <v>45856</v>
      </c>
      <c r="AX61">
        <v>8.5</v>
      </c>
      <c r="AY61" t="s">
        <v>27</v>
      </c>
      <c r="AZ61" t="s">
        <v>17</v>
      </c>
      <c r="BA61" t="s">
        <v>21</v>
      </c>
      <c r="BB61" t="s">
        <v>13</v>
      </c>
      <c r="BC61" t="s">
        <v>7</v>
      </c>
      <c r="BD61">
        <v>0</v>
      </c>
      <c r="BE61" t="s">
        <v>14</v>
      </c>
      <c r="BF61">
        <v>1.27</v>
      </c>
    </row>
    <row r="62" spans="1:58" hidden="1" x14ac:dyDescent="0.2">
      <c r="A62">
        <v>61</v>
      </c>
      <c r="B62" t="s">
        <v>0</v>
      </c>
      <c r="C62">
        <v>59</v>
      </c>
      <c r="D62" t="s">
        <v>28</v>
      </c>
      <c r="E62" t="s">
        <v>2</v>
      </c>
      <c r="F62" t="s">
        <v>15</v>
      </c>
      <c r="G62" t="s">
        <v>38</v>
      </c>
      <c r="H62" t="s">
        <v>24</v>
      </c>
      <c r="I62" t="s">
        <v>112</v>
      </c>
      <c r="J62" t="s">
        <v>32</v>
      </c>
      <c r="K62" t="s">
        <v>7</v>
      </c>
      <c r="L62">
        <v>13.8</v>
      </c>
      <c r="M62">
        <v>6.5</v>
      </c>
      <c r="N62" t="s">
        <v>29</v>
      </c>
      <c r="O62" t="s">
        <v>7</v>
      </c>
      <c r="P62" t="s">
        <v>26</v>
      </c>
      <c r="Q62">
        <v>30</v>
      </c>
      <c r="R62">
        <v>8</v>
      </c>
      <c r="S62">
        <v>23.4</v>
      </c>
      <c r="T62">
        <v>151</v>
      </c>
      <c r="U62">
        <v>85</v>
      </c>
      <c r="V62">
        <v>8080</v>
      </c>
      <c r="W62">
        <v>42.5</v>
      </c>
      <c r="X62">
        <v>1</v>
      </c>
      <c r="Y62">
        <v>3</v>
      </c>
      <c r="Z62">
        <v>13</v>
      </c>
      <c r="AA62">
        <v>3.7</v>
      </c>
      <c r="AB62">
        <v>3</v>
      </c>
      <c r="AC62">
        <v>195</v>
      </c>
      <c r="AD62">
        <v>23</v>
      </c>
      <c r="AE62">
        <v>4</v>
      </c>
      <c r="AF62">
        <v>169</v>
      </c>
      <c r="AG62">
        <v>99</v>
      </c>
      <c r="AH62">
        <v>107</v>
      </c>
      <c r="AI62">
        <v>35</v>
      </c>
      <c r="AJ62">
        <v>35</v>
      </c>
      <c r="AK62">
        <v>29</v>
      </c>
      <c r="AL62">
        <v>19</v>
      </c>
      <c r="AM62">
        <v>8</v>
      </c>
      <c r="AN62">
        <v>96</v>
      </c>
      <c r="AO62">
        <v>29</v>
      </c>
      <c r="AP62">
        <v>29</v>
      </c>
      <c r="AQ62">
        <v>49</v>
      </c>
      <c r="AR62">
        <v>1011</v>
      </c>
      <c r="AS62">
        <v>2419</v>
      </c>
      <c r="AT62" t="s">
        <v>7</v>
      </c>
      <c r="AU62">
        <v>0.56000000000000005</v>
      </c>
      <c r="AV62">
        <v>2015</v>
      </c>
      <c r="AW62" s="1">
        <v>45913</v>
      </c>
      <c r="AX62">
        <v>8.5</v>
      </c>
      <c r="AY62" t="s">
        <v>36</v>
      </c>
      <c r="AZ62" t="s">
        <v>11</v>
      </c>
      <c r="BA62" t="s">
        <v>12</v>
      </c>
      <c r="BB62" t="s">
        <v>13</v>
      </c>
      <c r="BC62" t="s">
        <v>13</v>
      </c>
      <c r="BD62">
        <v>3</v>
      </c>
      <c r="BE62" t="s">
        <v>14</v>
      </c>
      <c r="BF62">
        <v>0.96</v>
      </c>
    </row>
    <row r="63" spans="1:58" hidden="1" x14ac:dyDescent="0.2">
      <c r="A63">
        <v>62</v>
      </c>
      <c r="B63" t="s">
        <v>0</v>
      </c>
      <c r="C63">
        <v>19</v>
      </c>
      <c r="D63" t="s">
        <v>1</v>
      </c>
      <c r="E63" t="s">
        <v>22</v>
      </c>
      <c r="F63" t="s">
        <v>15</v>
      </c>
      <c r="G63" t="s">
        <v>116</v>
      </c>
      <c r="H63" t="s">
        <v>34</v>
      </c>
      <c r="I63" t="s">
        <v>112</v>
      </c>
      <c r="J63" t="s">
        <v>32</v>
      </c>
      <c r="K63" t="s">
        <v>13</v>
      </c>
      <c r="L63">
        <v>5</v>
      </c>
      <c r="M63">
        <v>5.6</v>
      </c>
      <c r="N63" t="s">
        <v>29</v>
      </c>
      <c r="O63" t="s">
        <v>7</v>
      </c>
      <c r="P63" t="s">
        <v>26</v>
      </c>
      <c r="Q63">
        <v>26</v>
      </c>
      <c r="R63">
        <v>4</v>
      </c>
      <c r="S63">
        <v>23.8</v>
      </c>
      <c r="T63">
        <v>136</v>
      </c>
      <c r="U63">
        <v>67</v>
      </c>
      <c r="V63">
        <v>7888</v>
      </c>
      <c r="W63">
        <v>54.9</v>
      </c>
      <c r="X63">
        <v>4</v>
      </c>
      <c r="Y63">
        <v>6</v>
      </c>
      <c r="Z63">
        <v>10</v>
      </c>
      <c r="AA63">
        <v>5.0999999999999996</v>
      </c>
      <c r="AB63">
        <v>2</v>
      </c>
      <c r="AC63">
        <v>273</v>
      </c>
      <c r="AD63">
        <v>13</v>
      </c>
      <c r="AE63">
        <v>7</v>
      </c>
      <c r="AF63">
        <v>277</v>
      </c>
      <c r="AG63">
        <v>135</v>
      </c>
      <c r="AH63">
        <v>169</v>
      </c>
      <c r="AI63">
        <v>49</v>
      </c>
      <c r="AJ63">
        <v>29</v>
      </c>
      <c r="AK63">
        <v>38</v>
      </c>
      <c r="AL63">
        <v>20</v>
      </c>
      <c r="AM63">
        <v>5</v>
      </c>
      <c r="AN63">
        <v>161</v>
      </c>
      <c r="AO63">
        <v>42</v>
      </c>
      <c r="AP63">
        <v>38</v>
      </c>
      <c r="AQ63">
        <v>88</v>
      </c>
      <c r="AR63">
        <v>162</v>
      </c>
      <c r="AS63">
        <v>232</v>
      </c>
      <c r="AT63" t="s">
        <v>7</v>
      </c>
      <c r="AU63">
        <v>0.77</v>
      </c>
      <c r="AV63">
        <v>2020</v>
      </c>
      <c r="AW63" s="1">
        <v>45926</v>
      </c>
      <c r="AX63">
        <v>21</v>
      </c>
      <c r="AY63" t="s">
        <v>19</v>
      </c>
      <c r="AZ63" t="s">
        <v>11</v>
      </c>
      <c r="BA63" t="s">
        <v>21</v>
      </c>
      <c r="BB63" t="s">
        <v>13</v>
      </c>
      <c r="BC63" t="s">
        <v>7</v>
      </c>
      <c r="BD63">
        <v>1</v>
      </c>
      <c r="BE63" t="s">
        <v>14</v>
      </c>
      <c r="BF63">
        <v>1.05</v>
      </c>
    </row>
    <row r="64" spans="1:58" hidden="1" x14ac:dyDescent="0.2">
      <c r="A64">
        <v>63</v>
      </c>
      <c r="B64" t="s">
        <v>0</v>
      </c>
      <c r="C64">
        <v>56</v>
      </c>
      <c r="D64" t="s">
        <v>28</v>
      </c>
      <c r="E64" t="s">
        <v>47</v>
      </c>
      <c r="F64" t="s">
        <v>15</v>
      </c>
      <c r="G64" t="s">
        <v>16</v>
      </c>
      <c r="H64" t="s">
        <v>24</v>
      </c>
      <c r="I64" t="s">
        <v>112</v>
      </c>
      <c r="J64" t="s">
        <v>6</v>
      </c>
      <c r="K64" t="s">
        <v>13</v>
      </c>
      <c r="L64">
        <v>8</v>
      </c>
      <c r="M64">
        <v>8.1999999999999993</v>
      </c>
      <c r="N64" t="s">
        <v>25</v>
      </c>
      <c r="O64" t="s">
        <v>7</v>
      </c>
      <c r="P64" t="s">
        <v>9</v>
      </c>
      <c r="Q64">
        <v>19</v>
      </c>
      <c r="R64">
        <v>2</v>
      </c>
      <c r="S64">
        <v>24.3</v>
      </c>
      <c r="T64">
        <v>157</v>
      </c>
      <c r="U64">
        <v>97</v>
      </c>
      <c r="V64">
        <v>7914</v>
      </c>
      <c r="W64">
        <v>29.4</v>
      </c>
      <c r="X64">
        <v>5</v>
      </c>
      <c r="Y64">
        <v>4</v>
      </c>
      <c r="Z64">
        <v>10</v>
      </c>
      <c r="AA64">
        <v>7.7</v>
      </c>
      <c r="AB64">
        <v>6</v>
      </c>
      <c r="AC64">
        <v>258</v>
      </c>
      <c r="AD64">
        <v>13</v>
      </c>
      <c r="AE64">
        <v>2</v>
      </c>
      <c r="AF64">
        <v>202</v>
      </c>
      <c r="AG64">
        <v>135</v>
      </c>
      <c r="AH64">
        <v>157</v>
      </c>
      <c r="AI64">
        <v>46</v>
      </c>
      <c r="AJ64">
        <v>27</v>
      </c>
      <c r="AK64">
        <v>22</v>
      </c>
      <c r="AL64">
        <v>26</v>
      </c>
      <c r="AM64">
        <v>7</v>
      </c>
      <c r="AN64">
        <v>118</v>
      </c>
      <c r="AO64">
        <v>58</v>
      </c>
      <c r="AP64">
        <v>52</v>
      </c>
      <c r="AQ64">
        <v>71</v>
      </c>
      <c r="AR64">
        <v>1427</v>
      </c>
      <c r="AS64">
        <v>1707</v>
      </c>
      <c r="AT64" t="s">
        <v>7</v>
      </c>
      <c r="AU64">
        <v>0.91</v>
      </c>
      <c r="AV64">
        <v>2014</v>
      </c>
      <c r="AW64" s="1">
        <v>45787</v>
      </c>
      <c r="AX64">
        <v>19.8</v>
      </c>
      <c r="AY64" t="s">
        <v>45</v>
      </c>
      <c r="AZ64" t="s">
        <v>48</v>
      </c>
      <c r="BA64" t="s">
        <v>21</v>
      </c>
      <c r="BB64" t="s">
        <v>13</v>
      </c>
      <c r="BC64" t="s">
        <v>7</v>
      </c>
      <c r="BD64">
        <v>0</v>
      </c>
      <c r="BE64" t="s">
        <v>49</v>
      </c>
      <c r="BF64">
        <v>0.98</v>
      </c>
    </row>
    <row r="65" spans="1:58" hidden="1" x14ac:dyDescent="0.2">
      <c r="A65">
        <v>64</v>
      </c>
      <c r="B65" t="s">
        <v>0</v>
      </c>
      <c r="C65">
        <v>20</v>
      </c>
      <c r="D65" t="s">
        <v>1</v>
      </c>
      <c r="E65" t="s">
        <v>22</v>
      </c>
      <c r="F65" t="s">
        <v>3</v>
      </c>
      <c r="G65" t="s">
        <v>16</v>
      </c>
      <c r="H65" t="s">
        <v>23</v>
      </c>
      <c r="I65" t="s">
        <v>112</v>
      </c>
      <c r="J65" t="s">
        <v>123</v>
      </c>
      <c r="K65" t="s">
        <v>7</v>
      </c>
      <c r="L65">
        <v>12.3</v>
      </c>
      <c r="M65">
        <v>7.7</v>
      </c>
      <c r="N65" t="s">
        <v>8</v>
      </c>
      <c r="O65" t="s">
        <v>7</v>
      </c>
      <c r="P65" t="s">
        <v>46</v>
      </c>
      <c r="Q65">
        <v>6</v>
      </c>
      <c r="R65">
        <v>1</v>
      </c>
      <c r="S65">
        <v>27.5</v>
      </c>
      <c r="T65">
        <v>106</v>
      </c>
      <c r="U65">
        <v>61</v>
      </c>
      <c r="V65">
        <v>7981</v>
      </c>
      <c r="W65">
        <v>44.9</v>
      </c>
      <c r="X65">
        <v>4</v>
      </c>
      <c r="Y65">
        <v>3</v>
      </c>
      <c r="Z65">
        <v>7</v>
      </c>
      <c r="AA65">
        <v>6.2</v>
      </c>
      <c r="AB65">
        <v>4</v>
      </c>
      <c r="AC65">
        <v>147</v>
      </c>
      <c r="AD65">
        <v>8</v>
      </c>
      <c r="AE65">
        <v>5</v>
      </c>
      <c r="AF65">
        <v>208</v>
      </c>
      <c r="AG65">
        <v>100</v>
      </c>
      <c r="AH65">
        <v>109</v>
      </c>
      <c r="AI65">
        <v>25</v>
      </c>
      <c r="AJ65">
        <v>26</v>
      </c>
      <c r="AK65">
        <v>31</v>
      </c>
      <c r="AL65">
        <v>20</v>
      </c>
      <c r="AM65">
        <v>3</v>
      </c>
      <c r="AN65">
        <v>69</v>
      </c>
      <c r="AO65">
        <v>24</v>
      </c>
      <c r="AP65">
        <v>36</v>
      </c>
      <c r="AQ65">
        <v>37</v>
      </c>
      <c r="AR65">
        <v>708</v>
      </c>
      <c r="AS65">
        <v>1548</v>
      </c>
      <c r="AT65" t="s">
        <v>7</v>
      </c>
      <c r="AU65">
        <v>0.17</v>
      </c>
      <c r="AV65">
        <v>2024</v>
      </c>
      <c r="AW65" s="1">
        <v>46014</v>
      </c>
      <c r="AX65">
        <v>18.399999999999999</v>
      </c>
      <c r="AY65" t="s">
        <v>27</v>
      </c>
      <c r="AZ65" t="s">
        <v>31</v>
      </c>
      <c r="BA65" t="s">
        <v>12</v>
      </c>
      <c r="BB65" t="s">
        <v>7</v>
      </c>
      <c r="BC65" t="s">
        <v>7</v>
      </c>
      <c r="BD65">
        <v>2</v>
      </c>
      <c r="BE65" t="s">
        <v>49</v>
      </c>
      <c r="BF65">
        <v>1.18</v>
      </c>
    </row>
    <row r="66" spans="1:58" hidden="1" x14ac:dyDescent="0.2">
      <c r="A66">
        <v>65</v>
      </c>
      <c r="B66" t="s">
        <v>0</v>
      </c>
      <c r="C66">
        <v>59</v>
      </c>
      <c r="D66" t="s">
        <v>28</v>
      </c>
      <c r="E66" t="s">
        <v>22</v>
      </c>
      <c r="F66" t="s">
        <v>40</v>
      </c>
      <c r="G66" t="s">
        <v>38</v>
      </c>
      <c r="H66" t="s">
        <v>34</v>
      </c>
      <c r="I66" t="s">
        <v>17</v>
      </c>
      <c r="J66" t="s">
        <v>6</v>
      </c>
      <c r="K66" t="s">
        <v>13</v>
      </c>
      <c r="L66">
        <v>2.2000000000000002</v>
      </c>
      <c r="M66">
        <v>8.4</v>
      </c>
      <c r="N66" t="s">
        <v>39</v>
      </c>
      <c r="O66" t="s">
        <v>7</v>
      </c>
      <c r="P66" t="s">
        <v>9</v>
      </c>
      <c r="Q66">
        <v>8</v>
      </c>
      <c r="R66">
        <v>7</v>
      </c>
      <c r="S66">
        <v>18.5</v>
      </c>
      <c r="T66">
        <v>146</v>
      </c>
      <c r="U66">
        <v>93</v>
      </c>
      <c r="V66">
        <v>7926</v>
      </c>
      <c r="W66">
        <v>42.9</v>
      </c>
      <c r="X66">
        <v>2</v>
      </c>
      <c r="Y66">
        <v>5</v>
      </c>
      <c r="Z66">
        <v>14</v>
      </c>
      <c r="AA66">
        <v>1.8</v>
      </c>
      <c r="AB66">
        <v>2</v>
      </c>
      <c r="AC66">
        <v>66</v>
      </c>
      <c r="AD66">
        <v>2</v>
      </c>
      <c r="AE66">
        <v>2</v>
      </c>
      <c r="AF66">
        <v>73</v>
      </c>
      <c r="AG66">
        <v>55</v>
      </c>
      <c r="AH66">
        <v>68</v>
      </c>
      <c r="AI66">
        <v>17</v>
      </c>
      <c r="AJ66">
        <v>14</v>
      </c>
      <c r="AK66">
        <v>10</v>
      </c>
      <c r="AL66">
        <v>17</v>
      </c>
      <c r="AM66">
        <v>1</v>
      </c>
      <c r="AN66">
        <v>37</v>
      </c>
      <c r="AO66">
        <v>14</v>
      </c>
      <c r="AP66">
        <v>11</v>
      </c>
      <c r="AQ66">
        <v>22</v>
      </c>
      <c r="AR66">
        <v>2189</v>
      </c>
      <c r="AS66">
        <v>3680</v>
      </c>
      <c r="AT66" t="s">
        <v>7</v>
      </c>
      <c r="AU66">
        <v>0.68</v>
      </c>
      <c r="AV66">
        <v>2025</v>
      </c>
      <c r="AW66" s="1">
        <v>45847</v>
      </c>
      <c r="AX66">
        <v>33</v>
      </c>
      <c r="AY66" t="s">
        <v>36</v>
      </c>
      <c r="AZ66" t="s">
        <v>11</v>
      </c>
      <c r="BA66" t="s">
        <v>12</v>
      </c>
      <c r="BB66" t="s">
        <v>7</v>
      </c>
      <c r="BC66" t="s">
        <v>13</v>
      </c>
      <c r="BD66">
        <v>2</v>
      </c>
      <c r="BE66" t="s">
        <v>14</v>
      </c>
      <c r="BF66">
        <v>1.61</v>
      </c>
    </row>
    <row r="67" spans="1:58" hidden="1" x14ac:dyDescent="0.2">
      <c r="A67">
        <v>66</v>
      </c>
      <c r="B67" t="s">
        <v>0</v>
      </c>
      <c r="C67">
        <v>47</v>
      </c>
      <c r="D67" t="s">
        <v>1</v>
      </c>
      <c r="E67" t="s">
        <v>128</v>
      </c>
      <c r="F67" t="s">
        <v>40</v>
      </c>
      <c r="G67" t="s">
        <v>38</v>
      </c>
      <c r="H67" t="s">
        <v>24</v>
      </c>
      <c r="I67" t="s">
        <v>112</v>
      </c>
      <c r="J67" t="s">
        <v>123</v>
      </c>
      <c r="K67" t="s">
        <v>7</v>
      </c>
      <c r="L67">
        <v>7.6</v>
      </c>
      <c r="M67">
        <v>8.1999999999999993</v>
      </c>
      <c r="N67" t="s">
        <v>29</v>
      </c>
      <c r="O67" t="s">
        <v>7</v>
      </c>
      <c r="P67" t="s">
        <v>121</v>
      </c>
      <c r="Q67">
        <v>0</v>
      </c>
      <c r="R67">
        <v>6</v>
      </c>
      <c r="S67">
        <v>28.5</v>
      </c>
      <c r="T67">
        <v>106</v>
      </c>
      <c r="U67">
        <v>70</v>
      </c>
      <c r="V67">
        <v>8082</v>
      </c>
      <c r="W67">
        <v>41.1</v>
      </c>
      <c r="X67">
        <v>1</v>
      </c>
      <c r="Y67">
        <v>2</v>
      </c>
      <c r="Z67">
        <v>5</v>
      </c>
      <c r="AA67">
        <v>1.5</v>
      </c>
      <c r="AB67">
        <v>2</v>
      </c>
      <c r="AC67">
        <v>5</v>
      </c>
      <c r="AD67">
        <v>1</v>
      </c>
      <c r="AE67">
        <v>7</v>
      </c>
      <c r="AF67">
        <v>47</v>
      </c>
      <c r="AG67">
        <v>34</v>
      </c>
      <c r="AH67">
        <v>30</v>
      </c>
      <c r="AI67">
        <v>9</v>
      </c>
      <c r="AJ67">
        <v>8</v>
      </c>
      <c r="AK67">
        <v>5</v>
      </c>
      <c r="AL67">
        <v>7</v>
      </c>
      <c r="AM67">
        <v>1</v>
      </c>
      <c r="AN67">
        <v>2</v>
      </c>
      <c r="AO67">
        <v>1</v>
      </c>
      <c r="AP67">
        <v>1</v>
      </c>
      <c r="AQ67">
        <v>2</v>
      </c>
      <c r="AR67">
        <v>3126</v>
      </c>
      <c r="AS67">
        <v>6378</v>
      </c>
      <c r="AT67" t="s">
        <v>7</v>
      </c>
      <c r="AU67">
        <v>0.95</v>
      </c>
      <c r="AV67">
        <v>2018</v>
      </c>
      <c r="AW67" s="1">
        <v>45819</v>
      </c>
      <c r="AX67">
        <v>5</v>
      </c>
      <c r="AY67" t="s">
        <v>45</v>
      </c>
      <c r="AZ67" t="s">
        <v>31</v>
      </c>
      <c r="BA67" t="s">
        <v>12</v>
      </c>
      <c r="BB67" t="s">
        <v>13</v>
      </c>
      <c r="BC67" t="s">
        <v>13</v>
      </c>
      <c r="BD67">
        <v>2</v>
      </c>
      <c r="BE67" t="s">
        <v>43</v>
      </c>
      <c r="BF67">
        <v>11.5</v>
      </c>
    </row>
    <row r="68" spans="1:58" hidden="1" x14ac:dyDescent="0.2">
      <c r="A68">
        <v>67</v>
      </c>
      <c r="B68" t="s">
        <v>0</v>
      </c>
      <c r="C68">
        <v>26</v>
      </c>
      <c r="D68" t="s">
        <v>28</v>
      </c>
      <c r="E68" t="s">
        <v>128</v>
      </c>
      <c r="F68" t="s">
        <v>15</v>
      </c>
      <c r="G68" t="s">
        <v>117</v>
      </c>
      <c r="H68" t="s">
        <v>34</v>
      </c>
      <c r="I68" t="s">
        <v>112</v>
      </c>
      <c r="J68" t="s">
        <v>123</v>
      </c>
      <c r="K68" t="s">
        <v>7</v>
      </c>
      <c r="L68">
        <v>8.9</v>
      </c>
      <c r="M68">
        <v>6.7</v>
      </c>
      <c r="N68" t="s">
        <v>25</v>
      </c>
      <c r="O68" t="s">
        <v>7</v>
      </c>
      <c r="P68" t="s">
        <v>26</v>
      </c>
      <c r="Q68">
        <v>38</v>
      </c>
      <c r="R68">
        <v>8</v>
      </c>
      <c r="S68">
        <v>21.4</v>
      </c>
      <c r="T68">
        <v>107</v>
      </c>
      <c r="U68">
        <v>83</v>
      </c>
      <c r="V68">
        <v>8020</v>
      </c>
      <c r="W68">
        <v>54.2</v>
      </c>
      <c r="X68">
        <v>3</v>
      </c>
      <c r="Y68">
        <v>3</v>
      </c>
      <c r="Z68">
        <v>6</v>
      </c>
      <c r="AA68">
        <v>3.2</v>
      </c>
      <c r="AB68">
        <v>2</v>
      </c>
      <c r="AC68">
        <v>304</v>
      </c>
      <c r="AD68">
        <v>21</v>
      </c>
      <c r="AE68">
        <v>9</v>
      </c>
      <c r="AF68">
        <v>285</v>
      </c>
      <c r="AG68">
        <v>150</v>
      </c>
      <c r="AH68">
        <v>189</v>
      </c>
      <c r="AI68">
        <v>44</v>
      </c>
      <c r="AJ68">
        <v>33</v>
      </c>
      <c r="AK68">
        <v>51</v>
      </c>
      <c r="AL68">
        <v>29</v>
      </c>
      <c r="AM68">
        <v>4</v>
      </c>
      <c r="AN68">
        <v>130</v>
      </c>
      <c r="AO68">
        <v>70</v>
      </c>
      <c r="AP68">
        <v>58</v>
      </c>
      <c r="AQ68">
        <v>72</v>
      </c>
      <c r="AR68">
        <v>763</v>
      </c>
      <c r="AS68">
        <v>343</v>
      </c>
      <c r="AT68" t="s">
        <v>7</v>
      </c>
      <c r="AU68">
        <v>0.05</v>
      </c>
      <c r="AV68">
        <v>2013</v>
      </c>
      <c r="AW68" s="1">
        <v>45888</v>
      </c>
      <c r="AX68">
        <v>14.5</v>
      </c>
      <c r="AY68" t="s">
        <v>45</v>
      </c>
      <c r="AZ68" t="s">
        <v>48</v>
      </c>
      <c r="BA68" t="s">
        <v>12</v>
      </c>
      <c r="BB68" t="s">
        <v>13</v>
      </c>
      <c r="BC68" t="s">
        <v>13</v>
      </c>
      <c r="BD68">
        <v>3</v>
      </c>
      <c r="BE68" t="s">
        <v>49</v>
      </c>
      <c r="BF68">
        <v>1</v>
      </c>
    </row>
    <row r="69" spans="1:58" hidden="1" x14ac:dyDescent="0.2">
      <c r="A69">
        <v>68</v>
      </c>
      <c r="B69" t="s">
        <v>0</v>
      </c>
      <c r="C69">
        <v>29</v>
      </c>
      <c r="D69" t="s">
        <v>28</v>
      </c>
      <c r="E69" t="s">
        <v>17</v>
      </c>
      <c r="F69" t="s">
        <v>3</v>
      </c>
      <c r="G69" t="s">
        <v>117</v>
      </c>
      <c r="H69" t="s">
        <v>24</v>
      </c>
      <c r="I69" t="s">
        <v>115</v>
      </c>
      <c r="J69" t="s">
        <v>18</v>
      </c>
      <c r="K69" t="s">
        <v>7</v>
      </c>
      <c r="L69">
        <v>7.1</v>
      </c>
      <c r="M69">
        <v>7</v>
      </c>
      <c r="N69" t="s">
        <v>39</v>
      </c>
      <c r="O69" t="s">
        <v>7</v>
      </c>
      <c r="P69" t="s">
        <v>26</v>
      </c>
      <c r="Q69">
        <v>29</v>
      </c>
      <c r="R69">
        <v>4</v>
      </c>
      <c r="S69">
        <v>23.1</v>
      </c>
      <c r="T69">
        <v>106</v>
      </c>
      <c r="U69">
        <v>85</v>
      </c>
      <c r="V69">
        <v>7966</v>
      </c>
      <c r="W69">
        <v>22.4</v>
      </c>
      <c r="X69">
        <v>1</v>
      </c>
      <c r="Y69">
        <v>2</v>
      </c>
      <c r="Z69">
        <v>10</v>
      </c>
      <c r="AA69">
        <v>3.7</v>
      </c>
      <c r="AB69">
        <v>3</v>
      </c>
      <c r="AC69">
        <v>281</v>
      </c>
      <c r="AD69">
        <v>10</v>
      </c>
      <c r="AE69">
        <v>4</v>
      </c>
      <c r="AF69">
        <v>294</v>
      </c>
      <c r="AG69">
        <v>150</v>
      </c>
      <c r="AH69">
        <v>155</v>
      </c>
      <c r="AI69">
        <v>39</v>
      </c>
      <c r="AJ69">
        <v>36</v>
      </c>
      <c r="AK69">
        <v>44</v>
      </c>
      <c r="AL69">
        <v>22</v>
      </c>
      <c r="AM69">
        <v>10</v>
      </c>
      <c r="AN69">
        <v>120</v>
      </c>
      <c r="AO69">
        <v>77</v>
      </c>
      <c r="AP69">
        <v>64</v>
      </c>
      <c r="AQ69">
        <v>106</v>
      </c>
      <c r="AR69">
        <v>4829</v>
      </c>
      <c r="AS69">
        <v>10000</v>
      </c>
      <c r="AT69" t="s">
        <v>7</v>
      </c>
      <c r="AU69">
        <v>0.56000000000000005</v>
      </c>
      <c r="AV69">
        <v>2010</v>
      </c>
      <c r="AW69" s="1">
        <v>45706</v>
      </c>
      <c r="AX69">
        <v>28.1</v>
      </c>
      <c r="AY69" t="s">
        <v>19</v>
      </c>
      <c r="AZ69" t="s">
        <v>11</v>
      </c>
      <c r="BA69" t="s">
        <v>21</v>
      </c>
      <c r="BB69" t="s">
        <v>13</v>
      </c>
      <c r="BC69" t="s">
        <v>7</v>
      </c>
      <c r="BD69">
        <v>5</v>
      </c>
      <c r="BE69" t="s">
        <v>14</v>
      </c>
      <c r="BF69">
        <v>0.87</v>
      </c>
    </row>
    <row r="70" spans="1:58" hidden="1" x14ac:dyDescent="0.2">
      <c r="A70">
        <v>69</v>
      </c>
      <c r="B70" t="s">
        <v>0</v>
      </c>
      <c r="C70">
        <v>48</v>
      </c>
      <c r="D70" t="s">
        <v>1</v>
      </c>
      <c r="E70" t="s">
        <v>17</v>
      </c>
      <c r="F70" t="s">
        <v>15</v>
      </c>
      <c r="G70" t="s">
        <v>117</v>
      </c>
      <c r="H70" t="s">
        <v>24</v>
      </c>
      <c r="I70" t="s">
        <v>113</v>
      </c>
      <c r="J70" t="s">
        <v>6</v>
      </c>
      <c r="K70" t="s">
        <v>13</v>
      </c>
      <c r="L70">
        <v>1.9</v>
      </c>
      <c r="M70">
        <v>5.8</v>
      </c>
      <c r="N70" t="s">
        <v>39</v>
      </c>
      <c r="O70" t="s">
        <v>7</v>
      </c>
      <c r="P70" t="s">
        <v>9</v>
      </c>
      <c r="Q70">
        <v>29</v>
      </c>
      <c r="R70">
        <v>3</v>
      </c>
      <c r="S70">
        <v>25.7</v>
      </c>
      <c r="T70">
        <v>148</v>
      </c>
      <c r="U70">
        <v>73</v>
      </c>
      <c r="V70">
        <v>8030</v>
      </c>
      <c r="W70">
        <v>48.3</v>
      </c>
      <c r="X70">
        <v>5</v>
      </c>
      <c r="Y70">
        <v>6</v>
      </c>
      <c r="Z70">
        <v>12</v>
      </c>
      <c r="AA70">
        <v>1.3</v>
      </c>
      <c r="AB70">
        <v>2</v>
      </c>
      <c r="AC70">
        <v>270</v>
      </c>
      <c r="AD70">
        <v>11</v>
      </c>
      <c r="AE70">
        <v>5</v>
      </c>
      <c r="AF70">
        <v>207</v>
      </c>
      <c r="AG70">
        <v>139</v>
      </c>
      <c r="AH70">
        <v>150</v>
      </c>
      <c r="AI70">
        <v>40</v>
      </c>
      <c r="AJ70">
        <v>35</v>
      </c>
      <c r="AK70">
        <v>47</v>
      </c>
      <c r="AL70">
        <v>25</v>
      </c>
      <c r="AM70">
        <v>5</v>
      </c>
      <c r="AN70">
        <v>119</v>
      </c>
      <c r="AO70">
        <v>44</v>
      </c>
      <c r="AP70">
        <v>58</v>
      </c>
      <c r="AQ70">
        <v>106</v>
      </c>
      <c r="AR70">
        <v>1323</v>
      </c>
      <c r="AS70">
        <v>2018</v>
      </c>
      <c r="AT70" t="s">
        <v>13</v>
      </c>
      <c r="AU70">
        <v>0.3</v>
      </c>
      <c r="AV70">
        <v>2023</v>
      </c>
      <c r="AW70" s="1">
        <v>45802</v>
      </c>
      <c r="AX70">
        <v>24.5</v>
      </c>
      <c r="AY70" t="s">
        <v>10</v>
      </c>
      <c r="AZ70" t="s">
        <v>48</v>
      </c>
      <c r="BA70" t="s">
        <v>12</v>
      </c>
      <c r="BB70" t="s">
        <v>13</v>
      </c>
      <c r="BC70" t="s">
        <v>13</v>
      </c>
      <c r="BD70">
        <v>0</v>
      </c>
      <c r="BE70" t="s">
        <v>49</v>
      </c>
      <c r="BF70">
        <v>0.9</v>
      </c>
    </row>
    <row r="71" spans="1:58" hidden="1" x14ac:dyDescent="0.2">
      <c r="A71">
        <v>70</v>
      </c>
      <c r="B71" t="s">
        <v>0</v>
      </c>
      <c r="C71">
        <v>62</v>
      </c>
      <c r="D71" t="s">
        <v>28</v>
      </c>
      <c r="E71" t="s">
        <v>22</v>
      </c>
      <c r="F71" t="s">
        <v>15</v>
      </c>
      <c r="G71" t="s">
        <v>117</v>
      </c>
      <c r="H71" t="s">
        <v>119</v>
      </c>
      <c r="I71" t="s">
        <v>112</v>
      </c>
      <c r="J71" t="s">
        <v>123</v>
      </c>
      <c r="K71" t="s">
        <v>7</v>
      </c>
      <c r="L71">
        <v>4.9000000000000004</v>
      </c>
      <c r="M71">
        <v>7.7</v>
      </c>
      <c r="N71" t="s">
        <v>29</v>
      </c>
      <c r="O71" t="s">
        <v>7</v>
      </c>
      <c r="P71" t="s">
        <v>9</v>
      </c>
      <c r="Q71">
        <v>15</v>
      </c>
      <c r="R71">
        <v>8</v>
      </c>
      <c r="S71">
        <v>27.7</v>
      </c>
      <c r="T71">
        <v>133</v>
      </c>
      <c r="U71">
        <v>83</v>
      </c>
      <c r="V71">
        <v>8002</v>
      </c>
      <c r="W71">
        <v>30.3</v>
      </c>
      <c r="X71">
        <v>5</v>
      </c>
      <c r="Y71">
        <v>2</v>
      </c>
      <c r="Z71">
        <v>12</v>
      </c>
      <c r="AA71">
        <v>0.9</v>
      </c>
      <c r="AB71">
        <v>6</v>
      </c>
      <c r="AC71">
        <v>83</v>
      </c>
      <c r="AD71">
        <v>4</v>
      </c>
      <c r="AE71">
        <v>5</v>
      </c>
      <c r="AF71">
        <v>82</v>
      </c>
      <c r="AG71">
        <v>57</v>
      </c>
      <c r="AH71">
        <v>68</v>
      </c>
      <c r="AI71">
        <v>21</v>
      </c>
      <c r="AJ71">
        <v>22</v>
      </c>
      <c r="AK71">
        <v>11</v>
      </c>
      <c r="AL71">
        <v>10</v>
      </c>
      <c r="AM71">
        <v>3</v>
      </c>
      <c r="AN71">
        <v>48</v>
      </c>
      <c r="AO71">
        <v>10</v>
      </c>
      <c r="AP71">
        <v>9</v>
      </c>
      <c r="AQ71">
        <v>23</v>
      </c>
      <c r="AR71">
        <v>288</v>
      </c>
      <c r="AS71">
        <v>698</v>
      </c>
      <c r="AT71" t="s">
        <v>13</v>
      </c>
      <c r="AU71">
        <v>0.85</v>
      </c>
      <c r="AV71">
        <v>2022</v>
      </c>
      <c r="AW71" s="1">
        <v>45774</v>
      </c>
      <c r="AX71">
        <v>20.8</v>
      </c>
      <c r="AY71" t="s">
        <v>45</v>
      </c>
      <c r="AZ71" t="s">
        <v>31</v>
      </c>
      <c r="BA71" t="s">
        <v>12</v>
      </c>
      <c r="BB71" t="s">
        <v>13</v>
      </c>
      <c r="BC71" t="s">
        <v>7</v>
      </c>
      <c r="BD71">
        <v>2</v>
      </c>
      <c r="BE71" t="s">
        <v>49</v>
      </c>
      <c r="BF71">
        <v>1.49</v>
      </c>
    </row>
    <row r="72" spans="1:58" hidden="1" x14ac:dyDescent="0.2">
      <c r="A72">
        <v>71</v>
      </c>
      <c r="B72" t="s">
        <v>0</v>
      </c>
      <c r="C72">
        <v>52</v>
      </c>
      <c r="D72" t="s">
        <v>1</v>
      </c>
      <c r="E72" t="s">
        <v>128</v>
      </c>
      <c r="F72" t="s">
        <v>40</v>
      </c>
      <c r="G72" t="s">
        <v>117</v>
      </c>
      <c r="H72" t="s">
        <v>34</v>
      </c>
      <c r="I72" t="s">
        <v>114</v>
      </c>
      <c r="J72" t="s">
        <v>6</v>
      </c>
      <c r="K72" t="s">
        <v>7</v>
      </c>
      <c r="L72">
        <v>7.6</v>
      </c>
      <c r="M72">
        <v>7.2</v>
      </c>
      <c r="N72" t="s">
        <v>29</v>
      </c>
      <c r="O72" t="s">
        <v>7</v>
      </c>
      <c r="P72" t="s">
        <v>46</v>
      </c>
      <c r="Q72">
        <v>31</v>
      </c>
      <c r="R72">
        <v>10</v>
      </c>
      <c r="S72">
        <v>27.6</v>
      </c>
      <c r="T72">
        <v>129</v>
      </c>
      <c r="U72">
        <v>96</v>
      </c>
      <c r="V72">
        <v>8018</v>
      </c>
      <c r="W72">
        <v>51.4</v>
      </c>
      <c r="X72">
        <v>1</v>
      </c>
      <c r="Y72">
        <v>8</v>
      </c>
      <c r="Z72">
        <v>13</v>
      </c>
      <c r="AA72">
        <v>7.7</v>
      </c>
      <c r="AB72">
        <v>4</v>
      </c>
      <c r="AC72">
        <v>169</v>
      </c>
      <c r="AD72">
        <v>5</v>
      </c>
      <c r="AE72">
        <v>3</v>
      </c>
      <c r="AF72">
        <v>146</v>
      </c>
      <c r="AG72">
        <v>115</v>
      </c>
      <c r="AH72">
        <v>72</v>
      </c>
      <c r="AI72">
        <v>29</v>
      </c>
      <c r="AJ72">
        <v>27</v>
      </c>
      <c r="AK72">
        <v>21</v>
      </c>
      <c r="AL72">
        <v>16</v>
      </c>
      <c r="AM72">
        <v>4</v>
      </c>
      <c r="AN72">
        <v>91</v>
      </c>
      <c r="AO72">
        <v>32</v>
      </c>
      <c r="AP72">
        <v>17</v>
      </c>
      <c r="AQ72">
        <v>65</v>
      </c>
      <c r="AR72">
        <v>3026</v>
      </c>
      <c r="AS72">
        <v>6005</v>
      </c>
      <c r="AT72" t="s">
        <v>7</v>
      </c>
      <c r="AU72">
        <v>0.22</v>
      </c>
      <c r="AV72">
        <v>2022</v>
      </c>
      <c r="AW72" s="1">
        <v>45868</v>
      </c>
      <c r="AX72">
        <v>33.799999999999997</v>
      </c>
      <c r="AY72" t="s">
        <v>19</v>
      </c>
      <c r="AZ72" t="s">
        <v>37</v>
      </c>
      <c r="BA72" t="s">
        <v>122</v>
      </c>
      <c r="BB72" t="s">
        <v>7</v>
      </c>
      <c r="BC72" t="s">
        <v>7</v>
      </c>
      <c r="BD72">
        <v>1</v>
      </c>
      <c r="BE72" t="s">
        <v>49</v>
      </c>
      <c r="BF72">
        <v>0.82</v>
      </c>
    </row>
    <row r="73" spans="1:58" hidden="1" x14ac:dyDescent="0.2">
      <c r="A73">
        <v>72</v>
      </c>
      <c r="B73" t="s">
        <v>0</v>
      </c>
      <c r="C73">
        <v>16</v>
      </c>
      <c r="D73" t="s">
        <v>1</v>
      </c>
      <c r="E73" t="s">
        <v>127</v>
      </c>
      <c r="F73" t="s">
        <v>15</v>
      </c>
      <c r="G73" t="s">
        <v>117</v>
      </c>
      <c r="H73" t="s">
        <v>34</v>
      </c>
      <c r="I73" t="s">
        <v>115</v>
      </c>
      <c r="J73" t="s">
        <v>6</v>
      </c>
      <c r="K73" t="s">
        <v>7</v>
      </c>
      <c r="L73">
        <v>9.3000000000000007</v>
      </c>
      <c r="M73">
        <v>7.2</v>
      </c>
      <c r="N73" t="s">
        <v>25</v>
      </c>
      <c r="O73" t="s">
        <v>7</v>
      </c>
      <c r="P73" t="s">
        <v>9</v>
      </c>
      <c r="Q73">
        <v>8</v>
      </c>
      <c r="R73">
        <v>5</v>
      </c>
      <c r="S73">
        <v>33.700000000000003</v>
      </c>
      <c r="T73">
        <v>110</v>
      </c>
      <c r="U73">
        <v>91</v>
      </c>
      <c r="V73">
        <v>7940</v>
      </c>
      <c r="W73">
        <v>46.9</v>
      </c>
      <c r="X73">
        <v>3</v>
      </c>
      <c r="Y73">
        <v>3</v>
      </c>
      <c r="Z73">
        <v>7</v>
      </c>
      <c r="AA73">
        <v>3.1</v>
      </c>
      <c r="AB73">
        <v>1</v>
      </c>
      <c r="AC73">
        <v>148</v>
      </c>
      <c r="AD73">
        <v>6</v>
      </c>
      <c r="AE73">
        <v>9</v>
      </c>
      <c r="AF73">
        <v>198</v>
      </c>
      <c r="AG73">
        <v>89</v>
      </c>
      <c r="AH73">
        <v>87</v>
      </c>
      <c r="AI73">
        <v>30</v>
      </c>
      <c r="AJ73">
        <v>24</v>
      </c>
      <c r="AK73">
        <v>21</v>
      </c>
      <c r="AL73">
        <v>20</v>
      </c>
      <c r="AM73">
        <v>5</v>
      </c>
      <c r="AN73">
        <v>67</v>
      </c>
      <c r="AO73">
        <v>27</v>
      </c>
      <c r="AP73">
        <v>22</v>
      </c>
      <c r="AQ73">
        <v>38</v>
      </c>
      <c r="AR73">
        <v>2395</v>
      </c>
      <c r="AS73">
        <v>3066</v>
      </c>
      <c r="AT73" t="s">
        <v>7</v>
      </c>
      <c r="AU73">
        <v>0.48</v>
      </c>
      <c r="AV73">
        <v>2020</v>
      </c>
      <c r="AW73" s="1">
        <v>46013</v>
      </c>
      <c r="AX73">
        <v>24.7</v>
      </c>
      <c r="AY73" t="s">
        <v>27</v>
      </c>
      <c r="AZ73" t="s">
        <v>37</v>
      </c>
      <c r="BA73" t="s">
        <v>122</v>
      </c>
      <c r="BB73" t="s">
        <v>7</v>
      </c>
      <c r="BC73" t="s">
        <v>7</v>
      </c>
      <c r="BD73">
        <v>1</v>
      </c>
      <c r="BE73" t="s">
        <v>14</v>
      </c>
      <c r="BF73">
        <v>1.17</v>
      </c>
    </row>
    <row r="74" spans="1:58" hidden="1" x14ac:dyDescent="0.2">
      <c r="A74">
        <v>73</v>
      </c>
      <c r="B74" t="s">
        <v>0</v>
      </c>
      <c r="C74">
        <v>14</v>
      </c>
      <c r="D74" t="s">
        <v>1</v>
      </c>
      <c r="E74" t="s">
        <v>42</v>
      </c>
      <c r="F74" t="s">
        <v>40</v>
      </c>
      <c r="G74" t="s">
        <v>16</v>
      </c>
      <c r="H74" t="s">
        <v>23</v>
      </c>
      <c r="I74" t="s">
        <v>112</v>
      </c>
      <c r="J74" t="s">
        <v>32</v>
      </c>
      <c r="K74" t="s">
        <v>7</v>
      </c>
      <c r="L74">
        <v>7.5</v>
      </c>
      <c r="M74">
        <v>6.7</v>
      </c>
      <c r="N74" t="s">
        <v>39</v>
      </c>
      <c r="O74" t="s">
        <v>7</v>
      </c>
      <c r="P74" t="s">
        <v>46</v>
      </c>
      <c r="Q74">
        <v>11</v>
      </c>
      <c r="R74">
        <v>2</v>
      </c>
      <c r="S74">
        <v>33.5</v>
      </c>
      <c r="T74">
        <v>110</v>
      </c>
      <c r="U74">
        <v>79</v>
      </c>
      <c r="V74">
        <v>8109</v>
      </c>
      <c r="W74">
        <v>41.9</v>
      </c>
      <c r="X74">
        <v>3</v>
      </c>
      <c r="Y74">
        <v>6</v>
      </c>
      <c r="Z74">
        <v>10</v>
      </c>
      <c r="AA74">
        <v>5.0999999999999996</v>
      </c>
      <c r="AB74">
        <v>3</v>
      </c>
      <c r="AC74">
        <v>269</v>
      </c>
      <c r="AD74">
        <v>10</v>
      </c>
      <c r="AE74">
        <v>3</v>
      </c>
      <c r="AF74">
        <v>300</v>
      </c>
      <c r="AG74">
        <v>146</v>
      </c>
      <c r="AH74">
        <v>129</v>
      </c>
      <c r="AI74">
        <v>38</v>
      </c>
      <c r="AJ74">
        <v>32</v>
      </c>
      <c r="AK74">
        <v>34</v>
      </c>
      <c r="AL74">
        <v>24</v>
      </c>
      <c r="AM74">
        <v>6</v>
      </c>
      <c r="AN74">
        <v>155</v>
      </c>
      <c r="AO74">
        <v>64</v>
      </c>
      <c r="AP74">
        <v>54</v>
      </c>
      <c r="AQ74">
        <v>86</v>
      </c>
      <c r="AR74">
        <v>492</v>
      </c>
      <c r="AS74">
        <v>1086</v>
      </c>
      <c r="AT74" t="s">
        <v>7</v>
      </c>
      <c r="AU74">
        <v>0.22</v>
      </c>
      <c r="AV74">
        <v>2014</v>
      </c>
      <c r="AW74" s="1">
        <v>45879</v>
      </c>
      <c r="AX74">
        <v>26.9</v>
      </c>
      <c r="AY74" t="s">
        <v>19</v>
      </c>
      <c r="AZ74" t="s">
        <v>17</v>
      </c>
      <c r="BA74" t="s">
        <v>122</v>
      </c>
      <c r="BB74" t="s">
        <v>7</v>
      </c>
      <c r="BC74" t="s">
        <v>13</v>
      </c>
      <c r="BD74">
        <v>1</v>
      </c>
      <c r="BE74" t="s">
        <v>49</v>
      </c>
      <c r="BF74">
        <v>0.79</v>
      </c>
    </row>
    <row r="75" spans="1:58" hidden="1" x14ac:dyDescent="0.2">
      <c r="A75">
        <v>74</v>
      </c>
      <c r="B75" t="s">
        <v>0</v>
      </c>
      <c r="C75">
        <v>18</v>
      </c>
      <c r="D75" t="s">
        <v>28</v>
      </c>
      <c r="E75" t="s">
        <v>128</v>
      </c>
      <c r="F75" t="s">
        <v>15</v>
      </c>
      <c r="G75" t="s">
        <v>117</v>
      </c>
      <c r="H75" t="s">
        <v>118</v>
      </c>
      <c r="I75" t="s">
        <v>112</v>
      </c>
      <c r="J75" t="s">
        <v>32</v>
      </c>
      <c r="K75" t="s">
        <v>13</v>
      </c>
      <c r="L75">
        <v>10.199999999999999</v>
      </c>
      <c r="M75">
        <v>6.7</v>
      </c>
      <c r="N75" t="s">
        <v>29</v>
      </c>
      <c r="O75" t="s">
        <v>41</v>
      </c>
      <c r="P75" t="s">
        <v>121</v>
      </c>
      <c r="Q75">
        <v>27</v>
      </c>
      <c r="R75">
        <v>2</v>
      </c>
      <c r="S75">
        <v>30.8</v>
      </c>
      <c r="T75">
        <v>97</v>
      </c>
      <c r="U75">
        <v>65</v>
      </c>
      <c r="V75">
        <v>8125</v>
      </c>
      <c r="W75">
        <v>36.9</v>
      </c>
      <c r="X75">
        <v>2</v>
      </c>
      <c r="Y75">
        <v>0</v>
      </c>
      <c r="Z75">
        <v>9</v>
      </c>
      <c r="AA75">
        <v>5.0999999999999996</v>
      </c>
      <c r="AB75">
        <v>2</v>
      </c>
      <c r="AC75">
        <v>364</v>
      </c>
      <c r="AD75">
        <v>15</v>
      </c>
      <c r="AE75">
        <v>11</v>
      </c>
      <c r="AF75">
        <v>300</v>
      </c>
      <c r="AG75">
        <v>150</v>
      </c>
      <c r="AH75">
        <v>213</v>
      </c>
      <c r="AI75">
        <v>57</v>
      </c>
      <c r="AJ75">
        <v>46</v>
      </c>
      <c r="AK75">
        <v>55</v>
      </c>
      <c r="AL75">
        <v>35</v>
      </c>
      <c r="AM75">
        <v>7</v>
      </c>
      <c r="AN75">
        <v>175</v>
      </c>
      <c r="AO75">
        <v>73</v>
      </c>
      <c r="AP75">
        <v>83</v>
      </c>
      <c r="AQ75">
        <v>120</v>
      </c>
      <c r="AR75">
        <v>14502</v>
      </c>
      <c r="AS75">
        <v>10000</v>
      </c>
      <c r="AT75" t="s">
        <v>7</v>
      </c>
      <c r="AU75">
        <v>0.66</v>
      </c>
      <c r="AV75">
        <v>2013</v>
      </c>
      <c r="AW75" s="1">
        <v>45733</v>
      </c>
      <c r="AX75">
        <v>24.3</v>
      </c>
      <c r="AY75" t="s">
        <v>36</v>
      </c>
      <c r="AZ75" t="s">
        <v>35</v>
      </c>
      <c r="BA75" t="s">
        <v>12</v>
      </c>
      <c r="BB75" t="s">
        <v>7</v>
      </c>
      <c r="BC75" t="s">
        <v>13</v>
      </c>
      <c r="BD75">
        <v>3</v>
      </c>
      <c r="BE75" t="s">
        <v>14</v>
      </c>
      <c r="BF75">
        <v>0.99</v>
      </c>
    </row>
    <row r="76" spans="1:58" hidden="1" x14ac:dyDescent="0.2">
      <c r="A76">
        <v>75</v>
      </c>
      <c r="B76" t="s">
        <v>0</v>
      </c>
      <c r="C76">
        <v>54</v>
      </c>
      <c r="D76" t="s">
        <v>28</v>
      </c>
      <c r="E76" t="s">
        <v>2</v>
      </c>
      <c r="F76" t="s">
        <v>15</v>
      </c>
      <c r="G76" t="s">
        <v>38</v>
      </c>
      <c r="H76" t="s">
        <v>23</v>
      </c>
      <c r="I76" t="s">
        <v>112</v>
      </c>
      <c r="J76" t="s">
        <v>32</v>
      </c>
      <c r="K76" t="s">
        <v>7</v>
      </c>
      <c r="L76">
        <v>4.8</v>
      </c>
      <c r="M76">
        <v>6</v>
      </c>
      <c r="N76" t="s">
        <v>29</v>
      </c>
      <c r="O76" t="s">
        <v>7</v>
      </c>
      <c r="P76" t="s">
        <v>52</v>
      </c>
      <c r="Q76">
        <v>30</v>
      </c>
      <c r="R76">
        <v>4</v>
      </c>
      <c r="S76">
        <v>29</v>
      </c>
      <c r="T76">
        <v>119</v>
      </c>
      <c r="U76">
        <v>78</v>
      </c>
      <c r="V76">
        <v>8174</v>
      </c>
      <c r="W76">
        <v>23.4</v>
      </c>
      <c r="X76">
        <v>3</v>
      </c>
      <c r="Y76">
        <v>0</v>
      </c>
      <c r="Z76">
        <v>11</v>
      </c>
      <c r="AA76">
        <v>2.4</v>
      </c>
      <c r="AB76">
        <v>2</v>
      </c>
      <c r="AC76">
        <v>216</v>
      </c>
      <c r="AD76">
        <v>9</v>
      </c>
      <c r="AE76">
        <v>6</v>
      </c>
      <c r="AF76">
        <v>178</v>
      </c>
      <c r="AG76">
        <v>112</v>
      </c>
      <c r="AH76">
        <v>132</v>
      </c>
      <c r="AI76">
        <v>39</v>
      </c>
      <c r="AJ76">
        <v>21</v>
      </c>
      <c r="AK76">
        <v>23</v>
      </c>
      <c r="AL76">
        <v>36</v>
      </c>
      <c r="AM76">
        <v>6</v>
      </c>
      <c r="AN76">
        <v>94</v>
      </c>
      <c r="AO76">
        <v>28</v>
      </c>
      <c r="AP76">
        <v>34</v>
      </c>
      <c r="AQ76">
        <v>66</v>
      </c>
      <c r="AR76">
        <v>361</v>
      </c>
      <c r="AS76">
        <v>801</v>
      </c>
      <c r="AT76" t="s">
        <v>7</v>
      </c>
      <c r="AU76">
        <v>0.12</v>
      </c>
      <c r="AV76">
        <v>2016</v>
      </c>
      <c r="AW76" s="1">
        <v>45696</v>
      </c>
      <c r="AX76">
        <v>24</v>
      </c>
      <c r="AY76" t="s">
        <v>36</v>
      </c>
      <c r="AZ76" t="s">
        <v>31</v>
      </c>
      <c r="BA76" t="s">
        <v>21</v>
      </c>
      <c r="BB76" t="s">
        <v>13</v>
      </c>
      <c r="BC76" t="s">
        <v>13</v>
      </c>
      <c r="BD76">
        <v>3</v>
      </c>
      <c r="BE76" t="s">
        <v>14</v>
      </c>
      <c r="BF76">
        <v>1.05</v>
      </c>
    </row>
    <row r="77" spans="1:58" hidden="1" x14ac:dyDescent="0.2">
      <c r="A77">
        <v>76</v>
      </c>
      <c r="B77" t="s">
        <v>0</v>
      </c>
      <c r="C77">
        <v>16</v>
      </c>
      <c r="D77" t="s">
        <v>28</v>
      </c>
      <c r="E77" t="s">
        <v>128</v>
      </c>
      <c r="F77" t="s">
        <v>3</v>
      </c>
      <c r="G77" t="s">
        <v>38</v>
      </c>
      <c r="H77" t="s">
        <v>23</v>
      </c>
      <c r="I77" t="s">
        <v>112</v>
      </c>
      <c r="J77" t="s">
        <v>6</v>
      </c>
      <c r="K77" t="s">
        <v>7</v>
      </c>
      <c r="L77">
        <v>10.5</v>
      </c>
      <c r="M77">
        <v>7.5</v>
      </c>
      <c r="N77" t="s">
        <v>29</v>
      </c>
      <c r="O77" t="s">
        <v>7</v>
      </c>
      <c r="P77" t="s">
        <v>26</v>
      </c>
      <c r="Q77">
        <v>21</v>
      </c>
      <c r="R77">
        <v>7</v>
      </c>
      <c r="S77">
        <v>23.3</v>
      </c>
      <c r="T77">
        <v>156</v>
      </c>
      <c r="U77">
        <v>76</v>
      </c>
      <c r="V77">
        <v>8053</v>
      </c>
      <c r="W77">
        <v>44.8</v>
      </c>
      <c r="X77">
        <v>2</v>
      </c>
      <c r="Y77">
        <v>4</v>
      </c>
      <c r="Z77">
        <v>13</v>
      </c>
      <c r="AA77">
        <v>0.3</v>
      </c>
      <c r="AB77">
        <v>5</v>
      </c>
      <c r="AC77">
        <v>167</v>
      </c>
      <c r="AD77">
        <v>8</v>
      </c>
      <c r="AE77">
        <v>9</v>
      </c>
      <c r="AF77">
        <v>221</v>
      </c>
      <c r="AG77">
        <v>99</v>
      </c>
      <c r="AH77">
        <v>103</v>
      </c>
      <c r="AI77">
        <v>27</v>
      </c>
      <c r="AJ77">
        <v>29</v>
      </c>
      <c r="AK77">
        <v>26</v>
      </c>
      <c r="AL77">
        <v>31</v>
      </c>
      <c r="AM77">
        <v>3</v>
      </c>
      <c r="AN77">
        <v>68</v>
      </c>
      <c r="AO77">
        <v>39</v>
      </c>
      <c r="AP77">
        <v>30</v>
      </c>
      <c r="AQ77">
        <v>64</v>
      </c>
      <c r="AR77">
        <v>292</v>
      </c>
      <c r="AS77">
        <v>572</v>
      </c>
      <c r="AT77" t="s">
        <v>7</v>
      </c>
      <c r="AU77">
        <v>0.39</v>
      </c>
      <c r="AV77">
        <v>2018</v>
      </c>
      <c r="AW77" s="1">
        <v>45879</v>
      </c>
      <c r="AX77">
        <v>20.9</v>
      </c>
      <c r="AY77" t="s">
        <v>19</v>
      </c>
      <c r="AZ77" t="s">
        <v>37</v>
      </c>
      <c r="BA77" t="s">
        <v>21</v>
      </c>
      <c r="BB77" t="s">
        <v>13</v>
      </c>
      <c r="BC77" t="s">
        <v>7</v>
      </c>
      <c r="BD77">
        <v>0</v>
      </c>
      <c r="BE77" t="s">
        <v>14</v>
      </c>
      <c r="BF77">
        <v>1.1000000000000001</v>
      </c>
    </row>
    <row r="78" spans="1:58" hidden="1" x14ac:dyDescent="0.2">
      <c r="A78">
        <v>77</v>
      </c>
      <c r="B78" t="s">
        <v>0</v>
      </c>
      <c r="C78">
        <v>41</v>
      </c>
      <c r="D78" t="s">
        <v>28</v>
      </c>
      <c r="E78" t="s">
        <v>17</v>
      </c>
      <c r="F78" t="s">
        <v>15</v>
      </c>
      <c r="G78" t="s">
        <v>16</v>
      </c>
      <c r="H78" t="s">
        <v>118</v>
      </c>
      <c r="I78" t="s">
        <v>115</v>
      </c>
      <c r="J78" t="s">
        <v>6</v>
      </c>
      <c r="K78" t="s">
        <v>13</v>
      </c>
      <c r="L78">
        <v>4.5</v>
      </c>
      <c r="M78">
        <v>6.6</v>
      </c>
      <c r="N78" t="s">
        <v>29</v>
      </c>
      <c r="O78" t="s">
        <v>7</v>
      </c>
      <c r="P78" t="s">
        <v>121</v>
      </c>
      <c r="Q78">
        <v>25</v>
      </c>
      <c r="R78">
        <v>3</v>
      </c>
      <c r="S78">
        <v>28.4</v>
      </c>
      <c r="T78">
        <v>121</v>
      </c>
      <c r="U78">
        <v>81</v>
      </c>
      <c r="V78">
        <v>8000</v>
      </c>
      <c r="W78">
        <v>54.5</v>
      </c>
      <c r="X78">
        <v>0</v>
      </c>
      <c r="Y78">
        <v>5</v>
      </c>
      <c r="Z78">
        <v>8</v>
      </c>
      <c r="AA78">
        <v>1.6</v>
      </c>
      <c r="AB78">
        <v>2</v>
      </c>
      <c r="AC78">
        <v>322</v>
      </c>
      <c r="AD78">
        <v>21</v>
      </c>
      <c r="AE78">
        <v>7</v>
      </c>
      <c r="AF78">
        <v>272</v>
      </c>
      <c r="AG78">
        <v>150</v>
      </c>
      <c r="AH78">
        <v>179</v>
      </c>
      <c r="AI78">
        <v>60</v>
      </c>
      <c r="AJ78">
        <v>43</v>
      </c>
      <c r="AK78">
        <v>44</v>
      </c>
      <c r="AL78">
        <v>26</v>
      </c>
      <c r="AM78">
        <v>8</v>
      </c>
      <c r="AN78">
        <v>167</v>
      </c>
      <c r="AO78">
        <v>79</v>
      </c>
      <c r="AP78">
        <v>49</v>
      </c>
      <c r="AQ78">
        <v>104</v>
      </c>
      <c r="AR78">
        <v>104</v>
      </c>
      <c r="AS78">
        <v>122</v>
      </c>
      <c r="AT78" t="s">
        <v>7</v>
      </c>
      <c r="AU78">
        <v>0.23</v>
      </c>
      <c r="AV78">
        <v>2025</v>
      </c>
      <c r="AW78" s="1">
        <v>45669</v>
      </c>
      <c r="AX78">
        <v>15.3</v>
      </c>
      <c r="AY78" t="s">
        <v>45</v>
      </c>
      <c r="AZ78" t="s">
        <v>48</v>
      </c>
      <c r="BA78" t="s">
        <v>122</v>
      </c>
      <c r="BB78" t="s">
        <v>7</v>
      </c>
      <c r="BC78" t="s">
        <v>13</v>
      </c>
      <c r="BD78">
        <v>2</v>
      </c>
      <c r="BE78" t="s">
        <v>14</v>
      </c>
      <c r="BF78">
        <v>0.99</v>
      </c>
    </row>
    <row r="79" spans="1:58" hidden="1" x14ac:dyDescent="0.2">
      <c r="A79">
        <v>78</v>
      </c>
      <c r="B79" t="s">
        <v>0</v>
      </c>
      <c r="C79">
        <v>30</v>
      </c>
      <c r="D79" t="s">
        <v>1</v>
      </c>
      <c r="E79" t="s">
        <v>2</v>
      </c>
      <c r="F79" t="s">
        <v>40</v>
      </c>
      <c r="G79" t="s">
        <v>16</v>
      </c>
      <c r="H79" t="s">
        <v>118</v>
      </c>
      <c r="I79" t="s">
        <v>114</v>
      </c>
      <c r="J79" t="s">
        <v>123</v>
      </c>
      <c r="K79" t="s">
        <v>7</v>
      </c>
      <c r="L79">
        <v>13.2</v>
      </c>
      <c r="M79">
        <v>6.8</v>
      </c>
      <c r="N79" t="s">
        <v>39</v>
      </c>
      <c r="O79" t="s">
        <v>7</v>
      </c>
      <c r="P79" t="s">
        <v>46</v>
      </c>
      <c r="Q79">
        <v>33</v>
      </c>
      <c r="R79">
        <v>1</v>
      </c>
      <c r="S79">
        <v>19.2</v>
      </c>
      <c r="T79">
        <v>140</v>
      </c>
      <c r="U79">
        <v>81</v>
      </c>
      <c r="V79">
        <v>8090</v>
      </c>
      <c r="W79">
        <v>49.9</v>
      </c>
      <c r="X79">
        <v>3</v>
      </c>
      <c r="Y79">
        <v>3</v>
      </c>
      <c r="Z79">
        <v>16</v>
      </c>
      <c r="AA79">
        <v>5.3</v>
      </c>
      <c r="AB79">
        <v>2</v>
      </c>
      <c r="AC79">
        <v>316</v>
      </c>
      <c r="AD79">
        <v>17</v>
      </c>
      <c r="AE79">
        <v>10</v>
      </c>
      <c r="AF79">
        <v>229</v>
      </c>
      <c r="AG79">
        <v>150</v>
      </c>
      <c r="AH79">
        <v>209</v>
      </c>
      <c r="AI79">
        <v>57</v>
      </c>
      <c r="AJ79">
        <v>34</v>
      </c>
      <c r="AK79">
        <v>50</v>
      </c>
      <c r="AL79">
        <v>33</v>
      </c>
      <c r="AM79">
        <v>10</v>
      </c>
      <c r="AN79">
        <v>128</v>
      </c>
      <c r="AO79">
        <v>35</v>
      </c>
      <c r="AP79">
        <v>57</v>
      </c>
      <c r="AQ79">
        <v>105</v>
      </c>
      <c r="AR79">
        <v>5883</v>
      </c>
      <c r="AS79">
        <v>10000</v>
      </c>
      <c r="AT79" t="s">
        <v>7</v>
      </c>
      <c r="AU79">
        <v>0.86</v>
      </c>
      <c r="AV79">
        <v>2014</v>
      </c>
      <c r="AW79" s="1">
        <v>45866</v>
      </c>
      <c r="AX79">
        <v>18.600000000000001</v>
      </c>
      <c r="AY79" t="s">
        <v>36</v>
      </c>
      <c r="AZ79" t="s">
        <v>17</v>
      </c>
      <c r="BA79" t="s">
        <v>122</v>
      </c>
      <c r="BB79" t="s">
        <v>7</v>
      </c>
      <c r="BC79" t="s">
        <v>7</v>
      </c>
      <c r="BD79">
        <v>1</v>
      </c>
      <c r="BE79" t="s">
        <v>14</v>
      </c>
      <c r="BF79">
        <v>1.1100000000000001</v>
      </c>
    </row>
    <row r="80" spans="1:58" hidden="1" x14ac:dyDescent="0.2">
      <c r="A80">
        <v>79</v>
      </c>
      <c r="B80" t="s">
        <v>0</v>
      </c>
      <c r="C80">
        <v>38</v>
      </c>
      <c r="D80" t="s">
        <v>28</v>
      </c>
      <c r="E80" t="s">
        <v>22</v>
      </c>
      <c r="F80" t="s">
        <v>15</v>
      </c>
      <c r="G80" t="s">
        <v>38</v>
      </c>
      <c r="H80" t="s">
        <v>118</v>
      </c>
      <c r="I80" t="s">
        <v>114</v>
      </c>
      <c r="J80" t="s">
        <v>32</v>
      </c>
      <c r="K80" t="s">
        <v>7</v>
      </c>
      <c r="L80">
        <v>7.8</v>
      </c>
      <c r="M80">
        <v>7.6</v>
      </c>
      <c r="N80" t="s">
        <v>25</v>
      </c>
      <c r="O80" t="s">
        <v>7</v>
      </c>
      <c r="P80" t="s">
        <v>26</v>
      </c>
      <c r="Q80">
        <v>38</v>
      </c>
      <c r="R80">
        <v>6</v>
      </c>
      <c r="S80">
        <v>24.3</v>
      </c>
      <c r="T80">
        <v>153</v>
      </c>
      <c r="U80">
        <v>82</v>
      </c>
      <c r="V80">
        <v>7749</v>
      </c>
      <c r="W80">
        <v>47.3</v>
      </c>
      <c r="X80">
        <v>1</v>
      </c>
      <c r="Y80">
        <v>10</v>
      </c>
      <c r="Z80">
        <v>10</v>
      </c>
      <c r="AA80">
        <v>1.1000000000000001</v>
      </c>
      <c r="AB80">
        <v>1</v>
      </c>
      <c r="AC80">
        <v>388</v>
      </c>
      <c r="AD80">
        <v>15</v>
      </c>
      <c r="AE80">
        <v>12</v>
      </c>
      <c r="AF80">
        <v>280</v>
      </c>
      <c r="AG80">
        <v>150</v>
      </c>
      <c r="AH80">
        <v>260</v>
      </c>
      <c r="AI80">
        <v>74</v>
      </c>
      <c r="AJ80">
        <v>49</v>
      </c>
      <c r="AK80">
        <v>51</v>
      </c>
      <c r="AL80">
        <v>30</v>
      </c>
      <c r="AM80">
        <v>10</v>
      </c>
      <c r="AN80">
        <v>192</v>
      </c>
      <c r="AO80">
        <v>45</v>
      </c>
      <c r="AP80">
        <v>82</v>
      </c>
      <c r="AQ80">
        <v>137</v>
      </c>
      <c r="AR80">
        <v>4271</v>
      </c>
      <c r="AS80">
        <v>4232</v>
      </c>
      <c r="AT80" t="s">
        <v>7</v>
      </c>
      <c r="AU80">
        <v>0.67</v>
      </c>
      <c r="AV80">
        <v>2014</v>
      </c>
      <c r="AW80" s="1">
        <v>45682</v>
      </c>
      <c r="AX80">
        <v>25.9</v>
      </c>
      <c r="AY80" t="s">
        <v>30</v>
      </c>
      <c r="AZ80" t="s">
        <v>11</v>
      </c>
      <c r="BA80" t="s">
        <v>122</v>
      </c>
      <c r="BB80" t="s">
        <v>13</v>
      </c>
      <c r="BC80" t="s">
        <v>7</v>
      </c>
      <c r="BD80">
        <v>3</v>
      </c>
      <c r="BE80" t="s">
        <v>14</v>
      </c>
      <c r="BF80">
        <v>1.1399999999999999</v>
      </c>
    </row>
    <row r="81" spans="1:58" hidden="1" x14ac:dyDescent="0.2">
      <c r="A81">
        <v>80</v>
      </c>
      <c r="B81" t="s">
        <v>0</v>
      </c>
      <c r="C81">
        <v>56</v>
      </c>
      <c r="D81" t="s">
        <v>28</v>
      </c>
      <c r="E81" t="s">
        <v>42</v>
      </c>
      <c r="F81" t="s">
        <v>40</v>
      </c>
      <c r="G81" t="s">
        <v>117</v>
      </c>
      <c r="H81" t="s">
        <v>24</v>
      </c>
      <c r="I81" t="s">
        <v>112</v>
      </c>
      <c r="J81" t="s">
        <v>6</v>
      </c>
      <c r="K81" t="s">
        <v>13</v>
      </c>
      <c r="L81">
        <v>5</v>
      </c>
      <c r="M81">
        <v>5.7</v>
      </c>
      <c r="N81" t="s">
        <v>8</v>
      </c>
      <c r="O81" t="s">
        <v>13</v>
      </c>
      <c r="P81" t="s">
        <v>121</v>
      </c>
      <c r="Q81">
        <v>12</v>
      </c>
      <c r="R81">
        <v>8</v>
      </c>
      <c r="S81">
        <v>29.5</v>
      </c>
      <c r="T81">
        <v>132</v>
      </c>
      <c r="U81">
        <v>67</v>
      </c>
      <c r="V81">
        <v>7985</v>
      </c>
      <c r="W81">
        <v>30.2</v>
      </c>
      <c r="X81">
        <v>2</v>
      </c>
      <c r="Y81">
        <v>5</v>
      </c>
      <c r="Z81">
        <v>7</v>
      </c>
      <c r="AA81">
        <v>1.8</v>
      </c>
      <c r="AB81">
        <v>4</v>
      </c>
      <c r="AC81">
        <v>100</v>
      </c>
      <c r="AD81">
        <v>9</v>
      </c>
      <c r="AE81">
        <v>2</v>
      </c>
      <c r="AF81">
        <v>91</v>
      </c>
      <c r="AG81">
        <v>67</v>
      </c>
      <c r="AH81">
        <v>71</v>
      </c>
      <c r="AI81">
        <v>20</v>
      </c>
      <c r="AJ81">
        <v>17</v>
      </c>
      <c r="AK81">
        <v>24</v>
      </c>
      <c r="AL81">
        <v>15</v>
      </c>
      <c r="AM81">
        <v>3</v>
      </c>
      <c r="AN81">
        <v>45</v>
      </c>
      <c r="AO81">
        <v>15</v>
      </c>
      <c r="AP81">
        <v>23</v>
      </c>
      <c r="AQ81">
        <v>34</v>
      </c>
      <c r="AR81">
        <v>534</v>
      </c>
      <c r="AS81">
        <v>1317</v>
      </c>
      <c r="AT81" t="s">
        <v>7</v>
      </c>
      <c r="AU81">
        <v>0.86</v>
      </c>
      <c r="AV81">
        <v>2022</v>
      </c>
      <c r="AW81" s="1">
        <v>45820</v>
      </c>
      <c r="AX81">
        <v>11.1</v>
      </c>
      <c r="AY81" t="s">
        <v>27</v>
      </c>
      <c r="AZ81" t="s">
        <v>48</v>
      </c>
      <c r="BA81" t="s">
        <v>12</v>
      </c>
      <c r="BB81" t="s">
        <v>7</v>
      </c>
      <c r="BC81" t="s">
        <v>7</v>
      </c>
      <c r="BD81">
        <v>0</v>
      </c>
      <c r="BE81" t="s">
        <v>14</v>
      </c>
      <c r="BF81">
        <v>1.1599999999999999</v>
      </c>
    </row>
    <row r="82" spans="1:58" hidden="1" x14ac:dyDescent="0.2">
      <c r="A82">
        <v>81</v>
      </c>
      <c r="B82" t="s">
        <v>0</v>
      </c>
      <c r="C82">
        <v>46</v>
      </c>
      <c r="D82" t="s">
        <v>28</v>
      </c>
      <c r="E82" t="s">
        <v>2</v>
      </c>
      <c r="F82" t="s">
        <v>15</v>
      </c>
      <c r="G82" t="s">
        <v>16</v>
      </c>
      <c r="H82" t="s">
        <v>118</v>
      </c>
      <c r="I82" t="s">
        <v>113</v>
      </c>
      <c r="J82" t="s">
        <v>123</v>
      </c>
      <c r="K82" t="s">
        <v>7</v>
      </c>
      <c r="L82">
        <v>16</v>
      </c>
      <c r="M82">
        <v>9</v>
      </c>
      <c r="N82" t="s">
        <v>39</v>
      </c>
      <c r="O82" t="s">
        <v>7</v>
      </c>
      <c r="P82" t="s">
        <v>9</v>
      </c>
      <c r="Q82">
        <v>36</v>
      </c>
      <c r="R82">
        <v>2</v>
      </c>
      <c r="S82">
        <v>19.8</v>
      </c>
      <c r="T82">
        <v>127</v>
      </c>
      <c r="U82">
        <v>99</v>
      </c>
      <c r="V82">
        <v>7930</v>
      </c>
      <c r="W82">
        <v>28.3</v>
      </c>
      <c r="X82">
        <v>3</v>
      </c>
      <c r="Y82">
        <v>5</v>
      </c>
      <c r="Z82">
        <v>12</v>
      </c>
      <c r="AA82">
        <v>2.7</v>
      </c>
      <c r="AB82">
        <v>3</v>
      </c>
      <c r="AC82">
        <v>361</v>
      </c>
      <c r="AD82">
        <v>17</v>
      </c>
      <c r="AE82">
        <v>12</v>
      </c>
      <c r="AF82">
        <v>234</v>
      </c>
      <c r="AG82">
        <v>146</v>
      </c>
      <c r="AH82">
        <v>195</v>
      </c>
      <c r="AI82">
        <v>68</v>
      </c>
      <c r="AJ82">
        <v>50</v>
      </c>
      <c r="AK82">
        <v>54</v>
      </c>
      <c r="AL82">
        <v>29</v>
      </c>
      <c r="AM82">
        <v>10</v>
      </c>
      <c r="AN82">
        <v>175</v>
      </c>
      <c r="AO82">
        <v>93</v>
      </c>
      <c r="AP82">
        <v>45</v>
      </c>
      <c r="AQ82">
        <v>138</v>
      </c>
      <c r="AR82">
        <v>366</v>
      </c>
      <c r="AS82">
        <v>748</v>
      </c>
      <c r="AT82" t="s">
        <v>7</v>
      </c>
      <c r="AU82">
        <v>0.42</v>
      </c>
      <c r="AV82">
        <v>2025</v>
      </c>
      <c r="AW82" s="1">
        <v>45843</v>
      </c>
      <c r="AX82">
        <v>21.2</v>
      </c>
      <c r="AY82" t="s">
        <v>45</v>
      </c>
      <c r="AZ82" t="s">
        <v>48</v>
      </c>
      <c r="BA82" t="s">
        <v>21</v>
      </c>
      <c r="BB82" t="s">
        <v>13</v>
      </c>
      <c r="BC82" t="s">
        <v>13</v>
      </c>
      <c r="BD82">
        <v>0</v>
      </c>
      <c r="BE82" t="s">
        <v>14</v>
      </c>
      <c r="BF82">
        <v>1.01</v>
      </c>
    </row>
    <row r="83" spans="1:58" hidden="1" x14ac:dyDescent="0.2">
      <c r="A83">
        <v>82</v>
      </c>
      <c r="B83" t="s">
        <v>0</v>
      </c>
      <c r="C83">
        <v>22</v>
      </c>
      <c r="D83" t="s">
        <v>1</v>
      </c>
      <c r="E83" t="s">
        <v>128</v>
      </c>
      <c r="F83" t="s">
        <v>15</v>
      </c>
      <c r="G83" t="s">
        <v>4</v>
      </c>
      <c r="H83" t="s">
        <v>34</v>
      </c>
      <c r="I83" t="s">
        <v>112</v>
      </c>
      <c r="J83" t="s">
        <v>6</v>
      </c>
      <c r="K83" t="s">
        <v>7</v>
      </c>
      <c r="L83">
        <v>13.2</v>
      </c>
      <c r="M83">
        <v>6.1</v>
      </c>
      <c r="N83" t="s">
        <v>29</v>
      </c>
      <c r="O83" t="s">
        <v>7</v>
      </c>
      <c r="P83" t="s">
        <v>52</v>
      </c>
      <c r="Q83">
        <v>5</v>
      </c>
      <c r="R83">
        <v>4</v>
      </c>
      <c r="S83">
        <v>21.8</v>
      </c>
      <c r="T83">
        <v>90</v>
      </c>
      <c r="U83">
        <v>79</v>
      </c>
      <c r="V83">
        <v>8131</v>
      </c>
      <c r="W83">
        <v>33.799999999999997</v>
      </c>
      <c r="X83">
        <v>0</v>
      </c>
      <c r="Y83">
        <v>3</v>
      </c>
      <c r="Z83">
        <v>8</v>
      </c>
      <c r="AA83">
        <v>3.3</v>
      </c>
      <c r="AB83">
        <v>1</v>
      </c>
      <c r="AC83">
        <v>100</v>
      </c>
      <c r="AD83">
        <v>5</v>
      </c>
      <c r="AE83">
        <v>5</v>
      </c>
      <c r="AF83">
        <v>181</v>
      </c>
      <c r="AG83">
        <v>69</v>
      </c>
      <c r="AH83">
        <v>75</v>
      </c>
      <c r="AI83">
        <v>20</v>
      </c>
      <c r="AJ83">
        <v>27</v>
      </c>
      <c r="AK83">
        <v>15</v>
      </c>
      <c r="AL83">
        <v>16</v>
      </c>
      <c r="AM83">
        <v>5</v>
      </c>
      <c r="AN83">
        <v>55</v>
      </c>
      <c r="AO83">
        <v>15</v>
      </c>
      <c r="AP83">
        <v>14</v>
      </c>
      <c r="AQ83">
        <v>38</v>
      </c>
      <c r="AR83">
        <v>601</v>
      </c>
      <c r="AS83">
        <v>379</v>
      </c>
      <c r="AT83" t="s">
        <v>13</v>
      </c>
      <c r="AU83">
        <v>0.45</v>
      </c>
      <c r="AV83">
        <v>2015</v>
      </c>
      <c r="AW83" s="1">
        <v>45823</v>
      </c>
      <c r="AX83">
        <v>20</v>
      </c>
      <c r="AY83" t="s">
        <v>45</v>
      </c>
      <c r="AZ83" t="s">
        <v>37</v>
      </c>
      <c r="BA83" t="s">
        <v>12</v>
      </c>
      <c r="BB83" t="s">
        <v>7</v>
      </c>
      <c r="BC83" t="s">
        <v>7</v>
      </c>
      <c r="BD83">
        <v>4</v>
      </c>
      <c r="BE83" t="s">
        <v>14</v>
      </c>
      <c r="BF83">
        <v>1.29</v>
      </c>
    </row>
    <row r="84" spans="1:58" hidden="1" x14ac:dyDescent="0.2">
      <c r="A84">
        <v>83</v>
      </c>
      <c r="B84" t="s">
        <v>0</v>
      </c>
      <c r="C84">
        <v>48</v>
      </c>
      <c r="D84" t="s">
        <v>124</v>
      </c>
      <c r="E84" t="s">
        <v>128</v>
      </c>
      <c r="F84" t="s">
        <v>15</v>
      </c>
      <c r="G84" t="s">
        <v>38</v>
      </c>
      <c r="H84" t="s">
        <v>24</v>
      </c>
      <c r="I84" t="s">
        <v>112</v>
      </c>
      <c r="J84" t="s">
        <v>32</v>
      </c>
      <c r="K84" t="s">
        <v>13</v>
      </c>
      <c r="L84">
        <v>1.8</v>
      </c>
      <c r="M84">
        <v>7.3</v>
      </c>
      <c r="N84" t="s">
        <v>39</v>
      </c>
      <c r="O84" t="s">
        <v>7</v>
      </c>
      <c r="P84" t="s">
        <v>26</v>
      </c>
      <c r="Q84">
        <v>30</v>
      </c>
      <c r="R84">
        <v>2</v>
      </c>
      <c r="S84">
        <v>28.1</v>
      </c>
      <c r="T84">
        <v>111</v>
      </c>
      <c r="U84">
        <v>89</v>
      </c>
      <c r="V84">
        <v>8134</v>
      </c>
      <c r="W84">
        <v>41.9</v>
      </c>
      <c r="X84">
        <v>3</v>
      </c>
      <c r="Y84">
        <v>6</v>
      </c>
      <c r="Z84">
        <v>19</v>
      </c>
      <c r="AA84">
        <v>4.0999999999999996</v>
      </c>
      <c r="AB84">
        <v>5</v>
      </c>
      <c r="AC84">
        <v>391</v>
      </c>
      <c r="AD84">
        <v>43</v>
      </c>
      <c r="AE84">
        <v>6</v>
      </c>
      <c r="AF84">
        <v>292</v>
      </c>
      <c r="AG84">
        <v>150</v>
      </c>
      <c r="AH84">
        <v>215</v>
      </c>
      <c r="AI84">
        <v>58</v>
      </c>
      <c r="AJ84">
        <v>44</v>
      </c>
      <c r="AK84">
        <v>66</v>
      </c>
      <c r="AL84">
        <v>36</v>
      </c>
      <c r="AM84">
        <v>6</v>
      </c>
      <c r="AN84">
        <v>225</v>
      </c>
      <c r="AO84">
        <v>59</v>
      </c>
      <c r="AP84">
        <v>59</v>
      </c>
      <c r="AQ84">
        <v>107</v>
      </c>
      <c r="AR84">
        <v>1071</v>
      </c>
      <c r="AS84">
        <v>1134</v>
      </c>
      <c r="AT84" t="s">
        <v>7</v>
      </c>
      <c r="AU84">
        <v>0.97</v>
      </c>
      <c r="AV84">
        <v>2015</v>
      </c>
      <c r="AW84" s="1">
        <v>45717</v>
      </c>
      <c r="AX84">
        <v>9.1</v>
      </c>
      <c r="AY84" t="s">
        <v>19</v>
      </c>
      <c r="AZ84" t="s">
        <v>37</v>
      </c>
      <c r="BA84" t="s">
        <v>12</v>
      </c>
      <c r="BB84" t="s">
        <v>13</v>
      </c>
      <c r="BC84" t="s">
        <v>7</v>
      </c>
      <c r="BD84">
        <v>2</v>
      </c>
      <c r="BE84" t="s">
        <v>14</v>
      </c>
      <c r="BF84">
        <v>0.89</v>
      </c>
    </row>
    <row r="85" spans="1:58" hidden="1" x14ac:dyDescent="0.2">
      <c r="A85">
        <v>84</v>
      </c>
      <c r="B85" t="s">
        <v>0</v>
      </c>
      <c r="C85">
        <v>26</v>
      </c>
      <c r="D85" t="s">
        <v>1</v>
      </c>
      <c r="E85" t="s">
        <v>128</v>
      </c>
      <c r="F85" t="s">
        <v>15</v>
      </c>
      <c r="G85" t="s">
        <v>16</v>
      </c>
      <c r="H85" t="s">
        <v>118</v>
      </c>
      <c r="I85" t="s">
        <v>17</v>
      </c>
      <c r="J85" t="s">
        <v>123</v>
      </c>
      <c r="K85" t="s">
        <v>13</v>
      </c>
      <c r="L85">
        <v>16.8</v>
      </c>
      <c r="M85">
        <v>8.6</v>
      </c>
      <c r="N85" t="s">
        <v>39</v>
      </c>
      <c r="O85" t="s">
        <v>7</v>
      </c>
      <c r="P85" t="s">
        <v>46</v>
      </c>
      <c r="Q85">
        <v>2</v>
      </c>
      <c r="R85">
        <v>5</v>
      </c>
      <c r="S85">
        <v>20.5</v>
      </c>
      <c r="T85">
        <v>130</v>
      </c>
      <c r="U85">
        <v>96</v>
      </c>
      <c r="V85">
        <v>7983</v>
      </c>
      <c r="W85">
        <v>43.5</v>
      </c>
      <c r="X85">
        <v>2</v>
      </c>
      <c r="Y85">
        <v>4</v>
      </c>
      <c r="Z85">
        <v>10</v>
      </c>
      <c r="AA85">
        <v>3.8</v>
      </c>
      <c r="AB85">
        <v>1</v>
      </c>
      <c r="AC85">
        <v>5</v>
      </c>
      <c r="AD85">
        <v>1</v>
      </c>
      <c r="AE85">
        <v>2</v>
      </c>
      <c r="AF85">
        <v>108</v>
      </c>
      <c r="AG85">
        <v>23</v>
      </c>
      <c r="AH85">
        <v>37</v>
      </c>
      <c r="AI85">
        <v>6</v>
      </c>
      <c r="AJ85">
        <v>11</v>
      </c>
      <c r="AK85">
        <v>9</v>
      </c>
      <c r="AL85">
        <v>4</v>
      </c>
      <c r="AM85">
        <v>3</v>
      </c>
      <c r="AN85">
        <v>2</v>
      </c>
      <c r="AO85">
        <v>1</v>
      </c>
      <c r="AP85">
        <v>1</v>
      </c>
      <c r="AQ85">
        <v>2</v>
      </c>
      <c r="AR85">
        <v>13665</v>
      </c>
      <c r="AS85">
        <v>10000</v>
      </c>
      <c r="AT85" t="s">
        <v>7</v>
      </c>
      <c r="AU85">
        <v>0</v>
      </c>
      <c r="AV85">
        <v>2010</v>
      </c>
      <c r="AW85" s="1">
        <v>45910</v>
      </c>
      <c r="AX85">
        <v>5</v>
      </c>
      <c r="AY85" t="s">
        <v>19</v>
      </c>
      <c r="AZ85" t="s">
        <v>35</v>
      </c>
      <c r="BA85" t="s">
        <v>21</v>
      </c>
      <c r="BB85" t="s">
        <v>7</v>
      </c>
      <c r="BC85" t="s">
        <v>13</v>
      </c>
      <c r="BD85">
        <v>0</v>
      </c>
      <c r="BE85" t="s">
        <v>49</v>
      </c>
      <c r="BF85">
        <v>9.17</v>
      </c>
    </row>
    <row r="86" spans="1:58" hidden="1" x14ac:dyDescent="0.2">
      <c r="A86">
        <v>85</v>
      </c>
      <c r="B86" t="s">
        <v>0</v>
      </c>
      <c r="C86">
        <v>43</v>
      </c>
      <c r="D86" t="s">
        <v>28</v>
      </c>
      <c r="E86" t="s">
        <v>126</v>
      </c>
      <c r="F86" t="s">
        <v>15</v>
      </c>
      <c r="G86" t="s">
        <v>38</v>
      </c>
      <c r="H86" t="s">
        <v>119</v>
      </c>
      <c r="I86" t="s">
        <v>112</v>
      </c>
      <c r="J86" t="s">
        <v>6</v>
      </c>
      <c r="K86" t="s">
        <v>7</v>
      </c>
      <c r="L86">
        <v>11</v>
      </c>
      <c r="M86">
        <v>8.6999999999999993</v>
      </c>
      <c r="N86" t="s">
        <v>29</v>
      </c>
      <c r="O86" t="s">
        <v>7</v>
      </c>
      <c r="P86" t="s">
        <v>9</v>
      </c>
      <c r="Q86">
        <v>10</v>
      </c>
      <c r="R86">
        <v>5</v>
      </c>
      <c r="S86">
        <v>25.4</v>
      </c>
      <c r="T86">
        <v>157</v>
      </c>
      <c r="U86">
        <v>89</v>
      </c>
      <c r="V86">
        <v>7962</v>
      </c>
      <c r="W86">
        <v>45.4</v>
      </c>
      <c r="X86">
        <v>1</v>
      </c>
      <c r="Y86">
        <v>1</v>
      </c>
      <c r="Z86">
        <v>18</v>
      </c>
      <c r="AA86">
        <v>1.2</v>
      </c>
      <c r="AB86">
        <v>3</v>
      </c>
      <c r="AC86">
        <v>97</v>
      </c>
      <c r="AD86">
        <v>3</v>
      </c>
      <c r="AE86">
        <v>7</v>
      </c>
      <c r="AF86">
        <v>107</v>
      </c>
      <c r="AG86">
        <v>61</v>
      </c>
      <c r="AH86">
        <v>72</v>
      </c>
      <c r="AI86">
        <v>23</v>
      </c>
      <c r="AJ86">
        <v>20</v>
      </c>
      <c r="AK86">
        <v>31</v>
      </c>
      <c r="AL86">
        <v>15</v>
      </c>
      <c r="AM86">
        <v>3</v>
      </c>
      <c r="AN86">
        <v>42</v>
      </c>
      <c r="AO86">
        <v>13</v>
      </c>
      <c r="AP86">
        <v>21</v>
      </c>
      <c r="AQ86">
        <v>38</v>
      </c>
      <c r="AR86">
        <v>5138</v>
      </c>
      <c r="AS86">
        <v>7894</v>
      </c>
      <c r="AT86" t="s">
        <v>7</v>
      </c>
      <c r="AU86">
        <v>0.24</v>
      </c>
      <c r="AV86">
        <v>2010</v>
      </c>
      <c r="AW86" s="1">
        <v>45711</v>
      </c>
      <c r="AX86">
        <v>32.299999999999997</v>
      </c>
      <c r="AY86" t="s">
        <v>19</v>
      </c>
      <c r="AZ86" t="s">
        <v>20</v>
      </c>
      <c r="BA86" t="s">
        <v>12</v>
      </c>
      <c r="BB86" t="s">
        <v>13</v>
      </c>
      <c r="BC86" t="s">
        <v>13</v>
      </c>
      <c r="BD86">
        <v>4</v>
      </c>
      <c r="BE86" t="s">
        <v>43</v>
      </c>
      <c r="BF86">
        <v>1.42</v>
      </c>
    </row>
    <row r="87" spans="1:58" hidden="1" x14ac:dyDescent="0.2">
      <c r="A87">
        <v>86</v>
      </c>
      <c r="B87" t="s">
        <v>0</v>
      </c>
      <c r="C87">
        <v>60</v>
      </c>
      <c r="D87" t="s">
        <v>28</v>
      </c>
      <c r="E87" t="s">
        <v>127</v>
      </c>
      <c r="F87" t="s">
        <v>40</v>
      </c>
      <c r="G87" t="s">
        <v>38</v>
      </c>
      <c r="H87" t="s">
        <v>118</v>
      </c>
      <c r="I87" t="s">
        <v>113</v>
      </c>
      <c r="J87" t="s">
        <v>32</v>
      </c>
      <c r="K87" t="s">
        <v>7</v>
      </c>
      <c r="L87">
        <v>4.3</v>
      </c>
      <c r="M87">
        <v>6.2</v>
      </c>
      <c r="N87" t="s">
        <v>29</v>
      </c>
      <c r="O87" t="s">
        <v>41</v>
      </c>
      <c r="P87" t="s">
        <v>46</v>
      </c>
      <c r="Q87">
        <v>35</v>
      </c>
      <c r="R87">
        <v>6</v>
      </c>
      <c r="S87">
        <v>28.9</v>
      </c>
      <c r="T87">
        <v>95</v>
      </c>
      <c r="U87">
        <v>81</v>
      </c>
      <c r="V87">
        <v>7833</v>
      </c>
      <c r="W87">
        <v>46.9</v>
      </c>
      <c r="X87">
        <v>2</v>
      </c>
      <c r="Y87">
        <v>2</v>
      </c>
      <c r="Z87">
        <v>5</v>
      </c>
      <c r="AA87">
        <v>4.5999999999999996</v>
      </c>
      <c r="AB87">
        <v>1</v>
      </c>
      <c r="AC87">
        <v>245</v>
      </c>
      <c r="AD87">
        <v>12</v>
      </c>
      <c r="AE87">
        <v>6</v>
      </c>
      <c r="AF87">
        <v>200</v>
      </c>
      <c r="AG87">
        <v>117</v>
      </c>
      <c r="AH87">
        <v>127</v>
      </c>
      <c r="AI87">
        <v>42</v>
      </c>
      <c r="AJ87">
        <v>33</v>
      </c>
      <c r="AK87">
        <v>47</v>
      </c>
      <c r="AL87">
        <v>31</v>
      </c>
      <c r="AM87">
        <v>11</v>
      </c>
      <c r="AN87">
        <v>102</v>
      </c>
      <c r="AO87">
        <v>71</v>
      </c>
      <c r="AP87">
        <v>41</v>
      </c>
      <c r="AQ87">
        <v>54</v>
      </c>
      <c r="AR87">
        <v>361</v>
      </c>
      <c r="AS87">
        <v>460</v>
      </c>
      <c r="AT87" t="s">
        <v>7</v>
      </c>
      <c r="AU87">
        <v>0.72</v>
      </c>
      <c r="AV87">
        <v>2025</v>
      </c>
      <c r="AW87" s="1">
        <v>45868</v>
      </c>
      <c r="AX87">
        <v>20.399999999999999</v>
      </c>
      <c r="AY87" t="s">
        <v>10</v>
      </c>
      <c r="AZ87" t="s">
        <v>11</v>
      </c>
      <c r="BA87" t="s">
        <v>122</v>
      </c>
      <c r="BB87" t="s">
        <v>13</v>
      </c>
      <c r="BC87" t="s">
        <v>13</v>
      </c>
      <c r="BD87">
        <v>2</v>
      </c>
      <c r="BE87" t="s">
        <v>14</v>
      </c>
      <c r="BF87">
        <v>0.93</v>
      </c>
    </row>
    <row r="88" spans="1:58" hidden="1" x14ac:dyDescent="0.2">
      <c r="A88">
        <v>87</v>
      </c>
      <c r="B88" t="s">
        <v>0</v>
      </c>
      <c r="C88">
        <v>27</v>
      </c>
      <c r="D88" t="s">
        <v>28</v>
      </c>
      <c r="E88" t="s">
        <v>128</v>
      </c>
      <c r="F88" t="s">
        <v>15</v>
      </c>
      <c r="G88" t="s">
        <v>16</v>
      </c>
      <c r="H88" t="s">
        <v>23</v>
      </c>
      <c r="I88" t="s">
        <v>114</v>
      </c>
      <c r="J88" t="s">
        <v>123</v>
      </c>
      <c r="K88" t="s">
        <v>13</v>
      </c>
      <c r="L88">
        <v>10.4</v>
      </c>
      <c r="M88">
        <v>6.2</v>
      </c>
      <c r="N88" t="s">
        <v>29</v>
      </c>
      <c r="O88" t="s">
        <v>7</v>
      </c>
      <c r="P88" t="s">
        <v>9</v>
      </c>
      <c r="Q88">
        <v>0</v>
      </c>
      <c r="R88">
        <v>7</v>
      </c>
      <c r="S88">
        <v>35.4</v>
      </c>
      <c r="T88">
        <v>107</v>
      </c>
      <c r="U88">
        <v>96</v>
      </c>
      <c r="V88">
        <v>7979</v>
      </c>
      <c r="W88">
        <v>37.299999999999997</v>
      </c>
      <c r="X88">
        <v>8</v>
      </c>
      <c r="Y88">
        <v>3</v>
      </c>
      <c r="Z88">
        <v>10</v>
      </c>
      <c r="AA88">
        <v>2</v>
      </c>
      <c r="AB88">
        <v>1</v>
      </c>
      <c r="AC88">
        <v>16</v>
      </c>
      <c r="AD88">
        <v>1</v>
      </c>
      <c r="AE88">
        <v>2</v>
      </c>
      <c r="AF88">
        <v>135</v>
      </c>
      <c r="AG88">
        <v>32</v>
      </c>
      <c r="AH88">
        <v>23</v>
      </c>
      <c r="AI88">
        <v>6</v>
      </c>
      <c r="AJ88">
        <v>10</v>
      </c>
      <c r="AK88">
        <v>12</v>
      </c>
      <c r="AL88">
        <v>3</v>
      </c>
      <c r="AM88">
        <v>2</v>
      </c>
      <c r="AN88">
        <v>9</v>
      </c>
      <c r="AO88">
        <v>3</v>
      </c>
      <c r="AP88">
        <v>2</v>
      </c>
      <c r="AQ88">
        <v>4</v>
      </c>
      <c r="AR88">
        <v>4208</v>
      </c>
      <c r="AS88">
        <v>4738</v>
      </c>
      <c r="AT88" t="s">
        <v>13</v>
      </c>
      <c r="AU88">
        <v>0.95</v>
      </c>
      <c r="AV88">
        <v>2022</v>
      </c>
      <c r="AW88" s="1">
        <v>45837</v>
      </c>
      <c r="AX88">
        <v>16</v>
      </c>
      <c r="AY88" t="s">
        <v>19</v>
      </c>
      <c r="AZ88" t="s">
        <v>48</v>
      </c>
      <c r="BA88" t="s">
        <v>21</v>
      </c>
      <c r="BB88" t="s">
        <v>13</v>
      </c>
      <c r="BC88" t="s">
        <v>13</v>
      </c>
      <c r="BD88">
        <v>0</v>
      </c>
      <c r="BE88" t="s">
        <v>14</v>
      </c>
      <c r="BF88">
        <v>2.41</v>
      </c>
    </row>
    <row r="89" spans="1:58" hidden="1" x14ac:dyDescent="0.2">
      <c r="A89">
        <v>88</v>
      </c>
      <c r="B89" t="s">
        <v>0</v>
      </c>
      <c r="C89">
        <v>20</v>
      </c>
      <c r="D89" t="s">
        <v>28</v>
      </c>
      <c r="E89" t="s">
        <v>33</v>
      </c>
      <c r="F89" t="s">
        <v>3</v>
      </c>
      <c r="G89" t="s">
        <v>117</v>
      </c>
      <c r="H89" t="s">
        <v>34</v>
      </c>
      <c r="I89" t="s">
        <v>113</v>
      </c>
      <c r="J89" t="s">
        <v>32</v>
      </c>
      <c r="K89" t="s">
        <v>13</v>
      </c>
      <c r="L89">
        <v>2.1</v>
      </c>
      <c r="M89">
        <v>6.9</v>
      </c>
      <c r="N89" t="s">
        <v>8</v>
      </c>
      <c r="O89" t="s">
        <v>7</v>
      </c>
      <c r="P89" t="s">
        <v>46</v>
      </c>
      <c r="Q89">
        <v>6</v>
      </c>
      <c r="R89">
        <v>4</v>
      </c>
      <c r="S89">
        <v>23.1</v>
      </c>
      <c r="T89">
        <v>135</v>
      </c>
      <c r="U89">
        <v>92</v>
      </c>
      <c r="V89">
        <v>7996</v>
      </c>
      <c r="W89">
        <v>17.7</v>
      </c>
      <c r="X89">
        <v>3</v>
      </c>
      <c r="Y89">
        <v>3</v>
      </c>
      <c r="Z89">
        <v>7</v>
      </c>
      <c r="AA89">
        <v>6.7</v>
      </c>
      <c r="AB89">
        <v>1</v>
      </c>
      <c r="AC89">
        <v>33</v>
      </c>
      <c r="AD89">
        <v>1</v>
      </c>
      <c r="AE89">
        <v>12</v>
      </c>
      <c r="AF89">
        <v>136</v>
      </c>
      <c r="AG89">
        <v>44</v>
      </c>
      <c r="AH89">
        <v>43</v>
      </c>
      <c r="AI89">
        <v>13</v>
      </c>
      <c r="AJ89">
        <v>11</v>
      </c>
      <c r="AK89">
        <v>10</v>
      </c>
      <c r="AL89">
        <v>4</v>
      </c>
      <c r="AM89">
        <v>2</v>
      </c>
      <c r="AN89">
        <v>19</v>
      </c>
      <c r="AO89">
        <v>6</v>
      </c>
      <c r="AP89">
        <v>5</v>
      </c>
      <c r="AQ89">
        <v>10</v>
      </c>
      <c r="AR89">
        <v>1073</v>
      </c>
      <c r="AS89">
        <v>1918</v>
      </c>
      <c r="AT89" t="s">
        <v>13</v>
      </c>
      <c r="AU89">
        <v>0.41</v>
      </c>
      <c r="AV89">
        <v>2025</v>
      </c>
      <c r="AW89" s="1">
        <v>45831</v>
      </c>
      <c r="AX89">
        <v>33</v>
      </c>
      <c r="AY89" t="s">
        <v>27</v>
      </c>
      <c r="AZ89" t="s">
        <v>35</v>
      </c>
      <c r="BA89" t="s">
        <v>21</v>
      </c>
      <c r="BB89" t="s">
        <v>13</v>
      </c>
      <c r="BC89" t="s">
        <v>7</v>
      </c>
      <c r="BD89">
        <v>1</v>
      </c>
      <c r="BE89" t="s">
        <v>14</v>
      </c>
      <c r="BF89">
        <v>3.09</v>
      </c>
    </row>
    <row r="90" spans="1:58" hidden="1" x14ac:dyDescent="0.2">
      <c r="A90">
        <v>89</v>
      </c>
      <c r="B90" t="s">
        <v>0</v>
      </c>
      <c r="C90">
        <v>26</v>
      </c>
      <c r="D90" t="s">
        <v>1</v>
      </c>
      <c r="E90" t="s">
        <v>17</v>
      </c>
      <c r="F90" t="s">
        <v>40</v>
      </c>
      <c r="G90" t="s">
        <v>16</v>
      </c>
      <c r="H90" t="s">
        <v>118</v>
      </c>
      <c r="I90" t="s">
        <v>114</v>
      </c>
      <c r="J90" t="s">
        <v>18</v>
      </c>
      <c r="K90" t="s">
        <v>7</v>
      </c>
      <c r="L90">
        <v>4.0999999999999996</v>
      </c>
      <c r="M90">
        <v>7.1</v>
      </c>
      <c r="N90" t="s">
        <v>29</v>
      </c>
      <c r="O90" t="s">
        <v>7</v>
      </c>
      <c r="P90" t="s">
        <v>46</v>
      </c>
      <c r="Q90">
        <v>39</v>
      </c>
      <c r="R90">
        <v>9</v>
      </c>
      <c r="S90">
        <v>24.3</v>
      </c>
      <c r="T90">
        <v>100</v>
      </c>
      <c r="U90">
        <v>87</v>
      </c>
      <c r="V90">
        <v>8055</v>
      </c>
      <c r="W90">
        <v>37.4</v>
      </c>
      <c r="X90">
        <v>4</v>
      </c>
      <c r="Y90">
        <v>4</v>
      </c>
      <c r="Z90">
        <v>14</v>
      </c>
      <c r="AA90">
        <v>3.9</v>
      </c>
      <c r="AB90">
        <v>7</v>
      </c>
      <c r="AC90">
        <v>273</v>
      </c>
      <c r="AD90">
        <v>8</v>
      </c>
      <c r="AE90">
        <v>10</v>
      </c>
      <c r="AF90">
        <v>272</v>
      </c>
      <c r="AG90">
        <v>134</v>
      </c>
      <c r="AH90">
        <v>153</v>
      </c>
      <c r="AI90">
        <v>52</v>
      </c>
      <c r="AJ90">
        <v>37</v>
      </c>
      <c r="AK90">
        <v>48</v>
      </c>
      <c r="AL90">
        <v>24</v>
      </c>
      <c r="AM90">
        <v>3</v>
      </c>
      <c r="AN90">
        <v>123</v>
      </c>
      <c r="AO90">
        <v>69</v>
      </c>
      <c r="AP90">
        <v>64</v>
      </c>
      <c r="AQ90">
        <v>77</v>
      </c>
      <c r="AR90">
        <v>796</v>
      </c>
      <c r="AS90">
        <v>799</v>
      </c>
      <c r="AT90" t="s">
        <v>7</v>
      </c>
      <c r="AU90">
        <v>0.32</v>
      </c>
      <c r="AV90">
        <v>2020</v>
      </c>
      <c r="AW90" s="1">
        <v>45704</v>
      </c>
      <c r="AX90">
        <v>34.1</v>
      </c>
      <c r="AY90" t="s">
        <v>30</v>
      </c>
      <c r="AZ90" t="s">
        <v>51</v>
      </c>
      <c r="BA90" t="s">
        <v>21</v>
      </c>
      <c r="BB90" t="s">
        <v>13</v>
      </c>
      <c r="BC90" t="s">
        <v>7</v>
      </c>
      <c r="BD90">
        <v>4</v>
      </c>
      <c r="BE90" t="s">
        <v>14</v>
      </c>
      <c r="BF90">
        <v>1.05</v>
      </c>
    </row>
    <row r="91" spans="1:58" hidden="1" x14ac:dyDescent="0.2">
      <c r="A91">
        <v>90</v>
      </c>
      <c r="B91" t="s">
        <v>0</v>
      </c>
      <c r="C91">
        <v>35</v>
      </c>
      <c r="D91" t="s">
        <v>1</v>
      </c>
      <c r="E91" t="s">
        <v>2</v>
      </c>
      <c r="F91" t="s">
        <v>40</v>
      </c>
      <c r="G91" t="s">
        <v>116</v>
      </c>
      <c r="H91" t="s">
        <v>118</v>
      </c>
      <c r="I91" t="s">
        <v>112</v>
      </c>
      <c r="J91" t="s">
        <v>32</v>
      </c>
      <c r="K91" t="s">
        <v>7</v>
      </c>
      <c r="L91">
        <v>6.6</v>
      </c>
      <c r="M91">
        <v>6.3</v>
      </c>
      <c r="N91" t="s">
        <v>25</v>
      </c>
      <c r="O91" t="s">
        <v>7</v>
      </c>
      <c r="P91" t="s">
        <v>26</v>
      </c>
      <c r="Q91">
        <v>6</v>
      </c>
      <c r="R91">
        <v>9</v>
      </c>
      <c r="S91">
        <v>26.4</v>
      </c>
      <c r="T91">
        <v>91</v>
      </c>
      <c r="U91">
        <v>75</v>
      </c>
      <c r="V91">
        <v>8008</v>
      </c>
      <c r="W91">
        <v>34.5</v>
      </c>
      <c r="X91">
        <v>3</v>
      </c>
      <c r="Y91">
        <v>5</v>
      </c>
      <c r="Z91">
        <v>7</v>
      </c>
      <c r="AA91">
        <v>7.8</v>
      </c>
      <c r="AB91">
        <v>5</v>
      </c>
      <c r="AC91">
        <v>42</v>
      </c>
      <c r="AD91">
        <v>3</v>
      </c>
      <c r="AE91">
        <v>1</v>
      </c>
      <c r="AF91">
        <v>66</v>
      </c>
      <c r="AG91">
        <v>42</v>
      </c>
      <c r="AH91">
        <v>45</v>
      </c>
      <c r="AI91">
        <v>18</v>
      </c>
      <c r="AJ91">
        <v>16</v>
      </c>
      <c r="AK91">
        <v>12</v>
      </c>
      <c r="AL91">
        <v>10</v>
      </c>
      <c r="AM91">
        <v>1</v>
      </c>
      <c r="AN91">
        <v>19</v>
      </c>
      <c r="AO91">
        <v>12</v>
      </c>
      <c r="AP91">
        <v>10</v>
      </c>
      <c r="AQ91">
        <v>10</v>
      </c>
      <c r="AR91">
        <v>292</v>
      </c>
      <c r="AS91">
        <v>605</v>
      </c>
      <c r="AT91" t="s">
        <v>7</v>
      </c>
      <c r="AU91">
        <v>0.59</v>
      </c>
      <c r="AV91">
        <v>2023</v>
      </c>
      <c r="AW91" s="1">
        <v>46011</v>
      </c>
      <c r="AX91">
        <v>14</v>
      </c>
      <c r="AY91" t="s">
        <v>45</v>
      </c>
      <c r="AZ91" t="s">
        <v>35</v>
      </c>
      <c r="BA91" t="s">
        <v>21</v>
      </c>
      <c r="BB91" t="s">
        <v>7</v>
      </c>
      <c r="BC91" t="s">
        <v>13</v>
      </c>
      <c r="BD91">
        <v>1</v>
      </c>
      <c r="BE91" t="s">
        <v>14</v>
      </c>
      <c r="BF91">
        <v>1.95</v>
      </c>
    </row>
    <row r="92" spans="1:58" hidden="1" x14ac:dyDescent="0.2">
      <c r="A92">
        <v>91</v>
      </c>
      <c r="B92" t="s">
        <v>0</v>
      </c>
      <c r="C92">
        <v>52</v>
      </c>
      <c r="D92" t="s">
        <v>28</v>
      </c>
      <c r="E92" t="s">
        <v>128</v>
      </c>
      <c r="F92" t="s">
        <v>40</v>
      </c>
      <c r="G92" t="s">
        <v>16</v>
      </c>
      <c r="H92" t="s">
        <v>24</v>
      </c>
      <c r="I92" t="s">
        <v>112</v>
      </c>
      <c r="J92" t="s">
        <v>6</v>
      </c>
      <c r="K92" t="s">
        <v>7</v>
      </c>
      <c r="L92">
        <v>8.6999999999999993</v>
      </c>
      <c r="M92">
        <v>4.7</v>
      </c>
      <c r="N92" t="s">
        <v>29</v>
      </c>
      <c r="O92" t="s">
        <v>41</v>
      </c>
      <c r="P92" t="s">
        <v>46</v>
      </c>
      <c r="Q92">
        <v>8</v>
      </c>
      <c r="R92">
        <v>1</v>
      </c>
      <c r="S92">
        <v>23.3</v>
      </c>
      <c r="T92">
        <v>101</v>
      </c>
      <c r="U92">
        <v>72</v>
      </c>
      <c r="V92">
        <v>8118</v>
      </c>
      <c r="W92">
        <v>40.6</v>
      </c>
      <c r="X92">
        <v>0</v>
      </c>
      <c r="Y92">
        <v>3</v>
      </c>
      <c r="Z92">
        <v>8</v>
      </c>
      <c r="AA92">
        <v>2.2999999999999998</v>
      </c>
      <c r="AB92">
        <v>3</v>
      </c>
      <c r="AC92">
        <v>154</v>
      </c>
      <c r="AD92">
        <v>18</v>
      </c>
      <c r="AE92">
        <v>3</v>
      </c>
      <c r="AF92">
        <v>135</v>
      </c>
      <c r="AG92">
        <v>105</v>
      </c>
      <c r="AH92">
        <v>113</v>
      </c>
      <c r="AI92">
        <v>27</v>
      </c>
      <c r="AJ92">
        <v>23</v>
      </c>
      <c r="AK92">
        <v>28</v>
      </c>
      <c r="AL92">
        <v>17</v>
      </c>
      <c r="AM92">
        <v>1</v>
      </c>
      <c r="AN92">
        <v>78</v>
      </c>
      <c r="AO92">
        <v>28</v>
      </c>
      <c r="AP92">
        <v>24</v>
      </c>
      <c r="AQ92">
        <v>55</v>
      </c>
      <c r="AR92">
        <v>3963</v>
      </c>
      <c r="AS92">
        <v>8943</v>
      </c>
      <c r="AT92" t="s">
        <v>13</v>
      </c>
      <c r="AU92">
        <v>0.46</v>
      </c>
      <c r="AV92">
        <v>2011</v>
      </c>
      <c r="AW92" s="1">
        <v>45825</v>
      </c>
      <c r="AX92">
        <v>8.6</v>
      </c>
      <c r="AY92" t="s">
        <v>10</v>
      </c>
      <c r="AZ92" t="s">
        <v>17</v>
      </c>
      <c r="BA92" t="s">
        <v>122</v>
      </c>
      <c r="BB92" t="s">
        <v>7</v>
      </c>
      <c r="BC92" t="s">
        <v>7</v>
      </c>
      <c r="BD92">
        <v>3</v>
      </c>
      <c r="BE92" t="s">
        <v>14</v>
      </c>
      <c r="BF92">
        <v>1.1399999999999999</v>
      </c>
    </row>
    <row r="93" spans="1:58" hidden="1" x14ac:dyDescent="0.2">
      <c r="A93">
        <v>92</v>
      </c>
      <c r="B93" t="s">
        <v>0</v>
      </c>
      <c r="C93">
        <v>33</v>
      </c>
      <c r="D93" t="s">
        <v>1</v>
      </c>
      <c r="E93" t="s">
        <v>127</v>
      </c>
      <c r="F93" t="s">
        <v>3</v>
      </c>
      <c r="G93" t="s">
        <v>117</v>
      </c>
      <c r="H93" t="s">
        <v>24</v>
      </c>
      <c r="I93" t="s">
        <v>112</v>
      </c>
      <c r="J93" t="s">
        <v>6</v>
      </c>
      <c r="K93" t="s">
        <v>7</v>
      </c>
      <c r="L93">
        <v>10.5</v>
      </c>
      <c r="M93">
        <v>5</v>
      </c>
      <c r="N93" t="s">
        <v>25</v>
      </c>
      <c r="O93" t="s">
        <v>41</v>
      </c>
      <c r="P93" t="s">
        <v>9</v>
      </c>
      <c r="Q93">
        <v>20</v>
      </c>
      <c r="R93">
        <v>3</v>
      </c>
      <c r="S93">
        <v>26.9</v>
      </c>
      <c r="T93">
        <v>104</v>
      </c>
      <c r="U93">
        <v>62</v>
      </c>
      <c r="V93">
        <v>8076</v>
      </c>
      <c r="W93">
        <v>37.299999999999997</v>
      </c>
      <c r="X93">
        <v>3</v>
      </c>
      <c r="Y93">
        <v>2</v>
      </c>
      <c r="Z93">
        <v>12</v>
      </c>
      <c r="AA93">
        <v>3.1</v>
      </c>
      <c r="AB93">
        <v>3</v>
      </c>
      <c r="AC93">
        <v>258</v>
      </c>
      <c r="AD93">
        <v>9</v>
      </c>
      <c r="AE93">
        <v>3</v>
      </c>
      <c r="AF93">
        <v>192</v>
      </c>
      <c r="AG93">
        <v>126</v>
      </c>
      <c r="AH93">
        <v>146</v>
      </c>
      <c r="AI93">
        <v>47</v>
      </c>
      <c r="AJ93">
        <v>38</v>
      </c>
      <c r="AK93">
        <v>35</v>
      </c>
      <c r="AL93">
        <v>29</v>
      </c>
      <c r="AM93">
        <v>9</v>
      </c>
      <c r="AN93">
        <v>142</v>
      </c>
      <c r="AO93">
        <v>68</v>
      </c>
      <c r="AP93">
        <v>42</v>
      </c>
      <c r="AQ93">
        <v>70</v>
      </c>
      <c r="AR93">
        <v>1786</v>
      </c>
      <c r="AS93">
        <v>2967</v>
      </c>
      <c r="AT93" t="s">
        <v>7</v>
      </c>
      <c r="AU93">
        <v>0.63</v>
      </c>
      <c r="AV93">
        <v>2020</v>
      </c>
      <c r="AW93" s="1">
        <v>45854</v>
      </c>
      <c r="AX93">
        <v>28.7</v>
      </c>
      <c r="AY93" t="s">
        <v>45</v>
      </c>
      <c r="AZ93" t="s">
        <v>31</v>
      </c>
      <c r="BA93" t="s">
        <v>21</v>
      </c>
      <c r="BB93" t="s">
        <v>13</v>
      </c>
      <c r="BC93" t="s">
        <v>13</v>
      </c>
      <c r="BD93">
        <v>2</v>
      </c>
      <c r="BE93" t="s">
        <v>49</v>
      </c>
      <c r="BF93">
        <v>0.96</v>
      </c>
    </row>
    <row r="94" spans="1:58" hidden="1" x14ac:dyDescent="0.2">
      <c r="A94">
        <v>93</v>
      </c>
      <c r="B94" t="s">
        <v>0</v>
      </c>
      <c r="C94">
        <v>28</v>
      </c>
      <c r="D94" t="s">
        <v>1</v>
      </c>
      <c r="E94" t="s">
        <v>50</v>
      </c>
      <c r="F94" t="s">
        <v>40</v>
      </c>
      <c r="G94" t="s">
        <v>16</v>
      </c>
      <c r="H94" t="s">
        <v>118</v>
      </c>
      <c r="I94" t="s">
        <v>115</v>
      </c>
      <c r="J94" t="s">
        <v>123</v>
      </c>
      <c r="K94" t="s">
        <v>13</v>
      </c>
      <c r="L94">
        <v>9.6999999999999993</v>
      </c>
      <c r="M94">
        <v>5.7</v>
      </c>
      <c r="N94" t="s">
        <v>29</v>
      </c>
      <c r="O94" t="s">
        <v>7</v>
      </c>
      <c r="P94" t="s">
        <v>26</v>
      </c>
      <c r="Q94">
        <v>14</v>
      </c>
      <c r="R94">
        <v>4</v>
      </c>
      <c r="S94">
        <v>27.2</v>
      </c>
      <c r="T94">
        <v>134</v>
      </c>
      <c r="U94">
        <v>90</v>
      </c>
      <c r="V94">
        <v>8045</v>
      </c>
      <c r="W94">
        <v>18.2</v>
      </c>
      <c r="X94">
        <v>3</v>
      </c>
      <c r="Y94">
        <v>5</v>
      </c>
      <c r="Z94">
        <v>8</v>
      </c>
      <c r="AA94">
        <v>8.3000000000000007</v>
      </c>
      <c r="AB94">
        <v>3</v>
      </c>
      <c r="AC94">
        <v>181</v>
      </c>
      <c r="AD94">
        <v>7</v>
      </c>
      <c r="AE94">
        <v>2</v>
      </c>
      <c r="AF94">
        <v>233</v>
      </c>
      <c r="AG94">
        <v>82</v>
      </c>
      <c r="AH94">
        <v>105</v>
      </c>
      <c r="AI94">
        <v>21</v>
      </c>
      <c r="AJ94">
        <v>32</v>
      </c>
      <c r="AK94">
        <v>23</v>
      </c>
      <c r="AL94">
        <v>14</v>
      </c>
      <c r="AM94">
        <v>3</v>
      </c>
      <c r="AN94">
        <v>90</v>
      </c>
      <c r="AO94">
        <v>43</v>
      </c>
      <c r="AP94">
        <v>24</v>
      </c>
      <c r="AQ94">
        <v>55</v>
      </c>
      <c r="AR94">
        <v>189</v>
      </c>
      <c r="AS94">
        <v>192</v>
      </c>
      <c r="AT94" t="s">
        <v>13</v>
      </c>
      <c r="AU94">
        <v>0.45</v>
      </c>
      <c r="AV94">
        <v>2012</v>
      </c>
      <c r="AW94" s="1">
        <v>45732</v>
      </c>
      <c r="AX94">
        <v>25.9</v>
      </c>
      <c r="AY94" t="s">
        <v>30</v>
      </c>
      <c r="AZ94" t="s">
        <v>17</v>
      </c>
      <c r="BA94" t="s">
        <v>12</v>
      </c>
      <c r="BB94" t="s">
        <v>7</v>
      </c>
      <c r="BC94" t="s">
        <v>7</v>
      </c>
      <c r="BD94">
        <v>1</v>
      </c>
      <c r="BE94" t="s">
        <v>14</v>
      </c>
      <c r="BF94">
        <v>0.84</v>
      </c>
    </row>
    <row r="95" spans="1:58" hidden="1" x14ac:dyDescent="0.2">
      <c r="A95">
        <v>94</v>
      </c>
      <c r="B95" t="s">
        <v>0</v>
      </c>
      <c r="C95">
        <v>57</v>
      </c>
      <c r="D95" t="s">
        <v>28</v>
      </c>
      <c r="E95" t="s">
        <v>2</v>
      </c>
      <c r="F95" t="s">
        <v>15</v>
      </c>
      <c r="G95" t="s">
        <v>116</v>
      </c>
      <c r="H95" t="s">
        <v>118</v>
      </c>
      <c r="I95" t="s">
        <v>114</v>
      </c>
      <c r="J95" t="s">
        <v>32</v>
      </c>
      <c r="K95" t="s">
        <v>13</v>
      </c>
      <c r="L95">
        <v>0.3</v>
      </c>
      <c r="M95">
        <v>7.7</v>
      </c>
      <c r="N95" t="s">
        <v>8</v>
      </c>
      <c r="O95" t="s">
        <v>13</v>
      </c>
      <c r="P95" t="s">
        <v>26</v>
      </c>
      <c r="Q95">
        <v>1</v>
      </c>
      <c r="R95">
        <v>6</v>
      </c>
      <c r="S95">
        <v>20.8</v>
      </c>
      <c r="T95">
        <v>153</v>
      </c>
      <c r="U95">
        <v>69</v>
      </c>
      <c r="V95">
        <v>7865</v>
      </c>
      <c r="W95">
        <v>50</v>
      </c>
      <c r="X95">
        <v>3</v>
      </c>
      <c r="Y95">
        <v>6</v>
      </c>
      <c r="Z95">
        <v>7</v>
      </c>
      <c r="AA95">
        <v>2.2999999999999998</v>
      </c>
      <c r="AB95">
        <v>1</v>
      </c>
      <c r="AC95">
        <v>5</v>
      </c>
      <c r="AD95">
        <v>1</v>
      </c>
      <c r="AE95">
        <v>4</v>
      </c>
      <c r="AF95">
        <v>45</v>
      </c>
      <c r="AG95">
        <v>33</v>
      </c>
      <c r="AH95">
        <v>26</v>
      </c>
      <c r="AI95">
        <v>5</v>
      </c>
      <c r="AJ95">
        <v>16</v>
      </c>
      <c r="AK95">
        <v>9</v>
      </c>
      <c r="AL95">
        <v>3</v>
      </c>
      <c r="AM95">
        <v>2</v>
      </c>
      <c r="AN95">
        <v>2</v>
      </c>
      <c r="AO95">
        <v>1</v>
      </c>
      <c r="AP95">
        <v>1</v>
      </c>
      <c r="AQ95">
        <v>1</v>
      </c>
      <c r="AR95">
        <v>5983</v>
      </c>
      <c r="AS95">
        <v>8155</v>
      </c>
      <c r="AT95" t="s">
        <v>7</v>
      </c>
      <c r="AU95">
        <v>0.27</v>
      </c>
      <c r="AV95">
        <v>2010</v>
      </c>
      <c r="AW95" s="1">
        <v>45779</v>
      </c>
      <c r="AX95">
        <v>5</v>
      </c>
      <c r="AY95" t="s">
        <v>36</v>
      </c>
      <c r="AZ95" t="s">
        <v>51</v>
      </c>
      <c r="BA95" t="s">
        <v>21</v>
      </c>
      <c r="BB95" t="s">
        <v>13</v>
      </c>
      <c r="BC95" t="s">
        <v>7</v>
      </c>
      <c r="BD95">
        <v>0</v>
      </c>
      <c r="BE95" t="s">
        <v>14</v>
      </c>
      <c r="BF95">
        <v>8</v>
      </c>
    </row>
    <row r="96" spans="1:58" hidden="1" x14ac:dyDescent="0.2">
      <c r="A96">
        <v>95</v>
      </c>
      <c r="B96" t="s">
        <v>0</v>
      </c>
      <c r="C96">
        <v>30</v>
      </c>
      <c r="D96" t="s">
        <v>28</v>
      </c>
      <c r="E96" t="s">
        <v>47</v>
      </c>
      <c r="F96" t="s">
        <v>40</v>
      </c>
      <c r="G96" t="s">
        <v>16</v>
      </c>
      <c r="H96" t="s">
        <v>34</v>
      </c>
      <c r="I96" t="s">
        <v>112</v>
      </c>
      <c r="J96" t="s">
        <v>6</v>
      </c>
      <c r="K96" t="s">
        <v>7</v>
      </c>
      <c r="L96">
        <v>5.6</v>
      </c>
      <c r="M96">
        <v>5.4</v>
      </c>
      <c r="N96" t="s">
        <v>29</v>
      </c>
      <c r="O96" t="s">
        <v>7</v>
      </c>
      <c r="P96" t="s">
        <v>26</v>
      </c>
      <c r="Q96">
        <v>17</v>
      </c>
      <c r="R96">
        <v>7</v>
      </c>
      <c r="S96">
        <v>28.5</v>
      </c>
      <c r="T96">
        <v>154</v>
      </c>
      <c r="U96">
        <v>84</v>
      </c>
      <c r="V96">
        <v>8079</v>
      </c>
      <c r="W96">
        <v>37.6</v>
      </c>
      <c r="X96">
        <v>6</v>
      </c>
      <c r="Y96">
        <v>4</v>
      </c>
      <c r="Z96">
        <v>8</v>
      </c>
      <c r="AA96">
        <v>6.6</v>
      </c>
      <c r="AB96">
        <v>4</v>
      </c>
      <c r="AC96">
        <v>191</v>
      </c>
      <c r="AD96">
        <v>7</v>
      </c>
      <c r="AE96">
        <v>4</v>
      </c>
      <c r="AF96">
        <v>176</v>
      </c>
      <c r="AG96">
        <v>94</v>
      </c>
      <c r="AH96">
        <v>123</v>
      </c>
      <c r="AI96">
        <v>44</v>
      </c>
      <c r="AJ96">
        <v>31</v>
      </c>
      <c r="AK96">
        <v>28</v>
      </c>
      <c r="AL96">
        <v>19</v>
      </c>
      <c r="AM96">
        <v>3</v>
      </c>
      <c r="AN96">
        <v>82</v>
      </c>
      <c r="AO96">
        <v>35</v>
      </c>
      <c r="AP96">
        <v>27</v>
      </c>
      <c r="AQ96">
        <v>75</v>
      </c>
      <c r="AR96">
        <v>450</v>
      </c>
      <c r="AS96">
        <v>577</v>
      </c>
      <c r="AT96" t="s">
        <v>7</v>
      </c>
      <c r="AU96">
        <v>0.99</v>
      </c>
      <c r="AV96">
        <v>2015</v>
      </c>
      <c r="AW96" s="1">
        <v>45810</v>
      </c>
      <c r="AX96">
        <v>27.3</v>
      </c>
      <c r="AY96" t="s">
        <v>19</v>
      </c>
      <c r="AZ96" t="s">
        <v>51</v>
      </c>
      <c r="BA96" t="s">
        <v>12</v>
      </c>
      <c r="BB96" t="s">
        <v>13</v>
      </c>
      <c r="BC96" t="s">
        <v>7</v>
      </c>
      <c r="BD96">
        <v>2</v>
      </c>
      <c r="BE96" t="s">
        <v>14</v>
      </c>
      <c r="BF96">
        <v>1.1599999999999999</v>
      </c>
    </row>
    <row r="97" spans="1:58" hidden="1" x14ac:dyDescent="0.2">
      <c r="A97">
        <v>96</v>
      </c>
      <c r="B97" t="s">
        <v>0</v>
      </c>
      <c r="C97">
        <v>59</v>
      </c>
      <c r="D97" t="s">
        <v>28</v>
      </c>
      <c r="E97" t="s">
        <v>47</v>
      </c>
      <c r="F97" t="s">
        <v>15</v>
      </c>
      <c r="G97" t="s">
        <v>16</v>
      </c>
      <c r="H97" t="s">
        <v>34</v>
      </c>
      <c r="I97" t="s">
        <v>114</v>
      </c>
      <c r="J97" t="s">
        <v>32</v>
      </c>
      <c r="K97" t="s">
        <v>7</v>
      </c>
      <c r="L97">
        <v>4.2</v>
      </c>
      <c r="M97">
        <v>8.3000000000000007</v>
      </c>
      <c r="N97" t="s">
        <v>29</v>
      </c>
      <c r="O97" t="s">
        <v>7</v>
      </c>
      <c r="P97" t="s">
        <v>26</v>
      </c>
      <c r="Q97">
        <v>26</v>
      </c>
      <c r="R97">
        <v>2</v>
      </c>
      <c r="S97">
        <v>17.399999999999999</v>
      </c>
      <c r="T97">
        <v>121</v>
      </c>
      <c r="U97">
        <v>63</v>
      </c>
      <c r="V97">
        <v>8101</v>
      </c>
      <c r="W97">
        <v>42.1</v>
      </c>
      <c r="X97">
        <v>2</v>
      </c>
      <c r="Y97">
        <v>1</v>
      </c>
      <c r="Z97">
        <v>8</v>
      </c>
      <c r="AA97">
        <v>4.3</v>
      </c>
      <c r="AB97">
        <v>5</v>
      </c>
      <c r="AC97">
        <v>259</v>
      </c>
      <c r="AD97">
        <v>26</v>
      </c>
      <c r="AE97">
        <v>6</v>
      </c>
      <c r="AF97">
        <v>185</v>
      </c>
      <c r="AG97">
        <v>144</v>
      </c>
      <c r="AH97">
        <v>158</v>
      </c>
      <c r="AI97">
        <v>55</v>
      </c>
      <c r="AJ97">
        <v>37</v>
      </c>
      <c r="AK97">
        <v>43</v>
      </c>
      <c r="AL97">
        <v>26</v>
      </c>
      <c r="AM97">
        <v>5</v>
      </c>
      <c r="AN97">
        <v>109</v>
      </c>
      <c r="AO97">
        <v>47</v>
      </c>
      <c r="AP97">
        <v>30</v>
      </c>
      <c r="AQ97">
        <v>66</v>
      </c>
      <c r="AR97">
        <v>726</v>
      </c>
      <c r="AS97">
        <v>1036</v>
      </c>
      <c r="AT97" t="s">
        <v>7</v>
      </c>
      <c r="AU97">
        <v>0.95</v>
      </c>
      <c r="AV97">
        <v>2020</v>
      </c>
      <c r="AW97" s="1">
        <v>45771</v>
      </c>
      <c r="AX97">
        <v>10</v>
      </c>
      <c r="AY97" t="s">
        <v>45</v>
      </c>
      <c r="AZ97" t="s">
        <v>51</v>
      </c>
      <c r="BA97" t="s">
        <v>12</v>
      </c>
      <c r="BB97" t="s">
        <v>7</v>
      </c>
      <c r="BC97" t="s">
        <v>7</v>
      </c>
      <c r="BD97">
        <v>0</v>
      </c>
      <c r="BE97" t="s">
        <v>14</v>
      </c>
      <c r="BF97">
        <v>1.1000000000000001</v>
      </c>
    </row>
    <row r="98" spans="1:58" hidden="1" x14ac:dyDescent="0.2">
      <c r="A98">
        <v>97</v>
      </c>
      <c r="B98" t="s">
        <v>0</v>
      </c>
      <c r="C98">
        <v>65</v>
      </c>
      <c r="D98" t="s">
        <v>28</v>
      </c>
      <c r="E98" t="s">
        <v>128</v>
      </c>
      <c r="F98" t="s">
        <v>15</v>
      </c>
      <c r="G98" t="s">
        <v>16</v>
      </c>
      <c r="H98" t="s">
        <v>5</v>
      </c>
      <c r="I98" t="s">
        <v>115</v>
      </c>
      <c r="J98" t="s">
        <v>6</v>
      </c>
      <c r="K98" t="s">
        <v>7</v>
      </c>
      <c r="L98">
        <v>5.9</v>
      </c>
      <c r="M98">
        <v>6.8</v>
      </c>
      <c r="N98" t="s">
        <v>8</v>
      </c>
      <c r="O98" t="s">
        <v>7</v>
      </c>
      <c r="P98" t="s">
        <v>9</v>
      </c>
      <c r="Q98">
        <v>1</v>
      </c>
      <c r="R98">
        <v>5</v>
      </c>
      <c r="S98">
        <v>21.7</v>
      </c>
      <c r="T98">
        <v>136</v>
      </c>
      <c r="U98">
        <v>61</v>
      </c>
      <c r="V98">
        <v>8121</v>
      </c>
      <c r="W98">
        <v>50.7</v>
      </c>
      <c r="X98">
        <v>2</v>
      </c>
      <c r="Y98">
        <v>3</v>
      </c>
      <c r="Z98">
        <v>13</v>
      </c>
      <c r="AA98">
        <v>4.7</v>
      </c>
      <c r="AB98">
        <v>2</v>
      </c>
      <c r="AC98">
        <v>5</v>
      </c>
      <c r="AD98">
        <v>1</v>
      </c>
      <c r="AE98">
        <v>2</v>
      </c>
      <c r="AF98">
        <v>47</v>
      </c>
      <c r="AG98">
        <v>42</v>
      </c>
      <c r="AH98">
        <v>27</v>
      </c>
      <c r="AI98">
        <v>4</v>
      </c>
      <c r="AJ98">
        <v>10</v>
      </c>
      <c r="AK98">
        <v>9</v>
      </c>
      <c r="AL98">
        <v>4</v>
      </c>
      <c r="AM98">
        <v>2</v>
      </c>
      <c r="AN98">
        <v>3</v>
      </c>
      <c r="AO98">
        <v>1</v>
      </c>
      <c r="AP98">
        <v>1</v>
      </c>
      <c r="AQ98">
        <v>2</v>
      </c>
      <c r="AR98">
        <v>4773</v>
      </c>
      <c r="AS98">
        <v>10000</v>
      </c>
      <c r="AT98" t="s">
        <v>7</v>
      </c>
      <c r="AU98">
        <v>0.75</v>
      </c>
      <c r="AV98">
        <v>2024</v>
      </c>
      <c r="AW98" s="1">
        <v>45826</v>
      </c>
      <c r="AX98">
        <v>5</v>
      </c>
      <c r="AY98" t="s">
        <v>36</v>
      </c>
      <c r="AZ98" t="s">
        <v>48</v>
      </c>
      <c r="BA98" t="s">
        <v>21</v>
      </c>
      <c r="BB98" t="s">
        <v>13</v>
      </c>
      <c r="BC98" t="s">
        <v>13</v>
      </c>
      <c r="BD98">
        <v>0</v>
      </c>
      <c r="BE98" t="s">
        <v>43</v>
      </c>
      <c r="BF98">
        <v>6.83</v>
      </c>
    </row>
    <row r="99" spans="1:58" hidden="1" x14ac:dyDescent="0.2">
      <c r="A99">
        <v>98</v>
      </c>
      <c r="B99" t="s">
        <v>0</v>
      </c>
      <c r="C99">
        <v>36</v>
      </c>
      <c r="D99" t="s">
        <v>28</v>
      </c>
      <c r="E99" t="s">
        <v>126</v>
      </c>
      <c r="F99" t="s">
        <v>3</v>
      </c>
      <c r="G99" t="s">
        <v>117</v>
      </c>
      <c r="H99" t="s">
        <v>118</v>
      </c>
      <c r="I99" t="s">
        <v>114</v>
      </c>
      <c r="J99" t="s">
        <v>6</v>
      </c>
      <c r="K99" t="s">
        <v>7</v>
      </c>
      <c r="L99">
        <v>1.8</v>
      </c>
      <c r="M99">
        <v>7.8</v>
      </c>
      <c r="N99" t="s">
        <v>39</v>
      </c>
      <c r="O99" t="s">
        <v>7</v>
      </c>
      <c r="P99" t="s">
        <v>26</v>
      </c>
      <c r="Q99">
        <v>36</v>
      </c>
      <c r="R99">
        <v>7</v>
      </c>
      <c r="S99">
        <v>21.7</v>
      </c>
      <c r="T99">
        <v>97</v>
      </c>
      <c r="U99">
        <v>76</v>
      </c>
      <c r="V99">
        <v>7907</v>
      </c>
      <c r="W99">
        <v>35.4</v>
      </c>
      <c r="X99">
        <v>2</v>
      </c>
      <c r="Y99">
        <v>4</v>
      </c>
      <c r="Z99">
        <v>15</v>
      </c>
      <c r="AA99">
        <v>2.9</v>
      </c>
      <c r="AB99">
        <v>2</v>
      </c>
      <c r="AC99">
        <v>204</v>
      </c>
      <c r="AD99">
        <v>12</v>
      </c>
      <c r="AE99">
        <v>6</v>
      </c>
      <c r="AF99">
        <v>153</v>
      </c>
      <c r="AG99">
        <v>101</v>
      </c>
      <c r="AH99">
        <v>120</v>
      </c>
      <c r="AI99">
        <v>32</v>
      </c>
      <c r="AJ99">
        <v>33</v>
      </c>
      <c r="AK99">
        <v>28</v>
      </c>
      <c r="AL99">
        <v>21</v>
      </c>
      <c r="AM99">
        <v>5</v>
      </c>
      <c r="AN99">
        <v>122</v>
      </c>
      <c r="AO99">
        <v>52</v>
      </c>
      <c r="AP99">
        <v>32</v>
      </c>
      <c r="AQ99">
        <v>68</v>
      </c>
      <c r="AR99">
        <v>364</v>
      </c>
      <c r="AS99">
        <v>518</v>
      </c>
      <c r="AT99" t="s">
        <v>13</v>
      </c>
      <c r="AU99">
        <v>0.27</v>
      </c>
      <c r="AV99">
        <v>2017</v>
      </c>
      <c r="AW99" s="1">
        <v>45797</v>
      </c>
      <c r="AX99">
        <v>17</v>
      </c>
      <c r="AY99" t="s">
        <v>27</v>
      </c>
      <c r="AZ99" t="s">
        <v>48</v>
      </c>
      <c r="BA99" t="s">
        <v>122</v>
      </c>
      <c r="BB99" t="s">
        <v>7</v>
      </c>
      <c r="BC99" t="s">
        <v>13</v>
      </c>
      <c r="BD99">
        <v>2</v>
      </c>
      <c r="BE99" t="s">
        <v>14</v>
      </c>
      <c r="BF99">
        <v>0.99</v>
      </c>
    </row>
    <row r="100" spans="1:58" hidden="1" x14ac:dyDescent="0.2">
      <c r="A100">
        <v>99</v>
      </c>
      <c r="B100" t="s">
        <v>0</v>
      </c>
      <c r="C100">
        <v>38</v>
      </c>
      <c r="D100" t="s">
        <v>1</v>
      </c>
      <c r="E100" t="s">
        <v>128</v>
      </c>
      <c r="F100" t="s">
        <v>15</v>
      </c>
      <c r="G100" t="s">
        <v>16</v>
      </c>
      <c r="H100" t="s">
        <v>34</v>
      </c>
      <c r="I100" t="s">
        <v>115</v>
      </c>
      <c r="J100" t="s">
        <v>123</v>
      </c>
      <c r="K100" t="s">
        <v>7</v>
      </c>
      <c r="L100">
        <v>4.0999999999999996</v>
      </c>
      <c r="M100">
        <v>6.8</v>
      </c>
      <c r="N100" t="s">
        <v>29</v>
      </c>
      <c r="O100" t="s">
        <v>7</v>
      </c>
      <c r="P100" t="s">
        <v>26</v>
      </c>
      <c r="Q100">
        <v>11</v>
      </c>
      <c r="R100">
        <v>4</v>
      </c>
      <c r="S100">
        <v>26.4</v>
      </c>
      <c r="T100">
        <v>94</v>
      </c>
      <c r="U100">
        <v>96</v>
      </c>
      <c r="V100">
        <v>7802</v>
      </c>
      <c r="W100">
        <v>45.1</v>
      </c>
      <c r="X100">
        <v>6</v>
      </c>
      <c r="Y100">
        <v>3</v>
      </c>
      <c r="Z100">
        <v>6</v>
      </c>
      <c r="AA100">
        <v>3.3</v>
      </c>
      <c r="AB100">
        <v>5</v>
      </c>
      <c r="AC100">
        <v>126</v>
      </c>
      <c r="AD100">
        <v>6</v>
      </c>
      <c r="AE100">
        <v>1</v>
      </c>
      <c r="AF100">
        <v>118</v>
      </c>
      <c r="AG100">
        <v>68</v>
      </c>
      <c r="AH100">
        <v>85</v>
      </c>
      <c r="AI100">
        <v>18</v>
      </c>
      <c r="AJ100">
        <v>25</v>
      </c>
      <c r="AK100">
        <v>18</v>
      </c>
      <c r="AL100">
        <v>18</v>
      </c>
      <c r="AM100">
        <v>5</v>
      </c>
      <c r="AN100">
        <v>57</v>
      </c>
      <c r="AO100">
        <v>38</v>
      </c>
      <c r="AP100">
        <v>29</v>
      </c>
      <c r="AQ100">
        <v>50</v>
      </c>
      <c r="AR100">
        <v>2918</v>
      </c>
      <c r="AS100">
        <v>4602</v>
      </c>
      <c r="AT100" t="s">
        <v>7</v>
      </c>
      <c r="AU100">
        <v>0.41</v>
      </c>
      <c r="AV100">
        <v>2020</v>
      </c>
      <c r="AW100" s="1">
        <v>45788</v>
      </c>
      <c r="AX100">
        <v>21</v>
      </c>
      <c r="AY100" t="s">
        <v>45</v>
      </c>
      <c r="AZ100" t="s">
        <v>17</v>
      </c>
      <c r="BA100" t="s">
        <v>122</v>
      </c>
      <c r="BB100" t="s">
        <v>13</v>
      </c>
      <c r="BC100" t="s">
        <v>7</v>
      </c>
      <c r="BD100">
        <v>0</v>
      </c>
      <c r="BE100" t="s">
        <v>14</v>
      </c>
      <c r="BF100">
        <v>0.98</v>
      </c>
    </row>
    <row r="101" spans="1:58" hidden="1" x14ac:dyDescent="0.2">
      <c r="A101">
        <v>100</v>
      </c>
      <c r="B101" t="s">
        <v>0</v>
      </c>
      <c r="C101">
        <v>37</v>
      </c>
      <c r="D101" t="s">
        <v>125</v>
      </c>
      <c r="E101" t="s">
        <v>33</v>
      </c>
      <c r="F101" t="s">
        <v>3</v>
      </c>
      <c r="G101" t="s">
        <v>16</v>
      </c>
      <c r="H101" t="s">
        <v>118</v>
      </c>
      <c r="I101" t="s">
        <v>114</v>
      </c>
      <c r="J101" t="s">
        <v>32</v>
      </c>
      <c r="K101" t="s">
        <v>7</v>
      </c>
      <c r="L101">
        <v>5.6</v>
      </c>
      <c r="M101">
        <v>7.4</v>
      </c>
      <c r="N101" t="s">
        <v>29</v>
      </c>
      <c r="O101" t="s">
        <v>7</v>
      </c>
      <c r="P101" t="s">
        <v>46</v>
      </c>
      <c r="Q101">
        <v>24</v>
      </c>
      <c r="R101">
        <v>4</v>
      </c>
      <c r="S101">
        <v>25.8</v>
      </c>
      <c r="T101">
        <v>131</v>
      </c>
      <c r="U101">
        <v>98</v>
      </c>
      <c r="V101">
        <v>7783</v>
      </c>
      <c r="W101">
        <v>43.7</v>
      </c>
      <c r="X101">
        <v>2</v>
      </c>
      <c r="Y101">
        <v>2</v>
      </c>
      <c r="Z101">
        <v>10</v>
      </c>
      <c r="AA101">
        <v>5.0999999999999996</v>
      </c>
      <c r="AB101">
        <v>3</v>
      </c>
      <c r="AC101">
        <v>170</v>
      </c>
      <c r="AD101">
        <v>8</v>
      </c>
      <c r="AE101">
        <v>2</v>
      </c>
      <c r="AF101">
        <v>142</v>
      </c>
      <c r="AG101">
        <v>92</v>
      </c>
      <c r="AH101">
        <v>114</v>
      </c>
      <c r="AI101">
        <v>29</v>
      </c>
      <c r="AJ101">
        <v>21</v>
      </c>
      <c r="AK101">
        <v>24</v>
      </c>
      <c r="AL101">
        <v>11</v>
      </c>
      <c r="AM101">
        <v>3</v>
      </c>
      <c r="AN101">
        <v>100</v>
      </c>
      <c r="AO101">
        <v>22</v>
      </c>
      <c r="AP101">
        <v>25</v>
      </c>
      <c r="AQ101">
        <v>54</v>
      </c>
      <c r="AR101">
        <v>172</v>
      </c>
      <c r="AS101">
        <v>76</v>
      </c>
      <c r="AT101" t="s">
        <v>7</v>
      </c>
      <c r="AU101">
        <v>0.73</v>
      </c>
      <c r="AV101">
        <v>2015</v>
      </c>
      <c r="AW101" s="1">
        <v>45760</v>
      </c>
      <c r="AX101">
        <v>21.2</v>
      </c>
      <c r="AY101" t="s">
        <v>19</v>
      </c>
      <c r="AZ101" t="s">
        <v>31</v>
      </c>
      <c r="BA101" t="s">
        <v>21</v>
      </c>
      <c r="BB101" t="s">
        <v>7</v>
      </c>
      <c r="BC101" t="s">
        <v>13</v>
      </c>
      <c r="BD101">
        <v>1</v>
      </c>
      <c r="BE101" t="s">
        <v>49</v>
      </c>
      <c r="BF101">
        <v>1.04</v>
      </c>
    </row>
    <row r="102" spans="1:58" hidden="1" x14ac:dyDescent="0.2">
      <c r="A102">
        <v>101</v>
      </c>
      <c r="B102" t="s">
        <v>0</v>
      </c>
      <c r="C102">
        <v>57</v>
      </c>
      <c r="D102" t="s">
        <v>28</v>
      </c>
      <c r="E102" t="s">
        <v>128</v>
      </c>
      <c r="F102" t="s">
        <v>15</v>
      </c>
      <c r="G102" t="s">
        <v>38</v>
      </c>
      <c r="H102" t="s">
        <v>34</v>
      </c>
      <c r="I102" t="s">
        <v>114</v>
      </c>
      <c r="J102" t="s">
        <v>123</v>
      </c>
      <c r="K102" t="s">
        <v>7</v>
      </c>
      <c r="L102">
        <v>4</v>
      </c>
      <c r="M102">
        <v>7.9</v>
      </c>
      <c r="N102" t="s">
        <v>29</v>
      </c>
      <c r="O102" t="s">
        <v>7</v>
      </c>
      <c r="P102" t="s">
        <v>9</v>
      </c>
      <c r="Q102">
        <v>11</v>
      </c>
      <c r="R102">
        <v>3</v>
      </c>
      <c r="S102">
        <v>26.5</v>
      </c>
      <c r="T102">
        <v>127</v>
      </c>
      <c r="U102">
        <v>72</v>
      </c>
      <c r="V102">
        <v>8126</v>
      </c>
      <c r="W102">
        <v>12.7</v>
      </c>
      <c r="X102">
        <v>1</v>
      </c>
      <c r="Y102">
        <v>3</v>
      </c>
      <c r="Z102">
        <v>5</v>
      </c>
      <c r="AA102">
        <v>1.4</v>
      </c>
      <c r="AB102">
        <v>0</v>
      </c>
      <c r="AC102">
        <v>211</v>
      </c>
      <c r="AD102">
        <v>10</v>
      </c>
      <c r="AE102">
        <v>5</v>
      </c>
      <c r="AF102">
        <v>177</v>
      </c>
      <c r="AG102">
        <v>126</v>
      </c>
      <c r="AH102">
        <v>122</v>
      </c>
      <c r="AI102">
        <v>36</v>
      </c>
      <c r="AJ102">
        <v>27</v>
      </c>
      <c r="AK102">
        <v>30</v>
      </c>
      <c r="AL102">
        <v>22</v>
      </c>
      <c r="AM102">
        <v>3</v>
      </c>
      <c r="AN102">
        <v>124</v>
      </c>
      <c r="AO102">
        <v>62</v>
      </c>
      <c r="AP102">
        <v>29</v>
      </c>
      <c r="AQ102">
        <v>67</v>
      </c>
      <c r="AR102">
        <v>777</v>
      </c>
      <c r="AS102">
        <v>1686</v>
      </c>
      <c r="AT102" t="s">
        <v>7</v>
      </c>
      <c r="AU102">
        <v>0.44</v>
      </c>
      <c r="AV102">
        <v>2017</v>
      </c>
      <c r="AW102" s="1">
        <v>45989</v>
      </c>
      <c r="AX102">
        <v>21.1</v>
      </c>
      <c r="AY102" t="s">
        <v>30</v>
      </c>
      <c r="AZ102" t="s">
        <v>51</v>
      </c>
      <c r="BA102" t="s">
        <v>21</v>
      </c>
      <c r="BB102" t="s">
        <v>13</v>
      </c>
      <c r="BC102" t="s">
        <v>13</v>
      </c>
      <c r="BD102">
        <v>4</v>
      </c>
      <c r="BE102" t="s">
        <v>49</v>
      </c>
      <c r="BF102">
        <v>0.99</v>
      </c>
    </row>
    <row r="103" spans="1:58" hidden="1" x14ac:dyDescent="0.2">
      <c r="A103">
        <v>102</v>
      </c>
      <c r="B103" t="s">
        <v>0</v>
      </c>
      <c r="C103">
        <v>53</v>
      </c>
      <c r="D103" t="s">
        <v>28</v>
      </c>
      <c r="E103" t="s">
        <v>2</v>
      </c>
      <c r="F103" t="s">
        <v>3</v>
      </c>
      <c r="G103" t="s">
        <v>38</v>
      </c>
      <c r="H103" t="s">
        <v>118</v>
      </c>
      <c r="I103" t="s">
        <v>115</v>
      </c>
      <c r="J103" t="s">
        <v>123</v>
      </c>
      <c r="K103" t="s">
        <v>7</v>
      </c>
      <c r="L103">
        <v>6.6</v>
      </c>
      <c r="M103">
        <v>6.9</v>
      </c>
      <c r="N103" t="s">
        <v>39</v>
      </c>
      <c r="O103" t="s">
        <v>7</v>
      </c>
      <c r="P103" t="s">
        <v>46</v>
      </c>
      <c r="Q103">
        <v>40</v>
      </c>
      <c r="R103">
        <v>4</v>
      </c>
      <c r="S103">
        <v>27.6</v>
      </c>
      <c r="T103">
        <v>139</v>
      </c>
      <c r="U103">
        <v>73</v>
      </c>
      <c r="V103">
        <v>7902</v>
      </c>
      <c r="W103">
        <v>39.6</v>
      </c>
      <c r="X103">
        <v>4</v>
      </c>
      <c r="Y103">
        <v>3</v>
      </c>
      <c r="Z103">
        <v>12</v>
      </c>
      <c r="AA103">
        <v>5.8</v>
      </c>
      <c r="AB103">
        <v>0</v>
      </c>
      <c r="AC103">
        <v>329</v>
      </c>
      <c r="AD103">
        <v>16</v>
      </c>
      <c r="AE103">
        <v>7</v>
      </c>
      <c r="AF103">
        <v>230</v>
      </c>
      <c r="AG103">
        <v>150</v>
      </c>
      <c r="AH103">
        <v>191</v>
      </c>
      <c r="AI103">
        <v>53</v>
      </c>
      <c r="AJ103">
        <v>42</v>
      </c>
      <c r="AK103">
        <v>45</v>
      </c>
      <c r="AL103">
        <v>32</v>
      </c>
      <c r="AM103">
        <v>11</v>
      </c>
      <c r="AN103">
        <v>170</v>
      </c>
      <c r="AO103">
        <v>86</v>
      </c>
      <c r="AP103">
        <v>35</v>
      </c>
      <c r="AQ103">
        <v>75</v>
      </c>
      <c r="AR103">
        <v>14397</v>
      </c>
      <c r="AS103">
        <v>10000</v>
      </c>
      <c r="AT103" t="s">
        <v>7</v>
      </c>
      <c r="AU103">
        <v>0.87</v>
      </c>
      <c r="AV103">
        <v>2017</v>
      </c>
      <c r="AW103" s="1">
        <v>45896</v>
      </c>
      <c r="AX103">
        <v>20.6</v>
      </c>
      <c r="AY103" t="s">
        <v>36</v>
      </c>
      <c r="AZ103" t="s">
        <v>37</v>
      </c>
      <c r="BA103" t="s">
        <v>12</v>
      </c>
      <c r="BB103" t="s">
        <v>13</v>
      </c>
      <c r="BC103" t="s">
        <v>7</v>
      </c>
      <c r="BD103">
        <v>1</v>
      </c>
      <c r="BE103" t="s">
        <v>43</v>
      </c>
      <c r="BF103">
        <v>0.96</v>
      </c>
    </row>
    <row r="104" spans="1:58" hidden="1" x14ac:dyDescent="0.2">
      <c r="A104">
        <v>103</v>
      </c>
      <c r="B104" t="s">
        <v>0</v>
      </c>
      <c r="C104">
        <v>41</v>
      </c>
      <c r="D104" t="s">
        <v>28</v>
      </c>
      <c r="E104" t="s">
        <v>126</v>
      </c>
      <c r="F104" t="s">
        <v>40</v>
      </c>
      <c r="G104" t="s">
        <v>16</v>
      </c>
      <c r="H104" t="s">
        <v>5</v>
      </c>
      <c r="I104" t="s">
        <v>115</v>
      </c>
      <c r="J104" t="s">
        <v>6</v>
      </c>
      <c r="K104" t="s">
        <v>13</v>
      </c>
      <c r="L104">
        <v>8.1999999999999993</v>
      </c>
      <c r="M104">
        <v>7.6</v>
      </c>
      <c r="N104" t="s">
        <v>29</v>
      </c>
      <c r="O104" t="s">
        <v>7</v>
      </c>
      <c r="P104" t="s">
        <v>26</v>
      </c>
      <c r="Q104">
        <v>24</v>
      </c>
      <c r="R104">
        <v>6</v>
      </c>
      <c r="S104">
        <v>19.7</v>
      </c>
      <c r="T104">
        <v>150</v>
      </c>
      <c r="U104">
        <v>69</v>
      </c>
      <c r="V104">
        <v>8080</v>
      </c>
      <c r="W104">
        <v>43</v>
      </c>
      <c r="X104">
        <v>6</v>
      </c>
      <c r="Y104">
        <v>4</v>
      </c>
      <c r="Z104">
        <v>10</v>
      </c>
      <c r="AA104">
        <v>3.1</v>
      </c>
      <c r="AB104">
        <v>3</v>
      </c>
      <c r="AC104">
        <v>201</v>
      </c>
      <c r="AD104">
        <v>22</v>
      </c>
      <c r="AE104">
        <v>4</v>
      </c>
      <c r="AF104">
        <v>163</v>
      </c>
      <c r="AG104">
        <v>136</v>
      </c>
      <c r="AH104">
        <v>112</v>
      </c>
      <c r="AI104">
        <v>48</v>
      </c>
      <c r="AJ104">
        <v>29</v>
      </c>
      <c r="AK104">
        <v>40</v>
      </c>
      <c r="AL104">
        <v>19</v>
      </c>
      <c r="AM104">
        <v>4</v>
      </c>
      <c r="AN104">
        <v>87</v>
      </c>
      <c r="AO104">
        <v>59</v>
      </c>
      <c r="AP104">
        <v>40</v>
      </c>
      <c r="AQ104">
        <v>46</v>
      </c>
      <c r="AR104">
        <v>366</v>
      </c>
      <c r="AS104">
        <v>547</v>
      </c>
      <c r="AT104" t="s">
        <v>7</v>
      </c>
      <c r="AU104">
        <v>0.99</v>
      </c>
      <c r="AV104">
        <v>2025</v>
      </c>
      <c r="AW104" s="1">
        <v>46011</v>
      </c>
      <c r="AX104">
        <v>9.1</v>
      </c>
      <c r="AY104" t="s">
        <v>10</v>
      </c>
      <c r="AZ104" t="s">
        <v>51</v>
      </c>
      <c r="BA104" t="s">
        <v>122</v>
      </c>
      <c r="BB104" t="s">
        <v>7</v>
      </c>
      <c r="BC104" t="s">
        <v>7</v>
      </c>
      <c r="BD104">
        <v>0</v>
      </c>
      <c r="BE104" t="s">
        <v>14</v>
      </c>
      <c r="BF104">
        <v>1.0900000000000001</v>
      </c>
    </row>
    <row r="105" spans="1:58" hidden="1" x14ac:dyDescent="0.2">
      <c r="A105">
        <v>104</v>
      </c>
      <c r="B105" t="s">
        <v>0</v>
      </c>
      <c r="C105">
        <v>27</v>
      </c>
      <c r="D105" t="s">
        <v>1</v>
      </c>
      <c r="E105" t="s">
        <v>2</v>
      </c>
      <c r="F105" t="s">
        <v>3</v>
      </c>
      <c r="G105" t="s">
        <v>16</v>
      </c>
      <c r="H105" t="s">
        <v>34</v>
      </c>
      <c r="I105" t="s">
        <v>113</v>
      </c>
      <c r="J105" t="s">
        <v>32</v>
      </c>
      <c r="K105" t="s">
        <v>7</v>
      </c>
      <c r="L105">
        <v>4.7</v>
      </c>
      <c r="M105">
        <v>7.4</v>
      </c>
      <c r="N105" t="s">
        <v>8</v>
      </c>
      <c r="O105" t="s">
        <v>7</v>
      </c>
      <c r="P105" t="s">
        <v>9</v>
      </c>
      <c r="Q105">
        <v>34</v>
      </c>
      <c r="R105">
        <v>1</v>
      </c>
      <c r="S105">
        <v>24.1</v>
      </c>
      <c r="T105">
        <v>133</v>
      </c>
      <c r="U105">
        <v>87</v>
      </c>
      <c r="V105">
        <v>7960</v>
      </c>
      <c r="W105">
        <v>48.8</v>
      </c>
      <c r="X105">
        <v>2</v>
      </c>
      <c r="Y105">
        <v>5</v>
      </c>
      <c r="Z105">
        <v>14</v>
      </c>
      <c r="AA105">
        <v>2.7</v>
      </c>
      <c r="AB105">
        <v>4</v>
      </c>
      <c r="AC105">
        <v>366</v>
      </c>
      <c r="AD105">
        <v>13</v>
      </c>
      <c r="AE105">
        <v>3</v>
      </c>
      <c r="AF105">
        <v>300</v>
      </c>
      <c r="AG105">
        <v>150</v>
      </c>
      <c r="AH105">
        <v>209</v>
      </c>
      <c r="AI105">
        <v>52</v>
      </c>
      <c r="AJ105">
        <v>43</v>
      </c>
      <c r="AK105">
        <v>63</v>
      </c>
      <c r="AL105">
        <v>38</v>
      </c>
      <c r="AM105">
        <v>10</v>
      </c>
      <c r="AN105">
        <v>215</v>
      </c>
      <c r="AO105">
        <v>84</v>
      </c>
      <c r="AP105">
        <v>82</v>
      </c>
      <c r="AQ105">
        <v>129</v>
      </c>
      <c r="AR105">
        <v>1986</v>
      </c>
      <c r="AS105">
        <v>3526</v>
      </c>
      <c r="AT105" t="s">
        <v>7</v>
      </c>
      <c r="AU105">
        <v>0.79</v>
      </c>
      <c r="AV105">
        <v>2022</v>
      </c>
      <c r="AW105" s="1">
        <v>45939</v>
      </c>
      <c r="AX105">
        <v>28.2</v>
      </c>
      <c r="AY105" t="s">
        <v>27</v>
      </c>
      <c r="AZ105" t="s">
        <v>35</v>
      </c>
      <c r="BA105" t="s">
        <v>21</v>
      </c>
      <c r="BB105" t="s">
        <v>13</v>
      </c>
      <c r="BC105" t="s">
        <v>13</v>
      </c>
      <c r="BD105">
        <v>3</v>
      </c>
      <c r="BE105" t="s">
        <v>14</v>
      </c>
      <c r="BF105">
        <v>0.88</v>
      </c>
    </row>
    <row r="106" spans="1:58" hidden="1" x14ac:dyDescent="0.2">
      <c r="A106">
        <v>105</v>
      </c>
      <c r="B106" t="s">
        <v>0</v>
      </c>
      <c r="C106">
        <v>57</v>
      </c>
      <c r="D106" t="s">
        <v>28</v>
      </c>
      <c r="E106" t="s">
        <v>17</v>
      </c>
      <c r="F106" t="s">
        <v>40</v>
      </c>
      <c r="G106" t="s">
        <v>117</v>
      </c>
      <c r="H106" t="s">
        <v>23</v>
      </c>
      <c r="I106" t="s">
        <v>113</v>
      </c>
      <c r="J106" t="s">
        <v>123</v>
      </c>
      <c r="K106" t="s">
        <v>7</v>
      </c>
      <c r="L106">
        <v>7.9</v>
      </c>
      <c r="M106">
        <v>6.4</v>
      </c>
      <c r="N106" t="s">
        <v>8</v>
      </c>
      <c r="O106" t="s">
        <v>7</v>
      </c>
      <c r="P106" t="s">
        <v>121</v>
      </c>
      <c r="Q106">
        <v>40</v>
      </c>
      <c r="R106">
        <v>7</v>
      </c>
      <c r="S106">
        <v>26.8</v>
      </c>
      <c r="T106">
        <v>153</v>
      </c>
      <c r="U106">
        <v>87</v>
      </c>
      <c r="V106">
        <v>7945</v>
      </c>
      <c r="W106">
        <v>47.8</v>
      </c>
      <c r="X106">
        <v>0</v>
      </c>
      <c r="Y106">
        <v>4</v>
      </c>
      <c r="Z106">
        <v>7</v>
      </c>
      <c r="AA106">
        <v>3.6</v>
      </c>
      <c r="AB106">
        <v>3</v>
      </c>
      <c r="AC106">
        <v>259</v>
      </c>
      <c r="AD106">
        <v>10</v>
      </c>
      <c r="AE106">
        <v>6</v>
      </c>
      <c r="AF106">
        <v>201</v>
      </c>
      <c r="AG106">
        <v>142</v>
      </c>
      <c r="AH106">
        <v>155</v>
      </c>
      <c r="AI106">
        <v>50</v>
      </c>
      <c r="AJ106">
        <v>41</v>
      </c>
      <c r="AK106">
        <v>44</v>
      </c>
      <c r="AL106">
        <v>24</v>
      </c>
      <c r="AM106">
        <v>5</v>
      </c>
      <c r="AN106">
        <v>140</v>
      </c>
      <c r="AO106">
        <v>66</v>
      </c>
      <c r="AP106">
        <v>48</v>
      </c>
      <c r="AQ106">
        <v>56</v>
      </c>
      <c r="AR106">
        <v>1570</v>
      </c>
      <c r="AS106">
        <v>1222</v>
      </c>
      <c r="AT106" t="s">
        <v>7</v>
      </c>
      <c r="AU106">
        <v>0.37</v>
      </c>
      <c r="AV106">
        <v>2012</v>
      </c>
      <c r="AW106" s="1">
        <v>45768</v>
      </c>
      <c r="AX106">
        <v>25.9</v>
      </c>
      <c r="AY106" t="s">
        <v>19</v>
      </c>
      <c r="AZ106" t="s">
        <v>17</v>
      </c>
      <c r="BA106" t="s">
        <v>12</v>
      </c>
      <c r="BB106" t="s">
        <v>7</v>
      </c>
      <c r="BC106" t="s">
        <v>13</v>
      </c>
      <c r="BD106">
        <v>1</v>
      </c>
      <c r="BE106" t="s">
        <v>14</v>
      </c>
      <c r="BF106">
        <v>1.05</v>
      </c>
    </row>
    <row r="107" spans="1:58" hidden="1" x14ac:dyDescent="0.2">
      <c r="A107">
        <v>106</v>
      </c>
      <c r="B107" t="s">
        <v>0</v>
      </c>
      <c r="C107">
        <v>13</v>
      </c>
      <c r="D107" t="s">
        <v>1</v>
      </c>
      <c r="E107" t="s">
        <v>128</v>
      </c>
      <c r="F107" t="s">
        <v>3</v>
      </c>
      <c r="G107" t="s">
        <v>4</v>
      </c>
      <c r="H107" t="s">
        <v>23</v>
      </c>
      <c r="I107" t="s">
        <v>112</v>
      </c>
      <c r="J107" t="s">
        <v>6</v>
      </c>
      <c r="K107" t="s">
        <v>7</v>
      </c>
      <c r="L107">
        <v>14.4</v>
      </c>
      <c r="M107">
        <v>6.4</v>
      </c>
      <c r="N107" t="s">
        <v>29</v>
      </c>
      <c r="O107" t="s">
        <v>7</v>
      </c>
      <c r="P107" t="s">
        <v>26</v>
      </c>
      <c r="Q107">
        <v>32</v>
      </c>
      <c r="R107">
        <v>10</v>
      </c>
      <c r="S107">
        <v>17.3</v>
      </c>
      <c r="T107">
        <v>153</v>
      </c>
      <c r="U107">
        <v>70</v>
      </c>
      <c r="V107">
        <v>8014</v>
      </c>
      <c r="W107">
        <v>34.700000000000003</v>
      </c>
      <c r="X107">
        <v>4</v>
      </c>
      <c r="Y107">
        <v>4</v>
      </c>
      <c r="Z107">
        <v>14</v>
      </c>
      <c r="AA107">
        <v>3</v>
      </c>
      <c r="AB107">
        <v>1</v>
      </c>
      <c r="AC107">
        <v>240</v>
      </c>
      <c r="AD107">
        <v>18</v>
      </c>
      <c r="AE107">
        <v>14</v>
      </c>
      <c r="AF107">
        <v>265</v>
      </c>
      <c r="AG107">
        <v>115</v>
      </c>
      <c r="AH107">
        <v>153</v>
      </c>
      <c r="AI107">
        <v>45</v>
      </c>
      <c r="AJ107">
        <v>26</v>
      </c>
      <c r="AK107">
        <v>20</v>
      </c>
      <c r="AL107">
        <v>32</v>
      </c>
      <c r="AM107">
        <v>4</v>
      </c>
      <c r="AN107">
        <v>108</v>
      </c>
      <c r="AO107">
        <v>30</v>
      </c>
      <c r="AP107">
        <v>59</v>
      </c>
      <c r="AQ107">
        <v>63</v>
      </c>
      <c r="AR107">
        <v>321</v>
      </c>
      <c r="AS107">
        <v>408</v>
      </c>
      <c r="AT107" t="s">
        <v>7</v>
      </c>
      <c r="AU107">
        <v>0.72</v>
      </c>
      <c r="AV107">
        <v>2018</v>
      </c>
      <c r="AW107" s="1">
        <v>45945</v>
      </c>
      <c r="AX107">
        <v>13.3</v>
      </c>
      <c r="AY107" t="s">
        <v>30</v>
      </c>
      <c r="AZ107" t="s">
        <v>20</v>
      </c>
      <c r="BA107" t="s">
        <v>122</v>
      </c>
      <c r="BB107" t="s">
        <v>13</v>
      </c>
      <c r="BC107" t="s">
        <v>13</v>
      </c>
      <c r="BD107">
        <v>1</v>
      </c>
      <c r="BE107" t="s">
        <v>14</v>
      </c>
      <c r="BF107">
        <v>1.18</v>
      </c>
    </row>
    <row r="108" spans="1:58" hidden="1" x14ac:dyDescent="0.2">
      <c r="A108">
        <v>107</v>
      </c>
      <c r="B108" t="s">
        <v>0</v>
      </c>
      <c r="C108">
        <v>37</v>
      </c>
      <c r="D108" t="s">
        <v>28</v>
      </c>
      <c r="E108" t="s">
        <v>50</v>
      </c>
      <c r="F108" t="s">
        <v>15</v>
      </c>
      <c r="G108" t="s">
        <v>38</v>
      </c>
      <c r="H108" t="s">
        <v>24</v>
      </c>
      <c r="I108" t="s">
        <v>112</v>
      </c>
      <c r="J108" t="s">
        <v>123</v>
      </c>
      <c r="K108" t="s">
        <v>13</v>
      </c>
      <c r="L108">
        <v>9.1</v>
      </c>
      <c r="M108">
        <v>6.2</v>
      </c>
      <c r="N108" t="s">
        <v>29</v>
      </c>
      <c r="O108" t="s">
        <v>7</v>
      </c>
      <c r="P108" t="s">
        <v>9</v>
      </c>
      <c r="Q108">
        <v>10</v>
      </c>
      <c r="R108">
        <v>8</v>
      </c>
      <c r="S108">
        <v>25</v>
      </c>
      <c r="T108">
        <v>158</v>
      </c>
      <c r="U108">
        <v>73</v>
      </c>
      <c r="V108">
        <v>7912</v>
      </c>
      <c r="W108">
        <v>34</v>
      </c>
      <c r="X108">
        <v>2</v>
      </c>
      <c r="Y108">
        <v>4</v>
      </c>
      <c r="Z108">
        <v>12</v>
      </c>
      <c r="AA108">
        <v>3</v>
      </c>
      <c r="AB108">
        <v>5</v>
      </c>
      <c r="AC108">
        <v>24</v>
      </c>
      <c r="AD108">
        <v>1</v>
      </c>
      <c r="AE108">
        <v>4</v>
      </c>
      <c r="AF108">
        <v>57</v>
      </c>
      <c r="AG108">
        <v>37</v>
      </c>
      <c r="AH108">
        <v>27</v>
      </c>
      <c r="AI108">
        <v>6</v>
      </c>
      <c r="AJ108">
        <v>12</v>
      </c>
      <c r="AK108">
        <v>13</v>
      </c>
      <c r="AL108">
        <v>5</v>
      </c>
      <c r="AM108">
        <v>0</v>
      </c>
      <c r="AN108">
        <v>14</v>
      </c>
      <c r="AO108">
        <v>3</v>
      </c>
      <c r="AP108">
        <v>3</v>
      </c>
      <c r="AQ108">
        <v>7</v>
      </c>
      <c r="AR108">
        <v>430</v>
      </c>
      <c r="AS108">
        <v>418</v>
      </c>
      <c r="AT108" t="s">
        <v>7</v>
      </c>
      <c r="AU108">
        <v>0.86</v>
      </c>
      <c r="AV108">
        <v>2014</v>
      </c>
      <c r="AW108" s="1">
        <v>45838</v>
      </c>
      <c r="AX108">
        <v>24</v>
      </c>
      <c r="AY108" t="s">
        <v>27</v>
      </c>
      <c r="AZ108" t="s">
        <v>11</v>
      </c>
      <c r="BA108" t="s">
        <v>12</v>
      </c>
      <c r="BB108" t="s">
        <v>13</v>
      </c>
      <c r="BC108" t="s">
        <v>7</v>
      </c>
      <c r="BD108">
        <v>1</v>
      </c>
      <c r="BE108" t="s">
        <v>14</v>
      </c>
      <c r="BF108">
        <v>2.04</v>
      </c>
    </row>
    <row r="109" spans="1:58" hidden="1" x14ac:dyDescent="0.2">
      <c r="A109">
        <v>108</v>
      </c>
      <c r="B109" t="s">
        <v>0</v>
      </c>
      <c r="C109">
        <v>19</v>
      </c>
      <c r="D109" t="s">
        <v>1</v>
      </c>
      <c r="E109" t="s">
        <v>126</v>
      </c>
      <c r="F109" t="s">
        <v>15</v>
      </c>
      <c r="G109" t="s">
        <v>16</v>
      </c>
      <c r="H109" t="s">
        <v>34</v>
      </c>
      <c r="I109" t="s">
        <v>114</v>
      </c>
      <c r="J109" t="s">
        <v>123</v>
      </c>
      <c r="K109" t="s">
        <v>13</v>
      </c>
      <c r="L109">
        <v>4.8</v>
      </c>
      <c r="M109">
        <v>6.3</v>
      </c>
      <c r="N109" t="s">
        <v>29</v>
      </c>
      <c r="O109" t="s">
        <v>7</v>
      </c>
      <c r="P109" t="s">
        <v>52</v>
      </c>
      <c r="Q109">
        <v>12</v>
      </c>
      <c r="R109">
        <v>10</v>
      </c>
      <c r="S109">
        <v>22</v>
      </c>
      <c r="T109">
        <v>155</v>
      </c>
      <c r="U109">
        <v>89</v>
      </c>
      <c r="V109">
        <v>7944</v>
      </c>
      <c r="W109">
        <v>55.4</v>
      </c>
      <c r="X109">
        <v>3</v>
      </c>
      <c r="Y109">
        <v>4</v>
      </c>
      <c r="Z109">
        <v>10</v>
      </c>
      <c r="AA109">
        <v>2.1</v>
      </c>
      <c r="AB109">
        <v>3</v>
      </c>
      <c r="AC109">
        <v>89</v>
      </c>
      <c r="AD109">
        <v>3</v>
      </c>
      <c r="AE109">
        <v>5</v>
      </c>
      <c r="AF109">
        <v>195</v>
      </c>
      <c r="AG109">
        <v>75</v>
      </c>
      <c r="AH109">
        <v>76</v>
      </c>
      <c r="AI109">
        <v>15</v>
      </c>
      <c r="AJ109">
        <v>22</v>
      </c>
      <c r="AK109">
        <v>19</v>
      </c>
      <c r="AL109">
        <v>16</v>
      </c>
      <c r="AM109">
        <v>3</v>
      </c>
      <c r="AN109">
        <v>38</v>
      </c>
      <c r="AO109">
        <v>14</v>
      </c>
      <c r="AP109">
        <v>22</v>
      </c>
      <c r="AQ109">
        <v>21</v>
      </c>
      <c r="AR109">
        <v>1221</v>
      </c>
      <c r="AS109">
        <v>2874</v>
      </c>
      <c r="AT109" t="s">
        <v>7</v>
      </c>
      <c r="AU109">
        <v>0.39</v>
      </c>
      <c r="AV109">
        <v>2020</v>
      </c>
      <c r="AW109" s="1">
        <v>45903</v>
      </c>
      <c r="AX109">
        <v>29.7</v>
      </c>
      <c r="AY109" t="s">
        <v>30</v>
      </c>
      <c r="AZ109" t="s">
        <v>37</v>
      </c>
      <c r="BA109" t="s">
        <v>12</v>
      </c>
      <c r="BB109" t="s">
        <v>13</v>
      </c>
      <c r="BC109" t="s">
        <v>7</v>
      </c>
      <c r="BD109">
        <v>2</v>
      </c>
      <c r="BE109" t="s">
        <v>14</v>
      </c>
      <c r="BF109">
        <v>1.34</v>
      </c>
    </row>
    <row r="110" spans="1:58" hidden="1" x14ac:dyDescent="0.2">
      <c r="A110">
        <v>109</v>
      </c>
      <c r="B110" t="s">
        <v>0</v>
      </c>
      <c r="C110">
        <v>21</v>
      </c>
      <c r="D110" t="s">
        <v>28</v>
      </c>
      <c r="E110" t="s">
        <v>47</v>
      </c>
      <c r="F110" t="s">
        <v>15</v>
      </c>
      <c r="G110" t="s">
        <v>38</v>
      </c>
      <c r="H110" t="s">
        <v>118</v>
      </c>
      <c r="I110" t="s">
        <v>112</v>
      </c>
      <c r="J110" t="s">
        <v>6</v>
      </c>
      <c r="K110" t="s">
        <v>7</v>
      </c>
      <c r="L110">
        <v>5.2</v>
      </c>
      <c r="M110">
        <v>5.9</v>
      </c>
      <c r="N110" t="s">
        <v>8</v>
      </c>
      <c r="O110" t="s">
        <v>41</v>
      </c>
      <c r="P110" t="s">
        <v>26</v>
      </c>
      <c r="Q110">
        <v>30</v>
      </c>
      <c r="R110">
        <v>8</v>
      </c>
      <c r="S110">
        <v>24.4</v>
      </c>
      <c r="T110">
        <v>139</v>
      </c>
      <c r="U110">
        <v>77</v>
      </c>
      <c r="V110">
        <v>8174</v>
      </c>
      <c r="W110">
        <v>31.6</v>
      </c>
      <c r="X110">
        <v>7</v>
      </c>
      <c r="Y110">
        <v>4</v>
      </c>
      <c r="Z110">
        <v>12</v>
      </c>
      <c r="AA110">
        <v>1.2</v>
      </c>
      <c r="AB110">
        <v>1</v>
      </c>
      <c r="AC110">
        <v>270</v>
      </c>
      <c r="AD110">
        <v>13</v>
      </c>
      <c r="AE110">
        <v>15</v>
      </c>
      <c r="AF110">
        <v>269</v>
      </c>
      <c r="AG110">
        <v>123</v>
      </c>
      <c r="AH110">
        <v>173</v>
      </c>
      <c r="AI110">
        <v>55</v>
      </c>
      <c r="AJ110">
        <v>34</v>
      </c>
      <c r="AK110">
        <v>34</v>
      </c>
      <c r="AL110">
        <v>26</v>
      </c>
      <c r="AM110">
        <v>9</v>
      </c>
      <c r="AN110">
        <v>161</v>
      </c>
      <c r="AO110">
        <v>72</v>
      </c>
      <c r="AP110">
        <v>32</v>
      </c>
      <c r="AQ110">
        <v>72</v>
      </c>
      <c r="AR110">
        <v>10405</v>
      </c>
      <c r="AS110">
        <v>6903</v>
      </c>
      <c r="AT110" t="s">
        <v>7</v>
      </c>
      <c r="AU110">
        <v>0.99</v>
      </c>
      <c r="AV110">
        <v>2015</v>
      </c>
      <c r="AW110" s="1">
        <v>45732</v>
      </c>
      <c r="AX110">
        <v>20.8</v>
      </c>
      <c r="AY110" t="s">
        <v>10</v>
      </c>
      <c r="AZ110" t="s">
        <v>35</v>
      </c>
      <c r="BA110" t="s">
        <v>21</v>
      </c>
      <c r="BB110" t="s">
        <v>13</v>
      </c>
      <c r="BC110" t="s">
        <v>13</v>
      </c>
      <c r="BD110">
        <v>0</v>
      </c>
      <c r="BE110" t="s">
        <v>14</v>
      </c>
      <c r="BF110">
        <v>1.21</v>
      </c>
    </row>
    <row r="111" spans="1:58" hidden="1" x14ac:dyDescent="0.2">
      <c r="A111">
        <v>110</v>
      </c>
      <c r="B111" t="s">
        <v>0</v>
      </c>
      <c r="C111">
        <v>36</v>
      </c>
      <c r="D111" t="s">
        <v>1</v>
      </c>
      <c r="E111" t="s">
        <v>33</v>
      </c>
      <c r="F111" t="s">
        <v>40</v>
      </c>
      <c r="G111" t="s">
        <v>38</v>
      </c>
      <c r="H111" t="s">
        <v>118</v>
      </c>
      <c r="I111" t="s">
        <v>112</v>
      </c>
      <c r="J111" t="s">
        <v>6</v>
      </c>
      <c r="K111" t="s">
        <v>7</v>
      </c>
      <c r="L111">
        <v>5.0999999999999996</v>
      </c>
      <c r="M111">
        <v>6.9</v>
      </c>
      <c r="N111" t="s">
        <v>25</v>
      </c>
      <c r="O111" t="s">
        <v>7</v>
      </c>
      <c r="P111" t="s">
        <v>52</v>
      </c>
      <c r="Q111">
        <v>40</v>
      </c>
      <c r="R111">
        <v>8</v>
      </c>
      <c r="S111">
        <v>27.1</v>
      </c>
      <c r="T111">
        <v>109</v>
      </c>
      <c r="U111">
        <v>70</v>
      </c>
      <c r="V111">
        <v>8007</v>
      </c>
      <c r="W111">
        <v>35.6</v>
      </c>
      <c r="X111">
        <v>0</v>
      </c>
      <c r="Y111">
        <v>6</v>
      </c>
      <c r="Z111">
        <v>8</v>
      </c>
      <c r="AA111">
        <v>9.5</v>
      </c>
      <c r="AB111">
        <v>4</v>
      </c>
      <c r="AC111">
        <v>247</v>
      </c>
      <c r="AD111">
        <v>9</v>
      </c>
      <c r="AE111">
        <v>16</v>
      </c>
      <c r="AF111">
        <v>187</v>
      </c>
      <c r="AG111">
        <v>123</v>
      </c>
      <c r="AH111">
        <v>129</v>
      </c>
      <c r="AI111">
        <v>46</v>
      </c>
      <c r="AJ111">
        <v>36</v>
      </c>
      <c r="AK111">
        <v>45</v>
      </c>
      <c r="AL111">
        <v>20</v>
      </c>
      <c r="AM111">
        <v>8</v>
      </c>
      <c r="AN111">
        <v>107</v>
      </c>
      <c r="AO111">
        <v>46</v>
      </c>
      <c r="AP111">
        <v>27</v>
      </c>
      <c r="AQ111">
        <v>59</v>
      </c>
      <c r="AR111">
        <v>930</v>
      </c>
      <c r="AS111">
        <v>1767</v>
      </c>
      <c r="AT111" t="s">
        <v>7</v>
      </c>
      <c r="AU111">
        <v>0.06</v>
      </c>
      <c r="AV111">
        <v>2015</v>
      </c>
      <c r="AW111" s="1">
        <v>45932</v>
      </c>
      <c r="AX111">
        <v>27.4</v>
      </c>
      <c r="AY111" t="s">
        <v>36</v>
      </c>
      <c r="AZ111" t="s">
        <v>17</v>
      </c>
      <c r="BA111" t="s">
        <v>21</v>
      </c>
      <c r="BB111" t="s">
        <v>13</v>
      </c>
      <c r="BC111" t="s">
        <v>13</v>
      </c>
      <c r="BD111">
        <v>5</v>
      </c>
      <c r="BE111" t="s">
        <v>14</v>
      </c>
      <c r="BF111">
        <v>1.08</v>
      </c>
    </row>
    <row r="112" spans="1:58" hidden="1" x14ac:dyDescent="0.2">
      <c r="A112">
        <v>111</v>
      </c>
      <c r="B112" t="s">
        <v>0</v>
      </c>
      <c r="C112">
        <v>13</v>
      </c>
      <c r="D112" t="s">
        <v>1</v>
      </c>
      <c r="E112" t="s">
        <v>50</v>
      </c>
      <c r="F112" t="s">
        <v>40</v>
      </c>
      <c r="G112" t="s">
        <v>16</v>
      </c>
      <c r="H112" t="s">
        <v>118</v>
      </c>
      <c r="I112" t="s">
        <v>112</v>
      </c>
      <c r="J112" t="s">
        <v>6</v>
      </c>
      <c r="K112" t="s">
        <v>7</v>
      </c>
      <c r="L112">
        <v>3.2</v>
      </c>
      <c r="M112">
        <v>8.3000000000000007</v>
      </c>
      <c r="N112" t="s">
        <v>25</v>
      </c>
      <c r="O112" t="s">
        <v>7</v>
      </c>
      <c r="P112" t="s">
        <v>46</v>
      </c>
      <c r="Q112">
        <v>20</v>
      </c>
      <c r="R112">
        <v>9</v>
      </c>
      <c r="S112">
        <v>16.3</v>
      </c>
      <c r="T112">
        <v>118</v>
      </c>
      <c r="U112">
        <v>74</v>
      </c>
      <c r="V112">
        <v>7994</v>
      </c>
      <c r="W112">
        <v>30.1</v>
      </c>
      <c r="X112">
        <v>3</v>
      </c>
      <c r="Y112">
        <v>5</v>
      </c>
      <c r="Z112">
        <v>13</v>
      </c>
      <c r="AA112">
        <v>4.3</v>
      </c>
      <c r="AB112">
        <v>2</v>
      </c>
      <c r="AC112">
        <v>156</v>
      </c>
      <c r="AD112">
        <v>7</v>
      </c>
      <c r="AE112">
        <v>10</v>
      </c>
      <c r="AF112">
        <v>206</v>
      </c>
      <c r="AG112">
        <v>103</v>
      </c>
      <c r="AH112">
        <v>120</v>
      </c>
      <c r="AI112">
        <v>35</v>
      </c>
      <c r="AJ112">
        <v>32</v>
      </c>
      <c r="AK112">
        <v>16</v>
      </c>
      <c r="AL112">
        <v>22</v>
      </c>
      <c r="AM112">
        <v>2</v>
      </c>
      <c r="AN112">
        <v>68</v>
      </c>
      <c r="AO112">
        <v>27</v>
      </c>
      <c r="AP112">
        <v>31</v>
      </c>
      <c r="AQ112">
        <v>37</v>
      </c>
      <c r="AR112">
        <v>477</v>
      </c>
      <c r="AS112">
        <v>298</v>
      </c>
      <c r="AT112" t="s">
        <v>7</v>
      </c>
      <c r="AU112">
        <v>0</v>
      </c>
      <c r="AV112">
        <v>2017</v>
      </c>
      <c r="AW112" s="1">
        <v>45957</v>
      </c>
      <c r="AX112">
        <v>22.3</v>
      </c>
      <c r="AY112" t="s">
        <v>45</v>
      </c>
      <c r="AZ112" t="s">
        <v>31</v>
      </c>
      <c r="BA112" t="s">
        <v>122</v>
      </c>
      <c r="BB112" t="s">
        <v>7</v>
      </c>
      <c r="BC112" t="s">
        <v>13</v>
      </c>
      <c r="BD112">
        <v>1</v>
      </c>
      <c r="BE112" t="s">
        <v>14</v>
      </c>
      <c r="BF112">
        <v>1.4</v>
      </c>
    </row>
    <row r="113" spans="1:58" hidden="1" x14ac:dyDescent="0.2">
      <c r="A113">
        <v>112</v>
      </c>
      <c r="B113" t="s">
        <v>0</v>
      </c>
      <c r="C113">
        <v>56</v>
      </c>
      <c r="D113" t="s">
        <v>1</v>
      </c>
      <c r="E113" t="s">
        <v>42</v>
      </c>
      <c r="F113" t="s">
        <v>40</v>
      </c>
      <c r="G113" t="s">
        <v>16</v>
      </c>
      <c r="H113" t="s">
        <v>23</v>
      </c>
      <c r="I113" t="s">
        <v>115</v>
      </c>
      <c r="J113" t="s">
        <v>6</v>
      </c>
      <c r="K113" t="s">
        <v>13</v>
      </c>
      <c r="L113">
        <v>11.6</v>
      </c>
      <c r="M113">
        <v>5.6</v>
      </c>
      <c r="N113" t="s">
        <v>29</v>
      </c>
      <c r="O113" t="s">
        <v>7</v>
      </c>
      <c r="P113" t="s">
        <v>26</v>
      </c>
      <c r="Q113">
        <v>28</v>
      </c>
      <c r="R113">
        <v>6</v>
      </c>
      <c r="S113">
        <v>22.1</v>
      </c>
      <c r="T113">
        <v>141</v>
      </c>
      <c r="U113">
        <v>71</v>
      </c>
      <c r="V113">
        <v>8003</v>
      </c>
      <c r="W113">
        <v>44.7</v>
      </c>
      <c r="X113">
        <v>2</v>
      </c>
      <c r="Y113">
        <v>4</v>
      </c>
      <c r="Z113">
        <v>9</v>
      </c>
      <c r="AA113">
        <v>2.2999999999999998</v>
      </c>
      <c r="AB113">
        <v>1</v>
      </c>
      <c r="AC113">
        <v>210</v>
      </c>
      <c r="AD113">
        <v>7</v>
      </c>
      <c r="AE113">
        <v>5</v>
      </c>
      <c r="AF113">
        <v>172</v>
      </c>
      <c r="AG113">
        <v>110</v>
      </c>
      <c r="AH113">
        <v>108</v>
      </c>
      <c r="AI113">
        <v>38</v>
      </c>
      <c r="AJ113">
        <v>31</v>
      </c>
      <c r="AK113">
        <v>32</v>
      </c>
      <c r="AL113">
        <v>20</v>
      </c>
      <c r="AM113">
        <v>3</v>
      </c>
      <c r="AN113">
        <v>119</v>
      </c>
      <c r="AO113">
        <v>38</v>
      </c>
      <c r="AP113">
        <v>36</v>
      </c>
      <c r="AQ113">
        <v>72</v>
      </c>
      <c r="AR113">
        <v>181</v>
      </c>
      <c r="AS113">
        <v>185</v>
      </c>
      <c r="AT113" t="s">
        <v>7</v>
      </c>
      <c r="AU113">
        <v>0.46</v>
      </c>
      <c r="AV113">
        <v>2024</v>
      </c>
      <c r="AW113" s="1">
        <v>45986</v>
      </c>
      <c r="AX113">
        <v>30</v>
      </c>
      <c r="AY113" t="s">
        <v>19</v>
      </c>
      <c r="AZ113" t="s">
        <v>31</v>
      </c>
      <c r="BA113" t="s">
        <v>12</v>
      </c>
      <c r="BB113" t="s">
        <v>13</v>
      </c>
      <c r="BC113" t="s">
        <v>7</v>
      </c>
      <c r="BD113">
        <v>5</v>
      </c>
      <c r="BE113" t="s">
        <v>14</v>
      </c>
      <c r="BF113">
        <v>0.94</v>
      </c>
    </row>
    <row r="114" spans="1:58" hidden="1" x14ac:dyDescent="0.2">
      <c r="A114">
        <v>113</v>
      </c>
      <c r="B114" t="s">
        <v>0</v>
      </c>
      <c r="C114">
        <v>20</v>
      </c>
      <c r="D114" t="s">
        <v>28</v>
      </c>
      <c r="E114" t="s">
        <v>2</v>
      </c>
      <c r="F114" t="s">
        <v>3</v>
      </c>
      <c r="G114" t="s">
        <v>38</v>
      </c>
      <c r="H114" t="s">
        <v>118</v>
      </c>
      <c r="I114" t="s">
        <v>115</v>
      </c>
      <c r="J114" t="s">
        <v>6</v>
      </c>
      <c r="K114" t="s">
        <v>7</v>
      </c>
      <c r="L114">
        <v>6</v>
      </c>
      <c r="M114">
        <v>7.3</v>
      </c>
      <c r="N114" t="s">
        <v>29</v>
      </c>
      <c r="O114" t="s">
        <v>7</v>
      </c>
      <c r="P114" t="s">
        <v>9</v>
      </c>
      <c r="Q114">
        <v>34</v>
      </c>
      <c r="R114">
        <v>1</v>
      </c>
      <c r="S114">
        <v>22.3</v>
      </c>
      <c r="T114">
        <v>150</v>
      </c>
      <c r="U114">
        <v>85</v>
      </c>
      <c r="V114">
        <v>7903</v>
      </c>
      <c r="W114">
        <v>34.799999999999997</v>
      </c>
      <c r="X114">
        <v>4</v>
      </c>
      <c r="Y114">
        <v>4</v>
      </c>
      <c r="Z114">
        <v>8</v>
      </c>
      <c r="AA114">
        <v>5.6</v>
      </c>
      <c r="AB114">
        <v>5</v>
      </c>
      <c r="AC114">
        <v>321</v>
      </c>
      <c r="AD114">
        <v>13</v>
      </c>
      <c r="AE114">
        <v>10</v>
      </c>
      <c r="AF114">
        <v>300</v>
      </c>
      <c r="AG114">
        <v>150</v>
      </c>
      <c r="AH114">
        <v>169</v>
      </c>
      <c r="AI114">
        <v>55</v>
      </c>
      <c r="AJ114">
        <v>36</v>
      </c>
      <c r="AK114">
        <v>42</v>
      </c>
      <c r="AL114">
        <v>28</v>
      </c>
      <c r="AM114">
        <v>9</v>
      </c>
      <c r="AN114">
        <v>153</v>
      </c>
      <c r="AO114">
        <v>93</v>
      </c>
      <c r="AP114">
        <v>54</v>
      </c>
      <c r="AQ114">
        <v>125</v>
      </c>
      <c r="AR114">
        <v>5320</v>
      </c>
      <c r="AS114">
        <v>10000</v>
      </c>
      <c r="AT114" t="s">
        <v>7</v>
      </c>
      <c r="AU114">
        <v>0.46</v>
      </c>
      <c r="AV114">
        <v>2020</v>
      </c>
      <c r="AW114" s="1">
        <v>45741</v>
      </c>
      <c r="AX114">
        <v>24.7</v>
      </c>
      <c r="AY114" t="s">
        <v>45</v>
      </c>
      <c r="AZ114" t="s">
        <v>11</v>
      </c>
      <c r="BA114" t="s">
        <v>21</v>
      </c>
      <c r="BB114" t="s">
        <v>13</v>
      </c>
      <c r="BC114" t="s">
        <v>7</v>
      </c>
      <c r="BD114">
        <v>3</v>
      </c>
      <c r="BE114" t="s">
        <v>14</v>
      </c>
      <c r="BF114">
        <v>0.96</v>
      </c>
    </row>
    <row r="115" spans="1:58" hidden="1" x14ac:dyDescent="0.2">
      <c r="A115">
        <v>114</v>
      </c>
      <c r="B115" t="s">
        <v>0</v>
      </c>
      <c r="C115">
        <v>36</v>
      </c>
      <c r="D115" t="s">
        <v>1</v>
      </c>
      <c r="E115" t="s">
        <v>42</v>
      </c>
      <c r="F115" t="s">
        <v>3</v>
      </c>
      <c r="G115" t="s">
        <v>38</v>
      </c>
      <c r="H115" t="s">
        <v>118</v>
      </c>
      <c r="I115" t="s">
        <v>53</v>
      </c>
      <c r="J115" t="s">
        <v>123</v>
      </c>
      <c r="K115" t="s">
        <v>7</v>
      </c>
      <c r="L115">
        <v>7.4</v>
      </c>
      <c r="M115">
        <v>7.1</v>
      </c>
      <c r="N115" t="s">
        <v>39</v>
      </c>
      <c r="O115" t="s">
        <v>41</v>
      </c>
      <c r="P115" t="s">
        <v>9</v>
      </c>
      <c r="Q115">
        <v>28</v>
      </c>
      <c r="R115">
        <v>7</v>
      </c>
      <c r="S115">
        <v>28.7</v>
      </c>
      <c r="T115">
        <v>121</v>
      </c>
      <c r="U115">
        <v>71</v>
      </c>
      <c r="V115">
        <v>8005</v>
      </c>
      <c r="W115">
        <v>33.799999999999997</v>
      </c>
      <c r="X115">
        <v>2</v>
      </c>
      <c r="Y115">
        <v>4</v>
      </c>
      <c r="Z115">
        <v>10</v>
      </c>
      <c r="AA115">
        <v>2</v>
      </c>
      <c r="AB115">
        <v>4</v>
      </c>
      <c r="AC115">
        <v>303</v>
      </c>
      <c r="AD115">
        <v>10</v>
      </c>
      <c r="AE115">
        <v>5</v>
      </c>
      <c r="AF115">
        <v>217</v>
      </c>
      <c r="AG115">
        <v>150</v>
      </c>
      <c r="AH115">
        <v>184</v>
      </c>
      <c r="AI115">
        <v>49</v>
      </c>
      <c r="AJ115">
        <v>40</v>
      </c>
      <c r="AK115">
        <v>38</v>
      </c>
      <c r="AL115">
        <v>26</v>
      </c>
      <c r="AM115">
        <v>9</v>
      </c>
      <c r="AN115">
        <v>171</v>
      </c>
      <c r="AO115">
        <v>46</v>
      </c>
      <c r="AP115">
        <v>37</v>
      </c>
      <c r="AQ115">
        <v>71</v>
      </c>
      <c r="AR115">
        <v>988</v>
      </c>
      <c r="AS115">
        <v>1741</v>
      </c>
      <c r="AT115" t="s">
        <v>7</v>
      </c>
      <c r="AU115">
        <v>0.54</v>
      </c>
      <c r="AV115">
        <v>2025</v>
      </c>
      <c r="AW115" s="1">
        <v>45958</v>
      </c>
      <c r="AX115">
        <v>30.3</v>
      </c>
      <c r="AY115" t="s">
        <v>19</v>
      </c>
      <c r="AZ115" t="s">
        <v>11</v>
      </c>
      <c r="BA115" t="s">
        <v>122</v>
      </c>
      <c r="BB115" t="s">
        <v>13</v>
      </c>
      <c r="BC115" t="s">
        <v>13</v>
      </c>
      <c r="BD115">
        <v>4</v>
      </c>
      <c r="BE115" t="s">
        <v>14</v>
      </c>
      <c r="BF115">
        <v>0.98</v>
      </c>
    </row>
    <row r="116" spans="1:58" hidden="1" x14ac:dyDescent="0.2">
      <c r="A116">
        <v>115</v>
      </c>
      <c r="B116" t="s">
        <v>0</v>
      </c>
      <c r="C116">
        <v>23</v>
      </c>
      <c r="D116" t="s">
        <v>1</v>
      </c>
      <c r="E116" t="s">
        <v>126</v>
      </c>
      <c r="F116" t="s">
        <v>40</v>
      </c>
      <c r="G116" t="s">
        <v>16</v>
      </c>
      <c r="H116" t="s">
        <v>118</v>
      </c>
      <c r="I116" t="s">
        <v>112</v>
      </c>
      <c r="J116" t="s">
        <v>6</v>
      </c>
      <c r="K116" t="s">
        <v>7</v>
      </c>
      <c r="L116">
        <v>3.6</v>
      </c>
      <c r="M116">
        <v>6.9</v>
      </c>
      <c r="N116" t="s">
        <v>120</v>
      </c>
      <c r="O116" t="s">
        <v>7</v>
      </c>
      <c r="P116" t="s">
        <v>52</v>
      </c>
      <c r="Q116">
        <v>23</v>
      </c>
      <c r="R116">
        <v>6</v>
      </c>
      <c r="S116">
        <v>20.3</v>
      </c>
      <c r="T116">
        <v>105</v>
      </c>
      <c r="U116">
        <v>91</v>
      </c>
      <c r="V116">
        <v>8003</v>
      </c>
      <c r="W116">
        <v>38.299999999999997</v>
      </c>
      <c r="X116">
        <v>5</v>
      </c>
      <c r="Y116">
        <v>4</v>
      </c>
      <c r="Z116">
        <v>10</v>
      </c>
      <c r="AA116">
        <v>1</v>
      </c>
      <c r="AB116">
        <v>1</v>
      </c>
      <c r="AC116">
        <v>256</v>
      </c>
      <c r="AD116">
        <v>10</v>
      </c>
      <c r="AE116">
        <v>10</v>
      </c>
      <c r="AF116">
        <v>275</v>
      </c>
      <c r="AG116">
        <v>124</v>
      </c>
      <c r="AH116">
        <v>180</v>
      </c>
      <c r="AI116">
        <v>39</v>
      </c>
      <c r="AJ116">
        <v>35</v>
      </c>
      <c r="AK116">
        <v>43</v>
      </c>
      <c r="AL116">
        <v>28</v>
      </c>
      <c r="AM116">
        <v>6</v>
      </c>
      <c r="AN116">
        <v>124</v>
      </c>
      <c r="AO116">
        <v>45</v>
      </c>
      <c r="AP116">
        <v>55</v>
      </c>
      <c r="AQ116">
        <v>94</v>
      </c>
      <c r="AR116">
        <v>8099</v>
      </c>
      <c r="AS116">
        <v>10000</v>
      </c>
      <c r="AT116" t="s">
        <v>7</v>
      </c>
      <c r="AU116">
        <v>7.0000000000000007E-2</v>
      </c>
      <c r="AV116">
        <v>2012</v>
      </c>
      <c r="AW116" s="1">
        <v>45885</v>
      </c>
      <c r="AX116">
        <v>25.6</v>
      </c>
      <c r="AY116" t="s">
        <v>30</v>
      </c>
      <c r="AZ116" t="s">
        <v>31</v>
      </c>
      <c r="BA116" t="s">
        <v>21</v>
      </c>
      <c r="BB116" t="s">
        <v>13</v>
      </c>
      <c r="BC116" t="s">
        <v>13</v>
      </c>
      <c r="BD116">
        <v>1</v>
      </c>
      <c r="BE116" t="s">
        <v>14</v>
      </c>
      <c r="BF116">
        <v>1.1200000000000001</v>
      </c>
    </row>
    <row r="117" spans="1:58" hidden="1" x14ac:dyDescent="0.2">
      <c r="A117">
        <v>116</v>
      </c>
      <c r="B117" t="s">
        <v>0</v>
      </c>
      <c r="C117">
        <v>63</v>
      </c>
      <c r="D117" t="s">
        <v>28</v>
      </c>
      <c r="E117" t="s">
        <v>2</v>
      </c>
      <c r="F117" t="s">
        <v>15</v>
      </c>
      <c r="G117" t="s">
        <v>16</v>
      </c>
      <c r="H117" t="s">
        <v>23</v>
      </c>
      <c r="I117" t="s">
        <v>114</v>
      </c>
      <c r="J117" t="s">
        <v>32</v>
      </c>
      <c r="K117" t="s">
        <v>7</v>
      </c>
      <c r="L117">
        <v>5</v>
      </c>
      <c r="M117">
        <v>5</v>
      </c>
      <c r="N117" t="s">
        <v>8</v>
      </c>
      <c r="O117" t="s">
        <v>7</v>
      </c>
      <c r="P117" t="s">
        <v>46</v>
      </c>
      <c r="Q117">
        <v>36</v>
      </c>
      <c r="R117">
        <v>3</v>
      </c>
      <c r="S117">
        <v>19.399999999999999</v>
      </c>
      <c r="T117">
        <v>111</v>
      </c>
      <c r="U117">
        <v>77</v>
      </c>
      <c r="V117">
        <v>7829</v>
      </c>
      <c r="W117">
        <v>31.4</v>
      </c>
      <c r="X117">
        <v>1</v>
      </c>
      <c r="Y117">
        <v>4</v>
      </c>
      <c r="Z117">
        <v>10</v>
      </c>
      <c r="AA117">
        <v>7.7</v>
      </c>
      <c r="AB117">
        <v>3</v>
      </c>
      <c r="AC117">
        <v>354</v>
      </c>
      <c r="AD117">
        <v>27</v>
      </c>
      <c r="AE117">
        <v>11</v>
      </c>
      <c r="AF117">
        <v>249</v>
      </c>
      <c r="AG117">
        <v>150</v>
      </c>
      <c r="AH117">
        <v>174</v>
      </c>
      <c r="AI117">
        <v>50</v>
      </c>
      <c r="AJ117">
        <v>51</v>
      </c>
      <c r="AK117">
        <v>53</v>
      </c>
      <c r="AL117">
        <v>32</v>
      </c>
      <c r="AM117">
        <v>9</v>
      </c>
      <c r="AN117">
        <v>195</v>
      </c>
      <c r="AO117">
        <v>65</v>
      </c>
      <c r="AP117">
        <v>59</v>
      </c>
      <c r="AQ117">
        <v>78</v>
      </c>
      <c r="AR117">
        <v>523</v>
      </c>
      <c r="AS117">
        <v>253</v>
      </c>
      <c r="AT117" t="s">
        <v>13</v>
      </c>
      <c r="AU117">
        <v>0.09</v>
      </c>
      <c r="AV117">
        <v>2021</v>
      </c>
      <c r="AW117" s="1">
        <v>45785</v>
      </c>
      <c r="AX117">
        <v>13.1</v>
      </c>
      <c r="AY117" t="s">
        <v>45</v>
      </c>
      <c r="AZ117" t="s">
        <v>31</v>
      </c>
      <c r="BA117" t="s">
        <v>122</v>
      </c>
      <c r="BB117" t="s">
        <v>13</v>
      </c>
      <c r="BC117" t="s">
        <v>7</v>
      </c>
      <c r="BD117">
        <v>0</v>
      </c>
      <c r="BE117" t="s">
        <v>14</v>
      </c>
      <c r="BF117">
        <v>0.86</v>
      </c>
    </row>
    <row r="118" spans="1:58" hidden="1" x14ac:dyDescent="0.2">
      <c r="A118">
        <v>117</v>
      </c>
      <c r="B118" t="s">
        <v>0</v>
      </c>
      <c r="C118">
        <v>29</v>
      </c>
      <c r="D118" t="s">
        <v>28</v>
      </c>
      <c r="E118" t="s">
        <v>17</v>
      </c>
      <c r="F118" t="s">
        <v>40</v>
      </c>
      <c r="G118" t="s">
        <v>38</v>
      </c>
      <c r="H118" t="s">
        <v>24</v>
      </c>
      <c r="I118" t="s">
        <v>113</v>
      </c>
      <c r="J118" t="s">
        <v>123</v>
      </c>
      <c r="K118" t="s">
        <v>7</v>
      </c>
      <c r="L118">
        <v>2.9</v>
      </c>
      <c r="M118">
        <v>6.2</v>
      </c>
      <c r="N118" t="s">
        <v>39</v>
      </c>
      <c r="O118" t="s">
        <v>7</v>
      </c>
      <c r="P118" t="s">
        <v>26</v>
      </c>
      <c r="Q118">
        <v>8</v>
      </c>
      <c r="R118">
        <v>1</v>
      </c>
      <c r="S118">
        <v>26.1</v>
      </c>
      <c r="T118">
        <v>133</v>
      </c>
      <c r="U118">
        <v>76</v>
      </c>
      <c r="V118">
        <v>7946</v>
      </c>
      <c r="W118">
        <v>26.5</v>
      </c>
      <c r="X118">
        <v>6</v>
      </c>
      <c r="Y118">
        <v>6</v>
      </c>
      <c r="Z118">
        <v>7</v>
      </c>
      <c r="AA118">
        <v>6.5</v>
      </c>
      <c r="AB118">
        <v>4</v>
      </c>
      <c r="AC118">
        <v>179</v>
      </c>
      <c r="AD118">
        <v>13</v>
      </c>
      <c r="AE118">
        <v>3</v>
      </c>
      <c r="AF118">
        <v>238</v>
      </c>
      <c r="AG118">
        <v>109</v>
      </c>
      <c r="AH118">
        <v>111</v>
      </c>
      <c r="AI118">
        <v>32</v>
      </c>
      <c r="AJ118">
        <v>23</v>
      </c>
      <c r="AK118">
        <v>19</v>
      </c>
      <c r="AL118">
        <v>17</v>
      </c>
      <c r="AM118">
        <v>4</v>
      </c>
      <c r="AN118">
        <v>78</v>
      </c>
      <c r="AO118">
        <v>46</v>
      </c>
      <c r="AP118">
        <v>21</v>
      </c>
      <c r="AQ118">
        <v>61</v>
      </c>
      <c r="AR118">
        <v>979</v>
      </c>
      <c r="AS118">
        <v>1091</v>
      </c>
      <c r="AT118" t="s">
        <v>7</v>
      </c>
      <c r="AU118">
        <v>0.23</v>
      </c>
      <c r="AV118">
        <v>2021</v>
      </c>
      <c r="AW118" s="1">
        <v>45998</v>
      </c>
      <c r="AX118">
        <v>13.8</v>
      </c>
      <c r="AY118" t="s">
        <v>10</v>
      </c>
      <c r="AZ118" t="s">
        <v>20</v>
      </c>
      <c r="BA118" t="s">
        <v>12</v>
      </c>
      <c r="BB118" t="s">
        <v>13</v>
      </c>
      <c r="BC118" t="s">
        <v>7</v>
      </c>
      <c r="BD118">
        <v>1</v>
      </c>
      <c r="BE118" t="s">
        <v>14</v>
      </c>
      <c r="BF118">
        <v>1.02</v>
      </c>
    </row>
    <row r="119" spans="1:58" hidden="1" x14ac:dyDescent="0.2">
      <c r="A119">
        <v>118</v>
      </c>
      <c r="B119" t="s">
        <v>0</v>
      </c>
      <c r="C119">
        <v>20</v>
      </c>
      <c r="D119" t="s">
        <v>1</v>
      </c>
      <c r="E119" t="s">
        <v>127</v>
      </c>
      <c r="F119" t="s">
        <v>15</v>
      </c>
      <c r="G119" t="s">
        <v>38</v>
      </c>
      <c r="H119" t="s">
        <v>23</v>
      </c>
      <c r="I119" t="s">
        <v>114</v>
      </c>
      <c r="J119" t="s">
        <v>6</v>
      </c>
      <c r="K119" t="s">
        <v>7</v>
      </c>
      <c r="L119">
        <v>4.9000000000000004</v>
      </c>
      <c r="M119">
        <v>7.1</v>
      </c>
      <c r="N119" t="s">
        <v>29</v>
      </c>
      <c r="O119" t="s">
        <v>7</v>
      </c>
      <c r="P119" t="s">
        <v>26</v>
      </c>
      <c r="Q119">
        <v>26</v>
      </c>
      <c r="R119">
        <v>10</v>
      </c>
      <c r="S119">
        <v>21.3</v>
      </c>
      <c r="T119">
        <v>142</v>
      </c>
      <c r="U119">
        <v>77</v>
      </c>
      <c r="V119">
        <v>8112</v>
      </c>
      <c r="W119">
        <v>34.4</v>
      </c>
      <c r="X119">
        <v>2</v>
      </c>
      <c r="Y119">
        <v>2</v>
      </c>
      <c r="Z119">
        <v>4</v>
      </c>
      <c r="AA119">
        <v>7.2</v>
      </c>
      <c r="AB119">
        <v>3</v>
      </c>
      <c r="AC119">
        <v>199</v>
      </c>
      <c r="AD119">
        <v>17</v>
      </c>
      <c r="AE119">
        <v>8</v>
      </c>
      <c r="AF119">
        <v>246</v>
      </c>
      <c r="AG119">
        <v>100</v>
      </c>
      <c r="AH119">
        <v>116</v>
      </c>
      <c r="AI119">
        <v>42</v>
      </c>
      <c r="AJ119">
        <v>29</v>
      </c>
      <c r="AK119">
        <v>44</v>
      </c>
      <c r="AL119">
        <v>34</v>
      </c>
      <c r="AM119">
        <v>6</v>
      </c>
      <c r="AN119">
        <v>105</v>
      </c>
      <c r="AO119">
        <v>39</v>
      </c>
      <c r="AP119">
        <v>37</v>
      </c>
      <c r="AQ119">
        <v>62</v>
      </c>
      <c r="AR119">
        <v>381</v>
      </c>
      <c r="AS119">
        <v>741</v>
      </c>
      <c r="AT119" t="s">
        <v>7</v>
      </c>
      <c r="AU119">
        <v>0.75</v>
      </c>
      <c r="AV119">
        <v>2018</v>
      </c>
      <c r="AW119" s="1">
        <v>45939</v>
      </c>
      <c r="AX119">
        <v>11.7</v>
      </c>
      <c r="AY119" t="s">
        <v>30</v>
      </c>
      <c r="AZ119" t="s">
        <v>31</v>
      </c>
      <c r="BA119" t="s">
        <v>21</v>
      </c>
      <c r="BB119" t="s">
        <v>7</v>
      </c>
      <c r="BC119" t="s">
        <v>7</v>
      </c>
      <c r="BD119">
        <v>1</v>
      </c>
      <c r="BE119" t="s">
        <v>43</v>
      </c>
      <c r="BF119">
        <v>1.1200000000000001</v>
      </c>
    </row>
    <row r="120" spans="1:58" hidden="1" x14ac:dyDescent="0.2">
      <c r="A120">
        <v>119</v>
      </c>
      <c r="B120" t="s">
        <v>0</v>
      </c>
      <c r="C120">
        <v>47</v>
      </c>
      <c r="D120" t="s">
        <v>28</v>
      </c>
      <c r="E120" t="s">
        <v>2</v>
      </c>
      <c r="F120" t="s">
        <v>40</v>
      </c>
      <c r="G120" t="s">
        <v>38</v>
      </c>
      <c r="H120" t="s">
        <v>34</v>
      </c>
      <c r="I120" t="s">
        <v>115</v>
      </c>
      <c r="J120" t="s">
        <v>123</v>
      </c>
      <c r="K120" t="s">
        <v>7</v>
      </c>
      <c r="L120">
        <v>5.6</v>
      </c>
      <c r="M120">
        <v>7.7</v>
      </c>
      <c r="N120" t="s">
        <v>8</v>
      </c>
      <c r="O120" t="s">
        <v>7</v>
      </c>
      <c r="P120" t="s">
        <v>9</v>
      </c>
      <c r="Q120">
        <v>12</v>
      </c>
      <c r="R120">
        <v>4</v>
      </c>
      <c r="S120">
        <v>23</v>
      </c>
      <c r="T120">
        <v>107</v>
      </c>
      <c r="U120">
        <v>99</v>
      </c>
      <c r="V120">
        <v>7956</v>
      </c>
      <c r="W120">
        <v>53.3</v>
      </c>
      <c r="X120">
        <v>2</v>
      </c>
      <c r="Y120">
        <v>1</v>
      </c>
      <c r="Z120">
        <v>13</v>
      </c>
      <c r="AA120">
        <v>2.2000000000000002</v>
      </c>
      <c r="AB120">
        <v>5</v>
      </c>
      <c r="AC120">
        <v>136</v>
      </c>
      <c r="AD120">
        <v>5</v>
      </c>
      <c r="AE120">
        <v>4</v>
      </c>
      <c r="AF120">
        <v>120</v>
      </c>
      <c r="AG120">
        <v>85</v>
      </c>
      <c r="AH120">
        <v>99</v>
      </c>
      <c r="AI120">
        <v>30</v>
      </c>
      <c r="AJ120">
        <v>19</v>
      </c>
      <c r="AK120">
        <v>19</v>
      </c>
      <c r="AL120">
        <v>20</v>
      </c>
      <c r="AM120">
        <v>4</v>
      </c>
      <c r="AN120">
        <v>55</v>
      </c>
      <c r="AO120">
        <v>24</v>
      </c>
      <c r="AP120">
        <v>28</v>
      </c>
      <c r="AQ120">
        <v>37</v>
      </c>
      <c r="AR120">
        <v>414</v>
      </c>
      <c r="AS120">
        <v>219</v>
      </c>
      <c r="AT120" t="s">
        <v>7</v>
      </c>
      <c r="AU120">
        <v>0.9</v>
      </c>
      <c r="AV120">
        <v>2022</v>
      </c>
      <c r="AW120" s="1">
        <v>45728</v>
      </c>
      <c r="AX120">
        <v>27.2</v>
      </c>
      <c r="AY120" t="s">
        <v>45</v>
      </c>
      <c r="AZ120" t="s">
        <v>35</v>
      </c>
      <c r="BA120" t="s">
        <v>12</v>
      </c>
      <c r="BB120" t="s">
        <v>13</v>
      </c>
      <c r="BC120" t="s">
        <v>7</v>
      </c>
      <c r="BD120">
        <v>3</v>
      </c>
      <c r="BE120" t="s">
        <v>14</v>
      </c>
      <c r="BF120">
        <v>1.25</v>
      </c>
    </row>
    <row r="121" spans="1:58" hidden="1" x14ac:dyDescent="0.2">
      <c r="A121">
        <v>120</v>
      </c>
      <c r="B121" t="s">
        <v>0</v>
      </c>
      <c r="C121">
        <v>47</v>
      </c>
      <c r="D121" t="s">
        <v>28</v>
      </c>
      <c r="E121" t="s">
        <v>127</v>
      </c>
      <c r="F121" t="s">
        <v>15</v>
      </c>
      <c r="G121" t="s">
        <v>38</v>
      </c>
      <c r="H121" t="s">
        <v>118</v>
      </c>
      <c r="I121" t="s">
        <v>112</v>
      </c>
      <c r="J121" t="s">
        <v>6</v>
      </c>
      <c r="K121" t="s">
        <v>7</v>
      </c>
      <c r="L121">
        <v>4</v>
      </c>
      <c r="M121">
        <v>8.1</v>
      </c>
      <c r="N121" t="s">
        <v>8</v>
      </c>
      <c r="O121" t="s">
        <v>7</v>
      </c>
      <c r="P121" t="s">
        <v>26</v>
      </c>
      <c r="Q121">
        <v>23</v>
      </c>
      <c r="R121">
        <v>9</v>
      </c>
      <c r="S121">
        <v>27.2</v>
      </c>
      <c r="T121">
        <v>118</v>
      </c>
      <c r="U121">
        <v>82</v>
      </c>
      <c r="V121">
        <v>8081</v>
      </c>
      <c r="W121">
        <v>45</v>
      </c>
      <c r="X121">
        <v>4</v>
      </c>
      <c r="Y121">
        <v>4</v>
      </c>
      <c r="Z121">
        <v>14</v>
      </c>
      <c r="AA121">
        <v>6.7</v>
      </c>
      <c r="AB121">
        <v>4</v>
      </c>
      <c r="AC121">
        <v>151</v>
      </c>
      <c r="AD121">
        <v>11</v>
      </c>
      <c r="AE121">
        <v>9</v>
      </c>
      <c r="AF121">
        <v>139</v>
      </c>
      <c r="AG121">
        <v>89</v>
      </c>
      <c r="AH121">
        <v>95</v>
      </c>
      <c r="AI121">
        <v>30</v>
      </c>
      <c r="AJ121">
        <v>22</v>
      </c>
      <c r="AK121">
        <v>26</v>
      </c>
      <c r="AL121">
        <v>18</v>
      </c>
      <c r="AM121">
        <v>4</v>
      </c>
      <c r="AN121">
        <v>63</v>
      </c>
      <c r="AO121">
        <v>37</v>
      </c>
      <c r="AP121">
        <v>31</v>
      </c>
      <c r="AQ121">
        <v>31</v>
      </c>
      <c r="AR121">
        <v>933</v>
      </c>
      <c r="AS121">
        <v>2146</v>
      </c>
      <c r="AT121" t="s">
        <v>7</v>
      </c>
      <c r="AU121">
        <v>0.05</v>
      </c>
      <c r="AV121">
        <v>2020</v>
      </c>
      <c r="AW121" s="1">
        <v>45727</v>
      </c>
      <c r="AX121">
        <v>13.7</v>
      </c>
      <c r="AY121" t="s">
        <v>36</v>
      </c>
      <c r="AZ121" t="s">
        <v>35</v>
      </c>
      <c r="BA121" t="s">
        <v>122</v>
      </c>
      <c r="BB121" t="s">
        <v>13</v>
      </c>
      <c r="BC121" t="s">
        <v>13</v>
      </c>
      <c r="BD121">
        <v>2</v>
      </c>
      <c r="BE121" t="s">
        <v>14</v>
      </c>
      <c r="BF121">
        <v>1.2</v>
      </c>
    </row>
    <row r="122" spans="1:58" hidden="1" x14ac:dyDescent="0.2">
      <c r="A122">
        <v>121</v>
      </c>
      <c r="B122" t="s">
        <v>0</v>
      </c>
      <c r="C122">
        <v>45</v>
      </c>
      <c r="D122" t="s">
        <v>28</v>
      </c>
      <c r="E122" t="s">
        <v>22</v>
      </c>
      <c r="F122" t="s">
        <v>15</v>
      </c>
      <c r="G122" t="s">
        <v>117</v>
      </c>
      <c r="H122" t="s">
        <v>5</v>
      </c>
      <c r="I122" t="s">
        <v>113</v>
      </c>
      <c r="J122" t="s">
        <v>18</v>
      </c>
      <c r="K122" t="s">
        <v>13</v>
      </c>
      <c r="L122">
        <v>6.9</v>
      </c>
      <c r="M122">
        <v>8.6</v>
      </c>
      <c r="N122" t="s">
        <v>39</v>
      </c>
      <c r="O122" t="s">
        <v>7</v>
      </c>
      <c r="P122" t="s">
        <v>9</v>
      </c>
      <c r="Q122">
        <v>32</v>
      </c>
      <c r="R122">
        <v>7</v>
      </c>
      <c r="S122">
        <v>30.8</v>
      </c>
      <c r="T122">
        <v>106</v>
      </c>
      <c r="U122">
        <v>80</v>
      </c>
      <c r="V122">
        <v>8024</v>
      </c>
      <c r="W122">
        <v>26.7</v>
      </c>
      <c r="X122">
        <v>4</v>
      </c>
      <c r="Y122">
        <v>7</v>
      </c>
      <c r="Z122">
        <v>8</v>
      </c>
      <c r="AA122">
        <v>2.1</v>
      </c>
      <c r="AB122">
        <v>3</v>
      </c>
      <c r="AC122">
        <v>338</v>
      </c>
      <c r="AD122">
        <v>10</v>
      </c>
      <c r="AE122">
        <v>5</v>
      </c>
      <c r="AF122">
        <v>212</v>
      </c>
      <c r="AG122">
        <v>150</v>
      </c>
      <c r="AH122">
        <v>207</v>
      </c>
      <c r="AI122">
        <v>51</v>
      </c>
      <c r="AJ122">
        <v>43</v>
      </c>
      <c r="AK122">
        <v>45</v>
      </c>
      <c r="AL122">
        <v>33</v>
      </c>
      <c r="AM122">
        <v>8</v>
      </c>
      <c r="AN122">
        <v>163</v>
      </c>
      <c r="AO122">
        <v>47</v>
      </c>
      <c r="AP122">
        <v>54</v>
      </c>
      <c r="AQ122">
        <v>72</v>
      </c>
      <c r="AR122">
        <v>1930</v>
      </c>
      <c r="AS122">
        <v>3643</v>
      </c>
      <c r="AT122" t="s">
        <v>13</v>
      </c>
      <c r="AU122">
        <v>0.97</v>
      </c>
      <c r="AV122">
        <v>2018</v>
      </c>
      <c r="AW122" s="1">
        <v>45673</v>
      </c>
      <c r="AX122">
        <v>33.799999999999997</v>
      </c>
      <c r="AY122" t="s">
        <v>27</v>
      </c>
      <c r="AZ122" t="s">
        <v>20</v>
      </c>
      <c r="BA122" t="s">
        <v>12</v>
      </c>
      <c r="BB122" t="s">
        <v>13</v>
      </c>
      <c r="BC122" t="s">
        <v>7</v>
      </c>
      <c r="BD122">
        <v>2</v>
      </c>
      <c r="BE122" t="s">
        <v>14</v>
      </c>
      <c r="BF122">
        <v>0.96</v>
      </c>
    </row>
    <row r="123" spans="1:58" hidden="1" x14ac:dyDescent="0.2">
      <c r="A123">
        <v>122</v>
      </c>
      <c r="B123" t="s">
        <v>0</v>
      </c>
      <c r="C123">
        <v>17</v>
      </c>
      <c r="D123" t="s">
        <v>28</v>
      </c>
      <c r="E123" t="s">
        <v>2</v>
      </c>
      <c r="F123" t="s">
        <v>15</v>
      </c>
      <c r="G123" t="s">
        <v>16</v>
      </c>
      <c r="H123" t="s">
        <v>118</v>
      </c>
      <c r="I123" t="s">
        <v>115</v>
      </c>
      <c r="J123" t="s">
        <v>32</v>
      </c>
      <c r="K123" t="s">
        <v>7</v>
      </c>
      <c r="L123">
        <v>2.2000000000000002</v>
      </c>
      <c r="M123">
        <v>7.4</v>
      </c>
      <c r="N123" t="s">
        <v>120</v>
      </c>
      <c r="O123" t="s">
        <v>41</v>
      </c>
      <c r="P123" t="s">
        <v>9</v>
      </c>
      <c r="Q123">
        <v>21</v>
      </c>
      <c r="R123">
        <v>1</v>
      </c>
      <c r="S123">
        <v>26.5</v>
      </c>
      <c r="T123">
        <v>152</v>
      </c>
      <c r="U123">
        <v>68</v>
      </c>
      <c r="V123">
        <v>8011</v>
      </c>
      <c r="W123">
        <v>45.7</v>
      </c>
      <c r="X123">
        <v>2</v>
      </c>
      <c r="Y123">
        <v>4</v>
      </c>
      <c r="Z123">
        <v>6</v>
      </c>
      <c r="AA123">
        <v>0</v>
      </c>
      <c r="AB123">
        <v>4</v>
      </c>
      <c r="AC123">
        <v>305</v>
      </c>
      <c r="AD123">
        <v>17</v>
      </c>
      <c r="AE123">
        <v>13</v>
      </c>
      <c r="AF123">
        <v>275</v>
      </c>
      <c r="AG123">
        <v>150</v>
      </c>
      <c r="AH123">
        <v>163</v>
      </c>
      <c r="AI123">
        <v>50</v>
      </c>
      <c r="AJ123">
        <v>43</v>
      </c>
      <c r="AK123">
        <v>44</v>
      </c>
      <c r="AL123">
        <v>26</v>
      </c>
      <c r="AM123">
        <v>4</v>
      </c>
      <c r="AN123">
        <v>124</v>
      </c>
      <c r="AO123">
        <v>88</v>
      </c>
      <c r="AP123">
        <v>38</v>
      </c>
      <c r="AQ123">
        <v>95</v>
      </c>
      <c r="AR123">
        <v>1970</v>
      </c>
      <c r="AS123">
        <v>2950</v>
      </c>
      <c r="AT123" t="s">
        <v>13</v>
      </c>
      <c r="AU123">
        <v>0.75</v>
      </c>
      <c r="AV123">
        <v>2018</v>
      </c>
      <c r="AW123" s="1">
        <v>45892</v>
      </c>
      <c r="AX123">
        <v>17.899999999999999</v>
      </c>
      <c r="AY123" t="s">
        <v>45</v>
      </c>
      <c r="AZ123" t="s">
        <v>48</v>
      </c>
      <c r="BA123" t="s">
        <v>21</v>
      </c>
      <c r="BB123" t="s">
        <v>13</v>
      </c>
      <c r="BC123" t="s">
        <v>7</v>
      </c>
      <c r="BD123">
        <v>1</v>
      </c>
      <c r="BE123" t="s">
        <v>43</v>
      </c>
      <c r="BF123">
        <v>0.99</v>
      </c>
    </row>
    <row r="124" spans="1:58" hidden="1" x14ac:dyDescent="0.2">
      <c r="A124">
        <v>123</v>
      </c>
      <c r="B124" t="s">
        <v>0</v>
      </c>
      <c r="C124">
        <v>54</v>
      </c>
      <c r="D124" t="s">
        <v>1</v>
      </c>
      <c r="E124" t="s">
        <v>22</v>
      </c>
      <c r="F124" t="s">
        <v>40</v>
      </c>
      <c r="G124" t="s">
        <v>117</v>
      </c>
      <c r="H124" t="s">
        <v>23</v>
      </c>
      <c r="I124" t="s">
        <v>17</v>
      </c>
      <c r="J124" t="s">
        <v>6</v>
      </c>
      <c r="K124" t="s">
        <v>7</v>
      </c>
      <c r="L124">
        <v>9.3000000000000007</v>
      </c>
      <c r="M124">
        <v>7.6</v>
      </c>
      <c r="N124" t="s">
        <v>8</v>
      </c>
      <c r="O124" t="s">
        <v>41</v>
      </c>
      <c r="P124" t="s">
        <v>9</v>
      </c>
      <c r="Q124">
        <v>14</v>
      </c>
      <c r="R124">
        <v>4</v>
      </c>
      <c r="S124">
        <v>25.7</v>
      </c>
      <c r="T124">
        <v>145</v>
      </c>
      <c r="U124">
        <v>85</v>
      </c>
      <c r="V124">
        <v>7979</v>
      </c>
      <c r="W124">
        <v>32</v>
      </c>
      <c r="X124">
        <v>2</v>
      </c>
      <c r="Y124">
        <v>4</v>
      </c>
      <c r="Z124">
        <v>7</v>
      </c>
      <c r="AA124">
        <v>0.7</v>
      </c>
      <c r="AB124">
        <v>2</v>
      </c>
      <c r="AC124">
        <v>103</v>
      </c>
      <c r="AD124">
        <v>3</v>
      </c>
      <c r="AE124">
        <v>1</v>
      </c>
      <c r="AF124">
        <v>97</v>
      </c>
      <c r="AG124">
        <v>73</v>
      </c>
      <c r="AH124">
        <v>78</v>
      </c>
      <c r="AI124">
        <v>24</v>
      </c>
      <c r="AJ124">
        <v>25</v>
      </c>
      <c r="AK124">
        <v>30</v>
      </c>
      <c r="AL124">
        <v>17</v>
      </c>
      <c r="AM124">
        <v>2</v>
      </c>
      <c r="AN124">
        <v>51</v>
      </c>
      <c r="AO124">
        <v>16</v>
      </c>
      <c r="AP124">
        <v>10</v>
      </c>
      <c r="AQ124">
        <v>28</v>
      </c>
      <c r="AR124">
        <v>578</v>
      </c>
      <c r="AS124">
        <v>232</v>
      </c>
      <c r="AT124" t="s">
        <v>7</v>
      </c>
      <c r="AU124">
        <v>0.69</v>
      </c>
      <c r="AV124">
        <v>2025</v>
      </c>
      <c r="AW124" s="1">
        <v>45829</v>
      </c>
      <c r="AX124">
        <v>34.299999999999997</v>
      </c>
      <c r="AY124" t="s">
        <v>27</v>
      </c>
      <c r="AZ124" t="s">
        <v>11</v>
      </c>
      <c r="BA124" t="s">
        <v>21</v>
      </c>
      <c r="BB124" t="s">
        <v>7</v>
      </c>
      <c r="BC124" t="s">
        <v>7</v>
      </c>
      <c r="BD124">
        <v>0</v>
      </c>
      <c r="BE124" t="s">
        <v>43</v>
      </c>
      <c r="BF124">
        <v>1.24</v>
      </c>
    </row>
    <row r="125" spans="1:58" hidden="1" x14ac:dyDescent="0.2">
      <c r="A125">
        <v>124</v>
      </c>
      <c r="B125" t="s">
        <v>0</v>
      </c>
      <c r="C125">
        <v>51</v>
      </c>
      <c r="D125" t="s">
        <v>28</v>
      </c>
      <c r="E125" t="s">
        <v>128</v>
      </c>
      <c r="F125" t="s">
        <v>15</v>
      </c>
      <c r="G125" t="s">
        <v>116</v>
      </c>
      <c r="H125" t="s">
        <v>118</v>
      </c>
      <c r="I125" t="s">
        <v>113</v>
      </c>
      <c r="J125" t="s">
        <v>32</v>
      </c>
      <c r="K125" t="s">
        <v>7</v>
      </c>
      <c r="L125">
        <v>13.3</v>
      </c>
      <c r="M125">
        <v>6.7</v>
      </c>
      <c r="N125" t="s">
        <v>8</v>
      </c>
      <c r="O125" t="s">
        <v>13</v>
      </c>
      <c r="P125" t="s">
        <v>26</v>
      </c>
      <c r="Q125">
        <v>9</v>
      </c>
      <c r="R125">
        <v>10</v>
      </c>
      <c r="S125">
        <v>24.9</v>
      </c>
      <c r="T125">
        <v>100</v>
      </c>
      <c r="U125">
        <v>60</v>
      </c>
      <c r="V125">
        <v>7942</v>
      </c>
      <c r="W125">
        <v>51.5</v>
      </c>
      <c r="X125">
        <v>3</v>
      </c>
      <c r="Y125">
        <v>6</v>
      </c>
      <c r="Z125">
        <v>12</v>
      </c>
      <c r="AA125">
        <v>7.2</v>
      </c>
      <c r="AB125">
        <v>0</v>
      </c>
      <c r="AC125">
        <v>65</v>
      </c>
      <c r="AD125">
        <v>2</v>
      </c>
      <c r="AE125">
        <v>2</v>
      </c>
      <c r="AF125">
        <v>76</v>
      </c>
      <c r="AG125">
        <v>56</v>
      </c>
      <c r="AH125">
        <v>68</v>
      </c>
      <c r="AI125">
        <v>18</v>
      </c>
      <c r="AJ125">
        <v>19</v>
      </c>
      <c r="AK125">
        <v>10</v>
      </c>
      <c r="AL125">
        <v>12</v>
      </c>
      <c r="AM125">
        <v>2</v>
      </c>
      <c r="AN125">
        <v>32</v>
      </c>
      <c r="AO125">
        <v>15</v>
      </c>
      <c r="AP125">
        <v>7</v>
      </c>
      <c r="AQ125">
        <v>23</v>
      </c>
      <c r="AR125">
        <v>955</v>
      </c>
      <c r="AS125">
        <v>1009</v>
      </c>
      <c r="AT125" t="s">
        <v>7</v>
      </c>
      <c r="AU125">
        <v>0.89</v>
      </c>
      <c r="AV125">
        <v>2024</v>
      </c>
      <c r="AW125" s="1">
        <v>45996</v>
      </c>
      <c r="AX125">
        <v>32.5</v>
      </c>
      <c r="AY125" t="s">
        <v>27</v>
      </c>
      <c r="AZ125" t="s">
        <v>20</v>
      </c>
      <c r="BA125" t="s">
        <v>21</v>
      </c>
      <c r="BB125" t="s">
        <v>13</v>
      </c>
      <c r="BC125" t="s">
        <v>7</v>
      </c>
      <c r="BD125">
        <v>1</v>
      </c>
      <c r="BE125" t="s">
        <v>49</v>
      </c>
      <c r="BF125">
        <v>1.67</v>
      </c>
    </row>
    <row r="126" spans="1:58" hidden="1" x14ac:dyDescent="0.2">
      <c r="A126">
        <v>125</v>
      </c>
      <c r="B126" t="s">
        <v>0</v>
      </c>
      <c r="C126">
        <v>53</v>
      </c>
      <c r="D126" t="s">
        <v>1</v>
      </c>
      <c r="E126" t="s">
        <v>22</v>
      </c>
      <c r="F126" t="s">
        <v>15</v>
      </c>
      <c r="G126" t="s">
        <v>117</v>
      </c>
      <c r="H126" t="s">
        <v>118</v>
      </c>
      <c r="I126" t="s">
        <v>112</v>
      </c>
      <c r="J126" t="s">
        <v>6</v>
      </c>
      <c r="K126" t="s">
        <v>7</v>
      </c>
      <c r="L126">
        <v>5.4</v>
      </c>
      <c r="M126">
        <v>6.8</v>
      </c>
      <c r="N126" t="s">
        <v>25</v>
      </c>
      <c r="O126" t="s">
        <v>7</v>
      </c>
      <c r="P126" t="s">
        <v>26</v>
      </c>
      <c r="Q126">
        <v>14</v>
      </c>
      <c r="R126">
        <v>2</v>
      </c>
      <c r="S126">
        <v>20.399999999999999</v>
      </c>
      <c r="T126">
        <v>123</v>
      </c>
      <c r="U126">
        <v>66</v>
      </c>
      <c r="V126">
        <v>8041</v>
      </c>
      <c r="W126">
        <v>21.1</v>
      </c>
      <c r="X126">
        <v>1</v>
      </c>
      <c r="Y126">
        <v>4</v>
      </c>
      <c r="Z126">
        <v>9</v>
      </c>
      <c r="AA126">
        <v>8.3000000000000007</v>
      </c>
      <c r="AB126">
        <v>3</v>
      </c>
      <c r="AC126">
        <v>168</v>
      </c>
      <c r="AD126">
        <v>11</v>
      </c>
      <c r="AE126">
        <v>2</v>
      </c>
      <c r="AF126">
        <v>162</v>
      </c>
      <c r="AG126">
        <v>82</v>
      </c>
      <c r="AH126">
        <v>126</v>
      </c>
      <c r="AI126">
        <v>39</v>
      </c>
      <c r="AJ126">
        <v>18</v>
      </c>
      <c r="AK126">
        <v>22</v>
      </c>
      <c r="AL126">
        <v>16</v>
      </c>
      <c r="AM126">
        <v>6</v>
      </c>
      <c r="AN126">
        <v>72</v>
      </c>
      <c r="AO126">
        <v>36</v>
      </c>
      <c r="AP126">
        <v>27</v>
      </c>
      <c r="AQ126">
        <v>57</v>
      </c>
      <c r="AR126">
        <v>1053</v>
      </c>
      <c r="AS126">
        <v>718</v>
      </c>
      <c r="AT126" t="s">
        <v>7</v>
      </c>
      <c r="AU126">
        <v>0.39</v>
      </c>
      <c r="AV126">
        <v>2016</v>
      </c>
      <c r="AW126" s="1">
        <v>45742</v>
      </c>
      <c r="AX126">
        <v>15.3</v>
      </c>
      <c r="AY126" t="s">
        <v>19</v>
      </c>
      <c r="AZ126" t="s">
        <v>11</v>
      </c>
      <c r="BA126" t="s">
        <v>21</v>
      </c>
      <c r="BB126" t="s">
        <v>13</v>
      </c>
      <c r="BC126" t="s">
        <v>7</v>
      </c>
      <c r="BD126">
        <v>1</v>
      </c>
      <c r="BE126" t="s">
        <v>14</v>
      </c>
      <c r="BF126">
        <v>1.24</v>
      </c>
    </row>
    <row r="127" spans="1:58" hidden="1" x14ac:dyDescent="0.2">
      <c r="A127">
        <v>126</v>
      </c>
      <c r="B127" t="s">
        <v>0</v>
      </c>
      <c r="C127">
        <v>40</v>
      </c>
      <c r="D127" t="s">
        <v>1</v>
      </c>
      <c r="E127" t="s">
        <v>128</v>
      </c>
      <c r="F127" t="s">
        <v>40</v>
      </c>
      <c r="G127" t="s">
        <v>116</v>
      </c>
      <c r="H127" t="s">
        <v>23</v>
      </c>
      <c r="I127" t="s">
        <v>112</v>
      </c>
      <c r="J127" t="s">
        <v>123</v>
      </c>
      <c r="K127" t="s">
        <v>7</v>
      </c>
      <c r="L127">
        <v>2.8</v>
      </c>
      <c r="M127">
        <v>5.0999999999999996</v>
      </c>
      <c r="N127" t="s">
        <v>29</v>
      </c>
      <c r="O127" t="s">
        <v>7</v>
      </c>
      <c r="P127" t="s">
        <v>9</v>
      </c>
      <c r="Q127">
        <v>22</v>
      </c>
      <c r="R127">
        <v>9</v>
      </c>
      <c r="S127">
        <v>31</v>
      </c>
      <c r="T127">
        <v>97</v>
      </c>
      <c r="U127">
        <v>60</v>
      </c>
      <c r="V127">
        <v>8067</v>
      </c>
      <c r="W127">
        <v>42.3</v>
      </c>
      <c r="X127">
        <v>3</v>
      </c>
      <c r="Y127">
        <v>4</v>
      </c>
      <c r="Z127">
        <v>7</v>
      </c>
      <c r="AA127">
        <v>3.9</v>
      </c>
      <c r="AB127">
        <v>4</v>
      </c>
      <c r="AC127">
        <v>137</v>
      </c>
      <c r="AD127">
        <v>11</v>
      </c>
      <c r="AE127">
        <v>2</v>
      </c>
      <c r="AF127">
        <v>118</v>
      </c>
      <c r="AG127">
        <v>80</v>
      </c>
      <c r="AH127">
        <v>102</v>
      </c>
      <c r="AI127">
        <v>30</v>
      </c>
      <c r="AJ127">
        <v>26</v>
      </c>
      <c r="AK127">
        <v>20</v>
      </c>
      <c r="AL127">
        <v>16</v>
      </c>
      <c r="AM127">
        <v>2</v>
      </c>
      <c r="AN127">
        <v>64</v>
      </c>
      <c r="AO127">
        <v>23</v>
      </c>
      <c r="AP127">
        <v>16</v>
      </c>
      <c r="AQ127">
        <v>48</v>
      </c>
      <c r="AR127">
        <v>904</v>
      </c>
      <c r="AS127">
        <v>617</v>
      </c>
      <c r="AT127" t="s">
        <v>13</v>
      </c>
      <c r="AU127">
        <v>0.61</v>
      </c>
      <c r="AV127">
        <v>2011</v>
      </c>
      <c r="AW127" s="1">
        <v>45876</v>
      </c>
      <c r="AX127">
        <v>12.5</v>
      </c>
      <c r="AY127" t="s">
        <v>10</v>
      </c>
      <c r="AZ127" t="s">
        <v>20</v>
      </c>
      <c r="BA127" t="s">
        <v>21</v>
      </c>
      <c r="BB127" t="s">
        <v>13</v>
      </c>
      <c r="BC127" t="s">
        <v>7</v>
      </c>
      <c r="BD127">
        <v>1</v>
      </c>
      <c r="BE127" t="s">
        <v>14</v>
      </c>
      <c r="BF127">
        <v>1.22</v>
      </c>
    </row>
    <row r="128" spans="1:58" hidden="1" x14ac:dyDescent="0.2">
      <c r="A128">
        <v>127</v>
      </c>
      <c r="B128" t="s">
        <v>0</v>
      </c>
      <c r="C128">
        <v>19</v>
      </c>
      <c r="D128" t="s">
        <v>28</v>
      </c>
      <c r="E128" t="s">
        <v>33</v>
      </c>
      <c r="F128" t="s">
        <v>15</v>
      </c>
      <c r="G128" t="s">
        <v>38</v>
      </c>
      <c r="H128" t="s">
        <v>118</v>
      </c>
      <c r="I128" t="s">
        <v>115</v>
      </c>
      <c r="J128" t="s">
        <v>6</v>
      </c>
      <c r="K128" t="s">
        <v>7</v>
      </c>
      <c r="L128">
        <v>5.5</v>
      </c>
      <c r="M128">
        <v>5.8</v>
      </c>
      <c r="N128" t="s">
        <v>29</v>
      </c>
      <c r="O128" t="s">
        <v>7</v>
      </c>
      <c r="P128" t="s">
        <v>46</v>
      </c>
      <c r="Q128">
        <v>15</v>
      </c>
      <c r="R128">
        <v>9</v>
      </c>
      <c r="S128">
        <v>30.8</v>
      </c>
      <c r="T128">
        <v>158</v>
      </c>
      <c r="U128">
        <v>67</v>
      </c>
      <c r="V128">
        <v>7931</v>
      </c>
      <c r="W128">
        <v>33.9</v>
      </c>
      <c r="X128">
        <v>3</v>
      </c>
      <c r="Y128">
        <v>3</v>
      </c>
      <c r="Z128">
        <v>9</v>
      </c>
      <c r="AA128">
        <v>6.4</v>
      </c>
      <c r="AB128">
        <v>5</v>
      </c>
      <c r="AC128">
        <v>120</v>
      </c>
      <c r="AD128">
        <v>4</v>
      </c>
      <c r="AE128">
        <v>5</v>
      </c>
      <c r="AF128">
        <v>187</v>
      </c>
      <c r="AG128">
        <v>78</v>
      </c>
      <c r="AH128">
        <v>85</v>
      </c>
      <c r="AI128">
        <v>31</v>
      </c>
      <c r="AJ128">
        <v>29</v>
      </c>
      <c r="AK128">
        <v>19</v>
      </c>
      <c r="AL128">
        <v>17</v>
      </c>
      <c r="AM128">
        <v>2</v>
      </c>
      <c r="AN128">
        <v>60</v>
      </c>
      <c r="AO128">
        <v>31</v>
      </c>
      <c r="AP128">
        <v>12</v>
      </c>
      <c r="AQ128">
        <v>31</v>
      </c>
      <c r="AR128">
        <v>266</v>
      </c>
      <c r="AS128">
        <v>169</v>
      </c>
      <c r="AT128" t="s">
        <v>7</v>
      </c>
      <c r="AU128">
        <v>0.43</v>
      </c>
      <c r="AV128">
        <v>2021</v>
      </c>
      <c r="AW128" s="1">
        <v>45808</v>
      </c>
      <c r="AX128">
        <v>30</v>
      </c>
      <c r="AY128" t="s">
        <v>36</v>
      </c>
      <c r="AZ128" t="s">
        <v>11</v>
      </c>
      <c r="BA128" t="s">
        <v>122</v>
      </c>
      <c r="BB128" t="s">
        <v>13</v>
      </c>
      <c r="BC128" t="s">
        <v>7</v>
      </c>
      <c r="BD128">
        <v>5</v>
      </c>
      <c r="BE128" t="s">
        <v>49</v>
      </c>
      <c r="BF128">
        <v>1.34</v>
      </c>
    </row>
    <row r="129" spans="1:58" hidden="1" x14ac:dyDescent="0.2">
      <c r="A129">
        <v>128</v>
      </c>
      <c r="B129" t="s">
        <v>0</v>
      </c>
      <c r="C129">
        <v>21</v>
      </c>
      <c r="D129" t="s">
        <v>124</v>
      </c>
      <c r="E129" t="s">
        <v>42</v>
      </c>
      <c r="F129" t="s">
        <v>40</v>
      </c>
      <c r="G129" t="s">
        <v>116</v>
      </c>
      <c r="H129" t="s">
        <v>118</v>
      </c>
      <c r="I129" t="s">
        <v>114</v>
      </c>
      <c r="J129" t="s">
        <v>123</v>
      </c>
      <c r="K129" t="s">
        <v>13</v>
      </c>
      <c r="L129">
        <v>12.7</v>
      </c>
      <c r="M129">
        <v>8.9</v>
      </c>
      <c r="N129" t="s">
        <v>39</v>
      </c>
      <c r="O129" t="s">
        <v>7</v>
      </c>
      <c r="P129" t="s">
        <v>26</v>
      </c>
      <c r="Q129">
        <v>31</v>
      </c>
      <c r="R129">
        <v>3</v>
      </c>
      <c r="S129">
        <v>21.9</v>
      </c>
      <c r="T129">
        <v>101</v>
      </c>
      <c r="U129">
        <v>69</v>
      </c>
      <c r="V129">
        <v>7971</v>
      </c>
      <c r="W129">
        <v>38.299999999999997</v>
      </c>
      <c r="X129">
        <v>5</v>
      </c>
      <c r="Y129">
        <v>3</v>
      </c>
      <c r="Z129">
        <v>6</v>
      </c>
      <c r="AA129">
        <v>0.9</v>
      </c>
      <c r="AB129">
        <v>6</v>
      </c>
      <c r="AC129">
        <v>315</v>
      </c>
      <c r="AD129">
        <v>18</v>
      </c>
      <c r="AE129">
        <v>12</v>
      </c>
      <c r="AF129">
        <v>300</v>
      </c>
      <c r="AG129">
        <v>150</v>
      </c>
      <c r="AH129">
        <v>183</v>
      </c>
      <c r="AI129">
        <v>51</v>
      </c>
      <c r="AJ129">
        <v>30</v>
      </c>
      <c r="AK129">
        <v>49</v>
      </c>
      <c r="AL129">
        <v>33</v>
      </c>
      <c r="AM129">
        <v>8</v>
      </c>
      <c r="AN129">
        <v>127</v>
      </c>
      <c r="AO129">
        <v>73</v>
      </c>
      <c r="AP129">
        <v>69</v>
      </c>
      <c r="AQ129">
        <v>77</v>
      </c>
      <c r="AR129">
        <v>2026</v>
      </c>
      <c r="AS129">
        <v>1377</v>
      </c>
      <c r="AT129" t="s">
        <v>13</v>
      </c>
      <c r="AU129">
        <v>0.46</v>
      </c>
      <c r="AV129">
        <v>2016</v>
      </c>
      <c r="AW129" s="1">
        <v>45724</v>
      </c>
      <c r="AX129">
        <v>17.5</v>
      </c>
      <c r="AY129" t="s">
        <v>10</v>
      </c>
      <c r="AZ129" t="s">
        <v>17</v>
      </c>
      <c r="BA129" t="s">
        <v>12</v>
      </c>
      <c r="BB129" t="s">
        <v>7</v>
      </c>
      <c r="BC129" t="s">
        <v>7</v>
      </c>
      <c r="BD129">
        <v>4</v>
      </c>
      <c r="BE129" t="s">
        <v>14</v>
      </c>
      <c r="BF129">
        <v>1.02</v>
      </c>
    </row>
    <row r="130" spans="1:58" hidden="1" x14ac:dyDescent="0.2">
      <c r="A130">
        <v>129</v>
      </c>
      <c r="B130" t="s">
        <v>0</v>
      </c>
      <c r="C130">
        <v>20</v>
      </c>
      <c r="D130" t="s">
        <v>1</v>
      </c>
      <c r="E130" t="s">
        <v>126</v>
      </c>
      <c r="F130" t="s">
        <v>3</v>
      </c>
      <c r="G130" t="s">
        <v>117</v>
      </c>
      <c r="H130" t="s">
        <v>119</v>
      </c>
      <c r="I130" t="s">
        <v>112</v>
      </c>
      <c r="J130" t="s">
        <v>123</v>
      </c>
      <c r="K130" t="s">
        <v>7</v>
      </c>
      <c r="L130">
        <v>13.5</v>
      </c>
      <c r="M130">
        <v>6.2</v>
      </c>
      <c r="N130" t="s">
        <v>120</v>
      </c>
      <c r="O130" t="s">
        <v>7</v>
      </c>
      <c r="P130" t="s">
        <v>26</v>
      </c>
      <c r="Q130">
        <v>16</v>
      </c>
      <c r="R130">
        <v>8</v>
      </c>
      <c r="S130">
        <v>27.2</v>
      </c>
      <c r="T130">
        <v>122</v>
      </c>
      <c r="U130">
        <v>92</v>
      </c>
      <c r="V130">
        <v>7958</v>
      </c>
      <c r="W130">
        <v>47.6</v>
      </c>
      <c r="X130">
        <v>8</v>
      </c>
      <c r="Y130">
        <v>7</v>
      </c>
      <c r="Z130">
        <v>9</v>
      </c>
      <c r="AA130">
        <v>3.6</v>
      </c>
      <c r="AB130">
        <v>4</v>
      </c>
      <c r="AC130">
        <v>214</v>
      </c>
      <c r="AD130">
        <v>7</v>
      </c>
      <c r="AE130">
        <v>12</v>
      </c>
      <c r="AF130">
        <v>281</v>
      </c>
      <c r="AG130">
        <v>112</v>
      </c>
      <c r="AH130">
        <v>132</v>
      </c>
      <c r="AI130">
        <v>41</v>
      </c>
      <c r="AJ130">
        <v>35</v>
      </c>
      <c r="AK130">
        <v>30</v>
      </c>
      <c r="AL130">
        <v>28</v>
      </c>
      <c r="AM130">
        <v>9</v>
      </c>
      <c r="AN130">
        <v>126</v>
      </c>
      <c r="AO130">
        <v>22</v>
      </c>
      <c r="AP130">
        <v>22</v>
      </c>
      <c r="AQ130">
        <v>46</v>
      </c>
      <c r="AR130">
        <v>224</v>
      </c>
      <c r="AS130">
        <v>147</v>
      </c>
      <c r="AT130" t="s">
        <v>7</v>
      </c>
      <c r="AU130">
        <v>0.49</v>
      </c>
      <c r="AV130">
        <v>2021</v>
      </c>
      <c r="AW130" s="1">
        <v>45794</v>
      </c>
      <c r="AX130">
        <v>30.6</v>
      </c>
      <c r="AY130" t="s">
        <v>19</v>
      </c>
      <c r="AZ130" t="s">
        <v>31</v>
      </c>
      <c r="BA130" t="s">
        <v>12</v>
      </c>
      <c r="BB130" t="s">
        <v>7</v>
      </c>
      <c r="BC130" t="s">
        <v>7</v>
      </c>
      <c r="BD130">
        <v>5</v>
      </c>
      <c r="BE130" t="s">
        <v>14</v>
      </c>
      <c r="BF130">
        <v>1.1599999999999999</v>
      </c>
    </row>
    <row r="131" spans="1:58" hidden="1" x14ac:dyDescent="0.2">
      <c r="A131">
        <v>130</v>
      </c>
      <c r="B131" t="s">
        <v>0</v>
      </c>
      <c r="C131">
        <v>24</v>
      </c>
      <c r="D131" t="s">
        <v>28</v>
      </c>
      <c r="E131" t="s">
        <v>2</v>
      </c>
      <c r="F131" t="s">
        <v>15</v>
      </c>
      <c r="G131" t="s">
        <v>4</v>
      </c>
      <c r="H131" t="s">
        <v>118</v>
      </c>
      <c r="I131" t="s">
        <v>115</v>
      </c>
      <c r="J131" t="s">
        <v>123</v>
      </c>
      <c r="K131" t="s">
        <v>7</v>
      </c>
      <c r="L131">
        <v>2.6</v>
      </c>
      <c r="M131">
        <v>8.6</v>
      </c>
      <c r="N131" t="s">
        <v>8</v>
      </c>
      <c r="O131" t="s">
        <v>41</v>
      </c>
      <c r="P131" t="s">
        <v>52</v>
      </c>
      <c r="Q131">
        <v>5</v>
      </c>
      <c r="R131">
        <v>8</v>
      </c>
      <c r="S131">
        <v>26.8</v>
      </c>
      <c r="T131">
        <v>115</v>
      </c>
      <c r="U131">
        <v>62</v>
      </c>
      <c r="V131">
        <v>8080</v>
      </c>
      <c r="W131">
        <v>35.700000000000003</v>
      </c>
      <c r="X131">
        <v>3</v>
      </c>
      <c r="Y131">
        <v>3</v>
      </c>
      <c r="Z131">
        <v>20</v>
      </c>
      <c r="AA131">
        <v>2.2999999999999998</v>
      </c>
      <c r="AB131">
        <v>3</v>
      </c>
      <c r="AC131">
        <v>61</v>
      </c>
      <c r="AD131">
        <v>4</v>
      </c>
      <c r="AE131">
        <v>5</v>
      </c>
      <c r="AF131">
        <v>156</v>
      </c>
      <c r="AG131">
        <v>55</v>
      </c>
      <c r="AH131">
        <v>65</v>
      </c>
      <c r="AI131">
        <v>12</v>
      </c>
      <c r="AJ131">
        <v>12</v>
      </c>
      <c r="AK131">
        <v>11</v>
      </c>
      <c r="AL131">
        <v>9</v>
      </c>
      <c r="AM131">
        <v>1</v>
      </c>
      <c r="AN131">
        <v>29</v>
      </c>
      <c r="AO131">
        <v>14</v>
      </c>
      <c r="AP131">
        <v>10</v>
      </c>
      <c r="AQ131">
        <v>22</v>
      </c>
      <c r="AR131">
        <v>1607</v>
      </c>
      <c r="AS131">
        <v>2776</v>
      </c>
      <c r="AT131" t="s">
        <v>7</v>
      </c>
      <c r="AU131">
        <v>0.63</v>
      </c>
      <c r="AV131">
        <v>2013</v>
      </c>
      <c r="AW131" s="1">
        <v>45940</v>
      </c>
      <c r="AX131">
        <v>15.2</v>
      </c>
      <c r="AY131" t="s">
        <v>10</v>
      </c>
      <c r="AZ131" t="s">
        <v>17</v>
      </c>
      <c r="BA131" t="s">
        <v>122</v>
      </c>
      <c r="BB131" t="s">
        <v>7</v>
      </c>
      <c r="BC131" t="s">
        <v>7</v>
      </c>
      <c r="BD131">
        <v>1</v>
      </c>
      <c r="BE131" t="s">
        <v>49</v>
      </c>
      <c r="BF131">
        <v>1.68</v>
      </c>
    </row>
    <row r="132" spans="1:58" hidden="1" x14ac:dyDescent="0.2">
      <c r="A132">
        <v>131</v>
      </c>
      <c r="B132" t="s">
        <v>0</v>
      </c>
      <c r="C132">
        <v>46</v>
      </c>
      <c r="D132" t="s">
        <v>28</v>
      </c>
      <c r="E132" t="s">
        <v>128</v>
      </c>
      <c r="F132" t="s">
        <v>15</v>
      </c>
      <c r="G132" t="s">
        <v>4</v>
      </c>
      <c r="H132" t="s">
        <v>118</v>
      </c>
      <c r="I132" t="s">
        <v>115</v>
      </c>
      <c r="J132" t="s">
        <v>44</v>
      </c>
      <c r="K132" t="s">
        <v>7</v>
      </c>
      <c r="L132">
        <v>13.2</v>
      </c>
      <c r="M132">
        <v>7.3</v>
      </c>
      <c r="N132" t="s">
        <v>25</v>
      </c>
      <c r="O132" t="s">
        <v>7</v>
      </c>
      <c r="P132" t="s">
        <v>121</v>
      </c>
      <c r="Q132">
        <v>26</v>
      </c>
      <c r="R132">
        <v>3</v>
      </c>
      <c r="S132">
        <v>27.7</v>
      </c>
      <c r="T132">
        <v>152</v>
      </c>
      <c r="U132">
        <v>67</v>
      </c>
      <c r="V132">
        <v>8037</v>
      </c>
      <c r="W132">
        <v>30.1</v>
      </c>
      <c r="X132">
        <v>3</v>
      </c>
      <c r="Y132">
        <v>5</v>
      </c>
      <c r="Z132">
        <v>9</v>
      </c>
      <c r="AA132">
        <v>2.2999999999999998</v>
      </c>
      <c r="AB132">
        <v>3</v>
      </c>
      <c r="AC132">
        <v>263</v>
      </c>
      <c r="AD132">
        <v>8</v>
      </c>
      <c r="AE132">
        <v>6</v>
      </c>
      <c r="AF132">
        <v>224</v>
      </c>
      <c r="AG132">
        <v>132</v>
      </c>
      <c r="AH132">
        <v>161</v>
      </c>
      <c r="AI132">
        <v>51</v>
      </c>
      <c r="AJ132">
        <v>31</v>
      </c>
      <c r="AK132">
        <v>37</v>
      </c>
      <c r="AL132">
        <v>24</v>
      </c>
      <c r="AM132">
        <v>3</v>
      </c>
      <c r="AN132">
        <v>137</v>
      </c>
      <c r="AO132">
        <v>30</v>
      </c>
      <c r="AP132">
        <v>37</v>
      </c>
      <c r="AQ132">
        <v>101</v>
      </c>
      <c r="AR132">
        <v>242</v>
      </c>
      <c r="AS132">
        <v>291</v>
      </c>
      <c r="AT132" t="s">
        <v>13</v>
      </c>
      <c r="AU132">
        <v>0.54</v>
      </c>
      <c r="AV132">
        <v>2016</v>
      </c>
      <c r="AW132" s="1">
        <v>45691</v>
      </c>
      <c r="AX132">
        <v>32.9</v>
      </c>
      <c r="AY132" t="s">
        <v>30</v>
      </c>
      <c r="AZ132" t="s">
        <v>11</v>
      </c>
      <c r="BA132" t="s">
        <v>12</v>
      </c>
      <c r="BB132" t="s">
        <v>13</v>
      </c>
      <c r="BC132" t="s">
        <v>7</v>
      </c>
      <c r="BD132">
        <v>3</v>
      </c>
      <c r="BE132" t="s">
        <v>14</v>
      </c>
      <c r="BF132">
        <v>1.06</v>
      </c>
    </row>
    <row r="133" spans="1:58" hidden="1" x14ac:dyDescent="0.2">
      <c r="A133">
        <v>132</v>
      </c>
      <c r="B133" t="s">
        <v>0</v>
      </c>
      <c r="C133">
        <v>45</v>
      </c>
      <c r="D133" t="s">
        <v>28</v>
      </c>
      <c r="E133" t="s">
        <v>2</v>
      </c>
      <c r="F133" t="s">
        <v>15</v>
      </c>
      <c r="G133" t="s">
        <v>38</v>
      </c>
      <c r="H133" t="s">
        <v>5</v>
      </c>
      <c r="I133" t="s">
        <v>112</v>
      </c>
      <c r="J133" t="s">
        <v>32</v>
      </c>
      <c r="K133" t="s">
        <v>13</v>
      </c>
      <c r="L133">
        <v>8</v>
      </c>
      <c r="M133">
        <v>7.7</v>
      </c>
      <c r="N133" t="s">
        <v>29</v>
      </c>
      <c r="O133" t="s">
        <v>7</v>
      </c>
      <c r="P133" t="s">
        <v>9</v>
      </c>
      <c r="Q133">
        <v>30</v>
      </c>
      <c r="R133">
        <v>6</v>
      </c>
      <c r="S133">
        <v>20.7</v>
      </c>
      <c r="T133">
        <v>143</v>
      </c>
      <c r="U133">
        <v>99</v>
      </c>
      <c r="V133">
        <v>8104</v>
      </c>
      <c r="W133">
        <v>39.4</v>
      </c>
      <c r="X133">
        <v>3</v>
      </c>
      <c r="Y133">
        <v>3</v>
      </c>
      <c r="Z133">
        <v>4</v>
      </c>
      <c r="AA133">
        <v>3.5</v>
      </c>
      <c r="AB133">
        <v>0</v>
      </c>
      <c r="AC133">
        <v>278</v>
      </c>
      <c r="AD133">
        <v>11</v>
      </c>
      <c r="AE133">
        <v>9</v>
      </c>
      <c r="AF133">
        <v>212</v>
      </c>
      <c r="AG133">
        <v>128</v>
      </c>
      <c r="AH133">
        <v>168</v>
      </c>
      <c r="AI133">
        <v>40</v>
      </c>
      <c r="AJ133">
        <v>31</v>
      </c>
      <c r="AK133">
        <v>44</v>
      </c>
      <c r="AL133">
        <v>28</v>
      </c>
      <c r="AM133">
        <v>4</v>
      </c>
      <c r="AN133">
        <v>124</v>
      </c>
      <c r="AO133">
        <v>78</v>
      </c>
      <c r="AP133">
        <v>44</v>
      </c>
      <c r="AQ133">
        <v>94</v>
      </c>
      <c r="AR133">
        <v>1702</v>
      </c>
      <c r="AS133">
        <v>2745</v>
      </c>
      <c r="AT133" t="s">
        <v>7</v>
      </c>
      <c r="AU133">
        <v>0.03</v>
      </c>
      <c r="AV133">
        <v>2011</v>
      </c>
      <c r="AW133" s="1">
        <v>45867</v>
      </c>
      <c r="AX133">
        <v>25.3</v>
      </c>
      <c r="AY133" t="s">
        <v>27</v>
      </c>
      <c r="AZ133" t="s">
        <v>37</v>
      </c>
      <c r="BA133" t="s">
        <v>21</v>
      </c>
      <c r="BB133" t="s">
        <v>13</v>
      </c>
      <c r="BC133" t="s">
        <v>7</v>
      </c>
      <c r="BD133">
        <v>0</v>
      </c>
      <c r="BE133" t="s">
        <v>14</v>
      </c>
      <c r="BF133">
        <v>0.99</v>
      </c>
    </row>
    <row r="134" spans="1:58" hidden="1" x14ac:dyDescent="0.2">
      <c r="A134">
        <v>133</v>
      </c>
      <c r="B134" t="s">
        <v>0</v>
      </c>
      <c r="C134">
        <v>60</v>
      </c>
      <c r="D134" t="s">
        <v>1</v>
      </c>
      <c r="E134" t="s">
        <v>47</v>
      </c>
      <c r="F134" t="s">
        <v>15</v>
      </c>
      <c r="G134" t="s">
        <v>38</v>
      </c>
      <c r="H134" t="s">
        <v>23</v>
      </c>
      <c r="I134" t="s">
        <v>114</v>
      </c>
      <c r="J134" t="s">
        <v>6</v>
      </c>
      <c r="K134" t="s">
        <v>7</v>
      </c>
      <c r="L134">
        <v>6.5</v>
      </c>
      <c r="M134">
        <v>7.1</v>
      </c>
      <c r="N134" t="s">
        <v>25</v>
      </c>
      <c r="O134" t="s">
        <v>7</v>
      </c>
      <c r="P134" t="s">
        <v>46</v>
      </c>
      <c r="Q134">
        <v>29</v>
      </c>
      <c r="R134">
        <v>1</v>
      </c>
      <c r="S134">
        <v>20.3</v>
      </c>
      <c r="T134">
        <v>156</v>
      </c>
      <c r="U134">
        <v>87</v>
      </c>
      <c r="V134">
        <v>7969</v>
      </c>
      <c r="W134">
        <v>55</v>
      </c>
      <c r="X134">
        <v>2</v>
      </c>
      <c r="Y134">
        <v>3</v>
      </c>
      <c r="Z134">
        <v>4</v>
      </c>
      <c r="AA134">
        <v>4.9000000000000004</v>
      </c>
      <c r="AB134">
        <v>3</v>
      </c>
      <c r="AC134">
        <v>319</v>
      </c>
      <c r="AD134">
        <v>11</v>
      </c>
      <c r="AE134">
        <v>6</v>
      </c>
      <c r="AF134">
        <v>257</v>
      </c>
      <c r="AG134">
        <v>149</v>
      </c>
      <c r="AH134">
        <v>177</v>
      </c>
      <c r="AI134">
        <v>65</v>
      </c>
      <c r="AJ134">
        <v>37</v>
      </c>
      <c r="AK134">
        <v>44</v>
      </c>
      <c r="AL134">
        <v>25</v>
      </c>
      <c r="AM134">
        <v>8</v>
      </c>
      <c r="AN134">
        <v>129</v>
      </c>
      <c r="AO134">
        <v>39</v>
      </c>
      <c r="AP134">
        <v>51</v>
      </c>
      <c r="AQ134">
        <v>101</v>
      </c>
      <c r="AR134">
        <v>401</v>
      </c>
      <c r="AS134">
        <v>168</v>
      </c>
      <c r="AT134" t="s">
        <v>7</v>
      </c>
      <c r="AU134">
        <v>0.49</v>
      </c>
      <c r="AV134">
        <v>2022</v>
      </c>
      <c r="AW134" s="1">
        <v>45921</v>
      </c>
      <c r="AX134">
        <v>29</v>
      </c>
      <c r="AY134" t="s">
        <v>36</v>
      </c>
      <c r="AZ134" t="s">
        <v>31</v>
      </c>
      <c r="BA134" t="s">
        <v>12</v>
      </c>
      <c r="BB134" t="s">
        <v>13</v>
      </c>
      <c r="BC134" t="s">
        <v>7</v>
      </c>
      <c r="BD134">
        <v>3</v>
      </c>
      <c r="BE134" t="s">
        <v>14</v>
      </c>
      <c r="BF134">
        <v>1.02</v>
      </c>
    </row>
    <row r="135" spans="1:58" hidden="1" x14ac:dyDescent="0.2">
      <c r="A135">
        <v>134</v>
      </c>
      <c r="B135" t="s">
        <v>0</v>
      </c>
      <c r="C135">
        <v>35</v>
      </c>
      <c r="D135" t="s">
        <v>28</v>
      </c>
      <c r="E135" t="s">
        <v>2</v>
      </c>
      <c r="F135" t="s">
        <v>15</v>
      </c>
      <c r="G135" t="s">
        <v>38</v>
      </c>
      <c r="H135" t="s">
        <v>23</v>
      </c>
      <c r="I135" t="s">
        <v>115</v>
      </c>
      <c r="J135" t="s">
        <v>123</v>
      </c>
      <c r="K135" t="s">
        <v>7</v>
      </c>
      <c r="L135">
        <v>5</v>
      </c>
      <c r="M135">
        <v>7.6</v>
      </c>
      <c r="N135" t="s">
        <v>39</v>
      </c>
      <c r="O135" t="s">
        <v>7</v>
      </c>
      <c r="P135" t="s">
        <v>26</v>
      </c>
      <c r="Q135">
        <v>38</v>
      </c>
      <c r="R135">
        <v>3</v>
      </c>
      <c r="S135">
        <v>20.399999999999999</v>
      </c>
      <c r="T135">
        <v>97</v>
      </c>
      <c r="U135">
        <v>77</v>
      </c>
      <c r="V135">
        <v>8002</v>
      </c>
      <c r="W135">
        <v>35.200000000000003</v>
      </c>
      <c r="X135">
        <v>3</v>
      </c>
      <c r="Y135">
        <v>6</v>
      </c>
      <c r="Z135">
        <v>11</v>
      </c>
      <c r="AA135">
        <v>0.1</v>
      </c>
      <c r="AB135">
        <v>2</v>
      </c>
      <c r="AC135">
        <v>339</v>
      </c>
      <c r="AD135">
        <v>28</v>
      </c>
      <c r="AE135">
        <v>5</v>
      </c>
      <c r="AF135">
        <v>252</v>
      </c>
      <c r="AG135">
        <v>128</v>
      </c>
      <c r="AH135">
        <v>177</v>
      </c>
      <c r="AI135">
        <v>65</v>
      </c>
      <c r="AJ135">
        <v>44</v>
      </c>
      <c r="AK135">
        <v>60</v>
      </c>
      <c r="AL135">
        <v>41</v>
      </c>
      <c r="AM135">
        <v>6</v>
      </c>
      <c r="AN135">
        <v>188</v>
      </c>
      <c r="AO135">
        <v>48</v>
      </c>
      <c r="AP135">
        <v>53</v>
      </c>
      <c r="AQ135">
        <v>78</v>
      </c>
      <c r="AR135">
        <v>123</v>
      </c>
      <c r="AS135">
        <v>251</v>
      </c>
      <c r="AT135" t="s">
        <v>7</v>
      </c>
      <c r="AU135">
        <v>0.34</v>
      </c>
      <c r="AV135">
        <v>2019</v>
      </c>
      <c r="AW135" s="1">
        <v>45686</v>
      </c>
      <c r="AX135">
        <v>12.1</v>
      </c>
      <c r="AY135" t="s">
        <v>10</v>
      </c>
      <c r="AZ135" t="s">
        <v>35</v>
      </c>
      <c r="BA135" t="s">
        <v>122</v>
      </c>
      <c r="BB135" t="s">
        <v>13</v>
      </c>
      <c r="BC135" t="s">
        <v>7</v>
      </c>
      <c r="BD135">
        <v>0</v>
      </c>
      <c r="BE135" t="s">
        <v>14</v>
      </c>
      <c r="BF135">
        <v>0.95</v>
      </c>
    </row>
    <row r="136" spans="1:58" hidden="1" x14ac:dyDescent="0.2">
      <c r="A136">
        <v>135</v>
      </c>
      <c r="B136" t="s">
        <v>0</v>
      </c>
      <c r="C136">
        <v>36</v>
      </c>
      <c r="D136" t="s">
        <v>1</v>
      </c>
      <c r="E136" t="s">
        <v>128</v>
      </c>
      <c r="F136" t="s">
        <v>15</v>
      </c>
      <c r="G136" t="s">
        <v>117</v>
      </c>
      <c r="H136" t="s">
        <v>34</v>
      </c>
      <c r="I136" t="s">
        <v>17</v>
      </c>
      <c r="J136" t="s">
        <v>6</v>
      </c>
      <c r="K136" t="s">
        <v>7</v>
      </c>
      <c r="L136">
        <v>3.3</v>
      </c>
      <c r="M136">
        <v>6</v>
      </c>
      <c r="N136" t="s">
        <v>120</v>
      </c>
      <c r="O136" t="s">
        <v>7</v>
      </c>
      <c r="P136" t="s">
        <v>9</v>
      </c>
      <c r="Q136">
        <v>22</v>
      </c>
      <c r="R136">
        <v>10</v>
      </c>
      <c r="S136">
        <v>20.399999999999999</v>
      </c>
      <c r="T136">
        <v>117</v>
      </c>
      <c r="U136">
        <v>97</v>
      </c>
      <c r="V136">
        <v>7946</v>
      </c>
      <c r="W136">
        <v>20.8</v>
      </c>
      <c r="X136">
        <v>2</v>
      </c>
      <c r="Y136">
        <v>7</v>
      </c>
      <c r="Z136">
        <v>6</v>
      </c>
      <c r="AA136">
        <v>2.4</v>
      </c>
      <c r="AB136">
        <v>1</v>
      </c>
      <c r="AC136">
        <v>140</v>
      </c>
      <c r="AD136">
        <v>14</v>
      </c>
      <c r="AE136">
        <v>3</v>
      </c>
      <c r="AF136">
        <v>105</v>
      </c>
      <c r="AG136">
        <v>82</v>
      </c>
      <c r="AH136">
        <v>100</v>
      </c>
      <c r="AI136">
        <v>23</v>
      </c>
      <c r="AJ136">
        <v>21</v>
      </c>
      <c r="AK136">
        <v>32</v>
      </c>
      <c r="AL136">
        <v>20</v>
      </c>
      <c r="AM136">
        <v>2</v>
      </c>
      <c r="AN136">
        <v>64</v>
      </c>
      <c r="AO136">
        <v>27</v>
      </c>
      <c r="AP136">
        <v>28</v>
      </c>
      <c r="AQ136">
        <v>36</v>
      </c>
      <c r="AR136">
        <v>151</v>
      </c>
      <c r="AS136">
        <v>67</v>
      </c>
      <c r="AT136" t="s">
        <v>7</v>
      </c>
      <c r="AU136">
        <v>0.09</v>
      </c>
      <c r="AV136">
        <v>2022</v>
      </c>
      <c r="AW136" s="1">
        <v>45933</v>
      </c>
      <c r="AX136">
        <v>10</v>
      </c>
      <c r="AY136" t="s">
        <v>30</v>
      </c>
      <c r="AZ136" t="s">
        <v>48</v>
      </c>
      <c r="BA136" t="s">
        <v>21</v>
      </c>
      <c r="BB136" t="s">
        <v>13</v>
      </c>
      <c r="BC136" t="s">
        <v>7</v>
      </c>
      <c r="BD136">
        <v>2</v>
      </c>
      <c r="BE136" t="s">
        <v>43</v>
      </c>
      <c r="BF136">
        <v>1.1000000000000001</v>
      </c>
    </row>
    <row r="137" spans="1:58" hidden="1" x14ac:dyDescent="0.2">
      <c r="A137">
        <v>136</v>
      </c>
      <c r="B137" t="s">
        <v>0</v>
      </c>
      <c r="C137">
        <v>49</v>
      </c>
      <c r="D137" t="s">
        <v>1</v>
      </c>
      <c r="E137" t="s">
        <v>128</v>
      </c>
      <c r="F137" t="s">
        <v>15</v>
      </c>
      <c r="G137" t="s">
        <v>16</v>
      </c>
      <c r="H137" t="s">
        <v>23</v>
      </c>
      <c r="I137" t="s">
        <v>53</v>
      </c>
      <c r="J137" t="s">
        <v>18</v>
      </c>
      <c r="K137" t="s">
        <v>7</v>
      </c>
      <c r="L137">
        <v>5.3</v>
      </c>
      <c r="M137">
        <v>7.4</v>
      </c>
      <c r="N137" t="s">
        <v>29</v>
      </c>
      <c r="O137" t="s">
        <v>7</v>
      </c>
      <c r="P137" t="s">
        <v>46</v>
      </c>
      <c r="Q137">
        <v>22</v>
      </c>
      <c r="R137">
        <v>4</v>
      </c>
      <c r="S137">
        <v>19.8</v>
      </c>
      <c r="T137">
        <v>130</v>
      </c>
      <c r="U137">
        <v>85</v>
      </c>
      <c r="V137">
        <v>8078</v>
      </c>
      <c r="W137">
        <v>48.7</v>
      </c>
      <c r="X137">
        <v>3</v>
      </c>
      <c r="Y137">
        <v>2</v>
      </c>
      <c r="Z137">
        <v>9</v>
      </c>
      <c r="AA137">
        <v>3.7</v>
      </c>
      <c r="AB137">
        <v>3</v>
      </c>
      <c r="AC137">
        <v>225</v>
      </c>
      <c r="AD137">
        <v>9</v>
      </c>
      <c r="AE137">
        <v>3</v>
      </c>
      <c r="AF137">
        <v>190</v>
      </c>
      <c r="AG137">
        <v>132</v>
      </c>
      <c r="AH137">
        <v>135</v>
      </c>
      <c r="AI137">
        <v>38</v>
      </c>
      <c r="AJ137">
        <v>23</v>
      </c>
      <c r="AK137">
        <v>39</v>
      </c>
      <c r="AL137">
        <v>21</v>
      </c>
      <c r="AM137">
        <v>4</v>
      </c>
      <c r="AN137">
        <v>131</v>
      </c>
      <c r="AO137">
        <v>46</v>
      </c>
      <c r="AP137">
        <v>36</v>
      </c>
      <c r="AQ137">
        <v>78</v>
      </c>
      <c r="AR137">
        <v>1072</v>
      </c>
      <c r="AS137">
        <v>1159</v>
      </c>
      <c r="AT137" t="s">
        <v>7</v>
      </c>
      <c r="AU137">
        <v>0.13</v>
      </c>
      <c r="AV137">
        <v>2025</v>
      </c>
      <c r="AW137" s="1">
        <v>45791</v>
      </c>
      <c r="AX137">
        <v>25</v>
      </c>
      <c r="AY137" t="s">
        <v>30</v>
      </c>
      <c r="AZ137" t="s">
        <v>37</v>
      </c>
      <c r="BA137" t="s">
        <v>122</v>
      </c>
      <c r="BB137" t="s">
        <v>13</v>
      </c>
      <c r="BC137" t="s">
        <v>13</v>
      </c>
      <c r="BD137">
        <v>1</v>
      </c>
      <c r="BE137" t="s">
        <v>43</v>
      </c>
      <c r="BF137">
        <v>0.97</v>
      </c>
    </row>
    <row r="138" spans="1:58" hidden="1" x14ac:dyDescent="0.2">
      <c r="A138">
        <v>137</v>
      </c>
      <c r="B138" t="s">
        <v>0</v>
      </c>
      <c r="C138">
        <v>47</v>
      </c>
      <c r="D138" t="s">
        <v>28</v>
      </c>
      <c r="E138" t="s">
        <v>128</v>
      </c>
      <c r="F138" t="s">
        <v>15</v>
      </c>
      <c r="G138" t="s">
        <v>116</v>
      </c>
      <c r="H138" t="s">
        <v>23</v>
      </c>
      <c r="I138" t="s">
        <v>114</v>
      </c>
      <c r="J138" t="s">
        <v>6</v>
      </c>
      <c r="K138" t="s">
        <v>7</v>
      </c>
      <c r="L138">
        <v>6.7</v>
      </c>
      <c r="M138">
        <v>6.6</v>
      </c>
      <c r="N138" t="s">
        <v>120</v>
      </c>
      <c r="O138" t="s">
        <v>7</v>
      </c>
      <c r="P138" t="s">
        <v>26</v>
      </c>
      <c r="Q138">
        <v>35</v>
      </c>
      <c r="R138">
        <v>1</v>
      </c>
      <c r="S138">
        <v>28.1</v>
      </c>
      <c r="T138">
        <v>158</v>
      </c>
      <c r="U138">
        <v>83</v>
      </c>
      <c r="V138">
        <v>7998</v>
      </c>
      <c r="W138">
        <v>38.5</v>
      </c>
      <c r="X138">
        <v>2</v>
      </c>
      <c r="Y138">
        <v>1</v>
      </c>
      <c r="Z138">
        <v>8</v>
      </c>
      <c r="AA138">
        <v>4.0999999999999996</v>
      </c>
      <c r="AB138">
        <v>5</v>
      </c>
      <c r="AC138">
        <v>341</v>
      </c>
      <c r="AD138">
        <v>15</v>
      </c>
      <c r="AE138">
        <v>7</v>
      </c>
      <c r="AF138">
        <v>218</v>
      </c>
      <c r="AG138">
        <v>150</v>
      </c>
      <c r="AH138">
        <v>196</v>
      </c>
      <c r="AI138">
        <v>59</v>
      </c>
      <c r="AJ138">
        <v>43</v>
      </c>
      <c r="AK138">
        <v>45</v>
      </c>
      <c r="AL138">
        <v>45</v>
      </c>
      <c r="AM138">
        <v>1</v>
      </c>
      <c r="AN138">
        <v>148</v>
      </c>
      <c r="AO138">
        <v>47</v>
      </c>
      <c r="AP138">
        <v>52</v>
      </c>
      <c r="AQ138">
        <v>112</v>
      </c>
      <c r="AR138">
        <v>5154</v>
      </c>
      <c r="AS138">
        <v>7926</v>
      </c>
      <c r="AT138" t="s">
        <v>7</v>
      </c>
      <c r="AU138">
        <v>0.7</v>
      </c>
      <c r="AV138">
        <v>2010</v>
      </c>
      <c r="AW138" s="1">
        <v>45910</v>
      </c>
      <c r="AX138">
        <v>22.7</v>
      </c>
      <c r="AY138" t="s">
        <v>30</v>
      </c>
      <c r="AZ138" t="s">
        <v>11</v>
      </c>
      <c r="BA138" t="s">
        <v>21</v>
      </c>
      <c r="BB138" t="s">
        <v>7</v>
      </c>
      <c r="BC138" t="s">
        <v>13</v>
      </c>
      <c r="BD138">
        <v>4</v>
      </c>
      <c r="BE138" t="s">
        <v>43</v>
      </c>
      <c r="BF138">
        <v>0.98</v>
      </c>
    </row>
    <row r="139" spans="1:58" hidden="1" x14ac:dyDescent="0.2">
      <c r="A139">
        <v>138</v>
      </c>
      <c r="B139" t="s">
        <v>0</v>
      </c>
      <c r="C139">
        <v>56</v>
      </c>
      <c r="D139" t="s">
        <v>1</v>
      </c>
      <c r="E139" t="s">
        <v>42</v>
      </c>
      <c r="F139" t="s">
        <v>15</v>
      </c>
      <c r="G139" t="s">
        <v>116</v>
      </c>
      <c r="H139" t="s">
        <v>24</v>
      </c>
      <c r="I139" t="s">
        <v>115</v>
      </c>
      <c r="J139" t="s">
        <v>6</v>
      </c>
      <c r="K139" t="s">
        <v>7</v>
      </c>
      <c r="L139">
        <v>1</v>
      </c>
      <c r="M139">
        <v>5.9</v>
      </c>
      <c r="N139" t="s">
        <v>29</v>
      </c>
      <c r="O139" t="s">
        <v>13</v>
      </c>
      <c r="P139" t="s">
        <v>9</v>
      </c>
      <c r="Q139">
        <v>34</v>
      </c>
      <c r="R139">
        <v>1</v>
      </c>
      <c r="S139">
        <v>24.6</v>
      </c>
      <c r="T139">
        <v>133</v>
      </c>
      <c r="U139">
        <v>69</v>
      </c>
      <c r="V139">
        <v>8084</v>
      </c>
      <c r="W139">
        <v>29.8</v>
      </c>
      <c r="X139">
        <v>4</v>
      </c>
      <c r="Y139">
        <v>1</v>
      </c>
      <c r="Z139">
        <v>13</v>
      </c>
      <c r="AA139">
        <v>2.9</v>
      </c>
      <c r="AB139">
        <v>2</v>
      </c>
      <c r="AC139">
        <v>341</v>
      </c>
      <c r="AD139">
        <v>11</v>
      </c>
      <c r="AE139">
        <v>6</v>
      </c>
      <c r="AF139">
        <v>251</v>
      </c>
      <c r="AG139">
        <v>150</v>
      </c>
      <c r="AH139">
        <v>207</v>
      </c>
      <c r="AI139">
        <v>60</v>
      </c>
      <c r="AJ139">
        <v>42</v>
      </c>
      <c r="AK139">
        <v>42</v>
      </c>
      <c r="AL139">
        <v>30</v>
      </c>
      <c r="AM139">
        <v>6</v>
      </c>
      <c r="AN139">
        <v>184</v>
      </c>
      <c r="AO139">
        <v>89</v>
      </c>
      <c r="AP139">
        <v>71</v>
      </c>
      <c r="AQ139">
        <v>84</v>
      </c>
      <c r="AR139">
        <v>1411</v>
      </c>
      <c r="AS139">
        <v>1672</v>
      </c>
      <c r="AT139" t="s">
        <v>7</v>
      </c>
      <c r="AU139">
        <v>0.43</v>
      </c>
      <c r="AV139">
        <v>2022</v>
      </c>
      <c r="AW139" s="1">
        <v>45662</v>
      </c>
      <c r="AX139">
        <v>31</v>
      </c>
      <c r="AY139" t="s">
        <v>30</v>
      </c>
      <c r="AZ139" t="s">
        <v>11</v>
      </c>
      <c r="BA139" t="s">
        <v>12</v>
      </c>
      <c r="BB139" t="s">
        <v>13</v>
      </c>
      <c r="BC139" t="s">
        <v>13</v>
      </c>
      <c r="BD139">
        <v>2</v>
      </c>
      <c r="BE139" t="s">
        <v>14</v>
      </c>
      <c r="BF139">
        <v>1.01</v>
      </c>
    </row>
    <row r="140" spans="1:58" hidden="1" x14ac:dyDescent="0.2">
      <c r="A140">
        <v>139</v>
      </c>
      <c r="B140" t="s">
        <v>0</v>
      </c>
      <c r="C140">
        <v>52</v>
      </c>
      <c r="D140" t="s">
        <v>1</v>
      </c>
      <c r="E140" t="s">
        <v>128</v>
      </c>
      <c r="F140" t="s">
        <v>15</v>
      </c>
      <c r="G140" t="s">
        <v>16</v>
      </c>
      <c r="H140" t="s">
        <v>119</v>
      </c>
      <c r="I140" t="s">
        <v>112</v>
      </c>
      <c r="J140" t="s">
        <v>6</v>
      </c>
      <c r="K140" t="s">
        <v>7</v>
      </c>
      <c r="L140">
        <v>4.7</v>
      </c>
      <c r="M140">
        <v>6.9</v>
      </c>
      <c r="N140" t="s">
        <v>25</v>
      </c>
      <c r="O140" t="s">
        <v>13</v>
      </c>
      <c r="P140" t="s">
        <v>26</v>
      </c>
      <c r="Q140">
        <v>19</v>
      </c>
      <c r="R140">
        <v>10</v>
      </c>
      <c r="S140">
        <v>21.4</v>
      </c>
      <c r="T140">
        <v>130</v>
      </c>
      <c r="U140">
        <v>88</v>
      </c>
      <c r="V140">
        <v>8121</v>
      </c>
      <c r="W140">
        <v>36.4</v>
      </c>
      <c r="X140">
        <v>4</v>
      </c>
      <c r="Y140">
        <v>8</v>
      </c>
      <c r="Z140">
        <v>11</v>
      </c>
      <c r="AA140">
        <v>4.5</v>
      </c>
      <c r="AB140">
        <v>4</v>
      </c>
      <c r="AC140">
        <v>149</v>
      </c>
      <c r="AD140">
        <v>5</v>
      </c>
      <c r="AE140">
        <v>2</v>
      </c>
      <c r="AF140">
        <v>138</v>
      </c>
      <c r="AG140">
        <v>92</v>
      </c>
      <c r="AH140">
        <v>97</v>
      </c>
      <c r="AI140">
        <v>23</v>
      </c>
      <c r="AJ140">
        <v>23</v>
      </c>
      <c r="AK140">
        <v>19</v>
      </c>
      <c r="AL140">
        <v>17</v>
      </c>
      <c r="AM140">
        <v>4</v>
      </c>
      <c r="AN140">
        <v>66</v>
      </c>
      <c r="AO140">
        <v>23</v>
      </c>
      <c r="AP140">
        <v>19</v>
      </c>
      <c r="AQ140">
        <v>40</v>
      </c>
      <c r="AR140">
        <v>1234</v>
      </c>
      <c r="AS140">
        <v>2278</v>
      </c>
      <c r="AT140" t="s">
        <v>7</v>
      </c>
      <c r="AU140">
        <v>0.37</v>
      </c>
      <c r="AV140">
        <v>2016</v>
      </c>
      <c r="AW140" s="1">
        <v>45705</v>
      </c>
      <c r="AX140">
        <v>29.8</v>
      </c>
      <c r="AY140" t="s">
        <v>30</v>
      </c>
      <c r="AZ140" t="s">
        <v>51</v>
      </c>
      <c r="BA140" t="s">
        <v>122</v>
      </c>
      <c r="BB140" t="s">
        <v>13</v>
      </c>
      <c r="BC140" t="s">
        <v>7</v>
      </c>
      <c r="BD140">
        <v>0</v>
      </c>
      <c r="BE140" t="s">
        <v>14</v>
      </c>
      <c r="BF140">
        <v>0.99</v>
      </c>
    </row>
    <row r="141" spans="1:58" hidden="1" x14ac:dyDescent="0.2">
      <c r="A141">
        <v>140</v>
      </c>
      <c r="B141" t="s">
        <v>0</v>
      </c>
      <c r="C141">
        <v>34</v>
      </c>
      <c r="D141" t="s">
        <v>1</v>
      </c>
      <c r="E141" t="s">
        <v>127</v>
      </c>
      <c r="F141" t="s">
        <v>15</v>
      </c>
      <c r="G141" t="s">
        <v>117</v>
      </c>
      <c r="H141" t="s">
        <v>23</v>
      </c>
      <c r="I141" t="s">
        <v>114</v>
      </c>
      <c r="J141" t="s">
        <v>32</v>
      </c>
      <c r="K141" t="s">
        <v>13</v>
      </c>
      <c r="L141">
        <v>5.6</v>
      </c>
      <c r="M141">
        <v>9</v>
      </c>
      <c r="N141" t="s">
        <v>8</v>
      </c>
      <c r="O141" t="s">
        <v>7</v>
      </c>
      <c r="P141" t="s">
        <v>9</v>
      </c>
      <c r="Q141">
        <v>5</v>
      </c>
      <c r="R141">
        <v>2</v>
      </c>
      <c r="S141">
        <v>21</v>
      </c>
      <c r="T141">
        <v>123</v>
      </c>
      <c r="U141">
        <v>77</v>
      </c>
      <c r="V141">
        <v>8052</v>
      </c>
      <c r="W141">
        <v>37.4</v>
      </c>
      <c r="X141">
        <v>4</v>
      </c>
      <c r="Y141">
        <v>4</v>
      </c>
      <c r="Z141">
        <v>11</v>
      </c>
      <c r="AA141">
        <v>6.4</v>
      </c>
      <c r="AB141">
        <v>2</v>
      </c>
      <c r="AC141">
        <v>124</v>
      </c>
      <c r="AD141">
        <v>5</v>
      </c>
      <c r="AE141">
        <v>2</v>
      </c>
      <c r="AF141">
        <v>129</v>
      </c>
      <c r="AG141">
        <v>93</v>
      </c>
      <c r="AH141">
        <v>85</v>
      </c>
      <c r="AI141">
        <v>20</v>
      </c>
      <c r="AJ141">
        <v>23</v>
      </c>
      <c r="AK141">
        <v>21</v>
      </c>
      <c r="AL141">
        <v>13</v>
      </c>
      <c r="AM141">
        <v>1</v>
      </c>
      <c r="AN141">
        <v>55</v>
      </c>
      <c r="AO141">
        <v>34</v>
      </c>
      <c r="AP141">
        <v>14</v>
      </c>
      <c r="AQ141">
        <v>45</v>
      </c>
      <c r="AR141">
        <v>6935</v>
      </c>
      <c r="AS141">
        <v>10000</v>
      </c>
      <c r="AT141" t="s">
        <v>7</v>
      </c>
      <c r="AU141">
        <v>0.99</v>
      </c>
      <c r="AV141">
        <v>2010</v>
      </c>
      <c r="AW141" s="1">
        <v>45987</v>
      </c>
      <c r="AX141">
        <v>24.8</v>
      </c>
      <c r="AY141" t="s">
        <v>27</v>
      </c>
      <c r="AZ141" t="s">
        <v>20</v>
      </c>
      <c r="BA141" t="s">
        <v>122</v>
      </c>
      <c r="BB141" t="s">
        <v>13</v>
      </c>
      <c r="BC141" t="s">
        <v>7</v>
      </c>
      <c r="BD141">
        <v>2</v>
      </c>
      <c r="BE141" t="s">
        <v>14</v>
      </c>
      <c r="BF141">
        <v>1.05</v>
      </c>
    </row>
    <row r="142" spans="1:58" hidden="1" x14ac:dyDescent="0.2">
      <c r="A142">
        <v>141</v>
      </c>
      <c r="B142" t="s">
        <v>0</v>
      </c>
      <c r="C142">
        <v>39</v>
      </c>
      <c r="D142" t="s">
        <v>28</v>
      </c>
      <c r="E142" t="s">
        <v>22</v>
      </c>
      <c r="F142" t="s">
        <v>40</v>
      </c>
      <c r="G142" t="s">
        <v>117</v>
      </c>
      <c r="H142" t="s">
        <v>119</v>
      </c>
      <c r="I142" t="s">
        <v>114</v>
      </c>
      <c r="J142" t="s">
        <v>123</v>
      </c>
      <c r="K142" t="s">
        <v>7</v>
      </c>
      <c r="L142">
        <v>6.2</v>
      </c>
      <c r="M142">
        <v>6.8</v>
      </c>
      <c r="N142" t="s">
        <v>120</v>
      </c>
      <c r="O142" t="s">
        <v>7</v>
      </c>
      <c r="P142" t="s">
        <v>9</v>
      </c>
      <c r="Q142">
        <v>8</v>
      </c>
      <c r="R142">
        <v>4</v>
      </c>
      <c r="S142">
        <v>29.5</v>
      </c>
      <c r="T142">
        <v>91</v>
      </c>
      <c r="U142">
        <v>70</v>
      </c>
      <c r="V142">
        <v>7834</v>
      </c>
      <c r="W142">
        <v>38</v>
      </c>
      <c r="X142">
        <v>3</v>
      </c>
      <c r="Y142">
        <v>3</v>
      </c>
      <c r="Z142">
        <v>11</v>
      </c>
      <c r="AA142">
        <v>2.2000000000000002</v>
      </c>
      <c r="AB142">
        <v>3</v>
      </c>
      <c r="AC142">
        <v>72</v>
      </c>
      <c r="AD142">
        <v>3</v>
      </c>
      <c r="AE142">
        <v>2</v>
      </c>
      <c r="AF142">
        <v>73</v>
      </c>
      <c r="AG142">
        <v>58</v>
      </c>
      <c r="AH142">
        <v>48</v>
      </c>
      <c r="AI142">
        <v>23</v>
      </c>
      <c r="AJ142">
        <v>21</v>
      </c>
      <c r="AK142">
        <v>13</v>
      </c>
      <c r="AL142">
        <v>8</v>
      </c>
      <c r="AM142">
        <v>5</v>
      </c>
      <c r="AN142">
        <v>35</v>
      </c>
      <c r="AO142">
        <v>10</v>
      </c>
      <c r="AP142">
        <v>17</v>
      </c>
      <c r="AQ142">
        <v>21</v>
      </c>
      <c r="AR142">
        <v>1323</v>
      </c>
      <c r="AS142">
        <v>1167</v>
      </c>
      <c r="AT142" t="s">
        <v>7</v>
      </c>
      <c r="AU142">
        <v>0.82</v>
      </c>
      <c r="AV142">
        <v>2012</v>
      </c>
      <c r="AW142" s="1">
        <v>45774</v>
      </c>
      <c r="AX142">
        <v>24</v>
      </c>
      <c r="AY142" t="s">
        <v>10</v>
      </c>
      <c r="AZ142" t="s">
        <v>31</v>
      </c>
      <c r="BA142" t="s">
        <v>21</v>
      </c>
      <c r="BB142" t="s">
        <v>13</v>
      </c>
      <c r="BC142" t="s">
        <v>13</v>
      </c>
      <c r="BD142">
        <v>1</v>
      </c>
      <c r="BE142" t="s">
        <v>14</v>
      </c>
      <c r="BF142">
        <v>1.37</v>
      </c>
    </row>
    <row r="143" spans="1:58" hidden="1" x14ac:dyDescent="0.2">
      <c r="A143">
        <v>142</v>
      </c>
      <c r="B143" t="s">
        <v>0</v>
      </c>
      <c r="C143">
        <v>47</v>
      </c>
      <c r="D143" t="s">
        <v>28</v>
      </c>
      <c r="E143" t="s">
        <v>47</v>
      </c>
      <c r="F143" t="s">
        <v>40</v>
      </c>
      <c r="G143" t="s">
        <v>4</v>
      </c>
      <c r="H143" t="s">
        <v>34</v>
      </c>
      <c r="I143" t="s">
        <v>114</v>
      </c>
      <c r="J143" t="s">
        <v>32</v>
      </c>
      <c r="K143" t="s">
        <v>7</v>
      </c>
      <c r="L143">
        <v>10.199999999999999</v>
      </c>
      <c r="M143">
        <v>7.6</v>
      </c>
      <c r="N143" t="s">
        <v>120</v>
      </c>
      <c r="O143" t="s">
        <v>41</v>
      </c>
      <c r="P143" t="s">
        <v>52</v>
      </c>
      <c r="Q143">
        <v>27</v>
      </c>
      <c r="R143">
        <v>5</v>
      </c>
      <c r="S143">
        <v>32</v>
      </c>
      <c r="T143">
        <v>146</v>
      </c>
      <c r="U143">
        <v>96</v>
      </c>
      <c r="V143">
        <v>7953</v>
      </c>
      <c r="W143">
        <v>57.3</v>
      </c>
      <c r="X143">
        <v>6</v>
      </c>
      <c r="Y143">
        <v>9</v>
      </c>
      <c r="Z143">
        <v>11</v>
      </c>
      <c r="AA143">
        <v>8</v>
      </c>
      <c r="AB143">
        <v>0</v>
      </c>
      <c r="AC143">
        <v>280</v>
      </c>
      <c r="AD143">
        <v>13</v>
      </c>
      <c r="AE143">
        <v>4</v>
      </c>
      <c r="AF143">
        <v>193</v>
      </c>
      <c r="AG143">
        <v>134</v>
      </c>
      <c r="AH143">
        <v>163</v>
      </c>
      <c r="AI143">
        <v>33</v>
      </c>
      <c r="AJ143">
        <v>45</v>
      </c>
      <c r="AK143">
        <v>51</v>
      </c>
      <c r="AL143">
        <v>23</v>
      </c>
      <c r="AM143">
        <v>9</v>
      </c>
      <c r="AN143">
        <v>132</v>
      </c>
      <c r="AO143">
        <v>58</v>
      </c>
      <c r="AP143">
        <v>45</v>
      </c>
      <c r="AQ143">
        <v>102</v>
      </c>
      <c r="AR143">
        <v>1151</v>
      </c>
      <c r="AS143">
        <v>1369</v>
      </c>
      <c r="AT143" t="s">
        <v>7</v>
      </c>
      <c r="AU143">
        <v>0.68</v>
      </c>
      <c r="AV143">
        <v>2023</v>
      </c>
      <c r="AW143" s="1">
        <v>45768</v>
      </c>
      <c r="AX143">
        <v>21.5</v>
      </c>
      <c r="AY143" t="s">
        <v>30</v>
      </c>
      <c r="AZ143" t="s">
        <v>48</v>
      </c>
      <c r="BA143" t="s">
        <v>122</v>
      </c>
      <c r="BB143" t="s">
        <v>7</v>
      </c>
      <c r="BC143" t="s">
        <v>7</v>
      </c>
      <c r="BD143">
        <v>1</v>
      </c>
      <c r="BE143" t="s">
        <v>14</v>
      </c>
      <c r="BF143">
        <v>0.86</v>
      </c>
    </row>
    <row r="144" spans="1:58" hidden="1" x14ac:dyDescent="0.2">
      <c r="A144">
        <v>143</v>
      </c>
      <c r="B144" t="s">
        <v>0</v>
      </c>
      <c r="C144">
        <v>13</v>
      </c>
      <c r="D144" t="s">
        <v>1</v>
      </c>
      <c r="E144" t="s">
        <v>42</v>
      </c>
      <c r="F144" t="s">
        <v>15</v>
      </c>
      <c r="G144" t="s">
        <v>38</v>
      </c>
      <c r="H144" t="s">
        <v>118</v>
      </c>
      <c r="I144" t="s">
        <v>112</v>
      </c>
      <c r="J144" t="s">
        <v>123</v>
      </c>
      <c r="K144" t="s">
        <v>7</v>
      </c>
      <c r="L144">
        <v>5.8</v>
      </c>
      <c r="M144">
        <v>6.1</v>
      </c>
      <c r="N144" t="s">
        <v>120</v>
      </c>
      <c r="O144" t="s">
        <v>7</v>
      </c>
      <c r="P144" t="s">
        <v>46</v>
      </c>
      <c r="Q144">
        <v>15</v>
      </c>
      <c r="R144">
        <v>10</v>
      </c>
      <c r="S144">
        <v>22.3</v>
      </c>
      <c r="T144">
        <v>147</v>
      </c>
      <c r="U144">
        <v>61</v>
      </c>
      <c r="V144">
        <v>8023</v>
      </c>
      <c r="W144">
        <v>54.5</v>
      </c>
      <c r="X144">
        <v>1</v>
      </c>
      <c r="Y144">
        <v>4</v>
      </c>
      <c r="Z144">
        <v>5</v>
      </c>
      <c r="AA144">
        <v>1.4</v>
      </c>
      <c r="AB144">
        <v>3</v>
      </c>
      <c r="AC144">
        <v>175</v>
      </c>
      <c r="AD144">
        <v>12</v>
      </c>
      <c r="AE144">
        <v>9</v>
      </c>
      <c r="AF144">
        <v>223</v>
      </c>
      <c r="AG144">
        <v>105</v>
      </c>
      <c r="AH144">
        <v>115</v>
      </c>
      <c r="AI144">
        <v>46</v>
      </c>
      <c r="AJ144">
        <v>34</v>
      </c>
      <c r="AK144">
        <v>27</v>
      </c>
      <c r="AL144">
        <v>23</v>
      </c>
      <c r="AM144">
        <v>4</v>
      </c>
      <c r="AN144">
        <v>72</v>
      </c>
      <c r="AO144">
        <v>21</v>
      </c>
      <c r="AP144">
        <v>32</v>
      </c>
      <c r="AQ144">
        <v>43</v>
      </c>
      <c r="AR144">
        <v>976</v>
      </c>
      <c r="AS144">
        <v>1439</v>
      </c>
      <c r="AT144" t="s">
        <v>7</v>
      </c>
      <c r="AU144">
        <v>0.02</v>
      </c>
      <c r="AV144">
        <v>2020</v>
      </c>
      <c r="AW144" s="1">
        <v>45818</v>
      </c>
      <c r="AX144">
        <v>14.6</v>
      </c>
      <c r="AY144" t="s">
        <v>19</v>
      </c>
      <c r="AZ144" t="s">
        <v>37</v>
      </c>
      <c r="BA144" t="s">
        <v>122</v>
      </c>
      <c r="BB144" t="s">
        <v>13</v>
      </c>
      <c r="BC144" t="s">
        <v>13</v>
      </c>
      <c r="BD144">
        <v>3</v>
      </c>
      <c r="BE144" t="s">
        <v>14</v>
      </c>
      <c r="BF144">
        <v>1.33</v>
      </c>
    </row>
    <row r="145" spans="1:58" hidden="1" x14ac:dyDescent="0.2">
      <c r="A145">
        <v>144</v>
      </c>
      <c r="B145" t="s">
        <v>0</v>
      </c>
      <c r="C145">
        <v>47</v>
      </c>
      <c r="D145" t="s">
        <v>1</v>
      </c>
      <c r="E145" t="s">
        <v>47</v>
      </c>
      <c r="F145" t="s">
        <v>15</v>
      </c>
      <c r="G145" t="s">
        <v>4</v>
      </c>
      <c r="H145" t="s">
        <v>118</v>
      </c>
      <c r="I145" t="s">
        <v>112</v>
      </c>
      <c r="J145" t="s">
        <v>6</v>
      </c>
      <c r="K145" t="s">
        <v>7</v>
      </c>
      <c r="L145">
        <v>7.1</v>
      </c>
      <c r="M145">
        <v>6.3</v>
      </c>
      <c r="N145" t="s">
        <v>29</v>
      </c>
      <c r="O145" t="s">
        <v>41</v>
      </c>
      <c r="P145" t="s">
        <v>9</v>
      </c>
      <c r="Q145">
        <v>26</v>
      </c>
      <c r="R145">
        <v>10</v>
      </c>
      <c r="S145">
        <v>18.5</v>
      </c>
      <c r="T145">
        <v>95</v>
      </c>
      <c r="U145">
        <v>73</v>
      </c>
      <c r="V145">
        <v>7997</v>
      </c>
      <c r="W145">
        <v>46</v>
      </c>
      <c r="X145">
        <v>1</v>
      </c>
      <c r="Y145">
        <v>3</v>
      </c>
      <c r="Z145">
        <v>12</v>
      </c>
      <c r="AA145">
        <v>0.5</v>
      </c>
      <c r="AB145">
        <v>3</v>
      </c>
      <c r="AC145">
        <v>158</v>
      </c>
      <c r="AD145">
        <v>7</v>
      </c>
      <c r="AE145">
        <v>4</v>
      </c>
      <c r="AF145">
        <v>134</v>
      </c>
      <c r="AG145">
        <v>97</v>
      </c>
      <c r="AH145">
        <v>102</v>
      </c>
      <c r="AI145">
        <v>27</v>
      </c>
      <c r="AJ145">
        <v>32</v>
      </c>
      <c r="AK145">
        <v>25</v>
      </c>
      <c r="AL145">
        <v>21</v>
      </c>
      <c r="AM145">
        <v>5</v>
      </c>
      <c r="AN145">
        <v>89</v>
      </c>
      <c r="AO145">
        <v>21</v>
      </c>
      <c r="AP145">
        <v>37</v>
      </c>
      <c r="AQ145">
        <v>46</v>
      </c>
      <c r="AR145">
        <v>970</v>
      </c>
      <c r="AS145">
        <v>1807</v>
      </c>
      <c r="AT145" t="s">
        <v>13</v>
      </c>
      <c r="AU145">
        <v>0.52</v>
      </c>
      <c r="AV145">
        <v>2025</v>
      </c>
      <c r="AW145" s="1">
        <v>45794</v>
      </c>
      <c r="AX145">
        <v>22.6</v>
      </c>
      <c r="AY145" t="s">
        <v>45</v>
      </c>
      <c r="AZ145" t="s">
        <v>17</v>
      </c>
      <c r="BA145" t="s">
        <v>122</v>
      </c>
      <c r="BB145" t="s">
        <v>13</v>
      </c>
      <c r="BC145" t="s">
        <v>7</v>
      </c>
      <c r="BD145">
        <v>4</v>
      </c>
      <c r="BE145" t="s">
        <v>14</v>
      </c>
      <c r="BF145">
        <v>1.06</v>
      </c>
    </row>
    <row r="146" spans="1:58" hidden="1" x14ac:dyDescent="0.2">
      <c r="A146">
        <v>145</v>
      </c>
      <c r="B146" t="s">
        <v>0</v>
      </c>
      <c r="C146">
        <v>49</v>
      </c>
      <c r="D146" t="s">
        <v>1</v>
      </c>
      <c r="E146" t="s">
        <v>47</v>
      </c>
      <c r="F146" t="s">
        <v>15</v>
      </c>
      <c r="G146" t="s">
        <v>117</v>
      </c>
      <c r="H146" t="s">
        <v>34</v>
      </c>
      <c r="I146" t="s">
        <v>113</v>
      </c>
      <c r="J146" t="s">
        <v>6</v>
      </c>
      <c r="K146" t="s">
        <v>13</v>
      </c>
      <c r="L146">
        <v>6.3</v>
      </c>
      <c r="M146">
        <v>7.9</v>
      </c>
      <c r="N146" t="s">
        <v>39</v>
      </c>
      <c r="O146" t="s">
        <v>13</v>
      </c>
      <c r="P146" t="s">
        <v>9</v>
      </c>
      <c r="Q146">
        <v>28</v>
      </c>
      <c r="R146">
        <v>8</v>
      </c>
      <c r="S146">
        <v>24.9</v>
      </c>
      <c r="T146">
        <v>150</v>
      </c>
      <c r="U146">
        <v>80</v>
      </c>
      <c r="V146">
        <v>8043</v>
      </c>
      <c r="W146">
        <v>31.7</v>
      </c>
      <c r="X146">
        <v>0</v>
      </c>
      <c r="Y146">
        <v>8</v>
      </c>
      <c r="Z146">
        <v>11</v>
      </c>
      <c r="AA146">
        <v>3.6</v>
      </c>
      <c r="AB146">
        <v>7</v>
      </c>
      <c r="AC146">
        <v>193</v>
      </c>
      <c r="AD146">
        <v>7</v>
      </c>
      <c r="AE146">
        <v>1</v>
      </c>
      <c r="AF146">
        <v>157</v>
      </c>
      <c r="AG146">
        <v>100</v>
      </c>
      <c r="AH146">
        <v>115</v>
      </c>
      <c r="AI146">
        <v>34</v>
      </c>
      <c r="AJ146">
        <v>28</v>
      </c>
      <c r="AK146">
        <v>34</v>
      </c>
      <c r="AL146">
        <v>18</v>
      </c>
      <c r="AM146">
        <v>3</v>
      </c>
      <c r="AN146">
        <v>103</v>
      </c>
      <c r="AO146">
        <v>58</v>
      </c>
      <c r="AP146">
        <v>48</v>
      </c>
      <c r="AQ146">
        <v>66</v>
      </c>
      <c r="AR146">
        <v>909</v>
      </c>
      <c r="AS146">
        <v>1744</v>
      </c>
      <c r="AT146" t="s">
        <v>7</v>
      </c>
      <c r="AU146">
        <v>0.04</v>
      </c>
      <c r="AV146">
        <v>2018</v>
      </c>
      <c r="AW146" s="1">
        <v>45753</v>
      </c>
      <c r="AX146">
        <v>27.6</v>
      </c>
      <c r="AY146" t="s">
        <v>10</v>
      </c>
      <c r="AZ146" t="s">
        <v>31</v>
      </c>
      <c r="BA146" t="s">
        <v>12</v>
      </c>
      <c r="BB146" t="s">
        <v>7</v>
      </c>
      <c r="BC146" t="s">
        <v>7</v>
      </c>
      <c r="BD146">
        <v>3</v>
      </c>
      <c r="BE146" t="s">
        <v>14</v>
      </c>
      <c r="BF146">
        <v>0.96</v>
      </c>
    </row>
    <row r="147" spans="1:58" hidden="1" x14ac:dyDescent="0.2">
      <c r="A147">
        <v>146</v>
      </c>
      <c r="B147" t="s">
        <v>0</v>
      </c>
      <c r="C147">
        <v>59</v>
      </c>
      <c r="D147" t="s">
        <v>125</v>
      </c>
      <c r="E147" t="s">
        <v>128</v>
      </c>
      <c r="F147" t="s">
        <v>40</v>
      </c>
      <c r="G147" t="s">
        <v>117</v>
      </c>
      <c r="H147" t="s">
        <v>118</v>
      </c>
      <c r="I147" t="s">
        <v>112</v>
      </c>
      <c r="J147" t="s">
        <v>123</v>
      </c>
      <c r="K147" t="s">
        <v>13</v>
      </c>
      <c r="L147">
        <v>6.2</v>
      </c>
      <c r="M147">
        <v>4.7</v>
      </c>
      <c r="N147" t="s">
        <v>39</v>
      </c>
      <c r="O147" t="s">
        <v>7</v>
      </c>
      <c r="P147" t="s">
        <v>46</v>
      </c>
      <c r="Q147">
        <v>10</v>
      </c>
      <c r="R147">
        <v>4</v>
      </c>
      <c r="S147">
        <v>36.9</v>
      </c>
      <c r="T147">
        <v>145</v>
      </c>
      <c r="U147">
        <v>75</v>
      </c>
      <c r="V147">
        <v>7909</v>
      </c>
      <c r="W147">
        <v>22.8</v>
      </c>
      <c r="X147">
        <v>3</v>
      </c>
      <c r="Y147">
        <v>4</v>
      </c>
      <c r="Z147">
        <v>6</v>
      </c>
      <c r="AA147">
        <v>2.5</v>
      </c>
      <c r="AB147">
        <v>2</v>
      </c>
      <c r="AC147">
        <v>52</v>
      </c>
      <c r="AD147">
        <v>4</v>
      </c>
      <c r="AE147">
        <v>8</v>
      </c>
      <c r="AF147">
        <v>70</v>
      </c>
      <c r="AG147">
        <v>51</v>
      </c>
      <c r="AH147">
        <v>55</v>
      </c>
      <c r="AI147">
        <v>11</v>
      </c>
      <c r="AJ147">
        <v>16</v>
      </c>
      <c r="AK147">
        <v>17</v>
      </c>
      <c r="AL147">
        <v>10</v>
      </c>
      <c r="AM147">
        <v>1</v>
      </c>
      <c r="AN147">
        <v>24</v>
      </c>
      <c r="AO147">
        <v>7</v>
      </c>
      <c r="AP147">
        <v>7</v>
      </c>
      <c r="AQ147">
        <v>19</v>
      </c>
      <c r="AR147">
        <v>818</v>
      </c>
      <c r="AS147">
        <v>805</v>
      </c>
      <c r="AT147" t="s">
        <v>7</v>
      </c>
      <c r="AU147">
        <v>0.82</v>
      </c>
      <c r="AV147">
        <v>2014</v>
      </c>
      <c r="AW147" s="1">
        <v>45788</v>
      </c>
      <c r="AX147">
        <v>13</v>
      </c>
      <c r="AY147" t="s">
        <v>27</v>
      </c>
      <c r="AZ147" t="s">
        <v>20</v>
      </c>
      <c r="BA147" t="s">
        <v>12</v>
      </c>
      <c r="BB147" t="s">
        <v>7</v>
      </c>
      <c r="BC147" t="s">
        <v>7</v>
      </c>
      <c r="BD147">
        <v>1</v>
      </c>
      <c r="BE147" t="s">
        <v>49</v>
      </c>
      <c r="BF147">
        <v>1.91</v>
      </c>
    </row>
    <row r="148" spans="1:58" hidden="1" x14ac:dyDescent="0.2">
      <c r="A148">
        <v>147</v>
      </c>
      <c r="B148" t="s">
        <v>0</v>
      </c>
      <c r="C148">
        <v>26</v>
      </c>
      <c r="D148" t="s">
        <v>28</v>
      </c>
      <c r="E148" t="s">
        <v>22</v>
      </c>
      <c r="F148" t="s">
        <v>15</v>
      </c>
      <c r="G148" t="s">
        <v>116</v>
      </c>
      <c r="H148" t="s">
        <v>118</v>
      </c>
      <c r="I148" t="s">
        <v>112</v>
      </c>
      <c r="J148" t="s">
        <v>123</v>
      </c>
      <c r="K148" t="s">
        <v>13</v>
      </c>
      <c r="L148">
        <v>11.3</v>
      </c>
      <c r="M148">
        <v>8.4</v>
      </c>
      <c r="N148" t="s">
        <v>39</v>
      </c>
      <c r="O148" t="s">
        <v>7</v>
      </c>
      <c r="P148" t="s">
        <v>26</v>
      </c>
      <c r="Q148">
        <v>25</v>
      </c>
      <c r="R148">
        <v>6</v>
      </c>
      <c r="S148">
        <v>24.5</v>
      </c>
      <c r="T148">
        <v>134</v>
      </c>
      <c r="U148">
        <v>95</v>
      </c>
      <c r="V148">
        <v>7935</v>
      </c>
      <c r="W148">
        <v>33.200000000000003</v>
      </c>
      <c r="X148">
        <v>3</v>
      </c>
      <c r="Y148">
        <v>2</v>
      </c>
      <c r="Z148">
        <v>7</v>
      </c>
      <c r="AA148">
        <v>6.8</v>
      </c>
      <c r="AB148">
        <v>4</v>
      </c>
      <c r="AC148">
        <v>247</v>
      </c>
      <c r="AD148">
        <v>8</v>
      </c>
      <c r="AE148">
        <v>7</v>
      </c>
      <c r="AF148">
        <v>235</v>
      </c>
      <c r="AG148">
        <v>105</v>
      </c>
      <c r="AH148">
        <v>148</v>
      </c>
      <c r="AI148">
        <v>52</v>
      </c>
      <c r="AJ148">
        <v>29</v>
      </c>
      <c r="AK148">
        <v>40</v>
      </c>
      <c r="AL148">
        <v>18</v>
      </c>
      <c r="AM148">
        <v>5</v>
      </c>
      <c r="AN148">
        <v>99</v>
      </c>
      <c r="AO148">
        <v>39</v>
      </c>
      <c r="AP148">
        <v>42</v>
      </c>
      <c r="AQ148">
        <v>86</v>
      </c>
      <c r="AR148">
        <v>1000</v>
      </c>
      <c r="AS148">
        <v>401</v>
      </c>
      <c r="AT148" t="s">
        <v>7</v>
      </c>
      <c r="AU148">
        <v>0.23</v>
      </c>
      <c r="AV148">
        <v>2022</v>
      </c>
      <c r="AW148" s="1">
        <v>45740</v>
      </c>
      <c r="AX148">
        <v>30.9</v>
      </c>
      <c r="AY148" t="s">
        <v>36</v>
      </c>
      <c r="AZ148" t="s">
        <v>51</v>
      </c>
      <c r="BA148" t="s">
        <v>21</v>
      </c>
      <c r="BB148" t="s">
        <v>13</v>
      </c>
      <c r="BC148" t="s">
        <v>13</v>
      </c>
      <c r="BD148">
        <v>4</v>
      </c>
      <c r="BE148" t="s">
        <v>14</v>
      </c>
      <c r="BF148">
        <v>1.1000000000000001</v>
      </c>
    </row>
    <row r="149" spans="1:58" hidden="1" x14ac:dyDescent="0.2">
      <c r="A149">
        <v>148</v>
      </c>
      <c r="B149" t="s">
        <v>0</v>
      </c>
      <c r="C149">
        <v>15</v>
      </c>
      <c r="D149" t="s">
        <v>1</v>
      </c>
      <c r="E149" t="s">
        <v>126</v>
      </c>
      <c r="F149" t="s">
        <v>40</v>
      </c>
      <c r="G149" t="s">
        <v>16</v>
      </c>
      <c r="H149" t="s">
        <v>24</v>
      </c>
      <c r="I149" t="s">
        <v>114</v>
      </c>
      <c r="J149" t="s">
        <v>6</v>
      </c>
      <c r="K149" t="s">
        <v>7</v>
      </c>
      <c r="L149">
        <v>7.6</v>
      </c>
      <c r="M149">
        <v>6.4</v>
      </c>
      <c r="N149" t="s">
        <v>120</v>
      </c>
      <c r="O149" t="s">
        <v>7</v>
      </c>
      <c r="P149" t="s">
        <v>26</v>
      </c>
      <c r="Q149">
        <v>17</v>
      </c>
      <c r="R149">
        <v>5</v>
      </c>
      <c r="S149">
        <v>27.4</v>
      </c>
      <c r="T149">
        <v>111</v>
      </c>
      <c r="U149">
        <v>99</v>
      </c>
      <c r="V149">
        <v>8156</v>
      </c>
      <c r="W149">
        <v>31.6</v>
      </c>
      <c r="X149">
        <v>1</v>
      </c>
      <c r="Y149">
        <v>3</v>
      </c>
      <c r="Z149">
        <v>11</v>
      </c>
      <c r="AA149">
        <v>0.9</v>
      </c>
      <c r="AB149">
        <v>2</v>
      </c>
      <c r="AC149">
        <v>162</v>
      </c>
      <c r="AD149">
        <v>18</v>
      </c>
      <c r="AE149">
        <v>11</v>
      </c>
      <c r="AF149">
        <v>228</v>
      </c>
      <c r="AG149">
        <v>87</v>
      </c>
      <c r="AH149">
        <v>98</v>
      </c>
      <c r="AI149">
        <v>39</v>
      </c>
      <c r="AJ149">
        <v>29</v>
      </c>
      <c r="AK149">
        <v>36</v>
      </c>
      <c r="AL149">
        <v>18</v>
      </c>
      <c r="AM149">
        <v>6</v>
      </c>
      <c r="AN149">
        <v>82</v>
      </c>
      <c r="AO149">
        <v>37</v>
      </c>
      <c r="AP149">
        <v>20</v>
      </c>
      <c r="AQ149">
        <v>36</v>
      </c>
      <c r="AR149">
        <v>559</v>
      </c>
      <c r="AS149">
        <v>957</v>
      </c>
      <c r="AT149" t="s">
        <v>7</v>
      </c>
      <c r="AU149">
        <v>0.33</v>
      </c>
      <c r="AV149">
        <v>2024</v>
      </c>
      <c r="AW149" s="1">
        <v>45665</v>
      </c>
      <c r="AX149">
        <v>9</v>
      </c>
      <c r="AY149" t="s">
        <v>27</v>
      </c>
      <c r="AZ149" t="s">
        <v>31</v>
      </c>
      <c r="BA149" t="s">
        <v>21</v>
      </c>
      <c r="BB149" t="s">
        <v>13</v>
      </c>
      <c r="BC149" t="s">
        <v>13</v>
      </c>
      <c r="BD149">
        <v>2</v>
      </c>
      <c r="BE149" t="s">
        <v>43</v>
      </c>
      <c r="BF149">
        <v>1.28</v>
      </c>
    </row>
    <row r="150" spans="1:58" hidden="1" x14ac:dyDescent="0.2">
      <c r="A150">
        <v>149</v>
      </c>
      <c r="B150" t="s">
        <v>0</v>
      </c>
      <c r="C150">
        <v>13</v>
      </c>
      <c r="D150" t="s">
        <v>124</v>
      </c>
      <c r="E150" t="s">
        <v>17</v>
      </c>
      <c r="F150" t="s">
        <v>15</v>
      </c>
      <c r="G150" t="s">
        <v>16</v>
      </c>
      <c r="H150" t="s">
        <v>23</v>
      </c>
      <c r="I150" t="s">
        <v>112</v>
      </c>
      <c r="J150" t="s">
        <v>123</v>
      </c>
      <c r="K150" t="s">
        <v>13</v>
      </c>
      <c r="L150">
        <v>16.899999999999999</v>
      </c>
      <c r="M150">
        <v>9.5</v>
      </c>
      <c r="N150" t="s">
        <v>29</v>
      </c>
      <c r="O150" t="s">
        <v>7</v>
      </c>
      <c r="P150" t="s">
        <v>9</v>
      </c>
      <c r="Q150">
        <v>18</v>
      </c>
      <c r="R150">
        <v>3</v>
      </c>
      <c r="S150">
        <v>30.2</v>
      </c>
      <c r="T150">
        <v>96</v>
      </c>
      <c r="U150">
        <v>98</v>
      </c>
      <c r="V150">
        <v>7905</v>
      </c>
      <c r="W150">
        <v>26.4</v>
      </c>
      <c r="X150">
        <v>4</v>
      </c>
      <c r="Y150">
        <v>3</v>
      </c>
      <c r="Z150">
        <v>10</v>
      </c>
      <c r="AA150">
        <v>2.7</v>
      </c>
      <c r="AB150">
        <v>5</v>
      </c>
      <c r="AC150">
        <v>246</v>
      </c>
      <c r="AD150">
        <v>15</v>
      </c>
      <c r="AE150">
        <v>15</v>
      </c>
      <c r="AF150">
        <v>271</v>
      </c>
      <c r="AG150">
        <v>133</v>
      </c>
      <c r="AH150">
        <v>144</v>
      </c>
      <c r="AI150">
        <v>37</v>
      </c>
      <c r="AJ150">
        <v>38</v>
      </c>
      <c r="AK150">
        <v>34</v>
      </c>
      <c r="AL150">
        <v>23</v>
      </c>
      <c r="AM150">
        <v>7</v>
      </c>
      <c r="AN150">
        <v>132</v>
      </c>
      <c r="AO150">
        <v>66</v>
      </c>
      <c r="AP150">
        <v>28</v>
      </c>
      <c r="AQ150">
        <v>66</v>
      </c>
      <c r="AR150">
        <v>3442</v>
      </c>
      <c r="AS150">
        <v>6685</v>
      </c>
      <c r="AT150" t="s">
        <v>7</v>
      </c>
      <c r="AU150">
        <v>0.53</v>
      </c>
      <c r="AV150">
        <v>2021</v>
      </c>
      <c r="AW150" s="1">
        <v>45702</v>
      </c>
      <c r="AX150">
        <v>16.399999999999999</v>
      </c>
      <c r="AY150" t="s">
        <v>30</v>
      </c>
      <c r="AZ150" t="s">
        <v>37</v>
      </c>
      <c r="BA150" t="s">
        <v>21</v>
      </c>
      <c r="BB150" t="s">
        <v>7</v>
      </c>
      <c r="BC150" t="s">
        <v>13</v>
      </c>
      <c r="BD150">
        <v>3</v>
      </c>
      <c r="BE150" t="s">
        <v>14</v>
      </c>
      <c r="BF150">
        <v>1.06</v>
      </c>
    </row>
    <row r="151" spans="1:58" hidden="1" x14ac:dyDescent="0.2">
      <c r="A151">
        <v>150</v>
      </c>
      <c r="B151" t="s">
        <v>0</v>
      </c>
      <c r="C151">
        <v>17</v>
      </c>
      <c r="D151" t="s">
        <v>1</v>
      </c>
      <c r="E151" t="s">
        <v>42</v>
      </c>
      <c r="F151" t="s">
        <v>15</v>
      </c>
      <c r="G151" t="s">
        <v>116</v>
      </c>
      <c r="H151" t="s">
        <v>23</v>
      </c>
      <c r="I151" t="s">
        <v>112</v>
      </c>
      <c r="J151" t="s">
        <v>6</v>
      </c>
      <c r="K151" t="s">
        <v>7</v>
      </c>
      <c r="L151">
        <v>16.600000000000001</v>
      </c>
      <c r="M151">
        <v>6.2</v>
      </c>
      <c r="N151" t="s">
        <v>39</v>
      </c>
      <c r="O151" t="s">
        <v>7</v>
      </c>
      <c r="P151" t="s">
        <v>9</v>
      </c>
      <c r="Q151">
        <v>13</v>
      </c>
      <c r="R151">
        <v>3</v>
      </c>
      <c r="S151">
        <v>32.299999999999997</v>
      </c>
      <c r="T151">
        <v>97</v>
      </c>
      <c r="U151">
        <v>87</v>
      </c>
      <c r="V151">
        <v>7842</v>
      </c>
      <c r="W151">
        <v>42.1</v>
      </c>
      <c r="X151">
        <v>1</v>
      </c>
      <c r="Y151">
        <v>5</v>
      </c>
      <c r="Z151">
        <v>10</v>
      </c>
      <c r="AA151">
        <v>4.5</v>
      </c>
      <c r="AB151">
        <v>0</v>
      </c>
      <c r="AC151">
        <v>155</v>
      </c>
      <c r="AD151">
        <v>7</v>
      </c>
      <c r="AE151">
        <v>8</v>
      </c>
      <c r="AF151">
        <v>218</v>
      </c>
      <c r="AG151">
        <v>98</v>
      </c>
      <c r="AH151">
        <v>108</v>
      </c>
      <c r="AI151">
        <v>38</v>
      </c>
      <c r="AJ151">
        <v>26</v>
      </c>
      <c r="AK151">
        <v>28</v>
      </c>
      <c r="AL151">
        <v>22</v>
      </c>
      <c r="AM151">
        <v>1</v>
      </c>
      <c r="AN151">
        <v>67</v>
      </c>
      <c r="AO151">
        <v>20</v>
      </c>
      <c r="AP151">
        <v>17</v>
      </c>
      <c r="AQ151">
        <v>38</v>
      </c>
      <c r="AR151">
        <v>1243</v>
      </c>
      <c r="AS151">
        <v>1069</v>
      </c>
      <c r="AT151" t="s">
        <v>13</v>
      </c>
      <c r="AU151">
        <v>0.17</v>
      </c>
      <c r="AV151">
        <v>2017</v>
      </c>
      <c r="AW151" s="1">
        <v>45885</v>
      </c>
      <c r="AX151">
        <v>22.1</v>
      </c>
      <c r="AY151" t="s">
        <v>36</v>
      </c>
      <c r="AZ151" t="s">
        <v>11</v>
      </c>
      <c r="BA151" t="s">
        <v>122</v>
      </c>
      <c r="BB151" t="s">
        <v>7</v>
      </c>
      <c r="BC151" t="s">
        <v>7</v>
      </c>
      <c r="BD151">
        <v>1</v>
      </c>
      <c r="BE151" t="s">
        <v>14</v>
      </c>
      <c r="BF151">
        <v>1.33</v>
      </c>
    </row>
    <row r="152" spans="1:58" hidden="1" x14ac:dyDescent="0.2">
      <c r="A152">
        <v>151</v>
      </c>
      <c r="B152" t="s">
        <v>0</v>
      </c>
      <c r="C152">
        <v>38</v>
      </c>
      <c r="D152" t="s">
        <v>28</v>
      </c>
      <c r="E152" t="s">
        <v>126</v>
      </c>
      <c r="F152" t="s">
        <v>15</v>
      </c>
      <c r="G152" t="s">
        <v>117</v>
      </c>
      <c r="H152" t="s">
        <v>118</v>
      </c>
      <c r="I152" t="s">
        <v>112</v>
      </c>
      <c r="J152" t="s">
        <v>6</v>
      </c>
      <c r="K152" t="s">
        <v>7</v>
      </c>
      <c r="L152">
        <v>2.2999999999999998</v>
      </c>
      <c r="M152">
        <v>8.1999999999999993</v>
      </c>
      <c r="N152" t="s">
        <v>29</v>
      </c>
      <c r="O152" t="s">
        <v>7</v>
      </c>
      <c r="P152" t="s">
        <v>46</v>
      </c>
      <c r="Q152">
        <v>28</v>
      </c>
      <c r="R152">
        <v>2</v>
      </c>
      <c r="S152">
        <v>25.8</v>
      </c>
      <c r="T152">
        <v>114</v>
      </c>
      <c r="U152">
        <v>64</v>
      </c>
      <c r="V152">
        <v>7999</v>
      </c>
      <c r="W152">
        <v>40.9</v>
      </c>
      <c r="X152">
        <v>4</v>
      </c>
      <c r="Y152">
        <v>3</v>
      </c>
      <c r="Z152">
        <v>13</v>
      </c>
      <c r="AA152">
        <v>1.6</v>
      </c>
      <c r="AB152">
        <v>4</v>
      </c>
      <c r="AC152">
        <v>294</v>
      </c>
      <c r="AD152">
        <v>12</v>
      </c>
      <c r="AE152">
        <v>6</v>
      </c>
      <c r="AF152">
        <v>209</v>
      </c>
      <c r="AG152">
        <v>140</v>
      </c>
      <c r="AH152">
        <v>182</v>
      </c>
      <c r="AI152">
        <v>56</v>
      </c>
      <c r="AJ152">
        <v>38</v>
      </c>
      <c r="AK152">
        <v>46</v>
      </c>
      <c r="AL152">
        <v>30</v>
      </c>
      <c r="AM152">
        <v>10</v>
      </c>
      <c r="AN152">
        <v>124</v>
      </c>
      <c r="AO152">
        <v>74</v>
      </c>
      <c r="AP152">
        <v>64</v>
      </c>
      <c r="AQ152">
        <v>74</v>
      </c>
      <c r="AR152">
        <v>9843</v>
      </c>
      <c r="AS152">
        <v>10000</v>
      </c>
      <c r="AT152" t="s">
        <v>7</v>
      </c>
      <c r="AU152">
        <v>0.1</v>
      </c>
      <c r="AV152">
        <v>2023</v>
      </c>
      <c r="AW152" s="1">
        <v>45805</v>
      </c>
      <c r="AX152">
        <v>24.5</v>
      </c>
      <c r="AY152" t="s">
        <v>45</v>
      </c>
      <c r="AZ152" t="s">
        <v>35</v>
      </c>
      <c r="BA152" t="s">
        <v>122</v>
      </c>
      <c r="BB152" t="s">
        <v>13</v>
      </c>
      <c r="BC152" t="s">
        <v>13</v>
      </c>
      <c r="BD152">
        <v>1</v>
      </c>
      <c r="BE152" t="s">
        <v>14</v>
      </c>
      <c r="BF152">
        <v>1.06</v>
      </c>
    </row>
    <row r="153" spans="1:58" hidden="1" x14ac:dyDescent="0.2">
      <c r="A153">
        <v>152</v>
      </c>
      <c r="B153" t="s">
        <v>0</v>
      </c>
      <c r="C153">
        <v>26</v>
      </c>
      <c r="D153" t="s">
        <v>1</v>
      </c>
      <c r="E153" t="s">
        <v>128</v>
      </c>
      <c r="F153" t="s">
        <v>40</v>
      </c>
      <c r="G153" t="s">
        <v>38</v>
      </c>
      <c r="H153" t="s">
        <v>34</v>
      </c>
      <c r="I153" t="s">
        <v>115</v>
      </c>
      <c r="J153" t="s">
        <v>123</v>
      </c>
      <c r="K153" t="s">
        <v>7</v>
      </c>
      <c r="L153">
        <v>15.5</v>
      </c>
      <c r="M153">
        <v>7.4</v>
      </c>
      <c r="N153" t="s">
        <v>8</v>
      </c>
      <c r="O153" t="s">
        <v>41</v>
      </c>
      <c r="P153" t="s">
        <v>9</v>
      </c>
      <c r="Q153">
        <v>27</v>
      </c>
      <c r="R153">
        <v>6</v>
      </c>
      <c r="S153">
        <v>26</v>
      </c>
      <c r="T153">
        <v>125</v>
      </c>
      <c r="U153">
        <v>79</v>
      </c>
      <c r="V153">
        <v>8062</v>
      </c>
      <c r="W153">
        <v>46.7</v>
      </c>
      <c r="X153">
        <v>2</v>
      </c>
      <c r="Y153">
        <v>0</v>
      </c>
      <c r="Z153">
        <v>8</v>
      </c>
      <c r="AA153">
        <v>5.9</v>
      </c>
      <c r="AB153">
        <v>3</v>
      </c>
      <c r="AC153">
        <v>246</v>
      </c>
      <c r="AD153">
        <v>8</v>
      </c>
      <c r="AE153">
        <v>4</v>
      </c>
      <c r="AF153">
        <v>269</v>
      </c>
      <c r="AG153">
        <v>141</v>
      </c>
      <c r="AH153">
        <v>145</v>
      </c>
      <c r="AI153">
        <v>42</v>
      </c>
      <c r="AJ153">
        <v>35</v>
      </c>
      <c r="AK153">
        <v>32</v>
      </c>
      <c r="AL153">
        <v>34</v>
      </c>
      <c r="AM153">
        <v>4</v>
      </c>
      <c r="AN153">
        <v>135</v>
      </c>
      <c r="AO153">
        <v>62</v>
      </c>
      <c r="AP153">
        <v>61</v>
      </c>
      <c r="AQ153">
        <v>67</v>
      </c>
      <c r="AR153">
        <v>3513</v>
      </c>
      <c r="AS153">
        <v>5040</v>
      </c>
      <c r="AT153" t="s">
        <v>7</v>
      </c>
      <c r="AU153">
        <v>0.05</v>
      </c>
      <c r="AV153">
        <v>2023</v>
      </c>
      <c r="AW153" s="1">
        <v>45986</v>
      </c>
      <c r="AX153">
        <v>30.8</v>
      </c>
      <c r="AY153" t="s">
        <v>30</v>
      </c>
      <c r="AZ153" t="s">
        <v>35</v>
      </c>
      <c r="BA153" t="s">
        <v>21</v>
      </c>
      <c r="BB153" t="s">
        <v>7</v>
      </c>
      <c r="BC153" t="s">
        <v>13</v>
      </c>
      <c r="BD153">
        <v>3</v>
      </c>
      <c r="BE153" t="s">
        <v>14</v>
      </c>
      <c r="BF153">
        <v>0.98</v>
      </c>
    </row>
    <row r="154" spans="1:58" hidden="1" x14ac:dyDescent="0.2">
      <c r="A154">
        <v>153</v>
      </c>
      <c r="B154" t="s">
        <v>0</v>
      </c>
      <c r="C154">
        <v>51</v>
      </c>
      <c r="D154" t="s">
        <v>1</v>
      </c>
      <c r="E154" t="s">
        <v>128</v>
      </c>
      <c r="F154" t="s">
        <v>3</v>
      </c>
      <c r="G154" t="s">
        <v>117</v>
      </c>
      <c r="H154" t="s">
        <v>23</v>
      </c>
      <c r="I154" t="s">
        <v>115</v>
      </c>
      <c r="J154" t="s">
        <v>6</v>
      </c>
      <c r="K154" t="s">
        <v>7</v>
      </c>
      <c r="L154">
        <v>9</v>
      </c>
      <c r="M154">
        <v>8.8000000000000007</v>
      </c>
      <c r="N154" t="s">
        <v>8</v>
      </c>
      <c r="O154" t="s">
        <v>41</v>
      </c>
      <c r="P154" t="s">
        <v>9</v>
      </c>
      <c r="Q154">
        <v>19</v>
      </c>
      <c r="R154">
        <v>1</v>
      </c>
      <c r="S154">
        <v>28.4</v>
      </c>
      <c r="T154">
        <v>155</v>
      </c>
      <c r="U154">
        <v>70</v>
      </c>
      <c r="V154">
        <v>7997</v>
      </c>
      <c r="W154">
        <v>27</v>
      </c>
      <c r="X154">
        <v>1</v>
      </c>
      <c r="Y154">
        <v>2</v>
      </c>
      <c r="Z154">
        <v>14</v>
      </c>
      <c r="AA154">
        <v>4</v>
      </c>
      <c r="AB154">
        <v>3</v>
      </c>
      <c r="AC154">
        <v>219</v>
      </c>
      <c r="AD154">
        <v>23</v>
      </c>
      <c r="AE154">
        <v>5</v>
      </c>
      <c r="AF154">
        <v>165</v>
      </c>
      <c r="AG154">
        <v>127</v>
      </c>
      <c r="AH154">
        <v>133</v>
      </c>
      <c r="AI154">
        <v>26</v>
      </c>
      <c r="AJ154">
        <v>32</v>
      </c>
      <c r="AK154">
        <v>30</v>
      </c>
      <c r="AL154">
        <v>21</v>
      </c>
      <c r="AM154">
        <v>8</v>
      </c>
      <c r="AN154">
        <v>105</v>
      </c>
      <c r="AO154">
        <v>34</v>
      </c>
      <c r="AP154">
        <v>45</v>
      </c>
      <c r="AQ154">
        <v>61</v>
      </c>
      <c r="AR154">
        <v>746</v>
      </c>
      <c r="AS154">
        <v>542</v>
      </c>
      <c r="AT154" t="s">
        <v>7</v>
      </c>
      <c r="AU154">
        <v>0.77</v>
      </c>
      <c r="AV154">
        <v>2018</v>
      </c>
      <c r="AW154" s="1">
        <v>45681</v>
      </c>
      <c r="AX154">
        <v>9.5</v>
      </c>
      <c r="AY154" t="s">
        <v>27</v>
      </c>
      <c r="AZ154" t="s">
        <v>35</v>
      </c>
      <c r="BA154" t="s">
        <v>21</v>
      </c>
      <c r="BB154" t="s">
        <v>13</v>
      </c>
      <c r="BC154" t="s">
        <v>13</v>
      </c>
      <c r="BD154">
        <v>1</v>
      </c>
      <c r="BE154" t="s">
        <v>43</v>
      </c>
      <c r="BF154">
        <v>0.91</v>
      </c>
    </row>
    <row r="155" spans="1:58" hidden="1" x14ac:dyDescent="0.2">
      <c r="A155">
        <v>154</v>
      </c>
      <c r="B155" t="s">
        <v>0</v>
      </c>
      <c r="C155">
        <v>39</v>
      </c>
      <c r="D155" t="s">
        <v>124</v>
      </c>
      <c r="E155" t="s">
        <v>128</v>
      </c>
      <c r="F155" t="s">
        <v>15</v>
      </c>
      <c r="G155" t="s">
        <v>16</v>
      </c>
      <c r="H155" t="s">
        <v>119</v>
      </c>
      <c r="I155" t="s">
        <v>114</v>
      </c>
      <c r="J155" t="s">
        <v>32</v>
      </c>
      <c r="K155" t="s">
        <v>13</v>
      </c>
      <c r="L155">
        <v>11.2</v>
      </c>
      <c r="M155">
        <v>6.6</v>
      </c>
      <c r="N155" t="s">
        <v>29</v>
      </c>
      <c r="O155" t="s">
        <v>13</v>
      </c>
      <c r="P155" t="s">
        <v>46</v>
      </c>
      <c r="Q155">
        <v>34</v>
      </c>
      <c r="R155">
        <v>7</v>
      </c>
      <c r="S155">
        <v>26.9</v>
      </c>
      <c r="T155">
        <v>117</v>
      </c>
      <c r="U155">
        <v>91</v>
      </c>
      <c r="V155">
        <v>8039</v>
      </c>
      <c r="W155">
        <v>37</v>
      </c>
      <c r="X155">
        <v>0</v>
      </c>
      <c r="Y155">
        <v>5</v>
      </c>
      <c r="Z155">
        <v>12</v>
      </c>
      <c r="AA155">
        <v>6</v>
      </c>
      <c r="AB155">
        <v>3</v>
      </c>
      <c r="AC155">
        <v>302</v>
      </c>
      <c r="AD155">
        <v>24</v>
      </c>
      <c r="AE155">
        <v>9</v>
      </c>
      <c r="AF155">
        <v>195</v>
      </c>
      <c r="AG155">
        <v>150</v>
      </c>
      <c r="AH155">
        <v>147</v>
      </c>
      <c r="AI155">
        <v>53</v>
      </c>
      <c r="AJ155">
        <v>32</v>
      </c>
      <c r="AK155">
        <v>45</v>
      </c>
      <c r="AL155">
        <v>36</v>
      </c>
      <c r="AM155">
        <v>5</v>
      </c>
      <c r="AN155">
        <v>161</v>
      </c>
      <c r="AO155">
        <v>67</v>
      </c>
      <c r="AP155">
        <v>56</v>
      </c>
      <c r="AQ155">
        <v>110</v>
      </c>
      <c r="AR155">
        <v>4544</v>
      </c>
      <c r="AS155">
        <v>1908</v>
      </c>
      <c r="AT155" t="s">
        <v>7</v>
      </c>
      <c r="AU155">
        <v>0.26</v>
      </c>
      <c r="AV155">
        <v>2025</v>
      </c>
      <c r="AW155" s="1">
        <v>45979</v>
      </c>
      <c r="AX155">
        <v>12.6</v>
      </c>
      <c r="AY155" t="s">
        <v>27</v>
      </c>
      <c r="AZ155" t="s">
        <v>48</v>
      </c>
      <c r="BA155" t="s">
        <v>122</v>
      </c>
      <c r="BB155" t="s">
        <v>13</v>
      </c>
      <c r="BC155" t="s">
        <v>7</v>
      </c>
      <c r="BD155">
        <v>3</v>
      </c>
      <c r="BE155" t="s">
        <v>14</v>
      </c>
      <c r="BF155">
        <v>0.92</v>
      </c>
    </row>
    <row r="156" spans="1:58" hidden="1" x14ac:dyDescent="0.2">
      <c r="A156">
        <v>155</v>
      </c>
      <c r="B156" t="s">
        <v>0</v>
      </c>
      <c r="C156">
        <v>21</v>
      </c>
      <c r="D156" t="s">
        <v>125</v>
      </c>
      <c r="E156" t="s">
        <v>127</v>
      </c>
      <c r="F156" t="s">
        <v>40</v>
      </c>
      <c r="G156" t="s">
        <v>16</v>
      </c>
      <c r="H156" t="s">
        <v>118</v>
      </c>
      <c r="I156" t="s">
        <v>114</v>
      </c>
      <c r="J156" t="s">
        <v>32</v>
      </c>
      <c r="K156" t="s">
        <v>7</v>
      </c>
      <c r="L156">
        <v>1.1000000000000001</v>
      </c>
      <c r="M156">
        <v>7.8</v>
      </c>
      <c r="N156" t="s">
        <v>29</v>
      </c>
      <c r="O156" t="s">
        <v>7</v>
      </c>
      <c r="P156" t="s">
        <v>9</v>
      </c>
      <c r="Q156">
        <v>30</v>
      </c>
      <c r="R156">
        <v>7</v>
      </c>
      <c r="S156">
        <v>20.7</v>
      </c>
      <c r="T156">
        <v>95</v>
      </c>
      <c r="U156">
        <v>93</v>
      </c>
      <c r="V156">
        <v>8118</v>
      </c>
      <c r="W156">
        <v>53.1</v>
      </c>
      <c r="X156">
        <v>6</v>
      </c>
      <c r="Y156">
        <v>4</v>
      </c>
      <c r="Z156">
        <v>13</v>
      </c>
      <c r="AA156">
        <v>5.4</v>
      </c>
      <c r="AB156">
        <v>0</v>
      </c>
      <c r="AC156">
        <v>324</v>
      </c>
      <c r="AD156">
        <v>15</v>
      </c>
      <c r="AE156">
        <v>9</v>
      </c>
      <c r="AF156">
        <v>300</v>
      </c>
      <c r="AG156">
        <v>150</v>
      </c>
      <c r="AH156">
        <v>194</v>
      </c>
      <c r="AI156">
        <v>53</v>
      </c>
      <c r="AJ156">
        <v>43</v>
      </c>
      <c r="AK156">
        <v>44</v>
      </c>
      <c r="AL156">
        <v>41</v>
      </c>
      <c r="AM156">
        <v>5</v>
      </c>
      <c r="AN156">
        <v>173</v>
      </c>
      <c r="AO156">
        <v>64</v>
      </c>
      <c r="AP156">
        <v>65</v>
      </c>
      <c r="AQ156">
        <v>101</v>
      </c>
      <c r="AR156">
        <v>358</v>
      </c>
      <c r="AS156">
        <v>247</v>
      </c>
      <c r="AT156" t="s">
        <v>7</v>
      </c>
      <c r="AU156">
        <v>0.65</v>
      </c>
      <c r="AV156">
        <v>2025</v>
      </c>
      <c r="AW156" s="1">
        <v>45885</v>
      </c>
      <c r="AX156">
        <v>21.6</v>
      </c>
      <c r="AY156" t="s">
        <v>19</v>
      </c>
      <c r="AZ156" t="s">
        <v>37</v>
      </c>
      <c r="BA156" t="s">
        <v>21</v>
      </c>
      <c r="BB156" t="s">
        <v>7</v>
      </c>
      <c r="BC156" t="s">
        <v>7</v>
      </c>
      <c r="BD156">
        <v>1</v>
      </c>
      <c r="BE156" t="s">
        <v>14</v>
      </c>
      <c r="BF156">
        <v>1.01</v>
      </c>
    </row>
    <row r="157" spans="1:58" hidden="1" x14ac:dyDescent="0.2">
      <c r="A157">
        <v>156</v>
      </c>
      <c r="B157" t="s">
        <v>0</v>
      </c>
      <c r="C157">
        <v>27</v>
      </c>
      <c r="D157" t="s">
        <v>1</v>
      </c>
      <c r="E157" t="s">
        <v>126</v>
      </c>
      <c r="F157" t="s">
        <v>15</v>
      </c>
      <c r="G157" t="s">
        <v>117</v>
      </c>
      <c r="H157" t="s">
        <v>24</v>
      </c>
      <c r="I157" t="s">
        <v>114</v>
      </c>
      <c r="J157" t="s">
        <v>18</v>
      </c>
      <c r="K157" t="s">
        <v>7</v>
      </c>
      <c r="L157">
        <v>3.6</v>
      </c>
      <c r="M157">
        <v>6.1</v>
      </c>
      <c r="N157" t="s">
        <v>8</v>
      </c>
      <c r="O157" t="s">
        <v>7</v>
      </c>
      <c r="P157" t="s">
        <v>26</v>
      </c>
      <c r="Q157">
        <v>24</v>
      </c>
      <c r="R157">
        <v>8</v>
      </c>
      <c r="S157">
        <v>24.1</v>
      </c>
      <c r="T157">
        <v>141</v>
      </c>
      <c r="U157">
        <v>80</v>
      </c>
      <c r="V157">
        <v>7974</v>
      </c>
      <c r="W157">
        <v>38.6</v>
      </c>
      <c r="X157">
        <v>0</v>
      </c>
      <c r="Y157">
        <v>3</v>
      </c>
      <c r="Z157">
        <v>8</v>
      </c>
      <c r="AA157">
        <v>2.4</v>
      </c>
      <c r="AB157">
        <v>4</v>
      </c>
      <c r="AC157">
        <v>197</v>
      </c>
      <c r="AD157">
        <v>24</v>
      </c>
      <c r="AE157">
        <v>2</v>
      </c>
      <c r="AF157">
        <v>219</v>
      </c>
      <c r="AG157">
        <v>79</v>
      </c>
      <c r="AH157">
        <v>125</v>
      </c>
      <c r="AI157">
        <v>33</v>
      </c>
      <c r="AJ157">
        <v>29</v>
      </c>
      <c r="AK157">
        <v>43</v>
      </c>
      <c r="AL157">
        <v>25</v>
      </c>
      <c r="AM157">
        <v>1</v>
      </c>
      <c r="AN157">
        <v>115</v>
      </c>
      <c r="AO157">
        <v>42</v>
      </c>
      <c r="AP157">
        <v>35</v>
      </c>
      <c r="AQ157">
        <v>77</v>
      </c>
      <c r="AR157">
        <v>2162</v>
      </c>
      <c r="AS157">
        <v>3302</v>
      </c>
      <c r="AT157" t="s">
        <v>7</v>
      </c>
      <c r="AU157">
        <v>0.59</v>
      </c>
      <c r="AV157">
        <v>2017</v>
      </c>
      <c r="AW157" s="1">
        <v>46001</v>
      </c>
      <c r="AX157">
        <v>8.1999999999999993</v>
      </c>
      <c r="AY157" t="s">
        <v>10</v>
      </c>
      <c r="AZ157" t="s">
        <v>48</v>
      </c>
      <c r="BA157" t="s">
        <v>12</v>
      </c>
      <c r="BB157" t="s">
        <v>13</v>
      </c>
      <c r="BC157" t="s">
        <v>13</v>
      </c>
      <c r="BD157">
        <v>2</v>
      </c>
      <c r="BE157" t="s">
        <v>43</v>
      </c>
      <c r="BF157">
        <v>0.99</v>
      </c>
    </row>
    <row r="158" spans="1:58" hidden="1" x14ac:dyDescent="0.2">
      <c r="A158">
        <v>157</v>
      </c>
      <c r="B158" t="s">
        <v>0</v>
      </c>
      <c r="C158">
        <v>27</v>
      </c>
      <c r="D158" t="s">
        <v>1</v>
      </c>
      <c r="E158" t="s">
        <v>17</v>
      </c>
      <c r="F158" t="s">
        <v>15</v>
      </c>
      <c r="G158" t="s">
        <v>4</v>
      </c>
      <c r="H158" t="s">
        <v>118</v>
      </c>
      <c r="I158" t="s">
        <v>112</v>
      </c>
      <c r="J158" t="s">
        <v>6</v>
      </c>
      <c r="K158" t="s">
        <v>13</v>
      </c>
      <c r="L158">
        <v>5.9</v>
      </c>
      <c r="M158">
        <v>8</v>
      </c>
      <c r="N158" t="s">
        <v>29</v>
      </c>
      <c r="O158" t="s">
        <v>7</v>
      </c>
      <c r="P158" t="s">
        <v>9</v>
      </c>
      <c r="Q158">
        <v>34</v>
      </c>
      <c r="R158">
        <v>6</v>
      </c>
      <c r="S158">
        <v>24.1</v>
      </c>
      <c r="T158">
        <v>94</v>
      </c>
      <c r="U158">
        <v>72</v>
      </c>
      <c r="V158">
        <v>8060</v>
      </c>
      <c r="W158">
        <v>51.5</v>
      </c>
      <c r="X158">
        <v>5</v>
      </c>
      <c r="Y158">
        <v>6</v>
      </c>
      <c r="Z158">
        <v>18</v>
      </c>
      <c r="AA158">
        <v>2.7</v>
      </c>
      <c r="AB158">
        <v>2</v>
      </c>
      <c r="AC158">
        <v>273</v>
      </c>
      <c r="AD158">
        <v>9</v>
      </c>
      <c r="AE158">
        <v>6</v>
      </c>
      <c r="AF158">
        <v>300</v>
      </c>
      <c r="AG158">
        <v>119</v>
      </c>
      <c r="AH158">
        <v>162</v>
      </c>
      <c r="AI158">
        <v>41</v>
      </c>
      <c r="AJ158">
        <v>40</v>
      </c>
      <c r="AK158">
        <v>38</v>
      </c>
      <c r="AL158">
        <v>30</v>
      </c>
      <c r="AM158">
        <v>5</v>
      </c>
      <c r="AN158">
        <v>121</v>
      </c>
      <c r="AO158">
        <v>49</v>
      </c>
      <c r="AP158">
        <v>53</v>
      </c>
      <c r="AQ158">
        <v>94</v>
      </c>
      <c r="AR158">
        <v>1054</v>
      </c>
      <c r="AS158">
        <v>1849</v>
      </c>
      <c r="AT158" t="s">
        <v>7</v>
      </c>
      <c r="AU158">
        <v>0.47</v>
      </c>
      <c r="AV158">
        <v>2021</v>
      </c>
      <c r="AW158" s="1">
        <v>45887</v>
      </c>
      <c r="AX158">
        <v>30.3</v>
      </c>
      <c r="AY158" t="s">
        <v>27</v>
      </c>
      <c r="AZ158" t="s">
        <v>35</v>
      </c>
      <c r="BA158" t="s">
        <v>21</v>
      </c>
      <c r="BB158" t="s">
        <v>13</v>
      </c>
      <c r="BC158" t="s">
        <v>7</v>
      </c>
      <c r="BD158">
        <v>2</v>
      </c>
      <c r="BE158" t="s">
        <v>43</v>
      </c>
      <c r="BF158">
        <v>0.96</v>
      </c>
    </row>
    <row r="159" spans="1:58" hidden="1" x14ac:dyDescent="0.2">
      <c r="A159">
        <v>158</v>
      </c>
      <c r="B159" t="s">
        <v>0</v>
      </c>
      <c r="C159">
        <v>38</v>
      </c>
      <c r="D159" t="s">
        <v>1</v>
      </c>
      <c r="E159" t="s">
        <v>126</v>
      </c>
      <c r="F159" t="s">
        <v>40</v>
      </c>
      <c r="G159" t="s">
        <v>116</v>
      </c>
      <c r="H159" t="s">
        <v>23</v>
      </c>
      <c r="I159" t="s">
        <v>112</v>
      </c>
      <c r="J159" t="s">
        <v>123</v>
      </c>
      <c r="K159" t="s">
        <v>7</v>
      </c>
      <c r="L159">
        <v>12.2</v>
      </c>
      <c r="M159">
        <v>6.9</v>
      </c>
      <c r="N159" t="s">
        <v>39</v>
      </c>
      <c r="O159" t="s">
        <v>7</v>
      </c>
      <c r="P159" t="s">
        <v>9</v>
      </c>
      <c r="Q159">
        <v>14</v>
      </c>
      <c r="R159">
        <v>3</v>
      </c>
      <c r="S159">
        <v>23.1</v>
      </c>
      <c r="T159">
        <v>116</v>
      </c>
      <c r="U159">
        <v>89</v>
      </c>
      <c r="V159">
        <v>7863</v>
      </c>
      <c r="W159">
        <v>36.200000000000003</v>
      </c>
      <c r="X159">
        <v>2</v>
      </c>
      <c r="Y159">
        <v>5</v>
      </c>
      <c r="Z159">
        <v>12</v>
      </c>
      <c r="AA159">
        <v>2.6</v>
      </c>
      <c r="AB159">
        <v>4</v>
      </c>
      <c r="AC159">
        <v>173</v>
      </c>
      <c r="AD159">
        <v>6</v>
      </c>
      <c r="AE159">
        <v>3</v>
      </c>
      <c r="AF159">
        <v>148</v>
      </c>
      <c r="AG159">
        <v>95</v>
      </c>
      <c r="AH159">
        <v>115</v>
      </c>
      <c r="AI159">
        <v>36</v>
      </c>
      <c r="AJ159">
        <v>28</v>
      </c>
      <c r="AK159">
        <v>35</v>
      </c>
      <c r="AL159">
        <v>24</v>
      </c>
      <c r="AM159">
        <v>5</v>
      </c>
      <c r="AN159">
        <v>70</v>
      </c>
      <c r="AO159">
        <v>19</v>
      </c>
      <c r="AP159">
        <v>25</v>
      </c>
      <c r="AQ159">
        <v>67</v>
      </c>
      <c r="AR159">
        <v>5321</v>
      </c>
      <c r="AS159">
        <v>9639</v>
      </c>
      <c r="AT159" t="s">
        <v>7</v>
      </c>
      <c r="AU159">
        <v>0.23</v>
      </c>
      <c r="AV159">
        <v>2013</v>
      </c>
      <c r="AW159" s="1">
        <v>45665</v>
      </c>
      <c r="AX159">
        <v>28.8</v>
      </c>
      <c r="AY159" t="s">
        <v>10</v>
      </c>
      <c r="AZ159" t="s">
        <v>37</v>
      </c>
      <c r="BA159" t="s">
        <v>12</v>
      </c>
      <c r="BB159" t="s">
        <v>13</v>
      </c>
      <c r="BC159" t="s">
        <v>13</v>
      </c>
      <c r="BD159">
        <v>3</v>
      </c>
      <c r="BE159" t="s">
        <v>43</v>
      </c>
      <c r="BF159">
        <v>1.1299999999999999</v>
      </c>
    </row>
    <row r="160" spans="1:58" hidden="1" x14ac:dyDescent="0.2">
      <c r="A160">
        <v>159</v>
      </c>
      <c r="B160" t="s">
        <v>0</v>
      </c>
      <c r="C160">
        <v>54</v>
      </c>
      <c r="D160" t="s">
        <v>28</v>
      </c>
      <c r="E160" t="s">
        <v>128</v>
      </c>
      <c r="F160" t="s">
        <v>15</v>
      </c>
      <c r="G160" t="s">
        <v>116</v>
      </c>
      <c r="H160" t="s">
        <v>118</v>
      </c>
      <c r="I160" t="s">
        <v>112</v>
      </c>
      <c r="J160" t="s">
        <v>18</v>
      </c>
      <c r="K160" t="s">
        <v>7</v>
      </c>
      <c r="L160">
        <v>7.4</v>
      </c>
      <c r="M160">
        <v>5.4</v>
      </c>
      <c r="N160" t="s">
        <v>120</v>
      </c>
      <c r="O160" t="s">
        <v>7</v>
      </c>
      <c r="P160" t="s">
        <v>26</v>
      </c>
      <c r="Q160">
        <v>9</v>
      </c>
      <c r="R160">
        <v>6</v>
      </c>
      <c r="S160">
        <v>29.5</v>
      </c>
      <c r="T160">
        <v>137</v>
      </c>
      <c r="U160">
        <v>78</v>
      </c>
      <c r="V160">
        <v>7848</v>
      </c>
      <c r="W160">
        <v>47.9</v>
      </c>
      <c r="X160">
        <v>4</v>
      </c>
      <c r="Y160">
        <v>3</v>
      </c>
      <c r="Z160">
        <v>10</v>
      </c>
      <c r="AA160">
        <v>7.1</v>
      </c>
      <c r="AB160">
        <v>3</v>
      </c>
      <c r="AC160">
        <v>10</v>
      </c>
      <c r="AD160">
        <v>1</v>
      </c>
      <c r="AE160">
        <v>2</v>
      </c>
      <c r="AF160">
        <v>50</v>
      </c>
      <c r="AG160">
        <v>34</v>
      </c>
      <c r="AH160">
        <v>22</v>
      </c>
      <c r="AI160">
        <v>8</v>
      </c>
      <c r="AJ160">
        <v>12</v>
      </c>
      <c r="AK160">
        <v>10</v>
      </c>
      <c r="AL160">
        <v>5</v>
      </c>
      <c r="AM160">
        <v>2</v>
      </c>
      <c r="AN160">
        <v>6</v>
      </c>
      <c r="AO160">
        <v>2</v>
      </c>
      <c r="AP160">
        <v>2</v>
      </c>
      <c r="AQ160">
        <v>3</v>
      </c>
      <c r="AR160">
        <v>1148</v>
      </c>
      <c r="AS160">
        <v>2455</v>
      </c>
      <c r="AT160" t="s">
        <v>7</v>
      </c>
      <c r="AU160">
        <v>0.43</v>
      </c>
      <c r="AV160">
        <v>2022</v>
      </c>
      <c r="AW160" s="1">
        <v>45848</v>
      </c>
      <c r="AX160">
        <v>10</v>
      </c>
      <c r="AY160" t="s">
        <v>19</v>
      </c>
      <c r="AZ160" t="s">
        <v>37</v>
      </c>
      <c r="BA160" t="s">
        <v>12</v>
      </c>
      <c r="BB160" t="s">
        <v>13</v>
      </c>
      <c r="BC160" t="s">
        <v>7</v>
      </c>
      <c r="BD160">
        <v>4</v>
      </c>
      <c r="BE160" t="s">
        <v>43</v>
      </c>
      <c r="BF160">
        <v>4</v>
      </c>
    </row>
    <row r="161" spans="1:58" hidden="1" x14ac:dyDescent="0.2">
      <c r="A161">
        <v>160</v>
      </c>
      <c r="B161" t="s">
        <v>0</v>
      </c>
      <c r="C161">
        <v>25</v>
      </c>
      <c r="D161" t="s">
        <v>1</v>
      </c>
      <c r="E161" t="s">
        <v>128</v>
      </c>
      <c r="F161" t="s">
        <v>40</v>
      </c>
      <c r="G161" t="s">
        <v>16</v>
      </c>
      <c r="H161" t="s">
        <v>118</v>
      </c>
      <c r="I161" t="s">
        <v>114</v>
      </c>
      <c r="J161" t="s">
        <v>18</v>
      </c>
      <c r="K161" t="s">
        <v>7</v>
      </c>
      <c r="L161">
        <v>5.9</v>
      </c>
      <c r="M161">
        <v>9</v>
      </c>
      <c r="N161" t="s">
        <v>29</v>
      </c>
      <c r="O161" t="s">
        <v>7</v>
      </c>
      <c r="P161" t="s">
        <v>26</v>
      </c>
      <c r="Q161">
        <v>34</v>
      </c>
      <c r="R161">
        <v>3</v>
      </c>
      <c r="S161">
        <v>22.4</v>
      </c>
      <c r="T161">
        <v>148</v>
      </c>
      <c r="U161">
        <v>84</v>
      </c>
      <c r="V161">
        <v>8025</v>
      </c>
      <c r="W161">
        <v>33.6</v>
      </c>
      <c r="X161">
        <v>5</v>
      </c>
      <c r="Y161">
        <v>3</v>
      </c>
      <c r="Z161">
        <v>6</v>
      </c>
      <c r="AA161">
        <v>2.6</v>
      </c>
      <c r="AB161">
        <v>3</v>
      </c>
      <c r="AC161">
        <v>301</v>
      </c>
      <c r="AD161">
        <v>14</v>
      </c>
      <c r="AE161">
        <v>9</v>
      </c>
      <c r="AF161">
        <v>300</v>
      </c>
      <c r="AG161">
        <v>146</v>
      </c>
      <c r="AH161">
        <v>183</v>
      </c>
      <c r="AI161">
        <v>58</v>
      </c>
      <c r="AJ161">
        <v>50</v>
      </c>
      <c r="AK161">
        <v>58</v>
      </c>
      <c r="AL161">
        <v>36</v>
      </c>
      <c r="AM161">
        <v>5</v>
      </c>
      <c r="AN161">
        <v>142</v>
      </c>
      <c r="AO161">
        <v>83</v>
      </c>
      <c r="AP161">
        <v>71</v>
      </c>
      <c r="AQ161">
        <v>62</v>
      </c>
      <c r="AR161">
        <v>3282</v>
      </c>
      <c r="AS161">
        <v>8074</v>
      </c>
      <c r="AT161" t="s">
        <v>7</v>
      </c>
      <c r="AU161">
        <v>0.6</v>
      </c>
      <c r="AV161">
        <v>2023</v>
      </c>
      <c r="AW161" s="1">
        <v>45923</v>
      </c>
      <c r="AX161">
        <v>21.5</v>
      </c>
      <c r="AY161" t="s">
        <v>10</v>
      </c>
      <c r="AZ161" t="s">
        <v>37</v>
      </c>
      <c r="BA161" t="s">
        <v>12</v>
      </c>
      <c r="BB161" t="s">
        <v>7</v>
      </c>
      <c r="BC161" t="s">
        <v>13</v>
      </c>
      <c r="BD161">
        <v>2</v>
      </c>
      <c r="BE161" t="s">
        <v>14</v>
      </c>
      <c r="BF161">
        <v>1.08</v>
      </c>
    </row>
    <row r="162" spans="1:58" hidden="1" x14ac:dyDescent="0.2">
      <c r="A162">
        <v>161</v>
      </c>
      <c r="B162" t="s">
        <v>0</v>
      </c>
      <c r="C162">
        <v>63</v>
      </c>
      <c r="D162" t="s">
        <v>28</v>
      </c>
      <c r="E162" t="s">
        <v>42</v>
      </c>
      <c r="F162" t="s">
        <v>15</v>
      </c>
      <c r="G162" t="s">
        <v>38</v>
      </c>
      <c r="H162" t="s">
        <v>118</v>
      </c>
      <c r="I162" t="s">
        <v>112</v>
      </c>
      <c r="J162" t="s">
        <v>6</v>
      </c>
      <c r="K162" t="s">
        <v>7</v>
      </c>
      <c r="L162">
        <v>5.6</v>
      </c>
      <c r="M162">
        <v>7.8</v>
      </c>
      <c r="N162" t="s">
        <v>29</v>
      </c>
      <c r="O162" t="s">
        <v>7</v>
      </c>
      <c r="P162" t="s">
        <v>9</v>
      </c>
      <c r="Q162">
        <v>5</v>
      </c>
      <c r="R162">
        <v>3</v>
      </c>
      <c r="S162">
        <v>23</v>
      </c>
      <c r="T162">
        <v>93</v>
      </c>
      <c r="U162">
        <v>67</v>
      </c>
      <c r="V162">
        <v>7943</v>
      </c>
      <c r="W162">
        <v>34.5</v>
      </c>
      <c r="X162">
        <v>2</v>
      </c>
      <c r="Y162">
        <v>2</v>
      </c>
      <c r="Z162">
        <v>13</v>
      </c>
      <c r="AA162">
        <v>5</v>
      </c>
      <c r="AB162">
        <v>4</v>
      </c>
      <c r="AC162">
        <v>53</v>
      </c>
      <c r="AD162">
        <v>7</v>
      </c>
      <c r="AE162">
        <v>1</v>
      </c>
      <c r="AF162">
        <v>80</v>
      </c>
      <c r="AG162">
        <v>50</v>
      </c>
      <c r="AH162">
        <v>63</v>
      </c>
      <c r="AI162">
        <v>15</v>
      </c>
      <c r="AJ162">
        <v>13</v>
      </c>
      <c r="AK162">
        <v>13</v>
      </c>
      <c r="AL162">
        <v>9</v>
      </c>
      <c r="AM162">
        <v>3</v>
      </c>
      <c r="AN162">
        <v>27</v>
      </c>
      <c r="AO162">
        <v>13</v>
      </c>
      <c r="AP162">
        <v>6</v>
      </c>
      <c r="AQ162">
        <v>15</v>
      </c>
      <c r="AR162">
        <v>421</v>
      </c>
      <c r="AS162">
        <v>219</v>
      </c>
      <c r="AT162" t="s">
        <v>13</v>
      </c>
      <c r="AU162">
        <v>0.41</v>
      </c>
      <c r="AV162">
        <v>2017</v>
      </c>
      <c r="AW162" s="1">
        <v>45905</v>
      </c>
      <c r="AX162">
        <v>7.6</v>
      </c>
      <c r="AY162" t="s">
        <v>10</v>
      </c>
      <c r="AZ162" t="s">
        <v>17</v>
      </c>
      <c r="BA162" t="s">
        <v>122</v>
      </c>
      <c r="BB162" t="s">
        <v>7</v>
      </c>
      <c r="BC162" t="s">
        <v>13</v>
      </c>
      <c r="BD162">
        <v>2</v>
      </c>
      <c r="BE162" t="s">
        <v>14</v>
      </c>
      <c r="BF162">
        <v>1.78</v>
      </c>
    </row>
    <row r="163" spans="1:58" hidden="1" x14ac:dyDescent="0.2">
      <c r="A163">
        <v>162</v>
      </c>
      <c r="B163" t="s">
        <v>0</v>
      </c>
      <c r="C163">
        <v>44</v>
      </c>
      <c r="D163" t="s">
        <v>28</v>
      </c>
      <c r="E163" t="s">
        <v>47</v>
      </c>
      <c r="F163" t="s">
        <v>15</v>
      </c>
      <c r="G163" t="s">
        <v>16</v>
      </c>
      <c r="H163" t="s">
        <v>34</v>
      </c>
      <c r="I163" t="s">
        <v>114</v>
      </c>
      <c r="J163" t="s">
        <v>32</v>
      </c>
      <c r="K163" t="s">
        <v>13</v>
      </c>
      <c r="L163">
        <v>9.6999999999999993</v>
      </c>
      <c r="M163">
        <v>5.6</v>
      </c>
      <c r="N163" t="s">
        <v>120</v>
      </c>
      <c r="O163" t="s">
        <v>13</v>
      </c>
      <c r="P163" t="s">
        <v>46</v>
      </c>
      <c r="Q163">
        <v>6</v>
      </c>
      <c r="R163">
        <v>9</v>
      </c>
      <c r="S163">
        <v>29.4</v>
      </c>
      <c r="T163">
        <v>110</v>
      </c>
      <c r="U163">
        <v>69</v>
      </c>
      <c r="V163">
        <v>7945</v>
      </c>
      <c r="W163">
        <v>48.8</v>
      </c>
      <c r="X163">
        <v>4</v>
      </c>
      <c r="Y163">
        <v>3</v>
      </c>
      <c r="Z163">
        <v>8</v>
      </c>
      <c r="AA163">
        <v>2.5</v>
      </c>
      <c r="AB163">
        <v>4</v>
      </c>
      <c r="AC163">
        <v>13</v>
      </c>
      <c r="AD163">
        <v>1</v>
      </c>
      <c r="AE163">
        <v>2</v>
      </c>
      <c r="AF163">
        <v>56</v>
      </c>
      <c r="AG163">
        <v>38</v>
      </c>
      <c r="AH163">
        <v>40</v>
      </c>
      <c r="AI163">
        <v>4</v>
      </c>
      <c r="AJ163">
        <v>7</v>
      </c>
      <c r="AK163">
        <v>13</v>
      </c>
      <c r="AL163">
        <v>7</v>
      </c>
      <c r="AM163">
        <v>1</v>
      </c>
      <c r="AN163">
        <v>7</v>
      </c>
      <c r="AO163">
        <v>2</v>
      </c>
      <c r="AP163">
        <v>2</v>
      </c>
      <c r="AQ163">
        <v>3</v>
      </c>
      <c r="AR163">
        <v>364</v>
      </c>
      <c r="AS163">
        <v>151</v>
      </c>
      <c r="AT163" t="s">
        <v>7</v>
      </c>
      <c r="AU163">
        <v>0.17</v>
      </c>
      <c r="AV163">
        <v>2016</v>
      </c>
      <c r="AW163" s="1">
        <v>45831</v>
      </c>
      <c r="AX163">
        <v>13</v>
      </c>
      <c r="AY163" t="s">
        <v>27</v>
      </c>
      <c r="AZ163" t="s">
        <v>17</v>
      </c>
      <c r="BA163" t="s">
        <v>12</v>
      </c>
      <c r="BB163" t="s">
        <v>13</v>
      </c>
      <c r="BC163" t="s">
        <v>7</v>
      </c>
      <c r="BD163">
        <v>0</v>
      </c>
      <c r="BE163" t="s">
        <v>49</v>
      </c>
      <c r="BF163">
        <v>3.86</v>
      </c>
    </row>
    <row r="164" spans="1:58" hidden="1" x14ac:dyDescent="0.2">
      <c r="A164">
        <v>163</v>
      </c>
      <c r="B164" t="s">
        <v>0</v>
      </c>
      <c r="C164">
        <v>51</v>
      </c>
      <c r="D164" t="s">
        <v>1</v>
      </c>
      <c r="E164" t="s">
        <v>47</v>
      </c>
      <c r="F164" t="s">
        <v>15</v>
      </c>
      <c r="G164" t="s">
        <v>38</v>
      </c>
      <c r="H164" t="s">
        <v>118</v>
      </c>
      <c r="I164" t="s">
        <v>114</v>
      </c>
      <c r="J164" t="s">
        <v>32</v>
      </c>
      <c r="K164" t="s">
        <v>7</v>
      </c>
      <c r="L164">
        <v>4.3</v>
      </c>
      <c r="M164">
        <v>7.1</v>
      </c>
      <c r="N164" t="s">
        <v>25</v>
      </c>
      <c r="O164" t="s">
        <v>7</v>
      </c>
      <c r="P164" t="s">
        <v>9</v>
      </c>
      <c r="Q164">
        <v>19</v>
      </c>
      <c r="R164">
        <v>6</v>
      </c>
      <c r="S164">
        <v>27.6</v>
      </c>
      <c r="T164">
        <v>122</v>
      </c>
      <c r="U164">
        <v>75</v>
      </c>
      <c r="V164">
        <v>7996</v>
      </c>
      <c r="W164">
        <v>41.9</v>
      </c>
      <c r="X164">
        <v>1</v>
      </c>
      <c r="Y164">
        <v>3</v>
      </c>
      <c r="Z164">
        <v>11</v>
      </c>
      <c r="AA164">
        <v>2.2000000000000002</v>
      </c>
      <c r="AB164">
        <v>3</v>
      </c>
      <c r="AC164">
        <v>157</v>
      </c>
      <c r="AD164">
        <v>7</v>
      </c>
      <c r="AE164">
        <v>4</v>
      </c>
      <c r="AF164">
        <v>116</v>
      </c>
      <c r="AG164">
        <v>82</v>
      </c>
      <c r="AH164">
        <v>87</v>
      </c>
      <c r="AI164">
        <v>33</v>
      </c>
      <c r="AJ164">
        <v>26</v>
      </c>
      <c r="AK164">
        <v>24</v>
      </c>
      <c r="AL164">
        <v>17</v>
      </c>
      <c r="AM164">
        <v>6</v>
      </c>
      <c r="AN164">
        <v>77</v>
      </c>
      <c r="AO164">
        <v>25</v>
      </c>
      <c r="AP164">
        <v>31</v>
      </c>
      <c r="AQ164">
        <v>61</v>
      </c>
      <c r="AR164">
        <v>3792</v>
      </c>
      <c r="AS164">
        <v>3815</v>
      </c>
      <c r="AT164" t="s">
        <v>7</v>
      </c>
      <c r="AU164">
        <v>0.52</v>
      </c>
      <c r="AV164">
        <v>2025</v>
      </c>
      <c r="AW164" s="1">
        <v>45805</v>
      </c>
      <c r="AX164">
        <v>22.4</v>
      </c>
      <c r="AY164" t="s">
        <v>19</v>
      </c>
      <c r="AZ164" t="s">
        <v>20</v>
      </c>
      <c r="BA164" t="s">
        <v>21</v>
      </c>
      <c r="BB164" t="s">
        <v>13</v>
      </c>
      <c r="BC164" t="s">
        <v>13</v>
      </c>
      <c r="BD164">
        <v>3</v>
      </c>
      <c r="BE164" t="s">
        <v>14</v>
      </c>
      <c r="BF164">
        <v>1.04</v>
      </c>
    </row>
    <row r="165" spans="1:58" hidden="1" x14ac:dyDescent="0.2">
      <c r="A165">
        <v>164</v>
      </c>
      <c r="B165" t="s">
        <v>0</v>
      </c>
      <c r="C165">
        <v>61</v>
      </c>
      <c r="D165" t="s">
        <v>28</v>
      </c>
      <c r="E165" t="s">
        <v>128</v>
      </c>
      <c r="F165" t="s">
        <v>40</v>
      </c>
      <c r="G165" t="s">
        <v>4</v>
      </c>
      <c r="H165" t="s">
        <v>118</v>
      </c>
      <c r="I165" t="s">
        <v>112</v>
      </c>
      <c r="J165" t="s">
        <v>32</v>
      </c>
      <c r="K165" t="s">
        <v>7</v>
      </c>
      <c r="L165">
        <v>8.1</v>
      </c>
      <c r="M165">
        <v>7.9</v>
      </c>
      <c r="N165" t="s">
        <v>39</v>
      </c>
      <c r="O165" t="s">
        <v>7</v>
      </c>
      <c r="P165" t="s">
        <v>26</v>
      </c>
      <c r="Q165">
        <v>39</v>
      </c>
      <c r="R165">
        <v>1</v>
      </c>
      <c r="S165">
        <v>25.8</v>
      </c>
      <c r="T165">
        <v>146</v>
      </c>
      <c r="U165">
        <v>89</v>
      </c>
      <c r="V165">
        <v>8126</v>
      </c>
      <c r="W165">
        <v>49.4</v>
      </c>
      <c r="X165">
        <v>3</v>
      </c>
      <c r="Y165">
        <v>6</v>
      </c>
      <c r="Z165">
        <v>9</v>
      </c>
      <c r="AA165">
        <v>0.5</v>
      </c>
      <c r="AB165">
        <v>2</v>
      </c>
      <c r="AC165">
        <v>351</v>
      </c>
      <c r="AD165">
        <v>12</v>
      </c>
      <c r="AE165">
        <v>7</v>
      </c>
      <c r="AF165">
        <v>224</v>
      </c>
      <c r="AG165">
        <v>140</v>
      </c>
      <c r="AH165">
        <v>196</v>
      </c>
      <c r="AI165">
        <v>52</v>
      </c>
      <c r="AJ165">
        <v>32</v>
      </c>
      <c r="AK165">
        <v>50</v>
      </c>
      <c r="AL165">
        <v>31</v>
      </c>
      <c r="AM165">
        <v>5</v>
      </c>
      <c r="AN165">
        <v>147</v>
      </c>
      <c r="AO165">
        <v>51</v>
      </c>
      <c r="AP165">
        <v>61</v>
      </c>
      <c r="AQ165">
        <v>98</v>
      </c>
      <c r="AR165">
        <v>521</v>
      </c>
      <c r="AS165">
        <v>1174</v>
      </c>
      <c r="AT165" t="s">
        <v>7</v>
      </c>
      <c r="AU165">
        <v>0.83</v>
      </c>
      <c r="AV165">
        <v>2014</v>
      </c>
      <c r="AW165" s="1">
        <v>45943</v>
      </c>
      <c r="AX165">
        <v>29.2</v>
      </c>
      <c r="AY165" t="s">
        <v>27</v>
      </c>
      <c r="AZ165" t="s">
        <v>51</v>
      </c>
      <c r="BA165" t="s">
        <v>12</v>
      </c>
      <c r="BB165" t="s">
        <v>13</v>
      </c>
      <c r="BC165" t="s">
        <v>13</v>
      </c>
      <c r="BD165">
        <v>1</v>
      </c>
      <c r="BE165" t="s">
        <v>14</v>
      </c>
      <c r="BF165">
        <v>0.91</v>
      </c>
    </row>
    <row r="166" spans="1:58" hidden="1" x14ac:dyDescent="0.2">
      <c r="A166">
        <v>165</v>
      </c>
      <c r="B166" t="s">
        <v>0</v>
      </c>
      <c r="C166">
        <v>64</v>
      </c>
      <c r="D166" t="s">
        <v>28</v>
      </c>
      <c r="E166" t="s">
        <v>17</v>
      </c>
      <c r="F166" t="s">
        <v>15</v>
      </c>
      <c r="G166" t="s">
        <v>16</v>
      </c>
      <c r="H166" t="s">
        <v>23</v>
      </c>
      <c r="I166" t="s">
        <v>112</v>
      </c>
      <c r="J166" t="s">
        <v>6</v>
      </c>
      <c r="K166" t="s">
        <v>13</v>
      </c>
      <c r="L166">
        <v>14.2</v>
      </c>
      <c r="M166">
        <v>8.5</v>
      </c>
      <c r="N166" t="s">
        <v>8</v>
      </c>
      <c r="O166" t="s">
        <v>7</v>
      </c>
      <c r="P166" t="s">
        <v>46</v>
      </c>
      <c r="Q166">
        <v>7</v>
      </c>
      <c r="R166">
        <v>2</v>
      </c>
      <c r="S166">
        <v>30.5</v>
      </c>
      <c r="T166">
        <v>95</v>
      </c>
      <c r="U166">
        <v>97</v>
      </c>
      <c r="V166">
        <v>7895</v>
      </c>
      <c r="W166">
        <v>36.5</v>
      </c>
      <c r="X166">
        <v>6</v>
      </c>
      <c r="Y166">
        <v>5</v>
      </c>
      <c r="Z166">
        <v>10</v>
      </c>
      <c r="AA166">
        <v>1</v>
      </c>
      <c r="AB166">
        <v>0</v>
      </c>
      <c r="AC166">
        <v>163</v>
      </c>
      <c r="AD166">
        <v>6</v>
      </c>
      <c r="AE166">
        <v>5</v>
      </c>
      <c r="AF166">
        <v>140</v>
      </c>
      <c r="AG166">
        <v>94</v>
      </c>
      <c r="AH166">
        <v>107</v>
      </c>
      <c r="AI166">
        <v>29</v>
      </c>
      <c r="AJ166">
        <v>26</v>
      </c>
      <c r="AK166">
        <v>34</v>
      </c>
      <c r="AL166">
        <v>19</v>
      </c>
      <c r="AM166">
        <v>3</v>
      </c>
      <c r="AN166">
        <v>86</v>
      </c>
      <c r="AO166">
        <v>32</v>
      </c>
      <c r="AP166">
        <v>39</v>
      </c>
      <c r="AQ166">
        <v>62</v>
      </c>
      <c r="AR166">
        <v>4643</v>
      </c>
      <c r="AS166">
        <v>5591</v>
      </c>
      <c r="AT166" t="s">
        <v>7</v>
      </c>
      <c r="AU166">
        <v>0.42</v>
      </c>
      <c r="AV166">
        <v>2012</v>
      </c>
      <c r="AW166" s="1">
        <v>45856</v>
      </c>
      <c r="AX166">
        <v>27.2</v>
      </c>
      <c r="AY166" t="s">
        <v>19</v>
      </c>
      <c r="AZ166" t="s">
        <v>48</v>
      </c>
      <c r="BA166" t="s">
        <v>21</v>
      </c>
      <c r="BB166" t="s">
        <v>13</v>
      </c>
      <c r="BC166" t="s">
        <v>7</v>
      </c>
      <c r="BD166">
        <v>0</v>
      </c>
      <c r="BE166" t="s">
        <v>14</v>
      </c>
      <c r="BF166">
        <v>1.1000000000000001</v>
      </c>
    </row>
    <row r="167" spans="1:58" hidden="1" x14ac:dyDescent="0.2">
      <c r="A167">
        <v>166</v>
      </c>
      <c r="B167" t="s">
        <v>0</v>
      </c>
      <c r="C167">
        <v>44</v>
      </c>
      <c r="D167" t="s">
        <v>28</v>
      </c>
      <c r="E167" t="s">
        <v>128</v>
      </c>
      <c r="F167" t="s">
        <v>15</v>
      </c>
      <c r="G167" t="s">
        <v>38</v>
      </c>
      <c r="H167" t="s">
        <v>34</v>
      </c>
      <c r="I167" t="s">
        <v>115</v>
      </c>
      <c r="J167" t="s">
        <v>6</v>
      </c>
      <c r="K167" t="s">
        <v>7</v>
      </c>
      <c r="L167">
        <v>4.0999999999999996</v>
      </c>
      <c r="M167">
        <v>8.6999999999999993</v>
      </c>
      <c r="N167" t="s">
        <v>29</v>
      </c>
      <c r="O167" t="s">
        <v>13</v>
      </c>
      <c r="P167" t="s">
        <v>46</v>
      </c>
      <c r="Q167">
        <v>12</v>
      </c>
      <c r="R167">
        <v>9</v>
      </c>
      <c r="S167">
        <v>19.899999999999999</v>
      </c>
      <c r="T167">
        <v>154</v>
      </c>
      <c r="U167">
        <v>79</v>
      </c>
      <c r="V167">
        <v>8207</v>
      </c>
      <c r="W167">
        <v>54.9</v>
      </c>
      <c r="X167">
        <v>4</v>
      </c>
      <c r="Y167">
        <v>2</v>
      </c>
      <c r="Z167">
        <v>13</v>
      </c>
      <c r="AA167">
        <v>6.4</v>
      </c>
      <c r="AB167">
        <v>5</v>
      </c>
      <c r="AC167">
        <v>130</v>
      </c>
      <c r="AD167">
        <v>8</v>
      </c>
      <c r="AE167">
        <v>1</v>
      </c>
      <c r="AF167">
        <v>108</v>
      </c>
      <c r="AG167">
        <v>90</v>
      </c>
      <c r="AH167">
        <v>71</v>
      </c>
      <c r="AI167">
        <v>32</v>
      </c>
      <c r="AJ167">
        <v>25</v>
      </c>
      <c r="AK167">
        <v>21</v>
      </c>
      <c r="AL167">
        <v>19</v>
      </c>
      <c r="AM167">
        <v>4</v>
      </c>
      <c r="AN167">
        <v>59</v>
      </c>
      <c r="AO167">
        <v>17</v>
      </c>
      <c r="AP167">
        <v>19</v>
      </c>
      <c r="AQ167">
        <v>28</v>
      </c>
      <c r="AR167">
        <v>507</v>
      </c>
      <c r="AS167">
        <v>834</v>
      </c>
      <c r="AT167" t="s">
        <v>13</v>
      </c>
      <c r="AU167">
        <v>0.06</v>
      </c>
      <c r="AV167">
        <v>2016</v>
      </c>
      <c r="AW167" s="1">
        <v>45983</v>
      </c>
      <c r="AX167">
        <v>16.2</v>
      </c>
      <c r="AY167" t="s">
        <v>45</v>
      </c>
      <c r="AZ167" t="s">
        <v>31</v>
      </c>
      <c r="BA167" t="s">
        <v>122</v>
      </c>
      <c r="BB167" t="s">
        <v>13</v>
      </c>
      <c r="BC167" t="s">
        <v>7</v>
      </c>
      <c r="BD167">
        <v>1</v>
      </c>
      <c r="BE167" t="s">
        <v>14</v>
      </c>
      <c r="BF167">
        <v>1.05</v>
      </c>
    </row>
    <row r="168" spans="1:58" hidden="1" x14ac:dyDescent="0.2">
      <c r="A168">
        <v>167</v>
      </c>
      <c r="B168" t="s">
        <v>0</v>
      </c>
      <c r="C168">
        <v>16</v>
      </c>
      <c r="D168" t="s">
        <v>1</v>
      </c>
      <c r="E168" t="s">
        <v>128</v>
      </c>
      <c r="F168" t="s">
        <v>3</v>
      </c>
      <c r="G168" t="s">
        <v>116</v>
      </c>
      <c r="H168" t="s">
        <v>119</v>
      </c>
      <c r="I168" t="s">
        <v>114</v>
      </c>
      <c r="J168" t="s">
        <v>32</v>
      </c>
      <c r="K168" t="s">
        <v>7</v>
      </c>
      <c r="L168">
        <v>7.9</v>
      </c>
      <c r="M168">
        <v>6.7</v>
      </c>
      <c r="N168" t="s">
        <v>29</v>
      </c>
      <c r="O168" t="s">
        <v>7</v>
      </c>
      <c r="P168" t="s">
        <v>26</v>
      </c>
      <c r="Q168">
        <v>20</v>
      </c>
      <c r="R168">
        <v>9</v>
      </c>
      <c r="S168">
        <v>18.3</v>
      </c>
      <c r="T168">
        <v>147</v>
      </c>
      <c r="U168">
        <v>61</v>
      </c>
      <c r="V168">
        <v>7863</v>
      </c>
      <c r="W168">
        <v>40.700000000000003</v>
      </c>
      <c r="X168">
        <v>3</v>
      </c>
      <c r="Y168">
        <v>5</v>
      </c>
      <c r="Z168">
        <v>9</v>
      </c>
      <c r="AA168">
        <v>7.6</v>
      </c>
      <c r="AB168">
        <v>0</v>
      </c>
      <c r="AC168">
        <v>136</v>
      </c>
      <c r="AD168">
        <v>9</v>
      </c>
      <c r="AE168">
        <v>7</v>
      </c>
      <c r="AF168">
        <v>200</v>
      </c>
      <c r="AG168">
        <v>85</v>
      </c>
      <c r="AH168">
        <v>105</v>
      </c>
      <c r="AI168">
        <v>28</v>
      </c>
      <c r="AJ168">
        <v>19</v>
      </c>
      <c r="AK168">
        <v>17</v>
      </c>
      <c r="AL168">
        <v>16</v>
      </c>
      <c r="AM168">
        <v>3</v>
      </c>
      <c r="AN168">
        <v>56</v>
      </c>
      <c r="AO168">
        <v>41</v>
      </c>
      <c r="AP168">
        <v>26</v>
      </c>
      <c r="AQ168">
        <v>31</v>
      </c>
      <c r="AR168">
        <v>2294</v>
      </c>
      <c r="AS168">
        <v>1540</v>
      </c>
      <c r="AT168" t="s">
        <v>7</v>
      </c>
      <c r="AU168">
        <v>0.94</v>
      </c>
      <c r="AV168">
        <v>2016</v>
      </c>
      <c r="AW168" s="1">
        <v>45781</v>
      </c>
      <c r="AX168">
        <v>15.1</v>
      </c>
      <c r="AY168" t="s">
        <v>36</v>
      </c>
      <c r="AZ168" t="s">
        <v>20</v>
      </c>
      <c r="BA168" t="s">
        <v>21</v>
      </c>
      <c r="BB168" t="s">
        <v>7</v>
      </c>
      <c r="BC168" t="s">
        <v>7</v>
      </c>
      <c r="BD168">
        <v>1</v>
      </c>
      <c r="BE168" t="s">
        <v>14</v>
      </c>
      <c r="BF168">
        <v>1.33</v>
      </c>
    </row>
    <row r="169" spans="1:58" hidden="1" x14ac:dyDescent="0.2">
      <c r="A169">
        <v>168</v>
      </c>
      <c r="B169" t="s">
        <v>0</v>
      </c>
      <c r="C169">
        <v>42</v>
      </c>
      <c r="D169" t="s">
        <v>28</v>
      </c>
      <c r="E169" t="s">
        <v>128</v>
      </c>
      <c r="F169" t="s">
        <v>15</v>
      </c>
      <c r="G169" t="s">
        <v>38</v>
      </c>
      <c r="H169" t="s">
        <v>118</v>
      </c>
      <c r="I169" t="s">
        <v>53</v>
      </c>
      <c r="J169" t="s">
        <v>32</v>
      </c>
      <c r="K169" t="s">
        <v>7</v>
      </c>
      <c r="L169">
        <v>3.7</v>
      </c>
      <c r="M169">
        <v>8.3000000000000007</v>
      </c>
      <c r="N169" t="s">
        <v>120</v>
      </c>
      <c r="O169" t="s">
        <v>7</v>
      </c>
      <c r="P169" t="s">
        <v>9</v>
      </c>
      <c r="Q169">
        <v>40</v>
      </c>
      <c r="R169">
        <v>5</v>
      </c>
      <c r="S169">
        <v>20.3</v>
      </c>
      <c r="T169">
        <v>143</v>
      </c>
      <c r="U169">
        <v>73</v>
      </c>
      <c r="V169">
        <v>7993</v>
      </c>
      <c r="W169">
        <v>61.9</v>
      </c>
      <c r="X169">
        <v>4</v>
      </c>
      <c r="Y169">
        <v>5</v>
      </c>
      <c r="Z169">
        <v>7</v>
      </c>
      <c r="AA169">
        <v>3.2</v>
      </c>
      <c r="AB169">
        <v>7</v>
      </c>
      <c r="AC169">
        <v>326</v>
      </c>
      <c r="AD169">
        <v>23</v>
      </c>
      <c r="AE169">
        <v>10</v>
      </c>
      <c r="AF169">
        <v>240</v>
      </c>
      <c r="AG169">
        <v>150</v>
      </c>
      <c r="AH169">
        <v>190</v>
      </c>
      <c r="AI169">
        <v>54</v>
      </c>
      <c r="AJ169">
        <v>42</v>
      </c>
      <c r="AK169">
        <v>48</v>
      </c>
      <c r="AL169">
        <v>38</v>
      </c>
      <c r="AM169">
        <v>6</v>
      </c>
      <c r="AN169">
        <v>154</v>
      </c>
      <c r="AO169">
        <v>95</v>
      </c>
      <c r="AP169">
        <v>38</v>
      </c>
      <c r="AQ169">
        <v>76</v>
      </c>
      <c r="AR169">
        <v>709</v>
      </c>
      <c r="AS169">
        <v>1006</v>
      </c>
      <c r="AT169" t="s">
        <v>7</v>
      </c>
      <c r="AU169">
        <v>0.42</v>
      </c>
      <c r="AV169">
        <v>2023</v>
      </c>
      <c r="AW169" s="1">
        <v>45823</v>
      </c>
      <c r="AX169">
        <v>14.2</v>
      </c>
      <c r="AY169" t="s">
        <v>27</v>
      </c>
      <c r="AZ169" t="s">
        <v>17</v>
      </c>
      <c r="BA169" t="s">
        <v>122</v>
      </c>
      <c r="BB169" t="s">
        <v>13</v>
      </c>
      <c r="BC169" t="s">
        <v>13</v>
      </c>
      <c r="BD169">
        <v>1</v>
      </c>
      <c r="BE169" t="s">
        <v>14</v>
      </c>
      <c r="BF169">
        <v>1</v>
      </c>
    </row>
    <row r="170" spans="1:58" hidden="1" x14ac:dyDescent="0.2">
      <c r="A170">
        <v>169</v>
      </c>
      <c r="B170" t="s">
        <v>0</v>
      </c>
      <c r="C170">
        <v>49</v>
      </c>
      <c r="D170" t="s">
        <v>1</v>
      </c>
      <c r="E170" t="s">
        <v>128</v>
      </c>
      <c r="F170" t="s">
        <v>15</v>
      </c>
      <c r="G170" t="s">
        <v>117</v>
      </c>
      <c r="H170" t="s">
        <v>119</v>
      </c>
      <c r="I170" t="s">
        <v>115</v>
      </c>
      <c r="J170" t="s">
        <v>6</v>
      </c>
      <c r="K170" t="s">
        <v>7</v>
      </c>
      <c r="L170">
        <v>1.9</v>
      </c>
      <c r="M170">
        <v>6.9</v>
      </c>
      <c r="N170" t="s">
        <v>8</v>
      </c>
      <c r="O170" t="s">
        <v>7</v>
      </c>
      <c r="P170" t="s">
        <v>9</v>
      </c>
      <c r="Q170">
        <v>33</v>
      </c>
      <c r="R170">
        <v>9</v>
      </c>
      <c r="S170">
        <v>25.4</v>
      </c>
      <c r="T170">
        <v>155</v>
      </c>
      <c r="U170">
        <v>80</v>
      </c>
      <c r="V170">
        <v>8057</v>
      </c>
      <c r="W170">
        <v>35.200000000000003</v>
      </c>
      <c r="X170">
        <v>2</v>
      </c>
      <c r="Y170">
        <v>4</v>
      </c>
      <c r="Z170">
        <v>8</v>
      </c>
      <c r="AA170">
        <v>1.7</v>
      </c>
      <c r="AB170">
        <v>2</v>
      </c>
      <c r="AC170">
        <v>207</v>
      </c>
      <c r="AD170">
        <v>6</v>
      </c>
      <c r="AE170">
        <v>13</v>
      </c>
      <c r="AF170">
        <v>155</v>
      </c>
      <c r="AG170">
        <v>105</v>
      </c>
      <c r="AH170">
        <v>136</v>
      </c>
      <c r="AI170">
        <v>32</v>
      </c>
      <c r="AJ170">
        <v>42</v>
      </c>
      <c r="AK170">
        <v>34</v>
      </c>
      <c r="AL170">
        <v>15</v>
      </c>
      <c r="AM170">
        <v>6</v>
      </c>
      <c r="AN170">
        <v>94</v>
      </c>
      <c r="AO170">
        <v>58</v>
      </c>
      <c r="AP170">
        <v>32</v>
      </c>
      <c r="AQ170">
        <v>56</v>
      </c>
      <c r="AR170">
        <v>10372</v>
      </c>
      <c r="AS170">
        <v>10000</v>
      </c>
      <c r="AT170" t="s">
        <v>7</v>
      </c>
      <c r="AU170">
        <v>0.7</v>
      </c>
      <c r="AV170">
        <v>2011</v>
      </c>
      <c r="AW170" s="1">
        <v>45906</v>
      </c>
      <c r="AX170">
        <v>34.5</v>
      </c>
      <c r="AY170" t="s">
        <v>36</v>
      </c>
      <c r="AZ170" t="s">
        <v>17</v>
      </c>
      <c r="BA170" t="s">
        <v>12</v>
      </c>
      <c r="BB170" t="s">
        <v>7</v>
      </c>
      <c r="BC170" t="s">
        <v>7</v>
      </c>
      <c r="BD170">
        <v>4</v>
      </c>
      <c r="BE170" t="s">
        <v>14</v>
      </c>
      <c r="BF170">
        <v>1.1499999999999999</v>
      </c>
    </row>
    <row r="171" spans="1:58" hidden="1" x14ac:dyDescent="0.2">
      <c r="A171">
        <v>170</v>
      </c>
      <c r="B171" t="s">
        <v>0</v>
      </c>
      <c r="C171">
        <v>35</v>
      </c>
      <c r="D171" t="s">
        <v>125</v>
      </c>
      <c r="E171" t="s">
        <v>127</v>
      </c>
      <c r="F171" t="s">
        <v>15</v>
      </c>
      <c r="G171" t="s">
        <v>16</v>
      </c>
      <c r="H171" t="s">
        <v>119</v>
      </c>
      <c r="I171" t="s">
        <v>114</v>
      </c>
      <c r="J171" t="s">
        <v>123</v>
      </c>
      <c r="K171" t="s">
        <v>7</v>
      </c>
      <c r="L171">
        <v>8.1999999999999993</v>
      </c>
      <c r="M171">
        <v>8.8000000000000007</v>
      </c>
      <c r="N171" t="s">
        <v>25</v>
      </c>
      <c r="O171" t="s">
        <v>41</v>
      </c>
      <c r="P171" t="s">
        <v>9</v>
      </c>
      <c r="Q171">
        <v>2</v>
      </c>
      <c r="R171">
        <v>2</v>
      </c>
      <c r="S171">
        <v>22.4</v>
      </c>
      <c r="T171">
        <v>139</v>
      </c>
      <c r="U171">
        <v>63</v>
      </c>
      <c r="V171">
        <v>8034</v>
      </c>
      <c r="W171">
        <v>41.4</v>
      </c>
      <c r="X171">
        <v>2</v>
      </c>
      <c r="Y171">
        <v>1</v>
      </c>
      <c r="Z171">
        <v>11</v>
      </c>
      <c r="AA171">
        <v>4.2</v>
      </c>
      <c r="AB171">
        <v>5</v>
      </c>
      <c r="AC171">
        <v>41</v>
      </c>
      <c r="AD171">
        <v>1</v>
      </c>
      <c r="AE171">
        <v>5</v>
      </c>
      <c r="AF171">
        <v>54</v>
      </c>
      <c r="AG171">
        <v>52</v>
      </c>
      <c r="AH171">
        <v>46</v>
      </c>
      <c r="AI171">
        <v>15</v>
      </c>
      <c r="AJ171">
        <v>12</v>
      </c>
      <c r="AK171">
        <v>13</v>
      </c>
      <c r="AL171">
        <v>13</v>
      </c>
      <c r="AM171">
        <v>0</v>
      </c>
      <c r="AN171">
        <v>17</v>
      </c>
      <c r="AO171">
        <v>10</v>
      </c>
      <c r="AP171">
        <v>10</v>
      </c>
      <c r="AQ171">
        <v>11</v>
      </c>
      <c r="AR171">
        <v>1514</v>
      </c>
      <c r="AS171">
        <v>2064</v>
      </c>
      <c r="AT171" t="s">
        <v>13</v>
      </c>
      <c r="AU171">
        <v>0.48</v>
      </c>
      <c r="AV171">
        <v>2010</v>
      </c>
      <c r="AW171" s="1">
        <v>45660</v>
      </c>
      <c r="AX171">
        <v>41</v>
      </c>
      <c r="AY171" t="s">
        <v>45</v>
      </c>
      <c r="AZ171" t="s">
        <v>11</v>
      </c>
      <c r="BA171" t="s">
        <v>122</v>
      </c>
      <c r="BB171" t="s">
        <v>7</v>
      </c>
      <c r="BC171" t="s">
        <v>7</v>
      </c>
      <c r="BD171">
        <v>2</v>
      </c>
      <c r="BE171" t="s">
        <v>43</v>
      </c>
      <c r="BF171">
        <v>2.17</v>
      </c>
    </row>
    <row r="172" spans="1:58" hidden="1" x14ac:dyDescent="0.2">
      <c r="A172">
        <v>171</v>
      </c>
      <c r="B172" t="s">
        <v>0</v>
      </c>
      <c r="C172">
        <v>51</v>
      </c>
      <c r="D172" t="s">
        <v>125</v>
      </c>
      <c r="E172" t="s">
        <v>128</v>
      </c>
      <c r="F172" t="s">
        <v>15</v>
      </c>
      <c r="G172" t="s">
        <v>117</v>
      </c>
      <c r="H172" t="s">
        <v>118</v>
      </c>
      <c r="I172" t="s">
        <v>17</v>
      </c>
      <c r="J172" t="s">
        <v>32</v>
      </c>
      <c r="K172" t="s">
        <v>7</v>
      </c>
      <c r="L172">
        <v>6.3</v>
      </c>
      <c r="M172">
        <v>6.5</v>
      </c>
      <c r="N172" t="s">
        <v>29</v>
      </c>
      <c r="O172" t="s">
        <v>7</v>
      </c>
      <c r="P172" t="s">
        <v>26</v>
      </c>
      <c r="Q172">
        <v>31</v>
      </c>
      <c r="R172">
        <v>8</v>
      </c>
      <c r="S172">
        <v>25.9</v>
      </c>
      <c r="T172">
        <v>150</v>
      </c>
      <c r="U172">
        <v>88</v>
      </c>
      <c r="V172">
        <v>7853</v>
      </c>
      <c r="W172">
        <v>28.7</v>
      </c>
      <c r="X172">
        <v>3</v>
      </c>
      <c r="Y172">
        <v>5</v>
      </c>
      <c r="Z172">
        <v>12</v>
      </c>
      <c r="AA172">
        <v>7.6</v>
      </c>
      <c r="AB172">
        <v>2</v>
      </c>
      <c r="AC172">
        <v>181</v>
      </c>
      <c r="AD172">
        <v>13</v>
      </c>
      <c r="AE172">
        <v>1</v>
      </c>
      <c r="AF172">
        <v>165</v>
      </c>
      <c r="AG172">
        <v>97</v>
      </c>
      <c r="AH172">
        <v>131</v>
      </c>
      <c r="AI172">
        <v>27</v>
      </c>
      <c r="AJ172">
        <v>24</v>
      </c>
      <c r="AK172">
        <v>38</v>
      </c>
      <c r="AL172">
        <v>17</v>
      </c>
      <c r="AM172">
        <v>7</v>
      </c>
      <c r="AN172">
        <v>100</v>
      </c>
      <c r="AO172">
        <v>34</v>
      </c>
      <c r="AP172">
        <v>28</v>
      </c>
      <c r="AQ172">
        <v>72</v>
      </c>
      <c r="AR172">
        <v>307</v>
      </c>
      <c r="AS172">
        <v>344</v>
      </c>
      <c r="AT172" t="s">
        <v>7</v>
      </c>
      <c r="AU172">
        <v>0.48</v>
      </c>
      <c r="AV172">
        <v>2018</v>
      </c>
      <c r="AW172" s="1">
        <v>45956</v>
      </c>
      <c r="AX172">
        <v>13.9</v>
      </c>
      <c r="AY172" t="s">
        <v>19</v>
      </c>
      <c r="AZ172" t="s">
        <v>51</v>
      </c>
      <c r="BA172" t="s">
        <v>122</v>
      </c>
      <c r="BB172" t="s">
        <v>13</v>
      </c>
      <c r="BC172" t="s">
        <v>7</v>
      </c>
      <c r="BD172">
        <v>2</v>
      </c>
      <c r="BE172" t="s">
        <v>43</v>
      </c>
      <c r="BF172">
        <v>1.03</v>
      </c>
    </row>
    <row r="173" spans="1:58" hidden="1" x14ac:dyDescent="0.2">
      <c r="A173">
        <v>172</v>
      </c>
      <c r="B173" t="s">
        <v>0</v>
      </c>
      <c r="C173">
        <v>57</v>
      </c>
      <c r="D173" t="s">
        <v>28</v>
      </c>
      <c r="E173" t="s">
        <v>17</v>
      </c>
      <c r="F173" t="s">
        <v>3</v>
      </c>
      <c r="G173" t="s">
        <v>116</v>
      </c>
      <c r="H173" t="s">
        <v>23</v>
      </c>
      <c r="I173" t="s">
        <v>115</v>
      </c>
      <c r="J173" t="s">
        <v>32</v>
      </c>
      <c r="K173" t="s">
        <v>7</v>
      </c>
      <c r="L173">
        <v>5.2</v>
      </c>
      <c r="M173">
        <v>5.0999999999999996</v>
      </c>
      <c r="N173" t="s">
        <v>29</v>
      </c>
      <c r="O173" t="s">
        <v>7</v>
      </c>
      <c r="P173" t="s">
        <v>46</v>
      </c>
      <c r="Q173">
        <v>34</v>
      </c>
      <c r="R173">
        <v>4</v>
      </c>
      <c r="S173">
        <v>24.5</v>
      </c>
      <c r="T173">
        <v>134</v>
      </c>
      <c r="U173">
        <v>99</v>
      </c>
      <c r="V173">
        <v>7984</v>
      </c>
      <c r="W173">
        <v>33.9</v>
      </c>
      <c r="X173">
        <v>2</v>
      </c>
      <c r="Y173">
        <v>3</v>
      </c>
      <c r="Z173">
        <v>8</v>
      </c>
      <c r="AA173">
        <v>0.3</v>
      </c>
      <c r="AB173">
        <v>1</v>
      </c>
      <c r="AC173">
        <v>317</v>
      </c>
      <c r="AD173">
        <v>11</v>
      </c>
      <c r="AE173">
        <v>11</v>
      </c>
      <c r="AF173">
        <v>259</v>
      </c>
      <c r="AG173">
        <v>150</v>
      </c>
      <c r="AH173">
        <v>191</v>
      </c>
      <c r="AI173">
        <v>44</v>
      </c>
      <c r="AJ173">
        <v>45</v>
      </c>
      <c r="AK173">
        <v>54</v>
      </c>
      <c r="AL173">
        <v>32</v>
      </c>
      <c r="AM173">
        <v>11</v>
      </c>
      <c r="AN173">
        <v>164</v>
      </c>
      <c r="AO173">
        <v>33</v>
      </c>
      <c r="AP173">
        <v>70</v>
      </c>
      <c r="AQ173">
        <v>116</v>
      </c>
      <c r="AR173">
        <v>806</v>
      </c>
      <c r="AS173">
        <v>1500</v>
      </c>
      <c r="AT173" t="s">
        <v>7</v>
      </c>
      <c r="AU173">
        <v>0.64</v>
      </c>
      <c r="AV173">
        <v>2023</v>
      </c>
      <c r="AW173" s="1">
        <v>45837</v>
      </c>
      <c r="AX173">
        <v>28.8</v>
      </c>
      <c r="AY173" t="s">
        <v>27</v>
      </c>
      <c r="AZ173" t="s">
        <v>11</v>
      </c>
      <c r="BA173" t="s">
        <v>12</v>
      </c>
      <c r="BB173" t="s">
        <v>7</v>
      </c>
      <c r="BC173" t="s">
        <v>7</v>
      </c>
      <c r="BD173">
        <v>3</v>
      </c>
      <c r="BE173" t="s">
        <v>49</v>
      </c>
      <c r="BF173">
        <v>0.98</v>
      </c>
    </row>
    <row r="174" spans="1:58" hidden="1" x14ac:dyDescent="0.2">
      <c r="A174">
        <v>173</v>
      </c>
      <c r="B174" t="s">
        <v>0</v>
      </c>
      <c r="C174">
        <v>27</v>
      </c>
      <c r="D174" t="s">
        <v>1</v>
      </c>
      <c r="E174" t="s">
        <v>42</v>
      </c>
      <c r="F174" t="s">
        <v>40</v>
      </c>
      <c r="G174" t="s">
        <v>16</v>
      </c>
      <c r="H174" t="s">
        <v>23</v>
      </c>
      <c r="I174" t="s">
        <v>113</v>
      </c>
      <c r="J174" t="s">
        <v>123</v>
      </c>
      <c r="K174" t="s">
        <v>7</v>
      </c>
      <c r="L174">
        <v>5.0999999999999996</v>
      </c>
      <c r="M174">
        <v>6.3</v>
      </c>
      <c r="N174" t="s">
        <v>29</v>
      </c>
      <c r="O174" t="s">
        <v>7</v>
      </c>
      <c r="P174" t="s">
        <v>26</v>
      </c>
      <c r="Q174">
        <v>20</v>
      </c>
      <c r="R174">
        <v>2</v>
      </c>
      <c r="S174">
        <v>25.9</v>
      </c>
      <c r="T174">
        <v>94</v>
      </c>
      <c r="U174">
        <v>70</v>
      </c>
      <c r="V174">
        <v>8097</v>
      </c>
      <c r="W174">
        <v>40</v>
      </c>
      <c r="X174">
        <v>3</v>
      </c>
      <c r="Y174">
        <v>4</v>
      </c>
      <c r="Z174">
        <v>13</v>
      </c>
      <c r="AA174">
        <v>4.0999999999999996</v>
      </c>
      <c r="AB174">
        <v>4</v>
      </c>
      <c r="AC174">
        <v>186</v>
      </c>
      <c r="AD174">
        <v>11</v>
      </c>
      <c r="AE174">
        <v>2</v>
      </c>
      <c r="AF174">
        <v>219</v>
      </c>
      <c r="AG174">
        <v>102</v>
      </c>
      <c r="AH174">
        <v>134</v>
      </c>
      <c r="AI174">
        <v>36</v>
      </c>
      <c r="AJ174">
        <v>36</v>
      </c>
      <c r="AK174">
        <v>32</v>
      </c>
      <c r="AL174">
        <v>24</v>
      </c>
      <c r="AM174">
        <v>4</v>
      </c>
      <c r="AN174">
        <v>107</v>
      </c>
      <c r="AO174">
        <v>38</v>
      </c>
      <c r="AP174">
        <v>33</v>
      </c>
      <c r="AQ174">
        <v>46</v>
      </c>
      <c r="AR174">
        <v>3102</v>
      </c>
      <c r="AS174">
        <v>2602</v>
      </c>
      <c r="AT174" t="s">
        <v>7</v>
      </c>
      <c r="AU174">
        <v>0.26</v>
      </c>
      <c r="AV174">
        <v>2020</v>
      </c>
      <c r="AW174" s="1">
        <v>46008</v>
      </c>
      <c r="AX174">
        <v>16.899999999999999</v>
      </c>
      <c r="AY174" t="s">
        <v>19</v>
      </c>
      <c r="AZ174" t="s">
        <v>20</v>
      </c>
      <c r="BA174" t="s">
        <v>122</v>
      </c>
      <c r="BB174" t="s">
        <v>13</v>
      </c>
      <c r="BC174" t="s">
        <v>13</v>
      </c>
      <c r="BD174">
        <v>1</v>
      </c>
      <c r="BE174" t="s">
        <v>43</v>
      </c>
      <c r="BF174">
        <v>1.1299999999999999</v>
      </c>
    </row>
    <row r="175" spans="1:58" hidden="1" x14ac:dyDescent="0.2">
      <c r="A175">
        <v>174</v>
      </c>
      <c r="B175" t="s">
        <v>0</v>
      </c>
      <c r="C175">
        <v>55</v>
      </c>
      <c r="D175" t="s">
        <v>28</v>
      </c>
      <c r="E175" t="s">
        <v>42</v>
      </c>
      <c r="F175" t="s">
        <v>15</v>
      </c>
      <c r="G175" t="s">
        <v>117</v>
      </c>
      <c r="H175" t="s">
        <v>34</v>
      </c>
      <c r="I175" t="s">
        <v>114</v>
      </c>
      <c r="J175" t="s">
        <v>123</v>
      </c>
      <c r="K175" t="s">
        <v>7</v>
      </c>
      <c r="L175">
        <v>7.7</v>
      </c>
      <c r="M175">
        <v>7.6</v>
      </c>
      <c r="N175" t="s">
        <v>29</v>
      </c>
      <c r="O175" t="s">
        <v>13</v>
      </c>
      <c r="P175" t="s">
        <v>9</v>
      </c>
      <c r="Q175">
        <v>9</v>
      </c>
      <c r="R175">
        <v>5</v>
      </c>
      <c r="S175">
        <v>15.3</v>
      </c>
      <c r="T175">
        <v>147</v>
      </c>
      <c r="U175">
        <v>94</v>
      </c>
      <c r="V175">
        <v>8066</v>
      </c>
      <c r="W175">
        <v>16.100000000000001</v>
      </c>
      <c r="X175">
        <v>4</v>
      </c>
      <c r="Y175">
        <v>4</v>
      </c>
      <c r="Z175">
        <v>16</v>
      </c>
      <c r="AA175">
        <v>6.6</v>
      </c>
      <c r="AB175">
        <v>3</v>
      </c>
      <c r="AC175">
        <v>80</v>
      </c>
      <c r="AD175">
        <v>8</v>
      </c>
      <c r="AE175">
        <v>2</v>
      </c>
      <c r="AF175">
        <v>75</v>
      </c>
      <c r="AG175">
        <v>59</v>
      </c>
      <c r="AH175">
        <v>47</v>
      </c>
      <c r="AI175">
        <v>21</v>
      </c>
      <c r="AJ175">
        <v>17</v>
      </c>
      <c r="AK175">
        <v>14</v>
      </c>
      <c r="AL175">
        <v>15</v>
      </c>
      <c r="AM175">
        <v>5</v>
      </c>
      <c r="AN175">
        <v>45</v>
      </c>
      <c r="AO175">
        <v>10</v>
      </c>
      <c r="AP175">
        <v>12</v>
      </c>
      <c r="AQ175">
        <v>22</v>
      </c>
      <c r="AR175">
        <v>353</v>
      </c>
      <c r="AS175">
        <v>591</v>
      </c>
      <c r="AT175" t="s">
        <v>7</v>
      </c>
      <c r="AU175">
        <v>0.73</v>
      </c>
      <c r="AV175">
        <v>2012</v>
      </c>
      <c r="AW175" s="1">
        <v>45997</v>
      </c>
      <c r="AX175">
        <v>10</v>
      </c>
      <c r="AY175" t="s">
        <v>36</v>
      </c>
      <c r="AZ175" t="s">
        <v>37</v>
      </c>
      <c r="BA175" t="s">
        <v>12</v>
      </c>
      <c r="BB175" t="s">
        <v>7</v>
      </c>
      <c r="BC175" t="s">
        <v>7</v>
      </c>
      <c r="BD175">
        <v>2</v>
      </c>
      <c r="BE175" t="s">
        <v>14</v>
      </c>
      <c r="BF175">
        <v>1.17</v>
      </c>
    </row>
    <row r="176" spans="1:58" hidden="1" x14ac:dyDescent="0.2">
      <c r="A176">
        <v>175</v>
      </c>
      <c r="B176" t="s">
        <v>0</v>
      </c>
      <c r="C176">
        <v>41</v>
      </c>
      <c r="D176" t="s">
        <v>1</v>
      </c>
      <c r="E176" t="s">
        <v>42</v>
      </c>
      <c r="F176" t="s">
        <v>40</v>
      </c>
      <c r="G176" t="s">
        <v>116</v>
      </c>
      <c r="H176" t="s">
        <v>24</v>
      </c>
      <c r="I176" t="s">
        <v>112</v>
      </c>
      <c r="J176" t="s">
        <v>32</v>
      </c>
      <c r="K176" t="s">
        <v>7</v>
      </c>
      <c r="L176">
        <v>5.0999999999999996</v>
      </c>
      <c r="M176">
        <v>7.7</v>
      </c>
      <c r="N176" t="s">
        <v>120</v>
      </c>
      <c r="O176" t="s">
        <v>7</v>
      </c>
      <c r="P176" t="s">
        <v>9</v>
      </c>
      <c r="Q176">
        <v>8</v>
      </c>
      <c r="R176">
        <v>1</v>
      </c>
      <c r="S176">
        <v>21.2</v>
      </c>
      <c r="T176">
        <v>100</v>
      </c>
      <c r="U176">
        <v>91</v>
      </c>
      <c r="V176">
        <v>7946</v>
      </c>
      <c r="W176">
        <v>39</v>
      </c>
      <c r="X176">
        <v>2</v>
      </c>
      <c r="Y176">
        <v>5</v>
      </c>
      <c r="Z176">
        <v>7</v>
      </c>
      <c r="AA176">
        <v>1.6</v>
      </c>
      <c r="AB176">
        <v>1</v>
      </c>
      <c r="AC176">
        <v>102</v>
      </c>
      <c r="AD176">
        <v>6</v>
      </c>
      <c r="AE176">
        <v>4</v>
      </c>
      <c r="AF176">
        <v>110</v>
      </c>
      <c r="AG176">
        <v>76</v>
      </c>
      <c r="AH176">
        <v>84</v>
      </c>
      <c r="AI176">
        <v>23</v>
      </c>
      <c r="AJ176">
        <v>9</v>
      </c>
      <c r="AK176">
        <v>21</v>
      </c>
      <c r="AL176">
        <v>12</v>
      </c>
      <c r="AM176">
        <v>5</v>
      </c>
      <c r="AN176">
        <v>43</v>
      </c>
      <c r="AO176">
        <v>30</v>
      </c>
      <c r="AP176">
        <v>20</v>
      </c>
      <c r="AQ176">
        <v>23</v>
      </c>
      <c r="AR176">
        <v>5576</v>
      </c>
      <c r="AS176">
        <v>5396</v>
      </c>
      <c r="AT176" t="s">
        <v>13</v>
      </c>
      <c r="AU176">
        <v>0.95</v>
      </c>
      <c r="AV176">
        <v>2012</v>
      </c>
      <c r="AW176" s="1">
        <v>45874</v>
      </c>
      <c r="AX176">
        <v>17</v>
      </c>
      <c r="AY176" t="s">
        <v>45</v>
      </c>
      <c r="AZ176" t="s">
        <v>20</v>
      </c>
      <c r="BA176" t="s">
        <v>12</v>
      </c>
      <c r="BB176" t="s">
        <v>13</v>
      </c>
      <c r="BC176" t="s">
        <v>13</v>
      </c>
      <c r="BD176">
        <v>1</v>
      </c>
      <c r="BE176" t="s">
        <v>14</v>
      </c>
      <c r="BF176">
        <v>1.38</v>
      </c>
    </row>
    <row r="177" spans="1:58" hidden="1" x14ac:dyDescent="0.2">
      <c r="A177">
        <v>176</v>
      </c>
      <c r="B177" t="s">
        <v>0</v>
      </c>
      <c r="C177">
        <v>48</v>
      </c>
      <c r="D177" t="s">
        <v>1</v>
      </c>
      <c r="E177" t="s">
        <v>2</v>
      </c>
      <c r="F177" t="s">
        <v>15</v>
      </c>
      <c r="G177" t="s">
        <v>116</v>
      </c>
      <c r="H177" t="s">
        <v>118</v>
      </c>
      <c r="I177" t="s">
        <v>114</v>
      </c>
      <c r="J177" t="s">
        <v>6</v>
      </c>
      <c r="K177" t="s">
        <v>13</v>
      </c>
      <c r="L177">
        <v>4.7</v>
      </c>
      <c r="M177">
        <v>6.5</v>
      </c>
      <c r="N177" t="s">
        <v>8</v>
      </c>
      <c r="O177" t="s">
        <v>7</v>
      </c>
      <c r="P177" t="s">
        <v>26</v>
      </c>
      <c r="Q177">
        <v>10</v>
      </c>
      <c r="R177">
        <v>8</v>
      </c>
      <c r="S177">
        <v>23.2</v>
      </c>
      <c r="T177">
        <v>107</v>
      </c>
      <c r="U177">
        <v>62</v>
      </c>
      <c r="V177">
        <v>8020</v>
      </c>
      <c r="W177">
        <v>33.299999999999997</v>
      </c>
      <c r="X177">
        <v>3</v>
      </c>
      <c r="Y177">
        <v>5</v>
      </c>
      <c r="Z177">
        <v>4</v>
      </c>
      <c r="AA177">
        <v>1.2</v>
      </c>
      <c r="AB177">
        <v>1</v>
      </c>
      <c r="AC177">
        <v>5</v>
      </c>
      <c r="AD177">
        <v>1</v>
      </c>
      <c r="AE177">
        <v>0</v>
      </c>
      <c r="AF177">
        <v>45</v>
      </c>
      <c r="AG177">
        <v>25</v>
      </c>
      <c r="AH177">
        <v>27</v>
      </c>
      <c r="AI177">
        <v>10</v>
      </c>
      <c r="AJ177">
        <v>13</v>
      </c>
      <c r="AK177">
        <v>13</v>
      </c>
      <c r="AL177">
        <v>8</v>
      </c>
      <c r="AM177">
        <v>1</v>
      </c>
      <c r="AN177">
        <v>2</v>
      </c>
      <c r="AO177">
        <v>1</v>
      </c>
      <c r="AP177">
        <v>1</v>
      </c>
      <c r="AQ177">
        <v>1</v>
      </c>
      <c r="AR177">
        <v>2770</v>
      </c>
      <c r="AS177">
        <v>4951</v>
      </c>
      <c r="AT177" t="s">
        <v>13</v>
      </c>
      <c r="AU177">
        <v>0.62</v>
      </c>
      <c r="AV177">
        <v>2013</v>
      </c>
      <c r="AW177" s="1">
        <v>45680</v>
      </c>
      <c r="AX177">
        <v>5</v>
      </c>
      <c r="AY177" t="s">
        <v>27</v>
      </c>
      <c r="AZ177" t="s">
        <v>48</v>
      </c>
      <c r="BA177" t="s">
        <v>21</v>
      </c>
      <c r="BB177" t="s">
        <v>7</v>
      </c>
      <c r="BC177" t="s">
        <v>13</v>
      </c>
      <c r="BD177">
        <v>1</v>
      </c>
      <c r="BE177" t="s">
        <v>14</v>
      </c>
      <c r="BF177">
        <v>7.83</v>
      </c>
    </row>
    <row r="178" spans="1:58" hidden="1" x14ac:dyDescent="0.2">
      <c r="A178">
        <v>177</v>
      </c>
      <c r="B178" t="s">
        <v>0</v>
      </c>
      <c r="C178">
        <v>25</v>
      </c>
      <c r="D178" t="s">
        <v>28</v>
      </c>
      <c r="E178" t="s">
        <v>2</v>
      </c>
      <c r="F178" t="s">
        <v>15</v>
      </c>
      <c r="G178" t="s">
        <v>117</v>
      </c>
      <c r="H178" t="s">
        <v>23</v>
      </c>
      <c r="I178" t="s">
        <v>112</v>
      </c>
      <c r="J178" t="s">
        <v>6</v>
      </c>
      <c r="K178" t="s">
        <v>7</v>
      </c>
      <c r="L178">
        <v>3.1</v>
      </c>
      <c r="M178">
        <v>7.6</v>
      </c>
      <c r="N178" t="s">
        <v>29</v>
      </c>
      <c r="O178" t="s">
        <v>7</v>
      </c>
      <c r="P178" t="s">
        <v>26</v>
      </c>
      <c r="Q178">
        <v>19</v>
      </c>
      <c r="R178">
        <v>1</v>
      </c>
      <c r="S178">
        <v>15</v>
      </c>
      <c r="T178">
        <v>128</v>
      </c>
      <c r="U178">
        <v>71</v>
      </c>
      <c r="V178">
        <v>7837</v>
      </c>
      <c r="W178">
        <v>40.6</v>
      </c>
      <c r="X178">
        <v>0</v>
      </c>
      <c r="Y178">
        <v>5</v>
      </c>
      <c r="Z178">
        <v>11</v>
      </c>
      <c r="AA178">
        <v>11.1</v>
      </c>
      <c r="AB178">
        <v>1</v>
      </c>
      <c r="AC178">
        <v>274</v>
      </c>
      <c r="AD178">
        <v>8</v>
      </c>
      <c r="AE178">
        <v>8</v>
      </c>
      <c r="AF178">
        <v>297</v>
      </c>
      <c r="AG178">
        <v>141</v>
      </c>
      <c r="AH178">
        <v>161</v>
      </c>
      <c r="AI178">
        <v>42</v>
      </c>
      <c r="AJ178">
        <v>34</v>
      </c>
      <c r="AK178">
        <v>40</v>
      </c>
      <c r="AL178">
        <v>18</v>
      </c>
      <c r="AM178">
        <v>5</v>
      </c>
      <c r="AN178">
        <v>123</v>
      </c>
      <c r="AO178">
        <v>78</v>
      </c>
      <c r="AP178">
        <v>42</v>
      </c>
      <c r="AQ178">
        <v>92</v>
      </c>
      <c r="AR178">
        <v>329</v>
      </c>
      <c r="AS178">
        <v>482</v>
      </c>
      <c r="AT178" t="s">
        <v>7</v>
      </c>
      <c r="AU178">
        <v>0.27</v>
      </c>
      <c r="AV178">
        <v>2017</v>
      </c>
      <c r="AW178" s="1">
        <v>45894</v>
      </c>
      <c r="AX178">
        <v>34.200000000000003</v>
      </c>
      <c r="AY178" t="s">
        <v>36</v>
      </c>
      <c r="AZ178" t="s">
        <v>20</v>
      </c>
      <c r="BA178" t="s">
        <v>122</v>
      </c>
      <c r="BB178" t="s">
        <v>13</v>
      </c>
      <c r="BC178" t="s">
        <v>7</v>
      </c>
      <c r="BD178">
        <v>4</v>
      </c>
      <c r="BE178" t="s">
        <v>43</v>
      </c>
      <c r="BF178">
        <v>0.98</v>
      </c>
    </row>
    <row r="179" spans="1:58" hidden="1" x14ac:dyDescent="0.2">
      <c r="A179">
        <v>178</v>
      </c>
      <c r="B179" t="s">
        <v>0</v>
      </c>
      <c r="C179">
        <v>44</v>
      </c>
      <c r="D179" t="s">
        <v>28</v>
      </c>
      <c r="E179" t="s">
        <v>47</v>
      </c>
      <c r="F179" t="s">
        <v>40</v>
      </c>
      <c r="G179" t="s">
        <v>38</v>
      </c>
      <c r="H179" t="s">
        <v>118</v>
      </c>
      <c r="I179" t="s">
        <v>17</v>
      </c>
      <c r="J179" t="s">
        <v>123</v>
      </c>
      <c r="K179" t="s">
        <v>7</v>
      </c>
      <c r="L179">
        <v>10.9</v>
      </c>
      <c r="M179">
        <v>5.3</v>
      </c>
      <c r="N179" t="s">
        <v>29</v>
      </c>
      <c r="O179" t="s">
        <v>7</v>
      </c>
      <c r="P179" t="s">
        <v>9</v>
      </c>
      <c r="Q179">
        <v>26</v>
      </c>
      <c r="R179">
        <v>9</v>
      </c>
      <c r="S179">
        <v>26.5</v>
      </c>
      <c r="T179">
        <v>98</v>
      </c>
      <c r="U179">
        <v>99</v>
      </c>
      <c r="V179">
        <v>7834</v>
      </c>
      <c r="W179">
        <v>42.9</v>
      </c>
      <c r="X179">
        <v>0</v>
      </c>
      <c r="Y179">
        <v>4</v>
      </c>
      <c r="Z179">
        <v>6</v>
      </c>
      <c r="AA179">
        <v>7.8</v>
      </c>
      <c r="AB179">
        <v>0</v>
      </c>
      <c r="AC179">
        <v>119</v>
      </c>
      <c r="AD179">
        <v>4</v>
      </c>
      <c r="AE179">
        <v>4</v>
      </c>
      <c r="AF179">
        <v>148</v>
      </c>
      <c r="AG179">
        <v>70</v>
      </c>
      <c r="AH179">
        <v>75</v>
      </c>
      <c r="AI179">
        <v>25</v>
      </c>
      <c r="AJ179">
        <v>26</v>
      </c>
      <c r="AK179">
        <v>28</v>
      </c>
      <c r="AL179">
        <v>14</v>
      </c>
      <c r="AM179">
        <v>2</v>
      </c>
      <c r="AN179">
        <v>69</v>
      </c>
      <c r="AO179">
        <v>33</v>
      </c>
      <c r="AP179">
        <v>12</v>
      </c>
      <c r="AQ179">
        <v>36</v>
      </c>
      <c r="AR179">
        <v>253</v>
      </c>
      <c r="AS179">
        <v>430</v>
      </c>
      <c r="AT179" t="s">
        <v>7</v>
      </c>
      <c r="AU179">
        <v>1</v>
      </c>
      <c r="AV179">
        <v>2017</v>
      </c>
      <c r="AW179" s="1">
        <v>45664</v>
      </c>
      <c r="AX179">
        <v>29.8</v>
      </c>
      <c r="AY179" t="s">
        <v>45</v>
      </c>
      <c r="AZ179" t="s">
        <v>51</v>
      </c>
      <c r="BA179" t="s">
        <v>21</v>
      </c>
      <c r="BB179" t="s">
        <v>13</v>
      </c>
      <c r="BC179" t="s">
        <v>7</v>
      </c>
      <c r="BD179">
        <v>2</v>
      </c>
      <c r="BE179" t="s">
        <v>14</v>
      </c>
      <c r="BF179">
        <v>1.1399999999999999</v>
      </c>
    </row>
    <row r="180" spans="1:58" hidden="1" x14ac:dyDescent="0.2">
      <c r="A180">
        <v>179</v>
      </c>
      <c r="B180" t="s">
        <v>0</v>
      </c>
      <c r="C180">
        <v>19</v>
      </c>
      <c r="D180" t="s">
        <v>28</v>
      </c>
      <c r="E180" t="s">
        <v>47</v>
      </c>
      <c r="F180" t="s">
        <v>40</v>
      </c>
      <c r="G180" t="s">
        <v>16</v>
      </c>
      <c r="H180" t="s">
        <v>118</v>
      </c>
      <c r="I180" t="s">
        <v>112</v>
      </c>
      <c r="J180" t="s">
        <v>123</v>
      </c>
      <c r="K180" t="s">
        <v>7</v>
      </c>
      <c r="L180">
        <v>2.7</v>
      </c>
      <c r="M180">
        <v>7.3</v>
      </c>
      <c r="N180" t="s">
        <v>25</v>
      </c>
      <c r="O180" t="s">
        <v>7</v>
      </c>
      <c r="P180" t="s">
        <v>9</v>
      </c>
      <c r="Q180">
        <v>36</v>
      </c>
      <c r="R180">
        <v>8</v>
      </c>
      <c r="S180">
        <v>25.3</v>
      </c>
      <c r="T180">
        <v>91</v>
      </c>
      <c r="U180">
        <v>61</v>
      </c>
      <c r="V180">
        <v>7950</v>
      </c>
      <c r="W180">
        <v>45.7</v>
      </c>
      <c r="X180">
        <v>4</v>
      </c>
      <c r="Y180">
        <v>7</v>
      </c>
      <c r="Z180">
        <v>9</v>
      </c>
      <c r="AA180">
        <v>1.9</v>
      </c>
      <c r="AB180">
        <v>3</v>
      </c>
      <c r="AC180">
        <v>339</v>
      </c>
      <c r="AD180">
        <v>22</v>
      </c>
      <c r="AE180">
        <v>11</v>
      </c>
      <c r="AF180">
        <v>300</v>
      </c>
      <c r="AG180">
        <v>150</v>
      </c>
      <c r="AH180">
        <v>186</v>
      </c>
      <c r="AI180">
        <v>56</v>
      </c>
      <c r="AJ180">
        <v>32</v>
      </c>
      <c r="AK180">
        <v>58</v>
      </c>
      <c r="AL180">
        <v>30</v>
      </c>
      <c r="AM180">
        <v>7</v>
      </c>
      <c r="AN180">
        <v>143</v>
      </c>
      <c r="AO180">
        <v>75</v>
      </c>
      <c r="AP180">
        <v>77</v>
      </c>
      <c r="AQ180">
        <v>90</v>
      </c>
      <c r="AR180">
        <v>248</v>
      </c>
      <c r="AS180">
        <v>111</v>
      </c>
      <c r="AT180" t="s">
        <v>7</v>
      </c>
      <c r="AU180">
        <v>0.28999999999999998</v>
      </c>
      <c r="AV180">
        <v>2014</v>
      </c>
      <c r="AW180" s="1">
        <v>45931</v>
      </c>
      <c r="AX180">
        <v>15.4</v>
      </c>
      <c r="AY180" t="s">
        <v>36</v>
      </c>
      <c r="AZ180" t="s">
        <v>48</v>
      </c>
      <c r="BA180" t="s">
        <v>21</v>
      </c>
      <c r="BB180" t="s">
        <v>13</v>
      </c>
      <c r="BC180" t="s">
        <v>7</v>
      </c>
      <c r="BD180">
        <v>3</v>
      </c>
      <c r="BE180" t="s">
        <v>14</v>
      </c>
      <c r="BF180">
        <v>0.97</v>
      </c>
    </row>
    <row r="181" spans="1:58" hidden="1" x14ac:dyDescent="0.2">
      <c r="A181">
        <v>180</v>
      </c>
      <c r="B181" t="s">
        <v>0</v>
      </c>
      <c r="C181">
        <v>63</v>
      </c>
      <c r="D181" t="s">
        <v>28</v>
      </c>
      <c r="E181" t="s">
        <v>17</v>
      </c>
      <c r="F181" t="s">
        <v>15</v>
      </c>
      <c r="G181" t="s">
        <v>16</v>
      </c>
      <c r="H181" t="s">
        <v>24</v>
      </c>
      <c r="I181" t="s">
        <v>113</v>
      </c>
      <c r="J181" t="s">
        <v>123</v>
      </c>
      <c r="K181" t="s">
        <v>13</v>
      </c>
      <c r="L181">
        <v>4.5</v>
      </c>
      <c r="M181">
        <v>9.1999999999999993</v>
      </c>
      <c r="N181" t="s">
        <v>39</v>
      </c>
      <c r="O181" t="s">
        <v>7</v>
      </c>
      <c r="P181" t="s">
        <v>46</v>
      </c>
      <c r="Q181">
        <v>8</v>
      </c>
      <c r="R181">
        <v>7</v>
      </c>
      <c r="S181">
        <v>28.9</v>
      </c>
      <c r="T181">
        <v>127</v>
      </c>
      <c r="U181">
        <v>98</v>
      </c>
      <c r="V181">
        <v>7901</v>
      </c>
      <c r="W181">
        <v>20</v>
      </c>
      <c r="X181">
        <v>4</v>
      </c>
      <c r="Y181">
        <v>3</v>
      </c>
      <c r="Z181">
        <v>9</v>
      </c>
      <c r="AA181">
        <v>9.1</v>
      </c>
      <c r="AB181">
        <v>2</v>
      </c>
      <c r="AC181">
        <v>101</v>
      </c>
      <c r="AD181">
        <v>3</v>
      </c>
      <c r="AE181">
        <v>8</v>
      </c>
      <c r="AF181">
        <v>106</v>
      </c>
      <c r="AG181">
        <v>61</v>
      </c>
      <c r="AH181">
        <v>87</v>
      </c>
      <c r="AI181">
        <v>17</v>
      </c>
      <c r="AJ181">
        <v>21</v>
      </c>
      <c r="AK181">
        <v>24</v>
      </c>
      <c r="AL181">
        <v>13</v>
      </c>
      <c r="AM181">
        <v>1</v>
      </c>
      <c r="AN181">
        <v>50</v>
      </c>
      <c r="AO181">
        <v>20</v>
      </c>
      <c r="AP181">
        <v>11</v>
      </c>
      <c r="AQ181">
        <v>37</v>
      </c>
      <c r="AR181">
        <v>3927</v>
      </c>
      <c r="AS181">
        <v>1851</v>
      </c>
      <c r="AT181" t="s">
        <v>7</v>
      </c>
      <c r="AU181">
        <v>0.12</v>
      </c>
      <c r="AV181">
        <v>2015</v>
      </c>
      <c r="AW181" s="1">
        <v>46002</v>
      </c>
      <c r="AX181">
        <v>33.700000000000003</v>
      </c>
      <c r="AY181" t="s">
        <v>45</v>
      </c>
      <c r="AZ181" t="s">
        <v>31</v>
      </c>
      <c r="BA181" t="s">
        <v>12</v>
      </c>
      <c r="BB181" t="s">
        <v>13</v>
      </c>
      <c r="BC181" t="s">
        <v>7</v>
      </c>
      <c r="BD181">
        <v>1</v>
      </c>
      <c r="BE181" t="s">
        <v>49</v>
      </c>
      <c r="BF181">
        <v>1.42</v>
      </c>
    </row>
    <row r="182" spans="1:58" hidden="1" x14ac:dyDescent="0.2">
      <c r="A182">
        <v>181</v>
      </c>
      <c r="B182" t="s">
        <v>0</v>
      </c>
      <c r="C182">
        <v>34</v>
      </c>
      <c r="D182" t="s">
        <v>28</v>
      </c>
      <c r="E182" t="s">
        <v>22</v>
      </c>
      <c r="F182" t="s">
        <v>15</v>
      </c>
      <c r="G182" t="s">
        <v>16</v>
      </c>
      <c r="H182" t="s">
        <v>34</v>
      </c>
      <c r="I182" t="s">
        <v>112</v>
      </c>
      <c r="J182" t="s">
        <v>18</v>
      </c>
      <c r="K182" t="s">
        <v>7</v>
      </c>
      <c r="L182">
        <v>1</v>
      </c>
      <c r="M182">
        <v>7</v>
      </c>
      <c r="N182" t="s">
        <v>29</v>
      </c>
      <c r="O182" t="s">
        <v>41</v>
      </c>
      <c r="P182" t="s">
        <v>26</v>
      </c>
      <c r="Q182">
        <v>23</v>
      </c>
      <c r="R182">
        <v>5</v>
      </c>
      <c r="S182">
        <v>27.4</v>
      </c>
      <c r="T182">
        <v>126</v>
      </c>
      <c r="U182">
        <v>72</v>
      </c>
      <c r="V182">
        <v>7974</v>
      </c>
      <c r="W182">
        <v>37.6</v>
      </c>
      <c r="X182">
        <v>0</v>
      </c>
      <c r="Y182">
        <v>7</v>
      </c>
      <c r="Z182">
        <v>10</v>
      </c>
      <c r="AA182">
        <v>6.5</v>
      </c>
      <c r="AB182">
        <v>1</v>
      </c>
      <c r="AC182">
        <v>192</v>
      </c>
      <c r="AD182">
        <v>21</v>
      </c>
      <c r="AE182">
        <v>1</v>
      </c>
      <c r="AF182">
        <v>152</v>
      </c>
      <c r="AG182">
        <v>123</v>
      </c>
      <c r="AH182">
        <v>113</v>
      </c>
      <c r="AI182">
        <v>34</v>
      </c>
      <c r="AJ182">
        <v>25</v>
      </c>
      <c r="AK182">
        <v>20</v>
      </c>
      <c r="AL182">
        <v>21</v>
      </c>
      <c r="AM182">
        <v>3</v>
      </c>
      <c r="AN182">
        <v>87</v>
      </c>
      <c r="AO182">
        <v>53</v>
      </c>
      <c r="AP182">
        <v>27</v>
      </c>
      <c r="AQ182">
        <v>66</v>
      </c>
      <c r="AR182">
        <v>103</v>
      </c>
      <c r="AS182">
        <v>117</v>
      </c>
      <c r="AT182" t="s">
        <v>7</v>
      </c>
      <c r="AU182">
        <v>0.12</v>
      </c>
      <c r="AV182">
        <v>2025</v>
      </c>
      <c r="AW182" s="1">
        <v>45964</v>
      </c>
      <c r="AX182">
        <v>9.1</v>
      </c>
      <c r="AY182" t="s">
        <v>45</v>
      </c>
      <c r="AZ182" t="s">
        <v>37</v>
      </c>
      <c r="BA182" t="s">
        <v>21</v>
      </c>
      <c r="BB182" t="s">
        <v>7</v>
      </c>
      <c r="BC182" t="s">
        <v>7</v>
      </c>
      <c r="BD182">
        <v>3</v>
      </c>
      <c r="BE182" t="s">
        <v>14</v>
      </c>
      <c r="BF182">
        <v>0.95</v>
      </c>
    </row>
    <row r="183" spans="1:58" hidden="1" x14ac:dyDescent="0.2">
      <c r="A183">
        <v>182</v>
      </c>
      <c r="B183" t="s">
        <v>0</v>
      </c>
      <c r="C183">
        <v>40</v>
      </c>
      <c r="D183" t="s">
        <v>1</v>
      </c>
      <c r="E183" t="s">
        <v>128</v>
      </c>
      <c r="F183" t="s">
        <v>15</v>
      </c>
      <c r="G183" t="s">
        <v>16</v>
      </c>
      <c r="H183" t="s">
        <v>24</v>
      </c>
      <c r="I183" t="s">
        <v>112</v>
      </c>
      <c r="J183" t="s">
        <v>6</v>
      </c>
      <c r="K183" t="s">
        <v>7</v>
      </c>
      <c r="L183">
        <v>1.5</v>
      </c>
      <c r="M183">
        <v>7.1</v>
      </c>
      <c r="N183" t="s">
        <v>39</v>
      </c>
      <c r="O183" t="s">
        <v>7</v>
      </c>
      <c r="P183" t="s">
        <v>26</v>
      </c>
      <c r="Q183">
        <v>16</v>
      </c>
      <c r="R183">
        <v>1</v>
      </c>
      <c r="S183">
        <v>34.799999999999997</v>
      </c>
      <c r="T183">
        <v>146</v>
      </c>
      <c r="U183">
        <v>87</v>
      </c>
      <c r="V183">
        <v>8028</v>
      </c>
      <c r="W183">
        <v>38.6</v>
      </c>
      <c r="X183">
        <v>3</v>
      </c>
      <c r="Y183">
        <v>6</v>
      </c>
      <c r="Z183">
        <v>10</v>
      </c>
      <c r="AA183">
        <v>6.8</v>
      </c>
      <c r="AB183">
        <v>2</v>
      </c>
      <c r="AC183">
        <v>279</v>
      </c>
      <c r="AD183">
        <v>9</v>
      </c>
      <c r="AE183">
        <v>8</v>
      </c>
      <c r="AF183">
        <v>211</v>
      </c>
      <c r="AG183">
        <v>128</v>
      </c>
      <c r="AH183">
        <v>155</v>
      </c>
      <c r="AI183">
        <v>48</v>
      </c>
      <c r="AJ183">
        <v>37</v>
      </c>
      <c r="AK183">
        <v>41</v>
      </c>
      <c r="AL183">
        <v>31</v>
      </c>
      <c r="AM183">
        <v>1</v>
      </c>
      <c r="AN183">
        <v>136</v>
      </c>
      <c r="AO183">
        <v>61</v>
      </c>
      <c r="AP183">
        <v>68</v>
      </c>
      <c r="AQ183">
        <v>95</v>
      </c>
      <c r="AR183">
        <v>1036</v>
      </c>
      <c r="AS183">
        <v>1471</v>
      </c>
      <c r="AT183" t="s">
        <v>7</v>
      </c>
      <c r="AU183">
        <v>0.69</v>
      </c>
      <c r="AV183">
        <v>2012</v>
      </c>
      <c r="AW183" s="1">
        <v>45796</v>
      </c>
      <c r="AX183">
        <v>31</v>
      </c>
      <c r="AY183" t="s">
        <v>30</v>
      </c>
      <c r="AZ183" t="s">
        <v>11</v>
      </c>
      <c r="BA183" t="s">
        <v>21</v>
      </c>
      <c r="BB183" t="s">
        <v>13</v>
      </c>
      <c r="BC183" t="s">
        <v>13</v>
      </c>
      <c r="BD183">
        <v>1</v>
      </c>
      <c r="BE183" t="s">
        <v>43</v>
      </c>
      <c r="BF183">
        <v>0.98</v>
      </c>
    </row>
    <row r="184" spans="1:58" hidden="1" x14ac:dyDescent="0.2">
      <c r="A184">
        <v>183</v>
      </c>
      <c r="B184" t="s">
        <v>0</v>
      </c>
      <c r="C184">
        <v>14</v>
      </c>
      <c r="D184" t="s">
        <v>1</v>
      </c>
      <c r="E184" t="s">
        <v>2</v>
      </c>
      <c r="F184" t="s">
        <v>40</v>
      </c>
      <c r="G184" t="s">
        <v>16</v>
      </c>
      <c r="H184" t="s">
        <v>34</v>
      </c>
      <c r="I184" t="s">
        <v>113</v>
      </c>
      <c r="J184" t="s">
        <v>32</v>
      </c>
      <c r="K184" t="s">
        <v>7</v>
      </c>
      <c r="L184">
        <v>5.3</v>
      </c>
      <c r="M184">
        <v>8.9</v>
      </c>
      <c r="N184" t="s">
        <v>29</v>
      </c>
      <c r="O184" t="s">
        <v>41</v>
      </c>
      <c r="P184" t="s">
        <v>26</v>
      </c>
      <c r="Q184">
        <v>25</v>
      </c>
      <c r="R184">
        <v>1</v>
      </c>
      <c r="S184">
        <v>20.2</v>
      </c>
      <c r="T184">
        <v>153</v>
      </c>
      <c r="U184">
        <v>66</v>
      </c>
      <c r="V184">
        <v>7865</v>
      </c>
      <c r="W184">
        <v>39.700000000000003</v>
      </c>
      <c r="X184">
        <v>1</v>
      </c>
      <c r="Y184">
        <v>9</v>
      </c>
      <c r="Z184">
        <v>20</v>
      </c>
      <c r="AA184">
        <v>0.7</v>
      </c>
      <c r="AB184">
        <v>2</v>
      </c>
      <c r="AC184">
        <v>387</v>
      </c>
      <c r="AD184">
        <v>16</v>
      </c>
      <c r="AE184">
        <v>14</v>
      </c>
      <c r="AF184">
        <v>300</v>
      </c>
      <c r="AG184">
        <v>150</v>
      </c>
      <c r="AH184">
        <v>215</v>
      </c>
      <c r="AI184">
        <v>63</v>
      </c>
      <c r="AJ184">
        <v>56</v>
      </c>
      <c r="AK184">
        <v>67</v>
      </c>
      <c r="AL184">
        <v>47</v>
      </c>
      <c r="AM184">
        <v>13</v>
      </c>
      <c r="AN184">
        <v>187</v>
      </c>
      <c r="AO184">
        <v>61</v>
      </c>
      <c r="AP184">
        <v>92</v>
      </c>
      <c r="AQ184">
        <v>139</v>
      </c>
      <c r="AR184">
        <v>2407</v>
      </c>
      <c r="AS184">
        <v>2178</v>
      </c>
      <c r="AT184" t="s">
        <v>7</v>
      </c>
      <c r="AU184">
        <v>0.85</v>
      </c>
      <c r="AV184">
        <v>2021</v>
      </c>
      <c r="AW184" s="1">
        <v>45817</v>
      </c>
      <c r="AX184">
        <v>24.2</v>
      </c>
      <c r="AY184" t="s">
        <v>36</v>
      </c>
      <c r="AZ184" t="s">
        <v>20</v>
      </c>
      <c r="BA184" t="s">
        <v>122</v>
      </c>
      <c r="BB184" t="s">
        <v>13</v>
      </c>
      <c r="BC184" t="s">
        <v>13</v>
      </c>
      <c r="BD184">
        <v>0</v>
      </c>
      <c r="BE184" t="s">
        <v>14</v>
      </c>
      <c r="BF184">
        <v>0.99</v>
      </c>
    </row>
    <row r="185" spans="1:58" hidden="1" x14ac:dyDescent="0.2">
      <c r="A185">
        <v>184</v>
      </c>
      <c r="B185" t="s">
        <v>0</v>
      </c>
      <c r="C185">
        <v>54</v>
      </c>
      <c r="D185" t="s">
        <v>1</v>
      </c>
      <c r="E185" t="s">
        <v>128</v>
      </c>
      <c r="F185" t="s">
        <v>15</v>
      </c>
      <c r="G185" t="s">
        <v>117</v>
      </c>
      <c r="H185" t="s">
        <v>24</v>
      </c>
      <c r="I185" t="s">
        <v>112</v>
      </c>
      <c r="J185" t="s">
        <v>44</v>
      </c>
      <c r="K185" t="s">
        <v>13</v>
      </c>
      <c r="L185">
        <v>3.8</v>
      </c>
      <c r="M185">
        <v>5.0999999999999996</v>
      </c>
      <c r="N185" t="s">
        <v>120</v>
      </c>
      <c r="O185" t="s">
        <v>7</v>
      </c>
      <c r="P185" t="s">
        <v>52</v>
      </c>
      <c r="Q185">
        <v>37</v>
      </c>
      <c r="R185">
        <v>9</v>
      </c>
      <c r="S185">
        <v>26.4</v>
      </c>
      <c r="T185">
        <v>143</v>
      </c>
      <c r="U185">
        <v>69</v>
      </c>
      <c r="V185">
        <v>8061</v>
      </c>
      <c r="W185">
        <v>49.7</v>
      </c>
      <c r="X185">
        <v>4</v>
      </c>
      <c r="Y185">
        <v>2</v>
      </c>
      <c r="Z185">
        <v>11</v>
      </c>
      <c r="AA185">
        <v>1.9</v>
      </c>
      <c r="AB185">
        <v>2</v>
      </c>
      <c r="AC185">
        <v>311</v>
      </c>
      <c r="AD185">
        <v>9</v>
      </c>
      <c r="AE185">
        <v>10</v>
      </c>
      <c r="AF185">
        <v>209</v>
      </c>
      <c r="AG185">
        <v>130</v>
      </c>
      <c r="AH185">
        <v>187</v>
      </c>
      <c r="AI185">
        <v>43</v>
      </c>
      <c r="AJ185">
        <v>39</v>
      </c>
      <c r="AK185">
        <v>48</v>
      </c>
      <c r="AL185">
        <v>32</v>
      </c>
      <c r="AM185">
        <v>7</v>
      </c>
      <c r="AN185">
        <v>177</v>
      </c>
      <c r="AO185">
        <v>40</v>
      </c>
      <c r="AP185">
        <v>60</v>
      </c>
      <c r="AQ185">
        <v>102</v>
      </c>
      <c r="AR185">
        <v>2786</v>
      </c>
      <c r="AS185">
        <v>2511</v>
      </c>
      <c r="AT185" t="s">
        <v>7</v>
      </c>
      <c r="AU185">
        <v>0.38</v>
      </c>
      <c r="AV185">
        <v>2021</v>
      </c>
      <c r="AW185" s="1">
        <v>45690</v>
      </c>
      <c r="AX185">
        <v>34.6</v>
      </c>
      <c r="AY185" t="s">
        <v>19</v>
      </c>
      <c r="AZ185" t="s">
        <v>35</v>
      </c>
      <c r="BA185" t="s">
        <v>122</v>
      </c>
      <c r="BB185" t="s">
        <v>13</v>
      </c>
      <c r="BC185" t="s">
        <v>13</v>
      </c>
      <c r="BD185">
        <v>0</v>
      </c>
      <c r="BE185" t="s">
        <v>14</v>
      </c>
      <c r="BF185">
        <v>0.97</v>
      </c>
    </row>
    <row r="186" spans="1:58" hidden="1" x14ac:dyDescent="0.2">
      <c r="A186">
        <v>185</v>
      </c>
      <c r="B186" t="s">
        <v>0</v>
      </c>
      <c r="C186">
        <v>57</v>
      </c>
      <c r="D186" t="s">
        <v>1</v>
      </c>
      <c r="E186" t="s">
        <v>127</v>
      </c>
      <c r="F186" t="s">
        <v>40</v>
      </c>
      <c r="G186" t="s">
        <v>117</v>
      </c>
      <c r="H186" t="s">
        <v>118</v>
      </c>
      <c r="I186" t="s">
        <v>112</v>
      </c>
      <c r="J186" t="s">
        <v>6</v>
      </c>
      <c r="K186" t="s">
        <v>13</v>
      </c>
      <c r="L186">
        <v>11.5</v>
      </c>
      <c r="M186">
        <v>6.5</v>
      </c>
      <c r="N186" t="s">
        <v>29</v>
      </c>
      <c r="O186" t="s">
        <v>7</v>
      </c>
      <c r="P186" t="s">
        <v>9</v>
      </c>
      <c r="Q186">
        <v>1</v>
      </c>
      <c r="R186">
        <v>9</v>
      </c>
      <c r="S186">
        <v>29</v>
      </c>
      <c r="T186">
        <v>124</v>
      </c>
      <c r="U186">
        <v>82</v>
      </c>
      <c r="V186">
        <v>8073</v>
      </c>
      <c r="W186">
        <v>39.700000000000003</v>
      </c>
      <c r="X186">
        <v>2</v>
      </c>
      <c r="Y186">
        <v>6</v>
      </c>
      <c r="Z186">
        <v>10</v>
      </c>
      <c r="AA186">
        <v>4.5</v>
      </c>
      <c r="AB186">
        <v>3</v>
      </c>
      <c r="AC186">
        <v>5</v>
      </c>
      <c r="AD186">
        <v>1</v>
      </c>
      <c r="AE186">
        <v>2</v>
      </c>
      <c r="AF186">
        <v>39</v>
      </c>
      <c r="AG186">
        <v>31</v>
      </c>
      <c r="AH186">
        <v>24</v>
      </c>
      <c r="AI186">
        <v>6</v>
      </c>
      <c r="AJ186">
        <v>12</v>
      </c>
      <c r="AK186">
        <v>1</v>
      </c>
      <c r="AL186">
        <v>6</v>
      </c>
      <c r="AM186">
        <v>1</v>
      </c>
      <c r="AN186">
        <v>3</v>
      </c>
      <c r="AO186">
        <v>1</v>
      </c>
      <c r="AP186">
        <v>1</v>
      </c>
      <c r="AQ186">
        <v>2</v>
      </c>
      <c r="AR186">
        <v>815</v>
      </c>
      <c r="AS186">
        <v>1711</v>
      </c>
      <c r="AT186" t="s">
        <v>13</v>
      </c>
      <c r="AU186">
        <v>0.13</v>
      </c>
      <c r="AV186">
        <v>2018</v>
      </c>
      <c r="AW186" s="1">
        <v>45821</v>
      </c>
      <c r="AX186">
        <v>5</v>
      </c>
      <c r="AY186" t="s">
        <v>19</v>
      </c>
      <c r="AZ186" t="s">
        <v>48</v>
      </c>
      <c r="BA186" t="s">
        <v>12</v>
      </c>
      <c r="BB186" t="s">
        <v>7</v>
      </c>
      <c r="BC186" t="s">
        <v>13</v>
      </c>
      <c r="BD186">
        <v>5</v>
      </c>
      <c r="BE186" t="s">
        <v>43</v>
      </c>
      <c r="BF186">
        <v>7</v>
      </c>
    </row>
    <row r="187" spans="1:58" hidden="1" x14ac:dyDescent="0.2">
      <c r="A187">
        <v>186</v>
      </c>
      <c r="B187" t="s">
        <v>0</v>
      </c>
      <c r="C187">
        <v>65</v>
      </c>
      <c r="D187" t="s">
        <v>1</v>
      </c>
      <c r="E187" t="s">
        <v>127</v>
      </c>
      <c r="F187" t="s">
        <v>40</v>
      </c>
      <c r="G187" t="s">
        <v>16</v>
      </c>
      <c r="H187" t="s">
        <v>119</v>
      </c>
      <c r="I187" t="s">
        <v>114</v>
      </c>
      <c r="J187" t="s">
        <v>123</v>
      </c>
      <c r="K187" t="s">
        <v>7</v>
      </c>
      <c r="L187">
        <v>4.8</v>
      </c>
      <c r="M187">
        <v>8.1999999999999993</v>
      </c>
      <c r="N187" t="s">
        <v>8</v>
      </c>
      <c r="O187" t="s">
        <v>7</v>
      </c>
      <c r="P187" t="s">
        <v>26</v>
      </c>
      <c r="Q187">
        <v>5</v>
      </c>
      <c r="R187">
        <v>1</v>
      </c>
      <c r="S187">
        <v>26</v>
      </c>
      <c r="T187">
        <v>158</v>
      </c>
      <c r="U187">
        <v>79</v>
      </c>
      <c r="V187">
        <v>8020</v>
      </c>
      <c r="W187">
        <v>44.2</v>
      </c>
      <c r="X187">
        <v>1</v>
      </c>
      <c r="Y187">
        <v>8</v>
      </c>
      <c r="Z187">
        <v>11</v>
      </c>
      <c r="AA187">
        <v>7.6</v>
      </c>
      <c r="AB187">
        <v>2</v>
      </c>
      <c r="AC187">
        <v>46</v>
      </c>
      <c r="AD187">
        <v>3</v>
      </c>
      <c r="AE187">
        <v>2</v>
      </c>
      <c r="AF187">
        <v>67</v>
      </c>
      <c r="AG187">
        <v>40</v>
      </c>
      <c r="AH187">
        <v>52</v>
      </c>
      <c r="AI187">
        <v>11</v>
      </c>
      <c r="AJ187">
        <v>19</v>
      </c>
      <c r="AK187">
        <v>10</v>
      </c>
      <c r="AL187">
        <v>7</v>
      </c>
      <c r="AM187">
        <v>4</v>
      </c>
      <c r="AN187">
        <v>27</v>
      </c>
      <c r="AO187">
        <v>7</v>
      </c>
      <c r="AP187">
        <v>6</v>
      </c>
      <c r="AQ187">
        <v>17</v>
      </c>
      <c r="AR187">
        <v>108</v>
      </c>
      <c r="AS187">
        <v>236</v>
      </c>
      <c r="AT187" t="s">
        <v>7</v>
      </c>
      <c r="AU187">
        <v>0.79</v>
      </c>
      <c r="AV187">
        <v>2011</v>
      </c>
      <c r="AW187" s="1">
        <v>45957</v>
      </c>
      <c r="AX187">
        <v>15.3</v>
      </c>
      <c r="AY187" t="s">
        <v>45</v>
      </c>
      <c r="AZ187" t="s">
        <v>20</v>
      </c>
      <c r="BA187" t="s">
        <v>12</v>
      </c>
      <c r="BB187" t="s">
        <v>7</v>
      </c>
      <c r="BC187" t="s">
        <v>13</v>
      </c>
      <c r="BD187">
        <v>4</v>
      </c>
      <c r="BE187" t="s">
        <v>14</v>
      </c>
      <c r="BF187">
        <v>1.7</v>
      </c>
    </row>
    <row r="188" spans="1:58" hidden="1" x14ac:dyDescent="0.2">
      <c r="A188">
        <v>187</v>
      </c>
      <c r="B188" t="s">
        <v>0</v>
      </c>
      <c r="C188">
        <v>18</v>
      </c>
      <c r="D188" t="s">
        <v>28</v>
      </c>
      <c r="E188" t="s">
        <v>2</v>
      </c>
      <c r="F188" t="s">
        <v>15</v>
      </c>
      <c r="G188" t="s">
        <v>4</v>
      </c>
      <c r="H188" t="s">
        <v>118</v>
      </c>
      <c r="I188" t="s">
        <v>113</v>
      </c>
      <c r="J188" t="s">
        <v>123</v>
      </c>
      <c r="K188" t="s">
        <v>7</v>
      </c>
      <c r="L188">
        <v>2.7</v>
      </c>
      <c r="M188">
        <v>6.5</v>
      </c>
      <c r="N188" t="s">
        <v>8</v>
      </c>
      <c r="O188" t="s">
        <v>7</v>
      </c>
      <c r="P188" t="s">
        <v>9</v>
      </c>
      <c r="Q188">
        <v>6</v>
      </c>
      <c r="R188">
        <v>8</v>
      </c>
      <c r="S188">
        <v>27.5</v>
      </c>
      <c r="T188">
        <v>134</v>
      </c>
      <c r="U188">
        <v>71</v>
      </c>
      <c r="V188">
        <v>7919</v>
      </c>
      <c r="W188">
        <v>53.9</v>
      </c>
      <c r="X188">
        <v>2</v>
      </c>
      <c r="Y188">
        <v>4</v>
      </c>
      <c r="Z188">
        <v>7</v>
      </c>
      <c r="AA188">
        <v>10.5</v>
      </c>
      <c r="AB188">
        <v>6</v>
      </c>
      <c r="AC188">
        <v>66</v>
      </c>
      <c r="AD188">
        <v>6</v>
      </c>
      <c r="AE188">
        <v>11</v>
      </c>
      <c r="AF188">
        <v>153</v>
      </c>
      <c r="AG188">
        <v>62</v>
      </c>
      <c r="AH188">
        <v>57</v>
      </c>
      <c r="AI188">
        <v>18</v>
      </c>
      <c r="AJ188">
        <v>13</v>
      </c>
      <c r="AK188">
        <v>13</v>
      </c>
      <c r="AL188">
        <v>10</v>
      </c>
      <c r="AM188">
        <v>3</v>
      </c>
      <c r="AN188">
        <v>38</v>
      </c>
      <c r="AO188">
        <v>18</v>
      </c>
      <c r="AP188">
        <v>14</v>
      </c>
      <c r="AQ188">
        <v>20</v>
      </c>
      <c r="AR188">
        <v>5182</v>
      </c>
      <c r="AS188">
        <v>10000</v>
      </c>
      <c r="AT188" t="s">
        <v>7</v>
      </c>
      <c r="AU188">
        <v>0.85</v>
      </c>
      <c r="AV188">
        <v>2011</v>
      </c>
      <c r="AW188" s="1">
        <v>45823</v>
      </c>
      <c r="AX188">
        <v>11</v>
      </c>
      <c r="AY188" t="s">
        <v>36</v>
      </c>
      <c r="AZ188" t="s">
        <v>48</v>
      </c>
      <c r="BA188" t="s">
        <v>12</v>
      </c>
      <c r="BB188" t="s">
        <v>13</v>
      </c>
      <c r="BC188" t="s">
        <v>13</v>
      </c>
      <c r="BD188">
        <v>3</v>
      </c>
      <c r="BE188" t="s">
        <v>49</v>
      </c>
      <c r="BF188">
        <v>1.88</v>
      </c>
    </row>
    <row r="189" spans="1:58" hidden="1" x14ac:dyDescent="0.2">
      <c r="A189">
        <v>188</v>
      </c>
      <c r="B189" t="s">
        <v>0</v>
      </c>
      <c r="C189">
        <v>40</v>
      </c>
      <c r="D189" t="s">
        <v>1</v>
      </c>
      <c r="E189" t="s">
        <v>2</v>
      </c>
      <c r="F189" t="s">
        <v>15</v>
      </c>
      <c r="G189" t="s">
        <v>16</v>
      </c>
      <c r="H189" t="s">
        <v>23</v>
      </c>
      <c r="I189" t="s">
        <v>114</v>
      </c>
      <c r="J189" t="s">
        <v>6</v>
      </c>
      <c r="K189" t="s">
        <v>7</v>
      </c>
      <c r="L189">
        <v>15.2</v>
      </c>
      <c r="M189">
        <v>6.7</v>
      </c>
      <c r="N189" t="s">
        <v>29</v>
      </c>
      <c r="O189" t="s">
        <v>7</v>
      </c>
      <c r="P189" t="s">
        <v>52</v>
      </c>
      <c r="Q189">
        <v>23</v>
      </c>
      <c r="R189">
        <v>1</v>
      </c>
      <c r="S189">
        <v>24.5</v>
      </c>
      <c r="T189">
        <v>150</v>
      </c>
      <c r="U189">
        <v>85</v>
      </c>
      <c r="V189">
        <v>8121</v>
      </c>
      <c r="W189">
        <v>40.5</v>
      </c>
      <c r="X189">
        <v>2</v>
      </c>
      <c r="Y189">
        <v>5</v>
      </c>
      <c r="Z189">
        <v>13</v>
      </c>
      <c r="AA189">
        <v>1.5</v>
      </c>
      <c r="AB189">
        <v>3</v>
      </c>
      <c r="AC189">
        <v>335</v>
      </c>
      <c r="AD189">
        <v>31</v>
      </c>
      <c r="AE189">
        <v>6</v>
      </c>
      <c r="AF189">
        <v>208</v>
      </c>
      <c r="AG189">
        <v>150</v>
      </c>
      <c r="AH189">
        <v>201</v>
      </c>
      <c r="AI189">
        <v>46</v>
      </c>
      <c r="AJ189">
        <v>39</v>
      </c>
      <c r="AK189">
        <v>51</v>
      </c>
      <c r="AL189">
        <v>34</v>
      </c>
      <c r="AM189">
        <v>10</v>
      </c>
      <c r="AN189">
        <v>160</v>
      </c>
      <c r="AO189">
        <v>62</v>
      </c>
      <c r="AP189">
        <v>46</v>
      </c>
      <c r="AQ189">
        <v>115</v>
      </c>
      <c r="AR189">
        <v>1974</v>
      </c>
      <c r="AS189">
        <v>2434</v>
      </c>
      <c r="AT189" t="s">
        <v>13</v>
      </c>
      <c r="AU189">
        <v>0.94</v>
      </c>
      <c r="AV189">
        <v>2018</v>
      </c>
      <c r="AW189" s="1">
        <v>45779</v>
      </c>
      <c r="AX189">
        <v>10.8</v>
      </c>
      <c r="AY189" t="s">
        <v>45</v>
      </c>
      <c r="AZ189" t="s">
        <v>20</v>
      </c>
      <c r="BA189" t="s">
        <v>21</v>
      </c>
      <c r="BB189" t="s">
        <v>13</v>
      </c>
      <c r="BC189" t="s">
        <v>13</v>
      </c>
      <c r="BD189">
        <v>5</v>
      </c>
      <c r="BE189" t="s">
        <v>49</v>
      </c>
      <c r="BF189">
        <v>0.93</v>
      </c>
    </row>
    <row r="190" spans="1:58" hidden="1" x14ac:dyDescent="0.2">
      <c r="A190">
        <v>189</v>
      </c>
      <c r="B190" t="s">
        <v>0</v>
      </c>
      <c r="C190">
        <v>40</v>
      </c>
      <c r="D190" t="s">
        <v>1</v>
      </c>
      <c r="E190" t="s">
        <v>2</v>
      </c>
      <c r="F190" t="s">
        <v>15</v>
      </c>
      <c r="G190" t="s">
        <v>16</v>
      </c>
      <c r="H190" t="s">
        <v>34</v>
      </c>
      <c r="I190" t="s">
        <v>114</v>
      </c>
      <c r="J190" t="s">
        <v>32</v>
      </c>
      <c r="K190" t="s">
        <v>7</v>
      </c>
      <c r="L190">
        <v>12.8</v>
      </c>
      <c r="M190">
        <v>7.6</v>
      </c>
      <c r="N190" t="s">
        <v>8</v>
      </c>
      <c r="O190" t="s">
        <v>13</v>
      </c>
      <c r="P190" t="s">
        <v>26</v>
      </c>
      <c r="Q190">
        <v>24</v>
      </c>
      <c r="R190">
        <v>10</v>
      </c>
      <c r="S190">
        <v>25.2</v>
      </c>
      <c r="T190">
        <v>145</v>
      </c>
      <c r="U190">
        <v>69</v>
      </c>
      <c r="V190">
        <v>8006</v>
      </c>
      <c r="W190">
        <v>37.299999999999997</v>
      </c>
      <c r="X190">
        <v>5</v>
      </c>
      <c r="Y190">
        <v>2</v>
      </c>
      <c r="Z190">
        <v>9</v>
      </c>
      <c r="AA190">
        <v>4.7</v>
      </c>
      <c r="AB190">
        <v>2</v>
      </c>
      <c r="AC190">
        <v>145</v>
      </c>
      <c r="AD190">
        <v>11</v>
      </c>
      <c r="AE190">
        <v>5</v>
      </c>
      <c r="AF190">
        <v>132</v>
      </c>
      <c r="AG190">
        <v>96</v>
      </c>
      <c r="AH190">
        <v>110</v>
      </c>
      <c r="AI190">
        <v>23</v>
      </c>
      <c r="AJ190">
        <v>21</v>
      </c>
      <c r="AK190">
        <v>24</v>
      </c>
      <c r="AL190">
        <v>18</v>
      </c>
      <c r="AM190">
        <v>0</v>
      </c>
      <c r="AN190">
        <v>73</v>
      </c>
      <c r="AO190">
        <v>31</v>
      </c>
      <c r="AP190">
        <v>17</v>
      </c>
      <c r="AQ190">
        <v>57</v>
      </c>
      <c r="AR190">
        <v>12275</v>
      </c>
      <c r="AS190">
        <v>10000</v>
      </c>
      <c r="AT190" t="s">
        <v>13</v>
      </c>
      <c r="AU190">
        <v>0.96</v>
      </c>
      <c r="AV190">
        <v>2016</v>
      </c>
      <c r="AW190" s="1">
        <v>45763</v>
      </c>
      <c r="AX190">
        <v>13.2</v>
      </c>
      <c r="AY190" t="s">
        <v>36</v>
      </c>
      <c r="AZ190" t="s">
        <v>37</v>
      </c>
      <c r="BA190" t="s">
        <v>21</v>
      </c>
      <c r="BB190" t="s">
        <v>7</v>
      </c>
      <c r="BC190" t="s">
        <v>13</v>
      </c>
      <c r="BD190">
        <v>2</v>
      </c>
      <c r="BE190" t="s">
        <v>14</v>
      </c>
      <c r="BF190">
        <v>1.17</v>
      </c>
    </row>
    <row r="191" spans="1:58" hidden="1" x14ac:dyDescent="0.2">
      <c r="A191">
        <v>190</v>
      </c>
      <c r="B191" t="s">
        <v>0</v>
      </c>
      <c r="C191">
        <v>56</v>
      </c>
      <c r="D191" t="s">
        <v>28</v>
      </c>
      <c r="E191" t="s">
        <v>2</v>
      </c>
      <c r="F191" t="s">
        <v>15</v>
      </c>
      <c r="G191" t="s">
        <v>117</v>
      </c>
      <c r="H191" t="s">
        <v>23</v>
      </c>
      <c r="I191" t="s">
        <v>113</v>
      </c>
      <c r="J191" t="s">
        <v>123</v>
      </c>
      <c r="K191" t="s">
        <v>7</v>
      </c>
      <c r="L191">
        <v>10.8</v>
      </c>
      <c r="M191">
        <v>5.9</v>
      </c>
      <c r="N191" t="s">
        <v>8</v>
      </c>
      <c r="O191" t="s">
        <v>13</v>
      </c>
      <c r="P191" t="s">
        <v>9</v>
      </c>
      <c r="Q191">
        <v>28</v>
      </c>
      <c r="R191">
        <v>6</v>
      </c>
      <c r="S191">
        <v>24.4</v>
      </c>
      <c r="T191">
        <v>106</v>
      </c>
      <c r="U191">
        <v>85</v>
      </c>
      <c r="V191">
        <v>7939</v>
      </c>
      <c r="W191">
        <v>53.6</v>
      </c>
      <c r="X191">
        <v>4</v>
      </c>
      <c r="Y191">
        <v>2</v>
      </c>
      <c r="Z191">
        <v>12</v>
      </c>
      <c r="AA191">
        <v>3.4</v>
      </c>
      <c r="AB191">
        <v>2</v>
      </c>
      <c r="AC191">
        <v>153</v>
      </c>
      <c r="AD191">
        <v>6</v>
      </c>
      <c r="AE191">
        <v>4</v>
      </c>
      <c r="AF191">
        <v>127</v>
      </c>
      <c r="AG191">
        <v>97</v>
      </c>
      <c r="AH191">
        <v>90</v>
      </c>
      <c r="AI191">
        <v>15</v>
      </c>
      <c r="AJ191">
        <v>20</v>
      </c>
      <c r="AK191">
        <v>24</v>
      </c>
      <c r="AL191">
        <v>19</v>
      </c>
      <c r="AM191">
        <v>4</v>
      </c>
      <c r="AN191">
        <v>75</v>
      </c>
      <c r="AO191">
        <v>24</v>
      </c>
      <c r="AP191">
        <v>26</v>
      </c>
      <c r="AQ191">
        <v>31</v>
      </c>
      <c r="AR191">
        <v>1421</v>
      </c>
      <c r="AS191">
        <v>1755</v>
      </c>
      <c r="AT191" t="s">
        <v>13</v>
      </c>
      <c r="AU191">
        <v>0.55000000000000004</v>
      </c>
      <c r="AV191">
        <v>2011</v>
      </c>
      <c r="AW191" s="1">
        <v>45965</v>
      </c>
      <c r="AX191">
        <v>25.5</v>
      </c>
      <c r="AY191" t="s">
        <v>45</v>
      </c>
      <c r="AZ191" t="s">
        <v>17</v>
      </c>
      <c r="BA191" t="s">
        <v>12</v>
      </c>
      <c r="BB191" t="s">
        <v>13</v>
      </c>
      <c r="BC191" t="s">
        <v>7</v>
      </c>
      <c r="BD191">
        <v>0</v>
      </c>
      <c r="BE191" t="s">
        <v>43</v>
      </c>
      <c r="BF191">
        <v>0.86</v>
      </c>
    </row>
    <row r="192" spans="1:58" hidden="1" x14ac:dyDescent="0.2">
      <c r="A192">
        <v>191</v>
      </c>
      <c r="B192" t="s">
        <v>0</v>
      </c>
      <c r="C192">
        <v>56</v>
      </c>
      <c r="D192" t="s">
        <v>1</v>
      </c>
      <c r="E192" t="s">
        <v>17</v>
      </c>
      <c r="F192" t="s">
        <v>40</v>
      </c>
      <c r="G192" t="s">
        <v>4</v>
      </c>
      <c r="H192" t="s">
        <v>118</v>
      </c>
      <c r="I192" t="s">
        <v>112</v>
      </c>
      <c r="J192" t="s">
        <v>123</v>
      </c>
      <c r="K192" t="s">
        <v>13</v>
      </c>
      <c r="L192">
        <v>7.5</v>
      </c>
      <c r="M192">
        <v>6.6</v>
      </c>
      <c r="N192" t="s">
        <v>8</v>
      </c>
      <c r="O192" t="s">
        <v>13</v>
      </c>
      <c r="P192" t="s">
        <v>9</v>
      </c>
      <c r="Q192">
        <v>30</v>
      </c>
      <c r="R192">
        <v>7</v>
      </c>
      <c r="S192">
        <v>27.3</v>
      </c>
      <c r="T192">
        <v>99</v>
      </c>
      <c r="U192">
        <v>83</v>
      </c>
      <c r="V192">
        <v>8001</v>
      </c>
      <c r="W192">
        <v>49.8</v>
      </c>
      <c r="X192">
        <v>2</v>
      </c>
      <c r="Y192">
        <v>7</v>
      </c>
      <c r="Z192">
        <v>15</v>
      </c>
      <c r="AA192">
        <v>7.2</v>
      </c>
      <c r="AB192">
        <v>4</v>
      </c>
      <c r="AC192">
        <v>156</v>
      </c>
      <c r="AD192">
        <v>10</v>
      </c>
      <c r="AE192">
        <v>3</v>
      </c>
      <c r="AF192">
        <v>138</v>
      </c>
      <c r="AG192">
        <v>108</v>
      </c>
      <c r="AH192">
        <v>89</v>
      </c>
      <c r="AI192">
        <v>27</v>
      </c>
      <c r="AJ192">
        <v>26</v>
      </c>
      <c r="AK192">
        <v>28</v>
      </c>
      <c r="AL192">
        <v>14</v>
      </c>
      <c r="AM192">
        <v>6</v>
      </c>
      <c r="AN192">
        <v>75</v>
      </c>
      <c r="AO192">
        <v>33</v>
      </c>
      <c r="AP192">
        <v>28</v>
      </c>
      <c r="AQ192">
        <v>55</v>
      </c>
      <c r="AR192">
        <v>2169</v>
      </c>
      <c r="AS192">
        <v>1220</v>
      </c>
      <c r="AT192" t="s">
        <v>7</v>
      </c>
      <c r="AU192">
        <v>0.61</v>
      </c>
      <c r="AV192">
        <v>2021</v>
      </c>
      <c r="AW192" s="1">
        <v>45858</v>
      </c>
      <c r="AX192">
        <v>15.6</v>
      </c>
      <c r="AY192" t="s">
        <v>19</v>
      </c>
      <c r="AZ192" t="s">
        <v>31</v>
      </c>
      <c r="BA192" t="s">
        <v>12</v>
      </c>
      <c r="BB192" t="s">
        <v>7</v>
      </c>
      <c r="BC192" t="s">
        <v>7</v>
      </c>
      <c r="BD192">
        <v>3</v>
      </c>
      <c r="BE192" t="s">
        <v>14</v>
      </c>
      <c r="BF192">
        <v>0.97</v>
      </c>
    </row>
    <row r="193" spans="1:58" hidden="1" x14ac:dyDescent="0.2">
      <c r="A193">
        <v>192</v>
      </c>
      <c r="B193" t="s">
        <v>0</v>
      </c>
      <c r="C193">
        <v>32</v>
      </c>
      <c r="D193" t="s">
        <v>1</v>
      </c>
      <c r="E193" t="s">
        <v>17</v>
      </c>
      <c r="F193" t="s">
        <v>15</v>
      </c>
      <c r="G193" t="s">
        <v>16</v>
      </c>
      <c r="H193" t="s">
        <v>34</v>
      </c>
      <c r="I193" t="s">
        <v>115</v>
      </c>
      <c r="J193" t="s">
        <v>6</v>
      </c>
      <c r="K193" t="s">
        <v>7</v>
      </c>
      <c r="L193">
        <v>6.3</v>
      </c>
      <c r="M193">
        <v>7.3</v>
      </c>
      <c r="N193" t="s">
        <v>29</v>
      </c>
      <c r="O193" t="s">
        <v>7</v>
      </c>
      <c r="P193" t="s">
        <v>46</v>
      </c>
      <c r="Q193">
        <v>8</v>
      </c>
      <c r="R193">
        <v>7</v>
      </c>
      <c r="S193">
        <v>28.5</v>
      </c>
      <c r="T193">
        <v>123</v>
      </c>
      <c r="U193">
        <v>80</v>
      </c>
      <c r="V193">
        <v>8026</v>
      </c>
      <c r="W193">
        <v>42.5</v>
      </c>
      <c r="X193">
        <v>5</v>
      </c>
      <c r="Y193">
        <v>6</v>
      </c>
      <c r="Z193">
        <v>9</v>
      </c>
      <c r="AA193">
        <v>1.8</v>
      </c>
      <c r="AB193">
        <v>2</v>
      </c>
      <c r="AC193">
        <v>120</v>
      </c>
      <c r="AD193">
        <v>3</v>
      </c>
      <c r="AE193">
        <v>3</v>
      </c>
      <c r="AF193">
        <v>115</v>
      </c>
      <c r="AG193">
        <v>75</v>
      </c>
      <c r="AH193">
        <v>77</v>
      </c>
      <c r="AI193">
        <v>26</v>
      </c>
      <c r="AJ193">
        <v>20</v>
      </c>
      <c r="AK193">
        <v>24</v>
      </c>
      <c r="AL193">
        <v>16</v>
      </c>
      <c r="AM193">
        <v>6</v>
      </c>
      <c r="AN193">
        <v>63</v>
      </c>
      <c r="AO193">
        <v>28</v>
      </c>
      <c r="AP193">
        <v>27</v>
      </c>
      <c r="AQ193">
        <v>25</v>
      </c>
      <c r="AR193">
        <v>4308</v>
      </c>
      <c r="AS193">
        <v>2179</v>
      </c>
      <c r="AT193" t="s">
        <v>7</v>
      </c>
      <c r="AU193">
        <v>0.16</v>
      </c>
      <c r="AV193">
        <v>2020</v>
      </c>
      <c r="AW193" s="1">
        <v>45839</v>
      </c>
      <c r="AX193">
        <v>40</v>
      </c>
      <c r="AY193" t="s">
        <v>27</v>
      </c>
      <c r="AZ193" t="s">
        <v>37</v>
      </c>
      <c r="BA193" t="s">
        <v>21</v>
      </c>
      <c r="BB193" t="s">
        <v>13</v>
      </c>
      <c r="BC193" t="s">
        <v>13</v>
      </c>
      <c r="BD193">
        <v>4</v>
      </c>
      <c r="BE193" t="s">
        <v>14</v>
      </c>
      <c r="BF193">
        <v>1.1399999999999999</v>
      </c>
    </row>
    <row r="194" spans="1:58" hidden="1" x14ac:dyDescent="0.2">
      <c r="A194">
        <v>193</v>
      </c>
      <c r="B194" t="s">
        <v>0</v>
      </c>
      <c r="C194">
        <v>42</v>
      </c>
      <c r="D194" t="s">
        <v>1</v>
      </c>
      <c r="E194" t="s">
        <v>50</v>
      </c>
      <c r="F194" t="s">
        <v>40</v>
      </c>
      <c r="G194" t="s">
        <v>38</v>
      </c>
      <c r="H194" t="s">
        <v>118</v>
      </c>
      <c r="I194" t="s">
        <v>114</v>
      </c>
      <c r="J194" t="s">
        <v>6</v>
      </c>
      <c r="K194" t="s">
        <v>7</v>
      </c>
      <c r="L194">
        <v>6.5</v>
      </c>
      <c r="M194">
        <v>8.3000000000000007</v>
      </c>
      <c r="N194" t="s">
        <v>8</v>
      </c>
      <c r="O194" t="s">
        <v>7</v>
      </c>
      <c r="P194" t="s">
        <v>26</v>
      </c>
      <c r="Q194">
        <v>31</v>
      </c>
      <c r="R194">
        <v>7</v>
      </c>
      <c r="S194">
        <v>22.5</v>
      </c>
      <c r="T194">
        <v>109</v>
      </c>
      <c r="U194">
        <v>77</v>
      </c>
      <c r="V194">
        <v>7866</v>
      </c>
      <c r="W194">
        <v>48.3</v>
      </c>
      <c r="X194">
        <v>4</v>
      </c>
      <c r="Y194">
        <v>5</v>
      </c>
      <c r="Z194">
        <v>7</v>
      </c>
      <c r="AA194">
        <v>6.4</v>
      </c>
      <c r="AB194">
        <v>4</v>
      </c>
      <c r="AC194">
        <v>288</v>
      </c>
      <c r="AD194">
        <v>12</v>
      </c>
      <c r="AE194">
        <v>9</v>
      </c>
      <c r="AF194">
        <v>217</v>
      </c>
      <c r="AG194">
        <v>143</v>
      </c>
      <c r="AH194">
        <v>165</v>
      </c>
      <c r="AI194">
        <v>48</v>
      </c>
      <c r="AJ194">
        <v>40</v>
      </c>
      <c r="AK194">
        <v>42</v>
      </c>
      <c r="AL194">
        <v>23</v>
      </c>
      <c r="AM194">
        <v>7</v>
      </c>
      <c r="AN194">
        <v>126</v>
      </c>
      <c r="AO194">
        <v>67</v>
      </c>
      <c r="AP194">
        <v>44</v>
      </c>
      <c r="AQ194">
        <v>80</v>
      </c>
      <c r="AR194">
        <v>1176</v>
      </c>
      <c r="AS194">
        <v>2765</v>
      </c>
      <c r="AT194" t="s">
        <v>13</v>
      </c>
      <c r="AU194">
        <v>0.57999999999999996</v>
      </c>
      <c r="AV194">
        <v>2022</v>
      </c>
      <c r="AW194" s="1">
        <v>45712</v>
      </c>
      <c r="AX194">
        <v>24</v>
      </c>
      <c r="AY194" t="s">
        <v>45</v>
      </c>
      <c r="AZ194" t="s">
        <v>37</v>
      </c>
      <c r="BA194" t="s">
        <v>122</v>
      </c>
      <c r="BB194" t="s">
        <v>13</v>
      </c>
      <c r="BC194" t="s">
        <v>13</v>
      </c>
      <c r="BD194">
        <v>1</v>
      </c>
      <c r="BE194" t="s">
        <v>49</v>
      </c>
      <c r="BF194">
        <v>1</v>
      </c>
    </row>
    <row r="195" spans="1:58" hidden="1" x14ac:dyDescent="0.2">
      <c r="A195">
        <v>194</v>
      </c>
      <c r="B195" t="s">
        <v>0</v>
      </c>
      <c r="C195">
        <v>23</v>
      </c>
      <c r="D195" t="s">
        <v>1</v>
      </c>
      <c r="E195" t="s">
        <v>50</v>
      </c>
      <c r="F195" t="s">
        <v>15</v>
      </c>
      <c r="G195" t="s">
        <v>16</v>
      </c>
      <c r="H195" t="s">
        <v>119</v>
      </c>
      <c r="I195" t="s">
        <v>115</v>
      </c>
      <c r="J195" t="s">
        <v>32</v>
      </c>
      <c r="K195" t="s">
        <v>7</v>
      </c>
      <c r="L195">
        <v>8.4</v>
      </c>
      <c r="M195">
        <v>7.8</v>
      </c>
      <c r="N195" t="s">
        <v>120</v>
      </c>
      <c r="O195" t="s">
        <v>7</v>
      </c>
      <c r="P195" t="s">
        <v>9</v>
      </c>
      <c r="Q195">
        <v>31</v>
      </c>
      <c r="R195">
        <v>9</v>
      </c>
      <c r="S195">
        <v>21.4</v>
      </c>
      <c r="T195">
        <v>157</v>
      </c>
      <c r="U195">
        <v>95</v>
      </c>
      <c r="V195">
        <v>8159</v>
      </c>
      <c r="W195">
        <v>21.7</v>
      </c>
      <c r="X195">
        <v>3</v>
      </c>
      <c r="Y195">
        <v>4</v>
      </c>
      <c r="Z195">
        <v>8</v>
      </c>
      <c r="AA195">
        <v>1</v>
      </c>
      <c r="AB195">
        <v>1</v>
      </c>
      <c r="AC195">
        <v>275</v>
      </c>
      <c r="AD195">
        <v>15</v>
      </c>
      <c r="AE195">
        <v>4</v>
      </c>
      <c r="AF195">
        <v>300</v>
      </c>
      <c r="AG195">
        <v>140</v>
      </c>
      <c r="AH195">
        <v>159</v>
      </c>
      <c r="AI195">
        <v>41</v>
      </c>
      <c r="AJ195">
        <v>32</v>
      </c>
      <c r="AK195">
        <v>45</v>
      </c>
      <c r="AL195">
        <v>23</v>
      </c>
      <c r="AM195">
        <v>5</v>
      </c>
      <c r="AN195">
        <v>155</v>
      </c>
      <c r="AO195">
        <v>66</v>
      </c>
      <c r="AP195">
        <v>67</v>
      </c>
      <c r="AQ195">
        <v>59</v>
      </c>
      <c r="AR195">
        <v>298</v>
      </c>
      <c r="AS195">
        <v>301</v>
      </c>
      <c r="AT195" t="s">
        <v>13</v>
      </c>
      <c r="AU195">
        <v>0</v>
      </c>
      <c r="AV195">
        <v>2013</v>
      </c>
      <c r="AW195" s="1">
        <v>45783</v>
      </c>
      <c r="AX195">
        <v>18.3</v>
      </c>
      <c r="AY195" t="s">
        <v>10</v>
      </c>
      <c r="AZ195" t="s">
        <v>17</v>
      </c>
      <c r="BA195" t="s">
        <v>21</v>
      </c>
      <c r="BB195" t="s">
        <v>13</v>
      </c>
      <c r="BC195" t="s">
        <v>7</v>
      </c>
      <c r="BD195">
        <v>2</v>
      </c>
      <c r="BE195" t="s">
        <v>14</v>
      </c>
      <c r="BF195">
        <v>0.92</v>
      </c>
    </row>
    <row r="196" spans="1:58" hidden="1" x14ac:dyDescent="0.2">
      <c r="A196">
        <v>195</v>
      </c>
      <c r="B196" t="s">
        <v>0</v>
      </c>
      <c r="C196">
        <v>40</v>
      </c>
      <c r="D196" t="s">
        <v>1</v>
      </c>
      <c r="E196" t="s">
        <v>128</v>
      </c>
      <c r="F196" t="s">
        <v>15</v>
      </c>
      <c r="G196" t="s">
        <v>4</v>
      </c>
      <c r="H196" t="s">
        <v>118</v>
      </c>
      <c r="I196" t="s">
        <v>114</v>
      </c>
      <c r="J196" t="s">
        <v>6</v>
      </c>
      <c r="K196" t="s">
        <v>13</v>
      </c>
      <c r="L196">
        <v>4.5</v>
      </c>
      <c r="M196">
        <v>7.4</v>
      </c>
      <c r="N196" t="s">
        <v>120</v>
      </c>
      <c r="O196" t="s">
        <v>13</v>
      </c>
      <c r="P196" t="s">
        <v>9</v>
      </c>
      <c r="Q196">
        <v>38</v>
      </c>
      <c r="R196">
        <v>7</v>
      </c>
      <c r="S196">
        <v>30.4</v>
      </c>
      <c r="T196">
        <v>95</v>
      </c>
      <c r="U196">
        <v>84</v>
      </c>
      <c r="V196">
        <v>7938</v>
      </c>
      <c r="W196">
        <v>45.2</v>
      </c>
      <c r="X196">
        <v>4</v>
      </c>
      <c r="Y196">
        <v>6</v>
      </c>
      <c r="Z196">
        <v>17</v>
      </c>
      <c r="AA196">
        <v>2.8</v>
      </c>
      <c r="AB196">
        <v>0</v>
      </c>
      <c r="AC196">
        <v>310</v>
      </c>
      <c r="AD196">
        <v>9</v>
      </c>
      <c r="AE196">
        <v>9</v>
      </c>
      <c r="AF196">
        <v>229</v>
      </c>
      <c r="AG196">
        <v>150</v>
      </c>
      <c r="AH196">
        <v>193</v>
      </c>
      <c r="AI196">
        <v>60</v>
      </c>
      <c r="AJ196">
        <v>40</v>
      </c>
      <c r="AK196">
        <v>39</v>
      </c>
      <c r="AL196">
        <v>37</v>
      </c>
      <c r="AM196">
        <v>7</v>
      </c>
      <c r="AN196">
        <v>182</v>
      </c>
      <c r="AO196">
        <v>78</v>
      </c>
      <c r="AP196">
        <v>74</v>
      </c>
      <c r="AQ196">
        <v>96</v>
      </c>
      <c r="AR196">
        <v>14109</v>
      </c>
      <c r="AS196">
        <v>10000</v>
      </c>
      <c r="AT196" t="s">
        <v>7</v>
      </c>
      <c r="AU196">
        <v>0.1</v>
      </c>
      <c r="AV196">
        <v>2010</v>
      </c>
      <c r="AW196" s="1">
        <v>45886</v>
      </c>
      <c r="AX196">
        <v>34.4</v>
      </c>
      <c r="AY196" t="s">
        <v>45</v>
      </c>
      <c r="AZ196" t="s">
        <v>35</v>
      </c>
      <c r="BA196" t="s">
        <v>21</v>
      </c>
      <c r="BB196" t="s">
        <v>7</v>
      </c>
      <c r="BC196" t="s">
        <v>13</v>
      </c>
      <c r="BD196">
        <v>1</v>
      </c>
      <c r="BE196" t="s">
        <v>14</v>
      </c>
      <c r="BF196">
        <v>1.0900000000000001</v>
      </c>
    </row>
    <row r="197" spans="1:58" hidden="1" x14ac:dyDescent="0.2">
      <c r="A197">
        <v>196</v>
      </c>
      <c r="B197" t="s">
        <v>0</v>
      </c>
      <c r="C197">
        <v>37</v>
      </c>
      <c r="D197" t="s">
        <v>1</v>
      </c>
      <c r="E197" t="s">
        <v>128</v>
      </c>
      <c r="F197" t="s">
        <v>15</v>
      </c>
      <c r="G197" t="s">
        <v>4</v>
      </c>
      <c r="H197" t="s">
        <v>24</v>
      </c>
      <c r="I197" t="s">
        <v>114</v>
      </c>
      <c r="J197" t="s">
        <v>123</v>
      </c>
      <c r="K197" t="s">
        <v>13</v>
      </c>
      <c r="L197">
        <v>4.9000000000000004</v>
      </c>
      <c r="M197">
        <v>7.7</v>
      </c>
      <c r="N197" t="s">
        <v>29</v>
      </c>
      <c r="O197" t="s">
        <v>41</v>
      </c>
      <c r="P197" t="s">
        <v>9</v>
      </c>
      <c r="Q197">
        <v>36</v>
      </c>
      <c r="R197">
        <v>10</v>
      </c>
      <c r="S197">
        <v>28.4</v>
      </c>
      <c r="T197">
        <v>107</v>
      </c>
      <c r="U197">
        <v>95</v>
      </c>
      <c r="V197">
        <v>8046</v>
      </c>
      <c r="W197">
        <v>41.4</v>
      </c>
      <c r="X197">
        <v>3</v>
      </c>
      <c r="Y197">
        <v>1</v>
      </c>
      <c r="Z197">
        <v>10</v>
      </c>
      <c r="AA197">
        <v>3.4</v>
      </c>
      <c r="AB197">
        <v>7</v>
      </c>
      <c r="AC197">
        <v>253</v>
      </c>
      <c r="AD197">
        <v>14</v>
      </c>
      <c r="AE197">
        <v>4</v>
      </c>
      <c r="AF197">
        <v>192</v>
      </c>
      <c r="AG197">
        <v>139</v>
      </c>
      <c r="AH197">
        <v>156</v>
      </c>
      <c r="AI197">
        <v>41</v>
      </c>
      <c r="AJ197">
        <v>46</v>
      </c>
      <c r="AK197">
        <v>46</v>
      </c>
      <c r="AL197">
        <v>24</v>
      </c>
      <c r="AM197">
        <v>8</v>
      </c>
      <c r="AN197">
        <v>127</v>
      </c>
      <c r="AO197">
        <v>29</v>
      </c>
      <c r="AP197">
        <v>50</v>
      </c>
      <c r="AQ197">
        <v>92</v>
      </c>
      <c r="AR197">
        <v>4014</v>
      </c>
      <c r="AS197">
        <v>7571</v>
      </c>
      <c r="AT197" t="s">
        <v>13</v>
      </c>
      <c r="AU197">
        <v>0.71</v>
      </c>
      <c r="AV197">
        <v>2019</v>
      </c>
      <c r="AW197" s="1">
        <v>45730</v>
      </c>
      <c r="AX197">
        <v>18.100000000000001</v>
      </c>
      <c r="AY197" t="s">
        <v>36</v>
      </c>
      <c r="AZ197" t="s">
        <v>48</v>
      </c>
      <c r="BA197" t="s">
        <v>21</v>
      </c>
      <c r="BB197" t="s">
        <v>13</v>
      </c>
      <c r="BC197" t="s">
        <v>13</v>
      </c>
      <c r="BD197">
        <v>1</v>
      </c>
      <c r="BE197" t="s">
        <v>43</v>
      </c>
      <c r="BF197">
        <v>0.98</v>
      </c>
    </row>
    <row r="198" spans="1:58" hidden="1" x14ac:dyDescent="0.2">
      <c r="A198">
        <v>197</v>
      </c>
      <c r="B198" t="s">
        <v>0</v>
      </c>
      <c r="C198">
        <v>51</v>
      </c>
      <c r="D198" t="s">
        <v>1</v>
      </c>
      <c r="E198" t="s">
        <v>50</v>
      </c>
      <c r="F198" t="s">
        <v>15</v>
      </c>
      <c r="G198" t="s">
        <v>16</v>
      </c>
      <c r="H198" t="s">
        <v>34</v>
      </c>
      <c r="I198" t="s">
        <v>112</v>
      </c>
      <c r="J198" t="s">
        <v>123</v>
      </c>
      <c r="K198" t="s">
        <v>13</v>
      </c>
      <c r="L198">
        <v>4.8</v>
      </c>
      <c r="M198">
        <v>6.7</v>
      </c>
      <c r="N198" t="s">
        <v>8</v>
      </c>
      <c r="O198" t="s">
        <v>7</v>
      </c>
      <c r="P198" t="s">
        <v>121</v>
      </c>
      <c r="Q198">
        <v>12</v>
      </c>
      <c r="R198">
        <v>5</v>
      </c>
      <c r="S198">
        <v>25.7</v>
      </c>
      <c r="T198">
        <v>97</v>
      </c>
      <c r="U198">
        <v>97</v>
      </c>
      <c r="V198">
        <v>8032</v>
      </c>
      <c r="W198">
        <v>47.5</v>
      </c>
      <c r="X198">
        <v>3</v>
      </c>
      <c r="Y198">
        <v>6</v>
      </c>
      <c r="Z198">
        <v>9</v>
      </c>
      <c r="AA198">
        <v>2.7</v>
      </c>
      <c r="AB198">
        <v>3</v>
      </c>
      <c r="AC198">
        <v>103</v>
      </c>
      <c r="AD198">
        <v>6</v>
      </c>
      <c r="AE198">
        <v>7</v>
      </c>
      <c r="AF198">
        <v>77</v>
      </c>
      <c r="AG198">
        <v>78</v>
      </c>
      <c r="AH198">
        <v>72</v>
      </c>
      <c r="AI198">
        <v>24</v>
      </c>
      <c r="AJ198">
        <v>26</v>
      </c>
      <c r="AK198">
        <v>23</v>
      </c>
      <c r="AL198">
        <v>13</v>
      </c>
      <c r="AM198">
        <v>3</v>
      </c>
      <c r="AN198">
        <v>46</v>
      </c>
      <c r="AO198">
        <v>20</v>
      </c>
      <c r="AP198">
        <v>22</v>
      </c>
      <c r="AQ198">
        <v>31</v>
      </c>
      <c r="AR198">
        <v>1246</v>
      </c>
      <c r="AS198">
        <v>999</v>
      </c>
      <c r="AT198" t="s">
        <v>7</v>
      </c>
      <c r="AU198">
        <v>0.96</v>
      </c>
      <c r="AV198">
        <v>2023</v>
      </c>
      <c r="AW198" s="1">
        <v>45862</v>
      </c>
      <c r="AX198">
        <v>17.2</v>
      </c>
      <c r="AY198" t="s">
        <v>30</v>
      </c>
      <c r="AZ198" t="s">
        <v>20</v>
      </c>
      <c r="BA198" t="s">
        <v>12</v>
      </c>
      <c r="BB198" t="s">
        <v>7</v>
      </c>
      <c r="BC198" t="s">
        <v>13</v>
      </c>
      <c r="BD198">
        <v>1</v>
      </c>
      <c r="BE198" t="s">
        <v>14</v>
      </c>
      <c r="BF198">
        <v>1.36</v>
      </c>
    </row>
    <row r="199" spans="1:58" hidden="1" x14ac:dyDescent="0.2">
      <c r="A199">
        <v>198</v>
      </c>
      <c r="B199" t="s">
        <v>0</v>
      </c>
      <c r="C199">
        <v>45</v>
      </c>
      <c r="D199" t="s">
        <v>1</v>
      </c>
      <c r="E199" t="s">
        <v>127</v>
      </c>
      <c r="F199" t="s">
        <v>40</v>
      </c>
      <c r="G199" t="s">
        <v>38</v>
      </c>
      <c r="H199" t="s">
        <v>23</v>
      </c>
      <c r="I199" t="s">
        <v>115</v>
      </c>
      <c r="J199" t="s">
        <v>32</v>
      </c>
      <c r="K199" t="s">
        <v>13</v>
      </c>
      <c r="L199">
        <v>3.2</v>
      </c>
      <c r="M199">
        <v>7.7</v>
      </c>
      <c r="N199" t="s">
        <v>29</v>
      </c>
      <c r="O199" t="s">
        <v>7</v>
      </c>
      <c r="P199" t="s">
        <v>9</v>
      </c>
      <c r="Q199">
        <v>35</v>
      </c>
      <c r="R199">
        <v>7</v>
      </c>
      <c r="S199">
        <v>24.5</v>
      </c>
      <c r="T199">
        <v>109</v>
      </c>
      <c r="U199">
        <v>79</v>
      </c>
      <c r="V199">
        <v>8001</v>
      </c>
      <c r="W199">
        <v>36.4</v>
      </c>
      <c r="X199">
        <v>4</v>
      </c>
      <c r="Y199">
        <v>3</v>
      </c>
      <c r="Z199">
        <v>6</v>
      </c>
      <c r="AA199">
        <v>5.4</v>
      </c>
      <c r="AB199">
        <v>2</v>
      </c>
      <c r="AC199">
        <v>275</v>
      </c>
      <c r="AD199">
        <v>27</v>
      </c>
      <c r="AE199">
        <v>7</v>
      </c>
      <c r="AF199">
        <v>213</v>
      </c>
      <c r="AG199">
        <v>124</v>
      </c>
      <c r="AH199">
        <v>149</v>
      </c>
      <c r="AI199">
        <v>59</v>
      </c>
      <c r="AJ199">
        <v>38</v>
      </c>
      <c r="AK199">
        <v>31</v>
      </c>
      <c r="AL199">
        <v>29</v>
      </c>
      <c r="AM199">
        <v>6</v>
      </c>
      <c r="AN199">
        <v>136</v>
      </c>
      <c r="AO199">
        <v>80</v>
      </c>
      <c r="AP199">
        <v>49</v>
      </c>
      <c r="AQ199">
        <v>81</v>
      </c>
      <c r="AR199">
        <v>74</v>
      </c>
      <c r="AS199">
        <v>60</v>
      </c>
      <c r="AT199" t="s">
        <v>7</v>
      </c>
      <c r="AU199">
        <v>0.69</v>
      </c>
      <c r="AV199">
        <v>2018</v>
      </c>
      <c r="AW199" s="1">
        <v>46020</v>
      </c>
      <c r="AX199">
        <v>10.199999999999999</v>
      </c>
      <c r="AY199" t="s">
        <v>10</v>
      </c>
      <c r="AZ199" t="s">
        <v>37</v>
      </c>
      <c r="BA199" t="s">
        <v>12</v>
      </c>
      <c r="BB199" t="s">
        <v>7</v>
      </c>
      <c r="BC199" t="s">
        <v>13</v>
      </c>
      <c r="BD199">
        <v>1</v>
      </c>
      <c r="BE199" t="s">
        <v>43</v>
      </c>
      <c r="BF199">
        <v>1.04</v>
      </c>
    </row>
    <row r="200" spans="1:58" hidden="1" x14ac:dyDescent="0.2">
      <c r="A200">
        <v>199</v>
      </c>
      <c r="B200" t="s">
        <v>0</v>
      </c>
      <c r="C200">
        <v>13</v>
      </c>
      <c r="D200" t="s">
        <v>28</v>
      </c>
      <c r="E200" t="s">
        <v>22</v>
      </c>
      <c r="F200" t="s">
        <v>40</v>
      </c>
      <c r="G200" t="s">
        <v>116</v>
      </c>
      <c r="H200" t="s">
        <v>24</v>
      </c>
      <c r="I200" t="s">
        <v>115</v>
      </c>
      <c r="J200" t="s">
        <v>32</v>
      </c>
      <c r="K200" t="s">
        <v>7</v>
      </c>
      <c r="L200">
        <v>8.8000000000000007</v>
      </c>
      <c r="M200">
        <v>4.5999999999999996</v>
      </c>
      <c r="N200" t="s">
        <v>25</v>
      </c>
      <c r="O200" t="s">
        <v>7</v>
      </c>
      <c r="P200" t="s">
        <v>46</v>
      </c>
      <c r="Q200">
        <v>0</v>
      </c>
      <c r="R200">
        <v>9</v>
      </c>
      <c r="S200">
        <v>27.4</v>
      </c>
      <c r="T200">
        <v>103</v>
      </c>
      <c r="U200">
        <v>66</v>
      </c>
      <c r="V200">
        <v>7955</v>
      </c>
      <c r="W200">
        <v>36</v>
      </c>
      <c r="X200">
        <v>5</v>
      </c>
      <c r="Y200">
        <v>6</v>
      </c>
      <c r="Z200">
        <v>10</v>
      </c>
      <c r="AA200">
        <v>7.5</v>
      </c>
      <c r="AB200">
        <v>3</v>
      </c>
      <c r="AC200">
        <v>5</v>
      </c>
      <c r="AD200">
        <v>1</v>
      </c>
      <c r="AE200">
        <v>11</v>
      </c>
      <c r="AF200">
        <v>111</v>
      </c>
      <c r="AG200">
        <v>36</v>
      </c>
      <c r="AH200">
        <v>22</v>
      </c>
      <c r="AI200">
        <v>1</v>
      </c>
      <c r="AJ200">
        <v>13</v>
      </c>
      <c r="AK200">
        <v>15</v>
      </c>
      <c r="AL200">
        <v>6</v>
      </c>
      <c r="AM200">
        <v>0</v>
      </c>
      <c r="AN200">
        <v>3</v>
      </c>
      <c r="AO200">
        <v>1</v>
      </c>
      <c r="AP200">
        <v>1</v>
      </c>
      <c r="AQ200">
        <v>1</v>
      </c>
      <c r="AR200">
        <v>2542</v>
      </c>
      <c r="AS200">
        <v>4423</v>
      </c>
      <c r="AT200" t="s">
        <v>7</v>
      </c>
      <c r="AU200">
        <v>0.66</v>
      </c>
      <c r="AV200">
        <v>2014</v>
      </c>
      <c r="AW200" s="1">
        <v>45690</v>
      </c>
      <c r="AX200">
        <v>5</v>
      </c>
      <c r="AY200" t="s">
        <v>19</v>
      </c>
      <c r="AZ200" t="s">
        <v>51</v>
      </c>
      <c r="BA200" t="s">
        <v>122</v>
      </c>
      <c r="BB200" t="s">
        <v>13</v>
      </c>
      <c r="BC200" t="s">
        <v>7</v>
      </c>
      <c r="BD200">
        <v>4</v>
      </c>
      <c r="BE200" t="s">
        <v>49</v>
      </c>
      <c r="BF200">
        <v>9.5</v>
      </c>
    </row>
    <row r="201" spans="1:58" hidden="1" x14ac:dyDescent="0.2">
      <c r="A201">
        <v>200</v>
      </c>
      <c r="B201" t="s">
        <v>0</v>
      </c>
      <c r="C201">
        <v>39</v>
      </c>
      <c r="D201" t="s">
        <v>1</v>
      </c>
      <c r="E201" t="s">
        <v>17</v>
      </c>
      <c r="F201" t="s">
        <v>3</v>
      </c>
      <c r="G201" t="s">
        <v>116</v>
      </c>
      <c r="H201" t="s">
        <v>23</v>
      </c>
      <c r="I201" t="s">
        <v>112</v>
      </c>
      <c r="J201" t="s">
        <v>123</v>
      </c>
      <c r="K201" t="s">
        <v>7</v>
      </c>
      <c r="L201">
        <v>12.9</v>
      </c>
      <c r="M201">
        <v>5.0999999999999996</v>
      </c>
      <c r="N201" t="s">
        <v>29</v>
      </c>
      <c r="O201" t="s">
        <v>7</v>
      </c>
      <c r="P201" t="s">
        <v>121</v>
      </c>
      <c r="Q201">
        <v>16</v>
      </c>
      <c r="R201">
        <v>9</v>
      </c>
      <c r="S201">
        <v>26.2</v>
      </c>
      <c r="T201">
        <v>130</v>
      </c>
      <c r="U201">
        <v>73</v>
      </c>
      <c r="V201">
        <v>8036</v>
      </c>
      <c r="W201">
        <v>49.5</v>
      </c>
      <c r="X201">
        <v>1</v>
      </c>
      <c r="Y201">
        <v>8</v>
      </c>
      <c r="Z201">
        <v>11</v>
      </c>
      <c r="AA201">
        <v>7.3</v>
      </c>
      <c r="AB201">
        <v>2</v>
      </c>
      <c r="AC201">
        <v>104</v>
      </c>
      <c r="AD201">
        <v>5</v>
      </c>
      <c r="AE201">
        <v>1</v>
      </c>
      <c r="AF201">
        <v>107</v>
      </c>
      <c r="AG201">
        <v>76</v>
      </c>
      <c r="AH201">
        <v>70</v>
      </c>
      <c r="AI201">
        <v>21</v>
      </c>
      <c r="AJ201">
        <v>18</v>
      </c>
      <c r="AK201">
        <v>23</v>
      </c>
      <c r="AL201">
        <v>13</v>
      </c>
      <c r="AM201">
        <v>2</v>
      </c>
      <c r="AN201">
        <v>61</v>
      </c>
      <c r="AO201">
        <v>23</v>
      </c>
      <c r="AP201">
        <v>17</v>
      </c>
      <c r="AQ201">
        <v>29</v>
      </c>
      <c r="AR201">
        <v>3057</v>
      </c>
      <c r="AS201">
        <v>5935</v>
      </c>
      <c r="AT201" t="s">
        <v>7</v>
      </c>
      <c r="AU201">
        <v>0.79</v>
      </c>
      <c r="AV201">
        <v>2022</v>
      </c>
      <c r="AW201" s="1">
        <v>46012</v>
      </c>
      <c r="AX201">
        <v>20.8</v>
      </c>
      <c r="AY201" t="s">
        <v>30</v>
      </c>
      <c r="AZ201" t="s">
        <v>31</v>
      </c>
      <c r="BA201" t="s">
        <v>21</v>
      </c>
      <c r="BB201" t="s">
        <v>13</v>
      </c>
      <c r="BC201" t="s">
        <v>13</v>
      </c>
      <c r="BD201">
        <v>1</v>
      </c>
      <c r="BE201" t="s">
        <v>14</v>
      </c>
      <c r="BF201">
        <v>1.1000000000000001</v>
      </c>
    </row>
    <row r="202" spans="1:58" hidden="1" x14ac:dyDescent="0.2">
      <c r="A202">
        <v>201</v>
      </c>
      <c r="B202" t="s">
        <v>0</v>
      </c>
      <c r="C202">
        <v>64</v>
      </c>
      <c r="D202" t="s">
        <v>1</v>
      </c>
      <c r="E202" t="s">
        <v>128</v>
      </c>
      <c r="F202" t="s">
        <v>3</v>
      </c>
      <c r="G202" t="s">
        <v>4</v>
      </c>
      <c r="H202" t="s">
        <v>119</v>
      </c>
      <c r="I202" t="s">
        <v>17</v>
      </c>
      <c r="J202" t="s">
        <v>123</v>
      </c>
      <c r="K202" t="s">
        <v>7</v>
      </c>
      <c r="L202">
        <v>5</v>
      </c>
      <c r="M202">
        <v>6.7</v>
      </c>
      <c r="N202" t="s">
        <v>120</v>
      </c>
      <c r="O202" t="s">
        <v>13</v>
      </c>
      <c r="P202" t="s">
        <v>46</v>
      </c>
      <c r="Q202">
        <v>19</v>
      </c>
      <c r="R202">
        <v>4</v>
      </c>
      <c r="S202">
        <v>28.3</v>
      </c>
      <c r="T202">
        <v>141</v>
      </c>
      <c r="U202">
        <v>83</v>
      </c>
      <c r="V202">
        <v>8056</v>
      </c>
      <c r="W202">
        <v>31.5</v>
      </c>
      <c r="X202">
        <v>3</v>
      </c>
      <c r="Y202">
        <v>2</v>
      </c>
      <c r="Z202">
        <v>9</v>
      </c>
      <c r="AA202">
        <v>2</v>
      </c>
      <c r="AB202">
        <v>3</v>
      </c>
      <c r="AC202">
        <v>188</v>
      </c>
      <c r="AD202">
        <v>6</v>
      </c>
      <c r="AE202">
        <v>6</v>
      </c>
      <c r="AF202">
        <v>142</v>
      </c>
      <c r="AG202">
        <v>105</v>
      </c>
      <c r="AH202">
        <v>117</v>
      </c>
      <c r="AI202">
        <v>39</v>
      </c>
      <c r="AJ202">
        <v>24</v>
      </c>
      <c r="AK202">
        <v>26</v>
      </c>
      <c r="AL202">
        <v>24</v>
      </c>
      <c r="AM202">
        <v>5</v>
      </c>
      <c r="AN202">
        <v>110</v>
      </c>
      <c r="AO202">
        <v>49</v>
      </c>
      <c r="AP202">
        <v>34</v>
      </c>
      <c r="AQ202">
        <v>42</v>
      </c>
      <c r="AR202">
        <v>844</v>
      </c>
      <c r="AS202">
        <v>458</v>
      </c>
      <c r="AT202" t="s">
        <v>7</v>
      </c>
      <c r="AU202">
        <v>0.28999999999999998</v>
      </c>
      <c r="AV202">
        <v>2023</v>
      </c>
      <c r="AW202" s="1">
        <v>46019</v>
      </c>
      <c r="AX202">
        <v>31.3</v>
      </c>
      <c r="AY202" t="s">
        <v>27</v>
      </c>
      <c r="AZ202" t="s">
        <v>17</v>
      </c>
      <c r="BA202" t="s">
        <v>21</v>
      </c>
      <c r="BB202" t="s">
        <v>13</v>
      </c>
      <c r="BC202" t="s">
        <v>13</v>
      </c>
      <c r="BD202">
        <v>1</v>
      </c>
      <c r="BE202" t="s">
        <v>14</v>
      </c>
      <c r="BF202">
        <v>1.1299999999999999</v>
      </c>
    </row>
    <row r="203" spans="1:58" hidden="1" x14ac:dyDescent="0.2">
      <c r="A203">
        <v>202</v>
      </c>
      <c r="B203" t="s">
        <v>0</v>
      </c>
      <c r="C203">
        <v>25</v>
      </c>
      <c r="D203" t="s">
        <v>1</v>
      </c>
      <c r="E203" t="s">
        <v>2</v>
      </c>
      <c r="F203" t="s">
        <v>15</v>
      </c>
      <c r="G203" t="s">
        <v>38</v>
      </c>
      <c r="H203" t="s">
        <v>118</v>
      </c>
      <c r="I203" t="s">
        <v>112</v>
      </c>
      <c r="J203" t="s">
        <v>32</v>
      </c>
      <c r="K203" t="s">
        <v>13</v>
      </c>
      <c r="L203">
        <v>7.1</v>
      </c>
      <c r="M203">
        <v>7.4</v>
      </c>
      <c r="N203" t="s">
        <v>39</v>
      </c>
      <c r="O203" t="s">
        <v>7</v>
      </c>
      <c r="P203" t="s">
        <v>9</v>
      </c>
      <c r="Q203">
        <v>22</v>
      </c>
      <c r="R203">
        <v>3</v>
      </c>
      <c r="S203">
        <v>25.5</v>
      </c>
      <c r="T203">
        <v>149</v>
      </c>
      <c r="U203">
        <v>89</v>
      </c>
      <c r="V203">
        <v>8043</v>
      </c>
      <c r="W203">
        <v>42.6</v>
      </c>
      <c r="X203">
        <v>1</v>
      </c>
      <c r="Y203">
        <v>4</v>
      </c>
      <c r="Z203">
        <v>10</v>
      </c>
      <c r="AA203">
        <v>5.0999999999999996</v>
      </c>
      <c r="AB203">
        <v>5</v>
      </c>
      <c r="AC203">
        <v>234</v>
      </c>
      <c r="AD203">
        <v>8</v>
      </c>
      <c r="AE203">
        <v>10</v>
      </c>
      <c r="AF203">
        <v>248</v>
      </c>
      <c r="AG203">
        <v>123</v>
      </c>
      <c r="AH203">
        <v>123</v>
      </c>
      <c r="AI203">
        <v>40</v>
      </c>
      <c r="AJ203">
        <v>34</v>
      </c>
      <c r="AK203">
        <v>34</v>
      </c>
      <c r="AL203">
        <v>22</v>
      </c>
      <c r="AM203">
        <v>4</v>
      </c>
      <c r="AN203">
        <v>111</v>
      </c>
      <c r="AO203">
        <v>53</v>
      </c>
      <c r="AP203">
        <v>34</v>
      </c>
      <c r="AQ203">
        <v>56</v>
      </c>
      <c r="AR203">
        <v>588</v>
      </c>
      <c r="AS203">
        <v>1380</v>
      </c>
      <c r="AT203" t="s">
        <v>7</v>
      </c>
      <c r="AU203">
        <v>0.32</v>
      </c>
      <c r="AV203">
        <v>2025</v>
      </c>
      <c r="AW203" s="1">
        <v>45889</v>
      </c>
      <c r="AX203">
        <v>29.2</v>
      </c>
      <c r="AY203" t="s">
        <v>45</v>
      </c>
      <c r="AZ203" t="s">
        <v>31</v>
      </c>
      <c r="BA203" t="s">
        <v>12</v>
      </c>
      <c r="BB203" t="s">
        <v>13</v>
      </c>
      <c r="BC203" t="s">
        <v>7</v>
      </c>
      <c r="BD203">
        <v>3</v>
      </c>
      <c r="BE203" t="s">
        <v>43</v>
      </c>
      <c r="BF203">
        <v>0.99</v>
      </c>
    </row>
    <row r="204" spans="1:58" hidden="1" x14ac:dyDescent="0.2">
      <c r="A204">
        <v>203</v>
      </c>
      <c r="B204" t="s">
        <v>0</v>
      </c>
      <c r="C204">
        <v>53</v>
      </c>
      <c r="D204" t="s">
        <v>28</v>
      </c>
      <c r="E204" t="s">
        <v>128</v>
      </c>
      <c r="F204" t="s">
        <v>15</v>
      </c>
      <c r="G204" t="s">
        <v>116</v>
      </c>
      <c r="H204" t="s">
        <v>118</v>
      </c>
      <c r="I204" t="s">
        <v>114</v>
      </c>
      <c r="J204" t="s">
        <v>6</v>
      </c>
      <c r="K204" t="s">
        <v>7</v>
      </c>
      <c r="L204">
        <v>6</v>
      </c>
      <c r="M204">
        <v>5</v>
      </c>
      <c r="N204" t="s">
        <v>8</v>
      </c>
      <c r="O204" t="s">
        <v>7</v>
      </c>
      <c r="P204" t="s">
        <v>121</v>
      </c>
      <c r="Q204">
        <v>40</v>
      </c>
      <c r="R204">
        <v>3</v>
      </c>
      <c r="S204">
        <v>17.8</v>
      </c>
      <c r="T204">
        <v>117</v>
      </c>
      <c r="U204">
        <v>82</v>
      </c>
      <c r="V204">
        <v>8002</v>
      </c>
      <c r="W204">
        <v>36.200000000000003</v>
      </c>
      <c r="X204">
        <v>3</v>
      </c>
      <c r="Y204">
        <v>4</v>
      </c>
      <c r="Z204">
        <v>7</v>
      </c>
      <c r="AA204">
        <v>3.8</v>
      </c>
      <c r="AB204">
        <v>4</v>
      </c>
      <c r="AC204">
        <v>411</v>
      </c>
      <c r="AD204">
        <v>15</v>
      </c>
      <c r="AE204">
        <v>7</v>
      </c>
      <c r="AF204">
        <v>289</v>
      </c>
      <c r="AG204">
        <v>150</v>
      </c>
      <c r="AH204">
        <v>228</v>
      </c>
      <c r="AI204">
        <v>62</v>
      </c>
      <c r="AJ204">
        <v>39</v>
      </c>
      <c r="AK204">
        <v>60</v>
      </c>
      <c r="AL204">
        <v>38</v>
      </c>
      <c r="AM204">
        <v>12</v>
      </c>
      <c r="AN204">
        <v>241</v>
      </c>
      <c r="AO204">
        <v>70</v>
      </c>
      <c r="AP204">
        <v>85</v>
      </c>
      <c r="AQ204">
        <v>96</v>
      </c>
      <c r="AR204">
        <v>3395</v>
      </c>
      <c r="AS204">
        <v>8002</v>
      </c>
      <c r="AT204" t="s">
        <v>7</v>
      </c>
      <c r="AU204">
        <v>0.14000000000000001</v>
      </c>
      <c r="AV204">
        <v>2016</v>
      </c>
      <c r="AW204" s="1">
        <v>45894</v>
      </c>
      <c r="AX204">
        <v>27.4</v>
      </c>
      <c r="AY204" t="s">
        <v>45</v>
      </c>
      <c r="AZ204" t="s">
        <v>20</v>
      </c>
      <c r="BA204" t="s">
        <v>122</v>
      </c>
      <c r="BB204" t="s">
        <v>7</v>
      </c>
      <c r="BC204" t="s">
        <v>7</v>
      </c>
      <c r="BD204">
        <v>1</v>
      </c>
      <c r="BE204" t="s">
        <v>14</v>
      </c>
      <c r="BF204">
        <v>0.91</v>
      </c>
    </row>
    <row r="205" spans="1:58" hidden="1" x14ac:dyDescent="0.2">
      <c r="A205">
        <v>204</v>
      </c>
      <c r="B205" t="s">
        <v>0</v>
      </c>
      <c r="C205">
        <v>15</v>
      </c>
      <c r="D205" t="s">
        <v>1</v>
      </c>
      <c r="E205" t="s">
        <v>47</v>
      </c>
      <c r="F205" t="s">
        <v>15</v>
      </c>
      <c r="G205" t="s">
        <v>16</v>
      </c>
      <c r="H205" t="s">
        <v>23</v>
      </c>
      <c r="I205" t="s">
        <v>115</v>
      </c>
      <c r="J205" t="s">
        <v>123</v>
      </c>
      <c r="K205" t="s">
        <v>7</v>
      </c>
      <c r="L205">
        <v>7.3</v>
      </c>
      <c r="M205">
        <v>6.2</v>
      </c>
      <c r="N205" t="s">
        <v>29</v>
      </c>
      <c r="O205" t="s">
        <v>7</v>
      </c>
      <c r="P205" t="s">
        <v>46</v>
      </c>
      <c r="Q205">
        <v>7</v>
      </c>
      <c r="R205">
        <v>10</v>
      </c>
      <c r="S205">
        <v>21.2</v>
      </c>
      <c r="T205">
        <v>149</v>
      </c>
      <c r="U205">
        <v>63</v>
      </c>
      <c r="V205">
        <v>7946</v>
      </c>
      <c r="W205">
        <v>26.3</v>
      </c>
      <c r="X205">
        <v>3</v>
      </c>
      <c r="Y205">
        <v>6</v>
      </c>
      <c r="Z205">
        <v>13</v>
      </c>
      <c r="AA205">
        <v>5.0999999999999996</v>
      </c>
      <c r="AB205">
        <v>7</v>
      </c>
      <c r="AC205">
        <v>77</v>
      </c>
      <c r="AD205">
        <v>8</v>
      </c>
      <c r="AE205">
        <v>12</v>
      </c>
      <c r="AF205">
        <v>173</v>
      </c>
      <c r="AG205">
        <v>57</v>
      </c>
      <c r="AH205">
        <v>56</v>
      </c>
      <c r="AI205">
        <v>19</v>
      </c>
      <c r="AJ205">
        <v>14</v>
      </c>
      <c r="AK205">
        <v>14</v>
      </c>
      <c r="AL205">
        <v>11</v>
      </c>
      <c r="AM205">
        <v>4</v>
      </c>
      <c r="AN205">
        <v>37</v>
      </c>
      <c r="AO205">
        <v>11</v>
      </c>
      <c r="AP205">
        <v>9</v>
      </c>
      <c r="AQ205">
        <v>25</v>
      </c>
      <c r="AR205">
        <v>1869</v>
      </c>
      <c r="AS205">
        <v>1752</v>
      </c>
      <c r="AT205" t="s">
        <v>7</v>
      </c>
      <c r="AU205">
        <v>0.49</v>
      </c>
      <c r="AV205">
        <v>2025</v>
      </c>
      <c r="AW205" s="1">
        <v>46003</v>
      </c>
      <c r="AX205">
        <v>9.6</v>
      </c>
      <c r="AY205" t="s">
        <v>30</v>
      </c>
      <c r="AZ205" t="s">
        <v>51</v>
      </c>
      <c r="BA205" t="s">
        <v>21</v>
      </c>
      <c r="BB205" t="s">
        <v>7</v>
      </c>
      <c r="BC205" t="s">
        <v>7</v>
      </c>
      <c r="BD205">
        <v>3</v>
      </c>
      <c r="BE205" t="s">
        <v>14</v>
      </c>
      <c r="BF205">
        <v>1.67</v>
      </c>
    </row>
    <row r="206" spans="1:58" hidden="1" x14ac:dyDescent="0.2">
      <c r="A206">
        <v>205</v>
      </c>
      <c r="B206" t="s">
        <v>0</v>
      </c>
      <c r="C206">
        <v>51</v>
      </c>
      <c r="D206" t="s">
        <v>28</v>
      </c>
      <c r="E206" t="s">
        <v>126</v>
      </c>
      <c r="F206" t="s">
        <v>3</v>
      </c>
      <c r="G206" t="s">
        <v>38</v>
      </c>
      <c r="H206" t="s">
        <v>119</v>
      </c>
      <c r="I206" t="s">
        <v>113</v>
      </c>
      <c r="J206" t="s">
        <v>6</v>
      </c>
      <c r="K206" t="s">
        <v>7</v>
      </c>
      <c r="L206">
        <v>2.1</v>
      </c>
      <c r="M206">
        <v>6.4</v>
      </c>
      <c r="N206" t="s">
        <v>29</v>
      </c>
      <c r="O206" t="s">
        <v>13</v>
      </c>
      <c r="P206" t="s">
        <v>9</v>
      </c>
      <c r="Q206">
        <v>16</v>
      </c>
      <c r="R206">
        <v>3</v>
      </c>
      <c r="S206">
        <v>26.5</v>
      </c>
      <c r="T206">
        <v>140</v>
      </c>
      <c r="U206">
        <v>83</v>
      </c>
      <c r="V206">
        <v>7984</v>
      </c>
      <c r="W206">
        <v>43.8</v>
      </c>
      <c r="X206">
        <v>1</v>
      </c>
      <c r="Y206">
        <v>2</v>
      </c>
      <c r="Z206">
        <v>11</v>
      </c>
      <c r="AA206">
        <v>10.6</v>
      </c>
      <c r="AB206">
        <v>4</v>
      </c>
      <c r="AC206">
        <v>230</v>
      </c>
      <c r="AD206">
        <v>7</v>
      </c>
      <c r="AE206">
        <v>6</v>
      </c>
      <c r="AF206">
        <v>155</v>
      </c>
      <c r="AG206">
        <v>139</v>
      </c>
      <c r="AH206">
        <v>139</v>
      </c>
      <c r="AI206">
        <v>46</v>
      </c>
      <c r="AJ206">
        <v>28</v>
      </c>
      <c r="AK206">
        <v>32</v>
      </c>
      <c r="AL206">
        <v>28</v>
      </c>
      <c r="AM206">
        <v>1</v>
      </c>
      <c r="AN206">
        <v>101</v>
      </c>
      <c r="AO206">
        <v>32</v>
      </c>
      <c r="AP206">
        <v>30</v>
      </c>
      <c r="AQ206">
        <v>70</v>
      </c>
      <c r="AR206">
        <v>846</v>
      </c>
      <c r="AS206">
        <v>1660</v>
      </c>
      <c r="AT206" t="s">
        <v>7</v>
      </c>
      <c r="AU206">
        <v>0.48</v>
      </c>
      <c r="AV206">
        <v>2017</v>
      </c>
      <c r="AW206" s="1">
        <v>46022</v>
      </c>
      <c r="AX206">
        <v>32.9</v>
      </c>
      <c r="AY206" t="s">
        <v>36</v>
      </c>
      <c r="AZ206" t="s">
        <v>51</v>
      </c>
      <c r="BA206" t="s">
        <v>12</v>
      </c>
      <c r="BB206" t="s">
        <v>7</v>
      </c>
      <c r="BC206" t="s">
        <v>7</v>
      </c>
      <c r="BD206">
        <v>1</v>
      </c>
      <c r="BE206" t="s">
        <v>14</v>
      </c>
      <c r="BF206">
        <v>1.08</v>
      </c>
    </row>
    <row r="207" spans="1:58" hidden="1" x14ac:dyDescent="0.2">
      <c r="A207">
        <v>206</v>
      </c>
      <c r="B207" t="s">
        <v>0</v>
      </c>
      <c r="C207">
        <v>18</v>
      </c>
      <c r="D207" t="s">
        <v>1</v>
      </c>
      <c r="E207" t="s">
        <v>126</v>
      </c>
      <c r="F207" t="s">
        <v>15</v>
      </c>
      <c r="G207" t="s">
        <v>16</v>
      </c>
      <c r="H207" t="s">
        <v>118</v>
      </c>
      <c r="I207" t="s">
        <v>112</v>
      </c>
      <c r="J207" t="s">
        <v>123</v>
      </c>
      <c r="K207" t="s">
        <v>13</v>
      </c>
      <c r="L207">
        <v>5.6</v>
      </c>
      <c r="M207">
        <v>7.1</v>
      </c>
      <c r="N207" t="s">
        <v>29</v>
      </c>
      <c r="O207" t="s">
        <v>7</v>
      </c>
      <c r="P207" t="s">
        <v>9</v>
      </c>
      <c r="Q207">
        <v>25</v>
      </c>
      <c r="R207">
        <v>5</v>
      </c>
      <c r="S207">
        <v>25.5</v>
      </c>
      <c r="T207">
        <v>130</v>
      </c>
      <c r="U207">
        <v>68</v>
      </c>
      <c r="V207">
        <v>7975</v>
      </c>
      <c r="W207">
        <v>38.1</v>
      </c>
      <c r="X207">
        <v>0</v>
      </c>
      <c r="Y207">
        <v>6</v>
      </c>
      <c r="Z207">
        <v>21</v>
      </c>
      <c r="AA207">
        <v>3.9</v>
      </c>
      <c r="AB207">
        <v>2</v>
      </c>
      <c r="AC207">
        <v>228</v>
      </c>
      <c r="AD207">
        <v>9</v>
      </c>
      <c r="AE207">
        <v>15</v>
      </c>
      <c r="AF207">
        <v>259</v>
      </c>
      <c r="AG207">
        <v>127</v>
      </c>
      <c r="AH207">
        <v>153</v>
      </c>
      <c r="AI207">
        <v>37</v>
      </c>
      <c r="AJ207">
        <v>34</v>
      </c>
      <c r="AK207">
        <v>33</v>
      </c>
      <c r="AL207">
        <v>24</v>
      </c>
      <c r="AM207">
        <v>5</v>
      </c>
      <c r="AN207">
        <v>124</v>
      </c>
      <c r="AO207">
        <v>47</v>
      </c>
      <c r="AP207">
        <v>27</v>
      </c>
      <c r="AQ207">
        <v>52</v>
      </c>
      <c r="AR207">
        <v>20581</v>
      </c>
      <c r="AS207">
        <v>10000</v>
      </c>
      <c r="AT207" t="s">
        <v>7</v>
      </c>
      <c r="AU207">
        <v>0.6</v>
      </c>
      <c r="AV207">
        <v>2020</v>
      </c>
      <c r="AW207" s="1">
        <v>45733</v>
      </c>
      <c r="AX207">
        <v>25.3</v>
      </c>
      <c r="AY207" t="s">
        <v>30</v>
      </c>
      <c r="AZ207" t="s">
        <v>35</v>
      </c>
      <c r="BA207" t="s">
        <v>12</v>
      </c>
      <c r="BB207" t="s">
        <v>13</v>
      </c>
      <c r="BC207" t="s">
        <v>7</v>
      </c>
      <c r="BD207">
        <v>1</v>
      </c>
      <c r="BE207" t="s">
        <v>14</v>
      </c>
      <c r="BF207">
        <v>1.19</v>
      </c>
    </row>
    <row r="208" spans="1:58" hidden="1" x14ac:dyDescent="0.2">
      <c r="A208">
        <v>207</v>
      </c>
      <c r="B208" t="s">
        <v>0</v>
      </c>
      <c r="C208">
        <v>20</v>
      </c>
      <c r="D208" t="s">
        <v>1</v>
      </c>
      <c r="E208" t="s">
        <v>128</v>
      </c>
      <c r="F208" t="s">
        <v>15</v>
      </c>
      <c r="G208" t="s">
        <v>38</v>
      </c>
      <c r="H208" t="s">
        <v>34</v>
      </c>
      <c r="I208" t="s">
        <v>114</v>
      </c>
      <c r="J208" t="s">
        <v>123</v>
      </c>
      <c r="K208" t="s">
        <v>7</v>
      </c>
      <c r="L208">
        <v>6.9</v>
      </c>
      <c r="M208">
        <v>5.7</v>
      </c>
      <c r="N208" t="s">
        <v>29</v>
      </c>
      <c r="O208" t="s">
        <v>7</v>
      </c>
      <c r="P208" t="s">
        <v>46</v>
      </c>
      <c r="Q208">
        <v>27</v>
      </c>
      <c r="R208">
        <v>2</v>
      </c>
      <c r="S208">
        <v>24.5</v>
      </c>
      <c r="T208">
        <v>136</v>
      </c>
      <c r="U208">
        <v>88</v>
      </c>
      <c r="V208">
        <v>8188</v>
      </c>
      <c r="W208">
        <v>38.799999999999997</v>
      </c>
      <c r="X208">
        <v>3</v>
      </c>
      <c r="Y208">
        <v>3</v>
      </c>
      <c r="Z208">
        <v>7</v>
      </c>
      <c r="AA208">
        <v>2.2999999999999998</v>
      </c>
      <c r="AB208">
        <v>2</v>
      </c>
      <c r="AC208">
        <v>396</v>
      </c>
      <c r="AD208">
        <v>18</v>
      </c>
      <c r="AE208">
        <v>19</v>
      </c>
      <c r="AF208">
        <v>300</v>
      </c>
      <c r="AG208">
        <v>150</v>
      </c>
      <c r="AH208">
        <v>231</v>
      </c>
      <c r="AI208">
        <v>57</v>
      </c>
      <c r="AJ208">
        <v>40</v>
      </c>
      <c r="AK208">
        <v>57</v>
      </c>
      <c r="AL208">
        <v>43</v>
      </c>
      <c r="AM208">
        <v>9</v>
      </c>
      <c r="AN208">
        <v>192</v>
      </c>
      <c r="AO208">
        <v>81</v>
      </c>
      <c r="AP208">
        <v>67</v>
      </c>
      <c r="AQ208">
        <v>138</v>
      </c>
      <c r="AR208">
        <v>1799</v>
      </c>
      <c r="AS208">
        <v>2346</v>
      </c>
      <c r="AT208" t="s">
        <v>13</v>
      </c>
      <c r="AU208">
        <v>0.14000000000000001</v>
      </c>
      <c r="AV208">
        <v>2014</v>
      </c>
      <c r="AW208" s="1">
        <v>45907</v>
      </c>
      <c r="AX208">
        <v>22</v>
      </c>
      <c r="AY208" t="s">
        <v>45</v>
      </c>
      <c r="AZ208" t="s">
        <v>48</v>
      </c>
      <c r="BA208" t="s">
        <v>21</v>
      </c>
      <c r="BB208" t="s">
        <v>13</v>
      </c>
      <c r="BC208" t="s">
        <v>13</v>
      </c>
      <c r="BD208">
        <v>1</v>
      </c>
      <c r="BE208" t="s">
        <v>14</v>
      </c>
      <c r="BF208">
        <v>1.01</v>
      </c>
    </row>
    <row r="209" spans="1:58" hidden="1" x14ac:dyDescent="0.2">
      <c r="A209">
        <v>208</v>
      </c>
      <c r="B209" t="s">
        <v>0</v>
      </c>
      <c r="C209">
        <v>39</v>
      </c>
      <c r="D209" t="s">
        <v>1</v>
      </c>
      <c r="E209" t="s">
        <v>2</v>
      </c>
      <c r="F209" t="s">
        <v>15</v>
      </c>
      <c r="G209" t="s">
        <v>16</v>
      </c>
      <c r="H209" t="s">
        <v>118</v>
      </c>
      <c r="I209" t="s">
        <v>115</v>
      </c>
      <c r="J209" t="s">
        <v>32</v>
      </c>
      <c r="K209" t="s">
        <v>7</v>
      </c>
      <c r="L209">
        <v>6.1</v>
      </c>
      <c r="M209">
        <v>8.6</v>
      </c>
      <c r="N209" t="s">
        <v>120</v>
      </c>
      <c r="O209" t="s">
        <v>7</v>
      </c>
      <c r="P209" t="s">
        <v>9</v>
      </c>
      <c r="Q209">
        <v>40</v>
      </c>
      <c r="R209">
        <v>9</v>
      </c>
      <c r="S209">
        <v>29.9</v>
      </c>
      <c r="T209">
        <v>122</v>
      </c>
      <c r="U209">
        <v>97</v>
      </c>
      <c r="V209">
        <v>7954</v>
      </c>
      <c r="W209">
        <v>60.2</v>
      </c>
      <c r="X209">
        <v>2</v>
      </c>
      <c r="Y209">
        <v>2</v>
      </c>
      <c r="Z209">
        <v>9</v>
      </c>
      <c r="AA209">
        <v>3.4</v>
      </c>
      <c r="AB209">
        <v>1</v>
      </c>
      <c r="AC209">
        <v>353</v>
      </c>
      <c r="AD209">
        <v>34</v>
      </c>
      <c r="AE209">
        <v>2</v>
      </c>
      <c r="AF209">
        <v>244</v>
      </c>
      <c r="AG209">
        <v>150</v>
      </c>
      <c r="AH209">
        <v>203</v>
      </c>
      <c r="AI209">
        <v>65</v>
      </c>
      <c r="AJ209">
        <v>54</v>
      </c>
      <c r="AK209">
        <v>49</v>
      </c>
      <c r="AL209">
        <v>26</v>
      </c>
      <c r="AM209">
        <v>11</v>
      </c>
      <c r="AN209">
        <v>153</v>
      </c>
      <c r="AO209">
        <v>71</v>
      </c>
      <c r="AP209">
        <v>68</v>
      </c>
      <c r="AQ209">
        <v>133</v>
      </c>
      <c r="AR209">
        <v>1001</v>
      </c>
      <c r="AS209">
        <v>2164</v>
      </c>
      <c r="AT209" t="s">
        <v>13</v>
      </c>
      <c r="AU209">
        <v>0.22</v>
      </c>
      <c r="AV209">
        <v>2018</v>
      </c>
      <c r="AW209" s="1">
        <v>45964</v>
      </c>
      <c r="AX209">
        <v>10.4</v>
      </c>
      <c r="AY209" t="s">
        <v>19</v>
      </c>
      <c r="AZ209" t="s">
        <v>31</v>
      </c>
      <c r="BA209" t="s">
        <v>21</v>
      </c>
      <c r="BB209" t="s">
        <v>13</v>
      </c>
      <c r="BC209" t="s">
        <v>13</v>
      </c>
      <c r="BD209">
        <v>1</v>
      </c>
      <c r="BE209" t="s">
        <v>14</v>
      </c>
      <c r="BF209">
        <v>0.96</v>
      </c>
    </row>
    <row r="210" spans="1:58" hidden="1" x14ac:dyDescent="0.2">
      <c r="A210">
        <v>209</v>
      </c>
      <c r="B210" t="s">
        <v>0</v>
      </c>
      <c r="C210">
        <v>21</v>
      </c>
      <c r="D210" t="s">
        <v>28</v>
      </c>
      <c r="E210" t="s">
        <v>127</v>
      </c>
      <c r="F210" t="s">
        <v>3</v>
      </c>
      <c r="G210" t="s">
        <v>116</v>
      </c>
      <c r="H210" t="s">
        <v>118</v>
      </c>
      <c r="I210" t="s">
        <v>115</v>
      </c>
      <c r="J210" t="s">
        <v>6</v>
      </c>
      <c r="K210" t="s">
        <v>7</v>
      </c>
      <c r="L210">
        <v>5.7</v>
      </c>
      <c r="M210">
        <v>8.1</v>
      </c>
      <c r="N210" t="s">
        <v>39</v>
      </c>
      <c r="O210" t="s">
        <v>7</v>
      </c>
      <c r="P210" t="s">
        <v>46</v>
      </c>
      <c r="Q210">
        <v>27</v>
      </c>
      <c r="R210">
        <v>8</v>
      </c>
      <c r="S210">
        <v>24.3</v>
      </c>
      <c r="T210">
        <v>117</v>
      </c>
      <c r="U210">
        <v>75</v>
      </c>
      <c r="V210">
        <v>8220</v>
      </c>
      <c r="W210">
        <v>44.4</v>
      </c>
      <c r="X210">
        <v>3</v>
      </c>
      <c r="Y210">
        <v>3</v>
      </c>
      <c r="Z210">
        <v>8</v>
      </c>
      <c r="AA210">
        <v>4.2</v>
      </c>
      <c r="AB210">
        <v>4</v>
      </c>
      <c r="AC210">
        <v>257</v>
      </c>
      <c r="AD210">
        <v>9</v>
      </c>
      <c r="AE210">
        <v>9</v>
      </c>
      <c r="AF210">
        <v>286</v>
      </c>
      <c r="AG210">
        <v>115</v>
      </c>
      <c r="AH210">
        <v>144</v>
      </c>
      <c r="AI210">
        <v>37</v>
      </c>
      <c r="AJ210">
        <v>45</v>
      </c>
      <c r="AK210">
        <v>35</v>
      </c>
      <c r="AL210">
        <v>38</v>
      </c>
      <c r="AM210">
        <v>8</v>
      </c>
      <c r="AN210">
        <v>151</v>
      </c>
      <c r="AO210">
        <v>29</v>
      </c>
      <c r="AP210">
        <v>39</v>
      </c>
      <c r="AQ210">
        <v>73</v>
      </c>
      <c r="AR210">
        <v>351</v>
      </c>
      <c r="AS210">
        <v>682</v>
      </c>
      <c r="AT210" t="s">
        <v>7</v>
      </c>
      <c r="AU210">
        <v>0.5</v>
      </c>
      <c r="AV210">
        <v>2025</v>
      </c>
      <c r="AW210" s="1">
        <v>45735</v>
      </c>
      <c r="AX210">
        <v>28.6</v>
      </c>
      <c r="AY210" t="s">
        <v>19</v>
      </c>
      <c r="AZ210" t="s">
        <v>17</v>
      </c>
      <c r="BA210" t="s">
        <v>122</v>
      </c>
      <c r="BB210" t="s">
        <v>13</v>
      </c>
      <c r="BC210" t="s">
        <v>7</v>
      </c>
      <c r="BD210">
        <v>5</v>
      </c>
      <c r="BE210" t="s">
        <v>14</v>
      </c>
      <c r="BF210">
        <v>0.95</v>
      </c>
    </row>
    <row r="211" spans="1:58" hidden="1" x14ac:dyDescent="0.2">
      <c r="A211">
        <v>210</v>
      </c>
      <c r="B211" t="s">
        <v>0</v>
      </c>
      <c r="C211">
        <v>49</v>
      </c>
      <c r="D211" t="s">
        <v>1</v>
      </c>
      <c r="E211" t="s">
        <v>50</v>
      </c>
      <c r="F211" t="s">
        <v>15</v>
      </c>
      <c r="G211" t="s">
        <v>117</v>
      </c>
      <c r="H211" t="s">
        <v>118</v>
      </c>
      <c r="I211" t="s">
        <v>113</v>
      </c>
      <c r="J211" t="s">
        <v>6</v>
      </c>
      <c r="K211" t="s">
        <v>13</v>
      </c>
      <c r="L211">
        <v>7.1</v>
      </c>
      <c r="M211">
        <v>7.8</v>
      </c>
      <c r="N211" t="s">
        <v>39</v>
      </c>
      <c r="O211" t="s">
        <v>7</v>
      </c>
      <c r="P211" t="s">
        <v>26</v>
      </c>
      <c r="Q211">
        <v>8</v>
      </c>
      <c r="R211">
        <v>6</v>
      </c>
      <c r="S211">
        <v>23.6</v>
      </c>
      <c r="T211">
        <v>135</v>
      </c>
      <c r="U211">
        <v>63</v>
      </c>
      <c r="V211">
        <v>8207</v>
      </c>
      <c r="W211">
        <v>41.2</v>
      </c>
      <c r="X211">
        <v>1</v>
      </c>
      <c r="Y211">
        <v>6</v>
      </c>
      <c r="Z211">
        <v>9</v>
      </c>
      <c r="AA211">
        <v>2.8</v>
      </c>
      <c r="AB211">
        <v>3</v>
      </c>
      <c r="AC211">
        <v>115</v>
      </c>
      <c r="AD211">
        <v>4</v>
      </c>
      <c r="AE211">
        <v>3</v>
      </c>
      <c r="AF211">
        <v>113</v>
      </c>
      <c r="AG211">
        <v>78</v>
      </c>
      <c r="AH211">
        <v>102</v>
      </c>
      <c r="AI211">
        <v>27</v>
      </c>
      <c r="AJ211">
        <v>18</v>
      </c>
      <c r="AK211">
        <v>24</v>
      </c>
      <c r="AL211">
        <v>15</v>
      </c>
      <c r="AM211">
        <v>7</v>
      </c>
      <c r="AN211">
        <v>48</v>
      </c>
      <c r="AO211">
        <v>30</v>
      </c>
      <c r="AP211">
        <v>12</v>
      </c>
      <c r="AQ211">
        <v>27</v>
      </c>
      <c r="AR211">
        <v>1426</v>
      </c>
      <c r="AS211">
        <v>785</v>
      </c>
      <c r="AT211" t="s">
        <v>7</v>
      </c>
      <c r="AU211">
        <v>0.19</v>
      </c>
      <c r="AV211">
        <v>2017</v>
      </c>
      <c r="AW211" s="1">
        <v>45796</v>
      </c>
      <c r="AX211">
        <v>28.8</v>
      </c>
      <c r="AY211" t="s">
        <v>19</v>
      </c>
      <c r="AZ211" t="s">
        <v>17</v>
      </c>
      <c r="BA211" t="s">
        <v>122</v>
      </c>
      <c r="BB211" t="s">
        <v>13</v>
      </c>
      <c r="BC211" t="s">
        <v>13</v>
      </c>
      <c r="BD211">
        <v>4</v>
      </c>
      <c r="BE211" t="s">
        <v>49</v>
      </c>
      <c r="BF211">
        <v>1.42</v>
      </c>
    </row>
    <row r="212" spans="1:58" hidden="1" x14ac:dyDescent="0.2">
      <c r="A212">
        <v>211</v>
      </c>
      <c r="B212" t="s">
        <v>0</v>
      </c>
      <c r="C212">
        <v>45</v>
      </c>
      <c r="D212" t="s">
        <v>1</v>
      </c>
      <c r="E212" t="s">
        <v>22</v>
      </c>
      <c r="F212" t="s">
        <v>3</v>
      </c>
      <c r="G212" t="s">
        <v>117</v>
      </c>
      <c r="H212" t="s">
        <v>118</v>
      </c>
      <c r="I212" t="s">
        <v>115</v>
      </c>
      <c r="J212" t="s">
        <v>6</v>
      </c>
      <c r="K212" t="s">
        <v>7</v>
      </c>
      <c r="L212">
        <v>9.1</v>
      </c>
      <c r="M212">
        <v>7.5</v>
      </c>
      <c r="N212" t="s">
        <v>29</v>
      </c>
      <c r="O212" t="s">
        <v>7</v>
      </c>
      <c r="P212" t="s">
        <v>121</v>
      </c>
      <c r="Q212">
        <v>11</v>
      </c>
      <c r="R212">
        <v>3</v>
      </c>
      <c r="S212">
        <v>28.3</v>
      </c>
      <c r="T212">
        <v>139</v>
      </c>
      <c r="U212">
        <v>95</v>
      </c>
      <c r="V212">
        <v>8038</v>
      </c>
      <c r="W212">
        <v>52.2</v>
      </c>
      <c r="X212">
        <v>4</v>
      </c>
      <c r="Y212">
        <v>4</v>
      </c>
      <c r="Z212">
        <v>4</v>
      </c>
      <c r="AA212">
        <v>1.4</v>
      </c>
      <c r="AB212">
        <v>3</v>
      </c>
      <c r="AC212">
        <v>169</v>
      </c>
      <c r="AD212">
        <v>10</v>
      </c>
      <c r="AE212">
        <v>5</v>
      </c>
      <c r="AF212">
        <v>142</v>
      </c>
      <c r="AG212">
        <v>87</v>
      </c>
      <c r="AH212">
        <v>111</v>
      </c>
      <c r="AI212">
        <v>30</v>
      </c>
      <c r="AJ212">
        <v>22</v>
      </c>
      <c r="AK212">
        <v>24</v>
      </c>
      <c r="AL212">
        <v>17</v>
      </c>
      <c r="AM212">
        <v>6</v>
      </c>
      <c r="AN212">
        <v>98</v>
      </c>
      <c r="AO212">
        <v>29</v>
      </c>
      <c r="AP212">
        <v>42</v>
      </c>
      <c r="AQ212">
        <v>38</v>
      </c>
      <c r="AR212">
        <v>1367</v>
      </c>
      <c r="AS212">
        <v>2719</v>
      </c>
      <c r="AT212" t="s">
        <v>7</v>
      </c>
      <c r="AU212">
        <v>0.88</v>
      </c>
      <c r="AV212">
        <v>2013</v>
      </c>
      <c r="AW212" s="1">
        <v>45812</v>
      </c>
      <c r="AX212">
        <v>16.899999999999999</v>
      </c>
      <c r="AY212" t="s">
        <v>27</v>
      </c>
      <c r="AZ212" t="s">
        <v>31</v>
      </c>
      <c r="BA212" t="s">
        <v>12</v>
      </c>
      <c r="BB212" t="s">
        <v>7</v>
      </c>
      <c r="BC212" t="s">
        <v>7</v>
      </c>
      <c r="BD212">
        <v>4</v>
      </c>
      <c r="BE212" t="s">
        <v>14</v>
      </c>
      <c r="BF212">
        <v>1.0900000000000001</v>
      </c>
    </row>
    <row r="213" spans="1:58" hidden="1" x14ac:dyDescent="0.2">
      <c r="A213">
        <v>212</v>
      </c>
      <c r="B213" t="s">
        <v>0</v>
      </c>
      <c r="C213">
        <v>63</v>
      </c>
      <c r="D213" t="s">
        <v>28</v>
      </c>
      <c r="E213" t="s">
        <v>126</v>
      </c>
      <c r="F213" t="s">
        <v>15</v>
      </c>
      <c r="G213" t="s">
        <v>4</v>
      </c>
      <c r="H213" t="s">
        <v>118</v>
      </c>
      <c r="I213" t="s">
        <v>112</v>
      </c>
      <c r="J213" t="s">
        <v>6</v>
      </c>
      <c r="K213" t="s">
        <v>7</v>
      </c>
      <c r="L213">
        <v>2.8</v>
      </c>
      <c r="M213">
        <v>7.3</v>
      </c>
      <c r="N213" t="s">
        <v>8</v>
      </c>
      <c r="O213" t="s">
        <v>7</v>
      </c>
      <c r="P213" t="s">
        <v>9</v>
      </c>
      <c r="Q213">
        <v>23</v>
      </c>
      <c r="R213">
        <v>5</v>
      </c>
      <c r="S213">
        <v>26.6</v>
      </c>
      <c r="T213">
        <v>145</v>
      </c>
      <c r="U213">
        <v>76</v>
      </c>
      <c r="V213">
        <v>7977</v>
      </c>
      <c r="W213">
        <v>27.3</v>
      </c>
      <c r="X213">
        <v>6</v>
      </c>
      <c r="Y213">
        <v>2</v>
      </c>
      <c r="Z213">
        <v>12</v>
      </c>
      <c r="AA213">
        <v>5.7</v>
      </c>
      <c r="AB213">
        <v>1</v>
      </c>
      <c r="AC213">
        <v>143</v>
      </c>
      <c r="AD213">
        <v>6</v>
      </c>
      <c r="AE213">
        <v>5</v>
      </c>
      <c r="AF213">
        <v>134</v>
      </c>
      <c r="AG213">
        <v>94</v>
      </c>
      <c r="AH213">
        <v>101</v>
      </c>
      <c r="AI213">
        <v>23</v>
      </c>
      <c r="AJ213">
        <v>32</v>
      </c>
      <c r="AK213">
        <v>18</v>
      </c>
      <c r="AL213">
        <v>15</v>
      </c>
      <c r="AM213">
        <v>7</v>
      </c>
      <c r="AN213">
        <v>82</v>
      </c>
      <c r="AO213">
        <v>31</v>
      </c>
      <c r="AP213">
        <v>22</v>
      </c>
      <c r="AQ213">
        <v>49</v>
      </c>
      <c r="AR213">
        <v>1148</v>
      </c>
      <c r="AS213">
        <v>580</v>
      </c>
      <c r="AT213" t="s">
        <v>7</v>
      </c>
      <c r="AU213">
        <v>0.49</v>
      </c>
      <c r="AV213">
        <v>2023</v>
      </c>
      <c r="AW213" s="1">
        <v>45833</v>
      </c>
      <c r="AX213">
        <v>23.8</v>
      </c>
      <c r="AY213" t="s">
        <v>27</v>
      </c>
      <c r="AZ213" t="s">
        <v>35</v>
      </c>
      <c r="BA213" t="s">
        <v>12</v>
      </c>
      <c r="BB213" t="s">
        <v>13</v>
      </c>
      <c r="BC213" t="s">
        <v>7</v>
      </c>
      <c r="BD213">
        <v>1</v>
      </c>
      <c r="BE213" t="s">
        <v>14</v>
      </c>
      <c r="BF213">
        <v>1.1200000000000001</v>
      </c>
    </row>
    <row r="214" spans="1:58" hidden="1" x14ac:dyDescent="0.2">
      <c r="A214">
        <v>213</v>
      </c>
      <c r="B214" t="s">
        <v>0</v>
      </c>
      <c r="C214">
        <v>54</v>
      </c>
      <c r="D214" t="s">
        <v>1</v>
      </c>
      <c r="E214" t="s">
        <v>126</v>
      </c>
      <c r="F214" t="s">
        <v>15</v>
      </c>
      <c r="G214" t="s">
        <v>4</v>
      </c>
      <c r="H214" t="s">
        <v>24</v>
      </c>
      <c r="I214" t="s">
        <v>17</v>
      </c>
      <c r="J214" t="s">
        <v>32</v>
      </c>
      <c r="K214" t="s">
        <v>7</v>
      </c>
      <c r="L214">
        <v>8.5</v>
      </c>
      <c r="M214">
        <v>6.8</v>
      </c>
      <c r="N214" t="s">
        <v>39</v>
      </c>
      <c r="O214" t="s">
        <v>13</v>
      </c>
      <c r="P214" t="s">
        <v>46</v>
      </c>
      <c r="Q214">
        <v>9</v>
      </c>
      <c r="R214">
        <v>10</v>
      </c>
      <c r="S214">
        <v>20.3</v>
      </c>
      <c r="T214">
        <v>115</v>
      </c>
      <c r="U214">
        <v>94</v>
      </c>
      <c r="V214">
        <v>7915</v>
      </c>
      <c r="W214">
        <v>22.4</v>
      </c>
      <c r="X214">
        <v>3</v>
      </c>
      <c r="Y214">
        <v>2</v>
      </c>
      <c r="Z214">
        <v>7</v>
      </c>
      <c r="AA214">
        <v>2.8</v>
      </c>
      <c r="AB214">
        <v>5</v>
      </c>
      <c r="AC214">
        <v>21</v>
      </c>
      <c r="AD214">
        <v>1</v>
      </c>
      <c r="AE214">
        <v>1</v>
      </c>
      <c r="AF214">
        <v>42</v>
      </c>
      <c r="AG214">
        <v>44</v>
      </c>
      <c r="AH214">
        <v>26</v>
      </c>
      <c r="AI214">
        <v>10</v>
      </c>
      <c r="AJ214">
        <v>12</v>
      </c>
      <c r="AK214">
        <v>8</v>
      </c>
      <c r="AL214">
        <v>9</v>
      </c>
      <c r="AM214">
        <v>2</v>
      </c>
      <c r="AN214">
        <v>10</v>
      </c>
      <c r="AO214">
        <v>4</v>
      </c>
      <c r="AP214">
        <v>5</v>
      </c>
      <c r="AQ214">
        <v>4</v>
      </c>
      <c r="AR214">
        <v>569</v>
      </c>
      <c r="AS214">
        <v>557</v>
      </c>
      <c r="AT214" t="s">
        <v>7</v>
      </c>
      <c r="AU214">
        <v>0.05</v>
      </c>
      <c r="AV214">
        <v>2018</v>
      </c>
      <c r="AW214" s="1">
        <v>45892</v>
      </c>
      <c r="AX214">
        <v>21</v>
      </c>
      <c r="AY214" t="s">
        <v>30</v>
      </c>
      <c r="AZ214" t="s">
        <v>37</v>
      </c>
      <c r="BA214" t="s">
        <v>12</v>
      </c>
      <c r="BB214" t="s">
        <v>13</v>
      </c>
      <c r="BC214" t="s">
        <v>7</v>
      </c>
      <c r="BD214">
        <v>3</v>
      </c>
      <c r="BE214" t="s">
        <v>14</v>
      </c>
      <c r="BF214">
        <v>2.23</v>
      </c>
    </row>
    <row r="215" spans="1:58" hidden="1" x14ac:dyDescent="0.2">
      <c r="A215">
        <v>214</v>
      </c>
      <c r="B215" t="s">
        <v>0</v>
      </c>
      <c r="C215">
        <v>56</v>
      </c>
      <c r="D215" t="s">
        <v>1</v>
      </c>
      <c r="E215" t="s">
        <v>42</v>
      </c>
      <c r="F215" t="s">
        <v>40</v>
      </c>
      <c r="G215" t="s">
        <v>4</v>
      </c>
      <c r="H215" t="s">
        <v>118</v>
      </c>
      <c r="I215" t="s">
        <v>115</v>
      </c>
      <c r="J215" t="s">
        <v>6</v>
      </c>
      <c r="K215" t="s">
        <v>7</v>
      </c>
      <c r="L215">
        <v>4.0999999999999996</v>
      </c>
      <c r="M215">
        <v>6.7</v>
      </c>
      <c r="N215" t="s">
        <v>25</v>
      </c>
      <c r="O215" t="s">
        <v>41</v>
      </c>
      <c r="P215" t="s">
        <v>121</v>
      </c>
      <c r="Q215">
        <v>35</v>
      </c>
      <c r="R215">
        <v>8</v>
      </c>
      <c r="S215">
        <v>23.7</v>
      </c>
      <c r="T215">
        <v>92</v>
      </c>
      <c r="U215">
        <v>94</v>
      </c>
      <c r="V215">
        <v>7797</v>
      </c>
      <c r="W215">
        <v>50.3</v>
      </c>
      <c r="X215">
        <v>2</v>
      </c>
      <c r="Y215">
        <v>1</v>
      </c>
      <c r="Z215">
        <v>11</v>
      </c>
      <c r="AA215">
        <v>3.9</v>
      </c>
      <c r="AB215">
        <v>2</v>
      </c>
      <c r="AC215">
        <v>248</v>
      </c>
      <c r="AD215">
        <v>8</v>
      </c>
      <c r="AE215">
        <v>5</v>
      </c>
      <c r="AF215">
        <v>192</v>
      </c>
      <c r="AG215">
        <v>135</v>
      </c>
      <c r="AH215">
        <v>143</v>
      </c>
      <c r="AI215">
        <v>38</v>
      </c>
      <c r="AJ215">
        <v>40</v>
      </c>
      <c r="AK215">
        <v>32</v>
      </c>
      <c r="AL215">
        <v>27</v>
      </c>
      <c r="AM215">
        <v>7</v>
      </c>
      <c r="AN215">
        <v>135</v>
      </c>
      <c r="AO215">
        <v>52</v>
      </c>
      <c r="AP215">
        <v>59</v>
      </c>
      <c r="AQ215">
        <v>74</v>
      </c>
      <c r="AR215">
        <v>5173</v>
      </c>
      <c r="AS215">
        <v>4869</v>
      </c>
      <c r="AT215" t="s">
        <v>7</v>
      </c>
      <c r="AU215">
        <v>0.5</v>
      </c>
      <c r="AV215">
        <v>2019</v>
      </c>
      <c r="AW215" s="1">
        <v>45770</v>
      </c>
      <c r="AX215">
        <v>31</v>
      </c>
      <c r="AY215" t="s">
        <v>19</v>
      </c>
      <c r="AZ215" t="s">
        <v>17</v>
      </c>
      <c r="BA215" t="s">
        <v>122</v>
      </c>
      <c r="BB215" t="s">
        <v>13</v>
      </c>
      <c r="BC215" t="s">
        <v>13</v>
      </c>
      <c r="BD215">
        <v>2</v>
      </c>
      <c r="BE215" t="s">
        <v>43</v>
      </c>
      <c r="BF215">
        <v>0.94</v>
      </c>
    </row>
    <row r="216" spans="1:58" hidden="1" x14ac:dyDescent="0.2">
      <c r="A216">
        <v>215</v>
      </c>
      <c r="B216" t="s">
        <v>0</v>
      </c>
      <c r="C216">
        <v>36</v>
      </c>
      <c r="D216" t="s">
        <v>28</v>
      </c>
      <c r="E216" t="s">
        <v>128</v>
      </c>
      <c r="F216" t="s">
        <v>15</v>
      </c>
      <c r="G216" t="s">
        <v>4</v>
      </c>
      <c r="H216" t="s">
        <v>118</v>
      </c>
      <c r="I216" t="s">
        <v>17</v>
      </c>
      <c r="J216" t="s">
        <v>6</v>
      </c>
      <c r="K216" t="s">
        <v>7</v>
      </c>
      <c r="L216">
        <v>6.4</v>
      </c>
      <c r="M216">
        <v>7.4</v>
      </c>
      <c r="N216" t="s">
        <v>25</v>
      </c>
      <c r="O216" t="s">
        <v>7</v>
      </c>
      <c r="P216" t="s">
        <v>9</v>
      </c>
      <c r="Q216">
        <v>28</v>
      </c>
      <c r="R216">
        <v>4</v>
      </c>
      <c r="S216">
        <v>18.8</v>
      </c>
      <c r="T216">
        <v>90</v>
      </c>
      <c r="U216">
        <v>64</v>
      </c>
      <c r="V216">
        <v>7954</v>
      </c>
      <c r="W216">
        <v>26.9</v>
      </c>
      <c r="X216">
        <v>2</v>
      </c>
      <c r="Y216">
        <v>4</v>
      </c>
      <c r="Z216">
        <v>21</v>
      </c>
      <c r="AA216">
        <v>4.3</v>
      </c>
      <c r="AB216">
        <v>2</v>
      </c>
      <c r="AC216">
        <v>256</v>
      </c>
      <c r="AD216">
        <v>8</v>
      </c>
      <c r="AE216">
        <v>10</v>
      </c>
      <c r="AF216">
        <v>208</v>
      </c>
      <c r="AG216">
        <v>130</v>
      </c>
      <c r="AH216">
        <v>153</v>
      </c>
      <c r="AI216">
        <v>35</v>
      </c>
      <c r="AJ216">
        <v>34</v>
      </c>
      <c r="AK216">
        <v>32</v>
      </c>
      <c r="AL216">
        <v>26</v>
      </c>
      <c r="AM216">
        <v>5</v>
      </c>
      <c r="AN216">
        <v>140</v>
      </c>
      <c r="AO216">
        <v>68</v>
      </c>
      <c r="AP216">
        <v>49</v>
      </c>
      <c r="AQ216">
        <v>79</v>
      </c>
      <c r="AR216">
        <v>9152</v>
      </c>
      <c r="AS216">
        <v>10000</v>
      </c>
      <c r="AT216" t="s">
        <v>7</v>
      </c>
      <c r="AU216">
        <v>0.45</v>
      </c>
      <c r="AV216">
        <v>2016</v>
      </c>
      <c r="AW216" s="1">
        <v>46016</v>
      </c>
      <c r="AX216">
        <v>32</v>
      </c>
      <c r="AY216" t="s">
        <v>36</v>
      </c>
      <c r="AZ216" t="s">
        <v>48</v>
      </c>
      <c r="BA216" t="s">
        <v>12</v>
      </c>
      <c r="BB216" t="s">
        <v>7</v>
      </c>
      <c r="BC216" t="s">
        <v>13</v>
      </c>
      <c r="BD216">
        <v>3</v>
      </c>
      <c r="BE216" t="s">
        <v>14</v>
      </c>
      <c r="BF216">
        <v>0.98</v>
      </c>
    </row>
    <row r="217" spans="1:58" hidden="1" x14ac:dyDescent="0.2">
      <c r="A217">
        <v>216</v>
      </c>
      <c r="B217" t="s">
        <v>0</v>
      </c>
      <c r="C217">
        <v>27</v>
      </c>
      <c r="D217" t="s">
        <v>1</v>
      </c>
      <c r="E217" t="s">
        <v>128</v>
      </c>
      <c r="F217" t="s">
        <v>3</v>
      </c>
      <c r="G217" t="s">
        <v>16</v>
      </c>
      <c r="H217" t="s">
        <v>34</v>
      </c>
      <c r="I217" t="s">
        <v>115</v>
      </c>
      <c r="J217" t="s">
        <v>123</v>
      </c>
      <c r="K217" t="s">
        <v>7</v>
      </c>
      <c r="L217">
        <v>6.9</v>
      </c>
      <c r="M217">
        <v>7.2</v>
      </c>
      <c r="N217" t="s">
        <v>29</v>
      </c>
      <c r="O217" t="s">
        <v>7</v>
      </c>
      <c r="P217" t="s">
        <v>9</v>
      </c>
      <c r="Q217">
        <v>31</v>
      </c>
      <c r="R217">
        <v>8</v>
      </c>
      <c r="S217">
        <v>20.399999999999999</v>
      </c>
      <c r="T217">
        <v>108</v>
      </c>
      <c r="U217">
        <v>92</v>
      </c>
      <c r="V217">
        <v>7939</v>
      </c>
      <c r="W217">
        <v>46.9</v>
      </c>
      <c r="X217">
        <v>1</v>
      </c>
      <c r="Y217">
        <v>4</v>
      </c>
      <c r="Z217">
        <v>9</v>
      </c>
      <c r="AA217">
        <v>0.5</v>
      </c>
      <c r="AB217">
        <v>3</v>
      </c>
      <c r="AC217">
        <v>249</v>
      </c>
      <c r="AD217">
        <v>11</v>
      </c>
      <c r="AE217">
        <v>7</v>
      </c>
      <c r="AF217">
        <v>296</v>
      </c>
      <c r="AG217">
        <v>135</v>
      </c>
      <c r="AH217">
        <v>148</v>
      </c>
      <c r="AI217">
        <v>38</v>
      </c>
      <c r="AJ217">
        <v>44</v>
      </c>
      <c r="AK217">
        <v>38</v>
      </c>
      <c r="AL217">
        <v>27</v>
      </c>
      <c r="AM217">
        <v>4</v>
      </c>
      <c r="AN217">
        <v>108</v>
      </c>
      <c r="AO217">
        <v>63</v>
      </c>
      <c r="AP217">
        <v>45</v>
      </c>
      <c r="AQ217">
        <v>91</v>
      </c>
      <c r="AR217">
        <v>117</v>
      </c>
      <c r="AS217">
        <v>234</v>
      </c>
      <c r="AT217" t="s">
        <v>7</v>
      </c>
      <c r="AU217">
        <v>0.55000000000000004</v>
      </c>
      <c r="AV217">
        <v>2015</v>
      </c>
      <c r="AW217" s="1">
        <v>45789</v>
      </c>
      <c r="AX217">
        <v>22.6</v>
      </c>
      <c r="AY217" t="s">
        <v>30</v>
      </c>
      <c r="AZ217" t="s">
        <v>48</v>
      </c>
      <c r="BA217" t="s">
        <v>21</v>
      </c>
      <c r="BB217" t="s">
        <v>13</v>
      </c>
      <c r="BC217" t="s">
        <v>13</v>
      </c>
      <c r="BD217">
        <v>3</v>
      </c>
      <c r="BE217" t="s">
        <v>14</v>
      </c>
      <c r="BF217">
        <v>0.98</v>
      </c>
    </row>
    <row r="218" spans="1:58" hidden="1" x14ac:dyDescent="0.2">
      <c r="A218">
        <v>217</v>
      </c>
      <c r="B218" t="s">
        <v>0</v>
      </c>
      <c r="C218">
        <v>44</v>
      </c>
      <c r="D218" t="s">
        <v>1</v>
      </c>
      <c r="E218" t="s">
        <v>47</v>
      </c>
      <c r="F218" t="s">
        <v>40</v>
      </c>
      <c r="G218" t="s">
        <v>117</v>
      </c>
      <c r="H218" t="s">
        <v>118</v>
      </c>
      <c r="I218" t="s">
        <v>53</v>
      </c>
      <c r="J218" t="s">
        <v>6</v>
      </c>
      <c r="K218" t="s">
        <v>7</v>
      </c>
      <c r="L218">
        <v>12.4</v>
      </c>
      <c r="M218">
        <v>7</v>
      </c>
      <c r="N218" t="s">
        <v>29</v>
      </c>
      <c r="O218" t="s">
        <v>7</v>
      </c>
      <c r="P218" t="s">
        <v>46</v>
      </c>
      <c r="Q218">
        <v>32</v>
      </c>
      <c r="R218">
        <v>9</v>
      </c>
      <c r="S218">
        <v>21.7</v>
      </c>
      <c r="T218">
        <v>145</v>
      </c>
      <c r="U218">
        <v>92</v>
      </c>
      <c r="V218">
        <v>7966</v>
      </c>
      <c r="W218">
        <v>51.9</v>
      </c>
      <c r="X218">
        <v>4</v>
      </c>
      <c r="Y218">
        <v>5</v>
      </c>
      <c r="Z218">
        <v>11</v>
      </c>
      <c r="AA218">
        <v>3.9</v>
      </c>
      <c r="AB218">
        <v>1</v>
      </c>
      <c r="AC218">
        <v>247</v>
      </c>
      <c r="AD218">
        <v>8</v>
      </c>
      <c r="AE218">
        <v>5</v>
      </c>
      <c r="AF218">
        <v>183</v>
      </c>
      <c r="AG218">
        <v>122</v>
      </c>
      <c r="AH218">
        <v>139</v>
      </c>
      <c r="AI218">
        <v>40</v>
      </c>
      <c r="AJ218">
        <v>27</v>
      </c>
      <c r="AK218">
        <v>30</v>
      </c>
      <c r="AL218">
        <v>32</v>
      </c>
      <c r="AM218">
        <v>3</v>
      </c>
      <c r="AN218">
        <v>121</v>
      </c>
      <c r="AO218">
        <v>65</v>
      </c>
      <c r="AP218">
        <v>34</v>
      </c>
      <c r="AQ218">
        <v>77</v>
      </c>
      <c r="AR218">
        <v>424</v>
      </c>
      <c r="AS218">
        <v>380</v>
      </c>
      <c r="AT218" t="s">
        <v>7</v>
      </c>
      <c r="AU218">
        <v>0.01</v>
      </c>
      <c r="AV218">
        <v>2022</v>
      </c>
      <c r="AW218" s="1">
        <v>45669</v>
      </c>
      <c r="AX218">
        <v>30.9</v>
      </c>
      <c r="AY218" t="s">
        <v>45</v>
      </c>
      <c r="AZ218" t="s">
        <v>20</v>
      </c>
      <c r="BA218" t="s">
        <v>21</v>
      </c>
      <c r="BB218" t="s">
        <v>13</v>
      </c>
      <c r="BC218" t="s">
        <v>13</v>
      </c>
      <c r="BD218">
        <v>3</v>
      </c>
      <c r="BE218" t="s">
        <v>14</v>
      </c>
      <c r="BF218">
        <v>0.94</v>
      </c>
    </row>
    <row r="219" spans="1:58" hidden="1" x14ac:dyDescent="0.2">
      <c r="A219">
        <v>218</v>
      </c>
      <c r="B219" t="s">
        <v>0</v>
      </c>
      <c r="C219">
        <v>44</v>
      </c>
      <c r="D219" t="s">
        <v>124</v>
      </c>
      <c r="E219" t="s">
        <v>128</v>
      </c>
      <c r="F219" t="s">
        <v>15</v>
      </c>
      <c r="G219" t="s">
        <v>117</v>
      </c>
      <c r="H219" t="s">
        <v>119</v>
      </c>
      <c r="I219" t="s">
        <v>112</v>
      </c>
      <c r="J219" t="s">
        <v>6</v>
      </c>
      <c r="K219" t="s">
        <v>7</v>
      </c>
      <c r="L219">
        <v>11.8</v>
      </c>
      <c r="M219">
        <v>6.7</v>
      </c>
      <c r="N219" t="s">
        <v>25</v>
      </c>
      <c r="O219" t="s">
        <v>7</v>
      </c>
      <c r="P219" t="s">
        <v>121</v>
      </c>
      <c r="Q219">
        <v>38</v>
      </c>
      <c r="R219">
        <v>5</v>
      </c>
      <c r="S219">
        <v>16.7</v>
      </c>
      <c r="T219">
        <v>98</v>
      </c>
      <c r="U219">
        <v>67</v>
      </c>
      <c r="V219">
        <v>8048</v>
      </c>
      <c r="W219">
        <v>49.6</v>
      </c>
      <c r="X219">
        <v>2</v>
      </c>
      <c r="Y219">
        <v>3</v>
      </c>
      <c r="Z219">
        <v>7</v>
      </c>
      <c r="AA219">
        <v>8.9</v>
      </c>
      <c r="AB219">
        <v>1</v>
      </c>
      <c r="AC219">
        <v>366</v>
      </c>
      <c r="AD219">
        <v>11</v>
      </c>
      <c r="AE219">
        <v>10</v>
      </c>
      <c r="AF219">
        <v>271</v>
      </c>
      <c r="AG219">
        <v>150</v>
      </c>
      <c r="AH219">
        <v>215</v>
      </c>
      <c r="AI219">
        <v>55</v>
      </c>
      <c r="AJ219">
        <v>56</v>
      </c>
      <c r="AK219">
        <v>66</v>
      </c>
      <c r="AL219">
        <v>38</v>
      </c>
      <c r="AM219">
        <v>11</v>
      </c>
      <c r="AN219">
        <v>187</v>
      </c>
      <c r="AO219">
        <v>42</v>
      </c>
      <c r="AP219">
        <v>54</v>
      </c>
      <c r="AQ219">
        <v>82</v>
      </c>
      <c r="AR219">
        <v>3420</v>
      </c>
      <c r="AS219">
        <v>6315</v>
      </c>
      <c r="AT219" t="s">
        <v>7</v>
      </c>
      <c r="AU219">
        <v>0.08</v>
      </c>
      <c r="AV219">
        <v>2010</v>
      </c>
      <c r="AW219" s="1">
        <v>45673</v>
      </c>
      <c r="AX219">
        <v>33.299999999999997</v>
      </c>
      <c r="AY219" t="s">
        <v>10</v>
      </c>
      <c r="AZ219" t="s">
        <v>37</v>
      </c>
      <c r="BA219" t="s">
        <v>12</v>
      </c>
      <c r="BB219" t="s">
        <v>13</v>
      </c>
      <c r="BC219" t="s">
        <v>7</v>
      </c>
      <c r="BD219">
        <v>1</v>
      </c>
      <c r="BE219" t="s">
        <v>14</v>
      </c>
      <c r="BF219">
        <v>0.97</v>
      </c>
    </row>
    <row r="220" spans="1:58" hidden="1" x14ac:dyDescent="0.2">
      <c r="A220">
        <v>219</v>
      </c>
      <c r="B220" t="s">
        <v>0</v>
      </c>
      <c r="C220">
        <v>36</v>
      </c>
      <c r="D220" t="s">
        <v>28</v>
      </c>
      <c r="E220" t="s">
        <v>127</v>
      </c>
      <c r="F220" t="s">
        <v>15</v>
      </c>
      <c r="G220" t="s">
        <v>38</v>
      </c>
      <c r="H220" t="s">
        <v>24</v>
      </c>
      <c r="I220" t="s">
        <v>114</v>
      </c>
      <c r="J220" t="s">
        <v>6</v>
      </c>
      <c r="K220" t="s">
        <v>7</v>
      </c>
      <c r="L220">
        <v>5</v>
      </c>
      <c r="M220">
        <v>6.8</v>
      </c>
      <c r="N220" t="s">
        <v>29</v>
      </c>
      <c r="O220" t="s">
        <v>7</v>
      </c>
      <c r="P220" t="s">
        <v>26</v>
      </c>
      <c r="Q220">
        <v>29</v>
      </c>
      <c r="R220">
        <v>3</v>
      </c>
      <c r="S220">
        <v>16.8</v>
      </c>
      <c r="T220">
        <v>118</v>
      </c>
      <c r="U220">
        <v>89</v>
      </c>
      <c r="V220">
        <v>7991</v>
      </c>
      <c r="W220">
        <v>52.8</v>
      </c>
      <c r="X220">
        <v>4</v>
      </c>
      <c r="Y220">
        <v>3</v>
      </c>
      <c r="Z220">
        <v>8</v>
      </c>
      <c r="AA220">
        <v>0.7</v>
      </c>
      <c r="AB220">
        <v>3</v>
      </c>
      <c r="AC220">
        <v>337</v>
      </c>
      <c r="AD220">
        <v>18</v>
      </c>
      <c r="AE220">
        <v>7</v>
      </c>
      <c r="AF220">
        <v>226</v>
      </c>
      <c r="AG220">
        <v>150</v>
      </c>
      <c r="AH220">
        <v>176</v>
      </c>
      <c r="AI220">
        <v>66</v>
      </c>
      <c r="AJ220">
        <v>32</v>
      </c>
      <c r="AK220">
        <v>61</v>
      </c>
      <c r="AL220">
        <v>36</v>
      </c>
      <c r="AM220">
        <v>7</v>
      </c>
      <c r="AN220">
        <v>164</v>
      </c>
      <c r="AO220">
        <v>57</v>
      </c>
      <c r="AP220">
        <v>44</v>
      </c>
      <c r="AQ220">
        <v>70</v>
      </c>
      <c r="AR220">
        <v>3651</v>
      </c>
      <c r="AS220">
        <v>4139</v>
      </c>
      <c r="AT220" t="s">
        <v>7</v>
      </c>
      <c r="AU220">
        <v>0.65</v>
      </c>
      <c r="AV220">
        <v>2017</v>
      </c>
      <c r="AW220" s="1">
        <v>45957</v>
      </c>
      <c r="AX220">
        <v>18.7</v>
      </c>
      <c r="AY220" t="s">
        <v>19</v>
      </c>
      <c r="AZ220" t="s">
        <v>20</v>
      </c>
      <c r="BA220" t="s">
        <v>12</v>
      </c>
      <c r="BB220" t="s">
        <v>13</v>
      </c>
      <c r="BC220" t="s">
        <v>7</v>
      </c>
      <c r="BD220">
        <v>2</v>
      </c>
      <c r="BE220" t="s">
        <v>14</v>
      </c>
      <c r="BF220">
        <v>0.97</v>
      </c>
    </row>
    <row r="221" spans="1:58" hidden="1" x14ac:dyDescent="0.2">
      <c r="A221">
        <v>220</v>
      </c>
      <c r="B221" t="s">
        <v>0</v>
      </c>
      <c r="C221">
        <v>53</v>
      </c>
      <c r="D221" t="s">
        <v>28</v>
      </c>
      <c r="E221" t="s">
        <v>126</v>
      </c>
      <c r="F221" t="s">
        <v>40</v>
      </c>
      <c r="G221" t="s">
        <v>16</v>
      </c>
      <c r="H221" t="s">
        <v>118</v>
      </c>
      <c r="I221" t="s">
        <v>113</v>
      </c>
      <c r="J221" t="s">
        <v>44</v>
      </c>
      <c r="K221" t="s">
        <v>7</v>
      </c>
      <c r="L221">
        <v>3.8</v>
      </c>
      <c r="M221">
        <v>6.6</v>
      </c>
      <c r="N221" t="s">
        <v>25</v>
      </c>
      <c r="O221" t="s">
        <v>7</v>
      </c>
      <c r="P221" t="s">
        <v>121</v>
      </c>
      <c r="Q221">
        <v>29</v>
      </c>
      <c r="R221">
        <v>2</v>
      </c>
      <c r="S221">
        <v>23.5</v>
      </c>
      <c r="T221">
        <v>109</v>
      </c>
      <c r="U221">
        <v>84</v>
      </c>
      <c r="V221">
        <v>8023</v>
      </c>
      <c r="W221">
        <v>32.799999999999997</v>
      </c>
      <c r="X221">
        <v>5</v>
      </c>
      <c r="Y221">
        <v>6</v>
      </c>
      <c r="Z221">
        <v>12</v>
      </c>
      <c r="AA221">
        <v>10.5</v>
      </c>
      <c r="AB221">
        <v>1</v>
      </c>
      <c r="AC221">
        <v>263</v>
      </c>
      <c r="AD221">
        <v>11</v>
      </c>
      <c r="AE221">
        <v>9</v>
      </c>
      <c r="AF221">
        <v>217</v>
      </c>
      <c r="AG221">
        <v>137</v>
      </c>
      <c r="AH221">
        <v>150</v>
      </c>
      <c r="AI221">
        <v>35</v>
      </c>
      <c r="AJ221">
        <v>40</v>
      </c>
      <c r="AK221">
        <v>45</v>
      </c>
      <c r="AL221">
        <v>19</v>
      </c>
      <c r="AM221">
        <v>9</v>
      </c>
      <c r="AN221">
        <v>133</v>
      </c>
      <c r="AO221">
        <v>48</v>
      </c>
      <c r="AP221">
        <v>40</v>
      </c>
      <c r="AQ221">
        <v>78</v>
      </c>
      <c r="AR221">
        <v>1435</v>
      </c>
      <c r="AS221">
        <v>975</v>
      </c>
      <c r="AT221" t="s">
        <v>13</v>
      </c>
      <c r="AU221">
        <v>0.6</v>
      </c>
      <c r="AV221">
        <v>2020</v>
      </c>
      <c r="AW221" s="1">
        <v>45715</v>
      </c>
      <c r="AX221">
        <v>23.9</v>
      </c>
      <c r="AY221" t="s">
        <v>10</v>
      </c>
      <c r="AZ221" t="s">
        <v>31</v>
      </c>
      <c r="BA221" t="s">
        <v>12</v>
      </c>
      <c r="BB221" t="s">
        <v>13</v>
      </c>
      <c r="BC221" t="s">
        <v>13</v>
      </c>
      <c r="BD221">
        <v>2</v>
      </c>
      <c r="BE221" t="s">
        <v>14</v>
      </c>
      <c r="BF221">
        <v>0.94</v>
      </c>
    </row>
    <row r="222" spans="1:58" hidden="1" x14ac:dyDescent="0.2">
      <c r="A222">
        <v>221</v>
      </c>
      <c r="B222" t="s">
        <v>0</v>
      </c>
      <c r="C222">
        <v>64</v>
      </c>
      <c r="D222" t="s">
        <v>28</v>
      </c>
      <c r="E222" t="s">
        <v>22</v>
      </c>
      <c r="F222" t="s">
        <v>40</v>
      </c>
      <c r="G222" t="s">
        <v>16</v>
      </c>
      <c r="H222" t="s">
        <v>23</v>
      </c>
      <c r="I222" t="s">
        <v>112</v>
      </c>
      <c r="J222" t="s">
        <v>6</v>
      </c>
      <c r="K222" t="s">
        <v>7</v>
      </c>
      <c r="L222">
        <v>1.5</v>
      </c>
      <c r="M222">
        <v>5.6</v>
      </c>
      <c r="N222" t="s">
        <v>25</v>
      </c>
      <c r="O222" t="s">
        <v>7</v>
      </c>
      <c r="P222" t="s">
        <v>9</v>
      </c>
      <c r="Q222">
        <v>0</v>
      </c>
      <c r="R222">
        <v>6</v>
      </c>
      <c r="S222">
        <v>30.5</v>
      </c>
      <c r="T222">
        <v>112</v>
      </c>
      <c r="U222">
        <v>91</v>
      </c>
      <c r="V222">
        <v>8015</v>
      </c>
      <c r="W222">
        <v>41.8</v>
      </c>
      <c r="X222">
        <v>3</v>
      </c>
      <c r="Y222">
        <v>2</v>
      </c>
      <c r="Z222">
        <v>6</v>
      </c>
      <c r="AA222">
        <v>4.0999999999999996</v>
      </c>
      <c r="AB222">
        <v>5</v>
      </c>
      <c r="AC222">
        <v>5</v>
      </c>
      <c r="AD222">
        <v>1</v>
      </c>
      <c r="AE222">
        <v>3</v>
      </c>
      <c r="AF222">
        <v>55</v>
      </c>
      <c r="AG222">
        <v>21</v>
      </c>
      <c r="AH222">
        <v>25</v>
      </c>
      <c r="AI222">
        <v>6</v>
      </c>
      <c r="AJ222">
        <v>13</v>
      </c>
      <c r="AK222">
        <v>11</v>
      </c>
      <c r="AL222">
        <v>4</v>
      </c>
      <c r="AM222">
        <v>0</v>
      </c>
      <c r="AN222">
        <v>2</v>
      </c>
      <c r="AO222">
        <v>1</v>
      </c>
      <c r="AP222">
        <v>1</v>
      </c>
      <c r="AQ222">
        <v>1</v>
      </c>
      <c r="AR222">
        <v>5037</v>
      </c>
      <c r="AS222">
        <v>4535</v>
      </c>
      <c r="AT222" t="s">
        <v>7</v>
      </c>
      <c r="AU222">
        <v>0.73</v>
      </c>
      <c r="AV222">
        <v>2011</v>
      </c>
      <c r="AW222" s="1">
        <v>45935</v>
      </c>
      <c r="AX222">
        <v>5</v>
      </c>
      <c r="AY222" t="s">
        <v>19</v>
      </c>
      <c r="AZ222" t="s">
        <v>11</v>
      </c>
      <c r="BA222" t="s">
        <v>12</v>
      </c>
      <c r="BB222" t="s">
        <v>7</v>
      </c>
      <c r="BC222" t="s">
        <v>7</v>
      </c>
      <c r="BD222">
        <v>3</v>
      </c>
      <c r="BE222" t="s">
        <v>14</v>
      </c>
      <c r="BF222">
        <v>7.67</v>
      </c>
    </row>
    <row r="223" spans="1:58" hidden="1" x14ac:dyDescent="0.2">
      <c r="A223">
        <v>222</v>
      </c>
      <c r="B223" t="s">
        <v>0</v>
      </c>
      <c r="C223">
        <v>61</v>
      </c>
      <c r="D223" t="s">
        <v>1</v>
      </c>
      <c r="E223" t="s">
        <v>47</v>
      </c>
      <c r="F223" t="s">
        <v>3</v>
      </c>
      <c r="G223" t="s">
        <v>16</v>
      </c>
      <c r="H223" t="s">
        <v>118</v>
      </c>
      <c r="I223" t="s">
        <v>115</v>
      </c>
      <c r="J223" t="s">
        <v>6</v>
      </c>
      <c r="K223" t="s">
        <v>7</v>
      </c>
      <c r="L223">
        <v>11.1</v>
      </c>
      <c r="M223">
        <v>8.6999999999999993</v>
      </c>
      <c r="N223" t="s">
        <v>25</v>
      </c>
      <c r="O223" t="s">
        <v>13</v>
      </c>
      <c r="P223" t="s">
        <v>52</v>
      </c>
      <c r="Q223">
        <v>24</v>
      </c>
      <c r="R223">
        <v>5</v>
      </c>
      <c r="S223">
        <v>22.9</v>
      </c>
      <c r="T223">
        <v>102</v>
      </c>
      <c r="U223">
        <v>75</v>
      </c>
      <c r="V223">
        <v>8162</v>
      </c>
      <c r="W223">
        <v>47</v>
      </c>
      <c r="X223">
        <v>4</v>
      </c>
      <c r="Y223">
        <v>6</v>
      </c>
      <c r="Z223">
        <v>15</v>
      </c>
      <c r="AA223">
        <v>3</v>
      </c>
      <c r="AB223">
        <v>7</v>
      </c>
      <c r="AC223">
        <v>177</v>
      </c>
      <c r="AD223">
        <v>6</v>
      </c>
      <c r="AE223">
        <v>5</v>
      </c>
      <c r="AF223">
        <v>155</v>
      </c>
      <c r="AG223">
        <v>103</v>
      </c>
      <c r="AH223">
        <v>133</v>
      </c>
      <c r="AI223">
        <v>34</v>
      </c>
      <c r="AJ223">
        <v>39</v>
      </c>
      <c r="AK223">
        <v>25</v>
      </c>
      <c r="AL223">
        <v>21</v>
      </c>
      <c r="AM223">
        <v>4</v>
      </c>
      <c r="AN223">
        <v>81</v>
      </c>
      <c r="AO223">
        <v>25</v>
      </c>
      <c r="AP223">
        <v>43</v>
      </c>
      <c r="AQ223">
        <v>50</v>
      </c>
      <c r="AR223">
        <v>3036</v>
      </c>
      <c r="AS223">
        <v>2484</v>
      </c>
      <c r="AT223" t="s">
        <v>7</v>
      </c>
      <c r="AU223">
        <v>0.73</v>
      </c>
      <c r="AV223">
        <v>2024</v>
      </c>
      <c r="AW223" s="1">
        <v>45977</v>
      </c>
      <c r="AX223">
        <v>29.5</v>
      </c>
      <c r="AY223" t="s">
        <v>19</v>
      </c>
      <c r="AZ223" t="s">
        <v>48</v>
      </c>
      <c r="BA223" t="s">
        <v>12</v>
      </c>
      <c r="BB223" t="s">
        <v>13</v>
      </c>
      <c r="BC223" t="s">
        <v>7</v>
      </c>
      <c r="BD223">
        <v>0</v>
      </c>
      <c r="BE223" t="s">
        <v>43</v>
      </c>
      <c r="BF223">
        <v>1.21</v>
      </c>
    </row>
    <row r="224" spans="1:58" hidden="1" x14ac:dyDescent="0.2">
      <c r="A224">
        <v>223</v>
      </c>
      <c r="B224" t="s">
        <v>0</v>
      </c>
      <c r="C224">
        <v>61</v>
      </c>
      <c r="D224" t="s">
        <v>28</v>
      </c>
      <c r="E224" t="s">
        <v>33</v>
      </c>
      <c r="F224" t="s">
        <v>15</v>
      </c>
      <c r="G224" t="s">
        <v>116</v>
      </c>
      <c r="H224" t="s">
        <v>118</v>
      </c>
      <c r="I224" t="s">
        <v>112</v>
      </c>
      <c r="J224" t="s">
        <v>32</v>
      </c>
      <c r="K224" t="s">
        <v>7</v>
      </c>
      <c r="L224">
        <v>8.1999999999999993</v>
      </c>
      <c r="M224">
        <v>6</v>
      </c>
      <c r="N224" t="s">
        <v>120</v>
      </c>
      <c r="O224" t="s">
        <v>41</v>
      </c>
      <c r="P224" t="s">
        <v>9</v>
      </c>
      <c r="Q224">
        <v>20</v>
      </c>
      <c r="R224">
        <v>2</v>
      </c>
      <c r="S224">
        <v>21.4</v>
      </c>
      <c r="T224">
        <v>107</v>
      </c>
      <c r="U224">
        <v>80</v>
      </c>
      <c r="V224">
        <v>8109</v>
      </c>
      <c r="W224">
        <v>24.4</v>
      </c>
      <c r="X224">
        <v>0</v>
      </c>
      <c r="Y224">
        <v>7</v>
      </c>
      <c r="Z224">
        <v>12</v>
      </c>
      <c r="AA224">
        <v>0.4</v>
      </c>
      <c r="AB224">
        <v>2</v>
      </c>
      <c r="AC224">
        <v>244</v>
      </c>
      <c r="AD224">
        <v>24</v>
      </c>
      <c r="AE224">
        <v>8</v>
      </c>
      <c r="AF224">
        <v>161</v>
      </c>
      <c r="AG224">
        <v>122</v>
      </c>
      <c r="AH224">
        <v>147</v>
      </c>
      <c r="AI224">
        <v>48</v>
      </c>
      <c r="AJ224">
        <v>37</v>
      </c>
      <c r="AK224">
        <v>34</v>
      </c>
      <c r="AL224">
        <v>24</v>
      </c>
      <c r="AM224">
        <v>6</v>
      </c>
      <c r="AN224">
        <v>101</v>
      </c>
      <c r="AO224">
        <v>62</v>
      </c>
      <c r="AP224">
        <v>61</v>
      </c>
      <c r="AQ224">
        <v>86</v>
      </c>
      <c r="AR224">
        <v>1700</v>
      </c>
      <c r="AS224">
        <v>1266</v>
      </c>
      <c r="AT224" t="s">
        <v>7</v>
      </c>
      <c r="AU224">
        <v>0.7</v>
      </c>
      <c r="AV224">
        <v>2024</v>
      </c>
      <c r="AW224" s="1">
        <v>45813</v>
      </c>
      <c r="AX224">
        <v>10.199999999999999</v>
      </c>
      <c r="AY224" t="s">
        <v>36</v>
      </c>
      <c r="AZ224" t="s">
        <v>37</v>
      </c>
      <c r="BA224" t="s">
        <v>122</v>
      </c>
      <c r="BB224" t="s">
        <v>7</v>
      </c>
      <c r="BC224" t="s">
        <v>13</v>
      </c>
      <c r="BD224">
        <v>0</v>
      </c>
      <c r="BE224" t="s">
        <v>14</v>
      </c>
      <c r="BF224">
        <v>1.0900000000000001</v>
      </c>
    </row>
    <row r="225" spans="1:58" hidden="1" x14ac:dyDescent="0.2">
      <c r="A225">
        <v>224</v>
      </c>
      <c r="B225" t="s">
        <v>0</v>
      </c>
      <c r="C225">
        <v>64</v>
      </c>
      <c r="D225" t="s">
        <v>28</v>
      </c>
      <c r="E225" t="s">
        <v>47</v>
      </c>
      <c r="F225" t="s">
        <v>40</v>
      </c>
      <c r="G225" t="s">
        <v>116</v>
      </c>
      <c r="H225" t="s">
        <v>34</v>
      </c>
      <c r="I225" t="s">
        <v>115</v>
      </c>
      <c r="J225" t="s">
        <v>18</v>
      </c>
      <c r="K225" t="s">
        <v>7</v>
      </c>
      <c r="L225">
        <v>13.8</v>
      </c>
      <c r="M225">
        <v>6.6</v>
      </c>
      <c r="N225" t="s">
        <v>120</v>
      </c>
      <c r="O225" t="s">
        <v>7</v>
      </c>
      <c r="P225" t="s">
        <v>26</v>
      </c>
      <c r="Q225">
        <v>7</v>
      </c>
      <c r="R225">
        <v>9</v>
      </c>
      <c r="S225">
        <v>20.8</v>
      </c>
      <c r="T225">
        <v>156</v>
      </c>
      <c r="U225">
        <v>81</v>
      </c>
      <c r="V225">
        <v>8029</v>
      </c>
      <c r="W225">
        <v>17.3</v>
      </c>
      <c r="X225">
        <v>3</v>
      </c>
      <c r="Y225">
        <v>5</v>
      </c>
      <c r="Z225">
        <v>16</v>
      </c>
      <c r="AA225">
        <v>1.7</v>
      </c>
      <c r="AB225">
        <v>1</v>
      </c>
      <c r="AC225">
        <v>5</v>
      </c>
      <c r="AD225">
        <v>1</v>
      </c>
      <c r="AE225">
        <v>4</v>
      </c>
      <c r="AF225">
        <v>45</v>
      </c>
      <c r="AG225">
        <v>27</v>
      </c>
      <c r="AH225">
        <v>26</v>
      </c>
      <c r="AI225">
        <v>8</v>
      </c>
      <c r="AJ225">
        <v>15</v>
      </c>
      <c r="AK225">
        <v>16</v>
      </c>
      <c r="AL225">
        <v>5</v>
      </c>
      <c r="AM225">
        <v>0</v>
      </c>
      <c r="AN225">
        <v>3</v>
      </c>
      <c r="AO225">
        <v>1</v>
      </c>
      <c r="AP225">
        <v>1</v>
      </c>
      <c r="AQ225">
        <v>1</v>
      </c>
      <c r="AR225">
        <v>9896</v>
      </c>
      <c r="AS225">
        <v>10000</v>
      </c>
      <c r="AT225" t="s">
        <v>13</v>
      </c>
      <c r="AU225">
        <v>0.38</v>
      </c>
      <c r="AV225">
        <v>2024</v>
      </c>
      <c r="AW225" s="1">
        <v>45867</v>
      </c>
      <c r="AX225">
        <v>5</v>
      </c>
      <c r="AY225" t="s">
        <v>27</v>
      </c>
      <c r="AZ225" t="s">
        <v>37</v>
      </c>
      <c r="BA225" t="s">
        <v>21</v>
      </c>
      <c r="BB225" t="s">
        <v>13</v>
      </c>
      <c r="BC225" t="s">
        <v>13</v>
      </c>
      <c r="BD225">
        <v>1</v>
      </c>
      <c r="BE225" t="s">
        <v>14</v>
      </c>
      <c r="BF225">
        <v>9</v>
      </c>
    </row>
    <row r="226" spans="1:58" hidden="1" x14ac:dyDescent="0.2">
      <c r="A226">
        <v>225</v>
      </c>
      <c r="B226" t="s">
        <v>0</v>
      </c>
      <c r="C226">
        <v>24</v>
      </c>
      <c r="D226" t="s">
        <v>1</v>
      </c>
      <c r="E226" t="s">
        <v>33</v>
      </c>
      <c r="F226" t="s">
        <v>40</v>
      </c>
      <c r="G226" t="s">
        <v>117</v>
      </c>
      <c r="H226" t="s">
        <v>118</v>
      </c>
      <c r="I226" t="s">
        <v>115</v>
      </c>
      <c r="J226" t="s">
        <v>32</v>
      </c>
      <c r="K226" t="s">
        <v>7</v>
      </c>
      <c r="L226">
        <v>11.3</v>
      </c>
      <c r="M226">
        <v>5.9</v>
      </c>
      <c r="N226" t="s">
        <v>39</v>
      </c>
      <c r="O226" t="s">
        <v>41</v>
      </c>
      <c r="P226" t="s">
        <v>9</v>
      </c>
      <c r="Q226">
        <v>14</v>
      </c>
      <c r="R226">
        <v>7</v>
      </c>
      <c r="S226">
        <v>25.1</v>
      </c>
      <c r="T226">
        <v>105</v>
      </c>
      <c r="U226">
        <v>63</v>
      </c>
      <c r="V226">
        <v>7964</v>
      </c>
      <c r="W226">
        <v>33.700000000000003</v>
      </c>
      <c r="X226">
        <v>3</v>
      </c>
      <c r="Y226">
        <v>6</v>
      </c>
      <c r="Z226">
        <v>16</v>
      </c>
      <c r="AA226">
        <v>3.1</v>
      </c>
      <c r="AB226">
        <v>4</v>
      </c>
      <c r="AC226">
        <v>130</v>
      </c>
      <c r="AD226">
        <v>9</v>
      </c>
      <c r="AE226">
        <v>5</v>
      </c>
      <c r="AF226">
        <v>191</v>
      </c>
      <c r="AG226">
        <v>79</v>
      </c>
      <c r="AH226">
        <v>97</v>
      </c>
      <c r="AI226">
        <v>13</v>
      </c>
      <c r="AJ226">
        <v>31</v>
      </c>
      <c r="AK226">
        <v>26</v>
      </c>
      <c r="AL226">
        <v>14</v>
      </c>
      <c r="AM226">
        <v>0</v>
      </c>
      <c r="AN226">
        <v>64</v>
      </c>
      <c r="AO226">
        <v>28</v>
      </c>
      <c r="AP226">
        <v>16</v>
      </c>
      <c r="AQ226">
        <v>39</v>
      </c>
      <c r="AR226">
        <v>11685</v>
      </c>
      <c r="AS226">
        <v>8034</v>
      </c>
      <c r="AT226" t="s">
        <v>7</v>
      </c>
      <c r="AU226">
        <v>0.3</v>
      </c>
      <c r="AV226">
        <v>2011</v>
      </c>
      <c r="AW226" s="1">
        <v>45970</v>
      </c>
      <c r="AX226">
        <v>14.4</v>
      </c>
      <c r="AY226" t="s">
        <v>27</v>
      </c>
      <c r="AZ226" t="s">
        <v>51</v>
      </c>
      <c r="BA226" t="s">
        <v>21</v>
      </c>
      <c r="BB226" t="s">
        <v>13</v>
      </c>
      <c r="BC226" t="s">
        <v>7</v>
      </c>
      <c r="BD226">
        <v>4</v>
      </c>
      <c r="BE226" t="s">
        <v>14</v>
      </c>
      <c r="BF226">
        <v>1.05</v>
      </c>
    </row>
    <row r="227" spans="1:58" hidden="1" x14ac:dyDescent="0.2">
      <c r="A227">
        <v>226</v>
      </c>
      <c r="B227" t="s">
        <v>0</v>
      </c>
      <c r="C227">
        <v>51</v>
      </c>
      <c r="D227" t="s">
        <v>28</v>
      </c>
      <c r="E227" t="s">
        <v>2</v>
      </c>
      <c r="F227" t="s">
        <v>15</v>
      </c>
      <c r="G227" t="s">
        <v>38</v>
      </c>
      <c r="H227" t="s">
        <v>119</v>
      </c>
      <c r="I227" t="s">
        <v>112</v>
      </c>
      <c r="J227" t="s">
        <v>32</v>
      </c>
      <c r="K227" t="s">
        <v>7</v>
      </c>
      <c r="L227">
        <v>0.9</v>
      </c>
      <c r="M227">
        <v>7.6</v>
      </c>
      <c r="N227" t="s">
        <v>29</v>
      </c>
      <c r="O227" t="s">
        <v>41</v>
      </c>
      <c r="P227" t="s">
        <v>26</v>
      </c>
      <c r="Q227">
        <v>38</v>
      </c>
      <c r="R227">
        <v>6</v>
      </c>
      <c r="S227">
        <v>26.9</v>
      </c>
      <c r="T227">
        <v>111</v>
      </c>
      <c r="U227">
        <v>70</v>
      </c>
      <c r="V227">
        <v>8073</v>
      </c>
      <c r="W227">
        <v>32.799999999999997</v>
      </c>
      <c r="X227">
        <v>3</v>
      </c>
      <c r="Y227">
        <v>3</v>
      </c>
      <c r="Z227">
        <v>18</v>
      </c>
      <c r="AA227">
        <v>7.2</v>
      </c>
      <c r="AB227">
        <v>1</v>
      </c>
      <c r="AC227">
        <v>338</v>
      </c>
      <c r="AD227">
        <v>10</v>
      </c>
      <c r="AE227">
        <v>9</v>
      </c>
      <c r="AF227">
        <v>248</v>
      </c>
      <c r="AG227">
        <v>150</v>
      </c>
      <c r="AH227">
        <v>207</v>
      </c>
      <c r="AI227">
        <v>50</v>
      </c>
      <c r="AJ227">
        <v>69</v>
      </c>
      <c r="AK227">
        <v>47</v>
      </c>
      <c r="AL227">
        <v>31</v>
      </c>
      <c r="AM227">
        <v>11</v>
      </c>
      <c r="AN227">
        <v>139</v>
      </c>
      <c r="AO227">
        <v>37</v>
      </c>
      <c r="AP227">
        <v>60</v>
      </c>
      <c r="AQ227">
        <v>71</v>
      </c>
      <c r="AR227">
        <v>7890</v>
      </c>
      <c r="AS227">
        <v>10000</v>
      </c>
      <c r="AT227" t="s">
        <v>7</v>
      </c>
      <c r="AU227">
        <v>0.72</v>
      </c>
      <c r="AV227">
        <v>2014</v>
      </c>
      <c r="AW227" s="1">
        <v>45693</v>
      </c>
      <c r="AX227">
        <v>33.799999999999997</v>
      </c>
      <c r="AY227" t="s">
        <v>10</v>
      </c>
      <c r="AZ227" t="s">
        <v>51</v>
      </c>
      <c r="BA227" t="s">
        <v>122</v>
      </c>
      <c r="BB227" t="s">
        <v>13</v>
      </c>
      <c r="BC227" t="s">
        <v>13</v>
      </c>
      <c r="BD227">
        <v>1</v>
      </c>
      <c r="BE227" t="s">
        <v>49</v>
      </c>
      <c r="BF227">
        <v>0.99</v>
      </c>
    </row>
    <row r="228" spans="1:58" hidden="1" x14ac:dyDescent="0.2">
      <c r="A228">
        <v>227</v>
      </c>
      <c r="B228" t="s">
        <v>0</v>
      </c>
      <c r="C228">
        <v>14</v>
      </c>
      <c r="D228" t="s">
        <v>28</v>
      </c>
      <c r="E228" t="s">
        <v>128</v>
      </c>
      <c r="F228" t="s">
        <v>15</v>
      </c>
      <c r="G228" t="s">
        <v>117</v>
      </c>
      <c r="H228" t="s">
        <v>34</v>
      </c>
      <c r="I228" t="s">
        <v>112</v>
      </c>
      <c r="J228" t="s">
        <v>32</v>
      </c>
      <c r="K228" t="s">
        <v>7</v>
      </c>
      <c r="L228">
        <v>10.1</v>
      </c>
      <c r="M228">
        <v>8.8000000000000007</v>
      </c>
      <c r="N228" t="s">
        <v>29</v>
      </c>
      <c r="O228" t="s">
        <v>7</v>
      </c>
      <c r="P228" t="s">
        <v>9</v>
      </c>
      <c r="Q228">
        <v>17</v>
      </c>
      <c r="R228">
        <v>6</v>
      </c>
      <c r="S228">
        <v>22.8</v>
      </c>
      <c r="T228">
        <v>140</v>
      </c>
      <c r="U228">
        <v>79</v>
      </c>
      <c r="V228">
        <v>7872</v>
      </c>
      <c r="W228">
        <v>38</v>
      </c>
      <c r="X228">
        <v>4</v>
      </c>
      <c r="Y228">
        <v>2</v>
      </c>
      <c r="Z228">
        <v>12</v>
      </c>
      <c r="AA228">
        <v>2.5</v>
      </c>
      <c r="AB228">
        <v>3</v>
      </c>
      <c r="AC228">
        <v>143</v>
      </c>
      <c r="AD228">
        <v>16</v>
      </c>
      <c r="AE228">
        <v>8</v>
      </c>
      <c r="AF228">
        <v>220</v>
      </c>
      <c r="AG228">
        <v>80</v>
      </c>
      <c r="AH228">
        <v>90</v>
      </c>
      <c r="AI228">
        <v>22</v>
      </c>
      <c r="AJ228">
        <v>27</v>
      </c>
      <c r="AK228">
        <v>28</v>
      </c>
      <c r="AL228">
        <v>21</v>
      </c>
      <c r="AM228">
        <v>1</v>
      </c>
      <c r="AN228">
        <v>68</v>
      </c>
      <c r="AO228">
        <v>37</v>
      </c>
      <c r="AP228">
        <v>35</v>
      </c>
      <c r="AQ228">
        <v>39</v>
      </c>
      <c r="AR228">
        <v>1841</v>
      </c>
      <c r="AS228">
        <v>3989</v>
      </c>
      <c r="AT228" t="s">
        <v>7</v>
      </c>
      <c r="AU228">
        <v>0.39</v>
      </c>
      <c r="AV228">
        <v>2014</v>
      </c>
      <c r="AW228" s="1">
        <v>45672</v>
      </c>
      <c r="AX228">
        <v>8.9</v>
      </c>
      <c r="AY228" t="s">
        <v>45</v>
      </c>
      <c r="AZ228" t="s">
        <v>20</v>
      </c>
      <c r="BA228" t="s">
        <v>122</v>
      </c>
      <c r="BB228" t="s">
        <v>7</v>
      </c>
      <c r="BC228" t="s">
        <v>7</v>
      </c>
      <c r="BD228">
        <v>1</v>
      </c>
      <c r="BE228" t="s">
        <v>14</v>
      </c>
      <c r="BF228">
        <v>1.1000000000000001</v>
      </c>
    </row>
    <row r="229" spans="1:58" hidden="1" x14ac:dyDescent="0.2">
      <c r="A229">
        <v>228</v>
      </c>
      <c r="B229" t="s">
        <v>0</v>
      </c>
      <c r="C229">
        <v>15</v>
      </c>
      <c r="D229" t="s">
        <v>1</v>
      </c>
      <c r="E229" t="s">
        <v>17</v>
      </c>
      <c r="F229" t="s">
        <v>15</v>
      </c>
      <c r="G229" t="s">
        <v>38</v>
      </c>
      <c r="H229" t="s">
        <v>118</v>
      </c>
      <c r="I229" t="s">
        <v>113</v>
      </c>
      <c r="J229" t="s">
        <v>6</v>
      </c>
      <c r="K229" t="s">
        <v>7</v>
      </c>
      <c r="L229">
        <v>9.6999999999999993</v>
      </c>
      <c r="M229">
        <v>6.6</v>
      </c>
      <c r="N229" t="s">
        <v>25</v>
      </c>
      <c r="O229" t="s">
        <v>13</v>
      </c>
      <c r="P229" t="s">
        <v>26</v>
      </c>
      <c r="Q229">
        <v>24</v>
      </c>
      <c r="R229">
        <v>1</v>
      </c>
      <c r="S229">
        <v>23.9</v>
      </c>
      <c r="T229">
        <v>111</v>
      </c>
      <c r="U229">
        <v>63</v>
      </c>
      <c r="V229">
        <v>7838</v>
      </c>
      <c r="W229">
        <v>42.3</v>
      </c>
      <c r="X229">
        <v>4</v>
      </c>
      <c r="Y229">
        <v>4</v>
      </c>
      <c r="Z229">
        <v>13</v>
      </c>
      <c r="AA229">
        <v>4.3</v>
      </c>
      <c r="AB229">
        <v>6</v>
      </c>
      <c r="AC229">
        <v>328</v>
      </c>
      <c r="AD229">
        <v>10</v>
      </c>
      <c r="AE229">
        <v>13</v>
      </c>
      <c r="AF229">
        <v>300</v>
      </c>
      <c r="AG229">
        <v>150</v>
      </c>
      <c r="AH229">
        <v>215</v>
      </c>
      <c r="AI229">
        <v>48</v>
      </c>
      <c r="AJ229">
        <v>36</v>
      </c>
      <c r="AK229">
        <v>52</v>
      </c>
      <c r="AL229">
        <v>34</v>
      </c>
      <c r="AM229">
        <v>7</v>
      </c>
      <c r="AN229">
        <v>173</v>
      </c>
      <c r="AO229">
        <v>49</v>
      </c>
      <c r="AP229">
        <v>50</v>
      </c>
      <c r="AQ229">
        <v>105</v>
      </c>
      <c r="AR229">
        <v>689</v>
      </c>
      <c r="AS229">
        <v>576</v>
      </c>
      <c r="AT229" t="s">
        <v>7</v>
      </c>
      <c r="AU229">
        <v>0.62</v>
      </c>
      <c r="AV229">
        <v>2022</v>
      </c>
      <c r="AW229" s="1">
        <v>45709</v>
      </c>
      <c r="AX229">
        <v>32.799999999999997</v>
      </c>
      <c r="AY229" t="s">
        <v>36</v>
      </c>
      <c r="AZ229" t="s">
        <v>20</v>
      </c>
      <c r="BA229" t="s">
        <v>122</v>
      </c>
      <c r="BB229" t="s">
        <v>13</v>
      </c>
      <c r="BC229" t="s">
        <v>7</v>
      </c>
      <c r="BD229">
        <v>1</v>
      </c>
      <c r="BE229" t="s">
        <v>14</v>
      </c>
      <c r="BF229">
        <v>1.06</v>
      </c>
    </row>
    <row r="230" spans="1:58" hidden="1" x14ac:dyDescent="0.2">
      <c r="A230">
        <v>229</v>
      </c>
      <c r="B230" t="s">
        <v>0</v>
      </c>
      <c r="C230">
        <v>61</v>
      </c>
      <c r="D230" t="s">
        <v>28</v>
      </c>
      <c r="E230" t="s">
        <v>17</v>
      </c>
      <c r="F230" t="s">
        <v>15</v>
      </c>
      <c r="G230" t="s">
        <v>38</v>
      </c>
      <c r="H230" t="s">
        <v>118</v>
      </c>
      <c r="I230" t="s">
        <v>115</v>
      </c>
      <c r="J230" t="s">
        <v>6</v>
      </c>
      <c r="K230" t="s">
        <v>13</v>
      </c>
      <c r="L230">
        <v>9.6</v>
      </c>
      <c r="M230">
        <v>7.1</v>
      </c>
      <c r="N230" t="s">
        <v>29</v>
      </c>
      <c r="O230" t="s">
        <v>13</v>
      </c>
      <c r="P230" t="s">
        <v>9</v>
      </c>
      <c r="Q230">
        <v>28</v>
      </c>
      <c r="R230">
        <v>10</v>
      </c>
      <c r="S230">
        <v>27.4</v>
      </c>
      <c r="T230">
        <v>141</v>
      </c>
      <c r="U230">
        <v>61</v>
      </c>
      <c r="V230">
        <v>8002</v>
      </c>
      <c r="W230">
        <v>30.5</v>
      </c>
      <c r="X230">
        <v>4</v>
      </c>
      <c r="Y230">
        <v>2</v>
      </c>
      <c r="Z230">
        <v>7</v>
      </c>
      <c r="AA230">
        <v>4.5</v>
      </c>
      <c r="AB230">
        <v>1</v>
      </c>
      <c r="AC230">
        <v>198</v>
      </c>
      <c r="AD230">
        <v>6</v>
      </c>
      <c r="AE230">
        <v>4</v>
      </c>
      <c r="AF230">
        <v>164</v>
      </c>
      <c r="AG230">
        <v>109</v>
      </c>
      <c r="AH230">
        <v>118</v>
      </c>
      <c r="AI230">
        <v>29</v>
      </c>
      <c r="AJ230">
        <v>35</v>
      </c>
      <c r="AK230">
        <v>41</v>
      </c>
      <c r="AL230">
        <v>22</v>
      </c>
      <c r="AM230">
        <v>6</v>
      </c>
      <c r="AN230">
        <v>103</v>
      </c>
      <c r="AO230">
        <v>51</v>
      </c>
      <c r="AP230">
        <v>44</v>
      </c>
      <c r="AQ230">
        <v>79</v>
      </c>
      <c r="AR230">
        <v>5557</v>
      </c>
      <c r="AS230">
        <v>5203</v>
      </c>
      <c r="AT230" t="s">
        <v>13</v>
      </c>
      <c r="AU230">
        <v>0.82</v>
      </c>
      <c r="AV230">
        <v>2011</v>
      </c>
      <c r="AW230" s="1">
        <v>45876</v>
      </c>
      <c r="AX230">
        <v>33</v>
      </c>
      <c r="AY230" t="s">
        <v>10</v>
      </c>
      <c r="AZ230" t="s">
        <v>11</v>
      </c>
      <c r="BA230" t="s">
        <v>21</v>
      </c>
      <c r="BB230" t="s">
        <v>13</v>
      </c>
      <c r="BC230" t="s">
        <v>7</v>
      </c>
      <c r="BD230">
        <v>4</v>
      </c>
      <c r="BE230" t="s">
        <v>43</v>
      </c>
      <c r="BF230">
        <v>0.94</v>
      </c>
    </row>
    <row r="231" spans="1:58" hidden="1" x14ac:dyDescent="0.2">
      <c r="A231">
        <v>230</v>
      </c>
      <c r="B231" t="s">
        <v>0</v>
      </c>
      <c r="C231">
        <v>49</v>
      </c>
      <c r="D231" t="s">
        <v>28</v>
      </c>
      <c r="E231" t="s">
        <v>17</v>
      </c>
      <c r="F231" t="s">
        <v>15</v>
      </c>
      <c r="G231" t="s">
        <v>16</v>
      </c>
      <c r="H231" t="s">
        <v>118</v>
      </c>
      <c r="I231" t="s">
        <v>112</v>
      </c>
      <c r="J231" t="s">
        <v>123</v>
      </c>
      <c r="K231" t="s">
        <v>13</v>
      </c>
      <c r="L231">
        <v>7.3</v>
      </c>
      <c r="M231">
        <v>5.7</v>
      </c>
      <c r="N231" t="s">
        <v>29</v>
      </c>
      <c r="O231" t="s">
        <v>13</v>
      </c>
      <c r="P231" t="s">
        <v>9</v>
      </c>
      <c r="Q231">
        <v>0</v>
      </c>
      <c r="R231">
        <v>7</v>
      </c>
      <c r="S231">
        <v>19.399999999999999</v>
      </c>
      <c r="T231">
        <v>152</v>
      </c>
      <c r="U231">
        <v>77</v>
      </c>
      <c r="V231">
        <v>7878</v>
      </c>
      <c r="W231">
        <v>44.1</v>
      </c>
      <c r="X231">
        <v>3</v>
      </c>
      <c r="Y231">
        <v>6</v>
      </c>
      <c r="Z231">
        <v>4</v>
      </c>
      <c r="AA231">
        <v>8.6999999999999993</v>
      </c>
      <c r="AB231">
        <v>4</v>
      </c>
      <c r="AC231">
        <v>49</v>
      </c>
      <c r="AD231">
        <v>3</v>
      </c>
      <c r="AE231">
        <v>2</v>
      </c>
      <c r="AF231">
        <v>72</v>
      </c>
      <c r="AG231">
        <v>64</v>
      </c>
      <c r="AH231">
        <v>48</v>
      </c>
      <c r="AI231">
        <v>13</v>
      </c>
      <c r="AJ231">
        <v>15</v>
      </c>
      <c r="AK231">
        <v>12</v>
      </c>
      <c r="AL231">
        <v>10</v>
      </c>
      <c r="AM231">
        <v>2</v>
      </c>
      <c r="AN231">
        <v>22</v>
      </c>
      <c r="AO231">
        <v>9</v>
      </c>
      <c r="AP231">
        <v>11</v>
      </c>
      <c r="AQ231">
        <v>14</v>
      </c>
      <c r="AR231">
        <v>440</v>
      </c>
      <c r="AS231">
        <v>402</v>
      </c>
      <c r="AT231" t="s">
        <v>7</v>
      </c>
      <c r="AU231">
        <v>0.71</v>
      </c>
      <c r="AV231">
        <v>2024</v>
      </c>
      <c r="AW231" s="1">
        <v>45907</v>
      </c>
      <c r="AX231">
        <v>16.3</v>
      </c>
      <c r="AY231" t="s">
        <v>45</v>
      </c>
      <c r="AZ231" t="s">
        <v>35</v>
      </c>
      <c r="BA231" t="s">
        <v>122</v>
      </c>
      <c r="BB231" t="s">
        <v>13</v>
      </c>
      <c r="BC231" t="s">
        <v>13</v>
      </c>
      <c r="BD231">
        <v>1</v>
      </c>
      <c r="BE231" t="s">
        <v>14</v>
      </c>
      <c r="BF231">
        <v>1.6</v>
      </c>
    </row>
    <row r="232" spans="1:58" hidden="1" x14ac:dyDescent="0.2">
      <c r="A232">
        <v>231</v>
      </c>
      <c r="B232" t="s">
        <v>0</v>
      </c>
      <c r="C232">
        <v>61</v>
      </c>
      <c r="D232" t="s">
        <v>1</v>
      </c>
      <c r="E232" t="s">
        <v>126</v>
      </c>
      <c r="F232" t="s">
        <v>40</v>
      </c>
      <c r="G232" t="s">
        <v>38</v>
      </c>
      <c r="H232" t="s">
        <v>118</v>
      </c>
      <c r="I232" t="s">
        <v>114</v>
      </c>
      <c r="J232" t="s">
        <v>18</v>
      </c>
      <c r="K232" t="s">
        <v>7</v>
      </c>
      <c r="L232">
        <v>9.3000000000000007</v>
      </c>
      <c r="M232">
        <v>6.9</v>
      </c>
      <c r="N232" t="s">
        <v>8</v>
      </c>
      <c r="O232" t="s">
        <v>7</v>
      </c>
      <c r="P232" t="s">
        <v>121</v>
      </c>
      <c r="Q232">
        <v>28</v>
      </c>
      <c r="R232">
        <v>8</v>
      </c>
      <c r="S232">
        <v>24.1</v>
      </c>
      <c r="T232">
        <v>158</v>
      </c>
      <c r="U232">
        <v>98</v>
      </c>
      <c r="V232">
        <v>7963</v>
      </c>
      <c r="W232">
        <v>46.8</v>
      </c>
      <c r="X232">
        <v>2</v>
      </c>
      <c r="Y232">
        <v>7</v>
      </c>
      <c r="Z232">
        <v>7</v>
      </c>
      <c r="AA232">
        <v>1.4</v>
      </c>
      <c r="AB232">
        <v>3</v>
      </c>
      <c r="AC232">
        <v>150</v>
      </c>
      <c r="AD232">
        <v>9</v>
      </c>
      <c r="AE232">
        <v>4</v>
      </c>
      <c r="AF232">
        <v>125</v>
      </c>
      <c r="AG232">
        <v>97</v>
      </c>
      <c r="AH232">
        <v>94</v>
      </c>
      <c r="AI232">
        <v>35</v>
      </c>
      <c r="AJ232">
        <v>22</v>
      </c>
      <c r="AK232">
        <v>23</v>
      </c>
      <c r="AL232">
        <v>18</v>
      </c>
      <c r="AM232">
        <v>4</v>
      </c>
      <c r="AN232">
        <v>75</v>
      </c>
      <c r="AO232">
        <v>30</v>
      </c>
      <c r="AP232">
        <v>32</v>
      </c>
      <c r="AQ232">
        <v>50</v>
      </c>
      <c r="AR232">
        <v>306</v>
      </c>
      <c r="AS232">
        <v>312</v>
      </c>
      <c r="AT232" t="s">
        <v>7</v>
      </c>
      <c r="AU232">
        <v>0.66</v>
      </c>
      <c r="AV232">
        <v>2018</v>
      </c>
      <c r="AW232" s="1">
        <v>45995</v>
      </c>
      <c r="AX232">
        <v>16.7</v>
      </c>
      <c r="AY232" t="s">
        <v>27</v>
      </c>
      <c r="AZ232" t="s">
        <v>51</v>
      </c>
      <c r="BA232" t="s">
        <v>12</v>
      </c>
      <c r="BB232" t="s">
        <v>13</v>
      </c>
      <c r="BC232" t="s">
        <v>7</v>
      </c>
      <c r="BD232">
        <v>2</v>
      </c>
      <c r="BE232" t="s">
        <v>43</v>
      </c>
      <c r="BF232">
        <v>1.17</v>
      </c>
    </row>
    <row r="233" spans="1:58" hidden="1" x14ac:dyDescent="0.2">
      <c r="A233">
        <v>232</v>
      </c>
      <c r="B233" t="s">
        <v>0</v>
      </c>
      <c r="C233">
        <v>29</v>
      </c>
      <c r="D233" t="s">
        <v>1</v>
      </c>
      <c r="E233" t="s">
        <v>128</v>
      </c>
      <c r="F233" t="s">
        <v>40</v>
      </c>
      <c r="G233" t="s">
        <v>38</v>
      </c>
      <c r="H233" t="s">
        <v>118</v>
      </c>
      <c r="I233" t="s">
        <v>115</v>
      </c>
      <c r="J233" t="s">
        <v>32</v>
      </c>
      <c r="K233" t="s">
        <v>7</v>
      </c>
      <c r="L233">
        <v>7.8</v>
      </c>
      <c r="M233">
        <v>7.7</v>
      </c>
      <c r="N233" t="s">
        <v>29</v>
      </c>
      <c r="O233" t="s">
        <v>7</v>
      </c>
      <c r="P233" t="s">
        <v>26</v>
      </c>
      <c r="Q233">
        <v>30</v>
      </c>
      <c r="R233">
        <v>6</v>
      </c>
      <c r="S233">
        <v>30</v>
      </c>
      <c r="T233">
        <v>127</v>
      </c>
      <c r="U233">
        <v>89</v>
      </c>
      <c r="V233">
        <v>8126</v>
      </c>
      <c r="W233">
        <v>30.3</v>
      </c>
      <c r="X233">
        <v>2</v>
      </c>
      <c r="Y233">
        <v>2</v>
      </c>
      <c r="Z233">
        <v>10</v>
      </c>
      <c r="AA233">
        <v>0.5</v>
      </c>
      <c r="AB233">
        <v>4</v>
      </c>
      <c r="AC233">
        <v>244</v>
      </c>
      <c r="AD233">
        <v>9</v>
      </c>
      <c r="AE233">
        <v>9</v>
      </c>
      <c r="AF233">
        <v>243</v>
      </c>
      <c r="AG233">
        <v>140</v>
      </c>
      <c r="AH233">
        <v>154</v>
      </c>
      <c r="AI233">
        <v>45</v>
      </c>
      <c r="AJ233">
        <v>32</v>
      </c>
      <c r="AK233">
        <v>39</v>
      </c>
      <c r="AL233">
        <v>26</v>
      </c>
      <c r="AM233">
        <v>3</v>
      </c>
      <c r="AN233">
        <v>110</v>
      </c>
      <c r="AO233">
        <v>48</v>
      </c>
      <c r="AP233">
        <v>33</v>
      </c>
      <c r="AQ233">
        <v>90</v>
      </c>
      <c r="AR233">
        <v>2448</v>
      </c>
      <c r="AS233">
        <v>3278</v>
      </c>
      <c r="AT233" t="s">
        <v>7</v>
      </c>
      <c r="AU233">
        <v>0.28000000000000003</v>
      </c>
      <c r="AV233">
        <v>2018</v>
      </c>
      <c r="AW233" s="1">
        <v>45738</v>
      </c>
      <c r="AX233">
        <v>27.1</v>
      </c>
      <c r="AY233" t="s">
        <v>10</v>
      </c>
      <c r="AZ233" t="s">
        <v>51</v>
      </c>
      <c r="BA233" t="s">
        <v>122</v>
      </c>
      <c r="BB233" t="s">
        <v>13</v>
      </c>
      <c r="BC233" t="s">
        <v>7</v>
      </c>
      <c r="BD233">
        <v>3</v>
      </c>
      <c r="BE233" t="s">
        <v>14</v>
      </c>
      <c r="BF233">
        <v>1.1100000000000001</v>
      </c>
    </row>
    <row r="234" spans="1:58" hidden="1" x14ac:dyDescent="0.2">
      <c r="A234">
        <v>233</v>
      </c>
      <c r="B234" t="s">
        <v>0</v>
      </c>
      <c r="C234">
        <v>61</v>
      </c>
      <c r="D234" t="s">
        <v>1</v>
      </c>
      <c r="E234" t="s">
        <v>126</v>
      </c>
      <c r="F234" t="s">
        <v>3</v>
      </c>
      <c r="G234" t="s">
        <v>117</v>
      </c>
      <c r="H234" t="s">
        <v>119</v>
      </c>
      <c r="I234" t="s">
        <v>112</v>
      </c>
      <c r="J234" t="s">
        <v>6</v>
      </c>
      <c r="K234" t="s">
        <v>7</v>
      </c>
      <c r="L234">
        <v>10.6</v>
      </c>
      <c r="M234">
        <v>7.9</v>
      </c>
      <c r="N234" t="s">
        <v>8</v>
      </c>
      <c r="O234" t="s">
        <v>7</v>
      </c>
      <c r="P234" t="s">
        <v>26</v>
      </c>
      <c r="Q234">
        <v>6</v>
      </c>
      <c r="R234">
        <v>9</v>
      </c>
      <c r="S234">
        <v>26</v>
      </c>
      <c r="T234">
        <v>107</v>
      </c>
      <c r="U234">
        <v>62</v>
      </c>
      <c r="V234">
        <v>7989</v>
      </c>
      <c r="W234">
        <v>25.9</v>
      </c>
      <c r="X234">
        <v>3</v>
      </c>
      <c r="Y234">
        <v>2</v>
      </c>
      <c r="Z234">
        <v>12</v>
      </c>
      <c r="AA234">
        <v>0.4</v>
      </c>
      <c r="AB234">
        <v>2</v>
      </c>
      <c r="AC234">
        <v>5</v>
      </c>
      <c r="AD234">
        <v>1</v>
      </c>
      <c r="AE234">
        <v>1</v>
      </c>
      <c r="AF234">
        <v>42</v>
      </c>
      <c r="AG234">
        <v>36</v>
      </c>
      <c r="AH234">
        <v>23</v>
      </c>
      <c r="AI234">
        <v>6</v>
      </c>
      <c r="AJ234">
        <v>8</v>
      </c>
      <c r="AK234">
        <v>10</v>
      </c>
      <c r="AL234">
        <v>4</v>
      </c>
      <c r="AM234">
        <v>1</v>
      </c>
      <c r="AN234">
        <v>2</v>
      </c>
      <c r="AO234">
        <v>1</v>
      </c>
      <c r="AP234">
        <v>1</v>
      </c>
      <c r="AQ234">
        <v>2</v>
      </c>
      <c r="AR234">
        <v>735</v>
      </c>
      <c r="AS234">
        <v>1657</v>
      </c>
      <c r="AT234" t="s">
        <v>7</v>
      </c>
      <c r="AU234">
        <v>0.67</v>
      </c>
      <c r="AV234">
        <v>2016</v>
      </c>
      <c r="AW234" s="1">
        <v>45755</v>
      </c>
      <c r="AX234">
        <v>5</v>
      </c>
      <c r="AY234" t="s">
        <v>30</v>
      </c>
      <c r="AZ234" t="s">
        <v>51</v>
      </c>
      <c r="BA234" t="s">
        <v>12</v>
      </c>
      <c r="BB234" t="s">
        <v>13</v>
      </c>
      <c r="BC234" t="s">
        <v>7</v>
      </c>
      <c r="BD234">
        <v>0</v>
      </c>
      <c r="BE234" t="s">
        <v>14</v>
      </c>
      <c r="BF234">
        <v>6.33</v>
      </c>
    </row>
    <row r="235" spans="1:58" hidden="1" x14ac:dyDescent="0.2">
      <c r="A235">
        <v>234</v>
      </c>
      <c r="B235" t="s">
        <v>0</v>
      </c>
      <c r="C235">
        <v>14</v>
      </c>
      <c r="D235" t="s">
        <v>28</v>
      </c>
      <c r="E235" t="s">
        <v>47</v>
      </c>
      <c r="F235" t="s">
        <v>15</v>
      </c>
      <c r="G235" t="s">
        <v>38</v>
      </c>
      <c r="H235" t="s">
        <v>118</v>
      </c>
      <c r="I235" t="s">
        <v>113</v>
      </c>
      <c r="J235" t="s">
        <v>32</v>
      </c>
      <c r="K235" t="s">
        <v>7</v>
      </c>
      <c r="L235">
        <v>14.1</v>
      </c>
      <c r="M235">
        <v>6.3</v>
      </c>
      <c r="N235" t="s">
        <v>120</v>
      </c>
      <c r="O235" t="s">
        <v>7</v>
      </c>
      <c r="P235" t="s">
        <v>9</v>
      </c>
      <c r="Q235">
        <v>9</v>
      </c>
      <c r="R235">
        <v>8</v>
      </c>
      <c r="S235">
        <v>22.5</v>
      </c>
      <c r="T235">
        <v>128</v>
      </c>
      <c r="U235">
        <v>91</v>
      </c>
      <c r="V235">
        <v>7932</v>
      </c>
      <c r="W235">
        <v>39.299999999999997</v>
      </c>
      <c r="X235">
        <v>3</v>
      </c>
      <c r="Y235">
        <v>4</v>
      </c>
      <c r="Z235">
        <v>7</v>
      </c>
      <c r="AA235">
        <v>4.5</v>
      </c>
      <c r="AB235">
        <v>3</v>
      </c>
      <c r="AC235">
        <v>73</v>
      </c>
      <c r="AD235">
        <v>2</v>
      </c>
      <c r="AE235">
        <v>7</v>
      </c>
      <c r="AF235">
        <v>141</v>
      </c>
      <c r="AG235">
        <v>68</v>
      </c>
      <c r="AH235">
        <v>57</v>
      </c>
      <c r="AI235">
        <v>18</v>
      </c>
      <c r="AJ235">
        <v>18</v>
      </c>
      <c r="AK235">
        <v>23</v>
      </c>
      <c r="AL235">
        <v>15</v>
      </c>
      <c r="AM235">
        <v>6</v>
      </c>
      <c r="AN235">
        <v>39</v>
      </c>
      <c r="AO235">
        <v>13</v>
      </c>
      <c r="AP235">
        <v>11</v>
      </c>
      <c r="AQ235">
        <v>19</v>
      </c>
      <c r="AR235">
        <v>2152</v>
      </c>
      <c r="AS235">
        <v>5212</v>
      </c>
      <c r="AT235" t="s">
        <v>7</v>
      </c>
      <c r="AU235">
        <v>0.5</v>
      </c>
      <c r="AV235">
        <v>2016</v>
      </c>
      <c r="AW235" s="1">
        <v>45919</v>
      </c>
      <c r="AX235">
        <v>36.5</v>
      </c>
      <c r="AY235" t="s">
        <v>36</v>
      </c>
      <c r="AZ235" t="s">
        <v>37</v>
      </c>
      <c r="BA235" t="s">
        <v>122</v>
      </c>
      <c r="BB235" t="s">
        <v>13</v>
      </c>
      <c r="BC235" t="s">
        <v>13</v>
      </c>
      <c r="BD235">
        <v>0</v>
      </c>
      <c r="BE235" t="s">
        <v>14</v>
      </c>
      <c r="BF235">
        <v>1.54</v>
      </c>
    </row>
    <row r="236" spans="1:58" hidden="1" x14ac:dyDescent="0.2">
      <c r="A236">
        <v>235</v>
      </c>
      <c r="B236" t="s">
        <v>0</v>
      </c>
      <c r="C236">
        <v>14</v>
      </c>
      <c r="D236" t="s">
        <v>1</v>
      </c>
      <c r="E236" t="s">
        <v>47</v>
      </c>
      <c r="F236" t="s">
        <v>40</v>
      </c>
      <c r="G236" t="s">
        <v>38</v>
      </c>
      <c r="H236" t="s">
        <v>118</v>
      </c>
      <c r="I236" t="s">
        <v>115</v>
      </c>
      <c r="J236" t="s">
        <v>32</v>
      </c>
      <c r="K236" t="s">
        <v>13</v>
      </c>
      <c r="L236">
        <v>10</v>
      </c>
      <c r="M236">
        <v>6.6</v>
      </c>
      <c r="N236" t="s">
        <v>39</v>
      </c>
      <c r="O236" t="s">
        <v>7</v>
      </c>
      <c r="P236" t="s">
        <v>26</v>
      </c>
      <c r="Q236">
        <v>15</v>
      </c>
      <c r="R236">
        <v>2</v>
      </c>
      <c r="S236">
        <v>20.5</v>
      </c>
      <c r="T236">
        <v>122</v>
      </c>
      <c r="U236">
        <v>73</v>
      </c>
      <c r="V236">
        <v>7975</v>
      </c>
      <c r="W236">
        <v>54.8</v>
      </c>
      <c r="X236">
        <v>4</v>
      </c>
      <c r="Y236">
        <v>4</v>
      </c>
      <c r="Z236">
        <v>14</v>
      </c>
      <c r="AA236">
        <v>2.6</v>
      </c>
      <c r="AB236">
        <v>2</v>
      </c>
      <c r="AC236">
        <v>256</v>
      </c>
      <c r="AD236">
        <v>20</v>
      </c>
      <c r="AE236">
        <v>7</v>
      </c>
      <c r="AF236">
        <v>288</v>
      </c>
      <c r="AG236">
        <v>106</v>
      </c>
      <c r="AH236">
        <v>169</v>
      </c>
      <c r="AI236">
        <v>51</v>
      </c>
      <c r="AJ236">
        <v>31</v>
      </c>
      <c r="AK236">
        <v>38</v>
      </c>
      <c r="AL236">
        <v>15</v>
      </c>
      <c r="AM236">
        <v>8</v>
      </c>
      <c r="AN236">
        <v>126</v>
      </c>
      <c r="AO236">
        <v>52</v>
      </c>
      <c r="AP236">
        <v>46</v>
      </c>
      <c r="AQ236">
        <v>86</v>
      </c>
      <c r="AR236">
        <v>1099</v>
      </c>
      <c r="AS236">
        <v>2708</v>
      </c>
      <c r="AT236" t="s">
        <v>7</v>
      </c>
      <c r="AU236">
        <v>0.81</v>
      </c>
      <c r="AV236">
        <v>2025</v>
      </c>
      <c r="AW236" s="1">
        <v>45931</v>
      </c>
      <c r="AX236">
        <v>12.8</v>
      </c>
      <c r="AY236" t="s">
        <v>30</v>
      </c>
      <c r="AZ236" t="s">
        <v>20</v>
      </c>
      <c r="BA236" t="s">
        <v>12</v>
      </c>
      <c r="BB236" t="s">
        <v>13</v>
      </c>
      <c r="BC236" t="s">
        <v>7</v>
      </c>
      <c r="BD236">
        <v>2</v>
      </c>
      <c r="BE236" t="s">
        <v>14</v>
      </c>
      <c r="BF236">
        <v>1.1399999999999999</v>
      </c>
    </row>
    <row r="237" spans="1:58" hidden="1" x14ac:dyDescent="0.2">
      <c r="A237">
        <v>236</v>
      </c>
      <c r="B237" t="s">
        <v>0</v>
      </c>
      <c r="C237">
        <v>40</v>
      </c>
      <c r="D237" t="s">
        <v>1</v>
      </c>
      <c r="E237" t="s">
        <v>47</v>
      </c>
      <c r="F237" t="s">
        <v>3</v>
      </c>
      <c r="G237" t="s">
        <v>117</v>
      </c>
      <c r="H237" t="s">
        <v>119</v>
      </c>
      <c r="I237" t="s">
        <v>114</v>
      </c>
      <c r="J237" t="s">
        <v>6</v>
      </c>
      <c r="K237" t="s">
        <v>7</v>
      </c>
      <c r="L237">
        <v>4.8</v>
      </c>
      <c r="M237">
        <v>7</v>
      </c>
      <c r="N237" t="s">
        <v>8</v>
      </c>
      <c r="O237" t="s">
        <v>7</v>
      </c>
      <c r="P237" t="s">
        <v>52</v>
      </c>
      <c r="Q237">
        <v>37</v>
      </c>
      <c r="R237">
        <v>3</v>
      </c>
      <c r="S237">
        <v>19</v>
      </c>
      <c r="T237">
        <v>155</v>
      </c>
      <c r="U237">
        <v>60</v>
      </c>
      <c r="V237">
        <v>7870</v>
      </c>
      <c r="W237">
        <v>39.700000000000003</v>
      </c>
      <c r="X237">
        <v>3</v>
      </c>
      <c r="Y237">
        <v>4</v>
      </c>
      <c r="Z237">
        <v>9</v>
      </c>
      <c r="AA237">
        <v>0.3</v>
      </c>
      <c r="AB237">
        <v>0</v>
      </c>
      <c r="AC237">
        <v>346</v>
      </c>
      <c r="AD237">
        <v>31</v>
      </c>
      <c r="AE237">
        <v>6</v>
      </c>
      <c r="AF237">
        <v>261</v>
      </c>
      <c r="AG237">
        <v>150</v>
      </c>
      <c r="AH237">
        <v>194</v>
      </c>
      <c r="AI237">
        <v>53</v>
      </c>
      <c r="AJ237">
        <v>38</v>
      </c>
      <c r="AK237">
        <v>54</v>
      </c>
      <c r="AL237">
        <v>39</v>
      </c>
      <c r="AM237">
        <v>8</v>
      </c>
      <c r="AN237">
        <v>207</v>
      </c>
      <c r="AO237">
        <v>94</v>
      </c>
      <c r="AP237">
        <v>60</v>
      </c>
      <c r="AQ237">
        <v>78</v>
      </c>
      <c r="AR237">
        <v>13344</v>
      </c>
      <c r="AS237">
        <v>10000</v>
      </c>
      <c r="AT237" t="s">
        <v>7</v>
      </c>
      <c r="AU237">
        <v>0.55000000000000004</v>
      </c>
      <c r="AV237">
        <v>2023</v>
      </c>
      <c r="AW237" s="1">
        <v>45996</v>
      </c>
      <c r="AX237">
        <v>11.2</v>
      </c>
      <c r="AY237" t="s">
        <v>30</v>
      </c>
      <c r="AZ237" t="s">
        <v>37</v>
      </c>
      <c r="BA237" t="s">
        <v>21</v>
      </c>
      <c r="BB237" t="s">
        <v>7</v>
      </c>
      <c r="BC237" t="s">
        <v>7</v>
      </c>
      <c r="BD237">
        <v>1</v>
      </c>
      <c r="BE237" t="s">
        <v>14</v>
      </c>
      <c r="BF237">
        <v>0.92</v>
      </c>
    </row>
    <row r="238" spans="1:58" hidden="1" x14ac:dyDescent="0.2">
      <c r="A238">
        <v>237</v>
      </c>
      <c r="B238" t="s">
        <v>0</v>
      </c>
      <c r="C238">
        <v>35</v>
      </c>
      <c r="D238" t="s">
        <v>28</v>
      </c>
      <c r="E238" t="s">
        <v>128</v>
      </c>
      <c r="F238" t="s">
        <v>15</v>
      </c>
      <c r="G238" t="s">
        <v>38</v>
      </c>
      <c r="H238" t="s">
        <v>23</v>
      </c>
      <c r="I238" t="s">
        <v>115</v>
      </c>
      <c r="J238" t="s">
        <v>123</v>
      </c>
      <c r="K238" t="s">
        <v>7</v>
      </c>
      <c r="L238">
        <v>11</v>
      </c>
      <c r="M238">
        <v>8.4</v>
      </c>
      <c r="N238" t="s">
        <v>8</v>
      </c>
      <c r="O238" t="s">
        <v>7</v>
      </c>
      <c r="P238" t="s">
        <v>9</v>
      </c>
      <c r="Q238">
        <v>28</v>
      </c>
      <c r="R238">
        <v>8</v>
      </c>
      <c r="S238">
        <v>22.7</v>
      </c>
      <c r="T238">
        <v>141</v>
      </c>
      <c r="U238">
        <v>64</v>
      </c>
      <c r="V238">
        <v>7876</v>
      </c>
      <c r="W238">
        <v>53.4</v>
      </c>
      <c r="X238">
        <v>5</v>
      </c>
      <c r="Y238">
        <v>6</v>
      </c>
      <c r="Z238">
        <v>5</v>
      </c>
      <c r="AA238">
        <v>5.5</v>
      </c>
      <c r="AB238">
        <v>5</v>
      </c>
      <c r="AC238">
        <v>214</v>
      </c>
      <c r="AD238">
        <v>18</v>
      </c>
      <c r="AE238">
        <v>7</v>
      </c>
      <c r="AF238">
        <v>172</v>
      </c>
      <c r="AG238">
        <v>122</v>
      </c>
      <c r="AH238">
        <v>132</v>
      </c>
      <c r="AI238">
        <v>38</v>
      </c>
      <c r="AJ238">
        <v>41</v>
      </c>
      <c r="AK238">
        <v>37</v>
      </c>
      <c r="AL238">
        <v>25</v>
      </c>
      <c r="AM238">
        <v>3</v>
      </c>
      <c r="AN238">
        <v>113</v>
      </c>
      <c r="AO238">
        <v>47</v>
      </c>
      <c r="AP238">
        <v>39</v>
      </c>
      <c r="AQ238">
        <v>43</v>
      </c>
      <c r="AR238">
        <v>4979</v>
      </c>
      <c r="AS238">
        <v>9574</v>
      </c>
      <c r="AT238" t="s">
        <v>13</v>
      </c>
      <c r="AU238">
        <v>0.31</v>
      </c>
      <c r="AV238">
        <v>2018</v>
      </c>
      <c r="AW238" s="1">
        <v>45978</v>
      </c>
      <c r="AX238">
        <v>11.9</v>
      </c>
      <c r="AY238" t="s">
        <v>45</v>
      </c>
      <c r="AZ238" t="s">
        <v>35</v>
      </c>
      <c r="BA238" t="s">
        <v>21</v>
      </c>
      <c r="BB238" t="s">
        <v>7</v>
      </c>
      <c r="BC238" t="s">
        <v>13</v>
      </c>
      <c r="BD238">
        <v>1</v>
      </c>
      <c r="BE238" t="s">
        <v>43</v>
      </c>
      <c r="BF238">
        <v>1.07</v>
      </c>
    </row>
    <row r="239" spans="1:58" hidden="1" x14ac:dyDescent="0.2">
      <c r="A239">
        <v>238</v>
      </c>
      <c r="B239" t="s">
        <v>0</v>
      </c>
      <c r="C239">
        <v>49</v>
      </c>
      <c r="D239" t="s">
        <v>28</v>
      </c>
      <c r="E239" t="s">
        <v>22</v>
      </c>
      <c r="F239" t="s">
        <v>15</v>
      </c>
      <c r="G239" t="s">
        <v>38</v>
      </c>
      <c r="H239" t="s">
        <v>118</v>
      </c>
      <c r="I239" t="s">
        <v>113</v>
      </c>
      <c r="J239" t="s">
        <v>6</v>
      </c>
      <c r="K239" t="s">
        <v>7</v>
      </c>
      <c r="L239">
        <v>0.6</v>
      </c>
      <c r="M239">
        <v>7.3</v>
      </c>
      <c r="N239" t="s">
        <v>25</v>
      </c>
      <c r="O239" t="s">
        <v>7</v>
      </c>
      <c r="P239" t="s">
        <v>9</v>
      </c>
      <c r="Q239">
        <v>5</v>
      </c>
      <c r="R239">
        <v>6</v>
      </c>
      <c r="S239">
        <v>20.2</v>
      </c>
      <c r="T239">
        <v>127</v>
      </c>
      <c r="U239">
        <v>67</v>
      </c>
      <c r="V239">
        <v>8091</v>
      </c>
      <c r="W239">
        <v>31.8</v>
      </c>
      <c r="X239">
        <v>3</v>
      </c>
      <c r="Y239">
        <v>3</v>
      </c>
      <c r="Z239">
        <v>9</v>
      </c>
      <c r="AA239">
        <v>4</v>
      </c>
      <c r="AB239">
        <v>2</v>
      </c>
      <c r="AC239">
        <v>5</v>
      </c>
      <c r="AD239">
        <v>1</v>
      </c>
      <c r="AE239">
        <v>3</v>
      </c>
      <c r="AF239">
        <v>39</v>
      </c>
      <c r="AG239">
        <v>32</v>
      </c>
      <c r="AH239">
        <v>10</v>
      </c>
      <c r="AI239">
        <v>5</v>
      </c>
      <c r="AJ239">
        <v>9</v>
      </c>
      <c r="AK239">
        <v>5</v>
      </c>
      <c r="AL239">
        <v>5</v>
      </c>
      <c r="AM239">
        <v>1</v>
      </c>
      <c r="AN239">
        <v>2</v>
      </c>
      <c r="AO239">
        <v>1</v>
      </c>
      <c r="AP239">
        <v>1</v>
      </c>
      <c r="AQ239">
        <v>2</v>
      </c>
      <c r="AR239">
        <v>976</v>
      </c>
      <c r="AS239">
        <v>2414</v>
      </c>
      <c r="AT239" t="s">
        <v>7</v>
      </c>
      <c r="AU239">
        <v>0.77</v>
      </c>
      <c r="AV239">
        <v>2022</v>
      </c>
      <c r="AW239" s="1">
        <v>45933</v>
      </c>
      <c r="AX239">
        <v>5</v>
      </c>
      <c r="AY239" t="s">
        <v>27</v>
      </c>
      <c r="AZ239" t="s">
        <v>37</v>
      </c>
      <c r="BA239" t="s">
        <v>122</v>
      </c>
      <c r="BB239" t="s">
        <v>13</v>
      </c>
      <c r="BC239" t="s">
        <v>7</v>
      </c>
      <c r="BD239">
        <v>1</v>
      </c>
      <c r="BE239" t="s">
        <v>14</v>
      </c>
      <c r="BF239">
        <v>4.83</v>
      </c>
    </row>
    <row r="240" spans="1:58" hidden="1" x14ac:dyDescent="0.2">
      <c r="A240">
        <v>239</v>
      </c>
      <c r="B240" t="s">
        <v>0</v>
      </c>
      <c r="C240">
        <v>44</v>
      </c>
      <c r="D240" t="s">
        <v>28</v>
      </c>
      <c r="E240" t="s">
        <v>17</v>
      </c>
      <c r="F240" t="s">
        <v>40</v>
      </c>
      <c r="G240" t="s">
        <v>16</v>
      </c>
      <c r="H240" t="s">
        <v>118</v>
      </c>
      <c r="I240" t="s">
        <v>113</v>
      </c>
      <c r="J240" t="s">
        <v>18</v>
      </c>
      <c r="K240" t="s">
        <v>13</v>
      </c>
      <c r="L240">
        <v>5.2</v>
      </c>
      <c r="M240">
        <v>7.3</v>
      </c>
      <c r="N240" t="s">
        <v>39</v>
      </c>
      <c r="O240" t="s">
        <v>13</v>
      </c>
      <c r="P240" t="s">
        <v>26</v>
      </c>
      <c r="Q240">
        <v>30</v>
      </c>
      <c r="R240">
        <v>7</v>
      </c>
      <c r="S240">
        <v>28.1</v>
      </c>
      <c r="T240">
        <v>123</v>
      </c>
      <c r="U240">
        <v>63</v>
      </c>
      <c r="V240">
        <v>8072</v>
      </c>
      <c r="W240">
        <v>32.9</v>
      </c>
      <c r="X240">
        <v>4</v>
      </c>
      <c r="Y240">
        <v>1</v>
      </c>
      <c r="Z240">
        <v>10</v>
      </c>
      <c r="AA240">
        <v>2.6</v>
      </c>
      <c r="AB240">
        <v>1</v>
      </c>
      <c r="AC240">
        <v>321</v>
      </c>
      <c r="AD240">
        <v>11</v>
      </c>
      <c r="AE240">
        <v>14</v>
      </c>
      <c r="AF240">
        <v>233</v>
      </c>
      <c r="AG240">
        <v>147</v>
      </c>
      <c r="AH240">
        <v>170</v>
      </c>
      <c r="AI240">
        <v>53</v>
      </c>
      <c r="AJ240">
        <v>34</v>
      </c>
      <c r="AK240">
        <v>48</v>
      </c>
      <c r="AL240">
        <v>38</v>
      </c>
      <c r="AM240">
        <v>8</v>
      </c>
      <c r="AN240">
        <v>166</v>
      </c>
      <c r="AO240">
        <v>83</v>
      </c>
      <c r="AP240">
        <v>55</v>
      </c>
      <c r="AQ240">
        <v>108</v>
      </c>
      <c r="AR240">
        <v>4052</v>
      </c>
      <c r="AS240">
        <v>8241</v>
      </c>
      <c r="AT240" t="s">
        <v>7</v>
      </c>
      <c r="AU240">
        <v>0.1</v>
      </c>
      <c r="AV240">
        <v>2015</v>
      </c>
      <c r="AW240" s="1">
        <v>45704</v>
      </c>
      <c r="AX240">
        <v>29.2</v>
      </c>
      <c r="AY240" t="s">
        <v>10</v>
      </c>
      <c r="AZ240" t="s">
        <v>11</v>
      </c>
      <c r="BA240" t="s">
        <v>12</v>
      </c>
      <c r="BB240" t="s">
        <v>7</v>
      </c>
      <c r="BC240" t="s">
        <v>13</v>
      </c>
      <c r="BD240">
        <v>1</v>
      </c>
      <c r="BE240" t="s">
        <v>14</v>
      </c>
      <c r="BF240">
        <v>0.99</v>
      </c>
    </row>
    <row r="241" spans="1:58" hidden="1" x14ac:dyDescent="0.2">
      <c r="A241">
        <v>240</v>
      </c>
      <c r="B241" t="s">
        <v>0</v>
      </c>
      <c r="C241">
        <v>45</v>
      </c>
      <c r="D241" t="s">
        <v>28</v>
      </c>
      <c r="E241" t="s">
        <v>128</v>
      </c>
      <c r="F241" t="s">
        <v>15</v>
      </c>
      <c r="G241" t="s">
        <v>16</v>
      </c>
      <c r="H241" t="s">
        <v>118</v>
      </c>
      <c r="I241" t="s">
        <v>115</v>
      </c>
      <c r="J241" t="s">
        <v>6</v>
      </c>
      <c r="K241" t="s">
        <v>7</v>
      </c>
      <c r="L241">
        <v>2.9</v>
      </c>
      <c r="M241">
        <v>7.5</v>
      </c>
      <c r="N241" t="s">
        <v>29</v>
      </c>
      <c r="O241" t="s">
        <v>7</v>
      </c>
      <c r="P241" t="s">
        <v>9</v>
      </c>
      <c r="Q241">
        <v>13</v>
      </c>
      <c r="R241">
        <v>5</v>
      </c>
      <c r="S241">
        <v>29.9</v>
      </c>
      <c r="T241">
        <v>98</v>
      </c>
      <c r="U241">
        <v>80</v>
      </c>
      <c r="V241">
        <v>8042</v>
      </c>
      <c r="W241">
        <v>39.4</v>
      </c>
      <c r="X241">
        <v>1</v>
      </c>
      <c r="Y241">
        <v>7</v>
      </c>
      <c r="Z241">
        <v>9</v>
      </c>
      <c r="AA241">
        <v>1.5</v>
      </c>
      <c r="AB241">
        <v>5</v>
      </c>
      <c r="AC241">
        <v>155</v>
      </c>
      <c r="AD241">
        <v>13</v>
      </c>
      <c r="AE241">
        <v>4</v>
      </c>
      <c r="AF241">
        <v>129</v>
      </c>
      <c r="AG241">
        <v>81</v>
      </c>
      <c r="AH241">
        <v>108</v>
      </c>
      <c r="AI241">
        <v>37</v>
      </c>
      <c r="AJ241">
        <v>27</v>
      </c>
      <c r="AK241">
        <v>25</v>
      </c>
      <c r="AL241">
        <v>28</v>
      </c>
      <c r="AM241">
        <v>3</v>
      </c>
      <c r="AN241">
        <v>84</v>
      </c>
      <c r="AO241">
        <v>40</v>
      </c>
      <c r="AP241">
        <v>26</v>
      </c>
      <c r="AQ241">
        <v>54</v>
      </c>
      <c r="AR241">
        <v>814</v>
      </c>
      <c r="AS241">
        <v>1962</v>
      </c>
      <c r="AT241" t="s">
        <v>7</v>
      </c>
      <c r="AU241">
        <v>0.47</v>
      </c>
      <c r="AV241">
        <v>2015</v>
      </c>
      <c r="AW241" s="1">
        <v>45973</v>
      </c>
      <c r="AX241">
        <v>11.9</v>
      </c>
      <c r="AY241" t="s">
        <v>19</v>
      </c>
      <c r="AZ241" t="s">
        <v>31</v>
      </c>
      <c r="BA241" t="s">
        <v>12</v>
      </c>
      <c r="BB241" t="s">
        <v>13</v>
      </c>
      <c r="BC241" t="s">
        <v>13</v>
      </c>
      <c r="BD241">
        <v>0</v>
      </c>
      <c r="BE241" t="s">
        <v>14</v>
      </c>
      <c r="BF241">
        <v>1.24</v>
      </c>
    </row>
    <row r="242" spans="1:58" hidden="1" x14ac:dyDescent="0.2">
      <c r="A242">
        <v>241</v>
      </c>
      <c r="B242" t="s">
        <v>0</v>
      </c>
      <c r="C242">
        <v>13</v>
      </c>
      <c r="D242" t="s">
        <v>1</v>
      </c>
      <c r="E242" t="s">
        <v>2</v>
      </c>
      <c r="F242" t="s">
        <v>15</v>
      </c>
      <c r="G242" t="s">
        <v>16</v>
      </c>
      <c r="H242" t="s">
        <v>23</v>
      </c>
      <c r="I242" t="s">
        <v>114</v>
      </c>
      <c r="J242" t="s">
        <v>6</v>
      </c>
      <c r="K242" t="s">
        <v>13</v>
      </c>
      <c r="L242">
        <v>9.9</v>
      </c>
      <c r="M242">
        <v>6.7</v>
      </c>
      <c r="N242" t="s">
        <v>25</v>
      </c>
      <c r="O242" t="s">
        <v>7</v>
      </c>
      <c r="P242" t="s">
        <v>9</v>
      </c>
      <c r="Q242">
        <v>25</v>
      </c>
      <c r="R242">
        <v>7</v>
      </c>
      <c r="S242">
        <v>31.8</v>
      </c>
      <c r="T242">
        <v>124</v>
      </c>
      <c r="U242">
        <v>95</v>
      </c>
      <c r="V242">
        <v>7975</v>
      </c>
      <c r="W242">
        <v>29.9</v>
      </c>
      <c r="X242">
        <v>2</v>
      </c>
      <c r="Y242">
        <v>1</v>
      </c>
      <c r="Z242">
        <v>12</v>
      </c>
      <c r="AA242">
        <v>5.7</v>
      </c>
      <c r="AB242">
        <v>6</v>
      </c>
      <c r="AC242">
        <v>292</v>
      </c>
      <c r="AD242">
        <v>12</v>
      </c>
      <c r="AE242">
        <v>6</v>
      </c>
      <c r="AF242">
        <v>300</v>
      </c>
      <c r="AG242">
        <v>134</v>
      </c>
      <c r="AH242">
        <v>177</v>
      </c>
      <c r="AI242">
        <v>44</v>
      </c>
      <c r="AJ242">
        <v>36</v>
      </c>
      <c r="AK242">
        <v>42</v>
      </c>
      <c r="AL242">
        <v>33</v>
      </c>
      <c r="AM242">
        <v>8</v>
      </c>
      <c r="AN242">
        <v>167</v>
      </c>
      <c r="AO242">
        <v>44</v>
      </c>
      <c r="AP242">
        <v>56</v>
      </c>
      <c r="AQ242">
        <v>71</v>
      </c>
      <c r="AR242">
        <v>8153</v>
      </c>
      <c r="AS242">
        <v>3473</v>
      </c>
      <c r="AT242" t="s">
        <v>7</v>
      </c>
      <c r="AU242">
        <v>0.89</v>
      </c>
      <c r="AV242">
        <v>2018</v>
      </c>
      <c r="AW242" s="1">
        <v>45695</v>
      </c>
      <c r="AX242">
        <v>24.3</v>
      </c>
      <c r="AY242" t="s">
        <v>30</v>
      </c>
      <c r="AZ242" t="s">
        <v>11</v>
      </c>
      <c r="BA242" t="s">
        <v>21</v>
      </c>
      <c r="BB242" t="s">
        <v>13</v>
      </c>
      <c r="BC242" t="s">
        <v>7</v>
      </c>
      <c r="BD242">
        <v>2</v>
      </c>
      <c r="BE242" t="s">
        <v>14</v>
      </c>
      <c r="BF242">
        <v>0.97</v>
      </c>
    </row>
    <row r="243" spans="1:58" hidden="1" x14ac:dyDescent="0.2">
      <c r="A243">
        <v>242</v>
      </c>
      <c r="B243" t="s">
        <v>0</v>
      </c>
      <c r="C243">
        <v>31</v>
      </c>
      <c r="D243" t="s">
        <v>1</v>
      </c>
      <c r="E243" t="s">
        <v>33</v>
      </c>
      <c r="F243" t="s">
        <v>15</v>
      </c>
      <c r="G243" t="s">
        <v>116</v>
      </c>
      <c r="H243" t="s">
        <v>119</v>
      </c>
      <c r="I243" t="s">
        <v>114</v>
      </c>
      <c r="J243" t="s">
        <v>6</v>
      </c>
      <c r="K243" t="s">
        <v>7</v>
      </c>
      <c r="L243">
        <v>7</v>
      </c>
      <c r="M243">
        <v>7</v>
      </c>
      <c r="N243" t="s">
        <v>29</v>
      </c>
      <c r="O243" t="s">
        <v>7</v>
      </c>
      <c r="P243" t="s">
        <v>9</v>
      </c>
      <c r="Q243">
        <v>2</v>
      </c>
      <c r="R243">
        <v>6</v>
      </c>
      <c r="S243">
        <v>19.899999999999999</v>
      </c>
      <c r="T243">
        <v>140</v>
      </c>
      <c r="U243">
        <v>95</v>
      </c>
      <c r="V243">
        <v>8006</v>
      </c>
      <c r="W243">
        <v>23.8</v>
      </c>
      <c r="X243">
        <v>3</v>
      </c>
      <c r="Y243">
        <v>3</v>
      </c>
      <c r="Z243">
        <v>9</v>
      </c>
      <c r="AA243">
        <v>2.1</v>
      </c>
      <c r="AB243">
        <v>1</v>
      </c>
      <c r="AC243">
        <v>61</v>
      </c>
      <c r="AD243">
        <v>3</v>
      </c>
      <c r="AE243">
        <v>3</v>
      </c>
      <c r="AF243">
        <v>54</v>
      </c>
      <c r="AG243">
        <v>59</v>
      </c>
      <c r="AH243">
        <v>51</v>
      </c>
      <c r="AI243">
        <v>19</v>
      </c>
      <c r="AJ243">
        <v>16</v>
      </c>
      <c r="AK243">
        <v>20</v>
      </c>
      <c r="AL243">
        <v>10</v>
      </c>
      <c r="AM243">
        <v>2</v>
      </c>
      <c r="AN243">
        <v>26</v>
      </c>
      <c r="AO243">
        <v>16</v>
      </c>
      <c r="AP243">
        <v>7</v>
      </c>
      <c r="AQ243">
        <v>18</v>
      </c>
      <c r="AR243">
        <v>675</v>
      </c>
      <c r="AS243">
        <v>502</v>
      </c>
      <c r="AT243" t="s">
        <v>7</v>
      </c>
      <c r="AU243">
        <v>0.81</v>
      </c>
      <c r="AV243">
        <v>2025</v>
      </c>
      <c r="AW243" s="1">
        <v>45685</v>
      </c>
      <c r="AX243">
        <v>20.3</v>
      </c>
      <c r="AY243" t="s">
        <v>10</v>
      </c>
      <c r="AZ243" t="s">
        <v>31</v>
      </c>
      <c r="BA243" t="s">
        <v>122</v>
      </c>
      <c r="BB243" t="s">
        <v>13</v>
      </c>
      <c r="BC243" t="s">
        <v>7</v>
      </c>
      <c r="BD243">
        <v>3</v>
      </c>
      <c r="BE243" t="s">
        <v>14</v>
      </c>
      <c r="BF243">
        <v>1.58</v>
      </c>
    </row>
    <row r="244" spans="1:58" hidden="1" x14ac:dyDescent="0.2">
      <c r="A244">
        <v>243</v>
      </c>
      <c r="B244" t="s">
        <v>0</v>
      </c>
      <c r="C244">
        <v>14</v>
      </c>
      <c r="D244" t="s">
        <v>124</v>
      </c>
      <c r="E244" t="s">
        <v>128</v>
      </c>
      <c r="F244" t="s">
        <v>40</v>
      </c>
      <c r="G244" t="s">
        <v>116</v>
      </c>
      <c r="H244" t="s">
        <v>23</v>
      </c>
      <c r="I244" t="s">
        <v>115</v>
      </c>
      <c r="J244" t="s">
        <v>32</v>
      </c>
      <c r="K244" t="s">
        <v>13</v>
      </c>
      <c r="L244">
        <v>1.4</v>
      </c>
      <c r="M244">
        <v>6.5</v>
      </c>
      <c r="N244" t="s">
        <v>39</v>
      </c>
      <c r="O244" t="s">
        <v>13</v>
      </c>
      <c r="P244" t="s">
        <v>26</v>
      </c>
      <c r="Q244">
        <v>38</v>
      </c>
      <c r="R244">
        <v>5</v>
      </c>
      <c r="S244">
        <v>17.7</v>
      </c>
      <c r="T244">
        <v>153</v>
      </c>
      <c r="U244">
        <v>87</v>
      </c>
      <c r="V244">
        <v>8148</v>
      </c>
      <c r="W244">
        <v>47.7</v>
      </c>
      <c r="X244">
        <v>2</v>
      </c>
      <c r="Y244">
        <v>2</v>
      </c>
      <c r="Z244">
        <v>7</v>
      </c>
      <c r="AA244">
        <v>4</v>
      </c>
      <c r="AB244">
        <v>2</v>
      </c>
      <c r="AC244">
        <v>323</v>
      </c>
      <c r="AD244">
        <v>10</v>
      </c>
      <c r="AE244">
        <v>13</v>
      </c>
      <c r="AF244">
        <v>300</v>
      </c>
      <c r="AG244">
        <v>146</v>
      </c>
      <c r="AH244">
        <v>186</v>
      </c>
      <c r="AI244">
        <v>48</v>
      </c>
      <c r="AJ244">
        <v>40</v>
      </c>
      <c r="AK244">
        <v>46</v>
      </c>
      <c r="AL244">
        <v>31</v>
      </c>
      <c r="AM244">
        <v>12</v>
      </c>
      <c r="AN244">
        <v>179</v>
      </c>
      <c r="AO244">
        <v>78</v>
      </c>
      <c r="AP244">
        <v>74</v>
      </c>
      <c r="AQ244">
        <v>106</v>
      </c>
      <c r="AR244">
        <v>415</v>
      </c>
      <c r="AS244">
        <v>402</v>
      </c>
      <c r="AT244" t="s">
        <v>7</v>
      </c>
      <c r="AU244">
        <v>0.3</v>
      </c>
      <c r="AV244">
        <v>2024</v>
      </c>
      <c r="AW244" s="1">
        <v>45814</v>
      </c>
      <c r="AX244">
        <v>32.299999999999997</v>
      </c>
      <c r="AY244" t="s">
        <v>45</v>
      </c>
      <c r="AZ244" t="s">
        <v>37</v>
      </c>
      <c r="BA244" t="s">
        <v>12</v>
      </c>
      <c r="BB244" t="s">
        <v>7</v>
      </c>
      <c r="BC244" t="s">
        <v>7</v>
      </c>
      <c r="BD244">
        <v>1</v>
      </c>
      <c r="BE244" t="s">
        <v>14</v>
      </c>
      <c r="BF244">
        <v>0.99</v>
      </c>
    </row>
    <row r="245" spans="1:58" hidden="1" x14ac:dyDescent="0.2">
      <c r="A245">
        <v>244</v>
      </c>
      <c r="B245" t="s">
        <v>0</v>
      </c>
      <c r="C245">
        <v>65</v>
      </c>
      <c r="D245" t="s">
        <v>1</v>
      </c>
      <c r="E245" t="s">
        <v>33</v>
      </c>
      <c r="F245" t="s">
        <v>15</v>
      </c>
      <c r="G245" t="s">
        <v>16</v>
      </c>
      <c r="H245" t="s">
        <v>24</v>
      </c>
      <c r="I245" t="s">
        <v>112</v>
      </c>
      <c r="J245" t="s">
        <v>123</v>
      </c>
      <c r="K245" t="s">
        <v>7</v>
      </c>
      <c r="L245">
        <v>4.5999999999999996</v>
      </c>
      <c r="M245">
        <v>7.2</v>
      </c>
      <c r="N245" t="s">
        <v>8</v>
      </c>
      <c r="O245" t="s">
        <v>7</v>
      </c>
      <c r="P245" t="s">
        <v>26</v>
      </c>
      <c r="Q245">
        <v>11</v>
      </c>
      <c r="R245">
        <v>5</v>
      </c>
      <c r="S245">
        <v>26.4</v>
      </c>
      <c r="T245">
        <v>96</v>
      </c>
      <c r="U245">
        <v>66</v>
      </c>
      <c r="V245">
        <v>7842</v>
      </c>
      <c r="W245">
        <v>51.7</v>
      </c>
      <c r="X245">
        <v>2</v>
      </c>
      <c r="Y245">
        <v>3</v>
      </c>
      <c r="Z245">
        <v>12</v>
      </c>
      <c r="AA245">
        <v>5.3</v>
      </c>
      <c r="AB245">
        <v>1</v>
      </c>
      <c r="AC245">
        <v>37</v>
      </c>
      <c r="AD245">
        <v>4</v>
      </c>
      <c r="AE245">
        <v>6</v>
      </c>
      <c r="AF245">
        <v>61</v>
      </c>
      <c r="AG245">
        <v>26</v>
      </c>
      <c r="AH245">
        <v>52</v>
      </c>
      <c r="AI245">
        <v>5</v>
      </c>
      <c r="AJ245">
        <v>11</v>
      </c>
      <c r="AK245">
        <v>19</v>
      </c>
      <c r="AL245">
        <v>11</v>
      </c>
      <c r="AM245">
        <v>0</v>
      </c>
      <c r="AN245">
        <v>22</v>
      </c>
      <c r="AO245">
        <v>7</v>
      </c>
      <c r="AP245">
        <v>8</v>
      </c>
      <c r="AQ245">
        <v>15</v>
      </c>
      <c r="AR245">
        <v>1902</v>
      </c>
      <c r="AS245">
        <v>3116</v>
      </c>
      <c r="AT245" t="s">
        <v>7</v>
      </c>
      <c r="AU245">
        <v>0.24</v>
      </c>
      <c r="AV245">
        <v>2016</v>
      </c>
      <c r="AW245" s="1">
        <v>45669</v>
      </c>
      <c r="AX245">
        <v>9.1999999999999993</v>
      </c>
      <c r="AY245" t="s">
        <v>10</v>
      </c>
      <c r="AZ245" t="s">
        <v>48</v>
      </c>
      <c r="BA245" t="s">
        <v>12</v>
      </c>
      <c r="BB245" t="s">
        <v>13</v>
      </c>
      <c r="BC245" t="s">
        <v>13</v>
      </c>
      <c r="BD245">
        <v>1</v>
      </c>
      <c r="BE245" t="s">
        <v>14</v>
      </c>
      <c r="BF245">
        <v>2.11</v>
      </c>
    </row>
    <row r="246" spans="1:58" hidden="1" x14ac:dyDescent="0.2">
      <c r="A246">
        <v>245</v>
      </c>
      <c r="B246" t="s">
        <v>0</v>
      </c>
      <c r="C246">
        <v>56</v>
      </c>
      <c r="D246" t="s">
        <v>1</v>
      </c>
      <c r="E246" t="s">
        <v>126</v>
      </c>
      <c r="F246" t="s">
        <v>15</v>
      </c>
      <c r="G246" t="s">
        <v>117</v>
      </c>
      <c r="H246" t="s">
        <v>118</v>
      </c>
      <c r="I246" t="s">
        <v>114</v>
      </c>
      <c r="J246" t="s">
        <v>123</v>
      </c>
      <c r="K246" t="s">
        <v>7</v>
      </c>
      <c r="L246">
        <v>2.7</v>
      </c>
      <c r="M246">
        <v>5.8</v>
      </c>
      <c r="N246" t="s">
        <v>120</v>
      </c>
      <c r="O246" t="s">
        <v>7</v>
      </c>
      <c r="P246" t="s">
        <v>46</v>
      </c>
      <c r="Q246">
        <v>6</v>
      </c>
      <c r="R246">
        <v>7</v>
      </c>
      <c r="S246">
        <v>22.6</v>
      </c>
      <c r="T246">
        <v>112</v>
      </c>
      <c r="U246">
        <v>86</v>
      </c>
      <c r="V246">
        <v>8173</v>
      </c>
      <c r="W246">
        <v>45.6</v>
      </c>
      <c r="X246">
        <v>1</v>
      </c>
      <c r="Y246">
        <v>6</v>
      </c>
      <c r="Z246">
        <v>8</v>
      </c>
      <c r="AA246">
        <v>2.2999999999999998</v>
      </c>
      <c r="AB246">
        <v>2</v>
      </c>
      <c r="AC246">
        <v>5</v>
      </c>
      <c r="AD246">
        <v>1</v>
      </c>
      <c r="AE246">
        <v>1</v>
      </c>
      <c r="AF246">
        <v>37</v>
      </c>
      <c r="AG246">
        <v>43</v>
      </c>
      <c r="AH246">
        <v>25</v>
      </c>
      <c r="AI246">
        <v>5</v>
      </c>
      <c r="AJ246">
        <v>17</v>
      </c>
      <c r="AK246">
        <v>8</v>
      </c>
      <c r="AL246">
        <v>5</v>
      </c>
      <c r="AM246">
        <v>1</v>
      </c>
      <c r="AN246">
        <v>3</v>
      </c>
      <c r="AO246">
        <v>1</v>
      </c>
      <c r="AP246">
        <v>1</v>
      </c>
      <c r="AQ246">
        <v>1</v>
      </c>
      <c r="AR246">
        <v>1548</v>
      </c>
      <c r="AS246">
        <v>2464</v>
      </c>
      <c r="AT246" t="s">
        <v>7</v>
      </c>
      <c r="AU246">
        <v>0.7</v>
      </c>
      <c r="AV246">
        <v>2016</v>
      </c>
      <c r="AW246" s="1">
        <v>45689</v>
      </c>
      <c r="AX246">
        <v>5</v>
      </c>
      <c r="AY246" t="s">
        <v>45</v>
      </c>
      <c r="AZ246" t="s">
        <v>31</v>
      </c>
      <c r="BA246" t="s">
        <v>12</v>
      </c>
      <c r="BB246" t="s">
        <v>13</v>
      </c>
      <c r="BC246" t="s">
        <v>13</v>
      </c>
      <c r="BD246">
        <v>3</v>
      </c>
      <c r="BE246" t="s">
        <v>14</v>
      </c>
      <c r="BF246">
        <v>6.33</v>
      </c>
    </row>
    <row r="247" spans="1:58" hidden="1" x14ac:dyDescent="0.2">
      <c r="A247">
        <v>246</v>
      </c>
      <c r="B247" t="s">
        <v>0</v>
      </c>
      <c r="C247">
        <v>38</v>
      </c>
      <c r="D247" t="s">
        <v>1</v>
      </c>
      <c r="E247" t="s">
        <v>128</v>
      </c>
      <c r="F247" t="s">
        <v>3</v>
      </c>
      <c r="G247" t="s">
        <v>16</v>
      </c>
      <c r="H247" t="s">
        <v>118</v>
      </c>
      <c r="I247" t="s">
        <v>112</v>
      </c>
      <c r="J247" t="s">
        <v>123</v>
      </c>
      <c r="K247" t="s">
        <v>13</v>
      </c>
      <c r="L247">
        <v>6.6</v>
      </c>
      <c r="M247">
        <v>7.5</v>
      </c>
      <c r="N247" t="s">
        <v>29</v>
      </c>
      <c r="O247" t="s">
        <v>13</v>
      </c>
      <c r="P247" t="s">
        <v>26</v>
      </c>
      <c r="Q247">
        <v>18</v>
      </c>
      <c r="R247">
        <v>6</v>
      </c>
      <c r="S247">
        <v>21</v>
      </c>
      <c r="T247">
        <v>147</v>
      </c>
      <c r="U247">
        <v>70</v>
      </c>
      <c r="V247">
        <v>7945</v>
      </c>
      <c r="W247">
        <v>44.4</v>
      </c>
      <c r="X247">
        <v>0</v>
      </c>
      <c r="Y247">
        <v>1</v>
      </c>
      <c r="Z247">
        <v>7</v>
      </c>
      <c r="AA247">
        <v>5.5</v>
      </c>
      <c r="AB247">
        <v>2</v>
      </c>
      <c r="AC247">
        <v>192</v>
      </c>
      <c r="AD247">
        <v>7</v>
      </c>
      <c r="AE247">
        <v>2</v>
      </c>
      <c r="AF247">
        <v>154</v>
      </c>
      <c r="AG247">
        <v>106</v>
      </c>
      <c r="AH247">
        <v>122</v>
      </c>
      <c r="AI247">
        <v>40</v>
      </c>
      <c r="AJ247">
        <v>23</v>
      </c>
      <c r="AK247">
        <v>37</v>
      </c>
      <c r="AL247">
        <v>27</v>
      </c>
      <c r="AM247">
        <v>6</v>
      </c>
      <c r="AN247">
        <v>92</v>
      </c>
      <c r="AO247">
        <v>37</v>
      </c>
      <c r="AP247">
        <v>36</v>
      </c>
      <c r="AQ247">
        <v>67</v>
      </c>
      <c r="AR247">
        <v>4942</v>
      </c>
      <c r="AS247">
        <v>10000</v>
      </c>
      <c r="AT247" t="s">
        <v>7</v>
      </c>
      <c r="AU247">
        <v>0.21</v>
      </c>
      <c r="AV247">
        <v>2012</v>
      </c>
      <c r="AW247" s="1">
        <v>45703</v>
      </c>
      <c r="AX247">
        <v>27.4</v>
      </c>
      <c r="AY247" t="s">
        <v>19</v>
      </c>
      <c r="AZ247" t="s">
        <v>31</v>
      </c>
      <c r="BA247" t="s">
        <v>12</v>
      </c>
      <c r="BB247" t="s">
        <v>7</v>
      </c>
      <c r="BC247" t="s">
        <v>7</v>
      </c>
      <c r="BD247">
        <v>1</v>
      </c>
      <c r="BE247" t="s">
        <v>14</v>
      </c>
      <c r="BF247">
        <v>1.08</v>
      </c>
    </row>
    <row r="248" spans="1:58" hidden="1" x14ac:dyDescent="0.2">
      <c r="A248">
        <v>247</v>
      </c>
      <c r="B248" t="s">
        <v>0</v>
      </c>
      <c r="C248">
        <v>44</v>
      </c>
      <c r="D248" t="s">
        <v>28</v>
      </c>
      <c r="E248" t="s">
        <v>2</v>
      </c>
      <c r="F248" t="s">
        <v>15</v>
      </c>
      <c r="G248" t="s">
        <v>16</v>
      </c>
      <c r="H248" t="s">
        <v>5</v>
      </c>
      <c r="I248" t="s">
        <v>112</v>
      </c>
      <c r="J248" t="s">
        <v>6</v>
      </c>
      <c r="K248" t="s">
        <v>7</v>
      </c>
      <c r="L248">
        <v>8.5</v>
      </c>
      <c r="M248">
        <v>6.1</v>
      </c>
      <c r="N248" t="s">
        <v>29</v>
      </c>
      <c r="O248" t="s">
        <v>7</v>
      </c>
      <c r="P248" t="s">
        <v>9</v>
      </c>
      <c r="Q248">
        <v>31</v>
      </c>
      <c r="R248">
        <v>3</v>
      </c>
      <c r="S248">
        <v>21.2</v>
      </c>
      <c r="T248">
        <v>125</v>
      </c>
      <c r="U248">
        <v>74</v>
      </c>
      <c r="V248">
        <v>7897</v>
      </c>
      <c r="W248">
        <v>49.1</v>
      </c>
      <c r="X248">
        <v>2</v>
      </c>
      <c r="Y248">
        <v>1</v>
      </c>
      <c r="Z248">
        <v>15</v>
      </c>
      <c r="AA248">
        <v>6.7</v>
      </c>
      <c r="AB248">
        <v>2</v>
      </c>
      <c r="AC248">
        <v>318</v>
      </c>
      <c r="AD248">
        <v>12</v>
      </c>
      <c r="AE248">
        <v>12</v>
      </c>
      <c r="AF248">
        <v>250</v>
      </c>
      <c r="AG248">
        <v>150</v>
      </c>
      <c r="AH248">
        <v>199</v>
      </c>
      <c r="AI248">
        <v>50</v>
      </c>
      <c r="AJ248">
        <v>34</v>
      </c>
      <c r="AK248">
        <v>48</v>
      </c>
      <c r="AL248">
        <v>33</v>
      </c>
      <c r="AM248">
        <v>1</v>
      </c>
      <c r="AN248">
        <v>163</v>
      </c>
      <c r="AO248">
        <v>78</v>
      </c>
      <c r="AP248">
        <v>71</v>
      </c>
      <c r="AQ248">
        <v>120</v>
      </c>
      <c r="AR248">
        <v>3055</v>
      </c>
      <c r="AS248">
        <v>5857</v>
      </c>
      <c r="AT248" t="s">
        <v>7</v>
      </c>
      <c r="AU248">
        <v>0.79</v>
      </c>
      <c r="AV248">
        <v>2025</v>
      </c>
      <c r="AW248" s="1">
        <v>45833</v>
      </c>
      <c r="AX248">
        <v>26.5</v>
      </c>
      <c r="AY248" t="s">
        <v>36</v>
      </c>
      <c r="AZ248" t="s">
        <v>31</v>
      </c>
      <c r="BA248" t="s">
        <v>21</v>
      </c>
      <c r="BB248" t="s">
        <v>7</v>
      </c>
      <c r="BC248" t="s">
        <v>7</v>
      </c>
      <c r="BD248">
        <v>3</v>
      </c>
      <c r="BE248" t="s">
        <v>14</v>
      </c>
      <c r="BF248">
        <v>1.05</v>
      </c>
    </row>
    <row r="249" spans="1:58" hidden="1" x14ac:dyDescent="0.2">
      <c r="A249">
        <v>248</v>
      </c>
      <c r="B249" t="s">
        <v>0</v>
      </c>
      <c r="C249">
        <v>18</v>
      </c>
      <c r="D249" t="s">
        <v>28</v>
      </c>
      <c r="E249" t="s">
        <v>128</v>
      </c>
      <c r="F249" t="s">
        <v>40</v>
      </c>
      <c r="G249" t="s">
        <v>38</v>
      </c>
      <c r="H249" t="s">
        <v>118</v>
      </c>
      <c r="I249" t="s">
        <v>112</v>
      </c>
      <c r="J249" t="s">
        <v>6</v>
      </c>
      <c r="K249" t="s">
        <v>7</v>
      </c>
      <c r="L249">
        <v>6.6</v>
      </c>
      <c r="M249">
        <v>8.1</v>
      </c>
      <c r="N249" t="s">
        <v>120</v>
      </c>
      <c r="O249" t="s">
        <v>7</v>
      </c>
      <c r="P249" t="s">
        <v>26</v>
      </c>
      <c r="Q249">
        <v>11</v>
      </c>
      <c r="R249">
        <v>10</v>
      </c>
      <c r="S249">
        <v>23.9</v>
      </c>
      <c r="T249">
        <v>147</v>
      </c>
      <c r="U249">
        <v>81</v>
      </c>
      <c r="V249">
        <v>7899</v>
      </c>
      <c r="W249">
        <v>32.200000000000003</v>
      </c>
      <c r="X249">
        <v>3</v>
      </c>
      <c r="Y249">
        <v>4</v>
      </c>
      <c r="Z249">
        <v>14</v>
      </c>
      <c r="AA249">
        <v>5.0999999999999996</v>
      </c>
      <c r="AB249">
        <v>2</v>
      </c>
      <c r="AC249">
        <v>146</v>
      </c>
      <c r="AD249">
        <v>4</v>
      </c>
      <c r="AE249">
        <v>12</v>
      </c>
      <c r="AF249">
        <v>205</v>
      </c>
      <c r="AG249">
        <v>112</v>
      </c>
      <c r="AH249">
        <v>99</v>
      </c>
      <c r="AI249">
        <v>21</v>
      </c>
      <c r="AJ249">
        <v>25</v>
      </c>
      <c r="AK249">
        <v>31</v>
      </c>
      <c r="AL249">
        <v>18</v>
      </c>
      <c r="AM249">
        <v>3</v>
      </c>
      <c r="AN249">
        <v>76</v>
      </c>
      <c r="AO249">
        <v>36</v>
      </c>
      <c r="AP249">
        <v>24</v>
      </c>
      <c r="AQ249">
        <v>57</v>
      </c>
      <c r="AR249">
        <v>383</v>
      </c>
      <c r="AS249">
        <v>604</v>
      </c>
      <c r="AT249" t="s">
        <v>7</v>
      </c>
      <c r="AU249">
        <v>0.22</v>
      </c>
      <c r="AV249">
        <v>2021</v>
      </c>
      <c r="AW249" s="1">
        <v>46021</v>
      </c>
      <c r="AX249">
        <v>36.5</v>
      </c>
      <c r="AY249" t="s">
        <v>30</v>
      </c>
      <c r="AZ249" t="s">
        <v>48</v>
      </c>
      <c r="BA249" t="s">
        <v>21</v>
      </c>
      <c r="BB249" t="s">
        <v>13</v>
      </c>
      <c r="BC249" t="s">
        <v>7</v>
      </c>
      <c r="BD249">
        <v>0</v>
      </c>
      <c r="BE249" t="s">
        <v>43</v>
      </c>
      <c r="BF249">
        <v>1.2</v>
      </c>
    </row>
    <row r="250" spans="1:58" hidden="1" x14ac:dyDescent="0.2">
      <c r="A250">
        <v>249</v>
      </c>
      <c r="B250" t="s">
        <v>0</v>
      </c>
      <c r="C250">
        <v>44</v>
      </c>
      <c r="D250" t="s">
        <v>1</v>
      </c>
      <c r="E250" t="s">
        <v>126</v>
      </c>
      <c r="F250" t="s">
        <v>40</v>
      </c>
      <c r="G250" t="s">
        <v>116</v>
      </c>
      <c r="H250" t="s">
        <v>118</v>
      </c>
      <c r="I250" t="s">
        <v>112</v>
      </c>
      <c r="J250" t="s">
        <v>32</v>
      </c>
      <c r="K250" t="s">
        <v>7</v>
      </c>
      <c r="L250">
        <v>7.3</v>
      </c>
      <c r="M250">
        <v>6.1</v>
      </c>
      <c r="N250" t="s">
        <v>29</v>
      </c>
      <c r="O250" t="s">
        <v>13</v>
      </c>
      <c r="P250" t="s">
        <v>26</v>
      </c>
      <c r="Q250">
        <v>31</v>
      </c>
      <c r="R250">
        <v>3</v>
      </c>
      <c r="S250">
        <v>23.5</v>
      </c>
      <c r="T250">
        <v>157</v>
      </c>
      <c r="U250">
        <v>93</v>
      </c>
      <c r="V250">
        <v>8051</v>
      </c>
      <c r="W250">
        <v>40.799999999999997</v>
      </c>
      <c r="X250">
        <v>3</v>
      </c>
      <c r="Y250">
        <v>5</v>
      </c>
      <c r="Z250">
        <v>6</v>
      </c>
      <c r="AA250">
        <v>4.7</v>
      </c>
      <c r="AB250">
        <v>2</v>
      </c>
      <c r="AC250">
        <v>339</v>
      </c>
      <c r="AD250">
        <v>12</v>
      </c>
      <c r="AE250">
        <v>7</v>
      </c>
      <c r="AF250">
        <v>238</v>
      </c>
      <c r="AG250">
        <v>138</v>
      </c>
      <c r="AH250">
        <v>220</v>
      </c>
      <c r="AI250">
        <v>53</v>
      </c>
      <c r="AJ250">
        <v>38</v>
      </c>
      <c r="AK250">
        <v>46</v>
      </c>
      <c r="AL250">
        <v>35</v>
      </c>
      <c r="AM250">
        <v>11</v>
      </c>
      <c r="AN250">
        <v>139</v>
      </c>
      <c r="AO250">
        <v>90</v>
      </c>
      <c r="AP250">
        <v>76</v>
      </c>
      <c r="AQ250">
        <v>111</v>
      </c>
      <c r="AR250">
        <v>4614</v>
      </c>
      <c r="AS250">
        <v>5116</v>
      </c>
      <c r="AT250" t="s">
        <v>7</v>
      </c>
      <c r="AU250">
        <v>0.98</v>
      </c>
      <c r="AV250">
        <v>2013</v>
      </c>
      <c r="AW250" s="1">
        <v>45813</v>
      </c>
      <c r="AX250">
        <v>28.2</v>
      </c>
      <c r="AY250" t="s">
        <v>27</v>
      </c>
      <c r="AZ250" t="s">
        <v>48</v>
      </c>
      <c r="BA250" t="s">
        <v>21</v>
      </c>
      <c r="BB250" t="s">
        <v>13</v>
      </c>
      <c r="BC250" t="s">
        <v>13</v>
      </c>
      <c r="BD250">
        <v>2</v>
      </c>
      <c r="BE250" t="s">
        <v>14</v>
      </c>
      <c r="BF250">
        <v>1.02</v>
      </c>
    </row>
    <row r="251" spans="1:58" hidden="1" x14ac:dyDescent="0.2">
      <c r="A251">
        <v>250</v>
      </c>
      <c r="B251" t="s">
        <v>0</v>
      </c>
      <c r="C251">
        <v>16</v>
      </c>
      <c r="D251" t="s">
        <v>1</v>
      </c>
      <c r="E251" t="s">
        <v>128</v>
      </c>
      <c r="F251" t="s">
        <v>40</v>
      </c>
      <c r="G251" t="s">
        <v>116</v>
      </c>
      <c r="H251" t="s">
        <v>23</v>
      </c>
      <c r="I251" t="s">
        <v>112</v>
      </c>
      <c r="J251" t="s">
        <v>18</v>
      </c>
      <c r="K251" t="s">
        <v>13</v>
      </c>
      <c r="L251">
        <v>4.9000000000000004</v>
      </c>
      <c r="M251">
        <v>6</v>
      </c>
      <c r="N251" t="s">
        <v>29</v>
      </c>
      <c r="O251" t="s">
        <v>13</v>
      </c>
      <c r="P251" t="s">
        <v>46</v>
      </c>
      <c r="Q251">
        <v>33</v>
      </c>
      <c r="R251">
        <v>8</v>
      </c>
      <c r="S251">
        <v>28.9</v>
      </c>
      <c r="T251">
        <v>111</v>
      </c>
      <c r="U251">
        <v>68</v>
      </c>
      <c r="V251">
        <v>7836</v>
      </c>
      <c r="W251">
        <v>42.1</v>
      </c>
      <c r="X251">
        <v>0</v>
      </c>
      <c r="Y251">
        <v>6</v>
      </c>
      <c r="Z251">
        <v>16</v>
      </c>
      <c r="AA251">
        <v>6.5</v>
      </c>
      <c r="AB251">
        <v>2</v>
      </c>
      <c r="AC251">
        <v>275</v>
      </c>
      <c r="AD251">
        <v>15</v>
      </c>
      <c r="AE251">
        <v>11</v>
      </c>
      <c r="AF251">
        <v>265</v>
      </c>
      <c r="AG251">
        <v>150</v>
      </c>
      <c r="AH251">
        <v>179</v>
      </c>
      <c r="AI251">
        <v>55</v>
      </c>
      <c r="AJ251">
        <v>39</v>
      </c>
      <c r="AK251">
        <v>40</v>
      </c>
      <c r="AL251">
        <v>26</v>
      </c>
      <c r="AM251">
        <v>7</v>
      </c>
      <c r="AN251">
        <v>143</v>
      </c>
      <c r="AO251">
        <v>35</v>
      </c>
      <c r="AP251">
        <v>63</v>
      </c>
      <c r="AQ251">
        <v>79</v>
      </c>
      <c r="AR251">
        <v>2325</v>
      </c>
      <c r="AS251">
        <v>4011</v>
      </c>
      <c r="AT251" t="s">
        <v>7</v>
      </c>
      <c r="AU251">
        <v>0.14000000000000001</v>
      </c>
      <c r="AV251">
        <v>2018</v>
      </c>
      <c r="AW251" s="1">
        <v>45763</v>
      </c>
      <c r="AX251">
        <v>18.3</v>
      </c>
      <c r="AY251" t="s">
        <v>45</v>
      </c>
      <c r="AZ251" t="s">
        <v>51</v>
      </c>
      <c r="BA251" t="s">
        <v>21</v>
      </c>
      <c r="BB251" t="s">
        <v>13</v>
      </c>
      <c r="BC251" t="s">
        <v>13</v>
      </c>
      <c r="BD251">
        <v>2</v>
      </c>
      <c r="BE251" t="s">
        <v>14</v>
      </c>
      <c r="BF251">
        <v>1.17</v>
      </c>
    </row>
    <row r="252" spans="1:58" hidden="1" x14ac:dyDescent="0.2">
      <c r="A252">
        <v>251</v>
      </c>
      <c r="B252" t="s">
        <v>0</v>
      </c>
      <c r="C252">
        <v>23</v>
      </c>
      <c r="D252" t="s">
        <v>1</v>
      </c>
      <c r="E252" t="s">
        <v>128</v>
      </c>
      <c r="F252" t="s">
        <v>15</v>
      </c>
      <c r="G252" t="s">
        <v>16</v>
      </c>
      <c r="H252" t="s">
        <v>118</v>
      </c>
      <c r="I252" t="s">
        <v>112</v>
      </c>
      <c r="J252" t="s">
        <v>18</v>
      </c>
      <c r="K252" t="s">
        <v>7</v>
      </c>
      <c r="L252">
        <v>2.7</v>
      </c>
      <c r="M252">
        <v>7.6</v>
      </c>
      <c r="N252" t="s">
        <v>29</v>
      </c>
      <c r="O252" t="s">
        <v>41</v>
      </c>
      <c r="P252" t="s">
        <v>9</v>
      </c>
      <c r="Q252">
        <v>26</v>
      </c>
      <c r="R252">
        <v>10</v>
      </c>
      <c r="S252">
        <v>24.5</v>
      </c>
      <c r="T252">
        <v>135</v>
      </c>
      <c r="U252">
        <v>81</v>
      </c>
      <c r="V252">
        <v>8086</v>
      </c>
      <c r="W252">
        <v>26.5</v>
      </c>
      <c r="X252">
        <v>3</v>
      </c>
      <c r="Y252">
        <v>4</v>
      </c>
      <c r="Z252">
        <v>8</v>
      </c>
      <c r="AA252">
        <v>3.5</v>
      </c>
      <c r="AB252">
        <v>2</v>
      </c>
      <c r="AC252">
        <v>162</v>
      </c>
      <c r="AD252">
        <v>6</v>
      </c>
      <c r="AE252">
        <v>5</v>
      </c>
      <c r="AF252">
        <v>229</v>
      </c>
      <c r="AG252">
        <v>87</v>
      </c>
      <c r="AH252">
        <v>110</v>
      </c>
      <c r="AI252">
        <v>37</v>
      </c>
      <c r="AJ252">
        <v>26</v>
      </c>
      <c r="AK252">
        <v>26</v>
      </c>
      <c r="AL252">
        <v>20</v>
      </c>
      <c r="AM252">
        <v>4</v>
      </c>
      <c r="AN252">
        <v>90</v>
      </c>
      <c r="AO252">
        <v>47</v>
      </c>
      <c r="AP252">
        <v>30</v>
      </c>
      <c r="AQ252">
        <v>51</v>
      </c>
      <c r="AR252">
        <v>1236</v>
      </c>
      <c r="AS252">
        <v>1823</v>
      </c>
      <c r="AT252" t="s">
        <v>7</v>
      </c>
      <c r="AU252">
        <v>0.15</v>
      </c>
      <c r="AV252">
        <v>2010</v>
      </c>
      <c r="AW252" s="1">
        <v>45879</v>
      </c>
      <c r="AX252">
        <v>27</v>
      </c>
      <c r="AY252" t="s">
        <v>19</v>
      </c>
      <c r="AZ252" t="s">
        <v>11</v>
      </c>
      <c r="BA252" t="s">
        <v>12</v>
      </c>
      <c r="BB252" t="s">
        <v>7</v>
      </c>
      <c r="BC252" t="s">
        <v>7</v>
      </c>
      <c r="BD252">
        <v>3</v>
      </c>
      <c r="BE252" t="s">
        <v>14</v>
      </c>
      <c r="BF252">
        <v>1.22</v>
      </c>
    </row>
    <row r="253" spans="1:58" hidden="1" x14ac:dyDescent="0.2">
      <c r="A253">
        <v>252</v>
      </c>
      <c r="B253" t="s">
        <v>0</v>
      </c>
      <c r="C253">
        <v>29</v>
      </c>
      <c r="D253" t="s">
        <v>1</v>
      </c>
      <c r="E253" t="s">
        <v>128</v>
      </c>
      <c r="F253" t="s">
        <v>3</v>
      </c>
      <c r="G253" t="s">
        <v>117</v>
      </c>
      <c r="H253" t="s">
        <v>119</v>
      </c>
      <c r="I253" t="s">
        <v>115</v>
      </c>
      <c r="J253" t="s">
        <v>123</v>
      </c>
      <c r="K253" t="s">
        <v>13</v>
      </c>
      <c r="L253">
        <v>4.2</v>
      </c>
      <c r="M253">
        <v>6.6</v>
      </c>
      <c r="N253" t="s">
        <v>8</v>
      </c>
      <c r="O253" t="s">
        <v>7</v>
      </c>
      <c r="P253" t="s">
        <v>121</v>
      </c>
      <c r="Q253">
        <v>9</v>
      </c>
      <c r="R253">
        <v>7</v>
      </c>
      <c r="S253">
        <v>29.3</v>
      </c>
      <c r="T253">
        <v>153</v>
      </c>
      <c r="U253">
        <v>67</v>
      </c>
      <c r="V253">
        <v>8086</v>
      </c>
      <c r="W253">
        <v>46.8</v>
      </c>
      <c r="X253">
        <v>2</v>
      </c>
      <c r="Y253">
        <v>4</v>
      </c>
      <c r="Z253">
        <v>5</v>
      </c>
      <c r="AA253">
        <v>2</v>
      </c>
      <c r="AB253">
        <v>5</v>
      </c>
      <c r="AC253">
        <v>87</v>
      </c>
      <c r="AD253">
        <v>5</v>
      </c>
      <c r="AE253">
        <v>2</v>
      </c>
      <c r="AF253">
        <v>176</v>
      </c>
      <c r="AG253">
        <v>56</v>
      </c>
      <c r="AH253">
        <v>55</v>
      </c>
      <c r="AI253">
        <v>21</v>
      </c>
      <c r="AJ253">
        <v>19</v>
      </c>
      <c r="AK253">
        <v>19</v>
      </c>
      <c r="AL253">
        <v>9</v>
      </c>
      <c r="AM253">
        <v>2</v>
      </c>
      <c r="AN253">
        <v>45</v>
      </c>
      <c r="AO253">
        <v>17</v>
      </c>
      <c r="AP253">
        <v>9</v>
      </c>
      <c r="AQ253">
        <v>24</v>
      </c>
      <c r="AR253">
        <v>237</v>
      </c>
      <c r="AS253">
        <v>128</v>
      </c>
      <c r="AT253" t="s">
        <v>7</v>
      </c>
      <c r="AU253">
        <v>0.88</v>
      </c>
      <c r="AV253">
        <v>2012</v>
      </c>
      <c r="AW253" s="1">
        <v>45686</v>
      </c>
      <c r="AX253">
        <v>17.399999999999999</v>
      </c>
      <c r="AY253" t="s">
        <v>27</v>
      </c>
      <c r="AZ253" t="s">
        <v>31</v>
      </c>
      <c r="BA253" t="s">
        <v>21</v>
      </c>
      <c r="BB253" t="s">
        <v>7</v>
      </c>
      <c r="BC253" t="s">
        <v>7</v>
      </c>
      <c r="BD253">
        <v>2</v>
      </c>
      <c r="BE253" t="s">
        <v>14</v>
      </c>
      <c r="BF253">
        <v>1.17</v>
      </c>
    </row>
    <row r="254" spans="1:58" hidden="1" x14ac:dyDescent="0.2">
      <c r="A254">
        <v>253</v>
      </c>
      <c r="B254" t="s">
        <v>0</v>
      </c>
      <c r="C254">
        <v>50</v>
      </c>
      <c r="D254" t="s">
        <v>28</v>
      </c>
      <c r="E254" t="s">
        <v>42</v>
      </c>
      <c r="F254" t="s">
        <v>15</v>
      </c>
      <c r="G254" t="s">
        <v>38</v>
      </c>
      <c r="H254" t="s">
        <v>118</v>
      </c>
      <c r="I254" t="s">
        <v>112</v>
      </c>
      <c r="J254" t="s">
        <v>6</v>
      </c>
      <c r="K254" t="s">
        <v>7</v>
      </c>
      <c r="L254">
        <v>0.8</v>
      </c>
      <c r="M254">
        <v>7.1</v>
      </c>
      <c r="N254" t="s">
        <v>25</v>
      </c>
      <c r="O254" t="s">
        <v>7</v>
      </c>
      <c r="P254" t="s">
        <v>9</v>
      </c>
      <c r="Q254">
        <v>4</v>
      </c>
      <c r="R254">
        <v>5</v>
      </c>
      <c r="S254">
        <v>28.3</v>
      </c>
      <c r="T254">
        <v>101</v>
      </c>
      <c r="U254">
        <v>72</v>
      </c>
      <c r="V254">
        <v>8011</v>
      </c>
      <c r="W254">
        <v>51.8</v>
      </c>
      <c r="X254">
        <v>5</v>
      </c>
      <c r="Y254">
        <v>8</v>
      </c>
      <c r="Z254">
        <v>11</v>
      </c>
      <c r="AA254">
        <v>1.5</v>
      </c>
      <c r="AB254">
        <v>3</v>
      </c>
      <c r="AC254">
        <v>33</v>
      </c>
      <c r="AD254">
        <v>2</v>
      </c>
      <c r="AE254">
        <v>2</v>
      </c>
      <c r="AF254">
        <v>53</v>
      </c>
      <c r="AG254">
        <v>36</v>
      </c>
      <c r="AH254">
        <v>43</v>
      </c>
      <c r="AI254">
        <v>13</v>
      </c>
      <c r="AJ254">
        <v>16</v>
      </c>
      <c r="AK254">
        <v>5</v>
      </c>
      <c r="AL254">
        <v>7</v>
      </c>
      <c r="AM254">
        <v>2</v>
      </c>
      <c r="AN254">
        <v>19</v>
      </c>
      <c r="AO254">
        <v>8</v>
      </c>
      <c r="AP254">
        <v>5</v>
      </c>
      <c r="AQ254">
        <v>7</v>
      </c>
      <c r="AR254">
        <v>115</v>
      </c>
      <c r="AS254">
        <v>248</v>
      </c>
      <c r="AT254" t="s">
        <v>7</v>
      </c>
      <c r="AU254">
        <v>0.15</v>
      </c>
      <c r="AV254">
        <v>2022</v>
      </c>
      <c r="AW254" s="1">
        <v>45749</v>
      </c>
      <c r="AX254">
        <v>16.5</v>
      </c>
      <c r="AY254" t="s">
        <v>27</v>
      </c>
      <c r="AZ254" t="s">
        <v>48</v>
      </c>
      <c r="BA254" t="s">
        <v>122</v>
      </c>
      <c r="BB254" t="s">
        <v>13</v>
      </c>
      <c r="BC254" t="s">
        <v>7</v>
      </c>
      <c r="BD254">
        <v>2</v>
      </c>
      <c r="BE254" t="s">
        <v>14</v>
      </c>
      <c r="BF254">
        <v>2.21</v>
      </c>
    </row>
    <row r="255" spans="1:58" hidden="1" x14ac:dyDescent="0.2">
      <c r="A255">
        <v>254</v>
      </c>
      <c r="B255" t="s">
        <v>0</v>
      </c>
      <c r="C255">
        <v>36</v>
      </c>
      <c r="D255" t="s">
        <v>1</v>
      </c>
      <c r="E255" t="s">
        <v>2</v>
      </c>
      <c r="F255" t="s">
        <v>15</v>
      </c>
      <c r="G255" t="s">
        <v>117</v>
      </c>
      <c r="H255" t="s">
        <v>119</v>
      </c>
      <c r="I255" t="s">
        <v>113</v>
      </c>
      <c r="J255" t="s">
        <v>123</v>
      </c>
      <c r="K255" t="s">
        <v>7</v>
      </c>
      <c r="L255">
        <v>4.2</v>
      </c>
      <c r="M255">
        <v>8</v>
      </c>
      <c r="N255" t="s">
        <v>120</v>
      </c>
      <c r="O255" t="s">
        <v>7</v>
      </c>
      <c r="P255" t="s">
        <v>26</v>
      </c>
      <c r="Q255">
        <v>15</v>
      </c>
      <c r="R255">
        <v>7</v>
      </c>
      <c r="S255">
        <v>25.5</v>
      </c>
      <c r="T255">
        <v>112</v>
      </c>
      <c r="U255">
        <v>62</v>
      </c>
      <c r="V255">
        <v>8044</v>
      </c>
      <c r="W255">
        <v>49.9</v>
      </c>
      <c r="X255">
        <v>2</v>
      </c>
      <c r="Y255">
        <v>3</v>
      </c>
      <c r="Z255">
        <v>5</v>
      </c>
      <c r="AA255">
        <v>3.1</v>
      </c>
      <c r="AB255">
        <v>3</v>
      </c>
      <c r="AC255">
        <v>160</v>
      </c>
      <c r="AD255">
        <v>14</v>
      </c>
      <c r="AE255">
        <v>3</v>
      </c>
      <c r="AF255">
        <v>135</v>
      </c>
      <c r="AG255">
        <v>78</v>
      </c>
      <c r="AH255">
        <v>102</v>
      </c>
      <c r="AI255">
        <v>41</v>
      </c>
      <c r="AJ255">
        <v>35</v>
      </c>
      <c r="AK255">
        <v>21</v>
      </c>
      <c r="AL255">
        <v>14</v>
      </c>
      <c r="AM255">
        <v>6</v>
      </c>
      <c r="AN255">
        <v>88</v>
      </c>
      <c r="AO255">
        <v>43</v>
      </c>
      <c r="AP255">
        <v>27</v>
      </c>
      <c r="AQ255">
        <v>53</v>
      </c>
      <c r="AR255">
        <v>279</v>
      </c>
      <c r="AS255">
        <v>358</v>
      </c>
      <c r="AT255" t="s">
        <v>7</v>
      </c>
      <c r="AU255">
        <v>0.4</v>
      </c>
      <c r="AV255">
        <v>2025</v>
      </c>
      <c r="AW255" s="1">
        <v>45882</v>
      </c>
      <c r="AX255">
        <v>11.4</v>
      </c>
      <c r="AY255" t="s">
        <v>19</v>
      </c>
      <c r="AZ255" t="s">
        <v>11</v>
      </c>
      <c r="BA255" t="s">
        <v>122</v>
      </c>
      <c r="BB255" t="s">
        <v>7</v>
      </c>
      <c r="BC255" t="s">
        <v>7</v>
      </c>
      <c r="BD255">
        <v>4</v>
      </c>
      <c r="BE255" t="s">
        <v>14</v>
      </c>
      <c r="BF255">
        <v>1.2</v>
      </c>
    </row>
    <row r="256" spans="1:58" hidden="1" x14ac:dyDescent="0.2">
      <c r="A256">
        <v>255</v>
      </c>
      <c r="B256" t="s">
        <v>0</v>
      </c>
      <c r="C256">
        <v>17</v>
      </c>
      <c r="D256" t="s">
        <v>1</v>
      </c>
      <c r="E256" t="s">
        <v>2</v>
      </c>
      <c r="F256" t="s">
        <v>3</v>
      </c>
      <c r="G256" t="s">
        <v>117</v>
      </c>
      <c r="H256" t="s">
        <v>118</v>
      </c>
      <c r="I256" t="s">
        <v>114</v>
      </c>
      <c r="J256" t="s">
        <v>123</v>
      </c>
      <c r="K256" t="s">
        <v>7</v>
      </c>
      <c r="L256">
        <v>3.7</v>
      </c>
      <c r="M256">
        <v>5.6</v>
      </c>
      <c r="N256" t="s">
        <v>25</v>
      </c>
      <c r="O256" t="s">
        <v>7</v>
      </c>
      <c r="P256" t="s">
        <v>46</v>
      </c>
      <c r="Q256">
        <v>0</v>
      </c>
      <c r="R256">
        <v>2</v>
      </c>
      <c r="S256">
        <v>24.4</v>
      </c>
      <c r="T256">
        <v>122</v>
      </c>
      <c r="U256">
        <v>73</v>
      </c>
      <c r="V256">
        <v>7985</v>
      </c>
      <c r="W256">
        <v>39.700000000000003</v>
      </c>
      <c r="X256">
        <v>1</v>
      </c>
      <c r="Y256">
        <v>5</v>
      </c>
      <c r="Z256">
        <v>11</v>
      </c>
      <c r="AA256">
        <v>3.7</v>
      </c>
      <c r="AB256">
        <v>3</v>
      </c>
      <c r="AC256">
        <v>8</v>
      </c>
      <c r="AD256">
        <v>1</v>
      </c>
      <c r="AE256">
        <v>7</v>
      </c>
      <c r="AF256">
        <v>118</v>
      </c>
      <c r="AG256">
        <v>27</v>
      </c>
      <c r="AH256">
        <v>28</v>
      </c>
      <c r="AI256">
        <v>2</v>
      </c>
      <c r="AJ256">
        <v>10</v>
      </c>
      <c r="AK256">
        <v>10</v>
      </c>
      <c r="AL256">
        <v>7</v>
      </c>
      <c r="AM256">
        <v>1</v>
      </c>
      <c r="AN256">
        <v>4</v>
      </c>
      <c r="AO256">
        <v>1</v>
      </c>
      <c r="AP256">
        <v>2</v>
      </c>
      <c r="AQ256">
        <v>2</v>
      </c>
      <c r="AR256">
        <v>147</v>
      </c>
      <c r="AS256">
        <v>229</v>
      </c>
      <c r="AT256" t="s">
        <v>13</v>
      </c>
      <c r="AU256">
        <v>0.5</v>
      </c>
      <c r="AV256">
        <v>2019</v>
      </c>
      <c r="AW256" s="1">
        <v>45953</v>
      </c>
      <c r="AX256">
        <v>8</v>
      </c>
      <c r="AY256" t="s">
        <v>10</v>
      </c>
      <c r="AZ256" t="s">
        <v>35</v>
      </c>
      <c r="BA256" t="s">
        <v>122</v>
      </c>
      <c r="BB256" t="s">
        <v>13</v>
      </c>
      <c r="BC256" t="s">
        <v>7</v>
      </c>
      <c r="BD256">
        <v>2</v>
      </c>
      <c r="BE256" t="s">
        <v>43</v>
      </c>
      <c r="BF256">
        <v>5.89</v>
      </c>
    </row>
    <row r="257" spans="1:58" hidden="1" x14ac:dyDescent="0.2">
      <c r="A257">
        <v>256</v>
      </c>
      <c r="B257" t="s">
        <v>0</v>
      </c>
      <c r="C257">
        <v>64</v>
      </c>
      <c r="D257" t="s">
        <v>1</v>
      </c>
      <c r="E257" t="s">
        <v>128</v>
      </c>
      <c r="F257" t="s">
        <v>15</v>
      </c>
      <c r="G257" t="s">
        <v>38</v>
      </c>
      <c r="H257" t="s">
        <v>118</v>
      </c>
      <c r="I257" t="s">
        <v>114</v>
      </c>
      <c r="J257" t="s">
        <v>32</v>
      </c>
      <c r="K257" t="s">
        <v>13</v>
      </c>
      <c r="L257">
        <v>7.6</v>
      </c>
      <c r="M257">
        <v>6.9</v>
      </c>
      <c r="N257" t="s">
        <v>8</v>
      </c>
      <c r="O257" t="s">
        <v>41</v>
      </c>
      <c r="P257" t="s">
        <v>46</v>
      </c>
      <c r="Q257">
        <v>18</v>
      </c>
      <c r="R257">
        <v>1</v>
      </c>
      <c r="S257">
        <v>27.6</v>
      </c>
      <c r="T257">
        <v>118</v>
      </c>
      <c r="U257">
        <v>73</v>
      </c>
      <c r="V257">
        <v>8047</v>
      </c>
      <c r="W257">
        <v>49.1</v>
      </c>
      <c r="X257">
        <v>4</v>
      </c>
      <c r="Y257">
        <v>1</v>
      </c>
      <c r="Z257">
        <v>9</v>
      </c>
      <c r="AA257">
        <v>6.5</v>
      </c>
      <c r="AB257">
        <v>0</v>
      </c>
      <c r="AC257">
        <v>254</v>
      </c>
      <c r="AD257">
        <v>9</v>
      </c>
      <c r="AE257">
        <v>5</v>
      </c>
      <c r="AF257">
        <v>198</v>
      </c>
      <c r="AG257">
        <v>136</v>
      </c>
      <c r="AH257">
        <v>161</v>
      </c>
      <c r="AI257">
        <v>50</v>
      </c>
      <c r="AJ257">
        <v>33</v>
      </c>
      <c r="AK257">
        <v>31</v>
      </c>
      <c r="AL257">
        <v>23</v>
      </c>
      <c r="AM257">
        <v>9</v>
      </c>
      <c r="AN257">
        <v>106</v>
      </c>
      <c r="AO257">
        <v>59</v>
      </c>
      <c r="AP257">
        <v>33</v>
      </c>
      <c r="AQ257">
        <v>69</v>
      </c>
      <c r="AR257">
        <v>539</v>
      </c>
      <c r="AS257">
        <v>410</v>
      </c>
      <c r="AT257" t="s">
        <v>7</v>
      </c>
      <c r="AU257">
        <v>0.28999999999999998</v>
      </c>
      <c r="AV257">
        <v>2022</v>
      </c>
      <c r="AW257" s="1">
        <v>45869</v>
      </c>
      <c r="AX257">
        <v>28.2</v>
      </c>
      <c r="AY257" t="s">
        <v>27</v>
      </c>
      <c r="AZ257" t="s">
        <v>17</v>
      </c>
      <c r="BA257" t="s">
        <v>122</v>
      </c>
      <c r="BB257" t="s">
        <v>13</v>
      </c>
      <c r="BC257" t="s">
        <v>7</v>
      </c>
      <c r="BD257">
        <v>1</v>
      </c>
      <c r="BE257" t="s">
        <v>14</v>
      </c>
      <c r="BF257">
        <v>1.08</v>
      </c>
    </row>
    <row r="258" spans="1:58" hidden="1" x14ac:dyDescent="0.2">
      <c r="A258">
        <v>257</v>
      </c>
      <c r="B258" t="s">
        <v>0</v>
      </c>
      <c r="C258">
        <v>46</v>
      </c>
      <c r="D258" t="s">
        <v>1</v>
      </c>
      <c r="E258" t="s">
        <v>128</v>
      </c>
      <c r="F258" t="s">
        <v>3</v>
      </c>
      <c r="G258" t="s">
        <v>117</v>
      </c>
      <c r="H258" t="s">
        <v>23</v>
      </c>
      <c r="I258" t="s">
        <v>115</v>
      </c>
      <c r="J258" t="s">
        <v>18</v>
      </c>
      <c r="K258" t="s">
        <v>13</v>
      </c>
      <c r="L258">
        <v>10</v>
      </c>
      <c r="M258">
        <v>5.6</v>
      </c>
      <c r="N258" t="s">
        <v>8</v>
      </c>
      <c r="O258" t="s">
        <v>13</v>
      </c>
      <c r="P258" t="s">
        <v>9</v>
      </c>
      <c r="Q258">
        <v>24</v>
      </c>
      <c r="R258">
        <v>3</v>
      </c>
      <c r="S258">
        <v>28.9</v>
      </c>
      <c r="T258">
        <v>141</v>
      </c>
      <c r="U258">
        <v>64</v>
      </c>
      <c r="V258">
        <v>8073</v>
      </c>
      <c r="W258">
        <v>28.1</v>
      </c>
      <c r="X258">
        <v>3</v>
      </c>
      <c r="Y258">
        <v>0</v>
      </c>
      <c r="Z258">
        <v>7</v>
      </c>
      <c r="AA258">
        <v>0.4</v>
      </c>
      <c r="AB258">
        <v>2</v>
      </c>
      <c r="AC258">
        <v>229</v>
      </c>
      <c r="AD258">
        <v>12</v>
      </c>
      <c r="AE258">
        <v>4</v>
      </c>
      <c r="AF258">
        <v>179</v>
      </c>
      <c r="AG258">
        <v>107</v>
      </c>
      <c r="AH258">
        <v>144</v>
      </c>
      <c r="AI258">
        <v>36</v>
      </c>
      <c r="AJ258">
        <v>41</v>
      </c>
      <c r="AK258">
        <v>40</v>
      </c>
      <c r="AL258">
        <v>23</v>
      </c>
      <c r="AM258">
        <v>5</v>
      </c>
      <c r="AN258">
        <v>137</v>
      </c>
      <c r="AO258">
        <v>34</v>
      </c>
      <c r="AP258">
        <v>36</v>
      </c>
      <c r="AQ258">
        <v>88</v>
      </c>
      <c r="AR258">
        <v>2267</v>
      </c>
      <c r="AS258">
        <v>3853</v>
      </c>
      <c r="AT258" t="s">
        <v>7</v>
      </c>
      <c r="AU258">
        <v>0.67</v>
      </c>
      <c r="AV258">
        <v>2016</v>
      </c>
      <c r="AW258" s="1">
        <v>45814</v>
      </c>
      <c r="AX258">
        <v>19.100000000000001</v>
      </c>
      <c r="AY258" t="s">
        <v>45</v>
      </c>
      <c r="AZ258" t="s">
        <v>37</v>
      </c>
      <c r="BA258" t="s">
        <v>122</v>
      </c>
      <c r="BB258" t="s">
        <v>13</v>
      </c>
      <c r="BC258" t="s">
        <v>7</v>
      </c>
      <c r="BD258">
        <v>3</v>
      </c>
      <c r="BE258" t="s">
        <v>14</v>
      </c>
      <c r="BF258">
        <v>0.99</v>
      </c>
    </row>
    <row r="259" spans="1:58" hidden="1" x14ac:dyDescent="0.2">
      <c r="A259">
        <v>258</v>
      </c>
      <c r="B259" t="s">
        <v>0</v>
      </c>
      <c r="C259">
        <v>18</v>
      </c>
      <c r="D259" t="s">
        <v>1</v>
      </c>
      <c r="E259" t="s">
        <v>128</v>
      </c>
      <c r="F259" t="s">
        <v>3</v>
      </c>
      <c r="G259" t="s">
        <v>38</v>
      </c>
      <c r="H259" t="s">
        <v>24</v>
      </c>
      <c r="I259" t="s">
        <v>114</v>
      </c>
      <c r="J259" t="s">
        <v>32</v>
      </c>
      <c r="K259" t="s">
        <v>7</v>
      </c>
      <c r="L259">
        <v>9.5</v>
      </c>
      <c r="M259">
        <v>7.4</v>
      </c>
      <c r="N259" t="s">
        <v>29</v>
      </c>
      <c r="O259" t="s">
        <v>7</v>
      </c>
      <c r="P259" t="s">
        <v>26</v>
      </c>
      <c r="Q259">
        <v>29</v>
      </c>
      <c r="R259">
        <v>3</v>
      </c>
      <c r="S259">
        <v>21.5</v>
      </c>
      <c r="T259">
        <v>95</v>
      </c>
      <c r="U259">
        <v>92</v>
      </c>
      <c r="V259">
        <v>7930</v>
      </c>
      <c r="W259">
        <v>33.200000000000003</v>
      </c>
      <c r="X259">
        <v>1</v>
      </c>
      <c r="Y259">
        <v>2</v>
      </c>
      <c r="Z259">
        <v>8</v>
      </c>
      <c r="AA259">
        <v>2.5</v>
      </c>
      <c r="AB259">
        <v>1</v>
      </c>
      <c r="AC259">
        <v>328</v>
      </c>
      <c r="AD259">
        <v>13</v>
      </c>
      <c r="AE259">
        <v>11</v>
      </c>
      <c r="AF259">
        <v>300</v>
      </c>
      <c r="AG259">
        <v>143</v>
      </c>
      <c r="AH259">
        <v>193</v>
      </c>
      <c r="AI259">
        <v>65</v>
      </c>
      <c r="AJ259">
        <v>38</v>
      </c>
      <c r="AK259">
        <v>54</v>
      </c>
      <c r="AL259">
        <v>37</v>
      </c>
      <c r="AM259">
        <v>8</v>
      </c>
      <c r="AN259">
        <v>155</v>
      </c>
      <c r="AO259">
        <v>44</v>
      </c>
      <c r="AP259">
        <v>78</v>
      </c>
      <c r="AQ259">
        <v>116</v>
      </c>
      <c r="AR259">
        <v>7559</v>
      </c>
      <c r="AS259">
        <v>10000</v>
      </c>
      <c r="AT259" t="s">
        <v>13</v>
      </c>
      <c r="AU259">
        <v>0.74</v>
      </c>
      <c r="AV259">
        <v>2013</v>
      </c>
      <c r="AW259" s="1">
        <v>45830</v>
      </c>
      <c r="AX259">
        <v>25.2</v>
      </c>
      <c r="AY259" t="s">
        <v>10</v>
      </c>
      <c r="AZ259" t="s">
        <v>20</v>
      </c>
      <c r="BA259" t="s">
        <v>21</v>
      </c>
      <c r="BB259" t="s">
        <v>13</v>
      </c>
      <c r="BC259" t="s">
        <v>7</v>
      </c>
      <c r="BD259">
        <v>3</v>
      </c>
      <c r="BE259" t="s">
        <v>14</v>
      </c>
      <c r="BF259">
        <v>1.08</v>
      </c>
    </row>
    <row r="260" spans="1:58" hidden="1" x14ac:dyDescent="0.2">
      <c r="A260">
        <v>259</v>
      </c>
      <c r="B260" t="s">
        <v>0</v>
      </c>
      <c r="C260">
        <v>34</v>
      </c>
      <c r="D260" t="s">
        <v>28</v>
      </c>
      <c r="E260" t="s">
        <v>127</v>
      </c>
      <c r="F260" t="s">
        <v>15</v>
      </c>
      <c r="G260" t="s">
        <v>38</v>
      </c>
      <c r="H260" t="s">
        <v>118</v>
      </c>
      <c r="I260" t="s">
        <v>113</v>
      </c>
      <c r="J260" t="s">
        <v>6</v>
      </c>
      <c r="K260" t="s">
        <v>7</v>
      </c>
      <c r="L260">
        <v>3.7</v>
      </c>
      <c r="M260">
        <v>7.2</v>
      </c>
      <c r="N260" t="s">
        <v>120</v>
      </c>
      <c r="O260" t="s">
        <v>7</v>
      </c>
      <c r="P260" t="s">
        <v>46</v>
      </c>
      <c r="Q260">
        <v>9</v>
      </c>
      <c r="R260">
        <v>4</v>
      </c>
      <c r="S260">
        <v>25.8</v>
      </c>
      <c r="T260">
        <v>147</v>
      </c>
      <c r="U260">
        <v>74</v>
      </c>
      <c r="V260">
        <v>7989</v>
      </c>
      <c r="W260">
        <v>39.6</v>
      </c>
      <c r="X260">
        <v>2</v>
      </c>
      <c r="Y260">
        <v>3</v>
      </c>
      <c r="Z260">
        <v>11</v>
      </c>
      <c r="AA260">
        <v>3.2</v>
      </c>
      <c r="AB260">
        <v>6</v>
      </c>
      <c r="AC260">
        <v>148</v>
      </c>
      <c r="AD260">
        <v>13</v>
      </c>
      <c r="AE260">
        <v>3</v>
      </c>
      <c r="AF260">
        <v>133</v>
      </c>
      <c r="AG260">
        <v>98</v>
      </c>
      <c r="AH260">
        <v>96</v>
      </c>
      <c r="AI260">
        <v>27</v>
      </c>
      <c r="AJ260">
        <v>23</v>
      </c>
      <c r="AK260">
        <v>27</v>
      </c>
      <c r="AL260">
        <v>23</v>
      </c>
      <c r="AM260">
        <v>2</v>
      </c>
      <c r="AN260">
        <v>67</v>
      </c>
      <c r="AO260">
        <v>37</v>
      </c>
      <c r="AP260">
        <v>31</v>
      </c>
      <c r="AQ260">
        <v>49</v>
      </c>
      <c r="AR260">
        <v>1102</v>
      </c>
      <c r="AS260">
        <v>1644</v>
      </c>
      <c r="AT260" t="s">
        <v>7</v>
      </c>
      <c r="AU260">
        <v>1</v>
      </c>
      <c r="AV260">
        <v>2025</v>
      </c>
      <c r="AW260" s="1">
        <v>45857</v>
      </c>
      <c r="AX260">
        <v>11.4</v>
      </c>
      <c r="AY260" t="s">
        <v>45</v>
      </c>
      <c r="AZ260" t="s">
        <v>17</v>
      </c>
      <c r="BA260" t="s">
        <v>12</v>
      </c>
      <c r="BB260" t="s">
        <v>7</v>
      </c>
      <c r="BC260" t="s">
        <v>7</v>
      </c>
      <c r="BD260">
        <v>1</v>
      </c>
      <c r="BE260" t="s">
        <v>14</v>
      </c>
      <c r="BF260">
        <v>1.07</v>
      </c>
    </row>
    <row r="261" spans="1:58" hidden="1" x14ac:dyDescent="0.2">
      <c r="A261">
        <v>260</v>
      </c>
      <c r="B261" t="s">
        <v>0</v>
      </c>
      <c r="C261">
        <v>23</v>
      </c>
      <c r="D261" t="s">
        <v>28</v>
      </c>
      <c r="E261" t="s">
        <v>126</v>
      </c>
      <c r="F261" t="s">
        <v>15</v>
      </c>
      <c r="G261" t="s">
        <v>16</v>
      </c>
      <c r="H261" t="s">
        <v>118</v>
      </c>
      <c r="I261" t="s">
        <v>114</v>
      </c>
      <c r="J261" t="s">
        <v>6</v>
      </c>
      <c r="K261" t="s">
        <v>7</v>
      </c>
      <c r="L261">
        <v>3.9</v>
      </c>
      <c r="M261">
        <v>8.9</v>
      </c>
      <c r="N261" t="s">
        <v>29</v>
      </c>
      <c r="O261" t="s">
        <v>7</v>
      </c>
      <c r="P261" t="s">
        <v>26</v>
      </c>
      <c r="Q261">
        <v>18</v>
      </c>
      <c r="R261">
        <v>7</v>
      </c>
      <c r="S261">
        <v>29.3</v>
      </c>
      <c r="T261">
        <v>100</v>
      </c>
      <c r="U261">
        <v>70</v>
      </c>
      <c r="V261">
        <v>8018</v>
      </c>
      <c r="W261">
        <v>52.5</v>
      </c>
      <c r="X261">
        <v>2</v>
      </c>
      <c r="Y261">
        <v>1</v>
      </c>
      <c r="Z261">
        <v>19</v>
      </c>
      <c r="AA261">
        <v>3.5</v>
      </c>
      <c r="AB261">
        <v>5</v>
      </c>
      <c r="AC261">
        <v>184</v>
      </c>
      <c r="AD261">
        <v>10</v>
      </c>
      <c r="AE261">
        <v>6</v>
      </c>
      <c r="AF261">
        <v>213</v>
      </c>
      <c r="AG261">
        <v>117</v>
      </c>
      <c r="AH261">
        <v>89</v>
      </c>
      <c r="AI261">
        <v>36</v>
      </c>
      <c r="AJ261">
        <v>15</v>
      </c>
      <c r="AK261">
        <v>29</v>
      </c>
      <c r="AL261">
        <v>21</v>
      </c>
      <c r="AM261">
        <v>6</v>
      </c>
      <c r="AN261">
        <v>97</v>
      </c>
      <c r="AO261">
        <v>29</v>
      </c>
      <c r="AP261">
        <v>36</v>
      </c>
      <c r="AQ261">
        <v>51</v>
      </c>
      <c r="AR261">
        <v>391</v>
      </c>
      <c r="AS261">
        <v>439</v>
      </c>
      <c r="AT261" t="s">
        <v>7</v>
      </c>
      <c r="AU261">
        <v>0.04</v>
      </c>
      <c r="AV261">
        <v>2011</v>
      </c>
      <c r="AW261" s="1">
        <v>45709</v>
      </c>
      <c r="AX261">
        <v>18.399999999999999</v>
      </c>
      <c r="AY261" t="s">
        <v>10</v>
      </c>
      <c r="AZ261" t="s">
        <v>11</v>
      </c>
      <c r="BA261" t="s">
        <v>12</v>
      </c>
      <c r="BB261" t="s">
        <v>7</v>
      </c>
      <c r="BC261" t="s">
        <v>13</v>
      </c>
      <c r="BD261">
        <v>2</v>
      </c>
      <c r="BE261" t="s">
        <v>14</v>
      </c>
      <c r="BF261">
        <v>0.97</v>
      </c>
    </row>
    <row r="262" spans="1:58" hidden="1" x14ac:dyDescent="0.2">
      <c r="A262">
        <v>261</v>
      </c>
      <c r="B262" t="s">
        <v>0</v>
      </c>
      <c r="C262">
        <v>60</v>
      </c>
      <c r="D262" t="s">
        <v>1</v>
      </c>
      <c r="E262" t="s">
        <v>50</v>
      </c>
      <c r="F262" t="s">
        <v>15</v>
      </c>
      <c r="G262" t="s">
        <v>116</v>
      </c>
      <c r="H262" t="s">
        <v>118</v>
      </c>
      <c r="I262" t="s">
        <v>115</v>
      </c>
      <c r="J262" t="s">
        <v>123</v>
      </c>
      <c r="K262" t="s">
        <v>13</v>
      </c>
      <c r="L262">
        <v>5.4</v>
      </c>
      <c r="M262">
        <v>6</v>
      </c>
      <c r="N262" t="s">
        <v>39</v>
      </c>
      <c r="O262" t="s">
        <v>7</v>
      </c>
      <c r="P262" t="s">
        <v>9</v>
      </c>
      <c r="Q262">
        <v>37</v>
      </c>
      <c r="R262">
        <v>5</v>
      </c>
      <c r="S262">
        <v>23.9</v>
      </c>
      <c r="T262">
        <v>92</v>
      </c>
      <c r="U262">
        <v>94</v>
      </c>
      <c r="V262">
        <v>8072</v>
      </c>
      <c r="W262">
        <v>55</v>
      </c>
      <c r="X262">
        <v>3</v>
      </c>
      <c r="Y262">
        <v>3</v>
      </c>
      <c r="Z262">
        <v>11</v>
      </c>
      <c r="AA262">
        <v>4.7</v>
      </c>
      <c r="AB262">
        <v>4</v>
      </c>
      <c r="AC262">
        <v>341</v>
      </c>
      <c r="AD262">
        <v>33</v>
      </c>
      <c r="AE262">
        <v>4</v>
      </c>
      <c r="AF262">
        <v>271</v>
      </c>
      <c r="AG262">
        <v>150</v>
      </c>
      <c r="AH262">
        <v>208</v>
      </c>
      <c r="AI262">
        <v>52</v>
      </c>
      <c r="AJ262">
        <v>54</v>
      </c>
      <c r="AK262">
        <v>41</v>
      </c>
      <c r="AL262">
        <v>31</v>
      </c>
      <c r="AM262">
        <v>5</v>
      </c>
      <c r="AN262">
        <v>196</v>
      </c>
      <c r="AO262">
        <v>71</v>
      </c>
      <c r="AP262">
        <v>35</v>
      </c>
      <c r="AQ262">
        <v>134</v>
      </c>
      <c r="AR262">
        <v>450</v>
      </c>
      <c r="AS262">
        <v>585</v>
      </c>
      <c r="AT262" t="s">
        <v>7</v>
      </c>
      <c r="AU262">
        <v>0.59</v>
      </c>
      <c r="AV262">
        <v>2016</v>
      </c>
      <c r="AW262" s="1">
        <v>45861</v>
      </c>
      <c r="AX262">
        <v>10.3</v>
      </c>
      <c r="AY262" t="s">
        <v>27</v>
      </c>
      <c r="AZ262" t="s">
        <v>37</v>
      </c>
      <c r="BA262" t="s">
        <v>21</v>
      </c>
      <c r="BB262" t="s">
        <v>13</v>
      </c>
      <c r="BC262" t="s">
        <v>7</v>
      </c>
      <c r="BD262">
        <v>2</v>
      </c>
      <c r="BE262" t="s">
        <v>14</v>
      </c>
      <c r="BF262">
        <v>0.95</v>
      </c>
    </row>
    <row r="263" spans="1:58" hidden="1" x14ac:dyDescent="0.2">
      <c r="A263">
        <v>262</v>
      </c>
      <c r="B263" t="s">
        <v>0</v>
      </c>
      <c r="C263">
        <v>28</v>
      </c>
      <c r="D263" t="s">
        <v>28</v>
      </c>
      <c r="E263" t="s">
        <v>126</v>
      </c>
      <c r="F263" t="s">
        <v>15</v>
      </c>
      <c r="G263" t="s">
        <v>16</v>
      </c>
      <c r="H263" t="s">
        <v>119</v>
      </c>
      <c r="I263" t="s">
        <v>114</v>
      </c>
      <c r="J263" t="s">
        <v>6</v>
      </c>
      <c r="K263" t="s">
        <v>13</v>
      </c>
      <c r="L263">
        <v>9.6</v>
      </c>
      <c r="M263">
        <v>6.7</v>
      </c>
      <c r="N263" t="s">
        <v>8</v>
      </c>
      <c r="O263" t="s">
        <v>7</v>
      </c>
      <c r="P263" t="s">
        <v>26</v>
      </c>
      <c r="Q263">
        <v>14</v>
      </c>
      <c r="R263">
        <v>3</v>
      </c>
      <c r="S263">
        <v>23.8</v>
      </c>
      <c r="T263">
        <v>144</v>
      </c>
      <c r="U263">
        <v>80</v>
      </c>
      <c r="V263">
        <v>7913</v>
      </c>
      <c r="W263">
        <v>39.200000000000003</v>
      </c>
      <c r="X263">
        <v>4</v>
      </c>
      <c r="Y263">
        <v>1</v>
      </c>
      <c r="Z263">
        <v>16</v>
      </c>
      <c r="AA263">
        <v>3</v>
      </c>
      <c r="AB263">
        <v>5</v>
      </c>
      <c r="AC263">
        <v>168</v>
      </c>
      <c r="AD263">
        <v>18</v>
      </c>
      <c r="AE263">
        <v>6</v>
      </c>
      <c r="AF263">
        <v>211</v>
      </c>
      <c r="AG263">
        <v>93</v>
      </c>
      <c r="AH263">
        <v>120</v>
      </c>
      <c r="AI263">
        <v>28</v>
      </c>
      <c r="AJ263">
        <v>34</v>
      </c>
      <c r="AK263">
        <v>33</v>
      </c>
      <c r="AL263">
        <v>23</v>
      </c>
      <c r="AM263">
        <v>5</v>
      </c>
      <c r="AN263">
        <v>90</v>
      </c>
      <c r="AO263">
        <v>28</v>
      </c>
      <c r="AP263">
        <v>38</v>
      </c>
      <c r="AQ263">
        <v>37</v>
      </c>
      <c r="AR263">
        <v>307</v>
      </c>
      <c r="AS263">
        <v>349</v>
      </c>
      <c r="AT263" t="s">
        <v>7</v>
      </c>
      <c r="AU263">
        <v>0.12</v>
      </c>
      <c r="AV263">
        <v>2024</v>
      </c>
      <c r="AW263" s="1">
        <v>45950</v>
      </c>
      <c r="AX263">
        <v>9.3000000000000007</v>
      </c>
      <c r="AY263" t="s">
        <v>30</v>
      </c>
      <c r="AZ263" t="s">
        <v>51</v>
      </c>
      <c r="BA263" t="s">
        <v>21</v>
      </c>
      <c r="BB263" t="s">
        <v>13</v>
      </c>
      <c r="BC263" t="s">
        <v>7</v>
      </c>
      <c r="BD263">
        <v>2</v>
      </c>
      <c r="BE263" t="s">
        <v>14</v>
      </c>
      <c r="BF263">
        <v>1.1499999999999999</v>
      </c>
    </row>
    <row r="264" spans="1:58" hidden="1" x14ac:dyDescent="0.2">
      <c r="A264">
        <v>263</v>
      </c>
      <c r="B264" t="s">
        <v>0</v>
      </c>
      <c r="C264">
        <v>45</v>
      </c>
      <c r="D264" t="s">
        <v>28</v>
      </c>
      <c r="E264" t="s">
        <v>128</v>
      </c>
      <c r="F264" t="s">
        <v>15</v>
      </c>
      <c r="G264" t="s">
        <v>16</v>
      </c>
      <c r="H264" t="s">
        <v>118</v>
      </c>
      <c r="I264" t="s">
        <v>112</v>
      </c>
      <c r="J264" t="s">
        <v>6</v>
      </c>
      <c r="K264" t="s">
        <v>7</v>
      </c>
      <c r="L264">
        <v>6.6</v>
      </c>
      <c r="M264">
        <v>8</v>
      </c>
      <c r="N264" t="s">
        <v>29</v>
      </c>
      <c r="O264" t="s">
        <v>13</v>
      </c>
      <c r="P264" t="s">
        <v>121</v>
      </c>
      <c r="Q264">
        <v>25</v>
      </c>
      <c r="R264">
        <v>4</v>
      </c>
      <c r="S264">
        <v>33</v>
      </c>
      <c r="T264">
        <v>123</v>
      </c>
      <c r="U264">
        <v>72</v>
      </c>
      <c r="V264">
        <v>7940</v>
      </c>
      <c r="W264">
        <v>36.4</v>
      </c>
      <c r="X264">
        <v>5</v>
      </c>
      <c r="Y264">
        <v>6</v>
      </c>
      <c r="Z264">
        <v>18</v>
      </c>
      <c r="AA264">
        <v>3.1</v>
      </c>
      <c r="AB264">
        <v>4</v>
      </c>
      <c r="AC264">
        <v>224</v>
      </c>
      <c r="AD264">
        <v>8</v>
      </c>
      <c r="AE264">
        <v>9</v>
      </c>
      <c r="AF264">
        <v>167</v>
      </c>
      <c r="AG264">
        <v>111</v>
      </c>
      <c r="AH264">
        <v>131</v>
      </c>
      <c r="AI264">
        <v>41</v>
      </c>
      <c r="AJ264">
        <v>25</v>
      </c>
      <c r="AK264">
        <v>41</v>
      </c>
      <c r="AL264">
        <v>19</v>
      </c>
      <c r="AM264">
        <v>5</v>
      </c>
      <c r="AN264">
        <v>107</v>
      </c>
      <c r="AO264">
        <v>63</v>
      </c>
      <c r="AP264">
        <v>43</v>
      </c>
      <c r="AQ264">
        <v>49</v>
      </c>
      <c r="AR264">
        <v>1879</v>
      </c>
      <c r="AS264">
        <v>1721</v>
      </c>
      <c r="AT264" t="s">
        <v>7</v>
      </c>
      <c r="AU264">
        <v>0.75</v>
      </c>
      <c r="AV264">
        <v>2016</v>
      </c>
      <c r="AW264" s="1">
        <v>45746</v>
      </c>
      <c r="AX264">
        <v>28</v>
      </c>
      <c r="AY264" t="s">
        <v>30</v>
      </c>
      <c r="AZ264" t="s">
        <v>48</v>
      </c>
      <c r="BA264" t="s">
        <v>122</v>
      </c>
      <c r="BB264" t="s">
        <v>13</v>
      </c>
      <c r="BC264" t="s">
        <v>7</v>
      </c>
      <c r="BD264">
        <v>2</v>
      </c>
      <c r="BE264" t="s">
        <v>14</v>
      </c>
      <c r="BF264">
        <v>1.07</v>
      </c>
    </row>
    <row r="265" spans="1:58" hidden="1" x14ac:dyDescent="0.2">
      <c r="A265">
        <v>264</v>
      </c>
      <c r="B265" t="s">
        <v>0</v>
      </c>
      <c r="C265">
        <v>21</v>
      </c>
      <c r="D265" t="s">
        <v>1</v>
      </c>
      <c r="E265" t="s">
        <v>128</v>
      </c>
      <c r="F265" t="s">
        <v>15</v>
      </c>
      <c r="G265" t="s">
        <v>16</v>
      </c>
      <c r="H265" t="s">
        <v>5</v>
      </c>
      <c r="I265" t="s">
        <v>114</v>
      </c>
      <c r="J265" t="s">
        <v>6</v>
      </c>
      <c r="K265" t="s">
        <v>7</v>
      </c>
      <c r="L265">
        <v>12.7</v>
      </c>
      <c r="M265">
        <v>7.9</v>
      </c>
      <c r="N265" t="s">
        <v>120</v>
      </c>
      <c r="O265" t="s">
        <v>7</v>
      </c>
      <c r="P265" t="s">
        <v>9</v>
      </c>
      <c r="Q265">
        <v>0</v>
      </c>
      <c r="R265">
        <v>4</v>
      </c>
      <c r="S265">
        <v>20.5</v>
      </c>
      <c r="T265">
        <v>105</v>
      </c>
      <c r="U265">
        <v>89</v>
      </c>
      <c r="V265">
        <v>8014</v>
      </c>
      <c r="W265">
        <v>20.3</v>
      </c>
      <c r="X265">
        <v>1</v>
      </c>
      <c r="Y265">
        <v>2</v>
      </c>
      <c r="Z265">
        <v>5</v>
      </c>
      <c r="AA265">
        <v>1.8</v>
      </c>
      <c r="AB265">
        <v>4</v>
      </c>
      <c r="AC265">
        <v>80</v>
      </c>
      <c r="AD265">
        <v>4</v>
      </c>
      <c r="AE265">
        <v>7</v>
      </c>
      <c r="AF265">
        <v>173</v>
      </c>
      <c r="AG265">
        <v>56</v>
      </c>
      <c r="AH265">
        <v>57</v>
      </c>
      <c r="AI265">
        <v>15</v>
      </c>
      <c r="AJ265">
        <v>15</v>
      </c>
      <c r="AK265">
        <v>21</v>
      </c>
      <c r="AL265">
        <v>8</v>
      </c>
      <c r="AM265">
        <v>4</v>
      </c>
      <c r="AN265">
        <v>43</v>
      </c>
      <c r="AO265">
        <v>23</v>
      </c>
      <c r="AP265">
        <v>16</v>
      </c>
      <c r="AQ265">
        <v>19</v>
      </c>
      <c r="AR265">
        <v>619</v>
      </c>
      <c r="AS265">
        <v>626</v>
      </c>
      <c r="AT265" t="s">
        <v>7</v>
      </c>
      <c r="AU265">
        <v>0.93</v>
      </c>
      <c r="AV265">
        <v>2024</v>
      </c>
      <c r="AW265" s="1">
        <v>45819</v>
      </c>
      <c r="AX265">
        <v>20</v>
      </c>
      <c r="AY265" t="s">
        <v>27</v>
      </c>
      <c r="AZ265" t="s">
        <v>11</v>
      </c>
      <c r="BA265" t="s">
        <v>12</v>
      </c>
      <c r="BB265" t="s">
        <v>13</v>
      </c>
      <c r="BC265" t="s">
        <v>7</v>
      </c>
      <c r="BD265">
        <v>1</v>
      </c>
      <c r="BE265" t="s">
        <v>14</v>
      </c>
      <c r="BF265">
        <v>1.33</v>
      </c>
    </row>
    <row r="266" spans="1:58" hidden="1" x14ac:dyDescent="0.2">
      <c r="A266">
        <v>265</v>
      </c>
      <c r="B266" t="s">
        <v>0</v>
      </c>
      <c r="C266">
        <v>18</v>
      </c>
      <c r="D266" t="s">
        <v>1</v>
      </c>
      <c r="E266" t="s">
        <v>2</v>
      </c>
      <c r="F266" t="s">
        <v>40</v>
      </c>
      <c r="G266" t="s">
        <v>16</v>
      </c>
      <c r="H266" t="s">
        <v>23</v>
      </c>
      <c r="I266" t="s">
        <v>115</v>
      </c>
      <c r="J266" t="s">
        <v>123</v>
      </c>
      <c r="K266" t="s">
        <v>7</v>
      </c>
      <c r="L266">
        <v>3.4</v>
      </c>
      <c r="M266">
        <v>5.7</v>
      </c>
      <c r="N266" t="s">
        <v>29</v>
      </c>
      <c r="O266" t="s">
        <v>7</v>
      </c>
      <c r="P266" t="s">
        <v>26</v>
      </c>
      <c r="Q266">
        <v>9</v>
      </c>
      <c r="R266">
        <v>4</v>
      </c>
      <c r="S266">
        <v>24.3</v>
      </c>
      <c r="T266">
        <v>150</v>
      </c>
      <c r="U266">
        <v>68</v>
      </c>
      <c r="V266">
        <v>7954</v>
      </c>
      <c r="W266">
        <v>48.2</v>
      </c>
      <c r="X266">
        <v>3</v>
      </c>
      <c r="Y266">
        <v>2</v>
      </c>
      <c r="Z266">
        <v>9</v>
      </c>
      <c r="AA266">
        <v>4.5999999999999996</v>
      </c>
      <c r="AB266">
        <v>4</v>
      </c>
      <c r="AC266">
        <v>126</v>
      </c>
      <c r="AD266">
        <v>4</v>
      </c>
      <c r="AE266">
        <v>4</v>
      </c>
      <c r="AF266">
        <v>197</v>
      </c>
      <c r="AG266">
        <v>83</v>
      </c>
      <c r="AH266">
        <v>85</v>
      </c>
      <c r="AI266">
        <v>22</v>
      </c>
      <c r="AJ266">
        <v>23</v>
      </c>
      <c r="AK266">
        <v>26</v>
      </c>
      <c r="AL266">
        <v>14</v>
      </c>
      <c r="AM266">
        <v>1</v>
      </c>
      <c r="AN266">
        <v>69</v>
      </c>
      <c r="AO266">
        <v>34</v>
      </c>
      <c r="AP266">
        <v>30</v>
      </c>
      <c r="AQ266">
        <v>46</v>
      </c>
      <c r="AR266">
        <v>952</v>
      </c>
      <c r="AS266">
        <v>2307</v>
      </c>
      <c r="AT266" t="s">
        <v>7</v>
      </c>
      <c r="AU266">
        <v>0.94</v>
      </c>
      <c r="AV266">
        <v>2023</v>
      </c>
      <c r="AW266" s="1">
        <v>45839</v>
      </c>
      <c r="AX266">
        <v>31.5</v>
      </c>
      <c r="AY266" t="s">
        <v>36</v>
      </c>
      <c r="AZ266" t="s">
        <v>11</v>
      </c>
      <c r="BA266" t="s">
        <v>122</v>
      </c>
      <c r="BB266" t="s">
        <v>13</v>
      </c>
      <c r="BC266" t="s">
        <v>7</v>
      </c>
      <c r="BD266">
        <v>1</v>
      </c>
      <c r="BE266" t="s">
        <v>43</v>
      </c>
      <c r="BF266">
        <v>1.1100000000000001</v>
      </c>
    </row>
    <row r="267" spans="1:58" hidden="1" x14ac:dyDescent="0.2">
      <c r="A267">
        <v>266</v>
      </c>
      <c r="B267" t="s">
        <v>0</v>
      </c>
      <c r="C267">
        <v>28</v>
      </c>
      <c r="D267" t="s">
        <v>28</v>
      </c>
      <c r="E267" t="s">
        <v>47</v>
      </c>
      <c r="F267" t="s">
        <v>15</v>
      </c>
      <c r="G267" t="s">
        <v>117</v>
      </c>
      <c r="H267" t="s">
        <v>23</v>
      </c>
      <c r="I267" t="s">
        <v>112</v>
      </c>
      <c r="J267" t="s">
        <v>6</v>
      </c>
      <c r="K267" t="s">
        <v>7</v>
      </c>
      <c r="L267">
        <v>9.3000000000000007</v>
      </c>
      <c r="M267">
        <v>6.8</v>
      </c>
      <c r="N267" t="s">
        <v>120</v>
      </c>
      <c r="O267" t="s">
        <v>7</v>
      </c>
      <c r="P267" t="s">
        <v>9</v>
      </c>
      <c r="Q267">
        <v>2</v>
      </c>
      <c r="R267">
        <v>7</v>
      </c>
      <c r="S267">
        <v>20.5</v>
      </c>
      <c r="T267">
        <v>156</v>
      </c>
      <c r="U267">
        <v>92</v>
      </c>
      <c r="V267">
        <v>8101</v>
      </c>
      <c r="W267">
        <v>29</v>
      </c>
      <c r="X267">
        <v>4</v>
      </c>
      <c r="Y267">
        <v>1</v>
      </c>
      <c r="Z267">
        <v>14</v>
      </c>
      <c r="AA267">
        <v>4.9000000000000004</v>
      </c>
      <c r="AB267">
        <v>7</v>
      </c>
      <c r="AC267">
        <v>86</v>
      </c>
      <c r="AD267">
        <v>3</v>
      </c>
      <c r="AE267">
        <v>0</v>
      </c>
      <c r="AF267">
        <v>192</v>
      </c>
      <c r="AG267">
        <v>65</v>
      </c>
      <c r="AH267">
        <v>83</v>
      </c>
      <c r="AI267">
        <v>21</v>
      </c>
      <c r="AJ267">
        <v>17</v>
      </c>
      <c r="AK267">
        <v>25</v>
      </c>
      <c r="AL267">
        <v>13</v>
      </c>
      <c r="AM267">
        <v>2</v>
      </c>
      <c r="AN267">
        <v>36</v>
      </c>
      <c r="AO267">
        <v>18</v>
      </c>
      <c r="AP267">
        <v>14</v>
      </c>
      <c r="AQ267">
        <v>21</v>
      </c>
      <c r="AR267">
        <v>2318</v>
      </c>
      <c r="AS267">
        <v>5260</v>
      </c>
      <c r="AT267" t="s">
        <v>7</v>
      </c>
      <c r="AU267">
        <v>0.62</v>
      </c>
      <c r="AV267">
        <v>2017</v>
      </c>
      <c r="AW267" s="1">
        <v>45750</v>
      </c>
      <c r="AX267">
        <v>28.7</v>
      </c>
      <c r="AY267" t="s">
        <v>45</v>
      </c>
      <c r="AZ267" t="s">
        <v>51</v>
      </c>
      <c r="BA267" t="s">
        <v>122</v>
      </c>
      <c r="BB267" t="s">
        <v>13</v>
      </c>
      <c r="BC267" t="s">
        <v>7</v>
      </c>
      <c r="BD267">
        <v>0</v>
      </c>
      <c r="BE267" t="s">
        <v>49</v>
      </c>
      <c r="BF267">
        <v>1.44</v>
      </c>
    </row>
    <row r="268" spans="1:58" hidden="1" x14ac:dyDescent="0.2">
      <c r="A268">
        <v>267</v>
      </c>
      <c r="B268" t="s">
        <v>0</v>
      </c>
      <c r="C268">
        <v>41</v>
      </c>
      <c r="D268" t="s">
        <v>28</v>
      </c>
      <c r="E268" t="s">
        <v>128</v>
      </c>
      <c r="F268" t="s">
        <v>3</v>
      </c>
      <c r="G268" t="s">
        <v>116</v>
      </c>
      <c r="H268" t="s">
        <v>119</v>
      </c>
      <c r="I268" t="s">
        <v>113</v>
      </c>
      <c r="J268" t="s">
        <v>32</v>
      </c>
      <c r="K268" t="s">
        <v>7</v>
      </c>
      <c r="L268">
        <v>9.9</v>
      </c>
      <c r="M268">
        <v>7.2</v>
      </c>
      <c r="N268" t="s">
        <v>29</v>
      </c>
      <c r="O268" t="s">
        <v>13</v>
      </c>
      <c r="P268" t="s">
        <v>26</v>
      </c>
      <c r="Q268">
        <v>7</v>
      </c>
      <c r="R268">
        <v>8</v>
      </c>
      <c r="S268">
        <v>20.9</v>
      </c>
      <c r="T268">
        <v>99</v>
      </c>
      <c r="U268">
        <v>85</v>
      </c>
      <c r="V268">
        <v>7973</v>
      </c>
      <c r="W268">
        <v>42</v>
      </c>
      <c r="X268">
        <v>3</v>
      </c>
      <c r="Y268">
        <v>4</v>
      </c>
      <c r="Z268">
        <v>17</v>
      </c>
      <c r="AA268">
        <v>4.5999999999999996</v>
      </c>
      <c r="AB268">
        <v>4</v>
      </c>
      <c r="AC268">
        <v>42</v>
      </c>
      <c r="AD268">
        <v>1</v>
      </c>
      <c r="AE268">
        <v>3</v>
      </c>
      <c r="AF268">
        <v>58</v>
      </c>
      <c r="AG268">
        <v>38</v>
      </c>
      <c r="AH268">
        <v>46</v>
      </c>
      <c r="AI268">
        <v>14</v>
      </c>
      <c r="AJ268">
        <v>12</v>
      </c>
      <c r="AK268">
        <v>14</v>
      </c>
      <c r="AL268">
        <v>15</v>
      </c>
      <c r="AM268">
        <v>4</v>
      </c>
      <c r="AN268">
        <v>21</v>
      </c>
      <c r="AO268">
        <v>11</v>
      </c>
      <c r="AP268">
        <v>5</v>
      </c>
      <c r="AQ268">
        <v>12</v>
      </c>
      <c r="AR268">
        <v>2480</v>
      </c>
      <c r="AS268">
        <v>4886</v>
      </c>
      <c r="AT268" t="s">
        <v>7</v>
      </c>
      <c r="AU268">
        <v>0.25</v>
      </c>
      <c r="AV268">
        <v>2019</v>
      </c>
      <c r="AW268" s="1">
        <v>45995</v>
      </c>
      <c r="AX268">
        <v>42</v>
      </c>
      <c r="AY268" t="s">
        <v>30</v>
      </c>
      <c r="AZ268" t="s">
        <v>11</v>
      </c>
      <c r="BA268" t="s">
        <v>21</v>
      </c>
      <c r="BB268" t="s">
        <v>7</v>
      </c>
      <c r="BC268" t="s">
        <v>13</v>
      </c>
      <c r="BD268">
        <v>3</v>
      </c>
      <c r="BE268" t="s">
        <v>43</v>
      </c>
      <c r="BF268">
        <v>1.93</v>
      </c>
    </row>
    <row r="269" spans="1:58" hidden="1" x14ac:dyDescent="0.2">
      <c r="A269">
        <v>268</v>
      </c>
      <c r="B269" t="s">
        <v>0</v>
      </c>
      <c r="C269">
        <v>15</v>
      </c>
      <c r="D269" t="s">
        <v>1</v>
      </c>
      <c r="E269" t="s">
        <v>2</v>
      </c>
      <c r="F269" t="s">
        <v>15</v>
      </c>
      <c r="G269" t="s">
        <v>116</v>
      </c>
      <c r="H269" t="s">
        <v>24</v>
      </c>
      <c r="I269" t="s">
        <v>115</v>
      </c>
      <c r="J269" t="s">
        <v>6</v>
      </c>
      <c r="K269" t="s">
        <v>7</v>
      </c>
      <c r="L269">
        <v>1</v>
      </c>
      <c r="M269">
        <v>7.3</v>
      </c>
      <c r="N269" t="s">
        <v>25</v>
      </c>
      <c r="O269" t="s">
        <v>7</v>
      </c>
      <c r="P269" t="s">
        <v>26</v>
      </c>
      <c r="Q269">
        <v>31</v>
      </c>
      <c r="R269">
        <v>7</v>
      </c>
      <c r="S269">
        <v>31</v>
      </c>
      <c r="T269">
        <v>154</v>
      </c>
      <c r="U269">
        <v>60</v>
      </c>
      <c r="V269">
        <v>8009</v>
      </c>
      <c r="W269">
        <v>30.8</v>
      </c>
      <c r="X269">
        <v>2</v>
      </c>
      <c r="Y269">
        <v>5</v>
      </c>
      <c r="Z269">
        <v>6</v>
      </c>
      <c r="AA269">
        <v>5.8</v>
      </c>
      <c r="AB269">
        <v>1</v>
      </c>
      <c r="AC269">
        <v>271</v>
      </c>
      <c r="AD269">
        <v>13</v>
      </c>
      <c r="AE269">
        <v>12</v>
      </c>
      <c r="AF269">
        <v>263</v>
      </c>
      <c r="AG269">
        <v>125</v>
      </c>
      <c r="AH269">
        <v>159</v>
      </c>
      <c r="AI269">
        <v>48</v>
      </c>
      <c r="AJ269">
        <v>41</v>
      </c>
      <c r="AK269">
        <v>47</v>
      </c>
      <c r="AL269">
        <v>35</v>
      </c>
      <c r="AM269">
        <v>2</v>
      </c>
      <c r="AN269">
        <v>122</v>
      </c>
      <c r="AO269">
        <v>77</v>
      </c>
      <c r="AP269">
        <v>56</v>
      </c>
      <c r="AQ269">
        <v>79</v>
      </c>
      <c r="AR269">
        <v>1282</v>
      </c>
      <c r="AS269">
        <v>2995</v>
      </c>
      <c r="AT269" t="s">
        <v>7</v>
      </c>
      <c r="AU269">
        <v>0.5</v>
      </c>
      <c r="AV269">
        <v>2023</v>
      </c>
      <c r="AW269" s="1">
        <v>46005</v>
      </c>
      <c r="AX269">
        <v>20.8</v>
      </c>
      <c r="AY269" t="s">
        <v>30</v>
      </c>
      <c r="AZ269" t="s">
        <v>20</v>
      </c>
      <c r="BA269" t="s">
        <v>12</v>
      </c>
      <c r="BB269" t="s">
        <v>13</v>
      </c>
      <c r="BC269" t="s">
        <v>7</v>
      </c>
      <c r="BD269">
        <v>3</v>
      </c>
      <c r="BE269" t="s">
        <v>49</v>
      </c>
      <c r="BF269">
        <v>1.07</v>
      </c>
    </row>
    <row r="270" spans="1:58" hidden="1" x14ac:dyDescent="0.2">
      <c r="A270">
        <v>269</v>
      </c>
      <c r="B270" t="s">
        <v>0</v>
      </c>
      <c r="C270">
        <v>32</v>
      </c>
      <c r="D270" t="s">
        <v>28</v>
      </c>
      <c r="E270" t="s">
        <v>128</v>
      </c>
      <c r="F270" t="s">
        <v>40</v>
      </c>
      <c r="G270" t="s">
        <v>117</v>
      </c>
      <c r="H270" t="s">
        <v>34</v>
      </c>
      <c r="I270" t="s">
        <v>112</v>
      </c>
      <c r="J270" t="s">
        <v>6</v>
      </c>
      <c r="K270" t="s">
        <v>13</v>
      </c>
      <c r="L270">
        <v>14.7</v>
      </c>
      <c r="M270">
        <v>6.5</v>
      </c>
      <c r="N270" t="s">
        <v>39</v>
      </c>
      <c r="O270" t="s">
        <v>7</v>
      </c>
      <c r="P270" t="s">
        <v>9</v>
      </c>
      <c r="Q270">
        <v>26</v>
      </c>
      <c r="R270">
        <v>9</v>
      </c>
      <c r="S270">
        <v>27.5</v>
      </c>
      <c r="T270">
        <v>126</v>
      </c>
      <c r="U270">
        <v>78</v>
      </c>
      <c r="V270">
        <v>8057</v>
      </c>
      <c r="W270">
        <v>28.3</v>
      </c>
      <c r="X270">
        <v>8</v>
      </c>
      <c r="Y270">
        <v>8</v>
      </c>
      <c r="Z270">
        <v>9</v>
      </c>
      <c r="AA270">
        <v>3.3</v>
      </c>
      <c r="AB270">
        <v>3</v>
      </c>
      <c r="AC270">
        <v>127</v>
      </c>
      <c r="AD270">
        <v>10</v>
      </c>
      <c r="AE270">
        <v>4</v>
      </c>
      <c r="AF270">
        <v>129</v>
      </c>
      <c r="AG270">
        <v>89</v>
      </c>
      <c r="AH270">
        <v>99</v>
      </c>
      <c r="AI270">
        <v>27</v>
      </c>
      <c r="AJ270">
        <v>27</v>
      </c>
      <c r="AK270">
        <v>14</v>
      </c>
      <c r="AL270">
        <v>15</v>
      </c>
      <c r="AM270">
        <v>4</v>
      </c>
      <c r="AN270">
        <v>74</v>
      </c>
      <c r="AO270">
        <v>30</v>
      </c>
      <c r="AP270">
        <v>18</v>
      </c>
      <c r="AQ270">
        <v>46</v>
      </c>
      <c r="AR270">
        <v>799</v>
      </c>
      <c r="AS270">
        <v>554</v>
      </c>
      <c r="AT270" t="s">
        <v>7</v>
      </c>
      <c r="AU270">
        <v>0.75</v>
      </c>
      <c r="AV270">
        <v>2010</v>
      </c>
      <c r="AW270" s="1">
        <v>45692</v>
      </c>
      <c r="AX270">
        <v>12.7</v>
      </c>
      <c r="AY270" t="s">
        <v>27</v>
      </c>
      <c r="AZ270" t="s">
        <v>31</v>
      </c>
      <c r="BA270" t="s">
        <v>122</v>
      </c>
      <c r="BB270" t="s">
        <v>13</v>
      </c>
      <c r="BC270" t="s">
        <v>13</v>
      </c>
      <c r="BD270">
        <v>5</v>
      </c>
      <c r="BE270" t="s">
        <v>14</v>
      </c>
      <c r="BF270">
        <v>1.29</v>
      </c>
    </row>
    <row r="271" spans="1:58" hidden="1" x14ac:dyDescent="0.2">
      <c r="A271">
        <v>270</v>
      </c>
      <c r="B271" t="s">
        <v>0</v>
      </c>
      <c r="C271">
        <v>48</v>
      </c>
      <c r="D271" t="s">
        <v>28</v>
      </c>
      <c r="E271" t="s">
        <v>50</v>
      </c>
      <c r="F271" t="s">
        <v>3</v>
      </c>
      <c r="G271" t="s">
        <v>38</v>
      </c>
      <c r="H271" t="s">
        <v>118</v>
      </c>
      <c r="I271" t="s">
        <v>17</v>
      </c>
      <c r="J271" t="s">
        <v>32</v>
      </c>
      <c r="K271" t="s">
        <v>7</v>
      </c>
      <c r="L271">
        <v>4.2</v>
      </c>
      <c r="M271">
        <v>7.7</v>
      </c>
      <c r="N271" t="s">
        <v>39</v>
      </c>
      <c r="O271" t="s">
        <v>7</v>
      </c>
      <c r="P271" t="s">
        <v>26</v>
      </c>
      <c r="Q271">
        <v>26</v>
      </c>
      <c r="R271">
        <v>1</v>
      </c>
      <c r="S271">
        <v>24.6</v>
      </c>
      <c r="T271">
        <v>128</v>
      </c>
      <c r="U271">
        <v>80</v>
      </c>
      <c r="V271">
        <v>7844</v>
      </c>
      <c r="W271">
        <v>48.4</v>
      </c>
      <c r="X271">
        <v>1</v>
      </c>
      <c r="Y271">
        <v>1</v>
      </c>
      <c r="Z271">
        <v>11</v>
      </c>
      <c r="AA271">
        <v>4.0999999999999996</v>
      </c>
      <c r="AB271">
        <v>3</v>
      </c>
      <c r="AC271">
        <v>315</v>
      </c>
      <c r="AD271">
        <v>12</v>
      </c>
      <c r="AE271">
        <v>1</v>
      </c>
      <c r="AF271">
        <v>224</v>
      </c>
      <c r="AG271">
        <v>150</v>
      </c>
      <c r="AH271">
        <v>194</v>
      </c>
      <c r="AI271">
        <v>51</v>
      </c>
      <c r="AJ271">
        <v>28</v>
      </c>
      <c r="AK271">
        <v>46</v>
      </c>
      <c r="AL271">
        <v>30</v>
      </c>
      <c r="AM271">
        <v>8</v>
      </c>
      <c r="AN271">
        <v>135</v>
      </c>
      <c r="AO271">
        <v>46</v>
      </c>
      <c r="AP271">
        <v>35</v>
      </c>
      <c r="AQ271">
        <v>99</v>
      </c>
      <c r="AR271">
        <v>8670</v>
      </c>
      <c r="AS271">
        <v>6152</v>
      </c>
      <c r="AT271" t="s">
        <v>7</v>
      </c>
      <c r="AU271">
        <v>0.39</v>
      </c>
      <c r="AV271">
        <v>2011</v>
      </c>
      <c r="AW271" s="1">
        <v>45931</v>
      </c>
      <c r="AX271">
        <v>26.2</v>
      </c>
      <c r="AY271" t="s">
        <v>10</v>
      </c>
      <c r="AZ271" t="s">
        <v>17</v>
      </c>
      <c r="BA271" t="s">
        <v>122</v>
      </c>
      <c r="BB271" t="s">
        <v>13</v>
      </c>
      <c r="BC271" t="s">
        <v>13</v>
      </c>
      <c r="BD271">
        <v>5</v>
      </c>
      <c r="BE271" t="s">
        <v>14</v>
      </c>
      <c r="BF271">
        <v>0.95</v>
      </c>
    </row>
    <row r="272" spans="1:58" hidden="1" x14ac:dyDescent="0.2">
      <c r="A272">
        <v>271</v>
      </c>
      <c r="B272" t="s">
        <v>0</v>
      </c>
      <c r="C272">
        <v>31</v>
      </c>
      <c r="D272" t="s">
        <v>28</v>
      </c>
      <c r="E272" t="s">
        <v>126</v>
      </c>
      <c r="F272" t="s">
        <v>15</v>
      </c>
      <c r="G272" t="s">
        <v>117</v>
      </c>
      <c r="H272" t="s">
        <v>23</v>
      </c>
      <c r="I272" t="s">
        <v>115</v>
      </c>
      <c r="J272" t="s">
        <v>32</v>
      </c>
      <c r="K272" t="s">
        <v>7</v>
      </c>
      <c r="L272">
        <v>12.4</v>
      </c>
      <c r="M272">
        <v>8.3000000000000007</v>
      </c>
      <c r="N272" t="s">
        <v>8</v>
      </c>
      <c r="O272" t="s">
        <v>7</v>
      </c>
      <c r="P272" t="s">
        <v>121</v>
      </c>
      <c r="Q272">
        <v>29</v>
      </c>
      <c r="R272">
        <v>4</v>
      </c>
      <c r="S272">
        <v>25.9</v>
      </c>
      <c r="T272">
        <v>102</v>
      </c>
      <c r="U272">
        <v>66</v>
      </c>
      <c r="V272">
        <v>8041</v>
      </c>
      <c r="W272">
        <v>33.299999999999997</v>
      </c>
      <c r="X272">
        <v>4</v>
      </c>
      <c r="Y272">
        <v>2</v>
      </c>
      <c r="Z272">
        <v>14</v>
      </c>
      <c r="AA272">
        <v>4.9000000000000004</v>
      </c>
      <c r="AB272">
        <v>3</v>
      </c>
      <c r="AC272">
        <v>300</v>
      </c>
      <c r="AD272">
        <v>18</v>
      </c>
      <c r="AE272">
        <v>9</v>
      </c>
      <c r="AF272">
        <v>234</v>
      </c>
      <c r="AG272">
        <v>150</v>
      </c>
      <c r="AH272">
        <v>166</v>
      </c>
      <c r="AI272">
        <v>70</v>
      </c>
      <c r="AJ272">
        <v>45</v>
      </c>
      <c r="AK272">
        <v>44</v>
      </c>
      <c r="AL272">
        <v>24</v>
      </c>
      <c r="AM272">
        <v>9</v>
      </c>
      <c r="AN272">
        <v>167</v>
      </c>
      <c r="AO272">
        <v>49</v>
      </c>
      <c r="AP272">
        <v>70</v>
      </c>
      <c r="AQ272">
        <v>92</v>
      </c>
      <c r="AR272">
        <v>1145</v>
      </c>
      <c r="AS272">
        <v>719</v>
      </c>
      <c r="AT272" t="s">
        <v>13</v>
      </c>
      <c r="AU272">
        <v>0.21</v>
      </c>
      <c r="AV272">
        <v>2024</v>
      </c>
      <c r="AW272" s="1">
        <v>45828</v>
      </c>
      <c r="AX272">
        <v>16.7</v>
      </c>
      <c r="AY272" t="s">
        <v>45</v>
      </c>
      <c r="AZ272" t="s">
        <v>35</v>
      </c>
      <c r="BA272" t="s">
        <v>122</v>
      </c>
      <c r="BB272" t="s">
        <v>13</v>
      </c>
      <c r="BC272" t="s">
        <v>7</v>
      </c>
      <c r="BD272">
        <v>1</v>
      </c>
      <c r="BE272" t="s">
        <v>49</v>
      </c>
      <c r="BF272">
        <v>1.1100000000000001</v>
      </c>
    </row>
    <row r="273" spans="1:58" hidden="1" x14ac:dyDescent="0.2">
      <c r="A273">
        <v>272</v>
      </c>
      <c r="B273" t="s">
        <v>0</v>
      </c>
      <c r="C273">
        <v>38</v>
      </c>
      <c r="D273" t="s">
        <v>28</v>
      </c>
      <c r="E273" t="s">
        <v>2</v>
      </c>
      <c r="F273" t="s">
        <v>15</v>
      </c>
      <c r="G273" t="s">
        <v>16</v>
      </c>
      <c r="H273" t="s">
        <v>119</v>
      </c>
      <c r="I273" t="s">
        <v>114</v>
      </c>
      <c r="J273" t="s">
        <v>32</v>
      </c>
      <c r="K273" t="s">
        <v>7</v>
      </c>
      <c r="L273">
        <v>11.9</v>
      </c>
      <c r="M273">
        <v>7.5</v>
      </c>
      <c r="N273" t="s">
        <v>29</v>
      </c>
      <c r="O273" t="s">
        <v>7</v>
      </c>
      <c r="P273" t="s">
        <v>52</v>
      </c>
      <c r="Q273">
        <v>32</v>
      </c>
      <c r="R273">
        <v>2</v>
      </c>
      <c r="S273">
        <v>21.5</v>
      </c>
      <c r="T273">
        <v>131</v>
      </c>
      <c r="U273">
        <v>87</v>
      </c>
      <c r="V273">
        <v>8053</v>
      </c>
      <c r="W273">
        <v>53.1</v>
      </c>
      <c r="X273">
        <v>2</v>
      </c>
      <c r="Y273">
        <v>2</v>
      </c>
      <c r="Z273">
        <v>12</v>
      </c>
      <c r="AA273">
        <v>2.2000000000000002</v>
      </c>
      <c r="AB273">
        <v>3</v>
      </c>
      <c r="AC273">
        <v>352</v>
      </c>
      <c r="AD273">
        <v>38</v>
      </c>
      <c r="AE273">
        <v>5</v>
      </c>
      <c r="AF273">
        <v>248</v>
      </c>
      <c r="AG273">
        <v>150</v>
      </c>
      <c r="AH273">
        <v>191</v>
      </c>
      <c r="AI273">
        <v>58</v>
      </c>
      <c r="AJ273">
        <v>31</v>
      </c>
      <c r="AK273">
        <v>53</v>
      </c>
      <c r="AL273">
        <v>40</v>
      </c>
      <c r="AM273">
        <v>5</v>
      </c>
      <c r="AN273">
        <v>192</v>
      </c>
      <c r="AO273">
        <v>98</v>
      </c>
      <c r="AP273">
        <v>67</v>
      </c>
      <c r="AQ273">
        <v>126</v>
      </c>
      <c r="AR273">
        <v>4200</v>
      </c>
      <c r="AS273">
        <v>9390</v>
      </c>
      <c r="AT273" t="s">
        <v>7</v>
      </c>
      <c r="AU273">
        <v>0.53</v>
      </c>
      <c r="AV273">
        <v>2017</v>
      </c>
      <c r="AW273" s="1">
        <v>45908</v>
      </c>
      <c r="AX273">
        <v>9.3000000000000007</v>
      </c>
      <c r="AY273" t="s">
        <v>19</v>
      </c>
      <c r="AZ273" t="s">
        <v>31</v>
      </c>
      <c r="BA273" t="s">
        <v>12</v>
      </c>
      <c r="BB273" t="s">
        <v>13</v>
      </c>
      <c r="BC273" t="s">
        <v>7</v>
      </c>
      <c r="BD273">
        <v>2</v>
      </c>
      <c r="BE273" t="s">
        <v>14</v>
      </c>
      <c r="BF273">
        <v>0.91</v>
      </c>
    </row>
    <row r="274" spans="1:58" hidden="1" x14ac:dyDescent="0.2">
      <c r="A274">
        <v>273</v>
      </c>
      <c r="B274" t="s">
        <v>0</v>
      </c>
      <c r="C274">
        <v>15</v>
      </c>
      <c r="D274" t="s">
        <v>1</v>
      </c>
      <c r="E274" t="s">
        <v>22</v>
      </c>
      <c r="F274" t="s">
        <v>15</v>
      </c>
      <c r="G274" t="s">
        <v>16</v>
      </c>
      <c r="H274" t="s">
        <v>23</v>
      </c>
      <c r="I274" t="s">
        <v>114</v>
      </c>
      <c r="J274" t="s">
        <v>6</v>
      </c>
      <c r="K274" t="s">
        <v>13</v>
      </c>
      <c r="L274">
        <v>7.5</v>
      </c>
      <c r="M274">
        <v>9.4</v>
      </c>
      <c r="N274" t="s">
        <v>8</v>
      </c>
      <c r="O274" t="s">
        <v>7</v>
      </c>
      <c r="P274" t="s">
        <v>26</v>
      </c>
      <c r="Q274">
        <v>3</v>
      </c>
      <c r="R274">
        <v>2</v>
      </c>
      <c r="S274">
        <v>22</v>
      </c>
      <c r="T274">
        <v>110</v>
      </c>
      <c r="U274">
        <v>65</v>
      </c>
      <c r="V274">
        <v>8134</v>
      </c>
      <c r="W274">
        <v>22.2</v>
      </c>
      <c r="X274">
        <v>2</v>
      </c>
      <c r="Y274">
        <v>4</v>
      </c>
      <c r="Z274">
        <v>5</v>
      </c>
      <c r="AA274">
        <v>3.7</v>
      </c>
      <c r="AB274">
        <v>4</v>
      </c>
      <c r="AC274">
        <v>163</v>
      </c>
      <c r="AD274">
        <v>18</v>
      </c>
      <c r="AE274">
        <v>7</v>
      </c>
      <c r="AF274">
        <v>231</v>
      </c>
      <c r="AG274">
        <v>100</v>
      </c>
      <c r="AH274">
        <v>102</v>
      </c>
      <c r="AI274">
        <v>36</v>
      </c>
      <c r="AJ274">
        <v>24</v>
      </c>
      <c r="AK274">
        <v>23</v>
      </c>
      <c r="AL274">
        <v>20</v>
      </c>
      <c r="AM274">
        <v>1</v>
      </c>
      <c r="AN274">
        <v>73</v>
      </c>
      <c r="AO274">
        <v>26</v>
      </c>
      <c r="AP274">
        <v>38</v>
      </c>
      <c r="AQ274">
        <v>58</v>
      </c>
      <c r="AR274">
        <v>1615</v>
      </c>
      <c r="AS274">
        <v>3308</v>
      </c>
      <c r="AT274" t="s">
        <v>7</v>
      </c>
      <c r="AU274">
        <v>0.28999999999999998</v>
      </c>
      <c r="AV274">
        <v>2017</v>
      </c>
      <c r="AW274" s="1">
        <v>45817</v>
      </c>
      <c r="AX274">
        <v>9.1</v>
      </c>
      <c r="AY274" t="s">
        <v>45</v>
      </c>
      <c r="AZ274" t="s">
        <v>11</v>
      </c>
      <c r="BA274" t="s">
        <v>12</v>
      </c>
      <c r="BB274" t="s">
        <v>13</v>
      </c>
      <c r="BC274" t="s">
        <v>7</v>
      </c>
      <c r="BD274">
        <v>4</v>
      </c>
      <c r="BE274" t="s">
        <v>14</v>
      </c>
      <c r="BF274">
        <v>1.19</v>
      </c>
    </row>
    <row r="275" spans="1:58" hidden="1" x14ac:dyDescent="0.2">
      <c r="A275">
        <v>274</v>
      </c>
      <c r="B275" t="s">
        <v>0</v>
      </c>
      <c r="C275">
        <v>31</v>
      </c>
      <c r="D275" t="s">
        <v>28</v>
      </c>
      <c r="E275" t="s">
        <v>128</v>
      </c>
      <c r="F275" t="s">
        <v>15</v>
      </c>
      <c r="G275" t="s">
        <v>117</v>
      </c>
      <c r="H275" t="s">
        <v>23</v>
      </c>
      <c r="I275" t="s">
        <v>113</v>
      </c>
      <c r="J275" t="s">
        <v>123</v>
      </c>
      <c r="K275" t="s">
        <v>7</v>
      </c>
      <c r="L275">
        <v>3.5</v>
      </c>
      <c r="M275">
        <v>6.2</v>
      </c>
      <c r="N275" t="s">
        <v>25</v>
      </c>
      <c r="O275" t="s">
        <v>7</v>
      </c>
      <c r="P275" t="s">
        <v>9</v>
      </c>
      <c r="Q275">
        <v>36</v>
      </c>
      <c r="R275">
        <v>7</v>
      </c>
      <c r="S275">
        <v>30.2</v>
      </c>
      <c r="T275">
        <v>152</v>
      </c>
      <c r="U275">
        <v>85</v>
      </c>
      <c r="V275">
        <v>7914</v>
      </c>
      <c r="W275">
        <v>40.700000000000003</v>
      </c>
      <c r="X275">
        <v>3</v>
      </c>
      <c r="Y275">
        <v>2</v>
      </c>
      <c r="Z275">
        <v>13</v>
      </c>
      <c r="AA275">
        <v>1</v>
      </c>
      <c r="AB275">
        <v>1</v>
      </c>
      <c r="AC275">
        <v>355</v>
      </c>
      <c r="AD275">
        <v>16</v>
      </c>
      <c r="AE275">
        <v>10</v>
      </c>
      <c r="AF275">
        <v>232</v>
      </c>
      <c r="AG275">
        <v>150</v>
      </c>
      <c r="AH275">
        <v>183</v>
      </c>
      <c r="AI275">
        <v>62</v>
      </c>
      <c r="AJ275">
        <v>49</v>
      </c>
      <c r="AK275">
        <v>44</v>
      </c>
      <c r="AL275">
        <v>38</v>
      </c>
      <c r="AM275">
        <v>9</v>
      </c>
      <c r="AN275">
        <v>179</v>
      </c>
      <c r="AO275">
        <v>100</v>
      </c>
      <c r="AP275">
        <v>43</v>
      </c>
      <c r="AQ275">
        <v>121</v>
      </c>
      <c r="AR275">
        <v>318</v>
      </c>
      <c r="AS275">
        <v>424</v>
      </c>
      <c r="AT275" t="s">
        <v>13</v>
      </c>
      <c r="AU275">
        <v>0.16</v>
      </c>
      <c r="AV275">
        <v>2016</v>
      </c>
      <c r="AW275" s="1">
        <v>45968</v>
      </c>
      <c r="AX275">
        <v>22.2</v>
      </c>
      <c r="AY275" t="s">
        <v>19</v>
      </c>
      <c r="AZ275" t="s">
        <v>31</v>
      </c>
      <c r="BA275" t="s">
        <v>21</v>
      </c>
      <c r="BB275" t="s">
        <v>13</v>
      </c>
      <c r="BC275" t="s">
        <v>7</v>
      </c>
      <c r="BD275">
        <v>1</v>
      </c>
      <c r="BE275" t="s">
        <v>14</v>
      </c>
      <c r="BF275">
        <v>0.95</v>
      </c>
    </row>
    <row r="276" spans="1:58" hidden="1" x14ac:dyDescent="0.2">
      <c r="A276">
        <v>275</v>
      </c>
      <c r="B276" t="s">
        <v>0</v>
      </c>
      <c r="C276">
        <v>32</v>
      </c>
      <c r="D276" t="s">
        <v>1</v>
      </c>
      <c r="E276" t="s">
        <v>127</v>
      </c>
      <c r="F276" t="s">
        <v>40</v>
      </c>
      <c r="G276" t="s">
        <v>4</v>
      </c>
      <c r="H276" t="s">
        <v>118</v>
      </c>
      <c r="I276" t="s">
        <v>114</v>
      </c>
      <c r="J276" t="s">
        <v>32</v>
      </c>
      <c r="K276" t="s">
        <v>13</v>
      </c>
      <c r="L276">
        <v>4.2</v>
      </c>
      <c r="M276">
        <v>7</v>
      </c>
      <c r="N276" t="s">
        <v>8</v>
      </c>
      <c r="O276" t="s">
        <v>7</v>
      </c>
      <c r="P276" t="s">
        <v>26</v>
      </c>
      <c r="Q276">
        <v>22</v>
      </c>
      <c r="R276">
        <v>9</v>
      </c>
      <c r="S276">
        <v>19.8</v>
      </c>
      <c r="T276">
        <v>112</v>
      </c>
      <c r="U276">
        <v>61</v>
      </c>
      <c r="V276">
        <v>8006</v>
      </c>
      <c r="W276">
        <v>53.1</v>
      </c>
      <c r="X276">
        <v>2</v>
      </c>
      <c r="Y276">
        <v>10</v>
      </c>
      <c r="Z276">
        <v>10</v>
      </c>
      <c r="AA276">
        <v>4.3</v>
      </c>
      <c r="AB276">
        <v>4</v>
      </c>
      <c r="AC276">
        <v>152</v>
      </c>
      <c r="AD276">
        <v>6</v>
      </c>
      <c r="AE276">
        <v>3</v>
      </c>
      <c r="AF276">
        <v>115</v>
      </c>
      <c r="AG276">
        <v>98</v>
      </c>
      <c r="AH276">
        <v>112</v>
      </c>
      <c r="AI276">
        <v>17</v>
      </c>
      <c r="AJ276">
        <v>20</v>
      </c>
      <c r="AK276">
        <v>31</v>
      </c>
      <c r="AL276">
        <v>19</v>
      </c>
      <c r="AM276">
        <v>2</v>
      </c>
      <c r="AN276">
        <v>87</v>
      </c>
      <c r="AO276">
        <v>24</v>
      </c>
      <c r="AP276">
        <v>24</v>
      </c>
      <c r="AQ276">
        <v>43</v>
      </c>
      <c r="AR276">
        <v>4567</v>
      </c>
      <c r="AS276">
        <v>5905</v>
      </c>
      <c r="AT276" t="s">
        <v>13</v>
      </c>
      <c r="AU276">
        <v>0.53</v>
      </c>
      <c r="AV276">
        <v>2015</v>
      </c>
      <c r="AW276" s="1">
        <v>46024</v>
      </c>
      <c r="AX276">
        <v>25.3</v>
      </c>
      <c r="AY276" t="s">
        <v>19</v>
      </c>
      <c r="AZ276" t="s">
        <v>37</v>
      </c>
      <c r="BA276" t="s">
        <v>122</v>
      </c>
      <c r="BB276" t="s">
        <v>13</v>
      </c>
      <c r="BC276" t="s">
        <v>7</v>
      </c>
      <c r="BD276">
        <v>2</v>
      </c>
      <c r="BE276" t="s">
        <v>14</v>
      </c>
      <c r="BF276">
        <v>1.01</v>
      </c>
    </row>
    <row r="277" spans="1:58" hidden="1" x14ac:dyDescent="0.2">
      <c r="A277">
        <v>276</v>
      </c>
      <c r="B277" t="s">
        <v>0</v>
      </c>
      <c r="C277">
        <v>44</v>
      </c>
      <c r="D277" t="s">
        <v>28</v>
      </c>
      <c r="E277" t="s">
        <v>128</v>
      </c>
      <c r="F277" t="s">
        <v>15</v>
      </c>
      <c r="G277" t="s">
        <v>116</v>
      </c>
      <c r="H277" t="s">
        <v>118</v>
      </c>
      <c r="I277" t="s">
        <v>113</v>
      </c>
      <c r="J277" t="s">
        <v>123</v>
      </c>
      <c r="K277" t="s">
        <v>7</v>
      </c>
      <c r="L277">
        <v>8.8000000000000007</v>
      </c>
      <c r="M277">
        <v>5.4</v>
      </c>
      <c r="N277" t="s">
        <v>39</v>
      </c>
      <c r="O277" t="s">
        <v>7</v>
      </c>
      <c r="P277" t="s">
        <v>9</v>
      </c>
      <c r="Q277">
        <v>18</v>
      </c>
      <c r="R277">
        <v>7</v>
      </c>
      <c r="S277">
        <v>23</v>
      </c>
      <c r="T277">
        <v>111</v>
      </c>
      <c r="U277">
        <v>73</v>
      </c>
      <c r="V277">
        <v>7937</v>
      </c>
      <c r="W277">
        <v>56.9</v>
      </c>
      <c r="X277">
        <v>2</v>
      </c>
      <c r="Y277">
        <v>5</v>
      </c>
      <c r="Z277">
        <v>11</v>
      </c>
      <c r="AA277">
        <v>6.3</v>
      </c>
      <c r="AB277">
        <v>3</v>
      </c>
      <c r="AC277">
        <v>214</v>
      </c>
      <c r="AD277">
        <v>8</v>
      </c>
      <c r="AE277">
        <v>6</v>
      </c>
      <c r="AF277">
        <v>176</v>
      </c>
      <c r="AG277">
        <v>114</v>
      </c>
      <c r="AH277">
        <v>134</v>
      </c>
      <c r="AI277">
        <v>33</v>
      </c>
      <c r="AJ277">
        <v>28</v>
      </c>
      <c r="AK277">
        <v>35</v>
      </c>
      <c r="AL277">
        <v>22</v>
      </c>
      <c r="AM277">
        <v>6</v>
      </c>
      <c r="AN277">
        <v>93</v>
      </c>
      <c r="AO277">
        <v>38</v>
      </c>
      <c r="AP277">
        <v>26</v>
      </c>
      <c r="AQ277">
        <v>80</v>
      </c>
      <c r="AR277">
        <v>2673</v>
      </c>
      <c r="AS277">
        <v>1318</v>
      </c>
      <c r="AT277" t="s">
        <v>7</v>
      </c>
      <c r="AU277">
        <v>0.17</v>
      </c>
      <c r="AV277">
        <v>2013</v>
      </c>
      <c r="AW277" s="1">
        <v>45702</v>
      </c>
      <c r="AX277">
        <v>26.8</v>
      </c>
      <c r="AY277" t="s">
        <v>45</v>
      </c>
      <c r="AZ277" t="s">
        <v>51</v>
      </c>
      <c r="BA277" t="s">
        <v>12</v>
      </c>
      <c r="BB277" t="s">
        <v>13</v>
      </c>
      <c r="BC277" t="s">
        <v>7</v>
      </c>
      <c r="BD277">
        <v>2</v>
      </c>
      <c r="BE277" t="s">
        <v>49</v>
      </c>
      <c r="BF277">
        <v>1.01</v>
      </c>
    </row>
    <row r="278" spans="1:58" hidden="1" x14ac:dyDescent="0.2">
      <c r="A278">
        <v>277</v>
      </c>
      <c r="B278" t="s">
        <v>0</v>
      </c>
      <c r="C278">
        <v>19</v>
      </c>
      <c r="D278" t="s">
        <v>28</v>
      </c>
      <c r="E278" t="s">
        <v>128</v>
      </c>
      <c r="F278" t="s">
        <v>15</v>
      </c>
      <c r="G278" t="s">
        <v>38</v>
      </c>
      <c r="H278" t="s">
        <v>23</v>
      </c>
      <c r="I278" t="s">
        <v>112</v>
      </c>
      <c r="J278" t="s">
        <v>123</v>
      </c>
      <c r="K278" t="s">
        <v>7</v>
      </c>
      <c r="L278">
        <v>8.5</v>
      </c>
      <c r="M278">
        <v>7.7</v>
      </c>
      <c r="N278" t="s">
        <v>29</v>
      </c>
      <c r="O278" t="s">
        <v>7</v>
      </c>
      <c r="P278" t="s">
        <v>46</v>
      </c>
      <c r="Q278">
        <v>36</v>
      </c>
      <c r="R278">
        <v>9</v>
      </c>
      <c r="S278">
        <v>24.8</v>
      </c>
      <c r="T278">
        <v>90</v>
      </c>
      <c r="U278">
        <v>80</v>
      </c>
      <c r="V278">
        <v>7849</v>
      </c>
      <c r="W278">
        <v>29.8</v>
      </c>
      <c r="X278">
        <v>4</v>
      </c>
      <c r="Y278">
        <v>3</v>
      </c>
      <c r="Z278">
        <v>9</v>
      </c>
      <c r="AA278">
        <v>10.3</v>
      </c>
      <c r="AB278">
        <v>3</v>
      </c>
      <c r="AC278">
        <v>275</v>
      </c>
      <c r="AD278">
        <v>13</v>
      </c>
      <c r="AE278">
        <v>12</v>
      </c>
      <c r="AF278">
        <v>261</v>
      </c>
      <c r="AG278">
        <v>124</v>
      </c>
      <c r="AH278">
        <v>146</v>
      </c>
      <c r="AI278">
        <v>54</v>
      </c>
      <c r="AJ278">
        <v>31</v>
      </c>
      <c r="AK278">
        <v>44</v>
      </c>
      <c r="AL278">
        <v>26</v>
      </c>
      <c r="AM278">
        <v>8</v>
      </c>
      <c r="AN278">
        <v>163</v>
      </c>
      <c r="AO278">
        <v>69</v>
      </c>
      <c r="AP278">
        <v>57</v>
      </c>
      <c r="AQ278">
        <v>108</v>
      </c>
      <c r="AR278">
        <v>2255</v>
      </c>
      <c r="AS278">
        <v>2854</v>
      </c>
      <c r="AT278" t="s">
        <v>13</v>
      </c>
      <c r="AU278">
        <v>0.28000000000000003</v>
      </c>
      <c r="AV278">
        <v>2017</v>
      </c>
      <c r="AW278" s="1">
        <v>45863</v>
      </c>
      <c r="AX278">
        <v>21.2</v>
      </c>
      <c r="AY278" t="s">
        <v>30</v>
      </c>
      <c r="AZ278" t="s">
        <v>17</v>
      </c>
      <c r="BA278" t="s">
        <v>21</v>
      </c>
      <c r="BB278" t="s">
        <v>13</v>
      </c>
      <c r="BC278" t="s">
        <v>7</v>
      </c>
      <c r="BD278">
        <v>0</v>
      </c>
      <c r="BE278" t="s">
        <v>43</v>
      </c>
      <c r="BF278">
        <v>1.05</v>
      </c>
    </row>
    <row r="279" spans="1:58" hidden="1" x14ac:dyDescent="0.2">
      <c r="A279">
        <v>278</v>
      </c>
      <c r="B279" t="s">
        <v>0</v>
      </c>
      <c r="C279">
        <v>64</v>
      </c>
      <c r="D279" t="s">
        <v>28</v>
      </c>
      <c r="E279" t="s">
        <v>42</v>
      </c>
      <c r="F279" t="s">
        <v>3</v>
      </c>
      <c r="G279" t="s">
        <v>16</v>
      </c>
      <c r="H279" t="s">
        <v>118</v>
      </c>
      <c r="I279" t="s">
        <v>115</v>
      </c>
      <c r="J279" t="s">
        <v>6</v>
      </c>
      <c r="K279" t="s">
        <v>7</v>
      </c>
      <c r="L279">
        <v>5.9</v>
      </c>
      <c r="M279">
        <v>7.9</v>
      </c>
      <c r="N279" t="s">
        <v>29</v>
      </c>
      <c r="O279" t="s">
        <v>7</v>
      </c>
      <c r="P279" t="s">
        <v>9</v>
      </c>
      <c r="Q279">
        <v>34</v>
      </c>
      <c r="R279">
        <v>2</v>
      </c>
      <c r="S279">
        <v>38.6</v>
      </c>
      <c r="T279">
        <v>126</v>
      </c>
      <c r="U279">
        <v>84</v>
      </c>
      <c r="V279">
        <v>8089</v>
      </c>
      <c r="W279">
        <v>29.1</v>
      </c>
      <c r="X279">
        <v>3</v>
      </c>
      <c r="Y279">
        <v>5</v>
      </c>
      <c r="Z279">
        <v>14</v>
      </c>
      <c r="AA279">
        <v>9</v>
      </c>
      <c r="AB279">
        <v>5</v>
      </c>
      <c r="AC279">
        <v>325</v>
      </c>
      <c r="AD279">
        <v>30</v>
      </c>
      <c r="AE279">
        <v>5</v>
      </c>
      <c r="AF279">
        <v>258</v>
      </c>
      <c r="AG279">
        <v>150</v>
      </c>
      <c r="AH279">
        <v>203</v>
      </c>
      <c r="AI279">
        <v>47</v>
      </c>
      <c r="AJ279">
        <v>43</v>
      </c>
      <c r="AK279">
        <v>43</v>
      </c>
      <c r="AL279">
        <v>23</v>
      </c>
      <c r="AM279">
        <v>4</v>
      </c>
      <c r="AN279">
        <v>130</v>
      </c>
      <c r="AO279">
        <v>73</v>
      </c>
      <c r="AP279">
        <v>57</v>
      </c>
      <c r="AQ279">
        <v>70</v>
      </c>
      <c r="AR279">
        <v>6023</v>
      </c>
      <c r="AS279">
        <v>10000</v>
      </c>
      <c r="AT279" t="s">
        <v>13</v>
      </c>
      <c r="AU279">
        <v>0.28000000000000003</v>
      </c>
      <c r="AV279">
        <v>2015</v>
      </c>
      <c r="AW279" s="1">
        <v>45708</v>
      </c>
      <c r="AX279">
        <v>10.8</v>
      </c>
      <c r="AY279" t="s">
        <v>27</v>
      </c>
      <c r="AZ279" t="s">
        <v>37</v>
      </c>
      <c r="BA279" t="s">
        <v>122</v>
      </c>
      <c r="BB279" t="s">
        <v>13</v>
      </c>
      <c r="BC279" t="s">
        <v>7</v>
      </c>
      <c r="BD279">
        <v>2</v>
      </c>
      <c r="BE279" t="s">
        <v>49</v>
      </c>
      <c r="BF279">
        <v>0.96</v>
      </c>
    </row>
    <row r="280" spans="1:58" hidden="1" x14ac:dyDescent="0.2">
      <c r="A280">
        <v>279</v>
      </c>
      <c r="B280" t="s">
        <v>0</v>
      </c>
      <c r="C280">
        <v>53</v>
      </c>
      <c r="D280" t="s">
        <v>28</v>
      </c>
      <c r="E280" t="s">
        <v>47</v>
      </c>
      <c r="F280" t="s">
        <v>3</v>
      </c>
      <c r="G280" t="s">
        <v>117</v>
      </c>
      <c r="H280" t="s">
        <v>34</v>
      </c>
      <c r="I280" t="s">
        <v>115</v>
      </c>
      <c r="J280" t="s">
        <v>6</v>
      </c>
      <c r="K280" t="s">
        <v>7</v>
      </c>
      <c r="L280">
        <v>9.4</v>
      </c>
      <c r="M280">
        <v>8.6</v>
      </c>
      <c r="N280" t="s">
        <v>39</v>
      </c>
      <c r="O280" t="s">
        <v>7</v>
      </c>
      <c r="P280" t="s">
        <v>26</v>
      </c>
      <c r="Q280">
        <v>28</v>
      </c>
      <c r="R280">
        <v>1</v>
      </c>
      <c r="S280">
        <v>25.3</v>
      </c>
      <c r="T280">
        <v>101</v>
      </c>
      <c r="U280">
        <v>65</v>
      </c>
      <c r="V280">
        <v>8012</v>
      </c>
      <c r="W280">
        <v>44.7</v>
      </c>
      <c r="X280">
        <v>3</v>
      </c>
      <c r="Y280">
        <v>4</v>
      </c>
      <c r="Z280">
        <v>12</v>
      </c>
      <c r="AA280">
        <v>3.3</v>
      </c>
      <c r="AB280">
        <v>3</v>
      </c>
      <c r="AC280">
        <v>370</v>
      </c>
      <c r="AD280">
        <v>25</v>
      </c>
      <c r="AE280">
        <v>13</v>
      </c>
      <c r="AF280">
        <v>258</v>
      </c>
      <c r="AG280">
        <v>150</v>
      </c>
      <c r="AH280">
        <v>207</v>
      </c>
      <c r="AI280">
        <v>69</v>
      </c>
      <c r="AJ280">
        <v>54</v>
      </c>
      <c r="AK280">
        <v>52</v>
      </c>
      <c r="AL280">
        <v>32</v>
      </c>
      <c r="AM280">
        <v>7</v>
      </c>
      <c r="AN280">
        <v>168</v>
      </c>
      <c r="AO280">
        <v>105</v>
      </c>
      <c r="AP280">
        <v>61</v>
      </c>
      <c r="AQ280">
        <v>75</v>
      </c>
      <c r="AR280">
        <v>11776</v>
      </c>
      <c r="AS280">
        <v>10000</v>
      </c>
      <c r="AT280" t="s">
        <v>7</v>
      </c>
      <c r="AU280">
        <v>0.69</v>
      </c>
      <c r="AV280">
        <v>2013</v>
      </c>
      <c r="AW280" s="1">
        <v>45933</v>
      </c>
      <c r="AX280">
        <v>14.8</v>
      </c>
      <c r="AY280" t="s">
        <v>30</v>
      </c>
      <c r="AZ280" t="s">
        <v>17</v>
      </c>
      <c r="BA280" t="s">
        <v>12</v>
      </c>
      <c r="BB280" t="s">
        <v>7</v>
      </c>
      <c r="BC280" t="s">
        <v>13</v>
      </c>
      <c r="BD280">
        <v>5</v>
      </c>
      <c r="BE280" t="s">
        <v>14</v>
      </c>
      <c r="BF280">
        <v>1.04</v>
      </c>
    </row>
    <row r="281" spans="1:58" hidden="1" x14ac:dyDescent="0.2">
      <c r="A281">
        <v>280</v>
      </c>
      <c r="B281" t="s">
        <v>0</v>
      </c>
      <c r="C281">
        <v>45</v>
      </c>
      <c r="D281" t="s">
        <v>1</v>
      </c>
      <c r="E281" t="s">
        <v>2</v>
      </c>
      <c r="F281" t="s">
        <v>15</v>
      </c>
      <c r="G281" t="s">
        <v>16</v>
      </c>
      <c r="H281" t="s">
        <v>118</v>
      </c>
      <c r="I281" t="s">
        <v>112</v>
      </c>
      <c r="J281" t="s">
        <v>6</v>
      </c>
      <c r="K281" t="s">
        <v>13</v>
      </c>
      <c r="L281">
        <v>13</v>
      </c>
      <c r="M281">
        <v>5.2</v>
      </c>
      <c r="N281" t="s">
        <v>8</v>
      </c>
      <c r="O281" t="s">
        <v>13</v>
      </c>
      <c r="P281" t="s">
        <v>46</v>
      </c>
      <c r="Q281">
        <v>3</v>
      </c>
      <c r="R281">
        <v>6</v>
      </c>
      <c r="S281">
        <v>33.9</v>
      </c>
      <c r="T281">
        <v>154</v>
      </c>
      <c r="U281">
        <v>98</v>
      </c>
      <c r="V281">
        <v>7929</v>
      </c>
      <c r="W281">
        <v>35.4</v>
      </c>
      <c r="X281">
        <v>4</v>
      </c>
      <c r="Y281">
        <v>1</v>
      </c>
      <c r="Z281">
        <v>10</v>
      </c>
      <c r="AA281">
        <v>3.2</v>
      </c>
      <c r="AB281">
        <v>5</v>
      </c>
      <c r="AC281">
        <v>5</v>
      </c>
      <c r="AD281">
        <v>1</v>
      </c>
      <c r="AE281">
        <v>2</v>
      </c>
      <c r="AF281">
        <v>32</v>
      </c>
      <c r="AG281">
        <v>31</v>
      </c>
      <c r="AH281">
        <v>24</v>
      </c>
      <c r="AI281">
        <v>7</v>
      </c>
      <c r="AJ281">
        <v>7</v>
      </c>
      <c r="AK281">
        <v>4</v>
      </c>
      <c r="AL281">
        <v>5</v>
      </c>
      <c r="AM281">
        <v>1</v>
      </c>
      <c r="AN281">
        <v>3</v>
      </c>
      <c r="AO281">
        <v>1</v>
      </c>
      <c r="AP281">
        <v>1</v>
      </c>
      <c r="AQ281">
        <v>2</v>
      </c>
      <c r="AR281">
        <v>2273</v>
      </c>
      <c r="AS281">
        <v>3922</v>
      </c>
      <c r="AT281" t="s">
        <v>7</v>
      </c>
      <c r="AU281">
        <v>0.18</v>
      </c>
      <c r="AV281">
        <v>2025</v>
      </c>
      <c r="AW281" s="1">
        <v>45918</v>
      </c>
      <c r="AX281">
        <v>5</v>
      </c>
      <c r="AY281" t="s">
        <v>36</v>
      </c>
      <c r="AZ281" t="s">
        <v>17</v>
      </c>
      <c r="BA281" t="s">
        <v>21</v>
      </c>
      <c r="BB281" t="s">
        <v>13</v>
      </c>
      <c r="BC281" t="s">
        <v>13</v>
      </c>
      <c r="BD281">
        <v>3</v>
      </c>
      <c r="BE281" t="s">
        <v>14</v>
      </c>
      <c r="BF281">
        <v>7.33</v>
      </c>
    </row>
    <row r="282" spans="1:58" hidden="1" x14ac:dyDescent="0.2">
      <c r="A282">
        <v>281</v>
      </c>
      <c r="B282" t="s">
        <v>0</v>
      </c>
      <c r="C282">
        <v>52</v>
      </c>
      <c r="D282" t="s">
        <v>28</v>
      </c>
      <c r="E282" t="s">
        <v>127</v>
      </c>
      <c r="F282" t="s">
        <v>15</v>
      </c>
      <c r="G282" t="s">
        <v>116</v>
      </c>
      <c r="H282" t="s">
        <v>23</v>
      </c>
      <c r="I282" t="s">
        <v>112</v>
      </c>
      <c r="J282" t="s">
        <v>6</v>
      </c>
      <c r="K282" t="s">
        <v>7</v>
      </c>
      <c r="L282">
        <v>8.6999999999999993</v>
      </c>
      <c r="M282">
        <v>7</v>
      </c>
      <c r="N282" t="s">
        <v>120</v>
      </c>
      <c r="O282" t="s">
        <v>7</v>
      </c>
      <c r="P282" t="s">
        <v>46</v>
      </c>
      <c r="Q282">
        <v>33</v>
      </c>
      <c r="R282">
        <v>9</v>
      </c>
      <c r="S282">
        <v>24.1</v>
      </c>
      <c r="T282">
        <v>120</v>
      </c>
      <c r="U282">
        <v>97</v>
      </c>
      <c r="V282">
        <v>8177</v>
      </c>
      <c r="W282">
        <v>25.5</v>
      </c>
      <c r="X282">
        <v>5</v>
      </c>
      <c r="Y282">
        <v>6</v>
      </c>
      <c r="Z282">
        <v>9</v>
      </c>
      <c r="AA282">
        <v>1.6</v>
      </c>
      <c r="AB282">
        <v>2</v>
      </c>
      <c r="AC282">
        <v>214</v>
      </c>
      <c r="AD282">
        <v>7</v>
      </c>
      <c r="AE282">
        <v>11</v>
      </c>
      <c r="AF282">
        <v>160</v>
      </c>
      <c r="AG282">
        <v>116</v>
      </c>
      <c r="AH282">
        <v>154</v>
      </c>
      <c r="AI282">
        <v>36</v>
      </c>
      <c r="AJ282">
        <v>38</v>
      </c>
      <c r="AK282">
        <v>45</v>
      </c>
      <c r="AL282">
        <v>17</v>
      </c>
      <c r="AM282">
        <v>5</v>
      </c>
      <c r="AN282">
        <v>123</v>
      </c>
      <c r="AO282">
        <v>34</v>
      </c>
      <c r="AP282">
        <v>33</v>
      </c>
      <c r="AQ282">
        <v>49</v>
      </c>
      <c r="AR282">
        <v>17563</v>
      </c>
      <c r="AS282">
        <v>10000</v>
      </c>
      <c r="AT282" t="s">
        <v>13</v>
      </c>
      <c r="AU282">
        <v>0.04</v>
      </c>
      <c r="AV282">
        <v>2021</v>
      </c>
      <c r="AW282" s="1">
        <v>45712</v>
      </c>
      <c r="AX282">
        <v>30.6</v>
      </c>
      <c r="AY282" t="s">
        <v>27</v>
      </c>
      <c r="AZ282" t="s">
        <v>20</v>
      </c>
      <c r="BA282" t="s">
        <v>122</v>
      </c>
      <c r="BB282" t="s">
        <v>13</v>
      </c>
      <c r="BC282" t="s">
        <v>7</v>
      </c>
      <c r="BD282">
        <v>1</v>
      </c>
      <c r="BE282" t="s">
        <v>14</v>
      </c>
      <c r="BF282">
        <v>1.2</v>
      </c>
    </row>
    <row r="283" spans="1:58" hidden="1" x14ac:dyDescent="0.2">
      <c r="A283">
        <v>282</v>
      </c>
      <c r="B283" t="s">
        <v>0</v>
      </c>
      <c r="C283">
        <v>51</v>
      </c>
      <c r="D283" t="s">
        <v>28</v>
      </c>
      <c r="E283" t="s">
        <v>33</v>
      </c>
      <c r="F283" t="s">
        <v>40</v>
      </c>
      <c r="G283" t="s">
        <v>116</v>
      </c>
      <c r="H283" t="s">
        <v>23</v>
      </c>
      <c r="I283" t="s">
        <v>114</v>
      </c>
      <c r="J283" t="s">
        <v>6</v>
      </c>
      <c r="K283" t="s">
        <v>7</v>
      </c>
      <c r="L283">
        <v>13.3</v>
      </c>
      <c r="M283">
        <v>7.1</v>
      </c>
      <c r="N283" t="s">
        <v>29</v>
      </c>
      <c r="O283" t="s">
        <v>7</v>
      </c>
      <c r="P283" t="s">
        <v>9</v>
      </c>
      <c r="Q283">
        <v>32</v>
      </c>
      <c r="R283">
        <v>1</v>
      </c>
      <c r="S283">
        <v>25.9</v>
      </c>
      <c r="T283">
        <v>127</v>
      </c>
      <c r="U283">
        <v>78</v>
      </c>
      <c r="V283">
        <v>8086</v>
      </c>
      <c r="W283">
        <v>40</v>
      </c>
      <c r="X283">
        <v>5</v>
      </c>
      <c r="Y283">
        <v>5</v>
      </c>
      <c r="Z283">
        <v>7</v>
      </c>
      <c r="AA283">
        <v>0.8</v>
      </c>
      <c r="AB283">
        <v>4</v>
      </c>
      <c r="AC283">
        <v>319</v>
      </c>
      <c r="AD283">
        <v>11</v>
      </c>
      <c r="AE283">
        <v>5</v>
      </c>
      <c r="AF283">
        <v>228</v>
      </c>
      <c r="AG283">
        <v>150</v>
      </c>
      <c r="AH283">
        <v>171</v>
      </c>
      <c r="AI283">
        <v>68</v>
      </c>
      <c r="AJ283">
        <v>44</v>
      </c>
      <c r="AK283">
        <v>43</v>
      </c>
      <c r="AL283">
        <v>26</v>
      </c>
      <c r="AM283">
        <v>5</v>
      </c>
      <c r="AN283">
        <v>149</v>
      </c>
      <c r="AO283">
        <v>68</v>
      </c>
      <c r="AP283">
        <v>56</v>
      </c>
      <c r="AQ283">
        <v>118</v>
      </c>
      <c r="AR283">
        <v>86</v>
      </c>
      <c r="AS283">
        <v>185</v>
      </c>
      <c r="AT283" t="s">
        <v>13</v>
      </c>
      <c r="AU283">
        <v>0.86</v>
      </c>
      <c r="AV283">
        <v>2023</v>
      </c>
      <c r="AW283" s="1">
        <v>45779</v>
      </c>
      <c r="AX283">
        <v>29</v>
      </c>
      <c r="AY283" t="s">
        <v>45</v>
      </c>
      <c r="AZ283" t="s">
        <v>51</v>
      </c>
      <c r="BA283" t="s">
        <v>21</v>
      </c>
      <c r="BB283" t="s">
        <v>7</v>
      </c>
      <c r="BC283" t="s">
        <v>7</v>
      </c>
      <c r="BD283">
        <v>0</v>
      </c>
      <c r="BE283" t="s">
        <v>14</v>
      </c>
      <c r="BF283">
        <v>1.01</v>
      </c>
    </row>
    <row r="284" spans="1:58" hidden="1" x14ac:dyDescent="0.2">
      <c r="A284">
        <v>283</v>
      </c>
      <c r="B284" t="s">
        <v>0</v>
      </c>
      <c r="C284">
        <v>30</v>
      </c>
      <c r="D284" t="s">
        <v>1</v>
      </c>
      <c r="E284" t="s">
        <v>128</v>
      </c>
      <c r="F284" t="s">
        <v>3</v>
      </c>
      <c r="G284" t="s">
        <v>117</v>
      </c>
      <c r="H284" t="s">
        <v>24</v>
      </c>
      <c r="I284" t="s">
        <v>113</v>
      </c>
      <c r="J284" t="s">
        <v>6</v>
      </c>
      <c r="K284" t="s">
        <v>7</v>
      </c>
      <c r="L284">
        <v>1.6</v>
      </c>
      <c r="M284">
        <v>6.6</v>
      </c>
      <c r="N284" t="s">
        <v>8</v>
      </c>
      <c r="O284" t="s">
        <v>7</v>
      </c>
      <c r="P284" t="s">
        <v>26</v>
      </c>
      <c r="Q284">
        <v>36</v>
      </c>
      <c r="R284">
        <v>2</v>
      </c>
      <c r="S284">
        <v>21.9</v>
      </c>
      <c r="T284">
        <v>142</v>
      </c>
      <c r="U284">
        <v>96</v>
      </c>
      <c r="V284">
        <v>8036</v>
      </c>
      <c r="W284">
        <v>38.799999999999997</v>
      </c>
      <c r="X284">
        <v>3</v>
      </c>
      <c r="Y284">
        <v>6</v>
      </c>
      <c r="Z284">
        <v>9</v>
      </c>
      <c r="AA284">
        <v>5.2</v>
      </c>
      <c r="AB284">
        <v>2</v>
      </c>
      <c r="AC284">
        <v>390</v>
      </c>
      <c r="AD284">
        <v>33</v>
      </c>
      <c r="AE284">
        <v>10</v>
      </c>
      <c r="AF284">
        <v>276</v>
      </c>
      <c r="AG284">
        <v>150</v>
      </c>
      <c r="AH284">
        <v>225</v>
      </c>
      <c r="AI284">
        <v>59</v>
      </c>
      <c r="AJ284">
        <v>41</v>
      </c>
      <c r="AK284">
        <v>47</v>
      </c>
      <c r="AL284">
        <v>30</v>
      </c>
      <c r="AM284">
        <v>15</v>
      </c>
      <c r="AN284">
        <v>181</v>
      </c>
      <c r="AO284">
        <v>115</v>
      </c>
      <c r="AP284">
        <v>89</v>
      </c>
      <c r="AQ284">
        <v>115</v>
      </c>
      <c r="AR284">
        <v>3177</v>
      </c>
      <c r="AS284">
        <v>4678</v>
      </c>
      <c r="AT284" t="s">
        <v>7</v>
      </c>
      <c r="AU284">
        <v>0.92</v>
      </c>
      <c r="AV284">
        <v>2016</v>
      </c>
      <c r="AW284" s="1">
        <v>45947</v>
      </c>
      <c r="AX284">
        <v>11.8</v>
      </c>
      <c r="AY284" t="s">
        <v>45</v>
      </c>
      <c r="AZ284" t="s">
        <v>17</v>
      </c>
      <c r="BA284" t="s">
        <v>122</v>
      </c>
      <c r="BB284" t="s">
        <v>13</v>
      </c>
      <c r="BC284" t="s">
        <v>7</v>
      </c>
      <c r="BD284">
        <v>0</v>
      </c>
      <c r="BE284" t="s">
        <v>14</v>
      </c>
      <c r="BF284">
        <v>0.95</v>
      </c>
    </row>
    <row r="285" spans="1:58" hidden="1" x14ac:dyDescent="0.2">
      <c r="A285">
        <v>284</v>
      </c>
      <c r="B285" t="s">
        <v>0</v>
      </c>
      <c r="C285">
        <v>52</v>
      </c>
      <c r="D285" t="s">
        <v>28</v>
      </c>
      <c r="E285" t="s">
        <v>127</v>
      </c>
      <c r="F285" t="s">
        <v>3</v>
      </c>
      <c r="G285" t="s">
        <v>38</v>
      </c>
      <c r="H285" t="s">
        <v>5</v>
      </c>
      <c r="I285" t="s">
        <v>112</v>
      </c>
      <c r="J285" t="s">
        <v>6</v>
      </c>
      <c r="K285" t="s">
        <v>13</v>
      </c>
      <c r="L285">
        <v>6.5</v>
      </c>
      <c r="M285">
        <v>8.4</v>
      </c>
      <c r="N285" t="s">
        <v>29</v>
      </c>
      <c r="O285" t="s">
        <v>7</v>
      </c>
      <c r="P285" t="s">
        <v>26</v>
      </c>
      <c r="Q285">
        <v>37</v>
      </c>
      <c r="R285">
        <v>7</v>
      </c>
      <c r="S285">
        <v>18.5</v>
      </c>
      <c r="T285">
        <v>146</v>
      </c>
      <c r="U285">
        <v>99</v>
      </c>
      <c r="V285">
        <v>8043</v>
      </c>
      <c r="W285">
        <v>24.7</v>
      </c>
      <c r="X285">
        <v>2</v>
      </c>
      <c r="Y285">
        <v>8</v>
      </c>
      <c r="Z285">
        <v>11</v>
      </c>
      <c r="AA285">
        <v>2.9</v>
      </c>
      <c r="AB285">
        <v>1</v>
      </c>
      <c r="AC285">
        <v>228</v>
      </c>
      <c r="AD285">
        <v>11</v>
      </c>
      <c r="AE285">
        <v>8</v>
      </c>
      <c r="AF285">
        <v>172</v>
      </c>
      <c r="AG285">
        <v>112</v>
      </c>
      <c r="AH285">
        <v>150</v>
      </c>
      <c r="AI285">
        <v>34</v>
      </c>
      <c r="AJ285">
        <v>36</v>
      </c>
      <c r="AK285">
        <v>29</v>
      </c>
      <c r="AL285">
        <v>27</v>
      </c>
      <c r="AM285">
        <v>5</v>
      </c>
      <c r="AN285">
        <v>107</v>
      </c>
      <c r="AO285">
        <v>31</v>
      </c>
      <c r="AP285">
        <v>55</v>
      </c>
      <c r="AQ285">
        <v>63</v>
      </c>
      <c r="AR285">
        <v>124</v>
      </c>
      <c r="AS285">
        <v>100</v>
      </c>
      <c r="AT285" t="s">
        <v>13</v>
      </c>
      <c r="AU285">
        <v>0.7</v>
      </c>
      <c r="AV285">
        <v>2018</v>
      </c>
      <c r="AW285" s="1">
        <v>45787</v>
      </c>
      <c r="AX285">
        <v>20.7</v>
      </c>
      <c r="AY285" t="s">
        <v>30</v>
      </c>
      <c r="AZ285" t="s">
        <v>51</v>
      </c>
      <c r="BA285" t="s">
        <v>122</v>
      </c>
      <c r="BB285" t="s">
        <v>7</v>
      </c>
      <c r="BC285" t="s">
        <v>7</v>
      </c>
      <c r="BD285">
        <v>3</v>
      </c>
      <c r="BE285" t="s">
        <v>14</v>
      </c>
      <c r="BF285">
        <v>1.06</v>
      </c>
    </row>
    <row r="286" spans="1:58" hidden="1" x14ac:dyDescent="0.2">
      <c r="A286">
        <v>285</v>
      </c>
      <c r="B286" t="s">
        <v>0</v>
      </c>
      <c r="C286">
        <v>13</v>
      </c>
      <c r="D286" t="s">
        <v>28</v>
      </c>
      <c r="E286" t="s">
        <v>17</v>
      </c>
      <c r="F286" t="s">
        <v>40</v>
      </c>
      <c r="G286" t="s">
        <v>116</v>
      </c>
      <c r="H286" t="s">
        <v>118</v>
      </c>
      <c r="I286" t="s">
        <v>112</v>
      </c>
      <c r="J286" t="s">
        <v>32</v>
      </c>
      <c r="K286" t="s">
        <v>13</v>
      </c>
      <c r="L286">
        <v>4</v>
      </c>
      <c r="M286">
        <v>7.1</v>
      </c>
      <c r="N286" t="s">
        <v>39</v>
      </c>
      <c r="O286" t="s">
        <v>7</v>
      </c>
      <c r="P286" t="s">
        <v>9</v>
      </c>
      <c r="Q286">
        <v>25</v>
      </c>
      <c r="R286">
        <v>6</v>
      </c>
      <c r="S286">
        <v>27.7</v>
      </c>
      <c r="T286">
        <v>132</v>
      </c>
      <c r="U286">
        <v>96</v>
      </c>
      <c r="V286">
        <v>7977</v>
      </c>
      <c r="W286">
        <v>25.9</v>
      </c>
      <c r="X286">
        <v>1</v>
      </c>
      <c r="Y286">
        <v>6</v>
      </c>
      <c r="Z286">
        <v>6</v>
      </c>
      <c r="AA286">
        <v>1.2</v>
      </c>
      <c r="AB286">
        <v>4</v>
      </c>
      <c r="AC286">
        <v>299</v>
      </c>
      <c r="AD286">
        <v>10</v>
      </c>
      <c r="AE286">
        <v>12</v>
      </c>
      <c r="AF286">
        <v>291</v>
      </c>
      <c r="AG286">
        <v>134</v>
      </c>
      <c r="AH286">
        <v>171</v>
      </c>
      <c r="AI286">
        <v>47</v>
      </c>
      <c r="AJ286">
        <v>41</v>
      </c>
      <c r="AK286">
        <v>45</v>
      </c>
      <c r="AL286">
        <v>31</v>
      </c>
      <c r="AM286">
        <v>8</v>
      </c>
      <c r="AN286">
        <v>152</v>
      </c>
      <c r="AO286">
        <v>52</v>
      </c>
      <c r="AP286">
        <v>35</v>
      </c>
      <c r="AQ286">
        <v>114</v>
      </c>
      <c r="AR286">
        <v>408</v>
      </c>
      <c r="AS286">
        <v>677</v>
      </c>
      <c r="AT286" t="s">
        <v>7</v>
      </c>
      <c r="AU286">
        <v>0.27</v>
      </c>
      <c r="AV286">
        <v>2022</v>
      </c>
      <c r="AW286" s="1">
        <v>45979</v>
      </c>
      <c r="AX286">
        <v>29.9</v>
      </c>
      <c r="AY286" t="s">
        <v>27</v>
      </c>
      <c r="AZ286" t="s">
        <v>35</v>
      </c>
      <c r="BA286" t="s">
        <v>21</v>
      </c>
      <c r="BB286" t="s">
        <v>7</v>
      </c>
      <c r="BC286" t="s">
        <v>13</v>
      </c>
      <c r="BD286">
        <v>0</v>
      </c>
      <c r="BE286" t="s">
        <v>14</v>
      </c>
      <c r="BF286">
        <v>1</v>
      </c>
    </row>
    <row r="287" spans="1:58" hidden="1" x14ac:dyDescent="0.2">
      <c r="A287">
        <v>286</v>
      </c>
      <c r="B287" t="s">
        <v>0</v>
      </c>
      <c r="C287">
        <v>23</v>
      </c>
      <c r="D287" t="s">
        <v>28</v>
      </c>
      <c r="E287" t="s">
        <v>2</v>
      </c>
      <c r="F287" t="s">
        <v>15</v>
      </c>
      <c r="G287" t="s">
        <v>16</v>
      </c>
      <c r="H287" t="s">
        <v>34</v>
      </c>
      <c r="I287" t="s">
        <v>114</v>
      </c>
      <c r="J287" t="s">
        <v>6</v>
      </c>
      <c r="K287" t="s">
        <v>13</v>
      </c>
      <c r="L287">
        <v>8</v>
      </c>
      <c r="M287">
        <v>8.1999999999999993</v>
      </c>
      <c r="N287" t="s">
        <v>8</v>
      </c>
      <c r="O287" t="s">
        <v>7</v>
      </c>
      <c r="P287" t="s">
        <v>9</v>
      </c>
      <c r="Q287">
        <v>3</v>
      </c>
      <c r="R287">
        <v>2</v>
      </c>
      <c r="S287">
        <v>26</v>
      </c>
      <c r="T287">
        <v>147</v>
      </c>
      <c r="U287">
        <v>71</v>
      </c>
      <c r="V287">
        <v>7967</v>
      </c>
      <c r="W287">
        <v>45.2</v>
      </c>
      <c r="X287">
        <v>3</v>
      </c>
      <c r="Y287">
        <v>3</v>
      </c>
      <c r="Z287">
        <v>8</v>
      </c>
      <c r="AA287">
        <v>0.4</v>
      </c>
      <c r="AB287">
        <v>2</v>
      </c>
      <c r="AC287">
        <v>90</v>
      </c>
      <c r="AD287">
        <v>4</v>
      </c>
      <c r="AE287">
        <v>8</v>
      </c>
      <c r="AF287">
        <v>177</v>
      </c>
      <c r="AG287">
        <v>65</v>
      </c>
      <c r="AH287">
        <v>62</v>
      </c>
      <c r="AI287">
        <v>18</v>
      </c>
      <c r="AJ287">
        <v>17</v>
      </c>
      <c r="AK287">
        <v>18</v>
      </c>
      <c r="AL287">
        <v>20</v>
      </c>
      <c r="AM287">
        <v>2</v>
      </c>
      <c r="AN287">
        <v>39</v>
      </c>
      <c r="AO287">
        <v>23</v>
      </c>
      <c r="AP287">
        <v>17</v>
      </c>
      <c r="AQ287">
        <v>22</v>
      </c>
      <c r="AR287">
        <v>719</v>
      </c>
      <c r="AS287">
        <v>708</v>
      </c>
      <c r="AT287" t="s">
        <v>7</v>
      </c>
      <c r="AU287">
        <v>0.26</v>
      </c>
      <c r="AV287">
        <v>2013</v>
      </c>
      <c r="AW287" s="1">
        <v>45905</v>
      </c>
      <c r="AX287">
        <v>22.5</v>
      </c>
      <c r="AY287" t="s">
        <v>30</v>
      </c>
      <c r="AZ287" t="s">
        <v>35</v>
      </c>
      <c r="BA287" t="s">
        <v>21</v>
      </c>
      <c r="BB287" t="s">
        <v>13</v>
      </c>
      <c r="BC287" t="s">
        <v>13</v>
      </c>
      <c r="BD287">
        <v>5</v>
      </c>
      <c r="BE287" t="s">
        <v>14</v>
      </c>
      <c r="BF287">
        <v>1.34</v>
      </c>
    </row>
    <row r="288" spans="1:58" hidden="1" x14ac:dyDescent="0.2">
      <c r="A288">
        <v>287</v>
      </c>
      <c r="B288" t="s">
        <v>0</v>
      </c>
      <c r="C288">
        <v>40</v>
      </c>
      <c r="D288" t="s">
        <v>28</v>
      </c>
      <c r="E288" t="s">
        <v>33</v>
      </c>
      <c r="F288" t="s">
        <v>3</v>
      </c>
      <c r="G288" t="s">
        <v>38</v>
      </c>
      <c r="H288" t="s">
        <v>23</v>
      </c>
      <c r="I288" t="s">
        <v>113</v>
      </c>
      <c r="J288" t="s">
        <v>123</v>
      </c>
      <c r="K288" t="s">
        <v>7</v>
      </c>
      <c r="L288">
        <v>6.8</v>
      </c>
      <c r="M288">
        <v>7</v>
      </c>
      <c r="N288" t="s">
        <v>39</v>
      </c>
      <c r="O288" t="s">
        <v>7</v>
      </c>
      <c r="P288" t="s">
        <v>121</v>
      </c>
      <c r="Q288">
        <v>38</v>
      </c>
      <c r="R288">
        <v>10</v>
      </c>
      <c r="S288">
        <v>28</v>
      </c>
      <c r="T288">
        <v>151</v>
      </c>
      <c r="U288">
        <v>85</v>
      </c>
      <c r="V288">
        <v>7973</v>
      </c>
      <c r="W288">
        <v>43.1</v>
      </c>
      <c r="X288">
        <v>3</v>
      </c>
      <c r="Y288">
        <v>6</v>
      </c>
      <c r="Z288">
        <v>10</v>
      </c>
      <c r="AA288">
        <v>7.2</v>
      </c>
      <c r="AB288">
        <v>4</v>
      </c>
      <c r="AC288">
        <v>293</v>
      </c>
      <c r="AD288">
        <v>9</v>
      </c>
      <c r="AE288">
        <v>9</v>
      </c>
      <c r="AF288">
        <v>221</v>
      </c>
      <c r="AG288">
        <v>142</v>
      </c>
      <c r="AH288">
        <v>167</v>
      </c>
      <c r="AI288">
        <v>47</v>
      </c>
      <c r="AJ288">
        <v>29</v>
      </c>
      <c r="AK288">
        <v>49</v>
      </c>
      <c r="AL288">
        <v>25</v>
      </c>
      <c r="AM288">
        <v>6</v>
      </c>
      <c r="AN288">
        <v>156</v>
      </c>
      <c r="AO288">
        <v>57</v>
      </c>
      <c r="AP288">
        <v>34</v>
      </c>
      <c r="AQ288">
        <v>115</v>
      </c>
      <c r="AR288">
        <v>2671</v>
      </c>
      <c r="AS288">
        <v>5535</v>
      </c>
      <c r="AT288" t="s">
        <v>7</v>
      </c>
      <c r="AU288">
        <v>0.72</v>
      </c>
      <c r="AV288">
        <v>2017</v>
      </c>
      <c r="AW288" s="1">
        <v>45874</v>
      </c>
      <c r="AX288">
        <v>32.6</v>
      </c>
      <c r="AY288" t="s">
        <v>19</v>
      </c>
      <c r="AZ288" t="s">
        <v>48</v>
      </c>
      <c r="BA288" t="s">
        <v>21</v>
      </c>
      <c r="BB288" t="s">
        <v>13</v>
      </c>
      <c r="BC288" t="s">
        <v>13</v>
      </c>
      <c r="BD288">
        <v>2</v>
      </c>
      <c r="BE288" t="s">
        <v>14</v>
      </c>
      <c r="BF288">
        <v>0.98</v>
      </c>
    </row>
    <row r="289" spans="1:58" hidden="1" x14ac:dyDescent="0.2">
      <c r="A289">
        <v>288</v>
      </c>
      <c r="B289" t="s">
        <v>0</v>
      </c>
      <c r="C289">
        <v>37</v>
      </c>
      <c r="D289" t="s">
        <v>28</v>
      </c>
      <c r="E289" t="s">
        <v>17</v>
      </c>
      <c r="F289" t="s">
        <v>3</v>
      </c>
      <c r="G289" t="s">
        <v>117</v>
      </c>
      <c r="H289" t="s">
        <v>118</v>
      </c>
      <c r="I289" t="s">
        <v>115</v>
      </c>
      <c r="J289" t="s">
        <v>123</v>
      </c>
      <c r="K289" t="s">
        <v>7</v>
      </c>
      <c r="L289">
        <v>16.5</v>
      </c>
      <c r="M289">
        <v>6.9</v>
      </c>
      <c r="N289" t="s">
        <v>25</v>
      </c>
      <c r="O289" t="s">
        <v>7</v>
      </c>
      <c r="P289" t="s">
        <v>9</v>
      </c>
      <c r="Q289">
        <v>12</v>
      </c>
      <c r="R289">
        <v>10</v>
      </c>
      <c r="S289">
        <v>25.4</v>
      </c>
      <c r="T289">
        <v>157</v>
      </c>
      <c r="U289">
        <v>90</v>
      </c>
      <c r="V289">
        <v>8202</v>
      </c>
      <c r="W289">
        <v>40.9</v>
      </c>
      <c r="X289">
        <v>3</v>
      </c>
      <c r="Y289">
        <v>5</v>
      </c>
      <c r="Z289">
        <v>6</v>
      </c>
      <c r="AA289">
        <v>1.5</v>
      </c>
      <c r="AB289">
        <v>1</v>
      </c>
      <c r="AC289">
        <v>33</v>
      </c>
      <c r="AD289">
        <v>3</v>
      </c>
      <c r="AE289">
        <v>2</v>
      </c>
      <c r="AF289">
        <v>61</v>
      </c>
      <c r="AG289">
        <v>49</v>
      </c>
      <c r="AH289">
        <v>47</v>
      </c>
      <c r="AI289">
        <v>5</v>
      </c>
      <c r="AJ289">
        <v>19</v>
      </c>
      <c r="AK289">
        <v>12</v>
      </c>
      <c r="AL289">
        <v>6</v>
      </c>
      <c r="AM289">
        <v>0</v>
      </c>
      <c r="AN289">
        <v>18</v>
      </c>
      <c r="AO289">
        <v>4</v>
      </c>
      <c r="AP289">
        <v>3</v>
      </c>
      <c r="AQ289">
        <v>12</v>
      </c>
      <c r="AR289">
        <v>1863</v>
      </c>
      <c r="AS289">
        <v>4004</v>
      </c>
      <c r="AT289" t="s">
        <v>7</v>
      </c>
      <c r="AU289">
        <v>0.28999999999999998</v>
      </c>
      <c r="AV289">
        <v>2015</v>
      </c>
      <c r="AW289" s="1">
        <v>45658</v>
      </c>
      <c r="AX289">
        <v>11</v>
      </c>
      <c r="AY289" t="s">
        <v>27</v>
      </c>
      <c r="AZ289" t="s">
        <v>48</v>
      </c>
      <c r="BA289" t="s">
        <v>12</v>
      </c>
      <c r="BB289" t="s">
        <v>7</v>
      </c>
      <c r="BC289" t="s">
        <v>13</v>
      </c>
      <c r="BD289">
        <v>3</v>
      </c>
      <c r="BE289" t="s">
        <v>14</v>
      </c>
      <c r="BF289">
        <v>1.85</v>
      </c>
    </row>
    <row r="290" spans="1:58" hidden="1" x14ac:dyDescent="0.2">
      <c r="A290">
        <v>289</v>
      </c>
      <c r="B290" t="s">
        <v>0</v>
      </c>
      <c r="C290">
        <v>62</v>
      </c>
      <c r="D290" t="s">
        <v>28</v>
      </c>
      <c r="E290" t="s">
        <v>22</v>
      </c>
      <c r="F290" t="s">
        <v>40</v>
      </c>
      <c r="G290" t="s">
        <v>116</v>
      </c>
      <c r="H290" t="s">
        <v>118</v>
      </c>
      <c r="I290" t="s">
        <v>114</v>
      </c>
      <c r="J290" t="s">
        <v>6</v>
      </c>
      <c r="K290" t="s">
        <v>7</v>
      </c>
      <c r="L290">
        <v>2.1</v>
      </c>
      <c r="M290">
        <v>7</v>
      </c>
      <c r="N290" t="s">
        <v>25</v>
      </c>
      <c r="O290" t="s">
        <v>7</v>
      </c>
      <c r="P290" t="s">
        <v>26</v>
      </c>
      <c r="Q290">
        <v>8</v>
      </c>
      <c r="R290">
        <v>9</v>
      </c>
      <c r="S290">
        <v>27.2</v>
      </c>
      <c r="T290">
        <v>126</v>
      </c>
      <c r="U290">
        <v>65</v>
      </c>
      <c r="V290">
        <v>8144</v>
      </c>
      <c r="W290">
        <v>22.2</v>
      </c>
      <c r="X290">
        <v>0</v>
      </c>
      <c r="Y290">
        <v>3</v>
      </c>
      <c r="Z290">
        <v>15</v>
      </c>
      <c r="AA290">
        <v>2.5</v>
      </c>
      <c r="AB290">
        <v>6</v>
      </c>
      <c r="AC290">
        <v>5</v>
      </c>
      <c r="AD290">
        <v>1</v>
      </c>
      <c r="AE290">
        <v>2</v>
      </c>
      <c r="AF290">
        <v>45</v>
      </c>
      <c r="AG290">
        <v>25</v>
      </c>
      <c r="AH290">
        <v>27</v>
      </c>
      <c r="AI290">
        <v>7</v>
      </c>
      <c r="AJ290">
        <v>9</v>
      </c>
      <c r="AK290">
        <v>8</v>
      </c>
      <c r="AL290">
        <v>2</v>
      </c>
      <c r="AM290">
        <v>1</v>
      </c>
      <c r="AN290">
        <v>3</v>
      </c>
      <c r="AO290">
        <v>1</v>
      </c>
      <c r="AP290">
        <v>1</v>
      </c>
      <c r="AQ290">
        <v>2</v>
      </c>
      <c r="AR290">
        <v>1695</v>
      </c>
      <c r="AS290">
        <v>4224</v>
      </c>
      <c r="AT290" t="s">
        <v>7</v>
      </c>
      <c r="AU290">
        <v>0.55000000000000004</v>
      </c>
      <c r="AV290">
        <v>2023</v>
      </c>
      <c r="AW290" s="1">
        <v>45728</v>
      </c>
      <c r="AX290">
        <v>5</v>
      </c>
      <c r="AY290" t="s">
        <v>19</v>
      </c>
      <c r="AZ290" t="s">
        <v>48</v>
      </c>
      <c r="BA290" t="s">
        <v>21</v>
      </c>
      <c r="BB290" t="s">
        <v>7</v>
      </c>
      <c r="BC290" t="s">
        <v>7</v>
      </c>
      <c r="BD290">
        <v>1</v>
      </c>
      <c r="BE290" t="s">
        <v>14</v>
      </c>
      <c r="BF290">
        <v>7.83</v>
      </c>
    </row>
    <row r="291" spans="1:58" hidden="1" x14ac:dyDescent="0.2">
      <c r="A291">
        <v>290</v>
      </c>
      <c r="B291" t="s">
        <v>0</v>
      </c>
      <c r="C291">
        <v>35</v>
      </c>
      <c r="D291" t="s">
        <v>28</v>
      </c>
      <c r="E291" t="s">
        <v>127</v>
      </c>
      <c r="F291" t="s">
        <v>40</v>
      </c>
      <c r="G291" t="s">
        <v>16</v>
      </c>
      <c r="H291" t="s">
        <v>23</v>
      </c>
      <c r="I291" t="s">
        <v>115</v>
      </c>
      <c r="J291" t="s">
        <v>32</v>
      </c>
      <c r="K291" t="s">
        <v>13</v>
      </c>
      <c r="L291">
        <v>14.2</v>
      </c>
      <c r="M291">
        <v>7.6</v>
      </c>
      <c r="N291" t="s">
        <v>29</v>
      </c>
      <c r="O291" t="s">
        <v>13</v>
      </c>
      <c r="P291" t="s">
        <v>9</v>
      </c>
      <c r="Q291">
        <v>11</v>
      </c>
      <c r="R291">
        <v>10</v>
      </c>
      <c r="S291">
        <v>31</v>
      </c>
      <c r="T291">
        <v>105</v>
      </c>
      <c r="U291">
        <v>79</v>
      </c>
      <c r="V291">
        <v>8097</v>
      </c>
      <c r="W291">
        <v>31.6</v>
      </c>
      <c r="X291">
        <v>6</v>
      </c>
      <c r="Y291">
        <v>3</v>
      </c>
      <c r="Z291">
        <v>5</v>
      </c>
      <c r="AA291">
        <v>4</v>
      </c>
      <c r="AB291">
        <v>5</v>
      </c>
      <c r="AC291">
        <v>65</v>
      </c>
      <c r="AD291">
        <v>3</v>
      </c>
      <c r="AE291">
        <v>3</v>
      </c>
      <c r="AF291">
        <v>70</v>
      </c>
      <c r="AG291">
        <v>58</v>
      </c>
      <c r="AH291">
        <v>59</v>
      </c>
      <c r="AI291">
        <v>18</v>
      </c>
      <c r="AJ291">
        <v>17</v>
      </c>
      <c r="AK291">
        <v>23</v>
      </c>
      <c r="AL291">
        <v>9</v>
      </c>
      <c r="AM291">
        <v>2</v>
      </c>
      <c r="AN291">
        <v>30</v>
      </c>
      <c r="AO291">
        <v>11</v>
      </c>
      <c r="AP291">
        <v>10</v>
      </c>
      <c r="AQ291">
        <v>16</v>
      </c>
      <c r="AR291">
        <v>5846</v>
      </c>
      <c r="AS291">
        <v>8159</v>
      </c>
      <c r="AT291" t="s">
        <v>7</v>
      </c>
      <c r="AU291">
        <v>0.34</v>
      </c>
      <c r="AV291">
        <v>2018</v>
      </c>
      <c r="AW291" s="1">
        <v>45976</v>
      </c>
      <c r="AX291">
        <v>21.7</v>
      </c>
      <c r="AY291" t="s">
        <v>10</v>
      </c>
      <c r="AZ291" t="s">
        <v>51</v>
      </c>
      <c r="BA291" t="s">
        <v>12</v>
      </c>
      <c r="BB291" t="s">
        <v>7</v>
      </c>
      <c r="BC291" t="s">
        <v>13</v>
      </c>
      <c r="BD291">
        <v>1</v>
      </c>
      <c r="BE291" t="s">
        <v>14</v>
      </c>
      <c r="BF291">
        <v>1.58</v>
      </c>
    </row>
    <row r="292" spans="1:58" hidden="1" x14ac:dyDescent="0.2">
      <c r="A292">
        <v>291</v>
      </c>
      <c r="B292" t="s">
        <v>0</v>
      </c>
      <c r="C292">
        <v>43</v>
      </c>
      <c r="D292" t="s">
        <v>124</v>
      </c>
      <c r="E292" t="s">
        <v>2</v>
      </c>
      <c r="F292" t="s">
        <v>3</v>
      </c>
      <c r="G292" t="s">
        <v>117</v>
      </c>
      <c r="H292" t="s">
        <v>118</v>
      </c>
      <c r="I292" t="s">
        <v>115</v>
      </c>
      <c r="J292" t="s">
        <v>18</v>
      </c>
      <c r="K292" t="s">
        <v>7</v>
      </c>
      <c r="L292">
        <v>2.2999999999999998</v>
      </c>
      <c r="M292">
        <v>7.4</v>
      </c>
      <c r="N292" t="s">
        <v>29</v>
      </c>
      <c r="O292" t="s">
        <v>13</v>
      </c>
      <c r="P292" t="s">
        <v>46</v>
      </c>
      <c r="Q292">
        <v>11</v>
      </c>
      <c r="R292">
        <v>9</v>
      </c>
      <c r="S292">
        <v>26.8</v>
      </c>
      <c r="T292">
        <v>139</v>
      </c>
      <c r="U292">
        <v>90</v>
      </c>
      <c r="V292">
        <v>7928</v>
      </c>
      <c r="W292">
        <v>32.4</v>
      </c>
      <c r="X292">
        <v>2</v>
      </c>
      <c r="Y292">
        <v>7</v>
      </c>
      <c r="Z292">
        <v>12</v>
      </c>
      <c r="AA292">
        <v>4.0999999999999996</v>
      </c>
      <c r="AB292">
        <v>5</v>
      </c>
      <c r="AC292">
        <v>99</v>
      </c>
      <c r="AD292">
        <v>6</v>
      </c>
      <c r="AE292">
        <v>2</v>
      </c>
      <c r="AF292">
        <v>94</v>
      </c>
      <c r="AG292">
        <v>63</v>
      </c>
      <c r="AH292">
        <v>77</v>
      </c>
      <c r="AI292">
        <v>21</v>
      </c>
      <c r="AJ292">
        <v>23</v>
      </c>
      <c r="AK292">
        <v>25</v>
      </c>
      <c r="AL292">
        <v>19</v>
      </c>
      <c r="AM292">
        <v>1</v>
      </c>
      <c r="AN292">
        <v>51</v>
      </c>
      <c r="AO292">
        <v>15</v>
      </c>
      <c r="AP292">
        <v>17</v>
      </c>
      <c r="AQ292">
        <v>32</v>
      </c>
      <c r="AR292">
        <v>458</v>
      </c>
      <c r="AS292">
        <v>858</v>
      </c>
      <c r="AT292" t="s">
        <v>13</v>
      </c>
      <c r="AU292">
        <v>0.88</v>
      </c>
      <c r="AV292">
        <v>2020</v>
      </c>
      <c r="AW292" s="1">
        <v>45804</v>
      </c>
      <c r="AX292">
        <v>16.5</v>
      </c>
      <c r="AY292" t="s">
        <v>10</v>
      </c>
      <c r="AZ292" t="s">
        <v>31</v>
      </c>
      <c r="BA292" t="s">
        <v>21</v>
      </c>
      <c r="BB292" t="s">
        <v>13</v>
      </c>
      <c r="BC292" t="s">
        <v>7</v>
      </c>
      <c r="BD292">
        <v>5</v>
      </c>
      <c r="BE292" t="s">
        <v>14</v>
      </c>
      <c r="BF292">
        <v>1.25</v>
      </c>
    </row>
    <row r="293" spans="1:58" hidden="1" x14ac:dyDescent="0.2">
      <c r="A293">
        <v>292</v>
      </c>
      <c r="B293" t="s">
        <v>0</v>
      </c>
      <c r="C293">
        <v>42</v>
      </c>
      <c r="D293" t="s">
        <v>1</v>
      </c>
      <c r="E293" t="s">
        <v>127</v>
      </c>
      <c r="F293" t="s">
        <v>15</v>
      </c>
      <c r="G293" t="s">
        <v>116</v>
      </c>
      <c r="H293" t="s">
        <v>118</v>
      </c>
      <c r="I293" t="s">
        <v>112</v>
      </c>
      <c r="J293" t="s">
        <v>6</v>
      </c>
      <c r="K293" t="s">
        <v>13</v>
      </c>
      <c r="L293">
        <v>9.4</v>
      </c>
      <c r="M293">
        <v>6</v>
      </c>
      <c r="N293" t="s">
        <v>39</v>
      </c>
      <c r="O293" t="s">
        <v>13</v>
      </c>
      <c r="P293" t="s">
        <v>9</v>
      </c>
      <c r="Q293">
        <v>33</v>
      </c>
      <c r="R293">
        <v>6</v>
      </c>
      <c r="S293">
        <v>23.9</v>
      </c>
      <c r="T293">
        <v>110</v>
      </c>
      <c r="U293">
        <v>89</v>
      </c>
      <c r="V293">
        <v>7879</v>
      </c>
      <c r="W293">
        <v>53.3</v>
      </c>
      <c r="X293">
        <v>3</v>
      </c>
      <c r="Y293">
        <v>3</v>
      </c>
      <c r="Z293">
        <v>9</v>
      </c>
      <c r="AA293">
        <v>2.5</v>
      </c>
      <c r="AB293">
        <v>1</v>
      </c>
      <c r="AC293">
        <v>252</v>
      </c>
      <c r="AD293">
        <v>18</v>
      </c>
      <c r="AE293">
        <v>5</v>
      </c>
      <c r="AF293">
        <v>172</v>
      </c>
      <c r="AG293">
        <v>138</v>
      </c>
      <c r="AH293">
        <v>140</v>
      </c>
      <c r="AI293">
        <v>33</v>
      </c>
      <c r="AJ293">
        <v>35</v>
      </c>
      <c r="AK293">
        <v>40</v>
      </c>
      <c r="AL293">
        <v>29</v>
      </c>
      <c r="AM293">
        <v>7</v>
      </c>
      <c r="AN293">
        <v>118</v>
      </c>
      <c r="AO293">
        <v>63</v>
      </c>
      <c r="AP293">
        <v>43</v>
      </c>
      <c r="AQ293">
        <v>87</v>
      </c>
      <c r="AR293">
        <v>656</v>
      </c>
      <c r="AS293">
        <v>905</v>
      </c>
      <c r="AT293" t="s">
        <v>7</v>
      </c>
      <c r="AU293">
        <v>0.45</v>
      </c>
      <c r="AV293">
        <v>2011</v>
      </c>
      <c r="AW293" s="1">
        <v>45975</v>
      </c>
      <c r="AX293">
        <v>14</v>
      </c>
      <c r="AY293" t="s">
        <v>19</v>
      </c>
      <c r="AZ293" t="s">
        <v>37</v>
      </c>
      <c r="BA293" t="s">
        <v>122</v>
      </c>
      <c r="BB293" t="s">
        <v>13</v>
      </c>
      <c r="BC293" t="s">
        <v>13</v>
      </c>
      <c r="BD293">
        <v>1</v>
      </c>
      <c r="BE293" t="s">
        <v>14</v>
      </c>
      <c r="BF293">
        <v>0.87</v>
      </c>
    </row>
    <row r="294" spans="1:58" hidden="1" x14ac:dyDescent="0.2">
      <c r="A294">
        <v>293</v>
      </c>
      <c r="B294" t="s">
        <v>0</v>
      </c>
      <c r="C294">
        <v>54</v>
      </c>
      <c r="D294" t="s">
        <v>28</v>
      </c>
      <c r="E294" t="s">
        <v>50</v>
      </c>
      <c r="F294" t="s">
        <v>3</v>
      </c>
      <c r="G294" t="s">
        <v>38</v>
      </c>
      <c r="H294" t="s">
        <v>118</v>
      </c>
      <c r="I294" t="s">
        <v>113</v>
      </c>
      <c r="J294" t="s">
        <v>123</v>
      </c>
      <c r="K294" t="s">
        <v>13</v>
      </c>
      <c r="L294">
        <v>16.399999999999999</v>
      </c>
      <c r="M294">
        <v>7.4</v>
      </c>
      <c r="N294" t="s">
        <v>29</v>
      </c>
      <c r="O294" t="s">
        <v>7</v>
      </c>
      <c r="P294" t="s">
        <v>46</v>
      </c>
      <c r="Q294">
        <v>0</v>
      </c>
      <c r="R294">
        <v>4</v>
      </c>
      <c r="S294">
        <v>26.1</v>
      </c>
      <c r="T294">
        <v>116</v>
      </c>
      <c r="U294">
        <v>71</v>
      </c>
      <c r="V294">
        <v>8138</v>
      </c>
      <c r="W294">
        <v>23.9</v>
      </c>
      <c r="X294">
        <v>5</v>
      </c>
      <c r="Y294">
        <v>4</v>
      </c>
      <c r="Z294">
        <v>20</v>
      </c>
      <c r="AA294">
        <v>2.8</v>
      </c>
      <c r="AB294">
        <v>4</v>
      </c>
      <c r="AC294">
        <v>73</v>
      </c>
      <c r="AD294">
        <v>3</v>
      </c>
      <c r="AE294">
        <v>3</v>
      </c>
      <c r="AF294">
        <v>76</v>
      </c>
      <c r="AG294">
        <v>53</v>
      </c>
      <c r="AH294">
        <v>69</v>
      </c>
      <c r="AI294">
        <v>18</v>
      </c>
      <c r="AJ294">
        <v>15</v>
      </c>
      <c r="AK294">
        <v>17</v>
      </c>
      <c r="AL294">
        <v>12</v>
      </c>
      <c r="AM294">
        <v>3</v>
      </c>
      <c r="AN294">
        <v>32</v>
      </c>
      <c r="AO294">
        <v>18</v>
      </c>
      <c r="AP294">
        <v>12</v>
      </c>
      <c r="AQ294">
        <v>24</v>
      </c>
      <c r="AR294">
        <v>1209</v>
      </c>
      <c r="AS294">
        <v>1078</v>
      </c>
      <c r="AT294" t="s">
        <v>7</v>
      </c>
      <c r="AU294">
        <v>0.83</v>
      </c>
      <c r="AV294">
        <v>2019</v>
      </c>
      <c r="AW294" s="1">
        <v>46020</v>
      </c>
      <c r="AX294">
        <v>24.3</v>
      </c>
      <c r="AY294" t="s">
        <v>10</v>
      </c>
      <c r="AZ294" t="s">
        <v>31</v>
      </c>
      <c r="BA294" t="s">
        <v>12</v>
      </c>
      <c r="BB294" t="s">
        <v>13</v>
      </c>
      <c r="BC294" t="s">
        <v>13</v>
      </c>
      <c r="BD294">
        <v>2</v>
      </c>
      <c r="BE294" t="s">
        <v>14</v>
      </c>
      <c r="BF294">
        <v>1.54</v>
      </c>
    </row>
    <row r="295" spans="1:58" hidden="1" x14ac:dyDescent="0.2">
      <c r="A295">
        <v>294</v>
      </c>
      <c r="B295" t="s">
        <v>0</v>
      </c>
      <c r="C295">
        <v>47</v>
      </c>
      <c r="D295" t="s">
        <v>28</v>
      </c>
      <c r="E295" t="s">
        <v>127</v>
      </c>
      <c r="F295" t="s">
        <v>40</v>
      </c>
      <c r="G295" t="s">
        <v>116</v>
      </c>
      <c r="H295" t="s">
        <v>34</v>
      </c>
      <c r="I295" t="s">
        <v>114</v>
      </c>
      <c r="J295" t="s">
        <v>18</v>
      </c>
      <c r="K295" t="s">
        <v>7</v>
      </c>
      <c r="L295">
        <v>0.9</v>
      </c>
      <c r="M295">
        <v>6</v>
      </c>
      <c r="N295" t="s">
        <v>29</v>
      </c>
      <c r="O295" t="s">
        <v>7</v>
      </c>
      <c r="P295" t="s">
        <v>26</v>
      </c>
      <c r="Q295">
        <v>19</v>
      </c>
      <c r="R295">
        <v>3</v>
      </c>
      <c r="S295">
        <v>24.1</v>
      </c>
      <c r="T295">
        <v>149</v>
      </c>
      <c r="U295">
        <v>61</v>
      </c>
      <c r="V295">
        <v>8070</v>
      </c>
      <c r="W295">
        <v>43</v>
      </c>
      <c r="X295">
        <v>4</v>
      </c>
      <c r="Y295">
        <v>4</v>
      </c>
      <c r="Z295">
        <v>12</v>
      </c>
      <c r="AA295">
        <v>1.2</v>
      </c>
      <c r="AB295">
        <v>4</v>
      </c>
      <c r="AC295">
        <v>193</v>
      </c>
      <c r="AD295">
        <v>7</v>
      </c>
      <c r="AE295">
        <v>1</v>
      </c>
      <c r="AF295">
        <v>161</v>
      </c>
      <c r="AG295">
        <v>103</v>
      </c>
      <c r="AH295">
        <v>112</v>
      </c>
      <c r="AI295">
        <v>29</v>
      </c>
      <c r="AJ295">
        <v>32</v>
      </c>
      <c r="AK295">
        <v>42</v>
      </c>
      <c r="AL295">
        <v>21</v>
      </c>
      <c r="AM295">
        <v>5</v>
      </c>
      <c r="AN295">
        <v>86</v>
      </c>
      <c r="AO295">
        <v>36</v>
      </c>
      <c r="AP295">
        <v>20</v>
      </c>
      <c r="AQ295">
        <v>52</v>
      </c>
      <c r="AR295">
        <v>737</v>
      </c>
      <c r="AS295">
        <v>554</v>
      </c>
      <c r="AT295" t="s">
        <v>7</v>
      </c>
      <c r="AU295">
        <v>0.27</v>
      </c>
      <c r="AV295">
        <v>2020</v>
      </c>
      <c r="AW295" s="1">
        <v>45697</v>
      </c>
      <c r="AX295">
        <v>27.6</v>
      </c>
      <c r="AY295" t="s">
        <v>36</v>
      </c>
      <c r="AZ295" t="s">
        <v>37</v>
      </c>
      <c r="BA295" t="s">
        <v>122</v>
      </c>
      <c r="BB295" t="s">
        <v>13</v>
      </c>
      <c r="BC295" t="s">
        <v>13</v>
      </c>
      <c r="BD295">
        <v>4</v>
      </c>
      <c r="BE295" t="s">
        <v>14</v>
      </c>
      <c r="BF295">
        <v>0.89</v>
      </c>
    </row>
    <row r="296" spans="1:58" hidden="1" x14ac:dyDescent="0.2">
      <c r="A296">
        <v>295</v>
      </c>
      <c r="B296" t="s">
        <v>0</v>
      </c>
      <c r="C296">
        <v>19</v>
      </c>
      <c r="D296" t="s">
        <v>28</v>
      </c>
      <c r="E296" t="s">
        <v>128</v>
      </c>
      <c r="F296" t="s">
        <v>3</v>
      </c>
      <c r="G296" t="s">
        <v>117</v>
      </c>
      <c r="H296" t="s">
        <v>34</v>
      </c>
      <c r="I296" t="s">
        <v>115</v>
      </c>
      <c r="J296" t="s">
        <v>6</v>
      </c>
      <c r="K296" t="s">
        <v>7</v>
      </c>
      <c r="L296">
        <v>4</v>
      </c>
      <c r="M296">
        <v>9</v>
      </c>
      <c r="N296" t="s">
        <v>29</v>
      </c>
      <c r="O296" t="s">
        <v>13</v>
      </c>
      <c r="P296" t="s">
        <v>26</v>
      </c>
      <c r="Q296">
        <v>21</v>
      </c>
      <c r="R296">
        <v>5</v>
      </c>
      <c r="S296">
        <v>30.8</v>
      </c>
      <c r="T296">
        <v>106</v>
      </c>
      <c r="U296">
        <v>75</v>
      </c>
      <c r="V296">
        <v>8003</v>
      </c>
      <c r="W296">
        <v>37.200000000000003</v>
      </c>
      <c r="X296">
        <v>1</v>
      </c>
      <c r="Y296">
        <v>7</v>
      </c>
      <c r="Z296">
        <v>14</v>
      </c>
      <c r="AA296">
        <v>3.7</v>
      </c>
      <c r="AB296">
        <v>2</v>
      </c>
      <c r="AC296">
        <v>158</v>
      </c>
      <c r="AD296">
        <v>5</v>
      </c>
      <c r="AE296">
        <v>8</v>
      </c>
      <c r="AF296">
        <v>217</v>
      </c>
      <c r="AG296">
        <v>90</v>
      </c>
      <c r="AH296">
        <v>97</v>
      </c>
      <c r="AI296">
        <v>32</v>
      </c>
      <c r="AJ296">
        <v>26</v>
      </c>
      <c r="AK296">
        <v>33</v>
      </c>
      <c r="AL296">
        <v>15</v>
      </c>
      <c r="AM296">
        <v>4</v>
      </c>
      <c r="AN296">
        <v>89</v>
      </c>
      <c r="AO296">
        <v>47</v>
      </c>
      <c r="AP296">
        <v>26</v>
      </c>
      <c r="AQ296">
        <v>32</v>
      </c>
      <c r="AR296">
        <v>3303</v>
      </c>
      <c r="AS296">
        <v>7221</v>
      </c>
      <c r="AT296" t="s">
        <v>7</v>
      </c>
      <c r="AU296">
        <v>0.49</v>
      </c>
      <c r="AV296">
        <v>2011</v>
      </c>
      <c r="AW296" s="1">
        <v>45944</v>
      </c>
      <c r="AX296">
        <v>31.6</v>
      </c>
      <c r="AY296" t="s">
        <v>45</v>
      </c>
      <c r="AZ296" t="s">
        <v>17</v>
      </c>
      <c r="BA296" t="s">
        <v>122</v>
      </c>
      <c r="BB296" t="s">
        <v>13</v>
      </c>
      <c r="BC296" t="s">
        <v>7</v>
      </c>
      <c r="BD296">
        <v>3</v>
      </c>
      <c r="BE296" t="s">
        <v>14</v>
      </c>
      <c r="BF296">
        <v>1.1599999999999999</v>
      </c>
    </row>
    <row r="297" spans="1:58" hidden="1" x14ac:dyDescent="0.2">
      <c r="A297">
        <v>296</v>
      </c>
      <c r="B297" t="s">
        <v>0</v>
      </c>
      <c r="C297">
        <v>28</v>
      </c>
      <c r="D297" t="s">
        <v>1</v>
      </c>
      <c r="E297" t="s">
        <v>47</v>
      </c>
      <c r="F297" t="s">
        <v>40</v>
      </c>
      <c r="G297" t="s">
        <v>16</v>
      </c>
      <c r="H297" t="s">
        <v>119</v>
      </c>
      <c r="I297" t="s">
        <v>115</v>
      </c>
      <c r="J297" t="s">
        <v>32</v>
      </c>
      <c r="K297" t="s">
        <v>7</v>
      </c>
      <c r="L297">
        <v>10.3</v>
      </c>
      <c r="M297">
        <v>7</v>
      </c>
      <c r="N297" t="s">
        <v>25</v>
      </c>
      <c r="O297" t="s">
        <v>41</v>
      </c>
      <c r="P297" t="s">
        <v>9</v>
      </c>
      <c r="Q297">
        <v>19</v>
      </c>
      <c r="R297">
        <v>5</v>
      </c>
      <c r="S297">
        <v>20.7</v>
      </c>
      <c r="T297">
        <v>91</v>
      </c>
      <c r="U297">
        <v>73</v>
      </c>
      <c r="V297">
        <v>8057</v>
      </c>
      <c r="W297">
        <v>21.8</v>
      </c>
      <c r="X297">
        <v>8</v>
      </c>
      <c r="Y297">
        <v>3</v>
      </c>
      <c r="Z297">
        <v>13</v>
      </c>
      <c r="AA297">
        <v>7.2</v>
      </c>
      <c r="AB297">
        <v>3</v>
      </c>
      <c r="AC297">
        <v>173</v>
      </c>
      <c r="AD297">
        <v>21</v>
      </c>
      <c r="AE297">
        <v>2</v>
      </c>
      <c r="AF297">
        <v>227</v>
      </c>
      <c r="AG297">
        <v>85</v>
      </c>
      <c r="AH297">
        <v>97</v>
      </c>
      <c r="AI297">
        <v>33</v>
      </c>
      <c r="AJ297">
        <v>16</v>
      </c>
      <c r="AK297">
        <v>22</v>
      </c>
      <c r="AL297">
        <v>27</v>
      </c>
      <c r="AM297">
        <v>3</v>
      </c>
      <c r="AN297">
        <v>92</v>
      </c>
      <c r="AO297">
        <v>26</v>
      </c>
      <c r="AP297">
        <v>43</v>
      </c>
      <c r="AQ297">
        <v>55</v>
      </c>
      <c r="AR297">
        <v>199</v>
      </c>
      <c r="AS297">
        <v>376</v>
      </c>
      <c r="AT297" t="s">
        <v>7</v>
      </c>
      <c r="AU297">
        <v>0.41</v>
      </c>
      <c r="AV297">
        <v>2017</v>
      </c>
      <c r="AW297" s="1">
        <v>45830</v>
      </c>
      <c r="AX297">
        <v>8.1999999999999993</v>
      </c>
      <c r="AY297" t="s">
        <v>10</v>
      </c>
      <c r="AZ297" t="s">
        <v>51</v>
      </c>
      <c r="BA297" t="s">
        <v>12</v>
      </c>
      <c r="BB297" t="s">
        <v>13</v>
      </c>
      <c r="BC297" t="s">
        <v>7</v>
      </c>
      <c r="BD297">
        <v>3</v>
      </c>
      <c r="BE297" t="s">
        <v>14</v>
      </c>
      <c r="BF297">
        <v>0.97</v>
      </c>
    </row>
    <row r="298" spans="1:58" hidden="1" x14ac:dyDescent="0.2">
      <c r="A298">
        <v>297</v>
      </c>
      <c r="B298" t="s">
        <v>0</v>
      </c>
      <c r="C298">
        <v>38</v>
      </c>
      <c r="D298" t="s">
        <v>28</v>
      </c>
      <c r="E298" t="s">
        <v>17</v>
      </c>
      <c r="F298" t="s">
        <v>3</v>
      </c>
      <c r="G298" t="s">
        <v>4</v>
      </c>
      <c r="H298" t="s">
        <v>24</v>
      </c>
      <c r="I298" t="s">
        <v>112</v>
      </c>
      <c r="J298" t="s">
        <v>123</v>
      </c>
      <c r="K298" t="s">
        <v>7</v>
      </c>
      <c r="L298">
        <v>4.7</v>
      </c>
      <c r="M298">
        <v>5.9</v>
      </c>
      <c r="N298" t="s">
        <v>25</v>
      </c>
      <c r="O298" t="s">
        <v>7</v>
      </c>
      <c r="P298" t="s">
        <v>26</v>
      </c>
      <c r="Q298">
        <v>6</v>
      </c>
      <c r="R298">
        <v>1</v>
      </c>
      <c r="S298">
        <v>25.4</v>
      </c>
      <c r="T298">
        <v>124</v>
      </c>
      <c r="U298">
        <v>65</v>
      </c>
      <c r="V298">
        <v>7971</v>
      </c>
      <c r="W298">
        <v>63.4</v>
      </c>
      <c r="X298">
        <v>3</v>
      </c>
      <c r="Y298">
        <v>6</v>
      </c>
      <c r="Z298">
        <v>6</v>
      </c>
      <c r="AA298">
        <v>0.4</v>
      </c>
      <c r="AB298">
        <v>4</v>
      </c>
      <c r="AC298">
        <v>209</v>
      </c>
      <c r="AD298">
        <v>8</v>
      </c>
      <c r="AE298">
        <v>6</v>
      </c>
      <c r="AF298">
        <v>182</v>
      </c>
      <c r="AG298">
        <v>112</v>
      </c>
      <c r="AH298">
        <v>129</v>
      </c>
      <c r="AI298">
        <v>30</v>
      </c>
      <c r="AJ298">
        <v>28</v>
      </c>
      <c r="AK298">
        <v>37</v>
      </c>
      <c r="AL298">
        <v>27</v>
      </c>
      <c r="AM298">
        <v>3</v>
      </c>
      <c r="AN298">
        <v>89</v>
      </c>
      <c r="AO298">
        <v>53</v>
      </c>
      <c r="AP298">
        <v>34</v>
      </c>
      <c r="AQ298">
        <v>59</v>
      </c>
      <c r="AR298">
        <v>573</v>
      </c>
      <c r="AS298">
        <v>1300</v>
      </c>
      <c r="AT298" t="s">
        <v>7</v>
      </c>
      <c r="AU298">
        <v>0.81</v>
      </c>
      <c r="AV298">
        <v>2018</v>
      </c>
      <c r="AW298" s="1">
        <v>45909</v>
      </c>
      <c r="AX298">
        <v>26.1</v>
      </c>
      <c r="AY298" t="s">
        <v>30</v>
      </c>
      <c r="AZ298" t="s">
        <v>51</v>
      </c>
      <c r="BA298" t="s">
        <v>122</v>
      </c>
      <c r="BB298" t="s">
        <v>13</v>
      </c>
      <c r="BC298" t="s">
        <v>13</v>
      </c>
      <c r="BD298">
        <v>2</v>
      </c>
      <c r="BE298" t="s">
        <v>14</v>
      </c>
      <c r="BF298">
        <v>0.99</v>
      </c>
    </row>
    <row r="299" spans="1:58" hidden="1" x14ac:dyDescent="0.2">
      <c r="A299">
        <v>298</v>
      </c>
      <c r="B299" t="s">
        <v>0</v>
      </c>
      <c r="C299">
        <v>60</v>
      </c>
      <c r="D299" t="s">
        <v>28</v>
      </c>
      <c r="E299" t="s">
        <v>22</v>
      </c>
      <c r="F299" t="s">
        <v>40</v>
      </c>
      <c r="G299" t="s">
        <v>38</v>
      </c>
      <c r="H299" t="s">
        <v>118</v>
      </c>
      <c r="I299" t="s">
        <v>113</v>
      </c>
      <c r="J299" t="s">
        <v>18</v>
      </c>
      <c r="K299" t="s">
        <v>7</v>
      </c>
      <c r="L299">
        <v>17.100000000000001</v>
      </c>
      <c r="M299">
        <v>6.6</v>
      </c>
      <c r="N299" t="s">
        <v>8</v>
      </c>
      <c r="O299" t="s">
        <v>7</v>
      </c>
      <c r="P299" t="s">
        <v>46</v>
      </c>
      <c r="Q299">
        <v>2</v>
      </c>
      <c r="R299">
        <v>1</v>
      </c>
      <c r="S299">
        <v>25.4</v>
      </c>
      <c r="T299">
        <v>148</v>
      </c>
      <c r="U299">
        <v>87</v>
      </c>
      <c r="V299">
        <v>8162</v>
      </c>
      <c r="W299">
        <v>47.9</v>
      </c>
      <c r="X299">
        <v>3</v>
      </c>
      <c r="Y299">
        <v>4</v>
      </c>
      <c r="Z299">
        <v>4</v>
      </c>
      <c r="AA299">
        <v>6.8</v>
      </c>
      <c r="AB299">
        <v>2</v>
      </c>
      <c r="AC299">
        <v>157</v>
      </c>
      <c r="AD299">
        <v>5</v>
      </c>
      <c r="AE299">
        <v>1</v>
      </c>
      <c r="AF299">
        <v>128</v>
      </c>
      <c r="AG299">
        <v>78</v>
      </c>
      <c r="AH299">
        <v>97</v>
      </c>
      <c r="AI299">
        <v>32</v>
      </c>
      <c r="AJ299">
        <v>31</v>
      </c>
      <c r="AK299">
        <v>14</v>
      </c>
      <c r="AL299">
        <v>18</v>
      </c>
      <c r="AM299">
        <v>5</v>
      </c>
      <c r="AN299">
        <v>83</v>
      </c>
      <c r="AO299">
        <v>29</v>
      </c>
      <c r="AP299">
        <v>23</v>
      </c>
      <c r="AQ299">
        <v>54</v>
      </c>
      <c r="AR299">
        <v>812</v>
      </c>
      <c r="AS299">
        <v>1085</v>
      </c>
      <c r="AT299" t="s">
        <v>7</v>
      </c>
      <c r="AU299">
        <v>0.35</v>
      </c>
      <c r="AV299">
        <v>2020</v>
      </c>
      <c r="AW299" s="1">
        <v>45809</v>
      </c>
      <c r="AX299">
        <v>31.4</v>
      </c>
      <c r="AY299" t="s">
        <v>10</v>
      </c>
      <c r="AZ299" t="s">
        <v>51</v>
      </c>
      <c r="BA299" t="s">
        <v>122</v>
      </c>
      <c r="BB299" t="s">
        <v>7</v>
      </c>
      <c r="BC299" t="s">
        <v>7</v>
      </c>
      <c r="BD299">
        <v>4</v>
      </c>
      <c r="BE299" t="s">
        <v>43</v>
      </c>
      <c r="BF299">
        <v>1.04</v>
      </c>
    </row>
    <row r="300" spans="1:58" hidden="1" x14ac:dyDescent="0.2">
      <c r="A300">
        <v>299</v>
      </c>
      <c r="B300" t="s">
        <v>0</v>
      </c>
      <c r="C300">
        <v>64</v>
      </c>
      <c r="D300" t="s">
        <v>1</v>
      </c>
      <c r="E300" t="s">
        <v>17</v>
      </c>
      <c r="F300" t="s">
        <v>15</v>
      </c>
      <c r="G300" t="s">
        <v>4</v>
      </c>
      <c r="H300" t="s">
        <v>34</v>
      </c>
      <c r="I300" t="s">
        <v>112</v>
      </c>
      <c r="J300" t="s">
        <v>6</v>
      </c>
      <c r="K300" t="s">
        <v>7</v>
      </c>
      <c r="L300">
        <v>4.2</v>
      </c>
      <c r="M300">
        <v>7.5</v>
      </c>
      <c r="N300" t="s">
        <v>25</v>
      </c>
      <c r="O300" t="s">
        <v>7</v>
      </c>
      <c r="P300" t="s">
        <v>26</v>
      </c>
      <c r="Q300">
        <v>33</v>
      </c>
      <c r="R300">
        <v>2</v>
      </c>
      <c r="S300">
        <v>27</v>
      </c>
      <c r="T300">
        <v>100</v>
      </c>
      <c r="U300">
        <v>90</v>
      </c>
      <c r="V300">
        <v>7952</v>
      </c>
      <c r="W300">
        <v>51.2</v>
      </c>
      <c r="X300">
        <v>1</v>
      </c>
      <c r="Y300">
        <v>1</v>
      </c>
      <c r="Z300">
        <v>15</v>
      </c>
      <c r="AA300">
        <v>6.9</v>
      </c>
      <c r="AB300">
        <v>3</v>
      </c>
      <c r="AC300">
        <v>273</v>
      </c>
      <c r="AD300">
        <v>15</v>
      </c>
      <c r="AE300">
        <v>8</v>
      </c>
      <c r="AF300">
        <v>191</v>
      </c>
      <c r="AG300">
        <v>137</v>
      </c>
      <c r="AH300">
        <v>156</v>
      </c>
      <c r="AI300">
        <v>55</v>
      </c>
      <c r="AJ300">
        <v>30</v>
      </c>
      <c r="AK300">
        <v>37</v>
      </c>
      <c r="AL300">
        <v>32</v>
      </c>
      <c r="AM300">
        <v>8</v>
      </c>
      <c r="AN300">
        <v>150</v>
      </c>
      <c r="AO300">
        <v>48</v>
      </c>
      <c r="AP300">
        <v>54</v>
      </c>
      <c r="AQ300">
        <v>100</v>
      </c>
      <c r="AR300">
        <v>364</v>
      </c>
      <c r="AS300">
        <v>829</v>
      </c>
      <c r="AT300" t="s">
        <v>13</v>
      </c>
      <c r="AU300">
        <v>0.67</v>
      </c>
      <c r="AV300">
        <v>2013</v>
      </c>
      <c r="AW300" s="1">
        <v>45898</v>
      </c>
      <c r="AX300">
        <v>18.2</v>
      </c>
      <c r="AY300" t="s">
        <v>36</v>
      </c>
      <c r="AZ300" t="s">
        <v>51</v>
      </c>
      <c r="BA300" t="s">
        <v>21</v>
      </c>
      <c r="BB300" t="s">
        <v>7</v>
      </c>
      <c r="BC300" t="s">
        <v>13</v>
      </c>
      <c r="BD300">
        <v>1</v>
      </c>
      <c r="BE300" t="s">
        <v>43</v>
      </c>
      <c r="BF300">
        <v>1.06</v>
      </c>
    </row>
    <row r="301" spans="1:58" hidden="1" x14ac:dyDescent="0.2">
      <c r="A301">
        <v>300</v>
      </c>
      <c r="B301" t="s">
        <v>0</v>
      </c>
      <c r="C301">
        <v>61</v>
      </c>
      <c r="D301" t="s">
        <v>28</v>
      </c>
      <c r="E301" t="s">
        <v>50</v>
      </c>
      <c r="F301" t="s">
        <v>15</v>
      </c>
      <c r="G301" t="s">
        <v>4</v>
      </c>
      <c r="H301" t="s">
        <v>118</v>
      </c>
      <c r="I301" t="s">
        <v>112</v>
      </c>
      <c r="J301" t="s">
        <v>18</v>
      </c>
      <c r="K301" t="s">
        <v>7</v>
      </c>
      <c r="L301">
        <v>4.4000000000000004</v>
      </c>
      <c r="M301">
        <v>7.4</v>
      </c>
      <c r="N301" t="s">
        <v>25</v>
      </c>
      <c r="O301" t="s">
        <v>13</v>
      </c>
      <c r="P301" t="s">
        <v>121</v>
      </c>
      <c r="Q301">
        <v>5</v>
      </c>
      <c r="R301">
        <v>6</v>
      </c>
      <c r="S301">
        <v>23.3</v>
      </c>
      <c r="T301">
        <v>90</v>
      </c>
      <c r="U301">
        <v>80</v>
      </c>
      <c r="V301">
        <v>7909</v>
      </c>
      <c r="W301">
        <v>35.6</v>
      </c>
      <c r="X301">
        <v>7</v>
      </c>
      <c r="Y301">
        <v>3</v>
      </c>
      <c r="Z301">
        <v>14</v>
      </c>
      <c r="AA301">
        <v>1.5</v>
      </c>
      <c r="AB301">
        <v>3</v>
      </c>
      <c r="AC301">
        <v>5</v>
      </c>
      <c r="AD301">
        <v>1</v>
      </c>
      <c r="AE301">
        <v>2</v>
      </c>
      <c r="AF301">
        <v>51</v>
      </c>
      <c r="AG301">
        <v>41</v>
      </c>
      <c r="AH301">
        <v>39</v>
      </c>
      <c r="AI301">
        <v>6</v>
      </c>
      <c r="AJ301">
        <v>9</v>
      </c>
      <c r="AK301">
        <v>7</v>
      </c>
      <c r="AL301">
        <v>7</v>
      </c>
      <c r="AM301">
        <v>1</v>
      </c>
      <c r="AN301">
        <v>3</v>
      </c>
      <c r="AO301">
        <v>1</v>
      </c>
      <c r="AP301">
        <v>1</v>
      </c>
      <c r="AQ301">
        <v>1</v>
      </c>
      <c r="AR301">
        <v>1518</v>
      </c>
      <c r="AS301">
        <v>1158</v>
      </c>
      <c r="AT301" t="s">
        <v>7</v>
      </c>
      <c r="AU301">
        <v>0.53</v>
      </c>
      <c r="AV301">
        <v>2021</v>
      </c>
      <c r="AW301" s="1">
        <v>45674</v>
      </c>
      <c r="AX301">
        <v>5</v>
      </c>
      <c r="AY301" t="s">
        <v>36</v>
      </c>
      <c r="AZ301" t="s">
        <v>11</v>
      </c>
      <c r="BA301" t="s">
        <v>21</v>
      </c>
      <c r="BB301" t="s">
        <v>13</v>
      </c>
      <c r="BC301" t="s">
        <v>7</v>
      </c>
      <c r="BD301">
        <v>2</v>
      </c>
      <c r="BE301" t="s">
        <v>49</v>
      </c>
      <c r="BF301">
        <v>9.5</v>
      </c>
    </row>
    <row r="302" spans="1:58" hidden="1" x14ac:dyDescent="0.2">
      <c r="A302">
        <v>301</v>
      </c>
      <c r="B302" t="s">
        <v>0</v>
      </c>
      <c r="C302">
        <v>14</v>
      </c>
      <c r="D302" t="s">
        <v>124</v>
      </c>
      <c r="E302" t="s">
        <v>128</v>
      </c>
      <c r="F302" t="s">
        <v>3</v>
      </c>
      <c r="G302" t="s">
        <v>117</v>
      </c>
      <c r="H302" t="s">
        <v>23</v>
      </c>
      <c r="I302" t="s">
        <v>114</v>
      </c>
      <c r="J302" t="s">
        <v>6</v>
      </c>
      <c r="K302" t="s">
        <v>13</v>
      </c>
      <c r="L302">
        <v>10.6</v>
      </c>
      <c r="M302">
        <v>7.4</v>
      </c>
      <c r="N302" t="s">
        <v>29</v>
      </c>
      <c r="O302" t="s">
        <v>7</v>
      </c>
      <c r="P302" t="s">
        <v>46</v>
      </c>
      <c r="Q302">
        <v>22</v>
      </c>
      <c r="R302">
        <v>9</v>
      </c>
      <c r="S302">
        <v>23.7</v>
      </c>
      <c r="T302">
        <v>90</v>
      </c>
      <c r="U302">
        <v>81</v>
      </c>
      <c r="V302">
        <v>7967</v>
      </c>
      <c r="W302">
        <v>50.6</v>
      </c>
      <c r="X302">
        <v>1</v>
      </c>
      <c r="Y302">
        <v>5</v>
      </c>
      <c r="Z302">
        <v>10</v>
      </c>
      <c r="AA302">
        <v>3.6</v>
      </c>
      <c r="AB302">
        <v>2</v>
      </c>
      <c r="AC302">
        <v>192</v>
      </c>
      <c r="AD302">
        <v>11</v>
      </c>
      <c r="AE302">
        <v>5</v>
      </c>
      <c r="AF302">
        <v>258</v>
      </c>
      <c r="AG302">
        <v>104</v>
      </c>
      <c r="AH302">
        <v>126</v>
      </c>
      <c r="AI302">
        <v>38</v>
      </c>
      <c r="AJ302">
        <v>20</v>
      </c>
      <c r="AK302">
        <v>30</v>
      </c>
      <c r="AL302">
        <v>25</v>
      </c>
      <c r="AM302">
        <v>5</v>
      </c>
      <c r="AN302">
        <v>99</v>
      </c>
      <c r="AO302">
        <v>54</v>
      </c>
      <c r="AP302">
        <v>34</v>
      </c>
      <c r="AQ302">
        <v>41</v>
      </c>
      <c r="AR302">
        <v>509</v>
      </c>
      <c r="AS302">
        <v>604</v>
      </c>
      <c r="AT302" t="s">
        <v>7</v>
      </c>
      <c r="AU302">
        <v>0.14000000000000001</v>
      </c>
      <c r="AV302">
        <v>2017</v>
      </c>
      <c r="AW302" s="1">
        <v>45769</v>
      </c>
      <c r="AX302">
        <v>17.5</v>
      </c>
      <c r="AY302" t="s">
        <v>10</v>
      </c>
      <c r="AZ302" t="s">
        <v>17</v>
      </c>
      <c r="BA302" t="s">
        <v>122</v>
      </c>
      <c r="BB302" t="s">
        <v>13</v>
      </c>
      <c r="BC302" t="s">
        <v>7</v>
      </c>
      <c r="BD302">
        <v>1</v>
      </c>
      <c r="BE302" t="s">
        <v>14</v>
      </c>
      <c r="BF302">
        <v>1.1200000000000001</v>
      </c>
    </row>
    <row r="303" spans="1:58" hidden="1" x14ac:dyDescent="0.2">
      <c r="A303">
        <v>302</v>
      </c>
      <c r="B303" t="s">
        <v>0</v>
      </c>
      <c r="C303">
        <v>13</v>
      </c>
      <c r="D303" t="s">
        <v>1</v>
      </c>
      <c r="E303" t="s">
        <v>126</v>
      </c>
      <c r="F303" t="s">
        <v>15</v>
      </c>
      <c r="G303" t="s">
        <v>116</v>
      </c>
      <c r="H303" t="s">
        <v>23</v>
      </c>
      <c r="I303" t="s">
        <v>112</v>
      </c>
      <c r="J303" t="s">
        <v>123</v>
      </c>
      <c r="K303" t="s">
        <v>7</v>
      </c>
      <c r="L303">
        <v>12</v>
      </c>
      <c r="M303">
        <v>7.7</v>
      </c>
      <c r="N303" t="s">
        <v>8</v>
      </c>
      <c r="O303" t="s">
        <v>13</v>
      </c>
      <c r="P303" t="s">
        <v>46</v>
      </c>
      <c r="Q303">
        <v>26</v>
      </c>
      <c r="R303">
        <v>3</v>
      </c>
      <c r="S303">
        <v>29.6</v>
      </c>
      <c r="T303">
        <v>120</v>
      </c>
      <c r="U303">
        <v>72</v>
      </c>
      <c r="V303">
        <v>8139</v>
      </c>
      <c r="W303">
        <v>56.7</v>
      </c>
      <c r="X303">
        <v>2</v>
      </c>
      <c r="Y303">
        <v>3</v>
      </c>
      <c r="Z303">
        <v>8</v>
      </c>
      <c r="AA303">
        <v>5.7</v>
      </c>
      <c r="AB303">
        <v>3</v>
      </c>
      <c r="AC303">
        <v>358</v>
      </c>
      <c r="AD303">
        <v>22</v>
      </c>
      <c r="AE303">
        <v>13</v>
      </c>
      <c r="AF303">
        <v>300</v>
      </c>
      <c r="AG303">
        <v>144</v>
      </c>
      <c r="AH303">
        <v>219</v>
      </c>
      <c r="AI303">
        <v>59</v>
      </c>
      <c r="AJ303">
        <v>40</v>
      </c>
      <c r="AK303">
        <v>51</v>
      </c>
      <c r="AL303">
        <v>26</v>
      </c>
      <c r="AM303">
        <v>8</v>
      </c>
      <c r="AN303">
        <v>147</v>
      </c>
      <c r="AO303">
        <v>48</v>
      </c>
      <c r="AP303">
        <v>52</v>
      </c>
      <c r="AQ303">
        <v>98</v>
      </c>
      <c r="AR303">
        <v>639</v>
      </c>
      <c r="AS303">
        <v>1162</v>
      </c>
      <c r="AT303" t="s">
        <v>7</v>
      </c>
      <c r="AU303">
        <v>0.85</v>
      </c>
      <c r="AV303">
        <v>2018</v>
      </c>
      <c r="AW303" s="1">
        <v>45949</v>
      </c>
      <c r="AX303">
        <v>16.3</v>
      </c>
      <c r="AY303" t="s">
        <v>27</v>
      </c>
      <c r="AZ303" t="s">
        <v>31</v>
      </c>
      <c r="BA303" t="s">
        <v>122</v>
      </c>
      <c r="BB303" t="s">
        <v>13</v>
      </c>
      <c r="BC303" t="s">
        <v>7</v>
      </c>
      <c r="BD303">
        <v>1</v>
      </c>
      <c r="BE303" t="s">
        <v>14</v>
      </c>
      <c r="BF303">
        <v>1.05</v>
      </c>
    </row>
    <row r="304" spans="1:58" hidden="1" x14ac:dyDescent="0.2">
      <c r="A304">
        <v>303</v>
      </c>
      <c r="B304" t="s">
        <v>0</v>
      </c>
      <c r="C304">
        <v>60</v>
      </c>
      <c r="D304" t="s">
        <v>28</v>
      </c>
      <c r="E304" t="s">
        <v>50</v>
      </c>
      <c r="F304" t="s">
        <v>15</v>
      </c>
      <c r="G304" t="s">
        <v>38</v>
      </c>
      <c r="H304" t="s">
        <v>23</v>
      </c>
      <c r="I304" t="s">
        <v>113</v>
      </c>
      <c r="J304" t="s">
        <v>32</v>
      </c>
      <c r="K304" t="s">
        <v>7</v>
      </c>
      <c r="L304">
        <v>1.1000000000000001</v>
      </c>
      <c r="M304">
        <v>6.7</v>
      </c>
      <c r="N304" t="s">
        <v>29</v>
      </c>
      <c r="O304" t="s">
        <v>41</v>
      </c>
      <c r="P304" t="s">
        <v>9</v>
      </c>
      <c r="Q304">
        <v>9</v>
      </c>
      <c r="R304">
        <v>9</v>
      </c>
      <c r="S304">
        <v>24.9</v>
      </c>
      <c r="T304">
        <v>119</v>
      </c>
      <c r="U304">
        <v>78</v>
      </c>
      <c r="V304">
        <v>8035</v>
      </c>
      <c r="W304">
        <v>38.799999999999997</v>
      </c>
      <c r="X304">
        <v>4</v>
      </c>
      <c r="Y304">
        <v>2</v>
      </c>
      <c r="Z304">
        <v>6</v>
      </c>
      <c r="AA304">
        <v>0.9</v>
      </c>
      <c r="AB304">
        <v>3</v>
      </c>
      <c r="AC304">
        <v>5</v>
      </c>
      <c r="AD304">
        <v>1</v>
      </c>
      <c r="AE304">
        <v>5</v>
      </c>
      <c r="AF304">
        <v>51</v>
      </c>
      <c r="AG304">
        <v>34</v>
      </c>
      <c r="AH304">
        <v>27</v>
      </c>
      <c r="AI304">
        <v>7</v>
      </c>
      <c r="AJ304">
        <v>8</v>
      </c>
      <c r="AK304">
        <v>7</v>
      </c>
      <c r="AL304">
        <v>7</v>
      </c>
      <c r="AM304">
        <v>2</v>
      </c>
      <c r="AN304">
        <v>3</v>
      </c>
      <c r="AO304">
        <v>1</v>
      </c>
      <c r="AP304">
        <v>1</v>
      </c>
      <c r="AQ304">
        <v>1</v>
      </c>
      <c r="AR304">
        <v>1828</v>
      </c>
      <c r="AS304">
        <v>3665</v>
      </c>
      <c r="AT304" t="s">
        <v>7</v>
      </c>
      <c r="AU304">
        <v>0.56999999999999995</v>
      </c>
      <c r="AV304">
        <v>2010</v>
      </c>
      <c r="AW304" s="1">
        <v>45868</v>
      </c>
      <c r="AX304">
        <v>5</v>
      </c>
      <c r="AY304" t="s">
        <v>45</v>
      </c>
      <c r="AZ304" t="s">
        <v>17</v>
      </c>
      <c r="BA304" t="s">
        <v>12</v>
      </c>
      <c r="BB304" t="s">
        <v>13</v>
      </c>
      <c r="BC304" t="s">
        <v>13</v>
      </c>
      <c r="BD304">
        <v>1</v>
      </c>
      <c r="BE304" t="s">
        <v>14</v>
      </c>
      <c r="BF304">
        <v>9.33</v>
      </c>
    </row>
    <row r="305" spans="1:58" hidden="1" x14ac:dyDescent="0.2">
      <c r="A305">
        <v>304</v>
      </c>
      <c r="B305" t="s">
        <v>0</v>
      </c>
      <c r="C305">
        <v>24</v>
      </c>
      <c r="D305" t="s">
        <v>28</v>
      </c>
      <c r="E305" t="s">
        <v>2</v>
      </c>
      <c r="F305" t="s">
        <v>15</v>
      </c>
      <c r="G305" t="s">
        <v>16</v>
      </c>
      <c r="H305" t="s">
        <v>23</v>
      </c>
      <c r="I305" t="s">
        <v>114</v>
      </c>
      <c r="J305" t="s">
        <v>32</v>
      </c>
      <c r="K305" t="s">
        <v>7</v>
      </c>
      <c r="L305">
        <v>13</v>
      </c>
      <c r="M305">
        <v>6.8</v>
      </c>
      <c r="N305" t="s">
        <v>120</v>
      </c>
      <c r="O305" t="s">
        <v>7</v>
      </c>
      <c r="P305" t="s">
        <v>26</v>
      </c>
      <c r="Q305">
        <v>4</v>
      </c>
      <c r="R305">
        <v>10</v>
      </c>
      <c r="S305">
        <v>21.7</v>
      </c>
      <c r="T305">
        <v>121</v>
      </c>
      <c r="U305">
        <v>79</v>
      </c>
      <c r="V305">
        <v>8084</v>
      </c>
      <c r="W305">
        <v>47.4</v>
      </c>
      <c r="X305">
        <v>2</v>
      </c>
      <c r="Y305">
        <v>1</v>
      </c>
      <c r="Z305">
        <v>9</v>
      </c>
      <c r="AA305">
        <v>9.6</v>
      </c>
      <c r="AB305">
        <v>4</v>
      </c>
      <c r="AC305">
        <v>5</v>
      </c>
      <c r="AD305">
        <v>1</v>
      </c>
      <c r="AE305">
        <v>10</v>
      </c>
      <c r="AF305">
        <v>95</v>
      </c>
      <c r="AG305">
        <v>29</v>
      </c>
      <c r="AH305">
        <v>21</v>
      </c>
      <c r="AI305">
        <v>1</v>
      </c>
      <c r="AJ305">
        <v>18</v>
      </c>
      <c r="AK305">
        <v>11</v>
      </c>
      <c r="AL305">
        <v>7</v>
      </c>
      <c r="AM305">
        <v>3</v>
      </c>
      <c r="AN305">
        <v>3</v>
      </c>
      <c r="AO305">
        <v>1</v>
      </c>
      <c r="AP305">
        <v>1</v>
      </c>
      <c r="AQ305">
        <v>2</v>
      </c>
      <c r="AR305">
        <v>1272</v>
      </c>
      <c r="AS305">
        <v>1734</v>
      </c>
      <c r="AT305" t="s">
        <v>7</v>
      </c>
      <c r="AU305">
        <v>0.05</v>
      </c>
      <c r="AV305">
        <v>2022</v>
      </c>
      <c r="AW305" s="1">
        <v>45982</v>
      </c>
      <c r="AX305">
        <v>5</v>
      </c>
      <c r="AY305" t="s">
        <v>36</v>
      </c>
      <c r="AZ305" t="s">
        <v>17</v>
      </c>
      <c r="BA305" t="s">
        <v>12</v>
      </c>
      <c r="BB305" t="s">
        <v>13</v>
      </c>
      <c r="BC305" t="s">
        <v>7</v>
      </c>
      <c r="BD305">
        <v>1</v>
      </c>
      <c r="BE305" t="s">
        <v>14</v>
      </c>
      <c r="BF305">
        <v>8.83</v>
      </c>
    </row>
    <row r="306" spans="1:58" hidden="1" x14ac:dyDescent="0.2">
      <c r="A306">
        <v>305</v>
      </c>
      <c r="B306" t="s">
        <v>0</v>
      </c>
      <c r="C306">
        <v>17</v>
      </c>
      <c r="D306" t="s">
        <v>1</v>
      </c>
      <c r="E306" t="s">
        <v>47</v>
      </c>
      <c r="F306" t="s">
        <v>3</v>
      </c>
      <c r="G306" t="s">
        <v>16</v>
      </c>
      <c r="H306" t="s">
        <v>24</v>
      </c>
      <c r="I306" t="s">
        <v>114</v>
      </c>
      <c r="J306" t="s">
        <v>123</v>
      </c>
      <c r="K306" t="s">
        <v>7</v>
      </c>
      <c r="L306">
        <v>8.4</v>
      </c>
      <c r="M306">
        <v>6.6</v>
      </c>
      <c r="N306" t="s">
        <v>8</v>
      </c>
      <c r="O306" t="s">
        <v>7</v>
      </c>
      <c r="P306" t="s">
        <v>9</v>
      </c>
      <c r="Q306">
        <v>8</v>
      </c>
      <c r="R306">
        <v>6</v>
      </c>
      <c r="S306">
        <v>30.8</v>
      </c>
      <c r="T306">
        <v>118</v>
      </c>
      <c r="U306">
        <v>90</v>
      </c>
      <c r="V306">
        <v>7924</v>
      </c>
      <c r="W306">
        <v>26.4</v>
      </c>
      <c r="X306">
        <v>3</v>
      </c>
      <c r="Y306">
        <v>3</v>
      </c>
      <c r="Z306">
        <v>9</v>
      </c>
      <c r="AA306">
        <v>8.9</v>
      </c>
      <c r="AB306">
        <v>6</v>
      </c>
      <c r="AC306">
        <v>143</v>
      </c>
      <c r="AD306">
        <v>4</v>
      </c>
      <c r="AE306">
        <v>10</v>
      </c>
      <c r="AF306">
        <v>221</v>
      </c>
      <c r="AG306">
        <v>76</v>
      </c>
      <c r="AH306">
        <v>101</v>
      </c>
      <c r="AI306">
        <v>35</v>
      </c>
      <c r="AJ306">
        <v>25</v>
      </c>
      <c r="AK306">
        <v>31</v>
      </c>
      <c r="AL306">
        <v>12</v>
      </c>
      <c r="AM306">
        <v>8</v>
      </c>
      <c r="AN306">
        <v>65</v>
      </c>
      <c r="AO306">
        <v>29</v>
      </c>
      <c r="AP306">
        <v>17</v>
      </c>
      <c r="AQ306">
        <v>39</v>
      </c>
      <c r="AR306">
        <v>1072</v>
      </c>
      <c r="AS306">
        <v>862</v>
      </c>
      <c r="AT306" t="s">
        <v>7</v>
      </c>
      <c r="AU306">
        <v>0.8</v>
      </c>
      <c r="AV306">
        <v>2017</v>
      </c>
      <c r="AW306" s="1">
        <v>45674</v>
      </c>
      <c r="AX306">
        <v>35.799999999999997</v>
      </c>
      <c r="AY306" t="s">
        <v>10</v>
      </c>
      <c r="AZ306" t="s">
        <v>48</v>
      </c>
      <c r="BA306" t="s">
        <v>12</v>
      </c>
      <c r="BB306" t="s">
        <v>13</v>
      </c>
      <c r="BC306" t="s">
        <v>7</v>
      </c>
      <c r="BD306">
        <v>3</v>
      </c>
      <c r="BE306" t="s">
        <v>14</v>
      </c>
      <c r="BF306">
        <v>1.4</v>
      </c>
    </row>
    <row r="307" spans="1:58" hidden="1" x14ac:dyDescent="0.2">
      <c r="A307">
        <v>306</v>
      </c>
      <c r="B307" t="s">
        <v>0</v>
      </c>
      <c r="C307">
        <v>49</v>
      </c>
      <c r="D307" t="s">
        <v>1</v>
      </c>
      <c r="E307" t="s">
        <v>47</v>
      </c>
      <c r="F307" t="s">
        <v>40</v>
      </c>
      <c r="G307" t="s">
        <v>16</v>
      </c>
      <c r="H307" t="s">
        <v>34</v>
      </c>
      <c r="I307" t="s">
        <v>112</v>
      </c>
      <c r="J307" t="s">
        <v>6</v>
      </c>
      <c r="K307" t="s">
        <v>13</v>
      </c>
      <c r="L307">
        <v>10.8</v>
      </c>
      <c r="M307">
        <v>7.1</v>
      </c>
      <c r="N307" t="s">
        <v>8</v>
      </c>
      <c r="O307" t="s">
        <v>7</v>
      </c>
      <c r="P307" t="s">
        <v>9</v>
      </c>
      <c r="Q307">
        <v>6</v>
      </c>
      <c r="R307">
        <v>9</v>
      </c>
      <c r="S307">
        <v>25.1</v>
      </c>
      <c r="T307">
        <v>154</v>
      </c>
      <c r="U307">
        <v>80</v>
      </c>
      <c r="V307">
        <v>8142</v>
      </c>
      <c r="W307">
        <v>41</v>
      </c>
      <c r="X307">
        <v>2</v>
      </c>
      <c r="Y307">
        <v>1</v>
      </c>
      <c r="Z307">
        <v>13</v>
      </c>
      <c r="AA307">
        <v>10.199999999999999</v>
      </c>
      <c r="AB307">
        <v>2</v>
      </c>
      <c r="AC307">
        <v>77</v>
      </c>
      <c r="AD307">
        <v>3</v>
      </c>
      <c r="AE307">
        <v>6</v>
      </c>
      <c r="AF307">
        <v>82</v>
      </c>
      <c r="AG307">
        <v>49</v>
      </c>
      <c r="AH307">
        <v>74</v>
      </c>
      <c r="AI307">
        <v>15</v>
      </c>
      <c r="AJ307">
        <v>22</v>
      </c>
      <c r="AK307">
        <v>12</v>
      </c>
      <c r="AL307">
        <v>14</v>
      </c>
      <c r="AM307">
        <v>2</v>
      </c>
      <c r="AN307">
        <v>33</v>
      </c>
      <c r="AO307">
        <v>18</v>
      </c>
      <c r="AP307">
        <v>17</v>
      </c>
      <c r="AQ307">
        <v>29</v>
      </c>
      <c r="AR307">
        <v>2191</v>
      </c>
      <c r="AS307">
        <v>1315</v>
      </c>
      <c r="AT307" t="s">
        <v>7</v>
      </c>
      <c r="AU307">
        <v>0.24</v>
      </c>
      <c r="AV307">
        <v>2017</v>
      </c>
      <c r="AW307" s="1">
        <v>45722</v>
      </c>
      <c r="AX307">
        <v>25.7</v>
      </c>
      <c r="AY307" t="s">
        <v>45</v>
      </c>
      <c r="AZ307" t="s">
        <v>37</v>
      </c>
      <c r="BA307" t="s">
        <v>12</v>
      </c>
      <c r="BB307" t="s">
        <v>13</v>
      </c>
      <c r="BC307" t="s">
        <v>7</v>
      </c>
      <c r="BD307">
        <v>2</v>
      </c>
      <c r="BE307" t="s">
        <v>14</v>
      </c>
      <c r="BF307">
        <v>1.56</v>
      </c>
    </row>
    <row r="308" spans="1:58" hidden="1" x14ac:dyDescent="0.2">
      <c r="A308">
        <v>307</v>
      </c>
      <c r="B308" t="s">
        <v>0</v>
      </c>
      <c r="C308">
        <v>44</v>
      </c>
      <c r="D308" t="s">
        <v>28</v>
      </c>
      <c r="E308" t="s">
        <v>127</v>
      </c>
      <c r="F308" t="s">
        <v>40</v>
      </c>
      <c r="G308" t="s">
        <v>38</v>
      </c>
      <c r="H308" t="s">
        <v>118</v>
      </c>
      <c r="I308" t="s">
        <v>115</v>
      </c>
      <c r="J308" t="s">
        <v>6</v>
      </c>
      <c r="K308" t="s">
        <v>7</v>
      </c>
      <c r="L308">
        <v>10.1</v>
      </c>
      <c r="M308">
        <v>7.2</v>
      </c>
      <c r="N308" t="s">
        <v>29</v>
      </c>
      <c r="O308" t="s">
        <v>7</v>
      </c>
      <c r="P308" t="s">
        <v>9</v>
      </c>
      <c r="Q308">
        <v>39</v>
      </c>
      <c r="R308">
        <v>6</v>
      </c>
      <c r="S308">
        <v>30.6</v>
      </c>
      <c r="T308">
        <v>137</v>
      </c>
      <c r="U308">
        <v>85</v>
      </c>
      <c r="V308">
        <v>8055</v>
      </c>
      <c r="W308">
        <v>51.2</v>
      </c>
      <c r="X308">
        <v>4</v>
      </c>
      <c r="Y308">
        <v>2</v>
      </c>
      <c r="Z308">
        <v>8</v>
      </c>
      <c r="AA308">
        <v>4.4000000000000004</v>
      </c>
      <c r="AB308">
        <v>2</v>
      </c>
      <c r="AC308">
        <v>355</v>
      </c>
      <c r="AD308">
        <v>26</v>
      </c>
      <c r="AE308">
        <v>7</v>
      </c>
      <c r="AF308">
        <v>247</v>
      </c>
      <c r="AG308">
        <v>150</v>
      </c>
      <c r="AH308">
        <v>192</v>
      </c>
      <c r="AI308">
        <v>68</v>
      </c>
      <c r="AJ308">
        <v>33</v>
      </c>
      <c r="AK308">
        <v>46</v>
      </c>
      <c r="AL308">
        <v>31</v>
      </c>
      <c r="AM308">
        <v>9</v>
      </c>
      <c r="AN308">
        <v>187</v>
      </c>
      <c r="AO308">
        <v>67</v>
      </c>
      <c r="AP308">
        <v>61</v>
      </c>
      <c r="AQ308">
        <v>112</v>
      </c>
      <c r="AR308">
        <v>2657</v>
      </c>
      <c r="AS308">
        <v>4847</v>
      </c>
      <c r="AT308" t="s">
        <v>7</v>
      </c>
      <c r="AU308">
        <v>0.83</v>
      </c>
      <c r="AV308">
        <v>2023</v>
      </c>
      <c r="AW308" s="1">
        <v>45902</v>
      </c>
      <c r="AX308">
        <v>13.7</v>
      </c>
      <c r="AY308" t="s">
        <v>36</v>
      </c>
      <c r="AZ308" t="s">
        <v>51</v>
      </c>
      <c r="BA308" t="s">
        <v>122</v>
      </c>
      <c r="BB308" t="s">
        <v>7</v>
      </c>
      <c r="BC308" t="s">
        <v>7</v>
      </c>
      <c r="BD308">
        <v>1</v>
      </c>
      <c r="BE308" t="s">
        <v>43</v>
      </c>
      <c r="BF308">
        <v>0.98</v>
      </c>
    </row>
    <row r="309" spans="1:58" hidden="1" x14ac:dyDescent="0.2">
      <c r="A309">
        <v>308</v>
      </c>
      <c r="B309" t="s">
        <v>0</v>
      </c>
      <c r="C309">
        <v>21</v>
      </c>
      <c r="D309" t="s">
        <v>1</v>
      </c>
      <c r="E309" t="s">
        <v>2</v>
      </c>
      <c r="F309" t="s">
        <v>3</v>
      </c>
      <c r="G309" t="s">
        <v>4</v>
      </c>
      <c r="H309" t="s">
        <v>23</v>
      </c>
      <c r="I309" t="s">
        <v>114</v>
      </c>
      <c r="J309" t="s">
        <v>123</v>
      </c>
      <c r="K309" t="s">
        <v>7</v>
      </c>
      <c r="L309">
        <v>9.5</v>
      </c>
      <c r="M309">
        <v>9.4</v>
      </c>
      <c r="N309" t="s">
        <v>25</v>
      </c>
      <c r="O309" t="s">
        <v>7</v>
      </c>
      <c r="P309" t="s">
        <v>46</v>
      </c>
      <c r="Q309">
        <v>28</v>
      </c>
      <c r="R309">
        <v>9</v>
      </c>
      <c r="S309">
        <v>29.3</v>
      </c>
      <c r="T309">
        <v>115</v>
      </c>
      <c r="U309">
        <v>92</v>
      </c>
      <c r="V309">
        <v>8098</v>
      </c>
      <c r="W309">
        <v>44.8</v>
      </c>
      <c r="X309">
        <v>6</v>
      </c>
      <c r="Y309">
        <v>3</v>
      </c>
      <c r="Z309">
        <v>13</v>
      </c>
      <c r="AA309">
        <v>1.9</v>
      </c>
      <c r="AB309">
        <v>4</v>
      </c>
      <c r="AC309">
        <v>305</v>
      </c>
      <c r="AD309">
        <v>11</v>
      </c>
      <c r="AE309">
        <v>14</v>
      </c>
      <c r="AF309">
        <v>293</v>
      </c>
      <c r="AG309">
        <v>144</v>
      </c>
      <c r="AH309">
        <v>195</v>
      </c>
      <c r="AI309">
        <v>50</v>
      </c>
      <c r="AJ309">
        <v>48</v>
      </c>
      <c r="AK309">
        <v>42</v>
      </c>
      <c r="AL309">
        <v>23</v>
      </c>
      <c r="AM309">
        <v>11</v>
      </c>
      <c r="AN309">
        <v>150</v>
      </c>
      <c r="AO309">
        <v>67</v>
      </c>
      <c r="AP309">
        <v>74</v>
      </c>
      <c r="AQ309">
        <v>111</v>
      </c>
      <c r="AR309">
        <v>6341</v>
      </c>
      <c r="AS309">
        <v>10000</v>
      </c>
      <c r="AT309" t="s">
        <v>7</v>
      </c>
      <c r="AU309">
        <v>0.97</v>
      </c>
      <c r="AV309">
        <v>2018</v>
      </c>
      <c r="AW309" s="1">
        <v>45931</v>
      </c>
      <c r="AX309">
        <v>27.7</v>
      </c>
      <c r="AY309" t="s">
        <v>30</v>
      </c>
      <c r="AZ309" t="s">
        <v>51</v>
      </c>
      <c r="BA309" t="s">
        <v>21</v>
      </c>
      <c r="BB309" t="s">
        <v>13</v>
      </c>
      <c r="BC309" t="s">
        <v>7</v>
      </c>
      <c r="BD309">
        <v>3</v>
      </c>
      <c r="BE309" t="s">
        <v>14</v>
      </c>
      <c r="BF309">
        <v>1.1000000000000001</v>
      </c>
    </row>
    <row r="310" spans="1:58" hidden="1" x14ac:dyDescent="0.2">
      <c r="A310">
        <v>309</v>
      </c>
      <c r="B310" t="s">
        <v>0</v>
      </c>
      <c r="C310">
        <v>53</v>
      </c>
      <c r="D310" t="s">
        <v>28</v>
      </c>
      <c r="E310" t="s">
        <v>2</v>
      </c>
      <c r="F310" t="s">
        <v>3</v>
      </c>
      <c r="G310" t="s">
        <v>4</v>
      </c>
      <c r="H310" t="s">
        <v>118</v>
      </c>
      <c r="I310" t="s">
        <v>114</v>
      </c>
      <c r="J310" t="s">
        <v>32</v>
      </c>
      <c r="K310" t="s">
        <v>7</v>
      </c>
      <c r="L310">
        <v>4.5</v>
      </c>
      <c r="M310">
        <v>6.5</v>
      </c>
      <c r="N310" t="s">
        <v>25</v>
      </c>
      <c r="O310" t="s">
        <v>7</v>
      </c>
      <c r="P310" t="s">
        <v>26</v>
      </c>
      <c r="Q310">
        <v>10</v>
      </c>
      <c r="R310">
        <v>10</v>
      </c>
      <c r="S310">
        <v>25.2</v>
      </c>
      <c r="T310">
        <v>107</v>
      </c>
      <c r="U310">
        <v>63</v>
      </c>
      <c r="V310">
        <v>8016</v>
      </c>
      <c r="W310">
        <v>52</v>
      </c>
      <c r="X310">
        <v>3</v>
      </c>
      <c r="Y310">
        <v>11</v>
      </c>
      <c r="Z310">
        <v>7</v>
      </c>
      <c r="AA310">
        <v>2.9</v>
      </c>
      <c r="AB310">
        <v>5</v>
      </c>
      <c r="AC310">
        <v>5</v>
      </c>
      <c r="AD310">
        <v>1</v>
      </c>
      <c r="AE310">
        <v>1</v>
      </c>
      <c r="AF310">
        <v>39</v>
      </c>
      <c r="AG310">
        <v>34</v>
      </c>
      <c r="AH310">
        <v>33</v>
      </c>
      <c r="AI310">
        <v>4</v>
      </c>
      <c r="AJ310">
        <v>8</v>
      </c>
      <c r="AK310">
        <v>7</v>
      </c>
      <c r="AL310">
        <v>4</v>
      </c>
      <c r="AM310">
        <v>2</v>
      </c>
      <c r="AN310">
        <v>2</v>
      </c>
      <c r="AO310">
        <v>1</v>
      </c>
      <c r="AP310">
        <v>1</v>
      </c>
      <c r="AQ310">
        <v>1</v>
      </c>
      <c r="AR310">
        <v>2482</v>
      </c>
      <c r="AS310">
        <v>5794</v>
      </c>
      <c r="AT310" t="s">
        <v>7</v>
      </c>
      <c r="AU310">
        <v>0.52</v>
      </c>
      <c r="AV310">
        <v>2015</v>
      </c>
      <c r="AW310" s="1">
        <v>45719</v>
      </c>
      <c r="AX310">
        <v>5</v>
      </c>
      <c r="AY310" t="s">
        <v>27</v>
      </c>
      <c r="AZ310" t="s">
        <v>31</v>
      </c>
      <c r="BA310" t="s">
        <v>122</v>
      </c>
      <c r="BB310" t="s">
        <v>13</v>
      </c>
      <c r="BC310" t="s">
        <v>7</v>
      </c>
      <c r="BD310">
        <v>2</v>
      </c>
      <c r="BE310" t="s">
        <v>43</v>
      </c>
      <c r="BF310">
        <v>7.33</v>
      </c>
    </row>
    <row r="311" spans="1:58" hidden="1" x14ac:dyDescent="0.2">
      <c r="A311">
        <v>310</v>
      </c>
      <c r="B311" t="s">
        <v>0</v>
      </c>
      <c r="C311">
        <v>47</v>
      </c>
      <c r="D311" t="s">
        <v>28</v>
      </c>
      <c r="E311" t="s">
        <v>42</v>
      </c>
      <c r="F311" t="s">
        <v>15</v>
      </c>
      <c r="G311" t="s">
        <v>117</v>
      </c>
      <c r="H311" t="s">
        <v>118</v>
      </c>
      <c r="I311" t="s">
        <v>114</v>
      </c>
      <c r="J311" t="s">
        <v>6</v>
      </c>
      <c r="K311" t="s">
        <v>7</v>
      </c>
      <c r="L311">
        <v>3</v>
      </c>
      <c r="M311">
        <v>7.4</v>
      </c>
      <c r="N311" t="s">
        <v>120</v>
      </c>
      <c r="O311" t="s">
        <v>41</v>
      </c>
      <c r="P311" t="s">
        <v>52</v>
      </c>
      <c r="Q311">
        <v>23</v>
      </c>
      <c r="R311">
        <v>5</v>
      </c>
      <c r="S311">
        <v>25.6</v>
      </c>
      <c r="T311">
        <v>142</v>
      </c>
      <c r="U311">
        <v>83</v>
      </c>
      <c r="V311">
        <v>8032</v>
      </c>
      <c r="W311">
        <v>56.1</v>
      </c>
      <c r="X311">
        <v>2</v>
      </c>
      <c r="Y311">
        <v>8</v>
      </c>
      <c r="Z311">
        <v>10</v>
      </c>
      <c r="AA311">
        <v>5</v>
      </c>
      <c r="AB311">
        <v>5</v>
      </c>
      <c r="AC311">
        <v>203</v>
      </c>
      <c r="AD311">
        <v>20</v>
      </c>
      <c r="AE311">
        <v>3</v>
      </c>
      <c r="AF311">
        <v>173</v>
      </c>
      <c r="AG311">
        <v>104</v>
      </c>
      <c r="AH311">
        <v>135</v>
      </c>
      <c r="AI311">
        <v>36</v>
      </c>
      <c r="AJ311">
        <v>35</v>
      </c>
      <c r="AK311">
        <v>30</v>
      </c>
      <c r="AL311">
        <v>17</v>
      </c>
      <c r="AM311">
        <v>4</v>
      </c>
      <c r="AN311">
        <v>112</v>
      </c>
      <c r="AO311">
        <v>22</v>
      </c>
      <c r="AP311">
        <v>28</v>
      </c>
      <c r="AQ311">
        <v>42</v>
      </c>
      <c r="AR311">
        <v>1149</v>
      </c>
      <c r="AS311">
        <v>502</v>
      </c>
      <c r="AT311" t="s">
        <v>7</v>
      </c>
      <c r="AU311">
        <v>0.78</v>
      </c>
      <c r="AV311">
        <v>2014</v>
      </c>
      <c r="AW311" s="1">
        <v>45766</v>
      </c>
      <c r="AX311">
        <v>10.199999999999999</v>
      </c>
      <c r="AY311" t="s">
        <v>19</v>
      </c>
      <c r="AZ311" t="s">
        <v>37</v>
      </c>
      <c r="BA311" t="s">
        <v>21</v>
      </c>
      <c r="BB311" t="s">
        <v>13</v>
      </c>
      <c r="BC311" t="s">
        <v>7</v>
      </c>
      <c r="BD311">
        <v>2</v>
      </c>
      <c r="BE311" t="s">
        <v>14</v>
      </c>
      <c r="BF311">
        <v>1.06</v>
      </c>
    </row>
    <row r="312" spans="1:58" hidden="1" x14ac:dyDescent="0.2">
      <c r="A312">
        <v>311</v>
      </c>
      <c r="B312" t="s">
        <v>0</v>
      </c>
      <c r="C312">
        <v>31</v>
      </c>
      <c r="D312" t="s">
        <v>28</v>
      </c>
      <c r="E312" t="s">
        <v>128</v>
      </c>
      <c r="F312" t="s">
        <v>40</v>
      </c>
      <c r="G312" t="s">
        <v>38</v>
      </c>
      <c r="H312" t="s">
        <v>34</v>
      </c>
      <c r="I312" t="s">
        <v>114</v>
      </c>
      <c r="J312" t="s">
        <v>6</v>
      </c>
      <c r="K312" t="s">
        <v>7</v>
      </c>
      <c r="L312">
        <v>7.2</v>
      </c>
      <c r="M312">
        <v>6.8</v>
      </c>
      <c r="N312" t="s">
        <v>29</v>
      </c>
      <c r="O312" t="s">
        <v>7</v>
      </c>
      <c r="P312" t="s">
        <v>9</v>
      </c>
      <c r="Q312">
        <v>22</v>
      </c>
      <c r="R312">
        <v>6</v>
      </c>
      <c r="S312">
        <v>21.4</v>
      </c>
      <c r="T312">
        <v>127</v>
      </c>
      <c r="U312">
        <v>75</v>
      </c>
      <c r="V312">
        <v>7930</v>
      </c>
      <c r="W312">
        <v>23.2</v>
      </c>
      <c r="X312">
        <v>6</v>
      </c>
      <c r="Y312">
        <v>3</v>
      </c>
      <c r="Z312">
        <v>8</v>
      </c>
      <c r="AA312">
        <v>4.8</v>
      </c>
      <c r="AB312">
        <v>2</v>
      </c>
      <c r="AC312">
        <v>221</v>
      </c>
      <c r="AD312">
        <v>15</v>
      </c>
      <c r="AE312">
        <v>5</v>
      </c>
      <c r="AF312">
        <v>186</v>
      </c>
      <c r="AG312">
        <v>113</v>
      </c>
      <c r="AH312">
        <v>151</v>
      </c>
      <c r="AI312">
        <v>43</v>
      </c>
      <c r="AJ312">
        <v>34</v>
      </c>
      <c r="AK312">
        <v>37</v>
      </c>
      <c r="AL312">
        <v>21</v>
      </c>
      <c r="AM312">
        <v>8</v>
      </c>
      <c r="AN312">
        <v>104</v>
      </c>
      <c r="AO312">
        <v>28</v>
      </c>
      <c r="AP312">
        <v>48</v>
      </c>
      <c r="AQ312">
        <v>82</v>
      </c>
      <c r="AR312">
        <v>901</v>
      </c>
      <c r="AS312">
        <v>450</v>
      </c>
      <c r="AT312" t="s">
        <v>7</v>
      </c>
      <c r="AU312">
        <v>0.84</v>
      </c>
      <c r="AV312">
        <v>2025</v>
      </c>
      <c r="AW312" s="1">
        <v>45978</v>
      </c>
      <c r="AX312">
        <v>14.7</v>
      </c>
      <c r="AY312" t="s">
        <v>30</v>
      </c>
      <c r="AZ312" t="s">
        <v>31</v>
      </c>
      <c r="BA312" t="s">
        <v>12</v>
      </c>
      <c r="BB312" t="s">
        <v>13</v>
      </c>
      <c r="BC312" t="s">
        <v>7</v>
      </c>
      <c r="BD312">
        <v>1</v>
      </c>
      <c r="BE312" t="s">
        <v>14</v>
      </c>
      <c r="BF312">
        <v>1.1399999999999999</v>
      </c>
    </row>
    <row r="313" spans="1:58" hidden="1" x14ac:dyDescent="0.2">
      <c r="A313">
        <v>312</v>
      </c>
      <c r="B313" t="s">
        <v>0</v>
      </c>
      <c r="C313">
        <v>60</v>
      </c>
      <c r="D313" t="s">
        <v>1</v>
      </c>
      <c r="E313" t="s">
        <v>22</v>
      </c>
      <c r="F313" t="s">
        <v>40</v>
      </c>
      <c r="G313" t="s">
        <v>116</v>
      </c>
      <c r="H313" t="s">
        <v>118</v>
      </c>
      <c r="I313" t="s">
        <v>114</v>
      </c>
      <c r="J313" t="s">
        <v>18</v>
      </c>
      <c r="K313" t="s">
        <v>7</v>
      </c>
      <c r="L313">
        <v>5.8</v>
      </c>
      <c r="M313">
        <v>8.1</v>
      </c>
      <c r="N313" t="s">
        <v>8</v>
      </c>
      <c r="O313" t="s">
        <v>41</v>
      </c>
      <c r="P313" t="s">
        <v>46</v>
      </c>
      <c r="Q313">
        <v>4</v>
      </c>
      <c r="R313">
        <v>1</v>
      </c>
      <c r="S313">
        <v>26.5</v>
      </c>
      <c r="T313">
        <v>157</v>
      </c>
      <c r="U313">
        <v>66</v>
      </c>
      <c r="V313">
        <v>8033</v>
      </c>
      <c r="W313">
        <v>56.4</v>
      </c>
      <c r="X313">
        <v>2</v>
      </c>
      <c r="Y313">
        <v>4</v>
      </c>
      <c r="Z313">
        <v>10</v>
      </c>
      <c r="AA313">
        <v>0.9</v>
      </c>
      <c r="AB313">
        <v>0</v>
      </c>
      <c r="AC313">
        <v>118</v>
      </c>
      <c r="AD313">
        <v>6</v>
      </c>
      <c r="AE313">
        <v>4</v>
      </c>
      <c r="AF313">
        <v>123</v>
      </c>
      <c r="AG313">
        <v>83</v>
      </c>
      <c r="AH313">
        <v>91</v>
      </c>
      <c r="AI313">
        <v>23</v>
      </c>
      <c r="AJ313">
        <v>25</v>
      </c>
      <c r="AK313">
        <v>22</v>
      </c>
      <c r="AL313">
        <v>10</v>
      </c>
      <c r="AM313">
        <v>6</v>
      </c>
      <c r="AN313">
        <v>63</v>
      </c>
      <c r="AO313">
        <v>30</v>
      </c>
      <c r="AP313">
        <v>24</v>
      </c>
      <c r="AQ313">
        <v>26</v>
      </c>
      <c r="AR313">
        <v>14627</v>
      </c>
      <c r="AS313">
        <v>10000</v>
      </c>
      <c r="AT313" t="s">
        <v>13</v>
      </c>
      <c r="AU313">
        <v>0.71</v>
      </c>
      <c r="AV313">
        <v>2024</v>
      </c>
      <c r="AW313" s="1">
        <v>45725</v>
      </c>
      <c r="AX313">
        <v>19.7</v>
      </c>
      <c r="AY313" t="s">
        <v>27</v>
      </c>
      <c r="AZ313" t="s">
        <v>20</v>
      </c>
      <c r="BA313" t="s">
        <v>12</v>
      </c>
      <c r="BB313" t="s">
        <v>7</v>
      </c>
      <c r="BC313" t="s">
        <v>13</v>
      </c>
      <c r="BD313">
        <v>1</v>
      </c>
      <c r="BE313" t="s">
        <v>43</v>
      </c>
      <c r="BF313">
        <v>1.25</v>
      </c>
    </row>
    <row r="314" spans="1:58" hidden="1" x14ac:dyDescent="0.2">
      <c r="A314">
        <v>313</v>
      </c>
      <c r="B314" t="s">
        <v>0</v>
      </c>
      <c r="C314">
        <v>28</v>
      </c>
      <c r="D314" t="s">
        <v>28</v>
      </c>
      <c r="E314" t="s">
        <v>17</v>
      </c>
      <c r="F314" t="s">
        <v>15</v>
      </c>
      <c r="G314" t="s">
        <v>38</v>
      </c>
      <c r="H314" t="s">
        <v>118</v>
      </c>
      <c r="I314" t="s">
        <v>112</v>
      </c>
      <c r="J314" t="s">
        <v>32</v>
      </c>
      <c r="K314" t="s">
        <v>13</v>
      </c>
      <c r="L314">
        <v>6.3</v>
      </c>
      <c r="M314">
        <v>5.9</v>
      </c>
      <c r="N314" t="s">
        <v>29</v>
      </c>
      <c r="O314" t="s">
        <v>7</v>
      </c>
      <c r="P314" t="s">
        <v>46</v>
      </c>
      <c r="Q314">
        <v>10</v>
      </c>
      <c r="R314">
        <v>6</v>
      </c>
      <c r="S314">
        <v>37.200000000000003</v>
      </c>
      <c r="T314">
        <v>101</v>
      </c>
      <c r="U314">
        <v>65</v>
      </c>
      <c r="V314">
        <v>7957</v>
      </c>
      <c r="W314">
        <v>33.799999999999997</v>
      </c>
      <c r="X314">
        <v>2</v>
      </c>
      <c r="Y314">
        <v>5</v>
      </c>
      <c r="Z314">
        <v>7</v>
      </c>
      <c r="AA314">
        <v>5.4</v>
      </c>
      <c r="AB314">
        <v>1</v>
      </c>
      <c r="AC314">
        <v>124</v>
      </c>
      <c r="AD314">
        <v>7</v>
      </c>
      <c r="AE314">
        <v>4</v>
      </c>
      <c r="AF314">
        <v>166</v>
      </c>
      <c r="AG314">
        <v>75</v>
      </c>
      <c r="AH314">
        <v>99</v>
      </c>
      <c r="AI314">
        <v>30</v>
      </c>
      <c r="AJ314">
        <v>25</v>
      </c>
      <c r="AK314">
        <v>21</v>
      </c>
      <c r="AL314">
        <v>12</v>
      </c>
      <c r="AM314">
        <v>2</v>
      </c>
      <c r="AN314">
        <v>64</v>
      </c>
      <c r="AO314">
        <v>14</v>
      </c>
      <c r="AP314">
        <v>24</v>
      </c>
      <c r="AQ314">
        <v>41</v>
      </c>
      <c r="AR314">
        <v>93</v>
      </c>
      <c r="AS314">
        <v>138</v>
      </c>
      <c r="AT314" t="s">
        <v>7</v>
      </c>
      <c r="AU314">
        <v>0.91</v>
      </c>
      <c r="AV314">
        <v>2015</v>
      </c>
      <c r="AW314" s="1">
        <v>45792</v>
      </c>
      <c r="AX314">
        <v>17.7</v>
      </c>
      <c r="AY314" t="s">
        <v>36</v>
      </c>
      <c r="AZ314" t="s">
        <v>11</v>
      </c>
      <c r="BA314" t="s">
        <v>122</v>
      </c>
      <c r="BB314" t="s">
        <v>13</v>
      </c>
      <c r="BC314" t="s">
        <v>7</v>
      </c>
      <c r="BD314">
        <v>2</v>
      </c>
      <c r="BE314" t="s">
        <v>14</v>
      </c>
      <c r="BF314">
        <v>1.37</v>
      </c>
    </row>
    <row r="315" spans="1:58" hidden="1" x14ac:dyDescent="0.2">
      <c r="A315">
        <v>314</v>
      </c>
      <c r="B315" t="s">
        <v>0</v>
      </c>
      <c r="C315">
        <v>15</v>
      </c>
      <c r="D315" t="s">
        <v>28</v>
      </c>
      <c r="E315" t="s">
        <v>47</v>
      </c>
      <c r="F315" t="s">
        <v>40</v>
      </c>
      <c r="G315" t="s">
        <v>38</v>
      </c>
      <c r="H315" t="s">
        <v>118</v>
      </c>
      <c r="I315" t="s">
        <v>114</v>
      </c>
      <c r="J315" t="s">
        <v>32</v>
      </c>
      <c r="K315" t="s">
        <v>7</v>
      </c>
      <c r="L315">
        <v>13.1</v>
      </c>
      <c r="M315">
        <v>8</v>
      </c>
      <c r="N315" t="s">
        <v>8</v>
      </c>
      <c r="O315" t="s">
        <v>13</v>
      </c>
      <c r="P315" t="s">
        <v>46</v>
      </c>
      <c r="Q315">
        <v>17</v>
      </c>
      <c r="R315">
        <v>5</v>
      </c>
      <c r="S315">
        <v>34.200000000000003</v>
      </c>
      <c r="T315">
        <v>151</v>
      </c>
      <c r="U315">
        <v>98</v>
      </c>
      <c r="V315">
        <v>8045</v>
      </c>
      <c r="W315">
        <v>30.4</v>
      </c>
      <c r="X315">
        <v>3</v>
      </c>
      <c r="Y315">
        <v>8</v>
      </c>
      <c r="Z315">
        <v>7</v>
      </c>
      <c r="AA315">
        <v>3.8</v>
      </c>
      <c r="AB315">
        <v>1</v>
      </c>
      <c r="AC315">
        <v>255</v>
      </c>
      <c r="AD315">
        <v>7</v>
      </c>
      <c r="AE315">
        <v>12</v>
      </c>
      <c r="AF315">
        <v>265</v>
      </c>
      <c r="AG315">
        <v>132</v>
      </c>
      <c r="AH315">
        <v>184</v>
      </c>
      <c r="AI315">
        <v>40</v>
      </c>
      <c r="AJ315">
        <v>38</v>
      </c>
      <c r="AK315">
        <v>44</v>
      </c>
      <c r="AL315">
        <v>25</v>
      </c>
      <c r="AM315">
        <v>3</v>
      </c>
      <c r="AN315">
        <v>121</v>
      </c>
      <c r="AO315">
        <v>47</v>
      </c>
      <c r="AP315">
        <v>55</v>
      </c>
      <c r="AQ315">
        <v>91</v>
      </c>
      <c r="AR315">
        <v>6318</v>
      </c>
      <c r="AS315">
        <v>2661</v>
      </c>
      <c r="AT315" t="s">
        <v>7</v>
      </c>
      <c r="AU315">
        <v>0.14000000000000001</v>
      </c>
      <c r="AV315">
        <v>2012</v>
      </c>
      <c r="AW315" s="1">
        <v>45682</v>
      </c>
      <c r="AX315">
        <v>36.4</v>
      </c>
      <c r="AY315" t="s">
        <v>30</v>
      </c>
      <c r="AZ315" t="s">
        <v>17</v>
      </c>
      <c r="BA315" t="s">
        <v>12</v>
      </c>
      <c r="BB315" t="s">
        <v>13</v>
      </c>
      <c r="BC315" t="s">
        <v>7</v>
      </c>
      <c r="BD315">
        <v>0</v>
      </c>
      <c r="BE315" t="s">
        <v>14</v>
      </c>
      <c r="BF315">
        <v>1.17</v>
      </c>
    </row>
    <row r="316" spans="1:58" hidden="1" x14ac:dyDescent="0.2">
      <c r="A316">
        <v>315</v>
      </c>
      <c r="B316" t="s">
        <v>0</v>
      </c>
      <c r="C316">
        <v>32</v>
      </c>
      <c r="D316" t="s">
        <v>28</v>
      </c>
      <c r="E316" t="s">
        <v>33</v>
      </c>
      <c r="F316" t="s">
        <v>15</v>
      </c>
      <c r="G316" t="s">
        <v>38</v>
      </c>
      <c r="H316" t="s">
        <v>118</v>
      </c>
      <c r="I316" t="s">
        <v>115</v>
      </c>
      <c r="J316" t="s">
        <v>32</v>
      </c>
      <c r="K316" t="s">
        <v>7</v>
      </c>
      <c r="L316">
        <v>8.6</v>
      </c>
      <c r="M316">
        <v>6.8</v>
      </c>
      <c r="N316" t="s">
        <v>39</v>
      </c>
      <c r="O316" t="s">
        <v>7</v>
      </c>
      <c r="P316" t="s">
        <v>9</v>
      </c>
      <c r="Q316">
        <v>8</v>
      </c>
      <c r="R316">
        <v>4</v>
      </c>
      <c r="S316">
        <v>20.100000000000001</v>
      </c>
      <c r="T316">
        <v>121</v>
      </c>
      <c r="U316">
        <v>80</v>
      </c>
      <c r="V316">
        <v>8044</v>
      </c>
      <c r="W316">
        <v>46.5</v>
      </c>
      <c r="X316">
        <v>1</v>
      </c>
      <c r="Y316">
        <v>2</v>
      </c>
      <c r="Z316">
        <v>5</v>
      </c>
      <c r="AA316">
        <v>3.9</v>
      </c>
      <c r="AB316">
        <v>2</v>
      </c>
      <c r="AC316">
        <v>125</v>
      </c>
      <c r="AD316">
        <v>4</v>
      </c>
      <c r="AE316">
        <v>6</v>
      </c>
      <c r="AF316">
        <v>107</v>
      </c>
      <c r="AG316">
        <v>84</v>
      </c>
      <c r="AH316">
        <v>87</v>
      </c>
      <c r="AI316">
        <v>31</v>
      </c>
      <c r="AJ316">
        <v>28</v>
      </c>
      <c r="AK316">
        <v>25</v>
      </c>
      <c r="AL316">
        <v>12</v>
      </c>
      <c r="AM316">
        <v>2</v>
      </c>
      <c r="AN316">
        <v>58</v>
      </c>
      <c r="AO316">
        <v>37</v>
      </c>
      <c r="AP316">
        <v>21</v>
      </c>
      <c r="AQ316">
        <v>28</v>
      </c>
      <c r="AR316">
        <v>1172</v>
      </c>
      <c r="AS316">
        <v>2478</v>
      </c>
      <c r="AT316" t="s">
        <v>13</v>
      </c>
      <c r="AU316">
        <v>0.82</v>
      </c>
      <c r="AV316">
        <v>2013</v>
      </c>
      <c r="AW316" s="1">
        <v>45837</v>
      </c>
      <c r="AX316">
        <v>31.2</v>
      </c>
      <c r="AY316" t="s">
        <v>36</v>
      </c>
      <c r="AZ316" t="s">
        <v>51</v>
      </c>
      <c r="BA316" t="s">
        <v>122</v>
      </c>
      <c r="BB316" t="s">
        <v>13</v>
      </c>
      <c r="BC316" t="s">
        <v>13</v>
      </c>
      <c r="BD316">
        <v>1</v>
      </c>
      <c r="BE316" t="s">
        <v>14</v>
      </c>
      <c r="BF316">
        <v>1.33</v>
      </c>
    </row>
    <row r="317" spans="1:58" hidden="1" x14ac:dyDescent="0.2">
      <c r="A317">
        <v>316</v>
      </c>
      <c r="B317" t="s">
        <v>0</v>
      </c>
      <c r="C317">
        <v>36</v>
      </c>
      <c r="D317" t="s">
        <v>1</v>
      </c>
      <c r="E317" t="s">
        <v>128</v>
      </c>
      <c r="F317" t="s">
        <v>15</v>
      </c>
      <c r="G317" t="s">
        <v>38</v>
      </c>
      <c r="H317" t="s">
        <v>23</v>
      </c>
      <c r="I317" t="s">
        <v>113</v>
      </c>
      <c r="J317" t="s">
        <v>6</v>
      </c>
      <c r="K317" t="s">
        <v>13</v>
      </c>
      <c r="L317">
        <v>1.3</v>
      </c>
      <c r="M317">
        <v>6.3</v>
      </c>
      <c r="N317" t="s">
        <v>25</v>
      </c>
      <c r="O317" t="s">
        <v>7</v>
      </c>
      <c r="P317" t="s">
        <v>9</v>
      </c>
      <c r="Q317">
        <v>9</v>
      </c>
      <c r="R317">
        <v>9</v>
      </c>
      <c r="S317">
        <v>26.7</v>
      </c>
      <c r="T317">
        <v>154</v>
      </c>
      <c r="U317">
        <v>88</v>
      </c>
      <c r="V317">
        <v>8144</v>
      </c>
      <c r="W317">
        <v>64.2</v>
      </c>
      <c r="X317">
        <v>4</v>
      </c>
      <c r="Y317">
        <v>1</v>
      </c>
      <c r="Z317">
        <v>11</v>
      </c>
      <c r="AA317">
        <v>3.3</v>
      </c>
      <c r="AB317">
        <v>1</v>
      </c>
      <c r="AC317">
        <v>18</v>
      </c>
      <c r="AD317">
        <v>1</v>
      </c>
      <c r="AE317">
        <v>1</v>
      </c>
      <c r="AF317">
        <v>44</v>
      </c>
      <c r="AG317">
        <v>34</v>
      </c>
      <c r="AH317">
        <v>30</v>
      </c>
      <c r="AI317">
        <v>13</v>
      </c>
      <c r="AJ317">
        <v>17</v>
      </c>
      <c r="AK317">
        <v>9</v>
      </c>
      <c r="AL317">
        <v>5</v>
      </c>
      <c r="AM317">
        <v>0</v>
      </c>
      <c r="AN317">
        <v>11</v>
      </c>
      <c r="AO317">
        <v>4</v>
      </c>
      <c r="AP317">
        <v>3</v>
      </c>
      <c r="AQ317">
        <v>7</v>
      </c>
      <c r="AR317">
        <v>733</v>
      </c>
      <c r="AS317">
        <v>1372</v>
      </c>
      <c r="AT317" t="s">
        <v>7</v>
      </c>
      <c r="AU317">
        <v>0.88</v>
      </c>
      <c r="AV317">
        <v>2024</v>
      </c>
      <c r="AW317" s="1">
        <v>45710</v>
      </c>
      <c r="AX317">
        <v>18</v>
      </c>
      <c r="AY317" t="s">
        <v>19</v>
      </c>
      <c r="AZ317" t="s">
        <v>11</v>
      </c>
      <c r="BA317" t="s">
        <v>21</v>
      </c>
      <c r="BB317" t="s">
        <v>13</v>
      </c>
      <c r="BC317" t="s">
        <v>7</v>
      </c>
      <c r="BD317">
        <v>2</v>
      </c>
      <c r="BE317" t="s">
        <v>14</v>
      </c>
      <c r="BF317">
        <v>3.11</v>
      </c>
    </row>
    <row r="318" spans="1:58" hidden="1" x14ac:dyDescent="0.2">
      <c r="A318">
        <v>317</v>
      </c>
      <c r="B318" t="s">
        <v>0</v>
      </c>
      <c r="C318">
        <v>45</v>
      </c>
      <c r="D318" t="s">
        <v>1</v>
      </c>
      <c r="E318" t="s">
        <v>33</v>
      </c>
      <c r="F318" t="s">
        <v>15</v>
      </c>
      <c r="G318" t="s">
        <v>38</v>
      </c>
      <c r="H318" t="s">
        <v>118</v>
      </c>
      <c r="I318" t="s">
        <v>114</v>
      </c>
      <c r="J318" t="s">
        <v>6</v>
      </c>
      <c r="K318" t="s">
        <v>7</v>
      </c>
      <c r="L318">
        <v>13.4</v>
      </c>
      <c r="M318">
        <v>6.5</v>
      </c>
      <c r="N318" t="s">
        <v>39</v>
      </c>
      <c r="O318" t="s">
        <v>7</v>
      </c>
      <c r="P318" t="s">
        <v>26</v>
      </c>
      <c r="Q318">
        <v>10</v>
      </c>
      <c r="R318">
        <v>2</v>
      </c>
      <c r="S318">
        <v>31.1</v>
      </c>
      <c r="T318">
        <v>96</v>
      </c>
      <c r="U318">
        <v>80</v>
      </c>
      <c r="V318">
        <v>8083</v>
      </c>
      <c r="W318">
        <v>48.4</v>
      </c>
      <c r="X318">
        <v>3</v>
      </c>
      <c r="Y318">
        <v>6</v>
      </c>
      <c r="Z318">
        <v>18</v>
      </c>
      <c r="AA318">
        <v>3.7</v>
      </c>
      <c r="AB318">
        <v>3</v>
      </c>
      <c r="AC318">
        <v>115</v>
      </c>
      <c r="AD318">
        <v>5</v>
      </c>
      <c r="AE318">
        <v>2</v>
      </c>
      <c r="AF318">
        <v>108</v>
      </c>
      <c r="AG318">
        <v>79</v>
      </c>
      <c r="AH318">
        <v>84</v>
      </c>
      <c r="AI318">
        <v>27</v>
      </c>
      <c r="AJ318">
        <v>30</v>
      </c>
      <c r="AK318">
        <v>22</v>
      </c>
      <c r="AL318">
        <v>9</v>
      </c>
      <c r="AM318">
        <v>4</v>
      </c>
      <c r="AN318">
        <v>57</v>
      </c>
      <c r="AO318">
        <v>34</v>
      </c>
      <c r="AP318">
        <v>25</v>
      </c>
      <c r="AQ318">
        <v>38</v>
      </c>
      <c r="AR318">
        <v>328</v>
      </c>
      <c r="AS318">
        <v>634</v>
      </c>
      <c r="AT318" t="s">
        <v>7</v>
      </c>
      <c r="AU318">
        <v>0.65</v>
      </c>
      <c r="AV318">
        <v>2010</v>
      </c>
      <c r="AW318" s="1">
        <v>45832</v>
      </c>
      <c r="AX318">
        <v>23</v>
      </c>
      <c r="AY318" t="s">
        <v>45</v>
      </c>
      <c r="AZ318" t="s">
        <v>35</v>
      </c>
      <c r="BA318" t="s">
        <v>122</v>
      </c>
      <c r="BB318" t="s">
        <v>7</v>
      </c>
      <c r="BC318" t="s">
        <v>7</v>
      </c>
      <c r="BD318">
        <v>1</v>
      </c>
      <c r="BE318" t="s">
        <v>14</v>
      </c>
      <c r="BF318">
        <v>1.24</v>
      </c>
    </row>
    <row r="319" spans="1:58" hidden="1" x14ac:dyDescent="0.2">
      <c r="A319">
        <v>318</v>
      </c>
      <c r="B319" t="s">
        <v>0</v>
      </c>
      <c r="C319">
        <v>36</v>
      </c>
      <c r="D319" t="s">
        <v>28</v>
      </c>
      <c r="E319" t="s">
        <v>50</v>
      </c>
      <c r="F319" t="s">
        <v>40</v>
      </c>
      <c r="G319" t="s">
        <v>16</v>
      </c>
      <c r="H319" t="s">
        <v>24</v>
      </c>
      <c r="I319" t="s">
        <v>114</v>
      </c>
      <c r="J319" t="s">
        <v>32</v>
      </c>
      <c r="K319" t="s">
        <v>7</v>
      </c>
      <c r="L319">
        <v>10.199999999999999</v>
      </c>
      <c r="M319">
        <v>7.4</v>
      </c>
      <c r="N319" t="s">
        <v>8</v>
      </c>
      <c r="O319" t="s">
        <v>7</v>
      </c>
      <c r="P319" t="s">
        <v>9</v>
      </c>
      <c r="Q319">
        <v>35</v>
      </c>
      <c r="R319">
        <v>7</v>
      </c>
      <c r="S319">
        <v>29.2</v>
      </c>
      <c r="T319">
        <v>112</v>
      </c>
      <c r="U319">
        <v>67</v>
      </c>
      <c r="V319">
        <v>7728</v>
      </c>
      <c r="W319">
        <v>44.1</v>
      </c>
      <c r="X319">
        <v>6</v>
      </c>
      <c r="Y319">
        <v>1</v>
      </c>
      <c r="Z319">
        <v>6</v>
      </c>
      <c r="AA319">
        <v>2.9</v>
      </c>
      <c r="AB319">
        <v>6</v>
      </c>
      <c r="AC319">
        <v>262</v>
      </c>
      <c r="AD319">
        <v>26</v>
      </c>
      <c r="AE319">
        <v>4</v>
      </c>
      <c r="AF319">
        <v>179</v>
      </c>
      <c r="AG319">
        <v>140</v>
      </c>
      <c r="AH319">
        <v>143</v>
      </c>
      <c r="AI319">
        <v>44</v>
      </c>
      <c r="AJ319">
        <v>47</v>
      </c>
      <c r="AK319">
        <v>37</v>
      </c>
      <c r="AL319">
        <v>24</v>
      </c>
      <c r="AM319">
        <v>7</v>
      </c>
      <c r="AN319">
        <v>112</v>
      </c>
      <c r="AO319">
        <v>34</v>
      </c>
      <c r="AP319">
        <v>58</v>
      </c>
      <c r="AQ319">
        <v>99</v>
      </c>
      <c r="AR319">
        <v>403</v>
      </c>
      <c r="AS319">
        <v>936</v>
      </c>
      <c r="AT319" t="s">
        <v>7</v>
      </c>
      <c r="AU319">
        <v>0.41</v>
      </c>
      <c r="AV319">
        <v>2010</v>
      </c>
      <c r="AW319" s="1">
        <v>45685</v>
      </c>
      <c r="AX319">
        <v>10.1</v>
      </c>
      <c r="AY319" t="s">
        <v>10</v>
      </c>
      <c r="AZ319" t="s">
        <v>11</v>
      </c>
      <c r="BA319" t="s">
        <v>21</v>
      </c>
      <c r="BB319" t="s">
        <v>13</v>
      </c>
      <c r="BC319" t="s">
        <v>13</v>
      </c>
      <c r="BD319">
        <v>1</v>
      </c>
      <c r="BE319" t="s">
        <v>14</v>
      </c>
      <c r="BF319">
        <v>0.92</v>
      </c>
    </row>
    <row r="320" spans="1:58" hidden="1" x14ac:dyDescent="0.2">
      <c r="A320">
        <v>319</v>
      </c>
      <c r="B320" t="s">
        <v>0</v>
      </c>
      <c r="C320">
        <v>64</v>
      </c>
      <c r="D320" t="s">
        <v>28</v>
      </c>
      <c r="E320" t="s">
        <v>2</v>
      </c>
      <c r="F320" t="s">
        <v>15</v>
      </c>
      <c r="G320" t="s">
        <v>38</v>
      </c>
      <c r="H320" t="s">
        <v>119</v>
      </c>
      <c r="I320" t="s">
        <v>113</v>
      </c>
      <c r="J320" t="s">
        <v>123</v>
      </c>
      <c r="K320" t="s">
        <v>7</v>
      </c>
      <c r="L320">
        <v>11.2</v>
      </c>
      <c r="M320">
        <v>5.4</v>
      </c>
      <c r="N320" t="s">
        <v>25</v>
      </c>
      <c r="O320" t="s">
        <v>13</v>
      </c>
      <c r="P320" t="s">
        <v>9</v>
      </c>
      <c r="Q320">
        <v>9</v>
      </c>
      <c r="R320">
        <v>7</v>
      </c>
      <c r="S320">
        <v>29.4</v>
      </c>
      <c r="T320">
        <v>121</v>
      </c>
      <c r="U320">
        <v>90</v>
      </c>
      <c r="V320">
        <v>8044</v>
      </c>
      <c r="W320">
        <v>35.799999999999997</v>
      </c>
      <c r="X320">
        <v>4</v>
      </c>
      <c r="Y320">
        <v>4</v>
      </c>
      <c r="Z320">
        <v>14</v>
      </c>
      <c r="AA320">
        <v>1.6</v>
      </c>
      <c r="AB320">
        <v>3</v>
      </c>
      <c r="AC320">
        <v>101</v>
      </c>
      <c r="AD320">
        <v>3</v>
      </c>
      <c r="AE320">
        <v>3</v>
      </c>
      <c r="AF320">
        <v>104</v>
      </c>
      <c r="AG320">
        <v>74</v>
      </c>
      <c r="AH320">
        <v>73</v>
      </c>
      <c r="AI320">
        <v>16</v>
      </c>
      <c r="AJ320">
        <v>26</v>
      </c>
      <c r="AK320">
        <v>18</v>
      </c>
      <c r="AL320">
        <v>6</v>
      </c>
      <c r="AM320">
        <v>2</v>
      </c>
      <c r="AN320">
        <v>61</v>
      </c>
      <c r="AO320">
        <v>16</v>
      </c>
      <c r="AP320">
        <v>20</v>
      </c>
      <c r="AQ320">
        <v>37</v>
      </c>
      <c r="AR320">
        <v>1024</v>
      </c>
      <c r="AS320">
        <v>2503</v>
      </c>
      <c r="AT320" t="s">
        <v>7</v>
      </c>
      <c r="AU320">
        <v>0.32</v>
      </c>
      <c r="AV320">
        <v>2011</v>
      </c>
      <c r="AW320" s="1">
        <v>45743</v>
      </c>
      <c r="AX320">
        <v>33.700000000000003</v>
      </c>
      <c r="AY320" t="s">
        <v>10</v>
      </c>
      <c r="AZ320" t="s">
        <v>48</v>
      </c>
      <c r="BA320" t="s">
        <v>21</v>
      </c>
      <c r="BB320" t="s">
        <v>13</v>
      </c>
      <c r="BC320" t="s">
        <v>13</v>
      </c>
      <c r="BD320">
        <v>1</v>
      </c>
      <c r="BE320" t="s">
        <v>14</v>
      </c>
      <c r="BF320">
        <v>1.1200000000000001</v>
      </c>
    </row>
    <row r="321" spans="1:58" hidden="1" x14ac:dyDescent="0.2">
      <c r="A321">
        <v>320</v>
      </c>
      <c r="B321" t="s">
        <v>0</v>
      </c>
      <c r="C321">
        <v>23</v>
      </c>
      <c r="D321" t="s">
        <v>1</v>
      </c>
      <c r="E321" t="s">
        <v>47</v>
      </c>
      <c r="F321" t="s">
        <v>15</v>
      </c>
      <c r="G321" t="s">
        <v>16</v>
      </c>
      <c r="H321" t="s">
        <v>118</v>
      </c>
      <c r="I321" t="s">
        <v>115</v>
      </c>
      <c r="J321" t="s">
        <v>123</v>
      </c>
      <c r="K321" t="s">
        <v>13</v>
      </c>
      <c r="L321">
        <v>10.6</v>
      </c>
      <c r="M321">
        <v>7.4</v>
      </c>
      <c r="N321" t="s">
        <v>29</v>
      </c>
      <c r="O321" t="s">
        <v>7</v>
      </c>
      <c r="P321" t="s">
        <v>121</v>
      </c>
      <c r="Q321">
        <v>30</v>
      </c>
      <c r="R321">
        <v>10</v>
      </c>
      <c r="S321">
        <v>24</v>
      </c>
      <c r="T321">
        <v>115</v>
      </c>
      <c r="U321">
        <v>70</v>
      </c>
      <c r="V321">
        <v>7999</v>
      </c>
      <c r="W321">
        <v>44.6</v>
      </c>
      <c r="X321">
        <v>4</v>
      </c>
      <c r="Y321">
        <v>0</v>
      </c>
      <c r="Z321">
        <v>10</v>
      </c>
      <c r="AA321">
        <v>1.7</v>
      </c>
      <c r="AB321">
        <v>2</v>
      </c>
      <c r="AC321">
        <v>206</v>
      </c>
      <c r="AD321">
        <v>12</v>
      </c>
      <c r="AE321">
        <v>11</v>
      </c>
      <c r="AF321">
        <v>233</v>
      </c>
      <c r="AG321">
        <v>110</v>
      </c>
      <c r="AH321">
        <v>128</v>
      </c>
      <c r="AI321">
        <v>32</v>
      </c>
      <c r="AJ321">
        <v>40</v>
      </c>
      <c r="AK321">
        <v>32</v>
      </c>
      <c r="AL321">
        <v>26</v>
      </c>
      <c r="AM321">
        <v>5</v>
      </c>
      <c r="AN321">
        <v>121</v>
      </c>
      <c r="AO321">
        <v>41</v>
      </c>
      <c r="AP321">
        <v>22</v>
      </c>
      <c r="AQ321">
        <v>56</v>
      </c>
      <c r="AR321">
        <v>417</v>
      </c>
      <c r="AS321">
        <v>294</v>
      </c>
      <c r="AT321" t="s">
        <v>7</v>
      </c>
      <c r="AU321">
        <v>0.11</v>
      </c>
      <c r="AV321">
        <v>2022</v>
      </c>
      <c r="AW321" s="1">
        <v>45964</v>
      </c>
      <c r="AX321">
        <v>17.2</v>
      </c>
      <c r="AY321" t="s">
        <v>27</v>
      </c>
      <c r="AZ321" t="s">
        <v>20</v>
      </c>
      <c r="BA321" t="s">
        <v>122</v>
      </c>
      <c r="BB321" t="s">
        <v>13</v>
      </c>
      <c r="BC321" t="s">
        <v>7</v>
      </c>
      <c r="BD321">
        <v>3</v>
      </c>
      <c r="BE321" t="s">
        <v>14</v>
      </c>
      <c r="BF321">
        <v>1.0900000000000001</v>
      </c>
    </row>
    <row r="322" spans="1:58" hidden="1" x14ac:dyDescent="0.2">
      <c r="A322">
        <v>321</v>
      </c>
      <c r="B322" t="s">
        <v>0</v>
      </c>
      <c r="C322">
        <v>61</v>
      </c>
      <c r="D322" t="s">
        <v>1</v>
      </c>
      <c r="E322" t="s">
        <v>128</v>
      </c>
      <c r="F322" t="s">
        <v>40</v>
      </c>
      <c r="G322" t="s">
        <v>16</v>
      </c>
      <c r="H322" t="s">
        <v>118</v>
      </c>
      <c r="I322" t="s">
        <v>17</v>
      </c>
      <c r="J322" t="s">
        <v>123</v>
      </c>
      <c r="K322" t="s">
        <v>7</v>
      </c>
      <c r="L322">
        <v>9.3000000000000007</v>
      </c>
      <c r="M322">
        <v>7.3</v>
      </c>
      <c r="N322" t="s">
        <v>39</v>
      </c>
      <c r="O322" t="s">
        <v>7</v>
      </c>
      <c r="P322" t="s">
        <v>121</v>
      </c>
      <c r="Q322">
        <v>5</v>
      </c>
      <c r="R322">
        <v>1</v>
      </c>
      <c r="S322">
        <v>21.5</v>
      </c>
      <c r="T322">
        <v>106</v>
      </c>
      <c r="U322">
        <v>73</v>
      </c>
      <c r="V322">
        <v>8001</v>
      </c>
      <c r="W322">
        <v>55.5</v>
      </c>
      <c r="X322">
        <v>6</v>
      </c>
      <c r="Y322">
        <v>3</v>
      </c>
      <c r="Z322">
        <v>10</v>
      </c>
      <c r="AA322">
        <v>2.9</v>
      </c>
      <c r="AB322">
        <v>2</v>
      </c>
      <c r="AC322">
        <v>107</v>
      </c>
      <c r="AD322">
        <v>5</v>
      </c>
      <c r="AE322">
        <v>1</v>
      </c>
      <c r="AF322">
        <v>105</v>
      </c>
      <c r="AG322">
        <v>65</v>
      </c>
      <c r="AH322">
        <v>86</v>
      </c>
      <c r="AI322">
        <v>30</v>
      </c>
      <c r="AJ322">
        <v>22</v>
      </c>
      <c r="AK322">
        <v>19</v>
      </c>
      <c r="AL322">
        <v>14</v>
      </c>
      <c r="AM322">
        <v>2</v>
      </c>
      <c r="AN322">
        <v>59</v>
      </c>
      <c r="AO322">
        <v>28</v>
      </c>
      <c r="AP322">
        <v>17</v>
      </c>
      <c r="AQ322">
        <v>26</v>
      </c>
      <c r="AR322">
        <v>1349</v>
      </c>
      <c r="AS322">
        <v>835</v>
      </c>
      <c r="AT322" t="s">
        <v>7</v>
      </c>
      <c r="AU322">
        <v>0.86</v>
      </c>
      <c r="AV322">
        <v>2013</v>
      </c>
      <c r="AW322" s="1">
        <v>45866</v>
      </c>
      <c r="AX322">
        <v>21.4</v>
      </c>
      <c r="AY322" t="s">
        <v>36</v>
      </c>
      <c r="AZ322" t="s">
        <v>48</v>
      </c>
      <c r="BA322" t="s">
        <v>21</v>
      </c>
      <c r="BB322" t="s">
        <v>13</v>
      </c>
      <c r="BC322" t="s">
        <v>13</v>
      </c>
      <c r="BD322">
        <v>1</v>
      </c>
      <c r="BE322" t="s">
        <v>49</v>
      </c>
      <c r="BF322">
        <v>1.38</v>
      </c>
    </row>
    <row r="323" spans="1:58" hidden="1" x14ac:dyDescent="0.2">
      <c r="A323">
        <v>322</v>
      </c>
      <c r="B323" t="s">
        <v>0</v>
      </c>
      <c r="C323">
        <v>20</v>
      </c>
      <c r="D323" t="s">
        <v>1</v>
      </c>
      <c r="E323" t="s">
        <v>17</v>
      </c>
      <c r="F323" t="s">
        <v>15</v>
      </c>
      <c r="G323" t="s">
        <v>117</v>
      </c>
      <c r="H323" t="s">
        <v>118</v>
      </c>
      <c r="I323" t="s">
        <v>114</v>
      </c>
      <c r="J323" t="s">
        <v>18</v>
      </c>
      <c r="K323" t="s">
        <v>7</v>
      </c>
      <c r="L323">
        <v>5.8</v>
      </c>
      <c r="M323">
        <v>6.6</v>
      </c>
      <c r="N323" t="s">
        <v>29</v>
      </c>
      <c r="O323" t="s">
        <v>13</v>
      </c>
      <c r="P323" t="s">
        <v>26</v>
      </c>
      <c r="Q323">
        <v>11</v>
      </c>
      <c r="R323">
        <v>6</v>
      </c>
      <c r="S323">
        <v>21</v>
      </c>
      <c r="T323">
        <v>144</v>
      </c>
      <c r="U323">
        <v>72</v>
      </c>
      <c r="V323">
        <v>8125</v>
      </c>
      <c r="W323">
        <v>60.7</v>
      </c>
      <c r="X323">
        <v>3</v>
      </c>
      <c r="Y323">
        <v>5</v>
      </c>
      <c r="Z323">
        <v>10</v>
      </c>
      <c r="AA323">
        <v>2.4</v>
      </c>
      <c r="AB323">
        <v>3</v>
      </c>
      <c r="AC323">
        <v>226</v>
      </c>
      <c r="AD323">
        <v>18</v>
      </c>
      <c r="AE323">
        <v>19</v>
      </c>
      <c r="AF323">
        <v>256</v>
      </c>
      <c r="AG323">
        <v>126</v>
      </c>
      <c r="AH323">
        <v>134</v>
      </c>
      <c r="AI323">
        <v>44</v>
      </c>
      <c r="AJ323">
        <v>36</v>
      </c>
      <c r="AK323">
        <v>35</v>
      </c>
      <c r="AL323">
        <v>25</v>
      </c>
      <c r="AM323">
        <v>4</v>
      </c>
      <c r="AN323">
        <v>98</v>
      </c>
      <c r="AO323">
        <v>51</v>
      </c>
      <c r="AP323">
        <v>37</v>
      </c>
      <c r="AQ323">
        <v>50</v>
      </c>
      <c r="AR323">
        <v>885</v>
      </c>
      <c r="AS323">
        <v>469</v>
      </c>
      <c r="AT323" t="s">
        <v>13</v>
      </c>
      <c r="AU323">
        <v>0.81</v>
      </c>
      <c r="AV323">
        <v>2017</v>
      </c>
      <c r="AW323" s="1">
        <v>45788</v>
      </c>
      <c r="AX323">
        <v>12.6</v>
      </c>
      <c r="AY323" t="s">
        <v>30</v>
      </c>
      <c r="AZ323" t="s">
        <v>17</v>
      </c>
      <c r="BA323" t="s">
        <v>21</v>
      </c>
      <c r="BB323" t="s">
        <v>13</v>
      </c>
      <c r="BC323" t="s">
        <v>13</v>
      </c>
      <c r="BD323">
        <v>3</v>
      </c>
      <c r="BE323" t="s">
        <v>43</v>
      </c>
      <c r="BF323">
        <v>1.23</v>
      </c>
    </row>
    <row r="324" spans="1:58" hidden="1" x14ac:dyDescent="0.2">
      <c r="A324">
        <v>323</v>
      </c>
      <c r="B324" t="s">
        <v>0</v>
      </c>
      <c r="C324">
        <v>48</v>
      </c>
      <c r="D324" t="s">
        <v>28</v>
      </c>
      <c r="E324" t="s">
        <v>33</v>
      </c>
      <c r="F324" t="s">
        <v>15</v>
      </c>
      <c r="G324" t="s">
        <v>117</v>
      </c>
      <c r="H324" t="s">
        <v>119</v>
      </c>
      <c r="I324" t="s">
        <v>112</v>
      </c>
      <c r="J324" t="s">
        <v>6</v>
      </c>
      <c r="K324" t="s">
        <v>7</v>
      </c>
      <c r="L324">
        <v>8.1</v>
      </c>
      <c r="M324">
        <v>5.8</v>
      </c>
      <c r="N324" t="s">
        <v>8</v>
      </c>
      <c r="O324" t="s">
        <v>13</v>
      </c>
      <c r="P324" t="s">
        <v>46</v>
      </c>
      <c r="Q324">
        <v>36</v>
      </c>
      <c r="R324">
        <v>10</v>
      </c>
      <c r="S324">
        <v>28.6</v>
      </c>
      <c r="T324">
        <v>154</v>
      </c>
      <c r="U324">
        <v>67</v>
      </c>
      <c r="V324">
        <v>7931</v>
      </c>
      <c r="W324">
        <v>60.5</v>
      </c>
      <c r="X324">
        <v>1</v>
      </c>
      <c r="Y324">
        <v>4</v>
      </c>
      <c r="Z324">
        <v>9</v>
      </c>
      <c r="AA324">
        <v>4.0999999999999996</v>
      </c>
      <c r="AB324">
        <v>5</v>
      </c>
      <c r="AC324">
        <v>189</v>
      </c>
      <c r="AD324">
        <v>11</v>
      </c>
      <c r="AE324">
        <v>6</v>
      </c>
      <c r="AF324">
        <v>169</v>
      </c>
      <c r="AG324">
        <v>110</v>
      </c>
      <c r="AH324">
        <v>119</v>
      </c>
      <c r="AI324">
        <v>39</v>
      </c>
      <c r="AJ324">
        <v>32</v>
      </c>
      <c r="AK324">
        <v>22</v>
      </c>
      <c r="AL324">
        <v>26</v>
      </c>
      <c r="AM324">
        <v>3</v>
      </c>
      <c r="AN324">
        <v>78</v>
      </c>
      <c r="AO324">
        <v>48</v>
      </c>
      <c r="AP324">
        <v>32</v>
      </c>
      <c r="AQ324">
        <v>64</v>
      </c>
      <c r="AR324">
        <v>866</v>
      </c>
      <c r="AS324">
        <v>777</v>
      </c>
      <c r="AT324" t="s">
        <v>13</v>
      </c>
      <c r="AU324">
        <v>0.59</v>
      </c>
      <c r="AV324">
        <v>2012</v>
      </c>
      <c r="AW324" s="1">
        <v>45757</v>
      </c>
      <c r="AX324">
        <v>17.2</v>
      </c>
      <c r="AY324" t="s">
        <v>19</v>
      </c>
      <c r="AZ324" t="s">
        <v>37</v>
      </c>
      <c r="BA324" t="s">
        <v>12</v>
      </c>
      <c r="BB324" t="s">
        <v>13</v>
      </c>
      <c r="BC324" t="s">
        <v>7</v>
      </c>
      <c r="BD324">
        <v>2</v>
      </c>
      <c r="BE324" t="s">
        <v>14</v>
      </c>
      <c r="BF324">
        <v>1.1299999999999999</v>
      </c>
    </row>
    <row r="325" spans="1:58" hidden="1" x14ac:dyDescent="0.2">
      <c r="A325">
        <v>324</v>
      </c>
      <c r="B325" t="s">
        <v>0</v>
      </c>
      <c r="C325">
        <v>50</v>
      </c>
      <c r="D325" t="s">
        <v>1</v>
      </c>
      <c r="E325" t="s">
        <v>127</v>
      </c>
      <c r="F325" t="s">
        <v>3</v>
      </c>
      <c r="G325" t="s">
        <v>38</v>
      </c>
      <c r="H325" t="s">
        <v>34</v>
      </c>
      <c r="I325" t="s">
        <v>112</v>
      </c>
      <c r="J325" t="s">
        <v>123</v>
      </c>
      <c r="K325" t="s">
        <v>7</v>
      </c>
      <c r="L325">
        <v>4.8</v>
      </c>
      <c r="M325">
        <v>6.9</v>
      </c>
      <c r="N325" t="s">
        <v>8</v>
      </c>
      <c r="O325" t="s">
        <v>13</v>
      </c>
      <c r="P325" t="s">
        <v>46</v>
      </c>
      <c r="Q325">
        <v>5</v>
      </c>
      <c r="R325">
        <v>6</v>
      </c>
      <c r="S325">
        <v>21</v>
      </c>
      <c r="T325">
        <v>113</v>
      </c>
      <c r="U325">
        <v>80</v>
      </c>
      <c r="V325">
        <v>7989</v>
      </c>
      <c r="W325">
        <v>47.9</v>
      </c>
      <c r="X325">
        <v>0</v>
      </c>
      <c r="Y325">
        <v>3</v>
      </c>
      <c r="Z325">
        <v>12</v>
      </c>
      <c r="AA325">
        <v>1.1000000000000001</v>
      </c>
      <c r="AB325">
        <v>3</v>
      </c>
      <c r="AC325">
        <v>69</v>
      </c>
      <c r="AD325">
        <v>3</v>
      </c>
      <c r="AE325">
        <v>3</v>
      </c>
      <c r="AF325">
        <v>97</v>
      </c>
      <c r="AG325">
        <v>53</v>
      </c>
      <c r="AH325">
        <v>54</v>
      </c>
      <c r="AI325">
        <v>17</v>
      </c>
      <c r="AJ325">
        <v>16</v>
      </c>
      <c r="AK325">
        <v>11</v>
      </c>
      <c r="AL325">
        <v>10</v>
      </c>
      <c r="AM325">
        <v>0</v>
      </c>
      <c r="AN325">
        <v>32</v>
      </c>
      <c r="AO325">
        <v>8</v>
      </c>
      <c r="AP325">
        <v>8</v>
      </c>
      <c r="AQ325">
        <v>14</v>
      </c>
      <c r="AR325">
        <v>3520</v>
      </c>
      <c r="AS325">
        <v>7966</v>
      </c>
      <c r="AT325" t="s">
        <v>7</v>
      </c>
      <c r="AU325">
        <v>0.55000000000000004</v>
      </c>
      <c r="AV325">
        <v>2020</v>
      </c>
      <c r="AW325" s="1">
        <v>45907</v>
      </c>
      <c r="AX325">
        <v>23</v>
      </c>
      <c r="AY325" t="s">
        <v>30</v>
      </c>
      <c r="AZ325" t="s">
        <v>48</v>
      </c>
      <c r="BA325" t="s">
        <v>122</v>
      </c>
      <c r="BB325" t="s">
        <v>7</v>
      </c>
      <c r="BC325" t="s">
        <v>7</v>
      </c>
      <c r="BD325">
        <v>5</v>
      </c>
      <c r="BE325" t="s">
        <v>14</v>
      </c>
      <c r="BF325">
        <v>1.39</v>
      </c>
    </row>
    <row r="326" spans="1:58" hidden="1" x14ac:dyDescent="0.2">
      <c r="A326">
        <v>325</v>
      </c>
      <c r="B326" t="s">
        <v>0</v>
      </c>
      <c r="C326">
        <v>52</v>
      </c>
      <c r="D326" t="s">
        <v>28</v>
      </c>
      <c r="E326" t="s">
        <v>2</v>
      </c>
      <c r="F326" t="s">
        <v>3</v>
      </c>
      <c r="G326" t="s">
        <v>117</v>
      </c>
      <c r="H326" t="s">
        <v>24</v>
      </c>
      <c r="I326" t="s">
        <v>115</v>
      </c>
      <c r="J326" t="s">
        <v>6</v>
      </c>
      <c r="K326" t="s">
        <v>13</v>
      </c>
      <c r="L326">
        <v>3.7</v>
      </c>
      <c r="M326">
        <v>6.3</v>
      </c>
      <c r="N326" t="s">
        <v>39</v>
      </c>
      <c r="O326" t="s">
        <v>7</v>
      </c>
      <c r="P326" t="s">
        <v>9</v>
      </c>
      <c r="Q326">
        <v>5</v>
      </c>
      <c r="R326">
        <v>2</v>
      </c>
      <c r="S326">
        <v>28.8</v>
      </c>
      <c r="T326">
        <v>101</v>
      </c>
      <c r="U326">
        <v>96</v>
      </c>
      <c r="V326">
        <v>7956</v>
      </c>
      <c r="W326">
        <v>42.6</v>
      </c>
      <c r="X326">
        <v>1</v>
      </c>
      <c r="Y326">
        <v>4</v>
      </c>
      <c r="Z326">
        <v>9</v>
      </c>
      <c r="AA326">
        <v>2.4</v>
      </c>
      <c r="AB326">
        <v>3</v>
      </c>
      <c r="AC326">
        <v>41</v>
      </c>
      <c r="AD326">
        <v>2</v>
      </c>
      <c r="AE326">
        <v>3</v>
      </c>
      <c r="AF326">
        <v>68</v>
      </c>
      <c r="AG326">
        <v>54</v>
      </c>
      <c r="AH326">
        <v>36</v>
      </c>
      <c r="AI326">
        <v>13</v>
      </c>
      <c r="AJ326">
        <v>16</v>
      </c>
      <c r="AK326">
        <v>11</v>
      </c>
      <c r="AL326">
        <v>9</v>
      </c>
      <c r="AM326">
        <v>4</v>
      </c>
      <c r="AN326">
        <v>24</v>
      </c>
      <c r="AO326">
        <v>6</v>
      </c>
      <c r="AP326">
        <v>8</v>
      </c>
      <c r="AQ326">
        <v>13</v>
      </c>
      <c r="AR326">
        <v>2199</v>
      </c>
      <c r="AS326">
        <v>3641</v>
      </c>
      <c r="AT326" t="s">
        <v>7</v>
      </c>
      <c r="AU326">
        <v>0.11</v>
      </c>
      <c r="AV326">
        <v>2015</v>
      </c>
      <c r="AW326" s="1">
        <v>45689</v>
      </c>
      <c r="AX326">
        <v>20.5</v>
      </c>
      <c r="AY326" t="s">
        <v>36</v>
      </c>
      <c r="AZ326" t="s">
        <v>37</v>
      </c>
      <c r="BA326" t="s">
        <v>122</v>
      </c>
      <c r="BB326" t="s">
        <v>13</v>
      </c>
      <c r="BC326" t="s">
        <v>13</v>
      </c>
      <c r="BD326">
        <v>3</v>
      </c>
      <c r="BE326" t="s">
        <v>14</v>
      </c>
      <c r="BF326">
        <v>1.69</v>
      </c>
    </row>
    <row r="327" spans="1:58" hidden="1" x14ac:dyDescent="0.2">
      <c r="A327">
        <v>326</v>
      </c>
      <c r="B327" t="s">
        <v>0</v>
      </c>
      <c r="C327">
        <v>32</v>
      </c>
      <c r="D327" t="s">
        <v>28</v>
      </c>
      <c r="E327" t="s">
        <v>2</v>
      </c>
      <c r="F327" t="s">
        <v>15</v>
      </c>
      <c r="G327" t="s">
        <v>117</v>
      </c>
      <c r="H327" t="s">
        <v>24</v>
      </c>
      <c r="I327" t="s">
        <v>112</v>
      </c>
      <c r="J327" t="s">
        <v>123</v>
      </c>
      <c r="K327" t="s">
        <v>7</v>
      </c>
      <c r="L327">
        <v>15.2</v>
      </c>
      <c r="M327">
        <v>4.7</v>
      </c>
      <c r="N327" t="s">
        <v>8</v>
      </c>
      <c r="O327" t="s">
        <v>41</v>
      </c>
      <c r="P327" t="s">
        <v>26</v>
      </c>
      <c r="Q327">
        <v>23</v>
      </c>
      <c r="R327">
        <v>1</v>
      </c>
      <c r="S327">
        <v>22</v>
      </c>
      <c r="T327">
        <v>107</v>
      </c>
      <c r="U327">
        <v>81</v>
      </c>
      <c r="V327">
        <v>7999</v>
      </c>
      <c r="W327">
        <v>38.799999999999997</v>
      </c>
      <c r="X327">
        <v>2</v>
      </c>
      <c r="Y327">
        <v>3</v>
      </c>
      <c r="Z327">
        <v>12</v>
      </c>
      <c r="AA327">
        <v>0.6</v>
      </c>
      <c r="AB327">
        <v>6</v>
      </c>
      <c r="AC327">
        <v>188</v>
      </c>
      <c r="AD327">
        <v>6</v>
      </c>
      <c r="AE327">
        <v>1</v>
      </c>
      <c r="AF327">
        <v>160</v>
      </c>
      <c r="AG327">
        <v>120</v>
      </c>
      <c r="AH327">
        <v>96</v>
      </c>
      <c r="AI327">
        <v>26</v>
      </c>
      <c r="AJ327">
        <v>33</v>
      </c>
      <c r="AK327">
        <v>21</v>
      </c>
      <c r="AL327">
        <v>15</v>
      </c>
      <c r="AM327">
        <v>4</v>
      </c>
      <c r="AN327">
        <v>81</v>
      </c>
      <c r="AO327">
        <v>22</v>
      </c>
      <c r="AP327">
        <v>43</v>
      </c>
      <c r="AQ327">
        <v>74</v>
      </c>
      <c r="AR327">
        <v>102</v>
      </c>
      <c r="AS327">
        <v>177</v>
      </c>
      <c r="AT327" t="s">
        <v>13</v>
      </c>
      <c r="AU327">
        <v>0.45</v>
      </c>
      <c r="AV327">
        <v>2015</v>
      </c>
      <c r="AW327" s="1">
        <v>45986</v>
      </c>
      <c r="AX327">
        <v>31.3</v>
      </c>
      <c r="AY327" t="s">
        <v>27</v>
      </c>
      <c r="AZ327" t="s">
        <v>51</v>
      </c>
      <c r="BA327" t="s">
        <v>12</v>
      </c>
      <c r="BB327" t="s">
        <v>13</v>
      </c>
      <c r="BC327" t="s">
        <v>13</v>
      </c>
      <c r="BD327">
        <v>5</v>
      </c>
      <c r="BE327" t="s">
        <v>14</v>
      </c>
      <c r="BF327">
        <v>0.8</v>
      </c>
    </row>
    <row r="328" spans="1:58" hidden="1" x14ac:dyDescent="0.2">
      <c r="A328">
        <v>327</v>
      </c>
      <c r="B328" t="s">
        <v>0</v>
      </c>
      <c r="C328">
        <v>47</v>
      </c>
      <c r="D328" t="s">
        <v>28</v>
      </c>
      <c r="E328" t="s">
        <v>17</v>
      </c>
      <c r="F328" t="s">
        <v>15</v>
      </c>
      <c r="G328" t="s">
        <v>16</v>
      </c>
      <c r="H328" t="s">
        <v>119</v>
      </c>
      <c r="I328" t="s">
        <v>113</v>
      </c>
      <c r="J328" t="s">
        <v>32</v>
      </c>
      <c r="K328" t="s">
        <v>7</v>
      </c>
      <c r="L328">
        <v>9.1</v>
      </c>
      <c r="M328">
        <v>6.3</v>
      </c>
      <c r="N328" t="s">
        <v>39</v>
      </c>
      <c r="O328" t="s">
        <v>7</v>
      </c>
      <c r="P328" t="s">
        <v>9</v>
      </c>
      <c r="Q328">
        <v>21</v>
      </c>
      <c r="R328">
        <v>1</v>
      </c>
      <c r="S328">
        <v>21.6</v>
      </c>
      <c r="T328">
        <v>113</v>
      </c>
      <c r="U328">
        <v>92</v>
      </c>
      <c r="V328">
        <v>7950</v>
      </c>
      <c r="W328">
        <v>42.7</v>
      </c>
      <c r="X328">
        <v>7</v>
      </c>
      <c r="Y328">
        <v>0</v>
      </c>
      <c r="Z328">
        <v>12</v>
      </c>
      <c r="AA328">
        <v>4.9000000000000004</v>
      </c>
      <c r="AB328">
        <v>1</v>
      </c>
      <c r="AC328">
        <v>222</v>
      </c>
      <c r="AD328">
        <v>16</v>
      </c>
      <c r="AE328">
        <v>13</v>
      </c>
      <c r="AF328">
        <v>206</v>
      </c>
      <c r="AG328">
        <v>112</v>
      </c>
      <c r="AH328">
        <v>132</v>
      </c>
      <c r="AI328">
        <v>36</v>
      </c>
      <c r="AJ328">
        <v>32</v>
      </c>
      <c r="AK328">
        <v>24</v>
      </c>
      <c r="AL328">
        <v>25</v>
      </c>
      <c r="AM328">
        <v>8</v>
      </c>
      <c r="AN328">
        <v>106</v>
      </c>
      <c r="AO328">
        <v>32</v>
      </c>
      <c r="AP328">
        <v>52</v>
      </c>
      <c r="AQ328">
        <v>51</v>
      </c>
      <c r="AR328">
        <v>2579</v>
      </c>
      <c r="AS328">
        <v>4572</v>
      </c>
      <c r="AT328" t="s">
        <v>7</v>
      </c>
      <c r="AU328">
        <v>0.73</v>
      </c>
      <c r="AV328">
        <v>2012</v>
      </c>
      <c r="AW328" s="1">
        <v>45680</v>
      </c>
      <c r="AX328">
        <v>13.9</v>
      </c>
      <c r="AY328" t="s">
        <v>27</v>
      </c>
      <c r="AZ328" t="s">
        <v>35</v>
      </c>
      <c r="BA328" t="s">
        <v>122</v>
      </c>
      <c r="BB328" t="s">
        <v>13</v>
      </c>
      <c r="BC328" t="s">
        <v>7</v>
      </c>
      <c r="BD328">
        <v>4</v>
      </c>
      <c r="BE328" t="s">
        <v>14</v>
      </c>
      <c r="BF328">
        <v>1.0900000000000001</v>
      </c>
    </row>
    <row r="329" spans="1:58" hidden="1" x14ac:dyDescent="0.2">
      <c r="A329">
        <v>328</v>
      </c>
      <c r="B329" t="s">
        <v>0</v>
      </c>
      <c r="C329">
        <v>60</v>
      </c>
      <c r="D329" t="s">
        <v>28</v>
      </c>
      <c r="E329" t="s">
        <v>22</v>
      </c>
      <c r="F329" t="s">
        <v>3</v>
      </c>
      <c r="G329" t="s">
        <v>117</v>
      </c>
      <c r="H329" t="s">
        <v>23</v>
      </c>
      <c r="I329" t="s">
        <v>113</v>
      </c>
      <c r="J329" t="s">
        <v>6</v>
      </c>
      <c r="K329" t="s">
        <v>7</v>
      </c>
      <c r="L329">
        <v>7</v>
      </c>
      <c r="M329">
        <v>5.5</v>
      </c>
      <c r="N329" t="s">
        <v>39</v>
      </c>
      <c r="O329" t="s">
        <v>7</v>
      </c>
      <c r="P329" t="s">
        <v>46</v>
      </c>
      <c r="Q329">
        <v>14</v>
      </c>
      <c r="R329">
        <v>1</v>
      </c>
      <c r="S329">
        <v>29.3</v>
      </c>
      <c r="T329">
        <v>128</v>
      </c>
      <c r="U329">
        <v>75</v>
      </c>
      <c r="V329">
        <v>7876</v>
      </c>
      <c r="W329">
        <v>30.7</v>
      </c>
      <c r="X329">
        <v>5</v>
      </c>
      <c r="Y329">
        <v>7</v>
      </c>
      <c r="Z329">
        <v>12</v>
      </c>
      <c r="AA329">
        <v>3.5</v>
      </c>
      <c r="AB329">
        <v>2</v>
      </c>
      <c r="AC329">
        <v>172</v>
      </c>
      <c r="AD329">
        <v>13</v>
      </c>
      <c r="AE329">
        <v>3</v>
      </c>
      <c r="AF329">
        <v>139</v>
      </c>
      <c r="AG329">
        <v>102</v>
      </c>
      <c r="AH329">
        <v>112</v>
      </c>
      <c r="AI329">
        <v>33</v>
      </c>
      <c r="AJ329">
        <v>32</v>
      </c>
      <c r="AK329">
        <v>38</v>
      </c>
      <c r="AL329">
        <v>25</v>
      </c>
      <c r="AM329">
        <v>4</v>
      </c>
      <c r="AN329">
        <v>81</v>
      </c>
      <c r="AO329">
        <v>30</v>
      </c>
      <c r="AP329">
        <v>40</v>
      </c>
      <c r="AQ329">
        <v>41</v>
      </c>
      <c r="AR329">
        <v>2458</v>
      </c>
      <c r="AS329">
        <v>1831</v>
      </c>
      <c r="AT329" t="s">
        <v>7</v>
      </c>
      <c r="AU329">
        <v>0.01</v>
      </c>
      <c r="AV329">
        <v>2024</v>
      </c>
      <c r="AW329" s="1">
        <v>45844</v>
      </c>
      <c r="AX329">
        <v>13.2</v>
      </c>
      <c r="AY329" t="s">
        <v>19</v>
      </c>
      <c r="AZ329" t="s">
        <v>20</v>
      </c>
      <c r="BA329" t="s">
        <v>12</v>
      </c>
      <c r="BB329" t="s">
        <v>7</v>
      </c>
      <c r="BC329" t="s">
        <v>13</v>
      </c>
      <c r="BD329">
        <v>3</v>
      </c>
      <c r="BE329" t="s">
        <v>14</v>
      </c>
      <c r="BF329">
        <v>1.08</v>
      </c>
    </row>
    <row r="330" spans="1:58" hidden="1" x14ac:dyDescent="0.2">
      <c r="A330">
        <v>329</v>
      </c>
      <c r="B330" t="s">
        <v>0</v>
      </c>
      <c r="C330">
        <v>37</v>
      </c>
      <c r="D330" t="s">
        <v>1</v>
      </c>
      <c r="E330" t="s">
        <v>33</v>
      </c>
      <c r="F330" t="s">
        <v>40</v>
      </c>
      <c r="G330" t="s">
        <v>16</v>
      </c>
      <c r="H330" t="s">
        <v>23</v>
      </c>
      <c r="I330" t="s">
        <v>115</v>
      </c>
      <c r="J330" t="s">
        <v>32</v>
      </c>
      <c r="K330" t="s">
        <v>7</v>
      </c>
      <c r="L330">
        <v>5.0999999999999996</v>
      </c>
      <c r="M330">
        <v>5.9</v>
      </c>
      <c r="N330" t="s">
        <v>39</v>
      </c>
      <c r="O330" t="s">
        <v>13</v>
      </c>
      <c r="P330" t="s">
        <v>121</v>
      </c>
      <c r="Q330">
        <v>38</v>
      </c>
      <c r="R330">
        <v>4</v>
      </c>
      <c r="S330">
        <v>22.7</v>
      </c>
      <c r="T330">
        <v>129</v>
      </c>
      <c r="U330">
        <v>84</v>
      </c>
      <c r="V330">
        <v>7862</v>
      </c>
      <c r="W330">
        <v>29.9</v>
      </c>
      <c r="X330">
        <v>3</v>
      </c>
      <c r="Y330">
        <v>5</v>
      </c>
      <c r="Z330">
        <v>11</v>
      </c>
      <c r="AA330">
        <v>7.5</v>
      </c>
      <c r="AB330">
        <v>4</v>
      </c>
      <c r="AC330">
        <v>351</v>
      </c>
      <c r="AD330">
        <v>14</v>
      </c>
      <c r="AE330">
        <v>4</v>
      </c>
      <c r="AF330">
        <v>237</v>
      </c>
      <c r="AG330">
        <v>150</v>
      </c>
      <c r="AH330">
        <v>197</v>
      </c>
      <c r="AI330">
        <v>53</v>
      </c>
      <c r="AJ330">
        <v>38</v>
      </c>
      <c r="AK330">
        <v>61</v>
      </c>
      <c r="AL330">
        <v>30</v>
      </c>
      <c r="AM330">
        <v>8</v>
      </c>
      <c r="AN330">
        <v>205</v>
      </c>
      <c r="AO330">
        <v>44</v>
      </c>
      <c r="AP330">
        <v>70</v>
      </c>
      <c r="AQ330">
        <v>91</v>
      </c>
      <c r="AR330">
        <v>197</v>
      </c>
      <c r="AS330">
        <v>370</v>
      </c>
      <c r="AT330" t="s">
        <v>7</v>
      </c>
      <c r="AU330">
        <v>0.93</v>
      </c>
      <c r="AV330">
        <v>2017</v>
      </c>
      <c r="AW330" s="1">
        <v>45750</v>
      </c>
      <c r="AX330">
        <v>25.1</v>
      </c>
      <c r="AY330" t="s">
        <v>36</v>
      </c>
      <c r="AZ330" t="s">
        <v>37</v>
      </c>
      <c r="BA330" t="s">
        <v>12</v>
      </c>
      <c r="BB330" t="s">
        <v>13</v>
      </c>
      <c r="BC330" t="s">
        <v>7</v>
      </c>
      <c r="BD330">
        <v>1</v>
      </c>
      <c r="BE330" t="s">
        <v>43</v>
      </c>
      <c r="BF330">
        <v>0.89</v>
      </c>
    </row>
    <row r="331" spans="1:58" hidden="1" x14ac:dyDescent="0.2">
      <c r="A331">
        <v>330</v>
      </c>
      <c r="B331" t="s">
        <v>0</v>
      </c>
      <c r="C331">
        <v>47</v>
      </c>
      <c r="D331" t="s">
        <v>1</v>
      </c>
      <c r="E331" t="s">
        <v>2</v>
      </c>
      <c r="F331" t="s">
        <v>40</v>
      </c>
      <c r="G331" t="s">
        <v>117</v>
      </c>
      <c r="H331" t="s">
        <v>23</v>
      </c>
      <c r="I331" t="s">
        <v>112</v>
      </c>
      <c r="J331" t="s">
        <v>6</v>
      </c>
      <c r="K331" t="s">
        <v>7</v>
      </c>
      <c r="L331">
        <v>2.8</v>
      </c>
      <c r="M331">
        <v>7.1</v>
      </c>
      <c r="N331" t="s">
        <v>25</v>
      </c>
      <c r="O331" t="s">
        <v>7</v>
      </c>
      <c r="P331" t="s">
        <v>9</v>
      </c>
      <c r="Q331">
        <v>13</v>
      </c>
      <c r="R331">
        <v>5</v>
      </c>
      <c r="S331">
        <v>28.7</v>
      </c>
      <c r="T331">
        <v>114</v>
      </c>
      <c r="U331">
        <v>88</v>
      </c>
      <c r="V331">
        <v>8254</v>
      </c>
      <c r="W331">
        <v>27.9</v>
      </c>
      <c r="X331">
        <v>2</v>
      </c>
      <c r="Y331">
        <v>7</v>
      </c>
      <c r="Z331">
        <v>12</v>
      </c>
      <c r="AA331">
        <v>4.7</v>
      </c>
      <c r="AB331">
        <v>3</v>
      </c>
      <c r="AC331">
        <v>105</v>
      </c>
      <c r="AD331">
        <v>12</v>
      </c>
      <c r="AE331">
        <v>4</v>
      </c>
      <c r="AF331">
        <v>118</v>
      </c>
      <c r="AG331">
        <v>90</v>
      </c>
      <c r="AH331">
        <v>63</v>
      </c>
      <c r="AI331">
        <v>18</v>
      </c>
      <c r="AJ331">
        <v>29</v>
      </c>
      <c r="AK331">
        <v>21</v>
      </c>
      <c r="AL331">
        <v>19</v>
      </c>
      <c r="AM331">
        <v>3</v>
      </c>
      <c r="AN331">
        <v>59</v>
      </c>
      <c r="AO331">
        <v>18</v>
      </c>
      <c r="AP331">
        <v>15</v>
      </c>
      <c r="AQ331">
        <v>41</v>
      </c>
      <c r="AR331">
        <v>2750</v>
      </c>
      <c r="AS331">
        <v>5829</v>
      </c>
      <c r="AT331" t="s">
        <v>13</v>
      </c>
      <c r="AU331">
        <v>0.11</v>
      </c>
      <c r="AV331">
        <v>2024</v>
      </c>
      <c r="AW331" s="1">
        <v>45917</v>
      </c>
      <c r="AX331">
        <v>8.8000000000000007</v>
      </c>
      <c r="AY331" t="s">
        <v>19</v>
      </c>
      <c r="AZ331" t="s">
        <v>11</v>
      </c>
      <c r="BA331" t="s">
        <v>122</v>
      </c>
      <c r="BB331" t="s">
        <v>13</v>
      </c>
      <c r="BC331" t="s">
        <v>13</v>
      </c>
      <c r="BD331">
        <v>0</v>
      </c>
      <c r="BE331" t="s">
        <v>14</v>
      </c>
      <c r="BF331">
        <v>1.05</v>
      </c>
    </row>
    <row r="332" spans="1:58" hidden="1" x14ac:dyDescent="0.2">
      <c r="A332">
        <v>331</v>
      </c>
      <c r="B332" t="s">
        <v>0</v>
      </c>
      <c r="C332">
        <v>37</v>
      </c>
      <c r="D332" t="s">
        <v>1</v>
      </c>
      <c r="E332" t="s">
        <v>47</v>
      </c>
      <c r="F332" t="s">
        <v>15</v>
      </c>
      <c r="G332" t="s">
        <v>117</v>
      </c>
      <c r="H332" t="s">
        <v>118</v>
      </c>
      <c r="I332" t="s">
        <v>115</v>
      </c>
      <c r="J332" t="s">
        <v>123</v>
      </c>
      <c r="K332" t="s">
        <v>7</v>
      </c>
      <c r="L332">
        <v>10.4</v>
      </c>
      <c r="M332">
        <v>7</v>
      </c>
      <c r="N332" t="s">
        <v>8</v>
      </c>
      <c r="O332" t="s">
        <v>7</v>
      </c>
      <c r="P332" t="s">
        <v>26</v>
      </c>
      <c r="Q332">
        <v>29</v>
      </c>
      <c r="R332">
        <v>2</v>
      </c>
      <c r="S332">
        <v>23.6</v>
      </c>
      <c r="T332">
        <v>153</v>
      </c>
      <c r="U332">
        <v>81</v>
      </c>
      <c r="V332">
        <v>8054</v>
      </c>
      <c r="W332">
        <v>23.9</v>
      </c>
      <c r="X332">
        <v>3</v>
      </c>
      <c r="Y332">
        <v>4</v>
      </c>
      <c r="Z332">
        <v>8</v>
      </c>
      <c r="AA332">
        <v>7.5</v>
      </c>
      <c r="AB332">
        <v>3</v>
      </c>
      <c r="AC332">
        <v>259</v>
      </c>
      <c r="AD332">
        <v>24</v>
      </c>
      <c r="AE332">
        <v>8</v>
      </c>
      <c r="AF332">
        <v>216</v>
      </c>
      <c r="AG332">
        <v>131</v>
      </c>
      <c r="AH332">
        <v>165</v>
      </c>
      <c r="AI332">
        <v>44</v>
      </c>
      <c r="AJ332">
        <v>33</v>
      </c>
      <c r="AK332">
        <v>30</v>
      </c>
      <c r="AL332">
        <v>24</v>
      </c>
      <c r="AM332">
        <v>9</v>
      </c>
      <c r="AN332">
        <v>127</v>
      </c>
      <c r="AO332">
        <v>39</v>
      </c>
      <c r="AP332">
        <v>41</v>
      </c>
      <c r="AQ332">
        <v>84</v>
      </c>
      <c r="AR332">
        <v>937</v>
      </c>
      <c r="AS332">
        <v>892</v>
      </c>
      <c r="AT332" t="s">
        <v>13</v>
      </c>
      <c r="AU332">
        <v>0.03</v>
      </c>
      <c r="AV332">
        <v>2015</v>
      </c>
      <c r="AW332" s="1">
        <v>45678</v>
      </c>
      <c r="AX332">
        <v>10.8</v>
      </c>
      <c r="AY332" t="s">
        <v>27</v>
      </c>
      <c r="AZ332" t="s">
        <v>48</v>
      </c>
      <c r="BA332" t="s">
        <v>12</v>
      </c>
      <c r="BB332" t="s">
        <v>7</v>
      </c>
      <c r="BC332" t="s">
        <v>13</v>
      </c>
      <c r="BD332">
        <v>0</v>
      </c>
      <c r="BE332" t="s">
        <v>43</v>
      </c>
      <c r="BF332">
        <v>1.07</v>
      </c>
    </row>
    <row r="333" spans="1:58" hidden="1" x14ac:dyDescent="0.2">
      <c r="A333">
        <v>332</v>
      </c>
      <c r="B333" t="s">
        <v>0</v>
      </c>
      <c r="C333">
        <v>41</v>
      </c>
      <c r="D333" t="s">
        <v>124</v>
      </c>
      <c r="E333" t="s">
        <v>126</v>
      </c>
      <c r="F333" t="s">
        <v>40</v>
      </c>
      <c r="G333" t="s">
        <v>4</v>
      </c>
      <c r="H333" t="s">
        <v>34</v>
      </c>
      <c r="I333" t="s">
        <v>112</v>
      </c>
      <c r="J333" t="s">
        <v>6</v>
      </c>
      <c r="K333" t="s">
        <v>13</v>
      </c>
      <c r="L333">
        <v>5.2</v>
      </c>
      <c r="M333">
        <v>6.9</v>
      </c>
      <c r="N333" t="s">
        <v>25</v>
      </c>
      <c r="O333" t="s">
        <v>7</v>
      </c>
      <c r="P333" t="s">
        <v>26</v>
      </c>
      <c r="Q333">
        <v>2</v>
      </c>
      <c r="R333">
        <v>8</v>
      </c>
      <c r="S333">
        <v>17.3</v>
      </c>
      <c r="T333">
        <v>152</v>
      </c>
      <c r="U333">
        <v>64</v>
      </c>
      <c r="V333">
        <v>8069</v>
      </c>
      <c r="W333">
        <v>51.8</v>
      </c>
      <c r="X333">
        <v>3</v>
      </c>
      <c r="Y333">
        <v>8</v>
      </c>
      <c r="Z333">
        <v>9</v>
      </c>
      <c r="AA333">
        <v>6.7</v>
      </c>
      <c r="AB333">
        <v>4</v>
      </c>
      <c r="AC333">
        <v>5</v>
      </c>
      <c r="AD333">
        <v>1</v>
      </c>
      <c r="AE333">
        <v>2</v>
      </c>
      <c r="AF333">
        <v>63</v>
      </c>
      <c r="AG333">
        <v>40</v>
      </c>
      <c r="AH333">
        <v>30</v>
      </c>
      <c r="AI333">
        <v>7</v>
      </c>
      <c r="AJ333">
        <v>14</v>
      </c>
      <c r="AK333">
        <v>9</v>
      </c>
      <c r="AL333">
        <v>6</v>
      </c>
      <c r="AM333">
        <v>0</v>
      </c>
      <c r="AN333">
        <v>2</v>
      </c>
      <c r="AO333">
        <v>1</v>
      </c>
      <c r="AP333">
        <v>1</v>
      </c>
      <c r="AQ333">
        <v>2</v>
      </c>
      <c r="AR333">
        <v>430</v>
      </c>
      <c r="AS333">
        <v>343</v>
      </c>
      <c r="AT333" t="s">
        <v>7</v>
      </c>
      <c r="AU333">
        <v>0.87</v>
      </c>
      <c r="AV333">
        <v>2016</v>
      </c>
      <c r="AW333" s="1">
        <v>45996</v>
      </c>
      <c r="AX333">
        <v>5</v>
      </c>
      <c r="AY333" t="s">
        <v>45</v>
      </c>
      <c r="AZ333" t="s">
        <v>37</v>
      </c>
      <c r="BA333" t="s">
        <v>122</v>
      </c>
      <c r="BB333" t="s">
        <v>13</v>
      </c>
      <c r="BC333" t="s">
        <v>13</v>
      </c>
      <c r="BD333">
        <v>5</v>
      </c>
      <c r="BE333" t="s">
        <v>14</v>
      </c>
      <c r="BF333">
        <v>8.33</v>
      </c>
    </row>
    <row r="334" spans="1:58" hidden="1" x14ac:dyDescent="0.2">
      <c r="A334">
        <v>333</v>
      </c>
      <c r="B334" t="s">
        <v>0</v>
      </c>
      <c r="C334">
        <v>30</v>
      </c>
      <c r="D334" t="s">
        <v>1</v>
      </c>
      <c r="E334" t="s">
        <v>2</v>
      </c>
      <c r="F334" t="s">
        <v>15</v>
      </c>
      <c r="G334" t="s">
        <v>16</v>
      </c>
      <c r="H334" t="s">
        <v>118</v>
      </c>
      <c r="I334" t="s">
        <v>113</v>
      </c>
      <c r="J334" t="s">
        <v>6</v>
      </c>
      <c r="K334" t="s">
        <v>7</v>
      </c>
      <c r="L334">
        <v>3</v>
      </c>
      <c r="M334">
        <v>5.3</v>
      </c>
      <c r="N334" t="s">
        <v>25</v>
      </c>
      <c r="O334" t="s">
        <v>7</v>
      </c>
      <c r="P334" t="s">
        <v>26</v>
      </c>
      <c r="Q334">
        <v>22</v>
      </c>
      <c r="R334">
        <v>1</v>
      </c>
      <c r="S334">
        <v>29.6</v>
      </c>
      <c r="T334">
        <v>132</v>
      </c>
      <c r="U334">
        <v>80</v>
      </c>
      <c r="V334">
        <v>8045</v>
      </c>
      <c r="W334">
        <v>31.9</v>
      </c>
      <c r="X334">
        <v>6</v>
      </c>
      <c r="Y334">
        <v>4</v>
      </c>
      <c r="Z334">
        <v>9</v>
      </c>
      <c r="AA334">
        <v>1.4</v>
      </c>
      <c r="AB334">
        <v>2</v>
      </c>
      <c r="AC334">
        <v>171</v>
      </c>
      <c r="AD334">
        <v>5</v>
      </c>
      <c r="AE334">
        <v>1</v>
      </c>
      <c r="AF334">
        <v>134</v>
      </c>
      <c r="AG334">
        <v>92</v>
      </c>
      <c r="AH334">
        <v>116</v>
      </c>
      <c r="AI334">
        <v>35</v>
      </c>
      <c r="AJ334">
        <v>29</v>
      </c>
      <c r="AK334">
        <v>41</v>
      </c>
      <c r="AL334">
        <v>17</v>
      </c>
      <c r="AM334">
        <v>4</v>
      </c>
      <c r="AN334">
        <v>89</v>
      </c>
      <c r="AO334">
        <v>20</v>
      </c>
      <c r="AP334">
        <v>39</v>
      </c>
      <c r="AQ334">
        <v>54</v>
      </c>
      <c r="AR334">
        <v>458</v>
      </c>
      <c r="AS334">
        <v>187</v>
      </c>
      <c r="AT334" t="s">
        <v>7</v>
      </c>
      <c r="AU334">
        <v>0.19</v>
      </c>
      <c r="AV334">
        <v>2024</v>
      </c>
      <c r="AW334" s="1">
        <v>45676</v>
      </c>
      <c r="AX334">
        <v>34.200000000000003</v>
      </c>
      <c r="AY334" t="s">
        <v>19</v>
      </c>
      <c r="AZ334" t="s">
        <v>20</v>
      </c>
      <c r="BA334" t="s">
        <v>12</v>
      </c>
      <c r="BB334" t="s">
        <v>13</v>
      </c>
      <c r="BC334" t="s">
        <v>13</v>
      </c>
      <c r="BD334">
        <v>3</v>
      </c>
      <c r="BE334" t="s">
        <v>14</v>
      </c>
      <c r="BF334">
        <v>1.1000000000000001</v>
      </c>
    </row>
    <row r="335" spans="1:58" hidden="1" x14ac:dyDescent="0.2">
      <c r="A335">
        <v>334</v>
      </c>
      <c r="B335" t="s">
        <v>0</v>
      </c>
      <c r="C335">
        <v>58</v>
      </c>
      <c r="D335" t="s">
        <v>1</v>
      </c>
      <c r="E335" t="s">
        <v>128</v>
      </c>
      <c r="F335" t="s">
        <v>40</v>
      </c>
      <c r="G335" t="s">
        <v>117</v>
      </c>
      <c r="H335" t="s">
        <v>23</v>
      </c>
      <c r="I335" t="s">
        <v>114</v>
      </c>
      <c r="J335" t="s">
        <v>6</v>
      </c>
      <c r="K335" t="s">
        <v>7</v>
      </c>
      <c r="L335">
        <v>14.9</v>
      </c>
      <c r="M335">
        <v>6.8</v>
      </c>
      <c r="N335" t="s">
        <v>29</v>
      </c>
      <c r="O335" t="s">
        <v>7</v>
      </c>
      <c r="P335" t="s">
        <v>46</v>
      </c>
      <c r="Q335">
        <v>14</v>
      </c>
      <c r="R335">
        <v>2</v>
      </c>
      <c r="S335">
        <v>23.3</v>
      </c>
      <c r="T335">
        <v>105</v>
      </c>
      <c r="U335">
        <v>84</v>
      </c>
      <c r="V335">
        <v>7979</v>
      </c>
      <c r="W335">
        <v>52.9</v>
      </c>
      <c r="X335">
        <v>3</v>
      </c>
      <c r="Y335">
        <v>3</v>
      </c>
      <c r="Z335">
        <v>4</v>
      </c>
      <c r="AA335">
        <v>3</v>
      </c>
      <c r="AB335">
        <v>2</v>
      </c>
      <c r="AC335">
        <v>91</v>
      </c>
      <c r="AD335">
        <v>4</v>
      </c>
      <c r="AE335">
        <v>3</v>
      </c>
      <c r="AF335">
        <v>108</v>
      </c>
      <c r="AG335">
        <v>51</v>
      </c>
      <c r="AH335">
        <v>70</v>
      </c>
      <c r="AI335">
        <v>23</v>
      </c>
      <c r="AJ335">
        <v>20</v>
      </c>
      <c r="AK335">
        <v>18</v>
      </c>
      <c r="AL335">
        <v>7</v>
      </c>
      <c r="AM335">
        <v>3</v>
      </c>
      <c r="AN335">
        <v>54</v>
      </c>
      <c r="AO335">
        <v>18</v>
      </c>
      <c r="AP335">
        <v>17</v>
      </c>
      <c r="AQ335">
        <v>35</v>
      </c>
      <c r="AR335">
        <v>1268</v>
      </c>
      <c r="AS335">
        <v>2426</v>
      </c>
      <c r="AT335" t="s">
        <v>7</v>
      </c>
      <c r="AU335">
        <v>0.93</v>
      </c>
      <c r="AV335">
        <v>2022</v>
      </c>
      <c r="AW335" s="1">
        <v>45805</v>
      </c>
      <c r="AX335">
        <v>22.8</v>
      </c>
      <c r="AY335" t="s">
        <v>19</v>
      </c>
      <c r="AZ335" t="s">
        <v>11</v>
      </c>
      <c r="BA335" t="s">
        <v>122</v>
      </c>
      <c r="BB335" t="s">
        <v>13</v>
      </c>
      <c r="BC335" t="s">
        <v>13</v>
      </c>
      <c r="BD335">
        <v>4</v>
      </c>
      <c r="BE335" t="s">
        <v>14</v>
      </c>
      <c r="BF335">
        <v>1.36</v>
      </c>
    </row>
    <row r="336" spans="1:58" hidden="1" x14ac:dyDescent="0.2">
      <c r="A336">
        <v>335</v>
      </c>
      <c r="B336" t="s">
        <v>0</v>
      </c>
      <c r="C336">
        <v>30</v>
      </c>
      <c r="D336" t="s">
        <v>1</v>
      </c>
      <c r="E336" t="s">
        <v>128</v>
      </c>
      <c r="F336" t="s">
        <v>15</v>
      </c>
      <c r="G336" t="s">
        <v>16</v>
      </c>
      <c r="H336" t="s">
        <v>118</v>
      </c>
      <c r="I336" t="s">
        <v>114</v>
      </c>
      <c r="J336" t="s">
        <v>6</v>
      </c>
      <c r="K336" t="s">
        <v>7</v>
      </c>
      <c r="L336">
        <v>6.5</v>
      </c>
      <c r="M336">
        <v>5</v>
      </c>
      <c r="N336" t="s">
        <v>8</v>
      </c>
      <c r="O336" t="s">
        <v>7</v>
      </c>
      <c r="P336" t="s">
        <v>9</v>
      </c>
      <c r="Q336">
        <v>12</v>
      </c>
      <c r="R336">
        <v>7</v>
      </c>
      <c r="S336">
        <v>26.8</v>
      </c>
      <c r="T336">
        <v>91</v>
      </c>
      <c r="U336">
        <v>71</v>
      </c>
      <c r="V336">
        <v>8017</v>
      </c>
      <c r="W336">
        <v>39.200000000000003</v>
      </c>
      <c r="X336">
        <v>4</v>
      </c>
      <c r="Y336">
        <v>3</v>
      </c>
      <c r="Z336">
        <v>17</v>
      </c>
      <c r="AA336">
        <v>3.8</v>
      </c>
      <c r="AB336">
        <v>2</v>
      </c>
      <c r="AC336">
        <v>197</v>
      </c>
      <c r="AD336">
        <v>7</v>
      </c>
      <c r="AE336">
        <v>3</v>
      </c>
      <c r="AF336">
        <v>145</v>
      </c>
      <c r="AG336">
        <v>111</v>
      </c>
      <c r="AH336">
        <v>118</v>
      </c>
      <c r="AI336">
        <v>38</v>
      </c>
      <c r="AJ336">
        <v>32</v>
      </c>
      <c r="AK336">
        <v>33</v>
      </c>
      <c r="AL336">
        <v>23</v>
      </c>
      <c r="AM336">
        <v>6</v>
      </c>
      <c r="AN336">
        <v>89</v>
      </c>
      <c r="AO336">
        <v>46</v>
      </c>
      <c r="AP336">
        <v>39</v>
      </c>
      <c r="AQ336">
        <v>43</v>
      </c>
      <c r="AR336">
        <v>1920</v>
      </c>
      <c r="AS336">
        <v>4628</v>
      </c>
      <c r="AT336" t="s">
        <v>7</v>
      </c>
      <c r="AU336">
        <v>0.04</v>
      </c>
      <c r="AV336">
        <v>2014</v>
      </c>
      <c r="AW336" s="1">
        <v>45882</v>
      </c>
      <c r="AX336">
        <v>28.1</v>
      </c>
      <c r="AY336" t="s">
        <v>45</v>
      </c>
      <c r="AZ336" t="s">
        <v>31</v>
      </c>
      <c r="BA336" t="s">
        <v>12</v>
      </c>
      <c r="BB336" t="s">
        <v>7</v>
      </c>
      <c r="BC336" t="s">
        <v>7</v>
      </c>
      <c r="BD336">
        <v>3</v>
      </c>
      <c r="BE336" t="s">
        <v>14</v>
      </c>
      <c r="BF336">
        <v>1.03</v>
      </c>
    </row>
    <row r="337" spans="1:58" hidden="1" x14ac:dyDescent="0.2">
      <c r="A337">
        <v>336</v>
      </c>
      <c r="B337" t="s">
        <v>0</v>
      </c>
      <c r="C337">
        <v>14</v>
      </c>
      <c r="D337" t="s">
        <v>1</v>
      </c>
      <c r="E337" t="s">
        <v>47</v>
      </c>
      <c r="F337" t="s">
        <v>3</v>
      </c>
      <c r="G337" t="s">
        <v>38</v>
      </c>
      <c r="H337" t="s">
        <v>118</v>
      </c>
      <c r="I337" t="s">
        <v>53</v>
      </c>
      <c r="J337" t="s">
        <v>6</v>
      </c>
      <c r="K337" t="s">
        <v>7</v>
      </c>
      <c r="L337">
        <v>12.2</v>
      </c>
      <c r="M337">
        <v>8.4</v>
      </c>
      <c r="N337" t="s">
        <v>29</v>
      </c>
      <c r="O337" t="s">
        <v>7</v>
      </c>
      <c r="P337" t="s">
        <v>9</v>
      </c>
      <c r="Q337">
        <v>6</v>
      </c>
      <c r="R337">
        <v>2</v>
      </c>
      <c r="S337">
        <v>24.8</v>
      </c>
      <c r="T337">
        <v>125</v>
      </c>
      <c r="U337">
        <v>74</v>
      </c>
      <c r="V337">
        <v>8022</v>
      </c>
      <c r="W337">
        <v>41.9</v>
      </c>
      <c r="X337">
        <v>1</v>
      </c>
      <c r="Y337">
        <v>1</v>
      </c>
      <c r="Z337">
        <v>9</v>
      </c>
      <c r="AA337">
        <v>5.0999999999999996</v>
      </c>
      <c r="AB337">
        <v>7</v>
      </c>
      <c r="AC337">
        <v>238</v>
      </c>
      <c r="AD337">
        <v>22</v>
      </c>
      <c r="AE337">
        <v>8</v>
      </c>
      <c r="AF337">
        <v>266</v>
      </c>
      <c r="AG337">
        <v>118</v>
      </c>
      <c r="AH337">
        <v>140</v>
      </c>
      <c r="AI337">
        <v>40</v>
      </c>
      <c r="AJ337">
        <v>37</v>
      </c>
      <c r="AK337">
        <v>26</v>
      </c>
      <c r="AL337">
        <v>19</v>
      </c>
      <c r="AM337">
        <v>4</v>
      </c>
      <c r="AN337">
        <v>133</v>
      </c>
      <c r="AO337">
        <v>44</v>
      </c>
      <c r="AP337">
        <v>32</v>
      </c>
      <c r="AQ337">
        <v>78</v>
      </c>
      <c r="AR337">
        <v>757</v>
      </c>
      <c r="AS337">
        <v>1244</v>
      </c>
      <c r="AT337" t="s">
        <v>7</v>
      </c>
      <c r="AU337">
        <v>0.31</v>
      </c>
      <c r="AV337">
        <v>2024</v>
      </c>
      <c r="AW337" s="1">
        <v>45973</v>
      </c>
      <c r="AX337">
        <v>10.8</v>
      </c>
      <c r="AY337" t="s">
        <v>10</v>
      </c>
      <c r="AZ337" t="s">
        <v>20</v>
      </c>
      <c r="BA337" t="s">
        <v>122</v>
      </c>
      <c r="BB337" t="s">
        <v>13</v>
      </c>
      <c r="BC337" t="s">
        <v>13</v>
      </c>
      <c r="BD337">
        <v>1</v>
      </c>
      <c r="BE337" t="s">
        <v>14</v>
      </c>
      <c r="BF337">
        <v>1.02</v>
      </c>
    </row>
    <row r="338" spans="1:58" hidden="1" x14ac:dyDescent="0.2">
      <c r="A338">
        <v>337</v>
      </c>
      <c r="B338" t="s">
        <v>0</v>
      </c>
      <c r="C338">
        <v>47</v>
      </c>
      <c r="D338" t="s">
        <v>1</v>
      </c>
      <c r="E338" t="s">
        <v>128</v>
      </c>
      <c r="F338" t="s">
        <v>3</v>
      </c>
      <c r="G338" t="s">
        <v>117</v>
      </c>
      <c r="H338" t="s">
        <v>23</v>
      </c>
      <c r="I338" t="s">
        <v>112</v>
      </c>
      <c r="J338" t="s">
        <v>32</v>
      </c>
      <c r="K338" t="s">
        <v>13</v>
      </c>
      <c r="L338">
        <v>5.5</v>
      </c>
      <c r="M338">
        <v>6.4</v>
      </c>
      <c r="N338" t="s">
        <v>29</v>
      </c>
      <c r="O338" t="s">
        <v>7</v>
      </c>
      <c r="P338" t="s">
        <v>46</v>
      </c>
      <c r="Q338">
        <v>6</v>
      </c>
      <c r="R338">
        <v>5</v>
      </c>
      <c r="S338">
        <v>26.7</v>
      </c>
      <c r="T338">
        <v>153</v>
      </c>
      <c r="U338">
        <v>91</v>
      </c>
      <c r="V338">
        <v>8141</v>
      </c>
      <c r="W338">
        <v>31.1</v>
      </c>
      <c r="X338">
        <v>3</v>
      </c>
      <c r="Y338">
        <v>5</v>
      </c>
      <c r="Z338">
        <v>10</v>
      </c>
      <c r="AA338">
        <v>4.3</v>
      </c>
      <c r="AB338">
        <v>8</v>
      </c>
      <c r="AC338">
        <v>87</v>
      </c>
      <c r="AD338">
        <v>4</v>
      </c>
      <c r="AE338">
        <v>2</v>
      </c>
      <c r="AF338">
        <v>93</v>
      </c>
      <c r="AG338">
        <v>72</v>
      </c>
      <c r="AH338">
        <v>67</v>
      </c>
      <c r="AI338">
        <v>21</v>
      </c>
      <c r="AJ338">
        <v>23</v>
      </c>
      <c r="AK338">
        <v>15</v>
      </c>
      <c r="AL338">
        <v>10</v>
      </c>
      <c r="AM338">
        <v>1</v>
      </c>
      <c r="AN338">
        <v>44</v>
      </c>
      <c r="AO338">
        <v>22</v>
      </c>
      <c r="AP338">
        <v>15</v>
      </c>
      <c r="AQ338">
        <v>26</v>
      </c>
      <c r="AR338">
        <v>3388</v>
      </c>
      <c r="AS338">
        <v>6629</v>
      </c>
      <c r="AT338" t="s">
        <v>13</v>
      </c>
      <c r="AU338">
        <v>0.76</v>
      </c>
      <c r="AV338">
        <v>2010</v>
      </c>
      <c r="AW338" s="1">
        <v>45908</v>
      </c>
      <c r="AX338">
        <v>21.8</v>
      </c>
      <c r="AY338" t="s">
        <v>45</v>
      </c>
      <c r="AZ338" t="s">
        <v>31</v>
      </c>
      <c r="BA338" t="s">
        <v>12</v>
      </c>
      <c r="BB338" t="s">
        <v>7</v>
      </c>
      <c r="BC338" t="s">
        <v>13</v>
      </c>
      <c r="BD338">
        <v>1</v>
      </c>
      <c r="BE338" t="s">
        <v>14</v>
      </c>
      <c r="BF338">
        <v>1.31</v>
      </c>
    </row>
    <row r="339" spans="1:58" hidden="1" x14ac:dyDescent="0.2">
      <c r="A339">
        <v>338</v>
      </c>
      <c r="B339" t="s">
        <v>0</v>
      </c>
      <c r="C339">
        <v>28</v>
      </c>
      <c r="D339" t="s">
        <v>28</v>
      </c>
      <c r="E339" t="s">
        <v>128</v>
      </c>
      <c r="F339" t="s">
        <v>40</v>
      </c>
      <c r="G339" t="s">
        <v>38</v>
      </c>
      <c r="H339" t="s">
        <v>118</v>
      </c>
      <c r="I339" t="s">
        <v>112</v>
      </c>
      <c r="J339" t="s">
        <v>32</v>
      </c>
      <c r="K339" t="s">
        <v>13</v>
      </c>
      <c r="L339">
        <v>2.2999999999999998</v>
      </c>
      <c r="M339">
        <v>7</v>
      </c>
      <c r="N339" t="s">
        <v>8</v>
      </c>
      <c r="O339" t="s">
        <v>7</v>
      </c>
      <c r="P339" t="s">
        <v>26</v>
      </c>
      <c r="Q339">
        <v>32</v>
      </c>
      <c r="R339">
        <v>1</v>
      </c>
      <c r="S339">
        <v>28.2</v>
      </c>
      <c r="T339">
        <v>148</v>
      </c>
      <c r="U339">
        <v>65</v>
      </c>
      <c r="V339">
        <v>8009</v>
      </c>
      <c r="W339">
        <v>37.9</v>
      </c>
      <c r="X339">
        <v>3</v>
      </c>
      <c r="Y339">
        <v>5</v>
      </c>
      <c r="Z339">
        <v>11</v>
      </c>
      <c r="AA339">
        <v>1.6</v>
      </c>
      <c r="AB339">
        <v>3</v>
      </c>
      <c r="AC339">
        <v>364</v>
      </c>
      <c r="AD339">
        <v>13</v>
      </c>
      <c r="AE339">
        <v>8</v>
      </c>
      <c r="AF339">
        <v>300</v>
      </c>
      <c r="AG339">
        <v>150</v>
      </c>
      <c r="AH339">
        <v>204</v>
      </c>
      <c r="AI339">
        <v>60</v>
      </c>
      <c r="AJ339">
        <v>56</v>
      </c>
      <c r="AK339">
        <v>42</v>
      </c>
      <c r="AL339">
        <v>29</v>
      </c>
      <c r="AM339">
        <v>5</v>
      </c>
      <c r="AN339">
        <v>173</v>
      </c>
      <c r="AO339">
        <v>79</v>
      </c>
      <c r="AP339">
        <v>76</v>
      </c>
      <c r="AQ339">
        <v>118</v>
      </c>
      <c r="AR339">
        <v>1622</v>
      </c>
      <c r="AS339">
        <v>2113</v>
      </c>
      <c r="AT339" t="s">
        <v>13</v>
      </c>
      <c r="AU339">
        <v>0.92</v>
      </c>
      <c r="AV339">
        <v>2016</v>
      </c>
      <c r="AW339" s="1">
        <v>45867</v>
      </c>
      <c r="AX339">
        <v>28</v>
      </c>
      <c r="AY339" t="s">
        <v>36</v>
      </c>
      <c r="AZ339" t="s">
        <v>11</v>
      </c>
      <c r="BA339" t="s">
        <v>122</v>
      </c>
      <c r="BB339" t="s">
        <v>7</v>
      </c>
      <c r="BC339" t="s">
        <v>7</v>
      </c>
      <c r="BD339">
        <v>3</v>
      </c>
      <c r="BE339" t="s">
        <v>14</v>
      </c>
      <c r="BF339">
        <v>0.95</v>
      </c>
    </row>
    <row r="340" spans="1:58" hidden="1" x14ac:dyDescent="0.2">
      <c r="A340">
        <v>339</v>
      </c>
      <c r="B340" t="s">
        <v>0</v>
      </c>
      <c r="C340">
        <v>53</v>
      </c>
      <c r="D340" t="s">
        <v>28</v>
      </c>
      <c r="E340" t="s">
        <v>2</v>
      </c>
      <c r="F340" t="s">
        <v>3</v>
      </c>
      <c r="G340" t="s">
        <v>16</v>
      </c>
      <c r="H340" t="s">
        <v>118</v>
      </c>
      <c r="I340" t="s">
        <v>53</v>
      </c>
      <c r="J340" t="s">
        <v>6</v>
      </c>
      <c r="K340" t="s">
        <v>7</v>
      </c>
      <c r="L340">
        <v>5.4</v>
      </c>
      <c r="M340">
        <v>7.5</v>
      </c>
      <c r="N340" t="s">
        <v>25</v>
      </c>
      <c r="O340" t="s">
        <v>7</v>
      </c>
      <c r="P340" t="s">
        <v>46</v>
      </c>
      <c r="Q340">
        <v>34</v>
      </c>
      <c r="R340">
        <v>3</v>
      </c>
      <c r="S340">
        <v>28.1</v>
      </c>
      <c r="T340">
        <v>125</v>
      </c>
      <c r="U340">
        <v>79</v>
      </c>
      <c r="V340">
        <v>7873</v>
      </c>
      <c r="W340">
        <v>57.1</v>
      </c>
      <c r="X340">
        <v>3</v>
      </c>
      <c r="Y340">
        <v>4</v>
      </c>
      <c r="Z340">
        <v>9</v>
      </c>
      <c r="AA340">
        <v>0.6</v>
      </c>
      <c r="AB340">
        <v>3</v>
      </c>
      <c r="AC340">
        <v>421</v>
      </c>
      <c r="AD340">
        <v>22</v>
      </c>
      <c r="AE340">
        <v>10</v>
      </c>
      <c r="AF340">
        <v>300</v>
      </c>
      <c r="AG340">
        <v>150</v>
      </c>
      <c r="AH340">
        <v>230</v>
      </c>
      <c r="AI340">
        <v>56</v>
      </c>
      <c r="AJ340">
        <v>53</v>
      </c>
      <c r="AK340">
        <v>55</v>
      </c>
      <c r="AL340">
        <v>48</v>
      </c>
      <c r="AM340">
        <v>15</v>
      </c>
      <c r="AN340">
        <v>248</v>
      </c>
      <c r="AO340">
        <v>54</v>
      </c>
      <c r="AP340">
        <v>83</v>
      </c>
      <c r="AQ340">
        <v>146</v>
      </c>
      <c r="AR340">
        <v>603</v>
      </c>
      <c r="AS340">
        <v>927</v>
      </c>
      <c r="AT340" t="s">
        <v>13</v>
      </c>
      <c r="AU340">
        <v>0.2</v>
      </c>
      <c r="AV340">
        <v>2013</v>
      </c>
      <c r="AW340" s="1">
        <v>45969</v>
      </c>
      <c r="AX340">
        <v>19.100000000000001</v>
      </c>
      <c r="AY340" t="s">
        <v>19</v>
      </c>
      <c r="AZ340" t="s">
        <v>17</v>
      </c>
      <c r="BA340" t="s">
        <v>21</v>
      </c>
      <c r="BB340" t="s">
        <v>7</v>
      </c>
      <c r="BC340" t="s">
        <v>7</v>
      </c>
      <c r="BD340">
        <v>1</v>
      </c>
      <c r="BE340" t="s">
        <v>14</v>
      </c>
      <c r="BF340">
        <v>0.88</v>
      </c>
    </row>
    <row r="341" spans="1:58" hidden="1" x14ac:dyDescent="0.2">
      <c r="A341">
        <v>340</v>
      </c>
      <c r="B341" t="s">
        <v>0</v>
      </c>
      <c r="C341">
        <v>48</v>
      </c>
      <c r="D341" t="s">
        <v>28</v>
      </c>
      <c r="E341" t="s">
        <v>47</v>
      </c>
      <c r="F341" t="s">
        <v>15</v>
      </c>
      <c r="G341" t="s">
        <v>16</v>
      </c>
      <c r="H341" t="s">
        <v>118</v>
      </c>
      <c r="I341" t="s">
        <v>53</v>
      </c>
      <c r="J341" t="s">
        <v>32</v>
      </c>
      <c r="K341" t="s">
        <v>7</v>
      </c>
      <c r="L341">
        <v>9</v>
      </c>
      <c r="M341">
        <v>6.7</v>
      </c>
      <c r="N341" t="s">
        <v>8</v>
      </c>
      <c r="O341" t="s">
        <v>7</v>
      </c>
      <c r="P341" t="s">
        <v>26</v>
      </c>
      <c r="Q341">
        <v>26</v>
      </c>
      <c r="R341">
        <v>2</v>
      </c>
      <c r="S341">
        <v>27.4</v>
      </c>
      <c r="T341">
        <v>148</v>
      </c>
      <c r="U341">
        <v>96</v>
      </c>
      <c r="V341">
        <v>8141</v>
      </c>
      <c r="W341">
        <v>44.7</v>
      </c>
      <c r="X341">
        <v>3</v>
      </c>
      <c r="Y341">
        <v>1</v>
      </c>
      <c r="Z341">
        <v>14</v>
      </c>
      <c r="AA341">
        <v>1</v>
      </c>
      <c r="AB341">
        <v>4</v>
      </c>
      <c r="AC341">
        <v>301</v>
      </c>
      <c r="AD341">
        <v>9</v>
      </c>
      <c r="AE341">
        <v>9</v>
      </c>
      <c r="AF341">
        <v>222</v>
      </c>
      <c r="AG341">
        <v>141</v>
      </c>
      <c r="AH341">
        <v>181</v>
      </c>
      <c r="AI341">
        <v>44</v>
      </c>
      <c r="AJ341">
        <v>55</v>
      </c>
      <c r="AK341">
        <v>43</v>
      </c>
      <c r="AL341">
        <v>29</v>
      </c>
      <c r="AM341">
        <v>7</v>
      </c>
      <c r="AN341">
        <v>149</v>
      </c>
      <c r="AO341">
        <v>57</v>
      </c>
      <c r="AP341">
        <v>48</v>
      </c>
      <c r="AQ341">
        <v>107</v>
      </c>
      <c r="AR341">
        <v>3107</v>
      </c>
      <c r="AS341">
        <v>3750</v>
      </c>
      <c r="AT341" t="s">
        <v>7</v>
      </c>
      <c r="AU341">
        <v>0.24</v>
      </c>
      <c r="AV341">
        <v>2015</v>
      </c>
      <c r="AW341" s="1">
        <v>45863</v>
      </c>
      <c r="AX341">
        <v>33.4</v>
      </c>
      <c r="AY341" t="s">
        <v>19</v>
      </c>
      <c r="AZ341" t="s">
        <v>35</v>
      </c>
      <c r="BA341" t="s">
        <v>12</v>
      </c>
      <c r="BB341" t="s">
        <v>13</v>
      </c>
      <c r="BC341" t="s">
        <v>7</v>
      </c>
      <c r="BD341">
        <v>0</v>
      </c>
      <c r="BE341" t="s">
        <v>14</v>
      </c>
      <c r="BF341">
        <v>0.98</v>
      </c>
    </row>
    <row r="342" spans="1:58" hidden="1" x14ac:dyDescent="0.2">
      <c r="A342">
        <v>341</v>
      </c>
      <c r="B342" t="s">
        <v>0</v>
      </c>
      <c r="C342">
        <v>45</v>
      </c>
      <c r="D342" t="s">
        <v>28</v>
      </c>
      <c r="E342" t="s">
        <v>2</v>
      </c>
      <c r="F342" t="s">
        <v>15</v>
      </c>
      <c r="G342" t="s">
        <v>116</v>
      </c>
      <c r="H342" t="s">
        <v>118</v>
      </c>
      <c r="I342" t="s">
        <v>112</v>
      </c>
      <c r="J342" t="s">
        <v>6</v>
      </c>
      <c r="K342" t="s">
        <v>13</v>
      </c>
      <c r="L342">
        <v>9.6999999999999993</v>
      </c>
      <c r="M342">
        <v>8</v>
      </c>
      <c r="N342" t="s">
        <v>29</v>
      </c>
      <c r="O342" t="s">
        <v>7</v>
      </c>
      <c r="P342" t="s">
        <v>9</v>
      </c>
      <c r="Q342">
        <v>15</v>
      </c>
      <c r="R342">
        <v>9</v>
      </c>
      <c r="S342">
        <v>27.8</v>
      </c>
      <c r="T342">
        <v>125</v>
      </c>
      <c r="U342">
        <v>87</v>
      </c>
      <c r="V342">
        <v>7900</v>
      </c>
      <c r="W342">
        <v>45.2</v>
      </c>
      <c r="X342">
        <v>2</v>
      </c>
      <c r="Y342">
        <v>4</v>
      </c>
      <c r="Z342">
        <v>9</v>
      </c>
      <c r="AA342">
        <v>5.5</v>
      </c>
      <c r="AB342">
        <v>2</v>
      </c>
      <c r="AC342">
        <v>110</v>
      </c>
      <c r="AD342">
        <v>10</v>
      </c>
      <c r="AE342">
        <v>2</v>
      </c>
      <c r="AF342">
        <v>94</v>
      </c>
      <c r="AG342">
        <v>70</v>
      </c>
      <c r="AH342">
        <v>88</v>
      </c>
      <c r="AI342">
        <v>16</v>
      </c>
      <c r="AJ342">
        <v>23</v>
      </c>
      <c r="AK342">
        <v>23</v>
      </c>
      <c r="AL342">
        <v>12</v>
      </c>
      <c r="AM342">
        <v>5</v>
      </c>
      <c r="AN342">
        <v>50</v>
      </c>
      <c r="AO342">
        <v>31</v>
      </c>
      <c r="AP342">
        <v>11</v>
      </c>
      <c r="AQ342">
        <v>24</v>
      </c>
      <c r="AR342">
        <v>608</v>
      </c>
      <c r="AS342">
        <v>851</v>
      </c>
      <c r="AT342" t="s">
        <v>7</v>
      </c>
      <c r="AU342">
        <v>0.8</v>
      </c>
      <c r="AV342">
        <v>2021</v>
      </c>
      <c r="AW342" s="1">
        <v>45969</v>
      </c>
      <c r="AX342">
        <v>11</v>
      </c>
      <c r="AY342" t="s">
        <v>30</v>
      </c>
      <c r="AZ342" t="s">
        <v>20</v>
      </c>
      <c r="BA342" t="s">
        <v>21</v>
      </c>
      <c r="BB342" t="s">
        <v>7</v>
      </c>
      <c r="BC342" t="s">
        <v>7</v>
      </c>
      <c r="BD342">
        <v>1</v>
      </c>
      <c r="BE342" t="s">
        <v>14</v>
      </c>
      <c r="BF342">
        <v>1.1399999999999999</v>
      </c>
    </row>
    <row r="343" spans="1:58" hidden="1" x14ac:dyDescent="0.2">
      <c r="A343">
        <v>342</v>
      </c>
      <c r="B343" t="s">
        <v>0</v>
      </c>
      <c r="C343">
        <v>16</v>
      </c>
      <c r="D343" t="s">
        <v>1</v>
      </c>
      <c r="E343" t="s">
        <v>128</v>
      </c>
      <c r="F343" t="s">
        <v>40</v>
      </c>
      <c r="G343" t="s">
        <v>16</v>
      </c>
      <c r="H343" t="s">
        <v>119</v>
      </c>
      <c r="I343" t="s">
        <v>114</v>
      </c>
      <c r="J343" t="s">
        <v>123</v>
      </c>
      <c r="K343" t="s">
        <v>7</v>
      </c>
      <c r="L343">
        <v>9.6</v>
      </c>
      <c r="M343">
        <v>7.9</v>
      </c>
      <c r="N343" t="s">
        <v>29</v>
      </c>
      <c r="O343" t="s">
        <v>7</v>
      </c>
      <c r="P343" t="s">
        <v>9</v>
      </c>
      <c r="Q343">
        <v>13</v>
      </c>
      <c r="R343">
        <v>10</v>
      </c>
      <c r="S343">
        <v>22.2</v>
      </c>
      <c r="T343">
        <v>105</v>
      </c>
      <c r="U343">
        <v>92</v>
      </c>
      <c r="V343">
        <v>7833</v>
      </c>
      <c r="W343">
        <v>43.7</v>
      </c>
      <c r="X343">
        <v>0</v>
      </c>
      <c r="Y343">
        <v>4</v>
      </c>
      <c r="Z343">
        <v>17</v>
      </c>
      <c r="AA343">
        <v>1.1000000000000001</v>
      </c>
      <c r="AB343">
        <v>5</v>
      </c>
      <c r="AC343">
        <v>87</v>
      </c>
      <c r="AD343">
        <v>8</v>
      </c>
      <c r="AE343">
        <v>3</v>
      </c>
      <c r="AF343">
        <v>174</v>
      </c>
      <c r="AG343">
        <v>57</v>
      </c>
      <c r="AH343">
        <v>75</v>
      </c>
      <c r="AI343">
        <v>17</v>
      </c>
      <c r="AJ343">
        <v>22</v>
      </c>
      <c r="AK343">
        <v>20</v>
      </c>
      <c r="AL343">
        <v>6</v>
      </c>
      <c r="AM343">
        <v>2</v>
      </c>
      <c r="AN343">
        <v>52</v>
      </c>
      <c r="AO343">
        <v>16</v>
      </c>
      <c r="AP343">
        <v>9</v>
      </c>
      <c r="AQ343">
        <v>20</v>
      </c>
      <c r="AR343">
        <v>5144</v>
      </c>
      <c r="AS343">
        <v>6287</v>
      </c>
      <c r="AT343" t="s">
        <v>13</v>
      </c>
      <c r="AU343">
        <v>0.13</v>
      </c>
      <c r="AV343">
        <v>2016</v>
      </c>
      <c r="AW343" s="1">
        <v>45961</v>
      </c>
      <c r="AX343">
        <v>10.9</v>
      </c>
      <c r="AY343" t="s">
        <v>10</v>
      </c>
      <c r="AZ343" t="s">
        <v>17</v>
      </c>
      <c r="BA343" t="s">
        <v>12</v>
      </c>
      <c r="BB343" t="s">
        <v>7</v>
      </c>
      <c r="BC343" t="s">
        <v>13</v>
      </c>
      <c r="BD343">
        <v>4</v>
      </c>
      <c r="BE343" t="s">
        <v>43</v>
      </c>
      <c r="BF343">
        <v>1.34</v>
      </c>
    </row>
    <row r="344" spans="1:58" hidden="1" x14ac:dyDescent="0.2">
      <c r="A344">
        <v>343</v>
      </c>
      <c r="B344" t="s">
        <v>0</v>
      </c>
      <c r="C344">
        <v>45</v>
      </c>
      <c r="D344" t="s">
        <v>28</v>
      </c>
      <c r="E344" t="s">
        <v>22</v>
      </c>
      <c r="F344" t="s">
        <v>40</v>
      </c>
      <c r="G344" t="s">
        <v>16</v>
      </c>
      <c r="H344" t="s">
        <v>23</v>
      </c>
      <c r="I344" t="s">
        <v>114</v>
      </c>
      <c r="J344" t="s">
        <v>32</v>
      </c>
      <c r="K344" t="s">
        <v>7</v>
      </c>
      <c r="L344">
        <v>5.8</v>
      </c>
      <c r="M344">
        <v>6.7</v>
      </c>
      <c r="N344" t="s">
        <v>25</v>
      </c>
      <c r="O344" t="s">
        <v>41</v>
      </c>
      <c r="P344" t="s">
        <v>9</v>
      </c>
      <c r="Q344">
        <v>13</v>
      </c>
      <c r="R344">
        <v>4</v>
      </c>
      <c r="S344">
        <v>25.4</v>
      </c>
      <c r="T344">
        <v>136</v>
      </c>
      <c r="U344">
        <v>86</v>
      </c>
      <c r="V344">
        <v>7946</v>
      </c>
      <c r="W344">
        <v>32.1</v>
      </c>
      <c r="X344">
        <v>4</v>
      </c>
      <c r="Y344">
        <v>5</v>
      </c>
      <c r="Z344">
        <v>7</v>
      </c>
      <c r="AA344">
        <v>3</v>
      </c>
      <c r="AB344">
        <v>0</v>
      </c>
      <c r="AC344">
        <v>143</v>
      </c>
      <c r="AD344">
        <v>8</v>
      </c>
      <c r="AE344">
        <v>3</v>
      </c>
      <c r="AF344">
        <v>115</v>
      </c>
      <c r="AG344">
        <v>87</v>
      </c>
      <c r="AH344">
        <v>89</v>
      </c>
      <c r="AI344">
        <v>33</v>
      </c>
      <c r="AJ344">
        <v>21</v>
      </c>
      <c r="AK344">
        <v>22</v>
      </c>
      <c r="AL344">
        <v>12</v>
      </c>
      <c r="AM344">
        <v>6</v>
      </c>
      <c r="AN344">
        <v>68</v>
      </c>
      <c r="AO344">
        <v>22</v>
      </c>
      <c r="AP344">
        <v>33</v>
      </c>
      <c r="AQ344">
        <v>29</v>
      </c>
      <c r="AR344">
        <v>943</v>
      </c>
      <c r="AS344">
        <v>735</v>
      </c>
      <c r="AT344" t="s">
        <v>13</v>
      </c>
      <c r="AU344">
        <v>0.2</v>
      </c>
      <c r="AV344">
        <v>2016</v>
      </c>
      <c r="AW344" s="1">
        <v>45945</v>
      </c>
      <c r="AX344">
        <v>17.899999999999999</v>
      </c>
      <c r="AY344" t="s">
        <v>10</v>
      </c>
      <c r="AZ344" t="s">
        <v>31</v>
      </c>
      <c r="BA344" t="s">
        <v>122</v>
      </c>
      <c r="BB344" t="s">
        <v>7</v>
      </c>
      <c r="BC344" t="s">
        <v>7</v>
      </c>
      <c r="BD344">
        <v>2</v>
      </c>
      <c r="BE344" t="s">
        <v>14</v>
      </c>
      <c r="BF344">
        <v>1.1399999999999999</v>
      </c>
    </row>
    <row r="345" spans="1:58" hidden="1" x14ac:dyDescent="0.2">
      <c r="A345">
        <v>344</v>
      </c>
      <c r="B345" t="s">
        <v>0</v>
      </c>
      <c r="C345">
        <v>26</v>
      </c>
      <c r="D345" t="s">
        <v>1</v>
      </c>
      <c r="E345" t="s">
        <v>127</v>
      </c>
      <c r="F345" t="s">
        <v>3</v>
      </c>
      <c r="G345" t="s">
        <v>38</v>
      </c>
      <c r="H345" t="s">
        <v>118</v>
      </c>
      <c r="I345" t="s">
        <v>113</v>
      </c>
      <c r="J345" t="s">
        <v>123</v>
      </c>
      <c r="K345" t="s">
        <v>7</v>
      </c>
      <c r="L345">
        <v>5.9</v>
      </c>
      <c r="M345">
        <v>4.5</v>
      </c>
      <c r="N345" t="s">
        <v>8</v>
      </c>
      <c r="O345" t="s">
        <v>7</v>
      </c>
      <c r="P345" t="s">
        <v>121</v>
      </c>
      <c r="Q345">
        <v>40</v>
      </c>
      <c r="R345">
        <v>9</v>
      </c>
      <c r="S345">
        <v>27.1</v>
      </c>
      <c r="T345">
        <v>131</v>
      </c>
      <c r="U345">
        <v>86</v>
      </c>
      <c r="V345">
        <v>8022</v>
      </c>
      <c r="W345">
        <v>43</v>
      </c>
      <c r="X345">
        <v>3</v>
      </c>
      <c r="Y345">
        <v>3</v>
      </c>
      <c r="Z345">
        <v>15</v>
      </c>
      <c r="AA345">
        <v>3.5</v>
      </c>
      <c r="AB345">
        <v>3</v>
      </c>
      <c r="AC345">
        <v>285</v>
      </c>
      <c r="AD345">
        <v>9</v>
      </c>
      <c r="AE345">
        <v>5</v>
      </c>
      <c r="AF345">
        <v>286</v>
      </c>
      <c r="AG345">
        <v>146</v>
      </c>
      <c r="AH345">
        <v>179</v>
      </c>
      <c r="AI345">
        <v>47</v>
      </c>
      <c r="AJ345">
        <v>34</v>
      </c>
      <c r="AK345">
        <v>42</v>
      </c>
      <c r="AL345">
        <v>32</v>
      </c>
      <c r="AM345">
        <v>5</v>
      </c>
      <c r="AN345">
        <v>124</v>
      </c>
      <c r="AO345">
        <v>68</v>
      </c>
      <c r="AP345">
        <v>49</v>
      </c>
      <c r="AQ345">
        <v>61</v>
      </c>
      <c r="AR345">
        <v>1299</v>
      </c>
      <c r="AS345">
        <v>2782</v>
      </c>
      <c r="AT345" t="s">
        <v>7</v>
      </c>
      <c r="AU345">
        <v>0.62</v>
      </c>
      <c r="AV345">
        <v>2012</v>
      </c>
      <c r="AW345" s="1">
        <v>45864</v>
      </c>
      <c r="AX345">
        <v>31.7</v>
      </c>
      <c r="AY345" t="s">
        <v>19</v>
      </c>
      <c r="AZ345" t="s">
        <v>51</v>
      </c>
      <c r="BA345" t="s">
        <v>12</v>
      </c>
      <c r="BB345" t="s">
        <v>13</v>
      </c>
      <c r="BC345" t="s">
        <v>7</v>
      </c>
      <c r="BD345">
        <v>3</v>
      </c>
      <c r="BE345" t="s">
        <v>49</v>
      </c>
      <c r="BF345">
        <v>1.01</v>
      </c>
    </row>
    <row r="346" spans="1:58" hidden="1" x14ac:dyDescent="0.2">
      <c r="A346">
        <v>345</v>
      </c>
      <c r="B346" t="s">
        <v>0</v>
      </c>
      <c r="C346">
        <v>33</v>
      </c>
      <c r="D346" t="s">
        <v>28</v>
      </c>
      <c r="E346" t="s">
        <v>50</v>
      </c>
      <c r="F346" t="s">
        <v>40</v>
      </c>
      <c r="G346" t="s">
        <v>38</v>
      </c>
      <c r="H346" t="s">
        <v>23</v>
      </c>
      <c r="I346" t="s">
        <v>114</v>
      </c>
      <c r="J346" t="s">
        <v>123</v>
      </c>
      <c r="K346" t="s">
        <v>7</v>
      </c>
      <c r="L346">
        <v>6.3</v>
      </c>
      <c r="M346">
        <v>5.3</v>
      </c>
      <c r="N346" t="s">
        <v>25</v>
      </c>
      <c r="O346" t="s">
        <v>7</v>
      </c>
      <c r="P346" t="s">
        <v>9</v>
      </c>
      <c r="Q346">
        <v>6</v>
      </c>
      <c r="R346">
        <v>9</v>
      </c>
      <c r="S346">
        <v>21.8</v>
      </c>
      <c r="T346">
        <v>137</v>
      </c>
      <c r="U346">
        <v>96</v>
      </c>
      <c r="V346">
        <v>8193</v>
      </c>
      <c r="W346">
        <v>30.3</v>
      </c>
      <c r="X346">
        <v>5</v>
      </c>
      <c r="Y346">
        <v>4</v>
      </c>
      <c r="Z346">
        <v>10</v>
      </c>
      <c r="AA346">
        <v>8.8000000000000007</v>
      </c>
      <c r="AB346">
        <v>5</v>
      </c>
      <c r="AC346">
        <v>48</v>
      </c>
      <c r="AD346">
        <v>3</v>
      </c>
      <c r="AE346">
        <v>7</v>
      </c>
      <c r="AF346">
        <v>64</v>
      </c>
      <c r="AG346">
        <v>58</v>
      </c>
      <c r="AH346">
        <v>38</v>
      </c>
      <c r="AI346">
        <v>16</v>
      </c>
      <c r="AJ346">
        <v>16</v>
      </c>
      <c r="AK346">
        <v>17</v>
      </c>
      <c r="AL346">
        <v>12</v>
      </c>
      <c r="AM346">
        <v>2</v>
      </c>
      <c r="AN346">
        <v>24</v>
      </c>
      <c r="AO346">
        <v>11</v>
      </c>
      <c r="AP346">
        <v>8</v>
      </c>
      <c r="AQ346">
        <v>12</v>
      </c>
      <c r="AR346">
        <v>5732</v>
      </c>
      <c r="AS346">
        <v>8819</v>
      </c>
      <c r="AT346" t="s">
        <v>7</v>
      </c>
      <c r="AU346">
        <v>0.19</v>
      </c>
      <c r="AV346">
        <v>2018</v>
      </c>
      <c r="AW346" s="1">
        <v>45860</v>
      </c>
      <c r="AX346">
        <v>16</v>
      </c>
      <c r="AY346" t="s">
        <v>30</v>
      </c>
      <c r="AZ346" t="s">
        <v>37</v>
      </c>
      <c r="BA346" t="s">
        <v>122</v>
      </c>
      <c r="BB346" t="s">
        <v>7</v>
      </c>
      <c r="BC346" t="s">
        <v>13</v>
      </c>
      <c r="BD346">
        <v>3</v>
      </c>
      <c r="BE346" t="s">
        <v>43</v>
      </c>
      <c r="BF346">
        <v>1.86</v>
      </c>
    </row>
    <row r="347" spans="1:58" hidden="1" x14ac:dyDescent="0.2">
      <c r="A347">
        <v>346</v>
      </c>
      <c r="B347" t="s">
        <v>0</v>
      </c>
      <c r="C347">
        <v>60</v>
      </c>
      <c r="D347" t="s">
        <v>1</v>
      </c>
      <c r="E347" t="s">
        <v>17</v>
      </c>
      <c r="F347" t="s">
        <v>40</v>
      </c>
      <c r="G347" t="s">
        <v>116</v>
      </c>
      <c r="H347" t="s">
        <v>118</v>
      </c>
      <c r="I347" t="s">
        <v>53</v>
      </c>
      <c r="J347" t="s">
        <v>18</v>
      </c>
      <c r="K347" t="s">
        <v>7</v>
      </c>
      <c r="L347">
        <v>3.4</v>
      </c>
      <c r="M347">
        <v>8.4</v>
      </c>
      <c r="N347" t="s">
        <v>25</v>
      </c>
      <c r="O347" t="s">
        <v>7</v>
      </c>
      <c r="P347" t="s">
        <v>9</v>
      </c>
      <c r="Q347">
        <v>4</v>
      </c>
      <c r="R347">
        <v>8</v>
      </c>
      <c r="S347">
        <v>23</v>
      </c>
      <c r="T347">
        <v>145</v>
      </c>
      <c r="U347">
        <v>95</v>
      </c>
      <c r="V347">
        <v>7965</v>
      </c>
      <c r="W347">
        <v>29.2</v>
      </c>
      <c r="X347">
        <v>5</v>
      </c>
      <c r="Y347">
        <v>2</v>
      </c>
      <c r="Z347">
        <v>10</v>
      </c>
      <c r="AA347">
        <v>5.0999999999999996</v>
      </c>
      <c r="AB347">
        <v>2</v>
      </c>
      <c r="AC347">
        <v>5</v>
      </c>
      <c r="AD347">
        <v>1</v>
      </c>
      <c r="AE347">
        <v>2</v>
      </c>
      <c r="AF347">
        <v>50</v>
      </c>
      <c r="AG347">
        <v>26</v>
      </c>
      <c r="AH347">
        <v>22</v>
      </c>
      <c r="AI347">
        <v>7</v>
      </c>
      <c r="AJ347">
        <v>9</v>
      </c>
      <c r="AK347">
        <v>7</v>
      </c>
      <c r="AL347">
        <v>7</v>
      </c>
      <c r="AM347">
        <v>2</v>
      </c>
      <c r="AN347">
        <v>3</v>
      </c>
      <c r="AO347">
        <v>1</v>
      </c>
      <c r="AP347">
        <v>1</v>
      </c>
      <c r="AQ347">
        <v>1</v>
      </c>
      <c r="AR347">
        <v>819</v>
      </c>
      <c r="AS347">
        <v>832</v>
      </c>
      <c r="AT347" t="s">
        <v>7</v>
      </c>
      <c r="AU347">
        <v>0.99</v>
      </c>
      <c r="AV347">
        <v>2012</v>
      </c>
      <c r="AW347" s="1">
        <v>45981</v>
      </c>
      <c r="AX347">
        <v>5</v>
      </c>
      <c r="AY347" t="s">
        <v>27</v>
      </c>
      <c r="AZ347" t="s">
        <v>48</v>
      </c>
      <c r="BA347" t="s">
        <v>12</v>
      </c>
      <c r="BB347" t="s">
        <v>13</v>
      </c>
      <c r="BC347" t="s">
        <v>13</v>
      </c>
      <c r="BD347">
        <v>1</v>
      </c>
      <c r="BE347" t="s">
        <v>14</v>
      </c>
      <c r="BF347">
        <v>7</v>
      </c>
    </row>
    <row r="348" spans="1:58" hidden="1" x14ac:dyDescent="0.2">
      <c r="A348">
        <v>347</v>
      </c>
      <c r="B348" t="s">
        <v>0</v>
      </c>
      <c r="C348">
        <v>32</v>
      </c>
      <c r="D348" t="s">
        <v>1</v>
      </c>
      <c r="E348" t="s">
        <v>128</v>
      </c>
      <c r="F348" t="s">
        <v>40</v>
      </c>
      <c r="G348" t="s">
        <v>16</v>
      </c>
      <c r="H348" t="s">
        <v>24</v>
      </c>
      <c r="I348" t="s">
        <v>114</v>
      </c>
      <c r="J348" t="s">
        <v>6</v>
      </c>
      <c r="K348" t="s">
        <v>7</v>
      </c>
      <c r="L348">
        <v>5.2</v>
      </c>
      <c r="M348">
        <v>7.9</v>
      </c>
      <c r="N348" t="s">
        <v>8</v>
      </c>
      <c r="O348" t="s">
        <v>41</v>
      </c>
      <c r="P348" t="s">
        <v>52</v>
      </c>
      <c r="Q348">
        <v>39</v>
      </c>
      <c r="R348">
        <v>3</v>
      </c>
      <c r="S348">
        <v>32.5</v>
      </c>
      <c r="T348">
        <v>138</v>
      </c>
      <c r="U348">
        <v>73</v>
      </c>
      <c r="V348">
        <v>7955</v>
      </c>
      <c r="W348">
        <v>36</v>
      </c>
      <c r="X348">
        <v>0</v>
      </c>
      <c r="Y348">
        <v>7</v>
      </c>
      <c r="Z348">
        <v>3</v>
      </c>
      <c r="AA348">
        <v>5.5</v>
      </c>
      <c r="AB348">
        <v>6</v>
      </c>
      <c r="AC348">
        <v>418</v>
      </c>
      <c r="AD348">
        <v>14</v>
      </c>
      <c r="AE348">
        <v>8</v>
      </c>
      <c r="AF348">
        <v>289</v>
      </c>
      <c r="AG348">
        <v>150</v>
      </c>
      <c r="AH348">
        <v>240</v>
      </c>
      <c r="AI348">
        <v>75</v>
      </c>
      <c r="AJ348">
        <v>67</v>
      </c>
      <c r="AK348">
        <v>61</v>
      </c>
      <c r="AL348">
        <v>36</v>
      </c>
      <c r="AM348">
        <v>14</v>
      </c>
      <c r="AN348">
        <v>210</v>
      </c>
      <c r="AO348">
        <v>46</v>
      </c>
      <c r="AP348">
        <v>58</v>
      </c>
      <c r="AQ348">
        <v>145</v>
      </c>
      <c r="AR348">
        <v>1806</v>
      </c>
      <c r="AS348">
        <v>3475</v>
      </c>
      <c r="AT348" t="s">
        <v>7</v>
      </c>
      <c r="AU348">
        <v>0.16</v>
      </c>
      <c r="AV348">
        <v>2012</v>
      </c>
      <c r="AW348" s="1">
        <v>45863</v>
      </c>
      <c r="AX348">
        <v>29.9</v>
      </c>
      <c r="AY348" t="s">
        <v>10</v>
      </c>
      <c r="AZ348" t="s">
        <v>37</v>
      </c>
      <c r="BA348" t="s">
        <v>21</v>
      </c>
      <c r="BB348" t="s">
        <v>13</v>
      </c>
      <c r="BC348" t="s">
        <v>7</v>
      </c>
      <c r="BD348">
        <v>1</v>
      </c>
      <c r="BE348" t="s">
        <v>14</v>
      </c>
      <c r="BF348">
        <v>0.99</v>
      </c>
    </row>
    <row r="349" spans="1:58" hidden="1" x14ac:dyDescent="0.2">
      <c r="A349">
        <v>348</v>
      </c>
      <c r="B349" t="s">
        <v>0</v>
      </c>
      <c r="C349">
        <v>20</v>
      </c>
      <c r="D349" t="s">
        <v>1</v>
      </c>
      <c r="E349" t="s">
        <v>42</v>
      </c>
      <c r="F349" t="s">
        <v>40</v>
      </c>
      <c r="G349" t="s">
        <v>38</v>
      </c>
      <c r="H349" t="s">
        <v>23</v>
      </c>
      <c r="I349" t="s">
        <v>112</v>
      </c>
      <c r="J349" t="s">
        <v>18</v>
      </c>
      <c r="K349" t="s">
        <v>7</v>
      </c>
      <c r="L349">
        <v>13.8</v>
      </c>
      <c r="M349">
        <v>8</v>
      </c>
      <c r="N349" t="s">
        <v>29</v>
      </c>
      <c r="O349" t="s">
        <v>7</v>
      </c>
      <c r="P349" t="s">
        <v>46</v>
      </c>
      <c r="Q349">
        <v>28</v>
      </c>
      <c r="R349">
        <v>6</v>
      </c>
      <c r="S349">
        <v>29.1</v>
      </c>
      <c r="T349">
        <v>125</v>
      </c>
      <c r="U349">
        <v>62</v>
      </c>
      <c r="V349">
        <v>7876</v>
      </c>
      <c r="W349">
        <v>31.1</v>
      </c>
      <c r="X349">
        <v>4</v>
      </c>
      <c r="Y349">
        <v>5</v>
      </c>
      <c r="Z349">
        <v>11</v>
      </c>
      <c r="AA349">
        <v>5.0999999999999996</v>
      </c>
      <c r="AB349">
        <v>2</v>
      </c>
      <c r="AC349">
        <v>295</v>
      </c>
      <c r="AD349">
        <v>16</v>
      </c>
      <c r="AE349">
        <v>10</v>
      </c>
      <c r="AF349">
        <v>281</v>
      </c>
      <c r="AG349">
        <v>149</v>
      </c>
      <c r="AH349">
        <v>169</v>
      </c>
      <c r="AI349">
        <v>62</v>
      </c>
      <c r="AJ349">
        <v>32</v>
      </c>
      <c r="AK349">
        <v>51</v>
      </c>
      <c r="AL349">
        <v>34</v>
      </c>
      <c r="AM349">
        <v>3</v>
      </c>
      <c r="AN349">
        <v>153</v>
      </c>
      <c r="AO349">
        <v>40</v>
      </c>
      <c r="AP349">
        <v>34</v>
      </c>
      <c r="AQ349">
        <v>102</v>
      </c>
      <c r="AR349">
        <v>4482</v>
      </c>
      <c r="AS349">
        <v>10000</v>
      </c>
      <c r="AT349" t="s">
        <v>13</v>
      </c>
      <c r="AU349">
        <v>0.39</v>
      </c>
      <c r="AV349">
        <v>2021</v>
      </c>
      <c r="AW349" s="1">
        <v>45772</v>
      </c>
      <c r="AX349">
        <v>18.399999999999999</v>
      </c>
      <c r="AY349" t="s">
        <v>10</v>
      </c>
      <c r="AZ349" t="s">
        <v>11</v>
      </c>
      <c r="BA349" t="s">
        <v>21</v>
      </c>
      <c r="BB349" t="s">
        <v>7</v>
      </c>
      <c r="BC349" t="s">
        <v>7</v>
      </c>
      <c r="BD349">
        <v>1</v>
      </c>
      <c r="BE349" t="s">
        <v>14</v>
      </c>
      <c r="BF349">
        <v>1.0900000000000001</v>
      </c>
    </row>
    <row r="350" spans="1:58" hidden="1" x14ac:dyDescent="0.2">
      <c r="A350">
        <v>349</v>
      </c>
      <c r="B350" t="s">
        <v>0</v>
      </c>
      <c r="C350">
        <v>19</v>
      </c>
      <c r="D350" t="s">
        <v>28</v>
      </c>
      <c r="E350" t="s">
        <v>22</v>
      </c>
      <c r="F350" t="s">
        <v>40</v>
      </c>
      <c r="G350" t="s">
        <v>4</v>
      </c>
      <c r="H350" t="s">
        <v>118</v>
      </c>
      <c r="I350" t="s">
        <v>115</v>
      </c>
      <c r="J350" t="s">
        <v>123</v>
      </c>
      <c r="K350" t="s">
        <v>13</v>
      </c>
      <c r="L350">
        <v>9.4</v>
      </c>
      <c r="M350">
        <v>6.3</v>
      </c>
      <c r="N350" t="s">
        <v>25</v>
      </c>
      <c r="O350" t="s">
        <v>13</v>
      </c>
      <c r="P350" t="s">
        <v>9</v>
      </c>
      <c r="Q350">
        <v>13</v>
      </c>
      <c r="R350">
        <v>4</v>
      </c>
      <c r="S350">
        <v>25.5</v>
      </c>
      <c r="T350">
        <v>120</v>
      </c>
      <c r="U350">
        <v>67</v>
      </c>
      <c r="V350">
        <v>8042</v>
      </c>
      <c r="W350">
        <v>40.700000000000003</v>
      </c>
      <c r="X350">
        <v>5</v>
      </c>
      <c r="Y350">
        <v>2</v>
      </c>
      <c r="Z350">
        <v>7</v>
      </c>
      <c r="AA350">
        <v>4.5999999999999996</v>
      </c>
      <c r="AB350">
        <v>5</v>
      </c>
      <c r="AC350">
        <v>152</v>
      </c>
      <c r="AD350">
        <v>7</v>
      </c>
      <c r="AE350">
        <v>8</v>
      </c>
      <c r="AF350">
        <v>215</v>
      </c>
      <c r="AG350">
        <v>107</v>
      </c>
      <c r="AH350">
        <v>94</v>
      </c>
      <c r="AI350">
        <v>39</v>
      </c>
      <c r="AJ350">
        <v>18</v>
      </c>
      <c r="AK350">
        <v>20</v>
      </c>
      <c r="AL350">
        <v>14</v>
      </c>
      <c r="AM350">
        <v>2</v>
      </c>
      <c r="AN350">
        <v>74</v>
      </c>
      <c r="AO350">
        <v>40</v>
      </c>
      <c r="AP350">
        <v>28</v>
      </c>
      <c r="AQ350">
        <v>42</v>
      </c>
      <c r="AR350">
        <v>745</v>
      </c>
      <c r="AS350">
        <v>1266</v>
      </c>
      <c r="AT350" t="s">
        <v>13</v>
      </c>
      <c r="AU350">
        <v>0.47</v>
      </c>
      <c r="AV350">
        <v>2017</v>
      </c>
      <c r="AW350" s="1">
        <v>45699</v>
      </c>
      <c r="AX350">
        <v>21.7</v>
      </c>
      <c r="AY350" t="s">
        <v>30</v>
      </c>
      <c r="AZ350" t="s">
        <v>31</v>
      </c>
      <c r="BA350" t="s">
        <v>12</v>
      </c>
      <c r="BB350" t="s">
        <v>13</v>
      </c>
      <c r="BC350" t="s">
        <v>13</v>
      </c>
      <c r="BD350">
        <v>2</v>
      </c>
      <c r="BE350" t="s">
        <v>14</v>
      </c>
      <c r="BF350">
        <v>1.28</v>
      </c>
    </row>
    <row r="351" spans="1:58" hidden="1" x14ac:dyDescent="0.2">
      <c r="A351">
        <v>350</v>
      </c>
      <c r="B351" t="s">
        <v>0</v>
      </c>
      <c r="C351">
        <v>15</v>
      </c>
      <c r="D351" t="s">
        <v>1</v>
      </c>
      <c r="E351" t="s">
        <v>47</v>
      </c>
      <c r="F351" t="s">
        <v>40</v>
      </c>
      <c r="G351" t="s">
        <v>16</v>
      </c>
      <c r="H351" t="s">
        <v>24</v>
      </c>
      <c r="I351" t="s">
        <v>112</v>
      </c>
      <c r="J351" t="s">
        <v>123</v>
      </c>
      <c r="K351" t="s">
        <v>7</v>
      </c>
      <c r="L351">
        <v>4.5</v>
      </c>
      <c r="M351">
        <v>8.6</v>
      </c>
      <c r="N351" t="s">
        <v>29</v>
      </c>
      <c r="O351" t="s">
        <v>13</v>
      </c>
      <c r="P351" t="s">
        <v>26</v>
      </c>
      <c r="Q351">
        <v>33</v>
      </c>
      <c r="R351">
        <v>5</v>
      </c>
      <c r="S351">
        <v>24.7</v>
      </c>
      <c r="T351">
        <v>145</v>
      </c>
      <c r="U351">
        <v>63</v>
      </c>
      <c r="V351">
        <v>8006</v>
      </c>
      <c r="W351">
        <v>57.7</v>
      </c>
      <c r="X351">
        <v>1</v>
      </c>
      <c r="Y351">
        <v>6</v>
      </c>
      <c r="Z351">
        <v>15</v>
      </c>
      <c r="AA351">
        <v>1.4</v>
      </c>
      <c r="AB351">
        <v>2</v>
      </c>
      <c r="AC351">
        <v>317</v>
      </c>
      <c r="AD351">
        <v>12</v>
      </c>
      <c r="AE351">
        <v>16</v>
      </c>
      <c r="AF351">
        <v>300</v>
      </c>
      <c r="AG351">
        <v>141</v>
      </c>
      <c r="AH351">
        <v>190</v>
      </c>
      <c r="AI351">
        <v>66</v>
      </c>
      <c r="AJ351">
        <v>41</v>
      </c>
      <c r="AK351">
        <v>52</v>
      </c>
      <c r="AL351">
        <v>29</v>
      </c>
      <c r="AM351">
        <v>6</v>
      </c>
      <c r="AN351">
        <v>134</v>
      </c>
      <c r="AO351">
        <v>36</v>
      </c>
      <c r="AP351">
        <v>60</v>
      </c>
      <c r="AQ351">
        <v>80</v>
      </c>
      <c r="AR351">
        <v>6169</v>
      </c>
      <c r="AS351">
        <v>8736</v>
      </c>
      <c r="AT351" t="s">
        <v>13</v>
      </c>
      <c r="AU351">
        <v>0.82</v>
      </c>
      <c r="AV351">
        <v>2020</v>
      </c>
      <c r="AW351" s="1">
        <v>45970</v>
      </c>
      <c r="AX351">
        <v>26.4</v>
      </c>
      <c r="AY351" t="s">
        <v>27</v>
      </c>
      <c r="AZ351" t="s">
        <v>17</v>
      </c>
      <c r="BA351" t="s">
        <v>21</v>
      </c>
      <c r="BB351" t="s">
        <v>13</v>
      </c>
      <c r="BC351" t="s">
        <v>13</v>
      </c>
      <c r="BD351">
        <v>2</v>
      </c>
      <c r="BE351" t="s">
        <v>43</v>
      </c>
      <c r="BF351">
        <v>1.1599999999999999</v>
      </c>
    </row>
    <row r="352" spans="1:58" hidden="1" x14ac:dyDescent="0.2">
      <c r="A352">
        <v>351</v>
      </c>
      <c r="B352" t="s">
        <v>0</v>
      </c>
      <c r="C352">
        <v>29</v>
      </c>
      <c r="D352" t="s">
        <v>28</v>
      </c>
      <c r="E352" t="s">
        <v>128</v>
      </c>
      <c r="F352" t="s">
        <v>40</v>
      </c>
      <c r="G352" t="s">
        <v>117</v>
      </c>
      <c r="H352" t="s">
        <v>118</v>
      </c>
      <c r="I352" t="s">
        <v>115</v>
      </c>
      <c r="J352" t="s">
        <v>123</v>
      </c>
      <c r="K352" t="s">
        <v>7</v>
      </c>
      <c r="L352">
        <v>3.6</v>
      </c>
      <c r="M352">
        <v>8.3000000000000007</v>
      </c>
      <c r="N352" t="s">
        <v>39</v>
      </c>
      <c r="O352" t="s">
        <v>41</v>
      </c>
      <c r="P352" t="s">
        <v>9</v>
      </c>
      <c r="Q352">
        <v>36</v>
      </c>
      <c r="R352">
        <v>1</v>
      </c>
      <c r="S352">
        <v>19</v>
      </c>
      <c r="T352">
        <v>119</v>
      </c>
      <c r="U352">
        <v>79</v>
      </c>
      <c r="V352">
        <v>7980</v>
      </c>
      <c r="W352">
        <v>53.9</v>
      </c>
      <c r="X352">
        <v>1</v>
      </c>
      <c r="Y352">
        <v>7</v>
      </c>
      <c r="Z352">
        <v>16</v>
      </c>
      <c r="AA352">
        <v>4.5</v>
      </c>
      <c r="AB352">
        <v>4</v>
      </c>
      <c r="AC352">
        <v>456</v>
      </c>
      <c r="AD352">
        <v>21</v>
      </c>
      <c r="AE352">
        <v>10</v>
      </c>
      <c r="AF352">
        <v>300</v>
      </c>
      <c r="AG352">
        <v>150</v>
      </c>
      <c r="AH352">
        <v>274</v>
      </c>
      <c r="AI352">
        <v>69</v>
      </c>
      <c r="AJ352">
        <v>40</v>
      </c>
      <c r="AK352">
        <v>58</v>
      </c>
      <c r="AL352">
        <v>35</v>
      </c>
      <c r="AM352">
        <v>9</v>
      </c>
      <c r="AN352">
        <v>255</v>
      </c>
      <c r="AO352">
        <v>134</v>
      </c>
      <c r="AP352">
        <v>105</v>
      </c>
      <c r="AQ352">
        <v>154</v>
      </c>
      <c r="AR352">
        <v>1158</v>
      </c>
      <c r="AS352">
        <v>1962</v>
      </c>
      <c r="AT352" t="s">
        <v>7</v>
      </c>
      <c r="AU352">
        <v>0.15</v>
      </c>
      <c r="AV352">
        <v>2012</v>
      </c>
      <c r="AW352" s="1">
        <v>45993</v>
      </c>
      <c r="AX352">
        <v>21.7</v>
      </c>
      <c r="AY352" t="s">
        <v>10</v>
      </c>
      <c r="AZ352" t="s">
        <v>17</v>
      </c>
      <c r="BA352" t="s">
        <v>12</v>
      </c>
      <c r="BB352" t="s">
        <v>7</v>
      </c>
      <c r="BC352" t="s">
        <v>13</v>
      </c>
      <c r="BD352">
        <v>1</v>
      </c>
      <c r="BE352" t="s">
        <v>14</v>
      </c>
      <c r="BF352">
        <v>0.97</v>
      </c>
    </row>
    <row r="353" spans="1:58" hidden="1" x14ac:dyDescent="0.2">
      <c r="A353">
        <v>352</v>
      </c>
      <c r="B353" t="s">
        <v>0</v>
      </c>
      <c r="C353">
        <v>45</v>
      </c>
      <c r="D353" t="s">
        <v>1</v>
      </c>
      <c r="E353" t="s">
        <v>42</v>
      </c>
      <c r="F353" t="s">
        <v>40</v>
      </c>
      <c r="G353" t="s">
        <v>116</v>
      </c>
      <c r="H353" t="s">
        <v>23</v>
      </c>
      <c r="I353" t="s">
        <v>112</v>
      </c>
      <c r="J353" t="s">
        <v>6</v>
      </c>
      <c r="K353" t="s">
        <v>7</v>
      </c>
      <c r="L353">
        <v>9.9</v>
      </c>
      <c r="M353">
        <v>6.6</v>
      </c>
      <c r="N353" t="s">
        <v>29</v>
      </c>
      <c r="O353" t="s">
        <v>13</v>
      </c>
      <c r="P353" t="s">
        <v>9</v>
      </c>
      <c r="Q353">
        <v>9</v>
      </c>
      <c r="R353">
        <v>6</v>
      </c>
      <c r="S353">
        <v>25.4</v>
      </c>
      <c r="T353">
        <v>136</v>
      </c>
      <c r="U353">
        <v>72</v>
      </c>
      <c r="V353">
        <v>7961</v>
      </c>
      <c r="W353">
        <v>48</v>
      </c>
      <c r="X353">
        <v>0</v>
      </c>
      <c r="Y353">
        <v>1</v>
      </c>
      <c r="Z353">
        <v>7</v>
      </c>
      <c r="AA353">
        <v>1</v>
      </c>
      <c r="AB353">
        <v>2</v>
      </c>
      <c r="AC353">
        <v>90</v>
      </c>
      <c r="AD353">
        <v>3</v>
      </c>
      <c r="AE353">
        <v>1</v>
      </c>
      <c r="AF353">
        <v>88</v>
      </c>
      <c r="AG353">
        <v>55</v>
      </c>
      <c r="AH353">
        <v>51</v>
      </c>
      <c r="AI353">
        <v>18</v>
      </c>
      <c r="AJ353">
        <v>19</v>
      </c>
      <c r="AK353">
        <v>10</v>
      </c>
      <c r="AL353">
        <v>10</v>
      </c>
      <c r="AM353">
        <v>4</v>
      </c>
      <c r="AN353">
        <v>50</v>
      </c>
      <c r="AO353">
        <v>25</v>
      </c>
      <c r="AP353">
        <v>9</v>
      </c>
      <c r="AQ353">
        <v>29</v>
      </c>
      <c r="AR353">
        <v>300</v>
      </c>
      <c r="AS353">
        <v>427</v>
      </c>
      <c r="AT353" t="s">
        <v>7</v>
      </c>
      <c r="AU353">
        <v>0.34</v>
      </c>
      <c r="AV353">
        <v>2010</v>
      </c>
      <c r="AW353" s="1">
        <v>45858</v>
      </c>
      <c r="AX353">
        <v>30</v>
      </c>
      <c r="AY353" t="s">
        <v>27</v>
      </c>
      <c r="AZ353" t="s">
        <v>31</v>
      </c>
      <c r="BA353" t="s">
        <v>122</v>
      </c>
      <c r="BB353" t="s">
        <v>7</v>
      </c>
      <c r="BC353" t="s">
        <v>7</v>
      </c>
      <c r="BD353">
        <v>5</v>
      </c>
      <c r="BE353" t="s">
        <v>14</v>
      </c>
      <c r="BF353">
        <v>0.99</v>
      </c>
    </row>
    <row r="354" spans="1:58" hidden="1" x14ac:dyDescent="0.2">
      <c r="A354">
        <v>353</v>
      </c>
      <c r="B354" t="s">
        <v>0</v>
      </c>
      <c r="C354">
        <v>60</v>
      </c>
      <c r="D354" t="s">
        <v>1</v>
      </c>
      <c r="E354" t="s">
        <v>47</v>
      </c>
      <c r="F354" t="s">
        <v>15</v>
      </c>
      <c r="G354" t="s">
        <v>117</v>
      </c>
      <c r="H354" t="s">
        <v>118</v>
      </c>
      <c r="I354" t="s">
        <v>114</v>
      </c>
      <c r="J354" t="s">
        <v>123</v>
      </c>
      <c r="K354" t="s">
        <v>7</v>
      </c>
      <c r="L354">
        <v>2</v>
      </c>
      <c r="M354">
        <v>6.4</v>
      </c>
      <c r="N354" t="s">
        <v>120</v>
      </c>
      <c r="O354" t="s">
        <v>7</v>
      </c>
      <c r="P354" t="s">
        <v>26</v>
      </c>
      <c r="Q354">
        <v>17</v>
      </c>
      <c r="R354">
        <v>10</v>
      </c>
      <c r="S354">
        <v>22.9</v>
      </c>
      <c r="T354">
        <v>148</v>
      </c>
      <c r="U354">
        <v>81</v>
      </c>
      <c r="V354">
        <v>7891</v>
      </c>
      <c r="W354">
        <v>24.3</v>
      </c>
      <c r="X354">
        <v>5</v>
      </c>
      <c r="Y354">
        <v>7</v>
      </c>
      <c r="Z354">
        <v>9</v>
      </c>
      <c r="AA354">
        <v>9.1999999999999993</v>
      </c>
      <c r="AB354">
        <v>3</v>
      </c>
      <c r="AC354">
        <v>138</v>
      </c>
      <c r="AD354">
        <v>16</v>
      </c>
      <c r="AE354">
        <v>1</v>
      </c>
      <c r="AF354">
        <v>103</v>
      </c>
      <c r="AG354">
        <v>90</v>
      </c>
      <c r="AH354">
        <v>109</v>
      </c>
      <c r="AI354">
        <v>27</v>
      </c>
      <c r="AJ354">
        <v>15</v>
      </c>
      <c r="AK354">
        <v>25</v>
      </c>
      <c r="AL354">
        <v>7</v>
      </c>
      <c r="AM354">
        <v>9</v>
      </c>
      <c r="AN354">
        <v>70</v>
      </c>
      <c r="AO354">
        <v>33</v>
      </c>
      <c r="AP354">
        <v>22</v>
      </c>
      <c r="AQ354">
        <v>40</v>
      </c>
      <c r="AR354">
        <v>2697</v>
      </c>
      <c r="AS354">
        <v>1461</v>
      </c>
      <c r="AT354" t="s">
        <v>7</v>
      </c>
      <c r="AU354">
        <v>0.17</v>
      </c>
      <c r="AV354">
        <v>2023</v>
      </c>
      <c r="AW354" s="1">
        <v>45905</v>
      </c>
      <c r="AX354">
        <v>8.6</v>
      </c>
      <c r="AY354" t="s">
        <v>27</v>
      </c>
      <c r="AZ354" t="s">
        <v>35</v>
      </c>
      <c r="BA354" t="s">
        <v>21</v>
      </c>
      <c r="BB354" t="s">
        <v>7</v>
      </c>
      <c r="BC354" t="s">
        <v>13</v>
      </c>
      <c r="BD354">
        <v>0</v>
      </c>
      <c r="BE354" t="s">
        <v>14</v>
      </c>
      <c r="BF354">
        <v>1.19</v>
      </c>
    </row>
    <row r="355" spans="1:58" hidden="1" x14ac:dyDescent="0.2">
      <c r="A355">
        <v>354</v>
      </c>
      <c r="B355" t="s">
        <v>0</v>
      </c>
      <c r="C355">
        <v>24</v>
      </c>
      <c r="D355" t="s">
        <v>28</v>
      </c>
      <c r="E355" t="s">
        <v>47</v>
      </c>
      <c r="F355" t="s">
        <v>40</v>
      </c>
      <c r="G355" t="s">
        <v>16</v>
      </c>
      <c r="H355" t="s">
        <v>24</v>
      </c>
      <c r="I355" t="s">
        <v>112</v>
      </c>
      <c r="J355" t="s">
        <v>6</v>
      </c>
      <c r="K355" t="s">
        <v>7</v>
      </c>
      <c r="L355">
        <v>6.3</v>
      </c>
      <c r="M355">
        <v>6.2</v>
      </c>
      <c r="N355" t="s">
        <v>8</v>
      </c>
      <c r="O355" t="s">
        <v>7</v>
      </c>
      <c r="P355" t="s">
        <v>26</v>
      </c>
      <c r="Q355">
        <v>9</v>
      </c>
      <c r="R355">
        <v>7</v>
      </c>
      <c r="S355">
        <v>23.2</v>
      </c>
      <c r="T355">
        <v>145</v>
      </c>
      <c r="U355">
        <v>87</v>
      </c>
      <c r="V355">
        <v>7920</v>
      </c>
      <c r="W355">
        <v>45.8</v>
      </c>
      <c r="X355">
        <v>3</v>
      </c>
      <c r="Y355">
        <v>3</v>
      </c>
      <c r="Z355">
        <v>10</v>
      </c>
      <c r="AA355">
        <v>4.7</v>
      </c>
      <c r="AB355">
        <v>1</v>
      </c>
      <c r="AC355">
        <v>92</v>
      </c>
      <c r="AD355">
        <v>4</v>
      </c>
      <c r="AE355">
        <v>9</v>
      </c>
      <c r="AF355">
        <v>186</v>
      </c>
      <c r="AG355">
        <v>70</v>
      </c>
      <c r="AH355">
        <v>83</v>
      </c>
      <c r="AI355">
        <v>18</v>
      </c>
      <c r="AJ355">
        <v>31</v>
      </c>
      <c r="AK355">
        <v>15</v>
      </c>
      <c r="AL355">
        <v>15</v>
      </c>
      <c r="AM355">
        <v>1</v>
      </c>
      <c r="AN355">
        <v>50</v>
      </c>
      <c r="AO355">
        <v>19</v>
      </c>
      <c r="AP355">
        <v>21</v>
      </c>
      <c r="AQ355">
        <v>20</v>
      </c>
      <c r="AR355">
        <v>2736</v>
      </c>
      <c r="AS355">
        <v>1932</v>
      </c>
      <c r="AT355" t="s">
        <v>7</v>
      </c>
      <c r="AU355">
        <v>0.05</v>
      </c>
      <c r="AV355">
        <v>2019</v>
      </c>
      <c r="AW355" s="1">
        <v>45683</v>
      </c>
      <c r="AX355">
        <v>23</v>
      </c>
      <c r="AY355" t="s">
        <v>36</v>
      </c>
      <c r="AZ355" t="s">
        <v>11</v>
      </c>
      <c r="BA355" t="s">
        <v>12</v>
      </c>
      <c r="BB355" t="s">
        <v>13</v>
      </c>
      <c r="BC355" t="s">
        <v>7</v>
      </c>
      <c r="BD355">
        <v>5</v>
      </c>
      <c r="BE355" t="s">
        <v>14</v>
      </c>
      <c r="BF355">
        <v>1.57</v>
      </c>
    </row>
    <row r="356" spans="1:58" hidden="1" x14ac:dyDescent="0.2">
      <c r="A356">
        <v>355</v>
      </c>
      <c r="B356" t="s">
        <v>0</v>
      </c>
      <c r="C356">
        <v>63</v>
      </c>
      <c r="D356" t="s">
        <v>28</v>
      </c>
      <c r="E356" t="s">
        <v>128</v>
      </c>
      <c r="F356" t="s">
        <v>40</v>
      </c>
      <c r="G356" t="s">
        <v>116</v>
      </c>
      <c r="H356" t="s">
        <v>118</v>
      </c>
      <c r="I356" t="s">
        <v>112</v>
      </c>
      <c r="J356" t="s">
        <v>123</v>
      </c>
      <c r="K356" t="s">
        <v>13</v>
      </c>
      <c r="L356">
        <v>12.4</v>
      </c>
      <c r="M356">
        <v>7.7</v>
      </c>
      <c r="N356" t="s">
        <v>29</v>
      </c>
      <c r="O356" t="s">
        <v>7</v>
      </c>
      <c r="P356" t="s">
        <v>9</v>
      </c>
      <c r="Q356">
        <v>22</v>
      </c>
      <c r="R356">
        <v>6</v>
      </c>
      <c r="S356">
        <v>26</v>
      </c>
      <c r="T356">
        <v>159</v>
      </c>
      <c r="U356">
        <v>65</v>
      </c>
      <c r="V356">
        <v>7995</v>
      </c>
      <c r="W356">
        <v>41.7</v>
      </c>
      <c r="X356">
        <v>2</v>
      </c>
      <c r="Y356">
        <v>3</v>
      </c>
      <c r="Z356">
        <v>12</v>
      </c>
      <c r="AA356">
        <v>6.8</v>
      </c>
      <c r="AB356">
        <v>4</v>
      </c>
      <c r="AC356">
        <v>168</v>
      </c>
      <c r="AD356">
        <v>7</v>
      </c>
      <c r="AE356">
        <v>3</v>
      </c>
      <c r="AF356">
        <v>155</v>
      </c>
      <c r="AG356">
        <v>111</v>
      </c>
      <c r="AH356">
        <v>103</v>
      </c>
      <c r="AI356">
        <v>34</v>
      </c>
      <c r="AJ356">
        <v>31</v>
      </c>
      <c r="AK356">
        <v>29</v>
      </c>
      <c r="AL356">
        <v>18</v>
      </c>
      <c r="AM356">
        <v>6</v>
      </c>
      <c r="AN356">
        <v>82</v>
      </c>
      <c r="AO356">
        <v>28</v>
      </c>
      <c r="AP356">
        <v>18</v>
      </c>
      <c r="AQ356">
        <v>53</v>
      </c>
      <c r="AR356">
        <v>327</v>
      </c>
      <c r="AS356">
        <v>445</v>
      </c>
      <c r="AT356" t="s">
        <v>7</v>
      </c>
      <c r="AU356">
        <v>0.91</v>
      </c>
      <c r="AV356">
        <v>2011</v>
      </c>
      <c r="AW356" s="1">
        <v>45662</v>
      </c>
      <c r="AX356">
        <v>24</v>
      </c>
      <c r="AY356" t="s">
        <v>27</v>
      </c>
      <c r="AZ356" t="s">
        <v>51</v>
      </c>
      <c r="BA356" t="s">
        <v>122</v>
      </c>
      <c r="BB356" t="s">
        <v>13</v>
      </c>
      <c r="BC356" t="s">
        <v>7</v>
      </c>
      <c r="BD356">
        <v>1</v>
      </c>
      <c r="BE356" t="s">
        <v>43</v>
      </c>
      <c r="BF356">
        <v>1.07</v>
      </c>
    </row>
    <row r="357" spans="1:58" hidden="1" x14ac:dyDescent="0.2">
      <c r="A357">
        <v>356</v>
      </c>
      <c r="B357" t="s">
        <v>0</v>
      </c>
      <c r="C357">
        <v>34</v>
      </c>
      <c r="D357" t="s">
        <v>28</v>
      </c>
      <c r="E357" t="s">
        <v>126</v>
      </c>
      <c r="F357" t="s">
        <v>40</v>
      </c>
      <c r="G357" t="s">
        <v>116</v>
      </c>
      <c r="H357" t="s">
        <v>34</v>
      </c>
      <c r="I357" t="s">
        <v>115</v>
      </c>
      <c r="J357" t="s">
        <v>6</v>
      </c>
      <c r="K357" t="s">
        <v>7</v>
      </c>
      <c r="L357">
        <v>4.7</v>
      </c>
      <c r="M357">
        <v>6.5</v>
      </c>
      <c r="N357" t="s">
        <v>29</v>
      </c>
      <c r="O357" t="s">
        <v>7</v>
      </c>
      <c r="P357" t="s">
        <v>26</v>
      </c>
      <c r="Q357">
        <v>12</v>
      </c>
      <c r="R357">
        <v>10</v>
      </c>
      <c r="S357">
        <v>22.6</v>
      </c>
      <c r="T357">
        <v>115</v>
      </c>
      <c r="U357">
        <v>78</v>
      </c>
      <c r="V357">
        <v>7922</v>
      </c>
      <c r="W357">
        <v>32.299999999999997</v>
      </c>
      <c r="X357">
        <v>4</v>
      </c>
      <c r="Y357">
        <v>5</v>
      </c>
      <c r="Z357">
        <v>10</v>
      </c>
      <c r="AA357">
        <v>11</v>
      </c>
      <c r="AB357">
        <v>1</v>
      </c>
      <c r="AC357">
        <v>66</v>
      </c>
      <c r="AD357">
        <v>3</v>
      </c>
      <c r="AE357">
        <v>2</v>
      </c>
      <c r="AF357">
        <v>92</v>
      </c>
      <c r="AG357">
        <v>57</v>
      </c>
      <c r="AH357">
        <v>69</v>
      </c>
      <c r="AI357">
        <v>23</v>
      </c>
      <c r="AJ357">
        <v>21</v>
      </c>
      <c r="AK357">
        <v>15</v>
      </c>
      <c r="AL357">
        <v>9</v>
      </c>
      <c r="AM357">
        <v>2</v>
      </c>
      <c r="AN357">
        <v>32</v>
      </c>
      <c r="AO357">
        <v>19</v>
      </c>
      <c r="AP357">
        <v>16</v>
      </c>
      <c r="AQ357">
        <v>14</v>
      </c>
      <c r="AR357">
        <v>804</v>
      </c>
      <c r="AS357">
        <v>396</v>
      </c>
      <c r="AT357" t="s">
        <v>7</v>
      </c>
      <c r="AU357">
        <v>0.36</v>
      </c>
      <c r="AV357">
        <v>2016</v>
      </c>
      <c r="AW357" s="1">
        <v>45880</v>
      </c>
      <c r="AX357">
        <v>22</v>
      </c>
      <c r="AY357" t="s">
        <v>19</v>
      </c>
      <c r="AZ357" t="s">
        <v>11</v>
      </c>
      <c r="BA357" t="s">
        <v>122</v>
      </c>
      <c r="BB357" t="s">
        <v>13</v>
      </c>
      <c r="BC357" t="s">
        <v>7</v>
      </c>
      <c r="BD357">
        <v>1</v>
      </c>
      <c r="BE357" t="s">
        <v>14</v>
      </c>
      <c r="BF357">
        <v>1.81</v>
      </c>
    </row>
    <row r="358" spans="1:58" hidden="1" x14ac:dyDescent="0.2">
      <c r="A358">
        <v>357</v>
      </c>
      <c r="B358" t="s">
        <v>0</v>
      </c>
      <c r="C358">
        <v>34</v>
      </c>
      <c r="D358" t="s">
        <v>1</v>
      </c>
      <c r="E358" t="s">
        <v>128</v>
      </c>
      <c r="F358" t="s">
        <v>3</v>
      </c>
      <c r="G358" t="s">
        <v>4</v>
      </c>
      <c r="H358" t="s">
        <v>118</v>
      </c>
      <c r="I358" t="s">
        <v>114</v>
      </c>
      <c r="J358" t="s">
        <v>123</v>
      </c>
      <c r="K358" t="s">
        <v>7</v>
      </c>
      <c r="L358">
        <v>3.3</v>
      </c>
      <c r="M358">
        <v>5.7</v>
      </c>
      <c r="N358" t="s">
        <v>29</v>
      </c>
      <c r="O358" t="s">
        <v>7</v>
      </c>
      <c r="P358" t="s">
        <v>121</v>
      </c>
      <c r="Q358">
        <v>38</v>
      </c>
      <c r="R358">
        <v>8</v>
      </c>
      <c r="S358">
        <v>28.3</v>
      </c>
      <c r="T358">
        <v>99</v>
      </c>
      <c r="U358">
        <v>89</v>
      </c>
      <c r="V358">
        <v>7833</v>
      </c>
      <c r="W358">
        <v>42.8</v>
      </c>
      <c r="X358">
        <v>2</v>
      </c>
      <c r="Y358">
        <v>7</v>
      </c>
      <c r="Z358">
        <v>10</v>
      </c>
      <c r="AA358">
        <v>11.2</v>
      </c>
      <c r="AB358">
        <v>1</v>
      </c>
      <c r="AC358">
        <v>330</v>
      </c>
      <c r="AD358">
        <v>10</v>
      </c>
      <c r="AE358">
        <v>7</v>
      </c>
      <c r="AF358">
        <v>246</v>
      </c>
      <c r="AG358">
        <v>149</v>
      </c>
      <c r="AH358">
        <v>196</v>
      </c>
      <c r="AI358">
        <v>55</v>
      </c>
      <c r="AJ358">
        <v>39</v>
      </c>
      <c r="AK358">
        <v>48</v>
      </c>
      <c r="AL358">
        <v>39</v>
      </c>
      <c r="AM358">
        <v>8</v>
      </c>
      <c r="AN358">
        <v>197</v>
      </c>
      <c r="AO358">
        <v>56</v>
      </c>
      <c r="AP358">
        <v>36</v>
      </c>
      <c r="AQ358">
        <v>122</v>
      </c>
      <c r="AR358">
        <v>636</v>
      </c>
      <c r="AS358">
        <v>1406</v>
      </c>
      <c r="AT358" t="s">
        <v>7</v>
      </c>
      <c r="AU358">
        <v>0.75</v>
      </c>
      <c r="AV358">
        <v>2023</v>
      </c>
      <c r="AW358" s="1">
        <v>45851</v>
      </c>
      <c r="AX358">
        <v>33</v>
      </c>
      <c r="AY358" t="s">
        <v>10</v>
      </c>
      <c r="AZ358" t="s">
        <v>11</v>
      </c>
      <c r="BA358" t="s">
        <v>21</v>
      </c>
      <c r="BB358" t="s">
        <v>13</v>
      </c>
      <c r="BC358" t="s">
        <v>13</v>
      </c>
      <c r="BD358">
        <v>0</v>
      </c>
      <c r="BE358" t="s">
        <v>14</v>
      </c>
      <c r="BF358">
        <v>0.99</v>
      </c>
    </row>
    <row r="359" spans="1:58" hidden="1" x14ac:dyDescent="0.2">
      <c r="A359">
        <v>358</v>
      </c>
      <c r="B359" t="s">
        <v>0</v>
      </c>
      <c r="C359">
        <v>58</v>
      </c>
      <c r="D359" t="s">
        <v>1</v>
      </c>
      <c r="E359" t="s">
        <v>17</v>
      </c>
      <c r="F359" t="s">
        <v>40</v>
      </c>
      <c r="G359" t="s">
        <v>16</v>
      </c>
      <c r="H359" t="s">
        <v>34</v>
      </c>
      <c r="I359" t="s">
        <v>112</v>
      </c>
      <c r="J359" t="s">
        <v>32</v>
      </c>
      <c r="K359" t="s">
        <v>7</v>
      </c>
      <c r="L359">
        <v>3.2</v>
      </c>
      <c r="M359">
        <v>8.5</v>
      </c>
      <c r="N359" t="s">
        <v>29</v>
      </c>
      <c r="O359" t="s">
        <v>7</v>
      </c>
      <c r="P359" t="s">
        <v>9</v>
      </c>
      <c r="Q359">
        <v>20</v>
      </c>
      <c r="R359">
        <v>3</v>
      </c>
      <c r="S359">
        <v>32.4</v>
      </c>
      <c r="T359">
        <v>114</v>
      </c>
      <c r="U359">
        <v>88</v>
      </c>
      <c r="V359">
        <v>7984</v>
      </c>
      <c r="W359">
        <v>42.4</v>
      </c>
      <c r="X359">
        <v>5</v>
      </c>
      <c r="Y359">
        <v>1</v>
      </c>
      <c r="Z359">
        <v>9</v>
      </c>
      <c r="AA359">
        <v>5.0999999999999996</v>
      </c>
      <c r="AB359">
        <v>3</v>
      </c>
      <c r="AC359">
        <v>163</v>
      </c>
      <c r="AD359">
        <v>12</v>
      </c>
      <c r="AE359">
        <v>3</v>
      </c>
      <c r="AF359">
        <v>138</v>
      </c>
      <c r="AG359">
        <v>82</v>
      </c>
      <c r="AH359">
        <v>85</v>
      </c>
      <c r="AI359">
        <v>24</v>
      </c>
      <c r="AJ359">
        <v>22</v>
      </c>
      <c r="AK359">
        <v>25</v>
      </c>
      <c r="AL359">
        <v>19</v>
      </c>
      <c r="AM359">
        <v>4</v>
      </c>
      <c r="AN359">
        <v>83</v>
      </c>
      <c r="AO359">
        <v>37</v>
      </c>
      <c r="AP359">
        <v>34</v>
      </c>
      <c r="AQ359">
        <v>36</v>
      </c>
      <c r="AR359">
        <v>395</v>
      </c>
      <c r="AS359">
        <v>331</v>
      </c>
      <c r="AT359" t="s">
        <v>7</v>
      </c>
      <c r="AU359">
        <v>0.44</v>
      </c>
      <c r="AV359">
        <v>2011</v>
      </c>
      <c r="AW359" s="1">
        <v>45821</v>
      </c>
      <c r="AX359">
        <v>13.6</v>
      </c>
      <c r="AY359" t="s">
        <v>30</v>
      </c>
      <c r="AZ359" t="s">
        <v>48</v>
      </c>
      <c r="BA359" t="s">
        <v>12</v>
      </c>
      <c r="BB359" t="s">
        <v>7</v>
      </c>
      <c r="BC359" t="s">
        <v>7</v>
      </c>
      <c r="BD359">
        <v>3</v>
      </c>
      <c r="BE359" t="s">
        <v>14</v>
      </c>
      <c r="BF359">
        <v>0.87</v>
      </c>
    </row>
    <row r="360" spans="1:58" hidden="1" x14ac:dyDescent="0.2">
      <c r="A360">
        <v>359</v>
      </c>
      <c r="B360" t="s">
        <v>0</v>
      </c>
      <c r="C360">
        <v>42</v>
      </c>
      <c r="D360" t="s">
        <v>1</v>
      </c>
      <c r="E360" t="s">
        <v>42</v>
      </c>
      <c r="F360" t="s">
        <v>3</v>
      </c>
      <c r="G360" t="s">
        <v>117</v>
      </c>
      <c r="H360" t="s">
        <v>118</v>
      </c>
      <c r="I360" t="s">
        <v>53</v>
      </c>
      <c r="J360" t="s">
        <v>6</v>
      </c>
      <c r="K360" t="s">
        <v>13</v>
      </c>
      <c r="L360">
        <v>5.9</v>
      </c>
      <c r="M360">
        <v>7</v>
      </c>
      <c r="N360" t="s">
        <v>8</v>
      </c>
      <c r="O360" t="s">
        <v>7</v>
      </c>
      <c r="P360" t="s">
        <v>26</v>
      </c>
      <c r="Q360">
        <v>33</v>
      </c>
      <c r="R360">
        <v>8</v>
      </c>
      <c r="S360">
        <v>27.3</v>
      </c>
      <c r="T360">
        <v>151</v>
      </c>
      <c r="U360">
        <v>82</v>
      </c>
      <c r="V360">
        <v>8041</v>
      </c>
      <c r="W360">
        <v>32.4</v>
      </c>
      <c r="X360">
        <v>3</v>
      </c>
      <c r="Y360">
        <v>5</v>
      </c>
      <c r="Z360">
        <v>11</v>
      </c>
      <c r="AA360">
        <v>1.7</v>
      </c>
      <c r="AB360">
        <v>3</v>
      </c>
      <c r="AC360">
        <v>317</v>
      </c>
      <c r="AD360">
        <v>11</v>
      </c>
      <c r="AE360">
        <v>10</v>
      </c>
      <c r="AF360">
        <v>255</v>
      </c>
      <c r="AG360">
        <v>150</v>
      </c>
      <c r="AH360">
        <v>180</v>
      </c>
      <c r="AI360">
        <v>48</v>
      </c>
      <c r="AJ360">
        <v>42</v>
      </c>
      <c r="AK360">
        <v>62</v>
      </c>
      <c r="AL360">
        <v>36</v>
      </c>
      <c r="AM360">
        <v>7</v>
      </c>
      <c r="AN360">
        <v>188</v>
      </c>
      <c r="AO360">
        <v>78</v>
      </c>
      <c r="AP360">
        <v>35</v>
      </c>
      <c r="AQ360">
        <v>78</v>
      </c>
      <c r="AR360">
        <v>5030</v>
      </c>
      <c r="AS360">
        <v>2077</v>
      </c>
      <c r="AT360" t="s">
        <v>13</v>
      </c>
      <c r="AU360">
        <v>0.86</v>
      </c>
      <c r="AV360">
        <v>2024</v>
      </c>
      <c r="AW360" s="1">
        <v>45775</v>
      </c>
      <c r="AX360">
        <v>28.8</v>
      </c>
      <c r="AY360" t="s">
        <v>10</v>
      </c>
      <c r="AZ360" t="s">
        <v>51</v>
      </c>
      <c r="BA360" t="s">
        <v>21</v>
      </c>
      <c r="BB360" t="s">
        <v>13</v>
      </c>
      <c r="BC360" t="s">
        <v>7</v>
      </c>
      <c r="BD360">
        <v>2</v>
      </c>
      <c r="BE360" t="s">
        <v>14</v>
      </c>
      <c r="BF360">
        <v>0.96</v>
      </c>
    </row>
    <row r="361" spans="1:58" hidden="1" x14ac:dyDescent="0.2">
      <c r="A361">
        <v>360</v>
      </c>
      <c r="B361" t="s">
        <v>0</v>
      </c>
      <c r="C361">
        <v>50</v>
      </c>
      <c r="D361" t="s">
        <v>28</v>
      </c>
      <c r="E361" t="s">
        <v>17</v>
      </c>
      <c r="F361" t="s">
        <v>15</v>
      </c>
      <c r="G361" t="s">
        <v>38</v>
      </c>
      <c r="H361" t="s">
        <v>118</v>
      </c>
      <c r="I361" t="s">
        <v>114</v>
      </c>
      <c r="J361" t="s">
        <v>32</v>
      </c>
      <c r="K361" t="s">
        <v>7</v>
      </c>
      <c r="L361">
        <v>2.8</v>
      </c>
      <c r="M361">
        <v>4.5999999999999996</v>
      </c>
      <c r="N361" t="s">
        <v>25</v>
      </c>
      <c r="O361" t="s">
        <v>7</v>
      </c>
      <c r="P361" t="s">
        <v>26</v>
      </c>
      <c r="Q361">
        <v>1</v>
      </c>
      <c r="R361">
        <v>7</v>
      </c>
      <c r="S361">
        <v>22.9</v>
      </c>
      <c r="T361">
        <v>148</v>
      </c>
      <c r="U361">
        <v>75</v>
      </c>
      <c r="V361">
        <v>8151</v>
      </c>
      <c r="W361">
        <v>42.2</v>
      </c>
      <c r="X361">
        <v>6</v>
      </c>
      <c r="Y361">
        <v>1</v>
      </c>
      <c r="Z361">
        <v>8</v>
      </c>
      <c r="AA361">
        <v>4.7</v>
      </c>
      <c r="AB361">
        <v>2</v>
      </c>
      <c r="AC361">
        <v>5</v>
      </c>
      <c r="AD361">
        <v>1</v>
      </c>
      <c r="AE361">
        <v>4</v>
      </c>
      <c r="AF361">
        <v>55</v>
      </c>
      <c r="AG361">
        <v>31</v>
      </c>
      <c r="AH361">
        <v>26</v>
      </c>
      <c r="AI361">
        <v>8</v>
      </c>
      <c r="AJ361">
        <v>9</v>
      </c>
      <c r="AK361">
        <v>6</v>
      </c>
      <c r="AL361">
        <v>5</v>
      </c>
      <c r="AM361">
        <v>0</v>
      </c>
      <c r="AN361">
        <v>2</v>
      </c>
      <c r="AO361">
        <v>1</v>
      </c>
      <c r="AP361">
        <v>1</v>
      </c>
      <c r="AQ361">
        <v>1</v>
      </c>
      <c r="AR361">
        <v>3211</v>
      </c>
      <c r="AS361">
        <v>7588</v>
      </c>
      <c r="AT361" t="s">
        <v>7</v>
      </c>
      <c r="AU361">
        <v>0.35</v>
      </c>
      <c r="AV361">
        <v>2013</v>
      </c>
      <c r="AW361" s="1">
        <v>45887</v>
      </c>
      <c r="AX361">
        <v>5</v>
      </c>
      <c r="AY361" t="s">
        <v>27</v>
      </c>
      <c r="AZ361" t="s">
        <v>20</v>
      </c>
      <c r="BA361" t="s">
        <v>122</v>
      </c>
      <c r="BB361" t="s">
        <v>13</v>
      </c>
      <c r="BC361" t="s">
        <v>7</v>
      </c>
      <c r="BD361">
        <v>1</v>
      </c>
      <c r="BE361" t="s">
        <v>49</v>
      </c>
      <c r="BF361">
        <v>9</v>
      </c>
    </row>
    <row r="362" spans="1:58" hidden="1" x14ac:dyDescent="0.2">
      <c r="A362">
        <v>361</v>
      </c>
      <c r="B362" t="s">
        <v>0</v>
      </c>
      <c r="C362">
        <v>50</v>
      </c>
      <c r="D362" t="s">
        <v>28</v>
      </c>
      <c r="E362" t="s">
        <v>2</v>
      </c>
      <c r="F362" t="s">
        <v>40</v>
      </c>
      <c r="G362" t="s">
        <v>16</v>
      </c>
      <c r="H362" t="s">
        <v>118</v>
      </c>
      <c r="I362" t="s">
        <v>114</v>
      </c>
      <c r="J362" t="s">
        <v>6</v>
      </c>
      <c r="K362" t="s">
        <v>7</v>
      </c>
      <c r="L362">
        <v>11.1</v>
      </c>
      <c r="M362">
        <v>7.3</v>
      </c>
      <c r="N362" t="s">
        <v>25</v>
      </c>
      <c r="O362" t="s">
        <v>7</v>
      </c>
      <c r="P362" t="s">
        <v>121</v>
      </c>
      <c r="Q362">
        <v>22</v>
      </c>
      <c r="R362">
        <v>6</v>
      </c>
      <c r="S362">
        <v>20.5</v>
      </c>
      <c r="T362">
        <v>119</v>
      </c>
      <c r="U362">
        <v>96</v>
      </c>
      <c r="V362">
        <v>8051</v>
      </c>
      <c r="W362">
        <v>35.299999999999997</v>
      </c>
      <c r="X362">
        <v>4</v>
      </c>
      <c r="Y362">
        <v>11</v>
      </c>
      <c r="Z362">
        <v>8</v>
      </c>
      <c r="AA362">
        <v>3.6</v>
      </c>
      <c r="AB362">
        <v>2</v>
      </c>
      <c r="AC362">
        <v>157</v>
      </c>
      <c r="AD362">
        <v>6</v>
      </c>
      <c r="AE362">
        <v>0</v>
      </c>
      <c r="AF362">
        <v>134</v>
      </c>
      <c r="AG362">
        <v>78</v>
      </c>
      <c r="AH362">
        <v>104</v>
      </c>
      <c r="AI362">
        <v>32</v>
      </c>
      <c r="AJ362">
        <v>23</v>
      </c>
      <c r="AK362">
        <v>32</v>
      </c>
      <c r="AL362">
        <v>25</v>
      </c>
      <c r="AM362">
        <v>7</v>
      </c>
      <c r="AN362">
        <v>68</v>
      </c>
      <c r="AO362">
        <v>39</v>
      </c>
      <c r="AP362">
        <v>30</v>
      </c>
      <c r="AQ362">
        <v>51</v>
      </c>
      <c r="AR362">
        <v>924</v>
      </c>
      <c r="AS362">
        <v>2190</v>
      </c>
      <c r="AT362" t="s">
        <v>7</v>
      </c>
      <c r="AU362">
        <v>0.64</v>
      </c>
      <c r="AV362">
        <v>2019</v>
      </c>
      <c r="AW362" s="1">
        <v>45754</v>
      </c>
      <c r="AX362">
        <v>26.2</v>
      </c>
      <c r="AY362" t="s">
        <v>45</v>
      </c>
      <c r="AZ362" t="s">
        <v>35</v>
      </c>
      <c r="BA362" t="s">
        <v>12</v>
      </c>
      <c r="BB362" t="s">
        <v>13</v>
      </c>
      <c r="BC362" t="s">
        <v>7</v>
      </c>
      <c r="BD362">
        <v>3</v>
      </c>
      <c r="BE362" t="s">
        <v>14</v>
      </c>
      <c r="BF362">
        <v>1.06</v>
      </c>
    </row>
    <row r="363" spans="1:58" hidden="1" x14ac:dyDescent="0.2">
      <c r="A363">
        <v>362</v>
      </c>
      <c r="B363" t="s">
        <v>0</v>
      </c>
      <c r="C363">
        <v>57</v>
      </c>
      <c r="D363" t="s">
        <v>1</v>
      </c>
      <c r="E363" t="s">
        <v>128</v>
      </c>
      <c r="F363" t="s">
        <v>40</v>
      </c>
      <c r="G363" t="s">
        <v>117</v>
      </c>
      <c r="H363" t="s">
        <v>23</v>
      </c>
      <c r="I363" t="s">
        <v>115</v>
      </c>
      <c r="J363" t="s">
        <v>6</v>
      </c>
      <c r="K363" t="s">
        <v>7</v>
      </c>
      <c r="L363">
        <v>13.5</v>
      </c>
      <c r="M363">
        <v>8.3000000000000007</v>
      </c>
      <c r="N363" t="s">
        <v>120</v>
      </c>
      <c r="O363" t="s">
        <v>7</v>
      </c>
      <c r="P363" t="s">
        <v>26</v>
      </c>
      <c r="Q363">
        <v>4</v>
      </c>
      <c r="R363">
        <v>3</v>
      </c>
      <c r="S363">
        <v>15</v>
      </c>
      <c r="T363">
        <v>126</v>
      </c>
      <c r="U363">
        <v>77</v>
      </c>
      <c r="V363">
        <v>8047</v>
      </c>
      <c r="W363">
        <v>32.6</v>
      </c>
      <c r="X363">
        <v>3</v>
      </c>
      <c r="Y363">
        <v>4</v>
      </c>
      <c r="Z363">
        <v>11</v>
      </c>
      <c r="AA363">
        <v>2.4</v>
      </c>
      <c r="AB363">
        <v>4</v>
      </c>
      <c r="AC363">
        <v>67</v>
      </c>
      <c r="AD363">
        <v>4</v>
      </c>
      <c r="AE363">
        <v>2</v>
      </c>
      <c r="AF363">
        <v>85</v>
      </c>
      <c r="AG363">
        <v>56</v>
      </c>
      <c r="AH363">
        <v>55</v>
      </c>
      <c r="AI363">
        <v>12</v>
      </c>
      <c r="AJ363">
        <v>16</v>
      </c>
      <c r="AK363">
        <v>16</v>
      </c>
      <c r="AL363">
        <v>12</v>
      </c>
      <c r="AM363">
        <v>2</v>
      </c>
      <c r="AN363">
        <v>35</v>
      </c>
      <c r="AO363">
        <v>12</v>
      </c>
      <c r="AP363">
        <v>11</v>
      </c>
      <c r="AQ363">
        <v>17</v>
      </c>
      <c r="AR363">
        <v>5710</v>
      </c>
      <c r="AS363">
        <v>10000</v>
      </c>
      <c r="AT363" t="s">
        <v>7</v>
      </c>
      <c r="AU363">
        <v>0.6</v>
      </c>
      <c r="AV363">
        <v>2017</v>
      </c>
      <c r="AW363" s="1">
        <v>45715</v>
      </c>
      <c r="AX363">
        <v>16.8</v>
      </c>
      <c r="AY363" t="s">
        <v>19</v>
      </c>
      <c r="AZ363" t="s">
        <v>48</v>
      </c>
      <c r="BA363" t="s">
        <v>12</v>
      </c>
      <c r="BB363" t="s">
        <v>13</v>
      </c>
      <c r="BC363" t="s">
        <v>7</v>
      </c>
      <c r="BD363">
        <v>1</v>
      </c>
      <c r="BE363" t="s">
        <v>14</v>
      </c>
      <c r="BF363">
        <v>1.25</v>
      </c>
    </row>
    <row r="364" spans="1:58" hidden="1" x14ac:dyDescent="0.2">
      <c r="A364">
        <v>363</v>
      </c>
      <c r="B364" t="s">
        <v>0</v>
      </c>
      <c r="C364">
        <v>63</v>
      </c>
      <c r="D364" t="s">
        <v>28</v>
      </c>
      <c r="E364" t="s">
        <v>127</v>
      </c>
      <c r="F364" t="s">
        <v>3</v>
      </c>
      <c r="G364" t="s">
        <v>117</v>
      </c>
      <c r="H364" t="s">
        <v>118</v>
      </c>
      <c r="I364" t="s">
        <v>112</v>
      </c>
      <c r="J364" t="s">
        <v>6</v>
      </c>
      <c r="K364" t="s">
        <v>7</v>
      </c>
      <c r="L364">
        <v>3.3</v>
      </c>
      <c r="M364">
        <v>7.3</v>
      </c>
      <c r="N364" t="s">
        <v>39</v>
      </c>
      <c r="O364" t="s">
        <v>7</v>
      </c>
      <c r="P364" t="s">
        <v>9</v>
      </c>
      <c r="Q364">
        <v>6</v>
      </c>
      <c r="R364">
        <v>9</v>
      </c>
      <c r="S364">
        <v>25.3</v>
      </c>
      <c r="T364">
        <v>98</v>
      </c>
      <c r="U364">
        <v>65</v>
      </c>
      <c r="V364">
        <v>7956</v>
      </c>
      <c r="W364">
        <v>50.1</v>
      </c>
      <c r="X364">
        <v>3</v>
      </c>
      <c r="Y364">
        <v>3</v>
      </c>
      <c r="Z364">
        <v>9</v>
      </c>
      <c r="AA364">
        <v>2.7</v>
      </c>
      <c r="AB364">
        <v>2</v>
      </c>
      <c r="AC364">
        <v>47</v>
      </c>
      <c r="AD364">
        <v>2</v>
      </c>
      <c r="AE364">
        <v>2</v>
      </c>
      <c r="AF364">
        <v>59</v>
      </c>
      <c r="AG364">
        <v>50</v>
      </c>
      <c r="AH364">
        <v>54</v>
      </c>
      <c r="AI364">
        <v>13</v>
      </c>
      <c r="AJ364">
        <v>7</v>
      </c>
      <c r="AK364">
        <v>16</v>
      </c>
      <c r="AL364">
        <v>11</v>
      </c>
      <c r="AM364">
        <v>3</v>
      </c>
      <c r="AN364">
        <v>25</v>
      </c>
      <c r="AO364">
        <v>9</v>
      </c>
      <c r="AP364">
        <v>5</v>
      </c>
      <c r="AQ364">
        <v>12</v>
      </c>
      <c r="AR364">
        <v>314</v>
      </c>
      <c r="AS364">
        <v>253</v>
      </c>
      <c r="AT364" t="s">
        <v>7</v>
      </c>
      <c r="AU364">
        <v>0.13</v>
      </c>
      <c r="AV364">
        <v>2019</v>
      </c>
      <c r="AW364" s="1">
        <v>45968</v>
      </c>
      <c r="AX364">
        <v>23.5</v>
      </c>
      <c r="AY364" t="s">
        <v>27</v>
      </c>
      <c r="AZ364" t="s">
        <v>51</v>
      </c>
      <c r="BA364" t="s">
        <v>12</v>
      </c>
      <c r="BB364" t="s">
        <v>13</v>
      </c>
      <c r="BC364" t="s">
        <v>13</v>
      </c>
      <c r="BD364">
        <v>1</v>
      </c>
      <c r="BE364" t="s">
        <v>14</v>
      </c>
      <c r="BF364">
        <v>1.79</v>
      </c>
    </row>
    <row r="365" spans="1:58" hidden="1" x14ac:dyDescent="0.2">
      <c r="A365">
        <v>364</v>
      </c>
      <c r="B365" t="s">
        <v>0</v>
      </c>
      <c r="C365">
        <v>20</v>
      </c>
      <c r="D365" t="s">
        <v>1</v>
      </c>
      <c r="E365" t="s">
        <v>127</v>
      </c>
      <c r="F365" t="s">
        <v>15</v>
      </c>
      <c r="G365" t="s">
        <v>16</v>
      </c>
      <c r="H365" t="s">
        <v>24</v>
      </c>
      <c r="I365" t="s">
        <v>112</v>
      </c>
      <c r="J365" t="s">
        <v>6</v>
      </c>
      <c r="K365" t="s">
        <v>13</v>
      </c>
      <c r="L365">
        <v>3.1</v>
      </c>
      <c r="M365">
        <v>6.7</v>
      </c>
      <c r="N365" t="s">
        <v>25</v>
      </c>
      <c r="O365" t="s">
        <v>13</v>
      </c>
      <c r="P365" t="s">
        <v>26</v>
      </c>
      <c r="Q365">
        <v>13</v>
      </c>
      <c r="R365">
        <v>3</v>
      </c>
      <c r="S365">
        <v>25</v>
      </c>
      <c r="T365">
        <v>150</v>
      </c>
      <c r="U365">
        <v>92</v>
      </c>
      <c r="V365">
        <v>8011</v>
      </c>
      <c r="W365">
        <v>48</v>
      </c>
      <c r="X365">
        <v>2</v>
      </c>
      <c r="Y365">
        <v>3</v>
      </c>
      <c r="Z365">
        <v>13</v>
      </c>
      <c r="AA365">
        <v>1.2</v>
      </c>
      <c r="AB365">
        <v>0</v>
      </c>
      <c r="AC365">
        <v>260</v>
      </c>
      <c r="AD365">
        <v>10</v>
      </c>
      <c r="AE365">
        <v>8</v>
      </c>
      <c r="AF365">
        <v>259</v>
      </c>
      <c r="AG365">
        <v>140</v>
      </c>
      <c r="AH365">
        <v>153</v>
      </c>
      <c r="AI365">
        <v>42</v>
      </c>
      <c r="AJ365">
        <v>43</v>
      </c>
      <c r="AK365">
        <v>38</v>
      </c>
      <c r="AL365">
        <v>31</v>
      </c>
      <c r="AM365">
        <v>6</v>
      </c>
      <c r="AN365">
        <v>107</v>
      </c>
      <c r="AO365">
        <v>41</v>
      </c>
      <c r="AP365">
        <v>46</v>
      </c>
      <c r="AQ365">
        <v>73</v>
      </c>
      <c r="AR365">
        <v>2267</v>
      </c>
      <c r="AS365">
        <v>2296</v>
      </c>
      <c r="AT365" t="s">
        <v>7</v>
      </c>
      <c r="AU365">
        <v>0.76</v>
      </c>
      <c r="AV365">
        <v>2015</v>
      </c>
      <c r="AW365" s="1">
        <v>45955</v>
      </c>
      <c r="AX365">
        <v>26</v>
      </c>
      <c r="AY365" t="s">
        <v>45</v>
      </c>
      <c r="AZ365" t="s">
        <v>31</v>
      </c>
      <c r="BA365" t="s">
        <v>21</v>
      </c>
      <c r="BB365" t="s">
        <v>7</v>
      </c>
      <c r="BC365" t="s">
        <v>7</v>
      </c>
      <c r="BD365">
        <v>2</v>
      </c>
      <c r="BE365" t="s">
        <v>14</v>
      </c>
      <c r="BF365">
        <v>1</v>
      </c>
    </row>
    <row r="366" spans="1:58" hidden="1" x14ac:dyDescent="0.2">
      <c r="A366">
        <v>365</v>
      </c>
      <c r="B366" t="s">
        <v>0</v>
      </c>
      <c r="C366">
        <v>39</v>
      </c>
      <c r="D366" t="s">
        <v>28</v>
      </c>
      <c r="E366" t="s">
        <v>47</v>
      </c>
      <c r="F366" t="s">
        <v>15</v>
      </c>
      <c r="G366" t="s">
        <v>16</v>
      </c>
      <c r="H366" t="s">
        <v>23</v>
      </c>
      <c r="I366" t="s">
        <v>114</v>
      </c>
      <c r="J366" t="s">
        <v>6</v>
      </c>
      <c r="K366" t="s">
        <v>7</v>
      </c>
      <c r="L366">
        <v>3.4</v>
      </c>
      <c r="M366">
        <v>7.3</v>
      </c>
      <c r="N366" t="s">
        <v>25</v>
      </c>
      <c r="O366" t="s">
        <v>7</v>
      </c>
      <c r="P366" t="s">
        <v>9</v>
      </c>
      <c r="Q366">
        <v>6</v>
      </c>
      <c r="R366">
        <v>9</v>
      </c>
      <c r="S366">
        <v>32.9</v>
      </c>
      <c r="T366">
        <v>96</v>
      </c>
      <c r="U366">
        <v>64</v>
      </c>
      <c r="V366">
        <v>7969</v>
      </c>
      <c r="W366">
        <v>47.6</v>
      </c>
      <c r="X366">
        <v>3</v>
      </c>
      <c r="Y366">
        <v>3</v>
      </c>
      <c r="Z366">
        <v>13</v>
      </c>
      <c r="AA366">
        <v>2.6</v>
      </c>
      <c r="AB366">
        <v>4</v>
      </c>
      <c r="AC366">
        <v>19</v>
      </c>
      <c r="AD366">
        <v>1</v>
      </c>
      <c r="AE366">
        <v>5</v>
      </c>
      <c r="AF366">
        <v>41</v>
      </c>
      <c r="AG366">
        <v>37</v>
      </c>
      <c r="AH366">
        <v>32</v>
      </c>
      <c r="AI366">
        <v>12</v>
      </c>
      <c r="AJ366">
        <v>8</v>
      </c>
      <c r="AK366">
        <v>8</v>
      </c>
      <c r="AL366">
        <v>4</v>
      </c>
      <c r="AM366">
        <v>1</v>
      </c>
      <c r="AN366">
        <v>11</v>
      </c>
      <c r="AO366">
        <v>4</v>
      </c>
      <c r="AP366">
        <v>3</v>
      </c>
      <c r="AQ366">
        <v>6</v>
      </c>
      <c r="AR366">
        <v>717</v>
      </c>
      <c r="AS366">
        <v>700</v>
      </c>
      <c r="AT366" t="s">
        <v>7</v>
      </c>
      <c r="AU366">
        <v>0.02</v>
      </c>
      <c r="AV366">
        <v>2019</v>
      </c>
      <c r="AW366" s="1">
        <v>45924</v>
      </c>
      <c r="AX366">
        <v>19</v>
      </c>
      <c r="AY366" t="s">
        <v>10</v>
      </c>
      <c r="AZ366" t="s">
        <v>48</v>
      </c>
      <c r="BA366" t="s">
        <v>12</v>
      </c>
      <c r="BB366" t="s">
        <v>13</v>
      </c>
      <c r="BC366" t="s">
        <v>7</v>
      </c>
      <c r="BD366">
        <v>2</v>
      </c>
      <c r="BE366" t="s">
        <v>43</v>
      </c>
      <c r="BF366">
        <v>3.55</v>
      </c>
    </row>
    <row r="367" spans="1:58" hidden="1" x14ac:dyDescent="0.2">
      <c r="A367">
        <v>366</v>
      </c>
      <c r="B367" t="s">
        <v>0</v>
      </c>
      <c r="C367">
        <v>39</v>
      </c>
      <c r="D367" t="s">
        <v>1</v>
      </c>
      <c r="E367" t="s">
        <v>2</v>
      </c>
      <c r="F367" t="s">
        <v>40</v>
      </c>
      <c r="G367" t="s">
        <v>117</v>
      </c>
      <c r="H367" t="s">
        <v>118</v>
      </c>
      <c r="I367" t="s">
        <v>115</v>
      </c>
      <c r="J367" t="s">
        <v>6</v>
      </c>
      <c r="K367" t="s">
        <v>7</v>
      </c>
      <c r="L367">
        <v>13.5</v>
      </c>
      <c r="M367">
        <v>7</v>
      </c>
      <c r="N367" t="s">
        <v>120</v>
      </c>
      <c r="O367" t="s">
        <v>7</v>
      </c>
      <c r="P367" t="s">
        <v>121</v>
      </c>
      <c r="Q367">
        <v>31</v>
      </c>
      <c r="R367">
        <v>10</v>
      </c>
      <c r="S367">
        <v>26.7</v>
      </c>
      <c r="T367">
        <v>119</v>
      </c>
      <c r="U367">
        <v>98</v>
      </c>
      <c r="V367">
        <v>7996</v>
      </c>
      <c r="W367">
        <v>41</v>
      </c>
      <c r="X367">
        <v>2</v>
      </c>
      <c r="Y367">
        <v>2</v>
      </c>
      <c r="Z367">
        <v>8</v>
      </c>
      <c r="AA367">
        <v>6.9</v>
      </c>
      <c r="AB367">
        <v>8</v>
      </c>
      <c r="AC367">
        <v>150</v>
      </c>
      <c r="AD367">
        <v>5</v>
      </c>
      <c r="AE367">
        <v>1</v>
      </c>
      <c r="AF367">
        <v>124</v>
      </c>
      <c r="AG367">
        <v>83</v>
      </c>
      <c r="AH367">
        <v>119</v>
      </c>
      <c r="AI367">
        <v>18</v>
      </c>
      <c r="AJ367">
        <v>24</v>
      </c>
      <c r="AK367">
        <v>22</v>
      </c>
      <c r="AL367">
        <v>27</v>
      </c>
      <c r="AM367">
        <v>2</v>
      </c>
      <c r="AN367">
        <v>89</v>
      </c>
      <c r="AO367">
        <v>43</v>
      </c>
      <c r="AP367">
        <v>22</v>
      </c>
      <c r="AQ367">
        <v>45</v>
      </c>
      <c r="AR367">
        <v>157</v>
      </c>
      <c r="AS367">
        <v>334</v>
      </c>
      <c r="AT367" t="s">
        <v>7</v>
      </c>
      <c r="AU367">
        <v>0.93</v>
      </c>
      <c r="AV367">
        <v>2012</v>
      </c>
      <c r="AW367" s="1">
        <v>45874</v>
      </c>
      <c r="AX367">
        <v>30</v>
      </c>
      <c r="AY367" t="s">
        <v>30</v>
      </c>
      <c r="AZ367" t="s">
        <v>35</v>
      </c>
      <c r="BA367" t="s">
        <v>122</v>
      </c>
      <c r="BB367" t="s">
        <v>13</v>
      </c>
      <c r="BC367" t="s">
        <v>7</v>
      </c>
      <c r="BD367">
        <v>2</v>
      </c>
      <c r="BE367" t="s">
        <v>14</v>
      </c>
      <c r="BF367">
        <v>1.05</v>
      </c>
    </row>
    <row r="368" spans="1:58" hidden="1" x14ac:dyDescent="0.2">
      <c r="A368">
        <v>367</v>
      </c>
      <c r="B368" t="s">
        <v>0</v>
      </c>
      <c r="C368">
        <v>46</v>
      </c>
      <c r="D368" t="s">
        <v>28</v>
      </c>
      <c r="E368" t="s">
        <v>126</v>
      </c>
      <c r="F368" t="s">
        <v>15</v>
      </c>
      <c r="G368" t="s">
        <v>116</v>
      </c>
      <c r="H368" t="s">
        <v>118</v>
      </c>
      <c r="I368" t="s">
        <v>112</v>
      </c>
      <c r="J368" t="s">
        <v>6</v>
      </c>
      <c r="K368" t="s">
        <v>7</v>
      </c>
      <c r="L368">
        <v>10.3</v>
      </c>
      <c r="M368">
        <v>7</v>
      </c>
      <c r="N368" t="s">
        <v>8</v>
      </c>
      <c r="O368" t="s">
        <v>7</v>
      </c>
      <c r="P368" t="s">
        <v>9</v>
      </c>
      <c r="Q368">
        <v>23</v>
      </c>
      <c r="R368">
        <v>9</v>
      </c>
      <c r="S368">
        <v>22.9</v>
      </c>
      <c r="T368">
        <v>106</v>
      </c>
      <c r="U368">
        <v>63</v>
      </c>
      <c r="V368">
        <v>8007</v>
      </c>
      <c r="W368">
        <v>40.299999999999997</v>
      </c>
      <c r="X368">
        <v>1</v>
      </c>
      <c r="Y368">
        <v>3</v>
      </c>
      <c r="Z368">
        <v>9</v>
      </c>
      <c r="AA368">
        <v>2.9</v>
      </c>
      <c r="AB368">
        <v>2</v>
      </c>
      <c r="AC368">
        <v>241</v>
      </c>
      <c r="AD368">
        <v>12</v>
      </c>
      <c r="AE368">
        <v>9</v>
      </c>
      <c r="AF368">
        <v>200</v>
      </c>
      <c r="AG368">
        <v>106</v>
      </c>
      <c r="AH368">
        <v>144</v>
      </c>
      <c r="AI368">
        <v>38</v>
      </c>
      <c r="AJ368">
        <v>45</v>
      </c>
      <c r="AK368">
        <v>40</v>
      </c>
      <c r="AL368">
        <v>18</v>
      </c>
      <c r="AM368">
        <v>5</v>
      </c>
      <c r="AN368">
        <v>140</v>
      </c>
      <c r="AO368">
        <v>53</v>
      </c>
      <c r="AP368">
        <v>43</v>
      </c>
      <c r="AQ368">
        <v>92</v>
      </c>
      <c r="AR368">
        <v>1009</v>
      </c>
      <c r="AS368">
        <v>1858</v>
      </c>
      <c r="AT368" t="s">
        <v>13</v>
      </c>
      <c r="AU368">
        <v>0.23</v>
      </c>
      <c r="AV368">
        <v>2023</v>
      </c>
      <c r="AW368" s="1">
        <v>45673</v>
      </c>
      <c r="AX368">
        <v>20.100000000000001</v>
      </c>
      <c r="AY368" t="s">
        <v>19</v>
      </c>
      <c r="AZ368" t="s">
        <v>31</v>
      </c>
      <c r="BA368" t="s">
        <v>122</v>
      </c>
      <c r="BB368" t="s">
        <v>13</v>
      </c>
      <c r="BC368" t="s">
        <v>7</v>
      </c>
      <c r="BD368">
        <v>4</v>
      </c>
      <c r="BE368" t="s">
        <v>14</v>
      </c>
      <c r="BF368">
        <v>1.02</v>
      </c>
    </row>
    <row r="369" spans="1:58" hidden="1" x14ac:dyDescent="0.2">
      <c r="A369">
        <v>368</v>
      </c>
      <c r="B369" t="s">
        <v>0</v>
      </c>
      <c r="C369">
        <v>33</v>
      </c>
      <c r="D369" t="s">
        <v>28</v>
      </c>
      <c r="E369" t="s">
        <v>126</v>
      </c>
      <c r="F369" t="s">
        <v>15</v>
      </c>
      <c r="G369" t="s">
        <v>38</v>
      </c>
      <c r="H369" t="s">
        <v>23</v>
      </c>
      <c r="I369" t="s">
        <v>114</v>
      </c>
      <c r="J369" t="s">
        <v>32</v>
      </c>
      <c r="K369" t="s">
        <v>7</v>
      </c>
      <c r="L369">
        <v>11.2</v>
      </c>
      <c r="M369">
        <v>8.1999999999999993</v>
      </c>
      <c r="N369" t="s">
        <v>29</v>
      </c>
      <c r="O369" t="s">
        <v>13</v>
      </c>
      <c r="P369" t="s">
        <v>9</v>
      </c>
      <c r="Q369">
        <v>35</v>
      </c>
      <c r="R369">
        <v>9</v>
      </c>
      <c r="S369">
        <v>24.8</v>
      </c>
      <c r="T369">
        <v>154</v>
      </c>
      <c r="U369">
        <v>86</v>
      </c>
      <c r="V369">
        <v>7957</v>
      </c>
      <c r="W369">
        <v>37.200000000000003</v>
      </c>
      <c r="X369">
        <v>9</v>
      </c>
      <c r="Y369">
        <v>5</v>
      </c>
      <c r="Z369">
        <v>10</v>
      </c>
      <c r="AA369">
        <v>3.8</v>
      </c>
      <c r="AB369">
        <v>1</v>
      </c>
      <c r="AC369">
        <v>264</v>
      </c>
      <c r="AD369">
        <v>26</v>
      </c>
      <c r="AE369">
        <v>11</v>
      </c>
      <c r="AF369">
        <v>186</v>
      </c>
      <c r="AG369">
        <v>129</v>
      </c>
      <c r="AH369">
        <v>150</v>
      </c>
      <c r="AI369">
        <v>53</v>
      </c>
      <c r="AJ369">
        <v>38</v>
      </c>
      <c r="AK369">
        <v>31</v>
      </c>
      <c r="AL369">
        <v>32</v>
      </c>
      <c r="AM369">
        <v>5</v>
      </c>
      <c r="AN369">
        <v>131</v>
      </c>
      <c r="AO369">
        <v>38</v>
      </c>
      <c r="AP369">
        <v>64</v>
      </c>
      <c r="AQ369">
        <v>84</v>
      </c>
      <c r="AR369">
        <v>2196</v>
      </c>
      <c r="AS369">
        <v>2294</v>
      </c>
      <c r="AT369" t="s">
        <v>7</v>
      </c>
      <c r="AU369">
        <v>0.66</v>
      </c>
      <c r="AV369">
        <v>2010</v>
      </c>
      <c r="AW369" s="1">
        <v>45938</v>
      </c>
      <c r="AX369">
        <v>10.199999999999999</v>
      </c>
      <c r="AY369" t="s">
        <v>30</v>
      </c>
      <c r="AZ369" t="s">
        <v>48</v>
      </c>
      <c r="BA369" t="s">
        <v>122</v>
      </c>
      <c r="BB369" t="s">
        <v>13</v>
      </c>
      <c r="BC369" t="s">
        <v>7</v>
      </c>
      <c r="BD369">
        <v>1</v>
      </c>
      <c r="BE369" t="s">
        <v>14</v>
      </c>
      <c r="BF369">
        <v>1.0900000000000001</v>
      </c>
    </row>
    <row r="370" spans="1:58" hidden="1" x14ac:dyDescent="0.2">
      <c r="A370">
        <v>369</v>
      </c>
      <c r="B370" t="s">
        <v>0</v>
      </c>
      <c r="C370">
        <v>42</v>
      </c>
      <c r="D370" t="s">
        <v>1</v>
      </c>
      <c r="E370" t="s">
        <v>128</v>
      </c>
      <c r="F370" t="s">
        <v>15</v>
      </c>
      <c r="G370" t="s">
        <v>116</v>
      </c>
      <c r="H370" t="s">
        <v>24</v>
      </c>
      <c r="I370" t="s">
        <v>114</v>
      </c>
      <c r="J370" t="s">
        <v>32</v>
      </c>
      <c r="K370" t="s">
        <v>7</v>
      </c>
      <c r="L370">
        <v>9.1</v>
      </c>
      <c r="M370">
        <v>6.7</v>
      </c>
      <c r="N370" t="s">
        <v>25</v>
      </c>
      <c r="O370" t="s">
        <v>7</v>
      </c>
      <c r="P370" t="s">
        <v>9</v>
      </c>
      <c r="Q370">
        <v>33</v>
      </c>
      <c r="R370">
        <v>5</v>
      </c>
      <c r="S370">
        <v>24.5</v>
      </c>
      <c r="T370">
        <v>147</v>
      </c>
      <c r="U370">
        <v>65</v>
      </c>
      <c r="V370">
        <v>8019</v>
      </c>
      <c r="W370">
        <v>40.1</v>
      </c>
      <c r="X370">
        <v>3</v>
      </c>
      <c r="Y370">
        <v>6</v>
      </c>
      <c r="Z370">
        <v>8</v>
      </c>
      <c r="AA370">
        <v>2</v>
      </c>
      <c r="AB370">
        <v>3</v>
      </c>
      <c r="AC370">
        <v>270</v>
      </c>
      <c r="AD370">
        <v>10</v>
      </c>
      <c r="AE370">
        <v>6</v>
      </c>
      <c r="AF370">
        <v>217</v>
      </c>
      <c r="AG370">
        <v>150</v>
      </c>
      <c r="AH370">
        <v>142</v>
      </c>
      <c r="AI370">
        <v>39</v>
      </c>
      <c r="AJ370">
        <v>55</v>
      </c>
      <c r="AK370">
        <v>38</v>
      </c>
      <c r="AL370">
        <v>21</v>
      </c>
      <c r="AM370">
        <v>13</v>
      </c>
      <c r="AN370">
        <v>156</v>
      </c>
      <c r="AO370">
        <v>32</v>
      </c>
      <c r="AP370">
        <v>48</v>
      </c>
      <c r="AQ370">
        <v>93</v>
      </c>
      <c r="AR370">
        <v>289</v>
      </c>
      <c r="AS370">
        <v>322</v>
      </c>
      <c r="AT370" t="s">
        <v>7</v>
      </c>
      <c r="AU370">
        <v>0.72</v>
      </c>
      <c r="AV370">
        <v>2011</v>
      </c>
      <c r="AW370" s="1">
        <v>45711</v>
      </c>
      <c r="AX370">
        <v>27</v>
      </c>
      <c r="AY370" t="s">
        <v>19</v>
      </c>
      <c r="AZ370" t="s">
        <v>35</v>
      </c>
      <c r="BA370" t="s">
        <v>12</v>
      </c>
      <c r="BB370" t="s">
        <v>7</v>
      </c>
      <c r="BC370" t="s">
        <v>13</v>
      </c>
      <c r="BD370">
        <v>2</v>
      </c>
      <c r="BE370" t="s">
        <v>43</v>
      </c>
      <c r="BF370">
        <v>0.88</v>
      </c>
    </row>
    <row r="371" spans="1:58" hidden="1" x14ac:dyDescent="0.2">
      <c r="A371">
        <v>370</v>
      </c>
      <c r="B371" t="s">
        <v>0</v>
      </c>
      <c r="C371">
        <v>45</v>
      </c>
      <c r="D371" t="s">
        <v>28</v>
      </c>
      <c r="E371" t="s">
        <v>126</v>
      </c>
      <c r="F371" t="s">
        <v>3</v>
      </c>
      <c r="G371" t="s">
        <v>38</v>
      </c>
      <c r="H371" t="s">
        <v>34</v>
      </c>
      <c r="I371" t="s">
        <v>114</v>
      </c>
      <c r="J371" t="s">
        <v>6</v>
      </c>
      <c r="K371" t="s">
        <v>7</v>
      </c>
      <c r="L371">
        <v>7.9</v>
      </c>
      <c r="M371">
        <v>6.8</v>
      </c>
      <c r="N371" t="s">
        <v>29</v>
      </c>
      <c r="O371" t="s">
        <v>41</v>
      </c>
      <c r="P371" t="s">
        <v>26</v>
      </c>
      <c r="Q371">
        <v>7</v>
      </c>
      <c r="R371">
        <v>2</v>
      </c>
      <c r="S371">
        <v>26.1</v>
      </c>
      <c r="T371">
        <v>159</v>
      </c>
      <c r="U371">
        <v>82</v>
      </c>
      <c r="V371">
        <v>7905</v>
      </c>
      <c r="W371">
        <v>26.7</v>
      </c>
      <c r="X371">
        <v>4</v>
      </c>
      <c r="Y371">
        <v>5</v>
      </c>
      <c r="Z371">
        <v>6</v>
      </c>
      <c r="AA371">
        <v>1.6</v>
      </c>
      <c r="AB371">
        <v>0</v>
      </c>
      <c r="AC371">
        <v>50</v>
      </c>
      <c r="AD371">
        <v>2</v>
      </c>
      <c r="AE371">
        <v>4</v>
      </c>
      <c r="AF371">
        <v>66</v>
      </c>
      <c r="AG371">
        <v>58</v>
      </c>
      <c r="AH371">
        <v>41</v>
      </c>
      <c r="AI371">
        <v>14</v>
      </c>
      <c r="AJ371">
        <v>15</v>
      </c>
      <c r="AK371">
        <v>14</v>
      </c>
      <c r="AL371">
        <v>9</v>
      </c>
      <c r="AM371">
        <v>5</v>
      </c>
      <c r="AN371">
        <v>27</v>
      </c>
      <c r="AO371">
        <v>9</v>
      </c>
      <c r="AP371">
        <v>9</v>
      </c>
      <c r="AQ371">
        <v>14</v>
      </c>
      <c r="AR371">
        <v>493</v>
      </c>
      <c r="AS371">
        <v>394</v>
      </c>
      <c r="AT371" t="s">
        <v>7</v>
      </c>
      <c r="AU371">
        <v>0.87</v>
      </c>
      <c r="AV371">
        <v>2014</v>
      </c>
      <c r="AW371" s="1">
        <v>45943</v>
      </c>
      <c r="AX371">
        <v>25</v>
      </c>
      <c r="AY371" t="s">
        <v>45</v>
      </c>
      <c r="AZ371" t="s">
        <v>31</v>
      </c>
      <c r="BA371" t="s">
        <v>12</v>
      </c>
      <c r="BB371" t="s">
        <v>13</v>
      </c>
      <c r="BC371" t="s">
        <v>7</v>
      </c>
      <c r="BD371">
        <v>2</v>
      </c>
      <c r="BE371" t="s">
        <v>43</v>
      </c>
      <c r="BF371">
        <v>1.59</v>
      </c>
    </row>
    <row r="372" spans="1:58" hidden="1" x14ac:dyDescent="0.2">
      <c r="A372">
        <v>371</v>
      </c>
      <c r="B372" t="s">
        <v>0</v>
      </c>
      <c r="C372">
        <v>40</v>
      </c>
      <c r="D372" t="s">
        <v>1</v>
      </c>
      <c r="E372" t="s">
        <v>2</v>
      </c>
      <c r="F372" t="s">
        <v>15</v>
      </c>
      <c r="G372" t="s">
        <v>116</v>
      </c>
      <c r="H372" t="s">
        <v>118</v>
      </c>
      <c r="I372" t="s">
        <v>114</v>
      </c>
      <c r="J372" t="s">
        <v>32</v>
      </c>
      <c r="K372" t="s">
        <v>7</v>
      </c>
      <c r="L372">
        <v>7.3</v>
      </c>
      <c r="M372">
        <v>7.8</v>
      </c>
      <c r="N372" t="s">
        <v>25</v>
      </c>
      <c r="O372" t="s">
        <v>7</v>
      </c>
      <c r="P372" t="s">
        <v>26</v>
      </c>
      <c r="Q372">
        <v>30</v>
      </c>
      <c r="R372">
        <v>8</v>
      </c>
      <c r="S372">
        <v>26.6</v>
      </c>
      <c r="T372">
        <v>135</v>
      </c>
      <c r="U372">
        <v>61</v>
      </c>
      <c r="V372">
        <v>7911</v>
      </c>
      <c r="W372">
        <v>47.6</v>
      </c>
      <c r="X372">
        <v>1</v>
      </c>
      <c r="Y372">
        <v>4</v>
      </c>
      <c r="Z372">
        <v>11</v>
      </c>
      <c r="AA372">
        <v>4.7</v>
      </c>
      <c r="AB372">
        <v>5</v>
      </c>
      <c r="AC372">
        <v>240</v>
      </c>
      <c r="AD372">
        <v>18</v>
      </c>
      <c r="AE372">
        <v>7</v>
      </c>
      <c r="AF372">
        <v>183</v>
      </c>
      <c r="AG372">
        <v>119</v>
      </c>
      <c r="AH372">
        <v>158</v>
      </c>
      <c r="AI372">
        <v>32</v>
      </c>
      <c r="AJ372">
        <v>39</v>
      </c>
      <c r="AK372">
        <v>30</v>
      </c>
      <c r="AL372">
        <v>21</v>
      </c>
      <c r="AM372">
        <v>3</v>
      </c>
      <c r="AN372">
        <v>141</v>
      </c>
      <c r="AO372">
        <v>49</v>
      </c>
      <c r="AP372">
        <v>26</v>
      </c>
      <c r="AQ372">
        <v>85</v>
      </c>
      <c r="AR372">
        <v>715</v>
      </c>
      <c r="AS372">
        <v>1581</v>
      </c>
      <c r="AT372" t="s">
        <v>7</v>
      </c>
      <c r="AU372">
        <v>0.3</v>
      </c>
      <c r="AV372">
        <v>2011</v>
      </c>
      <c r="AW372" s="1">
        <v>45848</v>
      </c>
      <c r="AX372">
        <v>13.3</v>
      </c>
      <c r="AY372" t="s">
        <v>10</v>
      </c>
      <c r="AZ372" t="s">
        <v>20</v>
      </c>
      <c r="BA372" t="s">
        <v>122</v>
      </c>
      <c r="BB372" t="s">
        <v>13</v>
      </c>
      <c r="BC372" t="s">
        <v>7</v>
      </c>
      <c r="BD372">
        <v>0</v>
      </c>
      <c r="BE372" t="s">
        <v>14</v>
      </c>
      <c r="BF372">
        <v>1.01</v>
      </c>
    </row>
    <row r="373" spans="1:58" hidden="1" x14ac:dyDescent="0.2">
      <c r="A373">
        <v>372</v>
      </c>
      <c r="B373" t="s">
        <v>0</v>
      </c>
      <c r="C373">
        <v>59</v>
      </c>
      <c r="D373" t="s">
        <v>28</v>
      </c>
      <c r="E373" t="s">
        <v>128</v>
      </c>
      <c r="F373" t="s">
        <v>15</v>
      </c>
      <c r="G373" t="s">
        <v>16</v>
      </c>
      <c r="H373" t="s">
        <v>34</v>
      </c>
      <c r="I373" t="s">
        <v>115</v>
      </c>
      <c r="J373" t="s">
        <v>32</v>
      </c>
      <c r="K373" t="s">
        <v>7</v>
      </c>
      <c r="L373">
        <v>6.4</v>
      </c>
      <c r="M373">
        <v>9.8000000000000007</v>
      </c>
      <c r="N373" t="s">
        <v>25</v>
      </c>
      <c r="O373" t="s">
        <v>13</v>
      </c>
      <c r="P373" t="s">
        <v>9</v>
      </c>
      <c r="Q373">
        <v>11</v>
      </c>
      <c r="R373">
        <v>3</v>
      </c>
      <c r="S373">
        <v>30.3</v>
      </c>
      <c r="T373">
        <v>124</v>
      </c>
      <c r="U373">
        <v>96</v>
      </c>
      <c r="V373">
        <v>7969</v>
      </c>
      <c r="W373">
        <v>56.4</v>
      </c>
      <c r="X373">
        <v>2</v>
      </c>
      <c r="Y373">
        <v>5</v>
      </c>
      <c r="Z373">
        <v>5</v>
      </c>
      <c r="AA373">
        <v>3</v>
      </c>
      <c r="AB373">
        <v>3</v>
      </c>
      <c r="AC373">
        <v>214</v>
      </c>
      <c r="AD373">
        <v>10</v>
      </c>
      <c r="AE373">
        <v>7</v>
      </c>
      <c r="AF373">
        <v>166</v>
      </c>
      <c r="AG373">
        <v>129</v>
      </c>
      <c r="AH373">
        <v>148</v>
      </c>
      <c r="AI373">
        <v>37</v>
      </c>
      <c r="AJ373">
        <v>22</v>
      </c>
      <c r="AK373">
        <v>25</v>
      </c>
      <c r="AL373">
        <v>31</v>
      </c>
      <c r="AM373">
        <v>4</v>
      </c>
      <c r="AN373">
        <v>89</v>
      </c>
      <c r="AO373">
        <v>50</v>
      </c>
      <c r="AP373">
        <v>41</v>
      </c>
      <c r="AQ373">
        <v>62</v>
      </c>
      <c r="AR373">
        <v>785</v>
      </c>
      <c r="AS373">
        <v>851</v>
      </c>
      <c r="AT373" t="s">
        <v>13</v>
      </c>
      <c r="AU373">
        <v>0.87</v>
      </c>
      <c r="AV373">
        <v>2019</v>
      </c>
      <c r="AW373" s="1">
        <v>45713</v>
      </c>
      <c r="AX373">
        <v>21.4</v>
      </c>
      <c r="AY373" t="s">
        <v>30</v>
      </c>
      <c r="AZ373" t="s">
        <v>48</v>
      </c>
      <c r="BA373" t="s">
        <v>21</v>
      </c>
      <c r="BB373" t="s">
        <v>7</v>
      </c>
      <c r="BC373" t="s">
        <v>13</v>
      </c>
      <c r="BD373">
        <v>1</v>
      </c>
      <c r="BE373" t="s">
        <v>43</v>
      </c>
      <c r="BF373">
        <v>1.1299999999999999</v>
      </c>
    </row>
    <row r="374" spans="1:58" hidden="1" x14ac:dyDescent="0.2">
      <c r="A374">
        <v>373</v>
      </c>
      <c r="B374" t="s">
        <v>0</v>
      </c>
      <c r="C374">
        <v>45</v>
      </c>
      <c r="D374" t="s">
        <v>28</v>
      </c>
      <c r="E374" t="s">
        <v>50</v>
      </c>
      <c r="F374" t="s">
        <v>15</v>
      </c>
      <c r="G374" t="s">
        <v>116</v>
      </c>
      <c r="H374" t="s">
        <v>118</v>
      </c>
      <c r="I374" t="s">
        <v>112</v>
      </c>
      <c r="J374" t="s">
        <v>44</v>
      </c>
      <c r="K374" t="s">
        <v>7</v>
      </c>
      <c r="L374">
        <v>4</v>
      </c>
      <c r="M374">
        <v>7.6</v>
      </c>
      <c r="N374" t="s">
        <v>29</v>
      </c>
      <c r="O374" t="s">
        <v>7</v>
      </c>
      <c r="P374" t="s">
        <v>46</v>
      </c>
      <c r="Q374">
        <v>2</v>
      </c>
      <c r="R374">
        <v>1</v>
      </c>
      <c r="S374">
        <v>28.3</v>
      </c>
      <c r="T374">
        <v>127</v>
      </c>
      <c r="U374">
        <v>81</v>
      </c>
      <c r="V374">
        <v>8002</v>
      </c>
      <c r="W374">
        <v>51.1</v>
      </c>
      <c r="X374">
        <v>0</v>
      </c>
      <c r="Y374">
        <v>4</v>
      </c>
      <c r="Z374">
        <v>8</v>
      </c>
      <c r="AA374">
        <v>4.5</v>
      </c>
      <c r="AB374">
        <v>3</v>
      </c>
      <c r="AC374">
        <v>130</v>
      </c>
      <c r="AD374">
        <v>4</v>
      </c>
      <c r="AE374">
        <v>6</v>
      </c>
      <c r="AF374">
        <v>121</v>
      </c>
      <c r="AG374">
        <v>90</v>
      </c>
      <c r="AH374">
        <v>103</v>
      </c>
      <c r="AI374">
        <v>20</v>
      </c>
      <c r="AJ374">
        <v>21</v>
      </c>
      <c r="AK374">
        <v>19</v>
      </c>
      <c r="AL374">
        <v>14</v>
      </c>
      <c r="AM374">
        <v>3</v>
      </c>
      <c r="AN374">
        <v>59</v>
      </c>
      <c r="AO374">
        <v>34</v>
      </c>
      <c r="AP374">
        <v>15</v>
      </c>
      <c r="AQ374">
        <v>44</v>
      </c>
      <c r="AR374">
        <v>6514</v>
      </c>
      <c r="AS374">
        <v>10000</v>
      </c>
      <c r="AT374" t="s">
        <v>7</v>
      </c>
      <c r="AU374">
        <v>0.28000000000000003</v>
      </c>
      <c r="AV374">
        <v>2015</v>
      </c>
      <c r="AW374" s="1">
        <v>45734</v>
      </c>
      <c r="AX374">
        <v>32.5</v>
      </c>
      <c r="AY374" t="s">
        <v>45</v>
      </c>
      <c r="AZ374" t="s">
        <v>51</v>
      </c>
      <c r="BA374" t="s">
        <v>12</v>
      </c>
      <c r="BB374" t="s">
        <v>7</v>
      </c>
      <c r="BC374" t="s">
        <v>7</v>
      </c>
      <c r="BD374">
        <v>2</v>
      </c>
      <c r="BE374" t="s">
        <v>14</v>
      </c>
      <c r="BF374">
        <v>1.23</v>
      </c>
    </row>
    <row r="375" spans="1:58" hidden="1" x14ac:dyDescent="0.2">
      <c r="A375">
        <v>374</v>
      </c>
      <c r="B375" t="s">
        <v>0</v>
      </c>
      <c r="C375">
        <v>17</v>
      </c>
      <c r="D375" t="s">
        <v>1</v>
      </c>
      <c r="E375" t="s">
        <v>127</v>
      </c>
      <c r="F375" t="s">
        <v>15</v>
      </c>
      <c r="G375" t="s">
        <v>38</v>
      </c>
      <c r="H375" t="s">
        <v>23</v>
      </c>
      <c r="I375" t="s">
        <v>113</v>
      </c>
      <c r="J375" t="s">
        <v>6</v>
      </c>
      <c r="K375" t="s">
        <v>13</v>
      </c>
      <c r="L375">
        <v>9.8000000000000007</v>
      </c>
      <c r="M375">
        <v>8</v>
      </c>
      <c r="N375" t="s">
        <v>8</v>
      </c>
      <c r="O375" t="s">
        <v>7</v>
      </c>
      <c r="P375" t="s">
        <v>26</v>
      </c>
      <c r="Q375">
        <v>38</v>
      </c>
      <c r="R375">
        <v>8</v>
      </c>
      <c r="S375">
        <v>23</v>
      </c>
      <c r="T375">
        <v>138</v>
      </c>
      <c r="U375">
        <v>87</v>
      </c>
      <c r="V375">
        <v>7937</v>
      </c>
      <c r="W375">
        <v>29.7</v>
      </c>
      <c r="X375">
        <v>6</v>
      </c>
      <c r="Y375">
        <v>6</v>
      </c>
      <c r="Z375">
        <v>12</v>
      </c>
      <c r="AA375">
        <v>4.3</v>
      </c>
      <c r="AB375">
        <v>2</v>
      </c>
      <c r="AC375">
        <v>322</v>
      </c>
      <c r="AD375">
        <v>15</v>
      </c>
      <c r="AE375">
        <v>18</v>
      </c>
      <c r="AF375">
        <v>299</v>
      </c>
      <c r="AG375">
        <v>138</v>
      </c>
      <c r="AH375">
        <v>180</v>
      </c>
      <c r="AI375">
        <v>58</v>
      </c>
      <c r="AJ375">
        <v>48</v>
      </c>
      <c r="AK375">
        <v>48</v>
      </c>
      <c r="AL375">
        <v>39</v>
      </c>
      <c r="AM375">
        <v>6</v>
      </c>
      <c r="AN375">
        <v>147</v>
      </c>
      <c r="AO375">
        <v>49</v>
      </c>
      <c r="AP375">
        <v>32</v>
      </c>
      <c r="AQ375">
        <v>104</v>
      </c>
      <c r="AR375">
        <v>6403</v>
      </c>
      <c r="AS375">
        <v>5441</v>
      </c>
      <c r="AT375" t="s">
        <v>7</v>
      </c>
      <c r="AU375">
        <v>0.49</v>
      </c>
      <c r="AV375">
        <v>2014</v>
      </c>
      <c r="AW375" s="1">
        <v>45748</v>
      </c>
      <c r="AX375">
        <v>21.5</v>
      </c>
      <c r="AY375" t="s">
        <v>36</v>
      </c>
      <c r="AZ375" t="s">
        <v>48</v>
      </c>
      <c r="BA375" t="s">
        <v>12</v>
      </c>
      <c r="BB375" t="s">
        <v>13</v>
      </c>
      <c r="BC375" t="s">
        <v>7</v>
      </c>
      <c r="BD375">
        <v>2</v>
      </c>
      <c r="BE375" t="s">
        <v>14</v>
      </c>
      <c r="BF375">
        <v>1.08</v>
      </c>
    </row>
    <row r="376" spans="1:58" hidden="1" x14ac:dyDescent="0.2">
      <c r="A376">
        <v>375</v>
      </c>
      <c r="B376" t="s">
        <v>0</v>
      </c>
      <c r="C376">
        <v>60</v>
      </c>
      <c r="D376" t="s">
        <v>28</v>
      </c>
      <c r="E376" t="s">
        <v>2</v>
      </c>
      <c r="F376" t="s">
        <v>15</v>
      </c>
      <c r="G376" t="s">
        <v>16</v>
      </c>
      <c r="H376" t="s">
        <v>118</v>
      </c>
      <c r="I376" t="s">
        <v>112</v>
      </c>
      <c r="J376" t="s">
        <v>123</v>
      </c>
      <c r="K376" t="s">
        <v>7</v>
      </c>
      <c r="L376">
        <v>2.1</v>
      </c>
      <c r="M376">
        <v>6.7</v>
      </c>
      <c r="N376" t="s">
        <v>8</v>
      </c>
      <c r="O376" t="s">
        <v>13</v>
      </c>
      <c r="P376" t="s">
        <v>46</v>
      </c>
      <c r="Q376">
        <v>40</v>
      </c>
      <c r="R376">
        <v>7</v>
      </c>
      <c r="S376">
        <v>22.8</v>
      </c>
      <c r="T376">
        <v>148</v>
      </c>
      <c r="U376">
        <v>93</v>
      </c>
      <c r="V376">
        <v>7885</v>
      </c>
      <c r="W376">
        <v>43.4</v>
      </c>
      <c r="X376">
        <v>5</v>
      </c>
      <c r="Y376">
        <v>8</v>
      </c>
      <c r="Z376">
        <v>10</v>
      </c>
      <c r="AA376">
        <v>8</v>
      </c>
      <c r="AB376">
        <v>2</v>
      </c>
      <c r="AC376">
        <v>342</v>
      </c>
      <c r="AD376">
        <v>39</v>
      </c>
      <c r="AE376">
        <v>8</v>
      </c>
      <c r="AF376">
        <v>256</v>
      </c>
      <c r="AG376">
        <v>150</v>
      </c>
      <c r="AH376">
        <v>199</v>
      </c>
      <c r="AI376">
        <v>56</v>
      </c>
      <c r="AJ376">
        <v>43</v>
      </c>
      <c r="AK376">
        <v>59</v>
      </c>
      <c r="AL376">
        <v>28</v>
      </c>
      <c r="AM376">
        <v>8</v>
      </c>
      <c r="AN376">
        <v>143</v>
      </c>
      <c r="AO376">
        <v>88</v>
      </c>
      <c r="AP376">
        <v>52</v>
      </c>
      <c r="AQ376">
        <v>84</v>
      </c>
      <c r="AR376">
        <v>207</v>
      </c>
      <c r="AS376">
        <v>175</v>
      </c>
      <c r="AT376" t="s">
        <v>13</v>
      </c>
      <c r="AU376">
        <v>0.2</v>
      </c>
      <c r="AV376">
        <v>2011</v>
      </c>
      <c r="AW376" s="1">
        <v>45684</v>
      </c>
      <c r="AX376">
        <v>8.8000000000000007</v>
      </c>
      <c r="AY376" t="s">
        <v>10</v>
      </c>
      <c r="AZ376" t="s">
        <v>51</v>
      </c>
      <c r="BA376" t="s">
        <v>21</v>
      </c>
      <c r="BB376" t="s">
        <v>13</v>
      </c>
      <c r="BC376" t="s">
        <v>13</v>
      </c>
      <c r="BD376">
        <v>1</v>
      </c>
      <c r="BE376" t="s">
        <v>14</v>
      </c>
      <c r="BF376">
        <v>0.98</v>
      </c>
    </row>
    <row r="377" spans="1:58" hidden="1" x14ac:dyDescent="0.2">
      <c r="A377">
        <v>376</v>
      </c>
      <c r="B377" t="s">
        <v>0</v>
      </c>
      <c r="C377">
        <v>31</v>
      </c>
      <c r="D377" t="s">
        <v>1</v>
      </c>
      <c r="E377" t="s">
        <v>2</v>
      </c>
      <c r="F377" t="s">
        <v>3</v>
      </c>
      <c r="G377" t="s">
        <v>38</v>
      </c>
      <c r="H377" t="s">
        <v>118</v>
      </c>
      <c r="I377" t="s">
        <v>115</v>
      </c>
      <c r="J377" t="s">
        <v>6</v>
      </c>
      <c r="K377" t="s">
        <v>7</v>
      </c>
      <c r="L377">
        <v>8.6</v>
      </c>
      <c r="M377">
        <v>8.6999999999999993</v>
      </c>
      <c r="N377" t="s">
        <v>120</v>
      </c>
      <c r="O377" t="s">
        <v>13</v>
      </c>
      <c r="P377" t="s">
        <v>46</v>
      </c>
      <c r="Q377">
        <v>13</v>
      </c>
      <c r="R377">
        <v>7</v>
      </c>
      <c r="S377">
        <v>26.5</v>
      </c>
      <c r="T377">
        <v>134</v>
      </c>
      <c r="U377">
        <v>93</v>
      </c>
      <c r="V377">
        <v>7887</v>
      </c>
      <c r="W377">
        <v>33.5</v>
      </c>
      <c r="X377">
        <v>1</v>
      </c>
      <c r="Y377">
        <v>5</v>
      </c>
      <c r="Z377">
        <v>10</v>
      </c>
      <c r="AA377">
        <v>3.9</v>
      </c>
      <c r="AB377">
        <v>2</v>
      </c>
      <c r="AC377">
        <v>58</v>
      </c>
      <c r="AD377">
        <v>4</v>
      </c>
      <c r="AE377">
        <v>6</v>
      </c>
      <c r="AF377">
        <v>77</v>
      </c>
      <c r="AG377">
        <v>49</v>
      </c>
      <c r="AH377">
        <v>62</v>
      </c>
      <c r="AI377">
        <v>12</v>
      </c>
      <c r="AJ377">
        <v>17</v>
      </c>
      <c r="AK377">
        <v>13</v>
      </c>
      <c r="AL377">
        <v>10</v>
      </c>
      <c r="AM377">
        <v>3</v>
      </c>
      <c r="AN377">
        <v>28</v>
      </c>
      <c r="AO377">
        <v>8</v>
      </c>
      <c r="AP377">
        <v>10</v>
      </c>
      <c r="AQ377">
        <v>20</v>
      </c>
      <c r="AR377">
        <v>1075</v>
      </c>
      <c r="AS377">
        <v>1861</v>
      </c>
      <c r="AT377" t="s">
        <v>7</v>
      </c>
      <c r="AU377">
        <v>0.11</v>
      </c>
      <c r="AV377">
        <v>2014</v>
      </c>
      <c r="AW377" s="1">
        <v>45895</v>
      </c>
      <c r="AX377">
        <v>14.5</v>
      </c>
      <c r="AY377" t="s">
        <v>30</v>
      </c>
      <c r="AZ377" t="s">
        <v>20</v>
      </c>
      <c r="BA377" t="s">
        <v>12</v>
      </c>
      <c r="BB377" t="s">
        <v>13</v>
      </c>
      <c r="BC377" t="s">
        <v>7</v>
      </c>
      <c r="BD377">
        <v>3</v>
      </c>
      <c r="BE377" t="s">
        <v>14</v>
      </c>
      <c r="BF377">
        <v>1.76</v>
      </c>
    </row>
    <row r="378" spans="1:58" hidden="1" x14ac:dyDescent="0.2">
      <c r="A378">
        <v>377</v>
      </c>
      <c r="B378" t="s">
        <v>0</v>
      </c>
      <c r="C378">
        <v>16</v>
      </c>
      <c r="D378" t="s">
        <v>28</v>
      </c>
      <c r="E378" t="s">
        <v>126</v>
      </c>
      <c r="F378" t="s">
        <v>15</v>
      </c>
      <c r="G378" t="s">
        <v>16</v>
      </c>
      <c r="H378" t="s">
        <v>34</v>
      </c>
      <c r="I378" t="s">
        <v>113</v>
      </c>
      <c r="J378" t="s">
        <v>32</v>
      </c>
      <c r="K378" t="s">
        <v>7</v>
      </c>
      <c r="L378">
        <v>7.8</v>
      </c>
      <c r="M378">
        <v>6.8</v>
      </c>
      <c r="N378" t="s">
        <v>39</v>
      </c>
      <c r="O378" t="s">
        <v>7</v>
      </c>
      <c r="P378" t="s">
        <v>26</v>
      </c>
      <c r="Q378">
        <v>17</v>
      </c>
      <c r="R378">
        <v>1</v>
      </c>
      <c r="S378">
        <v>26</v>
      </c>
      <c r="T378">
        <v>99</v>
      </c>
      <c r="U378">
        <v>71</v>
      </c>
      <c r="V378">
        <v>7912</v>
      </c>
      <c r="W378">
        <v>49.7</v>
      </c>
      <c r="X378">
        <v>4</v>
      </c>
      <c r="Y378">
        <v>1</v>
      </c>
      <c r="Z378">
        <v>11</v>
      </c>
      <c r="AA378">
        <v>1.1000000000000001</v>
      </c>
      <c r="AB378">
        <v>1</v>
      </c>
      <c r="AC378">
        <v>216</v>
      </c>
      <c r="AD378">
        <v>8</v>
      </c>
      <c r="AE378">
        <v>7</v>
      </c>
      <c r="AF378">
        <v>247</v>
      </c>
      <c r="AG378">
        <v>110</v>
      </c>
      <c r="AH378">
        <v>136</v>
      </c>
      <c r="AI378">
        <v>38</v>
      </c>
      <c r="AJ378">
        <v>21</v>
      </c>
      <c r="AK378">
        <v>31</v>
      </c>
      <c r="AL378">
        <v>26</v>
      </c>
      <c r="AM378">
        <v>4</v>
      </c>
      <c r="AN378">
        <v>100</v>
      </c>
      <c r="AO378">
        <v>58</v>
      </c>
      <c r="AP378">
        <v>38</v>
      </c>
      <c r="AQ378">
        <v>73</v>
      </c>
      <c r="AR378">
        <v>849</v>
      </c>
      <c r="AS378">
        <v>1221</v>
      </c>
      <c r="AT378" t="s">
        <v>13</v>
      </c>
      <c r="AU378">
        <v>0.89</v>
      </c>
      <c r="AV378">
        <v>2015</v>
      </c>
      <c r="AW378" s="1">
        <v>45664</v>
      </c>
      <c r="AX378">
        <v>27</v>
      </c>
      <c r="AY378" t="s">
        <v>36</v>
      </c>
      <c r="AZ378" t="s">
        <v>37</v>
      </c>
      <c r="BA378" t="s">
        <v>12</v>
      </c>
      <c r="BB378" t="s">
        <v>13</v>
      </c>
      <c r="BC378" t="s">
        <v>7</v>
      </c>
      <c r="BD378">
        <v>1</v>
      </c>
      <c r="BE378" t="s">
        <v>14</v>
      </c>
      <c r="BF378">
        <v>1.07</v>
      </c>
    </row>
    <row r="379" spans="1:58" hidden="1" x14ac:dyDescent="0.2">
      <c r="A379">
        <v>378</v>
      </c>
      <c r="B379" t="s">
        <v>0</v>
      </c>
      <c r="C379">
        <v>47</v>
      </c>
      <c r="D379" t="s">
        <v>1</v>
      </c>
      <c r="E379" t="s">
        <v>127</v>
      </c>
      <c r="F379" t="s">
        <v>40</v>
      </c>
      <c r="G379" t="s">
        <v>16</v>
      </c>
      <c r="H379" t="s">
        <v>23</v>
      </c>
      <c r="I379" t="s">
        <v>112</v>
      </c>
      <c r="J379" t="s">
        <v>6</v>
      </c>
      <c r="K379" t="s">
        <v>7</v>
      </c>
      <c r="L379">
        <v>11.1</v>
      </c>
      <c r="M379">
        <v>5.8</v>
      </c>
      <c r="N379" t="s">
        <v>29</v>
      </c>
      <c r="O379" t="s">
        <v>7</v>
      </c>
      <c r="P379" t="s">
        <v>9</v>
      </c>
      <c r="Q379">
        <v>19</v>
      </c>
      <c r="R379">
        <v>5</v>
      </c>
      <c r="S379">
        <v>17.7</v>
      </c>
      <c r="T379">
        <v>105</v>
      </c>
      <c r="U379">
        <v>95</v>
      </c>
      <c r="V379">
        <v>7839</v>
      </c>
      <c r="W379">
        <v>56</v>
      </c>
      <c r="X379">
        <v>0</v>
      </c>
      <c r="Y379">
        <v>7</v>
      </c>
      <c r="Z379">
        <v>5</v>
      </c>
      <c r="AA379">
        <v>4.4000000000000004</v>
      </c>
      <c r="AB379">
        <v>1</v>
      </c>
      <c r="AC379">
        <v>159</v>
      </c>
      <c r="AD379">
        <v>14</v>
      </c>
      <c r="AE379">
        <v>4</v>
      </c>
      <c r="AF379">
        <v>157</v>
      </c>
      <c r="AG379">
        <v>84</v>
      </c>
      <c r="AH379">
        <v>124</v>
      </c>
      <c r="AI379">
        <v>29</v>
      </c>
      <c r="AJ379">
        <v>24</v>
      </c>
      <c r="AK379">
        <v>28</v>
      </c>
      <c r="AL379">
        <v>16</v>
      </c>
      <c r="AM379">
        <v>9</v>
      </c>
      <c r="AN379">
        <v>71</v>
      </c>
      <c r="AO379">
        <v>26</v>
      </c>
      <c r="AP379">
        <v>22</v>
      </c>
      <c r="AQ379">
        <v>43</v>
      </c>
      <c r="AR379">
        <v>804</v>
      </c>
      <c r="AS379">
        <v>1551</v>
      </c>
      <c r="AT379" t="s">
        <v>7</v>
      </c>
      <c r="AU379">
        <v>0</v>
      </c>
      <c r="AV379">
        <v>2013</v>
      </c>
      <c r="AW379" s="1">
        <v>45858</v>
      </c>
      <c r="AX379">
        <v>11.4</v>
      </c>
      <c r="AY379" t="s">
        <v>27</v>
      </c>
      <c r="AZ379" t="s">
        <v>48</v>
      </c>
      <c r="BA379" t="s">
        <v>12</v>
      </c>
      <c r="BB379" t="s">
        <v>13</v>
      </c>
      <c r="BC379" t="s">
        <v>7</v>
      </c>
      <c r="BD379">
        <v>4</v>
      </c>
      <c r="BE379" t="s">
        <v>14</v>
      </c>
      <c r="BF379">
        <v>1.21</v>
      </c>
    </row>
    <row r="380" spans="1:58" hidden="1" x14ac:dyDescent="0.2">
      <c r="A380">
        <v>379</v>
      </c>
      <c r="B380" t="s">
        <v>0</v>
      </c>
      <c r="C380">
        <v>61</v>
      </c>
      <c r="D380" t="s">
        <v>28</v>
      </c>
      <c r="E380" t="s">
        <v>47</v>
      </c>
      <c r="F380" t="s">
        <v>15</v>
      </c>
      <c r="G380" t="s">
        <v>16</v>
      </c>
      <c r="H380" t="s">
        <v>23</v>
      </c>
      <c r="I380" t="s">
        <v>53</v>
      </c>
      <c r="J380" t="s">
        <v>123</v>
      </c>
      <c r="K380" t="s">
        <v>13</v>
      </c>
      <c r="L380">
        <v>2.6</v>
      </c>
      <c r="M380">
        <v>6.9</v>
      </c>
      <c r="N380" t="s">
        <v>8</v>
      </c>
      <c r="O380" t="s">
        <v>13</v>
      </c>
      <c r="P380" t="s">
        <v>46</v>
      </c>
      <c r="Q380">
        <v>26</v>
      </c>
      <c r="R380">
        <v>1</v>
      </c>
      <c r="S380">
        <v>26.4</v>
      </c>
      <c r="T380">
        <v>131</v>
      </c>
      <c r="U380">
        <v>63</v>
      </c>
      <c r="V380">
        <v>7811</v>
      </c>
      <c r="W380">
        <v>50.1</v>
      </c>
      <c r="X380">
        <v>0</v>
      </c>
      <c r="Y380">
        <v>6</v>
      </c>
      <c r="Z380">
        <v>7</v>
      </c>
      <c r="AA380">
        <v>6.2</v>
      </c>
      <c r="AB380">
        <v>3</v>
      </c>
      <c r="AC380">
        <v>310</v>
      </c>
      <c r="AD380">
        <v>11</v>
      </c>
      <c r="AE380">
        <v>11</v>
      </c>
      <c r="AF380">
        <v>256</v>
      </c>
      <c r="AG380">
        <v>150</v>
      </c>
      <c r="AH380">
        <v>167</v>
      </c>
      <c r="AI380">
        <v>60</v>
      </c>
      <c r="AJ380">
        <v>35</v>
      </c>
      <c r="AK380">
        <v>47</v>
      </c>
      <c r="AL380">
        <v>34</v>
      </c>
      <c r="AM380">
        <v>7</v>
      </c>
      <c r="AN380">
        <v>128</v>
      </c>
      <c r="AO380">
        <v>56</v>
      </c>
      <c r="AP380">
        <v>49</v>
      </c>
      <c r="AQ380">
        <v>104</v>
      </c>
      <c r="AR380">
        <v>6241</v>
      </c>
      <c r="AS380">
        <v>7087</v>
      </c>
      <c r="AT380" t="s">
        <v>7</v>
      </c>
      <c r="AU380">
        <v>0.13</v>
      </c>
      <c r="AV380">
        <v>2017</v>
      </c>
      <c r="AW380" s="1">
        <v>45805</v>
      </c>
      <c r="AX380">
        <v>28.2</v>
      </c>
      <c r="AY380" t="s">
        <v>30</v>
      </c>
      <c r="AZ380" t="s">
        <v>37</v>
      </c>
      <c r="BA380" t="s">
        <v>12</v>
      </c>
      <c r="BB380" t="s">
        <v>7</v>
      </c>
      <c r="BC380" t="s">
        <v>7</v>
      </c>
      <c r="BD380">
        <v>1</v>
      </c>
      <c r="BE380" t="s">
        <v>14</v>
      </c>
      <c r="BF380">
        <v>1.03</v>
      </c>
    </row>
    <row r="381" spans="1:58" hidden="1" x14ac:dyDescent="0.2">
      <c r="A381">
        <v>380</v>
      </c>
      <c r="B381" t="s">
        <v>0</v>
      </c>
      <c r="C381">
        <v>29</v>
      </c>
      <c r="D381" t="s">
        <v>28</v>
      </c>
      <c r="E381" t="s">
        <v>2</v>
      </c>
      <c r="F381" t="s">
        <v>15</v>
      </c>
      <c r="G381" t="s">
        <v>117</v>
      </c>
      <c r="H381" t="s">
        <v>118</v>
      </c>
      <c r="I381" t="s">
        <v>114</v>
      </c>
      <c r="J381" t="s">
        <v>6</v>
      </c>
      <c r="K381" t="s">
        <v>7</v>
      </c>
      <c r="L381">
        <v>7</v>
      </c>
      <c r="M381">
        <v>9.5</v>
      </c>
      <c r="N381" t="s">
        <v>39</v>
      </c>
      <c r="O381" t="s">
        <v>13</v>
      </c>
      <c r="P381" t="s">
        <v>26</v>
      </c>
      <c r="Q381">
        <v>0</v>
      </c>
      <c r="R381">
        <v>4</v>
      </c>
      <c r="S381">
        <v>20.3</v>
      </c>
      <c r="T381">
        <v>154</v>
      </c>
      <c r="U381">
        <v>84</v>
      </c>
      <c r="V381">
        <v>8048</v>
      </c>
      <c r="W381">
        <v>41.9</v>
      </c>
      <c r="X381">
        <v>3</v>
      </c>
      <c r="Y381">
        <v>4</v>
      </c>
      <c r="Z381">
        <v>13</v>
      </c>
      <c r="AA381">
        <v>8.5</v>
      </c>
      <c r="AB381">
        <v>2</v>
      </c>
      <c r="AC381">
        <v>38</v>
      </c>
      <c r="AD381">
        <v>1</v>
      </c>
      <c r="AE381">
        <v>1</v>
      </c>
      <c r="AF381">
        <v>156</v>
      </c>
      <c r="AG381">
        <v>48</v>
      </c>
      <c r="AH381">
        <v>37</v>
      </c>
      <c r="AI381">
        <v>14</v>
      </c>
      <c r="AJ381">
        <v>6</v>
      </c>
      <c r="AK381">
        <v>19</v>
      </c>
      <c r="AL381">
        <v>11</v>
      </c>
      <c r="AM381">
        <v>3</v>
      </c>
      <c r="AN381">
        <v>22</v>
      </c>
      <c r="AO381">
        <v>6</v>
      </c>
      <c r="AP381">
        <v>9</v>
      </c>
      <c r="AQ381">
        <v>11</v>
      </c>
      <c r="AR381">
        <v>387</v>
      </c>
      <c r="AS381">
        <v>526</v>
      </c>
      <c r="AT381" t="s">
        <v>7</v>
      </c>
      <c r="AU381">
        <v>0.33</v>
      </c>
      <c r="AV381">
        <v>2023</v>
      </c>
      <c r="AW381" s="1">
        <v>45912</v>
      </c>
      <c r="AX381">
        <v>38</v>
      </c>
      <c r="AY381" t="s">
        <v>10</v>
      </c>
      <c r="AZ381" t="s">
        <v>35</v>
      </c>
      <c r="BA381" t="s">
        <v>21</v>
      </c>
      <c r="BB381" t="s">
        <v>13</v>
      </c>
      <c r="BC381" t="s">
        <v>7</v>
      </c>
      <c r="BD381">
        <v>4</v>
      </c>
      <c r="BE381" t="s">
        <v>14</v>
      </c>
      <c r="BF381">
        <v>1.74</v>
      </c>
    </row>
    <row r="382" spans="1:58" hidden="1" x14ac:dyDescent="0.2">
      <c r="A382">
        <v>381</v>
      </c>
      <c r="B382" t="s">
        <v>0</v>
      </c>
      <c r="C382">
        <v>56</v>
      </c>
      <c r="D382" t="s">
        <v>28</v>
      </c>
      <c r="E382" t="s">
        <v>47</v>
      </c>
      <c r="F382" t="s">
        <v>15</v>
      </c>
      <c r="G382" t="s">
        <v>116</v>
      </c>
      <c r="H382" t="s">
        <v>24</v>
      </c>
      <c r="I382" t="s">
        <v>112</v>
      </c>
      <c r="J382" t="s">
        <v>123</v>
      </c>
      <c r="K382" t="s">
        <v>13</v>
      </c>
      <c r="L382">
        <v>9.1</v>
      </c>
      <c r="M382">
        <v>5.9</v>
      </c>
      <c r="N382" t="s">
        <v>8</v>
      </c>
      <c r="O382" t="s">
        <v>7</v>
      </c>
      <c r="P382" t="s">
        <v>9</v>
      </c>
      <c r="Q382">
        <v>4</v>
      </c>
      <c r="R382">
        <v>2</v>
      </c>
      <c r="S382">
        <v>31.4</v>
      </c>
      <c r="T382">
        <v>117</v>
      </c>
      <c r="U382">
        <v>99</v>
      </c>
      <c r="V382">
        <v>7967</v>
      </c>
      <c r="W382">
        <v>46.6</v>
      </c>
      <c r="X382">
        <v>2</v>
      </c>
      <c r="Y382">
        <v>5</v>
      </c>
      <c r="Z382">
        <v>7</v>
      </c>
      <c r="AA382">
        <v>2</v>
      </c>
      <c r="AB382">
        <v>2</v>
      </c>
      <c r="AC382">
        <v>95</v>
      </c>
      <c r="AD382">
        <v>6</v>
      </c>
      <c r="AE382">
        <v>3</v>
      </c>
      <c r="AF382">
        <v>112</v>
      </c>
      <c r="AG382">
        <v>67</v>
      </c>
      <c r="AH382">
        <v>75</v>
      </c>
      <c r="AI382">
        <v>18</v>
      </c>
      <c r="AJ382">
        <v>13</v>
      </c>
      <c r="AK382">
        <v>14</v>
      </c>
      <c r="AL382">
        <v>13</v>
      </c>
      <c r="AM382">
        <v>1</v>
      </c>
      <c r="AN382">
        <v>48</v>
      </c>
      <c r="AO382">
        <v>14</v>
      </c>
      <c r="AP382">
        <v>10</v>
      </c>
      <c r="AQ382">
        <v>19</v>
      </c>
      <c r="AR382">
        <v>155</v>
      </c>
      <c r="AS382">
        <v>322</v>
      </c>
      <c r="AT382" t="s">
        <v>7</v>
      </c>
      <c r="AU382">
        <v>7.0000000000000007E-2</v>
      </c>
      <c r="AV382">
        <v>2022</v>
      </c>
      <c r="AW382" s="1">
        <v>45717</v>
      </c>
      <c r="AX382">
        <v>15.8</v>
      </c>
      <c r="AY382" t="s">
        <v>27</v>
      </c>
      <c r="AZ382" t="s">
        <v>31</v>
      </c>
      <c r="BA382" t="s">
        <v>21</v>
      </c>
      <c r="BB382" t="s">
        <v>13</v>
      </c>
      <c r="BC382" t="s">
        <v>13</v>
      </c>
      <c r="BD382">
        <v>1</v>
      </c>
      <c r="BE382" t="s">
        <v>49</v>
      </c>
      <c r="BF382">
        <v>1.25</v>
      </c>
    </row>
    <row r="383" spans="1:58" hidden="1" x14ac:dyDescent="0.2">
      <c r="A383">
        <v>382</v>
      </c>
      <c r="B383" t="s">
        <v>0</v>
      </c>
      <c r="C383">
        <v>40</v>
      </c>
      <c r="D383" t="s">
        <v>28</v>
      </c>
      <c r="E383" t="s">
        <v>128</v>
      </c>
      <c r="F383" t="s">
        <v>40</v>
      </c>
      <c r="G383" t="s">
        <v>16</v>
      </c>
      <c r="H383" t="s">
        <v>118</v>
      </c>
      <c r="I383" t="s">
        <v>112</v>
      </c>
      <c r="J383" t="s">
        <v>6</v>
      </c>
      <c r="K383" t="s">
        <v>13</v>
      </c>
      <c r="L383">
        <v>7</v>
      </c>
      <c r="M383">
        <v>8</v>
      </c>
      <c r="N383" t="s">
        <v>120</v>
      </c>
      <c r="O383" t="s">
        <v>7</v>
      </c>
      <c r="P383" t="s">
        <v>26</v>
      </c>
      <c r="Q383">
        <v>20</v>
      </c>
      <c r="R383">
        <v>2</v>
      </c>
      <c r="S383">
        <v>25.6</v>
      </c>
      <c r="T383">
        <v>158</v>
      </c>
      <c r="U383">
        <v>88</v>
      </c>
      <c r="V383">
        <v>7924</v>
      </c>
      <c r="W383">
        <v>37</v>
      </c>
      <c r="X383">
        <v>4</v>
      </c>
      <c r="Y383">
        <v>2</v>
      </c>
      <c r="Z383">
        <v>5</v>
      </c>
      <c r="AA383">
        <v>3</v>
      </c>
      <c r="AB383">
        <v>6</v>
      </c>
      <c r="AC383">
        <v>189</v>
      </c>
      <c r="AD383">
        <v>19</v>
      </c>
      <c r="AE383">
        <v>2</v>
      </c>
      <c r="AF383">
        <v>170</v>
      </c>
      <c r="AG383">
        <v>109</v>
      </c>
      <c r="AH383">
        <v>118</v>
      </c>
      <c r="AI383">
        <v>39</v>
      </c>
      <c r="AJ383">
        <v>25</v>
      </c>
      <c r="AK383">
        <v>37</v>
      </c>
      <c r="AL383">
        <v>14</v>
      </c>
      <c r="AM383">
        <v>2</v>
      </c>
      <c r="AN383">
        <v>86</v>
      </c>
      <c r="AO383">
        <v>21</v>
      </c>
      <c r="AP383">
        <v>36</v>
      </c>
      <c r="AQ383">
        <v>45</v>
      </c>
      <c r="AR383">
        <v>492</v>
      </c>
      <c r="AS383">
        <v>593</v>
      </c>
      <c r="AT383" t="s">
        <v>13</v>
      </c>
      <c r="AU383">
        <v>0.77</v>
      </c>
      <c r="AV383">
        <v>2011</v>
      </c>
      <c r="AW383" s="1">
        <v>45792</v>
      </c>
      <c r="AX383">
        <v>9.9</v>
      </c>
      <c r="AY383" t="s">
        <v>30</v>
      </c>
      <c r="AZ383" t="s">
        <v>35</v>
      </c>
      <c r="BA383" t="s">
        <v>21</v>
      </c>
      <c r="BB383" t="s">
        <v>13</v>
      </c>
      <c r="BC383" t="s">
        <v>13</v>
      </c>
      <c r="BD383">
        <v>3</v>
      </c>
      <c r="BE383" t="s">
        <v>49</v>
      </c>
      <c r="BF383">
        <v>1.06</v>
      </c>
    </row>
    <row r="384" spans="1:58" hidden="1" x14ac:dyDescent="0.2">
      <c r="A384">
        <v>383</v>
      </c>
      <c r="B384" t="s">
        <v>0</v>
      </c>
      <c r="C384">
        <v>42</v>
      </c>
      <c r="D384" t="s">
        <v>28</v>
      </c>
      <c r="E384" t="s">
        <v>47</v>
      </c>
      <c r="F384" t="s">
        <v>15</v>
      </c>
      <c r="G384" t="s">
        <v>117</v>
      </c>
      <c r="H384" t="s">
        <v>23</v>
      </c>
      <c r="I384" t="s">
        <v>115</v>
      </c>
      <c r="J384" t="s">
        <v>32</v>
      </c>
      <c r="K384" t="s">
        <v>7</v>
      </c>
      <c r="L384">
        <v>4.5999999999999996</v>
      </c>
      <c r="M384">
        <v>8.1</v>
      </c>
      <c r="N384" t="s">
        <v>8</v>
      </c>
      <c r="O384" t="s">
        <v>7</v>
      </c>
      <c r="P384" t="s">
        <v>26</v>
      </c>
      <c r="Q384">
        <v>1</v>
      </c>
      <c r="R384">
        <v>5</v>
      </c>
      <c r="S384">
        <v>15.3</v>
      </c>
      <c r="T384">
        <v>157</v>
      </c>
      <c r="U384">
        <v>83</v>
      </c>
      <c r="V384">
        <v>8020</v>
      </c>
      <c r="W384">
        <v>38.5</v>
      </c>
      <c r="X384">
        <v>2</v>
      </c>
      <c r="Y384">
        <v>4</v>
      </c>
      <c r="Z384">
        <v>6</v>
      </c>
      <c r="AA384">
        <v>2</v>
      </c>
      <c r="AB384">
        <v>4</v>
      </c>
      <c r="AC384">
        <v>74</v>
      </c>
      <c r="AD384">
        <v>2</v>
      </c>
      <c r="AE384">
        <v>5</v>
      </c>
      <c r="AF384">
        <v>73</v>
      </c>
      <c r="AG384">
        <v>51</v>
      </c>
      <c r="AH384">
        <v>65</v>
      </c>
      <c r="AI384">
        <v>19</v>
      </c>
      <c r="AJ384">
        <v>11</v>
      </c>
      <c r="AK384">
        <v>14</v>
      </c>
      <c r="AL384">
        <v>16</v>
      </c>
      <c r="AM384">
        <v>1</v>
      </c>
      <c r="AN384">
        <v>33</v>
      </c>
      <c r="AO384">
        <v>20</v>
      </c>
      <c r="AP384">
        <v>12</v>
      </c>
      <c r="AQ384">
        <v>21</v>
      </c>
      <c r="AR384">
        <v>606</v>
      </c>
      <c r="AS384">
        <v>470</v>
      </c>
      <c r="AT384" t="s">
        <v>7</v>
      </c>
      <c r="AU384">
        <v>0.91</v>
      </c>
      <c r="AV384">
        <v>2022</v>
      </c>
      <c r="AW384" s="1">
        <v>45874</v>
      </c>
      <c r="AX384">
        <v>37</v>
      </c>
      <c r="AY384" t="s">
        <v>30</v>
      </c>
      <c r="AZ384" t="s">
        <v>51</v>
      </c>
      <c r="BA384" t="s">
        <v>122</v>
      </c>
      <c r="BB384" t="s">
        <v>13</v>
      </c>
      <c r="BC384" t="s">
        <v>7</v>
      </c>
      <c r="BD384">
        <v>0</v>
      </c>
      <c r="BE384" t="s">
        <v>43</v>
      </c>
      <c r="BF384">
        <v>1.57</v>
      </c>
    </row>
    <row r="385" spans="1:58" hidden="1" x14ac:dyDescent="0.2">
      <c r="A385">
        <v>384</v>
      </c>
      <c r="B385" t="s">
        <v>0</v>
      </c>
      <c r="C385">
        <v>41</v>
      </c>
      <c r="D385" t="s">
        <v>1</v>
      </c>
      <c r="E385" t="s">
        <v>2</v>
      </c>
      <c r="F385" t="s">
        <v>15</v>
      </c>
      <c r="G385" t="s">
        <v>38</v>
      </c>
      <c r="H385" t="s">
        <v>23</v>
      </c>
      <c r="I385" t="s">
        <v>114</v>
      </c>
      <c r="J385" t="s">
        <v>18</v>
      </c>
      <c r="K385" t="s">
        <v>13</v>
      </c>
      <c r="L385">
        <v>10.5</v>
      </c>
      <c r="M385">
        <v>8</v>
      </c>
      <c r="N385" t="s">
        <v>25</v>
      </c>
      <c r="O385" t="s">
        <v>7</v>
      </c>
      <c r="P385" t="s">
        <v>26</v>
      </c>
      <c r="Q385">
        <v>36</v>
      </c>
      <c r="R385">
        <v>2</v>
      </c>
      <c r="S385">
        <v>22.1</v>
      </c>
      <c r="T385">
        <v>145</v>
      </c>
      <c r="U385">
        <v>75</v>
      </c>
      <c r="V385">
        <v>7992</v>
      </c>
      <c r="W385">
        <v>44.8</v>
      </c>
      <c r="X385">
        <v>6</v>
      </c>
      <c r="Y385">
        <v>1</v>
      </c>
      <c r="Z385">
        <v>7</v>
      </c>
      <c r="AA385">
        <v>6.1</v>
      </c>
      <c r="AB385">
        <v>1</v>
      </c>
      <c r="AC385">
        <v>377</v>
      </c>
      <c r="AD385">
        <v>13</v>
      </c>
      <c r="AE385">
        <v>5</v>
      </c>
      <c r="AF385">
        <v>268</v>
      </c>
      <c r="AG385">
        <v>150</v>
      </c>
      <c r="AH385">
        <v>215</v>
      </c>
      <c r="AI385">
        <v>53</v>
      </c>
      <c r="AJ385">
        <v>47</v>
      </c>
      <c r="AK385">
        <v>59</v>
      </c>
      <c r="AL385">
        <v>34</v>
      </c>
      <c r="AM385">
        <v>8</v>
      </c>
      <c r="AN385">
        <v>224</v>
      </c>
      <c r="AO385">
        <v>50</v>
      </c>
      <c r="AP385">
        <v>51</v>
      </c>
      <c r="AQ385">
        <v>86</v>
      </c>
      <c r="AR385">
        <v>748</v>
      </c>
      <c r="AS385">
        <v>1787</v>
      </c>
      <c r="AT385" t="s">
        <v>7</v>
      </c>
      <c r="AU385">
        <v>7.0000000000000007E-2</v>
      </c>
      <c r="AV385">
        <v>2017</v>
      </c>
      <c r="AW385" s="1">
        <v>46018</v>
      </c>
      <c r="AX385">
        <v>29</v>
      </c>
      <c r="AY385" t="s">
        <v>45</v>
      </c>
      <c r="AZ385" t="s">
        <v>31</v>
      </c>
      <c r="BA385" t="s">
        <v>21</v>
      </c>
      <c r="BB385" t="s">
        <v>13</v>
      </c>
      <c r="BC385" t="s">
        <v>7</v>
      </c>
      <c r="BD385">
        <v>2</v>
      </c>
      <c r="BE385" t="s">
        <v>14</v>
      </c>
      <c r="BF385">
        <v>0.89</v>
      </c>
    </row>
    <row r="386" spans="1:58" hidden="1" x14ac:dyDescent="0.2">
      <c r="A386">
        <v>385</v>
      </c>
      <c r="B386" t="s">
        <v>0</v>
      </c>
      <c r="C386">
        <v>58</v>
      </c>
      <c r="D386" t="s">
        <v>28</v>
      </c>
      <c r="E386" t="s">
        <v>22</v>
      </c>
      <c r="F386" t="s">
        <v>15</v>
      </c>
      <c r="G386" t="s">
        <v>38</v>
      </c>
      <c r="H386" t="s">
        <v>23</v>
      </c>
      <c r="I386" t="s">
        <v>113</v>
      </c>
      <c r="J386" t="s">
        <v>18</v>
      </c>
      <c r="K386" t="s">
        <v>13</v>
      </c>
      <c r="L386">
        <v>5.5</v>
      </c>
      <c r="M386">
        <v>9.1</v>
      </c>
      <c r="N386" t="s">
        <v>8</v>
      </c>
      <c r="O386" t="s">
        <v>7</v>
      </c>
      <c r="P386" t="s">
        <v>26</v>
      </c>
      <c r="Q386">
        <v>16</v>
      </c>
      <c r="R386">
        <v>6</v>
      </c>
      <c r="S386">
        <v>26.1</v>
      </c>
      <c r="T386">
        <v>115</v>
      </c>
      <c r="U386">
        <v>70</v>
      </c>
      <c r="V386">
        <v>8024</v>
      </c>
      <c r="W386">
        <v>41.7</v>
      </c>
      <c r="X386">
        <v>3</v>
      </c>
      <c r="Y386">
        <v>7</v>
      </c>
      <c r="Z386">
        <v>13</v>
      </c>
      <c r="AA386">
        <v>4.8</v>
      </c>
      <c r="AB386">
        <v>3</v>
      </c>
      <c r="AC386">
        <v>31</v>
      </c>
      <c r="AD386">
        <v>1</v>
      </c>
      <c r="AE386">
        <v>4</v>
      </c>
      <c r="AF386">
        <v>62</v>
      </c>
      <c r="AG386">
        <v>28</v>
      </c>
      <c r="AH386">
        <v>40</v>
      </c>
      <c r="AI386">
        <v>9</v>
      </c>
      <c r="AJ386">
        <v>17</v>
      </c>
      <c r="AK386">
        <v>9</v>
      </c>
      <c r="AL386">
        <v>10</v>
      </c>
      <c r="AM386">
        <v>1</v>
      </c>
      <c r="AN386">
        <v>17</v>
      </c>
      <c r="AO386">
        <v>6</v>
      </c>
      <c r="AP386">
        <v>4</v>
      </c>
      <c r="AQ386">
        <v>6</v>
      </c>
      <c r="AR386">
        <v>533</v>
      </c>
      <c r="AS386">
        <v>934</v>
      </c>
      <c r="AT386" t="s">
        <v>7</v>
      </c>
      <c r="AU386">
        <v>0.99</v>
      </c>
      <c r="AV386">
        <v>2013</v>
      </c>
      <c r="AW386" s="1">
        <v>45899</v>
      </c>
      <c r="AX386">
        <v>31</v>
      </c>
      <c r="AY386" t="s">
        <v>27</v>
      </c>
      <c r="AZ386" t="s">
        <v>37</v>
      </c>
      <c r="BA386" t="s">
        <v>12</v>
      </c>
      <c r="BB386" t="s">
        <v>13</v>
      </c>
      <c r="BC386" t="s">
        <v>7</v>
      </c>
      <c r="BD386">
        <v>2</v>
      </c>
      <c r="BE386" t="s">
        <v>43</v>
      </c>
      <c r="BF386">
        <v>2.19</v>
      </c>
    </row>
    <row r="387" spans="1:58" hidden="1" x14ac:dyDescent="0.2">
      <c r="A387">
        <v>386</v>
      </c>
      <c r="B387" t="s">
        <v>0</v>
      </c>
      <c r="C387">
        <v>65</v>
      </c>
      <c r="D387" t="s">
        <v>1</v>
      </c>
      <c r="E387" t="s">
        <v>128</v>
      </c>
      <c r="F387" t="s">
        <v>15</v>
      </c>
      <c r="G387" t="s">
        <v>116</v>
      </c>
      <c r="H387" t="s">
        <v>118</v>
      </c>
      <c r="I387" t="s">
        <v>112</v>
      </c>
      <c r="J387" t="s">
        <v>6</v>
      </c>
      <c r="K387" t="s">
        <v>7</v>
      </c>
      <c r="L387">
        <v>5.4</v>
      </c>
      <c r="M387">
        <v>8.1</v>
      </c>
      <c r="N387" t="s">
        <v>29</v>
      </c>
      <c r="O387" t="s">
        <v>7</v>
      </c>
      <c r="P387" t="s">
        <v>9</v>
      </c>
      <c r="Q387">
        <v>18</v>
      </c>
      <c r="R387">
        <v>3</v>
      </c>
      <c r="S387">
        <v>27.1</v>
      </c>
      <c r="T387">
        <v>111</v>
      </c>
      <c r="U387">
        <v>85</v>
      </c>
      <c r="V387">
        <v>8009</v>
      </c>
      <c r="W387">
        <v>44</v>
      </c>
      <c r="X387">
        <v>4</v>
      </c>
      <c r="Y387">
        <v>3</v>
      </c>
      <c r="Z387">
        <v>11</v>
      </c>
      <c r="AA387">
        <v>6.4</v>
      </c>
      <c r="AB387">
        <v>4</v>
      </c>
      <c r="AC387">
        <v>98</v>
      </c>
      <c r="AD387">
        <v>8</v>
      </c>
      <c r="AE387">
        <v>3</v>
      </c>
      <c r="AF387">
        <v>97</v>
      </c>
      <c r="AG387">
        <v>64</v>
      </c>
      <c r="AH387">
        <v>86</v>
      </c>
      <c r="AI387">
        <v>21</v>
      </c>
      <c r="AJ387">
        <v>16</v>
      </c>
      <c r="AK387">
        <v>22</v>
      </c>
      <c r="AL387">
        <v>15</v>
      </c>
      <c r="AM387">
        <v>2</v>
      </c>
      <c r="AN387">
        <v>46</v>
      </c>
      <c r="AO387">
        <v>10</v>
      </c>
      <c r="AP387">
        <v>18</v>
      </c>
      <c r="AQ387">
        <v>36</v>
      </c>
      <c r="AR387">
        <v>1281</v>
      </c>
      <c r="AS387">
        <v>2444</v>
      </c>
      <c r="AT387" t="s">
        <v>7</v>
      </c>
      <c r="AU387">
        <v>0.75</v>
      </c>
      <c r="AV387">
        <v>2013</v>
      </c>
      <c r="AW387" s="1">
        <v>45748</v>
      </c>
      <c r="AX387">
        <v>12.2</v>
      </c>
      <c r="AY387" t="s">
        <v>36</v>
      </c>
      <c r="AZ387" t="s">
        <v>11</v>
      </c>
      <c r="BA387" t="s">
        <v>12</v>
      </c>
      <c r="BB387" t="s">
        <v>13</v>
      </c>
      <c r="BC387" t="s">
        <v>7</v>
      </c>
      <c r="BD387">
        <v>0</v>
      </c>
      <c r="BE387" t="s">
        <v>14</v>
      </c>
      <c r="BF387">
        <v>1.38</v>
      </c>
    </row>
    <row r="388" spans="1:58" hidden="1" x14ac:dyDescent="0.2">
      <c r="A388">
        <v>387</v>
      </c>
      <c r="B388" t="s">
        <v>0</v>
      </c>
      <c r="C388">
        <v>18</v>
      </c>
      <c r="D388" t="s">
        <v>28</v>
      </c>
      <c r="E388" t="s">
        <v>128</v>
      </c>
      <c r="F388" t="s">
        <v>40</v>
      </c>
      <c r="G388" t="s">
        <v>38</v>
      </c>
      <c r="H388" t="s">
        <v>118</v>
      </c>
      <c r="I388" t="s">
        <v>112</v>
      </c>
      <c r="J388" t="s">
        <v>6</v>
      </c>
      <c r="K388" t="s">
        <v>7</v>
      </c>
      <c r="L388">
        <v>6.3</v>
      </c>
      <c r="M388">
        <v>5.3</v>
      </c>
      <c r="N388" t="s">
        <v>120</v>
      </c>
      <c r="O388" t="s">
        <v>7</v>
      </c>
      <c r="P388" t="s">
        <v>9</v>
      </c>
      <c r="Q388">
        <v>39</v>
      </c>
      <c r="R388">
        <v>3</v>
      </c>
      <c r="S388">
        <v>27.6</v>
      </c>
      <c r="T388">
        <v>136</v>
      </c>
      <c r="U388">
        <v>89</v>
      </c>
      <c r="V388">
        <v>8093</v>
      </c>
      <c r="W388">
        <v>66</v>
      </c>
      <c r="X388">
        <v>3</v>
      </c>
      <c r="Y388">
        <v>3</v>
      </c>
      <c r="Z388">
        <v>10</v>
      </c>
      <c r="AA388">
        <v>2.4</v>
      </c>
      <c r="AB388">
        <v>4</v>
      </c>
      <c r="AC388">
        <v>413</v>
      </c>
      <c r="AD388">
        <v>12</v>
      </c>
      <c r="AE388">
        <v>12</v>
      </c>
      <c r="AF388">
        <v>300</v>
      </c>
      <c r="AG388">
        <v>150</v>
      </c>
      <c r="AH388">
        <v>226</v>
      </c>
      <c r="AI388">
        <v>80</v>
      </c>
      <c r="AJ388">
        <v>56</v>
      </c>
      <c r="AK388">
        <v>60</v>
      </c>
      <c r="AL388">
        <v>34</v>
      </c>
      <c r="AM388">
        <v>9</v>
      </c>
      <c r="AN388">
        <v>166</v>
      </c>
      <c r="AO388">
        <v>68</v>
      </c>
      <c r="AP388">
        <v>98</v>
      </c>
      <c r="AQ388">
        <v>160</v>
      </c>
      <c r="AR388">
        <v>2700</v>
      </c>
      <c r="AS388">
        <v>4107</v>
      </c>
      <c r="AT388" t="s">
        <v>7</v>
      </c>
      <c r="AU388">
        <v>0.95</v>
      </c>
      <c r="AV388">
        <v>2025</v>
      </c>
      <c r="AW388" s="1">
        <v>46013</v>
      </c>
      <c r="AX388">
        <v>34.4</v>
      </c>
      <c r="AY388" t="s">
        <v>19</v>
      </c>
      <c r="AZ388" t="s">
        <v>51</v>
      </c>
      <c r="BA388" t="s">
        <v>21</v>
      </c>
      <c r="BB388" t="s">
        <v>13</v>
      </c>
      <c r="BC388" t="s">
        <v>7</v>
      </c>
      <c r="BD388">
        <v>4</v>
      </c>
      <c r="BE388" t="s">
        <v>14</v>
      </c>
      <c r="BF388">
        <v>1.02</v>
      </c>
    </row>
    <row r="389" spans="1:58" hidden="1" x14ac:dyDescent="0.2">
      <c r="A389">
        <v>388</v>
      </c>
      <c r="B389" t="s">
        <v>0</v>
      </c>
      <c r="C389">
        <v>47</v>
      </c>
      <c r="D389" t="s">
        <v>28</v>
      </c>
      <c r="E389" t="s">
        <v>2</v>
      </c>
      <c r="F389" t="s">
        <v>40</v>
      </c>
      <c r="G389" t="s">
        <v>117</v>
      </c>
      <c r="H389" t="s">
        <v>23</v>
      </c>
      <c r="I389" t="s">
        <v>112</v>
      </c>
      <c r="J389" t="s">
        <v>6</v>
      </c>
      <c r="K389" t="s">
        <v>13</v>
      </c>
      <c r="L389">
        <v>10.199999999999999</v>
      </c>
      <c r="M389">
        <v>6.4</v>
      </c>
      <c r="N389" t="s">
        <v>29</v>
      </c>
      <c r="O389" t="s">
        <v>7</v>
      </c>
      <c r="P389" t="s">
        <v>9</v>
      </c>
      <c r="Q389">
        <v>1</v>
      </c>
      <c r="R389">
        <v>7</v>
      </c>
      <c r="S389">
        <v>22.8</v>
      </c>
      <c r="T389">
        <v>90</v>
      </c>
      <c r="U389">
        <v>97</v>
      </c>
      <c r="V389">
        <v>8143</v>
      </c>
      <c r="W389">
        <v>31.1</v>
      </c>
      <c r="X389">
        <v>2</v>
      </c>
      <c r="Y389">
        <v>5</v>
      </c>
      <c r="Z389">
        <v>10</v>
      </c>
      <c r="AA389">
        <v>7.9</v>
      </c>
      <c r="AB389">
        <v>0</v>
      </c>
      <c r="AC389">
        <v>5</v>
      </c>
      <c r="AD389">
        <v>1</v>
      </c>
      <c r="AE389">
        <v>5</v>
      </c>
      <c r="AF389">
        <v>41</v>
      </c>
      <c r="AG389">
        <v>35</v>
      </c>
      <c r="AH389">
        <v>30</v>
      </c>
      <c r="AI389">
        <v>5</v>
      </c>
      <c r="AJ389">
        <v>7</v>
      </c>
      <c r="AK389">
        <v>11</v>
      </c>
      <c r="AL389">
        <v>10</v>
      </c>
      <c r="AM389">
        <v>2</v>
      </c>
      <c r="AN389">
        <v>2</v>
      </c>
      <c r="AO389">
        <v>1</v>
      </c>
      <c r="AP389">
        <v>1</v>
      </c>
      <c r="AQ389">
        <v>1</v>
      </c>
      <c r="AR389">
        <v>1362</v>
      </c>
      <c r="AS389">
        <v>2335</v>
      </c>
      <c r="AT389" t="s">
        <v>7</v>
      </c>
      <c r="AU389">
        <v>0.97</v>
      </c>
      <c r="AV389">
        <v>2022</v>
      </c>
      <c r="AW389" s="1">
        <v>45788</v>
      </c>
      <c r="AX389">
        <v>5</v>
      </c>
      <c r="AY389" t="s">
        <v>45</v>
      </c>
      <c r="AZ389" t="s">
        <v>51</v>
      </c>
      <c r="BA389" t="s">
        <v>12</v>
      </c>
      <c r="BB389" t="s">
        <v>7</v>
      </c>
      <c r="BC389" t="s">
        <v>7</v>
      </c>
      <c r="BD389">
        <v>4</v>
      </c>
      <c r="BE389" t="s">
        <v>14</v>
      </c>
      <c r="BF389">
        <v>9.17</v>
      </c>
    </row>
    <row r="390" spans="1:58" hidden="1" x14ac:dyDescent="0.2">
      <c r="A390">
        <v>389</v>
      </c>
      <c r="B390" t="s">
        <v>0</v>
      </c>
      <c r="C390">
        <v>53</v>
      </c>
      <c r="D390" t="s">
        <v>1</v>
      </c>
      <c r="E390" t="s">
        <v>126</v>
      </c>
      <c r="F390" t="s">
        <v>40</v>
      </c>
      <c r="G390" t="s">
        <v>38</v>
      </c>
      <c r="H390" t="s">
        <v>118</v>
      </c>
      <c r="I390" t="s">
        <v>114</v>
      </c>
      <c r="J390" t="s">
        <v>32</v>
      </c>
      <c r="K390" t="s">
        <v>13</v>
      </c>
      <c r="L390">
        <v>10.1</v>
      </c>
      <c r="M390">
        <v>7</v>
      </c>
      <c r="N390" t="s">
        <v>29</v>
      </c>
      <c r="O390" t="s">
        <v>13</v>
      </c>
      <c r="P390" t="s">
        <v>46</v>
      </c>
      <c r="Q390">
        <v>35</v>
      </c>
      <c r="R390">
        <v>8</v>
      </c>
      <c r="S390">
        <v>27.4</v>
      </c>
      <c r="T390">
        <v>91</v>
      </c>
      <c r="U390">
        <v>99</v>
      </c>
      <c r="V390">
        <v>8033</v>
      </c>
      <c r="W390">
        <v>22.4</v>
      </c>
      <c r="X390">
        <v>6</v>
      </c>
      <c r="Y390">
        <v>3</v>
      </c>
      <c r="Z390">
        <v>10</v>
      </c>
      <c r="AA390">
        <v>1.4</v>
      </c>
      <c r="AB390">
        <v>4</v>
      </c>
      <c r="AC390">
        <v>248</v>
      </c>
      <c r="AD390">
        <v>19</v>
      </c>
      <c r="AE390">
        <v>11</v>
      </c>
      <c r="AF390">
        <v>159</v>
      </c>
      <c r="AG390">
        <v>117</v>
      </c>
      <c r="AH390">
        <v>152</v>
      </c>
      <c r="AI390">
        <v>44</v>
      </c>
      <c r="AJ390">
        <v>31</v>
      </c>
      <c r="AK390">
        <v>47</v>
      </c>
      <c r="AL390">
        <v>19</v>
      </c>
      <c r="AM390">
        <v>7</v>
      </c>
      <c r="AN390">
        <v>104</v>
      </c>
      <c r="AO390">
        <v>65</v>
      </c>
      <c r="AP390">
        <v>27</v>
      </c>
      <c r="AQ390">
        <v>93</v>
      </c>
      <c r="AR390">
        <v>805</v>
      </c>
      <c r="AS390">
        <v>1754</v>
      </c>
      <c r="AT390" t="s">
        <v>7</v>
      </c>
      <c r="AU390">
        <v>0.48</v>
      </c>
      <c r="AV390">
        <v>2016</v>
      </c>
      <c r="AW390" s="1">
        <v>45917</v>
      </c>
      <c r="AX390">
        <v>13.1</v>
      </c>
      <c r="AY390" t="s">
        <v>19</v>
      </c>
      <c r="AZ390" t="s">
        <v>11</v>
      </c>
      <c r="BA390" t="s">
        <v>12</v>
      </c>
      <c r="BB390" t="s">
        <v>13</v>
      </c>
      <c r="BC390" t="s">
        <v>13</v>
      </c>
      <c r="BD390">
        <v>2</v>
      </c>
      <c r="BE390" t="s">
        <v>14</v>
      </c>
      <c r="BF390">
        <v>1.1000000000000001</v>
      </c>
    </row>
    <row r="391" spans="1:58" hidden="1" x14ac:dyDescent="0.2">
      <c r="A391">
        <v>390</v>
      </c>
      <c r="B391" t="s">
        <v>0</v>
      </c>
      <c r="C391">
        <v>49</v>
      </c>
      <c r="D391" t="s">
        <v>28</v>
      </c>
      <c r="E391" t="s">
        <v>126</v>
      </c>
      <c r="F391" t="s">
        <v>40</v>
      </c>
      <c r="G391" t="s">
        <v>16</v>
      </c>
      <c r="H391" t="s">
        <v>118</v>
      </c>
      <c r="I391" t="s">
        <v>114</v>
      </c>
      <c r="J391" t="s">
        <v>6</v>
      </c>
      <c r="K391" t="s">
        <v>7</v>
      </c>
      <c r="L391">
        <v>8.9</v>
      </c>
      <c r="M391">
        <v>6.2</v>
      </c>
      <c r="N391" t="s">
        <v>29</v>
      </c>
      <c r="O391" t="s">
        <v>7</v>
      </c>
      <c r="P391" t="s">
        <v>46</v>
      </c>
      <c r="Q391">
        <v>33</v>
      </c>
      <c r="R391">
        <v>7</v>
      </c>
      <c r="S391">
        <v>31.4</v>
      </c>
      <c r="T391">
        <v>100</v>
      </c>
      <c r="U391">
        <v>65</v>
      </c>
      <c r="V391">
        <v>7983</v>
      </c>
      <c r="W391">
        <v>40.6</v>
      </c>
      <c r="X391">
        <v>1</v>
      </c>
      <c r="Y391">
        <v>1</v>
      </c>
      <c r="Z391">
        <v>13</v>
      </c>
      <c r="AA391">
        <v>1.1000000000000001</v>
      </c>
      <c r="AB391">
        <v>4</v>
      </c>
      <c r="AC391">
        <v>286</v>
      </c>
      <c r="AD391">
        <v>15</v>
      </c>
      <c r="AE391">
        <v>7</v>
      </c>
      <c r="AF391">
        <v>225</v>
      </c>
      <c r="AG391">
        <v>138</v>
      </c>
      <c r="AH391">
        <v>178</v>
      </c>
      <c r="AI391">
        <v>55</v>
      </c>
      <c r="AJ391">
        <v>39</v>
      </c>
      <c r="AK391">
        <v>41</v>
      </c>
      <c r="AL391">
        <v>32</v>
      </c>
      <c r="AM391">
        <v>8</v>
      </c>
      <c r="AN391">
        <v>145</v>
      </c>
      <c r="AO391">
        <v>58</v>
      </c>
      <c r="AP391">
        <v>65</v>
      </c>
      <c r="AQ391">
        <v>65</v>
      </c>
      <c r="AR391">
        <v>610</v>
      </c>
      <c r="AS391">
        <v>855</v>
      </c>
      <c r="AT391" t="s">
        <v>7</v>
      </c>
      <c r="AU391">
        <v>0.26</v>
      </c>
      <c r="AV391">
        <v>2021</v>
      </c>
      <c r="AW391" s="1">
        <v>45687</v>
      </c>
      <c r="AX391">
        <v>19.100000000000001</v>
      </c>
      <c r="AY391" t="s">
        <v>10</v>
      </c>
      <c r="AZ391" t="s">
        <v>31</v>
      </c>
      <c r="BA391" t="s">
        <v>122</v>
      </c>
      <c r="BB391" t="s">
        <v>13</v>
      </c>
      <c r="BC391" t="s">
        <v>13</v>
      </c>
      <c r="BD391">
        <v>0</v>
      </c>
      <c r="BE391" t="s">
        <v>14</v>
      </c>
      <c r="BF391">
        <v>1.08</v>
      </c>
    </row>
    <row r="392" spans="1:58" hidden="1" x14ac:dyDescent="0.2">
      <c r="A392">
        <v>391</v>
      </c>
      <c r="B392" t="s">
        <v>0</v>
      </c>
      <c r="C392">
        <v>36</v>
      </c>
      <c r="D392" t="s">
        <v>1</v>
      </c>
      <c r="E392" t="s">
        <v>128</v>
      </c>
      <c r="F392" t="s">
        <v>15</v>
      </c>
      <c r="G392" t="s">
        <v>4</v>
      </c>
      <c r="H392" t="s">
        <v>118</v>
      </c>
      <c r="I392" t="s">
        <v>115</v>
      </c>
      <c r="J392" t="s">
        <v>32</v>
      </c>
      <c r="K392" t="s">
        <v>13</v>
      </c>
      <c r="L392">
        <v>5.4</v>
      </c>
      <c r="M392">
        <v>7.1</v>
      </c>
      <c r="N392" t="s">
        <v>29</v>
      </c>
      <c r="O392" t="s">
        <v>13</v>
      </c>
      <c r="P392" t="s">
        <v>26</v>
      </c>
      <c r="Q392">
        <v>37</v>
      </c>
      <c r="R392">
        <v>8</v>
      </c>
      <c r="S392">
        <v>19.2</v>
      </c>
      <c r="T392">
        <v>117</v>
      </c>
      <c r="U392">
        <v>60</v>
      </c>
      <c r="V392">
        <v>7855</v>
      </c>
      <c r="W392">
        <v>42.8</v>
      </c>
      <c r="X392">
        <v>0</v>
      </c>
      <c r="Y392">
        <v>7</v>
      </c>
      <c r="Z392">
        <v>12</v>
      </c>
      <c r="AA392">
        <v>1.9</v>
      </c>
      <c r="AB392">
        <v>1</v>
      </c>
      <c r="AC392">
        <v>282</v>
      </c>
      <c r="AD392">
        <v>8</v>
      </c>
      <c r="AE392">
        <v>7</v>
      </c>
      <c r="AF392">
        <v>218</v>
      </c>
      <c r="AG392">
        <v>125</v>
      </c>
      <c r="AH392">
        <v>170</v>
      </c>
      <c r="AI392">
        <v>45</v>
      </c>
      <c r="AJ392">
        <v>48</v>
      </c>
      <c r="AK392">
        <v>31</v>
      </c>
      <c r="AL392">
        <v>25</v>
      </c>
      <c r="AM392">
        <v>7</v>
      </c>
      <c r="AN392">
        <v>148</v>
      </c>
      <c r="AO392">
        <v>79</v>
      </c>
      <c r="AP392">
        <v>45</v>
      </c>
      <c r="AQ392">
        <v>82</v>
      </c>
      <c r="AR392">
        <v>694</v>
      </c>
      <c r="AS392">
        <v>1687</v>
      </c>
      <c r="AT392" t="s">
        <v>7</v>
      </c>
      <c r="AU392">
        <v>0.32</v>
      </c>
      <c r="AV392">
        <v>2021</v>
      </c>
      <c r="AW392" s="1">
        <v>45671</v>
      </c>
      <c r="AX392">
        <v>35.200000000000003</v>
      </c>
      <c r="AY392" t="s">
        <v>30</v>
      </c>
      <c r="AZ392" t="s">
        <v>17</v>
      </c>
      <c r="BA392" t="s">
        <v>21</v>
      </c>
      <c r="BB392" t="s">
        <v>13</v>
      </c>
      <c r="BC392" t="s">
        <v>7</v>
      </c>
      <c r="BD392">
        <v>0</v>
      </c>
      <c r="BE392" t="s">
        <v>14</v>
      </c>
      <c r="BF392">
        <v>0.99</v>
      </c>
    </row>
    <row r="393" spans="1:58" hidden="1" x14ac:dyDescent="0.2">
      <c r="A393">
        <v>392</v>
      </c>
      <c r="B393" t="s">
        <v>0</v>
      </c>
      <c r="C393">
        <v>41</v>
      </c>
      <c r="D393" t="s">
        <v>28</v>
      </c>
      <c r="E393" t="s">
        <v>22</v>
      </c>
      <c r="F393" t="s">
        <v>40</v>
      </c>
      <c r="G393" t="s">
        <v>16</v>
      </c>
      <c r="H393" t="s">
        <v>118</v>
      </c>
      <c r="I393" t="s">
        <v>112</v>
      </c>
      <c r="J393" t="s">
        <v>123</v>
      </c>
      <c r="K393" t="s">
        <v>13</v>
      </c>
      <c r="L393">
        <v>15.4</v>
      </c>
      <c r="M393">
        <v>7.6</v>
      </c>
      <c r="N393" t="s">
        <v>25</v>
      </c>
      <c r="O393" t="s">
        <v>7</v>
      </c>
      <c r="P393" t="s">
        <v>26</v>
      </c>
      <c r="Q393">
        <v>12</v>
      </c>
      <c r="R393">
        <v>7</v>
      </c>
      <c r="S393">
        <v>24.9</v>
      </c>
      <c r="T393">
        <v>127</v>
      </c>
      <c r="U393">
        <v>68</v>
      </c>
      <c r="V393">
        <v>8042</v>
      </c>
      <c r="W393">
        <v>18.5</v>
      </c>
      <c r="X393">
        <v>2</v>
      </c>
      <c r="Y393">
        <v>4</v>
      </c>
      <c r="Z393">
        <v>8</v>
      </c>
      <c r="AA393">
        <v>4.8</v>
      </c>
      <c r="AB393">
        <v>2</v>
      </c>
      <c r="AC393">
        <v>158</v>
      </c>
      <c r="AD393">
        <v>5</v>
      </c>
      <c r="AE393">
        <v>2</v>
      </c>
      <c r="AF393">
        <v>152</v>
      </c>
      <c r="AG393">
        <v>109</v>
      </c>
      <c r="AH393">
        <v>100</v>
      </c>
      <c r="AI393">
        <v>32</v>
      </c>
      <c r="AJ393">
        <v>28</v>
      </c>
      <c r="AK393">
        <v>25</v>
      </c>
      <c r="AL393">
        <v>13</v>
      </c>
      <c r="AM393">
        <v>4</v>
      </c>
      <c r="AN393">
        <v>78</v>
      </c>
      <c r="AO393">
        <v>22</v>
      </c>
      <c r="AP393">
        <v>27</v>
      </c>
      <c r="AQ393">
        <v>36</v>
      </c>
      <c r="AR393">
        <v>914</v>
      </c>
      <c r="AS393">
        <v>708</v>
      </c>
      <c r="AT393" t="s">
        <v>7</v>
      </c>
      <c r="AU393">
        <v>0.23</v>
      </c>
      <c r="AV393">
        <v>2022</v>
      </c>
      <c r="AW393" s="1">
        <v>46024</v>
      </c>
      <c r="AX393">
        <v>31.6</v>
      </c>
      <c r="AY393" t="s">
        <v>10</v>
      </c>
      <c r="AZ393" t="s">
        <v>51</v>
      </c>
      <c r="BA393" t="s">
        <v>12</v>
      </c>
      <c r="BB393" t="s">
        <v>7</v>
      </c>
      <c r="BC393" t="s">
        <v>13</v>
      </c>
      <c r="BD393">
        <v>2</v>
      </c>
      <c r="BE393" t="s">
        <v>14</v>
      </c>
      <c r="BF393">
        <v>1.07</v>
      </c>
    </row>
    <row r="394" spans="1:58" hidden="1" x14ac:dyDescent="0.2">
      <c r="A394">
        <v>393</v>
      </c>
      <c r="B394" t="s">
        <v>0</v>
      </c>
      <c r="C394">
        <v>61</v>
      </c>
      <c r="D394" t="s">
        <v>28</v>
      </c>
      <c r="E394" t="s">
        <v>22</v>
      </c>
      <c r="F394" t="s">
        <v>3</v>
      </c>
      <c r="G394" t="s">
        <v>38</v>
      </c>
      <c r="H394" t="s">
        <v>23</v>
      </c>
      <c r="I394" t="s">
        <v>17</v>
      </c>
      <c r="J394" t="s">
        <v>123</v>
      </c>
      <c r="K394" t="s">
        <v>7</v>
      </c>
      <c r="L394">
        <v>15.2</v>
      </c>
      <c r="M394">
        <v>7.1</v>
      </c>
      <c r="N394" t="s">
        <v>29</v>
      </c>
      <c r="O394" t="s">
        <v>7</v>
      </c>
      <c r="P394" t="s">
        <v>26</v>
      </c>
      <c r="Q394">
        <v>38</v>
      </c>
      <c r="R394">
        <v>1</v>
      </c>
      <c r="S394">
        <v>27</v>
      </c>
      <c r="T394">
        <v>128</v>
      </c>
      <c r="U394">
        <v>62</v>
      </c>
      <c r="V394">
        <v>7995</v>
      </c>
      <c r="W394">
        <v>38.6</v>
      </c>
      <c r="X394">
        <v>3</v>
      </c>
      <c r="Y394">
        <v>1</v>
      </c>
      <c r="Z394">
        <v>9</v>
      </c>
      <c r="AA394">
        <v>7.7</v>
      </c>
      <c r="AB394">
        <v>2</v>
      </c>
      <c r="AC394">
        <v>386</v>
      </c>
      <c r="AD394">
        <v>21</v>
      </c>
      <c r="AE394">
        <v>3</v>
      </c>
      <c r="AF394">
        <v>264</v>
      </c>
      <c r="AG394">
        <v>150</v>
      </c>
      <c r="AH394">
        <v>201</v>
      </c>
      <c r="AI394">
        <v>60</v>
      </c>
      <c r="AJ394">
        <v>41</v>
      </c>
      <c r="AK394">
        <v>59</v>
      </c>
      <c r="AL394">
        <v>31</v>
      </c>
      <c r="AM394">
        <v>5</v>
      </c>
      <c r="AN394">
        <v>217</v>
      </c>
      <c r="AO394">
        <v>54</v>
      </c>
      <c r="AP394">
        <v>42</v>
      </c>
      <c r="AQ394">
        <v>122</v>
      </c>
      <c r="AR394">
        <v>978</v>
      </c>
      <c r="AS394">
        <v>1261</v>
      </c>
      <c r="AT394" t="s">
        <v>7</v>
      </c>
      <c r="AU394">
        <v>0.46</v>
      </c>
      <c r="AV394">
        <v>2015</v>
      </c>
      <c r="AW394" s="1">
        <v>45962</v>
      </c>
      <c r="AX394">
        <v>18.399999999999999</v>
      </c>
      <c r="AY394" t="s">
        <v>10</v>
      </c>
      <c r="AZ394" t="s">
        <v>11</v>
      </c>
      <c r="BA394" t="s">
        <v>21</v>
      </c>
      <c r="BB394" t="s">
        <v>13</v>
      </c>
      <c r="BC394" t="s">
        <v>7</v>
      </c>
      <c r="BD394">
        <v>2</v>
      </c>
      <c r="BE394" t="s">
        <v>43</v>
      </c>
      <c r="BF394">
        <v>0.85</v>
      </c>
    </row>
    <row r="395" spans="1:58" hidden="1" x14ac:dyDescent="0.2">
      <c r="A395">
        <v>394</v>
      </c>
      <c r="B395" t="s">
        <v>0</v>
      </c>
      <c r="C395">
        <v>58</v>
      </c>
      <c r="D395" t="s">
        <v>28</v>
      </c>
      <c r="E395" t="s">
        <v>17</v>
      </c>
      <c r="F395" t="s">
        <v>40</v>
      </c>
      <c r="G395" t="s">
        <v>116</v>
      </c>
      <c r="H395" t="s">
        <v>34</v>
      </c>
      <c r="I395" t="s">
        <v>114</v>
      </c>
      <c r="J395" t="s">
        <v>6</v>
      </c>
      <c r="K395" t="s">
        <v>7</v>
      </c>
      <c r="L395">
        <v>10.1</v>
      </c>
      <c r="M395">
        <v>6.8</v>
      </c>
      <c r="N395" t="s">
        <v>8</v>
      </c>
      <c r="O395" t="s">
        <v>13</v>
      </c>
      <c r="P395" t="s">
        <v>9</v>
      </c>
      <c r="Q395">
        <v>40</v>
      </c>
      <c r="R395">
        <v>2</v>
      </c>
      <c r="S395">
        <v>29.6</v>
      </c>
      <c r="T395">
        <v>113</v>
      </c>
      <c r="U395">
        <v>77</v>
      </c>
      <c r="V395">
        <v>7995</v>
      </c>
      <c r="W395">
        <v>46.6</v>
      </c>
      <c r="X395">
        <v>3</v>
      </c>
      <c r="Y395">
        <v>7</v>
      </c>
      <c r="Z395">
        <v>2</v>
      </c>
      <c r="AA395">
        <v>0.9</v>
      </c>
      <c r="AB395">
        <v>7</v>
      </c>
      <c r="AC395">
        <v>351</v>
      </c>
      <c r="AD395">
        <v>12</v>
      </c>
      <c r="AE395">
        <v>8</v>
      </c>
      <c r="AF395">
        <v>246</v>
      </c>
      <c r="AG395">
        <v>150</v>
      </c>
      <c r="AH395">
        <v>203</v>
      </c>
      <c r="AI395">
        <v>51</v>
      </c>
      <c r="AJ395">
        <v>47</v>
      </c>
      <c r="AK395">
        <v>46</v>
      </c>
      <c r="AL395">
        <v>28</v>
      </c>
      <c r="AM395">
        <v>13</v>
      </c>
      <c r="AN395">
        <v>169</v>
      </c>
      <c r="AO395">
        <v>84</v>
      </c>
      <c r="AP395">
        <v>76</v>
      </c>
      <c r="AQ395">
        <v>113</v>
      </c>
      <c r="AR395">
        <v>7807</v>
      </c>
      <c r="AS395">
        <v>4846</v>
      </c>
      <c r="AT395" t="s">
        <v>7</v>
      </c>
      <c r="AU395">
        <v>0.13</v>
      </c>
      <c r="AV395">
        <v>2020</v>
      </c>
      <c r="AW395" s="1">
        <v>45677</v>
      </c>
      <c r="AX395">
        <v>29.2</v>
      </c>
      <c r="AY395" t="s">
        <v>27</v>
      </c>
      <c r="AZ395" t="s">
        <v>31</v>
      </c>
      <c r="BA395" t="s">
        <v>21</v>
      </c>
      <c r="BB395" t="s">
        <v>13</v>
      </c>
      <c r="BC395" t="s">
        <v>7</v>
      </c>
      <c r="BD395">
        <v>3</v>
      </c>
      <c r="BE395" t="s">
        <v>14</v>
      </c>
      <c r="BF395">
        <v>0.93</v>
      </c>
    </row>
    <row r="396" spans="1:58" hidden="1" x14ac:dyDescent="0.2">
      <c r="A396">
        <v>395</v>
      </c>
      <c r="B396" t="s">
        <v>0</v>
      </c>
      <c r="C396">
        <v>65</v>
      </c>
      <c r="D396" t="s">
        <v>28</v>
      </c>
      <c r="E396" t="s">
        <v>2</v>
      </c>
      <c r="F396" t="s">
        <v>15</v>
      </c>
      <c r="G396" t="s">
        <v>117</v>
      </c>
      <c r="H396" t="s">
        <v>23</v>
      </c>
      <c r="I396" t="s">
        <v>114</v>
      </c>
      <c r="J396" t="s">
        <v>32</v>
      </c>
      <c r="K396" t="s">
        <v>7</v>
      </c>
      <c r="L396">
        <v>13.4</v>
      </c>
      <c r="M396">
        <v>7.9</v>
      </c>
      <c r="N396" t="s">
        <v>120</v>
      </c>
      <c r="O396" t="s">
        <v>7</v>
      </c>
      <c r="P396" t="s">
        <v>26</v>
      </c>
      <c r="Q396">
        <v>36</v>
      </c>
      <c r="R396">
        <v>1</v>
      </c>
      <c r="S396">
        <v>29</v>
      </c>
      <c r="T396">
        <v>118</v>
      </c>
      <c r="U396">
        <v>78</v>
      </c>
      <c r="V396">
        <v>8128</v>
      </c>
      <c r="W396">
        <v>45</v>
      </c>
      <c r="X396">
        <v>2</v>
      </c>
      <c r="Y396">
        <v>4</v>
      </c>
      <c r="Z396">
        <v>7</v>
      </c>
      <c r="AA396">
        <v>1.6</v>
      </c>
      <c r="AB396">
        <v>2</v>
      </c>
      <c r="AC396">
        <v>317</v>
      </c>
      <c r="AD396">
        <v>15</v>
      </c>
      <c r="AE396">
        <v>8</v>
      </c>
      <c r="AF396">
        <v>215</v>
      </c>
      <c r="AG396">
        <v>135</v>
      </c>
      <c r="AH396">
        <v>171</v>
      </c>
      <c r="AI396">
        <v>55</v>
      </c>
      <c r="AJ396">
        <v>44</v>
      </c>
      <c r="AK396">
        <v>46</v>
      </c>
      <c r="AL396">
        <v>22</v>
      </c>
      <c r="AM396">
        <v>7</v>
      </c>
      <c r="AN396">
        <v>171</v>
      </c>
      <c r="AO396">
        <v>52</v>
      </c>
      <c r="AP396">
        <v>67</v>
      </c>
      <c r="AQ396">
        <v>84</v>
      </c>
      <c r="AR396">
        <v>803</v>
      </c>
      <c r="AS396">
        <v>1683</v>
      </c>
      <c r="AT396" t="s">
        <v>7</v>
      </c>
      <c r="AU396">
        <v>0.28000000000000003</v>
      </c>
      <c r="AV396">
        <v>2011</v>
      </c>
      <c r="AW396" s="1">
        <v>45784</v>
      </c>
      <c r="AX396">
        <v>21.1</v>
      </c>
      <c r="AY396" t="s">
        <v>30</v>
      </c>
      <c r="AZ396" t="s">
        <v>37</v>
      </c>
      <c r="BA396" t="s">
        <v>12</v>
      </c>
      <c r="BB396" t="s">
        <v>13</v>
      </c>
      <c r="BC396" t="s">
        <v>13</v>
      </c>
      <c r="BD396">
        <v>1</v>
      </c>
      <c r="BE396" t="s">
        <v>14</v>
      </c>
      <c r="BF396">
        <v>0.96</v>
      </c>
    </row>
    <row r="397" spans="1:58" hidden="1" x14ac:dyDescent="0.2">
      <c r="A397">
        <v>396</v>
      </c>
      <c r="B397" t="s">
        <v>0</v>
      </c>
      <c r="C397">
        <v>43</v>
      </c>
      <c r="D397" t="s">
        <v>1</v>
      </c>
      <c r="E397" t="s">
        <v>47</v>
      </c>
      <c r="F397" t="s">
        <v>15</v>
      </c>
      <c r="G397" t="s">
        <v>4</v>
      </c>
      <c r="H397" t="s">
        <v>118</v>
      </c>
      <c r="I397" t="s">
        <v>113</v>
      </c>
      <c r="J397" t="s">
        <v>6</v>
      </c>
      <c r="K397" t="s">
        <v>7</v>
      </c>
      <c r="L397">
        <v>4.8</v>
      </c>
      <c r="M397">
        <v>6.6</v>
      </c>
      <c r="N397" t="s">
        <v>25</v>
      </c>
      <c r="O397" t="s">
        <v>7</v>
      </c>
      <c r="P397" t="s">
        <v>26</v>
      </c>
      <c r="Q397">
        <v>8</v>
      </c>
      <c r="R397">
        <v>5</v>
      </c>
      <c r="S397">
        <v>30.4</v>
      </c>
      <c r="T397">
        <v>107</v>
      </c>
      <c r="U397">
        <v>60</v>
      </c>
      <c r="V397">
        <v>7894</v>
      </c>
      <c r="W397">
        <v>34.9</v>
      </c>
      <c r="X397">
        <v>7</v>
      </c>
      <c r="Y397">
        <v>6</v>
      </c>
      <c r="Z397">
        <v>9</v>
      </c>
      <c r="AA397">
        <v>5.0999999999999996</v>
      </c>
      <c r="AB397">
        <v>1</v>
      </c>
      <c r="AC397">
        <v>151</v>
      </c>
      <c r="AD397">
        <v>6</v>
      </c>
      <c r="AE397">
        <v>3</v>
      </c>
      <c r="AF397">
        <v>129</v>
      </c>
      <c r="AG397">
        <v>82</v>
      </c>
      <c r="AH397">
        <v>111</v>
      </c>
      <c r="AI397">
        <v>25</v>
      </c>
      <c r="AJ397">
        <v>29</v>
      </c>
      <c r="AK397">
        <v>24</v>
      </c>
      <c r="AL397">
        <v>20</v>
      </c>
      <c r="AM397">
        <v>9</v>
      </c>
      <c r="AN397">
        <v>66</v>
      </c>
      <c r="AO397">
        <v>44</v>
      </c>
      <c r="AP397">
        <v>32</v>
      </c>
      <c r="AQ397">
        <v>55</v>
      </c>
      <c r="AR397">
        <v>4681</v>
      </c>
      <c r="AS397">
        <v>5389</v>
      </c>
      <c r="AT397" t="s">
        <v>13</v>
      </c>
      <c r="AU397">
        <v>1</v>
      </c>
      <c r="AV397">
        <v>2016</v>
      </c>
      <c r="AW397" s="1">
        <v>45947</v>
      </c>
      <c r="AX397">
        <v>25.2</v>
      </c>
      <c r="AY397" t="s">
        <v>45</v>
      </c>
      <c r="AZ397" t="s">
        <v>51</v>
      </c>
      <c r="BA397" t="s">
        <v>12</v>
      </c>
      <c r="BB397" t="s">
        <v>13</v>
      </c>
      <c r="BC397" t="s">
        <v>7</v>
      </c>
      <c r="BD397">
        <v>3</v>
      </c>
      <c r="BE397" t="s">
        <v>14</v>
      </c>
      <c r="BF397">
        <v>1.1200000000000001</v>
      </c>
    </row>
    <row r="398" spans="1:58" hidden="1" x14ac:dyDescent="0.2">
      <c r="A398">
        <v>397</v>
      </c>
      <c r="B398" t="s">
        <v>0</v>
      </c>
      <c r="C398">
        <v>47</v>
      </c>
      <c r="D398" t="s">
        <v>1</v>
      </c>
      <c r="E398" t="s">
        <v>2</v>
      </c>
      <c r="F398" t="s">
        <v>15</v>
      </c>
      <c r="G398" t="s">
        <v>16</v>
      </c>
      <c r="H398" t="s">
        <v>23</v>
      </c>
      <c r="I398" t="s">
        <v>112</v>
      </c>
      <c r="J398" t="s">
        <v>123</v>
      </c>
      <c r="K398" t="s">
        <v>7</v>
      </c>
      <c r="L398">
        <v>9.3000000000000007</v>
      </c>
      <c r="M398">
        <v>6.6</v>
      </c>
      <c r="N398" t="s">
        <v>25</v>
      </c>
      <c r="O398" t="s">
        <v>7</v>
      </c>
      <c r="P398" t="s">
        <v>9</v>
      </c>
      <c r="Q398">
        <v>5</v>
      </c>
      <c r="R398">
        <v>8</v>
      </c>
      <c r="S398">
        <v>26.8</v>
      </c>
      <c r="T398">
        <v>121</v>
      </c>
      <c r="U398">
        <v>61</v>
      </c>
      <c r="V398">
        <v>7898</v>
      </c>
      <c r="W398">
        <v>32.5</v>
      </c>
      <c r="X398">
        <v>4</v>
      </c>
      <c r="Y398">
        <v>6</v>
      </c>
      <c r="Z398">
        <v>12</v>
      </c>
      <c r="AA398">
        <v>7.3</v>
      </c>
      <c r="AB398">
        <v>5</v>
      </c>
      <c r="AC398">
        <v>69</v>
      </c>
      <c r="AD398">
        <v>3</v>
      </c>
      <c r="AE398">
        <v>3</v>
      </c>
      <c r="AF398">
        <v>79</v>
      </c>
      <c r="AG398">
        <v>47</v>
      </c>
      <c r="AH398">
        <v>54</v>
      </c>
      <c r="AI398">
        <v>23</v>
      </c>
      <c r="AJ398">
        <v>14</v>
      </c>
      <c r="AK398">
        <v>17</v>
      </c>
      <c r="AL398">
        <v>14</v>
      </c>
      <c r="AM398">
        <v>2</v>
      </c>
      <c r="AN398">
        <v>32</v>
      </c>
      <c r="AO398">
        <v>17</v>
      </c>
      <c r="AP398">
        <v>8</v>
      </c>
      <c r="AQ398">
        <v>22</v>
      </c>
      <c r="AR398">
        <v>917</v>
      </c>
      <c r="AS398">
        <v>1127</v>
      </c>
      <c r="AT398" t="s">
        <v>7</v>
      </c>
      <c r="AU398">
        <v>0.32</v>
      </c>
      <c r="AV398">
        <v>2015</v>
      </c>
      <c r="AW398" s="1">
        <v>45694</v>
      </c>
      <c r="AX398">
        <v>23</v>
      </c>
      <c r="AY398" t="s">
        <v>10</v>
      </c>
      <c r="AZ398" t="s">
        <v>51</v>
      </c>
      <c r="BA398" t="s">
        <v>122</v>
      </c>
      <c r="BB398" t="s">
        <v>7</v>
      </c>
      <c r="BC398" t="s">
        <v>13</v>
      </c>
      <c r="BD398">
        <v>4</v>
      </c>
      <c r="BE398" t="s">
        <v>43</v>
      </c>
      <c r="BF398">
        <v>1.56</v>
      </c>
    </row>
    <row r="399" spans="1:58" hidden="1" x14ac:dyDescent="0.2">
      <c r="A399">
        <v>398</v>
      </c>
      <c r="B399" t="s">
        <v>0</v>
      </c>
      <c r="C399">
        <v>45</v>
      </c>
      <c r="D399" t="s">
        <v>28</v>
      </c>
      <c r="E399" t="s">
        <v>42</v>
      </c>
      <c r="F399" t="s">
        <v>15</v>
      </c>
      <c r="G399" t="s">
        <v>38</v>
      </c>
      <c r="H399" t="s">
        <v>118</v>
      </c>
      <c r="I399" t="s">
        <v>17</v>
      </c>
      <c r="J399" t="s">
        <v>6</v>
      </c>
      <c r="K399" t="s">
        <v>7</v>
      </c>
      <c r="L399">
        <v>9.9</v>
      </c>
      <c r="M399">
        <v>7.8</v>
      </c>
      <c r="N399" t="s">
        <v>29</v>
      </c>
      <c r="O399" t="s">
        <v>13</v>
      </c>
      <c r="P399" t="s">
        <v>46</v>
      </c>
      <c r="Q399">
        <v>36</v>
      </c>
      <c r="R399">
        <v>2</v>
      </c>
      <c r="S399">
        <v>25.3</v>
      </c>
      <c r="T399">
        <v>155</v>
      </c>
      <c r="U399">
        <v>83</v>
      </c>
      <c r="V399">
        <v>7988</v>
      </c>
      <c r="W399">
        <v>58.7</v>
      </c>
      <c r="X399">
        <v>6</v>
      </c>
      <c r="Y399">
        <v>2</v>
      </c>
      <c r="Z399">
        <v>17</v>
      </c>
      <c r="AA399">
        <v>5.0999999999999996</v>
      </c>
      <c r="AB399">
        <v>3</v>
      </c>
      <c r="AC399">
        <v>344</v>
      </c>
      <c r="AD399">
        <v>39</v>
      </c>
      <c r="AE399">
        <v>2</v>
      </c>
      <c r="AF399">
        <v>238</v>
      </c>
      <c r="AG399">
        <v>150</v>
      </c>
      <c r="AH399">
        <v>205</v>
      </c>
      <c r="AI399">
        <v>48</v>
      </c>
      <c r="AJ399">
        <v>47</v>
      </c>
      <c r="AK399">
        <v>38</v>
      </c>
      <c r="AL399">
        <v>34</v>
      </c>
      <c r="AM399">
        <v>11</v>
      </c>
      <c r="AN399">
        <v>140</v>
      </c>
      <c r="AO399">
        <v>94</v>
      </c>
      <c r="AP399">
        <v>40</v>
      </c>
      <c r="AQ399">
        <v>88</v>
      </c>
      <c r="AR399">
        <v>1122</v>
      </c>
      <c r="AS399">
        <v>2384</v>
      </c>
      <c r="AT399" t="s">
        <v>7</v>
      </c>
      <c r="AU399">
        <v>0.13</v>
      </c>
      <c r="AV399">
        <v>2016</v>
      </c>
      <c r="AW399" s="1">
        <v>45814</v>
      </c>
      <c r="AX399">
        <v>8.8000000000000007</v>
      </c>
      <c r="AY399" t="s">
        <v>36</v>
      </c>
      <c r="AZ399" t="s">
        <v>35</v>
      </c>
      <c r="BA399" t="s">
        <v>122</v>
      </c>
      <c r="BB399" t="s">
        <v>13</v>
      </c>
      <c r="BC399" t="s">
        <v>13</v>
      </c>
      <c r="BD399">
        <v>1</v>
      </c>
      <c r="BE399" t="s">
        <v>14</v>
      </c>
      <c r="BF399">
        <v>0.89</v>
      </c>
    </row>
    <row r="400" spans="1:58" hidden="1" x14ac:dyDescent="0.2">
      <c r="A400">
        <v>399</v>
      </c>
      <c r="B400" t="s">
        <v>0</v>
      </c>
      <c r="C400">
        <v>64</v>
      </c>
      <c r="D400" t="s">
        <v>28</v>
      </c>
      <c r="E400" t="s">
        <v>22</v>
      </c>
      <c r="F400" t="s">
        <v>15</v>
      </c>
      <c r="G400" t="s">
        <v>16</v>
      </c>
      <c r="H400" t="s">
        <v>118</v>
      </c>
      <c r="I400" t="s">
        <v>17</v>
      </c>
      <c r="J400" t="s">
        <v>123</v>
      </c>
      <c r="K400" t="s">
        <v>7</v>
      </c>
      <c r="L400">
        <v>11.5</v>
      </c>
      <c r="M400">
        <v>6.5</v>
      </c>
      <c r="N400" t="s">
        <v>39</v>
      </c>
      <c r="O400" t="s">
        <v>7</v>
      </c>
      <c r="P400" t="s">
        <v>26</v>
      </c>
      <c r="Q400">
        <v>36</v>
      </c>
      <c r="R400">
        <v>7</v>
      </c>
      <c r="S400">
        <v>24.4</v>
      </c>
      <c r="T400">
        <v>140</v>
      </c>
      <c r="U400">
        <v>89</v>
      </c>
      <c r="V400">
        <v>8014</v>
      </c>
      <c r="W400">
        <v>41.1</v>
      </c>
      <c r="X400">
        <v>1</v>
      </c>
      <c r="Y400">
        <v>3</v>
      </c>
      <c r="Z400">
        <v>9</v>
      </c>
      <c r="AA400">
        <v>3.8</v>
      </c>
      <c r="AB400">
        <v>2</v>
      </c>
      <c r="AC400">
        <v>214</v>
      </c>
      <c r="AD400">
        <v>8</v>
      </c>
      <c r="AE400">
        <v>7</v>
      </c>
      <c r="AF400">
        <v>167</v>
      </c>
      <c r="AG400">
        <v>120</v>
      </c>
      <c r="AH400">
        <v>137</v>
      </c>
      <c r="AI400">
        <v>42</v>
      </c>
      <c r="AJ400">
        <v>20</v>
      </c>
      <c r="AK400">
        <v>32</v>
      </c>
      <c r="AL400">
        <v>22</v>
      </c>
      <c r="AM400">
        <v>4</v>
      </c>
      <c r="AN400">
        <v>123</v>
      </c>
      <c r="AO400">
        <v>46</v>
      </c>
      <c r="AP400">
        <v>48</v>
      </c>
      <c r="AQ400">
        <v>81</v>
      </c>
      <c r="AR400">
        <v>815</v>
      </c>
      <c r="AS400">
        <v>443</v>
      </c>
      <c r="AT400" t="s">
        <v>7</v>
      </c>
      <c r="AU400">
        <v>0.99</v>
      </c>
      <c r="AV400">
        <v>2011</v>
      </c>
      <c r="AW400" s="1">
        <v>45711</v>
      </c>
      <c r="AX400">
        <v>26.8</v>
      </c>
      <c r="AY400" t="s">
        <v>27</v>
      </c>
      <c r="AZ400" t="s">
        <v>11</v>
      </c>
      <c r="BA400" t="s">
        <v>12</v>
      </c>
      <c r="BB400" t="s">
        <v>7</v>
      </c>
      <c r="BC400" t="s">
        <v>13</v>
      </c>
      <c r="BD400">
        <v>2</v>
      </c>
      <c r="BE400" t="s">
        <v>14</v>
      </c>
      <c r="BF400">
        <v>1.1299999999999999</v>
      </c>
    </row>
    <row r="401" spans="1:58" hidden="1" x14ac:dyDescent="0.2">
      <c r="A401">
        <v>400</v>
      </c>
      <c r="B401" t="s">
        <v>0</v>
      </c>
      <c r="C401">
        <v>33</v>
      </c>
      <c r="D401" t="s">
        <v>1</v>
      </c>
      <c r="E401" t="s">
        <v>128</v>
      </c>
      <c r="F401" t="s">
        <v>15</v>
      </c>
      <c r="G401" t="s">
        <v>116</v>
      </c>
      <c r="H401" t="s">
        <v>119</v>
      </c>
      <c r="I401" t="s">
        <v>115</v>
      </c>
      <c r="J401" t="s">
        <v>123</v>
      </c>
      <c r="K401" t="s">
        <v>13</v>
      </c>
      <c r="L401">
        <v>4.8</v>
      </c>
      <c r="M401">
        <v>6.6</v>
      </c>
      <c r="N401" t="s">
        <v>8</v>
      </c>
      <c r="O401" t="s">
        <v>7</v>
      </c>
      <c r="P401" t="s">
        <v>46</v>
      </c>
      <c r="Q401">
        <v>28</v>
      </c>
      <c r="R401">
        <v>8</v>
      </c>
      <c r="S401">
        <v>29.3</v>
      </c>
      <c r="T401">
        <v>127</v>
      </c>
      <c r="U401">
        <v>84</v>
      </c>
      <c r="V401">
        <v>8094</v>
      </c>
      <c r="W401">
        <v>37.299999999999997</v>
      </c>
      <c r="X401">
        <v>2</v>
      </c>
      <c r="Y401">
        <v>3</v>
      </c>
      <c r="Z401">
        <v>6</v>
      </c>
      <c r="AA401">
        <v>2.1</v>
      </c>
      <c r="AB401">
        <v>2</v>
      </c>
      <c r="AC401">
        <v>195</v>
      </c>
      <c r="AD401">
        <v>12</v>
      </c>
      <c r="AE401">
        <v>2</v>
      </c>
      <c r="AF401">
        <v>147</v>
      </c>
      <c r="AG401">
        <v>108</v>
      </c>
      <c r="AH401">
        <v>122</v>
      </c>
      <c r="AI401">
        <v>35</v>
      </c>
      <c r="AJ401">
        <v>24</v>
      </c>
      <c r="AK401">
        <v>37</v>
      </c>
      <c r="AL401">
        <v>17</v>
      </c>
      <c r="AM401">
        <v>8</v>
      </c>
      <c r="AN401">
        <v>109</v>
      </c>
      <c r="AO401">
        <v>23</v>
      </c>
      <c r="AP401">
        <v>39</v>
      </c>
      <c r="AQ401">
        <v>52</v>
      </c>
      <c r="AR401">
        <v>458</v>
      </c>
      <c r="AS401">
        <v>721</v>
      </c>
      <c r="AT401" t="s">
        <v>7</v>
      </c>
      <c r="AU401">
        <v>0.75</v>
      </c>
      <c r="AV401">
        <v>2019</v>
      </c>
      <c r="AW401" s="1">
        <v>46008</v>
      </c>
      <c r="AX401">
        <v>16.2</v>
      </c>
      <c r="AY401" t="s">
        <v>45</v>
      </c>
      <c r="AZ401" t="s">
        <v>48</v>
      </c>
      <c r="BA401" t="s">
        <v>12</v>
      </c>
      <c r="BB401" t="s">
        <v>7</v>
      </c>
      <c r="BC401" t="s">
        <v>13</v>
      </c>
      <c r="BD401">
        <v>2</v>
      </c>
      <c r="BE401" t="s">
        <v>14</v>
      </c>
      <c r="BF401">
        <v>1.01</v>
      </c>
    </row>
    <row r="402" spans="1:58" hidden="1" x14ac:dyDescent="0.2">
      <c r="A402">
        <v>401</v>
      </c>
      <c r="B402" t="s">
        <v>0</v>
      </c>
      <c r="C402">
        <v>44</v>
      </c>
      <c r="D402" t="s">
        <v>1</v>
      </c>
      <c r="E402" t="s">
        <v>2</v>
      </c>
      <c r="F402" t="s">
        <v>15</v>
      </c>
      <c r="G402" t="s">
        <v>4</v>
      </c>
      <c r="H402" t="s">
        <v>118</v>
      </c>
      <c r="I402" t="s">
        <v>112</v>
      </c>
      <c r="J402" t="s">
        <v>32</v>
      </c>
      <c r="K402" t="s">
        <v>7</v>
      </c>
      <c r="L402">
        <v>4</v>
      </c>
      <c r="M402">
        <v>3.1</v>
      </c>
      <c r="N402" t="s">
        <v>8</v>
      </c>
      <c r="O402" t="s">
        <v>41</v>
      </c>
      <c r="P402" t="s">
        <v>26</v>
      </c>
      <c r="Q402">
        <v>35</v>
      </c>
      <c r="R402">
        <v>4</v>
      </c>
      <c r="S402">
        <v>29.5</v>
      </c>
      <c r="T402">
        <v>147</v>
      </c>
      <c r="U402">
        <v>84</v>
      </c>
      <c r="V402">
        <v>7963</v>
      </c>
      <c r="W402">
        <v>33.5</v>
      </c>
      <c r="X402">
        <v>2</v>
      </c>
      <c r="Y402">
        <v>5</v>
      </c>
      <c r="Z402">
        <v>7</v>
      </c>
      <c r="AA402">
        <v>2.2000000000000002</v>
      </c>
      <c r="AB402">
        <v>2</v>
      </c>
      <c r="AC402">
        <v>310</v>
      </c>
      <c r="AD402">
        <v>10</v>
      </c>
      <c r="AE402">
        <v>7</v>
      </c>
      <c r="AF402">
        <v>236</v>
      </c>
      <c r="AG402">
        <v>143</v>
      </c>
      <c r="AH402">
        <v>204</v>
      </c>
      <c r="AI402">
        <v>43</v>
      </c>
      <c r="AJ402">
        <v>56</v>
      </c>
      <c r="AK402">
        <v>51</v>
      </c>
      <c r="AL402">
        <v>34</v>
      </c>
      <c r="AM402">
        <v>3</v>
      </c>
      <c r="AN402">
        <v>155</v>
      </c>
      <c r="AO402">
        <v>77</v>
      </c>
      <c r="AP402">
        <v>39</v>
      </c>
      <c r="AQ402">
        <v>105</v>
      </c>
      <c r="AR402">
        <v>1830</v>
      </c>
      <c r="AS402">
        <v>3049</v>
      </c>
      <c r="AT402" t="s">
        <v>7</v>
      </c>
      <c r="AU402">
        <v>0.02</v>
      </c>
      <c r="AV402">
        <v>2023</v>
      </c>
      <c r="AW402" s="1">
        <v>45734</v>
      </c>
      <c r="AX402">
        <v>31</v>
      </c>
      <c r="AY402" t="s">
        <v>30</v>
      </c>
      <c r="AZ402" t="s">
        <v>20</v>
      </c>
      <c r="BA402" t="s">
        <v>12</v>
      </c>
      <c r="BB402" t="s">
        <v>7</v>
      </c>
      <c r="BC402" t="s">
        <v>7</v>
      </c>
      <c r="BD402">
        <v>3</v>
      </c>
      <c r="BE402" t="s">
        <v>14</v>
      </c>
      <c r="BF402">
        <v>1</v>
      </c>
    </row>
    <row r="403" spans="1:58" hidden="1" x14ac:dyDescent="0.2">
      <c r="A403">
        <v>402</v>
      </c>
      <c r="B403" t="s">
        <v>0</v>
      </c>
      <c r="C403">
        <v>35</v>
      </c>
      <c r="D403" t="s">
        <v>1</v>
      </c>
      <c r="E403" t="s">
        <v>126</v>
      </c>
      <c r="F403" t="s">
        <v>15</v>
      </c>
      <c r="G403" t="s">
        <v>16</v>
      </c>
      <c r="H403" t="s">
        <v>118</v>
      </c>
      <c r="I403" t="s">
        <v>112</v>
      </c>
      <c r="J403" t="s">
        <v>18</v>
      </c>
      <c r="K403" t="s">
        <v>7</v>
      </c>
      <c r="L403">
        <v>8.4</v>
      </c>
      <c r="M403">
        <v>6.3</v>
      </c>
      <c r="N403" t="s">
        <v>25</v>
      </c>
      <c r="O403" t="s">
        <v>7</v>
      </c>
      <c r="P403" t="s">
        <v>52</v>
      </c>
      <c r="Q403">
        <v>2</v>
      </c>
      <c r="R403">
        <v>7</v>
      </c>
      <c r="S403">
        <v>27.2</v>
      </c>
      <c r="T403">
        <v>137</v>
      </c>
      <c r="U403">
        <v>97</v>
      </c>
      <c r="V403">
        <v>7938</v>
      </c>
      <c r="W403">
        <v>48.1</v>
      </c>
      <c r="X403">
        <v>2</v>
      </c>
      <c r="Y403">
        <v>2</v>
      </c>
      <c r="Z403">
        <v>11</v>
      </c>
      <c r="AA403">
        <v>1.4</v>
      </c>
      <c r="AB403">
        <v>5</v>
      </c>
      <c r="AC403">
        <v>5</v>
      </c>
      <c r="AD403">
        <v>1</v>
      </c>
      <c r="AE403">
        <v>7</v>
      </c>
      <c r="AF403">
        <v>42</v>
      </c>
      <c r="AG403">
        <v>25</v>
      </c>
      <c r="AH403">
        <v>29</v>
      </c>
      <c r="AI403">
        <v>14</v>
      </c>
      <c r="AJ403">
        <v>9</v>
      </c>
      <c r="AK403">
        <v>8</v>
      </c>
      <c r="AL403">
        <v>5</v>
      </c>
      <c r="AM403">
        <v>5</v>
      </c>
      <c r="AN403">
        <v>2</v>
      </c>
      <c r="AO403">
        <v>1</v>
      </c>
      <c r="AP403">
        <v>1</v>
      </c>
      <c r="AQ403">
        <v>2</v>
      </c>
      <c r="AR403">
        <v>828</v>
      </c>
      <c r="AS403">
        <v>743</v>
      </c>
      <c r="AT403" t="s">
        <v>13</v>
      </c>
      <c r="AU403">
        <v>0.45</v>
      </c>
      <c r="AV403">
        <v>2017</v>
      </c>
      <c r="AW403" s="1">
        <v>45959</v>
      </c>
      <c r="AX403">
        <v>5</v>
      </c>
      <c r="AY403" t="s">
        <v>36</v>
      </c>
      <c r="AZ403" t="s">
        <v>20</v>
      </c>
      <c r="BA403" t="s">
        <v>12</v>
      </c>
      <c r="BB403" t="s">
        <v>13</v>
      </c>
      <c r="BC403" t="s">
        <v>13</v>
      </c>
      <c r="BD403">
        <v>2</v>
      </c>
      <c r="BE403" t="s">
        <v>14</v>
      </c>
      <c r="BF403">
        <v>13</v>
      </c>
    </row>
    <row r="404" spans="1:58" hidden="1" x14ac:dyDescent="0.2">
      <c r="A404">
        <v>403</v>
      </c>
      <c r="B404" t="s">
        <v>0</v>
      </c>
      <c r="C404">
        <v>45</v>
      </c>
      <c r="D404" t="s">
        <v>1</v>
      </c>
      <c r="E404" t="s">
        <v>2</v>
      </c>
      <c r="F404" t="s">
        <v>40</v>
      </c>
      <c r="G404" t="s">
        <v>116</v>
      </c>
      <c r="H404" t="s">
        <v>23</v>
      </c>
      <c r="I404" t="s">
        <v>112</v>
      </c>
      <c r="J404" t="s">
        <v>6</v>
      </c>
      <c r="K404" t="s">
        <v>7</v>
      </c>
      <c r="L404">
        <v>14</v>
      </c>
      <c r="M404">
        <v>7.7</v>
      </c>
      <c r="N404" t="s">
        <v>39</v>
      </c>
      <c r="O404" t="s">
        <v>41</v>
      </c>
      <c r="P404" t="s">
        <v>26</v>
      </c>
      <c r="Q404">
        <v>26</v>
      </c>
      <c r="R404">
        <v>6</v>
      </c>
      <c r="S404">
        <v>26.3</v>
      </c>
      <c r="T404">
        <v>140</v>
      </c>
      <c r="U404">
        <v>90</v>
      </c>
      <c r="V404">
        <v>8024</v>
      </c>
      <c r="W404">
        <v>40</v>
      </c>
      <c r="X404">
        <v>4</v>
      </c>
      <c r="Y404">
        <v>2</v>
      </c>
      <c r="Z404">
        <v>20</v>
      </c>
      <c r="AA404">
        <v>3.9</v>
      </c>
      <c r="AB404">
        <v>5</v>
      </c>
      <c r="AC404">
        <v>206</v>
      </c>
      <c r="AD404">
        <v>20</v>
      </c>
      <c r="AE404">
        <v>4</v>
      </c>
      <c r="AF404">
        <v>163</v>
      </c>
      <c r="AG404">
        <v>124</v>
      </c>
      <c r="AH404">
        <v>140</v>
      </c>
      <c r="AI404">
        <v>31</v>
      </c>
      <c r="AJ404">
        <v>20</v>
      </c>
      <c r="AK404">
        <v>26</v>
      </c>
      <c r="AL404">
        <v>26</v>
      </c>
      <c r="AM404">
        <v>2</v>
      </c>
      <c r="AN404">
        <v>85</v>
      </c>
      <c r="AO404">
        <v>32</v>
      </c>
      <c r="AP404">
        <v>41</v>
      </c>
      <c r="AQ404">
        <v>42</v>
      </c>
      <c r="AR404">
        <v>1707</v>
      </c>
      <c r="AS404">
        <v>3089</v>
      </c>
      <c r="AT404" t="s">
        <v>7</v>
      </c>
      <c r="AU404">
        <v>0.79</v>
      </c>
      <c r="AV404">
        <v>2013</v>
      </c>
      <c r="AW404" s="1">
        <v>45728</v>
      </c>
      <c r="AX404">
        <v>10.3</v>
      </c>
      <c r="AY404" t="s">
        <v>36</v>
      </c>
      <c r="AZ404" t="s">
        <v>35</v>
      </c>
      <c r="BA404" t="s">
        <v>12</v>
      </c>
      <c r="BB404" t="s">
        <v>13</v>
      </c>
      <c r="BC404" t="s">
        <v>13</v>
      </c>
      <c r="BD404">
        <v>3</v>
      </c>
      <c r="BE404" t="s">
        <v>14</v>
      </c>
      <c r="BF404">
        <v>1.03</v>
      </c>
    </row>
    <row r="405" spans="1:58" hidden="1" x14ac:dyDescent="0.2">
      <c r="A405">
        <v>404</v>
      </c>
      <c r="B405" t="s">
        <v>0</v>
      </c>
      <c r="C405">
        <v>15</v>
      </c>
      <c r="D405" t="s">
        <v>28</v>
      </c>
      <c r="E405" t="s">
        <v>128</v>
      </c>
      <c r="F405" t="s">
        <v>15</v>
      </c>
      <c r="G405" t="s">
        <v>16</v>
      </c>
      <c r="H405" t="s">
        <v>23</v>
      </c>
      <c r="I405" t="s">
        <v>115</v>
      </c>
      <c r="J405" t="s">
        <v>123</v>
      </c>
      <c r="K405" t="s">
        <v>7</v>
      </c>
      <c r="L405">
        <v>1.2</v>
      </c>
      <c r="M405">
        <v>7.3</v>
      </c>
      <c r="N405" t="s">
        <v>39</v>
      </c>
      <c r="O405" t="s">
        <v>7</v>
      </c>
      <c r="P405" t="s">
        <v>26</v>
      </c>
      <c r="Q405">
        <v>31</v>
      </c>
      <c r="R405">
        <v>6</v>
      </c>
      <c r="S405">
        <v>29.9</v>
      </c>
      <c r="T405">
        <v>126</v>
      </c>
      <c r="U405">
        <v>86</v>
      </c>
      <c r="V405">
        <v>7963</v>
      </c>
      <c r="W405">
        <v>40.299999999999997</v>
      </c>
      <c r="X405">
        <v>3</v>
      </c>
      <c r="Y405">
        <v>2</v>
      </c>
      <c r="Z405">
        <v>11</v>
      </c>
      <c r="AA405">
        <v>4.3</v>
      </c>
      <c r="AB405">
        <v>2</v>
      </c>
      <c r="AC405">
        <v>347</v>
      </c>
      <c r="AD405">
        <v>18</v>
      </c>
      <c r="AE405">
        <v>10</v>
      </c>
      <c r="AF405">
        <v>300</v>
      </c>
      <c r="AG405">
        <v>150</v>
      </c>
      <c r="AH405">
        <v>199</v>
      </c>
      <c r="AI405">
        <v>67</v>
      </c>
      <c r="AJ405">
        <v>48</v>
      </c>
      <c r="AK405">
        <v>58</v>
      </c>
      <c r="AL405">
        <v>33</v>
      </c>
      <c r="AM405">
        <v>7</v>
      </c>
      <c r="AN405">
        <v>203</v>
      </c>
      <c r="AO405">
        <v>69</v>
      </c>
      <c r="AP405">
        <v>73</v>
      </c>
      <c r="AQ405">
        <v>86</v>
      </c>
      <c r="AR405">
        <v>10235</v>
      </c>
      <c r="AS405">
        <v>4628</v>
      </c>
      <c r="AT405" t="s">
        <v>13</v>
      </c>
      <c r="AU405">
        <v>0.86</v>
      </c>
      <c r="AV405">
        <v>2024</v>
      </c>
      <c r="AW405" s="1">
        <v>45985</v>
      </c>
      <c r="AX405">
        <v>19.3</v>
      </c>
      <c r="AY405" t="s">
        <v>30</v>
      </c>
      <c r="AZ405" t="s">
        <v>31</v>
      </c>
      <c r="BA405" t="s">
        <v>21</v>
      </c>
      <c r="BB405" t="s">
        <v>7</v>
      </c>
      <c r="BC405" t="s">
        <v>13</v>
      </c>
      <c r="BD405">
        <v>0</v>
      </c>
      <c r="BE405" t="s">
        <v>14</v>
      </c>
      <c r="BF405">
        <v>1.04</v>
      </c>
    </row>
    <row r="406" spans="1:58" hidden="1" x14ac:dyDescent="0.2">
      <c r="A406">
        <v>405</v>
      </c>
      <c r="B406" t="s">
        <v>0</v>
      </c>
      <c r="C406">
        <v>30</v>
      </c>
      <c r="D406" t="s">
        <v>28</v>
      </c>
      <c r="E406" t="s">
        <v>47</v>
      </c>
      <c r="F406" t="s">
        <v>15</v>
      </c>
      <c r="G406" t="s">
        <v>16</v>
      </c>
      <c r="H406" t="s">
        <v>23</v>
      </c>
      <c r="I406" t="s">
        <v>114</v>
      </c>
      <c r="J406" t="s">
        <v>123</v>
      </c>
      <c r="K406" t="s">
        <v>7</v>
      </c>
      <c r="L406">
        <v>14.8</v>
      </c>
      <c r="M406">
        <v>8.1999999999999993</v>
      </c>
      <c r="N406" t="s">
        <v>8</v>
      </c>
      <c r="O406" t="s">
        <v>7</v>
      </c>
      <c r="P406" t="s">
        <v>121</v>
      </c>
      <c r="Q406">
        <v>28</v>
      </c>
      <c r="R406">
        <v>3</v>
      </c>
      <c r="S406">
        <v>24.4</v>
      </c>
      <c r="T406">
        <v>113</v>
      </c>
      <c r="U406">
        <v>98</v>
      </c>
      <c r="V406">
        <v>7946</v>
      </c>
      <c r="W406">
        <v>58.3</v>
      </c>
      <c r="X406">
        <v>1</v>
      </c>
      <c r="Y406">
        <v>4</v>
      </c>
      <c r="Z406">
        <v>14</v>
      </c>
      <c r="AA406">
        <v>2.5</v>
      </c>
      <c r="AB406">
        <v>2</v>
      </c>
      <c r="AC406">
        <v>329</v>
      </c>
      <c r="AD406">
        <v>11</v>
      </c>
      <c r="AE406">
        <v>8</v>
      </c>
      <c r="AF406">
        <v>264</v>
      </c>
      <c r="AG406">
        <v>150</v>
      </c>
      <c r="AH406">
        <v>197</v>
      </c>
      <c r="AI406">
        <v>49</v>
      </c>
      <c r="AJ406">
        <v>51</v>
      </c>
      <c r="AK406">
        <v>55</v>
      </c>
      <c r="AL406">
        <v>44</v>
      </c>
      <c r="AM406">
        <v>10</v>
      </c>
      <c r="AN406">
        <v>194</v>
      </c>
      <c r="AO406">
        <v>51</v>
      </c>
      <c r="AP406">
        <v>63</v>
      </c>
      <c r="AQ406">
        <v>71</v>
      </c>
      <c r="AR406">
        <v>2870</v>
      </c>
      <c r="AS406">
        <v>4861</v>
      </c>
      <c r="AT406" t="s">
        <v>7</v>
      </c>
      <c r="AU406">
        <v>0.88</v>
      </c>
      <c r="AV406">
        <v>2012</v>
      </c>
      <c r="AW406" s="1">
        <v>45864</v>
      </c>
      <c r="AX406">
        <v>29.9</v>
      </c>
      <c r="AY406" t="s">
        <v>30</v>
      </c>
      <c r="AZ406" t="s">
        <v>31</v>
      </c>
      <c r="BA406" t="s">
        <v>12</v>
      </c>
      <c r="BB406" t="s">
        <v>13</v>
      </c>
      <c r="BC406" t="s">
        <v>13</v>
      </c>
      <c r="BD406">
        <v>1</v>
      </c>
      <c r="BE406" t="s">
        <v>14</v>
      </c>
      <c r="BF406">
        <v>0.97</v>
      </c>
    </row>
    <row r="407" spans="1:58" hidden="1" x14ac:dyDescent="0.2">
      <c r="A407">
        <v>406</v>
      </c>
      <c r="B407" t="s">
        <v>0</v>
      </c>
      <c r="C407">
        <v>37</v>
      </c>
      <c r="D407" t="s">
        <v>1</v>
      </c>
      <c r="E407" t="s">
        <v>42</v>
      </c>
      <c r="F407" t="s">
        <v>15</v>
      </c>
      <c r="G407" t="s">
        <v>38</v>
      </c>
      <c r="H407" t="s">
        <v>118</v>
      </c>
      <c r="I407" t="s">
        <v>112</v>
      </c>
      <c r="J407" t="s">
        <v>32</v>
      </c>
      <c r="K407" t="s">
        <v>13</v>
      </c>
      <c r="L407">
        <v>6.8</v>
      </c>
      <c r="M407">
        <v>7.1</v>
      </c>
      <c r="N407" t="s">
        <v>8</v>
      </c>
      <c r="O407" t="s">
        <v>13</v>
      </c>
      <c r="P407" t="s">
        <v>26</v>
      </c>
      <c r="Q407">
        <v>4</v>
      </c>
      <c r="R407">
        <v>10</v>
      </c>
      <c r="S407">
        <v>19.7</v>
      </c>
      <c r="T407">
        <v>146</v>
      </c>
      <c r="U407">
        <v>62</v>
      </c>
      <c r="V407">
        <v>7847</v>
      </c>
      <c r="W407">
        <v>31.6</v>
      </c>
      <c r="X407">
        <v>1</v>
      </c>
      <c r="Y407">
        <v>2</v>
      </c>
      <c r="Z407">
        <v>12</v>
      </c>
      <c r="AA407">
        <v>1.7</v>
      </c>
      <c r="AB407">
        <v>3</v>
      </c>
      <c r="AC407">
        <v>12</v>
      </c>
      <c r="AD407">
        <v>1</v>
      </c>
      <c r="AE407">
        <v>4</v>
      </c>
      <c r="AF407">
        <v>44</v>
      </c>
      <c r="AG407">
        <v>24</v>
      </c>
      <c r="AH407">
        <v>35</v>
      </c>
      <c r="AI407">
        <v>8</v>
      </c>
      <c r="AJ407">
        <v>10</v>
      </c>
      <c r="AK407">
        <v>7</v>
      </c>
      <c r="AL407">
        <v>1</v>
      </c>
      <c r="AM407">
        <v>0</v>
      </c>
      <c r="AN407">
        <v>7</v>
      </c>
      <c r="AO407">
        <v>3</v>
      </c>
      <c r="AP407">
        <v>2</v>
      </c>
      <c r="AQ407">
        <v>3</v>
      </c>
      <c r="AR407">
        <v>4018</v>
      </c>
      <c r="AS407">
        <v>3287</v>
      </c>
      <c r="AT407" t="s">
        <v>7</v>
      </c>
      <c r="AU407">
        <v>0.27</v>
      </c>
      <c r="AV407">
        <v>2025</v>
      </c>
      <c r="AW407" s="1">
        <v>45846</v>
      </c>
      <c r="AX407">
        <v>12</v>
      </c>
      <c r="AY407" t="s">
        <v>27</v>
      </c>
      <c r="AZ407" t="s">
        <v>37</v>
      </c>
      <c r="BA407" t="s">
        <v>122</v>
      </c>
      <c r="BB407" t="s">
        <v>13</v>
      </c>
      <c r="BC407" t="s">
        <v>7</v>
      </c>
      <c r="BD407">
        <v>2</v>
      </c>
      <c r="BE407" t="s">
        <v>14</v>
      </c>
      <c r="BF407">
        <v>4.8499999999999996</v>
      </c>
    </row>
    <row r="408" spans="1:58" hidden="1" x14ac:dyDescent="0.2">
      <c r="A408">
        <v>407</v>
      </c>
      <c r="B408" t="s">
        <v>0</v>
      </c>
      <c r="C408">
        <v>54</v>
      </c>
      <c r="D408" t="s">
        <v>28</v>
      </c>
      <c r="E408" t="s">
        <v>50</v>
      </c>
      <c r="F408" t="s">
        <v>3</v>
      </c>
      <c r="G408" t="s">
        <v>117</v>
      </c>
      <c r="H408" t="s">
        <v>118</v>
      </c>
      <c r="I408" t="s">
        <v>112</v>
      </c>
      <c r="J408" t="s">
        <v>6</v>
      </c>
      <c r="K408" t="s">
        <v>7</v>
      </c>
      <c r="L408">
        <v>11.1</v>
      </c>
      <c r="M408">
        <v>6.7</v>
      </c>
      <c r="N408" t="s">
        <v>120</v>
      </c>
      <c r="O408" t="s">
        <v>41</v>
      </c>
      <c r="P408" t="s">
        <v>26</v>
      </c>
      <c r="Q408">
        <v>36</v>
      </c>
      <c r="R408">
        <v>10</v>
      </c>
      <c r="S408">
        <v>21.6</v>
      </c>
      <c r="T408">
        <v>101</v>
      </c>
      <c r="U408">
        <v>93</v>
      </c>
      <c r="V408">
        <v>8060</v>
      </c>
      <c r="W408">
        <v>41.6</v>
      </c>
      <c r="X408">
        <v>1</v>
      </c>
      <c r="Y408">
        <v>8</v>
      </c>
      <c r="Z408">
        <v>10</v>
      </c>
      <c r="AA408">
        <v>5.2</v>
      </c>
      <c r="AB408">
        <v>3</v>
      </c>
      <c r="AC408">
        <v>184</v>
      </c>
      <c r="AD408">
        <v>6</v>
      </c>
      <c r="AE408">
        <v>3</v>
      </c>
      <c r="AF408">
        <v>153</v>
      </c>
      <c r="AG408">
        <v>108</v>
      </c>
      <c r="AH408">
        <v>101</v>
      </c>
      <c r="AI408">
        <v>29</v>
      </c>
      <c r="AJ408">
        <v>26</v>
      </c>
      <c r="AK408">
        <v>23</v>
      </c>
      <c r="AL408">
        <v>14</v>
      </c>
      <c r="AM408">
        <v>8</v>
      </c>
      <c r="AN408">
        <v>100</v>
      </c>
      <c r="AO408">
        <v>51</v>
      </c>
      <c r="AP408">
        <v>25</v>
      </c>
      <c r="AQ408">
        <v>47</v>
      </c>
      <c r="AR408">
        <v>280</v>
      </c>
      <c r="AS408">
        <v>522</v>
      </c>
      <c r="AT408" t="s">
        <v>7</v>
      </c>
      <c r="AU408">
        <v>0.14000000000000001</v>
      </c>
      <c r="AV408">
        <v>2014</v>
      </c>
      <c r="AW408" s="1">
        <v>45951</v>
      </c>
      <c r="AX408">
        <v>30.7</v>
      </c>
      <c r="AY408" t="s">
        <v>10</v>
      </c>
      <c r="AZ408" t="s">
        <v>20</v>
      </c>
      <c r="BA408" t="s">
        <v>12</v>
      </c>
      <c r="BB408" t="s">
        <v>7</v>
      </c>
      <c r="BC408" t="s">
        <v>13</v>
      </c>
      <c r="BD408">
        <v>4</v>
      </c>
      <c r="BE408" t="s">
        <v>14</v>
      </c>
      <c r="BF408">
        <v>0.91</v>
      </c>
    </row>
    <row r="409" spans="1:58" hidden="1" x14ac:dyDescent="0.2">
      <c r="A409">
        <v>408</v>
      </c>
      <c r="B409" t="s">
        <v>0</v>
      </c>
      <c r="C409">
        <v>43</v>
      </c>
      <c r="D409" t="s">
        <v>28</v>
      </c>
      <c r="E409" t="s">
        <v>128</v>
      </c>
      <c r="F409" t="s">
        <v>15</v>
      </c>
      <c r="G409" t="s">
        <v>38</v>
      </c>
      <c r="H409" t="s">
        <v>23</v>
      </c>
      <c r="I409" t="s">
        <v>113</v>
      </c>
      <c r="J409" t="s">
        <v>123</v>
      </c>
      <c r="K409" t="s">
        <v>13</v>
      </c>
      <c r="L409">
        <v>5.4</v>
      </c>
      <c r="M409">
        <v>8.4</v>
      </c>
      <c r="N409" t="s">
        <v>25</v>
      </c>
      <c r="O409" t="s">
        <v>7</v>
      </c>
      <c r="P409" t="s">
        <v>26</v>
      </c>
      <c r="Q409">
        <v>16</v>
      </c>
      <c r="R409">
        <v>10</v>
      </c>
      <c r="S409">
        <v>30.2</v>
      </c>
      <c r="T409">
        <v>145</v>
      </c>
      <c r="U409">
        <v>79</v>
      </c>
      <c r="V409">
        <v>8039</v>
      </c>
      <c r="W409">
        <v>33</v>
      </c>
      <c r="X409">
        <v>3</v>
      </c>
      <c r="Y409">
        <v>6</v>
      </c>
      <c r="Z409">
        <v>13</v>
      </c>
      <c r="AA409">
        <v>3.9</v>
      </c>
      <c r="AB409">
        <v>0</v>
      </c>
      <c r="AC409">
        <v>18</v>
      </c>
      <c r="AD409">
        <v>1</v>
      </c>
      <c r="AE409">
        <v>3</v>
      </c>
      <c r="AF409">
        <v>52</v>
      </c>
      <c r="AG409">
        <v>40</v>
      </c>
      <c r="AH409">
        <v>30</v>
      </c>
      <c r="AI409">
        <v>8</v>
      </c>
      <c r="AJ409">
        <v>8</v>
      </c>
      <c r="AK409">
        <v>15</v>
      </c>
      <c r="AL409">
        <v>9</v>
      </c>
      <c r="AM409">
        <v>2</v>
      </c>
      <c r="AN409">
        <v>8</v>
      </c>
      <c r="AO409">
        <v>4</v>
      </c>
      <c r="AP409">
        <v>3</v>
      </c>
      <c r="AQ409">
        <v>5</v>
      </c>
      <c r="AR409">
        <v>804</v>
      </c>
      <c r="AS409">
        <v>1038</v>
      </c>
      <c r="AT409" t="s">
        <v>7</v>
      </c>
      <c r="AU409">
        <v>0.59</v>
      </c>
      <c r="AV409">
        <v>2010</v>
      </c>
      <c r="AW409" s="1">
        <v>45984</v>
      </c>
      <c r="AX409">
        <v>18</v>
      </c>
      <c r="AY409" t="s">
        <v>36</v>
      </c>
      <c r="AZ409" t="s">
        <v>37</v>
      </c>
      <c r="BA409" t="s">
        <v>122</v>
      </c>
      <c r="BB409" t="s">
        <v>13</v>
      </c>
      <c r="BC409" t="s">
        <v>7</v>
      </c>
      <c r="BD409">
        <v>3</v>
      </c>
      <c r="BE409" t="s">
        <v>14</v>
      </c>
      <c r="BF409">
        <v>2.89</v>
      </c>
    </row>
    <row r="410" spans="1:58" hidden="1" x14ac:dyDescent="0.2">
      <c r="A410">
        <v>409</v>
      </c>
      <c r="B410" t="s">
        <v>0</v>
      </c>
      <c r="C410">
        <v>15</v>
      </c>
      <c r="D410" t="s">
        <v>28</v>
      </c>
      <c r="E410" t="s">
        <v>2</v>
      </c>
      <c r="F410" t="s">
        <v>15</v>
      </c>
      <c r="G410" t="s">
        <v>38</v>
      </c>
      <c r="H410" t="s">
        <v>118</v>
      </c>
      <c r="I410" t="s">
        <v>115</v>
      </c>
      <c r="J410" t="s">
        <v>32</v>
      </c>
      <c r="K410" t="s">
        <v>7</v>
      </c>
      <c r="L410">
        <v>12.1</v>
      </c>
      <c r="M410">
        <v>6.2</v>
      </c>
      <c r="N410" t="s">
        <v>25</v>
      </c>
      <c r="O410" t="s">
        <v>7</v>
      </c>
      <c r="P410" t="s">
        <v>46</v>
      </c>
      <c r="Q410">
        <v>25</v>
      </c>
      <c r="R410">
        <v>6</v>
      </c>
      <c r="S410">
        <v>28.5</v>
      </c>
      <c r="T410">
        <v>139</v>
      </c>
      <c r="U410">
        <v>72</v>
      </c>
      <c r="V410">
        <v>8127</v>
      </c>
      <c r="W410">
        <v>37</v>
      </c>
      <c r="X410">
        <v>3</v>
      </c>
      <c r="Y410">
        <v>5</v>
      </c>
      <c r="Z410">
        <v>5</v>
      </c>
      <c r="AA410">
        <v>16.3</v>
      </c>
      <c r="AB410">
        <v>0</v>
      </c>
      <c r="AC410">
        <v>259</v>
      </c>
      <c r="AD410">
        <v>15</v>
      </c>
      <c r="AE410">
        <v>13</v>
      </c>
      <c r="AF410">
        <v>280</v>
      </c>
      <c r="AG410">
        <v>131</v>
      </c>
      <c r="AH410">
        <v>151</v>
      </c>
      <c r="AI410">
        <v>51</v>
      </c>
      <c r="AJ410">
        <v>32</v>
      </c>
      <c r="AK410">
        <v>43</v>
      </c>
      <c r="AL410">
        <v>19</v>
      </c>
      <c r="AM410">
        <v>6</v>
      </c>
      <c r="AN410">
        <v>120</v>
      </c>
      <c r="AO410">
        <v>44</v>
      </c>
      <c r="AP410">
        <v>29</v>
      </c>
      <c r="AQ410">
        <v>78</v>
      </c>
      <c r="AR410">
        <v>547</v>
      </c>
      <c r="AS410">
        <v>694</v>
      </c>
      <c r="AT410" t="s">
        <v>7</v>
      </c>
      <c r="AU410">
        <v>0.13</v>
      </c>
      <c r="AV410">
        <v>2025</v>
      </c>
      <c r="AW410" s="1">
        <v>45722</v>
      </c>
      <c r="AX410">
        <v>17.3</v>
      </c>
      <c r="AY410" t="s">
        <v>45</v>
      </c>
      <c r="AZ410" t="s">
        <v>11</v>
      </c>
      <c r="BA410" t="s">
        <v>21</v>
      </c>
      <c r="BB410" t="s">
        <v>13</v>
      </c>
      <c r="BC410" t="s">
        <v>13</v>
      </c>
      <c r="BD410">
        <v>2</v>
      </c>
      <c r="BE410" t="s">
        <v>14</v>
      </c>
      <c r="BF410">
        <v>1.1200000000000001</v>
      </c>
    </row>
    <row r="411" spans="1:58" hidden="1" x14ac:dyDescent="0.2">
      <c r="A411">
        <v>410</v>
      </c>
      <c r="B411" t="s">
        <v>0</v>
      </c>
      <c r="C411">
        <v>52</v>
      </c>
      <c r="D411" t="s">
        <v>1</v>
      </c>
      <c r="E411" t="s">
        <v>17</v>
      </c>
      <c r="F411" t="s">
        <v>40</v>
      </c>
      <c r="G411" t="s">
        <v>116</v>
      </c>
      <c r="H411" t="s">
        <v>23</v>
      </c>
      <c r="I411" t="s">
        <v>114</v>
      </c>
      <c r="J411" t="s">
        <v>6</v>
      </c>
      <c r="K411" t="s">
        <v>7</v>
      </c>
      <c r="L411">
        <v>5.9</v>
      </c>
      <c r="M411">
        <v>6.1</v>
      </c>
      <c r="N411" t="s">
        <v>29</v>
      </c>
      <c r="O411" t="s">
        <v>41</v>
      </c>
      <c r="P411" t="s">
        <v>9</v>
      </c>
      <c r="Q411">
        <v>13</v>
      </c>
      <c r="R411">
        <v>2</v>
      </c>
      <c r="S411">
        <v>27.1</v>
      </c>
      <c r="T411">
        <v>151</v>
      </c>
      <c r="U411">
        <v>75</v>
      </c>
      <c r="V411">
        <v>7959</v>
      </c>
      <c r="W411">
        <v>33.1</v>
      </c>
      <c r="X411">
        <v>5</v>
      </c>
      <c r="Y411">
        <v>2</v>
      </c>
      <c r="Z411">
        <v>16</v>
      </c>
      <c r="AA411">
        <v>4.4000000000000004</v>
      </c>
      <c r="AB411">
        <v>1</v>
      </c>
      <c r="AC411">
        <v>198</v>
      </c>
      <c r="AD411">
        <v>6</v>
      </c>
      <c r="AE411">
        <v>3</v>
      </c>
      <c r="AF411">
        <v>149</v>
      </c>
      <c r="AG411">
        <v>97</v>
      </c>
      <c r="AH411">
        <v>131</v>
      </c>
      <c r="AI411">
        <v>33</v>
      </c>
      <c r="AJ411">
        <v>31</v>
      </c>
      <c r="AK411">
        <v>24</v>
      </c>
      <c r="AL411">
        <v>26</v>
      </c>
      <c r="AM411">
        <v>4</v>
      </c>
      <c r="AN411">
        <v>111</v>
      </c>
      <c r="AO411">
        <v>22</v>
      </c>
      <c r="AP411">
        <v>35</v>
      </c>
      <c r="AQ411">
        <v>45</v>
      </c>
      <c r="AR411">
        <v>1541</v>
      </c>
      <c r="AS411">
        <v>2037</v>
      </c>
      <c r="AT411" t="s">
        <v>7</v>
      </c>
      <c r="AU411">
        <v>0.36</v>
      </c>
      <c r="AV411">
        <v>2012</v>
      </c>
      <c r="AW411" s="1">
        <v>45788</v>
      </c>
      <c r="AX411">
        <v>33</v>
      </c>
      <c r="AY411" t="s">
        <v>45</v>
      </c>
      <c r="AZ411" t="s">
        <v>35</v>
      </c>
      <c r="BA411" t="s">
        <v>21</v>
      </c>
      <c r="BB411" t="s">
        <v>7</v>
      </c>
      <c r="BC411" t="s">
        <v>7</v>
      </c>
      <c r="BD411">
        <v>1</v>
      </c>
      <c r="BE411" t="s">
        <v>14</v>
      </c>
      <c r="BF411">
        <v>1.04</v>
      </c>
    </row>
    <row r="412" spans="1:58" hidden="1" x14ac:dyDescent="0.2">
      <c r="A412">
        <v>411</v>
      </c>
      <c r="B412" t="s">
        <v>0</v>
      </c>
      <c r="C412">
        <v>58</v>
      </c>
      <c r="D412" t="s">
        <v>28</v>
      </c>
      <c r="E412" t="s">
        <v>2</v>
      </c>
      <c r="F412" t="s">
        <v>15</v>
      </c>
      <c r="G412" t="s">
        <v>116</v>
      </c>
      <c r="H412" t="s">
        <v>34</v>
      </c>
      <c r="I412" t="s">
        <v>115</v>
      </c>
      <c r="J412" t="s">
        <v>6</v>
      </c>
      <c r="K412" t="s">
        <v>13</v>
      </c>
      <c r="L412">
        <v>6</v>
      </c>
      <c r="M412">
        <v>7.6</v>
      </c>
      <c r="N412" t="s">
        <v>29</v>
      </c>
      <c r="O412" t="s">
        <v>41</v>
      </c>
      <c r="P412" t="s">
        <v>26</v>
      </c>
      <c r="Q412">
        <v>12</v>
      </c>
      <c r="R412">
        <v>9</v>
      </c>
      <c r="S412">
        <v>24.5</v>
      </c>
      <c r="T412">
        <v>137</v>
      </c>
      <c r="U412">
        <v>85</v>
      </c>
      <c r="V412">
        <v>8080</v>
      </c>
      <c r="W412">
        <v>38.299999999999997</v>
      </c>
      <c r="X412">
        <v>3</v>
      </c>
      <c r="Y412">
        <v>5</v>
      </c>
      <c r="Z412">
        <v>11</v>
      </c>
      <c r="AA412">
        <v>3.6</v>
      </c>
      <c r="AB412">
        <v>3</v>
      </c>
      <c r="AC412">
        <v>52</v>
      </c>
      <c r="AD412">
        <v>2</v>
      </c>
      <c r="AE412">
        <v>3</v>
      </c>
      <c r="AF412">
        <v>79</v>
      </c>
      <c r="AG412">
        <v>58</v>
      </c>
      <c r="AH412">
        <v>52</v>
      </c>
      <c r="AI412">
        <v>11</v>
      </c>
      <c r="AJ412">
        <v>15</v>
      </c>
      <c r="AK412">
        <v>11</v>
      </c>
      <c r="AL412">
        <v>12</v>
      </c>
      <c r="AM412">
        <v>2</v>
      </c>
      <c r="AN412">
        <v>29</v>
      </c>
      <c r="AO412">
        <v>10</v>
      </c>
      <c r="AP412">
        <v>8</v>
      </c>
      <c r="AQ412">
        <v>11</v>
      </c>
      <c r="AR412">
        <v>1107</v>
      </c>
      <c r="AS412">
        <v>1898</v>
      </c>
      <c r="AT412" t="s">
        <v>7</v>
      </c>
      <c r="AU412">
        <v>0.9</v>
      </c>
      <c r="AV412">
        <v>2018</v>
      </c>
      <c r="AW412" s="1">
        <v>45955</v>
      </c>
      <c r="AX412">
        <v>26</v>
      </c>
      <c r="AY412" t="s">
        <v>27</v>
      </c>
      <c r="AZ412" t="s">
        <v>48</v>
      </c>
      <c r="BA412" t="s">
        <v>122</v>
      </c>
      <c r="BB412" t="s">
        <v>13</v>
      </c>
      <c r="BC412" t="s">
        <v>7</v>
      </c>
      <c r="BD412">
        <v>3</v>
      </c>
      <c r="BE412" t="s">
        <v>43</v>
      </c>
      <c r="BF412">
        <v>1.57</v>
      </c>
    </row>
    <row r="413" spans="1:58" hidden="1" x14ac:dyDescent="0.2">
      <c r="A413">
        <v>412</v>
      </c>
      <c r="B413" t="s">
        <v>0</v>
      </c>
      <c r="C413">
        <v>36</v>
      </c>
      <c r="D413" t="s">
        <v>124</v>
      </c>
      <c r="E413" t="s">
        <v>128</v>
      </c>
      <c r="F413" t="s">
        <v>15</v>
      </c>
      <c r="G413" t="s">
        <v>16</v>
      </c>
      <c r="H413" t="s">
        <v>118</v>
      </c>
      <c r="I413" t="s">
        <v>17</v>
      </c>
      <c r="J413" t="s">
        <v>32</v>
      </c>
      <c r="K413" t="s">
        <v>7</v>
      </c>
      <c r="L413">
        <v>3.4</v>
      </c>
      <c r="M413">
        <v>7.6</v>
      </c>
      <c r="N413" t="s">
        <v>120</v>
      </c>
      <c r="O413" t="s">
        <v>7</v>
      </c>
      <c r="P413" t="s">
        <v>46</v>
      </c>
      <c r="Q413">
        <v>12</v>
      </c>
      <c r="R413">
        <v>8</v>
      </c>
      <c r="S413">
        <v>19.5</v>
      </c>
      <c r="T413">
        <v>136</v>
      </c>
      <c r="U413">
        <v>62</v>
      </c>
      <c r="V413">
        <v>7969</v>
      </c>
      <c r="W413">
        <v>35.4</v>
      </c>
      <c r="X413">
        <v>5</v>
      </c>
      <c r="Y413">
        <v>5</v>
      </c>
      <c r="Z413">
        <v>16</v>
      </c>
      <c r="AA413">
        <v>4.5</v>
      </c>
      <c r="AB413">
        <v>2</v>
      </c>
      <c r="AC413">
        <v>77</v>
      </c>
      <c r="AD413">
        <v>9</v>
      </c>
      <c r="AE413">
        <v>4</v>
      </c>
      <c r="AF413">
        <v>80</v>
      </c>
      <c r="AG413">
        <v>66</v>
      </c>
      <c r="AH413">
        <v>70</v>
      </c>
      <c r="AI413">
        <v>17</v>
      </c>
      <c r="AJ413">
        <v>16</v>
      </c>
      <c r="AK413">
        <v>21</v>
      </c>
      <c r="AL413">
        <v>14</v>
      </c>
      <c r="AM413">
        <v>2</v>
      </c>
      <c r="AN413">
        <v>32</v>
      </c>
      <c r="AO413">
        <v>19</v>
      </c>
      <c r="AP413">
        <v>17</v>
      </c>
      <c r="AQ413">
        <v>18</v>
      </c>
      <c r="AR413">
        <v>1311</v>
      </c>
      <c r="AS413">
        <v>1707</v>
      </c>
      <c r="AT413" t="s">
        <v>7</v>
      </c>
      <c r="AU413">
        <v>0.42</v>
      </c>
      <c r="AV413">
        <v>2015</v>
      </c>
      <c r="AW413" s="1">
        <v>45658</v>
      </c>
      <c r="AX413">
        <v>8.6</v>
      </c>
      <c r="AY413" t="s">
        <v>36</v>
      </c>
      <c r="AZ413" t="s">
        <v>17</v>
      </c>
      <c r="BA413" t="s">
        <v>122</v>
      </c>
      <c r="BB413" t="s">
        <v>7</v>
      </c>
      <c r="BC413" t="s">
        <v>7</v>
      </c>
      <c r="BD413">
        <v>1</v>
      </c>
      <c r="BE413" t="s">
        <v>14</v>
      </c>
      <c r="BF413">
        <v>1.49</v>
      </c>
    </row>
    <row r="414" spans="1:58" hidden="1" x14ac:dyDescent="0.2">
      <c r="A414">
        <v>413</v>
      </c>
      <c r="B414" t="s">
        <v>0</v>
      </c>
      <c r="C414">
        <v>62</v>
      </c>
      <c r="D414" t="s">
        <v>1</v>
      </c>
      <c r="E414" t="s">
        <v>126</v>
      </c>
      <c r="F414" t="s">
        <v>15</v>
      </c>
      <c r="G414" t="s">
        <v>117</v>
      </c>
      <c r="H414" t="s">
        <v>34</v>
      </c>
      <c r="I414" t="s">
        <v>114</v>
      </c>
      <c r="J414" t="s">
        <v>123</v>
      </c>
      <c r="K414" t="s">
        <v>7</v>
      </c>
      <c r="L414">
        <v>16.3</v>
      </c>
      <c r="M414">
        <v>7.2</v>
      </c>
      <c r="N414" t="s">
        <v>120</v>
      </c>
      <c r="O414" t="s">
        <v>13</v>
      </c>
      <c r="P414" t="s">
        <v>52</v>
      </c>
      <c r="Q414">
        <v>32</v>
      </c>
      <c r="R414">
        <v>7</v>
      </c>
      <c r="S414">
        <v>26.4</v>
      </c>
      <c r="T414">
        <v>154</v>
      </c>
      <c r="U414">
        <v>82</v>
      </c>
      <c r="V414">
        <v>7842</v>
      </c>
      <c r="W414">
        <v>46.4</v>
      </c>
      <c r="X414">
        <v>2</v>
      </c>
      <c r="Y414">
        <v>8</v>
      </c>
      <c r="Z414">
        <v>7</v>
      </c>
      <c r="AA414">
        <v>4.2</v>
      </c>
      <c r="AB414">
        <v>7</v>
      </c>
      <c r="AC414">
        <v>209</v>
      </c>
      <c r="AD414">
        <v>9</v>
      </c>
      <c r="AE414">
        <v>10</v>
      </c>
      <c r="AF414">
        <v>164</v>
      </c>
      <c r="AG414">
        <v>126</v>
      </c>
      <c r="AH414">
        <v>114</v>
      </c>
      <c r="AI414">
        <v>36</v>
      </c>
      <c r="AJ414">
        <v>31</v>
      </c>
      <c r="AK414">
        <v>38</v>
      </c>
      <c r="AL414">
        <v>20</v>
      </c>
      <c r="AM414">
        <v>4</v>
      </c>
      <c r="AN414">
        <v>108</v>
      </c>
      <c r="AO414">
        <v>27</v>
      </c>
      <c r="AP414">
        <v>42</v>
      </c>
      <c r="AQ414">
        <v>47</v>
      </c>
      <c r="AR414">
        <v>2852</v>
      </c>
      <c r="AS414">
        <v>3829</v>
      </c>
      <c r="AT414" t="s">
        <v>13</v>
      </c>
      <c r="AU414">
        <v>0.56000000000000005</v>
      </c>
      <c r="AV414">
        <v>2018</v>
      </c>
      <c r="AW414" s="1">
        <v>45965</v>
      </c>
      <c r="AX414">
        <v>23.2</v>
      </c>
      <c r="AY414" t="s">
        <v>10</v>
      </c>
      <c r="AZ414" t="s">
        <v>17</v>
      </c>
      <c r="BA414" t="s">
        <v>122</v>
      </c>
      <c r="BB414" t="s">
        <v>7</v>
      </c>
      <c r="BC414" t="s">
        <v>7</v>
      </c>
      <c r="BD414">
        <v>3</v>
      </c>
      <c r="BE414" t="s">
        <v>14</v>
      </c>
      <c r="BF414">
        <v>1.03</v>
      </c>
    </row>
    <row r="415" spans="1:58" hidden="1" x14ac:dyDescent="0.2">
      <c r="A415">
        <v>414</v>
      </c>
      <c r="B415" t="s">
        <v>0</v>
      </c>
      <c r="C415">
        <v>44</v>
      </c>
      <c r="D415" t="s">
        <v>1</v>
      </c>
      <c r="E415" t="s">
        <v>22</v>
      </c>
      <c r="F415" t="s">
        <v>15</v>
      </c>
      <c r="G415" t="s">
        <v>16</v>
      </c>
      <c r="H415" t="s">
        <v>118</v>
      </c>
      <c r="I415" t="s">
        <v>114</v>
      </c>
      <c r="J415" t="s">
        <v>44</v>
      </c>
      <c r="K415" t="s">
        <v>13</v>
      </c>
      <c r="L415">
        <v>5.5</v>
      </c>
      <c r="M415">
        <v>7.4</v>
      </c>
      <c r="N415" t="s">
        <v>120</v>
      </c>
      <c r="O415" t="s">
        <v>7</v>
      </c>
      <c r="P415" t="s">
        <v>26</v>
      </c>
      <c r="Q415">
        <v>9</v>
      </c>
      <c r="R415">
        <v>5</v>
      </c>
      <c r="S415">
        <v>25.9</v>
      </c>
      <c r="T415">
        <v>105</v>
      </c>
      <c r="U415">
        <v>86</v>
      </c>
      <c r="V415">
        <v>8141</v>
      </c>
      <c r="W415">
        <v>36.5</v>
      </c>
      <c r="X415">
        <v>1</v>
      </c>
      <c r="Y415">
        <v>6</v>
      </c>
      <c r="Z415">
        <v>13</v>
      </c>
      <c r="AA415">
        <v>3.6</v>
      </c>
      <c r="AB415">
        <v>1</v>
      </c>
      <c r="AC415">
        <v>69</v>
      </c>
      <c r="AD415">
        <v>7</v>
      </c>
      <c r="AE415">
        <v>2</v>
      </c>
      <c r="AF415">
        <v>63</v>
      </c>
      <c r="AG415">
        <v>52</v>
      </c>
      <c r="AH415">
        <v>64</v>
      </c>
      <c r="AI415">
        <v>16</v>
      </c>
      <c r="AJ415">
        <v>15</v>
      </c>
      <c r="AK415">
        <v>14</v>
      </c>
      <c r="AL415">
        <v>10</v>
      </c>
      <c r="AM415">
        <v>2</v>
      </c>
      <c r="AN415">
        <v>30</v>
      </c>
      <c r="AO415">
        <v>18</v>
      </c>
      <c r="AP415">
        <v>12</v>
      </c>
      <c r="AQ415">
        <v>16</v>
      </c>
      <c r="AR415">
        <v>4792</v>
      </c>
      <c r="AS415">
        <v>10000</v>
      </c>
      <c r="AT415" t="s">
        <v>7</v>
      </c>
      <c r="AU415">
        <v>0.47</v>
      </c>
      <c r="AV415">
        <v>2012</v>
      </c>
      <c r="AW415" s="1">
        <v>45994</v>
      </c>
      <c r="AX415">
        <v>9.9</v>
      </c>
      <c r="AY415" t="s">
        <v>45</v>
      </c>
      <c r="AZ415" t="s">
        <v>37</v>
      </c>
      <c r="BA415" t="s">
        <v>122</v>
      </c>
      <c r="BB415" t="s">
        <v>7</v>
      </c>
      <c r="BC415" t="s">
        <v>7</v>
      </c>
      <c r="BD415">
        <v>0</v>
      </c>
      <c r="BE415" t="s">
        <v>14</v>
      </c>
      <c r="BF415">
        <v>1.46</v>
      </c>
    </row>
    <row r="416" spans="1:58" hidden="1" x14ac:dyDescent="0.2">
      <c r="A416">
        <v>415</v>
      </c>
      <c r="B416" t="s">
        <v>0</v>
      </c>
      <c r="C416">
        <v>59</v>
      </c>
      <c r="D416" t="s">
        <v>28</v>
      </c>
      <c r="E416" t="s">
        <v>128</v>
      </c>
      <c r="F416" t="s">
        <v>40</v>
      </c>
      <c r="G416" t="s">
        <v>116</v>
      </c>
      <c r="H416" t="s">
        <v>118</v>
      </c>
      <c r="I416" t="s">
        <v>112</v>
      </c>
      <c r="J416" t="s">
        <v>32</v>
      </c>
      <c r="K416" t="s">
        <v>7</v>
      </c>
      <c r="L416">
        <v>12.7</v>
      </c>
      <c r="M416">
        <v>7.5</v>
      </c>
      <c r="N416" t="s">
        <v>29</v>
      </c>
      <c r="O416" t="s">
        <v>7</v>
      </c>
      <c r="P416" t="s">
        <v>9</v>
      </c>
      <c r="Q416">
        <v>40</v>
      </c>
      <c r="R416">
        <v>9</v>
      </c>
      <c r="S416">
        <v>21.5</v>
      </c>
      <c r="T416">
        <v>144</v>
      </c>
      <c r="U416">
        <v>82</v>
      </c>
      <c r="V416">
        <v>8021</v>
      </c>
      <c r="W416">
        <v>39.6</v>
      </c>
      <c r="X416">
        <v>3</v>
      </c>
      <c r="Y416">
        <v>9</v>
      </c>
      <c r="Z416">
        <v>11</v>
      </c>
      <c r="AA416">
        <v>1.6</v>
      </c>
      <c r="AB416">
        <v>9</v>
      </c>
      <c r="AC416">
        <v>286</v>
      </c>
      <c r="AD416">
        <v>10</v>
      </c>
      <c r="AE416">
        <v>8</v>
      </c>
      <c r="AF416">
        <v>231</v>
      </c>
      <c r="AG416">
        <v>136</v>
      </c>
      <c r="AH416">
        <v>173</v>
      </c>
      <c r="AI416">
        <v>46</v>
      </c>
      <c r="AJ416">
        <v>38</v>
      </c>
      <c r="AK416">
        <v>45</v>
      </c>
      <c r="AL416">
        <v>22</v>
      </c>
      <c r="AM416">
        <v>3</v>
      </c>
      <c r="AN416">
        <v>130</v>
      </c>
      <c r="AO416">
        <v>83</v>
      </c>
      <c r="AP416">
        <v>64</v>
      </c>
      <c r="AQ416">
        <v>107</v>
      </c>
      <c r="AR416">
        <v>2733</v>
      </c>
      <c r="AS416">
        <v>1759</v>
      </c>
      <c r="AT416" t="s">
        <v>7</v>
      </c>
      <c r="AU416">
        <v>0.71</v>
      </c>
      <c r="AV416">
        <v>2016</v>
      </c>
      <c r="AW416" s="1">
        <v>45904</v>
      </c>
      <c r="AX416">
        <v>28.6</v>
      </c>
      <c r="AY416" t="s">
        <v>30</v>
      </c>
      <c r="AZ416" t="s">
        <v>37</v>
      </c>
      <c r="BA416" t="s">
        <v>21</v>
      </c>
      <c r="BB416" t="s">
        <v>13</v>
      </c>
      <c r="BC416" t="s">
        <v>7</v>
      </c>
      <c r="BD416">
        <v>2</v>
      </c>
      <c r="BE416" t="s">
        <v>14</v>
      </c>
      <c r="BF416">
        <v>1.01</v>
      </c>
    </row>
    <row r="417" spans="1:58" hidden="1" x14ac:dyDescent="0.2">
      <c r="A417">
        <v>416</v>
      </c>
      <c r="B417" t="s">
        <v>0</v>
      </c>
      <c r="C417">
        <v>34</v>
      </c>
      <c r="D417" t="s">
        <v>28</v>
      </c>
      <c r="E417" t="s">
        <v>47</v>
      </c>
      <c r="F417" t="s">
        <v>15</v>
      </c>
      <c r="G417" t="s">
        <v>117</v>
      </c>
      <c r="H417" t="s">
        <v>5</v>
      </c>
      <c r="I417" t="s">
        <v>115</v>
      </c>
      <c r="J417" t="s">
        <v>6</v>
      </c>
      <c r="K417" t="s">
        <v>7</v>
      </c>
      <c r="L417">
        <v>13.2</v>
      </c>
      <c r="M417">
        <v>6.5</v>
      </c>
      <c r="N417" t="s">
        <v>29</v>
      </c>
      <c r="O417" t="s">
        <v>7</v>
      </c>
      <c r="P417" t="s">
        <v>9</v>
      </c>
      <c r="Q417">
        <v>19</v>
      </c>
      <c r="R417">
        <v>6</v>
      </c>
      <c r="S417">
        <v>24.1</v>
      </c>
      <c r="T417">
        <v>157</v>
      </c>
      <c r="U417">
        <v>81</v>
      </c>
      <c r="V417">
        <v>8064</v>
      </c>
      <c r="W417">
        <v>44.8</v>
      </c>
      <c r="X417">
        <v>6</v>
      </c>
      <c r="Y417">
        <v>8</v>
      </c>
      <c r="Z417">
        <v>6</v>
      </c>
      <c r="AA417">
        <v>9.1</v>
      </c>
      <c r="AB417">
        <v>2</v>
      </c>
      <c r="AC417">
        <v>145</v>
      </c>
      <c r="AD417">
        <v>4</v>
      </c>
      <c r="AE417">
        <v>2</v>
      </c>
      <c r="AF417">
        <v>139</v>
      </c>
      <c r="AG417">
        <v>86</v>
      </c>
      <c r="AH417">
        <v>101</v>
      </c>
      <c r="AI417">
        <v>27</v>
      </c>
      <c r="AJ417">
        <v>30</v>
      </c>
      <c r="AK417">
        <v>22</v>
      </c>
      <c r="AL417">
        <v>16</v>
      </c>
      <c r="AM417">
        <v>6</v>
      </c>
      <c r="AN417">
        <v>72</v>
      </c>
      <c r="AO417">
        <v>25</v>
      </c>
      <c r="AP417">
        <v>21</v>
      </c>
      <c r="AQ417">
        <v>45</v>
      </c>
      <c r="AR417">
        <v>2667</v>
      </c>
      <c r="AS417">
        <v>5712</v>
      </c>
      <c r="AT417" t="s">
        <v>7</v>
      </c>
      <c r="AU417">
        <v>0.86</v>
      </c>
      <c r="AV417">
        <v>2016</v>
      </c>
      <c r="AW417" s="1">
        <v>45862</v>
      </c>
      <c r="AX417">
        <v>36.200000000000003</v>
      </c>
      <c r="AY417" t="s">
        <v>27</v>
      </c>
      <c r="AZ417" t="s">
        <v>17</v>
      </c>
      <c r="BA417" t="s">
        <v>21</v>
      </c>
      <c r="BB417" t="s">
        <v>13</v>
      </c>
      <c r="BC417" t="s">
        <v>7</v>
      </c>
      <c r="BD417">
        <v>4</v>
      </c>
      <c r="BE417" t="s">
        <v>14</v>
      </c>
      <c r="BF417">
        <v>1.1000000000000001</v>
      </c>
    </row>
    <row r="418" spans="1:58" hidden="1" x14ac:dyDescent="0.2">
      <c r="A418">
        <v>417</v>
      </c>
      <c r="B418" t="s">
        <v>0</v>
      </c>
      <c r="C418">
        <v>35</v>
      </c>
      <c r="D418" t="s">
        <v>28</v>
      </c>
      <c r="E418" t="s">
        <v>42</v>
      </c>
      <c r="F418" t="s">
        <v>15</v>
      </c>
      <c r="G418" t="s">
        <v>16</v>
      </c>
      <c r="H418" t="s">
        <v>119</v>
      </c>
      <c r="I418" t="s">
        <v>112</v>
      </c>
      <c r="J418" t="s">
        <v>32</v>
      </c>
      <c r="K418" t="s">
        <v>13</v>
      </c>
      <c r="L418">
        <v>4</v>
      </c>
      <c r="M418">
        <v>6.7</v>
      </c>
      <c r="N418" t="s">
        <v>29</v>
      </c>
      <c r="O418" t="s">
        <v>7</v>
      </c>
      <c r="P418" t="s">
        <v>9</v>
      </c>
      <c r="Q418">
        <v>34</v>
      </c>
      <c r="R418">
        <v>9</v>
      </c>
      <c r="S418">
        <v>31.5</v>
      </c>
      <c r="T418">
        <v>139</v>
      </c>
      <c r="U418">
        <v>82</v>
      </c>
      <c r="V418">
        <v>7910</v>
      </c>
      <c r="W418">
        <v>31.1</v>
      </c>
      <c r="X418">
        <v>3</v>
      </c>
      <c r="Y418">
        <v>0</v>
      </c>
      <c r="Z418">
        <v>11</v>
      </c>
      <c r="AA418">
        <v>3.3</v>
      </c>
      <c r="AB418">
        <v>4</v>
      </c>
      <c r="AC418">
        <v>312</v>
      </c>
      <c r="AD418">
        <v>12</v>
      </c>
      <c r="AE418">
        <v>8</v>
      </c>
      <c r="AF418">
        <v>235</v>
      </c>
      <c r="AG418">
        <v>150</v>
      </c>
      <c r="AH418">
        <v>183</v>
      </c>
      <c r="AI418">
        <v>49</v>
      </c>
      <c r="AJ418">
        <v>51</v>
      </c>
      <c r="AK418">
        <v>51</v>
      </c>
      <c r="AL418">
        <v>27</v>
      </c>
      <c r="AM418">
        <v>8</v>
      </c>
      <c r="AN418">
        <v>147</v>
      </c>
      <c r="AO418">
        <v>44</v>
      </c>
      <c r="AP418">
        <v>43</v>
      </c>
      <c r="AQ418">
        <v>111</v>
      </c>
      <c r="AR418">
        <v>3538</v>
      </c>
      <c r="AS418">
        <v>1436</v>
      </c>
      <c r="AT418" t="s">
        <v>7</v>
      </c>
      <c r="AU418">
        <v>0.42</v>
      </c>
      <c r="AV418">
        <v>2014</v>
      </c>
      <c r="AW418" s="1">
        <v>45910</v>
      </c>
      <c r="AX418">
        <v>26</v>
      </c>
      <c r="AY418" t="s">
        <v>27</v>
      </c>
      <c r="AZ418" t="s">
        <v>11</v>
      </c>
      <c r="BA418" t="s">
        <v>122</v>
      </c>
      <c r="BB418" t="s">
        <v>7</v>
      </c>
      <c r="BC418" t="s">
        <v>13</v>
      </c>
      <c r="BD418">
        <v>2</v>
      </c>
      <c r="BE418" t="s">
        <v>14</v>
      </c>
      <c r="BF418">
        <v>0.97</v>
      </c>
    </row>
    <row r="419" spans="1:58" hidden="1" x14ac:dyDescent="0.2">
      <c r="A419">
        <v>418</v>
      </c>
      <c r="B419" t="s">
        <v>0</v>
      </c>
      <c r="C419">
        <v>14</v>
      </c>
      <c r="D419" t="s">
        <v>28</v>
      </c>
      <c r="E419" t="s">
        <v>128</v>
      </c>
      <c r="F419" t="s">
        <v>15</v>
      </c>
      <c r="G419" t="s">
        <v>38</v>
      </c>
      <c r="H419" t="s">
        <v>34</v>
      </c>
      <c r="I419" t="s">
        <v>114</v>
      </c>
      <c r="J419" t="s">
        <v>123</v>
      </c>
      <c r="K419" t="s">
        <v>7</v>
      </c>
      <c r="L419">
        <v>6.5</v>
      </c>
      <c r="M419">
        <v>7.7</v>
      </c>
      <c r="N419" t="s">
        <v>29</v>
      </c>
      <c r="O419" t="s">
        <v>7</v>
      </c>
      <c r="P419" t="s">
        <v>26</v>
      </c>
      <c r="Q419">
        <v>19</v>
      </c>
      <c r="R419">
        <v>3</v>
      </c>
      <c r="S419">
        <v>22.6</v>
      </c>
      <c r="T419">
        <v>122</v>
      </c>
      <c r="U419">
        <v>65</v>
      </c>
      <c r="V419">
        <v>7926</v>
      </c>
      <c r="W419">
        <v>38.700000000000003</v>
      </c>
      <c r="X419">
        <v>5</v>
      </c>
      <c r="Y419">
        <v>4</v>
      </c>
      <c r="Z419">
        <v>10</v>
      </c>
      <c r="AA419">
        <v>3.5</v>
      </c>
      <c r="AB419">
        <v>4</v>
      </c>
      <c r="AC419">
        <v>183</v>
      </c>
      <c r="AD419">
        <v>15</v>
      </c>
      <c r="AE419">
        <v>13</v>
      </c>
      <c r="AF419">
        <v>222</v>
      </c>
      <c r="AG419">
        <v>108</v>
      </c>
      <c r="AH419">
        <v>120</v>
      </c>
      <c r="AI419">
        <v>31</v>
      </c>
      <c r="AJ419">
        <v>26</v>
      </c>
      <c r="AK419">
        <v>30</v>
      </c>
      <c r="AL419">
        <v>16</v>
      </c>
      <c r="AM419">
        <v>10</v>
      </c>
      <c r="AN419">
        <v>107</v>
      </c>
      <c r="AO419">
        <v>46</v>
      </c>
      <c r="AP419">
        <v>35</v>
      </c>
      <c r="AQ419">
        <v>49</v>
      </c>
      <c r="AR419">
        <v>1520</v>
      </c>
      <c r="AS419">
        <v>1249</v>
      </c>
      <c r="AT419" t="s">
        <v>7</v>
      </c>
      <c r="AU419">
        <v>0.19</v>
      </c>
      <c r="AV419">
        <v>2020</v>
      </c>
      <c r="AW419" s="1">
        <v>45939</v>
      </c>
      <c r="AX419">
        <v>12.2</v>
      </c>
      <c r="AY419" t="s">
        <v>10</v>
      </c>
      <c r="AZ419" t="s">
        <v>51</v>
      </c>
      <c r="BA419" t="s">
        <v>21</v>
      </c>
      <c r="BB419" t="s">
        <v>7</v>
      </c>
      <c r="BC419" t="s">
        <v>7</v>
      </c>
      <c r="BD419">
        <v>3</v>
      </c>
      <c r="BE419" t="s">
        <v>14</v>
      </c>
      <c r="BF419">
        <v>1.2</v>
      </c>
    </row>
    <row r="420" spans="1:58" hidden="1" x14ac:dyDescent="0.2">
      <c r="A420">
        <v>419</v>
      </c>
      <c r="B420" t="s">
        <v>0</v>
      </c>
      <c r="C420">
        <v>39</v>
      </c>
      <c r="D420" t="s">
        <v>28</v>
      </c>
      <c r="E420" t="s">
        <v>126</v>
      </c>
      <c r="F420" t="s">
        <v>15</v>
      </c>
      <c r="G420" t="s">
        <v>38</v>
      </c>
      <c r="H420" t="s">
        <v>118</v>
      </c>
      <c r="I420" t="s">
        <v>17</v>
      </c>
      <c r="J420" t="s">
        <v>123</v>
      </c>
      <c r="K420" t="s">
        <v>13</v>
      </c>
      <c r="L420">
        <v>6.5</v>
      </c>
      <c r="M420">
        <v>9.1</v>
      </c>
      <c r="N420" t="s">
        <v>39</v>
      </c>
      <c r="O420" t="s">
        <v>41</v>
      </c>
      <c r="P420" t="s">
        <v>46</v>
      </c>
      <c r="Q420">
        <v>31</v>
      </c>
      <c r="R420">
        <v>9</v>
      </c>
      <c r="S420">
        <v>25</v>
      </c>
      <c r="T420">
        <v>122</v>
      </c>
      <c r="U420">
        <v>89</v>
      </c>
      <c r="V420">
        <v>7991</v>
      </c>
      <c r="W420">
        <v>40.5</v>
      </c>
      <c r="X420">
        <v>2</v>
      </c>
      <c r="Y420">
        <v>4</v>
      </c>
      <c r="Z420">
        <v>8</v>
      </c>
      <c r="AA420">
        <v>5</v>
      </c>
      <c r="AB420">
        <v>4</v>
      </c>
      <c r="AC420">
        <v>300</v>
      </c>
      <c r="AD420">
        <v>13</v>
      </c>
      <c r="AE420">
        <v>6</v>
      </c>
      <c r="AF420">
        <v>226</v>
      </c>
      <c r="AG420">
        <v>132</v>
      </c>
      <c r="AH420">
        <v>171</v>
      </c>
      <c r="AI420">
        <v>46</v>
      </c>
      <c r="AJ420">
        <v>49</v>
      </c>
      <c r="AK420">
        <v>48</v>
      </c>
      <c r="AL420">
        <v>24</v>
      </c>
      <c r="AM420">
        <v>7</v>
      </c>
      <c r="AN420">
        <v>170</v>
      </c>
      <c r="AO420">
        <v>81</v>
      </c>
      <c r="AP420">
        <v>64</v>
      </c>
      <c r="AQ420">
        <v>104</v>
      </c>
      <c r="AR420">
        <v>1309</v>
      </c>
      <c r="AS420">
        <v>1686</v>
      </c>
      <c r="AT420" t="s">
        <v>7</v>
      </c>
      <c r="AU420">
        <v>0.82</v>
      </c>
      <c r="AV420">
        <v>2020</v>
      </c>
      <c r="AW420" s="1">
        <v>45795</v>
      </c>
      <c r="AX420">
        <v>23.1</v>
      </c>
      <c r="AY420" t="s">
        <v>36</v>
      </c>
      <c r="AZ420" t="s">
        <v>31</v>
      </c>
      <c r="BA420" t="s">
        <v>12</v>
      </c>
      <c r="BB420" t="s">
        <v>13</v>
      </c>
      <c r="BC420" t="s">
        <v>7</v>
      </c>
      <c r="BD420">
        <v>0</v>
      </c>
      <c r="BE420" t="s">
        <v>14</v>
      </c>
      <c r="BF420">
        <v>0.93</v>
      </c>
    </row>
    <row r="421" spans="1:58" hidden="1" x14ac:dyDescent="0.2">
      <c r="A421">
        <v>420</v>
      </c>
      <c r="B421" t="s">
        <v>0</v>
      </c>
      <c r="C421">
        <v>54</v>
      </c>
      <c r="D421" t="s">
        <v>28</v>
      </c>
      <c r="E421" t="s">
        <v>47</v>
      </c>
      <c r="F421" t="s">
        <v>3</v>
      </c>
      <c r="G421" t="s">
        <v>16</v>
      </c>
      <c r="H421" t="s">
        <v>34</v>
      </c>
      <c r="I421" t="s">
        <v>115</v>
      </c>
      <c r="J421" t="s">
        <v>6</v>
      </c>
      <c r="K421" t="s">
        <v>13</v>
      </c>
      <c r="L421">
        <v>3.4</v>
      </c>
      <c r="M421">
        <v>8.6999999999999993</v>
      </c>
      <c r="N421" t="s">
        <v>25</v>
      </c>
      <c r="O421" t="s">
        <v>7</v>
      </c>
      <c r="P421" t="s">
        <v>46</v>
      </c>
      <c r="Q421">
        <v>8</v>
      </c>
      <c r="R421">
        <v>9</v>
      </c>
      <c r="S421">
        <v>26.5</v>
      </c>
      <c r="T421">
        <v>121</v>
      </c>
      <c r="U421">
        <v>83</v>
      </c>
      <c r="V421">
        <v>7996</v>
      </c>
      <c r="W421">
        <v>37.6</v>
      </c>
      <c r="X421">
        <v>6</v>
      </c>
      <c r="Y421">
        <v>7</v>
      </c>
      <c r="Z421">
        <v>10</v>
      </c>
      <c r="AA421">
        <v>1.8</v>
      </c>
      <c r="AB421">
        <v>3</v>
      </c>
      <c r="AC421">
        <v>5</v>
      </c>
      <c r="AD421">
        <v>1</v>
      </c>
      <c r="AE421">
        <v>6</v>
      </c>
      <c r="AF421">
        <v>43</v>
      </c>
      <c r="AG421">
        <v>37</v>
      </c>
      <c r="AH421">
        <v>24</v>
      </c>
      <c r="AI421">
        <v>8</v>
      </c>
      <c r="AJ421">
        <v>11</v>
      </c>
      <c r="AK421">
        <v>6</v>
      </c>
      <c r="AL421">
        <v>4</v>
      </c>
      <c r="AM421">
        <v>0</v>
      </c>
      <c r="AN421">
        <v>3</v>
      </c>
      <c r="AO421">
        <v>1</v>
      </c>
      <c r="AP421">
        <v>1</v>
      </c>
      <c r="AQ421">
        <v>2</v>
      </c>
      <c r="AR421">
        <v>1445</v>
      </c>
      <c r="AS421">
        <v>1823</v>
      </c>
      <c r="AT421" t="s">
        <v>7</v>
      </c>
      <c r="AU421">
        <v>0.89</v>
      </c>
      <c r="AV421">
        <v>2023</v>
      </c>
      <c r="AW421" s="1">
        <v>45821</v>
      </c>
      <c r="AX421">
        <v>5</v>
      </c>
      <c r="AY421" t="s">
        <v>30</v>
      </c>
      <c r="AZ421" t="s">
        <v>48</v>
      </c>
      <c r="BA421" t="s">
        <v>122</v>
      </c>
      <c r="BB421" t="s">
        <v>13</v>
      </c>
      <c r="BC421" t="s">
        <v>7</v>
      </c>
      <c r="BD421">
        <v>2</v>
      </c>
      <c r="BE421" t="s">
        <v>14</v>
      </c>
      <c r="BF421">
        <v>9.67</v>
      </c>
    </row>
    <row r="422" spans="1:58" hidden="1" x14ac:dyDescent="0.2">
      <c r="A422">
        <v>421</v>
      </c>
      <c r="B422" t="s">
        <v>0</v>
      </c>
      <c r="C422">
        <v>14</v>
      </c>
      <c r="D422" t="s">
        <v>28</v>
      </c>
      <c r="E422" t="s">
        <v>2</v>
      </c>
      <c r="F422" t="s">
        <v>40</v>
      </c>
      <c r="G422" t="s">
        <v>117</v>
      </c>
      <c r="H422" t="s">
        <v>119</v>
      </c>
      <c r="I422" t="s">
        <v>114</v>
      </c>
      <c r="J422" t="s">
        <v>18</v>
      </c>
      <c r="K422" t="s">
        <v>7</v>
      </c>
      <c r="L422">
        <v>2.4</v>
      </c>
      <c r="M422">
        <v>7.4</v>
      </c>
      <c r="N422" t="s">
        <v>39</v>
      </c>
      <c r="O422" t="s">
        <v>13</v>
      </c>
      <c r="P422" t="s">
        <v>9</v>
      </c>
      <c r="Q422">
        <v>25</v>
      </c>
      <c r="R422">
        <v>8</v>
      </c>
      <c r="S422">
        <v>20.3</v>
      </c>
      <c r="T422">
        <v>149</v>
      </c>
      <c r="U422">
        <v>82</v>
      </c>
      <c r="V422">
        <v>7939</v>
      </c>
      <c r="W422">
        <v>48.1</v>
      </c>
      <c r="X422">
        <v>6</v>
      </c>
      <c r="Y422">
        <v>3</v>
      </c>
      <c r="Z422">
        <v>7</v>
      </c>
      <c r="AA422">
        <v>2.2000000000000002</v>
      </c>
      <c r="AB422">
        <v>1</v>
      </c>
      <c r="AC422">
        <v>284</v>
      </c>
      <c r="AD422">
        <v>21</v>
      </c>
      <c r="AE422">
        <v>8</v>
      </c>
      <c r="AF422">
        <v>275</v>
      </c>
      <c r="AG422">
        <v>129</v>
      </c>
      <c r="AH422">
        <v>156</v>
      </c>
      <c r="AI422">
        <v>49</v>
      </c>
      <c r="AJ422">
        <v>43</v>
      </c>
      <c r="AK422">
        <v>45</v>
      </c>
      <c r="AL422">
        <v>34</v>
      </c>
      <c r="AM422">
        <v>5</v>
      </c>
      <c r="AN422">
        <v>116</v>
      </c>
      <c r="AO422">
        <v>74</v>
      </c>
      <c r="AP422">
        <v>38</v>
      </c>
      <c r="AQ422">
        <v>81</v>
      </c>
      <c r="AR422">
        <v>933</v>
      </c>
      <c r="AS422">
        <v>1614</v>
      </c>
      <c r="AT422" t="s">
        <v>7</v>
      </c>
      <c r="AU422">
        <v>0.61</v>
      </c>
      <c r="AV422">
        <v>2019</v>
      </c>
      <c r="AW422" s="1">
        <v>45745</v>
      </c>
      <c r="AX422">
        <v>13.5</v>
      </c>
      <c r="AY422" t="s">
        <v>19</v>
      </c>
      <c r="AZ422" t="s">
        <v>51</v>
      </c>
      <c r="BA422" t="s">
        <v>122</v>
      </c>
      <c r="BB422" t="s">
        <v>13</v>
      </c>
      <c r="BC422" t="s">
        <v>7</v>
      </c>
      <c r="BD422">
        <v>4</v>
      </c>
      <c r="BE422" t="s">
        <v>14</v>
      </c>
      <c r="BF422">
        <v>0.98</v>
      </c>
    </row>
    <row r="423" spans="1:58" hidden="1" x14ac:dyDescent="0.2">
      <c r="A423">
        <v>422</v>
      </c>
      <c r="B423" t="s">
        <v>0</v>
      </c>
      <c r="C423">
        <v>38</v>
      </c>
      <c r="D423" t="s">
        <v>1</v>
      </c>
      <c r="E423" t="s">
        <v>128</v>
      </c>
      <c r="F423" t="s">
        <v>3</v>
      </c>
      <c r="G423" t="s">
        <v>116</v>
      </c>
      <c r="H423" t="s">
        <v>23</v>
      </c>
      <c r="I423" t="s">
        <v>17</v>
      </c>
      <c r="J423" t="s">
        <v>32</v>
      </c>
      <c r="K423" t="s">
        <v>13</v>
      </c>
      <c r="L423">
        <v>6.1</v>
      </c>
      <c r="M423">
        <v>7.6</v>
      </c>
      <c r="N423" t="s">
        <v>25</v>
      </c>
      <c r="O423" t="s">
        <v>7</v>
      </c>
      <c r="P423" t="s">
        <v>121</v>
      </c>
      <c r="Q423">
        <v>34</v>
      </c>
      <c r="R423">
        <v>6</v>
      </c>
      <c r="S423">
        <v>25.5</v>
      </c>
      <c r="T423">
        <v>98</v>
      </c>
      <c r="U423">
        <v>98</v>
      </c>
      <c r="V423">
        <v>8120</v>
      </c>
      <c r="W423">
        <v>33.200000000000003</v>
      </c>
      <c r="X423">
        <v>2</v>
      </c>
      <c r="Y423">
        <v>2</v>
      </c>
      <c r="Z423">
        <v>14</v>
      </c>
      <c r="AA423">
        <v>11.1</v>
      </c>
      <c r="AB423">
        <v>5</v>
      </c>
      <c r="AC423">
        <v>282</v>
      </c>
      <c r="AD423">
        <v>16</v>
      </c>
      <c r="AE423">
        <v>8</v>
      </c>
      <c r="AF423">
        <v>210</v>
      </c>
      <c r="AG423">
        <v>138</v>
      </c>
      <c r="AH423">
        <v>159</v>
      </c>
      <c r="AI423">
        <v>40</v>
      </c>
      <c r="AJ423">
        <v>32</v>
      </c>
      <c r="AK423">
        <v>32</v>
      </c>
      <c r="AL423">
        <v>32</v>
      </c>
      <c r="AM423">
        <v>9</v>
      </c>
      <c r="AN423">
        <v>133</v>
      </c>
      <c r="AO423">
        <v>80</v>
      </c>
      <c r="AP423">
        <v>49</v>
      </c>
      <c r="AQ423">
        <v>106</v>
      </c>
      <c r="AR423">
        <v>1652</v>
      </c>
      <c r="AS423">
        <v>1978</v>
      </c>
      <c r="AT423" t="s">
        <v>13</v>
      </c>
      <c r="AU423">
        <v>0.25</v>
      </c>
      <c r="AV423">
        <v>2012</v>
      </c>
      <c r="AW423" s="1">
        <v>45903</v>
      </c>
      <c r="AX423">
        <v>17.600000000000001</v>
      </c>
      <c r="AY423" t="s">
        <v>30</v>
      </c>
      <c r="AZ423" t="s">
        <v>37</v>
      </c>
      <c r="BA423" t="s">
        <v>21</v>
      </c>
      <c r="BB423" t="s">
        <v>13</v>
      </c>
      <c r="BC423" t="s">
        <v>13</v>
      </c>
      <c r="BD423">
        <v>2</v>
      </c>
      <c r="BE423" t="s">
        <v>14</v>
      </c>
      <c r="BF423">
        <v>0.93</v>
      </c>
    </row>
    <row r="424" spans="1:58" hidden="1" x14ac:dyDescent="0.2">
      <c r="A424">
        <v>423</v>
      </c>
      <c r="B424" t="s">
        <v>0</v>
      </c>
      <c r="C424">
        <v>29</v>
      </c>
      <c r="D424" t="s">
        <v>28</v>
      </c>
      <c r="E424" t="s">
        <v>128</v>
      </c>
      <c r="F424" t="s">
        <v>40</v>
      </c>
      <c r="G424" t="s">
        <v>117</v>
      </c>
      <c r="H424" t="s">
        <v>118</v>
      </c>
      <c r="I424" t="s">
        <v>114</v>
      </c>
      <c r="J424" t="s">
        <v>32</v>
      </c>
      <c r="K424" t="s">
        <v>7</v>
      </c>
      <c r="L424">
        <v>5.5</v>
      </c>
      <c r="M424">
        <v>5.2</v>
      </c>
      <c r="N424" t="s">
        <v>25</v>
      </c>
      <c r="O424" t="s">
        <v>7</v>
      </c>
      <c r="P424" t="s">
        <v>26</v>
      </c>
      <c r="Q424">
        <v>4</v>
      </c>
      <c r="R424">
        <v>1</v>
      </c>
      <c r="S424">
        <v>33.5</v>
      </c>
      <c r="T424">
        <v>135</v>
      </c>
      <c r="U424">
        <v>94</v>
      </c>
      <c r="V424">
        <v>7958</v>
      </c>
      <c r="W424">
        <v>37.799999999999997</v>
      </c>
      <c r="X424">
        <v>4</v>
      </c>
      <c r="Y424">
        <v>7</v>
      </c>
      <c r="Z424">
        <v>12</v>
      </c>
      <c r="AA424">
        <v>3.9</v>
      </c>
      <c r="AB424">
        <v>4</v>
      </c>
      <c r="AC424">
        <v>235</v>
      </c>
      <c r="AD424">
        <v>7</v>
      </c>
      <c r="AE424">
        <v>9</v>
      </c>
      <c r="AF424">
        <v>268</v>
      </c>
      <c r="AG424">
        <v>120</v>
      </c>
      <c r="AH424">
        <v>134</v>
      </c>
      <c r="AI424">
        <v>44</v>
      </c>
      <c r="AJ424">
        <v>30</v>
      </c>
      <c r="AK424">
        <v>41</v>
      </c>
      <c r="AL424">
        <v>24</v>
      </c>
      <c r="AM424">
        <v>6</v>
      </c>
      <c r="AN424">
        <v>139</v>
      </c>
      <c r="AO424">
        <v>36</v>
      </c>
      <c r="AP424">
        <v>25</v>
      </c>
      <c r="AQ424">
        <v>58</v>
      </c>
      <c r="AR424">
        <v>2060</v>
      </c>
      <c r="AS424">
        <v>4032</v>
      </c>
      <c r="AT424" t="s">
        <v>7</v>
      </c>
      <c r="AU424">
        <v>0.51</v>
      </c>
      <c r="AV424">
        <v>2022</v>
      </c>
      <c r="AW424" s="1">
        <v>45665</v>
      </c>
      <c r="AX424">
        <v>33.6</v>
      </c>
      <c r="AY424" t="s">
        <v>36</v>
      </c>
      <c r="AZ424" t="s">
        <v>51</v>
      </c>
      <c r="BA424" t="s">
        <v>21</v>
      </c>
      <c r="BB424" t="s">
        <v>13</v>
      </c>
      <c r="BC424" t="s">
        <v>7</v>
      </c>
      <c r="BD424">
        <v>2</v>
      </c>
      <c r="BE424" t="s">
        <v>14</v>
      </c>
      <c r="BF424">
        <v>1.06</v>
      </c>
    </row>
    <row r="425" spans="1:58" hidden="1" x14ac:dyDescent="0.2">
      <c r="A425">
        <v>424</v>
      </c>
      <c r="B425" t="s">
        <v>0</v>
      </c>
      <c r="C425">
        <v>52</v>
      </c>
      <c r="D425" t="s">
        <v>28</v>
      </c>
      <c r="E425" t="s">
        <v>128</v>
      </c>
      <c r="F425" t="s">
        <v>15</v>
      </c>
      <c r="G425" t="s">
        <v>116</v>
      </c>
      <c r="H425" t="s">
        <v>118</v>
      </c>
      <c r="I425" t="s">
        <v>112</v>
      </c>
      <c r="J425" t="s">
        <v>32</v>
      </c>
      <c r="K425" t="s">
        <v>13</v>
      </c>
      <c r="L425">
        <v>7.3</v>
      </c>
      <c r="M425">
        <v>8.1</v>
      </c>
      <c r="N425" t="s">
        <v>29</v>
      </c>
      <c r="O425" t="s">
        <v>7</v>
      </c>
      <c r="P425" t="s">
        <v>46</v>
      </c>
      <c r="Q425">
        <v>35</v>
      </c>
      <c r="R425">
        <v>1</v>
      </c>
      <c r="S425">
        <v>23.3</v>
      </c>
      <c r="T425">
        <v>121</v>
      </c>
      <c r="U425">
        <v>98</v>
      </c>
      <c r="V425">
        <v>8086</v>
      </c>
      <c r="W425">
        <v>39.700000000000003</v>
      </c>
      <c r="X425">
        <v>5</v>
      </c>
      <c r="Y425">
        <v>4</v>
      </c>
      <c r="Z425">
        <v>16</v>
      </c>
      <c r="AA425">
        <v>1</v>
      </c>
      <c r="AB425">
        <v>1</v>
      </c>
      <c r="AC425">
        <v>319</v>
      </c>
      <c r="AD425">
        <v>26</v>
      </c>
      <c r="AE425">
        <v>10</v>
      </c>
      <c r="AF425">
        <v>231</v>
      </c>
      <c r="AG425">
        <v>148</v>
      </c>
      <c r="AH425">
        <v>169</v>
      </c>
      <c r="AI425">
        <v>45</v>
      </c>
      <c r="AJ425">
        <v>34</v>
      </c>
      <c r="AK425">
        <v>49</v>
      </c>
      <c r="AL425">
        <v>38</v>
      </c>
      <c r="AM425">
        <v>7</v>
      </c>
      <c r="AN425">
        <v>158</v>
      </c>
      <c r="AO425">
        <v>52</v>
      </c>
      <c r="AP425">
        <v>35</v>
      </c>
      <c r="AQ425">
        <v>75</v>
      </c>
      <c r="AR425">
        <v>1024</v>
      </c>
      <c r="AS425">
        <v>1853</v>
      </c>
      <c r="AT425" t="s">
        <v>13</v>
      </c>
      <c r="AU425">
        <v>0.51</v>
      </c>
      <c r="AV425">
        <v>2021</v>
      </c>
      <c r="AW425" s="1">
        <v>45735</v>
      </c>
      <c r="AX425">
        <v>12.3</v>
      </c>
      <c r="AY425" t="s">
        <v>10</v>
      </c>
      <c r="AZ425" t="s">
        <v>51</v>
      </c>
      <c r="BA425" t="s">
        <v>21</v>
      </c>
      <c r="BB425" t="s">
        <v>13</v>
      </c>
      <c r="BC425" t="s">
        <v>13</v>
      </c>
      <c r="BD425">
        <v>1</v>
      </c>
      <c r="BE425" t="s">
        <v>49</v>
      </c>
      <c r="BF425">
        <v>0.9</v>
      </c>
    </row>
    <row r="426" spans="1:58" hidden="1" x14ac:dyDescent="0.2">
      <c r="A426">
        <v>425</v>
      </c>
      <c r="B426" t="s">
        <v>0</v>
      </c>
      <c r="C426">
        <v>45</v>
      </c>
      <c r="D426" t="s">
        <v>28</v>
      </c>
      <c r="E426" t="s">
        <v>17</v>
      </c>
      <c r="F426" t="s">
        <v>15</v>
      </c>
      <c r="G426" t="s">
        <v>117</v>
      </c>
      <c r="H426" t="s">
        <v>34</v>
      </c>
      <c r="I426" t="s">
        <v>112</v>
      </c>
      <c r="J426" t="s">
        <v>32</v>
      </c>
      <c r="K426" t="s">
        <v>13</v>
      </c>
      <c r="L426">
        <v>7.5</v>
      </c>
      <c r="M426">
        <v>7.1</v>
      </c>
      <c r="N426" t="s">
        <v>29</v>
      </c>
      <c r="O426" t="s">
        <v>41</v>
      </c>
      <c r="P426" t="s">
        <v>26</v>
      </c>
      <c r="Q426">
        <v>24</v>
      </c>
      <c r="R426">
        <v>7</v>
      </c>
      <c r="S426">
        <v>15.8</v>
      </c>
      <c r="T426">
        <v>96</v>
      </c>
      <c r="U426">
        <v>80</v>
      </c>
      <c r="V426">
        <v>7876</v>
      </c>
      <c r="W426">
        <v>26.3</v>
      </c>
      <c r="X426">
        <v>2</v>
      </c>
      <c r="Y426">
        <v>2</v>
      </c>
      <c r="Z426">
        <v>11</v>
      </c>
      <c r="AA426">
        <v>6.3</v>
      </c>
      <c r="AB426">
        <v>3</v>
      </c>
      <c r="AC426">
        <v>161</v>
      </c>
      <c r="AD426">
        <v>6</v>
      </c>
      <c r="AE426">
        <v>3</v>
      </c>
      <c r="AF426">
        <v>132</v>
      </c>
      <c r="AG426">
        <v>72</v>
      </c>
      <c r="AH426">
        <v>103</v>
      </c>
      <c r="AI426">
        <v>21</v>
      </c>
      <c r="AJ426">
        <v>24</v>
      </c>
      <c r="AK426">
        <v>32</v>
      </c>
      <c r="AL426">
        <v>18</v>
      </c>
      <c r="AM426">
        <v>3</v>
      </c>
      <c r="AN426">
        <v>78</v>
      </c>
      <c r="AO426">
        <v>34</v>
      </c>
      <c r="AP426">
        <v>27</v>
      </c>
      <c r="AQ426">
        <v>52</v>
      </c>
      <c r="AR426">
        <v>2119</v>
      </c>
      <c r="AS426">
        <v>1538</v>
      </c>
      <c r="AT426" t="s">
        <v>7</v>
      </c>
      <c r="AU426">
        <v>0.25</v>
      </c>
      <c r="AV426">
        <v>2014</v>
      </c>
      <c r="AW426" s="1">
        <v>46005</v>
      </c>
      <c r="AX426">
        <v>26.8</v>
      </c>
      <c r="AY426" t="s">
        <v>10</v>
      </c>
      <c r="AZ426" t="s">
        <v>51</v>
      </c>
      <c r="BA426" t="s">
        <v>122</v>
      </c>
      <c r="BB426" t="s">
        <v>13</v>
      </c>
      <c r="BC426" t="s">
        <v>13</v>
      </c>
      <c r="BD426">
        <v>1</v>
      </c>
      <c r="BE426" t="s">
        <v>14</v>
      </c>
      <c r="BF426">
        <v>0.95</v>
      </c>
    </row>
    <row r="427" spans="1:58" hidden="1" x14ac:dyDescent="0.2">
      <c r="A427">
        <v>426</v>
      </c>
      <c r="B427" t="s">
        <v>0</v>
      </c>
      <c r="C427">
        <v>21</v>
      </c>
      <c r="D427" t="s">
        <v>28</v>
      </c>
      <c r="E427" t="s">
        <v>2</v>
      </c>
      <c r="F427" t="s">
        <v>15</v>
      </c>
      <c r="G427" t="s">
        <v>116</v>
      </c>
      <c r="H427" t="s">
        <v>118</v>
      </c>
      <c r="I427" t="s">
        <v>115</v>
      </c>
      <c r="J427" t="s">
        <v>6</v>
      </c>
      <c r="K427" t="s">
        <v>13</v>
      </c>
      <c r="L427">
        <v>1.1000000000000001</v>
      </c>
      <c r="M427">
        <v>5.4</v>
      </c>
      <c r="N427" t="s">
        <v>29</v>
      </c>
      <c r="O427" t="s">
        <v>7</v>
      </c>
      <c r="P427" t="s">
        <v>46</v>
      </c>
      <c r="Q427">
        <v>1</v>
      </c>
      <c r="R427">
        <v>3</v>
      </c>
      <c r="S427">
        <v>28.1</v>
      </c>
      <c r="T427">
        <v>114</v>
      </c>
      <c r="U427">
        <v>81</v>
      </c>
      <c r="V427">
        <v>7930</v>
      </c>
      <c r="W427">
        <v>17.399999999999999</v>
      </c>
      <c r="X427">
        <v>3</v>
      </c>
      <c r="Y427">
        <v>2</v>
      </c>
      <c r="Z427">
        <v>14</v>
      </c>
      <c r="AA427">
        <v>2.2999999999999998</v>
      </c>
      <c r="AB427">
        <v>6</v>
      </c>
      <c r="AC427">
        <v>57</v>
      </c>
      <c r="AD427">
        <v>3</v>
      </c>
      <c r="AE427">
        <v>12</v>
      </c>
      <c r="AF427">
        <v>146</v>
      </c>
      <c r="AG427">
        <v>49</v>
      </c>
      <c r="AH427">
        <v>53</v>
      </c>
      <c r="AI427">
        <v>18</v>
      </c>
      <c r="AJ427">
        <v>22</v>
      </c>
      <c r="AK427">
        <v>14</v>
      </c>
      <c r="AL427">
        <v>16</v>
      </c>
      <c r="AM427">
        <v>3</v>
      </c>
      <c r="AN427">
        <v>24</v>
      </c>
      <c r="AO427">
        <v>9</v>
      </c>
      <c r="AP427">
        <v>8</v>
      </c>
      <c r="AQ427">
        <v>16</v>
      </c>
      <c r="AR427">
        <v>744</v>
      </c>
      <c r="AS427">
        <v>1547</v>
      </c>
      <c r="AT427" t="s">
        <v>7</v>
      </c>
      <c r="AU427">
        <v>0.46</v>
      </c>
      <c r="AV427">
        <v>2024</v>
      </c>
      <c r="AW427" s="1">
        <v>45790</v>
      </c>
      <c r="AX427">
        <v>19</v>
      </c>
      <c r="AY427" t="s">
        <v>36</v>
      </c>
      <c r="AZ427" t="s">
        <v>20</v>
      </c>
      <c r="BA427" t="s">
        <v>122</v>
      </c>
      <c r="BB427" t="s">
        <v>13</v>
      </c>
      <c r="BC427" t="s">
        <v>13</v>
      </c>
      <c r="BD427">
        <v>2</v>
      </c>
      <c r="BE427" t="s">
        <v>14</v>
      </c>
      <c r="BF427">
        <v>2.16</v>
      </c>
    </row>
    <row r="428" spans="1:58" hidden="1" x14ac:dyDescent="0.2">
      <c r="A428">
        <v>427</v>
      </c>
      <c r="B428" t="s">
        <v>0</v>
      </c>
      <c r="C428">
        <v>55</v>
      </c>
      <c r="D428" t="s">
        <v>1</v>
      </c>
      <c r="E428" t="s">
        <v>128</v>
      </c>
      <c r="F428" t="s">
        <v>3</v>
      </c>
      <c r="G428" t="s">
        <v>116</v>
      </c>
      <c r="H428" t="s">
        <v>5</v>
      </c>
      <c r="I428" t="s">
        <v>114</v>
      </c>
      <c r="J428" t="s">
        <v>6</v>
      </c>
      <c r="K428" t="s">
        <v>7</v>
      </c>
      <c r="L428">
        <v>14.7</v>
      </c>
      <c r="M428">
        <v>7.4</v>
      </c>
      <c r="N428" t="s">
        <v>8</v>
      </c>
      <c r="O428" t="s">
        <v>7</v>
      </c>
      <c r="P428" t="s">
        <v>46</v>
      </c>
      <c r="Q428">
        <v>8</v>
      </c>
      <c r="R428">
        <v>4</v>
      </c>
      <c r="S428">
        <v>29</v>
      </c>
      <c r="T428">
        <v>110</v>
      </c>
      <c r="U428">
        <v>69</v>
      </c>
      <c r="V428">
        <v>8097</v>
      </c>
      <c r="W428">
        <v>21.9</v>
      </c>
      <c r="X428">
        <v>1</v>
      </c>
      <c r="Y428">
        <v>4</v>
      </c>
      <c r="Z428">
        <v>9</v>
      </c>
      <c r="AA428">
        <v>3</v>
      </c>
      <c r="AB428">
        <v>2</v>
      </c>
      <c r="AC428">
        <v>127</v>
      </c>
      <c r="AD428">
        <v>4</v>
      </c>
      <c r="AE428">
        <v>3</v>
      </c>
      <c r="AF428">
        <v>107</v>
      </c>
      <c r="AG428">
        <v>84</v>
      </c>
      <c r="AH428">
        <v>91</v>
      </c>
      <c r="AI428">
        <v>30</v>
      </c>
      <c r="AJ428">
        <v>29</v>
      </c>
      <c r="AK428">
        <v>19</v>
      </c>
      <c r="AL428">
        <v>10</v>
      </c>
      <c r="AM428">
        <v>8</v>
      </c>
      <c r="AN428">
        <v>71</v>
      </c>
      <c r="AO428">
        <v>32</v>
      </c>
      <c r="AP428">
        <v>15</v>
      </c>
      <c r="AQ428">
        <v>50</v>
      </c>
      <c r="AR428">
        <v>834</v>
      </c>
      <c r="AS428">
        <v>1826</v>
      </c>
      <c r="AT428" t="s">
        <v>7</v>
      </c>
      <c r="AU428">
        <v>0.66</v>
      </c>
      <c r="AV428">
        <v>2014</v>
      </c>
      <c r="AW428" s="1">
        <v>45789</v>
      </c>
      <c r="AX428">
        <v>31.8</v>
      </c>
      <c r="AY428" t="s">
        <v>10</v>
      </c>
      <c r="AZ428" t="s">
        <v>31</v>
      </c>
      <c r="BA428" t="s">
        <v>12</v>
      </c>
      <c r="BB428" t="s">
        <v>13</v>
      </c>
      <c r="BC428" t="s">
        <v>13</v>
      </c>
      <c r="BD428">
        <v>0</v>
      </c>
      <c r="BE428" t="s">
        <v>14</v>
      </c>
      <c r="BF428">
        <v>1.25</v>
      </c>
    </row>
    <row r="429" spans="1:58" hidden="1" x14ac:dyDescent="0.2">
      <c r="A429">
        <v>428</v>
      </c>
      <c r="B429" t="s">
        <v>0</v>
      </c>
      <c r="C429">
        <v>60</v>
      </c>
      <c r="D429" t="s">
        <v>28</v>
      </c>
      <c r="E429" t="s">
        <v>128</v>
      </c>
      <c r="F429" t="s">
        <v>15</v>
      </c>
      <c r="G429" t="s">
        <v>117</v>
      </c>
      <c r="H429" t="s">
        <v>118</v>
      </c>
      <c r="I429" t="s">
        <v>114</v>
      </c>
      <c r="J429" t="s">
        <v>123</v>
      </c>
      <c r="K429" t="s">
        <v>13</v>
      </c>
      <c r="L429">
        <v>4.5</v>
      </c>
      <c r="M429">
        <v>6.8</v>
      </c>
      <c r="N429" t="s">
        <v>25</v>
      </c>
      <c r="O429" t="s">
        <v>7</v>
      </c>
      <c r="P429" t="s">
        <v>9</v>
      </c>
      <c r="Q429">
        <v>14</v>
      </c>
      <c r="R429">
        <v>3</v>
      </c>
      <c r="S429">
        <v>26.1</v>
      </c>
      <c r="T429">
        <v>124</v>
      </c>
      <c r="U429">
        <v>71</v>
      </c>
      <c r="V429">
        <v>8261</v>
      </c>
      <c r="W429">
        <v>41</v>
      </c>
      <c r="X429">
        <v>6</v>
      </c>
      <c r="Y429">
        <v>2</v>
      </c>
      <c r="Z429">
        <v>9</v>
      </c>
      <c r="AA429">
        <v>0.5</v>
      </c>
      <c r="AB429">
        <v>3</v>
      </c>
      <c r="AC429">
        <v>134</v>
      </c>
      <c r="AD429">
        <v>7</v>
      </c>
      <c r="AE429">
        <v>2</v>
      </c>
      <c r="AF429">
        <v>133</v>
      </c>
      <c r="AG429">
        <v>103</v>
      </c>
      <c r="AH429">
        <v>104</v>
      </c>
      <c r="AI429">
        <v>28</v>
      </c>
      <c r="AJ429">
        <v>22</v>
      </c>
      <c r="AK429">
        <v>29</v>
      </c>
      <c r="AL429">
        <v>13</v>
      </c>
      <c r="AM429">
        <v>4</v>
      </c>
      <c r="AN429">
        <v>73</v>
      </c>
      <c r="AO429">
        <v>18</v>
      </c>
      <c r="AP429">
        <v>26</v>
      </c>
      <c r="AQ429">
        <v>47</v>
      </c>
      <c r="AR429">
        <v>1649</v>
      </c>
      <c r="AS429">
        <v>1915</v>
      </c>
      <c r="AT429" t="s">
        <v>7</v>
      </c>
      <c r="AU429">
        <v>0.89</v>
      </c>
      <c r="AV429">
        <v>2021</v>
      </c>
      <c r="AW429" s="1">
        <v>45922</v>
      </c>
      <c r="AX429">
        <v>19.100000000000001</v>
      </c>
      <c r="AY429" t="s">
        <v>10</v>
      </c>
      <c r="AZ429" t="s">
        <v>20</v>
      </c>
      <c r="BA429" t="s">
        <v>12</v>
      </c>
      <c r="BB429" t="s">
        <v>13</v>
      </c>
      <c r="BC429" t="s">
        <v>7</v>
      </c>
      <c r="BD429">
        <v>5</v>
      </c>
      <c r="BE429" t="s">
        <v>14</v>
      </c>
      <c r="BF429">
        <v>1.23</v>
      </c>
    </row>
    <row r="430" spans="1:58" hidden="1" x14ac:dyDescent="0.2">
      <c r="A430">
        <v>429</v>
      </c>
      <c r="B430" t="s">
        <v>0</v>
      </c>
      <c r="C430">
        <v>51</v>
      </c>
      <c r="D430" t="s">
        <v>28</v>
      </c>
      <c r="E430" t="s">
        <v>2</v>
      </c>
      <c r="F430" t="s">
        <v>15</v>
      </c>
      <c r="G430" t="s">
        <v>16</v>
      </c>
      <c r="H430" t="s">
        <v>23</v>
      </c>
      <c r="I430" t="s">
        <v>113</v>
      </c>
      <c r="J430" t="s">
        <v>123</v>
      </c>
      <c r="K430" t="s">
        <v>7</v>
      </c>
      <c r="L430">
        <v>4.7</v>
      </c>
      <c r="M430">
        <v>6.3</v>
      </c>
      <c r="N430" t="s">
        <v>29</v>
      </c>
      <c r="O430" t="s">
        <v>7</v>
      </c>
      <c r="P430" t="s">
        <v>26</v>
      </c>
      <c r="Q430">
        <v>36</v>
      </c>
      <c r="R430">
        <v>10</v>
      </c>
      <c r="S430">
        <v>25.6</v>
      </c>
      <c r="T430">
        <v>116</v>
      </c>
      <c r="U430">
        <v>64</v>
      </c>
      <c r="V430">
        <v>8199</v>
      </c>
      <c r="W430">
        <v>21.4</v>
      </c>
      <c r="X430">
        <v>3</v>
      </c>
      <c r="Y430">
        <v>1</v>
      </c>
      <c r="Z430">
        <v>17</v>
      </c>
      <c r="AA430">
        <v>0.5</v>
      </c>
      <c r="AB430">
        <v>4</v>
      </c>
      <c r="AC430">
        <v>281</v>
      </c>
      <c r="AD430">
        <v>11</v>
      </c>
      <c r="AE430">
        <v>4</v>
      </c>
      <c r="AF430">
        <v>212</v>
      </c>
      <c r="AG430">
        <v>137</v>
      </c>
      <c r="AH430">
        <v>158</v>
      </c>
      <c r="AI430">
        <v>53</v>
      </c>
      <c r="AJ430">
        <v>43</v>
      </c>
      <c r="AK430">
        <v>38</v>
      </c>
      <c r="AL430">
        <v>25</v>
      </c>
      <c r="AM430">
        <v>9</v>
      </c>
      <c r="AN430">
        <v>134</v>
      </c>
      <c r="AO430">
        <v>81</v>
      </c>
      <c r="AP430">
        <v>46</v>
      </c>
      <c r="AQ430">
        <v>112</v>
      </c>
      <c r="AR430">
        <v>1210</v>
      </c>
      <c r="AS430">
        <v>2018</v>
      </c>
      <c r="AT430" t="s">
        <v>7</v>
      </c>
      <c r="AU430">
        <v>0.37</v>
      </c>
      <c r="AV430">
        <v>2016</v>
      </c>
      <c r="AW430" s="1">
        <v>45919</v>
      </c>
      <c r="AX430">
        <v>25.5</v>
      </c>
      <c r="AY430" t="s">
        <v>45</v>
      </c>
      <c r="AZ430" t="s">
        <v>35</v>
      </c>
      <c r="BA430" t="s">
        <v>122</v>
      </c>
      <c r="BB430" t="s">
        <v>13</v>
      </c>
      <c r="BC430" t="s">
        <v>13</v>
      </c>
      <c r="BD430">
        <v>2</v>
      </c>
      <c r="BE430" t="s">
        <v>14</v>
      </c>
      <c r="BF430">
        <v>0.98</v>
      </c>
    </row>
    <row r="431" spans="1:58" hidden="1" x14ac:dyDescent="0.2">
      <c r="A431">
        <v>430</v>
      </c>
      <c r="B431" t="s">
        <v>0</v>
      </c>
      <c r="C431">
        <v>41</v>
      </c>
      <c r="D431" t="s">
        <v>28</v>
      </c>
      <c r="E431" t="s">
        <v>2</v>
      </c>
      <c r="F431" t="s">
        <v>40</v>
      </c>
      <c r="G431" t="s">
        <v>16</v>
      </c>
      <c r="H431" t="s">
        <v>118</v>
      </c>
      <c r="I431" t="s">
        <v>115</v>
      </c>
      <c r="J431" t="s">
        <v>6</v>
      </c>
      <c r="K431" t="s">
        <v>7</v>
      </c>
      <c r="L431">
        <v>10.9</v>
      </c>
      <c r="M431">
        <v>6.4</v>
      </c>
      <c r="N431" t="s">
        <v>29</v>
      </c>
      <c r="O431" t="s">
        <v>41</v>
      </c>
      <c r="P431" t="s">
        <v>26</v>
      </c>
      <c r="Q431">
        <v>34</v>
      </c>
      <c r="R431">
        <v>6</v>
      </c>
      <c r="S431">
        <v>28.4</v>
      </c>
      <c r="T431">
        <v>140</v>
      </c>
      <c r="U431">
        <v>65</v>
      </c>
      <c r="V431">
        <v>7999</v>
      </c>
      <c r="W431">
        <v>49.2</v>
      </c>
      <c r="X431">
        <v>5</v>
      </c>
      <c r="Y431">
        <v>2</v>
      </c>
      <c r="Z431">
        <v>7</v>
      </c>
      <c r="AA431">
        <v>5.3</v>
      </c>
      <c r="AB431">
        <v>5</v>
      </c>
      <c r="AC431">
        <v>297</v>
      </c>
      <c r="AD431">
        <v>9</v>
      </c>
      <c r="AE431">
        <v>5</v>
      </c>
      <c r="AF431">
        <v>242</v>
      </c>
      <c r="AG431">
        <v>150</v>
      </c>
      <c r="AH431">
        <v>174</v>
      </c>
      <c r="AI431">
        <v>40</v>
      </c>
      <c r="AJ431">
        <v>44</v>
      </c>
      <c r="AK431">
        <v>40</v>
      </c>
      <c r="AL431">
        <v>36</v>
      </c>
      <c r="AM431">
        <v>3</v>
      </c>
      <c r="AN431">
        <v>171</v>
      </c>
      <c r="AO431">
        <v>73</v>
      </c>
      <c r="AP431">
        <v>73</v>
      </c>
      <c r="AQ431">
        <v>81</v>
      </c>
      <c r="AR431">
        <v>1755</v>
      </c>
      <c r="AS431">
        <v>3634</v>
      </c>
      <c r="AT431" t="s">
        <v>13</v>
      </c>
      <c r="AU431">
        <v>0.23</v>
      </c>
      <c r="AV431">
        <v>2011</v>
      </c>
      <c r="AW431" s="1">
        <v>45927</v>
      </c>
      <c r="AX431">
        <v>33</v>
      </c>
      <c r="AY431" t="s">
        <v>10</v>
      </c>
      <c r="AZ431" t="s">
        <v>11</v>
      </c>
      <c r="BA431" t="s">
        <v>21</v>
      </c>
      <c r="BB431" t="s">
        <v>7</v>
      </c>
      <c r="BC431" t="s">
        <v>13</v>
      </c>
      <c r="BD431">
        <v>0</v>
      </c>
      <c r="BE431" t="s">
        <v>14</v>
      </c>
      <c r="BF431">
        <v>0.9</v>
      </c>
    </row>
    <row r="432" spans="1:58" hidden="1" x14ac:dyDescent="0.2">
      <c r="A432">
        <v>431</v>
      </c>
      <c r="B432" t="s">
        <v>0</v>
      </c>
      <c r="C432">
        <v>54</v>
      </c>
      <c r="D432" t="s">
        <v>28</v>
      </c>
      <c r="E432" t="s">
        <v>128</v>
      </c>
      <c r="F432" t="s">
        <v>40</v>
      </c>
      <c r="G432" t="s">
        <v>16</v>
      </c>
      <c r="H432" t="s">
        <v>23</v>
      </c>
      <c r="I432" t="s">
        <v>112</v>
      </c>
      <c r="J432" t="s">
        <v>6</v>
      </c>
      <c r="K432" t="s">
        <v>7</v>
      </c>
      <c r="L432">
        <v>1.8</v>
      </c>
      <c r="M432">
        <v>6.7</v>
      </c>
      <c r="N432" t="s">
        <v>25</v>
      </c>
      <c r="O432" t="s">
        <v>7</v>
      </c>
      <c r="P432" t="s">
        <v>9</v>
      </c>
      <c r="Q432">
        <v>8</v>
      </c>
      <c r="R432">
        <v>2</v>
      </c>
      <c r="S432">
        <v>22.2</v>
      </c>
      <c r="T432">
        <v>150</v>
      </c>
      <c r="U432">
        <v>76</v>
      </c>
      <c r="V432">
        <v>8036</v>
      </c>
      <c r="W432">
        <v>19.5</v>
      </c>
      <c r="X432">
        <v>4</v>
      </c>
      <c r="Y432">
        <v>12</v>
      </c>
      <c r="Z432">
        <v>12</v>
      </c>
      <c r="AA432">
        <v>4.4000000000000004</v>
      </c>
      <c r="AB432">
        <v>5</v>
      </c>
      <c r="AC432">
        <v>110</v>
      </c>
      <c r="AD432">
        <v>4</v>
      </c>
      <c r="AE432">
        <v>6</v>
      </c>
      <c r="AF432">
        <v>110</v>
      </c>
      <c r="AG432">
        <v>77</v>
      </c>
      <c r="AH432">
        <v>90</v>
      </c>
      <c r="AI432">
        <v>24</v>
      </c>
      <c r="AJ432">
        <v>19</v>
      </c>
      <c r="AK432">
        <v>18</v>
      </c>
      <c r="AL432">
        <v>13</v>
      </c>
      <c r="AM432">
        <v>1</v>
      </c>
      <c r="AN432">
        <v>54</v>
      </c>
      <c r="AO432">
        <v>12</v>
      </c>
      <c r="AP432">
        <v>21</v>
      </c>
      <c r="AQ432">
        <v>33</v>
      </c>
      <c r="AR432">
        <v>3399</v>
      </c>
      <c r="AS432">
        <v>8014</v>
      </c>
      <c r="AT432" t="s">
        <v>13</v>
      </c>
      <c r="AU432">
        <v>0.15</v>
      </c>
      <c r="AV432">
        <v>2012</v>
      </c>
      <c r="AW432" s="1">
        <v>45916</v>
      </c>
      <c r="AX432">
        <v>27.5</v>
      </c>
      <c r="AY432" t="s">
        <v>45</v>
      </c>
      <c r="AZ432" t="s">
        <v>17</v>
      </c>
      <c r="BA432" t="s">
        <v>21</v>
      </c>
      <c r="BB432" t="s">
        <v>7</v>
      </c>
      <c r="BC432" t="s">
        <v>7</v>
      </c>
      <c r="BD432">
        <v>2</v>
      </c>
      <c r="BE432" t="s">
        <v>14</v>
      </c>
      <c r="BF432">
        <v>1.41</v>
      </c>
    </row>
    <row r="433" spans="1:58" hidden="1" x14ac:dyDescent="0.2">
      <c r="A433">
        <v>432</v>
      </c>
      <c r="B433" t="s">
        <v>0</v>
      </c>
      <c r="C433">
        <v>38</v>
      </c>
      <c r="D433" t="s">
        <v>1</v>
      </c>
      <c r="E433" t="s">
        <v>47</v>
      </c>
      <c r="F433" t="s">
        <v>40</v>
      </c>
      <c r="G433" t="s">
        <v>16</v>
      </c>
      <c r="H433" t="s">
        <v>34</v>
      </c>
      <c r="I433" t="s">
        <v>112</v>
      </c>
      <c r="J433" t="s">
        <v>32</v>
      </c>
      <c r="K433" t="s">
        <v>7</v>
      </c>
      <c r="L433">
        <v>3.7</v>
      </c>
      <c r="M433">
        <v>5.6</v>
      </c>
      <c r="N433" t="s">
        <v>25</v>
      </c>
      <c r="O433" t="s">
        <v>7</v>
      </c>
      <c r="P433" t="s">
        <v>9</v>
      </c>
      <c r="Q433">
        <v>0</v>
      </c>
      <c r="R433">
        <v>6</v>
      </c>
      <c r="S433">
        <v>21.2</v>
      </c>
      <c r="T433">
        <v>138</v>
      </c>
      <c r="U433">
        <v>91</v>
      </c>
      <c r="V433">
        <v>8104</v>
      </c>
      <c r="W433">
        <v>27.9</v>
      </c>
      <c r="X433">
        <v>4</v>
      </c>
      <c r="Y433">
        <v>5</v>
      </c>
      <c r="Z433">
        <v>10</v>
      </c>
      <c r="AA433">
        <v>5.2</v>
      </c>
      <c r="AB433">
        <v>5</v>
      </c>
      <c r="AC433">
        <v>30</v>
      </c>
      <c r="AD433">
        <v>1</v>
      </c>
      <c r="AE433">
        <v>0</v>
      </c>
      <c r="AF433">
        <v>56</v>
      </c>
      <c r="AG433">
        <v>30</v>
      </c>
      <c r="AH433">
        <v>40</v>
      </c>
      <c r="AI433">
        <v>9</v>
      </c>
      <c r="AJ433">
        <v>12</v>
      </c>
      <c r="AK433">
        <v>9</v>
      </c>
      <c r="AL433">
        <v>5</v>
      </c>
      <c r="AM433">
        <v>1</v>
      </c>
      <c r="AN433">
        <v>14</v>
      </c>
      <c r="AO433">
        <v>5</v>
      </c>
      <c r="AP433">
        <v>4</v>
      </c>
      <c r="AQ433">
        <v>11</v>
      </c>
      <c r="AR433">
        <v>2656</v>
      </c>
      <c r="AS433">
        <v>3079</v>
      </c>
      <c r="AT433" t="s">
        <v>7</v>
      </c>
      <c r="AU433">
        <v>0.13</v>
      </c>
      <c r="AV433">
        <v>2011</v>
      </c>
      <c r="AW433" s="1">
        <v>45831</v>
      </c>
      <c r="AX433">
        <v>30</v>
      </c>
      <c r="AY433" t="s">
        <v>36</v>
      </c>
      <c r="AZ433" t="s">
        <v>11</v>
      </c>
      <c r="BA433" t="s">
        <v>12</v>
      </c>
      <c r="BB433" t="s">
        <v>13</v>
      </c>
      <c r="BC433" t="s">
        <v>13</v>
      </c>
      <c r="BD433">
        <v>1</v>
      </c>
      <c r="BE433" t="s">
        <v>14</v>
      </c>
      <c r="BF433">
        <v>1.87</v>
      </c>
    </row>
    <row r="434" spans="1:58" hidden="1" x14ac:dyDescent="0.2">
      <c r="A434">
        <v>433</v>
      </c>
      <c r="B434" t="s">
        <v>0</v>
      </c>
      <c r="C434">
        <v>47</v>
      </c>
      <c r="D434" t="s">
        <v>1</v>
      </c>
      <c r="E434" t="s">
        <v>42</v>
      </c>
      <c r="F434" t="s">
        <v>15</v>
      </c>
      <c r="G434" t="s">
        <v>16</v>
      </c>
      <c r="H434" t="s">
        <v>23</v>
      </c>
      <c r="I434" t="s">
        <v>113</v>
      </c>
      <c r="J434" t="s">
        <v>6</v>
      </c>
      <c r="K434" t="s">
        <v>13</v>
      </c>
      <c r="L434">
        <v>1.4</v>
      </c>
      <c r="M434">
        <v>7.6</v>
      </c>
      <c r="N434" t="s">
        <v>120</v>
      </c>
      <c r="O434" t="s">
        <v>7</v>
      </c>
      <c r="P434" t="s">
        <v>46</v>
      </c>
      <c r="Q434">
        <v>38</v>
      </c>
      <c r="R434">
        <v>9</v>
      </c>
      <c r="S434">
        <v>29.9</v>
      </c>
      <c r="T434">
        <v>102</v>
      </c>
      <c r="U434">
        <v>63</v>
      </c>
      <c r="V434">
        <v>7961</v>
      </c>
      <c r="W434">
        <v>45.1</v>
      </c>
      <c r="X434">
        <v>1</v>
      </c>
      <c r="Y434">
        <v>5</v>
      </c>
      <c r="Z434">
        <v>16</v>
      </c>
      <c r="AA434">
        <v>2.8</v>
      </c>
      <c r="AB434">
        <v>6</v>
      </c>
      <c r="AC434">
        <v>324</v>
      </c>
      <c r="AD434">
        <v>14</v>
      </c>
      <c r="AE434">
        <v>13</v>
      </c>
      <c r="AF434">
        <v>224</v>
      </c>
      <c r="AG434">
        <v>150</v>
      </c>
      <c r="AH434">
        <v>179</v>
      </c>
      <c r="AI434">
        <v>61</v>
      </c>
      <c r="AJ434">
        <v>37</v>
      </c>
      <c r="AK434">
        <v>54</v>
      </c>
      <c r="AL434">
        <v>35</v>
      </c>
      <c r="AM434">
        <v>7</v>
      </c>
      <c r="AN434">
        <v>148</v>
      </c>
      <c r="AO434">
        <v>65</v>
      </c>
      <c r="AP434">
        <v>38</v>
      </c>
      <c r="AQ434">
        <v>74</v>
      </c>
      <c r="AR434">
        <v>1737</v>
      </c>
      <c r="AS434">
        <v>1961</v>
      </c>
      <c r="AT434" t="s">
        <v>13</v>
      </c>
      <c r="AU434">
        <v>0.57999999999999996</v>
      </c>
      <c r="AV434">
        <v>2013</v>
      </c>
      <c r="AW434" s="1">
        <v>45970</v>
      </c>
      <c r="AX434">
        <v>23.1</v>
      </c>
      <c r="AY434" t="s">
        <v>36</v>
      </c>
      <c r="AZ434" t="s">
        <v>51</v>
      </c>
      <c r="BA434" t="s">
        <v>12</v>
      </c>
      <c r="BB434" t="s">
        <v>7</v>
      </c>
      <c r="BC434" t="s">
        <v>13</v>
      </c>
      <c r="BD434">
        <v>3</v>
      </c>
      <c r="BE434" t="s">
        <v>14</v>
      </c>
      <c r="BF434">
        <v>1.05</v>
      </c>
    </row>
    <row r="435" spans="1:58" hidden="1" x14ac:dyDescent="0.2">
      <c r="A435">
        <v>434</v>
      </c>
      <c r="B435" t="s">
        <v>0</v>
      </c>
      <c r="C435">
        <v>62</v>
      </c>
      <c r="D435" t="s">
        <v>28</v>
      </c>
      <c r="E435" t="s">
        <v>127</v>
      </c>
      <c r="F435" t="s">
        <v>40</v>
      </c>
      <c r="G435" t="s">
        <v>16</v>
      </c>
      <c r="H435" t="s">
        <v>118</v>
      </c>
      <c r="I435" t="s">
        <v>112</v>
      </c>
      <c r="J435" t="s">
        <v>32</v>
      </c>
      <c r="K435" t="s">
        <v>13</v>
      </c>
      <c r="L435">
        <v>11.9</v>
      </c>
      <c r="M435">
        <v>6.9</v>
      </c>
      <c r="N435" t="s">
        <v>25</v>
      </c>
      <c r="O435" t="s">
        <v>7</v>
      </c>
      <c r="P435" t="s">
        <v>46</v>
      </c>
      <c r="Q435">
        <v>10</v>
      </c>
      <c r="R435">
        <v>8</v>
      </c>
      <c r="S435">
        <v>27.3</v>
      </c>
      <c r="T435">
        <v>115</v>
      </c>
      <c r="U435">
        <v>81</v>
      </c>
      <c r="V435">
        <v>7984</v>
      </c>
      <c r="W435">
        <v>31.9</v>
      </c>
      <c r="X435">
        <v>3</v>
      </c>
      <c r="Y435">
        <v>7</v>
      </c>
      <c r="Z435">
        <v>14</v>
      </c>
      <c r="AA435">
        <v>1.9</v>
      </c>
      <c r="AB435">
        <v>2</v>
      </c>
      <c r="AC435">
        <v>59</v>
      </c>
      <c r="AD435">
        <v>2</v>
      </c>
      <c r="AE435">
        <v>3</v>
      </c>
      <c r="AF435">
        <v>64</v>
      </c>
      <c r="AG435">
        <v>66</v>
      </c>
      <c r="AH435">
        <v>48</v>
      </c>
      <c r="AI435">
        <v>13</v>
      </c>
      <c r="AJ435">
        <v>11</v>
      </c>
      <c r="AK435">
        <v>12</v>
      </c>
      <c r="AL435">
        <v>7</v>
      </c>
      <c r="AM435">
        <v>2</v>
      </c>
      <c r="AN435">
        <v>32</v>
      </c>
      <c r="AO435">
        <v>16</v>
      </c>
      <c r="AP435">
        <v>14</v>
      </c>
      <c r="AQ435">
        <v>18</v>
      </c>
      <c r="AR435">
        <v>983</v>
      </c>
      <c r="AS435">
        <v>1276</v>
      </c>
      <c r="AT435" t="s">
        <v>7</v>
      </c>
      <c r="AU435">
        <v>0.77</v>
      </c>
      <c r="AV435">
        <v>2013</v>
      </c>
      <c r="AW435" s="1">
        <v>45753</v>
      </c>
      <c r="AX435">
        <v>29.5</v>
      </c>
      <c r="AY435" t="s">
        <v>45</v>
      </c>
      <c r="AZ435" t="s">
        <v>17</v>
      </c>
      <c r="BA435" t="s">
        <v>122</v>
      </c>
      <c r="BB435" t="s">
        <v>7</v>
      </c>
      <c r="BC435" t="s">
        <v>13</v>
      </c>
      <c r="BD435">
        <v>4</v>
      </c>
      <c r="BE435" t="s">
        <v>14</v>
      </c>
      <c r="BF435">
        <v>1.38</v>
      </c>
    </row>
    <row r="436" spans="1:58" hidden="1" x14ac:dyDescent="0.2">
      <c r="A436">
        <v>435</v>
      </c>
      <c r="B436" t="s">
        <v>0</v>
      </c>
      <c r="C436">
        <v>37</v>
      </c>
      <c r="D436" t="s">
        <v>28</v>
      </c>
      <c r="E436" t="s">
        <v>128</v>
      </c>
      <c r="F436" t="s">
        <v>3</v>
      </c>
      <c r="G436" t="s">
        <v>38</v>
      </c>
      <c r="H436" t="s">
        <v>23</v>
      </c>
      <c r="I436" t="s">
        <v>115</v>
      </c>
      <c r="J436" t="s">
        <v>32</v>
      </c>
      <c r="K436" t="s">
        <v>7</v>
      </c>
      <c r="L436">
        <v>4</v>
      </c>
      <c r="M436">
        <v>6.2</v>
      </c>
      <c r="N436" t="s">
        <v>29</v>
      </c>
      <c r="O436" t="s">
        <v>7</v>
      </c>
      <c r="P436" t="s">
        <v>26</v>
      </c>
      <c r="Q436">
        <v>33</v>
      </c>
      <c r="R436">
        <v>10</v>
      </c>
      <c r="S436">
        <v>20.9</v>
      </c>
      <c r="T436">
        <v>148</v>
      </c>
      <c r="U436">
        <v>77</v>
      </c>
      <c r="V436">
        <v>8060</v>
      </c>
      <c r="W436">
        <v>40.9</v>
      </c>
      <c r="X436">
        <v>2</v>
      </c>
      <c r="Y436">
        <v>2</v>
      </c>
      <c r="Z436">
        <v>8</v>
      </c>
      <c r="AA436">
        <v>3.5</v>
      </c>
      <c r="AB436">
        <v>1</v>
      </c>
      <c r="AC436">
        <v>259</v>
      </c>
      <c r="AD436">
        <v>23</v>
      </c>
      <c r="AE436">
        <v>6</v>
      </c>
      <c r="AF436">
        <v>199</v>
      </c>
      <c r="AG436">
        <v>150</v>
      </c>
      <c r="AH436">
        <v>138</v>
      </c>
      <c r="AI436">
        <v>39</v>
      </c>
      <c r="AJ436">
        <v>32</v>
      </c>
      <c r="AK436">
        <v>32</v>
      </c>
      <c r="AL436">
        <v>34</v>
      </c>
      <c r="AM436">
        <v>10</v>
      </c>
      <c r="AN436">
        <v>146</v>
      </c>
      <c r="AO436">
        <v>62</v>
      </c>
      <c r="AP436">
        <v>59</v>
      </c>
      <c r="AQ436">
        <v>55</v>
      </c>
      <c r="AR436">
        <v>2021</v>
      </c>
      <c r="AS436">
        <v>1972</v>
      </c>
      <c r="AT436" t="s">
        <v>13</v>
      </c>
      <c r="AU436">
        <v>0.19</v>
      </c>
      <c r="AV436">
        <v>2012</v>
      </c>
      <c r="AW436" s="1">
        <v>45728</v>
      </c>
      <c r="AX436">
        <v>11.3</v>
      </c>
      <c r="AY436" t="s">
        <v>27</v>
      </c>
      <c r="AZ436" t="s">
        <v>31</v>
      </c>
      <c r="BA436" t="s">
        <v>12</v>
      </c>
      <c r="BB436" t="s">
        <v>13</v>
      </c>
      <c r="BC436" t="s">
        <v>7</v>
      </c>
      <c r="BD436">
        <v>1</v>
      </c>
      <c r="BE436" t="s">
        <v>49</v>
      </c>
      <c r="BF436">
        <v>0.9</v>
      </c>
    </row>
    <row r="437" spans="1:58" hidden="1" x14ac:dyDescent="0.2">
      <c r="A437">
        <v>436</v>
      </c>
      <c r="B437" t="s">
        <v>0</v>
      </c>
      <c r="C437">
        <v>36</v>
      </c>
      <c r="D437" t="s">
        <v>28</v>
      </c>
      <c r="E437" t="s">
        <v>50</v>
      </c>
      <c r="F437" t="s">
        <v>15</v>
      </c>
      <c r="G437" t="s">
        <v>16</v>
      </c>
      <c r="H437" t="s">
        <v>34</v>
      </c>
      <c r="I437" t="s">
        <v>113</v>
      </c>
      <c r="J437" t="s">
        <v>123</v>
      </c>
      <c r="K437" t="s">
        <v>13</v>
      </c>
      <c r="L437">
        <v>4.8</v>
      </c>
      <c r="M437">
        <v>8.1999999999999993</v>
      </c>
      <c r="N437" t="s">
        <v>8</v>
      </c>
      <c r="O437" t="s">
        <v>41</v>
      </c>
      <c r="P437" t="s">
        <v>46</v>
      </c>
      <c r="Q437">
        <v>28</v>
      </c>
      <c r="R437">
        <v>2</v>
      </c>
      <c r="S437">
        <v>28.3</v>
      </c>
      <c r="T437">
        <v>122</v>
      </c>
      <c r="U437">
        <v>65</v>
      </c>
      <c r="V437">
        <v>8100</v>
      </c>
      <c r="W437">
        <v>30.5</v>
      </c>
      <c r="X437">
        <v>5</v>
      </c>
      <c r="Y437">
        <v>5</v>
      </c>
      <c r="Z437">
        <v>9</v>
      </c>
      <c r="AA437">
        <v>3.2</v>
      </c>
      <c r="AB437">
        <v>4</v>
      </c>
      <c r="AC437">
        <v>289</v>
      </c>
      <c r="AD437">
        <v>23</v>
      </c>
      <c r="AE437">
        <v>7</v>
      </c>
      <c r="AF437">
        <v>221</v>
      </c>
      <c r="AG437">
        <v>150</v>
      </c>
      <c r="AH437">
        <v>170</v>
      </c>
      <c r="AI437">
        <v>58</v>
      </c>
      <c r="AJ437">
        <v>51</v>
      </c>
      <c r="AK437">
        <v>40</v>
      </c>
      <c r="AL437">
        <v>28</v>
      </c>
      <c r="AM437">
        <v>9</v>
      </c>
      <c r="AN437">
        <v>118</v>
      </c>
      <c r="AO437">
        <v>73</v>
      </c>
      <c r="AP437">
        <v>60</v>
      </c>
      <c r="AQ437">
        <v>77</v>
      </c>
      <c r="AR437">
        <v>195</v>
      </c>
      <c r="AS437">
        <v>265</v>
      </c>
      <c r="AT437" t="s">
        <v>7</v>
      </c>
      <c r="AU437">
        <v>0.42</v>
      </c>
      <c r="AV437">
        <v>2017</v>
      </c>
      <c r="AW437" s="1">
        <v>45943</v>
      </c>
      <c r="AX437">
        <v>12.6</v>
      </c>
      <c r="AY437" t="s">
        <v>10</v>
      </c>
      <c r="AZ437" t="s">
        <v>48</v>
      </c>
      <c r="BA437" t="s">
        <v>122</v>
      </c>
      <c r="BB437" t="s">
        <v>13</v>
      </c>
      <c r="BC437" t="s">
        <v>7</v>
      </c>
      <c r="BD437">
        <v>4</v>
      </c>
      <c r="BE437" t="s">
        <v>43</v>
      </c>
      <c r="BF437">
        <v>1.06</v>
      </c>
    </row>
    <row r="438" spans="1:58" hidden="1" x14ac:dyDescent="0.2">
      <c r="A438">
        <v>437</v>
      </c>
      <c r="B438" t="s">
        <v>0</v>
      </c>
      <c r="C438">
        <v>25</v>
      </c>
      <c r="D438" t="s">
        <v>28</v>
      </c>
      <c r="E438" t="s">
        <v>126</v>
      </c>
      <c r="F438" t="s">
        <v>40</v>
      </c>
      <c r="G438" t="s">
        <v>38</v>
      </c>
      <c r="H438" t="s">
        <v>118</v>
      </c>
      <c r="I438" t="s">
        <v>114</v>
      </c>
      <c r="J438" t="s">
        <v>123</v>
      </c>
      <c r="K438" t="s">
        <v>7</v>
      </c>
      <c r="L438">
        <v>9</v>
      </c>
      <c r="M438">
        <v>6.6</v>
      </c>
      <c r="N438" t="s">
        <v>8</v>
      </c>
      <c r="O438" t="s">
        <v>7</v>
      </c>
      <c r="P438" t="s">
        <v>26</v>
      </c>
      <c r="Q438">
        <v>21</v>
      </c>
      <c r="R438">
        <v>4</v>
      </c>
      <c r="S438">
        <v>27.7</v>
      </c>
      <c r="T438">
        <v>140</v>
      </c>
      <c r="U438">
        <v>67</v>
      </c>
      <c r="V438">
        <v>8008</v>
      </c>
      <c r="W438">
        <v>12.1</v>
      </c>
      <c r="X438">
        <v>2</v>
      </c>
      <c r="Y438">
        <v>4</v>
      </c>
      <c r="Z438">
        <v>16</v>
      </c>
      <c r="AA438">
        <v>2.8</v>
      </c>
      <c r="AB438">
        <v>4</v>
      </c>
      <c r="AC438">
        <v>273</v>
      </c>
      <c r="AD438">
        <v>20</v>
      </c>
      <c r="AE438">
        <v>7</v>
      </c>
      <c r="AF438">
        <v>278</v>
      </c>
      <c r="AG438">
        <v>150</v>
      </c>
      <c r="AH438">
        <v>155</v>
      </c>
      <c r="AI438">
        <v>55</v>
      </c>
      <c r="AJ438">
        <v>30</v>
      </c>
      <c r="AK438">
        <v>37</v>
      </c>
      <c r="AL438">
        <v>25</v>
      </c>
      <c r="AM438">
        <v>4</v>
      </c>
      <c r="AN438">
        <v>126</v>
      </c>
      <c r="AO438">
        <v>61</v>
      </c>
      <c r="AP438">
        <v>31</v>
      </c>
      <c r="AQ438">
        <v>102</v>
      </c>
      <c r="AR438">
        <v>1095</v>
      </c>
      <c r="AS438">
        <v>2298</v>
      </c>
      <c r="AT438" t="s">
        <v>13</v>
      </c>
      <c r="AU438">
        <v>0.7</v>
      </c>
      <c r="AV438">
        <v>2021</v>
      </c>
      <c r="AW438" s="1">
        <v>45893</v>
      </c>
      <c r="AX438">
        <v>13.6</v>
      </c>
      <c r="AY438" t="s">
        <v>27</v>
      </c>
      <c r="AZ438" t="s">
        <v>37</v>
      </c>
      <c r="BA438" t="s">
        <v>122</v>
      </c>
      <c r="BB438" t="s">
        <v>13</v>
      </c>
      <c r="BC438" t="s">
        <v>7</v>
      </c>
      <c r="BD438">
        <v>0</v>
      </c>
      <c r="BE438" t="s">
        <v>14</v>
      </c>
      <c r="BF438">
        <v>1.04</v>
      </c>
    </row>
    <row r="439" spans="1:58" hidden="1" x14ac:dyDescent="0.2">
      <c r="A439">
        <v>438</v>
      </c>
      <c r="B439" t="s">
        <v>0</v>
      </c>
      <c r="C439">
        <v>19</v>
      </c>
      <c r="D439" t="s">
        <v>1</v>
      </c>
      <c r="E439" t="s">
        <v>127</v>
      </c>
      <c r="F439" t="s">
        <v>40</v>
      </c>
      <c r="G439" t="s">
        <v>116</v>
      </c>
      <c r="H439" t="s">
        <v>23</v>
      </c>
      <c r="I439" t="s">
        <v>115</v>
      </c>
      <c r="J439" t="s">
        <v>32</v>
      </c>
      <c r="K439" t="s">
        <v>7</v>
      </c>
      <c r="L439">
        <v>10.5</v>
      </c>
      <c r="M439">
        <v>9</v>
      </c>
      <c r="N439" t="s">
        <v>29</v>
      </c>
      <c r="O439" t="s">
        <v>7</v>
      </c>
      <c r="P439" t="s">
        <v>46</v>
      </c>
      <c r="Q439">
        <v>8</v>
      </c>
      <c r="R439">
        <v>9</v>
      </c>
      <c r="S439">
        <v>31.7</v>
      </c>
      <c r="T439">
        <v>117</v>
      </c>
      <c r="U439">
        <v>72</v>
      </c>
      <c r="V439">
        <v>8058</v>
      </c>
      <c r="W439">
        <v>50.1</v>
      </c>
      <c r="X439">
        <v>2</v>
      </c>
      <c r="Y439">
        <v>5</v>
      </c>
      <c r="Z439">
        <v>7</v>
      </c>
      <c r="AA439">
        <v>5.6</v>
      </c>
      <c r="AB439">
        <v>4</v>
      </c>
      <c r="AC439">
        <v>5</v>
      </c>
      <c r="AD439">
        <v>1</v>
      </c>
      <c r="AE439">
        <v>5</v>
      </c>
      <c r="AF439">
        <v>120</v>
      </c>
      <c r="AG439">
        <v>23</v>
      </c>
      <c r="AH439">
        <v>31</v>
      </c>
      <c r="AI439">
        <v>3</v>
      </c>
      <c r="AJ439">
        <v>10</v>
      </c>
      <c r="AK439">
        <v>9</v>
      </c>
      <c r="AL439">
        <v>3</v>
      </c>
      <c r="AM439">
        <v>0</v>
      </c>
      <c r="AN439">
        <v>2</v>
      </c>
      <c r="AO439">
        <v>1</v>
      </c>
      <c r="AP439">
        <v>1</v>
      </c>
      <c r="AQ439">
        <v>2</v>
      </c>
      <c r="AR439">
        <v>3749</v>
      </c>
      <c r="AS439">
        <v>4187</v>
      </c>
      <c r="AT439" t="s">
        <v>7</v>
      </c>
      <c r="AU439">
        <v>0.34</v>
      </c>
      <c r="AV439">
        <v>2021</v>
      </c>
      <c r="AW439" s="1">
        <v>45773</v>
      </c>
      <c r="AX439">
        <v>5</v>
      </c>
      <c r="AY439" t="s">
        <v>19</v>
      </c>
      <c r="AZ439" t="s">
        <v>11</v>
      </c>
      <c r="BA439" t="s">
        <v>12</v>
      </c>
      <c r="BB439" t="s">
        <v>7</v>
      </c>
      <c r="BC439" t="s">
        <v>13</v>
      </c>
      <c r="BD439">
        <v>1</v>
      </c>
      <c r="BE439" t="s">
        <v>49</v>
      </c>
      <c r="BF439">
        <v>8.67</v>
      </c>
    </row>
    <row r="440" spans="1:58" hidden="1" x14ac:dyDescent="0.2">
      <c r="A440">
        <v>439</v>
      </c>
      <c r="B440" t="s">
        <v>0</v>
      </c>
      <c r="C440">
        <v>48</v>
      </c>
      <c r="D440" t="s">
        <v>1</v>
      </c>
      <c r="E440" t="s">
        <v>128</v>
      </c>
      <c r="F440" t="s">
        <v>40</v>
      </c>
      <c r="G440" t="s">
        <v>117</v>
      </c>
      <c r="H440" t="s">
        <v>34</v>
      </c>
      <c r="I440" t="s">
        <v>115</v>
      </c>
      <c r="J440" t="s">
        <v>6</v>
      </c>
      <c r="K440" t="s">
        <v>7</v>
      </c>
      <c r="L440">
        <v>9.1</v>
      </c>
      <c r="M440">
        <v>7.6</v>
      </c>
      <c r="N440" t="s">
        <v>29</v>
      </c>
      <c r="O440" t="s">
        <v>7</v>
      </c>
      <c r="P440" t="s">
        <v>9</v>
      </c>
      <c r="Q440">
        <v>31</v>
      </c>
      <c r="R440">
        <v>8</v>
      </c>
      <c r="S440">
        <v>18.5</v>
      </c>
      <c r="T440">
        <v>111</v>
      </c>
      <c r="U440">
        <v>79</v>
      </c>
      <c r="V440">
        <v>8067</v>
      </c>
      <c r="W440">
        <v>53</v>
      </c>
      <c r="X440">
        <v>2</v>
      </c>
      <c r="Y440">
        <v>3</v>
      </c>
      <c r="Z440">
        <v>9</v>
      </c>
      <c r="AA440">
        <v>4.5</v>
      </c>
      <c r="AB440">
        <v>2</v>
      </c>
      <c r="AC440">
        <v>133</v>
      </c>
      <c r="AD440">
        <v>4</v>
      </c>
      <c r="AE440">
        <v>4</v>
      </c>
      <c r="AF440">
        <v>131</v>
      </c>
      <c r="AG440">
        <v>78</v>
      </c>
      <c r="AH440">
        <v>85</v>
      </c>
      <c r="AI440">
        <v>18</v>
      </c>
      <c r="AJ440">
        <v>28</v>
      </c>
      <c r="AK440">
        <v>27</v>
      </c>
      <c r="AL440">
        <v>19</v>
      </c>
      <c r="AM440">
        <v>3</v>
      </c>
      <c r="AN440">
        <v>60</v>
      </c>
      <c r="AO440">
        <v>27</v>
      </c>
      <c r="AP440">
        <v>13</v>
      </c>
      <c r="AQ440">
        <v>44</v>
      </c>
      <c r="AR440">
        <v>5070</v>
      </c>
      <c r="AS440">
        <v>7336</v>
      </c>
      <c r="AT440" t="s">
        <v>7</v>
      </c>
      <c r="AU440">
        <v>0.25</v>
      </c>
      <c r="AV440">
        <v>2021</v>
      </c>
      <c r="AW440" s="1">
        <v>45906</v>
      </c>
      <c r="AX440">
        <v>33.200000000000003</v>
      </c>
      <c r="AY440" t="s">
        <v>10</v>
      </c>
      <c r="AZ440" t="s">
        <v>51</v>
      </c>
      <c r="BA440" t="s">
        <v>12</v>
      </c>
      <c r="BB440" t="s">
        <v>7</v>
      </c>
      <c r="BC440" t="s">
        <v>7</v>
      </c>
      <c r="BD440">
        <v>2</v>
      </c>
      <c r="BE440" t="s">
        <v>14</v>
      </c>
      <c r="BF440">
        <v>0.99</v>
      </c>
    </row>
    <row r="441" spans="1:58" hidden="1" x14ac:dyDescent="0.2">
      <c r="A441">
        <v>440</v>
      </c>
      <c r="B441" t="s">
        <v>0</v>
      </c>
      <c r="C441">
        <v>57</v>
      </c>
      <c r="D441" t="s">
        <v>28</v>
      </c>
      <c r="E441" t="s">
        <v>2</v>
      </c>
      <c r="F441" t="s">
        <v>15</v>
      </c>
      <c r="G441" t="s">
        <v>38</v>
      </c>
      <c r="H441" t="s">
        <v>118</v>
      </c>
      <c r="I441" t="s">
        <v>112</v>
      </c>
      <c r="J441" t="s">
        <v>32</v>
      </c>
      <c r="K441" t="s">
        <v>7</v>
      </c>
      <c r="L441">
        <v>1.5</v>
      </c>
      <c r="M441">
        <v>6.3</v>
      </c>
      <c r="N441" t="s">
        <v>8</v>
      </c>
      <c r="O441" t="s">
        <v>13</v>
      </c>
      <c r="P441" t="s">
        <v>9</v>
      </c>
      <c r="Q441">
        <v>18</v>
      </c>
      <c r="R441">
        <v>8</v>
      </c>
      <c r="S441">
        <v>29.2</v>
      </c>
      <c r="T441">
        <v>159</v>
      </c>
      <c r="U441">
        <v>68</v>
      </c>
      <c r="V441">
        <v>8032</v>
      </c>
      <c r="W441">
        <v>27.5</v>
      </c>
      <c r="X441">
        <v>2</v>
      </c>
      <c r="Y441">
        <v>2</v>
      </c>
      <c r="Z441">
        <v>5</v>
      </c>
      <c r="AA441">
        <v>4.3</v>
      </c>
      <c r="AB441">
        <v>2</v>
      </c>
      <c r="AC441">
        <v>97</v>
      </c>
      <c r="AD441">
        <v>11</v>
      </c>
      <c r="AE441">
        <v>2</v>
      </c>
      <c r="AF441">
        <v>105</v>
      </c>
      <c r="AG441">
        <v>72</v>
      </c>
      <c r="AH441">
        <v>76</v>
      </c>
      <c r="AI441">
        <v>19</v>
      </c>
      <c r="AJ441">
        <v>16</v>
      </c>
      <c r="AK441">
        <v>15</v>
      </c>
      <c r="AL441">
        <v>13</v>
      </c>
      <c r="AM441">
        <v>3</v>
      </c>
      <c r="AN441">
        <v>54</v>
      </c>
      <c r="AO441">
        <v>17</v>
      </c>
      <c r="AP441">
        <v>21</v>
      </c>
      <c r="AQ441">
        <v>38</v>
      </c>
      <c r="AR441">
        <v>744</v>
      </c>
      <c r="AS441">
        <v>1170</v>
      </c>
      <c r="AT441" t="s">
        <v>13</v>
      </c>
      <c r="AU441">
        <v>0.02</v>
      </c>
      <c r="AV441">
        <v>2016</v>
      </c>
      <c r="AW441" s="1">
        <v>45706</v>
      </c>
      <c r="AX441">
        <v>8.8000000000000007</v>
      </c>
      <c r="AY441" t="s">
        <v>27</v>
      </c>
      <c r="AZ441" t="s">
        <v>20</v>
      </c>
      <c r="BA441" t="s">
        <v>12</v>
      </c>
      <c r="BB441" t="s">
        <v>7</v>
      </c>
      <c r="BC441" t="s">
        <v>13</v>
      </c>
      <c r="BD441">
        <v>1</v>
      </c>
      <c r="BE441" t="s">
        <v>14</v>
      </c>
      <c r="BF441">
        <v>1.22</v>
      </c>
    </row>
    <row r="442" spans="1:58" hidden="1" x14ac:dyDescent="0.2">
      <c r="A442">
        <v>441</v>
      </c>
      <c r="B442" t="s">
        <v>0</v>
      </c>
      <c r="C442">
        <v>32</v>
      </c>
      <c r="D442" t="s">
        <v>1</v>
      </c>
      <c r="E442" t="s">
        <v>17</v>
      </c>
      <c r="F442" t="s">
        <v>40</v>
      </c>
      <c r="G442" t="s">
        <v>117</v>
      </c>
      <c r="H442" t="s">
        <v>23</v>
      </c>
      <c r="I442" t="s">
        <v>112</v>
      </c>
      <c r="J442" t="s">
        <v>32</v>
      </c>
      <c r="K442" t="s">
        <v>13</v>
      </c>
      <c r="L442">
        <v>0.6</v>
      </c>
      <c r="M442">
        <v>7.7</v>
      </c>
      <c r="N442" t="s">
        <v>29</v>
      </c>
      <c r="O442" t="s">
        <v>7</v>
      </c>
      <c r="P442" t="s">
        <v>26</v>
      </c>
      <c r="Q442">
        <v>38</v>
      </c>
      <c r="R442">
        <v>5</v>
      </c>
      <c r="S442">
        <v>32.5</v>
      </c>
      <c r="T442">
        <v>104</v>
      </c>
      <c r="U442">
        <v>71</v>
      </c>
      <c r="V442">
        <v>8111</v>
      </c>
      <c r="W442">
        <v>44.1</v>
      </c>
      <c r="X442">
        <v>2</v>
      </c>
      <c r="Y442">
        <v>7</v>
      </c>
      <c r="Z442">
        <v>6</v>
      </c>
      <c r="AA442">
        <v>3.1</v>
      </c>
      <c r="AB442">
        <v>4</v>
      </c>
      <c r="AC442">
        <v>377</v>
      </c>
      <c r="AD442">
        <v>15</v>
      </c>
      <c r="AE442">
        <v>7</v>
      </c>
      <c r="AF442">
        <v>298</v>
      </c>
      <c r="AG442">
        <v>150</v>
      </c>
      <c r="AH442">
        <v>216</v>
      </c>
      <c r="AI442">
        <v>65</v>
      </c>
      <c r="AJ442">
        <v>43</v>
      </c>
      <c r="AK442">
        <v>57</v>
      </c>
      <c r="AL442">
        <v>33</v>
      </c>
      <c r="AM442">
        <v>8</v>
      </c>
      <c r="AN442">
        <v>160</v>
      </c>
      <c r="AO442">
        <v>84</v>
      </c>
      <c r="AP442">
        <v>46</v>
      </c>
      <c r="AQ442">
        <v>135</v>
      </c>
      <c r="AR442">
        <v>648</v>
      </c>
      <c r="AS442">
        <v>893</v>
      </c>
      <c r="AT442" t="s">
        <v>7</v>
      </c>
      <c r="AU442">
        <v>0.46</v>
      </c>
      <c r="AV442">
        <v>2024</v>
      </c>
      <c r="AW442" s="1">
        <v>45890</v>
      </c>
      <c r="AX442">
        <v>25.1</v>
      </c>
      <c r="AY442" t="s">
        <v>10</v>
      </c>
      <c r="AZ442" t="s">
        <v>31</v>
      </c>
      <c r="BA442" t="s">
        <v>12</v>
      </c>
      <c r="BB442" t="s">
        <v>7</v>
      </c>
      <c r="BC442" t="s">
        <v>7</v>
      </c>
      <c r="BD442">
        <v>2</v>
      </c>
      <c r="BE442" t="s">
        <v>14</v>
      </c>
      <c r="BF442">
        <v>0.97</v>
      </c>
    </row>
    <row r="443" spans="1:58" hidden="1" x14ac:dyDescent="0.2">
      <c r="A443">
        <v>442</v>
      </c>
      <c r="B443" t="s">
        <v>0</v>
      </c>
      <c r="C443">
        <v>13</v>
      </c>
      <c r="D443" t="s">
        <v>1</v>
      </c>
      <c r="E443" t="s">
        <v>127</v>
      </c>
      <c r="F443" t="s">
        <v>15</v>
      </c>
      <c r="G443" t="s">
        <v>117</v>
      </c>
      <c r="H443" t="s">
        <v>118</v>
      </c>
      <c r="I443" t="s">
        <v>112</v>
      </c>
      <c r="J443" t="s">
        <v>18</v>
      </c>
      <c r="K443" t="s">
        <v>13</v>
      </c>
      <c r="L443">
        <v>4.5999999999999996</v>
      </c>
      <c r="M443">
        <v>6.3</v>
      </c>
      <c r="N443" t="s">
        <v>29</v>
      </c>
      <c r="O443" t="s">
        <v>13</v>
      </c>
      <c r="P443" t="s">
        <v>26</v>
      </c>
      <c r="Q443">
        <v>27</v>
      </c>
      <c r="R443">
        <v>6</v>
      </c>
      <c r="S443">
        <v>32.5</v>
      </c>
      <c r="T443">
        <v>116</v>
      </c>
      <c r="U443">
        <v>69</v>
      </c>
      <c r="V443">
        <v>8095</v>
      </c>
      <c r="W443">
        <v>39</v>
      </c>
      <c r="X443">
        <v>2</v>
      </c>
      <c r="Y443">
        <v>4</v>
      </c>
      <c r="Z443">
        <v>9</v>
      </c>
      <c r="AA443">
        <v>3.7</v>
      </c>
      <c r="AB443">
        <v>1</v>
      </c>
      <c r="AC443">
        <v>269</v>
      </c>
      <c r="AD443">
        <v>10</v>
      </c>
      <c r="AE443">
        <v>12</v>
      </c>
      <c r="AF443">
        <v>278</v>
      </c>
      <c r="AG443">
        <v>110</v>
      </c>
      <c r="AH443">
        <v>183</v>
      </c>
      <c r="AI443">
        <v>49</v>
      </c>
      <c r="AJ443">
        <v>23</v>
      </c>
      <c r="AK443">
        <v>42</v>
      </c>
      <c r="AL443">
        <v>22</v>
      </c>
      <c r="AM443">
        <v>5</v>
      </c>
      <c r="AN443">
        <v>126</v>
      </c>
      <c r="AO443">
        <v>67</v>
      </c>
      <c r="AP443">
        <v>59</v>
      </c>
      <c r="AQ443">
        <v>83</v>
      </c>
      <c r="AR443">
        <v>3705</v>
      </c>
      <c r="AS443">
        <v>6860</v>
      </c>
      <c r="AT443" t="s">
        <v>7</v>
      </c>
      <c r="AU443">
        <v>0.55000000000000004</v>
      </c>
      <c r="AV443">
        <v>2021</v>
      </c>
      <c r="AW443" s="1">
        <v>45861</v>
      </c>
      <c r="AX443">
        <v>26.9</v>
      </c>
      <c r="AY443" t="s">
        <v>30</v>
      </c>
      <c r="AZ443" t="s">
        <v>31</v>
      </c>
      <c r="BA443" t="s">
        <v>21</v>
      </c>
      <c r="BB443" t="s">
        <v>7</v>
      </c>
      <c r="BC443" t="s">
        <v>7</v>
      </c>
      <c r="BD443">
        <v>1</v>
      </c>
      <c r="BE443" t="s">
        <v>14</v>
      </c>
      <c r="BF443">
        <v>1.17</v>
      </c>
    </row>
    <row r="444" spans="1:58" hidden="1" x14ac:dyDescent="0.2">
      <c r="A444">
        <v>443</v>
      </c>
      <c r="B444" t="s">
        <v>0</v>
      </c>
      <c r="C444">
        <v>20</v>
      </c>
      <c r="D444" t="s">
        <v>28</v>
      </c>
      <c r="E444" t="s">
        <v>33</v>
      </c>
      <c r="F444" t="s">
        <v>15</v>
      </c>
      <c r="G444" t="s">
        <v>38</v>
      </c>
      <c r="H444" t="s">
        <v>23</v>
      </c>
      <c r="I444" t="s">
        <v>112</v>
      </c>
      <c r="J444" t="s">
        <v>32</v>
      </c>
      <c r="K444" t="s">
        <v>7</v>
      </c>
      <c r="L444">
        <v>10.9</v>
      </c>
      <c r="M444">
        <v>7.5</v>
      </c>
      <c r="N444" t="s">
        <v>39</v>
      </c>
      <c r="O444" t="s">
        <v>41</v>
      </c>
      <c r="P444" t="s">
        <v>26</v>
      </c>
      <c r="Q444">
        <v>18</v>
      </c>
      <c r="R444">
        <v>7</v>
      </c>
      <c r="S444">
        <v>36.299999999999997</v>
      </c>
      <c r="T444">
        <v>136</v>
      </c>
      <c r="U444">
        <v>72</v>
      </c>
      <c r="V444">
        <v>8138</v>
      </c>
      <c r="W444">
        <v>49</v>
      </c>
      <c r="X444">
        <v>3</v>
      </c>
      <c r="Y444">
        <v>5</v>
      </c>
      <c r="Z444">
        <v>4</v>
      </c>
      <c r="AA444">
        <v>9.6</v>
      </c>
      <c r="AB444">
        <v>5</v>
      </c>
      <c r="AC444">
        <v>180</v>
      </c>
      <c r="AD444">
        <v>6</v>
      </c>
      <c r="AE444">
        <v>8</v>
      </c>
      <c r="AF444">
        <v>240</v>
      </c>
      <c r="AG444">
        <v>102</v>
      </c>
      <c r="AH444">
        <v>125</v>
      </c>
      <c r="AI444">
        <v>29</v>
      </c>
      <c r="AJ444">
        <v>23</v>
      </c>
      <c r="AK444">
        <v>27</v>
      </c>
      <c r="AL444">
        <v>26</v>
      </c>
      <c r="AM444">
        <v>9</v>
      </c>
      <c r="AN444">
        <v>101</v>
      </c>
      <c r="AO444">
        <v>39</v>
      </c>
      <c r="AP444">
        <v>36</v>
      </c>
      <c r="AQ444">
        <v>55</v>
      </c>
      <c r="AR444">
        <v>556</v>
      </c>
      <c r="AS444">
        <v>632</v>
      </c>
      <c r="AT444" t="s">
        <v>7</v>
      </c>
      <c r="AU444">
        <v>0.71</v>
      </c>
      <c r="AV444">
        <v>2014</v>
      </c>
      <c r="AW444" s="1">
        <v>45699</v>
      </c>
      <c r="AX444">
        <v>30</v>
      </c>
      <c r="AY444" t="s">
        <v>19</v>
      </c>
      <c r="AZ444" t="s">
        <v>35</v>
      </c>
      <c r="BA444" t="s">
        <v>12</v>
      </c>
      <c r="BB444" t="s">
        <v>7</v>
      </c>
      <c r="BC444" t="s">
        <v>13</v>
      </c>
      <c r="BD444">
        <v>0</v>
      </c>
      <c r="BE444" t="s">
        <v>49</v>
      </c>
      <c r="BF444">
        <v>1.1399999999999999</v>
      </c>
    </row>
    <row r="445" spans="1:58" hidden="1" x14ac:dyDescent="0.2">
      <c r="A445">
        <v>444</v>
      </c>
      <c r="B445" t="s">
        <v>0</v>
      </c>
      <c r="C445">
        <v>58</v>
      </c>
      <c r="D445" t="s">
        <v>1</v>
      </c>
      <c r="E445" t="s">
        <v>2</v>
      </c>
      <c r="F445" t="s">
        <v>15</v>
      </c>
      <c r="G445" t="s">
        <v>38</v>
      </c>
      <c r="H445" t="s">
        <v>118</v>
      </c>
      <c r="I445" t="s">
        <v>112</v>
      </c>
      <c r="J445" t="s">
        <v>6</v>
      </c>
      <c r="K445" t="s">
        <v>13</v>
      </c>
      <c r="L445">
        <v>8.3000000000000007</v>
      </c>
      <c r="M445">
        <v>7.4</v>
      </c>
      <c r="N445" t="s">
        <v>8</v>
      </c>
      <c r="O445" t="s">
        <v>7</v>
      </c>
      <c r="P445" t="s">
        <v>9</v>
      </c>
      <c r="Q445">
        <v>31</v>
      </c>
      <c r="R445">
        <v>5</v>
      </c>
      <c r="S445">
        <v>29</v>
      </c>
      <c r="T445">
        <v>116</v>
      </c>
      <c r="U445">
        <v>95</v>
      </c>
      <c r="V445">
        <v>8002</v>
      </c>
      <c r="W445">
        <v>59</v>
      </c>
      <c r="X445">
        <v>2</v>
      </c>
      <c r="Y445">
        <v>10</v>
      </c>
      <c r="Z445">
        <v>9</v>
      </c>
      <c r="AA445">
        <v>2.2000000000000002</v>
      </c>
      <c r="AB445">
        <v>1</v>
      </c>
      <c r="AC445">
        <v>260</v>
      </c>
      <c r="AD445">
        <v>8</v>
      </c>
      <c r="AE445">
        <v>6</v>
      </c>
      <c r="AF445">
        <v>174</v>
      </c>
      <c r="AG445">
        <v>140</v>
      </c>
      <c r="AH445">
        <v>182</v>
      </c>
      <c r="AI445">
        <v>44</v>
      </c>
      <c r="AJ445">
        <v>41</v>
      </c>
      <c r="AK445">
        <v>45</v>
      </c>
      <c r="AL445">
        <v>29</v>
      </c>
      <c r="AM445">
        <v>5</v>
      </c>
      <c r="AN445">
        <v>137</v>
      </c>
      <c r="AO445">
        <v>73</v>
      </c>
      <c r="AP445">
        <v>47</v>
      </c>
      <c r="AQ445">
        <v>101</v>
      </c>
      <c r="AR445">
        <v>180</v>
      </c>
      <c r="AS445">
        <v>250</v>
      </c>
      <c r="AT445" t="s">
        <v>13</v>
      </c>
      <c r="AU445">
        <v>0.36</v>
      </c>
      <c r="AV445">
        <v>2015</v>
      </c>
      <c r="AW445" s="1">
        <v>45871</v>
      </c>
      <c r="AX445">
        <v>32.5</v>
      </c>
      <c r="AY445" t="s">
        <v>45</v>
      </c>
      <c r="AZ445" t="s">
        <v>35</v>
      </c>
      <c r="BA445" t="s">
        <v>21</v>
      </c>
      <c r="BB445" t="s">
        <v>7</v>
      </c>
      <c r="BC445" t="s">
        <v>7</v>
      </c>
      <c r="BD445">
        <v>5</v>
      </c>
      <c r="BE445" t="s">
        <v>14</v>
      </c>
      <c r="BF445">
        <v>1.1000000000000001</v>
      </c>
    </row>
    <row r="446" spans="1:58" hidden="1" x14ac:dyDescent="0.2">
      <c r="A446">
        <v>445</v>
      </c>
      <c r="B446" t="s">
        <v>0</v>
      </c>
      <c r="C446">
        <v>28</v>
      </c>
      <c r="D446" t="s">
        <v>28</v>
      </c>
      <c r="E446" t="s">
        <v>128</v>
      </c>
      <c r="F446" t="s">
        <v>40</v>
      </c>
      <c r="G446" t="s">
        <v>38</v>
      </c>
      <c r="H446" t="s">
        <v>119</v>
      </c>
      <c r="I446" t="s">
        <v>17</v>
      </c>
      <c r="J446" t="s">
        <v>6</v>
      </c>
      <c r="K446" t="s">
        <v>7</v>
      </c>
      <c r="L446">
        <v>12.6</v>
      </c>
      <c r="M446">
        <v>6.8</v>
      </c>
      <c r="N446" t="s">
        <v>8</v>
      </c>
      <c r="O446" t="s">
        <v>7</v>
      </c>
      <c r="P446" t="s">
        <v>26</v>
      </c>
      <c r="Q446">
        <v>15</v>
      </c>
      <c r="R446">
        <v>9</v>
      </c>
      <c r="S446">
        <v>25.5</v>
      </c>
      <c r="T446">
        <v>157</v>
      </c>
      <c r="U446">
        <v>97</v>
      </c>
      <c r="V446">
        <v>8247</v>
      </c>
      <c r="W446">
        <v>34</v>
      </c>
      <c r="X446">
        <v>1</v>
      </c>
      <c r="Y446">
        <v>4</v>
      </c>
      <c r="Z446">
        <v>11</v>
      </c>
      <c r="AA446">
        <v>3.5</v>
      </c>
      <c r="AB446">
        <v>2</v>
      </c>
      <c r="AC446">
        <v>159</v>
      </c>
      <c r="AD446">
        <v>5</v>
      </c>
      <c r="AE446">
        <v>4</v>
      </c>
      <c r="AF446">
        <v>204</v>
      </c>
      <c r="AG446">
        <v>85</v>
      </c>
      <c r="AH446">
        <v>109</v>
      </c>
      <c r="AI446">
        <v>30</v>
      </c>
      <c r="AJ446">
        <v>31</v>
      </c>
      <c r="AK446">
        <v>35</v>
      </c>
      <c r="AL446">
        <v>18</v>
      </c>
      <c r="AM446">
        <v>4</v>
      </c>
      <c r="AN446">
        <v>78</v>
      </c>
      <c r="AO446">
        <v>29</v>
      </c>
      <c r="AP446">
        <v>34</v>
      </c>
      <c r="AQ446">
        <v>53</v>
      </c>
      <c r="AR446">
        <v>317</v>
      </c>
      <c r="AS446">
        <v>639</v>
      </c>
      <c r="AT446" t="s">
        <v>7</v>
      </c>
      <c r="AU446">
        <v>0.01</v>
      </c>
      <c r="AV446">
        <v>2023</v>
      </c>
      <c r="AW446" s="1">
        <v>45680</v>
      </c>
      <c r="AX446">
        <v>31.8</v>
      </c>
      <c r="AY446" t="s">
        <v>27</v>
      </c>
      <c r="AZ446" t="s">
        <v>11</v>
      </c>
      <c r="BA446" t="s">
        <v>21</v>
      </c>
      <c r="BB446" t="s">
        <v>7</v>
      </c>
      <c r="BC446" t="s">
        <v>7</v>
      </c>
      <c r="BD446">
        <v>2</v>
      </c>
      <c r="BE446" t="s">
        <v>14</v>
      </c>
      <c r="BF446">
        <v>1.1299999999999999</v>
      </c>
    </row>
    <row r="447" spans="1:58" hidden="1" x14ac:dyDescent="0.2">
      <c r="A447">
        <v>446</v>
      </c>
      <c r="B447" t="s">
        <v>0</v>
      </c>
      <c r="C447">
        <v>26</v>
      </c>
      <c r="D447" t="s">
        <v>28</v>
      </c>
      <c r="E447" t="s">
        <v>128</v>
      </c>
      <c r="F447" t="s">
        <v>40</v>
      </c>
      <c r="G447" t="s">
        <v>38</v>
      </c>
      <c r="H447" t="s">
        <v>118</v>
      </c>
      <c r="I447" t="s">
        <v>114</v>
      </c>
      <c r="J447" t="s">
        <v>6</v>
      </c>
      <c r="K447" t="s">
        <v>7</v>
      </c>
      <c r="L447">
        <v>6.9</v>
      </c>
      <c r="M447">
        <v>6.8</v>
      </c>
      <c r="N447" t="s">
        <v>39</v>
      </c>
      <c r="O447" t="s">
        <v>7</v>
      </c>
      <c r="P447" t="s">
        <v>9</v>
      </c>
      <c r="Q447">
        <v>11</v>
      </c>
      <c r="R447">
        <v>1</v>
      </c>
      <c r="S447">
        <v>26.1</v>
      </c>
      <c r="T447">
        <v>129</v>
      </c>
      <c r="U447">
        <v>81</v>
      </c>
      <c r="V447">
        <v>7985</v>
      </c>
      <c r="W447">
        <v>59</v>
      </c>
      <c r="X447">
        <v>0</v>
      </c>
      <c r="Y447">
        <v>5</v>
      </c>
      <c r="Z447">
        <v>7</v>
      </c>
      <c r="AA447">
        <v>3.2</v>
      </c>
      <c r="AB447">
        <v>4</v>
      </c>
      <c r="AC447">
        <v>181</v>
      </c>
      <c r="AD447">
        <v>8</v>
      </c>
      <c r="AE447">
        <v>4</v>
      </c>
      <c r="AF447">
        <v>229</v>
      </c>
      <c r="AG447">
        <v>102</v>
      </c>
      <c r="AH447">
        <v>133</v>
      </c>
      <c r="AI447">
        <v>32</v>
      </c>
      <c r="AJ447">
        <v>37</v>
      </c>
      <c r="AK447">
        <v>32</v>
      </c>
      <c r="AL447">
        <v>28</v>
      </c>
      <c r="AM447">
        <v>5</v>
      </c>
      <c r="AN447">
        <v>107</v>
      </c>
      <c r="AO447">
        <v>36</v>
      </c>
      <c r="AP447">
        <v>33</v>
      </c>
      <c r="AQ447">
        <v>70</v>
      </c>
      <c r="AR447">
        <v>1400</v>
      </c>
      <c r="AS447">
        <v>1619</v>
      </c>
      <c r="AT447" t="s">
        <v>7</v>
      </c>
      <c r="AU447">
        <v>0.62</v>
      </c>
      <c r="AV447">
        <v>2011</v>
      </c>
      <c r="AW447" s="1">
        <v>45721</v>
      </c>
      <c r="AX447">
        <v>22.6</v>
      </c>
      <c r="AY447" t="s">
        <v>36</v>
      </c>
      <c r="AZ447" t="s">
        <v>48</v>
      </c>
      <c r="BA447" t="s">
        <v>21</v>
      </c>
      <c r="BB447" t="s">
        <v>13</v>
      </c>
      <c r="BC447" t="s">
        <v>7</v>
      </c>
      <c r="BD447">
        <v>4</v>
      </c>
      <c r="BE447" t="s">
        <v>49</v>
      </c>
      <c r="BF447">
        <v>1.1499999999999999</v>
      </c>
    </row>
    <row r="448" spans="1:58" hidden="1" x14ac:dyDescent="0.2">
      <c r="A448">
        <v>447</v>
      </c>
      <c r="B448" t="s">
        <v>0</v>
      </c>
      <c r="C448">
        <v>24</v>
      </c>
      <c r="D448" t="s">
        <v>1</v>
      </c>
      <c r="E448" t="s">
        <v>47</v>
      </c>
      <c r="F448" t="s">
        <v>40</v>
      </c>
      <c r="G448" t="s">
        <v>116</v>
      </c>
      <c r="H448" t="s">
        <v>118</v>
      </c>
      <c r="I448" t="s">
        <v>112</v>
      </c>
      <c r="J448" t="s">
        <v>32</v>
      </c>
      <c r="K448" t="s">
        <v>13</v>
      </c>
      <c r="L448">
        <v>10.199999999999999</v>
      </c>
      <c r="M448">
        <v>8.1999999999999993</v>
      </c>
      <c r="N448" t="s">
        <v>39</v>
      </c>
      <c r="O448" t="s">
        <v>41</v>
      </c>
      <c r="P448" t="s">
        <v>9</v>
      </c>
      <c r="Q448">
        <v>6</v>
      </c>
      <c r="R448">
        <v>9</v>
      </c>
      <c r="S448">
        <v>25</v>
      </c>
      <c r="T448">
        <v>112</v>
      </c>
      <c r="U448">
        <v>96</v>
      </c>
      <c r="V448">
        <v>7994</v>
      </c>
      <c r="W448">
        <v>54.1</v>
      </c>
      <c r="X448">
        <v>1</v>
      </c>
      <c r="Y448">
        <v>7</v>
      </c>
      <c r="Z448">
        <v>17</v>
      </c>
      <c r="AA448">
        <v>9.5</v>
      </c>
      <c r="AB448">
        <v>2</v>
      </c>
      <c r="AC448">
        <v>85</v>
      </c>
      <c r="AD448">
        <v>6</v>
      </c>
      <c r="AE448">
        <v>6</v>
      </c>
      <c r="AF448">
        <v>185</v>
      </c>
      <c r="AG448">
        <v>68</v>
      </c>
      <c r="AH448">
        <v>54</v>
      </c>
      <c r="AI448">
        <v>23</v>
      </c>
      <c r="AJ448">
        <v>15</v>
      </c>
      <c r="AK448">
        <v>21</v>
      </c>
      <c r="AL448">
        <v>5</v>
      </c>
      <c r="AM448">
        <v>3</v>
      </c>
      <c r="AN448">
        <v>37</v>
      </c>
      <c r="AO448">
        <v>10</v>
      </c>
      <c r="AP448">
        <v>10</v>
      </c>
      <c r="AQ448">
        <v>26</v>
      </c>
      <c r="AR448">
        <v>5037</v>
      </c>
      <c r="AS448">
        <v>4695</v>
      </c>
      <c r="AT448" t="s">
        <v>7</v>
      </c>
      <c r="AU448">
        <v>0.49</v>
      </c>
      <c r="AV448">
        <v>2010</v>
      </c>
      <c r="AW448" s="1">
        <v>45694</v>
      </c>
      <c r="AX448">
        <v>14.2</v>
      </c>
      <c r="AY448" t="s">
        <v>19</v>
      </c>
      <c r="AZ448" t="s">
        <v>35</v>
      </c>
      <c r="BA448" t="s">
        <v>21</v>
      </c>
      <c r="BB448" t="s">
        <v>7</v>
      </c>
      <c r="BC448" t="s">
        <v>13</v>
      </c>
      <c r="BD448">
        <v>2</v>
      </c>
      <c r="BE448" t="s">
        <v>14</v>
      </c>
      <c r="BF448">
        <v>1.37</v>
      </c>
    </row>
    <row r="449" spans="1:58" hidden="1" x14ac:dyDescent="0.2">
      <c r="A449">
        <v>448</v>
      </c>
      <c r="B449" t="s">
        <v>0</v>
      </c>
      <c r="C449">
        <v>63</v>
      </c>
      <c r="D449" t="s">
        <v>28</v>
      </c>
      <c r="E449" t="s">
        <v>42</v>
      </c>
      <c r="F449" t="s">
        <v>3</v>
      </c>
      <c r="G449" t="s">
        <v>38</v>
      </c>
      <c r="H449" t="s">
        <v>119</v>
      </c>
      <c r="I449" t="s">
        <v>53</v>
      </c>
      <c r="J449" t="s">
        <v>123</v>
      </c>
      <c r="K449" t="s">
        <v>7</v>
      </c>
      <c r="L449">
        <v>6.4</v>
      </c>
      <c r="M449">
        <v>6.5</v>
      </c>
      <c r="N449" t="s">
        <v>29</v>
      </c>
      <c r="O449" t="s">
        <v>7</v>
      </c>
      <c r="P449" t="s">
        <v>9</v>
      </c>
      <c r="Q449">
        <v>7</v>
      </c>
      <c r="R449">
        <v>10</v>
      </c>
      <c r="S449">
        <v>25.1</v>
      </c>
      <c r="T449">
        <v>157</v>
      </c>
      <c r="U449">
        <v>84</v>
      </c>
      <c r="V449">
        <v>7984</v>
      </c>
      <c r="W449">
        <v>40.4</v>
      </c>
      <c r="X449">
        <v>0</v>
      </c>
      <c r="Y449">
        <v>8</v>
      </c>
      <c r="Z449">
        <v>15</v>
      </c>
      <c r="AA449">
        <v>2</v>
      </c>
      <c r="AB449">
        <v>2</v>
      </c>
      <c r="AC449">
        <v>5</v>
      </c>
      <c r="AD449">
        <v>1</v>
      </c>
      <c r="AE449">
        <v>2</v>
      </c>
      <c r="AF449">
        <v>61</v>
      </c>
      <c r="AG449">
        <v>32</v>
      </c>
      <c r="AH449">
        <v>26</v>
      </c>
      <c r="AI449">
        <v>8</v>
      </c>
      <c r="AJ449">
        <v>11</v>
      </c>
      <c r="AK449">
        <v>11</v>
      </c>
      <c r="AL449">
        <v>6</v>
      </c>
      <c r="AM449">
        <v>3</v>
      </c>
      <c r="AN449">
        <v>3</v>
      </c>
      <c r="AO449">
        <v>1</v>
      </c>
      <c r="AP449">
        <v>1</v>
      </c>
      <c r="AQ449">
        <v>2</v>
      </c>
      <c r="AR449">
        <v>151</v>
      </c>
      <c r="AS449">
        <v>362</v>
      </c>
      <c r="AT449" t="s">
        <v>7</v>
      </c>
      <c r="AU449">
        <v>0.54</v>
      </c>
      <c r="AV449">
        <v>2018</v>
      </c>
      <c r="AW449" s="1">
        <v>45738</v>
      </c>
      <c r="AX449">
        <v>5</v>
      </c>
      <c r="AY449" t="s">
        <v>10</v>
      </c>
      <c r="AZ449" t="s">
        <v>31</v>
      </c>
      <c r="BA449" t="s">
        <v>12</v>
      </c>
      <c r="BB449" t="s">
        <v>13</v>
      </c>
      <c r="BC449" t="s">
        <v>13</v>
      </c>
      <c r="BD449">
        <v>2</v>
      </c>
      <c r="BE449" t="s">
        <v>14</v>
      </c>
      <c r="BF449">
        <v>8</v>
      </c>
    </row>
    <row r="450" spans="1:58" hidden="1" x14ac:dyDescent="0.2">
      <c r="A450">
        <v>449</v>
      </c>
      <c r="B450" t="s">
        <v>0</v>
      </c>
      <c r="C450">
        <v>35</v>
      </c>
      <c r="D450" t="s">
        <v>1</v>
      </c>
      <c r="E450" t="s">
        <v>127</v>
      </c>
      <c r="F450" t="s">
        <v>15</v>
      </c>
      <c r="G450" t="s">
        <v>117</v>
      </c>
      <c r="H450" t="s">
        <v>118</v>
      </c>
      <c r="I450" t="s">
        <v>114</v>
      </c>
      <c r="J450" t="s">
        <v>6</v>
      </c>
      <c r="K450" t="s">
        <v>7</v>
      </c>
      <c r="L450">
        <v>5.3</v>
      </c>
      <c r="M450">
        <v>6.5</v>
      </c>
      <c r="N450" t="s">
        <v>25</v>
      </c>
      <c r="O450" t="s">
        <v>7</v>
      </c>
      <c r="P450" t="s">
        <v>9</v>
      </c>
      <c r="Q450">
        <v>25</v>
      </c>
      <c r="R450">
        <v>5</v>
      </c>
      <c r="S450">
        <v>27.4</v>
      </c>
      <c r="T450">
        <v>146</v>
      </c>
      <c r="U450">
        <v>98</v>
      </c>
      <c r="V450">
        <v>7876</v>
      </c>
      <c r="W450">
        <v>51.9</v>
      </c>
      <c r="X450">
        <v>2</v>
      </c>
      <c r="Y450">
        <v>11</v>
      </c>
      <c r="Z450">
        <v>15</v>
      </c>
      <c r="AA450">
        <v>6.4</v>
      </c>
      <c r="AB450">
        <v>1</v>
      </c>
      <c r="AC450">
        <v>193</v>
      </c>
      <c r="AD450">
        <v>17</v>
      </c>
      <c r="AE450">
        <v>2</v>
      </c>
      <c r="AF450">
        <v>171</v>
      </c>
      <c r="AG450">
        <v>108</v>
      </c>
      <c r="AH450">
        <v>119</v>
      </c>
      <c r="AI450">
        <v>37</v>
      </c>
      <c r="AJ450">
        <v>23</v>
      </c>
      <c r="AK450">
        <v>28</v>
      </c>
      <c r="AL450">
        <v>14</v>
      </c>
      <c r="AM450">
        <v>3</v>
      </c>
      <c r="AN450">
        <v>92</v>
      </c>
      <c r="AO450">
        <v>24</v>
      </c>
      <c r="AP450">
        <v>32</v>
      </c>
      <c r="AQ450">
        <v>67</v>
      </c>
      <c r="AR450">
        <v>204</v>
      </c>
      <c r="AS450">
        <v>392</v>
      </c>
      <c r="AT450" t="s">
        <v>13</v>
      </c>
      <c r="AU450">
        <v>0.35</v>
      </c>
      <c r="AV450">
        <v>2025</v>
      </c>
      <c r="AW450" s="1">
        <v>45844</v>
      </c>
      <c r="AX450">
        <v>11.4</v>
      </c>
      <c r="AY450" t="s">
        <v>30</v>
      </c>
      <c r="AZ450" t="s">
        <v>35</v>
      </c>
      <c r="BA450" t="s">
        <v>21</v>
      </c>
      <c r="BB450" t="s">
        <v>13</v>
      </c>
      <c r="BC450" t="s">
        <v>7</v>
      </c>
      <c r="BD450">
        <v>4</v>
      </c>
      <c r="BE450" t="s">
        <v>49</v>
      </c>
      <c r="BF450">
        <v>1.03</v>
      </c>
    </row>
    <row r="451" spans="1:58" hidden="1" x14ac:dyDescent="0.2">
      <c r="A451">
        <v>450</v>
      </c>
      <c r="B451" t="s">
        <v>0</v>
      </c>
      <c r="C451">
        <v>27</v>
      </c>
      <c r="D451" t="s">
        <v>1</v>
      </c>
      <c r="E451" t="s">
        <v>128</v>
      </c>
      <c r="F451" t="s">
        <v>40</v>
      </c>
      <c r="G451" t="s">
        <v>116</v>
      </c>
      <c r="H451" t="s">
        <v>118</v>
      </c>
      <c r="I451" t="s">
        <v>112</v>
      </c>
      <c r="J451" t="s">
        <v>123</v>
      </c>
      <c r="K451" t="s">
        <v>7</v>
      </c>
      <c r="L451">
        <v>1.9</v>
      </c>
      <c r="M451">
        <v>6.2</v>
      </c>
      <c r="N451" t="s">
        <v>29</v>
      </c>
      <c r="O451" t="s">
        <v>7</v>
      </c>
      <c r="P451" t="s">
        <v>26</v>
      </c>
      <c r="Q451">
        <v>16</v>
      </c>
      <c r="R451">
        <v>8</v>
      </c>
      <c r="S451">
        <v>26.8</v>
      </c>
      <c r="T451">
        <v>159</v>
      </c>
      <c r="U451">
        <v>95</v>
      </c>
      <c r="V451">
        <v>8045</v>
      </c>
      <c r="W451">
        <v>37.799999999999997</v>
      </c>
      <c r="X451">
        <v>3</v>
      </c>
      <c r="Y451">
        <v>9</v>
      </c>
      <c r="Z451">
        <v>13</v>
      </c>
      <c r="AA451">
        <v>3.9</v>
      </c>
      <c r="AB451">
        <v>5</v>
      </c>
      <c r="AC451">
        <v>163</v>
      </c>
      <c r="AD451">
        <v>16</v>
      </c>
      <c r="AE451">
        <v>0</v>
      </c>
      <c r="AF451">
        <v>219</v>
      </c>
      <c r="AG451">
        <v>89</v>
      </c>
      <c r="AH451">
        <v>107</v>
      </c>
      <c r="AI451">
        <v>37</v>
      </c>
      <c r="AJ451">
        <v>21</v>
      </c>
      <c r="AK451">
        <v>28</v>
      </c>
      <c r="AL451">
        <v>17</v>
      </c>
      <c r="AM451">
        <v>4</v>
      </c>
      <c r="AN451">
        <v>96</v>
      </c>
      <c r="AO451">
        <v>23</v>
      </c>
      <c r="AP451">
        <v>31</v>
      </c>
      <c r="AQ451">
        <v>47</v>
      </c>
      <c r="AR451">
        <v>292</v>
      </c>
      <c r="AS451">
        <v>531</v>
      </c>
      <c r="AT451" t="s">
        <v>7</v>
      </c>
      <c r="AU451">
        <v>0.1</v>
      </c>
      <c r="AV451">
        <v>2011</v>
      </c>
      <c r="AW451" s="1">
        <v>45735</v>
      </c>
      <c r="AX451">
        <v>10.199999999999999</v>
      </c>
      <c r="AY451" t="s">
        <v>45</v>
      </c>
      <c r="AZ451" t="s">
        <v>51</v>
      </c>
      <c r="BA451" t="s">
        <v>21</v>
      </c>
      <c r="BB451" t="s">
        <v>7</v>
      </c>
      <c r="BC451" t="s">
        <v>7</v>
      </c>
      <c r="BD451">
        <v>2</v>
      </c>
      <c r="BE451" t="s">
        <v>14</v>
      </c>
      <c r="BF451">
        <v>1.1000000000000001</v>
      </c>
    </row>
    <row r="452" spans="1:58" hidden="1" x14ac:dyDescent="0.2">
      <c r="A452">
        <v>451</v>
      </c>
      <c r="B452" t="s">
        <v>0</v>
      </c>
      <c r="C452">
        <v>40</v>
      </c>
      <c r="D452" t="s">
        <v>1</v>
      </c>
      <c r="E452" t="s">
        <v>22</v>
      </c>
      <c r="F452" t="s">
        <v>15</v>
      </c>
      <c r="G452" t="s">
        <v>38</v>
      </c>
      <c r="H452" t="s">
        <v>24</v>
      </c>
      <c r="I452" t="s">
        <v>112</v>
      </c>
      <c r="J452" t="s">
        <v>123</v>
      </c>
      <c r="K452" t="s">
        <v>7</v>
      </c>
      <c r="L452">
        <v>5.9</v>
      </c>
      <c r="M452">
        <v>4.9000000000000004</v>
      </c>
      <c r="N452" t="s">
        <v>120</v>
      </c>
      <c r="O452" t="s">
        <v>7</v>
      </c>
      <c r="P452" t="s">
        <v>9</v>
      </c>
      <c r="Q452">
        <v>8</v>
      </c>
      <c r="R452">
        <v>4</v>
      </c>
      <c r="S452">
        <v>21.9</v>
      </c>
      <c r="T452">
        <v>92</v>
      </c>
      <c r="U452">
        <v>62</v>
      </c>
      <c r="V452">
        <v>8009</v>
      </c>
      <c r="W452">
        <v>38.5</v>
      </c>
      <c r="X452">
        <v>3</v>
      </c>
      <c r="Y452">
        <v>4</v>
      </c>
      <c r="Z452">
        <v>10</v>
      </c>
      <c r="AA452">
        <v>7.2</v>
      </c>
      <c r="AB452">
        <v>1</v>
      </c>
      <c r="AC452">
        <v>118</v>
      </c>
      <c r="AD452">
        <v>14</v>
      </c>
      <c r="AE452">
        <v>9</v>
      </c>
      <c r="AF452">
        <v>115</v>
      </c>
      <c r="AG452">
        <v>82</v>
      </c>
      <c r="AH452">
        <v>66</v>
      </c>
      <c r="AI452">
        <v>19</v>
      </c>
      <c r="AJ452">
        <v>22</v>
      </c>
      <c r="AK452">
        <v>20</v>
      </c>
      <c r="AL452">
        <v>13</v>
      </c>
      <c r="AM452">
        <v>4</v>
      </c>
      <c r="AN452">
        <v>53</v>
      </c>
      <c r="AO452">
        <v>33</v>
      </c>
      <c r="AP452">
        <v>14</v>
      </c>
      <c r="AQ452">
        <v>32</v>
      </c>
      <c r="AR452">
        <v>2040</v>
      </c>
      <c r="AS452">
        <v>4356</v>
      </c>
      <c r="AT452" t="s">
        <v>7</v>
      </c>
      <c r="AU452">
        <v>0.77</v>
      </c>
      <c r="AV452">
        <v>2020</v>
      </c>
      <c r="AW452" s="1">
        <v>45765</v>
      </c>
      <c r="AX452">
        <v>8.4</v>
      </c>
      <c r="AY452" t="s">
        <v>45</v>
      </c>
      <c r="AZ452" t="s">
        <v>17</v>
      </c>
      <c r="BA452" t="s">
        <v>21</v>
      </c>
      <c r="BB452" t="s">
        <v>13</v>
      </c>
      <c r="BC452" t="s">
        <v>13</v>
      </c>
      <c r="BD452">
        <v>2</v>
      </c>
      <c r="BE452" t="s">
        <v>14</v>
      </c>
      <c r="BF452">
        <v>1.1000000000000001</v>
      </c>
    </row>
    <row r="453" spans="1:58" hidden="1" x14ac:dyDescent="0.2">
      <c r="A453">
        <v>452</v>
      </c>
      <c r="B453" t="s">
        <v>0</v>
      </c>
      <c r="C453">
        <v>46</v>
      </c>
      <c r="D453" t="s">
        <v>28</v>
      </c>
      <c r="E453" t="s">
        <v>126</v>
      </c>
      <c r="F453" t="s">
        <v>40</v>
      </c>
      <c r="G453" t="s">
        <v>116</v>
      </c>
      <c r="H453" t="s">
        <v>118</v>
      </c>
      <c r="I453" t="s">
        <v>115</v>
      </c>
      <c r="J453" t="s">
        <v>6</v>
      </c>
      <c r="K453" t="s">
        <v>7</v>
      </c>
      <c r="L453">
        <v>15.2</v>
      </c>
      <c r="M453">
        <v>5.4</v>
      </c>
      <c r="N453" t="s">
        <v>8</v>
      </c>
      <c r="O453" t="s">
        <v>7</v>
      </c>
      <c r="P453" t="s">
        <v>9</v>
      </c>
      <c r="Q453">
        <v>17</v>
      </c>
      <c r="R453">
        <v>7</v>
      </c>
      <c r="S453">
        <v>26</v>
      </c>
      <c r="T453">
        <v>155</v>
      </c>
      <c r="U453">
        <v>76</v>
      </c>
      <c r="V453">
        <v>7971</v>
      </c>
      <c r="W453">
        <v>54.7</v>
      </c>
      <c r="X453">
        <v>2</v>
      </c>
      <c r="Y453">
        <v>4</v>
      </c>
      <c r="Z453">
        <v>14</v>
      </c>
      <c r="AA453">
        <v>0.8</v>
      </c>
      <c r="AB453">
        <v>1</v>
      </c>
      <c r="AC453">
        <v>89</v>
      </c>
      <c r="AD453">
        <v>3</v>
      </c>
      <c r="AE453">
        <v>0</v>
      </c>
      <c r="AF453">
        <v>103</v>
      </c>
      <c r="AG453">
        <v>52</v>
      </c>
      <c r="AH453">
        <v>81</v>
      </c>
      <c r="AI453">
        <v>20</v>
      </c>
      <c r="AJ453">
        <v>19</v>
      </c>
      <c r="AK453">
        <v>18</v>
      </c>
      <c r="AL453">
        <v>13</v>
      </c>
      <c r="AM453">
        <v>3</v>
      </c>
      <c r="AN453">
        <v>53</v>
      </c>
      <c r="AO453">
        <v>15</v>
      </c>
      <c r="AP453">
        <v>12</v>
      </c>
      <c r="AQ453">
        <v>36</v>
      </c>
      <c r="AR453">
        <v>155</v>
      </c>
      <c r="AS453">
        <v>364</v>
      </c>
      <c r="AT453" t="s">
        <v>7</v>
      </c>
      <c r="AU453">
        <v>0.63</v>
      </c>
      <c r="AV453">
        <v>2010</v>
      </c>
      <c r="AW453" s="1">
        <v>45755</v>
      </c>
      <c r="AX453">
        <v>29.7</v>
      </c>
      <c r="AY453" t="s">
        <v>36</v>
      </c>
      <c r="AZ453" t="s">
        <v>37</v>
      </c>
      <c r="BA453" t="s">
        <v>12</v>
      </c>
      <c r="BB453" t="s">
        <v>7</v>
      </c>
      <c r="BC453" t="s">
        <v>7</v>
      </c>
      <c r="BD453">
        <v>2</v>
      </c>
      <c r="BE453" t="s">
        <v>14</v>
      </c>
      <c r="BF453">
        <v>1.34</v>
      </c>
    </row>
    <row r="454" spans="1:58" hidden="1" x14ac:dyDescent="0.2">
      <c r="A454">
        <v>453</v>
      </c>
      <c r="B454" t="s">
        <v>0</v>
      </c>
      <c r="C454">
        <v>14</v>
      </c>
      <c r="D454" t="s">
        <v>1</v>
      </c>
      <c r="E454" t="s">
        <v>47</v>
      </c>
      <c r="F454" t="s">
        <v>15</v>
      </c>
      <c r="G454" t="s">
        <v>4</v>
      </c>
      <c r="H454" t="s">
        <v>24</v>
      </c>
      <c r="I454" t="s">
        <v>112</v>
      </c>
      <c r="J454" t="s">
        <v>6</v>
      </c>
      <c r="K454" t="s">
        <v>7</v>
      </c>
      <c r="L454">
        <v>3.7</v>
      </c>
      <c r="M454">
        <v>7.1</v>
      </c>
      <c r="N454" t="s">
        <v>25</v>
      </c>
      <c r="O454" t="s">
        <v>7</v>
      </c>
      <c r="P454" t="s">
        <v>26</v>
      </c>
      <c r="Q454">
        <v>35</v>
      </c>
      <c r="R454">
        <v>4</v>
      </c>
      <c r="S454">
        <v>26.3</v>
      </c>
      <c r="T454">
        <v>99</v>
      </c>
      <c r="U454">
        <v>95</v>
      </c>
      <c r="V454">
        <v>7875</v>
      </c>
      <c r="W454">
        <v>53.9</v>
      </c>
      <c r="X454">
        <v>2</v>
      </c>
      <c r="Y454">
        <v>7</v>
      </c>
      <c r="Z454">
        <v>9</v>
      </c>
      <c r="AA454">
        <v>0.3</v>
      </c>
      <c r="AB454">
        <v>4</v>
      </c>
      <c r="AC454">
        <v>357</v>
      </c>
      <c r="AD454">
        <v>15</v>
      </c>
      <c r="AE454">
        <v>11</v>
      </c>
      <c r="AF454">
        <v>300</v>
      </c>
      <c r="AG454">
        <v>150</v>
      </c>
      <c r="AH454">
        <v>242</v>
      </c>
      <c r="AI454">
        <v>72</v>
      </c>
      <c r="AJ454">
        <v>57</v>
      </c>
      <c r="AK454">
        <v>44</v>
      </c>
      <c r="AL454">
        <v>31</v>
      </c>
      <c r="AM454">
        <v>12</v>
      </c>
      <c r="AN454">
        <v>198</v>
      </c>
      <c r="AO454">
        <v>88</v>
      </c>
      <c r="AP454">
        <v>78</v>
      </c>
      <c r="AQ454">
        <v>116</v>
      </c>
      <c r="AR454">
        <v>1040</v>
      </c>
      <c r="AS454">
        <v>2126</v>
      </c>
      <c r="AT454" t="s">
        <v>7</v>
      </c>
      <c r="AU454">
        <v>0.04</v>
      </c>
      <c r="AV454">
        <v>2017</v>
      </c>
      <c r="AW454" s="1">
        <v>45782</v>
      </c>
      <c r="AX454">
        <v>23.8</v>
      </c>
      <c r="AY454" t="s">
        <v>19</v>
      </c>
      <c r="AZ454" t="s">
        <v>17</v>
      </c>
      <c r="BA454" t="s">
        <v>122</v>
      </c>
      <c r="BB454" t="s">
        <v>7</v>
      </c>
      <c r="BC454" t="s">
        <v>13</v>
      </c>
      <c r="BD454">
        <v>3</v>
      </c>
      <c r="BE454" t="s">
        <v>14</v>
      </c>
      <c r="BF454">
        <v>1.17</v>
      </c>
    </row>
    <row r="455" spans="1:58" hidden="1" x14ac:dyDescent="0.2">
      <c r="A455">
        <v>454</v>
      </c>
      <c r="B455" t="s">
        <v>0</v>
      </c>
      <c r="C455">
        <v>44</v>
      </c>
      <c r="D455" t="s">
        <v>1</v>
      </c>
      <c r="E455" t="s">
        <v>2</v>
      </c>
      <c r="F455" t="s">
        <v>3</v>
      </c>
      <c r="G455" t="s">
        <v>117</v>
      </c>
      <c r="H455" t="s">
        <v>23</v>
      </c>
      <c r="I455" t="s">
        <v>114</v>
      </c>
      <c r="J455" t="s">
        <v>6</v>
      </c>
      <c r="K455" t="s">
        <v>7</v>
      </c>
      <c r="L455">
        <v>10.6</v>
      </c>
      <c r="M455">
        <v>6.8</v>
      </c>
      <c r="N455" t="s">
        <v>120</v>
      </c>
      <c r="O455" t="s">
        <v>7</v>
      </c>
      <c r="P455" t="s">
        <v>121</v>
      </c>
      <c r="Q455">
        <v>26</v>
      </c>
      <c r="R455">
        <v>4</v>
      </c>
      <c r="S455">
        <v>25.9</v>
      </c>
      <c r="T455">
        <v>153</v>
      </c>
      <c r="U455">
        <v>62</v>
      </c>
      <c r="V455">
        <v>7889</v>
      </c>
      <c r="W455">
        <v>18.600000000000001</v>
      </c>
      <c r="X455">
        <v>3</v>
      </c>
      <c r="Y455">
        <v>2</v>
      </c>
      <c r="Z455">
        <v>13</v>
      </c>
      <c r="AA455">
        <v>4.7</v>
      </c>
      <c r="AB455">
        <v>5</v>
      </c>
      <c r="AC455">
        <v>256</v>
      </c>
      <c r="AD455">
        <v>8</v>
      </c>
      <c r="AE455">
        <v>10</v>
      </c>
      <c r="AF455">
        <v>176</v>
      </c>
      <c r="AG455">
        <v>122</v>
      </c>
      <c r="AH455">
        <v>156</v>
      </c>
      <c r="AI455">
        <v>32</v>
      </c>
      <c r="AJ455">
        <v>26</v>
      </c>
      <c r="AK455">
        <v>34</v>
      </c>
      <c r="AL455">
        <v>24</v>
      </c>
      <c r="AM455">
        <v>9</v>
      </c>
      <c r="AN455">
        <v>123</v>
      </c>
      <c r="AO455">
        <v>58</v>
      </c>
      <c r="AP455">
        <v>38</v>
      </c>
      <c r="AQ455">
        <v>61</v>
      </c>
      <c r="AR455">
        <v>458</v>
      </c>
      <c r="AS455">
        <v>801</v>
      </c>
      <c r="AT455" t="s">
        <v>7</v>
      </c>
      <c r="AU455">
        <v>0.37</v>
      </c>
      <c r="AV455">
        <v>2019</v>
      </c>
      <c r="AW455" s="1">
        <v>45963</v>
      </c>
      <c r="AX455">
        <v>32</v>
      </c>
      <c r="AY455" t="s">
        <v>30</v>
      </c>
      <c r="AZ455" t="s">
        <v>37</v>
      </c>
      <c r="BA455" t="s">
        <v>12</v>
      </c>
      <c r="BB455" t="s">
        <v>13</v>
      </c>
      <c r="BC455" t="s">
        <v>13</v>
      </c>
      <c r="BD455">
        <v>3</v>
      </c>
      <c r="BE455" t="s">
        <v>14</v>
      </c>
      <c r="BF455">
        <v>0.97</v>
      </c>
    </row>
    <row r="456" spans="1:58" hidden="1" x14ac:dyDescent="0.2">
      <c r="A456">
        <v>455</v>
      </c>
      <c r="B456" t="s">
        <v>0</v>
      </c>
      <c r="C456">
        <v>35</v>
      </c>
      <c r="D456" t="s">
        <v>1</v>
      </c>
      <c r="E456" t="s">
        <v>126</v>
      </c>
      <c r="F456" t="s">
        <v>15</v>
      </c>
      <c r="G456" t="s">
        <v>117</v>
      </c>
      <c r="H456" t="s">
        <v>118</v>
      </c>
      <c r="I456" t="s">
        <v>112</v>
      </c>
      <c r="J456" t="s">
        <v>32</v>
      </c>
      <c r="K456" t="s">
        <v>7</v>
      </c>
      <c r="L456">
        <v>12.9</v>
      </c>
      <c r="M456">
        <v>8.1</v>
      </c>
      <c r="N456" t="s">
        <v>29</v>
      </c>
      <c r="O456" t="s">
        <v>7</v>
      </c>
      <c r="P456" t="s">
        <v>52</v>
      </c>
      <c r="Q456">
        <v>16</v>
      </c>
      <c r="R456">
        <v>10</v>
      </c>
      <c r="S456">
        <v>19.7</v>
      </c>
      <c r="T456">
        <v>138</v>
      </c>
      <c r="U456">
        <v>96</v>
      </c>
      <c r="V456">
        <v>7955</v>
      </c>
      <c r="W456">
        <v>47.4</v>
      </c>
      <c r="X456">
        <v>2</v>
      </c>
      <c r="Y456">
        <v>5</v>
      </c>
      <c r="Z456">
        <v>6</v>
      </c>
      <c r="AA456">
        <v>4.0999999999999996</v>
      </c>
      <c r="AB456">
        <v>2</v>
      </c>
      <c r="AC456">
        <v>112</v>
      </c>
      <c r="AD456">
        <v>4</v>
      </c>
      <c r="AE456">
        <v>0</v>
      </c>
      <c r="AF456">
        <v>96</v>
      </c>
      <c r="AG456">
        <v>77</v>
      </c>
      <c r="AH456">
        <v>87</v>
      </c>
      <c r="AI456">
        <v>19</v>
      </c>
      <c r="AJ456">
        <v>22</v>
      </c>
      <c r="AK456">
        <v>24</v>
      </c>
      <c r="AL456">
        <v>13</v>
      </c>
      <c r="AM456">
        <v>0</v>
      </c>
      <c r="AN456">
        <v>47</v>
      </c>
      <c r="AO456">
        <v>32</v>
      </c>
      <c r="AP456">
        <v>20</v>
      </c>
      <c r="AQ456">
        <v>41</v>
      </c>
      <c r="AR456">
        <v>415</v>
      </c>
      <c r="AS456">
        <v>485</v>
      </c>
      <c r="AT456" t="s">
        <v>13</v>
      </c>
      <c r="AU456">
        <v>0.5</v>
      </c>
      <c r="AV456">
        <v>2016</v>
      </c>
      <c r="AW456" s="1">
        <v>45855</v>
      </c>
      <c r="AX456">
        <v>28</v>
      </c>
      <c r="AY456" t="s">
        <v>36</v>
      </c>
      <c r="AZ456" t="s">
        <v>31</v>
      </c>
      <c r="BA456" t="s">
        <v>12</v>
      </c>
      <c r="BB456" t="s">
        <v>13</v>
      </c>
      <c r="BC456" t="s">
        <v>13</v>
      </c>
      <c r="BD456">
        <v>3</v>
      </c>
      <c r="BE456" t="s">
        <v>43</v>
      </c>
      <c r="BF456">
        <v>1.1100000000000001</v>
      </c>
    </row>
    <row r="457" spans="1:58" hidden="1" x14ac:dyDescent="0.2">
      <c r="A457">
        <v>456</v>
      </c>
      <c r="B457" t="s">
        <v>0</v>
      </c>
      <c r="C457">
        <v>34</v>
      </c>
      <c r="D457" t="s">
        <v>1</v>
      </c>
      <c r="E457" t="s">
        <v>17</v>
      </c>
      <c r="F457" t="s">
        <v>15</v>
      </c>
      <c r="G457" t="s">
        <v>117</v>
      </c>
      <c r="H457" t="s">
        <v>118</v>
      </c>
      <c r="I457" t="s">
        <v>115</v>
      </c>
      <c r="J457" t="s">
        <v>32</v>
      </c>
      <c r="K457" t="s">
        <v>13</v>
      </c>
      <c r="L457">
        <v>4.3</v>
      </c>
      <c r="M457">
        <v>7</v>
      </c>
      <c r="N457" t="s">
        <v>25</v>
      </c>
      <c r="O457" t="s">
        <v>7</v>
      </c>
      <c r="P457" t="s">
        <v>9</v>
      </c>
      <c r="Q457">
        <v>7</v>
      </c>
      <c r="R457">
        <v>6</v>
      </c>
      <c r="S457">
        <v>26.7</v>
      </c>
      <c r="T457">
        <v>113</v>
      </c>
      <c r="U457">
        <v>84</v>
      </c>
      <c r="V457">
        <v>7952</v>
      </c>
      <c r="W457">
        <v>37.5</v>
      </c>
      <c r="X457">
        <v>1</v>
      </c>
      <c r="Y457">
        <v>6</v>
      </c>
      <c r="Z457">
        <v>5</v>
      </c>
      <c r="AA457">
        <v>2.2999999999999998</v>
      </c>
      <c r="AB457">
        <v>4</v>
      </c>
      <c r="AC457">
        <v>105</v>
      </c>
      <c r="AD457">
        <v>3</v>
      </c>
      <c r="AE457">
        <v>2</v>
      </c>
      <c r="AF457">
        <v>109</v>
      </c>
      <c r="AG457">
        <v>64</v>
      </c>
      <c r="AH457">
        <v>71</v>
      </c>
      <c r="AI457">
        <v>23</v>
      </c>
      <c r="AJ457">
        <v>18</v>
      </c>
      <c r="AK457">
        <v>23</v>
      </c>
      <c r="AL457">
        <v>15</v>
      </c>
      <c r="AM457">
        <v>8</v>
      </c>
      <c r="AN457">
        <v>47</v>
      </c>
      <c r="AO457">
        <v>18</v>
      </c>
      <c r="AP457">
        <v>11</v>
      </c>
      <c r="AQ457">
        <v>41</v>
      </c>
      <c r="AR457">
        <v>666</v>
      </c>
      <c r="AS457">
        <v>1586</v>
      </c>
      <c r="AT457" t="s">
        <v>13</v>
      </c>
      <c r="AU457">
        <v>0.55000000000000004</v>
      </c>
      <c r="AV457">
        <v>2012</v>
      </c>
      <c r="AW457" s="1">
        <v>45873</v>
      </c>
      <c r="AX457">
        <v>35</v>
      </c>
      <c r="AY457" t="s">
        <v>36</v>
      </c>
      <c r="AZ457" t="s">
        <v>31</v>
      </c>
      <c r="BA457" t="s">
        <v>12</v>
      </c>
      <c r="BB457" t="s">
        <v>7</v>
      </c>
      <c r="BC457" t="s">
        <v>7</v>
      </c>
      <c r="BD457">
        <v>3</v>
      </c>
      <c r="BE457" t="s">
        <v>14</v>
      </c>
      <c r="BF457">
        <v>1.1599999999999999</v>
      </c>
    </row>
    <row r="458" spans="1:58" hidden="1" x14ac:dyDescent="0.2">
      <c r="A458">
        <v>457</v>
      </c>
      <c r="B458" t="s">
        <v>0</v>
      </c>
      <c r="C458">
        <v>63</v>
      </c>
      <c r="D458" t="s">
        <v>1</v>
      </c>
      <c r="E458" t="s">
        <v>2</v>
      </c>
      <c r="F458" t="s">
        <v>15</v>
      </c>
      <c r="G458" t="s">
        <v>116</v>
      </c>
      <c r="H458" t="s">
        <v>23</v>
      </c>
      <c r="I458" t="s">
        <v>112</v>
      </c>
      <c r="J458" t="s">
        <v>32</v>
      </c>
      <c r="K458" t="s">
        <v>7</v>
      </c>
      <c r="L458">
        <v>5.9</v>
      </c>
      <c r="M458">
        <v>7.9</v>
      </c>
      <c r="N458" t="s">
        <v>25</v>
      </c>
      <c r="O458" t="s">
        <v>7</v>
      </c>
      <c r="P458" t="s">
        <v>9</v>
      </c>
      <c r="Q458">
        <v>11</v>
      </c>
      <c r="R458">
        <v>4</v>
      </c>
      <c r="S458">
        <v>27.8</v>
      </c>
      <c r="T458">
        <v>133</v>
      </c>
      <c r="U458">
        <v>70</v>
      </c>
      <c r="V458">
        <v>7940</v>
      </c>
      <c r="W458">
        <v>45.9</v>
      </c>
      <c r="X458">
        <v>2</v>
      </c>
      <c r="Y458">
        <v>4</v>
      </c>
      <c r="Z458">
        <v>11</v>
      </c>
      <c r="AA458">
        <v>5</v>
      </c>
      <c r="AB458">
        <v>2</v>
      </c>
      <c r="AC458">
        <v>31</v>
      </c>
      <c r="AD458">
        <v>2</v>
      </c>
      <c r="AE458">
        <v>2</v>
      </c>
      <c r="AF458">
        <v>61</v>
      </c>
      <c r="AG458">
        <v>41</v>
      </c>
      <c r="AH458">
        <v>48</v>
      </c>
      <c r="AI458">
        <v>11</v>
      </c>
      <c r="AJ458">
        <v>12</v>
      </c>
      <c r="AK458">
        <v>7</v>
      </c>
      <c r="AL458">
        <v>11</v>
      </c>
      <c r="AM458">
        <v>2</v>
      </c>
      <c r="AN458">
        <v>18</v>
      </c>
      <c r="AO458">
        <v>4</v>
      </c>
      <c r="AP458">
        <v>3</v>
      </c>
      <c r="AQ458">
        <v>9</v>
      </c>
      <c r="AR458">
        <v>2854</v>
      </c>
      <c r="AS458">
        <v>2759</v>
      </c>
      <c r="AT458" t="s">
        <v>7</v>
      </c>
      <c r="AU458">
        <v>0.66</v>
      </c>
      <c r="AV458">
        <v>2017</v>
      </c>
      <c r="AW458" s="1">
        <v>45782</v>
      </c>
      <c r="AX458">
        <v>15.5</v>
      </c>
      <c r="AY458" t="s">
        <v>30</v>
      </c>
      <c r="AZ458" t="s">
        <v>20</v>
      </c>
      <c r="BA458" t="s">
        <v>21</v>
      </c>
      <c r="BB458" t="s">
        <v>13</v>
      </c>
      <c r="BC458" t="s">
        <v>13</v>
      </c>
      <c r="BD458">
        <v>3</v>
      </c>
      <c r="BE458" t="s">
        <v>14</v>
      </c>
      <c r="BF458">
        <v>2.38</v>
      </c>
    </row>
    <row r="459" spans="1:58" hidden="1" x14ac:dyDescent="0.2">
      <c r="A459">
        <v>458</v>
      </c>
      <c r="B459" t="s">
        <v>0</v>
      </c>
      <c r="C459">
        <v>37</v>
      </c>
      <c r="D459" t="s">
        <v>1</v>
      </c>
      <c r="E459" t="s">
        <v>17</v>
      </c>
      <c r="F459" t="s">
        <v>40</v>
      </c>
      <c r="G459" t="s">
        <v>38</v>
      </c>
      <c r="H459" t="s">
        <v>118</v>
      </c>
      <c r="I459" t="s">
        <v>112</v>
      </c>
      <c r="J459" t="s">
        <v>32</v>
      </c>
      <c r="K459" t="s">
        <v>7</v>
      </c>
      <c r="L459">
        <v>10.4</v>
      </c>
      <c r="M459">
        <v>8.1</v>
      </c>
      <c r="N459" t="s">
        <v>29</v>
      </c>
      <c r="O459" t="s">
        <v>7</v>
      </c>
      <c r="P459" t="s">
        <v>46</v>
      </c>
      <c r="Q459">
        <v>19</v>
      </c>
      <c r="R459">
        <v>7</v>
      </c>
      <c r="S459">
        <v>22.3</v>
      </c>
      <c r="T459">
        <v>129</v>
      </c>
      <c r="U459">
        <v>63</v>
      </c>
      <c r="V459">
        <v>7940</v>
      </c>
      <c r="W459">
        <v>50.1</v>
      </c>
      <c r="X459">
        <v>4</v>
      </c>
      <c r="Y459">
        <v>6</v>
      </c>
      <c r="Z459">
        <v>9</v>
      </c>
      <c r="AA459">
        <v>5.5</v>
      </c>
      <c r="AB459">
        <v>3</v>
      </c>
      <c r="AC459">
        <v>151</v>
      </c>
      <c r="AD459">
        <v>11</v>
      </c>
      <c r="AE459">
        <v>1</v>
      </c>
      <c r="AF459">
        <v>118</v>
      </c>
      <c r="AG459">
        <v>75</v>
      </c>
      <c r="AH459">
        <v>87</v>
      </c>
      <c r="AI459">
        <v>30</v>
      </c>
      <c r="AJ459">
        <v>34</v>
      </c>
      <c r="AK459">
        <v>24</v>
      </c>
      <c r="AL459">
        <v>13</v>
      </c>
      <c r="AM459">
        <v>9</v>
      </c>
      <c r="AN459">
        <v>87</v>
      </c>
      <c r="AO459">
        <v>28</v>
      </c>
      <c r="AP459">
        <v>34</v>
      </c>
      <c r="AQ459">
        <v>57</v>
      </c>
      <c r="AR459">
        <v>532</v>
      </c>
      <c r="AS459">
        <v>974</v>
      </c>
      <c r="AT459" t="s">
        <v>7</v>
      </c>
      <c r="AU459">
        <v>0.78</v>
      </c>
      <c r="AV459">
        <v>2018</v>
      </c>
      <c r="AW459" s="1">
        <v>45681</v>
      </c>
      <c r="AX459">
        <v>13.7</v>
      </c>
      <c r="AY459" t="s">
        <v>27</v>
      </c>
      <c r="AZ459" t="s">
        <v>48</v>
      </c>
      <c r="BA459" t="s">
        <v>122</v>
      </c>
      <c r="BB459" t="s">
        <v>7</v>
      </c>
      <c r="BC459" t="s">
        <v>7</v>
      </c>
      <c r="BD459">
        <v>1</v>
      </c>
      <c r="BE459" t="s">
        <v>14</v>
      </c>
      <c r="BF459">
        <v>0.99</v>
      </c>
    </row>
    <row r="460" spans="1:58" hidden="1" x14ac:dyDescent="0.2">
      <c r="A460">
        <v>459</v>
      </c>
      <c r="B460" t="s">
        <v>0</v>
      </c>
      <c r="C460">
        <v>34</v>
      </c>
      <c r="D460" t="s">
        <v>28</v>
      </c>
      <c r="E460" t="s">
        <v>128</v>
      </c>
      <c r="F460" t="s">
        <v>15</v>
      </c>
      <c r="G460" t="s">
        <v>16</v>
      </c>
      <c r="H460" t="s">
        <v>119</v>
      </c>
      <c r="I460" t="s">
        <v>114</v>
      </c>
      <c r="J460" t="s">
        <v>6</v>
      </c>
      <c r="K460" t="s">
        <v>7</v>
      </c>
      <c r="L460">
        <v>8.5</v>
      </c>
      <c r="M460">
        <v>5.9</v>
      </c>
      <c r="N460" t="s">
        <v>120</v>
      </c>
      <c r="O460" t="s">
        <v>41</v>
      </c>
      <c r="P460" t="s">
        <v>46</v>
      </c>
      <c r="Q460">
        <v>29</v>
      </c>
      <c r="R460">
        <v>5</v>
      </c>
      <c r="S460">
        <v>32.200000000000003</v>
      </c>
      <c r="T460">
        <v>148</v>
      </c>
      <c r="U460">
        <v>76</v>
      </c>
      <c r="V460">
        <v>7882</v>
      </c>
      <c r="W460">
        <v>47.2</v>
      </c>
      <c r="X460">
        <v>2</v>
      </c>
      <c r="Y460">
        <v>8</v>
      </c>
      <c r="Z460">
        <v>10</v>
      </c>
      <c r="AA460">
        <v>6.4</v>
      </c>
      <c r="AB460">
        <v>3</v>
      </c>
      <c r="AC460">
        <v>311</v>
      </c>
      <c r="AD460">
        <v>10</v>
      </c>
      <c r="AE460">
        <v>6</v>
      </c>
      <c r="AF460">
        <v>221</v>
      </c>
      <c r="AG460">
        <v>150</v>
      </c>
      <c r="AH460">
        <v>167</v>
      </c>
      <c r="AI460">
        <v>58</v>
      </c>
      <c r="AJ460">
        <v>43</v>
      </c>
      <c r="AK460">
        <v>42</v>
      </c>
      <c r="AL460">
        <v>33</v>
      </c>
      <c r="AM460">
        <v>6</v>
      </c>
      <c r="AN460">
        <v>148</v>
      </c>
      <c r="AO460">
        <v>51</v>
      </c>
      <c r="AP460">
        <v>60</v>
      </c>
      <c r="AQ460">
        <v>78</v>
      </c>
      <c r="AR460">
        <v>1471</v>
      </c>
      <c r="AS460">
        <v>971</v>
      </c>
      <c r="AT460" t="s">
        <v>7</v>
      </c>
      <c r="AU460">
        <v>0.48</v>
      </c>
      <c r="AV460">
        <v>2015</v>
      </c>
      <c r="AW460" s="1">
        <v>45831</v>
      </c>
      <c r="AX460">
        <v>31.1</v>
      </c>
      <c r="AY460" t="s">
        <v>36</v>
      </c>
      <c r="AZ460" t="s">
        <v>17</v>
      </c>
      <c r="BA460" t="s">
        <v>12</v>
      </c>
      <c r="BB460" t="s">
        <v>7</v>
      </c>
      <c r="BC460" t="s">
        <v>7</v>
      </c>
      <c r="BD460">
        <v>2</v>
      </c>
      <c r="BE460" t="s">
        <v>14</v>
      </c>
      <c r="BF460">
        <v>0.96</v>
      </c>
    </row>
    <row r="461" spans="1:58" hidden="1" x14ac:dyDescent="0.2">
      <c r="A461">
        <v>460</v>
      </c>
      <c r="B461" t="s">
        <v>0</v>
      </c>
      <c r="C461">
        <v>34</v>
      </c>
      <c r="D461" t="s">
        <v>1</v>
      </c>
      <c r="E461" t="s">
        <v>17</v>
      </c>
      <c r="F461" t="s">
        <v>3</v>
      </c>
      <c r="G461" t="s">
        <v>16</v>
      </c>
      <c r="H461" t="s">
        <v>118</v>
      </c>
      <c r="I461" t="s">
        <v>17</v>
      </c>
      <c r="J461" t="s">
        <v>6</v>
      </c>
      <c r="K461" t="s">
        <v>7</v>
      </c>
      <c r="L461">
        <v>5.4</v>
      </c>
      <c r="M461">
        <v>6.5</v>
      </c>
      <c r="N461" t="s">
        <v>29</v>
      </c>
      <c r="O461" t="s">
        <v>7</v>
      </c>
      <c r="P461" t="s">
        <v>26</v>
      </c>
      <c r="Q461">
        <v>13</v>
      </c>
      <c r="R461">
        <v>4</v>
      </c>
      <c r="S461">
        <v>24.2</v>
      </c>
      <c r="T461">
        <v>131</v>
      </c>
      <c r="U461">
        <v>69</v>
      </c>
      <c r="V461">
        <v>7954</v>
      </c>
      <c r="W461">
        <v>27.4</v>
      </c>
      <c r="X461">
        <v>2</v>
      </c>
      <c r="Y461">
        <v>4</v>
      </c>
      <c r="Z461">
        <v>8</v>
      </c>
      <c r="AA461">
        <v>2.7</v>
      </c>
      <c r="AB461">
        <v>0</v>
      </c>
      <c r="AC461">
        <v>110</v>
      </c>
      <c r="AD461">
        <v>10</v>
      </c>
      <c r="AE461">
        <v>1</v>
      </c>
      <c r="AF461">
        <v>117</v>
      </c>
      <c r="AG461">
        <v>70</v>
      </c>
      <c r="AH461">
        <v>75</v>
      </c>
      <c r="AI461">
        <v>23</v>
      </c>
      <c r="AJ461">
        <v>18</v>
      </c>
      <c r="AK461">
        <v>20</v>
      </c>
      <c r="AL461">
        <v>13</v>
      </c>
      <c r="AM461">
        <v>2</v>
      </c>
      <c r="AN461">
        <v>57</v>
      </c>
      <c r="AO461">
        <v>25</v>
      </c>
      <c r="AP461">
        <v>11</v>
      </c>
      <c r="AQ461">
        <v>28</v>
      </c>
      <c r="AR461">
        <v>11353</v>
      </c>
      <c r="AS461">
        <v>9757</v>
      </c>
      <c r="AT461" t="s">
        <v>7</v>
      </c>
      <c r="AU461">
        <v>0.38</v>
      </c>
      <c r="AV461">
        <v>2021</v>
      </c>
      <c r="AW461" s="1">
        <v>45940</v>
      </c>
      <c r="AX461">
        <v>11</v>
      </c>
      <c r="AY461" t="s">
        <v>45</v>
      </c>
      <c r="AZ461" t="s">
        <v>17</v>
      </c>
      <c r="BA461" t="s">
        <v>21</v>
      </c>
      <c r="BB461" t="s">
        <v>13</v>
      </c>
      <c r="BC461" t="s">
        <v>7</v>
      </c>
      <c r="BD461">
        <v>4</v>
      </c>
      <c r="BE461" t="s">
        <v>14</v>
      </c>
      <c r="BF461">
        <v>1.1200000000000001</v>
      </c>
    </row>
    <row r="462" spans="1:58" hidden="1" x14ac:dyDescent="0.2">
      <c r="A462">
        <v>461</v>
      </c>
      <c r="B462" t="s">
        <v>0</v>
      </c>
      <c r="C462">
        <v>61</v>
      </c>
      <c r="D462" t="s">
        <v>1</v>
      </c>
      <c r="E462" t="s">
        <v>126</v>
      </c>
      <c r="F462" t="s">
        <v>15</v>
      </c>
      <c r="G462" t="s">
        <v>4</v>
      </c>
      <c r="H462" t="s">
        <v>118</v>
      </c>
      <c r="I462" t="s">
        <v>114</v>
      </c>
      <c r="J462" t="s">
        <v>18</v>
      </c>
      <c r="K462" t="s">
        <v>13</v>
      </c>
      <c r="L462">
        <v>2</v>
      </c>
      <c r="M462">
        <v>6.1</v>
      </c>
      <c r="N462" t="s">
        <v>25</v>
      </c>
      <c r="O462" t="s">
        <v>7</v>
      </c>
      <c r="P462" t="s">
        <v>9</v>
      </c>
      <c r="Q462">
        <v>18</v>
      </c>
      <c r="R462">
        <v>7</v>
      </c>
      <c r="S462">
        <v>26.4</v>
      </c>
      <c r="T462">
        <v>118</v>
      </c>
      <c r="U462">
        <v>68</v>
      </c>
      <c r="V462">
        <v>7898</v>
      </c>
      <c r="W462">
        <v>38.700000000000003</v>
      </c>
      <c r="X462">
        <v>2</v>
      </c>
      <c r="Y462">
        <v>2</v>
      </c>
      <c r="Z462">
        <v>7</v>
      </c>
      <c r="AA462">
        <v>7.5</v>
      </c>
      <c r="AB462">
        <v>2</v>
      </c>
      <c r="AC462">
        <v>135</v>
      </c>
      <c r="AD462">
        <v>4</v>
      </c>
      <c r="AE462">
        <v>5</v>
      </c>
      <c r="AF462">
        <v>121</v>
      </c>
      <c r="AG462">
        <v>95</v>
      </c>
      <c r="AH462">
        <v>93</v>
      </c>
      <c r="AI462">
        <v>32</v>
      </c>
      <c r="AJ462">
        <v>24</v>
      </c>
      <c r="AK462">
        <v>16</v>
      </c>
      <c r="AL462">
        <v>13</v>
      </c>
      <c r="AM462">
        <v>3</v>
      </c>
      <c r="AN462">
        <v>65</v>
      </c>
      <c r="AO462">
        <v>22</v>
      </c>
      <c r="AP462">
        <v>17</v>
      </c>
      <c r="AQ462">
        <v>29</v>
      </c>
      <c r="AR462">
        <v>207</v>
      </c>
      <c r="AS462">
        <v>432</v>
      </c>
      <c r="AT462" t="s">
        <v>7</v>
      </c>
      <c r="AU462">
        <v>0.2</v>
      </c>
      <c r="AV462">
        <v>2010</v>
      </c>
      <c r="AW462" s="1">
        <v>45774</v>
      </c>
      <c r="AX462">
        <v>33.799999999999997</v>
      </c>
      <c r="AY462" t="s">
        <v>45</v>
      </c>
      <c r="AZ462" t="s">
        <v>51</v>
      </c>
      <c r="BA462" t="s">
        <v>21</v>
      </c>
      <c r="BB462" t="s">
        <v>13</v>
      </c>
      <c r="BC462" t="s">
        <v>7</v>
      </c>
      <c r="BD462">
        <v>3</v>
      </c>
      <c r="BE462" t="s">
        <v>14</v>
      </c>
      <c r="BF462">
        <v>1.26</v>
      </c>
    </row>
    <row r="463" spans="1:58" hidden="1" x14ac:dyDescent="0.2">
      <c r="A463">
        <v>462</v>
      </c>
      <c r="B463" t="s">
        <v>0</v>
      </c>
      <c r="C463">
        <v>64</v>
      </c>
      <c r="D463" t="s">
        <v>28</v>
      </c>
      <c r="E463" t="s">
        <v>22</v>
      </c>
      <c r="F463" t="s">
        <v>3</v>
      </c>
      <c r="G463" t="s">
        <v>116</v>
      </c>
      <c r="H463" t="s">
        <v>119</v>
      </c>
      <c r="I463" t="s">
        <v>112</v>
      </c>
      <c r="J463" t="s">
        <v>123</v>
      </c>
      <c r="K463" t="s">
        <v>7</v>
      </c>
      <c r="L463">
        <v>10.3</v>
      </c>
      <c r="M463">
        <v>8.5</v>
      </c>
      <c r="N463" t="s">
        <v>39</v>
      </c>
      <c r="O463" t="s">
        <v>7</v>
      </c>
      <c r="P463" t="s">
        <v>52</v>
      </c>
      <c r="Q463">
        <v>27</v>
      </c>
      <c r="R463">
        <v>1</v>
      </c>
      <c r="S463">
        <v>30</v>
      </c>
      <c r="T463">
        <v>119</v>
      </c>
      <c r="U463">
        <v>75</v>
      </c>
      <c r="V463">
        <v>8025</v>
      </c>
      <c r="W463">
        <v>50.9</v>
      </c>
      <c r="X463">
        <v>4</v>
      </c>
      <c r="Y463">
        <v>2</v>
      </c>
      <c r="Z463">
        <v>10</v>
      </c>
      <c r="AA463">
        <v>5.6</v>
      </c>
      <c r="AB463">
        <v>2</v>
      </c>
      <c r="AC463">
        <v>241</v>
      </c>
      <c r="AD463">
        <v>7</v>
      </c>
      <c r="AE463">
        <v>9</v>
      </c>
      <c r="AF463">
        <v>203</v>
      </c>
      <c r="AG463">
        <v>130</v>
      </c>
      <c r="AH463">
        <v>161</v>
      </c>
      <c r="AI463">
        <v>44</v>
      </c>
      <c r="AJ463">
        <v>32</v>
      </c>
      <c r="AK463">
        <v>41</v>
      </c>
      <c r="AL463">
        <v>24</v>
      </c>
      <c r="AM463">
        <v>4</v>
      </c>
      <c r="AN463">
        <v>138</v>
      </c>
      <c r="AO463">
        <v>62</v>
      </c>
      <c r="AP463">
        <v>57</v>
      </c>
      <c r="AQ463">
        <v>86</v>
      </c>
      <c r="AR463">
        <v>1833</v>
      </c>
      <c r="AS463">
        <v>1792</v>
      </c>
      <c r="AT463" t="s">
        <v>7</v>
      </c>
      <c r="AU463">
        <v>0.63</v>
      </c>
      <c r="AV463">
        <v>2013</v>
      </c>
      <c r="AW463" s="1">
        <v>45884</v>
      </c>
      <c r="AX463">
        <v>34.4</v>
      </c>
      <c r="AY463" t="s">
        <v>36</v>
      </c>
      <c r="AZ463" t="s">
        <v>48</v>
      </c>
      <c r="BA463" t="s">
        <v>12</v>
      </c>
      <c r="BB463" t="s">
        <v>13</v>
      </c>
      <c r="BC463" t="s">
        <v>7</v>
      </c>
      <c r="BD463">
        <v>1</v>
      </c>
      <c r="BE463" t="s">
        <v>14</v>
      </c>
      <c r="BF463">
        <v>1.1399999999999999</v>
      </c>
    </row>
    <row r="464" spans="1:58" hidden="1" x14ac:dyDescent="0.2">
      <c r="A464">
        <v>463</v>
      </c>
      <c r="B464" t="s">
        <v>0</v>
      </c>
      <c r="C464">
        <v>54</v>
      </c>
      <c r="D464" t="s">
        <v>28</v>
      </c>
      <c r="E464" t="s">
        <v>17</v>
      </c>
      <c r="F464" t="s">
        <v>40</v>
      </c>
      <c r="G464" t="s">
        <v>16</v>
      </c>
      <c r="H464" t="s">
        <v>118</v>
      </c>
      <c r="I464" t="s">
        <v>112</v>
      </c>
      <c r="J464" t="s">
        <v>32</v>
      </c>
      <c r="K464" t="s">
        <v>13</v>
      </c>
      <c r="L464">
        <v>8.8000000000000007</v>
      </c>
      <c r="M464">
        <v>7.3</v>
      </c>
      <c r="N464" t="s">
        <v>29</v>
      </c>
      <c r="O464" t="s">
        <v>13</v>
      </c>
      <c r="P464" t="s">
        <v>26</v>
      </c>
      <c r="Q464">
        <v>36</v>
      </c>
      <c r="R464">
        <v>3</v>
      </c>
      <c r="S464">
        <v>29.4</v>
      </c>
      <c r="T464">
        <v>143</v>
      </c>
      <c r="U464">
        <v>91</v>
      </c>
      <c r="V464">
        <v>8052</v>
      </c>
      <c r="W464">
        <v>43.8</v>
      </c>
      <c r="X464">
        <v>4</v>
      </c>
      <c r="Y464">
        <v>6</v>
      </c>
      <c r="Z464">
        <v>14</v>
      </c>
      <c r="AA464">
        <v>5.8</v>
      </c>
      <c r="AB464">
        <v>3</v>
      </c>
      <c r="AC464">
        <v>301</v>
      </c>
      <c r="AD464">
        <v>10</v>
      </c>
      <c r="AE464">
        <v>4</v>
      </c>
      <c r="AF464">
        <v>223</v>
      </c>
      <c r="AG464">
        <v>150</v>
      </c>
      <c r="AH464">
        <v>169</v>
      </c>
      <c r="AI464">
        <v>44</v>
      </c>
      <c r="AJ464">
        <v>48</v>
      </c>
      <c r="AK464">
        <v>45</v>
      </c>
      <c r="AL464">
        <v>31</v>
      </c>
      <c r="AM464">
        <v>5</v>
      </c>
      <c r="AN464">
        <v>124</v>
      </c>
      <c r="AO464">
        <v>61</v>
      </c>
      <c r="AP464">
        <v>59</v>
      </c>
      <c r="AQ464">
        <v>61</v>
      </c>
      <c r="AR464">
        <v>154</v>
      </c>
      <c r="AS464">
        <v>200</v>
      </c>
      <c r="AT464" t="s">
        <v>7</v>
      </c>
      <c r="AU464">
        <v>0.2</v>
      </c>
      <c r="AV464">
        <v>2024</v>
      </c>
      <c r="AW464" s="1">
        <v>45916</v>
      </c>
      <c r="AX464">
        <v>30.1</v>
      </c>
      <c r="AY464" t="s">
        <v>30</v>
      </c>
      <c r="AZ464" t="s">
        <v>11</v>
      </c>
      <c r="BA464" t="s">
        <v>21</v>
      </c>
      <c r="BB464" t="s">
        <v>7</v>
      </c>
      <c r="BC464" t="s">
        <v>13</v>
      </c>
      <c r="BD464">
        <v>1</v>
      </c>
      <c r="BE464" t="s">
        <v>49</v>
      </c>
      <c r="BF464">
        <v>0.89</v>
      </c>
    </row>
    <row r="465" spans="1:58" hidden="1" x14ac:dyDescent="0.2">
      <c r="A465">
        <v>464</v>
      </c>
      <c r="B465" t="s">
        <v>0</v>
      </c>
      <c r="C465">
        <v>18</v>
      </c>
      <c r="D465" t="s">
        <v>1</v>
      </c>
      <c r="E465" t="s">
        <v>17</v>
      </c>
      <c r="F465" t="s">
        <v>3</v>
      </c>
      <c r="G465" t="s">
        <v>116</v>
      </c>
      <c r="H465" t="s">
        <v>118</v>
      </c>
      <c r="I465" t="s">
        <v>113</v>
      </c>
      <c r="J465" t="s">
        <v>6</v>
      </c>
      <c r="K465" t="s">
        <v>13</v>
      </c>
      <c r="L465">
        <v>5.8</v>
      </c>
      <c r="M465">
        <v>6.7</v>
      </c>
      <c r="N465" t="s">
        <v>120</v>
      </c>
      <c r="O465" t="s">
        <v>7</v>
      </c>
      <c r="P465" t="s">
        <v>9</v>
      </c>
      <c r="Q465">
        <v>6</v>
      </c>
      <c r="R465">
        <v>9</v>
      </c>
      <c r="S465">
        <v>25.4</v>
      </c>
      <c r="T465">
        <v>103</v>
      </c>
      <c r="U465">
        <v>96</v>
      </c>
      <c r="V465">
        <v>7984</v>
      </c>
      <c r="W465">
        <v>41.3</v>
      </c>
      <c r="X465">
        <v>2</v>
      </c>
      <c r="Y465">
        <v>6</v>
      </c>
      <c r="Z465">
        <v>10</v>
      </c>
      <c r="AA465">
        <v>1.7</v>
      </c>
      <c r="AB465">
        <v>2</v>
      </c>
      <c r="AC465">
        <v>37</v>
      </c>
      <c r="AD465">
        <v>1</v>
      </c>
      <c r="AE465">
        <v>13</v>
      </c>
      <c r="AF465">
        <v>146</v>
      </c>
      <c r="AG465">
        <v>51</v>
      </c>
      <c r="AH465">
        <v>38</v>
      </c>
      <c r="AI465">
        <v>16</v>
      </c>
      <c r="AJ465">
        <v>11</v>
      </c>
      <c r="AK465">
        <v>12</v>
      </c>
      <c r="AL465">
        <v>11</v>
      </c>
      <c r="AM465">
        <v>0</v>
      </c>
      <c r="AN465">
        <v>18</v>
      </c>
      <c r="AO465">
        <v>11</v>
      </c>
      <c r="AP465">
        <v>6</v>
      </c>
      <c r="AQ465">
        <v>9</v>
      </c>
      <c r="AR465">
        <v>476</v>
      </c>
      <c r="AS465">
        <v>226</v>
      </c>
      <c r="AT465" t="s">
        <v>7</v>
      </c>
      <c r="AU465">
        <v>0.54</v>
      </c>
      <c r="AV465">
        <v>2012</v>
      </c>
      <c r="AW465" s="1">
        <v>45780</v>
      </c>
      <c r="AX465">
        <v>37</v>
      </c>
      <c r="AY465" t="s">
        <v>10</v>
      </c>
      <c r="AZ465" t="s">
        <v>31</v>
      </c>
      <c r="BA465" t="s">
        <v>12</v>
      </c>
      <c r="BB465" t="s">
        <v>7</v>
      </c>
      <c r="BC465" t="s">
        <v>7</v>
      </c>
      <c r="BD465">
        <v>2</v>
      </c>
      <c r="BE465" t="s">
        <v>14</v>
      </c>
      <c r="BF465">
        <v>2.87</v>
      </c>
    </row>
    <row r="466" spans="1:58" hidden="1" x14ac:dyDescent="0.2">
      <c r="A466">
        <v>465</v>
      </c>
      <c r="B466" t="s">
        <v>0</v>
      </c>
      <c r="C466">
        <v>27</v>
      </c>
      <c r="D466" t="s">
        <v>28</v>
      </c>
      <c r="E466" t="s">
        <v>47</v>
      </c>
      <c r="F466" t="s">
        <v>15</v>
      </c>
      <c r="G466" t="s">
        <v>16</v>
      </c>
      <c r="H466" t="s">
        <v>34</v>
      </c>
      <c r="I466" t="s">
        <v>115</v>
      </c>
      <c r="J466" t="s">
        <v>6</v>
      </c>
      <c r="K466" t="s">
        <v>7</v>
      </c>
      <c r="L466">
        <v>2.2999999999999998</v>
      </c>
      <c r="M466">
        <v>6.3</v>
      </c>
      <c r="N466" t="s">
        <v>29</v>
      </c>
      <c r="O466" t="s">
        <v>7</v>
      </c>
      <c r="P466" t="s">
        <v>121</v>
      </c>
      <c r="Q466">
        <v>3</v>
      </c>
      <c r="R466">
        <v>2</v>
      </c>
      <c r="S466">
        <v>23.3</v>
      </c>
      <c r="T466">
        <v>152</v>
      </c>
      <c r="U466">
        <v>85</v>
      </c>
      <c r="V466">
        <v>8044</v>
      </c>
      <c r="W466">
        <v>28.6</v>
      </c>
      <c r="X466">
        <v>2</v>
      </c>
      <c r="Y466">
        <v>3</v>
      </c>
      <c r="Z466">
        <v>5</v>
      </c>
      <c r="AA466">
        <v>1.7</v>
      </c>
      <c r="AB466">
        <v>2</v>
      </c>
      <c r="AC466">
        <v>93</v>
      </c>
      <c r="AD466">
        <v>3</v>
      </c>
      <c r="AE466">
        <v>4</v>
      </c>
      <c r="AF466">
        <v>158</v>
      </c>
      <c r="AG466">
        <v>61</v>
      </c>
      <c r="AH466">
        <v>91</v>
      </c>
      <c r="AI466">
        <v>25</v>
      </c>
      <c r="AJ466">
        <v>17</v>
      </c>
      <c r="AK466">
        <v>17</v>
      </c>
      <c r="AL466">
        <v>22</v>
      </c>
      <c r="AM466">
        <v>5</v>
      </c>
      <c r="AN466">
        <v>55</v>
      </c>
      <c r="AO466">
        <v>14</v>
      </c>
      <c r="AP466">
        <v>18</v>
      </c>
      <c r="AQ466">
        <v>22</v>
      </c>
      <c r="AR466">
        <v>394</v>
      </c>
      <c r="AS466">
        <v>870</v>
      </c>
      <c r="AT466" t="s">
        <v>13</v>
      </c>
      <c r="AU466">
        <v>0.08</v>
      </c>
      <c r="AV466">
        <v>2024</v>
      </c>
      <c r="AW466" s="1">
        <v>45840</v>
      </c>
      <c r="AX466">
        <v>31</v>
      </c>
      <c r="AY466" t="s">
        <v>30</v>
      </c>
      <c r="AZ466" t="s">
        <v>20</v>
      </c>
      <c r="BA466" t="s">
        <v>12</v>
      </c>
      <c r="BB466" t="s">
        <v>7</v>
      </c>
      <c r="BC466" t="s">
        <v>7</v>
      </c>
      <c r="BD466">
        <v>1</v>
      </c>
      <c r="BE466" t="s">
        <v>14</v>
      </c>
      <c r="BF466">
        <v>1.63</v>
      </c>
    </row>
    <row r="467" spans="1:58" hidden="1" x14ac:dyDescent="0.2">
      <c r="A467">
        <v>466</v>
      </c>
      <c r="B467" t="s">
        <v>0</v>
      </c>
      <c r="C467">
        <v>55</v>
      </c>
      <c r="D467" t="s">
        <v>1</v>
      </c>
      <c r="E467" t="s">
        <v>128</v>
      </c>
      <c r="F467" t="s">
        <v>15</v>
      </c>
      <c r="G467" t="s">
        <v>116</v>
      </c>
      <c r="H467" t="s">
        <v>34</v>
      </c>
      <c r="I467" t="s">
        <v>115</v>
      </c>
      <c r="J467" t="s">
        <v>18</v>
      </c>
      <c r="K467" t="s">
        <v>7</v>
      </c>
      <c r="L467">
        <v>9.1999999999999993</v>
      </c>
      <c r="M467">
        <v>5.5</v>
      </c>
      <c r="N467" t="s">
        <v>29</v>
      </c>
      <c r="O467" t="s">
        <v>7</v>
      </c>
      <c r="P467" t="s">
        <v>9</v>
      </c>
      <c r="Q467">
        <v>26</v>
      </c>
      <c r="R467">
        <v>4</v>
      </c>
      <c r="S467">
        <v>22.4</v>
      </c>
      <c r="T467">
        <v>104</v>
      </c>
      <c r="U467">
        <v>65</v>
      </c>
      <c r="V467">
        <v>7919</v>
      </c>
      <c r="W467">
        <v>50.2</v>
      </c>
      <c r="X467">
        <v>2</v>
      </c>
      <c r="Y467">
        <v>3</v>
      </c>
      <c r="Z467">
        <v>9</v>
      </c>
      <c r="AA467">
        <v>1.1000000000000001</v>
      </c>
      <c r="AB467">
        <v>4</v>
      </c>
      <c r="AC467">
        <v>210</v>
      </c>
      <c r="AD467">
        <v>15</v>
      </c>
      <c r="AE467">
        <v>9</v>
      </c>
      <c r="AF467">
        <v>154</v>
      </c>
      <c r="AG467">
        <v>115</v>
      </c>
      <c r="AH467">
        <v>149</v>
      </c>
      <c r="AI467">
        <v>49</v>
      </c>
      <c r="AJ467">
        <v>26</v>
      </c>
      <c r="AK467">
        <v>26</v>
      </c>
      <c r="AL467">
        <v>17</v>
      </c>
      <c r="AM467">
        <v>8</v>
      </c>
      <c r="AN467">
        <v>116</v>
      </c>
      <c r="AO467">
        <v>51</v>
      </c>
      <c r="AP467">
        <v>39</v>
      </c>
      <c r="AQ467">
        <v>52</v>
      </c>
      <c r="AR467">
        <v>600</v>
      </c>
      <c r="AS467">
        <v>440</v>
      </c>
      <c r="AT467" t="s">
        <v>7</v>
      </c>
      <c r="AU467">
        <v>0.66</v>
      </c>
      <c r="AV467">
        <v>2025</v>
      </c>
      <c r="AW467" s="1">
        <v>45826</v>
      </c>
      <c r="AX467">
        <v>14</v>
      </c>
      <c r="AY467" t="s">
        <v>36</v>
      </c>
      <c r="AZ467" t="s">
        <v>51</v>
      </c>
      <c r="BA467" t="s">
        <v>122</v>
      </c>
      <c r="BB467" t="s">
        <v>7</v>
      </c>
      <c r="BC467" t="s">
        <v>7</v>
      </c>
      <c r="BD467">
        <v>0</v>
      </c>
      <c r="BE467" t="s">
        <v>14</v>
      </c>
      <c r="BF467">
        <v>1.3</v>
      </c>
    </row>
    <row r="468" spans="1:58" hidden="1" x14ac:dyDescent="0.2">
      <c r="A468">
        <v>467</v>
      </c>
      <c r="B468" t="s">
        <v>0</v>
      </c>
      <c r="C468">
        <v>49</v>
      </c>
      <c r="D468" t="s">
        <v>1</v>
      </c>
      <c r="E468" t="s">
        <v>33</v>
      </c>
      <c r="F468" t="s">
        <v>15</v>
      </c>
      <c r="G468" t="s">
        <v>4</v>
      </c>
      <c r="H468" t="s">
        <v>34</v>
      </c>
      <c r="I468" t="s">
        <v>112</v>
      </c>
      <c r="J468" t="s">
        <v>6</v>
      </c>
      <c r="K468" t="s">
        <v>13</v>
      </c>
      <c r="L468">
        <v>4.0999999999999996</v>
      </c>
      <c r="M468">
        <v>7.9</v>
      </c>
      <c r="N468" t="s">
        <v>39</v>
      </c>
      <c r="O468" t="s">
        <v>13</v>
      </c>
      <c r="P468" t="s">
        <v>46</v>
      </c>
      <c r="Q468">
        <v>24</v>
      </c>
      <c r="R468">
        <v>10</v>
      </c>
      <c r="S468">
        <v>29.4</v>
      </c>
      <c r="T468">
        <v>95</v>
      </c>
      <c r="U468">
        <v>80</v>
      </c>
      <c r="V468">
        <v>8130</v>
      </c>
      <c r="W468">
        <v>63.2</v>
      </c>
      <c r="X468">
        <v>1</v>
      </c>
      <c r="Y468">
        <v>3</v>
      </c>
      <c r="Z468">
        <v>15</v>
      </c>
      <c r="AA468">
        <v>5.0999999999999996</v>
      </c>
      <c r="AB468">
        <v>3</v>
      </c>
      <c r="AC468">
        <v>203</v>
      </c>
      <c r="AD468">
        <v>20</v>
      </c>
      <c r="AE468">
        <v>11</v>
      </c>
      <c r="AF468">
        <v>151</v>
      </c>
      <c r="AG468">
        <v>120</v>
      </c>
      <c r="AH468">
        <v>130</v>
      </c>
      <c r="AI468">
        <v>42</v>
      </c>
      <c r="AJ468">
        <v>33</v>
      </c>
      <c r="AK468">
        <v>30</v>
      </c>
      <c r="AL468">
        <v>24</v>
      </c>
      <c r="AM468">
        <v>3</v>
      </c>
      <c r="AN468">
        <v>108</v>
      </c>
      <c r="AO468">
        <v>47</v>
      </c>
      <c r="AP468">
        <v>36</v>
      </c>
      <c r="AQ468">
        <v>57</v>
      </c>
      <c r="AR468">
        <v>6478</v>
      </c>
      <c r="AS468">
        <v>10000</v>
      </c>
      <c r="AT468" t="s">
        <v>7</v>
      </c>
      <c r="AU468">
        <v>0.01</v>
      </c>
      <c r="AV468">
        <v>2021</v>
      </c>
      <c r="AW468" s="1">
        <v>45778</v>
      </c>
      <c r="AX468">
        <v>10.199999999999999</v>
      </c>
      <c r="AY468" t="s">
        <v>27</v>
      </c>
      <c r="AZ468" t="s">
        <v>31</v>
      </c>
      <c r="BA468" t="s">
        <v>122</v>
      </c>
      <c r="BB468" t="s">
        <v>13</v>
      </c>
      <c r="BC468" t="s">
        <v>7</v>
      </c>
      <c r="BD468">
        <v>2</v>
      </c>
      <c r="BE468" t="s">
        <v>14</v>
      </c>
      <c r="BF468">
        <v>1.21</v>
      </c>
    </row>
    <row r="469" spans="1:58" hidden="1" x14ac:dyDescent="0.2">
      <c r="A469">
        <v>468</v>
      </c>
      <c r="B469" t="s">
        <v>0</v>
      </c>
      <c r="C469">
        <v>45</v>
      </c>
      <c r="D469" t="s">
        <v>1</v>
      </c>
      <c r="E469" t="s">
        <v>2</v>
      </c>
      <c r="F469" t="s">
        <v>15</v>
      </c>
      <c r="G469" t="s">
        <v>16</v>
      </c>
      <c r="H469" t="s">
        <v>118</v>
      </c>
      <c r="I469" t="s">
        <v>112</v>
      </c>
      <c r="J469" t="s">
        <v>32</v>
      </c>
      <c r="K469" t="s">
        <v>7</v>
      </c>
      <c r="L469">
        <v>10.1</v>
      </c>
      <c r="M469">
        <v>7.5</v>
      </c>
      <c r="N469" t="s">
        <v>29</v>
      </c>
      <c r="O469" t="s">
        <v>7</v>
      </c>
      <c r="P469" t="s">
        <v>46</v>
      </c>
      <c r="Q469">
        <v>30</v>
      </c>
      <c r="R469">
        <v>3</v>
      </c>
      <c r="S469">
        <v>25.3</v>
      </c>
      <c r="T469">
        <v>112</v>
      </c>
      <c r="U469">
        <v>90</v>
      </c>
      <c r="V469">
        <v>8030</v>
      </c>
      <c r="W469">
        <v>33</v>
      </c>
      <c r="X469">
        <v>1</v>
      </c>
      <c r="Y469">
        <v>2</v>
      </c>
      <c r="Z469">
        <v>7</v>
      </c>
      <c r="AA469">
        <v>4.2</v>
      </c>
      <c r="AB469">
        <v>5</v>
      </c>
      <c r="AC469">
        <v>298</v>
      </c>
      <c r="AD469">
        <v>10</v>
      </c>
      <c r="AE469">
        <v>6</v>
      </c>
      <c r="AF469">
        <v>218</v>
      </c>
      <c r="AG469">
        <v>150</v>
      </c>
      <c r="AH469">
        <v>192</v>
      </c>
      <c r="AI469">
        <v>45</v>
      </c>
      <c r="AJ469">
        <v>39</v>
      </c>
      <c r="AK469">
        <v>53</v>
      </c>
      <c r="AL469">
        <v>31</v>
      </c>
      <c r="AM469">
        <v>8</v>
      </c>
      <c r="AN469">
        <v>170</v>
      </c>
      <c r="AO469">
        <v>53</v>
      </c>
      <c r="AP469">
        <v>74</v>
      </c>
      <c r="AQ469">
        <v>91</v>
      </c>
      <c r="AR469">
        <v>2877</v>
      </c>
      <c r="AS469">
        <v>1160</v>
      </c>
      <c r="AT469" t="s">
        <v>7</v>
      </c>
      <c r="AU469">
        <v>0.26</v>
      </c>
      <c r="AV469">
        <v>2010</v>
      </c>
      <c r="AW469" s="1">
        <v>46002</v>
      </c>
      <c r="AX469">
        <v>29.8</v>
      </c>
      <c r="AY469" t="s">
        <v>27</v>
      </c>
      <c r="AZ469" t="s">
        <v>48</v>
      </c>
      <c r="BA469" t="s">
        <v>12</v>
      </c>
      <c r="BB469" t="s">
        <v>13</v>
      </c>
      <c r="BC469" t="s">
        <v>13</v>
      </c>
      <c r="BD469">
        <v>0</v>
      </c>
      <c r="BE469" t="s">
        <v>14</v>
      </c>
      <c r="BF469">
        <v>1</v>
      </c>
    </row>
    <row r="470" spans="1:58" hidden="1" x14ac:dyDescent="0.2">
      <c r="A470">
        <v>469</v>
      </c>
      <c r="B470" t="s">
        <v>0</v>
      </c>
      <c r="C470">
        <v>20</v>
      </c>
      <c r="D470" t="s">
        <v>1</v>
      </c>
      <c r="E470" t="s">
        <v>128</v>
      </c>
      <c r="F470" t="s">
        <v>40</v>
      </c>
      <c r="G470" t="s">
        <v>16</v>
      </c>
      <c r="H470" t="s">
        <v>24</v>
      </c>
      <c r="I470" t="s">
        <v>115</v>
      </c>
      <c r="J470" t="s">
        <v>18</v>
      </c>
      <c r="K470" t="s">
        <v>7</v>
      </c>
      <c r="L470">
        <v>4.4000000000000004</v>
      </c>
      <c r="M470">
        <v>7.6</v>
      </c>
      <c r="N470" t="s">
        <v>25</v>
      </c>
      <c r="O470" t="s">
        <v>41</v>
      </c>
      <c r="P470" t="s">
        <v>26</v>
      </c>
      <c r="Q470">
        <v>39</v>
      </c>
      <c r="R470">
        <v>5</v>
      </c>
      <c r="S470">
        <v>22.4</v>
      </c>
      <c r="T470">
        <v>99</v>
      </c>
      <c r="U470">
        <v>93</v>
      </c>
      <c r="V470">
        <v>7940</v>
      </c>
      <c r="W470">
        <v>40.299999999999997</v>
      </c>
      <c r="X470">
        <v>5</v>
      </c>
      <c r="Y470">
        <v>5</v>
      </c>
      <c r="Z470">
        <v>2</v>
      </c>
      <c r="AA470">
        <v>7.7</v>
      </c>
      <c r="AB470">
        <v>3</v>
      </c>
      <c r="AC470">
        <v>458</v>
      </c>
      <c r="AD470">
        <v>50</v>
      </c>
      <c r="AE470">
        <v>12</v>
      </c>
      <c r="AF470">
        <v>300</v>
      </c>
      <c r="AG470">
        <v>150</v>
      </c>
      <c r="AH470">
        <v>241</v>
      </c>
      <c r="AI470">
        <v>72</v>
      </c>
      <c r="AJ470">
        <v>47</v>
      </c>
      <c r="AK470">
        <v>54</v>
      </c>
      <c r="AL470">
        <v>40</v>
      </c>
      <c r="AM470">
        <v>9</v>
      </c>
      <c r="AN470">
        <v>236</v>
      </c>
      <c r="AO470">
        <v>114</v>
      </c>
      <c r="AP470">
        <v>77</v>
      </c>
      <c r="AQ470">
        <v>176</v>
      </c>
      <c r="AR470">
        <v>1352</v>
      </c>
      <c r="AS470">
        <v>1118</v>
      </c>
      <c r="AT470" t="s">
        <v>7</v>
      </c>
      <c r="AU470">
        <v>0.91</v>
      </c>
      <c r="AV470">
        <v>2012</v>
      </c>
      <c r="AW470" s="1">
        <v>46011</v>
      </c>
      <c r="AX470">
        <v>9.1999999999999993</v>
      </c>
      <c r="AY470" t="s">
        <v>19</v>
      </c>
      <c r="AZ470" t="s">
        <v>35</v>
      </c>
      <c r="BA470" t="s">
        <v>21</v>
      </c>
      <c r="BB470" t="s">
        <v>13</v>
      </c>
      <c r="BC470" t="s">
        <v>7</v>
      </c>
      <c r="BD470">
        <v>1</v>
      </c>
      <c r="BE470" t="s">
        <v>14</v>
      </c>
      <c r="BF470">
        <v>0.92</v>
      </c>
    </row>
    <row r="471" spans="1:58" hidden="1" x14ac:dyDescent="0.2">
      <c r="A471">
        <v>470</v>
      </c>
      <c r="B471" t="s">
        <v>0</v>
      </c>
      <c r="C471">
        <v>65</v>
      </c>
      <c r="D471" t="s">
        <v>1</v>
      </c>
      <c r="E471" t="s">
        <v>128</v>
      </c>
      <c r="F471" t="s">
        <v>15</v>
      </c>
      <c r="G471" t="s">
        <v>117</v>
      </c>
      <c r="H471" t="s">
        <v>118</v>
      </c>
      <c r="I471" t="s">
        <v>115</v>
      </c>
      <c r="J471" t="s">
        <v>32</v>
      </c>
      <c r="K471" t="s">
        <v>13</v>
      </c>
      <c r="L471">
        <v>4.5</v>
      </c>
      <c r="M471">
        <v>7.2</v>
      </c>
      <c r="N471" t="s">
        <v>8</v>
      </c>
      <c r="O471" t="s">
        <v>7</v>
      </c>
      <c r="P471" t="s">
        <v>121</v>
      </c>
      <c r="Q471">
        <v>14</v>
      </c>
      <c r="R471">
        <v>2</v>
      </c>
      <c r="S471">
        <v>19.100000000000001</v>
      </c>
      <c r="T471">
        <v>134</v>
      </c>
      <c r="U471">
        <v>97</v>
      </c>
      <c r="V471">
        <v>7948</v>
      </c>
      <c r="W471">
        <v>45</v>
      </c>
      <c r="X471">
        <v>4</v>
      </c>
      <c r="Y471">
        <v>8</v>
      </c>
      <c r="Z471">
        <v>6</v>
      </c>
      <c r="AA471">
        <v>3.2</v>
      </c>
      <c r="AB471">
        <v>5</v>
      </c>
      <c r="AC471">
        <v>124</v>
      </c>
      <c r="AD471">
        <v>10</v>
      </c>
      <c r="AE471">
        <v>5</v>
      </c>
      <c r="AF471">
        <v>110</v>
      </c>
      <c r="AG471">
        <v>92</v>
      </c>
      <c r="AH471">
        <v>103</v>
      </c>
      <c r="AI471">
        <v>17</v>
      </c>
      <c r="AJ471">
        <v>33</v>
      </c>
      <c r="AK471">
        <v>20</v>
      </c>
      <c r="AL471">
        <v>16</v>
      </c>
      <c r="AM471">
        <v>3</v>
      </c>
      <c r="AN471">
        <v>62</v>
      </c>
      <c r="AO471">
        <v>25</v>
      </c>
      <c r="AP471">
        <v>23</v>
      </c>
      <c r="AQ471">
        <v>31</v>
      </c>
      <c r="AR471">
        <v>367</v>
      </c>
      <c r="AS471">
        <v>237</v>
      </c>
      <c r="AT471" t="s">
        <v>7</v>
      </c>
      <c r="AU471">
        <v>0.53</v>
      </c>
      <c r="AV471">
        <v>2017</v>
      </c>
      <c r="AW471" s="1">
        <v>45887</v>
      </c>
      <c r="AX471">
        <v>12.4</v>
      </c>
      <c r="AY471" t="s">
        <v>30</v>
      </c>
      <c r="AZ471" t="s">
        <v>48</v>
      </c>
      <c r="BA471" t="s">
        <v>122</v>
      </c>
      <c r="BB471" t="s">
        <v>7</v>
      </c>
      <c r="BC471" t="s">
        <v>7</v>
      </c>
      <c r="BD471">
        <v>1</v>
      </c>
      <c r="BE471" t="s">
        <v>49</v>
      </c>
      <c r="BF471">
        <v>1.22</v>
      </c>
    </row>
    <row r="472" spans="1:58" hidden="1" x14ac:dyDescent="0.2">
      <c r="A472">
        <v>471</v>
      </c>
      <c r="B472" t="s">
        <v>0</v>
      </c>
      <c r="C472">
        <v>56</v>
      </c>
      <c r="D472" t="s">
        <v>1</v>
      </c>
      <c r="E472" t="s">
        <v>42</v>
      </c>
      <c r="F472" t="s">
        <v>15</v>
      </c>
      <c r="G472" t="s">
        <v>117</v>
      </c>
      <c r="H472" t="s">
        <v>118</v>
      </c>
      <c r="I472" t="s">
        <v>114</v>
      </c>
      <c r="J472" t="s">
        <v>6</v>
      </c>
      <c r="K472" t="s">
        <v>7</v>
      </c>
      <c r="L472">
        <v>6.6</v>
      </c>
      <c r="M472">
        <v>7.4</v>
      </c>
      <c r="N472" t="s">
        <v>120</v>
      </c>
      <c r="O472" t="s">
        <v>7</v>
      </c>
      <c r="P472" t="s">
        <v>121</v>
      </c>
      <c r="Q472">
        <v>4</v>
      </c>
      <c r="R472">
        <v>9</v>
      </c>
      <c r="S472">
        <v>26.5</v>
      </c>
      <c r="T472">
        <v>132</v>
      </c>
      <c r="U472">
        <v>62</v>
      </c>
      <c r="V472">
        <v>8019</v>
      </c>
      <c r="W472">
        <v>47.4</v>
      </c>
      <c r="X472">
        <v>3</v>
      </c>
      <c r="Y472">
        <v>5</v>
      </c>
      <c r="Z472">
        <v>10</v>
      </c>
      <c r="AA472">
        <v>0.7</v>
      </c>
      <c r="AB472">
        <v>3</v>
      </c>
      <c r="AC472">
        <v>5</v>
      </c>
      <c r="AD472">
        <v>1</v>
      </c>
      <c r="AE472">
        <v>1</v>
      </c>
      <c r="AF472">
        <v>52</v>
      </c>
      <c r="AG472">
        <v>31</v>
      </c>
      <c r="AH472">
        <v>24</v>
      </c>
      <c r="AI472">
        <v>2</v>
      </c>
      <c r="AJ472">
        <v>6</v>
      </c>
      <c r="AK472">
        <v>7</v>
      </c>
      <c r="AL472">
        <v>3</v>
      </c>
      <c r="AM472">
        <v>0</v>
      </c>
      <c r="AN472">
        <v>2</v>
      </c>
      <c r="AO472">
        <v>1</v>
      </c>
      <c r="AP472">
        <v>1</v>
      </c>
      <c r="AQ472">
        <v>2</v>
      </c>
      <c r="AR472">
        <v>1765</v>
      </c>
      <c r="AS472">
        <v>955</v>
      </c>
      <c r="AT472" t="s">
        <v>7</v>
      </c>
      <c r="AU472">
        <v>0.48</v>
      </c>
      <c r="AV472">
        <v>2017</v>
      </c>
      <c r="AW472" s="1">
        <v>45791</v>
      </c>
      <c r="AX472">
        <v>5</v>
      </c>
      <c r="AY472" t="s">
        <v>19</v>
      </c>
      <c r="AZ472" t="s">
        <v>35</v>
      </c>
      <c r="BA472" t="s">
        <v>21</v>
      </c>
      <c r="BB472" t="s">
        <v>13</v>
      </c>
      <c r="BC472" t="s">
        <v>7</v>
      </c>
      <c r="BD472">
        <v>2</v>
      </c>
      <c r="BE472" t="s">
        <v>43</v>
      </c>
      <c r="BF472">
        <v>5.17</v>
      </c>
    </row>
    <row r="473" spans="1:58" hidden="1" x14ac:dyDescent="0.2">
      <c r="A473">
        <v>472</v>
      </c>
      <c r="B473" t="s">
        <v>0</v>
      </c>
      <c r="C473">
        <v>56</v>
      </c>
      <c r="D473" t="s">
        <v>28</v>
      </c>
      <c r="E473" t="s">
        <v>2</v>
      </c>
      <c r="F473" t="s">
        <v>15</v>
      </c>
      <c r="G473" t="s">
        <v>16</v>
      </c>
      <c r="H473" t="s">
        <v>118</v>
      </c>
      <c r="I473" t="s">
        <v>113</v>
      </c>
      <c r="J473" t="s">
        <v>32</v>
      </c>
      <c r="K473" t="s">
        <v>13</v>
      </c>
      <c r="L473">
        <v>11.9</v>
      </c>
      <c r="M473">
        <v>8.5</v>
      </c>
      <c r="N473" t="s">
        <v>8</v>
      </c>
      <c r="O473" t="s">
        <v>7</v>
      </c>
      <c r="P473" t="s">
        <v>26</v>
      </c>
      <c r="Q473">
        <v>37</v>
      </c>
      <c r="R473">
        <v>1</v>
      </c>
      <c r="S473">
        <v>23.9</v>
      </c>
      <c r="T473">
        <v>125</v>
      </c>
      <c r="U473">
        <v>85</v>
      </c>
      <c r="V473">
        <v>8024</v>
      </c>
      <c r="W473">
        <v>38</v>
      </c>
      <c r="X473">
        <v>1</v>
      </c>
      <c r="Y473">
        <v>2</v>
      </c>
      <c r="Z473">
        <v>7</v>
      </c>
      <c r="AA473">
        <v>7.8</v>
      </c>
      <c r="AB473">
        <v>1</v>
      </c>
      <c r="AC473">
        <v>384</v>
      </c>
      <c r="AD473">
        <v>21</v>
      </c>
      <c r="AE473">
        <v>7</v>
      </c>
      <c r="AF473">
        <v>282</v>
      </c>
      <c r="AG473">
        <v>150</v>
      </c>
      <c r="AH473">
        <v>213</v>
      </c>
      <c r="AI473">
        <v>62</v>
      </c>
      <c r="AJ473">
        <v>59</v>
      </c>
      <c r="AK473">
        <v>41</v>
      </c>
      <c r="AL473">
        <v>42</v>
      </c>
      <c r="AM473">
        <v>11</v>
      </c>
      <c r="AN473">
        <v>185</v>
      </c>
      <c r="AO473">
        <v>101</v>
      </c>
      <c r="AP473">
        <v>66</v>
      </c>
      <c r="AQ473">
        <v>143</v>
      </c>
      <c r="AR473">
        <v>7326</v>
      </c>
      <c r="AS473">
        <v>8763</v>
      </c>
      <c r="AT473" t="s">
        <v>7</v>
      </c>
      <c r="AU473">
        <v>0.09</v>
      </c>
      <c r="AV473">
        <v>2014</v>
      </c>
      <c r="AW473" s="1">
        <v>45769</v>
      </c>
      <c r="AX473">
        <v>18.3</v>
      </c>
      <c r="AY473" t="s">
        <v>36</v>
      </c>
      <c r="AZ473" t="s">
        <v>17</v>
      </c>
      <c r="BA473" t="s">
        <v>21</v>
      </c>
      <c r="BB473" t="s">
        <v>13</v>
      </c>
      <c r="BC473" t="s">
        <v>7</v>
      </c>
      <c r="BD473">
        <v>1</v>
      </c>
      <c r="BE473" t="s">
        <v>14</v>
      </c>
      <c r="BF473">
        <v>0.93</v>
      </c>
    </row>
    <row r="474" spans="1:58" hidden="1" x14ac:dyDescent="0.2">
      <c r="A474">
        <v>473</v>
      </c>
      <c r="B474" t="s">
        <v>0</v>
      </c>
      <c r="C474">
        <v>17</v>
      </c>
      <c r="D474" t="s">
        <v>1</v>
      </c>
      <c r="E474" t="s">
        <v>128</v>
      </c>
      <c r="F474" t="s">
        <v>15</v>
      </c>
      <c r="G474" t="s">
        <v>16</v>
      </c>
      <c r="H474" t="s">
        <v>118</v>
      </c>
      <c r="I474" t="s">
        <v>112</v>
      </c>
      <c r="J474" t="s">
        <v>32</v>
      </c>
      <c r="K474" t="s">
        <v>13</v>
      </c>
      <c r="L474">
        <v>4.2</v>
      </c>
      <c r="M474">
        <v>7.8</v>
      </c>
      <c r="N474" t="s">
        <v>120</v>
      </c>
      <c r="O474" t="s">
        <v>7</v>
      </c>
      <c r="P474" t="s">
        <v>9</v>
      </c>
      <c r="Q474">
        <v>8</v>
      </c>
      <c r="R474">
        <v>4</v>
      </c>
      <c r="S474">
        <v>17.2</v>
      </c>
      <c r="T474">
        <v>149</v>
      </c>
      <c r="U474">
        <v>83</v>
      </c>
      <c r="V474">
        <v>8007</v>
      </c>
      <c r="W474">
        <v>22.9</v>
      </c>
      <c r="X474">
        <v>3</v>
      </c>
      <c r="Y474">
        <v>2</v>
      </c>
      <c r="Z474">
        <v>8</v>
      </c>
      <c r="AA474">
        <v>3.4</v>
      </c>
      <c r="AB474">
        <v>4</v>
      </c>
      <c r="AC474">
        <v>200</v>
      </c>
      <c r="AD474">
        <v>11</v>
      </c>
      <c r="AE474">
        <v>8</v>
      </c>
      <c r="AF474">
        <v>217</v>
      </c>
      <c r="AG474">
        <v>110</v>
      </c>
      <c r="AH474">
        <v>121</v>
      </c>
      <c r="AI474">
        <v>31</v>
      </c>
      <c r="AJ474">
        <v>25</v>
      </c>
      <c r="AK474">
        <v>30</v>
      </c>
      <c r="AL474">
        <v>30</v>
      </c>
      <c r="AM474">
        <v>3</v>
      </c>
      <c r="AN474">
        <v>99</v>
      </c>
      <c r="AO474">
        <v>35</v>
      </c>
      <c r="AP474">
        <v>22</v>
      </c>
      <c r="AQ474">
        <v>48</v>
      </c>
      <c r="AR474">
        <v>2974</v>
      </c>
      <c r="AS474">
        <v>3680</v>
      </c>
      <c r="AT474" t="s">
        <v>7</v>
      </c>
      <c r="AU474">
        <v>0.52</v>
      </c>
      <c r="AV474">
        <v>2016</v>
      </c>
      <c r="AW474" s="1">
        <v>45942</v>
      </c>
      <c r="AX474">
        <v>18.2</v>
      </c>
      <c r="AY474" t="s">
        <v>27</v>
      </c>
      <c r="AZ474" t="s">
        <v>31</v>
      </c>
      <c r="BA474" t="s">
        <v>21</v>
      </c>
      <c r="BB474" t="s">
        <v>7</v>
      </c>
      <c r="BC474" t="s">
        <v>7</v>
      </c>
      <c r="BD474">
        <v>3</v>
      </c>
      <c r="BE474" t="s">
        <v>14</v>
      </c>
      <c r="BF474">
        <v>1.03</v>
      </c>
    </row>
    <row r="475" spans="1:58" hidden="1" x14ac:dyDescent="0.2">
      <c r="A475">
        <v>474</v>
      </c>
      <c r="B475" t="s">
        <v>0</v>
      </c>
      <c r="C475">
        <v>51</v>
      </c>
      <c r="D475" t="s">
        <v>28</v>
      </c>
      <c r="E475" t="s">
        <v>126</v>
      </c>
      <c r="F475" t="s">
        <v>15</v>
      </c>
      <c r="G475" t="s">
        <v>116</v>
      </c>
      <c r="H475" t="s">
        <v>23</v>
      </c>
      <c r="I475" t="s">
        <v>112</v>
      </c>
      <c r="J475" t="s">
        <v>123</v>
      </c>
      <c r="K475" t="s">
        <v>7</v>
      </c>
      <c r="L475">
        <v>10.3</v>
      </c>
      <c r="M475">
        <v>5</v>
      </c>
      <c r="N475" t="s">
        <v>25</v>
      </c>
      <c r="O475" t="s">
        <v>7</v>
      </c>
      <c r="P475" t="s">
        <v>46</v>
      </c>
      <c r="Q475">
        <v>10</v>
      </c>
      <c r="R475">
        <v>5</v>
      </c>
      <c r="S475">
        <v>26.7</v>
      </c>
      <c r="T475">
        <v>120</v>
      </c>
      <c r="U475">
        <v>97</v>
      </c>
      <c r="V475">
        <v>8044</v>
      </c>
      <c r="W475">
        <v>28.7</v>
      </c>
      <c r="X475">
        <v>1</v>
      </c>
      <c r="Y475">
        <v>2</v>
      </c>
      <c r="Z475">
        <v>9</v>
      </c>
      <c r="AA475">
        <v>8.1</v>
      </c>
      <c r="AB475">
        <v>3</v>
      </c>
      <c r="AC475">
        <v>49</v>
      </c>
      <c r="AD475">
        <v>3</v>
      </c>
      <c r="AE475">
        <v>2</v>
      </c>
      <c r="AF475">
        <v>66</v>
      </c>
      <c r="AG475">
        <v>51</v>
      </c>
      <c r="AH475">
        <v>43</v>
      </c>
      <c r="AI475">
        <v>16</v>
      </c>
      <c r="AJ475">
        <v>25</v>
      </c>
      <c r="AK475">
        <v>12</v>
      </c>
      <c r="AL475">
        <v>7</v>
      </c>
      <c r="AM475">
        <v>3</v>
      </c>
      <c r="AN475">
        <v>24</v>
      </c>
      <c r="AO475">
        <v>9</v>
      </c>
      <c r="AP475">
        <v>11</v>
      </c>
      <c r="AQ475">
        <v>16</v>
      </c>
      <c r="AR475">
        <v>292</v>
      </c>
      <c r="AS475">
        <v>411</v>
      </c>
      <c r="AT475" t="s">
        <v>13</v>
      </c>
      <c r="AU475">
        <v>0.47</v>
      </c>
      <c r="AV475">
        <v>2020</v>
      </c>
      <c r="AW475" s="1">
        <v>45716</v>
      </c>
      <c r="AX475">
        <v>16.3</v>
      </c>
      <c r="AY475" t="s">
        <v>10</v>
      </c>
      <c r="AZ475" t="s">
        <v>31</v>
      </c>
      <c r="BA475" t="s">
        <v>21</v>
      </c>
      <c r="BB475" t="s">
        <v>13</v>
      </c>
      <c r="BC475" t="s">
        <v>7</v>
      </c>
      <c r="BD475">
        <v>2</v>
      </c>
      <c r="BE475" t="s">
        <v>14</v>
      </c>
      <c r="BF475">
        <v>1.62</v>
      </c>
    </row>
    <row r="476" spans="1:58" hidden="1" x14ac:dyDescent="0.2">
      <c r="A476">
        <v>475</v>
      </c>
      <c r="B476" t="s">
        <v>0</v>
      </c>
      <c r="C476">
        <v>16</v>
      </c>
      <c r="D476" t="s">
        <v>28</v>
      </c>
      <c r="E476" t="s">
        <v>128</v>
      </c>
      <c r="F476" t="s">
        <v>15</v>
      </c>
      <c r="G476" t="s">
        <v>117</v>
      </c>
      <c r="H476" t="s">
        <v>34</v>
      </c>
      <c r="I476" t="s">
        <v>115</v>
      </c>
      <c r="J476" t="s">
        <v>6</v>
      </c>
      <c r="K476" t="s">
        <v>7</v>
      </c>
      <c r="L476">
        <v>8.1999999999999993</v>
      </c>
      <c r="M476">
        <v>4.4000000000000004</v>
      </c>
      <c r="N476" t="s">
        <v>29</v>
      </c>
      <c r="O476" t="s">
        <v>13</v>
      </c>
      <c r="P476" t="s">
        <v>9</v>
      </c>
      <c r="Q476">
        <v>18</v>
      </c>
      <c r="R476">
        <v>6</v>
      </c>
      <c r="S476">
        <v>29.3</v>
      </c>
      <c r="T476">
        <v>143</v>
      </c>
      <c r="U476">
        <v>81</v>
      </c>
      <c r="V476">
        <v>7877</v>
      </c>
      <c r="W476">
        <v>59.2</v>
      </c>
      <c r="X476">
        <v>4</v>
      </c>
      <c r="Y476">
        <v>6</v>
      </c>
      <c r="Z476">
        <v>16</v>
      </c>
      <c r="AA476">
        <v>3.3</v>
      </c>
      <c r="AB476">
        <v>4</v>
      </c>
      <c r="AC476">
        <v>204</v>
      </c>
      <c r="AD476">
        <v>11</v>
      </c>
      <c r="AE476">
        <v>13</v>
      </c>
      <c r="AF476">
        <v>219</v>
      </c>
      <c r="AG476">
        <v>105</v>
      </c>
      <c r="AH476">
        <v>135</v>
      </c>
      <c r="AI476">
        <v>39</v>
      </c>
      <c r="AJ476">
        <v>27</v>
      </c>
      <c r="AK476">
        <v>34</v>
      </c>
      <c r="AL476">
        <v>15</v>
      </c>
      <c r="AM476">
        <v>9</v>
      </c>
      <c r="AN476">
        <v>109</v>
      </c>
      <c r="AO476">
        <v>50</v>
      </c>
      <c r="AP476">
        <v>27</v>
      </c>
      <c r="AQ476">
        <v>52</v>
      </c>
      <c r="AR476">
        <v>1209</v>
      </c>
      <c r="AS476">
        <v>551</v>
      </c>
      <c r="AT476" t="s">
        <v>7</v>
      </c>
      <c r="AU476">
        <v>0.9</v>
      </c>
      <c r="AV476">
        <v>2017</v>
      </c>
      <c r="AW476" s="1">
        <v>45717</v>
      </c>
      <c r="AX476">
        <v>18.5</v>
      </c>
      <c r="AY476" t="s">
        <v>45</v>
      </c>
      <c r="AZ476" t="s">
        <v>35</v>
      </c>
      <c r="BA476" t="s">
        <v>21</v>
      </c>
      <c r="BB476" t="s">
        <v>13</v>
      </c>
      <c r="BC476" t="s">
        <v>7</v>
      </c>
      <c r="BD476">
        <v>3</v>
      </c>
      <c r="BE476" t="s">
        <v>14</v>
      </c>
      <c r="BF476">
        <v>1.23</v>
      </c>
    </row>
    <row r="477" spans="1:58" hidden="1" x14ac:dyDescent="0.2">
      <c r="A477">
        <v>476</v>
      </c>
      <c r="B477" t="s">
        <v>0</v>
      </c>
      <c r="C477">
        <v>18</v>
      </c>
      <c r="D477" t="s">
        <v>1</v>
      </c>
      <c r="E477" t="s">
        <v>33</v>
      </c>
      <c r="F477" t="s">
        <v>15</v>
      </c>
      <c r="G477" t="s">
        <v>38</v>
      </c>
      <c r="H477" t="s">
        <v>23</v>
      </c>
      <c r="I477" t="s">
        <v>112</v>
      </c>
      <c r="J477" t="s">
        <v>18</v>
      </c>
      <c r="K477" t="s">
        <v>7</v>
      </c>
      <c r="L477">
        <v>11</v>
      </c>
      <c r="M477">
        <v>6.2</v>
      </c>
      <c r="N477" t="s">
        <v>25</v>
      </c>
      <c r="O477" t="s">
        <v>41</v>
      </c>
      <c r="P477" t="s">
        <v>26</v>
      </c>
      <c r="Q477">
        <v>2</v>
      </c>
      <c r="R477">
        <v>2</v>
      </c>
      <c r="S477">
        <v>29.6</v>
      </c>
      <c r="T477">
        <v>124</v>
      </c>
      <c r="U477">
        <v>74</v>
      </c>
      <c r="V477">
        <v>8206</v>
      </c>
      <c r="W477">
        <v>47.5</v>
      </c>
      <c r="X477">
        <v>1</v>
      </c>
      <c r="Y477">
        <v>3</v>
      </c>
      <c r="Z477">
        <v>10</v>
      </c>
      <c r="AA477">
        <v>6.9</v>
      </c>
      <c r="AB477">
        <v>1</v>
      </c>
      <c r="AC477">
        <v>121</v>
      </c>
      <c r="AD477">
        <v>10</v>
      </c>
      <c r="AE477">
        <v>7</v>
      </c>
      <c r="AF477">
        <v>183</v>
      </c>
      <c r="AG477">
        <v>79</v>
      </c>
      <c r="AH477">
        <v>87</v>
      </c>
      <c r="AI477">
        <v>16</v>
      </c>
      <c r="AJ477">
        <v>16</v>
      </c>
      <c r="AK477">
        <v>18</v>
      </c>
      <c r="AL477">
        <v>15</v>
      </c>
      <c r="AM477">
        <v>3</v>
      </c>
      <c r="AN477">
        <v>57</v>
      </c>
      <c r="AO477">
        <v>33</v>
      </c>
      <c r="AP477">
        <v>25</v>
      </c>
      <c r="AQ477">
        <v>48</v>
      </c>
      <c r="AR477">
        <v>812</v>
      </c>
      <c r="AS477">
        <v>655</v>
      </c>
      <c r="AT477" t="s">
        <v>7</v>
      </c>
      <c r="AU477">
        <v>0.39</v>
      </c>
      <c r="AV477">
        <v>2014</v>
      </c>
      <c r="AW477" s="1">
        <v>45978</v>
      </c>
      <c r="AX477">
        <v>12.1</v>
      </c>
      <c r="AY477" t="s">
        <v>19</v>
      </c>
      <c r="AZ477" t="s">
        <v>51</v>
      </c>
      <c r="BA477" t="s">
        <v>21</v>
      </c>
      <c r="BB477" t="s">
        <v>7</v>
      </c>
      <c r="BC477" t="s">
        <v>13</v>
      </c>
      <c r="BD477">
        <v>4</v>
      </c>
      <c r="BE477" t="s">
        <v>14</v>
      </c>
      <c r="BF477">
        <v>1.1499999999999999</v>
      </c>
    </row>
    <row r="478" spans="1:58" hidden="1" x14ac:dyDescent="0.2">
      <c r="A478">
        <v>477</v>
      </c>
      <c r="B478" t="s">
        <v>0</v>
      </c>
      <c r="C478">
        <v>57</v>
      </c>
      <c r="D478" t="s">
        <v>28</v>
      </c>
      <c r="E478" t="s">
        <v>128</v>
      </c>
      <c r="F478" t="s">
        <v>40</v>
      </c>
      <c r="G478" t="s">
        <v>16</v>
      </c>
      <c r="H478" t="s">
        <v>118</v>
      </c>
      <c r="I478" t="s">
        <v>114</v>
      </c>
      <c r="J478" t="s">
        <v>123</v>
      </c>
      <c r="K478" t="s">
        <v>13</v>
      </c>
      <c r="L478">
        <v>16.399999999999999</v>
      </c>
      <c r="M478">
        <v>8.6999999999999993</v>
      </c>
      <c r="N478" t="s">
        <v>29</v>
      </c>
      <c r="O478" t="s">
        <v>7</v>
      </c>
      <c r="P478" t="s">
        <v>26</v>
      </c>
      <c r="Q478">
        <v>17</v>
      </c>
      <c r="R478">
        <v>6</v>
      </c>
      <c r="S478">
        <v>22.1</v>
      </c>
      <c r="T478">
        <v>145</v>
      </c>
      <c r="U478">
        <v>91</v>
      </c>
      <c r="V478">
        <v>8033</v>
      </c>
      <c r="W478">
        <v>54.7</v>
      </c>
      <c r="X478">
        <v>4</v>
      </c>
      <c r="Y478">
        <v>4</v>
      </c>
      <c r="Z478">
        <v>15</v>
      </c>
      <c r="AA478">
        <v>2.1</v>
      </c>
      <c r="AB478">
        <v>7</v>
      </c>
      <c r="AC478">
        <v>112</v>
      </c>
      <c r="AD478">
        <v>6</v>
      </c>
      <c r="AE478">
        <v>6</v>
      </c>
      <c r="AF478">
        <v>107</v>
      </c>
      <c r="AG478">
        <v>80</v>
      </c>
      <c r="AH478">
        <v>86</v>
      </c>
      <c r="AI478">
        <v>24</v>
      </c>
      <c r="AJ478">
        <v>25</v>
      </c>
      <c r="AK478">
        <v>25</v>
      </c>
      <c r="AL478">
        <v>3</v>
      </c>
      <c r="AM478">
        <v>8</v>
      </c>
      <c r="AN478">
        <v>66</v>
      </c>
      <c r="AO478">
        <v>27</v>
      </c>
      <c r="AP478">
        <v>24</v>
      </c>
      <c r="AQ478">
        <v>24</v>
      </c>
      <c r="AR478">
        <v>1108</v>
      </c>
      <c r="AS478">
        <v>1234</v>
      </c>
      <c r="AT478" t="s">
        <v>7</v>
      </c>
      <c r="AU478">
        <v>0.84</v>
      </c>
      <c r="AV478">
        <v>2020</v>
      </c>
      <c r="AW478" s="1">
        <v>45827</v>
      </c>
      <c r="AX478">
        <v>18.7</v>
      </c>
      <c r="AY478" t="s">
        <v>19</v>
      </c>
      <c r="AZ478" t="s">
        <v>17</v>
      </c>
      <c r="BA478" t="s">
        <v>12</v>
      </c>
      <c r="BB478" t="s">
        <v>13</v>
      </c>
      <c r="BC478" t="s">
        <v>13</v>
      </c>
      <c r="BD478">
        <v>0</v>
      </c>
      <c r="BE478" t="s">
        <v>14</v>
      </c>
      <c r="BF478">
        <v>1.35</v>
      </c>
    </row>
    <row r="479" spans="1:58" hidden="1" x14ac:dyDescent="0.2">
      <c r="A479">
        <v>478</v>
      </c>
      <c r="B479" t="s">
        <v>0</v>
      </c>
      <c r="C479">
        <v>44</v>
      </c>
      <c r="D479" t="s">
        <v>28</v>
      </c>
      <c r="E479" t="s">
        <v>22</v>
      </c>
      <c r="F479" t="s">
        <v>15</v>
      </c>
      <c r="G479" t="s">
        <v>16</v>
      </c>
      <c r="H479" t="s">
        <v>119</v>
      </c>
      <c r="I479" t="s">
        <v>17</v>
      </c>
      <c r="J479" t="s">
        <v>6</v>
      </c>
      <c r="K479" t="s">
        <v>7</v>
      </c>
      <c r="L479">
        <v>16.8</v>
      </c>
      <c r="M479">
        <v>8.1999999999999993</v>
      </c>
      <c r="N479" t="s">
        <v>120</v>
      </c>
      <c r="O479" t="s">
        <v>7</v>
      </c>
      <c r="P479" t="s">
        <v>9</v>
      </c>
      <c r="Q479">
        <v>8</v>
      </c>
      <c r="R479">
        <v>2</v>
      </c>
      <c r="S479">
        <v>25.2</v>
      </c>
      <c r="T479">
        <v>119</v>
      </c>
      <c r="U479">
        <v>60</v>
      </c>
      <c r="V479">
        <v>7806</v>
      </c>
      <c r="W479">
        <v>35.4</v>
      </c>
      <c r="X479">
        <v>3</v>
      </c>
      <c r="Y479">
        <v>4</v>
      </c>
      <c r="Z479">
        <v>10</v>
      </c>
      <c r="AA479">
        <v>5.9</v>
      </c>
      <c r="AB479">
        <v>6</v>
      </c>
      <c r="AC479">
        <v>163</v>
      </c>
      <c r="AD479">
        <v>8</v>
      </c>
      <c r="AE479">
        <v>3</v>
      </c>
      <c r="AF479">
        <v>139</v>
      </c>
      <c r="AG479">
        <v>84</v>
      </c>
      <c r="AH479">
        <v>104</v>
      </c>
      <c r="AI479">
        <v>30</v>
      </c>
      <c r="AJ479">
        <v>34</v>
      </c>
      <c r="AK479">
        <v>26</v>
      </c>
      <c r="AL479">
        <v>15</v>
      </c>
      <c r="AM479">
        <v>3</v>
      </c>
      <c r="AN479">
        <v>66</v>
      </c>
      <c r="AO479">
        <v>29</v>
      </c>
      <c r="AP479">
        <v>17</v>
      </c>
      <c r="AQ479">
        <v>62</v>
      </c>
      <c r="AR479">
        <v>255</v>
      </c>
      <c r="AS479">
        <v>535</v>
      </c>
      <c r="AT479" t="s">
        <v>7</v>
      </c>
      <c r="AU479">
        <v>0.85</v>
      </c>
      <c r="AV479">
        <v>2017</v>
      </c>
      <c r="AW479" s="1">
        <v>45970</v>
      </c>
      <c r="AX479">
        <v>20.399999999999999</v>
      </c>
      <c r="AY479" t="s">
        <v>36</v>
      </c>
      <c r="AZ479" t="s">
        <v>31</v>
      </c>
      <c r="BA479" t="s">
        <v>12</v>
      </c>
      <c r="BB479" t="s">
        <v>13</v>
      </c>
      <c r="BC479" t="s">
        <v>13</v>
      </c>
      <c r="BD479">
        <v>5</v>
      </c>
      <c r="BE479" t="s">
        <v>43</v>
      </c>
      <c r="BF479">
        <v>1.05</v>
      </c>
    </row>
    <row r="480" spans="1:58" hidden="1" x14ac:dyDescent="0.2">
      <c r="A480">
        <v>479</v>
      </c>
      <c r="B480" t="s">
        <v>0</v>
      </c>
      <c r="C480">
        <v>64</v>
      </c>
      <c r="D480" t="s">
        <v>28</v>
      </c>
      <c r="E480" t="s">
        <v>33</v>
      </c>
      <c r="F480" t="s">
        <v>40</v>
      </c>
      <c r="G480" t="s">
        <v>116</v>
      </c>
      <c r="H480" t="s">
        <v>24</v>
      </c>
      <c r="I480" t="s">
        <v>112</v>
      </c>
      <c r="J480" t="s">
        <v>32</v>
      </c>
      <c r="K480" t="s">
        <v>7</v>
      </c>
      <c r="L480">
        <v>4.5999999999999996</v>
      </c>
      <c r="M480">
        <v>7.5</v>
      </c>
      <c r="N480" t="s">
        <v>25</v>
      </c>
      <c r="O480" t="s">
        <v>7</v>
      </c>
      <c r="P480" t="s">
        <v>9</v>
      </c>
      <c r="Q480">
        <v>39</v>
      </c>
      <c r="R480">
        <v>4</v>
      </c>
      <c r="S480">
        <v>30.9</v>
      </c>
      <c r="T480">
        <v>126</v>
      </c>
      <c r="U480">
        <v>69</v>
      </c>
      <c r="V480">
        <v>8125</v>
      </c>
      <c r="W480">
        <v>40.1</v>
      </c>
      <c r="X480">
        <v>0</v>
      </c>
      <c r="Y480">
        <v>4</v>
      </c>
      <c r="Z480">
        <v>3</v>
      </c>
      <c r="AA480">
        <v>4.2</v>
      </c>
      <c r="AB480">
        <v>5</v>
      </c>
      <c r="AC480">
        <v>272</v>
      </c>
      <c r="AD480">
        <v>20</v>
      </c>
      <c r="AE480">
        <v>6</v>
      </c>
      <c r="AF480">
        <v>215</v>
      </c>
      <c r="AG480">
        <v>138</v>
      </c>
      <c r="AH480">
        <v>163</v>
      </c>
      <c r="AI480">
        <v>43</v>
      </c>
      <c r="AJ480">
        <v>36</v>
      </c>
      <c r="AK480">
        <v>38</v>
      </c>
      <c r="AL480">
        <v>21</v>
      </c>
      <c r="AM480">
        <v>10</v>
      </c>
      <c r="AN480">
        <v>146</v>
      </c>
      <c r="AO480">
        <v>61</v>
      </c>
      <c r="AP480">
        <v>31</v>
      </c>
      <c r="AQ480">
        <v>82</v>
      </c>
      <c r="AR480">
        <v>3105</v>
      </c>
      <c r="AS480">
        <v>5828</v>
      </c>
      <c r="AT480" t="s">
        <v>7</v>
      </c>
      <c r="AU480">
        <v>0.81</v>
      </c>
      <c r="AV480">
        <v>2010</v>
      </c>
      <c r="AW480" s="1">
        <v>45795</v>
      </c>
      <c r="AX480">
        <v>13.6</v>
      </c>
      <c r="AY480" t="s">
        <v>36</v>
      </c>
      <c r="AZ480" t="s">
        <v>48</v>
      </c>
      <c r="BA480" t="s">
        <v>122</v>
      </c>
      <c r="BB480" t="s">
        <v>13</v>
      </c>
      <c r="BC480" t="s">
        <v>13</v>
      </c>
      <c r="BD480">
        <v>2</v>
      </c>
      <c r="BE480" t="s">
        <v>14</v>
      </c>
      <c r="BF480">
        <v>0.98</v>
      </c>
    </row>
    <row r="481" spans="1:58" hidden="1" x14ac:dyDescent="0.2">
      <c r="A481">
        <v>480</v>
      </c>
      <c r="B481" t="s">
        <v>0</v>
      </c>
      <c r="C481">
        <v>42</v>
      </c>
      <c r="D481" t="s">
        <v>28</v>
      </c>
      <c r="E481" t="s">
        <v>47</v>
      </c>
      <c r="F481" t="s">
        <v>15</v>
      </c>
      <c r="G481" t="s">
        <v>117</v>
      </c>
      <c r="H481" t="s">
        <v>118</v>
      </c>
      <c r="I481" t="s">
        <v>115</v>
      </c>
      <c r="J481" t="s">
        <v>32</v>
      </c>
      <c r="K481" t="s">
        <v>13</v>
      </c>
      <c r="L481">
        <v>3.8</v>
      </c>
      <c r="M481">
        <v>5.6</v>
      </c>
      <c r="N481" t="s">
        <v>8</v>
      </c>
      <c r="O481" t="s">
        <v>7</v>
      </c>
      <c r="P481" t="s">
        <v>46</v>
      </c>
      <c r="Q481">
        <v>11</v>
      </c>
      <c r="R481">
        <v>7</v>
      </c>
      <c r="S481">
        <v>27.1</v>
      </c>
      <c r="T481">
        <v>102</v>
      </c>
      <c r="U481">
        <v>92</v>
      </c>
      <c r="V481">
        <v>8194</v>
      </c>
      <c r="W481">
        <v>39.700000000000003</v>
      </c>
      <c r="X481">
        <v>6</v>
      </c>
      <c r="Y481">
        <v>6</v>
      </c>
      <c r="Z481">
        <v>6</v>
      </c>
      <c r="AA481">
        <v>1.9</v>
      </c>
      <c r="AB481">
        <v>2</v>
      </c>
      <c r="AC481">
        <v>125</v>
      </c>
      <c r="AD481">
        <v>5</v>
      </c>
      <c r="AE481">
        <v>3</v>
      </c>
      <c r="AF481">
        <v>117</v>
      </c>
      <c r="AG481">
        <v>76</v>
      </c>
      <c r="AH481">
        <v>83</v>
      </c>
      <c r="AI481">
        <v>29</v>
      </c>
      <c r="AJ481">
        <v>21</v>
      </c>
      <c r="AK481">
        <v>15</v>
      </c>
      <c r="AL481">
        <v>11</v>
      </c>
      <c r="AM481">
        <v>5</v>
      </c>
      <c r="AN481">
        <v>75</v>
      </c>
      <c r="AO481">
        <v>26</v>
      </c>
      <c r="AP481">
        <v>15</v>
      </c>
      <c r="AQ481">
        <v>45</v>
      </c>
      <c r="AR481">
        <v>2255</v>
      </c>
      <c r="AS481">
        <v>2307</v>
      </c>
      <c r="AT481" t="s">
        <v>13</v>
      </c>
      <c r="AU481">
        <v>0.51</v>
      </c>
      <c r="AV481">
        <v>2012</v>
      </c>
      <c r="AW481" s="1">
        <v>45710</v>
      </c>
      <c r="AX481">
        <v>25</v>
      </c>
      <c r="AY481" t="s">
        <v>27</v>
      </c>
      <c r="AZ481" t="s">
        <v>31</v>
      </c>
      <c r="BA481" t="s">
        <v>12</v>
      </c>
      <c r="BB481" t="s">
        <v>7</v>
      </c>
      <c r="BC481" t="s">
        <v>13</v>
      </c>
      <c r="BD481">
        <v>1</v>
      </c>
      <c r="BE481" t="s">
        <v>14</v>
      </c>
      <c r="BF481">
        <v>1.19</v>
      </c>
    </row>
    <row r="482" spans="1:58" hidden="1" x14ac:dyDescent="0.2">
      <c r="A482">
        <v>481</v>
      </c>
      <c r="B482" t="s">
        <v>0</v>
      </c>
      <c r="C482">
        <v>59</v>
      </c>
      <c r="D482" t="s">
        <v>28</v>
      </c>
      <c r="E482" t="s">
        <v>50</v>
      </c>
      <c r="F482" t="s">
        <v>15</v>
      </c>
      <c r="G482" t="s">
        <v>16</v>
      </c>
      <c r="H482" t="s">
        <v>118</v>
      </c>
      <c r="I482" t="s">
        <v>112</v>
      </c>
      <c r="J482" t="s">
        <v>6</v>
      </c>
      <c r="K482" t="s">
        <v>7</v>
      </c>
      <c r="L482">
        <v>4</v>
      </c>
      <c r="M482">
        <v>9.6</v>
      </c>
      <c r="N482" t="s">
        <v>29</v>
      </c>
      <c r="O482" t="s">
        <v>7</v>
      </c>
      <c r="P482" t="s">
        <v>9</v>
      </c>
      <c r="Q482">
        <v>13</v>
      </c>
      <c r="R482">
        <v>1</v>
      </c>
      <c r="S482">
        <v>32.6</v>
      </c>
      <c r="T482">
        <v>105</v>
      </c>
      <c r="U482">
        <v>75</v>
      </c>
      <c r="V482">
        <v>7921</v>
      </c>
      <c r="W482">
        <v>46.3</v>
      </c>
      <c r="X482">
        <v>3</v>
      </c>
      <c r="Y482">
        <v>3</v>
      </c>
      <c r="Z482">
        <v>7</v>
      </c>
      <c r="AA482">
        <v>0.9</v>
      </c>
      <c r="AB482">
        <v>2</v>
      </c>
      <c r="AC482">
        <v>94</v>
      </c>
      <c r="AD482">
        <v>3</v>
      </c>
      <c r="AE482">
        <v>1</v>
      </c>
      <c r="AF482">
        <v>87</v>
      </c>
      <c r="AG482">
        <v>72</v>
      </c>
      <c r="AH482">
        <v>85</v>
      </c>
      <c r="AI482">
        <v>16</v>
      </c>
      <c r="AJ482">
        <v>18</v>
      </c>
      <c r="AK482">
        <v>15</v>
      </c>
      <c r="AL482">
        <v>5</v>
      </c>
      <c r="AM482">
        <v>2</v>
      </c>
      <c r="AN482">
        <v>45</v>
      </c>
      <c r="AO482">
        <v>17</v>
      </c>
      <c r="AP482">
        <v>11</v>
      </c>
      <c r="AQ482">
        <v>28</v>
      </c>
      <c r="AR482">
        <v>4393</v>
      </c>
      <c r="AS482">
        <v>5900</v>
      </c>
      <c r="AT482" t="s">
        <v>7</v>
      </c>
      <c r="AU482">
        <v>0.66</v>
      </c>
      <c r="AV482">
        <v>2016</v>
      </c>
      <c r="AW482" s="1">
        <v>45882</v>
      </c>
      <c r="AX482">
        <v>31.3</v>
      </c>
      <c r="AY482" t="s">
        <v>10</v>
      </c>
      <c r="AZ482" t="s">
        <v>20</v>
      </c>
      <c r="BA482" t="s">
        <v>21</v>
      </c>
      <c r="BB482" t="s">
        <v>7</v>
      </c>
      <c r="BC482" t="s">
        <v>7</v>
      </c>
      <c r="BD482">
        <v>1</v>
      </c>
      <c r="BE482" t="s">
        <v>14</v>
      </c>
      <c r="BF482">
        <v>1.26</v>
      </c>
    </row>
    <row r="483" spans="1:58" hidden="1" x14ac:dyDescent="0.2">
      <c r="A483">
        <v>482</v>
      </c>
      <c r="B483" t="s">
        <v>0</v>
      </c>
      <c r="C483">
        <v>47</v>
      </c>
      <c r="D483" t="s">
        <v>1</v>
      </c>
      <c r="E483" t="s">
        <v>2</v>
      </c>
      <c r="F483" t="s">
        <v>15</v>
      </c>
      <c r="G483" t="s">
        <v>38</v>
      </c>
      <c r="H483" t="s">
        <v>23</v>
      </c>
      <c r="I483" t="s">
        <v>17</v>
      </c>
      <c r="J483" t="s">
        <v>32</v>
      </c>
      <c r="K483" t="s">
        <v>13</v>
      </c>
      <c r="L483">
        <v>3.2</v>
      </c>
      <c r="M483">
        <v>6.9</v>
      </c>
      <c r="N483" t="s">
        <v>29</v>
      </c>
      <c r="O483" t="s">
        <v>13</v>
      </c>
      <c r="P483" t="s">
        <v>9</v>
      </c>
      <c r="Q483">
        <v>5</v>
      </c>
      <c r="R483">
        <v>6</v>
      </c>
      <c r="S483">
        <v>28.9</v>
      </c>
      <c r="T483">
        <v>144</v>
      </c>
      <c r="U483">
        <v>74</v>
      </c>
      <c r="V483">
        <v>7886</v>
      </c>
      <c r="W483">
        <v>28.8</v>
      </c>
      <c r="X483">
        <v>5</v>
      </c>
      <c r="Y483">
        <v>10</v>
      </c>
      <c r="Z483">
        <v>8</v>
      </c>
      <c r="AA483">
        <v>2.2999999999999998</v>
      </c>
      <c r="AB483">
        <v>5</v>
      </c>
      <c r="AC483">
        <v>38</v>
      </c>
      <c r="AD483">
        <v>4</v>
      </c>
      <c r="AE483">
        <v>4</v>
      </c>
      <c r="AF483">
        <v>64</v>
      </c>
      <c r="AG483">
        <v>35</v>
      </c>
      <c r="AH483">
        <v>46</v>
      </c>
      <c r="AI483">
        <v>17</v>
      </c>
      <c r="AJ483">
        <v>12</v>
      </c>
      <c r="AK483">
        <v>10</v>
      </c>
      <c r="AL483">
        <v>12</v>
      </c>
      <c r="AM483">
        <v>5</v>
      </c>
      <c r="AN483">
        <v>22</v>
      </c>
      <c r="AO483">
        <v>5</v>
      </c>
      <c r="AP483">
        <v>9</v>
      </c>
      <c r="AQ483">
        <v>14</v>
      </c>
      <c r="AR483">
        <v>671</v>
      </c>
      <c r="AS483">
        <v>1600</v>
      </c>
      <c r="AT483" t="s">
        <v>7</v>
      </c>
      <c r="AU483">
        <v>0.03</v>
      </c>
      <c r="AV483">
        <v>2016</v>
      </c>
      <c r="AW483" s="1">
        <v>45666</v>
      </c>
      <c r="AX483">
        <v>9.5</v>
      </c>
      <c r="AY483" t="s">
        <v>45</v>
      </c>
      <c r="AZ483" t="s">
        <v>20</v>
      </c>
      <c r="BA483" t="s">
        <v>122</v>
      </c>
      <c r="BB483" t="s">
        <v>7</v>
      </c>
      <c r="BC483" t="s">
        <v>7</v>
      </c>
      <c r="BD483">
        <v>1</v>
      </c>
      <c r="BE483" t="s">
        <v>14</v>
      </c>
      <c r="BF483">
        <v>2.36</v>
      </c>
    </row>
    <row r="484" spans="1:58" hidden="1" x14ac:dyDescent="0.2">
      <c r="A484">
        <v>483</v>
      </c>
      <c r="B484" t="s">
        <v>0</v>
      </c>
      <c r="C484">
        <v>52</v>
      </c>
      <c r="D484" t="s">
        <v>1</v>
      </c>
      <c r="E484" t="s">
        <v>2</v>
      </c>
      <c r="F484" t="s">
        <v>15</v>
      </c>
      <c r="G484" t="s">
        <v>117</v>
      </c>
      <c r="H484" t="s">
        <v>34</v>
      </c>
      <c r="I484" t="s">
        <v>115</v>
      </c>
      <c r="J484" t="s">
        <v>123</v>
      </c>
      <c r="K484" t="s">
        <v>7</v>
      </c>
      <c r="L484">
        <v>4.5</v>
      </c>
      <c r="M484">
        <v>8.9</v>
      </c>
      <c r="N484" t="s">
        <v>29</v>
      </c>
      <c r="O484" t="s">
        <v>7</v>
      </c>
      <c r="P484" t="s">
        <v>9</v>
      </c>
      <c r="Q484">
        <v>32</v>
      </c>
      <c r="R484">
        <v>6</v>
      </c>
      <c r="S484">
        <v>15</v>
      </c>
      <c r="T484">
        <v>126</v>
      </c>
      <c r="U484">
        <v>78</v>
      </c>
      <c r="V484">
        <v>8052</v>
      </c>
      <c r="W484">
        <v>44.6</v>
      </c>
      <c r="X484">
        <v>2</v>
      </c>
      <c r="Y484">
        <v>4</v>
      </c>
      <c r="Z484">
        <v>10</v>
      </c>
      <c r="AA484">
        <v>7.5</v>
      </c>
      <c r="AB484">
        <v>5</v>
      </c>
      <c r="AC484">
        <v>247</v>
      </c>
      <c r="AD484">
        <v>7</v>
      </c>
      <c r="AE484">
        <v>3</v>
      </c>
      <c r="AF484">
        <v>159</v>
      </c>
      <c r="AG484">
        <v>113</v>
      </c>
      <c r="AH484">
        <v>163</v>
      </c>
      <c r="AI484">
        <v>63</v>
      </c>
      <c r="AJ484">
        <v>31</v>
      </c>
      <c r="AK484">
        <v>47</v>
      </c>
      <c r="AL484">
        <v>20</v>
      </c>
      <c r="AM484">
        <v>8</v>
      </c>
      <c r="AN484">
        <v>135</v>
      </c>
      <c r="AO484">
        <v>30</v>
      </c>
      <c r="AP484">
        <v>47</v>
      </c>
      <c r="AQ484">
        <v>68</v>
      </c>
      <c r="AR484">
        <v>5155</v>
      </c>
      <c r="AS484">
        <v>5521</v>
      </c>
      <c r="AT484" t="s">
        <v>7</v>
      </c>
      <c r="AU484">
        <v>0.8</v>
      </c>
      <c r="AV484">
        <v>2020</v>
      </c>
      <c r="AW484" s="1">
        <v>45764</v>
      </c>
      <c r="AX484">
        <v>35.299999999999997</v>
      </c>
      <c r="AY484" t="s">
        <v>30</v>
      </c>
      <c r="AZ484" t="s">
        <v>17</v>
      </c>
      <c r="BA484" t="s">
        <v>12</v>
      </c>
      <c r="BB484" t="s">
        <v>13</v>
      </c>
      <c r="BC484" t="s">
        <v>7</v>
      </c>
      <c r="BD484">
        <v>0</v>
      </c>
      <c r="BE484" t="s">
        <v>14</v>
      </c>
      <c r="BF484">
        <v>1.2</v>
      </c>
    </row>
    <row r="485" spans="1:58" hidden="1" x14ac:dyDescent="0.2">
      <c r="A485">
        <v>484</v>
      </c>
      <c r="B485" t="s">
        <v>0</v>
      </c>
      <c r="C485">
        <v>64</v>
      </c>
      <c r="D485" t="s">
        <v>1</v>
      </c>
      <c r="E485" t="s">
        <v>33</v>
      </c>
      <c r="F485" t="s">
        <v>15</v>
      </c>
      <c r="G485" t="s">
        <v>117</v>
      </c>
      <c r="H485" t="s">
        <v>23</v>
      </c>
      <c r="I485" t="s">
        <v>115</v>
      </c>
      <c r="J485" t="s">
        <v>32</v>
      </c>
      <c r="K485" t="s">
        <v>7</v>
      </c>
      <c r="L485">
        <v>5.5</v>
      </c>
      <c r="M485">
        <v>6.6</v>
      </c>
      <c r="N485" t="s">
        <v>29</v>
      </c>
      <c r="O485" t="s">
        <v>13</v>
      </c>
      <c r="P485" t="s">
        <v>9</v>
      </c>
      <c r="Q485">
        <v>35</v>
      </c>
      <c r="R485">
        <v>8</v>
      </c>
      <c r="S485">
        <v>25.7</v>
      </c>
      <c r="T485">
        <v>142</v>
      </c>
      <c r="U485">
        <v>91</v>
      </c>
      <c r="V485">
        <v>7994</v>
      </c>
      <c r="W485">
        <v>46.2</v>
      </c>
      <c r="X485">
        <v>2</v>
      </c>
      <c r="Y485">
        <v>1</v>
      </c>
      <c r="Z485">
        <v>7</v>
      </c>
      <c r="AA485">
        <v>2.2999999999999998</v>
      </c>
      <c r="AB485">
        <v>4</v>
      </c>
      <c r="AC485">
        <v>249</v>
      </c>
      <c r="AD485">
        <v>15</v>
      </c>
      <c r="AE485">
        <v>6</v>
      </c>
      <c r="AF485">
        <v>193</v>
      </c>
      <c r="AG485">
        <v>133</v>
      </c>
      <c r="AH485">
        <v>157</v>
      </c>
      <c r="AI485">
        <v>36</v>
      </c>
      <c r="AJ485">
        <v>35</v>
      </c>
      <c r="AK485">
        <v>34</v>
      </c>
      <c r="AL485">
        <v>30</v>
      </c>
      <c r="AM485">
        <v>5</v>
      </c>
      <c r="AN485">
        <v>140</v>
      </c>
      <c r="AO485">
        <v>39</v>
      </c>
      <c r="AP485">
        <v>40</v>
      </c>
      <c r="AQ485">
        <v>96</v>
      </c>
      <c r="AR485">
        <v>408</v>
      </c>
      <c r="AS485">
        <v>247</v>
      </c>
      <c r="AT485" t="s">
        <v>7</v>
      </c>
      <c r="AU485">
        <v>0.3</v>
      </c>
      <c r="AV485">
        <v>2010</v>
      </c>
      <c r="AW485" s="1">
        <v>45756</v>
      </c>
      <c r="AX485">
        <v>16.600000000000001</v>
      </c>
      <c r="AY485" t="s">
        <v>10</v>
      </c>
      <c r="AZ485" t="s">
        <v>31</v>
      </c>
      <c r="BA485" t="s">
        <v>21</v>
      </c>
      <c r="BB485" t="s">
        <v>13</v>
      </c>
      <c r="BC485" t="s">
        <v>13</v>
      </c>
      <c r="BD485">
        <v>2</v>
      </c>
      <c r="BE485" t="s">
        <v>49</v>
      </c>
      <c r="BF485">
        <v>0.99</v>
      </c>
    </row>
    <row r="486" spans="1:58" hidden="1" x14ac:dyDescent="0.2">
      <c r="A486">
        <v>485</v>
      </c>
      <c r="B486" t="s">
        <v>0</v>
      </c>
      <c r="C486">
        <v>28</v>
      </c>
      <c r="D486" t="s">
        <v>1</v>
      </c>
      <c r="E486" t="s">
        <v>42</v>
      </c>
      <c r="F486" t="s">
        <v>15</v>
      </c>
      <c r="G486" t="s">
        <v>38</v>
      </c>
      <c r="H486" t="s">
        <v>34</v>
      </c>
      <c r="I486" t="s">
        <v>115</v>
      </c>
      <c r="J486" t="s">
        <v>44</v>
      </c>
      <c r="K486" t="s">
        <v>7</v>
      </c>
      <c r="L486">
        <v>12</v>
      </c>
      <c r="M486">
        <v>5.6</v>
      </c>
      <c r="N486" t="s">
        <v>29</v>
      </c>
      <c r="O486" t="s">
        <v>7</v>
      </c>
      <c r="P486" t="s">
        <v>9</v>
      </c>
      <c r="Q486">
        <v>28</v>
      </c>
      <c r="R486">
        <v>6</v>
      </c>
      <c r="S486">
        <v>32.700000000000003</v>
      </c>
      <c r="T486">
        <v>121</v>
      </c>
      <c r="U486">
        <v>76</v>
      </c>
      <c r="V486">
        <v>8006</v>
      </c>
      <c r="W486">
        <v>31.7</v>
      </c>
      <c r="X486">
        <v>6</v>
      </c>
      <c r="Y486">
        <v>5</v>
      </c>
      <c r="Z486">
        <v>14</v>
      </c>
      <c r="AA486">
        <v>7.9</v>
      </c>
      <c r="AB486">
        <v>6</v>
      </c>
      <c r="AC486">
        <v>286</v>
      </c>
      <c r="AD486">
        <v>13</v>
      </c>
      <c r="AE486">
        <v>9</v>
      </c>
      <c r="AF486">
        <v>276</v>
      </c>
      <c r="AG486">
        <v>118</v>
      </c>
      <c r="AH486">
        <v>150</v>
      </c>
      <c r="AI486">
        <v>49</v>
      </c>
      <c r="AJ486">
        <v>39</v>
      </c>
      <c r="AK486">
        <v>59</v>
      </c>
      <c r="AL486">
        <v>33</v>
      </c>
      <c r="AM486">
        <v>9</v>
      </c>
      <c r="AN486">
        <v>161</v>
      </c>
      <c r="AO486">
        <v>67</v>
      </c>
      <c r="AP486">
        <v>53</v>
      </c>
      <c r="AQ486">
        <v>102</v>
      </c>
      <c r="AR486">
        <v>1612</v>
      </c>
      <c r="AS486">
        <v>1791</v>
      </c>
      <c r="AT486" t="s">
        <v>7</v>
      </c>
      <c r="AU486">
        <v>0.94</v>
      </c>
      <c r="AV486">
        <v>2018</v>
      </c>
      <c r="AW486" s="1">
        <v>45886</v>
      </c>
      <c r="AX486">
        <v>22</v>
      </c>
      <c r="AY486" t="s">
        <v>27</v>
      </c>
      <c r="AZ486" t="s">
        <v>48</v>
      </c>
      <c r="BA486" t="s">
        <v>122</v>
      </c>
      <c r="BB486" t="s">
        <v>13</v>
      </c>
      <c r="BC486" t="s">
        <v>7</v>
      </c>
      <c r="BD486">
        <v>1</v>
      </c>
      <c r="BE486" t="s">
        <v>43</v>
      </c>
      <c r="BF486">
        <v>0.96</v>
      </c>
    </row>
    <row r="487" spans="1:58" hidden="1" x14ac:dyDescent="0.2">
      <c r="A487">
        <v>486</v>
      </c>
      <c r="B487" t="s">
        <v>0</v>
      </c>
      <c r="C487">
        <v>25</v>
      </c>
      <c r="D487" t="s">
        <v>28</v>
      </c>
      <c r="E487" t="s">
        <v>2</v>
      </c>
      <c r="F487" t="s">
        <v>3</v>
      </c>
      <c r="G487" t="s">
        <v>116</v>
      </c>
      <c r="H487" t="s">
        <v>118</v>
      </c>
      <c r="I487" t="s">
        <v>115</v>
      </c>
      <c r="J487" t="s">
        <v>32</v>
      </c>
      <c r="K487" t="s">
        <v>7</v>
      </c>
      <c r="L487">
        <v>4.5999999999999996</v>
      </c>
      <c r="M487">
        <v>6</v>
      </c>
      <c r="N487" t="s">
        <v>25</v>
      </c>
      <c r="O487" t="s">
        <v>7</v>
      </c>
      <c r="P487" t="s">
        <v>46</v>
      </c>
      <c r="Q487">
        <v>34</v>
      </c>
      <c r="R487">
        <v>6</v>
      </c>
      <c r="S487">
        <v>29.6</v>
      </c>
      <c r="T487">
        <v>109</v>
      </c>
      <c r="U487">
        <v>98</v>
      </c>
      <c r="V487">
        <v>8035</v>
      </c>
      <c r="W487">
        <v>43.8</v>
      </c>
      <c r="X487">
        <v>4</v>
      </c>
      <c r="Y487">
        <v>8</v>
      </c>
      <c r="Z487">
        <v>9</v>
      </c>
      <c r="AA487">
        <v>6.8</v>
      </c>
      <c r="AB487">
        <v>5</v>
      </c>
      <c r="AC487">
        <v>264</v>
      </c>
      <c r="AD487">
        <v>8</v>
      </c>
      <c r="AE487">
        <v>11</v>
      </c>
      <c r="AF487">
        <v>283</v>
      </c>
      <c r="AG487">
        <v>143</v>
      </c>
      <c r="AH487">
        <v>163</v>
      </c>
      <c r="AI487">
        <v>45</v>
      </c>
      <c r="AJ487">
        <v>40</v>
      </c>
      <c r="AK487">
        <v>37</v>
      </c>
      <c r="AL487">
        <v>35</v>
      </c>
      <c r="AM487">
        <v>8</v>
      </c>
      <c r="AN487">
        <v>154</v>
      </c>
      <c r="AO487">
        <v>37</v>
      </c>
      <c r="AP487">
        <v>42</v>
      </c>
      <c r="AQ487">
        <v>81</v>
      </c>
      <c r="AR487">
        <v>6326</v>
      </c>
      <c r="AS487">
        <v>10000</v>
      </c>
      <c r="AT487" t="s">
        <v>7</v>
      </c>
      <c r="AU487">
        <v>0.67</v>
      </c>
      <c r="AV487">
        <v>2025</v>
      </c>
      <c r="AW487" s="1">
        <v>45706</v>
      </c>
      <c r="AX487">
        <v>33</v>
      </c>
      <c r="AY487" t="s">
        <v>10</v>
      </c>
      <c r="AZ487" t="s">
        <v>35</v>
      </c>
      <c r="BA487" t="s">
        <v>21</v>
      </c>
      <c r="BB487" t="s">
        <v>13</v>
      </c>
      <c r="BC487" t="s">
        <v>7</v>
      </c>
      <c r="BD487">
        <v>2</v>
      </c>
      <c r="BE487" t="s">
        <v>14</v>
      </c>
      <c r="BF487">
        <v>1.08</v>
      </c>
    </row>
    <row r="488" spans="1:58" hidden="1" x14ac:dyDescent="0.2">
      <c r="A488">
        <v>487</v>
      </c>
      <c r="B488" t="s">
        <v>0</v>
      </c>
      <c r="C488">
        <v>62</v>
      </c>
      <c r="D488" t="s">
        <v>28</v>
      </c>
      <c r="E488" t="s">
        <v>47</v>
      </c>
      <c r="F488" t="s">
        <v>3</v>
      </c>
      <c r="G488" t="s">
        <v>116</v>
      </c>
      <c r="H488" t="s">
        <v>118</v>
      </c>
      <c r="I488" t="s">
        <v>114</v>
      </c>
      <c r="J488" t="s">
        <v>32</v>
      </c>
      <c r="K488" t="s">
        <v>7</v>
      </c>
      <c r="L488">
        <v>7.7</v>
      </c>
      <c r="M488">
        <v>6.7</v>
      </c>
      <c r="N488" t="s">
        <v>39</v>
      </c>
      <c r="O488" t="s">
        <v>7</v>
      </c>
      <c r="P488" t="s">
        <v>9</v>
      </c>
      <c r="Q488">
        <v>2</v>
      </c>
      <c r="R488">
        <v>2</v>
      </c>
      <c r="S488">
        <v>27.1</v>
      </c>
      <c r="T488">
        <v>108</v>
      </c>
      <c r="U488">
        <v>82</v>
      </c>
      <c r="V488">
        <v>8049</v>
      </c>
      <c r="W488">
        <v>45.2</v>
      </c>
      <c r="X488">
        <v>1</v>
      </c>
      <c r="Y488">
        <v>7</v>
      </c>
      <c r="Z488">
        <v>6</v>
      </c>
      <c r="AA488">
        <v>3.6</v>
      </c>
      <c r="AB488">
        <v>2</v>
      </c>
      <c r="AC488">
        <v>30</v>
      </c>
      <c r="AD488">
        <v>2</v>
      </c>
      <c r="AE488">
        <v>3</v>
      </c>
      <c r="AF488">
        <v>52</v>
      </c>
      <c r="AG488">
        <v>43</v>
      </c>
      <c r="AH488">
        <v>38</v>
      </c>
      <c r="AI488">
        <v>1</v>
      </c>
      <c r="AJ488">
        <v>18</v>
      </c>
      <c r="AK488">
        <v>8</v>
      </c>
      <c r="AL488">
        <v>9</v>
      </c>
      <c r="AM488">
        <v>0</v>
      </c>
      <c r="AN488">
        <v>16</v>
      </c>
      <c r="AO488">
        <v>8</v>
      </c>
      <c r="AP488">
        <v>5</v>
      </c>
      <c r="AQ488">
        <v>7</v>
      </c>
      <c r="AR488">
        <v>274</v>
      </c>
      <c r="AS488">
        <v>592</v>
      </c>
      <c r="AT488" t="s">
        <v>7</v>
      </c>
      <c r="AU488">
        <v>0.84</v>
      </c>
      <c r="AV488">
        <v>2024</v>
      </c>
      <c r="AW488" s="1">
        <v>45963</v>
      </c>
      <c r="AX488">
        <v>15</v>
      </c>
      <c r="AY488" t="s">
        <v>30</v>
      </c>
      <c r="AZ488" t="s">
        <v>11</v>
      </c>
      <c r="BA488" t="s">
        <v>12</v>
      </c>
      <c r="BB488" t="s">
        <v>13</v>
      </c>
      <c r="BC488" t="s">
        <v>13</v>
      </c>
      <c r="BD488">
        <v>5</v>
      </c>
      <c r="BE488" t="s">
        <v>14</v>
      </c>
      <c r="BF488">
        <v>1.58</v>
      </c>
    </row>
    <row r="489" spans="1:58" hidden="1" x14ac:dyDescent="0.2">
      <c r="A489">
        <v>488</v>
      </c>
      <c r="B489" t="s">
        <v>0</v>
      </c>
      <c r="C489">
        <v>54</v>
      </c>
      <c r="D489" t="s">
        <v>1</v>
      </c>
      <c r="E489" t="s">
        <v>128</v>
      </c>
      <c r="F489" t="s">
        <v>40</v>
      </c>
      <c r="G489" t="s">
        <v>117</v>
      </c>
      <c r="H489" t="s">
        <v>23</v>
      </c>
      <c r="I489" t="s">
        <v>112</v>
      </c>
      <c r="J489" t="s">
        <v>18</v>
      </c>
      <c r="K489" t="s">
        <v>7</v>
      </c>
      <c r="L489">
        <v>2.9</v>
      </c>
      <c r="M489">
        <v>6.1</v>
      </c>
      <c r="N489" t="s">
        <v>25</v>
      </c>
      <c r="O489" t="s">
        <v>7</v>
      </c>
      <c r="P489" t="s">
        <v>9</v>
      </c>
      <c r="Q489">
        <v>22</v>
      </c>
      <c r="R489">
        <v>2</v>
      </c>
      <c r="S489">
        <v>19.8</v>
      </c>
      <c r="T489">
        <v>109</v>
      </c>
      <c r="U489">
        <v>87</v>
      </c>
      <c r="V489">
        <v>8081</v>
      </c>
      <c r="W489">
        <v>35.200000000000003</v>
      </c>
      <c r="X489">
        <v>7</v>
      </c>
      <c r="Y489">
        <v>9</v>
      </c>
      <c r="Z489">
        <v>10</v>
      </c>
      <c r="AA489">
        <v>6.2</v>
      </c>
      <c r="AB489">
        <v>4</v>
      </c>
      <c r="AC489">
        <v>219</v>
      </c>
      <c r="AD489">
        <v>7</v>
      </c>
      <c r="AE489">
        <v>4</v>
      </c>
      <c r="AF489">
        <v>174</v>
      </c>
      <c r="AG489">
        <v>133</v>
      </c>
      <c r="AH489">
        <v>133</v>
      </c>
      <c r="AI489">
        <v>43</v>
      </c>
      <c r="AJ489">
        <v>44</v>
      </c>
      <c r="AK489">
        <v>34</v>
      </c>
      <c r="AL489">
        <v>27</v>
      </c>
      <c r="AM489">
        <v>4</v>
      </c>
      <c r="AN489">
        <v>88</v>
      </c>
      <c r="AO489">
        <v>54</v>
      </c>
      <c r="AP489">
        <v>23</v>
      </c>
      <c r="AQ489">
        <v>45</v>
      </c>
      <c r="AR489">
        <v>12427</v>
      </c>
      <c r="AS489">
        <v>10000</v>
      </c>
      <c r="AT489" t="s">
        <v>7</v>
      </c>
      <c r="AU489">
        <v>0.76</v>
      </c>
      <c r="AV489">
        <v>2021</v>
      </c>
      <c r="AW489" s="1">
        <v>45904</v>
      </c>
      <c r="AX489">
        <v>31.3</v>
      </c>
      <c r="AY489" t="s">
        <v>27</v>
      </c>
      <c r="AZ489" t="s">
        <v>17</v>
      </c>
      <c r="BA489" t="s">
        <v>12</v>
      </c>
      <c r="BB489" t="s">
        <v>7</v>
      </c>
      <c r="BC489" t="s">
        <v>13</v>
      </c>
      <c r="BD489">
        <v>1</v>
      </c>
      <c r="BE489" t="s">
        <v>14</v>
      </c>
      <c r="BF489">
        <v>1.05</v>
      </c>
    </row>
    <row r="490" spans="1:58" hidden="1" x14ac:dyDescent="0.2">
      <c r="A490">
        <v>489</v>
      </c>
      <c r="B490" t="s">
        <v>0</v>
      </c>
      <c r="C490">
        <v>42</v>
      </c>
      <c r="D490" t="s">
        <v>1</v>
      </c>
      <c r="E490" t="s">
        <v>47</v>
      </c>
      <c r="F490" t="s">
        <v>15</v>
      </c>
      <c r="G490" t="s">
        <v>16</v>
      </c>
      <c r="H490" t="s">
        <v>119</v>
      </c>
      <c r="I490" t="s">
        <v>112</v>
      </c>
      <c r="J490" t="s">
        <v>123</v>
      </c>
      <c r="K490" t="s">
        <v>7</v>
      </c>
      <c r="L490">
        <v>10.5</v>
      </c>
      <c r="M490">
        <v>5</v>
      </c>
      <c r="N490" t="s">
        <v>29</v>
      </c>
      <c r="O490" t="s">
        <v>7</v>
      </c>
      <c r="P490" t="s">
        <v>26</v>
      </c>
      <c r="Q490">
        <v>34</v>
      </c>
      <c r="R490">
        <v>3</v>
      </c>
      <c r="S490">
        <v>26.5</v>
      </c>
      <c r="T490">
        <v>102</v>
      </c>
      <c r="U490">
        <v>70</v>
      </c>
      <c r="V490">
        <v>7985</v>
      </c>
      <c r="W490">
        <v>43.2</v>
      </c>
      <c r="X490">
        <v>7</v>
      </c>
      <c r="Y490">
        <v>3</v>
      </c>
      <c r="Z490">
        <v>11</v>
      </c>
      <c r="AA490">
        <v>1</v>
      </c>
      <c r="AB490">
        <v>4</v>
      </c>
      <c r="AC490">
        <v>299</v>
      </c>
      <c r="AD490">
        <v>26</v>
      </c>
      <c r="AE490">
        <v>4</v>
      </c>
      <c r="AF490">
        <v>208</v>
      </c>
      <c r="AG490">
        <v>150</v>
      </c>
      <c r="AH490">
        <v>173</v>
      </c>
      <c r="AI490">
        <v>62</v>
      </c>
      <c r="AJ490">
        <v>32</v>
      </c>
      <c r="AK490">
        <v>31</v>
      </c>
      <c r="AL490">
        <v>26</v>
      </c>
      <c r="AM490">
        <v>6</v>
      </c>
      <c r="AN490">
        <v>127</v>
      </c>
      <c r="AO490">
        <v>45</v>
      </c>
      <c r="AP490">
        <v>47</v>
      </c>
      <c r="AQ490">
        <v>107</v>
      </c>
      <c r="AR490">
        <v>1145</v>
      </c>
      <c r="AS490">
        <v>1319</v>
      </c>
      <c r="AT490" t="s">
        <v>7</v>
      </c>
      <c r="AU490">
        <v>0.01</v>
      </c>
      <c r="AV490">
        <v>2024</v>
      </c>
      <c r="AW490" s="1">
        <v>45741</v>
      </c>
      <c r="AX490">
        <v>11.5</v>
      </c>
      <c r="AY490" t="s">
        <v>45</v>
      </c>
      <c r="AZ490" t="s">
        <v>17</v>
      </c>
      <c r="BA490" t="s">
        <v>122</v>
      </c>
      <c r="BB490" t="s">
        <v>13</v>
      </c>
      <c r="BC490" t="s">
        <v>13</v>
      </c>
      <c r="BD490">
        <v>2</v>
      </c>
      <c r="BE490" t="s">
        <v>14</v>
      </c>
      <c r="BF490">
        <v>1.03</v>
      </c>
    </row>
    <row r="491" spans="1:58" hidden="1" x14ac:dyDescent="0.2">
      <c r="A491">
        <v>490</v>
      </c>
      <c r="B491" t="s">
        <v>0</v>
      </c>
      <c r="C491">
        <v>31</v>
      </c>
      <c r="D491" t="s">
        <v>1</v>
      </c>
      <c r="E491" t="s">
        <v>22</v>
      </c>
      <c r="F491" t="s">
        <v>40</v>
      </c>
      <c r="G491" t="s">
        <v>38</v>
      </c>
      <c r="H491" t="s">
        <v>118</v>
      </c>
      <c r="I491" t="s">
        <v>115</v>
      </c>
      <c r="J491" t="s">
        <v>6</v>
      </c>
      <c r="K491" t="s">
        <v>7</v>
      </c>
      <c r="L491">
        <v>11.9</v>
      </c>
      <c r="M491">
        <v>7.5</v>
      </c>
      <c r="N491" t="s">
        <v>25</v>
      </c>
      <c r="O491" t="s">
        <v>7</v>
      </c>
      <c r="P491" t="s">
        <v>46</v>
      </c>
      <c r="Q491">
        <v>11</v>
      </c>
      <c r="R491">
        <v>8</v>
      </c>
      <c r="S491">
        <v>20.6</v>
      </c>
      <c r="T491">
        <v>149</v>
      </c>
      <c r="U491">
        <v>73</v>
      </c>
      <c r="V491">
        <v>7970</v>
      </c>
      <c r="W491">
        <v>31.2</v>
      </c>
      <c r="X491">
        <v>3</v>
      </c>
      <c r="Y491">
        <v>7</v>
      </c>
      <c r="Z491">
        <v>4</v>
      </c>
      <c r="AA491">
        <v>3.7</v>
      </c>
      <c r="AB491">
        <v>3</v>
      </c>
      <c r="AC491">
        <v>112</v>
      </c>
      <c r="AD491">
        <v>3</v>
      </c>
      <c r="AE491">
        <v>2</v>
      </c>
      <c r="AF491">
        <v>110</v>
      </c>
      <c r="AG491">
        <v>86</v>
      </c>
      <c r="AH491">
        <v>83</v>
      </c>
      <c r="AI491">
        <v>18</v>
      </c>
      <c r="AJ491">
        <v>19</v>
      </c>
      <c r="AK491">
        <v>20</v>
      </c>
      <c r="AL491">
        <v>11</v>
      </c>
      <c r="AM491">
        <v>2</v>
      </c>
      <c r="AN491">
        <v>60</v>
      </c>
      <c r="AO491">
        <v>16</v>
      </c>
      <c r="AP491">
        <v>19</v>
      </c>
      <c r="AQ491">
        <v>40</v>
      </c>
      <c r="AR491">
        <v>1038</v>
      </c>
      <c r="AS491">
        <v>556</v>
      </c>
      <c r="AT491" t="s">
        <v>7</v>
      </c>
      <c r="AU491">
        <v>0.03</v>
      </c>
      <c r="AV491">
        <v>2010</v>
      </c>
      <c r="AW491" s="1">
        <v>46004</v>
      </c>
      <c r="AX491">
        <v>37.299999999999997</v>
      </c>
      <c r="AY491" t="s">
        <v>30</v>
      </c>
      <c r="AZ491" t="s">
        <v>31</v>
      </c>
      <c r="BA491" t="s">
        <v>21</v>
      </c>
      <c r="BB491" t="s">
        <v>7</v>
      </c>
      <c r="BC491" t="s">
        <v>7</v>
      </c>
      <c r="BD491">
        <v>1</v>
      </c>
      <c r="BE491" t="s">
        <v>43</v>
      </c>
      <c r="BF491">
        <v>1.1100000000000001</v>
      </c>
    </row>
    <row r="492" spans="1:58" hidden="1" x14ac:dyDescent="0.2">
      <c r="A492">
        <v>491</v>
      </c>
      <c r="B492" t="s">
        <v>0</v>
      </c>
      <c r="C492">
        <v>29</v>
      </c>
      <c r="D492" t="s">
        <v>28</v>
      </c>
      <c r="E492" t="s">
        <v>126</v>
      </c>
      <c r="F492" t="s">
        <v>40</v>
      </c>
      <c r="G492" t="s">
        <v>38</v>
      </c>
      <c r="H492" t="s">
        <v>23</v>
      </c>
      <c r="I492" t="s">
        <v>112</v>
      </c>
      <c r="J492" t="s">
        <v>6</v>
      </c>
      <c r="K492" t="s">
        <v>7</v>
      </c>
      <c r="L492">
        <v>2.7</v>
      </c>
      <c r="M492">
        <v>6.8</v>
      </c>
      <c r="N492" t="s">
        <v>29</v>
      </c>
      <c r="O492" t="s">
        <v>7</v>
      </c>
      <c r="P492" t="s">
        <v>26</v>
      </c>
      <c r="Q492">
        <v>1</v>
      </c>
      <c r="R492">
        <v>7</v>
      </c>
      <c r="S492">
        <v>20.6</v>
      </c>
      <c r="T492">
        <v>110</v>
      </c>
      <c r="U492">
        <v>74</v>
      </c>
      <c r="V492">
        <v>7936</v>
      </c>
      <c r="W492">
        <v>46</v>
      </c>
      <c r="X492">
        <v>2</v>
      </c>
      <c r="Y492">
        <v>6</v>
      </c>
      <c r="Z492">
        <v>12</v>
      </c>
      <c r="AA492">
        <v>2.7</v>
      </c>
      <c r="AB492">
        <v>6</v>
      </c>
      <c r="AC492">
        <v>5</v>
      </c>
      <c r="AD492">
        <v>1</v>
      </c>
      <c r="AE492">
        <v>3</v>
      </c>
      <c r="AF492">
        <v>132</v>
      </c>
      <c r="AG492">
        <v>30</v>
      </c>
      <c r="AH492">
        <v>24</v>
      </c>
      <c r="AI492">
        <v>11</v>
      </c>
      <c r="AJ492">
        <v>12</v>
      </c>
      <c r="AK492">
        <v>10</v>
      </c>
      <c r="AL492">
        <v>4</v>
      </c>
      <c r="AM492">
        <v>0</v>
      </c>
      <c r="AN492">
        <v>3</v>
      </c>
      <c r="AO492">
        <v>1</v>
      </c>
      <c r="AP492">
        <v>1</v>
      </c>
      <c r="AQ492">
        <v>2</v>
      </c>
      <c r="AR492">
        <v>1192</v>
      </c>
      <c r="AS492">
        <v>1147</v>
      </c>
      <c r="AT492" t="s">
        <v>7</v>
      </c>
      <c r="AU492">
        <v>0.69</v>
      </c>
      <c r="AV492">
        <v>2019</v>
      </c>
      <c r="AW492" s="1">
        <v>45973</v>
      </c>
      <c r="AX492">
        <v>5</v>
      </c>
      <c r="AY492" t="s">
        <v>10</v>
      </c>
      <c r="AZ492" t="s">
        <v>35</v>
      </c>
      <c r="BA492" t="s">
        <v>12</v>
      </c>
      <c r="BB492" t="s">
        <v>13</v>
      </c>
      <c r="BC492" t="s">
        <v>13</v>
      </c>
      <c r="BD492">
        <v>1</v>
      </c>
      <c r="BE492" t="s">
        <v>43</v>
      </c>
      <c r="BF492">
        <v>9.17</v>
      </c>
    </row>
    <row r="493" spans="1:58" hidden="1" x14ac:dyDescent="0.2">
      <c r="A493">
        <v>492</v>
      </c>
      <c r="B493" t="s">
        <v>0</v>
      </c>
      <c r="C493">
        <v>31</v>
      </c>
      <c r="D493" t="s">
        <v>1</v>
      </c>
      <c r="E493" t="s">
        <v>17</v>
      </c>
      <c r="F493" t="s">
        <v>15</v>
      </c>
      <c r="G493" t="s">
        <v>16</v>
      </c>
      <c r="H493" t="s">
        <v>23</v>
      </c>
      <c r="I493" t="s">
        <v>115</v>
      </c>
      <c r="J493" t="s">
        <v>6</v>
      </c>
      <c r="K493" t="s">
        <v>13</v>
      </c>
      <c r="L493">
        <v>4.4000000000000004</v>
      </c>
      <c r="M493">
        <v>7.9</v>
      </c>
      <c r="N493" t="s">
        <v>39</v>
      </c>
      <c r="O493" t="s">
        <v>7</v>
      </c>
      <c r="P493" t="s">
        <v>46</v>
      </c>
      <c r="Q493">
        <v>9</v>
      </c>
      <c r="R493">
        <v>9</v>
      </c>
      <c r="S493">
        <v>21.2</v>
      </c>
      <c r="T493">
        <v>156</v>
      </c>
      <c r="U493">
        <v>90</v>
      </c>
      <c r="V493">
        <v>8069</v>
      </c>
      <c r="W493">
        <v>35</v>
      </c>
      <c r="X493">
        <v>2</v>
      </c>
      <c r="Y493">
        <v>4</v>
      </c>
      <c r="Z493">
        <v>10</v>
      </c>
      <c r="AA493">
        <v>1.3</v>
      </c>
      <c r="AB493">
        <v>4</v>
      </c>
      <c r="AC493">
        <v>126</v>
      </c>
      <c r="AD493">
        <v>4</v>
      </c>
      <c r="AE493">
        <v>2</v>
      </c>
      <c r="AF493">
        <v>108</v>
      </c>
      <c r="AG493">
        <v>85</v>
      </c>
      <c r="AH493">
        <v>87</v>
      </c>
      <c r="AI493">
        <v>24</v>
      </c>
      <c r="AJ493">
        <v>21</v>
      </c>
      <c r="AK493">
        <v>17</v>
      </c>
      <c r="AL493">
        <v>17</v>
      </c>
      <c r="AM493">
        <v>2</v>
      </c>
      <c r="AN493">
        <v>59</v>
      </c>
      <c r="AO493">
        <v>28</v>
      </c>
      <c r="AP493">
        <v>30</v>
      </c>
      <c r="AQ493">
        <v>50</v>
      </c>
      <c r="AR493">
        <v>1518</v>
      </c>
      <c r="AS493">
        <v>2455</v>
      </c>
      <c r="AT493" t="s">
        <v>7</v>
      </c>
      <c r="AU493">
        <v>0.02</v>
      </c>
      <c r="AV493">
        <v>2023</v>
      </c>
      <c r="AW493" s="1">
        <v>45909</v>
      </c>
      <c r="AX493">
        <v>31.5</v>
      </c>
      <c r="AY493" t="s">
        <v>45</v>
      </c>
      <c r="AZ493" t="s">
        <v>11</v>
      </c>
      <c r="BA493" t="s">
        <v>122</v>
      </c>
      <c r="BB493" t="s">
        <v>13</v>
      </c>
      <c r="BC493" t="s">
        <v>13</v>
      </c>
      <c r="BD493">
        <v>2</v>
      </c>
      <c r="BE493" t="s">
        <v>14</v>
      </c>
      <c r="BF493">
        <v>1.1100000000000001</v>
      </c>
    </row>
    <row r="494" spans="1:58" hidden="1" x14ac:dyDescent="0.2">
      <c r="A494">
        <v>493</v>
      </c>
      <c r="B494" t="s">
        <v>0</v>
      </c>
      <c r="C494">
        <v>40</v>
      </c>
      <c r="D494" t="s">
        <v>1</v>
      </c>
      <c r="E494" t="s">
        <v>50</v>
      </c>
      <c r="F494" t="s">
        <v>15</v>
      </c>
      <c r="G494" t="s">
        <v>117</v>
      </c>
      <c r="H494" t="s">
        <v>23</v>
      </c>
      <c r="I494" t="s">
        <v>114</v>
      </c>
      <c r="J494" t="s">
        <v>123</v>
      </c>
      <c r="K494" t="s">
        <v>7</v>
      </c>
      <c r="L494">
        <v>4</v>
      </c>
      <c r="M494">
        <v>6</v>
      </c>
      <c r="N494" t="s">
        <v>39</v>
      </c>
      <c r="O494" t="s">
        <v>7</v>
      </c>
      <c r="P494" t="s">
        <v>26</v>
      </c>
      <c r="Q494">
        <v>21</v>
      </c>
      <c r="R494">
        <v>10</v>
      </c>
      <c r="S494">
        <v>28.8</v>
      </c>
      <c r="T494">
        <v>108</v>
      </c>
      <c r="U494">
        <v>80</v>
      </c>
      <c r="V494">
        <v>7808</v>
      </c>
      <c r="W494">
        <v>43.9</v>
      </c>
      <c r="X494">
        <v>1</v>
      </c>
      <c r="Y494">
        <v>3</v>
      </c>
      <c r="Z494">
        <v>12</v>
      </c>
      <c r="AA494">
        <v>5.6</v>
      </c>
      <c r="AB494">
        <v>3</v>
      </c>
      <c r="AC494">
        <v>94</v>
      </c>
      <c r="AD494">
        <v>8</v>
      </c>
      <c r="AE494">
        <v>3</v>
      </c>
      <c r="AF494">
        <v>87</v>
      </c>
      <c r="AG494">
        <v>71</v>
      </c>
      <c r="AH494">
        <v>76</v>
      </c>
      <c r="AI494">
        <v>18</v>
      </c>
      <c r="AJ494">
        <v>22</v>
      </c>
      <c r="AK494">
        <v>18</v>
      </c>
      <c r="AL494">
        <v>14</v>
      </c>
      <c r="AM494">
        <v>6</v>
      </c>
      <c r="AN494">
        <v>51</v>
      </c>
      <c r="AO494">
        <v>23</v>
      </c>
      <c r="AP494">
        <v>19</v>
      </c>
      <c r="AQ494">
        <v>23</v>
      </c>
      <c r="AR494">
        <v>988</v>
      </c>
      <c r="AS494">
        <v>1858</v>
      </c>
      <c r="AT494" t="s">
        <v>7</v>
      </c>
      <c r="AU494">
        <v>0.4</v>
      </c>
      <c r="AV494">
        <v>2021</v>
      </c>
      <c r="AW494" s="1">
        <v>45802</v>
      </c>
      <c r="AX494">
        <v>11.8</v>
      </c>
      <c r="AY494" t="s">
        <v>45</v>
      </c>
      <c r="AZ494" t="s">
        <v>11</v>
      </c>
      <c r="BA494" t="s">
        <v>122</v>
      </c>
      <c r="BB494" t="s">
        <v>7</v>
      </c>
      <c r="BC494" t="s">
        <v>7</v>
      </c>
      <c r="BD494">
        <v>0</v>
      </c>
      <c r="BE494" t="s">
        <v>14</v>
      </c>
      <c r="BF494">
        <v>1.27</v>
      </c>
    </row>
    <row r="495" spans="1:58" hidden="1" x14ac:dyDescent="0.2">
      <c r="A495">
        <v>494</v>
      </c>
      <c r="B495" t="s">
        <v>0</v>
      </c>
      <c r="C495">
        <v>38</v>
      </c>
      <c r="D495" t="s">
        <v>28</v>
      </c>
      <c r="E495" t="s">
        <v>2</v>
      </c>
      <c r="F495" t="s">
        <v>15</v>
      </c>
      <c r="G495" t="s">
        <v>116</v>
      </c>
      <c r="H495" t="s">
        <v>34</v>
      </c>
      <c r="I495" t="s">
        <v>114</v>
      </c>
      <c r="J495" t="s">
        <v>6</v>
      </c>
      <c r="K495" t="s">
        <v>7</v>
      </c>
      <c r="L495">
        <v>11.2</v>
      </c>
      <c r="M495">
        <v>4.9000000000000004</v>
      </c>
      <c r="N495" t="s">
        <v>120</v>
      </c>
      <c r="O495" t="s">
        <v>7</v>
      </c>
      <c r="P495" t="s">
        <v>121</v>
      </c>
      <c r="Q495">
        <v>23</v>
      </c>
      <c r="R495">
        <v>10</v>
      </c>
      <c r="S495">
        <v>23.7</v>
      </c>
      <c r="T495">
        <v>105</v>
      </c>
      <c r="U495">
        <v>75</v>
      </c>
      <c r="V495">
        <v>8147</v>
      </c>
      <c r="W495">
        <v>42.8</v>
      </c>
      <c r="X495">
        <v>3</v>
      </c>
      <c r="Y495">
        <v>6</v>
      </c>
      <c r="Z495">
        <v>11</v>
      </c>
      <c r="AA495">
        <v>6.4</v>
      </c>
      <c r="AB495">
        <v>3</v>
      </c>
      <c r="AC495">
        <v>69</v>
      </c>
      <c r="AD495">
        <v>3</v>
      </c>
      <c r="AE495">
        <v>3</v>
      </c>
      <c r="AF495">
        <v>94</v>
      </c>
      <c r="AG495">
        <v>58</v>
      </c>
      <c r="AH495">
        <v>64</v>
      </c>
      <c r="AI495">
        <v>19</v>
      </c>
      <c r="AJ495">
        <v>14</v>
      </c>
      <c r="AK495">
        <v>16</v>
      </c>
      <c r="AL495">
        <v>11</v>
      </c>
      <c r="AM495">
        <v>3</v>
      </c>
      <c r="AN495">
        <v>29</v>
      </c>
      <c r="AO495">
        <v>14</v>
      </c>
      <c r="AP495">
        <v>17</v>
      </c>
      <c r="AQ495">
        <v>28</v>
      </c>
      <c r="AR495">
        <v>1329</v>
      </c>
      <c r="AS495">
        <v>3227</v>
      </c>
      <c r="AT495" t="s">
        <v>7</v>
      </c>
      <c r="AU495">
        <v>0.38</v>
      </c>
      <c r="AV495">
        <v>2020</v>
      </c>
      <c r="AW495" s="1">
        <v>45756</v>
      </c>
      <c r="AX495">
        <v>23</v>
      </c>
      <c r="AY495" t="s">
        <v>45</v>
      </c>
      <c r="AZ495" t="s">
        <v>17</v>
      </c>
      <c r="BA495" t="s">
        <v>12</v>
      </c>
      <c r="BB495" t="s">
        <v>13</v>
      </c>
      <c r="BC495" t="s">
        <v>7</v>
      </c>
      <c r="BD495">
        <v>2</v>
      </c>
      <c r="BE495" t="s">
        <v>14</v>
      </c>
      <c r="BF495">
        <v>1.59</v>
      </c>
    </row>
    <row r="496" spans="1:58" hidden="1" x14ac:dyDescent="0.2">
      <c r="A496">
        <v>495</v>
      </c>
      <c r="B496" t="s">
        <v>0</v>
      </c>
      <c r="C496">
        <v>49</v>
      </c>
      <c r="D496" t="s">
        <v>28</v>
      </c>
      <c r="E496" t="s">
        <v>128</v>
      </c>
      <c r="F496" t="s">
        <v>15</v>
      </c>
      <c r="G496" t="s">
        <v>117</v>
      </c>
      <c r="H496" t="s">
        <v>24</v>
      </c>
      <c r="I496" t="s">
        <v>53</v>
      </c>
      <c r="J496" t="s">
        <v>6</v>
      </c>
      <c r="K496" t="s">
        <v>13</v>
      </c>
      <c r="L496">
        <v>3.6</v>
      </c>
      <c r="M496">
        <v>7.6</v>
      </c>
      <c r="N496" t="s">
        <v>8</v>
      </c>
      <c r="O496" t="s">
        <v>7</v>
      </c>
      <c r="P496" t="s">
        <v>46</v>
      </c>
      <c r="Q496">
        <v>37</v>
      </c>
      <c r="R496">
        <v>4</v>
      </c>
      <c r="S496">
        <v>22.6</v>
      </c>
      <c r="T496">
        <v>144</v>
      </c>
      <c r="U496">
        <v>61</v>
      </c>
      <c r="V496">
        <v>7958</v>
      </c>
      <c r="W496">
        <v>40.1</v>
      </c>
      <c r="X496">
        <v>2</v>
      </c>
      <c r="Y496">
        <v>2</v>
      </c>
      <c r="Z496">
        <v>12</v>
      </c>
      <c r="AA496">
        <v>1.2</v>
      </c>
      <c r="AB496">
        <v>4</v>
      </c>
      <c r="AC496">
        <v>399</v>
      </c>
      <c r="AD496">
        <v>34</v>
      </c>
      <c r="AE496">
        <v>9</v>
      </c>
      <c r="AF496">
        <v>300</v>
      </c>
      <c r="AG496">
        <v>150</v>
      </c>
      <c r="AH496">
        <v>235</v>
      </c>
      <c r="AI496">
        <v>65</v>
      </c>
      <c r="AJ496">
        <v>50</v>
      </c>
      <c r="AK496">
        <v>53</v>
      </c>
      <c r="AL496">
        <v>23</v>
      </c>
      <c r="AM496">
        <v>8</v>
      </c>
      <c r="AN496">
        <v>171</v>
      </c>
      <c r="AO496">
        <v>45</v>
      </c>
      <c r="AP496">
        <v>65</v>
      </c>
      <c r="AQ496">
        <v>100</v>
      </c>
      <c r="AR496">
        <v>353</v>
      </c>
      <c r="AS496">
        <v>442</v>
      </c>
      <c r="AT496" t="s">
        <v>13</v>
      </c>
      <c r="AU496">
        <v>0.76</v>
      </c>
      <c r="AV496">
        <v>2019</v>
      </c>
      <c r="AW496" s="1">
        <v>45697</v>
      </c>
      <c r="AX496">
        <v>11.7</v>
      </c>
      <c r="AY496" t="s">
        <v>19</v>
      </c>
      <c r="AZ496" t="s">
        <v>37</v>
      </c>
      <c r="BA496" t="s">
        <v>12</v>
      </c>
      <c r="BB496" t="s">
        <v>13</v>
      </c>
      <c r="BC496" t="s">
        <v>7</v>
      </c>
      <c r="BD496">
        <v>2</v>
      </c>
      <c r="BE496" t="s">
        <v>14</v>
      </c>
      <c r="BF496">
        <v>0.98</v>
      </c>
    </row>
    <row r="497" spans="1:58" hidden="1" x14ac:dyDescent="0.2">
      <c r="A497">
        <v>496</v>
      </c>
      <c r="B497" t="s">
        <v>0</v>
      </c>
      <c r="C497">
        <v>38</v>
      </c>
      <c r="D497" t="s">
        <v>1</v>
      </c>
      <c r="E497" t="s">
        <v>42</v>
      </c>
      <c r="F497" t="s">
        <v>3</v>
      </c>
      <c r="G497" t="s">
        <v>16</v>
      </c>
      <c r="H497" t="s">
        <v>118</v>
      </c>
      <c r="I497" t="s">
        <v>115</v>
      </c>
      <c r="J497" t="s">
        <v>6</v>
      </c>
      <c r="K497" t="s">
        <v>13</v>
      </c>
      <c r="L497">
        <v>3.4</v>
      </c>
      <c r="M497">
        <v>5.9</v>
      </c>
      <c r="N497" t="s">
        <v>29</v>
      </c>
      <c r="O497" t="s">
        <v>7</v>
      </c>
      <c r="P497" t="s">
        <v>46</v>
      </c>
      <c r="Q497">
        <v>24</v>
      </c>
      <c r="R497">
        <v>8</v>
      </c>
      <c r="S497">
        <v>27.4</v>
      </c>
      <c r="T497">
        <v>123</v>
      </c>
      <c r="U497">
        <v>90</v>
      </c>
      <c r="V497">
        <v>8009</v>
      </c>
      <c r="W497">
        <v>44.5</v>
      </c>
      <c r="X497">
        <v>6</v>
      </c>
      <c r="Y497">
        <v>3</v>
      </c>
      <c r="Z497">
        <v>12</v>
      </c>
      <c r="AA497">
        <v>2.8</v>
      </c>
      <c r="AB497">
        <v>2</v>
      </c>
      <c r="AC497">
        <v>206</v>
      </c>
      <c r="AD497">
        <v>6</v>
      </c>
      <c r="AE497">
        <v>8</v>
      </c>
      <c r="AF497">
        <v>166</v>
      </c>
      <c r="AG497">
        <v>114</v>
      </c>
      <c r="AH497">
        <v>145</v>
      </c>
      <c r="AI497">
        <v>33</v>
      </c>
      <c r="AJ497">
        <v>33</v>
      </c>
      <c r="AK497">
        <v>33</v>
      </c>
      <c r="AL497">
        <v>23</v>
      </c>
      <c r="AM497">
        <v>2</v>
      </c>
      <c r="AN497">
        <v>85</v>
      </c>
      <c r="AO497">
        <v>35</v>
      </c>
      <c r="AP497">
        <v>26</v>
      </c>
      <c r="AQ497">
        <v>81</v>
      </c>
      <c r="AR497">
        <v>858</v>
      </c>
      <c r="AS497">
        <v>378</v>
      </c>
      <c r="AT497" t="s">
        <v>7</v>
      </c>
      <c r="AU497">
        <v>0.09</v>
      </c>
      <c r="AV497">
        <v>2018</v>
      </c>
      <c r="AW497" s="1">
        <v>45872</v>
      </c>
      <c r="AX497">
        <v>34.299999999999997</v>
      </c>
      <c r="AY497" t="s">
        <v>10</v>
      </c>
      <c r="AZ497" t="s">
        <v>35</v>
      </c>
      <c r="BA497" t="s">
        <v>12</v>
      </c>
      <c r="BB497" t="s">
        <v>13</v>
      </c>
      <c r="BC497" t="s">
        <v>7</v>
      </c>
      <c r="BD497">
        <v>4</v>
      </c>
      <c r="BE497" t="s">
        <v>49</v>
      </c>
      <c r="BF497">
        <v>1.1399999999999999</v>
      </c>
    </row>
    <row r="498" spans="1:58" hidden="1" x14ac:dyDescent="0.2">
      <c r="A498">
        <v>497</v>
      </c>
      <c r="B498" t="s">
        <v>0</v>
      </c>
      <c r="C498">
        <v>65</v>
      </c>
      <c r="D498" t="s">
        <v>1</v>
      </c>
      <c r="E498" t="s">
        <v>50</v>
      </c>
      <c r="F498" t="s">
        <v>40</v>
      </c>
      <c r="G498" t="s">
        <v>16</v>
      </c>
      <c r="H498" t="s">
        <v>23</v>
      </c>
      <c r="I498" t="s">
        <v>114</v>
      </c>
      <c r="J498" t="s">
        <v>32</v>
      </c>
      <c r="K498" t="s">
        <v>7</v>
      </c>
      <c r="L498">
        <v>7</v>
      </c>
      <c r="M498">
        <v>8.3000000000000007</v>
      </c>
      <c r="N498" t="s">
        <v>39</v>
      </c>
      <c r="O498" t="s">
        <v>7</v>
      </c>
      <c r="P498" t="s">
        <v>9</v>
      </c>
      <c r="Q498">
        <v>22</v>
      </c>
      <c r="R498">
        <v>10</v>
      </c>
      <c r="S498">
        <v>31</v>
      </c>
      <c r="T498">
        <v>137</v>
      </c>
      <c r="U498">
        <v>82</v>
      </c>
      <c r="V498">
        <v>7905</v>
      </c>
      <c r="W498">
        <v>42.3</v>
      </c>
      <c r="X498">
        <v>4</v>
      </c>
      <c r="Y498">
        <v>6</v>
      </c>
      <c r="Z498">
        <v>8</v>
      </c>
      <c r="AA498">
        <v>3.3</v>
      </c>
      <c r="AB498">
        <v>2</v>
      </c>
      <c r="AC498">
        <v>53</v>
      </c>
      <c r="AD498">
        <v>4</v>
      </c>
      <c r="AE498">
        <v>0</v>
      </c>
      <c r="AF498">
        <v>77</v>
      </c>
      <c r="AG498">
        <v>60</v>
      </c>
      <c r="AH498">
        <v>58</v>
      </c>
      <c r="AI498">
        <v>11</v>
      </c>
      <c r="AJ498">
        <v>7</v>
      </c>
      <c r="AK498">
        <v>11</v>
      </c>
      <c r="AL498">
        <v>12</v>
      </c>
      <c r="AM498">
        <v>1</v>
      </c>
      <c r="AN498">
        <v>21</v>
      </c>
      <c r="AO498">
        <v>15</v>
      </c>
      <c r="AP498">
        <v>11</v>
      </c>
      <c r="AQ498">
        <v>19</v>
      </c>
      <c r="AR498">
        <v>3842</v>
      </c>
      <c r="AS498">
        <v>3373</v>
      </c>
      <c r="AT498" t="s">
        <v>7</v>
      </c>
      <c r="AU498">
        <v>0.3</v>
      </c>
      <c r="AV498">
        <v>2022</v>
      </c>
      <c r="AW498" s="1">
        <v>45855</v>
      </c>
      <c r="AX498">
        <v>13.2</v>
      </c>
      <c r="AY498" t="s">
        <v>27</v>
      </c>
      <c r="AZ498" t="s">
        <v>31</v>
      </c>
      <c r="BA498" t="s">
        <v>21</v>
      </c>
      <c r="BB498" t="s">
        <v>13</v>
      </c>
      <c r="BC498" t="s">
        <v>7</v>
      </c>
      <c r="BD498">
        <v>2</v>
      </c>
      <c r="BE498" t="s">
        <v>43</v>
      </c>
      <c r="BF498">
        <v>1.48</v>
      </c>
    </row>
    <row r="499" spans="1:58" hidden="1" x14ac:dyDescent="0.2">
      <c r="A499">
        <v>498</v>
      </c>
      <c r="B499" t="s">
        <v>0</v>
      </c>
      <c r="C499">
        <v>35</v>
      </c>
      <c r="D499" t="s">
        <v>28</v>
      </c>
      <c r="E499" t="s">
        <v>128</v>
      </c>
      <c r="F499" t="s">
        <v>15</v>
      </c>
      <c r="G499" t="s">
        <v>4</v>
      </c>
      <c r="H499" t="s">
        <v>34</v>
      </c>
      <c r="I499" t="s">
        <v>114</v>
      </c>
      <c r="J499" t="s">
        <v>6</v>
      </c>
      <c r="K499" t="s">
        <v>7</v>
      </c>
      <c r="L499">
        <v>8.4</v>
      </c>
      <c r="M499">
        <v>6.1</v>
      </c>
      <c r="N499" t="s">
        <v>25</v>
      </c>
      <c r="O499" t="s">
        <v>13</v>
      </c>
      <c r="P499" t="s">
        <v>26</v>
      </c>
      <c r="Q499">
        <v>40</v>
      </c>
      <c r="R499">
        <v>1</v>
      </c>
      <c r="S499">
        <v>24.4</v>
      </c>
      <c r="T499">
        <v>103</v>
      </c>
      <c r="U499">
        <v>80</v>
      </c>
      <c r="V499">
        <v>7983</v>
      </c>
      <c r="W499">
        <v>50.5</v>
      </c>
      <c r="X499">
        <v>2</v>
      </c>
      <c r="Y499">
        <v>2</v>
      </c>
      <c r="Z499">
        <v>11</v>
      </c>
      <c r="AA499">
        <v>4.5</v>
      </c>
      <c r="AB499">
        <v>3</v>
      </c>
      <c r="AC499">
        <v>519</v>
      </c>
      <c r="AD499">
        <v>17</v>
      </c>
      <c r="AE499">
        <v>14</v>
      </c>
      <c r="AF499">
        <v>300</v>
      </c>
      <c r="AG499">
        <v>150</v>
      </c>
      <c r="AH499">
        <v>294</v>
      </c>
      <c r="AI499">
        <v>72</v>
      </c>
      <c r="AJ499">
        <v>59</v>
      </c>
      <c r="AK499">
        <v>80</v>
      </c>
      <c r="AL499">
        <v>50</v>
      </c>
      <c r="AM499">
        <v>14</v>
      </c>
      <c r="AN499">
        <v>268</v>
      </c>
      <c r="AO499">
        <v>91</v>
      </c>
      <c r="AP499">
        <v>66</v>
      </c>
      <c r="AQ499">
        <v>182</v>
      </c>
      <c r="AR499">
        <v>1793</v>
      </c>
      <c r="AS499">
        <v>2191</v>
      </c>
      <c r="AT499" t="s">
        <v>13</v>
      </c>
      <c r="AU499">
        <v>0.46</v>
      </c>
      <c r="AV499">
        <v>2017</v>
      </c>
      <c r="AW499" s="1">
        <v>45803</v>
      </c>
      <c r="AX499">
        <v>30.5</v>
      </c>
      <c r="AY499" t="s">
        <v>45</v>
      </c>
      <c r="AZ499" t="s">
        <v>17</v>
      </c>
      <c r="BA499" t="s">
        <v>21</v>
      </c>
      <c r="BB499" t="s">
        <v>13</v>
      </c>
      <c r="BC499" t="s">
        <v>7</v>
      </c>
      <c r="BD499">
        <v>0</v>
      </c>
      <c r="BE499" t="s">
        <v>43</v>
      </c>
      <c r="BF499">
        <v>0.92</v>
      </c>
    </row>
    <row r="500" spans="1:58" hidden="1" x14ac:dyDescent="0.2">
      <c r="A500">
        <v>499</v>
      </c>
      <c r="B500" t="s">
        <v>0</v>
      </c>
      <c r="C500">
        <v>21</v>
      </c>
      <c r="D500" t="s">
        <v>1</v>
      </c>
      <c r="E500" t="s">
        <v>126</v>
      </c>
      <c r="F500" t="s">
        <v>15</v>
      </c>
      <c r="G500" t="s">
        <v>16</v>
      </c>
      <c r="H500" t="s">
        <v>23</v>
      </c>
      <c r="I500" t="s">
        <v>114</v>
      </c>
      <c r="J500" t="s">
        <v>6</v>
      </c>
      <c r="K500" t="s">
        <v>7</v>
      </c>
      <c r="L500">
        <v>5.5</v>
      </c>
      <c r="M500">
        <v>7.6</v>
      </c>
      <c r="N500" t="s">
        <v>29</v>
      </c>
      <c r="O500" t="s">
        <v>7</v>
      </c>
      <c r="P500" t="s">
        <v>121</v>
      </c>
      <c r="Q500">
        <v>35</v>
      </c>
      <c r="R500">
        <v>5</v>
      </c>
      <c r="S500">
        <v>17.600000000000001</v>
      </c>
      <c r="T500">
        <v>151</v>
      </c>
      <c r="U500">
        <v>69</v>
      </c>
      <c r="V500">
        <v>7977</v>
      </c>
      <c r="W500">
        <v>54</v>
      </c>
      <c r="X500">
        <v>2</v>
      </c>
      <c r="Y500">
        <v>6</v>
      </c>
      <c r="Z500">
        <v>9</v>
      </c>
      <c r="AA500">
        <v>5.4</v>
      </c>
      <c r="AB500">
        <v>3</v>
      </c>
      <c r="AC500">
        <v>344</v>
      </c>
      <c r="AD500">
        <v>23</v>
      </c>
      <c r="AE500">
        <v>16</v>
      </c>
      <c r="AF500">
        <v>300</v>
      </c>
      <c r="AG500">
        <v>150</v>
      </c>
      <c r="AH500">
        <v>206</v>
      </c>
      <c r="AI500">
        <v>72</v>
      </c>
      <c r="AJ500">
        <v>43</v>
      </c>
      <c r="AK500">
        <v>43</v>
      </c>
      <c r="AL500">
        <v>38</v>
      </c>
      <c r="AM500">
        <v>6</v>
      </c>
      <c r="AN500">
        <v>139</v>
      </c>
      <c r="AO500">
        <v>99</v>
      </c>
      <c r="AP500">
        <v>59</v>
      </c>
      <c r="AQ500">
        <v>108</v>
      </c>
      <c r="AR500">
        <v>1782</v>
      </c>
      <c r="AS500">
        <v>1950</v>
      </c>
      <c r="AT500" t="s">
        <v>13</v>
      </c>
      <c r="AU500">
        <v>0.16</v>
      </c>
      <c r="AV500">
        <v>2020</v>
      </c>
      <c r="AW500" s="1">
        <v>45714</v>
      </c>
      <c r="AX500">
        <v>15</v>
      </c>
      <c r="AY500" t="s">
        <v>30</v>
      </c>
      <c r="AZ500" t="s">
        <v>20</v>
      </c>
      <c r="BA500" t="s">
        <v>21</v>
      </c>
      <c r="BB500" t="s">
        <v>7</v>
      </c>
      <c r="BC500" t="s">
        <v>7</v>
      </c>
      <c r="BD500">
        <v>2</v>
      </c>
      <c r="BE500" t="s">
        <v>14</v>
      </c>
      <c r="BF500">
        <v>1.1499999999999999</v>
      </c>
    </row>
    <row r="501" spans="1:58" hidden="1" x14ac:dyDescent="0.2">
      <c r="A501">
        <v>500</v>
      </c>
      <c r="B501" t="s">
        <v>0</v>
      </c>
      <c r="C501">
        <v>24</v>
      </c>
      <c r="D501" t="s">
        <v>1</v>
      </c>
      <c r="E501" t="s">
        <v>2</v>
      </c>
      <c r="F501" t="s">
        <v>15</v>
      </c>
      <c r="G501" t="s">
        <v>38</v>
      </c>
      <c r="H501" t="s">
        <v>34</v>
      </c>
      <c r="I501" t="s">
        <v>115</v>
      </c>
      <c r="J501" t="s">
        <v>32</v>
      </c>
      <c r="K501" t="s">
        <v>13</v>
      </c>
      <c r="L501">
        <v>3.4</v>
      </c>
      <c r="M501">
        <v>6.8</v>
      </c>
      <c r="N501" t="s">
        <v>29</v>
      </c>
      <c r="O501" t="s">
        <v>41</v>
      </c>
      <c r="P501" t="s">
        <v>26</v>
      </c>
      <c r="Q501">
        <v>36</v>
      </c>
      <c r="R501">
        <v>5</v>
      </c>
      <c r="S501">
        <v>28.9</v>
      </c>
      <c r="T501">
        <v>103</v>
      </c>
      <c r="U501">
        <v>76</v>
      </c>
      <c r="V501">
        <v>8127</v>
      </c>
      <c r="W501">
        <v>31.4</v>
      </c>
      <c r="X501">
        <v>5</v>
      </c>
      <c r="Y501">
        <v>5</v>
      </c>
      <c r="Z501">
        <v>12</v>
      </c>
      <c r="AA501">
        <v>3.1</v>
      </c>
      <c r="AB501">
        <v>1</v>
      </c>
      <c r="AC501">
        <v>307</v>
      </c>
      <c r="AD501">
        <v>26</v>
      </c>
      <c r="AE501">
        <v>9</v>
      </c>
      <c r="AF501">
        <v>300</v>
      </c>
      <c r="AG501">
        <v>150</v>
      </c>
      <c r="AH501">
        <v>164</v>
      </c>
      <c r="AI501">
        <v>44</v>
      </c>
      <c r="AJ501">
        <v>43</v>
      </c>
      <c r="AK501">
        <v>42</v>
      </c>
      <c r="AL501">
        <v>35</v>
      </c>
      <c r="AM501">
        <v>9</v>
      </c>
      <c r="AN501">
        <v>158</v>
      </c>
      <c r="AO501">
        <v>64</v>
      </c>
      <c r="AP501">
        <v>75</v>
      </c>
      <c r="AQ501">
        <v>74</v>
      </c>
      <c r="AR501">
        <v>202</v>
      </c>
      <c r="AS501">
        <v>472</v>
      </c>
      <c r="AT501" t="s">
        <v>7</v>
      </c>
      <c r="AU501">
        <v>0.27</v>
      </c>
      <c r="AV501">
        <v>2015</v>
      </c>
      <c r="AW501" s="1">
        <v>45803</v>
      </c>
      <c r="AX501">
        <v>11.8</v>
      </c>
      <c r="AY501" t="s">
        <v>27</v>
      </c>
      <c r="AZ501" t="s">
        <v>31</v>
      </c>
      <c r="BA501" t="s">
        <v>21</v>
      </c>
      <c r="BB501" t="s">
        <v>7</v>
      </c>
      <c r="BC501" t="s">
        <v>7</v>
      </c>
      <c r="BD501">
        <v>1</v>
      </c>
      <c r="BE501" t="s">
        <v>14</v>
      </c>
      <c r="BF501">
        <v>0.91</v>
      </c>
    </row>
    <row r="502" spans="1:58" hidden="1" x14ac:dyDescent="0.2">
      <c r="A502">
        <v>501</v>
      </c>
      <c r="B502" t="s">
        <v>0</v>
      </c>
      <c r="C502">
        <v>65</v>
      </c>
      <c r="D502" t="s">
        <v>28</v>
      </c>
      <c r="E502" t="s">
        <v>42</v>
      </c>
      <c r="F502" t="s">
        <v>15</v>
      </c>
      <c r="G502" t="s">
        <v>116</v>
      </c>
      <c r="H502" t="s">
        <v>34</v>
      </c>
      <c r="I502" t="s">
        <v>53</v>
      </c>
      <c r="J502" t="s">
        <v>6</v>
      </c>
      <c r="K502" t="s">
        <v>13</v>
      </c>
      <c r="L502">
        <v>7.2</v>
      </c>
      <c r="M502">
        <v>7.3</v>
      </c>
      <c r="N502" t="s">
        <v>29</v>
      </c>
      <c r="O502" t="s">
        <v>7</v>
      </c>
      <c r="P502" t="s">
        <v>26</v>
      </c>
      <c r="Q502">
        <v>13</v>
      </c>
      <c r="R502">
        <v>8</v>
      </c>
      <c r="S502">
        <v>25.7</v>
      </c>
      <c r="T502">
        <v>128</v>
      </c>
      <c r="U502">
        <v>64</v>
      </c>
      <c r="V502">
        <v>8025</v>
      </c>
      <c r="W502">
        <v>47.4</v>
      </c>
      <c r="X502">
        <v>6</v>
      </c>
      <c r="Y502">
        <v>0</v>
      </c>
      <c r="Z502">
        <v>6</v>
      </c>
      <c r="AA502">
        <v>1.8</v>
      </c>
      <c r="AB502">
        <v>1</v>
      </c>
      <c r="AC502">
        <v>89</v>
      </c>
      <c r="AD502">
        <v>3</v>
      </c>
      <c r="AE502">
        <v>1</v>
      </c>
      <c r="AF502">
        <v>90</v>
      </c>
      <c r="AG502">
        <v>71</v>
      </c>
      <c r="AH502">
        <v>65</v>
      </c>
      <c r="AI502">
        <v>23</v>
      </c>
      <c r="AJ502">
        <v>15</v>
      </c>
      <c r="AK502">
        <v>17</v>
      </c>
      <c r="AL502">
        <v>11</v>
      </c>
      <c r="AM502">
        <v>3</v>
      </c>
      <c r="AN502">
        <v>43</v>
      </c>
      <c r="AO502">
        <v>18</v>
      </c>
      <c r="AP502">
        <v>17</v>
      </c>
      <c r="AQ502">
        <v>19</v>
      </c>
      <c r="AR502">
        <v>112</v>
      </c>
      <c r="AS502">
        <v>266</v>
      </c>
      <c r="AT502" t="s">
        <v>13</v>
      </c>
      <c r="AU502">
        <v>0.81</v>
      </c>
      <c r="AV502">
        <v>2013</v>
      </c>
      <c r="AW502" s="1">
        <v>46006</v>
      </c>
      <c r="AX502">
        <v>29.7</v>
      </c>
      <c r="AY502" t="s">
        <v>10</v>
      </c>
      <c r="AZ502" t="s">
        <v>51</v>
      </c>
      <c r="BA502" t="s">
        <v>122</v>
      </c>
      <c r="BB502" t="s">
        <v>7</v>
      </c>
      <c r="BC502" t="s">
        <v>7</v>
      </c>
      <c r="BD502">
        <v>1</v>
      </c>
      <c r="BE502" t="s">
        <v>14</v>
      </c>
      <c r="BF502">
        <v>1.27</v>
      </c>
    </row>
    <row r="503" spans="1:58" hidden="1" x14ac:dyDescent="0.2">
      <c r="A503">
        <v>502</v>
      </c>
      <c r="B503" t="s">
        <v>0</v>
      </c>
      <c r="C503">
        <v>13</v>
      </c>
      <c r="D503" t="s">
        <v>1</v>
      </c>
      <c r="E503" t="s">
        <v>33</v>
      </c>
      <c r="F503" t="s">
        <v>40</v>
      </c>
      <c r="G503" t="s">
        <v>117</v>
      </c>
      <c r="H503" t="s">
        <v>118</v>
      </c>
      <c r="I503" t="s">
        <v>114</v>
      </c>
      <c r="J503" t="s">
        <v>32</v>
      </c>
      <c r="K503" t="s">
        <v>7</v>
      </c>
      <c r="L503">
        <v>4.5</v>
      </c>
      <c r="M503">
        <v>5.9</v>
      </c>
      <c r="N503" t="s">
        <v>29</v>
      </c>
      <c r="O503" t="s">
        <v>7</v>
      </c>
      <c r="P503" t="s">
        <v>9</v>
      </c>
      <c r="Q503">
        <v>29</v>
      </c>
      <c r="R503">
        <v>5</v>
      </c>
      <c r="S503">
        <v>34</v>
      </c>
      <c r="T503">
        <v>135</v>
      </c>
      <c r="U503">
        <v>81</v>
      </c>
      <c r="V503">
        <v>7974</v>
      </c>
      <c r="W503">
        <v>32.5</v>
      </c>
      <c r="X503">
        <v>3</v>
      </c>
      <c r="Y503">
        <v>2</v>
      </c>
      <c r="Z503">
        <v>11</v>
      </c>
      <c r="AA503">
        <v>7.2</v>
      </c>
      <c r="AB503">
        <v>5</v>
      </c>
      <c r="AC503">
        <v>192</v>
      </c>
      <c r="AD503">
        <v>8</v>
      </c>
      <c r="AE503">
        <v>9</v>
      </c>
      <c r="AF503">
        <v>236</v>
      </c>
      <c r="AG503">
        <v>121</v>
      </c>
      <c r="AH503">
        <v>140</v>
      </c>
      <c r="AI503">
        <v>35</v>
      </c>
      <c r="AJ503">
        <v>38</v>
      </c>
      <c r="AK503">
        <v>34</v>
      </c>
      <c r="AL503">
        <v>12</v>
      </c>
      <c r="AM503">
        <v>3</v>
      </c>
      <c r="AN503">
        <v>95</v>
      </c>
      <c r="AO503">
        <v>19</v>
      </c>
      <c r="AP503">
        <v>41</v>
      </c>
      <c r="AQ503">
        <v>77</v>
      </c>
      <c r="AR503">
        <v>7769</v>
      </c>
      <c r="AS503">
        <v>8594</v>
      </c>
      <c r="AT503" t="s">
        <v>7</v>
      </c>
      <c r="AU503">
        <v>0.22</v>
      </c>
      <c r="AV503">
        <v>2019</v>
      </c>
      <c r="AW503" s="1">
        <v>45839</v>
      </c>
      <c r="AX503">
        <v>24</v>
      </c>
      <c r="AY503" t="s">
        <v>30</v>
      </c>
      <c r="AZ503" t="s">
        <v>17</v>
      </c>
      <c r="BA503" t="s">
        <v>122</v>
      </c>
      <c r="BB503" t="s">
        <v>13</v>
      </c>
      <c r="BC503" t="s">
        <v>13</v>
      </c>
      <c r="BD503">
        <v>1</v>
      </c>
      <c r="BE503" t="s">
        <v>14</v>
      </c>
      <c r="BF503">
        <v>1.23</v>
      </c>
    </row>
    <row r="504" spans="1:58" hidden="1" x14ac:dyDescent="0.2">
      <c r="A504">
        <v>503</v>
      </c>
      <c r="B504" t="s">
        <v>0</v>
      </c>
      <c r="C504">
        <v>13</v>
      </c>
      <c r="D504" t="s">
        <v>1</v>
      </c>
      <c r="E504" t="s">
        <v>128</v>
      </c>
      <c r="F504" t="s">
        <v>15</v>
      </c>
      <c r="G504" t="s">
        <v>38</v>
      </c>
      <c r="H504" t="s">
        <v>118</v>
      </c>
      <c r="I504" t="s">
        <v>114</v>
      </c>
      <c r="J504" t="s">
        <v>123</v>
      </c>
      <c r="K504" t="s">
        <v>13</v>
      </c>
      <c r="L504">
        <v>5.9</v>
      </c>
      <c r="M504">
        <v>6.6</v>
      </c>
      <c r="N504" t="s">
        <v>8</v>
      </c>
      <c r="O504" t="s">
        <v>7</v>
      </c>
      <c r="P504" t="s">
        <v>121</v>
      </c>
      <c r="Q504">
        <v>1</v>
      </c>
      <c r="R504">
        <v>10</v>
      </c>
      <c r="S504">
        <v>23.5</v>
      </c>
      <c r="T504">
        <v>131</v>
      </c>
      <c r="U504">
        <v>82</v>
      </c>
      <c r="V504">
        <v>8075</v>
      </c>
      <c r="W504">
        <v>35.200000000000003</v>
      </c>
      <c r="X504">
        <v>4</v>
      </c>
      <c r="Y504">
        <v>6</v>
      </c>
      <c r="Z504">
        <v>10</v>
      </c>
      <c r="AA504">
        <v>3.7</v>
      </c>
      <c r="AB504">
        <v>2</v>
      </c>
      <c r="AC504">
        <v>5</v>
      </c>
      <c r="AD504">
        <v>1</v>
      </c>
      <c r="AE504">
        <v>4</v>
      </c>
      <c r="AF504">
        <v>134</v>
      </c>
      <c r="AG504">
        <v>34</v>
      </c>
      <c r="AH504">
        <v>28</v>
      </c>
      <c r="AI504">
        <v>7</v>
      </c>
      <c r="AJ504">
        <v>10</v>
      </c>
      <c r="AK504">
        <v>6</v>
      </c>
      <c r="AL504">
        <v>5</v>
      </c>
      <c r="AM504">
        <v>0</v>
      </c>
      <c r="AN504">
        <v>3</v>
      </c>
      <c r="AO504">
        <v>1</v>
      </c>
      <c r="AP504">
        <v>1</v>
      </c>
      <c r="AQ504">
        <v>2</v>
      </c>
      <c r="AR504">
        <v>736</v>
      </c>
      <c r="AS504">
        <v>526</v>
      </c>
      <c r="AT504" t="s">
        <v>7</v>
      </c>
      <c r="AU504">
        <v>0.47</v>
      </c>
      <c r="AV504">
        <v>2014</v>
      </c>
      <c r="AW504" s="1">
        <v>46001</v>
      </c>
      <c r="AX504">
        <v>5</v>
      </c>
      <c r="AY504" t="s">
        <v>45</v>
      </c>
      <c r="AZ504" t="s">
        <v>48</v>
      </c>
      <c r="BA504" t="s">
        <v>122</v>
      </c>
      <c r="BB504" t="s">
        <v>7</v>
      </c>
      <c r="BC504" t="s">
        <v>7</v>
      </c>
      <c r="BD504">
        <v>0</v>
      </c>
      <c r="BE504" t="s">
        <v>43</v>
      </c>
      <c r="BF504">
        <v>9</v>
      </c>
    </row>
    <row r="505" spans="1:58" hidden="1" x14ac:dyDescent="0.2">
      <c r="A505">
        <v>504</v>
      </c>
      <c r="B505" t="s">
        <v>0</v>
      </c>
      <c r="C505">
        <v>59</v>
      </c>
      <c r="D505" t="s">
        <v>28</v>
      </c>
      <c r="E505" t="s">
        <v>2</v>
      </c>
      <c r="F505" t="s">
        <v>15</v>
      </c>
      <c r="G505" t="s">
        <v>117</v>
      </c>
      <c r="H505" t="s">
        <v>34</v>
      </c>
      <c r="I505" t="s">
        <v>114</v>
      </c>
      <c r="J505" t="s">
        <v>32</v>
      </c>
      <c r="K505" t="s">
        <v>7</v>
      </c>
      <c r="L505">
        <v>9.9</v>
      </c>
      <c r="M505">
        <v>6.9</v>
      </c>
      <c r="N505" t="s">
        <v>25</v>
      </c>
      <c r="O505" t="s">
        <v>7</v>
      </c>
      <c r="P505" t="s">
        <v>9</v>
      </c>
      <c r="Q505">
        <v>35</v>
      </c>
      <c r="R505">
        <v>7</v>
      </c>
      <c r="S505">
        <v>16.899999999999999</v>
      </c>
      <c r="T505">
        <v>143</v>
      </c>
      <c r="U505">
        <v>61</v>
      </c>
      <c r="V505">
        <v>7920</v>
      </c>
      <c r="W505">
        <v>48.3</v>
      </c>
      <c r="X505">
        <v>5</v>
      </c>
      <c r="Y505">
        <v>5</v>
      </c>
      <c r="Z505">
        <v>5</v>
      </c>
      <c r="AA505">
        <v>4.8</v>
      </c>
      <c r="AB505">
        <v>2</v>
      </c>
      <c r="AC505">
        <v>254</v>
      </c>
      <c r="AD505">
        <v>9</v>
      </c>
      <c r="AE505">
        <v>8</v>
      </c>
      <c r="AF505">
        <v>223</v>
      </c>
      <c r="AG505">
        <v>121</v>
      </c>
      <c r="AH505">
        <v>145</v>
      </c>
      <c r="AI505">
        <v>37</v>
      </c>
      <c r="AJ505">
        <v>41</v>
      </c>
      <c r="AK505">
        <v>32</v>
      </c>
      <c r="AL505">
        <v>23</v>
      </c>
      <c r="AM505">
        <v>4</v>
      </c>
      <c r="AN505">
        <v>115</v>
      </c>
      <c r="AO505">
        <v>47</v>
      </c>
      <c r="AP505">
        <v>36</v>
      </c>
      <c r="AQ505">
        <v>75</v>
      </c>
      <c r="AR505">
        <v>451</v>
      </c>
      <c r="AS505">
        <v>859</v>
      </c>
      <c r="AT505" t="s">
        <v>13</v>
      </c>
      <c r="AU505">
        <v>0.75</v>
      </c>
      <c r="AV505">
        <v>2018</v>
      </c>
      <c r="AW505" s="1">
        <v>45720</v>
      </c>
      <c r="AX505">
        <v>28.2</v>
      </c>
      <c r="AY505" t="s">
        <v>10</v>
      </c>
      <c r="AZ505" t="s">
        <v>20</v>
      </c>
      <c r="BA505" t="s">
        <v>122</v>
      </c>
      <c r="BB505" t="s">
        <v>13</v>
      </c>
      <c r="BC505" t="s">
        <v>13</v>
      </c>
      <c r="BD505">
        <v>1</v>
      </c>
      <c r="BE505" t="s">
        <v>14</v>
      </c>
      <c r="BF505">
        <v>0.95</v>
      </c>
    </row>
    <row r="506" spans="1:58" hidden="1" x14ac:dyDescent="0.2">
      <c r="A506">
        <v>505</v>
      </c>
      <c r="B506" t="s">
        <v>0</v>
      </c>
      <c r="C506">
        <v>46</v>
      </c>
      <c r="D506" t="s">
        <v>1</v>
      </c>
      <c r="E506" t="s">
        <v>47</v>
      </c>
      <c r="F506" t="s">
        <v>40</v>
      </c>
      <c r="G506" t="s">
        <v>16</v>
      </c>
      <c r="H506" t="s">
        <v>23</v>
      </c>
      <c r="I506" t="s">
        <v>112</v>
      </c>
      <c r="J506" t="s">
        <v>18</v>
      </c>
      <c r="K506" t="s">
        <v>7</v>
      </c>
      <c r="L506">
        <v>3.9</v>
      </c>
      <c r="M506">
        <v>7.4</v>
      </c>
      <c r="N506" t="s">
        <v>39</v>
      </c>
      <c r="O506" t="s">
        <v>7</v>
      </c>
      <c r="P506" t="s">
        <v>9</v>
      </c>
      <c r="Q506">
        <v>13</v>
      </c>
      <c r="R506">
        <v>7</v>
      </c>
      <c r="S506">
        <v>26.4</v>
      </c>
      <c r="T506">
        <v>152</v>
      </c>
      <c r="U506">
        <v>87</v>
      </c>
      <c r="V506">
        <v>8032</v>
      </c>
      <c r="W506">
        <v>47.5</v>
      </c>
      <c r="X506">
        <v>3</v>
      </c>
      <c r="Y506">
        <v>4</v>
      </c>
      <c r="Z506">
        <v>8</v>
      </c>
      <c r="AA506">
        <v>4</v>
      </c>
      <c r="AB506">
        <v>4</v>
      </c>
      <c r="AC506">
        <v>102</v>
      </c>
      <c r="AD506">
        <v>4</v>
      </c>
      <c r="AE506">
        <v>2</v>
      </c>
      <c r="AF506">
        <v>95</v>
      </c>
      <c r="AG506">
        <v>70</v>
      </c>
      <c r="AH506">
        <v>76</v>
      </c>
      <c r="AI506">
        <v>26</v>
      </c>
      <c r="AJ506">
        <v>16</v>
      </c>
      <c r="AK506">
        <v>23</v>
      </c>
      <c r="AL506">
        <v>18</v>
      </c>
      <c r="AM506">
        <v>1</v>
      </c>
      <c r="AN506">
        <v>49</v>
      </c>
      <c r="AO506">
        <v>21</v>
      </c>
      <c r="AP506">
        <v>21</v>
      </c>
      <c r="AQ506">
        <v>23</v>
      </c>
      <c r="AR506">
        <v>574</v>
      </c>
      <c r="AS506">
        <v>1228</v>
      </c>
      <c r="AT506" t="s">
        <v>7</v>
      </c>
      <c r="AU506">
        <v>0.41</v>
      </c>
      <c r="AV506">
        <v>2012</v>
      </c>
      <c r="AW506" s="1">
        <v>45727</v>
      </c>
      <c r="AX506">
        <v>25.5</v>
      </c>
      <c r="AY506" t="s">
        <v>10</v>
      </c>
      <c r="AZ506" t="s">
        <v>37</v>
      </c>
      <c r="BA506" t="s">
        <v>122</v>
      </c>
      <c r="BB506" t="s">
        <v>13</v>
      </c>
      <c r="BC506" t="s">
        <v>7</v>
      </c>
      <c r="BD506">
        <v>1</v>
      </c>
      <c r="BE506" t="s">
        <v>43</v>
      </c>
      <c r="BF506">
        <v>1.3</v>
      </c>
    </row>
    <row r="507" spans="1:58" hidden="1" x14ac:dyDescent="0.2">
      <c r="A507">
        <v>506</v>
      </c>
      <c r="B507" t="s">
        <v>0</v>
      </c>
      <c r="C507">
        <v>44</v>
      </c>
      <c r="D507" t="s">
        <v>1</v>
      </c>
      <c r="E507" t="s">
        <v>2</v>
      </c>
      <c r="F507" t="s">
        <v>40</v>
      </c>
      <c r="G507" t="s">
        <v>16</v>
      </c>
      <c r="H507" t="s">
        <v>118</v>
      </c>
      <c r="I507" t="s">
        <v>115</v>
      </c>
      <c r="J507" t="s">
        <v>6</v>
      </c>
      <c r="K507" t="s">
        <v>13</v>
      </c>
      <c r="L507">
        <v>3.5</v>
      </c>
      <c r="M507">
        <v>6</v>
      </c>
      <c r="N507" t="s">
        <v>29</v>
      </c>
      <c r="O507" t="s">
        <v>41</v>
      </c>
      <c r="P507" t="s">
        <v>26</v>
      </c>
      <c r="Q507">
        <v>7</v>
      </c>
      <c r="R507">
        <v>6</v>
      </c>
      <c r="S507">
        <v>26</v>
      </c>
      <c r="T507">
        <v>105</v>
      </c>
      <c r="U507">
        <v>92</v>
      </c>
      <c r="V507">
        <v>8102</v>
      </c>
      <c r="W507">
        <v>29</v>
      </c>
      <c r="X507">
        <v>2</v>
      </c>
      <c r="Y507">
        <v>4</v>
      </c>
      <c r="Z507">
        <v>6</v>
      </c>
      <c r="AA507">
        <v>6.9</v>
      </c>
      <c r="AB507">
        <v>4</v>
      </c>
      <c r="AC507">
        <v>32</v>
      </c>
      <c r="AD507">
        <v>1</v>
      </c>
      <c r="AE507">
        <v>2</v>
      </c>
      <c r="AF507">
        <v>58</v>
      </c>
      <c r="AG507">
        <v>46</v>
      </c>
      <c r="AH507">
        <v>40</v>
      </c>
      <c r="AI507">
        <v>9</v>
      </c>
      <c r="AJ507">
        <v>17</v>
      </c>
      <c r="AK507">
        <v>16</v>
      </c>
      <c r="AL507">
        <v>8</v>
      </c>
      <c r="AM507">
        <v>1</v>
      </c>
      <c r="AN507">
        <v>14</v>
      </c>
      <c r="AO507">
        <v>4</v>
      </c>
      <c r="AP507">
        <v>4</v>
      </c>
      <c r="AQ507">
        <v>8</v>
      </c>
      <c r="AR507">
        <v>4842</v>
      </c>
      <c r="AS507">
        <v>10000</v>
      </c>
      <c r="AT507" t="s">
        <v>7</v>
      </c>
      <c r="AU507">
        <v>0.46</v>
      </c>
      <c r="AV507">
        <v>2010</v>
      </c>
      <c r="AW507" s="1">
        <v>45908</v>
      </c>
      <c r="AX507">
        <v>32</v>
      </c>
      <c r="AY507" t="s">
        <v>19</v>
      </c>
      <c r="AZ507" t="s">
        <v>17</v>
      </c>
      <c r="BA507" t="s">
        <v>12</v>
      </c>
      <c r="BB507" t="s">
        <v>13</v>
      </c>
      <c r="BC507" t="s">
        <v>13</v>
      </c>
      <c r="BD507">
        <v>2</v>
      </c>
      <c r="BE507" t="s">
        <v>14</v>
      </c>
      <c r="BF507">
        <v>1.94</v>
      </c>
    </row>
    <row r="508" spans="1:58" hidden="1" x14ac:dyDescent="0.2">
      <c r="A508">
        <v>507</v>
      </c>
      <c r="B508" t="s">
        <v>0</v>
      </c>
      <c r="C508">
        <v>60</v>
      </c>
      <c r="D508" t="s">
        <v>1</v>
      </c>
      <c r="E508" t="s">
        <v>2</v>
      </c>
      <c r="F508" t="s">
        <v>15</v>
      </c>
      <c r="G508" t="s">
        <v>4</v>
      </c>
      <c r="H508" t="s">
        <v>118</v>
      </c>
      <c r="I508" t="s">
        <v>112</v>
      </c>
      <c r="J508" t="s">
        <v>18</v>
      </c>
      <c r="K508" t="s">
        <v>7</v>
      </c>
      <c r="L508">
        <v>3.4</v>
      </c>
      <c r="M508">
        <v>5.4</v>
      </c>
      <c r="N508" t="s">
        <v>8</v>
      </c>
      <c r="O508" t="s">
        <v>7</v>
      </c>
      <c r="P508" t="s">
        <v>121</v>
      </c>
      <c r="Q508">
        <v>4</v>
      </c>
      <c r="R508">
        <v>6</v>
      </c>
      <c r="S508">
        <v>22.6</v>
      </c>
      <c r="T508">
        <v>157</v>
      </c>
      <c r="U508">
        <v>72</v>
      </c>
      <c r="V508">
        <v>7930</v>
      </c>
      <c r="W508">
        <v>47.7</v>
      </c>
      <c r="X508">
        <v>3</v>
      </c>
      <c r="Y508">
        <v>3</v>
      </c>
      <c r="Z508">
        <v>11</v>
      </c>
      <c r="AA508">
        <v>1.8</v>
      </c>
      <c r="AB508">
        <v>0</v>
      </c>
      <c r="AC508">
        <v>5</v>
      </c>
      <c r="AD508">
        <v>1</v>
      </c>
      <c r="AE508">
        <v>5</v>
      </c>
      <c r="AF508">
        <v>46</v>
      </c>
      <c r="AG508">
        <v>40</v>
      </c>
      <c r="AH508">
        <v>25</v>
      </c>
      <c r="AI508">
        <v>6</v>
      </c>
      <c r="AJ508">
        <v>12</v>
      </c>
      <c r="AK508">
        <v>7</v>
      </c>
      <c r="AL508">
        <v>5</v>
      </c>
      <c r="AM508">
        <v>0</v>
      </c>
      <c r="AN508">
        <v>3</v>
      </c>
      <c r="AO508">
        <v>1</v>
      </c>
      <c r="AP508">
        <v>1</v>
      </c>
      <c r="AQ508">
        <v>2</v>
      </c>
      <c r="AR508">
        <v>584</v>
      </c>
      <c r="AS508">
        <v>722</v>
      </c>
      <c r="AT508" t="s">
        <v>13</v>
      </c>
      <c r="AU508">
        <v>0.41</v>
      </c>
      <c r="AV508">
        <v>2015</v>
      </c>
      <c r="AW508" s="1">
        <v>45876</v>
      </c>
      <c r="AX508">
        <v>5</v>
      </c>
      <c r="AY508" t="s">
        <v>30</v>
      </c>
      <c r="AZ508" t="s">
        <v>37</v>
      </c>
      <c r="BA508" t="s">
        <v>122</v>
      </c>
      <c r="BB508" t="s">
        <v>13</v>
      </c>
      <c r="BC508" t="s">
        <v>7</v>
      </c>
      <c r="BD508">
        <v>2</v>
      </c>
      <c r="BE508" t="s">
        <v>14</v>
      </c>
      <c r="BF508">
        <v>8.67</v>
      </c>
    </row>
    <row r="509" spans="1:58" hidden="1" x14ac:dyDescent="0.2">
      <c r="A509">
        <v>508</v>
      </c>
      <c r="B509" t="s">
        <v>0</v>
      </c>
      <c r="C509">
        <v>37</v>
      </c>
      <c r="D509" t="s">
        <v>1</v>
      </c>
      <c r="E509" t="s">
        <v>50</v>
      </c>
      <c r="F509" t="s">
        <v>40</v>
      </c>
      <c r="G509" t="s">
        <v>16</v>
      </c>
      <c r="H509" t="s">
        <v>34</v>
      </c>
      <c r="I509" t="s">
        <v>112</v>
      </c>
      <c r="J509" t="s">
        <v>6</v>
      </c>
      <c r="K509" t="s">
        <v>7</v>
      </c>
      <c r="L509">
        <v>4.8</v>
      </c>
      <c r="M509">
        <v>6.9</v>
      </c>
      <c r="N509" t="s">
        <v>8</v>
      </c>
      <c r="O509" t="s">
        <v>7</v>
      </c>
      <c r="P509" t="s">
        <v>9</v>
      </c>
      <c r="Q509">
        <v>35</v>
      </c>
      <c r="R509">
        <v>3</v>
      </c>
      <c r="S509">
        <v>19.7</v>
      </c>
      <c r="T509">
        <v>150</v>
      </c>
      <c r="U509">
        <v>96</v>
      </c>
      <c r="V509">
        <v>7997</v>
      </c>
      <c r="W509">
        <v>31.1</v>
      </c>
      <c r="X509">
        <v>2</v>
      </c>
      <c r="Y509">
        <v>4</v>
      </c>
      <c r="Z509">
        <v>6</v>
      </c>
      <c r="AA509">
        <v>3.5</v>
      </c>
      <c r="AB509">
        <v>7</v>
      </c>
      <c r="AC509">
        <v>346</v>
      </c>
      <c r="AD509">
        <v>27</v>
      </c>
      <c r="AE509">
        <v>12</v>
      </c>
      <c r="AF509">
        <v>245</v>
      </c>
      <c r="AG509">
        <v>150</v>
      </c>
      <c r="AH509">
        <v>198</v>
      </c>
      <c r="AI509">
        <v>63</v>
      </c>
      <c r="AJ509">
        <v>41</v>
      </c>
      <c r="AK509">
        <v>64</v>
      </c>
      <c r="AL509">
        <v>33</v>
      </c>
      <c r="AM509">
        <v>11</v>
      </c>
      <c r="AN509">
        <v>186</v>
      </c>
      <c r="AO509">
        <v>102</v>
      </c>
      <c r="AP509">
        <v>73</v>
      </c>
      <c r="AQ509">
        <v>103</v>
      </c>
      <c r="AR509">
        <v>1792</v>
      </c>
      <c r="AS509">
        <v>2371</v>
      </c>
      <c r="AT509" t="s">
        <v>7</v>
      </c>
      <c r="AU509">
        <v>0.13</v>
      </c>
      <c r="AV509">
        <v>2020</v>
      </c>
      <c r="AW509" s="1">
        <v>45987</v>
      </c>
      <c r="AX509">
        <v>12.8</v>
      </c>
      <c r="AY509" t="s">
        <v>27</v>
      </c>
      <c r="AZ509" t="s">
        <v>51</v>
      </c>
      <c r="BA509" t="s">
        <v>122</v>
      </c>
      <c r="BB509" t="s">
        <v>13</v>
      </c>
      <c r="BC509" t="s">
        <v>13</v>
      </c>
      <c r="BD509">
        <v>0</v>
      </c>
      <c r="BE509" t="s">
        <v>14</v>
      </c>
      <c r="BF509">
        <v>1.04</v>
      </c>
    </row>
    <row r="510" spans="1:58" hidden="1" x14ac:dyDescent="0.2">
      <c r="A510">
        <v>509</v>
      </c>
      <c r="B510" t="s">
        <v>0</v>
      </c>
      <c r="C510">
        <v>52</v>
      </c>
      <c r="D510" t="s">
        <v>1</v>
      </c>
      <c r="E510" t="s">
        <v>128</v>
      </c>
      <c r="F510" t="s">
        <v>40</v>
      </c>
      <c r="G510" t="s">
        <v>117</v>
      </c>
      <c r="H510" t="s">
        <v>23</v>
      </c>
      <c r="I510" t="s">
        <v>114</v>
      </c>
      <c r="J510" t="s">
        <v>32</v>
      </c>
      <c r="K510" t="s">
        <v>7</v>
      </c>
      <c r="L510">
        <v>6.9</v>
      </c>
      <c r="M510">
        <v>6.9</v>
      </c>
      <c r="N510" t="s">
        <v>29</v>
      </c>
      <c r="O510" t="s">
        <v>7</v>
      </c>
      <c r="P510" t="s">
        <v>46</v>
      </c>
      <c r="Q510">
        <v>13</v>
      </c>
      <c r="R510">
        <v>3</v>
      </c>
      <c r="S510">
        <v>20.7</v>
      </c>
      <c r="T510">
        <v>92</v>
      </c>
      <c r="U510">
        <v>74</v>
      </c>
      <c r="V510">
        <v>8111</v>
      </c>
      <c r="W510">
        <v>41.3</v>
      </c>
      <c r="X510">
        <v>5</v>
      </c>
      <c r="Y510">
        <v>1</v>
      </c>
      <c r="Z510">
        <v>5</v>
      </c>
      <c r="AA510">
        <v>5.4</v>
      </c>
      <c r="AB510">
        <v>5</v>
      </c>
      <c r="AC510">
        <v>120</v>
      </c>
      <c r="AD510">
        <v>5</v>
      </c>
      <c r="AE510">
        <v>6</v>
      </c>
      <c r="AF510">
        <v>97</v>
      </c>
      <c r="AG510">
        <v>69</v>
      </c>
      <c r="AH510">
        <v>81</v>
      </c>
      <c r="AI510">
        <v>20</v>
      </c>
      <c r="AJ510">
        <v>34</v>
      </c>
      <c r="AK510">
        <v>23</v>
      </c>
      <c r="AL510">
        <v>13</v>
      </c>
      <c r="AM510">
        <v>4</v>
      </c>
      <c r="AN510">
        <v>52</v>
      </c>
      <c r="AO510">
        <v>27</v>
      </c>
      <c r="AP510">
        <v>17</v>
      </c>
      <c r="AQ510">
        <v>38</v>
      </c>
      <c r="AR510">
        <v>1605</v>
      </c>
      <c r="AS510">
        <v>3774</v>
      </c>
      <c r="AT510" t="s">
        <v>13</v>
      </c>
      <c r="AU510">
        <v>0.02</v>
      </c>
      <c r="AV510">
        <v>2019</v>
      </c>
      <c r="AW510" s="1">
        <v>45845</v>
      </c>
      <c r="AX510">
        <v>24</v>
      </c>
      <c r="AY510" t="s">
        <v>45</v>
      </c>
      <c r="AZ510" t="s">
        <v>11</v>
      </c>
      <c r="BA510" t="s">
        <v>21</v>
      </c>
      <c r="BB510" t="s">
        <v>13</v>
      </c>
      <c r="BC510" t="s">
        <v>13</v>
      </c>
      <c r="BD510">
        <v>3</v>
      </c>
      <c r="BE510" t="s">
        <v>14</v>
      </c>
      <c r="BF510">
        <v>1.1499999999999999</v>
      </c>
    </row>
    <row r="511" spans="1:58" hidden="1" x14ac:dyDescent="0.2">
      <c r="A511">
        <v>510</v>
      </c>
      <c r="B511" t="s">
        <v>0</v>
      </c>
      <c r="C511">
        <v>57</v>
      </c>
      <c r="D511" t="s">
        <v>28</v>
      </c>
      <c r="E511" t="s">
        <v>47</v>
      </c>
      <c r="F511" t="s">
        <v>40</v>
      </c>
      <c r="G511" t="s">
        <v>117</v>
      </c>
      <c r="H511" t="s">
        <v>118</v>
      </c>
      <c r="I511" t="s">
        <v>114</v>
      </c>
      <c r="J511" t="s">
        <v>32</v>
      </c>
      <c r="K511" t="s">
        <v>13</v>
      </c>
      <c r="L511">
        <v>11.3</v>
      </c>
      <c r="M511">
        <v>6.3</v>
      </c>
      <c r="N511" t="s">
        <v>29</v>
      </c>
      <c r="O511" t="s">
        <v>7</v>
      </c>
      <c r="P511" t="s">
        <v>46</v>
      </c>
      <c r="Q511">
        <v>21</v>
      </c>
      <c r="R511">
        <v>5</v>
      </c>
      <c r="S511">
        <v>22.6</v>
      </c>
      <c r="T511">
        <v>92</v>
      </c>
      <c r="U511">
        <v>62</v>
      </c>
      <c r="V511">
        <v>7996</v>
      </c>
      <c r="W511">
        <v>46.7</v>
      </c>
      <c r="X511">
        <v>4</v>
      </c>
      <c r="Y511">
        <v>5</v>
      </c>
      <c r="Z511">
        <v>9</v>
      </c>
      <c r="AA511">
        <v>1.5</v>
      </c>
      <c r="AB511">
        <v>4</v>
      </c>
      <c r="AC511">
        <v>132</v>
      </c>
      <c r="AD511">
        <v>13</v>
      </c>
      <c r="AE511">
        <v>3</v>
      </c>
      <c r="AF511">
        <v>100</v>
      </c>
      <c r="AG511">
        <v>87</v>
      </c>
      <c r="AH511">
        <v>78</v>
      </c>
      <c r="AI511">
        <v>34</v>
      </c>
      <c r="AJ511">
        <v>24</v>
      </c>
      <c r="AK511">
        <v>31</v>
      </c>
      <c r="AL511">
        <v>12</v>
      </c>
      <c r="AM511">
        <v>5</v>
      </c>
      <c r="AN511">
        <v>65</v>
      </c>
      <c r="AO511">
        <v>14</v>
      </c>
      <c r="AP511">
        <v>16</v>
      </c>
      <c r="AQ511">
        <v>41</v>
      </c>
      <c r="AR511">
        <v>1653</v>
      </c>
      <c r="AS511">
        <v>1488</v>
      </c>
      <c r="AT511" t="s">
        <v>7</v>
      </c>
      <c r="AU511">
        <v>0.34</v>
      </c>
      <c r="AV511">
        <v>2019</v>
      </c>
      <c r="AW511" s="1">
        <v>45793</v>
      </c>
      <c r="AX511">
        <v>10.199999999999999</v>
      </c>
      <c r="AY511" t="s">
        <v>36</v>
      </c>
      <c r="AZ511" t="s">
        <v>51</v>
      </c>
      <c r="BA511" t="s">
        <v>21</v>
      </c>
      <c r="BB511" t="s">
        <v>13</v>
      </c>
      <c r="BC511" t="s">
        <v>7</v>
      </c>
      <c r="BD511">
        <v>5</v>
      </c>
      <c r="BE511" t="s">
        <v>14</v>
      </c>
      <c r="BF511">
        <v>1.17</v>
      </c>
    </row>
    <row r="512" spans="1:58" hidden="1" x14ac:dyDescent="0.2">
      <c r="A512">
        <v>511</v>
      </c>
      <c r="B512" t="s">
        <v>0</v>
      </c>
      <c r="C512">
        <v>65</v>
      </c>
      <c r="D512" t="s">
        <v>28</v>
      </c>
      <c r="E512" t="s">
        <v>126</v>
      </c>
      <c r="F512" t="s">
        <v>15</v>
      </c>
      <c r="G512" t="s">
        <v>116</v>
      </c>
      <c r="H512" t="s">
        <v>118</v>
      </c>
      <c r="I512" t="s">
        <v>114</v>
      </c>
      <c r="J512" t="s">
        <v>123</v>
      </c>
      <c r="K512" t="s">
        <v>7</v>
      </c>
      <c r="L512">
        <v>11.9</v>
      </c>
      <c r="M512">
        <v>6.5</v>
      </c>
      <c r="N512" t="s">
        <v>39</v>
      </c>
      <c r="O512" t="s">
        <v>7</v>
      </c>
      <c r="P512" t="s">
        <v>26</v>
      </c>
      <c r="Q512">
        <v>8</v>
      </c>
      <c r="R512">
        <v>6</v>
      </c>
      <c r="S512">
        <v>22.3</v>
      </c>
      <c r="T512">
        <v>156</v>
      </c>
      <c r="U512">
        <v>82</v>
      </c>
      <c r="V512">
        <v>7866</v>
      </c>
      <c r="W512">
        <v>51</v>
      </c>
      <c r="X512">
        <v>4</v>
      </c>
      <c r="Y512">
        <v>3</v>
      </c>
      <c r="Z512">
        <v>10</v>
      </c>
      <c r="AA512">
        <v>4.9000000000000004</v>
      </c>
      <c r="AB512">
        <v>7</v>
      </c>
      <c r="AC512">
        <v>5</v>
      </c>
      <c r="AD512">
        <v>1</v>
      </c>
      <c r="AE512">
        <v>0</v>
      </c>
      <c r="AF512">
        <v>57</v>
      </c>
      <c r="AG512">
        <v>28</v>
      </c>
      <c r="AH512">
        <v>24</v>
      </c>
      <c r="AI512">
        <v>6</v>
      </c>
      <c r="AJ512">
        <v>13</v>
      </c>
      <c r="AK512">
        <v>7</v>
      </c>
      <c r="AL512">
        <v>1</v>
      </c>
      <c r="AM512">
        <v>1</v>
      </c>
      <c r="AN512">
        <v>2</v>
      </c>
      <c r="AO512">
        <v>1</v>
      </c>
      <c r="AP512">
        <v>1</v>
      </c>
      <c r="AQ512">
        <v>1</v>
      </c>
      <c r="AR512">
        <v>671</v>
      </c>
      <c r="AS512">
        <v>1570</v>
      </c>
      <c r="AT512" t="s">
        <v>7</v>
      </c>
      <c r="AU512">
        <v>0.69</v>
      </c>
      <c r="AV512">
        <v>2025</v>
      </c>
      <c r="AW512" s="1">
        <v>45669</v>
      </c>
      <c r="AX512">
        <v>5</v>
      </c>
      <c r="AY512" t="s">
        <v>30</v>
      </c>
      <c r="AZ512" t="s">
        <v>20</v>
      </c>
      <c r="BA512" t="s">
        <v>21</v>
      </c>
      <c r="BB512" t="s">
        <v>13</v>
      </c>
      <c r="BC512" t="s">
        <v>7</v>
      </c>
      <c r="BD512">
        <v>1</v>
      </c>
      <c r="BE512" t="s">
        <v>14</v>
      </c>
      <c r="BF512">
        <v>6</v>
      </c>
    </row>
    <row r="513" spans="1:58" hidden="1" x14ac:dyDescent="0.2">
      <c r="A513">
        <v>512</v>
      </c>
      <c r="B513" t="s">
        <v>0</v>
      </c>
      <c r="C513">
        <v>13</v>
      </c>
      <c r="D513" t="s">
        <v>1</v>
      </c>
      <c r="E513" t="s">
        <v>128</v>
      </c>
      <c r="F513" t="s">
        <v>40</v>
      </c>
      <c r="G513" t="s">
        <v>116</v>
      </c>
      <c r="H513" t="s">
        <v>23</v>
      </c>
      <c r="I513" t="s">
        <v>112</v>
      </c>
      <c r="J513" t="s">
        <v>123</v>
      </c>
      <c r="K513" t="s">
        <v>13</v>
      </c>
      <c r="L513">
        <v>15.3</v>
      </c>
      <c r="M513">
        <v>7.8</v>
      </c>
      <c r="N513" t="s">
        <v>8</v>
      </c>
      <c r="O513" t="s">
        <v>7</v>
      </c>
      <c r="P513" t="s">
        <v>46</v>
      </c>
      <c r="Q513">
        <v>19</v>
      </c>
      <c r="R513">
        <v>9</v>
      </c>
      <c r="S513">
        <v>27.8</v>
      </c>
      <c r="T513">
        <v>107</v>
      </c>
      <c r="U513">
        <v>64</v>
      </c>
      <c r="V513">
        <v>8113</v>
      </c>
      <c r="W513">
        <v>50.9</v>
      </c>
      <c r="X513">
        <v>2</v>
      </c>
      <c r="Y513">
        <v>2</v>
      </c>
      <c r="Z513">
        <v>8</v>
      </c>
      <c r="AA513">
        <v>2.7</v>
      </c>
      <c r="AB513">
        <v>3</v>
      </c>
      <c r="AC513">
        <v>174</v>
      </c>
      <c r="AD513">
        <v>5</v>
      </c>
      <c r="AE513">
        <v>7</v>
      </c>
      <c r="AF513">
        <v>250</v>
      </c>
      <c r="AG513">
        <v>101</v>
      </c>
      <c r="AH513">
        <v>116</v>
      </c>
      <c r="AI513">
        <v>28</v>
      </c>
      <c r="AJ513">
        <v>26</v>
      </c>
      <c r="AK513">
        <v>24</v>
      </c>
      <c r="AL513">
        <v>19</v>
      </c>
      <c r="AM513">
        <v>2</v>
      </c>
      <c r="AN513">
        <v>78</v>
      </c>
      <c r="AO513">
        <v>36</v>
      </c>
      <c r="AP513">
        <v>27</v>
      </c>
      <c r="AQ513">
        <v>42</v>
      </c>
      <c r="AR513">
        <v>1142</v>
      </c>
      <c r="AS513">
        <v>1214</v>
      </c>
      <c r="AT513" t="s">
        <v>13</v>
      </c>
      <c r="AU513">
        <v>0</v>
      </c>
      <c r="AV513">
        <v>2022</v>
      </c>
      <c r="AW513" s="1">
        <v>45772</v>
      </c>
      <c r="AX513">
        <v>34.799999999999997</v>
      </c>
      <c r="AY513" t="s">
        <v>30</v>
      </c>
      <c r="AZ513" t="s">
        <v>31</v>
      </c>
      <c r="BA513" t="s">
        <v>12</v>
      </c>
      <c r="BB513" t="s">
        <v>13</v>
      </c>
      <c r="BC513" t="s">
        <v>13</v>
      </c>
      <c r="BD513">
        <v>3</v>
      </c>
      <c r="BE513" t="s">
        <v>14</v>
      </c>
      <c r="BF513">
        <v>1.1000000000000001</v>
      </c>
    </row>
    <row r="514" spans="1:58" hidden="1" x14ac:dyDescent="0.2">
      <c r="A514">
        <v>513</v>
      </c>
      <c r="B514" t="s">
        <v>0</v>
      </c>
      <c r="C514">
        <v>28</v>
      </c>
      <c r="D514" t="s">
        <v>1</v>
      </c>
      <c r="E514" t="s">
        <v>127</v>
      </c>
      <c r="F514" t="s">
        <v>15</v>
      </c>
      <c r="G514" t="s">
        <v>116</v>
      </c>
      <c r="H514" t="s">
        <v>118</v>
      </c>
      <c r="I514" t="s">
        <v>112</v>
      </c>
      <c r="J514" t="s">
        <v>123</v>
      </c>
      <c r="K514" t="s">
        <v>7</v>
      </c>
      <c r="L514">
        <v>5.5</v>
      </c>
      <c r="M514">
        <v>7.7</v>
      </c>
      <c r="N514" t="s">
        <v>29</v>
      </c>
      <c r="O514" t="s">
        <v>7</v>
      </c>
      <c r="P514" t="s">
        <v>9</v>
      </c>
      <c r="Q514">
        <v>17</v>
      </c>
      <c r="R514">
        <v>5</v>
      </c>
      <c r="S514">
        <v>28.9</v>
      </c>
      <c r="T514">
        <v>115</v>
      </c>
      <c r="U514">
        <v>83</v>
      </c>
      <c r="V514">
        <v>7952</v>
      </c>
      <c r="W514">
        <v>41.2</v>
      </c>
      <c r="X514">
        <v>3</v>
      </c>
      <c r="Y514">
        <v>6</v>
      </c>
      <c r="Z514">
        <v>11</v>
      </c>
      <c r="AA514">
        <v>3.9</v>
      </c>
      <c r="AB514">
        <v>4</v>
      </c>
      <c r="AC514">
        <v>151</v>
      </c>
      <c r="AD514">
        <v>13</v>
      </c>
      <c r="AE514">
        <v>4</v>
      </c>
      <c r="AF514">
        <v>201</v>
      </c>
      <c r="AG514">
        <v>78</v>
      </c>
      <c r="AH514">
        <v>99</v>
      </c>
      <c r="AI514">
        <v>23</v>
      </c>
      <c r="AJ514">
        <v>21</v>
      </c>
      <c r="AK514">
        <v>27</v>
      </c>
      <c r="AL514">
        <v>13</v>
      </c>
      <c r="AM514">
        <v>3</v>
      </c>
      <c r="AN514">
        <v>84</v>
      </c>
      <c r="AO514">
        <v>25</v>
      </c>
      <c r="AP514">
        <v>33</v>
      </c>
      <c r="AQ514">
        <v>56</v>
      </c>
      <c r="AR514">
        <v>765</v>
      </c>
      <c r="AS514">
        <v>799</v>
      </c>
      <c r="AT514" t="s">
        <v>7</v>
      </c>
      <c r="AU514">
        <v>0.71</v>
      </c>
      <c r="AV514">
        <v>2014</v>
      </c>
      <c r="AW514" s="1">
        <v>45753</v>
      </c>
      <c r="AX514">
        <v>11.6</v>
      </c>
      <c r="AY514" t="s">
        <v>30</v>
      </c>
      <c r="AZ514" t="s">
        <v>17</v>
      </c>
      <c r="BA514" t="s">
        <v>122</v>
      </c>
      <c r="BB514" t="s">
        <v>13</v>
      </c>
      <c r="BC514" t="s">
        <v>13</v>
      </c>
      <c r="BD514">
        <v>1</v>
      </c>
      <c r="BE514" t="s">
        <v>43</v>
      </c>
      <c r="BF514">
        <v>1.03</v>
      </c>
    </row>
    <row r="515" spans="1:58" hidden="1" x14ac:dyDescent="0.2">
      <c r="A515">
        <v>514</v>
      </c>
      <c r="B515" t="s">
        <v>0</v>
      </c>
      <c r="C515">
        <v>51</v>
      </c>
      <c r="D515" t="s">
        <v>28</v>
      </c>
      <c r="E515" t="s">
        <v>127</v>
      </c>
      <c r="F515" t="s">
        <v>3</v>
      </c>
      <c r="G515" t="s">
        <v>4</v>
      </c>
      <c r="H515" t="s">
        <v>118</v>
      </c>
      <c r="I515" t="s">
        <v>114</v>
      </c>
      <c r="J515" t="s">
        <v>32</v>
      </c>
      <c r="K515" t="s">
        <v>7</v>
      </c>
      <c r="L515">
        <v>8.6999999999999993</v>
      </c>
      <c r="M515">
        <v>6</v>
      </c>
      <c r="N515" t="s">
        <v>29</v>
      </c>
      <c r="O515" t="s">
        <v>13</v>
      </c>
      <c r="P515" t="s">
        <v>46</v>
      </c>
      <c r="Q515">
        <v>26</v>
      </c>
      <c r="R515">
        <v>7</v>
      </c>
      <c r="S515">
        <v>22.5</v>
      </c>
      <c r="T515">
        <v>126</v>
      </c>
      <c r="U515">
        <v>65</v>
      </c>
      <c r="V515">
        <v>7982</v>
      </c>
      <c r="W515">
        <v>40.799999999999997</v>
      </c>
      <c r="X515">
        <v>5</v>
      </c>
      <c r="Y515">
        <v>6</v>
      </c>
      <c r="Z515">
        <v>10</v>
      </c>
      <c r="AA515">
        <v>7.3</v>
      </c>
      <c r="AB515">
        <v>3</v>
      </c>
      <c r="AC515">
        <v>159</v>
      </c>
      <c r="AD515">
        <v>5</v>
      </c>
      <c r="AE515">
        <v>4</v>
      </c>
      <c r="AF515">
        <v>132</v>
      </c>
      <c r="AG515">
        <v>102</v>
      </c>
      <c r="AH515">
        <v>94</v>
      </c>
      <c r="AI515">
        <v>34</v>
      </c>
      <c r="AJ515">
        <v>23</v>
      </c>
      <c r="AK515">
        <v>40</v>
      </c>
      <c r="AL515">
        <v>16</v>
      </c>
      <c r="AM515">
        <v>4</v>
      </c>
      <c r="AN515">
        <v>79</v>
      </c>
      <c r="AO515">
        <v>19</v>
      </c>
      <c r="AP515">
        <v>34</v>
      </c>
      <c r="AQ515">
        <v>43</v>
      </c>
      <c r="AR515">
        <v>1427</v>
      </c>
      <c r="AS515">
        <v>676</v>
      </c>
      <c r="AT515" t="s">
        <v>13</v>
      </c>
      <c r="AU515">
        <v>0.25</v>
      </c>
      <c r="AV515">
        <v>2013</v>
      </c>
      <c r="AW515" s="1">
        <v>45987</v>
      </c>
      <c r="AX515">
        <v>31.8</v>
      </c>
      <c r="AY515" t="s">
        <v>36</v>
      </c>
      <c r="AZ515" t="s">
        <v>20</v>
      </c>
      <c r="BA515" t="s">
        <v>12</v>
      </c>
      <c r="BB515" t="s">
        <v>13</v>
      </c>
      <c r="BC515" t="s">
        <v>7</v>
      </c>
      <c r="BD515">
        <v>1</v>
      </c>
      <c r="BE515" t="s">
        <v>14</v>
      </c>
      <c r="BF515">
        <v>1.0900000000000001</v>
      </c>
    </row>
    <row r="516" spans="1:58" hidden="1" x14ac:dyDescent="0.2">
      <c r="A516">
        <v>515</v>
      </c>
      <c r="B516" t="s">
        <v>0</v>
      </c>
      <c r="C516">
        <v>17</v>
      </c>
      <c r="D516" t="s">
        <v>1</v>
      </c>
      <c r="E516" t="s">
        <v>126</v>
      </c>
      <c r="F516" t="s">
        <v>15</v>
      </c>
      <c r="G516" t="s">
        <v>116</v>
      </c>
      <c r="H516" t="s">
        <v>24</v>
      </c>
      <c r="I516" t="s">
        <v>114</v>
      </c>
      <c r="J516" t="s">
        <v>123</v>
      </c>
      <c r="K516" t="s">
        <v>7</v>
      </c>
      <c r="L516">
        <v>4.0999999999999996</v>
      </c>
      <c r="M516">
        <v>7.8</v>
      </c>
      <c r="N516" t="s">
        <v>8</v>
      </c>
      <c r="O516" t="s">
        <v>41</v>
      </c>
      <c r="P516" t="s">
        <v>9</v>
      </c>
      <c r="Q516">
        <v>33</v>
      </c>
      <c r="R516">
        <v>6</v>
      </c>
      <c r="S516">
        <v>21.6</v>
      </c>
      <c r="T516">
        <v>92</v>
      </c>
      <c r="U516">
        <v>98</v>
      </c>
      <c r="V516">
        <v>7800</v>
      </c>
      <c r="W516">
        <v>35.1</v>
      </c>
      <c r="X516">
        <v>3</v>
      </c>
      <c r="Y516">
        <v>0</v>
      </c>
      <c r="Z516">
        <v>8</v>
      </c>
      <c r="AA516">
        <v>6.6</v>
      </c>
      <c r="AB516">
        <v>4</v>
      </c>
      <c r="AC516">
        <v>282</v>
      </c>
      <c r="AD516">
        <v>12</v>
      </c>
      <c r="AE516">
        <v>7</v>
      </c>
      <c r="AF516">
        <v>279</v>
      </c>
      <c r="AG516">
        <v>123</v>
      </c>
      <c r="AH516">
        <v>147</v>
      </c>
      <c r="AI516">
        <v>46</v>
      </c>
      <c r="AJ516">
        <v>38</v>
      </c>
      <c r="AK516">
        <v>34</v>
      </c>
      <c r="AL516">
        <v>25</v>
      </c>
      <c r="AM516">
        <v>9</v>
      </c>
      <c r="AN516">
        <v>127</v>
      </c>
      <c r="AO516">
        <v>74</v>
      </c>
      <c r="AP516">
        <v>56</v>
      </c>
      <c r="AQ516">
        <v>88</v>
      </c>
      <c r="AR516">
        <v>1260</v>
      </c>
      <c r="AS516">
        <v>1957</v>
      </c>
      <c r="AT516" t="s">
        <v>7</v>
      </c>
      <c r="AU516">
        <v>0.21</v>
      </c>
      <c r="AV516">
        <v>2019</v>
      </c>
      <c r="AW516" s="1">
        <v>45801</v>
      </c>
      <c r="AX516">
        <v>23.5</v>
      </c>
      <c r="AY516" t="s">
        <v>36</v>
      </c>
      <c r="AZ516" t="s">
        <v>35</v>
      </c>
      <c r="BA516" t="s">
        <v>122</v>
      </c>
      <c r="BB516" t="s">
        <v>7</v>
      </c>
      <c r="BC516" t="s">
        <v>7</v>
      </c>
      <c r="BD516">
        <v>1</v>
      </c>
      <c r="BE516" t="s">
        <v>14</v>
      </c>
      <c r="BF516">
        <v>0.92</v>
      </c>
    </row>
    <row r="517" spans="1:58" hidden="1" x14ac:dyDescent="0.2">
      <c r="A517">
        <v>516</v>
      </c>
      <c r="B517" t="s">
        <v>0</v>
      </c>
      <c r="C517">
        <v>34</v>
      </c>
      <c r="D517" t="s">
        <v>28</v>
      </c>
      <c r="E517" t="s">
        <v>2</v>
      </c>
      <c r="F517" t="s">
        <v>3</v>
      </c>
      <c r="G517" t="s">
        <v>116</v>
      </c>
      <c r="H517" t="s">
        <v>118</v>
      </c>
      <c r="I517" t="s">
        <v>114</v>
      </c>
      <c r="J517" t="s">
        <v>6</v>
      </c>
      <c r="K517" t="s">
        <v>7</v>
      </c>
      <c r="L517">
        <v>6.8</v>
      </c>
      <c r="M517">
        <v>7.1</v>
      </c>
      <c r="N517" t="s">
        <v>8</v>
      </c>
      <c r="O517" t="s">
        <v>7</v>
      </c>
      <c r="P517" t="s">
        <v>26</v>
      </c>
      <c r="Q517">
        <v>24</v>
      </c>
      <c r="R517">
        <v>6</v>
      </c>
      <c r="S517">
        <v>28.5</v>
      </c>
      <c r="T517">
        <v>157</v>
      </c>
      <c r="U517">
        <v>76</v>
      </c>
      <c r="V517">
        <v>8014</v>
      </c>
      <c r="W517">
        <v>41.1</v>
      </c>
      <c r="X517">
        <v>1</v>
      </c>
      <c r="Y517">
        <v>1</v>
      </c>
      <c r="Z517">
        <v>11</v>
      </c>
      <c r="AA517">
        <v>4.3</v>
      </c>
      <c r="AB517">
        <v>1</v>
      </c>
      <c r="AC517">
        <v>174</v>
      </c>
      <c r="AD517">
        <v>8</v>
      </c>
      <c r="AE517">
        <v>4</v>
      </c>
      <c r="AF517">
        <v>145</v>
      </c>
      <c r="AG517">
        <v>78</v>
      </c>
      <c r="AH517">
        <v>115</v>
      </c>
      <c r="AI517">
        <v>34</v>
      </c>
      <c r="AJ517">
        <v>29</v>
      </c>
      <c r="AK517">
        <v>27</v>
      </c>
      <c r="AL517">
        <v>17</v>
      </c>
      <c r="AM517">
        <v>4</v>
      </c>
      <c r="AN517">
        <v>104</v>
      </c>
      <c r="AO517">
        <v>20</v>
      </c>
      <c r="AP517">
        <v>41</v>
      </c>
      <c r="AQ517">
        <v>37</v>
      </c>
      <c r="AR517">
        <v>1000</v>
      </c>
      <c r="AS517">
        <v>1917</v>
      </c>
      <c r="AT517" t="s">
        <v>13</v>
      </c>
      <c r="AU517">
        <v>0.99</v>
      </c>
      <c r="AV517">
        <v>2016</v>
      </c>
      <c r="AW517" s="1">
        <v>45722</v>
      </c>
      <c r="AX517">
        <v>21.8</v>
      </c>
      <c r="AY517" t="s">
        <v>19</v>
      </c>
      <c r="AZ517" t="s">
        <v>48</v>
      </c>
      <c r="BA517" t="s">
        <v>12</v>
      </c>
      <c r="BB517" t="s">
        <v>13</v>
      </c>
      <c r="BC517" t="s">
        <v>7</v>
      </c>
      <c r="BD517">
        <v>5</v>
      </c>
      <c r="BE517" t="s">
        <v>14</v>
      </c>
      <c r="BF517">
        <v>1.1100000000000001</v>
      </c>
    </row>
    <row r="518" spans="1:58" hidden="1" x14ac:dyDescent="0.2">
      <c r="A518">
        <v>517</v>
      </c>
      <c r="B518" t="s">
        <v>0</v>
      </c>
      <c r="C518">
        <v>41</v>
      </c>
      <c r="D518" t="s">
        <v>28</v>
      </c>
      <c r="E518" t="s">
        <v>2</v>
      </c>
      <c r="F518" t="s">
        <v>15</v>
      </c>
      <c r="G518" t="s">
        <v>117</v>
      </c>
      <c r="H518" t="s">
        <v>34</v>
      </c>
      <c r="I518" t="s">
        <v>115</v>
      </c>
      <c r="J518" t="s">
        <v>32</v>
      </c>
      <c r="K518" t="s">
        <v>13</v>
      </c>
      <c r="L518">
        <v>4.3</v>
      </c>
      <c r="M518">
        <v>8.8000000000000007</v>
      </c>
      <c r="N518" t="s">
        <v>39</v>
      </c>
      <c r="O518" t="s">
        <v>7</v>
      </c>
      <c r="P518" t="s">
        <v>9</v>
      </c>
      <c r="Q518">
        <v>28</v>
      </c>
      <c r="R518">
        <v>1</v>
      </c>
      <c r="S518">
        <v>27.6</v>
      </c>
      <c r="T518">
        <v>157</v>
      </c>
      <c r="U518">
        <v>81</v>
      </c>
      <c r="V518">
        <v>7974</v>
      </c>
      <c r="W518">
        <v>40.799999999999997</v>
      </c>
      <c r="X518">
        <v>5</v>
      </c>
      <c r="Y518">
        <v>3</v>
      </c>
      <c r="Z518">
        <v>11</v>
      </c>
      <c r="AA518">
        <v>7.6</v>
      </c>
      <c r="AB518">
        <v>2</v>
      </c>
      <c r="AC518">
        <v>236</v>
      </c>
      <c r="AD518">
        <v>11</v>
      </c>
      <c r="AE518">
        <v>7</v>
      </c>
      <c r="AF518">
        <v>170</v>
      </c>
      <c r="AG518">
        <v>140</v>
      </c>
      <c r="AH518">
        <v>158</v>
      </c>
      <c r="AI518">
        <v>34</v>
      </c>
      <c r="AJ518">
        <v>42</v>
      </c>
      <c r="AK518">
        <v>31</v>
      </c>
      <c r="AL518">
        <v>29</v>
      </c>
      <c r="AM518">
        <v>6</v>
      </c>
      <c r="AN518">
        <v>103</v>
      </c>
      <c r="AO518">
        <v>25</v>
      </c>
      <c r="AP518">
        <v>42</v>
      </c>
      <c r="AQ518">
        <v>88</v>
      </c>
      <c r="AR518">
        <v>1397</v>
      </c>
      <c r="AS518">
        <v>1062</v>
      </c>
      <c r="AT518" t="s">
        <v>7</v>
      </c>
      <c r="AU518">
        <v>0.28000000000000003</v>
      </c>
      <c r="AV518">
        <v>2020</v>
      </c>
      <c r="AW518" s="1">
        <v>46018</v>
      </c>
      <c r="AX518">
        <v>21.5</v>
      </c>
      <c r="AY518" t="s">
        <v>19</v>
      </c>
      <c r="AZ518" t="s">
        <v>48</v>
      </c>
      <c r="BA518" t="s">
        <v>12</v>
      </c>
      <c r="BB518" t="s">
        <v>13</v>
      </c>
      <c r="BC518" t="s">
        <v>7</v>
      </c>
      <c r="BD518">
        <v>1</v>
      </c>
      <c r="BE518" t="s">
        <v>14</v>
      </c>
      <c r="BF518">
        <v>1.04</v>
      </c>
    </row>
    <row r="519" spans="1:58" hidden="1" x14ac:dyDescent="0.2">
      <c r="A519">
        <v>518</v>
      </c>
      <c r="B519" t="s">
        <v>0</v>
      </c>
      <c r="C519">
        <v>15</v>
      </c>
      <c r="D519" t="s">
        <v>1</v>
      </c>
      <c r="E519" t="s">
        <v>2</v>
      </c>
      <c r="F519" t="s">
        <v>3</v>
      </c>
      <c r="G519" t="s">
        <v>116</v>
      </c>
      <c r="H519" t="s">
        <v>118</v>
      </c>
      <c r="I519" t="s">
        <v>112</v>
      </c>
      <c r="J519" t="s">
        <v>6</v>
      </c>
      <c r="K519" t="s">
        <v>7</v>
      </c>
      <c r="L519">
        <v>6</v>
      </c>
      <c r="M519">
        <v>7.5</v>
      </c>
      <c r="N519" t="s">
        <v>29</v>
      </c>
      <c r="O519" t="s">
        <v>41</v>
      </c>
      <c r="P519" t="s">
        <v>46</v>
      </c>
      <c r="Q519">
        <v>23</v>
      </c>
      <c r="R519">
        <v>7</v>
      </c>
      <c r="S519">
        <v>27.3</v>
      </c>
      <c r="T519">
        <v>104</v>
      </c>
      <c r="U519">
        <v>98</v>
      </c>
      <c r="V519">
        <v>8164</v>
      </c>
      <c r="W519">
        <v>36</v>
      </c>
      <c r="X519">
        <v>2</v>
      </c>
      <c r="Y519">
        <v>1</v>
      </c>
      <c r="Z519">
        <v>11</v>
      </c>
      <c r="AA519">
        <v>3.4</v>
      </c>
      <c r="AB519">
        <v>3</v>
      </c>
      <c r="AC519">
        <v>205</v>
      </c>
      <c r="AD519">
        <v>7</v>
      </c>
      <c r="AE519">
        <v>19</v>
      </c>
      <c r="AF519">
        <v>237</v>
      </c>
      <c r="AG519">
        <v>100</v>
      </c>
      <c r="AH519">
        <v>124</v>
      </c>
      <c r="AI519">
        <v>31</v>
      </c>
      <c r="AJ519">
        <v>25</v>
      </c>
      <c r="AK519">
        <v>39</v>
      </c>
      <c r="AL519">
        <v>25</v>
      </c>
      <c r="AM519">
        <v>4</v>
      </c>
      <c r="AN519">
        <v>88</v>
      </c>
      <c r="AO519">
        <v>42</v>
      </c>
      <c r="AP519">
        <v>40</v>
      </c>
      <c r="AQ519">
        <v>68</v>
      </c>
      <c r="AR519">
        <v>8321</v>
      </c>
      <c r="AS519">
        <v>8456</v>
      </c>
      <c r="AT519" t="s">
        <v>13</v>
      </c>
      <c r="AU519">
        <v>0.42</v>
      </c>
      <c r="AV519">
        <v>2014</v>
      </c>
      <c r="AW519" s="1">
        <v>45929</v>
      </c>
      <c r="AX519">
        <v>29.3</v>
      </c>
      <c r="AY519" t="s">
        <v>10</v>
      </c>
      <c r="AZ519" t="s">
        <v>35</v>
      </c>
      <c r="BA519" t="s">
        <v>21</v>
      </c>
      <c r="BB519" t="s">
        <v>7</v>
      </c>
      <c r="BC519" t="s">
        <v>13</v>
      </c>
      <c r="BD519">
        <v>3</v>
      </c>
      <c r="BE519" t="s">
        <v>49</v>
      </c>
      <c r="BF519">
        <v>1.18</v>
      </c>
    </row>
    <row r="520" spans="1:58" hidden="1" x14ac:dyDescent="0.2">
      <c r="A520">
        <v>519</v>
      </c>
      <c r="B520" t="s">
        <v>0</v>
      </c>
      <c r="C520">
        <v>24</v>
      </c>
      <c r="D520" t="s">
        <v>28</v>
      </c>
      <c r="E520" t="s">
        <v>126</v>
      </c>
      <c r="F520" t="s">
        <v>3</v>
      </c>
      <c r="G520" t="s">
        <v>116</v>
      </c>
      <c r="H520" t="s">
        <v>118</v>
      </c>
      <c r="I520" t="s">
        <v>112</v>
      </c>
      <c r="J520" t="s">
        <v>6</v>
      </c>
      <c r="K520" t="s">
        <v>7</v>
      </c>
      <c r="L520">
        <v>9.6999999999999993</v>
      </c>
      <c r="M520">
        <v>7.5</v>
      </c>
      <c r="N520" t="s">
        <v>39</v>
      </c>
      <c r="O520" t="s">
        <v>7</v>
      </c>
      <c r="P520" t="s">
        <v>26</v>
      </c>
      <c r="Q520">
        <v>3</v>
      </c>
      <c r="R520">
        <v>8</v>
      </c>
      <c r="S520">
        <v>23.5</v>
      </c>
      <c r="T520">
        <v>98</v>
      </c>
      <c r="U520">
        <v>75</v>
      </c>
      <c r="V520">
        <v>8259</v>
      </c>
      <c r="W520">
        <v>49.6</v>
      </c>
      <c r="X520">
        <v>2</v>
      </c>
      <c r="Y520">
        <v>0</v>
      </c>
      <c r="Z520">
        <v>13</v>
      </c>
      <c r="AA520">
        <v>4</v>
      </c>
      <c r="AB520">
        <v>4</v>
      </c>
      <c r="AC520">
        <v>5</v>
      </c>
      <c r="AD520">
        <v>1</v>
      </c>
      <c r="AE520">
        <v>7</v>
      </c>
      <c r="AF520">
        <v>120</v>
      </c>
      <c r="AG520">
        <v>24</v>
      </c>
      <c r="AH520">
        <v>28</v>
      </c>
      <c r="AI520">
        <v>6</v>
      </c>
      <c r="AJ520">
        <v>12</v>
      </c>
      <c r="AK520">
        <v>15</v>
      </c>
      <c r="AL520">
        <v>4</v>
      </c>
      <c r="AM520">
        <v>3</v>
      </c>
      <c r="AN520">
        <v>2</v>
      </c>
      <c r="AO520">
        <v>1</v>
      </c>
      <c r="AP520">
        <v>1</v>
      </c>
      <c r="AQ520">
        <v>2</v>
      </c>
      <c r="AR520">
        <v>768</v>
      </c>
      <c r="AS520">
        <v>1717</v>
      </c>
      <c r="AT520" t="s">
        <v>7</v>
      </c>
      <c r="AU520">
        <v>0.56999999999999995</v>
      </c>
      <c r="AV520">
        <v>2023</v>
      </c>
      <c r="AW520" s="1">
        <v>45883</v>
      </c>
      <c r="AX520">
        <v>5</v>
      </c>
      <c r="AY520" t="s">
        <v>36</v>
      </c>
      <c r="AZ520" t="s">
        <v>11</v>
      </c>
      <c r="BA520" t="s">
        <v>21</v>
      </c>
      <c r="BB520" t="s">
        <v>13</v>
      </c>
      <c r="BC520" t="s">
        <v>7</v>
      </c>
      <c r="BD520">
        <v>3</v>
      </c>
      <c r="BE520" t="s">
        <v>14</v>
      </c>
      <c r="BF520">
        <v>10.17</v>
      </c>
    </row>
    <row r="521" spans="1:58" hidden="1" x14ac:dyDescent="0.2">
      <c r="A521">
        <v>520</v>
      </c>
      <c r="B521" t="s">
        <v>0</v>
      </c>
      <c r="C521">
        <v>38</v>
      </c>
      <c r="D521" t="s">
        <v>1</v>
      </c>
      <c r="E521" t="s">
        <v>50</v>
      </c>
      <c r="F521" t="s">
        <v>3</v>
      </c>
      <c r="G521" t="s">
        <v>116</v>
      </c>
      <c r="H521" t="s">
        <v>119</v>
      </c>
      <c r="I521" t="s">
        <v>115</v>
      </c>
      <c r="J521" t="s">
        <v>6</v>
      </c>
      <c r="K521" t="s">
        <v>7</v>
      </c>
      <c r="L521">
        <v>7.2</v>
      </c>
      <c r="M521">
        <v>7.1</v>
      </c>
      <c r="N521" t="s">
        <v>8</v>
      </c>
      <c r="O521" t="s">
        <v>7</v>
      </c>
      <c r="P521" t="s">
        <v>9</v>
      </c>
      <c r="Q521">
        <v>24</v>
      </c>
      <c r="R521">
        <v>5</v>
      </c>
      <c r="S521">
        <v>26.6</v>
      </c>
      <c r="T521">
        <v>125</v>
      </c>
      <c r="U521">
        <v>64</v>
      </c>
      <c r="V521">
        <v>8052</v>
      </c>
      <c r="W521">
        <v>53.7</v>
      </c>
      <c r="X521">
        <v>5</v>
      </c>
      <c r="Y521">
        <v>5</v>
      </c>
      <c r="Z521">
        <v>11</v>
      </c>
      <c r="AA521">
        <v>8.6999999999999993</v>
      </c>
      <c r="AB521">
        <v>3</v>
      </c>
      <c r="AC521">
        <v>273</v>
      </c>
      <c r="AD521">
        <v>8</v>
      </c>
      <c r="AE521">
        <v>10</v>
      </c>
      <c r="AF521">
        <v>200</v>
      </c>
      <c r="AG521">
        <v>127</v>
      </c>
      <c r="AH521">
        <v>160</v>
      </c>
      <c r="AI521">
        <v>54</v>
      </c>
      <c r="AJ521">
        <v>36</v>
      </c>
      <c r="AK521">
        <v>28</v>
      </c>
      <c r="AL521">
        <v>33</v>
      </c>
      <c r="AM521">
        <v>4</v>
      </c>
      <c r="AN521">
        <v>152</v>
      </c>
      <c r="AO521">
        <v>49</v>
      </c>
      <c r="AP521">
        <v>64</v>
      </c>
      <c r="AQ521">
        <v>57</v>
      </c>
      <c r="AR521">
        <v>902</v>
      </c>
      <c r="AS521">
        <v>1453</v>
      </c>
      <c r="AT521" t="s">
        <v>7</v>
      </c>
      <c r="AU521">
        <v>0.96</v>
      </c>
      <c r="AV521">
        <v>2017</v>
      </c>
      <c r="AW521" s="1">
        <v>45880</v>
      </c>
      <c r="AX521">
        <v>34.1</v>
      </c>
      <c r="AY521" t="s">
        <v>10</v>
      </c>
      <c r="AZ521" t="s">
        <v>17</v>
      </c>
      <c r="BA521" t="s">
        <v>122</v>
      </c>
      <c r="BB521" t="s">
        <v>13</v>
      </c>
      <c r="BC521" t="s">
        <v>13</v>
      </c>
      <c r="BD521">
        <v>3</v>
      </c>
      <c r="BE521" t="s">
        <v>43</v>
      </c>
      <c r="BF521">
        <v>1.0900000000000001</v>
      </c>
    </row>
    <row r="522" spans="1:58" hidden="1" x14ac:dyDescent="0.2">
      <c r="A522">
        <v>521</v>
      </c>
      <c r="B522" t="s">
        <v>0</v>
      </c>
      <c r="C522">
        <v>28</v>
      </c>
      <c r="D522" t="s">
        <v>28</v>
      </c>
      <c r="E522" t="s">
        <v>126</v>
      </c>
      <c r="F522" t="s">
        <v>15</v>
      </c>
      <c r="G522" t="s">
        <v>16</v>
      </c>
      <c r="H522" t="s">
        <v>118</v>
      </c>
      <c r="I522" t="s">
        <v>112</v>
      </c>
      <c r="J522" t="s">
        <v>123</v>
      </c>
      <c r="K522" t="s">
        <v>7</v>
      </c>
      <c r="L522">
        <v>5</v>
      </c>
      <c r="M522">
        <v>6.8</v>
      </c>
      <c r="N522" t="s">
        <v>8</v>
      </c>
      <c r="O522" t="s">
        <v>7</v>
      </c>
      <c r="P522" t="s">
        <v>9</v>
      </c>
      <c r="Q522">
        <v>34</v>
      </c>
      <c r="R522">
        <v>8</v>
      </c>
      <c r="S522">
        <v>27.2</v>
      </c>
      <c r="T522">
        <v>94</v>
      </c>
      <c r="U522">
        <v>63</v>
      </c>
      <c r="V522">
        <v>7886</v>
      </c>
      <c r="W522">
        <v>36.4</v>
      </c>
      <c r="X522">
        <v>2</v>
      </c>
      <c r="Y522">
        <v>2</v>
      </c>
      <c r="Z522">
        <v>6</v>
      </c>
      <c r="AA522">
        <v>2.4</v>
      </c>
      <c r="AB522">
        <v>5</v>
      </c>
      <c r="AC522">
        <v>258</v>
      </c>
      <c r="AD522">
        <v>21</v>
      </c>
      <c r="AE522">
        <v>8</v>
      </c>
      <c r="AF522">
        <v>266</v>
      </c>
      <c r="AG522">
        <v>122</v>
      </c>
      <c r="AH522">
        <v>161</v>
      </c>
      <c r="AI522">
        <v>45</v>
      </c>
      <c r="AJ522">
        <v>35</v>
      </c>
      <c r="AK522">
        <v>38</v>
      </c>
      <c r="AL522">
        <v>34</v>
      </c>
      <c r="AM522">
        <v>7</v>
      </c>
      <c r="AN522">
        <v>149</v>
      </c>
      <c r="AO522">
        <v>73</v>
      </c>
      <c r="AP522">
        <v>35</v>
      </c>
      <c r="AQ522">
        <v>93</v>
      </c>
      <c r="AR522">
        <v>375</v>
      </c>
      <c r="AS522">
        <v>161</v>
      </c>
      <c r="AT522" t="s">
        <v>7</v>
      </c>
      <c r="AU522">
        <v>0.61</v>
      </c>
      <c r="AV522">
        <v>2013</v>
      </c>
      <c r="AW522" s="1">
        <v>45678</v>
      </c>
      <c r="AX522">
        <v>12.3</v>
      </c>
      <c r="AY522" t="s">
        <v>10</v>
      </c>
      <c r="AZ522" t="s">
        <v>11</v>
      </c>
      <c r="BA522" t="s">
        <v>122</v>
      </c>
      <c r="BB522" t="s">
        <v>13</v>
      </c>
      <c r="BC522" t="s">
        <v>7</v>
      </c>
      <c r="BD522">
        <v>3</v>
      </c>
      <c r="BE522" t="s">
        <v>14</v>
      </c>
      <c r="BF522">
        <v>1.06</v>
      </c>
    </row>
    <row r="523" spans="1:58" hidden="1" x14ac:dyDescent="0.2">
      <c r="A523">
        <v>522</v>
      </c>
      <c r="B523" t="s">
        <v>0</v>
      </c>
      <c r="C523">
        <v>63</v>
      </c>
      <c r="D523" t="s">
        <v>1</v>
      </c>
      <c r="E523" t="s">
        <v>42</v>
      </c>
      <c r="F523" t="s">
        <v>40</v>
      </c>
      <c r="G523" t="s">
        <v>38</v>
      </c>
      <c r="H523" t="s">
        <v>118</v>
      </c>
      <c r="I523" t="s">
        <v>115</v>
      </c>
      <c r="J523" t="s">
        <v>6</v>
      </c>
      <c r="K523" t="s">
        <v>13</v>
      </c>
      <c r="L523">
        <v>2.5</v>
      </c>
      <c r="M523">
        <v>5.5</v>
      </c>
      <c r="N523" t="s">
        <v>120</v>
      </c>
      <c r="O523" t="s">
        <v>7</v>
      </c>
      <c r="P523" t="s">
        <v>52</v>
      </c>
      <c r="Q523">
        <v>26</v>
      </c>
      <c r="R523">
        <v>1</v>
      </c>
      <c r="S523">
        <v>23</v>
      </c>
      <c r="T523">
        <v>128</v>
      </c>
      <c r="U523">
        <v>64</v>
      </c>
      <c r="V523">
        <v>7845</v>
      </c>
      <c r="W523">
        <v>41.9</v>
      </c>
      <c r="X523">
        <v>3</v>
      </c>
      <c r="Y523">
        <v>6</v>
      </c>
      <c r="Z523">
        <v>10</v>
      </c>
      <c r="AA523">
        <v>5.3</v>
      </c>
      <c r="AB523">
        <v>3</v>
      </c>
      <c r="AC523">
        <v>216</v>
      </c>
      <c r="AD523">
        <v>22</v>
      </c>
      <c r="AE523">
        <v>9</v>
      </c>
      <c r="AF523">
        <v>179</v>
      </c>
      <c r="AG523">
        <v>101</v>
      </c>
      <c r="AH523">
        <v>139</v>
      </c>
      <c r="AI523">
        <v>30</v>
      </c>
      <c r="AJ523">
        <v>29</v>
      </c>
      <c r="AK523">
        <v>31</v>
      </c>
      <c r="AL523">
        <v>18</v>
      </c>
      <c r="AM523">
        <v>9</v>
      </c>
      <c r="AN523">
        <v>108</v>
      </c>
      <c r="AO523">
        <v>31</v>
      </c>
      <c r="AP523">
        <v>43</v>
      </c>
      <c r="AQ523">
        <v>46</v>
      </c>
      <c r="AR523">
        <v>431</v>
      </c>
      <c r="AS523">
        <v>542</v>
      </c>
      <c r="AT523" t="s">
        <v>7</v>
      </c>
      <c r="AU523">
        <v>0.3</v>
      </c>
      <c r="AV523">
        <v>2020</v>
      </c>
      <c r="AW523" s="1">
        <v>46025</v>
      </c>
      <c r="AX523">
        <v>9.8000000000000007</v>
      </c>
      <c r="AY523" t="s">
        <v>10</v>
      </c>
      <c r="AZ523" t="s">
        <v>48</v>
      </c>
      <c r="BA523" t="s">
        <v>12</v>
      </c>
      <c r="BB523" t="s">
        <v>7</v>
      </c>
      <c r="BC523" t="s">
        <v>13</v>
      </c>
      <c r="BD523">
        <v>1</v>
      </c>
      <c r="BE523" t="s">
        <v>14</v>
      </c>
      <c r="BF523">
        <v>1.04</v>
      </c>
    </row>
    <row r="524" spans="1:58" hidden="1" x14ac:dyDescent="0.2">
      <c r="A524">
        <v>523</v>
      </c>
      <c r="B524" t="s">
        <v>0</v>
      </c>
      <c r="C524">
        <v>49</v>
      </c>
      <c r="D524" t="s">
        <v>1</v>
      </c>
      <c r="E524" t="s">
        <v>2</v>
      </c>
      <c r="F524" t="s">
        <v>40</v>
      </c>
      <c r="G524" t="s">
        <v>38</v>
      </c>
      <c r="H524" t="s">
        <v>23</v>
      </c>
      <c r="I524" t="s">
        <v>114</v>
      </c>
      <c r="J524" t="s">
        <v>18</v>
      </c>
      <c r="K524" t="s">
        <v>7</v>
      </c>
      <c r="L524">
        <v>9.9</v>
      </c>
      <c r="M524">
        <v>8.8000000000000007</v>
      </c>
      <c r="N524" t="s">
        <v>39</v>
      </c>
      <c r="O524" t="s">
        <v>7</v>
      </c>
      <c r="P524" t="s">
        <v>46</v>
      </c>
      <c r="Q524">
        <v>34</v>
      </c>
      <c r="R524">
        <v>1</v>
      </c>
      <c r="S524">
        <v>23</v>
      </c>
      <c r="T524">
        <v>138</v>
      </c>
      <c r="U524">
        <v>81</v>
      </c>
      <c r="V524">
        <v>8095</v>
      </c>
      <c r="W524">
        <v>24.1</v>
      </c>
      <c r="X524">
        <v>3</v>
      </c>
      <c r="Y524">
        <v>5</v>
      </c>
      <c r="Z524">
        <v>12</v>
      </c>
      <c r="AA524">
        <v>4</v>
      </c>
      <c r="AB524">
        <v>7</v>
      </c>
      <c r="AC524">
        <v>367</v>
      </c>
      <c r="AD524">
        <v>30</v>
      </c>
      <c r="AE524">
        <v>8</v>
      </c>
      <c r="AF524">
        <v>258</v>
      </c>
      <c r="AG524">
        <v>150</v>
      </c>
      <c r="AH524">
        <v>228</v>
      </c>
      <c r="AI524">
        <v>59</v>
      </c>
      <c r="AJ524">
        <v>48</v>
      </c>
      <c r="AK524">
        <v>62</v>
      </c>
      <c r="AL524">
        <v>34</v>
      </c>
      <c r="AM524">
        <v>9</v>
      </c>
      <c r="AN524">
        <v>167</v>
      </c>
      <c r="AO524">
        <v>88</v>
      </c>
      <c r="AP524">
        <v>79</v>
      </c>
      <c r="AQ524">
        <v>103</v>
      </c>
      <c r="AR524">
        <v>488</v>
      </c>
      <c r="AS524">
        <v>717</v>
      </c>
      <c r="AT524" t="s">
        <v>7</v>
      </c>
      <c r="AU524">
        <v>0.51</v>
      </c>
      <c r="AV524">
        <v>2016</v>
      </c>
      <c r="AW524" s="1">
        <v>45753</v>
      </c>
      <c r="AX524">
        <v>12.2</v>
      </c>
      <c r="AY524" t="s">
        <v>27</v>
      </c>
      <c r="AZ524" t="s">
        <v>31</v>
      </c>
      <c r="BA524" t="s">
        <v>12</v>
      </c>
      <c r="BB524" t="s">
        <v>13</v>
      </c>
      <c r="BC524" t="s">
        <v>7</v>
      </c>
      <c r="BD524">
        <v>0</v>
      </c>
      <c r="BE524" t="s">
        <v>14</v>
      </c>
      <c r="BF524">
        <v>1.01</v>
      </c>
    </row>
    <row r="525" spans="1:58" hidden="1" x14ac:dyDescent="0.2">
      <c r="A525">
        <v>524</v>
      </c>
      <c r="B525" t="s">
        <v>0</v>
      </c>
      <c r="C525">
        <v>34</v>
      </c>
      <c r="D525" t="s">
        <v>28</v>
      </c>
      <c r="E525" t="s">
        <v>47</v>
      </c>
      <c r="F525" t="s">
        <v>3</v>
      </c>
      <c r="G525" t="s">
        <v>117</v>
      </c>
      <c r="H525" t="s">
        <v>24</v>
      </c>
      <c r="I525" t="s">
        <v>113</v>
      </c>
      <c r="J525" t="s">
        <v>123</v>
      </c>
      <c r="K525" t="s">
        <v>7</v>
      </c>
      <c r="L525">
        <v>7</v>
      </c>
      <c r="M525">
        <v>5.9</v>
      </c>
      <c r="N525" t="s">
        <v>39</v>
      </c>
      <c r="O525" t="s">
        <v>7</v>
      </c>
      <c r="P525" t="s">
        <v>121</v>
      </c>
      <c r="Q525">
        <v>40</v>
      </c>
      <c r="R525">
        <v>1</v>
      </c>
      <c r="S525">
        <v>27.9</v>
      </c>
      <c r="T525">
        <v>121</v>
      </c>
      <c r="U525">
        <v>93</v>
      </c>
      <c r="V525">
        <v>7826</v>
      </c>
      <c r="W525">
        <v>35.200000000000003</v>
      </c>
      <c r="X525">
        <v>2</v>
      </c>
      <c r="Y525">
        <v>1</v>
      </c>
      <c r="Z525">
        <v>11</v>
      </c>
      <c r="AA525">
        <v>1.3</v>
      </c>
      <c r="AB525">
        <v>2</v>
      </c>
      <c r="AC525">
        <v>394</v>
      </c>
      <c r="AD525">
        <v>25</v>
      </c>
      <c r="AE525">
        <v>11</v>
      </c>
      <c r="AF525">
        <v>254</v>
      </c>
      <c r="AG525">
        <v>150</v>
      </c>
      <c r="AH525">
        <v>242</v>
      </c>
      <c r="AI525">
        <v>77</v>
      </c>
      <c r="AJ525">
        <v>48</v>
      </c>
      <c r="AK525">
        <v>44</v>
      </c>
      <c r="AL525">
        <v>39</v>
      </c>
      <c r="AM525">
        <v>10</v>
      </c>
      <c r="AN525">
        <v>228</v>
      </c>
      <c r="AO525">
        <v>50</v>
      </c>
      <c r="AP525">
        <v>88</v>
      </c>
      <c r="AQ525">
        <v>130</v>
      </c>
      <c r="AR525">
        <v>900</v>
      </c>
      <c r="AS525">
        <v>459</v>
      </c>
      <c r="AT525" t="s">
        <v>7</v>
      </c>
      <c r="AU525">
        <v>0.92</v>
      </c>
      <c r="AV525">
        <v>2012</v>
      </c>
      <c r="AW525" s="1">
        <v>45920</v>
      </c>
      <c r="AX525">
        <v>15.8</v>
      </c>
      <c r="AY525" t="s">
        <v>36</v>
      </c>
      <c r="AZ525" t="s">
        <v>37</v>
      </c>
      <c r="BA525" t="s">
        <v>122</v>
      </c>
      <c r="BB525" t="s">
        <v>13</v>
      </c>
      <c r="BC525" t="s">
        <v>13</v>
      </c>
      <c r="BD525">
        <v>2</v>
      </c>
      <c r="BE525" t="s">
        <v>14</v>
      </c>
      <c r="BF525">
        <v>1.0900000000000001</v>
      </c>
    </row>
    <row r="526" spans="1:58" hidden="1" x14ac:dyDescent="0.2">
      <c r="A526">
        <v>525</v>
      </c>
      <c r="B526" t="s">
        <v>0</v>
      </c>
      <c r="C526">
        <v>41</v>
      </c>
      <c r="D526" t="s">
        <v>1</v>
      </c>
      <c r="E526" t="s">
        <v>33</v>
      </c>
      <c r="F526" t="s">
        <v>15</v>
      </c>
      <c r="G526" t="s">
        <v>16</v>
      </c>
      <c r="H526" t="s">
        <v>118</v>
      </c>
      <c r="I526" t="s">
        <v>112</v>
      </c>
      <c r="J526" t="s">
        <v>6</v>
      </c>
      <c r="K526" t="s">
        <v>13</v>
      </c>
      <c r="L526">
        <v>10.7</v>
      </c>
      <c r="M526">
        <v>5.7</v>
      </c>
      <c r="N526" t="s">
        <v>29</v>
      </c>
      <c r="O526" t="s">
        <v>7</v>
      </c>
      <c r="P526" t="s">
        <v>26</v>
      </c>
      <c r="Q526">
        <v>34</v>
      </c>
      <c r="R526">
        <v>2</v>
      </c>
      <c r="S526">
        <v>27.5</v>
      </c>
      <c r="T526">
        <v>138</v>
      </c>
      <c r="U526">
        <v>60</v>
      </c>
      <c r="V526">
        <v>8120</v>
      </c>
      <c r="W526">
        <v>39.1</v>
      </c>
      <c r="X526">
        <v>2</v>
      </c>
      <c r="Y526">
        <v>5</v>
      </c>
      <c r="Z526">
        <v>16</v>
      </c>
      <c r="AA526">
        <v>7.4</v>
      </c>
      <c r="AB526">
        <v>2</v>
      </c>
      <c r="AC526">
        <v>341</v>
      </c>
      <c r="AD526">
        <v>11</v>
      </c>
      <c r="AE526">
        <v>6</v>
      </c>
      <c r="AF526">
        <v>242</v>
      </c>
      <c r="AG526">
        <v>150</v>
      </c>
      <c r="AH526">
        <v>179</v>
      </c>
      <c r="AI526">
        <v>60</v>
      </c>
      <c r="AJ526">
        <v>40</v>
      </c>
      <c r="AK526">
        <v>40</v>
      </c>
      <c r="AL526">
        <v>35</v>
      </c>
      <c r="AM526">
        <v>10</v>
      </c>
      <c r="AN526">
        <v>197</v>
      </c>
      <c r="AO526">
        <v>58</v>
      </c>
      <c r="AP526">
        <v>69</v>
      </c>
      <c r="AQ526">
        <v>130</v>
      </c>
      <c r="AR526">
        <v>1525</v>
      </c>
      <c r="AS526">
        <v>2808</v>
      </c>
      <c r="AT526" t="s">
        <v>13</v>
      </c>
      <c r="AU526">
        <v>0.75</v>
      </c>
      <c r="AV526">
        <v>2020</v>
      </c>
      <c r="AW526" s="1">
        <v>45963</v>
      </c>
      <c r="AX526">
        <v>31</v>
      </c>
      <c r="AY526" t="s">
        <v>10</v>
      </c>
      <c r="AZ526" t="s">
        <v>48</v>
      </c>
      <c r="BA526" t="s">
        <v>21</v>
      </c>
      <c r="BB526" t="s">
        <v>7</v>
      </c>
      <c r="BC526" t="s">
        <v>7</v>
      </c>
      <c r="BD526">
        <v>2</v>
      </c>
      <c r="BE526" t="s">
        <v>14</v>
      </c>
      <c r="BF526">
        <v>0.93</v>
      </c>
    </row>
    <row r="527" spans="1:58" hidden="1" x14ac:dyDescent="0.2">
      <c r="A527">
        <v>526</v>
      </c>
      <c r="B527" t="s">
        <v>0</v>
      </c>
      <c r="C527">
        <v>26</v>
      </c>
      <c r="D527" t="s">
        <v>1</v>
      </c>
      <c r="E527" t="s">
        <v>127</v>
      </c>
      <c r="F527" t="s">
        <v>15</v>
      </c>
      <c r="G527" t="s">
        <v>117</v>
      </c>
      <c r="H527" t="s">
        <v>23</v>
      </c>
      <c r="I527" t="s">
        <v>112</v>
      </c>
      <c r="J527" t="s">
        <v>123</v>
      </c>
      <c r="K527" t="s">
        <v>7</v>
      </c>
      <c r="L527">
        <v>12.8</v>
      </c>
      <c r="M527">
        <v>5.3</v>
      </c>
      <c r="N527" t="s">
        <v>29</v>
      </c>
      <c r="O527" t="s">
        <v>7</v>
      </c>
      <c r="P527" t="s">
        <v>26</v>
      </c>
      <c r="Q527">
        <v>4</v>
      </c>
      <c r="R527">
        <v>1</v>
      </c>
      <c r="S527">
        <v>28.9</v>
      </c>
      <c r="T527">
        <v>139</v>
      </c>
      <c r="U527">
        <v>93</v>
      </c>
      <c r="V527">
        <v>7987</v>
      </c>
      <c r="W527">
        <v>56.4</v>
      </c>
      <c r="X527">
        <v>5</v>
      </c>
      <c r="Y527">
        <v>2</v>
      </c>
      <c r="Z527">
        <v>8</v>
      </c>
      <c r="AA527">
        <v>5.3</v>
      </c>
      <c r="AB527">
        <v>2</v>
      </c>
      <c r="AC527">
        <v>145</v>
      </c>
      <c r="AD527">
        <v>9</v>
      </c>
      <c r="AE527">
        <v>4</v>
      </c>
      <c r="AF527">
        <v>205</v>
      </c>
      <c r="AG527">
        <v>101</v>
      </c>
      <c r="AH527">
        <v>105</v>
      </c>
      <c r="AI527">
        <v>21</v>
      </c>
      <c r="AJ527">
        <v>16</v>
      </c>
      <c r="AK527">
        <v>26</v>
      </c>
      <c r="AL527">
        <v>17</v>
      </c>
      <c r="AM527">
        <v>5</v>
      </c>
      <c r="AN527">
        <v>63</v>
      </c>
      <c r="AO527">
        <v>26</v>
      </c>
      <c r="AP527">
        <v>26</v>
      </c>
      <c r="AQ527">
        <v>54</v>
      </c>
      <c r="AR527">
        <v>1953</v>
      </c>
      <c r="AS527">
        <v>3647</v>
      </c>
      <c r="AT527" t="s">
        <v>7</v>
      </c>
      <c r="AU527">
        <v>0.47</v>
      </c>
      <c r="AV527">
        <v>2018</v>
      </c>
      <c r="AW527" s="1">
        <v>45885</v>
      </c>
      <c r="AX527">
        <v>16.100000000000001</v>
      </c>
      <c r="AY527" t="s">
        <v>19</v>
      </c>
      <c r="AZ527" t="s">
        <v>37</v>
      </c>
      <c r="BA527" t="s">
        <v>122</v>
      </c>
      <c r="BB527" t="s">
        <v>13</v>
      </c>
      <c r="BC527" t="s">
        <v>13</v>
      </c>
      <c r="BD527">
        <v>4</v>
      </c>
      <c r="BE527" t="s">
        <v>14</v>
      </c>
      <c r="BF527">
        <v>1.0900000000000001</v>
      </c>
    </row>
    <row r="528" spans="1:58" hidden="1" x14ac:dyDescent="0.2">
      <c r="A528">
        <v>527</v>
      </c>
      <c r="B528" t="s">
        <v>0</v>
      </c>
      <c r="C528">
        <v>40</v>
      </c>
      <c r="D528" t="s">
        <v>1</v>
      </c>
      <c r="E528" t="s">
        <v>128</v>
      </c>
      <c r="F528" t="s">
        <v>40</v>
      </c>
      <c r="G528" t="s">
        <v>4</v>
      </c>
      <c r="H528" t="s">
        <v>118</v>
      </c>
      <c r="I528" t="s">
        <v>17</v>
      </c>
      <c r="J528" t="s">
        <v>6</v>
      </c>
      <c r="K528" t="s">
        <v>13</v>
      </c>
      <c r="L528">
        <v>2.9</v>
      </c>
      <c r="M528">
        <v>7.3</v>
      </c>
      <c r="N528" t="s">
        <v>29</v>
      </c>
      <c r="O528" t="s">
        <v>13</v>
      </c>
      <c r="P528" t="s">
        <v>9</v>
      </c>
      <c r="Q528">
        <v>21</v>
      </c>
      <c r="R528">
        <v>8</v>
      </c>
      <c r="S528">
        <v>31.7</v>
      </c>
      <c r="T528">
        <v>131</v>
      </c>
      <c r="U528">
        <v>90</v>
      </c>
      <c r="V528">
        <v>8006</v>
      </c>
      <c r="W528">
        <v>13.6</v>
      </c>
      <c r="X528">
        <v>1</v>
      </c>
      <c r="Y528">
        <v>4</v>
      </c>
      <c r="Z528">
        <v>12</v>
      </c>
      <c r="AA528">
        <v>3.2</v>
      </c>
      <c r="AB528">
        <v>2</v>
      </c>
      <c r="AC528">
        <v>191</v>
      </c>
      <c r="AD528">
        <v>23</v>
      </c>
      <c r="AE528">
        <v>3</v>
      </c>
      <c r="AF528">
        <v>178</v>
      </c>
      <c r="AG528">
        <v>115</v>
      </c>
      <c r="AH528">
        <v>120</v>
      </c>
      <c r="AI528">
        <v>24</v>
      </c>
      <c r="AJ528">
        <v>29</v>
      </c>
      <c r="AK528">
        <v>20</v>
      </c>
      <c r="AL528">
        <v>15</v>
      </c>
      <c r="AM528">
        <v>7</v>
      </c>
      <c r="AN528">
        <v>102</v>
      </c>
      <c r="AO528">
        <v>45</v>
      </c>
      <c r="AP528">
        <v>33</v>
      </c>
      <c r="AQ528">
        <v>72</v>
      </c>
      <c r="AR528">
        <v>184</v>
      </c>
      <c r="AS528">
        <v>248</v>
      </c>
      <c r="AT528" t="s">
        <v>7</v>
      </c>
      <c r="AU528">
        <v>0.27</v>
      </c>
      <c r="AV528">
        <v>2016</v>
      </c>
      <c r="AW528" s="1">
        <v>45673</v>
      </c>
      <c r="AX528">
        <v>8.3000000000000007</v>
      </c>
      <c r="AY528" t="s">
        <v>30</v>
      </c>
      <c r="AZ528" t="s">
        <v>17</v>
      </c>
      <c r="BA528" t="s">
        <v>122</v>
      </c>
      <c r="BB528" t="s">
        <v>7</v>
      </c>
      <c r="BC528" t="s">
        <v>13</v>
      </c>
      <c r="BD528">
        <v>2</v>
      </c>
      <c r="BE528" t="s">
        <v>14</v>
      </c>
      <c r="BF528">
        <v>0.92</v>
      </c>
    </row>
    <row r="529" spans="1:58" hidden="1" x14ac:dyDescent="0.2">
      <c r="A529">
        <v>528</v>
      </c>
      <c r="B529" t="s">
        <v>0</v>
      </c>
      <c r="C529">
        <v>17</v>
      </c>
      <c r="D529" t="s">
        <v>28</v>
      </c>
      <c r="E529" t="s">
        <v>42</v>
      </c>
      <c r="F529" t="s">
        <v>3</v>
      </c>
      <c r="G529" t="s">
        <v>16</v>
      </c>
      <c r="H529" t="s">
        <v>118</v>
      </c>
      <c r="I529" t="s">
        <v>112</v>
      </c>
      <c r="J529" t="s">
        <v>123</v>
      </c>
      <c r="K529" t="s">
        <v>7</v>
      </c>
      <c r="L529">
        <v>3.4</v>
      </c>
      <c r="M529">
        <v>6</v>
      </c>
      <c r="N529" t="s">
        <v>8</v>
      </c>
      <c r="O529" t="s">
        <v>7</v>
      </c>
      <c r="P529" t="s">
        <v>9</v>
      </c>
      <c r="Q529">
        <v>24</v>
      </c>
      <c r="R529">
        <v>7</v>
      </c>
      <c r="S529">
        <v>23.5</v>
      </c>
      <c r="T529">
        <v>128</v>
      </c>
      <c r="U529">
        <v>88</v>
      </c>
      <c r="V529">
        <v>8115</v>
      </c>
      <c r="W529">
        <v>22.8</v>
      </c>
      <c r="X529">
        <v>3</v>
      </c>
      <c r="Y529">
        <v>2</v>
      </c>
      <c r="Z529">
        <v>9</v>
      </c>
      <c r="AA529">
        <v>2.5</v>
      </c>
      <c r="AB529">
        <v>2</v>
      </c>
      <c r="AC529">
        <v>287</v>
      </c>
      <c r="AD529">
        <v>19</v>
      </c>
      <c r="AE529">
        <v>10</v>
      </c>
      <c r="AF529">
        <v>279</v>
      </c>
      <c r="AG529">
        <v>150</v>
      </c>
      <c r="AH529">
        <v>185</v>
      </c>
      <c r="AI529">
        <v>49</v>
      </c>
      <c r="AJ529">
        <v>33</v>
      </c>
      <c r="AK529">
        <v>52</v>
      </c>
      <c r="AL529">
        <v>19</v>
      </c>
      <c r="AM529">
        <v>13</v>
      </c>
      <c r="AN529">
        <v>156</v>
      </c>
      <c r="AO529">
        <v>66</v>
      </c>
      <c r="AP529">
        <v>57</v>
      </c>
      <c r="AQ529">
        <v>83</v>
      </c>
      <c r="AR529">
        <v>715</v>
      </c>
      <c r="AS529">
        <v>1420</v>
      </c>
      <c r="AT529" t="s">
        <v>7</v>
      </c>
      <c r="AU529">
        <v>0.25</v>
      </c>
      <c r="AV529">
        <v>2021</v>
      </c>
      <c r="AW529" s="1">
        <v>45667</v>
      </c>
      <c r="AX529">
        <v>15.1</v>
      </c>
      <c r="AY529" t="s">
        <v>27</v>
      </c>
      <c r="AZ529" t="s">
        <v>37</v>
      </c>
      <c r="BA529" t="s">
        <v>122</v>
      </c>
      <c r="BB529" t="s">
        <v>13</v>
      </c>
      <c r="BC529" t="s">
        <v>7</v>
      </c>
      <c r="BD529">
        <v>0</v>
      </c>
      <c r="BE529" t="s">
        <v>14</v>
      </c>
      <c r="BF529">
        <v>1.0900000000000001</v>
      </c>
    </row>
    <row r="530" spans="1:58" hidden="1" x14ac:dyDescent="0.2">
      <c r="A530">
        <v>529</v>
      </c>
      <c r="B530" t="s">
        <v>0</v>
      </c>
      <c r="C530">
        <v>59</v>
      </c>
      <c r="D530" t="s">
        <v>28</v>
      </c>
      <c r="E530" t="s">
        <v>22</v>
      </c>
      <c r="F530" t="s">
        <v>40</v>
      </c>
      <c r="G530" t="s">
        <v>116</v>
      </c>
      <c r="H530" t="s">
        <v>118</v>
      </c>
      <c r="I530" t="s">
        <v>17</v>
      </c>
      <c r="J530" t="s">
        <v>18</v>
      </c>
      <c r="K530" t="s">
        <v>13</v>
      </c>
      <c r="L530">
        <v>9.4</v>
      </c>
      <c r="M530">
        <v>6.3</v>
      </c>
      <c r="N530" t="s">
        <v>8</v>
      </c>
      <c r="O530" t="s">
        <v>7</v>
      </c>
      <c r="P530" t="s">
        <v>26</v>
      </c>
      <c r="Q530">
        <v>31</v>
      </c>
      <c r="R530">
        <v>9</v>
      </c>
      <c r="S530">
        <v>17.100000000000001</v>
      </c>
      <c r="T530">
        <v>93</v>
      </c>
      <c r="U530">
        <v>83</v>
      </c>
      <c r="V530">
        <v>8152</v>
      </c>
      <c r="W530">
        <v>45.1</v>
      </c>
      <c r="X530">
        <v>3</v>
      </c>
      <c r="Y530">
        <v>2</v>
      </c>
      <c r="Z530">
        <v>14</v>
      </c>
      <c r="AA530">
        <v>4.4000000000000004</v>
      </c>
      <c r="AB530">
        <v>4</v>
      </c>
      <c r="AC530">
        <v>159</v>
      </c>
      <c r="AD530">
        <v>5</v>
      </c>
      <c r="AE530">
        <v>2</v>
      </c>
      <c r="AF530">
        <v>133</v>
      </c>
      <c r="AG530">
        <v>89</v>
      </c>
      <c r="AH530">
        <v>96</v>
      </c>
      <c r="AI530">
        <v>30</v>
      </c>
      <c r="AJ530">
        <v>31</v>
      </c>
      <c r="AK530">
        <v>30</v>
      </c>
      <c r="AL530">
        <v>16</v>
      </c>
      <c r="AM530">
        <v>1</v>
      </c>
      <c r="AN530">
        <v>84</v>
      </c>
      <c r="AO530">
        <v>32</v>
      </c>
      <c r="AP530">
        <v>31</v>
      </c>
      <c r="AQ530">
        <v>55</v>
      </c>
      <c r="AR530">
        <v>2358</v>
      </c>
      <c r="AS530">
        <v>1120</v>
      </c>
      <c r="AT530" t="s">
        <v>7</v>
      </c>
      <c r="AU530">
        <v>0.9</v>
      </c>
      <c r="AV530">
        <v>2016</v>
      </c>
      <c r="AW530" s="1">
        <v>45675</v>
      </c>
      <c r="AX530">
        <v>31.8</v>
      </c>
      <c r="AY530" t="s">
        <v>45</v>
      </c>
      <c r="AZ530" t="s">
        <v>48</v>
      </c>
      <c r="BA530" t="s">
        <v>122</v>
      </c>
      <c r="BB530" t="s">
        <v>7</v>
      </c>
      <c r="BC530" t="s">
        <v>13</v>
      </c>
      <c r="BD530">
        <v>0</v>
      </c>
      <c r="BE530" t="s">
        <v>49</v>
      </c>
      <c r="BF530">
        <v>1.01</v>
      </c>
    </row>
    <row r="531" spans="1:58" hidden="1" x14ac:dyDescent="0.2">
      <c r="A531">
        <v>530</v>
      </c>
      <c r="B531" t="s">
        <v>0</v>
      </c>
      <c r="C531">
        <v>61</v>
      </c>
      <c r="D531" t="s">
        <v>1</v>
      </c>
      <c r="E531" t="s">
        <v>42</v>
      </c>
      <c r="F531" t="s">
        <v>3</v>
      </c>
      <c r="G531" t="s">
        <v>116</v>
      </c>
      <c r="H531" t="s">
        <v>118</v>
      </c>
      <c r="I531" t="s">
        <v>113</v>
      </c>
      <c r="J531" t="s">
        <v>123</v>
      </c>
      <c r="K531" t="s">
        <v>13</v>
      </c>
      <c r="L531">
        <v>5.6</v>
      </c>
      <c r="M531">
        <v>5.7</v>
      </c>
      <c r="N531" t="s">
        <v>29</v>
      </c>
      <c r="O531" t="s">
        <v>7</v>
      </c>
      <c r="P531" t="s">
        <v>26</v>
      </c>
      <c r="Q531">
        <v>5</v>
      </c>
      <c r="R531">
        <v>1</v>
      </c>
      <c r="S531">
        <v>25.9</v>
      </c>
      <c r="T531">
        <v>136</v>
      </c>
      <c r="U531">
        <v>70</v>
      </c>
      <c r="V531">
        <v>7905</v>
      </c>
      <c r="W531">
        <v>40.5</v>
      </c>
      <c r="X531">
        <v>3</v>
      </c>
      <c r="Y531">
        <v>4</v>
      </c>
      <c r="Z531">
        <v>8</v>
      </c>
      <c r="AA531">
        <v>2.1</v>
      </c>
      <c r="AB531">
        <v>1</v>
      </c>
      <c r="AC531">
        <v>155</v>
      </c>
      <c r="AD531">
        <v>5</v>
      </c>
      <c r="AE531">
        <v>4</v>
      </c>
      <c r="AF531">
        <v>128</v>
      </c>
      <c r="AG531">
        <v>106</v>
      </c>
      <c r="AH531">
        <v>95</v>
      </c>
      <c r="AI531">
        <v>25</v>
      </c>
      <c r="AJ531">
        <v>17</v>
      </c>
      <c r="AK531">
        <v>16</v>
      </c>
      <c r="AL531">
        <v>21</v>
      </c>
      <c r="AM531">
        <v>6</v>
      </c>
      <c r="AN531">
        <v>87</v>
      </c>
      <c r="AO531">
        <v>20</v>
      </c>
      <c r="AP531">
        <v>22</v>
      </c>
      <c r="AQ531">
        <v>59</v>
      </c>
      <c r="AR531">
        <v>3405</v>
      </c>
      <c r="AS531">
        <v>2632</v>
      </c>
      <c r="AT531" t="s">
        <v>13</v>
      </c>
      <c r="AU531">
        <v>0.03</v>
      </c>
      <c r="AV531">
        <v>2015</v>
      </c>
      <c r="AW531" s="1">
        <v>45970</v>
      </c>
      <c r="AX531">
        <v>31</v>
      </c>
      <c r="AY531" t="s">
        <v>45</v>
      </c>
      <c r="AZ531" t="s">
        <v>51</v>
      </c>
      <c r="BA531" t="s">
        <v>12</v>
      </c>
      <c r="BB531" t="s">
        <v>7</v>
      </c>
      <c r="BC531" t="s">
        <v>7</v>
      </c>
      <c r="BD531">
        <v>1</v>
      </c>
      <c r="BE531" t="s">
        <v>14</v>
      </c>
      <c r="BF531">
        <v>1.01</v>
      </c>
    </row>
    <row r="532" spans="1:58" hidden="1" x14ac:dyDescent="0.2">
      <c r="A532">
        <v>531</v>
      </c>
      <c r="B532" t="s">
        <v>0</v>
      </c>
      <c r="C532">
        <v>42</v>
      </c>
      <c r="D532" t="s">
        <v>1</v>
      </c>
      <c r="E532" t="s">
        <v>42</v>
      </c>
      <c r="F532" t="s">
        <v>3</v>
      </c>
      <c r="G532" t="s">
        <v>38</v>
      </c>
      <c r="H532" t="s">
        <v>23</v>
      </c>
      <c r="I532" t="s">
        <v>115</v>
      </c>
      <c r="J532" t="s">
        <v>6</v>
      </c>
      <c r="K532" t="s">
        <v>13</v>
      </c>
      <c r="L532">
        <v>15.4</v>
      </c>
      <c r="M532">
        <v>6.6</v>
      </c>
      <c r="N532" t="s">
        <v>29</v>
      </c>
      <c r="O532" t="s">
        <v>13</v>
      </c>
      <c r="P532" t="s">
        <v>46</v>
      </c>
      <c r="Q532">
        <v>39</v>
      </c>
      <c r="R532">
        <v>3</v>
      </c>
      <c r="S532">
        <v>27</v>
      </c>
      <c r="T532">
        <v>125</v>
      </c>
      <c r="U532">
        <v>89</v>
      </c>
      <c r="V532">
        <v>8091</v>
      </c>
      <c r="W532">
        <v>29.5</v>
      </c>
      <c r="X532">
        <v>6</v>
      </c>
      <c r="Y532">
        <v>4</v>
      </c>
      <c r="Z532">
        <v>8</v>
      </c>
      <c r="AA532">
        <v>0.7</v>
      </c>
      <c r="AB532">
        <v>3</v>
      </c>
      <c r="AC532">
        <v>330</v>
      </c>
      <c r="AD532">
        <v>26</v>
      </c>
      <c r="AE532">
        <v>8</v>
      </c>
      <c r="AF532">
        <v>242</v>
      </c>
      <c r="AG532">
        <v>150</v>
      </c>
      <c r="AH532">
        <v>190</v>
      </c>
      <c r="AI532">
        <v>52</v>
      </c>
      <c r="AJ532">
        <v>34</v>
      </c>
      <c r="AK532">
        <v>40</v>
      </c>
      <c r="AL532">
        <v>27</v>
      </c>
      <c r="AM532">
        <v>7</v>
      </c>
      <c r="AN532">
        <v>172</v>
      </c>
      <c r="AO532">
        <v>42</v>
      </c>
      <c r="AP532">
        <v>35</v>
      </c>
      <c r="AQ532">
        <v>121</v>
      </c>
      <c r="AR532">
        <v>280</v>
      </c>
      <c r="AS532">
        <v>447</v>
      </c>
      <c r="AT532" t="s">
        <v>7</v>
      </c>
      <c r="AU532">
        <v>0.56000000000000005</v>
      </c>
      <c r="AV532">
        <v>2018</v>
      </c>
      <c r="AW532" s="1">
        <v>45928</v>
      </c>
      <c r="AX532">
        <v>12.7</v>
      </c>
      <c r="AY532" t="s">
        <v>45</v>
      </c>
      <c r="AZ532" t="s">
        <v>48</v>
      </c>
      <c r="BA532" t="s">
        <v>21</v>
      </c>
      <c r="BB532" t="s">
        <v>13</v>
      </c>
      <c r="BC532" t="s">
        <v>13</v>
      </c>
      <c r="BD532">
        <v>3</v>
      </c>
      <c r="BE532" t="s">
        <v>14</v>
      </c>
      <c r="BF532">
        <v>0.96</v>
      </c>
    </row>
    <row r="533" spans="1:58" hidden="1" x14ac:dyDescent="0.2">
      <c r="A533">
        <v>532</v>
      </c>
      <c r="B533" t="s">
        <v>0</v>
      </c>
      <c r="C533">
        <v>58</v>
      </c>
      <c r="D533" t="s">
        <v>28</v>
      </c>
      <c r="E533" t="s">
        <v>2</v>
      </c>
      <c r="F533" t="s">
        <v>40</v>
      </c>
      <c r="G533" t="s">
        <v>16</v>
      </c>
      <c r="H533" t="s">
        <v>34</v>
      </c>
      <c r="I533" t="s">
        <v>114</v>
      </c>
      <c r="J533" t="s">
        <v>123</v>
      </c>
      <c r="K533" t="s">
        <v>7</v>
      </c>
      <c r="L533">
        <v>3.4</v>
      </c>
      <c r="M533">
        <v>6</v>
      </c>
      <c r="N533" t="s">
        <v>25</v>
      </c>
      <c r="O533" t="s">
        <v>7</v>
      </c>
      <c r="P533" t="s">
        <v>9</v>
      </c>
      <c r="Q533">
        <v>1</v>
      </c>
      <c r="R533">
        <v>5</v>
      </c>
      <c r="S533">
        <v>23.7</v>
      </c>
      <c r="T533">
        <v>98</v>
      </c>
      <c r="U533">
        <v>77</v>
      </c>
      <c r="V533">
        <v>8100</v>
      </c>
      <c r="W533">
        <v>22.2</v>
      </c>
      <c r="X533">
        <v>4</v>
      </c>
      <c r="Y533">
        <v>0</v>
      </c>
      <c r="Z533">
        <v>13</v>
      </c>
      <c r="AA533">
        <v>7.8</v>
      </c>
      <c r="AB533">
        <v>1</v>
      </c>
      <c r="AC533">
        <v>53</v>
      </c>
      <c r="AD533">
        <v>2</v>
      </c>
      <c r="AE533">
        <v>0</v>
      </c>
      <c r="AF533">
        <v>66</v>
      </c>
      <c r="AG533">
        <v>53</v>
      </c>
      <c r="AH533">
        <v>47</v>
      </c>
      <c r="AI533">
        <v>12</v>
      </c>
      <c r="AJ533">
        <v>22</v>
      </c>
      <c r="AK533">
        <v>12</v>
      </c>
      <c r="AL533">
        <v>13</v>
      </c>
      <c r="AM533">
        <v>2</v>
      </c>
      <c r="AN533">
        <v>25</v>
      </c>
      <c r="AO533">
        <v>15</v>
      </c>
      <c r="AP533">
        <v>7</v>
      </c>
      <c r="AQ533">
        <v>19</v>
      </c>
      <c r="AR533">
        <v>1491</v>
      </c>
      <c r="AS533">
        <v>3231</v>
      </c>
      <c r="AT533" t="s">
        <v>7</v>
      </c>
      <c r="AU533">
        <v>0.54</v>
      </c>
      <c r="AV533">
        <v>2019</v>
      </c>
      <c r="AW533" s="1">
        <v>45808</v>
      </c>
      <c r="AX533">
        <v>26.5</v>
      </c>
      <c r="AY533" t="s">
        <v>19</v>
      </c>
      <c r="AZ533" t="s">
        <v>17</v>
      </c>
      <c r="BA533" t="s">
        <v>21</v>
      </c>
      <c r="BB533" t="s">
        <v>13</v>
      </c>
      <c r="BC533" t="s">
        <v>7</v>
      </c>
      <c r="BD533">
        <v>1</v>
      </c>
      <c r="BE533" t="s">
        <v>43</v>
      </c>
      <c r="BF533">
        <v>1.31</v>
      </c>
    </row>
    <row r="534" spans="1:58" hidden="1" x14ac:dyDescent="0.2">
      <c r="A534">
        <v>533</v>
      </c>
      <c r="B534" t="s">
        <v>0</v>
      </c>
      <c r="C534">
        <v>64</v>
      </c>
      <c r="D534" t="s">
        <v>1</v>
      </c>
      <c r="E534" t="s">
        <v>22</v>
      </c>
      <c r="F534" t="s">
        <v>40</v>
      </c>
      <c r="G534" t="s">
        <v>117</v>
      </c>
      <c r="H534" t="s">
        <v>118</v>
      </c>
      <c r="I534" t="s">
        <v>114</v>
      </c>
      <c r="J534" t="s">
        <v>6</v>
      </c>
      <c r="K534" t="s">
        <v>7</v>
      </c>
      <c r="L534">
        <v>5.7</v>
      </c>
      <c r="M534">
        <v>6.6</v>
      </c>
      <c r="N534" t="s">
        <v>39</v>
      </c>
      <c r="O534" t="s">
        <v>7</v>
      </c>
      <c r="P534" t="s">
        <v>9</v>
      </c>
      <c r="Q534">
        <v>30</v>
      </c>
      <c r="R534">
        <v>2</v>
      </c>
      <c r="S534">
        <v>25.8</v>
      </c>
      <c r="T534">
        <v>148</v>
      </c>
      <c r="U534">
        <v>83</v>
      </c>
      <c r="V534">
        <v>7930</v>
      </c>
      <c r="W534">
        <v>36.5</v>
      </c>
      <c r="X534">
        <v>5</v>
      </c>
      <c r="Y534">
        <v>3</v>
      </c>
      <c r="Z534">
        <v>11</v>
      </c>
      <c r="AA534">
        <v>4</v>
      </c>
      <c r="AB534">
        <v>3</v>
      </c>
      <c r="AC534">
        <v>301</v>
      </c>
      <c r="AD534">
        <v>9</v>
      </c>
      <c r="AE534">
        <v>4</v>
      </c>
      <c r="AF534">
        <v>207</v>
      </c>
      <c r="AG534">
        <v>150</v>
      </c>
      <c r="AH534">
        <v>191</v>
      </c>
      <c r="AI534">
        <v>44</v>
      </c>
      <c r="AJ534">
        <v>42</v>
      </c>
      <c r="AK534">
        <v>46</v>
      </c>
      <c r="AL534">
        <v>34</v>
      </c>
      <c r="AM534">
        <v>2</v>
      </c>
      <c r="AN534">
        <v>157</v>
      </c>
      <c r="AO534">
        <v>49</v>
      </c>
      <c r="AP534">
        <v>34</v>
      </c>
      <c r="AQ534">
        <v>81</v>
      </c>
      <c r="AR534">
        <v>489</v>
      </c>
      <c r="AS534">
        <v>1115</v>
      </c>
      <c r="AT534" t="s">
        <v>7</v>
      </c>
      <c r="AU534">
        <v>0.85</v>
      </c>
      <c r="AV534">
        <v>2019</v>
      </c>
      <c r="AW534" s="1">
        <v>45837</v>
      </c>
      <c r="AX534">
        <v>33.4</v>
      </c>
      <c r="AY534" t="s">
        <v>19</v>
      </c>
      <c r="AZ534" t="s">
        <v>35</v>
      </c>
      <c r="BA534" t="s">
        <v>122</v>
      </c>
      <c r="BB534" t="s">
        <v>7</v>
      </c>
      <c r="BC534" t="s">
        <v>7</v>
      </c>
      <c r="BD534">
        <v>2</v>
      </c>
      <c r="BE534" t="s">
        <v>14</v>
      </c>
      <c r="BF534">
        <v>0.96</v>
      </c>
    </row>
    <row r="535" spans="1:58" hidden="1" x14ac:dyDescent="0.2">
      <c r="A535">
        <v>534</v>
      </c>
      <c r="B535" t="s">
        <v>0</v>
      </c>
      <c r="C535">
        <v>17</v>
      </c>
      <c r="D535" t="s">
        <v>1</v>
      </c>
      <c r="E535" t="s">
        <v>42</v>
      </c>
      <c r="F535" t="s">
        <v>3</v>
      </c>
      <c r="G535" t="s">
        <v>38</v>
      </c>
      <c r="H535" t="s">
        <v>23</v>
      </c>
      <c r="I535" t="s">
        <v>113</v>
      </c>
      <c r="J535" t="s">
        <v>6</v>
      </c>
      <c r="K535" t="s">
        <v>7</v>
      </c>
      <c r="L535">
        <v>4.9000000000000004</v>
      </c>
      <c r="M535">
        <v>7.5</v>
      </c>
      <c r="N535" t="s">
        <v>39</v>
      </c>
      <c r="O535" t="s">
        <v>7</v>
      </c>
      <c r="P535" t="s">
        <v>26</v>
      </c>
      <c r="Q535">
        <v>2</v>
      </c>
      <c r="R535">
        <v>3</v>
      </c>
      <c r="S535">
        <v>27.6</v>
      </c>
      <c r="T535">
        <v>112</v>
      </c>
      <c r="U535">
        <v>96</v>
      </c>
      <c r="V535">
        <v>8137</v>
      </c>
      <c r="W535">
        <v>48</v>
      </c>
      <c r="X535">
        <v>4</v>
      </c>
      <c r="Y535">
        <v>2</v>
      </c>
      <c r="Z535">
        <v>10</v>
      </c>
      <c r="AA535">
        <v>4.3</v>
      </c>
      <c r="AB535">
        <v>4</v>
      </c>
      <c r="AC535">
        <v>92</v>
      </c>
      <c r="AD535">
        <v>3</v>
      </c>
      <c r="AE535">
        <v>10</v>
      </c>
      <c r="AF535">
        <v>180</v>
      </c>
      <c r="AG535">
        <v>66</v>
      </c>
      <c r="AH535">
        <v>76</v>
      </c>
      <c r="AI535">
        <v>22</v>
      </c>
      <c r="AJ535">
        <v>13</v>
      </c>
      <c r="AK535">
        <v>19</v>
      </c>
      <c r="AL535">
        <v>9</v>
      </c>
      <c r="AM535">
        <v>4</v>
      </c>
      <c r="AN535">
        <v>46</v>
      </c>
      <c r="AO535">
        <v>26</v>
      </c>
      <c r="AP535">
        <v>11</v>
      </c>
      <c r="AQ535">
        <v>29</v>
      </c>
      <c r="AR535">
        <v>3082</v>
      </c>
      <c r="AS535">
        <v>6570</v>
      </c>
      <c r="AT535" t="s">
        <v>7</v>
      </c>
      <c r="AU535">
        <v>0.02</v>
      </c>
      <c r="AV535">
        <v>2015</v>
      </c>
      <c r="AW535" s="1">
        <v>45870</v>
      </c>
      <c r="AX535">
        <v>30.7</v>
      </c>
      <c r="AY535" t="s">
        <v>45</v>
      </c>
      <c r="AZ535" t="s">
        <v>51</v>
      </c>
      <c r="BA535" t="s">
        <v>122</v>
      </c>
      <c r="BB535" t="s">
        <v>13</v>
      </c>
      <c r="BC535" t="s">
        <v>13</v>
      </c>
      <c r="BD535">
        <v>2</v>
      </c>
      <c r="BE535" t="s">
        <v>43</v>
      </c>
      <c r="BF535">
        <v>1.61</v>
      </c>
    </row>
    <row r="536" spans="1:58" hidden="1" x14ac:dyDescent="0.2">
      <c r="A536">
        <v>535</v>
      </c>
      <c r="B536" t="s">
        <v>0</v>
      </c>
      <c r="C536">
        <v>24</v>
      </c>
      <c r="D536" t="s">
        <v>1</v>
      </c>
      <c r="E536" t="s">
        <v>126</v>
      </c>
      <c r="F536" t="s">
        <v>15</v>
      </c>
      <c r="G536" t="s">
        <v>116</v>
      </c>
      <c r="H536" t="s">
        <v>24</v>
      </c>
      <c r="I536" t="s">
        <v>53</v>
      </c>
      <c r="J536" t="s">
        <v>32</v>
      </c>
      <c r="K536" t="s">
        <v>7</v>
      </c>
      <c r="L536">
        <v>5.8</v>
      </c>
      <c r="M536">
        <v>6.2</v>
      </c>
      <c r="N536" t="s">
        <v>120</v>
      </c>
      <c r="O536" t="s">
        <v>41</v>
      </c>
      <c r="P536" t="s">
        <v>9</v>
      </c>
      <c r="Q536">
        <v>23</v>
      </c>
      <c r="R536">
        <v>2</v>
      </c>
      <c r="S536">
        <v>25.4</v>
      </c>
      <c r="T536">
        <v>159</v>
      </c>
      <c r="U536">
        <v>92</v>
      </c>
      <c r="V536">
        <v>7994</v>
      </c>
      <c r="W536">
        <v>54.3</v>
      </c>
      <c r="X536">
        <v>2</v>
      </c>
      <c r="Y536">
        <v>2</v>
      </c>
      <c r="Z536">
        <v>2</v>
      </c>
      <c r="AA536">
        <v>5.7</v>
      </c>
      <c r="AB536">
        <v>6</v>
      </c>
      <c r="AC536">
        <v>304</v>
      </c>
      <c r="AD536">
        <v>33</v>
      </c>
      <c r="AE536">
        <v>13</v>
      </c>
      <c r="AF536">
        <v>300</v>
      </c>
      <c r="AG536">
        <v>150</v>
      </c>
      <c r="AH536">
        <v>195</v>
      </c>
      <c r="AI536">
        <v>46</v>
      </c>
      <c r="AJ536">
        <v>36</v>
      </c>
      <c r="AK536">
        <v>53</v>
      </c>
      <c r="AL536">
        <v>37</v>
      </c>
      <c r="AM536">
        <v>8</v>
      </c>
      <c r="AN536">
        <v>162</v>
      </c>
      <c r="AO536">
        <v>58</v>
      </c>
      <c r="AP536">
        <v>48</v>
      </c>
      <c r="AQ536">
        <v>91</v>
      </c>
      <c r="AR536">
        <v>337</v>
      </c>
      <c r="AS536">
        <v>346</v>
      </c>
      <c r="AT536" t="s">
        <v>7</v>
      </c>
      <c r="AU536">
        <v>0.97</v>
      </c>
      <c r="AV536">
        <v>2010</v>
      </c>
      <c r="AW536" s="1">
        <v>45667</v>
      </c>
      <c r="AX536">
        <v>9.1999999999999993</v>
      </c>
      <c r="AY536" t="s">
        <v>27</v>
      </c>
      <c r="AZ536" t="s">
        <v>11</v>
      </c>
      <c r="BA536" t="s">
        <v>12</v>
      </c>
      <c r="BB536" t="s">
        <v>13</v>
      </c>
      <c r="BC536" t="s">
        <v>7</v>
      </c>
      <c r="BD536">
        <v>1</v>
      </c>
      <c r="BE536" t="s">
        <v>43</v>
      </c>
      <c r="BF536">
        <v>1.07</v>
      </c>
    </row>
    <row r="537" spans="1:58" hidden="1" x14ac:dyDescent="0.2">
      <c r="A537">
        <v>536</v>
      </c>
      <c r="B537" t="s">
        <v>0</v>
      </c>
      <c r="C537">
        <v>28</v>
      </c>
      <c r="D537" t="s">
        <v>28</v>
      </c>
      <c r="E537" t="s">
        <v>17</v>
      </c>
      <c r="F537" t="s">
        <v>3</v>
      </c>
      <c r="G537" t="s">
        <v>117</v>
      </c>
      <c r="H537" t="s">
        <v>118</v>
      </c>
      <c r="I537" t="s">
        <v>114</v>
      </c>
      <c r="J537" t="s">
        <v>6</v>
      </c>
      <c r="K537" t="s">
        <v>13</v>
      </c>
      <c r="L537">
        <v>10.8</v>
      </c>
      <c r="M537">
        <v>6.6</v>
      </c>
      <c r="N537" t="s">
        <v>25</v>
      </c>
      <c r="O537" t="s">
        <v>7</v>
      </c>
      <c r="P537" t="s">
        <v>26</v>
      </c>
      <c r="Q537">
        <v>21</v>
      </c>
      <c r="R537">
        <v>3</v>
      </c>
      <c r="S537">
        <v>20.6</v>
      </c>
      <c r="T537">
        <v>120</v>
      </c>
      <c r="U537">
        <v>98</v>
      </c>
      <c r="V537">
        <v>8020</v>
      </c>
      <c r="W537">
        <v>45.3</v>
      </c>
      <c r="X537">
        <v>3</v>
      </c>
      <c r="Y537">
        <v>6</v>
      </c>
      <c r="Z537">
        <v>14</v>
      </c>
      <c r="AA537">
        <v>8.6999999999999993</v>
      </c>
      <c r="AB537">
        <v>2</v>
      </c>
      <c r="AC537">
        <v>205</v>
      </c>
      <c r="AD537">
        <v>9</v>
      </c>
      <c r="AE537">
        <v>10</v>
      </c>
      <c r="AF537">
        <v>235</v>
      </c>
      <c r="AG537">
        <v>106</v>
      </c>
      <c r="AH537">
        <v>138</v>
      </c>
      <c r="AI537">
        <v>26</v>
      </c>
      <c r="AJ537">
        <v>24</v>
      </c>
      <c r="AK537">
        <v>38</v>
      </c>
      <c r="AL537">
        <v>15</v>
      </c>
      <c r="AM537">
        <v>7</v>
      </c>
      <c r="AN537">
        <v>115</v>
      </c>
      <c r="AO537">
        <v>61</v>
      </c>
      <c r="AP537">
        <v>22</v>
      </c>
      <c r="AQ537">
        <v>73</v>
      </c>
      <c r="AR537">
        <v>1944</v>
      </c>
      <c r="AS537">
        <v>4097</v>
      </c>
      <c r="AT537" t="s">
        <v>7</v>
      </c>
      <c r="AU537">
        <v>0.13</v>
      </c>
      <c r="AV537">
        <v>2010</v>
      </c>
      <c r="AW537" s="1">
        <v>45733</v>
      </c>
      <c r="AX537">
        <v>22.8</v>
      </c>
      <c r="AY537" t="s">
        <v>10</v>
      </c>
      <c r="AZ537" t="s">
        <v>37</v>
      </c>
      <c r="BA537" t="s">
        <v>122</v>
      </c>
      <c r="BB537" t="s">
        <v>7</v>
      </c>
      <c r="BC537" t="s">
        <v>13</v>
      </c>
      <c r="BD537">
        <v>4</v>
      </c>
      <c r="BE537" t="s">
        <v>14</v>
      </c>
      <c r="BF537">
        <v>1.07</v>
      </c>
    </row>
    <row r="538" spans="1:58" hidden="1" x14ac:dyDescent="0.2">
      <c r="A538">
        <v>537</v>
      </c>
      <c r="B538" t="s">
        <v>0</v>
      </c>
      <c r="C538">
        <v>38</v>
      </c>
      <c r="D538" t="s">
        <v>28</v>
      </c>
      <c r="E538" t="s">
        <v>2</v>
      </c>
      <c r="F538" t="s">
        <v>40</v>
      </c>
      <c r="G538" t="s">
        <v>117</v>
      </c>
      <c r="H538" t="s">
        <v>24</v>
      </c>
      <c r="I538" t="s">
        <v>112</v>
      </c>
      <c r="J538" t="s">
        <v>32</v>
      </c>
      <c r="K538" t="s">
        <v>7</v>
      </c>
      <c r="L538">
        <v>12.8</v>
      </c>
      <c r="M538">
        <v>6.5</v>
      </c>
      <c r="N538" t="s">
        <v>25</v>
      </c>
      <c r="O538" t="s">
        <v>41</v>
      </c>
      <c r="P538" t="s">
        <v>9</v>
      </c>
      <c r="Q538">
        <v>26</v>
      </c>
      <c r="R538">
        <v>1</v>
      </c>
      <c r="S538">
        <v>27.2</v>
      </c>
      <c r="T538">
        <v>159</v>
      </c>
      <c r="U538">
        <v>79</v>
      </c>
      <c r="V538">
        <v>8094</v>
      </c>
      <c r="W538">
        <v>34.5</v>
      </c>
      <c r="X538">
        <v>5</v>
      </c>
      <c r="Y538">
        <v>4</v>
      </c>
      <c r="Z538">
        <v>11</v>
      </c>
      <c r="AA538">
        <v>7.2</v>
      </c>
      <c r="AB538">
        <v>3</v>
      </c>
      <c r="AC538">
        <v>256</v>
      </c>
      <c r="AD538">
        <v>18</v>
      </c>
      <c r="AE538">
        <v>9</v>
      </c>
      <c r="AF538">
        <v>209</v>
      </c>
      <c r="AG538">
        <v>124</v>
      </c>
      <c r="AH538">
        <v>132</v>
      </c>
      <c r="AI538">
        <v>52</v>
      </c>
      <c r="AJ538">
        <v>44</v>
      </c>
      <c r="AK538">
        <v>46</v>
      </c>
      <c r="AL538">
        <v>19</v>
      </c>
      <c r="AM538">
        <v>8</v>
      </c>
      <c r="AN538">
        <v>107</v>
      </c>
      <c r="AO538">
        <v>46</v>
      </c>
      <c r="AP538">
        <v>42</v>
      </c>
      <c r="AQ538">
        <v>75</v>
      </c>
      <c r="AR538">
        <v>175</v>
      </c>
      <c r="AS538">
        <v>181</v>
      </c>
      <c r="AT538" t="s">
        <v>7</v>
      </c>
      <c r="AU538">
        <v>0.46</v>
      </c>
      <c r="AV538">
        <v>2015</v>
      </c>
      <c r="AW538" s="1">
        <v>45844</v>
      </c>
      <c r="AX538">
        <v>14.2</v>
      </c>
      <c r="AY538" t="s">
        <v>45</v>
      </c>
      <c r="AZ538" t="s">
        <v>51</v>
      </c>
      <c r="BA538" t="s">
        <v>12</v>
      </c>
      <c r="BB538" t="s">
        <v>7</v>
      </c>
      <c r="BC538" t="s">
        <v>13</v>
      </c>
      <c r="BD538">
        <v>1</v>
      </c>
      <c r="BE538" t="s">
        <v>43</v>
      </c>
      <c r="BF538">
        <v>1.02</v>
      </c>
    </row>
    <row r="539" spans="1:58" hidden="1" x14ac:dyDescent="0.2">
      <c r="A539">
        <v>538</v>
      </c>
      <c r="B539" t="s">
        <v>0</v>
      </c>
      <c r="C539">
        <v>38</v>
      </c>
      <c r="D539" t="s">
        <v>28</v>
      </c>
      <c r="E539" t="s">
        <v>128</v>
      </c>
      <c r="F539" t="s">
        <v>40</v>
      </c>
      <c r="G539" t="s">
        <v>117</v>
      </c>
      <c r="H539" t="s">
        <v>118</v>
      </c>
      <c r="I539" t="s">
        <v>112</v>
      </c>
      <c r="J539" t="s">
        <v>123</v>
      </c>
      <c r="K539" t="s">
        <v>7</v>
      </c>
      <c r="L539">
        <v>9.1999999999999993</v>
      </c>
      <c r="M539">
        <v>5.5</v>
      </c>
      <c r="N539" t="s">
        <v>39</v>
      </c>
      <c r="O539" t="s">
        <v>13</v>
      </c>
      <c r="P539" t="s">
        <v>121</v>
      </c>
      <c r="Q539">
        <v>10</v>
      </c>
      <c r="R539">
        <v>8</v>
      </c>
      <c r="S539">
        <v>25.5</v>
      </c>
      <c r="T539">
        <v>156</v>
      </c>
      <c r="U539">
        <v>65</v>
      </c>
      <c r="V539">
        <v>7934</v>
      </c>
      <c r="W539">
        <v>30.6</v>
      </c>
      <c r="X539">
        <v>2</v>
      </c>
      <c r="Y539">
        <v>2</v>
      </c>
      <c r="Z539">
        <v>9</v>
      </c>
      <c r="AA539">
        <v>3.9</v>
      </c>
      <c r="AB539">
        <v>3</v>
      </c>
      <c r="AC539">
        <v>50</v>
      </c>
      <c r="AD539">
        <v>3</v>
      </c>
      <c r="AE539">
        <v>6</v>
      </c>
      <c r="AF539">
        <v>72</v>
      </c>
      <c r="AG539">
        <v>51</v>
      </c>
      <c r="AH539">
        <v>64</v>
      </c>
      <c r="AI539">
        <v>13</v>
      </c>
      <c r="AJ539">
        <v>18</v>
      </c>
      <c r="AK539">
        <v>10</v>
      </c>
      <c r="AL539">
        <v>7</v>
      </c>
      <c r="AM539">
        <v>1</v>
      </c>
      <c r="AN539">
        <v>21</v>
      </c>
      <c r="AO539">
        <v>9</v>
      </c>
      <c r="AP539">
        <v>12</v>
      </c>
      <c r="AQ539">
        <v>19</v>
      </c>
      <c r="AR539">
        <v>1043</v>
      </c>
      <c r="AS539">
        <v>2184</v>
      </c>
      <c r="AT539" t="s">
        <v>7</v>
      </c>
      <c r="AU539">
        <v>0.69</v>
      </c>
      <c r="AV539">
        <v>2023</v>
      </c>
      <c r="AW539" s="1">
        <v>45738</v>
      </c>
      <c r="AX539">
        <v>16.7</v>
      </c>
      <c r="AY539" t="s">
        <v>36</v>
      </c>
      <c r="AZ539" t="s">
        <v>35</v>
      </c>
      <c r="BA539" t="s">
        <v>122</v>
      </c>
      <c r="BB539" t="s">
        <v>13</v>
      </c>
      <c r="BC539" t="s">
        <v>7</v>
      </c>
      <c r="BD539">
        <v>1</v>
      </c>
      <c r="BE539" t="s">
        <v>14</v>
      </c>
      <c r="BF539">
        <v>2.12</v>
      </c>
    </row>
    <row r="540" spans="1:58" hidden="1" x14ac:dyDescent="0.2">
      <c r="A540">
        <v>539</v>
      </c>
      <c r="B540" t="s">
        <v>0</v>
      </c>
      <c r="C540">
        <v>60</v>
      </c>
      <c r="D540" t="s">
        <v>1</v>
      </c>
      <c r="E540" t="s">
        <v>2</v>
      </c>
      <c r="F540" t="s">
        <v>15</v>
      </c>
      <c r="G540" t="s">
        <v>16</v>
      </c>
      <c r="H540" t="s">
        <v>118</v>
      </c>
      <c r="I540" t="s">
        <v>113</v>
      </c>
      <c r="J540" t="s">
        <v>6</v>
      </c>
      <c r="K540" t="s">
        <v>7</v>
      </c>
      <c r="L540">
        <v>14.1</v>
      </c>
      <c r="M540">
        <v>6.3</v>
      </c>
      <c r="N540" t="s">
        <v>29</v>
      </c>
      <c r="O540" t="s">
        <v>41</v>
      </c>
      <c r="P540" t="s">
        <v>26</v>
      </c>
      <c r="Q540">
        <v>29</v>
      </c>
      <c r="R540">
        <v>3</v>
      </c>
      <c r="S540">
        <v>21.7</v>
      </c>
      <c r="T540">
        <v>135</v>
      </c>
      <c r="U540">
        <v>60</v>
      </c>
      <c r="V540">
        <v>7938</v>
      </c>
      <c r="W540">
        <v>41.9</v>
      </c>
      <c r="X540">
        <v>5</v>
      </c>
      <c r="Y540">
        <v>7</v>
      </c>
      <c r="Z540">
        <v>19</v>
      </c>
      <c r="AA540">
        <v>4.5999999999999996</v>
      </c>
      <c r="AB540">
        <v>2</v>
      </c>
      <c r="AC540">
        <v>224</v>
      </c>
      <c r="AD540">
        <v>23</v>
      </c>
      <c r="AE540">
        <v>11</v>
      </c>
      <c r="AF540">
        <v>171</v>
      </c>
      <c r="AG540">
        <v>121</v>
      </c>
      <c r="AH540">
        <v>150</v>
      </c>
      <c r="AI540">
        <v>40</v>
      </c>
      <c r="AJ540">
        <v>34</v>
      </c>
      <c r="AK540">
        <v>16</v>
      </c>
      <c r="AL540">
        <v>24</v>
      </c>
      <c r="AM540">
        <v>2</v>
      </c>
      <c r="AN540">
        <v>104</v>
      </c>
      <c r="AO540">
        <v>61</v>
      </c>
      <c r="AP540">
        <v>24</v>
      </c>
      <c r="AQ540">
        <v>80</v>
      </c>
      <c r="AR540">
        <v>741</v>
      </c>
      <c r="AS540">
        <v>593</v>
      </c>
      <c r="AT540" t="s">
        <v>7</v>
      </c>
      <c r="AU540">
        <v>0.55000000000000004</v>
      </c>
      <c r="AV540">
        <v>2024</v>
      </c>
      <c r="AW540" s="1">
        <v>45924</v>
      </c>
      <c r="AX540">
        <v>9.6999999999999993</v>
      </c>
      <c r="AY540" t="s">
        <v>36</v>
      </c>
      <c r="AZ540" t="s">
        <v>31</v>
      </c>
      <c r="BA540" t="s">
        <v>21</v>
      </c>
      <c r="BB540" t="s">
        <v>13</v>
      </c>
      <c r="BC540" t="s">
        <v>7</v>
      </c>
      <c r="BD540">
        <v>4</v>
      </c>
      <c r="BE540" t="s">
        <v>14</v>
      </c>
      <c r="BF540">
        <v>1.17</v>
      </c>
    </row>
    <row r="541" spans="1:58" hidden="1" x14ac:dyDescent="0.2">
      <c r="A541">
        <v>540</v>
      </c>
      <c r="B541" t="s">
        <v>0</v>
      </c>
      <c r="C541">
        <v>33</v>
      </c>
      <c r="D541" t="s">
        <v>28</v>
      </c>
      <c r="E541" t="s">
        <v>128</v>
      </c>
      <c r="F541" t="s">
        <v>40</v>
      </c>
      <c r="G541" t="s">
        <v>16</v>
      </c>
      <c r="H541" t="s">
        <v>118</v>
      </c>
      <c r="I541" t="s">
        <v>17</v>
      </c>
      <c r="J541" t="s">
        <v>6</v>
      </c>
      <c r="K541" t="s">
        <v>13</v>
      </c>
      <c r="L541">
        <v>12.5</v>
      </c>
      <c r="M541">
        <v>8</v>
      </c>
      <c r="N541" t="s">
        <v>120</v>
      </c>
      <c r="O541" t="s">
        <v>13</v>
      </c>
      <c r="P541" t="s">
        <v>121</v>
      </c>
      <c r="Q541">
        <v>17</v>
      </c>
      <c r="R541">
        <v>6</v>
      </c>
      <c r="S541">
        <v>27.9</v>
      </c>
      <c r="T541">
        <v>104</v>
      </c>
      <c r="U541">
        <v>95</v>
      </c>
      <c r="V541">
        <v>8019</v>
      </c>
      <c r="W541">
        <v>47.8</v>
      </c>
      <c r="X541">
        <v>0</v>
      </c>
      <c r="Y541">
        <v>4</v>
      </c>
      <c r="Z541">
        <v>11</v>
      </c>
      <c r="AA541">
        <v>2.4</v>
      </c>
      <c r="AB541">
        <v>2</v>
      </c>
      <c r="AC541">
        <v>109</v>
      </c>
      <c r="AD541">
        <v>4</v>
      </c>
      <c r="AE541">
        <v>6</v>
      </c>
      <c r="AF541">
        <v>107</v>
      </c>
      <c r="AG541">
        <v>82</v>
      </c>
      <c r="AH541">
        <v>65</v>
      </c>
      <c r="AI541">
        <v>16</v>
      </c>
      <c r="AJ541">
        <v>24</v>
      </c>
      <c r="AK541">
        <v>22</v>
      </c>
      <c r="AL541">
        <v>11</v>
      </c>
      <c r="AM541">
        <v>3</v>
      </c>
      <c r="AN541">
        <v>56</v>
      </c>
      <c r="AO541">
        <v>30</v>
      </c>
      <c r="AP541">
        <v>18</v>
      </c>
      <c r="AQ541">
        <v>24</v>
      </c>
      <c r="AR541">
        <v>431</v>
      </c>
      <c r="AS541">
        <v>304</v>
      </c>
      <c r="AT541" t="s">
        <v>13</v>
      </c>
      <c r="AU541">
        <v>0.76</v>
      </c>
      <c r="AV541">
        <v>2012</v>
      </c>
      <c r="AW541" s="1">
        <v>45963</v>
      </c>
      <c r="AX541">
        <v>27.2</v>
      </c>
      <c r="AY541" t="s">
        <v>10</v>
      </c>
      <c r="AZ541" t="s">
        <v>20</v>
      </c>
      <c r="BA541" t="s">
        <v>122</v>
      </c>
      <c r="BB541" t="s">
        <v>7</v>
      </c>
      <c r="BC541" t="s">
        <v>7</v>
      </c>
      <c r="BD541">
        <v>1</v>
      </c>
      <c r="BE541" t="s">
        <v>14</v>
      </c>
      <c r="BF541">
        <v>1.05</v>
      </c>
    </row>
    <row r="542" spans="1:58" hidden="1" x14ac:dyDescent="0.2">
      <c r="A542">
        <v>541</v>
      </c>
      <c r="B542" t="s">
        <v>0</v>
      </c>
      <c r="C542">
        <v>51</v>
      </c>
      <c r="D542" t="s">
        <v>28</v>
      </c>
      <c r="E542" t="s">
        <v>2</v>
      </c>
      <c r="F542" t="s">
        <v>15</v>
      </c>
      <c r="G542" t="s">
        <v>117</v>
      </c>
      <c r="H542" t="s">
        <v>118</v>
      </c>
      <c r="I542" t="s">
        <v>115</v>
      </c>
      <c r="J542" t="s">
        <v>6</v>
      </c>
      <c r="K542" t="s">
        <v>7</v>
      </c>
      <c r="L542">
        <v>9.4</v>
      </c>
      <c r="M542">
        <v>9.4</v>
      </c>
      <c r="N542" t="s">
        <v>39</v>
      </c>
      <c r="O542" t="s">
        <v>41</v>
      </c>
      <c r="P542" t="s">
        <v>9</v>
      </c>
      <c r="Q542">
        <v>29</v>
      </c>
      <c r="R542">
        <v>6</v>
      </c>
      <c r="S542">
        <v>25.5</v>
      </c>
      <c r="T542">
        <v>119</v>
      </c>
      <c r="U542">
        <v>60</v>
      </c>
      <c r="V542">
        <v>8050</v>
      </c>
      <c r="W542">
        <v>61.1</v>
      </c>
      <c r="X542">
        <v>6</v>
      </c>
      <c r="Y542">
        <v>4</v>
      </c>
      <c r="Z542">
        <v>8</v>
      </c>
      <c r="AA542">
        <v>2.7</v>
      </c>
      <c r="AB542">
        <v>4</v>
      </c>
      <c r="AC542">
        <v>236</v>
      </c>
      <c r="AD542">
        <v>28</v>
      </c>
      <c r="AE542">
        <v>8</v>
      </c>
      <c r="AF542">
        <v>186</v>
      </c>
      <c r="AG542">
        <v>123</v>
      </c>
      <c r="AH542">
        <v>140</v>
      </c>
      <c r="AI542">
        <v>48</v>
      </c>
      <c r="AJ542">
        <v>18</v>
      </c>
      <c r="AK542">
        <v>36</v>
      </c>
      <c r="AL542">
        <v>26</v>
      </c>
      <c r="AM542">
        <v>4</v>
      </c>
      <c r="AN542">
        <v>101</v>
      </c>
      <c r="AO542">
        <v>52</v>
      </c>
      <c r="AP542">
        <v>33</v>
      </c>
      <c r="AQ542">
        <v>87</v>
      </c>
      <c r="AR542">
        <v>933</v>
      </c>
      <c r="AS542">
        <v>1382</v>
      </c>
      <c r="AT542" t="s">
        <v>13</v>
      </c>
      <c r="AU542">
        <v>0.81</v>
      </c>
      <c r="AV542">
        <v>2018</v>
      </c>
      <c r="AW542" s="1">
        <v>45935</v>
      </c>
      <c r="AX542">
        <v>8.4</v>
      </c>
      <c r="AY542" t="s">
        <v>45</v>
      </c>
      <c r="AZ542" t="s">
        <v>11</v>
      </c>
      <c r="BA542" t="s">
        <v>12</v>
      </c>
      <c r="BB542" t="s">
        <v>13</v>
      </c>
      <c r="BC542" t="s">
        <v>7</v>
      </c>
      <c r="BD542">
        <v>5</v>
      </c>
      <c r="BE542" t="s">
        <v>14</v>
      </c>
      <c r="BF542">
        <v>1.1000000000000001</v>
      </c>
    </row>
    <row r="543" spans="1:58" hidden="1" x14ac:dyDescent="0.2">
      <c r="A543">
        <v>542</v>
      </c>
      <c r="B543" t="s">
        <v>0</v>
      </c>
      <c r="C543">
        <v>48</v>
      </c>
      <c r="D543" t="s">
        <v>1</v>
      </c>
      <c r="E543" t="s">
        <v>17</v>
      </c>
      <c r="F543" t="s">
        <v>15</v>
      </c>
      <c r="G543" t="s">
        <v>116</v>
      </c>
      <c r="H543" t="s">
        <v>118</v>
      </c>
      <c r="I543" t="s">
        <v>112</v>
      </c>
      <c r="J543" t="s">
        <v>32</v>
      </c>
      <c r="K543" t="s">
        <v>7</v>
      </c>
      <c r="L543">
        <v>11.3</v>
      </c>
      <c r="M543">
        <v>4.4000000000000004</v>
      </c>
      <c r="N543" t="s">
        <v>120</v>
      </c>
      <c r="O543" t="s">
        <v>13</v>
      </c>
      <c r="P543" t="s">
        <v>9</v>
      </c>
      <c r="Q543">
        <v>30</v>
      </c>
      <c r="R543">
        <v>7</v>
      </c>
      <c r="S543">
        <v>20.3</v>
      </c>
      <c r="T543">
        <v>130</v>
      </c>
      <c r="U543">
        <v>61</v>
      </c>
      <c r="V543">
        <v>7973</v>
      </c>
      <c r="W543">
        <v>33.4</v>
      </c>
      <c r="X543">
        <v>2</v>
      </c>
      <c r="Y543">
        <v>5</v>
      </c>
      <c r="Z543">
        <v>9</v>
      </c>
      <c r="AA543">
        <v>2.6</v>
      </c>
      <c r="AB543">
        <v>2</v>
      </c>
      <c r="AC543">
        <v>241</v>
      </c>
      <c r="AD543">
        <v>17</v>
      </c>
      <c r="AE543">
        <v>8</v>
      </c>
      <c r="AF543">
        <v>183</v>
      </c>
      <c r="AG543">
        <v>124</v>
      </c>
      <c r="AH543">
        <v>163</v>
      </c>
      <c r="AI543">
        <v>38</v>
      </c>
      <c r="AJ543">
        <v>33</v>
      </c>
      <c r="AK543">
        <v>33</v>
      </c>
      <c r="AL543">
        <v>22</v>
      </c>
      <c r="AM543">
        <v>7</v>
      </c>
      <c r="AN543">
        <v>113</v>
      </c>
      <c r="AO543">
        <v>71</v>
      </c>
      <c r="AP543">
        <v>38</v>
      </c>
      <c r="AQ543">
        <v>52</v>
      </c>
      <c r="AR543">
        <v>1051</v>
      </c>
      <c r="AS543">
        <v>1520</v>
      </c>
      <c r="AT543" t="s">
        <v>7</v>
      </c>
      <c r="AU543">
        <v>0.28000000000000003</v>
      </c>
      <c r="AV543">
        <v>2011</v>
      </c>
      <c r="AW543" s="1">
        <v>45890</v>
      </c>
      <c r="AX543">
        <v>14.2</v>
      </c>
      <c r="AY543" t="s">
        <v>36</v>
      </c>
      <c r="AZ543" t="s">
        <v>37</v>
      </c>
      <c r="BA543" t="s">
        <v>122</v>
      </c>
      <c r="BB543" t="s">
        <v>13</v>
      </c>
      <c r="BC543" t="s">
        <v>7</v>
      </c>
      <c r="BD543">
        <v>2</v>
      </c>
      <c r="BE543" t="s">
        <v>14</v>
      </c>
      <c r="BF543">
        <v>1.0900000000000001</v>
      </c>
    </row>
    <row r="544" spans="1:58" hidden="1" x14ac:dyDescent="0.2">
      <c r="A544">
        <v>543</v>
      </c>
      <c r="B544" t="s">
        <v>0</v>
      </c>
      <c r="C544">
        <v>45</v>
      </c>
      <c r="D544" t="s">
        <v>1</v>
      </c>
      <c r="E544" t="s">
        <v>22</v>
      </c>
      <c r="F544" t="s">
        <v>3</v>
      </c>
      <c r="G544" t="s">
        <v>117</v>
      </c>
      <c r="H544" t="s">
        <v>118</v>
      </c>
      <c r="I544" t="s">
        <v>113</v>
      </c>
      <c r="J544" t="s">
        <v>44</v>
      </c>
      <c r="K544" t="s">
        <v>13</v>
      </c>
      <c r="L544">
        <v>8.6999999999999993</v>
      </c>
      <c r="M544">
        <v>6.9</v>
      </c>
      <c r="N544" t="s">
        <v>25</v>
      </c>
      <c r="O544" t="s">
        <v>7</v>
      </c>
      <c r="P544" t="s">
        <v>9</v>
      </c>
      <c r="Q544">
        <v>12</v>
      </c>
      <c r="R544">
        <v>6</v>
      </c>
      <c r="S544">
        <v>19.899999999999999</v>
      </c>
      <c r="T544">
        <v>154</v>
      </c>
      <c r="U544">
        <v>77</v>
      </c>
      <c r="V544">
        <v>7887</v>
      </c>
      <c r="W544">
        <v>42.2</v>
      </c>
      <c r="X544">
        <v>0</v>
      </c>
      <c r="Y544">
        <v>2</v>
      </c>
      <c r="Z544">
        <v>8</v>
      </c>
      <c r="AA544">
        <v>5.0999999999999996</v>
      </c>
      <c r="AB544">
        <v>4</v>
      </c>
      <c r="AC544">
        <v>124</v>
      </c>
      <c r="AD544">
        <v>9</v>
      </c>
      <c r="AE544">
        <v>1</v>
      </c>
      <c r="AF544">
        <v>109</v>
      </c>
      <c r="AG544">
        <v>73</v>
      </c>
      <c r="AH544">
        <v>94</v>
      </c>
      <c r="AI544">
        <v>28</v>
      </c>
      <c r="AJ544">
        <v>16</v>
      </c>
      <c r="AK544">
        <v>28</v>
      </c>
      <c r="AL544">
        <v>17</v>
      </c>
      <c r="AM544">
        <v>3</v>
      </c>
      <c r="AN544">
        <v>72</v>
      </c>
      <c r="AO544">
        <v>26</v>
      </c>
      <c r="AP544">
        <v>29</v>
      </c>
      <c r="AQ544">
        <v>46</v>
      </c>
      <c r="AR544">
        <v>3256</v>
      </c>
      <c r="AS544">
        <v>7618</v>
      </c>
      <c r="AT544" t="s">
        <v>7</v>
      </c>
      <c r="AU544">
        <v>0.61</v>
      </c>
      <c r="AV544">
        <v>2019</v>
      </c>
      <c r="AW544" s="1">
        <v>45743</v>
      </c>
      <c r="AX544">
        <v>13.8</v>
      </c>
      <c r="AY544" t="s">
        <v>30</v>
      </c>
      <c r="AZ544" t="s">
        <v>35</v>
      </c>
      <c r="BA544" t="s">
        <v>21</v>
      </c>
      <c r="BB544" t="s">
        <v>13</v>
      </c>
      <c r="BC544" t="s">
        <v>13</v>
      </c>
      <c r="BD544">
        <v>2</v>
      </c>
      <c r="BE544" t="s">
        <v>43</v>
      </c>
      <c r="BF544">
        <v>1.22</v>
      </c>
    </row>
    <row r="545" spans="1:58" hidden="1" x14ac:dyDescent="0.2">
      <c r="A545">
        <v>544</v>
      </c>
      <c r="B545" t="s">
        <v>0</v>
      </c>
      <c r="C545">
        <v>42</v>
      </c>
      <c r="D545" t="s">
        <v>1</v>
      </c>
      <c r="E545" t="s">
        <v>50</v>
      </c>
      <c r="F545" t="s">
        <v>3</v>
      </c>
      <c r="G545" t="s">
        <v>16</v>
      </c>
      <c r="H545" t="s">
        <v>23</v>
      </c>
      <c r="I545" t="s">
        <v>112</v>
      </c>
      <c r="J545" t="s">
        <v>6</v>
      </c>
      <c r="K545" t="s">
        <v>7</v>
      </c>
      <c r="L545">
        <v>5.4</v>
      </c>
      <c r="M545">
        <v>5.4</v>
      </c>
      <c r="N545" t="s">
        <v>29</v>
      </c>
      <c r="O545" t="s">
        <v>7</v>
      </c>
      <c r="P545" t="s">
        <v>9</v>
      </c>
      <c r="Q545">
        <v>10</v>
      </c>
      <c r="R545">
        <v>6</v>
      </c>
      <c r="S545">
        <v>21.1</v>
      </c>
      <c r="T545">
        <v>136</v>
      </c>
      <c r="U545">
        <v>90</v>
      </c>
      <c r="V545">
        <v>8177</v>
      </c>
      <c r="W545">
        <v>29.5</v>
      </c>
      <c r="X545">
        <v>1</v>
      </c>
      <c r="Y545">
        <v>3</v>
      </c>
      <c r="Z545">
        <v>7</v>
      </c>
      <c r="AA545">
        <v>7.5</v>
      </c>
      <c r="AB545">
        <v>6</v>
      </c>
      <c r="AC545">
        <v>52</v>
      </c>
      <c r="AD545">
        <v>4</v>
      </c>
      <c r="AE545">
        <v>7</v>
      </c>
      <c r="AF545">
        <v>66</v>
      </c>
      <c r="AG545">
        <v>59</v>
      </c>
      <c r="AH545">
        <v>53</v>
      </c>
      <c r="AI545">
        <v>13</v>
      </c>
      <c r="AJ545">
        <v>13</v>
      </c>
      <c r="AK545">
        <v>17</v>
      </c>
      <c r="AL545">
        <v>10</v>
      </c>
      <c r="AM545">
        <v>1</v>
      </c>
      <c r="AN545">
        <v>29</v>
      </c>
      <c r="AO545">
        <v>13</v>
      </c>
      <c r="AP545">
        <v>8</v>
      </c>
      <c r="AQ545">
        <v>12</v>
      </c>
      <c r="AR545">
        <v>837</v>
      </c>
      <c r="AS545">
        <v>374</v>
      </c>
      <c r="AT545" t="s">
        <v>13</v>
      </c>
      <c r="AU545">
        <v>0.68</v>
      </c>
      <c r="AV545">
        <v>2019</v>
      </c>
      <c r="AW545" s="1">
        <v>45781</v>
      </c>
      <c r="AX545">
        <v>13</v>
      </c>
      <c r="AY545" t="s">
        <v>36</v>
      </c>
      <c r="AZ545" t="s">
        <v>31</v>
      </c>
      <c r="BA545" t="s">
        <v>12</v>
      </c>
      <c r="BB545" t="s">
        <v>13</v>
      </c>
      <c r="BC545" t="s">
        <v>13</v>
      </c>
      <c r="BD545">
        <v>4</v>
      </c>
      <c r="BE545" t="s">
        <v>14</v>
      </c>
      <c r="BF545">
        <v>1.89</v>
      </c>
    </row>
    <row r="546" spans="1:58" hidden="1" x14ac:dyDescent="0.2">
      <c r="A546">
        <v>545</v>
      </c>
      <c r="B546" t="s">
        <v>0</v>
      </c>
      <c r="C546">
        <v>49</v>
      </c>
      <c r="D546" t="s">
        <v>1</v>
      </c>
      <c r="E546" t="s">
        <v>22</v>
      </c>
      <c r="F546" t="s">
        <v>15</v>
      </c>
      <c r="G546" t="s">
        <v>16</v>
      </c>
      <c r="H546" t="s">
        <v>23</v>
      </c>
      <c r="I546" t="s">
        <v>114</v>
      </c>
      <c r="J546" t="s">
        <v>6</v>
      </c>
      <c r="K546" t="s">
        <v>7</v>
      </c>
      <c r="L546">
        <v>5.8</v>
      </c>
      <c r="M546">
        <v>8.1</v>
      </c>
      <c r="N546" t="s">
        <v>8</v>
      </c>
      <c r="O546" t="s">
        <v>13</v>
      </c>
      <c r="P546" t="s">
        <v>52</v>
      </c>
      <c r="Q546">
        <v>33</v>
      </c>
      <c r="R546">
        <v>2</v>
      </c>
      <c r="S546">
        <v>20.7</v>
      </c>
      <c r="T546">
        <v>122</v>
      </c>
      <c r="U546">
        <v>74</v>
      </c>
      <c r="V546">
        <v>7943</v>
      </c>
      <c r="W546">
        <v>43.6</v>
      </c>
      <c r="X546">
        <v>2</v>
      </c>
      <c r="Y546">
        <v>3</v>
      </c>
      <c r="Z546">
        <v>14</v>
      </c>
      <c r="AA546">
        <v>7.3</v>
      </c>
      <c r="AB546">
        <v>2</v>
      </c>
      <c r="AC546">
        <v>309</v>
      </c>
      <c r="AD546">
        <v>14</v>
      </c>
      <c r="AE546">
        <v>5</v>
      </c>
      <c r="AF546">
        <v>249</v>
      </c>
      <c r="AG546">
        <v>150</v>
      </c>
      <c r="AH546">
        <v>193</v>
      </c>
      <c r="AI546">
        <v>48</v>
      </c>
      <c r="AJ546">
        <v>41</v>
      </c>
      <c r="AK546">
        <v>45</v>
      </c>
      <c r="AL546">
        <v>34</v>
      </c>
      <c r="AM546">
        <v>6</v>
      </c>
      <c r="AN546">
        <v>130</v>
      </c>
      <c r="AO546">
        <v>52</v>
      </c>
      <c r="AP546">
        <v>66</v>
      </c>
      <c r="AQ546">
        <v>98</v>
      </c>
      <c r="AR546">
        <v>627</v>
      </c>
      <c r="AS546">
        <v>929</v>
      </c>
      <c r="AT546" t="s">
        <v>7</v>
      </c>
      <c r="AU546">
        <v>7.0000000000000007E-2</v>
      </c>
      <c r="AV546">
        <v>2018</v>
      </c>
      <c r="AW546" s="1">
        <v>45933</v>
      </c>
      <c r="AX546">
        <v>22.1</v>
      </c>
      <c r="AY546" t="s">
        <v>45</v>
      </c>
      <c r="AZ546" t="s">
        <v>20</v>
      </c>
      <c r="BA546" t="s">
        <v>12</v>
      </c>
      <c r="BB546" t="s">
        <v>7</v>
      </c>
      <c r="BC546" t="s">
        <v>7</v>
      </c>
      <c r="BD546">
        <v>4</v>
      </c>
      <c r="BE546" t="s">
        <v>14</v>
      </c>
      <c r="BF546">
        <v>0.98</v>
      </c>
    </row>
    <row r="547" spans="1:58" hidden="1" x14ac:dyDescent="0.2">
      <c r="A547">
        <v>546</v>
      </c>
      <c r="B547" t="s">
        <v>0</v>
      </c>
      <c r="C547">
        <v>35</v>
      </c>
      <c r="D547" t="s">
        <v>28</v>
      </c>
      <c r="E547" t="s">
        <v>22</v>
      </c>
      <c r="F547" t="s">
        <v>3</v>
      </c>
      <c r="G547" t="s">
        <v>4</v>
      </c>
      <c r="H547" t="s">
        <v>23</v>
      </c>
      <c r="I547" t="s">
        <v>112</v>
      </c>
      <c r="J547" t="s">
        <v>32</v>
      </c>
      <c r="K547" t="s">
        <v>7</v>
      </c>
      <c r="L547">
        <v>3.4</v>
      </c>
      <c r="M547">
        <v>9.1999999999999993</v>
      </c>
      <c r="N547" t="s">
        <v>25</v>
      </c>
      <c r="O547" t="s">
        <v>41</v>
      </c>
      <c r="P547" t="s">
        <v>52</v>
      </c>
      <c r="Q547">
        <v>37</v>
      </c>
      <c r="R547">
        <v>4</v>
      </c>
      <c r="S547">
        <v>20.6</v>
      </c>
      <c r="T547">
        <v>124</v>
      </c>
      <c r="U547">
        <v>91</v>
      </c>
      <c r="V547">
        <v>8133</v>
      </c>
      <c r="W547">
        <v>37</v>
      </c>
      <c r="X547">
        <v>3</v>
      </c>
      <c r="Y547">
        <v>4</v>
      </c>
      <c r="Z547">
        <v>12</v>
      </c>
      <c r="AA547">
        <v>5.7</v>
      </c>
      <c r="AB547">
        <v>3</v>
      </c>
      <c r="AC547">
        <v>435</v>
      </c>
      <c r="AD547">
        <v>24</v>
      </c>
      <c r="AE547">
        <v>14</v>
      </c>
      <c r="AF547">
        <v>300</v>
      </c>
      <c r="AG547">
        <v>150</v>
      </c>
      <c r="AH547">
        <v>244</v>
      </c>
      <c r="AI547">
        <v>67</v>
      </c>
      <c r="AJ547">
        <v>52</v>
      </c>
      <c r="AK547">
        <v>56</v>
      </c>
      <c r="AL547">
        <v>39</v>
      </c>
      <c r="AM547">
        <v>5</v>
      </c>
      <c r="AN547">
        <v>209</v>
      </c>
      <c r="AO547">
        <v>59</v>
      </c>
      <c r="AP547">
        <v>82</v>
      </c>
      <c r="AQ547">
        <v>149</v>
      </c>
      <c r="AR547">
        <v>4767</v>
      </c>
      <c r="AS547">
        <v>10000</v>
      </c>
      <c r="AT547" t="s">
        <v>7</v>
      </c>
      <c r="AU547">
        <v>0.25</v>
      </c>
      <c r="AV547">
        <v>2010</v>
      </c>
      <c r="AW547" s="1">
        <v>45982</v>
      </c>
      <c r="AX547">
        <v>18.100000000000001</v>
      </c>
      <c r="AY547" t="s">
        <v>36</v>
      </c>
      <c r="AZ547" t="s">
        <v>35</v>
      </c>
      <c r="BA547" t="s">
        <v>122</v>
      </c>
      <c r="BB547" t="s">
        <v>7</v>
      </c>
      <c r="BC547" t="s">
        <v>13</v>
      </c>
      <c r="BD547">
        <v>1</v>
      </c>
      <c r="BE547" t="s">
        <v>14</v>
      </c>
      <c r="BF547">
        <v>0.96</v>
      </c>
    </row>
    <row r="548" spans="1:58" hidden="1" x14ac:dyDescent="0.2">
      <c r="A548">
        <v>547</v>
      </c>
      <c r="B548" t="s">
        <v>0</v>
      </c>
      <c r="C548">
        <v>22</v>
      </c>
      <c r="D548" t="s">
        <v>1</v>
      </c>
      <c r="E548" t="s">
        <v>2</v>
      </c>
      <c r="F548" t="s">
        <v>40</v>
      </c>
      <c r="G548" t="s">
        <v>38</v>
      </c>
      <c r="H548" t="s">
        <v>23</v>
      </c>
      <c r="I548" t="s">
        <v>114</v>
      </c>
      <c r="J548" t="s">
        <v>18</v>
      </c>
      <c r="K548" t="s">
        <v>7</v>
      </c>
      <c r="L548">
        <v>14</v>
      </c>
      <c r="M548">
        <v>6.9</v>
      </c>
      <c r="N548" t="s">
        <v>8</v>
      </c>
      <c r="O548" t="s">
        <v>7</v>
      </c>
      <c r="P548" t="s">
        <v>46</v>
      </c>
      <c r="Q548">
        <v>20</v>
      </c>
      <c r="R548">
        <v>4</v>
      </c>
      <c r="S548">
        <v>28.8</v>
      </c>
      <c r="T548">
        <v>133</v>
      </c>
      <c r="U548">
        <v>80</v>
      </c>
      <c r="V548">
        <v>8089</v>
      </c>
      <c r="W548">
        <v>40.700000000000003</v>
      </c>
      <c r="X548">
        <v>3</v>
      </c>
      <c r="Y548">
        <v>2</v>
      </c>
      <c r="Z548">
        <v>9</v>
      </c>
      <c r="AA548">
        <v>1.4</v>
      </c>
      <c r="AB548">
        <v>2</v>
      </c>
      <c r="AC548">
        <v>315</v>
      </c>
      <c r="AD548">
        <v>16</v>
      </c>
      <c r="AE548">
        <v>11</v>
      </c>
      <c r="AF548">
        <v>300</v>
      </c>
      <c r="AG548">
        <v>144</v>
      </c>
      <c r="AH548">
        <v>177</v>
      </c>
      <c r="AI548">
        <v>53</v>
      </c>
      <c r="AJ548">
        <v>41</v>
      </c>
      <c r="AK548">
        <v>49</v>
      </c>
      <c r="AL548">
        <v>24</v>
      </c>
      <c r="AM548">
        <v>7</v>
      </c>
      <c r="AN548">
        <v>171</v>
      </c>
      <c r="AO548">
        <v>65</v>
      </c>
      <c r="AP548">
        <v>39</v>
      </c>
      <c r="AQ548">
        <v>119</v>
      </c>
      <c r="AR548">
        <v>9566</v>
      </c>
      <c r="AS548">
        <v>10000</v>
      </c>
      <c r="AT548" t="s">
        <v>13</v>
      </c>
      <c r="AU548">
        <v>0.69</v>
      </c>
      <c r="AV548">
        <v>2024</v>
      </c>
      <c r="AW548" s="1">
        <v>45899</v>
      </c>
      <c r="AX548">
        <v>19.7</v>
      </c>
      <c r="AY548" t="s">
        <v>19</v>
      </c>
      <c r="AZ548" t="s">
        <v>17</v>
      </c>
      <c r="BA548" t="s">
        <v>21</v>
      </c>
      <c r="BB548" t="s">
        <v>13</v>
      </c>
      <c r="BC548" t="s">
        <v>7</v>
      </c>
      <c r="BD548">
        <v>5</v>
      </c>
      <c r="BE548" t="s">
        <v>49</v>
      </c>
      <c r="BF548">
        <v>1</v>
      </c>
    </row>
    <row r="549" spans="1:58" hidden="1" x14ac:dyDescent="0.2">
      <c r="A549">
        <v>548</v>
      </c>
      <c r="B549" t="s">
        <v>0</v>
      </c>
      <c r="C549">
        <v>17</v>
      </c>
      <c r="D549" t="s">
        <v>28</v>
      </c>
      <c r="E549" t="s">
        <v>127</v>
      </c>
      <c r="F549" t="s">
        <v>40</v>
      </c>
      <c r="G549" t="s">
        <v>38</v>
      </c>
      <c r="H549" t="s">
        <v>118</v>
      </c>
      <c r="I549" t="s">
        <v>112</v>
      </c>
      <c r="J549" t="s">
        <v>123</v>
      </c>
      <c r="K549" t="s">
        <v>7</v>
      </c>
      <c r="L549">
        <v>9.3000000000000007</v>
      </c>
      <c r="M549">
        <v>5.0999999999999996</v>
      </c>
      <c r="N549" t="s">
        <v>8</v>
      </c>
      <c r="O549" t="s">
        <v>41</v>
      </c>
      <c r="P549" t="s">
        <v>9</v>
      </c>
      <c r="Q549">
        <v>35</v>
      </c>
      <c r="R549">
        <v>7</v>
      </c>
      <c r="S549">
        <v>18.899999999999999</v>
      </c>
      <c r="T549">
        <v>114</v>
      </c>
      <c r="U549">
        <v>95</v>
      </c>
      <c r="V549">
        <v>7892</v>
      </c>
      <c r="W549">
        <v>29</v>
      </c>
      <c r="X549">
        <v>2</v>
      </c>
      <c r="Y549">
        <v>2</v>
      </c>
      <c r="Z549">
        <v>7</v>
      </c>
      <c r="AA549">
        <v>5.0999999999999996</v>
      </c>
      <c r="AB549">
        <v>7</v>
      </c>
      <c r="AC549">
        <v>266</v>
      </c>
      <c r="AD549">
        <v>10</v>
      </c>
      <c r="AE549">
        <v>12</v>
      </c>
      <c r="AF549">
        <v>265</v>
      </c>
      <c r="AG549">
        <v>112</v>
      </c>
      <c r="AH549">
        <v>175</v>
      </c>
      <c r="AI549">
        <v>37</v>
      </c>
      <c r="AJ549">
        <v>35</v>
      </c>
      <c r="AK549">
        <v>26</v>
      </c>
      <c r="AL549">
        <v>28</v>
      </c>
      <c r="AM549">
        <v>6</v>
      </c>
      <c r="AN549">
        <v>120</v>
      </c>
      <c r="AO549">
        <v>41</v>
      </c>
      <c r="AP549">
        <v>34</v>
      </c>
      <c r="AQ549">
        <v>90</v>
      </c>
      <c r="AR549">
        <v>861</v>
      </c>
      <c r="AS549">
        <v>2029</v>
      </c>
      <c r="AT549" t="s">
        <v>13</v>
      </c>
      <c r="AU549">
        <v>0.97</v>
      </c>
      <c r="AV549">
        <v>2016</v>
      </c>
      <c r="AW549" s="1">
        <v>45801</v>
      </c>
      <c r="AX549">
        <v>26.6</v>
      </c>
      <c r="AY549" t="s">
        <v>45</v>
      </c>
      <c r="AZ549" t="s">
        <v>51</v>
      </c>
      <c r="BA549" t="s">
        <v>122</v>
      </c>
      <c r="BB549" t="s">
        <v>7</v>
      </c>
      <c r="BC549" t="s">
        <v>7</v>
      </c>
      <c r="BD549">
        <v>3</v>
      </c>
      <c r="BE549" t="s">
        <v>49</v>
      </c>
      <c r="BF549">
        <v>1.07</v>
      </c>
    </row>
    <row r="550" spans="1:58" hidden="1" x14ac:dyDescent="0.2">
      <c r="A550">
        <v>549</v>
      </c>
      <c r="B550" t="s">
        <v>0</v>
      </c>
      <c r="C550">
        <v>48</v>
      </c>
      <c r="D550" t="s">
        <v>28</v>
      </c>
      <c r="E550" t="s">
        <v>127</v>
      </c>
      <c r="F550" t="s">
        <v>40</v>
      </c>
      <c r="G550" t="s">
        <v>117</v>
      </c>
      <c r="H550" t="s">
        <v>118</v>
      </c>
      <c r="I550" t="s">
        <v>112</v>
      </c>
      <c r="J550" t="s">
        <v>32</v>
      </c>
      <c r="K550" t="s">
        <v>7</v>
      </c>
      <c r="L550">
        <v>12.2</v>
      </c>
      <c r="M550">
        <v>6.6</v>
      </c>
      <c r="N550" t="s">
        <v>29</v>
      </c>
      <c r="O550" t="s">
        <v>7</v>
      </c>
      <c r="P550" t="s">
        <v>52</v>
      </c>
      <c r="Q550">
        <v>34</v>
      </c>
      <c r="R550">
        <v>5</v>
      </c>
      <c r="S550">
        <v>28.9</v>
      </c>
      <c r="T550">
        <v>100</v>
      </c>
      <c r="U550">
        <v>72</v>
      </c>
      <c r="V550">
        <v>7991</v>
      </c>
      <c r="W550">
        <v>43.1</v>
      </c>
      <c r="X550">
        <v>3</v>
      </c>
      <c r="Y550">
        <v>4</v>
      </c>
      <c r="Z550">
        <v>8</v>
      </c>
      <c r="AA550">
        <v>6.7</v>
      </c>
      <c r="AB550">
        <v>2</v>
      </c>
      <c r="AC550">
        <v>305</v>
      </c>
      <c r="AD550">
        <v>24</v>
      </c>
      <c r="AE550">
        <v>9</v>
      </c>
      <c r="AF550">
        <v>201</v>
      </c>
      <c r="AG550">
        <v>150</v>
      </c>
      <c r="AH550">
        <v>197</v>
      </c>
      <c r="AI550">
        <v>45</v>
      </c>
      <c r="AJ550">
        <v>32</v>
      </c>
      <c r="AK550">
        <v>51</v>
      </c>
      <c r="AL550">
        <v>38</v>
      </c>
      <c r="AM550">
        <v>5</v>
      </c>
      <c r="AN550">
        <v>142</v>
      </c>
      <c r="AO550">
        <v>84</v>
      </c>
      <c r="AP550">
        <v>34</v>
      </c>
      <c r="AQ550">
        <v>116</v>
      </c>
      <c r="AR550">
        <v>222</v>
      </c>
      <c r="AS550">
        <v>455</v>
      </c>
      <c r="AT550" t="s">
        <v>13</v>
      </c>
      <c r="AU550">
        <v>0.15</v>
      </c>
      <c r="AV550">
        <v>2016</v>
      </c>
      <c r="AW550" s="1">
        <v>45884</v>
      </c>
      <c r="AX550">
        <v>12.7</v>
      </c>
      <c r="AY550" t="s">
        <v>27</v>
      </c>
      <c r="AZ550" t="s">
        <v>35</v>
      </c>
      <c r="BA550" t="s">
        <v>12</v>
      </c>
      <c r="BB550" t="s">
        <v>7</v>
      </c>
      <c r="BC550" t="s">
        <v>13</v>
      </c>
      <c r="BD550">
        <v>1</v>
      </c>
      <c r="BE550" t="s">
        <v>14</v>
      </c>
      <c r="BF550">
        <v>1.03</v>
      </c>
    </row>
    <row r="551" spans="1:58" hidden="1" x14ac:dyDescent="0.2">
      <c r="A551">
        <v>550</v>
      </c>
      <c r="B551" t="s">
        <v>0</v>
      </c>
      <c r="C551">
        <v>46</v>
      </c>
      <c r="D551" t="s">
        <v>28</v>
      </c>
      <c r="E551" t="s">
        <v>126</v>
      </c>
      <c r="F551" t="s">
        <v>3</v>
      </c>
      <c r="G551" t="s">
        <v>38</v>
      </c>
      <c r="H551" t="s">
        <v>118</v>
      </c>
      <c r="I551" t="s">
        <v>114</v>
      </c>
      <c r="J551" t="s">
        <v>32</v>
      </c>
      <c r="K551" t="s">
        <v>7</v>
      </c>
      <c r="L551">
        <v>8.1999999999999993</v>
      </c>
      <c r="M551">
        <v>5.7</v>
      </c>
      <c r="N551" t="s">
        <v>39</v>
      </c>
      <c r="O551" t="s">
        <v>13</v>
      </c>
      <c r="P551" t="s">
        <v>121</v>
      </c>
      <c r="Q551">
        <v>12</v>
      </c>
      <c r="R551">
        <v>9</v>
      </c>
      <c r="S551">
        <v>26.5</v>
      </c>
      <c r="T551">
        <v>149</v>
      </c>
      <c r="U551">
        <v>84</v>
      </c>
      <c r="V551">
        <v>7832</v>
      </c>
      <c r="W551">
        <v>60.4</v>
      </c>
      <c r="X551">
        <v>4</v>
      </c>
      <c r="Y551">
        <v>5</v>
      </c>
      <c r="Z551">
        <v>10</v>
      </c>
      <c r="AA551">
        <v>6.1</v>
      </c>
      <c r="AB551">
        <v>5</v>
      </c>
      <c r="AC551">
        <v>41</v>
      </c>
      <c r="AD551">
        <v>4</v>
      </c>
      <c r="AE551">
        <v>1</v>
      </c>
      <c r="AF551">
        <v>68</v>
      </c>
      <c r="AG551">
        <v>55</v>
      </c>
      <c r="AH551">
        <v>43</v>
      </c>
      <c r="AI551">
        <v>7</v>
      </c>
      <c r="AJ551">
        <v>10</v>
      </c>
      <c r="AK551">
        <v>16</v>
      </c>
      <c r="AL551">
        <v>9</v>
      </c>
      <c r="AM551">
        <v>0</v>
      </c>
      <c r="AN551">
        <v>19</v>
      </c>
      <c r="AO551">
        <v>8</v>
      </c>
      <c r="AP551">
        <v>4</v>
      </c>
      <c r="AQ551">
        <v>16</v>
      </c>
      <c r="AR551">
        <v>2593</v>
      </c>
      <c r="AS551">
        <v>3544</v>
      </c>
      <c r="AT551" t="s">
        <v>7</v>
      </c>
      <c r="AU551">
        <v>0.55000000000000004</v>
      </c>
      <c r="AV551">
        <v>2022</v>
      </c>
      <c r="AW551" s="1">
        <v>45746</v>
      </c>
      <c r="AX551">
        <v>10.199999999999999</v>
      </c>
      <c r="AY551" t="s">
        <v>30</v>
      </c>
      <c r="AZ551" t="s">
        <v>35</v>
      </c>
      <c r="BA551" t="s">
        <v>12</v>
      </c>
      <c r="BB551" t="s">
        <v>13</v>
      </c>
      <c r="BC551" t="s">
        <v>7</v>
      </c>
      <c r="BD551">
        <v>2</v>
      </c>
      <c r="BE551" t="s">
        <v>43</v>
      </c>
      <c r="BF551">
        <v>1.43</v>
      </c>
    </row>
    <row r="552" spans="1:58" hidden="1" x14ac:dyDescent="0.2">
      <c r="A552">
        <v>551</v>
      </c>
      <c r="B552" t="s">
        <v>0</v>
      </c>
      <c r="C552">
        <v>64</v>
      </c>
      <c r="D552" t="s">
        <v>124</v>
      </c>
      <c r="E552" t="s">
        <v>17</v>
      </c>
      <c r="F552" t="s">
        <v>15</v>
      </c>
      <c r="G552" t="s">
        <v>116</v>
      </c>
      <c r="H552" t="s">
        <v>24</v>
      </c>
      <c r="I552" t="s">
        <v>114</v>
      </c>
      <c r="J552" t="s">
        <v>6</v>
      </c>
      <c r="K552" t="s">
        <v>13</v>
      </c>
      <c r="L552">
        <v>15.1</v>
      </c>
      <c r="M552">
        <v>7.9</v>
      </c>
      <c r="N552" t="s">
        <v>29</v>
      </c>
      <c r="O552" t="s">
        <v>7</v>
      </c>
      <c r="P552" t="s">
        <v>46</v>
      </c>
      <c r="Q552">
        <v>11</v>
      </c>
      <c r="R552">
        <v>2</v>
      </c>
      <c r="S552">
        <v>25.7</v>
      </c>
      <c r="T552">
        <v>114</v>
      </c>
      <c r="U552">
        <v>66</v>
      </c>
      <c r="V552">
        <v>8086</v>
      </c>
      <c r="W552">
        <v>47.8</v>
      </c>
      <c r="X552">
        <v>4</v>
      </c>
      <c r="Y552">
        <v>2</v>
      </c>
      <c r="Z552">
        <v>8</v>
      </c>
      <c r="AA552">
        <v>4.9000000000000004</v>
      </c>
      <c r="AB552">
        <v>3</v>
      </c>
      <c r="AC552">
        <v>111</v>
      </c>
      <c r="AD552">
        <v>6</v>
      </c>
      <c r="AE552">
        <v>5</v>
      </c>
      <c r="AF552">
        <v>111</v>
      </c>
      <c r="AG552">
        <v>97</v>
      </c>
      <c r="AH552">
        <v>71</v>
      </c>
      <c r="AI552">
        <v>14</v>
      </c>
      <c r="AJ552">
        <v>21</v>
      </c>
      <c r="AK552">
        <v>22</v>
      </c>
      <c r="AL552">
        <v>13</v>
      </c>
      <c r="AM552">
        <v>4</v>
      </c>
      <c r="AN552">
        <v>49</v>
      </c>
      <c r="AO552">
        <v>25</v>
      </c>
      <c r="AP552">
        <v>12</v>
      </c>
      <c r="AQ552">
        <v>25</v>
      </c>
      <c r="AR552">
        <v>222</v>
      </c>
      <c r="AS552">
        <v>342</v>
      </c>
      <c r="AT552" t="s">
        <v>7</v>
      </c>
      <c r="AU552">
        <v>0.44</v>
      </c>
      <c r="AV552">
        <v>2011</v>
      </c>
      <c r="AW552" s="1">
        <v>45956</v>
      </c>
      <c r="AX552">
        <v>18.5</v>
      </c>
      <c r="AY552" t="s">
        <v>19</v>
      </c>
      <c r="AZ552" t="s">
        <v>17</v>
      </c>
      <c r="BA552" t="s">
        <v>21</v>
      </c>
      <c r="BB552" t="s">
        <v>7</v>
      </c>
      <c r="BC552" t="s">
        <v>7</v>
      </c>
      <c r="BD552">
        <v>0</v>
      </c>
      <c r="BE552" t="s">
        <v>14</v>
      </c>
      <c r="BF552">
        <v>1.02</v>
      </c>
    </row>
    <row r="553" spans="1:58" hidden="1" x14ac:dyDescent="0.2">
      <c r="A553">
        <v>552</v>
      </c>
      <c r="B553" t="s">
        <v>0</v>
      </c>
      <c r="C553">
        <v>43</v>
      </c>
      <c r="D553" t="s">
        <v>1</v>
      </c>
      <c r="E553" t="s">
        <v>42</v>
      </c>
      <c r="F553" t="s">
        <v>40</v>
      </c>
      <c r="G553" t="s">
        <v>16</v>
      </c>
      <c r="H553" t="s">
        <v>118</v>
      </c>
      <c r="I553" t="s">
        <v>114</v>
      </c>
      <c r="J553" t="s">
        <v>6</v>
      </c>
      <c r="K553" t="s">
        <v>7</v>
      </c>
      <c r="L553">
        <v>7.5</v>
      </c>
      <c r="M553">
        <v>8</v>
      </c>
      <c r="N553" t="s">
        <v>29</v>
      </c>
      <c r="O553" t="s">
        <v>7</v>
      </c>
      <c r="P553" t="s">
        <v>9</v>
      </c>
      <c r="Q553">
        <v>22</v>
      </c>
      <c r="R553">
        <v>9</v>
      </c>
      <c r="S553">
        <v>25</v>
      </c>
      <c r="T553">
        <v>127</v>
      </c>
      <c r="U553">
        <v>77</v>
      </c>
      <c r="V553">
        <v>7987</v>
      </c>
      <c r="W553">
        <v>41.7</v>
      </c>
      <c r="X553">
        <v>5</v>
      </c>
      <c r="Y553">
        <v>8</v>
      </c>
      <c r="Z553">
        <v>11</v>
      </c>
      <c r="AA553">
        <v>2.7</v>
      </c>
      <c r="AB553">
        <v>7</v>
      </c>
      <c r="AC553">
        <v>144</v>
      </c>
      <c r="AD553">
        <v>14</v>
      </c>
      <c r="AE553">
        <v>3</v>
      </c>
      <c r="AF553">
        <v>134</v>
      </c>
      <c r="AG553">
        <v>73</v>
      </c>
      <c r="AH553">
        <v>107</v>
      </c>
      <c r="AI553">
        <v>29</v>
      </c>
      <c r="AJ553">
        <v>28</v>
      </c>
      <c r="AK553">
        <v>25</v>
      </c>
      <c r="AL553">
        <v>14</v>
      </c>
      <c r="AM553">
        <v>9</v>
      </c>
      <c r="AN553">
        <v>72</v>
      </c>
      <c r="AO553">
        <v>39</v>
      </c>
      <c r="AP553">
        <v>29</v>
      </c>
      <c r="AQ553">
        <v>49</v>
      </c>
      <c r="AR553">
        <v>1582</v>
      </c>
      <c r="AS553">
        <v>3286</v>
      </c>
      <c r="AT553" t="s">
        <v>13</v>
      </c>
      <c r="AU553">
        <v>0.76</v>
      </c>
      <c r="AV553">
        <v>2019</v>
      </c>
      <c r="AW553" s="1">
        <v>46012</v>
      </c>
      <c r="AX553">
        <v>10.3</v>
      </c>
      <c r="AY553" t="s">
        <v>45</v>
      </c>
      <c r="AZ553" t="s">
        <v>31</v>
      </c>
      <c r="BA553" t="s">
        <v>12</v>
      </c>
      <c r="BB553" t="s">
        <v>13</v>
      </c>
      <c r="BC553" t="s">
        <v>13</v>
      </c>
      <c r="BD553">
        <v>4</v>
      </c>
      <c r="BE553" t="s">
        <v>14</v>
      </c>
      <c r="BF553">
        <v>1.2</v>
      </c>
    </row>
    <row r="554" spans="1:58" hidden="1" x14ac:dyDescent="0.2">
      <c r="A554">
        <v>553</v>
      </c>
      <c r="B554" t="s">
        <v>0</v>
      </c>
      <c r="C554">
        <v>22</v>
      </c>
      <c r="D554" t="s">
        <v>1</v>
      </c>
      <c r="E554" t="s">
        <v>42</v>
      </c>
      <c r="F554" t="s">
        <v>15</v>
      </c>
      <c r="G554" t="s">
        <v>38</v>
      </c>
      <c r="H554" t="s">
        <v>118</v>
      </c>
      <c r="I554" t="s">
        <v>112</v>
      </c>
      <c r="J554" t="s">
        <v>32</v>
      </c>
      <c r="K554" t="s">
        <v>13</v>
      </c>
      <c r="L554">
        <v>6.5</v>
      </c>
      <c r="M554">
        <v>5.9</v>
      </c>
      <c r="N554" t="s">
        <v>120</v>
      </c>
      <c r="O554" t="s">
        <v>7</v>
      </c>
      <c r="P554" t="s">
        <v>121</v>
      </c>
      <c r="Q554">
        <v>23</v>
      </c>
      <c r="R554">
        <v>8</v>
      </c>
      <c r="S554">
        <v>27.4</v>
      </c>
      <c r="T554">
        <v>141</v>
      </c>
      <c r="U554">
        <v>62</v>
      </c>
      <c r="V554">
        <v>8103</v>
      </c>
      <c r="W554">
        <v>39.799999999999997</v>
      </c>
      <c r="X554">
        <v>2</v>
      </c>
      <c r="Y554">
        <v>7</v>
      </c>
      <c r="Z554">
        <v>11</v>
      </c>
      <c r="AA554">
        <v>1.1000000000000001</v>
      </c>
      <c r="AB554">
        <v>1</v>
      </c>
      <c r="AC554">
        <v>142</v>
      </c>
      <c r="AD554">
        <v>4</v>
      </c>
      <c r="AE554">
        <v>8</v>
      </c>
      <c r="AF554">
        <v>213</v>
      </c>
      <c r="AG554">
        <v>92</v>
      </c>
      <c r="AH554">
        <v>84</v>
      </c>
      <c r="AI554">
        <v>26</v>
      </c>
      <c r="AJ554">
        <v>28</v>
      </c>
      <c r="AK554">
        <v>20</v>
      </c>
      <c r="AL554">
        <v>20</v>
      </c>
      <c r="AM554">
        <v>1</v>
      </c>
      <c r="AN554">
        <v>60</v>
      </c>
      <c r="AO554">
        <v>28</v>
      </c>
      <c r="AP554">
        <v>27</v>
      </c>
      <c r="AQ554">
        <v>46</v>
      </c>
      <c r="AR554">
        <v>3037</v>
      </c>
      <c r="AS554">
        <v>1639</v>
      </c>
      <c r="AT554" t="s">
        <v>13</v>
      </c>
      <c r="AU554">
        <v>0.75</v>
      </c>
      <c r="AV554">
        <v>2017</v>
      </c>
      <c r="AW554" s="1">
        <v>45874</v>
      </c>
      <c r="AX554">
        <v>35.5</v>
      </c>
      <c r="AY554" t="s">
        <v>36</v>
      </c>
      <c r="AZ554" t="s">
        <v>11</v>
      </c>
      <c r="BA554" t="s">
        <v>21</v>
      </c>
      <c r="BB554" t="s">
        <v>13</v>
      </c>
      <c r="BC554" t="s">
        <v>7</v>
      </c>
      <c r="BD554">
        <v>0</v>
      </c>
      <c r="BE554" t="s">
        <v>14</v>
      </c>
      <c r="BF554">
        <v>1.1200000000000001</v>
      </c>
    </row>
    <row r="555" spans="1:58" hidden="1" x14ac:dyDescent="0.2">
      <c r="A555">
        <v>554</v>
      </c>
      <c r="B555" t="s">
        <v>0</v>
      </c>
      <c r="C555">
        <v>31</v>
      </c>
      <c r="D555" t="s">
        <v>124</v>
      </c>
      <c r="E555" t="s">
        <v>17</v>
      </c>
      <c r="F555" t="s">
        <v>40</v>
      </c>
      <c r="G555" t="s">
        <v>116</v>
      </c>
      <c r="H555" t="s">
        <v>24</v>
      </c>
      <c r="I555" t="s">
        <v>114</v>
      </c>
      <c r="J555" t="s">
        <v>32</v>
      </c>
      <c r="K555" t="s">
        <v>7</v>
      </c>
      <c r="L555">
        <v>8.9</v>
      </c>
      <c r="M555">
        <v>6.9</v>
      </c>
      <c r="N555" t="s">
        <v>25</v>
      </c>
      <c r="O555" t="s">
        <v>7</v>
      </c>
      <c r="P555" t="s">
        <v>26</v>
      </c>
      <c r="Q555">
        <v>0</v>
      </c>
      <c r="R555">
        <v>5</v>
      </c>
      <c r="S555">
        <v>18.8</v>
      </c>
      <c r="T555">
        <v>138</v>
      </c>
      <c r="U555">
        <v>77</v>
      </c>
      <c r="V555">
        <v>7905</v>
      </c>
      <c r="W555">
        <v>37.9</v>
      </c>
      <c r="X555">
        <v>3</v>
      </c>
      <c r="Y555">
        <v>3</v>
      </c>
      <c r="Z555">
        <v>9</v>
      </c>
      <c r="AA555">
        <v>4.4000000000000004</v>
      </c>
      <c r="AB555">
        <v>3</v>
      </c>
      <c r="AC555">
        <v>27</v>
      </c>
      <c r="AD555">
        <v>1</v>
      </c>
      <c r="AE555">
        <v>3</v>
      </c>
      <c r="AF555">
        <v>60</v>
      </c>
      <c r="AG555">
        <v>41</v>
      </c>
      <c r="AH555">
        <v>40</v>
      </c>
      <c r="AI555">
        <v>9</v>
      </c>
      <c r="AJ555">
        <v>9</v>
      </c>
      <c r="AK555">
        <v>15</v>
      </c>
      <c r="AL555">
        <v>7</v>
      </c>
      <c r="AM555">
        <v>5</v>
      </c>
      <c r="AN555">
        <v>12</v>
      </c>
      <c r="AO555">
        <v>8</v>
      </c>
      <c r="AP555">
        <v>5</v>
      </c>
      <c r="AQ555">
        <v>10</v>
      </c>
      <c r="AR555">
        <v>614</v>
      </c>
      <c r="AS555">
        <v>391</v>
      </c>
      <c r="AT555" t="s">
        <v>7</v>
      </c>
      <c r="AU555">
        <v>0.93</v>
      </c>
      <c r="AV555">
        <v>2025</v>
      </c>
      <c r="AW555" s="1">
        <v>45740</v>
      </c>
      <c r="AX555">
        <v>27</v>
      </c>
      <c r="AY555" t="s">
        <v>19</v>
      </c>
      <c r="AZ555" t="s">
        <v>20</v>
      </c>
      <c r="BA555" t="s">
        <v>122</v>
      </c>
      <c r="BB555" t="s">
        <v>13</v>
      </c>
      <c r="BC555" t="s">
        <v>7</v>
      </c>
      <c r="BD555">
        <v>2</v>
      </c>
      <c r="BE555" t="s">
        <v>43</v>
      </c>
      <c r="BF555">
        <v>2.39</v>
      </c>
    </row>
    <row r="556" spans="1:58" hidden="1" x14ac:dyDescent="0.2">
      <c r="A556">
        <v>555</v>
      </c>
      <c r="B556" t="s">
        <v>0</v>
      </c>
      <c r="C556">
        <v>44</v>
      </c>
      <c r="D556" t="s">
        <v>1</v>
      </c>
      <c r="E556" t="s">
        <v>127</v>
      </c>
      <c r="F556" t="s">
        <v>3</v>
      </c>
      <c r="G556" t="s">
        <v>38</v>
      </c>
      <c r="H556" t="s">
        <v>23</v>
      </c>
      <c r="I556" t="s">
        <v>115</v>
      </c>
      <c r="J556" t="s">
        <v>123</v>
      </c>
      <c r="K556" t="s">
        <v>13</v>
      </c>
      <c r="L556">
        <v>3.2</v>
      </c>
      <c r="M556">
        <v>7.6</v>
      </c>
      <c r="N556" t="s">
        <v>29</v>
      </c>
      <c r="O556" t="s">
        <v>7</v>
      </c>
      <c r="P556" t="s">
        <v>9</v>
      </c>
      <c r="Q556">
        <v>40</v>
      </c>
      <c r="R556">
        <v>2</v>
      </c>
      <c r="S556">
        <v>30.9</v>
      </c>
      <c r="T556">
        <v>117</v>
      </c>
      <c r="U556">
        <v>80</v>
      </c>
      <c r="V556">
        <v>7887</v>
      </c>
      <c r="W556">
        <v>47.8</v>
      </c>
      <c r="X556">
        <v>9</v>
      </c>
      <c r="Y556">
        <v>6</v>
      </c>
      <c r="Z556">
        <v>7</v>
      </c>
      <c r="AA556">
        <v>3.5</v>
      </c>
      <c r="AB556">
        <v>1</v>
      </c>
      <c r="AC556">
        <v>403</v>
      </c>
      <c r="AD556">
        <v>14</v>
      </c>
      <c r="AE556">
        <v>13</v>
      </c>
      <c r="AF556">
        <v>295</v>
      </c>
      <c r="AG556">
        <v>150</v>
      </c>
      <c r="AH556">
        <v>197</v>
      </c>
      <c r="AI556">
        <v>73</v>
      </c>
      <c r="AJ556">
        <v>65</v>
      </c>
      <c r="AK556">
        <v>64</v>
      </c>
      <c r="AL556">
        <v>34</v>
      </c>
      <c r="AM556">
        <v>8</v>
      </c>
      <c r="AN556">
        <v>176</v>
      </c>
      <c r="AO556">
        <v>55</v>
      </c>
      <c r="AP556">
        <v>99</v>
      </c>
      <c r="AQ556">
        <v>130</v>
      </c>
      <c r="AR556">
        <v>646</v>
      </c>
      <c r="AS556">
        <v>1475</v>
      </c>
      <c r="AT556" t="s">
        <v>13</v>
      </c>
      <c r="AU556">
        <v>0.43</v>
      </c>
      <c r="AV556">
        <v>2011</v>
      </c>
      <c r="AW556" s="1">
        <v>45725</v>
      </c>
      <c r="AX556">
        <v>28.8</v>
      </c>
      <c r="AY556" t="s">
        <v>30</v>
      </c>
      <c r="AZ556" t="s">
        <v>37</v>
      </c>
      <c r="BA556" t="s">
        <v>21</v>
      </c>
      <c r="BB556" t="s">
        <v>13</v>
      </c>
      <c r="BC556" t="s">
        <v>7</v>
      </c>
      <c r="BD556">
        <v>0</v>
      </c>
      <c r="BE556" t="s">
        <v>14</v>
      </c>
      <c r="BF556">
        <v>0.95</v>
      </c>
    </row>
    <row r="557" spans="1:58" hidden="1" x14ac:dyDescent="0.2">
      <c r="A557">
        <v>556</v>
      </c>
      <c r="B557" t="s">
        <v>0</v>
      </c>
      <c r="C557">
        <v>13</v>
      </c>
      <c r="D557" t="s">
        <v>1</v>
      </c>
      <c r="E557" t="s">
        <v>47</v>
      </c>
      <c r="F557" t="s">
        <v>15</v>
      </c>
      <c r="G557" t="s">
        <v>117</v>
      </c>
      <c r="H557" t="s">
        <v>118</v>
      </c>
      <c r="I557" t="s">
        <v>113</v>
      </c>
      <c r="J557" t="s">
        <v>6</v>
      </c>
      <c r="K557" t="s">
        <v>7</v>
      </c>
      <c r="L557">
        <v>0.1</v>
      </c>
      <c r="M557">
        <v>7.1</v>
      </c>
      <c r="N557" t="s">
        <v>25</v>
      </c>
      <c r="O557" t="s">
        <v>7</v>
      </c>
      <c r="P557" t="s">
        <v>26</v>
      </c>
      <c r="Q557">
        <v>20</v>
      </c>
      <c r="R557">
        <v>8</v>
      </c>
      <c r="S557">
        <v>28.5</v>
      </c>
      <c r="T557">
        <v>104</v>
      </c>
      <c r="U557">
        <v>97</v>
      </c>
      <c r="V557">
        <v>7934</v>
      </c>
      <c r="W557">
        <v>25.8</v>
      </c>
      <c r="X557">
        <v>1</v>
      </c>
      <c r="Y557">
        <v>3</v>
      </c>
      <c r="Z557">
        <v>13</v>
      </c>
      <c r="AA557">
        <v>1.2</v>
      </c>
      <c r="AB557">
        <v>1</v>
      </c>
      <c r="AC557">
        <v>71</v>
      </c>
      <c r="AD557">
        <v>6</v>
      </c>
      <c r="AE557">
        <v>7</v>
      </c>
      <c r="AF557">
        <v>155</v>
      </c>
      <c r="AG557">
        <v>54</v>
      </c>
      <c r="AH557">
        <v>57</v>
      </c>
      <c r="AI557">
        <v>19</v>
      </c>
      <c r="AJ557">
        <v>12</v>
      </c>
      <c r="AK557">
        <v>19</v>
      </c>
      <c r="AL557">
        <v>8</v>
      </c>
      <c r="AM557">
        <v>3</v>
      </c>
      <c r="AN557">
        <v>35</v>
      </c>
      <c r="AO557">
        <v>16</v>
      </c>
      <c r="AP557">
        <v>9</v>
      </c>
      <c r="AQ557">
        <v>16</v>
      </c>
      <c r="AR557">
        <v>4238</v>
      </c>
      <c r="AS557">
        <v>2769</v>
      </c>
      <c r="AT557" t="s">
        <v>13</v>
      </c>
      <c r="AU557">
        <v>0.15</v>
      </c>
      <c r="AV557">
        <v>2020</v>
      </c>
      <c r="AW557" s="1">
        <v>45909</v>
      </c>
      <c r="AX557">
        <v>11.8</v>
      </c>
      <c r="AY557" t="s">
        <v>30</v>
      </c>
      <c r="AZ557" t="s">
        <v>35</v>
      </c>
      <c r="BA557" t="s">
        <v>122</v>
      </c>
      <c r="BB557" t="s">
        <v>13</v>
      </c>
      <c r="BC557" t="s">
        <v>7</v>
      </c>
      <c r="BD557">
        <v>2</v>
      </c>
      <c r="BE557" t="s">
        <v>14</v>
      </c>
      <c r="BF557">
        <v>1.61</v>
      </c>
    </row>
    <row r="558" spans="1:58" hidden="1" x14ac:dyDescent="0.2">
      <c r="A558">
        <v>557</v>
      </c>
      <c r="B558" t="s">
        <v>0</v>
      </c>
      <c r="C558">
        <v>17</v>
      </c>
      <c r="D558" t="s">
        <v>124</v>
      </c>
      <c r="E558" t="s">
        <v>17</v>
      </c>
      <c r="F558" t="s">
        <v>15</v>
      </c>
      <c r="G558" t="s">
        <v>16</v>
      </c>
      <c r="H558" t="s">
        <v>118</v>
      </c>
      <c r="I558" t="s">
        <v>113</v>
      </c>
      <c r="J558" t="s">
        <v>6</v>
      </c>
      <c r="K558" t="s">
        <v>7</v>
      </c>
      <c r="L558">
        <v>4.5999999999999996</v>
      </c>
      <c r="M558">
        <v>9</v>
      </c>
      <c r="N558" t="s">
        <v>29</v>
      </c>
      <c r="O558" t="s">
        <v>41</v>
      </c>
      <c r="P558" t="s">
        <v>26</v>
      </c>
      <c r="Q558">
        <v>38</v>
      </c>
      <c r="R558">
        <v>4</v>
      </c>
      <c r="S558">
        <v>20.8</v>
      </c>
      <c r="T558">
        <v>149</v>
      </c>
      <c r="U558">
        <v>70</v>
      </c>
      <c r="V558">
        <v>8091</v>
      </c>
      <c r="W558">
        <v>46.7</v>
      </c>
      <c r="X558">
        <v>4</v>
      </c>
      <c r="Y558">
        <v>1</v>
      </c>
      <c r="Z558">
        <v>11</v>
      </c>
      <c r="AA558">
        <v>0.9</v>
      </c>
      <c r="AB558">
        <v>1</v>
      </c>
      <c r="AC558">
        <v>412</v>
      </c>
      <c r="AD558">
        <v>20</v>
      </c>
      <c r="AE558">
        <v>18</v>
      </c>
      <c r="AF558">
        <v>300</v>
      </c>
      <c r="AG558">
        <v>150</v>
      </c>
      <c r="AH558">
        <v>220</v>
      </c>
      <c r="AI558">
        <v>67</v>
      </c>
      <c r="AJ558">
        <v>65</v>
      </c>
      <c r="AK558">
        <v>47</v>
      </c>
      <c r="AL558">
        <v>30</v>
      </c>
      <c r="AM558">
        <v>6</v>
      </c>
      <c r="AN558">
        <v>176</v>
      </c>
      <c r="AO558">
        <v>90</v>
      </c>
      <c r="AP558">
        <v>96</v>
      </c>
      <c r="AQ558">
        <v>83</v>
      </c>
      <c r="AR558">
        <v>343</v>
      </c>
      <c r="AS558">
        <v>638</v>
      </c>
      <c r="AT558" t="s">
        <v>7</v>
      </c>
      <c r="AU558">
        <v>0.19</v>
      </c>
      <c r="AV558">
        <v>2021</v>
      </c>
      <c r="AW558" s="1">
        <v>45858</v>
      </c>
      <c r="AX558">
        <v>20.6</v>
      </c>
      <c r="AY558" t="s">
        <v>27</v>
      </c>
      <c r="AZ558" t="s">
        <v>37</v>
      </c>
      <c r="BA558" t="s">
        <v>12</v>
      </c>
      <c r="BB558" t="s">
        <v>13</v>
      </c>
      <c r="BC558" t="s">
        <v>7</v>
      </c>
      <c r="BD558">
        <v>2</v>
      </c>
      <c r="BE558" t="s">
        <v>49</v>
      </c>
      <c r="BF558">
        <v>0.99</v>
      </c>
    </row>
    <row r="559" spans="1:58" hidden="1" x14ac:dyDescent="0.2">
      <c r="A559">
        <v>558</v>
      </c>
      <c r="B559" t="s">
        <v>0</v>
      </c>
      <c r="C559">
        <v>57</v>
      </c>
      <c r="D559" t="s">
        <v>28</v>
      </c>
      <c r="E559" t="s">
        <v>2</v>
      </c>
      <c r="F559" t="s">
        <v>15</v>
      </c>
      <c r="G559" t="s">
        <v>16</v>
      </c>
      <c r="H559" t="s">
        <v>118</v>
      </c>
      <c r="I559" t="s">
        <v>115</v>
      </c>
      <c r="J559" t="s">
        <v>123</v>
      </c>
      <c r="K559" t="s">
        <v>7</v>
      </c>
      <c r="L559">
        <v>6.5</v>
      </c>
      <c r="M559">
        <v>6.2</v>
      </c>
      <c r="N559" t="s">
        <v>39</v>
      </c>
      <c r="O559" t="s">
        <v>7</v>
      </c>
      <c r="P559" t="s">
        <v>26</v>
      </c>
      <c r="Q559">
        <v>11</v>
      </c>
      <c r="R559">
        <v>6</v>
      </c>
      <c r="S559">
        <v>28.5</v>
      </c>
      <c r="T559">
        <v>132</v>
      </c>
      <c r="U559">
        <v>70</v>
      </c>
      <c r="V559">
        <v>7944</v>
      </c>
      <c r="W559">
        <v>32.200000000000003</v>
      </c>
      <c r="X559">
        <v>3</v>
      </c>
      <c r="Y559">
        <v>3</v>
      </c>
      <c r="Z559">
        <v>10</v>
      </c>
      <c r="AA559">
        <v>3.3</v>
      </c>
      <c r="AB559">
        <v>3</v>
      </c>
      <c r="AC559">
        <v>87</v>
      </c>
      <c r="AD559">
        <v>6</v>
      </c>
      <c r="AE559">
        <v>0</v>
      </c>
      <c r="AF559">
        <v>99</v>
      </c>
      <c r="AG559">
        <v>62</v>
      </c>
      <c r="AH559">
        <v>70</v>
      </c>
      <c r="AI559">
        <v>16</v>
      </c>
      <c r="AJ559">
        <v>15</v>
      </c>
      <c r="AK559">
        <v>13</v>
      </c>
      <c r="AL559">
        <v>16</v>
      </c>
      <c r="AM559">
        <v>5</v>
      </c>
      <c r="AN559">
        <v>39</v>
      </c>
      <c r="AO559">
        <v>21</v>
      </c>
      <c r="AP559">
        <v>10</v>
      </c>
      <c r="AQ559">
        <v>34</v>
      </c>
      <c r="AR559">
        <v>1897</v>
      </c>
      <c r="AS559">
        <v>1434</v>
      </c>
      <c r="AT559" t="s">
        <v>7</v>
      </c>
      <c r="AU559">
        <v>0.43</v>
      </c>
      <c r="AV559">
        <v>2021</v>
      </c>
      <c r="AW559" s="1">
        <v>45848</v>
      </c>
      <c r="AX559">
        <v>14.5</v>
      </c>
      <c r="AY559" t="s">
        <v>36</v>
      </c>
      <c r="AZ559" t="s">
        <v>17</v>
      </c>
      <c r="BA559" t="s">
        <v>12</v>
      </c>
      <c r="BB559" t="s">
        <v>13</v>
      </c>
      <c r="BC559" t="s">
        <v>7</v>
      </c>
      <c r="BD559">
        <v>2</v>
      </c>
      <c r="BE559" t="s">
        <v>14</v>
      </c>
      <c r="BF559">
        <v>1.1599999999999999</v>
      </c>
    </row>
    <row r="560" spans="1:58" hidden="1" x14ac:dyDescent="0.2">
      <c r="A560">
        <v>559</v>
      </c>
      <c r="B560" t="s">
        <v>0</v>
      </c>
      <c r="C560">
        <v>16</v>
      </c>
      <c r="D560" t="s">
        <v>28</v>
      </c>
      <c r="E560" t="s">
        <v>47</v>
      </c>
      <c r="F560" t="s">
        <v>15</v>
      </c>
      <c r="G560" t="s">
        <v>116</v>
      </c>
      <c r="H560" t="s">
        <v>118</v>
      </c>
      <c r="I560" t="s">
        <v>114</v>
      </c>
      <c r="J560" t="s">
        <v>18</v>
      </c>
      <c r="K560" t="s">
        <v>7</v>
      </c>
      <c r="L560">
        <v>8.6</v>
      </c>
      <c r="M560">
        <v>6.4</v>
      </c>
      <c r="N560" t="s">
        <v>25</v>
      </c>
      <c r="O560" t="s">
        <v>13</v>
      </c>
      <c r="P560" t="s">
        <v>26</v>
      </c>
      <c r="Q560">
        <v>9</v>
      </c>
      <c r="R560">
        <v>7</v>
      </c>
      <c r="S560">
        <v>20.3</v>
      </c>
      <c r="T560">
        <v>148</v>
      </c>
      <c r="U560">
        <v>63</v>
      </c>
      <c r="V560">
        <v>7839</v>
      </c>
      <c r="W560">
        <v>37.799999999999997</v>
      </c>
      <c r="X560">
        <v>3</v>
      </c>
      <c r="Y560">
        <v>7</v>
      </c>
      <c r="Z560">
        <v>10</v>
      </c>
      <c r="AA560">
        <v>2.1</v>
      </c>
      <c r="AB560">
        <v>3</v>
      </c>
      <c r="AC560">
        <v>174</v>
      </c>
      <c r="AD560">
        <v>7</v>
      </c>
      <c r="AE560">
        <v>15</v>
      </c>
      <c r="AF560">
        <v>219</v>
      </c>
      <c r="AG560">
        <v>100</v>
      </c>
      <c r="AH560">
        <v>110</v>
      </c>
      <c r="AI560">
        <v>46</v>
      </c>
      <c r="AJ560">
        <v>20</v>
      </c>
      <c r="AK560">
        <v>33</v>
      </c>
      <c r="AL560">
        <v>13</v>
      </c>
      <c r="AM560">
        <v>3</v>
      </c>
      <c r="AN560">
        <v>71</v>
      </c>
      <c r="AO560">
        <v>30</v>
      </c>
      <c r="AP560">
        <v>27</v>
      </c>
      <c r="AQ560">
        <v>54</v>
      </c>
      <c r="AR560">
        <v>194</v>
      </c>
      <c r="AS560">
        <v>114</v>
      </c>
      <c r="AT560" t="s">
        <v>13</v>
      </c>
      <c r="AU560">
        <v>0.3</v>
      </c>
      <c r="AV560">
        <v>2014</v>
      </c>
      <c r="AW560" s="1">
        <v>45793</v>
      </c>
      <c r="AX560">
        <v>24.9</v>
      </c>
      <c r="AY560" t="s">
        <v>36</v>
      </c>
      <c r="AZ560" t="s">
        <v>48</v>
      </c>
      <c r="BA560" t="s">
        <v>21</v>
      </c>
      <c r="BB560" t="s">
        <v>7</v>
      </c>
      <c r="BC560" t="s">
        <v>7</v>
      </c>
      <c r="BD560">
        <v>2</v>
      </c>
      <c r="BE560" t="s">
        <v>14</v>
      </c>
      <c r="BF560">
        <v>1.41</v>
      </c>
    </row>
    <row r="561" spans="1:58" hidden="1" x14ac:dyDescent="0.2">
      <c r="A561">
        <v>560</v>
      </c>
      <c r="B561" t="s">
        <v>0</v>
      </c>
      <c r="C561">
        <v>28</v>
      </c>
      <c r="D561" t="s">
        <v>28</v>
      </c>
      <c r="E561" t="s">
        <v>50</v>
      </c>
      <c r="F561" t="s">
        <v>15</v>
      </c>
      <c r="G561" t="s">
        <v>116</v>
      </c>
      <c r="H561" t="s">
        <v>24</v>
      </c>
      <c r="I561" t="s">
        <v>114</v>
      </c>
      <c r="J561" t="s">
        <v>32</v>
      </c>
      <c r="K561" t="s">
        <v>7</v>
      </c>
      <c r="L561">
        <v>4.8</v>
      </c>
      <c r="M561">
        <v>7.8</v>
      </c>
      <c r="N561" t="s">
        <v>25</v>
      </c>
      <c r="O561" t="s">
        <v>7</v>
      </c>
      <c r="P561" t="s">
        <v>26</v>
      </c>
      <c r="Q561">
        <v>40</v>
      </c>
      <c r="R561">
        <v>7</v>
      </c>
      <c r="S561">
        <v>24.2</v>
      </c>
      <c r="T561">
        <v>101</v>
      </c>
      <c r="U561">
        <v>84</v>
      </c>
      <c r="V561">
        <v>8045</v>
      </c>
      <c r="W561">
        <v>37.9</v>
      </c>
      <c r="X561">
        <v>2</v>
      </c>
      <c r="Y561">
        <v>3</v>
      </c>
      <c r="Z561">
        <v>9</v>
      </c>
      <c r="AA561">
        <v>2.9</v>
      </c>
      <c r="AB561">
        <v>1</v>
      </c>
      <c r="AC561">
        <v>323</v>
      </c>
      <c r="AD561">
        <v>10</v>
      </c>
      <c r="AE561">
        <v>9</v>
      </c>
      <c r="AF561">
        <v>286</v>
      </c>
      <c r="AG561">
        <v>150</v>
      </c>
      <c r="AH561">
        <v>189</v>
      </c>
      <c r="AI561">
        <v>55</v>
      </c>
      <c r="AJ561">
        <v>47</v>
      </c>
      <c r="AK561">
        <v>47</v>
      </c>
      <c r="AL561">
        <v>33</v>
      </c>
      <c r="AM561">
        <v>6</v>
      </c>
      <c r="AN561">
        <v>129</v>
      </c>
      <c r="AO561">
        <v>62</v>
      </c>
      <c r="AP561">
        <v>65</v>
      </c>
      <c r="AQ561">
        <v>127</v>
      </c>
      <c r="AR561">
        <v>1023</v>
      </c>
      <c r="AS561">
        <v>1065</v>
      </c>
      <c r="AT561" t="s">
        <v>7</v>
      </c>
      <c r="AU561">
        <v>0.33</v>
      </c>
      <c r="AV561">
        <v>2023</v>
      </c>
      <c r="AW561" s="1">
        <v>45835</v>
      </c>
      <c r="AX561">
        <v>32.299999999999997</v>
      </c>
      <c r="AY561" t="s">
        <v>19</v>
      </c>
      <c r="AZ561" t="s">
        <v>11</v>
      </c>
      <c r="BA561" t="s">
        <v>12</v>
      </c>
      <c r="BB561" t="s">
        <v>13</v>
      </c>
      <c r="BC561" t="s">
        <v>7</v>
      </c>
      <c r="BD561">
        <v>1</v>
      </c>
      <c r="BE561" t="s">
        <v>14</v>
      </c>
      <c r="BF561">
        <v>1.01</v>
      </c>
    </row>
    <row r="562" spans="1:58" hidden="1" x14ac:dyDescent="0.2">
      <c r="A562">
        <v>561</v>
      </c>
      <c r="B562" t="s">
        <v>0</v>
      </c>
      <c r="C562">
        <v>36</v>
      </c>
      <c r="D562" t="s">
        <v>1</v>
      </c>
      <c r="E562" t="s">
        <v>50</v>
      </c>
      <c r="F562" t="s">
        <v>15</v>
      </c>
      <c r="G562" t="s">
        <v>16</v>
      </c>
      <c r="H562" t="s">
        <v>118</v>
      </c>
      <c r="I562" t="s">
        <v>112</v>
      </c>
      <c r="J562" t="s">
        <v>6</v>
      </c>
      <c r="K562" t="s">
        <v>7</v>
      </c>
      <c r="L562">
        <v>9.5</v>
      </c>
      <c r="M562">
        <v>5.8</v>
      </c>
      <c r="N562" t="s">
        <v>39</v>
      </c>
      <c r="O562" t="s">
        <v>7</v>
      </c>
      <c r="P562" t="s">
        <v>9</v>
      </c>
      <c r="Q562">
        <v>39</v>
      </c>
      <c r="R562">
        <v>10</v>
      </c>
      <c r="S562">
        <v>21.3</v>
      </c>
      <c r="T562">
        <v>101</v>
      </c>
      <c r="U562">
        <v>77</v>
      </c>
      <c r="V562">
        <v>8077</v>
      </c>
      <c r="W562">
        <v>33.9</v>
      </c>
      <c r="X562">
        <v>5</v>
      </c>
      <c r="Y562">
        <v>1</v>
      </c>
      <c r="Z562">
        <v>6</v>
      </c>
      <c r="AA562">
        <v>4.9000000000000004</v>
      </c>
      <c r="AB562">
        <v>3</v>
      </c>
      <c r="AC562">
        <v>354</v>
      </c>
      <c r="AD562">
        <v>39</v>
      </c>
      <c r="AE562">
        <v>9</v>
      </c>
      <c r="AF562">
        <v>262</v>
      </c>
      <c r="AG562">
        <v>150</v>
      </c>
      <c r="AH562">
        <v>222</v>
      </c>
      <c r="AI562">
        <v>60</v>
      </c>
      <c r="AJ562">
        <v>41</v>
      </c>
      <c r="AK562">
        <v>51</v>
      </c>
      <c r="AL562">
        <v>32</v>
      </c>
      <c r="AM562">
        <v>11</v>
      </c>
      <c r="AN562">
        <v>160</v>
      </c>
      <c r="AO562">
        <v>101</v>
      </c>
      <c r="AP562">
        <v>42</v>
      </c>
      <c r="AQ562">
        <v>128</v>
      </c>
      <c r="AR562">
        <v>799</v>
      </c>
      <c r="AS562">
        <v>818</v>
      </c>
      <c r="AT562" t="s">
        <v>7</v>
      </c>
      <c r="AU562">
        <v>0.47</v>
      </c>
      <c r="AV562">
        <v>2017</v>
      </c>
      <c r="AW562" s="1">
        <v>45894</v>
      </c>
      <c r="AX562">
        <v>9.1</v>
      </c>
      <c r="AY562" t="s">
        <v>30</v>
      </c>
      <c r="AZ562" t="s">
        <v>35</v>
      </c>
      <c r="BA562" t="s">
        <v>12</v>
      </c>
      <c r="BB562" t="s">
        <v>13</v>
      </c>
      <c r="BC562" t="s">
        <v>7</v>
      </c>
      <c r="BD562">
        <v>2</v>
      </c>
      <c r="BE562" t="s">
        <v>14</v>
      </c>
      <c r="BF562">
        <v>1.04</v>
      </c>
    </row>
    <row r="563" spans="1:58" hidden="1" x14ac:dyDescent="0.2">
      <c r="A563">
        <v>562</v>
      </c>
      <c r="B563" t="s">
        <v>0</v>
      </c>
      <c r="C563">
        <v>28</v>
      </c>
      <c r="D563" t="s">
        <v>28</v>
      </c>
      <c r="E563" t="s">
        <v>47</v>
      </c>
      <c r="F563" t="s">
        <v>15</v>
      </c>
      <c r="G563" t="s">
        <v>116</v>
      </c>
      <c r="H563" t="s">
        <v>119</v>
      </c>
      <c r="I563" t="s">
        <v>114</v>
      </c>
      <c r="J563" t="s">
        <v>18</v>
      </c>
      <c r="K563" t="s">
        <v>13</v>
      </c>
      <c r="L563">
        <v>3.9</v>
      </c>
      <c r="M563">
        <v>9.1</v>
      </c>
      <c r="N563" t="s">
        <v>8</v>
      </c>
      <c r="O563" t="s">
        <v>7</v>
      </c>
      <c r="P563" t="s">
        <v>26</v>
      </c>
      <c r="Q563">
        <v>33</v>
      </c>
      <c r="R563">
        <v>9</v>
      </c>
      <c r="S563">
        <v>20.9</v>
      </c>
      <c r="T563">
        <v>117</v>
      </c>
      <c r="U563">
        <v>90</v>
      </c>
      <c r="V563">
        <v>7974</v>
      </c>
      <c r="W563">
        <v>30.1</v>
      </c>
      <c r="X563">
        <v>3</v>
      </c>
      <c r="Y563">
        <v>1</v>
      </c>
      <c r="Z563">
        <v>7</v>
      </c>
      <c r="AA563">
        <v>3.8</v>
      </c>
      <c r="AB563">
        <v>1</v>
      </c>
      <c r="AC563">
        <v>273</v>
      </c>
      <c r="AD563">
        <v>11</v>
      </c>
      <c r="AE563">
        <v>7</v>
      </c>
      <c r="AF563">
        <v>267</v>
      </c>
      <c r="AG563">
        <v>150</v>
      </c>
      <c r="AH563">
        <v>158</v>
      </c>
      <c r="AI563">
        <v>43</v>
      </c>
      <c r="AJ563">
        <v>30</v>
      </c>
      <c r="AK563">
        <v>56</v>
      </c>
      <c r="AL563">
        <v>22</v>
      </c>
      <c r="AM563">
        <v>7</v>
      </c>
      <c r="AN563">
        <v>162</v>
      </c>
      <c r="AO563">
        <v>52</v>
      </c>
      <c r="AP563">
        <v>37</v>
      </c>
      <c r="AQ563">
        <v>64</v>
      </c>
      <c r="AR563">
        <v>1076</v>
      </c>
      <c r="AS563">
        <v>2264</v>
      </c>
      <c r="AT563" t="s">
        <v>7</v>
      </c>
      <c r="AU563">
        <v>0.33</v>
      </c>
      <c r="AV563">
        <v>2013</v>
      </c>
      <c r="AW563" s="1">
        <v>45714</v>
      </c>
      <c r="AX563">
        <v>24.8</v>
      </c>
      <c r="AY563" t="s">
        <v>19</v>
      </c>
      <c r="AZ563" t="s">
        <v>31</v>
      </c>
      <c r="BA563" t="s">
        <v>21</v>
      </c>
      <c r="BB563" t="s">
        <v>7</v>
      </c>
      <c r="BC563" t="s">
        <v>7</v>
      </c>
      <c r="BD563">
        <v>4</v>
      </c>
      <c r="BE563" t="s">
        <v>14</v>
      </c>
      <c r="BF563">
        <v>0.97</v>
      </c>
    </row>
    <row r="564" spans="1:58" hidden="1" x14ac:dyDescent="0.2">
      <c r="A564">
        <v>563</v>
      </c>
      <c r="B564" t="s">
        <v>0</v>
      </c>
      <c r="C564">
        <v>14</v>
      </c>
      <c r="D564" t="s">
        <v>1</v>
      </c>
      <c r="E564" t="s">
        <v>17</v>
      </c>
      <c r="F564" t="s">
        <v>15</v>
      </c>
      <c r="G564" t="s">
        <v>16</v>
      </c>
      <c r="H564" t="s">
        <v>118</v>
      </c>
      <c r="I564" t="s">
        <v>115</v>
      </c>
      <c r="J564" t="s">
        <v>6</v>
      </c>
      <c r="K564" t="s">
        <v>13</v>
      </c>
      <c r="L564">
        <v>17.8</v>
      </c>
      <c r="M564">
        <v>7.1</v>
      </c>
      <c r="N564" t="s">
        <v>8</v>
      </c>
      <c r="O564" t="s">
        <v>41</v>
      </c>
      <c r="P564" t="s">
        <v>9</v>
      </c>
      <c r="Q564">
        <v>31</v>
      </c>
      <c r="R564">
        <v>7</v>
      </c>
      <c r="S564">
        <v>22.2</v>
      </c>
      <c r="T564">
        <v>119</v>
      </c>
      <c r="U564">
        <v>95</v>
      </c>
      <c r="V564">
        <v>7829</v>
      </c>
      <c r="W564">
        <v>35.700000000000003</v>
      </c>
      <c r="X564">
        <v>3</v>
      </c>
      <c r="Y564">
        <v>6</v>
      </c>
      <c r="Z564">
        <v>6</v>
      </c>
      <c r="AA564">
        <v>3</v>
      </c>
      <c r="AB564">
        <v>4</v>
      </c>
      <c r="AC564">
        <v>292</v>
      </c>
      <c r="AD564">
        <v>13</v>
      </c>
      <c r="AE564">
        <v>11</v>
      </c>
      <c r="AF564">
        <v>300</v>
      </c>
      <c r="AG564">
        <v>143</v>
      </c>
      <c r="AH564">
        <v>172</v>
      </c>
      <c r="AI564">
        <v>50</v>
      </c>
      <c r="AJ564">
        <v>44</v>
      </c>
      <c r="AK564">
        <v>50</v>
      </c>
      <c r="AL564">
        <v>27</v>
      </c>
      <c r="AM564">
        <v>13</v>
      </c>
      <c r="AN564">
        <v>122</v>
      </c>
      <c r="AO564">
        <v>77</v>
      </c>
      <c r="AP564">
        <v>37</v>
      </c>
      <c r="AQ564">
        <v>94</v>
      </c>
      <c r="AR564">
        <v>3790</v>
      </c>
      <c r="AS564">
        <v>7399</v>
      </c>
      <c r="AT564" t="s">
        <v>13</v>
      </c>
      <c r="AU564">
        <v>0.04</v>
      </c>
      <c r="AV564">
        <v>2020</v>
      </c>
      <c r="AW564" s="1">
        <v>45976</v>
      </c>
      <c r="AX564">
        <v>22.5</v>
      </c>
      <c r="AY564" t="s">
        <v>30</v>
      </c>
      <c r="AZ564" t="s">
        <v>37</v>
      </c>
      <c r="BA564" t="s">
        <v>122</v>
      </c>
      <c r="BB564" t="s">
        <v>13</v>
      </c>
      <c r="BC564" t="s">
        <v>13</v>
      </c>
      <c r="BD564">
        <v>1</v>
      </c>
      <c r="BE564" t="s">
        <v>14</v>
      </c>
      <c r="BF564">
        <v>1.04</v>
      </c>
    </row>
    <row r="565" spans="1:58" hidden="1" x14ac:dyDescent="0.2">
      <c r="A565">
        <v>564</v>
      </c>
      <c r="B565" t="s">
        <v>0</v>
      </c>
      <c r="C565">
        <v>61</v>
      </c>
      <c r="D565" t="s">
        <v>1</v>
      </c>
      <c r="E565" t="s">
        <v>22</v>
      </c>
      <c r="F565" t="s">
        <v>15</v>
      </c>
      <c r="G565" t="s">
        <v>38</v>
      </c>
      <c r="H565" t="s">
        <v>118</v>
      </c>
      <c r="I565" t="s">
        <v>115</v>
      </c>
      <c r="J565" t="s">
        <v>32</v>
      </c>
      <c r="K565" t="s">
        <v>13</v>
      </c>
      <c r="L565">
        <v>8.4</v>
      </c>
      <c r="M565">
        <v>6.2</v>
      </c>
      <c r="N565" t="s">
        <v>29</v>
      </c>
      <c r="O565" t="s">
        <v>7</v>
      </c>
      <c r="P565" t="s">
        <v>9</v>
      </c>
      <c r="Q565">
        <v>24</v>
      </c>
      <c r="R565">
        <v>9</v>
      </c>
      <c r="S565">
        <v>23</v>
      </c>
      <c r="T565">
        <v>123</v>
      </c>
      <c r="U565">
        <v>89</v>
      </c>
      <c r="V565">
        <v>7990</v>
      </c>
      <c r="W565">
        <v>53.2</v>
      </c>
      <c r="X565">
        <v>0</v>
      </c>
      <c r="Y565">
        <v>5</v>
      </c>
      <c r="Z565">
        <v>11</v>
      </c>
      <c r="AA565">
        <v>3.8</v>
      </c>
      <c r="AB565">
        <v>2</v>
      </c>
      <c r="AC565">
        <v>114</v>
      </c>
      <c r="AD565">
        <v>4</v>
      </c>
      <c r="AE565">
        <v>6</v>
      </c>
      <c r="AF565">
        <v>104</v>
      </c>
      <c r="AG565">
        <v>69</v>
      </c>
      <c r="AH565">
        <v>83</v>
      </c>
      <c r="AI565">
        <v>20</v>
      </c>
      <c r="AJ565">
        <v>17</v>
      </c>
      <c r="AK565">
        <v>22</v>
      </c>
      <c r="AL565">
        <v>8</v>
      </c>
      <c r="AM565">
        <v>4</v>
      </c>
      <c r="AN565">
        <v>66</v>
      </c>
      <c r="AO565">
        <v>26</v>
      </c>
      <c r="AP565">
        <v>19</v>
      </c>
      <c r="AQ565">
        <v>24</v>
      </c>
      <c r="AR565">
        <v>1092</v>
      </c>
      <c r="AS565">
        <v>1174</v>
      </c>
      <c r="AT565" t="s">
        <v>13</v>
      </c>
      <c r="AU565">
        <v>0.5</v>
      </c>
      <c r="AV565">
        <v>2023</v>
      </c>
      <c r="AW565" s="1">
        <v>45873</v>
      </c>
      <c r="AX565">
        <v>28.5</v>
      </c>
      <c r="AY565" t="s">
        <v>30</v>
      </c>
      <c r="AZ565" t="s">
        <v>48</v>
      </c>
      <c r="BA565" t="s">
        <v>12</v>
      </c>
      <c r="BB565" t="s">
        <v>13</v>
      </c>
      <c r="BC565" t="s">
        <v>7</v>
      </c>
      <c r="BD565">
        <v>1</v>
      </c>
      <c r="BE565" t="s">
        <v>14</v>
      </c>
      <c r="BF565">
        <v>1.23</v>
      </c>
    </row>
    <row r="566" spans="1:58" hidden="1" x14ac:dyDescent="0.2">
      <c r="A566">
        <v>565</v>
      </c>
      <c r="B566" t="s">
        <v>0</v>
      </c>
      <c r="C566">
        <v>40</v>
      </c>
      <c r="D566" t="s">
        <v>1</v>
      </c>
      <c r="E566" t="s">
        <v>128</v>
      </c>
      <c r="F566" t="s">
        <v>15</v>
      </c>
      <c r="G566" t="s">
        <v>117</v>
      </c>
      <c r="H566" t="s">
        <v>23</v>
      </c>
      <c r="I566" t="s">
        <v>114</v>
      </c>
      <c r="J566" t="s">
        <v>123</v>
      </c>
      <c r="K566" t="s">
        <v>13</v>
      </c>
      <c r="L566">
        <v>10.9</v>
      </c>
      <c r="M566">
        <v>6.1</v>
      </c>
      <c r="N566" t="s">
        <v>39</v>
      </c>
      <c r="O566" t="s">
        <v>7</v>
      </c>
      <c r="P566" t="s">
        <v>9</v>
      </c>
      <c r="Q566">
        <v>23</v>
      </c>
      <c r="R566">
        <v>9</v>
      </c>
      <c r="S566">
        <v>23.5</v>
      </c>
      <c r="T566">
        <v>112</v>
      </c>
      <c r="U566">
        <v>78</v>
      </c>
      <c r="V566">
        <v>7979</v>
      </c>
      <c r="W566">
        <v>45.2</v>
      </c>
      <c r="X566">
        <v>5</v>
      </c>
      <c r="Y566">
        <v>1</v>
      </c>
      <c r="Z566">
        <v>3</v>
      </c>
      <c r="AA566">
        <v>8</v>
      </c>
      <c r="AB566">
        <v>3</v>
      </c>
      <c r="AC566">
        <v>185</v>
      </c>
      <c r="AD566">
        <v>15</v>
      </c>
      <c r="AE566">
        <v>1</v>
      </c>
      <c r="AF566">
        <v>145</v>
      </c>
      <c r="AG566">
        <v>114</v>
      </c>
      <c r="AH566">
        <v>106</v>
      </c>
      <c r="AI566">
        <v>30</v>
      </c>
      <c r="AJ566">
        <v>33</v>
      </c>
      <c r="AK566">
        <v>27</v>
      </c>
      <c r="AL566">
        <v>24</v>
      </c>
      <c r="AM566">
        <v>6</v>
      </c>
      <c r="AN566">
        <v>87</v>
      </c>
      <c r="AO566">
        <v>35</v>
      </c>
      <c r="AP566">
        <v>28</v>
      </c>
      <c r="AQ566">
        <v>59</v>
      </c>
      <c r="AR566">
        <v>440</v>
      </c>
      <c r="AS566">
        <v>534</v>
      </c>
      <c r="AT566" t="s">
        <v>7</v>
      </c>
      <c r="AU566">
        <v>0.88</v>
      </c>
      <c r="AV566">
        <v>2019</v>
      </c>
      <c r="AW566" s="1">
        <v>45701</v>
      </c>
      <c r="AX566">
        <v>12.3</v>
      </c>
      <c r="AY566" t="s">
        <v>10</v>
      </c>
      <c r="AZ566" t="s">
        <v>35</v>
      </c>
      <c r="BA566" t="s">
        <v>21</v>
      </c>
      <c r="BB566" t="s">
        <v>13</v>
      </c>
      <c r="BC566" t="s">
        <v>7</v>
      </c>
      <c r="BD566">
        <v>1</v>
      </c>
      <c r="BE566" t="s">
        <v>14</v>
      </c>
      <c r="BF566">
        <v>0.91</v>
      </c>
    </row>
    <row r="567" spans="1:58" hidden="1" x14ac:dyDescent="0.2">
      <c r="A567">
        <v>566</v>
      </c>
      <c r="B567" t="s">
        <v>0</v>
      </c>
      <c r="C567">
        <v>44</v>
      </c>
      <c r="D567" t="s">
        <v>1</v>
      </c>
      <c r="E567" t="s">
        <v>2</v>
      </c>
      <c r="F567" t="s">
        <v>40</v>
      </c>
      <c r="G567" t="s">
        <v>116</v>
      </c>
      <c r="H567" t="s">
        <v>118</v>
      </c>
      <c r="I567" t="s">
        <v>113</v>
      </c>
      <c r="J567" t="s">
        <v>6</v>
      </c>
      <c r="K567" t="s">
        <v>7</v>
      </c>
      <c r="L567">
        <v>4.7</v>
      </c>
      <c r="M567">
        <v>6.1</v>
      </c>
      <c r="N567" t="s">
        <v>25</v>
      </c>
      <c r="O567" t="s">
        <v>13</v>
      </c>
      <c r="P567" t="s">
        <v>26</v>
      </c>
      <c r="Q567">
        <v>36</v>
      </c>
      <c r="R567">
        <v>7</v>
      </c>
      <c r="S567">
        <v>25.3</v>
      </c>
      <c r="T567">
        <v>143</v>
      </c>
      <c r="U567">
        <v>88</v>
      </c>
      <c r="V567">
        <v>7842</v>
      </c>
      <c r="W567">
        <v>41.1</v>
      </c>
      <c r="X567">
        <v>0</v>
      </c>
      <c r="Y567">
        <v>5</v>
      </c>
      <c r="Z567">
        <v>10</v>
      </c>
      <c r="AA567">
        <v>4.5</v>
      </c>
      <c r="AB567">
        <v>5</v>
      </c>
      <c r="AC567">
        <v>257</v>
      </c>
      <c r="AD567">
        <v>16</v>
      </c>
      <c r="AE567">
        <v>2</v>
      </c>
      <c r="AF567">
        <v>199</v>
      </c>
      <c r="AG567">
        <v>128</v>
      </c>
      <c r="AH567">
        <v>152</v>
      </c>
      <c r="AI567">
        <v>47</v>
      </c>
      <c r="AJ567">
        <v>42</v>
      </c>
      <c r="AK567">
        <v>56</v>
      </c>
      <c r="AL567">
        <v>28</v>
      </c>
      <c r="AM567">
        <v>14</v>
      </c>
      <c r="AN567">
        <v>106</v>
      </c>
      <c r="AO567">
        <v>38</v>
      </c>
      <c r="AP567">
        <v>44</v>
      </c>
      <c r="AQ567">
        <v>102</v>
      </c>
      <c r="AR567">
        <v>822</v>
      </c>
      <c r="AS567">
        <v>1367</v>
      </c>
      <c r="AT567" t="s">
        <v>7</v>
      </c>
      <c r="AU567">
        <v>0.49</v>
      </c>
      <c r="AV567">
        <v>2014</v>
      </c>
      <c r="AW567" s="1">
        <v>45821</v>
      </c>
      <c r="AX567">
        <v>16.100000000000001</v>
      </c>
      <c r="AY567" t="s">
        <v>30</v>
      </c>
      <c r="AZ567" t="s">
        <v>37</v>
      </c>
      <c r="BA567" t="s">
        <v>122</v>
      </c>
      <c r="BB567" t="s">
        <v>7</v>
      </c>
      <c r="BC567" t="s">
        <v>7</v>
      </c>
      <c r="BD567">
        <v>2</v>
      </c>
      <c r="BE567" t="s">
        <v>14</v>
      </c>
      <c r="BF567">
        <v>0.98</v>
      </c>
    </row>
    <row r="568" spans="1:58" hidden="1" x14ac:dyDescent="0.2">
      <c r="A568">
        <v>567</v>
      </c>
      <c r="B568" t="s">
        <v>0</v>
      </c>
      <c r="C568">
        <v>39</v>
      </c>
      <c r="D568" t="s">
        <v>1</v>
      </c>
      <c r="E568" t="s">
        <v>128</v>
      </c>
      <c r="F568" t="s">
        <v>15</v>
      </c>
      <c r="G568" t="s">
        <v>4</v>
      </c>
      <c r="H568" t="s">
        <v>34</v>
      </c>
      <c r="I568" t="s">
        <v>112</v>
      </c>
      <c r="J568" t="s">
        <v>123</v>
      </c>
      <c r="K568" t="s">
        <v>13</v>
      </c>
      <c r="L568">
        <v>4.9000000000000004</v>
      </c>
      <c r="M568">
        <v>6.4</v>
      </c>
      <c r="N568" t="s">
        <v>39</v>
      </c>
      <c r="O568" t="s">
        <v>7</v>
      </c>
      <c r="P568" t="s">
        <v>9</v>
      </c>
      <c r="Q568">
        <v>10</v>
      </c>
      <c r="R568">
        <v>2</v>
      </c>
      <c r="S568">
        <v>21.6</v>
      </c>
      <c r="T568">
        <v>99</v>
      </c>
      <c r="U568">
        <v>66</v>
      </c>
      <c r="V568">
        <v>7966</v>
      </c>
      <c r="W568">
        <v>18.600000000000001</v>
      </c>
      <c r="X568">
        <v>5</v>
      </c>
      <c r="Y568">
        <v>6</v>
      </c>
      <c r="Z568">
        <v>12</v>
      </c>
      <c r="AA568">
        <v>4.2</v>
      </c>
      <c r="AB568">
        <v>4</v>
      </c>
      <c r="AC568">
        <v>173</v>
      </c>
      <c r="AD568">
        <v>17</v>
      </c>
      <c r="AE568">
        <v>3</v>
      </c>
      <c r="AF568">
        <v>152</v>
      </c>
      <c r="AG568">
        <v>100</v>
      </c>
      <c r="AH568">
        <v>124</v>
      </c>
      <c r="AI568">
        <v>29</v>
      </c>
      <c r="AJ568">
        <v>22</v>
      </c>
      <c r="AK568">
        <v>15</v>
      </c>
      <c r="AL568">
        <v>15</v>
      </c>
      <c r="AM568">
        <v>7</v>
      </c>
      <c r="AN568">
        <v>96</v>
      </c>
      <c r="AO568">
        <v>48</v>
      </c>
      <c r="AP568">
        <v>35</v>
      </c>
      <c r="AQ568">
        <v>60</v>
      </c>
      <c r="AR568">
        <v>1809</v>
      </c>
      <c r="AS568">
        <v>4291</v>
      </c>
      <c r="AT568" t="s">
        <v>13</v>
      </c>
      <c r="AU568">
        <v>0.94</v>
      </c>
      <c r="AV568">
        <v>2017</v>
      </c>
      <c r="AW568" s="1">
        <v>45909</v>
      </c>
      <c r="AX568">
        <v>10.199999999999999</v>
      </c>
      <c r="AY568" t="s">
        <v>27</v>
      </c>
      <c r="AZ568" t="s">
        <v>20</v>
      </c>
      <c r="BA568" t="s">
        <v>122</v>
      </c>
      <c r="BB568" t="s">
        <v>7</v>
      </c>
      <c r="BC568" t="s">
        <v>7</v>
      </c>
      <c r="BD568">
        <v>1</v>
      </c>
      <c r="BE568" t="s">
        <v>14</v>
      </c>
      <c r="BF568">
        <v>1.1000000000000001</v>
      </c>
    </row>
    <row r="569" spans="1:58" hidden="1" x14ac:dyDescent="0.2">
      <c r="A569">
        <v>568</v>
      </c>
      <c r="B569" t="s">
        <v>0</v>
      </c>
      <c r="C569">
        <v>32</v>
      </c>
      <c r="D569" t="s">
        <v>124</v>
      </c>
      <c r="E569" t="s">
        <v>33</v>
      </c>
      <c r="F569" t="s">
        <v>15</v>
      </c>
      <c r="G569" t="s">
        <v>116</v>
      </c>
      <c r="H569" t="s">
        <v>118</v>
      </c>
      <c r="I569" t="s">
        <v>112</v>
      </c>
      <c r="J569" t="s">
        <v>6</v>
      </c>
      <c r="K569" t="s">
        <v>13</v>
      </c>
      <c r="L569">
        <v>6.3</v>
      </c>
      <c r="M569">
        <v>6.3</v>
      </c>
      <c r="N569" t="s">
        <v>39</v>
      </c>
      <c r="O569" t="s">
        <v>7</v>
      </c>
      <c r="P569" t="s">
        <v>52</v>
      </c>
      <c r="Q569">
        <v>21</v>
      </c>
      <c r="R569">
        <v>9</v>
      </c>
      <c r="S569">
        <v>22.8</v>
      </c>
      <c r="T569">
        <v>102</v>
      </c>
      <c r="U569">
        <v>66</v>
      </c>
      <c r="V569">
        <v>8018</v>
      </c>
      <c r="W569">
        <v>47.5</v>
      </c>
      <c r="X569">
        <v>1</v>
      </c>
      <c r="Y569">
        <v>4</v>
      </c>
      <c r="Z569">
        <v>16</v>
      </c>
      <c r="AA569">
        <v>1</v>
      </c>
      <c r="AB569">
        <v>5</v>
      </c>
      <c r="AC569">
        <v>123</v>
      </c>
      <c r="AD569">
        <v>10</v>
      </c>
      <c r="AE569">
        <v>1</v>
      </c>
      <c r="AF569">
        <v>110</v>
      </c>
      <c r="AG569">
        <v>75</v>
      </c>
      <c r="AH569">
        <v>75</v>
      </c>
      <c r="AI569">
        <v>25</v>
      </c>
      <c r="AJ569">
        <v>16</v>
      </c>
      <c r="AK569">
        <v>28</v>
      </c>
      <c r="AL569">
        <v>13</v>
      </c>
      <c r="AM569">
        <v>5</v>
      </c>
      <c r="AN569">
        <v>50</v>
      </c>
      <c r="AO569">
        <v>27</v>
      </c>
      <c r="AP569">
        <v>17</v>
      </c>
      <c r="AQ569">
        <v>36</v>
      </c>
      <c r="AR569">
        <v>2056</v>
      </c>
      <c r="AS569">
        <v>2546</v>
      </c>
      <c r="AT569" t="s">
        <v>13</v>
      </c>
      <c r="AU569">
        <v>0.03</v>
      </c>
      <c r="AV569">
        <v>2014</v>
      </c>
      <c r="AW569" s="1">
        <v>45689</v>
      </c>
      <c r="AX569">
        <v>12.3</v>
      </c>
      <c r="AY569" t="s">
        <v>45</v>
      </c>
      <c r="AZ569" t="s">
        <v>17</v>
      </c>
      <c r="BA569" t="s">
        <v>122</v>
      </c>
      <c r="BB569" t="s">
        <v>7</v>
      </c>
      <c r="BC569" t="s">
        <v>7</v>
      </c>
      <c r="BD569">
        <v>2</v>
      </c>
      <c r="BE569" t="s">
        <v>43</v>
      </c>
      <c r="BF569">
        <v>1.03</v>
      </c>
    </row>
    <row r="570" spans="1:58" hidden="1" x14ac:dyDescent="0.2">
      <c r="A570">
        <v>569</v>
      </c>
      <c r="B570" t="s">
        <v>0</v>
      </c>
      <c r="C570">
        <v>36</v>
      </c>
      <c r="D570" t="s">
        <v>1</v>
      </c>
      <c r="E570" t="s">
        <v>128</v>
      </c>
      <c r="F570" t="s">
        <v>15</v>
      </c>
      <c r="G570" t="s">
        <v>16</v>
      </c>
      <c r="H570" t="s">
        <v>5</v>
      </c>
      <c r="I570" t="s">
        <v>114</v>
      </c>
      <c r="J570" t="s">
        <v>6</v>
      </c>
      <c r="K570" t="s">
        <v>7</v>
      </c>
      <c r="L570">
        <v>12.4</v>
      </c>
      <c r="M570">
        <v>5.7</v>
      </c>
      <c r="N570" t="s">
        <v>39</v>
      </c>
      <c r="O570" t="s">
        <v>7</v>
      </c>
      <c r="P570" t="s">
        <v>26</v>
      </c>
      <c r="Q570">
        <v>22</v>
      </c>
      <c r="R570">
        <v>7</v>
      </c>
      <c r="S570">
        <v>29</v>
      </c>
      <c r="T570">
        <v>91</v>
      </c>
      <c r="U570">
        <v>60</v>
      </c>
      <c r="V570">
        <v>8036</v>
      </c>
      <c r="W570">
        <v>49.2</v>
      </c>
      <c r="X570">
        <v>2</v>
      </c>
      <c r="Y570">
        <v>6</v>
      </c>
      <c r="Z570">
        <v>11</v>
      </c>
      <c r="AA570">
        <v>2.5</v>
      </c>
      <c r="AB570">
        <v>2</v>
      </c>
      <c r="AC570">
        <v>209</v>
      </c>
      <c r="AD570">
        <v>6</v>
      </c>
      <c r="AE570">
        <v>11</v>
      </c>
      <c r="AF570">
        <v>169</v>
      </c>
      <c r="AG570">
        <v>129</v>
      </c>
      <c r="AH570">
        <v>115</v>
      </c>
      <c r="AI570">
        <v>39</v>
      </c>
      <c r="AJ570">
        <v>34</v>
      </c>
      <c r="AK570">
        <v>34</v>
      </c>
      <c r="AL570">
        <v>16</v>
      </c>
      <c r="AM570">
        <v>7</v>
      </c>
      <c r="AN570">
        <v>108</v>
      </c>
      <c r="AO570">
        <v>53</v>
      </c>
      <c r="AP570">
        <v>26</v>
      </c>
      <c r="AQ570">
        <v>75</v>
      </c>
      <c r="AR570">
        <v>4610</v>
      </c>
      <c r="AS570">
        <v>5885</v>
      </c>
      <c r="AT570" t="s">
        <v>7</v>
      </c>
      <c r="AU570">
        <v>0</v>
      </c>
      <c r="AV570">
        <v>2019</v>
      </c>
      <c r="AW570" s="1">
        <v>45660</v>
      </c>
      <c r="AX570">
        <v>34.799999999999997</v>
      </c>
      <c r="AY570" t="s">
        <v>10</v>
      </c>
      <c r="AZ570" t="s">
        <v>48</v>
      </c>
      <c r="BA570" t="s">
        <v>21</v>
      </c>
      <c r="BB570" t="s">
        <v>13</v>
      </c>
      <c r="BC570" t="s">
        <v>13</v>
      </c>
      <c r="BD570">
        <v>0</v>
      </c>
      <c r="BE570" t="s">
        <v>14</v>
      </c>
      <c r="BF570">
        <v>1.08</v>
      </c>
    </row>
    <row r="571" spans="1:58" hidden="1" x14ac:dyDescent="0.2">
      <c r="A571">
        <v>570</v>
      </c>
      <c r="B571" t="s">
        <v>0</v>
      </c>
      <c r="C571">
        <v>24</v>
      </c>
      <c r="D571" t="s">
        <v>1</v>
      </c>
      <c r="E571" t="s">
        <v>128</v>
      </c>
      <c r="F571" t="s">
        <v>3</v>
      </c>
      <c r="G571" t="s">
        <v>38</v>
      </c>
      <c r="H571" t="s">
        <v>119</v>
      </c>
      <c r="I571" t="s">
        <v>114</v>
      </c>
      <c r="J571" t="s">
        <v>32</v>
      </c>
      <c r="K571" t="s">
        <v>7</v>
      </c>
      <c r="L571">
        <v>9</v>
      </c>
      <c r="M571">
        <v>8</v>
      </c>
      <c r="N571" t="s">
        <v>29</v>
      </c>
      <c r="O571" t="s">
        <v>7</v>
      </c>
      <c r="P571" t="s">
        <v>52</v>
      </c>
      <c r="Q571">
        <v>37</v>
      </c>
      <c r="R571">
        <v>8</v>
      </c>
      <c r="S571">
        <v>25.3</v>
      </c>
      <c r="T571">
        <v>155</v>
      </c>
      <c r="U571">
        <v>94</v>
      </c>
      <c r="V571">
        <v>8004</v>
      </c>
      <c r="W571">
        <v>50.2</v>
      </c>
      <c r="X571">
        <v>2</v>
      </c>
      <c r="Y571">
        <v>4</v>
      </c>
      <c r="Z571">
        <v>4</v>
      </c>
      <c r="AA571">
        <v>3.7</v>
      </c>
      <c r="AB571">
        <v>3</v>
      </c>
      <c r="AC571">
        <v>313</v>
      </c>
      <c r="AD571">
        <v>15</v>
      </c>
      <c r="AE571">
        <v>11</v>
      </c>
      <c r="AF571">
        <v>300</v>
      </c>
      <c r="AG571">
        <v>150</v>
      </c>
      <c r="AH571">
        <v>197</v>
      </c>
      <c r="AI571">
        <v>68</v>
      </c>
      <c r="AJ571">
        <v>30</v>
      </c>
      <c r="AK571">
        <v>48</v>
      </c>
      <c r="AL571">
        <v>28</v>
      </c>
      <c r="AM571">
        <v>7</v>
      </c>
      <c r="AN571">
        <v>126</v>
      </c>
      <c r="AO571">
        <v>46</v>
      </c>
      <c r="AP571">
        <v>55</v>
      </c>
      <c r="AQ571">
        <v>72</v>
      </c>
      <c r="AR571">
        <v>3070</v>
      </c>
      <c r="AS571">
        <v>1996</v>
      </c>
      <c r="AT571" t="s">
        <v>7</v>
      </c>
      <c r="AU571">
        <v>0.23</v>
      </c>
      <c r="AV571">
        <v>2014</v>
      </c>
      <c r="AW571" s="1">
        <v>45905</v>
      </c>
      <c r="AX571">
        <v>20.9</v>
      </c>
      <c r="AY571" t="s">
        <v>45</v>
      </c>
      <c r="AZ571" t="s">
        <v>48</v>
      </c>
      <c r="BA571" t="s">
        <v>21</v>
      </c>
      <c r="BB571" t="s">
        <v>13</v>
      </c>
      <c r="BC571" t="s">
        <v>7</v>
      </c>
      <c r="BD571">
        <v>3</v>
      </c>
      <c r="BE571" t="s">
        <v>14</v>
      </c>
      <c r="BF571">
        <v>1.17</v>
      </c>
    </row>
    <row r="572" spans="1:58" hidden="1" x14ac:dyDescent="0.2">
      <c r="A572">
        <v>571</v>
      </c>
      <c r="B572" t="s">
        <v>0</v>
      </c>
      <c r="C572">
        <v>62</v>
      </c>
      <c r="D572" t="s">
        <v>1</v>
      </c>
      <c r="E572" t="s">
        <v>128</v>
      </c>
      <c r="F572" t="s">
        <v>40</v>
      </c>
      <c r="G572" t="s">
        <v>4</v>
      </c>
      <c r="H572" t="s">
        <v>118</v>
      </c>
      <c r="I572" t="s">
        <v>115</v>
      </c>
      <c r="J572" t="s">
        <v>32</v>
      </c>
      <c r="K572" t="s">
        <v>13</v>
      </c>
      <c r="L572">
        <v>12.7</v>
      </c>
      <c r="M572">
        <v>7.9</v>
      </c>
      <c r="N572" t="s">
        <v>8</v>
      </c>
      <c r="O572" t="s">
        <v>13</v>
      </c>
      <c r="P572" t="s">
        <v>26</v>
      </c>
      <c r="Q572">
        <v>2</v>
      </c>
      <c r="R572">
        <v>10</v>
      </c>
      <c r="S572">
        <v>28.2</v>
      </c>
      <c r="T572">
        <v>127</v>
      </c>
      <c r="U572">
        <v>76</v>
      </c>
      <c r="V572">
        <v>7786</v>
      </c>
      <c r="W572">
        <v>15.1</v>
      </c>
      <c r="X572">
        <v>4</v>
      </c>
      <c r="Y572">
        <v>6</v>
      </c>
      <c r="Z572">
        <v>12</v>
      </c>
      <c r="AA572">
        <v>3.1</v>
      </c>
      <c r="AB572">
        <v>8</v>
      </c>
      <c r="AC572">
        <v>5</v>
      </c>
      <c r="AD572">
        <v>1</v>
      </c>
      <c r="AE572">
        <v>1</v>
      </c>
      <c r="AF572">
        <v>35</v>
      </c>
      <c r="AG572">
        <v>26</v>
      </c>
      <c r="AH572">
        <v>25</v>
      </c>
      <c r="AI572">
        <v>7</v>
      </c>
      <c r="AJ572">
        <v>11</v>
      </c>
      <c r="AK572">
        <v>7</v>
      </c>
      <c r="AL572">
        <v>7</v>
      </c>
      <c r="AM572">
        <v>2</v>
      </c>
      <c r="AN572">
        <v>3</v>
      </c>
      <c r="AO572">
        <v>1</v>
      </c>
      <c r="AP572">
        <v>1</v>
      </c>
      <c r="AQ572">
        <v>2</v>
      </c>
      <c r="AR572">
        <v>1949</v>
      </c>
      <c r="AS572">
        <v>3394</v>
      </c>
      <c r="AT572" t="s">
        <v>7</v>
      </c>
      <c r="AU572">
        <v>0.51</v>
      </c>
      <c r="AV572">
        <v>2025</v>
      </c>
      <c r="AW572" s="1">
        <v>45834</v>
      </c>
      <c r="AX572">
        <v>5</v>
      </c>
      <c r="AY572" t="s">
        <v>19</v>
      </c>
      <c r="AZ572" t="s">
        <v>17</v>
      </c>
      <c r="BA572" t="s">
        <v>21</v>
      </c>
      <c r="BB572" t="s">
        <v>13</v>
      </c>
      <c r="BC572" t="s">
        <v>13</v>
      </c>
      <c r="BD572">
        <v>2</v>
      </c>
      <c r="BE572" t="s">
        <v>14</v>
      </c>
      <c r="BF572">
        <v>7</v>
      </c>
    </row>
    <row r="573" spans="1:58" hidden="1" x14ac:dyDescent="0.2">
      <c r="A573">
        <v>572</v>
      </c>
      <c r="B573" t="s">
        <v>0</v>
      </c>
      <c r="C573">
        <v>47</v>
      </c>
      <c r="D573" t="s">
        <v>1</v>
      </c>
      <c r="E573" t="s">
        <v>128</v>
      </c>
      <c r="F573" t="s">
        <v>40</v>
      </c>
      <c r="G573" t="s">
        <v>117</v>
      </c>
      <c r="H573" t="s">
        <v>118</v>
      </c>
      <c r="I573" t="s">
        <v>115</v>
      </c>
      <c r="J573" t="s">
        <v>123</v>
      </c>
      <c r="K573" t="s">
        <v>13</v>
      </c>
      <c r="L573">
        <v>4.4000000000000004</v>
      </c>
      <c r="M573">
        <v>5</v>
      </c>
      <c r="N573" t="s">
        <v>25</v>
      </c>
      <c r="O573" t="s">
        <v>7</v>
      </c>
      <c r="P573" t="s">
        <v>46</v>
      </c>
      <c r="Q573">
        <v>8</v>
      </c>
      <c r="R573">
        <v>10</v>
      </c>
      <c r="S573">
        <v>27.7</v>
      </c>
      <c r="T573">
        <v>143</v>
      </c>
      <c r="U573">
        <v>85</v>
      </c>
      <c r="V573">
        <v>8034</v>
      </c>
      <c r="W573">
        <v>53.2</v>
      </c>
      <c r="X573">
        <v>3</v>
      </c>
      <c r="Y573">
        <v>5</v>
      </c>
      <c r="Z573">
        <v>12</v>
      </c>
      <c r="AA573">
        <v>4.0999999999999996</v>
      </c>
      <c r="AB573">
        <v>4</v>
      </c>
      <c r="AC573">
        <v>42</v>
      </c>
      <c r="AD573">
        <v>1</v>
      </c>
      <c r="AE573">
        <v>2</v>
      </c>
      <c r="AF573">
        <v>74</v>
      </c>
      <c r="AG573">
        <v>31</v>
      </c>
      <c r="AH573">
        <v>36</v>
      </c>
      <c r="AI573">
        <v>14</v>
      </c>
      <c r="AJ573">
        <v>14</v>
      </c>
      <c r="AK573">
        <v>15</v>
      </c>
      <c r="AL573">
        <v>4</v>
      </c>
      <c r="AM573">
        <v>2</v>
      </c>
      <c r="AN573">
        <v>23</v>
      </c>
      <c r="AO573">
        <v>13</v>
      </c>
      <c r="AP573">
        <v>8</v>
      </c>
      <c r="AQ573">
        <v>14</v>
      </c>
      <c r="AR573">
        <v>90</v>
      </c>
      <c r="AS573">
        <v>71</v>
      </c>
      <c r="AT573" t="s">
        <v>7</v>
      </c>
      <c r="AU573">
        <v>0.3</v>
      </c>
      <c r="AV573">
        <v>2021</v>
      </c>
      <c r="AW573" s="1">
        <v>45668</v>
      </c>
      <c r="AX573">
        <v>42</v>
      </c>
      <c r="AY573" t="s">
        <v>45</v>
      </c>
      <c r="AZ573" t="s">
        <v>17</v>
      </c>
      <c r="BA573" t="s">
        <v>12</v>
      </c>
      <c r="BB573" t="s">
        <v>7</v>
      </c>
      <c r="BC573" t="s">
        <v>13</v>
      </c>
      <c r="BD573">
        <v>3</v>
      </c>
      <c r="BE573" t="s">
        <v>14</v>
      </c>
      <c r="BF573">
        <v>1.63</v>
      </c>
    </row>
    <row r="574" spans="1:58" hidden="1" x14ac:dyDescent="0.2">
      <c r="A574">
        <v>573</v>
      </c>
      <c r="B574" t="s">
        <v>0</v>
      </c>
      <c r="C574">
        <v>45</v>
      </c>
      <c r="D574" t="s">
        <v>28</v>
      </c>
      <c r="E574" t="s">
        <v>2</v>
      </c>
      <c r="F574" t="s">
        <v>40</v>
      </c>
      <c r="G574" t="s">
        <v>16</v>
      </c>
      <c r="H574" t="s">
        <v>118</v>
      </c>
      <c r="I574" t="s">
        <v>115</v>
      </c>
      <c r="J574" t="s">
        <v>18</v>
      </c>
      <c r="K574" t="s">
        <v>7</v>
      </c>
      <c r="L574">
        <v>15.6</v>
      </c>
      <c r="M574">
        <v>7.3</v>
      </c>
      <c r="N574" t="s">
        <v>8</v>
      </c>
      <c r="O574" t="s">
        <v>7</v>
      </c>
      <c r="P574" t="s">
        <v>46</v>
      </c>
      <c r="Q574">
        <v>16</v>
      </c>
      <c r="R574">
        <v>3</v>
      </c>
      <c r="S574">
        <v>26.8</v>
      </c>
      <c r="T574">
        <v>106</v>
      </c>
      <c r="U574">
        <v>60</v>
      </c>
      <c r="V574">
        <v>8092</v>
      </c>
      <c r="W574">
        <v>36.5</v>
      </c>
      <c r="X574">
        <v>5</v>
      </c>
      <c r="Y574">
        <v>4</v>
      </c>
      <c r="Z574">
        <v>7</v>
      </c>
      <c r="AA574">
        <v>3.8</v>
      </c>
      <c r="AB574">
        <v>2</v>
      </c>
      <c r="AC574">
        <v>177</v>
      </c>
      <c r="AD574">
        <v>17</v>
      </c>
      <c r="AE574">
        <v>4</v>
      </c>
      <c r="AF574">
        <v>162</v>
      </c>
      <c r="AG574">
        <v>89</v>
      </c>
      <c r="AH574">
        <v>114</v>
      </c>
      <c r="AI574">
        <v>38</v>
      </c>
      <c r="AJ574">
        <v>26</v>
      </c>
      <c r="AK574">
        <v>33</v>
      </c>
      <c r="AL574">
        <v>20</v>
      </c>
      <c r="AM574">
        <v>3</v>
      </c>
      <c r="AN574">
        <v>78</v>
      </c>
      <c r="AO574">
        <v>51</v>
      </c>
      <c r="AP574">
        <v>40</v>
      </c>
      <c r="AQ574">
        <v>70</v>
      </c>
      <c r="AR574">
        <v>4639</v>
      </c>
      <c r="AS574">
        <v>2163</v>
      </c>
      <c r="AT574" t="s">
        <v>7</v>
      </c>
      <c r="AU574">
        <v>0.3</v>
      </c>
      <c r="AV574">
        <v>2018</v>
      </c>
      <c r="AW574" s="1">
        <v>45806</v>
      </c>
      <c r="AX574">
        <v>10.4</v>
      </c>
      <c r="AY574" t="s">
        <v>10</v>
      </c>
      <c r="AZ574" t="s">
        <v>37</v>
      </c>
      <c r="BA574" t="s">
        <v>122</v>
      </c>
      <c r="BB574" t="s">
        <v>13</v>
      </c>
      <c r="BC574" t="s">
        <v>7</v>
      </c>
      <c r="BD574">
        <v>1</v>
      </c>
      <c r="BE574" t="s">
        <v>14</v>
      </c>
      <c r="BF574">
        <v>1.1299999999999999</v>
      </c>
    </row>
    <row r="575" spans="1:58" hidden="1" x14ac:dyDescent="0.2">
      <c r="A575">
        <v>574</v>
      </c>
      <c r="B575" t="s">
        <v>0</v>
      </c>
      <c r="C575">
        <v>45</v>
      </c>
      <c r="D575" t="s">
        <v>1</v>
      </c>
      <c r="E575" t="s">
        <v>47</v>
      </c>
      <c r="F575" t="s">
        <v>15</v>
      </c>
      <c r="G575" t="s">
        <v>117</v>
      </c>
      <c r="H575" t="s">
        <v>23</v>
      </c>
      <c r="I575" t="s">
        <v>113</v>
      </c>
      <c r="J575" t="s">
        <v>32</v>
      </c>
      <c r="K575" t="s">
        <v>7</v>
      </c>
      <c r="L575">
        <v>5.8</v>
      </c>
      <c r="M575">
        <v>9.1</v>
      </c>
      <c r="N575" t="s">
        <v>120</v>
      </c>
      <c r="O575" t="s">
        <v>7</v>
      </c>
      <c r="P575" t="s">
        <v>46</v>
      </c>
      <c r="Q575">
        <v>31</v>
      </c>
      <c r="R575">
        <v>2</v>
      </c>
      <c r="S575">
        <v>25.5</v>
      </c>
      <c r="T575">
        <v>143</v>
      </c>
      <c r="U575">
        <v>72</v>
      </c>
      <c r="V575">
        <v>8073</v>
      </c>
      <c r="W575">
        <v>61.8</v>
      </c>
      <c r="X575">
        <v>1</v>
      </c>
      <c r="Y575">
        <v>4</v>
      </c>
      <c r="Z575">
        <v>11</v>
      </c>
      <c r="AA575">
        <v>5.5</v>
      </c>
      <c r="AB575">
        <v>2</v>
      </c>
      <c r="AC575">
        <v>292</v>
      </c>
      <c r="AD575">
        <v>36</v>
      </c>
      <c r="AE575">
        <v>9</v>
      </c>
      <c r="AF575">
        <v>231</v>
      </c>
      <c r="AG575">
        <v>133</v>
      </c>
      <c r="AH575">
        <v>168</v>
      </c>
      <c r="AI575">
        <v>53</v>
      </c>
      <c r="AJ575">
        <v>44</v>
      </c>
      <c r="AK575">
        <v>33</v>
      </c>
      <c r="AL575">
        <v>36</v>
      </c>
      <c r="AM575">
        <v>7</v>
      </c>
      <c r="AN575">
        <v>131</v>
      </c>
      <c r="AO575">
        <v>63</v>
      </c>
      <c r="AP575">
        <v>43</v>
      </c>
      <c r="AQ575">
        <v>76</v>
      </c>
      <c r="AR575">
        <v>1505</v>
      </c>
      <c r="AS575">
        <v>2549</v>
      </c>
      <c r="AT575" t="s">
        <v>7</v>
      </c>
      <c r="AU575">
        <v>0.38</v>
      </c>
      <c r="AV575">
        <v>2024</v>
      </c>
      <c r="AW575" s="1">
        <v>45795</v>
      </c>
      <c r="AX575">
        <v>8.1</v>
      </c>
      <c r="AY575" t="s">
        <v>36</v>
      </c>
      <c r="AZ575" t="s">
        <v>35</v>
      </c>
      <c r="BA575" t="s">
        <v>12</v>
      </c>
      <c r="BB575" t="s">
        <v>13</v>
      </c>
      <c r="BC575" t="s">
        <v>13</v>
      </c>
      <c r="BD575">
        <v>0</v>
      </c>
      <c r="BE575" t="s">
        <v>14</v>
      </c>
      <c r="BF575">
        <v>1.03</v>
      </c>
    </row>
    <row r="576" spans="1:58" hidden="1" x14ac:dyDescent="0.2">
      <c r="A576">
        <v>575</v>
      </c>
      <c r="B576" t="s">
        <v>0</v>
      </c>
      <c r="C576">
        <v>63</v>
      </c>
      <c r="D576" t="s">
        <v>28</v>
      </c>
      <c r="E576" t="s">
        <v>47</v>
      </c>
      <c r="F576" t="s">
        <v>15</v>
      </c>
      <c r="G576" t="s">
        <v>4</v>
      </c>
      <c r="H576" t="s">
        <v>23</v>
      </c>
      <c r="I576" t="s">
        <v>112</v>
      </c>
      <c r="J576" t="s">
        <v>32</v>
      </c>
      <c r="K576" t="s">
        <v>13</v>
      </c>
      <c r="L576">
        <v>3.6</v>
      </c>
      <c r="M576">
        <v>7.4</v>
      </c>
      <c r="N576" t="s">
        <v>25</v>
      </c>
      <c r="O576" t="s">
        <v>7</v>
      </c>
      <c r="P576" t="s">
        <v>9</v>
      </c>
      <c r="Q576">
        <v>26</v>
      </c>
      <c r="R576">
        <v>2</v>
      </c>
      <c r="S576">
        <v>26.2</v>
      </c>
      <c r="T576">
        <v>114</v>
      </c>
      <c r="U576">
        <v>75</v>
      </c>
      <c r="V576">
        <v>7973</v>
      </c>
      <c r="W576">
        <v>35.1</v>
      </c>
      <c r="X576">
        <v>3</v>
      </c>
      <c r="Y576">
        <v>5</v>
      </c>
      <c r="Z576">
        <v>8</v>
      </c>
      <c r="AA576">
        <v>1.7</v>
      </c>
      <c r="AB576">
        <v>2</v>
      </c>
      <c r="AC576">
        <v>222</v>
      </c>
      <c r="AD576">
        <v>7</v>
      </c>
      <c r="AE576">
        <v>5</v>
      </c>
      <c r="AF576">
        <v>164</v>
      </c>
      <c r="AG576">
        <v>120</v>
      </c>
      <c r="AH576">
        <v>134</v>
      </c>
      <c r="AI576">
        <v>33</v>
      </c>
      <c r="AJ576">
        <v>36</v>
      </c>
      <c r="AK576">
        <v>39</v>
      </c>
      <c r="AL576">
        <v>24</v>
      </c>
      <c r="AM576">
        <v>4</v>
      </c>
      <c r="AN576">
        <v>130</v>
      </c>
      <c r="AO576">
        <v>49</v>
      </c>
      <c r="AP576">
        <v>36</v>
      </c>
      <c r="AQ576">
        <v>67</v>
      </c>
      <c r="AR576">
        <v>967</v>
      </c>
      <c r="AS576">
        <v>1473</v>
      </c>
      <c r="AT576" t="s">
        <v>7</v>
      </c>
      <c r="AU576">
        <v>0.72</v>
      </c>
      <c r="AV576">
        <v>2018</v>
      </c>
      <c r="AW576" s="1">
        <v>45966</v>
      </c>
      <c r="AX576">
        <v>31.7</v>
      </c>
      <c r="AY576" t="s">
        <v>19</v>
      </c>
      <c r="AZ576" t="s">
        <v>17</v>
      </c>
      <c r="BA576" t="s">
        <v>122</v>
      </c>
      <c r="BB576" t="s">
        <v>13</v>
      </c>
      <c r="BC576" t="s">
        <v>7</v>
      </c>
      <c r="BD576">
        <v>3</v>
      </c>
      <c r="BE576" t="s">
        <v>43</v>
      </c>
      <c r="BF576">
        <v>0.96</v>
      </c>
    </row>
    <row r="577" spans="1:58" hidden="1" x14ac:dyDescent="0.2">
      <c r="A577">
        <v>576</v>
      </c>
      <c r="B577" t="s">
        <v>0</v>
      </c>
      <c r="C577">
        <v>55</v>
      </c>
      <c r="D577" t="s">
        <v>1</v>
      </c>
      <c r="E577" t="s">
        <v>47</v>
      </c>
      <c r="F577" t="s">
        <v>15</v>
      </c>
      <c r="G577" t="s">
        <v>38</v>
      </c>
      <c r="H577" t="s">
        <v>24</v>
      </c>
      <c r="I577" t="s">
        <v>114</v>
      </c>
      <c r="J577" t="s">
        <v>32</v>
      </c>
      <c r="K577" t="s">
        <v>7</v>
      </c>
      <c r="L577">
        <v>3.6</v>
      </c>
      <c r="M577">
        <v>4.7</v>
      </c>
      <c r="N577" t="s">
        <v>39</v>
      </c>
      <c r="O577" t="s">
        <v>7</v>
      </c>
      <c r="P577" t="s">
        <v>26</v>
      </c>
      <c r="Q577">
        <v>28</v>
      </c>
      <c r="R577">
        <v>1</v>
      </c>
      <c r="S577">
        <v>27.1</v>
      </c>
      <c r="T577">
        <v>156</v>
      </c>
      <c r="U577">
        <v>96</v>
      </c>
      <c r="V577">
        <v>8026</v>
      </c>
      <c r="W577">
        <v>35</v>
      </c>
      <c r="X577">
        <v>4</v>
      </c>
      <c r="Y577">
        <v>4</v>
      </c>
      <c r="Z577">
        <v>8</v>
      </c>
      <c r="AA577">
        <v>1.1000000000000001</v>
      </c>
      <c r="AB577">
        <v>1</v>
      </c>
      <c r="AC577">
        <v>350</v>
      </c>
      <c r="AD577">
        <v>27</v>
      </c>
      <c r="AE577">
        <v>6</v>
      </c>
      <c r="AF577">
        <v>250</v>
      </c>
      <c r="AG577">
        <v>150</v>
      </c>
      <c r="AH577">
        <v>187</v>
      </c>
      <c r="AI577">
        <v>61</v>
      </c>
      <c r="AJ577">
        <v>57</v>
      </c>
      <c r="AK577">
        <v>54</v>
      </c>
      <c r="AL577">
        <v>29</v>
      </c>
      <c r="AM577">
        <v>6</v>
      </c>
      <c r="AN577">
        <v>198</v>
      </c>
      <c r="AO577">
        <v>58</v>
      </c>
      <c r="AP577">
        <v>52</v>
      </c>
      <c r="AQ577">
        <v>88</v>
      </c>
      <c r="AR577">
        <v>3434</v>
      </c>
      <c r="AS577">
        <v>1641</v>
      </c>
      <c r="AT577" t="s">
        <v>7</v>
      </c>
      <c r="AU577">
        <v>0.64</v>
      </c>
      <c r="AV577">
        <v>2011</v>
      </c>
      <c r="AW577" s="1">
        <v>45919</v>
      </c>
      <c r="AX577">
        <v>13</v>
      </c>
      <c r="AY577" t="s">
        <v>45</v>
      </c>
      <c r="AZ577" t="s">
        <v>48</v>
      </c>
      <c r="BA577" t="s">
        <v>21</v>
      </c>
      <c r="BB577" t="s">
        <v>13</v>
      </c>
      <c r="BC577" t="s">
        <v>7</v>
      </c>
      <c r="BD577">
        <v>2</v>
      </c>
      <c r="BE577" t="s">
        <v>14</v>
      </c>
      <c r="BF577">
        <v>0.93</v>
      </c>
    </row>
    <row r="578" spans="1:58" hidden="1" x14ac:dyDescent="0.2">
      <c r="A578">
        <v>577</v>
      </c>
      <c r="B578" t="s">
        <v>0</v>
      </c>
      <c r="C578">
        <v>49</v>
      </c>
      <c r="D578" t="s">
        <v>28</v>
      </c>
      <c r="E578" t="s">
        <v>17</v>
      </c>
      <c r="F578" t="s">
        <v>15</v>
      </c>
      <c r="G578" t="s">
        <v>117</v>
      </c>
      <c r="H578" t="s">
        <v>118</v>
      </c>
      <c r="I578" t="s">
        <v>115</v>
      </c>
      <c r="J578" t="s">
        <v>6</v>
      </c>
      <c r="K578" t="s">
        <v>7</v>
      </c>
      <c r="L578">
        <v>5.8</v>
      </c>
      <c r="M578">
        <v>7.1</v>
      </c>
      <c r="N578" t="s">
        <v>25</v>
      </c>
      <c r="O578" t="s">
        <v>7</v>
      </c>
      <c r="P578" t="s">
        <v>46</v>
      </c>
      <c r="Q578">
        <v>18</v>
      </c>
      <c r="R578">
        <v>5</v>
      </c>
      <c r="S578">
        <v>27.1</v>
      </c>
      <c r="T578">
        <v>145</v>
      </c>
      <c r="U578">
        <v>78</v>
      </c>
      <c r="V578">
        <v>7951</v>
      </c>
      <c r="W578">
        <v>31.5</v>
      </c>
      <c r="X578">
        <v>2</v>
      </c>
      <c r="Y578">
        <v>3</v>
      </c>
      <c r="Z578">
        <v>10</v>
      </c>
      <c r="AA578">
        <v>4.2</v>
      </c>
      <c r="AB578">
        <v>3</v>
      </c>
      <c r="AC578">
        <v>137</v>
      </c>
      <c r="AD578">
        <v>7</v>
      </c>
      <c r="AE578">
        <v>3</v>
      </c>
      <c r="AF578">
        <v>123</v>
      </c>
      <c r="AG578">
        <v>77</v>
      </c>
      <c r="AH578">
        <v>97</v>
      </c>
      <c r="AI578">
        <v>34</v>
      </c>
      <c r="AJ578">
        <v>33</v>
      </c>
      <c r="AK578">
        <v>31</v>
      </c>
      <c r="AL578">
        <v>12</v>
      </c>
      <c r="AM578">
        <v>2</v>
      </c>
      <c r="AN578">
        <v>60</v>
      </c>
      <c r="AO578">
        <v>23</v>
      </c>
      <c r="AP578">
        <v>26</v>
      </c>
      <c r="AQ578">
        <v>38</v>
      </c>
      <c r="AR578">
        <v>470</v>
      </c>
      <c r="AS578">
        <v>458</v>
      </c>
      <c r="AT578" t="s">
        <v>13</v>
      </c>
      <c r="AU578">
        <v>0.14000000000000001</v>
      </c>
      <c r="AV578">
        <v>2022</v>
      </c>
      <c r="AW578" s="1">
        <v>45694</v>
      </c>
      <c r="AX578">
        <v>19.600000000000001</v>
      </c>
      <c r="AY578" t="s">
        <v>36</v>
      </c>
      <c r="AZ578" t="s">
        <v>51</v>
      </c>
      <c r="BA578" t="s">
        <v>12</v>
      </c>
      <c r="BB578" t="s">
        <v>13</v>
      </c>
      <c r="BC578" t="s">
        <v>7</v>
      </c>
      <c r="BD578">
        <v>3</v>
      </c>
      <c r="BE578" t="s">
        <v>43</v>
      </c>
      <c r="BF578">
        <v>1.26</v>
      </c>
    </row>
    <row r="579" spans="1:58" hidden="1" x14ac:dyDescent="0.2">
      <c r="A579">
        <v>578</v>
      </c>
      <c r="B579" t="s">
        <v>0</v>
      </c>
      <c r="C579">
        <v>24</v>
      </c>
      <c r="D579" t="s">
        <v>28</v>
      </c>
      <c r="E579" t="s">
        <v>128</v>
      </c>
      <c r="F579" t="s">
        <v>15</v>
      </c>
      <c r="G579" t="s">
        <v>16</v>
      </c>
      <c r="H579" t="s">
        <v>118</v>
      </c>
      <c r="I579" t="s">
        <v>53</v>
      </c>
      <c r="J579" t="s">
        <v>32</v>
      </c>
      <c r="K579" t="s">
        <v>13</v>
      </c>
      <c r="L579">
        <v>2.9</v>
      </c>
      <c r="M579">
        <v>6.8</v>
      </c>
      <c r="N579" t="s">
        <v>29</v>
      </c>
      <c r="O579" t="s">
        <v>7</v>
      </c>
      <c r="P579" t="s">
        <v>26</v>
      </c>
      <c r="Q579">
        <v>7</v>
      </c>
      <c r="R579">
        <v>2</v>
      </c>
      <c r="S579">
        <v>23</v>
      </c>
      <c r="T579">
        <v>153</v>
      </c>
      <c r="U579">
        <v>70</v>
      </c>
      <c r="V579">
        <v>7930</v>
      </c>
      <c r="W579">
        <v>60.6</v>
      </c>
      <c r="X579">
        <v>2</v>
      </c>
      <c r="Y579">
        <v>7</v>
      </c>
      <c r="Z579">
        <v>8</v>
      </c>
      <c r="AA579">
        <v>3.9</v>
      </c>
      <c r="AB579">
        <v>6</v>
      </c>
      <c r="AC579">
        <v>195</v>
      </c>
      <c r="AD579">
        <v>12</v>
      </c>
      <c r="AE579">
        <v>9</v>
      </c>
      <c r="AF579">
        <v>249</v>
      </c>
      <c r="AG579">
        <v>119</v>
      </c>
      <c r="AH579">
        <v>129</v>
      </c>
      <c r="AI579">
        <v>35</v>
      </c>
      <c r="AJ579">
        <v>26</v>
      </c>
      <c r="AK579">
        <v>44</v>
      </c>
      <c r="AL579">
        <v>16</v>
      </c>
      <c r="AM579">
        <v>6</v>
      </c>
      <c r="AN579">
        <v>96</v>
      </c>
      <c r="AO579">
        <v>24</v>
      </c>
      <c r="AP579">
        <v>42</v>
      </c>
      <c r="AQ579">
        <v>50</v>
      </c>
      <c r="AR579">
        <v>267</v>
      </c>
      <c r="AS579">
        <v>467</v>
      </c>
      <c r="AT579" t="s">
        <v>7</v>
      </c>
      <c r="AU579">
        <v>0.74</v>
      </c>
      <c r="AV579">
        <v>2025</v>
      </c>
      <c r="AW579" s="1">
        <v>45947</v>
      </c>
      <c r="AX579">
        <v>16.2</v>
      </c>
      <c r="AY579" t="s">
        <v>19</v>
      </c>
      <c r="AZ579" t="s">
        <v>20</v>
      </c>
      <c r="BA579" t="s">
        <v>12</v>
      </c>
      <c r="BB579" t="s">
        <v>13</v>
      </c>
      <c r="BC579" t="s">
        <v>13</v>
      </c>
      <c r="BD579">
        <v>3</v>
      </c>
      <c r="BE579" t="s">
        <v>49</v>
      </c>
      <c r="BF579">
        <v>1.1499999999999999</v>
      </c>
    </row>
    <row r="580" spans="1:58" hidden="1" x14ac:dyDescent="0.2">
      <c r="A580">
        <v>579</v>
      </c>
      <c r="B580" t="s">
        <v>0</v>
      </c>
      <c r="C580">
        <v>15</v>
      </c>
      <c r="D580" t="s">
        <v>28</v>
      </c>
      <c r="E580" t="s">
        <v>17</v>
      </c>
      <c r="F580" t="s">
        <v>15</v>
      </c>
      <c r="G580" t="s">
        <v>117</v>
      </c>
      <c r="H580" t="s">
        <v>34</v>
      </c>
      <c r="I580" t="s">
        <v>114</v>
      </c>
      <c r="J580" t="s">
        <v>6</v>
      </c>
      <c r="K580" t="s">
        <v>7</v>
      </c>
      <c r="L580">
        <v>8.6999999999999993</v>
      </c>
      <c r="M580">
        <v>6.2</v>
      </c>
      <c r="N580" t="s">
        <v>39</v>
      </c>
      <c r="O580" t="s">
        <v>7</v>
      </c>
      <c r="P580" t="s">
        <v>26</v>
      </c>
      <c r="Q580">
        <v>19</v>
      </c>
      <c r="R580">
        <v>9</v>
      </c>
      <c r="S580">
        <v>22.9</v>
      </c>
      <c r="T580">
        <v>143</v>
      </c>
      <c r="U580">
        <v>95</v>
      </c>
      <c r="V580">
        <v>8149</v>
      </c>
      <c r="W580">
        <v>59.7</v>
      </c>
      <c r="X580">
        <v>7</v>
      </c>
      <c r="Y580">
        <v>5</v>
      </c>
      <c r="Z580">
        <v>10</v>
      </c>
      <c r="AA580">
        <v>2.4</v>
      </c>
      <c r="AB580">
        <v>4</v>
      </c>
      <c r="AC580">
        <v>223</v>
      </c>
      <c r="AD580">
        <v>7</v>
      </c>
      <c r="AE580">
        <v>9</v>
      </c>
      <c r="AF580">
        <v>257</v>
      </c>
      <c r="AG580">
        <v>125</v>
      </c>
      <c r="AH580">
        <v>122</v>
      </c>
      <c r="AI580">
        <v>36</v>
      </c>
      <c r="AJ580">
        <v>36</v>
      </c>
      <c r="AK580">
        <v>33</v>
      </c>
      <c r="AL580">
        <v>27</v>
      </c>
      <c r="AM580">
        <v>7</v>
      </c>
      <c r="AN580">
        <v>100</v>
      </c>
      <c r="AO580">
        <v>38</v>
      </c>
      <c r="AP580">
        <v>49</v>
      </c>
      <c r="AQ580">
        <v>77</v>
      </c>
      <c r="AR580">
        <v>1909</v>
      </c>
      <c r="AS580">
        <v>1045</v>
      </c>
      <c r="AT580" t="s">
        <v>7</v>
      </c>
      <c r="AU580">
        <v>0.3</v>
      </c>
      <c r="AV580">
        <v>2025</v>
      </c>
      <c r="AW580" s="1">
        <v>45828</v>
      </c>
      <c r="AX580">
        <v>31.9</v>
      </c>
      <c r="AY580" t="s">
        <v>45</v>
      </c>
      <c r="AZ580" t="s">
        <v>11</v>
      </c>
      <c r="BA580" t="s">
        <v>21</v>
      </c>
      <c r="BB580" t="s">
        <v>13</v>
      </c>
      <c r="BC580" t="s">
        <v>7</v>
      </c>
      <c r="BD580">
        <v>0</v>
      </c>
      <c r="BE580" t="s">
        <v>14</v>
      </c>
      <c r="BF580">
        <v>0.99</v>
      </c>
    </row>
    <row r="581" spans="1:58" hidden="1" x14ac:dyDescent="0.2">
      <c r="A581">
        <v>580</v>
      </c>
      <c r="B581" t="s">
        <v>0</v>
      </c>
      <c r="C581">
        <v>13</v>
      </c>
      <c r="D581" t="s">
        <v>28</v>
      </c>
      <c r="E581" t="s">
        <v>2</v>
      </c>
      <c r="F581" t="s">
        <v>15</v>
      </c>
      <c r="G581" t="s">
        <v>38</v>
      </c>
      <c r="H581" t="s">
        <v>23</v>
      </c>
      <c r="I581" t="s">
        <v>115</v>
      </c>
      <c r="J581" t="s">
        <v>6</v>
      </c>
      <c r="K581" t="s">
        <v>7</v>
      </c>
      <c r="L581">
        <v>9.8000000000000007</v>
      </c>
      <c r="M581">
        <v>6</v>
      </c>
      <c r="N581" t="s">
        <v>8</v>
      </c>
      <c r="O581" t="s">
        <v>7</v>
      </c>
      <c r="P581" t="s">
        <v>46</v>
      </c>
      <c r="Q581">
        <v>31</v>
      </c>
      <c r="R581">
        <v>1</v>
      </c>
      <c r="S581">
        <v>36</v>
      </c>
      <c r="T581">
        <v>126</v>
      </c>
      <c r="U581">
        <v>85</v>
      </c>
      <c r="V581">
        <v>8057</v>
      </c>
      <c r="W581">
        <v>42</v>
      </c>
      <c r="X581">
        <v>3</v>
      </c>
      <c r="Y581">
        <v>3</v>
      </c>
      <c r="Z581">
        <v>14</v>
      </c>
      <c r="AA581">
        <v>1.7</v>
      </c>
      <c r="AB581">
        <v>3</v>
      </c>
      <c r="AC581">
        <v>381</v>
      </c>
      <c r="AD581">
        <v>20</v>
      </c>
      <c r="AE581">
        <v>12</v>
      </c>
      <c r="AF581">
        <v>300</v>
      </c>
      <c r="AG581">
        <v>150</v>
      </c>
      <c r="AH581">
        <v>221</v>
      </c>
      <c r="AI581">
        <v>73</v>
      </c>
      <c r="AJ581">
        <v>44</v>
      </c>
      <c r="AK581">
        <v>42</v>
      </c>
      <c r="AL581">
        <v>34</v>
      </c>
      <c r="AM581">
        <v>6</v>
      </c>
      <c r="AN581">
        <v>183</v>
      </c>
      <c r="AO581">
        <v>73</v>
      </c>
      <c r="AP581">
        <v>47</v>
      </c>
      <c r="AQ581">
        <v>86</v>
      </c>
      <c r="AR581">
        <v>1299</v>
      </c>
      <c r="AS581">
        <v>2097</v>
      </c>
      <c r="AT581" t="s">
        <v>7</v>
      </c>
      <c r="AU581">
        <v>0.85</v>
      </c>
      <c r="AV581">
        <v>2010</v>
      </c>
      <c r="AW581" s="1">
        <v>45998</v>
      </c>
      <c r="AX581">
        <v>19</v>
      </c>
      <c r="AY581" t="s">
        <v>19</v>
      </c>
      <c r="AZ581" t="s">
        <v>37</v>
      </c>
      <c r="BA581" t="s">
        <v>21</v>
      </c>
      <c r="BB581" t="s">
        <v>13</v>
      </c>
      <c r="BC581" t="s">
        <v>13</v>
      </c>
      <c r="BD581">
        <v>3</v>
      </c>
      <c r="BE581" t="s">
        <v>14</v>
      </c>
      <c r="BF581">
        <v>1.05</v>
      </c>
    </row>
    <row r="582" spans="1:58" hidden="1" x14ac:dyDescent="0.2">
      <c r="A582">
        <v>581</v>
      </c>
      <c r="B582" t="s">
        <v>0</v>
      </c>
      <c r="C582">
        <v>45</v>
      </c>
      <c r="D582" t="s">
        <v>1</v>
      </c>
      <c r="E582" t="s">
        <v>128</v>
      </c>
      <c r="F582" t="s">
        <v>3</v>
      </c>
      <c r="G582" t="s">
        <v>116</v>
      </c>
      <c r="H582" t="s">
        <v>5</v>
      </c>
      <c r="I582" t="s">
        <v>114</v>
      </c>
      <c r="J582" t="s">
        <v>32</v>
      </c>
      <c r="K582" t="s">
        <v>7</v>
      </c>
      <c r="L582">
        <v>9.1</v>
      </c>
      <c r="M582">
        <v>5.6</v>
      </c>
      <c r="N582" t="s">
        <v>29</v>
      </c>
      <c r="O582" t="s">
        <v>7</v>
      </c>
      <c r="P582" t="s">
        <v>26</v>
      </c>
      <c r="Q582">
        <v>33</v>
      </c>
      <c r="R582">
        <v>8</v>
      </c>
      <c r="S582">
        <v>29.5</v>
      </c>
      <c r="T582">
        <v>121</v>
      </c>
      <c r="U582">
        <v>84</v>
      </c>
      <c r="V582">
        <v>7814</v>
      </c>
      <c r="W582">
        <v>36.5</v>
      </c>
      <c r="X582">
        <v>5</v>
      </c>
      <c r="Y582">
        <v>3</v>
      </c>
      <c r="Z582">
        <v>7</v>
      </c>
      <c r="AA582">
        <v>3.8</v>
      </c>
      <c r="AB582">
        <v>2</v>
      </c>
      <c r="AC582">
        <v>246</v>
      </c>
      <c r="AD582">
        <v>25</v>
      </c>
      <c r="AE582">
        <v>7</v>
      </c>
      <c r="AF582">
        <v>198</v>
      </c>
      <c r="AG582">
        <v>120</v>
      </c>
      <c r="AH582">
        <v>120</v>
      </c>
      <c r="AI582">
        <v>43</v>
      </c>
      <c r="AJ582">
        <v>41</v>
      </c>
      <c r="AK582">
        <v>44</v>
      </c>
      <c r="AL582">
        <v>27</v>
      </c>
      <c r="AM582">
        <v>4</v>
      </c>
      <c r="AN582">
        <v>120</v>
      </c>
      <c r="AO582">
        <v>49</v>
      </c>
      <c r="AP582">
        <v>61</v>
      </c>
      <c r="AQ582">
        <v>79</v>
      </c>
      <c r="AR582">
        <v>403</v>
      </c>
      <c r="AS582">
        <v>233</v>
      </c>
      <c r="AT582" t="s">
        <v>7</v>
      </c>
      <c r="AU582">
        <v>0.9</v>
      </c>
      <c r="AV582">
        <v>2014</v>
      </c>
      <c r="AW582" s="1">
        <v>45702</v>
      </c>
      <c r="AX582">
        <v>9.8000000000000007</v>
      </c>
      <c r="AY582" t="s">
        <v>27</v>
      </c>
      <c r="AZ582" t="s">
        <v>48</v>
      </c>
      <c r="BA582" t="s">
        <v>12</v>
      </c>
      <c r="BB582" t="s">
        <v>13</v>
      </c>
      <c r="BC582" t="s">
        <v>13</v>
      </c>
      <c r="BD582">
        <v>1</v>
      </c>
      <c r="BE582" t="s">
        <v>43</v>
      </c>
      <c r="BF582">
        <v>0.92</v>
      </c>
    </row>
    <row r="583" spans="1:58" hidden="1" x14ac:dyDescent="0.2">
      <c r="A583">
        <v>582</v>
      </c>
      <c r="B583" t="s">
        <v>0</v>
      </c>
      <c r="C583">
        <v>52</v>
      </c>
      <c r="D583" t="s">
        <v>1</v>
      </c>
      <c r="E583" t="s">
        <v>22</v>
      </c>
      <c r="F583" t="s">
        <v>15</v>
      </c>
      <c r="G583" t="s">
        <v>16</v>
      </c>
      <c r="H583" t="s">
        <v>118</v>
      </c>
      <c r="I583" t="s">
        <v>115</v>
      </c>
      <c r="J583" t="s">
        <v>6</v>
      </c>
      <c r="K583" t="s">
        <v>7</v>
      </c>
      <c r="L583">
        <v>1</v>
      </c>
      <c r="M583">
        <v>6.1</v>
      </c>
      <c r="N583" t="s">
        <v>39</v>
      </c>
      <c r="O583" t="s">
        <v>7</v>
      </c>
      <c r="P583" t="s">
        <v>26</v>
      </c>
      <c r="Q583">
        <v>35</v>
      </c>
      <c r="R583">
        <v>5</v>
      </c>
      <c r="S583">
        <v>28.5</v>
      </c>
      <c r="T583">
        <v>141</v>
      </c>
      <c r="U583">
        <v>98</v>
      </c>
      <c r="V583">
        <v>7954</v>
      </c>
      <c r="W583">
        <v>41</v>
      </c>
      <c r="X583">
        <v>3</v>
      </c>
      <c r="Y583">
        <v>4</v>
      </c>
      <c r="Z583">
        <v>12</v>
      </c>
      <c r="AA583">
        <v>4.3</v>
      </c>
      <c r="AB583">
        <v>3</v>
      </c>
      <c r="AC583">
        <v>327</v>
      </c>
      <c r="AD583">
        <v>10</v>
      </c>
      <c r="AE583">
        <v>4</v>
      </c>
      <c r="AF583">
        <v>249</v>
      </c>
      <c r="AG583">
        <v>150</v>
      </c>
      <c r="AH583">
        <v>233</v>
      </c>
      <c r="AI583">
        <v>74</v>
      </c>
      <c r="AJ583">
        <v>40</v>
      </c>
      <c r="AK583">
        <v>45</v>
      </c>
      <c r="AL583">
        <v>37</v>
      </c>
      <c r="AM583">
        <v>5</v>
      </c>
      <c r="AN583">
        <v>176</v>
      </c>
      <c r="AO583">
        <v>83</v>
      </c>
      <c r="AP583">
        <v>72</v>
      </c>
      <c r="AQ583">
        <v>72</v>
      </c>
      <c r="AR583">
        <v>1652</v>
      </c>
      <c r="AS583">
        <v>3283</v>
      </c>
      <c r="AT583" t="s">
        <v>7</v>
      </c>
      <c r="AU583">
        <v>0.25</v>
      </c>
      <c r="AV583">
        <v>2021</v>
      </c>
      <c r="AW583" s="1">
        <v>45751</v>
      </c>
      <c r="AX583">
        <v>32.700000000000003</v>
      </c>
      <c r="AY583" t="s">
        <v>36</v>
      </c>
      <c r="AZ583" t="s">
        <v>11</v>
      </c>
      <c r="BA583" t="s">
        <v>12</v>
      </c>
      <c r="BB583" t="s">
        <v>7</v>
      </c>
      <c r="BC583" t="s">
        <v>13</v>
      </c>
      <c r="BD583">
        <v>2</v>
      </c>
      <c r="BE583" t="s">
        <v>14</v>
      </c>
      <c r="BF583">
        <v>1.2</v>
      </c>
    </row>
    <row r="584" spans="1:58" hidden="1" x14ac:dyDescent="0.2">
      <c r="A584">
        <v>583</v>
      </c>
      <c r="B584" t="s">
        <v>0</v>
      </c>
      <c r="C584">
        <v>22</v>
      </c>
      <c r="D584" t="s">
        <v>28</v>
      </c>
      <c r="E584" t="s">
        <v>127</v>
      </c>
      <c r="F584" t="s">
        <v>3</v>
      </c>
      <c r="G584" t="s">
        <v>116</v>
      </c>
      <c r="H584" t="s">
        <v>23</v>
      </c>
      <c r="I584" t="s">
        <v>115</v>
      </c>
      <c r="J584" t="s">
        <v>6</v>
      </c>
      <c r="K584" t="s">
        <v>7</v>
      </c>
      <c r="L584">
        <v>8.6</v>
      </c>
      <c r="M584">
        <v>7.7</v>
      </c>
      <c r="N584" t="s">
        <v>29</v>
      </c>
      <c r="O584" t="s">
        <v>7</v>
      </c>
      <c r="P584" t="s">
        <v>9</v>
      </c>
      <c r="Q584">
        <v>13</v>
      </c>
      <c r="R584">
        <v>4</v>
      </c>
      <c r="S584">
        <v>27.5</v>
      </c>
      <c r="T584">
        <v>135</v>
      </c>
      <c r="U584">
        <v>82</v>
      </c>
      <c r="V584">
        <v>7966</v>
      </c>
      <c r="W584">
        <v>32.799999999999997</v>
      </c>
      <c r="X584">
        <v>1</v>
      </c>
      <c r="Y584">
        <v>2</v>
      </c>
      <c r="Z584">
        <v>12</v>
      </c>
      <c r="AA584">
        <v>5</v>
      </c>
      <c r="AB584">
        <v>1</v>
      </c>
      <c r="AC584">
        <v>187</v>
      </c>
      <c r="AD584">
        <v>6</v>
      </c>
      <c r="AE584">
        <v>5</v>
      </c>
      <c r="AF584">
        <v>246</v>
      </c>
      <c r="AG584">
        <v>110</v>
      </c>
      <c r="AH584">
        <v>120</v>
      </c>
      <c r="AI584">
        <v>33</v>
      </c>
      <c r="AJ584">
        <v>29</v>
      </c>
      <c r="AK584">
        <v>33</v>
      </c>
      <c r="AL584">
        <v>23</v>
      </c>
      <c r="AM584">
        <v>6</v>
      </c>
      <c r="AN584">
        <v>82</v>
      </c>
      <c r="AO584">
        <v>51</v>
      </c>
      <c r="AP584">
        <v>43</v>
      </c>
      <c r="AQ584">
        <v>51</v>
      </c>
      <c r="AR584">
        <v>189</v>
      </c>
      <c r="AS584">
        <v>103</v>
      </c>
      <c r="AT584" t="s">
        <v>7</v>
      </c>
      <c r="AU584">
        <v>0.16</v>
      </c>
      <c r="AV584">
        <v>2019</v>
      </c>
      <c r="AW584" s="1">
        <v>45744</v>
      </c>
      <c r="AX584">
        <v>31.2</v>
      </c>
      <c r="AY584" t="s">
        <v>36</v>
      </c>
      <c r="AZ584" t="s">
        <v>37</v>
      </c>
      <c r="BA584" t="s">
        <v>122</v>
      </c>
      <c r="BB584" t="s">
        <v>13</v>
      </c>
      <c r="BC584" t="s">
        <v>7</v>
      </c>
      <c r="BD584">
        <v>3</v>
      </c>
      <c r="BE584" t="s">
        <v>14</v>
      </c>
      <c r="BF584">
        <v>1.07</v>
      </c>
    </row>
    <row r="585" spans="1:58" hidden="1" x14ac:dyDescent="0.2">
      <c r="A585">
        <v>584</v>
      </c>
      <c r="B585" t="s">
        <v>0</v>
      </c>
      <c r="C585">
        <v>55</v>
      </c>
      <c r="D585" t="s">
        <v>28</v>
      </c>
      <c r="E585" t="s">
        <v>127</v>
      </c>
      <c r="F585" t="s">
        <v>40</v>
      </c>
      <c r="G585" t="s">
        <v>38</v>
      </c>
      <c r="H585" t="s">
        <v>118</v>
      </c>
      <c r="I585" t="s">
        <v>113</v>
      </c>
      <c r="J585" t="s">
        <v>123</v>
      </c>
      <c r="K585" t="s">
        <v>13</v>
      </c>
      <c r="L585">
        <v>14.3</v>
      </c>
      <c r="M585">
        <v>4.3</v>
      </c>
      <c r="N585" t="s">
        <v>29</v>
      </c>
      <c r="O585" t="s">
        <v>7</v>
      </c>
      <c r="P585" t="s">
        <v>26</v>
      </c>
      <c r="Q585">
        <v>28</v>
      </c>
      <c r="R585">
        <v>10</v>
      </c>
      <c r="S585">
        <v>23.9</v>
      </c>
      <c r="T585">
        <v>116</v>
      </c>
      <c r="U585">
        <v>93</v>
      </c>
      <c r="V585">
        <v>7959</v>
      </c>
      <c r="W585">
        <v>36.1</v>
      </c>
      <c r="X585">
        <v>2</v>
      </c>
      <c r="Y585">
        <v>3</v>
      </c>
      <c r="Z585">
        <v>7</v>
      </c>
      <c r="AA585">
        <v>3.2</v>
      </c>
      <c r="AB585">
        <v>1</v>
      </c>
      <c r="AC585">
        <v>195</v>
      </c>
      <c r="AD585">
        <v>7</v>
      </c>
      <c r="AE585">
        <v>6</v>
      </c>
      <c r="AF585">
        <v>160</v>
      </c>
      <c r="AG585">
        <v>95</v>
      </c>
      <c r="AH585">
        <v>142</v>
      </c>
      <c r="AI585">
        <v>35</v>
      </c>
      <c r="AJ585">
        <v>29</v>
      </c>
      <c r="AK585">
        <v>29</v>
      </c>
      <c r="AL585">
        <v>22</v>
      </c>
      <c r="AM585">
        <v>5</v>
      </c>
      <c r="AN585">
        <v>98</v>
      </c>
      <c r="AO585">
        <v>58</v>
      </c>
      <c r="AP585">
        <v>33</v>
      </c>
      <c r="AQ585">
        <v>52</v>
      </c>
      <c r="AR585">
        <v>398</v>
      </c>
      <c r="AS585">
        <v>898</v>
      </c>
      <c r="AT585" t="s">
        <v>13</v>
      </c>
      <c r="AU585">
        <v>0.95</v>
      </c>
      <c r="AV585">
        <v>2019</v>
      </c>
      <c r="AW585" s="1">
        <v>45752</v>
      </c>
      <c r="AX585">
        <v>27.9</v>
      </c>
      <c r="AY585" t="s">
        <v>30</v>
      </c>
      <c r="AZ585" t="s">
        <v>48</v>
      </c>
      <c r="BA585" t="s">
        <v>12</v>
      </c>
      <c r="BB585" t="s">
        <v>13</v>
      </c>
      <c r="BC585" t="s">
        <v>7</v>
      </c>
      <c r="BD585">
        <v>0</v>
      </c>
      <c r="BE585" t="s">
        <v>43</v>
      </c>
      <c r="BF585">
        <v>1.17</v>
      </c>
    </row>
    <row r="586" spans="1:58" hidden="1" x14ac:dyDescent="0.2">
      <c r="A586">
        <v>585</v>
      </c>
      <c r="B586" t="s">
        <v>0</v>
      </c>
      <c r="C586">
        <v>56</v>
      </c>
      <c r="D586" t="s">
        <v>28</v>
      </c>
      <c r="E586" t="s">
        <v>128</v>
      </c>
      <c r="F586" t="s">
        <v>15</v>
      </c>
      <c r="G586" t="s">
        <v>117</v>
      </c>
      <c r="H586" t="s">
        <v>23</v>
      </c>
      <c r="I586" t="s">
        <v>112</v>
      </c>
      <c r="J586" t="s">
        <v>123</v>
      </c>
      <c r="K586" t="s">
        <v>7</v>
      </c>
      <c r="L586">
        <v>10</v>
      </c>
      <c r="M586">
        <v>7.9</v>
      </c>
      <c r="N586" t="s">
        <v>120</v>
      </c>
      <c r="O586" t="s">
        <v>7</v>
      </c>
      <c r="P586" t="s">
        <v>26</v>
      </c>
      <c r="Q586">
        <v>16</v>
      </c>
      <c r="R586">
        <v>2</v>
      </c>
      <c r="S586">
        <v>24.1</v>
      </c>
      <c r="T586">
        <v>117</v>
      </c>
      <c r="U586">
        <v>90</v>
      </c>
      <c r="V586">
        <v>8147</v>
      </c>
      <c r="W586">
        <v>10.3</v>
      </c>
      <c r="X586">
        <v>6</v>
      </c>
      <c r="Y586">
        <v>5</v>
      </c>
      <c r="Z586">
        <v>14</v>
      </c>
      <c r="AA586">
        <v>1.3</v>
      </c>
      <c r="AB586">
        <v>6</v>
      </c>
      <c r="AC586">
        <v>178</v>
      </c>
      <c r="AD586">
        <v>18</v>
      </c>
      <c r="AE586">
        <v>1</v>
      </c>
      <c r="AF586">
        <v>149</v>
      </c>
      <c r="AG586">
        <v>93</v>
      </c>
      <c r="AH586">
        <v>117</v>
      </c>
      <c r="AI586">
        <v>29</v>
      </c>
      <c r="AJ586">
        <v>35</v>
      </c>
      <c r="AK586">
        <v>42</v>
      </c>
      <c r="AL586">
        <v>19</v>
      </c>
      <c r="AM586">
        <v>3</v>
      </c>
      <c r="AN586">
        <v>100</v>
      </c>
      <c r="AO586">
        <v>19</v>
      </c>
      <c r="AP586">
        <v>20</v>
      </c>
      <c r="AQ586">
        <v>58</v>
      </c>
      <c r="AR586">
        <v>1041</v>
      </c>
      <c r="AS586">
        <v>1841</v>
      </c>
      <c r="AT586" t="s">
        <v>13</v>
      </c>
      <c r="AU586">
        <v>0.24</v>
      </c>
      <c r="AV586">
        <v>2015</v>
      </c>
      <c r="AW586" s="1">
        <v>45979</v>
      </c>
      <c r="AX586">
        <v>9.9</v>
      </c>
      <c r="AY586" t="s">
        <v>36</v>
      </c>
      <c r="AZ586" t="s">
        <v>17</v>
      </c>
      <c r="BA586" t="s">
        <v>21</v>
      </c>
      <c r="BB586" t="s">
        <v>7</v>
      </c>
      <c r="BC586" t="s">
        <v>7</v>
      </c>
      <c r="BD586">
        <v>0</v>
      </c>
      <c r="BE586" t="s">
        <v>14</v>
      </c>
      <c r="BF586">
        <v>0.99</v>
      </c>
    </row>
    <row r="587" spans="1:58" hidden="1" x14ac:dyDescent="0.2">
      <c r="A587">
        <v>586</v>
      </c>
      <c r="B587" t="s">
        <v>0</v>
      </c>
      <c r="C587">
        <v>41</v>
      </c>
      <c r="D587" t="s">
        <v>1</v>
      </c>
      <c r="E587" t="s">
        <v>22</v>
      </c>
      <c r="F587" t="s">
        <v>40</v>
      </c>
      <c r="G587" t="s">
        <v>117</v>
      </c>
      <c r="H587" t="s">
        <v>34</v>
      </c>
      <c r="I587" t="s">
        <v>115</v>
      </c>
      <c r="J587" t="s">
        <v>6</v>
      </c>
      <c r="K587" t="s">
        <v>13</v>
      </c>
      <c r="L587">
        <v>8.1</v>
      </c>
      <c r="M587">
        <v>8.3000000000000007</v>
      </c>
      <c r="N587" t="s">
        <v>39</v>
      </c>
      <c r="O587" t="s">
        <v>7</v>
      </c>
      <c r="P587" t="s">
        <v>46</v>
      </c>
      <c r="Q587">
        <v>27</v>
      </c>
      <c r="R587">
        <v>8</v>
      </c>
      <c r="S587">
        <v>18.3</v>
      </c>
      <c r="T587">
        <v>112</v>
      </c>
      <c r="U587">
        <v>78</v>
      </c>
      <c r="V587">
        <v>8052</v>
      </c>
      <c r="W587">
        <v>35.700000000000003</v>
      </c>
      <c r="X587">
        <v>1</v>
      </c>
      <c r="Y587">
        <v>1</v>
      </c>
      <c r="Z587">
        <v>10</v>
      </c>
      <c r="AA587">
        <v>0.7</v>
      </c>
      <c r="AB587">
        <v>1</v>
      </c>
      <c r="AC587">
        <v>156</v>
      </c>
      <c r="AD587">
        <v>8</v>
      </c>
      <c r="AE587">
        <v>0</v>
      </c>
      <c r="AF587">
        <v>133</v>
      </c>
      <c r="AG587">
        <v>87</v>
      </c>
      <c r="AH587">
        <v>94</v>
      </c>
      <c r="AI587">
        <v>21</v>
      </c>
      <c r="AJ587">
        <v>24</v>
      </c>
      <c r="AK587">
        <v>34</v>
      </c>
      <c r="AL587">
        <v>17</v>
      </c>
      <c r="AM587">
        <v>1</v>
      </c>
      <c r="AN587">
        <v>84</v>
      </c>
      <c r="AO587">
        <v>28</v>
      </c>
      <c r="AP587">
        <v>35</v>
      </c>
      <c r="AQ587">
        <v>59</v>
      </c>
      <c r="AR587">
        <v>303</v>
      </c>
      <c r="AS587">
        <v>199</v>
      </c>
      <c r="AT587" t="s">
        <v>7</v>
      </c>
      <c r="AU587">
        <v>0.99</v>
      </c>
      <c r="AV587">
        <v>2021</v>
      </c>
      <c r="AW587" s="1">
        <v>45676</v>
      </c>
      <c r="AX587">
        <v>19.5</v>
      </c>
      <c r="AY587" t="s">
        <v>36</v>
      </c>
      <c r="AZ587" t="s">
        <v>35</v>
      </c>
      <c r="BA587" t="s">
        <v>122</v>
      </c>
      <c r="BB587" t="s">
        <v>13</v>
      </c>
      <c r="BC587" t="s">
        <v>7</v>
      </c>
      <c r="BD587">
        <v>1</v>
      </c>
      <c r="BE587" t="s">
        <v>14</v>
      </c>
      <c r="BF587">
        <v>0.87</v>
      </c>
    </row>
    <row r="588" spans="1:58" hidden="1" x14ac:dyDescent="0.2">
      <c r="A588">
        <v>587</v>
      </c>
      <c r="B588" t="s">
        <v>0</v>
      </c>
      <c r="C588">
        <v>25</v>
      </c>
      <c r="D588" t="s">
        <v>28</v>
      </c>
      <c r="E588" t="s">
        <v>42</v>
      </c>
      <c r="F588" t="s">
        <v>15</v>
      </c>
      <c r="G588" t="s">
        <v>16</v>
      </c>
      <c r="H588" t="s">
        <v>118</v>
      </c>
      <c r="I588" t="s">
        <v>115</v>
      </c>
      <c r="J588" t="s">
        <v>123</v>
      </c>
      <c r="K588" t="s">
        <v>13</v>
      </c>
      <c r="L588">
        <v>3.1</v>
      </c>
      <c r="M588">
        <v>6.3</v>
      </c>
      <c r="N588" t="s">
        <v>25</v>
      </c>
      <c r="O588" t="s">
        <v>7</v>
      </c>
      <c r="P588" t="s">
        <v>9</v>
      </c>
      <c r="Q588">
        <v>20</v>
      </c>
      <c r="R588">
        <v>2</v>
      </c>
      <c r="S588">
        <v>23</v>
      </c>
      <c r="T588">
        <v>114</v>
      </c>
      <c r="U588">
        <v>63</v>
      </c>
      <c r="V588">
        <v>7949</v>
      </c>
      <c r="W588">
        <v>28.5</v>
      </c>
      <c r="X588">
        <v>2</v>
      </c>
      <c r="Y588">
        <v>3</v>
      </c>
      <c r="Z588">
        <v>12</v>
      </c>
      <c r="AA588">
        <v>1.4</v>
      </c>
      <c r="AB588">
        <v>3</v>
      </c>
      <c r="AC588">
        <v>278</v>
      </c>
      <c r="AD588">
        <v>23</v>
      </c>
      <c r="AE588">
        <v>5</v>
      </c>
      <c r="AF588">
        <v>279</v>
      </c>
      <c r="AG588">
        <v>129</v>
      </c>
      <c r="AH588">
        <v>147</v>
      </c>
      <c r="AI588">
        <v>25</v>
      </c>
      <c r="AJ588">
        <v>39</v>
      </c>
      <c r="AK588">
        <v>36</v>
      </c>
      <c r="AL588">
        <v>22</v>
      </c>
      <c r="AM588">
        <v>6</v>
      </c>
      <c r="AN588">
        <v>116</v>
      </c>
      <c r="AO588">
        <v>56</v>
      </c>
      <c r="AP588">
        <v>28</v>
      </c>
      <c r="AQ588">
        <v>72</v>
      </c>
      <c r="AR588">
        <v>4755</v>
      </c>
      <c r="AS588">
        <v>2724</v>
      </c>
      <c r="AT588" t="s">
        <v>7</v>
      </c>
      <c r="AU588">
        <v>0.88</v>
      </c>
      <c r="AV588">
        <v>2013</v>
      </c>
      <c r="AW588" s="1">
        <v>45704</v>
      </c>
      <c r="AX588">
        <v>12.1</v>
      </c>
      <c r="AY588" t="s">
        <v>19</v>
      </c>
      <c r="AZ588" t="s">
        <v>37</v>
      </c>
      <c r="BA588" t="s">
        <v>12</v>
      </c>
      <c r="BB588" t="s">
        <v>13</v>
      </c>
      <c r="BC588" t="s">
        <v>7</v>
      </c>
      <c r="BD588">
        <v>2</v>
      </c>
      <c r="BE588" t="s">
        <v>43</v>
      </c>
      <c r="BF588">
        <v>0.76</v>
      </c>
    </row>
    <row r="589" spans="1:58" hidden="1" x14ac:dyDescent="0.2">
      <c r="A589">
        <v>588</v>
      </c>
      <c r="B589" t="s">
        <v>0</v>
      </c>
      <c r="C589">
        <v>24</v>
      </c>
      <c r="D589" t="s">
        <v>28</v>
      </c>
      <c r="E589" t="s">
        <v>33</v>
      </c>
      <c r="F589" t="s">
        <v>15</v>
      </c>
      <c r="G589" t="s">
        <v>16</v>
      </c>
      <c r="H589" t="s">
        <v>118</v>
      </c>
      <c r="I589" t="s">
        <v>112</v>
      </c>
      <c r="J589" t="s">
        <v>32</v>
      </c>
      <c r="K589" t="s">
        <v>7</v>
      </c>
      <c r="L589">
        <v>1.1000000000000001</v>
      </c>
      <c r="M589">
        <v>6</v>
      </c>
      <c r="N589" t="s">
        <v>8</v>
      </c>
      <c r="O589" t="s">
        <v>7</v>
      </c>
      <c r="P589" t="s">
        <v>26</v>
      </c>
      <c r="Q589">
        <v>5</v>
      </c>
      <c r="R589">
        <v>4</v>
      </c>
      <c r="S589">
        <v>25.8</v>
      </c>
      <c r="T589">
        <v>96</v>
      </c>
      <c r="U589">
        <v>61</v>
      </c>
      <c r="V589">
        <v>7975</v>
      </c>
      <c r="W589">
        <v>24.5</v>
      </c>
      <c r="X589">
        <v>1</v>
      </c>
      <c r="Y589">
        <v>4</v>
      </c>
      <c r="Z589">
        <v>9</v>
      </c>
      <c r="AA589">
        <v>6.8</v>
      </c>
      <c r="AB589">
        <v>5</v>
      </c>
      <c r="AC589">
        <v>188</v>
      </c>
      <c r="AD589">
        <v>12</v>
      </c>
      <c r="AE589">
        <v>5</v>
      </c>
      <c r="AF589">
        <v>234</v>
      </c>
      <c r="AG589">
        <v>91</v>
      </c>
      <c r="AH589">
        <v>114</v>
      </c>
      <c r="AI589">
        <v>20</v>
      </c>
      <c r="AJ589">
        <v>24</v>
      </c>
      <c r="AK589">
        <v>29</v>
      </c>
      <c r="AL589">
        <v>20</v>
      </c>
      <c r="AM589">
        <v>6</v>
      </c>
      <c r="AN589">
        <v>89</v>
      </c>
      <c r="AO589">
        <v>24</v>
      </c>
      <c r="AP589">
        <v>19</v>
      </c>
      <c r="AQ589">
        <v>60</v>
      </c>
      <c r="AR589">
        <v>808</v>
      </c>
      <c r="AS589">
        <v>430</v>
      </c>
      <c r="AT589" t="s">
        <v>13</v>
      </c>
      <c r="AU589">
        <v>0.43</v>
      </c>
      <c r="AV589">
        <v>2016</v>
      </c>
      <c r="AW589" s="1">
        <v>45895</v>
      </c>
      <c r="AX589">
        <v>15.7</v>
      </c>
      <c r="AY589" t="s">
        <v>27</v>
      </c>
      <c r="AZ589" t="s">
        <v>35</v>
      </c>
      <c r="BA589" t="s">
        <v>21</v>
      </c>
      <c r="BB589" t="s">
        <v>7</v>
      </c>
      <c r="BC589" t="s">
        <v>7</v>
      </c>
      <c r="BD589">
        <v>1</v>
      </c>
      <c r="BE589" t="s">
        <v>14</v>
      </c>
      <c r="BF589">
        <v>0.89</v>
      </c>
    </row>
    <row r="590" spans="1:58" hidden="1" x14ac:dyDescent="0.2">
      <c r="A590">
        <v>589</v>
      </c>
      <c r="B590" t="s">
        <v>0</v>
      </c>
      <c r="C590">
        <v>43</v>
      </c>
      <c r="D590" t="s">
        <v>1</v>
      </c>
      <c r="E590" t="s">
        <v>50</v>
      </c>
      <c r="F590" t="s">
        <v>15</v>
      </c>
      <c r="G590" t="s">
        <v>16</v>
      </c>
      <c r="H590" t="s">
        <v>34</v>
      </c>
      <c r="I590" t="s">
        <v>115</v>
      </c>
      <c r="J590" t="s">
        <v>6</v>
      </c>
      <c r="K590" t="s">
        <v>7</v>
      </c>
      <c r="L590">
        <v>14.3</v>
      </c>
      <c r="M590">
        <v>7.2</v>
      </c>
      <c r="N590" t="s">
        <v>120</v>
      </c>
      <c r="O590" t="s">
        <v>7</v>
      </c>
      <c r="P590" t="s">
        <v>26</v>
      </c>
      <c r="Q590">
        <v>39</v>
      </c>
      <c r="R590">
        <v>1</v>
      </c>
      <c r="S590">
        <v>24.2</v>
      </c>
      <c r="T590">
        <v>102</v>
      </c>
      <c r="U590">
        <v>81</v>
      </c>
      <c r="V590">
        <v>8152</v>
      </c>
      <c r="W590">
        <v>51.3</v>
      </c>
      <c r="X590">
        <v>2</v>
      </c>
      <c r="Y590">
        <v>6</v>
      </c>
      <c r="Z590">
        <v>6</v>
      </c>
      <c r="AA590">
        <v>1.8</v>
      </c>
      <c r="AB590">
        <v>4</v>
      </c>
      <c r="AC590">
        <v>352</v>
      </c>
      <c r="AD590">
        <v>29</v>
      </c>
      <c r="AE590">
        <v>5</v>
      </c>
      <c r="AF590">
        <v>255</v>
      </c>
      <c r="AG590">
        <v>150</v>
      </c>
      <c r="AH590">
        <v>198</v>
      </c>
      <c r="AI590">
        <v>71</v>
      </c>
      <c r="AJ590">
        <v>50</v>
      </c>
      <c r="AK590">
        <v>45</v>
      </c>
      <c r="AL590">
        <v>33</v>
      </c>
      <c r="AM590">
        <v>7</v>
      </c>
      <c r="AN590">
        <v>154</v>
      </c>
      <c r="AO590">
        <v>60</v>
      </c>
      <c r="AP590">
        <v>63</v>
      </c>
      <c r="AQ590">
        <v>140</v>
      </c>
      <c r="AR590">
        <v>1316</v>
      </c>
      <c r="AS590">
        <v>1773</v>
      </c>
      <c r="AT590" t="s">
        <v>7</v>
      </c>
      <c r="AU590">
        <v>0.64</v>
      </c>
      <c r="AV590">
        <v>2013</v>
      </c>
      <c r="AW590" s="1">
        <v>45717</v>
      </c>
      <c r="AX590">
        <v>12.1</v>
      </c>
      <c r="AY590" t="s">
        <v>30</v>
      </c>
      <c r="AZ590" t="s">
        <v>48</v>
      </c>
      <c r="BA590" t="s">
        <v>21</v>
      </c>
      <c r="BB590" t="s">
        <v>7</v>
      </c>
      <c r="BC590" t="s">
        <v>13</v>
      </c>
      <c r="BD590">
        <v>2</v>
      </c>
      <c r="BE590" t="s">
        <v>14</v>
      </c>
      <c r="BF590">
        <v>1.01</v>
      </c>
    </row>
    <row r="591" spans="1:58" hidden="1" x14ac:dyDescent="0.2">
      <c r="A591">
        <v>590</v>
      </c>
      <c r="B591" t="s">
        <v>0</v>
      </c>
      <c r="C591">
        <v>58</v>
      </c>
      <c r="D591" t="s">
        <v>1</v>
      </c>
      <c r="E591" t="s">
        <v>126</v>
      </c>
      <c r="F591" t="s">
        <v>15</v>
      </c>
      <c r="G591" t="s">
        <v>117</v>
      </c>
      <c r="H591" t="s">
        <v>118</v>
      </c>
      <c r="I591" t="s">
        <v>115</v>
      </c>
      <c r="J591" t="s">
        <v>32</v>
      </c>
      <c r="K591" t="s">
        <v>13</v>
      </c>
      <c r="L591">
        <v>10.5</v>
      </c>
      <c r="M591">
        <v>7.4</v>
      </c>
      <c r="N591" t="s">
        <v>29</v>
      </c>
      <c r="O591" t="s">
        <v>7</v>
      </c>
      <c r="P591" t="s">
        <v>46</v>
      </c>
      <c r="Q591">
        <v>26</v>
      </c>
      <c r="R591">
        <v>2</v>
      </c>
      <c r="S591">
        <v>26.1</v>
      </c>
      <c r="T591">
        <v>128</v>
      </c>
      <c r="U591">
        <v>65</v>
      </c>
      <c r="V591">
        <v>7955</v>
      </c>
      <c r="W591">
        <v>41.1</v>
      </c>
      <c r="X591">
        <v>0</v>
      </c>
      <c r="Y591">
        <v>2</v>
      </c>
      <c r="Z591">
        <v>8</v>
      </c>
      <c r="AA591">
        <v>4.5999999999999996</v>
      </c>
      <c r="AB591">
        <v>4</v>
      </c>
      <c r="AC591">
        <v>321</v>
      </c>
      <c r="AD591">
        <v>14</v>
      </c>
      <c r="AE591">
        <v>3</v>
      </c>
      <c r="AF591">
        <v>233</v>
      </c>
      <c r="AG591">
        <v>148</v>
      </c>
      <c r="AH591">
        <v>187</v>
      </c>
      <c r="AI591">
        <v>56</v>
      </c>
      <c r="AJ591">
        <v>38</v>
      </c>
      <c r="AK591">
        <v>55</v>
      </c>
      <c r="AL591">
        <v>26</v>
      </c>
      <c r="AM591">
        <v>13</v>
      </c>
      <c r="AN591">
        <v>129</v>
      </c>
      <c r="AO591">
        <v>56</v>
      </c>
      <c r="AP591">
        <v>62</v>
      </c>
      <c r="AQ591">
        <v>71</v>
      </c>
      <c r="AR591">
        <v>807</v>
      </c>
      <c r="AS591">
        <v>1507</v>
      </c>
      <c r="AT591" t="s">
        <v>7</v>
      </c>
      <c r="AU591">
        <v>0.69</v>
      </c>
      <c r="AV591">
        <v>2018</v>
      </c>
      <c r="AW591" s="1">
        <v>45997</v>
      </c>
      <c r="AX591">
        <v>22.9</v>
      </c>
      <c r="AY591" t="s">
        <v>30</v>
      </c>
      <c r="AZ591" t="s">
        <v>11</v>
      </c>
      <c r="BA591" t="s">
        <v>12</v>
      </c>
      <c r="BB591" t="s">
        <v>7</v>
      </c>
      <c r="BC591" t="s">
        <v>7</v>
      </c>
      <c r="BD591">
        <v>3</v>
      </c>
      <c r="BE591" t="s">
        <v>14</v>
      </c>
      <c r="BF591">
        <v>0.96</v>
      </c>
    </row>
    <row r="592" spans="1:58" hidden="1" x14ac:dyDescent="0.2">
      <c r="A592">
        <v>591</v>
      </c>
      <c r="B592" t="s">
        <v>0</v>
      </c>
      <c r="C592">
        <v>14</v>
      </c>
      <c r="D592" t="s">
        <v>28</v>
      </c>
      <c r="E592" t="s">
        <v>17</v>
      </c>
      <c r="F592" t="s">
        <v>40</v>
      </c>
      <c r="G592" t="s">
        <v>117</v>
      </c>
      <c r="H592" t="s">
        <v>118</v>
      </c>
      <c r="I592" t="s">
        <v>115</v>
      </c>
      <c r="J592" t="s">
        <v>6</v>
      </c>
      <c r="K592" t="s">
        <v>7</v>
      </c>
      <c r="L592">
        <v>2.8</v>
      </c>
      <c r="M592">
        <v>7.8</v>
      </c>
      <c r="N592" t="s">
        <v>8</v>
      </c>
      <c r="O592" t="s">
        <v>7</v>
      </c>
      <c r="P592" t="s">
        <v>9</v>
      </c>
      <c r="Q592">
        <v>8</v>
      </c>
      <c r="R592">
        <v>5</v>
      </c>
      <c r="S592">
        <v>28.8</v>
      </c>
      <c r="T592">
        <v>117</v>
      </c>
      <c r="U592">
        <v>71</v>
      </c>
      <c r="V592">
        <v>8119</v>
      </c>
      <c r="W592">
        <v>53.6</v>
      </c>
      <c r="X592">
        <v>0</v>
      </c>
      <c r="Y592">
        <v>5</v>
      </c>
      <c r="Z592">
        <v>9</v>
      </c>
      <c r="AA592">
        <v>3.1</v>
      </c>
      <c r="AB592">
        <v>2</v>
      </c>
      <c r="AC592">
        <v>127</v>
      </c>
      <c r="AD592">
        <v>4</v>
      </c>
      <c r="AE592">
        <v>7</v>
      </c>
      <c r="AF592">
        <v>175</v>
      </c>
      <c r="AG592">
        <v>82</v>
      </c>
      <c r="AH592">
        <v>96</v>
      </c>
      <c r="AI592">
        <v>24</v>
      </c>
      <c r="AJ592">
        <v>25</v>
      </c>
      <c r="AK592">
        <v>25</v>
      </c>
      <c r="AL592">
        <v>8</v>
      </c>
      <c r="AM592">
        <v>2</v>
      </c>
      <c r="AN592">
        <v>56</v>
      </c>
      <c r="AO592">
        <v>18</v>
      </c>
      <c r="AP592">
        <v>19</v>
      </c>
      <c r="AQ592">
        <v>40</v>
      </c>
      <c r="AR592">
        <v>11084</v>
      </c>
      <c r="AS592">
        <v>10000</v>
      </c>
      <c r="AT592" t="s">
        <v>7</v>
      </c>
      <c r="AU592">
        <v>0.51</v>
      </c>
      <c r="AV592">
        <v>2017</v>
      </c>
      <c r="AW592" s="1">
        <v>45991</v>
      </c>
      <c r="AX592">
        <v>31.8</v>
      </c>
      <c r="AY592" t="s">
        <v>27</v>
      </c>
      <c r="AZ592" t="s">
        <v>31</v>
      </c>
      <c r="BA592" t="s">
        <v>21</v>
      </c>
      <c r="BB592" t="s">
        <v>7</v>
      </c>
      <c r="BC592" t="s">
        <v>7</v>
      </c>
      <c r="BD592">
        <v>4</v>
      </c>
      <c r="BE592" t="s">
        <v>14</v>
      </c>
      <c r="BF592">
        <v>1.29</v>
      </c>
    </row>
    <row r="593" spans="1:58" hidden="1" x14ac:dyDescent="0.2">
      <c r="A593">
        <v>592</v>
      </c>
      <c r="B593" t="s">
        <v>0</v>
      </c>
      <c r="C593">
        <v>63</v>
      </c>
      <c r="D593" t="s">
        <v>28</v>
      </c>
      <c r="E593" t="s">
        <v>128</v>
      </c>
      <c r="F593" t="s">
        <v>15</v>
      </c>
      <c r="G593" t="s">
        <v>117</v>
      </c>
      <c r="H593" t="s">
        <v>23</v>
      </c>
      <c r="I593" t="s">
        <v>17</v>
      </c>
      <c r="J593" t="s">
        <v>123</v>
      </c>
      <c r="K593" t="s">
        <v>13</v>
      </c>
      <c r="L593">
        <v>4.7</v>
      </c>
      <c r="M593">
        <v>7.5</v>
      </c>
      <c r="N593" t="s">
        <v>29</v>
      </c>
      <c r="O593" t="s">
        <v>7</v>
      </c>
      <c r="P593" t="s">
        <v>9</v>
      </c>
      <c r="Q593">
        <v>22</v>
      </c>
      <c r="R593">
        <v>2</v>
      </c>
      <c r="S593">
        <v>23.6</v>
      </c>
      <c r="T593">
        <v>114</v>
      </c>
      <c r="U593">
        <v>70</v>
      </c>
      <c r="V593">
        <v>7961</v>
      </c>
      <c r="W593">
        <v>30.4</v>
      </c>
      <c r="X593">
        <v>1</v>
      </c>
      <c r="Y593">
        <v>1</v>
      </c>
      <c r="Z593">
        <v>15</v>
      </c>
      <c r="AA593">
        <v>5.5</v>
      </c>
      <c r="AB593">
        <v>2</v>
      </c>
      <c r="AC593">
        <v>277</v>
      </c>
      <c r="AD593">
        <v>22</v>
      </c>
      <c r="AE593">
        <v>6</v>
      </c>
      <c r="AF593">
        <v>201</v>
      </c>
      <c r="AG593">
        <v>150</v>
      </c>
      <c r="AH593">
        <v>153</v>
      </c>
      <c r="AI593">
        <v>52</v>
      </c>
      <c r="AJ593">
        <v>28</v>
      </c>
      <c r="AK593">
        <v>53</v>
      </c>
      <c r="AL593">
        <v>25</v>
      </c>
      <c r="AM593">
        <v>5</v>
      </c>
      <c r="AN593">
        <v>150</v>
      </c>
      <c r="AO593">
        <v>31</v>
      </c>
      <c r="AP593">
        <v>54</v>
      </c>
      <c r="AQ593">
        <v>61</v>
      </c>
      <c r="AR593">
        <v>2902</v>
      </c>
      <c r="AS593">
        <v>2793</v>
      </c>
      <c r="AT593" t="s">
        <v>7</v>
      </c>
      <c r="AU593">
        <v>0.8</v>
      </c>
      <c r="AV593">
        <v>2018</v>
      </c>
      <c r="AW593" s="1">
        <v>45768</v>
      </c>
      <c r="AX593">
        <v>12.6</v>
      </c>
      <c r="AY593" t="s">
        <v>36</v>
      </c>
      <c r="AZ593" t="s">
        <v>31</v>
      </c>
      <c r="BA593" t="s">
        <v>122</v>
      </c>
      <c r="BB593" t="s">
        <v>13</v>
      </c>
      <c r="BC593" t="s">
        <v>13</v>
      </c>
      <c r="BD593">
        <v>2</v>
      </c>
      <c r="BE593" t="s">
        <v>14</v>
      </c>
      <c r="BF593">
        <v>0.99</v>
      </c>
    </row>
    <row r="594" spans="1:58" hidden="1" x14ac:dyDescent="0.2">
      <c r="A594">
        <v>593</v>
      </c>
      <c r="B594" t="s">
        <v>0</v>
      </c>
      <c r="C594">
        <v>62</v>
      </c>
      <c r="D594" t="s">
        <v>1</v>
      </c>
      <c r="E594" t="s">
        <v>50</v>
      </c>
      <c r="F594" t="s">
        <v>15</v>
      </c>
      <c r="G594" t="s">
        <v>38</v>
      </c>
      <c r="H594" t="s">
        <v>118</v>
      </c>
      <c r="I594" t="s">
        <v>112</v>
      </c>
      <c r="J594" t="s">
        <v>6</v>
      </c>
      <c r="K594" t="s">
        <v>7</v>
      </c>
      <c r="L594">
        <v>6.6</v>
      </c>
      <c r="M594">
        <v>9</v>
      </c>
      <c r="N594" t="s">
        <v>8</v>
      </c>
      <c r="O594" t="s">
        <v>13</v>
      </c>
      <c r="P594" t="s">
        <v>26</v>
      </c>
      <c r="Q594">
        <v>13</v>
      </c>
      <c r="R594">
        <v>10</v>
      </c>
      <c r="S594">
        <v>26.7</v>
      </c>
      <c r="T594">
        <v>115</v>
      </c>
      <c r="U594">
        <v>97</v>
      </c>
      <c r="V594">
        <v>7966</v>
      </c>
      <c r="W594">
        <v>26.2</v>
      </c>
      <c r="X594">
        <v>2</v>
      </c>
      <c r="Y594">
        <v>5</v>
      </c>
      <c r="Z594">
        <v>11</v>
      </c>
      <c r="AA594">
        <v>3.7</v>
      </c>
      <c r="AB594">
        <v>1</v>
      </c>
      <c r="AC594">
        <v>47</v>
      </c>
      <c r="AD594">
        <v>6</v>
      </c>
      <c r="AE594">
        <v>3</v>
      </c>
      <c r="AF594">
        <v>66</v>
      </c>
      <c r="AG594">
        <v>45</v>
      </c>
      <c r="AH594">
        <v>60</v>
      </c>
      <c r="AI594">
        <v>10</v>
      </c>
      <c r="AJ594">
        <v>16</v>
      </c>
      <c r="AK594">
        <v>20</v>
      </c>
      <c r="AL594">
        <v>7</v>
      </c>
      <c r="AM594">
        <v>3</v>
      </c>
      <c r="AN594">
        <v>25</v>
      </c>
      <c r="AO594">
        <v>10</v>
      </c>
      <c r="AP594">
        <v>7</v>
      </c>
      <c r="AQ594">
        <v>11</v>
      </c>
      <c r="AR594">
        <v>3036</v>
      </c>
      <c r="AS594">
        <v>4955</v>
      </c>
      <c r="AT594" t="s">
        <v>7</v>
      </c>
      <c r="AU594">
        <v>0.74</v>
      </c>
      <c r="AV594">
        <v>2017</v>
      </c>
      <c r="AW594" s="1">
        <v>45959</v>
      </c>
      <c r="AX594">
        <v>7.8</v>
      </c>
      <c r="AY594" t="s">
        <v>36</v>
      </c>
      <c r="AZ594" t="s">
        <v>48</v>
      </c>
      <c r="BA594" t="s">
        <v>122</v>
      </c>
      <c r="BB594" t="s">
        <v>13</v>
      </c>
      <c r="BC594" t="s">
        <v>13</v>
      </c>
      <c r="BD594">
        <v>2</v>
      </c>
      <c r="BE594" t="s">
        <v>14</v>
      </c>
      <c r="BF594">
        <v>1.85</v>
      </c>
    </row>
    <row r="595" spans="1:58" hidden="1" x14ac:dyDescent="0.2">
      <c r="A595">
        <v>594</v>
      </c>
      <c r="B595" t="s">
        <v>0</v>
      </c>
      <c r="C595">
        <v>47</v>
      </c>
      <c r="D595" t="s">
        <v>28</v>
      </c>
      <c r="E595" t="s">
        <v>17</v>
      </c>
      <c r="F595" t="s">
        <v>3</v>
      </c>
      <c r="G595" t="s">
        <v>117</v>
      </c>
      <c r="H595" t="s">
        <v>23</v>
      </c>
      <c r="I595" t="s">
        <v>113</v>
      </c>
      <c r="J595" t="s">
        <v>32</v>
      </c>
      <c r="K595" t="s">
        <v>7</v>
      </c>
      <c r="L595">
        <v>4.2</v>
      </c>
      <c r="M595">
        <v>8.6999999999999993</v>
      </c>
      <c r="N595" t="s">
        <v>8</v>
      </c>
      <c r="O595" t="s">
        <v>41</v>
      </c>
      <c r="P595" t="s">
        <v>46</v>
      </c>
      <c r="Q595">
        <v>5</v>
      </c>
      <c r="R595">
        <v>3</v>
      </c>
      <c r="S595">
        <v>20</v>
      </c>
      <c r="T595">
        <v>109</v>
      </c>
      <c r="U595">
        <v>90</v>
      </c>
      <c r="V595">
        <v>8086</v>
      </c>
      <c r="W595">
        <v>60.7</v>
      </c>
      <c r="X595">
        <v>2</v>
      </c>
      <c r="Y595">
        <v>4</v>
      </c>
      <c r="Z595">
        <v>6</v>
      </c>
      <c r="AA595">
        <v>3.3</v>
      </c>
      <c r="AB595">
        <v>1</v>
      </c>
      <c r="AC595">
        <v>95</v>
      </c>
      <c r="AD595">
        <v>6</v>
      </c>
      <c r="AE595">
        <v>2</v>
      </c>
      <c r="AF595">
        <v>86</v>
      </c>
      <c r="AG595">
        <v>61</v>
      </c>
      <c r="AH595">
        <v>78</v>
      </c>
      <c r="AI595">
        <v>8</v>
      </c>
      <c r="AJ595">
        <v>15</v>
      </c>
      <c r="AK595">
        <v>17</v>
      </c>
      <c r="AL595">
        <v>10</v>
      </c>
      <c r="AM595">
        <v>4</v>
      </c>
      <c r="AN595">
        <v>55</v>
      </c>
      <c r="AO595">
        <v>20</v>
      </c>
      <c r="AP595">
        <v>12</v>
      </c>
      <c r="AQ595">
        <v>21</v>
      </c>
      <c r="AR595">
        <v>3528</v>
      </c>
      <c r="AS595">
        <v>2000</v>
      </c>
      <c r="AT595" t="s">
        <v>13</v>
      </c>
      <c r="AU595">
        <v>0.76</v>
      </c>
      <c r="AV595">
        <v>2025</v>
      </c>
      <c r="AW595" s="1">
        <v>45765</v>
      </c>
      <c r="AX595">
        <v>15.8</v>
      </c>
      <c r="AY595" t="s">
        <v>10</v>
      </c>
      <c r="AZ595" t="s">
        <v>37</v>
      </c>
      <c r="BA595" t="s">
        <v>21</v>
      </c>
      <c r="BB595" t="s">
        <v>13</v>
      </c>
      <c r="BC595" t="s">
        <v>7</v>
      </c>
      <c r="BD595">
        <v>3</v>
      </c>
      <c r="BE595" t="s">
        <v>14</v>
      </c>
      <c r="BF595">
        <v>1.04</v>
      </c>
    </row>
    <row r="596" spans="1:58" hidden="1" x14ac:dyDescent="0.2">
      <c r="A596">
        <v>595</v>
      </c>
      <c r="B596" t="s">
        <v>0</v>
      </c>
      <c r="C596">
        <v>35</v>
      </c>
      <c r="D596" t="s">
        <v>28</v>
      </c>
      <c r="E596" t="s">
        <v>2</v>
      </c>
      <c r="F596" t="s">
        <v>15</v>
      </c>
      <c r="G596" t="s">
        <v>117</v>
      </c>
      <c r="H596" t="s">
        <v>118</v>
      </c>
      <c r="I596" t="s">
        <v>114</v>
      </c>
      <c r="J596" t="s">
        <v>32</v>
      </c>
      <c r="K596" t="s">
        <v>13</v>
      </c>
      <c r="L596">
        <v>10.6</v>
      </c>
      <c r="M596">
        <v>6.1</v>
      </c>
      <c r="N596" t="s">
        <v>8</v>
      </c>
      <c r="O596" t="s">
        <v>7</v>
      </c>
      <c r="P596" t="s">
        <v>46</v>
      </c>
      <c r="Q596">
        <v>0</v>
      </c>
      <c r="R596">
        <v>9</v>
      </c>
      <c r="S596">
        <v>20.5</v>
      </c>
      <c r="T596">
        <v>98</v>
      </c>
      <c r="U596">
        <v>96</v>
      </c>
      <c r="V596">
        <v>7927</v>
      </c>
      <c r="W596">
        <v>25.9</v>
      </c>
      <c r="X596">
        <v>4</v>
      </c>
      <c r="Y596">
        <v>2</v>
      </c>
      <c r="Z596">
        <v>6</v>
      </c>
      <c r="AA596">
        <v>4.0999999999999996</v>
      </c>
      <c r="AB596">
        <v>2</v>
      </c>
      <c r="AC596">
        <v>5</v>
      </c>
      <c r="AD596">
        <v>1</v>
      </c>
      <c r="AE596">
        <v>3</v>
      </c>
      <c r="AF596">
        <v>36</v>
      </c>
      <c r="AG596">
        <v>39</v>
      </c>
      <c r="AH596">
        <v>34</v>
      </c>
      <c r="AI596">
        <v>3</v>
      </c>
      <c r="AJ596">
        <v>12</v>
      </c>
      <c r="AK596">
        <v>5</v>
      </c>
      <c r="AL596">
        <v>5</v>
      </c>
      <c r="AM596">
        <v>1</v>
      </c>
      <c r="AN596">
        <v>3</v>
      </c>
      <c r="AO596">
        <v>1</v>
      </c>
      <c r="AP596">
        <v>1</v>
      </c>
      <c r="AQ596">
        <v>1</v>
      </c>
      <c r="AR596">
        <v>2751</v>
      </c>
      <c r="AS596">
        <v>6121</v>
      </c>
      <c r="AT596" t="s">
        <v>7</v>
      </c>
      <c r="AU596">
        <v>0.1</v>
      </c>
      <c r="AV596">
        <v>2011</v>
      </c>
      <c r="AW596" s="1">
        <v>45856</v>
      </c>
      <c r="AX596">
        <v>5</v>
      </c>
      <c r="AY596" t="s">
        <v>19</v>
      </c>
      <c r="AZ596" t="s">
        <v>17</v>
      </c>
      <c r="BA596" t="s">
        <v>21</v>
      </c>
      <c r="BB596" t="s">
        <v>13</v>
      </c>
      <c r="BC596" t="s">
        <v>7</v>
      </c>
      <c r="BD596">
        <v>1</v>
      </c>
      <c r="BE596" t="s">
        <v>14</v>
      </c>
      <c r="BF596">
        <v>8.17</v>
      </c>
    </row>
    <row r="597" spans="1:58" hidden="1" x14ac:dyDescent="0.2">
      <c r="A597">
        <v>596</v>
      </c>
      <c r="B597" t="s">
        <v>0</v>
      </c>
      <c r="C597">
        <v>29</v>
      </c>
      <c r="D597" t="s">
        <v>1</v>
      </c>
      <c r="E597" t="s">
        <v>47</v>
      </c>
      <c r="F597" t="s">
        <v>3</v>
      </c>
      <c r="G597" t="s">
        <v>16</v>
      </c>
      <c r="H597" t="s">
        <v>34</v>
      </c>
      <c r="I597" t="s">
        <v>114</v>
      </c>
      <c r="J597" t="s">
        <v>6</v>
      </c>
      <c r="K597" t="s">
        <v>7</v>
      </c>
      <c r="L597">
        <v>4.7</v>
      </c>
      <c r="M597">
        <v>4.8</v>
      </c>
      <c r="N597" t="s">
        <v>8</v>
      </c>
      <c r="O597" t="s">
        <v>7</v>
      </c>
      <c r="P597" t="s">
        <v>121</v>
      </c>
      <c r="Q597">
        <v>0</v>
      </c>
      <c r="R597">
        <v>5</v>
      </c>
      <c r="S597">
        <v>35.200000000000003</v>
      </c>
      <c r="T597">
        <v>138</v>
      </c>
      <c r="U597">
        <v>96</v>
      </c>
      <c r="V597">
        <v>7945</v>
      </c>
      <c r="W597">
        <v>39.5</v>
      </c>
      <c r="X597">
        <v>2</v>
      </c>
      <c r="Y597">
        <v>5</v>
      </c>
      <c r="Z597">
        <v>6</v>
      </c>
      <c r="AA597">
        <v>5.4</v>
      </c>
      <c r="AB597">
        <v>3</v>
      </c>
      <c r="AC597">
        <v>91</v>
      </c>
      <c r="AD597">
        <v>9</v>
      </c>
      <c r="AE597">
        <v>2</v>
      </c>
      <c r="AF597">
        <v>195</v>
      </c>
      <c r="AG597">
        <v>73</v>
      </c>
      <c r="AH597">
        <v>65</v>
      </c>
      <c r="AI597">
        <v>16</v>
      </c>
      <c r="AJ597">
        <v>17</v>
      </c>
      <c r="AK597">
        <v>15</v>
      </c>
      <c r="AL597">
        <v>14</v>
      </c>
      <c r="AM597">
        <v>5</v>
      </c>
      <c r="AN597">
        <v>43</v>
      </c>
      <c r="AO597">
        <v>25</v>
      </c>
      <c r="AP597">
        <v>21</v>
      </c>
      <c r="AQ597">
        <v>20</v>
      </c>
      <c r="AR597">
        <v>992</v>
      </c>
      <c r="AS597">
        <v>1561</v>
      </c>
      <c r="AT597" t="s">
        <v>13</v>
      </c>
      <c r="AU597">
        <v>0.62</v>
      </c>
      <c r="AV597">
        <v>2022</v>
      </c>
      <c r="AW597" s="1">
        <v>45991</v>
      </c>
      <c r="AX597">
        <v>10.1</v>
      </c>
      <c r="AY597" t="s">
        <v>10</v>
      </c>
      <c r="AZ597" t="s">
        <v>20</v>
      </c>
      <c r="BA597" t="s">
        <v>12</v>
      </c>
      <c r="BB597" t="s">
        <v>7</v>
      </c>
      <c r="BC597" t="s">
        <v>13</v>
      </c>
      <c r="BD597">
        <v>2</v>
      </c>
      <c r="BE597" t="s">
        <v>43</v>
      </c>
      <c r="BF597">
        <v>1.1200000000000001</v>
      </c>
    </row>
    <row r="598" spans="1:58" hidden="1" x14ac:dyDescent="0.2">
      <c r="A598">
        <v>597</v>
      </c>
      <c r="B598" t="s">
        <v>0</v>
      </c>
      <c r="C598">
        <v>38</v>
      </c>
      <c r="D598" t="s">
        <v>1</v>
      </c>
      <c r="E598" t="s">
        <v>22</v>
      </c>
      <c r="F598" t="s">
        <v>15</v>
      </c>
      <c r="G598" t="s">
        <v>16</v>
      </c>
      <c r="H598" t="s">
        <v>118</v>
      </c>
      <c r="I598" t="s">
        <v>115</v>
      </c>
      <c r="J598" t="s">
        <v>32</v>
      </c>
      <c r="K598" t="s">
        <v>7</v>
      </c>
      <c r="L598">
        <v>10.9</v>
      </c>
      <c r="M598">
        <v>9.1</v>
      </c>
      <c r="N598" t="s">
        <v>39</v>
      </c>
      <c r="O598" t="s">
        <v>7</v>
      </c>
      <c r="P598" t="s">
        <v>26</v>
      </c>
      <c r="Q598">
        <v>6</v>
      </c>
      <c r="R598">
        <v>9</v>
      </c>
      <c r="S598">
        <v>28.1</v>
      </c>
      <c r="T598">
        <v>105</v>
      </c>
      <c r="U598">
        <v>81</v>
      </c>
      <c r="V598">
        <v>7993</v>
      </c>
      <c r="W598">
        <v>49.7</v>
      </c>
      <c r="X598">
        <v>3</v>
      </c>
      <c r="Y598">
        <v>8</v>
      </c>
      <c r="Z598">
        <v>7</v>
      </c>
      <c r="AA598">
        <v>4.7</v>
      </c>
      <c r="AB598">
        <v>3</v>
      </c>
      <c r="AC598">
        <v>25</v>
      </c>
      <c r="AD598">
        <v>1</v>
      </c>
      <c r="AE598">
        <v>4</v>
      </c>
      <c r="AF598">
        <v>50</v>
      </c>
      <c r="AG598">
        <v>34</v>
      </c>
      <c r="AH598">
        <v>30</v>
      </c>
      <c r="AI598">
        <v>9</v>
      </c>
      <c r="AJ598">
        <v>12</v>
      </c>
      <c r="AK598">
        <v>18</v>
      </c>
      <c r="AL598">
        <v>8</v>
      </c>
      <c r="AM598">
        <v>3</v>
      </c>
      <c r="AN598">
        <v>11</v>
      </c>
      <c r="AO598">
        <v>4</v>
      </c>
      <c r="AP598">
        <v>3</v>
      </c>
      <c r="AQ598">
        <v>9</v>
      </c>
      <c r="AR598">
        <v>999</v>
      </c>
      <c r="AS598">
        <v>1671</v>
      </c>
      <c r="AT598" t="s">
        <v>7</v>
      </c>
      <c r="AU598">
        <v>0.48</v>
      </c>
      <c r="AV598">
        <v>2014</v>
      </c>
      <c r="AW598" s="1">
        <v>45776</v>
      </c>
      <c r="AX598">
        <v>25</v>
      </c>
      <c r="AY598" t="s">
        <v>36</v>
      </c>
      <c r="AZ598" t="s">
        <v>11</v>
      </c>
      <c r="BA598" t="s">
        <v>122</v>
      </c>
      <c r="BB598" t="s">
        <v>7</v>
      </c>
      <c r="BC598" t="s">
        <v>7</v>
      </c>
      <c r="BD598">
        <v>2</v>
      </c>
      <c r="BE598" t="s">
        <v>14</v>
      </c>
      <c r="BF598">
        <v>2.31</v>
      </c>
    </row>
    <row r="599" spans="1:58" hidden="1" x14ac:dyDescent="0.2">
      <c r="A599">
        <v>598</v>
      </c>
      <c r="B599" t="s">
        <v>0</v>
      </c>
      <c r="C599">
        <v>20</v>
      </c>
      <c r="D599" t="s">
        <v>28</v>
      </c>
      <c r="E599" t="s">
        <v>33</v>
      </c>
      <c r="F599" t="s">
        <v>15</v>
      </c>
      <c r="G599" t="s">
        <v>38</v>
      </c>
      <c r="H599" t="s">
        <v>118</v>
      </c>
      <c r="I599" t="s">
        <v>114</v>
      </c>
      <c r="J599" t="s">
        <v>123</v>
      </c>
      <c r="K599" t="s">
        <v>7</v>
      </c>
      <c r="L599">
        <v>6.9</v>
      </c>
      <c r="M599">
        <v>7.9</v>
      </c>
      <c r="N599" t="s">
        <v>120</v>
      </c>
      <c r="O599" t="s">
        <v>41</v>
      </c>
      <c r="P599" t="s">
        <v>46</v>
      </c>
      <c r="Q599">
        <v>15</v>
      </c>
      <c r="R599">
        <v>8</v>
      </c>
      <c r="S599">
        <v>19.8</v>
      </c>
      <c r="T599">
        <v>111</v>
      </c>
      <c r="U599">
        <v>74</v>
      </c>
      <c r="V599">
        <v>8062</v>
      </c>
      <c r="W599">
        <v>40.6</v>
      </c>
      <c r="X599">
        <v>0</v>
      </c>
      <c r="Y599">
        <v>3</v>
      </c>
      <c r="Z599">
        <v>10</v>
      </c>
      <c r="AA599">
        <v>1.4</v>
      </c>
      <c r="AB599">
        <v>4</v>
      </c>
      <c r="AC599">
        <v>157</v>
      </c>
      <c r="AD599">
        <v>9</v>
      </c>
      <c r="AE599">
        <v>5</v>
      </c>
      <c r="AF599">
        <v>210</v>
      </c>
      <c r="AG599">
        <v>86</v>
      </c>
      <c r="AH599">
        <v>89</v>
      </c>
      <c r="AI599">
        <v>24</v>
      </c>
      <c r="AJ599">
        <v>24</v>
      </c>
      <c r="AK599">
        <v>27</v>
      </c>
      <c r="AL599">
        <v>14</v>
      </c>
      <c r="AM599">
        <v>3</v>
      </c>
      <c r="AN599">
        <v>86</v>
      </c>
      <c r="AO599">
        <v>27</v>
      </c>
      <c r="AP599">
        <v>39</v>
      </c>
      <c r="AQ599">
        <v>36</v>
      </c>
      <c r="AR599">
        <v>1032</v>
      </c>
      <c r="AS599">
        <v>1811</v>
      </c>
      <c r="AT599" t="s">
        <v>7</v>
      </c>
      <c r="AU599">
        <v>0.86</v>
      </c>
      <c r="AV599">
        <v>2025</v>
      </c>
      <c r="AW599" s="1">
        <v>45769</v>
      </c>
      <c r="AX599">
        <v>17.399999999999999</v>
      </c>
      <c r="AY599" t="s">
        <v>30</v>
      </c>
      <c r="AZ599" t="s">
        <v>48</v>
      </c>
      <c r="BA599" t="s">
        <v>21</v>
      </c>
      <c r="BB599" t="s">
        <v>13</v>
      </c>
      <c r="BC599" t="s">
        <v>7</v>
      </c>
      <c r="BD599">
        <v>1</v>
      </c>
      <c r="BE599" t="s">
        <v>14</v>
      </c>
      <c r="BF599">
        <v>0.96</v>
      </c>
    </row>
    <row r="600" spans="1:58" hidden="1" x14ac:dyDescent="0.2">
      <c r="A600">
        <v>599</v>
      </c>
      <c r="B600" t="s">
        <v>0</v>
      </c>
      <c r="C600">
        <v>41</v>
      </c>
      <c r="D600" t="s">
        <v>28</v>
      </c>
      <c r="E600" t="s">
        <v>2</v>
      </c>
      <c r="F600" t="s">
        <v>15</v>
      </c>
      <c r="G600" t="s">
        <v>16</v>
      </c>
      <c r="H600" t="s">
        <v>24</v>
      </c>
      <c r="I600" t="s">
        <v>114</v>
      </c>
      <c r="J600" t="s">
        <v>123</v>
      </c>
      <c r="K600" t="s">
        <v>7</v>
      </c>
      <c r="L600">
        <v>3.3</v>
      </c>
      <c r="M600">
        <v>7.4</v>
      </c>
      <c r="N600" t="s">
        <v>120</v>
      </c>
      <c r="O600" t="s">
        <v>7</v>
      </c>
      <c r="P600" t="s">
        <v>9</v>
      </c>
      <c r="Q600">
        <v>21</v>
      </c>
      <c r="R600">
        <v>5</v>
      </c>
      <c r="S600">
        <v>27.7</v>
      </c>
      <c r="T600">
        <v>96</v>
      </c>
      <c r="U600">
        <v>94</v>
      </c>
      <c r="V600">
        <v>7913</v>
      </c>
      <c r="W600">
        <v>36.200000000000003</v>
      </c>
      <c r="X600">
        <v>2</v>
      </c>
      <c r="Y600">
        <v>5</v>
      </c>
      <c r="Z600">
        <v>8</v>
      </c>
      <c r="AA600">
        <v>5.2</v>
      </c>
      <c r="AB600">
        <v>1</v>
      </c>
      <c r="AC600">
        <v>205</v>
      </c>
      <c r="AD600">
        <v>14</v>
      </c>
      <c r="AE600">
        <v>8</v>
      </c>
      <c r="AF600">
        <v>181</v>
      </c>
      <c r="AG600">
        <v>107</v>
      </c>
      <c r="AH600">
        <v>107</v>
      </c>
      <c r="AI600">
        <v>22</v>
      </c>
      <c r="AJ600">
        <v>31</v>
      </c>
      <c r="AK600">
        <v>39</v>
      </c>
      <c r="AL600">
        <v>14</v>
      </c>
      <c r="AM600">
        <v>7</v>
      </c>
      <c r="AN600">
        <v>91</v>
      </c>
      <c r="AO600">
        <v>55</v>
      </c>
      <c r="AP600">
        <v>40</v>
      </c>
      <c r="AQ600">
        <v>56</v>
      </c>
      <c r="AR600">
        <v>1006</v>
      </c>
      <c r="AS600">
        <v>2161</v>
      </c>
      <c r="AT600" t="s">
        <v>7</v>
      </c>
      <c r="AU600">
        <v>0.09</v>
      </c>
      <c r="AV600">
        <v>2015</v>
      </c>
      <c r="AW600" s="1">
        <v>45885</v>
      </c>
      <c r="AX600">
        <v>14.6</v>
      </c>
      <c r="AY600" t="s">
        <v>19</v>
      </c>
      <c r="AZ600" t="s">
        <v>51</v>
      </c>
      <c r="BA600" t="s">
        <v>122</v>
      </c>
      <c r="BB600" t="s">
        <v>13</v>
      </c>
      <c r="BC600" t="s">
        <v>13</v>
      </c>
      <c r="BD600">
        <v>0</v>
      </c>
      <c r="BE600" t="s">
        <v>14</v>
      </c>
      <c r="BF600">
        <v>0.85</v>
      </c>
    </row>
    <row r="601" spans="1:58" hidden="1" x14ac:dyDescent="0.2">
      <c r="A601">
        <v>600</v>
      </c>
      <c r="B601" t="s">
        <v>0</v>
      </c>
      <c r="C601">
        <v>38</v>
      </c>
      <c r="D601" t="s">
        <v>1</v>
      </c>
      <c r="E601" t="s">
        <v>2</v>
      </c>
      <c r="F601" t="s">
        <v>40</v>
      </c>
      <c r="G601" t="s">
        <v>38</v>
      </c>
      <c r="H601" t="s">
        <v>118</v>
      </c>
      <c r="I601" t="s">
        <v>115</v>
      </c>
      <c r="J601" t="s">
        <v>123</v>
      </c>
      <c r="K601" t="s">
        <v>13</v>
      </c>
      <c r="L601">
        <v>6.4</v>
      </c>
      <c r="M601">
        <v>6.9</v>
      </c>
      <c r="N601" t="s">
        <v>39</v>
      </c>
      <c r="O601" t="s">
        <v>41</v>
      </c>
      <c r="P601" t="s">
        <v>9</v>
      </c>
      <c r="Q601">
        <v>38</v>
      </c>
      <c r="R601">
        <v>4</v>
      </c>
      <c r="S601">
        <v>30.5</v>
      </c>
      <c r="T601">
        <v>103</v>
      </c>
      <c r="U601">
        <v>61</v>
      </c>
      <c r="V601">
        <v>7932</v>
      </c>
      <c r="W601">
        <v>31.7</v>
      </c>
      <c r="X601">
        <v>5</v>
      </c>
      <c r="Y601">
        <v>5</v>
      </c>
      <c r="Z601">
        <v>13</v>
      </c>
      <c r="AA601">
        <v>5.4</v>
      </c>
      <c r="AB601">
        <v>3</v>
      </c>
      <c r="AC601">
        <v>398</v>
      </c>
      <c r="AD601">
        <v>26</v>
      </c>
      <c r="AE601">
        <v>9</v>
      </c>
      <c r="AF601">
        <v>291</v>
      </c>
      <c r="AG601">
        <v>150</v>
      </c>
      <c r="AH601">
        <v>250</v>
      </c>
      <c r="AI601">
        <v>65</v>
      </c>
      <c r="AJ601">
        <v>49</v>
      </c>
      <c r="AK601">
        <v>52</v>
      </c>
      <c r="AL601">
        <v>37</v>
      </c>
      <c r="AM601">
        <v>14</v>
      </c>
      <c r="AN601">
        <v>174</v>
      </c>
      <c r="AO601">
        <v>115</v>
      </c>
      <c r="AP601">
        <v>87</v>
      </c>
      <c r="AQ601">
        <v>121</v>
      </c>
      <c r="AR601">
        <v>1049</v>
      </c>
      <c r="AS601">
        <v>1997</v>
      </c>
      <c r="AT601" t="s">
        <v>7</v>
      </c>
      <c r="AU601">
        <v>0.75</v>
      </c>
      <c r="AV601">
        <v>2025</v>
      </c>
      <c r="AW601" s="1">
        <v>46015</v>
      </c>
      <c r="AX601">
        <v>15.3</v>
      </c>
      <c r="AY601" t="s">
        <v>19</v>
      </c>
      <c r="AZ601" t="s">
        <v>48</v>
      </c>
      <c r="BA601" t="s">
        <v>21</v>
      </c>
      <c r="BB601" t="s">
        <v>13</v>
      </c>
      <c r="BC601" t="s">
        <v>7</v>
      </c>
      <c r="BD601">
        <v>1</v>
      </c>
      <c r="BE601" t="s">
        <v>43</v>
      </c>
      <c r="BF601">
        <v>1.02</v>
      </c>
    </row>
    <row r="602" spans="1:58" hidden="1" x14ac:dyDescent="0.2">
      <c r="A602">
        <v>601</v>
      </c>
      <c r="B602" t="s">
        <v>0</v>
      </c>
      <c r="C602">
        <v>22</v>
      </c>
      <c r="D602" t="s">
        <v>1</v>
      </c>
      <c r="E602" t="s">
        <v>128</v>
      </c>
      <c r="F602" t="s">
        <v>40</v>
      </c>
      <c r="G602" t="s">
        <v>16</v>
      </c>
      <c r="H602" t="s">
        <v>23</v>
      </c>
      <c r="I602" t="s">
        <v>112</v>
      </c>
      <c r="J602" t="s">
        <v>6</v>
      </c>
      <c r="K602" t="s">
        <v>13</v>
      </c>
      <c r="L602">
        <v>0.3</v>
      </c>
      <c r="M602">
        <v>4.8</v>
      </c>
      <c r="N602" t="s">
        <v>120</v>
      </c>
      <c r="O602" t="s">
        <v>7</v>
      </c>
      <c r="P602" t="s">
        <v>46</v>
      </c>
      <c r="Q602">
        <v>26</v>
      </c>
      <c r="R602">
        <v>6</v>
      </c>
      <c r="S602">
        <v>25.2</v>
      </c>
      <c r="T602">
        <v>127</v>
      </c>
      <c r="U602">
        <v>72</v>
      </c>
      <c r="V602">
        <v>7766</v>
      </c>
      <c r="W602">
        <v>34.5</v>
      </c>
      <c r="X602">
        <v>0</v>
      </c>
      <c r="Y602">
        <v>6</v>
      </c>
      <c r="Z602">
        <v>9</v>
      </c>
      <c r="AA602">
        <v>4.2</v>
      </c>
      <c r="AB602">
        <v>3</v>
      </c>
      <c r="AC602">
        <v>199</v>
      </c>
      <c r="AD602">
        <v>14</v>
      </c>
      <c r="AE602">
        <v>10</v>
      </c>
      <c r="AF602">
        <v>253</v>
      </c>
      <c r="AG602">
        <v>83</v>
      </c>
      <c r="AH602">
        <v>124</v>
      </c>
      <c r="AI602">
        <v>25</v>
      </c>
      <c r="AJ602">
        <v>34</v>
      </c>
      <c r="AK602">
        <v>25</v>
      </c>
      <c r="AL602">
        <v>17</v>
      </c>
      <c r="AM602">
        <v>4</v>
      </c>
      <c r="AN602">
        <v>111</v>
      </c>
      <c r="AO602">
        <v>52</v>
      </c>
      <c r="AP602">
        <v>22</v>
      </c>
      <c r="AQ602">
        <v>59</v>
      </c>
      <c r="AR602">
        <v>374</v>
      </c>
      <c r="AS602">
        <v>244</v>
      </c>
      <c r="AT602" t="s">
        <v>13</v>
      </c>
      <c r="AU602">
        <v>0.19</v>
      </c>
      <c r="AV602">
        <v>2013</v>
      </c>
      <c r="AW602" s="1">
        <v>45869</v>
      </c>
      <c r="AX602">
        <v>14.2</v>
      </c>
      <c r="AY602" t="s">
        <v>36</v>
      </c>
      <c r="AZ602" t="s">
        <v>20</v>
      </c>
      <c r="BA602" t="s">
        <v>12</v>
      </c>
      <c r="BB602" t="s">
        <v>7</v>
      </c>
      <c r="BC602" t="s">
        <v>13</v>
      </c>
      <c r="BD602">
        <v>5</v>
      </c>
      <c r="BE602" t="s">
        <v>49</v>
      </c>
      <c r="BF602">
        <v>1.02</v>
      </c>
    </row>
    <row r="603" spans="1:58" hidden="1" x14ac:dyDescent="0.2">
      <c r="A603">
        <v>602</v>
      </c>
      <c r="B603" t="s">
        <v>0</v>
      </c>
      <c r="C603">
        <v>38</v>
      </c>
      <c r="D603" t="s">
        <v>1</v>
      </c>
      <c r="E603" t="s">
        <v>128</v>
      </c>
      <c r="F603" t="s">
        <v>15</v>
      </c>
      <c r="G603" t="s">
        <v>38</v>
      </c>
      <c r="H603" t="s">
        <v>23</v>
      </c>
      <c r="I603" t="s">
        <v>113</v>
      </c>
      <c r="J603" t="s">
        <v>32</v>
      </c>
      <c r="K603" t="s">
        <v>13</v>
      </c>
      <c r="L603">
        <v>13.2</v>
      </c>
      <c r="M603">
        <v>10</v>
      </c>
      <c r="N603" t="s">
        <v>25</v>
      </c>
      <c r="O603" t="s">
        <v>7</v>
      </c>
      <c r="P603" t="s">
        <v>9</v>
      </c>
      <c r="Q603">
        <v>19</v>
      </c>
      <c r="R603">
        <v>1</v>
      </c>
      <c r="S603">
        <v>21.1</v>
      </c>
      <c r="T603">
        <v>155</v>
      </c>
      <c r="U603">
        <v>96</v>
      </c>
      <c r="V603">
        <v>7926</v>
      </c>
      <c r="W603">
        <v>36.9</v>
      </c>
      <c r="X603">
        <v>5</v>
      </c>
      <c r="Y603">
        <v>3</v>
      </c>
      <c r="Z603">
        <v>10</v>
      </c>
      <c r="AA603">
        <v>7.7</v>
      </c>
      <c r="AB603">
        <v>2</v>
      </c>
      <c r="AC603">
        <v>265</v>
      </c>
      <c r="AD603">
        <v>19</v>
      </c>
      <c r="AE603">
        <v>5</v>
      </c>
      <c r="AF603">
        <v>184</v>
      </c>
      <c r="AG603">
        <v>117</v>
      </c>
      <c r="AH603">
        <v>145</v>
      </c>
      <c r="AI603">
        <v>36</v>
      </c>
      <c r="AJ603">
        <v>43</v>
      </c>
      <c r="AK603">
        <v>39</v>
      </c>
      <c r="AL603">
        <v>30</v>
      </c>
      <c r="AM603">
        <v>5</v>
      </c>
      <c r="AN603">
        <v>154</v>
      </c>
      <c r="AO603">
        <v>44</v>
      </c>
      <c r="AP603">
        <v>35</v>
      </c>
      <c r="AQ603">
        <v>87</v>
      </c>
      <c r="AR603">
        <v>846</v>
      </c>
      <c r="AS603">
        <v>1863</v>
      </c>
      <c r="AT603" t="s">
        <v>7</v>
      </c>
      <c r="AU603">
        <v>0.5</v>
      </c>
      <c r="AV603">
        <v>2018</v>
      </c>
      <c r="AW603" s="1">
        <v>46014</v>
      </c>
      <c r="AX603">
        <v>13.9</v>
      </c>
      <c r="AY603" t="s">
        <v>19</v>
      </c>
      <c r="AZ603" t="s">
        <v>48</v>
      </c>
      <c r="BA603" t="s">
        <v>21</v>
      </c>
      <c r="BB603" t="s">
        <v>13</v>
      </c>
      <c r="BC603" t="s">
        <v>7</v>
      </c>
      <c r="BD603">
        <v>4</v>
      </c>
      <c r="BE603" t="s">
        <v>14</v>
      </c>
      <c r="BF603">
        <v>0.87</v>
      </c>
    </row>
    <row r="604" spans="1:58" hidden="1" x14ac:dyDescent="0.2">
      <c r="A604">
        <v>603</v>
      </c>
      <c r="B604" t="s">
        <v>0</v>
      </c>
      <c r="C604">
        <v>46</v>
      </c>
      <c r="D604" t="s">
        <v>28</v>
      </c>
      <c r="E604" t="s">
        <v>126</v>
      </c>
      <c r="F604" t="s">
        <v>3</v>
      </c>
      <c r="G604" t="s">
        <v>116</v>
      </c>
      <c r="H604" t="s">
        <v>118</v>
      </c>
      <c r="I604" t="s">
        <v>112</v>
      </c>
      <c r="J604" t="s">
        <v>6</v>
      </c>
      <c r="K604" t="s">
        <v>13</v>
      </c>
      <c r="L604">
        <v>8.6999999999999993</v>
      </c>
      <c r="M604">
        <v>7.3</v>
      </c>
      <c r="N604" t="s">
        <v>25</v>
      </c>
      <c r="O604" t="s">
        <v>7</v>
      </c>
      <c r="P604" t="s">
        <v>9</v>
      </c>
      <c r="Q604">
        <v>39</v>
      </c>
      <c r="R604">
        <v>4</v>
      </c>
      <c r="S604">
        <v>30.7</v>
      </c>
      <c r="T604">
        <v>128</v>
      </c>
      <c r="U604">
        <v>71</v>
      </c>
      <c r="V604">
        <v>7954</v>
      </c>
      <c r="W604">
        <v>33.4</v>
      </c>
      <c r="X604">
        <v>1</v>
      </c>
      <c r="Y604">
        <v>1</v>
      </c>
      <c r="Z604">
        <v>4</v>
      </c>
      <c r="AA604">
        <v>8</v>
      </c>
      <c r="AB604">
        <v>5</v>
      </c>
      <c r="AC604">
        <v>292</v>
      </c>
      <c r="AD604">
        <v>15</v>
      </c>
      <c r="AE604">
        <v>6</v>
      </c>
      <c r="AF604">
        <v>210</v>
      </c>
      <c r="AG604">
        <v>150</v>
      </c>
      <c r="AH604">
        <v>163</v>
      </c>
      <c r="AI604">
        <v>50</v>
      </c>
      <c r="AJ604">
        <v>42</v>
      </c>
      <c r="AK604">
        <v>44</v>
      </c>
      <c r="AL604">
        <v>22</v>
      </c>
      <c r="AM604">
        <v>4</v>
      </c>
      <c r="AN604">
        <v>165</v>
      </c>
      <c r="AO604">
        <v>85</v>
      </c>
      <c r="AP604">
        <v>55</v>
      </c>
      <c r="AQ604">
        <v>79</v>
      </c>
      <c r="AR604">
        <v>38</v>
      </c>
      <c r="AS604">
        <v>80</v>
      </c>
      <c r="AT604" t="s">
        <v>7</v>
      </c>
      <c r="AU604">
        <v>0.22</v>
      </c>
      <c r="AV604">
        <v>2025</v>
      </c>
      <c r="AW604" s="1">
        <v>45789</v>
      </c>
      <c r="AX604">
        <v>19.5</v>
      </c>
      <c r="AY604" t="s">
        <v>30</v>
      </c>
      <c r="AZ604" t="s">
        <v>35</v>
      </c>
      <c r="BA604" t="s">
        <v>122</v>
      </c>
      <c r="BB604" t="s">
        <v>13</v>
      </c>
      <c r="BC604" t="s">
        <v>13</v>
      </c>
      <c r="BD604">
        <v>2</v>
      </c>
      <c r="BE604" t="s">
        <v>14</v>
      </c>
      <c r="BF604">
        <v>0.96</v>
      </c>
    </row>
    <row r="605" spans="1:58" hidden="1" x14ac:dyDescent="0.2">
      <c r="A605">
        <v>604</v>
      </c>
      <c r="B605" t="s">
        <v>0</v>
      </c>
      <c r="C605">
        <v>63</v>
      </c>
      <c r="D605" t="s">
        <v>1</v>
      </c>
      <c r="E605" t="s">
        <v>22</v>
      </c>
      <c r="F605" t="s">
        <v>40</v>
      </c>
      <c r="G605" t="s">
        <v>116</v>
      </c>
      <c r="H605" t="s">
        <v>118</v>
      </c>
      <c r="I605" t="s">
        <v>112</v>
      </c>
      <c r="J605" t="s">
        <v>6</v>
      </c>
      <c r="K605" t="s">
        <v>7</v>
      </c>
      <c r="L605">
        <v>15.8</v>
      </c>
      <c r="M605">
        <v>7.9</v>
      </c>
      <c r="N605" t="s">
        <v>8</v>
      </c>
      <c r="O605" t="s">
        <v>13</v>
      </c>
      <c r="P605" t="s">
        <v>52</v>
      </c>
      <c r="Q605">
        <v>15</v>
      </c>
      <c r="R605">
        <v>10</v>
      </c>
      <c r="S605">
        <v>25.5</v>
      </c>
      <c r="T605">
        <v>121</v>
      </c>
      <c r="U605">
        <v>95</v>
      </c>
      <c r="V605">
        <v>7976</v>
      </c>
      <c r="W605">
        <v>53.4</v>
      </c>
      <c r="X605">
        <v>2</v>
      </c>
      <c r="Y605">
        <v>2</v>
      </c>
      <c r="Z605">
        <v>9</v>
      </c>
      <c r="AA605">
        <v>7.8</v>
      </c>
      <c r="AB605">
        <v>3</v>
      </c>
      <c r="AC605">
        <v>35</v>
      </c>
      <c r="AD605">
        <v>1</v>
      </c>
      <c r="AE605">
        <v>3</v>
      </c>
      <c r="AF605">
        <v>57</v>
      </c>
      <c r="AG605">
        <v>38</v>
      </c>
      <c r="AH605">
        <v>47</v>
      </c>
      <c r="AI605">
        <v>12</v>
      </c>
      <c r="AJ605">
        <v>20</v>
      </c>
      <c r="AK605">
        <v>13</v>
      </c>
      <c r="AL605">
        <v>11</v>
      </c>
      <c r="AM605">
        <v>1</v>
      </c>
      <c r="AN605">
        <v>21</v>
      </c>
      <c r="AO605">
        <v>4</v>
      </c>
      <c r="AP605">
        <v>5</v>
      </c>
      <c r="AQ605">
        <v>13</v>
      </c>
      <c r="AR605">
        <v>4613</v>
      </c>
      <c r="AS605">
        <v>3104</v>
      </c>
      <c r="AT605" t="s">
        <v>7</v>
      </c>
      <c r="AU605">
        <v>0.28000000000000003</v>
      </c>
      <c r="AV605">
        <v>2020</v>
      </c>
      <c r="AW605" s="1">
        <v>45672</v>
      </c>
      <c r="AX605">
        <v>35</v>
      </c>
      <c r="AY605" t="s">
        <v>19</v>
      </c>
      <c r="AZ605" t="s">
        <v>48</v>
      </c>
      <c r="BA605" t="s">
        <v>12</v>
      </c>
      <c r="BB605" t="s">
        <v>7</v>
      </c>
      <c r="BC605" t="s">
        <v>7</v>
      </c>
      <c r="BD605">
        <v>3</v>
      </c>
      <c r="BE605" t="s">
        <v>14</v>
      </c>
      <c r="BF605">
        <v>2.2200000000000002</v>
      </c>
    </row>
    <row r="606" spans="1:58" hidden="1" x14ac:dyDescent="0.2">
      <c r="A606">
        <v>605</v>
      </c>
      <c r="B606" t="s">
        <v>0</v>
      </c>
      <c r="C606">
        <v>53</v>
      </c>
      <c r="D606" t="s">
        <v>1</v>
      </c>
      <c r="E606" t="s">
        <v>2</v>
      </c>
      <c r="F606" t="s">
        <v>15</v>
      </c>
      <c r="G606" t="s">
        <v>117</v>
      </c>
      <c r="H606" t="s">
        <v>119</v>
      </c>
      <c r="I606" t="s">
        <v>112</v>
      </c>
      <c r="J606" t="s">
        <v>6</v>
      </c>
      <c r="K606" t="s">
        <v>13</v>
      </c>
      <c r="L606">
        <v>7.7</v>
      </c>
      <c r="M606">
        <v>8.4</v>
      </c>
      <c r="N606" t="s">
        <v>120</v>
      </c>
      <c r="O606" t="s">
        <v>7</v>
      </c>
      <c r="P606" t="s">
        <v>9</v>
      </c>
      <c r="Q606">
        <v>0</v>
      </c>
      <c r="R606">
        <v>7</v>
      </c>
      <c r="S606">
        <v>22.4</v>
      </c>
      <c r="T606">
        <v>157</v>
      </c>
      <c r="U606">
        <v>81</v>
      </c>
      <c r="V606">
        <v>8102</v>
      </c>
      <c r="W606">
        <v>48.1</v>
      </c>
      <c r="X606">
        <v>9</v>
      </c>
      <c r="Y606">
        <v>4</v>
      </c>
      <c r="Z606">
        <v>14</v>
      </c>
      <c r="AA606">
        <v>1.7</v>
      </c>
      <c r="AB606">
        <v>1</v>
      </c>
      <c r="AC606">
        <v>73</v>
      </c>
      <c r="AD606">
        <v>3</v>
      </c>
      <c r="AE606">
        <v>3</v>
      </c>
      <c r="AF606">
        <v>100</v>
      </c>
      <c r="AG606">
        <v>58</v>
      </c>
      <c r="AH606">
        <v>53</v>
      </c>
      <c r="AI606">
        <v>24</v>
      </c>
      <c r="AJ606">
        <v>11</v>
      </c>
      <c r="AK606">
        <v>11</v>
      </c>
      <c r="AL606">
        <v>7</v>
      </c>
      <c r="AM606">
        <v>3</v>
      </c>
      <c r="AN606">
        <v>38</v>
      </c>
      <c r="AO606">
        <v>8</v>
      </c>
      <c r="AP606">
        <v>10</v>
      </c>
      <c r="AQ606">
        <v>24</v>
      </c>
      <c r="AR606">
        <v>220</v>
      </c>
      <c r="AS606">
        <v>345</v>
      </c>
      <c r="AT606" t="s">
        <v>7</v>
      </c>
      <c r="AU606">
        <v>0.83</v>
      </c>
      <c r="AV606">
        <v>2015</v>
      </c>
      <c r="AW606" s="1">
        <v>45665</v>
      </c>
      <c r="AX606">
        <v>24.3</v>
      </c>
      <c r="AY606" t="s">
        <v>27</v>
      </c>
      <c r="AZ606" t="s">
        <v>37</v>
      </c>
      <c r="BA606" t="s">
        <v>21</v>
      </c>
      <c r="BB606" t="s">
        <v>7</v>
      </c>
      <c r="BC606" t="s">
        <v>13</v>
      </c>
      <c r="BD606">
        <v>2</v>
      </c>
      <c r="BE606" t="s">
        <v>14</v>
      </c>
      <c r="BF606">
        <v>1.49</v>
      </c>
    </row>
    <row r="607" spans="1:58" hidden="1" x14ac:dyDescent="0.2">
      <c r="A607">
        <v>606</v>
      </c>
      <c r="B607" t="s">
        <v>0</v>
      </c>
      <c r="C607">
        <v>19</v>
      </c>
      <c r="D607" t="s">
        <v>28</v>
      </c>
      <c r="E607" t="s">
        <v>50</v>
      </c>
      <c r="F607" t="s">
        <v>15</v>
      </c>
      <c r="G607" t="s">
        <v>16</v>
      </c>
      <c r="H607" t="s">
        <v>23</v>
      </c>
      <c r="I607" t="s">
        <v>114</v>
      </c>
      <c r="J607" t="s">
        <v>32</v>
      </c>
      <c r="K607" t="s">
        <v>7</v>
      </c>
      <c r="L607">
        <v>4.2</v>
      </c>
      <c r="M607">
        <v>7.3</v>
      </c>
      <c r="N607" t="s">
        <v>25</v>
      </c>
      <c r="O607" t="s">
        <v>7</v>
      </c>
      <c r="P607" t="s">
        <v>121</v>
      </c>
      <c r="Q607">
        <v>32</v>
      </c>
      <c r="R607">
        <v>6</v>
      </c>
      <c r="S607">
        <v>18.8</v>
      </c>
      <c r="T607">
        <v>156</v>
      </c>
      <c r="U607">
        <v>80</v>
      </c>
      <c r="V607">
        <v>7890</v>
      </c>
      <c r="W607">
        <v>41.4</v>
      </c>
      <c r="X607">
        <v>3</v>
      </c>
      <c r="Y607">
        <v>1</v>
      </c>
      <c r="Z607">
        <v>6</v>
      </c>
      <c r="AA607">
        <v>6.3</v>
      </c>
      <c r="AB607">
        <v>8</v>
      </c>
      <c r="AC607">
        <v>328</v>
      </c>
      <c r="AD607">
        <v>10</v>
      </c>
      <c r="AE607">
        <v>14</v>
      </c>
      <c r="AF607">
        <v>295</v>
      </c>
      <c r="AG607">
        <v>150</v>
      </c>
      <c r="AH607">
        <v>201</v>
      </c>
      <c r="AI607">
        <v>51</v>
      </c>
      <c r="AJ607">
        <v>40</v>
      </c>
      <c r="AK607">
        <v>44</v>
      </c>
      <c r="AL607">
        <v>30</v>
      </c>
      <c r="AM607">
        <v>8</v>
      </c>
      <c r="AN607">
        <v>177</v>
      </c>
      <c r="AO607">
        <v>96</v>
      </c>
      <c r="AP607">
        <v>62</v>
      </c>
      <c r="AQ607">
        <v>92</v>
      </c>
      <c r="AR607">
        <v>5300</v>
      </c>
      <c r="AS607">
        <v>2820</v>
      </c>
      <c r="AT607" t="s">
        <v>7</v>
      </c>
      <c r="AU607">
        <v>0.79</v>
      </c>
      <c r="AV607">
        <v>2017</v>
      </c>
      <c r="AW607" s="1">
        <v>45759</v>
      </c>
      <c r="AX607">
        <v>32.799999999999997</v>
      </c>
      <c r="AY607" t="s">
        <v>19</v>
      </c>
      <c r="AZ607" t="s">
        <v>20</v>
      </c>
      <c r="BA607" t="s">
        <v>12</v>
      </c>
      <c r="BB607" t="s">
        <v>7</v>
      </c>
      <c r="BC607" t="s">
        <v>7</v>
      </c>
      <c r="BD607">
        <v>2</v>
      </c>
      <c r="BE607" t="s">
        <v>43</v>
      </c>
      <c r="BF607">
        <v>1.05</v>
      </c>
    </row>
    <row r="608" spans="1:58" hidden="1" x14ac:dyDescent="0.2">
      <c r="A608">
        <v>607</v>
      </c>
      <c r="B608" t="s">
        <v>0</v>
      </c>
      <c r="C608">
        <v>16</v>
      </c>
      <c r="D608" t="s">
        <v>28</v>
      </c>
      <c r="E608" t="s">
        <v>33</v>
      </c>
      <c r="F608" t="s">
        <v>15</v>
      </c>
      <c r="G608" t="s">
        <v>38</v>
      </c>
      <c r="H608" t="s">
        <v>23</v>
      </c>
      <c r="I608" t="s">
        <v>114</v>
      </c>
      <c r="J608" t="s">
        <v>6</v>
      </c>
      <c r="K608" t="s">
        <v>7</v>
      </c>
      <c r="L608">
        <v>12.5</v>
      </c>
      <c r="M608">
        <v>7.3</v>
      </c>
      <c r="N608" t="s">
        <v>8</v>
      </c>
      <c r="O608" t="s">
        <v>7</v>
      </c>
      <c r="P608" t="s">
        <v>26</v>
      </c>
      <c r="Q608">
        <v>7</v>
      </c>
      <c r="R608">
        <v>4</v>
      </c>
      <c r="S608">
        <v>20.9</v>
      </c>
      <c r="T608">
        <v>126</v>
      </c>
      <c r="U608">
        <v>87</v>
      </c>
      <c r="V608">
        <v>7933</v>
      </c>
      <c r="W608">
        <v>49.2</v>
      </c>
      <c r="X608">
        <v>3</v>
      </c>
      <c r="Y608">
        <v>4</v>
      </c>
      <c r="Z608">
        <v>8</v>
      </c>
      <c r="AA608">
        <v>4.4000000000000004</v>
      </c>
      <c r="AB608">
        <v>4</v>
      </c>
      <c r="AC608">
        <v>123</v>
      </c>
      <c r="AD608">
        <v>4</v>
      </c>
      <c r="AE608">
        <v>4</v>
      </c>
      <c r="AF608">
        <v>219</v>
      </c>
      <c r="AG608">
        <v>84</v>
      </c>
      <c r="AH608">
        <v>76</v>
      </c>
      <c r="AI608">
        <v>24</v>
      </c>
      <c r="AJ608">
        <v>33</v>
      </c>
      <c r="AK608">
        <v>26</v>
      </c>
      <c r="AL608">
        <v>14</v>
      </c>
      <c r="AM608">
        <v>0</v>
      </c>
      <c r="AN608">
        <v>50</v>
      </c>
      <c r="AO608">
        <v>24</v>
      </c>
      <c r="AP608">
        <v>26</v>
      </c>
      <c r="AQ608">
        <v>27</v>
      </c>
      <c r="AR608">
        <v>18638</v>
      </c>
      <c r="AS608">
        <v>10000</v>
      </c>
      <c r="AT608" t="s">
        <v>13</v>
      </c>
      <c r="AU608">
        <v>0.01</v>
      </c>
      <c r="AV608">
        <v>2019</v>
      </c>
      <c r="AW608" s="1">
        <v>45936</v>
      </c>
      <c r="AX608">
        <v>30.8</v>
      </c>
      <c r="AY608" t="s">
        <v>27</v>
      </c>
      <c r="AZ608" t="s">
        <v>11</v>
      </c>
      <c r="BA608" t="s">
        <v>21</v>
      </c>
      <c r="BB608" t="s">
        <v>13</v>
      </c>
      <c r="BC608" t="s">
        <v>13</v>
      </c>
      <c r="BD608">
        <v>1</v>
      </c>
      <c r="BE608" t="s">
        <v>43</v>
      </c>
      <c r="BF608">
        <v>1.1000000000000001</v>
      </c>
    </row>
    <row r="609" spans="1:58" hidden="1" x14ac:dyDescent="0.2">
      <c r="A609">
        <v>608</v>
      </c>
      <c r="B609" t="s">
        <v>0</v>
      </c>
      <c r="C609">
        <v>65</v>
      </c>
      <c r="D609" t="s">
        <v>28</v>
      </c>
      <c r="E609" t="s">
        <v>128</v>
      </c>
      <c r="F609" t="s">
        <v>15</v>
      </c>
      <c r="G609" t="s">
        <v>16</v>
      </c>
      <c r="H609" t="s">
        <v>118</v>
      </c>
      <c r="I609" t="s">
        <v>115</v>
      </c>
      <c r="J609" t="s">
        <v>123</v>
      </c>
      <c r="K609" t="s">
        <v>7</v>
      </c>
      <c r="L609">
        <v>6.8</v>
      </c>
      <c r="M609">
        <v>7.1</v>
      </c>
      <c r="N609" t="s">
        <v>29</v>
      </c>
      <c r="O609" t="s">
        <v>13</v>
      </c>
      <c r="P609" t="s">
        <v>9</v>
      </c>
      <c r="Q609">
        <v>29</v>
      </c>
      <c r="R609">
        <v>3</v>
      </c>
      <c r="S609">
        <v>15.7</v>
      </c>
      <c r="T609">
        <v>148</v>
      </c>
      <c r="U609">
        <v>64</v>
      </c>
      <c r="V609">
        <v>7993</v>
      </c>
      <c r="W609">
        <v>26.1</v>
      </c>
      <c r="X609">
        <v>4</v>
      </c>
      <c r="Y609">
        <v>2</v>
      </c>
      <c r="Z609">
        <v>10</v>
      </c>
      <c r="AA609">
        <v>2.8</v>
      </c>
      <c r="AB609">
        <v>6</v>
      </c>
      <c r="AC609">
        <v>249</v>
      </c>
      <c r="AD609">
        <v>25</v>
      </c>
      <c r="AE609">
        <v>8</v>
      </c>
      <c r="AF609">
        <v>196</v>
      </c>
      <c r="AG609">
        <v>139</v>
      </c>
      <c r="AH609">
        <v>148</v>
      </c>
      <c r="AI609">
        <v>46</v>
      </c>
      <c r="AJ609">
        <v>37</v>
      </c>
      <c r="AK609">
        <v>37</v>
      </c>
      <c r="AL609">
        <v>26</v>
      </c>
      <c r="AM609">
        <v>8</v>
      </c>
      <c r="AN609">
        <v>111</v>
      </c>
      <c r="AO609">
        <v>74</v>
      </c>
      <c r="AP609">
        <v>32</v>
      </c>
      <c r="AQ609">
        <v>63</v>
      </c>
      <c r="AR609">
        <v>1497</v>
      </c>
      <c r="AS609">
        <v>3253</v>
      </c>
      <c r="AT609" t="s">
        <v>7</v>
      </c>
      <c r="AU609">
        <v>0.54</v>
      </c>
      <c r="AV609">
        <v>2018</v>
      </c>
      <c r="AW609" s="1">
        <v>45662</v>
      </c>
      <c r="AX609">
        <v>10</v>
      </c>
      <c r="AY609" t="s">
        <v>36</v>
      </c>
      <c r="AZ609" t="s">
        <v>35</v>
      </c>
      <c r="BA609" t="s">
        <v>122</v>
      </c>
      <c r="BB609" t="s">
        <v>13</v>
      </c>
      <c r="BC609" t="s">
        <v>7</v>
      </c>
      <c r="BD609">
        <v>2</v>
      </c>
      <c r="BE609" t="s">
        <v>14</v>
      </c>
      <c r="BF609">
        <v>1.06</v>
      </c>
    </row>
    <row r="610" spans="1:58" hidden="1" x14ac:dyDescent="0.2">
      <c r="A610">
        <v>609</v>
      </c>
      <c r="B610" t="s">
        <v>0</v>
      </c>
      <c r="C610">
        <v>62</v>
      </c>
      <c r="D610" t="s">
        <v>28</v>
      </c>
      <c r="E610" t="s">
        <v>2</v>
      </c>
      <c r="F610" t="s">
        <v>40</v>
      </c>
      <c r="G610" t="s">
        <v>38</v>
      </c>
      <c r="H610" t="s">
        <v>118</v>
      </c>
      <c r="I610" t="s">
        <v>112</v>
      </c>
      <c r="J610" t="s">
        <v>6</v>
      </c>
      <c r="K610" t="s">
        <v>7</v>
      </c>
      <c r="L610">
        <v>14.6</v>
      </c>
      <c r="M610">
        <v>8.1999999999999993</v>
      </c>
      <c r="N610" t="s">
        <v>8</v>
      </c>
      <c r="O610" t="s">
        <v>7</v>
      </c>
      <c r="P610" t="s">
        <v>26</v>
      </c>
      <c r="Q610">
        <v>22</v>
      </c>
      <c r="R610">
        <v>10</v>
      </c>
      <c r="S610">
        <v>17.899999999999999</v>
      </c>
      <c r="T610">
        <v>116</v>
      </c>
      <c r="U610">
        <v>96</v>
      </c>
      <c r="V610">
        <v>8038</v>
      </c>
      <c r="W610">
        <v>53.4</v>
      </c>
      <c r="X610">
        <v>3</v>
      </c>
      <c r="Y610">
        <v>7</v>
      </c>
      <c r="Z610">
        <v>12</v>
      </c>
      <c r="AA610">
        <v>1.3</v>
      </c>
      <c r="AB610">
        <v>2</v>
      </c>
      <c r="AC610">
        <v>58</v>
      </c>
      <c r="AD610">
        <v>3</v>
      </c>
      <c r="AE610">
        <v>1</v>
      </c>
      <c r="AF610">
        <v>64</v>
      </c>
      <c r="AG610">
        <v>77</v>
      </c>
      <c r="AH610">
        <v>49</v>
      </c>
      <c r="AI610">
        <v>15</v>
      </c>
      <c r="AJ610">
        <v>16</v>
      </c>
      <c r="AK610">
        <v>19</v>
      </c>
      <c r="AL610">
        <v>12</v>
      </c>
      <c r="AM610">
        <v>1</v>
      </c>
      <c r="AN610">
        <v>26</v>
      </c>
      <c r="AO610">
        <v>10</v>
      </c>
      <c r="AP610">
        <v>8</v>
      </c>
      <c r="AQ610">
        <v>21</v>
      </c>
      <c r="AR610">
        <v>3713</v>
      </c>
      <c r="AS610">
        <v>4904</v>
      </c>
      <c r="AT610" t="s">
        <v>7</v>
      </c>
      <c r="AU610">
        <v>0.77</v>
      </c>
      <c r="AV610">
        <v>2022</v>
      </c>
      <c r="AW610" s="1">
        <v>45846</v>
      </c>
      <c r="AX610">
        <v>19.3</v>
      </c>
      <c r="AY610" t="s">
        <v>27</v>
      </c>
      <c r="AZ610" t="s">
        <v>11</v>
      </c>
      <c r="BA610" t="s">
        <v>122</v>
      </c>
      <c r="BB610" t="s">
        <v>13</v>
      </c>
      <c r="BC610" t="s">
        <v>13</v>
      </c>
      <c r="BD610">
        <v>3</v>
      </c>
      <c r="BE610" t="s">
        <v>14</v>
      </c>
      <c r="BF610">
        <v>1.39</v>
      </c>
    </row>
    <row r="611" spans="1:58" hidden="1" x14ac:dyDescent="0.2">
      <c r="A611">
        <v>610</v>
      </c>
      <c r="B611" t="s">
        <v>0</v>
      </c>
      <c r="C611">
        <v>57</v>
      </c>
      <c r="D611" t="s">
        <v>28</v>
      </c>
      <c r="E611" t="s">
        <v>128</v>
      </c>
      <c r="F611" t="s">
        <v>15</v>
      </c>
      <c r="G611" t="s">
        <v>4</v>
      </c>
      <c r="H611" t="s">
        <v>119</v>
      </c>
      <c r="I611" t="s">
        <v>114</v>
      </c>
      <c r="J611" t="s">
        <v>123</v>
      </c>
      <c r="K611" t="s">
        <v>7</v>
      </c>
      <c r="L611">
        <v>9.9</v>
      </c>
      <c r="M611">
        <v>8.4</v>
      </c>
      <c r="N611" t="s">
        <v>120</v>
      </c>
      <c r="O611" t="s">
        <v>7</v>
      </c>
      <c r="P611" t="s">
        <v>26</v>
      </c>
      <c r="Q611">
        <v>7</v>
      </c>
      <c r="R611">
        <v>1</v>
      </c>
      <c r="S611">
        <v>27.7</v>
      </c>
      <c r="T611">
        <v>158</v>
      </c>
      <c r="U611">
        <v>68</v>
      </c>
      <c r="V611">
        <v>7993</v>
      </c>
      <c r="W611">
        <v>41.6</v>
      </c>
      <c r="X611">
        <v>4</v>
      </c>
      <c r="Y611">
        <v>5</v>
      </c>
      <c r="Z611">
        <v>15</v>
      </c>
      <c r="AA611">
        <v>1.3</v>
      </c>
      <c r="AB611">
        <v>4</v>
      </c>
      <c r="AC611">
        <v>114</v>
      </c>
      <c r="AD611">
        <v>3</v>
      </c>
      <c r="AE611">
        <v>5</v>
      </c>
      <c r="AF611">
        <v>111</v>
      </c>
      <c r="AG611">
        <v>75</v>
      </c>
      <c r="AH611">
        <v>78</v>
      </c>
      <c r="AI611">
        <v>22</v>
      </c>
      <c r="AJ611">
        <v>19</v>
      </c>
      <c r="AK611">
        <v>18</v>
      </c>
      <c r="AL611">
        <v>14</v>
      </c>
      <c r="AM611">
        <v>0</v>
      </c>
      <c r="AN611">
        <v>59</v>
      </c>
      <c r="AO611">
        <v>28</v>
      </c>
      <c r="AP611">
        <v>24</v>
      </c>
      <c r="AQ611">
        <v>40</v>
      </c>
      <c r="AR611">
        <v>708</v>
      </c>
      <c r="AS611">
        <v>1566</v>
      </c>
      <c r="AT611" t="s">
        <v>7</v>
      </c>
      <c r="AU611">
        <v>0.94</v>
      </c>
      <c r="AV611">
        <v>2011</v>
      </c>
      <c r="AW611" s="1">
        <v>45753</v>
      </c>
      <c r="AX611">
        <v>38</v>
      </c>
      <c r="AY611" t="s">
        <v>36</v>
      </c>
      <c r="AZ611" t="s">
        <v>37</v>
      </c>
      <c r="BA611" t="s">
        <v>21</v>
      </c>
      <c r="BB611" t="s">
        <v>7</v>
      </c>
      <c r="BC611" t="s">
        <v>7</v>
      </c>
      <c r="BD611">
        <v>0</v>
      </c>
      <c r="BE611" t="s">
        <v>49</v>
      </c>
      <c r="BF611">
        <v>1.19</v>
      </c>
    </row>
    <row r="612" spans="1:58" hidden="1" x14ac:dyDescent="0.2">
      <c r="A612">
        <v>611</v>
      </c>
      <c r="B612" t="s">
        <v>0</v>
      </c>
      <c r="C612">
        <v>23</v>
      </c>
      <c r="D612" t="s">
        <v>28</v>
      </c>
      <c r="E612" t="s">
        <v>22</v>
      </c>
      <c r="F612" t="s">
        <v>15</v>
      </c>
      <c r="G612" t="s">
        <v>4</v>
      </c>
      <c r="H612" t="s">
        <v>118</v>
      </c>
      <c r="I612" t="s">
        <v>114</v>
      </c>
      <c r="J612" t="s">
        <v>32</v>
      </c>
      <c r="K612" t="s">
        <v>7</v>
      </c>
      <c r="L612">
        <v>9.4</v>
      </c>
      <c r="M612">
        <v>6.2</v>
      </c>
      <c r="N612" t="s">
        <v>29</v>
      </c>
      <c r="O612" t="s">
        <v>7</v>
      </c>
      <c r="P612" t="s">
        <v>46</v>
      </c>
      <c r="Q612">
        <v>37</v>
      </c>
      <c r="R612">
        <v>4</v>
      </c>
      <c r="S612">
        <v>28.6</v>
      </c>
      <c r="T612">
        <v>91</v>
      </c>
      <c r="U612">
        <v>64</v>
      </c>
      <c r="V612">
        <v>8059</v>
      </c>
      <c r="W612">
        <v>38</v>
      </c>
      <c r="X612">
        <v>3</v>
      </c>
      <c r="Y612">
        <v>4</v>
      </c>
      <c r="Z612">
        <v>11</v>
      </c>
      <c r="AA612">
        <v>2.4</v>
      </c>
      <c r="AB612">
        <v>3</v>
      </c>
      <c r="AC612">
        <v>333</v>
      </c>
      <c r="AD612">
        <v>31</v>
      </c>
      <c r="AE612">
        <v>13</v>
      </c>
      <c r="AF612">
        <v>300</v>
      </c>
      <c r="AG612">
        <v>150</v>
      </c>
      <c r="AH612">
        <v>162</v>
      </c>
      <c r="AI612">
        <v>50</v>
      </c>
      <c r="AJ612">
        <v>42</v>
      </c>
      <c r="AK612">
        <v>60</v>
      </c>
      <c r="AL612">
        <v>38</v>
      </c>
      <c r="AM612">
        <v>9</v>
      </c>
      <c r="AN612">
        <v>184</v>
      </c>
      <c r="AO612">
        <v>48</v>
      </c>
      <c r="AP612">
        <v>74</v>
      </c>
      <c r="AQ612">
        <v>67</v>
      </c>
      <c r="AR612">
        <v>8036</v>
      </c>
      <c r="AS612">
        <v>7683</v>
      </c>
      <c r="AT612" t="s">
        <v>7</v>
      </c>
      <c r="AU612">
        <v>0.28999999999999998</v>
      </c>
      <c r="AV612">
        <v>2019</v>
      </c>
      <c r="AW612" s="1">
        <v>45673</v>
      </c>
      <c r="AX612">
        <v>10.7</v>
      </c>
      <c r="AY612" t="s">
        <v>45</v>
      </c>
      <c r="AZ612" t="s">
        <v>37</v>
      </c>
      <c r="BA612" t="s">
        <v>122</v>
      </c>
      <c r="BB612" t="s">
        <v>7</v>
      </c>
      <c r="BC612" t="s">
        <v>13</v>
      </c>
      <c r="BD612">
        <v>3</v>
      </c>
      <c r="BE612" t="s">
        <v>49</v>
      </c>
      <c r="BF612">
        <v>0.9</v>
      </c>
    </row>
    <row r="613" spans="1:58" hidden="1" x14ac:dyDescent="0.2">
      <c r="A613">
        <v>612</v>
      </c>
      <c r="B613" t="s">
        <v>0</v>
      </c>
      <c r="C613">
        <v>41</v>
      </c>
      <c r="D613" t="s">
        <v>1</v>
      </c>
      <c r="E613" t="s">
        <v>128</v>
      </c>
      <c r="F613" t="s">
        <v>15</v>
      </c>
      <c r="G613" t="s">
        <v>117</v>
      </c>
      <c r="H613" t="s">
        <v>24</v>
      </c>
      <c r="I613" t="s">
        <v>114</v>
      </c>
      <c r="J613" t="s">
        <v>32</v>
      </c>
      <c r="K613" t="s">
        <v>7</v>
      </c>
      <c r="L613">
        <v>2.8</v>
      </c>
      <c r="M613">
        <v>5.9</v>
      </c>
      <c r="N613" t="s">
        <v>29</v>
      </c>
      <c r="O613" t="s">
        <v>7</v>
      </c>
      <c r="P613" t="s">
        <v>9</v>
      </c>
      <c r="Q613">
        <v>16</v>
      </c>
      <c r="R613">
        <v>4</v>
      </c>
      <c r="S613">
        <v>21.9</v>
      </c>
      <c r="T613">
        <v>112</v>
      </c>
      <c r="U613">
        <v>76</v>
      </c>
      <c r="V613">
        <v>8010</v>
      </c>
      <c r="W613">
        <v>24.2</v>
      </c>
      <c r="X613">
        <v>2</v>
      </c>
      <c r="Y613">
        <v>7</v>
      </c>
      <c r="Z613">
        <v>7</v>
      </c>
      <c r="AA613">
        <v>10.1</v>
      </c>
      <c r="AB613">
        <v>4</v>
      </c>
      <c r="AC613">
        <v>216</v>
      </c>
      <c r="AD613">
        <v>18</v>
      </c>
      <c r="AE613">
        <v>3</v>
      </c>
      <c r="AF613">
        <v>165</v>
      </c>
      <c r="AG613">
        <v>127</v>
      </c>
      <c r="AH613">
        <v>116</v>
      </c>
      <c r="AI613">
        <v>39</v>
      </c>
      <c r="AJ613">
        <v>30</v>
      </c>
      <c r="AK613">
        <v>31</v>
      </c>
      <c r="AL613">
        <v>24</v>
      </c>
      <c r="AM613">
        <v>3</v>
      </c>
      <c r="AN613">
        <v>114</v>
      </c>
      <c r="AO613">
        <v>40</v>
      </c>
      <c r="AP613">
        <v>23</v>
      </c>
      <c r="AQ613">
        <v>56</v>
      </c>
      <c r="AR613">
        <v>492</v>
      </c>
      <c r="AS613">
        <v>1119</v>
      </c>
      <c r="AT613" t="s">
        <v>7</v>
      </c>
      <c r="AU613">
        <v>0.04</v>
      </c>
      <c r="AV613">
        <v>2018</v>
      </c>
      <c r="AW613" s="1">
        <v>45698</v>
      </c>
      <c r="AX613">
        <v>12</v>
      </c>
      <c r="AY613" t="s">
        <v>30</v>
      </c>
      <c r="AZ613" t="s">
        <v>35</v>
      </c>
      <c r="BA613" t="s">
        <v>122</v>
      </c>
      <c r="BB613" t="s">
        <v>13</v>
      </c>
      <c r="BC613" t="s">
        <v>7</v>
      </c>
      <c r="BD613">
        <v>5</v>
      </c>
      <c r="BE613" t="s">
        <v>14</v>
      </c>
      <c r="BF613">
        <v>0.94</v>
      </c>
    </row>
    <row r="614" spans="1:58" hidden="1" x14ac:dyDescent="0.2">
      <c r="A614">
        <v>613</v>
      </c>
      <c r="B614" t="s">
        <v>0</v>
      </c>
      <c r="C614">
        <v>48</v>
      </c>
      <c r="D614" t="s">
        <v>28</v>
      </c>
      <c r="E614" t="s">
        <v>2</v>
      </c>
      <c r="F614" t="s">
        <v>40</v>
      </c>
      <c r="G614" t="s">
        <v>16</v>
      </c>
      <c r="H614" t="s">
        <v>23</v>
      </c>
      <c r="I614" t="s">
        <v>115</v>
      </c>
      <c r="J614" t="s">
        <v>6</v>
      </c>
      <c r="K614" t="s">
        <v>7</v>
      </c>
      <c r="L614">
        <v>0.6</v>
      </c>
      <c r="M614">
        <v>6.3</v>
      </c>
      <c r="N614" t="s">
        <v>8</v>
      </c>
      <c r="O614" t="s">
        <v>13</v>
      </c>
      <c r="P614" t="s">
        <v>9</v>
      </c>
      <c r="Q614">
        <v>38</v>
      </c>
      <c r="R614">
        <v>9</v>
      </c>
      <c r="S614">
        <v>26.1</v>
      </c>
      <c r="T614">
        <v>136</v>
      </c>
      <c r="U614">
        <v>85</v>
      </c>
      <c r="V614">
        <v>7910</v>
      </c>
      <c r="W614">
        <v>56.2</v>
      </c>
      <c r="X614">
        <v>4</v>
      </c>
      <c r="Y614">
        <v>1</v>
      </c>
      <c r="Z614">
        <v>12</v>
      </c>
      <c r="AA614">
        <v>0.4</v>
      </c>
      <c r="AB614">
        <v>2</v>
      </c>
      <c r="AC614">
        <v>267</v>
      </c>
      <c r="AD614">
        <v>29</v>
      </c>
      <c r="AE614">
        <v>4</v>
      </c>
      <c r="AF614">
        <v>201</v>
      </c>
      <c r="AG614">
        <v>145</v>
      </c>
      <c r="AH614">
        <v>162</v>
      </c>
      <c r="AI614">
        <v>52</v>
      </c>
      <c r="AJ614">
        <v>46</v>
      </c>
      <c r="AK614">
        <v>44</v>
      </c>
      <c r="AL614">
        <v>30</v>
      </c>
      <c r="AM614">
        <v>7</v>
      </c>
      <c r="AN614">
        <v>140</v>
      </c>
      <c r="AO614">
        <v>37</v>
      </c>
      <c r="AP614">
        <v>31</v>
      </c>
      <c r="AQ614">
        <v>105</v>
      </c>
      <c r="AR614">
        <v>1449</v>
      </c>
      <c r="AS614">
        <v>2145</v>
      </c>
      <c r="AT614" t="s">
        <v>7</v>
      </c>
      <c r="AU614">
        <v>0.03</v>
      </c>
      <c r="AV614">
        <v>2024</v>
      </c>
      <c r="AW614" s="1">
        <v>45950</v>
      </c>
      <c r="AX614">
        <v>9.1999999999999993</v>
      </c>
      <c r="AY614" t="s">
        <v>45</v>
      </c>
      <c r="AZ614" t="s">
        <v>20</v>
      </c>
      <c r="BA614" t="s">
        <v>122</v>
      </c>
      <c r="BB614" t="s">
        <v>13</v>
      </c>
      <c r="BC614" t="s">
        <v>13</v>
      </c>
      <c r="BD614">
        <v>2</v>
      </c>
      <c r="BE614" t="s">
        <v>14</v>
      </c>
      <c r="BF614">
        <v>1.04</v>
      </c>
    </row>
    <row r="615" spans="1:58" hidden="1" x14ac:dyDescent="0.2">
      <c r="A615">
        <v>614</v>
      </c>
      <c r="B615" t="s">
        <v>0</v>
      </c>
      <c r="C615">
        <v>37</v>
      </c>
      <c r="D615" t="s">
        <v>1</v>
      </c>
      <c r="E615" t="s">
        <v>126</v>
      </c>
      <c r="F615" t="s">
        <v>3</v>
      </c>
      <c r="G615" t="s">
        <v>16</v>
      </c>
      <c r="H615" t="s">
        <v>118</v>
      </c>
      <c r="I615" t="s">
        <v>113</v>
      </c>
      <c r="J615" t="s">
        <v>6</v>
      </c>
      <c r="K615" t="s">
        <v>13</v>
      </c>
      <c r="L615">
        <v>5.6</v>
      </c>
      <c r="M615">
        <v>7</v>
      </c>
      <c r="N615" t="s">
        <v>29</v>
      </c>
      <c r="O615" t="s">
        <v>7</v>
      </c>
      <c r="P615" t="s">
        <v>9</v>
      </c>
      <c r="Q615">
        <v>11</v>
      </c>
      <c r="R615">
        <v>3</v>
      </c>
      <c r="S615">
        <v>28.6</v>
      </c>
      <c r="T615">
        <v>144</v>
      </c>
      <c r="U615">
        <v>90</v>
      </c>
      <c r="V615">
        <v>7961</v>
      </c>
      <c r="W615">
        <v>52.5</v>
      </c>
      <c r="X615">
        <v>4</v>
      </c>
      <c r="Y615">
        <v>4</v>
      </c>
      <c r="Z615">
        <v>13</v>
      </c>
      <c r="AA615">
        <v>0.6</v>
      </c>
      <c r="AB615">
        <v>5</v>
      </c>
      <c r="AC615">
        <v>191</v>
      </c>
      <c r="AD615">
        <v>11</v>
      </c>
      <c r="AE615">
        <v>2</v>
      </c>
      <c r="AF615">
        <v>146</v>
      </c>
      <c r="AG615">
        <v>111</v>
      </c>
      <c r="AH615">
        <v>127</v>
      </c>
      <c r="AI615">
        <v>35</v>
      </c>
      <c r="AJ615">
        <v>28</v>
      </c>
      <c r="AK615">
        <v>25</v>
      </c>
      <c r="AL615">
        <v>20</v>
      </c>
      <c r="AM615">
        <v>6</v>
      </c>
      <c r="AN615">
        <v>92</v>
      </c>
      <c r="AO615">
        <v>28</v>
      </c>
      <c r="AP615">
        <v>33</v>
      </c>
      <c r="AQ615">
        <v>53</v>
      </c>
      <c r="AR615">
        <v>994</v>
      </c>
      <c r="AS615">
        <v>2122</v>
      </c>
      <c r="AT615" t="s">
        <v>7</v>
      </c>
      <c r="AU615">
        <v>0.33</v>
      </c>
      <c r="AV615">
        <v>2016</v>
      </c>
      <c r="AW615" s="1">
        <v>45709</v>
      </c>
      <c r="AX615">
        <v>17.399999999999999</v>
      </c>
      <c r="AY615" t="s">
        <v>10</v>
      </c>
      <c r="AZ615" t="s">
        <v>48</v>
      </c>
      <c r="BA615" t="s">
        <v>21</v>
      </c>
      <c r="BB615" t="s">
        <v>7</v>
      </c>
      <c r="BC615" t="s">
        <v>13</v>
      </c>
      <c r="BD615">
        <v>3</v>
      </c>
      <c r="BE615" t="s">
        <v>14</v>
      </c>
      <c r="BF615">
        <v>1.06</v>
      </c>
    </row>
    <row r="616" spans="1:58" hidden="1" x14ac:dyDescent="0.2">
      <c r="A616">
        <v>615</v>
      </c>
      <c r="B616" t="s">
        <v>0</v>
      </c>
      <c r="C616">
        <v>33</v>
      </c>
      <c r="D616" t="s">
        <v>28</v>
      </c>
      <c r="E616" t="s">
        <v>47</v>
      </c>
      <c r="F616" t="s">
        <v>40</v>
      </c>
      <c r="G616" t="s">
        <v>16</v>
      </c>
      <c r="H616" t="s">
        <v>118</v>
      </c>
      <c r="I616" t="s">
        <v>112</v>
      </c>
      <c r="J616" t="s">
        <v>6</v>
      </c>
      <c r="K616" t="s">
        <v>7</v>
      </c>
      <c r="L616">
        <v>11.8</v>
      </c>
      <c r="M616">
        <v>5.6</v>
      </c>
      <c r="N616" t="s">
        <v>120</v>
      </c>
      <c r="O616" t="s">
        <v>7</v>
      </c>
      <c r="P616" t="s">
        <v>26</v>
      </c>
      <c r="Q616">
        <v>21</v>
      </c>
      <c r="R616">
        <v>7</v>
      </c>
      <c r="S616">
        <v>16.899999999999999</v>
      </c>
      <c r="T616">
        <v>91</v>
      </c>
      <c r="U616">
        <v>81</v>
      </c>
      <c r="V616">
        <v>7856</v>
      </c>
      <c r="W616">
        <v>34.799999999999997</v>
      </c>
      <c r="X616">
        <v>2</v>
      </c>
      <c r="Y616">
        <v>3</v>
      </c>
      <c r="Z616">
        <v>8</v>
      </c>
      <c r="AA616">
        <v>5.3</v>
      </c>
      <c r="AB616">
        <v>2</v>
      </c>
      <c r="AC616">
        <v>243</v>
      </c>
      <c r="AD616">
        <v>11</v>
      </c>
      <c r="AE616">
        <v>7</v>
      </c>
      <c r="AF616">
        <v>177</v>
      </c>
      <c r="AG616">
        <v>117</v>
      </c>
      <c r="AH616">
        <v>143</v>
      </c>
      <c r="AI616">
        <v>47</v>
      </c>
      <c r="AJ616">
        <v>35</v>
      </c>
      <c r="AK616">
        <v>31</v>
      </c>
      <c r="AL616">
        <v>27</v>
      </c>
      <c r="AM616">
        <v>3</v>
      </c>
      <c r="AN616">
        <v>128</v>
      </c>
      <c r="AO616">
        <v>43</v>
      </c>
      <c r="AP616">
        <v>43</v>
      </c>
      <c r="AQ616">
        <v>58</v>
      </c>
      <c r="AR616">
        <v>637</v>
      </c>
      <c r="AS616">
        <v>712</v>
      </c>
      <c r="AT616" t="s">
        <v>7</v>
      </c>
      <c r="AU616">
        <v>7.0000000000000007E-2</v>
      </c>
      <c r="AV616">
        <v>2015</v>
      </c>
      <c r="AW616" s="1">
        <v>45810</v>
      </c>
      <c r="AX616">
        <v>22.1</v>
      </c>
      <c r="AY616" t="s">
        <v>45</v>
      </c>
      <c r="AZ616" t="s">
        <v>31</v>
      </c>
      <c r="BA616" t="s">
        <v>12</v>
      </c>
      <c r="BB616" t="s">
        <v>13</v>
      </c>
      <c r="BC616" t="s">
        <v>13</v>
      </c>
      <c r="BD616">
        <v>3</v>
      </c>
      <c r="BE616" t="s">
        <v>14</v>
      </c>
      <c r="BF616">
        <v>1.06</v>
      </c>
    </row>
    <row r="617" spans="1:58" hidden="1" x14ac:dyDescent="0.2">
      <c r="A617">
        <v>616</v>
      </c>
      <c r="B617" t="s">
        <v>0</v>
      </c>
      <c r="C617">
        <v>48</v>
      </c>
      <c r="D617" t="s">
        <v>1</v>
      </c>
      <c r="E617" t="s">
        <v>128</v>
      </c>
      <c r="F617" t="s">
        <v>15</v>
      </c>
      <c r="G617" t="s">
        <v>117</v>
      </c>
      <c r="H617" t="s">
        <v>119</v>
      </c>
      <c r="I617" t="s">
        <v>114</v>
      </c>
      <c r="J617" t="s">
        <v>123</v>
      </c>
      <c r="K617" t="s">
        <v>7</v>
      </c>
      <c r="L617">
        <v>6.6</v>
      </c>
      <c r="M617">
        <v>9.4</v>
      </c>
      <c r="N617" t="s">
        <v>8</v>
      </c>
      <c r="O617" t="s">
        <v>7</v>
      </c>
      <c r="P617" t="s">
        <v>9</v>
      </c>
      <c r="Q617">
        <v>15</v>
      </c>
      <c r="R617">
        <v>5</v>
      </c>
      <c r="S617">
        <v>24.8</v>
      </c>
      <c r="T617">
        <v>139</v>
      </c>
      <c r="U617">
        <v>72</v>
      </c>
      <c r="V617">
        <v>7810</v>
      </c>
      <c r="W617">
        <v>44.1</v>
      </c>
      <c r="X617">
        <v>1</v>
      </c>
      <c r="Y617">
        <v>3</v>
      </c>
      <c r="Z617">
        <v>11</v>
      </c>
      <c r="AA617">
        <v>5.8</v>
      </c>
      <c r="AB617">
        <v>2</v>
      </c>
      <c r="AC617">
        <v>104</v>
      </c>
      <c r="AD617">
        <v>4</v>
      </c>
      <c r="AE617">
        <v>3</v>
      </c>
      <c r="AF617">
        <v>109</v>
      </c>
      <c r="AG617">
        <v>81</v>
      </c>
      <c r="AH617">
        <v>101</v>
      </c>
      <c r="AI617">
        <v>16</v>
      </c>
      <c r="AJ617">
        <v>14</v>
      </c>
      <c r="AK617">
        <v>18</v>
      </c>
      <c r="AL617">
        <v>10</v>
      </c>
      <c r="AM617">
        <v>5</v>
      </c>
      <c r="AN617">
        <v>53</v>
      </c>
      <c r="AO617">
        <v>23</v>
      </c>
      <c r="AP617">
        <v>12</v>
      </c>
      <c r="AQ617">
        <v>31</v>
      </c>
      <c r="AR617">
        <v>435</v>
      </c>
      <c r="AS617">
        <v>1016</v>
      </c>
      <c r="AT617" t="s">
        <v>7</v>
      </c>
      <c r="AU617">
        <v>0.35</v>
      </c>
      <c r="AV617">
        <v>2017</v>
      </c>
      <c r="AW617" s="1">
        <v>45956</v>
      </c>
      <c r="AX617">
        <v>26</v>
      </c>
      <c r="AY617" t="s">
        <v>36</v>
      </c>
      <c r="AZ617" t="s">
        <v>20</v>
      </c>
      <c r="BA617" t="s">
        <v>21</v>
      </c>
      <c r="BB617" t="s">
        <v>13</v>
      </c>
      <c r="BC617" t="s">
        <v>13</v>
      </c>
      <c r="BD617">
        <v>1</v>
      </c>
      <c r="BE617" t="s">
        <v>14</v>
      </c>
      <c r="BF617">
        <v>1.35</v>
      </c>
    </row>
    <row r="618" spans="1:58" hidden="1" x14ac:dyDescent="0.2">
      <c r="A618">
        <v>617</v>
      </c>
      <c r="B618" t="s">
        <v>0</v>
      </c>
      <c r="C618">
        <v>22</v>
      </c>
      <c r="D618" t="s">
        <v>1</v>
      </c>
      <c r="E618" t="s">
        <v>42</v>
      </c>
      <c r="F618" t="s">
        <v>40</v>
      </c>
      <c r="G618" t="s">
        <v>16</v>
      </c>
      <c r="H618" t="s">
        <v>24</v>
      </c>
      <c r="I618" t="s">
        <v>115</v>
      </c>
      <c r="J618" t="s">
        <v>32</v>
      </c>
      <c r="K618" t="s">
        <v>13</v>
      </c>
      <c r="L618">
        <v>8</v>
      </c>
      <c r="M618">
        <v>7.4</v>
      </c>
      <c r="N618" t="s">
        <v>39</v>
      </c>
      <c r="O618" t="s">
        <v>7</v>
      </c>
      <c r="P618" t="s">
        <v>121</v>
      </c>
      <c r="Q618">
        <v>29</v>
      </c>
      <c r="R618">
        <v>4</v>
      </c>
      <c r="S618">
        <v>23.6</v>
      </c>
      <c r="T618">
        <v>143</v>
      </c>
      <c r="U618">
        <v>68</v>
      </c>
      <c r="V618">
        <v>8041</v>
      </c>
      <c r="W618">
        <v>29.8</v>
      </c>
      <c r="X618">
        <v>3</v>
      </c>
      <c r="Y618">
        <v>6</v>
      </c>
      <c r="Z618">
        <v>10</v>
      </c>
      <c r="AA618">
        <v>6.6</v>
      </c>
      <c r="AB618">
        <v>2</v>
      </c>
      <c r="AC618">
        <v>328</v>
      </c>
      <c r="AD618">
        <v>10</v>
      </c>
      <c r="AE618">
        <v>14</v>
      </c>
      <c r="AF618">
        <v>282</v>
      </c>
      <c r="AG618">
        <v>150</v>
      </c>
      <c r="AH618">
        <v>168</v>
      </c>
      <c r="AI618">
        <v>60</v>
      </c>
      <c r="AJ618">
        <v>40</v>
      </c>
      <c r="AK618">
        <v>41</v>
      </c>
      <c r="AL618">
        <v>28</v>
      </c>
      <c r="AM618">
        <v>5</v>
      </c>
      <c r="AN618">
        <v>139</v>
      </c>
      <c r="AO618">
        <v>96</v>
      </c>
      <c r="AP618">
        <v>57</v>
      </c>
      <c r="AQ618">
        <v>114</v>
      </c>
      <c r="AR618">
        <v>1467</v>
      </c>
      <c r="AS618">
        <v>1221</v>
      </c>
      <c r="AT618" t="s">
        <v>7</v>
      </c>
      <c r="AU618">
        <v>0</v>
      </c>
      <c r="AV618">
        <v>2024</v>
      </c>
      <c r="AW618" s="1">
        <v>45784</v>
      </c>
      <c r="AX618">
        <v>32.799999999999997</v>
      </c>
      <c r="AY618" t="s">
        <v>19</v>
      </c>
      <c r="AZ618" t="s">
        <v>31</v>
      </c>
      <c r="BA618" t="s">
        <v>122</v>
      </c>
      <c r="BB618" t="s">
        <v>13</v>
      </c>
      <c r="BC618" t="s">
        <v>13</v>
      </c>
      <c r="BD618">
        <v>2</v>
      </c>
      <c r="BE618" t="s">
        <v>14</v>
      </c>
      <c r="BF618">
        <v>1</v>
      </c>
    </row>
    <row r="619" spans="1:58" hidden="1" x14ac:dyDescent="0.2">
      <c r="A619">
        <v>618</v>
      </c>
      <c r="B619" t="s">
        <v>0</v>
      </c>
      <c r="C619">
        <v>49</v>
      </c>
      <c r="D619" t="s">
        <v>28</v>
      </c>
      <c r="E619" t="s">
        <v>127</v>
      </c>
      <c r="F619" t="s">
        <v>15</v>
      </c>
      <c r="G619" t="s">
        <v>4</v>
      </c>
      <c r="H619" t="s">
        <v>118</v>
      </c>
      <c r="I619" t="s">
        <v>115</v>
      </c>
      <c r="J619" t="s">
        <v>6</v>
      </c>
      <c r="K619" t="s">
        <v>7</v>
      </c>
      <c r="L619">
        <v>2.9</v>
      </c>
      <c r="M619">
        <v>7.1</v>
      </c>
      <c r="N619" t="s">
        <v>8</v>
      </c>
      <c r="O619" t="s">
        <v>7</v>
      </c>
      <c r="P619" t="s">
        <v>46</v>
      </c>
      <c r="Q619">
        <v>28</v>
      </c>
      <c r="R619">
        <v>9</v>
      </c>
      <c r="S619">
        <v>29.9</v>
      </c>
      <c r="T619">
        <v>103</v>
      </c>
      <c r="U619">
        <v>89</v>
      </c>
      <c r="V619">
        <v>8126</v>
      </c>
      <c r="W619">
        <v>60.9</v>
      </c>
      <c r="X619">
        <v>2</v>
      </c>
      <c r="Y619">
        <v>3</v>
      </c>
      <c r="Z619">
        <v>15</v>
      </c>
      <c r="AA619">
        <v>4.0999999999999996</v>
      </c>
      <c r="AB619">
        <v>4</v>
      </c>
      <c r="AC619">
        <v>182</v>
      </c>
      <c r="AD619">
        <v>18</v>
      </c>
      <c r="AE619">
        <v>3</v>
      </c>
      <c r="AF619">
        <v>147</v>
      </c>
      <c r="AG619">
        <v>118</v>
      </c>
      <c r="AH619">
        <v>119</v>
      </c>
      <c r="AI619">
        <v>23</v>
      </c>
      <c r="AJ619">
        <v>28</v>
      </c>
      <c r="AK619">
        <v>26</v>
      </c>
      <c r="AL619">
        <v>16</v>
      </c>
      <c r="AM619">
        <v>4</v>
      </c>
      <c r="AN619">
        <v>79</v>
      </c>
      <c r="AO619">
        <v>48</v>
      </c>
      <c r="AP619">
        <v>35</v>
      </c>
      <c r="AQ619">
        <v>38</v>
      </c>
      <c r="AR619">
        <v>1995</v>
      </c>
      <c r="AS619">
        <v>4344</v>
      </c>
      <c r="AT619" t="s">
        <v>7</v>
      </c>
      <c r="AU619">
        <v>0.84</v>
      </c>
      <c r="AV619">
        <v>2015</v>
      </c>
      <c r="AW619" s="1">
        <v>45735</v>
      </c>
      <c r="AX619">
        <v>10.1</v>
      </c>
      <c r="AY619" t="s">
        <v>27</v>
      </c>
      <c r="AZ619" t="s">
        <v>11</v>
      </c>
      <c r="BA619" t="s">
        <v>122</v>
      </c>
      <c r="BB619" t="s">
        <v>7</v>
      </c>
      <c r="BC619" t="s">
        <v>7</v>
      </c>
      <c r="BD619">
        <v>1</v>
      </c>
      <c r="BE619" t="s">
        <v>14</v>
      </c>
      <c r="BF619">
        <v>0.95</v>
      </c>
    </row>
    <row r="620" spans="1:58" hidden="1" x14ac:dyDescent="0.2">
      <c r="A620">
        <v>619</v>
      </c>
      <c r="B620" t="s">
        <v>0</v>
      </c>
      <c r="C620">
        <v>21</v>
      </c>
      <c r="D620" t="s">
        <v>28</v>
      </c>
      <c r="E620" t="s">
        <v>128</v>
      </c>
      <c r="F620" t="s">
        <v>40</v>
      </c>
      <c r="G620" t="s">
        <v>16</v>
      </c>
      <c r="H620" t="s">
        <v>118</v>
      </c>
      <c r="I620" t="s">
        <v>114</v>
      </c>
      <c r="J620" t="s">
        <v>32</v>
      </c>
      <c r="K620" t="s">
        <v>7</v>
      </c>
      <c r="L620">
        <v>2.5</v>
      </c>
      <c r="M620">
        <v>8.4</v>
      </c>
      <c r="N620" t="s">
        <v>29</v>
      </c>
      <c r="O620" t="s">
        <v>7</v>
      </c>
      <c r="P620" t="s">
        <v>9</v>
      </c>
      <c r="Q620">
        <v>40</v>
      </c>
      <c r="R620">
        <v>2</v>
      </c>
      <c r="S620">
        <v>28.4</v>
      </c>
      <c r="T620">
        <v>128</v>
      </c>
      <c r="U620">
        <v>66</v>
      </c>
      <c r="V620">
        <v>7949</v>
      </c>
      <c r="W620">
        <v>32.200000000000003</v>
      </c>
      <c r="X620">
        <v>3</v>
      </c>
      <c r="Y620">
        <v>3</v>
      </c>
      <c r="Z620">
        <v>10</v>
      </c>
      <c r="AA620">
        <v>2.5</v>
      </c>
      <c r="AB620">
        <v>3</v>
      </c>
      <c r="AC620">
        <v>443</v>
      </c>
      <c r="AD620">
        <v>15</v>
      </c>
      <c r="AE620">
        <v>16</v>
      </c>
      <c r="AF620">
        <v>300</v>
      </c>
      <c r="AG620">
        <v>150</v>
      </c>
      <c r="AH620">
        <v>257</v>
      </c>
      <c r="AI620">
        <v>63</v>
      </c>
      <c r="AJ620">
        <v>45</v>
      </c>
      <c r="AK620">
        <v>50</v>
      </c>
      <c r="AL620">
        <v>33</v>
      </c>
      <c r="AM620">
        <v>10</v>
      </c>
      <c r="AN620">
        <v>265</v>
      </c>
      <c r="AO620">
        <v>129</v>
      </c>
      <c r="AP620">
        <v>72</v>
      </c>
      <c r="AQ620">
        <v>139</v>
      </c>
      <c r="AR620">
        <v>5527</v>
      </c>
      <c r="AS620">
        <v>8706</v>
      </c>
      <c r="AT620" t="s">
        <v>7</v>
      </c>
      <c r="AU620">
        <v>0.41</v>
      </c>
      <c r="AV620">
        <v>2018</v>
      </c>
      <c r="AW620" s="1">
        <v>45965</v>
      </c>
      <c r="AX620">
        <v>29.5</v>
      </c>
      <c r="AY620" t="s">
        <v>36</v>
      </c>
      <c r="AZ620" t="s">
        <v>35</v>
      </c>
      <c r="BA620" t="s">
        <v>21</v>
      </c>
      <c r="BB620" t="s">
        <v>7</v>
      </c>
      <c r="BC620" t="s">
        <v>13</v>
      </c>
      <c r="BD620">
        <v>2</v>
      </c>
      <c r="BE620" t="s">
        <v>43</v>
      </c>
      <c r="BF620">
        <v>0.97</v>
      </c>
    </row>
    <row r="621" spans="1:58" hidden="1" x14ac:dyDescent="0.2">
      <c r="A621">
        <v>620</v>
      </c>
      <c r="B621" t="s">
        <v>0</v>
      </c>
      <c r="C621">
        <v>36</v>
      </c>
      <c r="D621" t="s">
        <v>28</v>
      </c>
      <c r="E621" t="s">
        <v>2</v>
      </c>
      <c r="F621" t="s">
        <v>40</v>
      </c>
      <c r="G621" t="s">
        <v>117</v>
      </c>
      <c r="H621" t="s">
        <v>118</v>
      </c>
      <c r="I621" t="s">
        <v>17</v>
      </c>
      <c r="J621" t="s">
        <v>6</v>
      </c>
      <c r="K621" t="s">
        <v>7</v>
      </c>
      <c r="L621">
        <v>10.1</v>
      </c>
      <c r="M621">
        <v>7.5</v>
      </c>
      <c r="N621" t="s">
        <v>29</v>
      </c>
      <c r="O621" t="s">
        <v>7</v>
      </c>
      <c r="P621" t="s">
        <v>9</v>
      </c>
      <c r="Q621">
        <v>27</v>
      </c>
      <c r="R621">
        <v>6</v>
      </c>
      <c r="S621">
        <v>27.9</v>
      </c>
      <c r="T621">
        <v>156</v>
      </c>
      <c r="U621">
        <v>89</v>
      </c>
      <c r="V621">
        <v>8071</v>
      </c>
      <c r="W621">
        <v>37.700000000000003</v>
      </c>
      <c r="X621">
        <v>3</v>
      </c>
      <c r="Y621">
        <v>7</v>
      </c>
      <c r="Z621">
        <v>12</v>
      </c>
      <c r="AA621">
        <v>1.3</v>
      </c>
      <c r="AB621">
        <v>7</v>
      </c>
      <c r="AC621">
        <v>178</v>
      </c>
      <c r="AD621">
        <v>13</v>
      </c>
      <c r="AE621">
        <v>4</v>
      </c>
      <c r="AF621">
        <v>160</v>
      </c>
      <c r="AG621">
        <v>101</v>
      </c>
      <c r="AH621">
        <v>113</v>
      </c>
      <c r="AI621">
        <v>41</v>
      </c>
      <c r="AJ621">
        <v>30</v>
      </c>
      <c r="AK621">
        <v>33</v>
      </c>
      <c r="AL621">
        <v>15</v>
      </c>
      <c r="AM621">
        <v>4</v>
      </c>
      <c r="AN621">
        <v>93</v>
      </c>
      <c r="AO621">
        <v>35</v>
      </c>
      <c r="AP621">
        <v>24</v>
      </c>
      <c r="AQ621">
        <v>70</v>
      </c>
      <c r="AR621">
        <v>2832</v>
      </c>
      <c r="AS621">
        <v>2421</v>
      </c>
      <c r="AT621" t="s">
        <v>7</v>
      </c>
      <c r="AU621">
        <v>0.79</v>
      </c>
      <c r="AV621">
        <v>2014</v>
      </c>
      <c r="AW621" s="1">
        <v>45750</v>
      </c>
      <c r="AX621">
        <v>13.7</v>
      </c>
      <c r="AY621" t="s">
        <v>36</v>
      </c>
      <c r="AZ621" t="s">
        <v>11</v>
      </c>
      <c r="BA621" t="s">
        <v>122</v>
      </c>
      <c r="BB621" t="s">
        <v>13</v>
      </c>
      <c r="BC621" t="s">
        <v>7</v>
      </c>
      <c r="BD621">
        <v>4</v>
      </c>
      <c r="BE621" t="s">
        <v>43</v>
      </c>
      <c r="BF621">
        <v>1.1599999999999999</v>
      </c>
    </row>
    <row r="622" spans="1:58" hidden="1" x14ac:dyDescent="0.2">
      <c r="A622">
        <v>621</v>
      </c>
      <c r="B622" t="s">
        <v>0</v>
      </c>
      <c r="C622">
        <v>47</v>
      </c>
      <c r="D622" t="s">
        <v>28</v>
      </c>
      <c r="E622" t="s">
        <v>42</v>
      </c>
      <c r="F622" t="s">
        <v>15</v>
      </c>
      <c r="G622" t="s">
        <v>117</v>
      </c>
      <c r="H622" t="s">
        <v>118</v>
      </c>
      <c r="I622" t="s">
        <v>112</v>
      </c>
      <c r="J622" t="s">
        <v>18</v>
      </c>
      <c r="K622" t="s">
        <v>7</v>
      </c>
      <c r="L622">
        <v>4.5</v>
      </c>
      <c r="M622">
        <v>5.0999999999999996</v>
      </c>
      <c r="N622" t="s">
        <v>25</v>
      </c>
      <c r="O622" t="s">
        <v>7</v>
      </c>
      <c r="P622" t="s">
        <v>26</v>
      </c>
      <c r="Q622">
        <v>10</v>
      </c>
      <c r="R622">
        <v>6</v>
      </c>
      <c r="S622">
        <v>31.8</v>
      </c>
      <c r="T622">
        <v>140</v>
      </c>
      <c r="U622">
        <v>66</v>
      </c>
      <c r="V622">
        <v>7938</v>
      </c>
      <c r="W622">
        <v>58</v>
      </c>
      <c r="X622">
        <v>5</v>
      </c>
      <c r="Y622">
        <v>5</v>
      </c>
      <c r="Z622">
        <v>9</v>
      </c>
      <c r="AA622">
        <v>0.7</v>
      </c>
      <c r="AB622">
        <v>2</v>
      </c>
      <c r="AC622">
        <v>46</v>
      </c>
      <c r="AD622">
        <v>1</v>
      </c>
      <c r="AE622">
        <v>2</v>
      </c>
      <c r="AF622">
        <v>68</v>
      </c>
      <c r="AG622">
        <v>63</v>
      </c>
      <c r="AH622">
        <v>50</v>
      </c>
      <c r="AI622">
        <v>12</v>
      </c>
      <c r="AJ622">
        <v>16</v>
      </c>
      <c r="AK622">
        <v>10</v>
      </c>
      <c r="AL622">
        <v>10</v>
      </c>
      <c r="AM622">
        <v>1</v>
      </c>
      <c r="AN622">
        <v>20</v>
      </c>
      <c r="AO622">
        <v>12</v>
      </c>
      <c r="AP622">
        <v>6</v>
      </c>
      <c r="AQ622">
        <v>12</v>
      </c>
      <c r="AR622">
        <v>217</v>
      </c>
      <c r="AS622">
        <v>228</v>
      </c>
      <c r="AT622" t="s">
        <v>7</v>
      </c>
      <c r="AU622">
        <v>0.87</v>
      </c>
      <c r="AV622">
        <v>2014</v>
      </c>
      <c r="AW622" s="1">
        <v>45881</v>
      </c>
      <c r="AX622">
        <v>46</v>
      </c>
      <c r="AY622" t="s">
        <v>45</v>
      </c>
      <c r="AZ622" t="s">
        <v>35</v>
      </c>
      <c r="BA622" t="s">
        <v>21</v>
      </c>
      <c r="BB622" t="s">
        <v>13</v>
      </c>
      <c r="BC622" t="s">
        <v>7</v>
      </c>
      <c r="BD622">
        <v>3</v>
      </c>
      <c r="BE622" t="s">
        <v>49</v>
      </c>
      <c r="BF622">
        <v>1.7</v>
      </c>
    </row>
    <row r="623" spans="1:58" hidden="1" x14ac:dyDescent="0.2">
      <c r="A623">
        <v>622</v>
      </c>
      <c r="B623" t="s">
        <v>0</v>
      </c>
      <c r="C623">
        <v>61</v>
      </c>
      <c r="D623" t="s">
        <v>1</v>
      </c>
      <c r="E623" t="s">
        <v>2</v>
      </c>
      <c r="F623" t="s">
        <v>40</v>
      </c>
      <c r="G623" t="s">
        <v>117</v>
      </c>
      <c r="H623" t="s">
        <v>118</v>
      </c>
      <c r="I623" t="s">
        <v>114</v>
      </c>
      <c r="J623" t="s">
        <v>6</v>
      </c>
      <c r="K623" t="s">
        <v>7</v>
      </c>
      <c r="L623">
        <v>3.6</v>
      </c>
      <c r="M623">
        <v>5</v>
      </c>
      <c r="N623" t="s">
        <v>25</v>
      </c>
      <c r="O623" t="s">
        <v>7</v>
      </c>
      <c r="P623" t="s">
        <v>9</v>
      </c>
      <c r="Q623">
        <v>36</v>
      </c>
      <c r="R623">
        <v>3</v>
      </c>
      <c r="S623">
        <v>26.7</v>
      </c>
      <c r="T623">
        <v>149</v>
      </c>
      <c r="U623">
        <v>83</v>
      </c>
      <c r="V623">
        <v>7887</v>
      </c>
      <c r="W623">
        <v>32.9</v>
      </c>
      <c r="X623">
        <v>1</v>
      </c>
      <c r="Y623">
        <v>6</v>
      </c>
      <c r="Z623">
        <v>11</v>
      </c>
      <c r="AA623">
        <v>4.3</v>
      </c>
      <c r="AB623">
        <v>3</v>
      </c>
      <c r="AC623">
        <v>355</v>
      </c>
      <c r="AD623">
        <v>11</v>
      </c>
      <c r="AE623">
        <v>10</v>
      </c>
      <c r="AF623">
        <v>239</v>
      </c>
      <c r="AG623">
        <v>150</v>
      </c>
      <c r="AH623">
        <v>186</v>
      </c>
      <c r="AI623">
        <v>54</v>
      </c>
      <c r="AJ623">
        <v>53</v>
      </c>
      <c r="AK623">
        <v>57</v>
      </c>
      <c r="AL623">
        <v>37</v>
      </c>
      <c r="AM623">
        <v>10</v>
      </c>
      <c r="AN623">
        <v>184</v>
      </c>
      <c r="AO623">
        <v>40</v>
      </c>
      <c r="AP623">
        <v>78</v>
      </c>
      <c r="AQ623">
        <v>96</v>
      </c>
      <c r="AR623">
        <v>3093</v>
      </c>
      <c r="AS623">
        <v>7013</v>
      </c>
      <c r="AT623" t="s">
        <v>7</v>
      </c>
      <c r="AU623">
        <v>0.95</v>
      </c>
      <c r="AV623">
        <v>2018</v>
      </c>
      <c r="AW623" s="1">
        <v>45751</v>
      </c>
      <c r="AX623">
        <v>32.299999999999997</v>
      </c>
      <c r="AY623" t="s">
        <v>19</v>
      </c>
      <c r="AZ623" t="s">
        <v>51</v>
      </c>
      <c r="BA623" t="s">
        <v>12</v>
      </c>
      <c r="BB623" t="s">
        <v>7</v>
      </c>
      <c r="BC623" t="s">
        <v>7</v>
      </c>
      <c r="BD623">
        <v>2</v>
      </c>
      <c r="BE623" t="s">
        <v>14</v>
      </c>
      <c r="BF623">
        <v>0.91</v>
      </c>
    </row>
    <row r="624" spans="1:58" hidden="1" x14ac:dyDescent="0.2">
      <c r="A624">
        <v>623</v>
      </c>
      <c r="B624" t="s">
        <v>0</v>
      </c>
      <c r="C624">
        <v>47</v>
      </c>
      <c r="D624" t="s">
        <v>28</v>
      </c>
      <c r="E624" t="s">
        <v>42</v>
      </c>
      <c r="F624" t="s">
        <v>15</v>
      </c>
      <c r="G624" t="s">
        <v>117</v>
      </c>
      <c r="H624" t="s">
        <v>34</v>
      </c>
      <c r="I624" t="s">
        <v>112</v>
      </c>
      <c r="J624" t="s">
        <v>6</v>
      </c>
      <c r="K624" t="s">
        <v>7</v>
      </c>
      <c r="L624">
        <v>2.8</v>
      </c>
      <c r="M624">
        <v>8.6</v>
      </c>
      <c r="N624" t="s">
        <v>8</v>
      </c>
      <c r="O624" t="s">
        <v>7</v>
      </c>
      <c r="P624" t="s">
        <v>46</v>
      </c>
      <c r="Q624">
        <v>14</v>
      </c>
      <c r="R624">
        <v>10</v>
      </c>
      <c r="S624">
        <v>25.6</v>
      </c>
      <c r="T624">
        <v>152</v>
      </c>
      <c r="U624">
        <v>66</v>
      </c>
      <c r="V624">
        <v>7941</v>
      </c>
      <c r="W624">
        <v>23.7</v>
      </c>
      <c r="X624">
        <v>1</v>
      </c>
      <c r="Y624">
        <v>4</v>
      </c>
      <c r="Z624">
        <v>11</v>
      </c>
      <c r="AA624">
        <v>0.6</v>
      </c>
      <c r="AB624">
        <v>4</v>
      </c>
      <c r="AC624">
        <v>40</v>
      </c>
      <c r="AD624">
        <v>3</v>
      </c>
      <c r="AE624">
        <v>3</v>
      </c>
      <c r="AF624">
        <v>81</v>
      </c>
      <c r="AG624">
        <v>31</v>
      </c>
      <c r="AH624">
        <v>38</v>
      </c>
      <c r="AI624">
        <v>17</v>
      </c>
      <c r="AJ624">
        <v>8</v>
      </c>
      <c r="AK624">
        <v>19</v>
      </c>
      <c r="AL624">
        <v>6</v>
      </c>
      <c r="AM624">
        <v>3</v>
      </c>
      <c r="AN624">
        <v>21</v>
      </c>
      <c r="AO624">
        <v>10</v>
      </c>
      <c r="AP624">
        <v>8</v>
      </c>
      <c r="AQ624">
        <v>15</v>
      </c>
      <c r="AR624">
        <v>4002</v>
      </c>
      <c r="AS624">
        <v>5533</v>
      </c>
      <c r="AT624" t="s">
        <v>7</v>
      </c>
      <c r="AU624">
        <v>1</v>
      </c>
      <c r="AV624">
        <v>2020</v>
      </c>
      <c r="AW624" s="1">
        <v>45740</v>
      </c>
      <c r="AX624">
        <v>13.3</v>
      </c>
      <c r="AY624" t="s">
        <v>36</v>
      </c>
      <c r="AZ624" t="s">
        <v>20</v>
      </c>
      <c r="BA624" t="s">
        <v>12</v>
      </c>
      <c r="BB624" t="s">
        <v>13</v>
      </c>
      <c r="BC624" t="s">
        <v>7</v>
      </c>
      <c r="BD624">
        <v>4</v>
      </c>
      <c r="BE624" t="s">
        <v>49</v>
      </c>
      <c r="BF624">
        <v>1.98</v>
      </c>
    </row>
    <row r="625" spans="1:58" hidden="1" x14ac:dyDescent="0.2">
      <c r="A625">
        <v>624</v>
      </c>
      <c r="B625" t="s">
        <v>0</v>
      </c>
      <c r="C625">
        <v>60</v>
      </c>
      <c r="D625" t="s">
        <v>28</v>
      </c>
      <c r="E625" t="s">
        <v>128</v>
      </c>
      <c r="F625" t="s">
        <v>15</v>
      </c>
      <c r="G625" t="s">
        <v>16</v>
      </c>
      <c r="H625" t="s">
        <v>118</v>
      </c>
      <c r="I625" t="s">
        <v>112</v>
      </c>
      <c r="J625" t="s">
        <v>123</v>
      </c>
      <c r="K625" t="s">
        <v>7</v>
      </c>
      <c r="L625">
        <v>10.4</v>
      </c>
      <c r="M625">
        <v>6.4</v>
      </c>
      <c r="N625" t="s">
        <v>8</v>
      </c>
      <c r="O625" t="s">
        <v>7</v>
      </c>
      <c r="P625" t="s">
        <v>52</v>
      </c>
      <c r="Q625">
        <v>16</v>
      </c>
      <c r="R625">
        <v>1</v>
      </c>
      <c r="S625">
        <v>28.8</v>
      </c>
      <c r="T625">
        <v>154</v>
      </c>
      <c r="U625">
        <v>62</v>
      </c>
      <c r="V625">
        <v>8114</v>
      </c>
      <c r="W625">
        <v>27.8</v>
      </c>
      <c r="X625">
        <v>2</v>
      </c>
      <c r="Y625">
        <v>4</v>
      </c>
      <c r="Z625">
        <v>12</v>
      </c>
      <c r="AA625">
        <v>6.8</v>
      </c>
      <c r="AB625">
        <v>2</v>
      </c>
      <c r="AC625">
        <v>120</v>
      </c>
      <c r="AD625">
        <v>6</v>
      </c>
      <c r="AE625">
        <v>2</v>
      </c>
      <c r="AF625">
        <v>106</v>
      </c>
      <c r="AG625">
        <v>76</v>
      </c>
      <c r="AH625">
        <v>86</v>
      </c>
      <c r="AI625">
        <v>27</v>
      </c>
      <c r="AJ625">
        <v>21</v>
      </c>
      <c r="AK625">
        <v>21</v>
      </c>
      <c r="AL625">
        <v>15</v>
      </c>
      <c r="AM625">
        <v>2</v>
      </c>
      <c r="AN625">
        <v>60</v>
      </c>
      <c r="AO625">
        <v>17</v>
      </c>
      <c r="AP625">
        <v>20</v>
      </c>
      <c r="AQ625">
        <v>29</v>
      </c>
      <c r="AR625">
        <v>436</v>
      </c>
      <c r="AS625">
        <v>297</v>
      </c>
      <c r="AT625" t="s">
        <v>13</v>
      </c>
      <c r="AU625">
        <v>0.73</v>
      </c>
      <c r="AV625">
        <v>2019</v>
      </c>
      <c r="AW625" s="1">
        <v>45989</v>
      </c>
      <c r="AX625">
        <v>20</v>
      </c>
      <c r="AY625" t="s">
        <v>19</v>
      </c>
      <c r="AZ625" t="s">
        <v>31</v>
      </c>
      <c r="BA625" t="s">
        <v>122</v>
      </c>
      <c r="BB625" t="s">
        <v>13</v>
      </c>
      <c r="BC625" t="s">
        <v>13</v>
      </c>
      <c r="BD625">
        <v>0</v>
      </c>
      <c r="BE625" t="s">
        <v>43</v>
      </c>
      <c r="BF625">
        <v>1.21</v>
      </c>
    </row>
    <row r="626" spans="1:58" hidden="1" x14ac:dyDescent="0.2">
      <c r="A626">
        <v>625</v>
      </c>
      <c r="B626" t="s">
        <v>0</v>
      </c>
      <c r="C626">
        <v>48</v>
      </c>
      <c r="D626" t="s">
        <v>1</v>
      </c>
      <c r="E626" t="s">
        <v>128</v>
      </c>
      <c r="F626" t="s">
        <v>15</v>
      </c>
      <c r="G626" t="s">
        <v>4</v>
      </c>
      <c r="H626" t="s">
        <v>23</v>
      </c>
      <c r="I626" t="s">
        <v>112</v>
      </c>
      <c r="J626" t="s">
        <v>6</v>
      </c>
      <c r="K626" t="s">
        <v>7</v>
      </c>
      <c r="L626">
        <v>15.4</v>
      </c>
      <c r="M626">
        <v>8.1</v>
      </c>
      <c r="N626" t="s">
        <v>39</v>
      </c>
      <c r="O626" t="s">
        <v>7</v>
      </c>
      <c r="P626" t="s">
        <v>26</v>
      </c>
      <c r="Q626">
        <v>25</v>
      </c>
      <c r="R626">
        <v>7</v>
      </c>
      <c r="S626">
        <v>32</v>
      </c>
      <c r="T626">
        <v>103</v>
      </c>
      <c r="U626">
        <v>74</v>
      </c>
      <c r="V626">
        <v>7978</v>
      </c>
      <c r="W626">
        <v>58.3</v>
      </c>
      <c r="X626">
        <v>4</v>
      </c>
      <c r="Y626">
        <v>9</v>
      </c>
      <c r="Z626">
        <v>9</v>
      </c>
      <c r="AA626">
        <v>4.0999999999999996</v>
      </c>
      <c r="AB626">
        <v>6</v>
      </c>
      <c r="AC626">
        <v>274</v>
      </c>
      <c r="AD626">
        <v>9</v>
      </c>
      <c r="AE626">
        <v>8</v>
      </c>
      <c r="AF626">
        <v>218</v>
      </c>
      <c r="AG626">
        <v>122</v>
      </c>
      <c r="AH626">
        <v>165</v>
      </c>
      <c r="AI626">
        <v>55</v>
      </c>
      <c r="AJ626">
        <v>38</v>
      </c>
      <c r="AK626">
        <v>30</v>
      </c>
      <c r="AL626">
        <v>28</v>
      </c>
      <c r="AM626">
        <v>5</v>
      </c>
      <c r="AN626">
        <v>121</v>
      </c>
      <c r="AO626">
        <v>29</v>
      </c>
      <c r="AP626">
        <v>65</v>
      </c>
      <c r="AQ626">
        <v>103</v>
      </c>
      <c r="AR626">
        <v>253</v>
      </c>
      <c r="AS626">
        <v>156</v>
      </c>
      <c r="AT626" t="s">
        <v>7</v>
      </c>
      <c r="AU626">
        <v>0.46</v>
      </c>
      <c r="AV626">
        <v>2010</v>
      </c>
      <c r="AW626" s="1">
        <v>45987</v>
      </c>
      <c r="AX626">
        <v>30.4</v>
      </c>
      <c r="AY626" t="s">
        <v>27</v>
      </c>
      <c r="AZ626" t="s">
        <v>11</v>
      </c>
      <c r="BA626" t="s">
        <v>21</v>
      </c>
      <c r="BB626" t="s">
        <v>13</v>
      </c>
      <c r="BC626" t="s">
        <v>7</v>
      </c>
      <c r="BD626">
        <v>2</v>
      </c>
      <c r="BE626" t="s">
        <v>14</v>
      </c>
      <c r="BF626">
        <v>1.0900000000000001</v>
      </c>
    </row>
    <row r="627" spans="1:58" hidden="1" x14ac:dyDescent="0.2">
      <c r="A627">
        <v>626</v>
      </c>
      <c r="B627" t="s">
        <v>0</v>
      </c>
      <c r="C627">
        <v>30</v>
      </c>
      <c r="D627" t="s">
        <v>28</v>
      </c>
      <c r="E627" t="s">
        <v>128</v>
      </c>
      <c r="F627" t="s">
        <v>15</v>
      </c>
      <c r="G627" t="s">
        <v>117</v>
      </c>
      <c r="H627" t="s">
        <v>34</v>
      </c>
      <c r="I627" t="s">
        <v>115</v>
      </c>
      <c r="J627" t="s">
        <v>32</v>
      </c>
      <c r="K627" t="s">
        <v>7</v>
      </c>
      <c r="L627">
        <v>7.8</v>
      </c>
      <c r="M627">
        <v>7.5</v>
      </c>
      <c r="N627" t="s">
        <v>29</v>
      </c>
      <c r="O627" t="s">
        <v>7</v>
      </c>
      <c r="P627" t="s">
        <v>26</v>
      </c>
      <c r="Q627">
        <v>28</v>
      </c>
      <c r="R627">
        <v>8</v>
      </c>
      <c r="S627">
        <v>20.7</v>
      </c>
      <c r="T627">
        <v>100</v>
      </c>
      <c r="U627">
        <v>74</v>
      </c>
      <c r="V627">
        <v>7947</v>
      </c>
      <c r="W627">
        <v>40.1</v>
      </c>
      <c r="X627">
        <v>3</v>
      </c>
      <c r="Y627">
        <v>8</v>
      </c>
      <c r="Z627">
        <v>6</v>
      </c>
      <c r="AA627">
        <v>7.6</v>
      </c>
      <c r="AB627">
        <v>5</v>
      </c>
      <c r="AC627">
        <v>149</v>
      </c>
      <c r="AD627">
        <v>13</v>
      </c>
      <c r="AE627">
        <v>3</v>
      </c>
      <c r="AF627">
        <v>145</v>
      </c>
      <c r="AG627">
        <v>91</v>
      </c>
      <c r="AH627">
        <v>91</v>
      </c>
      <c r="AI627">
        <v>35</v>
      </c>
      <c r="AJ627">
        <v>31</v>
      </c>
      <c r="AK627">
        <v>26</v>
      </c>
      <c r="AL627">
        <v>15</v>
      </c>
      <c r="AM627">
        <v>5</v>
      </c>
      <c r="AN627">
        <v>81</v>
      </c>
      <c r="AO627">
        <v>33</v>
      </c>
      <c r="AP627">
        <v>27</v>
      </c>
      <c r="AQ627">
        <v>50</v>
      </c>
      <c r="AR627">
        <v>627</v>
      </c>
      <c r="AS627">
        <v>1075</v>
      </c>
      <c r="AT627" t="s">
        <v>13</v>
      </c>
      <c r="AU627">
        <v>0.15</v>
      </c>
      <c r="AV627">
        <v>2020</v>
      </c>
      <c r="AW627" s="1">
        <v>45789</v>
      </c>
      <c r="AX627">
        <v>11.5</v>
      </c>
      <c r="AY627" t="s">
        <v>30</v>
      </c>
      <c r="AZ627" t="s">
        <v>35</v>
      </c>
      <c r="BA627" t="s">
        <v>122</v>
      </c>
      <c r="BB627" t="s">
        <v>13</v>
      </c>
      <c r="BC627" t="s">
        <v>13</v>
      </c>
      <c r="BD627">
        <v>0</v>
      </c>
      <c r="BE627" t="s">
        <v>43</v>
      </c>
      <c r="BF627">
        <v>1.1299999999999999</v>
      </c>
    </row>
    <row r="628" spans="1:58" hidden="1" x14ac:dyDescent="0.2">
      <c r="A628">
        <v>627</v>
      </c>
      <c r="B628" t="s">
        <v>0</v>
      </c>
      <c r="C628">
        <v>61</v>
      </c>
      <c r="D628" t="s">
        <v>28</v>
      </c>
      <c r="E628" t="s">
        <v>126</v>
      </c>
      <c r="F628" t="s">
        <v>15</v>
      </c>
      <c r="G628" t="s">
        <v>117</v>
      </c>
      <c r="H628" t="s">
        <v>24</v>
      </c>
      <c r="I628" t="s">
        <v>113</v>
      </c>
      <c r="J628" t="s">
        <v>18</v>
      </c>
      <c r="K628" t="s">
        <v>7</v>
      </c>
      <c r="L628">
        <v>1.9</v>
      </c>
      <c r="M628">
        <v>5.5</v>
      </c>
      <c r="N628" t="s">
        <v>25</v>
      </c>
      <c r="O628" t="s">
        <v>7</v>
      </c>
      <c r="P628" t="s">
        <v>9</v>
      </c>
      <c r="Q628">
        <v>5</v>
      </c>
      <c r="R628">
        <v>9</v>
      </c>
      <c r="S628">
        <v>24.4</v>
      </c>
      <c r="T628">
        <v>130</v>
      </c>
      <c r="U628">
        <v>88</v>
      </c>
      <c r="V628">
        <v>8063</v>
      </c>
      <c r="W628">
        <v>47.7</v>
      </c>
      <c r="X628">
        <v>3</v>
      </c>
      <c r="Y628">
        <v>5</v>
      </c>
      <c r="Z628">
        <v>10</v>
      </c>
      <c r="AA628">
        <v>5.9</v>
      </c>
      <c r="AB628">
        <v>3</v>
      </c>
      <c r="AC628">
        <v>5</v>
      </c>
      <c r="AD628">
        <v>1</v>
      </c>
      <c r="AE628">
        <v>1</v>
      </c>
      <c r="AF628">
        <v>45</v>
      </c>
      <c r="AG628">
        <v>24</v>
      </c>
      <c r="AH628">
        <v>31</v>
      </c>
      <c r="AI628">
        <v>7</v>
      </c>
      <c r="AJ628">
        <v>8</v>
      </c>
      <c r="AK628">
        <v>6</v>
      </c>
      <c r="AL628">
        <v>1</v>
      </c>
      <c r="AM628">
        <v>0</v>
      </c>
      <c r="AN628">
        <v>2</v>
      </c>
      <c r="AO628">
        <v>1</v>
      </c>
      <c r="AP628">
        <v>1</v>
      </c>
      <c r="AQ628">
        <v>1</v>
      </c>
      <c r="AR628">
        <v>524</v>
      </c>
      <c r="AS628">
        <v>561</v>
      </c>
      <c r="AT628" t="s">
        <v>7</v>
      </c>
      <c r="AU628">
        <v>0.57999999999999996</v>
      </c>
      <c r="AV628">
        <v>2012</v>
      </c>
      <c r="AW628" s="1">
        <v>45844</v>
      </c>
      <c r="AX628">
        <v>5</v>
      </c>
      <c r="AY628" t="s">
        <v>36</v>
      </c>
      <c r="AZ628" t="s">
        <v>51</v>
      </c>
      <c r="BA628" t="s">
        <v>12</v>
      </c>
      <c r="BB628" t="s">
        <v>7</v>
      </c>
      <c r="BC628" t="s">
        <v>13</v>
      </c>
      <c r="BD628">
        <v>3</v>
      </c>
      <c r="BE628" t="s">
        <v>49</v>
      </c>
      <c r="BF628">
        <v>8</v>
      </c>
    </row>
    <row r="629" spans="1:58" hidden="1" x14ac:dyDescent="0.2">
      <c r="A629">
        <v>628</v>
      </c>
      <c r="B629" t="s">
        <v>0</v>
      </c>
      <c r="C629">
        <v>51</v>
      </c>
      <c r="D629" t="s">
        <v>1</v>
      </c>
      <c r="E629" t="s">
        <v>2</v>
      </c>
      <c r="F629" t="s">
        <v>3</v>
      </c>
      <c r="G629" t="s">
        <v>116</v>
      </c>
      <c r="H629" t="s">
        <v>34</v>
      </c>
      <c r="I629" t="s">
        <v>112</v>
      </c>
      <c r="J629" t="s">
        <v>123</v>
      </c>
      <c r="K629" t="s">
        <v>7</v>
      </c>
      <c r="L629">
        <v>3.2</v>
      </c>
      <c r="M629">
        <v>6.4</v>
      </c>
      <c r="N629" t="s">
        <v>8</v>
      </c>
      <c r="O629" t="s">
        <v>7</v>
      </c>
      <c r="P629" t="s">
        <v>9</v>
      </c>
      <c r="Q629">
        <v>40</v>
      </c>
      <c r="R629">
        <v>1</v>
      </c>
      <c r="S629">
        <v>26.8</v>
      </c>
      <c r="T629">
        <v>149</v>
      </c>
      <c r="U629">
        <v>60</v>
      </c>
      <c r="V629">
        <v>7906</v>
      </c>
      <c r="W629">
        <v>9.6999999999999993</v>
      </c>
      <c r="X629">
        <v>6</v>
      </c>
      <c r="Y629">
        <v>5</v>
      </c>
      <c r="Z629">
        <v>7</v>
      </c>
      <c r="AA629">
        <v>6.2</v>
      </c>
      <c r="AB629">
        <v>3</v>
      </c>
      <c r="AC629">
        <v>428</v>
      </c>
      <c r="AD629">
        <v>17</v>
      </c>
      <c r="AE629">
        <v>11</v>
      </c>
      <c r="AF629">
        <v>292</v>
      </c>
      <c r="AG629">
        <v>150</v>
      </c>
      <c r="AH629">
        <v>224</v>
      </c>
      <c r="AI629">
        <v>66</v>
      </c>
      <c r="AJ629">
        <v>43</v>
      </c>
      <c r="AK629">
        <v>70</v>
      </c>
      <c r="AL629">
        <v>38</v>
      </c>
      <c r="AM629">
        <v>14</v>
      </c>
      <c r="AN629">
        <v>241</v>
      </c>
      <c r="AO629">
        <v>118</v>
      </c>
      <c r="AP629">
        <v>95</v>
      </c>
      <c r="AQ629">
        <v>135</v>
      </c>
      <c r="AR629">
        <v>2524</v>
      </c>
      <c r="AS629">
        <v>1216</v>
      </c>
      <c r="AT629" t="s">
        <v>7</v>
      </c>
      <c r="AU629">
        <v>0.51</v>
      </c>
      <c r="AV629">
        <v>2020</v>
      </c>
      <c r="AW629" s="1">
        <v>45682</v>
      </c>
      <c r="AX629">
        <v>25.2</v>
      </c>
      <c r="AY629" t="s">
        <v>36</v>
      </c>
      <c r="AZ629" t="s">
        <v>20</v>
      </c>
      <c r="BA629" t="s">
        <v>122</v>
      </c>
      <c r="BB629" t="s">
        <v>7</v>
      </c>
      <c r="BC629" t="s">
        <v>13</v>
      </c>
      <c r="BD629">
        <v>2</v>
      </c>
      <c r="BE629" t="s">
        <v>49</v>
      </c>
      <c r="BF629">
        <v>0.91</v>
      </c>
    </row>
    <row r="630" spans="1:58" hidden="1" x14ac:dyDescent="0.2">
      <c r="A630">
        <v>629</v>
      </c>
      <c r="B630" t="s">
        <v>0</v>
      </c>
      <c r="C630">
        <v>44</v>
      </c>
      <c r="D630" t="s">
        <v>28</v>
      </c>
      <c r="E630" t="s">
        <v>47</v>
      </c>
      <c r="F630" t="s">
        <v>3</v>
      </c>
      <c r="G630" t="s">
        <v>16</v>
      </c>
      <c r="H630" t="s">
        <v>118</v>
      </c>
      <c r="I630" t="s">
        <v>115</v>
      </c>
      <c r="J630" t="s">
        <v>32</v>
      </c>
      <c r="K630" t="s">
        <v>13</v>
      </c>
      <c r="L630">
        <v>5.0999999999999996</v>
      </c>
      <c r="M630">
        <v>6.8</v>
      </c>
      <c r="N630" t="s">
        <v>29</v>
      </c>
      <c r="O630" t="s">
        <v>41</v>
      </c>
      <c r="P630" t="s">
        <v>9</v>
      </c>
      <c r="Q630">
        <v>12</v>
      </c>
      <c r="R630">
        <v>4</v>
      </c>
      <c r="S630">
        <v>25</v>
      </c>
      <c r="T630">
        <v>122</v>
      </c>
      <c r="U630">
        <v>89</v>
      </c>
      <c r="V630">
        <v>8073</v>
      </c>
      <c r="W630">
        <v>53.9</v>
      </c>
      <c r="X630">
        <v>0</v>
      </c>
      <c r="Y630">
        <v>8</v>
      </c>
      <c r="Z630">
        <v>8</v>
      </c>
      <c r="AA630">
        <v>1.9</v>
      </c>
      <c r="AB630">
        <v>5</v>
      </c>
      <c r="AC630">
        <v>192</v>
      </c>
      <c r="AD630">
        <v>7</v>
      </c>
      <c r="AE630">
        <v>3</v>
      </c>
      <c r="AF630">
        <v>153</v>
      </c>
      <c r="AG630">
        <v>87</v>
      </c>
      <c r="AH630">
        <v>132</v>
      </c>
      <c r="AI630">
        <v>45</v>
      </c>
      <c r="AJ630">
        <v>28</v>
      </c>
      <c r="AK630">
        <v>24</v>
      </c>
      <c r="AL630">
        <v>10</v>
      </c>
      <c r="AM630">
        <v>5</v>
      </c>
      <c r="AN630">
        <v>100</v>
      </c>
      <c r="AO630">
        <v>22</v>
      </c>
      <c r="AP630">
        <v>25</v>
      </c>
      <c r="AQ630">
        <v>61</v>
      </c>
      <c r="AR630">
        <v>875</v>
      </c>
      <c r="AS630">
        <v>704</v>
      </c>
      <c r="AT630" t="s">
        <v>7</v>
      </c>
      <c r="AU630">
        <v>0.6</v>
      </c>
      <c r="AV630">
        <v>2018</v>
      </c>
      <c r="AW630" s="1">
        <v>45947</v>
      </c>
      <c r="AX630">
        <v>27.4</v>
      </c>
      <c r="AY630" t="s">
        <v>19</v>
      </c>
      <c r="AZ630" t="s">
        <v>51</v>
      </c>
      <c r="BA630" t="s">
        <v>122</v>
      </c>
      <c r="BB630" t="s">
        <v>7</v>
      </c>
      <c r="BC630" t="s">
        <v>7</v>
      </c>
      <c r="BD630">
        <v>1</v>
      </c>
      <c r="BE630" t="s">
        <v>14</v>
      </c>
      <c r="BF630">
        <v>1.2</v>
      </c>
    </row>
    <row r="631" spans="1:58" hidden="1" x14ac:dyDescent="0.2">
      <c r="A631">
        <v>630</v>
      </c>
      <c r="B631" t="s">
        <v>0</v>
      </c>
      <c r="C631">
        <v>36</v>
      </c>
      <c r="D631" t="s">
        <v>1</v>
      </c>
      <c r="E631" t="s">
        <v>17</v>
      </c>
      <c r="F631" t="s">
        <v>15</v>
      </c>
      <c r="G631" t="s">
        <v>16</v>
      </c>
      <c r="H631" t="s">
        <v>118</v>
      </c>
      <c r="I631" t="s">
        <v>112</v>
      </c>
      <c r="J631" t="s">
        <v>6</v>
      </c>
      <c r="K631" t="s">
        <v>7</v>
      </c>
      <c r="L631">
        <v>10.4</v>
      </c>
      <c r="M631">
        <v>6.2</v>
      </c>
      <c r="N631" t="s">
        <v>120</v>
      </c>
      <c r="O631" t="s">
        <v>7</v>
      </c>
      <c r="P631" t="s">
        <v>26</v>
      </c>
      <c r="Q631">
        <v>26</v>
      </c>
      <c r="R631">
        <v>10</v>
      </c>
      <c r="S631">
        <v>20.100000000000001</v>
      </c>
      <c r="T631">
        <v>102</v>
      </c>
      <c r="U631">
        <v>63</v>
      </c>
      <c r="V631">
        <v>7985</v>
      </c>
      <c r="W631">
        <v>24.8</v>
      </c>
      <c r="X631">
        <v>2</v>
      </c>
      <c r="Y631">
        <v>8</v>
      </c>
      <c r="Z631">
        <v>5</v>
      </c>
      <c r="AA631">
        <v>4.3</v>
      </c>
      <c r="AB631">
        <v>3</v>
      </c>
      <c r="AC631">
        <v>165</v>
      </c>
      <c r="AD631">
        <v>12</v>
      </c>
      <c r="AE631">
        <v>2</v>
      </c>
      <c r="AF631">
        <v>143</v>
      </c>
      <c r="AG631">
        <v>100</v>
      </c>
      <c r="AH631">
        <v>128</v>
      </c>
      <c r="AI631">
        <v>35</v>
      </c>
      <c r="AJ631">
        <v>30</v>
      </c>
      <c r="AK631">
        <v>27</v>
      </c>
      <c r="AL631">
        <v>20</v>
      </c>
      <c r="AM631">
        <v>3</v>
      </c>
      <c r="AN631">
        <v>91</v>
      </c>
      <c r="AO631">
        <v>28</v>
      </c>
      <c r="AP631">
        <v>20</v>
      </c>
      <c r="AQ631">
        <v>44</v>
      </c>
      <c r="AR631">
        <v>2657</v>
      </c>
      <c r="AS631">
        <v>5280</v>
      </c>
      <c r="AT631" t="s">
        <v>7</v>
      </c>
      <c r="AU631">
        <v>0.81</v>
      </c>
      <c r="AV631">
        <v>2017</v>
      </c>
      <c r="AW631" s="1">
        <v>45766</v>
      </c>
      <c r="AX631">
        <v>13.8</v>
      </c>
      <c r="AY631" t="s">
        <v>30</v>
      </c>
      <c r="AZ631" t="s">
        <v>17</v>
      </c>
      <c r="BA631" t="s">
        <v>122</v>
      </c>
      <c r="BB631" t="s">
        <v>13</v>
      </c>
      <c r="BC631" t="s">
        <v>13</v>
      </c>
      <c r="BD631">
        <v>2</v>
      </c>
      <c r="BE631" t="s">
        <v>14</v>
      </c>
      <c r="BF631">
        <v>1.23</v>
      </c>
    </row>
    <row r="632" spans="1:58" hidden="1" x14ac:dyDescent="0.2">
      <c r="A632">
        <v>631</v>
      </c>
      <c r="B632" t="s">
        <v>0</v>
      </c>
      <c r="C632">
        <v>35</v>
      </c>
      <c r="D632" t="s">
        <v>28</v>
      </c>
      <c r="E632" t="s">
        <v>47</v>
      </c>
      <c r="F632" t="s">
        <v>40</v>
      </c>
      <c r="G632" t="s">
        <v>116</v>
      </c>
      <c r="H632" t="s">
        <v>119</v>
      </c>
      <c r="I632" t="s">
        <v>53</v>
      </c>
      <c r="J632" t="s">
        <v>123</v>
      </c>
      <c r="K632" t="s">
        <v>7</v>
      </c>
      <c r="L632">
        <v>2</v>
      </c>
      <c r="M632">
        <v>7.7</v>
      </c>
      <c r="N632" t="s">
        <v>120</v>
      </c>
      <c r="O632" t="s">
        <v>13</v>
      </c>
      <c r="P632" t="s">
        <v>46</v>
      </c>
      <c r="Q632">
        <v>24</v>
      </c>
      <c r="R632">
        <v>2</v>
      </c>
      <c r="S632">
        <v>27.2</v>
      </c>
      <c r="T632">
        <v>151</v>
      </c>
      <c r="U632">
        <v>81</v>
      </c>
      <c r="V632">
        <v>8030</v>
      </c>
      <c r="W632">
        <v>30.4</v>
      </c>
      <c r="X632">
        <v>4</v>
      </c>
      <c r="Y632">
        <v>3</v>
      </c>
      <c r="Z632">
        <v>8</v>
      </c>
      <c r="AA632">
        <v>4.3</v>
      </c>
      <c r="AB632">
        <v>3</v>
      </c>
      <c r="AC632">
        <v>250</v>
      </c>
      <c r="AD632">
        <v>19</v>
      </c>
      <c r="AE632">
        <v>8</v>
      </c>
      <c r="AF632">
        <v>172</v>
      </c>
      <c r="AG632">
        <v>136</v>
      </c>
      <c r="AH632">
        <v>151</v>
      </c>
      <c r="AI632">
        <v>50</v>
      </c>
      <c r="AJ632">
        <v>42</v>
      </c>
      <c r="AK632">
        <v>35</v>
      </c>
      <c r="AL632">
        <v>34</v>
      </c>
      <c r="AM632">
        <v>7</v>
      </c>
      <c r="AN632">
        <v>120</v>
      </c>
      <c r="AO632">
        <v>70</v>
      </c>
      <c r="AP632">
        <v>38</v>
      </c>
      <c r="AQ632">
        <v>77</v>
      </c>
      <c r="AR632">
        <v>642</v>
      </c>
      <c r="AS632">
        <v>749</v>
      </c>
      <c r="AT632" t="s">
        <v>7</v>
      </c>
      <c r="AU632">
        <v>0.54</v>
      </c>
      <c r="AV632">
        <v>2014</v>
      </c>
      <c r="AW632" s="1">
        <v>45699</v>
      </c>
      <c r="AX632">
        <v>13.2</v>
      </c>
      <c r="AY632" t="s">
        <v>45</v>
      </c>
      <c r="AZ632" t="s">
        <v>35</v>
      </c>
      <c r="BA632" t="s">
        <v>122</v>
      </c>
      <c r="BB632" t="s">
        <v>13</v>
      </c>
      <c r="BC632" t="s">
        <v>13</v>
      </c>
      <c r="BD632">
        <v>3</v>
      </c>
      <c r="BE632" t="s">
        <v>14</v>
      </c>
      <c r="BF632">
        <v>1.1000000000000001</v>
      </c>
    </row>
    <row r="633" spans="1:58" hidden="1" x14ac:dyDescent="0.2">
      <c r="A633">
        <v>632</v>
      </c>
      <c r="B633" t="s">
        <v>0</v>
      </c>
      <c r="C633">
        <v>44</v>
      </c>
      <c r="D633" t="s">
        <v>28</v>
      </c>
      <c r="E633" t="s">
        <v>2</v>
      </c>
      <c r="F633" t="s">
        <v>15</v>
      </c>
      <c r="G633" t="s">
        <v>117</v>
      </c>
      <c r="H633" t="s">
        <v>118</v>
      </c>
      <c r="I633" t="s">
        <v>114</v>
      </c>
      <c r="J633" t="s">
        <v>32</v>
      </c>
      <c r="K633" t="s">
        <v>13</v>
      </c>
      <c r="L633">
        <v>9.1</v>
      </c>
      <c r="M633">
        <v>6.9</v>
      </c>
      <c r="N633" t="s">
        <v>29</v>
      </c>
      <c r="O633" t="s">
        <v>13</v>
      </c>
      <c r="P633" t="s">
        <v>9</v>
      </c>
      <c r="Q633">
        <v>37</v>
      </c>
      <c r="R633">
        <v>4</v>
      </c>
      <c r="S633">
        <v>23.7</v>
      </c>
      <c r="T633">
        <v>100</v>
      </c>
      <c r="U633">
        <v>94</v>
      </c>
      <c r="V633">
        <v>8071</v>
      </c>
      <c r="W633">
        <v>48.4</v>
      </c>
      <c r="X633">
        <v>4</v>
      </c>
      <c r="Y633">
        <v>8</v>
      </c>
      <c r="Z633">
        <v>9</v>
      </c>
      <c r="AA633">
        <v>2</v>
      </c>
      <c r="AB633">
        <v>1</v>
      </c>
      <c r="AC633">
        <v>376</v>
      </c>
      <c r="AD633">
        <v>22</v>
      </c>
      <c r="AE633">
        <v>6</v>
      </c>
      <c r="AF633">
        <v>239</v>
      </c>
      <c r="AG633">
        <v>150</v>
      </c>
      <c r="AH633">
        <v>229</v>
      </c>
      <c r="AI633">
        <v>52</v>
      </c>
      <c r="AJ633">
        <v>42</v>
      </c>
      <c r="AK633">
        <v>52</v>
      </c>
      <c r="AL633">
        <v>38</v>
      </c>
      <c r="AM633">
        <v>16</v>
      </c>
      <c r="AN633">
        <v>213</v>
      </c>
      <c r="AO633">
        <v>104</v>
      </c>
      <c r="AP633">
        <v>51</v>
      </c>
      <c r="AQ633">
        <v>144</v>
      </c>
      <c r="AR633">
        <v>668</v>
      </c>
      <c r="AS633">
        <v>424</v>
      </c>
      <c r="AT633" t="s">
        <v>7</v>
      </c>
      <c r="AU633">
        <v>0.41</v>
      </c>
      <c r="AV633">
        <v>2019</v>
      </c>
      <c r="AW633" s="1">
        <v>45839</v>
      </c>
      <c r="AX633">
        <v>17.100000000000001</v>
      </c>
      <c r="AY633" t="s">
        <v>19</v>
      </c>
      <c r="AZ633" t="s">
        <v>20</v>
      </c>
      <c r="BA633" t="s">
        <v>12</v>
      </c>
      <c r="BB633" t="s">
        <v>13</v>
      </c>
      <c r="BC633" t="s">
        <v>13</v>
      </c>
      <c r="BD633">
        <v>1</v>
      </c>
      <c r="BE633" t="s">
        <v>14</v>
      </c>
      <c r="BF633">
        <v>0.93</v>
      </c>
    </row>
    <row r="634" spans="1:58" hidden="1" x14ac:dyDescent="0.2">
      <c r="A634">
        <v>633</v>
      </c>
      <c r="B634" t="s">
        <v>0</v>
      </c>
      <c r="C634">
        <v>49</v>
      </c>
      <c r="D634" t="s">
        <v>28</v>
      </c>
      <c r="E634" t="s">
        <v>47</v>
      </c>
      <c r="F634" t="s">
        <v>3</v>
      </c>
      <c r="G634" t="s">
        <v>16</v>
      </c>
      <c r="H634" t="s">
        <v>23</v>
      </c>
      <c r="I634" t="s">
        <v>112</v>
      </c>
      <c r="J634" t="s">
        <v>6</v>
      </c>
      <c r="K634" t="s">
        <v>7</v>
      </c>
      <c r="L634">
        <v>6.6</v>
      </c>
      <c r="M634">
        <v>7.4</v>
      </c>
      <c r="N634" t="s">
        <v>8</v>
      </c>
      <c r="O634" t="s">
        <v>7</v>
      </c>
      <c r="P634" t="s">
        <v>9</v>
      </c>
      <c r="Q634">
        <v>35</v>
      </c>
      <c r="R634">
        <v>9</v>
      </c>
      <c r="S634">
        <v>28.7</v>
      </c>
      <c r="T634">
        <v>134</v>
      </c>
      <c r="U634">
        <v>98</v>
      </c>
      <c r="V634">
        <v>8107</v>
      </c>
      <c r="W634">
        <v>41.3</v>
      </c>
      <c r="X634">
        <v>3</v>
      </c>
      <c r="Y634">
        <v>4</v>
      </c>
      <c r="Z634">
        <v>12</v>
      </c>
      <c r="AA634">
        <v>1.5</v>
      </c>
      <c r="AB634">
        <v>1</v>
      </c>
      <c r="AC634">
        <v>166</v>
      </c>
      <c r="AD634">
        <v>5</v>
      </c>
      <c r="AE634">
        <v>1</v>
      </c>
      <c r="AF634">
        <v>136</v>
      </c>
      <c r="AG634">
        <v>104</v>
      </c>
      <c r="AH634">
        <v>95</v>
      </c>
      <c r="AI634">
        <v>33</v>
      </c>
      <c r="AJ634">
        <v>28</v>
      </c>
      <c r="AK634">
        <v>30</v>
      </c>
      <c r="AL634">
        <v>14</v>
      </c>
      <c r="AM634">
        <v>4</v>
      </c>
      <c r="AN634">
        <v>87</v>
      </c>
      <c r="AO634">
        <v>49</v>
      </c>
      <c r="AP634">
        <v>36</v>
      </c>
      <c r="AQ634">
        <v>56</v>
      </c>
      <c r="AR634">
        <v>1176</v>
      </c>
      <c r="AS634">
        <v>2632</v>
      </c>
      <c r="AT634" t="s">
        <v>13</v>
      </c>
      <c r="AU634">
        <v>0.49</v>
      </c>
      <c r="AV634">
        <v>2013</v>
      </c>
      <c r="AW634" s="1">
        <v>45693</v>
      </c>
      <c r="AX634">
        <v>33.200000000000003</v>
      </c>
      <c r="AY634" t="s">
        <v>19</v>
      </c>
      <c r="AZ634" t="s">
        <v>48</v>
      </c>
      <c r="BA634" t="s">
        <v>12</v>
      </c>
      <c r="BB634" t="s">
        <v>7</v>
      </c>
      <c r="BC634" t="s">
        <v>13</v>
      </c>
      <c r="BD634">
        <v>1</v>
      </c>
      <c r="BE634" t="s">
        <v>43</v>
      </c>
      <c r="BF634">
        <v>0.98</v>
      </c>
    </row>
    <row r="635" spans="1:58" hidden="1" x14ac:dyDescent="0.2">
      <c r="A635">
        <v>634</v>
      </c>
      <c r="B635" t="s">
        <v>0</v>
      </c>
      <c r="C635">
        <v>24</v>
      </c>
      <c r="D635" t="s">
        <v>28</v>
      </c>
      <c r="E635" t="s">
        <v>2</v>
      </c>
      <c r="F635" t="s">
        <v>15</v>
      </c>
      <c r="G635" t="s">
        <v>117</v>
      </c>
      <c r="H635" t="s">
        <v>119</v>
      </c>
      <c r="I635" t="s">
        <v>17</v>
      </c>
      <c r="J635" t="s">
        <v>123</v>
      </c>
      <c r="K635" t="s">
        <v>7</v>
      </c>
      <c r="L635">
        <v>12.3</v>
      </c>
      <c r="M635">
        <v>6.6</v>
      </c>
      <c r="N635" t="s">
        <v>29</v>
      </c>
      <c r="O635" t="s">
        <v>7</v>
      </c>
      <c r="P635" t="s">
        <v>52</v>
      </c>
      <c r="Q635">
        <v>18</v>
      </c>
      <c r="R635">
        <v>3</v>
      </c>
      <c r="S635">
        <v>24.5</v>
      </c>
      <c r="T635">
        <v>128</v>
      </c>
      <c r="U635">
        <v>68</v>
      </c>
      <c r="V635">
        <v>8002</v>
      </c>
      <c r="W635">
        <v>42.8</v>
      </c>
      <c r="X635">
        <v>3</v>
      </c>
      <c r="Y635">
        <v>8</v>
      </c>
      <c r="Z635">
        <v>11</v>
      </c>
      <c r="AA635">
        <v>5.3</v>
      </c>
      <c r="AB635">
        <v>3</v>
      </c>
      <c r="AC635">
        <v>272</v>
      </c>
      <c r="AD635">
        <v>15</v>
      </c>
      <c r="AE635">
        <v>8</v>
      </c>
      <c r="AF635">
        <v>289</v>
      </c>
      <c r="AG635">
        <v>141</v>
      </c>
      <c r="AH635">
        <v>194</v>
      </c>
      <c r="AI635">
        <v>43</v>
      </c>
      <c r="AJ635">
        <v>36</v>
      </c>
      <c r="AK635">
        <v>41</v>
      </c>
      <c r="AL635">
        <v>29</v>
      </c>
      <c r="AM635">
        <v>3</v>
      </c>
      <c r="AN635">
        <v>121</v>
      </c>
      <c r="AO635">
        <v>31</v>
      </c>
      <c r="AP635">
        <v>60</v>
      </c>
      <c r="AQ635">
        <v>93</v>
      </c>
      <c r="AR635">
        <v>1717</v>
      </c>
      <c r="AS635">
        <v>3901</v>
      </c>
      <c r="AT635" t="s">
        <v>7</v>
      </c>
      <c r="AU635">
        <v>0.33</v>
      </c>
      <c r="AV635">
        <v>2014</v>
      </c>
      <c r="AW635" s="1">
        <v>45743</v>
      </c>
      <c r="AX635">
        <v>18.100000000000001</v>
      </c>
      <c r="AY635" t="s">
        <v>36</v>
      </c>
      <c r="AZ635" t="s">
        <v>11</v>
      </c>
      <c r="BA635" t="s">
        <v>12</v>
      </c>
      <c r="BB635" t="s">
        <v>13</v>
      </c>
      <c r="BC635" t="s">
        <v>7</v>
      </c>
      <c r="BD635">
        <v>4</v>
      </c>
      <c r="BE635" t="s">
        <v>49</v>
      </c>
      <c r="BF635">
        <v>1.1100000000000001</v>
      </c>
    </row>
    <row r="636" spans="1:58" hidden="1" x14ac:dyDescent="0.2">
      <c r="A636">
        <v>635</v>
      </c>
      <c r="B636" t="s">
        <v>0</v>
      </c>
      <c r="C636">
        <v>61</v>
      </c>
      <c r="D636" t="s">
        <v>28</v>
      </c>
      <c r="E636" t="s">
        <v>126</v>
      </c>
      <c r="F636" t="s">
        <v>15</v>
      </c>
      <c r="G636" t="s">
        <v>16</v>
      </c>
      <c r="H636" t="s">
        <v>118</v>
      </c>
      <c r="I636" t="s">
        <v>112</v>
      </c>
      <c r="J636" t="s">
        <v>6</v>
      </c>
      <c r="K636" t="s">
        <v>7</v>
      </c>
      <c r="L636">
        <v>6.4</v>
      </c>
      <c r="M636">
        <v>6.2</v>
      </c>
      <c r="N636" t="s">
        <v>8</v>
      </c>
      <c r="O636" t="s">
        <v>41</v>
      </c>
      <c r="P636" t="s">
        <v>9</v>
      </c>
      <c r="Q636">
        <v>2</v>
      </c>
      <c r="R636">
        <v>6</v>
      </c>
      <c r="S636">
        <v>27.7</v>
      </c>
      <c r="T636">
        <v>148</v>
      </c>
      <c r="U636">
        <v>89</v>
      </c>
      <c r="V636">
        <v>8221</v>
      </c>
      <c r="W636">
        <v>32</v>
      </c>
      <c r="X636">
        <v>2</v>
      </c>
      <c r="Y636">
        <v>7</v>
      </c>
      <c r="Z636">
        <v>14</v>
      </c>
      <c r="AA636">
        <v>3</v>
      </c>
      <c r="AB636">
        <v>3</v>
      </c>
      <c r="AC636">
        <v>5</v>
      </c>
      <c r="AD636">
        <v>1</v>
      </c>
      <c r="AE636">
        <v>1</v>
      </c>
      <c r="AF636">
        <v>51</v>
      </c>
      <c r="AG636">
        <v>40</v>
      </c>
      <c r="AH636">
        <v>24</v>
      </c>
      <c r="AI636">
        <v>2</v>
      </c>
      <c r="AJ636">
        <v>10</v>
      </c>
      <c r="AK636">
        <v>7</v>
      </c>
      <c r="AL636">
        <v>6</v>
      </c>
      <c r="AM636">
        <v>3</v>
      </c>
      <c r="AN636">
        <v>3</v>
      </c>
      <c r="AO636">
        <v>1</v>
      </c>
      <c r="AP636">
        <v>1</v>
      </c>
      <c r="AQ636">
        <v>1</v>
      </c>
      <c r="AR636">
        <v>6264</v>
      </c>
      <c r="AS636">
        <v>5889</v>
      </c>
      <c r="AT636" t="s">
        <v>13</v>
      </c>
      <c r="AU636">
        <v>0.53</v>
      </c>
      <c r="AV636">
        <v>2019</v>
      </c>
      <c r="AW636" s="1">
        <v>45741</v>
      </c>
      <c r="AX636">
        <v>5</v>
      </c>
      <c r="AY636" t="s">
        <v>19</v>
      </c>
      <c r="AZ636" t="s">
        <v>35</v>
      </c>
      <c r="BA636" t="s">
        <v>12</v>
      </c>
      <c r="BB636" t="s">
        <v>13</v>
      </c>
      <c r="BC636" t="s">
        <v>7</v>
      </c>
      <c r="BD636">
        <v>2</v>
      </c>
      <c r="BE636" t="s">
        <v>43</v>
      </c>
      <c r="BF636">
        <v>5.17</v>
      </c>
    </row>
    <row r="637" spans="1:58" hidden="1" x14ac:dyDescent="0.2">
      <c r="A637">
        <v>636</v>
      </c>
      <c r="B637" t="s">
        <v>0</v>
      </c>
      <c r="C637">
        <v>25</v>
      </c>
      <c r="D637" t="s">
        <v>124</v>
      </c>
      <c r="E637" t="s">
        <v>127</v>
      </c>
      <c r="F637" t="s">
        <v>40</v>
      </c>
      <c r="G637" t="s">
        <v>16</v>
      </c>
      <c r="H637" t="s">
        <v>23</v>
      </c>
      <c r="I637" t="s">
        <v>114</v>
      </c>
      <c r="J637" t="s">
        <v>18</v>
      </c>
      <c r="K637" t="s">
        <v>7</v>
      </c>
      <c r="L637">
        <v>13.9</v>
      </c>
      <c r="M637">
        <v>6.5</v>
      </c>
      <c r="N637" t="s">
        <v>120</v>
      </c>
      <c r="O637" t="s">
        <v>7</v>
      </c>
      <c r="P637" t="s">
        <v>9</v>
      </c>
      <c r="Q637">
        <v>23</v>
      </c>
      <c r="R637">
        <v>6</v>
      </c>
      <c r="S637">
        <v>27.3</v>
      </c>
      <c r="T637">
        <v>129</v>
      </c>
      <c r="U637">
        <v>92</v>
      </c>
      <c r="V637">
        <v>8011</v>
      </c>
      <c r="W637">
        <v>38.5</v>
      </c>
      <c r="X637">
        <v>2</v>
      </c>
      <c r="Y637">
        <v>4</v>
      </c>
      <c r="Z637">
        <v>8</v>
      </c>
      <c r="AA637">
        <v>0.9</v>
      </c>
      <c r="AB637">
        <v>4</v>
      </c>
      <c r="AC637">
        <v>184</v>
      </c>
      <c r="AD637">
        <v>8</v>
      </c>
      <c r="AE637">
        <v>2</v>
      </c>
      <c r="AF637">
        <v>237</v>
      </c>
      <c r="AG637">
        <v>101</v>
      </c>
      <c r="AH637">
        <v>118</v>
      </c>
      <c r="AI637">
        <v>37</v>
      </c>
      <c r="AJ637">
        <v>31</v>
      </c>
      <c r="AK637">
        <v>40</v>
      </c>
      <c r="AL637">
        <v>27</v>
      </c>
      <c r="AM637">
        <v>4</v>
      </c>
      <c r="AN637">
        <v>97</v>
      </c>
      <c r="AO637">
        <v>41</v>
      </c>
      <c r="AP637">
        <v>38</v>
      </c>
      <c r="AQ637">
        <v>41</v>
      </c>
      <c r="AR637">
        <v>753</v>
      </c>
      <c r="AS637">
        <v>1800</v>
      </c>
      <c r="AT637" t="s">
        <v>13</v>
      </c>
      <c r="AU637">
        <v>0.39</v>
      </c>
      <c r="AV637">
        <v>2024</v>
      </c>
      <c r="AW637" s="1">
        <v>45680</v>
      </c>
      <c r="AX637">
        <v>23</v>
      </c>
      <c r="AY637" t="s">
        <v>27</v>
      </c>
      <c r="AZ637" t="s">
        <v>11</v>
      </c>
      <c r="BA637" t="s">
        <v>12</v>
      </c>
      <c r="BB637" t="s">
        <v>13</v>
      </c>
      <c r="BC637" t="s">
        <v>13</v>
      </c>
      <c r="BD637">
        <v>0</v>
      </c>
      <c r="BE637" t="s">
        <v>14</v>
      </c>
      <c r="BF637">
        <v>1.07</v>
      </c>
    </row>
    <row r="638" spans="1:58" hidden="1" x14ac:dyDescent="0.2">
      <c r="A638">
        <v>637</v>
      </c>
      <c r="B638" t="s">
        <v>0</v>
      </c>
      <c r="C638">
        <v>35</v>
      </c>
      <c r="D638" t="s">
        <v>28</v>
      </c>
      <c r="E638" t="s">
        <v>42</v>
      </c>
      <c r="F638" t="s">
        <v>15</v>
      </c>
      <c r="G638" t="s">
        <v>16</v>
      </c>
      <c r="H638" t="s">
        <v>34</v>
      </c>
      <c r="I638" t="s">
        <v>114</v>
      </c>
      <c r="J638" t="s">
        <v>6</v>
      </c>
      <c r="K638" t="s">
        <v>7</v>
      </c>
      <c r="L638">
        <v>5.4</v>
      </c>
      <c r="M638">
        <v>6.6</v>
      </c>
      <c r="N638" t="s">
        <v>8</v>
      </c>
      <c r="O638" t="s">
        <v>7</v>
      </c>
      <c r="P638" t="s">
        <v>26</v>
      </c>
      <c r="Q638">
        <v>34</v>
      </c>
      <c r="R638">
        <v>3</v>
      </c>
      <c r="S638">
        <v>25.7</v>
      </c>
      <c r="T638">
        <v>98</v>
      </c>
      <c r="U638">
        <v>99</v>
      </c>
      <c r="V638">
        <v>8054</v>
      </c>
      <c r="W638">
        <v>31.7</v>
      </c>
      <c r="X638">
        <v>1</v>
      </c>
      <c r="Y638">
        <v>6</v>
      </c>
      <c r="Z638">
        <v>16</v>
      </c>
      <c r="AA638">
        <v>3.7</v>
      </c>
      <c r="AB638">
        <v>2</v>
      </c>
      <c r="AC638">
        <v>272</v>
      </c>
      <c r="AD638">
        <v>10</v>
      </c>
      <c r="AE638">
        <v>8</v>
      </c>
      <c r="AF638">
        <v>201</v>
      </c>
      <c r="AG638">
        <v>150</v>
      </c>
      <c r="AH638">
        <v>172</v>
      </c>
      <c r="AI638">
        <v>44</v>
      </c>
      <c r="AJ638">
        <v>43</v>
      </c>
      <c r="AK638">
        <v>46</v>
      </c>
      <c r="AL638">
        <v>30</v>
      </c>
      <c r="AM638">
        <v>10</v>
      </c>
      <c r="AN638">
        <v>137</v>
      </c>
      <c r="AO638">
        <v>33</v>
      </c>
      <c r="AP638">
        <v>30</v>
      </c>
      <c r="AQ638">
        <v>75</v>
      </c>
      <c r="AR638">
        <v>352</v>
      </c>
      <c r="AS638">
        <v>689</v>
      </c>
      <c r="AT638" t="s">
        <v>7</v>
      </c>
      <c r="AU638">
        <v>0.91</v>
      </c>
      <c r="AV638">
        <v>2023</v>
      </c>
      <c r="AW638" s="1">
        <v>45709</v>
      </c>
      <c r="AX638">
        <v>27.2</v>
      </c>
      <c r="AY638" t="s">
        <v>10</v>
      </c>
      <c r="AZ638" t="s">
        <v>35</v>
      </c>
      <c r="BA638" t="s">
        <v>21</v>
      </c>
      <c r="BB638" t="s">
        <v>13</v>
      </c>
      <c r="BC638" t="s">
        <v>13</v>
      </c>
      <c r="BD638">
        <v>2</v>
      </c>
      <c r="BE638" t="s">
        <v>14</v>
      </c>
      <c r="BF638">
        <v>1.04</v>
      </c>
    </row>
    <row r="639" spans="1:58" hidden="1" x14ac:dyDescent="0.2">
      <c r="A639">
        <v>638</v>
      </c>
      <c r="B639" t="s">
        <v>0</v>
      </c>
      <c r="C639">
        <v>37</v>
      </c>
      <c r="D639" t="s">
        <v>28</v>
      </c>
      <c r="E639" t="s">
        <v>128</v>
      </c>
      <c r="F639" t="s">
        <v>15</v>
      </c>
      <c r="G639" t="s">
        <v>4</v>
      </c>
      <c r="H639" t="s">
        <v>118</v>
      </c>
      <c r="I639" t="s">
        <v>114</v>
      </c>
      <c r="J639" t="s">
        <v>32</v>
      </c>
      <c r="K639" t="s">
        <v>7</v>
      </c>
      <c r="L639">
        <v>9.1</v>
      </c>
      <c r="M639">
        <v>7</v>
      </c>
      <c r="N639" t="s">
        <v>8</v>
      </c>
      <c r="O639" t="s">
        <v>7</v>
      </c>
      <c r="P639" t="s">
        <v>9</v>
      </c>
      <c r="Q639">
        <v>11</v>
      </c>
      <c r="R639">
        <v>3</v>
      </c>
      <c r="S639">
        <v>27.6</v>
      </c>
      <c r="T639">
        <v>101</v>
      </c>
      <c r="U639">
        <v>90</v>
      </c>
      <c r="V639">
        <v>8146</v>
      </c>
      <c r="W639">
        <v>42.9</v>
      </c>
      <c r="X639">
        <v>1</v>
      </c>
      <c r="Y639">
        <v>1</v>
      </c>
      <c r="Z639">
        <v>7</v>
      </c>
      <c r="AA639">
        <v>8.8000000000000007</v>
      </c>
      <c r="AB639">
        <v>3</v>
      </c>
      <c r="AC639">
        <v>228</v>
      </c>
      <c r="AD639">
        <v>28</v>
      </c>
      <c r="AE639">
        <v>13</v>
      </c>
      <c r="AF639">
        <v>165</v>
      </c>
      <c r="AG639">
        <v>114</v>
      </c>
      <c r="AH639">
        <v>134</v>
      </c>
      <c r="AI639">
        <v>40</v>
      </c>
      <c r="AJ639">
        <v>28</v>
      </c>
      <c r="AK639">
        <v>42</v>
      </c>
      <c r="AL639">
        <v>22</v>
      </c>
      <c r="AM639">
        <v>1</v>
      </c>
      <c r="AN639">
        <v>132</v>
      </c>
      <c r="AO639">
        <v>63</v>
      </c>
      <c r="AP639">
        <v>24</v>
      </c>
      <c r="AQ639">
        <v>78</v>
      </c>
      <c r="AR639">
        <v>4346</v>
      </c>
      <c r="AS639">
        <v>10000</v>
      </c>
      <c r="AT639" t="s">
        <v>7</v>
      </c>
      <c r="AU639">
        <v>0.79</v>
      </c>
      <c r="AV639">
        <v>2025</v>
      </c>
      <c r="AW639" s="1">
        <v>45970</v>
      </c>
      <c r="AX639">
        <v>8.1</v>
      </c>
      <c r="AY639" t="s">
        <v>45</v>
      </c>
      <c r="AZ639" t="s">
        <v>51</v>
      </c>
      <c r="BA639" t="s">
        <v>21</v>
      </c>
      <c r="BB639" t="s">
        <v>13</v>
      </c>
      <c r="BC639" t="s">
        <v>13</v>
      </c>
      <c r="BD639">
        <v>4</v>
      </c>
      <c r="BE639" t="s">
        <v>14</v>
      </c>
      <c r="BF639">
        <v>1.1000000000000001</v>
      </c>
    </row>
    <row r="640" spans="1:58" hidden="1" x14ac:dyDescent="0.2">
      <c r="A640">
        <v>639</v>
      </c>
      <c r="B640" t="s">
        <v>0</v>
      </c>
      <c r="C640">
        <v>47</v>
      </c>
      <c r="D640" t="s">
        <v>28</v>
      </c>
      <c r="E640" t="s">
        <v>2</v>
      </c>
      <c r="F640" t="s">
        <v>40</v>
      </c>
      <c r="G640" t="s">
        <v>4</v>
      </c>
      <c r="H640" t="s">
        <v>118</v>
      </c>
      <c r="I640" t="s">
        <v>113</v>
      </c>
      <c r="J640" t="s">
        <v>6</v>
      </c>
      <c r="K640" t="s">
        <v>13</v>
      </c>
      <c r="L640">
        <v>8.8000000000000007</v>
      </c>
      <c r="M640">
        <v>6.9</v>
      </c>
      <c r="N640" t="s">
        <v>8</v>
      </c>
      <c r="O640" t="s">
        <v>7</v>
      </c>
      <c r="P640" t="s">
        <v>9</v>
      </c>
      <c r="Q640">
        <v>28</v>
      </c>
      <c r="R640">
        <v>2</v>
      </c>
      <c r="S640">
        <v>23</v>
      </c>
      <c r="T640">
        <v>130</v>
      </c>
      <c r="U640">
        <v>85</v>
      </c>
      <c r="V640">
        <v>7973</v>
      </c>
      <c r="W640">
        <v>38.700000000000003</v>
      </c>
      <c r="X640">
        <v>1</v>
      </c>
      <c r="Y640">
        <v>7</v>
      </c>
      <c r="Z640">
        <v>9</v>
      </c>
      <c r="AA640">
        <v>4.2</v>
      </c>
      <c r="AB640">
        <v>0</v>
      </c>
      <c r="AC640">
        <v>295</v>
      </c>
      <c r="AD640">
        <v>9</v>
      </c>
      <c r="AE640">
        <v>6</v>
      </c>
      <c r="AF640">
        <v>205</v>
      </c>
      <c r="AG640">
        <v>134</v>
      </c>
      <c r="AH640">
        <v>167</v>
      </c>
      <c r="AI640">
        <v>48</v>
      </c>
      <c r="AJ640">
        <v>40</v>
      </c>
      <c r="AK640">
        <v>51</v>
      </c>
      <c r="AL640">
        <v>32</v>
      </c>
      <c r="AM640">
        <v>7</v>
      </c>
      <c r="AN640">
        <v>143</v>
      </c>
      <c r="AO640">
        <v>88</v>
      </c>
      <c r="AP640">
        <v>71</v>
      </c>
      <c r="AQ640">
        <v>112</v>
      </c>
      <c r="AR640">
        <v>846</v>
      </c>
      <c r="AS640">
        <v>1833</v>
      </c>
      <c r="AT640" t="s">
        <v>7</v>
      </c>
      <c r="AU640">
        <v>0.79</v>
      </c>
      <c r="AV640">
        <v>2011</v>
      </c>
      <c r="AW640" s="1">
        <v>45756</v>
      </c>
      <c r="AX640">
        <v>32.799999999999997</v>
      </c>
      <c r="AY640" t="s">
        <v>45</v>
      </c>
      <c r="AZ640" t="s">
        <v>17</v>
      </c>
      <c r="BA640" t="s">
        <v>12</v>
      </c>
      <c r="BB640" t="s">
        <v>13</v>
      </c>
      <c r="BC640" t="s">
        <v>7</v>
      </c>
      <c r="BD640">
        <v>2</v>
      </c>
      <c r="BE640" t="s">
        <v>14</v>
      </c>
      <c r="BF640">
        <v>0.95</v>
      </c>
    </row>
    <row r="641" spans="1:58" hidden="1" x14ac:dyDescent="0.2">
      <c r="A641">
        <v>640</v>
      </c>
      <c r="B641" t="s">
        <v>0</v>
      </c>
      <c r="C641">
        <v>53</v>
      </c>
      <c r="D641" t="s">
        <v>28</v>
      </c>
      <c r="E641" t="s">
        <v>2</v>
      </c>
      <c r="F641" t="s">
        <v>15</v>
      </c>
      <c r="G641" t="s">
        <v>16</v>
      </c>
      <c r="H641" t="s">
        <v>23</v>
      </c>
      <c r="I641" t="s">
        <v>114</v>
      </c>
      <c r="J641" t="s">
        <v>6</v>
      </c>
      <c r="K641" t="s">
        <v>13</v>
      </c>
      <c r="L641">
        <v>4.8</v>
      </c>
      <c r="M641">
        <v>6.8</v>
      </c>
      <c r="N641" t="s">
        <v>29</v>
      </c>
      <c r="O641" t="s">
        <v>7</v>
      </c>
      <c r="P641" t="s">
        <v>46</v>
      </c>
      <c r="Q641">
        <v>35</v>
      </c>
      <c r="R641">
        <v>8</v>
      </c>
      <c r="S641">
        <v>16.100000000000001</v>
      </c>
      <c r="T641">
        <v>150</v>
      </c>
      <c r="U641">
        <v>73</v>
      </c>
      <c r="V641">
        <v>7862</v>
      </c>
      <c r="W641">
        <v>45.3</v>
      </c>
      <c r="X641">
        <v>5</v>
      </c>
      <c r="Y641">
        <v>3</v>
      </c>
      <c r="Z641">
        <v>14</v>
      </c>
      <c r="AA641">
        <v>4.5</v>
      </c>
      <c r="AB641">
        <v>1</v>
      </c>
      <c r="AC641">
        <v>284</v>
      </c>
      <c r="AD641">
        <v>24</v>
      </c>
      <c r="AE641">
        <v>8</v>
      </c>
      <c r="AF641">
        <v>215</v>
      </c>
      <c r="AG641">
        <v>150</v>
      </c>
      <c r="AH641">
        <v>168</v>
      </c>
      <c r="AI641">
        <v>54</v>
      </c>
      <c r="AJ641">
        <v>29</v>
      </c>
      <c r="AK641">
        <v>41</v>
      </c>
      <c r="AL641">
        <v>36</v>
      </c>
      <c r="AM641">
        <v>9</v>
      </c>
      <c r="AN641">
        <v>168</v>
      </c>
      <c r="AO641">
        <v>58</v>
      </c>
      <c r="AP641">
        <v>46</v>
      </c>
      <c r="AQ641">
        <v>67</v>
      </c>
      <c r="AR641">
        <v>1388</v>
      </c>
      <c r="AS641">
        <v>1354</v>
      </c>
      <c r="AT641" t="s">
        <v>7</v>
      </c>
      <c r="AU641">
        <v>0.02</v>
      </c>
      <c r="AV641">
        <v>2011</v>
      </c>
      <c r="AW641" s="1">
        <v>45873</v>
      </c>
      <c r="AX641">
        <v>11.8</v>
      </c>
      <c r="AY641" t="s">
        <v>36</v>
      </c>
      <c r="AZ641" t="s">
        <v>37</v>
      </c>
      <c r="BA641" t="s">
        <v>12</v>
      </c>
      <c r="BB641" t="s">
        <v>13</v>
      </c>
      <c r="BC641" t="s">
        <v>7</v>
      </c>
      <c r="BD641">
        <v>3</v>
      </c>
      <c r="BE641" t="s">
        <v>43</v>
      </c>
      <c r="BF641">
        <v>1.05</v>
      </c>
    </row>
    <row r="642" spans="1:58" hidden="1" x14ac:dyDescent="0.2">
      <c r="A642">
        <v>641</v>
      </c>
      <c r="B642" t="s">
        <v>0</v>
      </c>
      <c r="C642">
        <v>42</v>
      </c>
      <c r="D642" t="s">
        <v>1</v>
      </c>
      <c r="E642" t="s">
        <v>128</v>
      </c>
      <c r="F642" t="s">
        <v>3</v>
      </c>
      <c r="G642" t="s">
        <v>38</v>
      </c>
      <c r="H642" t="s">
        <v>34</v>
      </c>
      <c r="I642" t="s">
        <v>114</v>
      </c>
      <c r="J642" t="s">
        <v>123</v>
      </c>
      <c r="K642" t="s">
        <v>13</v>
      </c>
      <c r="L642">
        <v>12.3</v>
      </c>
      <c r="M642">
        <v>4.2</v>
      </c>
      <c r="N642" t="s">
        <v>29</v>
      </c>
      <c r="O642" t="s">
        <v>7</v>
      </c>
      <c r="P642" t="s">
        <v>26</v>
      </c>
      <c r="Q642">
        <v>2</v>
      </c>
      <c r="R642">
        <v>5</v>
      </c>
      <c r="S642">
        <v>28.7</v>
      </c>
      <c r="T642">
        <v>145</v>
      </c>
      <c r="U642">
        <v>73</v>
      </c>
      <c r="V642">
        <v>8126</v>
      </c>
      <c r="W642">
        <v>46</v>
      </c>
      <c r="X642">
        <v>6</v>
      </c>
      <c r="Y642">
        <v>2</v>
      </c>
      <c r="Z642">
        <v>11</v>
      </c>
      <c r="AA642">
        <v>2.5</v>
      </c>
      <c r="AB642">
        <v>3</v>
      </c>
      <c r="AC642">
        <v>42</v>
      </c>
      <c r="AD642">
        <v>3</v>
      </c>
      <c r="AE642">
        <v>2</v>
      </c>
      <c r="AF642">
        <v>70</v>
      </c>
      <c r="AG642">
        <v>51</v>
      </c>
      <c r="AH642">
        <v>61</v>
      </c>
      <c r="AI642">
        <v>10</v>
      </c>
      <c r="AJ642">
        <v>17</v>
      </c>
      <c r="AK642">
        <v>10</v>
      </c>
      <c r="AL642">
        <v>7</v>
      </c>
      <c r="AM642">
        <v>0</v>
      </c>
      <c r="AN642">
        <v>25</v>
      </c>
      <c r="AO642">
        <v>9</v>
      </c>
      <c r="AP642">
        <v>6</v>
      </c>
      <c r="AQ642">
        <v>10</v>
      </c>
      <c r="AR642">
        <v>699</v>
      </c>
      <c r="AS642">
        <v>1548</v>
      </c>
      <c r="AT642" t="s">
        <v>7</v>
      </c>
      <c r="AU642">
        <v>0.23</v>
      </c>
      <c r="AV642">
        <v>2025</v>
      </c>
      <c r="AW642" s="1">
        <v>45731</v>
      </c>
      <c r="AX642">
        <v>14</v>
      </c>
      <c r="AY642" t="s">
        <v>45</v>
      </c>
      <c r="AZ642" t="s">
        <v>35</v>
      </c>
      <c r="BA642" t="s">
        <v>21</v>
      </c>
      <c r="BB642" t="s">
        <v>7</v>
      </c>
      <c r="BC642" t="s">
        <v>13</v>
      </c>
      <c r="BD642">
        <v>1</v>
      </c>
      <c r="BE642" t="s">
        <v>14</v>
      </c>
      <c r="BF642">
        <v>2.02</v>
      </c>
    </row>
    <row r="643" spans="1:58" hidden="1" x14ac:dyDescent="0.2">
      <c r="A643">
        <v>642</v>
      </c>
      <c r="B643" t="s">
        <v>0</v>
      </c>
      <c r="C643">
        <v>29</v>
      </c>
      <c r="D643" t="s">
        <v>28</v>
      </c>
      <c r="E643" t="s">
        <v>128</v>
      </c>
      <c r="F643" t="s">
        <v>15</v>
      </c>
      <c r="G643" t="s">
        <v>38</v>
      </c>
      <c r="H643" t="s">
        <v>5</v>
      </c>
      <c r="I643" t="s">
        <v>115</v>
      </c>
      <c r="J643" t="s">
        <v>6</v>
      </c>
      <c r="K643" t="s">
        <v>7</v>
      </c>
      <c r="L643">
        <v>1.6</v>
      </c>
      <c r="M643">
        <v>7.9</v>
      </c>
      <c r="N643" t="s">
        <v>29</v>
      </c>
      <c r="O643" t="s">
        <v>7</v>
      </c>
      <c r="P643" t="s">
        <v>9</v>
      </c>
      <c r="Q643">
        <v>9</v>
      </c>
      <c r="R643">
        <v>1</v>
      </c>
      <c r="S643">
        <v>27.1</v>
      </c>
      <c r="T643">
        <v>97</v>
      </c>
      <c r="U643">
        <v>93</v>
      </c>
      <c r="V643">
        <v>8011</v>
      </c>
      <c r="W643">
        <v>45.5</v>
      </c>
      <c r="X643">
        <v>1</v>
      </c>
      <c r="Y643">
        <v>8</v>
      </c>
      <c r="Z643">
        <v>14</v>
      </c>
      <c r="AA643">
        <v>0.6</v>
      </c>
      <c r="AB643">
        <v>0</v>
      </c>
      <c r="AC643">
        <v>180</v>
      </c>
      <c r="AD643">
        <v>14</v>
      </c>
      <c r="AE643">
        <v>1</v>
      </c>
      <c r="AF643">
        <v>200</v>
      </c>
      <c r="AG643">
        <v>106</v>
      </c>
      <c r="AH643">
        <v>105</v>
      </c>
      <c r="AI643">
        <v>41</v>
      </c>
      <c r="AJ643">
        <v>31</v>
      </c>
      <c r="AK643">
        <v>46</v>
      </c>
      <c r="AL643">
        <v>16</v>
      </c>
      <c r="AM643">
        <v>2</v>
      </c>
      <c r="AN643">
        <v>78</v>
      </c>
      <c r="AO643">
        <v>53</v>
      </c>
      <c r="AP643">
        <v>23</v>
      </c>
      <c r="AQ643">
        <v>69</v>
      </c>
      <c r="AR643">
        <v>4402</v>
      </c>
      <c r="AS643">
        <v>5286</v>
      </c>
      <c r="AT643" t="s">
        <v>7</v>
      </c>
      <c r="AU643">
        <v>0.15</v>
      </c>
      <c r="AV643">
        <v>2011</v>
      </c>
      <c r="AW643" s="1">
        <v>45703</v>
      </c>
      <c r="AX643">
        <v>12.9</v>
      </c>
      <c r="AY643" t="s">
        <v>36</v>
      </c>
      <c r="AZ643" t="s">
        <v>20</v>
      </c>
      <c r="BA643" t="s">
        <v>12</v>
      </c>
      <c r="BB643" t="s">
        <v>13</v>
      </c>
      <c r="BC643" t="s">
        <v>13</v>
      </c>
      <c r="BD643">
        <v>4</v>
      </c>
      <c r="BE643" t="s">
        <v>14</v>
      </c>
      <c r="BF643">
        <v>1.05</v>
      </c>
    </row>
    <row r="644" spans="1:58" hidden="1" x14ac:dyDescent="0.2">
      <c r="A644">
        <v>643</v>
      </c>
      <c r="B644" t="s">
        <v>0</v>
      </c>
      <c r="C644">
        <v>61</v>
      </c>
      <c r="D644" t="s">
        <v>1</v>
      </c>
      <c r="E644" t="s">
        <v>128</v>
      </c>
      <c r="F644" t="s">
        <v>15</v>
      </c>
      <c r="G644" t="s">
        <v>38</v>
      </c>
      <c r="H644" t="s">
        <v>118</v>
      </c>
      <c r="I644" t="s">
        <v>114</v>
      </c>
      <c r="J644" t="s">
        <v>32</v>
      </c>
      <c r="K644" t="s">
        <v>7</v>
      </c>
      <c r="L644">
        <v>4.2</v>
      </c>
      <c r="M644">
        <v>8</v>
      </c>
      <c r="N644" t="s">
        <v>120</v>
      </c>
      <c r="O644" t="s">
        <v>7</v>
      </c>
      <c r="P644" t="s">
        <v>46</v>
      </c>
      <c r="Q644">
        <v>33</v>
      </c>
      <c r="R644">
        <v>4</v>
      </c>
      <c r="S644">
        <v>25.6</v>
      </c>
      <c r="T644">
        <v>144</v>
      </c>
      <c r="U644">
        <v>99</v>
      </c>
      <c r="V644">
        <v>8169</v>
      </c>
      <c r="W644">
        <v>37.5</v>
      </c>
      <c r="X644">
        <v>6</v>
      </c>
      <c r="Y644">
        <v>1</v>
      </c>
      <c r="Z644">
        <v>10</v>
      </c>
      <c r="AA644">
        <v>3.2</v>
      </c>
      <c r="AB644">
        <v>5</v>
      </c>
      <c r="AC644">
        <v>297</v>
      </c>
      <c r="AD644">
        <v>10</v>
      </c>
      <c r="AE644">
        <v>6</v>
      </c>
      <c r="AF644">
        <v>219</v>
      </c>
      <c r="AG644">
        <v>140</v>
      </c>
      <c r="AH644">
        <v>177</v>
      </c>
      <c r="AI644">
        <v>50</v>
      </c>
      <c r="AJ644">
        <v>45</v>
      </c>
      <c r="AK644">
        <v>36</v>
      </c>
      <c r="AL644">
        <v>31</v>
      </c>
      <c r="AM644">
        <v>8</v>
      </c>
      <c r="AN644">
        <v>149</v>
      </c>
      <c r="AO644">
        <v>87</v>
      </c>
      <c r="AP644">
        <v>44</v>
      </c>
      <c r="AQ644">
        <v>90</v>
      </c>
      <c r="AR644">
        <v>1965</v>
      </c>
      <c r="AS644">
        <v>3609</v>
      </c>
      <c r="AT644" t="s">
        <v>7</v>
      </c>
      <c r="AU644">
        <v>0.3</v>
      </c>
      <c r="AV644">
        <v>2025</v>
      </c>
      <c r="AW644" s="1">
        <v>45929</v>
      </c>
      <c r="AX644">
        <v>29.7</v>
      </c>
      <c r="AY644" t="s">
        <v>45</v>
      </c>
      <c r="AZ644" t="s">
        <v>17</v>
      </c>
      <c r="BA644" t="s">
        <v>122</v>
      </c>
      <c r="BB644" t="s">
        <v>13</v>
      </c>
      <c r="BC644" t="s">
        <v>7</v>
      </c>
      <c r="BD644">
        <v>3</v>
      </c>
      <c r="BE644" t="s">
        <v>14</v>
      </c>
      <c r="BF644">
        <v>0.99</v>
      </c>
    </row>
    <row r="645" spans="1:58" hidden="1" x14ac:dyDescent="0.2">
      <c r="A645">
        <v>644</v>
      </c>
      <c r="B645" t="s">
        <v>0</v>
      </c>
      <c r="C645">
        <v>32</v>
      </c>
      <c r="D645" t="s">
        <v>1</v>
      </c>
      <c r="E645" t="s">
        <v>22</v>
      </c>
      <c r="F645" t="s">
        <v>15</v>
      </c>
      <c r="G645" t="s">
        <v>38</v>
      </c>
      <c r="H645" t="s">
        <v>23</v>
      </c>
      <c r="I645" t="s">
        <v>112</v>
      </c>
      <c r="J645" t="s">
        <v>123</v>
      </c>
      <c r="K645" t="s">
        <v>7</v>
      </c>
      <c r="L645">
        <v>9</v>
      </c>
      <c r="M645">
        <v>6</v>
      </c>
      <c r="N645" t="s">
        <v>120</v>
      </c>
      <c r="O645" t="s">
        <v>13</v>
      </c>
      <c r="P645" t="s">
        <v>9</v>
      </c>
      <c r="Q645">
        <v>16</v>
      </c>
      <c r="R645">
        <v>4</v>
      </c>
      <c r="S645">
        <v>21.1</v>
      </c>
      <c r="T645">
        <v>109</v>
      </c>
      <c r="U645">
        <v>62</v>
      </c>
      <c r="V645">
        <v>7978</v>
      </c>
      <c r="W645">
        <v>53.5</v>
      </c>
      <c r="X645">
        <v>4</v>
      </c>
      <c r="Y645">
        <v>2</v>
      </c>
      <c r="Z645">
        <v>10</v>
      </c>
      <c r="AA645">
        <v>4</v>
      </c>
      <c r="AB645">
        <v>1</v>
      </c>
      <c r="AC645">
        <v>252</v>
      </c>
      <c r="AD645">
        <v>15</v>
      </c>
      <c r="AE645">
        <v>5</v>
      </c>
      <c r="AF645">
        <v>191</v>
      </c>
      <c r="AG645">
        <v>125</v>
      </c>
      <c r="AH645">
        <v>163</v>
      </c>
      <c r="AI645">
        <v>54</v>
      </c>
      <c r="AJ645">
        <v>39</v>
      </c>
      <c r="AK645">
        <v>34</v>
      </c>
      <c r="AL645">
        <v>24</v>
      </c>
      <c r="AM645">
        <v>9</v>
      </c>
      <c r="AN645">
        <v>135</v>
      </c>
      <c r="AO645">
        <v>48</v>
      </c>
      <c r="AP645">
        <v>28</v>
      </c>
      <c r="AQ645">
        <v>85</v>
      </c>
      <c r="AR645">
        <v>627</v>
      </c>
      <c r="AS645">
        <v>1090</v>
      </c>
      <c r="AT645" t="s">
        <v>7</v>
      </c>
      <c r="AU645">
        <v>0.82</v>
      </c>
      <c r="AV645">
        <v>2021</v>
      </c>
      <c r="AW645" s="1">
        <v>45662</v>
      </c>
      <c r="AX645">
        <v>16.8</v>
      </c>
      <c r="AY645" t="s">
        <v>30</v>
      </c>
      <c r="AZ645" t="s">
        <v>37</v>
      </c>
      <c r="BA645" t="s">
        <v>21</v>
      </c>
      <c r="BB645" t="s">
        <v>13</v>
      </c>
      <c r="BC645" t="s">
        <v>7</v>
      </c>
      <c r="BD645">
        <v>3</v>
      </c>
      <c r="BE645" t="s">
        <v>14</v>
      </c>
      <c r="BF645">
        <v>1.1299999999999999</v>
      </c>
    </row>
    <row r="646" spans="1:58" hidden="1" x14ac:dyDescent="0.2">
      <c r="A646">
        <v>645</v>
      </c>
      <c r="B646" t="s">
        <v>0</v>
      </c>
      <c r="C646">
        <v>60</v>
      </c>
      <c r="D646" t="s">
        <v>124</v>
      </c>
      <c r="E646" t="s">
        <v>2</v>
      </c>
      <c r="F646" t="s">
        <v>40</v>
      </c>
      <c r="G646" t="s">
        <v>16</v>
      </c>
      <c r="H646" t="s">
        <v>118</v>
      </c>
      <c r="I646" t="s">
        <v>112</v>
      </c>
      <c r="J646" t="s">
        <v>32</v>
      </c>
      <c r="K646" t="s">
        <v>13</v>
      </c>
      <c r="L646">
        <v>1.8</v>
      </c>
      <c r="M646">
        <v>7.2</v>
      </c>
      <c r="N646" t="s">
        <v>8</v>
      </c>
      <c r="O646" t="s">
        <v>7</v>
      </c>
      <c r="P646" t="s">
        <v>26</v>
      </c>
      <c r="Q646">
        <v>1</v>
      </c>
      <c r="R646">
        <v>9</v>
      </c>
      <c r="S646">
        <v>21</v>
      </c>
      <c r="T646">
        <v>150</v>
      </c>
      <c r="U646">
        <v>86</v>
      </c>
      <c r="V646">
        <v>7870</v>
      </c>
      <c r="W646">
        <v>44.3</v>
      </c>
      <c r="X646">
        <v>1</v>
      </c>
      <c r="Y646">
        <v>7</v>
      </c>
      <c r="Z646">
        <v>12</v>
      </c>
      <c r="AA646">
        <v>4.3</v>
      </c>
      <c r="AB646">
        <v>1</v>
      </c>
      <c r="AC646">
        <v>5</v>
      </c>
      <c r="AD646">
        <v>1</v>
      </c>
      <c r="AE646">
        <v>3</v>
      </c>
      <c r="AF646">
        <v>41</v>
      </c>
      <c r="AG646">
        <v>45</v>
      </c>
      <c r="AH646">
        <v>20</v>
      </c>
      <c r="AI646">
        <v>7</v>
      </c>
      <c r="AJ646">
        <v>12</v>
      </c>
      <c r="AK646">
        <v>4</v>
      </c>
      <c r="AL646">
        <v>6</v>
      </c>
      <c r="AM646">
        <v>0</v>
      </c>
      <c r="AN646">
        <v>3</v>
      </c>
      <c r="AO646">
        <v>1</v>
      </c>
      <c r="AP646">
        <v>1</v>
      </c>
      <c r="AQ646">
        <v>2</v>
      </c>
      <c r="AR646">
        <v>161</v>
      </c>
      <c r="AS646">
        <v>394</v>
      </c>
      <c r="AT646" t="s">
        <v>13</v>
      </c>
      <c r="AU646">
        <v>0.21</v>
      </c>
      <c r="AV646">
        <v>2013</v>
      </c>
      <c r="AW646" s="1">
        <v>45783</v>
      </c>
      <c r="AX646">
        <v>5</v>
      </c>
      <c r="AY646" t="s">
        <v>36</v>
      </c>
      <c r="AZ646" t="s">
        <v>51</v>
      </c>
      <c r="BA646" t="s">
        <v>12</v>
      </c>
      <c r="BB646" t="s">
        <v>13</v>
      </c>
      <c r="BC646" t="s">
        <v>13</v>
      </c>
      <c r="BD646">
        <v>0</v>
      </c>
      <c r="BE646" t="s">
        <v>43</v>
      </c>
      <c r="BF646">
        <v>7.17</v>
      </c>
    </row>
    <row r="647" spans="1:58" hidden="1" x14ac:dyDescent="0.2">
      <c r="A647">
        <v>646</v>
      </c>
      <c r="B647" t="s">
        <v>0</v>
      </c>
      <c r="C647">
        <v>37</v>
      </c>
      <c r="D647" t="s">
        <v>28</v>
      </c>
      <c r="E647" t="s">
        <v>128</v>
      </c>
      <c r="F647" t="s">
        <v>15</v>
      </c>
      <c r="G647" t="s">
        <v>38</v>
      </c>
      <c r="H647" t="s">
        <v>119</v>
      </c>
      <c r="I647" t="s">
        <v>112</v>
      </c>
      <c r="J647" t="s">
        <v>123</v>
      </c>
      <c r="K647" t="s">
        <v>13</v>
      </c>
      <c r="L647">
        <v>4.5999999999999996</v>
      </c>
      <c r="M647">
        <v>7.3</v>
      </c>
      <c r="N647" t="s">
        <v>25</v>
      </c>
      <c r="O647" t="s">
        <v>7</v>
      </c>
      <c r="P647" t="s">
        <v>9</v>
      </c>
      <c r="Q647">
        <v>36</v>
      </c>
      <c r="R647">
        <v>5</v>
      </c>
      <c r="S647">
        <v>30</v>
      </c>
      <c r="T647">
        <v>99</v>
      </c>
      <c r="U647">
        <v>61</v>
      </c>
      <c r="V647">
        <v>7877</v>
      </c>
      <c r="W647">
        <v>37.700000000000003</v>
      </c>
      <c r="X647">
        <v>2</v>
      </c>
      <c r="Y647">
        <v>3</v>
      </c>
      <c r="Z647">
        <v>11</v>
      </c>
      <c r="AA647">
        <v>2.2999999999999998</v>
      </c>
      <c r="AB647">
        <v>3</v>
      </c>
      <c r="AC647">
        <v>411</v>
      </c>
      <c r="AD647">
        <v>47</v>
      </c>
      <c r="AE647">
        <v>4</v>
      </c>
      <c r="AF647">
        <v>266</v>
      </c>
      <c r="AG647">
        <v>150</v>
      </c>
      <c r="AH647">
        <v>226</v>
      </c>
      <c r="AI647">
        <v>74</v>
      </c>
      <c r="AJ647">
        <v>62</v>
      </c>
      <c r="AK647">
        <v>48</v>
      </c>
      <c r="AL647">
        <v>47</v>
      </c>
      <c r="AM647">
        <v>8</v>
      </c>
      <c r="AN647">
        <v>185</v>
      </c>
      <c r="AO647">
        <v>60</v>
      </c>
      <c r="AP647">
        <v>84</v>
      </c>
      <c r="AQ647">
        <v>132</v>
      </c>
      <c r="AR647">
        <v>542</v>
      </c>
      <c r="AS647">
        <v>957</v>
      </c>
      <c r="AT647" t="s">
        <v>7</v>
      </c>
      <c r="AU647">
        <v>0.52</v>
      </c>
      <c r="AV647">
        <v>2012</v>
      </c>
      <c r="AW647" s="1">
        <v>45701</v>
      </c>
      <c r="AX647">
        <v>8.6999999999999993</v>
      </c>
      <c r="AY647" t="s">
        <v>10</v>
      </c>
      <c r="AZ647" t="s">
        <v>48</v>
      </c>
      <c r="BA647" t="s">
        <v>12</v>
      </c>
      <c r="BB647" t="s">
        <v>7</v>
      </c>
      <c r="BC647" t="s">
        <v>13</v>
      </c>
      <c r="BD647">
        <v>0</v>
      </c>
      <c r="BE647" t="s">
        <v>14</v>
      </c>
      <c r="BF647">
        <v>0.94</v>
      </c>
    </row>
    <row r="648" spans="1:58" hidden="1" x14ac:dyDescent="0.2">
      <c r="A648">
        <v>647</v>
      </c>
      <c r="B648" t="s">
        <v>0</v>
      </c>
      <c r="C648">
        <v>34</v>
      </c>
      <c r="D648" t="s">
        <v>1</v>
      </c>
      <c r="E648" t="s">
        <v>50</v>
      </c>
      <c r="F648" t="s">
        <v>15</v>
      </c>
      <c r="G648" t="s">
        <v>116</v>
      </c>
      <c r="H648" t="s">
        <v>23</v>
      </c>
      <c r="I648" t="s">
        <v>112</v>
      </c>
      <c r="J648" t="s">
        <v>123</v>
      </c>
      <c r="K648" t="s">
        <v>7</v>
      </c>
      <c r="L648">
        <v>2.7</v>
      </c>
      <c r="M648">
        <v>4.9000000000000004</v>
      </c>
      <c r="N648" t="s">
        <v>29</v>
      </c>
      <c r="O648" t="s">
        <v>7</v>
      </c>
      <c r="P648" t="s">
        <v>26</v>
      </c>
      <c r="Q648">
        <v>39</v>
      </c>
      <c r="R648">
        <v>9</v>
      </c>
      <c r="S648">
        <v>30.6</v>
      </c>
      <c r="T648">
        <v>104</v>
      </c>
      <c r="U648">
        <v>67</v>
      </c>
      <c r="V648">
        <v>8001</v>
      </c>
      <c r="W648">
        <v>45.5</v>
      </c>
      <c r="X648">
        <v>3</v>
      </c>
      <c r="Y648">
        <v>4</v>
      </c>
      <c r="Z648">
        <v>7</v>
      </c>
      <c r="AA648">
        <v>8.4</v>
      </c>
      <c r="AB648">
        <v>2</v>
      </c>
      <c r="AC648">
        <v>295</v>
      </c>
      <c r="AD648">
        <v>14</v>
      </c>
      <c r="AE648">
        <v>6</v>
      </c>
      <c r="AF648">
        <v>210</v>
      </c>
      <c r="AG648">
        <v>128</v>
      </c>
      <c r="AH648">
        <v>156</v>
      </c>
      <c r="AI648">
        <v>47</v>
      </c>
      <c r="AJ648">
        <v>26</v>
      </c>
      <c r="AK648">
        <v>51</v>
      </c>
      <c r="AL648">
        <v>28</v>
      </c>
      <c r="AM648">
        <v>7</v>
      </c>
      <c r="AN648">
        <v>158</v>
      </c>
      <c r="AO648">
        <v>76</v>
      </c>
      <c r="AP648">
        <v>63</v>
      </c>
      <c r="AQ648">
        <v>93</v>
      </c>
      <c r="AR648">
        <v>1241</v>
      </c>
      <c r="AS648">
        <v>2136</v>
      </c>
      <c r="AT648" t="s">
        <v>13</v>
      </c>
      <c r="AU648">
        <v>0.4</v>
      </c>
      <c r="AV648">
        <v>2019</v>
      </c>
      <c r="AW648" s="1">
        <v>45784</v>
      </c>
      <c r="AX648">
        <v>21.1</v>
      </c>
      <c r="AY648" t="s">
        <v>27</v>
      </c>
      <c r="AZ648" t="s">
        <v>51</v>
      </c>
      <c r="BA648" t="s">
        <v>122</v>
      </c>
      <c r="BB648" t="s">
        <v>13</v>
      </c>
      <c r="BC648" t="s">
        <v>7</v>
      </c>
      <c r="BD648">
        <v>2</v>
      </c>
      <c r="BE648" t="s">
        <v>14</v>
      </c>
      <c r="BF648">
        <v>0.91</v>
      </c>
    </row>
    <row r="649" spans="1:58" hidden="1" x14ac:dyDescent="0.2">
      <c r="A649">
        <v>648</v>
      </c>
      <c r="B649" t="s">
        <v>0</v>
      </c>
      <c r="C649">
        <v>25</v>
      </c>
      <c r="D649" t="s">
        <v>28</v>
      </c>
      <c r="E649" t="s">
        <v>2</v>
      </c>
      <c r="F649" t="s">
        <v>15</v>
      </c>
      <c r="G649" t="s">
        <v>116</v>
      </c>
      <c r="H649" t="s">
        <v>118</v>
      </c>
      <c r="I649" t="s">
        <v>112</v>
      </c>
      <c r="J649" t="s">
        <v>32</v>
      </c>
      <c r="K649" t="s">
        <v>13</v>
      </c>
      <c r="L649">
        <v>4.4000000000000004</v>
      </c>
      <c r="M649">
        <v>5.8</v>
      </c>
      <c r="N649" t="s">
        <v>29</v>
      </c>
      <c r="O649" t="s">
        <v>13</v>
      </c>
      <c r="P649" t="s">
        <v>26</v>
      </c>
      <c r="Q649">
        <v>31</v>
      </c>
      <c r="R649">
        <v>8</v>
      </c>
      <c r="S649">
        <v>25.7</v>
      </c>
      <c r="T649">
        <v>104</v>
      </c>
      <c r="U649">
        <v>93</v>
      </c>
      <c r="V649">
        <v>7915</v>
      </c>
      <c r="W649">
        <v>33.4</v>
      </c>
      <c r="X649">
        <v>4</v>
      </c>
      <c r="Y649">
        <v>4</v>
      </c>
      <c r="Z649">
        <v>8</v>
      </c>
      <c r="AA649">
        <v>1.9</v>
      </c>
      <c r="AB649">
        <v>3</v>
      </c>
      <c r="AC649">
        <v>274</v>
      </c>
      <c r="AD649">
        <v>11</v>
      </c>
      <c r="AE649">
        <v>7</v>
      </c>
      <c r="AF649">
        <v>291</v>
      </c>
      <c r="AG649">
        <v>126</v>
      </c>
      <c r="AH649">
        <v>160</v>
      </c>
      <c r="AI649">
        <v>44</v>
      </c>
      <c r="AJ649">
        <v>34</v>
      </c>
      <c r="AK649">
        <v>41</v>
      </c>
      <c r="AL649">
        <v>27</v>
      </c>
      <c r="AM649">
        <v>4</v>
      </c>
      <c r="AN649">
        <v>135</v>
      </c>
      <c r="AO649">
        <v>35</v>
      </c>
      <c r="AP649">
        <v>50</v>
      </c>
      <c r="AQ649">
        <v>85</v>
      </c>
      <c r="AR649">
        <v>1094</v>
      </c>
      <c r="AS649">
        <v>860</v>
      </c>
      <c r="AT649" t="s">
        <v>7</v>
      </c>
      <c r="AU649">
        <v>0.95</v>
      </c>
      <c r="AV649">
        <v>2011</v>
      </c>
      <c r="AW649" s="1">
        <v>45977</v>
      </c>
      <c r="AX649">
        <v>24.9</v>
      </c>
      <c r="AY649" t="s">
        <v>10</v>
      </c>
      <c r="AZ649" t="s">
        <v>17</v>
      </c>
      <c r="BA649" t="s">
        <v>21</v>
      </c>
      <c r="BB649" t="s">
        <v>7</v>
      </c>
      <c r="BC649" t="s">
        <v>13</v>
      </c>
      <c r="BD649">
        <v>3</v>
      </c>
      <c r="BE649" t="s">
        <v>14</v>
      </c>
      <c r="BF649">
        <v>0.98</v>
      </c>
    </row>
    <row r="650" spans="1:58" hidden="1" x14ac:dyDescent="0.2">
      <c r="A650">
        <v>649</v>
      </c>
      <c r="B650" t="s">
        <v>0</v>
      </c>
      <c r="C650">
        <v>31</v>
      </c>
      <c r="D650" t="s">
        <v>1</v>
      </c>
      <c r="E650" t="s">
        <v>42</v>
      </c>
      <c r="F650" t="s">
        <v>3</v>
      </c>
      <c r="G650" t="s">
        <v>116</v>
      </c>
      <c r="H650" t="s">
        <v>24</v>
      </c>
      <c r="I650" t="s">
        <v>114</v>
      </c>
      <c r="J650" t="s">
        <v>6</v>
      </c>
      <c r="K650" t="s">
        <v>7</v>
      </c>
      <c r="L650">
        <v>7.5</v>
      </c>
      <c r="M650">
        <v>6.2</v>
      </c>
      <c r="N650" t="s">
        <v>8</v>
      </c>
      <c r="O650" t="s">
        <v>7</v>
      </c>
      <c r="P650" t="s">
        <v>26</v>
      </c>
      <c r="Q650">
        <v>10</v>
      </c>
      <c r="R650">
        <v>8</v>
      </c>
      <c r="S650">
        <v>26.9</v>
      </c>
      <c r="T650">
        <v>133</v>
      </c>
      <c r="U650">
        <v>88</v>
      </c>
      <c r="V650">
        <v>8048</v>
      </c>
      <c r="W650">
        <v>43.5</v>
      </c>
      <c r="X650">
        <v>7</v>
      </c>
      <c r="Y650">
        <v>4</v>
      </c>
      <c r="Z650">
        <v>10</v>
      </c>
      <c r="AA650">
        <v>3.6</v>
      </c>
      <c r="AB650">
        <v>0</v>
      </c>
      <c r="AC650">
        <v>59</v>
      </c>
      <c r="AD650">
        <v>2</v>
      </c>
      <c r="AE650">
        <v>4</v>
      </c>
      <c r="AF650">
        <v>75</v>
      </c>
      <c r="AG650">
        <v>55</v>
      </c>
      <c r="AH650">
        <v>58</v>
      </c>
      <c r="AI650">
        <v>20</v>
      </c>
      <c r="AJ650">
        <v>14</v>
      </c>
      <c r="AK650">
        <v>19</v>
      </c>
      <c r="AL650">
        <v>6</v>
      </c>
      <c r="AM650">
        <v>1</v>
      </c>
      <c r="AN650">
        <v>30</v>
      </c>
      <c r="AO650">
        <v>8</v>
      </c>
      <c r="AP650">
        <v>14</v>
      </c>
      <c r="AQ650">
        <v>12</v>
      </c>
      <c r="AR650">
        <v>515</v>
      </c>
      <c r="AS650">
        <v>526</v>
      </c>
      <c r="AT650" t="s">
        <v>7</v>
      </c>
      <c r="AU650">
        <v>0.7</v>
      </c>
      <c r="AV650">
        <v>2010</v>
      </c>
      <c r="AW650" s="1">
        <v>45779</v>
      </c>
      <c r="AX650">
        <v>29.5</v>
      </c>
      <c r="AY650" t="s">
        <v>10</v>
      </c>
      <c r="AZ650" t="s">
        <v>20</v>
      </c>
      <c r="BA650" t="s">
        <v>12</v>
      </c>
      <c r="BB650" t="s">
        <v>7</v>
      </c>
      <c r="BC650" t="s">
        <v>13</v>
      </c>
      <c r="BD650">
        <v>3</v>
      </c>
      <c r="BE650" t="s">
        <v>43</v>
      </c>
      <c r="BF650">
        <v>1.83</v>
      </c>
    </row>
    <row r="651" spans="1:58" hidden="1" x14ac:dyDescent="0.2">
      <c r="A651">
        <v>650</v>
      </c>
      <c r="B651" t="s">
        <v>0</v>
      </c>
      <c r="C651">
        <v>61</v>
      </c>
      <c r="D651" t="s">
        <v>28</v>
      </c>
      <c r="E651" t="s">
        <v>126</v>
      </c>
      <c r="F651" t="s">
        <v>40</v>
      </c>
      <c r="G651" t="s">
        <v>117</v>
      </c>
      <c r="H651" t="s">
        <v>118</v>
      </c>
      <c r="I651" t="s">
        <v>113</v>
      </c>
      <c r="J651" t="s">
        <v>32</v>
      </c>
      <c r="K651" t="s">
        <v>7</v>
      </c>
      <c r="L651">
        <v>9.1</v>
      </c>
      <c r="M651">
        <v>7.8</v>
      </c>
      <c r="N651" t="s">
        <v>25</v>
      </c>
      <c r="O651" t="s">
        <v>7</v>
      </c>
      <c r="P651" t="s">
        <v>9</v>
      </c>
      <c r="Q651">
        <v>29</v>
      </c>
      <c r="R651">
        <v>7</v>
      </c>
      <c r="S651">
        <v>31.6</v>
      </c>
      <c r="T651">
        <v>95</v>
      </c>
      <c r="U651">
        <v>64</v>
      </c>
      <c r="V651">
        <v>7969</v>
      </c>
      <c r="W651">
        <v>39.4</v>
      </c>
      <c r="X651">
        <v>3</v>
      </c>
      <c r="Y651">
        <v>4</v>
      </c>
      <c r="Z651">
        <v>9</v>
      </c>
      <c r="AA651">
        <v>5.4</v>
      </c>
      <c r="AB651">
        <v>5</v>
      </c>
      <c r="AC651">
        <v>141</v>
      </c>
      <c r="AD651">
        <v>5</v>
      </c>
      <c r="AE651">
        <v>5</v>
      </c>
      <c r="AF651">
        <v>135</v>
      </c>
      <c r="AG651">
        <v>112</v>
      </c>
      <c r="AH651">
        <v>103</v>
      </c>
      <c r="AI651">
        <v>24</v>
      </c>
      <c r="AJ651">
        <v>23</v>
      </c>
      <c r="AK651">
        <v>27</v>
      </c>
      <c r="AL651">
        <v>25</v>
      </c>
      <c r="AM651">
        <v>3</v>
      </c>
      <c r="AN651">
        <v>84</v>
      </c>
      <c r="AO651">
        <v>41</v>
      </c>
      <c r="AP651">
        <v>21</v>
      </c>
      <c r="AQ651">
        <v>55</v>
      </c>
      <c r="AR651">
        <v>363</v>
      </c>
      <c r="AS651">
        <v>544</v>
      </c>
      <c r="AT651" t="s">
        <v>7</v>
      </c>
      <c r="AU651">
        <v>0.61</v>
      </c>
      <c r="AV651">
        <v>2011</v>
      </c>
      <c r="AW651" s="1">
        <v>45829</v>
      </c>
      <c r="AX651">
        <v>28.2</v>
      </c>
      <c r="AY651" t="s">
        <v>10</v>
      </c>
      <c r="AZ651" t="s">
        <v>37</v>
      </c>
      <c r="BA651" t="s">
        <v>21</v>
      </c>
      <c r="BB651" t="s">
        <v>7</v>
      </c>
      <c r="BC651" t="s">
        <v>7</v>
      </c>
      <c r="BD651">
        <v>1</v>
      </c>
      <c r="BE651" t="s">
        <v>14</v>
      </c>
      <c r="BF651">
        <v>1.17</v>
      </c>
    </row>
    <row r="652" spans="1:58" hidden="1" x14ac:dyDescent="0.2">
      <c r="A652">
        <v>651</v>
      </c>
      <c r="B652" t="s">
        <v>0</v>
      </c>
      <c r="C652">
        <v>48</v>
      </c>
      <c r="D652" t="s">
        <v>28</v>
      </c>
      <c r="E652" t="s">
        <v>2</v>
      </c>
      <c r="F652" t="s">
        <v>40</v>
      </c>
      <c r="G652" t="s">
        <v>117</v>
      </c>
      <c r="H652" t="s">
        <v>23</v>
      </c>
      <c r="I652" t="s">
        <v>114</v>
      </c>
      <c r="J652" t="s">
        <v>6</v>
      </c>
      <c r="K652" t="s">
        <v>13</v>
      </c>
      <c r="L652">
        <v>3.1</v>
      </c>
      <c r="M652">
        <v>6.1</v>
      </c>
      <c r="N652" t="s">
        <v>29</v>
      </c>
      <c r="O652" t="s">
        <v>41</v>
      </c>
      <c r="P652" t="s">
        <v>26</v>
      </c>
      <c r="Q652">
        <v>20</v>
      </c>
      <c r="R652">
        <v>2</v>
      </c>
      <c r="S652">
        <v>26.1</v>
      </c>
      <c r="T652">
        <v>149</v>
      </c>
      <c r="U652">
        <v>89</v>
      </c>
      <c r="V652">
        <v>8034</v>
      </c>
      <c r="W652">
        <v>53.3</v>
      </c>
      <c r="X652">
        <v>3</v>
      </c>
      <c r="Y652">
        <v>4</v>
      </c>
      <c r="Z652">
        <v>12</v>
      </c>
      <c r="AA652">
        <v>6.6</v>
      </c>
      <c r="AB652">
        <v>6</v>
      </c>
      <c r="AC652">
        <v>232</v>
      </c>
      <c r="AD652">
        <v>7</v>
      </c>
      <c r="AE652">
        <v>4</v>
      </c>
      <c r="AF652">
        <v>169</v>
      </c>
      <c r="AG652">
        <v>120</v>
      </c>
      <c r="AH652">
        <v>129</v>
      </c>
      <c r="AI652">
        <v>42</v>
      </c>
      <c r="AJ652">
        <v>35</v>
      </c>
      <c r="AK652">
        <v>32</v>
      </c>
      <c r="AL652">
        <v>20</v>
      </c>
      <c r="AM652">
        <v>4</v>
      </c>
      <c r="AN652">
        <v>96</v>
      </c>
      <c r="AO652">
        <v>49</v>
      </c>
      <c r="AP652">
        <v>40</v>
      </c>
      <c r="AQ652">
        <v>79</v>
      </c>
      <c r="AR652">
        <v>6394</v>
      </c>
      <c r="AS652">
        <v>10000</v>
      </c>
      <c r="AT652" t="s">
        <v>7</v>
      </c>
      <c r="AU652">
        <v>0.67</v>
      </c>
      <c r="AV652">
        <v>2011</v>
      </c>
      <c r="AW652" s="1">
        <v>45952</v>
      </c>
      <c r="AX652">
        <v>33.1</v>
      </c>
      <c r="AY652" t="s">
        <v>10</v>
      </c>
      <c r="AZ652" t="s">
        <v>11</v>
      </c>
      <c r="BA652" t="s">
        <v>21</v>
      </c>
      <c r="BB652" t="s">
        <v>13</v>
      </c>
      <c r="BC652" t="s">
        <v>7</v>
      </c>
      <c r="BD652">
        <v>3</v>
      </c>
      <c r="BE652" t="s">
        <v>14</v>
      </c>
      <c r="BF652">
        <v>0.97</v>
      </c>
    </row>
    <row r="653" spans="1:58" hidden="1" x14ac:dyDescent="0.2">
      <c r="A653">
        <v>652</v>
      </c>
      <c r="B653" t="s">
        <v>0</v>
      </c>
      <c r="C653">
        <v>24</v>
      </c>
      <c r="D653" t="s">
        <v>28</v>
      </c>
      <c r="E653" t="s">
        <v>128</v>
      </c>
      <c r="F653" t="s">
        <v>40</v>
      </c>
      <c r="G653" t="s">
        <v>117</v>
      </c>
      <c r="H653" t="s">
        <v>34</v>
      </c>
      <c r="I653" t="s">
        <v>115</v>
      </c>
      <c r="J653" t="s">
        <v>123</v>
      </c>
      <c r="K653" t="s">
        <v>7</v>
      </c>
      <c r="L653">
        <v>4.0999999999999996</v>
      </c>
      <c r="M653">
        <v>7.6</v>
      </c>
      <c r="N653" t="s">
        <v>29</v>
      </c>
      <c r="O653" t="s">
        <v>7</v>
      </c>
      <c r="P653" t="s">
        <v>52</v>
      </c>
      <c r="Q653">
        <v>12</v>
      </c>
      <c r="R653">
        <v>7</v>
      </c>
      <c r="S653">
        <v>20.6</v>
      </c>
      <c r="T653">
        <v>131</v>
      </c>
      <c r="U653">
        <v>85</v>
      </c>
      <c r="V653">
        <v>8074</v>
      </c>
      <c r="W653">
        <v>35.700000000000003</v>
      </c>
      <c r="X653">
        <v>2</v>
      </c>
      <c r="Y653">
        <v>3</v>
      </c>
      <c r="Z653">
        <v>14</v>
      </c>
      <c r="AA653">
        <v>8.6999999999999993</v>
      </c>
      <c r="AB653">
        <v>0</v>
      </c>
      <c r="AC653">
        <v>117</v>
      </c>
      <c r="AD653">
        <v>6</v>
      </c>
      <c r="AE653">
        <v>12</v>
      </c>
      <c r="AF653">
        <v>202</v>
      </c>
      <c r="AG653">
        <v>72</v>
      </c>
      <c r="AH653">
        <v>84</v>
      </c>
      <c r="AI653">
        <v>27</v>
      </c>
      <c r="AJ653">
        <v>22</v>
      </c>
      <c r="AK653">
        <v>22</v>
      </c>
      <c r="AL653">
        <v>12</v>
      </c>
      <c r="AM653">
        <v>3</v>
      </c>
      <c r="AN653">
        <v>56</v>
      </c>
      <c r="AO653">
        <v>26</v>
      </c>
      <c r="AP653">
        <v>19</v>
      </c>
      <c r="AQ653">
        <v>35</v>
      </c>
      <c r="AR653">
        <v>2663</v>
      </c>
      <c r="AS653">
        <v>4822</v>
      </c>
      <c r="AT653" t="s">
        <v>13</v>
      </c>
      <c r="AU653">
        <v>0.83</v>
      </c>
      <c r="AV653">
        <v>2016</v>
      </c>
      <c r="AW653" s="1">
        <v>45769</v>
      </c>
      <c r="AX653">
        <v>19.5</v>
      </c>
      <c r="AY653" t="s">
        <v>36</v>
      </c>
      <c r="AZ653" t="s">
        <v>31</v>
      </c>
      <c r="BA653" t="s">
        <v>12</v>
      </c>
      <c r="BB653" t="s">
        <v>13</v>
      </c>
      <c r="BC653" t="s">
        <v>7</v>
      </c>
      <c r="BD653">
        <v>5</v>
      </c>
      <c r="BE653" t="s">
        <v>14</v>
      </c>
      <c r="BF653">
        <v>1.47</v>
      </c>
    </row>
    <row r="654" spans="1:58" hidden="1" x14ac:dyDescent="0.2">
      <c r="A654">
        <v>653</v>
      </c>
      <c r="B654" t="s">
        <v>0</v>
      </c>
      <c r="C654">
        <v>53</v>
      </c>
      <c r="D654" t="s">
        <v>28</v>
      </c>
      <c r="E654" t="s">
        <v>2</v>
      </c>
      <c r="F654" t="s">
        <v>15</v>
      </c>
      <c r="G654" t="s">
        <v>117</v>
      </c>
      <c r="H654" t="s">
        <v>34</v>
      </c>
      <c r="I654" t="s">
        <v>115</v>
      </c>
      <c r="J654" t="s">
        <v>6</v>
      </c>
      <c r="K654" t="s">
        <v>13</v>
      </c>
      <c r="L654">
        <v>5.2</v>
      </c>
      <c r="M654">
        <v>6.1</v>
      </c>
      <c r="N654" t="s">
        <v>8</v>
      </c>
      <c r="O654" t="s">
        <v>7</v>
      </c>
      <c r="P654" t="s">
        <v>26</v>
      </c>
      <c r="Q654">
        <v>17</v>
      </c>
      <c r="R654">
        <v>5</v>
      </c>
      <c r="S654">
        <v>29.2</v>
      </c>
      <c r="T654">
        <v>127</v>
      </c>
      <c r="U654">
        <v>70</v>
      </c>
      <c r="V654">
        <v>8025</v>
      </c>
      <c r="W654">
        <v>38.299999999999997</v>
      </c>
      <c r="X654">
        <v>4</v>
      </c>
      <c r="Y654">
        <v>8</v>
      </c>
      <c r="Z654">
        <v>11</v>
      </c>
      <c r="AA654">
        <v>5.2</v>
      </c>
      <c r="AB654">
        <v>6</v>
      </c>
      <c r="AC654">
        <v>96</v>
      </c>
      <c r="AD654">
        <v>6</v>
      </c>
      <c r="AE654">
        <v>1</v>
      </c>
      <c r="AF654">
        <v>98</v>
      </c>
      <c r="AG654">
        <v>74</v>
      </c>
      <c r="AH654">
        <v>65</v>
      </c>
      <c r="AI654">
        <v>19</v>
      </c>
      <c r="AJ654">
        <v>32</v>
      </c>
      <c r="AK654">
        <v>22</v>
      </c>
      <c r="AL654">
        <v>17</v>
      </c>
      <c r="AM654">
        <v>3</v>
      </c>
      <c r="AN654">
        <v>46</v>
      </c>
      <c r="AO654">
        <v>27</v>
      </c>
      <c r="AP654">
        <v>19</v>
      </c>
      <c r="AQ654">
        <v>33</v>
      </c>
      <c r="AR654">
        <v>205</v>
      </c>
      <c r="AS654">
        <v>317</v>
      </c>
      <c r="AT654" t="s">
        <v>7</v>
      </c>
      <c r="AU654">
        <v>0.42</v>
      </c>
      <c r="AV654">
        <v>2024</v>
      </c>
      <c r="AW654" s="1">
        <v>45689</v>
      </c>
      <c r="AX654">
        <v>16</v>
      </c>
      <c r="AY654" t="s">
        <v>27</v>
      </c>
      <c r="AZ654" t="s">
        <v>11</v>
      </c>
      <c r="BA654" t="s">
        <v>122</v>
      </c>
      <c r="BB654" t="s">
        <v>7</v>
      </c>
      <c r="BC654" t="s">
        <v>13</v>
      </c>
      <c r="BD654">
        <v>5</v>
      </c>
      <c r="BE654" t="s">
        <v>14</v>
      </c>
      <c r="BF654">
        <v>1.0900000000000001</v>
      </c>
    </row>
    <row r="655" spans="1:58" hidden="1" x14ac:dyDescent="0.2">
      <c r="A655">
        <v>654</v>
      </c>
      <c r="B655" t="s">
        <v>0</v>
      </c>
      <c r="C655">
        <v>31</v>
      </c>
      <c r="D655" t="s">
        <v>28</v>
      </c>
      <c r="E655" t="s">
        <v>128</v>
      </c>
      <c r="F655" t="s">
        <v>40</v>
      </c>
      <c r="G655" t="s">
        <v>4</v>
      </c>
      <c r="H655" t="s">
        <v>118</v>
      </c>
      <c r="I655" t="s">
        <v>114</v>
      </c>
      <c r="J655" t="s">
        <v>32</v>
      </c>
      <c r="K655" t="s">
        <v>7</v>
      </c>
      <c r="L655">
        <v>5.7</v>
      </c>
      <c r="M655">
        <v>5.7</v>
      </c>
      <c r="N655" t="s">
        <v>25</v>
      </c>
      <c r="O655" t="s">
        <v>13</v>
      </c>
      <c r="P655" t="s">
        <v>26</v>
      </c>
      <c r="Q655">
        <v>29</v>
      </c>
      <c r="R655">
        <v>5</v>
      </c>
      <c r="S655">
        <v>30.3</v>
      </c>
      <c r="T655">
        <v>134</v>
      </c>
      <c r="U655">
        <v>98</v>
      </c>
      <c r="V655">
        <v>8004</v>
      </c>
      <c r="W655">
        <v>48.3</v>
      </c>
      <c r="X655">
        <v>4</v>
      </c>
      <c r="Y655">
        <v>5</v>
      </c>
      <c r="Z655">
        <v>11</v>
      </c>
      <c r="AA655">
        <v>4.5999999999999996</v>
      </c>
      <c r="AB655">
        <v>1</v>
      </c>
      <c r="AC655">
        <v>318</v>
      </c>
      <c r="AD655">
        <v>38</v>
      </c>
      <c r="AE655">
        <v>6</v>
      </c>
      <c r="AF655">
        <v>231</v>
      </c>
      <c r="AG655">
        <v>150</v>
      </c>
      <c r="AH655">
        <v>187</v>
      </c>
      <c r="AI655">
        <v>64</v>
      </c>
      <c r="AJ655">
        <v>45</v>
      </c>
      <c r="AK655">
        <v>43</v>
      </c>
      <c r="AL655">
        <v>21</v>
      </c>
      <c r="AM655">
        <v>6</v>
      </c>
      <c r="AN655">
        <v>189</v>
      </c>
      <c r="AO655">
        <v>85</v>
      </c>
      <c r="AP655">
        <v>38</v>
      </c>
      <c r="AQ655">
        <v>119</v>
      </c>
      <c r="AR655">
        <v>3233</v>
      </c>
      <c r="AS655">
        <v>7627</v>
      </c>
      <c r="AT655" t="s">
        <v>7</v>
      </c>
      <c r="AU655">
        <v>0.51</v>
      </c>
      <c r="AV655">
        <v>2014</v>
      </c>
      <c r="AW655" s="1">
        <v>45797</v>
      </c>
      <c r="AX655">
        <v>8.4</v>
      </c>
      <c r="AY655" t="s">
        <v>19</v>
      </c>
      <c r="AZ655" t="s">
        <v>51</v>
      </c>
      <c r="BA655" t="s">
        <v>21</v>
      </c>
      <c r="BB655" t="s">
        <v>7</v>
      </c>
      <c r="BC655" t="s">
        <v>13</v>
      </c>
      <c r="BD655">
        <v>0</v>
      </c>
      <c r="BE655" t="s">
        <v>43</v>
      </c>
      <c r="BF655">
        <v>1.04</v>
      </c>
    </row>
    <row r="656" spans="1:58" hidden="1" x14ac:dyDescent="0.2">
      <c r="A656">
        <v>655</v>
      </c>
      <c r="B656" t="s">
        <v>0</v>
      </c>
      <c r="C656">
        <v>24</v>
      </c>
      <c r="D656" t="s">
        <v>1</v>
      </c>
      <c r="E656" t="s">
        <v>2</v>
      </c>
      <c r="F656" t="s">
        <v>15</v>
      </c>
      <c r="G656" t="s">
        <v>38</v>
      </c>
      <c r="H656" t="s">
        <v>118</v>
      </c>
      <c r="I656" t="s">
        <v>113</v>
      </c>
      <c r="J656" t="s">
        <v>6</v>
      </c>
      <c r="K656" t="s">
        <v>7</v>
      </c>
      <c r="L656">
        <v>1.6</v>
      </c>
      <c r="M656">
        <v>7.4</v>
      </c>
      <c r="N656" t="s">
        <v>120</v>
      </c>
      <c r="O656" t="s">
        <v>7</v>
      </c>
      <c r="P656" t="s">
        <v>52</v>
      </c>
      <c r="Q656">
        <v>36</v>
      </c>
      <c r="R656">
        <v>5</v>
      </c>
      <c r="S656">
        <v>27.6</v>
      </c>
      <c r="T656">
        <v>99</v>
      </c>
      <c r="U656">
        <v>87</v>
      </c>
      <c r="V656">
        <v>7869</v>
      </c>
      <c r="W656">
        <v>44.6</v>
      </c>
      <c r="X656">
        <v>5</v>
      </c>
      <c r="Y656">
        <v>6</v>
      </c>
      <c r="Z656">
        <v>11</v>
      </c>
      <c r="AA656">
        <v>2.4</v>
      </c>
      <c r="AB656">
        <v>4</v>
      </c>
      <c r="AC656">
        <v>323</v>
      </c>
      <c r="AD656">
        <v>12</v>
      </c>
      <c r="AE656">
        <v>11</v>
      </c>
      <c r="AF656">
        <v>300</v>
      </c>
      <c r="AG656">
        <v>150</v>
      </c>
      <c r="AH656">
        <v>198</v>
      </c>
      <c r="AI656">
        <v>35</v>
      </c>
      <c r="AJ656">
        <v>37</v>
      </c>
      <c r="AK656">
        <v>46</v>
      </c>
      <c r="AL656">
        <v>26</v>
      </c>
      <c r="AM656">
        <v>10</v>
      </c>
      <c r="AN656">
        <v>190</v>
      </c>
      <c r="AO656">
        <v>33</v>
      </c>
      <c r="AP656">
        <v>61</v>
      </c>
      <c r="AQ656">
        <v>106</v>
      </c>
      <c r="AR656">
        <v>1895</v>
      </c>
      <c r="AS656">
        <v>4020</v>
      </c>
      <c r="AT656" t="s">
        <v>7</v>
      </c>
      <c r="AU656">
        <v>0.97</v>
      </c>
      <c r="AV656">
        <v>2019</v>
      </c>
      <c r="AW656" s="1">
        <v>45714</v>
      </c>
      <c r="AX656">
        <v>26.9</v>
      </c>
      <c r="AY656" t="s">
        <v>36</v>
      </c>
      <c r="AZ656" t="s">
        <v>51</v>
      </c>
      <c r="BA656" t="s">
        <v>21</v>
      </c>
      <c r="BB656" t="s">
        <v>13</v>
      </c>
      <c r="BC656" t="s">
        <v>7</v>
      </c>
      <c r="BD656">
        <v>3</v>
      </c>
      <c r="BE656" t="s">
        <v>14</v>
      </c>
      <c r="BF656">
        <v>0.93</v>
      </c>
    </row>
    <row r="657" spans="1:58" hidden="1" x14ac:dyDescent="0.2">
      <c r="A657">
        <v>656</v>
      </c>
      <c r="B657" t="s">
        <v>0</v>
      </c>
      <c r="C657">
        <v>21</v>
      </c>
      <c r="D657" t="s">
        <v>28</v>
      </c>
      <c r="E657" t="s">
        <v>128</v>
      </c>
      <c r="F657" t="s">
        <v>40</v>
      </c>
      <c r="G657" t="s">
        <v>16</v>
      </c>
      <c r="H657" t="s">
        <v>118</v>
      </c>
      <c r="I657" t="s">
        <v>114</v>
      </c>
      <c r="J657" t="s">
        <v>123</v>
      </c>
      <c r="K657" t="s">
        <v>7</v>
      </c>
      <c r="L657">
        <v>1.7</v>
      </c>
      <c r="M657">
        <v>8.5</v>
      </c>
      <c r="N657" t="s">
        <v>29</v>
      </c>
      <c r="O657" t="s">
        <v>7</v>
      </c>
      <c r="P657" t="s">
        <v>9</v>
      </c>
      <c r="Q657">
        <v>35</v>
      </c>
      <c r="R657">
        <v>1</v>
      </c>
      <c r="S657">
        <v>19.2</v>
      </c>
      <c r="T657">
        <v>112</v>
      </c>
      <c r="U657">
        <v>73</v>
      </c>
      <c r="V657">
        <v>8118</v>
      </c>
      <c r="W657">
        <v>41.1</v>
      </c>
      <c r="X657">
        <v>3</v>
      </c>
      <c r="Y657">
        <v>5</v>
      </c>
      <c r="Z657">
        <v>9</v>
      </c>
      <c r="AA657">
        <v>5</v>
      </c>
      <c r="AB657">
        <v>1</v>
      </c>
      <c r="AC657">
        <v>369</v>
      </c>
      <c r="AD657">
        <v>32</v>
      </c>
      <c r="AE657">
        <v>15</v>
      </c>
      <c r="AF657">
        <v>300</v>
      </c>
      <c r="AG657">
        <v>150</v>
      </c>
      <c r="AH657">
        <v>189</v>
      </c>
      <c r="AI657">
        <v>59</v>
      </c>
      <c r="AJ657">
        <v>49</v>
      </c>
      <c r="AK657">
        <v>52</v>
      </c>
      <c r="AL657">
        <v>24</v>
      </c>
      <c r="AM657">
        <v>8</v>
      </c>
      <c r="AN657">
        <v>204</v>
      </c>
      <c r="AO657">
        <v>100</v>
      </c>
      <c r="AP657">
        <v>86</v>
      </c>
      <c r="AQ657">
        <v>95</v>
      </c>
      <c r="AR657">
        <v>1303</v>
      </c>
      <c r="AS657">
        <v>3175</v>
      </c>
      <c r="AT657" t="s">
        <v>7</v>
      </c>
      <c r="AU657">
        <v>0.18</v>
      </c>
      <c r="AV657">
        <v>2024</v>
      </c>
      <c r="AW657" s="1">
        <v>45882</v>
      </c>
      <c r="AX657">
        <v>11.5</v>
      </c>
      <c r="AY657" t="s">
        <v>36</v>
      </c>
      <c r="AZ657" t="s">
        <v>20</v>
      </c>
      <c r="BA657" t="s">
        <v>122</v>
      </c>
      <c r="BB657" t="s">
        <v>13</v>
      </c>
      <c r="BC657" t="s">
        <v>7</v>
      </c>
      <c r="BD657">
        <v>4</v>
      </c>
      <c r="BE657" t="s">
        <v>14</v>
      </c>
      <c r="BF657">
        <v>0.95</v>
      </c>
    </row>
    <row r="658" spans="1:58" hidden="1" x14ac:dyDescent="0.2">
      <c r="A658">
        <v>657</v>
      </c>
      <c r="B658" t="s">
        <v>0</v>
      </c>
      <c r="C658">
        <v>19</v>
      </c>
      <c r="D658" t="s">
        <v>28</v>
      </c>
      <c r="E658" t="s">
        <v>2</v>
      </c>
      <c r="F658" t="s">
        <v>15</v>
      </c>
      <c r="G658" t="s">
        <v>4</v>
      </c>
      <c r="H658" t="s">
        <v>118</v>
      </c>
      <c r="I658" t="s">
        <v>112</v>
      </c>
      <c r="J658" t="s">
        <v>6</v>
      </c>
      <c r="K658" t="s">
        <v>7</v>
      </c>
      <c r="L658">
        <v>8.3000000000000007</v>
      </c>
      <c r="M658">
        <v>9</v>
      </c>
      <c r="N658" t="s">
        <v>8</v>
      </c>
      <c r="O658" t="s">
        <v>7</v>
      </c>
      <c r="P658" t="s">
        <v>9</v>
      </c>
      <c r="Q658">
        <v>22</v>
      </c>
      <c r="R658">
        <v>3</v>
      </c>
      <c r="S658">
        <v>21.2</v>
      </c>
      <c r="T658">
        <v>95</v>
      </c>
      <c r="U658">
        <v>62</v>
      </c>
      <c r="V658">
        <v>8112</v>
      </c>
      <c r="W658">
        <v>35.799999999999997</v>
      </c>
      <c r="X658">
        <v>1</v>
      </c>
      <c r="Y658">
        <v>4</v>
      </c>
      <c r="Z658">
        <v>14</v>
      </c>
      <c r="AA658">
        <v>2.5</v>
      </c>
      <c r="AB658">
        <v>3</v>
      </c>
      <c r="AC658">
        <v>298</v>
      </c>
      <c r="AD658">
        <v>12</v>
      </c>
      <c r="AE658">
        <v>7</v>
      </c>
      <c r="AF658">
        <v>300</v>
      </c>
      <c r="AG658">
        <v>150</v>
      </c>
      <c r="AH658">
        <v>173</v>
      </c>
      <c r="AI658">
        <v>60</v>
      </c>
      <c r="AJ658">
        <v>32</v>
      </c>
      <c r="AK658">
        <v>45</v>
      </c>
      <c r="AL658">
        <v>40</v>
      </c>
      <c r="AM658">
        <v>5</v>
      </c>
      <c r="AN658">
        <v>138</v>
      </c>
      <c r="AO658">
        <v>66</v>
      </c>
      <c r="AP658">
        <v>36</v>
      </c>
      <c r="AQ658">
        <v>103</v>
      </c>
      <c r="AR658">
        <v>528</v>
      </c>
      <c r="AS658">
        <v>300</v>
      </c>
      <c r="AT658" t="s">
        <v>7</v>
      </c>
      <c r="AU658">
        <v>0.6</v>
      </c>
      <c r="AV658">
        <v>2019</v>
      </c>
      <c r="AW658" s="1">
        <v>45886</v>
      </c>
      <c r="AX658">
        <v>24.8</v>
      </c>
      <c r="AY658" t="s">
        <v>45</v>
      </c>
      <c r="AZ658" t="s">
        <v>17</v>
      </c>
      <c r="BA658" t="s">
        <v>21</v>
      </c>
      <c r="BB658" t="s">
        <v>7</v>
      </c>
      <c r="BC658" t="s">
        <v>7</v>
      </c>
      <c r="BD658">
        <v>1</v>
      </c>
      <c r="BE658" t="s">
        <v>14</v>
      </c>
      <c r="BF658">
        <v>1.05</v>
      </c>
    </row>
    <row r="659" spans="1:58" hidden="1" x14ac:dyDescent="0.2">
      <c r="A659">
        <v>658</v>
      </c>
      <c r="B659" t="s">
        <v>0</v>
      </c>
      <c r="C659">
        <v>40</v>
      </c>
      <c r="D659" t="s">
        <v>1</v>
      </c>
      <c r="E659" t="s">
        <v>128</v>
      </c>
      <c r="F659" t="s">
        <v>15</v>
      </c>
      <c r="G659" t="s">
        <v>117</v>
      </c>
      <c r="H659" t="s">
        <v>119</v>
      </c>
      <c r="I659" t="s">
        <v>115</v>
      </c>
      <c r="J659" t="s">
        <v>123</v>
      </c>
      <c r="K659" t="s">
        <v>7</v>
      </c>
      <c r="L659">
        <v>5.0999999999999996</v>
      </c>
      <c r="M659">
        <v>7.5</v>
      </c>
      <c r="N659" t="s">
        <v>25</v>
      </c>
      <c r="O659" t="s">
        <v>7</v>
      </c>
      <c r="P659" t="s">
        <v>121</v>
      </c>
      <c r="Q659">
        <v>38</v>
      </c>
      <c r="R659">
        <v>10</v>
      </c>
      <c r="S659">
        <v>35.6</v>
      </c>
      <c r="T659">
        <v>110</v>
      </c>
      <c r="U659">
        <v>78</v>
      </c>
      <c r="V659">
        <v>7978</v>
      </c>
      <c r="W659">
        <v>37.4</v>
      </c>
      <c r="X659">
        <v>4</v>
      </c>
      <c r="Y659">
        <v>8</v>
      </c>
      <c r="Z659">
        <v>12</v>
      </c>
      <c r="AA659">
        <v>1.2</v>
      </c>
      <c r="AB659">
        <v>3</v>
      </c>
      <c r="AC659">
        <v>236</v>
      </c>
      <c r="AD659">
        <v>13</v>
      </c>
      <c r="AE659">
        <v>10</v>
      </c>
      <c r="AF659">
        <v>169</v>
      </c>
      <c r="AG659">
        <v>127</v>
      </c>
      <c r="AH659">
        <v>144</v>
      </c>
      <c r="AI659">
        <v>37</v>
      </c>
      <c r="AJ659">
        <v>37</v>
      </c>
      <c r="AK659">
        <v>33</v>
      </c>
      <c r="AL659">
        <v>35</v>
      </c>
      <c r="AM659">
        <v>8</v>
      </c>
      <c r="AN659">
        <v>134</v>
      </c>
      <c r="AO659">
        <v>35</v>
      </c>
      <c r="AP659">
        <v>56</v>
      </c>
      <c r="AQ659">
        <v>58</v>
      </c>
      <c r="AR659">
        <v>4356</v>
      </c>
      <c r="AS659">
        <v>7344</v>
      </c>
      <c r="AT659" t="s">
        <v>7</v>
      </c>
      <c r="AU659">
        <v>0.46</v>
      </c>
      <c r="AV659">
        <v>2011</v>
      </c>
      <c r="AW659" s="1">
        <v>46009</v>
      </c>
      <c r="AX659">
        <v>18.2</v>
      </c>
      <c r="AY659" t="s">
        <v>30</v>
      </c>
      <c r="AZ659" t="s">
        <v>35</v>
      </c>
      <c r="BA659" t="s">
        <v>122</v>
      </c>
      <c r="BB659" t="s">
        <v>13</v>
      </c>
      <c r="BC659" t="s">
        <v>13</v>
      </c>
      <c r="BD659">
        <v>5</v>
      </c>
      <c r="BE659" t="s">
        <v>14</v>
      </c>
      <c r="BF659">
        <v>1.05</v>
      </c>
    </row>
    <row r="660" spans="1:58" hidden="1" x14ac:dyDescent="0.2">
      <c r="A660">
        <v>659</v>
      </c>
      <c r="B660" t="s">
        <v>0</v>
      </c>
      <c r="C660">
        <v>26</v>
      </c>
      <c r="D660" t="s">
        <v>28</v>
      </c>
      <c r="E660" t="s">
        <v>2</v>
      </c>
      <c r="F660" t="s">
        <v>15</v>
      </c>
      <c r="G660" t="s">
        <v>116</v>
      </c>
      <c r="H660" t="s">
        <v>118</v>
      </c>
      <c r="I660" t="s">
        <v>115</v>
      </c>
      <c r="J660" t="s">
        <v>32</v>
      </c>
      <c r="K660" t="s">
        <v>7</v>
      </c>
      <c r="L660">
        <v>9.1999999999999993</v>
      </c>
      <c r="M660">
        <v>5.7</v>
      </c>
      <c r="N660" t="s">
        <v>8</v>
      </c>
      <c r="O660" t="s">
        <v>7</v>
      </c>
      <c r="P660" t="s">
        <v>9</v>
      </c>
      <c r="Q660">
        <v>12</v>
      </c>
      <c r="R660">
        <v>1</v>
      </c>
      <c r="S660">
        <v>29.1</v>
      </c>
      <c r="T660">
        <v>100</v>
      </c>
      <c r="U660">
        <v>97</v>
      </c>
      <c r="V660">
        <v>7837</v>
      </c>
      <c r="W660">
        <v>38.1</v>
      </c>
      <c r="X660">
        <v>3</v>
      </c>
      <c r="Y660">
        <v>5</v>
      </c>
      <c r="Z660">
        <v>8</v>
      </c>
      <c r="AA660">
        <v>2.5</v>
      </c>
      <c r="AB660">
        <v>5</v>
      </c>
      <c r="AC660">
        <v>185</v>
      </c>
      <c r="AD660">
        <v>12</v>
      </c>
      <c r="AE660">
        <v>3</v>
      </c>
      <c r="AF660">
        <v>241</v>
      </c>
      <c r="AG660">
        <v>105</v>
      </c>
      <c r="AH660">
        <v>123</v>
      </c>
      <c r="AI660">
        <v>34</v>
      </c>
      <c r="AJ660">
        <v>24</v>
      </c>
      <c r="AK660">
        <v>26</v>
      </c>
      <c r="AL660">
        <v>25</v>
      </c>
      <c r="AM660">
        <v>3</v>
      </c>
      <c r="AN660">
        <v>95</v>
      </c>
      <c r="AO660">
        <v>51</v>
      </c>
      <c r="AP660">
        <v>23</v>
      </c>
      <c r="AQ660">
        <v>60</v>
      </c>
      <c r="AR660">
        <v>2553</v>
      </c>
      <c r="AS660">
        <v>2547</v>
      </c>
      <c r="AT660" t="s">
        <v>13</v>
      </c>
      <c r="AU660">
        <v>0.35</v>
      </c>
      <c r="AV660">
        <v>2014</v>
      </c>
      <c r="AW660" s="1">
        <v>45951</v>
      </c>
      <c r="AX660">
        <v>15.4</v>
      </c>
      <c r="AY660" t="s">
        <v>30</v>
      </c>
      <c r="AZ660" t="s">
        <v>35</v>
      </c>
      <c r="BA660" t="s">
        <v>12</v>
      </c>
      <c r="BB660" t="s">
        <v>7</v>
      </c>
      <c r="BC660" t="s">
        <v>7</v>
      </c>
      <c r="BD660">
        <v>2</v>
      </c>
      <c r="BE660" t="s">
        <v>14</v>
      </c>
      <c r="BF660">
        <v>1.08</v>
      </c>
    </row>
    <row r="661" spans="1:58" hidden="1" x14ac:dyDescent="0.2">
      <c r="A661">
        <v>660</v>
      </c>
      <c r="B661" t="s">
        <v>0</v>
      </c>
      <c r="C661">
        <v>43</v>
      </c>
      <c r="D661" t="s">
        <v>1</v>
      </c>
      <c r="E661" t="s">
        <v>17</v>
      </c>
      <c r="F661" t="s">
        <v>15</v>
      </c>
      <c r="G661" t="s">
        <v>38</v>
      </c>
      <c r="H661" t="s">
        <v>23</v>
      </c>
      <c r="I661" t="s">
        <v>112</v>
      </c>
      <c r="J661" t="s">
        <v>6</v>
      </c>
      <c r="K661" t="s">
        <v>7</v>
      </c>
      <c r="L661">
        <v>10.5</v>
      </c>
      <c r="M661">
        <v>5.3</v>
      </c>
      <c r="N661" t="s">
        <v>29</v>
      </c>
      <c r="O661" t="s">
        <v>7</v>
      </c>
      <c r="P661" t="s">
        <v>26</v>
      </c>
      <c r="Q661">
        <v>36</v>
      </c>
      <c r="R661">
        <v>7</v>
      </c>
      <c r="S661">
        <v>20.9</v>
      </c>
      <c r="T661">
        <v>100</v>
      </c>
      <c r="U661">
        <v>60</v>
      </c>
      <c r="V661">
        <v>8045</v>
      </c>
      <c r="W661">
        <v>42.9</v>
      </c>
      <c r="X661">
        <v>0</v>
      </c>
      <c r="Y661">
        <v>2</v>
      </c>
      <c r="Z661">
        <v>6</v>
      </c>
      <c r="AA661">
        <v>0.7</v>
      </c>
      <c r="AB661">
        <v>2</v>
      </c>
      <c r="AC661">
        <v>292</v>
      </c>
      <c r="AD661">
        <v>9</v>
      </c>
      <c r="AE661">
        <v>5</v>
      </c>
      <c r="AF661">
        <v>204</v>
      </c>
      <c r="AG661">
        <v>150</v>
      </c>
      <c r="AH661">
        <v>180</v>
      </c>
      <c r="AI661">
        <v>62</v>
      </c>
      <c r="AJ661">
        <v>37</v>
      </c>
      <c r="AK661">
        <v>38</v>
      </c>
      <c r="AL661">
        <v>29</v>
      </c>
      <c r="AM661">
        <v>6</v>
      </c>
      <c r="AN661">
        <v>169</v>
      </c>
      <c r="AO661">
        <v>51</v>
      </c>
      <c r="AP661">
        <v>49</v>
      </c>
      <c r="AQ661">
        <v>91</v>
      </c>
      <c r="AR661">
        <v>2998</v>
      </c>
      <c r="AS661">
        <v>5626</v>
      </c>
      <c r="AT661" t="s">
        <v>7</v>
      </c>
      <c r="AU661">
        <v>0.54</v>
      </c>
      <c r="AV661">
        <v>2016</v>
      </c>
      <c r="AW661" s="1">
        <v>45701</v>
      </c>
      <c r="AX661">
        <v>32.4</v>
      </c>
      <c r="AY661" t="s">
        <v>30</v>
      </c>
      <c r="AZ661" t="s">
        <v>17</v>
      </c>
      <c r="BA661" t="s">
        <v>122</v>
      </c>
      <c r="BB661" t="s">
        <v>13</v>
      </c>
      <c r="BC661" t="s">
        <v>7</v>
      </c>
      <c r="BD661">
        <v>1</v>
      </c>
      <c r="BE661" t="s">
        <v>14</v>
      </c>
      <c r="BF661">
        <v>1.0900000000000001</v>
      </c>
    </row>
    <row r="662" spans="1:58" hidden="1" x14ac:dyDescent="0.2">
      <c r="A662">
        <v>661</v>
      </c>
      <c r="B662" t="s">
        <v>0</v>
      </c>
      <c r="C662">
        <v>64</v>
      </c>
      <c r="D662" t="s">
        <v>1</v>
      </c>
      <c r="E662" t="s">
        <v>22</v>
      </c>
      <c r="F662" t="s">
        <v>15</v>
      </c>
      <c r="G662" t="s">
        <v>4</v>
      </c>
      <c r="H662" t="s">
        <v>118</v>
      </c>
      <c r="I662" t="s">
        <v>53</v>
      </c>
      <c r="J662" t="s">
        <v>32</v>
      </c>
      <c r="K662" t="s">
        <v>7</v>
      </c>
      <c r="L662">
        <v>2.7</v>
      </c>
      <c r="M662">
        <v>6.5</v>
      </c>
      <c r="N662" t="s">
        <v>39</v>
      </c>
      <c r="O662" t="s">
        <v>7</v>
      </c>
      <c r="P662" t="s">
        <v>9</v>
      </c>
      <c r="Q662">
        <v>7</v>
      </c>
      <c r="R662">
        <v>3</v>
      </c>
      <c r="S662">
        <v>29.1</v>
      </c>
      <c r="T662">
        <v>116</v>
      </c>
      <c r="U662">
        <v>63</v>
      </c>
      <c r="V662">
        <v>8052</v>
      </c>
      <c r="W662">
        <v>50.6</v>
      </c>
      <c r="X662">
        <v>5</v>
      </c>
      <c r="Y662">
        <v>4</v>
      </c>
      <c r="Z662">
        <v>6</v>
      </c>
      <c r="AA662">
        <v>2.8</v>
      </c>
      <c r="AB662">
        <v>3</v>
      </c>
      <c r="AC662">
        <v>161</v>
      </c>
      <c r="AD662">
        <v>14</v>
      </c>
      <c r="AE662">
        <v>5</v>
      </c>
      <c r="AF662">
        <v>140</v>
      </c>
      <c r="AG662">
        <v>86</v>
      </c>
      <c r="AH662">
        <v>104</v>
      </c>
      <c r="AI662">
        <v>37</v>
      </c>
      <c r="AJ662">
        <v>27</v>
      </c>
      <c r="AK662">
        <v>34</v>
      </c>
      <c r="AL662">
        <v>18</v>
      </c>
      <c r="AM662">
        <v>3</v>
      </c>
      <c r="AN662">
        <v>74</v>
      </c>
      <c r="AO662">
        <v>31</v>
      </c>
      <c r="AP662">
        <v>40</v>
      </c>
      <c r="AQ662">
        <v>44</v>
      </c>
      <c r="AR662">
        <v>1401</v>
      </c>
      <c r="AS662">
        <v>1578</v>
      </c>
      <c r="AT662" t="s">
        <v>7</v>
      </c>
      <c r="AU662">
        <v>0.93</v>
      </c>
      <c r="AV662">
        <v>2025</v>
      </c>
      <c r="AW662" s="1">
        <v>45700</v>
      </c>
      <c r="AX662">
        <v>11.5</v>
      </c>
      <c r="AY662" t="s">
        <v>19</v>
      </c>
      <c r="AZ662" t="s">
        <v>20</v>
      </c>
      <c r="BA662" t="s">
        <v>12</v>
      </c>
      <c r="BB662" t="s">
        <v>13</v>
      </c>
      <c r="BC662" t="s">
        <v>7</v>
      </c>
      <c r="BD662">
        <v>1</v>
      </c>
      <c r="BE662" t="s">
        <v>14</v>
      </c>
      <c r="BF662">
        <v>1.19</v>
      </c>
    </row>
    <row r="663" spans="1:58" hidden="1" x14ac:dyDescent="0.2">
      <c r="A663">
        <v>662</v>
      </c>
      <c r="B663" t="s">
        <v>0</v>
      </c>
      <c r="C663">
        <v>31</v>
      </c>
      <c r="D663" t="s">
        <v>28</v>
      </c>
      <c r="E663" t="s">
        <v>2</v>
      </c>
      <c r="F663" t="s">
        <v>15</v>
      </c>
      <c r="G663" t="s">
        <v>116</v>
      </c>
      <c r="H663" t="s">
        <v>119</v>
      </c>
      <c r="I663" t="s">
        <v>112</v>
      </c>
      <c r="J663" t="s">
        <v>123</v>
      </c>
      <c r="K663" t="s">
        <v>13</v>
      </c>
      <c r="L663">
        <v>2.5</v>
      </c>
      <c r="M663">
        <v>9.4</v>
      </c>
      <c r="N663" t="s">
        <v>25</v>
      </c>
      <c r="O663" t="s">
        <v>7</v>
      </c>
      <c r="P663" t="s">
        <v>121</v>
      </c>
      <c r="Q663">
        <v>40</v>
      </c>
      <c r="R663">
        <v>4</v>
      </c>
      <c r="S663">
        <v>24.9</v>
      </c>
      <c r="T663">
        <v>105</v>
      </c>
      <c r="U663">
        <v>68</v>
      </c>
      <c r="V663">
        <v>8057</v>
      </c>
      <c r="W663">
        <v>48.1</v>
      </c>
      <c r="X663">
        <v>2</v>
      </c>
      <c r="Y663">
        <v>4</v>
      </c>
      <c r="Z663">
        <v>8</v>
      </c>
      <c r="AA663">
        <v>4.7</v>
      </c>
      <c r="AB663">
        <v>3</v>
      </c>
      <c r="AC663">
        <v>415</v>
      </c>
      <c r="AD663">
        <v>34</v>
      </c>
      <c r="AE663">
        <v>4</v>
      </c>
      <c r="AF663">
        <v>264</v>
      </c>
      <c r="AG663">
        <v>150</v>
      </c>
      <c r="AH663">
        <v>259</v>
      </c>
      <c r="AI663">
        <v>72</v>
      </c>
      <c r="AJ663">
        <v>55</v>
      </c>
      <c r="AK663">
        <v>62</v>
      </c>
      <c r="AL663">
        <v>46</v>
      </c>
      <c r="AM663">
        <v>10</v>
      </c>
      <c r="AN663">
        <v>174</v>
      </c>
      <c r="AO663">
        <v>120</v>
      </c>
      <c r="AP663">
        <v>100</v>
      </c>
      <c r="AQ663">
        <v>87</v>
      </c>
      <c r="AR663">
        <v>97</v>
      </c>
      <c r="AS663">
        <v>242</v>
      </c>
      <c r="AT663" t="s">
        <v>7</v>
      </c>
      <c r="AU663">
        <v>0.7</v>
      </c>
      <c r="AV663">
        <v>2016</v>
      </c>
      <c r="AW663" s="1">
        <v>45747</v>
      </c>
      <c r="AX663">
        <v>12.2</v>
      </c>
      <c r="AY663" t="s">
        <v>19</v>
      </c>
      <c r="AZ663" t="s">
        <v>51</v>
      </c>
      <c r="BA663" t="s">
        <v>12</v>
      </c>
      <c r="BB663" t="s">
        <v>13</v>
      </c>
      <c r="BC663" t="s">
        <v>13</v>
      </c>
      <c r="BD663">
        <v>5</v>
      </c>
      <c r="BE663" t="s">
        <v>14</v>
      </c>
      <c r="BF663">
        <v>1</v>
      </c>
    </row>
    <row r="664" spans="1:58" hidden="1" x14ac:dyDescent="0.2">
      <c r="A664">
        <v>663</v>
      </c>
      <c r="B664" t="s">
        <v>0</v>
      </c>
      <c r="C664">
        <v>59</v>
      </c>
      <c r="D664" t="s">
        <v>28</v>
      </c>
      <c r="E664" t="s">
        <v>128</v>
      </c>
      <c r="F664" t="s">
        <v>15</v>
      </c>
      <c r="G664" t="s">
        <v>117</v>
      </c>
      <c r="H664" t="s">
        <v>118</v>
      </c>
      <c r="I664" t="s">
        <v>115</v>
      </c>
      <c r="J664" t="s">
        <v>44</v>
      </c>
      <c r="K664" t="s">
        <v>13</v>
      </c>
      <c r="L664">
        <v>13.6</v>
      </c>
      <c r="M664">
        <v>6.8</v>
      </c>
      <c r="N664" t="s">
        <v>120</v>
      </c>
      <c r="O664" t="s">
        <v>7</v>
      </c>
      <c r="P664" t="s">
        <v>26</v>
      </c>
      <c r="Q664">
        <v>37</v>
      </c>
      <c r="R664">
        <v>2</v>
      </c>
      <c r="S664">
        <v>30.4</v>
      </c>
      <c r="T664">
        <v>157</v>
      </c>
      <c r="U664">
        <v>66</v>
      </c>
      <c r="V664">
        <v>8029</v>
      </c>
      <c r="W664">
        <v>37.9</v>
      </c>
      <c r="X664">
        <v>7</v>
      </c>
      <c r="Y664">
        <v>3</v>
      </c>
      <c r="Z664">
        <v>4</v>
      </c>
      <c r="AA664">
        <v>2.2999999999999998</v>
      </c>
      <c r="AB664">
        <v>5</v>
      </c>
      <c r="AC664">
        <v>333</v>
      </c>
      <c r="AD664">
        <v>16</v>
      </c>
      <c r="AE664">
        <v>4</v>
      </c>
      <c r="AF664">
        <v>265</v>
      </c>
      <c r="AG664">
        <v>150</v>
      </c>
      <c r="AH664">
        <v>200</v>
      </c>
      <c r="AI664">
        <v>55</v>
      </c>
      <c r="AJ664">
        <v>42</v>
      </c>
      <c r="AK664">
        <v>40</v>
      </c>
      <c r="AL664">
        <v>32</v>
      </c>
      <c r="AM664">
        <v>8</v>
      </c>
      <c r="AN664">
        <v>139</v>
      </c>
      <c r="AO664">
        <v>83</v>
      </c>
      <c r="AP664">
        <v>46</v>
      </c>
      <c r="AQ664">
        <v>120</v>
      </c>
      <c r="AR664">
        <v>2844</v>
      </c>
      <c r="AS664">
        <v>5105</v>
      </c>
      <c r="AT664" t="s">
        <v>7</v>
      </c>
      <c r="AU664">
        <v>0.27</v>
      </c>
      <c r="AV664">
        <v>2018</v>
      </c>
      <c r="AW664" s="1">
        <v>46016</v>
      </c>
      <c r="AX664">
        <v>20.8</v>
      </c>
      <c r="AY664" t="s">
        <v>27</v>
      </c>
      <c r="AZ664" t="s">
        <v>17</v>
      </c>
      <c r="BA664" t="s">
        <v>12</v>
      </c>
      <c r="BB664" t="s">
        <v>13</v>
      </c>
      <c r="BC664" t="s">
        <v>7</v>
      </c>
      <c r="BD664">
        <v>1</v>
      </c>
      <c r="BE664" t="s">
        <v>14</v>
      </c>
      <c r="BF664">
        <v>0.96</v>
      </c>
    </row>
    <row r="665" spans="1:58" hidden="1" x14ac:dyDescent="0.2">
      <c r="A665">
        <v>664</v>
      </c>
      <c r="B665" t="s">
        <v>0</v>
      </c>
      <c r="C665">
        <v>28</v>
      </c>
      <c r="D665" t="s">
        <v>1</v>
      </c>
      <c r="E665" t="s">
        <v>127</v>
      </c>
      <c r="F665" t="s">
        <v>15</v>
      </c>
      <c r="G665" t="s">
        <v>117</v>
      </c>
      <c r="H665" t="s">
        <v>118</v>
      </c>
      <c r="I665" t="s">
        <v>113</v>
      </c>
      <c r="J665" t="s">
        <v>6</v>
      </c>
      <c r="K665" t="s">
        <v>7</v>
      </c>
      <c r="L665">
        <v>9</v>
      </c>
      <c r="M665">
        <v>6.3</v>
      </c>
      <c r="N665" t="s">
        <v>120</v>
      </c>
      <c r="O665" t="s">
        <v>7</v>
      </c>
      <c r="P665" t="s">
        <v>9</v>
      </c>
      <c r="Q665">
        <v>1</v>
      </c>
      <c r="R665">
        <v>4</v>
      </c>
      <c r="S665">
        <v>18</v>
      </c>
      <c r="T665">
        <v>137</v>
      </c>
      <c r="U665">
        <v>97</v>
      </c>
      <c r="V665">
        <v>8120</v>
      </c>
      <c r="W665">
        <v>35.6</v>
      </c>
      <c r="X665">
        <v>2</v>
      </c>
      <c r="Y665">
        <v>1</v>
      </c>
      <c r="Z665">
        <v>17</v>
      </c>
      <c r="AA665">
        <v>2.4</v>
      </c>
      <c r="AB665">
        <v>2</v>
      </c>
      <c r="AC665">
        <v>66</v>
      </c>
      <c r="AD665">
        <v>3</v>
      </c>
      <c r="AE665">
        <v>3</v>
      </c>
      <c r="AF665">
        <v>191</v>
      </c>
      <c r="AG665">
        <v>47</v>
      </c>
      <c r="AH665">
        <v>58</v>
      </c>
      <c r="AI665">
        <v>18</v>
      </c>
      <c r="AJ665">
        <v>15</v>
      </c>
      <c r="AK665">
        <v>15</v>
      </c>
      <c r="AL665">
        <v>9</v>
      </c>
      <c r="AM665">
        <v>0</v>
      </c>
      <c r="AN665">
        <v>34</v>
      </c>
      <c r="AO665">
        <v>8</v>
      </c>
      <c r="AP665">
        <v>15</v>
      </c>
      <c r="AQ665">
        <v>20</v>
      </c>
      <c r="AR665">
        <v>586</v>
      </c>
      <c r="AS665">
        <v>1072</v>
      </c>
      <c r="AT665" t="s">
        <v>7</v>
      </c>
      <c r="AU665">
        <v>0.32</v>
      </c>
      <c r="AV665">
        <v>2014</v>
      </c>
      <c r="AW665" s="1">
        <v>45721</v>
      </c>
      <c r="AX665">
        <v>22</v>
      </c>
      <c r="AY665" t="s">
        <v>30</v>
      </c>
      <c r="AZ665" t="s">
        <v>35</v>
      </c>
      <c r="BA665" t="s">
        <v>21</v>
      </c>
      <c r="BB665" t="s">
        <v>13</v>
      </c>
      <c r="BC665" t="s">
        <v>7</v>
      </c>
      <c r="BD665">
        <v>0</v>
      </c>
      <c r="BE665" t="s">
        <v>14</v>
      </c>
      <c r="BF665">
        <v>1.54</v>
      </c>
    </row>
    <row r="666" spans="1:58" hidden="1" x14ac:dyDescent="0.2">
      <c r="A666">
        <v>665</v>
      </c>
      <c r="B666" t="s">
        <v>0</v>
      </c>
      <c r="C666">
        <v>65</v>
      </c>
      <c r="D666" t="s">
        <v>1</v>
      </c>
      <c r="E666" t="s">
        <v>47</v>
      </c>
      <c r="F666" t="s">
        <v>15</v>
      </c>
      <c r="G666" t="s">
        <v>38</v>
      </c>
      <c r="H666" t="s">
        <v>119</v>
      </c>
      <c r="I666" t="s">
        <v>112</v>
      </c>
      <c r="J666" t="s">
        <v>6</v>
      </c>
      <c r="K666" t="s">
        <v>13</v>
      </c>
      <c r="L666">
        <v>5</v>
      </c>
      <c r="M666">
        <v>7.4</v>
      </c>
      <c r="N666" t="s">
        <v>29</v>
      </c>
      <c r="O666" t="s">
        <v>7</v>
      </c>
      <c r="P666" t="s">
        <v>9</v>
      </c>
      <c r="Q666">
        <v>25</v>
      </c>
      <c r="R666">
        <v>6</v>
      </c>
      <c r="S666">
        <v>25.1</v>
      </c>
      <c r="T666">
        <v>128</v>
      </c>
      <c r="U666">
        <v>68</v>
      </c>
      <c r="V666">
        <v>8323</v>
      </c>
      <c r="W666">
        <v>50</v>
      </c>
      <c r="X666">
        <v>0</v>
      </c>
      <c r="Y666">
        <v>8</v>
      </c>
      <c r="Z666">
        <v>14</v>
      </c>
      <c r="AA666">
        <v>5.9</v>
      </c>
      <c r="AB666">
        <v>4</v>
      </c>
      <c r="AC666">
        <v>157</v>
      </c>
      <c r="AD666">
        <v>5</v>
      </c>
      <c r="AE666">
        <v>4</v>
      </c>
      <c r="AF666">
        <v>140</v>
      </c>
      <c r="AG666">
        <v>85</v>
      </c>
      <c r="AH666">
        <v>97</v>
      </c>
      <c r="AI666">
        <v>29</v>
      </c>
      <c r="AJ666">
        <v>25</v>
      </c>
      <c r="AK666">
        <v>21</v>
      </c>
      <c r="AL666">
        <v>21</v>
      </c>
      <c r="AM666">
        <v>7</v>
      </c>
      <c r="AN666">
        <v>76</v>
      </c>
      <c r="AO666">
        <v>42</v>
      </c>
      <c r="AP666">
        <v>25</v>
      </c>
      <c r="AQ666">
        <v>36</v>
      </c>
      <c r="AR666">
        <v>158</v>
      </c>
      <c r="AS666">
        <v>93</v>
      </c>
      <c r="AT666" t="s">
        <v>7</v>
      </c>
      <c r="AU666">
        <v>0.9</v>
      </c>
      <c r="AV666">
        <v>2025</v>
      </c>
      <c r="AW666" s="1">
        <v>45664</v>
      </c>
      <c r="AX666">
        <v>31.4</v>
      </c>
      <c r="AY666" t="s">
        <v>10</v>
      </c>
      <c r="AZ666" t="s">
        <v>51</v>
      </c>
      <c r="BA666" t="s">
        <v>12</v>
      </c>
      <c r="BB666" t="s">
        <v>13</v>
      </c>
      <c r="BC666" t="s">
        <v>7</v>
      </c>
      <c r="BD666">
        <v>4</v>
      </c>
      <c r="BE666" t="s">
        <v>14</v>
      </c>
      <c r="BF666">
        <v>1.06</v>
      </c>
    </row>
    <row r="667" spans="1:58" hidden="1" x14ac:dyDescent="0.2">
      <c r="A667">
        <v>666</v>
      </c>
      <c r="B667" t="s">
        <v>0</v>
      </c>
      <c r="C667">
        <v>17</v>
      </c>
      <c r="D667" t="s">
        <v>28</v>
      </c>
      <c r="E667" t="s">
        <v>2</v>
      </c>
      <c r="F667" t="s">
        <v>15</v>
      </c>
      <c r="G667" t="s">
        <v>38</v>
      </c>
      <c r="H667" t="s">
        <v>118</v>
      </c>
      <c r="I667" t="s">
        <v>115</v>
      </c>
      <c r="J667" t="s">
        <v>123</v>
      </c>
      <c r="K667" t="s">
        <v>7</v>
      </c>
      <c r="L667">
        <v>7</v>
      </c>
      <c r="M667">
        <v>7.6</v>
      </c>
      <c r="N667" t="s">
        <v>39</v>
      </c>
      <c r="O667" t="s">
        <v>7</v>
      </c>
      <c r="P667" t="s">
        <v>9</v>
      </c>
      <c r="Q667">
        <v>3</v>
      </c>
      <c r="R667">
        <v>2</v>
      </c>
      <c r="S667">
        <v>30.2</v>
      </c>
      <c r="T667">
        <v>140</v>
      </c>
      <c r="U667">
        <v>63</v>
      </c>
      <c r="V667">
        <v>8037</v>
      </c>
      <c r="W667">
        <v>41.3</v>
      </c>
      <c r="X667">
        <v>5</v>
      </c>
      <c r="Y667">
        <v>3</v>
      </c>
      <c r="Z667">
        <v>8</v>
      </c>
      <c r="AA667">
        <v>2.6</v>
      </c>
      <c r="AB667">
        <v>2</v>
      </c>
      <c r="AC667">
        <v>142</v>
      </c>
      <c r="AD667">
        <v>7</v>
      </c>
      <c r="AE667">
        <v>7</v>
      </c>
      <c r="AF667">
        <v>181</v>
      </c>
      <c r="AG667">
        <v>89</v>
      </c>
      <c r="AH667">
        <v>91</v>
      </c>
      <c r="AI667">
        <v>21</v>
      </c>
      <c r="AJ667">
        <v>24</v>
      </c>
      <c r="AK667">
        <v>22</v>
      </c>
      <c r="AL667">
        <v>14</v>
      </c>
      <c r="AM667">
        <v>5</v>
      </c>
      <c r="AN667">
        <v>72</v>
      </c>
      <c r="AO667">
        <v>17</v>
      </c>
      <c r="AP667">
        <v>17</v>
      </c>
      <c r="AQ667">
        <v>35</v>
      </c>
      <c r="AR667">
        <v>308</v>
      </c>
      <c r="AS667">
        <v>340</v>
      </c>
      <c r="AT667" t="s">
        <v>7</v>
      </c>
      <c r="AU667">
        <v>0.97</v>
      </c>
      <c r="AV667">
        <v>2013</v>
      </c>
      <c r="AW667" s="1">
        <v>45753</v>
      </c>
      <c r="AX667">
        <v>20.3</v>
      </c>
      <c r="AY667" t="s">
        <v>27</v>
      </c>
      <c r="AZ667" t="s">
        <v>48</v>
      </c>
      <c r="BA667" t="s">
        <v>21</v>
      </c>
      <c r="BB667" t="s">
        <v>13</v>
      </c>
      <c r="BC667" t="s">
        <v>7</v>
      </c>
      <c r="BD667">
        <v>3</v>
      </c>
      <c r="BE667" t="s">
        <v>43</v>
      </c>
      <c r="BF667">
        <v>1.08</v>
      </c>
    </row>
    <row r="668" spans="1:58" hidden="1" x14ac:dyDescent="0.2">
      <c r="A668">
        <v>667</v>
      </c>
      <c r="B668" t="s">
        <v>0</v>
      </c>
      <c r="C668">
        <v>47</v>
      </c>
      <c r="D668" t="s">
        <v>1</v>
      </c>
      <c r="E668" t="s">
        <v>2</v>
      </c>
      <c r="F668" t="s">
        <v>15</v>
      </c>
      <c r="G668" t="s">
        <v>16</v>
      </c>
      <c r="H668" t="s">
        <v>118</v>
      </c>
      <c r="I668" t="s">
        <v>114</v>
      </c>
      <c r="J668" t="s">
        <v>123</v>
      </c>
      <c r="K668" t="s">
        <v>7</v>
      </c>
      <c r="L668">
        <v>6.5</v>
      </c>
      <c r="M668">
        <v>7.8</v>
      </c>
      <c r="N668" t="s">
        <v>8</v>
      </c>
      <c r="O668" t="s">
        <v>7</v>
      </c>
      <c r="P668" t="s">
        <v>26</v>
      </c>
      <c r="Q668">
        <v>13</v>
      </c>
      <c r="R668">
        <v>3</v>
      </c>
      <c r="S668">
        <v>35.799999999999997</v>
      </c>
      <c r="T668">
        <v>126</v>
      </c>
      <c r="U668">
        <v>68</v>
      </c>
      <c r="V668">
        <v>7881</v>
      </c>
      <c r="W668">
        <v>45.7</v>
      </c>
      <c r="X668">
        <v>2</v>
      </c>
      <c r="Y668">
        <v>4</v>
      </c>
      <c r="Z668">
        <v>14</v>
      </c>
      <c r="AA668">
        <v>1.9</v>
      </c>
      <c r="AB668">
        <v>0</v>
      </c>
      <c r="AC668">
        <v>121</v>
      </c>
      <c r="AD668">
        <v>9</v>
      </c>
      <c r="AE668">
        <v>3</v>
      </c>
      <c r="AF668">
        <v>123</v>
      </c>
      <c r="AG668">
        <v>77</v>
      </c>
      <c r="AH668">
        <v>88</v>
      </c>
      <c r="AI668">
        <v>24</v>
      </c>
      <c r="AJ668">
        <v>20</v>
      </c>
      <c r="AK668">
        <v>18</v>
      </c>
      <c r="AL668">
        <v>17</v>
      </c>
      <c r="AM668">
        <v>7</v>
      </c>
      <c r="AN668">
        <v>60</v>
      </c>
      <c r="AO668">
        <v>18</v>
      </c>
      <c r="AP668">
        <v>19</v>
      </c>
      <c r="AQ668">
        <v>26</v>
      </c>
      <c r="AR668">
        <v>2842</v>
      </c>
      <c r="AS668">
        <v>3835</v>
      </c>
      <c r="AT668" t="s">
        <v>7</v>
      </c>
      <c r="AU668">
        <v>0.2</v>
      </c>
      <c r="AV668">
        <v>2024</v>
      </c>
      <c r="AW668" s="1">
        <v>45661</v>
      </c>
      <c r="AX668">
        <v>13.4</v>
      </c>
      <c r="AY668" t="s">
        <v>30</v>
      </c>
      <c r="AZ668" t="s">
        <v>11</v>
      </c>
      <c r="BA668" t="s">
        <v>21</v>
      </c>
      <c r="BB668" t="s">
        <v>13</v>
      </c>
      <c r="BC668" t="s">
        <v>7</v>
      </c>
      <c r="BD668">
        <v>2</v>
      </c>
      <c r="BE668" t="s">
        <v>43</v>
      </c>
      <c r="BF668">
        <v>1.19</v>
      </c>
    </row>
    <row r="669" spans="1:58" hidden="1" x14ac:dyDescent="0.2">
      <c r="A669">
        <v>668</v>
      </c>
      <c r="B669" t="s">
        <v>0</v>
      </c>
      <c r="C669">
        <v>24</v>
      </c>
      <c r="D669" t="s">
        <v>28</v>
      </c>
      <c r="E669" t="s">
        <v>42</v>
      </c>
      <c r="F669" t="s">
        <v>15</v>
      </c>
      <c r="G669" t="s">
        <v>16</v>
      </c>
      <c r="H669" t="s">
        <v>34</v>
      </c>
      <c r="I669" t="s">
        <v>112</v>
      </c>
      <c r="J669" t="s">
        <v>123</v>
      </c>
      <c r="K669" t="s">
        <v>7</v>
      </c>
      <c r="L669">
        <v>1.9</v>
      </c>
      <c r="M669">
        <v>8.6</v>
      </c>
      <c r="N669" t="s">
        <v>29</v>
      </c>
      <c r="O669" t="s">
        <v>7</v>
      </c>
      <c r="P669" t="s">
        <v>46</v>
      </c>
      <c r="Q669">
        <v>2</v>
      </c>
      <c r="R669">
        <v>6</v>
      </c>
      <c r="S669">
        <v>29.7</v>
      </c>
      <c r="T669">
        <v>128</v>
      </c>
      <c r="U669">
        <v>67</v>
      </c>
      <c r="V669">
        <v>7908</v>
      </c>
      <c r="W669">
        <v>30.8</v>
      </c>
      <c r="X669">
        <v>2</v>
      </c>
      <c r="Y669">
        <v>3</v>
      </c>
      <c r="Z669">
        <v>13</v>
      </c>
      <c r="AA669">
        <v>0.6</v>
      </c>
      <c r="AB669">
        <v>1</v>
      </c>
      <c r="AC669">
        <v>46</v>
      </c>
      <c r="AD669">
        <v>5</v>
      </c>
      <c r="AE669">
        <v>7</v>
      </c>
      <c r="AF669">
        <v>151</v>
      </c>
      <c r="AG669">
        <v>60</v>
      </c>
      <c r="AH669">
        <v>60</v>
      </c>
      <c r="AI669">
        <v>11</v>
      </c>
      <c r="AJ669">
        <v>5</v>
      </c>
      <c r="AK669">
        <v>15</v>
      </c>
      <c r="AL669">
        <v>13</v>
      </c>
      <c r="AM669">
        <v>1</v>
      </c>
      <c r="AN669">
        <v>20</v>
      </c>
      <c r="AO669">
        <v>9</v>
      </c>
      <c r="AP669">
        <v>11</v>
      </c>
      <c r="AQ669">
        <v>11</v>
      </c>
      <c r="AR669">
        <v>280</v>
      </c>
      <c r="AS669">
        <v>637</v>
      </c>
      <c r="AT669" t="s">
        <v>7</v>
      </c>
      <c r="AU669">
        <v>0.36</v>
      </c>
      <c r="AV669">
        <v>2019</v>
      </c>
      <c r="AW669" s="1">
        <v>45670</v>
      </c>
      <c r="AX669">
        <v>9.1999999999999993</v>
      </c>
      <c r="AY669" t="s">
        <v>27</v>
      </c>
      <c r="AZ669" t="s">
        <v>37</v>
      </c>
      <c r="BA669" t="s">
        <v>21</v>
      </c>
      <c r="BB669" t="s">
        <v>13</v>
      </c>
      <c r="BC669" t="s">
        <v>13</v>
      </c>
      <c r="BD669">
        <v>3</v>
      </c>
      <c r="BE669" t="s">
        <v>43</v>
      </c>
      <c r="BF669">
        <v>2.19</v>
      </c>
    </row>
    <row r="670" spans="1:58" hidden="1" x14ac:dyDescent="0.2">
      <c r="A670">
        <v>669</v>
      </c>
      <c r="B670" t="s">
        <v>0</v>
      </c>
      <c r="C670">
        <v>37</v>
      </c>
      <c r="D670" t="s">
        <v>28</v>
      </c>
      <c r="E670" t="s">
        <v>22</v>
      </c>
      <c r="F670" t="s">
        <v>15</v>
      </c>
      <c r="G670" t="s">
        <v>38</v>
      </c>
      <c r="H670" t="s">
        <v>23</v>
      </c>
      <c r="I670" t="s">
        <v>114</v>
      </c>
      <c r="J670" t="s">
        <v>6</v>
      </c>
      <c r="K670" t="s">
        <v>7</v>
      </c>
      <c r="L670">
        <v>12.7</v>
      </c>
      <c r="M670">
        <v>6.6</v>
      </c>
      <c r="N670" t="s">
        <v>29</v>
      </c>
      <c r="O670" t="s">
        <v>7</v>
      </c>
      <c r="P670" t="s">
        <v>26</v>
      </c>
      <c r="Q670">
        <v>21</v>
      </c>
      <c r="R670">
        <v>3</v>
      </c>
      <c r="S670">
        <v>28.2</v>
      </c>
      <c r="T670">
        <v>145</v>
      </c>
      <c r="U670">
        <v>79</v>
      </c>
      <c r="V670">
        <v>7961</v>
      </c>
      <c r="W670">
        <v>32.6</v>
      </c>
      <c r="X670">
        <v>2</v>
      </c>
      <c r="Y670">
        <v>3</v>
      </c>
      <c r="Z670">
        <v>16</v>
      </c>
      <c r="AA670">
        <v>5.3</v>
      </c>
      <c r="AB670">
        <v>1</v>
      </c>
      <c r="AC670">
        <v>272</v>
      </c>
      <c r="AD670">
        <v>11</v>
      </c>
      <c r="AE670">
        <v>7</v>
      </c>
      <c r="AF670">
        <v>206</v>
      </c>
      <c r="AG670">
        <v>139</v>
      </c>
      <c r="AH670">
        <v>156</v>
      </c>
      <c r="AI670">
        <v>56</v>
      </c>
      <c r="AJ670">
        <v>35</v>
      </c>
      <c r="AK670">
        <v>43</v>
      </c>
      <c r="AL670">
        <v>30</v>
      </c>
      <c r="AM670">
        <v>6</v>
      </c>
      <c r="AN670">
        <v>127</v>
      </c>
      <c r="AO670">
        <v>35</v>
      </c>
      <c r="AP670">
        <v>65</v>
      </c>
      <c r="AQ670">
        <v>101</v>
      </c>
      <c r="AR670">
        <v>1435</v>
      </c>
      <c r="AS670">
        <v>1834</v>
      </c>
      <c r="AT670" t="s">
        <v>7</v>
      </c>
      <c r="AU670">
        <v>0.28999999999999998</v>
      </c>
      <c r="AV670">
        <v>2011</v>
      </c>
      <c r="AW670" s="1">
        <v>45824</v>
      </c>
      <c r="AX670">
        <v>24.7</v>
      </c>
      <c r="AY670" t="s">
        <v>30</v>
      </c>
      <c r="AZ670" t="s">
        <v>20</v>
      </c>
      <c r="BA670" t="s">
        <v>122</v>
      </c>
      <c r="BB670" t="s">
        <v>13</v>
      </c>
      <c r="BC670" t="s">
        <v>13</v>
      </c>
      <c r="BD670">
        <v>2</v>
      </c>
      <c r="BE670" t="s">
        <v>14</v>
      </c>
      <c r="BF670">
        <v>1.06</v>
      </c>
    </row>
    <row r="671" spans="1:58" hidden="1" x14ac:dyDescent="0.2">
      <c r="A671">
        <v>670</v>
      </c>
      <c r="B671" t="s">
        <v>0</v>
      </c>
      <c r="C671">
        <v>64</v>
      </c>
      <c r="D671" t="s">
        <v>28</v>
      </c>
      <c r="E671" t="s">
        <v>17</v>
      </c>
      <c r="F671" t="s">
        <v>15</v>
      </c>
      <c r="G671" t="s">
        <v>117</v>
      </c>
      <c r="H671" t="s">
        <v>118</v>
      </c>
      <c r="I671" t="s">
        <v>115</v>
      </c>
      <c r="J671" t="s">
        <v>6</v>
      </c>
      <c r="K671" t="s">
        <v>7</v>
      </c>
      <c r="L671">
        <v>8.3000000000000007</v>
      </c>
      <c r="M671">
        <v>7.6</v>
      </c>
      <c r="N671" t="s">
        <v>8</v>
      </c>
      <c r="O671" t="s">
        <v>7</v>
      </c>
      <c r="P671" t="s">
        <v>9</v>
      </c>
      <c r="Q671">
        <v>33</v>
      </c>
      <c r="R671">
        <v>6</v>
      </c>
      <c r="S671">
        <v>25.3</v>
      </c>
      <c r="T671">
        <v>133</v>
      </c>
      <c r="U671">
        <v>88</v>
      </c>
      <c r="V671">
        <v>8114</v>
      </c>
      <c r="W671">
        <v>39</v>
      </c>
      <c r="X671">
        <v>5</v>
      </c>
      <c r="Y671">
        <v>3</v>
      </c>
      <c r="Z671">
        <v>14</v>
      </c>
      <c r="AA671">
        <v>2</v>
      </c>
      <c r="AB671">
        <v>5</v>
      </c>
      <c r="AC671">
        <v>242</v>
      </c>
      <c r="AD671">
        <v>22</v>
      </c>
      <c r="AE671">
        <v>9</v>
      </c>
      <c r="AF671">
        <v>179</v>
      </c>
      <c r="AG671">
        <v>143</v>
      </c>
      <c r="AH671">
        <v>144</v>
      </c>
      <c r="AI671">
        <v>40</v>
      </c>
      <c r="AJ671">
        <v>42</v>
      </c>
      <c r="AK671">
        <v>31</v>
      </c>
      <c r="AL671">
        <v>26</v>
      </c>
      <c r="AM671">
        <v>6</v>
      </c>
      <c r="AN671">
        <v>140</v>
      </c>
      <c r="AO671">
        <v>45</v>
      </c>
      <c r="AP671">
        <v>26</v>
      </c>
      <c r="AQ671">
        <v>70</v>
      </c>
      <c r="AR671">
        <v>880</v>
      </c>
      <c r="AS671">
        <v>449</v>
      </c>
      <c r="AT671" t="s">
        <v>13</v>
      </c>
      <c r="AU671">
        <v>0.52</v>
      </c>
      <c r="AV671">
        <v>2010</v>
      </c>
      <c r="AW671" s="1">
        <v>45779</v>
      </c>
      <c r="AX671">
        <v>11</v>
      </c>
      <c r="AY671" t="s">
        <v>30</v>
      </c>
      <c r="AZ671" t="s">
        <v>37</v>
      </c>
      <c r="BA671" t="s">
        <v>21</v>
      </c>
      <c r="BB671" t="s">
        <v>13</v>
      </c>
      <c r="BC671" t="s">
        <v>7</v>
      </c>
      <c r="BD671">
        <v>1</v>
      </c>
      <c r="BE671" t="s">
        <v>14</v>
      </c>
      <c r="BF671">
        <v>1.03</v>
      </c>
    </row>
    <row r="672" spans="1:58" hidden="1" x14ac:dyDescent="0.2">
      <c r="A672">
        <v>671</v>
      </c>
      <c r="B672" t="s">
        <v>0</v>
      </c>
      <c r="C672">
        <v>33</v>
      </c>
      <c r="D672" t="s">
        <v>28</v>
      </c>
      <c r="E672" t="s">
        <v>33</v>
      </c>
      <c r="F672" t="s">
        <v>40</v>
      </c>
      <c r="G672" t="s">
        <v>116</v>
      </c>
      <c r="H672" t="s">
        <v>23</v>
      </c>
      <c r="I672" t="s">
        <v>113</v>
      </c>
      <c r="J672" t="s">
        <v>18</v>
      </c>
      <c r="K672" t="s">
        <v>7</v>
      </c>
      <c r="L672">
        <v>4.0999999999999996</v>
      </c>
      <c r="M672">
        <v>7.7</v>
      </c>
      <c r="N672" t="s">
        <v>29</v>
      </c>
      <c r="O672" t="s">
        <v>7</v>
      </c>
      <c r="P672" t="s">
        <v>46</v>
      </c>
      <c r="Q672">
        <v>11</v>
      </c>
      <c r="R672">
        <v>4</v>
      </c>
      <c r="S672">
        <v>24.7</v>
      </c>
      <c r="T672">
        <v>90</v>
      </c>
      <c r="U672">
        <v>97</v>
      </c>
      <c r="V672">
        <v>7895</v>
      </c>
      <c r="W672">
        <v>35.1</v>
      </c>
      <c r="X672">
        <v>2</v>
      </c>
      <c r="Y672">
        <v>8</v>
      </c>
      <c r="Z672">
        <v>9</v>
      </c>
      <c r="AA672">
        <v>6.2</v>
      </c>
      <c r="AB672">
        <v>2</v>
      </c>
      <c r="AC672">
        <v>181</v>
      </c>
      <c r="AD672">
        <v>10</v>
      </c>
      <c r="AE672">
        <v>4</v>
      </c>
      <c r="AF672">
        <v>143</v>
      </c>
      <c r="AG672">
        <v>118</v>
      </c>
      <c r="AH672">
        <v>108</v>
      </c>
      <c r="AI672">
        <v>27</v>
      </c>
      <c r="AJ672">
        <v>30</v>
      </c>
      <c r="AK672">
        <v>27</v>
      </c>
      <c r="AL672">
        <v>15</v>
      </c>
      <c r="AM672">
        <v>8</v>
      </c>
      <c r="AN672">
        <v>92</v>
      </c>
      <c r="AO672">
        <v>44</v>
      </c>
      <c r="AP672">
        <v>36</v>
      </c>
      <c r="AQ672">
        <v>69</v>
      </c>
      <c r="AR672">
        <v>1848</v>
      </c>
      <c r="AS672">
        <v>2691</v>
      </c>
      <c r="AT672" t="s">
        <v>7</v>
      </c>
      <c r="AU672">
        <v>0.46</v>
      </c>
      <c r="AV672">
        <v>2014</v>
      </c>
      <c r="AW672" s="1">
        <v>45689</v>
      </c>
      <c r="AX672">
        <v>18.100000000000001</v>
      </c>
      <c r="AY672" t="s">
        <v>45</v>
      </c>
      <c r="AZ672" t="s">
        <v>11</v>
      </c>
      <c r="BA672" t="s">
        <v>21</v>
      </c>
      <c r="BB672" t="s">
        <v>7</v>
      </c>
      <c r="BC672" t="s">
        <v>13</v>
      </c>
      <c r="BD672">
        <v>3</v>
      </c>
      <c r="BE672" t="s">
        <v>14</v>
      </c>
      <c r="BF672">
        <v>0.96</v>
      </c>
    </row>
    <row r="673" spans="1:58" hidden="1" x14ac:dyDescent="0.2">
      <c r="A673">
        <v>672</v>
      </c>
      <c r="B673" t="s">
        <v>0</v>
      </c>
      <c r="C673">
        <v>48</v>
      </c>
      <c r="D673" t="s">
        <v>28</v>
      </c>
      <c r="E673" t="s">
        <v>126</v>
      </c>
      <c r="F673" t="s">
        <v>3</v>
      </c>
      <c r="G673" t="s">
        <v>116</v>
      </c>
      <c r="H673" t="s">
        <v>119</v>
      </c>
      <c r="I673" t="s">
        <v>114</v>
      </c>
      <c r="J673" t="s">
        <v>32</v>
      </c>
      <c r="K673" t="s">
        <v>7</v>
      </c>
      <c r="L673">
        <v>9.6</v>
      </c>
      <c r="M673">
        <v>7.8</v>
      </c>
      <c r="N673" t="s">
        <v>39</v>
      </c>
      <c r="O673" t="s">
        <v>7</v>
      </c>
      <c r="P673" t="s">
        <v>52</v>
      </c>
      <c r="Q673">
        <v>2</v>
      </c>
      <c r="R673">
        <v>1</v>
      </c>
      <c r="S673">
        <v>31.1</v>
      </c>
      <c r="T673">
        <v>103</v>
      </c>
      <c r="U673">
        <v>63</v>
      </c>
      <c r="V673">
        <v>8028</v>
      </c>
      <c r="W673">
        <v>35</v>
      </c>
      <c r="X673">
        <v>2</v>
      </c>
      <c r="Y673">
        <v>4</v>
      </c>
      <c r="Z673">
        <v>13</v>
      </c>
      <c r="AA673">
        <v>3</v>
      </c>
      <c r="AB673">
        <v>2</v>
      </c>
      <c r="AC673">
        <v>106</v>
      </c>
      <c r="AD673">
        <v>4</v>
      </c>
      <c r="AE673">
        <v>6</v>
      </c>
      <c r="AF673">
        <v>99</v>
      </c>
      <c r="AG673">
        <v>70</v>
      </c>
      <c r="AH673">
        <v>66</v>
      </c>
      <c r="AI673">
        <v>19</v>
      </c>
      <c r="AJ673">
        <v>12</v>
      </c>
      <c r="AK673">
        <v>29</v>
      </c>
      <c r="AL673">
        <v>8</v>
      </c>
      <c r="AM673">
        <v>0</v>
      </c>
      <c r="AN673">
        <v>50</v>
      </c>
      <c r="AO673">
        <v>17</v>
      </c>
      <c r="AP673">
        <v>24</v>
      </c>
      <c r="AQ673">
        <v>33</v>
      </c>
      <c r="AR673">
        <v>4105</v>
      </c>
      <c r="AS673">
        <v>5443</v>
      </c>
      <c r="AT673" t="s">
        <v>7</v>
      </c>
      <c r="AU673">
        <v>0.99</v>
      </c>
      <c r="AV673">
        <v>2019</v>
      </c>
      <c r="AW673" s="1">
        <v>45767</v>
      </c>
      <c r="AX673">
        <v>26.5</v>
      </c>
      <c r="AY673" t="s">
        <v>10</v>
      </c>
      <c r="AZ673" t="s">
        <v>35</v>
      </c>
      <c r="BA673" t="s">
        <v>21</v>
      </c>
      <c r="BB673" t="s">
        <v>13</v>
      </c>
      <c r="BC673" t="s">
        <v>7</v>
      </c>
      <c r="BD673">
        <v>1</v>
      </c>
      <c r="BE673" t="s">
        <v>14</v>
      </c>
      <c r="BF673">
        <v>1.1399999999999999</v>
      </c>
    </row>
    <row r="674" spans="1:58" hidden="1" x14ac:dyDescent="0.2">
      <c r="A674">
        <v>673</v>
      </c>
      <c r="B674" t="s">
        <v>0</v>
      </c>
      <c r="C674">
        <v>65</v>
      </c>
      <c r="D674" t="s">
        <v>1</v>
      </c>
      <c r="E674" t="s">
        <v>17</v>
      </c>
      <c r="F674" t="s">
        <v>40</v>
      </c>
      <c r="G674" t="s">
        <v>38</v>
      </c>
      <c r="H674" t="s">
        <v>118</v>
      </c>
      <c r="I674" t="s">
        <v>112</v>
      </c>
      <c r="J674" t="s">
        <v>123</v>
      </c>
      <c r="K674" t="s">
        <v>7</v>
      </c>
      <c r="L674">
        <v>2.1</v>
      </c>
      <c r="M674">
        <v>6.9</v>
      </c>
      <c r="N674" t="s">
        <v>25</v>
      </c>
      <c r="O674" t="s">
        <v>7</v>
      </c>
      <c r="P674" t="s">
        <v>52</v>
      </c>
      <c r="Q674">
        <v>8</v>
      </c>
      <c r="R674">
        <v>1</v>
      </c>
      <c r="S674">
        <v>23.2</v>
      </c>
      <c r="T674">
        <v>153</v>
      </c>
      <c r="U674">
        <v>70</v>
      </c>
      <c r="V674">
        <v>7868</v>
      </c>
      <c r="W674">
        <v>53.3</v>
      </c>
      <c r="X674">
        <v>4</v>
      </c>
      <c r="Y674">
        <v>2</v>
      </c>
      <c r="Z674">
        <v>8</v>
      </c>
      <c r="AA674">
        <v>6.3</v>
      </c>
      <c r="AB674">
        <v>2</v>
      </c>
      <c r="AC674">
        <v>79</v>
      </c>
      <c r="AD674">
        <v>3</v>
      </c>
      <c r="AE674">
        <v>3</v>
      </c>
      <c r="AF674">
        <v>85</v>
      </c>
      <c r="AG674">
        <v>50</v>
      </c>
      <c r="AH674">
        <v>61</v>
      </c>
      <c r="AI674">
        <v>11</v>
      </c>
      <c r="AJ674">
        <v>21</v>
      </c>
      <c r="AK674">
        <v>18</v>
      </c>
      <c r="AL674">
        <v>13</v>
      </c>
      <c r="AM674">
        <v>3</v>
      </c>
      <c r="AN674">
        <v>45</v>
      </c>
      <c r="AO674">
        <v>18</v>
      </c>
      <c r="AP674">
        <v>13</v>
      </c>
      <c r="AQ674">
        <v>31</v>
      </c>
      <c r="AR674">
        <v>1966</v>
      </c>
      <c r="AS674">
        <v>4229</v>
      </c>
      <c r="AT674" t="s">
        <v>7</v>
      </c>
      <c r="AU674">
        <v>0.75</v>
      </c>
      <c r="AV674">
        <v>2020</v>
      </c>
      <c r="AW674" s="1">
        <v>45676</v>
      </c>
      <c r="AX674">
        <v>26.3</v>
      </c>
      <c r="AY674" t="s">
        <v>36</v>
      </c>
      <c r="AZ674" t="s">
        <v>48</v>
      </c>
      <c r="BA674" t="s">
        <v>12</v>
      </c>
      <c r="BB674" t="s">
        <v>13</v>
      </c>
      <c r="BC674" t="s">
        <v>7</v>
      </c>
      <c r="BD674">
        <v>2</v>
      </c>
      <c r="BE674" t="s">
        <v>49</v>
      </c>
      <c r="BF674">
        <v>1.1499999999999999</v>
      </c>
    </row>
    <row r="675" spans="1:58" hidden="1" x14ac:dyDescent="0.2">
      <c r="A675">
        <v>674</v>
      </c>
      <c r="B675" t="s">
        <v>0</v>
      </c>
      <c r="C675">
        <v>35</v>
      </c>
      <c r="D675" t="s">
        <v>28</v>
      </c>
      <c r="E675" t="s">
        <v>126</v>
      </c>
      <c r="F675" t="s">
        <v>15</v>
      </c>
      <c r="G675" t="s">
        <v>116</v>
      </c>
      <c r="H675" t="s">
        <v>24</v>
      </c>
      <c r="I675" t="s">
        <v>114</v>
      </c>
      <c r="J675" t="s">
        <v>18</v>
      </c>
      <c r="K675" t="s">
        <v>7</v>
      </c>
      <c r="L675">
        <v>6.2</v>
      </c>
      <c r="M675">
        <v>4.4000000000000004</v>
      </c>
      <c r="N675" t="s">
        <v>29</v>
      </c>
      <c r="O675" t="s">
        <v>7</v>
      </c>
      <c r="P675" t="s">
        <v>26</v>
      </c>
      <c r="Q675">
        <v>8</v>
      </c>
      <c r="R675">
        <v>7</v>
      </c>
      <c r="S675">
        <v>18.5</v>
      </c>
      <c r="T675">
        <v>159</v>
      </c>
      <c r="U675">
        <v>82</v>
      </c>
      <c r="V675">
        <v>7742</v>
      </c>
      <c r="W675">
        <v>45.7</v>
      </c>
      <c r="X675">
        <v>1</v>
      </c>
      <c r="Y675">
        <v>3</v>
      </c>
      <c r="Z675">
        <v>12</v>
      </c>
      <c r="AA675">
        <v>5.4</v>
      </c>
      <c r="AB675">
        <v>1</v>
      </c>
      <c r="AC675">
        <v>41</v>
      </c>
      <c r="AD675">
        <v>2</v>
      </c>
      <c r="AE675">
        <v>5</v>
      </c>
      <c r="AF675">
        <v>53</v>
      </c>
      <c r="AG675">
        <v>51</v>
      </c>
      <c r="AH675">
        <v>50</v>
      </c>
      <c r="AI675">
        <v>13</v>
      </c>
      <c r="AJ675">
        <v>12</v>
      </c>
      <c r="AK675">
        <v>13</v>
      </c>
      <c r="AL675">
        <v>12</v>
      </c>
      <c r="AM675">
        <v>1</v>
      </c>
      <c r="AN675">
        <v>23</v>
      </c>
      <c r="AO675">
        <v>6</v>
      </c>
      <c r="AP675">
        <v>5</v>
      </c>
      <c r="AQ675">
        <v>11</v>
      </c>
      <c r="AR675">
        <v>243</v>
      </c>
      <c r="AS675">
        <v>174</v>
      </c>
      <c r="AT675" t="s">
        <v>7</v>
      </c>
      <c r="AU675">
        <v>0.95</v>
      </c>
      <c r="AV675">
        <v>2024</v>
      </c>
      <c r="AW675" s="1">
        <v>45929</v>
      </c>
      <c r="AX675">
        <v>20.5</v>
      </c>
      <c r="AY675" t="s">
        <v>27</v>
      </c>
      <c r="AZ675" t="s">
        <v>48</v>
      </c>
      <c r="BA675" t="s">
        <v>21</v>
      </c>
      <c r="BB675" t="s">
        <v>13</v>
      </c>
      <c r="BC675" t="s">
        <v>13</v>
      </c>
      <c r="BD675">
        <v>1</v>
      </c>
      <c r="BE675" t="s">
        <v>14</v>
      </c>
      <c r="BF675">
        <v>2.17</v>
      </c>
    </row>
    <row r="676" spans="1:58" hidden="1" x14ac:dyDescent="0.2">
      <c r="A676">
        <v>675</v>
      </c>
      <c r="B676" t="s">
        <v>0</v>
      </c>
      <c r="C676">
        <v>28</v>
      </c>
      <c r="D676" t="s">
        <v>1</v>
      </c>
      <c r="E676" t="s">
        <v>2</v>
      </c>
      <c r="F676" t="s">
        <v>3</v>
      </c>
      <c r="G676" t="s">
        <v>4</v>
      </c>
      <c r="H676" t="s">
        <v>118</v>
      </c>
      <c r="I676" t="s">
        <v>115</v>
      </c>
      <c r="J676" t="s">
        <v>6</v>
      </c>
      <c r="K676" t="s">
        <v>7</v>
      </c>
      <c r="L676">
        <v>2.2000000000000002</v>
      </c>
      <c r="M676">
        <v>6.8</v>
      </c>
      <c r="N676" t="s">
        <v>39</v>
      </c>
      <c r="O676" t="s">
        <v>7</v>
      </c>
      <c r="P676" t="s">
        <v>121</v>
      </c>
      <c r="Q676">
        <v>13</v>
      </c>
      <c r="R676">
        <v>2</v>
      </c>
      <c r="S676">
        <v>26.5</v>
      </c>
      <c r="T676">
        <v>137</v>
      </c>
      <c r="U676">
        <v>69</v>
      </c>
      <c r="V676">
        <v>8137</v>
      </c>
      <c r="W676">
        <v>41.9</v>
      </c>
      <c r="X676">
        <v>2</v>
      </c>
      <c r="Y676">
        <v>6</v>
      </c>
      <c r="Z676">
        <v>10</v>
      </c>
      <c r="AA676">
        <v>4.9000000000000004</v>
      </c>
      <c r="AB676">
        <v>3</v>
      </c>
      <c r="AC676">
        <v>228</v>
      </c>
      <c r="AD676">
        <v>7</v>
      </c>
      <c r="AE676">
        <v>9</v>
      </c>
      <c r="AF676">
        <v>250</v>
      </c>
      <c r="AG676">
        <v>129</v>
      </c>
      <c r="AH676">
        <v>133</v>
      </c>
      <c r="AI676">
        <v>53</v>
      </c>
      <c r="AJ676">
        <v>36</v>
      </c>
      <c r="AK676">
        <v>37</v>
      </c>
      <c r="AL676">
        <v>16</v>
      </c>
      <c r="AM676">
        <v>5</v>
      </c>
      <c r="AN676">
        <v>133</v>
      </c>
      <c r="AO676">
        <v>45</v>
      </c>
      <c r="AP676">
        <v>51</v>
      </c>
      <c r="AQ676">
        <v>75</v>
      </c>
      <c r="AR676">
        <v>1721</v>
      </c>
      <c r="AS676">
        <v>4276</v>
      </c>
      <c r="AT676" t="s">
        <v>13</v>
      </c>
      <c r="AU676">
        <v>0.96</v>
      </c>
      <c r="AV676">
        <v>2024</v>
      </c>
      <c r="AW676" s="1">
        <v>45815</v>
      </c>
      <c r="AX676">
        <v>32.6</v>
      </c>
      <c r="AY676" t="s">
        <v>45</v>
      </c>
      <c r="AZ676" t="s">
        <v>20</v>
      </c>
      <c r="BA676" t="s">
        <v>12</v>
      </c>
      <c r="BB676" t="s">
        <v>13</v>
      </c>
      <c r="BC676" t="s">
        <v>7</v>
      </c>
      <c r="BD676">
        <v>3</v>
      </c>
      <c r="BE676" t="s">
        <v>14</v>
      </c>
      <c r="BF676">
        <v>1.1599999999999999</v>
      </c>
    </row>
    <row r="677" spans="1:58" hidden="1" x14ac:dyDescent="0.2">
      <c r="A677">
        <v>676</v>
      </c>
      <c r="B677" t="s">
        <v>0</v>
      </c>
      <c r="C677">
        <v>51</v>
      </c>
      <c r="D677" t="s">
        <v>28</v>
      </c>
      <c r="E677" t="s">
        <v>17</v>
      </c>
      <c r="F677" t="s">
        <v>40</v>
      </c>
      <c r="G677" t="s">
        <v>38</v>
      </c>
      <c r="H677" t="s">
        <v>118</v>
      </c>
      <c r="I677" t="s">
        <v>115</v>
      </c>
      <c r="J677" t="s">
        <v>32</v>
      </c>
      <c r="K677" t="s">
        <v>7</v>
      </c>
      <c r="L677">
        <v>3.2</v>
      </c>
      <c r="M677">
        <v>4.5999999999999996</v>
      </c>
      <c r="N677" t="s">
        <v>39</v>
      </c>
      <c r="O677" t="s">
        <v>7</v>
      </c>
      <c r="P677" t="s">
        <v>26</v>
      </c>
      <c r="Q677">
        <v>2</v>
      </c>
      <c r="R677">
        <v>1</v>
      </c>
      <c r="S677">
        <v>27.2</v>
      </c>
      <c r="T677">
        <v>128</v>
      </c>
      <c r="U677">
        <v>84</v>
      </c>
      <c r="V677">
        <v>7911</v>
      </c>
      <c r="W677">
        <v>34.200000000000003</v>
      </c>
      <c r="X677">
        <v>1</v>
      </c>
      <c r="Y677">
        <v>5</v>
      </c>
      <c r="Z677">
        <v>10</v>
      </c>
      <c r="AA677">
        <v>9.4</v>
      </c>
      <c r="AB677">
        <v>7</v>
      </c>
      <c r="AC677">
        <v>96</v>
      </c>
      <c r="AD677">
        <v>9</v>
      </c>
      <c r="AE677">
        <v>5</v>
      </c>
      <c r="AF677">
        <v>82</v>
      </c>
      <c r="AG677">
        <v>56</v>
      </c>
      <c r="AH677">
        <v>70</v>
      </c>
      <c r="AI677">
        <v>19</v>
      </c>
      <c r="AJ677">
        <v>19</v>
      </c>
      <c r="AK677">
        <v>22</v>
      </c>
      <c r="AL677">
        <v>13</v>
      </c>
      <c r="AM677">
        <v>3</v>
      </c>
      <c r="AN677">
        <v>46</v>
      </c>
      <c r="AO677">
        <v>22</v>
      </c>
      <c r="AP677">
        <v>24</v>
      </c>
      <c r="AQ677">
        <v>25</v>
      </c>
      <c r="AR677">
        <v>2766</v>
      </c>
      <c r="AS677">
        <v>6317</v>
      </c>
      <c r="AT677" t="s">
        <v>13</v>
      </c>
      <c r="AU677">
        <v>0.99</v>
      </c>
      <c r="AV677">
        <v>2015</v>
      </c>
      <c r="AW677" s="1">
        <v>45716</v>
      </c>
      <c r="AX677">
        <v>10.7</v>
      </c>
      <c r="AY677" t="s">
        <v>27</v>
      </c>
      <c r="AZ677" t="s">
        <v>48</v>
      </c>
      <c r="BA677" t="s">
        <v>21</v>
      </c>
      <c r="BB677" t="s">
        <v>13</v>
      </c>
      <c r="BC677" t="s">
        <v>7</v>
      </c>
      <c r="BD677">
        <v>2</v>
      </c>
      <c r="BE677" t="s">
        <v>49</v>
      </c>
      <c r="BF677">
        <v>1.27</v>
      </c>
    </row>
    <row r="678" spans="1:58" hidden="1" x14ac:dyDescent="0.2">
      <c r="A678">
        <v>677</v>
      </c>
      <c r="B678" t="s">
        <v>0</v>
      </c>
      <c r="C678">
        <v>57</v>
      </c>
      <c r="D678" t="s">
        <v>1</v>
      </c>
      <c r="E678" t="s">
        <v>127</v>
      </c>
      <c r="F678" t="s">
        <v>15</v>
      </c>
      <c r="G678" t="s">
        <v>16</v>
      </c>
      <c r="H678" t="s">
        <v>24</v>
      </c>
      <c r="I678" t="s">
        <v>113</v>
      </c>
      <c r="J678" t="s">
        <v>123</v>
      </c>
      <c r="K678" t="s">
        <v>13</v>
      </c>
      <c r="L678">
        <v>6.8</v>
      </c>
      <c r="M678">
        <v>7.4</v>
      </c>
      <c r="N678" t="s">
        <v>25</v>
      </c>
      <c r="O678" t="s">
        <v>7</v>
      </c>
      <c r="P678" t="s">
        <v>26</v>
      </c>
      <c r="Q678">
        <v>35</v>
      </c>
      <c r="R678">
        <v>9</v>
      </c>
      <c r="S678">
        <v>25.1</v>
      </c>
      <c r="T678">
        <v>94</v>
      </c>
      <c r="U678">
        <v>69</v>
      </c>
      <c r="V678">
        <v>7908</v>
      </c>
      <c r="W678">
        <v>27.7</v>
      </c>
      <c r="X678">
        <v>2</v>
      </c>
      <c r="Y678">
        <v>2</v>
      </c>
      <c r="Z678">
        <v>8</v>
      </c>
      <c r="AA678">
        <v>2.6</v>
      </c>
      <c r="AB678">
        <v>4</v>
      </c>
      <c r="AC678">
        <v>247</v>
      </c>
      <c r="AD678">
        <v>8</v>
      </c>
      <c r="AE678">
        <v>6</v>
      </c>
      <c r="AF678">
        <v>189</v>
      </c>
      <c r="AG678">
        <v>121</v>
      </c>
      <c r="AH678">
        <v>163</v>
      </c>
      <c r="AI678">
        <v>51</v>
      </c>
      <c r="AJ678">
        <v>25</v>
      </c>
      <c r="AK678">
        <v>40</v>
      </c>
      <c r="AL678">
        <v>36</v>
      </c>
      <c r="AM678">
        <v>2</v>
      </c>
      <c r="AN678">
        <v>132</v>
      </c>
      <c r="AO678">
        <v>61</v>
      </c>
      <c r="AP678">
        <v>54</v>
      </c>
      <c r="AQ678">
        <v>97</v>
      </c>
      <c r="AR678">
        <v>59</v>
      </c>
      <c r="AS678">
        <v>130</v>
      </c>
      <c r="AT678" t="s">
        <v>7</v>
      </c>
      <c r="AU678">
        <v>0.21</v>
      </c>
      <c r="AV678">
        <v>2018</v>
      </c>
      <c r="AW678" s="1">
        <v>45761</v>
      </c>
      <c r="AX678">
        <v>30.9</v>
      </c>
      <c r="AY678" t="s">
        <v>36</v>
      </c>
      <c r="AZ678" t="s">
        <v>17</v>
      </c>
      <c r="BA678" t="s">
        <v>21</v>
      </c>
      <c r="BB678" t="s">
        <v>13</v>
      </c>
      <c r="BC678" t="s">
        <v>13</v>
      </c>
      <c r="BD678">
        <v>2</v>
      </c>
      <c r="BE678" t="s">
        <v>14</v>
      </c>
      <c r="BF678">
        <v>1.1399999999999999</v>
      </c>
    </row>
    <row r="679" spans="1:58" hidden="1" x14ac:dyDescent="0.2">
      <c r="A679">
        <v>678</v>
      </c>
      <c r="B679" t="s">
        <v>0</v>
      </c>
      <c r="C679">
        <v>65</v>
      </c>
      <c r="D679" t="s">
        <v>1</v>
      </c>
      <c r="E679" t="s">
        <v>128</v>
      </c>
      <c r="F679" t="s">
        <v>15</v>
      </c>
      <c r="G679" t="s">
        <v>117</v>
      </c>
      <c r="H679" t="s">
        <v>34</v>
      </c>
      <c r="I679" t="s">
        <v>115</v>
      </c>
      <c r="J679" t="s">
        <v>6</v>
      </c>
      <c r="K679" t="s">
        <v>13</v>
      </c>
      <c r="L679">
        <v>16.3</v>
      </c>
      <c r="M679">
        <v>8.4</v>
      </c>
      <c r="N679" t="s">
        <v>29</v>
      </c>
      <c r="O679" t="s">
        <v>13</v>
      </c>
      <c r="P679" t="s">
        <v>26</v>
      </c>
      <c r="Q679">
        <v>21</v>
      </c>
      <c r="R679">
        <v>2</v>
      </c>
      <c r="S679">
        <v>27.1</v>
      </c>
      <c r="T679">
        <v>151</v>
      </c>
      <c r="U679">
        <v>74</v>
      </c>
      <c r="V679">
        <v>8059</v>
      </c>
      <c r="W679">
        <v>34.9</v>
      </c>
      <c r="X679">
        <v>3</v>
      </c>
      <c r="Y679">
        <v>5</v>
      </c>
      <c r="Z679">
        <v>8</v>
      </c>
      <c r="AA679">
        <v>1.7</v>
      </c>
      <c r="AB679">
        <v>4</v>
      </c>
      <c r="AC679">
        <v>231</v>
      </c>
      <c r="AD679">
        <v>19</v>
      </c>
      <c r="AE679">
        <v>10</v>
      </c>
      <c r="AF679">
        <v>154</v>
      </c>
      <c r="AG679">
        <v>123</v>
      </c>
      <c r="AH679">
        <v>147</v>
      </c>
      <c r="AI679">
        <v>46</v>
      </c>
      <c r="AJ679">
        <v>27</v>
      </c>
      <c r="AK679">
        <v>43</v>
      </c>
      <c r="AL679">
        <v>30</v>
      </c>
      <c r="AM679">
        <v>7</v>
      </c>
      <c r="AN679">
        <v>118</v>
      </c>
      <c r="AO679">
        <v>53</v>
      </c>
      <c r="AP679">
        <v>42</v>
      </c>
      <c r="AQ679">
        <v>67</v>
      </c>
      <c r="AR679">
        <v>1212</v>
      </c>
      <c r="AS679">
        <v>1039</v>
      </c>
      <c r="AT679" t="s">
        <v>13</v>
      </c>
      <c r="AU679">
        <v>0.78</v>
      </c>
      <c r="AV679">
        <v>2016</v>
      </c>
      <c r="AW679" s="1">
        <v>45736</v>
      </c>
      <c r="AX679">
        <v>12.2</v>
      </c>
      <c r="AY679" t="s">
        <v>30</v>
      </c>
      <c r="AZ679" t="s">
        <v>48</v>
      </c>
      <c r="BA679" t="s">
        <v>122</v>
      </c>
      <c r="BB679" t="s">
        <v>7</v>
      </c>
      <c r="BC679" t="s">
        <v>7</v>
      </c>
      <c r="BD679">
        <v>2</v>
      </c>
      <c r="BE679" t="s">
        <v>14</v>
      </c>
      <c r="BF679">
        <v>1.1599999999999999</v>
      </c>
    </row>
    <row r="680" spans="1:58" hidden="1" x14ac:dyDescent="0.2">
      <c r="A680">
        <v>679</v>
      </c>
      <c r="B680" t="s">
        <v>0</v>
      </c>
      <c r="C680">
        <v>54</v>
      </c>
      <c r="D680" t="s">
        <v>1</v>
      </c>
      <c r="E680" t="s">
        <v>128</v>
      </c>
      <c r="F680" t="s">
        <v>40</v>
      </c>
      <c r="G680" t="s">
        <v>117</v>
      </c>
      <c r="H680" t="s">
        <v>118</v>
      </c>
      <c r="I680" t="s">
        <v>115</v>
      </c>
      <c r="J680" t="s">
        <v>32</v>
      </c>
      <c r="K680" t="s">
        <v>7</v>
      </c>
      <c r="L680">
        <v>8.8000000000000007</v>
      </c>
      <c r="M680">
        <v>6.9</v>
      </c>
      <c r="N680" t="s">
        <v>8</v>
      </c>
      <c r="O680" t="s">
        <v>7</v>
      </c>
      <c r="P680" t="s">
        <v>121</v>
      </c>
      <c r="Q680">
        <v>5</v>
      </c>
      <c r="R680">
        <v>7</v>
      </c>
      <c r="S680">
        <v>29.9</v>
      </c>
      <c r="T680">
        <v>106</v>
      </c>
      <c r="U680">
        <v>81</v>
      </c>
      <c r="V680">
        <v>8018</v>
      </c>
      <c r="W680">
        <v>32.1</v>
      </c>
      <c r="X680">
        <v>3</v>
      </c>
      <c r="Y680">
        <v>6</v>
      </c>
      <c r="Z680">
        <v>11</v>
      </c>
      <c r="AA680">
        <v>6.3</v>
      </c>
      <c r="AB680">
        <v>3</v>
      </c>
      <c r="AC680">
        <v>90</v>
      </c>
      <c r="AD680">
        <v>5</v>
      </c>
      <c r="AE680">
        <v>5</v>
      </c>
      <c r="AF680">
        <v>96</v>
      </c>
      <c r="AG680">
        <v>57</v>
      </c>
      <c r="AH680">
        <v>66</v>
      </c>
      <c r="AI680">
        <v>17</v>
      </c>
      <c r="AJ680">
        <v>18</v>
      </c>
      <c r="AK680">
        <v>27</v>
      </c>
      <c r="AL680">
        <v>15</v>
      </c>
      <c r="AM680">
        <v>3</v>
      </c>
      <c r="AN680">
        <v>50</v>
      </c>
      <c r="AO680">
        <v>24</v>
      </c>
      <c r="AP680">
        <v>18</v>
      </c>
      <c r="AQ680">
        <v>32</v>
      </c>
      <c r="AR680">
        <v>790</v>
      </c>
      <c r="AS680">
        <v>1590</v>
      </c>
      <c r="AT680" t="s">
        <v>7</v>
      </c>
      <c r="AU680">
        <v>0.27</v>
      </c>
      <c r="AV680">
        <v>2025</v>
      </c>
      <c r="AW680" s="1">
        <v>45700</v>
      </c>
      <c r="AX680">
        <v>18</v>
      </c>
      <c r="AY680" t="s">
        <v>10</v>
      </c>
      <c r="AZ680" t="s">
        <v>11</v>
      </c>
      <c r="BA680" t="s">
        <v>12</v>
      </c>
      <c r="BB680" t="s">
        <v>13</v>
      </c>
      <c r="BC680" t="s">
        <v>7</v>
      </c>
      <c r="BD680">
        <v>0</v>
      </c>
      <c r="BE680" t="s">
        <v>14</v>
      </c>
      <c r="BF680">
        <v>1.26</v>
      </c>
    </row>
    <row r="681" spans="1:58" hidden="1" x14ac:dyDescent="0.2">
      <c r="A681">
        <v>680</v>
      </c>
      <c r="B681" t="s">
        <v>0</v>
      </c>
      <c r="C681">
        <v>51</v>
      </c>
      <c r="D681" t="s">
        <v>1</v>
      </c>
      <c r="E681" t="s">
        <v>126</v>
      </c>
      <c r="F681" t="s">
        <v>15</v>
      </c>
      <c r="G681" t="s">
        <v>117</v>
      </c>
      <c r="H681" t="s">
        <v>119</v>
      </c>
      <c r="I681" t="s">
        <v>113</v>
      </c>
      <c r="J681" t="s">
        <v>6</v>
      </c>
      <c r="K681" t="s">
        <v>7</v>
      </c>
      <c r="L681">
        <v>5.9</v>
      </c>
      <c r="M681">
        <v>7.6</v>
      </c>
      <c r="N681" t="s">
        <v>120</v>
      </c>
      <c r="O681" t="s">
        <v>7</v>
      </c>
      <c r="P681" t="s">
        <v>9</v>
      </c>
      <c r="Q681">
        <v>21</v>
      </c>
      <c r="R681">
        <v>4</v>
      </c>
      <c r="S681">
        <v>19.5</v>
      </c>
      <c r="T681">
        <v>113</v>
      </c>
      <c r="U681">
        <v>75</v>
      </c>
      <c r="V681">
        <v>8080</v>
      </c>
      <c r="W681">
        <v>40.4</v>
      </c>
      <c r="X681">
        <v>2</v>
      </c>
      <c r="Y681">
        <v>6</v>
      </c>
      <c r="Z681">
        <v>14</v>
      </c>
      <c r="AA681">
        <v>0.5</v>
      </c>
      <c r="AB681">
        <v>4</v>
      </c>
      <c r="AC681">
        <v>136</v>
      </c>
      <c r="AD681">
        <v>11</v>
      </c>
      <c r="AE681">
        <v>2</v>
      </c>
      <c r="AF681">
        <v>127</v>
      </c>
      <c r="AG681">
        <v>82</v>
      </c>
      <c r="AH681">
        <v>85</v>
      </c>
      <c r="AI681">
        <v>10</v>
      </c>
      <c r="AJ681">
        <v>14</v>
      </c>
      <c r="AK681">
        <v>17</v>
      </c>
      <c r="AL681">
        <v>15</v>
      </c>
      <c r="AM681">
        <v>2</v>
      </c>
      <c r="AN681">
        <v>69</v>
      </c>
      <c r="AO681">
        <v>14</v>
      </c>
      <c r="AP681">
        <v>26</v>
      </c>
      <c r="AQ681">
        <v>46</v>
      </c>
      <c r="AR681">
        <v>274</v>
      </c>
      <c r="AS681">
        <v>442</v>
      </c>
      <c r="AT681" t="s">
        <v>7</v>
      </c>
      <c r="AU681">
        <v>0.1</v>
      </c>
      <c r="AV681">
        <v>2014</v>
      </c>
      <c r="AW681" s="1">
        <v>45864</v>
      </c>
      <c r="AX681">
        <v>12.4</v>
      </c>
      <c r="AY681" t="s">
        <v>36</v>
      </c>
      <c r="AZ681" t="s">
        <v>20</v>
      </c>
      <c r="BA681" t="s">
        <v>12</v>
      </c>
      <c r="BB681" t="s">
        <v>13</v>
      </c>
      <c r="BC681" t="s">
        <v>7</v>
      </c>
      <c r="BD681">
        <v>0</v>
      </c>
      <c r="BE681" t="s">
        <v>14</v>
      </c>
      <c r="BF681">
        <v>0.81</v>
      </c>
    </row>
    <row r="682" spans="1:58" hidden="1" x14ac:dyDescent="0.2">
      <c r="A682">
        <v>681</v>
      </c>
      <c r="B682" t="s">
        <v>0</v>
      </c>
      <c r="C682">
        <v>26</v>
      </c>
      <c r="D682" t="s">
        <v>1</v>
      </c>
      <c r="E682" t="s">
        <v>17</v>
      </c>
      <c r="F682" t="s">
        <v>3</v>
      </c>
      <c r="G682" t="s">
        <v>38</v>
      </c>
      <c r="H682" t="s">
        <v>34</v>
      </c>
      <c r="I682" t="s">
        <v>112</v>
      </c>
      <c r="J682" t="s">
        <v>123</v>
      </c>
      <c r="K682" t="s">
        <v>13</v>
      </c>
      <c r="L682">
        <v>6.5</v>
      </c>
      <c r="M682">
        <v>7.7</v>
      </c>
      <c r="N682" t="s">
        <v>29</v>
      </c>
      <c r="O682" t="s">
        <v>7</v>
      </c>
      <c r="P682" t="s">
        <v>9</v>
      </c>
      <c r="Q682">
        <v>34</v>
      </c>
      <c r="R682">
        <v>4</v>
      </c>
      <c r="S682">
        <v>26.9</v>
      </c>
      <c r="T682">
        <v>155</v>
      </c>
      <c r="U682">
        <v>80</v>
      </c>
      <c r="V682">
        <v>7937</v>
      </c>
      <c r="W682">
        <v>56</v>
      </c>
      <c r="X682">
        <v>2</v>
      </c>
      <c r="Y682">
        <v>6</v>
      </c>
      <c r="Z682">
        <v>9</v>
      </c>
      <c r="AA682">
        <v>6</v>
      </c>
      <c r="AB682">
        <v>3</v>
      </c>
      <c r="AC682">
        <v>338</v>
      </c>
      <c r="AD682">
        <v>23</v>
      </c>
      <c r="AE682">
        <v>7</v>
      </c>
      <c r="AF682">
        <v>300</v>
      </c>
      <c r="AG682">
        <v>150</v>
      </c>
      <c r="AH682">
        <v>173</v>
      </c>
      <c r="AI682">
        <v>60</v>
      </c>
      <c r="AJ682">
        <v>46</v>
      </c>
      <c r="AK682">
        <v>36</v>
      </c>
      <c r="AL682">
        <v>38</v>
      </c>
      <c r="AM682">
        <v>8</v>
      </c>
      <c r="AN682">
        <v>148</v>
      </c>
      <c r="AO682">
        <v>37</v>
      </c>
      <c r="AP682">
        <v>52</v>
      </c>
      <c r="AQ682">
        <v>110</v>
      </c>
      <c r="AR682">
        <v>2235</v>
      </c>
      <c r="AS682">
        <v>4924</v>
      </c>
      <c r="AT682" t="s">
        <v>7</v>
      </c>
      <c r="AU682">
        <v>0.24</v>
      </c>
      <c r="AV682">
        <v>2017</v>
      </c>
      <c r="AW682" s="1">
        <v>45842</v>
      </c>
      <c r="AX682">
        <v>14.7</v>
      </c>
      <c r="AY682" t="s">
        <v>30</v>
      </c>
      <c r="AZ682" t="s">
        <v>37</v>
      </c>
      <c r="BA682" t="s">
        <v>21</v>
      </c>
      <c r="BB682" t="s">
        <v>7</v>
      </c>
      <c r="BC682" t="s">
        <v>13</v>
      </c>
      <c r="BD682">
        <v>0</v>
      </c>
      <c r="BE682" t="s">
        <v>14</v>
      </c>
      <c r="BF682">
        <v>0.93</v>
      </c>
    </row>
    <row r="683" spans="1:58" hidden="1" x14ac:dyDescent="0.2">
      <c r="A683">
        <v>682</v>
      </c>
      <c r="B683" t="s">
        <v>0</v>
      </c>
      <c r="C683">
        <v>43</v>
      </c>
      <c r="D683" t="s">
        <v>28</v>
      </c>
      <c r="E683" t="s">
        <v>128</v>
      </c>
      <c r="F683" t="s">
        <v>15</v>
      </c>
      <c r="G683" t="s">
        <v>16</v>
      </c>
      <c r="H683" t="s">
        <v>118</v>
      </c>
      <c r="I683" t="s">
        <v>113</v>
      </c>
      <c r="J683" t="s">
        <v>18</v>
      </c>
      <c r="K683" t="s">
        <v>7</v>
      </c>
      <c r="L683">
        <v>9.3000000000000007</v>
      </c>
      <c r="M683">
        <v>7.5</v>
      </c>
      <c r="N683" t="s">
        <v>25</v>
      </c>
      <c r="O683" t="s">
        <v>7</v>
      </c>
      <c r="P683" t="s">
        <v>52</v>
      </c>
      <c r="Q683">
        <v>36</v>
      </c>
      <c r="R683">
        <v>4</v>
      </c>
      <c r="S683">
        <v>27.7</v>
      </c>
      <c r="T683">
        <v>112</v>
      </c>
      <c r="U683">
        <v>76</v>
      </c>
      <c r="V683">
        <v>7910</v>
      </c>
      <c r="W683">
        <v>46.9</v>
      </c>
      <c r="X683">
        <v>3</v>
      </c>
      <c r="Y683">
        <v>3</v>
      </c>
      <c r="Z683">
        <v>8</v>
      </c>
      <c r="AA683">
        <v>3.2</v>
      </c>
      <c r="AB683">
        <v>3</v>
      </c>
      <c r="AC683">
        <v>413</v>
      </c>
      <c r="AD683">
        <v>15</v>
      </c>
      <c r="AE683">
        <v>9</v>
      </c>
      <c r="AF683">
        <v>300</v>
      </c>
      <c r="AG683">
        <v>150</v>
      </c>
      <c r="AH683">
        <v>241</v>
      </c>
      <c r="AI683">
        <v>80</v>
      </c>
      <c r="AJ683">
        <v>53</v>
      </c>
      <c r="AK683">
        <v>64</v>
      </c>
      <c r="AL683">
        <v>34</v>
      </c>
      <c r="AM683">
        <v>10</v>
      </c>
      <c r="AN683">
        <v>173</v>
      </c>
      <c r="AO683">
        <v>106</v>
      </c>
      <c r="AP683">
        <v>69</v>
      </c>
      <c r="AQ683">
        <v>88</v>
      </c>
      <c r="AR683">
        <v>3589</v>
      </c>
      <c r="AS683">
        <v>6798</v>
      </c>
      <c r="AT683" t="s">
        <v>7</v>
      </c>
      <c r="AU683">
        <v>0.12</v>
      </c>
      <c r="AV683">
        <v>2024</v>
      </c>
      <c r="AW683" s="1">
        <v>45681</v>
      </c>
      <c r="AX683">
        <v>27.5</v>
      </c>
      <c r="AY683" t="s">
        <v>19</v>
      </c>
      <c r="AZ683" t="s">
        <v>48</v>
      </c>
      <c r="BA683" t="s">
        <v>122</v>
      </c>
      <c r="BB683" t="s">
        <v>13</v>
      </c>
      <c r="BC683" t="s">
        <v>7</v>
      </c>
      <c r="BD683">
        <v>0</v>
      </c>
      <c r="BE683" t="s">
        <v>14</v>
      </c>
      <c r="BF683">
        <v>1.03</v>
      </c>
    </row>
    <row r="684" spans="1:58" hidden="1" x14ac:dyDescent="0.2">
      <c r="A684">
        <v>683</v>
      </c>
      <c r="B684" t="s">
        <v>0</v>
      </c>
      <c r="C684">
        <v>17</v>
      </c>
      <c r="D684" t="s">
        <v>1</v>
      </c>
      <c r="E684" t="s">
        <v>2</v>
      </c>
      <c r="F684" t="s">
        <v>15</v>
      </c>
      <c r="G684" t="s">
        <v>38</v>
      </c>
      <c r="H684" t="s">
        <v>118</v>
      </c>
      <c r="I684" t="s">
        <v>114</v>
      </c>
      <c r="J684" t="s">
        <v>123</v>
      </c>
      <c r="K684" t="s">
        <v>7</v>
      </c>
      <c r="L684">
        <v>12</v>
      </c>
      <c r="M684">
        <v>8.3000000000000007</v>
      </c>
      <c r="N684" t="s">
        <v>39</v>
      </c>
      <c r="O684" t="s">
        <v>7</v>
      </c>
      <c r="P684" t="s">
        <v>9</v>
      </c>
      <c r="Q684">
        <v>26</v>
      </c>
      <c r="R684">
        <v>2</v>
      </c>
      <c r="S684">
        <v>32.4</v>
      </c>
      <c r="T684">
        <v>155</v>
      </c>
      <c r="U684">
        <v>87</v>
      </c>
      <c r="V684">
        <v>8068</v>
      </c>
      <c r="W684">
        <v>31.3</v>
      </c>
      <c r="X684">
        <v>4</v>
      </c>
      <c r="Y684">
        <v>5</v>
      </c>
      <c r="Z684">
        <v>10</v>
      </c>
      <c r="AA684">
        <v>2.7</v>
      </c>
      <c r="AB684">
        <v>4</v>
      </c>
      <c r="AC684">
        <v>287</v>
      </c>
      <c r="AD684">
        <v>9</v>
      </c>
      <c r="AE684">
        <v>11</v>
      </c>
      <c r="AF684">
        <v>300</v>
      </c>
      <c r="AG684">
        <v>133</v>
      </c>
      <c r="AH684">
        <v>170</v>
      </c>
      <c r="AI684">
        <v>37</v>
      </c>
      <c r="AJ684">
        <v>45</v>
      </c>
      <c r="AK684">
        <v>39</v>
      </c>
      <c r="AL684">
        <v>27</v>
      </c>
      <c r="AM684">
        <v>11</v>
      </c>
      <c r="AN684">
        <v>133</v>
      </c>
      <c r="AO684">
        <v>70</v>
      </c>
      <c r="AP684">
        <v>46</v>
      </c>
      <c r="AQ684">
        <v>104</v>
      </c>
      <c r="AR684">
        <v>505</v>
      </c>
      <c r="AS684">
        <v>662</v>
      </c>
      <c r="AT684" t="s">
        <v>7</v>
      </c>
      <c r="AU684">
        <v>0.13</v>
      </c>
      <c r="AV684">
        <v>2021</v>
      </c>
      <c r="AW684" s="1">
        <v>45838</v>
      </c>
      <c r="AX684">
        <v>31.9</v>
      </c>
      <c r="AY684" t="s">
        <v>27</v>
      </c>
      <c r="AZ684" t="s">
        <v>11</v>
      </c>
      <c r="BA684" t="s">
        <v>21</v>
      </c>
      <c r="BB684" t="s">
        <v>7</v>
      </c>
      <c r="BC684" t="s">
        <v>13</v>
      </c>
      <c r="BD684">
        <v>2</v>
      </c>
      <c r="BE684" t="s">
        <v>14</v>
      </c>
      <c r="BF684">
        <v>0.96</v>
      </c>
    </row>
    <row r="685" spans="1:58" hidden="1" x14ac:dyDescent="0.2">
      <c r="A685">
        <v>684</v>
      </c>
      <c r="B685" t="s">
        <v>0</v>
      </c>
      <c r="C685">
        <v>47</v>
      </c>
      <c r="D685" t="s">
        <v>1</v>
      </c>
      <c r="E685" t="s">
        <v>47</v>
      </c>
      <c r="F685" t="s">
        <v>40</v>
      </c>
      <c r="G685" t="s">
        <v>117</v>
      </c>
      <c r="H685" t="s">
        <v>118</v>
      </c>
      <c r="I685" t="s">
        <v>115</v>
      </c>
      <c r="J685" t="s">
        <v>6</v>
      </c>
      <c r="K685" t="s">
        <v>13</v>
      </c>
      <c r="L685">
        <v>13.7</v>
      </c>
      <c r="M685">
        <v>6</v>
      </c>
      <c r="N685" t="s">
        <v>25</v>
      </c>
      <c r="O685" t="s">
        <v>7</v>
      </c>
      <c r="P685" t="s">
        <v>9</v>
      </c>
      <c r="Q685">
        <v>32</v>
      </c>
      <c r="R685">
        <v>9</v>
      </c>
      <c r="S685">
        <v>26.6</v>
      </c>
      <c r="T685">
        <v>104</v>
      </c>
      <c r="U685">
        <v>94</v>
      </c>
      <c r="V685">
        <v>7919</v>
      </c>
      <c r="W685">
        <v>45.5</v>
      </c>
      <c r="X685">
        <v>1</v>
      </c>
      <c r="Y685">
        <v>1</v>
      </c>
      <c r="Z685">
        <v>12</v>
      </c>
      <c r="AA685">
        <v>0.7</v>
      </c>
      <c r="AB685">
        <v>2</v>
      </c>
      <c r="AC685">
        <v>214</v>
      </c>
      <c r="AD685">
        <v>7</v>
      </c>
      <c r="AE685">
        <v>7</v>
      </c>
      <c r="AF685">
        <v>164</v>
      </c>
      <c r="AG685">
        <v>105</v>
      </c>
      <c r="AH685">
        <v>136</v>
      </c>
      <c r="AI685">
        <v>41</v>
      </c>
      <c r="AJ685">
        <v>24</v>
      </c>
      <c r="AK685">
        <v>38</v>
      </c>
      <c r="AL685">
        <v>16</v>
      </c>
      <c r="AM685">
        <v>3</v>
      </c>
      <c r="AN685">
        <v>126</v>
      </c>
      <c r="AO685">
        <v>26</v>
      </c>
      <c r="AP685">
        <v>27</v>
      </c>
      <c r="AQ685">
        <v>54</v>
      </c>
      <c r="AR685">
        <v>589</v>
      </c>
      <c r="AS685">
        <v>762</v>
      </c>
      <c r="AT685" t="s">
        <v>7</v>
      </c>
      <c r="AU685">
        <v>0.21</v>
      </c>
      <c r="AV685">
        <v>2015</v>
      </c>
      <c r="AW685" s="1">
        <v>45820</v>
      </c>
      <c r="AX685">
        <v>30.6</v>
      </c>
      <c r="AY685" t="s">
        <v>30</v>
      </c>
      <c r="AZ685" t="s">
        <v>51</v>
      </c>
      <c r="BA685" t="s">
        <v>21</v>
      </c>
      <c r="BB685" t="s">
        <v>13</v>
      </c>
      <c r="BC685" t="s">
        <v>7</v>
      </c>
      <c r="BD685">
        <v>1</v>
      </c>
      <c r="BE685" t="s">
        <v>14</v>
      </c>
      <c r="BF685">
        <v>1.1100000000000001</v>
      </c>
    </row>
    <row r="686" spans="1:58" hidden="1" x14ac:dyDescent="0.2">
      <c r="A686">
        <v>685</v>
      </c>
      <c r="B686" t="s">
        <v>0</v>
      </c>
      <c r="C686">
        <v>35</v>
      </c>
      <c r="D686" t="s">
        <v>28</v>
      </c>
      <c r="E686" t="s">
        <v>50</v>
      </c>
      <c r="F686" t="s">
        <v>15</v>
      </c>
      <c r="G686" t="s">
        <v>16</v>
      </c>
      <c r="H686" t="s">
        <v>34</v>
      </c>
      <c r="I686" t="s">
        <v>115</v>
      </c>
      <c r="J686" t="s">
        <v>123</v>
      </c>
      <c r="K686" t="s">
        <v>13</v>
      </c>
      <c r="L686">
        <v>7.9</v>
      </c>
      <c r="M686">
        <v>6.8</v>
      </c>
      <c r="N686" t="s">
        <v>25</v>
      </c>
      <c r="O686" t="s">
        <v>7</v>
      </c>
      <c r="P686" t="s">
        <v>46</v>
      </c>
      <c r="Q686">
        <v>34</v>
      </c>
      <c r="R686">
        <v>10</v>
      </c>
      <c r="S686">
        <v>22.3</v>
      </c>
      <c r="T686">
        <v>158</v>
      </c>
      <c r="U686">
        <v>94</v>
      </c>
      <c r="V686">
        <v>8105</v>
      </c>
      <c r="W686">
        <v>68.8</v>
      </c>
      <c r="X686">
        <v>3</v>
      </c>
      <c r="Y686">
        <v>3</v>
      </c>
      <c r="Z686">
        <v>6</v>
      </c>
      <c r="AA686">
        <v>3.9</v>
      </c>
      <c r="AB686">
        <v>5</v>
      </c>
      <c r="AC686">
        <v>289</v>
      </c>
      <c r="AD686">
        <v>15</v>
      </c>
      <c r="AE686">
        <v>4</v>
      </c>
      <c r="AF686">
        <v>199</v>
      </c>
      <c r="AG686">
        <v>150</v>
      </c>
      <c r="AH686">
        <v>169</v>
      </c>
      <c r="AI686">
        <v>41</v>
      </c>
      <c r="AJ686">
        <v>44</v>
      </c>
      <c r="AK686">
        <v>55</v>
      </c>
      <c r="AL686">
        <v>25</v>
      </c>
      <c r="AM686">
        <v>9</v>
      </c>
      <c r="AN686">
        <v>140</v>
      </c>
      <c r="AO686">
        <v>73</v>
      </c>
      <c r="AP686">
        <v>51</v>
      </c>
      <c r="AQ686">
        <v>66</v>
      </c>
      <c r="AR686">
        <v>1096</v>
      </c>
      <c r="AS686">
        <v>1095</v>
      </c>
      <c r="AT686" t="s">
        <v>7</v>
      </c>
      <c r="AU686">
        <v>0.38</v>
      </c>
      <c r="AV686">
        <v>2022</v>
      </c>
      <c r="AW686" s="1">
        <v>45976</v>
      </c>
      <c r="AX686">
        <v>19.3</v>
      </c>
      <c r="AY686" t="s">
        <v>10</v>
      </c>
      <c r="AZ686" t="s">
        <v>11</v>
      </c>
      <c r="BA686" t="s">
        <v>21</v>
      </c>
      <c r="BB686" t="s">
        <v>13</v>
      </c>
      <c r="BC686" t="s">
        <v>13</v>
      </c>
      <c r="BD686">
        <v>3</v>
      </c>
      <c r="BE686" t="s">
        <v>14</v>
      </c>
      <c r="BF686">
        <v>0.91</v>
      </c>
    </row>
    <row r="687" spans="1:58" hidden="1" x14ac:dyDescent="0.2">
      <c r="A687">
        <v>686</v>
      </c>
      <c r="B687" t="s">
        <v>0</v>
      </c>
      <c r="C687">
        <v>41</v>
      </c>
      <c r="D687" t="s">
        <v>28</v>
      </c>
      <c r="E687" t="s">
        <v>22</v>
      </c>
      <c r="F687" t="s">
        <v>3</v>
      </c>
      <c r="G687" t="s">
        <v>117</v>
      </c>
      <c r="H687" t="s">
        <v>24</v>
      </c>
      <c r="I687" t="s">
        <v>112</v>
      </c>
      <c r="J687" t="s">
        <v>32</v>
      </c>
      <c r="K687" t="s">
        <v>7</v>
      </c>
      <c r="L687">
        <v>11.4</v>
      </c>
      <c r="M687">
        <v>6.1</v>
      </c>
      <c r="N687" t="s">
        <v>120</v>
      </c>
      <c r="O687" t="s">
        <v>13</v>
      </c>
      <c r="P687" t="s">
        <v>46</v>
      </c>
      <c r="Q687">
        <v>8</v>
      </c>
      <c r="R687">
        <v>6</v>
      </c>
      <c r="S687">
        <v>17.600000000000001</v>
      </c>
      <c r="T687">
        <v>90</v>
      </c>
      <c r="U687">
        <v>72</v>
      </c>
      <c r="V687">
        <v>8093</v>
      </c>
      <c r="W687">
        <v>21.4</v>
      </c>
      <c r="X687">
        <v>0</v>
      </c>
      <c r="Y687">
        <v>1</v>
      </c>
      <c r="Z687">
        <v>16</v>
      </c>
      <c r="AA687">
        <v>9.9</v>
      </c>
      <c r="AB687">
        <v>4</v>
      </c>
      <c r="AC687">
        <v>82</v>
      </c>
      <c r="AD687">
        <v>3</v>
      </c>
      <c r="AE687">
        <v>2</v>
      </c>
      <c r="AF687">
        <v>88</v>
      </c>
      <c r="AG687">
        <v>72</v>
      </c>
      <c r="AH687">
        <v>66</v>
      </c>
      <c r="AI687">
        <v>17</v>
      </c>
      <c r="AJ687">
        <v>9</v>
      </c>
      <c r="AK687">
        <v>19</v>
      </c>
      <c r="AL687">
        <v>17</v>
      </c>
      <c r="AM687">
        <v>1</v>
      </c>
      <c r="AN687">
        <v>36</v>
      </c>
      <c r="AO687">
        <v>15</v>
      </c>
      <c r="AP687">
        <v>14</v>
      </c>
      <c r="AQ687">
        <v>27</v>
      </c>
      <c r="AR687">
        <v>1060</v>
      </c>
      <c r="AS687">
        <v>1444</v>
      </c>
      <c r="AT687" t="s">
        <v>13</v>
      </c>
      <c r="AU687">
        <v>0.19</v>
      </c>
      <c r="AV687">
        <v>2011</v>
      </c>
      <c r="AW687" s="1">
        <v>45841</v>
      </c>
      <c r="AX687">
        <v>27.3</v>
      </c>
      <c r="AY687" t="s">
        <v>30</v>
      </c>
      <c r="AZ687" t="s">
        <v>51</v>
      </c>
      <c r="BA687" t="s">
        <v>12</v>
      </c>
      <c r="BB687" t="s">
        <v>13</v>
      </c>
      <c r="BC687" t="s">
        <v>7</v>
      </c>
      <c r="BD687">
        <v>3</v>
      </c>
      <c r="BE687" t="s">
        <v>14</v>
      </c>
      <c r="BF687">
        <v>1.28</v>
      </c>
    </row>
    <row r="688" spans="1:58" hidden="1" x14ac:dyDescent="0.2">
      <c r="A688">
        <v>687</v>
      </c>
      <c r="B688" t="s">
        <v>0</v>
      </c>
      <c r="C688">
        <v>55</v>
      </c>
      <c r="D688" t="s">
        <v>28</v>
      </c>
      <c r="E688" t="s">
        <v>128</v>
      </c>
      <c r="F688" t="s">
        <v>15</v>
      </c>
      <c r="G688" t="s">
        <v>117</v>
      </c>
      <c r="H688" t="s">
        <v>118</v>
      </c>
      <c r="I688" t="s">
        <v>114</v>
      </c>
      <c r="J688" t="s">
        <v>6</v>
      </c>
      <c r="K688" t="s">
        <v>13</v>
      </c>
      <c r="L688">
        <v>12.7</v>
      </c>
      <c r="M688">
        <v>8.9</v>
      </c>
      <c r="N688" t="s">
        <v>29</v>
      </c>
      <c r="O688" t="s">
        <v>7</v>
      </c>
      <c r="P688" t="s">
        <v>26</v>
      </c>
      <c r="Q688">
        <v>37</v>
      </c>
      <c r="R688">
        <v>4</v>
      </c>
      <c r="S688">
        <v>26.1</v>
      </c>
      <c r="T688">
        <v>151</v>
      </c>
      <c r="U688">
        <v>71</v>
      </c>
      <c r="V688">
        <v>8151</v>
      </c>
      <c r="W688">
        <v>53</v>
      </c>
      <c r="X688">
        <v>5</v>
      </c>
      <c r="Y688">
        <v>2</v>
      </c>
      <c r="Z688">
        <v>7</v>
      </c>
      <c r="AA688">
        <v>6.5</v>
      </c>
      <c r="AB688">
        <v>4</v>
      </c>
      <c r="AC688">
        <v>361</v>
      </c>
      <c r="AD688">
        <v>14</v>
      </c>
      <c r="AE688">
        <v>7</v>
      </c>
      <c r="AF688">
        <v>270</v>
      </c>
      <c r="AG688">
        <v>149</v>
      </c>
      <c r="AH688">
        <v>175</v>
      </c>
      <c r="AI688">
        <v>63</v>
      </c>
      <c r="AJ688">
        <v>41</v>
      </c>
      <c r="AK688">
        <v>62</v>
      </c>
      <c r="AL688">
        <v>45</v>
      </c>
      <c r="AM688">
        <v>5</v>
      </c>
      <c r="AN688">
        <v>148</v>
      </c>
      <c r="AO688">
        <v>82</v>
      </c>
      <c r="AP688">
        <v>48</v>
      </c>
      <c r="AQ688">
        <v>113</v>
      </c>
      <c r="AR688">
        <v>1752</v>
      </c>
      <c r="AS688">
        <v>3727</v>
      </c>
      <c r="AT688" t="s">
        <v>7</v>
      </c>
      <c r="AU688">
        <v>0.75</v>
      </c>
      <c r="AV688">
        <v>2022</v>
      </c>
      <c r="AW688" s="1">
        <v>46006</v>
      </c>
      <c r="AX688">
        <v>25.8</v>
      </c>
      <c r="AY688" t="s">
        <v>45</v>
      </c>
      <c r="AZ688" t="s">
        <v>35</v>
      </c>
      <c r="BA688" t="s">
        <v>122</v>
      </c>
      <c r="BB688" t="s">
        <v>13</v>
      </c>
      <c r="BC688" t="s">
        <v>7</v>
      </c>
      <c r="BD688">
        <v>5</v>
      </c>
      <c r="BE688" t="s">
        <v>49</v>
      </c>
      <c r="BF688">
        <v>0.89</v>
      </c>
    </row>
    <row r="689" spans="1:58" hidden="1" x14ac:dyDescent="0.2">
      <c r="A689">
        <v>688</v>
      </c>
      <c r="B689" t="s">
        <v>0</v>
      </c>
      <c r="C689">
        <v>23</v>
      </c>
      <c r="D689" t="s">
        <v>28</v>
      </c>
      <c r="E689" t="s">
        <v>2</v>
      </c>
      <c r="F689" t="s">
        <v>40</v>
      </c>
      <c r="G689" t="s">
        <v>16</v>
      </c>
      <c r="H689" t="s">
        <v>118</v>
      </c>
      <c r="I689" t="s">
        <v>112</v>
      </c>
      <c r="J689" t="s">
        <v>32</v>
      </c>
      <c r="K689" t="s">
        <v>7</v>
      </c>
      <c r="L689">
        <v>6</v>
      </c>
      <c r="M689">
        <v>5</v>
      </c>
      <c r="N689" t="s">
        <v>8</v>
      </c>
      <c r="O689" t="s">
        <v>7</v>
      </c>
      <c r="P689" t="s">
        <v>26</v>
      </c>
      <c r="Q689">
        <v>5</v>
      </c>
      <c r="R689">
        <v>2</v>
      </c>
      <c r="S689">
        <v>29.3</v>
      </c>
      <c r="T689">
        <v>114</v>
      </c>
      <c r="U689">
        <v>83</v>
      </c>
      <c r="V689">
        <v>8050</v>
      </c>
      <c r="W689">
        <v>43</v>
      </c>
      <c r="X689">
        <v>6</v>
      </c>
      <c r="Y689">
        <v>2</v>
      </c>
      <c r="Z689">
        <v>13</v>
      </c>
      <c r="AA689">
        <v>0.9</v>
      </c>
      <c r="AB689">
        <v>1</v>
      </c>
      <c r="AC689">
        <v>178</v>
      </c>
      <c r="AD689">
        <v>18</v>
      </c>
      <c r="AE689">
        <v>5</v>
      </c>
      <c r="AF689">
        <v>226</v>
      </c>
      <c r="AG689">
        <v>115</v>
      </c>
      <c r="AH689">
        <v>118</v>
      </c>
      <c r="AI689">
        <v>31</v>
      </c>
      <c r="AJ689">
        <v>25</v>
      </c>
      <c r="AK689">
        <v>29</v>
      </c>
      <c r="AL689">
        <v>14</v>
      </c>
      <c r="AM689">
        <v>3</v>
      </c>
      <c r="AN689">
        <v>78</v>
      </c>
      <c r="AO689">
        <v>21</v>
      </c>
      <c r="AP689">
        <v>30</v>
      </c>
      <c r="AQ689">
        <v>36</v>
      </c>
      <c r="AR689">
        <v>3337</v>
      </c>
      <c r="AS689">
        <v>6011</v>
      </c>
      <c r="AT689" t="s">
        <v>7</v>
      </c>
      <c r="AU689">
        <v>0.28999999999999998</v>
      </c>
      <c r="AV689">
        <v>2019</v>
      </c>
      <c r="AW689" s="1">
        <v>45774</v>
      </c>
      <c r="AX689">
        <v>9.9</v>
      </c>
      <c r="AY689" t="s">
        <v>45</v>
      </c>
      <c r="AZ689" t="s">
        <v>20</v>
      </c>
      <c r="BA689" t="s">
        <v>12</v>
      </c>
      <c r="BB689" t="s">
        <v>13</v>
      </c>
      <c r="BC689" t="s">
        <v>7</v>
      </c>
      <c r="BD689">
        <v>0</v>
      </c>
      <c r="BE689" t="s">
        <v>14</v>
      </c>
      <c r="BF689">
        <v>1.0900000000000001</v>
      </c>
    </row>
    <row r="690" spans="1:58" hidden="1" x14ac:dyDescent="0.2">
      <c r="A690">
        <v>689</v>
      </c>
      <c r="B690" t="s">
        <v>0</v>
      </c>
      <c r="C690">
        <v>30</v>
      </c>
      <c r="D690" t="s">
        <v>1</v>
      </c>
      <c r="E690" t="s">
        <v>17</v>
      </c>
      <c r="F690" t="s">
        <v>15</v>
      </c>
      <c r="G690" t="s">
        <v>117</v>
      </c>
      <c r="H690" t="s">
        <v>23</v>
      </c>
      <c r="I690" t="s">
        <v>114</v>
      </c>
      <c r="J690" t="s">
        <v>123</v>
      </c>
      <c r="K690" t="s">
        <v>13</v>
      </c>
      <c r="L690">
        <v>12</v>
      </c>
      <c r="M690">
        <v>7.7</v>
      </c>
      <c r="N690" t="s">
        <v>29</v>
      </c>
      <c r="O690" t="s">
        <v>7</v>
      </c>
      <c r="P690" t="s">
        <v>26</v>
      </c>
      <c r="Q690">
        <v>23</v>
      </c>
      <c r="R690">
        <v>9</v>
      </c>
      <c r="S690">
        <v>27.2</v>
      </c>
      <c r="T690">
        <v>141</v>
      </c>
      <c r="U690">
        <v>97</v>
      </c>
      <c r="V690">
        <v>7993</v>
      </c>
      <c r="W690">
        <v>34.1</v>
      </c>
      <c r="X690">
        <v>2</v>
      </c>
      <c r="Y690">
        <v>5</v>
      </c>
      <c r="Z690">
        <v>11</v>
      </c>
      <c r="AA690">
        <v>1.8</v>
      </c>
      <c r="AB690">
        <v>2</v>
      </c>
      <c r="AC690">
        <v>143</v>
      </c>
      <c r="AD690">
        <v>6</v>
      </c>
      <c r="AE690">
        <v>1</v>
      </c>
      <c r="AF690">
        <v>124</v>
      </c>
      <c r="AG690">
        <v>90</v>
      </c>
      <c r="AH690">
        <v>118</v>
      </c>
      <c r="AI690">
        <v>30</v>
      </c>
      <c r="AJ690">
        <v>24</v>
      </c>
      <c r="AK690">
        <v>24</v>
      </c>
      <c r="AL690">
        <v>12</v>
      </c>
      <c r="AM690">
        <v>6</v>
      </c>
      <c r="AN690">
        <v>63</v>
      </c>
      <c r="AO690">
        <v>15</v>
      </c>
      <c r="AP690">
        <v>24</v>
      </c>
      <c r="AQ690">
        <v>41</v>
      </c>
      <c r="AR690">
        <v>2630</v>
      </c>
      <c r="AS690">
        <v>5595</v>
      </c>
      <c r="AT690" t="s">
        <v>13</v>
      </c>
      <c r="AU690">
        <v>0.77</v>
      </c>
      <c r="AV690">
        <v>2023</v>
      </c>
      <c r="AW690" s="1">
        <v>45670</v>
      </c>
      <c r="AX690">
        <v>23.8</v>
      </c>
      <c r="AY690" t="s">
        <v>45</v>
      </c>
      <c r="AZ690" t="s">
        <v>51</v>
      </c>
      <c r="BA690" t="s">
        <v>21</v>
      </c>
      <c r="BB690" t="s">
        <v>13</v>
      </c>
      <c r="BC690" t="s">
        <v>13</v>
      </c>
      <c r="BD690">
        <v>3</v>
      </c>
      <c r="BE690" t="s">
        <v>14</v>
      </c>
      <c r="BF690">
        <v>1.26</v>
      </c>
    </row>
    <row r="691" spans="1:58" hidden="1" x14ac:dyDescent="0.2">
      <c r="A691">
        <v>690</v>
      </c>
      <c r="B691" t="s">
        <v>0</v>
      </c>
      <c r="C691">
        <v>59</v>
      </c>
      <c r="D691" t="s">
        <v>1</v>
      </c>
      <c r="E691" t="s">
        <v>128</v>
      </c>
      <c r="F691" t="s">
        <v>15</v>
      </c>
      <c r="G691" t="s">
        <v>117</v>
      </c>
      <c r="H691" t="s">
        <v>118</v>
      </c>
      <c r="I691" t="s">
        <v>114</v>
      </c>
      <c r="J691" t="s">
        <v>123</v>
      </c>
      <c r="K691" t="s">
        <v>7</v>
      </c>
      <c r="L691">
        <v>6</v>
      </c>
      <c r="M691">
        <v>8.3000000000000007</v>
      </c>
      <c r="N691" t="s">
        <v>29</v>
      </c>
      <c r="O691" t="s">
        <v>7</v>
      </c>
      <c r="P691" t="s">
        <v>9</v>
      </c>
      <c r="Q691">
        <v>30</v>
      </c>
      <c r="R691">
        <v>9</v>
      </c>
      <c r="S691">
        <v>24</v>
      </c>
      <c r="T691">
        <v>99</v>
      </c>
      <c r="U691">
        <v>80</v>
      </c>
      <c r="V691">
        <v>7977</v>
      </c>
      <c r="W691">
        <v>21.5</v>
      </c>
      <c r="X691">
        <v>3</v>
      </c>
      <c r="Y691">
        <v>5</v>
      </c>
      <c r="Z691">
        <v>6</v>
      </c>
      <c r="AA691">
        <v>0.8</v>
      </c>
      <c r="AB691">
        <v>5</v>
      </c>
      <c r="AC691">
        <v>123</v>
      </c>
      <c r="AD691">
        <v>15</v>
      </c>
      <c r="AE691">
        <v>4</v>
      </c>
      <c r="AF691">
        <v>105</v>
      </c>
      <c r="AG691">
        <v>81</v>
      </c>
      <c r="AH691">
        <v>71</v>
      </c>
      <c r="AI691">
        <v>28</v>
      </c>
      <c r="AJ691">
        <v>20</v>
      </c>
      <c r="AK691">
        <v>27</v>
      </c>
      <c r="AL691">
        <v>18</v>
      </c>
      <c r="AM691">
        <v>0</v>
      </c>
      <c r="AN691">
        <v>60</v>
      </c>
      <c r="AO691">
        <v>29</v>
      </c>
      <c r="AP691">
        <v>18</v>
      </c>
      <c r="AQ691">
        <v>25</v>
      </c>
      <c r="AR691">
        <v>1203</v>
      </c>
      <c r="AS691">
        <v>489</v>
      </c>
      <c r="AT691" t="s">
        <v>13</v>
      </c>
      <c r="AU691">
        <v>0.21</v>
      </c>
      <c r="AV691">
        <v>2012</v>
      </c>
      <c r="AW691" s="1">
        <v>45751</v>
      </c>
      <c r="AX691">
        <v>8.1999999999999993</v>
      </c>
      <c r="AY691" t="s">
        <v>36</v>
      </c>
      <c r="AZ691" t="s">
        <v>31</v>
      </c>
      <c r="BA691" t="s">
        <v>122</v>
      </c>
      <c r="BB691" t="s">
        <v>7</v>
      </c>
      <c r="BC691" t="s">
        <v>13</v>
      </c>
      <c r="BD691">
        <v>3</v>
      </c>
      <c r="BE691" t="s">
        <v>43</v>
      </c>
      <c r="BF691">
        <v>1.1200000000000001</v>
      </c>
    </row>
    <row r="692" spans="1:58" hidden="1" x14ac:dyDescent="0.2">
      <c r="A692">
        <v>691</v>
      </c>
      <c r="B692" t="s">
        <v>0</v>
      </c>
      <c r="C692">
        <v>24</v>
      </c>
      <c r="D692" t="s">
        <v>28</v>
      </c>
      <c r="E692" t="s">
        <v>47</v>
      </c>
      <c r="F692" t="s">
        <v>15</v>
      </c>
      <c r="G692" t="s">
        <v>38</v>
      </c>
      <c r="H692" t="s">
        <v>24</v>
      </c>
      <c r="I692" t="s">
        <v>112</v>
      </c>
      <c r="J692" t="s">
        <v>18</v>
      </c>
      <c r="K692" t="s">
        <v>13</v>
      </c>
      <c r="L692">
        <v>2</v>
      </c>
      <c r="M692">
        <v>7.8</v>
      </c>
      <c r="N692" t="s">
        <v>29</v>
      </c>
      <c r="O692" t="s">
        <v>7</v>
      </c>
      <c r="P692" t="s">
        <v>9</v>
      </c>
      <c r="Q692">
        <v>29</v>
      </c>
      <c r="R692">
        <v>2</v>
      </c>
      <c r="S692">
        <v>25</v>
      </c>
      <c r="T692">
        <v>155</v>
      </c>
      <c r="U692">
        <v>81</v>
      </c>
      <c r="V692">
        <v>7833</v>
      </c>
      <c r="W692">
        <v>48.8</v>
      </c>
      <c r="X692">
        <v>3</v>
      </c>
      <c r="Y692">
        <v>4</v>
      </c>
      <c r="Z692">
        <v>8</v>
      </c>
      <c r="AA692">
        <v>1.6</v>
      </c>
      <c r="AB692">
        <v>4</v>
      </c>
      <c r="AC692">
        <v>310</v>
      </c>
      <c r="AD692">
        <v>27</v>
      </c>
      <c r="AE692">
        <v>8</v>
      </c>
      <c r="AF692">
        <v>300</v>
      </c>
      <c r="AG692">
        <v>150</v>
      </c>
      <c r="AH692">
        <v>161</v>
      </c>
      <c r="AI692">
        <v>73</v>
      </c>
      <c r="AJ692">
        <v>43</v>
      </c>
      <c r="AK692">
        <v>52</v>
      </c>
      <c r="AL692">
        <v>30</v>
      </c>
      <c r="AM692">
        <v>6</v>
      </c>
      <c r="AN692">
        <v>126</v>
      </c>
      <c r="AO692">
        <v>56</v>
      </c>
      <c r="AP692">
        <v>61</v>
      </c>
      <c r="AQ692">
        <v>95</v>
      </c>
      <c r="AR692">
        <v>491</v>
      </c>
      <c r="AS692">
        <v>1058</v>
      </c>
      <c r="AT692" t="s">
        <v>7</v>
      </c>
      <c r="AU692">
        <v>0.1</v>
      </c>
      <c r="AV692">
        <v>2015</v>
      </c>
      <c r="AW692" s="1">
        <v>46002</v>
      </c>
      <c r="AX692">
        <v>11.5</v>
      </c>
      <c r="AY692" t="s">
        <v>36</v>
      </c>
      <c r="AZ692" t="s">
        <v>48</v>
      </c>
      <c r="BA692" t="s">
        <v>122</v>
      </c>
      <c r="BB692" t="s">
        <v>13</v>
      </c>
      <c r="BC692" t="s">
        <v>13</v>
      </c>
      <c r="BD692">
        <v>3</v>
      </c>
      <c r="BE692" t="s">
        <v>43</v>
      </c>
      <c r="BF692">
        <v>1.06</v>
      </c>
    </row>
    <row r="693" spans="1:58" hidden="1" x14ac:dyDescent="0.2">
      <c r="A693">
        <v>692</v>
      </c>
      <c r="B693" t="s">
        <v>0</v>
      </c>
      <c r="C693">
        <v>21</v>
      </c>
      <c r="D693" t="s">
        <v>124</v>
      </c>
      <c r="E693" t="s">
        <v>2</v>
      </c>
      <c r="F693" t="s">
        <v>15</v>
      </c>
      <c r="G693" t="s">
        <v>4</v>
      </c>
      <c r="H693" t="s">
        <v>23</v>
      </c>
      <c r="I693" t="s">
        <v>112</v>
      </c>
      <c r="J693" t="s">
        <v>6</v>
      </c>
      <c r="K693" t="s">
        <v>7</v>
      </c>
      <c r="L693">
        <v>3.1</v>
      </c>
      <c r="M693">
        <v>6.5</v>
      </c>
      <c r="N693" t="s">
        <v>29</v>
      </c>
      <c r="O693" t="s">
        <v>7</v>
      </c>
      <c r="P693" t="s">
        <v>26</v>
      </c>
      <c r="Q693">
        <v>38</v>
      </c>
      <c r="R693">
        <v>9</v>
      </c>
      <c r="S693">
        <v>22.5</v>
      </c>
      <c r="T693">
        <v>150</v>
      </c>
      <c r="U693">
        <v>76</v>
      </c>
      <c r="V693">
        <v>7985</v>
      </c>
      <c r="W693">
        <v>56.8</v>
      </c>
      <c r="X693">
        <v>2</v>
      </c>
      <c r="Y693">
        <v>2</v>
      </c>
      <c r="Z693">
        <v>8</v>
      </c>
      <c r="AA693">
        <v>10.5</v>
      </c>
      <c r="AB693">
        <v>3</v>
      </c>
      <c r="AC693">
        <v>306</v>
      </c>
      <c r="AD693">
        <v>24</v>
      </c>
      <c r="AE693">
        <v>14</v>
      </c>
      <c r="AF693">
        <v>300</v>
      </c>
      <c r="AG693">
        <v>123</v>
      </c>
      <c r="AH693">
        <v>143</v>
      </c>
      <c r="AI693">
        <v>42</v>
      </c>
      <c r="AJ693">
        <v>37</v>
      </c>
      <c r="AK693">
        <v>43</v>
      </c>
      <c r="AL693">
        <v>13</v>
      </c>
      <c r="AM693">
        <v>10</v>
      </c>
      <c r="AN693">
        <v>177</v>
      </c>
      <c r="AO693">
        <v>91</v>
      </c>
      <c r="AP693">
        <v>67</v>
      </c>
      <c r="AQ693">
        <v>79</v>
      </c>
      <c r="AR693">
        <v>1526</v>
      </c>
      <c r="AS693">
        <v>1464</v>
      </c>
      <c r="AT693" t="s">
        <v>7</v>
      </c>
      <c r="AU693">
        <v>0.99</v>
      </c>
      <c r="AV693">
        <v>2016</v>
      </c>
      <c r="AW693" s="1">
        <v>45782</v>
      </c>
      <c r="AX693">
        <v>12.8</v>
      </c>
      <c r="AY693" t="s">
        <v>30</v>
      </c>
      <c r="AZ693" t="s">
        <v>31</v>
      </c>
      <c r="BA693" t="s">
        <v>122</v>
      </c>
      <c r="BB693" t="s">
        <v>7</v>
      </c>
      <c r="BC693" t="s">
        <v>7</v>
      </c>
      <c r="BD693">
        <v>2</v>
      </c>
      <c r="BE693" t="s">
        <v>14</v>
      </c>
      <c r="BF693">
        <v>0.88</v>
      </c>
    </row>
    <row r="694" spans="1:58" hidden="1" x14ac:dyDescent="0.2">
      <c r="A694">
        <v>693</v>
      </c>
      <c r="B694" t="s">
        <v>0</v>
      </c>
      <c r="C694">
        <v>22</v>
      </c>
      <c r="D694" t="s">
        <v>28</v>
      </c>
      <c r="E694" t="s">
        <v>47</v>
      </c>
      <c r="F694" t="s">
        <v>40</v>
      </c>
      <c r="G694" t="s">
        <v>16</v>
      </c>
      <c r="H694" t="s">
        <v>118</v>
      </c>
      <c r="I694" t="s">
        <v>113</v>
      </c>
      <c r="J694" t="s">
        <v>32</v>
      </c>
      <c r="K694" t="s">
        <v>13</v>
      </c>
      <c r="L694">
        <v>7.8</v>
      </c>
      <c r="M694">
        <v>7.6</v>
      </c>
      <c r="N694" t="s">
        <v>25</v>
      </c>
      <c r="O694" t="s">
        <v>13</v>
      </c>
      <c r="P694" t="s">
        <v>26</v>
      </c>
      <c r="Q694">
        <v>14</v>
      </c>
      <c r="R694">
        <v>3</v>
      </c>
      <c r="S694">
        <v>18.2</v>
      </c>
      <c r="T694">
        <v>97</v>
      </c>
      <c r="U694">
        <v>69</v>
      </c>
      <c r="V694">
        <v>8153</v>
      </c>
      <c r="W694">
        <v>43.8</v>
      </c>
      <c r="X694">
        <v>4</v>
      </c>
      <c r="Y694">
        <v>0</v>
      </c>
      <c r="Z694">
        <v>15</v>
      </c>
      <c r="AA694">
        <v>0.1</v>
      </c>
      <c r="AB694">
        <v>5</v>
      </c>
      <c r="AC694">
        <v>174</v>
      </c>
      <c r="AD694">
        <v>6</v>
      </c>
      <c r="AE694">
        <v>3</v>
      </c>
      <c r="AF694">
        <v>220</v>
      </c>
      <c r="AG694">
        <v>125</v>
      </c>
      <c r="AH694">
        <v>115</v>
      </c>
      <c r="AI694">
        <v>38</v>
      </c>
      <c r="AJ694">
        <v>32</v>
      </c>
      <c r="AK694">
        <v>31</v>
      </c>
      <c r="AL694">
        <v>14</v>
      </c>
      <c r="AM694">
        <v>2</v>
      </c>
      <c r="AN694">
        <v>103</v>
      </c>
      <c r="AO694">
        <v>34</v>
      </c>
      <c r="AP694">
        <v>18</v>
      </c>
      <c r="AQ694">
        <v>44</v>
      </c>
      <c r="AR694">
        <v>892</v>
      </c>
      <c r="AS694">
        <v>1801</v>
      </c>
      <c r="AT694" t="s">
        <v>13</v>
      </c>
      <c r="AU694">
        <v>0.57999999999999996</v>
      </c>
      <c r="AV694">
        <v>2012</v>
      </c>
      <c r="AW694" s="1">
        <v>45872</v>
      </c>
      <c r="AX694">
        <v>29</v>
      </c>
      <c r="AY694" t="s">
        <v>45</v>
      </c>
      <c r="AZ694" t="s">
        <v>37</v>
      </c>
      <c r="BA694" t="s">
        <v>122</v>
      </c>
      <c r="BB694" t="s">
        <v>13</v>
      </c>
      <c r="BC694" t="s">
        <v>7</v>
      </c>
      <c r="BD694">
        <v>0</v>
      </c>
      <c r="BE694" t="s">
        <v>14</v>
      </c>
      <c r="BF694">
        <v>1.1399999999999999</v>
      </c>
    </row>
    <row r="695" spans="1:58" hidden="1" x14ac:dyDescent="0.2">
      <c r="A695">
        <v>694</v>
      </c>
      <c r="B695" t="s">
        <v>0</v>
      </c>
      <c r="C695">
        <v>56</v>
      </c>
      <c r="D695" t="s">
        <v>28</v>
      </c>
      <c r="E695" t="s">
        <v>2</v>
      </c>
      <c r="F695" t="s">
        <v>15</v>
      </c>
      <c r="G695" t="s">
        <v>16</v>
      </c>
      <c r="H695" t="s">
        <v>118</v>
      </c>
      <c r="I695" t="s">
        <v>112</v>
      </c>
      <c r="J695" t="s">
        <v>6</v>
      </c>
      <c r="K695" t="s">
        <v>7</v>
      </c>
      <c r="L695">
        <v>8.9</v>
      </c>
      <c r="M695">
        <v>6</v>
      </c>
      <c r="N695" t="s">
        <v>8</v>
      </c>
      <c r="O695" t="s">
        <v>7</v>
      </c>
      <c r="P695" t="s">
        <v>46</v>
      </c>
      <c r="Q695">
        <v>31</v>
      </c>
      <c r="R695">
        <v>5</v>
      </c>
      <c r="S695">
        <v>27.7</v>
      </c>
      <c r="T695">
        <v>124</v>
      </c>
      <c r="U695">
        <v>83</v>
      </c>
      <c r="V695">
        <v>7913</v>
      </c>
      <c r="W695">
        <v>34.799999999999997</v>
      </c>
      <c r="X695">
        <v>3</v>
      </c>
      <c r="Y695">
        <v>5</v>
      </c>
      <c r="Z695">
        <v>9</v>
      </c>
      <c r="AA695">
        <v>1.9</v>
      </c>
      <c r="AB695">
        <v>3</v>
      </c>
      <c r="AC695">
        <v>327</v>
      </c>
      <c r="AD695">
        <v>22</v>
      </c>
      <c r="AE695">
        <v>4</v>
      </c>
      <c r="AF695">
        <v>255</v>
      </c>
      <c r="AG695">
        <v>150</v>
      </c>
      <c r="AH695">
        <v>181</v>
      </c>
      <c r="AI695">
        <v>59</v>
      </c>
      <c r="AJ695">
        <v>44</v>
      </c>
      <c r="AK695">
        <v>44</v>
      </c>
      <c r="AL695">
        <v>29</v>
      </c>
      <c r="AM695">
        <v>2</v>
      </c>
      <c r="AN695">
        <v>181</v>
      </c>
      <c r="AO695">
        <v>44</v>
      </c>
      <c r="AP695">
        <v>59</v>
      </c>
      <c r="AQ695">
        <v>120</v>
      </c>
      <c r="AR695">
        <v>3469</v>
      </c>
      <c r="AS695">
        <v>7351</v>
      </c>
      <c r="AT695" t="s">
        <v>13</v>
      </c>
      <c r="AU695">
        <v>0.26</v>
      </c>
      <c r="AV695">
        <v>2024</v>
      </c>
      <c r="AW695" s="1">
        <v>45705</v>
      </c>
      <c r="AX695">
        <v>14.9</v>
      </c>
      <c r="AY695" t="s">
        <v>27</v>
      </c>
      <c r="AZ695" t="s">
        <v>11</v>
      </c>
      <c r="BA695" t="s">
        <v>12</v>
      </c>
      <c r="BB695" t="s">
        <v>13</v>
      </c>
      <c r="BC695" t="s">
        <v>13</v>
      </c>
      <c r="BD695">
        <v>2</v>
      </c>
      <c r="BE695" t="s">
        <v>14</v>
      </c>
      <c r="BF695">
        <v>0.95</v>
      </c>
    </row>
    <row r="696" spans="1:58" hidden="1" x14ac:dyDescent="0.2">
      <c r="A696">
        <v>695</v>
      </c>
      <c r="B696" t="s">
        <v>0</v>
      </c>
      <c r="C696">
        <v>29</v>
      </c>
      <c r="D696" t="s">
        <v>28</v>
      </c>
      <c r="E696" t="s">
        <v>47</v>
      </c>
      <c r="F696" t="s">
        <v>15</v>
      </c>
      <c r="G696" t="s">
        <v>38</v>
      </c>
      <c r="H696" t="s">
        <v>118</v>
      </c>
      <c r="I696" t="s">
        <v>115</v>
      </c>
      <c r="J696" t="s">
        <v>32</v>
      </c>
      <c r="K696" t="s">
        <v>7</v>
      </c>
      <c r="L696">
        <v>4.9000000000000004</v>
      </c>
      <c r="M696">
        <v>8</v>
      </c>
      <c r="N696" t="s">
        <v>25</v>
      </c>
      <c r="O696" t="s">
        <v>7</v>
      </c>
      <c r="P696" t="s">
        <v>9</v>
      </c>
      <c r="Q696">
        <v>17</v>
      </c>
      <c r="R696">
        <v>9</v>
      </c>
      <c r="S696">
        <v>24.7</v>
      </c>
      <c r="T696">
        <v>141</v>
      </c>
      <c r="U696">
        <v>65</v>
      </c>
      <c r="V696">
        <v>7875</v>
      </c>
      <c r="W696">
        <v>37.700000000000003</v>
      </c>
      <c r="X696">
        <v>1</v>
      </c>
      <c r="Y696">
        <v>3</v>
      </c>
      <c r="Z696">
        <v>10</v>
      </c>
      <c r="AA696">
        <v>1.9</v>
      </c>
      <c r="AB696">
        <v>3</v>
      </c>
      <c r="AC696">
        <v>88</v>
      </c>
      <c r="AD696">
        <v>3</v>
      </c>
      <c r="AE696">
        <v>2</v>
      </c>
      <c r="AF696">
        <v>191</v>
      </c>
      <c r="AG696">
        <v>55</v>
      </c>
      <c r="AH696">
        <v>73</v>
      </c>
      <c r="AI696">
        <v>19</v>
      </c>
      <c r="AJ696">
        <v>10</v>
      </c>
      <c r="AK696">
        <v>16</v>
      </c>
      <c r="AL696">
        <v>16</v>
      </c>
      <c r="AM696">
        <v>2</v>
      </c>
      <c r="AN696">
        <v>51</v>
      </c>
      <c r="AO696">
        <v>18</v>
      </c>
      <c r="AP696">
        <v>21</v>
      </c>
      <c r="AQ696">
        <v>27</v>
      </c>
      <c r="AR696">
        <v>90</v>
      </c>
      <c r="AS696">
        <v>84</v>
      </c>
      <c r="AT696" t="s">
        <v>7</v>
      </c>
      <c r="AU696">
        <v>0.1</v>
      </c>
      <c r="AV696">
        <v>2023</v>
      </c>
      <c r="AW696" s="1">
        <v>46004</v>
      </c>
      <c r="AX696">
        <v>29.3</v>
      </c>
      <c r="AY696" t="s">
        <v>45</v>
      </c>
      <c r="AZ696" t="s">
        <v>48</v>
      </c>
      <c r="BA696" t="s">
        <v>12</v>
      </c>
      <c r="BB696" t="s">
        <v>13</v>
      </c>
      <c r="BC696" t="s">
        <v>13</v>
      </c>
      <c r="BD696">
        <v>1</v>
      </c>
      <c r="BE696" t="s">
        <v>14</v>
      </c>
      <c r="BF696">
        <v>1.31</v>
      </c>
    </row>
    <row r="697" spans="1:58" hidden="1" x14ac:dyDescent="0.2">
      <c r="A697">
        <v>696</v>
      </c>
      <c r="B697" t="s">
        <v>0</v>
      </c>
      <c r="C697">
        <v>50</v>
      </c>
      <c r="D697" t="s">
        <v>1</v>
      </c>
      <c r="E697" t="s">
        <v>128</v>
      </c>
      <c r="F697" t="s">
        <v>15</v>
      </c>
      <c r="G697" t="s">
        <v>117</v>
      </c>
      <c r="H697" t="s">
        <v>118</v>
      </c>
      <c r="I697" t="s">
        <v>113</v>
      </c>
      <c r="J697" t="s">
        <v>32</v>
      </c>
      <c r="K697" t="s">
        <v>7</v>
      </c>
      <c r="L697">
        <v>10.5</v>
      </c>
      <c r="M697">
        <v>7.4</v>
      </c>
      <c r="N697" t="s">
        <v>120</v>
      </c>
      <c r="O697" t="s">
        <v>7</v>
      </c>
      <c r="P697" t="s">
        <v>9</v>
      </c>
      <c r="Q697">
        <v>17</v>
      </c>
      <c r="R697">
        <v>3</v>
      </c>
      <c r="S697">
        <v>28.3</v>
      </c>
      <c r="T697">
        <v>95</v>
      </c>
      <c r="U697">
        <v>93</v>
      </c>
      <c r="V697">
        <v>8113</v>
      </c>
      <c r="W697">
        <v>33.5</v>
      </c>
      <c r="X697">
        <v>4</v>
      </c>
      <c r="Y697">
        <v>7</v>
      </c>
      <c r="Z697">
        <v>11</v>
      </c>
      <c r="AA697">
        <v>8.9</v>
      </c>
      <c r="AB697">
        <v>3</v>
      </c>
      <c r="AC697">
        <v>238</v>
      </c>
      <c r="AD697">
        <v>8</v>
      </c>
      <c r="AE697">
        <v>11</v>
      </c>
      <c r="AF697">
        <v>174</v>
      </c>
      <c r="AG697">
        <v>125</v>
      </c>
      <c r="AH697">
        <v>129</v>
      </c>
      <c r="AI697">
        <v>43</v>
      </c>
      <c r="AJ697">
        <v>27</v>
      </c>
      <c r="AK697">
        <v>49</v>
      </c>
      <c r="AL697">
        <v>24</v>
      </c>
      <c r="AM697">
        <v>4</v>
      </c>
      <c r="AN697">
        <v>139</v>
      </c>
      <c r="AO697">
        <v>45</v>
      </c>
      <c r="AP697">
        <v>46</v>
      </c>
      <c r="AQ697">
        <v>92</v>
      </c>
      <c r="AR697">
        <v>1042</v>
      </c>
      <c r="AS697">
        <v>2395</v>
      </c>
      <c r="AT697" t="s">
        <v>7</v>
      </c>
      <c r="AU697">
        <v>0.34</v>
      </c>
      <c r="AV697">
        <v>2011</v>
      </c>
      <c r="AW697" s="1">
        <v>45885</v>
      </c>
      <c r="AX697">
        <v>29.8</v>
      </c>
      <c r="AY697" t="s">
        <v>27</v>
      </c>
      <c r="AZ697" t="s">
        <v>11</v>
      </c>
      <c r="BA697" t="s">
        <v>12</v>
      </c>
      <c r="BB697" t="s">
        <v>7</v>
      </c>
      <c r="BC697" t="s">
        <v>7</v>
      </c>
      <c r="BD697">
        <v>1</v>
      </c>
      <c r="BE697" t="s">
        <v>14</v>
      </c>
      <c r="BF697">
        <v>1.04</v>
      </c>
    </row>
    <row r="698" spans="1:58" hidden="1" x14ac:dyDescent="0.2">
      <c r="A698">
        <v>697</v>
      </c>
      <c r="B698" t="s">
        <v>0</v>
      </c>
      <c r="C698">
        <v>19</v>
      </c>
      <c r="D698" t="s">
        <v>1</v>
      </c>
      <c r="E698" t="s">
        <v>22</v>
      </c>
      <c r="F698" t="s">
        <v>15</v>
      </c>
      <c r="G698" t="s">
        <v>16</v>
      </c>
      <c r="H698" t="s">
        <v>23</v>
      </c>
      <c r="I698" t="s">
        <v>112</v>
      </c>
      <c r="J698" t="s">
        <v>32</v>
      </c>
      <c r="K698" t="s">
        <v>13</v>
      </c>
      <c r="L698">
        <v>3</v>
      </c>
      <c r="M698">
        <v>6.9</v>
      </c>
      <c r="N698" t="s">
        <v>39</v>
      </c>
      <c r="O698" t="s">
        <v>7</v>
      </c>
      <c r="P698" t="s">
        <v>26</v>
      </c>
      <c r="Q698">
        <v>33</v>
      </c>
      <c r="R698">
        <v>7</v>
      </c>
      <c r="S698">
        <v>26.5</v>
      </c>
      <c r="T698">
        <v>107</v>
      </c>
      <c r="U698">
        <v>63</v>
      </c>
      <c r="V698">
        <v>7961</v>
      </c>
      <c r="W698">
        <v>23</v>
      </c>
      <c r="X698">
        <v>2</v>
      </c>
      <c r="Y698">
        <v>1</v>
      </c>
      <c r="Z698">
        <v>10</v>
      </c>
      <c r="AA698">
        <v>3.8</v>
      </c>
      <c r="AB698">
        <v>0</v>
      </c>
      <c r="AC698">
        <v>293</v>
      </c>
      <c r="AD698">
        <v>26</v>
      </c>
      <c r="AE698">
        <v>18</v>
      </c>
      <c r="AF698">
        <v>300</v>
      </c>
      <c r="AG698">
        <v>146</v>
      </c>
      <c r="AH698">
        <v>176</v>
      </c>
      <c r="AI698">
        <v>58</v>
      </c>
      <c r="AJ698">
        <v>32</v>
      </c>
      <c r="AK698">
        <v>50</v>
      </c>
      <c r="AL698">
        <v>35</v>
      </c>
      <c r="AM698">
        <v>6</v>
      </c>
      <c r="AN698">
        <v>151</v>
      </c>
      <c r="AO698">
        <v>32</v>
      </c>
      <c r="AP698">
        <v>31</v>
      </c>
      <c r="AQ698">
        <v>76</v>
      </c>
      <c r="AR698">
        <v>253</v>
      </c>
      <c r="AS698">
        <v>348</v>
      </c>
      <c r="AT698" t="s">
        <v>7</v>
      </c>
      <c r="AU698">
        <v>0.22</v>
      </c>
      <c r="AV698">
        <v>2025</v>
      </c>
      <c r="AW698" s="1">
        <v>45930</v>
      </c>
      <c r="AX698">
        <v>11.3</v>
      </c>
      <c r="AY698" t="s">
        <v>27</v>
      </c>
      <c r="AZ698" t="s">
        <v>11</v>
      </c>
      <c r="BA698" t="s">
        <v>122</v>
      </c>
      <c r="BB698" t="s">
        <v>7</v>
      </c>
      <c r="BC698" t="s">
        <v>7</v>
      </c>
      <c r="BD698">
        <v>1</v>
      </c>
      <c r="BE698" t="s">
        <v>14</v>
      </c>
      <c r="BF698">
        <v>1.18</v>
      </c>
    </row>
    <row r="699" spans="1:58" hidden="1" x14ac:dyDescent="0.2">
      <c r="A699">
        <v>698</v>
      </c>
      <c r="B699" t="s">
        <v>0</v>
      </c>
      <c r="C699">
        <v>58</v>
      </c>
      <c r="D699" t="s">
        <v>1</v>
      </c>
      <c r="E699" t="s">
        <v>17</v>
      </c>
      <c r="F699" t="s">
        <v>15</v>
      </c>
      <c r="G699" t="s">
        <v>16</v>
      </c>
      <c r="H699" t="s">
        <v>118</v>
      </c>
      <c r="I699" t="s">
        <v>115</v>
      </c>
      <c r="J699" t="s">
        <v>32</v>
      </c>
      <c r="K699" t="s">
        <v>13</v>
      </c>
      <c r="L699">
        <v>4.0999999999999996</v>
      </c>
      <c r="M699">
        <v>5.4</v>
      </c>
      <c r="N699" t="s">
        <v>120</v>
      </c>
      <c r="O699" t="s">
        <v>7</v>
      </c>
      <c r="P699" t="s">
        <v>46</v>
      </c>
      <c r="Q699">
        <v>5</v>
      </c>
      <c r="R699">
        <v>9</v>
      </c>
      <c r="S699">
        <v>21.4</v>
      </c>
      <c r="T699">
        <v>104</v>
      </c>
      <c r="U699">
        <v>74</v>
      </c>
      <c r="V699">
        <v>7847</v>
      </c>
      <c r="W699">
        <v>32.200000000000003</v>
      </c>
      <c r="X699">
        <v>0</v>
      </c>
      <c r="Y699">
        <v>7</v>
      </c>
      <c r="Z699">
        <v>10</v>
      </c>
      <c r="AA699">
        <v>1</v>
      </c>
      <c r="AB699">
        <v>1</v>
      </c>
      <c r="AC699">
        <v>8</v>
      </c>
      <c r="AD699">
        <v>1</v>
      </c>
      <c r="AE699">
        <v>5</v>
      </c>
      <c r="AF699">
        <v>57</v>
      </c>
      <c r="AG699">
        <v>26</v>
      </c>
      <c r="AH699">
        <v>27</v>
      </c>
      <c r="AI699">
        <v>4</v>
      </c>
      <c r="AJ699">
        <v>10</v>
      </c>
      <c r="AK699">
        <v>13</v>
      </c>
      <c r="AL699">
        <v>8</v>
      </c>
      <c r="AM699">
        <v>0</v>
      </c>
      <c r="AN699">
        <v>3</v>
      </c>
      <c r="AO699">
        <v>1</v>
      </c>
      <c r="AP699">
        <v>1</v>
      </c>
      <c r="AQ699">
        <v>3</v>
      </c>
      <c r="AR699">
        <v>1804</v>
      </c>
      <c r="AS699">
        <v>3071</v>
      </c>
      <c r="AT699" t="s">
        <v>7</v>
      </c>
      <c r="AU699">
        <v>0.52</v>
      </c>
      <c r="AV699">
        <v>2010</v>
      </c>
      <c r="AW699" s="1">
        <v>45880</v>
      </c>
      <c r="AX699">
        <v>8</v>
      </c>
      <c r="AY699" t="s">
        <v>19</v>
      </c>
      <c r="AZ699" t="s">
        <v>20</v>
      </c>
      <c r="BA699" t="s">
        <v>12</v>
      </c>
      <c r="BB699" t="s">
        <v>13</v>
      </c>
      <c r="BC699" t="s">
        <v>7</v>
      </c>
      <c r="BD699">
        <v>2</v>
      </c>
      <c r="BE699" t="s">
        <v>14</v>
      </c>
      <c r="BF699">
        <v>5.56</v>
      </c>
    </row>
    <row r="700" spans="1:58" hidden="1" x14ac:dyDescent="0.2">
      <c r="A700">
        <v>699</v>
      </c>
      <c r="B700" t="s">
        <v>0</v>
      </c>
      <c r="C700">
        <v>25</v>
      </c>
      <c r="D700" t="s">
        <v>1</v>
      </c>
      <c r="E700" t="s">
        <v>17</v>
      </c>
      <c r="F700" t="s">
        <v>15</v>
      </c>
      <c r="G700" t="s">
        <v>116</v>
      </c>
      <c r="H700" t="s">
        <v>23</v>
      </c>
      <c r="I700" t="s">
        <v>115</v>
      </c>
      <c r="J700" t="s">
        <v>18</v>
      </c>
      <c r="K700" t="s">
        <v>7</v>
      </c>
      <c r="L700">
        <v>4.5</v>
      </c>
      <c r="M700">
        <v>8.1</v>
      </c>
      <c r="N700" t="s">
        <v>8</v>
      </c>
      <c r="O700" t="s">
        <v>7</v>
      </c>
      <c r="P700" t="s">
        <v>26</v>
      </c>
      <c r="Q700">
        <v>6</v>
      </c>
      <c r="R700">
        <v>5</v>
      </c>
      <c r="S700">
        <v>25</v>
      </c>
      <c r="T700">
        <v>155</v>
      </c>
      <c r="U700">
        <v>67</v>
      </c>
      <c r="V700">
        <v>8040</v>
      </c>
      <c r="W700">
        <v>37.700000000000003</v>
      </c>
      <c r="X700">
        <v>2</v>
      </c>
      <c r="Y700">
        <v>8</v>
      </c>
      <c r="Z700">
        <v>8</v>
      </c>
      <c r="AA700">
        <v>8.4</v>
      </c>
      <c r="AB700">
        <v>4</v>
      </c>
      <c r="AC700">
        <v>12</v>
      </c>
      <c r="AD700">
        <v>1</v>
      </c>
      <c r="AE700">
        <v>4</v>
      </c>
      <c r="AF700">
        <v>124</v>
      </c>
      <c r="AG700">
        <v>30</v>
      </c>
      <c r="AH700">
        <v>31</v>
      </c>
      <c r="AI700">
        <v>7</v>
      </c>
      <c r="AJ700">
        <v>13</v>
      </c>
      <c r="AK700">
        <v>7</v>
      </c>
      <c r="AL700">
        <v>6</v>
      </c>
      <c r="AM700">
        <v>1</v>
      </c>
      <c r="AN700">
        <v>6</v>
      </c>
      <c r="AO700">
        <v>3</v>
      </c>
      <c r="AP700">
        <v>2</v>
      </c>
      <c r="AQ700">
        <v>4</v>
      </c>
      <c r="AR700">
        <v>163</v>
      </c>
      <c r="AS700">
        <v>327</v>
      </c>
      <c r="AT700" t="s">
        <v>7</v>
      </c>
      <c r="AU700">
        <v>0.24</v>
      </c>
      <c r="AV700">
        <v>2012</v>
      </c>
      <c r="AW700" s="1">
        <v>45722</v>
      </c>
      <c r="AX700">
        <v>12</v>
      </c>
      <c r="AY700" t="s">
        <v>30</v>
      </c>
      <c r="AZ700" t="s">
        <v>17</v>
      </c>
      <c r="BA700" t="s">
        <v>21</v>
      </c>
      <c r="BB700" t="s">
        <v>13</v>
      </c>
      <c r="BC700" t="s">
        <v>7</v>
      </c>
      <c r="BD700">
        <v>5</v>
      </c>
      <c r="BE700" t="s">
        <v>14</v>
      </c>
      <c r="BF700">
        <v>4.38</v>
      </c>
    </row>
    <row r="701" spans="1:58" hidden="1" x14ac:dyDescent="0.2">
      <c r="A701">
        <v>700</v>
      </c>
      <c r="B701" t="s">
        <v>0</v>
      </c>
      <c r="C701">
        <v>52</v>
      </c>
      <c r="D701" t="s">
        <v>28</v>
      </c>
      <c r="E701" t="s">
        <v>42</v>
      </c>
      <c r="F701" t="s">
        <v>15</v>
      </c>
      <c r="G701" t="s">
        <v>16</v>
      </c>
      <c r="H701" t="s">
        <v>23</v>
      </c>
      <c r="I701" t="s">
        <v>112</v>
      </c>
      <c r="J701" t="s">
        <v>32</v>
      </c>
      <c r="K701" t="s">
        <v>13</v>
      </c>
      <c r="L701">
        <v>3.9</v>
      </c>
      <c r="M701">
        <v>7.9</v>
      </c>
      <c r="N701" t="s">
        <v>25</v>
      </c>
      <c r="O701" t="s">
        <v>41</v>
      </c>
      <c r="P701" t="s">
        <v>9</v>
      </c>
      <c r="Q701">
        <v>7</v>
      </c>
      <c r="R701">
        <v>9</v>
      </c>
      <c r="S701">
        <v>28.9</v>
      </c>
      <c r="T701">
        <v>147</v>
      </c>
      <c r="U701">
        <v>96</v>
      </c>
      <c r="V701">
        <v>7998</v>
      </c>
      <c r="W701">
        <v>28.6</v>
      </c>
      <c r="X701">
        <v>2</v>
      </c>
      <c r="Y701">
        <v>5</v>
      </c>
      <c r="Z701">
        <v>6</v>
      </c>
      <c r="AA701">
        <v>3.5</v>
      </c>
      <c r="AB701">
        <v>6</v>
      </c>
      <c r="AC701">
        <v>5</v>
      </c>
      <c r="AD701">
        <v>1</v>
      </c>
      <c r="AE701">
        <v>2</v>
      </c>
      <c r="AF701">
        <v>39</v>
      </c>
      <c r="AG701">
        <v>34</v>
      </c>
      <c r="AH701">
        <v>27</v>
      </c>
      <c r="AI701">
        <v>6</v>
      </c>
      <c r="AJ701">
        <v>13</v>
      </c>
      <c r="AK701">
        <v>6</v>
      </c>
      <c r="AL701">
        <v>4</v>
      </c>
      <c r="AM701">
        <v>1</v>
      </c>
      <c r="AN701">
        <v>2</v>
      </c>
      <c r="AO701">
        <v>1</v>
      </c>
      <c r="AP701">
        <v>1</v>
      </c>
      <c r="AQ701">
        <v>2</v>
      </c>
      <c r="AR701">
        <v>632</v>
      </c>
      <c r="AS701">
        <v>1292</v>
      </c>
      <c r="AT701" t="s">
        <v>13</v>
      </c>
      <c r="AU701">
        <v>0.47</v>
      </c>
      <c r="AV701">
        <v>2019</v>
      </c>
      <c r="AW701" s="1">
        <v>45755</v>
      </c>
      <c r="AX701">
        <v>5</v>
      </c>
      <c r="AY701" t="s">
        <v>27</v>
      </c>
      <c r="AZ701" t="s">
        <v>51</v>
      </c>
      <c r="BA701" t="s">
        <v>122</v>
      </c>
      <c r="BB701" t="s">
        <v>7</v>
      </c>
      <c r="BC701" t="s">
        <v>13</v>
      </c>
      <c r="BD701">
        <v>1</v>
      </c>
      <c r="BE701" t="s">
        <v>14</v>
      </c>
      <c r="BF701">
        <v>7.5</v>
      </c>
    </row>
    <row r="702" spans="1:58" hidden="1" x14ac:dyDescent="0.2">
      <c r="A702">
        <v>701</v>
      </c>
      <c r="B702" t="s">
        <v>0</v>
      </c>
      <c r="C702">
        <v>54</v>
      </c>
      <c r="D702" t="s">
        <v>124</v>
      </c>
      <c r="E702" t="s">
        <v>127</v>
      </c>
      <c r="F702" t="s">
        <v>40</v>
      </c>
      <c r="G702" t="s">
        <v>116</v>
      </c>
      <c r="H702" t="s">
        <v>118</v>
      </c>
      <c r="I702" t="s">
        <v>112</v>
      </c>
      <c r="J702" t="s">
        <v>6</v>
      </c>
      <c r="K702" t="s">
        <v>13</v>
      </c>
      <c r="L702">
        <v>3.8</v>
      </c>
      <c r="M702">
        <v>7.4</v>
      </c>
      <c r="N702" t="s">
        <v>120</v>
      </c>
      <c r="O702" t="s">
        <v>7</v>
      </c>
      <c r="P702" t="s">
        <v>9</v>
      </c>
      <c r="Q702">
        <v>28</v>
      </c>
      <c r="R702">
        <v>10</v>
      </c>
      <c r="S702">
        <v>29.9</v>
      </c>
      <c r="T702">
        <v>143</v>
      </c>
      <c r="U702">
        <v>88</v>
      </c>
      <c r="V702">
        <v>8133</v>
      </c>
      <c r="W702">
        <v>38.4</v>
      </c>
      <c r="X702">
        <v>3</v>
      </c>
      <c r="Y702">
        <v>3</v>
      </c>
      <c r="Z702">
        <v>7</v>
      </c>
      <c r="AA702">
        <v>3.3</v>
      </c>
      <c r="AB702">
        <v>6</v>
      </c>
      <c r="AC702">
        <v>225</v>
      </c>
      <c r="AD702">
        <v>13</v>
      </c>
      <c r="AE702">
        <v>13</v>
      </c>
      <c r="AF702">
        <v>171</v>
      </c>
      <c r="AG702">
        <v>128</v>
      </c>
      <c r="AH702">
        <v>125</v>
      </c>
      <c r="AI702">
        <v>38</v>
      </c>
      <c r="AJ702">
        <v>35</v>
      </c>
      <c r="AK702">
        <v>31</v>
      </c>
      <c r="AL702">
        <v>21</v>
      </c>
      <c r="AM702">
        <v>5</v>
      </c>
      <c r="AN702">
        <v>104</v>
      </c>
      <c r="AO702">
        <v>63</v>
      </c>
      <c r="AP702">
        <v>49</v>
      </c>
      <c r="AQ702">
        <v>50</v>
      </c>
      <c r="AR702">
        <v>389</v>
      </c>
      <c r="AS702">
        <v>208</v>
      </c>
      <c r="AT702" t="s">
        <v>7</v>
      </c>
      <c r="AU702">
        <v>0.16</v>
      </c>
      <c r="AV702">
        <v>2022</v>
      </c>
      <c r="AW702" s="1">
        <v>45692</v>
      </c>
      <c r="AX702">
        <v>17.3</v>
      </c>
      <c r="AY702" t="s">
        <v>27</v>
      </c>
      <c r="AZ702" t="s">
        <v>17</v>
      </c>
      <c r="BA702" t="s">
        <v>21</v>
      </c>
      <c r="BB702" t="s">
        <v>13</v>
      </c>
      <c r="BC702" t="s">
        <v>7</v>
      </c>
      <c r="BD702">
        <v>2</v>
      </c>
      <c r="BE702" t="s">
        <v>43</v>
      </c>
      <c r="BF702">
        <v>1.06</v>
      </c>
    </row>
    <row r="703" spans="1:58" hidden="1" x14ac:dyDescent="0.2">
      <c r="A703">
        <v>702</v>
      </c>
      <c r="B703" t="s">
        <v>0</v>
      </c>
      <c r="C703">
        <v>21</v>
      </c>
      <c r="D703" t="s">
        <v>1</v>
      </c>
      <c r="E703" t="s">
        <v>126</v>
      </c>
      <c r="F703" t="s">
        <v>15</v>
      </c>
      <c r="G703" t="s">
        <v>38</v>
      </c>
      <c r="H703" t="s">
        <v>118</v>
      </c>
      <c r="I703" t="s">
        <v>114</v>
      </c>
      <c r="J703" t="s">
        <v>6</v>
      </c>
      <c r="K703" t="s">
        <v>13</v>
      </c>
      <c r="L703">
        <v>7.9</v>
      </c>
      <c r="M703">
        <v>8</v>
      </c>
      <c r="N703" t="s">
        <v>120</v>
      </c>
      <c r="O703" t="s">
        <v>7</v>
      </c>
      <c r="P703" t="s">
        <v>46</v>
      </c>
      <c r="Q703">
        <v>12</v>
      </c>
      <c r="R703">
        <v>1</v>
      </c>
      <c r="S703">
        <v>31.8</v>
      </c>
      <c r="T703">
        <v>103</v>
      </c>
      <c r="U703">
        <v>95</v>
      </c>
      <c r="V703">
        <v>7931</v>
      </c>
      <c r="W703">
        <v>45.2</v>
      </c>
      <c r="X703">
        <v>6</v>
      </c>
      <c r="Y703">
        <v>5</v>
      </c>
      <c r="Z703">
        <v>24</v>
      </c>
      <c r="AA703">
        <v>2.8</v>
      </c>
      <c r="AB703">
        <v>5</v>
      </c>
      <c r="AC703">
        <v>317</v>
      </c>
      <c r="AD703">
        <v>10</v>
      </c>
      <c r="AE703">
        <v>15</v>
      </c>
      <c r="AF703">
        <v>300</v>
      </c>
      <c r="AG703">
        <v>140</v>
      </c>
      <c r="AH703">
        <v>171</v>
      </c>
      <c r="AI703">
        <v>50</v>
      </c>
      <c r="AJ703">
        <v>54</v>
      </c>
      <c r="AK703">
        <v>45</v>
      </c>
      <c r="AL703">
        <v>26</v>
      </c>
      <c r="AM703">
        <v>1</v>
      </c>
      <c r="AN703">
        <v>153</v>
      </c>
      <c r="AO703">
        <v>36</v>
      </c>
      <c r="AP703">
        <v>42</v>
      </c>
      <c r="AQ703">
        <v>106</v>
      </c>
      <c r="AR703">
        <v>673</v>
      </c>
      <c r="AS703">
        <v>868</v>
      </c>
      <c r="AT703" t="s">
        <v>7</v>
      </c>
      <c r="AU703">
        <v>0.39</v>
      </c>
      <c r="AV703">
        <v>2025</v>
      </c>
      <c r="AW703" s="1">
        <v>45688</v>
      </c>
      <c r="AX703">
        <v>31.7</v>
      </c>
      <c r="AY703" t="s">
        <v>30</v>
      </c>
      <c r="AZ703" t="s">
        <v>17</v>
      </c>
      <c r="BA703" t="s">
        <v>12</v>
      </c>
      <c r="BB703" t="s">
        <v>13</v>
      </c>
      <c r="BC703" t="s">
        <v>13</v>
      </c>
      <c r="BD703">
        <v>4</v>
      </c>
      <c r="BE703" t="s">
        <v>49</v>
      </c>
      <c r="BF703">
        <v>0.99</v>
      </c>
    </row>
    <row r="704" spans="1:58" hidden="1" x14ac:dyDescent="0.2">
      <c r="A704">
        <v>703</v>
      </c>
      <c r="B704" t="s">
        <v>0</v>
      </c>
      <c r="C704">
        <v>62</v>
      </c>
      <c r="D704" t="s">
        <v>1</v>
      </c>
      <c r="E704" t="s">
        <v>128</v>
      </c>
      <c r="F704" t="s">
        <v>15</v>
      </c>
      <c r="G704" t="s">
        <v>116</v>
      </c>
      <c r="H704" t="s">
        <v>23</v>
      </c>
      <c r="I704" t="s">
        <v>115</v>
      </c>
      <c r="J704" t="s">
        <v>123</v>
      </c>
      <c r="K704" t="s">
        <v>7</v>
      </c>
      <c r="L704">
        <v>2.6</v>
      </c>
      <c r="M704">
        <v>6.8</v>
      </c>
      <c r="N704" t="s">
        <v>29</v>
      </c>
      <c r="O704" t="s">
        <v>7</v>
      </c>
      <c r="P704" t="s">
        <v>121</v>
      </c>
      <c r="Q704">
        <v>36</v>
      </c>
      <c r="R704">
        <v>4</v>
      </c>
      <c r="S704">
        <v>25.9</v>
      </c>
      <c r="T704">
        <v>128</v>
      </c>
      <c r="U704">
        <v>78</v>
      </c>
      <c r="V704">
        <v>8246</v>
      </c>
      <c r="W704">
        <v>27.3</v>
      </c>
      <c r="X704">
        <v>4</v>
      </c>
      <c r="Y704">
        <v>5</v>
      </c>
      <c r="Z704">
        <v>8</v>
      </c>
      <c r="AA704">
        <v>4.0999999999999996</v>
      </c>
      <c r="AB704">
        <v>5</v>
      </c>
      <c r="AC704">
        <v>301</v>
      </c>
      <c r="AD704">
        <v>9</v>
      </c>
      <c r="AE704">
        <v>9</v>
      </c>
      <c r="AF704">
        <v>246</v>
      </c>
      <c r="AG704">
        <v>143</v>
      </c>
      <c r="AH704">
        <v>183</v>
      </c>
      <c r="AI704">
        <v>50</v>
      </c>
      <c r="AJ704">
        <v>43</v>
      </c>
      <c r="AK704">
        <v>40</v>
      </c>
      <c r="AL704">
        <v>34</v>
      </c>
      <c r="AM704">
        <v>6</v>
      </c>
      <c r="AN704">
        <v>139</v>
      </c>
      <c r="AO704">
        <v>85</v>
      </c>
      <c r="AP704">
        <v>69</v>
      </c>
      <c r="AQ704">
        <v>90</v>
      </c>
      <c r="AR704">
        <v>21450</v>
      </c>
      <c r="AS704">
        <v>10000</v>
      </c>
      <c r="AT704" t="s">
        <v>7</v>
      </c>
      <c r="AU704">
        <v>0.48</v>
      </c>
      <c r="AV704">
        <v>2011</v>
      </c>
      <c r="AW704" s="1">
        <v>45883</v>
      </c>
      <c r="AX704">
        <v>33.4</v>
      </c>
      <c r="AY704" t="s">
        <v>19</v>
      </c>
      <c r="AZ704" t="s">
        <v>51</v>
      </c>
      <c r="BA704" t="s">
        <v>21</v>
      </c>
      <c r="BB704" t="s">
        <v>13</v>
      </c>
      <c r="BC704" t="s">
        <v>7</v>
      </c>
      <c r="BD704">
        <v>2</v>
      </c>
      <c r="BE704" t="s">
        <v>14</v>
      </c>
      <c r="BF704">
        <v>1.03</v>
      </c>
    </row>
    <row r="705" spans="1:58" hidden="1" x14ac:dyDescent="0.2">
      <c r="A705">
        <v>704</v>
      </c>
      <c r="B705" t="s">
        <v>0</v>
      </c>
      <c r="C705">
        <v>39</v>
      </c>
      <c r="D705" t="s">
        <v>1</v>
      </c>
      <c r="E705" t="s">
        <v>126</v>
      </c>
      <c r="F705" t="s">
        <v>40</v>
      </c>
      <c r="G705" t="s">
        <v>117</v>
      </c>
      <c r="H705" t="s">
        <v>23</v>
      </c>
      <c r="I705" t="s">
        <v>112</v>
      </c>
      <c r="J705" t="s">
        <v>6</v>
      </c>
      <c r="K705" t="s">
        <v>13</v>
      </c>
      <c r="L705">
        <v>4.2</v>
      </c>
      <c r="M705">
        <v>8.4</v>
      </c>
      <c r="N705" t="s">
        <v>25</v>
      </c>
      <c r="O705" t="s">
        <v>7</v>
      </c>
      <c r="P705" t="s">
        <v>9</v>
      </c>
      <c r="Q705">
        <v>40</v>
      </c>
      <c r="R705">
        <v>10</v>
      </c>
      <c r="S705">
        <v>26.5</v>
      </c>
      <c r="T705">
        <v>91</v>
      </c>
      <c r="U705">
        <v>69</v>
      </c>
      <c r="V705">
        <v>8046</v>
      </c>
      <c r="W705">
        <v>38.5</v>
      </c>
      <c r="X705">
        <v>2</v>
      </c>
      <c r="Y705">
        <v>5</v>
      </c>
      <c r="Z705">
        <v>6</v>
      </c>
      <c r="AA705">
        <v>2.2999999999999998</v>
      </c>
      <c r="AB705">
        <v>1</v>
      </c>
      <c r="AC705">
        <v>278</v>
      </c>
      <c r="AD705">
        <v>10</v>
      </c>
      <c r="AE705">
        <v>4</v>
      </c>
      <c r="AF705">
        <v>223</v>
      </c>
      <c r="AG705">
        <v>135</v>
      </c>
      <c r="AH705">
        <v>173</v>
      </c>
      <c r="AI705">
        <v>46</v>
      </c>
      <c r="AJ705">
        <v>29</v>
      </c>
      <c r="AK705">
        <v>39</v>
      </c>
      <c r="AL705">
        <v>39</v>
      </c>
      <c r="AM705">
        <v>6</v>
      </c>
      <c r="AN705">
        <v>113</v>
      </c>
      <c r="AO705">
        <v>39</v>
      </c>
      <c r="AP705">
        <v>64</v>
      </c>
      <c r="AQ705">
        <v>88</v>
      </c>
      <c r="AR705">
        <v>433</v>
      </c>
      <c r="AS705">
        <v>288</v>
      </c>
      <c r="AT705" t="s">
        <v>7</v>
      </c>
      <c r="AU705">
        <v>0.85</v>
      </c>
      <c r="AV705">
        <v>2017</v>
      </c>
      <c r="AW705" s="1">
        <v>45859</v>
      </c>
      <c r="AX705">
        <v>27.8</v>
      </c>
      <c r="AY705" t="s">
        <v>30</v>
      </c>
      <c r="AZ705" t="s">
        <v>37</v>
      </c>
      <c r="BA705" t="s">
        <v>21</v>
      </c>
      <c r="BB705" t="s">
        <v>13</v>
      </c>
      <c r="BC705" t="s">
        <v>7</v>
      </c>
      <c r="BD705">
        <v>3</v>
      </c>
      <c r="BE705" t="s">
        <v>14</v>
      </c>
      <c r="BF705">
        <v>0.99</v>
      </c>
    </row>
    <row r="706" spans="1:58" hidden="1" x14ac:dyDescent="0.2">
      <c r="A706">
        <v>705</v>
      </c>
      <c r="B706" t="s">
        <v>0</v>
      </c>
      <c r="C706">
        <v>14</v>
      </c>
      <c r="D706" t="s">
        <v>28</v>
      </c>
      <c r="E706" t="s">
        <v>127</v>
      </c>
      <c r="F706" t="s">
        <v>40</v>
      </c>
      <c r="G706" t="s">
        <v>117</v>
      </c>
      <c r="H706" t="s">
        <v>118</v>
      </c>
      <c r="I706" t="s">
        <v>114</v>
      </c>
      <c r="J706" t="s">
        <v>6</v>
      </c>
      <c r="K706" t="s">
        <v>7</v>
      </c>
      <c r="L706">
        <v>8.1</v>
      </c>
      <c r="M706">
        <v>6</v>
      </c>
      <c r="N706" t="s">
        <v>8</v>
      </c>
      <c r="O706" t="s">
        <v>7</v>
      </c>
      <c r="P706" t="s">
        <v>26</v>
      </c>
      <c r="Q706">
        <v>32</v>
      </c>
      <c r="R706">
        <v>10</v>
      </c>
      <c r="S706">
        <v>22.7</v>
      </c>
      <c r="T706">
        <v>95</v>
      </c>
      <c r="U706">
        <v>74</v>
      </c>
      <c r="V706">
        <v>8011</v>
      </c>
      <c r="W706">
        <v>41.3</v>
      </c>
      <c r="X706">
        <v>3</v>
      </c>
      <c r="Y706">
        <v>2</v>
      </c>
      <c r="Z706">
        <v>10</v>
      </c>
      <c r="AA706">
        <v>8.3000000000000007</v>
      </c>
      <c r="AB706">
        <v>2</v>
      </c>
      <c r="AC706">
        <v>293</v>
      </c>
      <c r="AD706">
        <v>11</v>
      </c>
      <c r="AE706">
        <v>11</v>
      </c>
      <c r="AF706">
        <v>274</v>
      </c>
      <c r="AG706">
        <v>149</v>
      </c>
      <c r="AH706">
        <v>167</v>
      </c>
      <c r="AI706">
        <v>51</v>
      </c>
      <c r="AJ706">
        <v>33</v>
      </c>
      <c r="AK706">
        <v>35</v>
      </c>
      <c r="AL706">
        <v>29</v>
      </c>
      <c r="AM706">
        <v>11</v>
      </c>
      <c r="AN706">
        <v>140</v>
      </c>
      <c r="AO706">
        <v>63</v>
      </c>
      <c r="AP706">
        <v>47</v>
      </c>
      <c r="AQ706">
        <v>114</v>
      </c>
      <c r="AR706">
        <v>2647</v>
      </c>
      <c r="AS706">
        <v>1432</v>
      </c>
      <c r="AT706" t="s">
        <v>7</v>
      </c>
      <c r="AU706">
        <v>0.83</v>
      </c>
      <c r="AV706">
        <v>2012</v>
      </c>
      <c r="AW706" s="1">
        <v>45909</v>
      </c>
      <c r="AX706">
        <v>26.6</v>
      </c>
      <c r="AY706" t="s">
        <v>30</v>
      </c>
      <c r="AZ706" t="s">
        <v>51</v>
      </c>
      <c r="BA706" t="s">
        <v>122</v>
      </c>
      <c r="BB706" t="s">
        <v>13</v>
      </c>
      <c r="BC706" t="s">
        <v>7</v>
      </c>
      <c r="BD706">
        <v>2</v>
      </c>
      <c r="BE706" t="s">
        <v>14</v>
      </c>
      <c r="BF706">
        <v>1.03</v>
      </c>
    </row>
    <row r="707" spans="1:58" hidden="1" x14ac:dyDescent="0.2">
      <c r="A707">
        <v>706</v>
      </c>
      <c r="B707" t="s">
        <v>0</v>
      </c>
      <c r="C707">
        <v>17</v>
      </c>
      <c r="D707" t="s">
        <v>28</v>
      </c>
      <c r="E707" t="s">
        <v>2</v>
      </c>
      <c r="F707" t="s">
        <v>15</v>
      </c>
      <c r="G707" t="s">
        <v>117</v>
      </c>
      <c r="H707" t="s">
        <v>118</v>
      </c>
      <c r="I707" t="s">
        <v>112</v>
      </c>
      <c r="J707" t="s">
        <v>6</v>
      </c>
      <c r="K707" t="s">
        <v>7</v>
      </c>
      <c r="L707">
        <v>6</v>
      </c>
      <c r="M707">
        <v>9.4</v>
      </c>
      <c r="N707" t="s">
        <v>8</v>
      </c>
      <c r="O707" t="s">
        <v>7</v>
      </c>
      <c r="P707" t="s">
        <v>121</v>
      </c>
      <c r="Q707">
        <v>25</v>
      </c>
      <c r="R707">
        <v>9</v>
      </c>
      <c r="S707">
        <v>23.6</v>
      </c>
      <c r="T707">
        <v>94</v>
      </c>
      <c r="U707">
        <v>62</v>
      </c>
      <c r="V707">
        <v>7988</v>
      </c>
      <c r="W707">
        <v>61.9</v>
      </c>
      <c r="X707">
        <v>0</v>
      </c>
      <c r="Y707">
        <v>4</v>
      </c>
      <c r="Z707">
        <v>11</v>
      </c>
      <c r="AA707">
        <v>3.7</v>
      </c>
      <c r="AB707">
        <v>3</v>
      </c>
      <c r="AC707">
        <v>257</v>
      </c>
      <c r="AD707">
        <v>9</v>
      </c>
      <c r="AE707">
        <v>12</v>
      </c>
      <c r="AF707">
        <v>282</v>
      </c>
      <c r="AG707">
        <v>125</v>
      </c>
      <c r="AH707">
        <v>121</v>
      </c>
      <c r="AI707">
        <v>46</v>
      </c>
      <c r="AJ707">
        <v>37</v>
      </c>
      <c r="AK707">
        <v>39</v>
      </c>
      <c r="AL707">
        <v>23</v>
      </c>
      <c r="AM707">
        <v>5</v>
      </c>
      <c r="AN707">
        <v>130</v>
      </c>
      <c r="AO707">
        <v>60</v>
      </c>
      <c r="AP707">
        <v>39</v>
      </c>
      <c r="AQ707">
        <v>89</v>
      </c>
      <c r="AR707">
        <v>2843</v>
      </c>
      <c r="AS707">
        <v>4127</v>
      </c>
      <c r="AT707" t="s">
        <v>7</v>
      </c>
      <c r="AU707">
        <v>0.97</v>
      </c>
      <c r="AV707">
        <v>2013</v>
      </c>
      <c r="AW707" s="1">
        <v>45858</v>
      </c>
      <c r="AX707">
        <v>28.6</v>
      </c>
      <c r="AY707" t="s">
        <v>19</v>
      </c>
      <c r="AZ707" t="s">
        <v>11</v>
      </c>
      <c r="BA707" t="s">
        <v>12</v>
      </c>
      <c r="BB707" t="s">
        <v>13</v>
      </c>
      <c r="BC707" t="s">
        <v>7</v>
      </c>
      <c r="BD707">
        <v>0</v>
      </c>
      <c r="BE707" t="s">
        <v>14</v>
      </c>
      <c r="BF707">
        <v>0.97</v>
      </c>
    </row>
    <row r="708" spans="1:58" hidden="1" x14ac:dyDescent="0.2">
      <c r="A708">
        <v>707</v>
      </c>
      <c r="B708" t="s">
        <v>0</v>
      </c>
      <c r="C708">
        <v>41</v>
      </c>
      <c r="D708" t="s">
        <v>1</v>
      </c>
      <c r="E708" t="s">
        <v>2</v>
      </c>
      <c r="F708" t="s">
        <v>15</v>
      </c>
      <c r="G708" t="s">
        <v>117</v>
      </c>
      <c r="H708" t="s">
        <v>23</v>
      </c>
      <c r="I708" t="s">
        <v>112</v>
      </c>
      <c r="J708" t="s">
        <v>123</v>
      </c>
      <c r="K708" t="s">
        <v>7</v>
      </c>
      <c r="L708">
        <v>4.0999999999999996</v>
      </c>
      <c r="M708">
        <v>8.3000000000000007</v>
      </c>
      <c r="N708" t="s">
        <v>8</v>
      </c>
      <c r="O708" t="s">
        <v>7</v>
      </c>
      <c r="P708" t="s">
        <v>46</v>
      </c>
      <c r="Q708">
        <v>22</v>
      </c>
      <c r="R708">
        <v>9</v>
      </c>
      <c r="S708">
        <v>24</v>
      </c>
      <c r="T708">
        <v>102</v>
      </c>
      <c r="U708">
        <v>99</v>
      </c>
      <c r="V708">
        <v>8000</v>
      </c>
      <c r="W708">
        <v>45.2</v>
      </c>
      <c r="X708">
        <v>5</v>
      </c>
      <c r="Y708">
        <v>3</v>
      </c>
      <c r="Z708">
        <v>11</v>
      </c>
      <c r="AA708">
        <v>2.4</v>
      </c>
      <c r="AB708">
        <v>4</v>
      </c>
      <c r="AC708">
        <v>151</v>
      </c>
      <c r="AD708">
        <v>19</v>
      </c>
      <c r="AE708">
        <v>1</v>
      </c>
      <c r="AF708">
        <v>140</v>
      </c>
      <c r="AG708">
        <v>88</v>
      </c>
      <c r="AH708">
        <v>101</v>
      </c>
      <c r="AI708">
        <v>31</v>
      </c>
      <c r="AJ708">
        <v>25</v>
      </c>
      <c r="AK708">
        <v>21</v>
      </c>
      <c r="AL708">
        <v>17</v>
      </c>
      <c r="AM708">
        <v>8</v>
      </c>
      <c r="AN708">
        <v>74</v>
      </c>
      <c r="AO708">
        <v>24</v>
      </c>
      <c r="AP708">
        <v>31</v>
      </c>
      <c r="AQ708">
        <v>57</v>
      </c>
      <c r="AR708">
        <v>686</v>
      </c>
      <c r="AS708">
        <v>1595</v>
      </c>
      <c r="AT708" t="s">
        <v>13</v>
      </c>
      <c r="AU708">
        <v>0.79</v>
      </c>
      <c r="AV708">
        <v>2015</v>
      </c>
      <c r="AW708" s="1">
        <v>45981</v>
      </c>
      <c r="AX708">
        <v>7.9</v>
      </c>
      <c r="AY708" t="s">
        <v>45</v>
      </c>
      <c r="AZ708" t="s">
        <v>35</v>
      </c>
      <c r="BA708" t="s">
        <v>122</v>
      </c>
      <c r="BB708" t="s">
        <v>13</v>
      </c>
      <c r="BC708" t="s">
        <v>7</v>
      </c>
      <c r="BD708">
        <v>2</v>
      </c>
      <c r="BE708" t="s">
        <v>43</v>
      </c>
      <c r="BF708">
        <v>1.0900000000000001</v>
      </c>
    </row>
    <row r="709" spans="1:58" hidden="1" x14ac:dyDescent="0.2">
      <c r="A709">
        <v>708</v>
      </c>
      <c r="B709" t="s">
        <v>0</v>
      </c>
      <c r="C709">
        <v>49</v>
      </c>
      <c r="D709" t="s">
        <v>1</v>
      </c>
      <c r="E709" t="s">
        <v>47</v>
      </c>
      <c r="F709" t="s">
        <v>40</v>
      </c>
      <c r="G709" t="s">
        <v>38</v>
      </c>
      <c r="H709" t="s">
        <v>119</v>
      </c>
      <c r="I709" t="s">
        <v>112</v>
      </c>
      <c r="J709" t="s">
        <v>6</v>
      </c>
      <c r="K709" t="s">
        <v>13</v>
      </c>
      <c r="L709">
        <v>1.2</v>
      </c>
      <c r="M709">
        <v>6.3</v>
      </c>
      <c r="N709" t="s">
        <v>8</v>
      </c>
      <c r="O709" t="s">
        <v>7</v>
      </c>
      <c r="P709" t="s">
        <v>46</v>
      </c>
      <c r="Q709">
        <v>32</v>
      </c>
      <c r="R709">
        <v>7</v>
      </c>
      <c r="S709">
        <v>21.9</v>
      </c>
      <c r="T709">
        <v>96</v>
      </c>
      <c r="U709">
        <v>67</v>
      </c>
      <c r="V709">
        <v>8039</v>
      </c>
      <c r="W709">
        <v>22.8</v>
      </c>
      <c r="X709">
        <v>3</v>
      </c>
      <c r="Y709">
        <v>1</v>
      </c>
      <c r="Z709">
        <v>17</v>
      </c>
      <c r="AA709">
        <v>2.4</v>
      </c>
      <c r="AB709">
        <v>2</v>
      </c>
      <c r="AC709">
        <v>254</v>
      </c>
      <c r="AD709">
        <v>14</v>
      </c>
      <c r="AE709">
        <v>8</v>
      </c>
      <c r="AF709">
        <v>188</v>
      </c>
      <c r="AG709">
        <v>141</v>
      </c>
      <c r="AH709">
        <v>156</v>
      </c>
      <c r="AI709">
        <v>55</v>
      </c>
      <c r="AJ709">
        <v>29</v>
      </c>
      <c r="AK709">
        <v>50</v>
      </c>
      <c r="AL709">
        <v>26</v>
      </c>
      <c r="AM709">
        <v>5</v>
      </c>
      <c r="AN709">
        <v>110</v>
      </c>
      <c r="AO709">
        <v>68</v>
      </c>
      <c r="AP709">
        <v>51</v>
      </c>
      <c r="AQ709">
        <v>93</v>
      </c>
      <c r="AR709">
        <v>1377</v>
      </c>
      <c r="AS709">
        <v>3048</v>
      </c>
      <c r="AT709" t="s">
        <v>7</v>
      </c>
      <c r="AU709">
        <v>0.2</v>
      </c>
      <c r="AV709">
        <v>2020</v>
      </c>
      <c r="AW709" s="1">
        <v>45771</v>
      </c>
      <c r="AX709">
        <v>18.100000000000001</v>
      </c>
      <c r="AY709" t="s">
        <v>19</v>
      </c>
      <c r="AZ709" t="s">
        <v>17</v>
      </c>
      <c r="BA709" t="s">
        <v>21</v>
      </c>
      <c r="BB709" t="s">
        <v>13</v>
      </c>
      <c r="BC709" t="s">
        <v>13</v>
      </c>
      <c r="BD709">
        <v>3</v>
      </c>
      <c r="BE709" t="s">
        <v>14</v>
      </c>
      <c r="BF709">
        <v>1.1399999999999999</v>
      </c>
    </row>
    <row r="710" spans="1:58" hidden="1" x14ac:dyDescent="0.2">
      <c r="A710">
        <v>709</v>
      </c>
      <c r="B710" t="s">
        <v>0</v>
      </c>
      <c r="C710">
        <v>50</v>
      </c>
      <c r="D710" t="s">
        <v>1</v>
      </c>
      <c r="E710" t="s">
        <v>127</v>
      </c>
      <c r="F710" t="s">
        <v>15</v>
      </c>
      <c r="G710" t="s">
        <v>16</v>
      </c>
      <c r="H710" t="s">
        <v>118</v>
      </c>
      <c r="I710" t="s">
        <v>115</v>
      </c>
      <c r="J710" t="s">
        <v>6</v>
      </c>
      <c r="K710" t="s">
        <v>7</v>
      </c>
      <c r="L710">
        <v>3.6</v>
      </c>
      <c r="M710">
        <v>7.8</v>
      </c>
      <c r="N710" t="s">
        <v>29</v>
      </c>
      <c r="O710" t="s">
        <v>7</v>
      </c>
      <c r="P710" t="s">
        <v>9</v>
      </c>
      <c r="Q710">
        <v>1</v>
      </c>
      <c r="R710">
        <v>6</v>
      </c>
      <c r="S710">
        <v>25.5</v>
      </c>
      <c r="T710">
        <v>133</v>
      </c>
      <c r="U710">
        <v>71</v>
      </c>
      <c r="V710">
        <v>8085</v>
      </c>
      <c r="W710">
        <v>36.1</v>
      </c>
      <c r="X710">
        <v>1</v>
      </c>
      <c r="Y710">
        <v>4</v>
      </c>
      <c r="Z710">
        <v>9</v>
      </c>
      <c r="AA710">
        <v>7</v>
      </c>
      <c r="AB710">
        <v>5</v>
      </c>
      <c r="AC710">
        <v>5</v>
      </c>
      <c r="AD710">
        <v>1</v>
      </c>
      <c r="AE710">
        <v>2</v>
      </c>
      <c r="AF710">
        <v>47</v>
      </c>
      <c r="AG710">
        <v>33</v>
      </c>
      <c r="AH710">
        <v>26</v>
      </c>
      <c r="AI710">
        <v>7</v>
      </c>
      <c r="AJ710">
        <v>16</v>
      </c>
      <c r="AK710">
        <v>8</v>
      </c>
      <c r="AL710">
        <v>5</v>
      </c>
      <c r="AM710">
        <v>2</v>
      </c>
      <c r="AN710">
        <v>2</v>
      </c>
      <c r="AO710">
        <v>1</v>
      </c>
      <c r="AP710">
        <v>1</v>
      </c>
      <c r="AQ710">
        <v>2</v>
      </c>
      <c r="AR710">
        <v>3505</v>
      </c>
      <c r="AS710">
        <v>1723</v>
      </c>
      <c r="AT710" t="s">
        <v>7</v>
      </c>
      <c r="AU710">
        <v>0.19</v>
      </c>
      <c r="AV710">
        <v>2018</v>
      </c>
      <c r="AW710" s="1">
        <v>45890</v>
      </c>
      <c r="AX710">
        <v>5</v>
      </c>
      <c r="AY710" t="s">
        <v>27</v>
      </c>
      <c r="AZ710" t="s">
        <v>51</v>
      </c>
      <c r="BA710" t="s">
        <v>12</v>
      </c>
      <c r="BB710" t="s">
        <v>13</v>
      </c>
      <c r="BC710" t="s">
        <v>13</v>
      </c>
      <c r="BD710">
        <v>3</v>
      </c>
      <c r="BE710" t="s">
        <v>14</v>
      </c>
      <c r="BF710">
        <v>7.67</v>
      </c>
    </row>
    <row r="711" spans="1:58" hidden="1" x14ac:dyDescent="0.2">
      <c r="A711">
        <v>710</v>
      </c>
      <c r="B711" t="s">
        <v>0</v>
      </c>
      <c r="C711">
        <v>31</v>
      </c>
      <c r="D711" t="s">
        <v>28</v>
      </c>
      <c r="E711" t="s">
        <v>42</v>
      </c>
      <c r="F711" t="s">
        <v>40</v>
      </c>
      <c r="G711" t="s">
        <v>117</v>
      </c>
      <c r="H711" t="s">
        <v>23</v>
      </c>
      <c r="I711" t="s">
        <v>114</v>
      </c>
      <c r="J711" t="s">
        <v>123</v>
      </c>
      <c r="K711" t="s">
        <v>13</v>
      </c>
      <c r="L711">
        <v>3.8</v>
      </c>
      <c r="M711">
        <v>6.4</v>
      </c>
      <c r="N711" t="s">
        <v>29</v>
      </c>
      <c r="O711" t="s">
        <v>41</v>
      </c>
      <c r="P711" t="s">
        <v>46</v>
      </c>
      <c r="Q711">
        <v>21</v>
      </c>
      <c r="R711">
        <v>7</v>
      </c>
      <c r="S711">
        <v>24.6</v>
      </c>
      <c r="T711">
        <v>154</v>
      </c>
      <c r="U711">
        <v>62</v>
      </c>
      <c r="V711">
        <v>7935</v>
      </c>
      <c r="W711">
        <v>43.1</v>
      </c>
      <c r="X711">
        <v>4</v>
      </c>
      <c r="Y711">
        <v>5</v>
      </c>
      <c r="Z711">
        <v>11</v>
      </c>
      <c r="AA711">
        <v>6</v>
      </c>
      <c r="AB711">
        <v>2</v>
      </c>
      <c r="AC711">
        <v>232</v>
      </c>
      <c r="AD711">
        <v>8</v>
      </c>
      <c r="AE711">
        <v>5</v>
      </c>
      <c r="AF711">
        <v>162</v>
      </c>
      <c r="AG711">
        <v>115</v>
      </c>
      <c r="AH711">
        <v>133</v>
      </c>
      <c r="AI711">
        <v>37</v>
      </c>
      <c r="AJ711">
        <v>22</v>
      </c>
      <c r="AK711">
        <v>26</v>
      </c>
      <c r="AL711">
        <v>23</v>
      </c>
      <c r="AM711">
        <v>5</v>
      </c>
      <c r="AN711">
        <v>134</v>
      </c>
      <c r="AO711">
        <v>46</v>
      </c>
      <c r="AP711">
        <v>46</v>
      </c>
      <c r="AQ711">
        <v>73</v>
      </c>
      <c r="AR711">
        <v>348</v>
      </c>
      <c r="AS711">
        <v>837</v>
      </c>
      <c r="AT711" t="s">
        <v>7</v>
      </c>
      <c r="AU711">
        <v>0.6</v>
      </c>
      <c r="AV711">
        <v>2020</v>
      </c>
      <c r="AW711" s="1">
        <v>45735</v>
      </c>
      <c r="AX711">
        <v>29</v>
      </c>
      <c r="AY711" t="s">
        <v>19</v>
      </c>
      <c r="AZ711" t="s">
        <v>17</v>
      </c>
      <c r="BA711" t="s">
        <v>12</v>
      </c>
      <c r="BB711" t="s">
        <v>7</v>
      </c>
      <c r="BC711" t="s">
        <v>13</v>
      </c>
      <c r="BD711">
        <v>3</v>
      </c>
      <c r="BE711" t="s">
        <v>49</v>
      </c>
      <c r="BF711">
        <v>0.95</v>
      </c>
    </row>
    <row r="712" spans="1:58" hidden="1" x14ac:dyDescent="0.2">
      <c r="A712">
        <v>711</v>
      </c>
      <c r="B712" t="s">
        <v>0</v>
      </c>
      <c r="C712">
        <v>20</v>
      </c>
      <c r="D712" t="s">
        <v>1</v>
      </c>
      <c r="E712" t="s">
        <v>128</v>
      </c>
      <c r="F712" t="s">
        <v>40</v>
      </c>
      <c r="G712" t="s">
        <v>38</v>
      </c>
      <c r="H712" t="s">
        <v>23</v>
      </c>
      <c r="I712" t="s">
        <v>114</v>
      </c>
      <c r="J712" t="s">
        <v>32</v>
      </c>
      <c r="K712" t="s">
        <v>13</v>
      </c>
      <c r="L712">
        <v>14.5</v>
      </c>
      <c r="M712">
        <v>7.7</v>
      </c>
      <c r="N712" t="s">
        <v>39</v>
      </c>
      <c r="O712" t="s">
        <v>7</v>
      </c>
      <c r="P712" t="s">
        <v>26</v>
      </c>
      <c r="Q712">
        <v>35</v>
      </c>
      <c r="R712">
        <v>2</v>
      </c>
      <c r="S712">
        <v>24</v>
      </c>
      <c r="T712">
        <v>110</v>
      </c>
      <c r="U712">
        <v>74</v>
      </c>
      <c r="V712">
        <v>8006</v>
      </c>
      <c r="W712">
        <v>35</v>
      </c>
      <c r="X712">
        <v>2</v>
      </c>
      <c r="Y712">
        <v>5</v>
      </c>
      <c r="Z712">
        <v>7</v>
      </c>
      <c r="AA712">
        <v>1.1000000000000001</v>
      </c>
      <c r="AB712">
        <v>1</v>
      </c>
      <c r="AC712">
        <v>410</v>
      </c>
      <c r="AD712">
        <v>14</v>
      </c>
      <c r="AE712">
        <v>14</v>
      </c>
      <c r="AF712">
        <v>300</v>
      </c>
      <c r="AG712">
        <v>150</v>
      </c>
      <c r="AH712">
        <v>251</v>
      </c>
      <c r="AI712">
        <v>72</v>
      </c>
      <c r="AJ712">
        <v>57</v>
      </c>
      <c r="AK712">
        <v>57</v>
      </c>
      <c r="AL712">
        <v>38</v>
      </c>
      <c r="AM712">
        <v>11</v>
      </c>
      <c r="AN712">
        <v>215</v>
      </c>
      <c r="AO712">
        <v>72</v>
      </c>
      <c r="AP712">
        <v>52</v>
      </c>
      <c r="AQ712">
        <v>85</v>
      </c>
      <c r="AR712">
        <v>4578</v>
      </c>
      <c r="AS712">
        <v>2894</v>
      </c>
      <c r="AT712" t="s">
        <v>7</v>
      </c>
      <c r="AU712">
        <v>0.33</v>
      </c>
      <c r="AV712">
        <v>2015</v>
      </c>
      <c r="AW712" s="1">
        <v>45762</v>
      </c>
      <c r="AX712">
        <v>29.3</v>
      </c>
      <c r="AY712" t="s">
        <v>30</v>
      </c>
      <c r="AZ712" t="s">
        <v>31</v>
      </c>
      <c r="BA712" t="s">
        <v>21</v>
      </c>
      <c r="BB712" t="s">
        <v>13</v>
      </c>
      <c r="BC712" t="s">
        <v>7</v>
      </c>
      <c r="BD712">
        <v>4</v>
      </c>
      <c r="BE712" t="s">
        <v>43</v>
      </c>
      <c r="BF712">
        <v>1.06</v>
      </c>
    </row>
    <row r="713" spans="1:58" hidden="1" x14ac:dyDescent="0.2">
      <c r="A713">
        <v>712</v>
      </c>
      <c r="B713" t="s">
        <v>0</v>
      </c>
      <c r="C713">
        <v>60</v>
      </c>
      <c r="D713" t="s">
        <v>1</v>
      </c>
      <c r="E713" t="s">
        <v>127</v>
      </c>
      <c r="F713" t="s">
        <v>40</v>
      </c>
      <c r="G713" t="s">
        <v>116</v>
      </c>
      <c r="H713" t="s">
        <v>24</v>
      </c>
      <c r="I713" t="s">
        <v>112</v>
      </c>
      <c r="J713" t="s">
        <v>6</v>
      </c>
      <c r="K713" t="s">
        <v>7</v>
      </c>
      <c r="L713">
        <v>12.8</v>
      </c>
      <c r="M713">
        <v>7.3</v>
      </c>
      <c r="N713" t="s">
        <v>29</v>
      </c>
      <c r="O713" t="s">
        <v>7</v>
      </c>
      <c r="P713" t="s">
        <v>26</v>
      </c>
      <c r="Q713">
        <v>13</v>
      </c>
      <c r="R713">
        <v>10</v>
      </c>
      <c r="S713">
        <v>26.7</v>
      </c>
      <c r="T713">
        <v>93</v>
      </c>
      <c r="U713">
        <v>80</v>
      </c>
      <c r="V713">
        <v>7868</v>
      </c>
      <c r="W713">
        <v>38.4</v>
      </c>
      <c r="X713">
        <v>2</v>
      </c>
      <c r="Y713">
        <v>4</v>
      </c>
      <c r="Z713">
        <v>8</v>
      </c>
      <c r="AA713">
        <v>2.7</v>
      </c>
      <c r="AB713">
        <v>3</v>
      </c>
      <c r="AC713">
        <v>58</v>
      </c>
      <c r="AD713">
        <v>2</v>
      </c>
      <c r="AE713">
        <v>0</v>
      </c>
      <c r="AF713">
        <v>81</v>
      </c>
      <c r="AG713">
        <v>58</v>
      </c>
      <c r="AH713">
        <v>66</v>
      </c>
      <c r="AI713">
        <v>16</v>
      </c>
      <c r="AJ713">
        <v>18</v>
      </c>
      <c r="AK713">
        <v>21</v>
      </c>
      <c r="AL713">
        <v>10</v>
      </c>
      <c r="AM713">
        <v>3</v>
      </c>
      <c r="AN713">
        <v>25</v>
      </c>
      <c r="AO713">
        <v>17</v>
      </c>
      <c r="AP713">
        <v>8</v>
      </c>
      <c r="AQ713">
        <v>17</v>
      </c>
      <c r="AR713">
        <v>510</v>
      </c>
      <c r="AS713">
        <v>744</v>
      </c>
      <c r="AT713" t="s">
        <v>7</v>
      </c>
      <c r="AU713">
        <v>0.69</v>
      </c>
      <c r="AV713">
        <v>2021</v>
      </c>
      <c r="AW713" s="1">
        <v>45799</v>
      </c>
      <c r="AX713">
        <v>29</v>
      </c>
      <c r="AY713" t="s">
        <v>36</v>
      </c>
      <c r="AZ713" t="s">
        <v>37</v>
      </c>
      <c r="BA713" t="s">
        <v>21</v>
      </c>
      <c r="BB713" t="s">
        <v>7</v>
      </c>
      <c r="BC713" t="s">
        <v>7</v>
      </c>
      <c r="BD713">
        <v>3</v>
      </c>
      <c r="BE713" t="s">
        <v>14</v>
      </c>
      <c r="BF713">
        <v>1.66</v>
      </c>
    </row>
    <row r="714" spans="1:58" hidden="1" x14ac:dyDescent="0.2">
      <c r="A714">
        <v>713</v>
      </c>
      <c r="B714" t="s">
        <v>0</v>
      </c>
      <c r="C714">
        <v>57</v>
      </c>
      <c r="D714" t="s">
        <v>28</v>
      </c>
      <c r="E714" t="s">
        <v>2</v>
      </c>
      <c r="F714" t="s">
        <v>40</v>
      </c>
      <c r="G714" t="s">
        <v>16</v>
      </c>
      <c r="H714" t="s">
        <v>119</v>
      </c>
      <c r="I714" t="s">
        <v>113</v>
      </c>
      <c r="J714" t="s">
        <v>123</v>
      </c>
      <c r="K714" t="s">
        <v>7</v>
      </c>
      <c r="L714">
        <v>4.9000000000000004</v>
      </c>
      <c r="M714">
        <v>6.9</v>
      </c>
      <c r="N714" t="s">
        <v>39</v>
      </c>
      <c r="O714" t="s">
        <v>7</v>
      </c>
      <c r="P714" t="s">
        <v>121</v>
      </c>
      <c r="Q714">
        <v>40</v>
      </c>
      <c r="R714">
        <v>4</v>
      </c>
      <c r="S714">
        <v>24.1</v>
      </c>
      <c r="T714">
        <v>125</v>
      </c>
      <c r="U714">
        <v>80</v>
      </c>
      <c r="V714">
        <v>7932</v>
      </c>
      <c r="W714">
        <v>44.7</v>
      </c>
      <c r="X714">
        <v>5</v>
      </c>
      <c r="Y714">
        <v>2</v>
      </c>
      <c r="Z714">
        <v>11</v>
      </c>
      <c r="AA714">
        <v>2.6</v>
      </c>
      <c r="AB714">
        <v>3</v>
      </c>
      <c r="AC714">
        <v>309</v>
      </c>
      <c r="AD714">
        <v>9</v>
      </c>
      <c r="AE714">
        <v>5</v>
      </c>
      <c r="AF714">
        <v>221</v>
      </c>
      <c r="AG714">
        <v>150</v>
      </c>
      <c r="AH714">
        <v>181</v>
      </c>
      <c r="AI714">
        <v>57</v>
      </c>
      <c r="AJ714">
        <v>39</v>
      </c>
      <c r="AK714">
        <v>54</v>
      </c>
      <c r="AL714">
        <v>20</v>
      </c>
      <c r="AM714">
        <v>11</v>
      </c>
      <c r="AN714">
        <v>136</v>
      </c>
      <c r="AO714">
        <v>77</v>
      </c>
      <c r="AP714">
        <v>68</v>
      </c>
      <c r="AQ714">
        <v>76</v>
      </c>
      <c r="AR714">
        <v>459</v>
      </c>
      <c r="AS714">
        <v>473</v>
      </c>
      <c r="AT714" t="s">
        <v>7</v>
      </c>
      <c r="AU714">
        <v>0.62</v>
      </c>
      <c r="AV714">
        <v>2024</v>
      </c>
      <c r="AW714" s="1">
        <v>45661</v>
      </c>
      <c r="AX714">
        <v>34.299999999999997</v>
      </c>
      <c r="AY714" t="s">
        <v>45</v>
      </c>
      <c r="AZ714" t="s">
        <v>31</v>
      </c>
      <c r="BA714" t="s">
        <v>12</v>
      </c>
      <c r="BB714" t="s">
        <v>13</v>
      </c>
      <c r="BC714" t="s">
        <v>7</v>
      </c>
      <c r="BD714">
        <v>2</v>
      </c>
      <c r="BE714" t="s">
        <v>14</v>
      </c>
      <c r="BF714">
        <v>1</v>
      </c>
    </row>
    <row r="715" spans="1:58" hidden="1" x14ac:dyDescent="0.2">
      <c r="A715">
        <v>714</v>
      </c>
      <c r="B715" t="s">
        <v>0</v>
      </c>
      <c r="C715">
        <v>13</v>
      </c>
      <c r="D715" t="s">
        <v>28</v>
      </c>
      <c r="E715" t="s">
        <v>128</v>
      </c>
      <c r="F715" t="s">
        <v>15</v>
      </c>
      <c r="G715" t="s">
        <v>16</v>
      </c>
      <c r="H715" t="s">
        <v>118</v>
      </c>
      <c r="I715" t="s">
        <v>114</v>
      </c>
      <c r="J715" t="s">
        <v>123</v>
      </c>
      <c r="K715" t="s">
        <v>7</v>
      </c>
      <c r="L715">
        <v>16.3</v>
      </c>
      <c r="M715">
        <v>7</v>
      </c>
      <c r="N715" t="s">
        <v>29</v>
      </c>
      <c r="O715" t="s">
        <v>7</v>
      </c>
      <c r="P715" t="s">
        <v>121</v>
      </c>
      <c r="Q715">
        <v>3</v>
      </c>
      <c r="R715">
        <v>8</v>
      </c>
      <c r="S715">
        <v>25.2</v>
      </c>
      <c r="T715">
        <v>125</v>
      </c>
      <c r="U715">
        <v>97</v>
      </c>
      <c r="V715">
        <v>7896</v>
      </c>
      <c r="W715">
        <v>60.8</v>
      </c>
      <c r="X715">
        <v>2</v>
      </c>
      <c r="Y715">
        <v>6</v>
      </c>
      <c r="Z715">
        <v>10</v>
      </c>
      <c r="AA715">
        <v>9.5</v>
      </c>
      <c r="AB715">
        <v>2</v>
      </c>
      <c r="AC715">
        <v>38</v>
      </c>
      <c r="AD715">
        <v>3</v>
      </c>
      <c r="AE715">
        <v>8</v>
      </c>
      <c r="AF715">
        <v>177</v>
      </c>
      <c r="AG715">
        <v>46</v>
      </c>
      <c r="AH715">
        <v>49</v>
      </c>
      <c r="AI715">
        <v>6</v>
      </c>
      <c r="AJ715">
        <v>17</v>
      </c>
      <c r="AK715">
        <v>19</v>
      </c>
      <c r="AL715">
        <v>7</v>
      </c>
      <c r="AM715">
        <v>2</v>
      </c>
      <c r="AN715">
        <v>15</v>
      </c>
      <c r="AO715">
        <v>9</v>
      </c>
      <c r="AP715">
        <v>6</v>
      </c>
      <c r="AQ715">
        <v>11</v>
      </c>
      <c r="AR715">
        <v>1831</v>
      </c>
      <c r="AS715">
        <v>1405</v>
      </c>
      <c r="AT715" t="s">
        <v>7</v>
      </c>
      <c r="AU715">
        <v>0.59</v>
      </c>
      <c r="AV715">
        <v>2015</v>
      </c>
      <c r="AW715" s="1">
        <v>45843</v>
      </c>
      <c r="AX715">
        <v>12.7</v>
      </c>
      <c r="AY715" t="s">
        <v>30</v>
      </c>
      <c r="AZ715" t="s">
        <v>11</v>
      </c>
      <c r="BA715" t="s">
        <v>21</v>
      </c>
      <c r="BB715" t="s">
        <v>13</v>
      </c>
      <c r="BC715" t="s">
        <v>7</v>
      </c>
      <c r="BD715">
        <v>0</v>
      </c>
      <c r="BE715" t="s">
        <v>43</v>
      </c>
      <c r="BF715">
        <v>2.1800000000000002</v>
      </c>
    </row>
    <row r="716" spans="1:58" hidden="1" x14ac:dyDescent="0.2">
      <c r="A716">
        <v>715</v>
      </c>
      <c r="B716" t="s">
        <v>0</v>
      </c>
      <c r="C716">
        <v>34</v>
      </c>
      <c r="D716" t="s">
        <v>28</v>
      </c>
      <c r="E716" t="s">
        <v>33</v>
      </c>
      <c r="F716" t="s">
        <v>15</v>
      </c>
      <c r="G716" t="s">
        <v>16</v>
      </c>
      <c r="H716" t="s">
        <v>23</v>
      </c>
      <c r="I716" t="s">
        <v>113</v>
      </c>
      <c r="J716" t="s">
        <v>6</v>
      </c>
      <c r="K716" t="s">
        <v>7</v>
      </c>
      <c r="L716">
        <v>3.2</v>
      </c>
      <c r="M716">
        <v>7.8</v>
      </c>
      <c r="N716" t="s">
        <v>29</v>
      </c>
      <c r="O716" t="s">
        <v>7</v>
      </c>
      <c r="P716" t="s">
        <v>9</v>
      </c>
      <c r="Q716">
        <v>17</v>
      </c>
      <c r="R716">
        <v>7</v>
      </c>
      <c r="S716">
        <v>23.2</v>
      </c>
      <c r="T716">
        <v>117</v>
      </c>
      <c r="U716">
        <v>84</v>
      </c>
      <c r="V716">
        <v>8040</v>
      </c>
      <c r="W716">
        <v>36.200000000000003</v>
      </c>
      <c r="X716">
        <v>3</v>
      </c>
      <c r="Y716">
        <v>1</v>
      </c>
      <c r="Z716">
        <v>6</v>
      </c>
      <c r="AA716">
        <v>9.6</v>
      </c>
      <c r="AB716">
        <v>3</v>
      </c>
      <c r="AC716">
        <v>175</v>
      </c>
      <c r="AD716">
        <v>6</v>
      </c>
      <c r="AE716">
        <v>3</v>
      </c>
      <c r="AF716">
        <v>137</v>
      </c>
      <c r="AG716">
        <v>114</v>
      </c>
      <c r="AH716">
        <v>116</v>
      </c>
      <c r="AI716">
        <v>22</v>
      </c>
      <c r="AJ716">
        <v>17</v>
      </c>
      <c r="AK716">
        <v>36</v>
      </c>
      <c r="AL716">
        <v>21</v>
      </c>
      <c r="AM716">
        <v>3</v>
      </c>
      <c r="AN716">
        <v>72</v>
      </c>
      <c r="AO716">
        <v>26</v>
      </c>
      <c r="AP716">
        <v>38</v>
      </c>
      <c r="AQ716">
        <v>39</v>
      </c>
      <c r="AR716">
        <v>306</v>
      </c>
      <c r="AS716">
        <v>179</v>
      </c>
      <c r="AT716" t="s">
        <v>7</v>
      </c>
      <c r="AU716">
        <v>0.7</v>
      </c>
      <c r="AV716">
        <v>2020</v>
      </c>
      <c r="AW716" s="1">
        <v>45797</v>
      </c>
      <c r="AX716">
        <v>29.2</v>
      </c>
      <c r="AY716" t="s">
        <v>36</v>
      </c>
      <c r="AZ716" t="s">
        <v>48</v>
      </c>
      <c r="BA716" t="s">
        <v>12</v>
      </c>
      <c r="BB716" t="s">
        <v>7</v>
      </c>
      <c r="BC716" t="s">
        <v>13</v>
      </c>
      <c r="BD716">
        <v>0</v>
      </c>
      <c r="BE716" t="s">
        <v>14</v>
      </c>
      <c r="BF716">
        <v>0.96</v>
      </c>
    </row>
    <row r="717" spans="1:58" hidden="1" x14ac:dyDescent="0.2">
      <c r="A717">
        <v>716</v>
      </c>
      <c r="B717" t="s">
        <v>0</v>
      </c>
      <c r="C717">
        <v>64</v>
      </c>
      <c r="D717" t="s">
        <v>1</v>
      </c>
      <c r="E717" t="s">
        <v>33</v>
      </c>
      <c r="F717" t="s">
        <v>40</v>
      </c>
      <c r="G717" t="s">
        <v>16</v>
      </c>
      <c r="H717" t="s">
        <v>5</v>
      </c>
      <c r="I717" t="s">
        <v>115</v>
      </c>
      <c r="J717" t="s">
        <v>6</v>
      </c>
      <c r="K717" t="s">
        <v>7</v>
      </c>
      <c r="L717">
        <v>9.1</v>
      </c>
      <c r="M717">
        <v>5.8</v>
      </c>
      <c r="N717" t="s">
        <v>29</v>
      </c>
      <c r="O717" t="s">
        <v>13</v>
      </c>
      <c r="P717" t="s">
        <v>26</v>
      </c>
      <c r="Q717">
        <v>1</v>
      </c>
      <c r="R717">
        <v>3</v>
      </c>
      <c r="S717">
        <v>23</v>
      </c>
      <c r="T717">
        <v>158</v>
      </c>
      <c r="U717">
        <v>69</v>
      </c>
      <c r="V717">
        <v>7881</v>
      </c>
      <c r="W717">
        <v>14.3</v>
      </c>
      <c r="X717">
        <v>1</v>
      </c>
      <c r="Y717">
        <v>7</v>
      </c>
      <c r="Z717">
        <v>8</v>
      </c>
      <c r="AA717">
        <v>2.8</v>
      </c>
      <c r="AB717">
        <v>2</v>
      </c>
      <c r="AC717">
        <v>20</v>
      </c>
      <c r="AD717">
        <v>1</v>
      </c>
      <c r="AE717">
        <v>5</v>
      </c>
      <c r="AF717">
        <v>55</v>
      </c>
      <c r="AG717">
        <v>28</v>
      </c>
      <c r="AH717">
        <v>28</v>
      </c>
      <c r="AI717">
        <v>6</v>
      </c>
      <c r="AJ717">
        <v>17</v>
      </c>
      <c r="AK717">
        <v>15</v>
      </c>
      <c r="AL717">
        <v>7</v>
      </c>
      <c r="AM717">
        <v>0</v>
      </c>
      <c r="AN717">
        <v>9</v>
      </c>
      <c r="AO717">
        <v>4</v>
      </c>
      <c r="AP717">
        <v>2</v>
      </c>
      <c r="AQ717">
        <v>8</v>
      </c>
      <c r="AR717">
        <v>867</v>
      </c>
      <c r="AS717">
        <v>714</v>
      </c>
      <c r="AT717" t="s">
        <v>7</v>
      </c>
      <c r="AU717">
        <v>0.98</v>
      </c>
      <c r="AV717">
        <v>2022</v>
      </c>
      <c r="AW717" s="1">
        <v>45752</v>
      </c>
      <c r="AX717">
        <v>20</v>
      </c>
      <c r="AY717" t="s">
        <v>30</v>
      </c>
      <c r="AZ717" t="s">
        <v>17</v>
      </c>
      <c r="BA717" t="s">
        <v>12</v>
      </c>
      <c r="BB717" t="s">
        <v>7</v>
      </c>
      <c r="BC717" t="s">
        <v>13</v>
      </c>
      <c r="BD717">
        <v>0</v>
      </c>
      <c r="BE717" t="s">
        <v>14</v>
      </c>
      <c r="BF717">
        <v>2.62</v>
      </c>
    </row>
    <row r="718" spans="1:58" hidden="1" x14ac:dyDescent="0.2">
      <c r="A718">
        <v>717</v>
      </c>
      <c r="B718" t="s">
        <v>0</v>
      </c>
      <c r="C718">
        <v>29</v>
      </c>
      <c r="D718" t="s">
        <v>28</v>
      </c>
      <c r="E718" t="s">
        <v>2</v>
      </c>
      <c r="F718" t="s">
        <v>15</v>
      </c>
      <c r="G718" t="s">
        <v>16</v>
      </c>
      <c r="H718" t="s">
        <v>23</v>
      </c>
      <c r="I718" t="s">
        <v>114</v>
      </c>
      <c r="J718" t="s">
        <v>123</v>
      </c>
      <c r="K718" t="s">
        <v>7</v>
      </c>
      <c r="L718">
        <v>3.8</v>
      </c>
      <c r="M718">
        <v>7.4</v>
      </c>
      <c r="N718" t="s">
        <v>39</v>
      </c>
      <c r="O718" t="s">
        <v>7</v>
      </c>
      <c r="P718" t="s">
        <v>26</v>
      </c>
      <c r="Q718">
        <v>8</v>
      </c>
      <c r="R718">
        <v>3</v>
      </c>
      <c r="S718">
        <v>21.2</v>
      </c>
      <c r="T718">
        <v>130</v>
      </c>
      <c r="U718">
        <v>92</v>
      </c>
      <c r="V718">
        <v>8128</v>
      </c>
      <c r="W718">
        <v>49.6</v>
      </c>
      <c r="X718">
        <v>0</v>
      </c>
      <c r="Y718">
        <v>6</v>
      </c>
      <c r="Z718">
        <v>13</v>
      </c>
      <c r="AA718">
        <v>3.8</v>
      </c>
      <c r="AB718">
        <v>2</v>
      </c>
      <c r="AC718">
        <v>195</v>
      </c>
      <c r="AD718">
        <v>13</v>
      </c>
      <c r="AE718">
        <v>4</v>
      </c>
      <c r="AF718">
        <v>238</v>
      </c>
      <c r="AG718">
        <v>104</v>
      </c>
      <c r="AH718">
        <v>153</v>
      </c>
      <c r="AI718">
        <v>37</v>
      </c>
      <c r="AJ718">
        <v>30</v>
      </c>
      <c r="AK718">
        <v>28</v>
      </c>
      <c r="AL718">
        <v>20</v>
      </c>
      <c r="AM718">
        <v>3</v>
      </c>
      <c r="AN718">
        <v>84</v>
      </c>
      <c r="AO718">
        <v>38</v>
      </c>
      <c r="AP718">
        <v>31</v>
      </c>
      <c r="AQ718">
        <v>54</v>
      </c>
      <c r="AR718">
        <v>324</v>
      </c>
      <c r="AS718">
        <v>221</v>
      </c>
      <c r="AT718" t="s">
        <v>7</v>
      </c>
      <c r="AU718">
        <v>0.28999999999999998</v>
      </c>
      <c r="AV718">
        <v>2014</v>
      </c>
      <c r="AW718" s="1">
        <v>45800</v>
      </c>
      <c r="AX718">
        <v>15</v>
      </c>
      <c r="AY718" t="s">
        <v>30</v>
      </c>
      <c r="AZ718" t="s">
        <v>37</v>
      </c>
      <c r="BA718" t="s">
        <v>12</v>
      </c>
      <c r="BB718" t="s">
        <v>7</v>
      </c>
      <c r="BC718" t="s">
        <v>13</v>
      </c>
      <c r="BD718">
        <v>4</v>
      </c>
      <c r="BE718" t="s">
        <v>43</v>
      </c>
      <c r="BF718">
        <v>1.22</v>
      </c>
    </row>
    <row r="719" spans="1:58" hidden="1" x14ac:dyDescent="0.2">
      <c r="A719">
        <v>718</v>
      </c>
      <c r="B719" t="s">
        <v>0</v>
      </c>
      <c r="C719">
        <v>19</v>
      </c>
      <c r="D719" t="s">
        <v>28</v>
      </c>
      <c r="E719" t="s">
        <v>47</v>
      </c>
      <c r="F719" t="s">
        <v>3</v>
      </c>
      <c r="G719" t="s">
        <v>16</v>
      </c>
      <c r="H719" t="s">
        <v>24</v>
      </c>
      <c r="I719" t="s">
        <v>115</v>
      </c>
      <c r="J719" t="s">
        <v>123</v>
      </c>
      <c r="K719" t="s">
        <v>7</v>
      </c>
      <c r="L719">
        <v>6.3</v>
      </c>
      <c r="M719">
        <v>7.5</v>
      </c>
      <c r="N719" t="s">
        <v>29</v>
      </c>
      <c r="O719" t="s">
        <v>13</v>
      </c>
      <c r="P719" t="s">
        <v>9</v>
      </c>
      <c r="Q719">
        <v>5</v>
      </c>
      <c r="R719">
        <v>2</v>
      </c>
      <c r="S719">
        <v>27.5</v>
      </c>
      <c r="T719">
        <v>143</v>
      </c>
      <c r="U719">
        <v>81</v>
      </c>
      <c r="V719">
        <v>7947</v>
      </c>
      <c r="W719">
        <v>35.200000000000003</v>
      </c>
      <c r="X719">
        <v>6</v>
      </c>
      <c r="Y719">
        <v>8</v>
      </c>
      <c r="Z719">
        <v>10</v>
      </c>
      <c r="AA719">
        <v>6.5</v>
      </c>
      <c r="AB719">
        <v>6</v>
      </c>
      <c r="AC719">
        <v>148</v>
      </c>
      <c r="AD719">
        <v>15</v>
      </c>
      <c r="AE719">
        <v>7</v>
      </c>
      <c r="AF719">
        <v>188</v>
      </c>
      <c r="AG719">
        <v>95</v>
      </c>
      <c r="AH719">
        <v>97</v>
      </c>
      <c r="AI719">
        <v>27</v>
      </c>
      <c r="AJ719">
        <v>23</v>
      </c>
      <c r="AK719">
        <v>26</v>
      </c>
      <c r="AL719">
        <v>13</v>
      </c>
      <c r="AM719">
        <v>8</v>
      </c>
      <c r="AN719">
        <v>84</v>
      </c>
      <c r="AO719">
        <v>31</v>
      </c>
      <c r="AP719">
        <v>23</v>
      </c>
      <c r="AQ719">
        <v>40</v>
      </c>
      <c r="AR719">
        <v>557</v>
      </c>
      <c r="AS719">
        <v>1299</v>
      </c>
      <c r="AT719" t="s">
        <v>7</v>
      </c>
      <c r="AU719">
        <v>0.78</v>
      </c>
      <c r="AV719">
        <v>2017</v>
      </c>
      <c r="AW719" s="1">
        <v>45989</v>
      </c>
      <c r="AX719">
        <v>9.9</v>
      </c>
      <c r="AY719" t="s">
        <v>19</v>
      </c>
      <c r="AZ719" t="s">
        <v>11</v>
      </c>
      <c r="BA719" t="s">
        <v>12</v>
      </c>
      <c r="BB719" t="s">
        <v>13</v>
      </c>
      <c r="BC719" t="s">
        <v>13</v>
      </c>
      <c r="BD719">
        <v>4</v>
      </c>
      <c r="BE719" t="s">
        <v>14</v>
      </c>
      <c r="BF719">
        <v>1.1499999999999999</v>
      </c>
    </row>
    <row r="720" spans="1:58" hidden="1" x14ac:dyDescent="0.2">
      <c r="A720">
        <v>719</v>
      </c>
      <c r="B720" t="s">
        <v>0</v>
      </c>
      <c r="C720">
        <v>37</v>
      </c>
      <c r="D720" t="s">
        <v>1</v>
      </c>
      <c r="E720" t="s">
        <v>47</v>
      </c>
      <c r="F720" t="s">
        <v>40</v>
      </c>
      <c r="G720" t="s">
        <v>4</v>
      </c>
      <c r="H720" t="s">
        <v>118</v>
      </c>
      <c r="I720" t="s">
        <v>112</v>
      </c>
      <c r="J720" t="s">
        <v>32</v>
      </c>
      <c r="K720" t="s">
        <v>7</v>
      </c>
      <c r="L720">
        <v>5.4</v>
      </c>
      <c r="M720">
        <v>6.1</v>
      </c>
      <c r="N720" t="s">
        <v>8</v>
      </c>
      <c r="O720" t="s">
        <v>7</v>
      </c>
      <c r="P720" t="s">
        <v>46</v>
      </c>
      <c r="Q720">
        <v>15</v>
      </c>
      <c r="R720">
        <v>4</v>
      </c>
      <c r="S720">
        <v>22.3</v>
      </c>
      <c r="T720">
        <v>154</v>
      </c>
      <c r="U720">
        <v>98</v>
      </c>
      <c r="V720">
        <v>7918</v>
      </c>
      <c r="W720">
        <v>28.9</v>
      </c>
      <c r="X720">
        <v>3</v>
      </c>
      <c r="Y720">
        <v>5</v>
      </c>
      <c r="Z720">
        <v>10</v>
      </c>
      <c r="AA720">
        <v>4.5</v>
      </c>
      <c r="AB720">
        <v>3</v>
      </c>
      <c r="AC720">
        <v>285</v>
      </c>
      <c r="AD720">
        <v>10</v>
      </c>
      <c r="AE720">
        <v>5</v>
      </c>
      <c r="AF720">
        <v>209</v>
      </c>
      <c r="AG720">
        <v>150</v>
      </c>
      <c r="AH720">
        <v>165</v>
      </c>
      <c r="AI720">
        <v>42</v>
      </c>
      <c r="AJ720">
        <v>42</v>
      </c>
      <c r="AK720">
        <v>31</v>
      </c>
      <c r="AL720">
        <v>17</v>
      </c>
      <c r="AM720">
        <v>10</v>
      </c>
      <c r="AN720">
        <v>155</v>
      </c>
      <c r="AO720">
        <v>75</v>
      </c>
      <c r="AP720">
        <v>65</v>
      </c>
      <c r="AQ720">
        <v>112</v>
      </c>
      <c r="AR720">
        <v>503</v>
      </c>
      <c r="AS720">
        <v>296</v>
      </c>
      <c r="AT720" t="s">
        <v>7</v>
      </c>
      <c r="AU720">
        <v>0.77</v>
      </c>
      <c r="AV720">
        <v>2019</v>
      </c>
      <c r="AW720" s="1">
        <v>45845</v>
      </c>
      <c r="AX720">
        <v>28.5</v>
      </c>
      <c r="AY720" t="s">
        <v>10</v>
      </c>
      <c r="AZ720" t="s">
        <v>20</v>
      </c>
      <c r="BA720" t="s">
        <v>122</v>
      </c>
      <c r="BB720" t="s">
        <v>13</v>
      </c>
      <c r="BC720" t="s">
        <v>13</v>
      </c>
      <c r="BD720">
        <v>3</v>
      </c>
      <c r="BE720" t="s">
        <v>14</v>
      </c>
      <c r="BF720">
        <v>0.92</v>
      </c>
    </row>
    <row r="721" spans="1:58" hidden="1" x14ac:dyDescent="0.2">
      <c r="A721">
        <v>720</v>
      </c>
      <c r="B721" t="s">
        <v>0</v>
      </c>
      <c r="C721">
        <v>57</v>
      </c>
      <c r="D721" t="s">
        <v>1</v>
      </c>
      <c r="E721" t="s">
        <v>128</v>
      </c>
      <c r="F721" t="s">
        <v>15</v>
      </c>
      <c r="G721" t="s">
        <v>16</v>
      </c>
      <c r="H721" t="s">
        <v>34</v>
      </c>
      <c r="I721" t="s">
        <v>113</v>
      </c>
      <c r="J721" t="s">
        <v>6</v>
      </c>
      <c r="K721" t="s">
        <v>13</v>
      </c>
      <c r="L721">
        <v>4.9000000000000004</v>
      </c>
      <c r="M721">
        <v>7.6</v>
      </c>
      <c r="N721" t="s">
        <v>29</v>
      </c>
      <c r="O721" t="s">
        <v>13</v>
      </c>
      <c r="P721" t="s">
        <v>46</v>
      </c>
      <c r="Q721">
        <v>18</v>
      </c>
      <c r="R721">
        <v>8</v>
      </c>
      <c r="S721">
        <v>35</v>
      </c>
      <c r="T721">
        <v>117</v>
      </c>
      <c r="U721">
        <v>80</v>
      </c>
      <c r="V721">
        <v>8091</v>
      </c>
      <c r="W721">
        <v>42.8</v>
      </c>
      <c r="X721">
        <v>3</v>
      </c>
      <c r="Y721">
        <v>1</v>
      </c>
      <c r="Z721">
        <v>6</v>
      </c>
      <c r="AA721">
        <v>6.6</v>
      </c>
      <c r="AB721">
        <v>6</v>
      </c>
      <c r="AC721">
        <v>200</v>
      </c>
      <c r="AD721">
        <v>14</v>
      </c>
      <c r="AE721">
        <v>1</v>
      </c>
      <c r="AF721">
        <v>169</v>
      </c>
      <c r="AG721">
        <v>124</v>
      </c>
      <c r="AH721">
        <v>123</v>
      </c>
      <c r="AI721">
        <v>32</v>
      </c>
      <c r="AJ721">
        <v>30</v>
      </c>
      <c r="AK721">
        <v>35</v>
      </c>
      <c r="AL721">
        <v>19</v>
      </c>
      <c r="AM721">
        <v>5</v>
      </c>
      <c r="AN721">
        <v>114</v>
      </c>
      <c r="AO721">
        <v>47</v>
      </c>
      <c r="AP721">
        <v>47</v>
      </c>
      <c r="AQ721">
        <v>64</v>
      </c>
      <c r="AR721">
        <v>1652</v>
      </c>
      <c r="AS721">
        <v>3507</v>
      </c>
      <c r="AT721" t="s">
        <v>7</v>
      </c>
      <c r="AU721">
        <v>0.66</v>
      </c>
      <c r="AV721">
        <v>2021</v>
      </c>
      <c r="AW721" s="1">
        <v>45964</v>
      </c>
      <c r="AX721">
        <v>14.3</v>
      </c>
      <c r="AY721" t="s">
        <v>19</v>
      </c>
      <c r="AZ721" t="s">
        <v>11</v>
      </c>
      <c r="BA721" t="s">
        <v>122</v>
      </c>
      <c r="BB721" t="s">
        <v>13</v>
      </c>
      <c r="BC721" t="s">
        <v>7</v>
      </c>
      <c r="BD721">
        <v>4</v>
      </c>
      <c r="BE721" t="s">
        <v>14</v>
      </c>
      <c r="BF721">
        <v>0.95</v>
      </c>
    </row>
    <row r="722" spans="1:58" hidden="1" x14ac:dyDescent="0.2">
      <c r="A722">
        <v>721</v>
      </c>
      <c r="B722" t="s">
        <v>0</v>
      </c>
      <c r="C722">
        <v>16</v>
      </c>
      <c r="D722" t="s">
        <v>28</v>
      </c>
      <c r="E722" t="s">
        <v>50</v>
      </c>
      <c r="F722" t="s">
        <v>3</v>
      </c>
      <c r="G722" t="s">
        <v>117</v>
      </c>
      <c r="H722" t="s">
        <v>118</v>
      </c>
      <c r="I722" t="s">
        <v>115</v>
      </c>
      <c r="J722" t="s">
        <v>6</v>
      </c>
      <c r="K722" t="s">
        <v>13</v>
      </c>
      <c r="L722">
        <v>6.4</v>
      </c>
      <c r="M722">
        <v>7.5</v>
      </c>
      <c r="N722" t="s">
        <v>29</v>
      </c>
      <c r="O722" t="s">
        <v>7</v>
      </c>
      <c r="P722" t="s">
        <v>9</v>
      </c>
      <c r="Q722">
        <v>5</v>
      </c>
      <c r="R722">
        <v>7</v>
      </c>
      <c r="S722">
        <v>18.5</v>
      </c>
      <c r="T722">
        <v>92</v>
      </c>
      <c r="U722">
        <v>67</v>
      </c>
      <c r="V722">
        <v>7852</v>
      </c>
      <c r="W722">
        <v>48</v>
      </c>
      <c r="X722">
        <v>2</v>
      </c>
      <c r="Y722">
        <v>5</v>
      </c>
      <c r="Z722">
        <v>6</v>
      </c>
      <c r="AA722">
        <v>2.2999999999999998</v>
      </c>
      <c r="AB722">
        <v>3</v>
      </c>
      <c r="AC722">
        <v>108</v>
      </c>
      <c r="AD722">
        <v>6</v>
      </c>
      <c r="AE722">
        <v>7</v>
      </c>
      <c r="AF722">
        <v>174</v>
      </c>
      <c r="AG722">
        <v>82</v>
      </c>
      <c r="AH722">
        <v>90</v>
      </c>
      <c r="AI722">
        <v>18</v>
      </c>
      <c r="AJ722">
        <v>15</v>
      </c>
      <c r="AK722">
        <v>26</v>
      </c>
      <c r="AL722">
        <v>19</v>
      </c>
      <c r="AM722">
        <v>2</v>
      </c>
      <c r="AN722">
        <v>55</v>
      </c>
      <c r="AO722">
        <v>17</v>
      </c>
      <c r="AP722">
        <v>18</v>
      </c>
      <c r="AQ722">
        <v>29</v>
      </c>
      <c r="AR722">
        <v>1543</v>
      </c>
      <c r="AS722">
        <v>2841</v>
      </c>
      <c r="AT722" t="s">
        <v>7</v>
      </c>
      <c r="AU722">
        <v>0.98</v>
      </c>
      <c r="AV722">
        <v>2014</v>
      </c>
      <c r="AW722" s="1">
        <v>45832</v>
      </c>
      <c r="AX722">
        <v>18</v>
      </c>
      <c r="AY722" t="s">
        <v>36</v>
      </c>
      <c r="AZ722" t="s">
        <v>17</v>
      </c>
      <c r="BA722" t="s">
        <v>122</v>
      </c>
      <c r="BB722" t="s">
        <v>13</v>
      </c>
      <c r="BC722" t="s">
        <v>7</v>
      </c>
      <c r="BD722">
        <v>2</v>
      </c>
      <c r="BE722" t="s">
        <v>14</v>
      </c>
      <c r="BF722">
        <v>1.35</v>
      </c>
    </row>
    <row r="723" spans="1:58" hidden="1" x14ac:dyDescent="0.2">
      <c r="A723">
        <v>722</v>
      </c>
      <c r="B723" t="s">
        <v>0</v>
      </c>
      <c r="C723">
        <v>48</v>
      </c>
      <c r="D723" t="s">
        <v>1</v>
      </c>
      <c r="E723" t="s">
        <v>2</v>
      </c>
      <c r="F723" t="s">
        <v>15</v>
      </c>
      <c r="G723" t="s">
        <v>116</v>
      </c>
      <c r="H723" t="s">
        <v>118</v>
      </c>
      <c r="I723" t="s">
        <v>112</v>
      </c>
      <c r="J723" t="s">
        <v>32</v>
      </c>
      <c r="K723" t="s">
        <v>7</v>
      </c>
      <c r="L723">
        <v>12.9</v>
      </c>
      <c r="M723">
        <v>6.3</v>
      </c>
      <c r="N723" t="s">
        <v>120</v>
      </c>
      <c r="O723" t="s">
        <v>7</v>
      </c>
      <c r="P723" t="s">
        <v>9</v>
      </c>
      <c r="Q723">
        <v>17</v>
      </c>
      <c r="R723">
        <v>6</v>
      </c>
      <c r="S723">
        <v>25.2</v>
      </c>
      <c r="T723">
        <v>98</v>
      </c>
      <c r="U723">
        <v>67</v>
      </c>
      <c r="V723">
        <v>8058</v>
      </c>
      <c r="W723">
        <v>31.7</v>
      </c>
      <c r="X723">
        <v>3</v>
      </c>
      <c r="Y723">
        <v>3</v>
      </c>
      <c r="Z723">
        <v>6</v>
      </c>
      <c r="AA723">
        <v>2.5</v>
      </c>
      <c r="AB723">
        <v>4</v>
      </c>
      <c r="AC723">
        <v>133</v>
      </c>
      <c r="AD723">
        <v>6</v>
      </c>
      <c r="AE723">
        <v>2</v>
      </c>
      <c r="AF723">
        <v>120</v>
      </c>
      <c r="AG723">
        <v>80</v>
      </c>
      <c r="AH723">
        <v>108</v>
      </c>
      <c r="AI723">
        <v>36</v>
      </c>
      <c r="AJ723">
        <v>26</v>
      </c>
      <c r="AK723">
        <v>25</v>
      </c>
      <c r="AL723">
        <v>19</v>
      </c>
      <c r="AM723">
        <v>5</v>
      </c>
      <c r="AN723">
        <v>57</v>
      </c>
      <c r="AO723">
        <v>39</v>
      </c>
      <c r="AP723">
        <v>23</v>
      </c>
      <c r="AQ723">
        <v>31</v>
      </c>
      <c r="AR723">
        <v>592</v>
      </c>
      <c r="AS723">
        <v>725</v>
      </c>
      <c r="AT723" t="s">
        <v>7</v>
      </c>
      <c r="AU723">
        <v>0.64</v>
      </c>
      <c r="AV723">
        <v>2020</v>
      </c>
      <c r="AW723" s="1">
        <v>45683</v>
      </c>
      <c r="AX723">
        <v>22.2</v>
      </c>
      <c r="AY723" t="s">
        <v>36</v>
      </c>
      <c r="AZ723" t="s">
        <v>31</v>
      </c>
      <c r="BA723" t="s">
        <v>21</v>
      </c>
      <c r="BB723" t="s">
        <v>7</v>
      </c>
      <c r="BC723" t="s">
        <v>7</v>
      </c>
      <c r="BD723">
        <v>0</v>
      </c>
      <c r="BE723" t="s">
        <v>14</v>
      </c>
      <c r="BF723">
        <v>1.39</v>
      </c>
    </row>
    <row r="724" spans="1:58" hidden="1" x14ac:dyDescent="0.2">
      <c r="A724">
        <v>723</v>
      </c>
      <c r="B724" t="s">
        <v>0</v>
      </c>
      <c r="C724">
        <v>18</v>
      </c>
      <c r="D724" t="s">
        <v>1</v>
      </c>
      <c r="E724" t="s">
        <v>2</v>
      </c>
      <c r="F724" t="s">
        <v>15</v>
      </c>
      <c r="G724" t="s">
        <v>16</v>
      </c>
      <c r="H724" t="s">
        <v>23</v>
      </c>
      <c r="I724" t="s">
        <v>17</v>
      </c>
      <c r="J724" t="s">
        <v>32</v>
      </c>
      <c r="K724" t="s">
        <v>7</v>
      </c>
      <c r="L724">
        <v>1.7</v>
      </c>
      <c r="M724">
        <v>5.0999999999999996</v>
      </c>
      <c r="N724" t="s">
        <v>25</v>
      </c>
      <c r="O724" t="s">
        <v>7</v>
      </c>
      <c r="P724" t="s">
        <v>26</v>
      </c>
      <c r="Q724">
        <v>23</v>
      </c>
      <c r="R724">
        <v>6</v>
      </c>
      <c r="S724">
        <v>30.1</v>
      </c>
      <c r="T724">
        <v>131</v>
      </c>
      <c r="U724">
        <v>97</v>
      </c>
      <c r="V724">
        <v>8024</v>
      </c>
      <c r="W724">
        <v>39</v>
      </c>
      <c r="X724">
        <v>3</v>
      </c>
      <c r="Y724">
        <v>9</v>
      </c>
      <c r="Z724">
        <v>5</v>
      </c>
      <c r="AA724">
        <v>1.6</v>
      </c>
      <c r="AB724">
        <v>5</v>
      </c>
      <c r="AC724">
        <v>249</v>
      </c>
      <c r="AD724">
        <v>12</v>
      </c>
      <c r="AE724">
        <v>10</v>
      </c>
      <c r="AF724">
        <v>275</v>
      </c>
      <c r="AG724">
        <v>114</v>
      </c>
      <c r="AH724">
        <v>148</v>
      </c>
      <c r="AI724">
        <v>38</v>
      </c>
      <c r="AJ724">
        <v>31</v>
      </c>
      <c r="AK724">
        <v>42</v>
      </c>
      <c r="AL724">
        <v>30</v>
      </c>
      <c r="AM724">
        <v>7</v>
      </c>
      <c r="AN724">
        <v>141</v>
      </c>
      <c r="AO724">
        <v>66</v>
      </c>
      <c r="AP724">
        <v>26</v>
      </c>
      <c r="AQ724">
        <v>59</v>
      </c>
      <c r="AR724">
        <v>3628</v>
      </c>
      <c r="AS724">
        <v>3549</v>
      </c>
      <c r="AT724" t="s">
        <v>7</v>
      </c>
      <c r="AU724">
        <v>0.16</v>
      </c>
      <c r="AV724">
        <v>2022</v>
      </c>
      <c r="AW724" s="1">
        <v>45744</v>
      </c>
      <c r="AX724">
        <v>20.8</v>
      </c>
      <c r="AY724" t="s">
        <v>19</v>
      </c>
      <c r="AZ724" t="s">
        <v>37</v>
      </c>
      <c r="BA724" t="s">
        <v>122</v>
      </c>
      <c r="BB724" t="s">
        <v>13</v>
      </c>
      <c r="BC724" t="s">
        <v>7</v>
      </c>
      <c r="BD724">
        <v>0</v>
      </c>
      <c r="BE724" t="s">
        <v>14</v>
      </c>
      <c r="BF724">
        <v>1.02</v>
      </c>
    </row>
    <row r="725" spans="1:58" hidden="1" x14ac:dyDescent="0.2">
      <c r="A725">
        <v>724</v>
      </c>
      <c r="B725" t="s">
        <v>0</v>
      </c>
      <c r="C725">
        <v>43</v>
      </c>
      <c r="D725" t="s">
        <v>28</v>
      </c>
      <c r="E725" t="s">
        <v>128</v>
      </c>
      <c r="F725" t="s">
        <v>15</v>
      </c>
      <c r="G725" t="s">
        <v>117</v>
      </c>
      <c r="H725" t="s">
        <v>118</v>
      </c>
      <c r="I725" t="s">
        <v>112</v>
      </c>
      <c r="J725" t="s">
        <v>123</v>
      </c>
      <c r="K725" t="s">
        <v>7</v>
      </c>
      <c r="L725">
        <v>10.3</v>
      </c>
      <c r="M725">
        <v>6.4</v>
      </c>
      <c r="N725" t="s">
        <v>120</v>
      </c>
      <c r="O725" t="s">
        <v>7</v>
      </c>
      <c r="P725" t="s">
        <v>121</v>
      </c>
      <c r="Q725">
        <v>2</v>
      </c>
      <c r="R725">
        <v>2</v>
      </c>
      <c r="S725">
        <v>26.1</v>
      </c>
      <c r="T725">
        <v>159</v>
      </c>
      <c r="U725">
        <v>68</v>
      </c>
      <c r="V725">
        <v>7925</v>
      </c>
      <c r="W725">
        <v>40.5</v>
      </c>
      <c r="X725">
        <v>3</v>
      </c>
      <c r="Y725">
        <v>3</v>
      </c>
      <c r="Z725">
        <v>10</v>
      </c>
      <c r="AA725">
        <v>2.6</v>
      </c>
      <c r="AB725">
        <v>3</v>
      </c>
      <c r="AC725">
        <v>97</v>
      </c>
      <c r="AD725">
        <v>8</v>
      </c>
      <c r="AE725">
        <v>3</v>
      </c>
      <c r="AF725">
        <v>102</v>
      </c>
      <c r="AG725">
        <v>51</v>
      </c>
      <c r="AH725">
        <v>79</v>
      </c>
      <c r="AI725">
        <v>23</v>
      </c>
      <c r="AJ725">
        <v>23</v>
      </c>
      <c r="AK725">
        <v>17</v>
      </c>
      <c r="AL725">
        <v>11</v>
      </c>
      <c r="AM725">
        <v>5</v>
      </c>
      <c r="AN725">
        <v>40</v>
      </c>
      <c r="AO725">
        <v>29</v>
      </c>
      <c r="AP725">
        <v>23</v>
      </c>
      <c r="AQ725">
        <v>27</v>
      </c>
      <c r="AR725">
        <v>1181</v>
      </c>
      <c r="AS725">
        <v>941</v>
      </c>
      <c r="AT725" t="s">
        <v>7</v>
      </c>
      <c r="AU725">
        <v>0.26</v>
      </c>
      <c r="AV725">
        <v>2015</v>
      </c>
      <c r="AW725" s="1">
        <v>45903</v>
      </c>
      <c r="AX725">
        <v>12.1</v>
      </c>
      <c r="AY725" t="s">
        <v>19</v>
      </c>
      <c r="AZ725" t="s">
        <v>31</v>
      </c>
      <c r="BA725" t="s">
        <v>12</v>
      </c>
      <c r="BB725" t="s">
        <v>13</v>
      </c>
      <c r="BC725" t="s">
        <v>7</v>
      </c>
      <c r="BD725">
        <v>2</v>
      </c>
      <c r="BE725" t="s">
        <v>14</v>
      </c>
      <c r="BF725">
        <v>1.37</v>
      </c>
    </row>
    <row r="726" spans="1:58" hidden="1" x14ac:dyDescent="0.2">
      <c r="A726">
        <v>725</v>
      </c>
      <c r="B726" t="s">
        <v>0</v>
      </c>
      <c r="C726">
        <v>31</v>
      </c>
      <c r="D726" t="s">
        <v>1</v>
      </c>
      <c r="E726" t="s">
        <v>17</v>
      </c>
      <c r="F726" t="s">
        <v>40</v>
      </c>
      <c r="G726" t="s">
        <v>16</v>
      </c>
      <c r="H726" t="s">
        <v>118</v>
      </c>
      <c r="I726" t="s">
        <v>113</v>
      </c>
      <c r="J726" t="s">
        <v>32</v>
      </c>
      <c r="K726" t="s">
        <v>7</v>
      </c>
      <c r="L726">
        <v>9.3000000000000007</v>
      </c>
      <c r="M726">
        <v>6.8</v>
      </c>
      <c r="N726" t="s">
        <v>29</v>
      </c>
      <c r="O726" t="s">
        <v>7</v>
      </c>
      <c r="P726" t="s">
        <v>9</v>
      </c>
      <c r="Q726">
        <v>22</v>
      </c>
      <c r="R726">
        <v>7</v>
      </c>
      <c r="S726">
        <v>28.4</v>
      </c>
      <c r="T726">
        <v>140</v>
      </c>
      <c r="U726">
        <v>86</v>
      </c>
      <c r="V726">
        <v>7980</v>
      </c>
      <c r="W726">
        <v>39.1</v>
      </c>
      <c r="X726">
        <v>6</v>
      </c>
      <c r="Y726">
        <v>3</v>
      </c>
      <c r="Z726">
        <v>8</v>
      </c>
      <c r="AA726">
        <v>2.2999999999999998</v>
      </c>
      <c r="AB726">
        <v>4</v>
      </c>
      <c r="AC726">
        <v>194</v>
      </c>
      <c r="AD726">
        <v>6</v>
      </c>
      <c r="AE726">
        <v>6</v>
      </c>
      <c r="AF726">
        <v>172</v>
      </c>
      <c r="AG726">
        <v>111</v>
      </c>
      <c r="AH726">
        <v>128</v>
      </c>
      <c r="AI726">
        <v>31</v>
      </c>
      <c r="AJ726">
        <v>23</v>
      </c>
      <c r="AK726">
        <v>36</v>
      </c>
      <c r="AL726">
        <v>19</v>
      </c>
      <c r="AM726">
        <v>8</v>
      </c>
      <c r="AN726">
        <v>98</v>
      </c>
      <c r="AO726">
        <v>52</v>
      </c>
      <c r="AP726">
        <v>29</v>
      </c>
      <c r="AQ726">
        <v>77</v>
      </c>
      <c r="AR726">
        <v>323</v>
      </c>
      <c r="AS726">
        <v>282</v>
      </c>
      <c r="AT726" t="s">
        <v>13</v>
      </c>
      <c r="AU726">
        <v>0.03</v>
      </c>
      <c r="AV726">
        <v>2010</v>
      </c>
      <c r="AW726" s="1">
        <v>46024</v>
      </c>
      <c r="AX726">
        <v>32.299999999999997</v>
      </c>
      <c r="AY726" t="s">
        <v>10</v>
      </c>
      <c r="AZ726" t="s">
        <v>48</v>
      </c>
      <c r="BA726" t="s">
        <v>122</v>
      </c>
      <c r="BB726" t="s">
        <v>13</v>
      </c>
      <c r="BC726" t="s">
        <v>7</v>
      </c>
      <c r="BD726">
        <v>2</v>
      </c>
      <c r="BE726" t="s">
        <v>14</v>
      </c>
      <c r="BF726">
        <v>1.07</v>
      </c>
    </row>
    <row r="727" spans="1:58" hidden="1" x14ac:dyDescent="0.2">
      <c r="A727">
        <v>726</v>
      </c>
      <c r="B727" t="s">
        <v>0</v>
      </c>
      <c r="C727">
        <v>56</v>
      </c>
      <c r="D727" t="s">
        <v>28</v>
      </c>
      <c r="E727" t="s">
        <v>47</v>
      </c>
      <c r="F727" t="s">
        <v>15</v>
      </c>
      <c r="G727" t="s">
        <v>117</v>
      </c>
      <c r="H727" t="s">
        <v>118</v>
      </c>
      <c r="I727" t="s">
        <v>112</v>
      </c>
      <c r="J727" t="s">
        <v>32</v>
      </c>
      <c r="K727" t="s">
        <v>13</v>
      </c>
      <c r="L727">
        <v>5.4</v>
      </c>
      <c r="M727">
        <v>5.4</v>
      </c>
      <c r="N727" t="s">
        <v>8</v>
      </c>
      <c r="O727" t="s">
        <v>41</v>
      </c>
      <c r="P727" t="s">
        <v>9</v>
      </c>
      <c r="Q727">
        <v>1</v>
      </c>
      <c r="R727">
        <v>5</v>
      </c>
      <c r="S727">
        <v>26.6</v>
      </c>
      <c r="T727">
        <v>125</v>
      </c>
      <c r="U727">
        <v>92</v>
      </c>
      <c r="V727">
        <v>7918</v>
      </c>
      <c r="W727">
        <v>43.9</v>
      </c>
      <c r="X727">
        <v>3</v>
      </c>
      <c r="Y727">
        <v>5</v>
      </c>
      <c r="Z727">
        <v>8</v>
      </c>
      <c r="AA727">
        <v>3.3</v>
      </c>
      <c r="AB727">
        <v>2</v>
      </c>
      <c r="AC727">
        <v>36</v>
      </c>
      <c r="AD727">
        <v>3</v>
      </c>
      <c r="AE727">
        <v>3</v>
      </c>
      <c r="AF727">
        <v>69</v>
      </c>
      <c r="AG727">
        <v>35</v>
      </c>
      <c r="AH727">
        <v>36</v>
      </c>
      <c r="AI727">
        <v>15</v>
      </c>
      <c r="AJ727">
        <v>14</v>
      </c>
      <c r="AK727">
        <v>11</v>
      </c>
      <c r="AL727">
        <v>8</v>
      </c>
      <c r="AM727">
        <v>2</v>
      </c>
      <c r="AN727">
        <v>20</v>
      </c>
      <c r="AO727">
        <v>10</v>
      </c>
      <c r="AP727">
        <v>6</v>
      </c>
      <c r="AQ727">
        <v>8</v>
      </c>
      <c r="AR727">
        <v>1231</v>
      </c>
      <c r="AS727">
        <v>551</v>
      </c>
      <c r="AT727" t="s">
        <v>7</v>
      </c>
      <c r="AU727">
        <v>0.52</v>
      </c>
      <c r="AV727">
        <v>2019</v>
      </c>
      <c r="AW727" s="1">
        <v>45693</v>
      </c>
      <c r="AX727">
        <v>12</v>
      </c>
      <c r="AY727" t="s">
        <v>36</v>
      </c>
      <c r="AZ727" t="s">
        <v>48</v>
      </c>
      <c r="BA727" t="s">
        <v>21</v>
      </c>
      <c r="BB727" t="s">
        <v>7</v>
      </c>
      <c r="BC727" t="s">
        <v>13</v>
      </c>
      <c r="BD727">
        <v>3</v>
      </c>
      <c r="BE727" t="s">
        <v>14</v>
      </c>
      <c r="BF727">
        <v>2.0299999999999998</v>
      </c>
    </row>
    <row r="728" spans="1:58" hidden="1" x14ac:dyDescent="0.2">
      <c r="A728">
        <v>727</v>
      </c>
      <c r="B728" t="s">
        <v>0</v>
      </c>
      <c r="C728">
        <v>51</v>
      </c>
      <c r="D728" t="s">
        <v>1</v>
      </c>
      <c r="E728" t="s">
        <v>42</v>
      </c>
      <c r="F728" t="s">
        <v>15</v>
      </c>
      <c r="G728" t="s">
        <v>16</v>
      </c>
      <c r="H728" t="s">
        <v>23</v>
      </c>
      <c r="I728" t="s">
        <v>112</v>
      </c>
      <c r="J728" t="s">
        <v>6</v>
      </c>
      <c r="K728" t="s">
        <v>7</v>
      </c>
      <c r="L728">
        <v>11.4</v>
      </c>
      <c r="M728">
        <v>6.1</v>
      </c>
      <c r="N728" t="s">
        <v>29</v>
      </c>
      <c r="O728" t="s">
        <v>7</v>
      </c>
      <c r="P728" t="s">
        <v>46</v>
      </c>
      <c r="Q728">
        <v>38</v>
      </c>
      <c r="R728">
        <v>8</v>
      </c>
      <c r="S728">
        <v>22.5</v>
      </c>
      <c r="T728">
        <v>135</v>
      </c>
      <c r="U728">
        <v>61</v>
      </c>
      <c r="V728">
        <v>7955</v>
      </c>
      <c r="W728">
        <v>26.1</v>
      </c>
      <c r="X728">
        <v>2</v>
      </c>
      <c r="Y728">
        <v>4</v>
      </c>
      <c r="Z728">
        <v>9</v>
      </c>
      <c r="AA728">
        <v>3.9</v>
      </c>
      <c r="AB728">
        <v>4</v>
      </c>
      <c r="AC728">
        <v>296</v>
      </c>
      <c r="AD728">
        <v>20</v>
      </c>
      <c r="AE728">
        <v>7</v>
      </c>
      <c r="AF728">
        <v>220</v>
      </c>
      <c r="AG728">
        <v>150</v>
      </c>
      <c r="AH728">
        <v>151</v>
      </c>
      <c r="AI728">
        <v>57</v>
      </c>
      <c r="AJ728">
        <v>40</v>
      </c>
      <c r="AK728">
        <v>41</v>
      </c>
      <c r="AL728">
        <v>38</v>
      </c>
      <c r="AM728">
        <v>2</v>
      </c>
      <c r="AN728">
        <v>161</v>
      </c>
      <c r="AO728">
        <v>88</v>
      </c>
      <c r="AP728">
        <v>48</v>
      </c>
      <c r="AQ728">
        <v>107</v>
      </c>
      <c r="AR728">
        <v>2525</v>
      </c>
      <c r="AS728">
        <v>1206</v>
      </c>
      <c r="AT728" t="s">
        <v>13</v>
      </c>
      <c r="AU728">
        <v>0.1</v>
      </c>
      <c r="AV728">
        <v>2014</v>
      </c>
      <c r="AW728" s="1">
        <v>45825</v>
      </c>
      <c r="AX728">
        <v>14.8</v>
      </c>
      <c r="AY728" t="s">
        <v>45</v>
      </c>
      <c r="AZ728" t="s">
        <v>20</v>
      </c>
      <c r="BA728" t="s">
        <v>12</v>
      </c>
      <c r="BB728" t="s">
        <v>7</v>
      </c>
      <c r="BC728" t="s">
        <v>7</v>
      </c>
      <c r="BD728">
        <v>5</v>
      </c>
      <c r="BE728" t="s">
        <v>14</v>
      </c>
      <c r="BF728">
        <v>0.96</v>
      </c>
    </row>
    <row r="729" spans="1:58" hidden="1" x14ac:dyDescent="0.2">
      <c r="A729">
        <v>728</v>
      </c>
      <c r="B729" t="s">
        <v>0</v>
      </c>
      <c r="C729">
        <v>39</v>
      </c>
      <c r="D729" t="s">
        <v>1</v>
      </c>
      <c r="E729" t="s">
        <v>22</v>
      </c>
      <c r="F729" t="s">
        <v>15</v>
      </c>
      <c r="G729" t="s">
        <v>38</v>
      </c>
      <c r="H729" t="s">
        <v>118</v>
      </c>
      <c r="I729" t="s">
        <v>112</v>
      </c>
      <c r="J729" t="s">
        <v>6</v>
      </c>
      <c r="K729" t="s">
        <v>7</v>
      </c>
      <c r="L729">
        <v>12.3</v>
      </c>
      <c r="M729">
        <v>6.9</v>
      </c>
      <c r="N729" t="s">
        <v>29</v>
      </c>
      <c r="O729" t="s">
        <v>7</v>
      </c>
      <c r="P729" t="s">
        <v>9</v>
      </c>
      <c r="Q729">
        <v>14</v>
      </c>
      <c r="R729">
        <v>10</v>
      </c>
      <c r="S729">
        <v>29.6</v>
      </c>
      <c r="T729">
        <v>135</v>
      </c>
      <c r="U729">
        <v>92</v>
      </c>
      <c r="V729">
        <v>8046</v>
      </c>
      <c r="W729">
        <v>46.8</v>
      </c>
      <c r="X729">
        <v>4</v>
      </c>
      <c r="Y729">
        <v>7</v>
      </c>
      <c r="Z729">
        <v>15</v>
      </c>
      <c r="AA729">
        <v>4.9000000000000004</v>
      </c>
      <c r="AB729">
        <v>1</v>
      </c>
      <c r="AC729">
        <v>126</v>
      </c>
      <c r="AD729">
        <v>11</v>
      </c>
      <c r="AE729">
        <v>2</v>
      </c>
      <c r="AF729">
        <v>131</v>
      </c>
      <c r="AG729">
        <v>74</v>
      </c>
      <c r="AH729">
        <v>101</v>
      </c>
      <c r="AI729">
        <v>23</v>
      </c>
      <c r="AJ729">
        <v>27</v>
      </c>
      <c r="AK729">
        <v>27</v>
      </c>
      <c r="AL729">
        <v>17</v>
      </c>
      <c r="AM729">
        <v>1</v>
      </c>
      <c r="AN729">
        <v>66</v>
      </c>
      <c r="AO729">
        <v>26</v>
      </c>
      <c r="AP729">
        <v>19</v>
      </c>
      <c r="AQ729">
        <v>50</v>
      </c>
      <c r="AR729">
        <v>4328</v>
      </c>
      <c r="AS729">
        <v>5774</v>
      </c>
      <c r="AT729" t="s">
        <v>13</v>
      </c>
      <c r="AU729">
        <v>0.64</v>
      </c>
      <c r="AV729">
        <v>2013</v>
      </c>
      <c r="AW729" s="1">
        <v>45699</v>
      </c>
      <c r="AX729">
        <v>11.5</v>
      </c>
      <c r="AY729" t="s">
        <v>27</v>
      </c>
      <c r="AZ729" t="s">
        <v>37</v>
      </c>
      <c r="BA729" t="s">
        <v>12</v>
      </c>
      <c r="BB729" t="s">
        <v>13</v>
      </c>
      <c r="BC729" t="s">
        <v>7</v>
      </c>
      <c r="BD729">
        <v>3</v>
      </c>
      <c r="BE729" t="s">
        <v>14</v>
      </c>
      <c r="BF729">
        <v>1.2</v>
      </c>
    </row>
    <row r="730" spans="1:58" hidden="1" x14ac:dyDescent="0.2">
      <c r="A730">
        <v>729</v>
      </c>
      <c r="B730" t="s">
        <v>0</v>
      </c>
      <c r="C730">
        <v>22</v>
      </c>
      <c r="D730" t="s">
        <v>28</v>
      </c>
      <c r="E730" t="s">
        <v>33</v>
      </c>
      <c r="F730" t="s">
        <v>15</v>
      </c>
      <c r="G730" t="s">
        <v>4</v>
      </c>
      <c r="H730" t="s">
        <v>118</v>
      </c>
      <c r="I730" t="s">
        <v>17</v>
      </c>
      <c r="J730" t="s">
        <v>6</v>
      </c>
      <c r="K730" t="s">
        <v>13</v>
      </c>
      <c r="L730">
        <v>7.6</v>
      </c>
      <c r="M730">
        <v>6.9</v>
      </c>
      <c r="N730" t="s">
        <v>29</v>
      </c>
      <c r="O730" t="s">
        <v>7</v>
      </c>
      <c r="P730" t="s">
        <v>26</v>
      </c>
      <c r="Q730">
        <v>1</v>
      </c>
      <c r="R730">
        <v>10</v>
      </c>
      <c r="S730">
        <v>26.1</v>
      </c>
      <c r="T730">
        <v>143</v>
      </c>
      <c r="U730">
        <v>94</v>
      </c>
      <c r="V730">
        <v>7956</v>
      </c>
      <c r="W730">
        <v>28.6</v>
      </c>
      <c r="X730">
        <v>4</v>
      </c>
      <c r="Y730">
        <v>4</v>
      </c>
      <c r="Z730">
        <v>4</v>
      </c>
      <c r="AA730">
        <v>1.7</v>
      </c>
      <c r="AB730">
        <v>3</v>
      </c>
      <c r="AC730">
        <v>5</v>
      </c>
      <c r="AD730">
        <v>1</v>
      </c>
      <c r="AE730">
        <v>7</v>
      </c>
      <c r="AF730">
        <v>141</v>
      </c>
      <c r="AG730">
        <v>36</v>
      </c>
      <c r="AH730">
        <v>28</v>
      </c>
      <c r="AI730">
        <v>5</v>
      </c>
      <c r="AJ730">
        <v>11</v>
      </c>
      <c r="AK730">
        <v>12</v>
      </c>
      <c r="AL730">
        <v>5</v>
      </c>
      <c r="AM730">
        <v>1</v>
      </c>
      <c r="AN730">
        <v>2</v>
      </c>
      <c r="AO730">
        <v>1</v>
      </c>
      <c r="AP730">
        <v>1</v>
      </c>
      <c r="AQ730">
        <v>1</v>
      </c>
      <c r="AR730">
        <v>91</v>
      </c>
      <c r="AS730">
        <v>82</v>
      </c>
      <c r="AT730" t="s">
        <v>13</v>
      </c>
      <c r="AU730">
        <v>0.64</v>
      </c>
      <c r="AV730">
        <v>2012</v>
      </c>
      <c r="AW730" s="1">
        <v>45997</v>
      </c>
      <c r="AX730">
        <v>5</v>
      </c>
      <c r="AY730" t="s">
        <v>19</v>
      </c>
      <c r="AZ730" t="s">
        <v>51</v>
      </c>
      <c r="BA730" t="s">
        <v>122</v>
      </c>
      <c r="BB730" t="s">
        <v>13</v>
      </c>
      <c r="BC730" t="s">
        <v>13</v>
      </c>
      <c r="BD730">
        <v>1</v>
      </c>
      <c r="BE730" t="s">
        <v>43</v>
      </c>
      <c r="BF730">
        <v>9.83</v>
      </c>
    </row>
    <row r="731" spans="1:58" hidden="1" x14ac:dyDescent="0.2">
      <c r="A731">
        <v>730</v>
      </c>
      <c r="B731" t="s">
        <v>0</v>
      </c>
      <c r="C731">
        <v>38</v>
      </c>
      <c r="D731" t="s">
        <v>28</v>
      </c>
      <c r="E731" t="s">
        <v>47</v>
      </c>
      <c r="F731" t="s">
        <v>15</v>
      </c>
      <c r="G731" t="s">
        <v>16</v>
      </c>
      <c r="H731" t="s">
        <v>118</v>
      </c>
      <c r="I731" t="s">
        <v>113</v>
      </c>
      <c r="J731" t="s">
        <v>6</v>
      </c>
      <c r="K731" t="s">
        <v>7</v>
      </c>
      <c r="L731">
        <v>0.9</v>
      </c>
      <c r="M731">
        <v>7.9</v>
      </c>
      <c r="N731" t="s">
        <v>8</v>
      </c>
      <c r="O731" t="s">
        <v>7</v>
      </c>
      <c r="P731" t="s">
        <v>9</v>
      </c>
      <c r="Q731">
        <v>13</v>
      </c>
      <c r="R731">
        <v>9</v>
      </c>
      <c r="S731">
        <v>23.1</v>
      </c>
      <c r="T731">
        <v>119</v>
      </c>
      <c r="U731">
        <v>94</v>
      </c>
      <c r="V731">
        <v>7819</v>
      </c>
      <c r="W731">
        <v>32.1</v>
      </c>
      <c r="X731">
        <v>0</v>
      </c>
      <c r="Y731">
        <v>3</v>
      </c>
      <c r="Z731">
        <v>17</v>
      </c>
      <c r="AA731">
        <v>1.6</v>
      </c>
      <c r="AB731">
        <v>3</v>
      </c>
      <c r="AC731">
        <v>81</v>
      </c>
      <c r="AD731">
        <v>5</v>
      </c>
      <c r="AE731">
        <v>4</v>
      </c>
      <c r="AF731">
        <v>77</v>
      </c>
      <c r="AG731">
        <v>52</v>
      </c>
      <c r="AH731">
        <v>57</v>
      </c>
      <c r="AI731">
        <v>17</v>
      </c>
      <c r="AJ731">
        <v>21</v>
      </c>
      <c r="AK731">
        <v>19</v>
      </c>
      <c r="AL731">
        <v>8</v>
      </c>
      <c r="AM731">
        <v>3</v>
      </c>
      <c r="AN731">
        <v>45</v>
      </c>
      <c r="AO731">
        <v>9</v>
      </c>
      <c r="AP731">
        <v>20</v>
      </c>
      <c r="AQ731">
        <v>31</v>
      </c>
      <c r="AR731">
        <v>1742</v>
      </c>
      <c r="AS731">
        <v>2199</v>
      </c>
      <c r="AT731" t="s">
        <v>7</v>
      </c>
      <c r="AU731">
        <v>0.24</v>
      </c>
      <c r="AV731">
        <v>2023</v>
      </c>
      <c r="AW731" s="1">
        <v>45733</v>
      </c>
      <c r="AX731">
        <v>16.2</v>
      </c>
      <c r="AY731" t="s">
        <v>27</v>
      </c>
      <c r="AZ731" t="s">
        <v>48</v>
      </c>
      <c r="BA731" t="s">
        <v>12</v>
      </c>
      <c r="BB731" t="s">
        <v>13</v>
      </c>
      <c r="BC731" t="s">
        <v>13</v>
      </c>
      <c r="BD731">
        <v>1</v>
      </c>
      <c r="BE731" t="s">
        <v>14</v>
      </c>
      <c r="BF731">
        <v>1.26</v>
      </c>
    </row>
    <row r="732" spans="1:58" hidden="1" x14ac:dyDescent="0.2">
      <c r="A732">
        <v>731</v>
      </c>
      <c r="B732" t="s">
        <v>0</v>
      </c>
      <c r="C732">
        <v>31</v>
      </c>
      <c r="D732" t="s">
        <v>1</v>
      </c>
      <c r="E732" t="s">
        <v>128</v>
      </c>
      <c r="F732" t="s">
        <v>40</v>
      </c>
      <c r="G732" t="s">
        <v>117</v>
      </c>
      <c r="H732" t="s">
        <v>23</v>
      </c>
      <c r="I732" t="s">
        <v>114</v>
      </c>
      <c r="J732" t="s">
        <v>123</v>
      </c>
      <c r="K732" t="s">
        <v>7</v>
      </c>
      <c r="L732">
        <v>7</v>
      </c>
      <c r="M732">
        <v>6.3</v>
      </c>
      <c r="N732" t="s">
        <v>29</v>
      </c>
      <c r="O732" t="s">
        <v>7</v>
      </c>
      <c r="P732" t="s">
        <v>46</v>
      </c>
      <c r="Q732">
        <v>15</v>
      </c>
      <c r="R732">
        <v>4</v>
      </c>
      <c r="S732">
        <v>20.3</v>
      </c>
      <c r="T732">
        <v>90</v>
      </c>
      <c r="U732">
        <v>66</v>
      </c>
      <c r="V732">
        <v>8035</v>
      </c>
      <c r="W732">
        <v>31</v>
      </c>
      <c r="X732">
        <v>2</v>
      </c>
      <c r="Y732">
        <v>6</v>
      </c>
      <c r="Z732">
        <v>13</v>
      </c>
      <c r="AA732">
        <v>3.7</v>
      </c>
      <c r="AB732">
        <v>3</v>
      </c>
      <c r="AC732">
        <v>222</v>
      </c>
      <c r="AD732">
        <v>22</v>
      </c>
      <c r="AE732">
        <v>6</v>
      </c>
      <c r="AF732">
        <v>163</v>
      </c>
      <c r="AG732">
        <v>120</v>
      </c>
      <c r="AH732">
        <v>124</v>
      </c>
      <c r="AI732">
        <v>34</v>
      </c>
      <c r="AJ732">
        <v>38</v>
      </c>
      <c r="AK732">
        <v>32</v>
      </c>
      <c r="AL732">
        <v>20</v>
      </c>
      <c r="AM732">
        <v>3</v>
      </c>
      <c r="AN732">
        <v>100</v>
      </c>
      <c r="AO732">
        <v>37</v>
      </c>
      <c r="AP732">
        <v>23</v>
      </c>
      <c r="AQ732">
        <v>78</v>
      </c>
      <c r="AR732">
        <v>1127</v>
      </c>
      <c r="AS732">
        <v>488</v>
      </c>
      <c r="AT732" t="s">
        <v>7</v>
      </c>
      <c r="AU732">
        <v>0.9</v>
      </c>
      <c r="AV732">
        <v>2022</v>
      </c>
      <c r="AW732" s="1">
        <v>45931</v>
      </c>
      <c r="AX732">
        <v>10.1</v>
      </c>
      <c r="AY732" t="s">
        <v>45</v>
      </c>
      <c r="AZ732" t="s">
        <v>35</v>
      </c>
      <c r="BA732" t="s">
        <v>21</v>
      </c>
      <c r="BB732" t="s">
        <v>13</v>
      </c>
      <c r="BC732" t="s">
        <v>13</v>
      </c>
      <c r="BD732">
        <v>1</v>
      </c>
      <c r="BE732" t="s">
        <v>14</v>
      </c>
      <c r="BF732">
        <v>0.94</v>
      </c>
    </row>
    <row r="733" spans="1:58" hidden="1" x14ac:dyDescent="0.2">
      <c r="A733">
        <v>732</v>
      </c>
      <c r="B733" t="s">
        <v>0</v>
      </c>
      <c r="C733">
        <v>51</v>
      </c>
      <c r="D733" t="s">
        <v>28</v>
      </c>
      <c r="E733" t="s">
        <v>50</v>
      </c>
      <c r="F733" t="s">
        <v>3</v>
      </c>
      <c r="G733" t="s">
        <v>16</v>
      </c>
      <c r="H733" t="s">
        <v>34</v>
      </c>
      <c r="I733" t="s">
        <v>115</v>
      </c>
      <c r="J733" t="s">
        <v>6</v>
      </c>
      <c r="K733" t="s">
        <v>7</v>
      </c>
      <c r="L733">
        <v>3.7</v>
      </c>
      <c r="M733">
        <v>6.9</v>
      </c>
      <c r="N733" t="s">
        <v>29</v>
      </c>
      <c r="O733" t="s">
        <v>13</v>
      </c>
      <c r="P733" t="s">
        <v>26</v>
      </c>
      <c r="Q733">
        <v>0</v>
      </c>
      <c r="R733">
        <v>5</v>
      </c>
      <c r="S733">
        <v>26.2</v>
      </c>
      <c r="T733">
        <v>113</v>
      </c>
      <c r="U733">
        <v>80</v>
      </c>
      <c r="V733">
        <v>8009</v>
      </c>
      <c r="W733">
        <v>47.2</v>
      </c>
      <c r="X733">
        <v>6</v>
      </c>
      <c r="Y733">
        <v>2</v>
      </c>
      <c r="Z733">
        <v>13</v>
      </c>
      <c r="AA733">
        <v>1.6</v>
      </c>
      <c r="AB733">
        <v>1</v>
      </c>
      <c r="AC733">
        <v>5</v>
      </c>
      <c r="AD733">
        <v>1</v>
      </c>
      <c r="AE733">
        <v>1</v>
      </c>
      <c r="AF733">
        <v>44</v>
      </c>
      <c r="AG733">
        <v>41</v>
      </c>
      <c r="AH733">
        <v>28</v>
      </c>
      <c r="AI733">
        <v>5</v>
      </c>
      <c r="AJ733">
        <v>11</v>
      </c>
      <c r="AK733">
        <v>4</v>
      </c>
      <c r="AL733">
        <v>6</v>
      </c>
      <c r="AM733">
        <v>1</v>
      </c>
      <c r="AN733">
        <v>3</v>
      </c>
      <c r="AO733">
        <v>1</v>
      </c>
      <c r="AP733">
        <v>1</v>
      </c>
      <c r="AQ733">
        <v>1</v>
      </c>
      <c r="AR733">
        <v>459</v>
      </c>
      <c r="AS733">
        <v>652</v>
      </c>
      <c r="AT733" t="s">
        <v>7</v>
      </c>
      <c r="AU733">
        <v>0.02</v>
      </c>
      <c r="AV733">
        <v>2012</v>
      </c>
      <c r="AW733" s="1">
        <v>45962</v>
      </c>
      <c r="AX733">
        <v>5</v>
      </c>
      <c r="AY733" t="s">
        <v>45</v>
      </c>
      <c r="AZ733" t="s">
        <v>11</v>
      </c>
      <c r="BA733" t="s">
        <v>122</v>
      </c>
      <c r="BB733" t="s">
        <v>13</v>
      </c>
      <c r="BC733" t="s">
        <v>7</v>
      </c>
      <c r="BD733">
        <v>1</v>
      </c>
      <c r="BE733" t="s">
        <v>14</v>
      </c>
      <c r="BF733">
        <v>6.83</v>
      </c>
    </row>
    <row r="734" spans="1:58" hidden="1" x14ac:dyDescent="0.2">
      <c r="A734">
        <v>733</v>
      </c>
      <c r="B734" t="s">
        <v>0</v>
      </c>
      <c r="C734">
        <v>15</v>
      </c>
      <c r="D734" t="s">
        <v>28</v>
      </c>
      <c r="E734" t="s">
        <v>42</v>
      </c>
      <c r="F734" t="s">
        <v>40</v>
      </c>
      <c r="G734" t="s">
        <v>16</v>
      </c>
      <c r="H734" t="s">
        <v>119</v>
      </c>
      <c r="I734" t="s">
        <v>115</v>
      </c>
      <c r="J734" t="s">
        <v>6</v>
      </c>
      <c r="K734" t="s">
        <v>13</v>
      </c>
      <c r="L734">
        <v>4.2</v>
      </c>
      <c r="M734">
        <v>7.3</v>
      </c>
      <c r="N734" t="s">
        <v>8</v>
      </c>
      <c r="O734" t="s">
        <v>7</v>
      </c>
      <c r="P734" t="s">
        <v>46</v>
      </c>
      <c r="Q734">
        <v>15</v>
      </c>
      <c r="R734">
        <v>8</v>
      </c>
      <c r="S734">
        <v>32.200000000000003</v>
      </c>
      <c r="T734">
        <v>153</v>
      </c>
      <c r="U734">
        <v>80</v>
      </c>
      <c r="V734">
        <v>8016</v>
      </c>
      <c r="W734">
        <v>45.2</v>
      </c>
      <c r="X734">
        <v>2</v>
      </c>
      <c r="Y734">
        <v>4</v>
      </c>
      <c r="Z734">
        <v>10</v>
      </c>
      <c r="AA734">
        <v>2.6</v>
      </c>
      <c r="AB734">
        <v>2</v>
      </c>
      <c r="AC734">
        <v>168</v>
      </c>
      <c r="AD734">
        <v>6</v>
      </c>
      <c r="AE734">
        <v>9</v>
      </c>
      <c r="AF734">
        <v>198</v>
      </c>
      <c r="AG734">
        <v>94</v>
      </c>
      <c r="AH734">
        <v>114</v>
      </c>
      <c r="AI734">
        <v>27</v>
      </c>
      <c r="AJ734">
        <v>26</v>
      </c>
      <c r="AK734">
        <v>26</v>
      </c>
      <c r="AL734">
        <v>14</v>
      </c>
      <c r="AM734">
        <v>3</v>
      </c>
      <c r="AN734">
        <v>84</v>
      </c>
      <c r="AO734">
        <v>17</v>
      </c>
      <c r="AP734">
        <v>40</v>
      </c>
      <c r="AQ734">
        <v>58</v>
      </c>
      <c r="AR734">
        <v>1168</v>
      </c>
      <c r="AS734">
        <v>2339</v>
      </c>
      <c r="AT734" t="s">
        <v>13</v>
      </c>
      <c r="AU734">
        <v>0.64</v>
      </c>
      <c r="AV734">
        <v>2025</v>
      </c>
      <c r="AW734" s="1">
        <v>45696</v>
      </c>
      <c r="AX734">
        <v>28</v>
      </c>
      <c r="AY734" t="s">
        <v>19</v>
      </c>
      <c r="AZ734" t="s">
        <v>17</v>
      </c>
      <c r="BA734" t="s">
        <v>122</v>
      </c>
      <c r="BB734" t="s">
        <v>7</v>
      </c>
      <c r="BC734" t="s">
        <v>13</v>
      </c>
      <c r="BD734">
        <v>2</v>
      </c>
      <c r="BE734" t="s">
        <v>14</v>
      </c>
      <c r="BF734">
        <v>1.1499999999999999</v>
      </c>
    </row>
    <row r="735" spans="1:58" hidden="1" x14ac:dyDescent="0.2">
      <c r="A735">
        <v>734</v>
      </c>
      <c r="B735" t="s">
        <v>0</v>
      </c>
      <c r="C735">
        <v>57</v>
      </c>
      <c r="D735" t="s">
        <v>1</v>
      </c>
      <c r="E735" t="s">
        <v>50</v>
      </c>
      <c r="F735" t="s">
        <v>40</v>
      </c>
      <c r="G735" t="s">
        <v>4</v>
      </c>
      <c r="H735" t="s">
        <v>24</v>
      </c>
      <c r="I735" t="s">
        <v>114</v>
      </c>
      <c r="J735" t="s">
        <v>123</v>
      </c>
      <c r="K735" t="s">
        <v>13</v>
      </c>
      <c r="L735">
        <v>4.3</v>
      </c>
      <c r="M735">
        <v>5</v>
      </c>
      <c r="N735" t="s">
        <v>39</v>
      </c>
      <c r="O735" t="s">
        <v>7</v>
      </c>
      <c r="P735" t="s">
        <v>121</v>
      </c>
      <c r="Q735">
        <v>37</v>
      </c>
      <c r="R735">
        <v>7</v>
      </c>
      <c r="S735">
        <v>24.1</v>
      </c>
      <c r="T735">
        <v>124</v>
      </c>
      <c r="U735">
        <v>77</v>
      </c>
      <c r="V735">
        <v>8029</v>
      </c>
      <c r="W735">
        <v>33.200000000000003</v>
      </c>
      <c r="X735">
        <v>6</v>
      </c>
      <c r="Y735">
        <v>2</v>
      </c>
      <c r="Z735">
        <v>11</v>
      </c>
      <c r="AA735">
        <v>1.3</v>
      </c>
      <c r="AB735">
        <v>3</v>
      </c>
      <c r="AC735">
        <v>218</v>
      </c>
      <c r="AD735">
        <v>9</v>
      </c>
      <c r="AE735">
        <v>6</v>
      </c>
      <c r="AF735">
        <v>169</v>
      </c>
      <c r="AG735">
        <v>122</v>
      </c>
      <c r="AH735">
        <v>140</v>
      </c>
      <c r="AI735">
        <v>45</v>
      </c>
      <c r="AJ735">
        <v>30</v>
      </c>
      <c r="AK735">
        <v>29</v>
      </c>
      <c r="AL735">
        <v>22</v>
      </c>
      <c r="AM735">
        <v>4</v>
      </c>
      <c r="AN735">
        <v>119</v>
      </c>
      <c r="AO735">
        <v>41</v>
      </c>
      <c r="AP735">
        <v>24</v>
      </c>
      <c r="AQ735">
        <v>52</v>
      </c>
      <c r="AR735">
        <v>322</v>
      </c>
      <c r="AS735">
        <v>399</v>
      </c>
      <c r="AT735" t="s">
        <v>7</v>
      </c>
      <c r="AU735">
        <v>0.94</v>
      </c>
      <c r="AV735">
        <v>2012</v>
      </c>
      <c r="AW735" s="1">
        <v>45837</v>
      </c>
      <c r="AX735">
        <v>24.2</v>
      </c>
      <c r="AY735" t="s">
        <v>27</v>
      </c>
      <c r="AZ735" t="s">
        <v>17</v>
      </c>
      <c r="BA735" t="s">
        <v>122</v>
      </c>
      <c r="BB735" t="s">
        <v>13</v>
      </c>
      <c r="BC735" t="s">
        <v>7</v>
      </c>
      <c r="BD735">
        <v>3</v>
      </c>
      <c r="BE735" t="s">
        <v>14</v>
      </c>
      <c r="BF735">
        <v>1.1299999999999999</v>
      </c>
    </row>
    <row r="736" spans="1:58" hidden="1" x14ac:dyDescent="0.2">
      <c r="A736">
        <v>735</v>
      </c>
      <c r="B736" t="s">
        <v>0</v>
      </c>
      <c r="C736">
        <v>25</v>
      </c>
      <c r="D736" t="s">
        <v>28</v>
      </c>
      <c r="E736" t="s">
        <v>17</v>
      </c>
      <c r="F736" t="s">
        <v>15</v>
      </c>
      <c r="G736" t="s">
        <v>117</v>
      </c>
      <c r="H736" t="s">
        <v>118</v>
      </c>
      <c r="I736" t="s">
        <v>114</v>
      </c>
      <c r="J736" t="s">
        <v>6</v>
      </c>
      <c r="K736" t="s">
        <v>13</v>
      </c>
      <c r="L736">
        <v>6.3</v>
      </c>
      <c r="M736">
        <v>5.8</v>
      </c>
      <c r="N736" t="s">
        <v>29</v>
      </c>
      <c r="O736" t="s">
        <v>13</v>
      </c>
      <c r="P736" t="s">
        <v>9</v>
      </c>
      <c r="Q736">
        <v>23</v>
      </c>
      <c r="R736">
        <v>7</v>
      </c>
      <c r="S736">
        <v>23.2</v>
      </c>
      <c r="T736">
        <v>143</v>
      </c>
      <c r="U736">
        <v>81</v>
      </c>
      <c r="V736">
        <v>8027</v>
      </c>
      <c r="W736">
        <v>45.8</v>
      </c>
      <c r="X736">
        <v>2</v>
      </c>
      <c r="Y736">
        <v>3</v>
      </c>
      <c r="Z736">
        <v>6</v>
      </c>
      <c r="AA736">
        <v>5</v>
      </c>
      <c r="AB736">
        <v>1</v>
      </c>
      <c r="AC736">
        <v>173</v>
      </c>
      <c r="AD736">
        <v>20</v>
      </c>
      <c r="AE736">
        <v>3</v>
      </c>
      <c r="AF736">
        <v>230</v>
      </c>
      <c r="AG736">
        <v>97</v>
      </c>
      <c r="AH736">
        <v>113</v>
      </c>
      <c r="AI736">
        <v>39</v>
      </c>
      <c r="AJ736">
        <v>20</v>
      </c>
      <c r="AK736">
        <v>25</v>
      </c>
      <c r="AL736">
        <v>22</v>
      </c>
      <c r="AM736">
        <v>3</v>
      </c>
      <c r="AN736">
        <v>74</v>
      </c>
      <c r="AO736">
        <v>24</v>
      </c>
      <c r="AP736">
        <v>41</v>
      </c>
      <c r="AQ736">
        <v>44</v>
      </c>
      <c r="AR736">
        <v>408</v>
      </c>
      <c r="AS736">
        <v>367</v>
      </c>
      <c r="AT736" t="s">
        <v>7</v>
      </c>
      <c r="AU736">
        <v>0.74</v>
      </c>
      <c r="AV736">
        <v>2017</v>
      </c>
      <c r="AW736" s="1">
        <v>45994</v>
      </c>
      <c r="AX736">
        <v>8.6</v>
      </c>
      <c r="AY736" t="s">
        <v>27</v>
      </c>
      <c r="AZ736" t="s">
        <v>20</v>
      </c>
      <c r="BA736" t="s">
        <v>21</v>
      </c>
      <c r="BB736" t="s">
        <v>7</v>
      </c>
      <c r="BC736" t="s">
        <v>13</v>
      </c>
      <c r="BD736">
        <v>4</v>
      </c>
      <c r="BE736" t="s">
        <v>14</v>
      </c>
      <c r="BF736">
        <v>1.1499999999999999</v>
      </c>
    </row>
    <row r="737" spans="1:58" hidden="1" x14ac:dyDescent="0.2">
      <c r="A737">
        <v>736</v>
      </c>
      <c r="B737" t="s">
        <v>0</v>
      </c>
      <c r="C737">
        <v>62</v>
      </c>
      <c r="D737" t="s">
        <v>1</v>
      </c>
      <c r="E737" t="s">
        <v>128</v>
      </c>
      <c r="F737" t="s">
        <v>40</v>
      </c>
      <c r="G737" t="s">
        <v>4</v>
      </c>
      <c r="H737" t="s">
        <v>23</v>
      </c>
      <c r="I737" t="s">
        <v>112</v>
      </c>
      <c r="J737" t="s">
        <v>123</v>
      </c>
      <c r="K737" t="s">
        <v>7</v>
      </c>
      <c r="L737">
        <v>6.6</v>
      </c>
      <c r="M737">
        <v>7.8</v>
      </c>
      <c r="N737" t="s">
        <v>29</v>
      </c>
      <c r="O737" t="s">
        <v>7</v>
      </c>
      <c r="P737" t="s">
        <v>26</v>
      </c>
      <c r="Q737">
        <v>10</v>
      </c>
      <c r="R737">
        <v>6</v>
      </c>
      <c r="S737">
        <v>33.799999999999997</v>
      </c>
      <c r="T737">
        <v>95</v>
      </c>
      <c r="U737">
        <v>89</v>
      </c>
      <c r="V737">
        <v>8099</v>
      </c>
      <c r="W737">
        <v>37.4</v>
      </c>
      <c r="X737">
        <v>2</v>
      </c>
      <c r="Y737">
        <v>2</v>
      </c>
      <c r="Z737">
        <v>9</v>
      </c>
      <c r="AA737">
        <v>2.2999999999999998</v>
      </c>
      <c r="AB737">
        <v>4</v>
      </c>
      <c r="AC737">
        <v>57</v>
      </c>
      <c r="AD737">
        <v>5</v>
      </c>
      <c r="AE737">
        <v>1</v>
      </c>
      <c r="AF737">
        <v>67</v>
      </c>
      <c r="AG737">
        <v>45</v>
      </c>
      <c r="AH737">
        <v>46</v>
      </c>
      <c r="AI737">
        <v>12</v>
      </c>
      <c r="AJ737">
        <v>20</v>
      </c>
      <c r="AK737">
        <v>16</v>
      </c>
      <c r="AL737">
        <v>10</v>
      </c>
      <c r="AM737">
        <v>5</v>
      </c>
      <c r="AN737">
        <v>32</v>
      </c>
      <c r="AO737">
        <v>12</v>
      </c>
      <c r="AP737">
        <v>11</v>
      </c>
      <c r="AQ737">
        <v>20</v>
      </c>
      <c r="AR737">
        <v>610</v>
      </c>
      <c r="AS737">
        <v>1513</v>
      </c>
      <c r="AT737" t="s">
        <v>7</v>
      </c>
      <c r="AU737">
        <v>0.31</v>
      </c>
      <c r="AV737">
        <v>2021</v>
      </c>
      <c r="AW737" s="1">
        <v>45773</v>
      </c>
      <c r="AX737">
        <v>11.4</v>
      </c>
      <c r="AY737" t="s">
        <v>30</v>
      </c>
      <c r="AZ737" t="s">
        <v>17</v>
      </c>
      <c r="BA737" t="s">
        <v>122</v>
      </c>
      <c r="BB737" t="s">
        <v>7</v>
      </c>
      <c r="BC737" t="s">
        <v>13</v>
      </c>
      <c r="BD737">
        <v>1</v>
      </c>
      <c r="BE737" t="s">
        <v>14</v>
      </c>
      <c r="BF737">
        <v>1.26</v>
      </c>
    </row>
    <row r="738" spans="1:58" hidden="1" x14ac:dyDescent="0.2">
      <c r="A738">
        <v>737</v>
      </c>
      <c r="B738" t="s">
        <v>0</v>
      </c>
      <c r="C738">
        <v>40</v>
      </c>
      <c r="D738" t="s">
        <v>1</v>
      </c>
      <c r="E738" t="s">
        <v>17</v>
      </c>
      <c r="F738" t="s">
        <v>15</v>
      </c>
      <c r="G738" t="s">
        <v>116</v>
      </c>
      <c r="H738" t="s">
        <v>23</v>
      </c>
      <c r="I738" t="s">
        <v>17</v>
      </c>
      <c r="J738" t="s">
        <v>123</v>
      </c>
      <c r="K738" t="s">
        <v>7</v>
      </c>
      <c r="L738">
        <v>9.1999999999999993</v>
      </c>
      <c r="M738">
        <v>7.5</v>
      </c>
      <c r="N738" t="s">
        <v>29</v>
      </c>
      <c r="O738" t="s">
        <v>7</v>
      </c>
      <c r="P738" t="s">
        <v>9</v>
      </c>
      <c r="Q738">
        <v>1</v>
      </c>
      <c r="R738">
        <v>3</v>
      </c>
      <c r="S738">
        <v>24.2</v>
      </c>
      <c r="T738">
        <v>116</v>
      </c>
      <c r="U738">
        <v>83</v>
      </c>
      <c r="V738">
        <v>7969</v>
      </c>
      <c r="W738">
        <v>33.1</v>
      </c>
      <c r="X738">
        <v>5</v>
      </c>
      <c r="Y738">
        <v>4</v>
      </c>
      <c r="Z738">
        <v>13</v>
      </c>
      <c r="AA738">
        <v>0.9</v>
      </c>
      <c r="AB738">
        <v>3</v>
      </c>
      <c r="AC738">
        <v>115</v>
      </c>
      <c r="AD738">
        <v>12</v>
      </c>
      <c r="AE738">
        <v>3</v>
      </c>
      <c r="AF738">
        <v>111</v>
      </c>
      <c r="AG738">
        <v>98</v>
      </c>
      <c r="AH738">
        <v>69</v>
      </c>
      <c r="AI738">
        <v>27</v>
      </c>
      <c r="AJ738">
        <v>25</v>
      </c>
      <c r="AK738">
        <v>28</v>
      </c>
      <c r="AL738">
        <v>10</v>
      </c>
      <c r="AM738">
        <v>4</v>
      </c>
      <c r="AN738">
        <v>67</v>
      </c>
      <c r="AO738">
        <v>30</v>
      </c>
      <c r="AP738">
        <v>21</v>
      </c>
      <c r="AQ738">
        <v>31</v>
      </c>
      <c r="AR738">
        <v>131</v>
      </c>
      <c r="AS738">
        <v>269</v>
      </c>
      <c r="AT738" t="s">
        <v>13</v>
      </c>
      <c r="AU738">
        <v>0.12</v>
      </c>
      <c r="AV738">
        <v>2013</v>
      </c>
      <c r="AW738" s="1">
        <v>45700</v>
      </c>
      <c r="AX738">
        <v>9.6</v>
      </c>
      <c r="AY738" t="s">
        <v>36</v>
      </c>
      <c r="AZ738" t="s">
        <v>17</v>
      </c>
      <c r="BA738" t="s">
        <v>12</v>
      </c>
      <c r="BB738" t="s">
        <v>13</v>
      </c>
      <c r="BC738" t="s">
        <v>7</v>
      </c>
      <c r="BD738">
        <v>5</v>
      </c>
      <c r="BE738" t="s">
        <v>14</v>
      </c>
      <c r="BF738">
        <v>1.1399999999999999</v>
      </c>
    </row>
    <row r="739" spans="1:58" hidden="1" x14ac:dyDescent="0.2">
      <c r="A739">
        <v>738</v>
      </c>
      <c r="B739" t="s">
        <v>0</v>
      </c>
      <c r="C739">
        <v>32</v>
      </c>
      <c r="D739" t="s">
        <v>28</v>
      </c>
      <c r="E739" t="s">
        <v>128</v>
      </c>
      <c r="F739" t="s">
        <v>40</v>
      </c>
      <c r="G739" t="s">
        <v>117</v>
      </c>
      <c r="H739" t="s">
        <v>23</v>
      </c>
      <c r="I739" t="s">
        <v>112</v>
      </c>
      <c r="J739" t="s">
        <v>123</v>
      </c>
      <c r="K739" t="s">
        <v>7</v>
      </c>
      <c r="L739">
        <v>8.8000000000000007</v>
      </c>
      <c r="M739">
        <v>7.3</v>
      </c>
      <c r="N739" t="s">
        <v>8</v>
      </c>
      <c r="O739" t="s">
        <v>7</v>
      </c>
      <c r="P739" t="s">
        <v>121</v>
      </c>
      <c r="Q739">
        <v>32</v>
      </c>
      <c r="R739">
        <v>9</v>
      </c>
      <c r="S739">
        <v>26</v>
      </c>
      <c r="T739">
        <v>130</v>
      </c>
      <c r="U739">
        <v>71</v>
      </c>
      <c r="V739">
        <v>8041</v>
      </c>
      <c r="W739">
        <v>37</v>
      </c>
      <c r="X739">
        <v>2</v>
      </c>
      <c r="Y739">
        <v>4</v>
      </c>
      <c r="Z739">
        <v>10</v>
      </c>
      <c r="AA739">
        <v>2.7</v>
      </c>
      <c r="AB739">
        <v>2</v>
      </c>
      <c r="AC739">
        <v>259</v>
      </c>
      <c r="AD739">
        <v>16</v>
      </c>
      <c r="AE739">
        <v>5</v>
      </c>
      <c r="AF739">
        <v>184</v>
      </c>
      <c r="AG739">
        <v>130</v>
      </c>
      <c r="AH739">
        <v>163</v>
      </c>
      <c r="AI739">
        <v>51</v>
      </c>
      <c r="AJ739">
        <v>27</v>
      </c>
      <c r="AK739">
        <v>47</v>
      </c>
      <c r="AL739">
        <v>22</v>
      </c>
      <c r="AM739">
        <v>5</v>
      </c>
      <c r="AN739">
        <v>107</v>
      </c>
      <c r="AO739">
        <v>67</v>
      </c>
      <c r="AP739">
        <v>55</v>
      </c>
      <c r="AQ739">
        <v>102</v>
      </c>
      <c r="AR739">
        <v>699</v>
      </c>
      <c r="AS739">
        <v>890</v>
      </c>
      <c r="AT739" t="s">
        <v>13</v>
      </c>
      <c r="AU739">
        <v>0.16</v>
      </c>
      <c r="AV739">
        <v>2015</v>
      </c>
      <c r="AW739" s="1">
        <v>45772</v>
      </c>
      <c r="AX739">
        <v>16.2</v>
      </c>
      <c r="AY739" t="s">
        <v>27</v>
      </c>
      <c r="AZ739" t="s">
        <v>48</v>
      </c>
      <c r="BA739" t="s">
        <v>21</v>
      </c>
      <c r="BB739" t="s">
        <v>7</v>
      </c>
      <c r="BC739" t="s">
        <v>13</v>
      </c>
      <c r="BD739">
        <v>1</v>
      </c>
      <c r="BE739" t="s">
        <v>14</v>
      </c>
      <c r="BF739">
        <v>1.08</v>
      </c>
    </row>
    <row r="740" spans="1:58" hidden="1" x14ac:dyDescent="0.2">
      <c r="A740">
        <v>739</v>
      </c>
      <c r="B740" t="s">
        <v>0</v>
      </c>
      <c r="C740">
        <v>40</v>
      </c>
      <c r="D740" t="s">
        <v>28</v>
      </c>
      <c r="E740" t="s">
        <v>33</v>
      </c>
      <c r="F740" t="s">
        <v>15</v>
      </c>
      <c r="G740" t="s">
        <v>117</v>
      </c>
      <c r="H740" t="s">
        <v>118</v>
      </c>
      <c r="I740" t="s">
        <v>53</v>
      </c>
      <c r="J740" t="s">
        <v>32</v>
      </c>
      <c r="K740" t="s">
        <v>7</v>
      </c>
      <c r="L740">
        <v>7.5</v>
      </c>
      <c r="M740">
        <v>6.1</v>
      </c>
      <c r="N740" t="s">
        <v>25</v>
      </c>
      <c r="O740" t="s">
        <v>7</v>
      </c>
      <c r="P740" t="s">
        <v>9</v>
      </c>
      <c r="Q740">
        <v>25</v>
      </c>
      <c r="R740">
        <v>9</v>
      </c>
      <c r="S740">
        <v>17.100000000000001</v>
      </c>
      <c r="T740">
        <v>120</v>
      </c>
      <c r="U740">
        <v>65</v>
      </c>
      <c r="V740">
        <v>7946</v>
      </c>
      <c r="W740">
        <v>51.9</v>
      </c>
      <c r="X740">
        <v>2</v>
      </c>
      <c r="Y740">
        <v>2</v>
      </c>
      <c r="Z740">
        <v>13</v>
      </c>
      <c r="AA740">
        <v>3.4</v>
      </c>
      <c r="AB740">
        <v>4</v>
      </c>
      <c r="AC740">
        <v>248</v>
      </c>
      <c r="AD740">
        <v>8</v>
      </c>
      <c r="AE740">
        <v>6</v>
      </c>
      <c r="AF740">
        <v>213</v>
      </c>
      <c r="AG740">
        <v>120</v>
      </c>
      <c r="AH740">
        <v>157</v>
      </c>
      <c r="AI740">
        <v>53</v>
      </c>
      <c r="AJ740">
        <v>43</v>
      </c>
      <c r="AK740">
        <v>36</v>
      </c>
      <c r="AL740">
        <v>27</v>
      </c>
      <c r="AM740">
        <v>6</v>
      </c>
      <c r="AN740">
        <v>140</v>
      </c>
      <c r="AO740">
        <v>36</v>
      </c>
      <c r="AP740">
        <v>39</v>
      </c>
      <c r="AQ740">
        <v>75</v>
      </c>
      <c r="AR740">
        <v>1269</v>
      </c>
      <c r="AS740">
        <v>1228</v>
      </c>
      <c r="AT740" t="s">
        <v>7</v>
      </c>
      <c r="AU740">
        <v>0.65</v>
      </c>
      <c r="AV740">
        <v>2016</v>
      </c>
      <c r="AW740" s="1">
        <v>45978</v>
      </c>
      <c r="AX740">
        <v>31</v>
      </c>
      <c r="AY740" t="s">
        <v>30</v>
      </c>
      <c r="AZ740" t="s">
        <v>20</v>
      </c>
      <c r="BA740" t="s">
        <v>21</v>
      </c>
      <c r="BB740" t="s">
        <v>13</v>
      </c>
      <c r="BC740" t="s">
        <v>7</v>
      </c>
      <c r="BD740">
        <v>2</v>
      </c>
      <c r="BE740" t="s">
        <v>14</v>
      </c>
      <c r="BF740">
        <v>1.1299999999999999</v>
      </c>
    </row>
    <row r="741" spans="1:58" hidden="1" x14ac:dyDescent="0.2">
      <c r="A741">
        <v>740</v>
      </c>
      <c r="B741" t="s">
        <v>0</v>
      </c>
      <c r="C741">
        <v>20</v>
      </c>
      <c r="D741" t="s">
        <v>1</v>
      </c>
      <c r="E741" t="s">
        <v>22</v>
      </c>
      <c r="F741" t="s">
        <v>3</v>
      </c>
      <c r="G741" t="s">
        <v>16</v>
      </c>
      <c r="H741" t="s">
        <v>5</v>
      </c>
      <c r="I741" t="s">
        <v>112</v>
      </c>
      <c r="J741" t="s">
        <v>123</v>
      </c>
      <c r="K741" t="s">
        <v>7</v>
      </c>
      <c r="L741">
        <v>6.4</v>
      </c>
      <c r="M741">
        <v>8.1999999999999993</v>
      </c>
      <c r="N741" t="s">
        <v>8</v>
      </c>
      <c r="O741" t="s">
        <v>13</v>
      </c>
      <c r="P741" t="s">
        <v>46</v>
      </c>
      <c r="Q741">
        <v>3</v>
      </c>
      <c r="R741">
        <v>1</v>
      </c>
      <c r="S741">
        <v>24</v>
      </c>
      <c r="T741">
        <v>134</v>
      </c>
      <c r="U741">
        <v>84</v>
      </c>
      <c r="V741">
        <v>7993</v>
      </c>
      <c r="W741">
        <v>44.4</v>
      </c>
      <c r="X741">
        <v>3</v>
      </c>
      <c r="Y741">
        <v>3</v>
      </c>
      <c r="Z741">
        <v>10</v>
      </c>
      <c r="AA741">
        <v>2.2000000000000002</v>
      </c>
      <c r="AB741">
        <v>2</v>
      </c>
      <c r="AC741">
        <v>113</v>
      </c>
      <c r="AD741">
        <v>4</v>
      </c>
      <c r="AE741">
        <v>6</v>
      </c>
      <c r="AF741">
        <v>174</v>
      </c>
      <c r="AG741">
        <v>78</v>
      </c>
      <c r="AH741">
        <v>80</v>
      </c>
      <c r="AI741">
        <v>17</v>
      </c>
      <c r="AJ741">
        <v>16</v>
      </c>
      <c r="AK741">
        <v>15</v>
      </c>
      <c r="AL741">
        <v>12</v>
      </c>
      <c r="AM741">
        <v>3</v>
      </c>
      <c r="AN741">
        <v>46</v>
      </c>
      <c r="AO741">
        <v>31</v>
      </c>
      <c r="AP741">
        <v>15</v>
      </c>
      <c r="AQ741">
        <v>38</v>
      </c>
      <c r="AR741">
        <v>894</v>
      </c>
      <c r="AS741">
        <v>1985</v>
      </c>
      <c r="AT741" t="s">
        <v>7</v>
      </c>
      <c r="AU741">
        <v>0.18</v>
      </c>
      <c r="AV741">
        <v>2020</v>
      </c>
      <c r="AW741" s="1">
        <v>45973</v>
      </c>
      <c r="AX741">
        <v>28.2</v>
      </c>
      <c r="AY741" t="s">
        <v>27</v>
      </c>
      <c r="AZ741" t="s">
        <v>48</v>
      </c>
      <c r="BA741" t="s">
        <v>122</v>
      </c>
      <c r="BB741" t="s">
        <v>13</v>
      </c>
      <c r="BC741" t="s">
        <v>13</v>
      </c>
      <c r="BD741">
        <v>2</v>
      </c>
      <c r="BE741" t="s">
        <v>14</v>
      </c>
      <c r="BF741">
        <v>1.1599999999999999</v>
      </c>
    </row>
    <row r="742" spans="1:58" hidden="1" x14ac:dyDescent="0.2">
      <c r="A742">
        <v>741</v>
      </c>
      <c r="B742" t="s">
        <v>0</v>
      </c>
      <c r="C742">
        <v>53</v>
      </c>
      <c r="D742" t="s">
        <v>1</v>
      </c>
      <c r="E742" t="s">
        <v>127</v>
      </c>
      <c r="F742" t="s">
        <v>40</v>
      </c>
      <c r="G742" t="s">
        <v>38</v>
      </c>
      <c r="H742" t="s">
        <v>118</v>
      </c>
      <c r="I742" t="s">
        <v>114</v>
      </c>
      <c r="J742" t="s">
        <v>6</v>
      </c>
      <c r="K742" t="s">
        <v>7</v>
      </c>
      <c r="L742">
        <v>16</v>
      </c>
      <c r="M742">
        <v>7.3</v>
      </c>
      <c r="N742" t="s">
        <v>29</v>
      </c>
      <c r="O742" t="s">
        <v>7</v>
      </c>
      <c r="P742" t="s">
        <v>26</v>
      </c>
      <c r="Q742">
        <v>12</v>
      </c>
      <c r="R742">
        <v>6</v>
      </c>
      <c r="S742">
        <v>29.3</v>
      </c>
      <c r="T742">
        <v>120</v>
      </c>
      <c r="U742">
        <v>60</v>
      </c>
      <c r="V742">
        <v>7969</v>
      </c>
      <c r="W742">
        <v>44.3</v>
      </c>
      <c r="X742">
        <v>2</v>
      </c>
      <c r="Y742">
        <v>2</v>
      </c>
      <c r="Z742">
        <v>6</v>
      </c>
      <c r="AA742">
        <v>2.4</v>
      </c>
      <c r="AB742">
        <v>2</v>
      </c>
      <c r="AC742">
        <v>118</v>
      </c>
      <c r="AD742">
        <v>4</v>
      </c>
      <c r="AE742">
        <v>3</v>
      </c>
      <c r="AF742">
        <v>98</v>
      </c>
      <c r="AG742">
        <v>66</v>
      </c>
      <c r="AH742">
        <v>88</v>
      </c>
      <c r="AI742">
        <v>21</v>
      </c>
      <c r="AJ742">
        <v>18</v>
      </c>
      <c r="AK742">
        <v>27</v>
      </c>
      <c r="AL742">
        <v>16</v>
      </c>
      <c r="AM742">
        <v>3</v>
      </c>
      <c r="AN742">
        <v>64</v>
      </c>
      <c r="AO742">
        <v>22</v>
      </c>
      <c r="AP742">
        <v>17</v>
      </c>
      <c r="AQ742">
        <v>29</v>
      </c>
      <c r="AR742">
        <v>434</v>
      </c>
      <c r="AS742">
        <v>209</v>
      </c>
      <c r="AT742" t="s">
        <v>7</v>
      </c>
      <c r="AU742">
        <v>0.62</v>
      </c>
      <c r="AV742">
        <v>2021</v>
      </c>
      <c r="AW742" s="1">
        <v>45799</v>
      </c>
      <c r="AX742">
        <v>29.5</v>
      </c>
      <c r="AY742" t="s">
        <v>19</v>
      </c>
      <c r="AZ742" t="s">
        <v>48</v>
      </c>
      <c r="BA742" t="s">
        <v>122</v>
      </c>
      <c r="BB742" t="s">
        <v>13</v>
      </c>
      <c r="BC742" t="s">
        <v>7</v>
      </c>
      <c r="BD742">
        <v>1</v>
      </c>
      <c r="BE742" t="s">
        <v>14</v>
      </c>
      <c r="BF742">
        <v>1.17</v>
      </c>
    </row>
    <row r="743" spans="1:58" hidden="1" x14ac:dyDescent="0.2">
      <c r="A743">
        <v>742</v>
      </c>
      <c r="B743" t="s">
        <v>0</v>
      </c>
      <c r="C743">
        <v>51</v>
      </c>
      <c r="D743" t="s">
        <v>28</v>
      </c>
      <c r="E743" t="s">
        <v>128</v>
      </c>
      <c r="F743" t="s">
        <v>40</v>
      </c>
      <c r="G743" t="s">
        <v>38</v>
      </c>
      <c r="H743" t="s">
        <v>23</v>
      </c>
      <c r="I743" t="s">
        <v>113</v>
      </c>
      <c r="J743" t="s">
        <v>32</v>
      </c>
      <c r="K743" t="s">
        <v>7</v>
      </c>
      <c r="L743">
        <v>8.4</v>
      </c>
      <c r="M743">
        <v>6.3</v>
      </c>
      <c r="N743" t="s">
        <v>120</v>
      </c>
      <c r="O743" t="s">
        <v>13</v>
      </c>
      <c r="P743" t="s">
        <v>121</v>
      </c>
      <c r="Q743">
        <v>30</v>
      </c>
      <c r="R743">
        <v>4</v>
      </c>
      <c r="S743">
        <v>32</v>
      </c>
      <c r="T743">
        <v>127</v>
      </c>
      <c r="U743">
        <v>84</v>
      </c>
      <c r="V743">
        <v>8084</v>
      </c>
      <c r="W743">
        <v>44.9</v>
      </c>
      <c r="X743">
        <v>3</v>
      </c>
      <c r="Y743">
        <v>6</v>
      </c>
      <c r="Z743">
        <v>17</v>
      </c>
      <c r="AA743">
        <v>4.0999999999999996</v>
      </c>
      <c r="AB743">
        <v>4</v>
      </c>
      <c r="AC743">
        <v>271</v>
      </c>
      <c r="AD743">
        <v>29</v>
      </c>
      <c r="AE743">
        <v>8</v>
      </c>
      <c r="AF743">
        <v>202</v>
      </c>
      <c r="AG743">
        <v>147</v>
      </c>
      <c r="AH743">
        <v>168</v>
      </c>
      <c r="AI743">
        <v>52</v>
      </c>
      <c r="AJ743">
        <v>32</v>
      </c>
      <c r="AK743">
        <v>24</v>
      </c>
      <c r="AL743">
        <v>18</v>
      </c>
      <c r="AM743">
        <v>6</v>
      </c>
      <c r="AN743">
        <v>131</v>
      </c>
      <c r="AO743">
        <v>49</v>
      </c>
      <c r="AP743">
        <v>48</v>
      </c>
      <c r="AQ743">
        <v>68</v>
      </c>
      <c r="AR743">
        <v>1515</v>
      </c>
      <c r="AS743">
        <v>2952</v>
      </c>
      <c r="AT743" t="s">
        <v>7</v>
      </c>
      <c r="AU743">
        <v>0.39</v>
      </c>
      <c r="AV743">
        <v>2025</v>
      </c>
      <c r="AW743" s="1">
        <v>45815</v>
      </c>
      <c r="AX743">
        <v>9.3000000000000007</v>
      </c>
      <c r="AY743" t="s">
        <v>30</v>
      </c>
      <c r="AZ743" t="s">
        <v>31</v>
      </c>
      <c r="BA743" t="s">
        <v>12</v>
      </c>
      <c r="BB743" t="s">
        <v>7</v>
      </c>
      <c r="BC743" t="s">
        <v>7</v>
      </c>
      <c r="BD743">
        <v>3</v>
      </c>
      <c r="BE743" t="s">
        <v>14</v>
      </c>
      <c r="BF743">
        <v>1.0900000000000001</v>
      </c>
    </row>
    <row r="744" spans="1:58" hidden="1" x14ac:dyDescent="0.2">
      <c r="A744">
        <v>743</v>
      </c>
      <c r="B744" t="s">
        <v>0</v>
      </c>
      <c r="C744">
        <v>13</v>
      </c>
      <c r="D744" t="s">
        <v>124</v>
      </c>
      <c r="E744" t="s">
        <v>47</v>
      </c>
      <c r="F744" t="s">
        <v>40</v>
      </c>
      <c r="G744" t="s">
        <v>16</v>
      </c>
      <c r="H744" t="s">
        <v>118</v>
      </c>
      <c r="I744" t="s">
        <v>114</v>
      </c>
      <c r="J744" t="s">
        <v>6</v>
      </c>
      <c r="K744" t="s">
        <v>13</v>
      </c>
      <c r="L744">
        <v>4.7</v>
      </c>
      <c r="M744">
        <v>7.3</v>
      </c>
      <c r="N744" t="s">
        <v>29</v>
      </c>
      <c r="O744" t="s">
        <v>7</v>
      </c>
      <c r="P744" t="s">
        <v>121</v>
      </c>
      <c r="Q744">
        <v>19</v>
      </c>
      <c r="R744">
        <v>8</v>
      </c>
      <c r="S744">
        <v>23.9</v>
      </c>
      <c r="T744">
        <v>92</v>
      </c>
      <c r="U744">
        <v>90</v>
      </c>
      <c r="V744">
        <v>8158</v>
      </c>
      <c r="W744">
        <v>60</v>
      </c>
      <c r="X744">
        <v>1</v>
      </c>
      <c r="Y744">
        <v>1</v>
      </c>
      <c r="Z744">
        <v>6</v>
      </c>
      <c r="AA744">
        <v>0.7</v>
      </c>
      <c r="AB744">
        <v>2</v>
      </c>
      <c r="AC744">
        <v>121</v>
      </c>
      <c r="AD744">
        <v>13</v>
      </c>
      <c r="AE744">
        <v>8</v>
      </c>
      <c r="AF744">
        <v>209</v>
      </c>
      <c r="AG744">
        <v>73</v>
      </c>
      <c r="AH744">
        <v>88</v>
      </c>
      <c r="AI744">
        <v>31</v>
      </c>
      <c r="AJ744">
        <v>17</v>
      </c>
      <c r="AK744">
        <v>29</v>
      </c>
      <c r="AL744">
        <v>20</v>
      </c>
      <c r="AM744">
        <v>2</v>
      </c>
      <c r="AN744">
        <v>58</v>
      </c>
      <c r="AO744">
        <v>18</v>
      </c>
      <c r="AP744">
        <v>25</v>
      </c>
      <c r="AQ744">
        <v>45</v>
      </c>
      <c r="AR744">
        <v>561</v>
      </c>
      <c r="AS744">
        <v>660</v>
      </c>
      <c r="AT744" t="s">
        <v>13</v>
      </c>
      <c r="AU744">
        <v>0.18</v>
      </c>
      <c r="AV744">
        <v>2020</v>
      </c>
      <c r="AW744" s="1">
        <v>45784</v>
      </c>
      <c r="AX744">
        <v>9.3000000000000007</v>
      </c>
      <c r="AY744" t="s">
        <v>10</v>
      </c>
      <c r="AZ744" t="s">
        <v>11</v>
      </c>
      <c r="BA744" t="s">
        <v>21</v>
      </c>
      <c r="BB744" t="s">
        <v>13</v>
      </c>
      <c r="BC744" t="s">
        <v>7</v>
      </c>
      <c r="BD744">
        <v>2</v>
      </c>
      <c r="BE744" t="s">
        <v>14</v>
      </c>
      <c r="BF744">
        <v>1.43</v>
      </c>
    </row>
    <row r="745" spans="1:58" hidden="1" x14ac:dyDescent="0.2">
      <c r="A745">
        <v>744</v>
      </c>
      <c r="B745" t="s">
        <v>0</v>
      </c>
      <c r="C745">
        <v>15</v>
      </c>
      <c r="D745" t="s">
        <v>125</v>
      </c>
      <c r="E745" t="s">
        <v>50</v>
      </c>
      <c r="F745" t="s">
        <v>15</v>
      </c>
      <c r="G745" t="s">
        <v>4</v>
      </c>
      <c r="H745" t="s">
        <v>23</v>
      </c>
      <c r="I745" t="s">
        <v>17</v>
      </c>
      <c r="J745" t="s">
        <v>123</v>
      </c>
      <c r="K745" t="s">
        <v>7</v>
      </c>
      <c r="L745">
        <v>6.7</v>
      </c>
      <c r="M745">
        <v>9.6</v>
      </c>
      <c r="N745" t="s">
        <v>8</v>
      </c>
      <c r="O745" t="s">
        <v>7</v>
      </c>
      <c r="P745" t="s">
        <v>52</v>
      </c>
      <c r="Q745">
        <v>32</v>
      </c>
      <c r="R745">
        <v>2</v>
      </c>
      <c r="S745">
        <v>25.8</v>
      </c>
      <c r="T745">
        <v>138</v>
      </c>
      <c r="U745">
        <v>77</v>
      </c>
      <c r="V745">
        <v>7970</v>
      </c>
      <c r="W745">
        <v>33.299999999999997</v>
      </c>
      <c r="X745">
        <v>0</v>
      </c>
      <c r="Y745">
        <v>7</v>
      </c>
      <c r="Z745">
        <v>8</v>
      </c>
      <c r="AA745">
        <v>3.5</v>
      </c>
      <c r="AB745">
        <v>3</v>
      </c>
      <c r="AC745">
        <v>441</v>
      </c>
      <c r="AD745">
        <v>23</v>
      </c>
      <c r="AE745">
        <v>12</v>
      </c>
      <c r="AF745">
        <v>300</v>
      </c>
      <c r="AG745">
        <v>150</v>
      </c>
      <c r="AH745">
        <v>245</v>
      </c>
      <c r="AI745">
        <v>72</v>
      </c>
      <c r="AJ745">
        <v>45</v>
      </c>
      <c r="AK745">
        <v>61</v>
      </c>
      <c r="AL745">
        <v>33</v>
      </c>
      <c r="AM745">
        <v>8</v>
      </c>
      <c r="AN745">
        <v>213</v>
      </c>
      <c r="AO745">
        <v>130</v>
      </c>
      <c r="AP745">
        <v>58</v>
      </c>
      <c r="AQ745">
        <v>107</v>
      </c>
      <c r="AR745">
        <v>444</v>
      </c>
      <c r="AS745">
        <v>1014</v>
      </c>
      <c r="AT745" t="s">
        <v>7</v>
      </c>
      <c r="AU745">
        <v>0.98</v>
      </c>
      <c r="AV745">
        <v>2025</v>
      </c>
      <c r="AW745" s="1">
        <v>45906</v>
      </c>
      <c r="AX745">
        <v>19.2</v>
      </c>
      <c r="AY745" t="s">
        <v>19</v>
      </c>
      <c r="AZ745" t="s">
        <v>17</v>
      </c>
      <c r="BA745" t="s">
        <v>122</v>
      </c>
      <c r="BB745" t="s">
        <v>13</v>
      </c>
      <c r="BC745" t="s">
        <v>7</v>
      </c>
      <c r="BD745">
        <v>1</v>
      </c>
      <c r="BE745" t="s">
        <v>14</v>
      </c>
      <c r="BF745">
        <v>0.96</v>
      </c>
    </row>
    <row r="746" spans="1:58" hidden="1" x14ac:dyDescent="0.2">
      <c r="A746">
        <v>745</v>
      </c>
      <c r="B746" t="s">
        <v>0</v>
      </c>
      <c r="C746">
        <v>25</v>
      </c>
      <c r="D746" t="s">
        <v>28</v>
      </c>
      <c r="E746" t="s">
        <v>50</v>
      </c>
      <c r="F746" t="s">
        <v>40</v>
      </c>
      <c r="G746" t="s">
        <v>38</v>
      </c>
      <c r="H746" t="s">
        <v>119</v>
      </c>
      <c r="I746" t="s">
        <v>112</v>
      </c>
      <c r="J746" t="s">
        <v>123</v>
      </c>
      <c r="K746" t="s">
        <v>13</v>
      </c>
      <c r="L746">
        <v>9.3000000000000007</v>
      </c>
      <c r="M746">
        <v>8.1</v>
      </c>
      <c r="N746" t="s">
        <v>8</v>
      </c>
      <c r="O746" t="s">
        <v>41</v>
      </c>
      <c r="P746" t="s">
        <v>46</v>
      </c>
      <c r="Q746">
        <v>16</v>
      </c>
      <c r="R746">
        <v>9</v>
      </c>
      <c r="S746">
        <v>25.5</v>
      </c>
      <c r="T746">
        <v>140</v>
      </c>
      <c r="U746">
        <v>96</v>
      </c>
      <c r="V746">
        <v>8053</v>
      </c>
      <c r="W746">
        <v>27.5</v>
      </c>
      <c r="X746">
        <v>3</v>
      </c>
      <c r="Y746">
        <v>7</v>
      </c>
      <c r="Z746">
        <v>8</v>
      </c>
      <c r="AA746">
        <v>4.2</v>
      </c>
      <c r="AB746">
        <v>2</v>
      </c>
      <c r="AC746">
        <v>140</v>
      </c>
      <c r="AD746">
        <v>5</v>
      </c>
      <c r="AE746">
        <v>4</v>
      </c>
      <c r="AF746">
        <v>222</v>
      </c>
      <c r="AG746">
        <v>82</v>
      </c>
      <c r="AH746">
        <v>92</v>
      </c>
      <c r="AI746">
        <v>22</v>
      </c>
      <c r="AJ746">
        <v>32</v>
      </c>
      <c r="AK746">
        <v>18</v>
      </c>
      <c r="AL746">
        <v>17</v>
      </c>
      <c r="AM746">
        <v>4</v>
      </c>
      <c r="AN746">
        <v>65</v>
      </c>
      <c r="AO746">
        <v>16</v>
      </c>
      <c r="AP746">
        <v>27</v>
      </c>
      <c r="AQ746">
        <v>32</v>
      </c>
      <c r="AR746">
        <v>416</v>
      </c>
      <c r="AS746">
        <v>454</v>
      </c>
      <c r="AT746" t="s">
        <v>7</v>
      </c>
      <c r="AU746">
        <v>0.45</v>
      </c>
      <c r="AV746">
        <v>2022</v>
      </c>
      <c r="AW746" s="1">
        <v>45836</v>
      </c>
      <c r="AX746">
        <v>28</v>
      </c>
      <c r="AY746" t="s">
        <v>30</v>
      </c>
      <c r="AZ746" t="s">
        <v>20</v>
      </c>
      <c r="BA746" t="s">
        <v>122</v>
      </c>
      <c r="BB746" t="s">
        <v>13</v>
      </c>
      <c r="BC746" t="s">
        <v>7</v>
      </c>
      <c r="BD746">
        <v>1</v>
      </c>
      <c r="BE746" t="s">
        <v>43</v>
      </c>
      <c r="BF746">
        <v>1.05</v>
      </c>
    </row>
    <row r="747" spans="1:58" hidden="1" x14ac:dyDescent="0.2">
      <c r="A747">
        <v>746</v>
      </c>
      <c r="B747" t="s">
        <v>0</v>
      </c>
      <c r="C747">
        <v>40</v>
      </c>
      <c r="D747" t="s">
        <v>28</v>
      </c>
      <c r="E747" t="s">
        <v>128</v>
      </c>
      <c r="F747" t="s">
        <v>15</v>
      </c>
      <c r="G747" t="s">
        <v>16</v>
      </c>
      <c r="H747" t="s">
        <v>23</v>
      </c>
      <c r="I747" t="s">
        <v>113</v>
      </c>
      <c r="J747" t="s">
        <v>18</v>
      </c>
      <c r="K747" t="s">
        <v>7</v>
      </c>
      <c r="L747">
        <v>1</v>
      </c>
      <c r="M747">
        <v>6.5</v>
      </c>
      <c r="N747" t="s">
        <v>8</v>
      </c>
      <c r="O747" t="s">
        <v>7</v>
      </c>
      <c r="P747" t="s">
        <v>52</v>
      </c>
      <c r="Q747">
        <v>12</v>
      </c>
      <c r="R747">
        <v>8</v>
      </c>
      <c r="S747">
        <v>22.4</v>
      </c>
      <c r="T747">
        <v>128</v>
      </c>
      <c r="U747">
        <v>61</v>
      </c>
      <c r="V747">
        <v>8091</v>
      </c>
      <c r="W747">
        <v>56.7</v>
      </c>
      <c r="X747">
        <v>0</v>
      </c>
      <c r="Y747">
        <v>6</v>
      </c>
      <c r="Z747">
        <v>4</v>
      </c>
      <c r="AA747">
        <v>1.7</v>
      </c>
      <c r="AB747">
        <v>2</v>
      </c>
      <c r="AC747">
        <v>78</v>
      </c>
      <c r="AD747">
        <v>2</v>
      </c>
      <c r="AE747">
        <v>2</v>
      </c>
      <c r="AF747">
        <v>92</v>
      </c>
      <c r="AG747">
        <v>51</v>
      </c>
      <c r="AH747">
        <v>54</v>
      </c>
      <c r="AI747">
        <v>13</v>
      </c>
      <c r="AJ747">
        <v>18</v>
      </c>
      <c r="AK747">
        <v>14</v>
      </c>
      <c r="AL747">
        <v>12</v>
      </c>
      <c r="AM747">
        <v>6</v>
      </c>
      <c r="AN747">
        <v>39</v>
      </c>
      <c r="AO747">
        <v>23</v>
      </c>
      <c r="AP747">
        <v>18</v>
      </c>
      <c r="AQ747">
        <v>16</v>
      </c>
      <c r="AR747">
        <v>4540</v>
      </c>
      <c r="AS747">
        <v>9193</v>
      </c>
      <c r="AT747" t="s">
        <v>7</v>
      </c>
      <c r="AU747">
        <v>0.56999999999999995</v>
      </c>
      <c r="AV747">
        <v>2019</v>
      </c>
      <c r="AW747" s="1">
        <v>45879</v>
      </c>
      <c r="AX747">
        <v>39</v>
      </c>
      <c r="AY747" t="s">
        <v>45</v>
      </c>
      <c r="AZ747" t="s">
        <v>31</v>
      </c>
      <c r="BA747" t="s">
        <v>12</v>
      </c>
      <c r="BB747" t="s">
        <v>13</v>
      </c>
      <c r="BC747" t="s">
        <v>7</v>
      </c>
      <c r="BD747">
        <v>4</v>
      </c>
      <c r="BE747" t="s">
        <v>14</v>
      </c>
      <c r="BF747">
        <v>1.0900000000000001</v>
      </c>
    </row>
    <row r="748" spans="1:58" hidden="1" x14ac:dyDescent="0.2">
      <c r="A748">
        <v>747</v>
      </c>
      <c r="B748" t="s">
        <v>0</v>
      </c>
      <c r="C748">
        <v>61</v>
      </c>
      <c r="D748" t="s">
        <v>28</v>
      </c>
      <c r="E748" t="s">
        <v>33</v>
      </c>
      <c r="F748" t="s">
        <v>15</v>
      </c>
      <c r="G748" t="s">
        <v>117</v>
      </c>
      <c r="H748" t="s">
        <v>118</v>
      </c>
      <c r="I748" t="s">
        <v>112</v>
      </c>
      <c r="J748" t="s">
        <v>123</v>
      </c>
      <c r="K748" t="s">
        <v>7</v>
      </c>
      <c r="L748">
        <v>5.0999999999999996</v>
      </c>
      <c r="M748">
        <v>7.8</v>
      </c>
      <c r="N748" t="s">
        <v>8</v>
      </c>
      <c r="O748" t="s">
        <v>41</v>
      </c>
      <c r="P748" t="s">
        <v>9</v>
      </c>
      <c r="Q748">
        <v>13</v>
      </c>
      <c r="R748">
        <v>4</v>
      </c>
      <c r="S748">
        <v>29.6</v>
      </c>
      <c r="T748">
        <v>153</v>
      </c>
      <c r="U748">
        <v>73</v>
      </c>
      <c r="V748">
        <v>7967</v>
      </c>
      <c r="W748">
        <v>34.5</v>
      </c>
      <c r="X748">
        <v>5</v>
      </c>
      <c r="Y748">
        <v>2</v>
      </c>
      <c r="Z748">
        <v>14</v>
      </c>
      <c r="AA748">
        <v>3</v>
      </c>
      <c r="AB748">
        <v>2</v>
      </c>
      <c r="AC748">
        <v>81</v>
      </c>
      <c r="AD748">
        <v>3</v>
      </c>
      <c r="AE748">
        <v>2</v>
      </c>
      <c r="AF748">
        <v>89</v>
      </c>
      <c r="AG748">
        <v>62</v>
      </c>
      <c r="AH748">
        <v>65</v>
      </c>
      <c r="AI748">
        <v>22</v>
      </c>
      <c r="AJ748">
        <v>19</v>
      </c>
      <c r="AK748">
        <v>18</v>
      </c>
      <c r="AL748">
        <v>15</v>
      </c>
      <c r="AM748">
        <v>2</v>
      </c>
      <c r="AN748">
        <v>36</v>
      </c>
      <c r="AO748">
        <v>9</v>
      </c>
      <c r="AP748">
        <v>15</v>
      </c>
      <c r="AQ748">
        <v>30</v>
      </c>
      <c r="AR748">
        <v>453</v>
      </c>
      <c r="AS748">
        <v>386</v>
      </c>
      <c r="AT748" t="s">
        <v>7</v>
      </c>
      <c r="AU748">
        <v>0.61</v>
      </c>
      <c r="AV748">
        <v>2025</v>
      </c>
      <c r="AW748" s="1">
        <v>45804</v>
      </c>
      <c r="AX748">
        <v>27</v>
      </c>
      <c r="AY748" t="s">
        <v>10</v>
      </c>
      <c r="AZ748" t="s">
        <v>11</v>
      </c>
      <c r="BA748" t="s">
        <v>122</v>
      </c>
      <c r="BB748" t="s">
        <v>13</v>
      </c>
      <c r="BC748" t="s">
        <v>7</v>
      </c>
      <c r="BD748">
        <v>0</v>
      </c>
      <c r="BE748" t="s">
        <v>14</v>
      </c>
      <c r="BF748">
        <v>1.4</v>
      </c>
    </row>
    <row r="749" spans="1:58" hidden="1" x14ac:dyDescent="0.2">
      <c r="A749">
        <v>748</v>
      </c>
      <c r="B749" t="s">
        <v>0</v>
      </c>
      <c r="C749">
        <v>37</v>
      </c>
      <c r="D749" t="s">
        <v>1</v>
      </c>
      <c r="E749" t="s">
        <v>42</v>
      </c>
      <c r="F749" t="s">
        <v>15</v>
      </c>
      <c r="G749" t="s">
        <v>117</v>
      </c>
      <c r="H749" t="s">
        <v>118</v>
      </c>
      <c r="I749" t="s">
        <v>114</v>
      </c>
      <c r="J749" t="s">
        <v>6</v>
      </c>
      <c r="K749" t="s">
        <v>13</v>
      </c>
      <c r="L749">
        <v>6.7</v>
      </c>
      <c r="M749">
        <v>6.6</v>
      </c>
      <c r="N749" t="s">
        <v>25</v>
      </c>
      <c r="O749" t="s">
        <v>7</v>
      </c>
      <c r="P749" t="s">
        <v>9</v>
      </c>
      <c r="Q749">
        <v>13</v>
      </c>
      <c r="R749">
        <v>5</v>
      </c>
      <c r="S749">
        <v>26.1</v>
      </c>
      <c r="T749">
        <v>115</v>
      </c>
      <c r="U749">
        <v>61</v>
      </c>
      <c r="V749">
        <v>7874</v>
      </c>
      <c r="W749">
        <v>41.5</v>
      </c>
      <c r="X749">
        <v>7</v>
      </c>
      <c r="Y749">
        <v>7</v>
      </c>
      <c r="Z749">
        <v>9</v>
      </c>
      <c r="AA749">
        <v>8.9</v>
      </c>
      <c r="AB749">
        <v>2</v>
      </c>
      <c r="AC749">
        <v>184</v>
      </c>
      <c r="AD749">
        <v>9</v>
      </c>
      <c r="AE749">
        <v>5</v>
      </c>
      <c r="AF749">
        <v>154</v>
      </c>
      <c r="AG749">
        <v>122</v>
      </c>
      <c r="AH749">
        <v>113</v>
      </c>
      <c r="AI749">
        <v>34</v>
      </c>
      <c r="AJ749">
        <v>25</v>
      </c>
      <c r="AK749">
        <v>30</v>
      </c>
      <c r="AL749">
        <v>23</v>
      </c>
      <c r="AM749">
        <v>3</v>
      </c>
      <c r="AN749">
        <v>91</v>
      </c>
      <c r="AO749">
        <v>24</v>
      </c>
      <c r="AP749">
        <v>23</v>
      </c>
      <c r="AQ749">
        <v>69</v>
      </c>
      <c r="AR749">
        <v>282</v>
      </c>
      <c r="AS749">
        <v>689</v>
      </c>
      <c r="AT749" t="s">
        <v>7</v>
      </c>
      <c r="AU749">
        <v>0.84</v>
      </c>
      <c r="AV749">
        <v>2015</v>
      </c>
      <c r="AW749" s="1">
        <v>45659</v>
      </c>
      <c r="AX749">
        <v>20.399999999999999</v>
      </c>
      <c r="AY749" t="s">
        <v>30</v>
      </c>
      <c r="AZ749" t="s">
        <v>31</v>
      </c>
      <c r="BA749" t="s">
        <v>21</v>
      </c>
      <c r="BB749" t="s">
        <v>13</v>
      </c>
      <c r="BC749" t="s">
        <v>13</v>
      </c>
      <c r="BD749">
        <v>1</v>
      </c>
      <c r="BE749" t="s">
        <v>14</v>
      </c>
      <c r="BF749">
        <v>1.06</v>
      </c>
    </row>
    <row r="750" spans="1:58" hidden="1" x14ac:dyDescent="0.2">
      <c r="A750">
        <v>749</v>
      </c>
      <c r="B750" t="s">
        <v>0</v>
      </c>
      <c r="C750">
        <v>45</v>
      </c>
      <c r="D750" t="s">
        <v>1</v>
      </c>
      <c r="E750" t="s">
        <v>22</v>
      </c>
      <c r="F750" t="s">
        <v>15</v>
      </c>
      <c r="G750" t="s">
        <v>38</v>
      </c>
      <c r="H750" t="s">
        <v>23</v>
      </c>
      <c r="I750" t="s">
        <v>114</v>
      </c>
      <c r="J750" t="s">
        <v>6</v>
      </c>
      <c r="K750" t="s">
        <v>7</v>
      </c>
      <c r="L750">
        <v>2.9</v>
      </c>
      <c r="M750">
        <v>8.5</v>
      </c>
      <c r="N750" t="s">
        <v>8</v>
      </c>
      <c r="O750" t="s">
        <v>7</v>
      </c>
      <c r="P750" t="s">
        <v>26</v>
      </c>
      <c r="Q750">
        <v>36</v>
      </c>
      <c r="R750">
        <v>1</v>
      </c>
      <c r="S750">
        <v>25</v>
      </c>
      <c r="T750">
        <v>131</v>
      </c>
      <c r="U750">
        <v>94</v>
      </c>
      <c r="V750">
        <v>7822</v>
      </c>
      <c r="W750">
        <v>38.5</v>
      </c>
      <c r="X750">
        <v>4</v>
      </c>
      <c r="Y750">
        <v>7</v>
      </c>
      <c r="Z750">
        <v>6</v>
      </c>
      <c r="AA750">
        <v>3</v>
      </c>
      <c r="AB750">
        <v>4</v>
      </c>
      <c r="AC750">
        <v>415</v>
      </c>
      <c r="AD750">
        <v>15</v>
      </c>
      <c r="AE750">
        <v>8</v>
      </c>
      <c r="AF750">
        <v>300</v>
      </c>
      <c r="AG750">
        <v>150</v>
      </c>
      <c r="AH750">
        <v>231</v>
      </c>
      <c r="AI750">
        <v>64</v>
      </c>
      <c r="AJ750">
        <v>56</v>
      </c>
      <c r="AK750">
        <v>71</v>
      </c>
      <c r="AL750">
        <v>38</v>
      </c>
      <c r="AM750">
        <v>7</v>
      </c>
      <c r="AN750">
        <v>172</v>
      </c>
      <c r="AO750">
        <v>97</v>
      </c>
      <c r="AP750">
        <v>89</v>
      </c>
      <c r="AQ750">
        <v>155</v>
      </c>
      <c r="AR750">
        <v>254</v>
      </c>
      <c r="AS750">
        <v>257</v>
      </c>
      <c r="AT750" t="s">
        <v>7</v>
      </c>
      <c r="AU750">
        <v>0.94</v>
      </c>
      <c r="AV750">
        <v>2018</v>
      </c>
      <c r="AW750" s="1">
        <v>45818</v>
      </c>
      <c r="AX750">
        <v>27.7</v>
      </c>
      <c r="AY750" t="s">
        <v>10</v>
      </c>
      <c r="AZ750" t="s">
        <v>51</v>
      </c>
      <c r="BA750" t="s">
        <v>122</v>
      </c>
      <c r="BB750" t="s">
        <v>7</v>
      </c>
      <c r="BC750" t="s">
        <v>7</v>
      </c>
      <c r="BD750">
        <v>1</v>
      </c>
      <c r="BE750" t="s">
        <v>14</v>
      </c>
      <c r="BF750">
        <v>0.92</v>
      </c>
    </row>
    <row r="751" spans="1:58" hidden="1" x14ac:dyDescent="0.2">
      <c r="A751">
        <v>750</v>
      </c>
      <c r="B751" t="s">
        <v>0</v>
      </c>
      <c r="C751">
        <v>50</v>
      </c>
      <c r="D751" t="s">
        <v>28</v>
      </c>
      <c r="E751" t="s">
        <v>128</v>
      </c>
      <c r="F751" t="s">
        <v>40</v>
      </c>
      <c r="G751" t="s">
        <v>38</v>
      </c>
      <c r="H751" t="s">
        <v>5</v>
      </c>
      <c r="I751" t="s">
        <v>113</v>
      </c>
      <c r="J751" t="s">
        <v>32</v>
      </c>
      <c r="K751" t="s">
        <v>7</v>
      </c>
      <c r="L751">
        <v>3.6</v>
      </c>
      <c r="M751">
        <v>7.7</v>
      </c>
      <c r="N751" t="s">
        <v>8</v>
      </c>
      <c r="O751" t="s">
        <v>7</v>
      </c>
      <c r="P751" t="s">
        <v>9</v>
      </c>
      <c r="Q751">
        <v>20</v>
      </c>
      <c r="R751">
        <v>10</v>
      </c>
      <c r="S751">
        <v>21.4</v>
      </c>
      <c r="T751">
        <v>158</v>
      </c>
      <c r="U751">
        <v>92</v>
      </c>
      <c r="V751">
        <v>8085</v>
      </c>
      <c r="W751">
        <v>30.1</v>
      </c>
      <c r="X751">
        <v>2</v>
      </c>
      <c r="Y751">
        <v>2</v>
      </c>
      <c r="Z751">
        <v>4</v>
      </c>
      <c r="AA751">
        <v>2.9</v>
      </c>
      <c r="AB751">
        <v>2</v>
      </c>
      <c r="AC751">
        <v>146</v>
      </c>
      <c r="AD751">
        <v>5</v>
      </c>
      <c r="AE751">
        <v>2</v>
      </c>
      <c r="AF751">
        <v>136</v>
      </c>
      <c r="AG751">
        <v>95</v>
      </c>
      <c r="AH751">
        <v>106</v>
      </c>
      <c r="AI751">
        <v>26</v>
      </c>
      <c r="AJ751">
        <v>20</v>
      </c>
      <c r="AK751">
        <v>24</v>
      </c>
      <c r="AL751">
        <v>14</v>
      </c>
      <c r="AM751">
        <v>3</v>
      </c>
      <c r="AN751">
        <v>84</v>
      </c>
      <c r="AO751">
        <v>20</v>
      </c>
      <c r="AP751">
        <v>21</v>
      </c>
      <c r="AQ751">
        <v>51</v>
      </c>
      <c r="AR751">
        <v>1136</v>
      </c>
      <c r="AS751">
        <v>1429</v>
      </c>
      <c r="AT751" t="s">
        <v>7</v>
      </c>
      <c r="AU751">
        <v>0.09</v>
      </c>
      <c r="AV751">
        <v>2014</v>
      </c>
      <c r="AW751" s="1">
        <v>45742</v>
      </c>
      <c r="AX751">
        <v>29.2</v>
      </c>
      <c r="AY751" t="s">
        <v>19</v>
      </c>
      <c r="AZ751" t="s">
        <v>48</v>
      </c>
      <c r="BA751" t="s">
        <v>12</v>
      </c>
      <c r="BB751" t="s">
        <v>13</v>
      </c>
      <c r="BC751" t="s">
        <v>7</v>
      </c>
      <c r="BD751">
        <v>3</v>
      </c>
      <c r="BE751" t="s">
        <v>43</v>
      </c>
      <c r="BF751">
        <v>1.1200000000000001</v>
      </c>
    </row>
    <row r="752" spans="1:58" hidden="1" x14ac:dyDescent="0.2">
      <c r="A752">
        <v>751</v>
      </c>
      <c r="B752" t="s">
        <v>0</v>
      </c>
      <c r="C752">
        <v>65</v>
      </c>
      <c r="D752" t="s">
        <v>1</v>
      </c>
      <c r="E752" t="s">
        <v>128</v>
      </c>
      <c r="F752" t="s">
        <v>15</v>
      </c>
      <c r="G752" t="s">
        <v>117</v>
      </c>
      <c r="H752" t="s">
        <v>23</v>
      </c>
      <c r="I752" t="s">
        <v>112</v>
      </c>
      <c r="J752" t="s">
        <v>32</v>
      </c>
      <c r="K752" t="s">
        <v>7</v>
      </c>
      <c r="L752">
        <v>8.1999999999999993</v>
      </c>
      <c r="M752">
        <v>8.1999999999999993</v>
      </c>
      <c r="N752" t="s">
        <v>120</v>
      </c>
      <c r="O752" t="s">
        <v>13</v>
      </c>
      <c r="P752" t="s">
        <v>9</v>
      </c>
      <c r="Q752">
        <v>36</v>
      </c>
      <c r="R752">
        <v>3</v>
      </c>
      <c r="S752">
        <v>21.6</v>
      </c>
      <c r="T752">
        <v>114</v>
      </c>
      <c r="U752">
        <v>92</v>
      </c>
      <c r="V752">
        <v>8040</v>
      </c>
      <c r="W752">
        <v>37.799999999999997</v>
      </c>
      <c r="X752">
        <v>1</v>
      </c>
      <c r="Y752">
        <v>2</v>
      </c>
      <c r="Z752">
        <v>16</v>
      </c>
      <c r="AA752">
        <v>5.3</v>
      </c>
      <c r="AB752">
        <v>6</v>
      </c>
      <c r="AC752">
        <v>323</v>
      </c>
      <c r="AD752">
        <v>10</v>
      </c>
      <c r="AE752">
        <v>11</v>
      </c>
      <c r="AF752">
        <v>253</v>
      </c>
      <c r="AG752">
        <v>147</v>
      </c>
      <c r="AH752">
        <v>195</v>
      </c>
      <c r="AI752">
        <v>57</v>
      </c>
      <c r="AJ752">
        <v>45</v>
      </c>
      <c r="AK752">
        <v>45</v>
      </c>
      <c r="AL752">
        <v>21</v>
      </c>
      <c r="AM752">
        <v>6</v>
      </c>
      <c r="AN752">
        <v>142</v>
      </c>
      <c r="AO752">
        <v>51</v>
      </c>
      <c r="AP752">
        <v>74</v>
      </c>
      <c r="AQ752">
        <v>89</v>
      </c>
      <c r="AR752">
        <v>1765</v>
      </c>
      <c r="AS752">
        <v>3131</v>
      </c>
      <c r="AT752" t="s">
        <v>7</v>
      </c>
      <c r="AU752">
        <v>0.3</v>
      </c>
      <c r="AV752">
        <v>2024</v>
      </c>
      <c r="AW752" s="1">
        <v>46004</v>
      </c>
      <c r="AX752">
        <v>32.299999999999997</v>
      </c>
      <c r="AY752" t="s">
        <v>19</v>
      </c>
      <c r="AZ752" t="s">
        <v>35</v>
      </c>
      <c r="BA752" t="s">
        <v>12</v>
      </c>
      <c r="BB752" t="s">
        <v>13</v>
      </c>
      <c r="BC752" t="s">
        <v>13</v>
      </c>
      <c r="BD752">
        <v>2</v>
      </c>
      <c r="BE752" t="s">
        <v>14</v>
      </c>
      <c r="BF752">
        <v>1.06</v>
      </c>
    </row>
    <row r="753" spans="1:58" hidden="1" x14ac:dyDescent="0.2">
      <c r="A753">
        <v>752</v>
      </c>
      <c r="B753" t="s">
        <v>0</v>
      </c>
      <c r="C753">
        <v>18</v>
      </c>
      <c r="D753" t="s">
        <v>28</v>
      </c>
      <c r="E753" t="s">
        <v>126</v>
      </c>
      <c r="F753" t="s">
        <v>15</v>
      </c>
      <c r="G753" t="s">
        <v>38</v>
      </c>
      <c r="H753" t="s">
        <v>119</v>
      </c>
      <c r="I753" t="s">
        <v>112</v>
      </c>
      <c r="J753" t="s">
        <v>32</v>
      </c>
      <c r="K753" t="s">
        <v>7</v>
      </c>
      <c r="L753">
        <v>3.5</v>
      </c>
      <c r="M753">
        <v>7.3</v>
      </c>
      <c r="N753" t="s">
        <v>8</v>
      </c>
      <c r="O753" t="s">
        <v>7</v>
      </c>
      <c r="P753" t="s">
        <v>9</v>
      </c>
      <c r="Q753">
        <v>5</v>
      </c>
      <c r="R753">
        <v>2</v>
      </c>
      <c r="S753">
        <v>24.2</v>
      </c>
      <c r="T753">
        <v>103</v>
      </c>
      <c r="U753">
        <v>86</v>
      </c>
      <c r="V753">
        <v>7883</v>
      </c>
      <c r="W753">
        <v>57.1</v>
      </c>
      <c r="X753">
        <v>6</v>
      </c>
      <c r="Y753">
        <v>7</v>
      </c>
      <c r="Z753">
        <v>14</v>
      </c>
      <c r="AA753">
        <v>8.4</v>
      </c>
      <c r="AB753">
        <v>1</v>
      </c>
      <c r="AC753">
        <v>147</v>
      </c>
      <c r="AD753">
        <v>8</v>
      </c>
      <c r="AE753">
        <v>7</v>
      </c>
      <c r="AF753">
        <v>199</v>
      </c>
      <c r="AG753">
        <v>86</v>
      </c>
      <c r="AH753">
        <v>92</v>
      </c>
      <c r="AI753">
        <v>17</v>
      </c>
      <c r="AJ753">
        <v>19</v>
      </c>
      <c r="AK753">
        <v>25</v>
      </c>
      <c r="AL753">
        <v>15</v>
      </c>
      <c r="AM753">
        <v>4</v>
      </c>
      <c r="AN753">
        <v>87</v>
      </c>
      <c r="AO753">
        <v>41</v>
      </c>
      <c r="AP753">
        <v>27</v>
      </c>
      <c r="AQ753">
        <v>30</v>
      </c>
      <c r="AR753">
        <v>426</v>
      </c>
      <c r="AS753">
        <v>1003</v>
      </c>
      <c r="AT753" t="s">
        <v>7</v>
      </c>
      <c r="AU753">
        <v>0.85</v>
      </c>
      <c r="AV753">
        <v>2021</v>
      </c>
      <c r="AW753" s="1">
        <v>45999</v>
      </c>
      <c r="AX753">
        <v>18.399999999999999</v>
      </c>
      <c r="AY753" t="s">
        <v>36</v>
      </c>
      <c r="AZ753" t="s">
        <v>51</v>
      </c>
      <c r="BA753" t="s">
        <v>21</v>
      </c>
      <c r="BB753" t="s">
        <v>13</v>
      </c>
      <c r="BC753" t="s">
        <v>13</v>
      </c>
      <c r="BD753">
        <v>0</v>
      </c>
      <c r="BE753" t="s">
        <v>14</v>
      </c>
      <c r="BF753">
        <v>0.99</v>
      </c>
    </row>
    <row r="754" spans="1:58" hidden="1" x14ac:dyDescent="0.2">
      <c r="A754">
        <v>753</v>
      </c>
      <c r="B754" t="s">
        <v>0</v>
      </c>
      <c r="C754">
        <v>56</v>
      </c>
      <c r="D754" t="s">
        <v>124</v>
      </c>
      <c r="E754" t="s">
        <v>126</v>
      </c>
      <c r="F754" t="s">
        <v>15</v>
      </c>
      <c r="G754" t="s">
        <v>4</v>
      </c>
      <c r="H754" t="s">
        <v>118</v>
      </c>
      <c r="I754" t="s">
        <v>53</v>
      </c>
      <c r="J754" t="s">
        <v>6</v>
      </c>
      <c r="K754" t="s">
        <v>7</v>
      </c>
      <c r="L754">
        <v>3</v>
      </c>
      <c r="M754">
        <v>7.7</v>
      </c>
      <c r="N754" t="s">
        <v>25</v>
      </c>
      <c r="O754" t="s">
        <v>7</v>
      </c>
      <c r="P754" t="s">
        <v>52</v>
      </c>
      <c r="Q754">
        <v>30</v>
      </c>
      <c r="R754">
        <v>1</v>
      </c>
      <c r="S754">
        <v>26.5</v>
      </c>
      <c r="T754">
        <v>115</v>
      </c>
      <c r="U754">
        <v>94</v>
      </c>
      <c r="V754">
        <v>8118</v>
      </c>
      <c r="W754">
        <v>52.8</v>
      </c>
      <c r="X754">
        <v>0</v>
      </c>
      <c r="Y754">
        <v>1</v>
      </c>
      <c r="Z754">
        <v>10</v>
      </c>
      <c r="AA754">
        <v>2.4</v>
      </c>
      <c r="AB754">
        <v>4</v>
      </c>
      <c r="AC754">
        <v>319</v>
      </c>
      <c r="AD754">
        <v>26</v>
      </c>
      <c r="AE754">
        <v>10</v>
      </c>
      <c r="AF754">
        <v>240</v>
      </c>
      <c r="AG754">
        <v>150</v>
      </c>
      <c r="AH754">
        <v>181</v>
      </c>
      <c r="AI754">
        <v>57</v>
      </c>
      <c r="AJ754">
        <v>47</v>
      </c>
      <c r="AK754">
        <v>51</v>
      </c>
      <c r="AL754">
        <v>26</v>
      </c>
      <c r="AM754">
        <v>11</v>
      </c>
      <c r="AN754">
        <v>147</v>
      </c>
      <c r="AO754">
        <v>38</v>
      </c>
      <c r="AP754">
        <v>53</v>
      </c>
      <c r="AQ754">
        <v>82</v>
      </c>
      <c r="AR754">
        <v>809</v>
      </c>
      <c r="AS754">
        <v>524</v>
      </c>
      <c r="AT754" t="s">
        <v>7</v>
      </c>
      <c r="AU754">
        <v>0.87</v>
      </c>
      <c r="AV754">
        <v>2011</v>
      </c>
      <c r="AW754" s="1">
        <v>45697</v>
      </c>
      <c r="AX754">
        <v>12.3</v>
      </c>
      <c r="AY754" t="s">
        <v>19</v>
      </c>
      <c r="AZ754" t="s">
        <v>37</v>
      </c>
      <c r="BA754" t="s">
        <v>122</v>
      </c>
      <c r="BB754" t="s">
        <v>13</v>
      </c>
      <c r="BC754" t="s">
        <v>7</v>
      </c>
      <c r="BD754">
        <v>2</v>
      </c>
      <c r="BE754" t="s">
        <v>14</v>
      </c>
      <c r="BF754">
        <v>1.02</v>
      </c>
    </row>
    <row r="755" spans="1:58" hidden="1" x14ac:dyDescent="0.2">
      <c r="A755">
        <v>754</v>
      </c>
      <c r="B755" t="s">
        <v>0</v>
      </c>
      <c r="C755">
        <v>57</v>
      </c>
      <c r="D755" t="s">
        <v>28</v>
      </c>
      <c r="E755" t="s">
        <v>2</v>
      </c>
      <c r="F755" t="s">
        <v>15</v>
      </c>
      <c r="G755" t="s">
        <v>117</v>
      </c>
      <c r="H755" t="s">
        <v>23</v>
      </c>
      <c r="I755" t="s">
        <v>113</v>
      </c>
      <c r="J755" t="s">
        <v>6</v>
      </c>
      <c r="K755" t="s">
        <v>7</v>
      </c>
      <c r="L755">
        <v>4.7</v>
      </c>
      <c r="M755">
        <v>9.9</v>
      </c>
      <c r="N755" t="s">
        <v>8</v>
      </c>
      <c r="O755" t="s">
        <v>7</v>
      </c>
      <c r="P755" t="s">
        <v>46</v>
      </c>
      <c r="Q755">
        <v>34</v>
      </c>
      <c r="R755">
        <v>10</v>
      </c>
      <c r="S755">
        <v>25.8</v>
      </c>
      <c r="T755">
        <v>126</v>
      </c>
      <c r="U755">
        <v>74</v>
      </c>
      <c r="V755">
        <v>7916</v>
      </c>
      <c r="W755">
        <v>38.9</v>
      </c>
      <c r="X755">
        <v>3</v>
      </c>
      <c r="Y755">
        <v>5</v>
      </c>
      <c r="Z755">
        <v>6</v>
      </c>
      <c r="AA755">
        <v>7.2</v>
      </c>
      <c r="AB755">
        <v>2</v>
      </c>
      <c r="AC755">
        <v>128</v>
      </c>
      <c r="AD755">
        <v>6</v>
      </c>
      <c r="AE755">
        <v>1</v>
      </c>
      <c r="AF755">
        <v>109</v>
      </c>
      <c r="AG755">
        <v>82</v>
      </c>
      <c r="AH755">
        <v>102</v>
      </c>
      <c r="AI755">
        <v>19</v>
      </c>
      <c r="AJ755">
        <v>27</v>
      </c>
      <c r="AK755">
        <v>34</v>
      </c>
      <c r="AL755">
        <v>16</v>
      </c>
      <c r="AM755">
        <v>3</v>
      </c>
      <c r="AN755">
        <v>58</v>
      </c>
      <c r="AO755">
        <v>18</v>
      </c>
      <c r="AP755">
        <v>13</v>
      </c>
      <c r="AQ755">
        <v>39</v>
      </c>
      <c r="AR755">
        <v>361</v>
      </c>
      <c r="AS755">
        <v>206</v>
      </c>
      <c r="AT755" t="s">
        <v>13</v>
      </c>
      <c r="AU755">
        <v>0.77</v>
      </c>
      <c r="AV755">
        <v>2022</v>
      </c>
      <c r="AW755" s="1">
        <v>45882</v>
      </c>
      <c r="AX755">
        <v>21.3</v>
      </c>
      <c r="AY755" t="s">
        <v>10</v>
      </c>
      <c r="AZ755" t="s">
        <v>11</v>
      </c>
      <c r="BA755" t="s">
        <v>21</v>
      </c>
      <c r="BB755" t="s">
        <v>13</v>
      </c>
      <c r="BC755" t="s">
        <v>13</v>
      </c>
      <c r="BD755">
        <v>2</v>
      </c>
      <c r="BE755" t="s">
        <v>43</v>
      </c>
      <c r="BF755">
        <v>1.1100000000000001</v>
      </c>
    </row>
    <row r="756" spans="1:58" hidden="1" x14ac:dyDescent="0.2">
      <c r="A756">
        <v>755</v>
      </c>
      <c r="B756" t="s">
        <v>0</v>
      </c>
      <c r="C756">
        <v>44</v>
      </c>
      <c r="D756" t="s">
        <v>28</v>
      </c>
      <c r="E756" t="s">
        <v>126</v>
      </c>
      <c r="F756" t="s">
        <v>15</v>
      </c>
      <c r="G756" t="s">
        <v>117</v>
      </c>
      <c r="H756" t="s">
        <v>118</v>
      </c>
      <c r="I756" t="s">
        <v>114</v>
      </c>
      <c r="J756" t="s">
        <v>32</v>
      </c>
      <c r="K756" t="s">
        <v>13</v>
      </c>
      <c r="L756">
        <v>6.3</v>
      </c>
      <c r="M756">
        <v>7.5</v>
      </c>
      <c r="N756" t="s">
        <v>120</v>
      </c>
      <c r="O756" t="s">
        <v>13</v>
      </c>
      <c r="P756" t="s">
        <v>26</v>
      </c>
      <c r="Q756">
        <v>23</v>
      </c>
      <c r="R756">
        <v>4</v>
      </c>
      <c r="S756">
        <v>22.6</v>
      </c>
      <c r="T756">
        <v>99</v>
      </c>
      <c r="U756">
        <v>71</v>
      </c>
      <c r="V756">
        <v>8122</v>
      </c>
      <c r="W756">
        <v>48.7</v>
      </c>
      <c r="X756">
        <v>3</v>
      </c>
      <c r="Y756">
        <v>2</v>
      </c>
      <c r="Z756">
        <v>8</v>
      </c>
      <c r="AA756">
        <v>5.2</v>
      </c>
      <c r="AB756">
        <v>1</v>
      </c>
      <c r="AC756">
        <v>220</v>
      </c>
      <c r="AD756">
        <v>10</v>
      </c>
      <c r="AE756">
        <v>9</v>
      </c>
      <c r="AF756">
        <v>197</v>
      </c>
      <c r="AG756">
        <v>134</v>
      </c>
      <c r="AH756">
        <v>140</v>
      </c>
      <c r="AI756">
        <v>50</v>
      </c>
      <c r="AJ756">
        <v>34</v>
      </c>
      <c r="AK756">
        <v>39</v>
      </c>
      <c r="AL756">
        <v>24</v>
      </c>
      <c r="AM756">
        <v>6</v>
      </c>
      <c r="AN756">
        <v>102</v>
      </c>
      <c r="AO756">
        <v>39</v>
      </c>
      <c r="AP756">
        <v>50</v>
      </c>
      <c r="AQ756">
        <v>80</v>
      </c>
      <c r="AR756">
        <v>1717</v>
      </c>
      <c r="AS756">
        <v>1731</v>
      </c>
      <c r="AT756" t="s">
        <v>13</v>
      </c>
      <c r="AU756">
        <v>0.48</v>
      </c>
      <c r="AV756">
        <v>2014</v>
      </c>
      <c r="AW756" s="1">
        <v>45777</v>
      </c>
      <c r="AX756">
        <v>22</v>
      </c>
      <c r="AY756" t="s">
        <v>19</v>
      </c>
      <c r="AZ756" t="s">
        <v>48</v>
      </c>
      <c r="BA756" t="s">
        <v>21</v>
      </c>
      <c r="BB756" t="s">
        <v>13</v>
      </c>
      <c r="BC756" t="s">
        <v>7</v>
      </c>
      <c r="BD756">
        <v>3</v>
      </c>
      <c r="BE756" t="s">
        <v>14</v>
      </c>
      <c r="BF756">
        <v>1.21</v>
      </c>
    </row>
    <row r="757" spans="1:58" hidden="1" x14ac:dyDescent="0.2">
      <c r="A757">
        <v>756</v>
      </c>
      <c r="B757" t="s">
        <v>0</v>
      </c>
      <c r="C757">
        <v>57</v>
      </c>
      <c r="D757" t="s">
        <v>28</v>
      </c>
      <c r="E757" t="s">
        <v>47</v>
      </c>
      <c r="F757" t="s">
        <v>15</v>
      </c>
      <c r="G757" t="s">
        <v>16</v>
      </c>
      <c r="H757" t="s">
        <v>23</v>
      </c>
      <c r="I757" t="s">
        <v>112</v>
      </c>
      <c r="J757" t="s">
        <v>32</v>
      </c>
      <c r="K757" t="s">
        <v>7</v>
      </c>
      <c r="L757">
        <v>4.9000000000000004</v>
      </c>
      <c r="M757">
        <v>6.1</v>
      </c>
      <c r="N757" t="s">
        <v>29</v>
      </c>
      <c r="O757" t="s">
        <v>13</v>
      </c>
      <c r="P757" t="s">
        <v>52</v>
      </c>
      <c r="Q757">
        <v>19</v>
      </c>
      <c r="R757">
        <v>5</v>
      </c>
      <c r="S757">
        <v>26.7</v>
      </c>
      <c r="T757">
        <v>99</v>
      </c>
      <c r="U757">
        <v>95</v>
      </c>
      <c r="V757">
        <v>7882</v>
      </c>
      <c r="W757">
        <v>36</v>
      </c>
      <c r="X757">
        <v>3</v>
      </c>
      <c r="Y757">
        <v>7</v>
      </c>
      <c r="Z757">
        <v>16</v>
      </c>
      <c r="AA757">
        <v>1.2</v>
      </c>
      <c r="AB757">
        <v>5</v>
      </c>
      <c r="AC757">
        <v>145</v>
      </c>
      <c r="AD757">
        <v>6</v>
      </c>
      <c r="AE757">
        <v>3</v>
      </c>
      <c r="AF757">
        <v>123</v>
      </c>
      <c r="AG757">
        <v>74</v>
      </c>
      <c r="AH757">
        <v>81</v>
      </c>
      <c r="AI757">
        <v>30</v>
      </c>
      <c r="AJ757">
        <v>29</v>
      </c>
      <c r="AK757">
        <v>30</v>
      </c>
      <c r="AL757">
        <v>16</v>
      </c>
      <c r="AM757">
        <v>6</v>
      </c>
      <c r="AN757">
        <v>79</v>
      </c>
      <c r="AO757">
        <v>37</v>
      </c>
      <c r="AP757">
        <v>34</v>
      </c>
      <c r="AQ757">
        <v>57</v>
      </c>
      <c r="AR757">
        <v>2604</v>
      </c>
      <c r="AS757">
        <v>5166</v>
      </c>
      <c r="AT757" t="s">
        <v>13</v>
      </c>
      <c r="AU757">
        <v>0.71</v>
      </c>
      <c r="AV757">
        <v>2021</v>
      </c>
      <c r="AW757" s="1">
        <v>45825</v>
      </c>
      <c r="AX757">
        <v>24.2</v>
      </c>
      <c r="AY757" t="s">
        <v>27</v>
      </c>
      <c r="AZ757" t="s">
        <v>17</v>
      </c>
      <c r="BA757" t="s">
        <v>122</v>
      </c>
      <c r="BB757" t="s">
        <v>7</v>
      </c>
      <c r="BC757" t="s">
        <v>7</v>
      </c>
      <c r="BD757">
        <v>3</v>
      </c>
      <c r="BE757" t="s">
        <v>49</v>
      </c>
      <c r="BF757">
        <v>1.03</v>
      </c>
    </row>
    <row r="758" spans="1:58" hidden="1" x14ac:dyDescent="0.2">
      <c r="A758">
        <v>757</v>
      </c>
      <c r="B758" t="s">
        <v>0</v>
      </c>
      <c r="C758">
        <v>59</v>
      </c>
      <c r="D758" t="s">
        <v>124</v>
      </c>
      <c r="E758" t="s">
        <v>2</v>
      </c>
      <c r="F758" t="s">
        <v>15</v>
      </c>
      <c r="G758" t="s">
        <v>38</v>
      </c>
      <c r="H758" t="s">
        <v>118</v>
      </c>
      <c r="I758" t="s">
        <v>114</v>
      </c>
      <c r="J758" t="s">
        <v>32</v>
      </c>
      <c r="K758" t="s">
        <v>7</v>
      </c>
      <c r="L758">
        <v>8.3000000000000007</v>
      </c>
      <c r="M758">
        <v>7.1</v>
      </c>
      <c r="N758" t="s">
        <v>120</v>
      </c>
      <c r="O758" t="s">
        <v>41</v>
      </c>
      <c r="P758" t="s">
        <v>26</v>
      </c>
      <c r="Q758">
        <v>10</v>
      </c>
      <c r="R758">
        <v>6</v>
      </c>
      <c r="S758">
        <v>28.6</v>
      </c>
      <c r="T758">
        <v>135</v>
      </c>
      <c r="U758">
        <v>62</v>
      </c>
      <c r="V758">
        <v>7908</v>
      </c>
      <c r="W758">
        <v>26.7</v>
      </c>
      <c r="X758">
        <v>3</v>
      </c>
      <c r="Y758">
        <v>10</v>
      </c>
      <c r="Z758">
        <v>6</v>
      </c>
      <c r="AA758">
        <v>5</v>
      </c>
      <c r="AB758">
        <v>2</v>
      </c>
      <c r="AC758">
        <v>67</v>
      </c>
      <c r="AD758">
        <v>2</v>
      </c>
      <c r="AE758">
        <v>0</v>
      </c>
      <c r="AF758">
        <v>83</v>
      </c>
      <c r="AG758">
        <v>44</v>
      </c>
      <c r="AH758">
        <v>50</v>
      </c>
      <c r="AI758">
        <v>21</v>
      </c>
      <c r="AJ758">
        <v>11</v>
      </c>
      <c r="AK758">
        <v>18</v>
      </c>
      <c r="AL758">
        <v>9</v>
      </c>
      <c r="AM758">
        <v>3</v>
      </c>
      <c r="AN758">
        <v>35</v>
      </c>
      <c r="AO758">
        <v>13</v>
      </c>
      <c r="AP758">
        <v>15</v>
      </c>
      <c r="AQ758">
        <v>15</v>
      </c>
      <c r="AR758">
        <v>548</v>
      </c>
      <c r="AS758">
        <v>1312</v>
      </c>
      <c r="AT758" t="s">
        <v>7</v>
      </c>
      <c r="AU758">
        <v>0.01</v>
      </c>
      <c r="AV758">
        <v>2020</v>
      </c>
      <c r="AW758" s="1">
        <v>45756</v>
      </c>
      <c r="AX758">
        <v>33.5</v>
      </c>
      <c r="AY758" t="s">
        <v>10</v>
      </c>
      <c r="AZ758" t="s">
        <v>31</v>
      </c>
      <c r="BA758" t="s">
        <v>122</v>
      </c>
      <c r="BB758" t="s">
        <v>7</v>
      </c>
      <c r="BC758" t="s">
        <v>7</v>
      </c>
      <c r="BD758">
        <v>0</v>
      </c>
      <c r="BE758" t="s">
        <v>14</v>
      </c>
      <c r="BF758">
        <v>1.35</v>
      </c>
    </row>
    <row r="759" spans="1:58" hidden="1" x14ac:dyDescent="0.2">
      <c r="A759">
        <v>758</v>
      </c>
      <c r="B759" t="s">
        <v>0</v>
      </c>
      <c r="C759">
        <v>33</v>
      </c>
      <c r="D759" t="s">
        <v>28</v>
      </c>
      <c r="E759" t="s">
        <v>17</v>
      </c>
      <c r="F759" t="s">
        <v>15</v>
      </c>
      <c r="G759" t="s">
        <v>16</v>
      </c>
      <c r="H759" t="s">
        <v>23</v>
      </c>
      <c r="I759" t="s">
        <v>115</v>
      </c>
      <c r="J759" t="s">
        <v>32</v>
      </c>
      <c r="K759" t="s">
        <v>7</v>
      </c>
      <c r="L759">
        <v>6.7</v>
      </c>
      <c r="M759">
        <v>9</v>
      </c>
      <c r="N759" t="s">
        <v>8</v>
      </c>
      <c r="O759" t="s">
        <v>7</v>
      </c>
      <c r="P759" t="s">
        <v>26</v>
      </c>
      <c r="Q759">
        <v>20</v>
      </c>
      <c r="R759">
        <v>1</v>
      </c>
      <c r="S759">
        <v>31.7</v>
      </c>
      <c r="T759">
        <v>122</v>
      </c>
      <c r="U759">
        <v>71</v>
      </c>
      <c r="V759">
        <v>8185</v>
      </c>
      <c r="W759">
        <v>33.6</v>
      </c>
      <c r="X759">
        <v>0</v>
      </c>
      <c r="Y759">
        <v>5</v>
      </c>
      <c r="Z759">
        <v>11</v>
      </c>
      <c r="AA759">
        <v>3.2</v>
      </c>
      <c r="AB759">
        <v>5</v>
      </c>
      <c r="AC759">
        <v>291</v>
      </c>
      <c r="AD759">
        <v>10</v>
      </c>
      <c r="AE759">
        <v>5</v>
      </c>
      <c r="AF759">
        <v>212</v>
      </c>
      <c r="AG759">
        <v>140</v>
      </c>
      <c r="AH759">
        <v>168</v>
      </c>
      <c r="AI759">
        <v>52</v>
      </c>
      <c r="AJ759">
        <v>21</v>
      </c>
      <c r="AK759">
        <v>51</v>
      </c>
      <c r="AL759">
        <v>16</v>
      </c>
      <c r="AM759">
        <v>9</v>
      </c>
      <c r="AN759">
        <v>143</v>
      </c>
      <c r="AO759">
        <v>43</v>
      </c>
      <c r="AP759">
        <v>66</v>
      </c>
      <c r="AQ759">
        <v>101</v>
      </c>
      <c r="AR759">
        <v>2959</v>
      </c>
      <c r="AS759">
        <v>2134</v>
      </c>
      <c r="AT759" t="s">
        <v>13</v>
      </c>
      <c r="AU759">
        <v>0.37</v>
      </c>
      <c r="AV759">
        <v>2019</v>
      </c>
      <c r="AW759" s="1">
        <v>45813</v>
      </c>
      <c r="AX759">
        <v>29.1</v>
      </c>
      <c r="AY759" t="s">
        <v>45</v>
      </c>
      <c r="AZ759" t="s">
        <v>37</v>
      </c>
      <c r="BA759" t="s">
        <v>21</v>
      </c>
      <c r="BB759" t="s">
        <v>7</v>
      </c>
      <c r="BC759" t="s">
        <v>7</v>
      </c>
      <c r="BD759">
        <v>3</v>
      </c>
      <c r="BE759" t="s">
        <v>14</v>
      </c>
      <c r="BF759">
        <v>0.98</v>
      </c>
    </row>
    <row r="760" spans="1:58" hidden="1" x14ac:dyDescent="0.2">
      <c r="A760">
        <v>759</v>
      </c>
      <c r="B760" t="s">
        <v>0</v>
      </c>
      <c r="C760">
        <v>28</v>
      </c>
      <c r="D760" t="s">
        <v>28</v>
      </c>
      <c r="E760" t="s">
        <v>128</v>
      </c>
      <c r="F760" t="s">
        <v>3</v>
      </c>
      <c r="G760" t="s">
        <v>16</v>
      </c>
      <c r="H760" t="s">
        <v>24</v>
      </c>
      <c r="I760" t="s">
        <v>113</v>
      </c>
      <c r="J760" t="s">
        <v>123</v>
      </c>
      <c r="K760" t="s">
        <v>13</v>
      </c>
      <c r="L760">
        <v>14</v>
      </c>
      <c r="M760">
        <v>9.3000000000000007</v>
      </c>
      <c r="N760" t="s">
        <v>8</v>
      </c>
      <c r="O760" t="s">
        <v>7</v>
      </c>
      <c r="P760" t="s">
        <v>46</v>
      </c>
      <c r="Q760">
        <v>0</v>
      </c>
      <c r="R760">
        <v>9</v>
      </c>
      <c r="S760">
        <v>23</v>
      </c>
      <c r="T760">
        <v>122</v>
      </c>
      <c r="U760">
        <v>66</v>
      </c>
      <c r="V760">
        <v>7907</v>
      </c>
      <c r="W760">
        <v>36.5</v>
      </c>
      <c r="X760">
        <v>1</v>
      </c>
      <c r="Y760">
        <v>5</v>
      </c>
      <c r="Z760">
        <v>10</v>
      </c>
      <c r="AA760">
        <v>2.9</v>
      </c>
      <c r="AB760">
        <v>3</v>
      </c>
      <c r="AC760">
        <v>17</v>
      </c>
      <c r="AD760">
        <v>1</v>
      </c>
      <c r="AE760">
        <v>3</v>
      </c>
      <c r="AF760">
        <v>136</v>
      </c>
      <c r="AG760">
        <v>30</v>
      </c>
      <c r="AH760">
        <v>46</v>
      </c>
      <c r="AI760">
        <v>6</v>
      </c>
      <c r="AJ760">
        <v>16</v>
      </c>
      <c r="AK760">
        <v>3</v>
      </c>
      <c r="AL760">
        <v>9</v>
      </c>
      <c r="AM760">
        <v>3</v>
      </c>
      <c r="AN760">
        <v>7</v>
      </c>
      <c r="AO760">
        <v>4</v>
      </c>
      <c r="AP760">
        <v>3</v>
      </c>
      <c r="AQ760">
        <v>6</v>
      </c>
      <c r="AR760">
        <v>1245</v>
      </c>
      <c r="AS760">
        <v>1876</v>
      </c>
      <c r="AT760" t="s">
        <v>7</v>
      </c>
      <c r="AU760">
        <v>0.96</v>
      </c>
      <c r="AV760">
        <v>2023</v>
      </c>
      <c r="AW760" s="1">
        <v>45979</v>
      </c>
      <c r="AX760">
        <v>17</v>
      </c>
      <c r="AY760" t="s">
        <v>27</v>
      </c>
      <c r="AZ760" t="s">
        <v>48</v>
      </c>
      <c r="BA760" t="s">
        <v>21</v>
      </c>
      <c r="BB760" t="s">
        <v>13</v>
      </c>
      <c r="BC760" t="s">
        <v>7</v>
      </c>
      <c r="BD760">
        <v>0</v>
      </c>
      <c r="BE760" t="s">
        <v>14</v>
      </c>
      <c r="BF760">
        <v>3.72</v>
      </c>
    </row>
    <row r="761" spans="1:58" hidden="1" x14ac:dyDescent="0.2">
      <c r="A761">
        <v>760</v>
      </c>
      <c r="B761" t="s">
        <v>0</v>
      </c>
      <c r="C761">
        <v>33</v>
      </c>
      <c r="D761" t="s">
        <v>28</v>
      </c>
      <c r="E761" t="s">
        <v>128</v>
      </c>
      <c r="F761" t="s">
        <v>3</v>
      </c>
      <c r="G761" t="s">
        <v>117</v>
      </c>
      <c r="H761" t="s">
        <v>118</v>
      </c>
      <c r="I761" t="s">
        <v>114</v>
      </c>
      <c r="J761" t="s">
        <v>6</v>
      </c>
      <c r="K761" t="s">
        <v>13</v>
      </c>
      <c r="L761">
        <v>4</v>
      </c>
      <c r="M761">
        <v>5.5</v>
      </c>
      <c r="N761" t="s">
        <v>29</v>
      </c>
      <c r="O761" t="s">
        <v>7</v>
      </c>
      <c r="P761" t="s">
        <v>52</v>
      </c>
      <c r="Q761">
        <v>38</v>
      </c>
      <c r="R761">
        <v>4</v>
      </c>
      <c r="S761">
        <v>22.2</v>
      </c>
      <c r="T761">
        <v>155</v>
      </c>
      <c r="U761">
        <v>65</v>
      </c>
      <c r="V761">
        <v>7897</v>
      </c>
      <c r="W761">
        <v>45.3</v>
      </c>
      <c r="X761">
        <v>1</v>
      </c>
      <c r="Y761">
        <v>7</v>
      </c>
      <c r="Z761">
        <v>6</v>
      </c>
      <c r="AA761">
        <v>3.5</v>
      </c>
      <c r="AB761">
        <v>4</v>
      </c>
      <c r="AC761">
        <v>338</v>
      </c>
      <c r="AD761">
        <v>23</v>
      </c>
      <c r="AE761">
        <v>8</v>
      </c>
      <c r="AF761">
        <v>244</v>
      </c>
      <c r="AG761">
        <v>150</v>
      </c>
      <c r="AH761">
        <v>183</v>
      </c>
      <c r="AI761">
        <v>59</v>
      </c>
      <c r="AJ761">
        <v>45</v>
      </c>
      <c r="AK761">
        <v>56</v>
      </c>
      <c r="AL761">
        <v>31</v>
      </c>
      <c r="AM761">
        <v>7</v>
      </c>
      <c r="AN761">
        <v>160</v>
      </c>
      <c r="AO761">
        <v>76</v>
      </c>
      <c r="AP761">
        <v>49</v>
      </c>
      <c r="AQ761">
        <v>74</v>
      </c>
      <c r="AR761">
        <v>2459</v>
      </c>
      <c r="AS761">
        <v>4931</v>
      </c>
      <c r="AT761" t="s">
        <v>7</v>
      </c>
      <c r="AU761">
        <v>0.37</v>
      </c>
      <c r="AV761">
        <v>2022</v>
      </c>
      <c r="AW761" s="1">
        <v>45669</v>
      </c>
      <c r="AX761">
        <v>14.7</v>
      </c>
      <c r="AY761" t="s">
        <v>45</v>
      </c>
      <c r="AZ761" t="s">
        <v>17</v>
      </c>
      <c r="BA761" t="s">
        <v>21</v>
      </c>
      <c r="BB761" t="s">
        <v>7</v>
      </c>
      <c r="BC761" t="s">
        <v>7</v>
      </c>
      <c r="BD761">
        <v>1</v>
      </c>
      <c r="BE761" t="s">
        <v>43</v>
      </c>
      <c r="BF761">
        <v>0.96</v>
      </c>
    </row>
    <row r="762" spans="1:58" hidden="1" x14ac:dyDescent="0.2">
      <c r="A762">
        <v>761</v>
      </c>
      <c r="B762" t="s">
        <v>0</v>
      </c>
      <c r="C762">
        <v>23</v>
      </c>
      <c r="D762" t="s">
        <v>28</v>
      </c>
      <c r="E762" t="s">
        <v>127</v>
      </c>
      <c r="F762" t="s">
        <v>15</v>
      </c>
      <c r="G762" t="s">
        <v>16</v>
      </c>
      <c r="H762" t="s">
        <v>118</v>
      </c>
      <c r="I762" t="s">
        <v>112</v>
      </c>
      <c r="J762" t="s">
        <v>32</v>
      </c>
      <c r="K762" t="s">
        <v>7</v>
      </c>
      <c r="L762">
        <v>3.3</v>
      </c>
      <c r="M762">
        <v>7</v>
      </c>
      <c r="N762" t="s">
        <v>25</v>
      </c>
      <c r="O762" t="s">
        <v>7</v>
      </c>
      <c r="P762" t="s">
        <v>26</v>
      </c>
      <c r="Q762">
        <v>35</v>
      </c>
      <c r="R762">
        <v>9</v>
      </c>
      <c r="S762">
        <v>25.5</v>
      </c>
      <c r="T762">
        <v>136</v>
      </c>
      <c r="U762">
        <v>75</v>
      </c>
      <c r="V762">
        <v>7978</v>
      </c>
      <c r="W762">
        <v>28.1</v>
      </c>
      <c r="X762">
        <v>4</v>
      </c>
      <c r="Y762">
        <v>6</v>
      </c>
      <c r="Z762">
        <v>7</v>
      </c>
      <c r="AA762">
        <v>4.4000000000000004</v>
      </c>
      <c r="AB762">
        <v>5</v>
      </c>
      <c r="AC762">
        <v>304</v>
      </c>
      <c r="AD762">
        <v>13</v>
      </c>
      <c r="AE762">
        <v>20</v>
      </c>
      <c r="AF762">
        <v>300</v>
      </c>
      <c r="AG762">
        <v>140</v>
      </c>
      <c r="AH762">
        <v>163</v>
      </c>
      <c r="AI762">
        <v>52</v>
      </c>
      <c r="AJ762">
        <v>44</v>
      </c>
      <c r="AK762">
        <v>37</v>
      </c>
      <c r="AL762">
        <v>27</v>
      </c>
      <c r="AM762">
        <v>2</v>
      </c>
      <c r="AN762">
        <v>160</v>
      </c>
      <c r="AO762">
        <v>46</v>
      </c>
      <c r="AP762">
        <v>68</v>
      </c>
      <c r="AQ762">
        <v>92</v>
      </c>
      <c r="AR762">
        <v>1132</v>
      </c>
      <c r="AS762">
        <v>2139</v>
      </c>
      <c r="AT762" t="s">
        <v>7</v>
      </c>
      <c r="AU762">
        <v>0.56000000000000005</v>
      </c>
      <c r="AV762">
        <v>2022</v>
      </c>
      <c r="AW762" s="1">
        <v>45739</v>
      </c>
      <c r="AX762">
        <v>23.4</v>
      </c>
      <c r="AY762" t="s">
        <v>45</v>
      </c>
      <c r="AZ762" t="s">
        <v>48</v>
      </c>
      <c r="BA762" t="s">
        <v>122</v>
      </c>
      <c r="BB762" t="s">
        <v>7</v>
      </c>
      <c r="BC762" t="s">
        <v>7</v>
      </c>
      <c r="BD762">
        <v>2</v>
      </c>
      <c r="BE762" t="s">
        <v>14</v>
      </c>
      <c r="BF762">
        <v>1.07</v>
      </c>
    </row>
    <row r="763" spans="1:58" hidden="1" x14ac:dyDescent="0.2">
      <c r="A763">
        <v>762</v>
      </c>
      <c r="B763" t="s">
        <v>0</v>
      </c>
      <c r="C763">
        <v>49</v>
      </c>
      <c r="D763" t="s">
        <v>1</v>
      </c>
      <c r="E763" t="s">
        <v>42</v>
      </c>
      <c r="F763" t="s">
        <v>15</v>
      </c>
      <c r="G763" t="s">
        <v>117</v>
      </c>
      <c r="H763" t="s">
        <v>118</v>
      </c>
      <c r="I763" t="s">
        <v>112</v>
      </c>
      <c r="J763" t="s">
        <v>32</v>
      </c>
      <c r="K763" t="s">
        <v>7</v>
      </c>
      <c r="L763">
        <v>5.4</v>
      </c>
      <c r="M763">
        <v>8</v>
      </c>
      <c r="N763" t="s">
        <v>29</v>
      </c>
      <c r="O763" t="s">
        <v>7</v>
      </c>
      <c r="P763" t="s">
        <v>26</v>
      </c>
      <c r="Q763">
        <v>22</v>
      </c>
      <c r="R763">
        <v>8</v>
      </c>
      <c r="S763">
        <v>22.2</v>
      </c>
      <c r="T763">
        <v>135</v>
      </c>
      <c r="U763">
        <v>87</v>
      </c>
      <c r="V763">
        <v>8072</v>
      </c>
      <c r="W763">
        <v>34.9</v>
      </c>
      <c r="X763">
        <v>3</v>
      </c>
      <c r="Y763">
        <v>0</v>
      </c>
      <c r="Z763">
        <v>9</v>
      </c>
      <c r="AA763">
        <v>1.8</v>
      </c>
      <c r="AB763">
        <v>4</v>
      </c>
      <c r="AC763">
        <v>153</v>
      </c>
      <c r="AD763">
        <v>9</v>
      </c>
      <c r="AE763">
        <v>4</v>
      </c>
      <c r="AF763">
        <v>142</v>
      </c>
      <c r="AG763">
        <v>99</v>
      </c>
      <c r="AH763">
        <v>101</v>
      </c>
      <c r="AI763">
        <v>30</v>
      </c>
      <c r="AJ763">
        <v>30</v>
      </c>
      <c r="AK763">
        <v>21</v>
      </c>
      <c r="AL763">
        <v>16</v>
      </c>
      <c r="AM763">
        <v>3</v>
      </c>
      <c r="AN763">
        <v>91</v>
      </c>
      <c r="AO763">
        <v>21</v>
      </c>
      <c r="AP763">
        <v>18</v>
      </c>
      <c r="AQ763">
        <v>58</v>
      </c>
      <c r="AR763">
        <v>216</v>
      </c>
      <c r="AS763">
        <v>383</v>
      </c>
      <c r="AT763" t="s">
        <v>7</v>
      </c>
      <c r="AU763">
        <v>0.74</v>
      </c>
      <c r="AV763">
        <v>2025</v>
      </c>
      <c r="AW763" s="1">
        <v>45669</v>
      </c>
      <c r="AX763">
        <v>17</v>
      </c>
      <c r="AY763" t="s">
        <v>45</v>
      </c>
      <c r="AZ763" t="s">
        <v>37</v>
      </c>
      <c r="BA763" t="s">
        <v>122</v>
      </c>
      <c r="BB763" t="s">
        <v>13</v>
      </c>
      <c r="BC763" t="s">
        <v>7</v>
      </c>
      <c r="BD763">
        <v>2</v>
      </c>
      <c r="BE763" t="s">
        <v>14</v>
      </c>
      <c r="BF763">
        <v>1.1200000000000001</v>
      </c>
    </row>
    <row r="764" spans="1:58" hidden="1" x14ac:dyDescent="0.2">
      <c r="A764">
        <v>763</v>
      </c>
      <c r="B764" t="s">
        <v>0</v>
      </c>
      <c r="C764">
        <v>48</v>
      </c>
      <c r="D764" t="s">
        <v>28</v>
      </c>
      <c r="E764" t="s">
        <v>128</v>
      </c>
      <c r="F764" t="s">
        <v>40</v>
      </c>
      <c r="G764" t="s">
        <v>117</v>
      </c>
      <c r="H764" t="s">
        <v>118</v>
      </c>
      <c r="I764" t="s">
        <v>114</v>
      </c>
      <c r="J764" t="s">
        <v>18</v>
      </c>
      <c r="K764" t="s">
        <v>7</v>
      </c>
      <c r="L764">
        <v>5.7</v>
      </c>
      <c r="M764">
        <v>6.7</v>
      </c>
      <c r="N764" t="s">
        <v>29</v>
      </c>
      <c r="O764" t="s">
        <v>7</v>
      </c>
      <c r="P764" t="s">
        <v>26</v>
      </c>
      <c r="Q764">
        <v>9</v>
      </c>
      <c r="R764">
        <v>8</v>
      </c>
      <c r="S764">
        <v>24.2</v>
      </c>
      <c r="T764">
        <v>150</v>
      </c>
      <c r="U764">
        <v>98</v>
      </c>
      <c r="V764">
        <v>8075</v>
      </c>
      <c r="W764">
        <v>27.7</v>
      </c>
      <c r="X764">
        <v>3</v>
      </c>
      <c r="Y764">
        <v>5</v>
      </c>
      <c r="Z764">
        <v>12</v>
      </c>
      <c r="AA764">
        <v>2.9</v>
      </c>
      <c r="AB764">
        <v>1</v>
      </c>
      <c r="AC764">
        <v>75</v>
      </c>
      <c r="AD764">
        <v>4</v>
      </c>
      <c r="AE764">
        <v>1</v>
      </c>
      <c r="AF764">
        <v>92</v>
      </c>
      <c r="AG764">
        <v>64</v>
      </c>
      <c r="AH764">
        <v>53</v>
      </c>
      <c r="AI764">
        <v>23</v>
      </c>
      <c r="AJ764">
        <v>25</v>
      </c>
      <c r="AK764">
        <v>14</v>
      </c>
      <c r="AL764">
        <v>14</v>
      </c>
      <c r="AM764">
        <v>0</v>
      </c>
      <c r="AN764">
        <v>39</v>
      </c>
      <c r="AO764">
        <v>18</v>
      </c>
      <c r="AP764">
        <v>9</v>
      </c>
      <c r="AQ764">
        <v>21</v>
      </c>
      <c r="AR764">
        <v>888</v>
      </c>
      <c r="AS764">
        <v>1439</v>
      </c>
      <c r="AT764" t="s">
        <v>7</v>
      </c>
      <c r="AU764">
        <v>0.72</v>
      </c>
      <c r="AV764">
        <v>2018</v>
      </c>
      <c r="AW764" s="1">
        <v>45971</v>
      </c>
      <c r="AX764">
        <v>18.8</v>
      </c>
      <c r="AY764" t="s">
        <v>36</v>
      </c>
      <c r="AZ764" t="s">
        <v>51</v>
      </c>
      <c r="BA764" t="s">
        <v>122</v>
      </c>
      <c r="BB764" t="s">
        <v>13</v>
      </c>
      <c r="BC764" t="s">
        <v>7</v>
      </c>
      <c r="BD764">
        <v>1</v>
      </c>
      <c r="BE764" t="s">
        <v>49</v>
      </c>
      <c r="BF764">
        <v>1.34</v>
      </c>
    </row>
    <row r="765" spans="1:58" hidden="1" x14ac:dyDescent="0.2">
      <c r="A765">
        <v>764</v>
      </c>
      <c r="B765" t="s">
        <v>0</v>
      </c>
      <c r="C765">
        <v>47</v>
      </c>
      <c r="D765" t="s">
        <v>28</v>
      </c>
      <c r="E765" t="s">
        <v>17</v>
      </c>
      <c r="F765" t="s">
        <v>15</v>
      </c>
      <c r="G765" t="s">
        <v>116</v>
      </c>
      <c r="H765" t="s">
        <v>118</v>
      </c>
      <c r="I765" t="s">
        <v>112</v>
      </c>
      <c r="J765" t="s">
        <v>32</v>
      </c>
      <c r="K765" t="s">
        <v>7</v>
      </c>
      <c r="L765">
        <v>6.4</v>
      </c>
      <c r="M765">
        <v>7.9</v>
      </c>
      <c r="N765" t="s">
        <v>8</v>
      </c>
      <c r="O765" t="s">
        <v>7</v>
      </c>
      <c r="P765" t="s">
        <v>46</v>
      </c>
      <c r="Q765">
        <v>1</v>
      </c>
      <c r="R765">
        <v>2</v>
      </c>
      <c r="S765">
        <v>27.5</v>
      </c>
      <c r="T765">
        <v>134</v>
      </c>
      <c r="U765">
        <v>61</v>
      </c>
      <c r="V765">
        <v>8120</v>
      </c>
      <c r="W765">
        <v>60.4</v>
      </c>
      <c r="X765">
        <v>5</v>
      </c>
      <c r="Y765">
        <v>5</v>
      </c>
      <c r="Z765">
        <v>8</v>
      </c>
      <c r="AA765">
        <v>8.6999999999999993</v>
      </c>
      <c r="AB765">
        <v>2</v>
      </c>
      <c r="AC765">
        <v>194</v>
      </c>
      <c r="AD765">
        <v>6</v>
      </c>
      <c r="AE765">
        <v>1</v>
      </c>
      <c r="AF765">
        <v>146</v>
      </c>
      <c r="AG765">
        <v>95</v>
      </c>
      <c r="AH765">
        <v>117</v>
      </c>
      <c r="AI765">
        <v>37</v>
      </c>
      <c r="AJ765">
        <v>34</v>
      </c>
      <c r="AK765">
        <v>30</v>
      </c>
      <c r="AL765">
        <v>13</v>
      </c>
      <c r="AM765">
        <v>8</v>
      </c>
      <c r="AN765">
        <v>92</v>
      </c>
      <c r="AO765">
        <v>41</v>
      </c>
      <c r="AP765">
        <v>35</v>
      </c>
      <c r="AQ765">
        <v>59</v>
      </c>
      <c r="AR765">
        <v>1102</v>
      </c>
      <c r="AS765">
        <v>2308</v>
      </c>
      <c r="AT765" t="s">
        <v>7</v>
      </c>
      <c r="AU765">
        <v>0.6</v>
      </c>
      <c r="AV765">
        <v>2019</v>
      </c>
      <c r="AW765" s="1">
        <v>45682</v>
      </c>
      <c r="AX765">
        <v>32.299999999999997</v>
      </c>
      <c r="AY765" t="s">
        <v>19</v>
      </c>
      <c r="AZ765" t="s">
        <v>37</v>
      </c>
      <c r="BA765" t="s">
        <v>21</v>
      </c>
      <c r="BB765" t="s">
        <v>13</v>
      </c>
      <c r="BC765" t="s">
        <v>7</v>
      </c>
      <c r="BD765">
        <v>0</v>
      </c>
      <c r="BE765" t="s">
        <v>14</v>
      </c>
      <c r="BF765">
        <v>0.99</v>
      </c>
    </row>
    <row r="766" spans="1:58" hidden="1" x14ac:dyDescent="0.2">
      <c r="A766">
        <v>765</v>
      </c>
      <c r="B766" t="s">
        <v>0</v>
      </c>
      <c r="C766">
        <v>31</v>
      </c>
      <c r="D766" t="s">
        <v>28</v>
      </c>
      <c r="E766" t="s">
        <v>17</v>
      </c>
      <c r="F766" t="s">
        <v>3</v>
      </c>
      <c r="G766" t="s">
        <v>38</v>
      </c>
      <c r="H766" t="s">
        <v>119</v>
      </c>
      <c r="I766" t="s">
        <v>114</v>
      </c>
      <c r="J766" t="s">
        <v>6</v>
      </c>
      <c r="K766" t="s">
        <v>7</v>
      </c>
      <c r="L766">
        <v>14</v>
      </c>
      <c r="M766">
        <v>7.9</v>
      </c>
      <c r="N766" t="s">
        <v>8</v>
      </c>
      <c r="O766" t="s">
        <v>7</v>
      </c>
      <c r="P766" t="s">
        <v>52</v>
      </c>
      <c r="Q766">
        <v>24</v>
      </c>
      <c r="R766">
        <v>3</v>
      </c>
      <c r="S766">
        <v>33</v>
      </c>
      <c r="T766">
        <v>105</v>
      </c>
      <c r="U766">
        <v>98</v>
      </c>
      <c r="V766">
        <v>8088</v>
      </c>
      <c r="W766">
        <v>36.5</v>
      </c>
      <c r="X766">
        <v>5</v>
      </c>
      <c r="Y766">
        <v>4</v>
      </c>
      <c r="Z766">
        <v>10</v>
      </c>
      <c r="AA766">
        <v>5.3</v>
      </c>
      <c r="AB766">
        <v>1</v>
      </c>
      <c r="AC766">
        <v>269</v>
      </c>
      <c r="AD766">
        <v>11</v>
      </c>
      <c r="AE766">
        <v>8</v>
      </c>
      <c r="AF766">
        <v>181</v>
      </c>
      <c r="AG766">
        <v>150</v>
      </c>
      <c r="AH766">
        <v>159</v>
      </c>
      <c r="AI766">
        <v>48</v>
      </c>
      <c r="AJ766">
        <v>41</v>
      </c>
      <c r="AK766">
        <v>40</v>
      </c>
      <c r="AL766">
        <v>22</v>
      </c>
      <c r="AM766">
        <v>6</v>
      </c>
      <c r="AN766">
        <v>143</v>
      </c>
      <c r="AO766">
        <v>76</v>
      </c>
      <c r="AP766">
        <v>40</v>
      </c>
      <c r="AQ766">
        <v>55</v>
      </c>
      <c r="AR766">
        <v>2356</v>
      </c>
      <c r="AS766">
        <v>2518</v>
      </c>
      <c r="AT766" t="s">
        <v>13</v>
      </c>
      <c r="AU766">
        <v>0.81</v>
      </c>
      <c r="AV766">
        <v>2023</v>
      </c>
      <c r="AW766" s="1">
        <v>45691</v>
      </c>
      <c r="AX766">
        <v>24.5</v>
      </c>
      <c r="AY766" t="s">
        <v>45</v>
      </c>
      <c r="AZ766" t="s">
        <v>31</v>
      </c>
      <c r="BA766" t="s">
        <v>122</v>
      </c>
      <c r="BB766" t="s">
        <v>13</v>
      </c>
      <c r="BC766" t="s">
        <v>13</v>
      </c>
      <c r="BD766">
        <v>0</v>
      </c>
      <c r="BE766" t="s">
        <v>14</v>
      </c>
      <c r="BF766">
        <v>1.03</v>
      </c>
    </row>
    <row r="767" spans="1:58" hidden="1" x14ac:dyDescent="0.2">
      <c r="A767">
        <v>766</v>
      </c>
      <c r="B767" t="s">
        <v>0</v>
      </c>
      <c r="C767">
        <v>32</v>
      </c>
      <c r="D767" t="s">
        <v>28</v>
      </c>
      <c r="E767" t="s">
        <v>17</v>
      </c>
      <c r="F767" t="s">
        <v>40</v>
      </c>
      <c r="G767" t="s">
        <v>116</v>
      </c>
      <c r="H767" t="s">
        <v>118</v>
      </c>
      <c r="I767" t="s">
        <v>115</v>
      </c>
      <c r="J767" t="s">
        <v>6</v>
      </c>
      <c r="K767" t="s">
        <v>13</v>
      </c>
      <c r="L767">
        <v>11.9</v>
      </c>
      <c r="M767">
        <v>5.3</v>
      </c>
      <c r="N767" t="s">
        <v>29</v>
      </c>
      <c r="O767" t="s">
        <v>13</v>
      </c>
      <c r="P767" t="s">
        <v>52</v>
      </c>
      <c r="Q767">
        <v>24</v>
      </c>
      <c r="R767">
        <v>1</v>
      </c>
      <c r="S767">
        <v>20.100000000000001</v>
      </c>
      <c r="T767">
        <v>151</v>
      </c>
      <c r="U767">
        <v>79</v>
      </c>
      <c r="V767">
        <v>7932</v>
      </c>
      <c r="W767">
        <v>50.9</v>
      </c>
      <c r="X767">
        <v>5</v>
      </c>
      <c r="Y767">
        <v>6</v>
      </c>
      <c r="Z767">
        <v>6</v>
      </c>
      <c r="AA767">
        <v>7.3</v>
      </c>
      <c r="AB767">
        <v>1</v>
      </c>
      <c r="AC767">
        <v>321</v>
      </c>
      <c r="AD767">
        <v>17</v>
      </c>
      <c r="AE767">
        <v>9</v>
      </c>
      <c r="AF767">
        <v>231</v>
      </c>
      <c r="AG767">
        <v>150</v>
      </c>
      <c r="AH767">
        <v>178</v>
      </c>
      <c r="AI767">
        <v>58</v>
      </c>
      <c r="AJ767">
        <v>43</v>
      </c>
      <c r="AK767">
        <v>43</v>
      </c>
      <c r="AL767">
        <v>30</v>
      </c>
      <c r="AM767">
        <v>6</v>
      </c>
      <c r="AN767">
        <v>179</v>
      </c>
      <c r="AO767">
        <v>81</v>
      </c>
      <c r="AP767">
        <v>68</v>
      </c>
      <c r="AQ767">
        <v>118</v>
      </c>
      <c r="AR767">
        <v>1864</v>
      </c>
      <c r="AS767">
        <v>1265</v>
      </c>
      <c r="AT767" t="s">
        <v>7</v>
      </c>
      <c r="AU767">
        <v>0.91</v>
      </c>
      <c r="AV767">
        <v>2025</v>
      </c>
      <c r="AW767" s="1">
        <v>45806</v>
      </c>
      <c r="AX767">
        <v>18.899999999999999</v>
      </c>
      <c r="AY767" t="s">
        <v>19</v>
      </c>
      <c r="AZ767" t="s">
        <v>48</v>
      </c>
      <c r="BA767" t="s">
        <v>21</v>
      </c>
      <c r="BB767" t="s">
        <v>13</v>
      </c>
      <c r="BC767" t="s">
        <v>13</v>
      </c>
      <c r="BD767">
        <v>0</v>
      </c>
      <c r="BE767" t="s">
        <v>49</v>
      </c>
      <c r="BF767">
        <v>1</v>
      </c>
    </row>
    <row r="768" spans="1:58" hidden="1" x14ac:dyDescent="0.2">
      <c r="A768">
        <v>767</v>
      </c>
      <c r="B768" t="s">
        <v>0</v>
      </c>
      <c r="C768">
        <v>30</v>
      </c>
      <c r="D768" t="s">
        <v>1</v>
      </c>
      <c r="E768" t="s">
        <v>47</v>
      </c>
      <c r="F768" t="s">
        <v>3</v>
      </c>
      <c r="G768" t="s">
        <v>117</v>
      </c>
      <c r="H768" t="s">
        <v>118</v>
      </c>
      <c r="I768" t="s">
        <v>115</v>
      </c>
      <c r="J768" t="s">
        <v>6</v>
      </c>
      <c r="K768" t="s">
        <v>7</v>
      </c>
      <c r="L768">
        <v>14</v>
      </c>
      <c r="M768">
        <v>7.1</v>
      </c>
      <c r="N768" t="s">
        <v>120</v>
      </c>
      <c r="O768" t="s">
        <v>41</v>
      </c>
      <c r="P768" t="s">
        <v>9</v>
      </c>
      <c r="Q768">
        <v>37</v>
      </c>
      <c r="R768">
        <v>4</v>
      </c>
      <c r="S768">
        <v>19.8</v>
      </c>
      <c r="T768">
        <v>130</v>
      </c>
      <c r="U768">
        <v>72</v>
      </c>
      <c r="V768">
        <v>7936</v>
      </c>
      <c r="W768">
        <v>46.2</v>
      </c>
      <c r="X768">
        <v>6</v>
      </c>
      <c r="Y768">
        <v>2</v>
      </c>
      <c r="Z768">
        <v>12</v>
      </c>
      <c r="AA768">
        <v>5</v>
      </c>
      <c r="AB768">
        <v>2</v>
      </c>
      <c r="AC768">
        <v>372</v>
      </c>
      <c r="AD768">
        <v>15</v>
      </c>
      <c r="AE768">
        <v>4</v>
      </c>
      <c r="AF768">
        <v>288</v>
      </c>
      <c r="AG768">
        <v>150</v>
      </c>
      <c r="AH768">
        <v>212</v>
      </c>
      <c r="AI768">
        <v>80</v>
      </c>
      <c r="AJ768">
        <v>40</v>
      </c>
      <c r="AK768">
        <v>55</v>
      </c>
      <c r="AL768">
        <v>42</v>
      </c>
      <c r="AM768">
        <v>10</v>
      </c>
      <c r="AN768">
        <v>166</v>
      </c>
      <c r="AO768">
        <v>39</v>
      </c>
      <c r="AP768">
        <v>72</v>
      </c>
      <c r="AQ768">
        <v>146</v>
      </c>
      <c r="AR768">
        <v>456</v>
      </c>
      <c r="AS768">
        <v>925</v>
      </c>
      <c r="AT768" t="s">
        <v>7</v>
      </c>
      <c r="AU768">
        <v>0.38</v>
      </c>
      <c r="AV768">
        <v>2021</v>
      </c>
      <c r="AW768" s="1">
        <v>45914</v>
      </c>
      <c r="AX768">
        <v>24.8</v>
      </c>
      <c r="AY768" t="s">
        <v>45</v>
      </c>
      <c r="AZ768" t="s">
        <v>48</v>
      </c>
      <c r="BA768" t="s">
        <v>12</v>
      </c>
      <c r="BB768" t="s">
        <v>13</v>
      </c>
      <c r="BC768" t="s">
        <v>13</v>
      </c>
      <c r="BD768">
        <v>1</v>
      </c>
      <c r="BE768" t="s">
        <v>14</v>
      </c>
      <c r="BF768">
        <v>1.03</v>
      </c>
    </row>
    <row r="769" spans="1:58" hidden="1" x14ac:dyDescent="0.2">
      <c r="A769">
        <v>768</v>
      </c>
      <c r="B769" t="s">
        <v>0</v>
      </c>
      <c r="C769">
        <v>59</v>
      </c>
      <c r="D769" t="s">
        <v>28</v>
      </c>
      <c r="E769" t="s">
        <v>126</v>
      </c>
      <c r="F769" t="s">
        <v>3</v>
      </c>
      <c r="G769" t="s">
        <v>117</v>
      </c>
      <c r="H769" t="s">
        <v>118</v>
      </c>
      <c r="I769" t="s">
        <v>112</v>
      </c>
      <c r="J769" t="s">
        <v>32</v>
      </c>
      <c r="K769" t="s">
        <v>7</v>
      </c>
      <c r="L769">
        <v>4.4000000000000004</v>
      </c>
      <c r="M769">
        <v>8.5</v>
      </c>
      <c r="N769" t="s">
        <v>29</v>
      </c>
      <c r="O769" t="s">
        <v>7</v>
      </c>
      <c r="P769" t="s">
        <v>9</v>
      </c>
      <c r="Q769">
        <v>35</v>
      </c>
      <c r="R769">
        <v>10</v>
      </c>
      <c r="S769">
        <v>21.8</v>
      </c>
      <c r="T769">
        <v>103</v>
      </c>
      <c r="U769">
        <v>89</v>
      </c>
      <c r="V769">
        <v>8037</v>
      </c>
      <c r="W769">
        <v>56.6</v>
      </c>
      <c r="X769">
        <v>2</v>
      </c>
      <c r="Y769">
        <v>5</v>
      </c>
      <c r="Z769">
        <v>9</v>
      </c>
      <c r="AA769">
        <v>1.9</v>
      </c>
      <c r="AB769">
        <v>6</v>
      </c>
      <c r="AC769">
        <v>251</v>
      </c>
      <c r="AD769">
        <v>9</v>
      </c>
      <c r="AE769">
        <v>2</v>
      </c>
      <c r="AF769">
        <v>201</v>
      </c>
      <c r="AG769">
        <v>122</v>
      </c>
      <c r="AH769">
        <v>137</v>
      </c>
      <c r="AI769">
        <v>55</v>
      </c>
      <c r="AJ769">
        <v>28</v>
      </c>
      <c r="AK769">
        <v>32</v>
      </c>
      <c r="AL769">
        <v>22</v>
      </c>
      <c r="AM769">
        <v>5</v>
      </c>
      <c r="AN769">
        <v>132</v>
      </c>
      <c r="AO769">
        <v>64</v>
      </c>
      <c r="AP769">
        <v>46</v>
      </c>
      <c r="AQ769">
        <v>78</v>
      </c>
      <c r="AR769">
        <v>5245</v>
      </c>
      <c r="AS769">
        <v>10000</v>
      </c>
      <c r="AT769" t="s">
        <v>7</v>
      </c>
      <c r="AU769">
        <v>0.71</v>
      </c>
      <c r="AV769">
        <v>2025</v>
      </c>
      <c r="AW769" s="1">
        <v>45713</v>
      </c>
      <c r="AX769">
        <v>27.9</v>
      </c>
      <c r="AY769" t="s">
        <v>10</v>
      </c>
      <c r="AZ769" t="s">
        <v>31</v>
      </c>
      <c r="BA769" t="s">
        <v>122</v>
      </c>
      <c r="BB769" t="s">
        <v>7</v>
      </c>
      <c r="BC769" t="s">
        <v>13</v>
      </c>
      <c r="BD769">
        <v>3</v>
      </c>
      <c r="BE769" t="s">
        <v>43</v>
      </c>
      <c r="BF769">
        <v>1</v>
      </c>
    </row>
    <row r="770" spans="1:58" hidden="1" x14ac:dyDescent="0.2">
      <c r="A770">
        <v>769</v>
      </c>
      <c r="B770" t="s">
        <v>0</v>
      </c>
      <c r="C770">
        <v>53</v>
      </c>
      <c r="D770" t="s">
        <v>1</v>
      </c>
      <c r="E770" t="s">
        <v>50</v>
      </c>
      <c r="F770" t="s">
        <v>15</v>
      </c>
      <c r="G770" t="s">
        <v>4</v>
      </c>
      <c r="H770" t="s">
        <v>118</v>
      </c>
      <c r="I770" t="s">
        <v>112</v>
      </c>
      <c r="J770" t="s">
        <v>123</v>
      </c>
      <c r="K770" t="s">
        <v>7</v>
      </c>
      <c r="L770">
        <v>7.6</v>
      </c>
      <c r="M770">
        <v>7.5</v>
      </c>
      <c r="N770" t="s">
        <v>8</v>
      </c>
      <c r="O770" t="s">
        <v>7</v>
      </c>
      <c r="P770" t="s">
        <v>9</v>
      </c>
      <c r="Q770">
        <v>20</v>
      </c>
      <c r="R770">
        <v>4</v>
      </c>
      <c r="S770">
        <v>29.7</v>
      </c>
      <c r="T770">
        <v>129</v>
      </c>
      <c r="U770">
        <v>86</v>
      </c>
      <c r="V770">
        <v>7930</v>
      </c>
      <c r="W770">
        <v>55</v>
      </c>
      <c r="X770">
        <v>1</v>
      </c>
      <c r="Y770">
        <v>7</v>
      </c>
      <c r="Z770">
        <v>9</v>
      </c>
      <c r="AA770">
        <v>2.4</v>
      </c>
      <c r="AB770">
        <v>3</v>
      </c>
      <c r="AC770">
        <v>218</v>
      </c>
      <c r="AD770">
        <v>7</v>
      </c>
      <c r="AE770">
        <v>2</v>
      </c>
      <c r="AF770">
        <v>157</v>
      </c>
      <c r="AG770">
        <v>115</v>
      </c>
      <c r="AH770">
        <v>136</v>
      </c>
      <c r="AI770">
        <v>41</v>
      </c>
      <c r="AJ770">
        <v>30</v>
      </c>
      <c r="AK770">
        <v>27</v>
      </c>
      <c r="AL770">
        <v>19</v>
      </c>
      <c r="AM770">
        <v>6</v>
      </c>
      <c r="AN770">
        <v>91</v>
      </c>
      <c r="AO770">
        <v>57</v>
      </c>
      <c r="AP770">
        <v>34</v>
      </c>
      <c r="AQ770">
        <v>79</v>
      </c>
      <c r="AR770">
        <v>431</v>
      </c>
      <c r="AS770">
        <v>577</v>
      </c>
      <c r="AT770" t="s">
        <v>7</v>
      </c>
      <c r="AU770">
        <v>0.59</v>
      </c>
      <c r="AV770">
        <v>2010</v>
      </c>
      <c r="AW770" s="1">
        <v>45788</v>
      </c>
      <c r="AX770">
        <v>31.1</v>
      </c>
      <c r="AY770" t="s">
        <v>45</v>
      </c>
      <c r="AZ770" t="s">
        <v>11</v>
      </c>
      <c r="BA770" t="s">
        <v>21</v>
      </c>
      <c r="BB770" t="s">
        <v>13</v>
      </c>
      <c r="BC770" t="s">
        <v>7</v>
      </c>
      <c r="BD770">
        <v>1</v>
      </c>
      <c r="BE770" t="s">
        <v>14</v>
      </c>
      <c r="BF770">
        <v>1.02</v>
      </c>
    </row>
    <row r="771" spans="1:58" hidden="1" x14ac:dyDescent="0.2">
      <c r="A771">
        <v>770</v>
      </c>
      <c r="B771" t="s">
        <v>0</v>
      </c>
      <c r="C771">
        <v>61</v>
      </c>
      <c r="D771" t="s">
        <v>1</v>
      </c>
      <c r="E771" t="s">
        <v>33</v>
      </c>
      <c r="F771" t="s">
        <v>3</v>
      </c>
      <c r="G771" t="s">
        <v>16</v>
      </c>
      <c r="H771" t="s">
        <v>118</v>
      </c>
      <c r="I771" t="s">
        <v>112</v>
      </c>
      <c r="J771" t="s">
        <v>6</v>
      </c>
      <c r="K771" t="s">
        <v>7</v>
      </c>
      <c r="L771">
        <v>12.6</v>
      </c>
      <c r="M771">
        <v>7.4</v>
      </c>
      <c r="N771" t="s">
        <v>25</v>
      </c>
      <c r="O771" t="s">
        <v>7</v>
      </c>
      <c r="P771" t="s">
        <v>9</v>
      </c>
      <c r="Q771">
        <v>38</v>
      </c>
      <c r="R771">
        <v>3</v>
      </c>
      <c r="S771">
        <v>29.3</v>
      </c>
      <c r="T771">
        <v>139</v>
      </c>
      <c r="U771">
        <v>98</v>
      </c>
      <c r="V771">
        <v>7883</v>
      </c>
      <c r="W771">
        <v>29.3</v>
      </c>
      <c r="X771">
        <v>5</v>
      </c>
      <c r="Y771">
        <v>2</v>
      </c>
      <c r="Z771">
        <v>13</v>
      </c>
      <c r="AA771">
        <v>2.7</v>
      </c>
      <c r="AB771">
        <v>1</v>
      </c>
      <c r="AC771">
        <v>316</v>
      </c>
      <c r="AD771">
        <v>13</v>
      </c>
      <c r="AE771">
        <v>5</v>
      </c>
      <c r="AF771">
        <v>232</v>
      </c>
      <c r="AG771">
        <v>150</v>
      </c>
      <c r="AH771">
        <v>225</v>
      </c>
      <c r="AI771">
        <v>41</v>
      </c>
      <c r="AJ771">
        <v>41</v>
      </c>
      <c r="AK771">
        <v>41</v>
      </c>
      <c r="AL771">
        <v>38</v>
      </c>
      <c r="AM771">
        <v>5</v>
      </c>
      <c r="AN771">
        <v>161</v>
      </c>
      <c r="AO771">
        <v>91</v>
      </c>
      <c r="AP771">
        <v>38</v>
      </c>
      <c r="AQ771">
        <v>65</v>
      </c>
      <c r="AR771">
        <v>211</v>
      </c>
      <c r="AS771">
        <v>147</v>
      </c>
      <c r="AT771" t="s">
        <v>13</v>
      </c>
      <c r="AU771">
        <v>0.98</v>
      </c>
      <c r="AV771">
        <v>2020</v>
      </c>
      <c r="AW771" s="1">
        <v>45892</v>
      </c>
      <c r="AX771">
        <v>24.3</v>
      </c>
      <c r="AY771" t="s">
        <v>10</v>
      </c>
      <c r="AZ771" t="s">
        <v>11</v>
      </c>
      <c r="BA771" t="s">
        <v>21</v>
      </c>
      <c r="BB771" t="s">
        <v>13</v>
      </c>
      <c r="BC771" t="s">
        <v>13</v>
      </c>
      <c r="BD771">
        <v>3</v>
      </c>
      <c r="BE771" t="s">
        <v>14</v>
      </c>
      <c r="BF771">
        <v>1.02</v>
      </c>
    </row>
    <row r="772" spans="1:58" hidden="1" x14ac:dyDescent="0.2">
      <c r="A772">
        <v>771</v>
      </c>
      <c r="B772" t="s">
        <v>0</v>
      </c>
      <c r="C772">
        <v>26</v>
      </c>
      <c r="D772" t="s">
        <v>1</v>
      </c>
      <c r="E772" t="s">
        <v>2</v>
      </c>
      <c r="F772" t="s">
        <v>3</v>
      </c>
      <c r="G772" t="s">
        <v>38</v>
      </c>
      <c r="H772" t="s">
        <v>118</v>
      </c>
      <c r="I772" t="s">
        <v>112</v>
      </c>
      <c r="J772" t="s">
        <v>123</v>
      </c>
      <c r="K772" t="s">
        <v>7</v>
      </c>
      <c r="L772">
        <v>4.3</v>
      </c>
      <c r="M772">
        <v>7.1</v>
      </c>
      <c r="N772" t="s">
        <v>29</v>
      </c>
      <c r="O772" t="s">
        <v>7</v>
      </c>
      <c r="P772" t="s">
        <v>46</v>
      </c>
      <c r="Q772">
        <v>30</v>
      </c>
      <c r="R772">
        <v>4</v>
      </c>
      <c r="S772">
        <v>27.1</v>
      </c>
      <c r="T772">
        <v>123</v>
      </c>
      <c r="U772">
        <v>63</v>
      </c>
      <c r="V772">
        <v>7942</v>
      </c>
      <c r="W772">
        <v>43.5</v>
      </c>
      <c r="X772">
        <v>3</v>
      </c>
      <c r="Y772">
        <v>3</v>
      </c>
      <c r="Z772">
        <v>7</v>
      </c>
      <c r="AA772">
        <v>3.5</v>
      </c>
      <c r="AB772">
        <v>1</v>
      </c>
      <c r="AC772">
        <v>272</v>
      </c>
      <c r="AD772">
        <v>10</v>
      </c>
      <c r="AE772">
        <v>6</v>
      </c>
      <c r="AF772">
        <v>294</v>
      </c>
      <c r="AG772">
        <v>126</v>
      </c>
      <c r="AH772">
        <v>155</v>
      </c>
      <c r="AI772">
        <v>50</v>
      </c>
      <c r="AJ772">
        <v>34</v>
      </c>
      <c r="AK772">
        <v>43</v>
      </c>
      <c r="AL772">
        <v>21</v>
      </c>
      <c r="AM772">
        <v>10</v>
      </c>
      <c r="AN772">
        <v>154</v>
      </c>
      <c r="AO772">
        <v>64</v>
      </c>
      <c r="AP772">
        <v>29</v>
      </c>
      <c r="AQ772">
        <v>108</v>
      </c>
      <c r="AR772">
        <v>1521</v>
      </c>
      <c r="AS772">
        <v>2757</v>
      </c>
      <c r="AT772" t="s">
        <v>7</v>
      </c>
      <c r="AU772">
        <v>0.06</v>
      </c>
      <c r="AV772">
        <v>2021</v>
      </c>
      <c r="AW772" s="1">
        <v>45699</v>
      </c>
      <c r="AX772">
        <v>27.2</v>
      </c>
      <c r="AY772" t="s">
        <v>45</v>
      </c>
      <c r="AZ772" t="s">
        <v>31</v>
      </c>
      <c r="BA772" t="s">
        <v>122</v>
      </c>
      <c r="BB772" t="s">
        <v>13</v>
      </c>
      <c r="BC772" t="s">
        <v>13</v>
      </c>
      <c r="BD772">
        <v>3</v>
      </c>
      <c r="BE772" t="s">
        <v>43</v>
      </c>
      <c r="BF772">
        <v>1</v>
      </c>
    </row>
    <row r="773" spans="1:58" hidden="1" x14ac:dyDescent="0.2">
      <c r="A773">
        <v>772</v>
      </c>
      <c r="B773" t="s">
        <v>0</v>
      </c>
      <c r="C773">
        <v>27</v>
      </c>
      <c r="D773" t="s">
        <v>28</v>
      </c>
      <c r="E773" t="s">
        <v>33</v>
      </c>
      <c r="F773" t="s">
        <v>3</v>
      </c>
      <c r="G773" t="s">
        <v>117</v>
      </c>
      <c r="H773" t="s">
        <v>118</v>
      </c>
      <c r="I773" t="s">
        <v>112</v>
      </c>
      <c r="J773" t="s">
        <v>32</v>
      </c>
      <c r="K773" t="s">
        <v>7</v>
      </c>
      <c r="L773">
        <v>9.5</v>
      </c>
      <c r="M773">
        <v>8</v>
      </c>
      <c r="N773" t="s">
        <v>8</v>
      </c>
      <c r="O773" t="s">
        <v>7</v>
      </c>
      <c r="P773" t="s">
        <v>9</v>
      </c>
      <c r="Q773">
        <v>36</v>
      </c>
      <c r="R773">
        <v>2</v>
      </c>
      <c r="S773">
        <v>26.9</v>
      </c>
      <c r="T773">
        <v>118</v>
      </c>
      <c r="U773">
        <v>77</v>
      </c>
      <c r="V773">
        <v>8208</v>
      </c>
      <c r="W773">
        <v>26.3</v>
      </c>
      <c r="X773">
        <v>5</v>
      </c>
      <c r="Y773">
        <v>4</v>
      </c>
      <c r="Z773">
        <v>7</v>
      </c>
      <c r="AA773">
        <v>7.1</v>
      </c>
      <c r="AB773">
        <v>5</v>
      </c>
      <c r="AC773">
        <v>342</v>
      </c>
      <c r="AD773">
        <v>11</v>
      </c>
      <c r="AE773">
        <v>3</v>
      </c>
      <c r="AF773">
        <v>295</v>
      </c>
      <c r="AG773">
        <v>150</v>
      </c>
      <c r="AH773">
        <v>211</v>
      </c>
      <c r="AI773">
        <v>46</v>
      </c>
      <c r="AJ773">
        <v>50</v>
      </c>
      <c r="AK773">
        <v>46</v>
      </c>
      <c r="AL773">
        <v>43</v>
      </c>
      <c r="AM773">
        <v>12</v>
      </c>
      <c r="AN773">
        <v>145</v>
      </c>
      <c r="AO773">
        <v>54</v>
      </c>
      <c r="AP773">
        <v>74</v>
      </c>
      <c r="AQ773">
        <v>128</v>
      </c>
      <c r="AR773">
        <v>15800</v>
      </c>
      <c r="AS773">
        <v>10000</v>
      </c>
      <c r="AT773" t="s">
        <v>13</v>
      </c>
      <c r="AU773">
        <v>0.4</v>
      </c>
      <c r="AV773">
        <v>2015</v>
      </c>
      <c r="AW773" s="1">
        <v>45739</v>
      </c>
      <c r="AX773">
        <v>31.1</v>
      </c>
      <c r="AY773" t="s">
        <v>45</v>
      </c>
      <c r="AZ773" t="s">
        <v>17</v>
      </c>
      <c r="BA773" t="s">
        <v>21</v>
      </c>
      <c r="BB773" t="s">
        <v>7</v>
      </c>
      <c r="BC773" t="s">
        <v>7</v>
      </c>
      <c r="BD773">
        <v>2</v>
      </c>
      <c r="BE773" t="s">
        <v>14</v>
      </c>
      <c r="BF773">
        <v>0.91</v>
      </c>
    </row>
    <row r="774" spans="1:58" hidden="1" x14ac:dyDescent="0.2">
      <c r="A774">
        <v>773</v>
      </c>
      <c r="B774" t="s">
        <v>0</v>
      </c>
      <c r="C774">
        <v>43</v>
      </c>
      <c r="D774" t="s">
        <v>125</v>
      </c>
      <c r="E774" t="s">
        <v>127</v>
      </c>
      <c r="F774" t="s">
        <v>40</v>
      </c>
      <c r="G774" t="s">
        <v>117</v>
      </c>
      <c r="H774" t="s">
        <v>118</v>
      </c>
      <c r="I774" t="s">
        <v>115</v>
      </c>
      <c r="J774" t="s">
        <v>6</v>
      </c>
      <c r="K774" t="s">
        <v>7</v>
      </c>
      <c r="L774">
        <v>12.4</v>
      </c>
      <c r="M774">
        <v>7.5</v>
      </c>
      <c r="N774" t="s">
        <v>8</v>
      </c>
      <c r="O774" t="s">
        <v>7</v>
      </c>
      <c r="P774" t="s">
        <v>9</v>
      </c>
      <c r="Q774">
        <v>23</v>
      </c>
      <c r="R774">
        <v>9</v>
      </c>
      <c r="S774">
        <v>25.3</v>
      </c>
      <c r="T774">
        <v>117</v>
      </c>
      <c r="U774">
        <v>73</v>
      </c>
      <c r="V774">
        <v>7896</v>
      </c>
      <c r="W774">
        <v>41.8</v>
      </c>
      <c r="X774">
        <v>4</v>
      </c>
      <c r="Y774">
        <v>5</v>
      </c>
      <c r="Z774">
        <v>8</v>
      </c>
      <c r="AA774">
        <v>1.2</v>
      </c>
      <c r="AB774">
        <v>6</v>
      </c>
      <c r="AC774">
        <v>154</v>
      </c>
      <c r="AD774">
        <v>7</v>
      </c>
      <c r="AE774">
        <v>3</v>
      </c>
      <c r="AF774">
        <v>129</v>
      </c>
      <c r="AG774">
        <v>103</v>
      </c>
      <c r="AH774">
        <v>108</v>
      </c>
      <c r="AI774">
        <v>26</v>
      </c>
      <c r="AJ774">
        <v>39</v>
      </c>
      <c r="AK774">
        <v>26</v>
      </c>
      <c r="AL774">
        <v>17</v>
      </c>
      <c r="AM774">
        <v>5</v>
      </c>
      <c r="AN774">
        <v>84</v>
      </c>
      <c r="AO774">
        <v>22</v>
      </c>
      <c r="AP774">
        <v>27</v>
      </c>
      <c r="AQ774">
        <v>42</v>
      </c>
      <c r="AR774">
        <v>2075</v>
      </c>
      <c r="AS774">
        <v>1470</v>
      </c>
      <c r="AT774" t="s">
        <v>7</v>
      </c>
      <c r="AU774">
        <v>0.17</v>
      </c>
      <c r="AV774">
        <v>2023</v>
      </c>
      <c r="AW774" s="1">
        <v>45975</v>
      </c>
      <c r="AX774">
        <v>22</v>
      </c>
      <c r="AY774" t="s">
        <v>27</v>
      </c>
      <c r="AZ774" t="s">
        <v>35</v>
      </c>
      <c r="BA774" t="s">
        <v>12</v>
      </c>
      <c r="BB774" t="s">
        <v>13</v>
      </c>
      <c r="BC774" t="s">
        <v>13</v>
      </c>
      <c r="BD774">
        <v>1</v>
      </c>
      <c r="BE774" t="s">
        <v>14</v>
      </c>
      <c r="BF774">
        <v>1.0900000000000001</v>
      </c>
    </row>
    <row r="775" spans="1:58" hidden="1" x14ac:dyDescent="0.2">
      <c r="A775">
        <v>774</v>
      </c>
      <c r="B775" t="s">
        <v>0</v>
      </c>
      <c r="C775">
        <v>13</v>
      </c>
      <c r="D775" t="s">
        <v>1</v>
      </c>
      <c r="E775" t="s">
        <v>2</v>
      </c>
      <c r="F775" t="s">
        <v>40</v>
      </c>
      <c r="G775" t="s">
        <v>117</v>
      </c>
      <c r="H775" t="s">
        <v>118</v>
      </c>
      <c r="I775" t="s">
        <v>17</v>
      </c>
      <c r="J775" t="s">
        <v>6</v>
      </c>
      <c r="K775" t="s">
        <v>13</v>
      </c>
      <c r="L775">
        <v>7.3</v>
      </c>
      <c r="M775">
        <v>7.9</v>
      </c>
      <c r="N775" t="s">
        <v>29</v>
      </c>
      <c r="O775" t="s">
        <v>13</v>
      </c>
      <c r="P775" t="s">
        <v>52</v>
      </c>
      <c r="Q775">
        <v>0</v>
      </c>
      <c r="R775">
        <v>1</v>
      </c>
      <c r="S775">
        <v>24</v>
      </c>
      <c r="T775">
        <v>113</v>
      </c>
      <c r="U775">
        <v>60</v>
      </c>
      <c r="V775">
        <v>7941</v>
      </c>
      <c r="W775">
        <v>40.9</v>
      </c>
      <c r="X775">
        <v>1</v>
      </c>
      <c r="Y775">
        <v>4</v>
      </c>
      <c r="Z775">
        <v>11</v>
      </c>
      <c r="AA775">
        <v>3.2</v>
      </c>
      <c r="AB775">
        <v>1</v>
      </c>
      <c r="AC775">
        <v>120</v>
      </c>
      <c r="AD775">
        <v>4</v>
      </c>
      <c r="AE775">
        <v>14</v>
      </c>
      <c r="AF775">
        <v>218</v>
      </c>
      <c r="AG775">
        <v>83</v>
      </c>
      <c r="AH775">
        <v>88</v>
      </c>
      <c r="AI775">
        <v>23</v>
      </c>
      <c r="AJ775">
        <v>25</v>
      </c>
      <c r="AK775">
        <v>21</v>
      </c>
      <c r="AL775">
        <v>19</v>
      </c>
      <c r="AM775">
        <v>6</v>
      </c>
      <c r="AN775">
        <v>72</v>
      </c>
      <c r="AO775">
        <v>17</v>
      </c>
      <c r="AP775">
        <v>16</v>
      </c>
      <c r="AQ775">
        <v>30</v>
      </c>
      <c r="AR775">
        <v>1313</v>
      </c>
      <c r="AS775">
        <v>2088</v>
      </c>
      <c r="AT775" t="s">
        <v>7</v>
      </c>
      <c r="AU775">
        <v>0.56000000000000005</v>
      </c>
      <c r="AV775">
        <v>2010</v>
      </c>
      <c r="AW775" s="1">
        <v>45780</v>
      </c>
      <c r="AX775">
        <v>30</v>
      </c>
      <c r="AY775" t="s">
        <v>10</v>
      </c>
      <c r="AZ775" t="s">
        <v>20</v>
      </c>
      <c r="BA775" t="s">
        <v>12</v>
      </c>
      <c r="BB775" t="s">
        <v>7</v>
      </c>
      <c r="BC775" t="s">
        <v>13</v>
      </c>
      <c r="BD775">
        <v>1</v>
      </c>
      <c r="BE775" t="s">
        <v>14</v>
      </c>
      <c r="BF775">
        <v>1.45</v>
      </c>
    </row>
    <row r="776" spans="1:58" hidden="1" x14ac:dyDescent="0.2">
      <c r="A776">
        <v>775</v>
      </c>
      <c r="B776" t="s">
        <v>0</v>
      </c>
      <c r="C776">
        <v>65</v>
      </c>
      <c r="D776" t="s">
        <v>28</v>
      </c>
      <c r="E776" t="s">
        <v>128</v>
      </c>
      <c r="F776" t="s">
        <v>3</v>
      </c>
      <c r="G776" t="s">
        <v>4</v>
      </c>
      <c r="H776" t="s">
        <v>23</v>
      </c>
      <c r="I776" t="s">
        <v>112</v>
      </c>
      <c r="J776" t="s">
        <v>6</v>
      </c>
      <c r="K776" t="s">
        <v>7</v>
      </c>
      <c r="L776">
        <v>1.1000000000000001</v>
      </c>
      <c r="M776">
        <v>4.8</v>
      </c>
      <c r="N776" t="s">
        <v>39</v>
      </c>
      <c r="O776" t="s">
        <v>13</v>
      </c>
      <c r="P776" t="s">
        <v>121</v>
      </c>
      <c r="Q776">
        <v>23</v>
      </c>
      <c r="R776">
        <v>8</v>
      </c>
      <c r="S776">
        <v>23.2</v>
      </c>
      <c r="T776">
        <v>109</v>
      </c>
      <c r="U776">
        <v>93</v>
      </c>
      <c r="V776">
        <v>7941</v>
      </c>
      <c r="W776">
        <v>43</v>
      </c>
      <c r="X776">
        <v>2</v>
      </c>
      <c r="Y776">
        <v>5</v>
      </c>
      <c r="Z776">
        <v>15</v>
      </c>
      <c r="AA776">
        <v>3</v>
      </c>
      <c r="AB776">
        <v>5</v>
      </c>
      <c r="AC776">
        <v>126</v>
      </c>
      <c r="AD776">
        <v>9</v>
      </c>
      <c r="AE776">
        <v>3</v>
      </c>
      <c r="AF776">
        <v>114</v>
      </c>
      <c r="AG776">
        <v>84</v>
      </c>
      <c r="AH776">
        <v>74</v>
      </c>
      <c r="AI776">
        <v>33</v>
      </c>
      <c r="AJ776">
        <v>25</v>
      </c>
      <c r="AK776">
        <v>25</v>
      </c>
      <c r="AL776">
        <v>10</v>
      </c>
      <c r="AM776">
        <v>1</v>
      </c>
      <c r="AN776">
        <v>55</v>
      </c>
      <c r="AO776">
        <v>37</v>
      </c>
      <c r="AP776">
        <v>27</v>
      </c>
      <c r="AQ776">
        <v>48</v>
      </c>
      <c r="AR776">
        <v>184</v>
      </c>
      <c r="AS776">
        <v>255</v>
      </c>
      <c r="AT776" t="s">
        <v>13</v>
      </c>
      <c r="AU776">
        <v>0.3</v>
      </c>
      <c r="AV776">
        <v>2023</v>
      </c>
      <c r="AW776" s="1">
        <v>45752</v>
      </c>
      <c r="AX776">
        <v>14</v>
      </c>
      <c r="AY776" t="s">
        <v>30</v>
      </c>
      <c r="AZ776" t="s">
        <v>11</v>
      </c>
      <c r="BA776" t="s">
        <v>21</v>
      </c>
      <c r="BB776" t="s">
        <v>13</v>
      </c>
      <c r="BC776" t="s">
        <v>13</v>
      </c>
      <c r="BD776">
        <v>4</v>
      </c>
      <c r="BE776" t="s">
        <v>14</v>
      </c>
      <c r="BF776">
        <v>1.17</v>
      </c>
    </row>
    <row r="777" spans="1:58" hidden="1" x14ac:dyDescent="0.2">
      <c r="A777">
        <v>776</v>
      </c>
      <c r="B777" t="s">
        <v>0</v>
      </c>
      <c r="C777">
        <v>15</v>
      </c>
      <c r="D777" t="s">
        <v>28</v>
      </c>
      <c r="E777" t="s">
        <v>126</v>
      </c>
      <c r="F777" t="s">
        <v>40</v>
      </c>
      <c r="G777" t="s">
        <v>116</v>
      </c>
      <c r="H777" t="s">
        <v>23</v>
      </c>
      <c r="I777" t="s">
        <v>115</v>
      </c>
      <c r="J777" t="s">
        <v>6</v>
      </c>
      <c r="K777" t="s">
        <v>13</v>
      </c>
      <c r="L777">
        <v>3.5</v>
      </c>
      <c r="M777">
        <v>6</v>
      </c>
      <c r="N777" t="s">
        <v>120</v>
      </c>
      <c r="O777" t="s">
        <v>7</v>
      </c>
      <c r="P777" t="s">
        <v>46</v>
      </c>
      <c r="Q777">
        <v>23</v>
      </c>
      <c r="R777">
        <v>8</v>
      </c>
      <c r="S777">
        <v>30.6</v>
      </c>
      <c r="T777">
        <v>104</v>
      </c>
      <c r="U777">
        <v>85</v>
      </c>
      <c r="V777">
        <v>7975</v>
      </c>
      <c r="W777">
        <v>40.700000000000003</v>
      </c>
      <c r="X777">
        <v>2</v>
      </c>
      <c r="Y777">
        <v>1</v>
      </c>
      <c r="Z777">
        <v>16</v>
      </c>
      <c r="AA777">
        <v>5.0999999999999996</v>
      </c>
      <c r="AB777">
        <v>4</v>
      </c>
      <c r="AC777">
        <v>178</v>
      </c>
      <c r="AD777">
        <v>7</v>
      </c>
      <c r="AE777">
        <v>12</v>
      </c>
      <c r="AF777">
        <v>222</v>
      </c>
      <c r="AG777">
        <v>92</v>
      </c>
      <c r="AH777">
        <v>124</v>
      </c>
      <c r="AI777">
        <v>28</v>
      </c>
      <c r="AJ777">
        <v>33</v>
      </c>
      <c r="AK777">
        <v>21</v>
      </c>
      <c r="AL777">
        <v>18</v>
      </c>
      <c r="AM777">
        <v>5</v>
      </c>
      <c r="AN777">
        <v>98</v>
      </c>
      <c r="AO777">
        <v>24</v>
      </c>
      <c r="AP777">
        <v>24</v>
      </c>
      <c r="AQ777">
        <v>54</v>
      </c>
      <c r="AR777">
        <v>316</v>
      </c>
      <c r="AS777">
        <v>554</v>
      </c>
      <c r="AT777" t="s">
        <v>7</v>
      </c>
      <c r="AU777">
        <v>0.87</v>
      </c>
      <c r="AV777">
        <v>2022</v>
      </c>
      <c r="AW777" s="1">
        <v>45808</v>
      </c>
      <c r="AX777">
        <v>25.4</v>
      </c>
      <c r="AY777" t="s">
        <v>36</v>
      </c>
      <c r="AZ777" t="s">
        <v>48</v>
      </c>
      <c r="BA777" t="s">
        <v>21</v>
      </c>
      <c r="BB777" t="s">
        <v>7</v>
      </c>
      <c r="BC777" t="s">
        <v>7</v>
      </c>
      <c r="BD777">
        <v>5</v>
      </c>
      <c r="BE777" t="s">
        <v>14</v>
      </c>
      <c r="BF777">
        <v>1.21</v>
      </c>
    </row>
    <row r="778" spans="1:58" hidden="1" x14ac:dyDescent="0.2">
      <c r="A778">
        <v>777</v>
      </c>
      <c r="B778" t="s">
        <v>0</v>
      </c>
      <c r="C778">
        <v>28</v>
      </c>
      <c r="D778" t="s">
        <v>28</v>
      </c>
      <c r="E778" t="s">
        <v>47</v>
      </c>
      <c r="F778" t="s">
        <v>40</v>
      </c>
      <c r="G778" t="s">
        <v>117</v>
      </c>
      <c r="H778" t="s">
        <v>24</v>
      </c>
      <c r="I778" t="s">
        <v>112</v>
      </c>
      <c r="J778" t="s">
        <v>18</v>
      </c>
      <c r="K778" t="s">
        <v>13</v>
      </c>
      <c r="L778">
        <v>16.600000000000001</v>
      </c>
      <c r="M778">
        <v>5.2</v>
      </c>
      <c r="N778" t="s">
        <v>8</v>
      </c>
      <c r="O778" t="s">
        <v>7</v>
      </c>
      <c r="P778" t="s">
        <v>26</v>
      </c>
      <c r="Q778">
        <v>3</v>
      </c>
      <c r="R778">
        <v>1</v>
      </c>
      <c r="S778">
        <v>31.4</v>
      </c>
      <c r="T778">
        <v>127</v>
      </c>
      <c r="U778">
        <v>65</v>
      </c>
      <c r="V778">
        <v>7844</v>
      </c>
      <c r="W778">
        <v>45.8</v>
      </c>
      <c r="X778">
        <v>2</v>
      </c>
      <c r="Y778">
        <v>6</v>
      </c>
      <c r="Z778">
        <v>8</v>
      </c>
      <c r="AA778">
        <v>8.9</v>
      </c>
      <c r="AB778">
        <v>5</v>
      </c>
      <c r="AC778">
        <v>31</v>
      </c>
      <c r="AD778">
        <v>1</v>
      </c>
      <c r="AE778">
        <v>3</v>
      </c>
      <c r="AF778">
        <v>134</v>
      </c>
      <c r="AG778">
        <v>29</v>
      </c>
      <c r="AH778">
        <v>35</v>
      </c>
      <c r="AI778">
        <v>14</v>
      </c>
      <c r="AJ778">
        <v>11</v>
      </c>
      <c r="AK778">
        <v>10</v>
      </c>
      <c r="AL778">
        <v>8</v>
      </c>
      <c r="AM778">
        <v>2</v>
      </c>
      <c r="AN778">
        <v>15</v>
      </c>
      <c r="AO778">
        <v>3</v>
      </c>
      <c r="AP778">
        <v>5</v>
      </c>
      <c r="AQ778">
        <v>9</v>
      </c>
      <c r="AR778">
        <v>675</v>
      </c>
      <c r="AS778">
        <v>653</v>
      </c>
      <c r="AT778" t="s">
        <v>7</v>
      </c>
      <c r="AU778">
        <v>0.79</v>
      </c>
      <c r="AV778">
        <v>2020</v>
      </c>
      <c r="AW778" s="1">
        <v>45938</v>
      </c>
      <c r="AX778">
        <v>31</v>
      </c>
      <c r="AY778" t="s">
        <v>10</v>
      </c>
      <c r="AZ778" t="s">
        <v>11</v>
      </c>
      <c r="BA778" t="s">
        <v>122</v>
      </c>
      <c r="BB778" t="s">
        <v>13</v>
      </c>
      <c r="BC778" t="s">
        <v>13</v>
      </c>
      <c r="BD778">
        <v>2</v>
      </c>
      <c r="BE778" t="s">
        <v>14</v>
      </c>
      <c r="BF778">
        <v>2.25</v>
      </c>
    </row>
    <row r="779" spans="1:58" hidden="1" x14ac:dyDescent="0.2">
      <c r="A779">
        <v>778</v>
      </c>
      <c r="B779" t="s">
        <v>0</v>
      </c>
      <c r="C779">
        <v>35</v>
      </c>
      <c r="D779" t="s">
        <v>28</v>
      </c>
      <c r="E779" t="s">
        <v>42</v>
      </c>
      <c r="F779" t="s">
        <v>15</v>
      </c>
      <c r="G779" t="s">
        <v>16</v>
      </c>
      <c r="H779" t="s">
        <v>23</v>
      </c>
      <c r="I779" t="s">
        <v>112</v>
      </c>
      <c r="J779" t="s">
        <v>6</v>
      </c>
      <c r="K779" t="s">
        <v>13</v>
      </c>
      <c r="L779">
        <v>10.4</v>
      </c>
      <c r="M779">
        <v>7.8</v>
      </c>
      <c r="N779" t="s">
        <v>29</v>
      </c>
      <c r="O779" t="s">
        <v>7</v>
      </c>
      <c r="P779" t="s">
        <v>26</v>
      </c>
      <c r="Q779">
        <v>10</v>
      </c>
      <c r="R779">
        <v>5</v>
      </c>
      <c r="S779">
        <v>30.2</v>
      </c>
      <c r="T779">
        <v>110</v>
      </c>
      <c r="U779">
        <v>94</v>
      </c>
      <c r="V779">
        <v>8117</v>
      </c>
      <c r="W779">
        <v>29.2</v>
      </c>
      <c r="X779">
        <v>4</v>
      </c>
      <c r="Y779">
        <v>2</v>
      </c>
      <c r="Z779">
        <v>18</v>
      </c>
      <c r="AA779">
        <v>0.8</v>
      </c>
      <c r="AB779">
        <v>4</v>
      </c>
      <c r="AC779">
        <v>108</v>
      </c>
      <c r="AD779">
        <v>5</v>
      </c>
      <c r="AE779">
        <v>3</v>
      </c>
      <c r="AF779">
        <v>98</v>
      </c>
      <c r="AG779">
        <v>72</v>
      </c>
      <c r="AH779">
        <v>76</v>
      </c>
      <c r="AI779">
        <v>20</v>
      </c>
      <c r="AJ779">
        <v>24</v>
      </c>
      <c r="AK779">
        <v>19</v>
      </c>
      <c r="AL779">
        <v>9</v>
      </c>
      <c r="AM779">
        <v>5</v>
      </c>
      <c r="AN779">
        <v>62</v>
      </c>
      <c r="AO779">
        <v>14</v>
      </c>
      <c r="AP779">
        <v>13</v>
      </c>
      <c r="AQ779">
        <v>33</v>
      </c>
      <c r="AR779">
        <v>358</v>
      </c>
      <c r="AS779">
        <v>845</v>
      </c>
      <c r="AT779" t="s">
        <v>7</v>
      </c>
      <c r="AU779">
        <v>0.69</v>
      </c>
      <c r="AV779">
        <v>2010</v>
      </c>
      <c r="AW779" s="1">
        <v>45981</v>
      </c>
      <c r="AX779">
        <v>21.6</v>
      </c>
      <c r="AY779" t="s">
        <v>19</v>
      </c>
      <c r="AZ779" t="s">
        <v>48</v>
      </c>
      <c r="BA779" t="s">
        <v>122</v>
      </c>
      <c r="BB779" t="s">
        <v>7</v>
      </c>
      <c r="BC779" t="s">
        <v>7</v>
      </c>
      <c r="BD779">
        <v>1</v>
      </c>
      <c r="BE779" t="s">
        <v>14</v>
      </c>
      <c r="BF779">
        <v>1.1499999999999999</v>
      </c>
    </row>
    <row r="780" spans="1:58" hidden="1" x14ac:dyDescent="0.2">
      <c r="A780">
        <v>779</v>
      </c>
      <c r="B780" t="s">
        <v>0</v>
      </c>
      <c r="C780">
        <v>23</v>
      </c>
      <c r="D780" t="s">
        <v>28</v>
      </c>
      <c r="E780" t="s">
        <v>2</v>
      </c>
      <c r="F780" t="s">
        <v>15</v>
      </c>
      <c r="G780" t="s">
        <v>116</v>
      </c>
      <c r="H780" t="s">
        <v>34</v>
      </c>
      <c r="I780" t="s">
        <v>115</v>
      </c>
      <c r="J780" t="s">
        <v>32</v>
      </c>
      <c r="K780" t="s">
        <v>7</v>
      </c>
      <c r="L780">
        <v>8.1999999999999993</v>
      </c>
      <c r="M780">
        <v>3.6</v>
      </c>
      <c r="N780" t="s">
        <v>120</v>
      </c>
      <c r="O780" t="s">
        <v>7</v>
      </c>
      <c r="P780" t="s">
        <v>46</v>
      </c>
      <c r="Q780">
        <v>7</v>
      </c>
      <c r="R780">
        <v>6</v>
      </c>
      <c r="S780">
        <v>31.8</v>
      </c>
      <c r="T780">
        <v>126</v>
      </c>
      <c r="U780">
        <v>86</v>
      </c>
      <c r="V780">
        <v>8078</v>
      </c>
      <c r="W780">
        <v>58</v>
      </c>
      <c r="X780">
        <v>5</v>
      </c>
      <c r="Y780">
        <v>6</v>
      </c>
      <c r="Z780">
        <v>8</v>
      </c>
      <c r="AA780">
        <v>3.7</v>
      </c>
      <c r="AB780">
        <v>3</v>
      </c>
      <c r="AC780">
        <v>124</v>
      </c>
      <c r="AD780">
        <v>5</v>
      </c>
      <c r="AE780">
        <v>11</v>
      </c>
      <c r="AF780">
        <v>181</v>
      </c>
      <c r="AG780">
        <v>90</v>
      </c>
      <c r="AH780">
        <v>102</v>
      </c>
      <c r="AI780">
        <v>24</v>
      </c>
      <c r="AJ780">
        <v>12</v>
      </c>
      <c r="AK780">
        <v>23</v>
      </c>
      <c r="AL780">
        <v>14</v>
      </c>
      <c r="AM780">
        <v>2</v>
      </c>
      <c r="AN780">
        <v>74</v>
      </c>
      <c r="AO780">
        <v>24</v>
      </c>
      <c r="AP780">
        <v>20</v>
      </c>
      <c r="AQ780">
        <v>38</v>
      </c>
      <c r="AR780">
        <v>1736</v>
      </c>
      <c r="AS780">
        <v>4332</v>
      </c>
      <c r="AT780" t="s">
        <v>7</v>
      </c>
      <c r="AU780">
        <v>0.41</v>
      </c>
      <c r="AV780">
        <v>2016</v>
      </c>
      <c r="AW780" s="1">
        <v>45959</v>
      </c>
      <c r="AX780">
        <v>24.8</v>
      </c>
      <c r="AY780" t="s">
        <v>27</v>
      </c>
      <c r="AZ780" t="s">
        <v>31</v>
      </c>
      <c r="BA780" t="s">
        <v>21</v>
      </c>
      <c r="BB780" t="s">
        <v>7</v>
      </c>
      <c r="BC780" t="s">
        <v>13</v>
      </c>
      <c r="BD780">
        <v>3</v>
      </c>
      <c r="BE780" t="s">
        <v>14</v>
      </c>
      <c r="BF780">
        <v>1.46</v>
      </c>
    </row>
    <row r="781" spans="1:58" hidden="1" x14ac:dyDescent="0.2">
      <c r="A781">
        <v>780</v>
      </c>
      <c r="B781" t="s">
        <v>0</v>
      </c>
      <c r="C781">
        <v>24</v>
      </c>
      <c r="D781" t="s">
        <v>1</v>
      </c>
      <c r="E781" t="s">
        <v>50</v>
      </c>
      <c r="F781" t="s">
        <v>40</v>
      </c>
      <c r="G781" t="s">
        <v>38</v>
      </c>
      <c r="H781" t="s">
        <v>23</v>
      </c>
      <c r="I781" t="s">
        <v>114</v>
      </c>
      <c r="J781" t="s">
        <v>32</v>
      </c>
      <c r="K781" t="s">
        <v>13</v>
      </c>
      <c r="L781">
        <v>7.6</v>
      </c>
      <c r="M781">
        <v>6.9</v>
      </c>
      <c r="N781" t="s">
        <v>29</v>
      </c>
      <c r="O781" t="s">
        <v>7</v>
      </c>
      <c r="P781" t="s">
        <v>26</v>
      </c>
      <c r="Q781">
        <v>9</v>
      </c>
      <c r="R781">
        <v>6</v>
      </c>
      <c r="S781">
        <v>28.7</v>
      </c>
      <c r="T781">
        <v>110</v>
      </c>
      <c r="U781">
        <v>83</v>
      </c>
      <c r="V781">
        <v>7904</v>
      </c>
      <c r="W781">
        <v>43.9</v>
      </c>
      <c r="X781">
        <v>3</v>
      </c>
      <c r="Y781">
        <v>4</v>
      </c>
      <c r="Z781">
        <v>8</v>
      </c>
      <c r="AA781">
        <v>0.6</v>
      </c>
      <c r="AB781">
        <v>6</v>
      </c>
      <c r="AC781">
        <v>80</v>
      </c>
      <c r="AD781">
        <v>3</v>
      </c>
      <c r="AE781">
        <v>6</v>
      </c>
      <c r="AF781">
        <v>187</v>
      </c>
      <c r="AG781">
        <v>55</v>
      </c>
      <c r="AH781">
        <v>61</v>
      </c>
      <c r="AI781">
        <v>9</v>
      </c>
      <c r="AJ781">
        <v>19</v>
      </c>
      <c r="AK781">
        <v>14</v>
      </c>
      <c r="AL781">
        <v>15</v>
      </c>
      <c r="AM781">
        <v>0</v>
      </c>
      <c r="AN781">
        <v>47</v>
      </c>
      <c r="AO781">
        <v>11</v>
      </c>
      <c r="AP781">
        <v>9</v>
      </c>
      <c r="AQ781">
        <v>26</v>
      </c>
      <c r="AR781">
        <v>1799</v>
      </c>
      <c r="AS781">
        <v>795</v>
      </c>
      <c r="AT781" t="s">
        <v>13</v>
      </c>
      <c r="AU781">
        <v>0.73</v>
      </c>
      <c r="AV781">
        <v>2011</v>
      </c>
      <c r="AW781" s="1">
        <v>45966</v>
      </c>
      <c r="AX781">
        <v>26.7</v>
      </c>
      <c r="AY781" t="s">
        <v>10</v>
      </c>
      <c r="AZ781" t="s">
        <v>11</v>
      </c>
      <c r="BA781" t="s">
        <v>122</v>
      </c>
      <c r="BB781" t="s">
        <v>13</v>
      </c>
      <c r="BC781" t="s">
        <v>7</v>
      </c>
      <c r="BD781">
        <v>2</v>
      </c>
      <c r="BE781" t="s">
        <v>14</v>
      </c>
      <c r="BF781">
        <v>1.2</v>
      </c>
    </row>
    <row r="782" spans="1:58" hidden="1" x14ac:dyDescent="0.2">
      <c r="A782">
        <v>781</v>
      </c>
      <c r="B782" t="s">
        <v>0</v>
      </c>
      <c r="C782">
        <v>22</v>
      </c>
      <c r="D782" t="s">
        <v>1</v>
      </c>
      <c r="E782" t="s">
        <v>2</v>
      </c>
      <c r="F782" t="s">
        <v>15</v>
      </c>
      <c r="G782" t="s">
        <v>16</v>
      </c>
      <c r="H782" t="s">
        <v>118</v>
      </c>
      <c r="I782" t="s">
        <v>112</v>
      </c>
      <c r="J782" t="s">
        <v>6</v>
      </c>
      <c r="K782" t="s">
        <v>13</v>
      </c>
      <c r="L782">
        <v>2.6</v>
      </c>
      <c r="M782">
        <v>6.7</v>
      </c>
      <c r="N782" t="s">
        <v>29</v>
      </c>
      <c r="O782" t="s">
        <v>7</v>
      </c>
      <c r="P782" t="s">
        <v>9</v>
      </c>
      <c r="Q782">
        <v>17</v>
      </c>
      <c r="R782">
        <v>3</v>
      </c>
      <c r="S782">
        <v>28.5</v>
      </c>
      <c r="T782">
        <v>135</v>
      </c>
      <c r="U782">
        <v>78</v>
      </c>
      <c r="V782">
        <v>8004</v>
      </c>
      <c r="W782">
        <v>48.2</v>
      </c>
      <c r="X782">
        <v>1</v>
      </c>
      <c r="Y782">
        <v>3</v>
      </c>
      <c r="Z782">
        <v>9</v>
      </c>
      <c r="AA782">
        <v>1.7</v>
      </c>
      <c r="AB782">
        <v>4</v>
      </c>
      <c r="AC782">
        <v>142</v>
      </c>
      <c r="AD782">
        <v>16</v>
      </c>
      <c r="AE782">
        <v>7</v>
      </c>
      <c r="AF782">
        <v>198</v>
      </c>
      <c r="AG782">
        <v>93</v>
      </c>
      <c r="AH782">
        <v>107</v>
      </c>
      <c r="AI782">
        <v>23</v>
      </c>
      <c r="AJ782">
        <v>21</v>
      </c>
      <c r="AK782">
        <v>22</v>
      </c>
      <c r="AL782">
        <v>15</v>
      </c>
      <c r="AM782">
        <v>4</v>
      </c>
      <c r="AN782">
        <v>66</v>
      </c>
      <c r="AO782">
        <v>31</v>
      </c>
      <c r="AP782">
        <v>22</v>
      </c>
      <c r="AQ782">
        <v>38</v>
      </c>
      <c r="AR782">
        <v>255</v>
      </c>
      <c r="AS782">
        <v>338</v>
      </c>
      <c r="AT782" t="s">
        <v>13</v>
      </c>
      <c r="AU782">
        <v>0.48</v>
      </c>
      <c r="AV782">
        <v>2020</v>
      </c>
      <c r="AW782" s="1">
        <v>45678</v>
      </c>
      <c r="AX782">
        <v>8.9</v>
      </c>
      <c r="AY782" t="s">
        <v>30</v>
      </c>
      <c r="AZ782" t="s">
        <v>17</v>
      </c>
      <c r="BA782" t="s">
        <v>122</v>
      </c>
      <c r="BB782" t="s">
        <v>7</v>
      </c>
      <c r="BC782" t="s">
        <v>13</v>
      </c>
      <c r="BD782">
        <v>1</v>
      </c>
      <c r="BE782" t="s">
        <v>14</v>
      </c>
      <c r="BF782">
        <v>1.22</v>
      </c>
    </row>
    <row r="783" spans="1:58" hidden="1" x14ac:dyDescent="0.2">
      <c r="A783">
        <v>782</v>
      </c>
      <c r="B783" t="s">
        <v>0</v>
      </c>
      <c r="C783">
        <v>44</v>
      </c>
      <c r="D783" t="s">
        <v>1</v>
      </c>
      <c r="E783" t="s">
        <v>50</v>
      </c>
      <c r="F783" t="s">
        <v>40</v>
      </c>
      <c r="G783" t="s">
        <v>117</v>
      </c>
      <c r="H783" t="s">
        <v>118</v>
      </c>
      <c r="I783" t="s">
        <v>112</v>
      </c>
      <c r="J783" t="s">
        <v>123</v>
      </c>
      <c r="K783" t="s">
        <v>13</v>
      </c>
      <c r="L783">
        <v>8.1</v>
      </c>
      <c r="M783">
        <v>7.5</v>
      </c>
      <c r="N783" t="s">
        <v>120</v>
      </c>
      <c r="O783" t="s">
        <v>7</v>
      </c>
      <c r="P783" t="s">
        <v>46</v>
      </c>
      <c r="Q783">
        <v>30</v>
      </c>
      <c r="R783">
        <v>3</v>
      </c>
      <c r="S783">
        <v>24.8</v>
      </c>
      <c r="T783">
        <v>156</v>
      </c>
      <c r="U783">
        <v>83</v>
      </c>
      <c r="V783">
        <v>7921</v>
      </c>
      <c r="W783">
        <v>45.5</v>
      </c>
      <c r="X783">
        <v>6</v>
      </c>
      <c r="Y783">
        <v>7</v>
      </c>
      <c r="Z783">
        <v>15</v>
      </c>
      <c r="AA783">
        <v>7.1</v>
      </c>
      <c r="AB783">
        <v>3</v>
      </c>
      <c r="AC783">
        <v>287</v>
      </c>
      <c r="AD783">
        <v>21</v>
      </c>
      <c r="AE783">
        <v>6</v>
      </c>
      <c r="AF783">
        <v>206</v>
      </c>
      <c r="AG783">
        <v>136</v>
      </c>
      <c r="AH783">
        <v>171</v>
      </c>
      <c r="AI783">
        <v>51</v>
      </c>
      <c r="AJ783">
        <v>33</v>
      </c>
      <c r="AK783">
        <v>37</v>
      </c>
      <c r="AL783">
        <v>29</v>
      </c>
      <c r="AM783">
        <v>8</v>
      </c>
      <c r="AN783">
        <v>155</v>
      </c>
      <c r="AO783">
        <v>44</v>
      </c>
      <c r="AP783">
        <v>65</v>
      </c>
      <c r="AQ783">
        <v>112</v>
      </c>
      <c r="AR783">
        <v>684</v>
      </c>
      <c r="AS783">
        <v>1271</v>
      </c>
      <c r="AT783" t="s">
        <v>7</v>
      </c>
      <c r="AU783">
        <v>0.83</v>
      </c>
      <c r="AV783">
        <v>2021</v>
      </c>
      <c r="AW783" s="1">
        <v>45938</v>
      </c>
      <c r="AX783">
        <v>13.7</v>
      </c>
      <c r="AY783" t="s">
        <v>10</v>
      </c>
      <c r="AZ783" t="s">
        <v>51</v>
      </c>
      <c r="BA783" t="s">
        <v>12</v>
      </c>
      <c r="BB783" t="s">
        <v>13</v>
      </c>
      <c r="BC783" t="s">
        <v>7</v>
      </c>
      <c r="BD783">
        <v>2</v>
      </c>
      <c r="BE783" t="s">
        <v>14</v>
      </c>
      <c r="BF783">
        <v>1.01</v>
      </c>
    </row>
    <row r="784" spans="1:58" hidden="1" x14ac:dyDescent="0.2">
      <c r="A784">
        <v>783</v>
      </c>
      <c r="B784" t="s">
        <v>0</v>
      </c>
      <c r="C784">
        <v>28</v>
      </c>
      <c r="D784" t="s">
        <v>28</v>
      </c>
      <c r="E784" t="s">
        <v>47</v>
      </c>
      <c r="F784" t="s">
        <v>40</v>
      </c>
      <c r="G784" t="s">
        <v>16</v>
      </c>
      <c r="H784" t="s">
        <v>23</v>
      </c>
      <c r="I784" t="s">
        <v>114</v>
      </c>
      <c r="J784" t="s">
        <v>6</v>
      </c>
      <c r="K784" t="s">
        <v>13</v>
      </c>
      <c r="L784">
        <v>3.4</v>
      </c>
      <c r="M784">
        <v>6.8</v>
      </c>
      <c r="N784" t="s">
        <v>8</v>
      </c>
      <c r="O784" t="s">
        <v>7</v>
      </c>
      <c r="P784" t="s">
        <v>46</v>
      </c>
      <c r="Q784">
        <v>33</v>
      </c>
      <c r="R784">
        <v>7</v>
      </c>
      <c r="S784">
        <v>22.5</v>
      </c>
      <c r="T784">
        <v>101</v>
      </c>
      <c r="U784">
        <v>80</v>
      </c>
      <c r="V784">
        <v>7888</v>
      </c>
      <c r="W784">
        <v>45.3</v>
      </c>
      <c r="X784">
        <v>0</v>
      </c>
      <c r="Y784">
        <v>4</v>
      </c>
      <c r="Z784">
        <v>11</v>
      </c>
      <c r="AA784">
        <v>1.1000000000000001</v>
      </c>
      <c r="AB784">
        <v>0</v>
      </c>
      <c r="AC784">
        <v>274</v>
      </c>
      <c r="AD784">
        <v>13</v>
      </c>
      <c r="AE784">
        <v>13</v>
      </c>
      <c r="AF784">
        <v>289</v>
      </c>
      <c r="AG784">
        <v>141</v>
      </c>
      <c r="AH784">
        <v>174</v>
      </c>
      <c r="AI784">
        <v>50</v>
      </c>
      <c r="AJ784">
        <v>47</v>
      </c>
      <c r="AK784">
        <v>37</v>
      </c>
      <c r="AL784">
        <v>39</v>
      </c>
      <c r="AM784">
        <v>6</v>
      </c>
      <c r="AN784">
        <v>133</v>
      </c>
      <c r="AO784">
        <v>35</v>
      </c>
      <c r="AP784">
        <v>58</v>
      </c>
      <c r="AQ784">
        <v>61</v>
      </c>
      <c r="AR784">
        <v>857</v>
      </c>
      <c r="AS784">
        <v>1124</v>
      </c>
      <c r="AT784" t="s">
        <v>7</v>
      </c>
      <c r="AU784">
        <v>0.19</v>
      </c>
      <c r="AV784">
        <v>2011</v>
      </c>
      <c r="AW784" s="1">
        <v>45811</v>
      </c>
      <c r="AX784">
        <v>21.1</v>
      </c>
      <c r="AY784" t="s">
        <v>27</v>
      </c>
      <c r="AZ784" t="s">
        <v>48</v>
      </c>
      <c r="BA784" t="s">
        <v>21</v>
      </c>
      <c r="BB784" t="s">
        <v>13</v>
      </c>
      <c r="BC784" t="s">
        <v>13</v>
      </c>
      <c r="BD784">
        <v>2</v>
      </c>
      <c r="BE784" t="s">
        <v>43</v>
      </c>
      <c r="BF784">
        <v>1.1399999999999999</v>
      </c>
    </row>
    <row r="785" spans="1:58" hidden="1" x14ac:dyDescent="0.2">
      <c r="A785">
        <v>784</v>
      </c>
      <c r="B785" t="s">
        <v>0</v>
      </c>
      <c r="C785">
        <v>20</v>
      </c>
      <c r="D785" t="s">
        <v>1</v>
      </c>
      <c r="E785" t="s">
        <v>2</v>
      </c>
      <c r="F785" t="s">
        <v>40</v>
      </c>
      <c r="G785" t="s">
        <v>117</v>
      </c>
      <c r="H785" t="s">
        <v>118</v>
      </c>
      <c r="I785" t="s">
        <v>112</v>
      </c>
      <c r="J785" t="s">
        <v>6</v>
      </c>
      <c r="K785" t="s">
        <v>7</v>
      </c>
      <c r="L785">
        <v>4.5</v>
      </c>
      <c r="M785">
        <v>8.5</v>
      </c>
      <c r="N785" t="s">
        <v>29</v>
      </c>
      <c r="O785" t="s">
        <v>7</v>
      </c>
      <c r="P785" t="s">
        <v>9</v>
      </c>
      <c r="Q785">
        <v>18</v>
      </c>
      <c r="R785">
        <v>10</v>
      </c>
      <c r="S785">
        <v>23.3</v>
      </c>
      <c r="T785">
        <v>139</v>
      </c>
      <c r="U785">
        <v>67</v>
      </c>
      <c r="V785">
        <v>7959</v>
      </c>
      <c r="W785">
        <v>34.200000000000003</v>
      </c>
      <c r="X785">
        <v>2</v>
      </c>
      <c r="Y785">
        <v>6</v>
      </c>
      <c r="Z785">
        <v>8</v>
      </c>
      <c r="AA785">
        <v>5.2</v>
      </c>
      <c r="AB785">
        <v>1</v>
      </c>
      <c r="AC785">
        <v>114</v>
      </c>
      <c r="AD785">
        <v>4</v>
      </c>
      <c r="AE785">
        <v>10</v>
      </c>
      <c r="AF785">
        <v>192</v>
      </c>
      <c r="AG785">
        <v>97</v>
      </c>
      <c r="AH785">
        <v>82</v>
      </c>
      <c r="AI785">
        <v>24</v>
      </c>
      <c r="AJ785">
        <v>21</v>
      </c>
      <c r="AK785">
        <v>14</v>
      </c>
      <c r="AL785">
        <v>5</v>
      </c>
      <c r="AM785">
        <v>1</v>
      </c>
      <c r="AN785">
        <v>51</v>
      </c>
      <c r="AO785">
        <v>17</v>
      </c>
      <c r="AP785">
        <v>17</v>
      </c>
      <c r="AQ785">
        <v>34</v>
      </c>
      <c r="AR785">
        <v>4980</v>
      </c>
      <c r="AS785">
        <v>10000</v>
      </c>
      <c r="AT785" t="s">
        <v>7</v>
      </c>
      <c r="AU785">
        <v>1</v>
      </c>
      <c r="AV785">
        <v>2022</v>
      </c>
      <c r="AW785" s="1">
        <v>45660</v>
      </c>
      <c r="AX785">
        <v>28.5</v>
      </c>
      <c r="AY785" t="s">
        <v>36</v>
      </c>
      <c r="AZ785" t="s">
        <v>48</v>
      </c>
      <c r="BA785" t="s">
        <v>21</v>
      </c>
      <c r="BB785" t="s">
        <v>13</v>
      </c>
      <c r="BC785" t="s">
        <v>7</v>
      </c>
      <c r="BD785">
        <v>1</v>
      </c>
      <c r="BE785" t="s">
        <v>14</v>
      </c>
      <c r="BF785">
        <v>1.39</v>
      </c>
    </row>
    <row r="786" spans="1:58" hidden="1" x14ac:dyDescent="0.2">
      <c r="A786">
        <v>785</v>
      </c>
      <c r="B786" t="s">
        <v>0</v>
      </c>
      <c r="C786">
        <v>50</v>
      </c>
      <c r="D786" t="s">
        <v>28</v>
      </c>
      <c r="E786" t="s">
        <v>2</v>
      </c>
      <c r="F786" t="s">
        <v>15</v>
      </c>
      <c r="G786" t="s">
        <v>116</v>
      </c>
      <c r="H786" t="s">
        <v>23</v>
      </c>
      <c r="I786" t="s">
        <v>112</v>
      </c>
      <c r="J786" t="s">
        <v>6</v>
      </c>
      <c r="K786" t="s">
        <v>7</v>
      </c>
      <c r="L786">
        <v>8.3000000000000007</v>
      </c>
      <c r="M786">
        <v>5.6</v>
      </c>
      <c r="N786" t="s">
        <v>39</v>
      </c>
      <c r="O786" t="s">
        <v>7</v>
      </c>
      <c r="P786" t="s">
        <v>26</v>
      </c>
      <c r="Q786">
        <v>12</v>
      </c>
      <c r="R786">
        <v>6</v>
      </c>
      <c r="S786">
        <v>27.2</v>
      </c>
      <c r="T786">
        <v>153</v>
      </c>
      <c r="U786">
        <v>93</v>
      </c>
      <c r="V786">
        <v>7976</v>
      </c>
      <c r="W786">
        <v>28.7</v>
      </c>
      <c r="X786">
        <v>1</v>
      </c>
      <c r="Y786">
        <v>4</v>
      </c>
      <c r="Z786">
        <v>12</v>
      </c>
      <c r="AA786">
        <v>2.5</v>
      </c>
      <c r="AB786">
        <v>2</v>
      </c>
      <c r="AC786">
        <v>156</v>
      </c>
      <c r="AD786">
        <v>8</v>
      </c>
      <c r="AE786">
        <v>5</v>
      </c>
      <c r="AF786">
        <v>134</v>
      </c>
      <c r="AG786">
        <v>111</v>
      </c>
      <c r="AH786">
        <v>109</v>
      </c>
      <c r="AI786">
        <v>20</v>
      </c>
      <c r="AJ786">
        <v>33</v>
      </c>
      <c r="AK786">
        <v>27</v>
      </c>
      <c r="AL786">
        <v>14</v>
      </c>
      <c r="AM786">
        <v>5</v>
      </c>
      <c r="AN786">
        <v>90</v>
      </c>
      <c r="AO786">
        <v>40</v>
      </c>
      <c r="AP786">
        <v>28</v>
      </c>
      <c r="AQ786">
        <v>62</v>
      </c>
      <c r="AR786">
        <v>3366</v>
      </c>
      <c r="AS786">
        <v>8148</v>
      </c>
      <c r="AT786" t="s">
        <v>7</v>
      </c>
      <c r="AU786">
        <v>0.91</v>
      </c>
      <c r="AV786">
        <v>2010</v>
      </c>
      <c r="AW786" s="1">
        <v>45666</v>
      </c>
      <c r="AX786">
        <v>19.5</v>
      </c>
      <c r="AY786" t="s">
        <v>45</v>
      </c>
      <c r="AZ786" t="s">
        <v>48</v>
      </c>
      <c r="BA786" t="s">
        <v>122</v>
      </c>
      <c r="BB786" t="s">
        <v>13</v>
      </c>
      <c r="BC786" t="s">
        <v>7</v>
      </c>
      <c r="BD786">
        <v>1</v>
      </c>
      <c r="BE786" t="s">
        <v>14</v>
      </c>
      <c r="BF786">
        <v>1.04</v>
      </c>
    </row>
    <row r="787" spans="1:58" hidden="1" x14ac:dyDescent="0.2">
      <c r="A787">
        <v>786</v>
      </c>
      <c r="B787" t="s">
        <v>0</v>
      </c>
      <c r="C787">
        <v>24</v>
      </c>
      <c r="D787" t="s">
        <v>28</v>
      </c>
      <c r="E787" t="s">
        <v>33</v>
      </c>
      <c r="F787" t="s">
        <v>15</v>
      </c>
      <c r="G787" t="s">
        <v>16</v>
      </c>
      <c r="H787" t="s">
        <v>23</v>
      </c>
      <c r="I787" t="s">
        <v>113</v>
      </c>
      <c r="J787" t="s">
        <v>6</v>
      </c>
      <c r="K787" t="s">
        <v>7</v>
      </c>
      <c r="L787">
        <v>4.3</v>
      </c>
      <c r="M787">
        <v>4.8</v>
      </c>
      <c r="N787" t="s">
        <v>8</v>
      </c>
      <c r="O787" t="s">
        <v>7</v>
      </c>
      <c r="P787" t="s">
        <v>46</v>
      </c>
      <c r="Q787">
        <v>22</v>
      </c>
      <c r="R787">
        <v>1</v>
      </c>
      <c r="S787">
        <v>21.9</v>
      </c>
      <c r="T787">
        <v>155</v>
      </c>
      <c r="U787">
        <v>94</v>
      </c>
      <c r="V787">
        <v>8002</v>
      </c>
      <c r="W787">
        <v>32.1</v>
      </c>
      <c r="X787">
        <v>2</v>
      </c>
      <c r="Y787">
        <v>3</v>
      </c>
      <c r="Z787">
        <v>10</v>
      </c>
      <c r="AA787">
        <v>3.9</v>
      </c>
      <c r="AB787">
        <v>1</v>
      </c>
      <c r="AC787">
        <v>266</v>
      </c>
      <c r="AD787">
        <v>13</v>
      </c>
      <c r="AE787">
        <v>13</v>
      </c>
      <c r="AF787">
        <v>291</v>
      </c>
      <c r="AG787">
        <v>138</v>
      </c>
      <c r="AH787">
        <v>145</v>
      </c>
      <c r="AI787">
        <v>46</v>
      </c>
      <c r="AJ787">
        <v>53</v>
      </c>
      <c r="AK787">
        <v>33</v>
      </c>
      <c r="AL787">
        <v>27</v>
      </c>
      <c r="AM787">
        <v>11</v>
      </c>
      <c r="AN787">
        <v>123</v>
      </c>
      <c r="AO787">
        <v>31</v>
      </c>
      <c r="AP787">
        <v>29</v>
      </c>
      <c r="AQ787">
        <v>59</v>
      </c>
      <c r="AR787">
        <v>710</v>
      </c>
      <c r="AS787">
        <v>714</v>
      </c>
      <c r="AT787" t="s">
        <v>7</v>
      </c>
      <c r="AU787">
        <v>0.53</v>
      </c>
      <c r="AV787">
        <v>2018</v>
      </c>
      <c r="AW787" s="1">
        <v>45697</v>
      </c>
      <c r="AX787">
        <v>20.5</v>
      </c>
      <c r="AY787" t="s">
        <v>27</v>
      </c>
      <c r="AZ787" t="s">
        <v>17</v>
      </c>
      <c r="BA787" t="s">
        <v>21</v>
      </c>
      <c r="BB787" t="s">
        <v>13</v>
      </c>
      <c r="BC787" t="s">
        <v>7</v>
      </c>
      <c r="BD787">
        <v>2</v>
      </c>
      <c r="BE787" t="s">
        <v>49</v>
      </c>
      <c r="BF787">
        <v>1.03</v>
      </c>
    </row>
    <row r="788" spans="1:58" hidden="1" x14ac:dyDescent="0.2">
      <c r="A788">
        <v>787</v>
      </c>
      <c r="B788" t="s">
        <v>0</v>
      </c>
      <c r="C788">
        <v>36</v>
      </c>
      <c r="D788" t="s">
        <v>1</v>
      </c>
      <c r="E788" t="s">
        <v>127</v>
      </c>
      <c r="F788" t="s">
        <v>15</v>
      </c>
      <c r="G788" t="s">
        <v>16</v>
      </c>
      <c r="H788" t="s">
        <v>24</v>
      </c>
      <c r="I788" t="s">
        <v>113</v>
      </c>
      <c r="J788" t="s">
        <v>32</v>
      </c>
      <c r="K788" t="s">
        <v>7</v>
      </c>
      <c r="L788">
        <v>8.3000000000000007</v>
      </c>
      <c r="M788">
        <v>8</v>
      </c>
      <c r="N788" t="s">
        <v>25</v>
      </c>
      <c r="O788" t="s">
        <v>7</v>
      </c>
      <c r="P788" t="s">
        <v>52</v>
      </c>
      <c r="Q788">
        <v>12</v>
      </c>
      <c r="R788">
        <v>4</v>
      </c>
      <c r="S788">
        <v>27.3</v>
      </c>
      <c r="T788">
        <v>119</v>
      </c>
      <c r="U788">
        <v>93</v>
      </c>
      <c r="V788">
        <v>7955</v>
      </c>
      <c r="W788">
        <v>49.8</v>
      </c>
      <c r="X788">
        <v>1</v>
      </c>
      <c r="Y788">
        <v>6</v>
      </c>
      <c r="Z788">
        <v>13</v>
      </c>
      <c r="AA788">
        <v>5.6</v>
      </c>
      <c r="AB788">
        <v>6</v>
      </c>
      <c r="AC788">
        <v>114</v>
      </c>
      <c r="AD788">
        <v>4</v>
      </c>
      <c r="AE788">
        <v>3</v>
      </c>
      <c r="AF788">
        <v>104</v>
      </c>
      <c r="AG788">
        <v>69</v>
      </c>
      <c r="AH788">
        <v>75</v>
      </c>
      <c r="AI788">
        <v>18</v>
      </c>
      <c r="AJ788">
        <v>21</v>
      </c>
      <c r="AK788">
        <v>19</v>
      </c>
      <c r="AL788">
        <v>17</v>
      </c>
      <c r="AM788">
        <v>3</v>
      </c>
      <c r="AN788">
        <v>66</v>
      </c>
      <c r="AO788">
        <v>27</v>
      </c>
      <c r="AP788">
        <v>24</v>
      </c>
      <c r="AQ788">
        <v>44</v>
      </c>
      <c r="AR788">
        <v>1933</v>
      </c>
      <c r="AS788">
        <v>935</v>
      </c>
      <c r="AT788" t="s">
        <v>7</v>
      </c>
      <c r="AU788">
        <v>0.93</v>
      </c>
      <c r="AV788">
        <v>2013</v>
      </c>
      <c r="AW788" s="1">
        <v>45748</v>
      </c>
      <c r="AX788">
        <v>28.5</v>
      </c>
      <c r="AY788" t="s">
        <v>10</v>
      </c>
      <c r="AZ788" t="s">
        <v>20</v>
      </c>
      <c r="BA788" t="s">
        <v>122</v>
      </c>
      <c r="BB788" t="s">
        <v>7</v>
      </c>
      <c r="BC788" t="s">
        <v>13</v>
      </c>
      <c r="BD788">
        <v>0</v>
      </c>
      <c r="BE788" t="s">
        <v>14</v>
      </c>
      <c r="BF788">
        <v>1.04</v>
      </c>
    </row>
    <row r="789" spans="1:58" hidden="1" x14ac:dyDescent="0.2">
      <c r="A789">
        <v>788</v>
      </c>
      <c r="B789" t="s">
        <v>0</v>
      </c>
      <c r="C789">
        <v>40</v>
      </c>
      <c r="D789" t="s">
        <v>1</v>
      </c>
      <c r="E789" t="s">
        <v>47</v>
      </c>
      <c r="F789" t="s">
        <v>40</v>
      </c>
      <c r="G789" t="s">
        <v>4</v>
      </c>
      <c r="H789" t="s">
        <v>119</v>
      </c>
      <c r="I789" t="s">
        <v>115</v>
      </c>
      <c r="J789" t="s">
        <v>32</v>
      </c>
      <c r="K789" t="s">
        <v>7</v>
      </c>
      <c r="L789">
        <v>3.7</v>
      </c>
      <c r="M789">
        <v>6.5</v>
      </c>
      <c r="N789" t="s">
        <v>8</v>
      </c>
      <c r="O789" t="s">
        <v>7</v>
      </c>
      <c r="P789" t="s">
        <v>9</v>
      </c>
      <c r="Q789">
        <v>9</v>
      </c>
      <c r="R789">
        <v>9</v>
      </c>
      <c r="S789">
        <v>21.3</v>
      </c>
      <c r="T789">
        <v>110</v>
      </c>
      <c r="U789">
        <v>96</v>
      </c>
      <c r="V789">
        <v>7990</v>
      </c>
      <c r="W789">
        <v>42.1</v>
      </c>
      <c r="X789">
        <v>7</v>
      </c>
      <c r="Y789">
        <v>7</v>
      </c>
      <c r="Z789">
        <v>15</v>
      </c>
      <c r="AA789">
        <v>1.4</v>
      </c>
      <c r="AB789">
        <v>3</v>
      </c>
      <c r="AC789">
        <v>8</v>
      </c>
      <c r="AD789">
        <v>1</v>
      </c>
      <c r="AE789">
        <v>3</v>
      </c>
      <c r="AF789">
        <v>44</v>
      </c>
      <c r="AG789">
        <v>29</v>
      </c>
      <c r="AH789">
        <v>28</v>
      </c>
      <c r="AI789">
        <v>9</v>
      </c>
      <c r="AJ789">
        <v>13</v>
      </c>
      <c r="AK789">
        <v>10</v>
      </c>
      <c r="AL789">
        <v>7</v>
      </c>
      <c r="AM789">
        <v>1</v>
      </c>
      <c r="AN789">
        <v>4</v>
      </c>
      <c r="AO789">
        <v>2</v>
      </c>
      <c r="AP789">
        <v>1</v>
      </c>
      <c r="AQ789">
        <v>3</v>
      </c>
      <c r="AR789">
        <v>2819</v>
      </c>
      <c r="AS789">
        <v>3422</v>
      </c>
      <c r="AT789" t="s">
        <v>13</v>
      </c>
      <c r="AU789">
        <v>0.25</v>
      </c>
      <c r="AV789">
        <v>2016</v>
      </c>
      <c r="AW789" s="1">
        <v>45946</v>
      </c>
      <c r="AX789">
        <v>8</v>
      </c>
      <c r="AY789" t="s">
        <v>36</v>
      </c>
      <c r="AZ789" t="s">
        <v>51</v>
      </c>
      <c r="BA789" t="s">
        <v>12</v>
      </c>
      <c r="BB789" t="s">
        <v>13</v>
      </c>
      <c r="BC789" t="s">
        <v>13</v>
      </c>
      <c r="BD789">
        <v>2</v>
      </c>
      <c r="BE789" t="s">
        <v>14</v>
      </c>
      <c r="BF789">
        <v>6.11</v>
      </c>
    </row>
    <row r="790" spans="1:58" hidden="1" x14ac:dyDescent="0.2">
      <c r="A790">
        <v>789</v>
      </c>
      <c r="B790" t="s">
        <v>0</v>
      </c>
      <c r="C790">
        <v>65</v>
      </c>
      <c r="D790" t="s">
        <v>28</v>
      </c>
      <c r="E790" t="s">
        <v>128</v>
      </c>
      <c r="F790" t="s">
        <v>40</v>
      </c>
      <c r="G790" t="s">
        <v>117</v>
      </c>
      <c r="H790" t="s">
        <v>118</v>
      </c>
      <c r="I790" t="s">
        <v>112</v>
      </c>
      <c r="J790" t="s">
        <v>32</v>
      </c>
      <c r="K790" t="s">
        <v>7</v>
      </c>
      <c r="L790">
        <v>2.2000000000000002</v>
      </c>
      <c r="M790">
        <v>5.2</v>
      </c>
      <c r="N790" t="s">
        <v>8</v>
      </c>
      <c r="O790" t="s">
        <v>7</v>
      </c>
      <c r="P790" t="s">
        <v>26</v>
      </c>
      <c r="Q790">
        <v>35</v>
      </c>
      <c r="R790">
        <v>9</v>
      </c>
      <c r="S790">
        <v>27.8</v>
      </c>
      <c r="T790">
        <v>108</v>
      </c>
      <c r="U790">
        <v>62</v>
      </c>
      <c r="V790">
        <v>7974</v>
      </c>
      <c r="W790">
        <v>52.2</v>
      </c>
      <c r="X790">
        <v>4</v>
      </c>
      <c r="Y790">
        <v>3</v>
      </c>
      <c r="Z790">
        <v>16</v>
      </c>
      <c r="AA790">
        <v>6.2</v>
      </c>
      <c r="AB790">
        <v>7</v>
      </c>
      <c r="AC790">
        <v>208</v>
      </c>
      <c r="AD790">
        <v>7</v>
      </c>
      <c r="AE790">
        <v>11</v>
      </c>
      <c r="AF790">
        <v>151</v>
      </c>
      <c r="AG790">
        <v>121</v>
      </c>
      <c r="AH790">
        <v>151</v>
      </c>
      <c r="AI790">
        <v>29</v>
      </c>
      <c r="AJ790">
        <v>30</v>
      </c>
      <c r="AK790">
        <v>29</v>
      </c>
      <c r="AL790">
        <v>18</v>
      </c>
      <c r="AM790">
        <v>9</v>
      </c>
      <c r="AN790">
        <v>114</v>
      </c>
      <c r="AO790">
        <v>50</v>
      </c>
      <c r="AP790">
        <v>51</v>
      </c>
      <c r="AQ790">
        <v>54</v>
      </c>
      <c r="AR790">
        <v>1279</v>
      </c>
      <c r="AS790">
        <v>1101</v>
      </c>
      <c r="AT790" t="s">
        <v>7</v>
      </c>
      <c r="AU790">
        <v>0.18</v>
      </c>
      <c r="AV790">
        <v>2012</v>
      </c>
      <c r="AW790" s="1">
        <v>45885</v>
      </c>
      <c r="AX790">
        <v>29.7</v>
      </c>
      <c r="AY790" t="s">
        <v>30</v>
      </c>
      <c r="AZ790" t="s">
        <v>17</v>
      </c>
      <c r="BA790" t="s">
        <v>12</v>
      </c>
      <c r="BB790" t="s">
        <v>7</v>
      </c>
      <c r="BC790" t="s">
        <v>13</v>
      </c>
      <c r="BD790">
        <v>5</v>
      </c>
      <c r="BE790" t="s">
        <v>14</v>
      </c>
      <c r="BF790">
        <v>1.1599999999999999</v>
      </c>
    </row>
    <row r="791" spans="1:58" hidden="1" x14ac:dyDescent="0.2">
      <c r="A791">
        <v>790</v>
      </c>
      <c r="B791" t="s">
        <v>0</v>
      </c>
      <c r="C791">
        <v>20</v>
      </c>
      <c r="D791" t="s">
        <v>28</v>
      </c>
      <c r="E791" t="s">
        <v>47</v>
      </c>
      <c r="F791" t="s">
        <v>40</v>
      </c>
      <c r="G791" t="s">
        <v>116</v>
      </c>
      <c r="H791" t="s">
        <v>119</v>
      </c>
      <c r="I791" t="s">
        <v>53</v>
      </c>
      <c r="J791" t="s">
        <v>6</v>
      </c>
      <c r="K791" t="s">
        <v>7</v>
      </c>
      <c r="L791">
        <v>12.7</v>
      </c>
      <c r="M791">
        <v>7.4</v>
      </c>
      <c r="N791" t="s">
        <v>8</v>
      </c>
      <c r="O791" t="s">
        <v>13</v>
      </c>
      <c r="P791" t="s">
        <v>121</v>
      </c>
      <c r="Q791">
        <v>8</v>
      </c>
      <c r="R791">
        <v>4</v>
      </c>
      <c r="S791">
        <v>24.8</v>
      </c>
      <c r="T791">
        <v>157</v>
      </c>
      <c r="U791">
        <v>73</v>
      </c>
      <c r="V791">
        <v>8050</v>
      </c>
      <c r="W791">
        <v>41.8</v>
      </c>
      <c r="X791">
        <v>1</v>
      </c>
      <c r="Y791">
        <v>7</v>
      </c>
      <c r="Z791">
        <v>10</v>
      </c>
      <c r="AA791">
        <v>3.8</v>
      </c>
      <c r="AB791">
        <v>4</v>
      </c>
      <c r="AC791">
        <v>137</v>
      </c>
      <c r="AD791">
        <v>9</v>
      </c>
      <c r="AE791">
        <v>8</v>
      </c>
      <c r="AF791">
        <v>182</v>
      </c>
      <c r="AG791">
        <v>101</v>
      </c>
      <c r="AH791">
        <v>88</v>
      </c>
      <c r="AI791">
        <v>23</v>
      </c>
      <c r="AJ791">
        <v>20</v>
      </c>
      <c r="AK791">
        <v>32</v>
      </c>
      <c r="AL791">
        <v>16</v>
      </c>
      <c r="AM791">
        <v>6</v>
      </c>
      <c r="AN791">
        <v>75</v>
      </c>
      <c r="AO791">
        <v>22</v>
      </c>
      <c r="AP791">
        <v>21</v>
      </c>
      <c r="AQ791">
        <v>50</v>
      </c>
      <c r="AR791">
        <v>1618</v>
      </c>
      <c r="AS791">
        <v>1768</v>
      </c>
      <c r="AT791" t="s">
        <v>7</v>
      </c>
      <c r="AU791">
        <v>0.03</v>
      </c>
      <c r="AV791">
        <v>2021</v>
      </c>
      <c r="AW791" s="1">
        <v>45945</v>
      </c>
      <c r="AX791">
        <v>15.2</v>
      </c>
      <c r="AY791" t="s">
        <v>27</v>
      </c>
      <c r="AZ791" t="s">
        <v>31</v>
      </c>
      <c r="BA791" t="s">
        <v>122</v>
      </c>
      <c r="BB791" t="s">
        <v>13</v>
      </c>
      <c r="BC791" t="s">
        <v>7</v>
      </c>
      <c r="BD791">
        <v>4</v>
      </c>
      <c r="BE791" t="s">
        <v>43</v>
      </c>
      <c r="BF791">
        <v>1.1399999999999999</v>
      </c>
    </row>
    <row r="792" spans="1:58" hidden="1" x14ac:dyDescent="0.2">
      <c r="A792">
        <v>791</v>
      </c>
      <c r="B792" t="s">
        <v>0</v>
      </c>
      <c r="C792">
        <v>40</v>
      </c>
      <c r="D792" t="s">
        <v>1</v>
      </c>
      <c r="E792" t="s">
        <v>17</v>
      </c>
      <c r="F792" t="s">
        <v>15</v>
      </c>
      <c r="G792" t="s">
        <v>116</v>
      </c>
      <c r="H792" t="s">
        <v>23</v>
      </c>
      <c r="I792" t="s">
        <v>17</v>
      </c>
      <c r="J792" t="s">
        <v>6</v>
      </c>
      <c r="K792" t="s">
        <v>7</v>
      </c>
      <c r="L792">
        <v>14.3</v>
      </c>
      <c r="M792">
        <v>7</v>
      </c>
      <c r="N792" t="s">
        <v>29</v>
      </c>
      <c r="O792" t="s">
        <v>7</v>
      </c>
      <c r="P792" t="s">
        <v>9</v>
      </c>
      <c r="Q792">
        <v>5</v>
      </c>
      <c r="R792">
        <v>7</v>
      </c>
      <c r="S792">
        <v>28.2</v>
      </c>
      <c r="T792">
        <v>119</v>
      </c>
      <c r="U792">
        <v>98</v>
      </c>
      <c r="V792">
        <v>8050</v>
      </c>
      <c r="W792">
        <v>41.3</v>
      </c>
      <c r="X792">
        <v>3</v>
      </c>
      <c r="Y792">
        <v>6</v>
      </c>
      <c r="Z792">
        <v>6</v>
      </c>
      <c r="AA792">
        <v>4.5</v>
      </c>
      <c r="AB792">
        <v>1</v>
      </c>
      <c r="AC792">
        <v>61</v>
      </c>
      <c r="AD792">
        <v>2</v>
      </c>
      <c r="AE792">
        <v>7</v>
      </c>
      <c r="AF792">
        <v>91</v>
      </c>
      <c r="AG792">
        <v>55</v>
      </c>
      <c r="AH792">
        <v>59</v>
      </c>
      <c r="AI792">
        <v>17</v>
      </c>
      <c r="AJ792">
        <v>19</v>
      </c>
      <c r="AK792">
        <v>22</v>
      </c>
      <c r="AL792">
        <v>10</v>
      </c>
      <c r="AM792">
        <v>4</v>
      </c>
      <c r="AN792">
        <v>28</v>
      </c>
      <c r="AO792">
        <v>9</v>
      </c>
      <c r="AP792">
        <v>8</v>
      </c>
      <c r="AQ792">
        <v>16</v>
      </c>
      <c r="AR792">
        <v>1623</v>
      </c>
      <c r="AS792">
        <v>1229</v>
      </c>
      <c r="AT792" t="s">
        <v>7</v>
      </c>
      <c r="AU792">
        <v>0.1</v>
      </c>
      <c r="AV792">
        <v>2025</v>
      </c>
      <c r="AW792" s="1">
        <v>45992</v>
      </c>
      <c r="AX792">
        <v>30.5</v>
      </c>
      <c r="AY792" t="s">
        <v>30</v>
      </c>
      <c r="AZ792" t="s">
        <v>31</v>
      </c>
      <c r="BA792" t="s">
        <v>122</v>
      </c>
      <c r="BB792" t="s">
        <v>13</v>
      </c>
      <c r="BC792" t="s">
        <v>7</v>
      </c>
      <c r="BD792">
        <v>1</v>
      </c>
      <c r="BE792" t="s">
        <v>14</v>
      </c>
      <c r="BF792">
        <v>1.84</v>
      </c>
    </row>
    <row r="793" spans="1:58" hidden="1" x14ac:dyDescent="0.2">
      <c r="A793">
        <v>792</v>
      </c>
      <c r="B793" t="s">
        <v>0</v>
      </c>
      <c r="C793">
        <v>48</v>
      </c>
      <c r="D793" t="s">
        <v>1</v>
      </c>
      <c r="E793" t="s">
        <v>42</v>
      </c>
      <c r="F793" t="s">
        <v>40</v>
      </c>
      <c r="G793" t="s">
        <v>16</v>
      </c>
      <c r="H793" t="s">
        <v>23</v>
      </c>
      <c r="I793" t="s">
        <v>115</v>
      </c>
      <c r="J793" t="s">
        <v>123</v>
      </c>
      <c r="K793" t="s">
        <v>13</v>
      </c>
      <c r="L793">
        <v>13.9</v>
      </c>
      <c r="M793">
        <v>7.2</v>
      </c>
      <c r="N793" t="s">
        <v>29</v>
      </c>
      <c r="O793" t="s">
        <v>7</v>
      </c>
      <c r="P793" t="s">
        <v>9</v>
      </c>
      <c r="Q793">
        <v>26</v>
      </c>
      <c r="R793">
        <v>4</v>
      </c>
      <c r="S793">
        <v>28.2</v>
      </c>
      <c r="T793">
        <v>112</v>
      </c>
      <c r="U793">
        <v>99</v>
      </c>
      <c r="V793">
        <v>7868</v>
      </c>
      <c r="W793">
        <v>36.700000000000003</v>
      </c>
      <c r="X793">
        <v>6</v>
      </c>
      <c r="Y793">
        <v>3</v>
      </c>
      <c r="Z793">
        <v>11</v>
      </c>
      <c r="AA793">
        <v>6</v>
      </c>
      <c r="AB793">
        <v>3</v>
      </c>
      <c r="AC793">
        <v>236</v>
      </c>
      <c r="AD793">
        <v>19</v>
      </c>
      <c r="AE793">
        <v>6</v>
      </c>
      <c r="AF793">
        <v>180</v>
      </c>
      <c r="AG793">
        <v>138</v>
      </c>
      <c r="AH793">
        <v>135</v>
      </c>
      <c r="AI793">
        <v>43</v>
      </c>
      <c r="AJ793">
        <v>29</v>
      </c>
      <c r="AK793">
        <v>32</v>
      </c>
      <c r="AL793">
        <v>18</v>
      </c>
      <c r="AM793">
        <v>5</v>
      </c>
      <c r="AN793">
        <v>134</v>
      </c>
      <c r="AO793">
        <v>60</v>
      </c>
      <c r="AP793">
        <v>51</v>
      </c>
      <c r="AQ793">
        <v>65</v>
      </c>
      <c r="AR793">
        <v>1349</v>
      </c>
      <c r="AS793">
        <v>1763</v>
      </c>
      <c r="AT793" t="s">
        <v>7</v>
      </c>
      <c r="AU793">
        <v>0.59</v>
      </c>
      <c r="AV793">
        <v>2017</v>
      </c>
      <c r="AW793" s="1">
        <v>45751</v>
      </c>
      <c r="AX793">
        <v>12.4</v>
      </c>
      <c r="AY793" t="s">
        <v>10</v>
      </c>
      <c r="AZ793" t="s">
        <v>31</v>
      </c>
      <c r="BA793" t="s">
        <v>21</v>
      </c>
      <c r="BB793" t="s">
        <v>13</v>
      </c>
      <c r="BC793" t="s">
        <v>13</v>
      </c>
      <c r="BD793">
        <v>1</v>
      </c>
      <c r="BE793" t="s">
        <v>14</v>
      </c>
      <c r="BF793">
        <v>1.01</v>
      </c>
    </row>
    <row r="794" spans="1:58" hidden="1" x14ac:dyDescent="0.2">
      <c r="A794">
        <v>793</v>
      </c>
      <c r="B794" t="s">
        <v>0</v>
      </c>
      <c r="C794">
        <v>38</v>
      </c>
      <c r="D794" t="s">
        <v>1</v>
      </c>
      <c r="E794" t="s">
        <v>128</v>
      </c>
      <c r="F794" t="s">
        <v>3</v>
      </c>
      <c r="G794" t="s">
        <v>117</v>
      </c>
      <c r="H794" t="s">
        <v>23</v>
      </c>
      <c r="I794" t="s">
        <v>115</v>
      </c>
      <c r="J794" t="s">
        <v>123</v>
      </c>
      <c r="K794" t="s">
        <v>7</v>
      </c>
      <c r="L794">
        <v>7.4</v>
      </c>
      <c r="M794">
        <v>6.6</v>
      </c>
      <c r="N794" t="s">
        <v>8</v>
      </c>
      <c r="O794" t="s">
        <v>7</v>
      </c>
      <c r="P794" t="s">
        <v>9</v>
      </c>
      <c r="Q794">
        <v>6</v>
      </c>
      <c r="R794">
        <v>3</v>
      </c>
      <c r="S794">
        <v>29.2</v>
      </c>
      <c r="T794">
        <v>148</v>
      </c>
      <c r="U794">
        <v>65</v>
      </c>
      <c r="V794">
        <v>8060</v>
      </c>
      <c r="W794">
        <v>22.5</v>
      </c>
      <c r="X794">
        <v>2</v>
      </c>
      <c r="Y794">
        <v>7</v>
      </c>
      <c r="Z794">
        <v>12</v>
      </c>
      <c r="AA794">
        <v>4.7</v>
      </c>
      <c r="AB794">
        <v>5</v>
      </c>
      <c r="AC794">
        <v>70</v>
      </c>
      <c r="AD794">
        <v>7</v>
      </c>
      <c r="AE794">
        <v>3</v>
      </c>
      <c r="AF794">
        <v>85</v>
      </c>
      <c r="AG794">
        <v>58</v>
      </c>
      <c r="AH794">
        <v>58</v>
      </c>
      <c r="AI794">
        <v>14</v>
      </c>
      <c r="AJ794">
        <v>19</v>
      </c>
      <c r="AK794">
        <v>12</v>
      </c>
      <c r="AL794">
        <v>13</v>
      </c>
      <c r="AM794">
        <v>2</v>
      </c>
      <c r="AN794">
        <v>36</v>
      </c>
      <c r="AO794">
        <v>11</v>
      </c>
      <c r="AP794">
        <v>10</v>
      </c>
      <c r="AQ794">
        <v>24</v>
      </c>
      <c r="AR794">
        <v>5192</v>
      </c>
      <c r="AS794">
        <v>10000</v>
      </c>
      <c r="AT794" t="s">
        <v>7</v>
      </c>
      <c r="AU794">
        <v>0.12</v>
      </c>
      <c r="AV794">
        <v>2023</v>
      </c>
      <c r="AW794" s="1">
        <v>46010</v>
      </c>
      <c r="AX794">
        <v>10</v>
      </c>
      <c r="AY794" t="s">
        <v>30</v>
      </c>
      <c r="AZ794" t="s">
        <v>35</v>
      </c>
      <c r="BA794" t="s">
        <v>21</v>
      </c>
      <c r="BB794" t="s">
        <v>13</v>
      </c>
      <c r="BC794" t="s">
        <v>7</v>
      </c>
      <c r="BD794">
        <v>1</v>
      </c>
      <c r="BE794" t="s">
        <v>14</v>
      </c>
      <c r="BF794">
        <v>1.34</v>
      </c>
    </row>
    <row r="795" spans="1:58" hidden="1" x14ac:dyDescent="0.2">
      <c r="A795">
        <v>794</v>
      </c>
      <c r="B795" t="s">
        <v>0</v>
      </c>
      <c r="C795">
        <v>20</v>
      </c>
      <c r="D795" t="s">
        <v>1</v>
      </c>
      <c r="E795" t="s">
        <v>47</v>
      </c>
      <c r="F795" t="s">
        <v>3</v>
      </c>
      <c r="G795" t="s">
        <v>116</v>
      </c>
      <c r="H795" t="s">
        <v>118</v>
      </c>
      <c r="I795" t="s">
        <v>112</v>
      </c>
      <c r="J795" t="s">
        <v>6</v>
      </c>
      <c r="K795" t="s">
        <v>7</v>
      </c>
      <c r="L795">
        <v>13.6</v>
      </c>
      <c r="M795">
        <v>8.3000000000000007</v>
      </c>
      <c r="N795" t="s">
        <v>8</v>
      </c>
      <c r="O795" t="s">
        <v>7</v>
      </c>
      <c r="P795" t="s">
        <v>121</v>
      </c>
      <c r="Q795">
        <v>16</v>
      </c>
      <c r="R795">
        <v>5</v>
      </c>
      <c r="S795">
        <v>27.7</v>
      </c>
      <c r="T795">
        <v>123</v>
      </c>
      <c r="U795">
        <v>81</v>
      </c>
      <c r="V795">
        <v>7971</v>
      </c>
      <c r="W795">
        <v>29.9</v>
      </c>
      <c r="X795">
        <v>5</v>
      </c>
      <c r="Y795">
        <v>5</v>
      </c>
      <c r="Z795">
        <v>18</v>
      </c>
      <c r="AA795">
        <v>8.4</v>
      </c>
      <c r="AB795">
        <v>3</v>
      </c>
      <c r="AC795">
        <v>188</v>
      </c>
      <c r="AD795">
        <v>19</v>
      </c>
      <c r="AE795">
        <v>14</v>
      </c>
      <c r="AF795">
        <v>205</v>
      </c>
      <c r="AG795">
        <v>96</v>
      </c>
      <c r="AH795">
        <v>117</v>
      </c>
      <c r="AI795">
        <v>33</v>
      </c>
      <c r="AJ795">
        <v>22</v>
      </c>
      <c r="AK795">
        <v>34</v>
      </c>
      <c r="AL795">
        <v>15</v>
      </c>
      <c r="AM795">
        <v>8</v>
      </c>
      <c r="AN795">
        <v>103</v>
      </c>
      <c r="AO795">
        <v>28</v>
      </c>
      <c r="AP795">
        <v>23</v>
      </c>
      <c r="AQ795">
        <v>47</v>
      </c>
      <c r="AR795">
        <v>3278</v>
      </c>
      <c r="AS795">
        <v>4125</v>
      </c>
      <c r="AT795" t="s">
        <v>13</v>
      </c>
      <c r="AU795">
        <v>0.48</v>
      </c>
      <c r="AV795">
        <v>2017</v>
      </c>
      <c r="AW795" s="1">
        <v>45843</v>
      </c>
      <c r="AX795">
        <v>9.9</v>
      </c>
      <c r="AY795" t="s">
        <v>45</v>
      </c>
      <c r="AZ795" t="s">
        <v>31</v>
      </c>
      <c r="BA795" t="s">
        <v>21</v>
      </c>
      <c r="BB795" t="s">
        <v>13</v>
      </c>
      <c r="BC795" t="s">
        <v>7</v>
      </c>
      <c r="BD795">
        <v>3</v>
      </c>
      <c r="BE795" t="s">
        <v>14</v>
      </c>
      <c r="BF795">
        <v>1.19</v>
      </c>
    </row>
    <row r="796" spans="1:58" hidden="1" x14ac:dyDescent="0.2">
      <c r="A796">
        <v>795</v>
      </c>
      <c r="B796" t="s">
        <v>0</v>
      </c>
      <c r="C796">
        <v>62</v>
      </c>
      <c r="D796" t="s">
        <v>28</v>
      </c>
      <c r="E796" t="s">
        <v>127</v>
      </c>
      <c r="F796" t="s">
        <v>15</v>
      </c>
      <c r="G796" t="s">
        <v>38</v>
      </c>
      <c r="H796" t="s">
        <v>23</v>
      </c>
      <c r="I796" t="s">
        <v>115</v>
      </c>
      <c r="J796" t="s">
        <v>18</v>
      </c>
      <c r="K796" t="s">
        <v>7</v>
      </c>
      <c r="L796">
        <v>4.5</v>
      </c>
      <c r="M796">
        <v>7.9</v>
      </c>
      <c r="N796" t="s">
        <v>29</v>
      </c>
      <c r="O796" t="s">
        <v>7</v>
      </c>
      <c r="P796" t="s">
        <v>46</v>
      </c>
      <c r="Q796">
        <v>26</v>
      </c>
      <c r="R796">
        <v>1</v>
      </c>
      <c r="S796">
        <v>23.9</v>
      </c>
      <c r="T796">
        <v>98</v>
      </c>
      <c r="U796">
        <v>79</v>
      </c>
      <c r="V796">
        <v>7987</v>
      </c>
      <c r="W796">
        <v>34.6</v>
      </c>
      <c r="X796">
        <v>6</v>
      </c>
      <c r="Y796">
        <v>8</v>
      </c>
      <c r="Z796">
        <v>10</v>
      </c>
      <c r="AA796">
        <v>1.6</v>
      </c>
      <c r="AB796">
        <v>3</v>
      </c>
      <c r="AC796">
        <v>273</v>
      </c>
      <c r="AD796">
        <v>33</v>
      </c>
      <c r="AE796">
        <v>4</v>
      </c>
      <c r="AF796">
        <v>208</v>
      </c>
      <c r="AG796">
        <v>120</v>
      </c>
      <c r="AH796">
        <v>162</v>
      </c>
      <c r="AI796">
        <v>45</v>
      </c>
      <c r="AJ796">
        <v>42</v>
      </c>
      <c r="AK796">
        <v>49</v>
      </c>
      <c r="AL796">
        <v>29</v>
      </c>
      <c r="AM796">
        <v>9</v>
      </c>
      <c r="AN796">
        <v>115</v>
      </c>
      <c r="AO796">
        <v>80</v>
      </c>
      <c r="AP796">
        <v>45</v>
      </c>
      <c r="AQ796">
        <v>83</v>
      </c>
      <c r="AR796">
        <v>151</v>
      </c>
      <c r="AS796">
        <v>155</v>
      </c>
      <c r="AT796" t="s">
        <v>7</v>
      </c>
      <c r="AU796">
        <v>0.56000000000000005</v>
      </c>
      <c r="AV796">
        <v>2017</v>
      </c>
      <c r="AW796" s="1">
        <v>45915</v>
      </c>
      <c r="AX796">
        <v>8.3000000000000007</v>
      </c>
      <c r="AY796" t="s">
        <v>30</v>
      </c>
      <c r="AZ796" t="s">
        <v>51</v>
      </c>
      <c r="BA796" t="s">
        <v>122</v>
      </c>
      <c r="BB796" t="s">
        <v>13</v>
      </c>
      <c r="BC796" t="s">
        <v>7</v>
      </c>
      <c r="BD796">
        <v>3</v>
      </c>
      <c r="BE796" t="s">
        <v>14</v>
      </c>
      <c r="BF796">
        <v>0.96</v>
      </c>
    </row>
    <row r="797" spans="1:58" hidden="1" x14ac:dyDescent="0.2">
      <c r="A797">
        <v>796</v>
      </c>
      <c r="B797" t="s">
        <v>0</v>
      </c>
      <c r="C797">
        <v>40</v>
      </c>
      <c r="D797" t="s">
        <v>1</v>
      </c>
      <c r="E797" t="s">
        <v>22</v>
      </c>
      <c r="F797" t="s">
        <v>3</v>
      </c>
      <c r="G797" t="s">
        <v>117</v>
      </c>
      <c r="H797" t="s">
        <v>118</v>
      </c>
      <c r="I797" t="s">
        <v>112</v>
      </c>
      <c r="J797" t="s">
        <v>123</v>
      </c>
      <c r="K797" t="s">
        <v>7</v>
      </c>
      <c r="L797">
        <v>11.5</v>
      </c>
      <c r="M797">
        <v>6.6</v>
      </c>
      <c r="N797" t="s">
        <v>29</v>
      </c>
      <c r="O797" t="s">
        <v>7</v>
      </c>
      <c r="P797" t="s">
        <v>52</v>
      </c>
      <c r="Q797">
        <v>21</v>
      </c>
      <c r="R797">
        <v>2</v>
      </c>
      <c r="S797">
        <v>22.9</v>
      </c>
      <c r="T797">
        <v>90</v>
      </c>
      <c r="U797">
        <v>79</v>
      </c>
      <c r="V797">
        <v>7970</v>
      </c>
      <c r="W797">
        <v>32.1</v>
      </c>
      <c r="X797">
        <v>3</v>
      </c>
      <c r="Y797">
        <v>2</v>
      </c>
      <c r="Z797">
        <v>12</v>
      </c>
      <c r="AA797">
        <v>2.2999999999999998</v>
      </c>
      <c r="AB797">
        <v>2</v>
      </c>
      <c r="AC797">
        <v>262</v>
      </c>
      <c r="AD797">
        <v>18</v>
      </c>
      <c r="AE797">
        <v>8</v>
      </c>
      <c r="AF797">
        <v>213</v>
      </c>
      <c r="AG797">
        <v>123</v>
      </c>
      <c r="AH797">
        <v>152</v>
      </c>
      <c r="AI797">
        <v>53</v>
      </c>
      <c r="AJ797">
        <v>40</v>
      </c>
      <c r="AK797">
        <v>45</v>
      </c>
      <c r="AL797">
        <v>24</v>
      </c>
      <c r="AM797">
        <v>9</v>
      </c>
      <c r="AN797">
        <v>127</v>
      </c>
      <c r="AO797">
        <v>52</v>
      </c>
      <c r="AP797">
        <v>56</v>
      </c>
      <c r="AQ797">
        <v>88</v>
      </c>
      <c r="AR797">
        <v>368</v>
      </c>
      <c r="AS797">
        <v>805</v>
      </c>
      <c r="AT797" t="s">
        <v>7</v>
      </c>
      <c r="AU797">
        <v>0.04</v>
      </c>
      <c r="AV797">
        <v>2012</v>
      </c>
      <c r="AW797" s="1">
        <v>45874</v>
      </c>
      <c r="AX797">
        <v>14.6</v>
      </c>
      <c r="AY797" t="s">
        <v>30</v>
      </c>
      <c r="AZ797" t="s">
        <v>51</v>
      </c>
      <c r="BA797" t="s">
        <v>12</v>
      </c>
      <c r="BB797" t="s">
        <v>13</v>
      </c>
      <c r="BC797" t="s">
        <v>13</v>
      </c>
      <c r="BD797">
        <v>2</v>
      </c>
      <c r="BE797" t="s">
        <v>14</v>
      </c>
      <c r="BF797">
        <v>1.07</v>
      </c>
    </row>
    <row r="798" spans="1:58" hidden="1" x14ac:dyDescent="0.2">
      <c r="A798">
        <v>797</v>
      </c>
      <c r="B798" t="s">
        <v>0</v>
      </c>
      <c r="C798">
        <v>40</v>
      </c>
      <c r="D798" t="s">
        <v>1</v>
      </c>
      <c r="E798" t="s">
        <v>128</v>
      </c>
      <c r="F798" t="s">
        <v>15</v>
      </c>
      <c r="G798" t="s">
        <v>117</v>
      </c>
      <c r="H798" t="s">
        <v>118</v>
      </c>
      <c r="I798" t="s">
        <v>112</v>
      </c>
      <c r="J798" t="s">
        <v>6</v>
      </c>
      <c r="K798" t="s">
        <v>7</v>
      </c>
      <c r="L798">
        <v>13.3</v>
      </c>
      <c r="M798">
        <v>8.1</v>
      </c>
      <c r="N798" t="s">
        <v>29</v>
      </c>
      <c r="O798" t="s">
        <v>7</v>
      </c>
      <c r="P798" t="s">
        <v>121</v>
      </c>
      <c r="Q798">
        <v>3</v>
      </c>
      <c r="R798">
        <v>7</v>
      </c>
      <c r="S798">
        <v>25</v>
      </c>
      <c r="T798">
        <v>140</v>
      </c>
      <c r="U798">
        <v>60</v>
      </c>
      <c r="V798">
        <v>8007</v>
      </c>
      <c r="W798">
        <v>52.9</v>
      </c>
      <c r="X798">
        <v>7</v>
      </c>
      <c r="Y798">
        <v>3</v>
      </c>
      <c r="Z798">
        <v>11</v>
      </c>
      <c r="AA798">
        <v>3.9</v>
      </c>
      <c r="AB798">
        <v>7</v>
      </c>
      <c r="AC798">
        <v>53</v>
      </c>
      <c r="AD798">
        <v>3</v>
      </c>
      <c r="AE798">
        <v>5</v>
      </c>
      <c r="AF798">
        <v>69</v>
      </c>
      <c r="AG798">
        <v>57</v>
      </c>
      <c r="AH798">
        <v>49</v>
      </c>
      <c r="AI798">
        <v>13</v>
      </c>
      <c r="AJ798">
        <v>11</v>
      </c>
      <c r="AK798">
        <v>10</v>
      </c>
      <c r="AL798">
        <v>8</v>
      </c>
      <c r="AM798">
        <v>4</v>
      </c>
      <c r="AN798">
        <v>27</v>
      </c>
      <c r="AO798">
        <v>10</v>
      </c>
      <c r="AP798">
        <v>6</v>
      </c>
      <c r="AQ798">
        <v>14</v>
      </c>
      <c r="AR798">
        <v>504</v>
      </c>
      <c r="AS798">
        <v>546</v>
      </c>
      <c r="AT798" t="s">
        <v>7</v>
      </c>
      <c r="AU798">
        <v>0.13</v>
      </c>
      <c r="AV798">
        <v>2018</v>
      </c>
      <c r="AW798" s="1">
        <v>45950</v>
      </c>
      <c r="AX798">
        <v>17.7</v>
      </c>
      <c r="AY798" t="s">
        <v>36</v>
      </c>
      <c r="AZ798" t="s">
        <v>37</v>
      </c>
      <c r="BA798" t="s">
        <v>21</v>
      </c>
      <c r="BB798" t="s">
        <v>13</v>
      </c>
      <c r="BC798" t="s">
        <v>7</v>
      </c>
      <c r="BD798">
        <v>4</v>
      </c>
      <c r="BE798" t="s">
        <v>43</v>
      </c>
      <c r="BF798">
        <v>1.67</v>
      </c>
    </row>
    <row r="799" spans="1:58" hidden="1" x14ac:dyDescent="0.2">
      <c r="A799">
        <v>798</v>
      </c>
      <c r="B799" t="s">
        <v>0</v>
      </c>
      <c r="C799">
        <v>49</v>
      </c>
      <c r="D799" t="s">
        <v>28</v>
      </c>
      <c r="E799" t="s">
        <v>33</v>
      </c>
      <c r="F799" t="s">
        <v>15</v>
      </c>
      <c r="G799" t="s">
        <v>16</v>
      </c>
      <c r="H799" t="s">
        <v>118</v>
      </c>
      <c r="I799" t="s">
        <v>17</v>
      </c>
      <c r="J799" t="s">
        <v>44</v>
      </c>
      <c r="K799" t="s">
        <v>13</v>
      </c>
      <c r="L799">
        <v>3.9</v>
      </c>
      <c r="M799">
        <v>7.3</v>
      </c>
      <c r="N799" t="s">
        <v>29</v>
      </c>
      <c r="O799" t="s">
        <v>7</v>
      </c>
      <c r="P799" t="s">
        <v>9</v>
      </c>
      <c r="Q799">
        <v>11</v>
      </c>
      <c r="R799">
        <v>6</v>
      </c>
      <c r="S799">
        <v>22.9</v>
      </c>
      <c r="T799">
        <v>131</v>
      </c>
      <c r="U799">
        <v>78</v>
      </c>
      <c r="V799">
        <v>8069</v>
      </c>
      <c r="W799">
        <v>38.1</v>
      </c>
      <c r="X799">
        <v>4</v>
      </c>
      <c r="Y799">
        <v>3</v>
      </c>
      <c r="Z799">
        <v>12</v>
      </c>
      <c r="AA799">
        <v>0.8</v>
      </c>
      <c r="AB799">
        <v>1</v>
      </c>
      <c r="AC799">
        <v>82</v>
      </c>
      <c r="AD799">
        <v>3</v>
      </c>
      <c r="AE799">
        <v>2</v>
      </c>
      <c r="AF799">
        <v>86</v>
      </c>
      <c r="AG799">
        <v>69</v>
      </c>
      <c r="AH799">
        <v>63</v>
      </c>
      <c r="AI799">
        <v>23</v>
      </c>
      <c r="AJ799">
        <v>16</v>
      </c>
      <c r="AK799">
        <v>18</v>
      </c>
      <c r="AL799">
        <v>11</v>
      </c>
      <c r="AM799">
        <v>4</v>
      </c>
      <c r="AN799">
        <v>44</v>
      </c>
      <c r="AO799">
        <v>18</v>
      </c>
      <c r="AP799">
        <v>8</v>
      </c>
      <c r="AQ799">
        <v>30</v>
      </c>
      <c r="AR799">
        <v>261</v>
      </c>
      <c r="AS799">
        <v>265</v>
      </c>
      <c r="AT799" t="s">
        <v>13</v>
      </c>
      <c r="AU799">
        <v>0.84</v>
      </c>
      <c r="AV799">
        <v>2019</v>
      </c>
      <c r="AW799" s="1">
        <v>45658</v>
      </c>
      <c r="AX799">
        <v>27.3</v>
      </c>
      <c r="AY799" t="s">
        <v>27</v>
      </c>
      <c r="AZ799" t="s">
        <v>48</v>
      </c>
      <c r="BA799" t="s">
        <v>12</v>
      </c>
      <c r="BB799" t="s">
        <v>13</v>
      </c>
      <c r="BC799" t="s">
        <v>13</v>
      </c>
      <c r="BD799">
        <v>0</v>
      </c>
      <c r="BE799" t="s">
        <v>14</v>
      </c>
      <c r="BF799">
        <v>1.39</v>
      </c>
    </row>
    <row r="800" spans="1:58" hidden="1" x14ac:dyDescent="0.2">
      <c r="A800">
        <v>799</v>
      </c>
      <c r="B800" t="s">
        <v>0</v>
      </c>
      <c r="C800">
        <v>53</v>
      </c>
      <c r="D800" t="s">
        <v>1</v>
      </c>
      <c r="E800" t="s">
        <v>2</v>
      </c>
      <c r="F800" t="s">
        <v>15</v>
      </c>
      <c r="G800" t="s">
        <v>116</v>
      </c>
      <c r="H800" t="s">
        <v>118</v>
      </c>
      <c r="I800" t="s">
        <v>114</v>
      </c>
      <c r="J800" t="s">
        <v>6</v>
      </c>
      <c r="K800" t="s">
        <v>13</v>
      </c>
      <c r="L800">
        <v>4.5999999999999996</v>
      </c>
      <c r="M800">
        <v>7.4</v>
      </c>
      <c r="N800" t="s">
        <v>25</v>
      </c>
      <c r="O800" t="s">
        <v>7</v>
      </c>
      <c r="P800" t="s">
        <v>26</v>
      </c>
      <c r="Q800">
        <v>12</v>
      </c>
      <c r="R800">
        <v>2</v>
      </c>
      <c r="S800">
        <v>20.3</v>
      </c>
      <c r="T800">
        <v>112</v>
      </c>
      <c r="U800">
        <v>90</v>
      </c>
      <c r="V800">
        <v>7862</v>
      </c>
      <c r="W800">
        <v>52</v>
      </c>
      <c r="X800">
        <v>3</v>
      </c>
      <c r="Y800">
        <v>0</v>
      </c>
      <c r="Z800">
        <v>7</v>
      </c>
      <c r="AA800">
        <v>4</v>
      </c>
      <c r="AB800">
        <v>1</v>
      </c>
      <c r="AC800">
        <v>119</v>
      </c>
      <c r="AD800">
        <v>5</v>
      </c>
      <c r="AE800">
        <v>4</v>
      </c>
      <c r="AF800">
        <v>115</v>
      </c>
      <c r="AG800">
        <v>83</v>
      </c>
      <c r="AH800">
        <v>82</v>
      </c>
      <c r="AI800">
        <v>26</v>
      </c>
      <c r="AJ800">
        <v>34</v>
      </c>
      <c r="AK800">
        <v>22</v>
      </c>
      <c r="AL800">
        <v>22</v>
      </c>
      <c r="AM800">
        <v>6</v>
      </c>
      <c r="AN800">
        <v>69</v>
      </c>
      <c r="AO800">
        <v>19</v>
      </c>
      <c r="AP800">
        <v>19</v>
      </c>
      <c r="AQ800">
        <v>36</v>
      </c>
      <c r="AR800">
        <v>2551</v>
      </c>
      <c r="AS800">
        <v>5933</v>
      </c>
      <c r="AT800" t="s">
        <v>7</v>
      </c>
      <c r="AU800">
        <v>0.46</v>
      </c>
      <c r="AV800">
        <v>2021</v>
      </c>
      <c r="AW800" s="1">
        <v>45745</v>
      </c>
      <c r="AX800">
        <v>23.8</v>
      </c>
      <c r="AY800" t="s">
        <v>36</v>
      </c>
      <c r="AZ800" t="s">
        <v>17</v>
      </c>
      <c r="BA800" t="s">
        <v>21</v>
      </c>
      <c r="BB800" t="s">
        <v>13</v>
      </c>
      <c r="BC800" t="s">
        <v>7</v>
      </c>
      <c r="BD800">
        <v>1</v>
      </c>
      <c r="BE800" t="s">
        <v>14</v>
      </c>
      <c r="BF800">
        <v>1.22</v>
      </c>
    </row>
    <row r="801" spans="1:58" hidden="1" x14ac:dyDescent="0.2">
      <c r="A801">
        <v>800</v>
      </c>
      <c r="B801" t="s">
        <v>0</v>
      </c>
      <c r="C801">
        <v>48</v>
      </c>
      <c r="D801" t="s">
        <v>1</v>
      </c>
      <c r="E801" t="s">
        <v>42</v>
      </c>
      <c r="F801" t="s">
        <v>40</v>
      </c>
      <c r="G801" t="s">
        <v>38</v>
      </c>
      <c r="H801" t="s">
        <v>119</v>
      </c>
      <c r="I801" t="s">
        <v>115</v>
      </c>
      <c r="J801" t="s">
        <v>123</v>
      </c>
      <c r="K801" t="s">
        <v>7</v>
      </c>
      <c r="L801">
        <v>5.2</v>
      </c>
      <c r="M801">
        <v>5.4</v>
      </c>
      <c r="N801" t="s">
        <v>25</v>
      </c>
      <c r="O801" t="s">
        <v>41</v>
      </c>
      <c r="P801" t="s">
        <v>26</v>
      </c>
      <c r="Q801">
        <v>3</v>
      </c>
      <c r="R801">
        <v>4</v>
      </c>
      <c r="S801">
        <v>22.1</v>
      </c>
      <c r="T801">
        <v>152</v>
      </c>
      <c r="U801">
        <v>60</v>
      </c>
      <c r="V801">
        <v>8112</v>
      </c>
      <c r="W801">
        <v>37.6</v>
      </c>
      <c r="X801">
        <v>1</v>
      </c>
      <c r="Y801">
        <v>3</v>
      </c>
      <c r="Z801">
        <v>10</v>
      </c>
      <c r="AA801">
        <v>2.4</v>
      </c>
      <c r="AB801">
        <v>2</v>
      </c>
      <c r="AC801">
        <v>71</v>
      </c>
      <c r="AD801">
        <v>5</v>
      </c>
      <c r="AE801">
        <v>6</v>
      </c>
      <c r="AF801">
        <v>71</v>
      </c>
      <c r="AG801">
        <v>60</v>
      </c>
      <c r="AH801">
        <v>65</v>
      </c>
      <c r="AI801">
        <v>13</v>
      </c>
      <c r="AJ801">
        <v>18</v>
      </c>
      <c r="AK801">
        <v>18</v>
      </c>
      <c r="AL801">
        <v>11</v>
      </c>
      <c r="AM801">
        <v>3</v>
      </c>
      <c r="AN801">
        <v>35</v>
      </c>
      <c r="AO801">
        <v>13</v>
      </c>
      <c r="AP801">
        <v>13</v>
      </c>
      <c r="AQ801">
        <v>18</v>
      </c>
      <c r="AR801">
        <v>1690</v>
      </c>
      <c r="AS801">
        <v>2900</v>
      </c>
      <c r="AT801" t="s">
        <v>13</v>
      </c>
      <c r="AU801">
        <v>0.8</v>
      </c>
      <c r="AV801">
        <v>2022</v>
      </c>
      <c r="AW801" s="1">
        <v>45801</v>
      </c>
      <c r="AX801">
        <v>14.2</v>
      </c>
      <c r="AY801" t="s">
        <v>19</v>
      </c>
      <c r="AZ801" t="s">
        <v>51</v>
      </c>
      <c r="BA801" t="s">
        <v>122</v>
      </c>
      <c r="BB801" t="s">
        <v>7</v>
      </c>
      <c r="BC801" t="s">
        <v>7</v>
      </c>
      <c r="BD801">
        <v>3</v>
      </c>
      <c r="BE801" t="s">
        <v>14</v>
      </c>
      <c r="BF801">
        <v>1.51</v>
      </c>
    </row>
    <row r="802" spans="1:58" hidden="1" x14ac:dyDescent="0.2">
      <c r="A802">
        <v>801</v>
      </c>
      <c r="B802" t="s">
        <v>0</v>
      </c>
      <c r="C802">
        <v>39</v>
      </c>
      <c r="D802" t="s">
        <v>28</v>
      </c>
      <c r="E802" t="s">
        <v>126</v>
      </c>
      <c r="F802" t="s">
        <v>15</v>
      </c>
      <c r="G802" t="s">
        <v>16</v>
      </c>
      <c r="H802" t="s">
        <v>118</v>
      </c>
      <c r="I802" t="s">
        <v>115</v>
      </c>
      <c r="J802" t="s">
        <v>6</v>
      </c>
      <c r="K802" t="s">
        <v>13</v>
      </c>
      <c r="L802">
        <v>4.2</v>
      </c>
      <c r="M802">
        <v>7.3</v>
      </c>
      <c r="N802" t="s">
        <v>120</v>
      </c>
      <c r="O802" t="s">
        <v>7</v>
      </c>
      <c r="P802" t="s">
        <v>9</v>
      </c>
      <c r="Q802">
        <v>18</v>
      </c>
      <c r="R802">
        <v>4</v>
      </c>
      <c r="S802">
        <v>26.4</v>
      </c>
      <c r="T802">
        <v>90</v>
      </c>
      <c r="U802">
        <v>94</v>
      </c>
      <c r="V802">
        <v>8041</v>
      </c>
      <c r="W802">
        <v>51.6</v>
      </c>
      <c r="X802">
        <v>4</v>
      </c>
      <c r="Y802">
        <v>6</v>
      </c>
      <c r="Z802">
        <v>4</v>
      </c>
      <c r="AA802">
        <v>2.1</v>
      </c>
      <c r="AB802">
        <v>4</v>
      </c>
      <c r="AC802">
        <v>152</v>
      </c>
      <c r="AD802">
        <v>5</v>
      </c>
      <c r="AE802">
        <v>3</v>
      </c>
      <c r="AF802">
        <v>134</v>
      </c>
      <c r="AG802">
        <v>83</v>
      </c>
      <c r="AH802">
        <v>95</v>
      </c>
      <c r="AI802">
        <v>32</v>
      </c>
      <c r="AJ802">
        <v>25</v>
      </c>
      <c r="AK802">
        <v>27</v>
      </c>
      <c r="AL802">
        <v>23</v>
      </c>
      <c r="AM802">
        <v>4</v>
      </c>
      <c r="AN802">
        <v>66</v>
      </c>
      <c r="AO802">
        <v>23</v>
      </c>
      <c r="AP802">
        <v>38</v>
      </c>
      <c r="AQ802">
        <v>57</v>
      </c>
      <c r="AR802">
        <v>4047</v>
      </c>
      <c r="AS802">
        <v>2024</v>
      </c>
      <c r="AT802" t="s">
        <v>7</v>
      </c>
      <c r="AU802">
        <v>0.16</v>
      </c>
      <c r="AV802">
        <v>2012</v>
      </c>
      <c r="AW802" s="1">
        <v>45752</v>
      </c>
      <c r="AX802">
        <v>30.4</v>
      </c>
      <c r="AY802" t="s">
        <v>45</v>
      </c>
      <c r="AZ802" t="s">
        <v>31</v>
      </c>
      <c r="BA802" t="s">
        <v>12</v>
      </c>
      <c r="BB802" t="s">
        <v>13</v>
      </c>
      <c r="BC802" t="s">
        <v>13</v>
      </c>
      <c r="BD802">
        <v>5</v>
      </c>
      <c r="BE802" t="s">
        <v>14</v>
      </c>
      <c r="BF802">
        <v>1.1000000000000001</v>
      </c>
    </row>
    <row r="803" spans="1:58" hidden="1" x14ac:dyDescent="0.2">
      <c r="A803">
        <v>802</v>
      </c>
      <c r="B803" t="s">
        <v>0</v>
      </c>
      <c r="C803">
        <v>29</v>
      </c>
      <c r="D803" t="s">
        <v>1</v>
      </c>
      <c r="E803" t="s">
        <v>128</v>
      </c>
      <c r="F803" t="s">
        <v>15</v>
      </c>
      <c r="G803" t="s">
        <v>116</v>
      </c>
      <c r="H803" t="s">
        <v>118</v>
      </c>
      <c r="I803" t="s">
        <v>114</v>
      </c>
      <c r="J803" t="s">
        <v>123</v>
      </c>
      <c r="K803" t="s">
        <v>7</v>
      </c>
      <c r="L803">
        <v>1.8</v>
      </c>
      <c r="M803">
        <v>8.3000000000000007</v>
      </c>
      <c r="N803" t="s">
        <v>29</v>
      </c>
      <c r="O803" t="s">
        <v>7</v>
      </c>
      <c r="P803" t="s">
        <v>46</v>
      </c>
      <c r="Q803">
        <v>7</v>
      </c>
      <c r="R803">
        <v>2</v>
      </c>
      <c r="S803">
        <v>30.8</v>
      </c>
      <c r="T803">
        <v>90</v>
      </c>
      <c r="U803">
        <v>96</v>
      </c>
      <c r="V803">
        <v>8010</v>
      </c>
      <c r="W803">
        <v>37.799999999999997</v>
      </c>
      <c r="X803">
        <v>3</v>
      </c>
      <c r="Y803">
        <v>4</v>
      </c>
      <c r="Z803">
        <v>10</v>
      </c>
      <c r="AA803">
        <v>2.4</v>
      </c>
      <c r="AB803">
        <v>0</v>
      </c>
      <c r="AC803">
        <v>90</v>
      </c>
      <c r="AD803">
        <v>5</v>
      </c>
      <c r="AE803">
        <v>1</v>
      </c>
      <c r="AF803">
        <v>188</v>
      </c>
      <c r="AG803">
        <v>69</v>
      </c>
      <c r="AH803">
        <v>62</v>
      </c>
      <c r="AI803">
        <v>19</v>
      </c>
      <c r="AJ803">
        <v>20</v>
      </c>
      <c r="AK803">
        <v>15</v>
      </c>
      <c r="AL803">
        <v>9</v>
      </c>
      <c r="AM803">
        <v>2</v>
      </c>
      <c r="AN803">
        <v>52</v>
      </c>
      <c r="AO803">
        <v>15</v>
      </c>
      <c r="AP803">
        <v>15</v>
      </c>
      <c r="AQ803">
        <v>23</v>
      </c>
      <c r="AR803">
        <v>966</v>
      </c>
      <c r="AS803">
        <v>660</v>
      </c>
      <c r="AT803" t="s">
        <v>7</v>
      </c>
      <c r="AU803">
        <v>0.67</v>
      </c>
      <c r="AV803">
        <v>2024</v>
      </c>
      <c r="AW803" s="1">
        <v>45673</v>
      </c>
      <c r="AX803">
        <v>18</v>
      </c>
      <c r="AY803" t="s">
        <v>10</v>
      </c>
      <c r="AZ803" t="s">
        <v>20</v>
      </c>
      <c r="BA803" t="s">
        <v>21</v>
      </c>
      <c r="BB803" t="s">
        <v>7</v>
      </c>
      <c r="BC803" t="s">
        <v>13</v>
      </c>
      <c r="BD803">
        <v>3</v>
      </c>
      <c r="BE803" t="s">
        <v>14</v>
      </c>
      <c r="BF803">
        <v>1.1299999999999999</v>
      </c>
    </row>
    <row r="804" spans="1:58" hidden="1" x14ac:dyDescent="0.2">
      <c r="A804">
        <v>803</v>
      </c>
      <c r="B804" t="s">
        <v>0</v>
      </c>
      <c r="C804">
        <v>21</v>
      </c>
      <c r="D804" t="s">
        <v>1</v>
      </c>
      <c r="E804" t="s">
        <v>50</v>
      </c>
      <c r="F804" t="s">
        <v>15</v>
      </c>
      <c r="G804" t="s">
        <v>116</v>
      </c>
      <c r="H804" t="s">
        <v>118</v>
      </c>
      <c r="I804" t="s">
        <v>112</v>
      </c>
      <c r="J804" t="s">
        <v>6</v>
      </c>
      <c r="K804" t="s">
        <v>7</v>
      </c>
      <c r="L804">
        <v>2.1</v>
      </c>
      <c r="M804">
        <v>8.6</v>
      </c>
      <c r="N804" t="s">
        <v>8</v>
      </c>
      <c r="O804" t="s">
        <v>7</v>
      </c>
      <c r="P804" t="s">
        <v>46</v>
      </c>
      <c r="Q804">
        <v>29</v>
      </c>
      <c r="R804">
        <v>5</v>
      </c>
      <c r="S804">
        <v>32.9</v>
      </c>
      <c r="T804">
        <v>97</v>
      </c>
      <c r="U804">
        <v>67</v>
      </c>
      <c r="V804">
        <v>8111</v>
      </c>
      <c r="W804">
        <v>32.700000000000003</v>
      </c>
      <c r="X804">
        <v>9</v>
      </c>
      <c r="Y804">
        <v>2</v>
      </c>
      <c r="Z804">
        <v>8</v>
      </c>
      <c r="AA804">
        <v>3.3</v>
      </c>
      <c r="AB804">
        <v>2</v>
      </c>
      <c r="AC804">
        <v>277</v>
      </c>
      <c r="AD804">
        <v>19</v>
      </c>
      <c r="AE804">
        <v>13</v>
      </c>
      <c r="AF804">
        <v>271</v>
      </c>
      <c r="AG804">
        <v>150</v>
      </c>
      <c r="AH804">
        <v>182</v>
      </c>
      <c r="AI804">
        <v>58</v>
      </c>
      <c r="AJ804">
        <v>31</v>
      </c>
      <c r="AK804">
        <v>46</v>
      </c>
      <c r="AL804">
        <v>31</v>
      </c>
      <c r="AM804">
        <v>3</v>
      </c>
      <c r="AN804">
        <v>145</v>
      </c>
      <c r="AO804">
        <v>66</v>
      </c>
      <c r="AP804">
        <v>52</v>
      </c>
      <c r="AQ804">
        <v>68</v>
      </c>
      <c r="AR804">
        <v>2647</v>
      </c>
      <c r="AS804">
        <v>4278</v>
      </c>
      <c r="AT804" t="s">
        <v>7</v>
      </c>
      <c r="AU804">
        <v>0.22</v>
      </c>
      <c r="AV804">
        <v>2016</v>
      </c>
      <c r="AW804" s="1">
        <v>45812</v>
      </c>
      <c r="AX804">
        <v>14.6</v>
      </c>
      <c r="AY804" t="s">
        <v>36</v>
      </c>
      <c r="AZ804" t="s">
        <v>37</v>
      </c>
      <c r="BA804" t="s">
        <v>21</v>
      </c>
      <c r="BB804" t="s">
        <v>13</v>
      </c>
      <c r="BC804" t="s">
        <v>7</v>
      </c>
      <c r="BD804">
        <v>1</v>
      </c>
      <c r="BE804" t="s">
        <v>14</v>
      </c>
      <c r="BF804">
        <v>1.21</v>
      </c>
    </row>
    <row r="805" spans="1:58" hidden="1" x14ac:dyDescent="0.2">
      <c r="A805">
        <v>804</v>
      </c>
      <c r="B805" t="s">
        <v>0</v>
      </c>
      <c r="C805">
        <v>45</v>
      </c>
      <c r="D805" t="s">
        <v>28</v>
      </c>
      <c r="E805" t="s">
        <v>128</v>
      </c>
      <c r="F805" t="s">
        <v>40</v>
      </c>
      <c r="G805" t="s">
        <v>4</v>
      </c>
      <c r="H805" t="s">
        <v>23</v>
      </c>
      <c r="I805" t="s">
        <v>115</v>
      </c>
      <c r="J805" t="s">
        <v>6</v>
      </c>
      <c r="K805" t="s">
        <v>13</v>
      </c>
      <c r="L805">
        <v>10.6</v>
      </c>
      <c r="M805">
        <v>7.5</v>
      </c>
      <c r="N805" t="s">
        <v>29</v>
      </c>
      <c r="O805" t="s">
        <v>7</v>
      </c>
      <c r="P805" t="s">
        <v>9</v>
      </c>
      <c r="Q805">
        <v>38</v>
      </c>
      <c r="R805">
        <v>4</v>
      </c>
      <c r="S805">
        <v>20.5</v>
      </c>
      <c r="T805">
        <v>101</v>
      </c>
      <c r="U805">
        <v>71</v>
      </c>
      <c r="V805">
        <v>8168</v>
      </c>
      <c r="W805">
        <v>38.9</v>
      </c>
      <c r="X805">
        <v>1</v>
      </c>
      <c r="Y805">
        <v>2</v>
      </c>
      <c r="Z805">
        <v>10</v>
      </c>
      <c r="AA805">
        <v>1.9</v>
      </c>
      <c r="AB805">
        <v>2</v>
      </c>
      <c r="AC805">
        <v>406</v>
      </c>
      <c r="AD805">
        <v>13</v>
      </c>
      <c r="AE805">
        <v>7</v>
      </c>
      <c r="AF805">
        <v>265</v>
      </c>
      <c r="AG805">
        <v>150</v>
      </c>
      <c r="AH805">
        <v>235</v>
      </c>
      <c r="AI805">
        <v>76</v>
      </c>
      <c r="AJ805">
        <v>55</v>
      </c>
      <c r="AK805">
        <v>54</v>
      </c>
      <c r="AL805">
        <v>46</v>
      </c>
      <c r="AM805">
        <v>13</v>
      </c>
      <c r="AN805">
        <v>171</v>
      </c>
      <c r="AO805">
        <v>74</v>
      </c>
      <c r="AP805">
        <v>48</v>
      </c>
      <c r="AQ805">
        <v>110</v>
      </c>
      <c r="AR805">
        <v>713</v>
      </c>
      <c r="AS805">
        <v>1594</v>
      </c>
      <c r="AT805" t="s">
        <v>13</v>
      </c>
      <c r="AU805">
        <v>0.33</v>
      </c>
      <c r="AV805">
        <v>2016</v>
      </c>
      <c r="AW805" s="1">
        <v>45702</v>
      </c>
      <c r="AX805">
        <v>31.2</v>
      </c>
      <c r="AY805" t="s">
        <v>10</v>
      </c>
      <c r="AZ805" t="s">
        <v>35</v>
      </c>
      <c r="BA805" t="s">
        <v>12</v>
      </c>
      <c r="BB805" t="s">
        <v>13</v>
      </c>
      <c r="BC805" t="s">
        <v>7</v>
      </c>
      <c r="BD805">
        <v>1</v>
      </c>
      <c r="BE805" t="s">
        <v>14</v>
      </c>
      <c r="BF805">
        <v>1</v>
      </c>
    </row>
    <row r="806" spans="1:58" hidden="1" x14ac:dyDescent="0.2">
      <c r="A806">
        <v>805</v>
      </c>
      <c r="B806" t="s">
        <v>0</v>
      </c>
      <c r="C806">
        <v>65</v>
      </c>
      <c r="D806" t="s">
        <v>1</v>
      </c>
      <c r="E806" t="s">
        <v>128</v>
      </c>
      <c r="F806" t="s">
        <v>15</v>
      </c>
      <c r="G806" t="s">
        <v>16</v>
      </c>
      <c r="H806" t="s">
        <v>118</v>
      </c>
      <c r="I806" t="s">
        <v>112</v>
      </c>
      <c r="J806" t="s">
        <v>6</v>
      </c>
      <c r="K806" t="s">
        <v>7</v>
      </c>
      <c r="L806">
        <v>9.4</v>
      </c>
      <c r="M806">
        <v>7.3</v>
      </c>
      <c r="N806" t="s">
        <v>39</v>
      </c>
      <c r="O806" t="s">
        <v>7</v>
      </c>
      <c r="P806" t="s">
        <v>26</v>
      </c>
      <c r="Q806">
        <v>35</v>
      </c>
      <c r="R806">
        <v>1</v>
      </c>
      <c r="S806">
        <v>34.6</v>
      </c>
      <c r="T806">
        <v>126</v>
      </c>
      <c r="U806">
        <v>65</v>
      </c>
      <c r="V806">
        <v>8019</v>
      </c>
      <c r="W806">
        <v>39.299999999999997</v>
      </c>
      <c r="X806">
        <v>3</v>
      </c>
      <c r="Y806">
        <v>0</v>
      </c>
      <c r="Z806">
        <v>11</v>
      </c>
      <c r="AA806">
        <v>2.2999999999999998</v>
      </c>
      <c r="AB806">
        <v>3</v>
      </c>
      <c r="AC806">
        <v>225</v>
      </c>
      <c r="AD806">
        <v>12</v>
      </c>
      <c r="AE806">
        <v>9</v>
      </c>
      <c r="AF806">
        <v>176</v>
      </c>
      <c r="AG806">
        <v>121</v>
      </c>
      <c r="AH806">
        <v>140</v>
      </c>
      <c r="AI806">
        <v>43</v>
      </c>
      <c r="AJ806">
        <v>32</v>
      </c>
      <c r="AK806">
        <v>31</v>
      </c>
      <c r="AL806">
        <v>23</v>
      </c>
      <c r="AM806">
        <v>5</v>
      </c>
      <c r="AN806">
        <v>121</v>
      </c>
      <c r="AO806">
        <v>33</v>
      </c>
      <c r="AP806">
        <v>34</v>
      </c>
      <c r="AQ806">
        <v>85</v>
      </c>
      <c r="AR806">
        <v>346</v>
      </c>
      <c r="AS806">
        <v>749</v>
      </c>
      <c r="AT806" t="s">
        <v>7</v>
      </c>
      <c r="AU806">
        <v>0.05</v>
      </c>
      <c r="AV806">
        <v>2023</v>
      </c>
      <c r="AW806" s="1">
        <v>45778</v>
      </c>
      <c r="AX806">
        <v>18.8</v>
      </c>
      <c r="AY806" t="s">
        <v>45</v>
      </c>
      <c r="AZ806" t="s">
        <v>17</v>
      </c>
      <c r="BA806" t="s">
        <v>21</v>
      </c>
      <c r="BB806" t="s">
        <v>13</v>
      </c>
      <c r="BC806" t="s">
        <v>13</v>
      </c>
      <c r="BD806">
        <v>3</v>
      </c>
      <c r="BE806" t="s">
        <v>49</v>
      </c>
      <c r="BF806">
        <v>1.1200000000000001</v>
      </c>
    </row>
    <row r="807" spans="1:58" hidden="1" x14ac:dyDescent="0.2">
      <c r="A807">
        <v>806</v>
      </c>
      <c r="B807" t="s">
        <v>0</v>
      </c>
      <c r="C807">
        <v>32</v>
      </c>
      <c r="D807" t="s">
        <v>1</v>
      </c>
      <c r="E807" t="s">
        <v>126</v>
      </c>
      <c r="F807" t="s">
        <v>15</v>
      </c>
      <c r="G807" t="s">
        <v>16</v>
      </c>
      <c r="H807" t="s">
        <v>118</v>
      </c>
      <c r="I807" t="s">
        <v>114</v>
      </c>
      <c r="J807" t="s">
        <v>32</v>
      </c>
      <c r="K807" t="s">
        <v>7</v>
      </c>
      <c r="L807">
        <v>20.8</v>
      </c>
      <c r="M807">
        <v>6.9</v>
      </c>
      <c r="N807" t="s">
        <v>29</v>
      </c>
      <c r="O807" t="s">
        <v>7</v>
      </c>
      <c r="P807" t="s">
        <v>9</v>
      </c>
      <c r="Q807">
        <v>7</v>
      </c>
      <c r="R807">
        <v>3</v>
      </c>
      <c r="S807">
        <v>26.5</v>
      </c>
      <c r="T807">
        <v>144</v>
      </c>
      <c r="U807">
        <v>82</v>
      </c>
      <c r="V807">
        <v>8029</v>
      </c>
      <c r="W807">
        <v>39.299999999999997</v>
      </c>
      <c r="X807">
        <v>3</v>
      </c>
      <c r="Y807">
        <v>4</v>
      </c>
      <c r="Z807">
        <v>12</v>
      </c>
      <c r="AA807">
        <v>2.2000000000000002</v>
      </c>
      <c r="AB807">
        <v>2</v>
      </c>
      <c r="AC807">
        <v>127</v>
      </c>
      <c r="AD807">
        <v>5</v>
      </c>
      <c r="AE807">
        <v>2</v>
      </c>
      <c r="AF807">
        <v>106</v>
      </c>
      <c r="AG807">
        <v>76</v>
      </c>
      <c r="AH807">
        <v>92</v>
      </c>
      <c r="AI807">
        <v>20</v>
      </c>
      <c r="AJ807">
        <v>30</v>
      </c>
      <c r="AK807">
        <v>22</v>
      </c>
      <c r="AL807">
        <v>9</v>
      </c>
      <c r="AM807">
        <v>1</v>
      </c>
      <c r="AN807">
        <v>67</v>
      </c>
      <c r="AO807">
        <v>16</v>
      </c>
      <c r="AP807">
        <v>28</v>
      </c>
      <c r="AQ807">
        <v>31</v>
      </c>
      <c r="AR807">
        <v>884</v>
      </c>
      <c r="AS807">
        <v>392</v>
      </c>
      <c r="AT807" t="s">
        <v>7</v>
      </c>
      <c r="AU807">
        <v>0.02</v>
      </c>
      <c r="AV807">
        <v>2013</v>
      </c>
      <c r="AW807" s="1">
        <v>45932</v>
      </c>
      <c r="AX807">
        <v>25.4</v>
      </c>
      <c r="AY807" t="s">
        <v>10</v>
      </c>
      <c r="AZ807" t="s">
        <v>35</v>
      </c>
      <c r="BA807" t="s">
        <v>122</v>
      </c>
      <c r="BB807" t="s">
        <v>7</v>
      </c>
      <c r="BC807" t="s">
        <v>7</v>
      </c>
      <c r="BD807">
        <v>5</v>
      </c>
      <c r="BE807" t="s">
        <v>49</v>
      </c>
      <c r="BF807">
        <v>1.08</v>
      </c>
    </row>
    <row r="808" spans="1:58" hidden="1" x14ac:dyDescent="0.2">
      <c r="A808">
        <v>807</v>
      </c>
      <c r="B808" t="s">
        <v>0</v>
      </c>
      <c r="C808">
        <v>25</v>
      </c>
      <c r="D808" t="s">
        <v>28</v>
      </c>
      <c r="E808" t="s">
        <v>47</v>
      </c>
      <c r="F808" t="s">
        <v>3</v>
      </c>
      <c r="G808" t="s">
        <v>116</v>
      </c>
      <c r="H808" t="s">
        <v>118</v>
      </c>
      <c r="I808" t="s">
        <v>114</v>
      </c>
      <c r="J808" t="s">
        <v>123</v>
      </c>
      <c r="K808" t="s">
        <v>7</v>
      </c>
      <c r="L808">
        <v>11</v>
      </c>
      <c r="M808">
        <v>6.7</v>
      </c>
      <c r="N808" t="s">
        <v>8</v>
      </c>
      <c r="O808" t="s">
        <v>7</v>
      </c>
      <c r="P808" t="s">
        <v>121</v>
      </c>
      <c r="Q808">
        <v>0</v>
      </c>
      <c r="R808">
        <v>3</v>
      </c>
      <c r="S808">
        <v>23.3</v>
      </c>
      <c r="T808">
        <v>91</v>
      </c>
      <c r="U808">
        <v>89</v>
      </c>
      <c r="V808">
        <v>8061</v>
      </c>
      <c r="W808">
        <v>43.7</v>
      </c>
      <c r="X808">
        <v>3</v>
      </c>
      <c r="Y808">
        <v>1</v>
      </c>
      <c r="Z808">
        <v>8</v>
      </c>
      <c r="AA808">
        <v>3.1</v>
      </c>
      <c r="AB808">
        <v>6</v>
      </c>
      <c r="AC808">
        <v>48</v>
      </c>
      <c r="AD808">
        <v>2</v>
      </c>
      <c r="AE808">
        <v>2</v>
      </c>
      <c r="AF808">
        <v>163</v>
      </c>
      <c r="AG808">
        <v>57</v>
      </c>
      <c r="AH808">
        <v>54</v>
      </c>
      <c r="AI808">
        <v>16</v>
      </c>
      <c r="AJ808">
        <v>12</v>
      </c>
      <c r="AK808">
        <v>12</v>
      </c>
      <c r="AL808">
        <v>4</v>
      </c>
      <c r="AM808">
        <v>4</v>
      </c>
      <c r="AN808">
        <v>26</v>
      </c>
      <c r="AO808">
        <v>13</v>
      </c>
      <c r="AP808">
        <v>12</v>
      </c>
      <c r="AQ808">
        <v>10</v>
      </c>
      <c r="AR808">
        <v>7186</v>
      </c>
      <c r="AS808">
        <v>10000</v>
      </c>
      <c r="AT808" t="s">
        <v>13</v>
      </c>
      <c r="AU808">
        <v>0.51</v>
      </c>
      <c r="AV808">
        <v>2018</v>
      </c>
      <c r="AW808" s="1">
        <v>45683</v>
      </c>
      <c r="AX808">
        <v>24</v>
      </c>
      <c r="AY808" t="s">
        <v>10</v>
      </c>
      <c r="AZ808" t="s">
        <v>48</v>
      </c>
      <c r="BA808" t="s">
        <v>12</v>
      </c>
      <c r="BB808" t="s">
        <v>7</v>
      </c>
      <c r="BC808" t="s">
        <v>13</v>
      </c>
      <c r="BD808">
        <v>1</v>
      </c>
      <c r="BE808" t="s">
        <v>14</v>
      </c>
      <c r="BF808">
        <v>1.88</v>
      </c>
    </row>
    <row r="809" spans="1:58" hidden="1" x14ac:dyDescent="0.2">
      <c r="A809">
        <v>808</v>
      </c>
      <c r="B809" t="s">
        <v>0</v>
      </c>
      <c r="C809">
        <v>40</v>
      </c>
      <c r="D809" t="s">
        <v>1</v>
      </c>
      <c r="E809" t="s">
        <v>2</v>
      </c>
      <c r="F809" t="s">
        <v>40</v>
      </c>
      <c r="G809" t="s">
        <v>38</v>
      </c>
      <c r="H809" t="s">
        <v>118</v>
      </c>
      <c r="I809" t="s">
        <v>112</v>
      </c>
      <c r="J809" t="s">
        <v>32</v>
      </c>
      <c r="K809" t="s">
        <v>13</v>
      </c>
      <c r="L809">
        <v>10.4</v>
      </c>
      <c r="M809">
        <v>4.7</v>
      </c>
      <c r="N809" t="s">
        <v>8</v>
      </c>
      <c r="O809" t="s">
        <v>7</v>
      </c>
      <c r="P809" t="s">
        <v>121</v>
      </c>
      <c r="Q809">
        <v>12</v>
      </c>
      <c r="R809">
        <v>9</v>
      </c>
      <c r="S809">
        <v>28.2</v>
      </c>
      <c r="T809">
        <v>153</v>
      </c>
      <c r="U809">
        <v>79</v>
      </c>
      <c r="V809">
        <v>7945</v>
      </c>
      <c r="W809">
        <v>56</v>
      </c>
      <c r="X809">
        <v>3</v>
      </c>
      <c r="Y809">
        <v>4</v>
      </c>
      <c r="Z809">
        <v>10</v>
      </c>
      <c r="AA809">
        <v>7.3</v>
      </c>
      <c r="AB809">
        <v>1</v>
      </c>
      <c r="AC809">
        <v>78</v>
      </c>
      <c r="AD809">
        <v>2</v>
      </c>
      <c r="AE809">
        <v>1</v>
      </c>
      <c r="AF809">
        <v>81</v>
      </c>
      <c r="AG809">
        <v>53</v>
      </c>
      <c r="AH809">
        <v>70</v>
      </c>
      <c r="AI809">
        <v>13</v>
      </c>
      <c r="AJ809">
        <v>10</v>
      </c>
      <c r="AK809">
        <v>24</v>
      </c>
      <c r="AL809">
        <v>14</v>
      </c>
      <c r="AM809">
        <v>5</v>
      </c>
      <c r="AN809">
        <v>37</v>
      </c>
      <c r="AO809">
        <v>13</v>
      </c>
      <c r="AP809">
        <v>15</v>
      </c>
      <c r="AQ809">
        <v>18</v>
      </c>
      <c r="AR809">
        <v>259</v>
      </c>
      <c r="AS809">
        <v>594</v>
      </c>
      <c r="AT809" t="s">
        <v>7</v>
      </c>
      <c r="AU809">
        <v>0.8</v>
      </c>
      <c r="AV809">
        <v>2016</v>
      </c>
      <c r="AW809" s="1">
        <v>45811</v>
      </c>
      <c r="AX809">
        <v>39</v>
      </c>
      <c r="AY809" t="s">
        <v>36</v>
      </c>
      <c r="AZ809" t="s">
        <v>20</v>
      </c>
      <c r="BA809" t="s">
        <v>12</v>
      </c>
      <c r="BB809" t="s">
        <v>7</v>
      </c>
      <c r="BC809" t="s">
        <v>13</v>
      </c>
      <c r="BD809">
        <v>3</v>
      </c>
      <c r="BE809" t="s">
        <v>14</v>
      </c>
      <c r="BF809">
        <v>1.25</v>
      </c>
    </row>
    <row r="810" spans="1:58" hidden="1" x14ac:dyDescent="0.2">
      <c r="A810">
        <v>809</v>
      </c>
      <c r="B810" t="s">
        <v>0</v>
      </c>
      <c r="C810">
        <v>60</v>
      </c>
      <c r="D810" t="s">
        <v>1</v>
      </c>
      <c r="E810" t="s">
        <v>2</v>
      </c>
      <c r="F810" t="s">
        <v>3</v>
      </c>
      <c r="G810" t="s">
        <v>117</v>
      </c>
      <c r="H810" t="s">
        <v>118</v>
      </c>
      <c r="I810" t="s">
        <v>112</v>
      </c>
      <c r="J810" t="s">
        <v>6</v>
      </c>
      <c r="K810" t="s">
        <v>7</v>
      </c>
      <c r="L810">
        <v>1</v>
      </c>
      <c r="M810">
        <v>7</v>
      </c>
      <c r="N810" t="s">
        <v>29</v>
      </c>
      <c r="O810" t="s">
        <v>7</v>
      </c>
      <c r="P810" t="s">
        <v>26</v>
      </c>
      <c r="Q810">
        <v>18</v>
      </c>
      <c r="R810">
        <v>4</v>
      </c>
      <c r="S810">
        <v>28.7</v>
      </c>
      <c r="T810">
        <v>99</v>
      </c>
      <c r="U810">
        <v>75</v>
      </c>
      <c r="V810">
        <v>7848</v>
      </c>
      <c r="W810">
        <v>28.7</v>
      </c>
      <c r="X810">
        <v>1</v>
      </c>
      <c r="Y810">
        <v>3</v>
      </c>
      <c r="Z810">
        <v>12</v>
      </c>
      <c r="AA810">
        <v>0.5</v>
      </c>
      <c r="AB810">
        <v>0</v>
      </c>
      <c r="AC810">
        <v>139</v>
      </c>
      <c r="AD810">
        <v>5</v>
      </c>
      <c r="AE810">
        <v>2</v>
      </c>
      <c r="AF810">
        <v>132</v>
      </c>
      <c r="AG810">
        <v>84</v>
      </c>
      <c r="AH810">
        <v>98</v>
      </c>
      <c r="AI810">
        <v>28</v>
      </c>
      <c r="AJ810">
        <v>29</v>
      </c>
      <c r="AK810">
        <v>33</v>
      </c>
      <c r="AL810">
        <v>13</v>
      </c>
      <c r="AM810">
        <v>4</v>
      </c>
      <c r="AN810">
        <v>74</v>
      </c>
      <c r="AO810">
        <v>27</v>
      </c>
      <c r="AP810">
        <v>16</v>
      </c>
      <c r="AQ810">
        <v>32</v>
      </c>
      <c r="AR810">
        <v>475</v>
      </c>
      <c r="AS810">
        <v>1055</v>
      </c>
      <c r="AT810" t="s">
        <v>7</v>
      </c>
      <c r="AU810">
        <v>0.37</v>
      </c>
      <c r="AV810">
        <v>2016</v>
      </c>
      <c r="AW810" s="1">
        <v>45837</v>
      </c>
      <c r="AX810">
        <v>27.8</v>
      </c>
      <c r="AY810" t="s">
        <v>30</v>
      </c>
      <c r="AZ810" t="s">
        <v>20</v>
      </c>
      <c r="BA810" t="s">
        <v>12</v>
      </c>
      <c r="BB810" t="s">
        <v>7</v>
      </c>
      <c r="BC810" t="s">
        <v>7</v>
      </c>
      <c r="BD810">
        <v>3</v>
      </c>
      <c r="BE810" t="s">
        <v>43</v>
      </c>
      <c r="BF810">
        <v>1.1399999999999999</v>
      </c>
    </row>
    <row r="811" spans="1:58" hidden="1" x14ac:dyDescent="0.2">
      <c r="A811">
        <v>810</v>
      </c>
      <c r="B811" t="s">
        <v>0</v>
      </c>
      <c r="C811">
        <v>41</v>
      </c>
      <c r="D811" t="s">
        <v>28</v>
      </c>
      <c r="E811" t="s">
        <v>50</v>
      </c>
      <c r="F811" t="s">
        <v>40</v>
      </c>
      <c r="G811" t="s">
        <v>38</v>
      </c>
      <c r="H811" t="s">
        <v>118</v>
      </c>
      <c r="I811" t="s">
        <v>17</v>
      </c>
      <c r="J811" t="s">
        <v>123</v>
      </c>
      <c r="K811" t="s">
        <v>7</v>
      </c>
      <c r="L811">
        <v>19.5</v>
      </c>
      <c r="M811">
        <v>6.7</v>
      </c>
      <c r="N811" t="s">
        <v>25</v>
      </c>
      <c r="O811" t="s">
        <v>7</v>
      </c>
      <c r="P811" t="s">
        <v>46</v>
      </c>
      <c r="Q811">
        <v>40</v>
      </c>
      <c r="R811">
        <v>6</v>
      </c>
      <c r="S811">
        <v>23.6</v>
      </c>
      <c r="T811">
        <v>119</v>
      </c>
      <c r="U811">
        <v>78</v>
      </c>
      <c r="V811">
        <v>7914</v>
      </c>
      <c r="W811">
        <v>36.299999999999997</v>
      </c>
      <c r="X811">
        <v>7</v>
      </c>
      <c r="Y811">
        <v>5</v>
      </c>
      <c r="Z811">
        <v>5</v>
      </c>
      <c r="AA811">
        <v>3.2</v>
      </c>
      <c r="AB811">
        <v>2</v>
      </c>
      <c r="AC811">
        <v>280</v>
      </c>
      <c r="AD811">
        <v>31</v>
      </c>
      <c r="AE811">
        <v>3</v>
      </c>
      <c r="AF811">
        <v>216</v>
      </c>
      <c r="AG811">
        <v>127</v>
      </c>
      <c r="AH811">
        <v>181</v>
      </c>
      <c r="AI811">
        <v>42</v>
      </c>
      <c r="AJ811">
        <v>41</v>
      </c>
      <c r="AK811">
        <v>39</v>
      </c>
      <c r="AL811">
        <v>30</v>
      </c>
      <c r="AM811">
        <v>4</v>
      </c>
      <c r="AN811">
        <v>114</v>
      </c>
      <c r="AO811">
        <v>51</v>
      </c>
      <c r="AP811">
        <v>30</v>
      </c>
      <c r="AQ811">
        <v>57</v>
      </c>
      <c r="AR811">
        <v>1385</v>
      </c>
      <c r="AS811">
        <v>2006</v>
      </c>
      <c r="AT811" t="s">
        <v>7</v>
      </c>
      <c r="AU811">
        <v>0.19</v>
      </c>
      <c r="AV811">
        <v>2014</v>
      </c>
      <c r="AW811" s="1">
        <v>45690</v>
      </c>
      <c r="AX811">
        <v>9</v>
      </c>
      <c r="AY811" t="s">
        <v>27</v>
      </c>
      <c r="AZ811" t="s">
        <v>48</v>
      </c>
      <c r="BA811" t="s">
        <v>122</v>
      </c>
      <c r="BB811" t="s">
        <v>13</v>
      </c>
      <c r="BC811" t="s">
        <v>13</v>
      </c>
      <c r="BD811">
        <v>4</v>
      </c>
      <c r="BE811" t="s">
        <v>14</v>
      </c>
      <c r="BF811">
        <v>0.98</v>
      </c>
    </row>
    <row r="812" spans="1:58" hidden="1" x14ac:dyDescent="0.2">
      <c r="A812">
        <v>811</v>
      </c>
      <c r="B812" t="s">
        <v>0</v>
      </c>
      <c r="C812">
        <v>25</v>
      </c>
      <c r="D812" t="s">
        <v>28</v>
      </c>
      <c r="E812" t="s">
        <v>47</v>
      </c>
      <c r="F812" t="s">
        <v>40</v>
      </c>
      <c r="G812" t="s">
        <v>16</v>
      </c>
      <c r="H812" t="s">
        <v>24</v>
      </c>
      <c r="I812" t="s">
        <v>113</v>
      </c>
      <c r="J812" t="s">
        <v>123</v>
      </c>
      <c r="K812" t="s">
        <v>13</v>
      </c>
      <c r="L812">
        <v>4.5999999999999996</v>
      </c>
      <c r="M812">
        <v>6.8</v>
      </c>
      <c r="N812" t="s">
        <v>29</v>
      </c>
      <c r="O812" t="s">
        <v>7</v>
      </c>
      <c r="P812" t="s">
        <v>52</v>
      </c>
      <c r="Q812">
        <v>15</v>
      </c>
      <c r="R812">
        <v>3</v>
      </c>
      <c r="S812">
        <v>27.6</v>
      </c>
      <c r="T812">
        <v>139</v>
      </c>
      <c r="U812">
        <v>72</v>
      </c>
      <c r="V812">
        <v>7951</v>
      </c>
      <c r="W812">
        <v>19.600000000000001</v>
      </c>
      <c r="X812">
        <v>2</v>
      </c>
      <c r="Y812">
        <v>3</v>
      </c>
      <c r="Z812">
        <v>12</v>
      </c>
      <c r="AA812">
        <v>1.6</v>
      </c>
      <c r="AB812">
        <v>3</v>
      </c>
      <c r="AC812">
        <v>233</v>
      </c>
      <c r="AD812">
        <v>8</v>
      </c>
      <c r="AE812">
        <v>10</v>
      </c>
      <c r="AF812">
        <v>275</v>
      </c>
      <c r="AG812">
        <v>113</v>
      </c>
      <c r="AH812">
        <v>130</v>
      </c>
      <c r="AI812">
        <v>41</v>
      </c>
      <c r="AJ812">
        <v>33</v>
      </c>
      <c r="AK812">
        <v>35</v>
      </c>
      <c r="AL812">
        <v>23</v>
      </c>
      <c r="AM812">
        <v>3</v>
      </c>
      <c r="AN812">
        <v>128</v>
      </c>
      <c r="AO812">
        <v>53</v>
      </c>
      <c r="AP812">
        <v>30</v>
      </c>
      <c r="AQ812">
        <v>50</v>
      </c>
      <c r="AR812">
        <v>637</v>
      </c>
      <c r="AS812">
        <v>1263</v>
      </c>
      <c r="AT812" t="s">
        <v>7</v>
      </c>
      <c r="AU812">
        <v>0.51</v>
      </c>
      <c r="AV812">
        <v>2017</v>
      </c>
      <c r="AW812" s="1">
        <v>45775</v>
      </c>
      <c r="AX812">
        <v>29.1</v>
      </c>
      <c r="AY812" t="s">
        <v>30</v>
      </c>
      <c r="AZ812" t="s">
        <v>20</v>
      </c>
      <c r="BA812" t="s">
        <v>12</v>
      </c>
      <c r="BB812" t="s">
        <v>13</v>
      </c>
      <c r="BC812" t="s">
        <v>7</v>
      </c>
      <c r="BD812">
        <v>2</v>
      </c>
      <c r="BE812" t="s">
        <v>14</v>
      </c>
      <c r="BF812">
        <v>1.03</v>
      </c>
    </row>
    <row r="813" spans="1:58" hidden="1" x14ac:dyDescent="0.2">
      <c r="A813">
        <v>812</v>
      </c>
      <c r="B813" t="s">
        <v>0</v>
      </c>
      <c r="C813">
        <v>58</v>
      </c>
      <c r="D813" t="s">
        <v>1</v>
      </c>
      <c r="E813" t="s">
        <v>128</v>
      </c>
      <c r="F813" t="s">
        <v>3</v>
      </c>
      <c r="G813" t="s">
        <v>117</v>
      </c>
      <c r="H813" t="s">
        <v>34</v>
      </c>
      <c r="I813" t="s">
        <v>112</v>
      </c>
      <c r="J813" t="s">
        <v>6</v>
      </c>
      <c r="K813" t="s">
        <v>13</v>
      </c>
      <c r="L813">
        <v>1</v>
      </c>
      <c r="M813">
        <v>5.7</v>
      </c>
      <c r="N813" t="s">
        <v>29</v>
      </c>
      <c r="O813" t="s">
        <v>7</v>
      </c>
      <c r="P813" t="s">
        <v>46</v>
      </c>
      <c r="Q813">
        <v>11</v>
      </c>
      <c r="R813">
        <v>5</v>
      </c>
      <c r="S813">
        <v>25.4</v>
      </c>
      <c r="T813">
        <v>128</v>
      </c>
      <c r="U813">
        <v>74</v>
      </c>
      <c r="V813">
        <v>8019</v>
      </c>
      <c r="W813">
        <v>19.8</v>
      </c>
      <c r="X813">
        <v>4</v>
      </c>
      <c r="Y813">
        <v>6</v>
      </c>
      <c r="Z813">
        <v>12</v>
      </c>
      <c r="AA813">
        <v>1.9</v>
      </c>
      <c r="AB813">
        <v>4</v>
      </c>
      <c r="AC813">
        <v>64</v>
      </c>
      <c r="AD813">
        <v>3</v>
      </c>
      <c r="AE813">
        <v>1</v>
      </c>
      <c r="AF813">
        <v>66</v>
      </c>
      <c r="AG813">
        <v>40</v>
      </c>
      <c r="AH813">
        <v>61</v>
      </c>
      <c r="AI813">
        <v>10</v>
      </c>
      <c r="AJ813">
        <v>24</v>
      </c>
      <c r="AK813">
        <v>22</v>
      </c>
      <c r="AL813">
        <v>11</v>
      </c>
      <c r="AM813">
        <v>2</v>
      </c>
      <c r="AN813">
        <v>26</v>
      </c>
      <c r="AO813">
        <v>17</v>
      </c>
      <c r="AP813">
        <v>14</v>
      </c>
      <c r="AQ813">
        <v>20</v>
      </c>
      <c r="AR813">
        <v>316</v>
      </c>
      <c r="AS813">
        <v>257</v>
      </c>
      <c r="AT813" t="s">
        <v>13</v>
      </c>
      <c r="AU813">
        <v>0.87</v>
      </c>
      <c r="AV813">
        <v>2013</v>
      </c>
      <c r="AW813" s="1">
        <v>45811</v>
      </c>
      <c r="AX813">
        <v>21.3</v>
      </c>
      <c r="AY813" t="s">
        <v>30</v>
      </c>
      <c r="AZ813" t="s">
        <v>17</v>
      </c>
      <c r="BA813" t="s">
        <v>122</v>
      </c>
      <c r="BB813" t="s">
        <v>13</v>
      </c>
      <c r="BC813" t="s">
        <v>7</v>
      </c>
      <c r="BD813">
        <v>2</v>
      </c>
      <c r="BE813" t="s">
        <v>14</v>
      </c>
      <c r="BF813">
        <v>1.29</v>
      </c>
    </row>
    <row r="814" spans="1:58" hidden="1" x14ac:dyDescent="0.2">
      <c r="A814">
        <v>813</v>
      </c>
      <c r="B814" t="s">
        <v>0</v>
      </c>
      <c r="C814">
        <v>47</v>
      </c>
      <c r="D814" t="s">
        <v>1</v>
      </c>
      <c r="E814" t="s">
        <v>128</v>
      </c>
      <c r="F814" t="s">
        <v>3</v>
      </c>
      <c r="G814" t="s">
        <v>38</v>
      </c>
      <c r="H814" t="s">
        <v>119</v>
      </c>
      <c r="I814" t="s">
        <v>115</v>
      </c>
      <c r="J814" t="s">
        <v>6</v>
      </c>
      <c r="K814" t="s">
        <v>7</v>
      </c>
      <c r="L814">
        <v>3</v>
      </c>
      <c r="M814">
        <v>6.9</v>
      </c>
      <c r="N814" t="s">
        <v>29</v>
      </c>
      <c r="O814" t="s">
        <v>13</v>
      </c>
      <c r="P814" t="s">
        <v>9</v>
      </c>
      <c r="Q814">
        <v>1</v>
      </c>
      <c r="R814">
        <v>7</v>
      </c>
      <c r="S814">
        <v>25.4</v>
      </c>
      <c r="T814">
        <v>106</v>
      </c>
      <c r="U814">
        <v>72</v>
      </c>
      <c r="V814">
        <v>8101</v>
      </c>
      <c r="W814">
        <v>50.6</v>
      </c>
      <c r="X814">
        <v>7</v>
      </c>
      <c r="Y814">
        <v>3</v>
      </c>
      <c r="Z814">
        <v>7</v>
      </c>
      <c r="AA814">
        <v>0.9</v>
      </c>
      <c r="AB814">
        <v>4</v>
      </c>
      <c r="AC814">
        <v>5</v>
      </c>
      <c r="AD814">
        <v>1</v>
      </c>
      <c r="AE814">
        <v>3</v>
      </c>
      <c r="AF814">
        <v>45</v>
      </c>
      <c r="AG814">
        <v>24</v>
      </c>
      <c r="AH814">
        <v>24</v>
      </c>
      <c r="AI814">
        <v>7</v>
      </c>
      <c r="AJ814">
        <v>8</v>
      </c>
      <c r="AK814">
        <v>6</v>
      </c>
      <c r="AL814">
        <v>6</v>
      </c>
      <c r="AM814">
        <v>1</v>
      </c>
      <c r="AN814">
        <v>2</v>
      </c>
      <c r="AO814">
        <v>1</v>
      </c>
      <c r="AP814">
        <v>1</v>
      </c>
      <c r="AQ814">
        <v>2</v>
      </c>
      <c r="AR814">
        <v>289</v>
      </c>
      <c r="AS814">
        <v>140</v>
      </c>
      <c r="AT814" t="s">
        <v>7</v>
      </c>
      <c r="AU814">
        <v>0.37</v>
      </c>
      <c r="AV814">
        <v>2024</v>
      </c>
      <c r="AW814" s="1">
        <v>46025</v>
      </c>
      <c r="AX814">
        <v>5</v>
      </c>
      <c r="AY814" t="s">
        <v>30</v>
      </c>
      <c r="AZ814" t="s">
        <v>37</v>
      </c>
      <c r="BA814" t="s">
        <v>21</v>
      </c>
      <c r="BB814" t="s">
        <v>13</v>
      </c>
      <c r="BC814" t="s">
        <v>7</v>
      </c>
      <c r="BD814">
        <v>5</v>
      </c>
      <c r="BE814" t="s">
        <v>14</v>
      </c>
      <c r="BF814">
        <v>7.83</v>
      </c>
    </row>
    <row r="815" spans="1:58" hidden="1" x14ac:dyDescent="0.2">
      <c r="A815">
        <v>814</v>
      </c>
      <c r="B815" t="s">
        <v>0</v>
      </c>
      <c r="C815">
        <v>18</v>
      </c>
      <c r="D815" t="s">
        <v>28</v>
      </c>
      <c r="E815" t="s">
        <v>126</v>
      </c>
      <c r="F815" t="s">
        <v>40</v>
      </c>
      <c r="G815" t="s">
        <v>117</v>
      </c>
      <c r="H815" t="s">
        <v>119</v>
      </c>
      <c r="I815" t="s">
        <v>113</v>
      </c>
      <c r="J815" t="s">
        <v>18</v>
      </c>
      <c r="K815" t="s">
        <v>7</v>
      </c>
      <c r="L815">
        <v>2.1</v>
      </c>
      <c r="M815">
        <v>7.3</v>
      </c>
      <c r="N815" t="s">
        <v>29</v>
      </c>
      <c r="O815" t="s">
        <v>7</v>
      </c>
      <c r="P815" t="s">
        <v>9</v>
      </c>
      <c r="Q815">
        <v>9</v>
      </c>
      <c r="R815">
        <v>5</v>
      </c>
      <c r="S815">
        <v>17</v>
      </c>
      <c r="T815">
        <v>98</v>
      </c>
      <c r="U815">
        <v>82</v>
      </c>
      <c r="V815">
        <v>7913</v>
      </c>
      <c r="W815">
        <v>33.4</v>
      </c>
      <c r="X815">
        <v>2</v>
      </c>
      <c r="Y815">
        <v>3</v>
      </c>
      <c r="Z815">
        <v>10</v>
      </c>
      <c r="AA815">
        <v>0.3</v>
      </c>
      <c r="AB815">
        <v>3</v>
      </c>
      <c r="AC815">
        <v>117</v>
      </c>
      <c r="AD815">
        <v>5</v>
      </c>
      <c r="AE815">
        <v>11</v>
      </c>
      <c r="AF815">
        <v>183</v>
      </c>
      <c r="AG815">
        <v>71</v>
      </c>
      <c r="AH815">
        <v>77</v>
      </c>
      <c r="AI815">
        <v>24</v>
      </c>
      <c r="AJ815">
        <v>19</v>
      </c>
      <c r="AK815">
        <v>18</v>
      </c>
      <c r="AL815">
        <v>15</v>
      </c>
      <c r="AM815">
        <v>1</v>
      </c>
      <c r="AN815">
        <v>62</v>
      </c>
      <c r="AO815">
        <v>14</v>
      </c>
      <c r="AP815">
        <v>12</v>
      </c>
      <c r="AQ815">
        <v>30</v>
      </c>
      <c r="AR815">
        <v>2573</v>
      </c>
      <c r="AS815">
        <v>2283</v>
      </c>
      <c r="AT815" t="s">
        <v>7</v>
      </c>
      <c r="AU815">
        <v>0.35</v>
      </c>
      <c r="AV815">
        <v>2018</v>
      </c>
      <c r="AW815" s="1">
        <v>45846</v>
      </c>
      <c r="AX815">
        <v>23.4</v>
      </c>
      <c r="AY815" t="s">
        <v>30</v>
      </c>
      <c r="AZ815" t="s">
        <v>20</v>
      </c>
      <c r="BA815" t="s">
        <v>122</v>
      </c>
      <c r="BB815" t="s">
        <v>13</v>
      </c>
      <c r="BC815" t="s">
        <v>7</v>
      </c>
      <c r="BD815">
        <v>3</v>
      </c>
      <c r="BE815" t="s">
        <v>14</v>
      </c>
      <c r="BF815">
        <v>1.34</v>
      </c>
    </row>
    <row r="816" spans="1:58" hidden="1" x14ac:dyDescent="0.2">
      <c r="A816">
        <v>815</v>
      </c>
      <c r="B816" t="s">
        <v>0</v>
      </c>
      <c r="C816">
        <v>30</v>
      </c>
      <c r="D816" t="s">
        <v>1</v>
      </c>
      <c r="E816" t="s">
        <v>128</v>
      </c>
      <c r="F816" t="s">
        <v>15</v>
      </c>
      <c r="G816" t="s">
        <v>117</v>
      </c>
      <c r="H816" t="s">
        <v>118</v>
      </c>
      <c r="I816" t="s">
        <v>112</v>
      </c>
      <c r="J816" t="s">
        <v>32</v>
      </c>
      <c r="K816" t="s">
        <v>7</v>
      </c>
      <c r="L816">
        <v>6.9</v>
      </c>
      <c r="M816">
        <v>9.6</v>
      </c>
      <c r="N816" t="s">
        <v>29</v>
      </c>
      <c r="O816" t="s">
        <v>7</v>
      </c>
      <c r="P816" t="s">
        <v>52</v>
      </c>
      <c r="Q816">
        <v>14</v>
      </c>
      <c r="R816">
        <v>3</v>
      </c>
      <c r="S816">
        <v>25.3</v>
      </c>
      <c r="T816">
        <v>127</v>
      </c>
      <c r="U816">
        <v>62</v>
      </c>
      <c r="V816">
        <v>8164</v>
      </c>
      <c r="W816">
        <v>42.1</v>
      </c>
      <c r="X816">
        <v>3</v>
      </c>
      <c r="Y816">
        <v>4</v>
      </c>
      <c r="Z816">
        <v>10</v>
      </c>
      <c r="AA816">
        <v>5.3</v>
      </c>
      <c r="AB816">
        <v>6</v>
      </c>
      <c r="AC816">
        <v>190</v>
      </c>
      <c r="AD816">
        <v>14</v>
      </c>
      <c r="AE816">
        <v>4</v>
      </c>
      <c r="AF816">
        <v>148</v>
      </c>
      <c r="AG816">
        <v>100</v>
      </c>
      <c r="AH816">
        <v>117</v>
      </c>
      <c r="AI816">
        <v>30</v>
      </c>
      <c r="AJ816">
        <v>35</v>
      </c>
      <c r="AK816">
        <v>37</v>
      </c>
      <c r="AL816">
        <v>19</v>
      </c>
      <c r="AM816">
        <v>4</v>
      </c>
      <c r="AN816">
        <v>106</v>
      </c>
      <c r="AO816">
        <v>34</v>
      </c>
      <c r="AP816">
        <v>45</v>
      </c>
      <c r="AQ816">
        <v>62</v>
      </c>
      <c r="AR816">
        <v>3963</v>
      </c>
      <c r="AS816">
        <v>2132</v>
      </c>
      <c r="AT816" t="s">
        <v>7</v>
      </c>
      <c r="AU816">
        <v>0.9</v>
      </c>
      <c r="AV816">
        <v>2018</v>
      </c>
      <c r="AW816" s="1">
        <v>45855</v>
      </c>
      <c r="AX816">
        <v>13.6</v>
      </c>
      <c r="AY816" t="s">
        <v>19</v>
      </c>
      <c r="AZ816" t="s">
        <v>20</v>
      </c>
      <c r="BA816" t="s">
        <v>122</v>
      </c>
      <c r="BB816" t="s">
        <v>13</v>
      </c>
      <c r="BC816" t="s">
        <v>7</v>
      </c>
      <c r="BD816">
        <v>1</v>
      </c>
      <c r="BE816" t="s">
        <v>14</v>
      </c>
      <c r="BF816">
        <v>0.99</v>
      </c>
    </row>
    <row r="817" spans="1:58" hidden="1" x14ac:dyDescent="0.2">
      <c r="A817">
        <v>816</v>
      </c>
      <c r="B817" t="s">
        <v>0</v>
      </c>
      <c r="C817">
        <v>63</v>
      </c>
      <c r="D817" t="s">
        <v>1</v>
      </c>
      <c r="E817" t="s">
        <v>128</v>
      </c>
      <c r="F817" t="s">
        <v>3</v>
      </c>
      <c r="G817" t="s">
        <v>38</v>
      </c>
      <c r="H817" t="s">
        <v>118</v>
      </c>
      <c r="I817" t="s">
        <v>114</v>
      </c>
      <c r="J817" t="s">
        <v>18</v>
      </c>
      <c r="K817" t="s">
        <v>13</v>
      </c>
      <c r="L817">
        <v>7.5</v>
      </c>
      <c r="M817">
        <v>8</v>
      </c>
      <c r="N817" t="s">
        <v>29</v>
      </c>
      <c r="O817" t="s">
        <v>7</v>
      </c>
      <c r="P817" t="s">
        <v>9</v>
      </c>
      <c r="Q817">
        <v>39</v>
      </c>
      <c r="R817">
        <v>8</v>
      </c>
      <c r="S817">
        <v>29.3</v>
      </c>
      <c r="T817">
        <v>134</v>
      </c>
      <c r="U817">
        <v>65</v>
      </c>
      <c r="V817">
        <v>7892</v>
      </c>
      <c r="W817">
        <v>53.5</v>
      </c>
      <c r="X817">
        <v>3</v>
      </c>
      <c r="Y817">
        <v>5</v>
      </c>
      <c r="Z817">
        <v>11</v>
      </c>
      <c r="AA817">
        <v>1</v>
      </c>
      <c r="AB817">
        <v>2</v>
      </c>
      <c r="AC817">
        <v>336</v>
      </c>
      <c r="AD817">
        <v>13</v>
      </c>
      <c r="AE817">
        <v>5</v>
      </c>
      <c r="AF817">
        <v>231</v>
      </c>
      <c r="AG817">
        <v>132</v>
      </c>
      <c r="AH817">
        <v>194</v>
      </c>
      <c r="AI817">
        <v>56</v>
      </c>
      <c r="AJ817">
        <v>60</v>
      </c>
      <c r="AK817">
        <v>43</v>
      </c>
      <c r="AL817">
        <v>43</v>
      </c>
      <c r="AM817">
        <v>11</v>
      </c>
      <c r="AN817">
        <v>200</v>
      </c>
      <c r="AO817">
        <v>81</v>
      </c>
      <c r="AP817">
        <v>52</v>
      </c>
      <c r="AQ817">
        <v>112</v>
      </c>
      <c r="AR817">
        <v>7996</v>
      </c>
      <c r="AS817">
        <v>10000</v>
      </c>
      <c r="AT817" t="s">
        <v>7</v>
      </c>
      <c r="AU817">
        <v>0.4</v>
      </c>
      <c r="AV817">
        <v>2012</v>
      </c>
      <c r="AW817" s="1">
        <v>45691</v>
      </c>
      <c r="AX817">
        <v>25.8</v>
      </c>
      <c r="AY817" t="s">
        <v>19</v>
      </c>
      <c r="AZ817" t="s">
        <v>31</v>
      </c>
      <c r="BA817" t="s">
        <v>12</v>
      </c>
      <c r="BB817" t="s">
        <v>7</v>
      </c>
      <c r="BC817" t="s">
        <v>13</v>
      </c>
      <c r="BD817">
        <v>1</v>
      </c>
      <c r="BE817" t="s">
        <v>14</v>
      </c>
      <c r="BF817">
        <v>0.95</v>
      </c>
    </row>
    <row r="818" spans="1:58" hidden="1" x14ac:dyDescent="0.2">
      <c r="A818">
        <v>817</v>
      </c>
      <c r="B818" t="s">
        <v>0</v>
      </c>
      <c r="C818">
        <v>17</v>
      </c>
      <c r="D818" t="s">
        <v>28</v>
      </c>
      <c r="E818" t="s">
        <v>127</v>
      </c>
      <c r="F818" t="s">
        <v>15</v>
      </c>
      <c r="G818" t="s">
        <v>116</v>
      </c>
      <c r="H818" t="s">
        <v>118</v>
      </c>
      <c r="I818" t="s">
        <v>112</v>
      </c>
      <c r="J818" t="s">
        <v>32</v>
      </c>
      <c r="K818" t="s">
        <v>7</v>
      </c>
      <c r="L818">
        <v>2.1</v>
      </c>
      <c r="M818">
        <v>8.8000000000000007</v>
      </c>
      <c r="N818" t="s">
        <v>8</v>
      </c>
      <c r="O818" t="s">
        <v>7</v>
      </c>
      <c r="P818" t="s">
        <v>9</v>
      </c>
      <c r="Q818">
        <v>25</v>
      </c>
      <c r="R818">
        <v>9</v>
      </c>
      <c r="S818">
        <v>21.3</v>
      </c>
      <c r="T818">
        <v>116</v>
      </c>
      <c r="U818">
        <v>72</v>
      </c>
      <c r="V818">
        <v>8071</v>
      </c>
      <c r="W818">
        <v>35.799999999999997</v>
      </c>
      <c r="X818">
        <v>3</v>
      </c>
      <c r="Y818">
        <v>2</v>
      </c>
      <c r="Z818">
        <v>12</v>
      </c>
      <c r="AA818">
        <v>2.4</v>
      </c>
      <c r="AB818">
        <v>1</v>
      </c>
      <c r="AC818">
        <v>159</v>
      </c>
      <c r="AD818">
        <v>9</v>
      </c>
      <c r="AE818">
        <v>7</v>
      </c>
      <c r="AF818">
        <v>207</v>
      </c>
      <c r="AG818">
        <v>90</v>
      </c>
      <c r="AH818">
        <v>106</v>
      </c>
      <c r="AI818">
        <v>35</v>
      </c>
      <c r="AJ818">
        <v>30</v>
      </c>
      <c r="AK818">
        <v>29</v>
      </c>
      <c r="AL818">
        <v>20</v>
      </c>
      <c r="AM818">
        <v>7</v>
      </c>
      <c r="AN818">
        <v>82</v>
      </c>
      <c r="AO818">
        <v>30</v>
      </c>
      <c r="AP818">
        <v>30</v>
      </c>
      <c r="AQ818">
        <v>42</v>
      </c>
      <c r="AR818">
        <v>292</v>
      </c>
      <c r="AS818">
        <v>626</v>
      </c>
      <c r="AT818" t="s">
        <v>7</v>
      </c>
      <c r="AU818">
        <v>0.6</v>
      </c>
      <c r="AV818">
        <v>2012</v>
      </c>
      <c r="AW818" s="1">
        <v>45777</v>
      </c>
      <c r="AX818">
        <v>17.7</v>
      </c>
      <c r="AY818" t="s">
        <v>27</v>
      </c>
      <c r="AZ818" t="s">
        <v>35</v>
      </c>
      <c r="BA818" t="s">
        <v>12</v>
      </c>
      <c r="BB818" t="s">
        <v>13</v>
      </c>
      <c r="BC818" t="s">
        <v>13</v>
      </c>
      <c r="BD818">
        <v>0</v>
      </c>
      <c r="BE818" t="s">
        <v>14</v>
      </c>
      <c r="BF818">
        <v>1.23</v>
      </c>
    </row>
    <row r="819" spans="1:58" hidden="1" x14ac:dyDescent="0.2">
      <c r="A819">
        <v>818</v>
      </c>
      <c r="B819" t="s">
        <v>0</v>
      </c>
      <c r="C819">
        <v>59</v>
      </c>
      <c r="D819" t="s">
        <v>1</v>
      </c>
      <c r="E819" t="s">
        <v>22</v>
      </c>
      <c r="F819" t="s">
        <v>15</v>
      </c>
      <c r="G819" t="s">
        <v>16</v>
      </c>
      <c r="H819" t="s">
        <v>34</v>
      </c>
      <c r="I819" t="s">
        <v>114</v>
      </c>
      <c r="J819" t="s">
        <v>123</v>
      </c>
      <c r="K819" t="s">
        <v>13</v>
      </c>
      <c r="L819">
        <v>11.8</v>
      </c>
      <c r="M819">
        <v>5.5</v>
      </c>
      <c r="N819" t="s">
        <v>25</v>
      </c>
      <c r="O819" t="s">
        <v>7</v>
      </c>
      <c r="P819" t="s">
        <v>121</v>
      </c>
      <c r="Q819">
        <v>0</v>
      </c>
      <c r="R819">
        <v>2</v>
      </c>
      <c r="S819">
        <v>18.2</v>
      </c>
      <c r="T819">
        <v>132</v>
      </c>
      <c r="U819">
        <v>72</v>
      </c>
      <c r="V819">
        <v>7903</v>
      </c>
      <c r="W819">
        <v>52.7</v>
      </c>
      <c r="X819">
        <v>6</v>
      </c>
      <c r="Y819">
        <v>3</v>
      </c>
      <c r="Z819">
        <v>14</v>
      </c>
      <c r="AA819">
        <v>3.3</v>
      </c>
      <c r="AB819">
        <v>3</v>
      </c>
      <c r="AC819">
        <v>71</v>
      </c>
      <c r="AD819">
        <v>3</v>
      </c>
      <c r="AE819">
        <v>0</v>
      </c>
      <c r="AF819">
        <v>65</v>
      </c>
      <c r="AG819">
        <v>44</v>
      </c>
      <c r="AH819">
        <v>66</v>
      </c>
      <c r="AI819">
        <v>26</v>
      </c>
      <c r="AJ819">
        <v>23</v>
      </c>
      <c r="AK819">
        <v>16</v>
      </c>
      <c r="AL819">
        <v>14</v>
      </c>
      <c r="AM819">
        <v>1</v>
      </c>
      <c r="AN819">
        <v>32</v>
      </c>
      <c r="AO819">
        <v>14</v>
      </c>
      <c r="AP819">
        <v>11</v>
      </c>
      <c r="AQ819">
        <v>20</v>
      </c>
      <c r="AR819">
        <v>1543</v>
      </c>
      <c r="AS819">
        <v>2481</v>
      </c>
      <c r="AT819" t="s">
        <v>13</v>
      </c>
      <c r="AU819">
        <v>0.95</v>
      </c>
      <c r="AV819">
        <v>2023</v>
      </c>
      <c r="AW819" s="1">
        <v>45717</v>
      </c>
      <c r="AX819">
        <v>23.7</v>
      </c>
      <c r="AY819" t="s">
        <v>30</v>
      </c>
      <c r="AZ819" t="s">
        <v>35</v>
      </c>
      <c r="BA819" t="s">
        <v>122</v>
      </c>
      <c r="BB819" t="s">
        <v>13</v>
      </c>
      <c r="BC819" t="s">
        <v>7</v>
      </c>
      <c r="BD819">
        <v>2</v>
      </c>
      <c r="BE819" t="s">
        <v>14</v>
      </c>
      <c r="BF819">
        <v>1.64</v>
      </c>
    </row>
    <row r="820" spans="1:58" hidden="1" x14ac:dyDescent="0.2">
      <c r="A820">
        <v>819</v>
      </c>
      <c r="B820" t="s">
        <v>0</v>
      </c>
      <c r="C820">
        <v>37</v>
      </c>
      <c r="D820" t="s">
        <v>28</v>
      </c>
      <c r="E820" t="s">
        <v>128</v>
      </c>
      <c r="F820" t="s">
        <v>15</v>
      </c>
      <c r="G820" t="s">
        <v>38</v>
      </c>
      <c r="H820" t="s">
        <v>118</v>
      </c>
      <c r="I820" t="s">
        <v>112</v>
      </c>
      <c r="J820" t="s">
        <v>123</v>
      </c>
      <c r="K820" t="s">
        <v>7</v>
      </c>
      <c r="L820">
        <v>17.100000000000001</v>
      </c>
      <c r="M820">
        <v>6.6</v>
      </c>
      <c r="N820" t="s">
        <v>25</v>
      </c>
      <c r="O820" t="s">
        <v>7</v>
      </c>
      <c r="P820" t="s">
        <v>9</v>
      </c>
      <c r="Q820">
        <v>40</v>
      </c>
      <c r="R820">
        <v>9</v>
      </c>
      <c r="S820">
        <v>23</v>
      </c>
      <c r="T820">
        <v>104</v>
      </c>
      <c r="U820">
        <v>87</v>
      </c>
      <c r="V820">
        <v>8199</v>
      </c>
      <c r="W820">
        <v>49.9</v>
      </c>
      <c r="X820">
        <v>2</v>
      </c>
      <c r="Y820">
        <v>3</v>
      </c>
      <c r="Z820">
        <v>12</v>
      </c>
      <c r="AA820">
        <v>7.8</v>
      </c>
      <c r="AB820">
        <v>3</v>
      </c>
      <c r="AC820">
        <v>301</v>
      </c>
      <c r="AD820">
        <v>18</v>
      </c>
      <c r="AE820">
        <v>9</v>
      </c>
      <c r="AF820">
        <v>229</v>
      </c>
      <c r="AG820">
        <v>150</v>
      </c>
      <c r="AH820">
        <v>187</v>
      </c>
      <c r="AI820">
        <v>50</v>
      </c>
      <c r="AJ820">
        <v>30</v>
      </c>
      <c r="AK820">
        <v>46</v>
      </c>
      <c r="AL820">
        <v>22</v>
      </c>
      <c r="AM820">
        <v>12</v>
      </c>
      <c r="AN820">
        <v>178</v>
      </c>
      <c r="AO820">
        <v>48</v>
      </c>
      <c r="AP820">
        <v>51</v>
      </c>
      <c r="AQ820">
        <v>80</v>
      </c>
      <c r="AR820">
        <v>1581</v>
      </c>
      <c r="AS820">
        <v>758</v>
      </c>
      <c r="AT820" t="s">
        <v>7</v>
      </c>
      <c r="AU820">
        <v>0.31</v>
      </c>
      <c r="AV820">
        <v>2017</v>
      </c>
      <c r="AW820" s="1">
        <v>45974</v>
      </c>
      <c r="AX820">
        <v>16.7</v>
      </c>
      <c r="AY820" t="s">
        <v>45</v>
      </c>
      <c r="AZ820" t="s">
        <v>17</v>
      </c>
      <c r="BA820" t="s">
        <v>122</v>
      </c>
      <c r="BB820" t="s">
        <v>13</v>
      </c>
      <c r="BC820" t="s">
        <v>7</v>
      </c>
      <c r="BD820">
        <v>3</v>
      </c>
      <c r="BE820" t="s">
        <v>14</v>
      </c>
      <c r="BF820">
        <v>1.04</v>
      </c>
    </row>
    <row r="821" spans="1:58" hidden="1" x14ac:dyDescent="0.2">
      <c r="A821">
        <v>820</v>
      </c>
      <c r="B821" t="s">
        <v>0</v>
      </c>
      <c r="C821">
        <v>14</v>
      </c>
      <c r="D821" t="s">
        <v>1</v>
      </c>
      <c r="E821" t="s">
        <v>2</v>
      </c>
      <c r="F821" t="s">
        <v>3</v>
      </c>
      <c r="G821" t="s">
        <v>38</v>
      </c>
      <c r="H821" t="s">
        <v>118</v>
      </c>
      <c r="I821" t="s">
        <v>114</v>
      </c>
      <c r="J821" t="s">
        <v>123</v>
      </c>
      <c r="K821" t="s">
        <v>7</v>
      </c>
      <c r="L821">
        <v>2.4</v>
      </c>
      <c r="M821">
        <v>6.4</v>
      </c>
      <c r="N821" t="s">
        <v>8</v>
      </c>
      <c r="O821" t="s">
        <v>7</v>
      </c>
      <c r="P821" t="s">
        <v>46</v>
      </c>
      <c r="Q821">
        <v>25</v>
      </c>
      <c r="R821">
        <v>2</v>
      </c>
      <c r="S821">
        <v>25.3</v>
      </c>
      <c r="T821">
        <v>126</v>
      </c>
      <c r="U821">
        <v>72</v>
      </c>
      <c r="V821">
        <v>8086</v>
      </c>
      <c r="W821">
        <v>27.4</v>
      </c>
      <c r="X821">
        <v>2</v>
      </c>
      <c r="Y821">
        <v>2</v>
      </c>
      <c r="Z821">
        <v>7</v>
      </c>
      <c r="AA821">
        <v>2.9</v>
      </c>
      <c r="AB821">
        <v>1</v>
      </c>
      <c r="AC821">
        <v>247</v>
      </c>
      <c r="AD821">
        <v>22</v>
      </c>
      <c r="AE821">
        <v>13</v>
      </c>
      <c r="AF821">
        <v>265</v>
      </c>
      <c r="AG821">
        <v>114</v>
      </c>
      <c r="AH821">
        <v>141</v>
      </c>
      <c r="AI821">
        <v>32</v>
      </c>
      <c r="AJ821">
        <v>33</v>
      </c>
      <c r="AK821">
        <v>36</v>
      </c>
      <c r="AL821">
        <v>29</v>
      </c>
      <c r="AM821">
        <v>9</v>
      </c>
      <c r="AN821">
        <v>132</v>
      </c>
      <c r="AO821">
        <v>58</v>
      </c>
      <c r="AP821">
        <v>36</v>
      </c>
      <c r="AQ821">
        <v>86</v>
      </c>
      <c r="AR821">
        <v>2333</v>
      </c>
      <c r="AS821">
        <v>5285</v>
      </c>
      <c r="AT821" t="s">
        <v>7</v>
      </c>
      <c r="AU821">
        <v>0.39</v>
      </c>
      <c r="AV821">
        <v>2018</v>
      </c>
      <c r="AW821" s="1">
        <v>45919</v>
      </c>
      <c r="AX821">
        <v>11.2</v>
      </c>
      <c r="AY821" t="s">
        <v>19</v>
      </c>
      <c r="AZ821" t="s">
        <v>37</v>
      </c>
      <c r="BA821" t="s">
        <v>21</v>
      </c>
      <c r="BB821" t="s">
        <v>13</v>
      </c>
      <c r="BC821" t="s">
        <v>7</v>
      </c>
      <c r="BD821">
        <v>1</v>
      </c>
      <c r="BE821" t="s">
        <v>43</v>
      </c>
      <c r="BF821">
        <v>0.98</v>
      </c>
    </row>
    <row r="822" spans="1:58" hidden="1" x14ac:dyDescent="0.2">
      <c r="A822">
        <v>821</v>
      </c>
      <c r="B822" t="s">
        <v>0</v>
      </c>
      <c r="C822">
        <v>22</v>
      </c>
      <c r="D822" t="s">
        <v>28</v>
      </c>
      <c r="E822" t="s">
        <v>33</v>
      </c>
      <c r="F822" t="s">
        <v>15</v>
      </c>
      <c r="G822" t="s">
        <v>116</v>
      </c>
      <c r="H822" t="s">
        <v>118</v>
      </c>
      <c r="I822" t="s">
        <v>112</v>
      </c>
      <c r="J822" t="s">
        <v>6</v>
      </c>
      <c r="K822" t="s">
        <v>13</v>
      </c>
      <c r="L822">
        <v>12.8</v>
      </c>
      <c r="M822">
        <v>7.4</v>
      </c>
      <c r="N822" t="s">
        <v>8</v>
      </c>
      <c r="O822" t="s">
        <v>7</v>
      </c>
      <c r="P822" t="s">
        <v>46</v>
      </c>
      <c r="Q822">
        <v>38</v>
      </c>
      <c r="R822">
        <v>3</v>
      </c>
      <c r="S822">
        <v>29.5</v>
      </c>
      <c r="T822">
        <v>113</v>
      </c>
      <c r="U822">
        <v>77</v>
      </c>
      <c r="V822">
        <v>7845</v>
      </c>
      <c r="W822">
        <v>45.5</v>
      </c>
      <c r="X822">
        <v>0</v>
      </c>
      <c r="Y822">
        <v>5</v>
      </c>
      <c r="Z822">
        <v>16</v>
      </c>
      <c r="AA822">
        <v>2.4</v>
      </c>
      <c r="AB822">
        <v>3</v>
      </c>
      <c r="AC822">
        <v>439</v>
      </c>
      <c r="AD822">
        <v>32</v>
      </c>
      <c r="AE822">
        <v>9</v>
      </c>
      <c r="AF822">
        <v>300</v>
      </c>
      <c r="AG822">
        <v>150</v>
      </c>
      <c r="AH822">
        <v>269</v>
      </c>
      <c r="AI822">
        <v>67</v>
      </c>
      <c r="AJ822">
        <v>61</v>
      </c>
      <c r="AK822">
        <v>48</v>
      </c>
      <c r="AL822">
        <v>47</v>
      </c>
      <c r="AM822">
        <v>10</v>
      </c>
      <c r="AN822">
        <v>196</v>
      </c>
      <c r="AO822">
        <v>57</v>
      </c>
      <c r="AP822">
        <v>99</v>
      </c>
      <c r="AQ822">
        <v>95</v>
      </c>
      <c r="AR822">
        <v>376</v>
      </c>
      <c r="AS822">
        <v>418</v>
      </c>
      <c r="AT822" t="s">
        <v>7</v>
      </c>
      <c r="AU822">
        <v>0.11</v>
      </c>
      <c r="AV822">
        <v>2015</v>
      </c>
      <c r="AW822" s="1">
        <v>45845</v>
      </c>
      <c r="AX822">
        <v>13.7</v>
      </c>
      <c r="AY822" t="s">
        <v>36</v>
      </c>
      <c r="AZ822" t="s">
        <v>17</v>
      </c>
      <c r="BA822" t="s">
        <v>122</v>
      </c>
      <c r="BB822" t="s">
        <v>7</v>
      </c>
      <c r="BC822" t="s">
        <v>7</v>
      </c>
      <c r="BD822">
        <v>1</v>
      </c>
      <c r="BE822" t="s">
        <v>14</v>
      </c>
      <c r="BF822">
        <v>0.98</v>
      </c>
    </row>
    <row r="823" spans="1:58" hidden="1" x14ac:dyDescent="0.2">
      <c r="A823">
        <v>822</v>
      </c>
      <c r="B823" t="s">
        <v>0</v>
      </c>
      <c r="C823">
        <v>42</v>
      </c>
      <c r="D823" t="s">
        <v>28</v>
      </c>
      <c r="E823" t="s">
        <v>47</v>
      </c>
      <c r="F823" t="s">
        <v>40</v>
      </c>
      <c r="G823" t="s">
        <v>16</v>
      </c>
      <c r="H823" t="s">
        <v>118</v>
      </c>
      <c r="I823" t="s">
        <v>112</v>
      </c>
      <c r="J823" t="s">
        <v>32</v>
      </c>
      <c r="K823" t="s">
        <v>13</v>
      </c>
      <c r="L823">
        <v>0.6</v>
      </c>
      <c r="M823">
        <v>5.9</v>
      </c>
      <c r="N823" t="s">
        <v>25</v>
      </c>
      <c r="O823" t="s">
        <v>13</v>
      </c>
      <c r="P823" t="s">
        <v>26</v>
      </c>
      <c r="Q823">
        <v>10</v>
      </c>
      <c r="R823">
        <v>6</v>
      </c>
      <c r="S823">
        <v>23.7</v>
      </c>
      <c r="T823">
        <v>133</v>
      </c>
      <c r="U823">
        <v>79</v>
      </c>
      <c r="V823">
        <v>8108</v>
      </c>
      <c r="W823">
        <v>39.200000000000003</v>
      </c>
      <c r="X823">
        <v>1</v>
      </c>
      <c r="Y823">
        <v>5</v>
      </c>
      <c r="Z823">
        <v>12</v>
      </c>
      <c r="AA823">
        <v>1.1000000000000001</v>
      </c>
      <c r="AB823">
        <v>3</v>
      </c>
      <c r="AC823">
        <v>84</v>
      </c>
      <c r="AD823">
        <v>2</v>
      </c>
      <c r="AE823">
        <v>3</v>
      </c>
      <c r="AF823">
        <v>84</v>
      </c>
      <c r="AG823">
        <v>65</v>
      </c>
      <c r="AH823">
        <v>73</v>
      </c>
      <c r="AI823">
        <v>17</v>
      </c>
      <c r="AJ823">
        <v>11</v>
      </c>
      <c r="AK823">
        <v>17</v>
      </c>
      <c r="AL823">
        <v>17</v>
      </c>
      <c r="AM823">
        <v>3</v>
      </c>
      <c r="AN823">
        <v>42</v>
      </c>
      <c r="AO823">
        <v>20</v>
      </c>
      <c r="AP823">
        <v>20</v>
      </c>
      <c r="AQ823">
        <v>30</v>
      </c>
      <c r="AR823">
        <v>761</v>
      </c>
      <c r="AS823">
        <v>1485</v>
      </c>
      <c r="AT823" t="s">
        <v>7</v>
      </c>
      <c r="AU823">
        <v>0.44</v>
      </c>
      <c r="AV823">
        <v>2018</v>
      </c>
      <c r="AW823" s="1">
        <v>45737</v>
      </c>
      <c r="AX823">
        <v>42</v>
      </c>
      <c r="AY823" t="s">
        <v>36</v>
      </c>
      <c r="AZ823" t="s">
        <v>17</v>
      </c>
      <c r="BA823" t="s">
        <v>21</v>
      </c>
      <c r="BB823" t="s">
        <v>13</v>
      </c>
      <c r="BC823" t="s">
        <v>7</v>
      </c>
      <c r="BD823">
        <v>2</v>
      </c>
      <c r="BE823" t="s">
        <v>14</v>
      </c>
      <c r="BF823">
        <v>1.36</v>
      </c>
    </row>
    <row r="824" spans="1:58" hidden="1" x14ac:dyDescent="0.2">
      <c r="A824">
        <v>823</v>
      </c>
      <c r="B824" t="s">
        <v>0</v>
      </c>
      <c r="C824">
        <v>62</v>
      </c>
      <c r="D824" t="s">
        <v>1</v>
      </c>
      <c r="E824" t="s">
        <v>17</v>
      </c>
      <c r="F824" t="s">
        <v>3</v>
      </c>
      <c r="G824" t="s">
        <v>16</v>
      </c>
      <c r="H824" t="s">
        <v>118</v>
      </c>
      <c r="I824" t="s">
        <v>114</v>
      </c>
      <c r="J824" t="s">
        <v>123</v>
      </c>
      <c r="K824" t="s">
        <v>7</v>
      </c>
      <c r="L824">
        <v>11</v>
      </c>
      <c r="M824">
        <v>7.5</v>
      </c>
      <c r="N824" t="s">
        <v>8</v>
      </c>
      <c r="O824" t="s">
        <v>7</v>
      </c>
      <c r="P824" t="s">
        <v>9</v>
      </c>
      <c r="Q824">
        <v>4</v>
      </c>
      <c r="R824">
        <v>1</v>
      </c>
      <c r="S824">
        <v>29.5</v>
      </c>
      <c r="T824">
        <v>144</v>
      </c>
      <c r="U824">
        <v>99</v>
      </c>
      <c r="V824">
        <v>8095</v>
      </c>
      <c r="W824">
        <v>40.200000000000003</v>
      </c>
      <c r="X824">
        <v>2</v>
      </c>
      <c r="Y824">
        <v>6</v>
      </c>
      <c r="Z824">
        <v>10</v>
      </c>
      <c r="AA824">
        <v>3.2</v>
      </c>
      <c r="AB824">
        <v>3</v>
      </c>
      <c r="AC824">
        <v>83</v>
      </c>
      <c r="AD824">
        <v>2</v>
      </c>
      <c r="AE824">
        <v>4</v>
      </c>
      <c r="AF824">
        <v>91</v>
      </c>
      <c r="AG824">
        <v>65</v>
      </c>
      <c r="AH824">
        <v>64</v>
      </c>
      <c r="AI824">
        <v>28</v>
      </c>
      <c r="AJ824">
        <v>10</v>
      </c>
      <c r="AK824">
        <v>18</v>
      </c>
      <c r="AL824">
        <v>5</v>
      </c>
      <c r="AM824">
        <v>0</v>
      </c>
      <c r="AN824">
        <v>46</v>
      </c>
      <c r="AO824">
        <v>9</v>
      </c>
      <c r="AP824">
        <v>15</v>
      </c>
      <c r="AQ824">
        <v>19</v>
      </c>
      <c r="AR824">
        <v>4628</v>
      </c>
      <c r="AS824">
        <v>10000</v>
      </c>
      <c r="AT824" t="s">
        <v>7</v>
      </c>
      <c r="AU824">
        <v>0.66</v>
      </c>
      <c r="AV824">
        <v>2010</v>
      </c>
      <c r="AW824" s="1">
        <v>45743</v>
      </c>
      <c r="AX824">
        <v>41.5</v>
      </c>
      <c r="AY824" t="s">
        <v>36</v>
      </c>
      <c r="AZ824" t="s">
        <v>51</v>
      </c>
      <c r="BA824" t="s">
        <v>122</v>
      </c>
      <c r="BB824" t="s">
        <v>13</v>
      </c>
      <c r="BC824" t="s">
        <v>13</v>
      </c>
      <c r="BD824">
        <v>4</v>
      </c>
      <c r="BE824" t="s">
        <v>14</v>
      </c>
      <c r="BF824">
        <v>1.57</v>
      </c>
    </row>
    <row r="825" spans="1:58" hidden="1" x14ac:dyDescent="0.2">
      <c r="A825">
        <v>824</v>
      </c>
      <c r="B825" t="s">
        <v>0</v>
      </c>
      <c r="C825">
        <v>57</v>
      </c>
      <c r="D825" t="s">
        <v>1</v>
      </c>
      <c r="E825" t="s">
        <v>126</v>
      </c>
      <c r="F825" t="s">
        <v>40</v>
      </c>
      <c r="G825" t="s">
        <v>4</v>
      </c>
      <c r="H825" t="s">
        <v>118</v>
      </c>
      <c r="I825" t="s">
        <v>112</v>
      </c>
      <c r="J825" t="s">
        <v>6</v>
      </c>
      <c r="K825" t="s">
        <v>7</v>
      </c>
      <c r="L825">
        <v>12.9</v>
      </c>
      <c r="M825">
        <v>6.8</v>
      </c>
      <c r="N825" t="s">
        <v>29</v>
      </c>
      <c r="O825" t="s">
        <v>7</v>
      </c>
      <c r="P825" t="s">
        <v>121</v>
      </c>
      <c r="Q825">
        <v>2</v>
      </c>
      <c r="R825">
        <v>8</v>
      </c>
      <c r="S825">
        <v>27.9</v>
      </c>
      <c r="T825">
        <v>98</v>
      </c>
      <c r="U825">
        <v>96</v>
      </c>
      <c r="V825">
        <v>8123</v>
      </c>
      <c r="W825">
        <v>44.1</v>
      </c>
      <c r="X825">
        <v>2</v>
      </c>
      <c r="Y825">
        <v>4</v>
      </c>
      <c r="Z825">
        <v>10</v>
      </c>
      <c r="AA825">
        <v>2.6</v>
      </c>
      <c r="AB825">
        <v>4</v>
      </c>
      <c r="AC825">
        <v>79</v>
      </c>
      <c r="AD825">
        <v>4</v>
      </c>
      <c r="AE825">
        <v>2</v>
      </c>
      <c r="AF825">
        <v>91</v>
      </c>
      <c r="AG825">
        <v>57</v>
      </c>
      <c r="AH825">
        <v>54</v>
      </c>
      <c r="AI825">
        <v>17</v>
      </c>
      <c r="AJ825">
        <v>19</v>
      </c>
      <c r="AK825">
        <v>20</v>
      </c>
      <c r="AL825">
        <v>8</v>
      </c>
      <c r="AM825">
        <v>6</v>
      </c>
      <c r="AN825">
        <v>37</v>
      </c>
      <c r="AO825">
        <v>11</v>
      </c>
      <c r="AP825">
        <v>15</v>
      </c>
      <c r="AQ825">
        <v>21</v>
      </c>
      <c r="AR825">
        <v>658</v>
      </c>
      <c r="AS825">
        <v>1543</v>
      </c>
      <c r="AT825" t="s">
        <v>7</v>
      </c>
      <c r="AU825">
        <v>0.74</v>
      </c>
      <c r="AV825">
        <v>2017</v>
      </c>
      <c r="AW825" s="1">
        <v>45716</v>
      </c>
      <c r="AX825">
        <v>19.8</v>
      </c>
      <c r="AY825" t="s">
        <v>10</v>
      </c>
      <c r="AZ825" t="s">
        <v>35</v>
      </c>
      <c r="BA825" t="s">
        <v>21</v>
      </c>
      <c r="BB825" t="s">
        <v>7</v>
      </c>
      <c r="BC825" t="s">
        <v>13</v>
      </c>
      <c r="BD825">
        <v>1</v>
      </c>
      <c r="BE825" t="s">
        <v>14</v>
      </c>
      <c r="BF825">
        <v>1.18</v>
      </c>
    </row>
    <row r="826" spans="1:58" hidden="1" x14ac:dyDescent="0.2">
      <c r="A826">
        <v>825</v>
      </c>
      <c r="B826" t="s">
        <v>0</v>
      </c>
      <c r="C826">
        <v>17</v>
      </c>
      <c r="D826" t="s">
        <v>1</v>
      </c>
      <c r="E826" t="s">
        <v>2</v>
      </c>
      <c r="F826" t="s">
        <v>15</v>
      </c>
      <c r="G826" t="s">
        <v>116</v>
      </c>
      <c r="H826" t="s">
        <v>118</v>
      </c>
      <c r="I826" t="s">
        <v>114</v>
      </c>
      <c r="J826" t="s">
        <v>123</v>
      </c>
      <c r="K826" t="s">
        <v>13</v>
      </c>
      <c r="L826">
        <v>13.3</v>
      </c>
      <c r="M826">
        <v>6.6</v>
      </c>
      <c r="N826" t="s">
        <v>29</v>
      </c>
      <c r="O826" t="s">
        <v>7</v>
      </c>
      <c r="P826" t="s">
        <v>26</v>
      </c>
      <c r="Q826">
        <v>4</v>
      </c>
      <c r="R826">
        <v>6</v>
      </c>
      <c r="S826">
        <v>23.3</v>
      </c>
      <c r="T826">
        <v>129</v>
      </c>
      <c r="U826">
        <v>75</v>
      </c>
      <c r="V826">
        <v>7976</v>
      </c>
      <c r="W826">
        <v>56</v>
      </c>
      <c r="X826">
        <v>0</v>
      </c>
      <c r="Y826">
        <v>1</v>
      </c>
      <c r="Z826">
        <v>10</v>
      </c>
      <c r="AA826">
        <v>6</v>
      </c>
      <c r="AB826">
        <v>3</v>
      </c>
      <c r="AC826">
        <v>70</v>
      </c>
      <c r="AD826">
        <v>4</v>
      </c>
      <c r="AE826">
        <v>9</v>
      </c>
      <c r="AF826">
        <v>187</v>
      </c>
      <c r="AG826">
        <v>51</v>
      </c>
      <c r="AH826">
        <v>65</v>
      </c>
      <c r="AI826">
        <v>15</v>
      </c>
      <c r="AJ826">
        <v>14</v>
      </c>
      <c r="AK826">
        <v>20</v>
      </c>
      <c r="AL826">
        <v>15</v>
      </c>
      <c r="AM826">
        <v>2</v>
      </c>
      <c r="AN826">
        <v>38</v>
      </c>
      <c r="AO826">
        <v>14</v>
      </c>
      <c r="AP826">
        <v>8</v>
      </c>
      <c r="AQ826">
        <v>28</v>
      </c>
      <c r="AR826">
        <v>5639</v>
      </c>
      <c r="AS826">
        <v>6776</v>
      </c>
      <c r="AT826" t="s">
        <v>7</v>
      </c>
      <c r="AU826">
        <v>0.03</v>
      </c>
      <c r="AV826">
        <v>2022</v>
      </c>
      <c r="AW826" s="1">
        <v>45859</v>
      </c>
      <c r="AX826">
        <v>17.5</v>
      </c>
      <c r="AY826" t="s">
        <v>36</v>
      </c>
      <c r="AZ826" t="s">
        <v>48</v>
      </c>
      <c r="BA826" t="s">
        <v>12</v>
      </c>
      <c r="BB826" t="s">
        <v>7</v>
      </c>
      <c r="BC826" t="s">
        <v>7</v>
      </c>
      <c r="BD826">
        <v>1</v>
      </c>
      <c r="BE826" t="s">
        <v>49</v>
      </c>
      <c r="BF826">
        <v>1.72</v>
      </c>
    </row>
    <row r="827" spans="1:58" hidden="1" x14ac:dyDescent="0.2">
      <c r="A827">
        <v>826</v>
      </c>
      <c r="B827" t="s">
        <v>0</v>
      </c>
      <c r="C827">
        <v>45</v>
      </c>
      <c r="D827" t="s">
        <v>28</v>
      </c>
      <c r="E827" t="s">
        <v>128</v>
      </c>
      <c r="F827" t="s">
        <v>15</v>
      </c>
      <c r="G827" t="s">
        <v>38</v>
      </c>
      <c r="H827" t="s">
        <v>24</v>
      </c>
      <c r="I827" t="s">
        <v>114</v>
      </c>
      <c r="J827" t="s">
        <v>6</v>
      </c>
      <c r="K827" t="s">
        <v>7</v>
      </c>
      <c r="L827">
        <v>6.4</v>
      </c>
      <c r="M827">
        <v>7</v>
      </c>
      <c r="N827" t="s">
        <v>8</v>
      </c>
      <c r="O827" t="s">
        <v>7</v>
      </c>
      <c r="P827" t="s">
        <v>9</v>
      </c>
      <c r="Q827">
        <v>15</v>
      </c>
      <c r="R827">
        <v>6</v>
      </c>
      <c r="S827">
        <v>17.100000000000001</v>
      </c>
      <c r="T827">
        <v>124</v>
      </c>
      <c r="U827">
        <v>61</v>
      </c>
      <c r="V827">
        <v>8125</v>
      </c>
      <c r="W827">
        <v>34.700000000000003</v>
      </c>
      <c r="X827">
        <v>4</v>
      </c>
      <c r="Y827">
        <v>3</v>
      </c>
      <c r="Z827">
        <v>15</v>
      </c>
      <c r="AA827">
        <v>2.7</v>
      </c>
      <c r="AB827">
        <v>3</v>
      </c>
      <c r="AC827">
        <v>127</v>
      </c>
      <c r="AD827">
        <v>4</v>
      </c>
      <c r="AE827">
        <v>3</v>
      </c>
      <c r="AF827">
        <v>107</v>
      </c>
      <c r="AG827">
        <v>84</v>
      </c>
      <c r="AH827">
        <v>92</v>
      </c>
      <c r="AI827">
        <v>26</v>
      </c>
      <c r="AJ827">
        <v>18</v>
      </c>
      <c r="AK827">
        <v>26</v>
      </c>
      <c r="AL827">
        <v>14</v>
      </c>
      <c r="AM827">
        <v>2</v>
      </c>
      <c r="AN827">
        <v>60</v>
      </c>
      <c r="AO827">
        <v>37</v>
      </c>
      <c r="AP827">
        <v>24</v>
      </c>
      <c r="AQ827">
        <v>37</v>
      </c>
      <c r="AR827">
        <v>191</v>
      </c>
      <c r="AS827">
        <v>133</v>
      </c>
      <c r="AT827" t="s">
        <v>13</v>
      </c>
      <c r="AU827">
        <v>7.0000000000000007E-2</v>
      </c>
      <c r="AV827">
        <v>2021</v>
      </c>
      <c r="AW827" s="1">
        <v>45806</v>
      </c>
      <c r="AX827">
        <v>31.8</v>
      </c>
      <c r="AY827" t="s">
        <v>36</v>
      </c>
      <c r="AZ827" t="s">
        <v>11</v>
      </c>
      <c r="BA827" t="s">
        <v>21</v>
      </c>
      <c r="BB827" t="s">
        <v>7</v>
      </c>
      <c r="BC827" t="s">
        <v>7</v>
      </c>
      <c r="BD827">
        <v>3</v>
      </c>
      <c r="BE827" t="s">
        <v>43</v>
      </c>
      <c r="BF827">
        <v>1.2</v>
      </c>
    </row>
    <row r="828" spans="1:58" hidden="1" x14ac:dyDescent="0.2">
      <c r="A828">
        <v>827</v>
      </c>
      <c r="B828" t="s">
        <v>0</v>
      </c>
      <c r="C828">
        <v>13</v>
      </c>
      <c r="D828" t="s">
        <v>28</v>
      </c>
      <c r="E828" t="s">
        <v>128</v>
      </c>
      <c r="F828" t="s">
        <v>15</v>
      </c>
      <c r="G828" t="s">
        <v>116</v>
      </c>
      <c r="H828" t="s">
        <v>24</v>
      </c>
      <c r="I828" t="s">
        <v>115</v>
      </c>
      <c r="J828" t="s">
        <v>6</v>
      </c>
      <c r="K828" t="s">
        <v>7</v>
      </c>
      <c r="L828">
        <v>8.4</v>
      </c>
      <c r="M828">
        <v>4.9000000000000004</v>
      </c>
      <c r="N828" t="s">
        <v>39</v>
      </c>
      <c r="O828" t="s">
        <v>41</v>
      </c>
      <c r="P828" t="s">
        <v>9</v>
      </c>
      <c r="Q828">
        <v>39</v>
      </c>
      <c r="R828">
        <v>9</v>
      </c>
      <c r="S828">
        <v>23.1</v>
      </c>
      <c r="T828">
        <v>92</v>
      </c>
      <c r="U828">
        <v>79</v>
      </c>
      <c r="V828">
        <v>8164</v>
      </c>
      <c r="W828">
        <v>44</v>
      </c>
      <c r="X828">
        <v>2</v>
      </c>
      <c r="Y828">
        <v>4</v>
      </c>
      <c r="Z828">
        <v>6</v>
      </c>
      <c r="AA828">
        <v>4.2</v>
      </c>
      <c r="AB828">
        <v>2</v>
      </c>
      <c r="AC828">
        <v>378</v>
      </c>
      <c r="AD828">
        <v>15</v>
      </c>
      <c r="AE828">
        <v>12</v>
      </c>
      <c r="AF828">
        <v>300</v>
      </c>
      <c r="AG828">
        <v>150</v>
      </c>
      <c r="AH828">
        <v>236</v>
      </c>
      <c r="AI828">
        <v>65</v>
      </c>
      <c r="AJ828">
        <v>50</v>
      </c>
      <c r="AK828">
        <v>56</v>
      </c>
      <c r="AL828">
        <v>32</v>
      </c>
      <c r="AM828">
        <v>10</v>
      </c>
      <c r="AN828">
        <v>222</v>
      </c>
      <c r="AO828">
        <v>67</v>
      </c>
      <c r="AP828">
        <v>93</v>
      </c>
      <c r="AQ828">
        <v>121</v>
      </c>
      <c r="AR828">
        <v>1240</v>
      </c>
      <c r="AS828">
        <v>2501</v>
      </c>
      <c r="AT828" t="s">
        <v>7</v>
      </c>
      <c r="AU828">
        <v>0.04</v>
      </c>
      <c r="AV828">
        <v>2022</v>
      </c>
      <c r="AW828" s="1">
        <v>45865</v>
      </c>
      <c r="AX828">
        <v>25.2</v>
      </c>
      <c r="AY828" t="s">
        <v>10</v>
      </c>
      <c r="AZ828" t="s">
        <v>51</v>
      </c>
      <c r="BA828" t="s">
        <v>12</v>
      </c>
      <c r="BB828" t="s">
        <v>13</v>
      </c>
      <c r="BC828" t="s">
        <v>13</v>
      </c>
      <c r="BD828">
        <v>1</v>
      </c>
      <c r="BE828" t="s">
        <v>14</v>
      </c>
      <c r="BF828">
        <v>1.06</v>
      </c>
    </row>
    <row r="829" spans="1:58" hidden="1" x14ac:dyDescent="0.2">
      <c r="A829">
        <v>828</v>
      </c>
      <c r="B829" t="s">
        <v>0</v>
      </c>
      <c r="C829">
        <v>30</v>
      </c>
      <c r="D829" t="s">
        <v>1</v>
      </c>
      <c r="E829" t="s">
        <v>126</v>
      </c>
      <c r="F829" t="s">
        <v>3</v>
      </c>
      <c r="G829" t="s">
        <v>117</v>
      </c>
      <c r="H829" t="s">
        <v>24</v>
      </c>
      <c r="I829" t="s">
        <v>114</v>
      </c>
      <c r="J829" t="s">
        <v>18</v>
      </c>
      <c r="K829" t="s">
        <v>7</v>
      </c>
      <c r="L829">
        <v>8.1999999999999993</v>
      </c>
      <c r="M829">
        <v>4.5</v>
      </c>
      <c r="N829" t="s">
        <v>39</v>
      </c>
      <c r="O829" t="s">
        <v>7</v>
      </c>
      <c r="P829" t="s">
        <v>9</v>
      </c>
      <c r="Q829">
        <v>3</v>
      </c>
      <c r="R829">
        <v>2</v>
      </c>
      <c r="S829">
        <v>28.6</v>
      </c>
      <c r="T829">
        <v>98</v>
      </c>
      <c r="U829">
        <v>82</v>
      </c>
      <c r="V829">
        <v>8071</v>
      </c>
      <c r="W829">
        <v>40.4</v>
      </c>
      <c r="X829">
        <v>4</v>
      </c>
      <c r="Y829">
        <v>9</v>
      </c>
      <c r="Z829">
        <v>7</v>
      </c>
      <c r="AA829">
        <v>3.1</v>
      </c>
      <c r="AB829">
        <v>3</v>
      </c>
      <c r="AC829">
        <v>130</v>
      </c>
      <c r="AD829">
        <v>7</v>
      </c>
      <c r="AE829">
        <v>0</v>
      </c>
      <c r="AF829">
        <v>128</v>
      </c>
      <c r="AG829">
        <v>97</v>
      </c>
      <c r="AH829">
        <v>92</v>
      </c>
      <c r="AI829">
        <v>29</v>
      </c>
      <c r="AJ829">
        <v>26</v>
      </c>
      <c r="AK829">
        <v>39</v>
      </c>
      <c r="AL829">
        <v>7</v>
      </c>
      <c r="AM829">
        <v>4</v>
      </c>
      <c r="AN829">
        <v>62</v>
      </c>
      <c r="AO829">
        <v>26</v>
      </c>
      <c r="AP829">
        <v>22</v>
      </c>
      <c r="AQ829">
        <v>41</v>
      </c>
      <c r="AR829">
        <v>1248</v>
      </c>
      <c r="AS829">
        <v>1308</v>
      </c>
      <c r="AT829" t="s">
        <v>7</v>
      </c>
      <c r="AU829">
        <v>0.64</v>
      </c>
      <c r="AV829">
        <v>2020</v>
      </c>
      <c r="AW829" s="1">
        <v>45830</v>
      </c>
      <c r="AX829">
        <v>18.600000000000001</v>
      </c>
      <c r="AY829" t="s">
        <v>19</v>
      </c>
      <c r="AZ829" t="s">
        <v>37</v>
      </c>
      <c r="BA829" t="s">
        <v>12</v>
      </c>
      <c r="BB829" t="s">
        <v>13</v>
      </c>
      <c r="BC829" t="s">
        <v>7</v>
      </c>
      <c r="BD829">
        <v>1</v>
      </c>
      <c r="BE829" t="s">
        <v>14</v>
      </c>
      <c r="BF829">
        <v>1.1499999999999999</v>
      </c>
    </row>
    <row r="830" spans="1:58" hidden="1" x14ac:dyDescent="0.2">
      <c r="A830">
        <v>829</v>
      </c>
      <c r="B830" t="s">
        <v>0</v>
      </c>
      <c r="C830">
        <v>44</v>
      </c>
      <c r="D830" t="s">
        <v>28</v>
      </c>
      <c r="E830" t="s">
        <v>42</v>
      </c>
      <c r="F830" t="s">
        <v>15</v>
      </c>
      <c r="G830" t="s">
        <v>38</v>
      </c>
      <c r="H830" t="s">
        <v>118</v>
      </c>
      <c r="I830" t="s">
        <v>114</v>
      </c>
      <c r="J830" t="s">
        <v>32</v>
      </c>
      <c r="K830" t="s">
        <v>13</v>
      </c>
      <c r="L830">
        <v>12.6</v>
      </c>
      <c r="M830">
        <v>5.7</v>
      </c>
      <c r="N830" t="s">
        <v>29</v>
      </c>
      <c r="O830" t="s">
        <v>7</v>
      </c>
      <c r="P830" t="s">
        <v>46</v>
      </c>
      <c r="Q830">
        <v>27</v>
      </c>
      <c r="R830">
        <v>8</v>
      </c>
      <c r="S830">
        <v>26.2</v>
      </c>
      <c r="T830">
        <v>137</v>
      </c>
      <c r="U830">
        <v>74</v>
      </c>
      <c r="V830">
        <v>7995</v>
      </c>
      <c r="W830">
        <v>43.7</v>
      </c>
      <c r="X830">
        <v>3</v>
      </c>
      <c r="Y830">
        <v>7</v>
      </c>
      <c r="Z830">
        <v>12</v>
      </c>
      <c r="AA830">
        <v>6.1</v>
      </c>
      <c r="AB830">
        <v>0</v>
      </c>
      <c r="AC830">
        <v>199</v>
      </c>
      <c r="AD830">
        <v>7</v>
      </c>
      <c r="AE830">
        <v>6</v>
      </c>
      <c r="AF830">
        <v>165</v>
      </c>
      <c r="AG830">
        <v>110</v>
      </c>
      <c r="AH830">
        <v>119</v>
      </c>
      <c r="AI830">
        <v>35</v>
      </c>
      <c r="AJ830">
        <v>33</v>
      </c>
      <c r="AK830">
        <v>41</v>
      </c>
      <c r="AL830">
        <v>23</v>
      </c>
      <c r="AM830">
        <v>5</v>
      </c>
      <c r="AN830">
        <v>96</v>
      </c>
      <c r="AO830">
        <v>50</v>
      </c>
      <c r="AP830">
        <v>38</v>
      </c>
      <c r="AQ830">
        <v>52</v>
      </c>
      <c r="AR830">
        <v>910</v>
      </c>
      <c r="AS830">
        <v>900</v>
      </c>
      <c r="AT830" t="s">
        <v>7</v>
      </c>
      <c r="AU830">
        <v>0.57999999999999996</v>
      </c>
      <c r="AV830">
        <v>2012</v>
      </c>
      <c r="AW830" s="1">
        <v>45759</v>
      </c>
      <c r="AX830">
        <v>28.4</v>
      </c>
      <c r="AY830" t="s">
        <v>19</v>
      </c>
      <c r="AZ830" t="s">
        <v>31</v>
      </c>
      <c r="BA830" t="s">
        <v>21</v>
      </c>
      <c r="BB830" t="s">
        <v>13</v>
      </c>
      <c r="BC830" t="s">
        <v>13</v>
      </c>
      <c r="BD830">
        <v>2</v>
      </c>
      <c r="BE830" t="s">
        <v>14</v>
      </c>
      <c r="BF830">
        <v>1.03</v>
      </c>
    </row>
    <row r="831" spans="1:58" hidden="1" x14ac:dyDescent="0.2">
      <c r="A831">
        <v>830</v>
      </c>
      <c r="B831" t="s">
        <v>0</v>
      </c>
      <c r="C831">
        <v>59</v>
      </c>
      <c r="D831" t="s">
        <v>28</v>
      </c>
      <c r="E831" t="s">
        <v>128</v>
      </c>
      <c r="F831" t="s">
        <v>15</v>
      </c>
      <c r="G831" t="s">
        <v>4</v>
      </c>
      <c r="H831" t="s">
        <v>23</v>
      </c>
      <c r="I831" t="s">
        <v>112</v>
      </c>
      <c r="J831" t="s">
        <v>32</v>
      </c>
      <c r="K831" t="s">
        <v>7</v>
      </c>
      <c r="L831">
        <v>11.9</v>
      </c>
      <c r="M831">
        <v>7.8</v>
      </c>
      <c r="N831" t="s">
        <v>8</v>
      </c>
      <c r="O831" t="s">
        <v>7</v>
      </c>
      <c r="P831" t="s">
        <v>46</v>
      </c>
      <c r="Q831">
        <v>0</v>
      </c>
      <c r="R831">
        <v>9</v>
      </c>
      <c r="S831">
        <v>19.600000000000001</v>
      </c>
      <c r="T831">
        <v>132</v>
      </c>
      <c r="U831">
        <v>87</v>
      </c>
      <c r="V831">
        <v>8067</v>
      </c>
      <c r="W831">
        <v>48.3</v>
      </c>
      <c r="X831">
        <v>7</v>
      </c>
      <c r="Y831">
        <v>7</v>
      </c>
      <c r="Z831">
        <v>17</v>
      </c>
      <c r="AA831">
        <v>4.5</v>
      </c>
      <c r="AB831">
        <v>2</v>
      </c>
      <c r="AC831">
        <v>5</v>
      </c>
      <c r="AD831">
        <v>1</v>
      </c>
      <c r="AE831">
        <v>1</v>
      </c>
      <c r="AF831">
        <v>38</v>
      </c>
      <c r="AG831">
        <v>37</v>
      </c>
      <c r="AH831">
        <v>25</v>
      </c>
      <c r="AI831">
        <v>8</v>
      </c>
      <c r="AJ831">
        <v>12</v>
      </c>
      <c r="AK831">
        <v>4</v>
      </c>
      <c r="AL831">
        <v>10</v>
      </c>
      <c r="AM831">
        <v>1</v>
      </c>
      <c r="AN831">
        <v>3</v>
      </c>
      <c r="AO831">
        <v>1</v>
      </c>
      <c r="AP831">
        <v>1</v>
      </c>
      <c r="AQ831">
        <v>2</v>
      </c>
      <c r="AR831">
        <v>675</v>
      </c>
      <c r="AS831">
        <v>783</v>
      </c>
      <c r="AT831" t="s">
        <v>7</v>
      </c>
      <c r="AU831">
        <v>0.92</v>
      </c>
      <c r="AV831">
        <v>2017</v>
      </c>
      <c r="AW831" s="1">
        <v>45695</v>
      </c>
      <c r="AX831">
        <v>5</v>
      </c>
      <c r="AY831" t="s">
        <v>30</v>
      </c>
      <c r="AZ831" t="s">
        <v>11</v>
      </c>
      <c r="BA831" t="s">
        <v>21</v>
      </c>
      <c r="BB831" t="s">
        <v>13</v>
      </c>
      <c r="BC831" t="s">
        <v>7</v>
      </c>
      <c r="BD831">
        <v>2</v>
      </c>
      <c r="BE831" t="s">
        <v>14</v>
      </c>
      <c r="BF831">
        <v>7.33</v>
      </c>
    </row>
    <row r="832" spans="1:58" hidden="1" x14ac:dyDescent="0.2">
      <c r="A832">
        <v>831</v>
      </c>
      <c r="B832" t="s">
        <v>0</v>
      </c>
      <c r="C832">
        <v>61</v>
      </c>
      <c r="D832" t="s">
        <v>28</v>
      </c>
      <c r="E832" t="s">
        <v>128</v>
      </c>
      <c r="F832" t="s">
        <v>15</v>
      </c>
      <c r="G832" t="s">
        <v>116</v>
      </c>
      <c r="H832" t="s">
        <v>118</v>
      </c>
      <c r="I832" t="s">
        <v>114</v>
      </c>
      <c r="J832" t="s">
        <v>123</v>
      </c>
      <c r="K832" t="s">
        <v>13</v>
      </c>
      <c r="L832">
        <v>4.4000000000000004</v>
      </c>
      <c r="M832">
        <v>6</v>
      </c>
      <c r="N832" t="s">
        <v>29</v>
      </c>
      <c r="O832" t="s">
        <v>41</v>
      </c>
      <c r="P832" t="s">
        <v>46</v>
      </c>
      <c r="Q832">
        <v>29</v>
      </c>
      <c r="R832">
        <v>6</v>
      </c>
      <c r="S832">
        <v>31.1</v>
      </c>
      <c r="T832">
        <v>139</v>
      </c>
      <c r="U832">
        <v>98</v>
      </c>
      <c r="V832">
        <v>8032</v>
      </c>
      <c r="W832">
        <v>30</v>
      </c>
      <c r="X832">
        <v>3</v>
      </c>
      <c r="Y832">
        <v>2</v>
      </c>
      <c r="Z832">
        <v>8</v>
      </c>
      <c r="AA832">
        <v>2.7</v>
      </c>
      <c r="AB832">
        <v>1</v>
      </c>
      <c r="AC832">
        <v>256</v>
      </c>
      <c r="AD832">
        <v>7</v>
      </c>
      <c r="AE832">
        <v>3</v>
      </c>
      <c r="AF832">
        <v>198</v>
      </c>
      <c r="AG832">
        <v>149</v>
      </c>
      <c r="AH832">
        <v>138</v>
      </c>
      <c r="AI832">
        <v>54</v>
      </c>
      <c r="AJ832">
        <v>40</v>
      </c>
      <c r="AK832">
        <v>40</v>
      </c>
      <c r="AL832">
        <v>30</v>
      </c>
      <c r="AM832">
        <v>5</v>
      </c>
      <c r="AN832">
        <v>148</v>
      </c>
      <c r="AO832">
        <v>52</v>
      </c>
      <c r="AP832">
        <v>58</v>
      </c>
      <c r="AQ832">
        <v>97</v>
      </c>
      <c r="AR832">
        <v>364</v>
      </c>
      <c r="AS832">
        <v>472</v>
      </c>
      <c r="AT832" t="s">
        <v>7</v>
      </c>
      <c r="AU832">
        <v>0.27</v>
      </c>
      <c r="AV832">
        <v>2010</v>
      </c>
      <c r="AW832" s="1">
        <v>45732</v>
      </c>
      <c r="AX832">
        <v>36.6</v>
      </c>
      <c r="AY832" t="s">
        <v>36</v>
      </c>
      <c r="AZ832" t="s">
        <v>17</v>
      </c>
      <c r="BA832" t="s">
        <v>12</v>
      </c>
      <c r="BB832" t="s">
        <v>13</v>
      </c>
      <c r="BC832" t="s">
        <v>13</v>
      </c>
      <c r="BD832">
        <v>3</v>
      </c>
      <c r="BE832" t="s">
        <v>14</v>
      </c>
      <c r="BF832">
        <v>0.99</v>
      </c>
    </row>
    <row r="833" spans="1:58" hidden="1" x14ac:dyDescent="0.2">
      <c r="A833">
        <v>832</v>
      </c>
      <c r="B833" t="s">
        <v>0</v>
      </c>
      <c r="C833">
        <v>23</v>
      </c>
      <c r="D833" t="s">
        <v>1</v>
      </c>
      <c r="E833" t="s">
        <v>42</v>
      </c>
      <c r="F833" t="s">
        <v>40</v>
      </c>
      <c r="G833" t="s">
        <v>4</v>
      </c>
      <c r="H833" t="s">
        <v>118</v>
      </c>
      <c r="I833" t="s">
        <v>112</v>
      </c>
      <c r="J833" t="s">
        <v>123</v>
      </c>
      <c r="K833" t="s">
        <v>7</v>
      </c>
      <c r="L833">
        <v>3.5</v>
      </c>
      <c r="M833">
        <v>6.2</v>
      </c>
      <c r="N833" t="s">
        <v>25</v>
      </c>
      <c r="O833" t="s">
        <v>7</v>
      </c>
      <c r="P833" t="s">
        <v>9</v>
      </c>
      <c r="Q833">
        <v>22</v>
      </c>
      <c r="R833">
        <v>9</v>
      </c>
      <c r="S833">
        <v>29.1</v>
      </c>
      <c r="T833">
        <v>100</v>
      </c>
      <c r="U833">
        <v>76</v>
      </c>
      <c r="V833">
        <v>8089</v>
      </c>
      <c r="W833">
        <v>39.5</v>
      </c>
      <c r="X833">
        <v>1</v>
      </c>
      <c r="Y833">
        <v>4</v>
      </c>
      <c r="Z833">
        <v>8</v>
      </c>
      <c r="AA833">
        <v>1.9</v>
      </c>
      <c r="AB833">
        <v>3</v>
      </c>
      <c r="AC833">
        <v>224</v>
      </c>
      <c r="AD833">
        <v>18</v>
      </c>
      <c r="AE833">
        <v>15</v>
      </c>
      <c r="AF833">
        <v>257</v>
      </c>
      <c r="AG833">
        <v>121</v>
      </c>
      <c r="AH833">
        <v>133</v>
      </c>
      <c r="AI833">
        <v>42</v>
      </c>
      <c r="AJ833">
        <v>33</v>
      </c>
      <c r="AK833">
        <v>32</v>
      </c>
      <c r="AL833">
        <v>26</v>
      </c>
      <c r="AM833">
        <v>12</v>
      </c>
      <c r="AN833">
        <v>116</v>
      </c>
      <c r="AO833">
        <v>58</v>
      </c>
      <c r="AP833">
        <v>37</v>
      </c>
      <c r="AQ833">
        <v>50</v>
      </c>
      <c r="AR833">
        <v>2657</v>
      </c>
      <c r="AS833">
        <v>4268</v>
      </c>
      <c r="AT833" t="s">
        <v>7</v>
      </c>
      <c r="AU833">
        <v>0.34</v>
      </c>
      <c r="AV833">
        <v>2011</v>
      </c>
      <c r="AW833" s="1">
        <v>45810</v>
      </c>
      <c r="AX833">
        <v>12.4</v>
      </c>
      <c r="AY833" t="s">
        <v>45</v>
      </c>
      <c r="AZ833" t="s">
        <v>17</v>
      </c>
      <c r="BA833" t="s">
        <v>21</v>
      </c>
      <c r="BB833" t="s">
        <v>13</v>
      </c>
      <c r="BC833" t="s">
        <v>7</v>
      </c>
      <c r="BD833">
        <v>2</v>
      </c>
      <c r="BE833" t="s">
        <v>43</v>
      </c>
      <c r="BF833">
        <v>1.1599999999999999</v>
      </c>
    </row>
    <row r="834" spans="1:58" hidden="1" x14ac:dyDescent="0.2">
      <c r="A834">
        <v>833</v>
      </c>
      <c r="B834" t="s">
        <v>0</v>
      </c>
      <c r="C834">
        <v>33</v>
      </c>
      <c r="D834" t="s">
        <v>1</v>
      </c>
      <c r="E834" t="s">
        <v>22</v>
      </c>
      <c r="F834" t="s">
        <v>15</v>
      </c>
      <c r="G834" t="s">
        <v>16</v>
      </c>
      <c r="H834" t="s">
        <v>23</v>
      </c>
      <c r="I834" t="s">
        <v>112</v>
      </c>
      <c r="J834" t="s">
        <v>6</v>
      </c>
      <c r="K834" t="s">
        <v>13</v>
      </c>
      <c r="L834">
        <v>9.6</v>
      </c>
      <c r="M834">
        <v>6.2</v>
      </c>
      <c r="N834" t="s">
        <v>25</v>
      </c>
      <c r="O834" t="s">
        <v>7</v>
      </c>
      <c r="P834" t="s">
        <v>26</v>
      </c>
      <c r="Q834">
        <v>27</v>
      </c>
      <c r="R834">
        <v>8</v>
      </c>
      <c r="S834">
        <v>27.1</v>
      </c>
      <c r="T834">
        <v>96</v>
      </c>
      <c r="U834">
        <v>93</v>
      </c>
      <c r="V834">
        <v>7906</v>
      </c>
      <c r="W834">
        <v>43.6</v>
      </c>
      <c r="X834">
        <v>5</v>
      </c>
      <c r="Y834">
        <v>3</v>
      </c>
      <c r="Z834">
        <v>10</v>
      </c>
      <c r="AA834">
        <v>2.9</v>
      </c>
      <c r="AB834">
        <v>2</v>
      </c>
      <c r="AC834">
        <v>175</v>
      </c>
      <c r="AD834">
        <v>6</v>
      </c>
      <c r="AE834">
        <v>6</v>
      </c>
      <c r="AF834">
        <v>152</v>
      </c>
      <c r="AG834">
        <v>97</v>
      </c>
      <c r="AH834">
        <v>112</v>
      </c>
      <c r="AI834">
        <v>38</v>
      </c>
      <c r="AJ834">
        <v>21</v>
      </c>
      <c r="AK834">
        <v>22</v>
      </c>
      <c r="AL834">
        <v>14</v>
      </c>
      <c r="AM834">
        <v>3</v>
      </c>
      <c r="AN834">
        <v>78</v>
      </c>
      <c r="AO834">
        <v>43</v>
      </c>
      <c r="AP834">
        <v>33</v>
      </c>
      <c r="AQ834">
        <v>44</v>
      </c>
      <c r="AR834">
        <v>1410</v>
      </c>
      <c r="AS834">
        <v>2227</v>
      </c>
      <c r="AT834" t="s">
        <v>13</v>
      </c>
      <c r="AU834">
        <v>0.99</v>
      </c>
      <c r="AV834">
        <v>2023</v>
      </c>
      <c r="AW834" s="1">
        <v>45899</v>
      </c>
      <c r="AX834">
        <v>29.2</v>
      </c>
      <c r="AY834" t="s">
        <v>36</v>
      </c>
      <c r="AZ834" t="s">
        <v>31</v>
      </c>
      <c r="BA834" t="s">
        <v>21</v>
      </c>
      <c r="BB834" t="s">
        <v>13</v>
      </c>
      <c r="BC834" t="s">
        <v>13</v>
      </c>
      <c r="BD834">
        <v>1</v>
      </c>
      <c r="BE834" t="s">
        <v>14</v>
      </c>
      <c r="BF834">
        <v>1.17</v>
      </c>
    </row>
    <row r="835" spans="1:58" hidden="1" x14ac:dyDescent="0.2">
      <c r="A835">
        <v>834</v>
      </c>
      <c r="B835" t="s">
        <v>0</v>
      </c>
      <c r="C835">
        <v>38</v>
      </c>
      <c r="D835" t="s">
        <v>28</v>
      </c>
      <c r="E835" t="s">
        <v>128</v>
      </c>
      <c r="F835" t="s">
        <v>40</v>
      </c>
      <c r="G835" t="s">
        <v>38</v>
      </c>
      <c r="H835" t="s">
        <v>34</v>
      </c>
      <c r="I835" t="s">
        <v>112</v>
      </c>
      <c r="J835" t="s">
        <v>32</v>
      </c>
      <c r="K835" t="s">
        <v>13</v>
      </c>
      <c r="L835">
        <v>16.899999999999999</v>
      </c>
      <c r="M835">
        <v>6.7</v>
      </c>
      <c r="N835" t="s">
        <v>29</v>
      </c>
      <c r="O835" t="s">
        <v>41</v>
      </c>
      <c r="P835" t="s">
        <v>26</v>
      </c>
      <c r="Q835">
        <v>2</v>
      </c>
      <c r="R835">
        <v>8</v>
      </c>
      <c r="S835">
        <v>24.3</v>
      </c>
      <c r="T835">
        <v>94</v>
      </c>
      <c r="U835">
        <v>72</v>
      </c>
      <c r="V835">
        <v>8160</v>
      </c>
      <c r="W835">
        <v>38.5</v>
      </c>
      <c r="X835">
        <v>2</v>
      </c>
      <c r="Y835">
        <v>10</v>
      </c>
      <c r="Z835">
        <v>7</v>
      </c>
      <c r="AA835">
        <v>2.2000000000000002</v>
      </c>
      <c r="AB835">
        <v>2</v>
      </c>
      <c r="AC835">
        <v>43</v>
      </c>
      <c r="AD835">
        <v>1</v>
      </c>
      <c r="AE835">
        <v>1</v>
      </c>
      <c r="AF835">
        <v>63</v>
      </c>
      <c r="AG835">
        <v>41</v>
      </c>
      <c r="AH835">
        <v>45</v>
      </c>
      <c r="AI835">
        <v>7</v>
      </c>
      <c r="AJ835">
        <v>14</v>
      </c>
      <c r="AK835">
        <v>15</v>
      </c>
      <c r="AL835">
        <v>10</v>
      </c>
      <c r="AM835">
        <v>1</v>
      </c>
      <c r="AN835">
        <v>17</v>
      </c>
      <c r="AO835">
        <v>10</v>
      </c>
      <c r="AP835">
        <v>7</v>
      </c>
      <c r="AQ835">
        <v>9</v>
      </c>
      <c r="AR835">
        <v>238</v>
      </c>
      <c r="AS835">
        <v>488</v>
      </c>
      <c r="AT835" t="s">
        <v>7</v>
      </c>
      <c r="AU835">
        <v>0.3</v>
      </c>
      <c r="AV835">
        <v>2014</v>
      </c>
      <c r="AW835" s="1">
        <v>45983</v>
      </c>
      <c r="AX835">
        <v>43</v>
      </c>
      <c r="AY835" t="s">
        <v>27</v>
      </c>
      <c r="AZ835" t="s">
        <v>31</v>
      </c>
      <c r="BA835" t="s">
        <v>21</v>
      </c>
      <c r="BB835" t="s">
        <v>13</v>
      </c>
      <c r="BC835" t="s">
        <v>7</v>
      </c>
      <c r="BD835">
        <v>1</v>
      </c>
      <c r="BE835" t="s">
        <v>14</v>
      </c>
      <c r="BF835">
        <v>1.41</v>
      </c>
    </row>
    <row r="836" spans="1:58" hidden="1" x14ac:dyDescent="0.2">
      <c r="A836">
        <v>835</v>
      </c>
      <c r="B836" t="s">
        <v>0</v>
      </c>
      <c r="C836">
        <v>37</v>
      </c>
      <c r="D836" t="s">
        <v>28</v>
      </c>
      <c r="E836" t="s">
        <v>128</v>
      </c>
      <c r="F836" t="s">
        <v>40</v>
      </c>
      <c r="G836" t="s">
        <v>38</v>
      </c>
      <c r="H836" t="s">
        <v>118</v>
      </c>
      <c r="I836" t="s">
        <v>112</v>
      </c>
      <c r="J836" t="s">
        <v>18</v>
      </c>
      <c r="K836" t="s">
        <v>7</v>
      </c>
      <c r="L836">
        <v>2.9</v>
      </c>
      <c r="M836">
        <v>7.6</v>
      </c>
      <c r="N836" t="s">
        <v>39</v>
      </c>
      <c r="O836" t="s">
        <v>7</v>
      </c>
      <c r="P836" t="s">
        <v>9</v>
      </c>
      <c r="Q836">
        <v>21</v>
      </c>
      <c r="R836">
        <v>9</v>
      </c>
      <c r="S836">
        <v>31.6</v>
      </c>
      <c r="T836">
        <v>136</v>
      </c>
      <c r="U836">
        <v>83</v>
      </c>
      <c r="V836">
        <v>7974</v>
      </c>
      <c r="W836">
        <v>59.7</v>
      </c>
      <c r="X836">
        <v>1</v>
      </c>
      <c r="Y836">
        <v>3</v>
      </c>
      <c r="Z836">
        <v>10</v>
      </c>
      <c r="AA836">
        <v>5</v>
      </c>
      <c r="AB836">
        <v>2</v>
      </c>
      <c r="AC836">
        <v>117</v>
      </c>
      <c r="AD836">
        <v>6</v>
      </c>
      <c r="AE836">
        <v>2</v>
      </c>
      <c r="AF836">
        <v>112</v>
      </c>
      <c r="AG836">
        <v>84</v>
      </c>
      <c r="AH836">
        <v>75</v>
      </c>
      <c r="AI836">
        <v>12</v>
      </c>
      <c r="AJ836">
        <v>27</v>
      </c>
      <c r="AK836">
        <v>25</v>
      </c>
      <c r="AL836">
        <v>7</v>
      </c>
      <c r="AM836">
        <v>3</v>
      </c>
      <c r="AN836">
        <v>66</v>
      </c>
      <c r="AO836">
        <v>14</v>
      </c>
      <c r="AP836">
        <v>14</v>
      </c>
      <c r="AQ836">
        <v>32</v>
      </c>
      <c r="AR836">
        <v>9587</v>
      </c>
      <c r="AS836">
        <v>10000</v>
      </c>
      <c r="AT836" t="s">
        <v>7</v>
      </c>
      <c r="AU836">
        <v>0.77</v>
      </c>
      <c r="AV836">
        <v>2020</v>
      </c>
      <c r="AW836" s="1">
        <v>45702</v>
      </c>
      <c r="AX836">
        <v>19.5</v>
      </c>
      <c r="AY836" t="s">
        <v>19</v>
      </c>
      <c r="AZ836" t="s">
        <v>35</v>
      </c>
      <c r="BA836" t="s">
        <v>122</v>
      </c>
      <c r="BB836" t="s">
        <v>13</v>
      </c>
      <c r="BC836" t="s">
        <v>7</v>
      </c>
      <c r="BD836">
        <v>4</v>
      </c>
      <c r="BE836" t="s">
        <v>14</v>
      </c>
      <c r="BF836">
        <v>0.89</v>
      </c>
    </row>
    <row r="837" spans="1:58" hidden="1" x14ac:dyDescent="0.2">
      <c r="A837">
        <v>836</v>
      </c>
      <c r="B837" t="s">
        <v>0</v>
      </c>
      <c r="C837">
        <v>34</v>
      </c>
      <c r="D837" t="s">
        <v>28</v>
      </c>
      <c r="E837" t="s">
        <v>50</v>
      </c>
      <c r="F837" t="s">
        <v>15</v>
      </c>
      <c r="G837" t="s">
        <v>16</v>
      </c>
      <c r="H837" t="s">
        <v>23</v>
      </c>
      <c r="I837" t="s">
        <v>114</v>
      </c>
      <c r="J837" t="s">
        <v>6</v>
      </c>
      <c r="K837" t="s">
        <v>7</v>
      </c>
      <c r="L837">
        <v>0.7</v>
      </c>
      <c r="M837">
        <v>6.8</v>
      </c>
      <c r="N837" t="s">
        <v>8</v>
      </c>
      <c r="O837" t="s">
        <v>13</v>
      </c>
      <c r="P837" t="s">
        <v>9</v>
      </c>
      <c r="Q837">
        <v>25</v>
      </c>
      <c r="R837">
        <v>3</v>
      </c>
      <c r="S837">
        <v>23.6</v>
      </c>
      <c r="T837">
        <v>131</v>
      </c>
      <c r="U837">
        <v>87</v>
      </c>
      <c r="V837">
        <v>8066</v>
      </c>
      <c r="W837">
        <v>49</v>
      </c>
      <c r="X837">
        <v>2</v>
      </c>
      <c r="Y837">
        <v>5</v>
      </c>
      <c r="Z837">
        <v>13</v>
      </c>
      <c r="AA837">
        <v>5.4</v>
      </c>
      <c r="AB837">
        <v>2</v>
      </c>
      <c r="AC837">
        <v>249</v>
      </c>
      <c r="AD837">
        <v>20</v>
      </c>
      <c r="AE837">
        <v>14</v>
      </c>
      <c r="AF837">
        <v>187</v>
      </c>
      <c r="AG837">
        <v>129</v>
      </c>
      <c r="AH837">
        <v>144</v>
      </c>
      <c r="AI837">
        <v>49</v>
      </c>
      <c r="AJ837">
        <v>28</v>
      </c>
      <c r="AK837">
        <v>44</v>
      </c>
      <c r="AL837">
        <v>33</v>
      </c>
      <c r="AM837">
        <v>7</v>
      </c>
      <c r="AN837">
        <v>106</v>
      </c>
      <c r="AO837">
        <v>74</v>
      </c>
      <c r="AP837">
        <v>35</v>
      </c>
      <c r="AQ837">
        <v>68</v>
      </c>
      <c r="AR837">
        <v>886</v>
      </c>
      <c r="AS837">
        <v>1802</v>
      </c>
      <c r="AT837" t="s">
        <v>13</v>
      </c>
      <c r="AU837">
        <v>0.09</v>
      </c>
      <c r="AV837">
        <v>2021</v>
      </c>
      <c r="AW837" s="1">
        <v>45751</v>
      </c>
      <c r="AX837">
        <v>12.4</v>
      </c>
      <c r="AY837" t="s">
        <v>30</v>
      </c>
      <c r="AZ837" t="s">
        <v>20</v>
      </c>
      <c r="BA837" t="s">
        <v>12</v>
      </c>
      <c r="BB837" t="s">
        <v>13</v>
      </c>
      <c r="BC837" t="s">
        <v>7</v>
      </c>
      <c r="BD837">
        <v>3</v>
      </c>
      <c r="BE837" t="s">
        <v>14</v>
      </c>
      <c r="BF837">
        <v>1.1399999999999999</v>
      </c>
    </row>
    <row r="838" spans="1:58" hidden="1" x14ac:dyDescent="0.2">
      <c r="A838">
        <v>837</v>
      </c>
      <c r="B838" t="s">
        <v>0</v>
      </c>
      <c r="C838">
        <v>39</v>
      </c>
      <c r="D838" t="s">
        <v>1</v>
      </c>
      <c r="E838" t="s">
        <v>47</v>
      </c>
      <c r="F838" t="s">
        <v>15</v>
      </c>
      <c r="G838" t="s">
        <v>16</v>
      </c>
      <c r="H838" t="s">
        <v>24</v>
      </c>
      <c r="I838" t="s">
        <v>115</v>
      </c>
      <c r="J838" t="s">
        <v>18</v>
      </c>
      <c r="K838" t="s">
        <v>13</v>
      </c>
      <c r="L838">
        <v>2</v>
      </c>
      <c r="M838">
        <v>7.9</v>
      </c>
      <c r="N838" t="s">
        <v>8</v>
      </c>
      <c r="O838" t="s">
        <v>7</v>
      </c>
      <c r="P838" t="s">
        <v>46</v>
      </c>
      <c r="Q838">
        <v>31</v>
      </c>
      <c r="R838">
        <v>1</v>
      </c>
      <c r="S838">
        <v>29</v>
      </c>
      <c r="T838">
        <v>137</v>
      </c>
      <c r="U838">
        <v>69</v>
      </c>
      <c r="V838">
        <v>7895</v>
      </c>
      <c r="W838">
        <v>46.8</v>
      </c>
      <c r="X838">
        <v>4</v>
      </c>
      <c r="Y838">
        <v>7</v>
      </c>
      <c r="Z838">
        <v>10</v>
      </c>
      <c r="AA838">
        <v>1.4</v>
      </c>
      <c r="AB838">
        <v>3</v>
      </c>
      <c r="AC838">
        <v>338</v>
      </c>
      <c r="AD838">
        <v>41</v>
      </c>
      <c r="AE838">
        <v>4</v>
      </c>
      <c r="AF838">
        <v>222</v>
      </c>
      <c r="AG838">
        <v>150</v>
      </c>
      <c r="AH838">
        <v>183</v>
      </c>
      <c r="AI838">
        <v>54</v>
      </c>
      <c r="AJ838">
        <v>42</v>
      </c>
      <c r="AK838">
        <v>57</v>
      </c>
      <c r="AL838">
        <v>28</v>
      </c>
      <c r="AM838">
        <v>10</v>
      </c>
      <c r="AN838">
        <v>177</v>
      </c>
      <c r="AO838">
        <v>61</v>
      </c>
      <c r="AP838">
        <v>58</v>
      </c>
      <c r="AQ838">
        <v>95</v>
      </c>
      <c r="AR838">
        <v>3632</v>
      </c>
      <c r="AS838">
        <v>4820</v>
      </c>
      <c r="AT838" t="s">
        <v>13</v>
      </c>
      <c r="AU838">
        <v>0.96</v>
      </c>
      <c r="AV838">
        <v>2020</v>
      </c>
      <c r="AW838" s="1">
        <v>45711</v>
      </c>
      <c r="AX838">
        <v>8.1999999999999993</v>
      </c>
      <c r="AY838" t="s">
        <v>19</v>
      </c>
      <c r="AZ838" t="s">
        <v>31</v>
      </c>
      <c r="BA838" t="s">
        <v>122</v>
      </c>
      <c r="BB838" t="s">
        <v>13</v>
      </c>
      <c r="BC838" t="s">
        <v>13</v>
      </c>
      <c r="BD838">
        <v>5</v>
      </c>
      <c r="BE838" t="s">
        <v>43</v>
      </c>
      <c r="BF838">
        <v>0.89</v>
      </c>
    </row>
    <row r="839" spans="1:58" hidden="1" x14ac:dyDescent="0.2">
      <c r="A839">
        <v>838</v>
      </c>
      <c r="B839" t="s">
        <v>0</v>
      </c>
      <c r="C839">
        <v>61</v>
      </c>
      <c r="D839" t="s">
        <v>1</v>
      </c>
      <c r="E839" t="s">
        <v>128</v>
      </c>
      <c r="F839" t="s">
        <v>40</v>
      </c>
      <c r="G839" t="s">
        <v>38</v>
      </c>
      <c r="H839" t="s">
        <v>118</v>
      </c>
      <c r="I839" t="s">
        <v>114</v>
      </c>
      <c r="J839" t="s">
        <v>6</v>
      </c>
      <c r="K839" t="s">
        <v>7</v>
      </c>
      <c r="L839">
        <v>7.8</v>
      </c>
      <c r="M839">
        <v>5.3</v>
      </c>
      <c r="N839" t="s">
        <v>29</v>
      </c>
      <c r="O839" t="s">
        <v>7</v>
      </c>
      <c r="P839" t="s">
        <v>52</v>
      </c>
      <c r="Q839">
        <v>11</v>
      </c>
      <c r="R839">
        <v>10</v>
      </c>
      <c r="S839">
        <v>18.2</v>
      </c>
      <c r="T839">
        <v>146</v>
      </c>
      <c r="U839">
        <v>89</v>
      </c>
      <c r="V839">
        <v>7963</v>
      </c>
      <c r="W839">
        <v>33.1</v>
      </c>
      <c r="X839">
        <v>2</v>
      </c>
      <c r="Y839">
        <v>1</v>
      </c>
      <c r="Z839">
        <v>10</v>
      </c>
      <c r="AA839">
        <v>8.3000000000000007</v>
      </c>
      <c r="AB839">
        <v>4</v>
      </c>
      <c r="AC839">
        <v>34</v>
      </c>
      <c r="AD839">
        <v>3</v>
      </c>
      <c r="AE839">
        <v>3</v>
      </c>
      <c r="AF839">
        <v>53</v>
      </c>
      <c r="AG839">
        <v>46</v>
      </c>
      <c r="AH839">
        <v>44</v>
      </c>
      <c r="AI839">
        <v>11</v>
      </c>
      <c r="AJ839">
        <v>13</v>
      </c>
      <c r="AK839">
        <v>9</v>
      </c>
      <c r="AL839">
        <v>3</v>
      </c>
      <c r="AM839">
        <v>4</v>
      </c>
      <c r="AN839">
        <v>14</v>
      </c>
      <c r="AO839">
        <v>8</v>
      </c>
      <c r="AP839">
        <v>6</v>
      </c>
      <c r="AQ839">
        <v>10</v>
      </c>
      <c r="AR839">
        <v>1178</v>
      </c>
      <c r="AS839">
        <v>1152</v>
      </c>
      <c r="AT839" t="s">
        <v>13</v>
      </c>
      <c r="AU839">
        <v>0.69</v>
      </c>
      <c r="AV839">
        <v>2025</v>
      </c>
      <c r="AW839" s="1">
        <v>45841</v>
      </c>
      <c r="AX839">
        <v>11.3</v>
      </c>
      <c r="AY839" t="s">
        <v>36</v>
      </c>
      <c r="AZ839" t="s">
        <v>20</v>
      </c>
      <c r="BA839" t="s">
        <v>122</v>
      </c>
      <c r="BB839" t="s">
        <v>13</v>
      </c>
      <c r="BC839" t="s">
        <v>13</v>
      </c>
      <c r="BD839">
        <v>3</v>
      </c>
      <c r="BE839" t="s">
        <v>14</v>
      </c>
      <c r="BF839">
        <v>2.14</v>
      </c>
    </row>
    <row r="840" spans="1:58" hidden="1" x14ac:dyDescent="0.2">
      <c r="A840">
        <v>839</v>
      </c>
      <c r="B840" t="s">
        <v>0</v>
      </c>
      <c r="C840">
        <v>25</v>
      </c>
      <c r="D840" t="s">
        <v>1</v>
      </c>
      <c r="E840" t="s">
        <v>127</v>
      </c>
      <c r="F840" t="s">
        <v>15</v>
      </c>
      <c r="G840" t="s">
        <v>16</v>
      </c>
      <c r="H840" t="s">
        <v>118</v>
      </c>
      <c r="I840" t="s">
        <v>112</v>
      </c>
      <c r="J840" t="s">
        <v>32</v>
      </c>
      <c r="K840" t="s">
        <v>13</v>
      </c>
      <c r="L840">
        <v>13</v>
      </c>
      <c r="M840">
        <v>6.6</v>
      </c>
      <c r="N840" t="s">
        <v>8</v>
      </c>
      <c r="O840" t="s">
        <v>7</v>
      </c>
      <c r="P840" t="s">
        <v>9</v>
      </c>
      <c r="Q840">
        <v>31</v>
      </c>
      <c r="R840">
        <v>9</v>
      </c>
      <c r="S840">
        <v>20.2</v>
      </c>
      <c r="T840">
        <v>142</v>
      </c>
      <c r="U840">
        <v>71</v>
      </c>
      <c r="V840">
        <v>7904</v>
      </c>
      <c r="W840">
        <v>44.5</v>
      </c>
      <c r="X840">
        <v>3</v>
      </c>
      <c r="Y840">
        <v>5</v>
      </c>
      <c r="Z840">
        <v>5</v>
      </c>
      <c r="AA840">
        <v>6.8</v>
      </c>
      <c r="AB840">
        <v>7</v>
      </c>
      <c r="AC840">
        <v>201</v>
      </c>
      <c r="AD840">
        <v>11</v>
      </c>
      <c r="AE840">
        <v>9</v>
      </c>
      <c r="AF840">
        <v>247</v>
      </c>
      <c r="AG840">
        <v>100</v>
      </c>
      <c r="AH840">
        <v>139</v>
      </c>
      <c r="AI840">
        <v>35</v>
      </c>
      <c r="AJ840">
        <v>26</v>
      </c>
      <c r="AK840">
        <v>33</v>
      </c>
      <c r="AL840">
        <v>21</v>
      </c>
      <c r="AM840">
        <v>3</v>
      </c>
      <c r="AN840">
        <v>82</v>
      </c>
      <c r="AO840">
        <v>47</v>
      </c>
      <c r="AP840">
        <v>47</v>
      </c>
      <c r="AQ840">
        <v>43</v>
      </c>
      <c r="AR840">
        <v>2176</v>
      </c>
      <c r="AS840">
        <v>4871</v>
      </c>
      <c r="AT840" t="s">
        <v>13</v>
      </c>
      <c r="AU840">
        <v>0.76</v>
      </c>
      <c r="AV840">
        <v>2025</v>
      </c>
      <c r="AW840" s="1">
        <v>46015</v>
      </c>
      <c r="AX840">
        <v>18.3</v>
      </c>
      <c r="AY840" t="s">
        <v>30</v>
      </c>
      <c r="AZ840" t="s">
        <v>17</v>
      </c>
      <c r="BA840" t="s">
        <v>21</v>
      </c>
      <c r="BB840" t="s">
        <v>13</v>
      </c>
      <c r="BC840" t="s">
        <v>7</v>
      </c>
      <c r="BD840">
        <v>0</v>
      </c>
      <c r="BE840" t="s">
        <v>43</v>
      </c>
      <c r="BF840">
        <v>1.17</v>
      </c>
    </row>
    <row r="841" spans="1:58" hidden="1" x14ac:dyDescent="0.2">
      <c r="A841">
        <v>840</v>
      </c>
      <c r="B841" t="s">
        <v>0</v>
      </c>
      <c r="C841">
        <v>45</v>
      </c>
      <c r="D841" t="s">
        <v>28</v>
      </c>
      <c r="E841" t="s">
        <v>128</v>
      </c>
      <c r="F841" t="s">
        <v>40</v>
      </c>
      <c r="G841" t="s">
        <v>38</v>
      </c>
      <c r="H841" t="s">
        <v>118</v>
      </c>
      <c r="I841" t="s">
        <v>112</v>
      </c>
      <c r="J841" t="s">
        <v>6</v>
      </c>
      <c r="K841" t="s">
        <v>7</v>
      </c>
      <c r="L841">
        <v>11.9</v>
      </c>
      <c r="M841">
        <v>6.3</v>
      </c>
      <c r="N841" t="s">
        <v>8</v>
      </c>
      <c r="O841" t="s">
        <v>7</v>
      </c>
      <c r="P841" t="s">
        <v>26</v>
      </c>
      <c r="Q841">
        <v>3</v>
      </c>
      <c r="R841">
        <v>4</v>
      </c>
      <c r="S841">
        <v>19.100000000000001</v>
      </c>
      <c r="T841">
        <v>117</v>
      </c>
      <c r="U841">
        <v>73</v>
      </c>
      <c r="V841">
        <v>8174</v>
      </c>
      <c r="W841">
        <v>34.1</v>
      </c>
      <c r="X841">
        <v>2</v>
      </c>
      <c r="Y841">
        <v>4</v>
      </c>
      <c r="Z841">
        <v>14</v>
      </c>
      <c r="AA841">
        <v>2.7</v>
      </c>
      <c r="AB841">
        <v>3</v>
      </c>
      <c r="AC841">
        <v>82</v>
      </c>
      <c r="AD841">
        <v>9</v>
      </c>
      <c r="AE841">
        <v>4</v>
      </c>
      <c r="AF841">
        <v>89</v>
      </c>
      <c r="AG841">
        <v>63</v>
      </c>
      <c r="AH841">
        <v>55</v>
      </c>
      <c r="AI841">
        <v>22</v>
      </c>
      <c r="AJ841">
        <v>13</v>
      </c>
      <c r="AK841">
        <v>14</v>
      </c>
      <c r="AL841">
        <v>16</v>
      </c>
      <c r="AM841">
        <v>6</v>
      </c>
      <c r="AN841">
        <v>48</v>
      </c>
      <c r="AO841">
        <v>14</v>
      </c>
      <c r="AP841">
        <v>11</v>
      </c>
      <c r="AQ841">
        <v>21</v>
      </c>
      <c r="AR841">
        <v>420</v>
      </c>
      <c r="AS841">
        <v>883</v>
      </c>
      <c r="AT841" t="s">
        <v>13</v>
      </c>
      <c r="AU841">
        <v>0.73</v>
      </c>
      <c r="AV841">
        <v>2019</v>
      </c>
      <c r="AW841" s="1">
        <v>45937</v>
      </c>
      <c r="AX841">
        <v>9.1</v>
      </c>
      <c r="AY841" t="s">
        <v>19</v>
      </c>
      <c r="AZ841" t="s">
        <v>20</v>
      </c>
      <c r="BA841" t="s">
        <v>12</v>
      </c>
      <c r="BB841" t="s">
        <v>13</v>
      </c>
      <c r="BC841" t="s">
        <v>13</v>
      </c>
      <c r="BD841">
        <v>2</v>
      </c>
      <c r="BE841" t="s">
        <v>14</v>
      </c>
      <c r="BF841">
        <v>1.34</v>
      </c>
    </row>
    <row r="842" spans="1:58" hidden="1" x14ac:dyDescent="0.2">
      <c r="A842">
        <v>841</v>
      </c>
      <c r="B842" t="s">
        <v>0</v>
      </c>
      <c r="C842">
        <v>46</v>
      </c>
      <c r="D842" t="s">
        <v>1</v>
      </c>
      <c r="E842" t="s">
        <v>47</v>
      </c>
      <c r="F842" t="s">
        <v>40</v>
      </c>
      <c r="G842" t="s">
        <v>38</v>
      </c>
      <c r="H842" t="s">
        <v>118</v>
      </c>
      <c r="I842" t="s">
        <v>113</v>
      </c>
      <c r="J842" t="s">
        <v>6</v>
      </c>
      <c r="K842" t="s">
        <v>13</v>
      </c>
      <c r="L842">
        <v>7.4</v>
      </c>
      <c r="M842">
        <v>6.2</v>
      </c>
      <c r="N842" t="s">
        <v>29</v>
      </c>
      <c r="O842" t="s">
        <v>7</v>
      </c>
      <c r="P842" t="s">
        <v>26</v>
      </c>
      <c r="Q842">
        <v>27</v>
      </c>
      <c r="R842">
        <v>4</v>
      </c>
      <c r="S842">
        <v>20.6</v>
      </c>
      <c r="T842">
        <v>151</v>
      </c>
      <c r="U842">
        <v>91</v>
      </c>
      <c r="V842">
        <v>7990</v>
      </c>
      <c r="W842">
        <v>39.6</v>
      </c>
      <c r="X842">
        <v>1</v>
      </c>
      <c r="Y842">
        <v>4</v>
      </c>
      <c r="Z842">
        <v>9</v>
      </c>
      <c r="AA842">
        <v>4</v>
      </c>
      <c r="AB842">
        <v>1</v>
      </c>
      <c r="AC842">
        <v>225</v>
      </c>
      <c r="AD842">
        <v>13</v>
      </c>
      <c r="AE842">
        <v>8</v>
      </c>
      <c r="AF842">
        <v>171</v>
      </c>
      <c r="AG842">
        <v>134</v>
      </c>
      <c r="AH842">
        <v>141</v>
      </c>
      <c r="AI842">
        <v>40</v>
      </c>
      <c r="AJ842">
        <v>27</v>
      </c>
      <c r="AK842">
        <v>50</v>
      </c>
      <c r="AL842">
        <v>24</v>
      </c>
      <c r="AM842">
        <v>4</v>
      </c>
      <c r="AN842">
        <v>116</v>
      </c>
      <c r="AO842">
        <v>33</v>
      </c>
      <c r="AP842">
        <v>28</v>
      </c>
      <c r="AQ842">
        <v>84</v>
      </c>
      <c r="AR842">
        <v>2668</v>
      </c>
      <c r="AS842">
        <v>5701</v>
      </c>
      <c r="AT842" t="s">
        <v>7</v>
      </c>
      <c r="AU842">
        <v>0.43</v>
      </c>
      <c r="AV842">
        <v>2010</v>
      </c>
      <c r="AW842" s="1">
        <v>45782</v>
      </c>
      <c r="AX842">
        <v>17.3</v>
      </c>
      <c r="AY842" t="s">
        <v>10</v>
      </c>
      <c r="AZ842" t="s">
        <v>37</v>
      </c>
      <c r="BA842" t="s">
        <v>21</v>
      </c>
      <c r="BB842" t="s">
        <v>13</v>
      </c>
      <c r="BC842" t="s">
        <v>13</v>
      </c>
      <c r="BD842">
        <v>2</v>
      </c>
      <c r="BE842" t="s">
        <v>14</v>
      </c>
      <c r="BF842">
        <v>1.08</v>
      </c>
    </row>
    <row r="843" spans="1:58" hidden="1" x14ac:dyDescent="0.2">
      <c r="A843">
        <v>842</v>
      </c>
      <c r="B843" t="s">
        <v>0</v>
      </c>
      <c r="C843">
        <v>53</v>
      </c>
      <c r="D843" t="s">
        <v>28</v>
      </c>
      <c r="E843" t="s">
        <v>126</v>
      </c>
      <c r="F843" t="s">
        <v>15</v>
      </c>
      <c r="G843" t="s">
        <v>117</v>
      </c>
      <c r="H843" t="s">
        <v>23</v>
      </c>
      <c r="I843" t="s">
        <v>113</v>
      </c>
      <c r="J843" t="s">
        <v>32</v>
      </c>
      <c r="K843" t="s">
        <v>7</v>
      </c>
      <c r="L843">
        <v>7.2</v>
      </c>
      <c r="M843">
        <v>7.2</v>
      </c>
      <c r="N843" t="s">
        <v>120</v>
      </c>
      <c r="O843" t="s">
        <v>41</v>
      </c>
      <c r="P843" t="s">
        <v>46</v>
      </c>
      <c r="Q843">
        <v>33</v>
      </c>
      <c r="R843">
        <v>8</v>
      </c>
      <c r="S843">
        <v>27.4</v>
      </c>
      <c r="T843">
        <v>100</v>
      </c>
      <c r="U843">
        <v>99</v>
      </c>
      <c r="V843">
        <v>8079</v>
      </c>
      <c r="W843">
        <v>27.4</v>
      </c>
      <c r="X843">
        <v>3</v>
      </c>
      <c r="Y843">
        <v>5</v>
      </c>
      <c r="Z843">
        <v>5</v>
      </c>
      <c r="AA843">
        <v>2.1</v>
      </c>
      <c r="AB843">
        <v>2</v>
      </c>
      <c r="AC843">
        <v>209</v>
      </c>
      <c r="AD843">
        <v>19</v>
      </c>
      <c r="AE843">
        <v>11</v>
      </c>
      <c r="AF843">
        <v>163</v>
      </c>
      <c r="AG843">
        <v>112</v>
      </c>
      <c r="AH843">
        <v>130</v>
      </c>
      <c r="AI843">
        <v>39</v>
      </c>
      <c r="AJ843">
        <v>32</v>
      </c>
      <c r="AK843">
        <v>45</v>
      </c>
      <c r="AL843">
        <v>19</v>
      </c>
      <c r="AM843">
        <v>3</v>
      </c>
      <c r="AN843">
        <v>108</v>
      </c>
      <c r="AO843">
        <v>49</v>
      </c>
      <c r="AP843">
        <v>50</v>
      </c>
      <c r="AQ843">
        <v>71</v>
      </c>
      <c r="AR843">
        <v>8085</v>
      </c>
      <c r="AS843">
        <v>10000</v>
      </c>
      <c r="AT843" t="s">
        <v>7</v>
      </c>
      <c r="AU843">
        <v>0.95</v>
      </c>
      <c r="AV843">
        <v>2012</v>
      </c>
      <c r="AW843" s="1">
        <v>45948</v>
      </c>
      <c r="AX843">
        <v>11</v>
      </c>
      <c r="AY843" t="s">
        <v>10</v>
      </c>
      <c r="AZ843" t="s">
        <v>17</v>
      </c>
      <c r="BA843" t="s">
        <v>122</v>
      </c>
      <c r="BB843" t="s">
        <v>13</v>
      </c>
      <c r="BC843" t="s">
        <v>7</v>
      </c>
      <c r="BD843">
        <v>2</v>
      </c>
      <c r="BE843" t="s">
        <v>14</v>
      </c>
      <c r="BF843">
        <v>1.1499999999999999</v>
      </c>
    </row>
    <row r="844" spans="1:58" hidden="1" x14ac:dyDescent="0.2">
      <c r="A844">
        <v>843</v>
      </c>
      <c r="B844" t="s">
        <v>0</v>
      </c>
      <c r="C844">
        <v>47</v>
      </c>
      <c r="D844" t="s">
        <v>1</v>
      </c>
      <c r="E844" t="s">
        <v>2</v>
      </c>
      <c r="F844" t="s">
        <v>3</v>
      </c>
      <c r="G844" t="s">
        <v>16</v>
      </c>
      <c r="H844" t="s">
        <v>118</v>
      </c>
      <c r="I844" t="s">
        <v>114</v>
      </c>
      <c r="J844" t="s">
        <v>6</v>
      </c>
      <c r="K844" t="s">
        <v>7</v>
      </c>
      <c r="L844">
        <v>10.5</v>
      </c>
      <c r="M844">
        <v>7.3</v>
      </c>
      <c r="N844" t="s">
        <v>39</v>
      </c>
      <c r="O844" t="s">
        <v>7</v>
      </c>
      <c r="P844" t="s">
        <v>26</v>
      </c>
      <c r="Q844">
        <v>10</v>
      </c>
      <c r="R844">
        <v>4</v>
      </c>
      <c r="S844">
        <v>24.1</v>
      </c>
      <c r="T844">
        <v>151</v>
      </c>
      <c r="U844">
        <v>94</v>
      </c>
      <c r="V844">
        <v>7967</v>
      </c>
      <c r="W844">
        <v>40.299999999999997</v>
      </c>
      <c r="X844">
        <v>3</v>
      </c>
      <c r="Y844">
        <v>1</v>
      </c>
      <c r="Z844">
        <v>16</v>
      </c>
      <c r="AA844">
        <v>0.6</v>
      </c>
      <c r="AB844">
        <v>1</v>
      </c>
      <c r="AC844">
        <v>130</v>
      </c>
      <c r="AD844">
        <v>8</v>
      </c>
      <c r="AE844">
        <v>2</v>
      </c>
      <c r="AF844">
        <v>112</v>
      </c>
      <c r="AG844">
        <v>80</v>
      </c>
      <c r="AH844">
        <v>85</v>
      </c>
      <c r="AI844">
        <v>13</v>
      </c>
      <c r="AJ844">
        <v>23</v>
      </c>
      <c r="AK844">
        <v>17</v>
      </c>
      <c r="AL844">
        <v>12</v>
      </c>
      <c r="AM844">
        <v>9</v>
      </c>
      <c r="AN844">
        <v>54</v>
      </c>
      <c r="AO844">
        <v>23</v>
      </c>
      <c r="AP844">
        <v>25</v>
      </c>
      <c r="AQ844">
        <v>49</v>
      </c>
      <c r="AR844">
        <v>642</v>
      </c>
      <c r="AS844">
        <v>899</v>
      </c>
      <c r="AT844" t="s">
        <v>7</v>
      </c>
      <c r="AU844">
        <v>0.98</v>
      </c>
      <c r="AV844">
        <v>2016</v>
      </c>
      <c r="AW844" s="1">
        <v>45988</v>
      </c>
      <c r="AX844">
        <v>16.2</v>
      </c>
      <c r="AY844" t="s">
        <v>27</v>
      </c>
      <c r="AZ844" t="s">
        <v>37</v>
      </c>
      <c r="BA844" t="s">
        <v>122</v>
      </c>
      <c r="BB844" t="s">
        <v>13</v>
      </c>
      <c r="BC844" t="s">
        <v>7</v>
      </c>
      <c r="BD844">
        <v>1</v>
      </c>
      <c r="BE844" t="s">
        <v>49</v>
      </c>
      <c r="BF844">
        <v>0.89</v>
      </c>
    </row>
    <row r="845" spans="1:58" hidden="1" x14ac:dyDescent="0.2">
      <c r="A845">
        <v>844</v>
      </c>
      <c r="B845" t="s">
        <v>0</v>
      </c>
      <c r="C845">
        <v>13</v>
      </c>
      <c r="D845" t="s">
        <v>1</v>
      </c>
      <c r="E845" t="s">
        <v>17</v>
      </c>
      <c r="F845" t="s">
        <v>40</v>
      </c>
      <c r="G845" t="s">
        <v>116</v>
      </c>
      <c r="H845" t="s">
        <v>118</v>
      </c>
      <c r="I845" t="s">
        <v>53</v>
      </c>
      <c r="J845" t="s">
        <v>6</v>
      </c>
      <c r="K845" t="s">
        <v>7</v>
      </c>
      <c r="L845">
        <v>0.5</v>
      </c>
      <c r="M845">
        <v>8.3000000000000007</v>
      </c>
      <c r="N845" t="s">
        <v>29</v>
      </c>
      <c r="O845" t="s">
        <v>13</v>
      </c>
      <c r="P845" t="s">
        <v>52</v>
      </c>
      <c r="Q845">
        <v>2</v>
      </c>
      <c r="R845">
        <v>1</v>
      </c>
      <c r="S845">
        <v>21.2</v>
      </c>
      <c r="T845">
        <v>91</v>
      </c>
      <c r="U845">
        <v>82</v>
      </c>
      <c r="V845">
        <v>8025</v>
      </c>
      <c r="W845">
        <v>40.5</v>
      </c>
      <c r="X845">
        <v>0</v>
      </c>
      <c r="Y845">
        <v>3</v>
      </c>
      <c r="Z845">
        <v>8</v>
      </c>
      <c r="AA845">
        <v>3.2</v>
      </c>
      <c r="AB845">
        <v>5</v>
      </c>
      <c r="AC845">
        <v>143</v>
      </c>
      <c r="AD845">
        <v>9</v>
      </c>
      <c r="AE845">
        <v>10</v>
      </c>
      <c r="AF845">
        <v>211</v>
      </c>
      <c r="AG845">
        <v>102</v>
      </c>
      <c r="AH845">
        <v>95</v>
      </c>
      <c r="AI845">
        <v>27</v>
      </c>
      <c r="AJ845">
        <v>16</v>
      </c>
      <c r="AK845">
        <v>25</v>
      </c>
      <c r="AL845">
        <v>19</v>
      </c>
      <c r="AM845">
        <v>2</v>
      </c>
      <c r="AN845">
        <v>58</v>
      </c>
      <c r="AO845">
        <v>22</v>
      </c>
      <c r="AP845">
        <v>19</v>
      </c>
      <c r="AQ845">
        <v>49</v>
      </c>
      <c r="AR845">
        <v>1176</v>
      </c>
      <c r="AS845">
        <v>717</v>
      </c>
      <c r="AT845" t="s">
        <v>13</v>
      </c>
      <c r="AU845">
        <v>0.17</v>
      </c>
      <c r="AV845">
        <v>2024</v>
      </c>
      <c r="AW845" s="1">
        <v>45676</v>
      </c>
      <c r="AX845">
        <v>15.9</v>
      </c>
      <c r="AY845" t="s">
        <v>27</v>
      </c>
      <c r="AZ845" t="s">
        <v>48</v>
      </c>
      <c r="BA845" t="s">
        <v>122</v>
      </c>
      <c r="BB845" t="s">
        <v>13</v>
      </c>
      <c r="BC845" t="s">
        <v>13</v>
      </c>
      <c r="BD845">
        <v>5</v>
      </c>
      <c r="BE845" t="s">
        <v>14</v>
      </c>
      <c r="BF845">
        <v>1.24</v>
      </c>
    </row>
    <row r="846" spans="1:58" hidden="1" x14ac:dyDescent="0.2">
      <c r="A846">
        <v>845</v>
      </c>
      <c r="B846" t="s">
        <v>0</v>
      </c>
      <c r="C846">
        <v>33</v>
      </c>
      <c r="D846" t="s">
        <v>28</v>
      </c>
      <c r="E846" t="s">
        <v>128</v>
      </c>
      <c r="F846" t="s">
        <v>15</v>
      </c>
      <c r="G846" t="s">
        <v>16</v>
      </c>
      <c r="H846" t="s">
        <v>5</v>
      </c>
      <c r="I846" t="s">
        <v>113</v>
      </c>
      <c r="J846" t="s">
        <v>123</v>
      </c>
      <c r="K846" t="s">
        <v>7</v>
      </c>
      <c r="L846">
        <v>0.5</v>
      </c>
      <c r="M846">
        <v>7.6</v>
      </c>
      <c r="N846" t="s">
        <v>29</v>
      </c>
      <c r="O846" t="s">
        <v>7</v>
      </c>
      <c r="P846" t="s">
        <v>46</v>
      </c>
      <c r="Q846">
        <v>23</v>
      </c>
      <c r="R846">
        <v>3</v>
      </c>
      <c r="S846">
        <v>22.6</v>
      </c>
      <c r="T846">
        <v>122</v>
      </c>
      <c r="U846">
        <v>81</v>
      </c>
      <c r="V846">
        <v>7826</v>
      </c>
      <c r="W846">
        <v>45.9</v>
      </c>
      <c r="X846">
        <v>6</v>
      </c>
      <c r="Y846">
        <v>3</v>
      </c>
      <c r="Z846">
        <v>9</v>
      </c>
      <c r="AA846">
        <v>1.6</v>
      </c>
      <c r="AB846">
        <v>2</v>
      </c>
      <c r="AC846">
        <v>310</v>
      </c>
      <c r="AD846">
        <v>23</v>
      </c>
      <c r="AE846">
        <v>4</v>
      </c>
      <c r="AF846">
        <v>229</v>
      </c>
      <c r="AG846">
        <v>144</v>
      </c>
      <c r="AH846">
        <v>189</v>
      </c>
      <c r="AI846">
        <v>56</v>
      </c>
      <c r="AJ846">
        <v>34</v>
      </c>
      <c r="AK846">
        <v>39</v>
      </c>
      <c r="AL846">
        <v>29</v>
      </c>
      <c r="AM846">
        <v>4</v>
      </c>
      <c r="AN846">
        <v>165</v>
      </c>
      <c r="AO846">
        <v>54</v>
      </c>
      <c r="AP846">
        <v>64</v>
      </c>
      <c r="AQ846">
        <v>85</v>
      </c>
      <c r="AR846">
        <v>245</v>
      </c>
      <c r="AS846">
        <v>251</v>
      </c>
      <c r="AT846" t="s">
        <v>7</v>
      </c>
      <c r="AU846">
        <v>0.33</v>
      </c>
      <c r="AV846">
        <v>2016</v>
      </c>
      <c r="AW846" s="1">
        <v>45949</v>
      </c>
      <c r="AX846">
        <v>13.5</v>
      </c>
      <c r="AY846" t="s">
        <v>30</v>
      </c>
      <c r="AZ846" t="s">
        <v>17</v>
      </c>
      <c r="BA846" t="s">
        <v>12</v>
      </c>
      <c r="BB846" t="s">
        <v>7</v>
      </c>
      <c r="BC846" t="s">
        <v>13</v>
      </c>
      <c r="BD846">
        <v>5</v>
      </c>
      <c r="BE846" t="s">
        <v>14</v>
      </c>
      <c r="BF846">
        <v>1.01</v>
      </c>
    </row>
    <row r="847" spans="1:58" hidden="1" x14ac:dyDescent="0.2">
      <c r="A847">
        <v>846</v>
      </c>
      <c r="B847" t="s">
        <v>0</v>
      </c>
      <c r="C847">
        <v>60</v>
      </c>
      <c r="D847" t="s">
        <v>1</v>
      </c>
      <c r="E847" t="s">
        <v>2</v>
      </c>
      <c r="F847" t="s">
        <v>3</v>
      </c>
      <c r="G847" t="s">
        <v>117</v>
      </c>
      <c r="H847" t="s">
        <v>118</v>
      </c>
      <c r="I847" t="s">
        <v>114</v>
      </c>
      <c r="J847" t="s">
        <v>123</v>
      </c>
      <c r="K847" t="s">
        <v>7</v>
      </c>
      <c r="L847">
        <v>16.399999999999999</v>
      </c>
      <c r="M847">
        <v>5.3</v>
      </c>
      <c r="N847" t="s">
        <v>39</v>
      </c>
      <c r="O847" t="s">
        <v>7</v>
      </c>
      <c r="P847" t="s">
        <v>9</v>
      </c>
      <c r="Q847">
        <v>10</v>
      </c>
      <c r="R847">
        <v>4</v>
      </c>
      <c r="S847">
        <v>31.1</v>
      </c>
      <c r="T847">
        <v>93</v>
      </c>
      <c r="U847">
        <v>98</v>
      </c>
      <c r="V847">
        <v>7957</v>
      </c>
      <c r="W847">
        <v>43.2</v>
      </c>
      <c r="X847">
        <v>2</v>
      </c>
      <c r="Y847">
        <v>0</v>
      </c>
      <c r="Z847">
        <v>9</v>
      </c>
      <c r="AA847">
        <v>1.2</v>
      </c>
      <c r="AB847">
        <v>1</v>
      </c>
      <c r="AC847">
        <v>82</v>
      </c>
      <c r="AD847">
        <v>7</v>
      </c>
      <c r="AE847">
        <v>3</v>
      </c>
      <c r="AF847">
        <v>89</v>
      </c>
      <c r="AG847">
        <v>76</v>
      </c>
      <c r="AH847">
        <v>54</v>
      </c>
      <c r="AI847">
        <v>18</v>
      </c>
      <c r="AJ847">
        <v>21</v>
      </c>
      <c r="AK847">
        <v>20</v>
      </c>
      <c r="AL847">
        <v>11</v>
      </c>
      <c r="AM847">
        <v>3</v>
      </c>
      <c r="AN847">
        <v>42</v>
      </c>
      <c r="AO847">
        <v>14</v>
      </c>
      <c r="AP847">
        <v>20</v>
      </c>
      <c r="AQ847">
        <v>24</v>
      </c>
      <c r="AR847">
        <v>313</v>
      </c>
      <c r="AS847">
        <v>335</v>
      </c>
      <c r="AT847" t="s">
        <v>7</v>
      </c>
      <c r="AU847">
        <v>0.49</v>
      </c>
      <c r="AV847">
        <v>2010</v>
      </c>
      <c r="AW847" s="1">
        <v>45827</v>
      </c>
      <c r="AX847">
        <v>11.7</v>
      </c>
      <c r="AY847" t="s">
        <v>19</v>
      </c>
      <c r="AZ847" t="s">
        <v>17</v>
      </c>
      <c r="BA847" t="s">
        <v>21</v>
      </c>
      <c r="BB847" t="s">
        <v>7</v>
      </c>
      <c r="BC847" t="s">
        <v>7</v>
      </c>
      <c r="BD847">
        <v>1</v>
      </c>
      <c r="BE847" t="s">
        <v>14</v>
      </c>
      <c r="BF847">
        <v>1.19</v>
      </c>
    </row>
    <row r="848" spans="1:58" hidden="1" x14ac:dyDescent="0.2">
      <c r="A848">
        <v>847</v>
      </c>
      <c r="B848" t="s">
        <v>0</v>
      </c>
      <c r="C848">
        <v>18</v>
      </c>
      <c r="D848" t="s">
        <v>1</v>
      </c>
      <c r="E848" t="s">
        <v>17</v>
      </c>
      <c r="F848" t="s">
        <v>15</v>
      </c>
      <c r="G848" t="s">
        <v>16</v>
      </c>
      <c r="H848" t="s">
        <v>23</v>
      </c>
      <c r="I848" t="s">
        <v>114</v>
      </c>
      <c r="J848" t="s">
        <v>6</v>
      </c>
      <c r="K848" t="s">
        <v>13</v>
      </c>
      <c r="L848">
        <v>9.1</v>
      </c>
      <c r="M848">
        <v>7.4</v>
      </c>
      <c r="N848" t="s">
        <v>29</v>
      </c>
      <c r="O848" t="s">
        <v>7</v>
      </c>
      <c r="P848" t="s">
        <v>26</v>
      </c>
      <c r="Q848">
        <v>37</v>
      </c>
      <c r="R848">
        <v>2</v>
      </c>
      <c r="S848">
        <v>29.1</v>
      </c>
      <c r="T848">
        <v>95</v>
      </c>
      <c r="U848">
        <v>85</v>
      </c>
      <c r="V848">
        <v>7911</v>
      </c>
      <c r="W848">
        <v>28.9</v>
      </c>
      <c r="X848">
        <v>1</v>
      </c>
      <c r="Y848">
        <v>2</v>
      </c>
      <c r="Z848">
        <v>14</v>
      </c>
      <c r="AA848">
        <v>0.4</v>
      </c>
      <c r="AB848">
        <v>5</v>
      </c>
      <c r="AC848">
        <v>369</v>
      </c>
      <c r="AD848">
        <v>32</v>
      </c>
      <c r="AE848">
        <v>16</v>
      </c>
      <c r="AF848">
        <v>300</v>
      </c>
      <c r="AG848">
        <v>150</v>
      </c>
      <c r="AH848">
        <v>196</v>
      </c>
      <c r="AI848">
        <v>50</v>
      </c>
      <c r="AJ848">
        <v>45</v>
      </c>
      <c r="AK848">
        <v>51</v>
      </c>
      <c r="AL848">
        <v>27</v>
      </c>
      <c r="AM848">
        <v>8</v>
      </c>
      <c r="AN848">
        <v>161</v>
      </c>
      <c r="AO848">
        <v>90</v>
      </c>
      <c r="AP848">
        <v>43</v>
      </c>
      <c r="AQ848">
        <v>108</v>
      </c>
      <c r="AR848">
        <v>3733</v>
      </c>
      <c r="AS848">
        <v>9027</v>
      </c>
      <c r="AT848" t="s">
        <v>7</v>
      </c>
      <c r="AU848">
        <v>0.21</v>
      </c>
      <c r="AV848">
        <v>2011</v>
      </c>
      <c r="AW848" s="1">
        <v>45905</v>
      </c>
      <c r="AX848">
        <v>11.5</v>
      </c>
      <c r="AY848" t="s">
        <v>30</v>
      </c>
      <c r="AZ848" t="s">
        <v>51</v>
      </c>
      <c r="BA848" t="s">
        <v>12</v>
      </c>
      <c r="BB848" t="s">
        <v>7</v>
      </c>
      <c r="BC848" t="s">
        <v>7</v>
      </c>
      <c r="BD848">
        <v>3</v>
      </c>
      <c r="BE848" t="s">
        <v>49</v>
      </c>
      <c r="BF848">
        <v>0.93</v>
      </c>
    </row>
    <row r="849" spans="1:58" hidden="1" x14ac:dyDescent="0.2">
      <c r="A849">
        <v>848</v>
      </c>
      <c r="B849" t="s">
        <v>0</v>
      </c>
      <c r="C849">
        <v>40</v>
      </c>
      <c r="D849" t="s">
        <v>28</v>
      </c>
      <c r="E849" t="s">
        <v>126</v>
      </c>
      <c r="F849" t="s">
        <v>3</v>
      </c>
      <c r="G849" t="s">
        <v>16</v>
      </c>
      <c r="H849" t="s">
        <v>119</v>
      </c>
      <c r="I849" t="s">
        <v>114</v>
      </c>
      <c r="J849" t="s">
        <v>123</v>
      </c>
      <c r="K849" t="s">
        <v>7</v>
      </c>
      <c r="L849">
        <v>2.2999999999999998</v>
      </c>
      <c r="M849">
        <v>6.5</v>
      </c>
      <c r="N849" t="s">
        <v>39</v>
      </c>
      <c r="O849" t="s">
        <v>41</v>
      </c>
      <c r="P849" t="s">
        <v>46</v>
      </c>
      <c r="Q849">
        <v>28</v>
      </c>
      <c r="R849">
        <v>4</v>
      </c>
      <c r="S849">
        <v>34.200000000000003</v>
      </c>
      <c r="T849">
        <v>144</v>
      </c>
      <c r="U849">
        <v>91</v>
      </c>
      <c r="V849">
        <v>8087</v>
      </c>
      <c r="W849">
        <v>30.9</v>
      </c>
      <c r="X849">
        <v>1</v>
      </c>
      <c r="Y849">
        <v>4</v>
      </c>
      <c r="Z849">
        <v>8</v>
      </c>
      <c r="AA849">
        <v>3</v>
      </c>
      <c r="AB849">
        <v>1</v>
      </c>
      <c r="AC849">
        <v>260</v>
      </c>
      <c r="AD849">
        <v>14</v>
      </c>
      <c r="AE849">
        <v>10</v>
      </c>
      <c r="AF849">
        <v>214</v>
      </c>
      <c r="AG849">
        <v>136</v>
      </c>
      <c r="AH849">
        <v>155</v>
      </c>
      <c r="AI849">
        <v>44</v>
      </c>
      <c r="AJ849">
        <v>42</v>
      </c>
      <c r="AK849">
        <v>27</v>
      </c>
      <c r="AL849">
        <v>20</v>
      </c>
      <c r="AM849">
        <v>4</v>
      </c>
      <c r="AN849">
        <v>141</v>
      </c>
      <c r="AO849">
        <v>36</v>
      </c>
      <c r="AP849">
        <v>48</v>
      </c>
      <c r="AQ849">
        <v>95</v>
      </c>
      <c r="AR849">
        <v>4973</v>
      </c>
      <c r="AS849">
        <v>3304</v>
      </c>
      <c r="AT849" t="s">
        <v>13</v>
      </c>
      <c r="AU849">
        <v>0.92</v>
      </c>
      <c r="AV849">
        <v>2025</v>
      </c>
      <c r="AW849" s="1">
        <v>45752</v>
      </c>
      <c r="AX849">
        <v>18.600000000000001</v>
      </c>
      <c r="AY849" t="s">
        <v>27</v>
      </c>
      <c r="AZ849" t="s">
        <v>51</v>
      </c>
      <c r="BA849" t="s">
        <v>21</v>
      </c>
      <c r="BB849" t="s">
        <v>7</v>
      </c>
      <c r="BC849" t="s">
        <v>7</v>
      </c>
      <c r="BD849">
        <v>3</v>
      </c>
      <c r="BE849" t="s">
        <v>49</v>
      </c>
      <c r="BF849">
        <v>1.05</v>
      </c>
    </row>
    <row r="850" spans="1:58" hidden="1" x14ac:dyDescent="0.2">
      <c r="A850">
        <v>849</v>
      </c>
      <c r="B850" t="s">
        <v>0</v>
      </c>
      <c r="C850">
        <v>29</v>
      </c>
      <c r="D850" t="s">
        <v>28</v>
      </c>
      <c r="E850" t="s">
        <v>2</v>
      </c>
      <c r="F850" t="s">
        <v>15</v>
      </c>
      <c r="G850" t="s">
        <v>117</v>
      </c>
      <c r="H850" t="s">
        <v>23</v>
      </c>
      <c r="I850" t="s">
        <v>112</v>
      </c>
      <c r="J850" t="s">
        <v>18</v>
      </c>
      <c r="K850" t="s">
        <v>13</v>
      </c>
      <c r="L850">
        <v>11.7</v>
      </c>
      <c r="M850">
        <v>6.4</v>
      </c>
      <c r="N850" t="s">
        <v>8</v>
      </c>
      <c r="O850" t="s">
        <v>7</v>
      </c>
      <c r="P850" t="s">
        <v>46</v>
      </c>
      <c r="Q850">
        <v>12</v>
      </c>
      <c r="R850">
        <v>3</v>
      </c>
      <c r="S850">
        <v>25.2</v>
      </c>
      <c r="T850">
        <v>132</v>
      </c>
      <c r="U850">
        <v>65</v>
      </c>
      <c r="V850">
        <v>8028</v>
      </c>
      <c r="W850">
        <v>45.6</v>
      </c>
      <c r="X850">
        <v>2</v>
      </c>
      <c r="Y850">
        <v>5</v>
      </c>
      <c r="Z850">
        <v>10</v>
      </c>
      <c r="AA850">
        <v>6.5</v>
      </c>
      <c r="AB850">
        <v>6</v>
      </c>
      <c r="AC850">
        <v>160</v>
      </c>
      <c r="AD850">
        <v>5</v>
      </c>
      <c r="AE850">
        <v>2</v>
      </c>
      <c r="AF850">
        <v>214</v>
      </c>
      <c r="AG850">
        <v>86</v>
      </c>
      <c r="AH850">
        <v>115</v>
      </c>
      <c r="AI850">
        <v>33</v>
      </c>
      <c r="AJ850">
        <v>22</v>
      </c>
      <c r="AK850">
        <v>27</v>
      </c>
      <c r="AL850">
        <v>8</v>
      </c>
      <c r="AM850">
        <v>4</v>
      </c>
      <c r="AN850">
        <v>76</v>
      </c>
      <c r="AO850">
        <v>48</v>
      </c>
      <c r="AP850">
        <v>23</v>
      </c>
      <c r="AQ850">
        <v>63</v>
      </c>
      <c r="AR850">
        <v>3877</v>
      </c>
      <c r="AS850">
        <v>4140</v>
      </c>
      <c r="AT850" t="s">
        <v>7</v>
      </c>
      <c r="AU850">
        <v>0.54</v>
      </c>
      <c r="AV850">
        <v>2024</v>
      </c>
      <c r="AW850" s="1">
        <v>45859</v>
      </c>
      <c r="AX850">
        <v>32</v>
      </c>
      <c r="AY850" t="s">
        <v>45</v>
      </c>
      <c r="AZ850" t="s">
        <v>48</v>
      </c>
      <c r="BA850" t="s">
        <v>12</v>
      </c>
      <c r="BB850" t="s">
        <v>7</v>
      </c>
      <c r="BC850" t="s">
        <v>7</v>
      </c>
      <c r="BD850">
        <v>3</v>
      </c>
      <c r="BE850" t="s">
        <v>14</v>
      </c>
      <c r="BF850">
        <v>1.1599999999999999</v>
      </c>
    </row>
    <row r="851" spans="1:58" hidden="1" x14ac:dyDescent="0.2">
      <c r="A851">
        <v>850</v>
      </c>
      <c r="B851" t="s">
        <v>0</v>
      </c>
      <c r="C851">
        <v>17</v>
      </c>
      <c r="D851" t="s">
        <v>1</v>
      </c>
      <c r="E851" t="s">
        <v>2</v>
      </c>
      <c r="F851" t="s">
        <v>15</v>
      </c>
      <c r="G851" t="s">
        <v>116</v>
      </c>
      <c r="H851" t="s">
        <v>24</v>
      </c>
      <c r="I851" t="s">
        <v>114</v>
      </c>
      <c r="J851" t="s">
        <v>32</v>
      </c>
      <c r="K851" t="s">
        <v>7</v>
      </c>
      <c r="L851">
        <v>3.2</v>
      </c>
      <c r="M851">
        <v>5.7</v>
      </c>
      <c r="N851" t="s">
        <v>29</v>
      </c>
      <c r="O851" t="s">
        <v>7</v>
      </c>
      <c r="P851" t="s">
        <v>26</v>
      </c>
      <c r="Q851">
        <v>32</v>
      </c>
      <c r="R851">
        <v>9</v>
      </c>
      <c r="S851">
        <v>28</v>
      </c>
      <c r="T851">
        <v>136</v>
      </c>
      <c r="U851">
        <v>65</v>
      </c>
      <c r="V851">
        <v>7998</v>
      </c>
      <c r="W851">
        <v>46.9</v>
      </c>
      <c r="X851">
        <v>2</v>
      </c>
      <c r="Y851">
        <v>4</v>
      </c>
      <c r="Z851">
        <v>6</v>
      </c>
      <c r="AA851">
        <v>7.1</v>
      </c>
      <c r="AB851">
        <v>5</v>
      </c>
      <c r="AC851">
        <v>219</v>
      </c>
      <c r="AD851">
        <v>10</v>
      </c>
      <c r="AE851">
        <v>10</v>
      </c>
      <c r="AF851">
        <v>274</v>
      </c>
      <c r="AG851">
        <v>111</v>
      </c>
      <c r="AH851">
        <v>136</v>
      </c>
      <c r="AI851">
        <v>40</v>
      </c>
      <c r="AJ851">
        <v>32</v>
      </c>
      <c r="AK851">
        <v>34</v>
      </c>
      <c r="AL851">
        <v>17</v>
      </c>
      <c r="AM851">
        <v>7</v>
      </c>
      <c r="AN851">
        <v>115</v>
      </c>
      <c r="AO851">
        <v>53</v>
      </c>
      <c r="AP851">
        <v>45</v>
      </c>
      <c r="AQ851">
        <v>72</v>
      </c>
      <c r="AR851">
        <v>10070</v>
      </c>
      <c r="AS851">
        <v>10000</v>
      </c>
      <c r="AT851" t="s">
        <v>7</v>
      </c>
      <c r="AU851">
        <v>0.09</v>
      </c>
      <c r="AV851">
        <v>2023</v>
      </c>
      <c r="AW851" s="1">
        <v>45798</v>
      </c>
      <c r="AX851">
        <v>21.9</v>
      </c>
      <c r="AY851" t="s">
        <v>30</v>
      </c>
      <c r="AZ851" t="s">
        <v>20</v>
      </c>
      <c r="BA851" t="s">
        <v>21</v>
      </c>
      <c r="BB851" t="s">
        <v>13</v>
      </c>
      <c r="BC851" t="s">
        <v>13</v>
      </c>
      <c r="BD851">
        <v>1</v>
      </c>
      <c r="BE851" t="s">
        <v>14</v>
      </c>
      <c r="BF851">
        <v>1.1200000000000001</v>
      </c>
    </row>
    <row r="852" spans="1:58" hidden="1" x14ac:dyDescent="0.2">
      <c r="A852">
        <v>851</v>
      </c>
      <c r="B852" t="s">
        <v>0</v>
      </c>
      <c r="C852">
        <v>43</v>
      </c>
      <c r="D852" t="s">
        <v>1</v>
      </c>
      <c r="E852" t="s">
        <v>128</v>
      </c>
      <c r="F852" t="s">
        <v>15</v>
      </c>
      <c r="G852" t="s">
        <v>16</v>
      </c>
      <c r="H852" t="s">
        <v>118</v>
      </c>
      <c r="I852" t="s">
        <v>114</v>
      </c>
      <c r="J852" t="s">
        <v>18</v>
      </c>
      <c r="K852" t="s">
        <v>7</v>
      </c>
      <c r="L852">
        <v>11.1</v>
      </c>
      <c r="M852">
        <v>5.9</v>
      </c>
      <c r="N852" t="s">
        <v>8</v>
      </c>
      <c r="O852" t="s">
        <v>7</v>
      </c>
      <c r="P852" t="s">
        <v>9</v>
      </c>
      <c r="Q852">
        <v>3</v>
      </c>
      <c r="R852">
        <v>10</v>
      </c>
      <c r="S852">
        <v>31.5</v>
      </c>
      <c r="T852">
        <v>152</v>
      </c>
      <c r="U852">
        <v>99</v>
      </c>
      <c r="V852">
        <v>7793</v>
      </c>
      <c r="W852">
        <v>37.200000000000003</v>
      </c>
      <c r="X852">
        <v>5</v>
      </c>
      <c r="Y852">
        <v>3</v>
      </c>
      <c r="Z852">
        <v>13</v>
      </c>
      <c r="AA852">
        <v>3.8</v>
      </c>
      <c r="AB852">
        <v>1</v>
      </c>
      <c r="AC852">
        <v>5</v>
      </c>
      <c r="AD852">
        <v>1</v>
      </c>
      <c r="AE852">
        <v>4</v>
      </c>
      <c r="AF852">
        <v>54</v>
      </c>
      <c r="AG852">
        <v>28</v>
      </c>
      <c r="AH852">
        <v>27</v>
      </c>
      <c r="AI852">
        <v>6</v>
      </c>
      <c r="AJ852">
        <v>11</v>
      </c>
      <c r="AK852">
        <v>5</v>
      </c>
      <c r="AL852">
        <v>3</v>
      </c>
      <c r="AM852">
        <v>2</v>
      </c>
      <c r="AN852">
        <v>2</v>
      </c>
      <c r="AO852">
        <v>1</v>
      </c>
      <c r="AP852">
        <v>1</v>
      </c>
      <c r="AQ852">
        <v>1</v>
      </c>
      <c r="AR852">
        <v>109</v>
      </c>
      <c r="AS852">
        <v>89</v>
      </c>
      <c r="AT852" t="s">
        <v>13</v>
      </c>
      <c r="AU852">
        <v>0.22</v>
      </c>
      <c r="AV852">
        <v>2025</v>
      </c>
      <c r="AW852" s="1">
        <v>45757</v>
      </c>
      <c r="AX852">
        <v>5</v>
      </c>
      <c r="AY852" t="s">
        <v>19</v>
      </c>
      <c r="AZ852" t="s">
        <v>31</v>
      </c>
      <c r="BA852" t="s">
        <v>21</v>
      </c>
      <c r="BB852" t="s">
        <v>13</v>
      </c>
      <c r="BC852" t="s">
        <v>7</v>
      </c>
      <c r="BD852">
        <v>1</v>
      </c>
      <c r="BE852" t="s">
        <v>14</v>
      </c>
      <c r="BF852">
        <v>8.5</v>
      </c>
    </row>
    <row r="853" spans="1:58" hidden="1" x14ac:dyDescent="0.2">
      <c r="A853">
        <v>852</v>
      </c>
      <c r="B853" t="s">
        <v>0</v>
      </c>
      <c r="C853">
        <v>17</v>
      </c>
      <c r="D853" t="s">
        <v>1</v>
      </c>
      <c r="E853" t="s">
        <v>128</v>
      </c>
      <c r="F853" t="s">
        <v>15</v>
      </c>
      <c r="G853" t="s">
        <v>117</v>
      </c>
      <c r="H853" t="s">
        <v>118</v>
      </c>
      <c r="I853" t="s">
        <v>113</v>
      </c>
      <c r="J853" t="s">
        <v>6</v>
      </c>
      <c r="K853" t="s">
        <v>7</v>
      </c>
      <c r="L853">
        <v>8.5</v>
      </c>
      <c r="M853">
        <v>6.7</v>
      </c>
      <c r="N853" t="s">
        <v>25</v>
      </c>
      <c r="O853" t="s">
        <v>7</v>
      </c>
      <c r="P853" t="s">
        <v>9</v>
      </c>
      <c r="Q853">
        <v>7</v>
      </c>
      <c r="R853">
        <v>4</v>
      </c>
      <c r="S853">
        <v>22.2</v>
      </c>
      <c r="T853">
        <v>131</v>
      </c>
      <c r="U853">
        <v>98</v>
      </c>
      <c r="V853">
        <v>7985</v>
      </c>
      <c r="W853">
        <v>27.4</v>
      </c>
      <c r="X853">
        <v>3</v>
      </c>
      <c r="Y853">
        <v>6</v>
      </c>
      <c r="Z853">
        <v>13</v>
      </c>
      <c r="AA853">
        <v>2.7</v>
      </c>
      <c r="AB853">
        <v>5</v>
      </c>
      <c r="AC853">
        <v>107</v>
      </c>
      <c r="AD853">
        <v>4</v>
      </c>
      <c r="AE853">
        <v>9</v>
      </c>
      <c r="AF853">
        <v>187</v>
      </c>
      <c r="AG853">
        <v>72</v>
      </c>
      <c r="AH853">
        <v>83</v>
      </c>
      <c r="AI853">
        <v>21</v>
      </c>
      <c r="AJ853">
        <v>17</v>
      </c>
      <c r="AK853">
        <v>31</v>
      </c>
      <c r="AL853">
        <v>5</v>
      </c>
      <c r="AM853">
        <v>5</v>
      </c>
      <c r="AN853">
        <v>48</v>
      </c>
      <c r="AO853">
        <v>30</v>
      </c>
      <c r="AP853">
        <v>25</v>
      </c>
      <c r="AQ853">
        <v>31</v>
      </c>
      <c r="AR853">
        <v>2051</v>
      </c>
      <c r="AS853">
        <v>3130</v>
      </c>
      <c r="AT853" t="s">
        <v>13</v>
      </c>
      <c r="AU853">
        <v>0.54</v>
      </c>
      <c r="AV853">
        <v>2012</v>
      </c>
      <c r="AW853" s="1">
        <v>45924</v>
      </c>
      <c r="AX853">
        <v>26.8</v>
      </c>
      <c r="AY853" t="s">
        <v>10</v>
      </c>
      <c r="AZ853" t="s">
        <v>11</v>
      </c>
      <c r="BA853" t="s">
        <v>21</v>
      </c>
      <c r="BB853" t="s">
        <v>7</v>
      </c>
      <c r="BC853" t="s">
        <v>13</v>
      </c>
      <c r="BD853">
        <v>1</v>
      </c>
      <c r="BE853" t="s">
        <v>14</v>
      </c>
      <c r="BF853">
        <v>1.41</v>
      </c>
    </row>
    <row r="854" spans="1:58" hidden="1" x14ac:dyDescent="0.2">
      <c r="A854">
        <v>853</v>
      </c>
      <c r="B854" t="s">
        <v>0</v>
      </c>
      <c r="C854">
        <v>50</v>
      </c>
      <c r="D854" t="s">
        <v>28</v>
      </c>
      <c r="E854" t="s">
        <v>22</v>
      </c>
      <c r="F854" t="s">
        <v>40</v>
      </c>
      <c r="G854" t="s">
        <v>117</v>
      </c>
      <c r="H854" t="s">
        <v>118</v>
      </c>
      <c r="I854" t="s">
        <v>17</v>
      </c>
      <c r="J854" t="s">
        <v>123</v>
      </c>
      <c r="K854" t="s">
        <v>13</v>
      </c>
      <c r="L854">
        <v>2.8</v>
      </c>
      <c r="M854">
        <v>6.8</v>
      </c>
      <c r="N854" t="s">
        <v>29</v>
      </c>
      <c r="O854" t="s">
        <v>7</v>
      </c>
      <c r="P854" t="s">
        <v>9</v>
      </c>
      <c r="Q854">
        <v>0</v>
      </c>
      <c r="R854">
        <v>8</v>
      </c>
      <c r="S854">
        <v>29.8</v>
      </c>
      <c r="T854">
        <v>109</v>
      </c>
      <c r="U854">
        <v>75</v>
      </c>
      <c r="V854">
        <v>8000</v>
      </c>
      <c r="W854">
        <v>49.1</v>
      </c>
      <c r="X854">
        <v>3</v>
      </c>
      <c r="Y854">
        <v>2</v>
      </c>
      <c r="Z854">
        <v>6</v>
      </c>
      <c r="AA854">
        <v>3.8</v>
      </c>
      <c r="AB854">
        <v>4</v>
      </c>
      <c r="AC854">
        <v>5</v>
      </c>
      <c r="AD854">
        <v>1</v>
      </c>
      <c r="AE854">
        <v>3</v>
      </c>
      <c r="AF854">
        <v>40</v>
      </c>
      <c r="AG854">
        <v>31</v>
      </c>
      <c r="AH854">
        <v>23</v>
      </c>
      <c r="AI854">
        <v>10</v>
      </c>
      <c r="AJ854">
        <v>14</v>
      </c>
      <c r="AK854">
        <v>13</v>
      </c>
      <c r="AL854">
        <v>4</v>
      </c>
      <c r="AM854">
        <v>1</v>
      </c>
      <c r="AN854">
        <v>2</v>
      </c>
      <c r="AO854">
        <v>1</v>
      </c>
      <c r="AP854">
        <v>1</v>
      </c>
      <c r="AQ854">
        <v>1</v>
      </c>
      <c r="AR854">
        <v>1117</v>
      </c>
      <c r="AS854">
        <v>2495</v>
      </c>
      <c r="AT854" t="s">
        <v>7</v>
      </c>
      <c r="AU854">
        <v>0.55000000000000004</v>
      </c>
      <c r="AV854">
        <v>2010</v>
      </c>
      <c r="AW854" s="1">
        <v>45806</v>
      </c>
      <c r="AX854">
        <v>5</v>
      </c>
      <c r="AY854" t="s">
        <v>30</v>
      </c>
      <c r="AZ854" t="s">
        <v>11</v>
      </c>
      <c r="BA854" t="s">
        <v>21</v>
      </c>
      <c r="BB854" t="s">
        <v>7</v>
      </c>
      <c r="BC854" t="s">
        <v>13</v>
      </c>
      <c r="BD854">
        <v>0</v>
      </c>
      <c r="BE854" t="s">
        <v>14</v>
      </c>
      <c r="BF854">
        <v>8.67</v>
      </c>
    </row>
    <row r="855" spans="1:58" hidden="1" x14ac:dyDescent="0.2">
      <c r="A855">
        <v>854</v>
      </c>
      <c r="B855" t="s">
        <v>0</v>
      </c>
      <c r="C855">
        <v>15</v>
      </c>
      <c r="D855" t="s">
        <v>28</v>
      </c>
      <c r="E855" t="s">
        <v>128</v>
      </c>
      <c r="F855" t="s">
        <v>15</v>
      </c>
      <c r="G855" t="s">
        <v>4</v>
      </c>
      <c r="H855" t="s">
        <v>24</v>
      </c>
      <c r="I855" t="s">
        <v>112</v>
      </c>
      <c r="J855" t="s">
        <v>18</v>
      </c>
      <c r="K855" t="s">
        <v>13</v>
      </c>
      <c r="L855">
        <v>4.2</v>
      </c>
      <c r="M855">
        <v>6</v>
      </c>
      <c r="N855" t="s">
        <v>29</v>
      </c>
      <c r="O855" t="s">
        <v>7</v>
      </c>
      <c r="P855" t="s">
        <v>26</v>
      </c>
      <c r="Q855">
        <v>26</v>
      </c>
      <c r="R855">
        <v>6</v>
      </c>
      <c r="S855">
        <v>26.4</v>
      </c>
      <c r="T855">
        <v>143</v>
      </c>
      <c r="U855">
        <v>60</v>
      </c>
      <c r="V855">
        <v>7929</v>
      </c>
      <c r="W855">
        <v>16.2</v>
      </c>
      <c r="X855">
        <v>1</v>
      </c>
      <c r="Y855">
        <v>1</v>
      </c>
      <c r="Z855">
        <v>13</v>
      </c>
      <c r="AA855">
        <v>2.2000000000000002</v>
      </c>
      <c r="AB855">
        <v>4</v>
      </c>
      <c r="AC855">
        <v>244</v>
      </c>
      <c r="AD855">
        <v>8</v>
      </c>
      <c r="AE855">
        <v>11</v>
      </c>
      <c r="AF855">
        <v>248</v>
      </c>
      <c r="AG855">
        <v>128</v>
      </c>
      <c r="AH855">
        <v>144</v>
      </c>
      <c r="AI855">
        <v>36</v>
      </c>
      <c r="AJ855">
        <v>32</v>
      </c>
      <c r="AK855">
        <v>30</v>
      </c>
      <c r="AL855">
        <v>27</v>
      </c>
      <c r="AM855">
        <v>5</v>
      </c>
      <c r="AN855">
        <v>134</v>
      </c>
      <c r="AO855">
        <v>69</v>
      </c>
      <c r="AP855">
        <v>53</v>
      </c>
      <c r="AQ855">
        <v>68</v>
      </c>
      <c r="AR855">
        <v>386</v>
      </c>
      <c r="AS855">
        <v>252</v>
      </c>
      <c r="AT855" t="s">
        <v>7</v>
      </c>
      <c r="AU855">
        <v>0.43</v>
      </c>
      <c r="AV855">
        <v>2012</v>
      </c>
      <c r="AW855" s="1">
        <v>45919</v>
      </c>
      <c r="AX855">
        <v>30.5</v>
      </c>
      <c r="AY855" t="s">
        <v>27</v>
      </c>
      <c r="AZ855" t="s">
        <v>48</v>
      </c>
      <c r="BA855" t="s">
        <v>21</v>
      </c>
      <c r="BB855" t="s">
        <v>13</v>
      </c>
      <c r="BC855" t="s">
        <v>13</v>
      </c>
      <c r="BD855">
        <v>2</v>
      </c>
      <c r="BE855" t="s">
        <v>14</v>
      </c>
      <c r="BF855">
        <v>1.02</v>
      </c>
    </row>
    <row r="856" spans="1:58" hidden="1" x14ac:dyDescent="0.2">
      <c r="A856">
        <v>855</v>
      </c>
      <c r="B856" t="s">
        <v>0</v>
      </c>
      <c r="C856">
        <v>65</v>
      </c>
      <c r="D856" t="s">
        <v>28</v>
      </c>
      <c r="E856" t="s">
        <v>33</v>
      </c>
      <c r="F856" t="s">
        <v>3</v>
      </c>
      <c r="G856" t="s">
        <v>116</v>
      </c>
      <c r="H856" t="s">
        <v>34</v>
      </c>
      <c r="I856" t="s">
        <v>114</v>
      </c>
      <c r="J856" t="s">
        <v>18</v>
      </c>
      <c r="K856" t="s">
        <v>7</v>
      </c>
      <c r="L856">
        <v>1.8</v>
      </c>
      <c r="M856">
        <v>8.3000000000000007</v>
      </c>
      <c r="N856" t="s">
        <v>120</v>
      </c>
      <c r="O856" t="s">
        <v>7</v>
      </c>
      <c r="P856" t="s">
        <v>52</v>
      </c>
      <c r="Q856">
        <v>12</v>
      </c>
      <c r="R856">
        <v>8</v>
      </c>
      <c r="S856">
        <v>21.5</v>
      </c>
      <c r="T856">
        <v>120</v>
      </c>
      <c r="U856">
        <v>77</v>
      </c>
      <c r="V856">
        <v>7998</v>
      </c>
      <c r="W856">
        <v>51.7</v>
      </c>
      <c r="X856">
        <v>3</v>
      </c>
      <c r="Y856">
        <v>3</v>
      </c>
      <c r="Z856">
        <v>13</v>
      </c>
      <c r="AA856">
        <v>2.6</v>
      </c>
      <c r="AB856">
        <v>1</v>
      </c>
      <c r="AC856">
        <v>65</v>
      </c>
      <c r="AD856">
        <v>5</v>
      </c>
      <c r="AE856">
        <v>1</v>
      </c>
      <c r="AF856">
        <v>79</v>
      </c>
      <c r="AG856">
        <v>65</v>
      </c>
      <c r="AH856">
        <v>62</v>
      </c>
      <c r="AI856">
        <v>19</v>
      </c>
      <c r="AJ856">
        <v>17</v>
      </c>
      <c r="AK856">
        <v>20</v>
      </c>
      <c r="AL856">
        <v>9</v>
      </c>
      <c r="AM856">
        <v>5</v>
      </c>
      <c r="AN856">
        <v>36</v>
      </c>
      <c r="AO856">
        <v>12</v>
      </c>
      <c r="AP856">
        <v>12</v>
      </c>
      <c r="AQ856">
        <v>21</v>
      </c>
      <c r="AR856">
        <v>183</v>
      </c>
      <c r="AS856">
        <v>440</v>
      </c>
      <c r="AT856" t="s">
        <v>7</v>
      </c>
      <c r="AU856">
        <v>0.65</v>
      </c>
      <c r="AV856">
        <v>2025</v>
      </c>
      <c r="AW856" s="1">
        <v>45935</v>
      </c>
      <c r="AX856">
        <v>13</v>
      </c>
      <c r="AY856" t="s">
        <v>10</v>
      </c>
      <c r="AZ856" t="s">
        <v>48</v>
      </c>
      <c r="BA856" t="s">
        <v>122</v>
      </c>
      <c r="BB856" t="s">
        <v>13</v>
      </c>
      <c r="BC856" t="s">
        <v>7</v>
      </c>
      <c r="BD856">
        <v>3</v>
      </c>
      <c r="BE856" t="s">
        <v>43</v>
      </c>
      <c r="BF856">
        <v>1.56</v>
      </c>
    </row>
    <row r="857" spans="1:58" hidden="1" x14ac:dyDescent="0.2">
      <c r="A857">
        <v>856</v>
      </c>
      <c r="B857" t="s">
        <v>0</v>
      </c>
      <c r="C857">
        <v>35</v>
      </c>
      <c r="D857" t="s">
        <v>1</v>
      </c>
      <c r="E857" t="s">
        <v>128</v>
      </c>
      <c r="F857" t="s">
        <v>40</v>
      </c>
      <c r="G857" t="s">
        <v>16</v>
      </c>
      <c r="H857" t="s">
        <v>34</v>
      </c>
      <c r="I857" t="s">
        <v>114</v>
      </c>
      <c r="J857" t="s">
        <v>123</v>
      </c>
      <c r="K857" t="s">
        <v>7</v>
      </c>
      <c r="L857">
        <v>5.3</v>
      </c>
      <c r="M857">
        <v>6.8</v>
      </c>
      <c r="N857" t="s">
        <v>29</v>
      </c>
      <c r="O857" t="s">
        <v>7</v>
      </c>
      <c r="P857" t="s">
        <v>52</v>
      </c>
      <c r="Q857">
        <v>10</v>
      </c>
      <c r="R857">
        <v>5</v>
      </c>
      <c r="S857">
        <v>23.5</v>
      </c>
      <c r="T857">
        <v>136</v>
      </c>
      <c r="U857">
        <v>79</v>
      </c>
      <c r="V857">
        <v>7962</v>
      </c>
      <c r="W857">
        <v>49.3</v>
      </c>
      <c r="X857">
        <v>6</v>
      </c>
      <c r="Y857">
        <v>5</v>
      </c>
      <c r="Z857">
        <v>6</v>
      </c>
      <c r="AA857">
        <v>4</v>
      </c>
      <c r="AB857">
        <v>3</v>
      </c>
      <c r="AC857">
        <v>101</v>
      </c>
      <c r="AD857">
        <v>3</v>
      </c>
      <c r="AE857">
        <v>3</v>
      </c>
      <c r="AF857">
        <v>116</v>
      </c>
      <c r="AG857">
        <v>80</v>
      </c>
      <c r="AH857">
        <v>72</v>
      </c>
      <c r="AI857">
        <v>18</v>
      </c>
      <c r="AJ857">
        <v>21</v>
      </c>
      <c r="AK857">
        <v>18</v>
      </c>
      <c r="AL857">
        <v>8</v>
      </c>
      <c r="AM857">
        <v>3</v>
      </c>
      <c r="AN857">
        <v>57</v>
      </c>
      <c r="AO857">
        <v>19</v>
      </c>
      <c r="AP857">
        <v>13</v>
      </c>
      <c r="AQ857">
        <v>31</v>
      </c>
      <c r="AR857">
        <v>223</v>
      </c>
      <c r="AS857">
        <v>414</v>
      </c>
      <c r="AT857" t="s">
        <v>13</v>
      </c>
      <c r="AU857">
        <v>0.28999999999999998</v>
      </c>
      <c r="AV857">
        <v>2011</v>
      </c>
      <c r="AW857" s="1">
        <v>45959</v>
      </c>
      <c r="AX857">
        <v>33.700000000000003</v>
      </c>
      <c r="AY857" t="s">
        <v>30</v>
      </c>
      <c r="AZ857" t="s">
        <v>31</v>
      </c>
      <c r="BA857" t="s">
        <v>21</v>
      </c>
      <c r="BB857" t="s">
        <v>13</v>
      </c>
      <c r="BC857" t="s">
        <v>13</v>
      </c>
      <c r="BD857">
        <v>3</v>
      </c>
      <c r="BE857" t="s">
        <v>14</v>
      </c>
      <c r="BF857">
        <v>1.1499999999999999</v>
      </c>
    </row>
    <row r="858" spans="1:58" hidden="1" x14ac:dyDescent="0.2">
      <c r="A858">
        <v>857</v>
      </c>
      <c r="B858" t="s">
        <v>0</v>
      </c>
      <c r="C858">
        <v>49</v>
      </c>
      <c r="D858" t="s">
        <v>1</v>
      </c>
      <c r="E858" t="s">
        <v>128</v>
      </c>
      <c r="F858" t="s">
        <v>15</v>
      </c>
      <c r="G858" t="s">
        <v>117</v>
      </c>
      <c r="H858" t="s">
        <v>119</v>
      </c>
      <c r="I858" t="s">
        <v>114</v>
      </c>
      <c r="J858" t="s">
        <v>6</v>
      </c>
      <c r="K858" t="s">
        <v>13</v>
      </c>
      <c r="L858">
        <v>3.3</v>
      </c>
      <c r="M858">
        <v>6.7</v>
      </c>
      <c r="N858" t="s">
        <v>120</v>
      </c>
      <c r="O858" t="s">
        <v>7</v>
      </c>
      <c r="P858" t="s">
        <v>26</v>
      </c>
      <c r="Q858">
        <v>30</v>
      </c>
      <c r="R858">
        <v>6</v>
      </c>
      <c r="S858">
        <v>19.3</v>
      </c>
      <c r="T858">
        <v>155</v>
      </c>
      <c r="U858">
        <v>96</v>
      </c>
      <c r="V858">
        <v>8018</v>
      </c>
      <c r="W858">
        <v>32.9</v>
      </c>
      <c r="X858">
        <v>1</v>
      </c>
      <c r="Y858">
        <v>9</v>
      </c>
      <c r="Z858">
        <v>13</v>
      </c>
      <c r="AA858">
        <v>2.5</v>
      </c>
      <c r="AB858">
        <v>5</v>
      </c>
      <c r="AC858">
        <v>266</v>
      </c>
      <c r="AD858">
        <v>8</v>
      </c>
      <c r="AE858">
        <v>2</v>
      </c>
      <c r="AF858">
        <v>188</v>
      </c>
      <c r="AG858">
        <v>148</v>
      </c>
      <c r="AH858">
        <v>142</v>
      </c>
      <c r="AI858">
        <v>54</v>
      </c>
      <c r="AJ858">
        <v>40</v>
      </c>
      <c r="AK858">
        <v>39</v>
      </c>
      <c r="AL858">
        <v>32</v>
      </c>
      <c r="AM858">
        <v>6</v>
      </c>
      <c r="AN858">
        <v>148</v>
      </c>
      <c r="AO858">
        <v>44</v>
      </c>
      <c r="AP858">
        <v>58</v>
      </c>
      <c r="AQ858">
        <v>76</v>
      </c>
      <c r="AR858">
        <v>2616</v>
      </c>
      <c r="AS858">
        <v>3241</v>
      </c>
      <c r="AT858" t="s">
        <v>7</v>
      </c>
      <c r="AU858">
        <v>0.4</v>
      </c>
      <c r="AV858">
        <v>2023</v>
      </c>
      <c r="AW858" s="1">
        <v>45941</v>
      </c>
      <c r="AX858">
        <v>33.200000000000003</v>
      </c>
      <c r="AY858" t="s">
        <v>10</v>
      </c>
      <c r="AZ858" t="s">
        <v>37</v>
      </c>
      <c r="BA858" t="s">
        <v>12</v>
      </c>
      <c r="BB858" t="s">
        <v>13</v>
      </c>
      <c r="BC858" t="s">
        <v>7</v>
      </c>
      <c r="BD858">
        <v>4</v>
      </c>
      <c r="BE858" t="s">
        <v>14</v>
      </c>
      <c r="BF858">
        <v>0.96</v>
      </c>
    </row>
    <row r="859" spans="1:58" hidden="1" x14ac:dyDescent="0.2">
      <c r="A859">
        <v>858</v>
      </c>
      <c r="B859" t="s">
        <v>0</v>
      </c>
      <c r="C859">
        <v>65</v>
      </c>
      <c r="D859" t="s">
        <v>1</v>
      </c>
      <c r="E859" t="s">
        <v>128</v>
      </c>
      <c r="F859" t="s">
        <v>40</v>
      </c>
      <c r="G859" t="s">
        <v>38</v>
      </c>
      <c r="H859" t="s">
        <v>118</v>
      </c>
      <c r="I859" t="s">
        <v>17</v>
      </c>
      <c r="J859" t="s">
        <v>32</v>
      </c>
      <c r="K859" t="s">
        <v>7</v>
      </c>
      <c r="L859">
        <v>14.2</v>
      </c>
      <c r="M859">
        <v>6.4</v>
      </c>
      <c r="N859" t="s">
        <v>29</v>
      </c>
      <c r="O859" t="s">
        <v>7</v>
      </c>
      <c r="P859" t="s">
        <v>9</v>
      </c>
      <c r="Q859">
        <v>14</v>
      </c>
      <c r="R859">
        <v>5</v>
      </c>
      <c r="S859">
        <v>18.600000000000001</v>
      </c>
      <c r="T859">
        <v>127</v>
      </c>
      <c r="U859">
        <v>70</v>
      </c>
      <c r="V859">
        <v>8007</v>
      </c>
      <c r="W859">
        <v>49.7</v>
      </c>
      <c r="X859">
        <v>2</v>
      </c>
      <c r="Y859">
        <v>4</v>
      </c>
      <c r="Z859">
        <v>11</v>
      </c>
      <c r="AA859">
        <v>3</v>
      </c>
      <c r="AB859">
        <v>1</v>
      </c>
      <c r="AC859">
        <v>112</v>
      </c>
      <c r="AD859">
        <v>8</v>
      </c>
      <c r="AE859">
        <v>1</v>
      </c>
      <c r="AF859">
        <v>115</v>
      </c>
      <c r="AG859">
        <v>79</v>
      </c>
      <c r="AH859">
        <v>63</v>
      </c>
      <c r="AI859">
        <v>21</v>
      </c>
      <c r="AJ859">
        <v>23</v>
      </c>
      <c r="AK859">
        <v>25</v>
      </c>
      <c r="AL859">
        <v>8</v>
      </c>
      <c r="AM859">
        <v>4</v>
      </c>
      <c r="AN859">
        <v>64</v>
      </c>
      <c r="AO859">
        <v>29</v>
      </c>
      <c r="AP859">
        <v>28</v>
      </c>
      <c r="AQ859">
        <v>41</v>
      </c>
      <c r="AR859">
        <v>379</v>
      </c>
      <c r="AS859">
        <v>426</v>
      </c>
      <c r="AT859" t="s">
        <v>7</v>
      </c>
      <c r="AU859">
        <v>0.21</v>
      </c>
      <c r="AV859">
        <v>2012</v>
      </c>
      <c r="AW859" s="1">
        <v>45890</v>
      </c>
      <c r="AX859">
        <v>14</v>
      </c>
      <c r="AY859" t="s">
        <v>45</v>
      </c>
      <c r="AZ859" t="s">
        <v>11</v>
      </c>
      <c r="BA859" t="s">
        <v>21</v>
      </c>
      <c r="BB859" t="s">
        <v>13</v>
      </c>
      <c r="BC859" t="s">
        <v>7</v>
      </c>
      <c r="BD859">
        <v>5</v>
      </c>
      <c r="BE859" t="s">
        <v>14</v>
      </c>
      <c r="BF859">
        <v>0.96</v>
      </c>
    </row>
    <row r="860" spans="1:58" hidden="1" x14ac:dyDescent="0.2">
      <c r="A860">
        <v>859</v>
      </c>
      <c r="B860" t="s">
        <v>0</v>
      </c>
      <c r="C860">
        <v>49</v>
      </c>
      <c r="D860" t="s">
        <v>1</v>
      </c>
      <c r="E860" t="s">
        <v>127</v>
      </c>
      <c r="F860" t="s">
        <v>15</v>
      </c>
      <c r="G860" t="s">
        <v>4</v>
      </c>
      <c r="H860" t="s">
        <v>118</v>
      </c>
      <c r="I860" t="s">
        <v>112</v>
      </c>
      <c r="J860" t="s">
        <v>123</v>
      </c>
      <c r="K860" t="s">
        <v>7</v>
      </c>
      <c r="L860">
        <v>6.1</v>
      </c>
      <c r="M860">
        <v>6.4</v>
      </c>
      <c r="N860" t="s">
        <v>29</v>
      </c>
      <c r="O860" t="s">
        <v>7</v>
      </c>
      <c r="P860" t="s">
        <v>46</v>
      </c>
      <c r="Q860">
        <v>9</v>
      </c>
      <c r="R860">
        <v>10</v>
      </c>
      <c r="S860">
        <v>29.1</v>
      </c>
      <c r="T860">
        <v>96</v>
      </c>
      <c r="U860">
        <v>97</v>
      </c>
      <c r="V860">
        <v>8081</v>
      </c>
      <c r="W860">
        <v>43.2</v>
      </c>
      <c r="X860">
        <v>3</v>
      </c>
      <c r="Y860">
        <v>2</v>
      </c>
      <c r="Z860">
        <v>12</v>
      </c>
      <c r="AA860">
        <v>11.8</v>
      </c>
      <c r="AB860">
        <v>2</v>
      </c>
      <c r="AC860">
        <v>5</v>
      </c>
      <c r="AD860">
        <v>1</v>
      </c>
      <c r="AE860">
        <v>3</v>
      </c>
      <c r="AF860">
        <v>38</v>
      </c>
      <c r="AG860">
        <v>40</v>
      </c>
      <c r="AH860">
        <v>22</v>
      </c>
      <c r="AI860">
        <v>6</v>
      </c>
      <c r="AJ860">
        <v>14</v>
      </c>
      <c r="AK860">
        <v>7</v>
      </c>
      <c r="AL860">
        <v>8</v>
      </c>
      <c r="AM860">
        <v>2</v>
      </c>
      <c r="AN860">
        <v>3</v>
      </c>
      <c r="AO860">
        <v>1</v>
      </c>
      <c r="AP860">
        <v>1</v>
      </c>
      <c r="AQ860">
        <v>1</v>
      </c>
      <c r="AR860">
        <v>1011</v>
      </c>
      <c r="AS860">
        <v>2201</v>
      </c>
      <c r="AT860" t="s">
        <v>7</v>
      </c>
      <c r="AU860">
        <v>0.37</v>
      </c>
      <c r="AV860">
        <v>2019</v>
      </c>
      <c r="AW860" s="1">
        <v>45764</v>
      </c>
      <c r="AX860">
        <v>5</v>
      </c>
      <c r="AY860" t="s">
        <v>36</v>
      </c>
      <c r="AZ860" t="s">
        <v>11</v>
      </c>
      <c r="BA860" t="s">
        <v>21</v>
      </c>
      <c r="BB860" t="s">
        <v>7</v>
      </c>
      <c r="BC860" t="s">
        <v>13</v>
      </c>
      <c r="BD860">
        <v>1</v>
      </c>
      <c r="BE860" t="s">
        <v>14</v>
      </c>
      <c r="BF860">
        <v>7.17</v>
      </c>
    </row>
    <row r="861" spans="1:58" hidden="1" x14ac:dyDescent="0.2">
      <c r="A861">
        <v>860</v>
      </c>
      <c r="B861" t="s">
        <v>0</v>
      </c>
      <c r="C861">
        <v>22</v>
      </c>
      <c r="D861" t="s">
        <v>1</v>
      </c>
      <c r="E861" t="s">
        <v>128</v>
      </c>
      <c r="F861" t="s">
        <v>3</v>
      </c>
      <c r="G861" t="s">
        <v>16</v>
      </c>
      <c r="H861" t="s">
        <v>118</v>
      </c>
      <c r="I861" t="s">
        <v>115</v>
      </c>
      <c r="J861" t="s">
        <v>6</v>
      </c>
      <c r="K861" t="s">
        <v>13</v>
      </c>
      <c r="L861">
        <v>11.6</v>
      </c>
      <c r="M861">
        <v>6.4</v>
      </c>
      <c r="N861" t="s">
        <v>29</v>
      </c>
      <c r="O861" t="s">
        <v>41</v>
      </c>
      <c r="P861" t="s">
        <v>46</v>
      </c>
      <c r="Q861">
        <v>12</v>
      </c>
      <c r="R861">
        <v>7</v>
      </c>
      <c r="S861">
        <v>25</v>
      </c>
      <c r="T861">
        <v>97</v>
      </c>
      <c r="U861">
        <v>71</v>
      </c>
      <c r="V861">
        <v>7910</v>
      </c>
      <c r="W861">
        <v>43.9</v>
      </c>
      <c r="X861">
        <v>2</v>
      </c>
      <c r="Y861">
        <v>8</v>
      </c>
      <c r="Z861">
        <v>10</v>
      </c>
      <c r="AA861">
        <v>4.9000000000000004</v>
      </c>
      <c r="AB861">
        <v>1</v>
      </c>
      <c r="AC861">
        <v>197</v>
      </c>
      <c r="AD861">
        <v>6</v>
      </c>
      <c r="AE861">
        <v>6</v>
      </c>
      <c r="AF861">
        <v>243</v>
      </c>
      <c r="AG861">
        <v>120</v>
      </c>
      <c r="AH861">
        <v>110</v>
      </c>
      <c r="AI861">
        <v>38</v>
      </c>
      <c r="AJ861">
        <v>39</v>
      </c>
      <c r="AK861">
        <v>39</v>
      </c>
      <c r="AL861">
        <v>15</v>
      </c>
      <c r="AM861">
        <v>3</v>
      </c>
      <c r="AN861">
        <v>88</v>
      </c>
      <c r="AO861">
        <v>29</v>
      </c>
      <c r="AP861">
        <v>20</v>
      </c>
      <c r="AQ861">
        <v>71</v>
      </c>
      <c r="AR861">
        <v>1644</v>
      </c>
      <c r="AS861">
        <v>4109</v>
      </c>
      <c r="AT861" t="s">
        <v>7</v>
      </c>
      <c r="AU861">
        <v>0.03</v>
      </c>
      <c r="AV861">
        <v>2010</v>
      </c>
      <c r="AW861" s="1">
        <v>45805</v>
      </c>
      <c r="AX861">
        <v>32.799999999999997</v>
      </c>
      <c r="AY861" t="s">
        <v>19</v>
      </c>
      <c r="AZ861" t="s">
        <v>11</v>
      </c>
      <c r="BA861" t="s">
        <v>122</v>
      </c>
      <c r="BB861" t="s">
        <v>7</v>
      </c>
      <c r="BC861" t="s">
        <v>13</v>
      </c>
      <c r="BD861">
        <v>3</v>
      </c>
      <c r="BE861" t="s">
        <v>14</v>
      </c>
      <c r="BF861">
        <v>1.03</v>
      </c>
    </row>
    <row r="862" spans="1:58" hidden="1" x14ac:dyDescent="0.2">
      <c r="A862">
        <v>861</v>
      </c>
      <c r="B862" t="s">
        <v>0</v>
      </c>
      <c r="C862">
        <v>22</v>
      </c>
      <c r="D862" t="s">
        <v>1</v>
      </c>
      <c r="E862" t="s">
        <v>33</v>
      </c>
      <c r="F862" t="s">
        <v>40</v>
      </c>
      <c r="G862" t="s">
        <v>4</v>
      </c>
      <c r="H862" t="s">
        <v>119</v>
      </c>
      <c r="I862" t="s">
        <v>114</v>
      </c>
      <c r="J862" t="s">
        <v>32</v>
      </c>
      <c r="K862" t="s">
        <v>7</v>
      </c>
      <c r="L862">
        <v>10</v>
      </c>
      <c r="M862">
        <v>7.2</v>
      </c>
      <c r="N862" t="s">
        <v>120</v>
      </c>
      <c r="O862" t="s">
        <v>7</v>
      </c>
      <c r="P862" t="s">
        <v>9</v>
      </c>
      <c r="Q862">
        <v>18</v>
      </c>
      <c r="R862">
        <v>2</v>
      </c>
      <c r="S862">
        <v>25.5</v>
      </c>
      <c r="T862">
        <v>112</v>
      </c>
      <c r="U862">
        <v>61</v>
      </c>
      <c r="V862">
        <v>8049</v>
      </c>
      <c r="W862">
        <v>33</v>
      </c>
      <c r="X862">
        <v>5</v>
      </c>
      <c r="Y862">
        <v>5</v>
      </c>
      <c r="Z862">
        <v>9</v>
      </c>
      <c r="AA862">
        <v>3</v>
      </c>
      <c r="AB862">
        <v>3</v>
      </c>
      <c r="AC862">
        <v>302</v>
      </c>
      <c r="AD862">
        <v>9</v>
      </c>
      <c r="AE862">
        <v>12</v>
      </c>
      <c r="AF862">
        <v>300</v>
      </c>
      <c r="AG862">
        <v>142</v>
      </c>
      <c r="AH862">
        <v>182</v>
      </c>
      <c r="AI862">
        <v>45</v>
      </c>
      <c r="AJ862">
        <v>34</v>
      </c>
      <c r="AK862">
        <v>66</v>
      </c>
      <c r="AL862">
        <v>30</v>
      </c>
      <c r="AM862">
        <v>7</v>
      </c>
      <c r="AN862">
        <v>123</v>
      </c>
      <c r="AO862">
        <v>83</v>
      </c>
      <c r="AP862">
        <v>50</v>
      </c>
      <c r="AQ862">
        <v>70</v>
      </c>
      <c r="AR862">
        <v>619</v>
      </c>
      <c r="AS862">
        <v>1408</v>
      </c>
      <c r="AT862" t="s">
        <v>7</v>
      </c>
      <c r="AU862">
        <v>0.42</v>
      </c>
      <c r="AV862">
        <v>2024</v>
      </c>
      <c r="AW862" s="1">
        <v>45757</v>
      </c>
      <c r="AX862">
        <v>33.6</v>
      </c>
      <c r="AY862" t="s">
        <v>45</v>
      </c>
      <c r="AZ862" t="s">
        <v>51</v>
      </c>
      <c r="BA862" t="s">
        <v>21</v>
      </c>
      <c r="BB862" t="s">
        <v>13</v>
      </c>
      <c r="BC862" t="s">
        <v>7</v>
      </c>
      <c r="BD862">
        <v>2</v>
      </c>
      <c r="BE862" t="s">
        <v>14</v>
      </c>
      <c r="BF862">
        <v>1.02</v>
      </c>
    </row>
    <row r="863" spans="1:58" hidden="1" x14ac:dyDescent="0.2">
      <c r="A863">
        <v>862</v>
      </c>
      <c r="B863" t="s">
        <v>0</v>
      </c>
      <c r="C863">
        <v>31</v>
      </c>
      <c r="D863" t="s">
        <v>28</v>
      </c>
      <c r="E863" t="s">
        <v>47</v>
      </c>
      <c r="F863" t="s">
        <v>3</v>
      </c>
      <c r="G863" t="s">
        <v>16</v>
      </c>
      <c r="H863" t="s">
        <v>118</v>
      </c>
      <c r="I863" t="s">
        <v>114</v>
      </c>
      <c r="J863" t="s">
        <v>6</v>
      </c>
      <c r="K863" t="s">
        <v>7</v>
      </c>
      <c r="L863">
        <v>5.4</v>
      </c>
      <c r="M863">
        <v>6.8</v>
      </c>
      <c r="N863" t="s">
        <v>29</v>
      </c>
      <c r="O863" t="s">
        <v>7</v>
      </c>
      <c r="P863" t="s">
        <v>46</v>
      </c>
      <c r="Q863">
        <v>12</v>
      </c>
      <c r="R863">
        <v>1</v>
      </c>
      <c r="S863">
        <v>21.3</v>
      </c>
      <c r="T863">
        <v>119</v>
      </c>
      <c r="U863">
        <v>63</v>
      </c>
      <c r="V863">
        <v>8163</v>
      </c>
      <c r="W863">
        <v>33.4</v>
      </c>
      <c r="X863">
        <v>1</v>
      </c>
      <c r="Y863">
        <v>2</v>
      </c>
      <c r="Z863">
        <v>6</v>
      </c>
      <c r="AA863">
        <v>3.2</v>
      </c>
      <c r="AB863">
        <v>4</v>
      </c>
      <c r="AC863">
        <v>188</v>
      </c>
      <c r="AD863">
        <v>21</v>
      </c>
      <c r="AE863">
        <v>4</v>
      </c>
      <c r="AF863">
        <v>144</v>
      </c>
      <c r="AG863">
        <v>98</v>
      </c>
      <c r="AH863">
        <v>119</v>
      </c>
      <c r="AI863">
        <v>33</v>
      </c>
      <c r="AJ863">
        <v>26</v>
      </c>
      <c r="AK863">
        <v>34</v>
      </c>
      <c r="AL863">
        <v>20</v>
      </c>
      <c r="AM863">
        <v>9</v>
      </c>
      <c r="AN863">
        <v>94</v>
      </c>
      <c r="AO863">
        <v>26</v>
      </c>
      <c r="AP863">
        <v>34</v>
      </c>
      <c r="AQ863">
        <v>74</v>
      </c>
      <c r="AR863">
        <v>364</v>
      </c>
      <c r="AS863">
        <v>824</v>
      </c>
      <c r="AT863" t="s">
        <v>7</v>
      </c>
      <c r="AU863">
        <v>0.04</v>
      </c>
      <c r="AV863">
        <v>2019</v>
      </c>
      <c r="AW863" s="1">
        <v>46020</v>
      </c>
      <c r="AX863">
        <v>9</v>
      </c>
      <c r="AY863" t="s">
        <v>10</v>
      </c>
      <c r="AZ863" t="s">
        <v>48</v>
      </c>
      <c r="BA863" t="s">
        <v>12</v>
      </c>
      <c r="BB863" t="s">
        <v>7</v>
      </c>
      <c r="BC863" t="s">
        <v>7</v>
      </c>
      <c r="BD863">
        <v>2</v>
      </c>
      <c r="BE863" t="s">
        <v>43</v>
      </c>
      <c r="BF863">
        <v>1.04</v>
      </c>
    </row>
    <row r="864" spans="1:58" hidden="1" x14ac:dyDescent="0.2">
      <c r="A864">
        <v>863</v>
      </c>
      <c r="B864" t="s">
        <v>0</v>
      </c>
      <c r="C864">
        <v>29</v>
      </c>
      <c r="D864" t="s">
        <v>1</v>
      </c>
      <c r="E864" t="s">
        <v>42</v>
      </c>
      <c r="F864" t="s">
        <v>15</v>
      </c>
      <c r="G864" t="s">
        <v>117</v>
      </c>
      <c r="H864" t="s">
        <v>118</v>
      </c>
      <c r="I864" t="s">
        <v>114</v>
      </c>
      <c r="J864" t="s">
        <v>6</v>
      </c>
      <c r="K864" t="s">
        <v>13</v>
      </c>
      <c r="L864">
        <v>3.6</v>
      </c>
      <c r="M864">
        <v>5.4</v>
      </c>
      <c r="N864" t="s">
        <v>25</v>
      </c>
      <c r="O864" t="s">
        <v>7</v>
      </c>
      <c r="P864" t="s">
        <v>46</v>
      </c>
      <c r="Q864">
        <v>37</v>
      </c>
      <c r="R864">
        <v>8</v>
      </c>
      <c r="S864">
        <v>26.8</v>
      </c>
      <c r="T864">
        <v>125</v>
      </c>
      <c r="U864">
        <v>62</v>
      </c>
      <c r="V864">
        <v>7999</v>
      </c>
      <c r="W864">
        <v>38</v>
      </c>
      <c r="X864">
        <v>2</v>
      </c>
      <c r="Y864">
        <v>6</v>
      </c>
      <c r="Z864">
        <v>6</v>
      </c>
      <c r="AA864">
        <v>1.4</v>
      </c>
      <c r="AB864">
        <v>4</v>
      </c>
      <c r="AC864">
        <v>291</v>
      </c>
      <c r="AD864">
        <v>21</v>
      </c>
      <c r="AE864">
        <v>6</v>
      </c>
      <c r="AF864">
        <v>300</v>
      </c>
      <c r="AG864">
        <v>150</v>
      </c>
      <c r="AH864">
        <v>181</v>
      </c>
      <c r="AI864">
        <v>55</v>
      </c>
      <c r="AJ864">
        <v>33</v>
      </c>
      <c r="AK864">
        <v>56</v>
      </c>
      <c r="AL864">
        <v>24</v>
      </c>
      <c r="AM864">
        <v>6</v>
      </c>
      <c r="AN864">
        <v>117</v>
      </c>
      <c r="AO864">
        <v>30</v>
      </c>
      <c r="AP864">
        <v>53</v>
      </c>
      <c r="AQ864">
        <v>88</v>
      </c>
      <c r="AR864">
        <v>495</v>
      </c>
      <c r="AS864">
        <v>1012</v>
      </c>
      <c r="AT864" t="s">
        <v>7</v>
      </c>
      <c r="AU864">
        <v>0</v>
      </c>
      <c r="AV864">
        <v>2015</v>
      </c>
      <c r="AW864" s="1">
        <v>45746</v>
      </c>
      <c r="AX864">
        <v>13.9</v>
      </c>
      <c r="AY864" t="s">
        <v>27</v>
      </c>
      <c r="AZ864" t="s">
        <v>20</v>
      </c>
      <c r="BA864" t="s">
        <v>21</v>
      </c>
      <c r="BB864" t="s">
        <v>13</v>
      </c>
      <c r="BC864" t="s">
        <v>7</v>
      </c>
      <c r="BD864">
        <v>3</v>
      </c>
      <c r="BE864" t="s">
        <v>14</v>
      </c>
      <c r="BF864">
        <v>1.06</v>
      </c>
    </row>
    <row r="865" spans="1:58" hidden="1" x14ac:dyDescent="0.2">
      <c r="A865">
        <v>864</v>
      </c>
      <c r="B865" t="s">
        <v>0</v>
      </c>
      <c r="C865">
        <v>33</v>
      </c>
      <c r="D865" t="s">
        <v>1</v>
      </c>
      <c r="E865" t="s">
        <v>2</v>
      </c>
      <c r="F865" t="s">
        <v>40</v>
      </c>
      <c r="G865" t="s">
        <v>38</v>
      </c>
      <c r="H865" t="s">
        <v>118</v>
      </c>
      <c r="I865" t="s">
        <v>115</v>
      </c>
      <c r="J865" t="s">
        <v>6</v>
      </c>
      <c r="K865" t="s">
        <v>13</v>
      </c>
      <c r="L865">
        <v>9.1</v>
      </c>
      <c r="M865">
        <v>6.6</v>
      </c>
      <c r="N865" t="s">
        <v>8</v>
      </c>
      <c r="O865" t="s">
        <v>7</v>
      </c>
      <c r="P865" t="s">
        <v>9</v>
      </c>
      <c r="Q865">
        <v>34</v>
      </c>
      <c r="R865">
        <v>2</v>
      </c>
      <c r="S865">
        <v>28</v>
      </c>
      <c r="T865">
        <v>99</v>
      </c>
      <c r="U865">
        <v>91</v>
      </c>
      <c r="V865">
        <v>8059</v>
      </c>
      <c r="W865">
        <v>23.6</v>
      </c>
      <c r="X865">
        <v>4</v>
      </c>
      <c r="Y865">
        <v>6</v>
      </c>
      <c r="Z865">
        <v>14</v>
      </c>
      <c r="AA865">
        <v>2.4</v>
      </c>
      <c r="AB865">
        <v>4</v>
      </c>
      <c r="AC865">
        <v>352</v>
      </c>
      <c r="AD865">
        <v>11</v>
      </c>
      <c r="AE865">
        <v>6</v>
      </c>
      <c r="AF865">
        <v>237</v>
      </c>
      <c r="AG865">
        <v>150</v>
      </c>
      <c r="AH865">
        <v>217</v>
      </c>
      <c r="AI865">
        <v>49</v>
      </c>
      <c r="AJ865">
        <v>39</v>
      </c>
      <c r="AK865">
        <v>56</v>
      </c>
      <c r="AL865">
        <v>33</v>
      </c>
      <c r="AM865">
        <v>10</v>
      </c>
      <c r="AN865">
        <v>193</v>
      </c>
      <c r="AO865">
        <v>71</v>
      </c>
      <c r="AP865">
        <v>41</v>
      </c>
      <c r="AQ865">
        <v>102</v>
      </c>
      <c r="AR865">
        <v>1498</v>
      </c>
      <c r="AS865">
        <v>1771</v>
      </c>
      <c r="AT865" t="s">
        <v>7</v>
      </c>
      <c r="AU865">
        <v>0.85</v>
      </c>
      <c r="AV865">
        <v>2010</v>
      </c>
      <c r="AW865" s="1">
        <v>46012</v>
      </c>
      <c r="AX865">
        <v>32</v>
      </c>
      <c r="AY865" t="s">
        <v>45</v>
      </c>
      <c r="AZ865" t="s">
        <v>11</v>
      </c>
      <c r="BA865" t="s">
        <v>21</v>
      </c>
      <c r="BB865" t="s">
        <v>7</v>
      </c>
      <c r="BC865" t="s">
        <v>7</v>
      </c>
      <c r="BD865">
        <v>5</v>
      </c>
      <c r="BE865" t="s">
        <v>14</v>
      </c>
      <c r="BF865">
        <v>0.94</v>
      </c>
    </row>
    <row r="866" spans="1:58" hidden="1" x14ac:dyDescent="0.2">
      <c r="A866">
        <v>865</v>
      </c>
      <c r="B866" t="s">
        <v>0</v>
      </c>
      <c r="C866">
        <v>26</v>
      </c>
      <c r="D866" t="s">
        <v>1</v>
      </c>
      <c r="E866" t="s">
        <v>126</v>
      </c>
      <c r="F866" t="s">
        <v>3</v>
      </c>
      <c r="G866" t="s">
        <v>16</v>
      </c>
      <c r="H866" t="s">
        <v>118</v>
      </c>
      <c r="I866" t="s">
        <v>113</v>
      </c>
      <c r="J866" t="s">
        <v>6</v>
      </c>
      <c r="K866" t="s">
        <v>7</v>
      </c>
      <c r="L866">
        <v>4.2</v>
      </c>
      <c r="M866">
        <v>5.6</v>
      </c>
      <c r="N866" t="s">
        <v>29</v>
      </c>
      <c r="O866" t="s">
        <v>7</v>
      </c>
      <c r="P866" t="s">
        <v>121</v>
      </c>
      <c r="Q866">
        <v>11</v>
      </c>
      <c r="R866">
        <v>6</v>
      </c>
      <c r="S866">
        <v>26.6</v>
      </c>
      <c r="T866">
        <v>150</v>
      </c>
      <c r="U866">
        <v>90</v>
      </c>
      <c r="V866">
        <v>7847</v>
      </c>
      <c r="W866">
        <v>52.2</v>
      </c>
      <c r="X866">
        <v>2</v>
      </c>
      <c r="Y866">
        <v>2</v>
      </c>
      <c r="Z866">
        <v>9</v>
      </c>
      <c r="AA866">
        <v>5.2</v>
      </c>
      <c r="AB866">
        <v>5</v>
      </c>
      <c r="AC866">
        <v>113</v>
      </c>
      <c r="AD866">
        <v>7</v>
      </c>
      <c r="AE866">
        <v>3</v>
      </c>
      <c r="AF866">
        <v>204</v>
      </c>
      <c r="AG866">
        <v>77</v>
      </c>
      <c r="AH866">
        <v>97</v>
      </c>
      <c r="AI866">
        <v>28</v>
      </c>
      <c r="AJ866">
        <v>23</v>
      </c>
      <c r="AK866">
        <v>23</v>
      </c>
      <c r="AL866">
        <v>10</v>
      </c>
      <c r="AM866">
        <v>5</v>
      </c>
      <c r="AN866">
        <v>51</v>
      </c>
      <c r="AO866">
        <v>25</v>
      </c>
      <c r="AP866">
        <v>20</v>
      </c>
      <c r="AQ866">
        <v>34</v>
      </c>
      <c r="AR866">
        <v>7002</v>
      </c>
      <c r="AS866">
        <v>3565</v>
      </c>
      <c r="AT866" t="s">
        <v>7</v>
      </c>
      <c r="AU866">
        <v>0.21</v>
      </c>
      <c r="AV866">
        <v>2016</v>
      </c>
      <c r="AW866" s="1">
        <v>45682</v>
      </c>
      <c r="AX866">
        <v>16.100000000000001</v>
      </c>
      <c r="AY866" t="s">
        <v>27</v>
      </c>
      <c r="AZ866" t="s">
        <v>20</v>
      </c>
      <c r="BA866" t="s">
        <v>21</v>
      </c>
      <c r="BB866" t="s">
        <v>13</v>
      </c>
      <c r="BC866" t="s">
        <v>7</v>
      </c>
      <c r="BD866">
        <v>3</v>
      </c>
      <c r="BE866" t="s">
        <v>14</v>
      </c>
      <c r="BF866">
        <v>1.42</v>
      </c>
    </row>
    <row r="867" spans="1:58" hidden="1" x14ac:dyDescent="0.2">
      <c r="A867">
        <v>866</v>
      </c>
      <c r="B867" t="s">
        <v>0</v>
      </c>
      <c r="C867">
        <v>21</v>
      </c>
      <c r="D867" t="s">
        <v>1</v>
      </c>
      <c r="E867" t="s">
        <v>50</v>
      </c>
      <c r="F867" t="s">
        <v>15</v>
      </c>
      <c r="G867" t="s">
        <v>38</v>
      </c>
      <c r="H867" t="s">
        <v>24</v>
      </c>
      <c r="I867" t="s">
        <v>115</v>
      </c>
      <c r="J867" t="s">
        <v>18</v>
      </c>
      <c r="K867" t="s">
        <v>13</v>
      </c>
      <c r="L867">
        <v>8.5</v>
      </c>
      <c r="M867">
        <v>7.8</v>
      </c>
      <c r="N867" t="s">
        <v>39</v>
      </c>
      <c r="O867" t="s">
        <v>7</v>
      </c>
      <c r="P867" t="s">
        <v>26</v>
      </c>
      <c r="Q867">
        <v>23</v>
      </c>
      <c r="R867">
        <v>7</v>
      </c>
      <c r="S867">
        <v>19.5</v>
      </c>
      <c r="T867">
        <v>107</v>
      </c>
      <c r="U867">
        <v>67</v>
      </c>
      <c r="V867">
        <v>7967</v>
      </c>
      <c r="W867">
        <v>33.4</v>
      </c>
      <c r="X867">
        <v>0</v>
      </c>
      <c r="Y867">
        <v>5</v>
      </c>
      <c r="Z867">
        <v>9</v>
      </c>
      <c r="AA867">
        <v>2</v>
      </c>
      <c r="AB867">
        <v>3</v>
      </c>
      <c r="AC867">
        <v>161</v>
      </c>
      <c r="AD867">
        <v>16</v>
      </c>
      <c r="AE867">
        <v>13</v>
      </c>
      <c r="AF867">
        <v>216</v>
      </c>
      <c r="AG867">
        <v>92</v>
      </c>
      <c r="AH867">
        <v>122</v>
      </c>
      <c r="AI867">
        <v>38</v>
      </c>
      <c r="AJ867">
        <v>20</v>
      </c>
      <c r="AK867">
        <v>27</v>
      </c>
      <c r="AL867">
        <v>16</v>
      </c>
      <c r="AM867">
        <v>9</v>
      </c>
      <c r="AN867">
        <v>94</v>
      </c>
      <c r="AO867">
        <v>23</v>
      </c>
      <c r="AP867">
        <v>20</v>
      </c>
      <c r="AQ867">
        <v>43</v>
      </c>
      <c r="AR867">
        <v>218</v>
      </c>
      <c r="AS867">
        <v>317</v>
      </c>
      <c r="AT867" t="s">
        <v>13</v>
      </c>
      <c r="AU867">
        <v>0.84</v>
      </c>
      <c r="AV867">
        <v>2018</v>
      </c>
      <c r="AW867" s="1">
        <v>45806</v>
      </c>
      <c r="AX867">
        <v>10.1</v>
      </c>
      <c r="AY867" t="s">
        <v>27</v>
      </c>
      <c r="AZ867" t="s">
        <v>20</v>
      </c>
      <c r="BA867" t="s">
        <v>21</v>
      </c>
      <c r="BB867" t="s">
        <v>13</v>
      </c>
      <c r="BC867" t="s">
        <v>7</v>
      </c>
      <c r="BD867">
        <v>3</v>
      </c>
      <c r="BE867" t="s">
        <v>43</v>
      </c>
      <c r="BF867">
        <v>1.46</v>
      </c>
    </row>
    <row r="868" spans="1:58" hidden="1" x14ac:dyDescent="0.2">
      <c r="A868">
        <v>867</v>
      </c>
      <c r="B868" t="s">
        <v>0</v>
      </c>
      <c r="C868">
        <v>58</v>
      </c>
      <c r="D868" t="s">
        <v>28</v>
      </c>
      <c r="E868" t="s">
        <v>2</v>
      </c>
      <c r="F868" t="s">
        <v>40</v>
      </c>
      <c r="G868" t="s">
        <v>117</v>
      </c>
      <c r="H868" t="s">
        <v>119</v>
      </c>
      <c r="I868" t="s">
        <v>17</v>
      </c>
      <c r="J868" t="s">
        <v>6</v>
      </c>
      <c r="K868" t="s">
        <v>7</v>
      </c>
      <c r="L868">
        <v>0.6</v>
      </c>
      <c r="M868">
        <v>7.4</v>
      </c>
      <c r="N868" t="s">
        <v>8</v>
      </c>
      <c r="O868" t="s">
        <v>7</v>
      </c>
      <c r="P868" t="s">
        <v>52</v>
      </c>
      <c r="Q868">
        <v>29</v>
      </c>
      <c r="R868">
        <v>8</v>
      </c>
      <c r="S868">
        <v>30.4</v>
      </c>
      <c r="T868">
        <v>142</v>
      </c>
      <c r="U868">
        <v>86</v>
      </c>
      <c r="V868">
        <v>8008</v>
      </c>
      <c r="W868">
        <v>39.4</v>
      </c>
      <c r="X868">
        <v>6</v>
      </c>
      <c r="Y868">
        <v>3</v>
      </c>
      <c r="Z868">
        <v>7</v>
      </c>
      <c r="AA868">
        <v>6.2</v>
      </c>
      <c r="AB868">
        <v>1</v>
      </c>
      <c r="AC868">
        <v>220</v>
      </c>
      <c r="AD868">
        <v>18</v>
      </c>
      <c r="AE868">
        <v>5</v>
      </c>
      <c r="AF868">
        <v>170</v>
      </c>
      <c r="AG868">
        <v>117</v>
      </c>
      <c r="AH868">
        <v>133</v>
      </c>
      <c r="AI868">
        <v>37</v>
      </c>
      <c r="AJ868">
        <v>27</v>
      </c>
      <c r="AK868">
        <v>38</v>
      </c>
      <c r="AL868">
        <v>22</v>
      </c>
      <c r="AM868">
        <v>4</v>
      </c>
      <c r="AN868">
        <v>99</v>
      </c>
      <c r="AO868">
        <v>38</v>
      </c>
      <c r="AP868">
        <v>50</v>
      </c>
      <c r="AQ868">
        <v>73</v>
      </c>
      <c r="AR868">
        <v>1621</v>
      </c>
      <c r="AS868">
        <v>3821</v>
      </c>
      <c r="AT868" t="s">
        <v>7</v>
      </c>
      <c r="AU868">
        <v>0.49</v>
      </c>
      <c r="AV868">
        <v>2023</v>
      </c>
      <c r="AW868" s="1">
        <v>45779</v>
      </c>
      <c r="AX868">
        <v>12.2</v>
      </c>
      <c r="AY868" t="s">
        <v>10</v>
      </c>
      <c r="AZ868" t="s">
        <v>17</v>
      </c>
      <c r="BA868" t="s">
        <v>122</v>
      </c>
      <c r="BB868" t="s">
        <v>13</v>
      </c>
      <c r="BC868" t="s">
        <v>7</v>
      </c>
      <c r="BD868">
        <v>4</v>
      </c>
      <c r="BE868" t="s">
        <v>43</v>
      </c>
      <c r="BF868">
        <v>1</v>
      </c>
    </row>
    <row r="869" spans="1:58" hidden="1" x14ac:dyDescent="0.2">
      <c r="A869">
        <v>868</v>
      </c>
      <c r="B869" t="s">
        <v>0</v>
      </c>
      <c r="C869">
        <v>13</v>
      </c>
      <c r="D869" t="s">
        <v>28</v>
      </c>
      <c r="E869" t="s">
        <v>2</v>
      </c>
      <c r="F869" t="s">
        <v>15</v>
      </c>
      <c r="G869" t="s">
        <v>117</v>
      </c>
      <c r="H869" t="s">
        <v>34</v>
      </c>
      <c r="I869" t="s">
        <v>112</v>
      </c>
      <c r="J869" t="s">
        <v>6</v>
      </c>
      <c r="K869" t="s">
        <v>7</v>
      </c>
      <c r="L869">
        <v>6.8</v>
      </c>
      <c r="M869">
        <v>6.4</v>
      </c>
      <c r="N869" t="s">
        <v>29</v>
      </c>
      <c r="O869" t="s">
        <v>7</v>
      </c>
      <c r="P869" t="s">
        <v>46</v>
      </c>
      <c r="Q869">
        <v>2</v>
      </c>
      <c r="R869">
        <v>8</v>
      </c>
      <c r="S869">
        <v>28.2</v>
      </c>
      <c r="T869">
        <v>100</v>
      </c>
      <c r="U869">
        <v>85</v>
      </c>
      <c r="V869">
        <v>7860</v>
      </c>
      <c r="W869">
        <v>45.7</v>
      </c>
      <c r="X869">
        <v>5</v>
      </c>
      <c r="Y869">
        <v>5</v>
      </c>
      <c r="Z869">
        <v>10</v>
      </c>
      <c r="AA869">
        <v>1.4</v>
      </c>
      <c r="AB869">
        <v>3</v>
      </c>
      <c r="AC869">
        <v>102</v>
      </c>
      <c r="AD869">
        <v>3</v>
      </c>
      <c r="AE869">
        <v>5</v>
      </c>
      <c r="AF869">
        <v>195</v>
      </c>
      <c r="AG869">
        <v>71</v>
      </c>
      <c r="AH869">
        <v>81</v>
      </c>
      <c r="AI869">
        <v>22</v>
      </c>
      <c r="AJ869">
        <v>22</v>
      </c>
      <c r="AK869">
        <v>16</v>
      </c>
      <c r="AL869">
        <v>10</v>
      </c>
      <c r="AM869">
        <v>1</v>
      </c>
      <c r="AN869">
        <v>52</v>
      </c>
      <c r="AO869">
        <v>28</v>
      </c>
      <c r="AP869">
        <v>11</v>
      </c>
      <c r="AQ869">
        <v>23</v>
      </c>
      <c r="AR869">
        <v>761</v>
      </c>
      <c r="AS869">
        <v>1589</v>
      </c>
      <c r="AT869" t="s">
        <v>13</v>
      </c>
      <c r="AU869">
        <v>0.5</v>
      </c>
      <c r="AV869">
        <v>2014</v>
      </c>
      <c r="AW869" s="1">
        <v>45745</v>
      </c>
      <c r="AX869">
        <v>34</v>
      </c>
      <c r="AY869" t="s">
        <v>27</v>
      </c>
      <c r="AZ869" t="s">
        <v>17</v>
      </c>
      <c r="BA869" t="s">
        <v>21</v>
      </c>
      <c r="BB869" t="s">
        <v>13</v>
      </c>
      <c r="BC869" t="s">
        <v>7</v>
      </c>
      <c r="BD869">
        <v>3</v>
      </c>
      <c r="BE869" t="s">
        <v>14</v>
      </c>
      <c r="BF869">
        <v>1.36</v>
      </c>
    </row>
    <row r="870" spans="1:58" hidden="1" x14ac:dyDescent="0.2">
      <c r="A870">
        <v>869</v>
      </c>
      <c r="B870" t="s">
        <v>0</v>
      </c>
      <c r="C870">
        <v>63</v>
      </c>
      <c r="D870" t="s">
        <v>1</v>
      </c>
      <c r="E870" t="s">
        <v>42</v>
      </c>
      <c r="F870" t="s">
        <v>15</v>
      </c>
      <c r="G870" t="s">
        <v>38</v>
      </c>
      <c r="H870" t="s">
        <v>118</v>
      </c>
      <c r="I870" t="s">
        <v>112</v>
      </c>
      <c r="J870" t="s">
        <v>123</v>
      </c>
      <c r="K870" t="s">
        <v>13</v>
      </c>
      <c r="L870">
        <v>9.1</v>
      </c>
      <c r="M870">
        <v>8.1</v>
      </c>
      <c r="N870" t="s">
        <v>25</v>
      </c>
      <c r="O870" t="s">
        <v>7</v>
      </c>
      <c r="P870" t="s">
        <v>26</v>
      </c>
      <c r="Q870">
        <v>31</v>
      </c>
      <c r="R870">
        <v>3</v>
      </c>
      <c r="S870">
        <v>28.7</v>
      </c>
      <c r="T870">
        <v>133</v>
      </c>
      <c r="U870">
        <v>94</v>
      </c>
      <c r="V870">
        <v>7974</v>
      </c>
      <c r="W870">
        <v>38.5</v>
      </c>
      <c r="X870">
        <v>2</v>
      </c>
      <c r="Y870">
        <v>2</v>
      </c>
      <c r="Z870">
        <v>10</v>
      </c>
      <c r="AA870">
        <v>5.8</v>
      </c>
      <c r="AB870">
        <v>4</v>
      </c>
      <c r="AC870">
        <v>307</v>
      </c>
      <c r="AD870">
        <v>10</v>
      </c>
      <c r="AE870">
        <v>5</v>
      </c>
      <c r="AF870">
        <v>231</v>
      </c>
      <c r="AG870">
        <v>150</v>
      </c>
      <c r="AH870">
        <v>170</v>
      </c>
      <c r="AI870">
        <v>47</v>
      </c>
      <c r="AJ870">
        <v>35</v>
      </c>
      <c r="AK870">
        <v>51</v>
      </c>
      <c r="AL870">
        <v>28</v>
      </c>
      <c r="AM870">
        <v>5</v>
      </c>
      <c r="AN870">
        <v>184</v>
      </c>
      <c r="AO870">
        <v>90</v>
      </c>
      <c r="AP870">
        <v>67</v>
      </c>
      <c r="AQ870">
        <v>102</v>
      </c>
      <c r="AR870">
        <v>1454</v>
      </c>
      <c r="AS870">
        <v>3298</v>
      </c>
      <c r="AT870" t="s">
        <v>13</v>
      </c>
      <c r="AU870">
        <v>0.39</v>
      </c>
      <c r="AV870">
        <v>2025</v>
      </c>
      <c r="AW870" s="1">
        <v>45756</v>
      </c>
      <c r="AX870">
        <v>30.7</v>
      </c>
      <c r="AY870" t="s">
        <v>30</v>
      </c>
      <c r="AZ870" t="s">
        <v>37</v>
      </c>
      <c r="BA870" t="s">
        <v>122</v>
      </c>
      <c r="BB870" t="s">
        <v>13</v>
      </c>
      <c r="BC870" t="s">
        <v>7</v>
      </c>
      <c r="BD870">
        <v>3</v>
      </c>
      <c r="BE870" t="s">
        <v>14</v>
      </c>
      <c r="BF870">
        <v>0.91</v>
      </c>
    </row>
    <row r="871" spans="1:58" hidden="1" x14ac:dyDescent="0.2">
      <c r="A871">
        <v>870</v>
      </c>
      <c r="B871" t="s">
        <v>0</v>
      </c>
      <c r="C871">
        <v>57</v>
      </c>
      <c r="D871" t="s">
        <v>1</v>
      </c>
      <c r="E871" t="s">
        <v>47</v>
      </c>
      <c r="F871" t="s">
        <v>40</v>
      </c>
      <c r="G871" t="s">
        <v>116</v>
      </c>
      <c r="H871" t="s">
        <v>118</v>
      </c>
      <c r="I871" t="s">
        <v>115</v>
      </c>
      <c r="J871" t="s">
        <v>6</v>
      </c>
      <c r="K871" t="s">
        <v>7</v>
      </c>
      <c r="L871">
        <v>7</v>
      </c>
      <c r="M871">
        <v>7.7</v>
      </c>
      <c r="N871" t="s">
        <v>120</v>
      </c>
      <c r="O871" t="s">
        <v>13</v>
      </c>
      <c r="P871" t="s">
        <v>9</v>
      </c>
      <c r="Q871">
        <v>20</v>
      </c>
      <c r="R871">
        <v>1</v>
      </c>
      <c r="S871">
        <v>22.9</v>
      </c>
      <c r="T871">
        <v>146</v>
      </c>
      <c r="U871">
        <v>86</v>
      </c>
      <c r="V871">
        <v>7931</v>
      </c>
      <c r="W871">
        <v>45.8</v>
      </c>
      <c r="X871">
        <v>2</v>
      </c>
      <c r="Y871">
        <v>6</v>
      </c>
      <c r="Z871">
        <v>12</v>
      </c>
      <c r="AA871">
        <v>3.8</v>
      </c>
      <c r="AB871">
        <v>3</v>
      </c>
      <c r="AC871">
        <v>239</v>
      </c>
      <c r="AD871">
        <v>9</v>
      </c>
      <c r="AE871">
        <v>5</v>
      </c>
      <c r="AF871">
        <v>177</v>
      </c>
      <c r="AG871">
        <v>124</v>
      </c>
      <c r="AH871">
        <v>125</v>
      </c>
      <c r="AI871">
        <v>36</v>
      </c>
      <c r="AJ871">
        <v>25</v>
      </c>
      <c r="AK871">
        <v>36</v>
      </c>
      <c r="AL871">
        <v>20</v>
      </c>
      <c r="AM871">
        <v>4</v>
      </c>
      <c r="AN871">
        <v>111</v>
      </c>
      <c r="AO871">
        <v>42</v>
      </c>
      <c r="AP871">
        <v>26</v>
      </c>
      <c r="AQ871">
        <v>87</v>
      </c>
      <c r="AR871">
        <v>958</v>
      </c>
      <c r="AS871">
        <v>818</v>
      </c>
      <c r="AT871" t="s">
        <v>7</v>
      </c>
      <c r="AU871">
        <v>0.98</v>
      </c>
      <c r="AV871">
        <v>2018</v>
      </c>
      <c r="AW871" s="1">
        <v>45732</v>
      </c>
      <c r="AX871">
        <v>26.6</v>
      </c>
      <c r="AY871" t="s">
        <v>19</v>
      </c>
      <c r="AZ871" t="s">
        <v>37</v>
      </c>
      <c r="BA871" t="s">
        <v>21</v>
      </c>
      <c r="BB871" t="s">
        <v>13</v>
      </c>
      <c r="BC871" t="s">
        <v>7</v>
      </c>
      <c r="BD871">
        <v>2</v>
      </c>
      <c r="BE871" t="s">
        <v>14</v>
      </c>
      <c r="BF871">
        <v>0.88</v>
      </c>
    </row>
    <row r="872" spans="1:58" hidden="1" x14ac:dyDescent="0.2">
      <c r="A872">
        <v>871</v>
      </c>
      <c r="B872" t="s">
        <v>0</v>
      </c>
      <c r="C872">
        <v>25</v>
      </c>
      <c r="D872" t="s">
        <v>1</v>
      </c>
      <c r="E872" t="s">
        <v>128</v>
      </c>
      <c r="F872" t="s">
        <v>15</v>
      </c>
      <c r="G872" t="s">
        <v>16</v>
      </c>
      <c r="H872" t="s">
        <v>23</v>
      </c>
      <c r="I872" t="s">
        <v>113</v>
      </c>
      <c r="J872" t="s">
        <v>6</v>
      </c>
      <c r="K872" t="s">
        <v>7</v>
      </c>
      <c r="L872">
        <v>11.2</v>
      </c>
      <c r="M872">
        <v>6.9</v>
      </c>
      <c r="N872" t="s">
        <v>8</v>
      </c>
      <c r="O872" t="s">
        <v>7</v>
      </c>
      <c r="P872" t="s">
        <v>9</v>
      </c>
      <c r="Q872">
        <v>24</v>
      </c>
      <c r="R872">
        <v>1</v>
      </c>
      <c r="S872">
        <v>27.5</v>
      </c>
      <c r="T872">
        <v>91</v>
      </c>
      <c r="U872">
        <v>87</v>
      </c>
      <c r="V872">
        <v>8079</v>
      </c>
      <c r="W872">
        <v>47.1</v>
      </c>
      <c r="X872">
        <v>0</v>
      </c>
      <c r="Y872">
        <v>3</v>
      </c>
      <c r="Z872">
        <v>5</v>
      </c>
      <c r="AA872">
        <v>2.2999999999999998</v>
      </c>
      <c r="AB872">
        <v>3</v>
      </c>
      <c r="AC872">
        <v>276</v>
      </c>
      <c r="AD872">
        <v>14</v>
      </c>
      <c r="AE872">
        <v>11</v>
      </c>
      <c r="AF872">
        <v>300</v>
      </c>
      <c r="AG872">
        <v>137</v>
      </c>
      <c r="AH872">
        <v>165</v>
      </c>
      <c r="AI872">
        <v>55</v>
      </c>
      <c r="AJ872">
        <v>35</v>
      </c>
      <c r="AK872">
        <v>35</v>
      </c>
      <c r="AL872">
        <v>19</v>
      </c>
      <c r="AM872">
        <v>8</v>
      </c>
      <c r="AN872">
        <v>159</v>
      </c>
      <c r="AO872">
        <v>46</v>
      </c>
      <c r="AP872">
        <v>61</v>
      </c>
      <c r="AQ872">
        <v>96</v>
      </c>
      <c r="AR872">
        <v>428</v>
      </c>
      <c r="AS872">
        <v>340</v>
      </c>
      <c r="AT872" t="s">
        <v>7</v>
      </c>
      <c r="AU872">
        <v>0.38</v>
      </c>
      <c r="AV872">
        <v>2024</v>
      </c>
      <c r="AW872" s="1">
        <v>45694</v>
      </c>
      <c r="AX872">
        <v>19.7</v>
      </c>
      <c r="AY872" t="s">
        <v>27</v>
      </c>
      <c r="AZ872" t="s">
        <v>17</v>
      </c>
      <c r="BA872" t="s">
        <v>21</v>
      </c>
      <c r="BB872" t="s">
        <v>13</v>
      </c>
      <c r="BC872" t="s">
        <v>7</v>
      </c>
      <c r="BD872">
        <v>3</v>
      </c>
      <c r="BE872" t="s">
        <v>14</v>
      </c>
      <c r="BF872">
        <v>1.1100000000000001</v>
      </c>
    </row>
    <row r="873" spans="1:58" hidden="1" x14ac:dyDescent="0.2">
      <c r="A873">
        <v>872</v>
      </c>
      <c r="B873" t="s">
        <v>0</v>
      </c>
      <c r="C873">
        <v>16</v>
      </c>
      <c r="D873" t="s">
        <v>1</v>
      </c>
      <c r="E873" t="s">
        <v>128</v>
      </c>
      <c r="F873" t="s">
        <v>15</v>
      </c>
      <c r="G873" t="s">
        <v>117</v>
      </c>
      <c r="H873" t="s">
        <v>5</v>
      </c>
      <c r="I873" t="s">
        <v>115</v>
      </c>
      <c r="J873" t="s">
        <v>6</v>
      </c>
      <c r="K873" t="s">
        <v>7</v>
      </c>
      <c r="L873">
        <v>10.9</v>
      </c>
      <c r="M873">
        <v>6.5</v>
      </c>
      <c r="N873" t="s">
        <v>29</v>
      </c>
      <c r="O873" t="s">
        <v>7</v>
      </c>
      <c r="P873" t="s">
        <v>9</v>
      </c>
      <c r="Q873">
        <v>23</v>
      </c>
      <c r="R873">
        <v>2</v>
      </c>
      <c r="S873">
        <v>21.9</v>
      </c>
      <c r="T873">
        <v>104</v>
      </c>
      <c r="U873">
        <v>97</v>
      </c>
      <c r="V873">
        <v>7916</v>
      </c>
      <c r="W873">
        <v>24.3</v>
      </c>
      <c r="X873">
        <v>1</v>
      </c>
      <c r="Y873">
        <v>4</v>
      </c>
      <c r="Z873">
        <v>9</v>
      </c>
      <c r="AA873">
        <v>5.7</v>
      </c>
      <c r="AB873">
        <v>3</v>
      </c>
      <c r="AC873">
        <v>308</v>
      </c>
      <c r="AD873">
        <v>29</v>
      </c>
      <c r="AE873">
        <v>7</v>
      </c>
      <c r="AF873">
        <v>288</v>
      </c>
      <c r="AG873">
        <v>150</v>
      </c>
      <c r="AH873">
        <v>171</v>
      </c>
      <c r="AI873">
        <v>42</v>
      </c>
      <c r="AJ873">
        <v>48</v>
      </c>
      <c r="AK873">
        <v>36</v>
      </c>
      <c r="AL873">
        <v>33</v>
      </c>
      <c r="AM873">
        <v>7</v>
      </c>
      <c r="AN873">
        <v>184</v>
      </c>
      <c r="AO873">
        <v>66</v>
      </c>
      <c r="AP873">
        <v>58</v>
      </c>
      <c r="AQ873">
        <v>84</v>
      </c>
      <c r="AR873">
        <v>2272</v>
      </c>
      <c r="AS873">
        <v>3753</v>
      </c>
      <c r="AT873" t="s">
        <v>13</v>
      </c>
      <c r="AU873">
        <v>0.63</v>
      </c>
      <c r="AV873">
        <v>2021</v>
      </c>
      <c r="AW873" s="1">
        <v>45830</v>
      </c>
      <c r="AX873">
        <v>10.6</v>
      </c>
      <c r="AY873" t="s">
        <v>36</v>
      </c>
      <c r="AZ873" t="s">
        <v>37</v>
      </c>
      <c r="BA873" t="s">
        <v>21</v>
      </c>
      <c r="BB873" t="s">
        <v>7</v>
      </c>
      <c r="BC873" t="s">
        <v>7</v>
      </c>
      <c r="BD873">
        <v>4</v>
      </c>
      <c r="BE873" t="s">
        <v>49</v>
      </c>
      <c r="BF873">
        <v>0.89</v>
      </c>
    </row>
    <row r="874" spans="1:58" hidden="1" x14ac:dyDescent="0.2">
      <c r="A874">
        <v>873</v>
      </c>
      <c r="B874" t="s">
        <v>0</v>
      </c>
      <c r="C874">
        <v>13</v>
      </c>
      <c r="D874" t="s">
        <v>1</v>
      </c>
      <c r="E874" t="s">
        <v>47</v>
      </c>
      <c r="F874" t="s">
        <v>15</v>
      </c>
      <c r="G874" t="s">
        <v>117</v>
      </c>
      <c r="H874" t="s">
        <v>118</v>
      </c>
      <c r="I874" t="s">
        <v>114</v>
      </c>
      <c r="J874" t="s">
        <v>32</v>
      </c>
      <c r="K874" t="s">
        <v>7</v>
      </c>
      <c r="L874">
        <v>1</v>
      </c>
      <c r="M874">
        <v>9</v>
      </c>
      <c r="N874" t="s">
        <v>120</v>
      </c>
      <c r="O874" t="s">
        <v>7</v>
      </c>
      <c r="P874" t="s">
        <v>26</v>
      </c>
      <c r="Q874">
        <v>32</v>
      </c>
      <c r="R874">
        <v>9</v>
      </c>
      <c r="S874">
        <v>26</v>
      </c>
      <c r="T874">
        <v>111</v>
      </c>
      <c r="U874">
        <v>61</v>
      </c>
      <c r="V874">
        <v>8010</v>
      </c>
      <c r="W874">
        <v>63.2</v>
      </c>
      <c r="X874">
        <v>2</v>
      </c>
      <c r="Y874">
        <v>3</v>
      </c>
      <c r="Z874">
        <v>8</v>
      </c>
      <c r="AA874">
        <v>3.8</v>
      </c>
      <c r="AB874">
        <v>6</v>
      </c>
      <c r="AC874">
        <v>206</v>
      </c>
      <c r="AD874">
        <v>6</v>
      </c>
      <c r="AE874">
        <v>13</v>
      </c>
      <c r="AF874">
        <v>245</v>
      </c>
      <c r="AG874">
        <v>119</v>
      </c>
      <c r="AH874">
        <v>117</v>
      </c>
      <c r="AI874">
        <v>39</v>
      </c>
      <c r="AJ874">
        <v>35</v>
      </c>
      <c r="AK874">
        <v>24</v>
      </c>
      <c r="AL874">
        <v>19</v>
      </c>
      <c r="AM874">
        <v>2</v>
      </c>
      <c r="AN874">
        <v>97</v>
      </c>
      <c r="AO874">
        <v>27</v>
      </c>
      <c r="AP874">
        <v>31</v>
      </c>
      <c r="AQ874">
        <v>72</v>
      </c>
      <c r="AR874">
        <v>7439</v>
      </c>
      <c r="AS874">
        <v>10000</v>
      </c>
      <c r="AT874" t="s">
        <v>7</v>
      </c>
      <c r="AU874">
        <v>0.01</v>
      </c>
      <c r="AV874">
        <v>2014</v>
      </c>
      <c r="AW874" s="1">
        <v>45834</v>
      </c>
      <c r="AX874">
        <v>34.299999999999997</v>
      </c>
      <c r="AY874" t="s">
        <v>45</v>
      </c>
      <c r="AZ874" t="s">
        <v>31</v>
      </c>
      <c r="BA874" t="s">
        <v>21</v>
      </c>
      <c r="BB874" t="s">
        <v>13</v>
      </c>
      <c r="BC874" t="s">
        <v>7</v>
      </c>
      <c r="BD874">
        <v>0</v>
      </c>
      <c r="BE874" t="s">
        <v>43</v>
      </c>
      <c r="BF874">
        <v>1.1299999999999999</v>
      </c>
    </row>
    <row r="875" spans="1:58" hidden="1" x14ac:dyDescent="0.2">
      <c r="A875">
        <v>874</v>
      </c>
      <c r="B875" t="s">
        <v>0</v>
      </c>
      <c r="C875">
        <v>61</v>
      </c>
      <c r="D875" t="s">
        <v>1</v>
      </c>
      <c r="E875" t="s">
        <v>2</v>
      </c>
      <c r="F875" t="s">
        <v>3</v>
      </c>
      <c r="G875" t="s">
        <v>117</v>
      </c>
      <c r="H875" t="s">
        <v>24</v>
      </c>
      <c r="I875" t="s">
        <v>114</v>
      </c>
      <c r="J875" t="s">
        <v>18</v>
      </c>
      <c r="K875" t="s">
        <v>13</v>
      </c>
      <c r="L875">
        <v>7.8</v>
      </c>
      <c r="M875">
        <v>5.8</v>
      </c>
      <c r="N875" t="s">
        <v>39</v>
      </c>
      <c r="O875" t="s">
        <v>7</v>
      </c>
      <c r="P875" t="s">
        <v>52</v>
      </c>
      <c r="Q875">
        <v>8</v>
      </c>
      <c r="R875">
        <v>1</v>
      </c>
      <c r="S875">
        <v>24</v>
      </c>
      <c r="T875">
        <v>139</v>
      </c>
      <c r="U875">
        <v>77</v>
      </c>
      <c r="V875">
        <v>7849</v>
      </c>
      <c r="W875">
        <v>34.299999999999997</v>
      </c>
      <c r="X875">
        <v>2</v>
      </c>
      <c r="Y875">
        <v>2</v>
      </c>
      <c r="Z875">
        <v>16</v>
      </c>
      <c r="AA875">
        <v>5.2</v>
      </c>
      <c r="AB875">
        <v>4</v>
      </c>
      <c r="AC875">
        <v>157</v>
      </c>
      <c r="AD875">
        <v>6</v>
      </c>
      <c r="AE875">
        <v>3</v>
      </c>
      <c r="AF875">
        <v>133</v>
      </c>
      <c r="AG875">
        <v>77</v>
      </c>
      <c r="AH875">
        <v>108</v>
      </c>
      <c r="AI875">
        <v>36</v>
      </c>
      <c r="AJ875">
        <v>30</v>
      </c>
      <c r="AK875">
        <v>29</v>
      </c>
      <c r="AL875">
        <v>14</v>
      </c>
      <c r="AM875">
        <v>2</v>
      </c>
      <c r="AN875">
        <v>67</v>
      </c>
      <c r="AO875">
        <v>43</v>
      </c>
      <c r="AP875">
        <v>26</v>
      </c>
      <c r="AQ875">
        <v>49</v>
      </c>
      <c r="AR875">
        <v>1845</v>
      </c>
      <c r="AS875">
        <v>1821</v>
      </c>
      <c r="AT875" t="s">
        <v>7</v>
      </c>
      <c r="AU875">
        <v>0.37</v>
      </c>
      <c r="AV875">
        <v>2022</v>
      </c>
      <c r="AW875" s="1">
        <v>46017</v>
      </c>
      <c r="AX875">
        <v>26.2</v>
      </c>
      <c r="AY875" t="s">
        <v>19</v>
      </c>
      <c r="AZ875" t="s">
        <v>20</v>
      </c>
      <c r="BA875" t="s">
        <v>122</v>
      </c>
      <c r="BB875" t="s">
        <v>13</v>
      </c>
      <c r="BC875" t="s">
        <v>7</v>
      </c>
      <c r="BD875">
        <v>0</v>
      </c>
      <c r="BE875" t="s">
        <v>43</v>
      </c>
      <c r="BF875">
        <v>1.2</v>
      </c>
    </row>
    <row r="876" spans="1:58" hidden="1" x14ac:dyDescent="0.2">
      <c r="A876">
        <v>875</v>
      </c>
      <c r="B876" t="s">
        <v>0</v>
      </c>
      <c r="C876">
        <v>52</v>
      </c>
      <c r="D876" t="s">
        <v>28</v>
      </c>
      <c r="E876" t="s">
        <v>17</v>
      </c>
      <c r="F876" t="s">
        <v>40</v>
      </c>
      <c r="G876" t="s">
        <v>116</v>
      </c>
      <c r="H876" t="s">
        <v>119</v>
      </c>
      <c r="I876" t="s">
        <v>112</v>
      </c>
      <c r="J876" t="s">
        <v>6</v>
      </c>
      <c r="K876" t="s">
        <v>7</v>
      </c>
      <c r="L876">
        <v>5.7</v>
      </c>
      <c r="M876">
        <v>6.6</v>
      </c>
      <c r="N876" t="s">
        <v>120</v>
      </c>
      <c r="O876" t="s">
        <v>41</v>
      </c>
      <c r="P876" t="s">
        <v>26</v>
      </c>
      <c r="Q876">
        <v>23</v>
      </c>
      <c r="R876">
        <v>10</v>
      </c>
      <c r="S876">
        <v>21</v>
      </c>
      <c r="T876">
        <v>100</v>
      </c>
      <c r="U876">
        <v>88</v>
      </c>
      <c r="V876">
        <v>8005</v>
      </c>
      <c r="W876">
        <v>32.9</v>
      </c>
      <c r="X876">
        <v>1</v>
      </c>
      <c r="Y876">
        <v>1</v>
      </c>
      <c r="Z876">
        <v>15</v>
      </c>
      <c r="AA876">
        <v>2</v>
      </c>
      <c r="AB876">
        <v>6</v>
      </c>
      <c r="AC876">
        <v>109</v>
      </c>
      <c r="AD876">
        <v>4</v>
      </c>
      <c r="AE876">
        <v>2</v>
      </c>
      <c r="AF876">
        <v>117</v>
      </c>
      <c r="AG876">
        <v>76</v>
      </c>
      <c r="AH876">
        <v>65</v>
      </c>
      <c r="AI876">
        <v>30</v>
      </c>
      <c r="AJ876">
        <v>21</v>
      </c>
      <c r="AK876">
        <v>23</v>
      </c>
      <c r="AL876">
        <v>16</v>
      </c>
      <c r="AM876">
        <v>2</v>
      </c>
      <c r="AN876">
        <v>45</v>
      </c>
      <c r="AO876">
        <v>31</v>
      </c>
      <c r="AP876">
        <v>23</v>
      </c>
      <c r="AQ876">
        <v>30</v>
      </c>
      <c r="AR876">
        <v>2288</v>
      </c>
      <c r="AS876">
        <v>3964</v>
      </c>
      <c r="AT876" t="s">
        <v>7</v>
      </c>
      <c r="AU876">
        <v>0.41</v>
      </c>
      <c r="AV876">
        <v>2023</v>
      </c>
      <c r="AW876" s="1">
        <v>45984</v>
      </c>
      <c r="AX876">
        <v>27.2</v>
      </c>
      <c r="AY876" t="s">
        <v>45</v>
      </c>
      <c r="AZ876" t="s">
        <v>20</v>
      </c>
      <c r="BA876" t="s">
        <v>12</v>
      </c>
      <c r="BB876" t="s">
        <v>13</v>
      </c>
      <c r="BC876" t="s">
        <v>13</v>
      </c>
      <c r="BD876">
        <v>2</v>
      </c>
      <c r="BE876" t="s">
        <v>14</v>
      </c>
      <c r="BF876">
        <v>1.19</v>
      </c>
    </row>
    <row r="877" spans="1:58" hidden="1" x14ac:dyDescent="0.2">
      <c r="A877">
        <v>876</v>
      </c>
      <c r="B877" t="s">
        <v>0</v>
      </c>
      <c r="C877">
        <v>44</v>
      </c>
      <c r="D877" t="s">
        <v>1</v>
      </c>
      <c r="E877" t="s">
        <v>50</v>
      </c>
      <c r="F877" t="s">
        <v>15</v>
      </c>
      <c r="G877" t="s">
        <v>116</v>
      </c>
      <c r="H877" t="s">
        <v>118</v>
      </c>
      <c r="I877" t="s">
        <v>115</v>
      </c>
      <c r="J877" t="s">
        <v>32</v>
      </c>
      <c r="K877" t="s">
        <v>13</v>
      </c>
      <c r="L877">
        <v>3.6</v>
      </c>
      <c r="M877">
        <v>7.2</v>
      </c>
      <c r="N877" t="s">
        <v>8</v>
      </c>
      <c r="O877" t="s">
        <v>7</v>
      </c>
      <c r="P877" t="s">
        <v>26</v>
      </c>
      <c r="Q877">
        <v>40</v>
      </c>
      <c r="R877">
        <v>3</v>
      </c>
      <c r="S877">
        <v>27.4</v>
      </c>
      <c r="T877">
        <v>141</v>
      </c>
      <c r="U877">
        <v>84</v>
      </c>
      <c r="V877">
        <v>8188</v>
      </c>
      <c r="W877">
        <v>38.799999999999997</v>
      </c>
      <c r="X877">
        <v>3</v>
      </c>
      <c r="Y877">
        <v>1</v>
      </c>
      <c r="Z877">
        <v>12</v>
      </c>
      <c r="AA877">
        <v>3.6</v>
      </c>
      <c r="AB877">
        <v>2</v>
      </c>
      <c r="AC877">
        <v>382</v>
      </c>
      <c r="AD877">
        <v>13</v>
      </c>
      <c r="AE877">
        <v>7</v>
      </c>
      <c r="AF877">
        <v>238</v>
      </c>
      <c r="AG877">
        <v>150</v>
      </c>
      <c r="AH877">
        <v>219</v>
      </c>
      <c r="AI877">
        <v>50</v>
      </c>
      <c r="AJ877">
        <v>49</v>
      </c>
      <c r="AK877">
        <v>58</v>
      </c>
      <c r="AL877">
        <v>41</v>
      </c>
      <c r="AM877">
        <v>4</v>
      </c>
      <c r="AN877">
        <v>180</v>
      </c>
      <c r="AO877">
        <v>111</v>
      </c>
      <c r="AP877">
        <v>63</v>
      </c>
      <c r="AQ877">
        <v>107</v>
      </c>
      <c r="AR877">
        <v>213</v>
      </c>
      <c r="AS877">
        <v>93</v>
      </c>
      <c r="AT877" t="s">
        <v>7</v>
      </c>
      <c r="AU877">
        <v>0.36</v>
      </c>
      <c r="AV877">
        <v>2015</v>
      </c>
      <c r="AW877" s="1">
        <v>45691</v>
      </c>
      <c r="AX877">
        <v>29.4</v>
      </c>
      <c r="AY877" t="s">
        <v>10</v>
      </c>
      <c r="AZ877" t="s">
        <v>48</v>
      </c>
      <c r="BA877" t="s">
        <v>12</v>
      </c>
      <c r="BB877" t="s">
        <v>13</v>
      </c>
      <c r="BC877" t="s">
        <v>7</v>
      </c>
      <c r="BD877">
        <v>2</v>
      </c>
      <c r="BE877" t="s">
        <v>14</v>
      </c>
      <c r="BF877">
        <v>0.89</v>
      </c>
    </row>
    <row r="878" spans="1:58" hidden="1" x14ac:dyDescent="0.2">
      <c r="A878">
        <v>877</v>
      </c>
      <c r="B878" t="s">
        <v>0</v>
      </c>
      <c r="C878">
        <v>46</v>
      </c>
      <c r="D878" t="s">
        <v>1</v>
      </c>
      <c r="E878" t="s">
        <v>128</v>
      </c>
      <c r="F878" t="s">
        <v>15</v>
      </c>
      <c r="G878" t="s">
        <v>16</v>
      </c>
      <c r="H878" t="s">
        <v>34</v>
      </c>
      <c r="I878" t="s">
        <v>114</v>
      </c>
      <c r="J878" t="s">
        <v>6</v>
      </c>
      <c r="K878" t="s">
        <v>7</v>
      </c>
      <c r="L878">
        <v>4.0999999999999996</v>
      </c>
      <c r="M878">
        <v>7.8</v>
      </c>
      <c r="N878" t="s">
        <v>8</v>
      </c>
      <c r="O878" t="s">
        <v>7</v>
      </c>
      <c r="P878" t="s">
        <v>46</v>
      </c>
      <c r="Q878">
        <v>17</v>
      </c>
      <c r="R878">
        <v>6</v>
      </c>
      <c r="S878">
        <v>34</v>
      </c>
      <c r="T878">
        <v>140</v>
      </c>
      <c r="U878">
        <v>72</v>
      </c>
      <c r="V878">
        <v>7947</v>
      </c>
      <c r="W878">
        <v>32.4</v>
      </c>
      <c r="X878">
        <v>1</v>
      </c>
      <c r="Y878">
        <v>3</v>
      </c>
      <c r="Z878">
        <v>8</v>
      </c>
      <c r="AA878">
        <v>2.6</v>
      </c>
      <c r="AB878">
        <v>3</v>
      </c>
      <c r="AC878">
        <v>206</v>
      </c>
      <c r="AD878">
        <v>6</v>
      </c>
      <c r="AE878">
        <v>4</v>
      </c>
      <c r="AF878">
        <v>156</v>
      </c>
      <c r="AG878">
        <v>136</v>
      </c>
      <c r="AH878">
        <v>136</v>
      </c>
      <c r="AI878">
        <v>41</v>
      </c>
      <c r="AJ878">
        <v>33</v>
      </c>
      <c r="AK878">
        <v>47</v>
      </c>
      <c r="AL878">
        <v>19</v>
      </c>
      <c r="AM878">
        <v>4</v>
      </c>
      <c r="AN878">
        <v>101</v>
      </c>
      <c r="AO878">
        <v>25</v>
      </c>
      <c r="AP878">
        <v>22</v>
      </c>
      <c r="AQ878">
        <v>50</v>
      </c>
      <c r="AR878">
        <v>226</v>
      </c>
      <c r="AS878">
        <v>465</v>
      </c>
      <c r="AT878" t="s">
        <v>7</v>
      </c>
      <c r="AU878">
        <v>0.18</v>
      </c>
      <c r="AV878">
        <v>2020</v>
      </c>
      <c r="AW878" s="1">
        <v>45909</v>
      </c>
      <c r="AX878">
        <v>34.299999999999997</v>
      </c>
      <c r="AY878" t="s">
        <v>45</v>
      </c>
      <c r="AZ878" t="s">
        <v>48</v>
      </c>
      <c r="BA878" t="s">
        <v>122</v>
      </c>
      <c r="BB878" t="s">
        <v>7</v>
      </c>
      <c r="BC878" t="s">
        <v>7</v>
      </c>
      <c r="BD878">
        <v>0</v>
      </c>
      <c r="BE878" t="s">
        <v>49</v>
      </c>
      <c r="BF878">
        <v>1.1100000000000001</v>
      </c>
    </row>
    <row r="879" spans="1:58" hidden="1" x14ac:dyDescent="0.2">
      <c r="A879">
        <v>878</v>
      </c>
      <c r="B879" t="s">
        <v>0</v>
      </c>
      <c r="C879">
        <v>40</v>
      </c>
      <c r="D879" t="s">
        <v>28</v>
      </c>
      <c r="E879" t="s">
        <v>128</v>
      </c>
      <c r="F879" t="s">
        <v>15</v>
      </c>
      <c r="G879" t="s">
        <v>116</v>
      </c>
      <c r="H879" t="s">
        <v>34</v>
      </c>
      <c r="I879" t="s">
        <v>112</v>
      </c>
      <c r="J879" t="s">
        <v>6</v>
      </c>
      <c r="K879" t="s">
        <v>7</v>
      </c>
      <c r="L879">
        <v>8.9</v>
      </c>
      <c r="M879">
        <v>6.2</v>
      </c>
      <c r="N879" t="s">
        <v>8</v>
      </c>
      <c r="O879" t="s">
        <v>13</v>
      </c>
      <c r="P879" t="s">
        <v>9</v>
      </c>
      <c r="Q879">
        <v>39</v>
      </c>
      <c r="R879">
        <v>6</v>
      </c>
      <c r="S879">
        <v>29.3</v>
      </c>
      <c r="T879">
        <v>142</v>
      </c>
      <c r="U879">
        <v>81</v>
      </c>
      <c r="V879">
        <v>8047</v>
      </c>
      <c r="W879">
        <v>39.799999999999997</v>
      </c>
      <c r="X879">
        <v>6</v>
      </c>
      <c r="Y879">
        <v>3</v>
      </c>
      <c r="Z879">
        <v>11</v>
      </c>
      <c r="AA879">
        <v>5.6</v>
      </c>
      <c r="AB879">
        <v>7</v>
      </c>
      <c r="AC879">
        <v>318</v>
      </c>
      <c r="AD879">
        <v>12</v>
      </c>
      <c r="AE879">
        <v>10</v>
      </c>
      <c r="AF879">
        <v>223</v>
      </c>
      <c r="AG879">
        <v>150</v>
      </c>
      <c r="AH879">
        <v>179</v>
      </c>
      <c r="AI879">
        <v>51</v>
      </c>
      <c r="AJ879">
        <v>46</v>
      </c>
      <c r="AK879">
        <v>50</v>
      </c>
      <c r="AL879">
        <v>31</v>
      </c>
      <c r="AM879">
        <v>12</v>
      </c>
      <c r="AN879">
        <v>157</v>
      </c>
      <c r="AO879">
        <v>88</v>
      </c>
      <c r="AP879">
        <v>48</v>
      </c>
      <c r="AQ879">
        <v>115</v>
      </c>
      <c r="AR879">
        <v>1539</v>
      </c>
      <c r="AS879">
        <v>2967</v>
      </c>
      <c r="AT879" t="s">
        <v>7</v>
      </c>
      <c r="AU879">
        <v>0.28000000000000003</v>
      </c>
      <c r="AV879">
        <v>2024</v>
      </c>
      <c r="AW879" s="1">
        <v>45825</v>
      </c>
      <c r="AX879">
        <v>26.5</v>
      </c>
      <c r="AY879" t="s">
        <v>10</v>
      </c>
      <c r="AZ879" t="s">
        <v>48</v>
      </c>
      <c r="BA879" t="s">
        <v>122</v>
      </c>
      <c r="BB879" t="s">
        <v>13</v>
      </c>
      <c r="BC879" t="s">
        <v>7</v>
      </c>
      <c r="BD879">
        <v>0</v>
      </c>
      <c r="BE879" t="s">
        <v>14</v>
      </c>
      <c r="BF879">
        <v>0.97</v>
      </c>
    </row>
    <row r="880" spans="1:58" hidden="1" x14ac:dyDescent="0.2">
      <c r="A880">
        <v>879</v>
      </c>
      <c r="B880" t="s">
        <v>0</v>
      </c>
      <c r="C880">
        <v>43</v>
      </c>
      <c r="D880" t="s">
        <v>124</v>
      </c>
      <c r="E880" t="s">
        <v>2</v>
      </c>
      <c r="F880" t="s">
        <v>3</v>
      </c>
      <c r="G880" t="s">
        <v>16</v>
      </c>
      <c r="H880" t="s">
        <v>118</v>
      </c>
      <c r="I880" t="s">
        <v>114</v>
      </c>
      <c r="J880" t="s">
        <v>6</v>
      </c>
      <c r="K880" t="s">
        <v>7</v>
      </c>
      <c r="L880">
        <v>3.2</v>
      </c>
      <c r="M880">
        <v>5.7</v>
      </c>
      <c r="N880" t="s">
        <v>29</v>
      </c>
      <c r="O880" t="s">
        <v>7</v>
      </c>
      <c r="P880" t="s">
        <v>9</v>
      </c>
      <c r="Q880">
        <v>1</v>
      </c>
      <c r="R880">
        <v>9</v>
      </c>
      <c r="S880">
        <v>25.6</v>
      </c>
      <c r="T880">
        <v>91</v>
      </c>
      <c r="U880">
        <v>92</v>
      </c>
      <c r="V880">
        <v>7972</v>
      </c>
      <c r="W880">
        <v>53.1</v>
      </c>
      <c r="X880">
        <v>3</v>
      </c>
      <c r="Y880">
        <v>2</v>
      </c>
      <c r="Z880">
        <v>8</v>
      </c>
      <c r="AA880">
        <v>2.6</v>
      </c>
      <c r="AB880">
        <v>2</v>
      </c>
      <c r="AC880">
        <v>5</v>
      </c>
      <c r="AD880">
        <v>1</v>
      </c>
      <c r="AE880">
        <v>5</v>
      </c>
      <c r="AF880">
        <v>40</v>
      </c>
      <c r="AG880">
        <v>34</v>
      </c>
      <c r="AH880">
        <v>34</v>
      </c>
      <c r="AI880">
        <v>9</v>
      </c>
      <c r="AJ880">
        <v>8</v>
      </c>
      <c r="AK880">
        <v>7</v>
      </c>
      <c r="AL880">
        <v>4</v>
      </c>
      <c r="AM880">
        <v>0</v>
      </c>
      <c r="AN880">
        <v>3</v>
      </c>
      <c r="AO880">
        <v>1</v>
      </c>
      <c r="AP880">
        <v>1</v>
      </c>
      <c r="AQ880">
        <v>1</v>
      </c>
      <c r="AR880">
        <v>1370</v>
      </c>
      <c r="AS880">
        <v>2631</v>
      </c>
      <c r="AT880" t="s">
        <v>7</v>
      </c>
      <c r="AU880">
        <v>0.94</v>
      </c>
      <c r="AV880">
        <v>2020</v>
      </c>
      <c r="AW880" s="1">
        <v>45743</v>
      </c>
      <c r="AX880">
        <v>5</v>
      </c>
      <c r="AY880" t="s">
        <v>10</v>
      </c>
      <c r="AZ880" t="s">
        <v>17</v>
      </c>
      <c r="BA880" t="s">
        <v>12</v>
      </c>
      <c r="BB880" t="s">
        <v>13</v>
      </c>
      <c r="BC880" t="s">
        <v>7</v>
      </c>
      <c r="BD880">
        <v>3</v>
      </c>
      <c r="BE880" t="s">
        <v>43</v>
      </c>
      <c r="BF880">
        <v>11.17</v>
      </c>
    </row>
    <row r="881" spans="1:58" hidden="1" x14ac:dyDescent="0.2">
      <c r="A881">
        <v>880</v>
      </c>
      <c r="B881" t="s">
        <v>0</v>
      </c>
      <c r="C881">
        <v>20</v>
      </c>
      <c r="D881" t="s">
        <v>28</v>
      </c>
      <c r="E881" t="s">
        <v>17</v>
      </c>
      <c r="F881" t="s">
        <v>15</v>
      </c>
      <c r="G881" t="s">
        <v>116</v>
      </c>
      <c r="H881" t="s">
        <v>118</v>
      </c>
      <c r="I881" t="s">
        <v>112</v>
      </c>
      <c r="J881" t="s">
        <v>123</v>
      </c>
      <c r="K881" t="s">
        <v>7</v>
      </c>
      <c r="L881">
        <v>8.1999999999999993</v>
      </c>
      <c r="M881">
        <v>5.6</v>
      </c>
      <c r="N881" t="s">
        <v>29</v>
      </c>
      <c r="O881" t="s">
        <v>7</v>
      </c>
      <c r="P881" t="s">
        <v>46</v>
      </c>
      <c r="Q881">
        <v>11</v>
      </c>
      <c r="R881">
        <v>7</v>
      </c>
      <c r="S881">
        <v>23.1</v>
      </c>
      <c r="T881">
        <v>141</v>
      </c>
      <c r="U881">
        <v>77</v>
      </c>
      <c r="V881">
        <v>7988</v>
      </c>
      <c r="W881">
        <v>31.3</v>
      </c>
      <c r="X881">
        <v>5</v>
      </c>
      <c r="Y881">
        <v>4</v>
      </c>
      <c r="Z881">
        <v>11</v>
      </c>
      <c r="AA881">
        <v>0.3</v>
      </c>
      <c r="AB881">
        <v>5</v>
      </c>
      <c r="AC881">
        <v>93</v>
      </c>
      <c r="AD881">
        <v>3</v>
      </c>
      <c r="AE881">
        <v>11</v>
      </c>
      <c r="AF881">
        <v>168</v>
      </c>
      <c r="AG881">
        <v>61</v>
      </c>
      <c r="AH881">
        <v>71</v>
      </c>
      <c r="AI881">
        <v>10</v>
      </c>
      <c r="AJ881">
        <v>25</v>
      </c>
      <c r="AK881">
        <v>17</v>
      </c>
      <c r="AL881">
        <v>14</v>
      </c>
      <c r="AM881">
        <v>2</v>
      </c>
      <c r="AN881">
        <v>50</v>
      </c>
      <c r="AO881">
        <v>17</v>
      </c>
      <c r="AP881">
        <v>14</v>
      </c>
      <c r="AQ881">
        <v>26</v>
      </c>
      <c r="AR881">
        <v>1830</v>
      </c>
      <c r="AS881">
        <v>3703</v>
      </c>
      <c r="AT881" t="s">
        <v>7</v>
      </c>
      <c r="AU881">
        <v>0.34</v>
      </c>
      <c r="AV881">
        <v>2018</v>
      </c>
      <c r="AW881" s="1">
        <v>46012</v>
      </c>
      <c r="AX881">
        <v>31</v>
      </c>
      <c r="AY881" t="s">
        <v>45</v>
      </c>
      <c r="AZ881" t="s">
        <v>51</v>
      </c>
      <c r="BA881" t="s">
        <v>21</v>
      </c>
      <c r="BB881" t="s">
        <v>13</v>
      </c>
      <c r="BC881" t="s">
        <v>13</v>
      </c>
      <c r="BD881">
        <v>1</v>
      </c>
      <c r="BE881" t="s">
        <v>14</v>
      </c>
      <c r="BF881">
        <v>1.32</v>
      </c>
    </row>
    <row r="882" spans="1:58" hidden="1" x14ac:dyDescent="0.2">
      <c r="A882">
        <v>881</v>
      </c>
      <c r="B882" t="s">
        <v>0</v>
      </c>
      <c r="C882">
        <v>51</v>
      </c>
      <c r="D882" t="s">
        <v>28</v>
      </c>
      <c r="E882" t="s">
        <v>2</v>
      </c>
      <c r="F882" t="s">
        <v>15</v>
      </c>
      <c r="G882" t="s">
        <v>38</v>
      </c>
      <c r="H882" t="s">
        <v>118</v>
      </c>
      <c r="I882" t="s">
        <v>115</v>
      </c>
      <c r="J882" t="s">
        <v>18</v>
      </c>
      <c r="K882" t="s">
        <v>7</v>
      </c>
      <c r="L882">
        <v>5.4</v>
      </c>
      <c r="M882">
        <v>5.8</v>
      </c>
      <c r="N882" t="s">
        <v>29</v>
      </c>
      <c r="O882" t="s">
        <v>13</v>
      </c>
      <c r="P882" t="s">
        <v>9</v>
      </c>
      <c r="Q882">
        <v>10</v>
      </c>
      <c r="R882">
        <v>7</v>
      </c>
      <c r="S882">
        <v>25.6</v>
      </c>
      <c r="T882">
        <v>135</v>
      </c>
      <c r="U882">
        <v>92</v>
      </c>
      <c r="V882">
        <v>8151</v>
      </c>
      <c r="W882">
        <v>49.9</v>
      </c>
      <c r="X882">
        <v>3</v>
      </c>
      <c r="Y882">
        <v>3</v>
      </c>
      <c r="Z882">
        <v>11</v>
      </c>
      <c r="AA882">
        <v>2.8</v>
      </c>
      <c r="AB882">
        <v>3</v>
      </c>
      <c r="AC882">
        <v>29</v>
      </c>
      <c r="AD882">
        <v>1</v>
      </c>
      <c r="AE882">
        <v>3</v>
      </c>
      <c r="AF882">
        <v>61</v>
      </c>
      <c r="AG882">
        <v>32</v>
      </c>
      <c r="AH882">
        <v>41</v>
      </c>
      <c r="AI882">
        <v>9</v>
      </c>
      <c r="AJ882">
        <v>15</v>
      </c>
      <c r="AK882">
        <v>12</v>
      </c>
      <c r="AL882">
        <v>6</v>
      </c>
      <c r="AM882">
        <v>0</v>
      </c>
      <c r="AN882">
        <v>13</v>
      </c>
      <c r="AO882">
        <v>7</v>
      </c>
      <c r="AP882">
        <v>6</v>
      </c>
      <c r="AQ882">
        <v>9</v>
      </c>
      <c r="AR882">
        <v>1283</v>
      </c>
      <c r="AS882">
        <v>2683</v>
      </c>
      <c r="AT882" t="s">
        <v>13</v>
      </c>
      <c r="AU882">
        <v>0.8</v>
      </c>
      <c r="AV882">
        <v>2013</v>
      </c>
      <c r="AW882" s="1">
        <v>45934</v>
      </c>
      <c r="AX882">
        <v>29</v>
      </c>
      <c r="AY882" t="s">
        <v>45</v>
      </c>
      <c r="AZ882" t="s">
        <v>48</v>
      </c>
      <c r="BA882" t="s">
        <v>122</v>
      </c>
      <c r="BB882" t="s">
        <v>7</v>
      </c>
      <c r="BC882" t="s">
        <v>7</v>
      </c>
      <c r="BD882">
        <v>3</v>
      </c>
      <c r="BE882" t="s">
        <v>14</v>
      </c>
      <c r="BF882">
        <v>2.27</v>
      </c>
    </row>
    <row r="883" spans="1:58" hidden="1" x14ac:dyDescent="0.2">
      <c r="A883">
        <v>882</v>
      </c>
      <c r="B883" t="s">
        <v>0</v>
      </c>
      <c r="C883">
        <v>38</v>
      </c>
      <c r="D883" t="s">
        <v>125</v>
      </c>
      <c r="E883" t="s">
        <v>33</v>
      </c>
      <c r="F883" t="s">
        <v>3</v>
      </c>
      <c r="G883" t="s">
        <v>16</v>
      </c>
      <c r="H883" t="s">
        <v>118</v>
      </c>
      <c r="I883" t="s">
        <v>113</v>
      </c>
      <c r="J883" t="s">
        <v>6</v>
      </c>
      <c r="K883" t="s">
        <v>7</v>
      </c>
      <c r="L883">
        <v>4</v>
      </c>
      <c r="M883">
        <v>7.6</v>
      </c>
      <c r="N883" t="s">
        <v>120</v>
      </c>
      <c r="O883" t="s">
        <v>7</v>
      </c>
      <c r="P883" t="s">
        <v>26</v>
      </c>
      <c r="Q883">
        <v>19</v>
      </c>
      <c r="R883">
        <v>9</v>
      </c>
      <c r="S883">
        <v>18</v>
      </c>
      <c r="T883">
        <v>143</v>
      </c>
      <c r="U883">
        <v>67</v>
      </c>
      <c r="V883">
        <v>7977</v>
      </c>
      <c r="W883">
        <v>37.200000000000003</v>
      </c>
      <c r="X883">
        <v>4</v>
      </c>
      <c r="Y883">
        <v>6</v>
      </c>
      <c r="Z883">
        <v>7</v>
      </c>
      <c r="AA883">
        <v>4.0999999999999996</v>
      </c>
      <c r="AB883">
        <v>2</v>
      </c>
      <c r="AC883">
        <v>49</v>
      </c>
      <c r="AD883">
        <v>5</v>
      </c>
      <c r="AE883">
        <v>8</v>
      </c>
      <c r="AF883">
        <v>68</v>
      </c>
      <c r="AG883">
        <v>50</v>
      </c>
      <c r="AH883">
        <v>34</v>
      </c>
      <c r="AI883">
        <v>16</v>
      </c>
      <c r="AJ883">
        <v>18</v>
      </c>
      <c r="AK883">
        <v>18</v>
      </c>
      <c r="AL883">
        <v>9</v>
      </c>
      <c r="AM883">
        <v>0</v>
      </c>
      <c r="AN883">
        <v>23</v>
      </c>
      <c r="AO883">
        <v>11</v>
      </c>
      <c r="AP883">
        <v>8</v>
      </c>
      <c r="AQ883">
        <v>17</v>
      </c>
      <c r="AR883">
        <v>410</v>
      </c>
      <c r="AS883">
        <v>516</v>
      </c>
      <c r="AT883" t="s">
        <v>7</v>
      </c>
      <c r="AU883">
        <v>0.96</v>
      </c>
      <c r="AV883">
        <v>2017</v>
      </c>
      <c r="AW883" s="1">
        <v>45905</v>
      </c>
      <c r="AX883">
        <v>9.8000000000000007</v>
      </c>
      <c r="AY883" t="s">
        <v>27</v>
      </c>
      <c r="AZ883" t="s">
        <v>51</v>
      </c>
      <c r="BA883" t="s">
        <v>122</v>
      </c>
      <c r="BB883" t="s">
        <v>13</v>
      </c>
      <c r="BC883" t="s">
        <v>7</v>
      </c>
      <c r="BD883">
        <v>1</v>
      </c>
      <c r="BE883" t="s">
        <v>14</v>
      </c>
      <c r="BF883">
        <v>1.8</v>
      </c>
    </row>
    <row r="884" spans="1:58" hidden="1" x14ac:dyDescent="0.2">
      <c r="A884">
        <v>883</v>
      </c>
      <c r="B884" t="s">
        <v>0</v>
      </c>
      <c r="C884">
        <v>46</v>
      </c>
      <c r="D884" t="s">
        <v>28</v>
      </c>
      <c r="E884" t="s">
        <v>126</v>
      </c>
      <c r="F884" t="s">
        <v>15</v>
      </c>
      <c r="G884" t="s">
        <v>117</v>
      </c>
      <c r="H884" t="s">
        <v>118</v>
      </c>
      <c r="I884" t="s">
        <v>114</v>
      </c>
      <c r="J884" t="s">
        <v>6</v>
      </c>
      <c r="K884" t="s">
        <v>7</v>
      </c>
      <c r="L884">
        <v>3.2</v>
      </c>
      <c r="M884">
        <v>6.3</v>
      </c>
      <c r="N884" t="s">
        <v>25</v>
      </c>
      <c r="O884" t="s">
        <v>7</v>
      </c>
      <c r="P884" t="s">
        <v>121</v>
      </c>
      <c r="Q884">
        <v>4</v>
      </c>
      <c r="R884">
        <v>7</v>
      </c>
      <c r="S884">
        <v>23.6</v>
      </c>
      <c r="T884">
        <v>123</v>
      </c>
      <c r="U884">
        <v>97</v>
      </c>
      <c r="V884">
        <v>8032</v>
      </c>
      <c r="W884">
        <v>38.1</v>
      </c>
      <c r="X884">
        <v>1</v>
      </c>
      <c r="Y884">
        <v>4</v>
      </c>
      <c r="Z884">
        <v>4</v>
      </c>
      <c r="AA884">
        <v>2.2000000000000002</v>
      </c>
      <c r="AB884">
        <v>3</v>
      </c>
      <c r="AC884">
        <v>5</v>
      </c>
      <c r="AD884">
        <v>1</v>
      </c>
      <c r="AE884">
        <v>0</v>
      </c>
      <c r="AF884">
        <v>50</v>
      </c>
      <c r="AG884">
        <v>37</v>
      </c>
      <c r="AH884">
        <v>30</v>
      </c>
      <c r="AI884">
        <v>7</v>
      </c>
      <c r="AJ884">
        <v>8</v>
      </c>
      <c r="AK884">
        <v>5</v>
      </c>
      <c r="AL884">
        <v>3</v>
      </c>
      <c r="AM884">
        <v>0</v>
      </c>
      <c r="AN884">
        <v>2</v>
      </c>
      <c r="AO884">
        <v>1</v>
      </c>
      <c r="AP884">
        <v>1</v>
      </c>
      <c r="AQ884">
        <v>2</v>
      </c>
      <c r="AR884">
        <v>1863</v>
      </c>
      <c r="AS884">
        <v>3582</v>
      </c>
      <c r="AT884" t="s">
        <v>7</v>
      </c>
      <c r="AU884">
        <v>0.53</v>
      </c>
      <c r="AV884">
        <v>2022</v>
      </c>
      <c r="AW884" s="1">
        <v>45829</v>
      </c>
      <c r="AX884">
        <v>5</v>
      </c>
      <c r="AY884" t="s">
        <v>36</v>
      </c>
      <c r="AZ884" t="s">
        <v>48</v>
      </c>
      <c r="BA884" t="s">
        <v>122</v>
      </c>
      <c r="BB884" t="s">
        <v>7</v>
      </c>
      <c r="BC884" t="s">
        <v>7</v>
      </c>
      <c r="BD884">
        <v>3</v>
      </c>
      <c r="BE884" t="s">
        <v>43</v>
      </c>
      <c r="BF884">
        <v>7.33</v>
      </c>
    </row>
    <row r="885" spans="1:58" hidden="1" x14ac:dyDescent="0.2">
      <c r="A885">
        <v>884</v>
      </c>
      <c r="B885" t="s">
        <v>0</v>
      </c>
      <c r="C885">
        <v>15</v>
      </c>
      <c r="D885" t="s">
        <v>28</v>
      </c>
      <c r="E885" t="s">
        <v>128</v>
      </c>
      <c r="F885" t="s">
        <v>3</v>
      </c>
      <c r="G885" t="s">
        <v>117</v>
      </c>
      <c r="H885" t="s">
        <v>34</v>
      </c>
      <c r="I885" t="s">
        <v>17</v>
      </c>
      <c r="J885" t="s">
        <v>32</v>
      </c>
      <c r="K885" t="s">
        <v>13</v>
      </c>
      <c r="L885">
        <v>6.2</v>
      </c>
      <c r="M885">
        <v>7</v>
      </c>
      <c r="N885" t="s">
        <v>29</v>
      </c>
      <c r="O885" t="s">
        <v>7</v>
      </c>
      <c r="P885" t="s">
        <v>9</v>
      </c>
      <c r="Q885">
        <v>6</v>
      </c>
      <c r="R885">
        <v>9</v>
      </c>
      <c r="S885">
        <v>22.6</v>
      </c>
      <c r="T885">
        <v>97</v>
      </c>
      <c r="U885">
        <v>84</v>
      </c>
      <c r="V885">
        <v>8001</v>
      </c>
      <c r="W885">
        <v>46</v>
      </c>
      <c r="X885">
        <v>2</v>
      </c>
      <c r="Y885">
        <v>2</v>
      </c>
      <c r="Z885">
        <v>14</v>
      </c>
      <c r="AA885">
        <v>4.5</v>
      </c>
      <c r="AB885">
        <v>2</v>
      </c>
      <c r="AC885">
        <v>31</v>
      </c>
      <c r="AD885">
        <v>3</v>
      </c>
      <c r="AE885">
        <v>6</v>
      </c>
      <c r="AF885">
        <v>126</v>
      </c>
      <c r="AG885">
        <v>48</v>
      </c>
      <c r="AH885">
        <v>52</v>
      </c>
      <c r="AI885">
        <v>9</v>
      </c>
      <c r="AJ885">
        <v>15</v>
      </c>
      <c r="AK885">
        <v>9</v>
      </c>
      <c r="AL885">
        <v>9</v>
      </c>
      <c r="AM885">
        <v>0</v>
      </c>
      <c r="AN885">
        <v>16</v>
      </c>
      <c r="AO885">
        <v>5</v>
      </c>
      <c r="AP885">
        <v>5</v>
      </c>
      <c r="AQ885">
        <v>12</v>
      </c>
      <c r="AR885">
        <v>415</v>
      </c>
      <c r="AS885">
        <v>357</v>
      </c>
      <c r="AT885" t="s">
        <v>7</v>
      </c>
      <c r="AU885">
        <v>0.98</v>
      </c>
      <c r="AV885">
        <v>2020</v>
      </c>
      <c r="AW885" s="1">
        <v>45729</v>
      </c>
      <c r="AX885">
        <v>10.3</v>
      </c>
      <c r="AY885" t="s">
        <v>10</v>
      </c>
      <c r="AZ885" t="s">
        <v>17</v>
      </c>
      <c r="BA885" t="s">
        <v>122</v>
      </c>
      <c r="BB885" t="s">
        <v>13</v>
      </c>
      <c r="BC885" t="s">
        <v>7</v>
      </c>
      <c r="BD885">
        <v>3</v>
      </c>
      <c r="BE885" t="s">
        <v>43</v>
      </c>
      <c r="BF885">
        <v>2.75</v>
      </c>
    </row>
    <row r="886" spans="1:58" hidden="1" x14ac:dyDescent="0.2">
      <c r="A886">
        <v>885</v>
      </c>
      <c r="B886" t="s">
        <v>0</v>
      </c>
      <c r="C886">
        <v>62</v>
      </c>
      <c r="D886" t="s">
        <v>28</v>
      </c>
      <c r="E886" t="s">
        <v>42</v>
      </c>
      <c r="F886" t="s">
        <v>15</v>
      </c>
      <c r="G886" t="s">
        <v>16</v>
      </c>
      <c r="H886" t="s">
        <v>119</v>
      </c>
      <c r="I886" t="s">
        <v>112</v>
      </c>
      <c r="J886" t="s">
        <v>18</v>
      </c>
      <c r="K886" t="s">
        <v>7</v>
      </c>
      <c r="L886">
        <v>9.5</v>
      </c>
      <c r="M886">
        <v>7.9</v>
      </c>
      <c r="N886" t="s">
        <v>25</v>
      </c>
      <c r="O886" t="s">
        <v>7</v>
      </c>
      <c r="P886" t="s">
        <v>26</v>
      </c>
      <c r="Q886">
        <v>24</v>
      </c>
      <c r="R886">
        <v>4</v>
      </c>
      <c r="S886">
        <v>29.2</v>
      </c>
      <c r="T886">
        <v>130</v>
      </c>
      <c r="U886">
        <v>97</v>
      </c>
      <c r="V886">
        <v>7998</v>
      </c>
      <c r="W886">
        <v>24.8</v>
      </c>
      <c r="X886">
        <v>1</v>
      </c>
      <c r="Y886">
        <v>2</v>
      </c>
      <c r="Z886">
        <v>10</v>
      </c>
      <c r="AA886">
        <v>1.8</v>
      </c>
      <c r="AB886">
        <v>8</v>
      </c>
      <c r="AC886">
        <v>256</v>
      </c>
      <c r="AD886">
        <v>7</v>
      </c>
      <c r="AE886">
        <v>7</v>
      </c>
      <c r="AF886">
        <v>201</v>
      </c>
      <c r="AG886">
        <v>120</v>
      </c>
      <c r="AH886">
        <v>155</v>
      </c>
      <c r="AI886">
        <v>54</v>
      </c>
      <c r="AJ886">
        <v>28</v>
      </c>
      <c r="AK886">
        <v>39</v>
      </c>
      <c r="AL886">
        <v>29</v>
      </c>
      <c r="AM886">
        <v>9</v>
      </c>
      <c r="AN886">
        <v>114</v>
      </c>
      <c r="AO886">
        <v>48</v>
      </c>
      <c r="AP886">
        <v>44</v>
      </c>
      <c r="AQ886">
        <v>63</v>
      </c>
      <c r="AR886">
        <v>2061</v>
      </c>
      <c r="AS886">
        <v>2371</v>
      </c>
      <c r="AT886" t="s">
        <v>13</v>
      </c>
      <c r="AU886">
        <v>0.6</v>
      </c>
      <c r="AV886">
        <v>2019</v>
      </c>
      <c r="AW886" s="1">
        <v>46005</v>
      </c>
      <c r="AX886">
        <v>36.6</v>
      </c>
      <c r="AY886" t="s">
        <v>10</v>
      </c>
      <c r="AZ886" t="s">
        <v>37</v>
      </c>
      <c r="BA886" t="s">
        <v>12</v>
      </c>
      <c r="BB886" t="s">
        <v>13</v>
      </c>
      <c r="BC886" t="s">
        <v>13</v>
      </c>
      <c r="BD886">
        <v>0</v>
      </c>
      <c r="BE886" t="s">
        <v>43</v>
      </c>
      <c r="BF886">
        <v>1.1100000000000001</v>
      </c>
    </row>
    <row r="887" spans="1:58" hidden="1" x14ac:dyDescent="0.2">
      <c r="A887">
        <v>886</v>
      </c>
      <c r="B887" t="s">
        <v>0</v>
      </c>
      <c r="C887">
        <v>24</v>
      </c>
      <c r="D887" t="s">
        <v>28</v>
      </c>
      <c r="E887" t="s">
        <v>47</v>
      </c>
      <c r="F887" t="s">
        <v>40</v>
      </c>
      <c r="G887" t="s">
        <v>38</v>
      </c>
      <c r="H887" t="s">
        <v>118</v>
      </c>
      <c r="I887" t="s">
        <v>112</v>
      </c>
      <c r="J887" t="s">
        <v>123</v>
      </c>
      <c r="K887" t="s">
        <v>7</v>
      </c>
      <c r="L887">
        <v>3.8</v>
      </c>
      <c r="M887">
        <v>6</v>
      </c>
      <c r="N887" t="s">
        <v>29</v>
      </c>
      <c r="O887" t="s">
        <v>7</v>
      </c>
      <c r="P887" t="s">
        <v>52</v>
      </c>
      <c r="Q887">
        <v>11</v>
      </c>
      <c r="R887">
        <v>4</v>
      </c>
      <c r="S887">
        <v>20.9</v>
      </c>
      <c r="T887">
        <v>112</v>
      </c>
      <c r="U887">
        <v>70</v>
      </c>
      <c r="V887">
        <v>8044</v>
      </c>
      <c r="W887">
        <v>31.6</v>
      </c>
      <c r="X887">
        <v>5</v>
      </c>
      <c r="Y887">
        <v>9</v>
      </c>
      <c r="Z887">
        <v>12</v>
      </c>
      <c r="AA887">
        <v>7.5</v>
      </c>
      <c r="AB887">
        <v>3</v>
      </c>
      <c r="AC887">
        <v>238</v>
      </c>
      <c r="AD887">
        <v>8</v>
      </c>
      <c r="AE887">
        <v>11</v>
      </c>
      <c r="AF887">
        <v>272</v>
      </c>
      <c r="AG887">
        <v>129</v>
      </c>
      <c r="AH887">
        <v>132</v>
      </c>
      <c r="AI887">
        <v>42</v>
      </c>
      <c r="AJ887">
        <v>30</v>
      </c>
      <c r="AK887">
        <v>32</v>
      </c>
      <c r="AL887">
        <v>21</v>
      </c>
      <c r="AM887">
        <v>8</v>
      </c>
      <c r="AN887">
        <v>96</v>
      </c>
      <c r="AO887">
        <v>43</v>
      </c>
      <c r="AP887">
        <v>35</v>
      </c>
      <c r="AQ887">
        <v>54</v>
      </c>
      <c r="AR887">
        <v>6085</v>
      </c>
      <c r="AS887">
        <v>10000</v>
      </c>
      <c r="AT887" t="s">
        <v>7</v>
      </c>
      <c r="AU887">
        <v>0.28000000000000003</v>
      </c>
      <c r="AV887">
        <v>2022</v>
      </c>
      <c r="AW887" s="1">
        <v>45860</v>
      </c>
      <c r="AX887">
        <v>29.8</v>
      </c>
      <c r="AY887" t="s">
        <v>10</v>
      </c>
      <c r="AZ887" t="s">
        <v>20</v>
      </c>
      <c r="BA887" t="s">
        <v>122</v>
      </c>
      <c r="BB887" t="s">
        <v>13</v>
      </c>
      <c r="BC887" t="s">
        <v>7</v>
      </c>
      <c r="BD887">
        <v>1</v>
      </c>
      <c r="BE887" t="s">
        <v>14</v>
      </c>
      <c r="BF887">
        <v>1.04</v>
      </c>
    </row>
    <row r="888" spans="1:58" hidden="1" x14ac:dyDescent="0.2">
      <c r="A888">
        <v>887</v>
      </c>
      <c r="B888" t="s">
        <v>0</v>
      </c>
      <c r="C888">
        <v>13</v>
      </c>
      <c r="D888" t="s">
        <v>1</v>
      </c>
      <c r="E888" t="s">
        <v>22</v>
      </c>
      <c r="F888" t="s">
        <v>40</v>
      </c>
      <c r="G888" t="s">
        <v>117</v>
      </c>
      <c r="H888" t="s">
        <v>118</v>
      </c>
      <c r="I888" t="s">
        <v>53</v>
      </c>
      <c r="J888" t="s">
        <v>123</v>
      </c>
      <c r="K888" t="s">
        <v>7</v>
      </c>
      <c r="L888">
        <v>5.7</v>
      </c>
      <c r="M888">
        <v>6.6</v>
      </c>
      <c r="N888" t="s">
        <v>8</v>
      </c>
      <c r="O888" t="s">
        <v>7</v>
      </c>
      <c r="P888" t="s">
        <v>9</v>
      </c>
      <c r="Q888">
        <v>37</v>
      </c>
      <c r="R888">
        <v>4</v>
      </c>
      <c r="S888">
        <v>26.6</v>
      </c>
      <c r="T888">
        <v>103</v>
      </c>
      <c r="U888">
        <v>84</v>
      </c>
      <c r="V888">
        <v>7962</v>
      </c>
      <c r="W888">
        <v>50.9</v>
      </c>
      <c r="X888">
        <v>0</v>
      </c>
      <c r="Y888">
        <v>4</v>
      </c>
      <c r="Z888">
        <v>13</v>
      </c>
      <c r="AA888">
        <v>5.7</v>
      </c>
      <c r="AB888">
        <v>3</v>
      </c>
      <c r="AC888">
        <v>428</v>
      </c>
      <c r="AD888">
        <v>13</v>
      </c>
      <c r="AE888">
        <v>13</v>
      </c>
      <c r="AF888">
        <v>300</v>
      </c>
      <c r="AG888">
        <v>150</v>
      </c>
      <c r="AH888">
        <v>244</v>
      </c>
      <c r="AI888">
        <v>72</v>
      </c>
      <c r="AJ888">
        <v>53</v>
      </c>
      <c r="AK888">
        <v>54</v>
      </c>
      <c r="AL888">
        <v>37</v>
      </c>
      <c r="AM888">
        <v>10</v>
      </c>
      <c r="AN888">
        <v>227</v>
      </c>
      <c r="AO888">
        <v>67</v>
      </c>
      <c r="AP888">
        <v>70</v>
      </c>
      <c r="AQ888">
        <v>117</v>
      </c>
      <c r="AR888">
        <v>810</v>
      </c>
      <c r="AS888">
        <v>709</v>
      </c>
      <c r="AT888" t="s">
        <v>7</v>
      </c>
      <c r="AU888">
        <v>0.7</v>
      </c>
      <c r="AV888">
        <v>2017</v>
      </c>
      <c r="AW888" s="1">
        <v>45927</v>
      </c>
      <c r="AX888">
        <v>32.9</v>
      </c>
      <c r="AY888" t="s">
        <v>30</v>
      </c>
      <c r="AZ888" t="s">
        <v>31</v>
      </c>
      <c r="BA888" t="s">
        <v>21</v>
      </c>
      <c r="BB888" t="s">
        <v>13</v>
      </c>
      <c r="BC888" t="s">
        <v>7</v>
      </c>
      <c r="BD888">
        <v>2</v>
      </c>
      <c r="BE888" t="s">
        <v>14</v>
      </c>
      <c r="BF888">
        <v>1</v>
      </c>
    </row>
    <row r="889" spans="1:58" hidden="1" x14ac:dyDescent="0.2">
      <c r="A889">
        <v>888</v>
      </c>
      <c r="B889" t="s">
        <v>0</v>
      </c>
      <c r="C889">
        <v>56</v>
      </c>
      <c r="D889" t="s">
        <v>1</v>
      </c>
      <c r="E889" t="s">
        <v>128</v>
      </c>
      <c r="F889" t="s">
        <v>15</v>
      </c>
      <c r="G889" t="s">
        <v>4</v>
      </c>
      <c r="H889" t="s">
        <v>118</v>
      </c>
      <c r="I889" t="s">
        <v>112</v>
      </c>
      <c r="J889" t="s">
        <v>6</v>
      </c>
      <c r="K889" t="s">
        <v>7</v>
      </c>
      <c r="L889">
        <v>2.9</v>
      </c>
      <c r="M889">
        <v>7.4</v>
      </c>
      <c r="N889" t="s">
        <v>8</v>
      </c>
      <c r="O889" t="s">
        <v>7</v>
      </c>
      <c r="P889" t="s">
        <v>26</v>
      </c>
      <c r="Q889">
        <v>25</v>
      </c>
      <c r="R889">
        <v>8</v>
      </c>
      <c r="S889">
        <v>29</v>
      </c>
      <c r="T889">
        <v>104</v>
      </c>
      <c r="U889">
        <v>89</v>
      </c>
      <c r="V889">
        <v>7968</v>
      </c>
      <c r="W889">
        <v>49.6</v>
      </c>
      <c r="X889">
        <v>2</v>
      </c>
      <c r="Y889">
        <v>4</v>
      </c>
      <c r="Z889">
        <v>8</v>
      </c>
      <c r="AA889">
        <v>1.3</v>
      </c>
      <c r="AB889">
        <v>3</v>
      </c>
      <c r="AC889">
        <v>167</v>
      </c>
      <c r="AD889">
        <v>8</v>
      </c>
      <c r="AE889">
        <v>3</v>
      </c>
      <c r="AF889">
        <v>150</v>
      </c>
      <c r="AG889">
        <v>107</v>
      </c>
      <c r="AH889">
        <v>94</v>
      </c>
      <c r="AI889">
        <v>39</v>
      </c>
      <c r="AJ889">
        <v>36</v>
      </c>
      <c r="AK889">
        <v>31</v>
      </c>
      <c r="AL889">
        <v>14</v>
      </c>
      <c r="AM889">
        <v>4</v>
      </c>
      <c r="AN889">
        <v>77</v>
      </c>
      <c r="AO889">
        <v>18</v>
      </c>
      <c r="AP889">
        <v>27</v>
      </c>
      <c r="AQ889">
        <v>36</v>
      </c>
      <c r="AR889">
        <v>997</v>
      </c>
      <c r="AS889">
        <v>1252</v>
      </c>
      <c r="AT889" t="s">
        <v>7</v>
      </c>
      <c r="AU889">
        <v>7.0000000000000007E-2</v>
      </c>
      <c r="AV889">
        <v>2017</v>
      </c>
      <c r="AW889" s="1">
        <v>45933</v>
      </c>
      <c r="AX889">
        <v>20.9</v>
      </c>
      <c r="AY889" t="s">
        <v>45</v>
      </c>
      <c r="AZ889" t="s">
        <v>37</v>
      </c>
      <c r="BA889" t="s">
        <v>122</v>
      </c>
      <c r="BB889" t="s">
        <v>13</v>
      </c>
      <c r="BC889" t="s">
        <v>7</v>
      </c>
      <c r="BD889">
        <v>1</v>
      </c>
      <c r="BE889" t="s">
        <v>49</v>
      </c>
      <c r="BF889">
        <v>1.08</v>
      </c>
    </row>
    <row r="890" spans="1:58" hidden="1" x14ac:dyDescent="0.2">
      <c r="A890">
        <v>889</v>
      </c>
      <c r="B890" t="s">
        <v>0</v>
      </c>
      <c r="C890">
        <v>17</v>
      </c>
      <c r="D890" t="s">
        <v>1</v>
      </c>
      <c r="E890" t="s">
        <v>128</v>
      </c>
      <c r="F890" t="s">
        <v>3</v>
      </c>
      <c r="G890" t="s">
        <v>117</v>
      </c>
      <c r="H890" t="s">
        <v>118</v>
      </c>
      <c r="I890" t="s">
        <v>112</v>
      </c>
      <c r="J890" t="s">
        <v>32</v>
      </c>
      <c r="K890" t="s">
        <v>13</v>
      </c>
      <c r="L890">
        <v>13</v>
      </c>
      <c r="M890">
        <v>6.7</v>
      </c>
      <c r="N890" t="s">
        <v>29</v>
      </c>
      <c r="O890" t="s">
        <v>7</v>
      </c>
      <c r="P890" t="s">
        <v>9</v>
      </c>
      <c r="Q890">
        <v>31</v>
      </c>
      <c r="R890">
        <v>10</v>
      </c>
      <c r="S890">
        <v>28.2</v>
      </c>
      <c r="T890">
        <v>122</v>
      </c>
      <c r="U890">
        <v>75</v>
      </c>
      <c r="V890">
        <v>7950</v>
      </c>
      <c r="W890">
        <v>47.4</v>
      </c>
      <c r="X890">
        <v>4</v>
      </c>
      <c r="Y890">
        <v>2</v>
      </c>
      <c r="Z890">
        <v>10</v>
      </c>
      <c r="AA890">
        <v>1.1000000000000001</v>
      </c>
      <c r="AB890">
        <v>4</v>
      </c>
      <c r="AC890">
        <v>155</v>
      </c>
      <c r="AD890">
        <v>8</v>
      </c>
      <c r="AE890">
        <v>9</v>
      </c>
      <c r="AF890">
        <v>193</v>
      </c>
      <c r="AG890">
        <v>86</v>
      </c>
      <c r="AH890">
        <v>108</v>
      </c>
      <c r="AI890">
        <v>28</v>
      </c>
      <c r="AJ890">
        <v>23</v>
      </c>
      <c r="AK890">
        <v>25</v>
      </c>
      <c r="AL890">
        <v>21</v>
      </c>
      <c r="AM890">
        <v>3</v>
      </c>
      <c r="AN890">
        <v>89</v>
      </c>
      <c r="AO890">
        <v>44</v>
      </c>
      <c r="AP890">
        <v>30</v>
      </c>
      <c r="AQ890">
        <v>38</v>
      </c>
      <c r="AR890">
        <v>1763</v>
      </c>
      <c r="AS890">
        <v>3338</v>
      </c>
      <c r="AT890" t="s">
        <v>7</v>
      </c>
      <c r="AU890">
        <v>0.41</v>
      </c>
      <c r="AV890">
        <v>2014</v>
      </c>
      <c r="AW890" s="1">
        <v>45891</v>
      </c>
      <c r="AX890">
        <v>19.399999999999999</v>
      </c>
      <c r="AY890" t="s">
        <v>36</v>
      </c>
      <c r="AZ890" t="s">
        <v>31</v>
      </c>
      <c r="BA890" t="s">
        <v>12</v>
      </c>
      <c r="BB890" t="s">
        <v>13</v>
      </c>
      <c r="BC890" t="s">
        <v>7</v>
      </c>
      <c r="BD890">
        <v>1</v>
      </c>
      <c r="BE890" t="s">
        <v>43</v>
      </c>
      <c r="BF890">
        <v>1.22</v>
      </c>
    </row>
    <row r="891" spans="1:58" hidden="1" x14ac:dyDescent="0.2">
      <c r="A891">
        <v>890</v>
      </c>
      <c r="B891" t="s">
        <v>0</v>
      </c>
      <c r="C891">
        <v>42</v>
      </c>
      <c r="D891" t="s">
        <v>28</v>
      </c>
      <c r="E891" t="s">
        <v>50</v>
      </c>
      <c r="F891" t="s">
        <v>15</v>
      </c>
      <c r="G891" t="s">
        <v>116</v>
      </c>
      <c r="H891" t="s">
        <v>119</v>
      </c>
      <c r="I891" t="s">
        <v>114</v>
      </c>
      <c r="J891" t="s">
        <v>6</v>
      </c>
      <c r="K891" t="s">
        <v>7</v>
      </c>
      <c r="L891">
        <v>1.9</v>
      </c>
      <c r="M891">
        <v>6.3</v>
      </c>
      <c r="N891" t="s">
        <v>39</v>
      </c>
      <c r="O891" t="s">
        <v>7</v>
      </c>
      <c r="P891" t="s">
        <v>46</v>
      </c>
      <c r="Q891">
        <v>14</v>
      </c>
      <c r="R891">
        <v>1</v>
      </c>
      <c r="S891">
        <v>24.2</v>
      </c>
      <c r="T891">
        <v>113</v>
      </c>
      <c r="U891">
        <v>94</v>
      </c>
      <c r="V891">
        <v>7799</v>
      </c>
      <c r="W891">
        <v>49.7</v>
      </c>
      <c r="X891">
        <v>5</v>
      </c>
      <c r="Y891">
        <v>7</v>
      </c>
      <c r="Z891">
        <v>6</v>
      </c>
      <c r="AA891">
        <v>2.6</v>
      </c>
      <c r="AB891">
        <v>5</v>
      </c>
      <c r="AC891">
        <v>220</v>
      </c>
      <c r="AD891">
        <v>10</v>
      </c>
      <c r="AE891">
        <v>8</v>
      </c>
      <c r="AF891">
        <v>174</v>
      </c>
      <c r="AG891">
        <v>133</v>
      </c>
      <c r="AH891">
        <v>135</v>
      </c>
      <c r="AI891">
        <v>49</v>
      </c>
      <c r="AJ891">
        <v>30</v>
      </c>
      <c r="AK891">
        <v>32</v>
      </c>
      <c r="AL891">
        <v>31</v>
      </c>
      <c r="AM891">
        <v>7</v>
      </c>
      <c r="AN891">
        <v>110</v>
      </c>
      <c r="AO891">
        <v>62</v>
      </c>
      <c r="AP891">
        <v>53</v>
      </c>
      <c r="AQ891">
        <v>60</v>
      </c>
      <c r="AR891">
        <v>550</v>
      </c>
      <c r="AS891">
        <v>505</v>
      </c>
      <c r="AT891" t="s">
        <v>7</v>
      </c>
      <c r="AU891">
        <v>0.28999999999999998</v>
      </c>
      <c r="AV891">
        <v>2021</v>
      </c>
      <c r="AW891" s="1">
        <v>46017</v>
      </c>
      <c r="AX891">
        <v>22</v>
      </c>
      <c r="AY891" t="s">
        <v>19</v>
      </c>
      <c r="AZ891" t="s">
        <v>31</v>
      </c>
      <c r="BA891" t="s">
        <v>12</v>
      </c>
      <c r="BB891" t="s">
        <v>7</v>
      </c>
      <c r="BC891" t="s">
        <v>13</v>
      </c>
      <c r="BD891">
        <v>2</v>
      </c>
      <c r="BE891" t="s">
        <v>14</v>
      </c>
      <c r="BF891">
        <v>1.1599999999999999</v>
      </c>
    </row>
    <row r="892" spans="1:58" hidden="1" x14ac:dyDescent="0.2">
      <c r="A892">
        <v>891</v>
      </c>
      <c r="B892" t="s">
        <v>0</v>
      </c>
      <c r="C892">
        <v>42</v>
      </c>
      <c r="D892" t="s">
        <v>28</v>
      </c>
      <c r="E892" t="s">
        <v>2</v>
      </c>
      <c r="F892" t="s">
        <v>15</v>
      </c>
      <c r="G892" t="s">
        <v>16</v>
      </c>
      <c r="H892" t="s">
        <v>118</v>
      </c>
      <c r="I892" t="s">
        <v>112</v>
      </c>
      <c r="J892" t="s">
        <v>6</v>
      </c>
      <c r="K892" t="s">
        <v>7</v>
      </c>
      <c r="L892">
        <v>3.1</v>
      </c>
      <c r="M892">
        <v>9.6</v>
      </c>
      <c r="N892" t="s">
        <v>120</v>
      </c>
      <c r="O892" t="s">
        <v>13</v>
      </c>
      <c r="P892" t="s">
        <v>9</v>
      </c>
      <c r="Q892">
        <v>28</v>
      </c>
      <c r="R892">
        <v>7</v>
      </c>
      <c r="S892">
        <v>27.3</v>
      </c>
      <c r="T892">
        <v>99</v>
      </c>
      <c r="U892">
        <v>67</v>
      </c>
      <c r="V892">
        <v>7914</v>
      </c>
      <c r="W892">
        <v>40.700000000000003</v>
      </c>
      <c r="X892">
        <v>3</v>
      </c>
      <c r="Y892">
        <v>4</v>
      </c>
      <c r="Z892">
        <v>13</v>
      </c>
      <c r="AA892">
        <v>1.7</v>
      </c>
      <c r="AB892">
        <v>3</v>
      </c>
      <c r="AC892">
        <v>250</v>
      </c>
      <c r="AD892">
        <v>26</v>
      </c>
      <c r="AE892">
        <v>11</v>
      </c>
      <c r="AF892">
        <v>191</v>
      </c>
      <c r="AG892">
        <v>126</v>
      </c>
      <c r="AH892">
        <v>128</v>
      </c>
      <c r="AI892">
        <v>40</v>
      </c>
      <c r="AJ892">
        <v>17</v>
      </c>
      <c r="AK892">
        <v>49</v>
      </c>
      <c r="AL892">
        <v>35</v>
      </c>
      <c r="AM892">
        <v>5</v>
      </c>
      <c r="AN892">
        <v>104</v>
      </c>
      <c r="AO892">
        <v>48</v>
      </c>
      <c r="AP892">
        <v>58</v>
      </c>
      <c r="AQ892">
        <v>70</v>
      </c>
      <c r="AR892">
        <v>3333</v>
      </c>
      <c r="AS892">
        <v>5479</v>
      </c>
      <c r="AT892" t="s">
        <v>7</v>
      </c>
      <c r="AU892">
        <v>0.16</v>
      </c>
      <c r="AV892">
        <v>2020</v>
      </c>
      <c r="AW892" s="1">
        <v>45687</v>
      </c>
      <c r="AX892">
        <v>9.6</v>
      </c>
      <c r="AY892" t="s">
        <v>10</v>
      </c>
      <c r="AZ892" t="s">
        <v>31</v>
      </c>
      <c r="BA892" t="s">
        <v>122</v>
      </c>
      <c r="BB892" t="s">
        <v>13</v>
      </c>
      <c r="BC892" t="s">
        <v>7</v>
      </c>
      <c r="BD892">
        <v>2</v>
      </c>
      <c r="BE892" t="s">
        <v>43</v>
      </c>
      <c r="BF892">
        <v>0.96</v>
      </c>
    </row>
    <row r="893" spans="1:58" hidden="1" x14ac:dyDescent="0.2">
      <c r="A893">
        <v>892</v>
      </c>
      <c r="B893" t="s">
        <v>0</v>
      </c>
      <c r="C893">
        <v>29</v>
      </c>
      <c r="D893" t="s">
        <v>1</v>
      </c>
      <c r="E893" t="s">
        <v>2</v>
      </c>
      <c r="F893" t="s">
        <v>40</v>
      </c>
      <c r="G893" t="s">
        <v>16</v>
      </c>
      <c r="H893" t="s">
        <v>34</v>
      </c>
      <c r="I893" t="s">
        <v>114</v>
      </c>
      <c r="J893" t="s">
        <v>32</v>
      </c>
      <c r="K893" t="s">
        <v>13</v>
      </c>
      <c r="L893">
        <v>3.1</v>
      </c>
      <c r="M893">
        <v>7.5</v>
      </c>
      <c r="N893" t="s">
        <v>29</v>
      </c>
      <c r="O893" t="s">
        <v>7</v>
      </c>
      <c r="P893" t="s">
        <v>46</v>
      </c>
      <c r="Q893">
        <v>36</v>
      </c>
      <c r="R893">
        <v>3</v>
      </c>
      <c r="S893">
        <v>27.2</v>
      </c>
      <c r="T893">
        <v>95</v>
      </c>
      <c r="U893">
        <v>94</v>
      </c>
      <c r="V893">
        <v>8023</v>
      </c>
      <c r="W893">
        <v>31.8</v>
      </c>
      <c r="X893">
        <v>5</v>
      </c>
      <c r="Y893">
        <v>5</v>
      </c>
      <c r="Z893">
        <v>10</v>
      </c>
      <c r="AA893">
        <v>5</v>
      </c>
      <c r="AB893">
        <v>2</v>
      </c>
      <c r="AC893">
        <v>315</v>
      </c>
      <c r="AD893">
        <v>12</v>
      </c>
      <c r="AE893">
        <v>5</v>
      </c>
      <c r="AF893">
        <v>300</v>
      </c>
      <c r="AG893">
        <v>150</v>
      </c>
      <c r="AH893">
        <v>189</v>
      </c>
      <c r="AI893">
        <v>53</v>
      </c>
      <c r="AJ893">
        <v>40</v>
      </c>
      <c r="AK893">
        <v>43</v>
      </c>
      <c r="AL893">
        <v>31</v>
      </c>
      <c r="AM893">
        <v>8</v>
      </c>
      <c r="AN893">
        <v>127</v>
      </c>
      <c r="AO893">
        <v>63</v>
      </c>
      <c r="AP893">
        <v>76</v>
      </c>
      <c r="AQ893">
        <v>79</v>
      </c>
      <c r="AR893">
        <v>2041</v>
      </c>
      <c r="AS893">
        <v>1007</v>
      </c>
      <c r="AT893" t="s">
        <v>7</v>
      </c>
      <c r="AU893">
        <v>0.42</v>
      </c>
      <c r="AV893">
        <v>2013</v>
      </c>
      <c r="AW893" s="1">
        <v>45817</v>
      </c>
      <c r="AX893">
        <v>26.2</v>
      </c>
      <c r="AY893" t="s">
        <v>27</v>
      </c>
      <c r="AZ893" t="s">
        <v>35</v>
      </c>
      <c r="BA893" t="s">
        <v>12</v>
      </c>
      <c r="BB893" t="s">
        <v>13</v>
      </c>
      <c r="BC893" t="s">
        <v>7</v>
      </c>
      <c r="BD893">
        <v>1</v>
      </c>
      <c r="BE893" t="s">
        <v>14</v>
      </c>
      <c r="BF893">
        <v>0.98</v>
      </c>
    </row>
    <row r="894" spans="1:58" hidden="1" x14ac:dyDescent="0.2">
      <c r="A894">
        <v>893</v>
      </c>
      <c r="B894" t="s">
        <v>0</v>
      </c>
      <c r="C894">
        <v>60</v>
      </c>
      <c r="D894" t="s">
        <v>28</v>
      </c>
      <c r="E894" t="s">
        <v>126</v>
      </c>
      <c r="F894" t="s">
        <v>15</v>
      </c>
      <c r="G894" t="s">
        <v>38</v>
      </c>
      <c r="H894" t="s">
        <v>23</v>
      </c>
      <c r="I894" t="s">
        <v>112</v>
      </c>
      <c r="J894" t="s">
        <v>6</v>
      </c>
      <c r="K894" t="s">
        <v>7</v>
      </c>
      <c r="L894">
        <v>6</v>
      </c>
      <c r="M894">
        <v>7.2</v>
      </c>
      <c r="N894" t="s">
        <v>8</v>
      </c>
      <c r="O894" t="s">
        <v>13</v>
      </c>
      <c r="P894" t="s">
        <v>46</v>
      </c>
      <c r="Q894">
        <v>32</v>
      </c>
      <c r="R894">
        <v>5</v>
      </c>
      <c r="S894">
        <v>21.7</v>
      </c>
      <c r="T894">
        <v>114</v>
      </c>
      <c r="U894">
        <v>70</v>
      </c>
      <c r="V894">
        <v>7977</v>
      </c>
      <c r="W894">
        <v>50.1</v>
      </c>
      <c r="X894">
        <v>2</v>
      </c>
      <c r="Y894">
        <v>6</v>
      </c>
      <c r="Z894">
        <v>12</v>
      </c>
      <c r="AA894">
        <v>8.5</v>
      </c>
      <c r="AB894">
        <v>4</v>
      </c>
      <c r="AC894">
        <v>227</v>
      </c>
      <c r="AD894">
        <v>17</v>
      </c>
      <c r="AE894">
        <v>5</v>
      </c>
      <c r="AF894">
        <v>179</v>
      </c>
      <c r="AG894">
        <v>121</v>
      </c>
      <c r="AH894">
        <v>138</v>
      </c>
      <c r="AI894">
        <v>43</v>
      </c>
      <c r="AJ894">
        <v>48</v>
      </c>
      <c r="AK894">
        <v>34</v>
      </c>
      <c r="AL894">
        <v>20</v>
      </c>
      <c r="AM894">
        <v>6</v>
      </c>
      <c r="AN894">
        <v>100</v>
      </c>
      <c r="AO894">
        <v>58</v>
      </c>
      <c r="AP894">
        <v>44</v>
      </c>
      <c r="AQ894">
        <v>89</v>
      </c>
      <c r="AR894">
        <v>689</v>
      </c>
      <c r="AS894">
        <v>1430</v>
      </c>
      <c r="AT894" t="s">
        <v>7</v>
      </c>
      <c r="AU894">
        <v>0.69</v>
      </c>
      <c r="AV894">
        <v>2025</v>
      </c>
      <c r="AW894" s="1">
        <v>45800</v>
      </c>
      <c r="AX894">
        <v>13.4</v>
      </c>
      <c r="AY894" t="s">
        <v>30</v>
      </c>
      <c r="AZ894" t="s">
        <v>20</v>
      </c>
      <c r="BA894" t="s">
        <v>12</v>
      </c>
      <c r="BB894" t="s">
        <v>13</v>
      </c>
      <c r="BC894" t="s">
        <v>7</v>
      </c>
      <c r="BD894">
        <v>4</v>
      </c>
      <c r="BE894" t="s">
        <v>14</v>
      </c>
      <c r="BF894">
        <v>1.05</v>
      </c>
    </row>
    <row r="895" spans="1:58" hidden="1" x14ac:dyDescent="0.2">
      <c r="A895">
        <v>894</v>
      </c>
      <c r="B895" t="s">
        <v>0</v>
      </c>
      <c r="C895">
        <v>59</v>
      </c>
      <c r="D895" t="s">
        <v>1</v>
      </c>
      <c r="E895" t="s">
        <v>33</v>
      </c>
      <c r="F895" t="s">
        <v>3</v>
      </c>
      <c r="G895" t="s">
        <v>16</v>
      </c>
      <c r="H895" t="s">
        <v>118</v>
      </c>
      <c r="I895" t="s">
        <v>114</v>
      </c>
      <c r="J895" t="s">
        <v>123</v>
      </c>
      <c r="K895" t="s">
        <v>7</v>
      </c>
      <c r="L895">
        <v>9.3000000000000007</v>
      </c>
      <c r="M895">
        <v>7.1</v>
      </c>
      <c r="N895" t="s">
        <v>39</v>
      </c>
      <c r="O895" t="s">
        <v>7</v>
      </c>
      <c r="P895" t="s">
        <v>46</v>
      </c>
      <c r="Q895">
        <v>10</v>
      </c>
      <c r="R895">
        <v>9</v>
      </c>
      <c r="S895">
        <v>25.9</v>
      </c>
      <c r="T895">
        <v>153</v>
      </c>
      <c r="U895">
        <v>80</v>
      </c>
      <c r="V895">
        <v>8038</v>
      </c>
      <c r="W895">
        <v>20.3</v>
      </c>
      <c r="X895">
        <v>2</v>
      </c>
      <c r="Y895">
        <v>6</v>
      </c>
      <c r="Z895">
        <v>9</v>
      </c>
      <c r="AA895">
        <v>3.7</v>
      </c>
      <c r="AB895">
        <v>3</v>
      </c>
      <c r="AC895">
        <v>25</v>
      </c>
      <c r="AD895">
        <v>2</v>
      </c>
      <c r="AE895">
        <v>7</v>
      </c>
      <c r="AF895">
        <v>51</v>
      </c>
      <c r="AG895">
        <v>38</v>
      </c>
      <c r="AH895">
        <v>36</v>
      </c>
      <c r="AI895">
        <v>8</v>
      </c>
      <c r="AJ895">
        <v>13</v>
      </c>
      <c r="AK895">
        <v>14</v>
      </c>
      <c r="AL895">
        <v>14</v>
      </c>
      <c r="AM895">
        <v>3</v>
      </c>
      <c r="AN895">
        <v>13</v>
      </c>
      <c r="AO895">
        <v>6</v>
      </c>
      <c r="AP895">
        <v>4</v>
      </c>
      <c r="AQ895">
        <v>10</v>
      </c>
      <c r="AR895">
        <v>777</v>
      </c>
      <c r="AS895">
        <v>854</v>
      </c>
      <c r="AT895" t="s">
        <v>7</v>
      </c>
      <c r="AU895">
        <v>0.65</v>
      </c>
      <c r="AV895">
        <v>2014</v>
      </c>
      <c r="AW895" s="1">
        <v>45913</v>
      </c>
      <c r="AX895">
        <v>12.5</v>
      </c>
      <c r="AY895" t="s">
        <v>27</v>
      </c>
      <c r="AZ895" t="s">
        <v>48</v>
      </c>
      <c r="BA895" t="s">
        <v>122</v>
      </c>
      <c r="BB895" t="s">
        <v>13</v>
      </c>
      <c r="BC895" t="s">
        <v>7</v>
      </c>
      <c r="BD895">
        <v>2</v>
      </c>
      <c r="BE895" t="s">
        <v>14</v>
      </c>
      <c r="BF895">
        <v>2.81</v>
      </c>
    </row>
    <row r="896" spans="1:58" hidden="1" x14ac:dyDescent="0.2">
      <c r="A896">
        <v>895</v>
      </c>
      <c r="B896" t="s">
        <v>0</v>
      </c>
      <c r="C896">
        <v>35</v>
      </c>
      <c r="D896" t="s">
        <v>28</v>
      </c>
      <c r="E896" t="s">
        <v>126</v>
      </c>
      <c r="F896" t="s">
        <v>15</v>
      </c>
      <c r="G896" t="s">
        <v>4</v>
      </c>
      <c r="H896" t="s">
        <v>34</v>
      </c>
      <c r="I896" t="s">
        <v>113</v>
      </c>
      <c r="J896" t="s">
        <v>123</v>
      </c>
      <c r="K896" t="s">
        <v>7</v>
      </c>
      <c r="L896">
        <v>11.8</v>
      </c>
      <c r="M896">
        <v>6.4</v>
      </c>
      <c r="N896" t="s">
        <v>29</v>
      </c>
      <c r="O896" t="s">
        <v>7</v>
      </c>
      <c r="P896" t="s">
        <v>46</v>
      </c>
      <c r="Q896">
        <v>27</v>
      </c>
      <c r="R896">
        <v>9</v>
      </c>
      <c r="S896">
        <v>25.9</v>
      </c>
      <c r="T896">
        <v>129</v>
      </c>
      <c r="U896">
        <v>66</v>
      </c>
      <c r="V896">
        <v>8102</v>
      </c>
      <c r="W896">
        <v>42.7</v>
      </c>
      <c r="X896">
        <v>2</v>
      </c>
      <c r="Y896">
        <v>5</v>
      </c>
      <c r="Z896">
        <v>11</v>
      </c>
      <c r="AA896">
        <v>7</v>
      </c>
      <c r="AB896">
        <v>5</v>
      </c>
      <c r="AC896">
        <v>144</v>
      </c>
      <c r="AD896">
        <v>13</v>
      </c>
      <c r="AE896">
        <v>3</v>
      </c>
      <c r="AF896">
        <v>149</v>
      </c>
      <c r="AG896">
        <v>73</v>
      </c>
      <c r="AH896">
        <v>108</v>
      </c>
      <c r="AI896">
        <v>25</v>
      </c>
      <c r="AJ896">
        <v>24</v>
      </c>
      <c r="AK896">
        <v>25</v>
      </c>
      <c r="AL896">
        <v>23</v>
      </c>
      <c r="AM896">
        <v>4</v>
      </c>
      <c r="AN896">
        <v>82</v>
      </c>
      <c r="AO896">
        <v>15</v>
      </c>
      <c r="AP896">
        <v>35</v>
      </c>
      <c r="AQ896">
        <v>41</v>
      </c>
      <c r="AR896">
        <v>411</v>
      </c>
      <c r="AS896">
        <v>796</v>
      </c>
      <c r="AT896" t="s">
        <v>7</v>
      </c>
      <c r="AU896">
        <v>0.84</v>
      </c>
      <c r="AV896">
        <v>2010</v>
      </c>
      <c r="AW896" s="1">
        <v>45692</v>
      </c>
      <c r="AX896">
        <v>11.1</v>
      </c>
      <c r="AY896" t="s">
        <v>10</v>
      </c>
      <c r="AZ896" t="s">
        <v>11</v>
      </c>
      <c r="BA896" t="s">
        <v>12</v>
      </c>
      <c r="BB896" t="s">
        <v>13</v>
      </c>
      <c r="BC896" t="s">
        <v>13</v>
      </c>
      <c r="BD896">
        <v>2</v>
      </c>
      <c r="BE896" t="s">
        <v>43</v>
      </c>
      <c r="BF896">
        <v>1.1499999999999999</v>
      </c>
    </row>
    <row r="897" spans="1:58" hidden="1" x14ac:dyDescent="0.2">
      <c r="A897">
        <v>896</v>
      </c>
      <c r="B897" t="s">
        <v>0</v>
      </c>
      <c r="C897">
        <v>27</v>
      </c>
      <c r="D897" t="s">
        <v>1</v>
      </c>
      <c r="E897" t="s">
        <v>2</v>
      </c>
      <c r="F897" t="s">
        <v>15</v>
      </c>
      <c r="G897" t="s">
        <v>16</v>
      </c>
      <c r="H897" t="s">
        <v>34</v>
      </c>
      <c r="I897" t="s">
        <v>112</v>
      </c>
      <c r="J897" t="s">
        <v>6</v>
      </c>
      <c r="K897" t="s">
        <v>13</v>
      </c>
      <c r="L897">
        <v>14.9</v>
      </c>
      <c r="M897">
        <v>7.7</v>
      </c>
      <c r="N897" t="s">
        <v>25</v>
      </c>
      <c r="O897" t="s">
        <v>7</v>
      </c>
      <c r="P897" t="s">
        <v>26</v>
      </c>
      <c r="Q897">
        <v>28</v>
      </c>
      <c r="R897">
        <v>2</v>
      </c>
      <c r="S897">
        <v>24.9</v>
      </c>
      <c r="T897">
        <v>148</v>
      </c>
      <c r="U897">
        <v>69</v>
      </c>
      <c r="V897">
        <v>7975</v>
      </c>
      <c r="W897">
        <v>25.7</v>
      </c>
      <c r="X897">
        <v>3</v>
      </c>
      <c r="Y897">
        <v>3</v>
      </c>
      <c r="Z897">
        <v>14</v>
      </c>
      <c r="AA897">
        <v>5.4</v>
      </c>
      <c r="AB897">
        <v>6</v>
      </c>
      <c r="AC897">
        <v>310</v>
      </c>
      <c r="AD897">
        <v>16</v>
      </c>
      <c r="AE897">
        <v>4</v>
      </c>
      <c r="AF897">
        <v>300</v>
      </c>
      <c r="AG897">
        <v>147</v>
      </c>
      <c r="AH897">
        <v>178</v>
      </c>
      <c r="AI897">
        <v>48</v>
      </c>
      <c r="AJ897">
        <v>43</v>
      </c>
      <c r="AK897">
        <v>43</v>
      </c>
      <c r="AL897">
        <v>30</v>
      </c>
      <c r="AM897">
        <v>8</v>
      </c>
      <c r="AN897">
        <v>159</v>
      </c>
      <c r="AO897">
        <v>71</v>
      </c>
      <c r="AP897">
        <v>50</v>
      </c>
      <c r="AQ897">
        <v>83</v>
      </c>
      <c r="AR897">
        <v>1494</v>
      </c>
      <c r="AS897">
        <v>3389</v>
      </c>
      <c r="AT897" t="s">
        <v>7</v>
      </c>
      <c r="AU897">
        <v>0.08</v>
      </c>
      <c r="AV897">
        <v>2012</v>
      </c>
      <c r="AW897" s="1">
        <v>45740</v>
      </c>
      <c r="AX897">
        <v>19.399999999999999</v>
      </c>
      <c r="AY897" t="s">
        <v>45</v>
      </c>
      <c r="AZ897" t="s">
        <v>31</v>
      </c>
      <c r="BA897" t="s">
        <v>122</v>
      </c>
      <c r="BB897" t="s">
        <v>13</v>
      </c>
      <c r="BC897" t="s">
        <v>7</v>
      </c>
      <c r="BD897">
        <v>4</v>
      </c>
      <c r="BE897" t="s">
        <v>14</v>
      </c>
      <c r="BF897">
        <v>0.92</v>
      </c>
    </row>
    <row r="898" spans="1:58" hidden="1" x14ac:dyDescent="0.2">
      <c r="A898">
        <v>897</v>
      </c>
      <c r="B898" t="s">
        <v>0</v>
      </c>
      <c r="C898">
        <v>49</v>
      </c>
      <c r="D898" t="s">
        <v>1</v>
      </c>
      <c r="E898" t="s">
        <v>50</v>
      </c>
      <c r="F898" t="s">
        <v>15</v>
      </c>
      <c r="G898" t="s">
        <v>4</v>
      </c>
      <c r="H898" t="s">
        <v>23</v>
      </c>
      <c r="I898" t="s">
        <v>17</v>
      </c>
      <c r="J898" t="s">
        <v>6</v>
      </c>
      <c r="K898" t="s">
        <v>7</v>
      </c>
      <c r="L898">
        <v>8.9</v>
      </c>
      <c r="M898">
        <v>6.9</v>
      </c>
      <c r="N898" t="s">
        <v>29</v>
      </c>
      <c r="O898" t="s">
        <v>7</v>
      </c>
      <c r="P898" t="s">
        <v>9</v>
      </c>
      <c r="Q898">
        <v>19</v>
      </c>
      <c r="R898">
        <v>1</v>
      </c>
      <c r="S898">
        <v>29.7</v>
      </c>
      <c r="T898">
        <v>136</v>
      </c>
      <c r="U898">
        <v>89</v>
      </c>
      <c r="V898">
        <v>8059</v>
      </c>
      <c r="W898">
        <v>44</v>
      </c>
      <c r="X898">
        <v>5</v>
      </c>
      <c r="Y898">
        <v>7</v>
      </c>
      <c r="Z898">
        <v>7</v>
      </c>
      <c r="AA898">
        <v>0.7</v>
      </c>
      <c r="AB898">
        <v>3</v>
      </c>
      <c r="AC898">
        <v>214</v>
      </c>
      <c r="AD898">
        <v>11</v>
      </c>
      <c r="AE898">
        <v>7</v>
      </c>
      <c r="AF898">
        <v>172</v>
      </c>
      <c r="AG898">
        <v>137</v>
      </c>
      <c r="AH898">
        <v>134</v>
      </c>
      <c r="AI898">
        <v>39</v>
      </c>
      <c r="AJ898">
        <v>30</v>
      </c>
      <c r="AK898">
        <v>44</v>
      </c>
      <c r="AL898">
        <v>24</v>
      </c>
      <c r="AM898">
        <v>7</v>
      </c>
      <c r="AN898">
        <v>114</v>
      </c>
      <c r="AO898">
        <v>35</v>
      </c>
      <c r="AP898">
        <v>36</v>
      </c>
      <c r="AQ898">
        <v>50</v>
      </c>
      <c r="AR898">
        <v>613</v>
      </c>
      <c r="AS898">
        <v>991</v>
      </c>
      <c r="AT898" t="s">
        <v>7</v>
      </c>
      <c r="AU898">
        <v>0.69</v>
      </c>
      <c r="AV898">
        <v>2024</v>
      </c>
      <c r="AW898" s="1">
        <v>45772</v>
      </c>
      <c r="AX898">
        <v>19.5</v>
      </c>
      <c r="AY898" t="s">
        <v>27</v>
      </c>
      <c r="AZ898" t="s">
        <v>31</v>
      </c>
      <c r="BA898" t="s">
        <v>122</v>
      </c>
      <c r="BB898" t="s">
        <v>13</v>
      </c>
      <c r="BC898" t="s">
        <v>13</v>
      </c>
      <c r="BD898">
        <v>2</v>
      </c>
      <c r="BE898" t="s">
        <v>43</v>
      </c>
      <c r="BF898">
        <v>1.08</v>
      </c>
    </row>
    <row r="899" spans="1:58" hidden="1" x14ac:dyDescent="0.2">
      <c r="A899">
        <v>898</v>
      </c>
      <c r="B899" t="s">
        <v>0</v>
      </c>
      <c r="C899">
        <v>33</v>
      </c>
      <c r="D899" t="s">
        <v>28</v>
      </c>
      <c r="E899" t="s">
        <v>127</v>
      </c>
      <c r="F899" t="s">
        <v>40</v>
      </c>
      <c r="G899" t="s">
        <v>116</v>
      </c>
      <c r="H899" t="s">
        <v>118</v>
      </c>
      <c r="I899" t="s">
        <v>115</v>
      </c>
      <c r="J899" t="s">
        <v>18</v>
      </c>
      <c r="K899" t="s">
        <v>7</v>
      </c>
      <c r="L899">
        <v>5.9</v>
      </c>
      <c r="M899">
        <v>5.9</v>
      </c>
      <c r="N899" t="s">
        <v>8</v>
      </c>
      <c r="O899" t="s">
        <v>7</v>
      </c>
      <c r="P899" t="s">
        <v>9</v>
      </c>
      <c r="Q899">
        <v>36</v>
      </c>
      <c r="R899">
        <v>1</v>
      </c>
      <c r="S899">
        <v>27.2</v>
      </c>
      <c r="T899">
        <v>126</v>
      </c>
      <c r="U899">
        <v>82</v>
      </c>
      <c r="V899">
        <v>8055</v>
      </c>
      <c r="W899">
        <v>58.4</v>
      </c>
      <c r="X899">
        <v>1</v>
      </c>
      <c r="Y899">
        <v>4</v>
      </c>
      <c r="Z899">
        <v>13</v>
      </c>
      <c r="AA899">
        <v>0.8</v>
      </c>
      <c r="AB899">
        <v>2</v>
      </c>
      <c r="AC899">
        <v>340</v>
      </c>
      <c r="AD899">
        <v>29</v>
      </c>
      <c r="AE899">
        <v>5</v>
      </c>
      <c r="AF899">
        <v>259</v>
      </c>
      <c r="AG899">
        <v>150</v>
      </c>
      <c r="AH899">
        <v>198</v>
      </c>
      <c r="AI899">
        <v>64</v>
      </c>
      <c r="AJ899">
        <v>56</v>
      </c>
      <c r="AK899">
        <v>50</v>
      </c>
      <c r="AL899">
        <v>32</v>
      </c>
      <c r="AM899">
        <v>6</v>
      </c>
      <c r="AN899">
        <v>146</v>
      </c>
      <c r="AO899">
        <v>47</v>
      </c>
      <c r="AP899">
        <v>78</v>
      </c>
      <c r="AQ899">
        <v>122</v>
      </c>
      <c r="AR899">
        <v>2812</v>
      </c>
      <c r="AS899">
        <v>3401</v>
      </c>
      <c r="AT899" t="s">
        <v>7</v>
      </c>
      <c r="AU899">
        <v>7.0000000000000007E-2</v>
      </c>
      <c r="AV899">
        <v>2011</v>
      </c>
      <c r="AW899" s="1">
        <v>45978</v>
      </c>
      <c r="AX899">
        <v>11.7</v>
      </c>
      <c r="AY899" t="s">
        <v>36</v>
      </c>
      <c r="AZ899" t="s">
        <v>37</v>
      </c>
      <c r="BA899" t="s">
        <v>122</v>
      </c>
      <c r="BB899" t="s">
        <v>13</v>
      </c>
      <c r="BC899" t="s">
        <v>7</v>
      </c>
      <c r="BD899">
        <v>0</v>
      </c>
      <c r="BE899" t="s">
        <v>14</v>
      </c>
      <c r="BF899">
        <v>1</v>
      </c>
    </row>
    <row r="900" spans="1:58" hidden="1" x14ac:dyDescent="0.2">
      <c r="A900">
        <v>899</v>
      </c>
      <c r="B900" t="s">
        <v>0</v>
      </c>
      <c r="C900">
        <v>26</v>
      </c>
      <c r="D900" t="s">
        <v>1</v>
      </c>
      <c r="E900" t="s">
        <v>126</v>
      </c>
      <c r="F900" t="s">
        <v>40</v>
      </c>
      <c r="G900" t="s">
        <v>117</v>
      </c>
      <c r="H900" t="s">
        <v>24</v>
      </c>
      <c r="I900" t="s">
        <v>112</v>
      </c>
      <c r="J900" t="s">
        <v>32</v>
      </c>
      <c r="K900" t="s">
        <v>7</v>
      </c>
      <c r="L900">
        <v>7.4</v>
      </c>
      <c r="M900">
        <v>4.0999999999999996</v>
      </c>
      <c r="N900" t="s">
        <v>29</v>
      </c>
      <c r="O900" t="s">
        <v>7</v>
      </c>
      <c r="P900" t="s">
        <v>9</v>
      </c>
      <c r="Q900">
        <v>5</v>
      </c>
      <c r="R900">
        <v>9</v>
      </c>
      <c r="S900">
        <v>22.7</v>
      </c>
      <c r="T900">
        <v>138</v>
      </c>
      <c r="U900">
        <v>85</v>
      </c>
      <c r="V900">
        <v>8006</v>
      </c>
      <c r="W900">
        <v>43.3</v>
      </c>
      <c r="X900">
        <v>2</v>
      </c>
      <c r="Y900">
        <v>4</v>
      </c>
      <c r="Z900">
        <v>10</v>
      </c>
      <c r="AA900">
        <v>2.9</v>
      </c>
      <c r="AB900">
        <v>1</v>
      </c>
      <c r="AC900">
        <v>34</v>
      </c>
      <c r="AD900">
        <v>2</v>
      </c>
      <c r="AE900">
        <v>3</v>
      </c>
      <c r="AF900">
        <v>116</v>
      </c>
      <c r="AG900">
        <v>54</v>
      </c>
      <c r="AH900">
        <v>35</v>
      </c>
      <c r="AI900">
        <v>8</v>
      </c>
      <c r="AJ900">
        <v>15</v>
      </c>
      <c r="AK900">
        <v>16</v>
      </c>
      <c r="AL900">
        <v>14</v>
      </c>
      <c r="AM900">
        <v>1</v>
      </c>
      <c r="AN900">
        <v>17</v>
      </c>
      <c r="AO900">
        <v>10</v>
      </c>
      <c r="AP900">
        <v>4</v>
      </c>
      <c r="AQ900">
        <v>10</v>
      </c>
      <c r="AR900">
        <v>860</v>
      </c>
      <c r="AS900">
        <v>765</v>
      </c>
      <c r="AT900" t="s">
        <v>7</v>
      </c>
      <c r="AU900">
        <v>0.85</v>
      </c>
      <c r="AV900">
        <v>2018</v>
      </c>
      <c r="AW900" s="1">
        <v>45819</v>
      </c>
      <c r="AX900">
        <v>17</v>
      </c>
      <c r="AY900" t="s">
        <v>30</v>
      </c>
      <c r="AZ900" t="s">
        <v>37</v>
      </c>
      <c r="BA900" t="s">
        <v>12</v>
      </c>
      <c r="BB900" t="s">
        <v>7</v>
      </c>
      <c r="BC900" t="s">
        <v>13</v>
      </c>
      <c r="BD900">
        <v>2</v>
      </c>
      <c r="BE900" t="s">
        <v>14</v>
      </c>
      <c r="BF900">
        <v>1.71</v>
      </c>
    </row>
    <row r="901" spans="1:58" hidden="1" x14ac:dyDescent="0.2">
      <c r="A901">
        <v>900</v>
      </c>
      <c r="B901" t="s">
        <v>0</v>
      </c>
      <c r="C901">
        <v>14</v>
      </c>
      <c r="D901" t="s">
        <v>28</v>
      </c>
      <c r="E901" t="s">
        <v>22</v>
      </c>
      <c r="F901" t="s">
        <v>40</v>
      </c>
      <c r="G901" t="s">
        <v>4</v>
      </c>
      <c r="H901" t="s">
        <v>23</v>
      </c>
      <c r="I901" t="s">
        <v>114</v>
      </c>
      <c r="J901" t="s">
        <v>123</v>
      </c>
      <c r="K901" t="s">
        <v>7</v>
      </c>
      <c r="L901">
        <v>16.100000000000001</v>
      </c>
      <c r="M901">
        <v>10</v>
      </c>
      <c r="N901" t="s">
        <v>8</v>
      </c>
      <c r="O901" t="s">
        <v>7</v>
      </c>
      <c r="P901" t="s">
        <v>46</v>
      </c>
      <c r="Q901">
        <v>31</v>
      </c>
      <c r="R901">
        <v>3</v>
      </c>
      <c r="S901">
        <v>27.4</v>
      </c>
      <c r="T901">
        <v>139</v>
      </c>
      <c r="U901">
        <v>80</v>
      </c>
      <c r="V901">
        <v>7899</v>
      </c>
      <c r="W901">
        <v>39.9</v>
      </c>
      <c r="X901">
        <v>3</v>
      </c>
      <c r="Y901">
        <v>2</v>
      </c>
      <c r="Z901">
        <v>11</v>
      </c>
      <c r="AA901">
        <v>1.1000000000000001</v>
      </c>
      <c r="AB901">
        <v>2</v>
      </c>
      <c r="AC901">
        <v>284</v>
      </c>
      <c r="AD901">
        <v>16</v>
      </c>
      <c r="AE901">
        <v>15</v>
      </c>
      <c r="AF901">
        <v>297</v>
      </c>
      <c r="AG901">
        <v>139</v>
      </c>
      <c r="AH901">
        <v>184</v>
      </c>
      <c r="AI901">
        <v>47</v>
      </c>
      <c r="AJ901">
        <v>41</v>
      </c>
      <c r="AK901">
        <v>40</v>
      </c>
      <c r="AL901">
        <v>27</v>
      </c>
      <c r="AM901">
        <v>3</v>
      </c>
      <c r="AN901">
        <v>130</v>
      </c>
      <c r="AO901">
        <v>44</v>
      </c>
      <c r="AP901">
        <v>68</v>
      </c>
      <c r="AQ901">
        <v>99</v>
      </c>
      <c r="AR901">
        <v>1716</v>
      </c>
      <c r="AS901">
        <v>3815</v>
      </c>
      <c r="AT901" t="s">
        <v>13</v>
      </c>
      <c r="AU901">
        <v>0.03</v>
      </c>
      <c r="AV901">
        <v>2011</v>
      </c>
      <c r="AW901" s="1">
        <v>45959</v>
      </c>
      <c r="AX901">
        <v>17.8</v>
      </c>
      <c r="AY901" t="s">
        <v>45</v>
      </c>
      <c r="AZ901" t="s">
        <v>37</v>
      </c>
      <c r="BA901" t="s">
        <v>12</v>
      </c>
      <c r="BB901" t="s">
        <v>7</v>
      </c>
      <c r="BC901" t="s">
        <v>13</v>
      </c>
      <c r="BD901">
        <v>3</v>
      </c>
      <c r="BE901" t="s">
        <v>14</v>
      </c>
      <c r="BF901">
        <v>1.1299999999999999</v>
      </c>
    </row>
    <row r="902" spans="1:58" hidden="1" x14ac:dyDescent="0.2">
      <c r="A902">
        <v>901</v>
      </c>
      <c r="B902" t="s">
        <v>0</v>
      </c>
      <c r="C902">
        <v>23</v>
      </c>
      <c r="D902" t="s">
        <v>1</v>
      </c>
      <c r="E902" t="s">
        <v>2</v>
      </c>
      <c r="F902" t="s">
        <v>40</v>
      </c>
      <c r="G902" t="s">
        <v>117</v>
      </c>
      <c r="H902" t="s">
        <v>118</v>
      </c>
      <c r="I902" t="s">
        <v>112</v>
      </c>
      <c r="J902" t="s">
        <v>6</v>
      </c>
      <c r="K902" t="s">
        <v>7</v>
      </c>
      <c r="L902">
        <v>10.5</v>
      </c>
      <c r="M902">
        <v>6.1</v>
      </c>
      <c r="N902" t="s">
        <v>29</v>
      </c>
      <c r="O902" t="s">
        <v>7</v>
      </c>
      <c r="P902" t="s">
        <v>9</v>
      </c>
      <c r="Q902">
        <v>33</v>
      </c>
      <c r="R902">
        <v>1</v>
      </c>
      <c r="S902">
        <v>26.2</v>
      </c>
      <c r="T902">
        <v>106</v>
      </c>
      <c r="U902">
        <v>85</v>
      </c>
      <c r="V902">
        <v>8032</v>
      </c>
      <c r="W902">
        <v>35.9</v>
      </c>
      <c r="X902">
        <v>3</v>
      </c>
      <c r="Y902">
        <v>5</v>
      </c>
      <c r="Z902">
        <v>11</v>
      </c>
      <c r="AA902">
        <v>5.2</v>
      </c>
      <c r="AB902">
        <v>5</v>
      </c>
      <c r="AC902">
        <v>378</v>
      </c>
      <c r="AD902">
        <v>15</v>
      </c>
      <c r="AE902">
        <v>12</v>
      </c>
      <c r="AF902">
        <v>300</v>
      </c>
      <c r="AG902">
        <v>150</v>
      </c>
      <c r="AH902">
        <v>212</v>
      </c>
      <c r="AI902">
        <v>61</v>
      </c>
      <c r="AJ902">
        <v>37</v>
      </c>
      <c r="AK902">
        <v>58</v>
      </c>
      <c r="AL902">
        <v>41</v>
      </c>
      <c r="AM902">
        <v>7</v>
      </c>
      <c r="AN902">
        <v>221</v>
      </c>
      <c r="AO902">
        <v>98</v>
      </c>
      <c r="AP902">
        <v>46</v>
      </c>
      <c r="AQ902">
        <v>126</v>
      </c>
      <c r="AR902">
        <v>875</v>
      </c>
      <c r="AS902">
        <v>1112</v>
      </c>
      <c r="AT902" t="s">
        <v>7</v>
      </c>
      <c r="AU902">
        <v>0.32</v>
      </c>
      <c r="AV902">
        <v>2018</v>
      </c>
      <c r="AW902" s="1">
        <v>45873</v>
      </c>
      <c r="AX902">
        <v>25.2</v>
      </c>
      <c r="AY902" t="s">
        <v>45</v>
      </c>
      <c r="AZ902" t="s">
        <v>51</v>
      </c>
      <c r="BA902" t="s">
        <v>21</v>
      </c>
      <c r="BB902" t="s">
        <v>13</v>
      </c>
      <c r="BC902" t="s">
        <v>13</v>
      </c>
      <c r="BD902">
        <v>2</v>
      </c>
      <c r="BE902" t="s">
        <v>14</v>
      </c>
      <c r="BF902">
        <v>0.98</v>
      </c>
    </row>
    <row r="903" spans="1:58" hidden="1" x14ac:dyDescent="0.2">
      <c r="A903">
        <v>902</v>
      </c>
      <c r="B903" t="s">
        <v>0</v>
      </c>
      <c r="C903">
        <v>63</v>
      </c>
      <c r="D903" t="s">
        <v>1</v>
      </c>
      <c r="E903" t="s">
        <v>128</v>
      </c>
      <c r="F903" t="s">
        <v>3</v>
      </c>
      <c r="G903" t="s">
        <v>116</v>
      </c>
      <c r="H903" t="s">
        <v>118</v>
      </c>
      <c r="I903" t="s">
        <v>114</v>
      </c>
      <c r="J903" t="s">
        <v>123</v>
      </c>
      <c r="K903" t="s">
        <v>7</v>
      </c>
      <c r="L903">
        <v>10.7</v>
      </c>
      <c r="M903">
        <v>8.3000000000000007</v>
      </c>
      <c r="N903" t="s">
        <v>120</v>
      </c>
      <c r="O903" t="s">
        <v>7</v>
      </c>
      <c r="P903" t="s">
        <v>9</v>
      </c>
      <c r="Q903">
        <v>0</v>
      </c>
      <c r="R903">
        <v>3</v>
      </c>
      <c r="S903">
        <v>23.9</v>
      </c>
      <c r="T903">
        <v>119</v>
      </c>
      <c r="U903">
        <v>62</v>
      </c>
      <c r="V903">
        <v>7945</v>
      </c>
      <c r="W903">
        <v>41</v>
      </c>
      <c r="X903">
        <v>2</v>
      </c>
      <c r="Y903">
        <v>4</v>
      </c>
      <c r="Z903">
        <v>6</v>
      </c>
      <c r="AA903">
        <v>0.9</v>
      </c>
      <c r="AB903">
        <v>2</v>
      </c>
      <c r="AC903">
        <v>49</v>
      </c>
      <c r="AD903">
        <v>2</v>
      </c>
      <c r="AE903">
        <v>2</v>
      </c>
      <c r="AF903">
        <v>67</v>
      </c>
      <c r="AG903">
        <v>45</v>
      </c>
      <c r="AH903">
        <v>65</v>
      </c>
      <c r="AI903">
        <v>10</v>
      </c>
      <c r="AJ903">
        <v>16</v>
      </c>
      <c r="AK903">
        <v>15</v>
      </c>
      <c r="AL903">
        <v>13</v>
      </c>
      <c r="AM903">
        <v>2</v>
      </c>
      <c r="AN903">
        <v>29</v>
      </c>
      <c r="AO903">
        <v>13</v>
      </c>
      <c r="AP903">
        <v>11</v>
      </c>
      <c r="AQ903">
        <v>11</v>
      </c>
      <c r="AR903">
        <v>1293</v>
      </c>
      <c r="AS903">
        <v>2408</v>
      </c>
      <c r="AT903" t="s">
        <v>7</v>
      </c>
      <c r="AU903">
        <v>0.62</v>
      </c>
      <c r="AV903">
        <v>2021</v>
      </c>
      <c r="AW903" s="1">
        <v>45757</v>
      </c>
      <c r="AX903">
        <v>24.5</v>
      </c>
      <c r="AY903" t="s">
        <v>19</v>
      </c>
      <c r="AZ903" t="s">
        <v>37</v>
      </c>
      <c r="BA903" t="s">
        <v>122</v>
      </c>
      <c r="BB903" t="s">
        <v>13</v>
      </c>
      <c r="BC903" t="s">
        <v>7</v>
      </c>
      <c r="BD903">
        <v>2</v>
      </c>
      <c r="BE903" t="s">
        <v>14</v>
      </c>
      <c r="BF903">
        <v>1.82</v>
      </c>
    </row>
    <row r="904" spans="1:58" hidden="1" x14ac:dyDescent="0.2">
      <c r="A904">
        <v>903</v>
      </c>
      <c r="B904" t="s">
        <v>0</v>
      </c>
      <c r="C904">
        <v>51</v>
      </c>
      <c r="D904" t="s">
        <v>28</v>
      </c>
      <c r="E904" t="s">
        <v>128</v>
      </c>
      <c r="F904" t="s">
        <v>40</v>
      </c>
      <c r="G904" t="s">
        <v>116</v>
      </c>
      <c r="H904" t="s">
        <v>24</v>
      </c>
      <c r="I904" t="s">
        <v>115</v>
      </c>
      <c r="J904" t="s">
        <v>6</v>
      </c>
      <c r="K904" t="s">
        <v>7</v>
      </c>
      <c r="L904">
        <v>1.6</v>
      </c>
      <c r="M904">
        <v>7.1</v>
      </c>
      <c r="N904" t="s">
        <v>29</v>
      </c>
      <c r="O904" t="s">
        <v>7</v>
      </c>
      <c r="P904" t="s">
        <v>9</v>
      </c>
      <c r="Q904">
        <v>12</v>
      </c>
      <c r="R904">
        <v>7</v>
      </c>
      <c r="S904">
        <v>30.1</v>
      </c>
      <c r="T904">
        <v>129</v>
      </c>
      <c r="U904">
        <v>82</v>
      </c>
      <c r="V904">
        <v>8012</v>
      </c>
      <c r="W904">
        <v>38.4</v>
      </c>
      <c r="X904">
        <v>0</v>
      </c>
      <c r="Y904">
        <v>3</v>
      </c>
      <c r="Z904">
        <v>11</v>
      </c>
      <c r="AA904">
        <v>5.7</v>
      </c>
      <c r="AB904">
        <v>3</v>
      </c>
      <c r="AC904">
        <v>97</v>
      </c>
      <c r="AD904">
        <v>11</v>
      </c>
      <c r="AE904">
        <v>0</v>
      </c>
      <c r="AF904">
        <v>95</v>
      </c>
      <c r="AG904">
        <v>56</v>
      </c>
      <c r="AH904">
        <v>70</v>
      </c>
      <c r="AI904">
        <v>27</v>
      </c>
      <c r="AJ904">
        <v>19</v>
      </c>
      <c r="AK904">
        <v>20</v>
      </c>
      <c r="AL904">
        <v>13</v>
      </c>
      <c r="AM904">
        <v>4</v>
      </c>
      <c r="AN904">
        <v>39</v>
      </c>
      <c r="AO904">
        <v>17</v>
      </c>
      <c r="AP904">
        <v>11</v>
      </c>
      <c r="AQ904">
        <v>30</v>
      </c>
      <c r="AR904">
        <v>603</v>
      </c>
      <c r="AS904">
        <v>1211</v>
      </c>
      <c r="AT904" t="s">
        <v>13</v>
      </c>
      <c r="AU904">
        <v>0.26</v>
      </c>
      <c r="AV904">
        <v>2021</v>
      </c>
      <c r="AW904" s="1">
        <v>45860</v>
      </c>
      <c r="AX904">
        <v>8.8000000000000007</v>
      </c>
      <c r="AY904" t="s">
        <v>30</v>
      </c>
      <c r="AZ904" t="s">
        <v>11</v>
      </c>
      <c r="BA904" t="s">
        <v>122</v>
      </c>
      <c r="BB904" t="s">
        <v>13</v>
      </c>
      <c r="BC904" t="s">
        <v>13</v>
      </c>
      <c r="BD904">
        <v>2</v>
      </c>
      <c r="BE904" t="s">
        <v>43</v>
      </c>
      <c r="BF904">
        <v>1.27</v>
      </c>
    </row>
    <row r="905" spans="1:58" hidden="1" x14ac:dyDescent="0.2">
      <c r="A905">
        <v>904</v>
      </c>
      <c r="B905" t="s">
        <v>0</v>
      </c>
      <c r="C905">
        <v>50</v>
      </c>
      <c r="D905" t="s">
        <v>28</v>
      </c>
      <c r="E905" t="s">
        <v>127</v>
      </c>
      <c r="F905" t="s">
        <v>15</v>
      </c>
      <c r="G905" t="s">
        <v>117</v>
      </c>
      <c r="H905" t="s">
        <v>23</v>
      </c>
      <c r="I905" t="s">
        <v>112</v>
      </c>
      <c r="J905" t="s">
        <v>6</v>
      </c>
      <c r="K905" t="s">
        <v>7</v>
      </c>
      <c r="L905">
        <v>6.5</v>
      </c>
      <c r="M905">
        <v>4.5</v>
      </c>
      <c r="N905" t="s">
        <v>39</v>
      </c>
      <c r="O905" t="s">
        <v>13</v>
      </c>
      <c r="P905" t="s">
        <v>26</v>
      </c>
      <c r="Q905">
        <v>27</v>
      </c>
      <c r="R905">
        <v>1</v>
      </c>
      <c r="S905">
        <v>33.700000000000003</v>
      </c>
      <c r="T905">
        <v>110</v>
      </c>
      <c r="U905">
        <v>83</v>
      </c>
      <c r="V905">
        <v>7674</v>
      </c>
      <c r="W905">
        <v>38.9</v>
      </c>
      <c r="X905">
        <v>3</v>
      </c>
      <c r="Y905">
        <v>5</v>
      </c>
      <c r="Z905">
        <v>10</v>
      </c>
      <c r="AA905">
        <v>11.4</v>
      </c>
      <c r="AB905">
        <v>1</v>
      </c>
      <c r="AC905">
        <v>287</v>
      </c>
      <c r="AD905">
        <v>16</v>
      </c>
      <c r="AE905">
        <v>6</v>
      </c>
      <c r="AF905">
        <v>217</v>
      </c>
      <c r="AG905">
        <v>150</v>
      </c>
      <c r="AH905">
        <v>187</v>
      </c>
      <c r="AI905">
        <v>46</v>
      </c>
      <c r="AJ905">
        <v>39</v>
      </c>
      <c r="AK905">
        <v>53</v>
      </c>
      <c r="AL905">
        <v>27</v>
      </c>
      <c r="AM905">
        <v>10</v>
      </c>
      <c r="AN905">
        <v>135</v>
      </c>
      <c r="AO905">
        <v>74</v>
      </c>
      <c r="AP905">
        <v>44</v>
      </c>
      <c r="AQ905">
        <v>80</v>
      </c>
      <c r="AR905">
        <v>1391</v>
      </c>
      <c r="AS905">
        <v>1228</v>
      </c>
      <c r="AT905" t="s">
        <v>7</v>
      </c>
      <c r="AU905">
        <v>0.9</v>
      </c>
      <c r="AV905">
        <v>2017</v>
      </c>
      <c r="AW905" s="1">
        <v>46011</v>
      </c>
      <c r="AX905">
        <v>17.899999999999999</v>
      </c>
      <c r="AY905" t="s">
        <v>10</v>
      </c>
      <c r="AZ905" t="s">
        <v>20</v>
      </c>
      <c r="BA905" t="s">
        <v>21</v>
      </c>
      <c r="BB905" t="s">
        <v>13</v>
      </c>
      <c r="BC905" t="s">
        <v>13</v>
      </c>
      <c r="BD905">
        <v>5</v>
      </c>
      <c r="BE905" t="s">
        <v>14</v>
      </c>
      <c r="BF905">
        <v>1.03</v>
      </c>
    </row>
    <row r="906" spans="1:58" hidden="1" x14ac:dyDescent="0.2">
      <c r="A906">
        <v>905</v>
      </c>
      <c r="B906" t="s">
        <v>0</v>
      </c>
      <c r="C906">
        <v>46</v>
      </c>
      <c r="D906" t="s">
        <v>1</v>
      </c>
      <c r="E906" t="s">
        <v>128</v>
      </c>
      <c r="F906" t="s">
        <v>15</v>
      </c>
      <c r="G906" t="s">
        <v>16</v>
      </c>
      <c r="H906" t="s">
        <v>118</v>
      </c>
      <c r="I906" t="s">
        <v>113</v>
      </c>
      <c r="J906" t="s">
        <v>6</v>
      </c>
      <c r="K906" t="s">
        <v>7</v>
      </c>
      <c r="L906">
        <v>3.5</v>
      </c>
      <c r="M906">
        <v>6.9</v>
      </c>
      <c r="N906" t="s">
        <v>29</v>
      </c>
      <c r="O906" t="s">
        <v>7</v>
      </c>
      <c r="P906" t="s">
        <v>46</v>
      </c>
      <c r="Q906">
        <v>40</v>
      </c>
      <c r="R906">
        <v>9</v>
      </c>
      <c r="S906">
        <v>26.2</v>
      </c>
      <c r="T906">
        <v>103</v>
      </c>
      <c r="U906">
        <v>86</v>
      </c>
      <c r="V906">
        <v>8121</v>
      </c>
      <c r="W906">
        <v>30.8</v>
      </c>
      <c r="X906">
        <v>1</v>
      </c>
      <c r="Y906">
        <v>7</v>
      </c>
      <c r="Z906">
        <v>8</v>
      </c>
      <c r="AA906">
        <v>4.5999999999999996</v>
      </c>
      <c r="AB906">
        <v>4</v>
      </c>
      <c r="AC906">
        <v>262</v>
      </c>
      <c r="AD906">
        <v>9</v>
      </c>
      <c r="AE906">
        <v>6</v>
      </c>
      <c r="AF906">
        <v>217</v>
      </c>
      <c r="AG906">
        <v>123</v>
      </c>
      <c r="AH906">
        <v>152</v>
      </c>
      <c r="AI906">
        <v>35</v>
      </c>
      <c r="AJ906">
        <v>41</v>
      </c>
      <c r="AK906">
        <v>45</v>
      </c>
      <c r="AL906">
        <v>29</v>
      </c>
      <c r="AM906">
        <v>4</v>
      </c>
      <c r="AN906">
        <v>123</v>
      </c>
      <c r="AO906">
        <v>53</v>
      </c>
      <c r="AP906">
        <v>38</v>
      </c>
      <c r="AQ906">
        <v>81</v>
      </c>
      <c r="AR906">
        <v>709</v>
      </c>
      <c r="AS906">
        <v>709</v>
      </c>
      <c r="AT906" t="s">
        <v>7</v>
      </c>
      <c r="AU906">
        <v>0.22</v>
      </c>
      <c r="AV906">
        <v>2014</v>
      </c>
      <c r="AW906" s="1">
        <v>45715</v>
      </c>
      <c r="AX906">
        <v>29.1</v>
      </c>
      <c r="AY906" t="s">
        <v>27</v>
      </c>
      <c r="AZ906" t="s">
        <v>17</v>
      </c>
      <c r="BA906" t="s">
        <v>21</v>
      </c>
      <c r="BB906" t="s">
        <v>13</v>
      </c>
      <c r="BC906" t="s">
        <v>7</v>
      </c>
      <c r="BD906">
        <v>3</v>
      </c>
      <c r="BE906" t="s">
        <v>14</v>
      </c>
      <c r="BF906">
        <v>0.91</v>
      </c>
    </row>
    <row r="907" spans="1:58" hidden="1" x14ac:dyDescent="0.2">
      <c r="A907">
        <v>906</v>
      </c>
      <c r="B907" t="s">
        <v>0</v>
      </c>
      <c r="C907">
        <v>50</v>
      </c>
      <c r="D907" t="s">
        <v>1</v>
      </c>
      <c r="E907" t="s">
        <v>2</v>
      </c>
      <c r="F907" t="s">
        <v>40</v>
      </c>
      <c r="G907" t="s">
        <v>38</v>
      </c>
      <c r="H907" t="s">
        <v>118</v>
      </c>
      <c r="I907" t="s">
        <v>112</v>
      </c>
      <c r="J907" t="s">
        <v>6</v>
      </c>
      <c r="K907" t="s">
        <v>7</v>
      </c>
      <c r="L907">
        <v>15.7</v>
      </c>
      <c r="M907">
        <v>6</v>
      </c>
      <c r="N907" t="s">
        <v>8</v>
      </c>
      <c r="O907" t="s">
        <v>7</v>
      </c>
      <c r="P907" t="s">
        <v>26</v>
      </c>
      <c r="Q907">
        <v>28</v>
      </c>
      <c r="R907">
        <v>6</v>
      </c>
      <c r="S907">
        <v>27.7</v>
      </c>
      <c r="T907">
        <v>129</v>
      </c>
      <c r="U907">
        <v>80</v>
      </c>
      <c r="V907">
        <v>7885</v>
      </c>
      <c r="W907">
        <v>28.8</v>
      </c>
      <c r="X907">
        <v>2</v>
      </c>
      <c r="Y907">
        <v>5</v>
      </c>
      <c r="Z907">
        <v>14</v>
      </c>
      <c r="AA907">
        <v>2.8</v>
      </c>
      <c r="AB907">
        <v>6</v>
      </c>
      <c r="AC907">
        <v>179</v>
      </c>
      <c r="AD907">
        <v>18</v>
      </c>
      <c r="AE907">
        <v>8</v>
      </c>
      <c r="AF907">
        <v>135</v>
      </c>
      <c r="AG907">
        <v>126</v>
      </c>
      <c r="AH907">
        <v>99</v>
      </c>
      <c r="AI907">
        <v>36</v>
      </c>
      <c r="AJ907">
        <v>32</v>
      </c>
      <c r="AK907">
        <v>40</v>
      </c>
      <c r="AL907">
        <v>15</v>
      </c>
      <c r="AM907">
        <v>8</v>
      </c>
      <c r="AN907">
        <v>107</v>
      </c>
      <c r="AO907">
        <v>19</v>
      </c>
      <c r="AP907">
        <v>44</v>
      </c>
      <c r="AQ907">
        <v>37</v>
      </c>
      <c r="AR907">
        <v>586</v>
      </c>
      <c r="AS907">
        <v>645</v>
      </c>
      <c r="AT907" t="s">
        <v>7</v>
      </c>
      <c r="AU907">
        <v>0.49</v>
      </c>
      <c r="AV907">
        <v>2014</v>
      </c>
      <c r="AW907" s="1">
        <v>45974</v>
      </c>
      <c r="AX907">
        <v>9.9</v>
      </c>
      <c r="AY907" t="s">
        <v>45</v>
      </c>
      <c r="AZ907" t="s">
        <v>35</v>
      </c>
      <c r="BA907" t="s">
        <v>122</v>
      </c>
      <c r="BB907" t="s">
        <v>13</v>
      </c>
      <c r="BC907" t="s">
        <v>13</v>
      </c>
      <c r="BD907">
        <v>3</v>
      </c>
      <c r="BE907" t="s">
        <v>14</v>
      </c>
      <c r="BF907">
        <v>1.08</v>
      </c>
    </row>
    <row r="908" spans="1:58" hidden="1" x14ac:dyDescent="0.2">
      <c r="A908">
        <v>907</v>
      </c>
      <c r="B908" t="s">
        <v>0</v>
      </c>
      <c r="C908">
        <v>62</v>
      </c>
      <c r="D908" t="s">
        <v>1</v>
      </c>
      <c r="E908" t="s">
        <v>47</v>
      </c>
      <c r="F908" t="s">
        <v>15</v>
      </c>
      <c r="G908" t="s">
        <v>4</v>
      </c>
      <c r="H908" t="s">
        <v>118</v>
      </c>
      <c r="I908" t="s">
        <v>113</v>
      </c>
      <c r="J908" t="s">
        <v>6</v>
      </c>
      <c r="K908" t="s">
        <v>7</v>
      </c>
      <c r="L908">
        <v>8.1999999999999993</v>
      </c>
      <c r="M908">
        <v>8.1</v>
      </c>
      <c r="N908" t="s">
        <v>8</v>
      </c>
      <c r="O908" t="s">
        <v>41</v>
      </c>
      <c r="P908" t="s">
        <v>9</v>
      </c>
      <c r="Q908">
        <v>38</v>
      </c>
      <c r="R908">
        <v>10</v>
      </c>
      <c r="S908">
        <v>20.399999999999999</v>
      </c>
      <c r="T908">
        <v>159</v>
      </c>
      <c r="U908">
        <v>76</v>
      </c>
      <c r="V908">
        <v>8002</v>
      </c>
      <c r="W908">
        <v>41.4</v>
      </c>
      <c r="X908">
        <v>2</v>
      </c>
      <c r="Y908">
        <v>2</v>
      </c>
      <c r="Z908">
        <v>9</v>
      </c>
      <c r="AA908">
        <v>5.7</v>
      </c>
      <c r="AB908">
        <v>4</v>
      </c>
      <c r="AC908">
        <v>241</v>
      </c>
      <c r="AD908">
        <v>27</v>
      </c>
      <c r="AE908">
        <v>10</v>
      </c>
      <c r="AF908">
        <v>183</v>
      </c>
      <c r="AG908">
        <v>130</v>
      </c>
      <c r="AH908">
        <v>149</v>
      </c>
      <c r="AI908">
        <v>43</v>
      </c>
      <c r="AJ908">
        <v>24</v>
      </c>
      <c r="AK908">
        <v>38</v>
      </c>
      <c r="AL908">
        <v>26</v>
      </c>
      <c r="AM908">
        <v>4</v>
      </c>
      <c r="AN908">
        <v>120</v>
      </c>
      <c r="AO908">
        <v>25</v>
      </c>
      <c r="AP908">
        <v>57</v>
      </c>
      <c r="AQ908">
        <v>69</v>
      </c>
      <c r="AR908">
        <v>1601</v>
      </c>
      <c r="AS908">
        <v>1348</v>
      </c>
      <c r="AT908" t="s">
        <v>7</v>
      </c>
      <c r="AU908">
        <v>0.49</v>
      </c>
      <c r="AV908">
        <v>2013</v>
      </c>
      <c r="AW908" s="1">
        <v>45978</v>
      </c>
      <c r="AX908">
        <v>8.9</v>
      </c>
      <c r="AY908" t="s">
        <v>30</v>
      </c>
      <c r="AZ908" t="s">
        <v>48</v>
      </c>
      <c r="BA908" t="s">
        <v>21</v>
      </c>
      <c r="BB908" t="s">
        <v>13</v>
      </c>
      <c r="BC908" t="s">
        <v>13</v>
      </c>
      <c r="BD908">
        <v>1</v>
      </c>
      <c r="BE908" t="s">
        <v>14</v>
      </c>
      <c r="BF908">
        <v>1.1000000000000001</v>
      </c>
    </row>
    <row r="909" spans="1:58" hidden="1" x14ac:dyDescent="0.2">
      <c r="A909">
        <v>908</v>
      </c>
      <c r="B909" t="s">
        <v>0</v>
      </c>
      <c r="C909">
        <v>46</v>
      </c>
      <c r="D909" t="s">
        <v>1</v>
      </c>
      <c r="E909" t="s">
        <v>128</v>
      </c>
      <c r="F909" t="s">
        <v>40</v>
      </c>
      <c r="G909" t="s">
        <v>116</v>
      </c>
      <c r="H909" t="s">
        <v>118</v>
      </c>
      <c r="I909" t="s">
        <v>113</v>
      </c>
      <c r="J909" t="s">
        <v>6</v>
      </c>
      <c r="K909" t="s">
        <v>7</v>
      </c>
      <c r="L909">
        <v>1.4</v>
      </c>
      <c r="M909">
        <v>6.6</v>
      </c>
      <c r="N909" t="s">
        <v>8</v>
      </c>
      <c r="O909" t="s">
        <v>7</v>
      </c>
      <c r="P909" t="s">
        <v>121</v>
      </c>
      <c r="Q909">
        <v>1</v>
      </c>
      <c r="R909">
        <v>7</v>
      </c>
      <c r="S909">
        <v>21.6</v>
      </c>
      <c r="T909">
        <v>130</v>
      </c>
      <c r="U909">
        <v>93</v>
      </c>
      <c r="V909">
        <v>8061</v>
      </c>
      <c r="W909">
        <v>40.700000000000003</v>
      </c>
      <c r="X909">
        <v>2</v>
      </c>
      <c r="Y909">
        <v>2</v>
      </c>
      <c r="Z909">
        <v>8</v>
      </c>
      <c r="AA909">
        <v>5.0999999999999996</v>
      </c>
      <c r="AB909">
        <v>5</v>
      </c>
      <c r="AC909">
        <v>27</v>
      </c>
      <c r="AD909">
        <v>3</v>
      </c>
      <c r="AE909">
        <v>5</v>
      </c>
      <c r="AF909">
        <v>55</v>
      </c>
      <c r="AG909">
        <v>32</v>
      </c>
      <c r="AH909">
        <v>46</v>
      </c>
      <c r="AI909">
        <v>2</v>
      </c>
      <c r="AJ909">
        <v>18</v>
      </c>
      <c r="AK909">
        <v>11</v>
      </c>
      <c r="AL909">
        <v>9</v>
      </c>
      <c r="AM909">
        <v>0</v>
      </c>
      <c r="AN909">
        <v>12</v>
      </c>
      <c r="AO909">
        <v>5</v>
      </c>
      <c r="AP909">
        <v>4</v>
      </c>
      <c r="AQ909">
        <v>9</v>
      </c>
      <c r="AR909">
        <v>621</v>
      </c>
      <c r="AS909">
        <v>1238</v>
      </c>
      <c r="AT909" t="s">
        <v>13</v>
      </c>
      <c r="AU909">
        <v>0.85</v>
      </c>
      <c r="AV909">
        <v>2024</v>
      </c>
      <c r="AW909" s="1">
        <v>45883</v>
      </c>
      <c r="AX909">
        <v>9</v>
      </c>
      <c r="AY909" t="s">
        <v>45</v>
      </c>
      <c r="AZ909" t="s">
        <v>31</v>
      </c>
      <c r="BA909" t="s">
        <v>122</v>
      </c>
      <c r="BB909" t="s">
        <v>13</v>
      </c>
      <c r="BC909" t="s">
        <v>7</v>
      </c>
      <c r="BD909">
        <v>4</v>
      </c>
      <c r="BE909" t="s">
        <v>14</v>
      </c>
      <c r="BF909">
        <v>2.3199999999999998</v>
      </c>
    </row>
    <row r="910" spans="1:58" hidden="1" x14ac:dyDescent="0.2">
      <c r="A910">
        <v>909</v>
      </c>
      <c r="B910" t="s">
        <v>0</v>
      </c>
      <c r="C910">
        <v>30</v>
      </c>
      <c r="D910" t="s">
        <v>28</v>
      </c>
      <c r="E910" t="s">
        <v>127</v>
      </c>
      <c r="F910" t="s">
        <v>15</v>
      </c>
      <c r="G910" t="s">
        <v>116</v>
      </c>
      <c r="H910" t="s">
        <v>5</v>
      </c>
      <c r="I910" t="s">
        <v>114</v>
      </c>
      <c r="J910" t="s">
        <v>44</v>
      </c>
      <c r="K910" t="s">
        <v>7</v>
      </c>
      <c r="L910">
        <v>4.2</v>
      </c>
      <c r="M910">
        <v>8.5</v>
      </c>
      <c r="N910" t="s">
        <v>39</v>
      </c>
      <c r="O910" t="s">
        <v>41</v>
      </c>
      <c r="P910" t="s">
        <v>26</v>
      </c>
      <c r="Q910">
        <v>6</v>
      </c>
      <c r="R910">
        <v>6</v>
      </c>
      <c r="S910">
        <v>29.8</v>
      </c>
      <c r="T910">
        <v>111</v>
      </c>
      <c r="U910">
        <v>91</v>
      </c>
      <c r="V910">
        <v>8062</v>
      </c>
      <c r="W910">
        <v>45.1</v>
      </c>
      <c r="X910">
        <v>5</v>
      </c>
      <c r="Y910">
        <v>7</v>
      </c>
      <c r="Z910">
        <v>12</v>
      </c>
      <c r="AA910">
        <v>1.5</v>
      </c>
      <c r="AB910">
        <v>1</v>
      </c>
      <c r="AC910">
        <v>96</v>
      </c>
      <c r="AD910">
        <v>6</v>
      </c>
      <c r="AE910">
        <v>3</v>
      </c>
      <c r="AF910">
        <v>112</v>
      </c>
      <c r="AG910">
        <v>62</v>
      </c>
      <c r="AH910">
        <v>73</v>
      </c>
      <c r="AI910">
        <v>23</v>
      </c>
      <c r="AJ910">
        <v>31</v>
      </c>
      <c r="AK910">
        <v>11</v>
      </c>
      <c r="AL910">
        <v>9</v>
      </c>
      <c r="AM910">
        <v>3</v>
      </c>
      <c r="AN910">
        <v>46</v>
      </c>
      <c r="AO910">
        <v>29</v>
      </c>
      <c r="AP910">
        <v>22</v>
      </c>
      <c r="AQ910">
        <v>27</v>
      </c>
      <c r="AR910">
        <v>335</v>
      </c>
      <c r="AS910">
        <v>650</v>
      </c>
      <c r="AT910" t="s">
        <v>7</v>
      </c>
      <c r="AU910">
        <v>0.95</v>
      </c>
      <c r="AV910">
        <v>2018</v>
      </c>
      <c r="AW910" s="1">
        <v>45773</v>
      </c>
      <c r="AX910">
        <v>16</v>
      </c>
      <c r="AY910" t="s">
        <v>45</v>
      </c>
      <c r="AZ910" t="s">
        <v>11</v>
      </c>
      <c r="BA910" t="s">
        <v>21</v>
      </c>
      <c r="BB910" t="s">
        <v>7</v>
      </c>
      <c r="BC910" t="s">
        <v>13</v>
      </c>
      <c r="BD910">
        <v>2</v>
      </c>
      <c r="BE910" t="s">
        <v>14</v>
      </c>
      <c r="BF910">
        <v>1.32</v>
      </c>
    </row>
    <row r="911" spans="1:58" hidden="1" x14ac:dyDescent="0.2">
      <c r="A911">
        <v>910</v>
      </c>
      <c r="B911" t="s">
        <v>0</v>
      </c>
      <c r="C911">
        <v>42</v>
      </c>
      <c r="D911" t="s">
        <v>1</v>
      </c>
      <c r="E911" t="s">
        <v>2</v>
      </c>
      <c r="F911" t="s">
        <v>15</v>
      </c>
      <c r="G911" t="s">
        <v>117</v>
      </c>
      <c r="H911" t="s">
        <v>23</v>
      </c>
      <c r="I911" t="s">
        <v>114</v>
      </c>
      <c r="J911" t="s">
        <v>123</v>
      </c>
      <c r="K911" t="s">
        <v>7</v>
      </c>
      <c r="L911">
        <v>11.1</v>
      </c>
      <c r="M911">
        <v>7.4</v>
      </c>
      <c r="N911" t="s">
        <v>8</v>
      </c>
      <c r="O911" t="s">
        <v>7</v>
      </c>
      <c r="P911" t="s">
        <v>9</v>
      </c>
      <c r="Q911">
        <v>1</v>
      </c>
      <c r="R911">
        <v>2</v>
      </c>
      <c r="S911">
        <v>27.1</v>
      </c>
      <c r="T911">
        <v>90</v>
      </c>
      <c r="U911">
        <v>77</v>
      </c>
      <c r="V911">
        <v>8063</v>
      </c>
      <c r="W911">
        <v>38</v>
      </c>
      <c r="X911">
        <v>4</v>
      </c>
      <c r="Y911">
        <v>5</v>
      </c>
      <c r="Z911">
        <v>3</v>
      </c>
      <c r="AA911">
        <v>3.4</v>
      </c>
      <c r="AB911">
        <v>4</v>
      </c>
      <c r="AC911">
        <v>65</v>
      </c>
      <c r="AD911">
        <v>2</v>
      </c>
      <c r="AE911">
        <v>4</v>
      </c>
      <c r="AF911">
        <v>77</v>
      </c>
      <c r="AG911">
        <v>62</v>
      </c>
      <c r="AH911">
        <v>51</v>
      </c>
      <c r="AI911">
        <v>16</v>
      </c>
      <c r="AJ911">
        <v>16</v>
      </c>
      <c r="AK911">
        <v>19</v>
      </c>
      <c r="AL911">
        <v>7</v>
      </c>
      <c r="AM911">
        <v>3</v>
      </c>
      <c r="AN911">
        <v>31</v>
      </c>
      <c r="AO911">
        <v>7</v>
      </c>
      <c r="AP911">
        <v>16</v>
      </c>
      <c r="AQ911">
        <v>25</v>
      </c>
      <c r="AR911">
        <v>2584</v>
      </c>
      <c r="AS911">
        <v>5082</v>
      </c>
      <c r="AT911" t="s">
        <v>13</v>
      </c>
      <c r="AU911">
        <v>0.79</v>
      </c>
      <c r="AV911">
        <v>2016</v>
      </c>
      <c r="AW911" s="1">
        <v>45917</v>
      </c>
      <c r="AX911">
        <v>32.5</v>
      </c>
      <c r="AY911" t="s">
        <v>10</v>
      </c>
      <c r="AZ911" t="s">
        <v>35</v>
      </c>
      <c r="BA911" t="s">
        <v>12</v>
      </c>
      <c r="BB911" t="s">
        <v>7</v>
      </c>
      <c r="BC911" t="s">
        <v>7</v>
      </c>
      <c r="BD911">
        <v>1</v>
      </c>
      <c r="BE911" t="s">
        <v>14</v>
      </c>
      <c r="BF911">
        <v>1.44</v>
      </c>
    </row>
    <row r="912" spans="1:58" hidden="1" x14ac:dyDescent="0.2">
      <c r="A912">
        <v>911</v>
      </c>
      <c r="B912" t="s">
        <v>0</v>
      </c>
      <c r="C912">
        <v>27</v>
      </c>
      <c r="D912" t="s">
        <v>1</v>
      </c>
      <c r="E912" t="s">
        <v>128</v>
      </c>
      <c r="F912" t="s">
        <v>15</v>
      </c>
      <c r="G912" t="s">
        <v>38</v>
      </c>
      <c r="H912" t="s">
        <v>119</v>
      </c>
      <c r="I912" t="s">
        <v>53</v>
      </c>
      <c r="J912" t="s">
        <v>123</v>
      </c>
      <c r="K912" t="s">
        <v>7</v>
      </c>
      <c r="L912">
        <v>4.0999999999999996</v>
      </c>
      <c r="M912">
        <v>8.3000000000000007</v>
      </c>
      <c r="N912" t="s">
        <v>29</v>
      </c>
      <c r="O912" t="s">
        <v>7</v>
      </c>
      <c r="P912" t="s">
        <v>9</v>
      </c>
      <c r="Q912">
        <v>18</v>
      </c>
      <c r="R912">
        <v>7</v>
      </c>
      <c r="S912">
        <v>24.8</v>
      </c>
      <c r="T912">
        <v>94</v>
      </c>
      <c r="U912">
        <v>98</v>
      </c>
      <c r="V912">
        <v>7937</v>
      </c>
      <c r="W912">
        <v>44.8</v>
      </c>
      <c r="X912">
        <v>6</v>
      </c>
      <c r="Y912">
        <v>4</v>
      </c>
      <c r="Z912">
        <v>9</v>
      </c>
      <c r="AA912">
        <v>7.4</v>
      </c>
      <c r="AB912">
        <v>3</v>
      </c>
      <c r="AC912">
        <v>155</v>
      </c>
      <c r="AD912">
        <v>7</v>
      </c>
      <c r="AE912">
        <v>2</v>
      </c>
      <c r="AF912">
        <v>195</v>
      </c>
      <c r="AG912">
        <v>87</v>
      </c>
      <c r="AH912">
        <v>124</v>
      </c>
      <c r="AI912">
        <v>31</v>
      </c>
      <c r="AJ912">
        <v>27</v>
      </c>
      <c r="AK912">
        <v>28</v>
      </c>
      <c r="AL912">
        <v>16</v>
      </c>
      <c r="AM912">
        <v>5</v>
      </c>
      <c r="AN912">
        <v>79</v>
      </c>
      <c r="AO912">
        <v>28</v>
      </c>
      <c r="AP912">
        <v>37</v>
      </c>
      <c r="AQ912">
        <v>61</v>
      </c>
      <c r="AR912">
        <v>4827</v>
      </c>
      <c r="AS912">
        <v>3977</v>
      </c>
      <c r="AT912" t="s">
        <v>7</v>
      </c>
      <c r="AU912">
        <v>0.51</v>
      </c>
      <c r="AV912">
        <v>2024</v>
      </c>
      <c r="AW912" s="1">
        <v>45992</v>
      </c>
      <c r="AX912">
        <v>22.1</v>
      </c>
      <c r="AY912" t="s">
        <v>27</v>
      </c>
      <c r="AZ912" t="s">
        <v>51</v>
      </c>
      <c r="BA912" t="s">
        <v>21</v>
      </c>
      <c r="BB912" t="s">
        <v>13</v>
      </c>
      <c r="BC912" t="s">
        <v>13</v>
      </c>
      <c r="BD912">
        <v>1</v>
      </c>
      <c r="BE912" t="s">
        <v>49</v>
      </c>
      <c r="BF912">
        <v>1.23</v>
      </c>
    </row>
    <row r="913" spans="1:58" hidden="1" x14ac:dyDescent="0.2">
      <c r="A913">
        <v>912</v>
      </c>
      <c r="B913" t="s">
        <v>0</v>
      </c>
      <c r="C913">
        <v>39</v>
      </c>
      <c r="D913" t="s">
        <v>1</v>
      </c>
      <c r="E913" t="s">
        <v>42</v>
      </c>
      <c r="F913" t="s">
        <v>15</v>
      </c>
      <c r="G913" t="s">
        <v>38</v>
      </c>
      <c r="H913" t="s">
        <v>118</v>
      </c>
      <c r="I913" t="s">
        <v>115</v>
      </c>
      <c r="J913" t="s">
        <v>32</v>
      </c>
      <c r="K913" t="s">
        <v>7</v>
      </c>
      <c r="L913">
        <v>6.6</v>
      </c>
      <c r="M913">
        <v>6.4</v>
      </c>
      <c r="N913" t="s">
        <v>39</v>
      </c>
      <c r="O913" t="s">
        <v>7</v>
      </c>
      <c r="P913" t="s">
        <v>46</v>
      </c>
      <c r="Q913">
        <v>38</v>
      </c>
      <c r="R913">
        <v>2</v>
      </c>
      <c r="S913">
        <v>33.299999999999997</v>
      </c>
      <c r="T913">
        <v>96</v>
      </c>
      <c r="U913">
        <v>92</v>
      </c>
      <c r="V913">
        <v>8034</v>
      </c>
      <c r="W913">
        <v>21.9</v>
      </c>
      <c r="X913">
        <v>5</v>
      </c>
      <c r="Y913">
        <v>1</v>
      </c>
      <c r="Z913">
        <v>7</v>
      </c>
      <c r="AA913">
        <v>9.4</v>
      </c>
      <c r="AB913">
        <v>2</v>
      </c>
      <c r="AC913">
        <v>359</v>
      </c>
      <c r="AD913">
        <v>11</v>
      </c>
      <c r="AE913">
        <v>10</v>
      </c>
      <c r="AF913">
        <v>250</v>
      </c>
      <c r="AG913">
        <v>150</v>
      </c>
      <c r="AH913">
        <v>185</v>
      </c>
      <c r="AI913">
        <v>51</v>
      </c>
      <c r="AJ913">
        <v>42</v>
      </c>
      <c r="AK913">
        <v>38</v>
      </c>
      <c r="AL913">
        <v>37</v>
      </c>
      <c r="AM913">
        <v>7</v>
      </c>
      <c r="AN913">
        <v>172</v>
      </c>
      <c r="AO913">
        <v>93</v>
      </c>
      <c r="AP913">
        <v>78</v>
      </c>
      <c r="AQ913">
        <v>77</v>
      </c>
      <c r="AR913">
        <v>1074</v>
      </c>
      <c r="AS913">
        <v>1536</v>
      </c>
      <c r="AT913" t="s">
        <v>7</v>
      </c>
      <c r="AU913">
        <v>0.91</v>
      </c>
      <c r="AV913">
        <v>2013</v>
      </c>
      <c r="AW913" s="1">
        <v>45710</v>
      </c>
      <c r="AX913">
        <v>32.6</v>
      </c>
      <c r="AY913" t="s">
        <v>36</v>
      </c>
      <c r="AZ913" t="s">
        <v>20</v>
      </c>
      <c r="BA913" t="s">
        <v>12</v>
      </c>
      <c r="BB913" t="s">
        <v>7</v>
      </c>
      <c r="BC913" t="s">
        <v>13</v>
      </c>
      <c r="BD913">
        <v>2</v>
      </c>
      <c r="BE913" t="s">
        <v>43</v>
      </c>
      <c r="BF913">
        <v>0.88</v>
      </c>
    </row>
    <row r="914" spans="1:58" hidden="1" x14ac:dyDescent="0.2">
      <c r="A914">
        <v>913</v>
      </c>
      <c r="B914" t="s">
        <v>0</v>
      </c>
      <c r="C914">
        <v>63</v>
      </c>
      <c r="D914" t="s">
        <v>1</v>
      </c>
      <c r="E914" t="s">
        <v>128</v>
      </c>
      <c r="F914" t="s">
        <v>15</v>
      </c>
      <c r="G914" t="s">
        <v>116</v>
      </c>
      <c r="H914" t="s">
        <v>24</v>
      </c>
      <c r="I914" t="s">
        <v>114</v>
      </c>
      <c r="J914" t="s">
        <v>18</v>
      </c>
      <c r="K914" t="s">
        <v>7</v>
      </c>
      <c r="L914">
        <v>5.3</v>
      </c>
      <c r="M914">
        <v>7</v>
      </c>
      <c r="N914" t="s">
        <v>8</v>
      </c>
      <c r="O914" t="s">
        <v>7</v>
      </c>
      <c r="P914" t="s">
        <v>46</v>
      </c>
      <c r="Q914">
        <v>20</v>
      </c>
      <c r="R914">
        <v>6</v>
      </c>
      <c r="S914">
        <v>25.7</v>
      </c>
      <c r="T914">
        <v>143</v>
      </c>
      <c r="U914">
        <v>67</v>
      </c>
      <c r="V914">
        <v>8032</v>
      </c>
      <c r="W914">
        <v>38.5</v>
      </c>
      <c r="X914">
        <v>1</v>
      </c>
      <c r="Y914">
        <v>3</v>
      </c>
      <c r="Z914">
        <v>6</v>
      </c>
      <c r="AA914">
        <v>3.4</v>
      </c>
      <c r="AB914">
        <v>1</v>
      </c>
      <c r="AC914">
        <v>129</v>
      </c>
      <c r="AD914">
        <v>4</v>
      </c>
      <c r="AE914">
        <v>3</v>
      </c>
      <c r="AF914">
        <v>109</v>
      </c>
      <c r="AG914">
        <v>88</v>
      </c>
      <c r="AH914">
        <v>87</v>
      </c>
      <c r="AI914">
        <v>31</v>
      </c>
      <c r="AJ914">
        <v>16</v>
      </c>
      <c r="AK914">
        <v>28</v>
      </c>
      <c r="AL914">
        <v>16</v>
      </c>
      <c r="AM914">
        <v>2</v>
      </c>
      <c r="AN914">
        <v>53</v>
      </c>
      <c r="AO914">
        <v>25</v>
      </c>
      <c r="AP914">
        <v>17</v>
      </c>
      <c r="AQ914">
        <v>41</v>
      </c>
      <c r="AR914">
        <v>3045</v>
      </c>
      <c r="AS914">
        <v>1914</v>
      </c>
      <c r="AT914" t="s">
        <v>7</v>
      </c>
      <c r="AU914">
        <v>0.05</v>
      </c>
      <c r="AV914">
        <v>2012</v>
      </c>
      <c r="AW914" s="1">
        <v>46018</v>
      </c>
      <c r="AX914">
        <v>32.200000000000003</v>
      </c>
      <c r="AY914" t="s">
        <v>45</v>
      </c>
      <c r="AZ914" t="s">
        <v>51</v>
      </c>
      <c r="BA914" t="s">
        <v>12</v>
      </c>
      <c r="BB914" t="s">
        <v>7</v>
      </c>
      <c r="BC914" t="s">
        <v>7</v>
      </c>
      <c r="BD914">
        <v>4</v>
      </c>
      <c r="BE914" t="s">
        <v>14</v>
      </c>
      <c r="BF914">
        <v>1.22</v>
      </c>
    </row>
    <row r="915" spans="1:58" hidden="1" x14ac:dyDescent="0.2">
      <c r="A915">
        <v>914</v>
      </c>
      <c r="B915" t="s">
        <v>0</v>
      </c>
      <c r="C915">
        <v>46</v>
      </c>
      <c r="D915" t="s">
        <v>28</v>
      </c>
      <c r="E915" t="s">
        <v>17</v>
      </c>
      <c r="F915" t="s">
        <v>15</v>
      </c>
      <c r="G915" t="s">
        <v>16</v>
      </c>
      <c r="H915" t="s">
        <v>23</v>
      </c>
      <c r="I915" t="s">
        <v>114</v>
      </c>
      <c r="J915" t="s">
        <v>18</v>
      </c>
      <c r="K915" t="s">
        <v>7</v>
      </c>
      <c r="L915">
        <v>8.1999999999999993</v>
      </c>
      <c r="M915">
        <v>5.8</v>
      </c>
      <c r="N915" t="s">
        <v>29</v>
      </c>
      <c r="O915" t="s">
        <v>7</v>
      </c>
      <c r="P915" t="s">
        <v>9</v>
      </c>
      <c r="Q915">
        <v>15</v>
      </c>
      <c r="R915">
        <v>4</v>
      </c>
      <c r="S915">
        <v>26.1</v>
      </c>
      <c r="T915">
        <v>112</v>
      </c>
      <c r="U915">
        <v>73</v>
      </c>
      <c r="V915">
        <v>8164</v>
      </c>
      <c r="W915">
        <v>36.4</v>
      </c>
      <c r="X915">
        <v>4</v>
      </c>
      <c r="Y915">
        <v>5</v>
      </c>
      <c r="Z915">
        <v>10</v>
      </c>
      <c r="AA915">
        <v>7.4</v>
      </c>
      <c r="AB915">
        <v>1</v>
      </c>
      <c r="AC915">
        <v>153</v>
      </c>
      <c r="AD915">
        <v>19</v>
      </c>
      <c r="AE915">
        <v>3</v>
      </c>
      <c r="AF915">
        <v>121</v>
      </c>
      <c r="AG915">
        <v>91</v>
      </c>
      <c r="AH915">
        <v>106</v>
      </c>
      <c r="AI915">
        <v>25</v>
      </c>
      <c r="AJ915">
        <v>23</v>
      </c>
      <c r="AK915">
        <v>26</v>
      </c>
      <c r="AL915">
        <v>20</v>
      </c>
      <c r="AM915">
        <v>3</v>
      </c>
      <c r="AN915">
        <v>88</v>
      </c>
      <c r="AO915">
        <v>39</v>
      </c>
      <c r="AP915">
        <v>33</v>
      </c>
      <c r="AQ915">
        <v>38</v>
      </c>
      <c r="AR915">
        <v>445</v>
      </c>
      <c r="AS915">
        <v>1057</v>
      </c>
      <c r="AT915" t="s">
        <v>7</v>
      </c>
      <c r="AU915">
        <v>0.96</v>
      </c>
      <c r="AV915">
        <v>2016</v>
      </c>
      <c r="AW915" s="1">
        <v>45782</v>
      </c>
      <c r="AX915">
        <v>8.1</v>
      </c>
      <c r="AY915" t="s">
        <v>19</v>
      </c>
      <c r="AZ915" t="s">
        <v>20</v>
      </c>
      <c r="BA915" t="s">
        <v>122</v>
      </c>
      <c r="BB915" t="s">
        <v>7</v>
      </c>
      <c r="BC915" t="s">
        <v>7</v>
      </c>
      <c r="BD915">
        <v>3</v>
      </c>
      <c r="BE915" t="s">
        <v>14</v>
      </c>
      <c r="BF915">
        <v>1.07</v>
      </c>
    </row>
    <row r="916" spans="1:58" hidden="1" x14ac:dyDescent="0.2">
      <c r="A916">
        <v>915</v>
      </c>
      <c r="B916" t="s">
        <v>0</v>
      </c>
      <c r="C916">
        <v>64</v>
      </c>
      <c r="D916" t="s">
        <v>28</v>
      </c>
      <c r="E916" t="s">
        <v>128</v>
      </c>
      <c r="F916" t="s">
        <v>15</v>
      </c>
      <c r="G916" t="s">
        <v>4</v>
      </c>
      <c r="H916" t="s">
        <v>119</v>
      </c>
      <c r="I916" t="s">
        <v>112</v>
      </c>
      <c r="J916" t="s">
        <v>6</v>
      </c>
      <c r="K916" t="s">
        <v>7</v>
      </c>
      <c r="L916">
        <v>15.9</v>
      </c>
      <c r="M916">
        <v>6.7</v>
      </c>
      <c r="N916" t="s">
        <v>29</v>
      </c>
      <c r="O916" t="s">
        <v>7</v>
      </c>
      <c r="P916" t="s">
        <v>9</v>
      </c>
      <c r="Q916">
        <v>11</v>
      </c>
      <c r="R916">
        <v>1</v>
      </c>
      <c r="S916">
        <v>21.8</v>
      </c>
      <c r="T916">
        <v>119</v>
      </c>
      <c r="U916">
        <v>92</v>
      </c>
      <c r="V916">
        <v>8149</v>
      </c>
      <c r="W916">
        <v>41.2</v>
      </c>
      <c r="X916">
        <v>3</v>
      </c>
      <c r="Y916">
        <v>5</v>
      </c>
      <c r="Z916">
        <v>8</v>
      </c>
      <c r="AA916">
        <v>4.5999999999999996</v>
      </c>
      <c r="AB916">
        <v>3</v>
      </c>
      <c r="AC916">
        <v>178</v>
      </c>
      <c r="AD916">
        <v>9</v>
      </c>
      <c r="AE916">
        <v>2</v>
      </c>
      <c r="AF916">
        <v>144</v>
      </c>
      <c r="AG916">
        <v>133</v>
      </c>
      <c r="AH916">
        <v>97</v>
      </c>
      <c r="AI916">
        <v>31</v>
      </c>
      <c r="AJ916">
        <v>23</v>
      </c>
      <c r="AK916">
        <v>23</v>
      </c>
      <c r="AL916">
        <v>25</v>
      </c>
      <c r="AM916">
        <v>4</v>
      </c>
      <c r="AN916">
        <v>104</v>
      </c>
      <c r="AO916">
        <v>21</v>
      </c>
      <c r="AP916">
        <v>38</v>
      </c>
      <c r="AQ916">
        <v>42</v>
      </c>
      <c r="AR916">
        <v>81</v>
      </c>
      <c r="AS916">
        <v>69</v>
      </c>
      <c r="AT916" t="s">
        <v>7</v>
      </c>
      <c r="AU916">
        <v>0.9</v>
      </c>
      <c r="AV916">
        <v>2020</v>
      </c>
      <c r="AW916" s="1">
        <v>45757</v>
      </c>
      <c r="AX916">
        <v>19.8</v>
      </c>
      <c r="AY916" t="s">
        <v>10</v>
      </c>
      <c r="AZ916" t="s">
        <v>20</v>
      </c>
      <c r="BA916" t="s">
        <v>12</v>
      </c>
      <c r="BB916" t="s">
        <v>7</v>
      </c>
      <c r="BC916" t="s">
        <v>7</v>
      </c>
      <c r="BD916">
        <v>4</v>
      </c>
      <c r="BE916" t="s">
        <v>43</v>
      </c>
      <c r="BF916">
        <v>0.92</v>
      </c>
    </row>
    <row r="917" spans="1:58" hidden="1" x14ac:dyDescent="0.2">
      <c r="A917">
        <v>916</v>
      </c>
      <c r="B917" t="s">
        <v>0</v>
      </c>
      <c r="C917">
        <v>50</v>
      </c>
      <c r="D917" t="s">
        <v>28</v>
      </c>
      <c r="E917" t="s">
        <v>127</v>
      </c>
      <c r="F917" t="s">
        <v>15</v>
      </c>
      <c r="G917" t="s">
        <v>117</v>
      </c>
      <c r="H917" t="s">
        <v>118</v>
      </c>
      <c r="I917" t="s">
        <v>112</v>
      </c>
      <c r="J917" t="s">
        <v>6</v>
      </c>
      <c r="K917" t="s">
        <v>7</v>
      </c>
      <c r="L917">
        <v>8.9</v>
      </c>
      <c r="M917">
        <v>9</v>
      </c>
      <c r="N917" t="s">
        <v>39</v>
      </c>
      <c r="O917" t="s">
        <v>7</v>
      </c>
      <c r="P917" t="s">
        <v>9</v>
      </c>
      <c r="Q917">
        <v>4</v>
      </c>
      <c r="R917">
        <v>8</v>
      </c>
      <c r="S917">
        <v>24.1</v>
      </c>
      <c r="T917">
        <v>141</v>
      </c>
      <c r="U917">
        <v>83</v>
      </c>
      <c r="V917">
        <v>7919</v>
      </c>
      <c r="W917">
        <v>29.1</v>
      </c>
      <c r="X917">
        <v>5</v>
      </c>
      <c r="Y917">
        <v>2</v>
      </c>
      <c r="Z917">
        <v>7</v>
      </c>
      <c r="AA917">
        <v>2.4</v>
      </c>
      <c r="AB917">
        <v>2</v>
      </c>
      <c r="AC917">
        <v>21</v>
      </c>
      <c r="AD917">
        <v>1</v>
      </c>
      <c r="AE917">
        <v>2</v>
      </c>
      <c r="AF917">
        <v>49</v>
      </c>
      <c r="AG917">
        <v>51</v>
      </c>
      <c r="AH917">
        <v>39</v>
      </c>
      <c r="AI917">
        <v>8</v>
      </c>
      <c r="AJ917">
        <v>6</v>
      </c>
      <c r="AK917">
        <v>15</v>
      </c>
      <c r="AL917">
        <v>7</v>
      </c>
      <c r="AM917">
        <v>0</v>
      </c>
      <c r="AN917">
        <v>11</v>
      </c>
      <c r="AO917">
        <v>4</v>
      </c>
      <c r="AP917">
        <v>4</v>
      </c>
      <c r="AQ917">
        <v>4</v>
      </c>
      <c r="AR917">
        <v>508</v>
      </c>
      <c r="AS917">
        <v>374</v>
      </c>
      <c r="AT917" t="s">
        <v>13</v>
      </c>
      <c r="AU917">
        <v>0.68</v>
      </c>
      <c r="AV917">
        <v>2024</v>
      </c>
      <c r="AW917" s="1">
        <v>45823</v>
      </c>
      <c r="AX917">
        <v>21</v>
      </c>
      <c r="AY917" t="s">
        <v>27</v>
      </c>
      <c r="AZ917" t="s">
        <v>37</v>
      </c>
      <c r="BA917" t="s">
        <v>122</v>
      </c>
      <c r="BB917" t="s">
        <v>13</v>
      </c>
      <c r="BC917" t="s">
        <v>13</v>
      </c>
      <c r="BD917">
        <v>0</v>
      </c>
      <c r="BE917" t="s">
        <v>43</v>
      </c>
      <c r="BF917">
        <v>2.77</v>
      </c>
    </row>
    <row r="918" spans="1:58" hidden="1" x14ac:dyDescent="0.2">
      <c r="A918">
        <v>917</v>
      </c>
      <c r="B918" t="s">
        <v>0</v>
      </c>
      <c r="C918">
        <v>45</v>
      </c>
      <c r="D918" t="s">
        <v>1</v>
      </c>
      <c r="E918" t="s">
        <v>17</v>
      </c>
      <c r="F918" t="s">
        <v>40</v>
      </c>
      <c r="G918" t="s">
        <v>116</v>
      </c>
      <c r="H918" t="s">
        <v>118</v>
      </c>
      <c r="I918" t="s">
        <v>113</v>
      </c>
      <c r="J918" t="s">
        <v>123</v>
      </c>
      <c r="K918" t="s">
        <v>7</v>
      </c>
      <c r="L918">
        <v>12.1</v>
      </c>
      <c r="M918">
        <v>7.6</v>
      </c>
      <c r="N918" t="s">
        <v>8</v>
      </c>
      <c r="O918" t="s">
        <v>7</v>
      </c>
      <c r="P918" t="s">
        <v>52</v>
      </c>
      <c r="Q918">
        <v>29</v>
      </c>
      <c r="R918">
        <v>1</v>
      </c>
      <c r="S918">
        <v>16.5</v>
      </c>
      <c r="T918">
        <v>123</v>
      </c>
      <c r="U918">
        <v>68</v>
      </c>
      <c r="V918">
        <v>7800</v>
      </c>
      <c r="W918">
        <v>42</v>
      </c>
      <c r="X918">
        <v>5</v>
      </c>
      <c r="Y918">
        <v>3</v>
      </c>
      <c r="Z918">
        <v>8</v>
      </c>
      <c r="AA918">
        <v>3.6</v>
      </c>
      <c r="AB918">
        <v>4</v>
      </c>
      <c r="AC918">
        <v>300</v>
      </c>
      <c r="AD918">
        <v>20</v>
      </c>
      <c r="AE918">
        <v>8</v>
      </c>
      <c r="AF918">
        <v>209</v>
      </c>
      <c r="AG918">
        <v>150</v>
      </c>
      <c r="AH918">
        <v>167</v>
      </c>
      <c r="AI918">
        <v>51</v>
      </c>
      <c r="AJ918">
        <v>33</v>
      </c>
      <c r="AK918">
        <v>51</v>
      </c>
      <c r="AL918">
        <v>25</v>
      </c>
      <c r="AM918">
        <v>5</v>
      </c>
      <c r="AN918">
        <v>176</v>
      </c>
      <c r="AO918">
        <v>68</v>
      </c>
      <c r="AP918">
        <v>71</v>
      </c>
      <c r="AQ918">
        <v>99</v>
      </c>
      <c r="AR918">
        <v>1224</v>
      </c>
      <c r="AS918">
        <v>2709</v>
      </c>
      <c r="AT918" t="s">
        <v>7</v>
      </c>
      <c r="AU918">
        <v>0.79</v>
      </c>
      <c r="AV918">
        <v>2014</v>
      </c>
      <c r="AW918" s="1">
        <v>45744</v>
      </c>
      <c r="AX918">
        <v>15</v>
      </c>
      <c r="AY918" t="s">
        <v>36</v>
      </c>
      <c r="AZ918" t="s">
        <v>17</v>
      </c>
      <c r="BA918" t="s">
        <v>12</v>
      </c>
      <c r="BB918" t="s">
        <v>13</v>
      </c>
      <c r="BC918" t="s">
        <v>7</v>
      </c>
      <c r="BD918">
        <v>2</v>
      </c>
      <c r="BE918" t="s">
        <v>14</v>
      </c>
      <c r="BF918">
        <v>0.97</v>
      </c>
    </row>
    <row r="919" spans="1:58" hidden="1" x14ac:dyDescent="0.2">
      <c r="A919">
        <v>918</v>
      </c>
      <c r="B919" t="s">
        <v>0</v>
      </c>
      <c r="C919">
        <v>36</v>
      </c>
      <c r="D919" t="s">
        <v>28</v>
      </c>
      <c r="E919" t="s">
        <v>2</v>
      </c>
      <c r="F919" t="s">
        <v>15</v>
      </c>
      <c r="G919" t="s">
        <v>38</v>
      </c>
      <c r="H919" t="s">
        <v>24</v>
      </c>
      <c r="I919" t="s">
        <v>114</v>
      </c>
      <c r="J919" t="s">
        <v>123</v>
      </c>
      <c r="K919" t="s">
        <v>7</v>
      </c>
      <c r="L919">
        <v>8.8000000000000007</v>
      </c>
      <c r="M919">
        <v>6.4</v>
      </c>
      <c r="N919" t="s">
        <v>8</v>
      </c>
      <c r="O919" t="s">
        <v>7</v>
      </c>
      <c r="P919" t="s">
        <v>9</v>
      </c>
      <c r="Q919">
        <v>32</v>
      </c>
      <c r="R919">
        <v>9</v>
      </c>
      <c r="S919">
        <v>31.3</v>
      </c>
      <c r="T919">
        <v>136</v>
      </c>
      <c r="U919">
        <v>86</v>
      </c>
      <c r="V919">
        <v>8039</v>
      </c>
      <c r="W919">
        <v>38.1</v>
      </c>
      <c r="X919">
        <v>4</v>
      </c>
      <c r="Y919">
        <v>4</v>
      </c>
      <c r="Z919">
        <v>6</v>
      </c>
      <c r="AA919">
        <v>1.8</v>
      </c>
      <c r="AB919">
        <v>3</v>
      </c>
      <c r="AC919">
        <v>248</v>
      </c>
      <c r="AD919">
        <v>23</v>
      </c>
      <c r="AE919">
        <v>7</v>
      </c>
      <c r="AF919">
        <v>185</v>
      </c>
      <c r="AG919">
        <v>131</v>
      </c>
      <c r="AH919">
        <v>165</v>
      </c>
      <c r="AI919">
        <v>41</v>
      </c>
      <c r="AJ919">
        <v>28</v>
      </c>
      <c r="AK919">
        <v>43</v>
      </c>
      <c r="AL919">
        <v>22</v>
      </c>
      <c r="AM919">
        <v>4</v>
      </c>
      <c r="AN919">
        <v>123</v>
      </c>
      <c r="AO919">
        <v>31</v>
      </c>
      <c r="AP919">
        <v>37</v>
      </c>
      <c r="AQ919">
        <v>51</v>
      </c>
      <c r="AR919">
        <v>653</v>
      </c>
      <c r="AS919">
        <v>416</v>
      </c>
      <c r="AT919" t="s">
        <v>13</v>
      </c>
      <c r="AU919">
        <v>0.74</v>
      </c>
      <c r="AV919">
        <v>2014</v>
      </c>
      <c r="AW919" s="1">
        <v>45968</v>
      </c>
      <c r="AX919">
        <v>10.8</v>
      </c>
      <c r="AY919" t="s">
        <v>10</v>
      </c>
      <c r="AZ919" t="s">
        <v>20</v>
      </c>
      <c r="BA919" t="s">
        <v>21</v>
      </c>
      <c r="BB919" t="s">
        <v>7</v>
      </c>
      <c r="BC919" t="s">
        <v>7</v>
      </c>
      <c r="BD919">
        <v>3</v>
      </c>
      <c r="BE919" t="s">
        <v>14</v>
      </c>
      <c r="BF919">
        <v>1.08</v>
      </c>
    </row>
    <row r="920" spans="1:58" hidden="1" x14ac:dyDescent="0.2">
      <c r="A920">
        <v>919</v>
      </c>
      <c r="B920" t="s">
        <v>0</v>
      </c>
      <c r="C920">
        <v>27</v>
      </c>
      <c r="D920" t="s">
        <v>1</v>
      </c>
      <c r="E920" t="s">
        <v>47</v>
      </c>
      <c r="F920" t="s">
        <v>40</v>
      </c>
      <c r="G920" t="s">
        <v>4</v>
      </c>
      <c r="H920" t="s">
        <v>34</v>
      </c>
      <c r="I920" t="s">
        <v>113</v>
      </c>
      <c r="J920" t="s">
        <v>6</v>
      </c>
      <c r="K920" t="s">
        <v>7</v>
      </c>
      <c r="L920">
        <v>13.4</v>
      </c>
      <c r="M920">
        <v>8.3000000000000007</v>
      </c>
      <c r="N920" t="s">
        <v>25</v>
      </c>
      <c r="O920" t="s">
        <v>13</v>
      </c>
      <c r="P920" t="s">
        <v>121</v>
      </c>
      <c r="Q920">
        <v>1</v>
      </c>
      <c r="R920">
        <v>7</v>
      </c>
      <c r="S920">
        <v>25.2</v>
      </c>
      <c r="T920">
        <v>144</v>
      </c>
      <c r="U920">
        <v>71</v>
      </c>
      <c r="V920">
        <v>7987</v>
      </c>
      <c r="W920">
        <v>39.6</v>
      </c>
      <c r="X920">
        <v>4</v>
      </c>
      <c r="Y920">
        <v>6</v>
      </c>
      <c r="Z920">
        <v>10</v>
      </c>
      <c r="AA920">
        <v>3.4</v>
      </c>
      <c r="AB920">
        <v>2</v>
      </c>
      <c r="AC920">
        <v>64</v>
      </c>
      <c r="AD920">
        <v>4</v>
      </c>
      <c r="AE920">
        <v>2</v>
      </c>
      <c r="AF920">
        <v>171</v>
      </c>
      <c r="AG920">
        <v>48</v>
      </c>
      <c r="AH920">
        <v>51</v>
      </c>
      <c r="AI920">
        <v>18</v>
      </c>
      <c r="AJ920">
        <v>19</v>
      </c>
      <c r="AK920">
        <v>21</v>
      </c>
      <c r="AL920">
        <v>6</v>
      </c>
      <c r="AM920">
        <v>1</v>
      </c>
      <c r="AN920">
        <v>34</v>
      </c>
      <c r="AO920">
        <v>8</v>
      </c>
      <c r="AP920">
        <v>9</v>
      </c>
      <c r="AQ920">
        <v>18</v>
      </c>
      <c r="AR920">
        <v>716</v>
      </c>
      <c r="AS920">
        <v>983</v>
      </c>
      <c r="AT920" t="s">
        <v>7</v>
      </c>
      <c r="AU920">
        <v>0.14000000000000001</v>
      </c>
      <c r="AV920">
        <v>2020</v>
      </c>
      <c r="AW920" s="1">
        <v>45986</v>
      </c>
      <c r="AX920">
        <v>16</v>
      </c>
      <c r="AY920" t="s">
        <v>36</v>
      </c>
      <c r="AZ920" t="s">
        <v>51</v>
      </c>
      <c r="BA920" t="s">
        <v>21</v>
      </c>
      <c r="BB920" t="s">
        <v>13</v>
      </c>
      <c r="BC920" t="s">
        <v>7</v>
      </c>
      <c r="BD920">
        <v>3</v>
      </c>
      <c r="BE920" t="s">
        <v>14</v>
      </c>
      <c r="BF920">
        <v>1.43</v>
      </c>
    </row>
    <row r="921" spans="1:58" hidden="1" x14ac:dyDescent="0.2">
      <c r="A921">
        <v>920</v>
      </c>
      <c r="B921" t="s">
        <v>0</v>
      </c>
      <c r="C921">
        <v>42</v>
      </c>
      <c r="D921" t="s">
        <v>1</v>
      </c>
      <c r="E921" t="s">
        <v>128</v>
      </c>
      <c r="F921" t="s">
        <v>15</v>
      </c>
      <c r="G921" t="s">
        <v>117</v>
      </c>
      <c r="H921" t="s">
        <v>118</v>
      </c>
      <c r="I921" t="s">
        <v>113</v>
      </c>
      <c r="J921" t="s">
        <v>123</v>
      </c>
      <c r="K921" t="s">
        <v>13</v>
      </c>
      <c r="L921">
        <v>8.1999999999999993</v>
      </c>
      <c r="M921">
        <v>8.5</v>
      </c>
      <c r="N921" t="s">
        <v>8</v>
      </c>
      <c r="O921" t="s">
        <v>7</v>
      </c>
      <c r="P921" t="s">
        <v>26</v>
      </c>
      <c r="Q921">
        <v>17</v>
      </c>
      <c r="R921">
        <v>1</v>
      </c>
      <c r="S921">
        <v>23.8</v>
      </c>
      <c r="T921">
        <v>100</v>
      </c>
      <c r="U921">
        <v>85</v>
      </c>
      <c r="V921">
        <v>7888</v>
      </c>
      <c r="W921">
        <v>50</v>
      </c>
      <c r="X921">
        <v>1</v>
      </c>
      <c r="Y921">
        <v>0</v>
      </c>
      <c r="Z921">
        <v>5</v>
      </c>
      <c r="AA921">
        <v>1.6</v>
      </c>
      <c r="AB921">
        <v>1</v>
      </c>
      <c r="AC921">
        <v>141</v>
      </c>
      <c r="AD921">
        <v>9</v>
      </c>
      <c r="AE921">
        <v>2</v>
      </c>
      <c r="AF921">
        <v>126</v>
      </c>
      <c r="AG921">
        <v>94</v>
      </c>
      <c r="AH921">
        <v>100</v>
      </c>
      <c r="AI921">
        <v>30</v>
      </c>
      <c r="AJ921">
        <v>20</v>
      </c>
      <c r="AK921">
        <v>18</v>
      </c>
      <c r="AL921">
        <v>20</v>
      </c>
      <c r="AM921">
        <v>3</v>
      </c>
      <c r="AN921">
        <v>67</v>
      </c>
      <c r="AO921">
        <v>28</v>
      </c>
      <c r="AP921">
        <v>32</v>
      </c>
      <c r="AQ921">
        <v>33</v>
      </c>
      <c r="AR921">
        <v>1298</v>
      </c>
      <c r="AS921">
        <v>2806</v>
      </c>
      <c r="AT921" t="s">
        <v>7</v>
      </c>
      <c r="AU921">
        <v>0.62</v>
      </c>
      <c r="AV921">
        <v>2019</v>
      </c>
      <c r="AW921" s="1">
        <v>45681</v>
      </c>
      <c r="AX921">
        <v>15.7</v>
      </c>
      <c r="AY921" t="s">
        <v>27</v>
      </c>
      <c r="AZ921" t="s">
        <v>51</v>
      </c>
      <c r="BA921" t="s">
        <v>122</v>
      </c>
      <c r="BB921" t="s">
        <v>7</v>
      </c>
      <c r="BC921" t="s">
        <v>13</v>
      </c>
      <c r="BD921">
        <v>2</v>
      </c>
      <c r="BE921" t="s">
        <v>49</v>
      </c>
      <c r="BF921">
        <v>1.17</v>
      </c>
    </row>
    <row r="922" spans="1:58" hidden="1" x14ac:dyDescent="0.2">
      <c r="A922">
        <v>921</v>
      </c>
      <c r="B922" t="s">
        <v>0</v>
      </c>
      <c r="C922">
        <v>54</v>
      </c>
      <c r="D922" t="s">
        <v>1</v>
      </c>
      <c r="E922" t="s">
        <v>2</v>
      </c>
      <c r="F922" t="s">
        <v>15</v>
      </c>
      <c r="G922" t="s">
        <v>116</v>
      </c>
      <c r="H922" t="s">
        <v>118</v>
      </c>
      <c r="I922" t="s">
        <v>112</v>
      </c>
      <c r="J922" t="s">
        <v>123</v>
      </c>
      <c r="K922" t="s">
        <v>7</v>
      </c>
      <c r="L922">
        <v>11.6</v>
      </c>
      <c r="M922">
        <v>8.4</v>
      </c>
      <c r="N922" t="s">
        <v>39</v>
      </c>
      <c r="O922" t="s">
        <v>7</v>
      </c>
      <c r="P922" t="s">
        <v>26</v>
      </c>
      <c r="Q922">
        <v>35</v>
      </c>
      <c r="R922">
        <v>6</v>
      </c>
      <c r="S922">
        <v>26.7</v>
      </c>
      <c r="T922">
        <v>151</v>
      </c>
      <c r="U922">
        <v>90</v>
      </c>
      <c r="V922">
        <v>8007</v>
      </c>
      <c r="W922">
        <v>35</v>
      </c>
      <c r="X922">
        <v>5</v>
      </c>
      <c r="Y922">
        <v>2</v>
      </c>
      <c r="Z922">
        <v>7</v>
      </c>
      <c r="AA922">
        <v>7.8</v>
      </c>
      <c r="AB922">
        <v>2</v>
      </c>
      <c r="AC922">
        <v>236</v>
      </c>
      <c r="AD922">
        <v>22</v>
      </c>
      <c r="AE922">
        <v>9</v>
      </c>
      <c r="AF922">
        <v>205</v>
      </c>
      <c r="AG922">
        <v>121</v>
      </c>
      <c r="AH922">
        <v>133</v>
      </c>
      <c r="AI922">
        <v>32</v>
      </c>
      <c r="AJ922">
        <v>27</v>
      </c>
      <c r="AK922">
        <v>33</v>
      </c>
      <c r="AL922">
        <v>23</v>
      </c>
      <c r="AM922">
        <v>4</v>
      </c>
      <c r="AN922">
        <v>137</v>
      </c>
      <c r="AO922">
        <v>40</v>
      </c>
      <c r="AP922">
        <v>26</v>
      </c>
      <c r="AQ922">
        <v>52</v>
      </c>
      <c r="AR922">
        <v>1240</v>
      </c>
      <c r="AS922">
        <v>3082</v>
      </c>
      <c r="AT922" t="s">
        <v>7</v>
      </c>
      <c r="AU922">
        <v>0.35</v>
      </c>
      <c r="AV922">
        <v>2012</v>
      </c>
      <c r="AW922" s="1">
        <v>46018</v>
      </c>
      <c r="AX922">
        <v>10.7</v>
      </c>
      <c r="AY922" t="s">
        <v>36</v>
      </c>
      <c r="AZ922" t="s">
        <v>48</v>
      </c>
      <c r="BA922" t="s">
        <v>12</v>
      </c>
      <c r="BB922" t="s">
        <v>7</v>
      </c>
      <c r="BC922" t="s">
        <v>13</v>
      </c>
      <c r="BD922">
        <v>4</v>
      </c>
      <c r="BE922" t="s">
        <v>43</v>
      </c>
      <c r="BF922">
        <v>0.95</v>
      </c>
    </row>
    <row r="923" spans="1:58" hidden="1" x14ac:dyDescent="0.2">
      <c r="A923">
        <v>922</v>
      </c>
      <c r="B923" t="s">
        <v>0</v>
      </c>
      <c r="C923">
        <v>63</v>
      </c>
      <c r="D923" t="s">
        <v>28</v>
      </c>
      <c r="E923" t="s">
        <v>22</v>
      </c>
      <c r="F923" t="s">
        <v>15</v>
      </c>
      <c r="G923" t="s">
        <v>16</v>
      </c>
      <c r="H923" t="s">
        <v>24</v>
      </c>
      <c r="I923" t="s">
        <v>112</v>
      </c>
      <c r="J923" t="s">
        <v>32</v>
      </c>
      <c r="K923" t="s">
        <v>7</v>
      </c>
      <c r="L923">
        <v>8.1</v>
      </c>
      <c r="M923">
        <v>5.3</v>
      </c>
      <c r="N923" t="s">
        <v>8</v>
      </c>
      <c r="O923" t="s">
        <v>13</v>
      </c>
      <c r="P923" t="s">
        <v>52</v>
      </c>
      <c r="Q923">
        <v>14</v>
      </c>
      <c r="R923">
        <v>2</v>
      </c>
      <c r="S923">
        <v>24.3</v>
      </c>
      <c r="T923">
        <v>153</v>
      </c>
      <c r="U923">
        <v>79</v>
      </c>
      <c r="V923">
        <v>7909</v>
      </c>
      <c r="W923">
        <v>30.2</v>
      </c>
      <c r="X923">
        <v>5</v>
      </c>
      <c r="Y923">
        <v>4</v>
      </c>
      <c r="Z923">
        <v>15</v>
      </c>
      <c r="AA923">
        <v>6.9</v>
      </c>
      <c r="AB923">
        <v>5</v>
      </c>
      <c r="AC923">
        <v>172</v>
      </c>
      <c r="AD923">
        <v>11</v>
      </c>
      <c r="AE923">
        <v>2</v>
      </c>
      <c r="AF923">
        <v>148</v>
      </c>
      <c r="AG923">
        <v>103</v>
      </c>
      <c r="AH923">
        <v>113</v>
      </c>
      <c r="AI923">
        <v>27</v>
      </c>
      <c r="AJ923">
        <v>22</v>
      </c>
      <c r="AK923">
        <v>30</v>
      </c>
      <c r="AL923">
        <v>26</v>
      </c>
      <c r="AM923">
        <v>6</v>
      </c>
      <c r="AN923">
        <v>93</v>
      </c>
      <c r="AO923">
        <v>23</v>
      </c>
      <c r="AP923">
        <v>23</v>
      </c>
      <c r="AQ923">
        <v>63</v>
      </c>
      <c r="AR923">
        <v>1546</v>
      </c>
      <c r="AS923">
        <v>748</v>
      </c>
      <c r="AT923" t="s">
        <v>7</v>
      </c>
      <c r="AU923">
        <v>0.98</v>
      </c>
      <c r="AV923">
        <v>2023</v>
      </c>
      <c r="AW923" s="1">
        <v>45996</v>
      </c>
      <c r="AX923">
        <v>15.6</v>
      </c>
      <c r="AY923" t="s">
        <v>45</v>
      </c>
      <c r="AZ923" t="s">
        <v>31</v>
      </c>
      <c r="BA923" t="s">
        <v>122</v>
      </c>
      <c r="BB923" t="s">
        <v>13</v>
      </c>
      <c r="BC923" t="s">
        <v>13</v>
      </c>
      <c r="BD923">
        <v>5</v>
      </c>
      <c r="BE923" t="s">
        <v>14</v>
      </c>
      <c r="BF923">
        <v>1</v>
      </c>
    </row>
    <row r="924" spans="1:58" hidden="1" x14ac:dyDescent="0.2">
      <c r="A924">
        <v>923</v>
      </c>
      <c r="B924" t="s">
        <v>0</v>
      </c>
      <c r="C924">
        <v>29</v>
      </c>
      <c r="D924" t="s">
        <v>28</v>
      </c>
      <c r="E924" t="s">
        <v>128</v>
      </c>
      <c r="F924" t="s">
        <v>15</v>
      </c>
      <c r="G924" t="s">
        <v>116</v>
      </c>
      <c r="H924" t="s">
        <v>119</v>
      </c>
      <c r="I924" t="s">
        <v>115</v>
      </c>
      <c r="J924" t="s">
        <v>32</v>
      </c>
      <c r="K924" t="s">
        <v>7</v>
      </c>
      <c r="L924">
        <v>5.0999999999999996</v>
      </c>
      <c r="M924">
        <v>7</v>
      </c>
      <c r="N924" t="s">
        <v>8</v>
      </c>
      <c r="O924" t="s">
        <v>7</v>
      </c>
      <c r="P924" t="s">
        <v>26</v>
      </c>
      <c r="Q924">
        <v>6</v>
      </c>
      <c r="R924">
        <v>10</v>
      </c>
      <c r="S924">
        <v>26.1</v>
      </c>
      <c r="T924">
        <v>116</v>
      </c>
      <c r="U924">
        <v>75</v>
      </c>
      <c r="V924">
        <v>8094</v>
      </c>
      <c r="W924">
        <v>41.1</v>
      </c>
      <c r="X924">
        <v>0</v>
      </c>
      <c r="Y924">
        <v>4</v>
      </c>
      <c r="Z924">
        <v>10</v>
      </c>
      <c r="AA924">
        <v>3.3</v>
      </c>
      <c r="AB924">
        <v>5</v>
      </c>
      <c r="AC924">
        <v>5</v>
      </c>
      <c r="AD924">
        <v>1</v>
      </c>
      <c r="AE924">
        <v>6</v>
      </c>
      <c r="AF924">
        <v>126</v>
      </c>
      <c r="AG924">
        <v>38</v>
      </c>
      <c r="AH924">
        <v>29</v>
      </c>
      <c r="AI924">
        <v>4</v>
      </c>
      <c r="AJ924">
        <v>16</v>
      </c>
      <c r="AK924">
        <v>8</v>
      </c>
      <c r="AL924">
        <v>3</v>
      </c>
      <c r="AM924">
        <v>1</v>
      </c>
      <c r="AN924">
        <v>3</v>
      </c>
      <c r="AO924">
        <v>1</v>
      </c>
      <c r="AP924">
        <v>1</v>
      </c>
      <c r="AQ924">
        <v>2</v>
      </c>
      <c r="AR924">
        <v>186</v>
      </c>
      <c r="AS924">
        <v>376</v>
      </c>
      <c r="AT924" t="s">
        <v>7</v>
      </c>
      <c r="AU924">
        <v>0.87</v>
      </c>
      <c r="AV924">
        <v>2025</v>
      </c>
      <c r="AW924" s="1">
        <v>45785</v>
      </c>
      <c r="AX924">
        <v>5</v>
      </c>
      <c r="AY924" t="s">
        <v>36</v>
      </c>
      <c r="AZ924" t="s">
        <v>20</v>
      </c>
      <c r="BA924" t="s">
        <v>21</v>
      </c>
      <c r="BB924" t="s">
        <v>13</v>
      </c>
      <c r="BC924" t="s">
        <v>7</v>
      </c>
      <c r="BD924">
        <v>3</v>
      </c>
      <c r="BE924" t="s">
        <v>14</v>
      </c>
      <c r="BF924">
        <v>9.17</v>
      </c>
    </row>
    <row r="925" spans="1:58" hidden="1" x14ac:dyDescent="0.2">
      <c r="A925">
        <v>924</v>
      </c>
      <c r="B925" t="s">
        <v>0</v>
      </c>
      <c r="C925">
        <v>17</v>
      </c>
      <c r="D925" t="s">
        <v>28</v>
      </c>
      <c r="E925" t="s">
        <v>2</v>
      </c>
      <c r="F925" t="s">
        <v>40</v>
      </c>
      <c r="G925" t="s">
        <v>16</v>
      </c>
      <c r="H925" t="s">
        <v>119</v>
      </c>
      <c r="I925" t="s">
        <v>114</v>
      </c>
      <c r="J925" t="s">
        <v>123</v>
      </c>
      <c r="K925" t="s">
        <v>7</v>
      </c>
      <c r="L925">
        <v>5.4</v>
      </c>
      <c r="M925">
        <v>6.8</v>
      </c>
      <c r="N925" t="s">
        <v>29</v>
      </c>
      <c r="O925" t="s">
        <v>7</v>
      </c>
      <c r="P925" t="s">
        <v>9</v>
      </c>
      <c r="Q925">
        <v>34</v>
      </c>
      <c r="R925">
        <v>5</v>
      </c>
      <c r="S925">
        <v>24.1</v>
      </c>
      <c r="T925">
        <v>90</v>
      </c>
      <c r="U925">
        <v>79</v>
      </c>
      <c r="V925">
        <v>8078</v>
      </c>
      <c r="W925">
        <v>41.5</v>
      </c>
      <c r="X925">
        <v>4</v>
      </c>
      <c r="Y925">
        <v>1</v>
      </c>
      <c r="Z925">
        <v>10</v>
      </c>
      <c r="AA925">
        <v>3.6</v>
      </c>
      <c r="AB925">
        <v>3</v>
      </c>
      <c r="AC925">
        <v>330</v>
      </c>
      <c r="AD925">
        <v>10</v>
      </c>
      <c r="AE925">
        <v>12</v>
      </c>
      <c r="AF925">
        <v>300</v>
      </c>
      <c r="AG925">
        <v>150</v>
      </c>
      <c r="AH925">
        <v>199</v>
      </c>
      <c r="AI925">
        <v>57</v>
      </c>
      <c r="AJ925">
        <v>39</v>
      </c>
      <c r="AK925">
        <v>51</v>
      </c>
      <c r="AL925">
        <v>29</v>
      </c>
      <c r="AM925">
        <v>4</v>
      </c>
      <c r="AN925">
        <v>172</v>
      </c>
      <c r="AO925">
        <v>45</v>
      </c>
      <c r="AP925">
        <v>68</v>
      </c>
      <c r="AQ925">
        <v>107</v>
      </c>
      <c r="AR925">
        <v>17987</v>
      </c>
      <c r="AS925">
        <v>10000</v>
      </c>
      <c r="AT925" t="s">
        <v>7</v>
      </c>
      <c r="AU925">
        <v>0.16</v>
      </c>
      <c r="AV925">
        <v>2025</v>
      </c>
      <c r="AW925" s="1">
        <v>45774</v>
      </c>
      <c r="AX925">
        <v>33</v>
      </c>
      <c r="AY925" t="s">
        <v>36</v>
      </c>
      <c r="AZ925" t="s">
        <v>20</v>
      </c>
      <c r="BA925" t="s">
        <v>12</v>
      </c>
      <c r="BB925" t="s">
        <v>7</v>
      </c>
      <c r="BC925" t="s">
        <v>7</v>
      </c>
      <c r="BD925">
        <v>5</v>
      </c>
      <c r="BE925" t="s">
        <v>14</v>
      </c>
      <c r="BF925">
        <v>1.05</v>
      </c>
    </row>
    <row r="926" spans="1:58" hidden="1" x14ac:dyDescent="0.2">
      <c r="A926">
        <v>925</v>
      </c>
      <c r="B926" t="s">
        <v>0</v>
      </c>
      <c r="C926">
        <v>41</v>
      </c>
      <c r="D926" t="s">
        <v>1</v>
      </c>
      <c r="E926" t="s">
        <v>50</v>
      </c>
      <c r="F926" t="s">
        <v>40</v>
      </c>
      <c r="G926" t="s">
        <v>16</v>
      </c>
      <c r="H926" t="s">
        <v>23</v>
      </c>
      <c r="I926" t="s">
        <v>114</v>
      </c>
      <c r="J926" t="s">
        <v>123</v>
      </c>
      <c r="K926" t="s">
        <v>7</v>
      </c>
      <c r="L926">
        <v>8.9</v>
      </c>
      <c r="M926">
        <v>6.9</v>
      </c>
      <c r="N926" t="s">
        <v>8</v>
      </c>
      <c r="O926" t="s">
        <v>7</v>
      </c>
      <c r="P926" t="s">
        <v>26</v>
      </c>
      <c r="Q926">
        <v>40</v>
      </c>
      <c r="R926">
        <v>3</v>
      </c>
      <c r="S926">
        <v>25.1</v>
      </c>
      <c r="T926">
        <v>128</v>
      </c>
      <c r="U926">
        <v>75</v>
      </c>
      <c r="V926">
        <v>8129</v>
      </c>
      <c r="W926">
        <v>52.8</v>
      </c>
      <c r="X926">
        <v>4</v>
      </c>
      <c r="Y926">
        <v>7</v>
      </c>
      <c r="Z926">
        <v>6</v>
      </c>
      <c r="AA926">
        <v>9.6999999999999993</v>
      </c>
      <c r="AB926">
        <v>4</v>
      </c>
      <c r="AC926">
        <v>446</v>
      </c>
      <c r="AD926">
        <v>39</v>
      </c>
      <c r="AE926">
        <v>9</v>
      </c>
      <c r="AF926">
        <v>292</v>
      </c>
      <c r="AG926">
        <v>150</v>
      </c>
      <c r="AH926">
        <v>270</v>
      </c>
      <c r="AI926">
        <v>80</v>
      </c>
      <c r="AJ926">
        <v>48</v>
      </c>
      <c r="AK926">
        <v>61</v>
      </c>
      <c r="AL926">
        <v>50</v>
      </c>
      <c r="AM926">
        <v>7</v>
      </c>
      <c r="AN926">
        <v>203</v>
      </c>
      <c r="AO926">
        <v>71</v>
      </c>
      <c r="AP926">
        <v>75</v>
      </c>
      <c r="AQ926">
        <v>114</v>
      </c>
      <c r="AR926">
        <v>3704</v>
      </c>
      <c r="AS926">
        <v>2022</v>
      </c>
      <c r="AT926" t="s">
        <v>13</v>
      </c>
      <c r="AU926">
        <v>0.79</v>
      </c>
      <c r="AV926">
        <v>2015</v>
      </c>
      <c r="AW926" s="1">
        <v>45778</v>
      </c>
      <c r="AX926">
        <v>11.4</v>
      </c>
      <c r="AY926" t="s">
        <v>19</v>
      </c>
      <c r="AZ926" t="s">
        <v>11</v>
      </c>
      <c r="BA926" t="s">
        <v>21</v>
      </c>
      <c r="BB926" t="s">
        <v>13</v>
      </c>
      <c r="BC926" t="s">
        <v>7</v>
      </c>
      <c r="BD926">
        <v>0</v>
      </c>
      <c r="BE926" t="s">
        <v>14</v>
      </c>
      <c r="BF926">
        <v>1.02</v>
      </c>
    </row>
    <row r="927" spans="1:58" hidden="1" x14ac:dyDescent="0.2">
      <c r="A927">
        <v>926</v>
      </c>
      <c r="B927" t="s">
        <v>0</v>
      </c>
      <c r="C927">
        <v>16</v>
      </c>
      <c r="D927" t="s">
        <v>124</v>
      </c>
      <c r="E927" t="s">
        <v>50</v>
      </c>
      <c r="F927" t="s">
        <v>40</v>
      </c>
      <c r="G927" t="s">
        <v>116</v>
      </c>
      <c r="H927" t="s">
        <v>119</v>
      </c>
      <c r="I927" t="s">
        <v>115</v>
      </c>
      <c r="J927" t="s">
        <v>18</v>
      </c>
      <c r="K927" t="s">
        <v>7</v>
      </c>
      <c r="L927">
        <v>12.2</v>
      </c>
      <c r="M927">
        <v>6.9</v>
      </c>
      <c r="N927" t="s">
        <v>25</v>
      </c>
      <c r="O927" t="s">
        <v>7</v>
      </c>
      <c r="P927" t="s">
        <v>9</v>
      </c>
      <c r="Q927">
        <v>4</v>
      </c>
      <c r="R927">
        <v>8</v>
      </c>
      <c r="S927">
        <v>19</v>
      </c>
      <c r="T927">
        <v>156</v>
      </c>
      <c r="U927">
        <v>84</v>
      </c>
      <c r="V927">
        <v>8119</v>
      </c>
      <c r="W927">
        <v>52.3</v>
      </c>
      <c r="X927">
        <v>2</v>
      </c>
      <c r="Y927">
        <v>2</v>
      </c>
      <c r="Z927">
        <v>10</v>
      </c>
      <c r="AA927">
        <v>4.2</v>
      </c>
      <c r="AB927">
        <v>1</v>
      </c>
      <c r="AC927">
        <v>77</v>
      </c>
      <c r="AD927">
        <v>2</v>
      </c>
      <c r="AE927">
        <v>5</v>
      </c>
      <c r="AF927">
        <v>166</v>
      </c>
      <c r="AG927">
        <v>45</v>
      </c>
      <c r="AH927">
        <v>55</v>
      </c>
      <c r="AI927">
        <v>12</v>
      </c>
      <c r="AJ927">
        <v>16</v>
      </c>
      <c r="AK927">
        <v>23</v>
      </c>
      <c r="AL927">
        <v>16</v>
      </c>
      <c r="AM927">
        <v>2</v>
      </c>
      <c r="AN927">
        <v>35</v>
      </c>
      <c r="AO927">
        <v>8</v>
      </c>
      <c r="AP927">
        <v>11</v>
      </c>
      <c r="AQ927">
        <v>25</v>
      </c>
      <c r="AR927">
        <v>3032</v>
      </c>
      <c r="AS927">
        <v>1361</v>
      </c>
      <c r="AT927" t="s">
        <v>7</v>
      </c>
      <c r="AU927">
        <v>0.97</v>
      </c>
      <c r="AV927">
        <v>2018</v>
      </c>
      <c r="AW927" s="1">
        <v>45685</v>
      </c>
      <c r="AX927">
        <v>38.5</v>
      </c>
      <c r="AY927" t="s">
        <v>45</v>
      </c>
      <c r="AZ927" t="s">
        <v>37</v>
      </c>
      <c r="BA927" t="s">
        <v>21</v>
      </c>
      <c r="BB927" t="s">
        <v>13</v>
      </c>
      <c r="BC927" t="s">
        <v>7</v>
      </c>
      <c r="BD927">
        <v>1</v>
      </c>
      <c r="BE927" t="s">
        <v>14</v>
      </c>
      <c r="BF927">
        <v>1.21</v>
      </c>
    </row>
    <row r="928" spans="1:58" hidden="1" x14ac:dyDescent="0.2">
      <c r="A928">
        <v>927</v>
      </c>
      <c r="B928" t="s">
        <v>0</v>
      </c>
      <c r="C928">
        <v>22</v>
      </c>
      <c r="D928" t="s">
        <v>28</v>
      </c>
      <c r="E928" t="s">
        <v>128</v>
      </c>
      <c r="F928" t="s">
        <v>15</v>
      </c>
      <c r="G928" t="s">
        <v>16</v>
      </c>
      <c r="H928" t="s">
        <v>118</v>
      </c>
      <c r="I928" t="s">
        <v>114</v>
      </c>
      <c r="J928" t="s">
        <v>6</v>
      </c>
      <c r="K928" t="s">
        <v>13</v>
      </c>
      <c r="L928">
        <v>6.5</v>
      </c>
      <c r="M928">
        <v>8.5</v>
      </c>
      <c r="N928" t="s">
        <v>39</v>
      </c>
      <c r="O928" t="s">
        <v>7</v>
      </c>
      <c r="P928" t="s">
        <v>46</v>
      </c>
      <c r="Q928">
        <v>32</v>
      </c>
      <c r="R928">
        <v>10</v>
      </c>
      <c r="S928">
        <v>22.8</v>
      </c>
      <c r="T928">
        <v>93</v>
      </c>
      <c r="U928">
        <v>93</v>
      </c>
      <c r="V928">
        <v>7992</v>
      </c>
      <c r="W928">
        <v>43.4</v>
      </c>
      <c r="X928">
        <v>2</v>
      </c>
      <c r="Y928">
        <v>4</v>
      </c>
      <c r="Z928">
        <v>9</v>
      </c>
      <c r="AA928">
        <v>2.5</v>
      </c>
      <c r="AB928">
        <v>3</v>
      </c>
      <c r="AC928">
        <v>138</v>
      </c>
      <c r="AD928">
        <v>4</v>
      </c>
      <c r="AE928">
        <v>8</v>
      </c>
      <c r="AF928">
        <v>188</v>
      </c>
      <c r="AG928">
        <v>83</v>
      </c>
      <c r="AH928">
        <v>101</v>
      </c>
      <c r="AI928">
        <v>30</v>
      </c>
      <c r="AJ928">
        <v>25</v>
      </c>
      <c r="AK928">
        <v>19</v>
      </c>
      <c r="AL928">
        <v>20</v>
      </c>
      <c r="AM928">
        <v>4</v>
      </c>
      <c r="AN928">
        <v>68</v>
      </c>
      <c r="AO928">
        <v>30</v>
      </c>
      <c r="AP928">
        <v>30</v>
      </c>
      <c r="AQ928">
        <v>36</v>
      </c>
      <c r="AR928">
        <v>326</v>
      </c>
      <c r="AS928">
        <v>200</v>
      </c>
      <c r="AT928" t="s">
        <v>13</v>
      </c>
      <c r="AU928">
        <v>0.49</v>
      </c>
      <c r="AV928">
        <v>2022</v>
      </c>
      <c r="AW928" s="1">
        <v>45932</v>
      </c>
      <c r="AX928">
        <v>34.5</v>
      </c>
      <c r="AY928" t="s">
        <v>30</v>
      </c>
      <c r="AZ928" t="s">
        <v>48</v>
      </c>
      <c r="BA928" t="s">
        <v>12</v>
      </c>
      <c r="BB928" t="s">
        <v>7</v>
      </c>
      <c r="BC928" t="s">
        <v>7</v>
      </c>
      <c r="BD928">
        <v>1</v>
      </c>
      <c r="BE928" t="s">
        <v>49</v>
      </c>
      <c r="BF928">
        <v>1.33</v>
      </c>
    </row>
    <row r="929" spans="1:58" hidden="1" x14ac:dyDescent="0.2">
      <c r="A929">
        <v>928</v>
      </c>
      <c r="B929" t="s">
        <v>0</v>
      </c>
      <c r="C929">
        <v>29</v>
      </c>
      <c r="D929" t="s">
        <v>28</v>
      </c>
      <c r="E929" t="s">
        <v>2</v>
      </c>
      <c r="F929" t="s">
        <v>3</v>
      </c>
      <c r="G929" t="s">
        <v>116</v>
      </c>
      <c r="H929" t="s">
        <v>118</v>
      </c>
      <c r="I929" t="s">
        <v>112</v>
      </c>
      <c r="J929" t="s">
        <v>6</v>
      </c>
      <c r="K929" t="s">
        <v>7</v>
      </c>
      <c r="L929">
        <v>2.4</v>
      </c>
      <c r="M929">
        <v>8.1</v>
      </c>
      <c r="N929" t="s">
        <v>8</v>
      </c>
      <c r="O929" t="s">
        <v>7</v>
      </c>
      <c r="P929" t="s">
        <v>9</v>
      </c>
      <c r="Q929">
        <v>3</v>
      </c>
      <c r="R929">
        <v>3</v>
      </c>
      <c r="S929">
        <v>24</v>
      </c>
      <c r="T929">
        <v>120</v>
      </c>
      <c r="U929">
        <v>92</v>
      </c>
      <c r="V929">
        <v>8031</v>
      </c>
      <c r="W929">
        <v>30.1</v>
      </c>
      <c r="X929">
        <v>2</v>
      </c>
      <c r="Y929">
        <v>1</v>
      </c>
      <c r="Z929">
        <v>8</v>
      </c>
      <c r="AA929">
        <v>1</v>
      </c>
      <c r="AB929">
        <v>2</v>
      </c>
      <c r="AC929">
        <v>107</v>
      </c>
      <c r="AD929">
        <v>4</v>
      </c>
      <c r="AE929">
        <v>3</v>
      </c>
      <c r="AF929">
        <v>172</v>
      </c>
      <c r="AG929">
        <v>66</v>
      </c>
      <c r="AH929">
        <v>61</v>
      </c>
      <c r="AI929">
        <v>25</v>
      </c>
      <c r="AJ929">
        <v>25</v>
      </c>
      <c r="AK929">
        <v>11</v>
      </c>
      <c r="AL929">
        <v>10</v>
      </c>
      <c r="AM929">
        <v>2</v>
      </c>
      <c r="AN929">
        <v>58</v>
      </c>
      <c r="AO929">
        <v>23</v>
      </c>
      <c r="AP929">
        <v>14</v>
      </c>
      <c r="AQ929">
        <v>22</v>
      </c>
      <c r="AR929">
        <v>144</v>
      </c>
      <c r="AS929">
        <v>310</v>
      </c>
      <c r="AT929" t="s">
        <v>7</v>
      </c>
      <c r="AU929">
        <v>0.08</v>
      </c>
      <c r="AV929">
        <v>2023</v>
      </c>
      <c r="AW929" s="1">
        <v>45768</v>
      </c>
      <c r="AX929">
        <v>26.8</v>
      </c>
      <c r="AY929" t="s">
        <v>30</v>
      </c>
      <c r="AZ929" t="s">
        <v>17</v>
      </c>
      <c r="BA929" t="s">
        <v>12</v>
      </c>
      <c r="BB929" t="s">
        <v>13</v>
      </c>
      <c r="BC929" t="s">
        <v>7</v>
      </c>
      <c r="BD929">
        <v>2</v>
      </c>
      <c r="BE929" t="s">
        <v>43</v>
      </c>
      <c r="BF929">
        <v>1.1100000000000001</v>
      </c>
    </row>
    <row r="930" spans="1:58" hidden="1" x14ac:dyDescent="0.2">
      <c r="A930">
        <v>929</v>
      </c>
      <c r="B930" t="s">
        <v>0</v>
      </c>
      <c r="C930">
        <v>22</v>
      </c>
      <c r="D930" t="s">
        <v>1</v>
      </c>
      <c r="E930" t="s">
        <v>126</v>
      </c>
      <c r="F930" t="s">
        <v>40</v>
      </c>
      <c r="G930" t="s">
        <v>117</v>
      </c>
      <c r="H930" t="s">
        <v>23</v>
      </c>
      <c r="I930" t="s">
        <v>112</v>
      </c>
      <c r="J930" t="s">
        <v>123</v>
      </c>
      <c r="K930" t="s">
        <v>7</v>
      </c>
      <c r="L930">
        <v>7.3</v>
      </c>
      <c r="M930">
        <v>6.7</v>
      </c>
      <c r="N930" t="s">
        <v>8</v>
      </c>
      <c r="O930" t="s">
        <v>13</v>
      </c>
      <c r="P930" t="s">
        <v>121</v>
      </c>
      <c r="Q930">
        <v>37</v>
      </c>
      <c r="R930">
        <v>7</v>
      </c>
      <c r="S930">
        <v>26.8</v>
      </c>
      <c r="T930">
        <v>119</v>
      </c>
      <c r="U930">
        <v>80</v>
      </c>
      <c r="V930">
        <v>8044</v>
      </c>
      <c r="W930">
        <v>27.7</v>
      </c>
      <c r="X930">
        <v>2</v>
      </c>
      <c r="Y930">
        <v>2</v>
      </c>
      <c r="Z930">
        <v>11</v>
      </c>
      <c r="AA930">
        <v>1.1000000000000001</v>
      </c>
      <c r="AB930">
        <v>4</v>
      </c>
      <c r="AC930">
        <v>302</v>
      </c>
      <c r="AD930">
        <v>11</v>
      </c>
      <c r="AE930">
        <v>10</v>
      </c>
      <c r="AF930">
        <v>300</v>
      </c>
      <c r="AG930">
        <v>150</v>
      </c>
      <c r="AH930">
        <v>164</v>
      </c>
      <c r="AI930">
        <v>56</v>
      </c>
      <c r="AJ930">
        <v>40</v>
      </c>
      <c r="AK930">
        <v>48</v>
      </c>
      <c r="AL930">
        <v>39</v>
      </c>
      <c r="AM930">
        <v>10</v>
      </c>
      <c r="AN930">
        <v>124</v>
      </c>
      <c r="AO930">
        <v>60</v>
      </c>
      <c r="AP930">
        <v>39</v>
      </c>
      <c r="AQ930">
        <v>68</v>
      </c>
      <c r="AR930">
        <v>19238</v>
      </c>
      <c r="AS930">
        <v>10000</v>
      </c>
      <c r="AT930" t="s">
        <v>13</v>
      </c>
      <c r="AU930">
        <v>0.67</v>
      </c>
      <c r="AV930">
        <v>2023</v>
      </c>
      <c r="AW930" s="1">
        <v>45918</v>
      </c>
      <c r="AX930">
        <v>27.5</v>
      </c>
      <c r="AY930" t="s">
        <v>27</v>
      </c>
      <c r="AZ930" t="s">
        <v>37</v>
      </c>
      <c r="BA930" t="s">
        <v>122</v>
      </c>
      <c r="BB930" t="s">
        <v>13</v>
      </c>
      <c r="BC930" t="s">
        <v>7</v>
      </c>
      <c r="BD930">
        <v>5</v>
      </c>
      <c r="BE930" t="s">
        <v>14</v>
      </c>
      <c r="BF930">
        <v>1.01</v>
      </c>
    </row>
    <row r="931" spans="1:58" hidden="1" x14ac:dyDescent="0.2">
      <c r="A931">
        <v>930</v>
      </c>
      <c r="B931" t="s">
        <v>0</v>
      </c>
      <c r="C931">
        <v>29</v>
      </c>
      <c r="D931" t="s">
        <v>1</v>
      </c>
      <c r="E931" t="s">
        <v>22</v>
      </c>
      <c r="F931" t="s">
        <v>15</v>
      </c>
      <c r="G931" t="s">
        <v>116</v>
      </c>
      <c r="H931" t="s">
        <v>23</v>
      </c>
      <c r="I931" t="s">
        <v>114</v>
      </c>
      <c r="J931" t="s">
        <v>6</v>
      </c>
      <c r="K931" t="s">
        <v>7</v>
      </c>
      <c r="L931">
        <v>10.5</v>
      </c>
      <c r="M931">
        <v>7.5</v>
      </c>
      <c r="N931" t="s">
        <v>8</v>
      </c>
      <c r="O931" t="s">
        <v>7</v>
      </c>
      <c r="P931" t="s">
        <v>9</v>
      </c>
      <c r="Q931">
        <v>1</v>
      </c>
      <c r="R931">
        <v>7</v>
      </c>
      <c r="S931">
        <v>20.3</v>
      </c>
      <c r="T931">
        <v>112</v>
      </c>
      <c r="U931">
        <v>95</v>
      </c>
      <c r="V931">
        <v>8007</v>
      </c>
      <c r="W931">
        <v>20.6</v>
      </c>
      <c r="X931">
        <v>2</v>
      </c>
      <c r="Y931">
        <v>5</v>
      </c>
      <c r="Z931">
        <v>10</v>
      </c>
      <c r="AA931">
        <v>4.5</v>
      </c>
      <c r="AB931">
        <v>3</v>
      </c>
      <c r="AC931">
        <v>5</v>
      </c>
      <c r="AD931">
        <v>1</v>
      </c>
      <c r="AE931">
        <v>1</v>
      </c>
      <c r="AF931">
        <v>135</v>
      </c>
      <c r="AG931">
        <v>33</v>
      </c>
      <c r="AH931">
        <v>32</v>
      </c>
      <c r="AI931">
        <v>7</v>
      </c>
      <c r="AJ931">
        <v>5</v>
      </c>
      <c r="AK931">
        <v>6</v>
      </c>
      <c r="AL931">
        <v>8</v>
      </c>
      <c r="AM931">
        <v>1</v>
      </c>
      <c r="AN931">
        <v>2</v>
      </c>
      <c r="AO931">
        <v>1</v>
      </c>
      <c r="AP931">
        <v>1</v>
      </c>
      <c r="AQ931">
        <v>2</v>
      </c>
      <c r="AR931">
        <v>255</v>
      </c>
      <c r="AS931">
        <v>170</v>
      </c>
      <c r="AT931" t="s">
        <v>7</v>
      </c>
      <c r="AU931">
        <v>0.28999999999999998</v>
      </c>
      <c r="AV931">
        <v>2025</v>
      </c>
      <c r="AW931" s="1">
        <v>45822</v>
      </c>
      <c r="AX931">
        <v>5</v>
      </c>
      <c r="AY931" t="s">
        <v>27</v>
      </c>
      <c r="AZ931" t="s">
        <v>17</v>
      </c>
      <c r="BA931" t="s">
        <v>12</v>
      </c>
      <c r="BB931" t="s">
        <v>13</v>
      </c>
      <c r="BC931" t="s">
        <v>7</v>
      </c>
      <c r="BD931">
        <v>3</v>
      </c>
      <c r="BE931" t="s">
        <v>14</v>
      </c>
      <c r="BF931">
        <v>8.17</v>
      </c>
    </row>
    <row r="932" spans="1:58" hidden="1" x14ac:dyDescent="0.2">
      <c r="A932">
        <v>931</v>
      </c>
      <c r="B932" t="s">
        <v>0</v>
      </c>
      <c r="C932">
        <v>32</v>
      </c>
      <c r="D932" t="s">
        <v>1</v>
      </c>
      <c r="E932" t="s">
        <v>2</v>
      </c>
      <c r="F932" t="s">
        <v>3</v>
      </c>
      <c r="G932" t="s">
        <v>38</v>
      </c>
      <c r="H932" t="s">
        <v>5</v>
      </c>
      <c r="I932" t="s">
        <v>112</v>
      </c>
      <c r="J932" t="s">
        <v>123</v>
      </c>
      <c r="K932" t="s">
        <v>7</v>
      </c>
      <c r="L932">
        <v>6.2</v>
      </c>
      <c r="M932">
        <v>5</v>
      </c>
      <c r="N932" t="s">
        <v>25</v>
      </c>
      <c r="O932" t="s">
        <v>7</v>
      </c>
      <c r="P932" t="s">
        <v>26</v>
      </c>
      <c r="Q932">
        <v>12</v>
      </c>
      <c r="R932">
        <v>3</v>
      </c>
      <c r="S932">
        <v>16.600000000000001</v>
      </c>
      <c r="T932">
        <v>103</v>
      </c>
      <c r="U932">
        <v>81</v>
      </c>
      <c r="V932">
        <v>8020</v>
      </c>
      <c r="W932">
        <v>45.7</v>
      </c>
      <c r="X932">
        <v>9</v>
      </c>
      <c r="Y932">
        <v>6</v>
      </c>
      <c r="Z932">
        <v>12</v>
      </c>
      <c r="AA932">
        <v>3.2</v>
      </c>
      <c r="AB932">
        <v>2</v>
      </c>
      <c r="AC932">
        <v>113</v>
      </c>
      <c r="AD932">
        <v>6</v>
      </c>
      <c r="AE932">
        <v>0</v>
      </c>
      <c r="AF932">
        <v>123</v>
      </c>
      <c r="AG932">
        <v>82</v>
      </c>
      <c r="AH932">
        <v>97</v>
      </c>
      <c r="AI932">
        <v>22</v>
      </c>
      <c r="AJ932">
        <v>18</v>
      </c>
      <c r="AK932">
        <v>17</v>
      </c>
      <c r="AL932">
        <v>11</v>
      </c>
      <c r="AM932">
        <v>4</v>
      </c>
      <c r="AN932">
        <v>48</v>
      </c>
      <c r="AO932">
        <v>27</v>
      </c>
      <c r="AP932">
        <v>15</v>
      </c>
      <c r="AQ932">
        <v>38</v>
      </c>
      <c r="AR932">
        <v>1221</v>
      </c>
      <c r="AS932">
        <v>495</v>
      </c>
      <c r="AT932" t="s">
        <v>7</v>
      </c>
      <c r="AU932">
        <v>0.56000000000000005</v>
      </c>
      <c r="AV932">
        <v>2011</v>
      </c>
      <c r="AW932" s="1">
        <v>45797</v>
      </c>
      <c r="AX932">
        <v>18.8</v>
      </c>
      <c r="AY932" t="s">
        <v>30</v>
      </c>
      <c r="AZ932" t="s">
        <v>31</v>
      </c>
      <c r="BA932" t="s">
        <v>12</v>
      </c>
      <c r="BB932" t="s">
        <v>13</v>
      </c>
      <c r="BC932" t="s">
        <v>13</v>
      </c>
      <c r="BD932">
        <v>1</v>
      </c>
      <c r="BE932" t="s">
        <v>14</v>
      </c>
      <c r="BF932">
        <v>1.24</v>
      </c>
    </row>
    <row r="933" spans="1:58" hidden="1" x14ac:dyDescent="0.2">
      <c r="A933">
        <v>932</v>
      </c>
      <c r="B933" t="s">
        <v>0</v>
      </c>
      <c r="C933">
        <v>36</v>
      </c>
      <c r="D933" t="s">
        <v>28</v>
      </c>
      <c r="E933" t="s">
        <v>22</v>
      </c>
      <c r="F933" t="s">
        <v>40</v>
      </c>
      <c r="G933" t="s">
        <v>116</v>
      </c>
      <c r="H933" t="s">
        <v>119</v>
      </c>
      <c r="I933" t="s">
        <v>115</v>
      </c>
      <c r="J933" t="s">
        <v>32</v>
      </c>
      <c r="K933" t="s">
        <v>7</v>
      </c>
      <c r="L933">
        <v>7.9</v>
      </c>
      <c r="M933">
        <v>7.2</v>
      </c>
      <c r="N933" t="s">
        <v>29</v>
      </c>
      <c r="O933" t="s">
        <v>7</v>
      </c>
      <c r="P933" t="s">
        <v>9</v>
      </c>
      <c r="Q933">
        <v>20</v>
      </c>
      <c r="R933">
        <v>2</v>
      </c>
      <c r="S933">
        <v>16.899999999999999</v>
      </c>
      <c r="T933">
        <v>159</v>
      </c>
      <c r="U933">
        <v>88</v>
      </c>
      <c r="V933">
        <v>8078</v>
      </c>
      <c r="W933">
        <v>33.4</v>
      </c>
      <c r="X933">
        <v>4</v>
      </c>
      <c r="Y933">
        <v>7</v>
      </c>
      <c r="Z933">
        <v>10</v>
      </c>
      <c r="AA933">
        <v>4.5999999999999996</v>
      </c>
      <c r="AB933">
        <v>1</v>
      </c>
      <c r="AC933">
        <v>249</v>
      </c>
      <c r="AD933">
        <v>8</v>
      </c>
      <c r="AE933">
        <v>7</v>
      </c>
      <c r="AF933">
        <v>199</v>
      </c>
      <c r="AG933">
        <v>145</v>
      </c>
      <c r="AH933">
        <v>147</v>
      </c>
      <c r="AI933">
        <v>38</v>
      </c>
      <c r="AJ933">
        <v>38</v>
      </c>
      <c r="AK933">
        <v>41</v>
      </c>
      <c r="AL933">
        <v>31</v>
      </c>
      <c r="AM933">
        <v>5</v>
      </c>
      <c r="AN933">
        <v>129</v>
      </c>
      <c r="AO933">
        <v>54</v>
      </c>
      <c r="AP933">
        <v>47</v>
      </c>
      <c r="AQ933">
        <v>73</v>
      </c>
      <c r="AR933">
        <v>1919</v>
      </c>
      <c r="AS933">
        <v>3288</v>
      </c>
      <c r="AT933" t="s">
        <v>7</v>
      </c>
      <c r="AU933">
        <v>0.69</v>
      </c>
      <c r="AV933">
        <v>2020</v>
      </c>
      <c r="AW933" s="1">
        <v>45680</v>
      </c>
      <c r="AX933">
        <v>31.1</v>
      </c>
      <c r="AY933" t="s">
        <v>10</v>
      </c>
      <c r="AZ933" t="s">
        <v>11</v>
      </c>
      <c r="BA933" t="s">
        <v>122</v>
      </c>
      <c r="BB933" t="s">
        <v>7</v>
      </c>
      <c r="BC933" t="s">
        <v>13</v>
      </c>
      <c r="BD933">
        <v>5</v>
      </c>
      <c r="BE933" t="s">
        <v>49</v>
      </c>
      <c r="BF933">
        <v>0.98</v>
      </c>
    </row>
    <row r="934" spans="1:58" hidden="1" x14ac:dyDescent="0.2">
      <c r="A934">
        <v>933</v>
      </c>
      <c r="B934" t="s">
        <v>0</v>
      </c>
      <c r="C934">
        <v>17</v>
      </c>
      <c r="D934" t="s">
        <v>1</v>
      </c>
      <c r="E934" t="s">
        <v>47</v>
      </c>
      <c r="F934" t="s">
        <v>15</v>
      </c>
      <c r="G934" t="s">
        <v>117</v>
      </c>
      <c r="H934" t="s">
        <v>34</v>
      </c>
      <c r="I934" t="s">
        <v>115</v>
      </c>
      <c r="J934" t="s">
        <v>6</v>
      </c>
      <c r="K934" t="s">
        <v>7</v>
      </c>
      <c r="L934">
        <v>1.4</v>
      </c>
      <c r="M934">
        <v>7</v>
      </c>
      <c r="N934" t="s">
        <v>120</v>
      </c>
      <c r="O934" t="s">
        <v>7</v>
      </c>
      <c r="P934" t="s">
        <v>121</v>
      </c>
      <c r="Q934">
        <v>4</v>
      </c>
      <c r="R934">
        <v>8</v>
      </c>
      <c r="S934">
        <v>20.7</v>
      </c>
      <c r="T934">
        <v>149</v>
      </c>
      <c r="U934">
        <v>73</v>
      </c>
      <c r="V934">
        <v>8109</v>
      </c>
      <c r="W934">
        <v>34.6</v>
      </c>
      <c r="X934">
        <v>2</v>
      </c>
      <c r="Y934">
        <v>2</v>
      </c>
      <c r="Z934">
        <v>9</v>
      </c>
      <c r="AA934">
        <v>1.4</v>
      </c>
      <c r="AB934">
        <v>3</v>
      </c>
      <c r="AC934">
        <v>22</v>
      </c>
      <c r="AD934">
        <v>1</v>
      </c>
      <c r="AE934">
        <v>6</v>
      </c>
      <c r="AF934">
        <v>118</v>
      </c>
      <c r="AG934">
        <v>40</v>
      </c>
      <c r="AH934">
        <v>45</v>
      </c>
      <c r="AI934">
        <v>10</v>
      </c>
      <c r="AJ934">
        <v>11</v>
      </c>
      <c r="AK934">
        <v>15</v>
      </c>
      <c r="AL934">
        <v>7</v>
      </c>
      <c r="AM934">
        <v>2</v>
      </c>
      <c r="AN934">
        <v>11</v>
      </c>
      <c r="AO934">
        <v>4</v>
      </c>
      <c r="AP934">
        <v>3</v>
      </c>
      <c r="AQ934">
        <v>5</v>
      </c>
      <c r="AR934">
        <v>743</v>
      </c>
      <c r="AS934">
        <v>573</v>
      </c>
      <c r="AT934" t="s">
        <v>7</v>
      </c>
      <c r="AU934">
        <v>0.04</v>
      </c>
      <c r="AV934">
        <v>2014</v>
      </c>
      <c r="AW934" s="1">
        <v>45775</v>
      </c>
      <c r="AX934">
        <v>22</v>
      </c>
      <c r="AY934" t="s">
        <v>19</v>
      </c>
      <c r="AZ934" t="s">
        <v>37</v>
      </c>
      <c r="BA934" t="s">
        <v>122</v>
      </c>
      <c r="BB934" t="s">
        <v>7</v>
      </c>
      <c r="BC934" t="s">
        <v>13</v>
      </c>
      <c r="BD934">
        <v>1</v>
      </c>
      <c r="BE934" t="s">
        <v>14</v>
      </c>
      <c r="BF934">
        <v>3.61</v>
      </c>
    </row>
    <row r="935" spans="1:58" hidden="1" x14ac:dyDescent="0.2">
      <c r="A935">
        <v>934</v>
      </c>
      <c r="B935" t="s">
        <v>0</v>
      </c>
      <c r="C935">
        <v>46</v>
      </c>
      <c r="D935" t="s">
        <v>28</v>
      </c>
      <c r="E935" t="s">
        <v>2</v>
      </c>
      <c r="F935" t="s">
        <v>15</v>
      </c>
      <c r="G935" t="s">
        <v>117</v>
      </c>
      <c r="H935" t="s">
        <v>23</v>
      </c>
      <c r="I935" t="s">
        <v>112</v>
      </c>
      <c r="J935" t="s">
        <v>6</v>
      </c>
      <c r="K935" t="s">
        <v>13</v>
      </c>
      <c r="L935">
        <v>9.6999999999999993</v>
      </c>
      <c r="M935">
        <v>6.1</v>
      </c>
      <c r="N935" t="s">
        <v>8</v>
      </c>
      <c r="O935" t="s">
        <v>7</v>
      </c>
      <c r="P935" t="s">
        <v>26</v>
      </c>
      <c r="Q935">
        <v>20</v>
      </c>
      <c r="R935">
        <v>1</v>
      </c>
      <c r="S935">
        <v>25.1</v>
      </c>
      <c r="T935">
        <v>143</v>
      </c>
      <c r="U935">
        <v>64</v>
      </c>
      <c r="V935">
        <v>8139</v>
      </c>
      <c r="W935">
        <v>50.1</v>
      </c>
      <c r="X935">
        <v>6</v>
      </c>
      <c r="Y935">
        <v>3</v>
      </c>
      <c r="Z935">
        <v>10</v>
      </c>
      <c r="AA935">
        <v>8.6</v>
      </c>
      <c r="AB935">
        <v>3</v>
      </c>
      <c r="AC935">
        <v>246</v>
      </c>
      <c r="AD935">
        <v>10</v>
      </c>
      <c r="AE935">
        <v>8</v>
      </c>
      <c r="AF935">
        <v>191</v>
      </c>
      <c r="AG935">
        <v>131</v>
      </c>
      <c r="AH935">
        <v>148</v>
      </c>
      <c r="AI935">
        <v>43</v>
      </c>
      <c r="AJ935">
        <v>34</v>
      </c>
      <c r="AK935">
        <v>37</v>
      </c>
      <c r="AL935">
        <v>17</v>
      </c>
      <c r="AM935">
        <v>8</v>
      </c>
      <c r="AN935">
        <v>119</v>
      </c>
      <c r="AO935">
        <v>26</v>
      </c>
      <c r="AP935">
        <v>41</v>
      </c>
      <c r="AQ935">
        <v>55</v>
      </c>
      <c r="AR935">
        <v>1027</v>
      </c>
      <c r="AS935">
        <v>2151</v>
      </c>
      <c r="AT935" t="s">
        <v>7</v>
      </c>
      <c r="AU935">
        <v>0.47</v>
      </c>
      <c r="AV935">
        <v>2011</v>
      </c>
      <c r="AW935" s="1">
        <v>46008</v>
      </c>
      <c r="AX935">
        <v>24.6</v>
      </c>
      <c r="AY935" t="s">
        <v>36</v>
      </c>
      <c r="AZ935" t="s">
        <v>51</v>
      </c>
      <c r="BA935" t="s">
        <v>122</v>
      </c>
      <c r="BB935" t="s">
        <v>7</v>
      </c>
      <c r="BC935" t="s">
        <v>7</v>
      </c>
      <c r="BD935">
        <v>2</v>
      </c>
      <c r="BE935" t="s">
        <v>43</v>
      </c>
      <c r="BF935">
        <v>1.04</v>
      </c>
    </row>
    <row r="936" spans="1:58" hidden="1" x14ac:dyDescent="0.2">
      <c r="A936">
        <v>935</v>
      </c>
      <c r="B936" t="s">
        <v>0</v>
      </c>
      <c r="C936">
        <v>18</v>
      </c>
      <c r="D936" t="s">
        <v>1</v>
      </c>
      <c r="E936" t="s">
        <v>2</v>
      </c>
      <c r="F936" t="s">
        <v>15</v>
      </c>
      <c r="G936" t="s">
        <v>116</v>
      </c>
      <c r="H936" t="s">
        <v>119</v>
      </c>
      <c r="I936" t="s">
        <v>114</v>
      </c>
      <c r="J936" t="s">
        <v>123</v>
      </c>
      <c r="K936" t="s">
        <v>7</v>
      </c>
      <c r="L936">
        <v>3.3</v>
      </c>
      <c r="M936">
        <v>7.7</v>
      </c>
      <c r="N936" t="s">
        <v>8</v>
      </c>
      <c r="O936" t="s">
        <v>7</v>
      </c>
      <c r="P936" t="s">
        <v>9</v>
      </c>
      <c r="Q936">
        <v>19</v>
      </c>
      <c r="R936">
        <v>2</v>
      </c>
      <c r="S936">
        <v>29</v>
      </c>
      <c r="T936">
        <v>159</v>
      </c>
      <c r="U936">
        <v>92</v>
      </c>
      <c r="V936">
        <v>7969</v>
      </c>
      <c r="W936">
        <v>39.1</v>
      </c>
      <c r="X936">
        <v>2</v>
      </c>
      <c r="Y936">
        <v>4</v>
      </c>
      <c r="Z936">
        <v>14</v>
      </c>
      <c r="AA936">
        <v>2.7</v>
      </c>
      <c r="AB936">
        <v>3</v>
      </c>
      <c r="AC936">
        <v>235</v>
      </c>
      <c r="AD936">
        <v>15</v>
      </c>
      <c r="AE936">
        <v>12</v>
      </c>
      <c r="AF936">
        <v>256</v>
      </c>
      <c r="AG936">
        <v>129</v>
      </c>
      <c r="AH936">
        <v>132</v>
      </c>
      <c r="AI936">
        <v>45</v>
      </c>
      <c r="AJ936">
        <v>33</v>
      </c>
      <c r="AK936">
        <v>37</v>
      </c>
      <c r="AL936">
        <v>20</v>
      </c>
      <c r="AM936">
        <v>4</v>
      </c>
      <c r="AN936">
        <v>96</v>
      </c>
      <c r="AO936">
        <v>63</v>
      </c>
      <c r="AP936">
        <v>52</v>
      </c>
      <c r="AQ936">
        <v>73</v>
      </c>
      <c r="AR936">
        <v>630</v>
      </c>
      <c r="AS936">
        <v>1456</v>
      </c>
      <c r="AT936" t="s">
        <v>7</v>
      </c>
      <c r="AU936">
        <v>0.01</v>
      </c>
      <c r="AV936">
        <v>2022</v>
      </c>
      <c r="AW936" s="1">
        <v>45813</v>
      </c>
      <c r="AX936">
        <v>15.7</v>
      </c>
      <c r="AY936" t="s">
        <v>30</v>
      </c>
      <c r="AZ936" t="s">
        <v>48</v>
      </c>
      <c r="BA936" t="s">
        <v>122</v>
      </c>
      <c r="BB936" t="s">
        <v>7</v>
      </c>
      <c r="BC936" t="s">
        <v>7</v>
      </c>
      <c r="BD936">
        <v>1</v>
      </c>
      <c r="BE936" t="s">
        <v>14</v>
      </c>
      <c r="BF936">
        <v>1.0900000000000001</v>
      </c>
    </row>
    <row r="937" spans="1:58" hidden="1" x14ac:dyDescent="0.2">
      <c r="A937">
        <v>936</v>
      </c>
      <c r="B937" t="s">
        <v>0</v>
      </c>
      <c r="C937">
        <v>65</v>
      </c>
      <c r="D937" t="s">
        <v>28</v>
      </c>
      <c r="E937" t="s">
        <v>47</v>
      </c>
      <c r="F937" t="s">
        <v>40</v>
      </c>
      <c r="G937" t="s">
        <v>116</v>
      </c>
      <c r="H937" t="s">
        <v>119</v>
      </c>
      <c r="I937" t="s">
        <v>112</v>
      </c>
      <c r="J937" t="s">
        <v>18</v>
      </c>
      <c r="K937" t="s">
        <v>13</v>
      </c>
      <c r="L937">
        <v>12.1</v>
      </c>
      <c r="M937">
        <v>8.6</v>
      </c>
      <c r="N937" t="s">
        <v>25</v>
      </c>
      <c r="O937" t="s">
        <v>7</v>
      </c>
      <c r="P937" t="s">
        <v>9</v>
      </c>
      <c r="Q937">
        <v>15</v>
      </c>
      <c r="R937">
        <v>4</v>
      </c>
      <c r="S937">
        <v>28.3</v>
      </c>
      <c r="T937">
        <v>127</v>
      </c>
      <c r="U937">
        <v>67</v>
      </c>
      <c r="V937">
        <v>7847</v>
      </c>
      <c r="W937">
        <v>50.1</v>
      </c>
      <c r="X937">
        <v>5</v>
      </c>
      <c r="Y937">
        <v>7</v>
      </c>
      <c r="Z937">
        <v>13</v>
      </c>
      <c r="AA937">
        <v>4.5</v>
      </c>
      <c r="AB937">
        <v>4</v>
      </c>
      <c r="AC937">
        <v>149</v>
      </c>
      <c r="AD937">
        <v>4</v>
      </c>
      <c r="AE937">
        <v>4</v>
      </c>
      <c r="AF937">
        <v>137</v>
      </c>
      <c r="AG937">
        <v>86</v>
      </c>
      <c r="AH937">
        <v>99</v>
      </c>
      <c r="AI937">
        <v>31</v>
      </c>
      <c r="AJ937">
        <v>25</v>
      </c>
      <c r="AK937">
        <v>33</v>
      </c>
      <c r="AL937">
        <v>16</v>
      </c>
      <c r="AM937">
        <v>1</v>
      </c>
      <c r="AN937">
        <v>60</v>
      </c>
      <c r="AO937">
        <v>29</v>
      </c>
      <c r="AP937">
        <v>32</v>
      </c>
      <c r="AQ937">
        <v>55</v>
      </c>
      <c r="AR937">
        <v>936</v>
      </c>
      <c r="AS937">
        <v>711</v>
      </c>
      <c r="AT937" t="s">
        <v>13</v>
      </c>
      <c r="AU937">
        <v>0.43</v>
      </c>
      <c r="AV937">
        <v>2017</v>
      </c>
      <c r="AW937" s="1">
        <v>45717</v>
      </c>
      <c r="AX937">
        <v>37.200000000000003</v>
      </c>
      <c r="AY937" t="s">
        <v>36</v>
      </c>
      <c r="AZ937" t="s">
        <v>31</v>
      </c>
      <c r="BA937" t="s">
        <v>12</v>
      </c>
      <c r="BB937" t="s">
        <v>7</v>
      </c>
      <c r="BC937" t="s">
        <v>13</v>
      </c>
      <c r="BD937">
        <v>3</v>
      </c>
      <c r="BE937" t="s">
        <v>14</v>
      </c>
      <c r="BF937">
        <v>1.1499999999999999</v>
      </c>
    </row>
    <row r="938" spans="1:58" hidden="1" x14ac:dyDescent="0.2">
      <c r="A938">
        <v>937</v>
      </c>
      <c r="B938" t="s">
        <v>0</v>
      </c>
      <c r="C938">
        <v>14</v>
      </c>
      <c r="D938" t="s">
        <v>28</v>
      </c>
      <c r="E938" t="s">
        <v>128</v>
      </c>
      <c r="F938" t="s">
        <v>15</v>
      </c>
      <c r="G938" t="s">
        <v>117</v>
      </c>
      <c r="H938" t="s">
        <v>118</v>
      </c>
      <c r="I938" t="s">
        <v>112</v>
      </c>
      <c r="J938" t="s">
        <v>6</v>
      </c>
      <c r="K938" t="s">
        <v>13</v>
      </c>
      <c r="L938">
        <v>8.6999999999999993</v>
      </c>
      <c r="M938">
        <v>7.8</v>
      </c>
      <c r="N938" t="s">
        <v>25</v>
      </c>
      <c r="O938" t="s">
        <v>13</v>
      </c>
      <c r="P938" t="s">
        <v>46</v>
      </c>
      <c r="Q938">
        <v>5</v>
      </c>
      <c r="R938">
        <v>1</v>
      </c>
      <c r="S938">
        <v>28.6</v>
      </c>
      <c r="T938">
        <v>123</v>
      </c>
      <c r="U938">
        <v>69</v>
      </c>
      <c r="V938">
        <v>8114</v>
      </c>
      <c r="W938">
        <v>31.1</v>
      </c>
      <c r="X938">
        <v>1</v>
      </c>
      <c r="Y938">
        <v>2</v>
      </c>
      <c r="Z938">
        <v>7</v>
      </c>
      <c r="AA938">
        <v>5.7</v>
      </c>
      <c r="AB938">
        <v>2</v>
      </c>
      <c r="AC938">
        <v>148</v>
      </c>
      <c r="AD938">
        <v>5</v>
      </c>
      <c r="AE938">
        <v>5</v>
      </c>
      <c r="AF938">
        <v>226</v>
      </c>
      <c r="AG938">
        <v>104</v>
      </c>
      <c r="AH938">
        <v>110</v>
      </c>
      <c r="AI938">
        <v>29</v>
      </c>
      <c r="AJ938">
        <v>22</v>
      </c>
      <c r="AK938">
        <v>30</v>
      </c>
      <c r="AL938">
        <v>17</v>
      </c>
      <c r="AM938">
        <v>4</v>
      </c>
      <c r="AN938">
        <v>72</v>
      </c>
      <c r="AO938">
        <v>29</v>
      </c>
      <c r="AP938">
        <v>21</v>
      </c>
      <c r="AQ938">
        <v>31</v>
      </c>
      <c r="AR938">
        <v>417</v>
      </c>
      <c r="AS938">
        <v>194</v>
      </c>
      <c r="AT938" t="s">
        <v>7</v>
      </c>
      <c r="AU938">
        <v>0.52</v>
      </c>
      <c r="AV938">
        <v>2014</v>
      </c>
      <c r="AW938" s="1">
        <v>45731</v>
      </c>
      <c r="AX938">
        <v>29.6</v>
      </c>
      <c r="AY938" t="s">
        <v>45</v>
      </c>
      <c r="AZ938" t="s">
        <v>48</v>
      </c>
      <c r="BA938" t="s">
        <v>21</v>
      </c>
      <c r="BB938" t="s">
        <v>13</v>
      </c>
      <c r="BC938" t="s">
        <v>7</v>
      </c>
      <c r="BD938">
        <v>1</v>
      </c>
      <c r="BE938" t="s">
        <v>14</v>
      </c>
      <c r="BF938">
        <v>1.23</v>
      </c>
    </row>
    <row r="939" spans="1:58" hidden="1" x14ac:dyDescent="0.2">
      <c r="A939">
        <v>938</v>
      </c>
      <c r="B939" t="s">
        <v>0</v>
      </c>
      <c r="C939">
        <v>25</v>
      </c>
      <c r="D939" t="s">
        <v>1</v>
      </c>
      <c r="E939" t="s">
        <v>50</v>
      </c>
      <c r="F939" t="s">
        <v>15</v>
      </c>
      <c r="G939" t="s">
        <v>117</v>
      </c>
      <c r="H939" t="s">
        <v>23</v>
      </c>
      <c r="I939" t="s">
        <v>113</v>
      </c>
      <c r="J939" t="s">
        <v>32</v>
      </c>
      <c r="K939" t="s">
        <v>7</v>
      </c>
      <c r="L939">
        <v>6</v>
      </c>
      <c r="M939">
        <v>5.3</v>
      </c>
      <c r="N939" t="s">
        <v>8</v>
      </c>
      <c r="O939" t="s">
        <v>13</v>
      </c>
      <c r="P939" t="s">
        <v>26</v>
      </c>
      <c r="Q939">
        <v>23</v>
      </c>
      <c r="R939">
        <v>3</v>
      </c>
      <c r="S939">
        <v>25.1</v>
      </c>
      <c r="T939">
        <v>145</v>
      </c>
      <c r="U939">
        <v>65</v>
      </c>
      <c r="V939">
        <v>7974</v>
      </c>
      <c r="W939">
        <v>40.5</v>
      </c>
      <c r="X939">
        <v>4</v>
      </c>
      <c r="Y939">
        <v>5</v>
      </c>
      <c r="Z939">
        <v>8</v>
      </c>
      <c r="AA939">
        <v>6.5</v>
      </c>
      <c r="AB939">
        <v>3</v>
      </c>
      <c r="AC939">
        <v>321</v>
      </c>
      <c r="AD939">
        <v>14</v>
      </c>
      <c r="AE939">
        <v>9</v>
      </c>
      <c r="AF939">
        <v>300</v>
      </c>
      <c r="AG939">
        <v>150</v>
      </c>
      <c r="AH939">
        <v>184</v>
      </c>
      <c r="AI939">
        <v>65</v>
      </c>
      <c r="AJ939">
        <v>34</v>
      </c>
      <c r="AK939">
        <v>45</v>
      </c>
      <c r="AL939">
        <v>26</v>
      </c>
      <c r="AM939">
        <v>9</v>
      </c>
      <c r="AN939">
        <v>185</v>
      </c>
      <c r="AO939">
        <v>94</v>
      </c>
      <c r="AP939">
        <v>41</v>
      </c>
      <c r="AQ939">
        <v>106</v>
      </c>
      <c r="AR939">
        <v>1792</v>
      </c>
      <c r="AS939">
        <v>4052</v>
      </c>
      <c r="AT939" t="s">
        <v>7</v>
      </c>
      <c r="AU939">
        <v>0.81</v>
      </c>
      <c r="AV939">
        <v>2025</v>
      </c>
      <c r="AW939" s="1">
        <v>45939</v>
      </c>
      <c r="AX939">
        <v>22.9</v>
      </c>
      <c r="AY939" t="s">
        <v>45</v>
      </c>
      <c r="AZ939" t="s">
        <v>20</v>
      </c>
      <c r="BA939" t="s">
        <v>12</v>
      </c>
      <c r="BB939" t="s">
        <v>13</v>
      </c>
      <c r="BC939" t="s">
        <v>7</v>
      </c>
      <c r="BD939">
        <v>1</v>
      </c>
      <c r="BE939" t="s">
        <v>14</v>
      </c>
      <c r="BF939">
        <v>1.06</v>
      </c>
    </row>
    <row r="940" spans="1:58" hidden="1" x14ac:dyDescent="0.2">
      <c r="A940">
        <v>939</v>
      </c>
      <c r="B940" t="s">
        <v>0</v>
      </c>
      <c r="C940">
        <v>55</v>
      </c>
      <c r="D940" t="s">
        <v>28</v>
      </c>
      <c r="E940" t="s">
        <v>47</v>
      </c>
      <c r="F940" t="s">
        <v>3</v>
      </c>
      <c r="G940" t="s">
        <v>117</v>
      </c>
      <c r="H940" t="s">
        <v>118</v>
      </c>
      <c r="I940" t="s">
        <v>114</v>
      </c>
      <c r="J940" t="s">
        <v>123</v>
      </c>
      <c r="K940" t="s">
        <v>7</v>
      </c>
      <c r="L940">
        <v>7.2</v>
      </c>
      <c r="M940">
        <v>8</v>
      </c>
      <c r="N940" t="s">
        <v>25</v>
      </c>
      <c r="O940" t="s">
        <v>13</v>
      </c>
      <c r="P940" t="s">
        <v>121</v>
      </c>
      <c r="Q940">
        <v>20</v>
      </c>
      <c r="R940">
        <v>5</v>
      </c>
      <c r="S940">
        <v>29.6</v>
      </c>
      <c r="T940">
        <v>143</v>
      </c>
      <c r="U940">
        <v>74</v>
      </c>
      <c r="V940">
        <v>8072</v>
      </c>
      <c r="W940">
        <v>47.2</v>
      </c>
      <c r="X940">
        <v>2</v>
      </c>
      <c r="Y940">
        <v>5</v>
      </c>
      <c r="Z940">
        <v>10</v>
      </c>
      <c r="AA940">
        <v>5.2</v>
      </c>
      <c r="AB940">
        <v>2</v>
      </c>
      <c r="AC940">
        <v>151</v>
      </c>
      <c r="AD940">
        <v>6</v>
      </c>
      <c r="AE940">
        <v>0</v>
      </c>
      <c r="AF940">
        <v>123</v>
      </c>
      <c r="AG940">
        <v>96</v>
      </c>
      <c r="AH940">
        <v>103</v>
      </c>
      <c r="AI940">
        <v>26</v>
      </c>
      <c r="AJ940">
        <v>28</v>
      </c>
      <c r="AK940">
        <v>34</v>
      </c>
      <c r="AL940">
        <v>21</v>
      </c>
      <c r="AM940">
        <v>5</v>
      </c>
      <c r="AN940">
        <v>85</v>
      </c>
      <c r="AO940">
        <v>35</v>
      </c>
      <c r="AP940">
        <v>16</v>
      </c>
      <c r="AQ940">
        <v>32</v>
      </c>
      <c r="AR940">
        <v>1182</v>
      </c>
      <c r="AS940">
        <v>2631</v>
      </c>
      <c r="AT940" t="s">
        <v>7</v>
      </c>
      <c r="AU940">
        <v>0.02</v>
      </c>
      <c r="AV940">
        <v>2012</v>
      </c>
      <c r="AW940" s="1">
        <v>45877</v>
      </c>
      <c r="AX940">
        <v>25.2</v>
      </c>
      <c r="AY940" t="s">
        <v>19</v>
      </c>
      <c r="AZ940" t="s">
        <v>20</v>
      </c>
      <c r="BA940" t="s">
        <v>122</v>
      </c>
      <c r="BB940" t="s">
        <v>7</v>
      </c>
      <c r="BC940" t="s">
        <v>13</v>
      </c>
      <c r="BD940">
        <v>2</v>
      </c>
      <c r="BE940" t="s">
        <v>14</v>
      </c>
      <c r="BF940">
        <v>1.02</v>
      </c>
    </row>
    <row r="941" spans="1:58" hidden="1" x14ac:dyDescent="0.2">
      <c r="A941">
        <v>940</v>
      </c>
      <c r="B941" t="s">
        <v>0</v>
      </c>
      <c r="C941">
        <v>55</v>
      </c>
      <c r="D941" t="s">
        <v>1</v>
      </c>
      <c r="E941" t="s">
        <v>47</v>
      </c>
      <c r="F941" t="s">
        <v>40</v>
      </c>
      <c r="G941" t="s">
        <v>38</v>
      </c>
      <c r="H941" t="s">
        <v>23</v>
      </c>
      <c r="I941" t="s">
        <v>114</v>
      </c>
      <c r="J941" t="s">
        <v>32</v>
      </c>
      <c r="K941" t="s">
        <v>7</v>
      </c>
      <c r="L941">
        <v>5.0999999999999996</v>
      </c>
      <c r="M941">
        <v>6.3</v>
      </c>
      <c r="N941" t="s">
        <v>29</v>
      </c>
      <c r="O941" t="s">
        <v>7</v>
      </c>
      <c r="P941" t="s">
        <v>9</v>
      </c>
      <c r="Q941">
        <v>11</v>
      </c>
      <c r="R941">
        <v>2</v>
      </c>
      <c r="S941">
        <v>22.5</v>
      </c>
      <c r="T941">
        <v>94</v>
      </c>
      <c r="U941">
        <v>96</v>
      </c>
      <c r="V941">
        <v>7967</v>
      </c>
      <c r="W941">
        <v>51.4</v>
      </c>
      <c r="X941">
        <v>3</v>
      </c>
      <c r="Y941">
        <v>3</v>
      </c>
      <c r="Z941">
        <v>8</v>
      </c>
      <c r="AA941">
        <v>2</v>
      </c>
      <c r="AB941">
        <v>7</v>
      </c>
      <c r="AC941">
        <v>201</v>
      </c>
      <c r="AD941">
        <v>9</v>
      </c>
      <c r="AE941">
        <v>9</v>
      </c>
      <c r="AF941">
        <v>185</v>
      </c>
      <c r="AG941">
        <v>110</v>
      </c>
      <c r="AH941">
        <v>129</v>
      </c>
      <c r="AI941">
        <v>35</v>
      </c>
      <c r="AJ941">
        <v>32</v>
      </c>
      <c r="AK941">
        <v>38</v>
      </c>
      <c r="AL941">
        <v>21</v>
      </c>
      <c r="AM941">
        <v>6</v>
      </c>
      <c r="AN941">
        <v>98</v>
      </c>
      <c r="AO941">
        <v>59</v>
      </c>
      <c r="AP941">
        <v>43</v>
      </c>
      <c r="AQ941">
        <v>45</v>
      </c>
      <c r="AR941">
        <v>14966</v>
      </c>
      <c r="AS941">
        <v>10000</v>
      </c>
      <c r="AT941" t="s">
        <v>7</v>
      </c>
      <c r="AU941">
        <v>0.8</v>
      </c>
      <c r="AV941">
        <v>2013</v>
      </c>
      <c r="AW941" s="1">
        <v>45801</v>
      </c>
      <c r="AX941">
        <v>22.3</v>
      </c>
      <c r="AY941" t="s">
        <v>36</v>
      </c>
      <c r="AZ941" t="s">
        <v>31</v>
      </c>
      <c r="BA941" t="s">
        <v>21</v>
      </c>
      <c r="BB941" t="s">
        <v>13</v>
      </c>
      <c r="BC941" t="s">
        <v>13</v>
      </c>
      <c r="BD941">
        <v>3</v>
      </c>
      <c r="BE941" t="s">
        <v>14</v>
      </c>
      <c r="BF941">
        <v>1.1200000000000001</v>
      </c>
    </row>
    <row r="942" spans="1:58" hidden="1" x14ac:dyDescent="0.2">
      <c r="A942">
        <v>941</v>
      </c>
      <c r="B942" t="s">
        <v>0</v>
      </c>
      <c r="C942">
        <v>60</v>
      </c>
      <c r="D942" t="s">
        <v>28</v>
      </c>
      <c r="E942" t="s">
        <v>128</v>
      </c>
      <c r="F942" t="s">
        <v>40</v>
      </c>
      <c r="G942" t="s">
        <v>116</v>
      </c>
      <c r="H942" t="s">
        <v>118</v>
      </c>
      <c r="I942" t="s">
        <v>114</v>
      </c>
      <c r="J942" t="s">
        <v>6</v>
      </c>
      <c r="K942" t="s">
        <v>13</v>
      </c>
      <c r="L942">
        <v>11.6</v>
      </c>
      <c r="M942">
        <v>6</v>
      </c>
      <c r="N942" t="s">
        <v>8</v>
      </c>
      <c r="O942" t="s">
        <v>7</v>
      </c>
      <c r="P942" t="s">
        <v>52</v>
      </c>
      <c r="Q942">
        <v>25</v>
      </c>
      <c r="R942">
        <v>7</v>
      </c>
      <c r="S942">
        <v>25.2</v>
      </c>
      <c r="T942">
        <v>144</v>
      </c>
      <c r="U942">
        <v>99</v>
      </c>
      <c r="V942">
        <v>7961</v>
      </c>
      <c r="W942">
        <v>37.1</v>
      </c>
      <c r="X942">
        <v>3</v>
      </c>
      <c r="Y942">
        <v>3</v>
      </c>
      <c r="Z942">
        <v>7</v>
      </c>
      <c r="AA942">
        <v>5.0999999999999996</v>
      </c>
      <c r="AB942">
        <v>1</v>
      </c>
      <c r="AC942">
        <v>146</v>
      </c>
      <c r="AD942">
        <v>5</v>
      </c>
      <c r="AE942">
        <v>1</v>
      </c>
      <c r="AF942">
        <v>134</v>
      </c>
      <c r="AG942">
        <v>81</v>
      </c>
      <c r="AH942">
        <v>101</v>
      </c>
      <c r="AI942">
        <v>23</v>
      </c>
      <c r="AJ942">
        <v>21</v>
      </c>
      <c r="AK942">
        <v>27</v>
      </c>
      <c r="AL942">
        <v>21</v>
      </c>
      <c r="AM942">
        <v>5</v>
      </c>
      <c r="AN942">
        <v>66</v>
      </c>
      <c r="AO942">
        <v>41</v>
      </c>
      <c r="AP942">
        <v>15</v>
      </c>
      <c r="AQ942">
        <v>40</v>
      </c>
      <c r="AR942">
        <v>1191</v>
      </c>
      <c r="AS942">
        <v>1641</v>
      </c>
      <c r="AT942" t="s">
        <v>7</v>
      </c>
      <c r="AU942">
        <v>0.09</v>
      </c>
      <c r="AV942">
        <v>2015</v>
      </c>
      <c r="AW942" s="1">
        <v>45761</v>
      </c>
      <c r="AX942">
        <v>29.2</v>
      </c>
      <c r="AY942" t="s">
        <v>27</v>
      </c>
      <c r="AZ942" t="s">
        <v>17</v>
      </c>
      <c r="BA942" t="s">
        <v>12</v>
      </c>
      <c r="BB942" t="s">
        <v>13</v>
      </c>
      <c r="BC942" t="s">
        <v>7</v>
      </c>
      <c r="BD942">
        <v>2</v>
      </c>
      <c r="BE942" t="s">
        <v>14</v>
      </c>
      <c r="BF942">
        <v>1.02</v>
      </c>
    </row>
    <row r="943" spans="1:58" hidden="1" x14ac:dyDescent="0.2">
      <c r="A943">
        <v>942</v>
      </c>
      <c r="B943" t="s">
        <v>0</v>
      </c>
      <c r="C943">
        <v>23</v>
      </c>
      <c r="D943" t="s">
        <v>1</v>
      </c>
      <c r="E943" t="s">
        <v>128</v>
      </c>
      <c r="F943" t="s">
        <v>15</v>
      </c>
      <c r="G943" t="s">
        <v>116</v>
      </c>
      <c r="H943" t="s">
        <v>118</v>
      </c>
      <c r="I943" t="s">
        <v>113</v>
      </c>
      <c r="J943" t="s">
        <v>6</v>
      </c>
      <c r="K943" t="s">
        <v>7</v>
      </c>
      <c r="L943">
        <v>7.4</v>
      </c>
      <c r="M943">
        <v>7.6</v>
      </c>
      <c r="N943" t="s">
        <v>39</v>
      </c>
      <c r="O943" t="s">
        <v>7</v>
      </c>
      <c r="P943" t="s">
        <v>26</v>
      </c>
      <c r="Q943">
        <v>34</v>
      </c>
      <c r="R943">
        <v>9</v>
      </c>
      <c r="S943">
        <v>19.600000000000001</v>
      </c>
      <c r="T943">
        <v>149</v>
      </c>
      <c r="U943">
        <v>68</v>
      </c>
      <c r="V943">
        <v>7958</v>
      </c>
      <c r="W943">
        <v>48.7</v>
      </c>
      <c r="X943">
        <v>4</v>
      </c>
      <c r="Y943">
        <v>2</v>
      </c>
      <c r="Z943">
        <v>6</v>
      </c>
      <c r="AA943">
        <v>4.7</v>
      </c>
      <c r="AB943">
        <v>2</v>
      </c>
      <c r="AC943">
        <v>282</v>
      </c>
      <c r="AD943">
        <v>15</v>
      </c>
      <c r="AE943">
        <v>14</v>
      </c>
      <c r="AF943">
        <v>285</v>
      </c>
      <c r="AG943">
        <v>128</v>
      </c>
      <c r="AH943">
        <v>183</v>
      </c>
      <c r="AI943">
        <v>50</v>
      </c>
      <c r="AJ943">
        <v>46</v>
      </c>
      <c r="AK943">
        <v>42</v>
      </c>
      <c r="AL943">
        <v>30</v>
      </c>
      <c r="AM943">
        <v>9</v>
      </c>
      <c r="AN943">
        <v>168</v>
      </c>
      <c r="AO943">
        <v>37</v>
      </c>
      <c r="AP943">
        <v>53</v>
      </c>
      <c r="AQ943">
        <v>74</v>
      </c>
      <c r="AR943">
        <v>6816</v>
      </c>
      <c r="AS943">
        <v>9352</v>
      </c>
      <c r="AT943" t="s">
        <v>13</v>
      </c>
      <c r="AU943">
        <v>0.7</v>
      </c>
      <c r="AV943">
        <v>2013</v>
      </c>
      <c r="AW943" s="1">
        <v>45867</v>
      </c>
      <c r="AX943">
        <v>18.8</v>
      </c>
      <c r="AY943" t="s">
        <v>45</v>
      </c>
      <c r="AZ943" t="s">
        <v>20</v>
      </c>
      <c r="BA943" t="s">
        <v>21</v>
      </c>
      <c r="BB943" t="s">
        <v>7</v>
      </c>
      <c r="BC943" t="s">
        <v>13</v>
      </c>
      <c r="BD943">
        <v>1</v>
      </c>
      <c r="BE943" t="s">
        <v>14</v>
      </c>
      <c r="BF943">
        <v>1.1499999999999999</v>
      </c>
    </row>
    <row r="944" spans="1:58" hidden="1" x14ac:dyDescent="0.2">
      <c r="A944">
        <v>943</v>
      </c>
      <c r="B944" t="s">
        <v>0</v>
      </c>
      <c r="C944">
        <v>63</v>
      </c>
      <c r="D944" t="s">
        <v>28</v>
      </c>
      <c r="E944" t="s">
        <v>126</v>
      </c>
      <c r="F944" t="s">
        <v>40</v>
      </c>
      <c r="G944" t="s">
        <v>116</v>
      </c>
      <c r="H944" t="s">
        <v>23</v>
      </c>
      <c r="I944" t="s">
        <v>17</v>
      </c>
      <c r="J944" t="s">
        <v>6</v>
      </c>
      <c r="K944" t="s">
        <v>7</v>
      </c>
      <c r="L944">
        <v>6.3</v>
      </c>
      <c r="M944">
        <v>6.8</v>
      </c>
      <c r="N944" t="s">
        <v>25</v>
      </c>
      <c r="O944" t="s">
        <v>7</v>
      </c>
      <c r="P944" t="s">
        <v>26</v>
      </c>
      <c r="Q944">
        <v>38</v>
      </c>
      <c r="R944">
        <v>7</v>
      </c>
      <c r="S944">
        <v>24.9</v>
      </c>
      <c r="T944">
        <v>157</v>
      </c>
      <c r="U944">
        <v>69</v>
      </c>
      <c r="V944">
        <v>8031</v>
      </c>
      <c r="W944">
        <v>29.8</v>
      </c>
      <c r="X944">
        <v>2</v>
      </c>
      <c r="Y944">
        <v>5</v>
      </c>
      <c r="Z944">
        <v>10</v>
      </c>
      <c r="AA944">
        <v>8.1999999999999993</v>
      </c>
      <c r="AB944">
        <v>5</v>
      </c>
      <c r="AC944">
        <v>298</v>
      </c>
      <c r="AD944">
        <v>12</v>
      </c>
      <c r="AE944">
        <v>6</v>
      </c>
      <c r="AF944">
        <v>228</v>
      </c>
      <c r="AG944">
        <v>139</v>
      </c>
      <c r="AH944">
        <v>182</v>
      </c>
      <c r="AI944">
        <v>44</v>
      </c>
      <c r="AJ944">
        <v>30</v>
      </c>
      <c r="AK944">
        <v>38</v>
      </c>
      <c r="AL944">
        <v>22</v>
      </c>
      <c r="AM944">
        <v>6</v>
      </c>
      <c r="AN944">
        <v>148</v>
      </c>
      <c r="AO944">
        <v>41</v>
      </c>
      <c r="AP944">
        <v>51</v>
      </c>
      <c r="AQ944">
        <v>90</v>
      </c>
      <c r="AR944">
        <v>1914</v>
      </c>
      <c r="AS944">
        <v>3310</v>
      </c>
      <c r="AT944" t="s">
        <v>7</v>
      </c>
      <c r="AU944">
        <v>0.87</v>
      </c>
      <c r="AV944">
        <v>2016</v>
      </c>
      <c r="AW944" s="1">
        <v>45753</v>
      </c>
      <c r="AX944">
        <v>24.8</v>
      </c>
      <c r="AY944" t="s">
        <v>36</v>
      </c>
      <c r="AZ944" t="s">
        <v>48</v>
      </c>
      <c r="BA944" t="s">
        <v>21</v>
      </c>
      <c r="BB944" t="s">
        <v>13</v>
      </c>
      <c r="BC944" t="s">
        <v>7</v>
      </c>
      <c r="BD944">
        <v>0</v>
      </c>
      <c r="BE944" t="s">
        <v>14</v>
      </c>
      <c r="BF944">
        <v>0.96</v>
      </c>
    </row>
    <row r="945" spans="1:58" hidden="1" x14ac:dyDescent="0.2">
      <c r="A945">
        <v>944</v>
      </c>
      <c r="B945" t="s">
        <v>0</v>
      </c>
      <c r="C945">
        <v>59</v>
      </c>
      <c r="D945" t="s">
        <v>1</v>
      </c>
      <c r="E945" t="s">
        <v>17</v>
      </c>
      <c r="F945" t="s">
        <v>40</v>
      </c>
      <c r="G945" t="s">
        <v>116</v>
      </c>
      <c r="H945" t="s">
        <v>34</v>
      </c>
      <c r="I945" t="s">
        <v>113</v>
      </c>
      <c r="J945" t="s">
        <v>32</v>
      </c>
      <c r="K945" t="s">
        <v>7</v>
      </c>
      <c r="L945">
        <v>6.4</v>
      </c>
      <c r="M945">
        <v>7.7</v>
      </c>
      <c r="N945" t="s">
        <v>29</v>
      </c>
      <c r="O945" t="s">
        <v>7</v>
      </c>
      <c r="P945" t="s">
        <v>26</v>
      </c>
      <c r="Q945">
        <v>39</v>
      </c>
      <c r="R945">
        <v>1</v>
      </c>
      <c r="S945">
        <v>21.6</v>
      </c>
      <c r="T945">
        <v>139</v>
      </c>
      <c r="U945">
        <v>78</v>
      </c>
      <c r="V945">
        <v>8008</v>
      </c>
      <c r="W945">
        <v>32.200000000000003</v>
      </c>
      <c r="X945">
        <v>3</v>
      </c>
      <c r="Y945">
        <v>2</v>
      </c>
      <c r="Z945">
        <v>7</v>
      </c>
      <c r="AA945">
        <v>6</v>
      </c>
      <c r="AB945">
        <v>4</v>
      </c>
      <c r="AC945">
        <v>400</v>
      </c>
      <c r="AD945">
        <v>31</v>
      </c>
      <c r="AE945">
        <v>8</v>
      </c>
      <c r="AF945">
        <v>262</v>
      </c>
      <c r="AG945">
        <v>150</v>
      </c>
      <c r="AH945">
        <v>209</v>
      </c>
      <c r="AI945">
        <v>70</v>
      </c>
      <c r="AJ945">
        <v>64</v>
      </c>
      <c r="AK945">
        <v>58</v>
      </c>
      <c r="AL945">
        <v>39</v>
      </c>
      <c r="AM945">
        <v>4</v>
      </c>
      <c r="AN945">
        <v>190</v>
      </c>
      <c r="AO945">
        <v>120</v>
      </c>
      <c r="AP945">
        <v>81</v>
      </c>
      <c r="AQ945">
        <v>127</v>
      </c>
      <c r="AR945">
        <v>218</v>
      </c>
      <c r="AS945">
        <v>383</v>
      </c>
      <c r="AT945" t="s">
        <v>7</v>
      </c>
      <c r="AU945">
        <v>0.01</v>
      </c>
      <c r="AV945">
        <v>2024</v>
      </c>
      <c r="AW945" s="1">
        <v>45963</v>
      </c>
      <c r="AX945">
        <v>12.9</v>
      </c>
      <c r="AY945" t="s">
        <v>19</v>
      </c>
      <c r="AZ945" t="s">
        <v>48</v>
      </c>
      <c r="BA945" t="s">
        <v>21</v>
      </c>
      <c r="BB945" t="s">
        <v>13</v>
      </c>
      <c r="BC945" t="s">
        <v>7</v>
      </c>
      <c r="BD945">
        <v>3</v>
      </c>
      <c r="BE945" t="s">
        <v>43</v>
      </c>
      <c r="BF945">
        <v>0.93</v>
      </c>
    </row>
    <row r="946" spans="1:58" hidden="1" x14ac:dyDescent="0.2">
      <c r="A946">
        <v>945</v>
      </c>
      <c r="B946" t="s">
        <v>0</v>
      </c>
      <c r="C946">
        <v>35</v>
      </c>
      <c r="D946" t="s">
        <v>28</v>
      </c>
      <c r="E946" t="s">
        <v>126</v>
      </c>
      <c r="F946" t="s">
        <v>40</v>
      </c>
      <c r="G946" t="s">
        <v>16</v>
      </c>
      <c r="H946" t="s">
        <v>34</v>
      </c>
      <c r="I946" t="s">
        <v>113</v>
      </c>
      <c r="J946" t="s">
        <v>123</v>
      </c>
      <c r="K946" t="s">
        <v>7</v>
      </c>
      <c r="L946">
        <v>11.6</v>
      </c>
      <c r="M946">
        <v>5.8</v>
      </c>
      <c r="N946" t="s">
        <v>8</v>
      </c>
      <c r="O946" t="s">
        <v>13</v>
      </c>
      <c r="P946" t="s">
        <v>46</v>
      </c>
      <c r="Q946">
        <v>14</v>
      </c>
      <c r="R946">
        <v>6</v>
      </c>
      <c r="S946">
        <v>29.5</v>
      </c>
      <c r="T946">
        <v>134</v>
      </c>
      <c r="U946">
        <v>84</v>
      </c>
      <c r="V946">
        <v>7988</v>
      </c>
      <c r="W946">
        <v>37.5</v>
      </c>
      <c r="X946">
        <v>1</v>
      </c>
      <c r="Y946">
        <v>10</v>
      </c>
      <c r="Z946">
        <v>7</v>
      </c>
      <c r="AA946">
        <v>1.2</v>
      </c>
      <c r="AB946">
        <v>4</v>
      </c>
      <c r="AC946">
        <v>244</v>
      </c>
      <c r="AD946">
        <v>9</v>
      </c>
      <c r="AE946">
        <v>8</v>
      </c>
      <c r="AF946">
        <v>170</v>
      </c>
      <c r="AG946">
        <v>129</v>
      </c>
      <c r="AH946">
        <v>154</v>
      </c>
      <c r="AI946">
        <v>55</v>
      </c>
      <c r="AJ946">
        <v>34</v>
      </c>
      <c r="AK946">
        <v>37</v>
      </c>
      <c r="AL946">
        <v>18</v>
      </c>
      <c r="AM946">
        <v>10</v>
      </c>
      <c r="AN946">
        <v>111</v>
      </c>
      <c r="AO946">
        <v>70</v>
      </c>
      <c r="AP946">
        <v>49</v>
      </c>
      <c r="AQ946">
        <v>69</v>
      </c>
      <c r="AR946">
        <v>1610</v>
      </c>
      <c r="AS946">
        <v>2166</v>
      </c>
      <c r="AT946" t="s">
        <v>7</v>
      </c>
      <c r="AU946">
        <v>0.13</v>
      </c>
      <c r="AV946">
        <v>2024</v>
      </c>
      <c r="AW946" s="1">
        <v>45874</v>
      </c>
      <c r="AX946">
        <v>27.1</v>
      </c>
      <c r="AY946" t="s">
        <v>30</v>
      </c>
      <c r="AZ946" t="s">
        <v>51</v>
      </c>
      <c r="BA946" t="s">
        <v>21</v>
      </c>
      <c r="BB946" t="s">
        <v>13</v>
      </c>
      <c r="BC946" t="s">
        <v>7</v>
      </c>
      <c r="BD946">
        <v>2</v>
      </c>
      <c r="BE946" t="s">
        <v>14</v>
      </c>
      <c r="BF946">
        <v>1.18</v>
      </c>
    </row>
    <row r="947" spans="1:58" hidden="1" x14ac:dyDescent="0.2">
      <c r="A947">
        <v>946</v>
      </c>
      <c r="B947" t="s">
        <v>0</v>
      </c>
      <c r="C947">
        <v>28</v>
      </c>
      <c r="D947" t="s">
        <v>1</v>
      </c>
      <c r="E947" t="s">
        <v>128</v>
      </c>
      <c r="F947" t="s">
        <v>15</v>
      </c>
      <c r="G947" t="s">
        <v>4</v>
      </c>
      <c r="H947" t="s">
        <v>118</v>
      </c>
      <c r="I947" t="s">
        <v>113</v>
      </c>
      <c r="J947" t="s">
        <v>32</v>
      </c>
      <c r="K947" t="s">
        <v>7</v>
      </c>
      <c r="L947">
        <v>5.9</v>
      </c>
      <c r="M947">
        <v>6.4</v>
      </c>
      <c r="N947" t="s">
        <v>25</v>
      </c>
      <c r="O947" t="s">
        <v>7</v>
      </c>
      <c r="P947" t="s">
        <v>26</v>
      </c>
      <c r="Q947">
        <v>16</v>
      </c>
      <c r="R947">
        <v>8</v>
      </c>
      <c r="S947">
        <v>29.6</v>
      </c>
      <c r="T947">
        <v>113</v>
      </c>
      <c r="U947">
        <v>96</v>
      </c>
      <c r="V947">
        <v>7930</v>
      </c>
      <c r="W947">
        <v>48.1</v>
      </c>
      <c r="X947">
        <v>1</v>
      </c>
      <c r="Y947">
        <v>3</v>
      </c>
      <c r="Z947">
        <v>11</v>
      </c>
      <c r="AA947">
        <v>6.6</v>
      </c>
      <c r="AB947">
        <v>3</v>
      </c>
      <c r="AC947">
        <v>134</v>
      </c>
      <c r="AD947">
        <v>4</v>
      </c>
      <c r="AE947">
        <v>1</v>
      </c>
      <c r="AF947">
        <v>203</v>
      </c>
      <c r="AG947">
        <v>83</v>
      </c>
      <c r="AH947">
        <v>93</v>
      </c>
      <c r="AI947">
        <v>33</v>
      </c>
      <c r="AJ947">
        <v>30</v>
      </c>
      <c r="AK947">
        <v>22</v>
      </c>
      <c r="AL947">
        <v>9</v>
      </c>
      <c r="AM947">
        <v>4</v>
      </c>
      <c r="AN947">
        <v>77</v>
      </c>
      <c r="AO947">
        <v>20</v>
      </c>
      <c r="AP947">
        <v>21</v>
      </c>
      <c r="AQ947">
        <v>43</v>
      </c>
      <c r="AR947">
        <v>4331</v>
      </c>
      <c r="AS947">
        <v>1739</v>
      </c>
      <c r="AT947" t="s">
        <v>13</v>
      </c>
      <c r="AU947">
        <v>0.03</v>
      </c>
      <c r="AV947">
        <v>2024</v>
      </c>
      <c r="AW947" s="1">
        <v>45913</v>
      </c>
      <c r="AX947">
        <v>33.5</v>
      </c>
      <c r="AY947" t="s">
        <v>45</v>
      </c>
      <c r="AZ947" t="s">
        <v>17</v>
      </c>
      <c r="BA947" t="s">
        <v>21</v>
      </c>
      <c r="BB947" t="s">
        <v>7</v>
      </c>
      <c r="BC947" t="s">
        <v>7</v>
      </c>
      <c r="BD947">
        <v>3</v>
      </c>
      <c r="BE947" t="s">
        <v>14</v>
      </c>
      <c r="BF947">
        <v>1.2</v>
      </c>
    </row>
    <row r="948" spans="1:58" hidden="1" x14ac:dyDescent="0.2">
      <c r="A948">
        <v>947</v>
      </c>
      <c r="B948" t="s">
        <v>0</v>
      </c>
      <c r="C948">
        <v>43</v>
      </c>
      <c r="D948" t="s">
        <v>28</v>
      </c>
      <c r="E948" t="s">
        <v>42</v>
      </c>
      <c r="F948" t="s">
        <v>40</v>
      </c>
      <c r="G948" t="s">
        <v>16</v>
      </c>
      <c r="H948" t="s">
        <v>24</v>
      </c>
      <c r="I948" t="s">
        <v>112</v>
      </c>
      <c r="J948" t="s">
        <v>6</v>
      </c>
      <c r="K948" t="s">
        <v>7</v>
      </c>
      <c r="L948">
        <v>5.3</v>
      </c>
      <c r="M948">
        <v>7.6</v>
      </c>
      <c r="N948" t="s">
        <v>8</v>
      </c>
      <c r="O948" t="s">
        <v>7</v>
      </c>
      <c r="P948" t="s">
        <v>46</v>
      </c>
      <c r="Q948">
        <v>12</v>
      </c>
      <c r="R948">
        <v>10</v>
      </c>
      <c r="S948">
        <v>21.3</v>
      </c>
      <c r="T948">
        <v>104</v>
      </c>
      <c r="U948">
        <v>63</v>
      </c>
      <c r="V948">
        <v>8046</v>
      </c>
      <c r="W948">
        <v>29.5</v>
      </c>
      <c r="X948">
        <v>3</v>
      </c>
      <c r="Y948">
        <v>6</v>
      </c>
      <c r="Z948">
        <v>7</v>
      </c>
      <c r="AA948">
        <v>5.7</v>
      </c>
      <c r="AB948">
        <v>4</v>
      </c>
      <c r="AC948">
        <v>16</v>
      </c>
      <c r="AD948">
        <v>1</v>
      </c>
      <c r="AE948">
        <v>1</v>
      </c>
      <c r="AF948">
        <v>49</v>
      </c>
      <c r="AG948">
        <v>45</v>
      </c>
      <c r="AH948">
        <v>28</v>
      </c>
      <c r="AI948">
        <v>8</v>
      </c>
      <c r="AJ948">
        <v>11</v>
      </c>
      <c r="AK948">
        <v>9</v>
      </c>
      <c r="AL948">
        <v>9</v>
      </c>
      <c r="AM948">
        <v>3</v>
      </c>
      <c r="AN948">
        <v>9</v>
      </c>
      <c r="AO948">
        <v>2</v>
      </c>
      <c r="AP948">
        <v>2</v>
      </c>
      <c r="AQ948">
        <v>5</v>
      </c>
      <c r="AR948">
        <v>2660</v>
      </c>
      <c r="AS948">
        <v>4980</v>
      </c>
      <c r="AT948" t="s">
        <v>7</v>
      </c>
      <c r="AU948">
        <v>0.81</v>
      </c>
      <c r="AV948">
        <v>2016</v>
      </c>
      <c r="AW948" s="1">
        <v>45789</v>
      </c>
      <c r="AX948">
        <v>16</v>
      </c>
      <c r="AY948" t="s">
        <v>27</v>
      </c>
      <c r="AZ948" t="s">
        <v>35</v>
      </c>
      <c r="BA948" t="s">
        <v>21</v>
      </c>
      <c r="BB948" t="s">
        <v>7</v>
      </c>
      <c r="BC948" t="s">
        <v>7</v>
      </c>
      <c r="BD948">
        <v>4</v>
      </c>
      <c r="BE948" t="s">
        <v>43</v>
      </c>
      <c r="BF948">
        <v>2.76</v>
      </c>
    </row>
    <row r="949" spans="1:58" hidden="1" x14ac:dyDescent="0.2">
      <c r="A949">
        <v>948</v>
      </c>
      <c r="B949" t="s">
        <v>0</v>
      </c>
      <c r="C949">
        <v>23</v>
      </c>
      <c r="D949" t="s">
        <v>1</v>
      </c>
      <c r="E949" t="s">
        <v>17</v>
      </c>
      <c r="F949" t="s">
        <v>40</v>
      </c>
      <c r="G949" t="s">
        <v>16</v>
      </c>
      <c r="H949" t="s">
        <v>118</v>
      </c>
      <c r="I949" t="s">
        <v>115</v>
      </c>
      <c r="J949" t="s">
        <v>6</v>
      </c>
      <c r="K949" t="s">
        <v>7</v>
      </c>
      <c r="L949">
        <v>6.7</v>
      </c>
      <c r="M949">
        <v>7.2</v>
      </c>
      <c r="N949" t="s">
        <v>29</v>
      </c>
      <c r="O949" t="s">
        <v>13</v>
      </c>
      <c r="P949" t="s">
        <v>46</v>
      </c>
      <c r="Q949">
        <v>8</v>
      </c>
      <c r="R949">
        <v>3</v>
      </c>
      <c r="S949">
        <v>25.3</v>
      </c>
      <c r="T949">
        <v>158</v>
      </c>
      <c r="U949">
        <v>98</v>
      </c>
      <c r="V949">
        <v>7880</v>
      </c>
      <c r="W949">
        <v>38.700000000000003</v>
      </c>
      <c r="X949">
        <v>5</v>
      </c>
      <c r="Y949">
        <v>2</v>
      </c>
      <c r="Z949">
        <v>10</v>
      </c>
      <c r="AA949">
        <v>9.1999999999999993</v>
      </c>
      <c r="AB949">
        <v>3</v>
      </c>
      <c r="AC949">
        <v>71</v>
      </c>
      <c r="AD949">
        <v>2</v>
      </c>
      <c r="AE949">
        <v>6</v>
      </c>
      <c r="AF949">
        <v>168</v>
      </c>
      <c r="AG949">
        <v>62</v>
      </c>
      <c r="AH949">
        <v>53</v>
      </c>
      <c r="AI949">
        <v>20</v>
      </c>
      <c r="AJ949">
        <v>17</v>
      </c>
      <c r="AK949">
        <v>18</v>
      </c>
      <c r="AL949">
        <v>12</v>
      </c>
      <c r="AM949">
        <v>1</v>
      </c>
      <c r="AN949">
        <v>37</v>
      </c>
      <c r="AO949">
        <v>20</v>
      </c>
      <c r="AP949">
        <v>14</v>
      </c>
      <c r="AQ949">
        <v>24</v>
      </c>
      <c r="AR949">
        <v>1276</v>
      </c>
      <c r="AS949">
        <v>2729</v>
      </c>
      <c r="AT949" t="s">
        <v>7</v>
      </c>
      <c r="AU949">
        <v>0.34</v>
      </c>
      <c r="AV949">
        <v>2022</v>
      </c>
      <c r="AW949" s="1">
        <v>45761</v>
      </c>
      <c r="AX949">
        <v>35.5</v>
      </c>
      <c r="AY949" t="s">
        <v>30</v>
      </c>
      <c r="AZ949" t="s">
        <v>17</v>
      </c>
      <c r="BA949" t="s">
        <v>122</v>
      </c>
      <c r="BB949" t="s">
        <v>7</v>
      </c>
      <c r="BC949" t="s">
        <v>7</v>
      </c>
      <c r="BD949">
        <v>5</v>
      </c>
      <c r="BE949" t="s">
        <v>43</v>
      </c>
      <c r="BF949">
        <v>1.54</v>
      </c>
    </row>
    <row r="950" spans="1:58" hidden="1" x14ac:dyDescent="0.2">
      <c r="A950">
        <v>949</v>
      </c>
      <c r="B950" t="s">
        <v>0</v>
      </c>
      <c r="C950">
        <v>28</v>
      </c>
      <c r="D950" t="s">
        <v>28</v>
      </c>
      <c r="E950" t="s">
        <v>128</v>
      </c>
      <c r="F950" t="s">
        <v>15</v>
      </c>
      <c r="G950" t="s">
        <v>116</v>
      </c>
      <c r="H950" t="s">
        <v>23</v>
      </c>
      <c r="I950" t="s">
        <v>112</v>
      </c>
      <c r="J950" t="s">
        <v>6</v>
      </c>
      <c r="K950" t="s">
        <v>13</v>
      </c>
      <c r="L950">
        <v>3</v>
      </c>
      <c r="M950">
        <v>6.7</v>
      </c>
      <c r="N950" t="s">
        <v>39</v>
      </c>
      <c r="O950" t="s">
        <v>7</v>
      </c>
      <c r="P950" t="s">
        <v>46</v>
      </c>
      <c r="Q950">
        <v>13</v>
      </c>
      <c r="R950">
        <v>4</v>
      </c>
      <c r="S950">
        <v>25</v>
      </c>
      <c r="T950">
        <v>116</v>
      </c>
      <c r="U950">
        <v>93</v>
      </c>
      <c r="V950">
        <v>7980</v>
      </c>
      <c r="W950">
        <v>29.4</v>
      </c>
      <c r="X950">
        <v>3</v>
      </c>
      <c r="Y950">
        <v>4</v>
      </c>
      <c r="Z950">
        <v>17</v>
      </c>
      <c r="AA950">
        <v>6.6</v>
      </c>
      <c r="AB950">
        <v>1</v>
      </c>
      <c r="AC950">
        <v>200</v>
      </c>
      <c r="AD950">
        <v>17</v>
      </c>
      <c r="AE950">
        <v>5</v>
      </c>
      <c r="AF950">
        <v>201</v>
      </c>
      <c r="AG950">
        <v>115</v>
      </c>
      <c r="AH950">
        <v>115</v>
      </c>
      <c r="AI950">
        <v>33</v>
      </c>
      <c r="AJ950">
        <v>25</v>
      </c>
      <c r="AK950">
        <v>35</v>
      </c>
      <c r="AL950">
        <v>16</v>
      </c>
      <c r="AM950">
        <v>4</v>
      </c>
      <c r="AN950">
        <v>89</v>
      </c>
      <c r="AO950">
        <v>30</v>
      </c>
      <c r="AP950">
        <v>46</v>
      </c>
      <c r="AQ950">
        <v>47</v>
      </c>
      <c r="AR950">
        <v>532</v>
      </c>
      <c r="AS950">
        <v>996</v>
      </c>
      <c r="AT950" t="s">
        <v>7</v>
      </c>
      <c r="AU950">
        <v>0.67</v>
      </c>
      <c r="AV950">
        <v>2024</v>
      </c>
      <c r="AW950" s="1">
        <v>45932</v>
      </c>
      <c r="AX950">
        <v>11.8</v>
      </c>
      <c r="AY950" t="s">
        <v>10</v>
      </c>
      <c r="AZ950" t="s">
        <v>31</v>
      </c>
      <c r="BA950" t="s">
        <v>122</v>
      </c>
      <c r="BB950" t="s">
        <v>7</v>
      </c>
      <c r="BC950" t="s">
        <v>13</v>
      </c>
      <c r="BD950">
        <v>4</v>
      </c>
      <c r="BE950" t="s">
        <v>14</v>
      </c>
      <c r="BF950">
        <v>0.98</v>
      </c>
    </row>
    <row r="951" spans="1:58" hidden="1" x14ac:dyDescent="0.2">
      <c r="A951">
        <v>950</v>
      </c>
      <c r="B951" t="s">
        <v>0</v>
      </c>
      <c r="C951">
        <v>20</v>
      </c>
      <c r="D951" t="s">
        <v>1</v>
      </c>
      <c r="E951" t="s">
        <v>128</v>
      </c>
      <c r="F951" t="s">
        <v>15</v>
      </c>
      <c r="G951" t="s">
        <v>4</v>
      </c>
      <c r="H951" t="s">
        <v>24</v>
      </c>
      <c r="I951" t="s">
        <v>114</v>
      </c>
      <c r="J951" t="s">
        <v>32</v>
      </c>
      <c r="K951" t="s">
        <v>7</v>
      </c>
      <c r="L951">
        <v>5.8</v>
      </c>
      <c r="M951">
        <v>6.1</v>
      </c>
      <c r="N951" t="s">
        <v>29</v>
      </c>
      <c r="O951" t="s">
        <v>41</v>
      </c>
      <c r="P951" t="s">
        <v>9</v>
      </c>
      <c r="Q951">
        <v>34</v>
      </c>
      <c r="R951">
        <v>8</v>
      </c>
      <c r="S951">
        <v>23</v>
      </c>
      <c r="T951">
        <v>117</v>
      </c>
      <c r="U951">
        <v>89</v>
      </c>
      <c r="V951">
        <v>8179</v>
      </c>
      <c r="W951">
        <v>27.8</v>
      </c>
      <c r="X951">
        <v>0</v>
      </c>
      <c r="Y951">
        <v>3</v>
      </c>
      <c r="Z951">
        <v>14</v>
      </c>
      <c r="AA951">
        <v>5</v>
      </c>
      <c r="AB951">
        <v>2</v>
      </c>
      <c r="AC951">
        <v>273</v>
      </c>
      <c r="AD951">
        <v>14</v>
      </c>
      <c r="AE951">
        <v>9</v>
      </c>
      <c r="AF951">
        <v>284</v>
      </c>
      <c r="AG951">
        <v>144</v>
      </c>
      <c r="AH951">
        <v>159</v>
      </c>
      <c r="AI951">
        <v>48</v>
      </c>
      <c r="AJ951">
        <v>46</v>
      </c>
      <c r="AK951">
        <v>40</v>
      </c>
      <c r="AL951">
        <v>17</v>
      </c>
      <c r="AM951">
        <v>8</v>
      </c>
      <c r="AN951">
        <v>125</v>
      </c>
      <c r="AO951">
        <v>39</v>
      </c>
      <c r="AP951">
        <v>32</v>
      </c>
      <c r="AQ951">
        <v>104</v>
      </c>
      <c r="AR951">
        <v>315</v>
      </c>
      <c r="AS951">
        <v>438</v>
      </c>
      <c r="AT951" t="s">
        <v>13</v>
      </c>
      <c r="AU951">
        <v>0.1</v>
      </c>
      <c r="AV951">
        <v>2023</v>
      </c>
      <c r="AW951" s="1">
        <v>45761</v>
      </c>
      <c r="AX951">
        <v>19.5</v>
      </c>
      <c r="AY951" t="s">
        <v>10</v>
      </c>
      <c r="AZ951" t="s">
        <v>37</v>
      </c>
      <c r="BA951" t="s">
        <v>122</v>
      </c>
      <c r="BB951" t="s">
        <v>13</v>
      </c>
      <c r="BC951" t="s">
        <v>13</v>
      </c>
      <c r="BD951">
        <v>0</v>
      </c>
      <c r="BE951" t="s">
        <v>49</v>
      </c>
      <c r="BF951">
        <v>1.03</v>
      </c>
    </row>
    <row r="952" spans="1:58" hidden="1" x14ac:dyDescent="0.2">
      <c r="A952">
        <v>951</v>
      </c>
      <c r="B952" t="s">
        <v>0</v>
      </c>
      <c r="C952">
        <v>16</v>
      </c>
      <c r="D952" t="s">
        <v>28</v>
      </c>
      <c r="E952" t="s">
        <v>2</v>
      </c>
      <c r="F952" t="s">
        <v>15</v>
      </c>
      <c r="G952" t="s">
        <v>16</v>
      </c>
      <c r="H952" t="s">
        <v>23</v>
      </c>
      <c r="I952" t="s">
        <v>115</v>
      </c>
      <c r="J952" t="s">
        <v>6</v>
      </c>
      <c r="K952" t="s">
        <v>7</v>
      </c>
      <c r="L952">
        <v>10</v>
      </c>
      <c r="M952">
        <v>7.7</v>
      </c>
      <c r="N952" t="s">
        <v>39</v>
      </c>
      <c r="O952" t="s">
        <v>7</v>
      </c>
      <c r="P952" t="s">
        <v>9</v>
      </c>
      <c r="Q952">
        <v>38</v>
      </c>
      <c r="R952">
        <v>2</v>
      </c>
      <c r="S952">
        <v>27.9</v>
      </c>
      <c r="T952">
        <v>139</v>
      </c>
      <c r="U952">
        <v>88</v>
      </c>
      <c r="V952">
        <v>7993</v>
      </c>
      <c r="W952">
        <v>36.799999999999997</v>
      </c>
      <c r="X952">
        <v>8</v>
      </c>
      <c r="Y952">
        <v>3</v>
      </c>
      <c r="Z952">
        <v>8</v>
      </c>
      <c r="AA952">
        <v>7.9</v>
      </c>
      <c r="AB952">
        <v>6</v>
      </c>
      <c r="AC952">
        <v>451</v>
      </c>
      <c r="AD952">
        <v>18</v>
      </c>
      <c r="AE952">
        <v>19</v>
      </c>
      <c r="AF952">
        <v>300</v>
      </c>
      <c r="AG952">
        <v>150</v>
      </c>
      <c r="AH952">
        <v>252</v>
      </c>
      <c r="AI952">
        <v>73</v>
      </c>
      <c r="AJ952">
        <v>54</v>
      </c>
      <c r="AK952">
        <v>56</v>
      </c>
      <c r="AL952">
        <v>42</v>
      </c>
      <c r="AM952">
        <v>14</v>
      </c>
      <c r="AN952">
        <v>201</v>
      </c>
      <c r="AO952">
        <v>58</v>
      </c>
      <c r="AP952">
        <v>49</v>
      </c>
      <c r="AQ952">
        <v>172</v>
      </c>
      <c r="AR952">
        <v>1698</v>
      </c>
      <c r="AS952">
        <v>3318</v>
      </c>
      <c r="AT952" t="s">
        <v>7</v>
      </c>
      <c r="AU952">
        <v>0.75</v>
      </c>
      <c r="AV952">
        <v>2017</v>
      </c>
      <c r="AW952" s="1">
        <v>45971</v>
      </c>
      <c r="AX952">
        <v>25.1</v>
      </c>
      <c r="AY952" t="s">
        <v>36</v>
      </c>
      <c r="AZ952" t="s">
        <v>11</v>
      </c>
      <c r="BA952" t="s">
        <v>122</v>
      </c>
      <c r="BB952" t="s">
        <v>13</v>
      </c>
      <c r="BC952" t="s">
        <v>7</v>
      </c>
      <c r="BD952">
        <v>1</v>
      </c>
      <c r="BE952" t="s">
        <v>14</v>
      </c>
      <c r="BF952">
        <v>1.01</v>
      </c>
    </row>
    <row r="953" spans="1:58" hidden="1" x14ac:dyDescent="0.2">
      <c r="A953">
        <v>952</v>
      </c>
      <c r="B953" t="s">
        <v>0</v>
      </c>
      <c r="C953">
        <v>52</v>
      </c>
      <c r="D953" t="s">
        <v>1</v>
      </c>
      <c r="E953" t="s">
        <v>128</v>
      </c>
      <c r="F953" t="s">
        <v>15</v>
      </c>
      <c r="G953" t="s">
        <v>117</v>
      </c>
      <c r="H953" t="s">
        <v>118</v>
      </c>
      <c r="I953" t="s">
        <v>112</v>
      </c>
      <c r="J953" t="s">
        <v>32</v>
      </c>
      <c r="K953" t="s">
        <v>7</v>
      </c>
      <c r="L953">
        <v>7.7</v>
      </c>
      <c r="M953">
        <v>7.1</v>
      </c>
      <c r="N953" t="s">
        <v>29</v>
      </c>
      <c r="O953" t="s">
        <v>7</v>
      </c>
      <c r="P953" t="s">
        <v>26</v>
      </c>
      <c r="Q953">
        <v>20</v>
      </c>
      <c r="R953">
        <v>9</v>
      </c>
      <c r="S953">
        <v>25</v>
      </c>
      <c r="T953">
        <v>108</v>
      </c>
      <c r="U953">
        <v>73</v>
      </c>
      <c r="V953">
        <v>8007</v>
      </c>
      <c r="W953">
        <v>45.2</v>
      </c>
      <c r="X953">
        <v>3</v>
      </c>
      <c r="Y953">
        <v>3</v>
      </c>
      <c r="Z953">
        <v>6</v>
      </c>
      <c r="AA953">
        <v>11.8</v>
      </c>
      <c r="AB953">
        <v>7</v>
      </c>
      <c r="AC953">
        <v>77</v>
      </c>
      <c r="AD953">
        <v>3</v>
      </c>
      <c r="AE953">
        <v>2</v>
      </c>
      <c r="AF953">
        <v>70</v>
      </c>
      <c r="AG953">
        <v>51</v>
      </c>
      <c r="AH953">
        <v>74</v>
      </c>
      <c r="AI953">
        <v>17</v>
      </c>
      <c r="AJ953">
        <v>22</v>
      </c>
      <c r="AK953">
        <v>17</v>
      </c>
      <c r="AL953">
        <v>14</v>
      </c>
      <c r="AM953">
        <v>3</v>
      </c>
      <c r="AN953">
        <v>45</v>
      </c>
      <c r="AO953">
        <v>10</v>
      </c>
      <c r="AP953">
        <v>15</v>
      </c>
      <c r="AQ953">
        <v>28</v>
      </c>
      <c r="AR953">
        <v>531</v>
      </c>
      <c r="AS953">
        <v>1051</v>
      </c>
      <c r="AT953" t="s">
        <v>7</v>
      </c>
      <c r="AU953">
        <v>0.41</v>
      </c>
      <c r="AV953">
        <v>2024</v>
      </c>
      <c r="AW953" s="1">
        <v>45793</v>
      </c>
      <c r="AX953">
        <v>25.7</v>
      </c>
      <c r="AY953" t="s">
        <v>36</v>
      </c>
      <c r="AZ953" t="s">
        <v>11</v>
      </c>
      <c r="BA953" t="s">
        <v>12</v>
      </c>
      <c r="BB953" t="s">
        <v>13</v>
      </c>
      <c r="BC953" t="s">
        <v>13</v>
      </c>
      <c r="BD953">
        <v>0</v>
      </c>
      <c r="BE953" t="s">
        <v>14</v>
      </c>
      <c r="BF953">
        <v>1.46</v>
      </c>
    </row>
    <row r="954" spans="1:58" hidden="1" x14ac:dyDescent="0.2">
      <c r="A954">
        <v>953</v>
      </c>
      <c r="B954" t="s">
        <v>0</v>
      </c>
      <c r="C954">
        <v>16</v>
      </c>
      <c r="D954" t="s">
        <v>1</v>
      </c>
      <c r="E954" t="s">
        <v>128</v>
      </c>
      <c r="F954" t="s">
        <v>15</v>
      </c>
      <c r="G954" t="s">
        <v>16</v>
      </c>
      <c r="H954" t="s">
        <v>23</v>
      </c>
      <c r="I954" t="s">
        <v>112</v>
      </c>
      <c r="J954" t="s">
        <v>6</v>
      </c>
      <c r="K954" t="s">
        <v>7</v>
      </c>
      <c r="L954">
        <v>1.3</v>
      </c>
      <c r="M954">
        <v>7.3</v>
      </c>
      <c r="N954" t="s">
        <v>25</v>
      </c>
      <c r="O954" t="s">
        <v>7</v>
      </c>
      <c r="P954" t="s">
        <v>26</v>
      </c>
      <c r="Q954">
        <v>2</v>
      </c>
      <c r="R954">
        <v>8</v>
      </c>
      <c r="S954">
        <v>19.8</v>
      </c>
      <c r="T954">
        <v>126</v>
      </c>
      <c r="U954">
        <v>65</v>
      </c>
      <c r="V954">
        <v>8002</v>
      </c>
      <c r="W954">
        <v>35.9</v>
      </c>
      <c r="X954">
        <v>1</v>
      </c>
      <c r="Y954">
        <v>5</v>
      </c>
      <c r="Z954">
        <v>14</v>
      </c>
      <c r="AA954">
        <v>2.2999999999999998</v>
      </c>
      <c r="AB954">
        <v>0</v>
      </c>
      <c r="AC954">
        <v>5</v>
      </c>
      <c r="AD954">
        <v>1</v>
      </c>
      <c r="AE954">
        <v>6</v>
      </c>
      <c r="AF954">
        <v>134</v>
      </c>
      <c r="AG954">
        <v>36</v>
      </c>
      <c r="AH954">
        <v>25</v>
      </c>
      <c r="AI954">
        <v>5</v>
      </c>
      <c r="AJ954">
        <v>13</v>
      </c>
      <c r="AK954">
        <v>8</v>
      </c>
      <c r="AL954">
        <v>0</v>
      </c>
      <c r="AM954">
        <v>0</v>
      </c>
      <c r="AN954">
        <v>3</v>
      </c>
      <c r="AO954">
        <v>1</v>
      </c>
      <c r="AP954">
        <v>1</v>
      </c>
      <c r="AQ954">
        <v>1</v>
      </c>
      <c r="AR954">
        <v>749</v>
      </c>
      <c r="AS954">
        <v>1172</v>
      </c>
      <c r="AT954" t="s">
        <v>7</v>
      </c>
      <c r="AU954">
        <v>0.51</v>
      </c>
      <c r="AV954">
        <v>2011</v>
      </c>
      <c r="AW954" s="1">
        <v>45817</v>
      </c>
      <c r="AX954">
        <v>5</v>
      </c>
      <c r="AY954" t="s">
        <v>27</v>
      </c>
      <c r="AZ954" t="s">
        <v>20</v>
      </c>
      <c r="BA954" t="s">
        <v>21</v>
      </c>
      <c r="BB954" t="s">
        <v>13</v>
      </c>
      <c r="BC954" t="s">
        <v>13</v>
      </c>
      <c r="BD954">
        <v>4</v>
      </c>
      <c r="BE954" t="s">
        <v>14</v>
      </c>
      <c r="BF954">
        <v>8.83</v>
      </c>
    </row>
    <row r="955" spans="1:58" hidden="1" x14ac:dyDescent="0.2">
      <c r="A955">
        <v>954</v>
      </c>
      <c r="B955" t="s">
        <v>0</v>
      </c>
      <c r="C955">
        <v>37</v>
      </c>
      <c r="D955" t="s">
        <v>1</v>
      </c>
      <c r="E955" t="s">
        <v>128</v>
      </c>
      <c r="F955" t="s">
        <v>40</v>
      </c>
      <c r="G955" t="s">
        <v>117</v>
      </c>
      <c r="H955" t="s">
        <v>23</v>
      </c>
      <c r="I955" t="s">
        <v>114</v>
      </c>
      <c r="J955" t="s">
        <v>32</v>
      </c>
      <c r="K955" t="s">
        <v>7</v>
      </c>
      <c r="L955">
        <v>5.4</v>
      </c>
      <c r="M955">
        <v>7.1</v>
      </c>
      <c r="N955" t="s">
        <v>25</v>
      </c>
      <c r="O955" t="s">
        <v>7</v>
      </c>
      <c r="P955" t="s">
        <v>46</v>
      </c>
      <c r="Q955">
        <v>20</v>
      </c>
      <c r="R955">
        <v>2</v>
      </c>
      <c r="S955">
        <v>29.2</v>
      </c>
      <c r="T955">
        <v>98</v>
      </c>
      <c r="U955">
        <v>67</v>
      </c>
      <c r="V955">
        <v>8090</v>
      </c>
      <c r="W955">
        <v>20.8</v>
      </c>
      <c r="X955">
        <v>3</v>
      </c>
      <c r="Y955">
        <v>4</v>
      </c>
      <c r="Z955">
        <v>7</v>
      </c>
      <c r="AA955">
        <v>4.2</v>
      </c>
      <c r="AB955">
        <v>1</v>
      </c>
      <c r="AC955">
        <v>220</v>
      </c>
      <c r="AD955">
        <v>15</v>
      </c>
      <c r="AE955">
        <v>4</v>
      </c>
      <c r="AF955">
        <v>158</v>
      </c>
      <c r="AG955">
        <v>118</v>
      </c>
      <c r="AH955">
        <v>144</v>
      </c>
      <c r="AI955">
        <v>26</v>
      </c>
      <c r="AJ955">
        <v>29</v>
      </c>
      <c r="AK955">
        <v>38</v>
      </c>
      <c r="AL955">
        <v>29</v>
      </c>
      <c r="AM955">
        <v>8</v>
      </c>
      <c r="AN955">
        <v>109</v>
      </c>
      <c r="AO955">
        <v>42</v>
      </c>
      <c r="AP955">
        <v>27</v>
      </c>
      <c r="AQ955">
        <v>45</v>
      </c>
      <c r="AR955">
        <v>1824</v>
      </c>
      <c r="AS955">
        <v>4112</v>
      </c>
      <c r="AT955" t="s">
        <v>7</v>
      </c>
      <c r="AU955">
        <v>0.04</v>
      </c>
      <c r="AV955">
        <v>2024</v>
      </c>
      <c r="AW955" s="1">
        <v>45857</v>
      </c>
      <c r="AX955">
        <v>14.7</v>
      </c>
      <c r="AY955" t="s">
        <v>30</v>
      </c>
      <c r="AZ955" t="s">
        <v>37</v>
      </c>
      <c r="BA955" t="s">
        <v>12</v>
      </c>
      <c r="BB955" t="s">
        <v>13</v>
      </c>
      <c r="BC955" t="s">
        <v>7</v>
      </c>
      <c r="BD955">
        <v>1</v>
      </c>
      <c r="BE955" t="s">
        <v>14</v>
      </c>
      <c r="BF955">
        <v>0.94</v>
      </c>
    </row>
    <row r="956" spans="1:58" hidden="1" x14ac:dyDescent="0.2">
      <c r="A956">
        <v>955</v>
      </c>
      <c r="B956" t="s">
        <v>0</v>
      </c>
      <c r="C956">
        <v>15</v>
      </c>
      <c r="D956" t="s">
        <v>125</v>
      </c>
      <c r="E956" t="s">
        <v>2</v>
      </c>
      <c r="F956" t="s">
        <v>15</v>
      </c>
      <c r="G956" t="s">
        <v>116</v>
      </c>
      <c r="H956" t="s">
        <v>118</v>
      </c>
      <c r="I956" t="s">
        <v>112</v>
      </c>
      <c r="J956" t="s">
        <v>123</v>
      </c>
      <c r="K956" t="s">
        <v>7</v>
      </c>
      <c r="L956">
        <v>7.7</v>
      </c>
      <c r="M956">
        <v>5.7</v>
      </c>
      <c r="N956" t="s">
        <v>8</v>
      </c>
      <c r="O956" t="s">
        <v>7</v>
      </c>
      <c r="P956" t="s">
        <v>46</v>
      </c>
      <c r="Q956">
        <v>31</v>
      </c>
      <c r="R956">
        <v>6</v>
      </c>
      <c r="S956">
        <v>19.5</v>
      </c>
      <c r="T956">
        <v>144</v>
      </c>
      <c r="U956">
        <v>71</v>
      </c>
      <c r="V956">
        <v>8125</v>
      </c>
      <c r="W956">
        <v>43.5</v>
      </c>
      <c r="X956">
        <v>5</v>
      </c>
      <c r="Y956">
        <v>5</v>
      </c>
      <c r="Z956">
        <v>12</v>
      </c>
      <c r="AA956">
        <v>5.2</v>
      </c>
      <c r="AB956">
        <v>5</v>
      </c>
      <c r="AC956">
        <v>254</v>
      </c>
      <c r="AD956">
        <v>18</v>
      </c>
      <c r="AE956">
        <v>10</v>
      </c>
      <c r="AF956">
        <v>267</v>
      </c>
      <c r="AG956">
        <v>142</v>
      </c>
      <c r="AH956">
        <v>149</v>
      </c>
      <c r="AI956">
        <v>37</v>
      </c>
      <c r="AJ956">
        <v>28</v>
      </c>
      <c r="AK956">
        <v>37</v>
      </c>
      <c r="AL956">
        <v>29</v>
      </c>
      <c r="AM956">
        <v>5</v>
      </c>
      <c r="AN956">
        <v>106</v>
      </c>
      <c r="AO956">
        <v>60</v>
      </c>
      <c r="AP956">
        <v>62</v>
      </c>
      <c r="AQ956">
        <v>82</v>
      </c>
      <c r="AR956">
        <v>5019</v>
      </c>
      <c r="AS956">
        <v>9542</v>
      </c>
      <c r="AT956" t="s">
        <v>7</v>
      </c>
      <c r="AU956">
        <v>0.79</v>
      </c>
      <c r="AV956">
        <v>2010</v>
      </c>
      <c r="AW956" s="1">
        <v>45965</v>
      </c>
      <c r="AX956">
        <v>14.1</v>
      </c>
      <c r="AY956" t="s">
        <v>36</v>
      </c>
      <c r="AZ956" t="s">
        <v>31</v>
      </c>
      <c r="BA956" t="s">
        <v>122</v>
      </c>
      <c r="BB956" t="s">
        <v>7</v>
      </c>
      <c r="BC956" t="s">
        <v>13</v>
      </c>
      <c r="BD956">
        <v>2</v>
      </c>
      <c r="BE956" t="s">
        <v>43</v>
      </c>
      <c r="BF956">
        <v>0.99</v>
      </c>
    </row>
    <row r="957" spans="1:58" hidden="1" x14ac:dyDescent="0.2">
      <c r="A957">
        <v>956</v>
      </c>
      <c r="B957" t="s">
        <v>0</v>
      </c>
      <c r="C957">
        <v>44</v>
      </c>
      <c r="D957" t="s">
        <v>28</v>
      </c>
      <c r="E957" t="s">
        <v>22</v>
      </c>
      <c r="F957" t="s">
        <v>3</v>
      </c>
      <c r="G957" t="s">
        <v>16</v>
      </c>
      <c r="H957" t="s">
        <v>119</v>
      </c>
      <c r="I957" t="s">
        <v>115</v>
      </c>
      <c r="J957" t="s">
        <v>6</v>
      </c>
      <c r="K957" t="s">
        <v>7</v>
      </c>
      <c r="L957">
        <v>7.2</v>
      </c>
      <c r="M957">
        <v>7.7</v>
      </c>
      <c r="N957" t="s">
        <v>8</v>
      </c>
      <c r="O957" t="s">
        <v>7</v>
      </c>
      <c r="P957" t="s">
        <v>26</v>
      </c>
      <c r="Q957">
        <v>33</v>
      </c>
      <c r="R957">
        <v>4</v>
      </c>
      <c r="S957">
        <v>24.1</v>
      </c>
      <c r="T957">
        <v>119</v>
      </c>
      <c r="U957">
        <v>88</v>
      </c>
      <c r="V957">
        <v>7833</v>
      </c>
      <c r="W957">
        <v>44.3</v>
      </c>
      <c r="X957">
        <v>4</v>
      </c>
      <c r="Y957">
        <v>3</v>
      </c>
      <c r="Z957">
        <v>13</v>
      </c>
      <c r="AA957">
        <v>4</v>
      </c>
      <c r="AB957">
        <v>3</v>
      </c>
      <c r="AC957">
        <v>234</v>
      </c>
      <c r="AD957">
        <v>7</v>
      </c>
      <c r="AE957">
        <v>3</v>
      </c>
      <c r="AF957">
        <v>174</v>
      </c>
      <c r="AG957">
        <v>122</v>
      </c>
      <c r="AH957">
        <v>146</v>
      </c>
      <c r="AI957">
        <v>39</v>
      </c>
      <c r="AJ957">
        <v>37</v>
      </c>
      <c r="AK957">
        <v>32</v>
      </c>
      <c r="AL957">
        <v>20</v>
      </c>
      <c r="AM957">
        <v>6</v>
      </c>
      <c r="AN957">
        <v>94</v>
      </c>
      <c r="AO957">
        <v>52</v>
      </c>
      <c r="AP957">
        <v>26</v>
      </c>
      <c r="AQ957">
        <v>68</v>
      </c>
      <c r="AR957">
        <v>3133</v>
      </c>
      <c r="AS957">
        <v>4335</v>
      </c>
      <c r="AT957" t="s">
        <v>7</v>
      </c>
      <c r="AU957">
        <v>0.74</v>
      </c>
      <c r="AV957">
        <v>2023</v>
      </c>
      <c r="AW957" s="1">
        <v>45814</v>
      </c>
      <c r="AX957">
        <v>33.4</v>
      </c>
      <c r="AY957" t="s">
        <v>30</v>
      </c>
      <c r="AZ957" t="s">
        <v>17</v>
      </c>
      <c r="BA957" t="s">
        <v>12</v>
      </c>
      <c r="BB957" t="s">
        <v>13</v>
      </c>
      <c r="BC957" t="s">
        <v>7</v>
      </c>
      <c r="BD957">
        <v>1</v>
      </c>
      <c r="BE957" t="s">
        <v>14</v>
      </c>
      <c r="BF957">
        <v>0.99</v>
      </c>
    </row>
    <row r="958" spans="1:58" hidden="1" x14ac:dyDescent="0.2">
      <c r="A958">
        <v>957</v>
      </c>
      <c r="B958" t="s">
        <v>0</v>
      </c>
      <c r="C958">
        <v>15</v>
      </c>
      <c r="D958" t="s">
        <v>1</v>
      </c>
      <c r="E958" t="s">
        <v>2</v>
      </c>
      <c r="F958" t="s">
        <v>15</v>
      </c>
      <c r="G958" t="s">
        <v>16</v>
      </c>
      <c r="H958" t="s">
        <v>118</v>
      </c>
      <c r="I958" t="s">
        <v>115</v>
      </c>
      <c r="J958" t="s">
        <v>6</v>
      </c>
      <c r="K958" t="s">
        <v>7</v>
      </c>
      <c r="L958">
        <v>13.9</v>
      </c>
      <c r="M958">
        <v>6.2</v>
      </c>
      <c r="N958" t="s">
        <v>25</v>
      </c>
      <c r="O958" t="s">
        <v>7</v>
      </c>
      <c r="P958" t="s">
        <v>9</v>
      </c>
      <c r="Q958">
        <v>12</v>
      </c>
      <c r="R958">
        <v>2</v>
      </c>
      <c r="S958">
        <v>31</v>
      </c>
      <c r="T958">
        <v>128</v>
      </c>
      <c r="U958">
        <v>82</v>
      </c>
      <c r="V958">
        <v>7980</v>
      </c>
      <c r="W958">
        <v>21.9</v>
      </c>
      <c r="X958">
        <v>3</v>
      </c>
      <c r="Y958">
        <v>3</v>
      </c>
      <c r="Z958">
        <v>11</v>
      </c>
      <c r="AA958">
        <v>6.7</v>
      </c>
      <c r="AB958">
        <v>6</v>
      </c>
      <c r="AC958">
        <v>134</v>
      </c>
      <c r="AD958">
        <v>16</v>
      </c>
      <c r="AE958">
        <v>11</v>
      </c>
      <c r="AF958">
        <v>196</v>
      </c>
      <c r="AG958">
        <v>88</v>
      </c>
      <c r="AH958">
        <v>96</v>
      </c>
      <c r="AI958">
        <v>30</v>
      </c>
      <c r="AJ958">
        <v>21</v>
      </c>
      <c r="AK958">
        <v>22</v>
      </c>
      <c r="AL958">
        <v>12</v>
      </c>
      <c r="AM958">
        <v>3</v>
      </c>
      <c r="AN958">
        <v>80</v>
      </c>
      <c r="AO958">
        <v>40</v>
      </c>
      <c r="AP958">
        <v>14</v>
      </c>
      <c r="AQ958">
        <v>46</v>
      </c>
      <c r="AR958">
        <v>560</v>
      </c>
      <c r="AS958">
        <v>846</v>
      </c>
      <c r="AT958" t="s">
        <v>13</v>
      </c>
      <c r="AU958">
        <v>0.51</v>
      </c>
      <c r="AV958">
        <v>2019</v>
      </c>
      <c r="AW958" s="1">
        <v>45850</v>
      </c>
      <c r="AX958">
        <v>8.4</v>
      </c>
      <c r="AY958" t="s">
        <v>10</v>
      </c>
      <c r="AZ958" t="s">
        <v>20</v>
      </c>
      <c r="BA958" t="s">
        <v>12</v>
      </c>
      <c r="BB958" t="s">
        <v>7</v>
      </c>
      <c r="BC958" t="s">
        <v>13</v>
      </c>
      <c r="BD958">
        <v>1</v>
      </c>
      <c r="BE958" t="s">
        <v>14</v>
      </c>
      <c r="BF958">
        <v>1.4</v>
      </c>
    </row>
    <row r="959" spans="1:58" hidden="1" x14ac:dyDescent="0.2">
      <c r="A959">
        <v>958</v>
      </c>
      <c r="B959" t="s">
        <v>0</v>
      </c>
      <c r="C959">
        <v>39</v>
      </c>
      <c r="D959" t="s">
        <v>1</v>
      </c>
      <c r="E959" t="s">
        <v>47</v>
      </c>
      <c r="F959" t="s">
        <v>3</v>
      </c>
      <c r="G959" t="s">
        <v>116</v>
      </c>
      <c r="H959" t="s">
        <v>24</v>
      </c>
      <c r="I959" t="s">
        <v>112</v>
      </c>
      <c r="J959" t="s">
        <v>6</v>
      </c>
      <c r="K959" t="s">
        <v>7</v>
      </c>
      <c r="L959">
        <v>11.3</v>
      </c>
      <c r="M959">
        <v>8</v>
      </c>
      <c r="N959" t="s">
        <v>8</v>
      </c>
      <c r="O959" t="s">
        <v>7</v>
      </c>
      <c r="P959" t="s">
        <v>9</v>
      </c>
      <c r="Q959">
        <v>21</v>
      </c>
      <c r="R959">
        <v>4</v>
      </c>
      <c r="S959">
        <v>26.3</v>
      </c>
      <c r="T959">
        <v>122</v>
      </c>
      <c r="U959">
        <v>83</v>
      </c>
      <c r="V959">
        <v>8060</v>
      </c>
      <c r="W959">
        <v>22.6</v>
      </c>
      <c r="X959">
        <v>3</v>
      </c>
      <c r="Y959">
        <v>1</v>
      </c>
      <c r="Z959">
        <v>8</v>
      </c>
      <c r="AA959">
        <v>4.5999999999999996</v>
      </c>
      <c r="AB959">
        <v>2</v>
      </c>
      <c r="AC959">
        <v>234</v>
      </c>
      <c r="AD959">
        <v>14</v>
      </c>
      <c r="AE959">
        <v>7</v>
      </c>
      <c r="AF959">
        <v>189</v>
      </c>
      <c r="AG959">
        <v>135</v>
      </c>
      <c r="AH959">
        <v>152</v>
      </c>
      <c r="AI959">
        <v>47</v>
      </c>
      <c r="AJ959">
        <v>35</v>
      </c>
      <c r="AK959">
        <v>23</v>
      </c>
      <c r="AL959">
        <v>28</v>
      </c>
      <c r="AM959">
        <v>7</v>
      </c>
      <c r="AN959">
        <v>96</v>
      </c>
      <c r="AO959">
        <v>37</v>
      </c>
      <c r="AP959">
        <v>24</v>
      </c>
      <c r="AQ959">
        <v>59</v>
      </c>
      <c r="AR959">
        <v>10696</v>
      </c>
      <c r="AS959">
        <v>10000</v>
      </c>
      <c r="AT959" t="s">
        <v>7</v>
      </c>
      <c r="AU959">
        <v>0.56999999999999995</v>
      </c>
      <c r="AV959">
        <v>2025</v>
      </c>
      <c r="AW959" s="1">
        <v>45715</v>
      </c>
      <c r="AX959">
        <v>16.7</v>
      </c>
      <c r="AY959" t="s">
        <v>27</v>
      </c>
      <c r="AZ959" t="s">
        <v>31</v>
      </c>
      <c r="BA959" t="s">
        <v>122</v>
      </c>
      <c r="BB959" t="s">
        <v>7</v>
      </c>
      <c r="BC959" t="s">
        <v>7</v>
      </c>
      <c r="BD959">
        <v>2</v>
      </c>
      <c r="BE959" t="s">
        <v>14</v>
      </c>
      <c r="BF959">
        <v>1.1399999999999999</v>
      </c>
    </row>
    <row r="960" spans="1:58" hidden="1" x14ac:dyDescent="0.2">
      <c r="A960">
        <v>959</v>
      </c>
      <c r="B960" t="s">
        <v>0</v>
      </c>
      <c r="C960">
        <v>41</v>
      </c>
      <c r="D960" t="s">
        <v>28</v>
      </c>
      <c r="E960" t="s">
        <v>42</v>
      </c>
      <c r="F960" t="s">
        <v>15</v>
      </c>
      <c r="G960" t="s">
        <v>117</v>
      </c>
      <c r="H960" t="s">
        <v>118</v>
      </c>
      <c r="I960" t="s">
        <v>115</v>
      </c>
      <c r="J960" t="s">
        <v>123</v>
      </c>
      <c r="K960" t="s">
        <v>7</v>
      </c>
      <c r="L960">
        <v>4.4000000000000004</v>
      </c>
      <c r="M960">
        <v>4.4000000000000004</v>
      </c>
      <c r="N960" t="s">
        <v>29</v>
      </c>
      <c r="O960" t="s">
        <v>7</v>
      </c>
      <c r="P960" t="s">
        <v>121</v>
      </c>
      <c r="Q960">
        <v>35</v>
      </c>
      <c r="R960">
        <v>8</v>
      </c>
      <c r="S960">
        <v>31.9</v>
      </c>
      <c r="T960">
        <v>126</v>
      </c>
      <c r="U960">
        <v>64</v>
      </c>
      <c r="V960">
        <v>8003</v>
      </c>
      <c r="W960">
        <v>27.4</v>
      </c>
      <c r="X960">
        <v>6</v>
      </c>
      <c r="Y960">
        <v>5</v>
      </c>
      <c r="Z960">
        <v>8</v>
      </c>
      <c r="AA960">
        <v>2.6</v>
      </c>
      <c r="AB960">
        <v>5</v>
      </c>
      <c r="AC960">
        <v>209</v>
      </c>
      <c r="AD960">
        <v>8</v>
      </c>
      <c r="AE960">
        <v>5</v>
      </c>
      <c r="AF960">
        <v>154</v>
      </c>
      <c r="AG960">
        <v>122</v>
      </c>
      <c r="AH960">
        <v>117</v>
      </c>
      <c r="AI960">
        <v>36</v>
      </c>
      <c r="AJ960">
        <v>29</v>
      </c>
      <c r="AK960">
        <v>24</v>
      </c>
      <c r="AL960">
        <v>17</v>
      </c>
      <c r="AM960">
        <v>3</v>
      </c>
      <c r="AN960">
        <v>110</v>
      </c>
      <c r="AO960">
        <v>55</v>
      </c>
      <c r="AP960">
        <v>29</v>
      </c>
      <c r="AQ960">
        <v>56</v>
      </c>
      <c r="AR960">
        <v>1569</v>
      </c>
      <c r="AS960">
        <v>1320</v>
      </c>
      <c r="AT960" t="s">
        <v>7</v>
      </c>
      <c r="AU960">
        <v>0.4</v>
      </c>
      <c r="AV960">
        <v>2022</v>
      </c>
      <c r="AW960" s="1">
        <v>45963</v>
      </c>
      <c r="AX960">
        <v>26.1</v>
      </c>
      <c r="AY960" t="s">
        <v>10</v>
      </c>
      <c r="AZ960" t="s">
        <v>48</v>
      </c>
      <c r="BA960" t="s">
        <v>12</v>
      </c>
      <c r="BB960" t="s">
        <v>7</v>
      </c>
      <c r="BC960" t="s">
        <v>7</v>
      </c>
      <c r="BD960">
        <v>1</v>
      </c>
      <c r="BE960" t="s">
        <v>14</v>
      </c>
      <c r="BF960">
        <v>0.97</v>
      </c>
    </row>
    <row r="961" spans="1:58" hidden="1" x14ac:dyDescent="0.2">
      <c r="A961">
        <v>960</v>
      </c>
      <c r="B961" t="s">
        <v>0</v>
      </c>
      <c r="C961">
        <v>44</v>
      </c>
      <c r="D961" t="s">
        <v>28</v>
      </c>
      <c r="E961" t="s">
        <v>2</v>
      </c>
      <c r="F961" t="s">
        <v>40</v>
      </c>
      <c r="G961" t="s">
        <v>117</v>
      </c>
      <c r="H961" t="s">
        <v>118</v>
      </c>
      <c r="I961" t="s">
        <v>115</v>
      </c>
      <c r="J961" t="s">
        <v>6</v>
      </c>
      <c r="K961" t="s">
        <v>7</v>
      </c>
      <c r="L961">
        <v>6.7</v>
      </c>
      <c r="M961">
        <v>7.3</v>
      </c>
      <c r="N961" t="s">
        <v>8</v>
      </c>
      <c r="O961" t="s">
        <v>13</v>
      </c>
      <c r="P961" t="s">
        <v>26</v>
      </c>
      <c r="Q961">
        <v>7</v>
      </c>
      <c r="R961">
        <v>8</v>
      </c>
      <c r="S961">
        <v>19.899999999999999</v>
      </c>
      <c r="T961">
        <v>104</v>
      </c>
      <c r="U961">
        <v>80</v>
      </c>
      <c r="V961">
        <v>8042</v>
      </c>
      <c r="W961">
        <v>53.3</v>
      </c>
      <c r="X961">
        <v>4</v>
      </c>
      <c r="Y961">
        <v>3</v>
      </c>
      <c r="Z961">
        <v>10</v>
      </c>
      <c r="AA961">
        <v>5.6</v>
      </c>
      <c r="AB961">
        <v>6</v>
      </c>
      <c r="AC961">
        <v>76</v>
      </c>
      <c r="AD961">
        <v>3</v>
      </c>
      <c r="AE961">
        <v>5</v>
      </c>
      <c r="AF961">
        <v>100</v>
      </c>
      <c r="AG961">
        <v>65</v>
      </c>
      <c r="AH961">
        <v>76</v>
      </c>
      <c r="AI961">
        <v>11</v>
      </c>
      <c r="AJ961">
        <v>16</v>
      </c>
      <c r="AK961">
        <v>19</v>
      </c>
      <c r="AL961">
        <v>13</v>
      </c>
      <c r="AM961">
        <v>3</v>
      </c>
      <c r="AN961">
        <v>43</v>
      </c>
      <c r="AO961">
        <v>13</v>
      </c>
      <c r="AP961">
        <v>8</v>
      </c>
      <c r="AQ961">
        <v>19</v>
      </c>
      <c r="AR961">
        <v>930</v>
      </c>
      <c r="AS961">
        <v>1295</v>
      </c>
      <c r="AT961" t="s">
        <v>7</v>
      </c>
      <c r="AU961">
        <v>0.05</v>
      </c>
      <c r="AV961">
        <v>2021</v>
      </c>
      <c r="AW961" s="1">
        <v>45906</v>
      </c>
      <c r="AX961">
        <v>25.3</v>
      </c>
      <c r="AY961" t="s">
        <v>19</v>
      </c>
      <c r="AZ961" t="s">
        <v>51</v>
      </c>
      <c r="BA961" t="s">
        <v>122</v>
      </c>
      <c r="BB961" t="s">
        <v>13</v>
      </c>
      <c r="BC961" t="s">
        <v>7</v>
      </c>
      <c r="BD961">
        <v>1</v>
      </c>
      <c r="BE961" t="s">
        <v>43</v>
      </c>
      <c r="BF961">
        <v>1.47</v>
      </c>
    </row>
    <row r="962" spans="1:58" hidden="1" x14ac:dyDescent="0.2">
      <c r="A962">
        <v>961</v>
      </c>
      <c r="B962" t="s">
        <v>0</v>
      </c>
      <c r="C962">
        <v>62</v>
      </c>
      <c r="D962" t="s">
        <v>28</v>
      </c>
      <c r="E962" t="s">
        <v>128</v>
      </c>
      <c r="F962" t="s">
        <v>15</v>
      </c>
      <c r="G962" t="s">
        <v>16</v>
      </c>
      <c r="H962" t="s">
        <v>118</v>
      </c>
      <c r="I962" t="s">
        <v>53</v>
      </c>
      <c r="J962" t="s">
        <v>123</v>
      </c>
      <c r="K962" t="s">
        <v>7</v>
      </c>
      <c r="L962">
        <v>11.1</v>
      </c>
      <c r="M962">
        <v>5.6</v>
      </c>
      <c r="N962" t="s">
        <v>25</v>
      </c>
      <c r="O962" t="s">
        <v>7</v>
      </c>
      <c r="P962" t="s">
        <v>46</v>
      </c>
      <c r="Q962">
        <v>37</v>
      </c>
      <c r="R962">
        <v>4</v>
      </c>
      <c r="S962">
        <v>31.8</v>
      </c>
      <c r="T962">
        <v>102</v>
      </c>
      <c r="U962">
        <v>99</v>
      </c>
      <c r="V962">
        <v>7912</v>
      </c>
      <c r="W962">
        <v>24.7</v>
      </c>
      <c r="X962">
        <v>4</v>
      </c>
      <c r="Y962">
        <v>4</v>
      </c>
      <c r="Z962">
        <v>9</v>
      </c>
      <c r="AA962">
        <v>3.6</v>
      </c>
      <c r="AB962">
        <v>3</v>
      </c>
      <c r="AC962">
        <v>324</v>
      </c>
      <c r="AD962">
        <v>19</v>
      </c>
      <c r="AE962">
        <v>6</v>
      </c>
      <c r="AF962">
        <v>225</v>
      </c>
      <c r="AG962">
        <v>137</v>
      </c>
      <c r="AH962">
        <v>191</v>
      </c>
      <c r="AI962">
        <v>62</v>
      </c>
      <c r="AJ962">
        <v>41</v>
      </c>
      <c r="AK962">
        <v>42</v>
      </c>
      <c r="AL962">
        <v>36</v>
      </c>
      <c r="AM962">
        <v>4</v>
      </c>
      <c r="AN962">
        <v>189</v>
      </c>
      <c r="AO962">
        <v>48</v>
      </c>
      <c r="AP962">
        <v>59</v>
      </c>
      <c r="AQ962">
        <v>104</v>
      </c>
      <c r="AR962">
        <v>1903</v>
      </c>
      <c r="AS962">
        <v>3471</v>
      </c>
      <c r="AT962" t="s">
        <v>7</v>
      </c>
      <c r="AU962">
        <v>0.74</v>
      </c>
      <c r="AV962">
        <v>2014</v>
      </c>
      <c r="AW962" s="1">
        <v>45692</v>
      </c>
      <c r="AX962">
        <v>17.100000000000001</v>
      </c>
      <c r="AY962" t="s">
        <v>10</v>
      </c>
      <c r="AZ962" t="s">
        <v>11</v>
      </c>
      <c r="BA962" t="s">
        <v>122</v>
      </c>
      <c r="BB962" t="s">
        <v>13</v>
      </c>
      <c r="BC962" t="s">
        <v>7</v>
      </c>
      <c r="BD962">
        <v>4</v>
      </c>
      <c r="BE962" t="s">
        <v>14</v>
      </c>
      <c r="BF962">
        <v>1.02</v>
      </c>
    </row>
    <row r="963" spans="1:58" hidden="1" x14ac:dyDescent="0.2">
      <c r="A963">
        <v>962</v>
      </c>
      <c r="B963" t="s">
        <v>0</v>
      </c>
      <c r="C963">
        <v>63</v>
      </c>
      <c r="D963" t="s">
        <v>28</v>
      </c>
      <c r="E963" t="s">
        <v>128</v>
      </c>
      <c r="F963" t="s">
        <v>15</v>
      </c>
      <c r="G963" t="s">
        <v>4</v>
      </c>
      <c r="H963" t="s">
        <v>118</v>
      </c>
      <c r="I963" t="s">
        <v>112</v>
      </c>
      <c r="J963" t="s">
        <v>6</v>
      </c>
      <c r="K963" t="s">
        <v>7</v>
      </c>
      <c r="L963">
        <v>11.1</v>
      </c>
      <c r="M963">
        <v>7.2</v>
      </c>
      <c r="N963" t="s">
        <v>25</v>
      </c>
      <c r="O963" t="s">
        <v>7</v>
      </c>
      <c r="P963" t="s">
        <v>26</v>
      </c>
      <c r="Q963">
        <v>17</v>
      </c>
      <c r="R963">
        <v>6</v>
      </c>
      <c r="S963">
        <v>27.5</v>
      </c>
      <c r="T963">
        <v>104</v>
      </c>
      <c r="U963">
        <v>69</v>
      </c>
      <c r="V963">
        <v>8096</v>
      </c>
      <c r="W963">
        <v>51.6</v>
      </c>
      <c r="X963">
        <v>3</v>
      </c>
      <c r="Y963">
        <v>2</v>
      </c>
      <c r="Z963">
        <v>9</v>
      </c>
      <c r="AA963">
        <v>8.9</v>
      </c>
      <c r="AB963">
        <v>0</v>
      </c>
      <c r="AC963">
        <v>148</v>
      </c>
      <c r="AD963">
        <v>5</v>
      </c>
      <c r="AE963">
        <v>3</v>
      </c>
      <c r="AF963">
        <v>130</v>
      </c>
      <c r="AG963">
        <v>76</v>
      </c>
      <c r="AH963">
        <v>102</v>
      </c>
      <c r="AI963">
        <v>22</v>
      </c>
      <c r="AJ963">
        <v>31</v>
      </c>
      <c r="AK963">
        <v>24</v>
      </c>
      <c r="AL963">
        <v>24</v>
      </c>
      <c r="AM963">
        <v>4</v>
      </c>
      <c r="AN963">
        <v>67</v>
      </c>
      <c r="AO963">
        <v>32</v>
      </c>
      <c r="AP963">
        <v>17</v>
      </c>
      <c r="AQ963">
        <v>40</v>
      </c>
      <c r="AR963">
        <v>2624</v>
      </c>
      <c r="AS963">
        <v>3459</v>
      </c>
      <c r="AT963" t="s">
        <v>7</v>
      </c>
      <c r="AU963">
        <v>0.74</v>
      </c>
      <c r="AV963">
        <v>2020</v>
      </c>
      <c r="AW963" s="1">
        <v>45969</v>
      </c>
      <c r="AX963">
        <v>29.6</v>
      </c>
      <c r="AY963" t="s">
        <v>36</v>
      </c>
      <c r="AZ963" t="s">
        <v>37</v>
      </c>
      <c r="BA963" t="s">
        <v>12</v>
      </c>
      <c r="BB963" t="s">
        <v>7</v>
      </c>
      <c r="BC963" t="s">
        <v>13</v>
      </c>
      <c r="BD963">
        <v>0</v>
      </c>
      <c r="BE963" t="s">
        <v>14</v>
      </c>
      <c r="BF963">
        <v>1.04</v>
      </c>
    </row>
    <row r="964" spans="1:58" hidden="1" x14ac:dyDescent="0.2">
      <c r="A964">
        <v>963</v>
      </c>
      <c r="B964" t="s">
        <v>0</v>
      </c>
      <c r="C964">
        <v>31</v>
      </c>
      <c r="D964" t="s">
        <v>28</v>
      </c>
      <c r="E964" t="s">
        <v>128</v>
      </c>
      <c r="F964" t="s">
        <v>15</v>
      </c>
      <c r="G964" t="s">
        <v>116</v>
      </c>
      <c r="H964" t="s">
        <v>34</v>
      </c>
      <c r="I964" t="s">
        <v>112</v>
      </c>
      <c r="J964" t="s">
        <v>6</v>
      </c>
      <c r="K964" t="s">
        <v>7</v>
      </c>
      <c r="L964">
        <v>3.8</v>
      </c>
      <c r="M964">
        <v>7.6</v>
      </c>
      <c r="N964" t="s">
        <v>8</v>
      </c>
      <c r="O964" t="s">
        <v>41</v>
      </c>
      <c r="P964" t="s">
        <v>46</v>
      </c>
      <c r="Q964">
        <v>9</v>
      </c>
      <c r="R964">
        <v>2</v>
      </c>
      <c r="S964">
        <v>21.1</v>
      </c>
      <c r="T964">
        <v>92</v>
      </c>
      <c r="U964">
        <v>96</v>
      </c>
      <c r="V964">
        <v>7969</v>
      </c>
      <c r="W964">
        <v>23.5</v>
      </c>
      <c r="X964">
        <v>6</v>
      </c>
      <c r="Y964">
        <v>4</v>
      </c>
      <c r="Z964">
        <v>8</v>
      </c>
      <c r="AA964">
        <v>2.4</v>
      </c>
      <c r="AB964">
        <v>6</v>
      </c>
      <c r="AC964">
        <v>172</v>
      </c>
      <c r="AD964">
        <v>21</v>
      </c>
      <c r="AE964">
        <v>5</v>
      </c>
      <c r="AF964">
        <v>151</v>
      </c>
      <c r="AG964">
        <v>108</v>
      </c>
      <c r="AH964">
        <v>107</v>
      </c>
      <c r="AI964">
        <v>28</v>
      </c>
      <c r="AJ964">
        <v>18</v>
      </c>
      <c r="AK964">
        <v>29</v>
      </c>
      <c r="AL964">
        <v>18</v>
      </c>
      <c r="AM964">
        <v>6</v>
      </c>
      <c r="AN964">
        <v>98</v>
      </c>
      <c r="AO964">
        <v>45</v>
      </c>
      <c r="AP964">
        <v>27</v>
      </c>
      <c r="AQ964">
        <v>48</v>
      </c>
      <c r="AR964">
        <v>3167</v>
      </c>
      <c r="AS964">
        <v>6227</v>
      </c>
      <c r="AT964" t="s">
        <v>7</v>
      </c>
      <c r="AU964">
        <v>0.95</v>
      </c>
      <c r="AV964">
        <v>2021</v>
      </c>
      <c r="AW964" s="1">
        <v>45826</v>
      </c>
      <c r="AX964">
        <v>8.1999999999999993</v>
      </c>
      <c r="AY964" t="s">
        <v>36</v>
      </c>
      <c r="AZ964" t="s">
        <v>31</v>
      </c>
      <c r="BA964" t="s">
        <v>21</v>
      </c>
      <c r="BB964" t="s">
        <v>7</v>
      </c>
      <c r="BC964" t="s">
        <v>7</v>
      </c>
      <c r="BD964">
        <v>3</v>
      </c>
      <c r="BE964" t="s">
        <v>14</v>
      </c>
      <c r="BF964">
        <v>1.03</v>
      </c>
    </row>
    <row r="965" spans="1:58" hidden="1" x14ac:dyDescent="0.2">
      <c r="A965">
        <v>964</v>
      </c>
      <c r="B965" t="s">
        <v>0</v>
      </c>
      <c r="C965">
        <v>33</v>
      </c>
      <c r="D965" t="s">
        <v>1</v>
      </c>
      <c r="E965" t="s">
        <v>128</v>
      </c>
      <c r="F965" t="s">
        <v>15</v>
      </c>
      <c r="G965" t="s">
        <v>16</v>
      </c>
      <c r="H965" t="s">
        <v>34</v>
      </c>
      <c r="I965" t="s">
        <v>112</v>
      </c>
      <c r="J965" t="s">
        <v>6</v>
      </c>
      <c r="K965" t="s">
        <v>7</v>
      </c>
      <c r="L965">
        <v>9.5</v>
      </c>
      <c r="M965">
        <v>8.9</v>
      </c>
      <c r="N965" t="s">
        <v>25</v>
      </c>
      <c r="O965" t="s">
        <v>7</v>
      </c>
      <c r="P965" t="s">
        <v>26</v>
      </c>
      <c r="Q965">
        <v>11</v>
      </c>
      <c r="R965">
        <v>3</v>
      </c>
      <c r="S965">
        <v>23.3</v>
      </c>
      <c r="T965">
        <v>92</v>
      </c>
      <c r="U965">
        <v>63</v>
      </c>
      <c r="V965">
        <v>8041</v>
      </c>
      <c r="W965">
        <v>47.2</v>
      </c>
      <c r="X965">
        <v>2</v>
      </c>
      <c r="Y965">
        <v>6</v>
      </c>
      <c r="Z965">
        <v>9</v>
      </c>
      <c r="AA965">
        <v>2.2000000000000002</v>
      </c>
      <c r="AB965">
        <v>3</v>
      </c>
      <c r="AC965">
        <v>102</v>
      </c>
      <c r="AD965">
        <v>5</v>
      </c>
      <c r="AE965">
        <v>6</v>
      </c>
      <c r="AF965">
        <v>83</v>
      </c>
      <c r="AG965">
        <v>72</v>
      </c>
      <c r="AH965">
        <v>84</v>
      </c>
      <c r="AI965">
        <v>15</v>
      </c>
      <c r="AJ965">
        <v>26</v>
      </c>
      <c r="AK965">
        <v>27</v>
      </c>
      <c r="AL965">
        <v>15</v>
      </c>
      <c r="AM965">
        <v>5</v>
      </c>
      <c r="AN965">
        <v>55</v>
      </c>
      <c r="AO965">
        <v>26</v>
      </c>
      <c r="AP965">
        <v>23</v>
      </c>
      <c r="AQ965">
        <v>24</v>
      </c>
      <c r="AR965">
        <v>277</v>
      </c>
      <c r="AS965">
        <v>323</v>
      </c>
      <c r="AT965" t="s">
        <v>7</v>
      </c>
      <c r="AU965">
        <v>0.45</v>
      </c>
      <c r="AV965">
        <v>2014</v>
      </c>
      <c r="AW965" s="1">
        <v>45703</v>
      </c>
      <c r="AX965">
        <v>20.399999999999999</v>
      </c>
      <c r="AY965" t="s">
        <v>10</v>
      </c>
      <c r="AZ965" t="s">
        <v>37</v>
      </c>
      <c r="BA965" t="s">
        <v>21</v>
      </c>
      <c r="BB965" t="s">
        <v>13</v>
      </c>
      <c r="BC965" t="s">
        <v>7</v>
      </c>
      <c r="BD965">
        <v>0</v>
      </c>
      <c r="BE965" t="s">
        <v>43</v>
      </c>
      <c r="BF965">
        <v>1.28</v>
      </c>
    </row>
    <row r="966" spans="1:58" hidden="1" x14ac:dyDescent="0.2">
      <c r="A966">
        <v>965</v>
      </c>
      <c r="B966" t="s">
        <v>0</v>
      </c>
      <c r="C966">
        <v>17</v>
      </c>
      <c r="D966" t="s">
        <v>28</v>
      </c>
      <c r="E966" t="s">
        <v>126</v>
      </c>
      <c r="F966" t="s">
        <v>40</v>
      </c>
      <c r="G966" t="s">
        <v>38</v>
      </c>
      <c r="H966" t="s">
        <v>119</v>
      </c>
      <c r="I966" t="s">
        <v>112</v>
      </c>
      <c r="J966" t="s">
        <v>6</v>
      </c>
      <c r="K966" t="s">
        <v>13</v>
      </c>
      <c r="L966">
        <v>3.5</v>
      </c>
      <c r="M966">
        <v>7.6</v>
      </c>
      <c r="N966" t="s">
        <v>8</v>
      </c>
      <c r="O966" t="s">
        <v>7</v>
      </c>
      <c r="P966" t="s">
        <v>26</v>
      </c>
      <c r="Q966">
        <v>14</v>
      </c>
      <c r="R966">
        <v>6</v>
      </c>
      <c r="S966">
        <v>27.2</v>
      </c>
      <c r="T966">
        <v>114</v>
      </c>
      <c r="U966">
        <v>61</v>
      </c>
      <c r="V966">
        <v>8015</v>
      </c>
      <c r="W966">
        <v>29.6</v>
      </c>
      <c r="X966">
        <v>5</v>
      </c>
      <c r="Y966">
        <v>6</v>
      </c>
      <c r="Z966">
        <v>10</v>
      </c>
      <c r="AA966">
        <v>7.7</v>
      </c>
      <c r="AB966">
        <v>2</v>
      </c>
      <c r="AC966">
        <v>128</v>
      </c>
      <c r="AD966">
        <v>6</v>
      </c>
      <c r="AE966">
        <v>8</v>
      </c>
      <c r="AF966">
        <v>182</v>
      </c>
      <c r="AG966">
        <v>70</v>
      </c>
      <c r="AH966">
        <v>99</v>
      </c>
      <c r="AI966">
        <v>30</v>
      </c>
      <c r="AJ966">
        <v>18</v>
      </c>
      <c r="AK966">
        <v>19</v>
      </c>
      <c r="AL966">
        <v>16</v>
      </c>
      <c r="AM966">
        <v>2</v>
      </c>
      <c r="AN966">
        <v>53</v>
      </c>
      <c r="AO966">
        <v>34</v>
      </c>
      <c r="AP966">
        <v>16</v>
      </c>
      <c r="AQ966">
        <v>44</v>
      </c>
      <c r="AR966">
        <v>2032</v>
      </c>
      <c r="AS966">
        <v>3012</v>
      </c>
      <c r="AT966" t="s">
        <v>7</v>
      </c>
      <c r="AU966">
        <v>0.73</v>
      </c>
      <c r="AV966">
        <v>2015</v>
      </c>
      <c r="AW966" s="1">
        <v>45755</v>
      </c>
      <c r="AX966">
        <v>21.3</v>
      </c>
      <c r="AY966" t="s">
        <v>36</v>
      </c>
      <c r="AZ966" t="s">
        <v>17</v>
      </c>
      <c r="BA966" t="s">
        <v>12</v>
      </c>
      <c r="BB966" t="s">
        <v>13</v>
      </c>
      <c r="BC966" t="s">
        <v>13</v>
      </c>
      <c r="BD966">
        <v>3</v>
      </c>
      <c r="BE966" t="s">
        <v>14</v>
      </c>
      <c r="BF966">
        <v>1.42</v>
      </c>
    </row>
    <row r="967" spans="1:58" hidden="1" x14ac:dyDescent="0.2">
      <c r="A967">
        <v>966</v>
      </c>
      <c r="B967" t="s">
        <v>0</v>
      </c>
      <c r="C967">
        <v>30</v>
      </c>
      <c r="D967" t="s">
        <v>1</v>
      </c>
      <c r="E967" t="s">
        <v>2</v>
      </c>
      <c r="F967" t="s">
        <v>15</v>
      </c>
      <c r="G967" t="s">
        <v>16</v>
      </c>
      <c r="H967" t="s">
        <v>24</v>
      </c>
      <c r="I967" t="s">
        <v>114</v>
      </c>
      <c r="J967" t="s">
        <v>6</v>
      </c>
      <c r="K967" t="s">
        <v>7</v>
      </c>
      <c r="L967">
        <v>1</v>
      </c>
      <c r="M967">
        <v>6.8</v>
      </c>
      <c r="N967" t="s">
        <v>25</v>
      </c>
      <c r="O967" t="s">
        <v>7</v>
      </c>
      <c r="P967" t="s">
        <v>9</v>
      </c>
      <c r="Q967">
        <v>20</v>
      </c>
      <c r="R967">
        <v>2</v>
      </c>
      <c r="S967">
        <v>21</v>
      </c>
      <c r="T967">
        <v>91</v>
      </c>
      <c r="U967">
        <v>98</v>
      </c>
      <c r="V967">
        <v>7891</v>
      </c>
      <c r="W967">
        <v>41.7</v>
      </c>
      <c r="X967">
        <v>4</v>
      </c>
      <c r="Y967">
        <v>2</v>
      </c>
      <c r="Z967">
        <v>12</v>
      </c>
      <c r="AA967">
        <v>4.5999999999999996</v>
      </c>
      <c r="AB967">
        <v>4</v>
      </c>
      <c r="AC967">
        <v>303</v>
      </c>
      <c r="AD967">
        <v>33</v>
      </c>
      <c r="AE967">
        <v>7</v>
      </c>
      <c r="AF967">
        <v>229</v>
      </c>
      <c r="AG967">
        <v>150</v>
      </c>
      <c r="AH967">
        <v>193</v>
      </c>
      <c r="AI967">
        <v>63</v>
      </c>
      <c r="AJ967">
        <v>41</v>
      </c>
      <c r="AK967">
        <v>38</v>
      </c>
      <c r="AL967">
        <v>28</v>
      </c>
      <c r="AM967">
        <v>8</v>
      </c>
      <c r="AN967">
        <v>137</v>
      </c>
      <c r="AO967">
        <v>34</v>
      </c>
      <c r="AP967">
        <v>58</v>
      </c>
      <c r="AQ967">
        <v>115</v>
      </c>
      <c r="AR967">
        <v>4048</v>
      </c>
      <c r="AS967">
        <v>3632</v>
      </c>
      <c r="AT967" t="s">
        <v>13</v>
      </c>
      <c r="AU967">
        <v>0.98</v>
      </c>
      <c r="AV967">
        <v>2023</v>
      </c>
      <c r="AW967" s="1">
        <v>45695</v>
      </c>
      <c r="AX967">
        <v>9.1999999999999993</v>
      </c>
      <c r="AY967" t="s">
        <v>30</v>
      </c>
      <c r="AZ967" t="s">
        <v>20</v>
      </c>
      <c r="BA967" t="s">
        <v>12</v>
      </c>
      <c r="BB967" t="s">
        <v>13</v>
      </c>
      <c r="BC967" t="s">
        <v>13</v>
      </c>
      <c r="BD967">
        <v>1</v>
      </c>
      <c r="BE967" t="s">
        <v>14</v>
      </c>
      <c r="BF967">
        <v>1.1200000000000001</v>
      </c>
    </row>
    <row r="968" spans="1:58" hidden="1" x14ac:dyDescent="0.2">
      <c r="A968">
        <v>967</v>
      </c>
      <c r="B968" t="s">
        <v>0</v>
      </c>
      <c r="C968">
        <v>40</v>
      </c>
      <c r="D968" t="s">
        <v>28</v>
      </c>
      <c r="E968" t="s">
        <v>2</v>
      </c>
      <c r="F968" t="s">
        <v>15</v>
      </c>
      <c r="G968" t="s">
        <v>117</v>
      </c>
      <c r="H968" t="s">
        <v>118</v>
      </c>
      <c r="I968" t="s">
        <v>114</v>
      </c>
      <c r="J968" t="s">
        <v>6</v>
      </c>
      <c r="K968" t="s">
        <v>7</v>
      </c>
      <c r="L968">
        <v>16.2</v>
      </c>
      <c r="M968">
        <v>6.8</v>
      </c>
      <c r="N968" t="s">
        <v>25</v>
      </c>
      <c r="O968" t="s">
        <v>41</v>
      </c>
      <c r="P968" t="s">
        <v>46</v>
      </c>
      <c r="Q968">
        <v>8</v>
      </c>
      <c r="R968">
        <v>3</v>
      </c>
      <c r="S968">
        <v>28.8</v>
      </c>
      <c r="T968">
        <v>113</v>
      </c>
      <c r="U968">
        <v>91</v>
      </c>
      <c r="V968">
        <v>7901</v>
      </c>
      <c r="W968">
        <v>39.6</v>
      </c>
      <c r="X968">
        <v>4</v>
      </c>
      <c r="Y968">
        <v>3</v>
      </c>
      <c r="Z968">
        <v>15</v>
      </c>
      <c r="AA968">
        <v>1.1000000000000001</v>
      </c>
      <c r="AB968">
        <v>3</v>
      </c>
      <c r="AC968">
        <v>91</v>
      </c>
      <c r="AD968">
        <v>4</v>
      </c>
      <c r="AE968">
        <v>3</v>
      </c>
      <c r="AF968">
        <v>79</v>
      </c>
      <c r="AG968">
        <v>74</v>
      </c>
      <c r="AH968">
        <v>56</v>
      </c>
      <c r="AI968">
        <v>24</v>
      </c>
      <c r="AJ968">
        <v>21</v>
      </c>
      <c r="AK968">
        <v>22</v>
      </c>
      <c r="AL968">
        <v>12</v>
      </c>
      <c r="AM968">
        <v>1</v>
      </c>
      <c r="AN968">
        <v>51</v>
      </c>
      <c r="AO968">
        <v>18</v>
      </c>
      <c r="AP968">
        <v>12</v>
      </c>
      <c r="AQ968">
        <v>36</v>
      </c>
      <c r="AR968">
        <v>677</v>
      </c>
      <c r="AS968">
        <v>516</v>
      </c>
      <c r="AT968" t="s">
        <v>13</v>
      </c>
      <c r="AU968">
        <v>0.84</v>
      </c>
      <c r="AV968">
        <v>2023</v>
      </c>
      <c r="AW968" s="1">
        <v>45702</v>
      </c>
      <c r="AX968">
        <v>22.8</v>
      </c>
      <c r="AY968" t="s">
        <v>30</v>
      </c>
      <c r="AZ968" t="s">
        <v>20</v>
      </c>
      <c r="BA968" t="s">
        <v>122</v>
      </c>
      <c r="BB968" t="s">
        <v>13</v>
      </c>
      <c r="BC968" t="s">
        <v>13</v>
      </c>
      <c r="BD968">
        <v>1</v>
      </c>
      <c r="BE968" t="s">
        <v>14</v>
      </c>
      <c r="BF968">
        <v>1.23</v>
      </c>
    </row>
    <row r="969" spans="1:58" hidden="1" x14ac:dyDescent="0.2">
      <c r="A969">
        <v>968</v>
      </c>
      <c r="B969" t="s">
        <v>0</v>
      </c>
      <c r="C969">
        <v>54</v>
      </c>
      <c r="D969" t="s">
        <v>1</v>
      </c>
      <c r="E969" t="s">
        <v>47</v>
      </c>
      <c r="F969" t="s">
        <v>15</v>
      </c>
      <c r="G969" t="s">
        <v>116</v>
      </c>
      <c r="H969" t="s">
        <v>34</v>
      </c>
      <c r="I969" t="s">
        <v>114</v>
      </c>
      <c r="J969" t="s">
        <v>6</v>
      </c>
      <c r="K969" t="s">
        <v>13</v>
      </c>
      <c r="L969">
        <v>11</v>
      </c>
      <c r="M969">
        <v>7.6</v>
      </c>
      <c r="N969" t="s">
        <v>8</v>
      </c>
      <c r="O969" t="s">
        <v>7</v>
      </c>
      <c r="P969" t="s">
        <v>26</v>
      </c>
      <c r="Q969">
        <v>13</v>
      </c>
      <c r="R969">
        <v>9</v>
      </c>
      <c r="S969">
        <v>25.3</v>
      </c>
      <c r="T969">
        <v>138</v>
      </c>
      <c r="U969">
        <v>88</v>
      </c>
      <c r="V969">
        <v>8013</v>
      </c>
      <c r="W969">
        <v>53</v>
      </c>
      <c r="X969">
        <v>6</v>
      </c>
      <c r="Y969">
        <v>3</v>
      </c>
      <c r="Z969">
        <v>9</v>
      </c>
      <c r="AA969">
        <v>11.6</v>
      </c>
      <c r="AB969">
        <v>5</v>
      </c>
      <c r="AC969">
        <v>107</v>
      </c>
      <c r="AD969">
        <v>5</v>
      </c>
      <c r="AE969">
        <v>4</v>
      </c>
      <c r="AF969">
        <v>97</v>
      </c>
      <c r="AG969">
        <v>63</v>
      </c>
      <c r="AH969">
        <v>75</v>
      </c>
      <c r="AI969">
        <v>18</v>
      </c>
      <c r="AJ969">
        <v>16</v>
      </c>
      <c r="AK969">
        <v>22</v>
      </c>
      <c r="AL969">
        <v>9</v>
      </c>
      <c r="AM969">
        <v>6</v>
      </c>
      <c r="AN969">
        <v>63</v>
      </c>
      <c r="AO969">
        <v>12</v>
      </c>
      <c r="AP969">
        <v>19</v>
      </c>
      <c r="AQ969">
        <v>35</v>
      </c>
      <c r="AR969">
        <v>341</v>
      </c>
      <c r="AS969">
        <v>814</v>
      </c>
      <c r="AT969" t="s">
        <v>7</v>
      </c>
      <c r="AU969">
        <v>0.91</v>
      </c>
      <c r="AV969">
        <v>2012</v>
      </c>
      <c r="AW969" s="1">
        <v>45826</v>
      </c>
      <c r="AX969">
        <v>21.4</v>
      </c>
      <c r="AY969" t="s">
        <v>45</v>
      </c>
      <c r="AZ969" t="s">
        <v>20</v>
      </c>
      <c r="BA969" t="s">
        <v>122</v>
      </c>
      <c r="BB969" t="s">
        <v>13</v>
      </c>
      <c r="BC969" t="s">
        <v>13</v>
      </c>
      <c r="BD969">
        <v>3</v>
      </c>
      <c r="BE969" t="s">
        <v>14</v>
      </c>
      <c r="BF969">
        <v>1.1399999999999999</v>
      </c>
    </row>
    <row r="970" spans="1:58" hidden="1" x14ac:dyDescent="0.2">
      <c r="A970">
        <v>969</v>
      </c>
      <c r="B970" t="s">
        <v>0</v>
      </c>
      <c r="C970">
        <v>34</v>
      </c>
      <c r="D970" t="s">
        <v>28</v>
      </c>
      <c r="E970" t="s">
        <v>47</v>
      </c>
      <c r="F970" t="s">
        <v>15</v>
      </c>
      <c r="G970" t="s">
        <v>117</v>
      </c>
      <c r="H970" t="s">
        <v>118</v>
      </c>
      <c r="I970" t="s">
        <v>114</v>
      </c>
      <c r="J970" t="s">
        <v>6</v>
      </c>
      <c r="K970" t="s">
        <v>7</v>
      </c>
      <c r="L970">
        <v>4.5999999999999996</v>
      </c>
      <c r="M970">
        <v>7.8</v>
      </c>
      <c r="N970" t="s">
        <v>8</v>
      </c>
      <c r="O970" t="s">
        <v>7</v>
      </c>
      <c r="P970" t="s">
        <v>26</v>
      </c>
      <c r="Q970">
        <v>2</v>
      </c>
      <c r="R970">
        <v>4</v>
      </c>
      <c r="S970">
        <v>28.2</v>
      </c>
      <c r="T970">
        <v>121</v>
      </c>
      <c r="U970">
        <v>72</v>
      </c>
      <c r="V970">
        <v>7940</v>
      </c>
      <c r="W970">
        <v>22.9</v>
      </c>
      <c r="X970">
        <v>2</v>
      </c>
      <c r="Y970">
        <v>4</v>
      </c>
      <c r="Z970">
        <v>15</v>
      </c>
      <c r="AA970">
        <v>3</v>
      </c>
      <c r="AB970">
        <v>2</v>
      </c>
      <c r="AC970">
        <v>64</v>
      </c>
      <c r="AD970">
        <v>6</v>
      </c>
      <c r="AE970">
        <v>1</v>
      </c>
      <c r="AF970">
        <v>85</v>
      </c>
      <c r="AG970">
        <v>67</v>
      </c>
      <c r="AH970">
        <v>50</v>
      </c>
      <c r="AI970">
        <v>9</v>
      </c>
      <c r="AJ970">
        <v>25</v>
      </c>
      <c r="AK970">
        <v>18</v>
      </c>
      <c r="AL970">
        <v>11</v>
      </c>
      <c r="AM970">
        <v>6</v>
      </c>
      <c r="AN970">
        <v>26</v>
      </c>
      <c r="AO970">
        <v>14</v>
      </c>
      <c r="AP970">
        <v>16</v>
      </c>
      <c r="AQ970">
        <v>21</v>
      </c>
      <c r="AR970">
        <v>826</v>
      </c>
      <c r="AS970">
        <v>1813</v>
      </c>
      <c r="AT970" t="s">
        <v>7</v>
      </c>
      <c r="AU970">
        <v>0.76</v>
      </c>
      <c r="AV970">
        <v>2013</v>
      </c>
      <c r="AW970" s="1">
        <v>46021</v>
      </c>
      <c r="AX970">
        <v>10.7</v>
      </c>
      <c r="AY970" t="s">
        <v>19</v>
      </c>
      <c r="AZ970" t="s">
        <v>37</v>
      </c>
      <c r="BA970" t="s">
        <v>12</v>
      </c>
      <c r="BB970" t="s">
        <v>13</v>
      </c>
      <c r="BC970" t="s">
        <v>7</v>
      </c>
      <c r="BD970">
        <v>2</v>
      </c>
      <c r="BE970" t="s">
        <v>14</v>
      </c>
      <c r="BF970">
        <v>1.0900000000000001</v>
      </c>
    </row>
    <row r="971" spans="1:58" hidden="1" x14ac:dyDescent="0.2">
      <c r="A971">
        <v>970</v>
      </c>
      <c r="B971" t="s">
        <v>0</v>
      </c>
      <c r="C971">
        <v>33</v>
      </c>
      <c r="D971" t="s">
        <v>1</v>
      </c>
      <c r="E971" t="s">
        <v>2</v>
      </c>
      <c r="F971" t="s">
        <v>15</v>
      </c>
      <c r="G971" t="s">
        <v>16</v>
      </c>
      <c r="H971" t="s">
        <v>118</v>
      </c>
      <c r="I971" t="s">
        <v>113</v>
      </c>
      <c r="J971" t="s">
        <v>123</v>
      </c>
      <c r="K971" t="s">
        <v>7</v>
      </c>
      <c r="L971">
        <v>1.4</v>
      </c>
      <c r="M971">
        <v>6.9</v>
      </c>
      <c r="N971" t="s">
        <v>8</v>
      </c>
      <c r="O971" t="s">
        <v>7</v>
      </c>
      <c r="P971" t="s">
        <v>9</v>
      </c>
      <c r="Q971">
        <v>21</v>
      </c>
      <c r="R971">
        <v>4</v>
      </c>
      <c r="S971">
        <v>26.4</v>
      </c>
      <c r="T971">
        <v>134</v>
      </c>
      <c r="U971">
        <v>72</v>
      </c>
      <c r="V971">
        <v>7855</v>
      </c>
      <c r="W971">
        <v>17.3</v>
      </c>
      <c r="X971">
        <v>1</v>
      </c>
      <c r="Y971">
        <v>4</v>
      </c>
      <c r="Z971">
        <v>10</v>
      </c>
      <c r="AA971">
        <v>9.3000000000000007</v>
      </c>
      <c r="AB971">
        <v>3</v>
      </c>
      <c r="AC971">
        <v>169</v>
      </c>
      <c r="AD971">
        <v>11</v>
      </c>
      <c r="AE971">
        <v>5</v>
      </c>
      <c r="AF971">
        <v>132</v>
      </c>
      <c r="AG971">
        <v>94</v>
      </c>
      <c r="AH971">
        <v>96</v>
      </c>
      <c r="AI971">
        <v>27</v>
      </c>
      <c r="AJ971">
        <v>33</v>
      </c>
      <c r="AK971">
        <v>28</v>
      </c>
      <c r="AL971">
        <v>16</v>
      </c>
      <c r="AM971">
        <v>3</v>
      </c>
      <c r="AN971">
        <v>86</v>
      </c>
      <c r="AO971">
        <v>34</v>
      </c>
      <c r="AP971">
        <v>17</v>
      </c>
      <c r="AQ971">
        <v>38</v>
      </c>
      <c r="AR971">
        <v>524</v>
      </c>
      <c r="AS971">
        <v>1001</v>
      </c>
      <c r="AT971" t="s">
        <v>7</v>
      </c>
      <c r="AU971">
        <v>0.41</v>
      </c>
      <c r="AV971">
        <v>2023</v>
      </c>
      <c r="AW971" s="1">
        <v>45833</v>
      </c>
      <c r="AX971">
        <v>15.4</v>
      </c>
      <c r="AY971" t="s">
        <v>36</v>
      </c>
      <c r="AZ971" t="s">
        <v>17</v>
      </c>
      <c r="BA971" t="s">
        <v>12</v>
      </c>
      <c r="BB971" t="s">
        <v>7</v>
      </c>
      <c r="BC971" t="s">
        <v>7</v>
      </c>
      <c r="BD971">
        <v>2</v>
      </c>
      <c r="BE971" t="s">
        <v>49</v>
      </c>
      <c r="BF971">
        <v>0.97</v>
      </c>
    </row>
    <row r="972" spans="1:58" hidden="1" x14ac:dyDescent="0.2">
      <c r="A972">
        <v>971</v>
      </c>
      <c r="B972" t="s">
        <v>0</v>
      </c>
      <c r="C972">
        <v>18</v>
      </c>
      <c r="D972" t="s">
        <v>1</v>
      </c>
      <c r="E972" t="s">
        <v>2</v>
      </c>
      <c r="F972" t="s">
        <v>15</v>
      </c>
      <c r="G972" t="s">
        <v>38</v>
      </c>
      <c r="H972" t="s">
        <v>23</v>
      </c>
      <c r="I972" t="s">
        <v>17</v>
      </c>
      <c r="J972" t="s">
        <v>6</v>
      </c>
      <c r="K972" t="s">
        <v>7</v>
      </c>
      <c r="L972">
        <v>14.1</v>
      </c>
      <c r="M972">
        <v>8.1999999999999993</v>
      </c>
      <c r="N972" t="s">
        <v>39</v>
      </c>
      <c r="O972" t="s">
        <v>13</v>
      </c>
      <c r="P972" t="s">
        <v>26</v>
      </c>
      <c r="Q972">
        <v>26</v>
      </c>
      <c r="R972">
        <v>6</v>
      </c>
      <c r="S972">
        <v>25.9</v>
      </c>
      <c r="T972">
        <v>129</v>
      </c>
      <c r="U972">
        <v>80</v>
      </c>
      <c r="V972">
        <v>8016</v>
      </c>
      <c r="W972">
        <v>56.9</v>
      </c>
      <c r="X972">
        <v>2</v>
      </c>
      <c r="Y972">
        <v>0</v>
      </c>
      <c r="Z972">
        <v>14</v>
      </c>
      <c r="AA972">
        <v>2.2000000000000002</v>
      </c>
      <c r="AB972">
        <v>3</v>
      </c>
      <c r="AC972">
        <v>298</v>
      </c>
      <c r="AD972">
        <v>28</v>
      </c>
      <c r="AE972">
        <v>15</v>
      </c>
      <c r="AF972">
        <v>300</v>
      </c>
      <c r="AG972">
        <v>150</v>
      </c>
      <c r="AH972">
        <v>187</v>
      </c>
      <c r="AI972">
        <v>45</v>
      </c>
      <c r="AJ972">
        <v>45</v>
      </c>
      <c r="AK972">
        <v>42</v>
      </c>
      <c r="AL972">
        <v>26</v>
      </c>
      <c r="AM972">
        <v>7</v>
      </c>
      <c r="AN972">
        <v>131</v>
      </c>
      <c r="AO972">
        <v>47</v>
      </c>
      <c r="AP972">
        <v>69</v>
      </c>
      <c r="AQ972">
        <v>72</v>
      </c>
      <c r="AR972">
        <v>8528</v>
      </c>
      <c r="AS972">
        <v>10000</v>
      </c>
      <c r="AT972" t="s">
        <v>7</v>
      </c>
      <c r="AU972">
        <v>0.19</v>
      </c>
      <c r="AV972">
        <v>2024</v>
      </c>
      <c r="AW972" s="1">
        <v>45998</v>
      </c>
      <c r="AX972">
        <v>10.6</v>
      </c>
      <c r="AY972" t="s">
        <v>45</v>
      </c>
      <c r="AZ972" t="s">
        <v>35</v>
      </c>
      <c r="BA972" t="s">
        <v>122</v>
      </c>
      <c r="BB972" t="s">
        <v>13</v>
      </c>
      <c r="BC972" t="s">
        <v>7</v>
      </c>
      <c r="BD972">
        <v>0</v>
      </c>
      <c r="BE972" t="s">
        <v>14</v>
      </c>
      <c r="BF972">
        <v>1.08</v>
      </c>
    </row>
    <row r="973" spans="1:58" hidden="1" x14ac:dyDescent="0.2">
      <c r="A973">
        <v>972</v>
      </c>
      <c r="B973" t="s">
        <v>0</v>
      </c>
      <c r="C973">
        <v>13</v>
      </c>
      <c r="D973" t="s">
        <v>28</v>
      </c>
      <c r="E973" t="s">
        <v>47</v>
      </c>
      <c r="F973" t="s">
        <v>40</v>
      </c>
      <c r="G973" t="s">
        <v>117</v>
      </c>
      <c r="H973" t="s">
        <v>118</v>
      </c>
      <c r="I973" t="s">
        <v>115</v>
      </c>
      <c r="J973" t="s">
        <v>6</v>
      </c>
      <c r="K973" t="s">
        <v>13</v>
      </c>
      <c r="L973">
        <v>1.9</v>
      </c>
      <c r="M973">
        <v>5.4</v>
      </c>
      <c r="N973" t="s">
        <v>25</v>
      </c>
      <c r="O973" t="s">
        <v>41</v>
      </c>
      <c r="P973" t="s">
        <v>9</v>
      </c>
      <c r="Q973">
        <v>34</v>
      </c>
      <c r="R973">
        <v>4</v>
      </c>
      <c r="S973">
        <v>30.6</v>
      </c>
      <c r="T973">
        <v>115</v>
      </c>
      <c r="U973">
        <v>66</v>
      </c>
      <c r="V973">
        <v>8048</v>
      </c>
      <c r="W973">
        <v>30.7</v>
      </c>
      <c r="X973">
        <v>2</v>
      </c>
      <c r="Y973">
        <v>3</v>
      </c>
      <c r="Z973">
        <v>8</v>
      </c>
      <c r="AA973">
        <v>0.2</v>
      </c>
      <c r="AB973">
        <v>3</v>
      </c>
      <c r="AC973">
        <v>405</v>
      </c>
      <c r="AD973">
        <v>14</v>
      </c>
      <c r="AE973">
        <v>21</v>
      </c>
      <c r="AF973">
        <v>300</v>
      </c>
      <c r="AG973">
        <v>150</v>
      </c>
      <c r="AH973">
        <v>245</v>
      </c>
      <c r="AI973">
        <v>59</v>
      </c>
      <c r="AJ973">
        <v>51</v>
      </c>
      <c r="AK973">
        <v>58</v>
      </c>
      <c r="AL973">
        <v>30</v>
      </c>
      <c r="AM973">
        <v>10</v>
      </c>
      <c r="AN973">
        <v>182</v>
      </c>
      <c r="AO973">
        <v>88</v>
      </c>
      <c r="AP973">
        <v>62</v>
      </c>
      <c r="AQ973">
        <v>120</v>
      </c>
      <c r="AR973">
        <v>2569</v>
      </c>
      <c r="AS973">
        <v>1814</v>
      </c>
      <c r="AT973" t="s">
        <v>7</v>
      </c>
      <c r="AU973">
        <v>0.77</v>
      </c>
      <c r="AV973">
        <v>2019</v>
      </c>
      <c r="AW973" s="1">
        <v>45866</v>
      </c>
      <c r="AX973">
        <v>28.9</v>
      </c>
      <c r="AY973" t="s">
        <v>27</v>
      </c>
      <c r="AZ973" t="s">
        <v>11</v>
      </c>
      <c r="BA973" t="s">
        <v>12</v>
      </c>
      <c r="BB973" t="s">
        <v>7</v>
      </c>
      <c r="BC973" t="s">
        <v>13</v>
      </c>
      <c r="BD973">
        <v>1</v>
      </c>
      <c r="BE973" t="s">
        <v>14</v>
      </c>
      <c r="BF973">
        <v>1.05</v>
      </c>
    </row>
    <row r="974" spans="1:58" hidden="1" x14ac:dyDescent="0.2">
      <c r="A974">
        <v>973</v>
      </c>
      <c r="B974" t="s">
        <v>0</v>
      </c>
      <c r="C974">
        <v>17</v>
      </c>
      <c r="D974" t="s">
        <v>1</v>
      </c>
      <c r="E974" t="s">
        <v>47</v>
      </c>
      <c r="F974" t="s">
        <v>15</v>
      </c>
      <c r="G974" t="s">
        <v>117</v>
      </c>
      <c r="H974" t="s">
        <v>118</v>
      </c>
      <c r="I974" t="s">
        <v>114</v>
      </c>
      <c r="J974" t="s">
        <v>32</v>
      </c>
      <c r="K974" t="s">
        <v>7</v>
      </c>
      <c r="L974">
        <v>7.7</v>
      </c>
      <c r="M974">
        <v>5.7</v>
      </c>
      <c r="N974" t="s">
        <v>120</v>
      </c>
      <c r="O974" t="s">
        <v>7</v>
      </c>
      <c r="P974" t="s">
        <v>9</v>
      </c>
      <c r="Q974">
        <v>14</v>
      </c>
      <c r="R974">
        <v>10</v>
      </c>
      <c r="S974">
        <v>32.299999999999997</v>
      </c>
      <c r="T974">
        <v>124</v>
      </c>
      <c r="U974">
        <v>74</v>
      </c>
      <c r="V974">
        <v>7936</v>
      </c>
      <c r="W974">
        <v>40.200000000000003</v>
      </c>
      <c r="X974">
        <v>5</v>
      </c>
      <c r="Y974">
        <v>12</v>
      </c>
      <c r="Z974">
        <v>12</v>
      </c>
      <c r="AA974">
        <v>8.3000000000000007</v>
      </c>
      <c r="AB974">
        <v>4</v>
      </c>
      <c r="AC974">
        <v>87</v>
      </c>
      <c r="AD974">
        <v>10</v>
      </c>
      <c r="AE974">
        <v>10</v>
      </c>
      <c r="AF974">
        <v>158</v>
      </c>
      <c r="AG974">
        <v>67</v>
      </c>
      <c r="AH974">
        <v>66</v>
      </c>
      <c r="AI974">
        <v>26</v>
      </c>
      <c r="AJ974">
        <v>27</v>
      </c>
      <c r="AK974">
        <v>11</v>
      </c>
      <c r="AL974">
        <v>12</v>
      </c>
      <c r="AM974">
        <v>1</v>
      </c>
      <c r="AN974">
        <v>48</v>
      </c>
      <c r="AO974">
        <v>14</v>
      </c>
      <c r="AP974">
        <v>13</v>
      </c>
      <c r="AQ974">
        <v>24</v>
      </c>
      <c r="AR974">
        <v>1200</v>
      </c>
      <c r="AS974">
        <v>683</v>
      </c>
      <c r="AT974" t="s">
        <v>7</v>
      </c>
      <c r="AU974">
        <v>0.28999999999999998</v>
      </c>
      <c r="AV974">
        <v>2015</v>
      </c>
      <c r="AW974" s="1">
        <v>45794</v>
      </c>
      <c r="AX974">
        <v>8.6999999999999993</v>
      </c>
      <c r="AY974" t="s">
        <v>19</v>
      </c>
      <c r="AZ974" t="s">
        <v>31</v>
      </c>
      <c r="BA974" t="s">
        <v>122</v>
      </c>
      <c r="BB974" t="s">
        <v>13</v>
      </c>
      <c r="BC974" t="s">
        <v>13</v>
      </c>
      <c r="BD974">
        <v>1</v>
      </c>
      <c r="BE974" t="s">
        <v>14</v>
      </c>
      <c r="BF974">
        <v>1.68</v>
      </c>
    </row>
    <row r="975" spans="1:58" hidden="1" x14ac:dyDescent="0.2">
      <c r="A975">
        <v>974</v>
      </c>
      <c r="B975" t="s">
        <v>0</v>
      </c>
      <c r="C975">
        <v>53</v>
      </c>
      <c r="D975" t="s">
        <v>28</v>
      </c>
      <c r="E975" t="s">
        <v>2</v>
      </c>
      <c r="F975" t="s">
        <v>15</v>
      </c>
      <c r="G975" t="s">
        <v>117</v>
      </c>
      <c r="H975" t="s">
        <v>119</v>
      </c>
      <c r="I975" t="s">
        <v>53</v>
      </c>
      <c r="J975" t="s">
        <v>6</v>
      </c>
      <c r="K975" t="s">
        <v>7</v>
      </c>
      <c r="L975">
        <v>6.8</v>
      </c>
      <c r="M975">
        <v>6.7</v>
      </c>
      <c r="N975" t="s">
        <v>25</v>
      </c>
      <c r="O975" t="s">
        <v>7</v>
      </c>
      <c r="P975" t="s">
        <v>46</v>
      </c>
      <c r="Q975">
        <v>16</v>
      </c>
      <c r="R975">
        <v>8</v>
      </c>
      <c r="S975">
        <v>26.9</v>
      </c>
      <c r="T975">
        <v>131</v>
      </c>
      <c r="U975">
        <v>60</v>
      </c>
      <c r="V975">
        <v>8016</v>
      </c>
      <c r="W975">
        <v>31.4</v>
      </c>
      <c r="X975">
        <v>1</v>
      </c>
      <c r="Y975">
        <v>5</v>
      </c>
      <c r="Z975">
        <v>9</v>
      </c>
      <c r="AA975">
        <v>0.3</v>
      </c>
      <c r="AB975">
        <v>1</v>
      </c>
      <c r="AC975">
        <v>120</v>
      </c>
      <c r="AD975">
        <v>5</v>
      </c>
      <c r="AE975">
        <v>2</v>
      </c>
      <c r="AF975">
        <v>112</v>
      </c>
      <c r="AG975">
        <v>82</v>
      </c>
      <c r="AH975">
        <v>84</v>
      </c>
      <c r="AI975">
        <v>25</v>
      </c>
      <c r="AJ975">
        <v>22</v>
      </c>
      <c r="AK975">
        <v>30</v>
      </c>
      <c r="AL975">
        <v>12</v>
      </c>
      <c r="AM975">
        <v>3</v>
      </c>
      <c r="AN975">
        <v>57</v>
      </c>
      <c r="AO975">
        <v>17</v>
      </c>
      <c r="AP975">
        <v>21</v>
      </c>
      <c r="AQ975">
        <v>26</v>
      </c>
      <c r="AR975">
        <v>1087</v>
      </c>
      <c r="AS975">
        <v>2248</v>
      </c>
      <c r="AT975" t="s">
        <v>7</v>
      </c>
      <c r="AU975">
        <v>0.64</v>
      </c>
      <c r="AV975">
        <v>2024</v>
      </c>
      <c r="AW975" s="1">
        <v>45778</v>
      </c>
      <c r="AX975">
        <v>24</v>
      </c>
      <c r="AY975" t="s">
        <v>10</v>
      </c>
      <c r="AZ975" t="s">
        <v>35</v>
      </c>
      <c r="BA975" t="s">
        <v>122</v>
      </c>
      <c r="BB975" t="s">
        <v>13</v>
      </c>
      <c r="BC975" t="s">
        <v>13</v>
      </c>
      <c r="BD975">
        <v>2</v>
      </c>
      <c r="BE975" t="s">
        <v>14</v>
      </c>
      <c r="BF975">
        <v>1.1599999999999999</v>
      </c>
    </row>
    <row r="976" spans="1:58" hidden="1" x14ac:dyDescent="0.2">
      <c r="A976">
        <v>975</v>
      </c>
      <c r="B976" t="s">
        <v>0</v>
      </c>
      <c r="C976">
        <v>24</v>
      </c>
      <c r="D976" t="s">
        <v>1</v>
      </c>
      <c r="E976" t="s">
        <v>128</v>
      </c>
      <c r="F976" t="s">
        <v>15</v>
      </c>
      <c r="G976" t="s">
        <v>16</v>
      </c>
      <c r="H976" t="s">
        <v>118</v>
      </c>
      <c r="I976" t="s">
        <v>115</v>
      </c>
      <c r="J976" t="s">
        <v>44</v>
      </c>
      <c r="K976" t="s">
        <v>7</v>
      </c>
      <c r="L976">
        <v>20.6</v>
      </c>
      <c r="M976">
        <v>6.6</v>
      </c>
      <c r="N976" t="s">
        <v>8</v>
      </c>
      <c r="O976" t="s">
        <v>7</v>
      </c>
      <c r="P976" t="s">
        <v>26</v>
      </c>
      <c r="Q976">
        <v>35</v>
      </c>
      <c r="R976">
        <v>3</v>
      </c>
      <c r="S976">
        <v>22.1</v>
      </c>
      <c r="T976">
        <v>147</v>
      </c>
      <c r="U976">
        <v>96</v>
      </c>
      <c r="V976">
        <v>7928</v>
      </c>
      <c r="W976">
        <v>28.3</v>
      </c>
      <c r="X976">
        <v>6</v>
      </c>
      <c r="Y976">
        <v>4</v>
      </c>
      <c r="Z976">
        <v>14</v>
      </c>
      <c r="AA976">
        <v>5.2</v>
      </c>
      <c r="AB976">
        <v>4</v>
      </c>
      <c r="AC976">
        <v>356</v>
      </c>
      <c r="AD976">
        <v>10</v>
      </c>
      <c r="AE976">
        <v>8</v>
      </c>
      <c r="AF976">
        <v>300</v>
      </c>
      <c r="AG976">
        <v>150</v>
      </c>
      <c r="AH976">
        <v>183</v>
      </c>
      <c r="AI976">
        <v>42</v>
      </c>
      <c r="AJ976">
        <v>52</v>
      </c>
      <c r="AK976">
        <v>61</v>
      </c>
      <c r="AL976">
        <v>40</v>
      </c>
      <c r="AM976">
        <v>5</v>
      </c>
      <c r="AN976">
        <v>178</v>
      </c>
      <c r="AO976">
        <v>66</v>
      </c>
      <c r="AP976">
        <v>88</v>
      </c>
      <c r="AQ976">
        <v>88</v>
      </c>
      <c r="AR976">
        <v>2185</v>
      </c>
      <c r="AS976">
        <v>2910</v>
      </c>
      <c r="AT976" t="s">
        <v>7</v>
      </c>
      <c r="AU976">
        <v>0.56999999999999995</v>
      </c>
      <c r="AV976">
        <v>2012</v>
      </c>
      <c r="AW976" s="1">
        <v>45935</v>
      </c>
      <c r="AX976">
        <v>35.6</v>
      </c>
      <c r="AY976" t="s">
        <v>10</v>
      </c>
      <c r="AZ976" t="s">
        <v>48</v>
      </c>
      <c r="BA976" t="s">
        <v>21</v>
      </c>
      <c r="BB976" t="s">
        <v>13</v>
      </c>
      <c r="BC976" t="s">
        <v>13</v>
      </c>
      <c r="BD976">
        <v>4</v>
      </c>
      <c r="BE976" t="s">
        <v>43</v>
      </c>
      <c r="BF976">
        <v>0.82</v>
      </c>
    </row>
    <row r="977" spans="1:58" hidden="1" x14ac:dyDescent="0.2">
      <c r="A977">
        <v>976</v>
      </c>
      <c r="B977" t="s">
        <v>0</v>
      </c>
      <c r="C977">
        <v>38</v>
      </c>
      <c r="D977" t="s">
        <v>1</v>
      </c>
      <c r="E977" t="s">
        <v>22</v>
      </c>
      <c r="F977" t="s">
        <v>40</v>
      </c>
      <c r="G977" t="s">
        <v>116</v>
      </c>
      <c r="H977" t="s">
        <v>119</v>
      </c>
      <c r="I977" t="s">
        <v>112</v>
      </c>
      <c r="J977" t="s">
        <v>123</v>
      </c>
      <c r="K977" t="s">
        <v>7</v>
      </c>
      <c r="L977">
        <v>2.8</v>
      </c>
      <c r="M977">
        <v>8</v>
      </c>
      <c r="N977" t="s">
        <v>29</v>
      </c>
      <c r="O977" t="s">
        <v>13</v>
      </c>
      <c r="P977" t="s">
        <v>121</v>
      </c>
      <c r="Q977">
        <v>3</v>
      </c>
      <c r="R977">
        <v>2</v>
      </c>
      <c r="S977">
        <v>19.7</v>
      </c>
      <c r="T977">
        <v>101</v>
      </c>
      <c r="U977">
        <v>92</v>
      </c>
      <c r="V977">
        <v>8052</v>
      </c>
      <c r="W977">
        <v>27.3</v>
      </c>
      <c r="X977">
        <v>1</v>
      </c>
      <c r="Y977">
        <v>6</v>
      </c>
      <c r="Z977">
        <v>5</v>
      </c>
      <c r="AA977">
        <v>4</v>
      </c>
      <c r="AB977">
        <v>0</v>
      </c>
      <c r="AC977">
        <v>156</v>
      </c>
      <c r="AD977">
        <v>6</v>
      </c>
      <c r="AE977">
        <v>1</v>
      </c>
      <c r="AF977">
        <v>132</v>
      </c>
      <c r="AG977">
        <v>75</v>
      </c>
      <c r="AH977">
        <v>103</v>
      </c>
      <c r="AI977">
        <v>28</v>
      </c>
      <c r="AJ977">
        <v>34</v>
      </c>
      <c r="AK977">
        <v>19</v>
      </c>
      <c r="AL977">
        <v>13</v>
      </c>
      <c r="AM977">
        <v>7</v>
      </c>
      <c r="AN977">
        <v>65</v>
      </c>
      <c r="AO977">
        <v>33</v>
      </c>
      <c r="AP977">
        <v>18</v>
      </c>
      <c r="AQ977">
        <v>51</v>
      </c>
      <c r="AR977">
        <v>357</v>
      </c>
      <c r="AS977">
        <v>463</v>
      </c>
      <c r="AT977" t="s">
        <v>7</v>
      </c>
      <c r="AU977">
        <v>0.56999999999999995</v>
      </c>
      <c r="AV977">
        <v>2017</v>
      </c>
      <c r="AW977" s="1">
        <v>45935</v>
      </c>
      <c r="AX977">
        <v>26</v>
      </c>
      <c r="AY977" t="s">
        <v>19</v>
      </c>
      <c r="AZ977" t="s">
        <v>31</v>
      </c>
      <c r="BA977" t="s">
        <v>12</v>
      </c>
      <c r="BB977" t="s">
        <v>7</v>
      </c>
      <c r="BC977" t="s">
        <v>7</v>
      </c>
      <c r="BD977">
        <v>4</v>
      </c>
      <c r="BE977" t="s">
        <v>14</v>
      </c>
      <c r="BF977">
        <v>1.03</v>
      </c>
    </row>
    <row r="978" spans="1:58" hidden="1" x14ac:dyDescent="0.2">
      <c r="A978">
        <v>977</v>
      </c>
      <c r="B978" t="s">
        <v>0</v>
      </c>
      <c r="C978">
        <v>58</v>
      </c>
      <c r="D978" t="s">
        <v>28</v>
      </c>
      <c r="E978" t="s">
        <v>127</v>
      </c>
      <c r="F978" t="s">
        <v>15</v>
      </c>
      <c r="G978" t="s">
        <v>116</v>
      </c>
      <c r="H978" t="s">
        <v>24</v>
      </c>
      <c r="I978" t="s">
        <v>115</v>
      </c>
      <c r="J978" t="s">
        <v>123</v>
      </c>
      <c r="K978" t="s">
        <v>7</v>
      </c>
      <c r="L978">
        <v>15.2</v>
      </c>
      <c r="M978">
        <v>7.6</v>
      </c>
      <c r="N978" t="s">
        <v>8</v>
      </c>
      <c r="O978" t="s">
        <v>7</v>
      </c>
      <c r="P978" t="s">
        <v>46</v>
      </c>
      <c r="Q978">
        <v>13</v>
      </c>
      <c r="R978">
        <v>8</v>
      </c>
      <c r="S978">
        <v>24.8</v>
      </c>
      <c r="T978">
        <v>119</v>
      </c>
      <c r="U978">
        <v>84</v>
      </c>
      <c r="V978">
        <v>7990</v>
      </c>
      <c r="W978">
        <v>42.8</v>
      </c>
      <c r="X978">
        <v>3</v>
      </c>
      <c r="Y978">
        <v>4</v>
      </c>
      <c r="Z978">
        <v>11</v>
      </c>
      <c r="AA978">
        <v>5.6</v>
      </c>
      <c r="AB978">
        <v>3</v>
      </c>
      <c r="AC978">
        <v>49</v>
      </c>
      <c r="AD978">
        <v>4</v>
      </c>
      <c r="AE978">
        <v>4</v>
      </c>
      <c r="AF978">
        <v>69</v>
      </c>
      <c r="AG978">
        <v>56</v>
      </c>
      <c r="AH978">
        <v>62</v>
      </c>
      <c r="AI978">
        <v>14</v>
      </c>
      <c r="AJ978">
        <v>10</v>
      </c>
      <c r="AK978">
        <v>6</v>
      </c>
      <c r="AL978">
        <v>11</v>
      </c>
      <c r="AM978">
        <v>5</v>
      </c>
      <c r="AN978">
        <v>21</v>
      </c>
      <c r="AO978">
        <v>7</v>
      </c>
      <c r="AP978">
        <v>10</v>
      </c>
      <c r="AQ978">
        <v>11</v>
      </c>
      <c r="AR978">
        <v>8547</v>
      </c>
      <c r="AS978">
        <v>4702</v>
      </c>
      <c r="AT978" t="s">
        <v>7</v>
      </c>
      <c r="AU978">
        <v>0.37</v>
      </c>
      <c r="AV978">
        <v>2014</v>
      </c>
      <c r="AW978" s="1">
        <v>45801</v>
      </c>
      <c r="AX978">
        <v>12.2</v>
      </c>
      <c r="AY978" t="s">
        <v>19</v>
      </c>
      <c r="AZ978" t="s">
        <v>48</v>
      </c>
      <c r="BA978" t="s">
        <v>122</v>
      </c>
      <c r="BB978" t="s">
        <v>13</v>
      </c>
      <c r="BC978" t="s">
        <v>7</v>
      </c>
      <c r="BD978">
        <v>4</v>
      </c>
      <c r="BE978" t="s">
        <v>14</v>
      </c>
      <c r="BF978">
        <v>2.04</v>
      </c>
    </row>
    <row r="979" spans="1:58" hidden="1" x14ac:dyDescent="0.2">
      <c r="A979">
        <v>978</v>
      </c>
      <c r="B979" t="s">
        <v>0</v>
      </c>
      <c r="C979">
        <v>46</v>
      </c>
      <c r="D979" t="s">
        <v>28</v>
      </c>
      <c r="E979" t="s">
        <v>17</v>
      </c>
      <c r="F979" t="s">
        <v>40</v>
      </c>
      <c r="G979" t="s">
        <v>38</v>
      </c>
      <c r="H979" t="s">
        <v>118</v>
      </c>
      <c r="I979" t="s">
        <v>112</v>
      </c>
      <c r="J979" t="s">
        <v>18</v>
      </c>
      <c r="K979" t="s">
        <v>13</v>
      </c>
      <c r="L979">
        <v>3.6</v>
      </c>
      <c r="M979">
        <v>5.3</v>
      </c>
      <c r="N979" t="s">
        <v>25</v>
      </c>
      <c r="O979" t="s">
        <v>7</v>
      </c>
      <c r="P979" t="s">
        <v>9</v>
      </c>
      <c r="Q979">
        <v>0</v>
      </c>
      <c r="R979">
        <v>1</v>
      </c>
      <c r="S979">
        <v>24.3</v>
      </c>
      <c r="T979">
        <v>132</v>
      </c>
      <c r="U979">
        <v>87</v>
      </c>
      <c r="V979">
        <v>7952</v>
      </c>
      <c r="W979">
        <v>27.9</v>
      </c>
      <c r="X979">
        <v>3</v>
      </c>
      <c r="Y979">
        <v>2</v>
      </c>
      <c r="Z979">
        <v>8</v>
      </c>
      <c r="AA979">
        <v>6.3</v>
      </c>
      <c r="AB979">
        <v>3</v>
      </c>
      <c r="AC979">
        <v>30</v>
      </c>
      <c r="AD979">
        <v>1</v>
      </c>
      <c r="AE979">
        <v>3</v>
      </c>
      <c r="AF979">
        <v>54</v>
      </c>
      <c r="AG979">
        <v>47</v>
      </c>
      <c r="AH979">
        <v>39</v>
      </c>
      <c r="AI979">
        <v>11</v>
      </c>
      <c r="AJ979">
        <v>10</v>
      </c>
      <c r="AK979">
        <v>12</v>
      </c>
      <c r="AL979">
        <v>8</v>
      </c>
      <c r="AM979">
        <v>3</v>
      </c>
      <c r="AN979">
        <v>16</v>
      </c>
      <c r="AO979">
        <v>7</v>
      </c>
      <c r="AP979">
        <v>5</v>
      </c>
      <c r="AQ979">
        <v>8</v>
      </c>
      <c r="AR979">
        <v>1097</v>
      </c>
      <c r="AS979">
        <v>1027</v>
      </c>
      <c r="AT979" t="s">
        <v>7</v>
      </c>
      <c r="AU979">
        <v>0.95</v>
      </c>
      <c r="AV979">
        <v>2022</v>
      </c>
      <c r="AW979" s="1">
        <v>46006</v>
      </c>
      <c r="AX979">
        <v>30</v>
      </c>
      <c r="AY979" t="s">
        <v>45</v>
      </c>
      <c r="AZ979" t="s">
        <v>17</v>
      </c>
      <c r="BA979" t="s">
        <v>12</v>
      </c>
      <c r="BB979" t="s">
        <v>13</v>
      </c>
      <c r="BC979" t="s">
        <v>13</v>
      </c>
      <c r="BD979">
        <v>3</v>
      </c>
      <c r="BE979" t="s">
        <v>14</v>
      </c>
      <c r="BF979">
        <v>2.2599999999999998</v>
      </c>
    </row>
    <row r="980" spans="1:58" hidden="1" x14ac:dyDescent="0.2">
      <c r="A980">
        <v>979</v>
      </c>
      <c r="B980" t="s">
        <v>0</v>
      </c>
      <c r="C980">
        <v>61</v>
      </c>
      <c r="D980" t="s">
        <v>1</v>
      </c>
      <c r="E980" t="s">
        <v>50</v>
      </c>
      <c r="F980" t="s">
        <v>15</v>
      </c>
      <c r="G980" t="s">
        <v>116</v>
      </c>
      <c r="H980" t="s">
        <v>23</v>
      </c>
      <c r="I980" t="s">
        <v>115</v>
      </c>
      <c r="J980" t="s">
        <v>32</v>
      </c>
      <c r="K980" t="s">
        <v>7</v>
      </c>
      <c r="L980">
        <v>6.3</v>
      </c>
      <c r="M980">
        <v>7.1</v>
      </c>
      <c r="N980" t="s">
        <v>8</v>
      </c>
      <c r="O980" t="s">
        <v>7</v>
      </c>
      <c r="P980" t="s">
        <v>26</v>
      </c>
      <c r="Q980">
        <v>39</v>
      </c>
      <c r="R980">
        <v>5</v>
      </c>
      <c r="S980">
        <v>21.4</v>
      </c>
      <c r="T980">
        <v>116</v>
      </c>
      <c r="U980">
        <v>91</v>
      </c>
      <c r="V980">
        <v>7959</v>
      </c>
      <c r="W980">
        <v>29.1</v>
      </c>
      <c r="X980">
        <v>4</v>
      </c>
      <c r="Y980">
        <v>3</v>
      </c>
      <c r="Z980">
        <v>11</v>
      </c>
      <c r="AA980">
        <v>4.9000000000000004</v>
      </c>
      <c r="AB980">
        <v>1</v>
      </c>
      <c r="AC980">
        <v>368</v>
      </c>
      <c r="AD980">
        <v>26</v>
      </c>
      <c r="AE980">
        <v>10</v>
      </c>
      <c r="AF980">
        <v>245</v>
      </c>
      <c r="AG980">
        <v>150</v>
      </c>
      <c r="AH980">
        <v>235</v>
      </c>
      <c r="AI980">
        <v>67</v>
      </c>
      <c r="AJ980">
        <v>46</v>
      </c>
      <c r="AK980">
        <v>36</v>
      </c>
      <c r="AL980">
        <v>31</v>
      </c>
      <c r="AM980">
        <v>8</v>
      </c>
      <c r="AN980">
        <v>190</v>
      </c>
      <c r="AO980">
        <v>108</v>
      </c>
      <c r="AP980">
        <v>86</v>
      </c>
      <c r="AQ980">
        <v>125</v>
      </c>
      <c r="AR980">
        <v>243</v>
      </c>
      <c r="AS980">
        <v>477</v>
      </c>
      <c r="AT980" t="s">
        <v>13</v>
      </c>
      <c r="AU980">
        <v>0.48</v>
      </c>
      <c r="AV980">
        <v>2022</v>
      </c>
      <c r="AW980" s="1">
        <v>45857</v>
      </c>
      <c r="AX980">
        <v>14.2</v>
      </c>
      <c r="AY980" t="s">
        <v>30</v>
      </c>
      <c r="AZ980" t="s">
        <v>31</v>
      </c>
      <c r="BA980" t="s">
        <v>12</v>
      </c>
      <c r="BB980" t="s">
        <v>13</v>
      </c>
      <c r="BC980" t="s">
        <v>7</v>
      </c>
      <c r="BD980">
        <v>1</v>
      </c>
      <c r="BE980" t="s">
        <v>14</v>
      </c>
      <c r="BF980">
        <v>1.08</v>
      </c>
    </row>
    <row r="981" spans="1:58" hidden="1" x14ac:dyDescent="0.2">
      <c r="A981">
        <v>980</v>
      </c>
      <c r="B981" t="s">
        <v>0</v>
      </c>
      <c r="C981">
        <v>26</v>
      </c>
      <c r="D981" t="s">
        <v>28</v>
      </c>
      <c r="E981" t="s">
        <v>128</v>
      </c>
      <c r="F981" t="s">
        <v>40</v>
      </c>
      <c r="G981" t="s">
        <v>117</v>
      </c>
      <c r="H981" t="s">
        <v>118</v>
      </c>
      <c r="I981" t="s">
        <v>112</v>
      </c>
      <c r="J981" t="s">
        <v>123</v>
      </c>
      <c r="K981" t="s">
        <v>13</v>
      </c>
      <c r="L981">
        <v>4</v>
      </c>
      <c r="M981">
        <v>5.9</v>
      </c>
      <c r="N981" t="s">
        <v>29</v>
      </c>
      <c r="O981" t="s">
        <v>7</v>
      </c>
      <c r="P981" t="s">
        <v>26</v>
      </c>
      <c r="Q981">
        <v>23</v>
      </c>
      <c r="R981">
        <v>10</v>
      </c>
      <c r="S981">
        <v>20</v>
      </c>
      <c r="T981">
        <v>120</v>
      </c>
      <c r="U981">
        <v>90</v>
      </c>
      <c r="V981">
        <v>8018</v>
      </c>
      <c r="W981">
        <v>35</v>
      </c>
      <c r="X981">
        <v>0</v>
      </c>
      <c r="Y981">
        <v>3</v>
      </c>
      <c r="Z981">
        <v>12</v>
      </c>
      <c r="AA981">
        <v>2.7</v>
      </c>
      <c r="AB981">
        <v>1</v>
      </c>
      <c r="AC981">
        <v>135</v>
      </c>
      <c r="AD981">
        <v>7</v>
      </c>
      <c r="AE981">
        <v>3</v>
      </c>
      <c r="AF981">
        <v>221</v>
      </c>
      <c r="AG981">
        <v>84</v>
      </c>
      <c r="AH981">
        <v>93</v>
      </c>
      <c r="AI981">
        <v>35</v>
      </c>
      <c r="AJ981">
        <v>28</v>
      </c>
      <c r="AK981">
        <v>25</v>
      </c>
      <c r="AL981">
        <v>16</v>
      </c>
      <c r="AM981">
        <v>1</v>
      </c>
      <c r="AN981">
        <v>65</v>
      </c>
      <c r="AO981">
        <v>14</v>
      </c>
      <c r="AP981">
        <v>33</v>
      </c>
      <c r="AQ981">
        <v>37</v>
      </c>
      <c r="AR981">
        <v>4009</v>
      </c>
      <c r="AS981">
        <v>6611</v>
      </c>
      <c r="AT981" t="s">
        <v>7</v>
      </c>
      <c r="AU981">
        <v>0.44</v>
      </c>
      <c r="AV981">
        <v>2019</v>
      </c>
      <c r="AW981" s="1">
        <v>45968</v>
      </c>
      <c r="AX981">
        <v>19.3</v>
      </c>
      <c r="AY981" t="s">
        <v>36</v>
      </c>
      <c r="AZ981" t="s">
        <v>37</v>
      </c>
      <c r="BA981" t="s">
        <v>122</v>
      </c>
      <c r="BB981" t="s">
        <v>13</v>
      </c>
      <c r="BC981" t="s">
        <v>13</v>
      </c>
      <c r="BD981">
        <v>1</v>
      </c>
      <c r="BE981" t="s">
        <v>14</v>
      </c>
      <c r="BF981">
        <v>1.26</v>
      </c>
    </row>
    <row r="982" spans="1:58" hidden="1" x14ac:dyDescent="0.2">
      <c r="A982">
        <v>981</v>
      </c>
      <c r="B982" t="s">
        <v>0</v>
      </c>
      <c r="C982">
        <v>38</v>
      </c>
      <c r="D982" t="s">
        <v>28</v>
      </c>
      <c r="E982" t="s">
        <v>47</v>
      </c>
      <c r="F982" t="s">
        <v>15</v>
      </c>
      <c r="G982" t="s">
        <v>16</v>
      </c>
      <c r="H982" t="s">
        <v>118</v>
      </c>
      <c r="I982" t="s">
        <v>115</v>
      </c>
      <c r="J982" t="s">
        <v>6</v>
      </c>
      <c r="K982" t="s">
        <v>7</v>
      </c>
      <c r="L982">
        <v>5</v>
      </c>
      <c r="M982">
        <v>8.8000000000000007</v>
      </c>
      <c r="N982" t="s">
        <v>25</v>
      </c>
      <c r="O982" t="s">
        <v>7</v>
      </c>
      <c r="P982" t="s">
        <v>46</v>
      </c>
      <c r="Q982">
        <v>14</v>
      </c>
      <c r="R982">
        <v>8</v>
      </c>
      <c r="S982">
        <v>28.7</v>
      </c>
      <c r="T982">
        <v>105</v>
      </c>
      <c r="U982">
        <v>88</v>
      </c>
      <c r="V982">
        <v>7911</v>
      </c>
      <c r="W982">
        <v>32.200000000000003</v>
      </c>
      <c r="X982">
        <v>2</v>
      </c>
      <c r="Y982">
        <v>5</v>
      </c>
      <c r="Z982">
        <v>10</v>
      </c>
      <c r="AA982">
        <v>3.1</v>
      </c>
      <c r="AB982">
        <v>4</v>
      </c>
      <c r="AC982">
        <v>124</v>
      </c>
      <c r="AD982">
        <v>5</v>
      </c>
      <c r="AE982">
        <v>3</v>
      </c>
      <c r="AF982">
        <v>115</v>
      </c>
      <c r="AG982">
        <v>89</v>
      </c>
      <c r="AH982">
        <v>87</v>
      </c>
      <c r="AI982">
        <v>33</v>
      </c>
      <c r="AJ982">
        <v>26</v>
      </c>
      <c r="AK982">
        <v>23</v>
      </c>
      <c r="AL982">
        <v>13</v>
      </c>
      <c r="AM982">
        <v>6</v>
      </c>
      <c r="AN982">
        <v>61</v>
      </c>
      <c r="AO982">
        <v>32</v>
      </c>
      <c r="AP982">
        <v>29</v>
      </c>
      <c r="AQ982">
        <v>33</v>
      </c>
      <c r="AR982">
        <v>1125</v>
      </c>
      <c r="AS982">
        <v>1811</v>
      </c>
      <c r="AT982" t="s">
        <v>7</v>
      </c>
      <c r="AU982">
        <v>0.39</v>
      </c>
      <c r="AV982">
        <v>2011</v>
      </c>
      <c r="AW982" s="1">
        <v>45742</v>
      </c>
      <c r="AX982">
        <v>24.8</v>
      </c>
      <c r="AY982" t="s">
        <v>45</v>
      </c>
      <c r="AZ982" t="s">
        <v>31</v>
      </c>
      <c r="BA982" t="s">
        <v>122</v>
      </c>
      <c r="BB982" t="s">
        <v>13</v>
      </c>
      <c r="BC982" t="s">
        <v>7</v>
      </c>
      <c r="BD982">
        <v>3</v>
      </c>
      <c r="BE982" t="s">
        <v>14</v>
      </c>
      <c r="BF982">
        <v>1.3</v>
      </c>
    </row>
    <row r="983" spans="1:58" hidden="1" x14ac:dyDescent="0.2">
      <c r="A983">
        <v>982</v>
      </c>
      <c r="B983" t="s">
        <v>0</v>
      </c>
      <c r="C983">
        <v>57</v>
      </c>
      <c r="D983" t="s">
        <v>1</v>
      </c>
      <c r="E983" t="s">
        <v>2</v>
      </c>
      <c r="F983" t="s">
        <v>15</v>
      </c>
      <c r="G983" t="s">
        <v>16</v>
      </c>
      <c r="H983" t="s">
        <v>34</v>
      </c>
      <c r="I983" t="s">
        <v>112</v>
      </c>
      <c r="J983" t="s">
        <v>123</v>
      </c>
      <c r="K983" t="s">
        <v>7</v>
      </c>
      <c r="L983">
        <v>4.0999999999999996</v>
      </c>
      <c r="M983">
        <v>5.7</v>
      </c>
      <c r="N983" t="s">
        <v>8</v>
      </c>
      <c r="O983" t="s">
        <v>7</v>
      </c>
      <c r="P983" t="s">
        <v>26</v>
      </c>
      <c r="Q983">
        <v>26</v>
      </c>
      <c r="R983">
        <v>2</v>
      </c>
      <c r="S983">
        <v>24.5</v>
      </c>
      <c r="T983">
        <v>151</v>
      </c>
      <c r="U983">
        <v>81</v>
      </c>
      <c r="V983">
        <v>7977</v>
      </c>
      <c r="W983">
        <v>33.700000000000003</v>
      </c>
      <c r="X983">
        <v>3</v>
      </c>
      <c r="Y983">
        <v>3</v>
      </c>
      <c r="Z983">
        <v>6</v>
      </c>
      <c r="AA983">
        <v>4.0999999999999996</v>
      </c>
      <c r="AB983">
        <v>1</v>
      </c>
      <c r="AC983">
        <v>296</v>
      </c>
      <c r="AD983">
        <v>25</v>
      </c>
      <c r="AE983">
        <v>6</v>
      </c>
      <c r="AF983">
        <v>229</v>
      </c>
      <c r="AG983">
        <v>148</v>
      </c>
      <c r="AH983">
        <v>171</v>
      </c>
      <c r="AI983">
        <v>42</v>
      </c>
      <c r="AJ983">
        <v>38</v>
      </c>
      <c r="AK983">
        <v>44</v>
      </c>
      <c r="AL983">
        <v>34</v>
      </c>
      <c r="AM983">
        <v>6</v>
      </c>
      <c r="AN983">
        <v>175</v>
      </c>
      <c r="AO983">
        <v>87</v>
      </c>
      <c r="AP983">
        <v>40</v>
      </c>
      <c r="AQ983">
        <v>104</v>
      </c>
      <c r="AR983">
        <v>2109</v>
      </c>
      <c r="AS983">
        <v>2462</v>
      </c>
      <c r="AT983" t="s">
        <v>13</v>
      </c>
      <c r="AU983">
        <v>0.89</v>
      </c>
      <c r="AV983">
        <v>2012</v>
      </c>
      <c r="AW983" s="1">
        <v>45954</v>
      </c>
      <c r="AX983">
        <v>11.8</v>
      </c>
      <c r="AY983" t="s">
        <v>27</v>
      </c>
      <c r="AZ983" t="s">
        <v>17</v>
      </c>
      <c r="BA983" t="s">
        <v>21</v>
      </c>
      <c r="BB983" t="s">
        <v>13</v>
      </c>
      <c r="BC983" t="s">
        <v>13</v>
      </c>
      <c r="BD983">
        <v>5</v>
      </c>
      <c r="BE983" t="s">
        <v>43</v>
      </c>
      <c r="BF983">
        <v>0.92</v>
      </c>
    </row>
    <row r="984" spans="1:58" hidden="1" x14ac:dyDescent="0.2">
      <c r="A984">
        <v>983</v>
      </c>
      <c r="B984" t="s">
        <v>0</v>
      </c>
      <c r="C984">
        <v>39</v>
      </c>
      <c r="D984" t="s">
        <v>28</v>
      </c>
      <c r="E984" t="s">
        <v>17</v>
      </c>
      <c r="F984" t="s">
        <v>15</v>
      </c>
      <c r="G984" t="s">
        <v>16</v>
      </c>
      <c r="H984" t="s">
        <v>118</v>
      </c>
      <c r="I984" t="s">
        <v>112</v>
      </c>
      <c r="J984" t="s">
        <v>123</v>
      </c>
      <c r="K984" t="s">
        <v>7</v>
      </c>
      <c r="L984">
        <v>2.6</v>
      </c>
      <c r="M984">
        <v>9</v>
      </c>
      <c r="N984" t="s">
        <v>8</v>
      </c>
      <c r="O984" t="s">
        <v>7</v>
      </c>
      <c r="P984" t="s">
        <v>26</v>
      </c>
      <c r="Q984">
        <v>23</v>
      </c>
      <c r="R984">
        <v>5</v>
      </c>
      <c r="S984">
        <v>25.3</v>
      </c>
      <c r="T984">
        <v>151</v>
      </c>
      <c r="U984">
        <v>68</v>
      </c>
      <c r="V984">
        <v>8056</v>
      </c>
      <c r="W984">
        <v>43.7</v>
      </c>
      <c r="X984">
        <v>4</v>
      </c>
      <c r="Y984">
        <v>2</v>
      </c>
      <c r="Z984">
        <v>10</v>
      </c>
      <c r="AA984">
        <v>6</v>
      </c>
      <c r="AB984">
        <v>4</v>
      </c>
      <c r="AC984">
        <v>254</v>
      </c>
      <c r="AD984">
        <v>8</v>
      </c>
      <c r="AE984">
        <v>10</v>
      </c>
      <c r="AF984">
        <v>193</v>
      </c>
      <c r="AG984">
        <v>113</v>
      </c>
      <c r="AH984">
        <v>152</v>
      </c>
      <c r="AI984">
        <v>41</v>
      </c>
      <c r="AJ984">
        <v>29</v>
      </c>
      <c r="AK984">
        <v>39</v>
      </c>
      <c r="AL984">
        <v>24</v>
      </c>
      <c r="AM984">
        <v>6</v>
      </c>
      <c r="AN984">
        <v>139</v>
      </c>
      <c r="AO984">
        <v>41</v>
      </c>
      <c r="AP984">
        <v>44</v>
      </c>
      <c r="AQ984">
        <v>66</v>
      </c>
      <c r="AR984">
        <v>1405</v>
      </c>
      <c r="AS984">
        <v>2923</v>
      </c>
      <c r="AT984" t="s">
        <v>13</v>
      </c>
      <c r="AU984">
        <v>0.22</v>
      </c>
      <c r="AV984">
        <v>2020</v>
      </c>
      <c r="AW984" s="1">
        <v>45772</v>
      </c>
      <c r="AX984">
        <v>31.8</v>
      </c>
      <c r="AY984" t="s">
        <v>27</v>
      </c>
      <c r="AZ984" t="s">
        <v>37</v>
      </c>
      <c r="BA984" t="s">
        <v>122</v>
      </c>
      <c r="BB984" t="s">
        <v>13</v>
      </c>
      <c r="BC984" t="s">
        <v>7</v>
      </c>
      <c r="BD984">
        <v>0</v>
      </c>
      <c r="BE984" t="s">
        <v>14</v>
      </c>
      <c r="BF984">
        <v>1.04</v>
      </c>
    </row>
    <row r="985" spans="1:58" hidden="1" x14ac:dyDescent="0.2">
      <c r="A985">
        <v>984</v>
      </c>
      <c r="B985" t="s">
        <v>0</v>
      </c>
      <c r="C985">
        <v>21</v>
      </c>
      <c r="D985" t="s">
        <v>1</v>
      </c>
      <c r="E985" t="s">
        <v>47</v>
      </c>
      <c r="F985" t="s">
        <v>3</v>
      </c>
      <c r="G985" t="s">
        <v>116</v>
      </c>
      <c r="H985" t="s">
        <v>118</v>
      </c>
      <c r="I985" t="s">
        <v>112</v>
      </c>
      <c r="J985" t="s">
        <v>32</v>
      </c>
      <c r="K985" t="s">
        <v>13</v>
      </c>
      <c r="L985">
        <v>3.9</v>
      </c>
      <c r="M985">
        <v>5.7</v>
      </c>
      <c r="N985" t="s">
        <v>8</v>
      </c>
      <c r="O985" t="s">
        <v>7</v>
      </c>
      <c r="P985" t="s">
        <v>9</v>
      </c>
      <c r="Q985">
        <v>37</v>
      </c>
      <c r="R985">
        <v>9</v>
      </c>
      <c r="S985">
        <v>20.9</v>
      </c>
      <c r="T985">
        <v>143</v>
      </c>
      <c r="U985">
        <v>88</v>
      </c>
      <c r="V985">
        <v>7957</v>
      </c>
      <c r="W985">
        <v>36.6</v>
      </c>
      <c r="X985">
        <v>2</v>
      </c>
      <c r="Y985">
        <v>2</v>
      </c>
      <c r="Z985">
        <v>5</v>
      </c>
      <c r="AA985">
        <v>2.9</v>
      </c>
      <c r="AB985">
        <v>3</v>
      </c>
      <c r="AC985">
        <v>354</v>
      </c>
      <c r="AD985">
        <v>13</v>
      </c>
      <c r="AE985">
        <v>8</v>
      </c>
      <c r="AF985">
        <v>300</v>
      </c>
      <c r="AG985">
        <v>150</v>
      </c>
      <c r="AH985">
        <v>200</v>
      </c>
      <c r="AI985">
        <v>63</v>
      </c>
      <c r="AJ985">
        <v>53</v>
      </c>
      <c r="AK985">
        <v>65</v>
      </c>
      <c r="AL985">
        <v>40</v>
      </c>
      <c r="AM985">
        <v>13</v>
      </c>
      <c r="AN985">
        <v>209</v>
      </c>
      <c r="AO985">
        <v>68</v>
      </c>
      <c r="AP985">
        <v>81</v>
      </c>
      <c r="AQ985">
        <v>100</v>
      </c>
      <c r="AR985">
        <v>448</v>
      </c>
      <c r="AS985">
        <v>189</v>
      </c>
      <c r="AT985" t="s">
        <v>7</v>
      </c>
      <c r="AU985">
        <v>0.83</v>
      </c>
      <c r="AV985">
        <v>2011</v>
      </c>
      <c r="AW985" s="1">
        <v>45735</v>
      </c>
      <c r="AX985">
        <v>27.2</v>
      </c>
      <c r="AY985" t="s">
        <v>30</v>
      </c>
      <c r="AZ985" t="s">
        <v>11</v>
      </c>
      <c r="BA985" t="s">
        <v>122</v>
      </c>
      <c r="BB985" t="s">
        <v>7</v>
      </c>
      <c r="BC985" t="s">
        <v>7</v>
      </c>
      <c r="BD985">
        <v>1</v>
      </c>
      <c r="BE985" t="s">
        <v>14</v>
      </c>
      <c r="BF985">
        <v>0.99</v>
      </c>
    </row>
    <row r="986" spans="1:58" hidden="1" x14ac:dyDescent="0.2">
      <c r="A986">
        <v>985</v>
      </c>
      <c r="B986" t="s">
        <v>0</v>
      </c>
      <c r="C986">
        <v>38</v>
      </c>
      <c r="D986" t="s">
        <v>28</v>
      </c>
      <c r="E986" t="s">
        <v>126</v>
      </c>
      <c r="F986" t="s">
        <v>40</v>
      </c>
      <c r="G986" t="s">
        <v>116</v>
      </c>
      <c r="H986" t="s">
        <v>23</v>
      </c>
      <c r="I986" t="s">
        <v>112</v>
      </c>
      <c r="J986" t="s">
        <v>6</v>
      </c>
      <c r="K986" t="s">
        <v>7</v>
      </c>
      <c r="L986">
        <v>4.0999999999999996</v>
      </c>
      <c r="M986">
        <v>6.6</v>
      </c>
      <c r="N986" t="s">
        <v>39</v>
      </c>
      <c r="O986" t="s">
        <v>7</v>
      </c>
      <c r="P986" t="s">
        <v>26</v>
      </c>
      <c r="Q986">
        <v>4</v>
      </c>
      <c r="R986">
        <v>6</v>
      </c>
      <c r="S986">
        <v>25.2</v>
      </c>
      <c r="T986">
        <v>131</v>
      </c>
      <c r="U986">
        <v>86</v>
      </c>
      <c r="V986">
        <v>7897</v>
      </c>
      <c r="W986">
        <v>27.5</v>
      </c>
      <c r="X986">
        <v>2</v>
      </c>
      <c r="Y986">
        <v>3</v>
      </c>
      <c r="Z986">
        <v>15</v>
      </c>
      <c r="AA986">
        <v>4.0999999999999996</v>
      </c>
      <c r="AB986">
        <v>2</v>
      </c>
      <c r="AC986">
        <v>50</v>
      </c>
      <c r="AD986">
        <v>2</v>
      </c>
      <c r="AE986">
        <v>3</v>
      </c>
      <c r="AF986">
        <v>72</v>
      </c>
      <c r="AG986">
        <v>52</v>
      </c>
      <c r="AH986">
        <v>59</v>
      </c>
      <c r="AI986">
        <v>20</v>
      </c>
      <c r="AJ986">
        <v>16</v>
      </c>
      <c r="AK986">
        <v>16</v>
      </c>
      <c r="AL986">
        <v>10</v>
      </c>
      <c r="AM986">
        <v>1</v>
      </c>
      <c r="AN986">
        <v>28</v>
      </c>
      <c r="AO986">
        <v>12</v>
      </c>
      <c r="AP986">
        <v>9</v>
      </c>
      <c r="AQ986">
        <v>15</v>
      </c>
      <c r="AR986">
        <v>307</v>
      </c>
      <c r="AS986">
        <v>737</v>
      </c>
      <c r="AT986" t="s">
        <v>7</v>
      </c>
      <c r="AU986">
        <v>0.08</v>
      </c>
      <c r="AV986">
        <v>2010</v>
      </c>
      <c r="AW986" s="1">
        <v>45686</v>
      </c>
      <c r="AX986">
        <v>25</v>
      </c>
      <c r="AY986" t="s">
        <v>10</v>
      </c>
      <c r="AZ986" t="s">
        <v>20</v>
      </c>
      <c r="BA986" t="s">
        <v>21</v>
      </c>
      <c r="BB986" t="s">
        <v>7</v>
      </c>
      <c r="BC986" t="s">
        <v>7</v>
      </c>
      <c r="BD986">
        <v>1</v>
      </c>
      <c r="BE986" t="s">
        <v>43</v>
      </c>
      <c r="BF986">
        <v>2.12</v>
      </c>
    </row>
    <row r="987" spans="1:58" hidden="1" x14ac:dyDescent="0.2">
      <c r="A987">
        <v>986</v>
      </c>
      <c r="B987" t="s">
        <v>0</v>
      </c>
      <c r="C987">
        <v>59</v>
      </c>
      <c r="D987" t="s">
        <v>1</v>
      </c>
      <c r="E987" t="s">
        <v>47</v>
      </c>
      <c r="F987" t="s">
        <v>3</v>
      </c>
      <c r="G987" t="s">
        <v>38</v>
      </c>
      <c r="H987" t="s">
        <v>24</v>
      </c>
      <c r="I987" t="s">
        <v>115</v>
      </c>
      <c r="J987" t="s">
        <v>32</v>
      </c>
      <c r="K987" t="s">
        <v>7</v>
      </c>
      <c r="L987">
        <v>9.1999999999999993</v>
      </c>
      <c r="M987">
        <v>7.4</v>
      </c>
      <c r="N987" t="s">
        <v>8</v>
      </c>
      <c r="O987" t="s">
        <v>7</v>
      </c>
      <c r="P987" t="s">
        <v>9</v>
      </c>
      <c r="Q987">
        <v>22</v>
      </c>
      <c r="R987">
        <v>4</v>
      </c>
      <c r="S987">
        <v>17.2</v>
      </c>
      <c r="T987">
        <v>156</v>
      </c>
      <c r="U987">
        <v>95</v>
      </c>
      <c r="V987">
        <v>8084</v>
      </c>
      <c r="W987">
        <v>29.7</v>
      </c>
      <c r="X987">
        <v>2</v>
      </c>
      <c r="Y987">
        <v>4</v>
      </c>
      <c r="Z987">
        <v>10</v>
      </c>
      <c r="AA987">
        <v>2.8</v>
      </c>
      <c r="AB987">
        <v>4</v>
      </c>
      <c r="AC987">
        <v>189</v>
      </c>
      <c r="AD987">
        <v>6</v>
      </c>
      <c r="AE987">
        <v>0</v>
      </c>
      <c r="AF987">
        <v>130</v>
      </c>
      <c r="AG987">
        <v>122</v>
      </c>
      <c r="AH987">
        <v>144</v>
      </c>
      <c r="AI987">
        <v>27</v>
      </c>
      <c r="AJ987">
        <v>33</v>
      </c>
      <c r="AK987">
        <v>41</v>
      </c>
      <c r="AL987">
        <v>25</v>
      </c>
      <c r="AM987">
        <v>2</v>
      </c>
      <c r="AN987">
        <v>95</v>
      </c>
      <c r="AO987">
        <v>28</v>
      </c>
      <c r="AP987">
        <v>24</v>
      </c>
      <c r="AQ987">
        <v>56</v>
      </c>
      <c r="AR987">
        <v>154</v>
      </c>
      <c r="AS987">
        <v>145</v>
      </c>
      <c r="AT987" t="s">
        <v>7</v>
      </c>
      <c r="AU987">
        <v>0.74</v>
      </c>
      <c r="AV987">
        <v>2015</v>
      </c>
      <c r="AW987" s="1">
        <v>45758</v>
      </c>
      <c r="AX987">
        <v>31.5</v>
      </c>
      <c r="AY987" t="s">
        <v>19</v>
      </c>
      <c r="AZ987" t="s">
        <v>20</v>
      </c>
      <c r="BA987" t="s">
        <v>12</v>
      </c>
      <c r="BB987" t="s">
        <v>7</v>
      </c>
      <c r="BC987" t="s">
        <v>7</v>
      </c>
      <c r="BD987">
        <v>4</v>
      </c>
      <c r="BE987" t="s">
        <v>14</v>
      </c>
      <c r="BF987">
        <v>1.04</v>
      </c>
    </row>
    <row r="988" spans="1:58" hidden="1" x14ac:dyDescent="0.2">
      <c r="A988">
        <v>987</v>
      </c>
      <c r="B988" t="s">
        <v>0</v>
      </c>
      <c r="C988">
        <v>34</v>
      </c>
      <c r="D988" t="s">
        <v>1</v>
      </c>
      <c r="E988" t="s">
        <v>47</v>
      </c>
      <c r="F988" t="s">
        <v>15</v>
      </c>
      <c r="G988" t="s">
        <v>117</v>
      </c>
      <c r="H988" t="s">
        <v>118</v>
      </c>
      <c r="I988" t="s">
        <v>112</v>
      </c>
      <c r="J988" t="s">
        <v>32</v>
      </c>
      <c r="K988" t="s">
        <v>13</v>
      </c>
      <c r="L988">
        <v>8</v>
      </c>
      <c r="M988">
        <v>6.5</v>
      </c>
      <c r="N988" t="s">
        <v>29</v>
      </c>
      <c r="O988" t="s">
        <v>13</v>
      </c>
      <c r="P988" t="s">
        <v>26</v>
      </c>
      <c r="Q988">
        <v>15</v>
      </c>
      <c r="R988">
        <v>5</v>
      </c>
      <c r="S988">
        <v>26.2</v>
      </c>
      <c r="T988">
        <v>133</v>
      </c>
      <c r="U988">
        <v>98</v>
      </c>
      <c r="V988">
        <v>7975</v>
      </c>
      <c r="W988">
        <v>55.7</v>
      </c>
      <c r="X988">
        <v>4</v>
      </c>
      <c r="Y988">
        <v>4</v>
      </c>
      <c r="Z988">
        <v>19</v>
      </c>
      <c r="AA988">
        <v>0.4</v>
      </c>
      <c r="AB988">
        <v>3</v>
      </c>
      <c r="AC988">
        <v>207</v>
      </c>
      <c r="AD988">
        <v>11</v>
      </c>
      <c r="AE988">
        <v>3</v>
      </c>
      <c r="AF988">
        <v>191</v>
      </c>
      <c r="AG988">
        <v>90</v>
      </c>
      <c r="AH988">
        <v>105</v>
      </c>
      <c r="AI988">
        <v>38</v>
      </c>
      <c r="AJ988">
        <v>42</v>
      </c>
      <c r="AK988">
        <v>31</v>
      </c>
      <c r="AL988">
        <v>24</v>
      </c>
      <c r="AM988">
        <v>7</v>
      </c>
      <c r="AN988">
        <v>84</v>
      </c>
      <c r="AO988">
        <v>24</v>
      </c>
      <c r="AP988">
        <v>21</v>
      </c>
      <c r="AQ988">
        <v>56</v>
      </c>
      <c r="AR988">
        <v>1101</v>
      </c>
      <c r="AS988">
        <v>1786</v>
      </c>
      <c r="AT988" t="s">
        <v>7</v>
      </c>
      <c r="AU988">
        <v>0.17</v>
      </c>
      <c r="AV988">
        <v>2025</v>
      </c>
      <c r="AW988" s="1">
        <v>45855</v>
      </c>
      <c r="AX988">
        <v>18.8</v>
      </c>
      <c r="AY988" t="s">
        <v>45</v>
      </c>
      <c r="AZ988" t="s">
        <v>20</v>
      </c>
      <c r="BA988" t="s">
        <v>122</v>
      </c>
      <c r="BB988" t="s">
        <v>7</v>
      </c>
      <c r="BC988" t="s">
        <v>7</v>
      </c>
      <c r="BD988">
        <v>2</v>
      </c>
      <c r="BE988" t="s">
        <v>14</v>
      </c>
      <c r="BF988">
        <v>0.91</v>
      </c>
    </row>
    <row r="989" spans="1:58" hidden="1" x14ac:dyDescent="0.2">
      <c r="A989">
        <v>988</v>
      </c>
      <c r="B989" t="s">
        <v>0</v>
      </c>
      <c r="C989">
        <v>59</v>
      </c>
      <c r="D989" t="s">
        <v>1</v>
      </c>
      <c r="E989" t="s">
        <v>128</v>
      </c>
      <c r="F989" t="s">
        <v>40</v>
      </c>
      <c r="G989" t="s">
        <v>116</v>
      </c>
      <c r="H989" t="s">
        <v>118</v>
      </c>
      <c r="I989" t="s">
        <v>112</v>
      </c>
      <c r="J989" t="s">
        <v>123</v>
      </c>
      <c r="K989" t="s">
        <v>7</v>
      </c>
      <c r="L989">
        <v>11.4</v>
      </c>
      <c r="M989">
        <v>9.6</v>
      </c>
      <c r="N989" t="s">
        <v>29</v>
      </c>
      <c r="O989" t="s">
        <v>13</v>
      </c>
      <c r="P989" t="s">
        <v>26</v>
      </c>
      <c r="Q989">
        <v>27</v>
      </c>
      <c r="R989">
        <v>7</v>
      </c>
      <c r="S989">
        <v>18.2</v>
      </c>
      <c r="T989">
        <v>126</v>
      </c>
      <c r="U989">
        <v>95</v>
      </c>
      <c r="V989">
        <v>8026</v>
      </c>
      <c r="W989">
        <v>46.7</v>
      </c>
      <c r="X989">
        <v>3</v>
      </c>
      <c r="Y989">
        <v>4</v>
      </c>
      <c r="Z989">
        <v>9</v>
      </c>
      <c r="AA989">
        <v>2.2999999999999998</v>
      </c>
      <c r="AB989">
        <v>5</v>
      </c>
      <c r="AC989">
        <v>204</v>
      </c>
      <c r="AD989">
        <v>14</v>
      </c>
      <c r="AE989">
        <v>5</v>
      </c>
      <c r="AF989">
        <v>142</v>
      </c>
      <c r="AG989">
        <v>128</v>
      </c>
      <c r="AH989">
        <v>115</v>
      </c>
      <c r="AI989">
        <v>25</v>
      </c>
      <c r="AJ989">
        <v>20</v>
      </c>
      <c r="AK989">
        <v>36</v>
      </c>
      <c r="AL989">
        <v>22</v>
      </c>
      <c r="AM989">
        <v>3</v>
      </c>
      <c r="AN989">
        <v>94</v>
      </c>
      <c r="AO989">
        <v>58</v>
      </c>
      <c r="AP989">
        <v>34</v>
      </c>
      <c r="AQ989">
        <v>68</v>
      </c>
      <c r="AR989">
        <v>738</v>
      </c>
      <c r="AS989">
        <v>1739</v>
      </c>
      <c r="AT989" t="s">
        <v>7</v>
      </c>
      <c r="AU989">
        <v>0.08</v>
      </c>
      <c r="AV989">
        <v>2018</v>
      </c>
      <c r="AW989" s="1">
        <v>45734</v>
      </c>
      <c r="AX989">
        <v>14.6</v>
      </c>
      <c r="AY989" t="s">
        <v>30</v>
      </c>
      <c r="AZ989" t="s">
        <v>48</v>
      </c>
      <c r="BA989" t="s">
        <v>21</v>
      </c>
      <c r="BB989" t="s">
        <v>7</v>
      </c>
      <c r="BC989" t="s">
        <v>7</v>
      </c>
      <c r="BD989">
        <v>0</v>
      </c>
      <c r="BE989" t="s">
        <v>43</v>
      </c>
      <c r="BF989">
        <v>0.88</v>
      </c>
    </row>
    <row r="990" spans="1:58" hidden="1" x14ac:dyDescent="0.2">
      <c r="A990">
        <v>989</v>
      </c>
      <c r="B990" t="s">
        <v>0</v>
      </c>
      <c r="C990">
        <v>42</v>
      </c>
      <c r="D990" t="s">
        <v>28</v>
      </c>
      <c r="E990" t="s">
        <v>17</v>
      </c>
      <c r="F990" t="s">
        <v>40</v>
      </c>
      <c r="G990" t="s">
        <v>117</v>
      </c>
      <c r="H990" t="s">
        <v>23</v>
      </c>
      <c r="I990" t="s">
        <v>114</v>
      </c>
      <c r="J990" t="s">
        <v>123</v>
      </c>
      <c r="K990" t="s">
        <v>13</v>
      </c>
      <c r="L990">
        <v>11</v>
      </c>
      <c r="M990">
        <v>6.1</v>
      </c>
      <c r="N990" t="s">
        <v>29</v>
      </c>
      <c r="O990" t="s">
        <v>7</v>
      </c>
      <c r="P990" t="s">
        <v>9</v>
      </c>
      <c r="Q990">
        <v>8</v>
      </c>
      <c r="R990">
        <v>1</v>
      </c>
      <c r="S990">
        <v>25.3</v>
      </c>
      <c r="T990">
        <v>121</v>
      </c>
      <c r="U990">
        <v>89</v>
      </c>
      <c r="V990">
        <v>8061</v>
      </c>
      <c r="W990">
        <v>40.700000000000003</v>
      </c>
      <c r="X990">
        <v>3</v>
      </c>
      <c r="Y990">
        <v>3</v>
      </c>
      <c r="Z990">
        <v>17</v>
      </c>
      <c r="AA990">
        <v>3.8</v>
      </c>
      <c r="AB990">
        <v>2</v>
      </c>
      <c r="AC990">
        <v>162</v>
      </c>
      <c r="AD990">
        <v>7</v>
      </c>
      <c r="AE990">
        <v>4</v>
      </c>
      <c r="AF990">
        <v>134</v>
      </c>
      <c r="AG990">
        <v>85</v>
      </c>
      <c r="AH990">
        <v>110</v>
      </c>
      <c r="AI990">
        <v>33</v>
      </c>
      <c r="AJ990">
        <v>21</v>
      </c>
      <c r="AK990">
        <v>28</v>
      </c>
      <c r="AL990">
        <v>12</v>
      </c>
      <c r="AM990">
        <v>6</v>
      </c>
      <c r="AN990">
        <v>67</v>
      </c>
      <c r="AO990">
        <v>23</v>
      </c>
      <c r="AP990">
        <v>35</v>
      </c>
      <c r="AQ990">
        <v>42</v>
      </c>
      <c r="AR990">
        <v>775</v>
      </c>
      <c r="AS990">
        <v>607</v>
      </c>
      <c r="AT990" t="s">
        <v>7</v>
      </c>
      <c r="AU990">
        <v>0.68</v>
      </c>
      <c r="AV990">
        <v>2018</v>
      </c>
      <c r="AW990" s="1">
        <v>45861</v>
      </c>
      <c r="AX990">
        <v>23.1</v>
      </c>
      <c r="AY990" t="s">
        <v>10</v>
      </c>
      <c r="AZ990" t="s">
        <v>35</v>
      </c>
      <c r="BA990" t="s">
        <v>21</v>
      </c>
      <c r="BB990" t="s">
        <v>13</v>
      </c>
      <c r="BC990" t="s">
        <v>13</v>
      </c>
      <c r="BD990">
        <v>3</v>
      </c>
      <c r="BE990" t="s">
        <v>14</v>
      </c>
      <c r="BF990">
        <v>1.1499999999999999</v>
      </c>
    </row>
    <row r="991" spans="1:58" hidden="1" x14ac:dyDescent="0.2">
      <c r="A991">
        <v>990</v>
      </c>
      <c r="B991" t="s">
        <v>0</v>
      </c>
      <c r="C991">
        <v>55</v>
      </c>
      <c r="D991" t="s">
        <v>28</v>
      </c>
      <c r="E991" t="s">
        <v>128</v>
      </c>
      <c r="F991" t="s">
        <v>40</v>
      </c>
      <c r="G991" t="s">
        <v>116</v>
      </c>
      <c r="H991" t="s">
        <v>23</v>
      </c>
      <c r="I991" t="s">
        <v>113</v>
      </c>
      <c r="J991" t="s">
        <v>6</v>
      </c>
      <c r="K991" t="s">
        <v>7</v>
      </c>
      <c r="L991">
        <v>4.2</v>
      </c>
      <c r="M991">
        <v>7.9</v>
      </c>
      <c r="N991" t="s">
        <v>39</v>
      </c>
      <c r="O991" t="s">
        <v>7</v>
      </c>
      <c r="P991" t="s">
        <v>9</v>
      </c>
      <c r="Q991">
        <v>16</v>
      </c>
      <c r="R991">
        <v>5</v>
      </c>
      <c r="S991">
        <v>22.3</v>
      </c>
      <c r="T991">
        <v>107</v>
      </c>
      <c r="U991">
        <v>98</v>
      </c>
      <c r="V991">
        <v>7817</v>
      </c>
      <c r="W991">
        <v>54.4</v>
      </c>
      <c r="X991">
        <v>4</v>
      </c>
      <c r="Y991">
        <v>3</v>
      </c>
      <c r="Z991">
        <v>10</v>
      </c>
      <c r="AA991">
        <v>2.5</v>
      </c>
      <c r="AB991">
        <v>1</v>
      </c>
      <c r="AC991">
        <v>123</v>
      </c>
      <c r="AD991">
        <v>7</v>
      </c>
      <c r="AE991">
        <v>4</v>
      </c>
      <c r="AF991">
        <v>112</v>
      </c>
      <c r="AG991">
        <v>81</v>
      </c>
      <c r="AH991">
        <v>85</v>
      </c>
      <c r="AI991">
        <v>27</v>
      </c>
      <c r="AJ991">
        <v>16</v>
      </c>
      <c r="AK991">
        <v>18</v>
      </c>
      <c r="AL991">
        <v>13</v>
      </c>
      <c r="AM991">
        <v>3</v>
      </c>
      <c r="AN991">
        <v>70</v>
      </c>
      <c r="AO991">
        <v>17</v>
      </c>
      <c r="AP991">
        <v>15</v>
      </c>
      <c r="AQ991">
        <v>38</v>
      </c>
      <c r="AR991">
        <v>1569</v>
      </c>
      <c r="AS991">
        <v>3021</v>
      </c>
      <c r="AT991" t="s">
        <v>7</v>
      </c>
      <c r="AU991">
        <v>0.15</v>
      </c>
      <c r="AV991">
        <v>2024</v>
      </c>
      <c r="AW991" s="1">
        <v>45684</v>
      </c>
      <c r="AX991">
        <v>17.600000000000001</v>
      </c>
      <c r="AY991" t="s">
        <v>27</v>
      </c>
      <c r="AZ991" t="s">
        <v>11</v>
      </c>
      <c r="BA991" t="s">
        <v>21</v>
      </c>
      <c r="BB991" t="s">
        <v>13</v>
      </c>
      <c r="BC991" t="s">
        <v>13</v>
      </c>
      <c r="BD991">
        <v>2</v>
      </c>
      <c r="BE991" t="s">
        <v>43</v>
      </c>
      <c r="BF991">
        <v>1.22</v>
      </c>
    </row>
    <row r="992" spans="1:58" hidden="1" x14ac:dyDescent="0.2">
      <c r="A992">
        <v>991</v>
      </c>
      <c r="B992" t="s">
        <v>0</v>
      </c>
      <c r="C992">
        <v>60</v>
      </c>
      <c r="D992" t="s">
        <v>28</v>
      </c>
      <c r="E992" t="s">
        <v>127</v>
      </c>
      <c r="F992" t="s">
        <v>40</v>
      </c>
      <c r="G992" t="s">
        <v>116</v>
      </c>
      <c r="H992" t="s">
        <v>34</v>
      </c>
      <c r="I992" t="s">
        <v>115</v>
      </c>
      <c r="J992" t="s">
        <v>6</v>
      </c>
      <c r="K992" t="s">
        <v>7</v>
      </c>
      <c r="L992">
        <v>10.8</v>
      </c>
      <c r="M992">
        <v>9.6</v>
      </c>
      <c r="N992" t="s">
        <v>120</v>
      </c>
      <c r="O992" t="s">
        <v>7</v>
      </c>
      <c r="P992" t="s">
        <v>26</v>
      </c>
      <c r="Q992">
        <v>36</v>
      </c>
      <c r="R992">
        <v>5</v>
      </c>
      <c r="S992">
        <v>18.100000000000001</v>
      </c>
      <c r="T992">
        <v>142</v>
      </c>
      <c r="U992">
        <v>68</v>
      </c>
      <c r="V992">
        <v>8194</v>
      </c>
      <c r="W992">
        <v>33.9</v>
      </c>
      <c r="X992">
        <v>2</v>
      </c>
      <c r="Y992">
        <v>4</v>
      </c>
      <c r="Z992">
        <v>10</v>
      </c>
      <c r="AA992">
        <v>6.6</v>
      </c>
      <c r="AB992">
        <v>5</v>
      </c>
      <c r="AC992">
        <v>266</v>
      </c>
      <c r="AD992">
        <v>24</v>
      </c>
      <c r="AE992">
        <v>9</v>
      </c>
      <c r="AF992">
        <v>214</v>
      </c>
      <c r="AG992">
        <v>134</v>
      </c>
      <c r="AH992">
        <v>177</v>
      </c>
      <c r="AI992">
        <v>46</v>
      </c>
      <c r="AJ992">
        <v>44</v>
      </c>
      <c r="AK992">
        <v>36</v>
      </c>
      <c r="AL992">
        <v>22</v>
      </c>
      <c r="AM992">
        <v>6</v>
      </c>
      <c r="AN992">
        <v>150</v>
      </c>
      <c r="AO992">
        <v>34</v>
      </c>
      <c r="AP992">
        <v>49</v>
      </c>
      <c r="AQ992">
        <v>92</v>
      </c>
      <c r="AR992">
        <v>4370</v>
      </c>
      <c r="AS992">
        <v>2564</v>
      </c>
      <c r="AT992" t="s">
        <v>7</v>
      </c>
      <c r="AU992">
        <v>0.83</v>
      </c>
      <c r="AV992">
        <v>2025</v>
      </c>
      <c r="AW992" s="1">
        <v>45658</v>
      </c>
      <c r="AX992">
        <v>11.1</v>
      </c>
      <c r="AY992" t="s">
        <v>30</v>
      </c>
      <c r="AZ992" t="s">
        <v>48</v>
      </c>
      <c r="BA992" t="s">
        <v>122</v>
      </c>
      <c r="BB992" t="s">
        <v>7</v>
      </c>
      <c r="BC992" t="s">
        <v>7</v>
      </c>
      <c r="BD992">
        <v>1</v>
      </c>
      <c r="BE992" t="s">
        <v>14</v>
      </c>
      <c r="BF992">
        <v>1.1100000000000001</v>
      </c>
    </row>
    <row r="993" spans="1:58" hidden="1" x14ac:dyDescent="0.2">
      <c r="A993">
        <v>992</v>
      </c>
      <c r="B993" t="s">
        <v>0</v>
      </c>
      <c r="C993">
        <v>29</v>
      </c>
      <c r="D993" t="s">
        <v>1</v>
      </c>
      <c r="E993" t="s">
        <v>128</v>
      </c>
      <c r="F993" t="s">
        <v>40</v>
      </c>
      <c r="G993" t="s">
        <v>117</v>
      </c>
      <c r="H993" t="s">
        <v>23</v>
      </c>
      <c r="I993" t="s">
        <v>115</v>
      </c>
      <c r="J993" t="s">
        <v>123</v>
      </c>
      <c r="K993" t="s">
        <v>7</v>
      </c>
      <c r="L993">
        <v>4.5</v>
      </c>
      <c r="M993">
        <v>7.5</v>
      </c>
      <c r="N993" t="s">
        <v>120</v>
      </c>
      <c r="O993" t="s">
        <v>7</v>
      </c>
      <c r="P993" t="s">
        <v>9</v>
      </c>
      <c r="Q993">
        <v>13</v>
      </c>
      <c r="R993">
        <v>10</v>
      </c>
      <c r="S993">
        <v>22</v>
      </c>
      <c r="T993">
        <v>157</v>
      </c>
      <c r="U993">
        <v>81</v>
      </c>
      <c r="V993">
        <v>8030</v>
      </c>
      <c r="W993">
        <v>31.6</v>
      </c>
      <c r="X993">
        <v>0</v>
      </c>
      <c r="Y993">
        <v>3</v>
      </c>
      <c r="Z993">
        <v>6</v>
      </c>
      <c r="AA993">
        <v>3.8</v>
      </c>
      <c r="AB993">
        <v>5</v>
      </c>
      <c r="AC993">
        <v>128</v>
      </c>
      <c r="AD993">
        <v>7</v>
      </c>
      <c r="AE993">
        <v>1</v>
      </c>
      <c r="AF993">
        <v>195</v>
      </c>
      <c r="AG993">
        <v>66</v>
      </c>
      <c r="AH993">
        <v>90</v>
      </c>
      <c r="AI993">
        <v>29</v>
      </c>
      <c r="AJ993">
        <v>24</v>
      </c>
      <c r="AK993">
        <v>27</v>
      </c>
      <c r="AL993">
        <v>18</v>
      </c>
      <c r="AM993">
        <v>1</v>
      </c>
      <c r="AN993">
        <v>58</v>
      </c>
      <c r="AO993">
        <v>22</v>
      </c>
      <c r="AP993">
        <v>21</v>
      </c>
      <c r="AQ993">
        <v>48</v>
      </c>
      <c r="AR993">
        <v>528</v>
      </c>
      <c r="AS993">
        <v>553</v>
      </c>
      <c r="AT993" t="s">
        <v>13</v>
      </c>
      <c r="AU993">
        <v>0.74</v>
      </c>
      <c r="AV993">
        <v>2013</v>
      </c>
      <c r="AW993" s="1">
        <v>45772</v>
      </c>
      <c r="AX993">
        <v>18.3</v>
      </c>
      <c r="AY993" t="s">
        <v>27</v>
      </c>
      <c r="AZ993" t="s">
        <v>35</v>
      </c>
      <c r="BA993" t="s">
        <v>122</v>
      </c>
      <c r="BB993" t="s">
        <v>7</v>
      </c>
      <c r="BC993" t="s">
        <v>13</v>
      </c>
      <c r="BD993">
        <v>0</v>
      </c>
      <c r="BE993" t="s">
        <v>43</v>
      </c>
      <c r="BF993">
        <v>1.17</v>
      </c>
    </row>
    <row r="994" spans="1:58" hidden="1" x14ac:dyDescent="0.2">
      <c r="A994">
        <v>993</v>
      </c>
      <c r="B994" t="s">
        <v>0</v>
      </c>
      <c r="C994">
        <v>38</v>
      </c>
      <c r="D994" t="s">
        <v>1</v>
      </c>
      <c r="E994" t="s">
        <v>2</v>
      </c>
      <c r="F994" t="s">
        <v>15</v>
      </c>
      <c r="G994" t="s">
        <v>116</v>
      </c>
      <c r="H994" t="s">
        <v>118</v>
      </c>
      <c r="I994" t="s">
        <v>115</v>
      </c>
      <c r="J994" t="s">
        <v>123</v>
      </c>
      <c r="K994" t="s">
        <v>7</v>
      </c>
      <c r="L994">
        <v>11.3</v>
      </c>
      <c r="M994">
        <v>6.5</v>
      </c>
      <c r="N994" t="s">
        <v>39</v>
      </c>
      <c r="O994" t="s">
        <v>7</v>
      </c>
      <c r="P994" t="s">
        <v>26</v>
      </c>
      <c r="Q994">
        <v>22</v>
      </c>
      <c r="R994">
        <v>6</v>
      </c>
      <c r="S994">
        <v>25.9</v>
      </c>
      <c r="T994">
        <v>141</v>
      </c>
      <c r="U994">
        <v>94</v>
      </c>
      <c r="V994">
        <v>7955</v>
      </c>
      <c r="W994">
        <v>31.2</v>
      </c>
      <c r="X994">
        <v>4</v>
      </c>
      <c r="Y994">
        <v>4</v>
      </c>
      <c r="Z994">
        <v>7</v>
      </c>
      <c r="AA994">
        <v>4.7</v>
      </c>
      <c r="AB994">
        <v>3</v>
      </c>
      <c r="AC994">
        <v>139</v>
      </c>
      <c r="AD994">
        <v>6</v>
      </c>
      <c r="AE994">
        <v>5</v>
      </c>
      <c r="AF994">
        <v>128</v>
      </c>
      <c r="AG994">
        <v>95</v>
      </c>
      <c r="AH994">
        <v>99</v>
      </c>
      <c r="AI994">
        <v>33</v>
      </c>
      <c r="AJ994">
        <v>20</v>
      </c>
      <c r="AK994">
        <v>25</v>
      </c>
      <c r="AL994">
        <v>16</v>
      </c>
      <c r="AM994">
        <v>6</v>
      </c>
      <c r="AN994">
        <v>80</v>
      </c>
      <c r="AO994">
        <v>20</v>
      </c>
      <c r="AP994">
        <v>20</v>
      </c>
      <c r="AQ994">
        <v>30</v>
      </c>
      <c r="AR994">
        <v>104</v>
      </c>
      <c r="AS994">
        <v>235</v>
      </c>
      <c r="AT994" t="s">
        <v>7</v>
      </c>
      <c r="AU994">
        <v>0.3</v>
      </c>
      <c r="AV994">
        <v>2012</v>
      </c>
      <c r="AW994" s="1">
        <v>45865</v>
      </c>
      <c r="AX994">
        <v>23.2</v>
      </c>
      <c r="AY994" t="s">
        <v>27</v>
      </c>
      <c r="AZ994" t="s">
        <v>31</v>
      </c>
      <c r="BA994" t="s">
        <v>12</v>
      </c>
      <c r="BB994" t="s">
        <v>13</v>
      </c>
      <c r="BC994" t="s">
        <v>7</v>
      </c>
      <c r="BD994">
        <v>1</v>
      </c>
      <c r="BE994" t="s">
        <v>14</v>
      </c>
      <c r="BF994">
        <v>1.29</v>
      </c>
    </row>
    <row r="995" spans="1:58" hidden="1" x14ac:dyDescent="0.2">
      <c r="A995">
        <v>994</v>
      </c>
      <c r="B995" t="s">
        <v>0</v>
      </c>
      <c r="C995">
        <v>48</v>
      </c>
      <c r="D995" t="s">
        <v>1</v>
      </c>
      <c r="E995" t="s">
        <v>2</v>
      </c>
      <c r="F995" t="s">
        <v>3</v>
      </c>
      <c r="G995" t="s">
        <v>16</v>
      </c>
      <c r="H995" t="s">
        <v>23</v>
      </c>
      <c r="I995" t="s">
        <v>112</v>
      </c>
      <c r="J995" t="s">
        <v>32</v>
      </c>
      <c r="K995" t="s">
        <v>7</v>
      </c>
      <c r="L995">
        <v>5.5</v>
      </c>
      <c r="M995">
        <v>8.8000000000000007</v>
      </c>
      <c r="N995" t="s">
        <v>29</v>
      </c>
      <c r="O995" t="s">
        <v>7</v>
      </c>
      <c r="P995" t="s">
        <v>26</v>
      </c>
      <c r="Q995">
        <v>3</v>
      </c>
      <c r="R995">
        <v>3</v>
      </c>
      <c r="S995">
        <v>25.7</v>
      </c>
      <c r="T995">
        <v>135</v>
      </c>
      <c r="U995">
        <v>80</v>
      </c>
      <c r="V995">
        <v>8040</v>
      </c>
      <c r="W995">
        <v>60</v>
      </c>
      <c r="X995">
        <v>0</v>
      </c>
      <c r="Y995">
        <v>7</v>
      </c>
      <c r="Z995">
        <v>6</v>
      </c>
      <c r="AA995">
        <v>6.5</v>
      </c>
      <c r="AB995">
        <v>3</v>
      </c>
      <c r="AC995">
        <v>94</v>
      </c>
      <c r="AD995">
        <v>3</v>
      </c>
      <c r="AE995">
        <v>5</v>
      </c>
      <c r="AF995">
        <v>91</v>
      </c>
      <c r="AG995">
        <v>71</v>
      </c>
      <c r="AH995">
        <v>61</v>
      </c>
      <c r="AI995">
        <v>19</v>
      </c>
      <c r="AJ995">
        <v>16</v>
      </c>
      <c r="AK995">
        <v>17</v>
      </c>
      <c r="AL995">
        <v>10</v>
      </c>
      <c r="AM995">
        <v>2</v>
      </c>
      <c r="AN995">
        <v>45</v>
      </c>
      <c r="AO995">
        <v>20</v>
      </c>
      <c r="AP995">
        <v>18</v>
      </c>
      <c r="AQ995">
        <v>20</v>
      </c>
      <c r="AR995">
        <v>4713</v>
      </c>
      <c r="AS995">
        <v>4837</v>
      </c>
      <c r="AT995" t="s">
        <v>7</v>
      </c>
      <c r="AU995">
        <v>0.18</v>
      </c>
      <c r="AV995">
        <v>2023</v>
      </c>
      <c r="AW995" s="1">
        <v>45896</v>
      </c>
      <c r="AX995">
        <v>31.3</v>
      </c>
      <c r="AY995" t="s">
        <v>19</v>
      </c>
      <c r="AZ995" t="s">
        <v>51</v>
      </c>
      <c r="BA995" t="s">
        <v>12</v>
      </c>
      <c r="BB995" t="s">
        <v>13</v>
      </c>
      <c r="BC995" t="s">
        <v>13</v>
      </c>
      <c r="BD995">
        <v>1</v>
      </c>
      <c r="BE995" t="s">
        <v>14</v>
      </c>
      <c r="BF995">
        <v>1.2</v>
      </c>
    </row>
    <row r="996" spans="1:58" hidden="1" x14ac:dyDescent="0.2">
      <c r="A996">
        <v>995</v>
      </c>
      <c r="B996" t="s">
        <v>0</v>
      </c>
      <c r="C996">
        <v>13</v>
      </c>
      <c r="D996" t="s">
        <v>1</v>
      </c>
      <c r="E996" t="s">
        <v>2</v>
      </c>
      <c r="F996" t="s">
        <v>15</v>
      </c>
      <c r="G996" t="s">
        <v>38</v>
      </c>
      <c r="H996" t="s">
        <v>23</v>
      </c>
      <c r="I996" t="s">
        <v>114</v>
      </c>
      <c r="J996" t="s">
        <v>6</v>
      </c>
      <c r="K996" t="s">
        <v>7</v>
      </c>
      <c r="L996">
        <v>19.399999999999999</v>
      </c>
      <c r="M996">
        <v>7.6</v>
      </c>
      <c r="N996" t="s">
        <v>29</v>
      </c>
      <c r="O996" t="s">
        <v>7</v>
      </c>
      <c r="P996" t="s">
        <v>9</v>
      </c>
      <c r="Q996">
        <v>23</v>
      </c>
      <c r="R996">
        <v>4</v>
      </c>
      <c r="S996">
        <v>18.8</v>
      </c>
      <c r="T996">
        <v>91</v>
      </c>
      <c r="U996">
        <v>62</v>
      </c>
      <c r="V996">
        <v>8001</v>
      </c>
      <c r="W996">
        <v>20.2</v>
      </c>
      <c r="X996">
        <v>6</v>
      </c>
      <c r="Y996">
        <v>5</v>
      </c>
      <c r="Z996">
        <v>10</v>
      </c>
      <c r="AA996">
        <v>4.5</v>
      </c>
      <c r="AB996">
        <v>2</v>
      </c>
      <c r="AC996">
        <v>290</v>
      </c>
      <c r="AD996">
        <v>8</v>
      </c>
      <c r="AE996">
        <v>11</v>
      </c>
      <c r="AF996">
        <v>300</v>
      </c>
      <c r="AG996">
        <v>132</v>
      </c>
      <c r="AH996">
        <v>170</v>
      </c>
      <c r="AI996">
        <v>59</v>
      </c>
      <c r="AJ996">
        <v>39</v>
      </c>
      <c r="AK996">
        <v>38</v>
      </c>
      <c r="AL996">
        <v>48</v>
      </c>
      <c r="AM996">
        <v>12</v>
      </c>
      <c r="AN996">
        <v>171</v>
      </c>
      <c r="AO996">
        <v>48</v>
      </c>
      <c r="AP996">
        <v>67</v>
      </c>
      <c r="AQ996">
        <v>85</v>
      </c>
      <c r="AR996">
        <v>510</v>
      </c>
      <c r="AS996">
        <v>438</v>
      </c>
      <c r="AT996" t="s">
        <v>13</v>
      </c>
      <c r="AU996">
        <v>0.69</v>
      </c>
      <c r="AV996">
        <v>2010</v>
      </c>
      <c r="AW996" s="1">
        <v>45845</v>
      </c>
      <c r="AX996">
        <v>36.200000000000003</v>
      </c>
      <c r="AY996" t="s">
        <v>19</v>
      </c>
      <c r="AZ996" t="s">
        <v>31</v>
      </c>
      <c r="BA996" t="s">
        <v>12</v>
      </c>
      <c r="BB996" t="s">
        <v>13</v>
      </c>
      <c r="BC996" t="s">
        <v>7</v>
      </c>
      <c r="BD996">
        <v>1</v>
      </c>
      <c r="BE996" t="s">
        <v>14</v>
      </c>
      <c r="BF996">
        <v>1.1000000000000001</v>
      </c>
    </row>
    <row r="997" spans="1:58" hidden="1" x14ac:dyDescent="0.2">
      <c r="A997">
        <v>996</v>
      </c>
      <c r="B997" t="s">
        <v>0</v>
      </c>
      <c r="C997">
        <v>20</v>
      </c>
      <c r="D997" t="s">
        <v>1</v>
      </c>
      <c r="E997" t="s">
        <v>2</v>
      </c>
      <c r="F997" t="s">
        <v>40</v>
      </c>
      <c r="G997" t="s">
        <v>38</v>
      </c>
      <c r="H997" t="s">
        <v>23</v>
      </c>
      <c r="I997" t="s">
        <v>112</v>
      </c>
      <c r="J997" t="s">
        <v>123</v>
      </c>
      <c r="K997" t="s">
        <v>13</v>
      </c>
      <c r="L997">
        <v>3.4</v>
      </c>
      <c r="M997">
        <v>7.2</v>
      </c>
      <c r="N997" t="s">
        <v>39</v>
      </c>
      <c r="O997" t="s">
        <v>13</v>
      </c>
      <c r="P997" t="s">
        <v>9</v>
      </c>
      <c r="Q997">
        <v>36</v>
      </c>
      <c r="R997">
        <v>4</v>
      </c>
      <c r="S997">
        <v>27.7</v>
      </c>
      <c r="T997">
        <v>101</v>
      </c>
      <c r="U997">
        <v>97</v>
      </c>
      <c r="V997">
        <v>7944</v>
      </c>
      <c r="W997">
        <v>41.5</v>
      </c>
      <c r="X997">
        <v>2</v>
      </c>
      <c r="Y997">
        <v>3</v>
      </c>
      <c r="Z997">
        <v>10</v>
      </c>
      <c r="AA997">
        <v>1.6</v>
      </c>
      <c r="AB997">
        <v>1</v>
      </c>
      <c r="AC997">
        <v>395</v>
      </c>
      <c r="AD997">
        <v>20</v>
      </c>
      <c r="AE997">
        <v>12</v>
      </c>
      <c r="AF997">
        <v>300</v>
      </c>
      <c r="AG997">
        <v>150</v>
      </c>
      <c r="AH997">
        <v>207</v>
      </c>
      <c r="AI997">
        <v>64</v>
      </c>
      <c r="AJ997">
        <v>48</v>
      </c>
      <c r="AK997">
        <v>78</v>
      </c>
      <c r="AL997">
        <v>30</v>
      </c>
      <c r="AM997">
        <v>12</v>
      </c>
      <c r="AN997">
        <v>231</v>
      </c>
      <c r="AO997">
        <v>54</v>
      </c>
      <c r="AP997">
        <v>89</v>
      </c>
      <c r="AQ997">
        <v>143</v>
      </c>
      <c r="AR997">
        <v>6115</v>
      </c>
      <c r="AS997">
        <v>10000</v>
      </c>
      <c r="AT997" t="s">
        <v>13</v>
      </c>
      <c r="AU997">
        <v>0.47</v>
      </c>
      <c r="AV997">
        <v>2013</v>
      </c>
      <c r="AW997" s="1">
        <v>45815</v>
      </c>
      <c r="AX997">
        <v>19.8</v>
      </c>
      <c r="AY997" t="s">
        <v>30</v>
      </c>
      <c r="AZ997" t="s">
        <v>20</v>
      </c>
      <c r="BA997" t="s">
        <v>12</v>
      </c>
      <c r="BB997" t="s">
        <v>7</v>
      </c>
      <c r="BC997" t="s">
        <v>7</v>
      </c>
      <c r="BD997">
        <v>0</v>
      </c>
      <c r="BE997" t="s">
        <v>43</v>
      </c>
      <c r="BF997">
        <v>0.94</v>
      </c>
    </row>
    <row r="998" spans="1:58" hidden="1" x14ac:dyDescent="0.2">
      <c r="A998">
        <v>997</v>
      </c>
      <c r="B998" t="s">
        <v>0</v>
      </c>
      <c r="C998">
        <v>61</v>
      </c>
      <c r="D998" t="s">
        <v>1</v>
      </c>
      <c r="E998" t="s">
        <v>126</v>
      </c>
      <c r="F998" t="s">
        <v>40</v>
      </c>
      <c r="G998" t="s">
        <v>38</v>
      </c>
      <c r="H998" t="s">
        <v>23</v>
      </c>
      <c r="I998" t="s">
        <v>114</v>
      </c>
      <c r="J998" t="s">
        <v>18</v>
      </c>
      <c r="K998" t="s">
        <v>7</v>
      </c>
      <c r="L998">
        <v>6.2</v>
      </c>
      <c r="M998">
        <v>8.9</v>
      </c>
      <c r="N998" t="s">
        <v>29</v>
      </c>
      <c r="O998" t="s">
        <v>7</v>
      </c>
      <c r="P998" t="s">
        <v>9</v>
      </c>
      <c r="Q998">
        <v>0</v>
      </c>
      <c r="R998">
        <v>2</v>
      </c>
      <c r="S998">
        <v>24.6</v>
      </c>
      <c r="T998">
        <v>143</v>
      </c>
      <c r="U998">
        <v>69</v>
      </c>
      <c r="V998">
        <v>8050</v>
      </c>
      <c r="W998">
        <v>31.7</v>
      </c>
      <c r="X998">
        <v>8</v>
      </c>
      <c r="Y998">
        <v>3</v>
      </c>
      <c r="Z998">
        <v>8</v>
      </c>
      <c r="AA998">
        <v>4.4000000000000004</v>
      </c>
      <c r="AB998">
        <v>1</v>
      </c>
      <c r="AC998">
        <v>72</v>
      </c>
      <c r="AD998">
        <v>3</v>
      </c>
      <c r="AE998">
        <v>2</v>
      </c>
      <c r="AF998">
        <v>71</v>
      </c>
      <c r="AG998">
        <v>54</v>
      </c>
      <c r="AH998">
        <v>58</v>
      </c>
      <c r="AI998">
        <v>19</v>
      </c>
      <c r="AJ998">
        <v>16</v>
      </c>
      <c r="AK998">
        <v>18</v>
      </c>
      <c r="AL998">
        <v>11</v>
      </c>
      <c r="AM998">
        <v>4</v>
      </c>
      <c r="AN998">
        <v>32</v>
      </c>
      <c r="AO998">
        <v>18</v>
      </c>
      <c r="AP998">
        <v>16</v>
      </c>
      <c r="AQ998">
        <v>16</v>
      </c>
      <c r="AR998">
        <v>213</v>
      </c>
      <c r="AS998">
        <v>240</v>
      </c>
      <c r="AT998" t="s">
        <v>7</v>
      </c>
      <c r="AU998">
        <v>0.39</v>
      </c>
      <c r="AV998">
        <v>2017</v>
      </c>
      <c r="AW998" s="1">
        <v>45714</v>
      </c>
      <c r="AX998">
        <v>24</v>
      </c>
      <c r="AY998" t="s">
        <v>10</v>
      </c>
      <c r="AZ998" t="s">
        <v>17</v>
      </c>
      <c r="BA998" t="s">
        <v>122</v>
      </c>
      <c r="BB998" t="s">
        <v>7</v>
      </c>
      <c r="BC998" t="s">
        <v>7</v>
      </c>
      <c r="BD998">
        <v>3</v>
      </c>
      <c r="BE998" t="s">
        <v>49</v>
      </c>
      <c r="BF998">
        <v>1.4</v>
      </c>
    </row>
    <row r="999" spans="1:58" hidden="1" x14ac:dyDescent="0.2">
      <c r="A999">
        <v>998</v>
      </c>
      <c r="B999" t="s">
        <v>0</v>
      </c>
      <c r="C999">
        <v>47</v>
      </c>
      <c r="D999" t="s">
        <v>1</v>
      </c>
      <c r="E999" t="s">
        <v>2</v>
      </c>
      <c r="F999" t="s">
        <v>15</v>
      </c>
      <c r="G999" t="s">
        <v>116</v>
      </c>
      <c r="H999" t="s">
        <v>23</v>
      </c>
      <c r="I999" t="s">
        <v>114</v>
      </c>
      <c r="J999" t="s">
        <v>123</v>
      </c>
      <c r="K999" t="s">
        <v>7</v>
      </c>
      <c r="L999">
        <v>8.6</v>
      </c>
      <c r="M999">
        <v>5.8</v>
      </c>
      <c r="N999" t="s">
        <v>25</v>
      </c>
      <c r="O999" t="s">
        <v>7</v>
      </c>
      <c r="P999" t="s">
        <v>46</v>
      </c>
      <c r="Q999">
        <v>7</v>
      </c>
      <c r="R999">
        <v>4</v>
      </c>
      <c r="S999">
        <v>31.7</v>
      </c>
      <c r="T999">
        <v>118</v>
      </c>
      <c r="U999">
        <v>60</v>
      </c>
      <c r="V999">
        <v>8026</v>
      </c>
      <c r="W999">
        <v>48.2</v>
      </c>
      <c r="X999">
        <v>2</v>
      </c>
      <c r="Y999">
        <v>0</v>
      </c>
      <c r="Z999">
        <v>6</v>
      </c>
      <c r="AA999">
        <v>1.3</v>
      </c>
      <c r="AB999">
        <v>3</v>
      </c>
      <c r="AC999">
        <v>58</v>
      </c>
      <c r="AD999">
        <v>3</v>
      </c>
      <c r="AE999">
        <v>4</v>
      </c>
      <c r="AF999">
        <v>70</v>
      </c>
      <c r="AG999">
        <v>55</v>
      </c>
      <c r="AH999">
        <v>42</v>
      </c>
      <c r="AI999">
        <v>12</v>
      </c>
      <c r="AJ999">
        <v>24</v>
      </c>
      <c r="AK999">
        <v>15</v>
      </c>
      <c r="AL999">
        <v>9</v>
      </c>
      <c r="AM999">
        <v>0</v>
      </c>
      <c r="AN999">
        <v>33</v>
      </c>
      <c r="AO999">
        <v>11</v>
      </c>
      <c r="AP999">
        <v>12</v>
      </c>
      <c r="AQ999">
        <v>17</v>
      </c>
      <c r="AR999">
        <v>1179</v>
      </c>
      <c r="AS999">
        <v>1704</v>
      </c>
      <c r="AT999" t="s">
        <v>13</v>
      </c>
      <c r="AU999">
        <v>0.36</v>
      </c>
      <c r="AV999">
        <v>2010</v>
      </c>
      <c r="AW999" s="1">
        <v>45754</v>
      </c>
      <c r="AX999">
        <v>19.3</v>
      </c>
      <c r="AY999" t="s">
        <v>27</v>
      </c>
      <c r="AZ999" t="s">
        <v>51</v>
      </c>
      <c r="BA999" t="s">
        <v>122</v>
      </c>
      <c r="BB999" t="s">
        <v>13</v>
      </c>
      <c r="BC999" t="s">
        <v>7</v>
      </c>
      <c r="BD999">
        <v>1</v>
      </c>
      <c r="BE999" t="s">
        <v>14</v>
      </c>
      <c r="BF999">
        <v>1.32</v>
      </c>
    </row>
    <row r="1000" spans="1:58" hidden="1" x14ac:dyDescent="0.2">
      <c r="A1000">
        <v>999</v>
      </c>
      <c r="B1000" t="s">
        <v>0</v>
      </c>
      <c r="C1000">
        <v>64</v>
      </c>
      <c r="D1000" t="s">
        <v>28</v>
      </c>
      <c r="E1000" t="s">
        <v>128</v>
      </c>
      <c r="F1000" t="s">
        <v>40</v>
      </c>
      <c r="G1000" t="s">
        <v>116</v>
      </c>
      <c r="H1000" t="s">
        <v>118</v>
      </c>
      <c r="I1000" t="s">
        <v>115</v>
      </c>
      <c r="J1000" t="s">
        <v>123</v>
      </c>
      <c r="K1000" t="s">
        <v>13</v>
      </c>
      <c r="L1000">
        <v>11.5</v>
      </c>
      <c r="M1000">
        <v>5.7</v>
      </c>
      <c r="N1000" t="s">
        <v>29</v>
      </c>
      <c r="O1000" t="s">
        <v>7</v>
      </c>
      <c r="P1000" t="s">
        <v>26</v>
      </c>
      <c r="Q1000">
        <v>21</v>
      </c>
      <c r="R1000">
        <v>1</v>
      </c>
      <c r="S1000">
        <v>22.4</v>
      </c>
      <c r="T1000">
        <v>125</v>
      </c>
      <c r="U1000">
        <v>67</v>
      </c>
      <c r="V1000">
        <v>8020</v>
      </c>
      <c r="W1000">
        <v>48.3</v>
      </c>
      <c r="X1000">
        <v>1</v>
      </c>
      <c r="Y1000">
        <v>2</v>
      </c>
      <c r="Z1000">
        <v>12</v>
      </c>
      <c r="AA1000">
        <v>2.1</v>
      </c>
      <c r="AB1000">
        <v>3</v>
      </c>
      <c r="AC1000">
        <v>224</v>
      </c>
      <c r="AD1000">
        <v>7</v>
      </c>
      <c r="AE1000">
        <v>8</v>
      </c>
      <c r="AF1000">
        <v>171</v>
      </c>
      <c r="AG1000">
        <v>120</v>
      </c>
      <c r="AH1000">
        <v>145</v>
      </c>
      <c r="AI1000">
        <v>44</v>
      </c>
      <c r="AJ1000">
        <v>39</v>
      </c>
      <c r="AK1000">
        <v>37</v>
      </c>
      <c r="AL1000">
        <v>22</v>
      </c>
      <c r="AM1000">
        <v>5</v>
      </c>
      <c r="AN1000">
        <v>127</v>
      </c>
      <c r="AO1000">
        <v>43</v>
      </c>
      <c r="AP1000">
        <v>38</v>
      </c>
      <c r="AQ1000">
        <v>82</v>
      </c>
      <c r="AR1000">
        <v>2304</v>
      </c>
      <c r="AS1000">
        <v>1829</v>
      </c>
      <c r="AT1000" t="s">
        <v>13</v>
      </c>
      <c r="AU1000">
        <v>0.25</v>
      </c>
      <c r="AV1000">
        <v>2018</v>
      </c>
      <c r="AW1000" s="1">
        <v>45991</v>
      </c>
      <c r="AX1000">
        <v>32</v>
      </c>
      <c r="AY1000" t="s">
        <v>30</v>
      </c>
      <c r="AZ1000" t="s">
        <v>11</v>
      </c>
      <c r="BA1000" t="s">
        <v>122</v>
      </c>
      <c r="BB1000" t="s">
        <v>7</v>
      </c>
      <c r="BC1000" t="s">
        <v>7</v>
      </c>
      <c r="BD1000">
        <v>2</v>
      </c>
      <c r="BE1000" t="s">
        <v>43</v>
      </c>
      <c r="BF1000">
        <v>1.1399999999999999</v>
      </c>
    </row>
    <row r="1001" spans="1:58" x14ac:dyDescent="0.2">
      <c r="A1001">
        <v>1000</v>
      </c>
      <c r="B1001" t="s">
        <v>0</v>
      </c>
      <c r="C1001">
        <v>27</v>
      </c>
      <c r="D1001" t="s">
        <v>1</v>
      </c>
      <c r="E1001" t="s">
        <v>22</v>
      </c>
      <c r="F1001" t="s">
        <v>15</v>
      </c>
      <c r="G1001" t="s">
        <v>16</v>
      </c>
      <c r="H1001" t="s">
        <v>24</v>
      </c>
      <c r="I1001" t="s">
        <v>112</v>
      </c>
      <c r="J1001" t="s">
        <v>123</v>
      </c>
      <c r="K1001" t="s">
        <v>7</v>
      </c>
      <c r="L1001">
        <v>5.2</v>
      </c>
      <c r="M1001">
        <v>6.7</v>
      </c>
      <c r="N1001" t="s">
        <v>29</v>
      </c>
      <c r="O1001" t="s">
        <v>7</v>
      </c>
      <c r="P1001" t="s">
        <v>26</v>
      </c>
      <c r="Q1001">
        <v>3</v>
      </c>
      <c r="R1001">
        <v>5</v>
      </c>
      <c r="S1001">
        <v>21.7</v>
      </c>
      <c r="T1001">
        <v>159</v>
      </c>
      <c r="U1001">
        <v>76</v>
      </c>
      <c r="V1001">
        <v>7983</v>
      </c>
      <c r="W1001">
        <v>42.1</v>
      </c>
      <c r="X1001">
        <v>3</v>
      </c>
      <c r="Y1001">
        <v>7</v>
      </c>
      <c r="Z1001">
        <v>11</v>
      </c>
      <c r="AA1001">
        <v>3.4</v>
      </c>
      <c r="AB1001">
        <v>4</v>
      </c>
      <c r="AC1001">
        <v>72</v>
      </c>
      <c r="AD1001">
        <v>8</v>
      </c>
      <c r="AE1001">
        <v>5</v>
      </c>
      <c r="AF1001">
        <v>131</v>
      </c>
      <c r="AG1001">
        <v>67</v>
      </c>
      <c r="AH1001">
        <v>60</v>
      </c>
      <c r="AI1001">
        <v>12</v>
      </c>
      <c r="AJ1001">
        <v>7</v>
      </c>
      <c r="AK1001">
        <v>18</v>
      </c>
      <c r="AL1001">
        <v>13</v>
      </c>
      <c r="AM1001">
        <v>5</v>
      </c>
      <c r="AN1001">
        <v>35</v>
      </c>
      <c r="AO1001">
        <v>10</v>
      </c>
      <c r="AP1001">
        <v>10</v>
      </c>
      <c r="AQ1001">
        <v>19</v>
      </c>
      <c r="AR1001">
        <v>518</v>
      </c>
      <c r="AS1001">
        <v>1065</v>
      </c>
      <c r="AT1001" t="s">
        <v>13</v>
      </c>
      <c r="AU1001">
        <v>0.59</v>
      </c>
      <c r="AV1001">
        <v>2023</v>
      </c>
      <c r="AW1001" s="1">
        <v>45897</v>
      </c>
      <c r="AX1001">
        <v>9</v>
      </c>
      <c r="AY1001" t="s">
        <v>10</v>
      </c>
      <c r="AZ1001" t="s">
        <v>11</v>
      </c>
      <c r="BA1001" t="s">
        <v>21</v>
      </c>
      <c r="BB1001" t="s">
        <v>7</v>
      </c>
      <c r="BC1001" t="s">
        <v>7</v>
      </c>
      <c r="BD1001">
        <v>2</v>
      </c>
      <c r="BE1001" t="s">
        <v>14</v>
      </c>
      <c r="BF1001">
        <v>1.36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50EB1-3613-9846-9729-B63290FADCB0}">
  <dimension ref="A1:L1001"/>
  <sheetViews>
    <sheetView topLeftCell="B1" workbookViewId="0">
      <selection activeCell="N11" sqref="N11:P14"/>
    </sheetView>
  </sheetViews>
  <sheetFormatPr baseColWidth="10" defaultRowHeight="16" x14ac:dyDescent="0.2"/>
  <cols>
    <col min="1" max="1" width="11" bestFit="1" customWidth="1"/>
    <col min="2" max="2" width="14" bestFit="1" customWidth="1"/>
    <col min="3" max="3" width="7.1640625" bestFit="1" customWidth="1"/>
    <col min="4" max="4" width="16.33203125" bestFit="1" customWidth="1"/>
    <col min="5" max="5" width="14.5" bestFit="1" customWidth="1"/>
    <col min="6" max="6" width="15.6640625" bestFit="1" customWidth="1"/>
    <col min="7" max="7" width="16.83203125" bestFit="1" customWidth="1"/>
    <col min="8" max="8" width="22.6640625" bestFit="1" customWidth="1"/>
    <col min="9" max="9" width="19.33203125" bestFit="1" customWidth="1"/>
    <col min="10" max="10" width="22.83203125" bestFit="1" customWidth="1"/>
    <col min="11" max="11" width="16.6640625" bestFit="1" customWidth="1"/>
    <col min="12" max="12" width="14" bestFit="1" customWidth="1"/>
  </cols>
  <sheetData>
    <row r="1" spans="1:12" ht="19" x14ac:dyDescent="0.25">
      <c r="A1" s="3" t="s">
        <v>55</v>
      </c>
      <c r="B1" s="4" t="s">
        <v>54</v>
      </c>
      <c r="C1" s="3" t="s">
        <v>56</v>
      </c>
      <c r="D1" s="4" t="s">
        <v>57</v>
      </c>
      <c r="E1" s="4" t="s">
        <v>58</v>
      </c>
      <c r="F1" s="4" t="s">
        <v>59</v>
      </c>
      <c r="G1" s="4" t="s">
        <v>60</v>
      </c>
      <c r="H1" s="4" t="s">
        <v>61</v>
      </c>
      <c r="I1" s="4" t="s">
        <v>62</v>
      </c>
      <c r="J1" s="4" t="s">
        <v>63</v>
      </c>
      <c r="K1" s="4" t="s">
        <v>64</v>
      </c>
      <c r="L1" s="4" t="s">
        <v>129</v>
      </c>
    </row>
    <row r="2" spans="1:12" x14ac:dyDescent="0.2">
      <c r="A2">
        <v>1</v>
      </c>
      <c r="B2" t="str">
        <f>_xlfn.XLOOKUP(A2,Instagram_Usage_Lifestyle_Mini_!A2,Instagram_Usage_Lifestyle_Mini_!B2,1)</f>
        <v>Instagram</v>
      </c>
      <c r="C2">
        <f>_xlfn.XLOOKUP($A:$A,Instagram_Usage_Lifestyle_Mini_!$A:$A,Instagram_Usage_Lifestyle_Mini_!$C:$K)</f>
        <v>51</v>
      </c>
      <c r="D2" t="str">
        <f>_xlfn.XLOOKUP($A:$A,Instagram_Usage_Lifestyle_Mini_!$A:$A,Instagram_Usage_Lifestyle_Mini_!$C:$K)</f>
        <v>Female</v>
      </c>
      <c r="E2" t="str">
        <f>_xlfn.XLOOKUP($A:$A,Instagram_Usage_Lifestyle_Mini_!$A:$A,Instagram_Usage_Lifestyle_Mini_!$C:$K)</f>
        <v>India</v>
      </c>
      <c r="F2" t="str">
        <f>_xlfn.XLOOKUP($A:$A,Instagram_Usage_Lifestyle_Mini_!$A:$A,Instagram_Usage_Lifestyle_Mini_!$C:$K)</f>
        <v>Rural</v>
      </c>
      <c r="G2" t="str">
        <f>_xlfn.XLOOKUP($A:$A,Instagram_Usage_Lifestyle_Mini_!$A:$A,Instagram_Usage_Lifestyle_Mini_!$C:$K)</f>
        <v>High</v>
      </c>
      <c r="H2" t="str">
        <f>_xlfn.XLOOKUP($A:$A,Instagram_Usage_Lifestyle_Mini_!$A:$A,Instagram_Usage_Lifestyle_Mini_!$C:$K)</f>
        <v>Retired</v>
      </c>
      <c r="I2" t="str">
        <f>_xlfn.XLOOKUP($A:$A,Instagram_Usage_Lifestyle_Mini_!$A:$A,Instagram_Usage_Lifestyle_Mini_!$C:$K)</f>
        <v>Bachelors_degree</v>
      </c>
      <c r="J2" t="str">
        <f>_xlfn.XLOOKUP($A:$A,Instagram_Usage_Lifestyle_Mini_!$A:$A,Instagram_Usage_Lifestyle_Mini_!$C:$K)</f>
        <v>Single</v>
      </c>
      <c r="K2" t="str">
        <f>_xlfn.XLOOKUP($A:$A,Instagram_Usage_Lifestyle_Mini_!$A:$A,Instagram_Usage_Lifestyle_Mini_!$C:$K)</f>
        <v>No</v>
      </c>
      <c r="L2" t="str" cm="1">
        <f t="array" ref="L2">_xlfn.IFS(C2&lt;18,"Under_18",C2&lt;=25,"Youth",C2&lt;=35,"Young_Adults",C2&lt;=45,"Mid_Adults",TRUE,"Seniors")</f>
        <v>Seniors</v>
      </c>
    </row>
    <row r="3" spans="1:12" x14ac:dyDescent="0.2">
      <c r="A3">
        <v>2</v>
      </c>
      <c r="B3" t="str">
        <f>_xlfn.XLOOKUP(A3,Instagram_Usage_Lifestyle_Mini_!A3,Instagram_Usage_Lifestyle_Mini_!B3,1)</f>
        <v>Instagram</v>
      </c>
      <c r="C3">
        <f>_xlfn.XLOOKUP($A:$A,Instagram_Usage_Lifestyle_Mini_!$A:$A,Instagram_Usage_Lifestyle_Mini_!$C:$K)</f>
        <v>64</v>
      </c>
      <c r="D3" t="str">
        <f>_xlfn.XLOOKUP($A:$A,Instagram_Usage_Lifestyle_Mini_!$A:$A,Instagram_Usage_Lifestyle_Mini_!$C:$K)</f>
        <v>Female</v>
      </c>
      <c r="E3" t="str">
        <f>_xlfn.XLOOKUP($A:$A,Instagram_Usage_Lifestyle_Mini_!$A:$A,Instagram_Usage_Lifestyle_Mini_!$C:$K)</f>
        <v>United _Kingdom</v>
      </c>
      <c r="F3" t="str">
        <f>_xlfn.XLOOKUP($A:$A,Instagram_Usage_Lifestyle_Mini_!$A:$A,Instagram_Usage_Lifestyle_Mini_!$C:$K)</f>
        <v>Urban</v>
      </c>
      <c r="G3" t="str">
        <f>_xlfn.XLOOKUP($A:$A,Instagram_Usage_Lifestyle_Mini_!$A:$A,Instagram_Usage_Lifestyle_Mini_!$C:$K)</f>
        <v>Middle</v>
      </c>
      <c r="H3" t="str">
        <f>_xlfn.XLOOKUP($A:$A,Instagram_Usage_Lifestyle_Mini_!$A:$A,Instagram_Usage_Lifestyle_Mini_!$C:$K)</f>
        <v>Full_time_employed</v>
      </c>
      <c r="I3" t="str">
        <f>_xlfn.XLOOKUP($A:$A,Instagram_Usage_Lifestyle_Mini_!$A:$A,Instagram_Usage_Lifestyle_Mini_!$C:$K)</f>
        <v>Other</v>
      </c>
      <c r="J3" t="str">
        <f>_xlfn.XLOOKUP($A:$A,Instagram_Usage_Lifestyle_Mini_!$A:$A,Instagram_Usage_Lifestyle_Mini_!$C:$K)</f>
        <v>Divorced</v>
      </c>
      <c r="K3" t="str">
        <f>_xlfn.XLOOKUP($A:$A,Instagram_Usage_Lifestyle_Mini_!$A:$A,Instagram_Usage_Lifestyle_Mini_!$C:$K)</f>
        <v>No</v>
      </c>
      <c r="L3" t="str" cm="1">
        <f t="array" ref="L3">_xlfn.IFS(C3&lt;18,"Under_18",C3&lt;=25,"Youth",C3&lt;=35,"Young_Adults",C3&lt;=45,"Mid_Adults",TRUE,"Seniors")</f>
        <v>Seniors</v>
      </c>
    </row>
    <row r="4" spans="1:12" x14ac:dyDescent="0.2">
      <c r="A4">
        <v>3</v>
      </c>
      <c r="B4" t="str">
        <f>_xlfn.XLOOKUP(A4,Instagram_Usage_Lifestyle_Mini_!A4,Instagram_Usage_Lifestyle_Mini_!B4,1)</f>
        <v>Instagram</v>
      </c>
      <c r="C4">
        <f>_xlfn.XLOOKUP($A:$A,Instagram_Usage_Lifestyle_Mini_!$A:$A,Instagram_Usage_Lifestyle_Mini_!$C:$K)</f>
        <v>41</v>
      </c>
      <c r="D4" t="str">
        <f>_xlfn.XLOOKUP($A:$A,Instagram_Usage_Lifestyle_Mini_!$A:$A,Instagram_Usage_Lifestyle_Mini_!$C:$K)</f>
        <v>Female</v>
      </c>
      <c r="E4" t="str">
        <f>_xlfn.XLOOKUP($A:$A,Instagram_Usage_Lifestyle_Mini_!$A:$A,Instagram_Usage_Lifestyle_Mini_!$C:$K)</f>
        <v>Canada</v>
      </c>
      <c r="F4" t="str">
        <f>_xlfn.XLOOKUP($A:$A,Instagram_Usage_Lifestyle_Mini_!$A:$A,Instagram_Usage_Lifestyle_Mini_!$C:$K)</f>
        <v>Urban</v>
      </c>
      <c r="G4" t="str">
        <f>_xlfn.XLOOKUP($A:$A,Instagram_Usage_Lifestyle_Mini_!$A:$A,Instagram_Usage_Lifestyle_Mini_!$C:$K)</f>
        <v>Middle</v>
      </c>
      <c r="H4" t="str">
        <f>_xlfn.XLOOKUP($A:$A,Instagram_Usage_Lifestyle_Mini_!$A:$A,Instagram_Usage_Lifestyle_Mini_!$C:$K)</f>
        <v>Student</v>
      </c>
      <c r="I4" t="str">
        <f>_xlfn.XLOOKUP($A:$A,Instagram_Usage_Lifestyle_Mini_!$A:$A,Instagram_Usage_Lifestyle_Mini_!$C:$K)</f>
        <v>Bachelors_degree</v>
      </c>
      <c r="J4" t="str">
        <f>_xlfn.XLOOKUP($A:$A,Instagram_Usage_Lifestyle_Mini_!$A:$A,Instagram_Usage_Lifestyle_Mini_!$C:$K)</f>
        <v>In_a_relationship</v>
      </c>
      <c r="K4" t="str">
        <f>_xlfn.XLOOKUP($A:$A,Instagram_Usage_Lifestyle_Mini_!$A:$A,Instagram_Usage_Lifestyle_Mini_!$C:$K)</f>
        <v>No</v>
      </c>
      <c r="L4" t="str" cm="1">
        <f t="array" ref="L4">_xlfn.IFS(C4&lt;18,"Under_18",C4&lt;=25,"Youth",C4&lt;=35,"Young_Adults",C4&lt;=45,"Mid_Adults",TRUE,"Seniors")</f>
        <v>Mid_Adults</v>
      </c>
    </row>
    <row r="5" spans="1:12" x14ac:dyDescent="0.2">
      <c r="A5">
        <v>4</v>
      </c>
      <c r="B5" t="str">
        <f>_xlfn.XLOOKUP(A5,Instagram_Usage_Lifestyle_Mini_!A5,Instagram_Usage_Lifestyle_Mini_!B5,1)</f>
        <v>Instagram</v>
      </c>
      <c r="C5">
        <f>_xlfn.XLOOKUP($A:$A,Instagram_Usage_Lifestyle_Mini_!$A:$A,Instagram_Usage_Lifestyle_Mini_!$C:$K)</f>
        <v>27</v>
      </c>
      <c r="D5" t="str">
        <f>_xlfn.XLOOKUP($A:$A,Instagram_Usage_Lifestyle_Mini_!$A:$A,Instagram_Usage_Lifestyle_Mini_!$C:$K)</f>
        <v>Non_binary</v>
      </c>
      <c r="E5" t="str">
        <f>_xlfn.XLOOKUP($A:$A,Instagram_Usage_Lifestyle_Mini_!$A:$A,Instagram_Usage_Lifestyle_Mini_!$C:$K)</f>
        <v>South_Korea</v>
      </c>
      <c r="F5" t="str">
        <f>_xlfn.XLOOKUP($A:$A,Instagram_Usage_Lifestyle_Mini_!$A:$A,Instagram_Usage_Lifestyle_Mini_!$C:$K)</f>
        <v>Urban</v>
      </c>
      <c r="G5" t="str">
        <f>_xlfn.XLOOKUP($A:$A,Instagram_Usage_Lifestyle_Mini_!$A:$A,Instagram_Usage_Lifestyle_Mini_!$C:$K)</f>
        <v>Middle</v>
      </c>
      <c r="H5" t="str">
        <f>_xlfn.XLOOKUP($A:$A,Instagram_Usage_Lifestyle_Mini_!$A:$A,Instagram_Usage_Lifestyle_Mini_!$C:$K)</f>
        <v>Unemployed</v>
      </c>
      <c r="I5" t="str">
        <f>_xlfn.XLOOKUP($A:$A,Instagram_Usage_Lifestyle_Mini_!$A:$A,Instagram_Usage_Lifestyle_Mini_!$C:$K)</f>
        <v>Masters_degree</v>
      </c>
      <c r="J5" t="str">
        <f>_xlfn.XLOOKUP($A:$A,Instagram_Usage_Lifestyle_Mini_!$A:$A,Instagram_Usage_Lifestyle_Mini_!$C:$K)</f>
        <v>In_a_relationship</v>
      </c>
      <c r="K5" t="str">
        <f>_xlfn.XLOOKUP($A:$A,Instagram_Usage_Lifestyle_Mini_!$A:$A,Instagram_Usage_Lifestyle_Mini_!$C:$K)</f>
        <v>No</v>
      </c>
      <c r="L5" t="str" cm="1">
        <f t="array" ref="L5">_xlfn.IFS(C5&lt;18,"Under_18",C5&lt;=25,"Youth",C5&lt;=35,"Young_Adults",C5&lt;=45,"Mid_Adults",TRUE,"Seniors")</f>
        <v>Young_Adults</v>
      </c>
    </row>
    <row r="6" spans="1:12" x14ac:dyDescent="0.2">
      <c r="A6">
        <v>5</v>
      </c>
      <c r="B6" t="str">
        <f>_xlfn.XLOOKUP(A6,Instagram_Usage_Lifestyle_Mini_!A6,Instagram_Usage_Lifestyle_Mini_!B6,1)</f>
        <v>Instagram</v>
      </c>
      <c r="C6">
        <f>_xlfn.XLOOKUP($A:$A,Instagram_Usage_Lifestyle_Mini_!$A:$A,Instagram_Usage_Lifestyle_Mini_!$C:$K)</f>
        <v>55</v>
      </c>
      <c r="D6" t="str">
        <f>_xlfn.XLOOKUP($A:$A,Instagram_Usage_Lifestyle_Mini_!$A:$A,Instagram_Usage_Lifestyle_Mini_!$C:$K)</f>
        <v>Male</v>
      </c>
      <c r="E6" t="str">
        <f>_xlfn.XLOOKUP($A:$A,Instagram_Usage_Lifestyle_Mini_!$A:$A,Instagram_Usage_Lifestyle_Mini_!$C:$K)</f>
        <v>India</v>
      </c>
      <c r="F6" t="str">
        <f>_xlfn.XLOOKUP($A:$A,Instagram_Usage_Lifestyle_Mini_!$A:$A,Instagram_Usage_Lifestyle_Mini_!$C:$K)</f>
        <v>Urban</v>
      </c>
      <c r="G6" t="str">
        <f>_xlfn.XLOOKUP($A:$A,Instagram_Usage_Lifestyle_Mini_!$A:$A,Instagram_Usage_Lifestyle_Mini_!$C:$K)</f>
        <v>Upper_middle</v>
      </c>
      <c r="H6" t="str">
        <f>_xlfn.XLOOKUP($A:$A,Instagram_Usage_Lifestyle_Mini_!$A:$A,Instagram_Usage_Lifestyle_Mini_!$C:$K)</f>
        <v>Full_time_employed</v>
      </c>
      <c r="I6" t="str">
        <f>_xlfn.XLOOKUP($A:$A,Instagram_Usage_Lifestyle_Mini_!$A:$A,Instagram_Usage_Lifestyle_Mini_!$C:$K)</f>
        <v>Bachelors_degree</v>
      </c>
      <c r="J6" t="str">
        <f>_xlfn.XLOOKUP($A:$A,Instagram_Usage_Lifestyle_Mini_!$A:$A,Instagram_Usage_Lifestyle_Mini_!$C:$K)</f>
        <v>Single</v>
      </c>
      <c r="K6" t="str">
        <f>_xlfn.XLOOKUP($A:$A,Instagram_Usage_Lifestyle_Mini_!$A:$A,Instagram_Usage_Lifestyle_Mini_!$C:$K)</f>
        <v>No</v>
      </c>
      <c r="L6" t="str" cm="1">
        <f t="array" ref="L6">_xlfn.IFS(C6&lt;18,"Under_18",C6&lt;=25,"Youth",C6&lt;=35,"Young_Adults",C6&lt;=45,"Mid_Adults",TRUE,"Seniors")</f>
        <v>Seniors</v>
      </c>
    </row>
    <row r="7" spans="1:12" x14ac:dyDescent="0.2">
      <c r="A7">
        <v>6</v>
      </c>
      <c r="B7" t="str">
        <f>_xlfn.XLOOKUP(A7,Instagram_Usage_Lifestyle_Mini_!A7,Instagram_Usage_Lifestyle_Mini_!B7,1)</f>
        <v>Instagram</v>
      </c>
      <c r="C7">
        <f>_xlfn.XLOOKUP($A:$A,Instagram_Usage_Lifestyle_Mini_!$A:$A,Instagram_Usage_Lifestyle_Mini_!$C:$K)</f>
        <v>20</v>
      </c>
      <c r="D7" t="str">
        <f>_xlfn.XLOOKUP($A:$A,Instagram_Usage_Lifestyle_Mini_!$A:$A,Instagram_Usage_Lifestyle_Mini_!$C:$K)</f>
        <v>Male</v>
      </c>
      <c r="E7" t="str">
        <f>_xlfn.XLOOKUP($A:$A,Instagram_Usage_Lifestyle_Mini_!$A:$A,Instagram_Usage_Lifestyle_Mini_!$C:$K)</f>
        <v>United_States</v>
      </c>
      <c r="F7" t="str">
        <f>_xlfn.XLOOKUP($A:$A,Instagram_Usage_Lifestyle_Mini_!$A:$A,Instagram_Usage_Lifestyle_Mini_!$C:$K)</f>
        <v>Rural</v>
      </c>
      <c r="G7" t="str">
        <f>_xlfn.XLOOKUP($A:$A,Instagram_Usage_Lifestyle_Mini_!$A:$A,Instagram_Usage_Lifestyle_Mini_!$C:$K)</f>
        <v>Middle</v>
      </c>
      <c r="H7" t="str">
        <f>_xlfn.XLOOKUP($A:$A,Instagram_Usage_Lifestyle_Mini_!$A:$A,Instagram_Usage_Lifestyle_Mini_!$C:$K)</f>
        <v>Full_time_employed</v>
      </c>
      <c r="I7" t="str">
        <f>_xlfn.XLOOKUP($A:$A,Instagram_Usage_Lifestyle_Mini_!$A:$A,Instagram_Usage_Lifestyle_Mini_!$C:$K)</f>
        <v>Bachelors_degree</v>
      </c>
      <c r="J7" t="str">
        <f>_xlfn.XLOOKUP($A:$A,Instagram_Usage_Lifestyle_Mini_!$A:$A,Instagram_Usage_Lifestyle_Mini_!$C:$K)</f>
        <v>Married</v>
      </c>
      <c r="K7" t="str">
        <f>_xlfn.XLOOKUP($A:$A,Instagram_Usage_Lifestyle_Mini_!$A:$A,Instagram_Usage_Lifestyle_Mini_!$C:$K)</f>
        <v>Yes</v>
      </c>
      <c r="L7" t="str" cm="1">
        <f t="array" ref="L7">_xlfn.IFS(C7&lt;18,"Under_18",C7&lt;=25,"Youth",C7&lt;=35,"Young_Adults",C7&lt;=45,"Mid_Adults",TRUE,"Seniors")</f>
        <v>Youth</v>
      </c>
    </row>
    <row r="8" spans="1:12" x14ac:dyDescent="0.2">
      <c r="A8">
        <v>7</v>
      </c>
      <c r="B8" t="str">
        <f>_xlfn.XLOOKUP(A8,Instagram_Usage_Lifestyle_Mini_!A8,Instagram_Usage_Lifestyle_Mini_!B8,1)</f>
        <v>Instagram</v>
      </c>
      <c r="C8">
        <f>_xlfn.XLOOKUP($A:$A,Instagram_Usage_Lifestyle_Mini_!$A:$A,Instagram_Usage_Lifestyle_Mini_!$C:$K)</f>
        <v>33</v>
      </c>
      <c r="D8" t="str">
        <f>_xlfn.XLOOKUP($A:$A,Instagram_Usage_Lifestyle_Mini_!$A:$A,Instagram_Usage_Lifestyle_Mini_!$C:$K)</f>
        <v>Non_binary</v>
      </c>
      <c r="E8" t="str">
        <f>_xlfn.XLOOKUP($A:$A,Instagram_Usage_Lifestyle_Mini_!$A:$A,Instagram_Usage_Lifestyle_Mini_!$C:$K)</f>
        <v>Japan</v>
      </c>
      <c r="F8" t="str">
        <f>_xlfn.XLOOKUP($A:$A,Instagram_Usage_Lifestyle_Mini_!$A:$A,Instagram_Usage_Lifestyle_Mini_!$C:$K)</f>
        <v>Urban</v>
      </c>
      <c r="G8" t="str">
        <f>_xlfn.XLOOKUP($A:$A,Instagram_Usage_Lifestyle_Mini_!$A:$A,Instagram_Usage_Lifestyle_Mini_!$C:$K)</f>
        <v>Lower_middle</v>
      </c>
      <c r="H8" t="str">
        <f>_xlfn.XLOOKUP($A:$A,Instagram_Usage_Lifestyle_Mini_!$A:$A,Instagram_Usage_Lifestyle_Mini_!$C:$K)</f>
        <v>Freelancer</v>
      </c>
      <c r="I8" t="str">
        <f>_xlfn.XLOOKUP($A:$A,Instagram_Usage_Lifestyle_Mini_!$A:$A,Instagram_Usage_Lifestyle_Mini_!$C:$K)</f>
        <v>High_school</v>
      </c>
      <c r="J8" t="str">
        <f>_xlfn.XLOOKUP($A:$A,Instagram_Usage_Lifestyle_Mini_!$A:$A,Instagram_Usage_Lifestyle_Mini_!$C:$K)</f>
        <v>In_a_relationship</v>
      </c>
      <c r="K8" t="str">
        <f>_xlfn.XLOOKUP($A:$A,Instagram_Usage_Lifestyle_Mini_!$A:$A,Instagram_Usage_Lifestyle_Mini_!$C:$K)</f>
        <v>No</v>
      </c>
      <c r="L8" t="str" cm="1">
        <f t="array" ref="L8">_xlfn.IFS(C8&lt;18,"Under_18",C8&lt;=25,"Youth",C8&lt;=35,"Young_Adults",C8&lt;=45,"Mid_Adults",TRUE,"Seniors")</f>
        <v>Young_Adults</v>
      </c>
    </row>
    <row r="9" spans="1:12" x14ac:dyDescent="0.2">
      <c r="A9">
        <v>8</v>
      </c>
      <c r="B9" t="str">
        <f>_xlfn.XLOOKUP(A9,Instagram_Usage_Lifestyle_Mini_!A9,Instagram_Usage_Lifestyle_Mini_!B9,1)</f>
        <v>Instagram</v>
      </c>
      <c r="C9">
        <f>_xlfn.XLOOKUP($A:$A,Instagram_Usage_Lifestyle_Mini_!$A:$A,Instagram_Usage_Lifestyle_Mini_!$C:$K)</f>
        <v>51</v>
      </c>
      <c r="D9" t="str">
        <f>_xlfn.XLOOKUP($A:$A,Instagram_Usage_Lifestyle_Mini_!$A:$A,Instagram_Usage_Lifestyle_Mini_!$C:$K)</f>
        <v>Female</v>
      </c>
      <c r="E9" t="str">
        <f>_xlfn.XLOOKUP($A:$A,Instagram_Usage_Lifestyle_Mini_!$A:$A,Instagram_Usage_Lifestyle_Mini_!$C:$K)</f>
        <v>United _Kingdom</v>
      </c>
      <c r="F9" t="str">
        <f>_xlfn.XLOOKUP($A:$A,Instagram_Usage_Lifestyle_Mini_!$A:$A,Instagram_Usage_Lifestyle_Mini_!$C:$K)</f>
        <v>Urban</v>
      </c>
      <c r="G9" t="str">
        <f>_xlfn.XLOOKUP($A:$A,Instagram_Usage_Lifestyle_Mini_!$A:$A,Instagram_Usage_Lifestyle_Mini_!$C:$K)</f>
        <v>Middle</v>
      </c>
      <c r="H9" t="str">
        <f>_xlfn.XLOOKUP($A:$A,Instagram_Usage_Lifestyle_Mini_!$A:$A,Instagram_Usage_Lifestyle_Mini_!$C:$K)</f>
        <v>Full_time_employed</v>
      </c>
      <c r="I9" t="str">
        <f>_xlfn.XLOOKUP($A:$A,Instagram_Usage_Lifestyle_Mini_!$A:$A,Instagram_Usage_Lifestyle_Mini_!$C:$K)</f>
        <v>Other</v>
      </c>
      <c r="J9" t="str">
        <f>_xlfn.XLOOKUP($A:$A,Instagram_Usage_Lifestyle_Mini_!$A:$A,Instagram_Usage_Lifestyle_Mini_!$C:$K)</f>
        <v>Single</v>
      </c>
      <c r="K9" t="str">
        <f>_xlfn.XLOOKUP($A:$A,Instagram_Usage_Lifestyle_Mini_!$A:$A,Instagram_Usage_Lifestyle_Mini_!$C:$K)</f>
        <v>Yes</v>
      </c>
      <c r="L9" t="str" cm="1">
        <f t="array" ref="L9">_xlfn.IFS(C9&lt;18,"Under_18",C9&lt;=25,"Youth",C9&lt;=35,"Young_Adults",C9&lt;=45,"Mid_Adults",TRUE,"Seniors")</f>
        <v>Seniors</v>
      </c>
    </row>
    <row r="10" spans="1:12" x14ac:dyDescent="0.2">
      <c r="A10">
        <v>9</v>
      </c>
      <c r="B10" t="str">
        <f>_xlfn.XLOOKUP(A10,Instagram_Usage_Lifestyle_Mini_!A10,Instagram_Usage_Lifestyle_Mini_!B10,1)</f>
        <v>Instagram</v>
      </c>
      <c r="C10">
        <f>_xlfn.XLOOKUP($A:$A,Instagram_Usage_Lifestyle_Mini_!$A:$A,Instagram_Usage_Lifestyle_Mini_!$C:$K)</f>
        <v>31</v>
      </c>
      <c r="D10" t="str">
        <f>_xlfn.XLOOKUP($A:$A,Instagram_Usage_Lifestyle_Mini_!$A:$A,Instagram_Usage_Lifestyle_Mini_!$C:$K)</f>
        <v>Female</v>
      </c>
      <c r="E10" t="str">
        <f>_xlfn.XLOOKUP($A:$A,Instagram_Usage_Lifestyle_Mini_!$A:$A,Instagram_Usage_Lifestyle_Mini_!$C:$K)</f>
        <v>United _Kingdom</v>
      </c>
      <c r="F10" t="str">
        <f>_xlfn.XLOOKUP($A:$A,Instagram_Usage_Lifestyle_Mini_!$A:$A,Instagram_Usage_Lifestyle_Mini_!$C:$K)</f>
        <v>Urban</v>
      </c>
      <c r="G10" t="str">
        <f>_xlfn.XLOOKUP($A:$A,Instagram_Usage_Lifestyle_Mini_!$A:$A,Instagram_Usage_Lifestyle_Mini_!$C:$K)</f>
        <v>Upper_middle</v>
      </c>
      <c r="H10" t="str">
        <f>_xlfn.XLOOKUP($A:$A,Instagram_Usage_Lifestyle_Mini_!$A:$A,Instagram_Usage_Lifestyle_Mini_!$C:$K)</f>
        <v>Retired</v>
      </c>
      <c r="I10" t="str">
        <f>_xlfn.XLOOKUP($A:$A,Instagram_Usage_Lifestyle_Mini_!$A:$A,Instagram_Usage_Lifestyle_Mini_!$C:$K)</f>
        <v>High_school</v>
      </c>
      <c r="J10" t="str">
        <f>_xlfn.XLOOKUP($A:$A,Instagram_Usage_Lifestyle_Mini_!$A:$A,Instagram_Usage_Lifestyle_Mini_!$C:$K)</f>
        <v>Single</v>
      </c>
      <c r="K10" t="str">
        <f>_xlfn.XLOOKUP($A:$A,Instagram_Usage_Lifestyle_Mini_!$A:$A,Instagram_Usage_Lifestyle_Mini_!$C:$K)</f>
        <v>No</v>
      </c>
      <c r="L10" t="str" cm="1">
        <f t="array" ref="L10">_xlfn.IFS(C10&lt;18,"Under_18",C10&lt;=25,"Youth",C10&lt;=35,"Young_Adults",C10&lt;=45,"Mid_Adults",TRUE,"Seniors")</f>
        <v>Young_Adults</v>
      </c>
    </row>
    <row r="11" spans="1:12" x14ac:dyDescent="0.2">
      <c r="A11">
        <v>10</v>
      </c>
      <c r="B11" t="str">
        <f>_xlfn.XLOOKUP(A11,Instagram_Usage_Lifestyle_Mini_!A11,Instagram_Usage_Lifestyle_Mini_!B11,1)</f>
        <v>Instagram</v>
      </c>
      <c r="C11">
        <f>_xlfn.XLOOKUP($A:$A,Instagram_Usage_Lifestyle_Mini_!$A:$A,Instagram_Usage_Lifestyle_Mini_!$C:$K)</f>
        <v>35</v>
      </c>
      <c r="D11" t="str">
        <f>_xlfn.XLOOKUP($A:$A,Instagram_Usage_Lifestyle_Mini_!$A:$A,Instagram_Usage_Lifestyle_Mini_!$C:$K)</f>
        <v>Male</v>
      </c>
      <c r="E11" t="str">
        <f>_xlfn.XLOOKUP($A:$A,Instagram_Usage_Lifestyle_Mini_!$A:$A,Instagram_Usage_Lifestyle_Mini_!$C:$K)</f>
        <v>United_States</v>
      </c>
      <c r="F11" t="str">
        <f>_xlfn.XLOOKUP($A:$A,Instagram_Usage_Lifestyle_Mini_!$A:$A,Instagram_Usage_Lifestyle_Mini_!$C:$K)</f>
        <v>Urban</v>
      </c>
      <c r="G11" t="str">
        <f>_xlfn.XLOOKUP($A:$A,Instagram_Usage_Lifestyle_Mini_!$A:$A,Instagram_Usage_Lifestyle_Mini_!$C:$K)</f>
        <v>Low</v>
      </c>
      <c r="H11" t="str">
        <f>_xlfn.XLOOKUP($A:$A,Instagram_Usage_Lifestyle_Mini_!$A:$A,Instagram_Usage_Lifestyle_Mini_!$C:$K)</f>
        <v>Student</v>
      </c>
      <c r="I11" t="str">
        <f>_xlfn.XLOOKUP($A:$A,Instagram_Usage_Lifestyle_Mini_!$A:$A,Instagram_Usage_Lifestyle_Mini_!$C:$K)</f>
        <v>High_school</v>
      </c>
      <c r="J11" t="str">
        <f>_xlfn.XLOOKUP($A:$A,Instagram_Usage_Lifestyle_Mini_!$A:$A,Instagram_Usage_Lifestyle_Mini_!$C:$K)</f>
        <v>Married</v>
      </c>
      <c r="K11" t="str">
        <f>_xlfn.XLOOKUP($A:$A,Instagram_Usage_Lifestyle_Mini_!$A:$A,Instagram_Usage_Lifestyle_Mini_!$C:$K)</f>
        <v>No</v>
      </c>
      <c r="L11" t="str" cm="1">
        <f t="array" ref="L11">_xlfn.IFS(C11&lt;18,"Under_18",C11&lt;=25,"Youth",C11&lt;=35,"Young_Adults",C11&lt;=45,"Mid_Adults",TRUE,"Seniors")</f>
        <v>Young_Adults</v>
      </c>
    </row>
    <row r="12" spans="1:12" x14ac:dyDescent="0.2">
      <c r="A12">
        <v>11</v>
      </c>
      <c r="B12" t="str">
        <f>_xlfn.XLOOKUP(A12,Instagram_Usage_Lifestyle_Mini_!A12,Instagram_Usage_Lifestyle_Mini_!B12,1)</f>
        <v>Instagram</v>
      </c>
      <c r="C12">
        <f>_xlfn.XLOOKUP($A:$A,Instagram_Usage_Lifestyle_Mini_!$A:$A,Instagram_Usage_Lifestyle_Mini_!$C:$K)</f>
        <v>23</v>
      </c>
      <c r="D12" t="str">
        <f>_xlfn.XLOOKUP($A:$A,Instagram_Usage_Lifestyle_Mini_!$A:$A,Instagram_Usage_Lifestyle_Mini_!$C:$K)</f>
        <v>Male</v>
      </c>
      <c r="E12" t="str">
        <f>_xlfn.XLOOKUP($A:$A,Instagram_Usage_Lifestyle_Mini_!$A:$A,Instagram_Usage_Lifestyle_Mini_!$C:$K)</f>
        <v>India</v>
      </c>
      <c r="F12" t="str">
        <f>_xlfn.XLOOKUP($A:$A,Instagram_Usage_Lifestyle_Mini_!$A:$A,Instagram_Usage_Lifestyle_Mini_!$C:$K)</f>
        <v>Suburban</v>
      </c>
      <c r="G12" t="str">
        <f>_xlfn.XLOOKUP($A:$A,Instagram_Usage_Lifestyle_Mini_!$A:$A,Instagram_Usage_Lifestyle_Mini_!$C:$K)</f>
        <v>Low</v>
      </c>
      <c r="H12" t="str">
        <f>_xlfn.XLOOKUP($A:$A,Instagram_Usage_Lifestyle_Mini_!$A:$A,Instagram_Usage_Lifestyle_Mini_!$C:$K)</f>
        <v>Full_time_employed</v>
      </c>
      <c r="I12" t="str">
        <f>_xlfn.XLOOKUP($A:$A,Instagram_Usage_Lifestyle_Mini_!$A:$A,Instagram_Usage_Lifestyle_Mini_!$C:$K)</f>
        <v>Bachelors_degree</v>
      </c>
      <c r="J12" t="str">
        <f>_xlfn.XLOOKUP($A:$A,Instagram_Usage_Lifestyle_Mini_!$A:$A,Instagram_Usage_Lifestyle_Mini_!$C:$K)</f>
        <v>In_a_relationship</v>
      </c>
      <c r="K12" t="str">
        <f>_xlfn.XLOOKUP($A:$A,Instagram_Usage_Lifestyle_Mini_!$A:$A,Instagram_Usage_Lifestyle_Mini_!$C:$K)</f>
        <v>Yes</v>
      </c>
      <c r="L12" t="str" cm="1">
        <f t="array" ref="L12">_xlfn.IFS(C12&lt;18,"Under_18",C12&lt;=25,"Youth",C12&lt;=35,"Young_Adults",C12&lt;=45,"Mid_Adults",TRUE,"Seniors")</f>
        <v>Youth</v>
      </c>
    </row>
    <row r="13" spans="1:12" x14ac:dyDescent="0.2">
      <c r="A13">
        <v>12</v>
      </c>
      <c r="B13" t="str">
        <f>_xlfn.XLOOKUP(A13,Instagram_Usage_Lifestyle_Mini_!A13,Instagram_Usage_Lifestyle_Mini_!B13,1)</f>
        <v>Instagram</v>
      </c>
      <c r="C13">
        <f>_xlfn.XLOOKUP($A:$A,Instagram_Usage_Lifestyle_Mini_!$A:$A,Instagram_Usage_Lifestyle_Mini_!$C:$K)</f>
        <v>23</v>
      </c>
      <c r="D13" t="str">
        <f>_xlfn.XLOOKUP($A:$A,Instagram_Usage_Lifestyle_Mini_!$A:$A,Instagram_Usage_Lifestyle_Mini_!$C:$K)</f>
        <v>Male</v>
      </c>
      <c r="E13" t="str">
        <f>_xlfn.XLOOKUP($A:$A,Instagram_Usage_Lifestyle_Mini_!$A:$A,Instagram_Usage_Lifestyle_Mini_!$C:$K)</f>
        <v>United_States</v>
      </c>
      <c r="F13" t="str">
        <f>_xlfn.XLOOKUP($A:$A,Instagram_Usage_Lifestyle_Mini_!$A:$A,Instagram_Usage_Lifestyle_Mini_!$C:$K)</f>
        <v>Urban</v>
      </c>
      <c r="G13" t="str">
        <f>_xlfn.XLOOKUP($A:$A,Instagram_Usage_Lifestyle_Mini_!$A:$A,Instagram_Usage_Lifestyle_Mini_!$C:$K)</f>
        <v>High</v>
      </c>
      <c r="H13" t="str">
        <f>_xlfn.XLOOKUP($A:$A,Instagram_Usage_Lifestyle_Mini_!$A:$A,Instagram_Usage_Lifestyle_Mini_!$C:$K)</f>
        <v>Full_time_employed</v>
      </c>
      <c r="I13" t="str">
        <f>_xlfn.XLOOKUP($A:$A,Instagram_Usage_Lifestyle_Mini_!$A:$A,Instagram_Usage_Lifestyle_Mini_!$C:$K)</f>
        <v>Bachelors_degree</v>
      </c>
      <c r="J13" t="str">
        <f>_xlfn.XLOOKUP($A:$A,Instagram_Usage_Lifestyle_Mini_!$A:$A,Instagram_Usage_Lifestyle_Mini_!$C:$K)</f>
        <v>Divorced</v>
      </c>
      <c r="K13" t="str">
        <f>_xlfn.XLOOKUP($A:$A,Instagram_Usage_Lifestyle_Mini_!$A:$A,Instagram_Usage_Lifestyle_Mini_!$C:$K)</f>
        <v>Yes</v>
      </c>
      <c r="L13" t="str" cm="1">
        <f t="array" ref="L13">_xlfn.IFS(C13&lt;18,"Under_18",C13&lt;=25,"Youth",C13&lt;=35,"Young_Adults",C13&lt;=45,"Mid_Adults",TRUE,"Seniors")</f>
        <v>Youth</v>
      </c>
    </row>
    <row r="14" spans="1:12" x14ac:dyDescent="0.2">
      <c r="A14">
        <v>13</v>
      </c>
      <c r="B14" t="str">
        <f>_xlfn.XLOOKUP(A14,Instagram_Usage_Lifestyle_Mini_!A14,Instagram_Usage_Lifestyle_Mini_!B14,1)</f>
        <v>Instagram</v>
      </c>
      <c r="C14">
        <f>_xlfn.XLOOKUP($A:$A,Instagram_Usage_Lifestyle_Mini_!$A:$A,Instagram_Usage_Lifestyle_Mini_!$C:$K)</f>
        <v>36</v>
      </c>
      <c r="D14" t="str">
        <f>_xlfn.XLOOKUP($A:$A,Instagram_Usage_Lifestyle_Mini_!$A:$A,Instagram_Usage_Lifestyle_Mini_!$C:$K)</f>
        <v>Female</v>
      </c>
      <c r="E14" t="str">
        <f>_xlfn.XLOOKUP($A:$A,Instagram_Usage_Lifestyle_Mini_!$A:$A,Instagram_Usage_Lifestyle_Mini_!$C:$K)</f>
        <v>Australia</v>
      </c>
      <c r="F14" t="str">
        <f>_xlfn.XLOOKUP($A:$A,Instagram_Usage_Lifestyle_Mini_!$A:$A,Instagram_Usage_Lifestyle_Mini_!$C:$K)</f>
        <v>Urban</v>
      </c>
      <c r="G14" t="str">
        <f>_xlfn.XLOOKUP($A:$A,Instagram_Usage_Lifestyle_Mini_!$A:$A,Instagram_Usage_Lifestyle_Mini_!$C:$K)</f>
        <v>Middle</v>
      </c>
      <c r="H14" t="str">
        <f>_xlfn.XLOOKUP($A:$A,Instagram_Usage_Lifestyle_Mini_!$A:$A,Instagram_Usage_Lifestyle_Mini_!$C:$K)</f>
        <v>Full_time_employed</v>
      </c>
      <c r="I14" t="str">
        <f>_xlfn.XLOOKUP($A:$A,Instagram_Usage_Lifestyle_Mini_!$A:$A,Instagram_Usage_Lifestyle_Mini_!$C:$K)</f>
        <v>Some_college</v>
      </c>
      <c r="J14" t="str">
        <f>_xlfn.XLOOKUP($A:$A,Instagram_Usage_Lifestyle_Mini_!$A:$A,Instagram_Usage_Lifestyle_Mini_!$C:$K)</f>
        <v>Single</v>
      </c>
      <c r="K14" t="str">
        <f>_xlfn.XLOOKUP($A:$A,Instagram_Usage_Lifestyle_Mini_!$A:$A,Instagram_Usage_Lifestyle_Mini_!$C:$K)</f>
        <v>Yes</v>
      </c>
      <c r="L14" t="str" cm="1">
        <f t="array" ref="L14">_xlfn.IFS(C14&lt;18,"Under_18",C14&lt;=25,"Youth",C14&lt;=35,"Young_Adults",C14&lt;=45,"Mid_Adults",TRUE,"Seniors")</f>
        <v>Mid_Adults</v>
      </c>
    </row>
    <row r="15" spans="1:12" x14ac:dyDescent="0.2">
      <c r="A15">
        <v>14</v>
      </c>
      <c r="B15" t="str">
        <f>_xlfn.XLOOKUP(A15,Instagram_Usage_Lifestyle_Mini_!A15,Instagram_Usage_Lifestyle_Mini_!B15,1)</f>
        <v>Instagram</v>
      </c>
      <c r="C15">
        <f>_xlfn.XLOOKUP($A:$A,Instagram_Usage_Lifestyle_Mini_!$A:$A,Instagram_Usage_Lifestyle_Mini_!$C:$K)</f>
        <v>65</v>
      </c>
      <c r="D15" t="str">
        <f>_xlfn.XLOOKUP($A:$A,Instagram_Usage_Lifestyle_Mini_!$A:$A,Instagram_Usage_Lifestyle_Mini_!$C:$K)</f>
        <v>Male</v>
      </c>
      <c r="E15" t="str">
        <f>_xlfn.XLOOKUP($A:$A,Instagram_Usage_Lifestyle_Mini_!$A:$A,Instagram_Usage_Lifestyle_Mini_!$C:$K)</f>
        <v>Japan</v>
      </c>
      <c r="F15" t="str">
        <f>_xlfn.XLOOKUP($A:$A,Instagram_Usage_Lifestyle_Mini_!$A:$A,Instagram_Usage_Lifestyle_Mini_!$C:$K)</f>
        <v>Urban</v>
      </c>
      <c r="G15" t="str">
        <f>_xlfn.XLOOKUP($A:$A,Instagram_Usage_Lifestyle_Mini_!$A:$A,Instagram_Usage_Lifestyle_Mini_!$C:$K)</f>
        <v>Middle</v>
      </c>
      <c r="H15" t="str">
        <f>_xlfn.XLOOKUP($A:$A,Instagram_Usage_Lifestyle_Mini_!$A:$A,Instagram_Usage_Lifestyle_Mini_!$C:$K)</f>
        <v>Full_time_employed</v>
      </c>
      <c r="I15" t="str">
        <f>_xlfn.XLOOKUP($A:$A,Instagram_Usage_Lifestyle_Mini_!$A:$A,Instagram_Usage_Lifestyle_Mini_!$C:$K)</f>
        <v>High_school</v>
      </c>
      <c r="J15" t="str">
        <f>_xlfn.XLOOKUP($A:$A,Instagram_Usage_Lifestyle_Mini_!$A:$A,Instagram_Usage_Lifestyle_Mini_!$C:$K)</f>
        <v>Widowed</v>
      </c>
      <c r="K15" t="str">
        <f>_xlfn.XLOOKUP($A:$A,Instagram_Usage_Lifestyle_Mini_!$A:$A,Instagram_Usage_Lifestyle_Mini_!$C:$K)</f>
        <v>No</v>
      </c>
      <c r="L15" t="str" cm="1">
        <f t="array" ref="L15">_xlfn.IFS(C15&lt;18,"Under_18",C15&lt;=25,"Youth",C15&lt;=35,"Young_Adults",C15&lt;=45,"Mid_Adults",TRUE,"Seniors")</f>
        <v>Seniors</v>
      </c>
    </row>
    <row r="16" spans="1:12" x14ac:dyDescent="0.2">
      <c r="A16">
        <v>15</v>
      </c>
      <c r="B16" t="str">
        <f>_xlfn.XLOOKUP(A16,Instagram_Usage_Lifestyle_Mini_!A16,Instagram_Usage_Lifestyle_Mini_!B16,1)</f>
        <v>Instagram</v>
      </c>
      <c r="C16">
        <f>_xlfn.XLOOKUP($A:$A,Instagram_Usage_Lifestyle_Mini_!$A:$A,Instagram_Usage_Lifestyle_Mini_!$C:$K)</f>
        <v>48</v>
      </c>
      <c r="D16" t="str">
        <f>_xlfn.XLOOKUP($A:$A,Instagram_Usage_Lifestyle_Mini_!$A:$A,Instagram_Usage_Lifestyle_Mini_!$C:$K)</f>
        <v>Female</v>
      </c>
      <c r="E16" t="str">
        <f>_xlfn.XLOOKUP($A:$A,Instagram_Usage_Lifestyle_Mini_!$A:$A,Instagram_Usage_Lifestyle_Mini_!$C:$K)</f>
        <v>United _Kingdom</v>
      </c>
      <c r="F16" t="str">
        <f>_xlfn.XLOOKUP($A:$A,Instagram_Usage_Lifestyle_Mini_!$A:$A,Instagram_Usage_Lifestyle_Mini_!$C:$K)</f>
        <v>Urban</v>
      </c>
      <c r="G16" t="str">
        <f>_xlfn.XLOOKUP($A:$A,Instagram_Usage_Lifestyle_Mini_!$A:$A,Instagram_Usage_Lifestyle_Mini_!$C:$K)</f>
        <v>Middle</v>
      </c>
      <c r="H16" t="str">
        <f>_xlfn.XLOOKUP($A:$A,Instagram_Usage_Lifestyle_Mini_!$A:$A,Instagram_Usage_Lifestyle_Mini_!$C:$K)</f>
        <v>Full_time_employed</v>
      </c>
      <c r="I16" t="str">
        <f>_xlfn.XLOOKUP($A:$A,Instagram_Usage_Lifestyle_Mini_!$A:$A,Instagram_Usage_Lifestyle_Mini_!$C:$K)</f>
        <v>Bachelors_degree</v>
      </c>
      <c r="J16" t="str">
        <f>_xlfn.XLOOKUP($A:$A,Instagram_Usage_Lifestyle_Mini_!$A:$A,Instagram_Usage_Lifestyle_Mini_!$C:$K)</f>
        <v>Single</v>
      </c>
      <c r="K16" t="str">
        <f>_xlfn.XLOOKUP($A:$A,Instagram_Usage_Lifestyle_Mini_!$A:$A,Instagram_Usage_Lifestyle_Mini_!$C:$K)</f>
        <v>Yes</v>
      </c>
      <c r="L16" t="str" cm="1">
        <f t="array" ref="L16">_xlfn.IFS(C16&lt;18,"Under_18",C16&lt;=25,"Youth",C16&lt;=35,"Young_Adults",C16&lt;=45,"Mid_Adults",TRUE,"Seniors")</f>
        <v>Seniors</v>
      </c>
    </row>
    <row r="17" spans="1:12" x14ac:dyDescent="0.2">
      <c r="A17">
        <v>16</v>
      </c>
      <c r="B17" t="str">
        <f>_xlfn.XLOOKUP(A17,Instagram_Usage_Lifestyle_Mini_!A17,Instagram_Usage_Lifestyle_Mini_!B17,1)</f>
        <v>Instagram</v>
      </c>
      <c r="C17">
        <f>_xlfn.XLOOKUP($A:$A,Instagram_Usage_Lifestyle_Mini_!$A:$A,Instagram_Usage_Lifestyle_Mini_!$C:$K)</f>
        <v>52</v>
      </c>
      <c r="D17" t="str">
        <f>_xlfn.XLOOKUP($A:$A,Instagram_Usage_Lifestyle_Mini_!$A:$A,Instagram_Usage_Lifestyle_Mini_!$C:$K)</f>
        <v>Female</v>
      </c>
      <c r="E17" t="str">
        <f>_xlfn.XLOOKUP($A:$A,Instagram_Usage_Lifestyle_Mini_!$A:$A,Instagram_Usage_Lifestyle_Mini_!$C:$K)</f>
        <v>Japan</v>
      </c>
      <c r="F17" t="str">
        <f>_xlfn.XLOOKUP($A:$A,Instagram_Usage_Lifestyle_Mini_!$A:$A,Instagram_Usage_Lifestyle_Mini_!$C:$K)</f>
        <v>Urban</v>
      </c>
      <c r="G17" t="str">
        <f>_xlfn.XLOOKUP($A:$A,Instagram_Usage_Lifestyle_Mini_!$A:$A,Instagram_Usage_Lifestyle_Mini_!$C:$K)</f>
        <v>High</v>
      </c>
      <c r="H17" t="str">
        <f>_xlfn.XLOOKUP($A:$A,Instagram_Usage_Lifestyle_Mini_!$A:$A,Instagram_Usage_Lifestyle_Mini_!$C:$K)</f>
        <v>Freelancer</v>
      </c>
      <c r="I17" t="str">
        <f>_xlfn.XLOOKUP($A:$A,Instagram_Usage_Lifestyle_Mini_!$A:$A,Instagram_Usage_Lifestyle_Mini_!$C:$K)</f>
        <v>Bachelors_degree</v>
      </c>
      <c r="J17" t="str">
        <f>_xlfn.XLOOKUP($A:$A,Instagram_Usage_Lifestyle_Mini_!$A:$A,Instagram_Usage_Lifestyle_Mini_!$C:$K)</f>
        <v>Single</v>
      </c>
      <c r="K17" t="str">
        <f>_xlfn.XLOOKUP($A:$A,Instagram_Usage_Lifestyle_Mini_!$A:$A,Instagram_Usage_Lifestyle_Mini_!$C:$K)</f>
        <v>No</v>
      </c>
      <c r="L17" t="str" cm="1">
        <f t="array" ref="L17">_xlfn.IFS(C17&lt;18,"Under_18",C17&lt;=25,"Youth",C17&lt;=35,"Young_Adults",C17&lt;=45,"Mid_Adults",TRUE,"Seniors")</f>
        <v>Seniors</v>
      </c>
    </row>
    <row r="18" spans="1:12" x14ac:dyDescent="0.2">
      <c r="A18">
        <v>17</v>
      </c>
      <c r="B18" t="str">
        <f>_xlfn.XLOOKUP(A18,Instagram_Usage_Lifestyle_Mini_!A18,Instagram_Usage_Lifestyle_Mini_!B18,1)</f>
        <v>Instagram</v>
      </c>
      <c r="C18">
        <f>_xlfn.XLOOKUP($A:$A,Instagram_Usage_Lifestyle_Mini_!$A:$A,Instagram_Usage_Lifestyle_Mini_!$C:$K)</f>
        <v>36</v>
      </c>
      <c r="D18" t="str">
        <f>_xlfn.XLOOKUP($A:$A,Instagram_Usage_Lifestyle_Mini_!$A:$A,Instagram_Usage_Lifestyle_Mini_!$C:$K)</f>
        <v>Male</v>
      </c>
      <c r="E18" t="str">
        <f>_xlfn.XLOOKUP($A:$A,Instagram_Usage_Lifestyle_Mini_!$A:$A,Instagram_Usage_Lifestyle_Mini_!$C:$K)</f>
        <v>Brazil</v>
      </c>
      <c r="F18" t="str">
        <f>_xlfn.XLOOKUP($A:$A,Instagram_Usage_Lifestyle_Mini_!$A:$A,Instagram_Usage_Lifestyle_Mini_!$C:$K)</f>
        <v>Urban</v>
      </c>
      <c r="G18" t="str">
        <f>_xlfn.XLOOKUP($A:$A,Instagram_Usage_Lifestyle_Mini_!$A:$A,Instagram_Usage_Lifestyle_Mini_!$C:$K)</f>
        <v>Lower_middle</v>
      </c>
      <c r="H18" t="str">
        <f>_xlfn.XLOOKUP($A:$A,Instagram_Usage_Lifestyle_Mini_!$A:$A,Instagram_Usage_Lifestyle_Mini_!$C:$K)</f>
        <v>Full_time_employed</v>
      </c>
      <c r="I18" t="str">
        <f>_xlfn.XLOOKUP($A:$A,Instagram_Usage_Lifestyle_Mini_!$A:$A,Instagram_Usage_Lifestyle_Mini_!$C:$K)</f>
        <v>Some_college</v>
      </c>
      <c r="J18" t="str">
        <f>_xlfn.XLOOKUP($A:$A,Instagram_Usage_Lifestyle_Mini_!$A:$A,Instagram_Usage_Lifestyle_Mini_!$C:$K)</f>
        <v>Single</v>
      </c>
      <c r="K18" t="str">
        <f>_xlfn.XLOOKUP($A:$A,Instagram_Usage_Lifestyle_Mini_!$A:$A,Instagram_Usage_Lifestyle_Mini_!$C:$K)</f>
        <v>Yes</v>
      </c>
      <c r="L18" t="str" cm="1">
        <f t="array" ref="L18">_xlfn.IFS(C18&lt;18,"Under_18",C18&lt;=25,"Youth",C18&lt;=35,"Young_Adults",C18&lt;=45,"Mid_Adults",TRUE,"Seniors")</f>
        <v>Mid_Adults</v>
      </c>
    </row>
    <row r="19" spans="1:12" x14ac:dyDescent="0.2">
      <c r="A19">
        <v>18</v>
      </c>
      <c r="B19" t="str">
        <f>_xlfn.XLOOKUP(A19,Instagram_Usage_Lifestyle_Mini_!A19,Instagram_Usage_Lifestyle_Mini_!B19,1)</f>
        <v>Instagram</v>
      </c>
      <c r="C19">
        <f>_xlfn.XLOOKUP($A:$A,Instagram_Usage_Lifestyle_Mini_!$A:$A,Instagram_Usage_Lifestyle_Mini_!$C:$K)</f>
        <v>15</v>
      </c>
      <c r="D19" t="str">
        <f>_xlfn.XLOOKUP($A:$A,Instagram_Usage_Lifestyle_Mini_!$A:$A,Instagram_Usage_Lifestyle_Mini_!$C:$K)</f>
        <v>Male</v>
      </c>
      <c r="E19" t="str">
        <f>_xlfn.XLOOKUP($A:$A,Instagram_Usage_Lifestyle_Mini_!$A:$A,Instagram_Usage_Lifestyle_Mini_!$C:$K)</f>
        <v>Brazil</v>
      </c>
      <c r="F19" t="str">
        <f>_xlfn.XLOOKUP($A:$A,Instagram_Usage_Lifestyle_Mini_!$A:$A,Instagram_Usage_Lifestyle_Mini_!$C:$K)</f>
        <v>Urban</v>
      </c>
      <c r="G19" t="str">
        <f>_xlfn.XLOOKUP($A:$A,Instagram_Usage_Lifestyle_Mini_!$A:$A,Instagram_Usage_Lifestyle_Mini_!$C:$K)</f>
        <v>Middle</v>
      </c>
      <c r="H19" t="str">
        <f>_xlfn.XLOOKUP($A:$A,Instagram_Usage_Lifestyle_Mini_!$A:$A,Instagram_Usage_Lifestyle_Mini_!$C:$K)</f>
        <v>Retired</v>
      </c>
      <c r="I19" t="str">
        <f>_xlfn.XLOOKUP($A:$A,Instagram_Usage_Lifestyle_Mini_!$A:$A,Instagram_Usage_Lifestyle_Mini_!$C:$K)</f>
        <v>Bachelors_degree</v>
      </c>
      <c r="J19" t="str">
        <f>_xlfn.XLOOKUP($A:$A,Instagram_Usage_Lifestyle_Mini_!$A:$A,Instagram_Usage_Lifestyle_Mini_!$C:$K)</f>
        <v>Single</v>
      </c>
      <c r="K19" t="str">
        <f>_xlfn.XLOOKUP($A:$A,Instagram_Usage_Lifestyle_Mini_!$A:$A,Instagram_Usage_Lifestyle_Mini_!$C:$K)</f>
        <v>Yes</v>
      </c>
      <c r="L19" t="str" cm="1">
        <f t="array" ref="L19">_xlfn.IFS(C19&lt;18,"Under_18",C19&lt;=25,"Youth",C19&lt;=35,"Young_Adults",C19&lt;=45,"Mid_Adults",TRUE,"Seniors")</f>
        <v>Under_18</v>
      </c>
    </row>
    <row r="20" spans="1:12" x14ac:dyDescent="0.2">
      <c r="A20">
        <v>19</v>
      </c>
      <c r="B20" t="str">
        <f>_xlfn.XLOOKUP(A20,Instagram_Usage_Lifestyle_Mini_!A20,Instagram_Usage_Lifestyle_Mini_!B20,1)</f>
        <v>Instagram</v>
      </c>
      <c r="C20">
        <f>_xlfn.XLOOKUP($A:$A,Instagram_Usage_Lifestyle_Mini_!$A:$A,Instagram_Usage_Lifestyle_Mini_!$C:$K)</f>
        <v>34</v>
      </c>
      <c r="D20" t="str">
        <f>_xlfn.XLOOKUP($A:$A,Instagram_Usage_Lifestyle_Mini_!$A:$A,Instagram_Usage_Lifestyle_Mini_!$C:$K)</f>
        <v>Female</v>
      </c>
      <c r="E20" t="str">
        <f>_xlfn.XLOOKUP($A:$A,Instagram_Usage_Lifestyle_Mini_!$A:$A,Instagram_Usage_Lifestyle_Mini_!$C:$K)</f>
        <v>Brazil</v>
      </c>
      <c r="F20" t="str">
        <f>_xlfn.XLOOKUP($A:$A,Instagram_Usage_Lifestyle_Mini_!$A:$A,Instagram_Usage_Lifestyle_Mini_!$C:$K)</f>
        <v>Urban</v>
      </c>
      <c r="G20" t="str">
        <f>_xlfn.XLOOKUP($A:$A,Instagram_Usage_Lifestyle_Mini_!$A:$A,Instagram_Usage_Lifestyle_Mini_!$C:$K)</f>
        <v>Low</v>
      </c>
      <c r="H20" t="str">
        <f>_xlfn.XLOOKUP($A:$A,Instagram_Usage_Lifestyle_Mini_!$A:$A,Instagram_Usage_Lifestyle_Mini_!$C:$K)</f>
        <v>Retired</v>
      </c>
      <c r="I20" t="str">
        <f>_xlfn.XLOOKUP($A:$A,Instagram_Usage_Lifestyle_Mini_!$A:$A,Instagram_Usage_Lifestyle_Mini_!$C:$K)</f>
        <v>High_school</v>
      </c>
      <c r="J20" t="str">
        <f>_xlfn.XLOOKUP($A:$A,Instagram_Usage_Lifestyle_Mini_!$A:$A,Instagram_Usage_Lifestyle_Mini_!$C:$K)</f>
        <v>In_a_relationship</v>
      </c>
      <c r="K20" t="str">
        <f>_xlfn.XLOOKUP($A:$A,Instagram_Usage_Lifestyle_Mini_!$A:$A,Instagram_Usage_Lifestyle_Mini_!$C:$K)</f>
        <v>No</v>
      </c>
      <c r="L20" t="str" cm="1">
        <f t="array" ref="L20">_xlfn.IFS(C20&lt;18,"Under_18",C20&lt;=25,"Youth",C20&lt;=35,"Young_Adults",C20&lt;=45,"Mid_Adults",TRUE,"Seniors")</f>
        <v>Young_Adults</v>
      </c>
    </row>
    <row r="21" spans="1:12" x14ac:dyDescent="0.2">
      <c r="A21">
        <v>20</v>
      </c>
      <c r="B21" t="str">
        <f>_xlfn.XLOOKUP(A21,Instagram_Usage_Lifestyle_Mini_!A21,Instagram_Usage_Lifestyle_Mini_!B21,1)</f>
        <v>Instagram</v>
      </c>
      <c r="C21">
        <f>_xlfn.XLOOKUP($A:$A,Instagram_Usage_Lifestyle_Mini_!$A:$A,Instagram_Usage_Lifestyle_Mini_!$C:$K)</f>
        <v>65</v>
      </c>
      <c r="D21" t="str">
        <f>_xlfn.XLOOKUP($A:$A,Instagram_Usage_Lifestyle_Mini_!$A:$A,Instagram_Usage_Lifestyle_Mini_!$C:$K)</f>
        <v>Prefer_not _to _say</v>
      </c>
      <c r="E21" t="str">
        <f>_xlfn.XLOOKUP($A:$A,Instagram_Usage_Lifestyle_Mini_!$A:$A,Instagram_Usage_Lifestyle_Mini_!$C:$K)</f>
        <v>Brazil</v>
      </c>
      <c r="F21" t="str">
        <f>_xlfn.XLOOKUP($A:$A,Instagram_Usage_Lifestyle_Mini_!$A:$A,Instagram_Usage_Lifestyle_Mini_!$C:$K)</f>
        <v>Suburban</v>
      </c>
      <c r="G21" t="str">
        <f>_xlfn.XLOOKUP($A:$A,Instagram_Usage_Lifestyle_Mini_!$A:$A,Instagram_Usage_Lifestyle_Mini_!$C:$K)</f>
        <v>Low</v>
      </c>
      <c r="H21" t="str">
        <f>_xlfn.XLOOKUP($A:$A,Instagram_Usage_Lifestyle_Mini_!$A:$A,Instagram_Usage_Lifestyle_Mini_!$C:$K)</f>
        <v>Full_time_employed</v>
      </c>
      <c r="I21" t="str">
        <f>_xlfn.XLOOKUP($A:$A,Instagram_Usage_Lifestyle_Mini_!$A:$A,Instagram_Usage_Lifestyle_Mini_!$C:$K)</f>
        <v>Bachelors_degree</v>
      </c>
      <c r="J21" t="str">
        <f>_xlfn.XLOOKUP($A:$A,Instagram_Usage_Lifestyle_Mini_!$A:$A,Instagram_Usage_Lifestyle_Mini_!$C:$K)</f>
        <v>Married</v>
      </c>
      <c r="K21" t="str">
        <f>_xlfn.XLOOKUP($A:$A,Instagram_Usage_Lifestyle_Mini_!$A:$A,Instagram_Usage_Lifestyle_Mini_!$C:$K)</f>
        <v>Yes</v>
      </c>
      <c r="L21" t="str" cm="1">
        <f t="array" ref="L21">_xlfn.IFS(C21&lt;18,"Under_18",C21&lt;=25,"Youth",C21&lt;=35,"Young_Adults",C21&lt;=45,"Mid_Adults",TRUE,"Seniors")</f>
        <v>Seniors</v>
      </c>
    </row>
    <row r="22" spans="1:12" x14ac:dyDescent="0.2">
      <c r="A22">
        <v>21</v>
      </c>
      <c r="B22" t="str">
        <f>_xlfn.XLOOKUP(A22,Instagram_Usage_Lifestyle_Mini_!A22,Instagram_Usage_Lifestyle_Mini_!B22,1)</f>
        <v>Instagram</v>
      </c>
      <c r="C22">
        <f>_xlfn.XLOOKUP($A:$A,Instagram_Usage_Lifestyle_Mini_!$A:$A,Instagram_Usage_Lifestyle_Mini_!$C:$K)</f>
        <v>14</v>
      </c>
      <c r="D22" t="str">
        <f>_xlfn.XLOOKUP($A:$A,Instagram_Usage_Lifestyle_Mini_!$A:$A,Instagram_Usage_Lifestyle_Mini_!$C:$K)</f>
        <v>Male</v>
      </c>
      <c r="E22" t="str">
        <f>_xlfn.XLOOKUP($A:$A,Instagram_Usage_Lifestyle_Mini_!$A:$A,Instagram_Usage_Lifestyle_Mini_!$C:$K)</f>
        <v>Other</v>
      </c>
      <c r="F22" t="str">
        <f>_xlfn.XLOOKUP($A:$A,Instagram_Usage_Lifestyle_Mini_!$A:$A,Instagram_Usage_Lifestyle_Mini_!$C:$K)</f>
        <v>Urban</v>
      </c>
      <c r="G22" t="str">
        <f>_xlfn.XLOOKUP($A:$A,Instagram_Usage_Lifestyle_Mini_!$A:$A,Instagram_Usage_Lifestyle_Mini_!$C:$K)</f>
        <v>Lower_middle</v>
      </c>
      <c r="H22" t="str">
        <f>_xlfn.XLOOKUP($A:$A,Instagram_Usage_Lifestyle_Mini_!$A:$A,Instagram_Usage_Lifestyle_Mini_!$C:$K)</f>
        <v>Retired</v>
      </c>
      <c r="I22" t="str">
        <f>_xlfn.XLOOKUP($A:$A,Instagram_Usage_Lifestyle_Mini_!$A:$A,Instagram_Usage_Lifestyle_Mini_!$C:$K)</f>
        <v>Masters_degree</v>
      </c>
      <c r="J22" t="str">
        <f>_xlfn.XLOOKUP($A:$A,Instagram_Usage_Lifestyle_Mini_!$A:$A,Instagram_Usage_Lifestyle_Mini_!$C:$K)</f>
        <v>Single</v>
      </c>
      <c r="K22" t="str">
        <f>_xlfn.XLOOKUP($A:$A,Instagram_Usage_Lifestyle_Mini_!$A:$A,Instagram_Usage_Lifestyle_Mini_!$C:$K)</f>
        <v>No</v>
      </c>
      <c r="L22" t="str" cm="1">
        <f t="array" ref="L22">_xlfn.IFS(C22&lt;18,"Under_18",C22&lt;=25,"Youth",C22&lt;=35,"Young_Adults",C22&lt;=45,"Mid_Adults",TRUE,"Seniors")</f>
        <v>Under_18</v>
      </c>
    </row>
    <row r="23" spans="1:12" x14ac:dyDescent="0.2">
      <c r="A23">
        <v>22</v>
      </c>
      <c r="B23" t="str">
        <f>_xlfn.XLOOKUP(A23,Instagram_Usage_Lifestyle_Mini_!A23,Instagram_Usage_Lifestyle_Mini_!B23,1)</f>
        <v>Instagram</v>
      </c>
      <c r="C23">
        <f>_xlfn.XLOOKUP($A:$A,Instagram_Usage_Lifestyle_Mini_!$A:$A,Instagram_Usage_Lifestyle_Mini_!$C:$K)</f>
        <v>36</v>
      </c>
      <c r="D23" t="str">
        <f>_xlfn.XLOOKUP($A:$A,Instagram_Usage_Lifestyle_Mini_!$A:$A,Instagram_Usage_Lifestyle_Mini_!$C:$K)</f>
        <v>Male</v>
      </c>
      <c r="E23" t="str">
        <f>_xlfn.XLOOKUP($A:$A,Instagram_Usage_Lifestyle_Mini_!$A:$A,Instagram_Usage_Lifestyle_Mini_!$C:$K)</f>
        <v>India</v>
      </c>
      <c r="F23" t="str">
        <f>_xlfn.XLOOKUP($A:$A,Instagram_Usage_Lifestyle_Mini_!$A:$A,Instagram_Usage_Lifestyle_Mini_!$C:$K)</f>
        <v>Urban</v>
      </c>
      <c r="G23" t="str">
        <f>_xlfn.XLOOKUP($A:$A,Instagram_Usage_Lifestyle_Mini_!$A:$A,Instagram_Usage_Lifestyle_Mini_!$C:$K)</f>
        <v>Middle</v>
      </c>
      <c r="H23" t="str">
        <f>_xlfn.XLOOKUP($A:$A,Instagram_Usage_Lifestyle_Mini_!$A:$A,Instagram_Usage_Lifestyle_Mini_!$C:$K)</f>
        <v>Full_time_employed</v>
      </c>
      <c r="I23" t="str">
        <f>_xlfn.XLOOKUP($A:$A,Instagram_Usage_Lifestyle_Mini_!$A:$A,Instagram_Usage_Lifestyle_Mini_!$C:$K)</f>
        <v>High_school</v>
      </c>
      <c r="J23" t="str">
        <f>_xlfn.XLOOKUP($A:$A,Instagram_Usage_Lifestyle_Mini_!$A:$A,Instagram_Usage_Lifestyle_Mini_!$C:$K)</f>
        <v>Married</v>
      </c>
      <c r="K23" t="str">
        <f>_xlfn.XLOOKUP($A:$A,Instagram_Usage_Lifestyle_Mini_!$A:$A,Instagram_Usage_Lifestyle_Mini_!$C:$K)</f>
        <v>No</v>
      </c>
      <c r="L23" t="str" cm="1">
        <f t="array" ref="L23">_xlfn.IFS(C23&lt;18,"Under_18",C23&lt;=25,"Youth",C23&lt;=35,"Young_Adults",C23&lt;=45,"Mid_Adults",TRUE,"Seniors")</f>
        <v>Mid_Adults</v>
      </c>
    </row>
    <row r="24" spans="1:12" x14ac:dyDescent="0.2">
      <c r="A24">
        <v>23</v>
      </c>
      <c r="B24" t="str">
        <f>_xlfn.XLOOKUP(A24,Instagram_Usage_Lifestyle_Mini_!A24,Instagram_Usage_Lifestyle_Mini_!B24,1)</f>
        <v>Instagram</v>
      </c>
      <c r="C24">
        <f>_xlfn.XLOOKUP($A:$A,Instagram_Usage_Lifestyle_Mini_!$A:$A,Instagram_Usage_Lifestyle_Mini_!$C:$K)</f>
        <v>56</v>
      </c>
      <c r="D24" t="str">
        <f>_xlfn.XLOOKUP($A:$A,Instagram_Usage_Lifestyle_Mini_!$A:$A,Instagram_Usage_Lifestyle_Mini_!$C:$K)</f>
        <v>Male</v>
      </c>
      <c r="E24" t="str">
        <f>_xlfn.XLOOKUP($A:$A,Instagram_Usage_Lifestyle_Mini_!$A:$A,Instagram_Usage_Lifestyle_Mini_!$C:$K)</f>
        <v>India</v>
      </c>
      <c r="F24" t="str">
        <f>_xlfn.XLOOKUP($A:$A,Instagram_Usage_Lifestyle_Mini_!$A:$A,Instagram_Usage_Lifestyle_Mini_!$C:$K)</f>
        <v>Urban</v>
      </c>
      <c r="G24" t="str">
        <f>_xlfn.XLOOKUP($A:$A,Instagram_Usage_Lifestyle_Mini_!$A:$A,Instagram_Usage_Lifestyle_Mini_!$C:$K)</f>
        <v>Lower_middle</v>
      </c>
      <c r="H24" t="str">
        <f>_xlfn.XLOOKUP($A:$A,Instagram_Usage_Lifestyle_Mini_!$A:$A,Instagram_Usage_Lifestyle_Mini_!$C:$K)</f>
        <v>Student</v>
      </c>
      <c r="I24" t="str">
        <f>_xlfn.XLOOKUP($A:$A,Instagram_Usage_Lifestyle_Mini_!$A:$A,Instagram_Usage_Lifestyle_Mini_!$C:$K)</f>
        <v>Bachelors_degree</v>
      </c>
      <c r="J24" t="str">
        <f>_xlfn.XLOOKUP($A:$A,Instagram_Usage_Lifestyle_Mini_!$A:$A,Instagram_Usage_Lifestyle_Mini_!$C:$K)</f>
        <v>Single</v>
      </c>
      <c r="K24" t="str">
        <f>_xlfn.XLOOKUP($A:$A,Instagram_Usage_Lifestyle_Mini_!$A:$A,Instagram_Usage_Lifestyle_Mini_!$C:$K)</f>
        <v>No</v>
      </c>
      <c r="L24" t="str" cm="1">
        <f t="array" ref="L24">_xlfn.IFS(C24&lt;18,"Under_18",C24&lt;=25,"Youth",C24&lt;=35,"Young_Adults",C24&lt;=45,"Mid_Adults",TRUE,"Seniors")</f>
        <v>Seniors</v>
      </c>
    </row>
    <row r="25" spans="1:12" x14ac:dyDescent="0.2">
      <c r="A25">
        <v>24</v>
      </c>
      <c r="B25" t="str">
        <f>_xlfn.XLOOKUP(A25,Instagram_Usage_Lifestyle_Mini_!A25,Instagram_Usage_Lifestyle_Mini_!B25,1)</f>
        <v>Instagram</v>
      </c>
      <c r="C25">
        <f>_xlfn.XLOOKUP($A:$A,Instagram_Usage_Lifestyle_Mini_!$A:$A,Instagram_Usage_Lifestyle_Mini_!$C:$K)</f>
        <v>42</v>
      </c>
      <c r="D25" t="str">
        <f>_xlfn.XLOOKUP($A:$A,Instagram_Usage_Lifestyle_Mini_!$A:$A,Instagram_Usage_Lifestyle_Mini_!$C:$K)</f>
        <v>Prefer_not _to _say</v>
      </c>
      <c r="E25" t="str">
        <f>_xlfn.XLOOKUP($A:$A,Instagram_Usage_Lifestyle_Mini_!$A:$A,Instagram_Usage_Lifestyle_Mini_!$C:$K)</f>
        <v>United_States</v>
      </c>
      <c r="F25" t="str">
        <f>_xlfn.XLOOKUP($A:$A,Instagram_Usage_Lifestyle_Mini_!$A:$A,Instagram_Usage_Lifestyle_Mini_!$C:$K)</f>
        <v>Suburban</v>
      </c>
      <c r="G25" t="str">
        <f>_xlfn.XLOOKUP($A:$A,Instagram_Usage_Lifestyle_Mini_!$A:$A,Instagram_Usage_Lifestyle_Mini_!$C:$K)</f>
        <v>Lower_middle</v>
      </c>
      <c r="H25" t="str">
        <f>_xlfn.XLOOKUP($A:$A,Instagram_Usage_Lifestyle_Mini_!$A:$A,Instagram_Usage_Lifestyle_Mini_!$C:$K)</f>
        <v>Full_time_employed</v>
      </c>
      <c r="I25" t="str">
        <f>_xlfn.XLOOKUP($A:$A,Instagram_Usage_Lifestyle_Mini_!$A:$A,Instagram_Usage_Lifestyle_Mini_!$C:$K)</f>
        <v>Masters_degree</v>
      </c>
      <c r="J25" t="str">
        <f>_xlfn.XLOOKUP($A:$A,Instagram_Usage_Lifestyle_Mini_!$A:$A,Instagram_Usage_Lifestyle_Mini_!$C:$K)</f>
        <v>Single</v>
      </c>
      <c r="K25" t="str">
        <f>_xlfn.XLOOKUP($A:$A,Instagram_Usage_Lifestyle_Mini_!$A:$A,Instagram_Usage_Lifestyle_Mini_!$C:$K)</f>
        <v>No</v>
      </c>
      <c r="L25" t="str" cm="1">
        <f t="array" ref="L25">_xlfn.IFS(C25&lt;18,"Under_18",C25&lt;=25,"Youth",C25&lt;=35,"Young_Adults",C25&lt;=45,"Mid_Adults",TRUE,"Seniors")</f>
        <v>Mid_Adults</v>
      </c>
    </row>
    <row r="26" spans="1:12" x14ac:dyDescent="0.2">
      <c r="A26">
        <v>25</v>
      </c>
      <c r="B26" t="str">
        <f>_xlfn.XLOOKUP(A26,Instagram_Usage_Lifestyle_Mini_!A26,Instagram_Usage_Lifestyle_Mini_!B26,1)</f>
        <v>Instagram</v>
      </c>
      <c r="C26">
        <f>_xlfn.XLOOKUP($A:$A,Instagram_Usage_Lifestyle_Mini_!$A:$A,Instagram_Usage_Lifestyle_Mini_!$C:$K)</f>
        <v>50</v>
      </c>
      <c r="D26" t="str">
        <f>_xlfn.XLOOKUP($A:$A,Instagram_Usage_Lifestyle_Mini_!$A:$A,Instagram_Usage_Lifestyle_Mini_!$C:$K)</f>
        <v>Female</v>
      </c>
      <c r="E26" t="str">
        <f>_xlfn.XLOOKUP($A:$A,Instagram_Usage_Lifestyle_Mini_!$A:$A,Instagram_Usage_Lifestyle_Mini_!$C:$K)</f>
        <v>United_States</v>
      </c>
      <c r="F26" t="str">
        <f>_xlfn.XLOOKUP($A:$A,Instagram_Usage_Lifestyle_Mini_!$A:$A,Instagram_Usage_Lifestyle_Mini_!$C:$K)</f>
        <v>Urban</v>
      </c>
      <c r="G26" t="str">
        <f>_xlfn.XLOOKUP($A:$A,Instagram_Usage_Lifestyle_Mini_!$A:$A,Instagram_Usage_Lifestyle_Mini_!$C:$K)</f>
        <v>Middle</v>
      </c>
      <c r="H26" t="str">
        <f>_xlfn.XLOOKUP($A:$A,Instagram_Usage_Lifestyle_Mini_!$A:$A,Instagram_Usage_Lifestyle_Mini_!$C:$K)</f>
        <v>Full_time_employed</v>
      </c>
      <c r="I26" t="str">
        <f>_xlfn.XLOOKUP($A:$A,Instagram_Usage_Lifestyle_Mini_!$A:$A,Instagram_Usage_Lifestyle_Mini_!$C:$K)</f>
        <v>Bachelors_degree</v>
      </c>
      <c r="J26" t="str">
        <f>_xlfn.XLOOKUP($A:$A,Instagram_Usage_Lifestyle_Mini_!$A:$A,Instagram_Usage_Lifestyle_Mini_!$C:$K)</f>
        <v>Single</v>
      </c>
      <c r="K26" t="str">
        <f>_xlfn.XLOOKUP($A:$A,Instagram_Usage_Lifestyle_Mini_!$A:$A,Instagram_Usage_Lifestyle_Mini_!$C:$K)</f>
        <v>No</v>
      </c>
      <c r="L26" t="str" cm="1">
        <f t="array" ref="L26">_xlfn.IFS(C26&lt;18,"Under_18",C26&lt;=25,"Youth",C26&lt;=35,"Young_Adults",C26&lt;=45,"Mid_Adults",TRUE,"Seniors")</f>
        <v>Seniors</v>
      </c>
    </row>
    <row r="27" spans="1:12" x14ac:dyDescent="0.2">
      <c r="A27">
        <v>26</v>
      </c>
      <c r="B27" t="str">
        <f>_xlfn.XLOOKUP(A27,Instagram_Usage_Lifestyle_Mini_!A27,Instagram_Usage_Lifestyle_Mini_!B27,1)</f>
        <v>Instagram</v>
      </c>
      <c r="C27">
        <f>_xlfn.XLOOKUP($A:$A,Instagram_Usage_Lifestyle_Mini_!$A:$A,Instagram_Usage_Lifestyle_Mini_!$C:$K)</f>
        <v>14</v>
      </c>
      <c r="D27" t="str">
        <f>_xlfn.XLOOKUP($A:$A,Instagram_Usage_Lifestyle_Mini_!$A:$A,Instagram_Usage_Lifestyle_Mini_!$C:$K)</f>
        <v>Female</v>
      </c>
      <c r="E27" t="str">
        <f>_xlfn.XLOOKUP($A:$A,Instagram_Usage_Lifestyle_Mini_!$A:$A,Instagram_Usage_Lifestyle_Mini_!$C:$K)</f>
        <v>India</v>
      </c>
      <c r="F27" t="str">
        <f>_xlfn.XLOOKUP($A:$A,Instagram_Usage_Lifestyle_Mini_!$A:$A,Instagram_Usage_Lifestyle_Mini_!$C:$K)</f>
        <v>Urban</v>
      </c>
      <c r="G27" t="str">
        <f>_xlfn.XLOOKUP($A:$A,Instagram_Usage_Lifestyle_Mini_!$A:$A,Instagram_Usage_Lifestyle_Mini_!$C:$K)</f>
        <v>Low</v>
      </c>
      <c r="H27" t="str">
        <f>_xlfn.XLOOKUP($A:$A,Instagram_Usage_Lifestyle_Mini_!$A:$A,Instagram_Usage_Lifestyle_Mini_!$C:$K)</f>
        <v>Full_time_employed</v>
      </c>
      <c r="I27" t="str">
        <f>_xlfn.XLOOKUP($A:$A,Instagram_Usage_Lifestyle_Mini_!$A:$A,Instagram_Usage_Lifestyle_Mini_!$C:$K)</f>
        <v>Some_college</v>
      </c>
      <c r="J27" t="str">
        <f>_xlfn.XLOOKUP($A:$A,Instagram_Usage_Lifestyle_Mini_!$A:$A,Instagram_Usage_Lifestyle_Mini_!$C:$K)</f>
        <v>Divorced</v>
      </c>
      <c r="K27" t="str">
        <f>_xlfn.XLOOKUP($A:$A,Instagram_Usage_Lifestyle_Mini_!$A:$A,Instagram_Usage_Lifestyle_Mini_!$C:$K)</f>
        <v>No</v>
      </c>
      <c r="L27" t="str" cm="1">
        <f t="array" ref="L27">_xlfn.IFS(C27&lt;18,"Under_18",C27&lt;=25,"Youth",C27&lt;=35,"Young_Adults",C27&lt;=45,"Mid_Adults",TRUE,"Seniors")</f>
        <v>Under_18</v>
      </c>
    </row>
    <row r="28" spans="1:12" x14ac:dyDescent="0.2">
      <c r="A28">
        <v>27</v>
      </c>
      <c r="B28" t="str">
        <f>_xlfn.XLOOKUP(A28,Instagram_Usage_Lifestyle_Mini_!A28,Instagram_Usage_Lifestyle_Mini_!B28,1)</f>
        <v>Instagram</v>
      </c>
      <c r="C28">
        <f>_xlfn.XLOOKUP($A:$A,Instagram_Usage_Lifestyle_Mini_!$A:$A,Instagram_Usage_Lifestyle_Mini_!$C:$K)</f>
        <v>33</v>
      </c>
      <c r="D28" t="str">
        <f>_xlfn.XLOOKUP($A:$A,Instagram_Usage_Lifestyle_Mini_!$A:$A,Instagram_Usage_Lifestyle_Mini_!$C:$K)</f>
        <v>Female</v>
      </c>
      <c r="E28" t="str">
        <f>_xlfn.XLOOKUP($A:$A,Instagram_Usage_Lifestyle_Mini_!$A:$A,Instagram_Usage_Lifestyle_Mini_!$C:$K)</f>
        <v>United_States</v>
      </c>
      <c r="F28" t="str">
        <f>_xlfn.XLOOKUP($A:$A,Instagram_Usage_Lifestyle_Mini_!$A:$A,Instagram_Usage_Lifestyle_Mini_!$C:$K)</f>
        <v>Urban</v>
      </c>
      <c r="G28" t="str">
        <f>_xlfn.XLOOKUP($A:$A,Instagram_Usage_Lifestyle_Mini_!$A:$A,Instagram_Usage_Lifestyle_Mini_!$C:$K)</f>
        <v>Low</v>
      </c>
      <c r="H28" t="str">
        <f>_xlfn.XLOOKUP($A:$A,Instagram_Usage_Lifestyle_Mini_!$A:$A,Instagram_Usage_Lifestyle_Mini_!$C:$K)</f>
        <v>Freelancer</v>
      </c>
      <c r="I28" t="str">
        <f>_xlfn.XLOOKUP($A:$A,Instagram_Usage_Lifestyle_Mini_!$A:$A,Instagram_Usage_Lifestyle_Mini_!$C:$K)</f>
        <v>High_school</v>
      </c>
      <c r="J28" t="str">
        <f>_xlfn.XLOOKUP($A:$A,Instagram_Usage_Lifestyle_Mini_!$A:$A,Instagram_Usage_Lifestyle_Mini_!$C:$K)</f>
        <v>Married</v>
      </c>
      <c r="K28" t="str">
        <f>_xlfn.XLOOKUP($A:$A,Instagram_Usage_Lifestyle_Mini_!$A:$A,Instagram_Usage_Lifestyle_Mini_!$C:$K)</f>
        <v>No</v>
      </c>
      <c r="L28" t="str" cm="1">
        <f t="array" ref="L28">_xlfn.IFS(C28&lt;18,"Under_18",C28&lt;=25,"Youth",C28&lt;=35,"Young_Adults",C28&lt;=45,"Mid_Adults",TRUE,"Seniors")</f>
        <v>Young_Adults</v>
      </c>
    </row>
    <row r="29" spans="1:12" x14ac:dyDescent="0.2">
      <c r="A29">
        <v>28</v>
      </c>
      <c r="B29" t="str">
        <f>_xlfn.XLOOKUP(A29,Instagram_Usage_Lifestyle_Mini_!A29,Instagram_Usage_Lifestyle_Mini_!B29,1)</f>
        <v>Instagram</v>
      </c>
      <c r="C29">
        <f>_xlfn.XLOOKUP($A:$A,Instagram_Usage_Lifestyle_Mini_!$A:$A,Instagram_Usage_Lifestyle_Mini_!$C:$K)</f>
        <v>45</v>
      </c>
      <c r="D29" t="str">
        <f>_xlfn.XLOOKUP($A:$A,Instagram_Usage_Lifestyle_Mini_!$A:$A,Instagram_Usage_Lifestyle_Mini_!$C:$K)</f>
        <v>Female</v>
      </c>
      <c r="E29" t="str">
        <f>_xlfn.XLOOKUP($A:$A,Instagram_Usage_Lifestyle_Mini_!$A:$A,Instagram_Usage_Lifestyle_Mini_!$C:$K)</f>
        <v>Germany</v>
      </c>
      <c r="F29" t="str">
        <f>_xlfn.XLOOKUP($A:$A,Instagram_Usage_Lifestyle_Mini_!$A:$A,Instagram_Usage_Lifestyle_Mini_!$C:$K)</f>
        <v>Urban</v>
      </c>
      <c r="G29" t="str">
        <f>_xlfn.XLOOKUP($A:$A,Instagram_Usage_Lifestyle_Mini_!$A:$A,Instagram_Usage_Lifestyle_Mini_!$C:$K)</f>
        <v>Lower_middle</v>
      </c>
      <c r="H29" t="str">
        <f>_xlfn.XLOOKUP($A:$A,Instagram_Usage_Lifestyle_Mini_!$A:$A,Instagram_Usage_Lifestyle_Mini_!$C:$K)</f>
        <v>Full_time_employed</v>
      </c>
      <c r="I29" t="str">
        <f>_xlfn.XLOOKUP($A:$A,Instagram_Usage_Lifestyle_Mini_!$A:$A,Instagram_Usage_Lifestyle_Mini_!$C:$K)</f>
        <v>Masters_degree</v>
      </c>
      <c r="J29" t="str">
        <f>_xlfn.XLOOKUP($A:$A,Instagram_Usage_Lifestyle_Mini_!$A:$A,Instagram_Usage_Lifestyle_Mini_!$C:$K)</f>
        <v>In_a_relationship</v>
      </c>
      <c r="K29" t="str">
        <f>_xlfn.XLOOKUP($A:$A,Instagram_Usage_Lifestyle_Mini_!$A:$A,Instagram_Usage_Lifestyle_Mini_!$C:$K)</f>
        <v>Yes</v>
      </c>
      <c r="L29" t="str" cm="1">
        <f t="array" ref="L29">_xlfn.IFS(C29&lt;18,"Under_18",C29&lt;=25,"Youth",C29&lt;=35,"Young_Adults",C29&lt;=45,"Mid_Adults",TRUE,"Seniors")</f>
        <v>Mid_Adults</v>
      </c>
    </row>
    <row r="30" spans="1:12" x14ac:dyDescent="0.2">
      <c r="A30">
        <v>29</v>
      </c>
      <c r="B30" t="str">
        <f>_xlfn.XLOOKUP(A30,Instagram_Usage_Lifestyle_Mini_!A30,Instagram_Usage_Lifestyle_Mini_!B30,1)</f>
        <v>Instagram</v>
      </c>
      <c r="C30">
        <f>_xlfn.XLOOKUP($A:$A,Instagram_Usage_Lifestyle_Mini_!$A:$A,Instagram_Usage_Lifestyle_Mini_!$C:$K)</f>
        <v>24</v>
      </c>
      <c r="D30" t="str">
        <f>_xlfn.XLOOKUP($A:$A,Instagram_Usage_Lifestyle_Mini_!$A:$A,Instagram_Usage_Lifestyle_Mini_!$C:$K)</f>
        <v>Male</v>
      </c>
      <c r="E30" t="str">
        <f>_xlfn.XLOOKUP($A:$A,Instagram_Usage_Lifestyle_Mini_!$A:$A,Instagram_Usage_Lifestyle_Mini_!$C:$K)</f>
        <v>India</v>
      </c>
      <c r="F30" t="str">
        <f>_xlfn.XLOOKUP($A:$A,Instagram_Usage_Lifestyle_Mini_!$A:$A,Instagram_Usage_Lifestyle_Mini_!$C:$K)</f>
        <v>Urban</v>
      </c>
      <c r="G30" t="str">
        <f>_xlfn.XLOOKUP($A:$A,Instagram_Usage_Lifestyle_Mini_!$A:$A,Instagram_Usage_Lifestyle_Mini_!$C:$K)</f>
        <v>Middle</v>
      </c>
      <c r="H30" t="str">
        <f>_xlfn.XLOOKUP($A:$A,Instagram_Usage_Lifestyle_Mini_!$A:$A,Instagram_Usage_Lifestyle_Mini_!$C:$K)</f>
        <v>Full_time_employed</v>
      </c>
      <c r="I30" t="str">
        <f>_xlfn.XLOOKUP($A:$A,Instagram_Usage_Lifestyle_Mini_!$A:$A,Instagram_Usage_Lifestyle_Mini_!$C:$K)</f>
        <v>Bachelors_degree</v>
      </c>
      <c r="J30" t="str">
        <f>_xlfn.XLOOKUP($A:$A,Instagram_Usage_Lifestyle_Mini_!$A:$A,Instagram_Usage_Lifestyle_Mini_!$C:$K)</f>
        <v>Married</v>
      </c>
      <c r="K30" t="str">
        <f>_xlfn.XLOOKUP($A:$A,Instagram_Usage_Lifestyle_Mini_!$A:$A,Instagram_Usage_Lifestyle_Mini_!$C:$K)</f>
        <v>Yes</v>
      </c>
      <c r="L30" t="str" cm="1">
        <f t="array" ref="L30">_xlfn.IFS(C30&lt;18,"Under_18",C30&lt;=25,"Youth",C30&lt;=35,"Young_Adults",C30&lt;=45,"Mid_Adults",TRUE,"Seniors")</f>
        <v>Youth</v>
      </c>
    </row>
    <row r="31" spans="1:12" x14ac:dyDescent="0.2">
      <c r="A31">
        <v>30</v>
      </c>
      <c r="B31" t="str">
        <f>_xlfn.XLOOKUP(A31,Instagram_Usage_Lifestyle_Mini_!A31,Instagram_Usage_Lifestyle_Mini_!B31,1)</f>
        <v>Instagram</v>
      </c>
      <c r="C31">
        <f>_xlfn.XLOOKUP($A:$A,Instagram_Usage_Lifestyle_Mini_!$A:$A,Instagram_Usage_Lifestyle_Mini_!$C:$K)</f>
        <v>34</v>
      </c>
      <c r="D31" t="str">
        <f>_xlfn.XLOOKUP($A:$A,Instagram_Usage_Lifestyle_Mini_!$A:$A,Instagram_Usage_Lifestyle_Mini_!$C:$K)</f>
        <v>Female</v>
      </c>
      <c r="E31" t="str">
        <f>_xlfn.XLOOKUP($A:$A,Instagram_Usage_Lifestyle_Mini_!$A:$A,Instagram_Usage_Lifestyle_Mini_!$C:$K)</f>
        <v>Brazil</v>
      </c>
      <c r="F31" t="str">
        <f>_xlfn.XLOOKUP($A:$A,Instagram_Usage_Lifestyle_Mini_!$A:$A,Instagram_Usage_Lifestyle_Mini_!$C:$K)</f>
        <v>Suburban</v>
      </c>
      <c r="G31" t="str">
        <f>_xlfn.XLOOKUP($A:$A,Instagram_Usage_Lifestyle_Mini_!$A:$A,Instagram_Usage_Lifestyle_Mini_!$C:$K)</f>
        <v>Middle</v>
      </c>
      <c r="H31" t="str">
        <f>_xlfn.XLOOKUP($A:$A,Instagram_Usage_Lifestyle_Mini_!$A:$A,Instagram_Usage_Lifestyle_Mini_!$C:$K)</f>
        <v>Student</v>
      </c>
      <c r="I31" t="str">
        <f>_xlfn.XLOOKUP($A:$A,Instagram_Usage_Lifestyle_Mini_!$A:$A,Instagram_Usage_Lifestyle_Mini_!$C:$K)</f>
        <v>Bachelors_degree</v>
      </c>
      <c r="J31" t="str">
        <f>_xlfn.XLOOKUP($A:$A,Instagram_Usage_Lifestyle_Mini_!$A:$A,Instagram_Usage_Lifestyle_Mini_!$C:$K)</f>
        <v>Single</v>
      </c>
      <c r="K31" t="str">
        <f>_xlfn.XLOOKUP($A:$A,Instagram_Usage_Lifestyle_Mini_!$A:$A,Instagram_Usage_Lifestyle_Mini_!$C:$K)</f>
        <v>No</v>
      </c>
      <c r="L31" t="str" cm="1">
        <f t="array" ref="L31">_xlfn.IFS(C31&lt;18,"Under_18",C31&lt;=25,"Youth",C31&lt;=35,"Young_Adults",C31&lt;=45,"Mid_Adults",TRUE,"Seniors")</f>
        <v>Young_Adults</v>
      </c>
    </row>
    <row r="32" spans="1:12" x14ac:dyDescent="0.2">
      <c r="A32">
        <v>31</v>
      </c>
      <c r="B32" t="str">
        <f>_xlfn.XLOOKUP(A32,Instagram_Usage_Lifestyle_Mini_!A32,Instagram_Usage_Lifestyle_Mini_!B32,1)</f>
        <v>Instagram</v>
      </c>
      <c r="C32">
        <f>_xlfn.XLOOKUP($A:$A,Instagram_Usage_Lifestyle_Mini_!$A:$A,Instagram_Usage_Lifestyle_Mini_!$C:$K)</f>
        <v>56</v>
      </c>
      <c r="D32" t="str">
        <f>_xlfn.XLOOKUP($A:$A,Instagram_Usage_Lifestyle_Mini_!$A:$A,Instagram_Usage_Lifestyle_Mini_!$C:$K)</f>
        <v>Female</v>
      </c>
      <c r="E32" t="str">
        <f>_xlfn.XLOOKUP($A:$A,Instagram_Usage_Lifestyle_Mini_!$A:$A,Instagram_Usage_Lifestyle_Mini_!$C:$K)</f>
        <v>United_States</v>
      </c>
      <c r="F32" t="str">
        <f>_xlfn.XLOOKUP($A:$A,Instagram_Usage_Lifestyle_Mini_!$A:$A,Instagram_Usage_Lifestyle_Mini_!$C:$K)</f>
        <v>Urban</v>
      </c>
      <c r="G32" t="str">
        <f>_xlfn.XLOOKUP($A:$A,Instagram_Usage_Lifestyle_Mini_!$A:$A,Instagram_Usage_Lifestyle_Mini_!$C:$K)</f>
        <v>Lower_middle</v>
      </c>
      <c r="H32" t="str">
        <f>_xlfn.XLOOKUP($A:$A,Instagram_Usage_Lifestyle_Mini_!$A:$A,Instagram_Usage_Lifestyle_Mini_!$C:$K)</f>
        <v>Part_time</v>
      </c>
      <c r="I32" t="str">
        <f>_xlfn.XLOOKUP($A:$A,Instagram_Usage_Lifestyle_Mini_!$A:$A,Instagram_Usage_Lifestyle_Mini_!$C:$K)</f>
        <v>Some_college</v>
      </c>
      <c r="J32" t="str">
        <f>_xlfn.XLOOKUP($A:$A,Instagram_Usage_Lifestyle_Mini_!$A:$A,Instagram_Usage_Lifestyle_Mini_!$C:$K)</f>
        <v>Married</v>
      </c>
      <c r="K32" t="str">
        <f>_xlfn.XLOOKUP($A:$A,Instagram_Usage_Lifestyle_Mini_!$A:$A,Instagram_Usage_Lifestyle_Mini_!$C:$K)</f>
        <v>No</v>
      </c>
      <c r="L32" t="str" cm="1">
        <f t="array" ref="L32">_xlfn.IFS(C32&lt;18,"Under_18",C32&lt;=25,"Youth",C32&lt;=35,"Young_Adults",C32&lt;=45,"Mid_Adults",TRUE,"Seniors")</f>
        <v>Seniors</v>
      </c>
    </row>
    <row r="33" spans="1:12" x14ac:dyDescent="0.2">
      <c r="A33">
        <v>32</v>
      </c>
      <c r="B33" t="str">
        <f>_xlfn.XLOOKUP(A33,Instagram_Usage_Lifestyle_Mini_!A33,Instagram_Usage_Lifestyle_Mini_!B33,1)</f>
        <v>Instagram</v>
      </c>
      <c r="C33">
        <f>_xlfn.XLOOKUP($A:$A,Instagram_Usage_Lifestyle_Mini_!$A:$A,Instagram_Usage_Lifestyle_Mini_!$C:$K)</f>
        <v>37</v>
      </c>
      <c r="D33" t="str">
        <f>_xlfn.XLOOKUP($A:$A,Instagram_Usage_Lifestyle_Mini_!$A:$A,Instagram_Usage_Lifestyle_Mini_!$C:$K)</f>
        <v>Male</v>
      </c>
      <c r="E33" t="str">
        <f>_xlfn.XLOOKUP($A:$A,Instagram_Usage_Lifestyle_Mini_!$A:$A,Instagram_Usage_Lifestyle_Mini_!$C:$K)</f>
        <v>Brazil</v>
      </c>
      <c r="F33" t="str">
        <f>_xlfn.XLOOKUP($A:$A,Instagram_Usage_Lifestyle_Mini_!$A:$A,Instagram_Usage_Lifestyle_Mini_!$C:$K)</f>
        <v>Urban</v>
      </c>
      <c r="G33" t="str">
        <f>_xlfn.XLOOKUP($A:$A,Instagram_Usage_Lifestyle_Mini_!$A:$A,Instagram_Usage_Lifestyle_Mini_!$C:$K)</f>
        <v>Low</v>
      </c>
      <c r="H33" t="str">
        <f>_xlfn.XLOOKUP($A:$A,Instagram_Usage_Lifestyle_Mini_!$A:$A,Instagram_Usage_Lifestyle_Mini_!$C:$K)</f>
        <v>Full_time_employed</v>
      </c>
      <c r="I33" t="str">
        <f>_xlfn.XLOOKUP($A:$A,Instagram_Usage_Lifestyle_Mini_!$A:$A,Instagram_Usage_Lifestyle_Mini_!$C:$K)</f>
        <v>High_school</v>
      </c>
      <c r="J33" t="str">
        <f>_xlfn.XLOOKUP($A:$A,Instagram_Usage_Lifestyle_Mini_!$A:$A,Instagram_Usage_Lifestyle_Mini_!$C:$K)</f>
        <v>Single</v>
      </c>
      <c r="K33" t="str">
        <f>_xlfn.XLOOKUP($A:$A,Instagram_Usage_Lifestyle_Mini_!$A:$A,Instagram_Usage_Lifestyle_Mini_!$C:$K)</f>
        <v>Yes</v>
      </c>
      <c r="L33" t="str" cm="1">
        <f t="array" ref="L33">_xlfn.IFS(C33&lt;18,"Under_18",C33&lt;=25,"Youth",C33&lt;=35,"Young_Adults",C33&lt;=45,"Mid_Adults",TRUE,"Seniors")</f>
        <v>Mid_Adults</v>
      </c>
    </row>
    <row r="34" spans="1:12" x14ac:dyDescent="0.2">
      <c r="A34">
        <v>33</v>
      </c>
      <c r="B34" t="str">
        <f>_xlfn.XLOOKUP(A34,Instagram_Usage_Lifestyle_Mini_!A34,Instagram_Usage_Lifestyle_Mini_!B34,1)</f>
        <v>Instagram</v>
      </c>
      <c r="C34">
        <f>_xlfn.XLOOKUP($A:$A,Instagram_Usage_Lifestyle_Mini_!$A:$A,Instagram_Usage_Lifestyle_Mini_!$C:$K)</f>
        <v>61</v>
      </c>
      <c r="D34" t="str">
        <f>_xlfn.XLOOKUP($A:$A,Instagram_Usage_Lifestyle_Mini_!$A:$A,Instagram_Usage_Lifestyle_Mini_!$C:$K)</f>
        <v>Female</v>
      </c>
      <c r="E34" t="str">
        <f>_xlfn.XLOOKUP($A:$A,Instagram_Usage_Lifestyle_Mini_!$A:$A,Instagram_Usage_Lifestyle_Mini_!$C:$K)</f>
        <v>United_States</v>
      </c>
      <c r="F34" t="str">
        <f>_xlfn.XLOOKUP($A:$A,Instagram_Usage_Lifestyle_Mini_!$A:$A,Instagram_Usage_Lifestyle_Mini_!$C:$K)</f>
        <v>Suburban</v>
      </c>
      <c r="G34" t="str">
        <f>_xlfn.XLOOKUP($A:$A,Instagram_Usage_Lifestyle_Mini_!$A:$A,Instagram_Usage_Lifestyle_Mini_!$C:$K)</f>
        <v>Low</v>
      </c>
      <c r="H34" t="str">
        <f>_xlfn.XLOOKUP($A:$A,Instagram_Usage_Lifestyle_Mini_!$A:$A,Instagram_Usage_Lifestyle_Mini_!$C:$K)</f>
        <v>Unemployed</v>
      </c>
      <c r="I34" t="str">
        <f>_xlfn.XLOOKUP($A:$A,Instagram_Usage_Lifestyle_Mini_!$A:$A,Instagram_Usage_Lifestyle_Mini_!$C:$K)</f>
        <v>Bachelors_degree</v>
      </c>
      <c r="J34" t="str">
        <f>_xlfn.XLOOKUP($A:$A,Instagram_Usage_Lifestyle_Mini_!$A:$A,Instagram_Usage_Lifestyle_Mini_!$C:$K)</f>
        <v>Married</v>
      </c>
      <c r="K34" t="str">
        <f>_xlfn.XLOOKUP($A:$A,Instagram_Usage_Lifestyle_Mini_!$A:$A,Instagram_Usage_Lifestyle_Mini_!$C:$K)</f>
        <v>Yes</v>
      </c>
      <c r="L34" t="str" cm="1">
        <f t="array" ref="L34">_xlfn.IFS(C34&lt;18,"Under_18",C34&lt;=25,"Youth",C34&lt;=35,"Young_Adults",C34&lt;=45,"Mid_Adults",TRUE,"Seniors")</f>
        <v>Seniors</v>
      </c>
    </row>
    <row r="35" spans="1:12" x14ac:dyDescent="0.2">
      <c r="A35">
        <v>34</v>
      </c>
      <c r="B35" t="str">
        <f>_xlfn.XLOOKUP(A35,Instagram_Usage_Lifestyle_Mini_!A35,Instagram_Usage_Lifestyle_Mini_!B35,1)</f>
        <v>Instagram</v>
      </c>
      <c r="C35">
        <f>_xlfn.XLOOKUP($A:$A,Instagram_Usage_Lifestyle_Mini_!$A:$A,Instagram_Usage_Lifestyle_Mini_!$C:$K)</f>
        <v>39</v>
      </c>
      <c r="D35" t="str">
        <f>_xlfn.XLOOKUP($A:$A,Instagram_Usage_Lifestyle_Mini_!$A:$A,Instagram_Usage_Lifestyle_Mini_!$C:$K)</f>
        <v>Male</v>
      </c>
      <c r="E35" t="str">
        <f>_xlfn.XLOOKUP($A:$A,Instagram_Usage_Lifestyle_Mini_!$A:$A,Instagram_Usage_Lifestyle_Mini_!$C:$K)</f>
        <v>Brazil</v>
      </c>
      <c r="F35" t="str">
        <f>_xlfn.XLOOKUP($A:$A,Instagram_Usage_Lifestyle_Mini_!$A:$A,Instagram_Usage_Lifestyle_Mini_!$C:$K)</f>
        <v>Suburban</v>
      </c>
      <c r="G35" t="str">
        <f>_xlfn.XLOOKUP($A:$A,Instagram_Usage_Lifestyle_Mini_!$A:$A,Instagram_Usage_Lifestyle_Mini_!$C:$K)</f>
        <v>Lower_middle</v>
      </c>
      <c r="H35" t="str">
        <f>_xlfn.XLOOKUP($A:$A,Instagram_Usage_Lifestyle_Mini_!$A:$A,Instagram_Usage_Lifestyle_Mini_!$C:$K)</f>
        <v>Unemployed</v>
      </c>
      <c r="I35" t="str">
        <f>_xlfn.XLOOKUP($A:$A,Instagram_Usage_Lifestyle_Mini_!$A:$A,Instagram_Usage_Lifestyle_Mini_!$C:$K)</f>
        <v>Some_college</v>
      </c>
      <c r="J35" t="str">
        <f>_xlfn.XLOOKUP($A:$A,Instagram_Usage_Lifestyle_Mini_!$A:$A,Instagram_Usage_Lifestyle_Mini_!$C:$K)</f>
        <v>Divorced</v>
      </c>
      <c r="K35" t="str">
        <f>_xlfn.XLOOKUP($A:$A,Instagram_Usage_Lifestyle_Mini_!$A:$A,Instagram_Usage_Lifestyle_Mini_!$C:$K)</f>
        <v>No</v>
      </c>
      <c r="L35" t="str" cm="1">
        <f t="array" ref="L35">_xlfn.IFS(C35&lt;18,"Under_18",C35&lt;=25,"Youth",C35&lt;=35,"Young_Adults",C35&lt;=45,"Mid_Adults",TRUE,"Seniors")</f>
        <v>Mid_Adults</v>
      </c>
    </row>
    <row r="36" spans="1:12" x14ac:dyDescent="0.2">
      <c r="A36">
        <v>35</v>
      </c>
      <c r="B36" t="str">
        <f>_xlfn.XLOOKUP(A36,Instagram_Usage_Lifestyle_Mini_!A36,Instagram_Usage_Lifestyle_Mini_!B36,1)</f>
        <v>Instagram</v>
      </c>
      <c r="C36">
        <f>_xlfn.XLOOKUP($A:$A,Instagram_Usage_Lifestyle_Mini_!$A:$A,Instagram_Usage_Lifestyle_Mini_!$C:$K)</f>
        <v>54</v>
      </c>
      <c r="D36" t="str">
        <f>_xlfn.XLOOKUP($A:$A,Instagram_Usage_Lifestyle_Mini_!$A:$A,Instagram_Usage_Lifestyle_Mini_!$C:$K)</f>
        <v>Male</v>
      </c>
      <c r="E36" t="str">
        <f>_xlfn.XLOOKUP($A:$A,Instagram_Usage_Lifestyle_Mini_!$A:$A,Instagram_Usage_Lifestyle_Mini_!$C:$K)</f>
        <v>Brazil</v>
      </c>
      <c r="F36" t="str">
        <f>_xlfn.XLOOKUP($A:$A,Instagram_Usage_Lifestyle_Mini_!$A:$A,Instagram_Usage_Lifestyle_Mini_!$C:$K)</f>
        <v>Rural</v>
      </c>
      <c r="G36" t="str">
        <f>_xlfn.XLOOKUP($A:$A,Instagram_Usage_Lifestyle_Mini_!$A:$A,Instagram_Usage_Lifestyle_Mini_!$C:$K)</f>
        <v>High</v>
      </c>
      <c r="H36" t="str">
        <f>_xlfn.XLOOKUP($A:$A,Instagram_Usage_Lifestyle_Mini_!$A:$A,Instagram_Usage_Lifestyle_Mini_!$C:$K)</f>
        <v>Full_time_employed</v>
      </c>
      <c r="I36" t="str">
        <f>_xlfn.XLOOKUP($A:$A,Instagram_Usage_Lifestyle_Mini_!$A:$A,Instagram_Usage_Lifestyle_Mini_!$C:$K)</f>
        <v>High_school</v>
      </c>
      <c r="J36" t="str">
        <f>_xlfn.XLOOKUP($A:$A,Instagram_Usage_Lifestyle_Mini_!$A:$A,Instagram_Usage_Lifestyle_Mini_!$C:$K)</f>
        <v>Married</v>
      </c>
      <c r="K36" t="str">
        <f>_xlfn.XLOOKUP($A:$A,Instagram_Usage_Lifestyle_Mini_!$A:$A,Instagram_Usage_Lifestyle_Mini_!$C:$K)</f>
        <v>No</v>
      </c>
      <c r="L36" t="str" cm="1">
        <f t="array" ref="L36">_xlfn.IFS(C36&lt;18,"Under_18",C36&lt;=25,"Youth",C36&lt;=35,"Young_Adults",C36&lt;=45,"Mid_Adults",TRUE,"Seniors")</f>
        <v>Seniors</v>
      </c>
    </row>
    <row r="37" spans="1:12" x14ac:dyDescent="0.2">
      <c r="A37">
        <v>36</v>
      </c>
      <c r="B37" t="str">
        <f>_xlfn.XLOOKUP(A37,Instagram_Usage_Lifestyle_Mini_!A37,Instagram_Usage_Lifestyle_Mini_!B37,1)</f>
        <v>Instagram</v>
      </c>
      <c r="C37">
        <f>_xlfn.XLOOKUP($A:$A,Instagram_Usage_Lifestyle_Mini_!$A:$A,Instagram_Usage_Lifestyle_Mini_!$C:$K)</f>
        <v>40</v>
      </c>
      <c r="D37" t="str">
        <f>_xlfn.XLOOKUP($A:$A,Instagram_Usage_Lifestyle_Mini_!$A:$A,Instagram_Usage_Lifestyle_Mini_!$C:$K)</f>
        <v>Male</v>
      </c>
      <c r="E37" t="str">
        <f>_xlfn.XLOOKUP($A:$A,Instagram_Usage_Lifestyle_Mini_!$A:$A,Instagram_Usage_Lifestyle_Mini_!$C:$K)</f>
        <v>Australia</v>
      </c>
      <c r="F37" t="str">
        <f>_xlfn.XLOOKUP($A:$A,Instagram_Usage_Lifestyle_Mini_!$A:$A,Instagram_Usage_Lifestyle_Mini_!$C:$K)</f>
        <v>Urban</v>
      </c>
      <c r="G37" t="str">
        <f>_xlfn.XLOOKUP($A:$A,Instagram_Usage_Lifestyle_Mini_!$A:$A,Instagram_Usage_Lifestyle_Mini_!$C:$K)</f>
        <v>Upper_middle</v>
      </c>
      <c r="H37" t="str">
        <f>_xlfn.XLOOKUP($A:$A,Instagram_Usage_Lifestyle_Mini_!$A:$A,Instagram_Usage_Lifestyle_Mini_!$C:$K)</f>
        <v>Full_time_employed</v>
      </c>
      <c r="I37" t="str">
        <f>_xlfn.XLOOKUP($A:$A,Instagram_Usage_Lifestyle_Mini_!$A:$A,Instagram_Usage_Lifestyle_Mini_!$C:$K)</f>
        <v>Bachelors_degree</v>
      </c>
      <c r="J37" t="str">
        <f>_xlfn.XLOOKUP($A:$A,Instagram_Usage_Lifestyle_Mini_!$A:$A,Instagram_Usage_Lifestyle_Mini_!$C:$K)</f>
        <v>Divorced</v>
      </c>
      <c r="K37" t="str">
        <f>_xlfn.XLOOKUP($A:$A,Instagram_Usage_Lifestyle_Mini_!$A:$A,Instagram_Usage_Lifestyle_Mini_!$C:$K)</f>
        <v>No</v>
      </c>
      <c r="L37" t="str" cm="1">
        <f t="array" ref="L37">_xlfn.IFS(C37&lt;18,"Under_18",C37&lt;=25,"Youth",C37&lt;=35,"Young_Adults",C37&lt;=45,"Mid_Adults",TRUE,"Seniors")</f>
        <v>Mid_Adults</v>
      </c>
    </row>
    <row r="38" spans="1:12" x14ac:dyDescent="0.2">
      <c r="A38">
        <v>37</v>
      </c>
      <c r="B38" t="str">
        <f>_xlfn.XLOOKUP(A38,Instagram_Usage_Lifestyle_Mini_!A38,Instagram_Usage_Lifestyle_Mini_!B38,1)</f>
        <v>Instagram</v>
      </c>
      <c r="C38">
        <f>_xlfn.XLOOKUP($A:$A,Instagram_Usage_Lifestyle_Mini_!$A:$A,Instagram_Usage_Lifestyle_Mini_!$C:$K)</f>
        <v>28</v>
      </c>
      <c r="D38" t="str">
        <f>_xlfn.XLOOKUP($A:$A,Instagram_Usage_Lifestyle_Mini_!$A:$A,Instagram_Usage_Lifestyle_Mini_!$C:$K)</f>
        <v>Non_binary</v>
      </c>
      <c r="E38" t="str">
        <f>_xlfn.XLOOKUP($A:$A,Instagram_Usage_Lifestyle_Mini_!$A:$A,Instagram_Usage_Lifestyle_Mini_!$C:$K)</f>
        <v>India</v>
      </c>
      <c r="F38" t="str">
        <f>_xlfn.XLOOKUP($A:$A,Instagram_Usage_Lifestyle_Mini_!$A:$A,Instagram_Usage_Lifestyle_Mini_!$C:$K)</f>
        <v>Urban</v>
      </c>
      <c r="G38" t="str">
        <f>_xlfn.XLOOKUP($A:$A,Instagram_Usage_Lifestyle_Mini_!$A:$A,Instagram_Usage_Lifestyle_Mini_!$C:$K)</f>
        <v>Low</v>
      </c>
      <c r="H38" t="str">
        <f>_xlfn.XLOOKUP($A:$A,Instagram_Usage_Lifestyle_Mini_!$A:$A,Instagram_Usage_Lifestyle_Mini_!$C:$K)</f>
        <v>Full_time_employed</v>
      </c>
      <c r="I38" t="str">
        <f>_xlfn.XLOOKUP($A:$A,Instagram_Usage_Lifestyle_Mini_!$A:$A,Instagram_Usage_Lifestyle_Mini_!$C:$K)</f>
        <v>Bachelors_degree</v>
      </c>
      <c r="J38" t="str">
        <f>_xlfn.XLOOKUP($A:$A,Instagram_Usage_Lifestyle_Mini_!$A:$A,Instagram_Usage_Lifestyle_Mini_!$C:$K)</f>
        <v>In_a_relationship</v>
      </c>
      <c r="K38" t="str">
        <f>_xlfn.XLOOKUP($A:$A,Instagram_Usage_Lifestyle_Mini_!$A:$A,Instagram_Usage_Lifestyle_Mini_!$C:$K)</f>
        <v>No</v>
      </c>
      <c r="L38" t="str" cm="1">
        <f t="array" ref="L38">_xlfn.IFS(C38&lt;18,"Under_18",C38&lt;=25,"Youth",C38&lt;=35,"Young_Adults",C38&lt;=45,"Mid_Adults",TRUE,"Seniors")</f>
        <v>Young_Adults</v>
      </c>
    </row>
    <row r="39" spans="1:12" x14ac:dyDescent="0.2">
      <c r="A39">
        <v>38</v>
      </c>
      <c r="B39" t="str">
        <f>_xlfn.XLOOKUP(A39,Instagram_Usage_Lifestyle_Mini_!A39,Instagram_Usage_Lifestyle_Mini_!B39,1)</f>
        <v>Instagram</v>
      </c>
      <c r="C39">
        <f>_xlfn.XLOOKUP($A:$A,Instagram_Usage_Lifestyle_Mini_!$A:$A,Instagram_Usage_Lifestyle_Mini_!$C:$K)</f>
        <v>27</v>
      </c>
      <c r="D39" t="str">
        <f>_xlfn.XLOOKUP($A:$A,Instagram_Usage_Lifestyle_Mini_!$A:$A,Instagram_Usage_Lifestyle_Mini_!$C:$K)</f>
        <v>Non_binary</v>
      </c>
      <c r="E39" t="str">
        <f>_xlfn.XLOOKUP($A:$A,Instagram_Usage_Lifestyle_Mini_!$A:$A,Instagram_Usage_Lifestyle_Mini_!$C:$K)</f>
        <v>Australia</v>
      </c>
      <c r="F39" t="str">
        <f>_xlfn.XLOOKUP($A:$A,Instagram_Usage_Lifestyle_Mini_!$A:$A,Instagram_Usage_Lifestyle_Mini_!$C:$K)</f>
        <v>Urban</v>
      </c>
      <c r="G39" t="str">
        <f>_xlfn.XLOOKUP($A:$A,Instagram_Usage_Lifestyle_Mini_!$A:$A,Instagram_Usage_Lifestyle_Mini_!$C:$K)</f>
        <v>Low</v>
      </c>
      <c r="H39" t="str">
        <f>_xlfn.XLOOKUP($A:$A,Instagram_Usage_Lifestyle_Mini_!$A:$A,Instagram_Usage_Lifestyle_Mini_!$C:$K)</f>
        <v>Student</v>
      </c>
      <c r="I39" t="str">
        <f>_xlfn.XLOOKUP($A:$A,Instagram_Usage_Lifestyle_Mini_!$A:$A,Instagram_Usage_Lifestyle_Mini_!$C:$K)</f>
        <v>Bachelors_degree</v>
      </c>
      <c r="J39" t="str">
        <f>_xlfn.XLOOKUP($A:$A,Instagram_Usage_Lifestyle_Mini_!$A:$A,Instagram_Usage_Lifestyle_Mini_!$C:$K)</f>
        <v>Divorced</v>
      </c>
      <c r="K39" t="str">
        <f>_xlfn.XLOOKUP($A:$A,Instagram_Usage_Lifestyle_Mini_!$A:$A,Instagram_Usage_Lifestyle_Mini_!$C:$K)</f>
        <v>No</v>
      </c>
      <c r="L39" t="str" cm="1">
        <f t="array" ref="L39">_xlfn.IFS(C39&lt;18,"Under_18",C39&lt;=25,"Youth",C39&lt;=35,"Young_Adults",C39&lt;=45,"Mid_Adults",TRUE,"Seniors")</f>
        <v>Young_Adults</v>
      </c>
    </row>
    <row r="40" spans="1:12" x14ac:dyDescent="0.2">
      <c r="A40">
        <v>39</v>
      </c>
      <c r="B40" t="str">
        <f>_xlfn.XLOOKUP(A40,Instagram_Usage_Lifestyle_Mini_!A40,Instagram_Usage_Lifestyle_Mini_!B40,1)</f>
        <v>Instagram</v>
      </c>
      <c r="C40">
        <f>_xlfn.XLOOKUP($A:$A,Instagram_Usage_Lifestyle_Mini_!$A:$A,Instagram_Usage_Lifestyle_Mini_!$C:$K)</f>
        <v>59</v>
      </c>
      <c r="D40" t="str">
        <f>_xlfn.XLOOKUP($A:$A,Instagram_Usage_Lifestyle_Mini_!$A:$A,Instagram_Usage_Lifestyle_Mini_!$C:$K)</f>
        <v>Male</v>
      </c>
      <c r="E40" t="str">
        <f>_xlfn.XLOOKUP($A:$A,Instagram_Usage_Lifestyle_Mini_!$A:$A,Instagram_Usage_Lifestyle_Mini_!$C:$K)</f>
        <v>Brazil</v>
      </c>
      <c r="F40" t="str">
        <f>_xlfn.XLOOKUP($A:$A,Instagram_Usage_Lifestyle_Mini_!$A:$A,Instagram_Usage_Lifestyle_Mini_!$C:$K)</f>
        <v>Urban</v>
      </c>
      <c r="G40" t="str">
        <f>_xlfn.XLOOKUP($A:$A,Instagram_Usage_Lifestyle_Mini_!$A:$A,Instagram_Usage_Lifestyle_Mini_!$C:$K)</f>
        <v>Low</v>
      </c>
      <c r="H40" t="str">
        <f>_xlfn.XLOOKUP($A:$A,Instagram_Usage_Lifestyle_Mini_!$A:$A,Instagram_Usage_Lifestyle_Mini_!$C:$K)</f>
        <v>Full_time_employed</v>
      </c>
      <c r="I40" t="str">
        <f>_xlfn.XLOOKUP($A:$A,Instagram_Usage_Lifestyle_Mini_!$A:$A,Instagram_Usage_Lifestyle_Mini_!$C:$K)</f>
        <v>Some_college</v>
      </c>
      <c r="J40" t="str">
        <f>_xlfn.XLOOKUP($A:$A,Instagram_Usage_Lifestyle_Mini_!$A:$A,Instagram_Usage_Lifestyle_Mini_!$C:$K)</f>
        <v>Married</v>
      </c>
      <c r="K40" t="str">
        <f>_xlfn.XLOOKUP($A:$A,Instagram_Usage_Lifestyle_Mini_!$A:$A,Instagram_Usage_Lifestyle_Mini_!$C:$K)</f>
        <v>Yes</v>
      </c>
      <c r="L40" t="str" cm="1">
        <f t="array" ref="L40">_xlfn.IFS(C40&lt;18,"Under_18",C40&lt;=25,"Youth",C40&lt;=35,"Young_Adults",C40&lt;=45,"Mid_Adults",TRUE,"Seniors")</f>
        <v>Seniors</v>
      </c>
    </row>
    <row r="41" spans="1:12" x14ac:dyDescent="0.2">
      <c r="A41">
        <v>40</v>
      </c>
      <c r="B41" t="str">
        <f>_xlfn.XLOOKUP(A41,Instagram_Usage_Lifestyle_Mini_!A41,Instagram_Usage_Lifestyle_Mini_!B41,1)</f>
        <v>Instagram</v>
      </c>
      <c r="C41">
        <f>_xlfn.XLOOKUP($A:$A,Instagram_Usage_Lifestyle_Mini_!$A:$A,Instagram_Usage_Lifestyle_Mini_!$C:$K)</f>
        <v>63</v>
      </c>
      <c r="D41" t="str">
        <f>_xlfn.XLOOKUP($A:$A,Instagram_Usage_Lifestyle_Mini_!$A:$A,Instagram_Usage_Lifestyle_Mini_!$C:$K)</f>
        <v>Female</v>
      </c>
      <c r="E41" t="str">
        <f>_xlfn.XLOOKUP($A:$A,Instagram_Usage_Lifestyle_Mini_!$A:$A,Instagram_Usage_Lifestyle_Mini_!$C:$K)</f>
        <v>United _Kingdom</v>
      </c>
      <c r="F41" t="str">
        <f>_xlfn.XLOOKUP($A:$A,Instagram_Usage_Lifestyle_Mini_!$A:$A,Instagram_Usage_Lifestyle_Mini_!$C:$K)</f>
        <v>Urban</v>
      </c>
      <c r="G41" t="str">
        <f>_xlfn.XLOOKUP($A:$A,Instagram_Usage_Lifestyle_Mini_!$A:$A,Instagram_Usage_Lifestyle_Mini_!$C:$K)</f>
        <v>Upper_middle</v>
      </c>
      <c r="H41" t="str">
        <f>_xlfn.XLOOKUP($A:$A,Instagram_Usage_Lifestyle_Mini_!$A:$A,Instagram_Usage_Lifestyle_Mini_!$C:$K)</f>
        <v>Full_time_employed</v>
      </c>
      <c r="I41" t="str">
        <f>_xlfn.XLOOKUP($A:$A,Instagram_Usage_Lifestyle_Mini_!$A:$A,Instagram_Usage_Lifestyle_Mini_!$C:$K)</f>
        <v>Masters_degree</v>
      </c>
      <c r="J41" t="str">
        <f>_xlfn.XLOOKUP($A:$A,Instagram_Usage_Lifestyle_Mini_!$A:$A,Instagram_Usage_Lifestyle_Mini_!$C:$K)</f>
        <v>In_a_relationship</v>
      </c>
      <c r="K41" t="str">
        <f>_xlfn.XLOOKUP($A:$A,Instagram_Usage_Lifestyle_Mini_!$A:$A,Instagram_Usage_Lifestyle_Mini_!$C:$K)</f>
        <v>No</v>
      </c>
      <c r="L41" t="str" cm="1">
        <f t="array" ref="L41">_xlfn.IFS(C41&lt;18,"Under_18",C41&lt;=25,"Youth",C41&lt;=35,"Young_Adults",C41&lt;=45,"Mid_Adults",TRUE,"Seniors")</f>
        <v>Seniors</v>
      </c>
    </row>
    <row r="42" spans="1:12" x14ac:dyDescent="0.2">
      <c r="A42">
        <v>41</v>
      </c>
      <c r="B42" t="str">
        <f>_xlfn.XLOOKUP(A42,Instagram_Usage_Lifestyle_Mini_!A42,Instagram_Usage_Lifestyle_Mini_!B42,1)</f>
        <v>Instagram</v>
      </c>
      <c r="C42">
        <f>_xlfn.XLOOKUP($A:$A,Instagram_Usage_Lifestyle_Mini_!$A:$A,Instagram_Usage_Lifestyle_Mini_!$C:$K)</f>
        <v>56</v>
      </c>
      <c r="D42" t="str">
        <f>_xlfn.XLOOKUP($A:$A,Instagram_Usage_Lifestyle_Mini_!$A:$A,Instagram_Usage_Lifestyle_Mini_!$C:$K)</f>
        <v>Female</v>
      </c>
      <c r="E42" t="str">
        <f>_xlfn.XLOOKUP($A:$A,Instagram_Usage_Lifestyle_Mini_!$A:$A,Instagram_Usage_Lifestyle_Mini_!$C:$K)</f>
        <v>South_Korea</v>
      </c>
      <c r="F42" t="str">
        <f>_xlfn.XLOOKUP($A:$A,Instagram_Usage_Lifestyle_Mini_!$A:$A,Instagram_Usage_Lifestyle_Mini_!$C:$K)</f>
        <v>Suburban</v>
      </c>
      <c r="G42" t="str">
        <f>_xlfn.XLOOKUP($A:$A,Instagram_Usage_Lifestyle_Mini_!$A:$A,Instagram_Usage_Lifestyle_Mini_!$C:$K)</f>
        <v>Middle</v>
      </c>
      <c r="H42" t="str">
        <f>_xlfn.XLOOKUP($A:$A,Instagram_Usage_Lifestyle_Mini_!$A:$A,Instagram_Usage_Lifestyle_Mini_!$C:$K)</f>
        <v>Part_time</v>
      </c>
      <c r="I42" t="str">
        <f>_xlfn.XLOOKUP($A:$A,Instagram_Usage_Lifestyle_Mini_!$A:$A,Instagram_Usage_Lifestyle_Mini_!$C:$K)</f>
        <v>High_school</v>
      </c>
      <c r="J42" t="str">
        <f>_xlfn.XLOOKUP($A:$A,Instagram_Usage_Lifestyle_Mini_!$A:$A,Instagram_Usage_Lifestyle_Mini_!$C:$K)</f>
        <v>In_a_relationship</v>
      </c>
      <c r="K42" t="str">
        <f>_xlfn.XLOOKUP($A:$A,Instagram_Usage_Lifestyle_Mini_!$A:$A,Instagram_Usage_Lifestyle_Mini_!$C:$K)</f>
        <v>No</v>
      </c>
      <c r="L42" t="str" cm="1">
        <f t="array" ref="L42">_xlfn.IFS(C42&lt;18,"Under_18",C42&lt;=25,"Youth",C42&lt;=35,"Young_Adults",C42&lt;=45,"Mid_Adults",TRUE,"Seniors")</f>
        <v>Seniors</v>
      </c>
    </row>
    <row r="43" spans="1:12" x14ac:dyDescent="0.2">
      <c r="A43">
        <v>42</v>
      </c>
      <c r="B43" t="str">
        <f>_xlfn.XLOOKUP(A43,Instagram_Usage_Lifestyle_Mini_!A43,Instagram_Usage_Lifestyle_Mini_!B43,1)</f>
        <v>Instagram</v>
      </c>
      <c r="C43">
        <f>_xlfn.XLOOKUP($A:$A,Instagram_Usage_Lifestyle_Mini_!$A:$A,Instagram_Usage_Lifestyle_Mini_!$C:$K)</f>
        <v>64</v>
      </c>
      <c r="D43" t="str">
        <f>_xlfn.XLOOKUP($A:$A,Instagram_Usage_Lifestyle_Mini_!$A:$A,Instagram_Usage_Lifestyle_Mini_!$C:$K)</f>
        <v>Male</v>
      </c>
      <c r="E43" t="str">
        <f>_xlfn.XLOOKUP($A:$A,Instagram_Usage_Lifestyle_Mini_!$A:$A,Instagram_Usage_Lifestyle_Mini_!$C:$K)</f>
        <v>South_Korea</v>
      </c>
      <c r="F43" t="str">
        <f>_xlfn.XLOOKUP($A:$A,Instagram_Usage_Lifestyle_Mini_!$A:$A,Instagram_Usage_Lifestyle_Mini_!$C:$K)</f>
        <v>Urban</v>
      </c>
      <c r="G43" t="str">
        <f>_xlfn.XLOOKUP($A:$A,Instagram_Usage_Lifestyle_Mini_!$A:$A,Instagram_Usage_Lifestyle_Mini_!$C:$K)</f>
        <v>Low</v>
      </c>
      <c r="H43" t="str">
        <f>_xlfn.XLOOKUP($A:$A,Instagram_Usage_Lifestyle_Mini_!$A:$A,Instagram_Usage_Lifestyle_Mini_!$C:$K)</f>
        <v>Unemployed</v>
      </c>
      <c r="I43" t="str">
        <f>_xlfn.XLOOKUP($A:$A,Instagram_Usage_Lifestyle_Mini_!$A:$A,Instagram_Usage_Lifestyle_Mini_!$C:$K)</f>
        <v>Some_college</v>
      </c>
      <c r="J43" t="str">
        <f>_xlfn.XLOOKUP($A:$A,Instagram_Usage_Lifestyle_Mini_!$A:$A,Instagram_Usage_Lifestyle_Mini_!$C:$K)</f>
        <v>In_a_relationship</v>
      </c>
      <c r="K43" t="str">
        <f>_xlfn.XLOOKUP($A:$A,Instagram_Usage_Lifestyle_Mini_!$A:$A,Instagram_Usage_Lifestyle_Mini_!$C:$K)</f>
        <v>Yes</v>
      </c>
      <c r="L43" t="str" cm="1">
        <f t="array" ref="L43">_xlfn.IFS(C43&lt;18,"Under_18",C43&lt;=25,"Youth",C43&lt;=35,"Young_Adults",C43&lt;=45,"Mid_Adults",TRUE,"Seniors")</f>
        <v>Seniors</v>
      </c>
    </row>
    <row r="44" spans="1:12" x14ac:dyDescent="0.2">
      <c r="A44">
        <v>43</v>
      </c>
      <c r="B44" t="str">
        <f>_xlfn.XLOOKUP(A44,Instagram_Usage_Lifestyle_Mini_!A44,Instagram_Usage_Lifestyle_Mini_!B44,1)</f>
        <v>Instagram</v>
      </c>
      <c r="C44">
        <f>_xlfn.XLOOKUP($A:$A,Instagram_Usage_Lifestyle_Mini_!$A:$A,Instagram_Usage_Lifestyle_Mini_!$C:$K)</f>
        <v>15</v>
      </c>
      <c r="D44" t="str">
        <f>_xlfn.XLOOKUP($A:$A,Instagram_Usage_Lifestyle_Mini_!$A:$A,Instagram_Usage_Lifestyle_Mini_!$C:$K)</f>
        <v>Female</v>
      </c>
      <c r="E44" t="str">
        <f>_xlfn.XLOOKUP($A:$A,Instagram_Usage_Lifestyle_Mini_!$A:$A,Instagram_Usage_Lifestyle_Mini_!$C:$K)</f>
        <v>Other</v>
      </c>
      <c r="F44" t="str">
        <f>_xlfn.XLOOKUP($A:$A,Instagram_Usage_Lifestyle_Mini_!$A:$A,Instagram_Usage_Lifestyle_Mini_!$C:$K)</f>
        <v>Urban</v>
      </c>
      <c r="G44" t="str">
        <f>_xlfn.XLOOKUP($A:$A,Instagram_Usage_Lifestyle_Mini_!$A:$A,Instagram_Usage_Lifestyle_Mini_!$C:$K)</f>
        <v>Low</v>
      </c>
      <c r="H44" t="str">
        <f>_xlfn.XLOOKUP($A:$A,Instagram_Usage_Lifestyle_Mini_!$A:$A,Instagram_Usage_Lifestyle_Mini_!$C:$K)</f>
        <v>Full_time_employed</v>
      </c>
      <c r="I44" t="str">
        <f>_xlfn.XLOOKUP($A:$A,Instagram_Usage_Lifestyle_Mini_!$A:$A,Instagram_Usage_Lifestyle_Mini_!$C:$K)</f>
        <v>High_school</v>
      </c>
      <c r="J44" t="str">
        <f>_xlfn.XLOOKUP($A:$A,Instagram_Usage_Lifestyle_Mini_!$A:$A,Instagram_Usage_Lifestyle_Mini_!$C:$K)</f>
        <v>Married</v>
      </c>
      <c r="K44" t="str">
        <f>_xlfn.XLOOKUP($A:$A,Instagram_Usage_Lifestyle_Mini_!$A:$A,Instagram_Usage_Lifestyle_Mini_!$C:$K)</f>
        <v>No</v>
      </c>
      <c r="L44" t="str" cm="1">
        <f t="array" ref="L44">_xlfn.IFS(C44&lt;18,"Under_18",C44&lt;=25,"Youth",C44&lt;=35,"Young_Adults",C44&lt;=45,"Mid_Adults",TRUE,"Seniors")</f>
        <v>Under_18</v>
      </c>
    </row>
    <row r="45" spans="1:12" x14ac:dyDescent="0.2">
      <c r="A45">
        <v>44</v>
      </c>
      <c r="B45" t="str">
        <f>_xlfn.XLOOKUP(A45,Instagram_Usage_Lifestyle_Mini_!A45,Instagram_Usage_Lifestyle_Mini_!B45,1)</f>
        <v>Instagram</v>
      </c>
      <c r="C45">
        <f>_xlfn.XLOOKUP($A:$A,Instagram_Usage_Lifestyle_Mini_!$A:$A,Instagram_Usage_Lifestyle_Mini_!$C:$K)</f>
        <v>49</v>
      </c>
      <c r="D45" t="str">
        <f>_xlfn.XLOOKUP($A:$A,Instagram_Usage_Lifestyle_Mini_!$A:$A,Instagram_Usage_Lifestyle_Mini_!$C:$K)</f>
        <v>Female</v>
      </c>
      <c r="E45" t="str">
        <f>_xlfn.XLOOKUP($A:$A,Instagram_Usage_Lifestyle_Mini_!$A:$A,Instagram_Usage_Lifestyle_Mini_!$C:$K)</f>
        <v>Germany</v>
      </c>
      <c r="F45" t="str">
        <f>_xlfn.XLOOKUP($A:$A,Instagram_Usage_Lifestyle_Mini_!$A:$A,Instagram_Usage_Lifestyle_Mini_!$C:$K)</f>
        <v>Urban</v>
      </c>
      <c r="G45" t="str">
        <f>_xlfn.XLOOKUP($A:$A,Instagram_Usage_Lifestyle_Mini_!$A:$A,Instagram_Usage_Lifestyle_Mini_!$C:$K)</f>
        <v>Upper_middle</v>
      </c>
      <c r="H45" t="str">
        <f>_xlfn.XLOOKUP($A:$A,Instagram_Usage_Lifestyle_Mini_!$A:$A,Instagram_Usage_Lifestyle_Mini_!$C:$K)</f>
        <v>Freelancer</v>
      </c>
      <c r="I45" t="str">
        <f>_xlfn.XLOOKUP($A:$A,Instagram_Usage_Lifestyle_Mini_!$A:$A,Instagram_Usage_Lifestyle_Mini_!$C:$K)</f>
        <v>Masters_degree</v>
      </c>
      <c r="J45" t="str">
        <f>_xlfn.XLOOKUP($A:$A,Instagram_Usage_Lifestyle_Mini_!$A:$A,Instagram_Usage_Lifestyle_Mini_!$C:$K)</f>
        <v>Married</v>
      </c>
      <c r="K45" t="str">
        <f>_xlfn.XLOOKUP($A:$A,Instagram_Usage_Lifestyle_Mini_!$A:$A,Instagram_Usage_Lifestyle_Mini_!$C:$K)</f>
        <v>No</v>
      </c>
      <c r="L45" t="str" cm="1">
        <f t="array" ref="L45">_xlfn.IFS(C45&lt;18,"Under_18",C45&lt;=25,"Youth",C45&lt;=35,"Young_Adults",C45&lt;=45,"Mid_Adults",TRUE,"Seniors")</f>
        <v>Seniors</v>
      </c>
    </row>
    <row r="46" spans="1:12" x14ac:dyDescent="0.2">
      <c r="A46">
        <v>45</v>
      </c>
      <c r="B46" t="str">
        <f>_xlfn.XLOOKUP(A46,Instagram_Usage_Lifestyle_Mini_!A46,Instagram_Usage_Lifestyle_Mini_!B46,1)</f>
        <v>Instagram</v>
      </c>
      <c r="C46">
        <f>_xlfn.XLOOKUP($A:$A,Instagram_Usage_Lifestyle_Mini_!$A:$A,Instagram_Usage_Lifestyle_Mini_!$C:$K)</f>
        <v>63</v>
      </c>
      <c r="D46" t="str">
        <f>_xlfn.XLOOKUP($A:$A,Instagram_Usage_Lifestyle_Mini_!$A:$A,Instagram_Usage_Lifestyle_Mini_!$C:$K)</f>
        <v>Male</v>
      </c>
      <c r="E46" t="str">
        <f>_xlfn.XLOOKUP($A:$A,Instagram_Usage_Lifestyle_Mini_!$A:$A,Instagram_Usage_Lifestyle_Mini_!$C:$K)</f>
        <v>Brazil</v>
      </c>
      <c r="F46" t="str">
        <f>_xlfn.XLOOKUP($A:$A,Instagram_Usage_Lifestyle_Mini_!$A:$A,Instagram_Usage_Lifestyle_Mini_!$C:$K)</f>
        <v>Suburban</v>
      </c>
      <c r="G46" t="str">
        <f>_xlfn.XLOOKUP($A:$A,Instagram_Usage_Lifestyle_Mini_!$A:$A,Instagram_Usage_Lifestyle_Mini_!$C:$K)</f>
        <v>Middle</v>
      </c>
      <c r="H46" t="str">
        <f>_xlfn.XLOOKUP($A:$A,Instagram_Usage_Lifestyle_Mini_!$A:$A,Instagram_Usage_Lifestyle_Mini_!$C:$K)</f>
        <v>Freelancer</v>
      </c>
      <c r="I46" t="str">
        <f>_xlfn.XLOOKUP($A:$A,Instagram_Usage_Lifestyle_Mini_!$A:$A,Instagram_Usage_Lifestyle_Mini_!$C:$K)</f>
        <v>High_school</v>
      </c>
      <c r="J46" t="str">
        <f>_xlfn.XLOOKUP($A:$A,Instagram_Usage_Lifestyle_Mini_!$A:$A,Instagram_Usage_Lifestyle_Mini_!$C:$K)</f>
        <v>Single</v>
      </c>
      <c r="K46" t="str">
        <f>_xlfn.XLOOKUP($A:$A,Instagram_Usage_Lifestyle_Mini_!$A:$A,Instagram_Usage_Lifestyle_Mini_!$C:$K)</f>
        <v>No</v>
      </c>
      <c r="L46" t="str" cm="1">
        <f t="array" ref="L46">_xlfn.IFS(C46&lt;18,"Under_18",C46&lt;=25,"Youth",C46&lt;=35,"Young_Adults",C46&lt;=45,"Mid_Adults",TRUE,"Seniors")</f>
        <v>Seniors</v>
      </c>
    </row>
    <row r="47" spans="1:12" x14ac:dyDescent="0.2">
      <c r="A47">
        <v>46</v>
      </c>
      <c r="B47" t="str">
        <f>_xlfn.XLOOKUP(A47,Instagram_Usage_Lifestyle_Mini_!A47,Instagram_Usage_Lifestyle_Mini_!B47,1)</f>
        <v>Instagram</v>
      </c>
      <c r="C47">
        <f>_xlfn.XLOOKUP($A:$A,Instagram_Usage_Lifestyle_Mini_!$A:$A,Instagram_Usage_Lifestyle_Mini_!$C:$K)</f>
        <v>19</v>
      </c>
      <c r="D47" t="str">
        <f>_xlfn.XLOOKUP($A:$A,Instagram_Usage_Lifestyle_Mini_!$A:$A,Instagram_Usage_Lifestyle_Mini_!$C:$K)</f>
        <v>Female</v>
      </c>
      <c r="E47" t="str">
        <f>_xlfn.XLOOKUP($A:$A,Instagram_Usage_Lifestyle_Mini_!$A:$A,Instagram_Usage_Lifestyle_Mini_!$C:$K)</f>
        <v>Brazil</v>
      </c>
      <c r="F47" t="str">
        <f>_xlfn.XLOOKUP($A:$A,Instagram_Usage_Lifestyle_Mini_!$A:$A,Instagram_Usage_Lifestyle_Mini_!$C:$K)</f>
        <v>Urban</v>
      </c>
      <c r="G47" t="str">
        <f>_xlfn.XLOOKUP($A:$A,Instagram_Usage_Lifestyle_Mini_!$A:$A,Instagram_Usage_Lifestyle_Mini_!$C:$K)</f>
        <v>Low</v>
      </c>
      <c r="H47" t="str">
        <f>_xlfn.XLOOKUP($A:$A,Instagram_Usage_Lifestyle_Mini_!$A:$A,Instagram_Usage_Lifestyle_Mini_!$C:$K)</f>
        <v>Full_time_employed</v>
      </c>
      <c r="I47" t="str">
        <f>_xlfn.XLOOKUP($A:$A,Instagram_Usage_Lifestyle_Mini_!$A:$A,Instagram_Usage_Lifestyle_Mini_!$C:$K)</f>
        <v>Masters_degree</v>
      </c>
      <c r="J47" t="str">
        <f>_xlfn.XLOOKUP($A:$A,Instagram_Usage_Lifestyle_Mini_!$A:$A,Instagram_Usage_Lifestyle_Mini_!$C:$K)</f>
        <v>Married</v>
      </c>
      <c r="K47" t="str">
        <f>_xlfn.XLOOKUP($A:$A,Instagram_Usage_Lifestyle_Mini_!$A:$A,Instagram_Usage_Lifestyle_Mini_!$C:$K)</f>
        <v>No</v>
      </c>
      <c r="L47" t="str" cm="1">
        <f t="array" ref="L47">_xlfn.IFS(C47&lt;18,"Under_18",C47&lt;=25,"Youth",C47&lt;=35,"Young_Adults",C47&lt;=45,"Mid_Adults",TRUE,"Seniors")</f>
        <v>Youth</v>
      </c>
    </row>
    <row r="48" spans="1:12" x14ac:dyDescent="0.2">
      <c r="A48">
        <v>47</v>
      </c>
      <c r="B48" t="str">
        <f>_xlfn.XLOOKUP(A48,Instagram_Usage_Lifestyle_Mini_!A48,Instagram_Usage_Lifestyle_Mini_!B48,1)</f>
        <v>Instagram</v>
      </c>
      <c r="C48">
        <f>_xlfn.XLOOKUP($A:$A,Instagram_Usage_Lifestyle_Mini_!$A:$A,Instagram_Usage_Lifestyle_Mini_!$C:$K)</f>
        <v>33</v>
      </c>
      <c r="D48" t="str">
        <f>_xlfn.XLOOKUP($A:$A,Instagram_Usage_Lifestyle_Mini_!$A:$A,Instagram_Usage_Lifestyle_Mini_!$C:$K)</f>
        <v>Female</v>
      </c>
      <c r="E48" t="str">
        <f>_xlfn.XLOOKUP($A:$A,Instagram_Usage_Lifestyle_Mini_!$A:$A,Instagram_Usage_Lifestyle_Mini_!$C:$K)</f>
        <v>South_Korea</v>
      </c>
      <c r="F48" t="str">
        <f>_xlfn.XLOOKUP($A:$A,Instagram_Usage_Lifestyle_Mini_!$A:$A,Instagram_Usage_Lifestyle_Mini_!$C:$K)</f>
        <v>Rural</v>
      </c>
      <c r="G48" t="str">
        <f>_xlfn.XLOOKUP($A:$A,Instagram_Usage_Lifestyle_Mini_!$A:$A,Instagram_Usage_Lifestyle_Mini_!$C:$K)</f>
        <v>Middle</v>
      </c>
      <c r="H48" t="str">
        <f>_xlfn.XLOOKUP($A:$A,Instagram_Usage_Lifestyle_Mini_!$A:$A,Instagram_Usage_Lifestyle_Mini_!$C:$K)</f>
        <v>Part_time</v>
      </c>
      <c r="I48" t="str">
        <f>_xlfn.XLOOKUP($A:$A,Instagram_Usage_Lifestyle_Mini_!$A:$A,Instagram_Usage_Lifestyle_Mini_!$C:$K)</f>
        <v>Bachelors_degree</v>
      </c>
      <c r="J48" t="str">
        <f>_xlfn.XLOOKUP($A:$A,Instagram_Usage_Lifestyle_Mini_!$A:$A,Instagram_Usage_Lifestyle_Mini_!$C:$K)</f>
        <v>In_a_relationship</v>
      </c>
      <c r="K48" t="str">
        <f>_xlfn.XLOOKUP($A:$A,Instagram_Usage_Lifestyle_Mini_!$A:$A,Instagram_Usage_Lifestyle_Mini_!$C:$K)</f>
        <v>Yes</v>
      </c>
      <c r="L48" t="str" cm="1">
        <f t="array" ref="L48">_xlfn.IFS(C48&lt;18,"Under_18",C48&lt;=25,"Youth",C48&lt;=35,"Young_Adults",C48&lt;=45,"Mid_Adults",TRUE,"Seniors")</f>
        <v>Young_Adults</v>
      </c>
    </row>
    <row r="49" spans="1:12" x14ac:dyDescent="0.2">
      <c r="A49">
        <v>48</v>
      </c>
      <c r="B49" t="str">
        <f>_xlfn.XLOOKUP(A49,Instagram_Usage_Lifestyle_Mini_!A49,Instagram_Usage_Lifestyle_Mini_!B49,1)</f>
        <v>Instagram</v>
      </c>
      <c r="C49">
        <f>_xlfn.XLOOKUP($A:$A,Instagram_Usage_Lifestyle_Mini_!$A:$A,Instagram_Usage_Lifestyle_Mini_!$C:$K)</f>
        <v>21</v>
      </c>
      <c r="D49" t="str">
        <f>_xlfn.XLOOKUP($A:$A,Instagram_Usage_Lifestyle_Mini_!$A:$A,Instagram_Usage_Lifestyle_Mini_!$C:$K)</f>
        <v>Male</v>
      </c>
      <c r="E49" t="str">
        <f>_xlfn.XLOOKUP($A:$A,Instagram_Usage_Lifestyle_Mini_!$A:$A,Instagram_Usage_Lifestyle_Mini_!$C:$K)</f>
        <v>United_States</v>
      </c>
      <c r="F49" t="str">
        <f>_xlfn.XLOOKUP($A:$A,Instagram_Usage_Lifestyle_Mini_!$A:$A,Instagram_Usage_Lifestyle_Mini_!$C:$K)</f>
        <v>Urban</v>
      </c>
      <c r="G49" t="str">
        <f>_xlfn.XLOOKUP($A:$A,Instagram_Usage_Lifestyle_Mini_!$A:$A,Instagram_Usage_Lifestyle_Mini_!$C:$K)</f>
        <v>Lower_middle</v>
      </c>
      <c r="H49" t="str">
        <f>_xlfn.XLOOKUP($A:$A,Instagram_Usage_Lifestyle_Mini_!$A:$A,Instagram_Usage_Lifestyle_Mini_!$C:$K)</f>
        <v>Full_time_employed</v>
      </c>
      <c r="I49" t="str">
        <f>_xlfn.XLOOKUP($A:$A,Instagram_Usage_Lifestyle_Mini_!$A:$A,Instagram_Usage_Lifestyle_Mini_!$C:$K)</f>
        <v>Bachelors_degree</v>
      </c>
      <c r="J49" t="str">
        <f>_xlfn.XLOOKUP($A:$A,Instagram_Usage_Lifestyle_Mini_!$A:$A,Instagram_Usage_Lifestyle_Mini_!$C:$K)</f>
        <v>Single</v>
      </c>
      <c r="K49" t="str">
        <f>_xlfn.XLOOKUP($A:$A,Instagram_Usage_Lifestyle_Mini_!$A:$A,Instagram_Usage_Lifestyle_Mini_!$C:$K)</f>
        <v>No</v>
      </c>
      <c r="L49" t="str" cm="1">
        <f t="array" ref="L49">_xlfn.IFS(C49&lt;18,"Under_18",C49&lt;=25,"Youth",C49&lt;=35,"Young_Adults",C49&lt;=45,"Mid_Adults",TRUE,"Seniors")</f>
        <v>Youth</v>
      </c>
    </row>
    <row r="50" spans="1:12" x14ac:dyDescent="0.2">
      <c r="A50">
        <v>49</v>
      </c>
      <c r="B50" t="str">
        <f>_xlfn.XLOOKUP(A50,Instagram_Usage_Lifestyle_Mini_!A50,Instagram_Usage_Lifestyle_Mini_!B50,1)</f>
        <v>Instagram</v>
      </c>
      <c r="C50">
        <f>_xlfn.XLOOKUP($A:$A,Instagram_Usage_Lifestyle_Mini_!$A:$A,Instagram_Usage_Lifestyle_Mini_!$C:$K)</f>
        <v>51</v>
      </c>
      <c r="D50" t="str">
        <f>_xlfn.XLOOKUP($A:$A,Instagram_Usage_Lifestyle_Mini_!$A:$A,Instagram_Usage_Lifestyle_Mini_!$C:$K)</f>
        <v>Female</v>
      </c>
      <c r="E50" t="str">
        <f>_xlfn.XLOOKUP($A:$A,Instagram_Usage_Lifestyle_Mini_!$A:$A,Instagram_Usage_Lifestyle_Mini_!$C:$K)</f>
        <v>Australia</v>
      </c>
      <c r="F50" t="str">
        <f>_xlfn.XLOOKUP($A:$A,Instagram_Usage_Lifestyle_Mini_!$A:$A,Instagram_Usage_Lifestyle_Mini_!$C:$K)</f>
        <v>Rural</v>
      </c>
      <c r="G50" t="str">
        <f>_xlfn.XLOOKUP($A:$A,Instagram_Usage_Lifestyle_Mini_!$A:$A,Instagram_Usage_Lifestyle_Mini_!$C:$K)</f>
        <v>Middle</v>
      </c>
      <c r="H50" t="str">
        <f>_xlfn.XLOOKUP($A:$A,Instagram_Usage_Lifestyle_Mini_!$A:$A,Instagram_Usage_Lifestyle_Mini_!$C:$K)</f>
        <v>Full_time_employed</v>
      </c>
      <c r="I50" t="str">
        <f>_xlfn.XLOOKUP($A:$A,Instagram_Usage_Lifestyle_Mini_!$A:$A,Instagram_Usage_Lifestyle_Mini_!$C:$K)</f>
        <v>Bachelors_degree</v>
      </c>
      <c r="J50" t="str">
        <f>_xlfn.XLOOKUP($A:$A,Instagram_Usage_Lifestyle_Mini_!$A:$A,Instagram_Usage_Lifestyle_Mini_!$C:$K)</f>
        <v>Divorced</v>
      </c>
      <c r="K50" t="str">
        <f>_xlfn.XLOOKUP($A:$A,Instagram_Usage_Lifestyle_Mini_!$A:$A,Instagram_Usage_Lifestyle_Mini_!$C:$K)</f>
        <v>No</v>
      </c>
      <c r="L50" t="str" cm="1">
        <f t="array" ref="L50">_xlfn.IFS(C50&lt;18,"Under_18",C50&lt;=25,"Youth",C50&lt;=35,"Young_Adults",C50&lt;=45,"Mid_Adults",TRUE,"Seniors")</f>
        <v>Seniors</v>
      </c>
    </row>
    <row r="51" spans="1:12" x14ac:dyDescent="0.2">
      <c r="A51">
        <v>50</v>
      </c>
      <c r="B51" t="str">
        <f>_xlfn.XLOOKUP(A51,Instagram_Usage_Lifestyle_Mini_!A51,Instagram_Usage_Lifestyle_Mini_!B51,1)</f>
        <v>Instagram</v>
      </c>
      <c r="C51">
        <f>_xlfn.XLOOKUP($A:$A,Instagram_Usage_Lifestyle_Mini_!$A:$A,Instagram_Usage_Lifestyle_Mini_!$C:$K)</f>
        <v>30</v>
      </c>
      <c r="D51" t="str">
        <f>_xlfn.XLOOKUP($A:$A,Instagram_Usage_Lifestyle_Mini_!$A:$A,Instagram_Usage_Lifestyle_Mini_!$C:$K)</f>
        <v>Male</v>
      </c>
      <c r="E51" t="str">
        <f>_xlfn.XLOOKUP($A:$A,Instagram_Usage_Lifestyle_Mini_!$A:$A,Instagram_Usage_Lifestyle_Mini_!$C:$K)</f>
        <v>Japan</v>
      </c>
      <c r="F51" t="str">
        <f>_xlfn.XLOOKUP($A:$A,Instagram_Usage_Lifestyle_Mini_!$A:$A,Instagram_Usage_Lifestyle_Mini_!$C:$K)</f>
        <v>Suburban</v>
      </c>
      <c r="G51" t="str">
        <f>_xlfn.XLOOKUP($A:$A,Instagram_Usage_Lifestyle_Mini_!$A:$A,Instagram_Usage_Lifestyle_Mini_!$C:$K)</f>
        <v>Middle</v>
      </c>
      <c r="H51" t="str">
        <f>_xlfn.XLOOKUP($A:$A,Instagram_Usage_Lifestyle_Mini_!$A:$A,Instagram_Usage_Lifestyle_Mini_!$C:$K)</f>
        <v>Full_time_employed</v>
      </c>
      <c r="I51" t="str">
        <f>_xlfn.XLOOKUP($A:$A,Instagram_Usage_Lifestyle_Mini_!$A:$A,Instagram_Usage_Lifestyle_Mini_!$C:$K)</f>
        <v>Bachelors_degree</v>
      </c>
      <c r="J51" t="str">
        <f>_xlfn.XLOOKUP($A:$A,Instagram_Usage_Lifestyle_Mini_!$A:$A,Instagram_Usage_Lifestyle_Mini_!$C:$K)</f>
        <v>In_a_relationship</v>
      </c>
      <c r="K51" t="str">
        <f>_xlfn.XLOOKUP($A:$A,Instagram_Usage_Lifestyle_Mini_!$A:$A,Instagram_Usage_Lifestyle_Mini_!$C:$K)</f>
        <v>Yes</v>
      </c>
      <c r="L51" t="str" cm="1">
        <f t="array" ref="L51">_xlfn.IFS(C51&lt;18,"Under_18",C51&lt;=25,"Youth",C51&lt;=35,"Young_Adults",C51&lt;=45,"Mid_Adults",TRUE,"Seniors")</f>
        <v>Young_Adults</v>
      </c>
    </row>
    <row r="52" spans="1:12" x14ac:dyDescent="0.2">
      <c r="A52">
        <v>51</v>
      </c>
      <c r="B52" t="str">
        <f>_xlfn.XLOOKUP(A52,Instagram_Usage_Lifestyle_Mini_!A52,Instagram_Usage_Lifestyle_Mini_!B52,1)</f>
        <v>Instagram</v>
      </c>
      <c r="C52">
        <f>_xlfn.XLOOKUP($A:$A,Instagram_Usage_Lifestyle_Mini_!$A:$A,Instagram_Usage_Lifestyle_Mini_!$C:$K)</f>
        <v>16</v>
      </c>
      <c r="D52" t="str">
        <f>_xlfn.XLOOKUP($A:$A,Instagram_Usage_Lifestyle_Mini_!$A:$A,Instagram_Usage_Lifestyle_Mini_!$C:$K)</f>
        <v>Male</v>
      </c>
      <c r="E52" t="str">
        <f>_xlfn.XLOOKUP($A:$A,Instagram_Usage_Lifestyle_Mini_!$A:$A,Instagram_Usage_Lifestyle_Mini_!$C:$K)</f>
        <v>United_States</v>
      </c>
      <c r="F52" t="str">
        <f>_xlfn.XLOOKUP($A:$A,Instagram_Usage_Lifestyle_Mini_!$A:$A,Instagram_Usage_Lifestyle_Mini_!$C:$K)</f>
        <v>Suburban</v>
      </c>
      <c r="G52" t="str">
        <f>_xlfn.XLOOKUP($A:$A,Instagram_Usage_Lifestyle_Mini_!$A:$A,Instagram_Usage_Lifestyle_Mini_!$C:$K)</f>
        <v>Middle</v>
      </c>
      <c r="H52" t="str">
        <f>_xlfn.XLOOKUP($A:$A,Instagram_Usage_Lifestyle_Mini_!$A:$A,Instagram_Usage_Lifestyle_Mini_!$C:$K)</f>
        <v>Student</v>
      </c>
      <c r="I52" t="str">
        <f>_xlfn.XLOOKUP($A:$A,Instagram_Usage_Lifestyle_Mini_!$A:$A,Instagram_Usage_Lifestyle_Mini_!$C:$K)</f>
        <v>Bachelors_degree</v>
      </c>
      <c r="J52" t="str">
        <f>_xlfn.XLOOKUP($A:$A,Instagram_Usage_Lifestyle_Mini_!$A:$A,Instagram_Usage_Lifestyle_Mini_!$C:$K)</f>
        <v>In_a_relationship</v>
      </c>
      <c r="K52" t="str">
        <f>_xlfn.XLOOKUP($A:$A,Instagram_Usage_Lifestyle_Mini_!$A:$A,Instagram_Usage_Lifestyle_Mini_!$C:$K)</f>
        <v>Yes</v>
      </c>
      <c r="L52" t="str" cm="1">
        <f t="array" ref="L52">_xlfn.IFS(C52&lt;18,"Under_18",C52&lt;=25,"Youth",C52&lt;=35,"Young_Adults",C52&lt;=45,"Mid_Adults",TRUE,"Seniors")</f>
        <v>Under_18</v>
      </c>
    </row>
    <row r="53" spans="1:12" x14ac:dyDescent="0.2">
      <c r="A53">
        <v>52</v>
      </c>
      <c r="B53" t="str">
        <f>_xlfn.XLOOKUP(A53,Instagram_Usage_Lifestyle_Mini_!A53,Instagram_Usage_Lifestyle_Mini_!B53,1)</f>
        <v>Instagram</v>
      </c>
      <c r="C53">
        <f>_xlfn.XLOOKUP($A:$A,Instagram_Usage_Lifestyle_Mini_!$A:$A,Instagram_Usage_Lifestyle_Mini_!$C:$K)</f>
        <v>37</v>
      </c>
      <c r="D53" t="str">
        <f>_xlfn.XLOOKUP($A:$A,Instagram_Usage_Lifestyle_Mini_!$A:$A,Instagram_Usage_Lifestyle_Mini_!$C:$K)</f>
        <v>Female</v>
      </c>
      <c r="E53" t="str">
        <f>_xlfn.XLOOKUP($A:$A,Instagram_Usage_Lifestyle_Mini_!$A:$A,Instagram_Usage_Lifestyle_Mini_!$C:$K)</f>
        <v>Brazil</v>
      </c>
      <c r="F53" t="str">
        <f>_xlfn.XLOOKUP($A:$A,Instagram_Usage_Lifestyle_Mini_!$A:$A,Instagram_Usage_Lifestyle_Mini_!$C:$K)</f>
        <v>Suburban</v>
      </c>
      <c r="G53" t="str">
        <f>_xlfn.XLOOKUP($A:$A,Instagram_Usage_Lifestyle_Mini_!$A:$A,Instagram_Usage_Lifestyle_Mini_!$C:$K)</f>
        <v>Middle</v>
      </c>
      <c r="H53" t="str">
        <f>_xlfn.XLOOKUP($A:$A,Instagram_Usage_Lifestyle_Mini_!$A:$A,Instagram_Usage_Lifestyle_Mini_!$C:$K)</f>
        <v>Student</v>
      </c>
      <c r="I53" t="str">
        <f>_xlfn.XLOOKUP($A:$A,Instagram_Usage_Lifestyle_Mini_!$A:$A,Instagram_Usage_Lifestyle_Mini_!$C:$K)</f>
        <v>Bachelors_degree</v>
      </c>
      <c r="J53" t="str">
        <f>_xlfn.XLOOKUP($A:$A,Instagram_Usage_Lifestyle_Mini_!$A:$A,Instagram_Usage_Lifestyle_Mini_!$C:$K)</f>
        <v>Widowed</v>
      </c>
      <c r="K53" t="str">
        <f>_xlfn.XLOOKUP($A:$A,Instagram_Usage_Lifestyle_Mini_!$A:$A,Instagram_Usage_Lifestyle_Mini_!$C:$K)</f>
        <v>Yes</v>
      </c>
      <c r="L53" t="str" cm="1">
        <f t="array" ref="L53">_xlfn.IFS(C53&lt;18,"Under_18",C53&lt;=25,"Youth",C53&lt;=35,"Young_Adults",C53&lt;=45,"Mid_Adults",TRUE,"Seniors")</f>
        <v>Mid_Adults</v>
      </c>
    </row>
    <row r="54" spans="1:12" x14ac:dyDescent="0.2">
      <c r="A54">
        <v>53</v>
      </c>
      <c r="B54" t="str">
        <f>_xlfn.XLOOKUP(A54,Instagram_Usage_Lifestyle_Mini_!A54,Instagram_Usage_Lifestyle_Mini_!B54,1)</f>
        <v>Instagram</v>
      </c>
      <c r="C54">
        <f>_xlfn.XLOOKUP($A:$A,Instagram_Usage_Lifestyle_Mini_!$A:$A,Instagram_Usage_Lifestyle_Mini_!$C:$K)</f>
        <v>26</v>
      </c>
      <c r="D54" t="str">
        <f>_xlfn.XLOOKUP($A:$A,Instagram_Usage_Lifestyle_Mini_!$A:$A,Instagram_Usage_Lifestyle_Mini_!$C:$K)</f>
        <v>Non_binary</v>
      </c>
      <c r="E54" t="str">
        <f>_xlfn.XLOOKUP($A:$A,Instagram_Usage_Lifestyle_Mini_!$A:$A,Instagram_Usage_Lifestyle_Mini_!$C:$K)</f>
        <v>United_States</v>
      </c>
      <c r="F54" t="str">
        <f>_xlfn.XLOOKUP($A:$A,Instagram_Usage_Lifestyle_Mini_!$A:$A,Instagram_Usage_Lifestyle_Mini_!$C:$K)</f>
        <v>Urban</v>
      </c>
      <c r="G54" t="str">
        <f>_xlfn.XLOOKUP($A:$A,Instagram_Usage_Lifestyle_Mini_!$A:$A,Instagram_Usage_Lifestyle_Mini_!$C:$K)</f>
        <v>High</v>
      </c>
      <c r="H54" t="str">
        <f>_xlfn.XLOOKUP($A:$A,Instagram_Usage_Lifestyle_Mini_!$A:$A,Instagram_Usage_Lifestyle_Mini_!$C:$K)</f>
        <v>Freelancer</v>
      </c>
      <c r="I54" t="str">
        <f>_xlfn.XLOOKUP($A:$A,Instagram_Usage_Lifestyle_Mini_!$A:$A,Instagram_Usage_Lifestyle_Mini_!$C:$K)</f>
        <v>High_school</v>
      </c>
      <c r="J54" t="str">
        <f>_xlfn.XLOOKUP($A:$A,Instagram_Usage_Lifestyle_Mini_!$A:$A,Instagram_Usage_Lifestyle_Mini_!$C:$K)</f>
        <v>In_a_relationship</v>
      </c>
      <c r="K54" t="str">
        <f>_xlfn.XLOOKUP($A:$A,Instagram_Usage_Lifestyle_Mini_!$A:$A,Instagram_Usage_Lifestyle_Mini_!$C:$K)</f>
        <v>No</v>
      </c>
      <c r="L54" t="str" cm="1">
        <f t="array" ref="L54">_xlfn.IFS(C54&lt;18,"Under_18",C54&lt;=25,"Youth",C54&lt;=35,"Young_Adults",C54&lt;=45,"Mid_Adults",TRUE,"Seniors")</f>
        <v>Young_Adults</v>
      </c>
    </row>
    <row r="55" spans="1:12" x14ac:dyDescent="0.2">
      <c r="A55">
        <v>54</v>
      </c>
      <c r="B55" t="str">
        <f>_xlfn.XLOOKUP(A55,Instagram_Usage_Lifestyle_Mini_!A55,Instagram_Usage_Lifestyle_Mini_!B55,1)</f>
        <v>Instagram</v>
      </c>
      <c r="C55">
        <f>_xlfn.XLOOKUP($A:$A,Instagram_Usage_Lifestyle_Mini_!$A:$A,Instagram_Usage_Lifestyle_Mini_!$C:$K)</f>
        <v>62</v>
      </c>
      <c r="D55" t="str">
        <f>_xlfn.XLOOKUP($A:$A,Instagram_Usage_Lifestyle_Mini_!$A:$A,Instagram_Usage_Lifestyle_Mini_!$C:$K)</f>
        <v>Male</v>
      </c>
      <c r="E55" t="str">
        <f>_xlfn.XLOOKUP($A:$A,Instagram_Usage_Lifestyle_Mini_!$A:$A,Instagram_Usage_Lifestyle_Mini_!$C:$K)</f>
        <v>Brazil</v>
      </c>
      <c r="F55" t="str">
        <f>_xlfn.XLOOKUP($A:$A,Instagram_Usage_Lifestyle_Mini_!$A:$A,Instagram_Usage_Lifestyle_Mini_!$C:$K)</f>
        <v>Urban</v>
      </c>
      <c r="G55" t="str">
        <f>_xlfn.XLOOKUP($A:$A,Instagram_Usage_Lifestyle_Mini_!$A:$A,Instagram_Usage_Lifestyle_Mini_!$C:$K)</f>
        <v>Lower_middle</v>
      </c>
      <c r="H55" t="str">
        <f>_xlfn.XLOOKUP($A:$A,Instagram_Usage_Lifestyle_Mini_!$A:$A,Instagram_Usage_Lifestyle_Mini_!$C:$K)</f>
        <v>Full_time_employed</v>
      </c>
      <c r="I55" t="str">
        <f>_xlfn.XLOOKUP($A:$A,Instagram_Usage_Lifestyle_Mini_!$A:$A,Instagram_Usage_Lifestyle_Mini_!$C:$K)</f>
        <v>Bachelors_degree</v>
      </c>
      <c r="J55" t="str">
        <f>_xlfn.XLOOKUP($A:$A,Instagram_Usage_Lifestyle_Mini_!$A:$A,Instagram_Usage_Lifestyle_Mini_!$C:$K)</f>
        <v>In_a_relationship</v>
      </c>
      <c r="K55" t="str">
        <f>_xlfn.XLOOKUP($A:$A,Instagram_Usage_Lifestyle_Mini_!$A:$A,Instagram_Usage_Lifestyle_Mini_!$C:$K)</f>
        <v>No</v>
      </c>
      <c r="L55" t="str" cm="1">
        <f t="array" ref="L55">_xlfn.IFS(C55&lt;18,"Under_18",C55&lt;=25,"Youth",C55&lt;=35,"Young_Adults",C55&lt;=45,"Mid_Adults",TRUE,"Seniors")</f>
        <v>Seniors</v>
      </c>
    </row>
    <row r="56" spans="1:12" x14ac:dyDescent="0.2">
      <c r="A56">
        <v>55</v>
      </c>
      <c r="B56" t="str">
        <f>_xlfn.XLOOKUP(A56,Instagram_Usage_Lifestyle_Mini_!A56,Instagram_Usage_Lifestyle_Mini_!B56,1)</f>
        <v>Instagram</v>
      </c>
      <c r="C56">
        <f>_xlfn.XLOOKUP($A:$A,Instagram_Usage_Lifestyle_Mini_!$A:$A,Instagram_Usage_Lifestyle_Mini_!$C:$K)</f>
        <v>21</v>
      </c>
      <c r="D56" t="str">
        <f>_xlfn.XLOOKUP($A:$A,Instagram_Usage_Lifestyle_Mini_!$A:$A,Instagram_Usage_Lifestyle_Mini_!$C:$K)</f>
        <v>Male</v>
      </c>
      <c r="E56" t="str">
        <f>_xlfn.XLOOKUP($A:$A,Instagram_Usage_Lifestyle_Mini_!$A:$A,Instagram_Usage_Lifestyle_Mini_!$C:$K)</f>
        <v>Japan</v>
      </c>
      <c r="F56" t="str">
        <f>_xlfn.XLOOKUP($A:$A,Instagram_Usage_Lifestyle_Mini_!$A:$A,Instagram_Usage_Lifestyle_Mini_!$C:$K)</f>
        <v>Urban</v>
      </c>
      <c r="G56" t="str">
        <f>_xlfn.XLOOKUP($A:$A,Instagram_Usage_Lifestyle_Mini_!$A:$A,Instagram_Usage_Lifestyle_Mini_!$C:$K)</f>
        <v>Middle</v>
      </c>
      <c r="H56" t="str">
        <f>_xlfn.XLOOKUP($A:$A,Instagram_Usage_Lifestyle_Mini_!$A:$A,Instagram_Usage_Lifestyle_Mini_!$C:$K)</f>
        <v>Full_time_employed</v>
      </c>
      <c r="I56" t="str">
        <f>_xlfn.XLOOKUP($A:$A,Instagram_Usage_Lifestyle_Mini_!$A:$A,Instagram_Usage_Lifestyle_Mini_!$C:$K)</f>
        <v>Bachelors_degree</v>
      </c>
      <c r="J56" t="str">
        <f>_xlfn.XLOOKUP($A:$A,Instagram_Usage_Lifestyle_Mini_!$A:$A,Instagram_Usage_Lifestyle_Mini_!$C:$K)</f>
        <v>In_a_relationship</v>
      </c>
      <c r="K56" t="str">
        <f>_xlfn.XLOOKUP($A:$A,Instagram_Usage_Lifestyle_Mini_!$A:$A,Instagram_Usage_Lifestyle_Mini_!$C:$K)</f>
        <v>No</v>
      </c>
      <c r="L56" t="str" cm="1">
        <f t="array" ref="L56">_xlfn.IFS(C56&lt;18,"Under_18",C56&lt;=25,"Youth",C56&lt;=35,"Young_Adults",C56&lt;=45,"Mid_Adults",TRUE,"Seniors")</f>
        <v>Youth</v>
      </c>
    </row>
    <row r="57" spans="1:12" x14ac:dyDescent="0.2">
      <c r="A57">
        <v>56</v>
      </c>
      <c r="B57" t="str">
        <f>_xlfn.XLOOKUP(A57,Instagram_Usage_Lifestyle_Mini_!A57,Instagram_Usage_Lifestyle_Mini_!B57,1)</f>
        <v>Instagram</v>
      </c>
      <c r="C57">
        <f>_xlfn.XLOOKUP($A:$A,Instagram_Usage_Lifestyle_Mini_!$A:$A,Instagram_Usage_Lifestyle_Mini_!$C:$K)</f>
        <v>38</v>
      </c>
      <c r="D57" t="str">
        <f>_xlfn.XLOOKUP($A:$A,Instagram_Usage_Lifestyle_Mini_!$A:$A,Instagram_Usage_Lifestyle_Mini_!$C:$K)</f>
        <v>Female</v>
      </c>
      <c r="E57" t="str">
        <f>_xlfn.XLOOKUP($A:$A,Instagram_Usage_Lifestyle_Mini_!$A:$A,Instagram_Usage_Lifestyle_Mini_!$C:$K)</f>
        <v>India</v>
      </c>
      <c r="F57" t="str">
        <f>_xlfn.XLOOKUP($A:$A,Instagram_Usage_Lifestyle_Mini_!$A:$A,Instagram_Usage_Lifestyle_Mini_!$C:$K)</f>
        <v>Suburban</v>
      </c>
      <c r="G57" t="str">
        <f>_xlfn.XLOOKUP($A:$A,Instagram_Usage_Lifestyle_Mini_!$A:$A,Instagram_Usage_Lifestyle_Mini_!$C:$K)</f>
        <v>Low</v>
      </c>
      <c r="H57" t="str">
        <f>_xlfn.XLOOKUP($A:$A,Instagram_Usage_Lifestyle_Mini_!$A:$A,Instagram_Usage_Lifestyle_Mini_!$C:$K)</f>
        <v>Full_time_employed</v>
      </c>
      <c r="I57" t="str">
        <f>_xlfn.XLOOKUP($A:$A,Instagram_Usage_Lifestyle_Mini_!$A:$A,Instagram_Usage_Lifestyle_Mini_!$C:$K)</f>
        <v>High_school</v>
      </c>
      <c r="J57" t="str">
        <f>_xlfn.XLOOKUP($A:$A,Instagram_Usage_Lifestyle_Mini_!$A:$A,Instagram_Usage_Lifestyle_Mini_!$C:$K)</f>
        <v>Single</v>
      </c>
      <c r="K57" t="str">
        <f>_xlfn.XLOOKUP($A:$A,Instagram_Usage_Lifestyle_Mini_!$A:$A,Instagram_Usage_Lifestyle_Mini_!$C:$K)</f>
        <v>No</v>
      </c>
      <c r="L57" t="str" cm="1">
        <f t="array" ref="L57">_xlfn.IFS(C57&lt;18,"Under_18",C57&lt;=25,"Youth",C57&lt;=35,"Young_Adults",C57&lt;=45,"Mid_Adults",TRUE,"Seniors")</f>
        <v>Mid_Adults</v>
      </c>
    </row>
    <row r="58" spans="1:12" x14ac:dyDescent="0.2">
      <c r="A58">
        <v>57</v>
      </c>
      <c r="B58" t="str">
        <f>_xlfn.XLOOKUP(A58,Instagram_Usage_Lifestyle_Mini_!A58,Instagram_Usage_Lifestyle_Mini_!B58,1)</f>
        <v>Instagram</v>
      </c>
      <c r="C58">
        <f>_xlfn.XLOOKUP($A:$A,Instagram_Usage_Lifestyle_Mini_!$A:$A,Instagram_Usage_Lifestyle_Mini_!$C:$K)</f>
        <v>65</v>
      </c>
      <c r="D58" t="str">
        <f>_xlfn.XLOOKUP($A:$A,Instagram_Usage_Lifestyle_Mini_!$A:$A,Instagram_Usage_Lifestyle_Mini_!$C:$K)</f>
        <v>Female</v>
      </c>
      <c r="E58" t="str">
        <f>_xlfn.XLOOKUP($A:$A,Instagram_Usage_Lifestyle_Mini_!$A:$A,Instagram_Usage_Lifestyle_Mini_!$C:$K)</f>
        <v>Brazil</v>
      </c>
      <c r="F58" t="str">
        <f>_xlfn.XLOOKUP($A:$A,Instagram_Usage_Lifestyle_Mini_!$A:$A,Instagram_Usage_Lifestyle_Mini_!$C:$K)</f>
        <v>Rural</v>
      </c>
      <c r="G58" t="str">
        <f>_xlfn.XLOOKUP($A:$A,Instagram_Usage_Lifestyle_Mini_!$A:$A,Instagram_Usage_Lifestyle_Mini_!$C:$K)</f>
        <v>Middle</v>
      </c>
      <c r="H58" t="str">
        <f>_xlfn.XLOOKUP($A:$A,Instagram_Usage_Lifestyle_Mini_!$A:$A,Instagram_Usage_Lifestyle_Mini_!$C:$K)</f>
        <v>Full_time_employed</v>
      </c>
      <c r="I58" t="str">
        <f>_xlfn.XLOOKUP($A:$A,Instagram_Usage_Lifestyle_Mini_!$A:$A,Instagram_Usage_Lifestyle_Mini_!$C:$K)</f>
        <v>High_school</v>
      </c>
      <c r="J58" t="str">
        <f>_xlfn.XLOOKUP($A:$A,Instagram_Usage_Lifestyle_Mini_!$A:$A,Instagram_Usage_Lifestyle_Mini_!$C:$K)</f>
        <v>Married</v>
      </c>
      <c r="K58" t="str">
        <f>_xlfn.XLOOKUP($A:$A,Instagram_Usage_Lifestyle_Mini_!$A:$A,Instagram_Usage_Lifestyle_Mini_!$C:$K)</f>
        <v>No</v>
      </c>
      <c r="L58" t="str" cm="1">
        <f t="array" ref="L58">_xlfn.IFS(C58&lt;18,"Under_18",C58&lt;=25,"Youth",C58&lt;=35,"Young_Adults",C58&lt;=45,"Mid_Adults",TRUE,"Seniors")</f>
        <v>Seniors</v>
      </c>
    </row>
    <row r="59" spans="1:12" x14ac:dyDescent="0.2">
      <c r="A59">
        <v>58</v>
      </c>
      <c r="B59" t="str">
        <f>_xlfn.XLOOKUP(A59,Instagram_Usage_Lifestyle_Mini_!A59,Instagram_Usage_Lifestyle_Mini_!B59,1)</f>
        <v>Instagram</v>
      </c>
      <c r="C59">
        <f>_xlfn.XLOOKUP($A:$A,Instagram_Usage_Lifestyle_Mini_!$A:$A,Instagram_Usage_Lifestyle_Mini_!$C:$K)</f>
        <v>14</v>
      </c>
      <c r="D59" t="str">
        <f>_xlfn.XLOOKUP($A:$A,Instagram_Usage_Lifestyle_Mini_!$A:$A,Instagram_Usage_Lifestyle_Mini_!$C:$K)</f>
        <v>Female</v>
      </c>
      <c r="E59" t="str">
        <f>_xlfn.XLOOKUP($A:$A,Instagram_Usage_Lifestyle_Mini_!$A:$A,Instagram_Usage_Lifestyle_Mini_!$C:$K)</f>
        <v>Canada</v>
      </c>
      <c r="F59" t="str">
        <f>_xlfn.XLOOKUP($A:$A,Instagram_Usage_Lifestyle_Mini_!$A:$A,Instagram_Usage_Lifestyle_Mini_!$C:$K)</f>
        <v>Urban</v>
      </c>
      <c r="G59" t="str">
        <f>_xlfn.XLOOKUP($A:$A,Instagram_Usage_Lifestyle_Mini_!$A:$A,Instagram_Usage_Lifestyle_Mini_!$C:$K)</f>
        <v>Low</v>
      </c>
      <c r="H59" t="str">
        <f>_xlfn.XLOOKUP($A:$A,Instagram_Usage_Lifestyle_Mini_!$A:$A,Instagram_Usage_Lifestyle_Mini_!$C:$K)</f>
        <v>Full_time_employed</v>
      </c>
      <c r="I59" t="str">
        <f>_xlfn.XLOOKUP($A:$A,Instagram_Usage_Lifestyle_Mini_!$A:$A,Instagram_Usage_Lifestyle_Mini_!$C:$K)</f>
        <v>PhD</v>
      </c>
      <c r="J59" t="str">
        <f>_xlfn.XLOOKUP($A:$A,Instagram_Usage_Lifestyle_Mini_!$A:$A,Instagram_Usage_Lifestyle_Mini_!$C:$K)</f>
        <v>Divorced</v>
      </c>
      <c r="K59" t="str">
        <f>_xlfn.XLOOKUP($A:$A,Instagram_Usage_Lifestyle_Mini_!$A:$A,Instagram_Usage_Lifestyle_Mini_!$C:$K)</f>
        <v>Yes</v>
      </c>
      <c r="L59" t="str" cm="1">
        <f t="array" ref="L59">_xlfn.IFS(C59&lt;18,"Under_18",C59&lt;=25,"Youth",C59&lt;=35,"Young_Adults",C59&lt;=45,"Mid_Adults",TRUE,"Seniors")</f>
        <v>Under_18</v>
      </c>
    </row>
    <row r="60" spans="1:12" x14ac:dyDescent="0.2">
      <c r="A60">
        <v>59</v>
      </c>
      <c r="B60" t="str">
        <f>_xlfn.XLOOKUP(A60,Instagram_Usage_Lifestyle_Mini_!A60,Instagram_Usage_Lifestyle_Mini_!B60,1)</f>
        <v>Instagram</v>
      </c>
      <c r="C60">
        <f>_xlfn.XLOOKUP($A:$A,Instagram_Usage_Lifestyle_Mini_!$A:$A,Instagram_Usage_Lifestyle_Mini_!$C:$K)</f>
        <v>32</v>
      </c>
      <c r="D60" t="str">
        <f>_xlfn.XLOOKUP($A:$A,Instagram_Usage_Lifestyle_Mini_!$A:$A,Instagram_Usage_Lifestyle_Mini_!$C:$K)</f>
        <v>Male</v>
      </c>
      <c r="E60" t="str">
        <f>_xlfn.XLOOKUP($A:$A,Instagram_Usage_Lifestyle_Mini_!$A:$A,Instagram_Usage_Lifestyle_Mini_!$C:$K)</f>
        <v>India</v>
      </c>
      <c r="F60" t="str">
        <f>_xlfn.XLOOKUP($A:$A,Instagram_Usage_Lifestyle_Mini_!$A:$A,Instagram_Usage_Lifestyle_Mini_!$C:$K)</f>
        <v>Urban</v>
      </c>
      <c r="G60" t="str">
        <f>_xlfn.XLOOKUP($A:$A,Instagram_Usage_Lifestyle_Mini_!$A:$A,Instagram_Usage_Lifestyle_Mini_!$C:$K)</f>
        <v>Lower_middle</v>
      </c>
      <c r="H60" t="str">
        <f>_xlfn.XLOOKUP($A:$A,Instagram_Usage_Lifestyle_Mini_!$A:$A,Instagram_Usage_Lifestyle_Mini_!$C:$K)</f>
        <v>Full_time_employed</v>
      </c>
      <c r="I60" t="str">
        <f>_xlfn.XLOOKUP($A:$A,Instagram_Usage_Lifestyle_Mini_!$A:$A,Instagram_Usage_Lifestyle_Mini_!$C:$K)</f>
        <v>High_school</v>
      </c>
      <c r="J60" t="str">
        <f>_xlfn.XLOOKUP($A:$A,Instagram_Usage_Lifestyle_Mini_!$A:$A,Instagram_Usage_Lifestyle_Mini_!$C:$K)</f>
        <v>Divorced</v>
      </c>
      <c r="K60" t="str">
        <f>_xlfn.XLOOKUP($A:$A,Instagram_Usage_Lifestyle_Mini_!$A:$A,Instagram_Usage_Lifestyle_Mini_!$C:$K)</f>
        <v>No</v>
      </c>
      <c r="L60" t="str" cm="1">
        <f t="array" ref="L60">_xlfn.IFS(C60&lt;18,"Under_18",C60&lt;=25,"Youth",C60&lt;=35,"Young_Adults",C60&lt;=45,"Mid_Adults",TRUE,"Seniors")</f>
        <v>Young_Adults</v>
      </c>
    </row>
    <row r="61" spans="1:12" x14ac:dyDescent="0.2">
      <c r="A61">
        <v>60</v>
      </c>
      <c r="B61" t="str">
        <f>_xlfn.XLOOKUP(A61,Instagram_Usage_Lifestyle_Mini_!A61,Instagram_Usage_Lifestyle_Mini_!B61,1)</f>
        <v>Instagram</v>
      </c>
      <c r="C61">
        <f>_xlfn.XLOOKUP($A:$A,Instagram_Usage_Lifestyle_Mini_!$A:$A,Instagram_Usage_Lifestyle_Mini_!$C:$K)</f>
        <v>40</v>
      </c>
      <c r="D61" t="str">
        <f>_xlfn.XLOOKUP($A:$A,Instagram_Usage_Lifestyle_Mini_!$A:$A,Instagram_Usage_Lifestyle_Mini_!$C:$K)</f>
        <v>Male</v>
      </c>
      <c r="E61" t="str">
        <f>_xlfn.XLOOKUP($A:$A,Instagram_Usage_Lifestyle_Mini_!$A:$A,Instagram_Usage_Lifestyle_Mini_!$C:$K)</f>
        <v>United_States</v>
      </c>
      <c r="F61" t="str">
        <f>_xlfn.XLOOKUP($A:$A,Instagram_Usage_Lifestyle_Mini_!$A:$A,Instagram_Usage_Lifestyle_Mini_!$C:$K)</f>
        <v>Suburban</v>
      </c>
      <c r="G61" t="str">
        <f>_xlfn.XLOOKUP($A:$A,Instagram_Usage_Lifestyle_Mini_!$A:$A,Instagram_Usage_Lifestyle_Mini_!$C:$K)</f>
        <v>Lower_middle</v>
      </c>
      <c r="H61" t="str">
        <f>_xlfn.XLOOKUP($A:$A,Instagram_Usage_Lifestyle_Mini_!$A:$A,Instagram_Usage_Lifestyle_Mini_!$C:$K)</f>
        <v>Freelancer</v>
      </c>
      <c r="I61" t="str">
        <f>_xlfn.XLOOKUP($A:$A,Instagram_Usage_Lifestyle_Mini_!$A:$A,Instagram_Usage_Lifestyle_Mini_!$C:$K)</f>
        <v>Masters_degree</v>
      </c>
      <c r="J61" t="str">
        <f>_xlfn.XLOOKUP($A:$A,Instagram_Usage_Lifestyle_Mini_!$A:$A,Instagram_Usage_Lifestyle_Mini_!$C:$K)</f>
        <v>Single</v>
      </c>
      <c r="K61" t="str">
        <f>_xlfn.XLOOKUP($A:$A,Instagram_Usage_Lifestyle_Mini_!$A:$A,Instagram_Usage_Lifestyle_Mini_!$C:$K)</f>
        <v>No</v>
      </c>
      <c r="L61" t="str" cm="1">
        <f t="array" ref="L61">_xlfn.IFS(C61&lt;18,"Under_18",C61&lt;=25,"Youth",C61&lt;=35,"Young_Adults",C61&lt;=45,"Mid_Adults",TRUE,"Seniors")</f>
        <v>Mid_Adults</v>
      </c>
    </row>
    <row r="62" spans="1:12" x14ac:dyDescent="0.2">
      <c r="A62">
        <v>61</v>
      </c>
      <c r="B62" t="str">
        <f>_xlfn.XLOOKUP(A62,Instagram_Usage_Lifestyle_Mini_!A62,Instagram_Usage_Lifestyle_Mini_!B62,1)</f>
        <v>Instagram</v>
      </c>
      <c r="C62">
        <f>_xlfn.XLOOKUP($A:$A,Instagram_Usage_Lifestyle_Mini_!$A:$A,Instagram_Usage_Lifestyle_Mini_!$C:$K)</f>
        <v>59</v>
      </c>
      <c r="D62" t="str">
        <f>_xlfn.XLOOKUP($A:$A,Instagram_Usage_Lifestyle_Mini_!$A:$A,Instagram_Usage_Lifestyle_Mini_!$C:$K)</f>
        <v>Male</v>
      </c>
      <c r="E62" t="str">
        <f>_xlfn.XLOOKUP($A:$A,Instagram_Usage_Lifestyle_Mini_!$A:$A,Instagram_Usage_Lifestyle_Mini_!$C:$K)</f>
        <v>India</v>
      </c>
      <c r="F62" t="str">
        <f>_xlfn.XLOOKUP($A:$A,Instagram_Usage_Lifestyle_Mini_!$A:$A,Instagram_Usage_Lifestyle_Mini_!$C:$K)</f>
        <v>Urban</v>
      </c>
      <c r="G62" t="str">
        <f>_xlfn.XLOOKUP($A:$A,Instagram_Usage_Lifestyle_Mini_!$A:$A,Instagram_Usage_Lifestyle_Mini_!$C:$K)</f>
        <v>Low</v>
      </c>
      <c r="H62" t="str">
        <f>_xlfn.XLOOKUP($A:$A,Instagram_Usage_Lifestyle_Mini_!$A:$A,Instagram_Usage_Lifestyle_Mini_!$C:$K)</f>
        <v>Unemployed</v>
      </c>
      <c r="I62" t="str">
        <f>_xlfn.XLOOKUP($A:$A,Instagram_Usage_Lifestyle_Mini_!$A:$A,Instagram_Usage_Lifestyle_Mini_!$C:$K)</f>
        <v>Bachelors_degree</v>
      </c>
      <c r="J62" t="str">
        <f>_xlfn.XLOOKUP($A:$A,Instagram_Usage_Lifestyle_Mini_!$A:$A,Instagram_Usage_Lifestyle_Mini_!$C:$K)</f>
        <v>Married</v>
      </c>
      <c r="K62" t="str">
        <f>_xlfn.XLOOKUP($A:$A,Instagram_Usage_Lifestyle_Mini_!$A:$A,Instagram_Usage_Lifestyle_Mini_!$C:$K)</f>
        <v>No</v>
      </c>
      <c r="L62" t="str" cm="1">
        <f t="array" ref="L62">_xlfn.IFS(C62&lt;18,"Under_18",C62&lt;=25,"Youth",C62&lt;=35,"Young_Adults",C62&lt;=45,"Mid_Adults",TRUE,"Seniors")</f>
        <v>Seniors</v>
      </c>
    </row>
    <row r="63" spans="1:12" x14ac:dyDescent="0.2">
      <c r="A63">
        <v>62</v>
      </c>
      <c r="B63" t="str">
        <f>_xlfn.XLOOKUP(A63,Instagram_Usage_Lifestyle_Mini_!A63,Instagram_Usage_Lifestyle_Mini_!B63,1)</f>
        <v>Instagram</v>
      </c>
      <c r="C63">
        <f>_xlfn.XLOOKUP($A:$A,Instagram_Usage_Lifestyle_Mini_!$A:$A,Instagram_Usage_Lifestyle_Mini_!$C:$K)</f>
        <v>19</v>
      </c>
      <c r="D63" t="str">
        <f>_xlfn.XLOOKUP($A:$A,Instagram_Usage_Lifestyle_Mini_!$A:$A,Instagram_Usage_Lifestyle_Mini_!$C:$K)</f>
        <v>Female</v>
      </c>
      <c r="E63" t="str">
        <f>_xlfn.XLOOKUP($A:$A,Instagram_Usage_Lifestyle_Mini_!$A:$A,Instagram_Usage_Lifestyle_Mini_!$C:$K)</f>
        <v>Canada</v>
      </c>
      <c r="F63" t="str">
        <f>_xlfn.XLOOKUP($A:$A,Instagram_Usage_Lifestyle_Mini_!$A:$A,Instagram_Usage_Lifestyle_Mini_!$C:$K)</f>
        <v>Urban</v>
      </c>
      <c r="G63" t="str">
        <f>_xlfn.XLOOKUP($A:$A,Instagram_Usage_Lifestyle_Mini_!$A:$A,Instagram_Usage_Lifestyle_Mini_!$C:$K)</f>
        <v>Upper_middle</v>
      </c>
      <c r="H63" t="str">
        <f>_xlfn.XLOOKUP($A:$A,Instagram_Usage_Lifestyle_Mini_!$A:$A,Instagram_Usage_Lifestyle_Mini_!$C:$K)</f>
        <v>Freelancer</v>
      </c>
      <c r="I63" t="str">
        <f>_xlfn.XLOOKUP($A:$A,Instagram_Usage_Lifestyle_Mini_!$A:$A,Instagram_Usage_Lifestyle_Mini_!$C:$K)</f>
        <v>Bachelors_degree</v>
      </c>
      <c r="J63" t="str">
        <f>_xlfn.XLOOKUP($A:$A,Instagram_Usage_Lifestyle_Mini_!$A:$A,Instagram_Usage_Lifestyle_Mini_!$C:$K)</f>
        <v>Married</v>
      </c>
      <c r="K63" t="str">
        <f>_xlfn.XLOOKUP($A:$A,Instagram_Usage_Lifestyle_Mini_!$A:$A,Instagram_Usage_Lifestyle_Mini_!$C:$K)</f>
        <v>Yes</v>
      </c>
      <c r="L63" t="str" cm="1">
        <f t="array" ref="L63">_xlfn.IFS(C63&lt;18,"Under_18",C63&lt;=25,"Youth",C63&lt;=35,"Young_Adults",C63&lt;=45,"Mid_Adults",TRUE,"Seniors")</f>
        <v>Youth</v>
      </c>
    </row>
    <row r="64" spans="1:12" x14ac:dyDescent="0.2">
      <c r="A64">
        <v>63</v>
      </c>
      <c r="B64" t="str">
        <f>_xlfn.XLOOKUP(A64,Instagram_Usage_Lifestyle_Mini_!A64,Instagram_Usage_Lifestyle_Mini_!B64,1)</f>
        <v>Instagram</v>
      </c>
      <c r="C64">
        <f>_xlfn.XLOOKUP($A:$A,Instagram_Usage_Lifestyle_Mini_!$A:$A,Instagram_Usage_Lifestyle_Mini_!$C:$K)</f>
        <v>56</v>
      </c>
      <c r="D64" t="str">
        <f>_xlfn.XLOOKUP($A:$A,Instagram_Usage_Lifestyle_Mini_!$A:$A,Instagram_Usage_Lifestyle_Mini_!$C:$K)</f>
        <v>Male</v>
      </c>
      <c r="E64" t="str">
        <f>_xlfn.XLOOKUP($A:$A,Instagram_Usage_Lifestyle_Mini_!$A:$A,Instagram_Usage_Lifestyle_Mini_!$C:$K)</f>
        <v>Brazil</v>
      </c>
      <c r="F64" t="str">
        <f>_xlfn.XLOOKUP($A:$A,Instagram_Usage_Lifestyle_Mini_!$A:$A,Instagram_Usage_Lifestyle_Mini_!$C:$K)</f>
        <v>Urban</v>
      </c>
      <c r="G64" t="str">
        <f>_xlfn.XLOOKUP($A:$A,Instagram_Usage_Lifestyle_Mini_!$A:$A,Instagram_Usage_Lifestyle_Mini_!$C:$K)</f>
        <v>Middle</v>
      </c>
      <c r="H64" t="str">
        <f>_xlfn.XLOOKUP($A:$A,Instagram_Usage_Lifestyle_Mini_!$A:$A,Instagram_Usage_Lifestyle_Mini_!$C:$K)</f>
        <v>Unemployed</v>
      </c>
      <c r="I64" t="str">
        <f>_xlfn.XLOOKUP($A:$A,Instagram_Usage_Lifestyle_Mini_!$A:$A,Instagram_Usage_Lifestyle_Mini_!$C:$K)</f>
        <v>Bachelors_degree</v>
      </c>
      <c r="J64" t="str">
        <f>_xlfn.XLOOKUP($A:$A,Instagram_Usage_Lifestyle_Mini_!$A:$A,Instagram_Usage_Lifestyle_Mini_!$C:$K)</f>
        <v>Single</v>
      </c>
      <c r="K64" t="str">
        <f>_xlfn.XLOOKUP($A:$A,Instagram_Usage_Lifestyle_Mini_!$A:$A,Instagram_Usage_Lifestyle_Mini_!$C:$K)</f>
        <v>Yes</v>
      </c>
      <c r="L64" t="str" cm="1">
        <f t="array" ref="L64">_xlfn.IFS(C64&lt;18,"Under_18",C64&lt;=25,"Youth",C64&lt;=35,"Young_Adults",C64&lt;=45,"Mid_Adults",TRUE,"Seniors")</f>
        <v>Seniors</v>
      </c>
    </row>
    <row r="65" spans="1:12" x14ac:dyDescent="0.2">
      <c r="A65">
        <v>64</v>
      </c>
      <c r="B65" t="str">
        <f>_xlfn.XLOOKUP(A65,Instagram_Usage_Lifestyle_Mini_!A65,Instagram_Usage_Lifestyle_Mini_!B65,1)</f>
        <v>Instagram</v>
      </c>
      <c r="C65">
        <f>_xlfn.XLOOKUP($A:$A,Instagram_Usage_Lifestyle_Mini_!$A:$A,Instagram_Usage_Lifestyle_Mini_!$C:$K)</f>
        <v>20</v>
      </c>
      <c r="D65" t="str">
        <f>_xlfn.XLOOKUP($A:$A,Instagram_Usage_Lifestyle_Mini_!$A:$A,Instagram_Usage_Lifestyle_Mini_!$C:$K)</f>
        <v>Female</v>
      </c>
      <c r="E65" t="str">
        <f>_xlfn.XLOOKUP($A:$A,Instagram_Usage_Lifestyle_Mini_!$A:$A,Instagram_Usage_Lifestyle_Mini_!$C:$K)</f>
        <v>Canada</v>
      </c>
      <c r="F65" t="str">
        <f>_xlfn.XLOOKUP($A:$A,Instagram_Usage_Lifestyle_Mini_!$A:$A,Instagram_Usage_Lifestyle_Mini_!$C:$K)</f>
        <v>Rural</v>
      </c>
      <c r="G65" t="str">
        <f>_xlfn.XLOOKUP($A:$A,Instagram_Usage_Lifestyle_Mini_!$A:$A,Instagram_Usage_Lifestyle_Mini_!$C:$K)</f>
        <v>Middle</v>
      </c>
      <c r="H65" t="str">
        <f>_xlfn.XLOOKUP($A:$A,Instagram_Usage_Lifestyle_Mini_!$A:$A,Instagram_Usage_Lifestyle_Mini_!$C:$K)</f>
        <v>Student</v>
      </c>
      <c r="I65" t="str">
        <f>_xlfn.XLOOKUP($A:$A,Instagram_Usage_Lifestyle_Mini_!$A:$A,Instagram_Usage_Lifestyle_Mini_!$C:$K)</f>
        <v>Bachelors_degree</v>
      </c>
      <c r="J65" t="str">
        <f>_xlfn.XLOOKUP($A:$A,Instagram_Usage_Lifestyle_Mini_!$A:$A,Instagram_Usage_Lifestyle_Mini_!$C:$K)</f>
        <v>In_a_relationship</v>
      </c>
      <c r="K65" t="str">
        <f>_xlfn.XLOOKUP($A:$A,Instagram_Usage_Lifestyle_Mini_!$A:$A,Instagram_Usage_Lifestyle_Mini_!$C:$K)</f>
        <v>No</v>
      </c>
      <c r="L65" t="str" cm="1">
        <f t="array" ref="L65">_xlfn.IFS(C65&lt;18,"Under_18",C65&lt;=25,"Youth",C65&lt;=35,"Young_Adults",C65&lt;=45,"Mid_Adults",TRUE,"Seniors")</f>
        <v>Youth</v>
      </c>
    </row>
    <row r="66" spans="1:12" x14ac:dyDescent="0.2">
      <c r="A66">
        <v>65</v>
      </c>
      <c r="B66" t="str">
        <f>_xlfn.XLOOKUP(A66,Instagram_Usage_Lifestyle_Mini_!A66,Instagram_Usage_Lifestyle_Mini_!B66,1)</f>
        <v>Instagram</v>
      </c>
      <c r="C66">
        <f>_xlfn.XLOOKUP($A:$A,Instagram_Usage_Lifestyle_Mini_!$A:$A,Instagram_Usage_Lifestyle_Mini_!$C:$K)</f>
        <v>59</v>
      </c>
      <c r="D66" t="str">
        <f>_xlfn.XLOOKUP($A:$A,Instagram_Usage_Lifestyle_Mini_!$A:$A,Instagram_Usage_Lifestyle_Mini_!$C:$K)</f>
        <v>Male</v>
      </c>
      <c r="E66" t="str">
        <f>_xlfn.XLOOKUP($A:$A,Instagram_Usage_Lifestyle_Mini_!$A:$A,Instagram_Usage_Lifestyle_Mini_!$C:$K)</f>
        <v>Canada</v>
      </c>
      <c r="F66" t="str">
        <f>_xlfn.XLOOKUP($A:$A,Instagram_Usage_Lifestyle_Mini_!$A:$A,Instagram_Usage_Lifestyle_Mini_!$C:$K)</f>
        <v>Suburban</v>
      </c>
      <c r="G66" t="str">
        <f>_xlfn.XLOOKUP($A:$A,Instagram_Usage_Lifestyle_Mini_!$A:$A,Instagram_Usage_Lifestyle_Mini_!$C:$K)</f>
        <v>Low</v>
      </c>
      <c r="H66" t="str">
        <f>_xlfn.XLOOKUP($A:$A,Instagram_Usage_Lifestyle_Mini_!$A:$A,Instagram_Usage_Lifestyle_Mini_!$C:$K)</f>
        <v>Freelancer</v>
      </c>
      <c r="I66" t="str">
        <f>_xlfn.XLOOKUP($A:$A,Instagram_Usage_Lifestyle_Mini_!$A:$A,Instagram_Usage_Lifestyle_Mini_!$C:$K)</f>
        <v>Other</v>
      </c>
      <c r="J66" t="str">
        <f>_xlfn.XLOOKUP($A:$A,Instagram_Usage_Lifestyle_Mini_!$A:$A,Instagram_Usage_Lifestyle_Mini_!$C:$K)</f>
        <v>Single</v>
      </c>
      <c r="K66" t="str">
        <f>_xlfn.XLOOKUP($A:$A,Instagram_Usage_Lifestyle_Mini_!$A:$A,Instagram_Usage_Lifestyle_Mini_!$C:$K)</f>
        <v>Yes</v>
      </c>
      <c r="L66" t="str" cm="1">
        <f t="array" ref="L66">_xlfn.IFS(C66&lt;18,"Under_18",C66&lt;=25,"Youth",C66&lt;=35,"Young_Adults",C66&lt;=45,"Mid_Adults",TRUE,"Seniors")</f>
        <v>Seniors</v>
      </c>
    </row>
    <row r="67" spans="1:12" x14ac:dyDescent="0.2">
      <c r="A67">
        <v>66</v>
      </c>
      <c r="B67" t="str">
        <f>_xlfn.XLOOKUP(A67,Instagram_Usage_Lifestyle_Mini_!A67,Instagram_Usage_Lifestyle_Mini_!B67,1)</f>
        <v>Instagram</v>
      </c>
      <c r="C67">
        <f>_xlfn.XLOOKUP($A:$A,Instagram_Usage_Lifestyle_Mini_!$A:$A,Instagram_Usage_Lifestyle_Mini_!$C:$K)</f>
        <v>47</v>
      </c>
      <c r="D67" t="str">
        <f>_xlfn.XLOOKUP($A:$A,Instagram_Usage_Lifestyle_Mini_!$A:$A,Instagram_Usage_Lifestyle_Mini_!$C:$K)</f>
        <v>Female</v>
      </c>
      <c r="E67" t="str">
        <f>_xlfn.XLOOKUP($A:$A,Instagram_Usage_Lifestyle_Mini_!$A:$A,Instagram_Usage_Lifestyle_Mini_!$C:$K)</f>
        <v>United_States</v>
      </c>
      <c r="F67" t="str">
        <f>_xlfn.XLOOKUP($A:$A,Instagram_Usage_Lifestyle_Mini_!$A:$A,Instagram_Usage_Lifestyle_Mini_!$C:$K)</f>
        <v>Suburban</v>
      </c>
      <c r="G67" t="str">
        <f>_xlfn.XLOOKUP($A:$A,Instagram_Usage_Lifestyle_Mini_!$A:$A,Instagram_Usage_Lifestyle_Mini_!$C:$K)</f>
        <v>Low</v>
      </c>
      <c r="H67" t="str">
        <f>_xlfn.XLOOKUP($A:$A,Instagram_Usage_Lifestyle_Mini_!$A:$A,Instagram_Usage_Lifestyle_Mini_!$C:$K)</f>
        <v>Unemployed</v>
      </c>
      <c r="I67" t="str">
        <f>_xlfn.XLOOKUP($A:$A,Instagram_Usage_Lifestyle_Mini_!$A:$A,Instagram_Usage_Lifestyle_Mini_!$C:$K)</f>
        <v>Bachelors_degree</v>
      </c>
      <c r="J67" t="str">
        <f>_xlfn.XLOOKUP($A:$A,Instagram_Usage_Lifestyle_Mini_!$A:$A,Instagram_Usage_Lifestyle_Mini_!$C:$K)</f>
        <v>In_a_relationship</v>
      </c>
      <c r="K67" t="str">
        <f>_xlfn.XLOOKUP($A:$A,Instagram_Usage_Lifestyle_Mini_!$A:$A,Instagram_Usage_Lifestyle_Mini_!$C:$K)</f>
        <v>No</v>
      </c>
      <c r="L67" t="str" cm="1">
        <f t="array" ref="L67">_xlfn.IFS(C67&lt;18,"Under_18",C67&lt;=25,"Youth",C67&lt;=35,"Young_Adults",C67&lt;=45,"Mid_Adults",TRUE,"Seniors")</f>
        <v>Seniors</v>
      </c>
    </row>
    <row r="68" spans="1:12" x14ac:dyDescent="0.2">
      <c r="A68">
        <v>67</v>
      </c>
      <c r="B68" t="str">
        <f>_xlfn.XLOOKUP(A68,Instagram_Usage_Lifestyle_Mini_!A68,Instagram_Usage_Lifestyle_Mini_!B68,1)</f>
        <v>Instagram</v>
      </c>
      <c r="C68">
        <f>_xlfn.XLOOKUP($A:$A,Instagram_Usage_Lifestyle_Mini_!$A:$A,Instagram_Usage_Lifestyle_Mini_!$C:$K)</f>
        <v>26</v>
      </c>
      <c r="D68" t="str">
        <f>_xlfn.XLOOKUP($A:$A,Instagram_Usage_Lifestyle_Mini_!$A:$A,Instagram_Usage_Lifestyle_Mini_!$C:$K)</f>
        <v>Male</v>
      </c>
      <c r="E68" t="str">
        <f>_xlfn.XLOOKUP($A:$A,Instagram_Usage_Lifestyle_Mini_!$A:$A,Instagram_Usage_Lifestyle_Mini_!$C:$K)</f>
        <v>United_States</v>
      </c>
      <c r="F68" t="str">
        <f>_xlfn.XLOOKUP($A:$A,Instagram_Usage_Lifestyle_Mini_!$A:$A,Instagram_Usage_Lifestyle_Mini_!$C:$K)</f>
        <v>Urban</v>
      </c>
      <c r="G68" t="str">
        <f>_xlfn.XLOOKUP($A:$A,Instagram_Usage_Lifestyle_Mini_!$A:$A,Instagram_Usage_Lifestyle_Mini_!$C:$K)</f>
        <v>Lower_middle</v>
      </c>
      <c r="H68" t="str">
        <f>_xlfn.XLOOKUP($A:$A,Instagram_Usage_Lifestyle_Mini_!$A:$A,Instagram_Usage_Lifestyle_Mini_!$C:$K)</f>
        <v>Freelancer</v>
      </c>
      <c r="I68" t="str">
        <f>_xlfn.XLOOKUP($A:$A,Instagram_Usage_Lifestyle_Mini_!$A:$A,Instagram_Usage_Lifestyle_Mini_!$C:$K)</f>
        <v>Bachelors_degree</v>
      </c>
      <c r="J68" t="str">
        <f>_xlfn.XLOOKUP($A:$A,Instagram_Usage_Lifestyle_Mini_!$A:$A,Instagram_Usage_Lifestyle_Mini_!$C:$K)</f>
        <v>In_a_relationship</v>
      </c>
      <c r="K68" t="str">
        <f>_xlfn.XLOOKUP($A:$A,Instagram_Usage_Lifestyle_Mini_!$A:$A,Instagram_Usage_Lifestyle_Mini_!$C:$K)</f>
        <v>No</v>
      </c>
      <c r="L68" t="str" cm="1">
        <f t="array" ref="L68">_xlfn.IFS(C68&lt;18,"Under_18",C68&lt;=25,"Youth",C68&lt;=35,"Young_Adults",C68&lt;=45,"Mid_Adults",TRUE,"Seniors")</f>
        <v>Young_Adults</v>
      </c>
    </row>
    <row r="69" spans="1:12" x14ac:dyDescent="0.2">
      <c r="A69">
        <v>68</v>
      </c>
      <c r="B69" t="str">
        <f>_xlfn.XLOOKUP(A69,Instagram_Usage_Lifestyle_Mini_!A69,Instagram_Usage_Lifestyle_Mini_!B69,1)</f>
        <v>Instagram</v>
      </c>
      <c r="C69">
        <f>_xlfn.XLOOKUP($A:$A,Instagram_Usage_Lifestyle_Mini_!$A:$A,Instagram_Usage_Lifestyle_Mini_!$C:$K)</f>
        <v>29</v>
      </c>
      <c r="D69" t="str">
        <f>_xlfn.XLOOKUP($A:$A,Instagram_Usage_Lifestyle_Mini_!$A:$A,Instagram_Usage_Lifestyle_Mini_!$C:$K)</f>
        <v>Male</v>
      </c>
      <c r="E69" t="str">
        <f>_xlfn.XLOOKUP($A:$A,Instagram_Usage_Lifestyle_Mini_!$A:$A,Instagram_Usage_Lifestyle_Mini_!$C:$K)</f>
        <v>Other</v>
      </c>
      <c r="F69" t="str">
        <f>_xlfn.XLOOKUP($A:$A,Instagram_Usage_Lifestyle_Mini_!$A:$A,Instagram_Usage_Lifestyle_Mini_!$C:$K)</f>
        <v>Rural</v>
      </c>
      <c r="G69" t="str">
        <f>_xlfn.XLOOKUP($A:$A,Instagram_Usage_Lifestyle_Mini_!$A:$A,Instagram_Usage_Lifestyle_Mini_!$C:$K)</f>
        <v>Lower_middle</v>
      </c>
      <c r="H69" t="str">
        <f>_xlfn.XLOOKUP($A:$A,Instagram_Usage_Lifestyle_Mini_!$A:$A,Instagram_Usage_Lifestyle_Mini_!$C:$K)</f>
        <v>Unemployed</v>
      </c>
      <c r="I69" t="str">
        <f>_xlfn.XLOOKUP($A:$A,Instagram_Usage_Lifestyle_Mini_!$A:$A,Instagram_Usage_Lifestyle_Mini_!$C:$K)</f>
        <v>Some_college</v>
      </c>
      <c r="J69" t="str">
        <f>_xlfn.XLOOKUP($A:$A,Instagram_Usage_Lifestyle_Mini_!$A:$A,Instagram_Usage_Lifestyle_Mini_!$C:$K)</f>
        <v>Divorced</v>
      </c>
      <c r="K69" t="str">
        <f>_xlfn.XLOOKUP($A:$A,Instagram_Usage_Lifestyle_Mini_!$A:$A,Instagram_Usage_Lifestyle_Mini_!$C:$K)</f>
        <v>No</v>
      </c>
      <c r="L69" t="str" cm="1">
        <f t="array" ref="L69">_xlfn.IFS(C69&lt;18,"Under_18",C69&lt;=25,"Youth",C69&lt;=35,"Young_Adults",C69&lt;=45,"Mid_Adults",TRUE,"Seniors")</f>
        <v>Young_Adults</v>
      </c>
    </row>
    <row r="70" spans="1:12" x14ac:dyDescent="0.2">
      <c r="A70">
        <v>69</v>
      </c>
      <c r="B70" t="str">
        <f>_xlfn.XLOOKUP(A70,Instagram_Usage_Lifestyle_Mini_!A70,Instagram_Usage_Lifestyle_Mini_!B70,1)</f>
        <v>Instagram</v>
      </c>
      <c r="C70">
        <f>_xlfn.XLOOKUP($A:$A,Instagram_Usage_Lifestyle_Mini_!$A:$A,Instagram_Usage_Lifestyle_Mini_!$C:$K)</f>
        <v>48</v>
      </c>
      <c r="D70" t="str">
        <f>_xlfn.XLOOKUP($A:$A,Instagram_Usage_Lifestyle_Mini_!$A:$A,Instagram_Usage_Lifestyle_Mini_!$C:$K)</f>
        <v>Female</v>
      </c>
      <c r="E70" t="str">
        <f>_xlfn.XLOOKUP($A:$A,Instagram_Usage_Lifestyle_Mini_!$A:$A,Instagram_Usage_Lifestyle_Mini_!$C:$K)</f>
        <v>Other</v>
      </c>
      <c r="F70" t="str">
        <f>_xlfn.XLOOKUP($A:$A,Instagram_Usage_Lifestyle_Mini_!$A:$A,Instagram_Usage_Lifestyle_Mini_!$C:$K)</f>
        <v>Urban</v>
      </c>
      <c r="G70" t="str">
        <f>_xlfn.XLOOKUP($A:$A,Instagram_Usage_Lifestyle_Mini_!$A:$A,Instagram_Usage_Lifestyle_Mini_!$C:$K)</f>
        <v>Lower_middle</v>
      </c>
      <c r="H70" t="str">
        <f>_xlfn.XLOOKUP($A:$A,Instagram_Usage_Lifestyle_Mini_!$A:$A,Instagram_Usage_Lifestyle_Mini_!$C:$K)</f>
        <v>Unemployed</v>
      </c>
      <c r="I70" t="str">
        <f>_xlfn.XLOOKUP($A:$A,Instagram_Usage_Lifestyle_Mini_!$A:$A,Instagram_Usage_Lifestyle_Mini_!$C:$K)</f>
        <v>Masters_degree</v>
      </c>
      <c r="J70" t="str">
        <f>_xlfn.XLOOKUP($A:$A,Instagram_Usage_Lifestyle_Mini_!$A:$A,Instagram_Usage_Lifestyle_Mini_!$C:$K)</f>
        <v>Single</v>
      </c>
      <c r="K70" t="str">
        <f>_xlfn.XLOOKUP($A:$A,Instagram_Usage_Lifestyle_Mini_!$A:$A,Instagram_Usage_Lifestyle_Mini_!$C:$K)</f>
        <v>Yes</v>
      </c>
      <c r="L70" t="str" cm="1">
        <f t="array" ref="L70">_xlfn.IFS(C70&lt;18,"Under_18",C70&lt;=25,"Youth",C70&lt;=35,"Young_Adults",C70&lt;=45,"Mid_Adults",TRUE,"Seniors")</f>
        <v>Seniors</v>
      </c>
    </row>
    <row r="71" spans="1:12" x14ac:dyDescent="0.2">
      <c r="A71">
        <v>70</v>
      </c>
      <c r="B71" t="str">
        <f>_xlfn.XLOOKUP(A71,Instagram_Usage_Lifestyle_Mini_!A71,Instagram_Usage_Lifestyle_Mini_!B71,1)</f>
        <v>Instagram</v>
      </c>
      <c r="C71">
        <f>_xlfn.XLOOKUP($A:$A,Instagram_Usage_Lifestyle_Mini_!$A:$A,Instagram_Usage_Lifestyle_Mini_!$C:$K)</f>
        <v>62</v>
      </c>
      <c r="D71" t="str">
        <f>_xlfn.XLOOKUP($A:$A,Instagram_Usage_Lifestyle_Mini_!$A:$A,Instagram_Usage_Lifestyle_Mini_!$C:$K)</f>
        <v>Male</v>
      </c>
      <c r="E71" t="str">
        <f>_xlfn.XLOOKUP($A:$A,Instagram_Usage_Lifestyle_Mini_!$A:$A,Instagram_Usage_Lifestyle_Mini_!$C:$K)</f>
        <v>Canada</v>
      </c>
      <c r="F71" t="str">
        <f>_xlfn.XLOOKUP($A:$A,Instagram_Usage_Lifestyle_Mini_!$A:$A,Instagram_Usage_Lifestyle_Mini_!$C:$K)</f>
        <v>Urban</v>
      </c>
      <c r="G71" t="str">
        <f>_xlfn.XLOOKUP($A:$A,Instagram_Usage_Lifestyle_Mini_!$A:$A,Instagram_Usage_Lifestyle_Mini_!$C:$K)</f>
        <v>Lower_middle</v>
      </c>
      <c r="H71" t="str">
        <f>_xlfn.XLOOKUP($A:$A,Instagram_Usage_Lifestyle_Mini_!$A:$A,Instagram_Usage_Lifestyle_Mini_!$C:$K)</f>
        <v>Part_time</v>
      </c>
      <c r="I71" t="str">
        <f>_xlfn.XLOOKUP($A:$A,Instagram_Usage_Lifestyle_Mini_!$A:$A,Instagram_Usage_Lifestyle_Mini_!$C:$K)</f>
        <v>Bachelors_degree</v>
      </c>
      <c r="J71" t="str">
        <f>_xlfn.XLOOKUP($A:$A,Instagram_Usage_Lifestyle_Mini_!$A:$A,Instagram_Usage_Lifestyle_Mini_!$C:$K)</f>
        <v>In_a_relationship</v>
      </c>
      <c r="K71" t="str">
        <f>_xlfn.XLOOKUP($A:$A,Instagram_Usage_Lifestyle_Mini_!$A:$A,Instagram_Usage_Lifestyle_Mini_!$C:$K)</f>
        <v>No</v>
      </c>
      <c r="L71" t="str" cm="1">
        <f t="array" ref="L71">_xlfn.IFS(C71&lt;18,"Under_18",C71&lt;=25,"Youth",C71&lt;=35,"Young_Adults",C71&lt;=45,"Mid_Adults",TRUE,"Seniors")</f>
        <v>Seniors</v>
      </c>
    </row>
    <row r="72" spans="1:12" x14ac:dyDescent="0.2">
      <c r="A72">
        <v>71</v>
      </c>
      <c r="B72" t="str">
        <f>_xlfn.XLOOKUP(A72,Instagram_Usage_Lifestyle_Mini_!A72,Instagram_Usage_Lifestyle_Mini_!B72,1)</f>
        <v>Instagram</v>
      </c>
      <c r="C72">
        <f>_xlfn.XLOOKUP($A:$A,Instagram_Usage_Lifestyle_Mini_!$A:$A,Instagram_Usage_Lifestyle_Mini_!$C:$K)</f>
        <v>52</v>
      </c>
      <c r="D72" t="str">
        <f>_xlfn.XLOOKUP($A:$A,Instagram_Usage_Lifestyle_Mini_!$A:$A,Instagram_Usage_Lifestyle_Mini_!$C:$K)</f>
        <v>Female</v>
      </c>
      <c r="E72" t="str">
        <f>_xlfn.XLOOKUP($A:$A,Instagram_Usage_Lifestyle_Mini_!$A:$A,Instagram_Usage_Lifestyle_Mini_!$C:$K)</f>
        <v>United_States</v>
      </c>
      <c r="F72" t="str">
        <f>_xlfn.XLOOKUP($A:$A,Instagram_Usage_Lifestyle_Mini_!$A:$A,Instagram_Usage_Lifestyle_Mini_!$C:$K)</f>
        <v>Suburban</v>
      </c>
      <c r="G72" t="str">
        <f>_xlfn.XLOOKUP($A:$A,Instagram_Usage_Lifestyle_Mini_!$A:$A,Instagram_Usage_Lifestyle_Mini_!$C:$K)</f>
        <v>Lower_middle</v>
      </c>
      <c r="H72" t="str">
        <f>_xlfn.XLOOKUP($A:$A,Instagram_Usage_Lifestyle_Mini_!$A:$A,Instagram_Usage_Lifestyle_Mini_!$C:$K)</f>
        <v>Freelancer</v>
      </c>
      <c r="I72" t="str">
        <f>_xlfn.XLOOKUP($A:$A,Instagram_Usage_Lifestyle_Mini_!$A:$A,Instagram_Usage_Lifestyle_Mini_!$C:$K)</f>
        <v>High_school</v>
      </c>
      <c r="J72" t="str">
        <f>_xlfn.XLOOKUP($A:$A,Instagram_Usage_Lifestyle_Mini_!$A:$A,Instagram_Usage_Lifestyle_Mini_!$C:$K)</f>
        <v>Single</v>
      </c>
      <c r="K72" t="str">
        <f>_xlfn.XLOOKUP($A:$A,Instagram_Usage_Lifestyle_Mini_!$A:$A,Instagram_Usage_Lifestyle_Mini_!$C:$K)</f>
        <v>No</v>
      </c>
      <c r="L72" t="str" cm="1">
        <f t="array" ref="L72">_xlfn.IFS(C72&lt;18,"Under_18",C72&lt;=25,"Youth",C72&lt;=35,"Young_Adults",C72&lt;=45,"Mid_Adults",TRUE,"Seniors")</f>
        <v>Seniors</v>
      </c>
    </row>
    <row r="73" spans="1:12" x14ac:dyDescent="0.2">
      <c r="A73">
        <v>72</v>
      </c>
      <c r="B73" t="str">
        <f>_xlfn.XLOOKUP(A73,Instagram_Usage_Lifestyle_Mini_!A73,Instagram_Usage_Lifestyle_Mini_!B73,1)</f>
        <v>Instagram</v>
      </c>
      <c r="C73">
        <f>_xlfn.XLOOKUP($A:$A,Instagram_Usage_Lifestyle_Mini_!$A:$A,Instagram_Usage_Lifestyle_Mini_!$C:$K)</f>
        <v>16</v>
      </c>
      <c r="D73" t="str">
        <f>_xlfn.XLOOKUP($A:$A,Instagram_Usage_Lifestyle_Mini_!$A:$A,Instagram_Usage_Lifestyle_Mini_!$C:$K)</f>
        <v>Female</v>
      </c>
      <c r="E73" t="str">
        <f>_xlfn.XLOOKUP($A:$A,Instagram_Usage_Lifestyle_Mini_!$A:$A,Instagram_Usage_Lifestyle_Mini_!$C:$K)</f>
        <v>South_Korea</v>
      </c>
      <c r="F73" t="str">
        <f>_xlfn.XLOOKUP($A:$A,Instagram_Usage_Lifestyle_Mini_!$A:$A,Instagram_Usage_Lifestyle_Mini_!$C:$K)</f>
        <v>Urban</v>
      </c>
      <c r="G73" t="str">
        <f>_xlfn.XLOOKUP($A:$A,Instagram_Usage_Lifestyle_Mini_!$A:$A,Instagram_Usage_Lifestyle_Mini_!$C:$K)</f>
        <v>Lower_middle</v>
      </c>
      <c r="H73" t="str">
        <f>_xlfn.XLOOKUP($A:$A,Instagram_Usage_Lifestyle_Mini_!$A:$A,Instagram_Usage_Lifestyle_Mini_!$C:$K)</f>
        <v>Freelancer</v>
      </c>
      <c r="I73" t="str">
        <f>_xlfn.XLOOKUP($A:$A,Instagram_Usage_Lifestyle_Mini_!$A:$A,Instagram_Usage_Lifestyle_Mini_!$C:$K)</f>
        <v>Some_college</v>
      </c>
      <c r="J73" t="str">
        <f>_xlfn.XLOOKUP($A:$A,Instagram_Usage_Lifestyle_Mini_!$A:$A,Instagram_Usage_Lifestyle_Mini_!$C:$K)</f>
        <v>Single</v>
      </c>
      <c r="K73" t="str">
        <f>_xlfn.XLOOKUP($A:$A,Instagram_Usage_Lifestyle_Mini_!$A:$A,Instagram_Usage_Lifestyle_Mini_!$C:$K)</f>
        <v>No</v>
      </c>
      <c r="L73" t="str" cm="1">
        <f t="array" ref="L73">_xlfn.IFS(C73&lt;18,"Under_18",C73&lt;=25,"Youth",C73&lt;=35,"Young_Adults",C73&lt;=45,"Mid_Adults",TRUE,"Seniors")</f>
        <v>Under_18</v>
      </c>
    </row>
    <row r="74" spans="1:12" x14ac:dyDescent="0.2">
      <c r="A74">
        <v>73</v>
      </c>
      <c r="B74" t="str">
        <f>_xlfn.XLOOKUP(A74,Instagram_Usage_Lifestyle_Mini_!A74,Instagram_Usage_Lifestyle_Mini_!B74,1)</f>
        <v>Instagram</v>
      </c>
      <c r="C74">
        <f>_xlfn.XLOOKUP($A:$A,Instagram_Usage_Lifestyle_Mini_!$A:$A,Instagram_Usage_Lifestyle_Mini_!$C:$K)</f>
        <v>14</v>
      </c>
      <c r="D74" t="str">
        <f>_xlfn.XLOOKUP($A:$A,Instagram_Usage_Lifestyle_Mini_!$A:$A,Instagram_Usage_Lifestyle_Mini_!$C:$K)</f>
        <v>Female</v>
      </c>
      <c r="E74" t="str">
        <f>_xlfn.XLOOKUP($A:$A,Instagram_Usage_Lifestyle_Mini_!$A:$A,Instagram_Usage_Lifestyle_Mini_!$C:$K)</f>
        <v>Australia</v>
      </c>
      <c r="F74" t="str">
        <f>_xlfn.XLOOKUP($A:$A,Instagram_Usage_Lifestyle_Mini_!$A:$A,Instagram_Usage_Lifestyle_Mini_!$C:$K)</f>
        <v>Suburban</v>
      </c>
      <c r="G74" t="str">
        <f>_xlfn.XLOOKUP($A:$A,Instagram_Usage_Lifestyle_Mini_!$A:$A,Instagram_Usage_Lifestyle_Mini_!$C:$K)</f>
        <v>Middle</v>
      </c>
      <c r="H74" t="str">
        <f>_xlfn.XLOOKUP($A:$A,Instagram_Usage_Lifestyle_Mini_!$A:$A,Instagram_Usage_Lifestyle_Mini_!$C:$K)</f>
        <v>Student</v>
      </c>
      <c r="I74" t="str">
        <f>_xlfn.XLOOKUP($A:$A,Instagram_Usage_Lifestyle_Mini_!$A:$A,Instagram_Usage_Lifestyle_Mini_!$C:$K)</f>
        <v>Bachelors_degree</v>
      </c>
      <c r="J74" t="str">
        <f>_xlfn.XLOOKUP($A:$A,Instagram_Usage_Lifestyle_Mini_!$A:$A,Instagram_Usage_Lifestyle_Mini_!$C:$K)</f>
        <v>Married</v>
      </c>
      <c r="K74" t="str">
        <f>_xlfn.XLOOKUP($A:$A,Instagram_Usage_Lifestyle_Mini_!$A:$A,Instagram_Usage_Lifestyle_Mini_!$C:$K)</f>
        <v>No</v>
      </c>
      <c r="L74" t="str" cm="1">
        <f t="array" ref="L74">_xlfn.IFS(C74&lt;18,"Under_18",C74&lt;=25,"Youth",C74&lt;=35,"Young_Adults",C74&lt;=45,"Mid_Adults",TRUE,"Seniors")</f>
        <v>Under_18</v>
      </c>
    </row>
    <row r="75" spans="1:12" x14ac:dyDescent="0.2">
      <c r="A75">
        <v>74</v>
      </c>
      <c r="B75" t="str">
        <f>_xlfn.XLOOKUP(A75,Instagram_Usage_Lifestyle_Mini_!A75,Instagram_Usage_Lifestyle_Mini_!B75,1)</f>
        <v>Instagram</v>
      </c>
      <c r="C75">
        <f>_xlfn.XLOOKUP($A:$A,Instagram_Usage_Lifestyle_Mini_!$A:$A,Instagram_Usage_Lifestyle_Mini_!$C:$K)</f>
        <v>18</v>
      </c>
      <c r="D75" t="str">
        <f>_xlfn.XLOOKUP($A:$A,Instagram_Usage_Lifestyle_Mini_!$A:$A,Instagram_Usage_Lifestyle_Mini_!$C:$K)</f>
        <v>Male</v>
      </c>
      <c r="E75" t="str">
        <f>_xlfn.XLOOKUP($A:$A,Instagram_Usage_Lifestyle_Mini_!$A:$A,Instagram_Usage_Lifestyle_Mini_!$C:$K)</f>
        <v>United_States</v>
      </c>
      <c r="F75" t="str">
        <f>_xlfn.XLOOKUP($A:$A,Instagram_Usage_Lifestyle_Mini_!$A:$A,Instagram_Usage_Lifestyle_Mini_!$C:$K)</f>
        <v>Urban</v>
      </c>
      <c r="G75" t="str">
        <f>_xlfn.XLOOKUP($A:$A,Instagram_Usage_Lifestyle_Mini_!$A:$A,Instagram_Usage_Lifestyle_Mini_!$C:$K)</f>
        <v>Lower_middle</v>
      </c>
      <c r="H75" t="str">
        <f>_xlfn.XLOOKUP($A:$A,Instagram_Usage_Lifestyle_Mini_!$A:$A,Instagram_Usage_Lifestyle_Mini_!$C:$K)</f>
        <v>Full_time_employed</v>
      </c>
      <c r="I75" t="str">
        <f>_xlfn.XLOOKUP($A:$A,Instagram_Usage_Lifestyle_Mini_!$A:$A,Instagram_Usage_Lifestyle_Mini_!$C:$K)</f>
        <v>Bachelors_degree</v>
      </c>
      <c r="J75" t="str">
        <f>_xlfn.XLOOKUP($A:$A,Instagram_Usage_Lifestyle_Mini_!$A:$A,Instagram_Usage_Lifestyle_Mini_!$C:$K)</f>
        <v>Married</v>
      </c>
      <c r="K75" t="str">
        <f>_xlfn.XLOOKUP($A:$A,Instagram_Usage_Lifestyle_Mini_!$A:$A,Instagram_Usage_Lifestyle_Mini_!$C:$K)</f>
        <v>Yes</v>
      </c>
      <c r="L75" t="str" cm="1">
        <f t="array" ref="L75">_xlfn.IFS(C75&lt;18,"Under_18",C75&lt;=25,"Youth",C75&lt;=35,"Young_Adults",C75&lt;=45,"Mid_Adults",TRUE,"Seniors")</f>
        <v>Youth</v>
      </c>
    </row>
    <row r="76" spans="1:12" x14ac:dyDescent="0.2">
      <c r="A76">
        <v>75</v>
      </c>
      <c r="B76" t="str">
        <f>_xlfn.XLOOKUP(A76,Instagram_Usage_Lifestyle_Mini_!A76,Instagram_Usage_Lifestyle_Mini_!B76,1)</f>
        <v>Instagram</v>
      </c>
      <c r="C76">
        <f>_xlfn.XLOOKUP($A:$A,Instagram_Usage_Lifestyle_Mini_!$A:$A,Instagram_Usage_Lifestyle_Mini_!$C:$K)</f>
        <v>54</v>
      </c>
      <c r="D76" t="str">
        <f>_xlfn.XLOOKUP($A:$A,Instagram_Usage_Lifestyle_Mini_!$A:$A,Instagram_Usage_Lifestyle_Mini_!$C:$K)</f>
        <v>Male</v>
      </c>
      <c r="E76" t="str">
        <f>_xlfn.XLOOKUP($A:$A,Instagram_Usage_Lifestyle_Mini_!$A:$A,Instagram_Usage_Lifestyle_Mini_!$C:$K)</f>
        <v>India</v>
      </c>
      <c r="F76" t="str">
        <f>_xlfn.XLOOKUP($A:$A,Instagram_Usage_Lifestyle_Mini_!$A:$A,Instagram_Usage_Lifestyle_Mini_!$C:$K)</f>
        <v>Urban</v>
      </c>
      <c r="G76" t="str">
        <f>_xlfn.XLOOKUP($A:$A,Instagram_Usage_Lifestyle_Mini_!$A:$A,Instagram_Usage_Lifestyle_Mini_!$C:$K)</f>
        <v>Low</v>
      </c>
      <c r="H76" t="str">
        <f>_xlfn.XLOOKUP($A:$A,Instagram_Usage_Lifestyle_Mini_!$A:$A,Instagram_Usage_Lifestyle_Mini_!$C:$K)</f>
        <v>Student</v>
      </c>
      <c r="I76" t="str">
        <f>_xlfn.XLOOKUP($A:$A,Instagram_Usage_Lifestyle_Mini_!$A:$A,Instagram_Usage_Lifestyle_Mini_!$C:$K)</f>
        <v>Bachelors_degree</v>
      </c>
      <c r="J76" t="str">
        <f>_xlfn.XLOOKUP($A:$A,Instagram_Usage_Lifestyle_Mini_!$A:$A,Instagram_Usage_Lifestyle_Mini_!$C:$K)</f>
        <v>Married</v>
      </c>
      <c r="K76" t="str">
        <f>_xlfn.XLOOKUP($A:$A,Instagram_Usage_Lifestyle_Mini_!$A:$A,Instagram_Usage_Lifestyle_Mini_!$C:$K)</f>
        <v>No</v>
      </c>
      <c r="L76" t="str" cm="1">
        <f t="array" ref="L76">_xlfn.IFS(C76&lt;18,"Under_18",C76&lt;=25,"Youth",C76&lt;=35,"Young_Adults",C76&lt;=45,"Mid_Adults",TRUE,"Seniors")</f>
        <v>Seniors</v>
      </c>
    </row>
    <row r="77" spans="1:12" x14ac:dyDescent="0.2">
      <c r="A77">
        <v>76</v>
      </c>
      <c r="B77" t="str">
        <f>_xlfn.XLOOKUP(A77,Instagram_Usage_Lifestyle_Mini_!A77,Instagram_Usage_Lifestyle_Mini_!B77,1)</f>
        <v>Instagram</v>
      </c>
      <c r="C77">
        <f>_xlfn.XLOOKUP($A:$A,Instagram_Usage_Lifestyle_Mini_!$A:$A,Instagram_Usage_Lifestyle_Mini_!$C:$K)</f>
        <v>16</v>
      </c>
      <c r="D77" t="str">
        <f>_xlfn.XLOOKUP($A:$A,Instagram_Usage_Lifestyle_Mini_!$A:$A,Instagram_Usage_Lifestyle_Mini_!$C:$K)</f>
        <v>Male</v>
      </c>
      <c r="E77" t="str">
        <f>_xlfn.XLOOKUP($A:$A,Instagram_Usage_Lifestyle_Mini_!$A:$A,Instagram_Usage_Lifestyle_Mini_!$C:$K)</f>
        <v>United_States</v>
      </c>
      <c r="F77" t="str">
        <f>_xlfn.XLOOKUP($A:$A,Instagram_Usage_Lifestyle_Mini_!$A:$A,Instagram_Usage_Lifestyle_Mini_!$C:$K)</f>
        <v>Rural</v>
      </c>
      <c r="G77" t="str">
        <f>_xlfn.XLOOKUP($A:$A,Instagram_Usage_Lifestyle_Mini_!$A:$A,Instagram_Usage_Lifestyle_Mini_!$C:$K)</f>
        <v>Low</v>
      </c>
      <c r="H77" t="str">
        <f>_xlfn.XLOOKUP($A:$A,Instagram_Usage_Lifestyle_Mini_!$A:$A,Instagram_Usage_Lifestyle_Mini_!$C:$K)</f>
        <v>Student</v>
      </c>
      <c r="I77" t="str">
        <f>_xlfn.XLOOKUP($A:$A,Instagram_Usage_Lifestyle_Mini_!$A:$A,Instagram_Usage_Lifestyle_Mini_!$C:$K)</f>
        <v>Bachelors_degree</v>
      </c>
      <c r="J77" t="str">
        <f>_xlfn.XLOOKUP($A:$A,Instagram_Usage_Lifestyle_Mini_!$A:$A,Instagram_Usage_Lifestyle_Mini_!$C:$K)</f>
        <v>Single</v>
      </c>
      <c r="K77" t="str">
        <f>_xlfn.XLOOKUP($A:$A,Instagram_Usage_Lifestyle_Mini_!$A:$A,Instagram_Usage_Lifestyle_Mini_!$C:$K)</f>
        <v>No</v>
      </c>
      <c r="L77" t="str" cm="1">
        <f t="array" ref="L77">_xlfn.IFS(C77&lt;18,"Under_18",C77&lt;=25,"Youth",C77&lt;=35,"Young_Adults",C77&lt;=45,"Mid_Adults",TRUE,"Seniors")</f>
        <v>Under_18</v>
      </c>
    </row>
    <row r="78" spans="1:12" x14ac:dyDescent="0.2">
      <c r="A78">
        <v>77</v>
      </c>
      <c r="B78" t="str">
        <f>_xlfn.XLOOKUP(A78,Instagram_Usage_Lifestyle_Mini_!A78,Instagram_Usage_Lifestyle_Mini_!B78,1)</f>
        <v>Instagram</v>
      </c>
      <c r="C78">
        <f>_xlfn.XLOOKUP($A:$A,Instagram_Usage_Lifestyle_Mini_!$A:$A,Instagram_Usage_Lifestyle_Mini_!$C:$K)</f>
        <v>41</v>
      </c>
      <c r="D78" t="str">
        <f>_xlfn.XLOOKUP($A:$A,Instagram_Usage_Lifestyle_Mini_!$A:$A,Instagram_Usage_Lifestyle_Mini_!$C:$K)</f>
        <v>Male</v>
      </c>
      <c r="E78" t="str">
        <f>_xlfn.XLOOKUP($A:$A,Instagram_Usage_Lifestyle_Mini_!$A:$A,Instagram_Usage_Lifestyle_Mini_!$C:$K)</f>
        <v>Other</v>
      </c>
      <c r="F78" t="str">
        <f>_xlfn.XLOOKUP($A:$A,Instagram_Usage_Lifestyle_Mini_!$A:$A,Instagram_Usage_Lifestyle_Mini_!$C:$K)</f>
        <v>Urban</v>
      </c>
      <c r="G78" t="str">
        <f>_xlfn.XLOOKUP($A:$A,Instagram_Usage_Lifestyle_Mini_!$A:$A,Instagram_Usage_Lifestyle_Mini_!$C:$K)</f>
        <v>Middle</v>
      </c>
      <c r="H78" t="str">
        <f>_xlfn.XLOOKUP($A:$A,Instagram_Usage_Lifestyle_Mini_!$A:$A,Instagram_Usage_Lifestyle_Mini_!$C:$K)</f>
        <v>Full_time_employed</v>
      </c>
      <c r="I78" t="str">
        <f>_xlfn.XLOOKUP($A:$A,Instagram_Usage_Lifestyle_Mini_!$A:$A,Instagram_Usage_Lifestyle_Mini_!$C:$K)</f>
        <v>Some_college</v>
      </c>
      <c r="J78" t="str">
        <f>_xlfn.XLOOKUP($A:$A,Instagram_Usage_Lifestyle_Mini_!$A:$A,Instagram_Usage_Lifestyle_Mini_!$C:$K)</f>
        <v>Single</v>
      </c>
      <c r="K78" t="str">
        <f>_xlfn.XLOOKUP($A:$A,Instagram_Usage_Lifestyle_Mini_!$A:$A,Instagram_Usage_Lifestyle_Mini_!$C:$K)</f>
        <v>Yes</v>
      </c>
      <c r="L78" t="str" cm="1">
        <f t="array" ref="L78">_xlfn.IFS(C78&lt;18,"Under_18",C78&lt;=25,"Youth",C78&lt;=35,"Young_Adults",C78&lt;=45,"Mid_Adults",TRUE,"Seniors")</f>
        <v>Mid_Adults</v>
      </c>
    </row>
    <row r="79" spans="1:12" x14ac:dyDescent="0.2">
      <c r="A79">
        <v>78</v>
      </c>
      <c r="B79" t="str">
        <f>_xlfn.XLOOKUP(A79,Instagram_Usage_Lifestyle_Mini_!A79,Instagram_Usage_Lifestyle_Mini_!B79,1)</f>
        <v>Instagram</v>
      </c>
      <c r="C79">
        <f>_xlfn.XLOOKUP($A:$A,Instagram_Usage_Lifestyle_Mini_!$A:$A,Instagram_Usage_Lifestyle_Mini_!$C:$K)</f>
        <v>30</v>
      </c>
      <c r="D79" t="str">
        <f>_xlfn.XLOOKUP($A:$A,Instagram_Usage_Lifestyle_Mini_!$A:$A,Instagram_Usage_Lifestyle_Mini_!$C:$K)</f>
        <v>Female</v>
      </c>
      <c r="E79" t="str">
        <f>_xlfn.XLOOKUP($A:$A,Instagram_Usage_Lifestyle_Mini_!$A:$A,Instagram_Usage_Lifestyle_Mini_!$C:$K)</f>
        <v>India</v>
      </c>
      <c r="F79" t="str">
        <f>_xlfn.XLOOKUP($A:$A,Instagram_Usage_Lifestyle_Mini_!$A:$A,Instagram_Usage_Lifestyle_Mini_!$C:$K)</f>
        <v>Suburban</v>
      </c>
      <c r="G79" t="str">
        <f>_xlfn.XLOOKUP($A:$A,Instagram_Usage_Lifestyle_Mini_!$A:$A,Instagram_Usage_Lifestyle_Mini_!$C:$K)</f>
        <v>Middle</v>
      </c>
      <c r="H79" t="str">
        <f>_xlfn.XLOOKUP($A:$A,Instagram_Usage_Lifestyle_Mini_!$A:$A,Instagram_Usage_Lifestyle_Mini_!$C:$K)</f>
        <v>Full_time_employed</v>
      </c>
      <c r="I79" t="str">
        <f>_xlfn.XLOOKUP($A:$A,Instagram_Usage_Lifestyle_Mini_!$A:$A,Instagram_Usage_Lifestyle_Mini_!$C:$K)</f>
        <v>High_school</v>
      </c>
      <c r="J79" t="str">
        <f>_xlfn.XLOOKUP($A:$A,Instagram_Usage_Lifestyle_Mini_!$A:$A,Instagram_Usage_Lifestyle_Mini_!$C:$K)</f>
        <v>In_a_relationship</v>
      </c>
      <c r="K79" t="str">
        <f>_xlfn.XLOOKUP($A:$A,Instagram_Usage_Lifestyle_Mini_!$A:$A,Instagram_Usage_Lifestyle_Mini_!$C:$K)</f>
        <v>No</v>
      </c>
      <c r="L79" t="str" cm="1">
        <f t="array" ref="L79">_xlfn.IFS(C79&lt;18,"Under_18",C79&lt;=25,"Youth",C79&lt;=35,"Young_Adults",C79&lt;=45,"Mid_Adults",TRUE,"Seniors")</f>
        <v>Young_Adults</v>
      </c>
    </row>
    <row r="80" spans="1:12" x14ac:dyDescent="0.2">
      <c r="A80">
        <v>79</v>
      </c>
      <c r="B80" t="str">
        <f>_xlfn.XLOOKUP(A80,Instagram_Usage_Lifestyle_Mini_!A80,Instagram_Usage_Lifestyle_Mini_!B80,1)</f>
        <v>Instagram</v>
      </c>
      <c r="C80">
        <f>_xlfn.XLOOKUP($A:$A,Instagram_Usage_Lifestyle_Mini_!$A:$A,Instagram_Usage_Lifestyle_Mini_!$C:$K)</f>
        <v>38</v>
      </c>
      <c r="D80" t="str">
        <f>_xlfn.XLOOKUP($A:$A,Instagram_Usage_Lifestyle_Mini_!$A:$A,Instagram_Usage_Lifestyle_Mini_!$C:$K)</f>
        <v>Male</v>
      </c>
      <c r="E80" t="str">
        <f>_xlfn.XLOOKUP($A:$A,Instagram_Usage_Lifestyle_Mini_!$A:$A,Instagram_Usage_Lifestyle_Mini_!$C:$K)</f>
        <v>Canada</v>
      </c>
      <c r="F80" t="str">
        <f>_xlfn.XLOOKUP($A:$A,Instagram_Usage_Lifestyle_Mini_!$A:$A,Instagram_Usage_Lifestyle_Mini_!$C:$K)</f>
        <v>Urban</v>
      </c>
      <c r="G80" t="str">
        <f>_xlfn.XLOOKUP($A:$A,Instagram_Usage_Lifestyle_Mini_!$A:$A,Instagram_Usage_Lifestyle_Mini_!$C:$K)</f>
        <v>Low</v>
      </c>
      <c r="H80" t="str">
        <f>_xlfn.XLOOKUP($A:$A,Instagram_Usage_Lifestyle_Mini_!$A:$A,Instagram_Usage_Lifestyle_Mini_!$C:$K)</f>
        <v>Full_time_employed</v>
      </c>
      <c r="I80" t="str">
        <f>_xlfn.XLOOKUP($A:$A,Instagram_Usage_Lifestyle_Mini_!$A:$A,Instagram_Usage_Lifestyle_Mini_!$C:$K)</f>
        <v>High_school</v>
      </c>
      <c r="J80" t="str">
        <f>_xlfn.XLOOKUP($A:$A,Instagram_Usage_Lifestyle_Mini_!$A:$A,Instagram_Usage_Lifestyle_Mini_!$C:$K)</f>
        <v>Married</v>
      </c>
      <c r="K80" t="str">
        <f>_xlfn.XLOOKUP($A:$A,Instagram_Usage_Lifestyle_Mini_!$A:$A,Instagram_Usage_Lifestyle_Mini_!$C:$K)</f>
        <v>No</v>
      </c>
      <c r="L80" t="str" cm="1">
        <f t="array" ref="L80">_xlfn.IFS(C80&lt;18,"Under_18",C80&lt;=25,"Youth",C80&lt;=35,"Young_Adults",C80&lt;=45,"Mid_Adults",TRUE,"Seniors")</f>
        <v>Mid_Adults</v>
      </c>
    </row>
    <row r="81" spans="1:12" x14ac:dyDescent="0.2">
      <c r="A81">
        <v>80</v>
      </c>
      <c r="B81" t="str">
        <f>_xlfn.XLOOKUP(A81,Instagram_Usage_Lifestyle_Mini_!A81,Instagram_Usage_Lifestyle_Mini_!B81,1)</f>
        <v>Instagram</v>
      </c>
      <c r="C81">
        <f>_xlfn.XLOOKUP($A:$A,Instagram_Usage_Lifestyle_Mini_!$A:$A,Instagram_Usage_Lifestyle_Mini_!$C:$K)</f>
        <v>56</v>
      </c>
      <c r="D81" t="str">
        <f>_xlfn.XLOOKUP($A:$A,Instagram_Usage_Lifestyle_Mini_!$A:$A,Instagram_Usage_Lifestyle_Mini_!$C:$K)</f>
        <v>Male</v>
      </c>
      <c r="E81" t="str">
        <f>_xlfn.XLOOKUP($A:$A,Instagram_Usage_Lifestyle_Mini_!$A:$A,Instagram_Usage_Lifestyle_Mini_!$C:$K)</f>
        <v>Australia</v>
      </c>
      <c r="F81" t="str">
        <f>_xlfn.XLOOKUP($A:$A,Instagram_Usage_Lifestyle_Mini_!$A:$A,Instagram_Usage_Lifestyle_Mini_!$C:$K)</f>
        <v>Suburban</v>
      </c>
      <c r="G81" t="str">
        <f>_xlfn.XLOOKUP($A:$A,Instagram_Usage_Lifestyle_Mini_!$A:$A,Instagram_Usage_Lifestyle_Mini_!$C:$K)</f>
        <v>Lower_middle</v>
      </c>
      <c r="H81" t="str">
        <f>_xlfn.XLOOKUP($A:$A,Instagram_Usage_Lifestyle_Mini_!$A:$A,Instagram_Usage_Lifestyle_Mini_!$C:$K)</f>
        <v>Unemployed</v>
      </c>
      <c r="I81" t="str">
        <f>_xlfn.XLOOKUP($A:$A,Instagram_Usage_Lifestyle_Mini_!$A:$A,Instagram_Usage_Lifestyle_Mini_!$C:$K)</f>
        <v>Bachelors_degree</v>
      </c>
      <c r="J81" t="str">
        <f>_xlfn.XLOOKUP($A:$A,Instagram_Usage_Lifestyle_Mini_!$A:$A,Instagram_Usage_Lifestyle_Mini_!$C:$K)</f>
        <v>Single</v>
      </c>
      <c r="K81" t="str">
        <f>_xlfn.XLOOKUP($A:$A,Instagram_Usage_Lifestyle_Mini_!$A:$A,Instagram_Usage_Lifestyle_Mini_!$C:$K)</f>
        <v>Yes</v>
      </c>
      <c r="L81" t="str" cm="1">
        <f t="array" ref="L81">_xlfn.IFS(C81&lt;18,"Under_18",C81&lt;=25,"Youth",C81&lt;=35,"Young_Adults",C81&lt;=45,"Mid_Adults",TRUE,"Seniors")</f>
        <v>Seniors</v>
      </c>
    </row>
    <row r="82" spans="1:12" x14ac:dyDescent="0.2">
      <c r="A82">
        <v>81</v>
      </c>
      <c r="B82" t="str">
        <f>_xlfn.XLOOKUP(A82,Instagram_Usage_Lifestyle_Mini_!A82,Instagram_Usage_Lifestyle_Mini_!B82,1)</f>
        <v>Instagram</v>
      </c>
      <c r="C82">
        <f>_xlfn.XLOOKUP($A:$A,Instagram_Usage_Lifestyle_Mini_!$A:$A,Instagram_Usage_Lifestyle_Mini_!$C:$K)</f>
        <v>46</v>
      </c>
      <c r="D82" t="str">
        <f>_xlfn.XLOOKUP($A:$A,Instagram_Usage_Lifestyle_Mini_!$A:$A,Instagram_Usage_Lifestyle_Mini_!$C:$K)</f>
        <v>Male</v>
      </c>
      <c r="E82" t="str">
        <f>_xlfn.XLOOKUP($A:$A,Instagram_Usage_Lifestyle_Mini_!$A:$A,Instagram_Usage_Lifestyle_Mini_!$C:$K)</f>
        <v>India</v>
      </c>
      <c r="F82" t="str">
        <f>_xlfn.XLOOKUP($A:$A,Instagram_Usage_Lifestyle_Mini_!$A:$A,Instagram_Usage_Lifestyle_Mini_!$C:$K)</f>
        <v>Urban</v>
      </c>
      <c r="G82" t="str">
        <f>_xlfn.XLOOKUP($A:$A,Instagram_Usage_Lifestyle_Mini_!$A:$A,Instagram_Usage_Lifestyle_Mini_!$C:$K)</f>
        <v>Middle</v>
      </c>
      <c r="H82" t="str">
        <f>_xlfn.XLOOKUP($A:$A,Instagram_Usage_Lifestyle_Mini_!$A:$A,Instagram_Usage_Lifestyle_Mini_!$C:$K)</f>
        <v>Full_time_employed</v>
      </c>
      <c r="I82" t="str">
        <f>_xlfn.XLOOKUP($A:$A,Instagram_Usage_Lifestyle_Mini_!$A:$A,Instagram_Usage_Lifestyle_Mini_!$C:$K)</f>
        <v>Masters_degree</v>
      </c>
      <c r="J82" t="str">
        <f>_xlfn.XLOOKUP($A:$A,Instagram_Usage_Lifestyle_Mini_!$A:$A,Instagram_Usage_Lifestyle_Mini_!$C:$K)</f>
        <v>In_a_relationship</v>
      </c>
      <c r="K82" t="str">
        <f>_xlfn.XLOOKUP($A:$A,Instagram_Usage_Lifestyle_Mini_!$A:$A,Instagram_Usage_Lifestyle_Mini_!$C:$K)</f>
        <v>No</v>
      </c>
      <c r="L82" t="str" cm="1">
        <f t="array" ref="L82">_xlfn.IFS(C82&lt;18,"Under_18",C82&lt;=25,"Youth",C82&lt;=35,"Young_Adults",C82&lt;=45,"Mid_Adults",TRUE,"Seniors")</f>
        <v>Seniors</v>
      </c>
    </row>
    <row r="83" spans="1:12" x14ac:dyDescent="0.2">
      <c r="A83">
        <v>82</v>
      </c>
      <c r="B83" t="str">
        <f>_xlfn.XLOOKUP(A83,Instagram_Usage_Lifestyle_Mini_!A83,Instagram_Usage_Lifestyle_Mini_!B83,1)</f>
        <v>Instagram</v>
      </c>
      <c r="C83">
        <f>_xlfn.XLOOKUP($A:$A,Instagram_Usage_Lifestyle_Mini_!$A:$A,Instagram_Usage_Lifestyle_Mini_!$C:$K)</f>
        <v>22</v>
      </c>
      <c r="D83" t="str">
        <f>_xlfn.XLOOKUP($A:$A,Instagram_Usage_Lifestyle_Mini_!$A:$A,Instagram_Usage_Lifestyle_Mini_!$C:$K)</f>
        <v>Female</v>
      </c>
      <c r="E83" t="str">
        <f>_xlfn.XLOOKUP($A:$A,Instagram_Usage_Lifestyle_Mini_!$A:$A,Instagram_Usage_Lifestyle_Mini_!$C:$K)</f>
        <v>United_States</v>
      </c>
      <c r="F83" t="str">
        <f>_xlfn.XLOOKUP($A:$A,Instagram_Usage_Lifestyle_Mini_!$A:$A,Instagram_Usage_Lifestyle_Mini_!$C:$K)</f>
        <v>Urban</v>
      </c>
      <c r="G83" t="str">
        <f>_xlfn.XLOOKUP($A:$A,Instagram_Usage_Lifestyle_Mini_!$A:$A,Instagram_Usage_Lifestyle_Mini_!$C:$K)</f>
        <v>High</v>
      </c>
      <c r="H83" t="str">
        <f>_xlfn.XLOOKUP($A:$A,Instagram_Usage_Lifestyle_Mini_!$A:$A,Instagram_Usage_Lifestyle_Mini_!$C:$K)</f>
        <v>Freelancer</v>
      </c>
      <c r="I83" t="str">
        <f>_xlfn.XLOOKUP($A:$A,Instagram_Usage_Lifestyle_Mini_!$A:$A,Instagram_Usage_Lifestyle_Mini_!$C:$K)</f>
        <v>Bachelors_degree</v>
      </c>
      <c r="J83" t="str">
        <f>_xlfn.XLOOKUP($A:$A,Instagram_Usage_Lifestyle_Mini_!$A:$A,Instagram_Usage_Lifestyle_Mini_!$C:$K)</f>
        <v>Single</v>
      </c>
      <c r="K83" t="str">
        <f>_xlfn.XLOOKUP($A:$A,Instagram_Usage_Lifestyle_Mini_!$A:$A,Instagram_Usage_Lifestyle_Mini_!$C:$K)</f>
        <v>No</v>
      </c>
      <c r="L83" t="str" cm="1">
        <f t="array" ref="L83">_xlfn.IFS(C83&lt;18,"Under_18",C83&lt;=25,"Youth",C83&lt;=35,"Young_Adults",C83&lt;=45,"Mid_Adults",TRUE,"Seniors")</f>
        <v>Youth</v>
      </c>
    </row>
    <row r="84" spans="1:12" x14ac:dyDescent="0.2">
      <c r="A84">
        <v>83</v>
      </c>
      <c r="B84" t="str">
        <f>_xlfn.XLOOKUP(A84,Instagram_Usage_Lifestyle_Mini_!A84,Instagram_Usage_Lifestyle_Mini_!B84,1)</f>
        <v>Instagram</v>
      </c>
      <c r="C84">
        <f>_xlfn.XLOOKUP($A:$A,Instagram_Usage_Lifestyle_Mini_!$A:$A,Instagram_Usage_Lifestyle_Mini_!$C:$K)</f>
        <v>48</v>
      </c>
      <c r="D84" t="str">
        <f>_xlfn.XLOOKUP($A:$A,Instagram_Usage_Lifestyle_Mini_!$A:$A,Instagram_Usage_Lifestyle_Mini_!$C:$K)</f>
        <v>Non_binary</v>
      </c>
      <c r="E84" t="str">
        <f>_xlfn.XLOOKUP($A:$A,Instagram_Usage_Lifestyle_Mini_!$A:$A,Instagram_Usage_Lifestyle_Mini_!$C:$K)</f>
        <v>United_States</v>
      </c>
      <c r="F84" t="str">
        <f>_xlfn.XLOOKUP($A:$A,Instagram_Usage_Lifestyle_Mini_!$A:$A,Instagram_Usage_Lifestyle_Mini_!$C:$K)</f>
        <v>Urban</v>
      </c>
      <c r="G84" t="str">
        <f>_xlfn.XLOOKUP($A:$A,Instagram_Usage_Lifestyle_Mini_!$A:$A,Instagram_Usage_Lifestyle_Mini_!$C:$K)</f>
        <v>Low</v>
      </c>
      <c r="H84" t="str">
        <f>_xlfn.XLOOKUP($A:$A,Instagram_Usage_Lifestyle_Mini_!$A:$A,Instagram_Usage_Lifestyle_Mini_!$C:$K)</f>
        <v>Unemployed</v>
      </c>
      <c r="I84" t="str">
        <f>_xlfn.XLOOKUP($A:$A,Instagram_Usage_Lifestyle_Mini_!$A:$A,Instagram_Usage_Lifestyle_Mini_!$C:$K)</f>
        <v>Bachelors_degree</v>
      </c>
      <c r="J84" t="str">
        <f>_xlfn.XLOOKUP($A:$A,Instagram_Usage_Lifestyle_Mini_!$A:$A,Instagram_Usage_Lifestyle_Mini_!$C:$K)</f>
        <v>Married</v>
      </c>
      <c r="K84" t="str">
        <f>_xlfn.XLOOKUP($A:$A,Instagram_Usage_Lifestyle_Mini_!$A:$A,Instagram_Usage_Lifestyle_Mini_!$C:$K)</f>
        <v>Yes</v>
      </c>
      <c r="L84" t="str" cm="1">
        <f t="array" ref="L84">_xlfn.IFS(C84&lt;18,"Under_18",C84&lt;=25,"Youth",C84&lt;=35,"Young_Adults",C84&lt;=45,"Mid_Adults",TRUE,"Seniors")</f>
        <v>Seniors</v>
      </c>
    </row>
    <row r="85" spans="1:12" x14ac:dyDescent="0.2">
      <c r="A85">
        <v>84</v>
      </c>
      <c r="B85" t="str">
        <f>_xlfn.XLOOKUP(A85,Instagram_Usage_Lifestyle_Mini_!A85,Instagram_Usage_Lifestyle_Mini_!B85,1)</f>
        <v>Instagram</v>
      </c>
      <c r="C85">
        <f>_xlfn.XLOOKUP($A:$A,Instagram_Usage_Lifestyle_Mini_!$A:$A,Instagram_Usage_Lifestyle_Mini_!$C:$K)</f>
        <v>26</v>
      </c>
      <c r="D85" t="str">
        <f>_xlfn.XLOOKUP($A:$A,Instagram_Usage_Lifestyle_Mini_!$A:$A,Instagram_Usage_Lifestyle_Mini_!$C:$K)</f>
        <v>Female</v>
      </c>
      <c r="E85" t="str">
        <f>_xlfn.XLOOKUP($A:$A,Instagram_Usage_Lifestyle_Mini_!$A:$A,Instagram_Usage_Lifestyle_Mini_!$C:$K)</f>
        <v>United_States</v>
      </c>
      <c r="F85" t="str">
        <f>_xlfn.XLOOKUP($A:$A,Instagram_Usage_Lifestyle_Mini_!$A:$A,Instagram_Usage_Lifestyle_Mini_!$C:$K)</f>
        <v>Urban</v>
      </c>
      <c r="G85" t="str">
        <f>_xlfn.XLOOKUP($A:$A,Instagram_Usage_Lifestyle_Mini_!$A:$A,Instagram_Usage_Lifestyle_Mini_!$C:$K)</f>
        <v>Middle</v>
      </c>
      <c r="H85" t="str">
        <f>_xlfn.XLOOKUP($A:$A,Instagram_Usage_Lifestyle_Mini_!$A:$A,Instagram_Usage_Lifestyle_Mini_!$C:$K)</f>
        <v>Full_time_employed</v>
      </c>
      <c r="I85" t="str">
        <f>_xlfn.XLOOKUP($A:$A,Instagram_Usage_Lifestyle_Mini_!$A:$A,Instagram_Usage_Lifestyle_Mini_!$C:$K)</f>
        <v>Other</v>
      </c>
      <c r="J85" t="str">
        <f>_xlfn.XLOOKUP($A:$A,Instagram_Usage_Lifestyle_Mini_!$A:$A,Instagram_Usage_Lifestyle_Mini_!$C:$K)</f>
        <v>In_a_relationship</v>
      </c>
      <c r="K85" t="str">
        <f>_xlfn.XLOOKUP($A:$A,Instagram_Usage_Lifestyle_Mini_!$A:$A,Instagram_Usage_Lifestyle_Mini_!$C:$K)</f>
        <v>Yes</v>
      </c>
      <c r="L85" t="str" cm="1">
        <f t="array" ref="L85">_xlfn.IFS(C85&lt;18,"Under_18",C85&lt;=25,"Youth",C85&lt;=35,"Young_Adults",C85&lt;=45,"Mid_Adults",TRUE,"Seniors")</f>
        <v>Young_Adults</v>
      </c>
    </row>
    <row r="86" spans="1:12" x14ac:dyDescent="0.2">
      <c r="A86">
        <v>85</v>
      </c>
      <c r="B86" t="str">
        <f>_xlfn.XLOOKUP(A86,Instagram_Usage_Lifestyle_Mini_!A86,Instagram_Usage_Lifestyle_Mini_!B86,1)</f>
        <v>Instagram</v>
      </c>
      <c r="C86">
        <f>_xlfn.XLOOKUP($A:$A,Instagram_Usage_Lifestyle_Mini_!$A:$A,Instagram_Usage_Lifestyle_Mini_!$C:$K)</f>
        <v>43</v>
      </c>
      <c r="D86" t="str">
        <f>_xlfn.XLOOKUP($A:$A,Instagram_Usage_Lifestyle_Mini_!$A:$A,Instagram_Usage_Lifestyle_Mini_!$C:$K)</f>
        <v>Male</v>
      </c>
      <c r="E86" t="str">
        <f>_xlfn.XLOOKUP($A:$A,Instagram_Usage_Lifestyle_Mini_!$A:$A,Instagram_Usage_Lifestyle_Mini_!$C:$K)</f>
        <v>United _Kingdom</v>
      </c>
      <c r="F86" t="str">
        <f>_xlfn.XLOOKUP($A:$A,Instagram_Usage_Lifestyle_Mini_!$A:$A,Instagram_Usage_Lifestyle_Mini_!$C:$K)</f>
        <v>Urban</v>
      </c>
      <c r="G86" t="str">
        <f>_xlfn.XLOOKUP($A:$A,Instagram_Usage_Lifestyle_Mini_!$A:$A,Instagram_Usage_Lifestyle_Mini_!$C:$K)</f>
        <v>Low</v>
      </c>
      <c r="H86" t="str">
        <f>_xlfn.XLOOKUP($A:$A,Instagram_Usage_Lifestyle_Mini_!$A:$A,Instagram_Usage_Lifestyle_Mini_!$C:$K)</f>
        <v>Part_time</v>
      </c>
      <c r="I86" t="str">
        <f>_xlfn.XLOOKUP($A:$A,Instagram_Usage_Lifestyle_Mini_!$A:$A,Instagram_Usage_Lifestyle_Mini_!$C:$K)</f>
        <v>Bachelors_degree</v>
      </c>
      <c r="J86" t="str">
        <f>_xlfn.XLOOKUP($A:$A,Instagram_Usage_Lifestyle_Mini_!$A:$A,Instagram_Usage_Lifestyle_Mini_!$C:$K)</f>
        <v>Single</v>
      </c>
      <c r="K86" t="str">
        <f>_xlfn.XLOOKUP($A:$A,Instagram_Usage_Lifestyle_Mini_!$A:$A,Instagram_Usage_Lifestyle_Mini_!$C:$K)</f>
        <v>No</v>
      </c>
      <c r="L86" t="str" cm="1">
        <f t="array" ref="L86">_xlfn.IFS(C86&lt;18,"Under_18",C86&lt;=25,"Youth",C86&lt;=35,"Young_Adults",C86&lt;=45,"Mid_Adults",TRUE,"Seniors")</f>
        <v>Mid_Adults</v>
      </c>
    </row>
    <row r="87" spans="1:12" x14ac:dyDescent="0.2">
      <c r="A87">
        <v>86</v>
      </c>
      <c r="B87" t="str">
        <f>_xlfn.XLOOKUP(A87,Instagram_Usage_Lifestyle_Mini_!A87,Instagram_Usage_Lifestyle_Mini_!B87,1)</f>
        <v>Instagram</v>
      </c>
      <c r="C87">
        <f>_xlfn.XLOOKUP($A:$A,Instagram_Usage_Lifestyle_Mini_!$A:$A,Instagram_Usage_Lifestyle_Mini_!$C:$K)</f>
        <v>60</v>
      </c>
      <c r="D87" t="str">
        <f>_xlfn.XLOOKUP($A:$A,Instagram_Usage_Lifestyle_Mini_!$A:$A,Instagram_Usage_Lifestyle_Mini_!$C:$K)</f>
        <v>Male</v>
      </c>
      <c r="E87" t="str">
        <f>_xlfn.XLOOKUP($A:$A,Instagram_Usage_Lifestyle_Mini_!$A:$A,Instagram_Usage_Lifestyle_Mini_!$C:$K)</f>
        <v>South_Korea</v>
      </c>
      <c r="F87" t="str">
        <f>_xlfn.XLOOKUP($A:$A,Instagram_Usage_Lifestyle_Mini_!$A:$A,Instagram_Usage_Lifestyle_Mini_!$C:$K)</f>
        <v>Suburban</v>
      </c>
      <c r="G87" t="str">
        <f>_xlfn.XLOOKUP($A:$A,Instagram_Usage_Lifestyle_Mini_!$A:$A,Instagram_Usage_Lifestyle_Mini_!$C:$K)</f>
        <v>Low</v>
      </c>
      <c r="H87" t="str">
        <f>_xlfn.XLOOKUP($A:$A,Instagram_Usage_Lifestyle_Mini_!$A:$A,Instagram_Usage_Lifestyle_Mini_!$C:$K)</f>
        <v>Full_time_employed</v>
      </c>
      <c r="I87" t="str">
        <f>_xlfn.XLOOKUP($A:$A,Instagram_Usage_Lifestyle_Mini_!$A:$A,Instagram_Usage_Lifestyle_Mini_!$C:$K)</f>
        <v>Masters_degree</v>
      </c>
      <c r="J87" t="str">
        <f>_xlfn.XLOOKUP($A:$A,Instagram_Usage_Lifestyle_Mini_!$A:$A,Instagram_Usage_Lifestyle_Mini_!$C:$K)</f>
        <v>Married</v>
      </c>
      <c r="K87" t="str">
        <f>_xlfn.XLOOKUP($A:$A,Instagram_Usage_Lifestyle_Mini_!$A:$A,Instagram_Usage_Lifestyle_Mini_!$C:$K)</f>
        <v>No</v>
      </c>
      <c r="L87" t="str" cm="1">
        <f t="array" ref="L87">_xlfn.IFS(C87&lt;18,"Under_18",C87&lt;=25,"Youth",C87&lt;=35,"Young_Adults",C87&lt;=45,"Mid_Adults",TRUE,"Seniors")</f>
        <v>Seniors</v>
      </c>
    </row>
    <row r="88" spans="1:12" x14ac:dyDescent="0.2">
      <c r="A88">
        <v>87</v>
      </c>
      <c r="B88" t="str">
        <f>_xlfn.XLOOKUP(A88,Instagram_Usage_Lifestyle_Mini_!A88,Instagram_Usage_Lifestyle_Mini_!B88,1)</f>
        <v>Instagram</v>
      </c>
      <c r="C88">
        <f>_xlfn.XLOOKUP($A:$A,Instagram_Usage_Lifestyle_Mini_!$A:$A,Instagram_Usage_Lifestyle_Mini_!$C:$K)</f>
        <v>27</v>
      </c>
      <c r="D88" t="str">
        <f>_xlfn.XLOOKUP($A:$A,Instagram_Usage_Lifestyle_Mini_!$A:$A,Instagram_Usage_Lifestyle_Mini_!$C:$K)</f>
        <v>Male</v>
      </c>
      <c r="E88" t="str">
        <f>_xlfn.XLOOKUP($A:$A,Instagram_Usage_Lifestyle_Mini_!$A:$A,Instagram_Usage_Lifestyle_Mini_!$C:$K)</f>
        <v>United_States</v>
      </c>
      <c r="F88" t="str">
        <f>_xlfn.XLOOKUP($A:$A,Instagram_Usage_Lifestyle_Mini_!$A:$A,Instagram_Usage_Lifestyle_Mini_!$C:$K)</f>
        <v>Urban</v>
      </c>
      <c r="G88" t="str">
        <f>_xlfn.XLOOKUP($A:$A,Instagram_Usage_Lifestyle_Mini_!$A:$A,Instagram_Usage_Lifestyle_Mini_!$C:$K)</f>
        <v>Middle</v>
      </c>
      <c r="H88" t="str">
        <f>_xlfn.XLOOKUP($A:$A,Instagram_Usage_Lifestyle_Mini_!$A:$A,Instagram_Usage_Lifestyle_Mini_!$C:$K)</f>
        <v>Student</v>
      </c>
      <c r="I88" t="str">
        <f>_xlfn.XLOOKUP($A:$A,Instagram_Usage_Lifestyle_Mini_!$A:$A,Instagram_Usage_Lifestyle_Mini_!$C:$K)</f>
        <v>High_school</v>
      </c>
      <c r="J88" t="str">
        <f>_xlfn.XLOOKUP($A:$A,Instagram_Usage_Lifestyle_Mini_!$A:$A,Instagram_Usage_Lifestyle_Mini_!$C:$K)</f>
        <v>In_a_relationship</v>
      </c>
      <c r="K88" t="str">
        <f>_xlfn.XLOOKUP($A:$A,Instagram_Usage_Lifestyle_Mini_!$A:$A,Instagram_Usage_Lifestyle_Mini_!$C:$K)</f>
        <v>Yes</v>
      </c>
      <c r="L88" t="str" cm="1">
        <f t="array" ref="L88">_xlfn.IFS(C88&lt;18,"Under_18",C88&lt;=25,"Youth",C88&lt;=35,"Young_Adults",C88&lt;=45,"Mid_Adults",TRUE,"Seniors")</f>
        <v>Young_Adults</v>
      </c>
    </row>
    <row r="89" spans="1:12" x14ac:dyDescent="0.2">
      <c r="A89">
        <v>88</v>
      </c>
      <c r="B89" t="str">
        <f>_xlfn.XLOOKUP(A89,Instagram_Usage_Lifestyle_Mini_!A89,Instagram_Usage_Lifestyle_Mini_!B89,1)</f>
        <v>Instagram</v>
      </c>
      <c r="C89">
        <f>_xlfn.XLOOKUP($A:$A,Instagram_Usage_Lifestyle_Mini_!$A:$A,Instagram_Usage_Lifestyle_Mini_!$C:$K)</f>
        <v>20</v>
      </c>
      <c r="D89" t="str">
        <f>_xlfn.XLOOKUP($A:$A,Instagram_Usage_Lifestyle_Mini_!$A:$A,Instagram_Usage_Lifestyle_Mini_!$C:$K)</f>
        <v>Male</v>
      </c>
      <c r="E89" t="str">
        <f>_xlfn.XLOOKUP($A:$A,Instagram_Usage_Lifestyle_Mini_!$A:$A,Instagram_Usage_Lifestyle_Mini_!$C:$K)</f>
        <v>Japan</v>
      </c>
      <c r="F89" t="str">
        <f>_xlfn.XLOOKUP($A:$A,Instagram_Usage_Lifestyle_Mini_!$A:$A,Instagram_Usage_Lifestyle_Mini_!$C:$K)</f>
        <v>Rural</v>
      </c>
      <c r="G89" t="str">
        <f>_xlfn.XLOOKUP($A:$A,Instagram_Usage_Lifestyle_Mini_!$A:$A,Instagram_Usage_Lifestyle_Mini_!$C:$K)</f>
        <v>Lower_middle</v>
      </c>
      <c r="H89" t="str">
        <f>_xlfn.XLOOKUP($A:$A,Instagram_Usage_Lifestyle_Mini_!$A:$A,Instagram_Usage_Lifestyle_Mini_!$C:$K)</f>
        <v>Freelancer</v>
      </c>
      <c r="I89" t="str">
        <f>_xlfn.XLOOKUP($A:$A,Instagram_Usage_Lifestyle_Mini_!$A:$A,Instagram_Usage_Lifestyle_Mini_!$C:$K)</f>
        <v>Masters_degree</v>
      </c>
      <c r="J89" t="str">
        <f>_xlfn.XLOOKUP($A:$A,Instagram_Usage_Lifestyle_Mini_!$A:$A,Instagram_Usage_Lifestyle_Mini_!$C:$K)</f>
        <v>Married</v>
      </c>
      <c r="K89" t="str">
        <f>_xlfn.XLOOKUP($A:$A,Instagram_Usage_Lifestyle_Mini_!$A:$A,Instagram_Usage_Lifestyle_Mini_!$C:$K)</f>
        <v>Yes</v>
      </c>
      <c r="L89" t="str" cm="1">
        <f t="array" ref="L89">_xlfn.IFS(C89&lt;18,"Under_18",C89&lt;=25,"Youth",C89&lt;=35,"Young_Adults",C89&lt;=45,"Mid_Adults",TRUE,"Seniors")</f>
        <v>Youth</v>
      </c>
    </row>
    <row r="90" spans="1:12" x14ac:dyDescent="0.2">
      <c r="A90">
        <v>89</v>
      </c>
      <c r="B90" t="str">
        <f>_xlfn.XLOOKUP(A90,Instagram_Usage_Lifestyle_Mini_!A90,Instagram_Usage_Lifestyle_Mini_!B90,1)</f>
        <v>Instagram</v>
      </c>
      <c r="C90">
        <f>_xlfn.XLOOKUP($A:$A,Instagram_Usage_Lifestyle_Mini_!$A:$A,Instagram_Usage_Lifestyle_Mini_!$C:$K)</f>
        <v>26</v>
      </c>
      <c r="D90" t="str">
        <f>_xlfn.XLOOKUP($A:$A,Instagram_Usage_Lifestyle_Mini_!$A:$A,Instagram_Usage_Lifestyle_Mini_!$C:$K)</f>
        <v>Female</v>
      </c>
      <c r="E90" t="str">
        <f>_xlfn.XLOOKUP($A:$A,Instagram_Usage_Lifestyle_Mini_!$A:$A,Instagram_Usage_Lifestyle_Mini_!$C:$K)</f>
        <v>Other</v>
      </c>
      <c r="F90" t="str">
        <f>_xlfn.XLOOKUP($A:$A,Instagram_Usage_Lifestyle_Mini_!$A:$A,Instagram_Usage_Lifestyle_Mini_!$C:$K)</f>
        <v>Suburban</v>
      </c>
      <c r="G90" t="str">
        <f>_xlfn.XLOOKUP($A:$A,Instagram_Usage_Lifestyle_Mini_!$A:$A,Instagram_Usage_Lifestyle_Mini_!$C:$K)</f>
        <v>Middle</v>
      </c>
      <c r="H90" t="str">
        <f>_xlfn.XLOOKUP($A:$A,Instagram_Usage_Lifestyle_Mini_!$A:$A,Instagram_Usage_Lifestyle_Mini_!$C:$K)</f>
        <v>Full_time_employed</v>
      </c>
      <c r="I90" t="str">
        <f>_xlfn.XLOOKUP($A:$A,Instagram_Usage_Lifestyle_Mini_!$A:$A,Instagram_Usage_Lifestyle_Mini_!$C:$K)</f>
        <v>High_school</v>
      </c>
      <c r="J90" t="str">
        <f>_xlfn.XLOOKUP($A:$A,Instagram_Usage_Lifestyle_Mini_!$A:$A,Instagram_Usage_Lifestyle_Mini_!$C:$K)</f>
        <v>Divorced</v>
      </c>
      <c r="K90" t="str">
        <f>_xlfn.XLOOKUP($A:$A,Instagram_Usage_Lifestyle_Mini_!$A:$A,Instagram_Usage_Lifestyle_Mini_!$C:$K)</f>
        <v>No</v>
      </c>
      <c r="L90" t="str" cm="1">
        <f t="array" ref="L90">_xlfn.IFS(C90&lt;18,"Under_18",C90&lt;=25,"Youth",C90&lt;=35,"Young_Adults",C90&lt;=45,"Mid_Adults",TRUE,"Seniors")</f>
        <v>Young_Adults</v>
      </c>
    </row>
    <row r="91" spans="1:12" x14ac:dyDescent="0.2">
      <c r="A91">
        <v>90</v>
      </c>
      <c r="B91" t="str">
        <f>_xlfn.XLOOKUP(A91,Instagram_Usage_Lifestyle_Mini_!A91,Instagram_Usage_Lifestyle_Mini_!B91,1)</f>
        <v>Instagram</v>
      </c>
      <c r="C91">
        <f>_xlfn.XLOOKUP($A:$A,Instagram_Usage_Lifestyle_Mini_!$A:$A,Instagram_Usage_Lifestyle_Mini_!$C:$K)</f>
        <v>35</v>
      </c>
      <c r="D91" t="str">
        <f>_xlfn.XLOOKUP($A:$A,Instagram_Usage_Lifestyle_Mini_!$A:$A,Instagram_Usage_Lifestyle_Mini_!$C:$K)</f>
        <v>Female</v>
      </c>
      <c r="E91" t="str">
        <f>_xlfn.XLOOKUP($A:$A,Instagram_Usage_Lifestyle_Mini_!$A:$A,Instagram_Usage_Lifestyle_Mini_!$C:$K)</f>
        <v>India</v>
      </c>
      <c r="F91" t="str">
        <f>_xlfn.XLOOKUP($A:$A,Instagram_Usage_Lifestyle_Mini_!$A:$A,Instagram_Usage_Lifestyle_Mini_!$C:$K)</f>
        <v>Suburban</v>
      </c>
      <c r="G91" t="str">
        <f>_xlfn.XLOOKUP($A:$A,Instagram_Usage_Lifestyle_Mini_!$A:$A,Instagram_Usage_Lifestyle_Mini_!$C:$K)</f>
        <v>Upper_middle</v>
      </c>
      <c r="H91" t="str">
        <f>_xlfn.XLOOKUP($A:$A,Instagram_Usage_Lifestyle_Mini_!$A:$A,Instagram_Usage_Lifestyle_Mini_!$C:$K)</f>
        <v>Full_time_employed</v>
      </c>
      <c r="I91" t="str">
        <f>_xlfn.XLOOKUP($A:$A,Instagram_Usage_Lifestyle_Mini_!$A:$A,Instagram_Usage_Lifestyle_Mini_!$C:$K)</f>
        <v>Bachelors_degree</v>
      </c>
      <c r="J91" t="str">
        <f>_xlfn.XLOOKUP($A:$A,Instagram_Usage_Lifestyle_Mini_!$A:$A,Instagram_Usage_Lifestyle_Mini_!$C:$K)</f>
        <v>Married</v>
      </c>
      <c r="K91" t="str">
        <f>_xlfn.XLOOKUP($A:$A,Instagram_Usage_Lifestyle_Mini_!$A:$A,Instagram_Usage_Lifestyle_Mini_!$C:$K)</f>
        <v>No</v>
      </c>
      <c r="L91" t="str" cm="1">
        <f t="array" ref="L91">_xlfn.IFS(C91&lt;18,"Under_18",C91&lt;=25,"Youth",C91&lt;=35,"Young_Adults",C91&lt;=45,"Mid_Adults",TRUE,"Seniors")</f>
        <v>Young_Adults</v>
      </c>
    </row>
    <row r="92" spans="1:12" x14ac:dyDescent="0.2">
      <c r="A92">
        <v>91</v>
      </c>
      <c r="B92" t="str">
        <f>_xlfn.XLOOKUP(A92,Instagram_Usage_Lifestyle_Mini_!A92,Instagram_Usage_Lifestyle_Mini_!B92,1)</f>
        <v>Instagram</v>
      </c>
      <c r="C92">
        <f>_xlfn.XLOOKUP($A:$A,Instagram_Usage_Lifestyle_Mini_!$A:$A,Instagram_Usage_Lifestyle_Mini_!$C:$K)</f>
        <v>52</v>
      </c>
      <c r="D92" t="str">
        <f>_xlfn.XLOOKUP($A:$A,Instagram_Usage_Lifestyle_Mini_!$A:$A,Instagram_Usage_Lifestyle_Mini_!$C:$K)</f>
        <v>Male</v>
      </c>
      <c r="E92" t="str">
        <f>_xlfn.XLOOKUP($A:$A,Instagram_Usage_Lifestyle_Mini_!$A:$A,Instagram_Usage_Lifestyle_Mini_!$C:$K)</f>
        <v>United_States</v>
      </c>
      <c r="F92" t="str">
        <f>_xlfn.XLOOKUP($A:$A,Instagram_Usage_Lifestyle_Mini_!$A:$A,Instagram_Usage_Lifestyle_Mini_!$C:$K)</f>
        <v>Suburban</v>
      </c>
      <c r="G92" t="str">
        <f>_xlfn.XLOOKUP($A:$A,Instagram_Usage_Lifestyle_Mini_!$A:$A,Instagram_Usage_Lifestyle_Mini_!$C:$K)</f>
        <v>Middle</v>
      </c>
      <c r="H92" t="str">
        <f>_xlfn.XLOOKUP($A:$A,Instagram_Usage_Lifestyle_Mini_!$A:$A,Instagram_Usage_Lifestyle_Mini_!$C:$K)</f>
        <v>Unemployed</v>
      </c>
      <c r="I92" t="str">
        <f>_xlfn.XLOOKUP($A:$A,Instagram_Usage_Lifestyle_Mini_!$A:$A,Instagram_Usage_Lifestyle_Mini_!$C:$K)</f>
        <v>Bachelors_degree</v>
      </c>
      <c r="J92" t="str">
        <f>_xlfn.XLOOKUP($A:$A,Instagram_Usage_Lifestyle_Mini_!$A:$A,Instagram_Usage_Lifestyle_Mini_!$C:$K)</f>
        <v>Single</v>
      </c>
      <c r="K92" t="str">
        <f>_xlfn.XLOOKUP($A:$A,Instagram_Usage_Lifestyle_Mini_!$A:$A,Instagram_Usage_Lifestyle_Mini_!$C:$K)</f>
        <v>No</v>
      </c>
      <c r="L92" t="str" cm="1">
        <f t="array" ref="L92">_xlfn.IFS(C92&lt;18,"Under_18",C92&lt;=25,"Youth",C92&lt;=35,"Young_Adults",C92&lt;=45,"Mid_Adults",TRUE,"Seniors")</f>
        <v>Seniors</v>
      </c>
    </row>
    <row r="93" spans="1:12" x14ac:dyDescent="0.2">
      <c r="A93">
        <v>92</v>
      </c>
      <c r="B93" t="str">
        <f>_xlfn.XLOOKUP(A93,Instagram_Usage_Lifestyle_Mini_!A93,Instagram_Usage_Lifestyle_Mini_!B93,1)</f>
        <v>Instagram</v>
      </c>
      <c r="C93">
        <f>_xlfn.XLOOKUP($A:$A,Instagram_Usage_Lifestyle_Mini_!$A:$A,Instagram_Usage_Lifestyle_Mini_!$C:$K)</f>
        <v>33</v>
      </c>
      <c r="D93" t="str">
        <f>_xlfn.XLOOKUP($A:$A,Instagram_Usage_Lifestyle_Mini_!$A:$A,Instagram_Usage_Lifestyle_Mini_!$C:$K)</f>
        <v>Female</v>
      </c>
      <c r="E93" t="str">
        <f>_xlfn.XLOOKUP($A:$A,Instagram_Usage_Lifestyle_Mini_!$A:$A,Instagram_Usage_Lifestyle_Mini_!$C:$K)</f>
        <v>South_Korea</v>
      </c>
      <c r="F93" t="str">
        <f>_xlfn.XLOOKUP($A:$A,Instagram_Usage_Lifestyle_Mini_!$A:$A,Instagram_Usage_Lifestyle_Mini_!$C:$K)</f>
        <v>Rural</v>
      </c>
      <c r="G93" t="str">
        <f>_xlfn.XLOOKUP($A:$A,Instagram_Usage_Lifestyle_Mini_!$A:$A,Instagram_Usage_Lifestyle_Mini_!$C:$K)</f>
        <v>Lower_middle</v>
      </c>
      <c r="H93" t="str">
        <f>_xlfn.XLOOKUP($A:$A,Instagram_Usage_Lifestyle_Mini_!$A:$A,Instagram_Usage_Lifestyle_Mini_!$C:$K)</f>
        <v>Unemployed</v>
      </c>
      <c r="I93" t="str">
        <f>_xlfn.XLOOKUP($A:$A,Instagram_Usage_Lifestyle_Mini_!$A:$A,Instagram_Usage_Lifestyle_Mini_!$C:$K)</f>
        <v>Bachelors_degree</v>
      </c>
      <c r="J93" t="str">
        <f>_xlfn.XLOOKUP($A:$A,Instagram_Usage_Lifestyle_Mini_!$A:$A,Instagram_Usage_Lifestyle_Mini_!$C:$K)</f>
        <v>Single</v>
      </c>
      <c r="K93" t="str">
        <f>_xlfn.XLOOKUP($A:$A,Instagram_Usage_Lifestyle_Mini_!$A:$A,Instagram_Usage_Lifestyle_Mini_!$C:$K)</f>
        <v>No</v>
      </c>
      <c r="L93" t="str" cm="1">
        <f t="array" ref="L93">_xlfn.IFS(C93&lt;18,"Under_18",C93&lt;=25,"Youth",C93&lt;=35,"Young_Adults",C93&lt;=45,"Mid_Adults",TRUE,"Seniors")</f>
        <v>Young_Adults</v>
      </c>
    </row>
    <row r="94" spans="1:12" x14ac:dyDescent="0.2">
      <c r="A94">
        <v>93</v>
      </c>
      <c r="B94" t="str">
        <f>_xlfn.XLOOKUP(A94,Instagram_Usage_Lifestyle_Mini_!A94,Instagram_Usage_Lifestyle_Mini_!B94,1)</f>
        <v>Instagram</v>
      </c>
      <c r="C94">
        <f>_xlfn.XLOOKUP($A:$A,Instagram_Usage_Lifestyle_Mini_!$A:$A,Instagram_Usage_Lifestyle_Mini_!$C:$K)</f>
        <v>28</v>
      </c>
      <c r="D94" t="str">
        <f>_xlfn.XLOOKUP($A:$A,Instagram_Usage_Lifestyle_Mini_!$A:$A,Instagram_Usage_Lifestyle_Mini_!$C:$K)</f>
        <v>Female</v>
      </c>
      <c r="E94" t="str">
        <f>_xlfn.XLOOKUP($A:$A,Instagram_Usage_Lifestyle_Mini_!$A:$A,Instagram_Usage_Lifestyle_Mini_!$C:$K)</f>
        <v>Germany</v>
      </c>
      <c r="F94" t="str">
        <f>_xlfn.XLOOKUP($A:$A,Instagram_Usage_Lifestyle_Mini_!$A:$A,Instagram_Usage_Lifestyle_Mini_!$C:$K)</f>
        <v>Suburban</v>
      </c>
      <c r="G94" t="str">
        <f>_xlfn.XLOOKUP($A:$A,Instagram_Usage_Lifestyle_Mini_!$A:$A,Instagram_Usage_Lifestyle_Mini_!$C:$K)</f>
        <v>Middle</v>
      </c>
      <c r="H94" t="str">
        <f>_xlfn.XLOOKUP($A:$A,Instagram_Usage_Lifestyle_Mini_!$A:$A,Instagram_Usage_Lifestyle_Mini_!$C:$K)</f>
        <v>Full_time_employed</v>
      </c>
      <c r="I94" t="str">
        <f>_xlfn.XLOOKUP($A:$A,Instagram_Usage_Lifestyle_Mini_!$A:$A,Instagram_Usage_Lifestyle_Mini_!$C:$K)</f>
        <v>Some_college</v>
      </c>
      <c r="J94" t="str">
        <f>_xlfn.XLOOKUP($A:$A,Instagram_Usage_Lifestyle_Mini_!$A:$A,Instagram_Usage_Lifestyle_Mini_!$C:$K)</f>
        <v>In_a_relationship</v>
      </c>
      <c r="K94" t="str">
        <f>_xlfn.XLOOKUP($A:$A,Instagram_Usage_Lifestyle_Mini_!$A:$A,Instagram_Usage_Lifestyle_Mini_!$C:$K)</f>
        <v>Yes</v>
      </c>
      <c r="L94" t="str" cm="1">
        <f t="array" ref="L94">_xlfn.IFS(C94&lt;18,"Under_18",C94&lt;=25,"Youth",C94&lt;=35,"Young_Adults",C94&lt;=45,"Mid_Adults",TRUE,"Seniors")</f>
        <v>Young_Adults</v>
      </c>
    </row>
    <row r="95" spans="1:12" x14ac:dyDescent="0.2">
      <c r="A95">
        <v>94</v>
      </c>
      <c r="B95" t="str">
        <f>_xlfn.XLOOKUP(A95,Instagram_Usage_Lifestyle_Mini_!A95,Instagram_Usage_Lifestyle_Mini_!B95,1)</f>
        <v>Instagram</v>
      </c>
      <c r="C95">
        <f>_xlfn.XLOOKUP($A:$A,Instagram_Usage_Lifestyle_Mini_!$A:$A,Instagram_Usage_Lifestyle_Mini_!$C:$K)</f>
        <v>57</v>
      </c>
      <c r="D95" t="str">
        <f>_xlfn.XLOOKUP($A:$A,Instagram_Usage_Lifestyle_Mini_!$A:$A,Instagram_Usage_Lifestyle_Mini_!$C:$K)</f>
        <v>Male</v>
      </c>
      <c r="E95" t="str">
        <f>_xlfn.XLOOKUP($A:$A,Instagram_Usage_Lifestyle_Mini_!$A:$A,Instagram_Usage_Lifestyle_Mini_!$C:$K)</f>
        <v>India</v>
      </c>
      <c r="F95" t="str">
        <f>_xlfn.XLOOKUP($A:$A,Instagram_Usage_Lifestyle_Mini_!$A:$A,Instagram_Usage_Lifestyle_Mini_!$C:$K)</f>
        <v>Urban</v>
      </c>
      <c r="G95" t="str">
        <f>_xlfn.XLOOKUP($A:$A,Instagram_Usage_Lifestyle_Mini_!$A:$A,Instagram_Usage_Lifestyle_Mini_!$C:$K)</f>
        <v>Upper_middle</v>
      </c>
      <c r="H95" t="str">
        <f>_xlfn.XLOOKUP($A:$A,Instagram_Usage_Lifestyle_Mini_!$A:$A,Instagram_Usage_Lifestyle_Mini_!$C:$K)</f>
        <v>Full_time_employed</v>
      </c>
      <c r="I95" t="str">
        <f>_xlfn.XLOOKUP($A:$A,Instagram_Usage_Lifestyle_Mini_!$A:$A,Instagram_Usage_Lifestyle_Mini_!$C:$K)</f>
        <v>High_school</v>
      </c>
      <c r="J95" t="str">
        <f>_xlfn.XLOOKUP($A:$A,Instagram_Usage_Lifestyle_Mini_!$A:$A,Instagram_Usage_Lifestyle_Mini_!$C:$K)</f>
        <v>Married</v>
      </c>
      <c r="K95" t="str">
        <f>_xlfn.XLOOKUP($A:$A,Instagram_Usage_Lifestyle_Mini_!$A:$A,Instagram_Usage_Lifestyle_Mini_!$C:$K)</f>
        <v>Yes</v>
      </c>
      <c r="L95" t="str" cm="1">
        <f t="array" ref="L95">_xlfn.IFS(C95&lt;18,"Under_18",C95&lt;=25,"Youth",C95&lt;=35,"Young_Adults",C95&lt;=45,"Mid_Adults",TRUE,"Seniors")</f>
        <v>Seniors</v>
      </c>
    </row>
    <row r="96" spans="1:12" x14ac:dyDescent="0.2">
      <c r="A96">
        <v>95</v>
      </c>
      <c r="B96" t="str">
        <f>_xlfn.XLOOKUP(A96,Instagram_Usage_Lifestyle_Mini_!A96,Instagram_Usage_Lifestyle_Mini_!B96,1)</f>
        <v>Instagram</v>
      </c>
      <c r="C96">
        <f>_xlfn.XLOOKUP($A:$A,Instagram_Usage_Lifestyle_Mini_!$A:$A,Instagram_Usage_Lifestyle_Mini_!$C:$K)</f>
        <v>30</v>
      </c>
      <c r="D96" t="str">
        <f>_xlfn.XLOOKUP($A:$A,Instagram_Usage_Lifestyle_Mini_!$A:$A,Instagram_Usage_Lifestyle_Mini_!$C:$K)</f>
        <v>Male</v>
      </c>
      <c r="E96" t="str">
        <f>_xlfn.XLOOKUP($A:$A,Instagram_Usage_Lifestyle_Mini_!$A:$A,Instagram_Usage_Lifestyle_Mini_!$C:$K)</f>
        <v>Brazil</v>
      </c>
      <c r="F96" t="str">
        <f>_xlfn.XLOOKUP($A:$A,Instagram_Usage_Lifestyle_Mini_!$A:$A,Instagram_Usage_Lifestyle_Mini_!$C:$K)</f>
        <v>Suburban</v>
      </c>
      <c r="G96" t="str">
        <f>_xlfn.XLOOKUP($A:$A,Instagram_Usage_Lifestyle_Mini_!$A:$A,Instagram_Usage_Lifestyle_Mini_!$C:$K)</f>
        <v>Middle</v>
      </c>
      <c r="H96" t="str">
        <f>_xlfn.XLOOKUP($A:$A,Instagram_Usage_Lifestyle_Mini_!$A:$A,Instagram_Usage_Lifestyle_Mini_!$C:$K)</f>
        <v>Freelancer</v>
      </c>
      <c r="I96" t="str">
        <f>_xlfn.XLOOKUP($A:$A,Instagram_Usage_Lifestyle_Mini_!$A:$A,Instagram_Usage_Lifestyle_Mini_!$C:$K)</f>
        <v>Bachelors_degree</v>
      </c>
      <c r="J96" t="str">
        <f>_xlfn.XLOOKUP($A:$A,Instagram_Usage_Lifestyle_Mini_!$A:$A,Instagram_Usage_Lifestyle_Mini_!$C:$K)</f>
        <v>Single</v>
      </c>
      <c r="K96" t="str">
        <f>_xlfn.XLOOKUP($A:$A,Instagram_Usage_Lifestyle_Mini_!$A:$A,Instagram_Usage_Lifestyle_Mini_!$C:$K)</f>
        <v>No</v>
      </c>
      <c r="L96" t="str" cm="1">
        <f t="array" ref="L96">_xlfn.IFS(C96&lt;18,"Under_18",C96&lt;=25,"Youth",C96&lt;=35,"Young_Adults",C96&lt;=45,"Mid_Adults",TRUE,"Seniors")</f>
        <v>Young_Adults</v>
      </c>
    </row>
    <row r="97" spans="1:12" x14ac:dyDescent="0.2">
      <c r="A97">
        <v>96</v>
      </c>
      <c r="B97" t="str">
        <f>_xlfn.XLOOKUP(A97,Instagram_Usage_Lifestyle_Mini_!A97,Instagram_Usage_Lifestyle_Mini_!B97,1)</f>
        <v>Instagram</v>
      </c>
      <c r="C97">
        <f>_xlfn.XLOOKUP($A:$A,Instagram_Usage_Lifestyle_Mini_!$A:$A,Instagram_Usage_Lifestyle_Mini_!$C:$K)</f>
        <v>59</v>
      </c>
      <c r="D97" t="str">
        <f>_xlfn.XLOOKUP($A:$A,Instagram_Usage_Lifestyle_Mini_!$A:$A,Instagram_Usage_Lifestyle_Mini_!$C:$K)</f>
        <v>Male</v>
      </c>
      <c r="E97" t="str">
        <f>_xlfn.XLOOKUP($A:$A,Instagram_Usage_Lifestyle_Mini_!$A:$A,Instagram_Usage_Lifestyle_Mini_!$C:$K)</f>
        <v>Brazil</v>
      </c>
      <c r="F97" t="str">
        <f>_xlfn.XLOOKUP($A:$A,Instagram_Usage_Lifestyle_Mini_!$A:$A,Instagram_Usage_Lifestyle_Mini_!$C:$K)</f>
        <v>Urban</v>
      </c>
      <c r="G97" t="str">
        <f>_xlfn.XLOOKUP($A:$A,Instagram_Usage_Lifestyle_Mini_!$A:$A,Instagram_Usage_Lifestyle_Mini_!$C:$K)</f>
        <v>Middle</v>
      </c>
      <c r="H97" t="str">
        <f>_xlfn.XLOOKUP($A:$A,Instagram_Usage_Lifestyle_Mini_!$A:$A,Instagram_Usage_Lifestyle_Mini_!$C:$K)</f>
        <v>Freelancer</v>
      </c>
      <c r="I97" t="str">
        <f>_xlfn.XLOOKUP($A:$A,Instagram_Usage_Lifestyle_Mini_!$A:$A,Instagram_Usage_Lifestyle_Mini_!$C:$K)</f>
        <v>High_school</v>
      </c>
      <c r="J97" t="str">
        <f>_xlfn.XLOOKUP($A:$A,Instagram_Usage_Lifestyle_Mini_!$A:$A,Instagram_Usage_Lifestyle_Mini_!$C:$K)</f>
        <v>Married</v>
      </c>
      <c r="K97" t="str">
        <f>_xlfn.XLOOKUP($A:$A,Instagram_Usage_Lifestyle_Mini_!$A:$A,Instagram_Usage_Lifestyle_Mini_!$C:$K)</f>
        <v>No</v>
      </c>
      <c r="L97" t="str" cm="1">
        <f t="array" ref="L97">_xlfn.IFS(C97&lt;18,"Under_18",C97&lt;=25,"Youth",C97&lt;=35,"Young_Adults",C97&lt;=45,"Mid_Adults",TRUE,"Seniors")</f>
        <v>Seniors</v>
      </c>
    </row>
    <row r="98" spans="1:12" x14ac:dyDescent="0.2">
      <c r="A98">
        <v>97</v>
      </c>
      <c r="B98" t="str">
        <f>_xlfn.XLOOKUP(A98,Instagram_Usage_Lifestyle_Mini_!A98,Instagram_Usage_Lifestyle_Mini_!B98,1)</f>
        <v>Instagram</v>
      </c>
      <c r="C98">
        <f>_xlfn.XLOOKUP($A:$A,Instagram_Usage_Lifestyle_Mini_!$A:$A,Instagram_Usage_Lifestyle_Mini_!$C:$K)</f>
        <v>65</v>
      </c>
      <c r="D98" t="str">
        <f>_xlfn.XLOOKUP($A:$A,Instagram_Usage_Lifestyle_Mini_!$A:$A,Instagram_Usage_Lifestyle_Mini_!$C:$K)</f>
        <v>Male</v>
      </c>
      <c r="E98" t="str">
        <f>_xlfn.XLOOKUP($A:$A,Instagram_Usage_Lifestyle_Mini_!$A:$A,Instagram_Usage_Lifestyle_Mini_!$C:$K)</f>
        <v>United_States</v>
      </c>
      <c r="F98" t="str">
        <f>_xlfn.XLOOKUP($A:$A,Instagram_Usage_Lifestyle_Mini_!$A:$A,Instagram_Usage_Lifestyle_Mini_!$C:$K)</f>
        <v>Urban</v>
      </c>
      <c r="G98" t="str">
        <f>_xlfn.XLOOKUP($A:$A,Instagram_Usage_Lifestyle_Mini_!$A:$A,Instagram_Usage_Lifestyle_Mini_!$C:$K)</f>
        <v>Middle</v>
      </c>
      <c r="H98" t="str">
        <f>_xlfn.XLOOKUP($A:$A,Instagram_Usage_Lifestyle_Mini_!$A:$A,Instagram_Usage_Lifestyle_Mini_!$C:$K)</f>
        <v>Retired</v>
      </c>
      <c r="I98" t="str">
        <f>_xlfn.XLOOKUP($A:$A,Instagram_Usage_Lifestyle_Mini_!$A:$A,Instagram_Usage_Lifestyle_Mini_!$C:$K)</f>
        <v>Some_college</v>
      </c>
      <c r="J98" t="str">
        <f>_xlfn.XLOOKUP($A:$A,Instagram_Usage_Lifestyle_Mini_!$A:$A,Instagram_Usage_Lifestyle_Mini_!$C:$K)</f>
        <v>Single</v>
      </c>
      <c r="K98" t="str">
        <f>_xlfn.XLOOKUP($A:$A,Instagram_Usage_Lifestyle_Mini_!$A:$A,Instagram_Usage_Lifestyle_Mini_!$C:$K)</f>
        <v>No</v>
      </c>
      <c r="L98" t="str" cm="1">
        <f t="array" ref="L98">_xlfn.IFS(C98&lt;18,"Under_18",C98&lt;=25,"Youth",C98&lt;=35,"Young_Adults",C98&lt;=45,"Mid_Adults",TRUE,"Seniors")</f>
        <v>Seniors</v>
      </c>
    </row>
    <row r="99" spans="1:12" x14ac:dyDescent="0.2">
      <c r="A99">
        <v>98</v>
      </c>
      <c r="B99" t="str">
        <f>_xlfn.XLOOKUP(A99,Instagram_Usage_Lifestyle_Mini_!A99,Instagram_Usage_Lifestyle_Mini_!B99,1)</f>
        <v>Instagram</v>
      </c>
      <c r="C99">
        <f>_xlfn.XLOOKUP($A:$A,Instagram_Usage_Lifestyle_Mini_!$A:$A,Instagram_Usage_Lifestyle_Mini_!$C:$K)</f>
        <v>36</v>
      </c>
      <c r="D99" t="str">
        <f>_xlfn.XLOOKUP($A:$A,Instagram_Usage_Lifestyle_Mini_!$A:$A,Instagram_Usage_Lifestyle_Mini_!$C:$K)</f>
        <v>Male</v>
      </c>
      <c r="E99" t="str">
        <f>_xlfn.XLOOKUP($A:$A,Instagram_Usage_Lifestyle_Mini_!$A:$A,Instagram_Usage_Lifestyle_Mini_!$C:$K)</f>
        <v>United _Kingdom</v>
      </c>
      <c r="F99" t="str">
        <f>_xlfn.XLOOKUP($A:$A,Instagram_Usage_Lifestyle_Mini_!$A:$A,Instagram_Usage_Lifestyle_Mini_!$C:$K)</f>
        <v>Rural</v>
      </c>
      <c r="G99" t="str">
        <f>_xlfn.XLOOKUP($A:$A,Instagram_Usage_Lifestyle_Mini_!$A:$A,Instagram_Usage_Lifestyle_Mini_!$C:$K)</f>
        <v>Lower_middle</v>
      </c>
      <c r="H99" t="str">
        <f>_xlfn.XLOOKUP($A:$A,Instagram_Usage_Lifestyle_Mini_!$A:$A,Instagram_Usage_Lifestyle_Mini_!$C:$K)</f>
        <v>Full_time_employed</v>
      </c>
      <c r="I99" t="str">
        <f>_xlfn.XLOOKUP($A:$A,Instagram_Usage_Lifestyle_Mini_!$A:$A,Instagram_Usage_Lifestyle_Mini_!$C:$K)</f>
        <v>High_school</v>
      </c>
      <c r="J99" t="str">
        <f>_xlfn.XLOOKUP($A:$A,Instagram_Usage_Lifestyle_Mini_!$A:$A,Instagram_Usage_Lifestyle_Mini_!$C:$K)</f>
        <v>Single</v>
      </c>
      <c r="K99" t="str">
        <f>_xlfn.XLOOKUP($A:$A,Instagram_Usage_Lifestyle_Mini_!$A:$A,Instagram_Usage_Lifestyle_Mini_!$C:$K)</f>
        <v>No</v>
      </c>
      <c r="L99" t="str" cm="1">
        <f t="array" ref="L99">_xlfn.IFS(C99&lt;18,"Under_18",C99&lt;=25,"Youth",C99&lt;=35,"Young_Adults",C99&lt;=45,"Mid_Adults",TRUE,"Seniors")</f>
        <v>Mid_Adults</v>
      </c>
    </row>
    <row r="100" spans="1:12" x14ac:dyDescent="0.2">
      <c r="A100">
        <v>99</v>
      </c>
      <c r="B100" t="str">
        <f>_xlfn.XLOOKUP(A100,Instagram_Usage_Lifestyle_Mini_!A100,Instagram_Usage_Lifestyle_Mini_!B100,1)</f>
        <v>Instagram</v>
      </c>
      <c r="C100">
        <f>_xlfn.XLOOKUP($A:$A,Instagram_Usage_Lifestyle_Mini_!$A:$A,Instagram_Usage_Lifestyle_Mini_!$C:$K)</f>
        <v>38</v>
      </c>
      <c r="D100" t="str">
        <f>_xlfn.XLOOKUP($A:$A,Instagram_Usage_Lifestyle_Mini_!$A:$A,Instagram_Usage_Lifestyle_Mini_!$C:$K)</f>
        <v>Female</v>
      </c>
      <c r="E100" t="str">
        <f>_xlfn.XLOOKUP($A:$A,Instagram_Usage_Lifestyle_Mini_!$A:$A,Instagram_Usage_Lifestyle_Mini_!$C:$K)</f>
        <v>United_States</v>
      </c>
      <c r="F100" t="str">
        <f>_xlfn.XLOOKUP($A:$A,Instagram_Usage_Lifestyle_Mini_!$A:$A,Instagram_Usage_Lifestyle_Mini_!$C:$K)</f>
        <v>Urban</v>
      </c>
      <c r="G100" t="str">
        <f>_xlfn.XLOOKUP($A:$A,Instagram_Usage_Lifestyle_Mini_!$A:$A,Instagram_Usage_Lifestyle_Mini_!$C:$K)</f>
        <v>Middle</v>
      </c>
      <c r="H100" t="str">
        <f>_xlfn.XLOOKUP($A:$A,Instagram_Usage_Lifestyle_Mini_!$A:$A,Instagram_Usage_Lifestyle_Mini_!$C:$K)</f>
        <v>Freelancer</v>
      </c>
      <c r="I100" t="str">
        <f>_xlfn.XLOOKUP($A:$A,Instagram_Usage_Lifestyle_Mini_!$A:$A,Instagram_Usage_Lifestyle_Mini_!$C:$K)</f>
        <v>Some_college</v>
      </c>
      <c r="J100" t="str">
        <f>_xlfn.XLOOKUP($A:$A,Instagram_Usage_Lifestyle_Mini_!$A:$A,Instagram_Usage_Lifestyle_Mini_!$C:$K)</f>
        <v>In_a_relationship</v>
      </c>
      <c r="K100" t="str">
        <f>_xlfn.XLOOKUP($A:$A,Instagram_Usage_Lifestyle_Mini_!$A:$A,Instagram_Usage_Lifestyle_Mini_!$C:$K)</f>
        <v>No</v>
      </c>
      <c r="L100" t="str" cm="1">
        <f t="array" ref="L100">_xlfn.IFS(C100&lt;18,"Under_18",C100&lt;=25,"Youth",C100&lt;=35,"Young_Adults",C100&lt;=45,"Mid_Adults",TRUE,"Seniors")</f>
        <v>Mid_Adults</v>
      </c>
    </row>
    <row r="101" spans="1:12" x14ac:dyDescent="0.2">
      <c r="A101">
        <v>100</v>
      </c>
      <c r="B101" t="str">
        <f>_xlfn.XLOOKUP(A101,Instagram_Usage_Lifestyle_Mini_!A101,Instagram_Usage_Lifestyle_Mini_!B101,1)</f>
        <v>Instagram</v>
      </c>
      <c r="C101">
        <f>_xlfn.XLOOKUP($A:$A,Instagram_Usage_Lifestyle_Mini_!$A:$A,Instagram_Usage_Lifestyle_Mini_!$C:$K)</f>
        <v>37</v>
      </c>
      <c r="D101" t="str">
        <f>_xlfn.XLOOKUP($A:$A,Instagram_Usage_Lifestyle_Mini_!$A:$A,Instagram_Usage_Lifestyle_Mini_!$C:$K)</f>
        <v>Prefer_not _to _say</v>
      </c>
      <c r="E101" t="str">
        <f>_xlfn.XLOOKUP($A:$A,Instagram_Usage_Lifestyle_Mini_!$A:$A,Instagram_Usage_Lifestyle_Mini_!$C:$K)</f>
        <v>Japan</v>
      </c>
      <c r="F101" t="str">
        <f>_xlfn.XLOOKUP($A:$A,Instagram_Usage_Lifestyle_Mini_!$A:$A,Instagram_Usage_Lifestyle_Mini_!$C:$K)</f>
        <v>Rural</v>
      </c>
      <c r="G101" t="str">
        <f>_xlfn.XLOOKUP($A:$A,Instagram_Usage_Lifestyle_Mini_!$A:$A,Instagram_Usage_Lifestyle_Mini_!$C:$K)</f>
        <v>Middle</v>
      </c>
      <c r="H101" t="str">
        <f>_xlfn.XLOOKUP($A:$A,Instagram_Usage_Lifestyle_Mini_!$A:$A,Instagram_Usage_Lifestyle_Mini_!$C:$K)</f>
        <v>Full_time_employed</v>
      </c>
      <c r="I101" t="str">
        <f>_xlfn.XLOOKUP($A:$A,Instagram_Usage_Lifestyle_Mini_!$A:$A,Instagram_Usage_Lifestyle_Mini_!$C:$K)</f>
        <v>High_school</v>
      </c>
      <c r="J101" t="str">
        <f>_xlfn.XLOOKUP($A:$A,Instagram_Usage_Lifestyle_Mini_!$A:$A,Instagram_Usage_Lifestyle_Mini_!$C:$K)</f>
        <v>Married</v>
      </c>
      <c r="K101" t="str">
        <f>_xlfn.XLOOKUP($A:$A,Instagram_Usage_Lifestyle_Mini_!$A:$A,Instagram_Usage_Lifestyle_Mini_!$C:$K)</f>
        <v>No</v>
      </c>
      <c r="L101" t="str" cm="1">
        <f t="array" ref="L101">_xlfn.IFS(C101&lt;18,"Under_18",C101&lt;=25,"Youth",C101&lt;=35,"Young_Adults",C101&lt;=45,"Mid_Adults",TRUE,"Seniors")</f>
        <v>Mid_Adults</v>
      </c>
    </row>
    <row r="102" spans="1:12" x14ac:dyDescent="0.2">
      <c r="A102">
        <v>101</v>
      </c>
      <c r="B102" t="str">
        <f>_xlfn.XLOOKUP(A102,Instagram_Usage_Lifestyle_Mini_!A102,Instagram_Usage_Lifestyle_Mini_!B102,1)</f>
        <v>Instagram</v>
      </c>
      <c r="C102">
        <f>_xlfn.XLOOKUP($A:$A,Instagram_Usage_Lifestyle_Mini_!$A:$A,Instagram_Usage_Lifestyle_Mini_!$C:$K)</f>
        <v>57</v>
      </c>
      <c r="D102" t="str">
        <f>_xlfn.XLOOKUP($A:$A,Instagram_Usage_Lifestyle_Mini_!$A:$A,Instagram_Usage_Lifestyle_Mini_!$C:$K)</f>
        <v>Male</v>
      </c>
      <c r="E102" t="str">
        <f>_xlfn.XLOOKUP($A:$A,Instagram_Usage_Lifestyle_Mini_!$A:$A,Instagram_Usage_Lifestyle_Mini_!$C:$K)</f>
        <v>United_States</v>
      </c>
      <c r="F102" t="str">
        <f>_xlfn.XLOOKUP($A:$A,Instagram_Usage_Lifestyle_Mini_!$A:$A,Instagram_Usage_Lifestyle_Mini_!$C:$K)</f>
        <v>Urban</v>
      </c>
      <c r="G102" t="str">
        <f>_xlfn.XLOOKUP($A:$A,Instagram_Usage_Lifestyle_Mini_!$A:$A,Instagram_Usage_Lifestyle_Mini_!$C:$K)</f>
        <v>Low</v>
      </c>
      <c r="H102" t="str">
        <f>_xlfn.XLOOKUP($A:$A,Instagram_Usage_Lifestyle_Mini_!$A:$A,Instagram_Usage_Lifestyle_Mini_!$C:$K)</f>
        <v>Freelancer</v>
      </c>
      <c r="I102" t="str">
        <f>_xlfn.XLOOKUP($A:$A,Instagram_Usage_Lifestyle_Mini_!$A:$A,Instagram_Usage_Lifestyle_Mini_!$C:$K)</f>
        <v>High_school</v>
      </c>
      <c r="J102" t="str">
        <f>_xlfn.XLOOKUP($A:$A,Instagram_Usage_Lifestyle_Mini_!$A:$A,Instagram_Usage_Lifestyle_Mini_!$C:$K)</f>
        <v>In_a_relationship</v>
      </c>
      <c r="K102" t="str">
        <f>_xlfn.XLOOKUP($A:$A,Instagram_Usage_Lifestyle_Mini_!$A:$A,Instagram_Usage_Lifestyle_Mini_!$C:$K)</f>
        <v>No</v>
      </c>
      <c r="L102" t="str" cm="1">
        <f t="array" ref="L102">_xlfn.IFS(C102&lt;18,"Under_18",C102&lt;=25,"Youth",C102&lt;=35,"Young_Adults",C102&lt;=45,"Mid_Adults",TRUE,"Seniors")</f>
        <v>Seniors</v>
      </c>
    </row>
    <row r="103" spans="1:12" x14ac:dyDescent="0.2">
      <c r="A103">
        <v>102</v>
      </c>
      <c r="B103" t="str">
        <f>_xlfn.XLOOKUP(A103,Instagram_Usage_Lifestyle_Mini_!A103,Instagram_Usage_Lifestyle_Mini_!B103,1)</f>
        <v>Instagram</v>
      </c>
      <c r="C103">
        <f>_xlfn.XLOOKUP($A:$A,Instagram_Usage_Lifestyle_Mini_!$A:$A,Instagram_Usage_Lifestyle_Mini_!$C:$K)</f>
        <v>53</v>
      </c>
      <c r="D103" t="str">
        <f>_xlfn.XLOOKUP($A:$A,Instagram_Usage_Lifestyle_Mini_!$A:$A,Instagram_Usage_Lifestyle_Mini_!$C:$K)</f>
        <v>Male</v>
      </c>
      <c r="E103" t="str">
        <f>_xlfn.XLOOKUP($A:$A,Instagram_Usage_Lifestyle_Mini_!$A:$A,Instagram_Usage_Lifestyle_Mini_!$C:$K)</f>
        <v>India</v>
      </c>
      <c r="F103" t="str">
        <f>_xlfn.XLOOKUP($A:$A,Instagram_Usage_Lifestyle_Mini_!$A:$A,Instagram_Usage_Lifestyle_Mini_!$C:$K)</f>
        <v>Rural</v>
      </c>
      <c r="G103" t="str">
        <f>_xlfn.XLOOKUP($A:$A,Instagram_Usage_Lifestyle_Mini_!$A:$A,Instagram_Usage_Lifestyle_Mini_!$C:$K)</f>
        <v>Low</v>
      </c>
      <c r="H103" t="str">
        <f>_xlfn.XLOOKUP($A:$A,Instagram_Usage_Lifestyle_Mini_!$A:$A,Instagram_Usage_Lifestyle_Mini_!$C:$K)</f>
        <v>Full_time_employed</v>
      </c>
      <c r="I103" t="str">
        <f>_xlfn.XLOOKUP($A:$A,Instagram_Usage_Lifestyle_Mini_!$A:$A,Instagram_Usage_Lifestyle_Mini_!$C:$K)</f>
        <v>Some_college</v>
      </c>
      <c r="J103" t="str">
        <f>_xlfn.XLOOKUP($A:$A,Instagram_Usage_Lifestyle_Mini_!$A:$A,Instagram_Usage_Lifestyle_Mini_!$C:$K)</f>
        <v>In_a_relationship</v>
      </c>
      <c r="K103" t="str">
        <f>_xlfn.XLOOKUP($A:$A,Instagram_Usage_Lifestyle_Mini_!$A:$A,Instagram_Usage_Lifestyle_Mini_!$C:$K)</f>
        <v>No</v>
      </c>
      <c r="L103" t="str" cm="1">
        <f t="array" ref="L103">_xlfn.IFS(C103&lt;18,"Under_18",C103&lt;=25,"Youth",C103&lt;=35,"Young_Adults",C103&lt;=45,"Mid_Adults",TRUE,"Seniors")</f>
        <v>Seniors</v>
      </c>
    </row>
    <row r="104" spans="1:12" x14ac:dyDescent="0.2">
      <c r="A104">
        <v>103</v>
      </c>
      <c r="B104" t="str">
        <f>_xlfn.XLOOKUP(A104,Instagram_Usage_Lifestyle_Mini_!A104,Instagram_Usage_Lifestyle_Mini_!B104,1)</f>
        <v>Instagram</v>
      </c>
      <c r="C104">
        <f>_xlfn.XLOOKUP($A:$A,Instagram_Usage_Lifestyle_Mini_!$A:$A,Instagram_Usage_Lifestyle_Mini_!$C:$K)</f>
        <v>41</v>
      </c>
      <c r="D104" t="str">
        <f>_xlfn.XLOOKUP($A:$A,Instagram_Usage_Lifestyle_Mini_!$A:$A,Instagram_Usage_Lifestyle_Mini_!$C:$K)</f>
        <v>Male</v>
      </c>
      <c r="E104" t="str">
        <f>_xlfn.XLOOKUP($A:$A,Instagram_Usage_Lifestyle_Mini_!$A:$A,Instagram_Usage_Lifestyle_Mini_!$C:$K)</f>
        <v>United _Kingdom</v>
      </c>
      <c r="F104" t="str">
        <f>_xlfn.XLOOKUP($A:$A,Instagram_Usage_Lifestyle_Mini_!$A:$A,Instagram_Usage_Lifestyle_Mini_!$C:$K)</f>
        <v>Suburban</v>
      </c>
      <c r="G104" t="str">
        <f>_xlfn.XLOOKUP($A:$A,Instagram_Usage_Lifestyle_Mini_!$A:$A,Instagram_Usage_Lifestyle_Mini_!$C:$K)</f>
        <v>Middle</v>
      </c>
      <c r="H104" t="str">
        <f>_xlfn.XLOOKUP($A:$A,Instagram_Usage_Lifestyle_Mini_!$A:$A,Instagram_Usage_Lifestyle_Mini_!$C:$K)</f>
        <v>Retired</v>
      </c>
      <c r="I104" t="str">
        <f>_xlfn.XLOOKUP($A:$A,Instagram_Usage_Lifestyle_Mini_!$A:$A,Instagram_Usage_Lifestyle_Mini_!$C:$K)</f>
        <v>Some_college</v>
      </c>
      <c r="J104" t="str">
        <f>_xlfn.XLOOKUP($A:$A,Instagram_Usage_Lifestyle_Mini_!$A:$A,Instagram_Usage_Lifestyle_Mini_!$C:$K)</f>
        <v>Single</v>
      </c>
      <c r="K104" t="str">
        <f>_xlfn.XLOOKUP($A:$A,Instagram_Usage_Lifestyle_Mini_!$A:$A,Instagram_Usage_Lifestyle_Mini_!$C:$K)</f>
        <v>Yes</v>
      </c>
      <c r="L104" t="str" cm="1">
        <f t="array" ref="L104">_xlfn.IFS(C104&lt;18,"Under_18",C104&lt;=25,"Youth",C104&lt;=35,"Young_Adults",C104&lt;=45,"Mid_Adults",TRUE,"Seniors")</f>
        <v>Mid_Adults</v>
      </c>
    </row>
    <row r="105" spans="1:12" x14ac:dyDescent="0.2">
      <c r="A105">
        <v>104</v>
      </c>
      <c r="B105" t="str">
        <f>_xlfn.XLOOKUP(A105,Instagram_Usage_Lifestyle_Mini_!A105,Instagram_Usage_Lifestyle_Mini_!B105,1)</f>
        <v>Instagram</v>
      </c>
      <c r="C105">
        <f>_xlfn.XLOOKUP($A:$A,Instagram_Usage_Lifestyle_Mini_!$A:$A,Instagram_Usage_Lifestyle_Mini_!$C:$K)</f>
        <v>27</v>
      </c>
      <c r="D105" t="str">
        <f>_xlfn.XLOOKUP($A:$A,Instagram_Usage_Lifestyle_Mini_!$A:$A,Instagram_Usage_Lifestyle_Mini_!$C:$K)</f>
        <v>Female</v>
      </c>
      <c r="E105" t="str">
        <f>_xlfn.XLOOKUP($A:$A,Instagram_Usage_Lifestyle_Mini_!$A:$A,Instagram_Usage_Lifestyle_Mini_!$C:$K)</f>
        <v>India</v>
      </c>
      <c r="F105" t="str">
        <f>_xlfn.XLOOKUP($A:$A,Instagram_Usage_Lifestyle_Mini_!$A:$A,Instagram_Usage_Lifestyle_Mini_!$C:$K)</f>
        <v>Rural</v>
      </c>
      <c r="G105" t="str">
        <f>_xlfn.XLOOKUP($A:$A,Instagram_Usage_Lifestyle_Mini_!$A:$A,Instagram_Usage_Lifestyle_Mini_!$C:$K)</f>
        <v>Middle</v>
      </c>
      <c r="H105" t="str">
        <f>_xlfn.XLOOKUP($A:$A,Instagram_Usage_Lifestyle_Mini_!$A:$A,Instagram_Usage_Lifestyle_Mini_!$C:$K)</f>
        <v>Freelancer</v>
      </c>
      <c r="I105" t="str">
        <f>_xlfn.XLOOKUP($A:$A,Instagram_Usage_Lifestyle_Mini_!$A:$A,Instagram_Usage_Lifestyle_Mini_!$C:$K)</f>
        <v>Masters_degree</v>
      </c>
      <c r="J105" t="str">
        <f>_xlfn.XLOOKUP($A:$A,Instagram_Usage_Lifestyle_Mini_!$A:$A,Instagram_Usage_Lifestyle_Mini_!$C:$K)</f>
        <v>Married</v>
      </c>
      <c r="K105" t="str">
        <f>_xlfn.XLOOKUP($A:$A,Instagram_Usage_Lifestyle_Mini_!$A:$A,Instagram_Usage_Lifestyle_Mini_!$C:$K)</f>
        <v>No</v>
      </c>
      <c r="L105" t="str" cm="1">
        <f t="array" ref="L105">_xlfn.IFS(C105&lt;18,"Under_18",C105&lt;=25,"Youth",C105&lt;=35,"Young_Adults",C105&lt;=45,"Mid_Adults",TRUE,"Seniors")</f>
        <v>Young_Adults</v>
      </c>
    </row>
    <row r="106" spans="1:12" x14ac:dyDescent="0.2">
      <c r="A106">
        <v>105</v>
      </c>
      <c r="B106" t="str">
        <f>_xlfn.XLOOKUP(A106,Instagram_Usage_Lifestyle_Mini_!A106,Instagram_Usage_Lifestyle_Mini_!B106,1)</f>
        <v>Instagram</v>
      </c>
      <c r="C106">
        <f>_xlfn.XLOOKUP($A:$A,Instagram_Usage_Lifestyle_Mini_!$A:$A,Instagram_Usage_Lifestyle_Mini_!$C:$K)</f>
        <v>57</v>
      </c>
      <c r="D106" t="str">
        <f>_xlfn.XLOOKUP($A:$A,Instagram_Usage_Lifestyle_Mini_!$A:$A,Instagram_Usage_Lifestyle_Mini_!$C:$K)</f>
        <v>Male</v>
      </c>
      <c r="E106" t="str">
        <f>_xlfn.XLOOKUP($A:$A,Instagram_Usage_Lifestyle_Mini_!$A:$A,Instagram_Usage_Lifestyle_Mini_!$C:$K)</f>
        <v>Other</v>
      </c>
      <c r="F106" t="str">
        <f>_xlfn.XLOOKUP($A:$A,Instagram_Usage_Lifestyle_Mini_!$A:$A,Instagram_Usage_Lifestyle_Mini_!$C:$K)</f>
        <v>Suburban</v>
      </c>
      <c r="G106" t="str">
        <f>_xlfn.XLOOKUP($A:$A,Instagram_Usage_Lifestyle_Mini_!$A:$A,Instagram_Usage_Lifestyle_Mini_!$C:$K)</f>
        <v>Lower_middle</v>
      </c>
      <c r="H106" t="str">
        <f>_xlfn.XLOOKUP($A:$A,Instagram_Usage_Lifestyle_Mini_!$A:$A,Instagram_Usage_Lifestyle_Mini_!$C:$K)</f>
        <v>Student</v>
      </c>
      <c r="I106" t="str">
        <f>_xlfn.XLOOKUP($A:$A,Instagram_Usage_Lifestyle_Mini_!$A:$A,Instagram_Usage_Lifestyle_Mini_!$C:$K)</f>
        <v>Masters_degree</v>
      </c>
      <c r="J106" t="str">
        <f>_xlfn.XLOOKUP($A:$A,Instagram_Usage_Lifestyle_Mini_!$A:$A,Instagram_Usage_Lifestyle_Mini_!$C:$K)</f>
        <v>In_a_relationship</v>
      </c>
      <c r="K106" t="str">
        <f>_xlfn.XLOOKUP($A:$A,Instagram_Usage_Lifestyle_Mini_!$A:$A,Instagram_Usage_Lifestyle_Mini_!$C:$K)</f>
        <v>No</v>
      </c>
      <c r="L106" t="str" cm="1">
        <f t="array" ref="L106">_xlfn.IFS(C106&lt;18,"Under_18",C106&lt;=25,"Youth",C106&lt;=35,"Young_Adults",C106&lt;=45,"Mid_Adults",TRUE,"Seniors")</f>
        <v>Seniors</v>
      </c>
    </row>
    <row r="107" spans="1:12" x14ac:dyDescent="0.2">
      <c r="A107">
        <v>106</v>
      </c>
      <c r="B107" t="str">
        <f>_xlfn.XLOOKUP(A107,Instagram_Usage_Lifestyle_Mini_!A107,Instagram_Usage_Lifestyle_Mini_!B107,1)</f>
        <v>Instagram</v>
      </c>
      <c r="C107">
        <f>_xlfn.XLOOKUP($A:$A,Instagram_Usage_Lifestyle_Mini_!$A:$A,Instagram_Usage_Lifestyle_Mini_!$C:$K)</f>
        <v>13</v>
      </c>
      <c r="D107" t="str">
        <f>_xlfn.XLOOKUP($A:$A,Instagram_Usage_Lifestyle_Mini_!$A:$A,Instagram_Usage_Lifestyle_Mini_!$C:$K)</f>
        <v>Female</v>
      </c>
      <c r="E107" t="str">
        <f>_xlfn.XLOOKUP($A:$A,Instagram_Usage_Lifestyle_Mini_!$A:$A,Instagram_Usage_Lifestyle_Mini_!$C:$K)</f>
        <v>United_States</v>
      </c>
      <c r="F107" t="str">
        <f>_xlfn.XLOOKUP($A:$A,Instagram_Usage_Lifestyle_Mini_!$A:$A,Instagram_Usage_Lifestyle_Mini_!$C:$K)</f>
        <v>Rural</v>
      </c>
      <c r="G107" t="str">
        <f>_xlfn.XLOOKUP($A:$A,Instagram_Usage_Lifestyle_Mini_!$A:$A,Instagram_Usage_Lifestyle_Mini_!$C:$K)</f>
        <v>High</v>
      </c>
      <c r="H107" t="str">
        <f>_xlfn.XLOOKUP($A:$A,Instagram_Usage_Lifestyle_Mini_!$A:$A,Instagram_Usage_Lifestyle_Mini_!$C:$K)</f>
        <v>Student</v>
      </c>
      <c r="I107" t="str">
        <f>_xlfn.XLOOKUP($A:$A,Instagram_Usage_Lifestyle_Mini_!$A:$A,Instagram_Usage_Lifestyle_Mini_!$C:$K)</f>
        <v>Bachelors_degree</v>
      </c>
      <c r="J107" t="str">
        <f>_xlfn.XLOOKUP($A:$A,Instagram_Usage_Lifestyle_Mini_!$A:$A,Instagram_Usage_Lifestyle_Mini_!$C:$K)</f>
        <v>Single</v>
      </c>
      <c r="K107" t="str">
        <f>_xlfn.XLOOKUP($A:$A,Instagram_Usage_Lifestyle_Mini_!$A:$A,Instagram_Usage_Lifestyle_Mini_!$C:$K)</f>
        <v>No</v>
      </c>
      <c r="L107" t="str" cm="1">
        <f t="array" ref="L107">_xlfn.IFS(C107&lt;18,"Under_18",C107&lt;=25,"Youth",C107&lt;=35,"Young_Adults",C107&lt;=45,"Mid_Adults",TRUE,"Seniors")</f>
        <v>Under_18</v>
      </c>
    </row>
    <row r="108" spans="1:12" x14ac:dyDescent="0.2">
      <c r="A108">
        <v>107</v>
      </c>
      <c r="B108" t="str">
        <f>_xlfn.XLOOKUP(A108,Instagram_Usage_Lifestyle_Mini_!A108,Instagram_Usage_Lifestyle_Mini_!B108,1)</f>
        <v>Instagram</v>
      </c>
      <c r="C108">
        <f>_xlfn.XLOOKUP($A:$A,Instagram_Usage_Lifestyle_Mini_!$A:$A,Instagram_Usage_Lifestyle_Mini_!$C:$K)</f>
        <v>37</v>
      </c>
      <c r="D108" t="str">
        <f>_xlfn.XLOOKUP($A:$A,Instagram_Usage_Lifestyle_Mini_!$A:$A,Instagram_Usage_Lifestyle_Mini_!$C:$K)</f>
        <v>Male</v>
      </c>
      <c r="E108" t="str">
        <f>_xlfn.XLOOKUP($A:$A,Instagram_Usage_Lifestyle_Mini_!$A:$A,Instagram_Usage_Lifestyle_Mini_!$C:$K)</f>
        <v>Germany</v>
      </c>
      <c r="F108" t="str">
        <f>_xlfn.XLOOKUP($A:$A,Instagram_Usage_Lifestyle_Mini_!$A:$A,Instagram_Usage_Lifestyle_Mini_!$C:$K)</f>
        <v>Urban</v>
      </c>
      <c r="G108" t="str">
        <f>_xlfn.XLOOKUP($A:$A,Instagram_Usage_Lifestyle_Mini_!$A:$A,Instagram_Usage_Lifestyle_Mini_!$C:$K)</f>
        <v>Low</v>
      </c>
      <c r="H108" t="str">
        <f>_xlfn.XLOOKUP($A:$A,Instagram_Usage_Lifestyle_Mini_!$A:$A,Instagram_Usage_Lifestyle_Mini_!$C:$K)</f>
        <v>Unemployed</v>
      </c>
      <c r="I108" t="str">
        <f>_xlfn.XLOOKUP($A:$A,Instagram_Usage_Lifestyle_Mini_!$A:$A,Instagram_Usage_Lifestyle_Mini_!$C:$K)</f>
        <v>Bachelors_degree</v>
      </c>
      <c r="J108" t="str">
        <f>_xlfn.XLOOKUP($A:$A,Instagram_Usage_Lifestyle_Mini_!$A:$A,Instagram_Usage_Lifestyle_Mini_!$C:$K)</f>
        <v>In_a_relationship</v>
      </c>
      <c r="K108" t="str">
        <f>_xlfn.XLOOKUP($A:$A,Instagram_Usage_Lifestyle_Mini_!$A:$A,Instagram_Usage_Lifestyle_Mini_!$C:$K)</f>
        <v>Yes</v>
      </c>
      <c r="L108" t="str" cm="1">
        <f t="array" ref="L108">_xlfn.IFS(C108&lt;18,"Under_18",C108&lt;=25,"Youth",C108&lt;=35,"Young_Adults",C108&lt;=45,"Mid_Adults",TRUE,"Seniors")</f>
        <v>Mid_Adults</v>
      </c>
    </row>
    <row r="109" spans="1:12" x14ac:dyDescent="0.2">
      <c r="A109">
        <v>108</v>
      </c>
      <c r="B109" t="str">
        <f>_xlfn.XLOOKUP(A109,Instagram_Usage_Lifestyle_Mini_!A109,Instagram_Usage_Lifestyle_Mini_!B109,1)</f>
        <v>Instagram</v>
      </c>
      <c r="C109">
        <f>_xlfn.XLOOKUP($A:$A,Instagram_Usage_Lifestyle_Mini_!$A:$A,Instagram_Usage_Lifestyle_Mini_!$C:$K)</f>
        <v>19</v>
      </c>
      <c r="D109" t="str">
        <f>_xlfn.XLOOKUP($A:$A,Instagram_Usage_Lifestyle_Mini_!$A:$A,Instagram_Usage_Lifestyle_Mini_!$C:$K)</f>
        <v>Female</v>
      </c>
      <c r="E109" t="str">
        <f>_xlfn.XLOOKUP($A:$A,Instagram_Usage_Lifestyle_Mini_!$A:$A,Instagram_Usage_Lifestyle_Mini_!$C:$K)</f>
        <v>United _Kingdom</v>
      </c>
      <c r="F109" t="str">
        <f>_xlfn.XLOOKUP($A:$A,Instagram_Usage_Lifestyle_Mini_!$A:$A,Instagram_Usage_Lifestyle_Mini_!$C:$K)</f>
        <v>Urban</v>
      </c>
      <c r="G109" t="str">
        <f>_xlfn.XLOOKUP($A:$A,Instagram_Usage_Lifestyle_Mini_!$A:$A,Instagram_Usage_Lifestyle_Mini_!$C:$K)</f>
        <v>Middle</v>
      </c>
      <c r="H109" t="str">
        <f>_xlfn.XLOOKUP($A:$A,Instagram_Usage_Lifestyle_Mini_!$A:$A,Instagram_Usage_Lifestyle_Mini_!$C:$K)</f>
        <v>Freelancer</v>
      </c>
      <c r="I109" t="str">
        <f>_xlfn.XLOOKUP($A:$A,Instagram_Usage_Lifestyle_Mini_!$A:$A,Instagram_Usage_Lifestyle_Mini_!$C:$K)</f>
        <v>High_school</v>
      </c>
      <c r="J109" t="str">
        <f>_xlfn.XLOOKUP($A:$A,Instagram_Usage_Lifestyle_Mini_!$A:$A,Instagram_Usage_Lifestyle_Mini_!$C:$K)</f>
        <v>In_a_relationship</v>
      </c>
      <c r="K109" t="str">
        <f>_xlfn.XLOOKUP($A:$A,Instagram_Usage_Lifestyle_Mini_!$A:$A,Instagram_Usage_Lifestyle_Mini_!$C:$K)</f>
        <v>Yes</v>
      </c>
      <c r="L109" t="str" cm="1">
        <f t="array" ref="L109">_xlfn.IFS(C109&lt;18,"Under_18",C109&lt;=25,"Youth",C109&lt;=35,"Young_Adults",C109&lt;=45,"Mid_Adults",TRUE,"Seniors")</f>
        <v>Youth</v>
      </c>
    </row>
    <row r="110" spans="1:12" x14ac:dyDescent="0.2">
      <c r="A110">
        <v>109</v>
      </c>
      <c r="B110" t="str">
        <f>_xlfn.XLOOKUP(A110,Instagram_Usage_Lifestyle_Mini_!A110,Instagram_Usage_Lifestyle_Mini_!B110,1)</f>
        <v>Instagram</v>
      </c>
      <c r="C110">
        <f>_xlfn.XLOOKUP($A:$A,Instagram_Usage_Lifestyle_Mini_!$A:$A,Instagram_Usage_Lifestyle_Mini_!$C:$K)</f>
        <v>21</v>
      </c>
      <c r="D110" t="str">
        <f>_xlfn.XLOOKUP($A:$A,Instagram_Usage_Lifestyle_Mini_!$A:$A,Instagram_Usage_Lifestyle_Mini_!$C:$K)</f>
        <v>Male</v>
      </c>
      <c r="E110" t="str">
        <f>_xlfn.XLOOKUP($A:$A,Instagram_Usage_Lifestyle_Mini_!$A:$A,Instagram_Usage_Lifestyle_Mini_!$C:$K)</f>
        <v>Brazil</v>
      </c>
      <c r="F110" t="str">
        <f>_xlfn.XLOOKUP($A:$A,Instagram_Usage_Lifestyle_Mini_!$A:$A,Instagram_Usage_Lifestyle_Mini_!$C:$K)</f>
        <v>Urban</v>
      </c>
      <c r="G110" t="str">
        <f>_xlfn.XLOOKUP($A:$A,Instagram_Usage_Lifestyle_Mini_!$A:$A,Instagram_Usage_Lifestyle_Mini_!$C:$K)</f>
        <v>Low</v>
      </c>
      <c r="H110" t="str">
        <f>_xlfn.XLOOKUP($A:$A,Instagram_Usage_Lifestyle_Mini_!$A:$A,Instagram_Usage_Lifestyle_Mini_!$C:$K)</f>
        <v>Full_time_employed</v>
      </c>
      <c r="I110" t="str">
        <f>_xlfn.XLOOKUP($A:$A,Instagram_Usage_Lifestyle_Mini_!$A:$A,Instagram_Usage_Lifestyle_Mini_!$C:$K)</f>
        <v>Bachelors_degree</v>
      </c>
      <c r="J110" t="str">
        <f>_xlfn.XLOOKUP($A:$A,Instagram_Usage_Lifestyle_Mini_!$A:$A,Instagram_Usage_Lifestyle_Mini_!$C:$K)</f>
        <v>Single</v>
      </c>
      <c r="K110" t="str">
        <f>_xlfn.XLOOKUP($A:$A,Instagram_Usage_Lifestyle_Mini_!$A:$A,Instagram_Usage_Lifestyle_Mini_!$C:$K)</f>
        <v>No</v>
      </c>
      <c r="L110" t="str" cm="1">
        <f t="array" ref="L110">_xlfn.IFS(C110&lt;18,"Under_18",C110&lt;=25,"Youth",C110&lt;=35,"Young_Adults",C110&lt;=45,"Mid_Adults",TRUE,"Seniors")</f>
        <v>Youth</v>
      </c>
    </row>
    <row r="111" spans="1:12" x14ac:dyDescent="0.2">
      <c r="A111">
        <v>110</v>
      </c>
      <c r="B111" t="str">
        <f>_xlfn.XLOOKUP(A111,Instagram_Usage_Lifestyle_Mini_!A111,Instagram_Usage_Lifestyle_Mini_!B111,1)</f>
        <v>Instagram</v>
      </c>
      <c r="C111">
        <f>_xlfn.XLOOKUP($A:$A,Instagram_Usage_Lifestyle_Mini_!$A:$A,Instagram_Usage_Lifestyle_Mini_!$C:$K)</f>
        <v>36</v>
      </c>
      <c r="D111" t="str">
        <f>_xlfn.XLOOKUP($A:$A,Instagram_Usage_Lifestyle_Mini_!$A:$A,Instagram_Usage_Lifestyle_Mini_!$C:$K)</f>
        <v>Female</v>
      </c>
      <c r="E111" t="str">
        <f>_xlfn.XLOOKUP($A:$A,Instagram_Usage_Lifestyle_Mini_!$A:$A,Instagram_Usage_Lifestyle_Mini_!$C:$K)</f>
        <v>Japan</v>
      </c>
      <c r="F111" t="str">
        <f>_xlfn.XLOOKUP($A:$A,Instagram_Usage_Lifestyle_Mini_!$A:$A,Instagram_Usage_Lifestyle_Mini_!$C:$K)</f>
        <v>Suburban</v>
      </c>
      <c r="G111" t="str">
        <f>_xlfn.XLOOKUP($A:$A,Instagram_Usage_Lifestyle_Mini_!$A:$A,Instagram_Usage_Lifestyle_Mini_!$C:$K)</f>
        <v>Low</v>
      </c>
      <c r="H111" t="str">
        <f>_xlfn.XLOOKUP($A:$A,Instagram_Usage_Lifestyle_Mini_!$A:$A,Instagram_Usage_Lifestyle_Mini_!$C:$K)</f>
        <v>Full_time_employed</v>
      </c>
      <c r="I111" t="str">
        <f>_xlfn.XLOOKUP($A:$A,Instagram_Usage_Lifestyle_Mini_!$A:$A,Instagram_Usage_Lifestyle_Mini_!$C:$K)</f>
        <v>Bachelors_degree</v>
      </c>
      <c r="J111" t="str">
        <f>_xlfn.XLOOKUP($A:$A,Instagram_Usage_Lifestyle_Mini_!$A:$A,Instagram_Usage_Lifestyle_Mini_!$C:$K)</f>
        <v>Single</v>
      </c>
      <c r="K111" t="str">
        <f>_xlfn.XLOOKUP($A:$A,Instagram_Usage_Lifestyle_Mini_!$A:$A,Instagram_Usage_Lifestyle_Mini_!$C:$K)</f>
        <v>No</v>
      </c>
      <c r="L111" t="str" cm="1">
        <f t="array" ref="L111">_xlfn.IFS(C111&lt;18,"Under_18",C111&lt;=25,"Youth",C111&lt;=35,"Young_Adults",C111&lt;=45,"Mid_Adults",TRUE,"Seniors")</f>
        <v>Mid_Adults</v>
      </c>
    </row>
    <row r="112" spans="1:12" x14ac:dyDescent="0.2">
      <c r="A112">
        <v>111</v>
      </c>
      <c r="B112" t="str">
        <f>_xlfn.XLOOKUP(A112,Instagram_Usage_Lifestyle_Mini_!A112,Instagram_Usage_Lifestyle_Mini_!B112,1)</f>
        <v>Instagram</v>
      </c>
      <c r="C112">
        <f>_xlfn.XLOOKUP($A:$A,Instagram_Usage_Lifestyle_Mini_!$A:$A,Instagram_Usage_Lifestyle_Mini_!$C:$K)</f>
        <v>13</v>
      </c>
      <c r="D112" t="str">
        <f>_xlfn.XLOOKUP($A:$A,Instagram_Usage_Lifestyle_Mini_!$A:$A,Instagram_Usage_Lifestyle_Mini_!$C:$K)</f>
        <v>Female</v>
      </c>
      <c r="E112" t="str">
        <f>_xlfn.XLOOKUP($A:$A,Instagram_Usage_Lifestyle_Mini_!$A:$A,Instagram_Usage_Lifestyle_Mini_!$C:$K)</f>
        <v>Germany</v>
      </c>
      <c r="F112" t="str">
        <f>_xlfn.XLOOKUP($A:$A,Instagram_Usage_Lifestyle_Mini_!$A:$A,Instagram_Usage_Lifestyle_Mini_!$C:$K)</f>
        <v>Suburban</v>
      </c>
      <c r="G112" t="str">
        <f>_xlfn.XLOOKUP($A:$A,Instagram_Usage_Lifestyle_Mini_!$A:$A,Instagram_Usage_Lifestyle_Mini_!$C:$K)</f>
        <v>Middle</v>
      </c>
      <c r="H112" t="str">
        <f>_xlfn.XLOOKUP($A:$A,Instagram_Usage_Lifestyle_Mini_!$A:$A,Instagram_Usage_Lifestyle_Mini_!$C:$K)</f>
        <v>Full_time_employed</v>
      </c>
      <c r="I112" t="str">
        <f>_xlfn.XLOOKUP($A:$A,Instagram_Usage_Lifestyle_Mini_!$A:$A,Instagram_Usage_Lifestyle_Mini_!$C:$K)</f>
        <v>Bachelors_degree</v>
      </c>
      <c r="J112" t="str">
        <f>_xlfn.XLOOKUP($A:$A,Instagram_Usage_Lifestyle_Mini_!$A:$A,Instagram_Usage_Lifestyle_Mini_!$C:$K)</f>
        <v>Single</v>
      </c>
      <c r="K112" t="str">
        <f>_xlfn.XLOOKUP($A:$A,Instagram_Usage_Lifestyle_Mini_!$A:$A,Instagram_Usage_Lifestyle_Mini_!$C:$K)</f>
        <v>No</v>
      </c>
      <c r="L112" t="str" cm="1">
        <f t="array" ref="L112">_xlfn.IFS(C112&lt;18,"Under_18",C112&lt;=25,"Youth",C112&lt;=35,"Young_Adults",C112&lt;=45,"Mid_Adults",TRUE,"Seniors")</f>
        <v>Under_18</v>
      </c>
    </row>
    <row r="113" spans="1:12" x14ac:dyDescent="0.2">
      <c r="A113">
        <v>112</v>
      </c>
      <c r="B113" t="str">
        <f>_xlfn.XLOOKUP(A113,Instagram_Usage_Lifestyle_Mini_!A113,Instagram_Usage_Lifestyle_Mini_!B113,1)</f>
        <v>Instagram</v>
      </c>
      <c r="C113">
        <f>_xlfn.XLOOKUP($A:$A,Instagram_Usage_Lifestyle_Mini_!$A:$A,Instagram_Usage_Lifestyle_Mini_!$C:$K)</f>
        <v>56</v>
      </c>
      <c r="D113" t="str">
        <f>_xlfn.XLOOKUP($A:$A,Instagram_Usage_Lifestyle_Mini_!$A:$A,Instagram_Usage_Lifestyle_Mini_!$C:$K)</f>
        <v>Female</v>
      </c>
      <c r="E113" t="str">
        <f>_xlfn.XLOOKUP($A:$A,Instagram_Usage_Lifestyle_Mini_!$A:$A,Instagram_Usage_Lifestyle_Mini_!$C:$K)</f>
        <v>Australia</v>
      </c>
      <c r="F113" t="str">
        <f>_xlfn.XLOOKUP($A:$A,Instagram_Usage_Lifestyle_Mini_!$A:$A,Instagram_Usage_Lifestyle_Mini_!$C:$K)</f>
        <v>Suburban</v>
      </c>
      <c r="G113" t="str">
        <f>_xlfn.XLOOKUP($A:$A,Instagram_Usage_Lifestyle_Mini_!$A:$A,Instagram_Usage_Lifestyle_Mini_!$C:$K)</f>
        <v>Middle</v>
      </c>
      <c r="H113" t="str">
        <f>_xlfn.XLOOKUP($A:$A,Instagram_Usage_Lifestyle_Mini_!$A:$A,Instagram_Usage_Lifestyle_Mini_!$C:$K)</f>
        <v>Student</v>
      </c>
      <c r="I113" t="str">
        <f>_xlfn.XLOOKUP($A:$A,Instagram_Usage_Lifestyle_Mini_!$A:$A,Instagram_Usage_Lifestyle_Mini_!$C:$K)</f>
        <v>Some_college</v>
      </c>
      <c r="J113" t="str">
        <f>_xlfn.XLOOKUP($A:$A,Instagram_Usage_Lifestyle_Mini_!$A:$A,Instagram_Usage_Lifestyle_Mini_!$C:$K)</f>
        <v>Single</v>
      </c>
      <c r="K113" t="str">
        <f>_xlfn.XLOOKUP($A:$A,Instagram_Usage_Lifestyle_Mini_!$A:$A,Instagram_Usage_Lifestyle_Mini_!$C:$K)</f>
        <v>Yes</v>
      </c>
      <c r="L113" t="str" cm="1">
        <f t="array" ref="L113">_xlfn.IFS(C113&lt;18,"Under_18",C113&lt;=25,"Youth",C113&lt;=35,"Young_Adults",C113&lt;=45,"Mid_Adults",TRUE,"Seniors")</f>
        <v>Seniors</v>
      </c>
    </row>
    <row r="114" spans="1:12" x14ac:dyDescent="0.2">
      <c r="A114">
        <v>113</v>
      </c>
      <c r="B114" t="str">
        <f>_xlfn.XLOOKUP(A114,Instagram_Usage_Lifestyle_Mini_!A114,Instagram_Usage_Lifestyle_Mini_!B114,1)</f>
        <v>Instagram</v>
      </c>
      <c r="C114">
        <f>_xlfn.XLOOKUP($A:$A,Instagram_Usage_Lifestyle_Mini_!$A:$A,Instagram_Usage_Lifestyle_Mini_!$C:$K)</f>
        <v>20</v>
      </c>
      <c r="D114" t="str">
        <f>_xlfn.XLOOKUP($A:$A,Instagram_Usage_Lifestyle_Mini_!$A:$A,Instagram_Usage_Lifestyle_Mini_!$C:$K)</f>
        <v>Male</v>
      </c>
      <c r="E114" t="str">
        <f>_xlfn.XLOOKUP($A:$A,Instagram_Usage_Lifestyle_Mini_!$A:$A,Instagram_Usage_Lifestyle_Mini_!$C:$K)</f>
        <v>India</v>
      </c>
      <c r="F114" t="str">
        <f>_xlfn.XLOOKUP($A:$A,Instagram_Usage_Lifestyle_Mini_!$A:$A,Instagram_Usage_Lifestyle_Mini_!$C:$K)</f>
        <v>Rural</v>
      </c>
      <c r="G114" t="str">
        <f>_xlfn.XLOOKUP($A:$A,Instagram_Usage_Lifestyle_Mini_!$A:$A,Instagram_Usage_Lifestyle_Mini_!$C:$K)</f>
        <v>Low</v>
      </c>
      <c r="H114" t="str">
        <f>_xlfn.XLOOKUP($A:$A,Instagram_Usage_Lifestyle_Mini_!$A:$A,Instagram_Usage_Lifestyle_Mini_!$C:$K)</f>
        <v>Full_time_employed</v>
      </c>
      <c r="I114" t="str">
        <f>_xlfn.XLOOKUP($A:$A,Instagram_Usage_Lifestyle_Mini_!$A:$A,Instagram_Usage_Lifestyle_Mini_!$C:$K)</f>
        <v>Some_college</v>
      </c>
      <c r="J114" t="str">
        <f>_xlfn.XLOOKUP($A:$A,Instagram_Usage_Lifestyle_Mini_!$A:$A,Instagram_Usage_Lifestyle_Mini_!$C:$K)</f>
        <v>Single</v>
      </c>
      <c r="K114" t="str">
        <f>_xlfn.XLOOKUP($A:$A,Instagram_Usage_Lifestyle_Mini_!$A:$A,Instagram_Usage_Lifestyle_Mini_!$C:$K)</f>
        <v>No</v>
      </c>
      <c r="L114" t="str" cm="1">
        <f t="array" ref="L114">_xlfn.IFS(C114&lt;18,"Under_18",C114&lt;=25,"Youth",C114&lt;=35,"Young_Adults",C114&lt;=45,"Mid_Adults",TRUE,"Seniors")</f>
        <v>Youth</v>
      </c>
    </row>
    <row r="115" spans="1:12" x14ac:dyDescent="0.2">
      <c r="A115">
        <v>114</v>
      </c>
      <c r="B115" t="str">
        <f>_xlfn.XLOOKUP(A115,Instagram_Usage_Lifestyle_Mini_!A115,Instagram_Usage_Lifestyle_Mini_!B115,1)</f>
        <v>Instagram</v>
      </c>
      <c r="C115">
        <f>_xlfn.XLOOKUP($A:$A,Instagram_Usage_Lifestyle_Mini_!$A:$A,Instagram_Usage_Lifestyle_Mini_!$C:$K)</f>
        <v>36</v>
      </c>
      <c r="D115" t="str">
        <f>_xlfn.XLOOKUP($A:$A,Instagram_Usage_Lifestyle_Mini_!$A:$A,Instagram_Usage_Lifestyle_Mini_!$C:$K)</f>
        <v>Female</v>
      </c>
      <c r="E115" t="str">
        <f>_xlfn.XLOOKUP($A:$A,Instagram_Usage_Lifestyle_Mini_!$A:$A,Instagram_Usage_Lifestyle_Mini_!$C:$K)</f>
        <v>Australia</v>
      </c>
      <c r="F115" t="str">
        <f>_xlfn.XLOOKUP($A:$A,Instagram_Usage_Lifestyle_Mini_!$A:$A,Instagram_Usage_Lifestyle_Mini_!$C:$K)</f>
        <v>Rural</v>
      </c>
      <c r="G115" t="str">
        <f>_xlfn.XLOOKUP($A:$A,Instagram_Usage_Lifestyle_Mini_!$A:$A,Instagram_Usage_Lifestyle_Mini_!$C:$K)</f>
        <v>Low</v>
      </c>
      <c r="H115" t="str">
        <f>_xlfn.XLOOKUP($A:$A,Instagram_Usage_Lifestyle_Mini_!$A:$A,Instagram_Usage_Lifestyle_Mini_!$C:$K)</f>
        <v>Full_time_employed</v>
      </c>
      <c r="I115" t="str">
        <f>_xlfn.XLOOKUP($A:$A,Instagram_Usage_Lifestyle_Mini_!$A:$A,Instagram_Usage_Lifestyle_Mini_!$C:$K)</f>
        <v>PhD</v>
      </c>
      <c r="J115" t="str">
        <f>_xlfn.XLOOKUP($A:$A,Instagram_Usage_Lifestyle_Mini_!$A:$A,Instagram_Usage_Lifestyle_Mini_!$C:$K)</f>
        <v>In_a_relationship</v>
      </c>
      <c r="K115" t="str">
        <f>_xlfn.XLOOKUP($A:$A,Instagram_Usage_Lifestyle_Mini_!$A:$A,Instagram_Usage_Lifestyle_Mini_!$C:$K)</f>
        <v>No</v>
      </c>
      <c r="L115" t="str" cm="1">
        <f t="array" ref="L115">_xlfn.IFS(C115&lt;18,"Under_18",C115&lt;=25,"Youth",C115&lt;=35,"Young_Adults",C115&lt;=45,"Mid_Adults",TRUE,"Seniors")</f>
        <v>Mid_Adults</v>
      </c>
    </row>
    <row r="116" spans="1:12" x14ac:dyDescent="0.2">
      <c r="A116">
        <v>115</v>
      </c>
      <c r="B116" t="str">
        <f>_xlfn.XLOOKUP(A116,Instagram_Usage_Lifestyle_Mini_!A116,Instagram_Usage_Lifestyle_Mini_!B116,1)</f>
        <v>Instagram</v>
      </c>
      <c r="C116">
        <f>_xlfn.XLOOKUP($A:$A,Instagram_Usage_Lifestyle_Mini_!$A:$A,Instagram_Usage_Lifestyle_Mini_!$C:$K)</f>
        <v>23</v>
      </c>
      <c r="D116" t="str">
        <f>_xlfn.XLOOKUP($A:$A,Instagram_Usage_Lifestyle_Mini_!$A:$A,Instagram_Usage_Lifestyle_Mini_!$C:$K)</f>
        <v>Female</v>
      </c>
      <c r="E116" t="str">
        <f>_xlfn.XLOOKUP($A:$A,Instagram_Usage_Lifestyle_Mini_!$A:$A,Instagram_Usage_Lifestyle_Mini_!$C:$K)</f>
        <v>United _Kingdom</v>
      </c>
      <c r="F116" t="str">
        <f>_xlfn.XLOOKUP($A:$A,Instagram_Usage_Lifestyle_Mini_!$A:$A,Instagram_Usage_Lifestyle_Mini_!$C:$K)</f>
        <v>Suburban</v>
      </c>
      <c r="G116" t="str">
        <f>_xlfn.XLOOKUP($A:$A,Instagram_Usage_Lifestyle_Mini_!$A:$A,Instagram_Usage_Lifestyle_Mini_!$C:$K)</f>
        <v>Middle</v>
      </c>
      <c r="H116" t="str">
        <f>_xlfn.XLOOKUP($A:$A,Instagram_Usage_Lifestyle_Mini_!$A:$A,Instagram_Usage_Lifestyle_Mini_!$C:$K)</f>
        <v>Full_time_employed</v>
      </c>
      <c r="I116" t="str">
        <f>_xlfn.XLOOKUP($A:$A,Instagram_Usage_Lifestyle_Mini_!$A:$A,Instagram_Usage_Lifestyle_Mini_!$C:$K)</f>
        <v>Bachelors_degree</v>
      </c>
      <c r="J116" t="str">
        <f>_xlfn.XLOOKUP($A:$A,Instagram_Usage_Lifestyle_Mini_!$A:$A,Instagram_Usage_Lifestyle_Mini_!$C:$K)</f>
        <v>Single</v>
      </c>
      <c r="K116" t="str">
        <f>_xlfn.XLOOKUP($A:$A,Instagram_Usage_Lifestyle_Mini_!$A:$A,Instagram_Usage_Lifestyle_Mini_!$C:$K)</f>
        <v>No</v>
      </c>
      <c r="L116" t="str" cm="1">
        <f t="array" ref="L116">_xlfn.IFS(C116&lt;18,"Under_18",C116&lt;=25,"Youth",C116&lt;=35,"Young_Adults",C116&lt;=45,"Mid_Adults",TRUE,"Seniors")</f>
        <v>Youth</v>
      </c>
    </row>
    <row r="117" spans="1:12" x14ac:dyDescent="0.2">
      <c r="A117">
        <v>116</v>
      </c>
      <c r="B117" t="str">
        <f>_xlfn.XLOOKUP(A117,Instagram_Usage_Lifestyle_Mini_!A117,Instagram_Usage_Lifestyle_Mini_!B117,1)</f>
        <v>Instagram</v>
      </c>
      <c r="C117">
        <f>_xlfn.XLOOKUP($A:$A,Instagram_Usage_Lifestyle_Mini_!$A:$A,Instagram_Usage_Lifestyle_Mini_!$C:$K)</f>
        <v>63</v>
      </c>
      <c r="D117" t="str">
        <f>_xlfn.XLOOKUP($A:$A,Instagram_Usage_Lifestyle_Mini_!$A:$A,Instagram_Usage_Lifestyle_Mini_!$C:$K)</f>
        <v>Male</v>
      </c>
      <c r="E117" t="str">
        <f>_xlfn.XLOOKUP($A:$A,Instagram_Usage_Lifestyle_Mini_!$A:$A,Instagram_Usage_Lifestyle_Mini_!$C:$K)</f>
        <v>India</v>
      </c>
      <c r="F117" t="str">
        <f>_xlfn.XLOOKUP($A:$A,Instagram_Usage_Lifestyle_Mini_!$A:$A,Instagram_Usage_Lifestyle_Mini_!$C:$K)</f>
        <v>Urban</v>
      </c>
      <c r="G117" t="str">
        <f>_xlfn.XLOOKUP($A:$A,Instagram_Usage_Lifestyle_Mini_!$A:$A,Instagram_Usage_Lifestyle_Mini_!$C:$K)</f>
        <v>Middle</v>
      </c>
      <c r="H117" t="str">
        <f>_xlfn.XLOOKUP($A:$A,Instagram_Usage_Lifestyle_Mini_!$A:$A,Instagram_Usage_Lifestyle_Mini_!$C:$K)</f>
        <v>Student</v>
      </c>
      <c r="I117" t="str">
        <f>_xlfn.XLOOKUP($A:$A,Instagram_Usage_Lifestyle_Mini_!$A:$A,Instagram_Usage_Lifestyle_Mini_!$C:$K)</f>
        <v>High_school</v>
      </c>
      <c r="J117" t="str">
        <f>_xlfn.XLOOKUP($A:$A,Instagram_Usage_Lifestyle_Mini_!$A:$A,Instagram_Usage_Lifestyle_Mini_!$C:$K)</f>
        <v>Married</v>
      </c>
      <c r="K117" t="str">
        <f>_xlfn.XLOOKUP($A:$A,Instagram_Usage_Lifestyle_Mini_!$A:$A,Instagram_Usage_Lifestyle_Mini_!$C:$K)</f>
        <v>No</v>
      </c>
      <c r="L117" t="str" cm="1">
        <f t="array" ref="L117">_xlfn.IFS(C117&lt;18,"Under_18",C117&lt;=25,"Youth",C117&lt;=35,"Young_Adults",C117&lt;=45,"Mid_Adults",TRUE,"Seniors")</f>
        <v>Seniors</v>
      </c>
    </row>
    <row r="118" spans="1:12" x14ac:dyDescent="0.2">
      <c r="A118">
        <v>117</v>
      </c>
      <c r="B118" t="str">
        <f>_xlfn.XLOOKUP(A118,Instagram_Usage_Lifestyle_Mini_!A118,Instagram_Usage_Lifestyle_Mini_!B118,1)</f>
        <v>Instagram</v>
      </c>
      <c r="C118">
        <f>_xlfn.XLOOKUP($A:$A,Instagram_Usage_Lifestyle_Mini_!$A:$A,Instagram_Usage_Lifestyle_Mini_!$C:$K)</f>
        <v>29</v>
      </c>
      <c r="D118" t="str">
        <f>_xlfn.XLOOKUP($A:$A,Instagram_Usage_Lifestyle_Mini_!$A:$A,Instagram_Usage_Lifestyle_Mini_!$C:$K)</f>
        <v>Male</v>
      </c>
      <c r="E118" t="str">
        <f>_xlfn.XLOOKUP($A:$A,Instagram_Usage_Lifestyle_Mini_!$A:$A,Instagram_Usage_Lifestyle_Mini_!$C:$K)</f>
        <v>Other</v>
      </c>
      <c r="F118" t="str">
        <f>_xlfn.XLOOKUP($A:$A,Instagram_Usage_Lifestyle_Mini_!$A:$A,Instagram_Usage_Lifestyle_Mini_!$C:$K)</f>
        <v>Suburban</v>
      </c>
      <c r="G118" t="str">
        <f>_xlfn.XLOOKUP($A:$A,Instagram_Usage_Lifestyle_Mini_!$A:$A,Instagram_Usage_Lifestyle_Mini_!$C:$K)</f>
        <v>Low</v>
      </c>
      <c r="H118" t="str">
        <f>_xlfn.XLOOKUP($A:$A,Instagram_Usage_Lifestyle_Mini_!$A:$A,Instagram_Usage_Lifestyle_Mini_!$C:$K)</f>
        <v>Unemployed</v>
      </c>
      <c r="I118" t="str">
        <f>_xlfn.XLOOKUP($A:$A,Instagram_Usage_Lifestyle_Mini_!$A:$A,Instagram_Usage_Lifestyle_Mini_!$C:$K)</f>
        <v>Masters_degree</v>
      </c>
      <c r="J118" t="str">
        <f>_xlfn.XLOOKUP($A:$A,Instagram_Usage_Lifestyle_Mini_!$A:$A,Instagram_Usage_Lifestyle_Mini_!$C:$K)</f>
        <v>In_a_relationship</v>
      </c>
      <c r="K118" t="str">
        <f>_xlfn.XLOOKUP($A:$A,Instagram_Usage_Lifestyle_Mini_!$A:$A,Instagram_Usage_Lifestyle_Mini_!$C:$K)</f>
        <v>No</v>
      </c>
      <c r="L118" t="str" cm="1">
        <f t="array" ref="L118">_xlfn.IFS(C118&lt;18,"Under_18",C118&lt;=25,"Youth",C118&lt;=35,"Young_Adults",C118&lt;=45,"Mid_Adults",TRUE,"Seniors")</f>
        <v>Young_Adults</v>
      </c>
    </row>
    <row r="119" spans="1:12" x14ac:dyDescent="0.2">
      <c r="A119">
        <v>118</v>
      </c>
      <c r="B119" t="str">
        <f>_xlfn.XLOOKUP(A119,Instagram_Usage_Lifestyle_Mini_!A119,Instagram_Usage_Lifestyle_Mini_!B119,1)</f>
        <v>Instagram</v>
      </c>
      <c r="C119">
        <f>_xlfn.XLOOKUP($A:$A,Instagram_Usage_Lifestyle_Mini_!$A:$A,Instagram_Usage_Lifestyle_Mini_!$C:$K)</f>
        <v>20</v>
      </c>
      <c r="D119" t="str">
        <f>_xlfn.XLOOKUP($A:$A,Instagram_Usage_Lifestyle_Mini_!$A:$A,Instagram_Usage_Lifestyle_Mini_!$C:$K)</f>
        <v>Female</v>
      </c>
      <c r="E119" t="str">
        <f>_xlfn.XLOOKUP($A:$A,Instagram_Usage_Lifestyle_Mini_!$A:$A,Instagram_Usage_Lifestyle_Mini_!$C:$K)</f>
        <v>South_Korea</v>
      </c>
      <c r="F119" t="str">
        <f>_xlfn.XLOOKUP($A:$A,Instagram_Usage_Lifestyle_Mini_!$A:$A,Instagram_Usage_Lifestyle_Mini_!$C:$K)</f>
        <v>Urban</v>
      </c>
      <c r="G119" t="str">
        <f>_xlfn.XLOOKUP($A:$A,Instagram_Usage_Lifestyle_Mini_!$A:$A,Instagram_Usage_Lifestyle_Mini_!$C:$K)</f>
        <v>Low</v>
      </c>
      <c r="H119" t="str">
        <f>_xlfn.XLOOKUP($A:$A,Instagram_Usage_Lifestyle_Mini_!$A:$A,Instagram_Usage_Lifestyle_Mini_!$C:$K)</f>
        <v>Student</v>
      </c>
      <c r="I119" t="str">
        <f>_xlfn.XLOOKUP($A:$A,Instagram_Usage_Lifestyle_Mini_!$A:$A,Instagram_Usage_Lifestyle_Mini_!$C:$K)</f>
        <v>High_school</v>
      </c>
      <c r="J119" t="str">
        <f>_xlfn.XLOOKUP($A:$A,Instagram_Usage_Lifestyle_Mini_!$A:$A,Instagram_Usage_Lifestyle_Mini_!$C:$K)</f>
        <v>Single</v>
      </c>
      <c r="K119" t="str">
        <f>_xlfn.XLOOKUP($A:$A,Instagram_Usage_Lifestyle_Mini_!$A:$A,Instagram_Usage_Lifestyle_Mini_!$C:$K)</f>
        <v>No</v>
      </c>
      <c r="L119" t="str" cm="1">
        <f t="array" ref="L119">_xlfn.IFS(C119&lt;18,"Under_18",C119&lt;=25,"Youth",C119&lt;=35,"Young_Adults",C119&lt;=45,"Mid_Adults",TRUE,"Seniors")</f>
        <v>Youth</v>
      </c>
    </row>
    <row r="120" spans="1:12" x14ac:dyDescent="0.2">
      <c r="A120">
        <v>119</v>
      </c>
      <c r="B120" t="str">
        <f>_xlfn.XLOOKUP(A120,Instagram_Usage_Lifestyle_Mini_!A120,Instagram_Usage_Lifestyle_Mini_!B120,1)</f>
        <v>Instagram</v>
      </c>
      <c r="C120">
        <f>_xlfn.XLOOKUP($A:$A,Instagram_Usage_Lifestyle_Mini_!$A:$A,Instagram_Usage_Lifestyle_Mini_!$C:$K)</f>
        <v>47</v>
      </c>
      <c r="D120" t="str">
        <f>_xlfn.XLOOKUP($A:$A,Instagram_Usage_Lifestyle_Mini_!$A:$A,Instagram_Usage_Lifestyle_Mini_!$C:$K)</f>
        <v>Male</v>
      </c>
      <c r="E120" t="str">
        <f>_xlfn.XLOOKUP($A:$A,Instagram_Usage_Lifestyle_Mini_!$A:$A,Instagram_Usage_Lifestyle_Mini_!$C:$K)</f>
        <v>India</v>
      </c>
      <c r="F120" t="str">
        <f>_xlfn.XLOOKUP($A:$A,Instagram_Usage_Lifestyle_Mini_!$A:$A,Instagram_Usage_Lifestyle_Mini_!$C:$K)</f>
        <v>Suburban</v>
      </c>
      <c r="G120" t="str">
        <f>_xlfn.XLOOKUP($A:$A,Instagram_Usage_Lifestyle_Mini_!$A:$A,Instagram_Usage_Lifestyle_Mini_!$C:$K)</f>
        <v>Low</v>
      </c>
      <c r="H120" t="str">
        <f>_xlfn.XLOOKUP($A:$A,Instagram_Usage_Lifestyle_Mini_!$A:$A,Instagram_Usage_Lifestyle_Mini_!$C:$K)</f>
        <v>Freelancer</v>
      </c>
      <c r="I120" t="str">
        <f>_xlfn.XLOOKUP($A:$A,Instagram_Usage_Lifestyle_Mini_!$A:$A,Instagram_Usage_Lifestyle_Mini_!$C:$K)</f>
        <v>Some_college</v>
      </c>
      <c r="J120" t="str">
        <f>_xlfn.XLOOKUP($A:$A,Instagram_Usage_Lifestyle_Mini_!$A:$A,Instagram_Usage_Lifestyle_Mini_!$C:$K)</f>
        <v>In_a_relationship</v>
      </c>
      <c r="K120" t="str">
        <f>_xlfn.XLOOKUP($A:$A,Instagram_Usage_Lifestyle_Mini_!$A:$A,Instagram_Usage_Lifestyle_Mini_!$C:$K)</f>
        <v>No</v>
      </c>
      <c r="L120" t="str" cm="1">
        <f t="array" ref="L120">_xlfn.IFS(C120&lt;18,"Under_18",C120&lt;=25,"Youth",C120&lt;=35,"Young_Adults",C120&lt;=45,"Mid_Adults",TRUE,"Seniors")</f>
        <v>Seniors</v>
      </c>
    </row>
    <row r="121" spans="1:12" x14ac:dyDescent="0.2">
      <c r="A121">
        <v>120</v>
      </c>
      <c r="B121" t="str">
        <f>_xlfn.XLOOKUP(A121,Instagram_Usage_Lifestyle_Mini_!A121,Instagram_Usage_Lifestyle_Mini_!B121,1)</f>
        <v>Instagram</v>
      </c>
      <c r="C121">
        <f>_xlfn.XLOOKUP($A:$A,Instagram_Usage_Lifestyle_Mini_!$A:$A,Instagram_Usage_Lifestyle_Mini_!$C:$K)</f>
        <v>47</v>
      </c>
      <c r="D121" t="str">
        <f>_xlfn.XLOOKUP($A:$A,Instagram_Usage_Lifestyle_Mini_!$A:$A,Instagram_Usage_Lifestyle_Mini_!$C:$K)</f>
        <v>Male</v>
      </c>
      <c r="E121" t="str">
        <f>_xlfn.XLOOKUP($A:$A,Instagram_Usage_Lifestyle_Mini_!$A:$A,Instagram_Usage_Lifestyle_Mini_!$C:$K)</f>
        <v>South_Korea</v>
      </c>
      <c r="F121" t="str">
        <f>_xlfn.XLOOKUP($A:$A,Instagram_Usage_Lifestyle_Mini_!$A:$A,Instagram_Usage_Lifestyle_Mini_!$C:$K)</f>
        <v>Urban</v>
      </c>
      <c r="G121" t="str">
        <f>_xlfn.XLOOKUP($A:$A,Instagram_Usage_Lifestyle_Mini_!$A:$A,Instagram_Usage_Lifestyle_Mini_!$C:$K)</f>
        <v>Low</v>
      </c>
      <c r="H121" t="str">
        <f>_xlfn.XLOOKUP($A:$A,Instagram_Usage_Lifestyle_Mini_!$A:$A,Instagram_Usage_Lifestyle_Mini_!$C:$K)</f>
        <v>Full_time_employed</v>
      </c>
      <c r="I121" t="str">
        <f>_xlfn.XLOOKUP($A:$A,Instagram_Usage_Lifestyle_Mini_!$A:$A,Instagram_Usage_Lifestyle_Mini_!$C:$K)</f>
        <v>Bachelors_degree</v>
      </c>
      <c r="J121" t="str">
        <f>_xlfn.XLOOKUP($A:$A,Instagram_Usage_Lifestyle_Mini_!$A:$A,Instagram_Usage_Lifestyle_Mini_!$C:$K)</f>
        <v>Single</v>
      </c>
      <c r="K121" t="str">
        <f>_xlfn.XLOOKUP($A:$A,Instagram_Usage_Lifestyle_Mini_!$A:$A,Instagram_Usage_Lifestyle_Mini_!$C:$K)</f>
        <v>No</v>
      </c>
      <c r="L121" t="str" cm="1">
        <f t="array" ref="L121">_xlfn.IFS(C121&lt;18,"Under_18",C121&lt;=25,"Youth",C121&lt;=35,"Young_Adults",C121&lt;=45,"Mid_Adults",TRUE,"Seniors")</f>
        <v>Seniors</v>
      </c>
    </row>
    <row r="122" spans="1:12" x14ac:dyDescent="0.2">
      <c r="A122">
        <v>121</v>
      </c>
      <c r="B122" t="str">
        <f>_xlfn.XLOOKUP(A122,Instagram_Usage_Lifestyle_Mini_!A122,Instagram_Usage_Lifestyle_Mini_!B122,1)</f>
        <v>Instagram</v>
      </c>
      <c r="C122">
        <f>_xlfn.XLOOKUP($A:$A,Instagram_Usage_Lifestyle_Mini_!$A:$A,Instagram_Usage_Lifestyle_Mini_!$C:$K)</f>
        <v>45</v>
      </c>
      <c r="D122" t="str">
        <f>_xlfn.XLOOKUP($A:$A,Instagram_Usage_Lifestyle_Mini_!$A:$A,Instagram_Usage_Lifestyle_Mini_!$C:$K)</f>
        <v>Male</v>
      </c>
      <c r="E122" t="str">
        <f>_xlfn.XLOOKUP($A:$A,Instagram_Usage_Lifestyle_Mini_!$A:$A,Instagram_Usage_Lifestyle_Mini_!$C:$K)</f>
        <v>Canada</v>
      </c>
      <c r="F122" t="str">
        <f>_xlfn.XLOOKUP($A:$A,Instagram_Usage_Lifestyle_Mini_!$A:$A,Instagram_Usage_Lifestyle_Mini_!$C:$K)</f>
        <v>Urban</v>
      </c>
      <c r="G122" t="str">
        <f>_xlfn.XLOOKUP($A:$A,Instagram_Usage_Lifestyle_Mini_!$A:$A,Instagram_Usage_Lifestyle_Mini_!$C:$K)</f>
        <v>Lower_middle</v>
      </c>
      <c r="H122" t="str">
        <f>_xlfn.XLOOKUP($A:$A,Instagram_Usage_Lifestyle_Mini_!$A:$A,Instagram_Usage_Lifestyle_Mini_!$C:$K)</f>
        <v>Retired</v>
      </c>
      <c r="I122" t="str">
        <f>_xlfn.XLOOKUP($A:$A,Instagram_Usage_Lifestyle_Mini_!$A:$A,Instagram_Usage_Lifestyle_Mini_!$C:$K)</f>
        <v>Masters_degree</v>
      </c>
      <c r="J122" t="str">
        <f>_xlfn.XLOOKUP($A:$A,Instagram_Usage_Lifestyle_Mini_!$A:$A,Instagram_Usage_Lifestyle_Mini_!$C:$K)</f>
        <v>Divorced</v>
      </c>
      <c r="K122" t="str">
        <f>_xlfn.XLOOKUP($A:$A,Instagram_Usage_Lifestyle_Mini_!$A:$A,Instagram_Usage_Lifestyle_Mini_!$C:$K)</f>
        <v>Yes</v>
      </c>
      <c r="L122" t="str" cm="1">
        <f t="array" ref="L122">_xlfn.IFS(C122&lt;18,"Under_18",C122&lt;=25,"Youth",C122&lt;=35,"Young_Adults",C122&lt;=45,"Mid_Adults",TRUE,"Seniors")</f>
        <v>Mid_Adults</v>
      </c>
    </row>
    <row r="123" spans="1:12" x14ac:dyDescent="0.2">
      <c r="A123">
        <v>122</v>
      </c>
      <c r="B123" t="str">
        <f>_xlfn.XLOOKUP(A123,Instagram_Usage_Lifestyle_Mini_!A123,Instagram_Usage_Lifestyle_Mini_!B123,1)</f>
        <v>Instagram</v>
      </c>
      <c r="C123">
        <f>_xlfn.XLOOKUP($A:$A,Instagram_Usage_Lifestyle_Mini_!$A:$A,Instagram_Usage_Lifestyle_Mini_!$C:$K)</f>
        <v>17</v>
      </c>
      <c r="D123" t="str">
        <f>_xlfn.XLOOKUP($A:$A,Instagram_Usage_Lifestyle_Mini_!$A:$A,Instagram_Usage_Lifestyle_Mini_!$C:$K)</f>
        <v>Male</v>
      </c>
      <c r="E123" t="str">
        <f>_xlfn.XLOOKUP($A:$A,Instagram_Usage_Lifestyle_Mini_!$A:$A,Instagram_Usage_Lifestyle_Mini_!$C:$K)</f>
        <v>India</v>
      </c>
      <c r="F123" t="str">
        <f>_xlfn.XLOOKUP($A:$A,Instagram_Usage_Lifestyle_Mini_!$A:$A,Instagram_Usage_Lifestyle_Mini_!$C:$K)</f>
        <v>Urban</v>
      </c>
      <c r="G123" t="str">
        <f>_xlfn.XLOOKUP($A:$A,Instagram_Usage_Lifestyle_Mini_!$A:$A,Instagram_Usage_Lifestyle_Mini_!$C:$K)</f>
        <v>Middle</v>
      </c>
      <c r="H123" t="str">
        <f>_xlfn.XLOOKUP($A:$A,Instagram_Usage_Lifestyle_Mini_!$A:$A,Instagram_Usage_Lifestyle_Mini_!$C:$K)</f>
        <v>Full_time_employed</v>
      </c>
      <c r="I123" t="str">
        <f>_xlfn.XLOOKUP($A:$A,Instagram_Usage_Lifestyle_Mini_!$A:$A,Instagram_Usage_Lifestyle_Mini_!$C:$K)</f>
        <v>Some_college</v>
      </c>
      <c r="J123" t="str">
        <f>_xlfn.XLOOKUP($A:$A,Instagram_Usage_Lifestyle_Mini_!$A:$A,Instagram_Usage_Lifestyle_Mini_!$C:$K)</f>
        <v>Married</v>
      </c>
      <c r="K123" t="str">
        <f>_xlfn.XLOOKUP($A:$A,Instagram_Usage_Lifestyle_Mini_!$A:$A,Instagram_Usage_Lifestyle_Mini_!$C:$K)</f>
        <v>No</v>
      </c>
      <c r="L123" t="str" cm="1">
        <f t="array" ref="L123">_xlfn.IFS(C123&lt;18,"Under_18",C123&lt;=25,"Youth",C123&lt;=35,"Young_Adults",C123&lt;=45,"Mid_Adults",TRUE,"Seniors")</f>
        <v>Under_18</v>
      </c>
    </row>
    <row r="124" spans="1:12" x14ac:dyDescent="0.2">
      <c r="A124">
        <v>123</v>
      </c>
      <c r="B124" t="str">
        <f>_xlfn.XLOOKUP(A124,Instagram_Usage_Lifestyle_Mini_!A124,Instagram_Usage_Lifestyle_Mini_!B124,1)</f>
        <v>Instagram</v>
      </c>
      <c r="C124">
        <f>_xlfn.XLOOKUP($A:$A,Instagram_Usage_Lifestyle_Mini_!$A:$A,Instagram_Usage_Lifestyle_Mini_!$C:$K)</f>
        <v>54</v>
      </c>
      <c r="D124" t="str">
        <f>_xlfn.XLOOKUP($A:$A,Instagram_Usage_Lifestyle_Mini_!$A:$A,Instagram_Usage_Lifestyle_Mini_!$C:$K)</f>
        <v>Female</v>
      </c>
      <c r="E124" t="str">
        <f>_xlfn.XLOOKUP($A:$A,Instagram_Usage_Lifestyle_Mini_!$A:$A,Instagram_Usage_Lifestyle_Mini_!$C:$K)</f>
        <v>Canada</v>
      </c>
      <c r="F124" t="str">
        <f>_xlfn.XLOOKUP($A:$A,Instagram_Usage_Lifestyle_Mini_!$A:$A,Instagram_Usage_Lifestyle_Mini_!$C:$K)</f>
        <v>Suburban</v>
      </c>
      <c r="G124" t="str">
        <f>_xlfn.XLOOKUP($A:$A,Instagram_Usage_Lifestyle_Mini_!$A:$A,Instagram_Usage_Lifestyle_Mini_!$C:$K)</f>
        <v>Lower_middle</v>
      </c>
      <c r="H124" t="str">
        <f>_xlfn.XLOOKUP($A:$A,Instagram_Usage_Lifestyle_Mini_!$A:$A,Instagram_Usage_Lifestyle_Mini_!$C:$K)</f>
        <v>Student</v>
      </c>
      <c r="I124" t="str">
        <f>_xlfn.XLOOKUP($A:$A,Instagram_Usage_Lifestyle_Mini_!$A:$A,Instagram_Usage_Lifestyle_Mini_!$C:$K)</f>
        <v>Other</v>
      </c>
      <c r="J124" t="str">
        <f>_xlfn.XLOOKUP($A:$A,Instagram_Usage_Lifestyle_Mini_!$A:$A,Instagram_Usage_Lifestyle_Mini_!$C:$K)</f>
        <v>Single</v>
      </c>
      <c r="K124" t="str">
        <f>_xlfn.XLOOKUP($A:$A,Instagram_Usage_Lifestyle_Mini_!$A:$A,Instagram_Usage_Lifestyle_Mini_!$C:$K)</f>
        <v>No</v>
      </c>
      <c r="L124" t="str" cm="1">
        <f t="array" ref="L124">_xlfn.IFS(C124&lt;18,"Under_18",C124&lt;=25,"Youth",C124&lt;=35,"Young_Adults",C124&lt;=45,"Mid_Adults",TRUE,"Seniors")</f>
        <v>Seniors</v>
      </c>
    </row>
    <row r="125" spans="1:12" x14ac:dyDescent="0.2">
      <c r="A125">
        <v>124</v>
      </c>
      <c r="B125" t="str">
        <f>_xlfn.XLOOKUP(A125,Instagram_Usage_Lifestyle_Mini_!A125,Instagram_Usage_Lifestyle_Mini_!B125,1)</f>
        <v>Instagram</v>
      </c>
      <c r="C125">
        <f>_xlfn.XLOOKUP($A:$A,Instagram_Usage_Lifestyle_Mini_!$A:$A,Instagram_Usage_Lifestyle_Mini_!$C:$K)</f>
        <v>51</v>
      </c>
      <c r="D125" t="str">
        <f>_xlfn.XLOOKUP($A:$A,Instagram_Usage_Lifestyle_Mini_!$A:$A,Instagram_Usage_Lifestyle_Mini_!$C:$K)</f>
        <v>Male</v>
      </c>
      <c r="E125" t="str">
        <f>_xlfn.XLOOKUP($A:$A,Instagram_Usage_Lifestyle_Mini_!$A:$A,Instagram_Usage_Lifestyle_Mini_!$C:$K)</f>
        <v>United_States</v>
      </c>
      <c r="F125" t="str">
        <f>_xlfn.XLOOKUP($A:$A,Instagram_Usage_Lifestyle_Mini_!$A:$A,Instagram_Usage_Lifestyle_Mini_!$C:$K)</f>
        <v>Urban</v>
      </c>
      <c r="G125" t="str">
        <f>_xlfn.XLOOKUP($A:$A,Instagram_Usage_Lifestyle_Mini_!$A:$A,Instagram_Usage_Lifestyle_Mini_!$C:$K)</f>
        <v>Upper_middle</v>
      </c>
      <c r="H125" t="str">
        <f>_xlfn.XLOOKUP($A:$A,Instagram_Usage_Lifestyle_Mini_!$A:$A,Instagram_Usage_Lifestyle_Mini_!$C:$K)</f>
        <v>Full_time_employed</v>
      </c>
      <c r="I125" t="str">
        <f>_xlfn.XLOOKUP($A:$A,Instagram_Usage_Lifestyle_Mini_!$A:$A,Instagram_Usage_Lifestyle_Mini_!$C:$K)</f>
        <v>Masters_degree</v>
      </c>
      <c r="J125" t="str">
        <f>_xlfn.XLOOKUP($A:$A,Instagram_Usage_Lifestyle_Mini_!$A:$A,Instagram_Usage_Lifestyle_Mini_!$C:$K)</f>
        <v>Married</v>
      </c>
      <c r="K125" t="str">
        <f>_xlfn.XLOOKUP($A:$A,Instagram_Usage_Lifestyle_Mini_!$A:$A,Instagram_Usage_Lifestyle_Mini_!$C:$K)</f>
        <v>No</v>
      </c>
      <c r="L125" t="str" cm="1">
        <f t="array" ref="L125">_xlfn.IFS(C125&lt;18,"Under_18",C125&lt;=25,"Youth",C125&lt;=35,"Young_Adults",C125&lt;=45,"Mid_Adults",TRUE,"Seniors")</f>
        <v>Seniors</v>
      </c>
    </row>
    <row r="126" spans="1:12" x14ac:dyDescent="0.2">
      <c r="A126">
        <v>125</v>
      </c>
      <c r="B126" t="str">
        <f>_xlfn.XLOOKUP(A126,Instagram_Usage_Lifestyle_Mini_!A126,Instagram_Usage_Lifestyle_Mini_!B126,1)</f>
        <v>Instagram</v>
      </c>
      <c r="C126">
        <f>_xlfn.XLOOKUP($A:$A,Instagram_Usage_Lifestyle_Mini_!$A:$A,Instagram_Usage_Lifestyle_Mini_!$C:$K)</f>
        <v>53</v>
      </c>
      <c r="D126" t="str">
        <f>_xlfn.XLOOKUP($A:$A,Instagram_Usage_Lifestyle_Mini_!$A:$A,Instagram_Usage_Lifestyle_Mini_!$C:$K)</f>
        <v>Female</v>
      </c>
      <c r="E126" t="str">
        <f>_xlfn.XLOOKUP($A:$A,Instagram_Usage_Lifestyle_Mini_!$A:$A,Instagram_Usage_Lifestyle_Mini_!$C:$K)</f>
        <v>Canada</v>
      </c>
      <c r="F126" t="str">
        <f>_xlfn.XLOOKUP($A:$A,Instagram_Usage_Lifestyle_Mini_!$A:$A,Instagram_Usage_Lifestyle_Mini_!$C:$K)</f>
        <v>Urban</v>
      </c>
      <c r="G126" t="str">
        <f>_xlfn.XLOOKUP($A:$A,Instagram_Usage_Lifestyle_Mini_!$A:$A,Instagram_Usage_Lifestyle_Mini_!$C:$K)</f>
        <v>Lower_middle</v>
      </c>
      <c r="H126" t="str">
        <f>_xlfn.XLOOKUP($A:$A,Instagram_Usage_Lifestyle_Mini_!$A:$A,Instagram_Usage_Lifestyle_Mini_!$C:$K)</f>
        <v>Full_time_employed</v>
      </c>
      <c r="I126" t="str">
        <f>_xlfn.XLOOKUP($A:$A,Instagram_Usage_Lifestyle_Mini_!$A:$A,Instagram_Usage_Lifestyle_Mini_!$C:$K)</f>
        <v>Bachelors_degree</v>
      </c>
      <c r="J126" t="str">
        <f>_xlfn.XLOOKUP($A:$A,Instagram_Usage_Lifestyle_Mini_!$A:$A,Instagram_Usage_Lifestyle_Mini_!$C:$K)</f>
        <v>Single</v>
      </c>
      <c r="K126" t="str">
        <f>_xlfn.XLOOKUP($A:$A,Instagram_Usage_Lifestyle_Mini_!$A:$A,Instagram_Usage_Lifestyle_Mini_!$C:$K)</f>
        <v>No</v>
      </c>
      <c r="L126" t="str" cm="1">
        <f t="array" ref="L126">_xlfn.IFS(C126&lt;18,"Under_18",C126&lt;=25,"Youth",C126&lt;=35,"Young_Adults",C126&lt;=45,"Mid_Adults",TRUE,"Seniors")</f>
        <v>Seniors</v>
      </c>
    </row>
    <row r="127" spans="1:12" x14ac:dyDescent="0.2">
      <c r="A127">
        <v>126</v>
      </c>
      <c r="B127" t="str">
        <f>_xlfn.XLOOKUP(A127,Instagram_Usage_Lifestyle_Mini_!A127,Instagram_Usage_Lifestyle_Mini_!B127,1)</f>
        <v>Instagram</v>
      </c>
      <c r="C127">
        <f>_xlfn.XLOOKUP($A:$A,Instagram_Usage_Lifestyle_Mini_!$A:$A,Instagram_Usage_Lifestyle_Mini_!$C:$K)</f>
        <v>40</v>
      </c>
      <c r="D127" t="str">
        <f>_xlfn.XLOOKUP($A:$A,Instagram_Usage_Lifestyle_Mini_!$A:$A,Instagram_Usage_Lifestyle_Mini_!$C:$K)</f>
        <v>Female</v>
      </c>
      <c r="E127" t="str">
        <f>_xlfn.XLOOKUP($A:$A,Instagram_Usage_Lifestyle_Mini_!$A:$A,Instagram_Usage_Lifestyle_Mini_!$C:$K)</f>
        <v>United_States</v>
      </c>
      <c r="F127" t="str">
        <f>_xlfn.XLOOKUP($A:$A,Instagram_Usage_Lifestyle_Mini_!$A:$A,Instagram_Usage_Lifestyle_Mini_!$C:$K)</f>
        <v>Suburban</v>
      </c>
      <c r="G127" t="str">
        <f>_xlfn.XLOOKUP($A:$A,Instagram_Usage_Lifestyle_Mini_!$A:$A,Instagram_Usage_Lifestyle_Mini_!$C:$K)</f>
        <v>Upper_middle</v>
      </c>
      <c r="H127" t="str">
        <f>_xlfn.XLOOKUP($A:$A,Instagram_Usage_Lifestyle_Mini_!$A:$A,Instagram_Usage_Lifestyle_Mini_!$C:$K)</f>
        <v>Student</v>
      </c>
      <c r="I127" t="str">
        <f>_xlfn.XLOOKUP($A:$A,Instagram_Usage_Lifestyle_Mini_!$A:$A,Instagram_Usage_Lifestyle_Mini_!$C:$K)</f>
        <v>Bachelors_degree</v>
      </c>
      <c r="J127" t="str">
        <f>_xlfn.XLOOKUP($A:$A,Instagram_Usage_Lifestyle_Mini_!$A:$A,Instagram_Usage_Lifestyle_Mini_!$C:$K)</f>
        <v>In_a_relationship</v>
      </c>
      <c r="K127" t="str">
        <f>_xlfn.XLOOKUP($A:$A,Instagram_Usage_Lifestyle_Mini_!$A:$A,Instagram_Usage_Lifestyle_Mini_!$C:$K)</f>
        <v>No</v>
      </c>
      <c r="L127" t="str" cm="1">
        <f t="array" ref="L127">_xlfn.IFS(C127&lt;18,"Under_18",C127&lt;=25,"Youth",C127&lt;=35,"Young_Adults",C127&lt;=45,"Mid_Adults",TRUE,"Seniors")</f>
        <v>Mid_Adults</v>
      </c>
    </row>
    <row r="128" spans="1:12" x14ac:dyDescent="0.2">
      <c r="A128">
        <v>127</v>
      </c>
      <c r="B128" t="str">
        <f>_xlfn.XLOOKUP(A128,Instagram_Usage_Lifestyle_Mini_!A128,Instagram_Usage_Lifestyle_Mini_!B128,1)</f>
        <v>Instagram</v>
      </c>
      <c r="C128">
        <f>_xlfn.XLOOKUP($A:$A,Instagram_Usage_Lifestyle_Mini_!$A:$A,Instagram_Usage_Lifestyle_Mini_!$C:$K)</f>
        <v>19</v>
      </c>
      <c r="D128" t="str">
        <f>_xlfn.XLOOKUP($A:$A,Instagram_Usage_Lifestyle_Mini_!$A:$A,Instagram_Usage_Lifestyle_Mini_!$C:$K)</f>
        <v>Male</v>
      </c>
      <c r="E128" t="str">
        <f>_xlfn.XLOOKUP($A:$A,Instagram_Usage_Lifestyle_Mini_!$A:$A,Instagram_Usage_Lifestyle_Mini_!$C:$K)</f>
        <v>Japan</v>
      </c>
      <c r="F128" t="str">
        <f>_xlfn.XLOOKUP($A:$A,Instagram_Usage_Lifestyle_Mini_!$A:$A,Instagram_Usage_Lifestyle_Mini_!$C:$K)</f>
        <v>Urban</v>
      </c>
      <c r="G128" t="str">
        <f>_xlfn.XLOOKUP($A:$A,Instagram_Usage_Lifestyle_Mini_!$A:$A,Instagram_Usage_Lifestyle_Mini_!$C:$K)</f>
        <v>Low</v>
      </c>
      <c r="H128" t="str">
        <f>_xlfn.XLOOKUP($A:$A,Instagram_Usage_Lifestyle_Mini_!$A:$A,Instagram_Usage_Lifestyle_Mini_!$C:$K)</f>
        <v>Full_time_employed</v>
      </c>
      <c r="I128" t="str">
        <f>_xlfn.XLOOKUP($A:$A,Instagram_Usage_Lifestyle_Mini_!$A:$A,Instagram_Usage_Lifestyle_Mini_!$C:$K)</f>
        <v>Some_college</v>
      </c>
      <c r="J128" t="str">
        <f>_xlfn.XLOOKUP($A:$A,Instagram_Usage_Lifestyle_Mini_!$A:$A,Instagram_Usage_Lifestyle_Mini_!$C:$K)</f>
        <v>Single</v>
      </c>
      <c r="K128" t="str">
        <f>_xlfn.XLOOKUP($A:$A,Instagram_Usage_Lifestyle_Mini_!$A:$A,Instagram_Usage_Lifestyle_Mini_!$C:$K)</f>
        <v>No</v>
      </c>
      <c r="L128" t="str" cm="1">
        <f t="array" ref="L128">_xlfn.IFS(C128&lt;18,"Under_18",C128&lt;=25,"Youth",C128&lt;=35,"Young_Adults",C128&lt;=45,"Mid_Adults",TRUE,"Seniors")</f>
        <v>Youth</v>
      </c>
    </row>
    <row r="129" spans="1:12" x14ac:dyDescent="0.2">
      <c r="A129">
        <v>128</v>
      </c>
      <c r="B129" t="str">
        <f>_xlfn.XLOOKUP(A129,Instagram_Usage_Lifestyle_Mini_!A129,Instagram_Usage_Lifestyle_Mini_!B129,1)</f>
        <v>Instagram</v>
      </c>
      <c r="C129">
        <f>_xlfn.XLOOKUP($A:$A,Instagram_Usage_Lifestyle_Mini_!$A:$A,Instagram_Usage_Lifestyle_Mini_!$C:$K)</f>
        <v>21</v>
      </c>
      <c r="D129" t="str">
        <f>_xlfn.XLOOKUP($A:$A,Instagram_Usage_Lifestyle_Mini_!$A:$A,Instagram_Usage_Lifestyle_Mini_!$C:$K)</f>
        <v>Non_binary</v>
      </c>
      <c r="E129" t="str">
        <f>_xlfn.XLOOKUP($A:$A,Instagram_Usage_Lifestyle_Mini_!$A:$A,Instagram_Usage_Lifestyle_Mini_!$C:$K)</f>
        <v>Australia</v>
      </c>
      <c r="F129" t="str">
        <f>_xlfn.XLOOKUP($A:$A,Instagram_Usage_Lifestyle_Mini_!$A:$A,Instagram_Usage_Lifestyle_Mini_!$C:$K)</f>
        <v>Suburban</v>
      </c>
      <c r="G129" t="str">
        <f>_xlfn.XLOOKUP($A:$A,Instagram_Usage_Lifestyle_Mini_!$A:$A,Instagram_Usage_Lifestyle_Mini_!$C:$K)</f>
        <v>Upper_middle</v>
      </c>
      <c r="H129" t="str">
        <f>_xlfn.XLOOKUP($A:$A,Instagram_Usage_Lifestyle_Mini_!$A:$A,Instagram_Usage_Lifestyle_Mini_!$C:$K)</f>
        <v>Full_time_employed</v>
      </c>
      <c r="I129" t="str">
        <f>_xlfn.XLOOKUP($A:$A,Instagram_Usage_Lifestyle_Mini_!$A:$A,Instagram_Usage_Lifestyle_Mini_!$C:$K)</f>
        <v>High_school</v>
      </c>
      <c r="J129" t="str">
        <f>_xlfn.XLOOKUP($A:$A,Instagram_Usage_Lifestyle_Mini_!$A:$A,Instagram_Usage_Lifestyle_Mini_!$C:$K)</f>
        <v>In_a_relationship</v>
      </c>
      <c r="K129" t="str">
        <f>_xlfn.XLOOKUP($A:$A,Instagram_Usage_Lifestyle_Mini_!$A:$A,Instagram_Usage_Lifestyle_Mini_!$C:$K)</f>
        <v>Yes</v>
      </c>
      <c r="L129" t="str" cm="1">
        <f t="array" ref="L129">_xlfn.IFS(C129&lt;18,"Under_18",C129&lt;=25,"Youth",C129&lt;=35,"Young_Adults",C129&lt;=45,"Mid_Adults",TRUE,"Seniors")</f>
        <v>Youth</v>
      </c>
    </row>
    <row r="130" spans="1:12" x14ac:dyDescent="0.2">
      <c r="A130">
        <v>129</v>
      </c>
      <c r="B130" t="str">
        <f>_xlfn.XLOOKUP(A130,Instagram_Usage_Lifestyle_Mini_!A130,Instagram_Usage_Lifestyle_Mini_!B130,1)</f>
        <v>Instagram</v>
      </c>
      <c r="C130">
        <f>_xlfn.XLOOKUP($A:$A,Instagram_Usage_Lifestyle_Mini_!$A:$A,Instagram_Usage_Lifestyle_Mini_!$C:$K)</f>
        <v>20</v>
      </c>
      <c r="D130" t="str">
        <f>_xlfn.XLOOKUP($A:$A,Instagram_Usage_Lifestyle_Mini_!$A:$A,Instagram_Usage_Lifestyle_Mini_!$C:$K)</f>
        <v>Female</v>
      </c>
      <c r="E130" t="str">
        <f>_xlfn.XLOOKUP($A:$A,Instagram_Usage_Lifestyle_Mini_!$A:$A,Instagram_Usage_Lifestyle_Mini_!$C:$K)</f>
        <v>United _Kingdom</v>
      </c>
      <c r="F130" t="str">
        <f>_xlfn.XLOOKUP($A:$A,Instagram_Usage_Lifestyle_Mini_!$A:$A,Instagram_Usage_Lifestyle_Mini_!$C:$K)</f>
        <v>Rural</v>
      </c>
      <c r="G130" t="str">
        <f>_xlfn.XLOOKUP($A:$A,Instagram_Usage_Lifestyle_Mini_!$A:$A,Instagram_Usage_Lifestyle_Mini_!$C:$K)</f>
        <v>Lower_middle</v>
      </c>
      <c r="H130" t="str">
        <f>_xlfn.XLOOKUP($A:$A,Instagram_Usage_Lifestyle_Mini_!$A:$A,Instagram_Usage_Lifestyle_Mini_!$C:$K)</f>
        <v>Part_time</v>
      </c>
      <c r="I130" t="str">
        <f>_xlfn.XLOOKUP($A:$A,Instagram_Usage_Lifestyle_Mini_!$A:$A,Instagram_Usage_Lifestyle_Mini_!$C:$K)</f>
        <v>Bachelors_degree</v>
      </c>
      <c r="J130" t="str">
        <f>_xlfn.XLOOKUP($A:$A,Instagram_Usage_Lifestyle_Mini_!$A:$A,Instagram_Usage_Lifestyle_Mini_!$C:$K)</f>
        <v>In_a_relationship</v>
      </c>
      <c r="K130" t="str">
        <f>_xlfn.XLOOKUP($A:$A,Instagram_Usage_Lifestyle_Mini_!$A:$A,Instagram_Usage_Lifestyle_Mini_!$C:$K)</f>
        <v>No</v>
      </c>
      <c r="L130" t="str" cm="1">
        <f t="array" ref="L130">_xlfn.IFS(C130&lt;18,"Under_18",C130&lt;=25,"Youth",C130&lt;=35,"Young_Adults",C130&lt;=45,"Mid_Adults",TRUE,"Seniors")</f>
        <v>Youth</v>
      </c>
    </row>
    <row r="131" spans="1:12" x14ac:dyDescent="0.2">
      <c r="A131">
        <v>130</v>
      </c>
      <c r="B131" t="str">
        <f>_xlfn.XLOOKUP(A131,Instagram_Usage_Lifestyle_Mini_!A131,Instagram_Usage_Lifestyle_Mini_!B131,1)</f>
        <v>Instagram</v>
      </c>
      <c r="C131">
        <f>_xlfn.XLOOKUP($A:$A,Instagram_Usage_Lifestyle_Mini_!$A:$A,Instagram_Usage_Lifestyle_Mini_!$C:$K)</f>
        <v>24</v>
      </c>
      <c r="D131" t="str">
        <f>_xlfn.XLOOKUP($A:$A,Instagram_Usage_Lifestyle_Mini_!$A:$A,Instagram_Usage_Lifestyle_Mini_!$C:$K)</f>
        <v>Male</v>
      </c>
      <c r="E131" t="str">
        <f>_xlfn.XLOOKUP($A:$A,Instagram_Usage_Lifestyle_Mini_!$A:$A,Instagram_Usage_Lifestyle_Mini_!$C:$K)</f>
        <v>India</v>
      </c>
      <c r="F131" t="str">
        <f>_xlfn.XLOOKUP($A:$A,Instagram_Usage_Lifestyle_Mini_!$A:$A,Instagram_Usage_Lifestyle_Mini_!$C:$K)</f>
        <v>Urban</v>
      </c>
      <c r="G131" t="str">
        <f>_xlfn.XLOOKUP($A:$A,Instagram_Usage_Lifestyle_Mini_!$A:$A,Instagram_Usage_Lifestyle_Mini_!$C:$K)</f>
        <v>High</v>
      </c>
      <c r="H131" t="str">
        <f>_xlfn.XLOOKUP($A:$A,Instagram_Usage_Lifestyle_Mini_!$A:$A,Instagram_Usage_Lifestyle_Mini_!$C:$K)</f>
        <v>Full_time_employed</v>
      </c>
      <c r="I131" t="str">
        <f>_xlfn.XLOOKUP($A:$A,Instagram_Usage_Lifestyle_Mini_!$A:$A,Instagram_Usage_Lifestyle_Mini_!$C:$K)</f>
        <v>Some_college</v>
      </c>
      <c r="J131" t="str">
        <f>_xlfn.XLOOKUP($A:$A,Instagram_Usage_Lifestyle_Mini_!$A:$A,Instagram_Usage_Lifestyle_Mini_!$C:$K)</f>
        <v>In_a_relationship</v>
      </c>
      <c r="K131" t="str">
        <f>_xlfn.XLOOKUP($A:$A,Instagram_Usage_Lifestyle_Mini_!$A:$A,Instagram_Usage_Lifestyle_Mini_!$C:$K)</f>
        <v>No</v>
      </c>
      <c r="L131" t="str" cm="1">
        <f t="array" ref="L131">_xlfn.IFS(C131&lt;18,"Under_18",C131&lt;=25,"Youth",C131&lt;=35,"Young_Adults",C131&lt;=45,"Mid_Adults",TRUE,"Seniors")</f>
        <v>Youth</v>
      </c>
    </row>
    <row r="132" spans="1:12" x14ac:dyDescent="0.2">
      <c r="A132">
        <v>131</v>
      </c>
      <c r="B132" t="str">
        <f>_xlfn.XLOOKUP(A132,Instagram_Usage_Lifestyle_Mini_!A132,Instagram_Usage_Lifestyle_Mini_!B132,1)</f>
        <v>Instagram</v>
      </c>
      <c r="C132">
        <f>_xlfn.XLOOKUP($A:$A,Instagram_Usage_Lifestyle_Mini_!$A:$A,Instagram_Usage_Lifestyle_Mini_!$C:$K)</f>
        <v>46</v>
      </c>
      <c r="D132" t="str">
        <f>_xlfn.XLOOKUP($A:$A,Instagram_Usage_Lifestyle_Mini_!$A:$A,Instagram_Usage_Lifestyle_Mini_!$C:$K)</f>
        <v>Male</v>
      </c>
      <c r="E132" t="str">
        <f>_xlfn.XLOOKUP($A:$A,Instagram_Usage_Lifestyle_Mini_!$A:$A,Instagram_Usage_Lifestyle_Mini_!$C:$K)</f>
        <v>United_States</v>
      </c>
      <c r="F132" t="str">
        <f>_xlfn.XLOOKUP($A:$A,Instagram_Usage_Lifestyle_Mini_!$A:$A,Instagram_Usage_Lifestyle_Mini_!$C:$K)</f>
        <v>Urban</v>
      </c>
      <c r="G132" t="str">
        <f>_xlfn.XLOOKUP($A:$A,Instagram_Usage_Lifestyle_Mini_!$A:$A,Instagram_Usage_Lifestyle_Mini_!$C:$K)</f>
        <v>High</v>
      </c>
      <c r="H132" t="str">
        <f>_xlfn.XLOOKUP($A:$A,Instagram_Usage_Lifestyle_Mini_!$A:$A,Instagram_Usage_Lifestyle_Mini_!$C:$K)</f>
        <v>Full_time_employed</v>
      </c>
      <c r="I132" t="str">
        <f>_xlfn.XLOOKUP($A:$A,Instagram_Usage_Lifestyle_Mini_!$A:$A,Instagram_Usage_Lifestyle_Mini_!$C:$K)</f>
        <v>Some_college</v>
      </c>
      <c r="J132" t="str">
        <f>_xlfn.XLOOKUP($A:$A,Instagram_Usage_Lifestyle_Mini_!$A:$A,Instagram_Usage_Lifestyle_Mini_!$C:$K)</f>
        <v>Widowed</v>
      </c>
      <c r="K132" t="str">
        <f>_xlfn.XLOOKUP($A:$A,Instagram_Usage_Lifestyle_Mini_!$A:$A,Instagram_Usage_Lifestyle_Mini_!$C:$K)</f>
        <v>No</v>
      </c>
      <c r="L132" t="str" cm="1">
        <f t="array" ref="L132">_xlfn.IFS(C132&lt;18,"Under_18",C132&lt;=25,"Youth",C132&lt;=35,"Young_Adults",C132&lt;=45,"Mid_Adults",TRUE,"Seniors")</f>
        <v>Seniors</v>
      </c>
    </row>
    <row r="133" spans="1:12" x14ac:dyDescent="0.2">
      <c r="A133">
        <v>132</v>
      </c>
      <c r="B133" t="str">
        <f>_xlfn.XLOOKUP(A133,Instagram_Usage_Lifestyle_Mini_!A133,Instagram_Usage_Lifestyle_Mini_!B133,1)</f>
        <v>Instagram</v>
      </c>
      <c r="C133">
        <f>_xlfn.XLOOKUP($A:$A,Instagram_Usage_Lifestyle_Mini_!$A:$A,Instagram_Usage_Lifestyle_Mini_!$C:$K)</f>
        <v>45</v>
      </c>
      <c r="D133" t="str">
        <f>_xlfn.XLOOKUP($A:$A,Instagram_Usage_Lifestyle_Mini_!$A:$A,Instagram_Usage_Lifestyle_Mini_!$C:$K)</f>
        <v>Male</v>
      </c>
      <c r="E133" t="str">
        <f>_xlfn.XLOOKUP($A:$A,Instagram_Usage_Lifestyle_Mini_!$A:$A,Instagram_Usage_Lifestyle_Mini_!$C:$K)</f>
        <v>India</v>
      </c>
      <c r="F133" t="str">
        <f>_xlfn.XLOOKUP($A:$A,Instagram_Usage_Lifestyle_Mini_!$A:$A,Instagram_Usage_Lifestyle_Mini_!$C:$K)</f>
        <v>Urban</v>
      </c>
      <c r="G133" t="str">
        <f>_xlfn.XLOOKUP($A:$A,Instagram_Usage_Lifestyle_Mini_!$A:$A,Instagram_Usage_Lifestyle_Mini_!$C:$K)</f>
        <v>Low</v>
      </c>
      <c r="H133" t="str">
        <f>_xlfn.XLOOKUP($A:$A,Instagram_Usage_Lifestyle_Mini_!$A:$A,Instagram_Usage_Lifestyle_Mini_!$C:$K)</f>
        <v>Retired</v>
      </c>
      <c r="I133" t="str">
        <f>_xlfn.XLOOKUP($A:$A,Instagram_Usage_Lifestyle_Mini_!$A:$A,Instagram_Usage_Lifestyle_Mini_!$C:$K)</f>
        <v>Bachelors_degree</v>
      </c>
      <c r="J133" t="str">
        <f>_xlfn.XLOOKUP($A:$A,Instagram_Usage_Lifestyle_Mini_!$A:$A,Instagram_Usage_Lifestyle_Mini_!$C:$K)</f>
        <v>Married</v>
      </c>
      <c r="K133" t="str">
        <f>_xlfn.XLOOKUP($A:$A,Instagram_Usage_Lifestyle_Mini_!$A:$A,Instagram_Usage_Lifestyle_Mini_!$C:$K)</f>
        <v>Yes</v>
      </c>
      <c r="L133" t="str" cm="1">
        <f t="array" ref="L133">_xlfn.IFS(C133&lt;18,"Under_18",C133&lt;=25,"Youth",C133&lt;=35,"Young_Adults",C133&lt;=45,"Mid_Adults",TRUE,"Seniors")</f>
        <v>Mid_Adults</v>
      </c>
    </row>
    <row r="134" spans="1:12" x14ac:dyDescent="0.2">
      <c r="A134">
        <v>133</v>
      </c>
      <c r="B134" t="str">
        <f>_xlfn.XLOOKUP(A134,Instagram_Usage_Lifestyle_Mini_!A134,Instagram_Usage_Lifestyle_Mini_!B134,1)</f>
        <v>Instagram</v>
      </c>
      <c r="C134">
        <f>_xlfn.XLOOKUP($A:$A,Instagram_Usage_Lifestyle_Mini_!$A:$A,Instagram_Usage_Lifestyle_Mini_!$C:$K)</f>
        <v>60</v>
      </c>
      <c r="D134" t="str">
        <f>_xlfn.XLOOKUP($A:$A,Instagram_Usage_Lifestyle_Mini_!$A:$A,Instagram_Usage_Lifestyle_Mini_!$C:$K)</f>
        <v>Female</v>
      </c>
      <c r="E134" t="str">
        <f>_xlfn.XLOOKUP($A:$A,Instagram_Usage_Lifestyle_Mini_!$A:$A,Instagram_Usage_Lifestyle_Mini_!$C:$K)</f>
        <v>Brazil</v>
      </c>
      <c r="F134" t="str">
        <f>_xlfn.XLOOKUP($A:$A,Instagram_Usage_Lifestyle_Mini_!$A:$A,Instagram_Usage_Lifestyle_Mini_!$C:$K)</f>
        <v>Urban</v>
      </c>
      <c r="G134" t="str">
        <f>_xlfn.XLOOKUP($A:$A,Instagram_Usage_Lifestyle_Mini_!$A:$A,Instagram_Usage_Lifestyle_Mini_!$C:$K)</f>
        <v>Low</v>
      </c>
      <c r="H134" t="str">
        <f>_xlfn.XLOOKUP($A:$A,Instagram_Usage_Lifestyle_Mini_!$A:$A,Instagram_Usage_Lifestyle_Mini_!$C:$K)</f>
        <v>Student</v>
      </c>
      <c r="I134" t="str">
        <f>_xlfn.XLOOKUP($A:$A,Instagram_Usage_Lifestyle_Mini_!$A:$A,Instagram_Usage_Lifestyle_Mini_!$C:$K)</f>
        <v>High_school</v>
      </c>
      <c r="J134" t="str">
        <f>_xlfn.XLOOKUP($A:$A,Instagram_Usage_Lifestyle_Mini_!$A:$A,Instagram_Usage_Lifestyle_Mini_!$C:$K)</f>
        <v>Single</v>
      </c>
      <c r="K134" t="str">
        <f>_xlfn.XLOOKUP($A:$A,Instagram_Usage_Lifestyle_Mini_!$A:$A,Instagram_Usage_Lifestyle_Mini_!$C:$K)</f>
        <v>No</v>
      </c>
      <c r="L134" t="str" cm="1">
        <f t="array" ref="L134">_xlfn.IFS(C134&lt;18,"Under_18",C134&lt;=25,"Youth",C134&lt;=35,"Young_Adults",C134&lt;=45,"Mid_Adults",TRUE,"Seniors")</f>
        <v>Seniors</v>
      </c>
    </row>
    <row r="135" spans="1:12" x14ac:dyDescent="0.2">
      <c r="A135">
        <v>134</v>
      </c>
      <c r="B135" t="str">
        <f>_xlfn.XLOOKUP(A135,Instagram_Usage_Lifestyle_Mini_!A135,Instagram_Usage_Lifestyle_Mini_!B135,1)</f>
        <v>Instagram</v>
      </c>
      <c r="C135">
        <f>_xlfn.XLOOKUP($A:$A,Instagram_Usage_Lifestyle_Mini_!$A:$A,Instagram_Usage_Lifestyle_Mini_!$C:$K)</f>
        <v>35</v>
      </c>
      <c r="D135" t="str">
        <f>_xlfn.XLOOKUP($A:$A,Instagram_Usage_Lifestyle_Mini_!$A:$A,Instagram_Usage_Lifestyle_Mini_!$C:$K)</f>
        <v>Male</v>
      </c>
      <c r="E135" t="str">
        <f>_xlfn.XLOOKUP($A:$A,Instagram_Usage_Lifestyle_Mini_!$A:$A,Instagram_Usage_Lifestyle_Mini_!$C:$K)</f>
        <v>India</v>
      </c>
      <c r="F135" t="str">
        <f>_xlfn.XLOOKUP($A:$A,Instagram_Usage_Lifestyle_Mini_!$A:$A,Instagram_Usage_Lifestyle_Mini_!$C:$K)</f>
        <v>Urban</v>
      </c>
      <c r="G135" t="str">
        <f>_xlfn.XLOOKUP($A:$A,Instagram_Usage_Lifestyle_Mini_!$A:$A,Instagram_Usage_Lifestyle_Mini_!$C:$K)</f>
        <v>Low</v>
      </c>
      <c r="H135" t="str">
        <f>_xlfn.XLOOKUP($A:$A,Instagram_Usage_Lifestyle_Mini_!$A:$A,Instagram_Usage_Lifestyle_Mini_!$C:$K)</f>
        <v>Student</v>
      </c>
      <c r="I135" t="str">
        <f>_xlfn.XLOOKUP($A:$A,Instagram_Usage_Lifestyle_Mini_!$A:$A,Instagram_Usage_Lifestyle_Mini_!$C:$K)</f>
        <v>Some_college</v>
      </c>
      <c r="J135" t="str">
        <f>_xlfn.XLOOKUP($A:$A,Instagram_Usage_Lifestyle_Mini_!$A:$A,Instagram_Usage_Lifestyle_Mini_!$C:$K)</f>
        <v>In_a_relationship</v>
      </c>
      <c r="K135" t="str">
        <f>_xlfn.XLOOKUP($A:$A,Instagram_Usage_Lifestyle_Mini_!$A:$A,Instagram_Usage_Lifestyle_Mini_!$C:$K)</f>
        <v>No</v>
      </c>
      <c r="L135" t="str" cm="1">
        <f t="array" ref="L135">_xlfn.IFS(C135&lt;18,"Under_18",C135&lt;=25,"Youth",C135&lt;=35,"Young_Adults",C135&lt;=45,"Mid_Adults",TRUE,"Seniors")</f>
        <v>Young_Adults</v>
      </c>
    </row>
    <row r="136" spans="1:12" x14ac:dyDescent="0.2">
      <c r="A136">
        <v>135</v>
      </c>
      <c r="B136" t="str">
        <f>_xlfn.XLOOKUP(A136,Instagram_Usage_Lifestyle_Mini_!A136,Instagram_Usage_Lifestyle_Mini_!B136,1)</f>
        <v>Instagram</v>
      </c>
      <c r="C136">
        <f>_xlfn.XLOOKUP($A:$A,Instagram_Usage_Lifestyle_Mini_!$A:$A,Instagram_Usage_Lifestyle_Mini_!$C:$K)</f>
        <v>36</v>
      </c>
      <c r="D136" t="str">
        <f>_xlfn.XLOOKUP($A:$A,Instagram_Usage_Lifestyle_Mini_!$A:$A,Instagram_Usage_Lifestyle_Mini_!$C:$K)</f>
        <v>Female</v>
      </c>
      <c r="E136" t="str">
        <f>_xlfn.XLOOKUP($A:$A,Instagram_Usage_Lifestyle_Mini_!$A:$A,Instagram_Usage_Lifestyle_Mini_!$C:$K)</f>
        <v>United_States</v>
      </c>
      <c r="F136" t="str">
        <f>_xlfn.XLOOKUP($A:$A,Instagram_Usage_Lifestyle_Mini_!$A:$A,Instagram_Usage_Lifestyle_Mini_!$C:$K)</f>
        <v>Urban</v>
      </c>
      <c r="G136" t="str">
        <f>_xlfn.XLOOKUP($A:$A,Instagram_Usage_Lifestyle_Mini_!$A:$A,Instagram_Usage_Lifestyle_Mini_!$C:$K)</f>
        <v>Lower_middle</v>
      </c>
      <c r="H136" t="str">
        <f>_xlfn.XLOOKUP($A:$A,Instagram_Usage_Lifestyle_Mini_!$A:$A,Instagram_Usage_Lifestyle_Mini_!$C:$K)</f>
        <v>Freelancer</v>
      </c>
      <c r="I136" t="str">
        <f>_xlfn.XLOOKUP($A:$A,Instagram_Usage_Lifestyle_Mini_!$A:$A,Instagram_Usage_Lifestyle_Mini_!$C:$K)</f>
        <v>Other</v>
      </c>
      <c r="J136" t="str">
        <f>_xlfn.XLOOKUP($A:$A,Instagram_Usage_Lifestyle_Mini_!$A:$A,Instagram_Usage_Lifestyle_Mini_!$C:$K)</f>
        <v>Single</v>
      </c>
      <c r="K136" t="str">
        <f>_xlfn.XLOOKUP($A:$A,Instagram_Usage_Lifestyle_Mini_!$A:$A,Instagram_Usage_Lifestyle_Mini_!$C:$K)</f>
        <v>No</v>
      </c>
      <c r="L136" t="str" cm="1">
        <f t="array" ref="L136">_xlfn.IFS(C136&lt;18,"Under_18",C136&lt;=25,"Youth",C136&lt;=35,"Young_Adults",C136&lt;=45,"Mid_Adults",TRUE,"Seniors")</f>
        <v>Mid_Adults</v>
      </c>
    </row>
    <row r="137" spans="1:12" x14ac:dyDescent="0.2">
      <c r="A137">
        <v>136</v>
      </c>
      <c r="B137" t="str">
        <f>_xlfn.XLOOKUP(A137,Instagram_Usage_Lifestyle_Mini_!A137,Instagram_Usage_Lifestyle_Mini_!B137,1)</f>
        <v>Instagram</v>
      </c>
      <c r="C137">
        <f>_xlfn.XLOOKUP($A:$A,Instagram_Usage_Lifestyle_Mini_!$A:$A,Instagram_Usage_Lifestyle_Mini_!$C:$K)</f>
        <v>49</v>
      </c>
      <c r="D137" t="str">
        <f>_xlfn.XLOOKUP($A:$A,Instagram_Usage_Lifestyle_Mini_!$A:$A,Instagram_Usage_Lifestyle_Mini_!$C:$K)</f>
        <v>Female</v>
      </c>
      <c r="E137" t="str">
        <f>_xlfn.XLOOKUP($A:$A,Instagram_Usage_Lifestyle_Mini_!$A:$A,Instagram_Usage_Lifestyle_Mini_!$C:$K)</f>
        <v>United_States</v>
      </c>
      <c r="F137" t="str">
        <f>_xlfn.XLOOKUP($A:$A,Instagram_Usage_Lifestyle_Mini_!$A:$A,Instagram_Usage_Lifestyle_Mini_!$C:$K)</f>
        <v>Urban</v>
      </c>
      <c r="G137" t="str">
        <f>_xlfn.XLOOKUP($A:$A,Instagram_Usage_Lifestyle_Mini_!$A:$A,Instagram_Usage_Lifestyle_Mini_!$C:$K)</f>
        <v>Middle</v>
      </c>
      <c r="H137" t="str">
        <f>_xlfn.XLOOKUP($A:$A,Instagram_Usage_Lifestyle_Mini_!$A:$A,Instagram_Usage_Lifestyle_Mini_!$C:$K)</f>
        <v>Student</v>
      </c>
      <c r="I137" t="str">
        <f>_xlfn.XLOOKUP($A:$A,Instagram_Usage_Lifestyle_Mini_!$A:$A,Instagram_Usage_Lifestyle_Mini_!$C:$K)</f>
        <v>PhD</v>
      </c>
      <c r="J137" t="str">
        <f>_xlfn.XLOOKUP($A:$A,Instagram_Usage_Lifestyle_Mini_!$A:$A,Instagram_Usage_Lifestyle_Mini_!$C:$K)</f>
        <v>Divorced</v>
      </c>
      <c r="K137" t="str">
        <f>_xlfn.XLOOKUP($A:$A,Instagram_Usage_Lifestyle_Mini_!$A:$A,Instagram_Usage_Lifestyle_Mini_!$C:$K)</f>
        <v>No</v>
      </c>
      <c r="L137" t="str" cm="1">
        <f t="array" ref="L137">_xlfn.IFS(C137&lt;18,"Under_18",C137&lt;=25,"Youth",C137&lt;=35,"Young_Adults",C137&lt;=45,"Mid_Adults",TRUE,"Seniors")</f>
        <v>Seniors</v>
      </c>
    </row>
    <row r="138" spans="1:12" x14ac:dyDescent="0.2">
      <c r="A138">
        <v>137</v>
      </c>
      <c r="B138" t="str">
        <f>_xlfn.XLOOKUP(A138,Instagram_Usage_Lifestyle_Mini_!A138,Instagram_Usage_Lifestyle_Mini_!B138,1)</f>
        <v>Instagram</v>
      </c>
      <c r="C138">
        <f>_xlfn.XLOOKUP($A:$A,Instagram_Usage_Lifestyle_Mini_!$A:$A,Instagram_Usage_Lifestyle_Mini_!$C:$K)</f>
        <v>47</v>
      </c>
      <c r="D138" t="str">
        <f>_xlfn.XLOOKUP($A:$A,Instagram_Usage_Lifestyle_Mini_!$A:$A,Instagram_Usage_Lifestyle_Mini_!$C:$K)</f>
        <v>Male</v>
      </c>
      <c r="E138" t="str">
        <f>_xlfn.XLOOKUP($A:$A,Instagram_Usage_Lifestyle_Mini_!$A:$A,Instagram_Usage_Lifestyle_Mini_!$C:$K)</f>
        <v>United_States</v>
      </c>
      <c r="F138" t="str">
        <f>_xlfn.XLOOKUP($A:$A,Instagram_Usage_Lifestyle_Mini_!$A:$A,Instagram_Usage_Lifestyle_Mini_!$C:$K)</f>
        <v>Urban</v>
      </c>
      <c r="G138" t="str">
        <f>_xlfn.XLOOKUP($A:$A,Instagram_Usage_Lifestyle_Mini_!$A:$A,Instagram_Usage_Lifestyle_Mini_!$C:$K)</f>
        <v>Upper_middle</v>
      </c>
      <c r="H138" t="str">
        <f>_xlfn.XLOOKUP($A:$A,Instagram_Usage_Lifestyle_Mini_!$A:$A,Instagram_Usage_Lifestyle_Mini_!$C:$K)</f>
        <v>Student</v>
      </c>
      <c r="I138" t="str">
        <f>_xlfn.XLOOKUP($A:$A,Instagram_Usage_Lifestyle_Mini_!$A:$A,Instagram_Usage_Lifestyle_Mini_!$C:$K)</f>
        <v>High_school</v>
      </c>
      <c r="J138" t="str">
        <f>_xlfn.XLOOKUP($A:$A,Instagram_Usage_Lifestyle_Mini_!$A:$A,Instagram_Usage_Lifestyle_Mini_!$C:$K)</f>
        <v>Single</v>
      </c>
      <c r="K138" t="str">
        <f>_xlfn.XLOOKUP($A:$A,Instagram_Usage_Lifestyle_Mini_!$A:$A,Instagram_Usage_Lifestyle_Mini_!$C:$K)</f>
        <v>No</v>
      </c>
      <c r="L138" t="str" cm="1">
        <f t="array" ref="L138">_xlfn.IFS(C138&lt;18,"Under_18",C138&lt;=25,"Youth",C138&lt;=35,"Young_Adults",C138&lt;=45,"Mid_Adults",TRUE,"Seniors")</f>
        <v>Seniors</v>
      </c>
    </row>
    <row r="139" spans="1:12" x14ac:dyDescent="0.2">
      <c r="A139">
        <v>138</v>
      </c>
      <c r="B139" t="str">
        <f>_xlfn.XLOOKUP(A139,Instagram_Usage_Lifestyle_Mini_!A139,Instagram_Usage_Lifestyle_Mini_!B139,1)</f>
        <v>Instagram</v>
      </c>
      <c r="C139">
        <f>_xlfn.XLOOKUP($A:$A,Instagram_Usage_Lifestyle_Mini_!$A:$A,Instagram_Usage_Lifestyle_Mini_!$C:$K)</f>
        <v>56</v>
      </c>
      <c r="D139" t="str">
        <f>_xlfn.XLOOKUP($A:$A,Instagram_Usage_Lifestyle_Mini_!$A:$A,Instagram_Usage_Lifestyle_Mini_!$C:$K)</f>
        <v>Female</v>
      </c>
      <c r="E139" t="str">
        <f>_xlfn.XLOOKUP($A:$A,Instagram_Usage_Lifestyle_Mini_!$A:$A,Instagram_Usage_Lifestyle_Mini_!$C:$K)</f>
        <v>Australia</v>
      </c>
      <c r="F139" t="str">
        <f>_xlfn.XLOOKUP($A:$A,Instagram_Usage_Lifestyle_Mini_!$A:$A,Instagram_Usage_Lifestyle_Mini_!$C:$K)</f>
        <v>Urban</v>
      </c>
      <c r="G139" t="str">
        <f>_xlfn.XLOOKUP($A:$A,Instagram_Usage_Lifestyle_Mini_!$A:$A,Instagram_Usage_Lifestyle_Mini_!$C:$K)</f>
        <v>Upper_middle</v>
      </c>
      <c r="H139" t="str">
        <f>_xlfn.XLOOKUP($A:$A,Instagram_Usage_Lifestyle_Mini_!$A:$A,Instagram_Usage_Lifestyle_Mini_!$C:$K)</f>
        <v>Unemployed</v>
      </c>
      <c r="I139" t="str">
        <f>_xlfn.XLOOKUP($A:$A,Instagram_Usage_Lifestyle_Mini_!$A:$A,Instagram_Usage_Lifestyle_Mini_!$C:$K)</f>
        <v>Some_college</v>
      </c>
      <c r="J139" t="str">
        <f>_xlfn.XLOOKUP($A:$A,Instagram_Usage_Lifestyle_Mini_!$A:$A,Instagram_Usage_Lifestyle_Mini_!$C:$K)</f>
        <v>Single</v>
      </c>
      <c r="K139" t="str">
        <f>_xlfn.XLOOKUP($A:$A,Instagram_Usage_Lifestyle_Mini_!$A:$A,Instagram_Usage_Lifestyle_Mini_!$C:$K)</f>
        <v>No</v>
      </c>
      <c r="L139" t="str" cm="1">
        <f t="array" ref="L139">_xlfn.IFS(C139&lt;18,"Under_18",C139&lt;=25,"Youth",C139&lt;=35,"Young_Adults",C139&lt;=45,"Mid_Adults",TRUE,"Seniors")</f>
        <v>Seniors</v>
      </c>
    </row>
    <row r="140" spans="1:12" x14ac:dyDescent="0.2">
      <c r="A140">
        <v>139</v>
      </c>
      <c r="B140" t="str">
        <f>_xlfn.XLOOKUP(A140,Instagram_Usage_Lifestyle_Mini_!A140,Instagram_Usage_Lifestyle_Mini_!B140,1)</f>
        <v>Instagram</v>
      </c>
      <c r="C140">
        <f>_xlfn.XLOOKUP($A:$A,Instagram_Usage_Lifestyle_Mini_!$A:$A,Instagram_Usage_Lifestyle_Mini_!$C:$K)</f>
        <v>52</v>
      </c>
      <c r="D140" t="str">
        <f>_xlfn.XLOOKUP($A:$A,Instagram_Usage_Lifestyle_Mini_!$A:$A,Instagram_Usage_Lifestyle_Mini_!$C:$K)</f>
        <v>Female</v>
      </c>
      <c r="E140" t="str">
        <f>_xlfn.XLOOKUP($A:$A,Instagram_Usage_Lifestyle_Mini_!$A:$A,Instagram_Usage_Lifestyle_Mini_!$C:$K)</f>
        <v>United_States</v>
      </c>
      <c r="F140" t="str">
        <f>_xlfn.XLOOKUP($A:$A,Instagram_Usage_Lifestyle_Mini_!$A:$A,Instagram_Usage_Lifestyle_Mini_!$C:$K)</f>
        <v>Urban</v>
      </c>
      <c r="G140" t="str">
        <f>_xlfn.XLOOKUP($A:$A,Instagram_Usage_Lifestyle_Mini_!$A:$A,Instagram_Usage_Lifestyle_Mini_!$C:$K)</f>
        <v>Middle</v>
      </c>
      <c r="H140" t="str">
        <f>_xlfn.XLOOKUP($A:$A,Instagram_Usage_Lifestyle_Mini_!$A:$A,Instagram_Usage_Lifestyle_Mini_!$C:$K)</f>
        <v>Part_time</v>
      </c>
      <c r="I140" t="str">
        <f>_xlfn.XLOOKUP($A:$A,Instagram_Usage_Lifestyle_Mini_!$A:$A,Instagram_Usage_Lifestyle_Mini_!$C:$K)</f>
        <v>Bachelors_degree</v>
      </c>
      <c r="J140" t="str">
        <f>_xlfn.XLOOKUP($A:$A,Instagram_Usage_Lifestyle_Mini_!$A:$A,Instagram_Usage_Lifestyle_Mini_!$C:$K)</f>
        <v>Single</v>
      </c>
      <c r="K140" t="str">
        <f>_xlfn.XLOOKUP($A:$A,Instagram_Usage_Lifestyle_Mini_!$A:$A,Instagram_Usage_Lifestyle_Mini_!$C:$K)</f>
        <v>No</v>
      </c>
      <c r="L140" t="str" cm="1">
        <f t="array" ref="L140">_xlfn.IFS(C140&lt;18,"Under_18",C140&lt;=25,"Youth",C140&lt;=35,"Young_Adults",C140&lt;=45,"Mid_Adults",TRUE,"Seniors")</f>
        <v>Seniors</v>
      </c>
    </row>
    <row r="141" spans="1:12" x14ac:dyDescent="0.2">
      <c r="A141">
        <v>140</v>
      </c>
      <c r="B141" t="str">
        <f>_xlfn.XLOOKUP(A141,Instagram_Usage_Lifestyle_Mini_!A141,Instagram_Usage_Lifestyle_Mini_!B141,1)</f>
        <v>Instagram</v>
      </c>
      <c r="C141">
        <f>_xlfn.XLOOKUP($A:$A,Instagram_Usage_Lifestyle_Mini_!$A:$A,Instagram_Usage_Lifestyle_Mini_!$C:$K)</f>
        <v>34</v>
      </c>
      <c r="D141" t="str">
        <f>_xlfn.XLOOKUP($A:$A,Instagram_Usage_Lifestyle_Mini_!$A:$A,Instagram_Usage_Lifestyle_Mini_!$C:$K)</f>
        <v>Female</v>
      </c>
      <c r="E141" t="str">
        <f>_xlfn.XLOOKUP($A:$A,Instagram_Usage_Lifestyle_Mini_!$A:$A,Instagram_Usage_Lifestyle_Mini_!$C:$K)</f>
        <v>South_Korea</v>
      </c>
      <c r="F141" t="str">
        <f>_xlfn.XLOOKUP($A:$A,Instagram_Usage_Lifestyle_Mini_!$A:$A,Instagram_Usage_Lifestyle_Mini_!$C:$K)</f>
        <v>Urban</v>
      </c>
      <c r="G141" t="str">
        <f>_xlfn.XLOOKUP($A:$A,Instagram_Usage_Lifestyle_Mini_!$A:$A,Instagram_Usage_Lifestyle_Mini_!$C:$K)</f>
        <v>Lower_middle</v>
      </c>
      <c r="H141" t="str">
        <f>_xlfn.XLOOKUP($A:$A,Instagram_Usage_Lifestyle_Mini_!$A:$A,Instagram_Usage_Lifestyle_Mini_!$C:$K)</f>
        <v>Student</v>
      </c>
      <c r="I141" t="str">
        <f>_xlfn.XLOOKUP($A:$A,Instagram_Usage_Lifestyle_Mini_!$A:$A,Instagram_Usage_Lifestyle_Mini_!$C:$K)</f>
        <v>High_school</v>
      </c>
      <c r="J141" t="str">
        <f>_xlfn.XLOOKUP($A:$A,Instagram_Usage_Lifestyle_Mini_!$A:$A,Instagram_Usage_Lifestyle_Mini_!$C:$K)</f>
        <v>Married</v>
      </c>
      <c r="K141" t="str">
        <f>_xlfn.XLOOKUP($A:$A,Instagram_Usage_Lifestyle_Mini_!$A:$A,Instagram_Usage_Lifestyle_Mini_!$C:$K)</f>
        <v>Yes</v>
      </c>
      <c r="L141" t="str" cm="1">
        <f t="array" ref="L141">_xlfn.IFS(C141&lt;18,"Under_18",C141&lt;=25,"Youth",C141&lt;=35,"Young_Adults",C141&lt;=45,"Mid_Adults",TRUE,"Seniors")</f>
        <v>Young_Adults</v>
      </c>
    </row>
    <row r="142" spans="1:12" x14ac:dyDescent="0.2">
      <c r="A142">
        <v>141</v>
      </c>
      <c r="B142" t="str">
        <f>_xlfn.XLOOKUP(A142,Instagram_Usage_Lifestyle_Mini_!A142,Instagram_Usage_Lifestyle_Mini_!B142,1)</f>
        <v>Instagram</v>
      </c>
      <c r="C142">
        <f>_xlfn.XLOOKUP($A:$A,Instagram_Usage_Lifestyle_Mini_!$A:$A,Instagram_Usage_Lifestyle_Mini_!$C:$K)</f>
        <v>39</v>
      </c>
      <c r="D142" t="str">
        <f>_xlfn.XLOOKUP($A:$A,Instagram_Usage_Lifestyle_Mini_!$A:$A,Instagram_Usage_Lifestyle_Mini_!$C:$K)</f>
        <v>Male</v>
      </c>
      <c r="E142" t="str">
        <f>_xlfn.XLOOKUP($A:$A,Instagram_Usage_Lifestyle_Mini_!$A:$A,Instagram_Usage_Lifestyle_Mini_!$C:$K)</f>
        <v>Canada</v>
      </c>
      <c r="F142" t="str">
        <f>_xlfn.XLOOKUP($A:$A,Instagram_Usage_Lifestyle_Mini_!$A:$A,Instagram_Usage_Lifestyle_Mini_!$C:$K)</f>
        <v>Suburban</v>
      </c>
      <c r="G142" t="str">
        <f>_xlfn.XLOOKUP($A:$A,Instagram_Usage_Lifestyle_Mini_!$A:$A,Instagram_Usage_Lifestyle_Mini_!$C:$K)</f>
        <v>Lower_middle</v>
      </c>
      <c r="H142" t="str">
        <f>_xlfn.XLOOKUP($A:$A,Instagram_Usage_Lifestyle_Mini_!$A:$A,Instagram_Usage_Lifestyle_Mini_!$C:$K)</f>
        <v>Part_time</v>
      </c>
      <c r="I142" t="str">
        <f>_xlfn.XLOOKUP($A:$A,Instagram_Usage_Lifestyle_Mini_!$A:$A,Instagram_Usage_Lifestyle_Mini_!$C:$K)</f>
        <v>High_school</v>
      </c>
      <c r="J142" t="str">
        <f>_xlfn.XLOOKUP($A:$A,Instagram_Usage_Lifestyle_Mini_!$A:$A,Instagram_Usage_Lifestyle_Mini_!$C:$K)</f>
        <v>In_a_relationship</v>
      </c>
      <c r="K142" t="str">
        <f>_xlfn.XLOOKUP($A:$A,Instagram_Usage_Lifestyle_Mini_!$A:$A,Instagram_Usage_Lifestyle_Mini_!$C:$K)</f>
        <v>No</v>
      </c>
      <c r="L142" t="str" cm="1">
        <f t="array" ref="L142">_xlfn.IFS(C142&lt;18,"Under_18",C142&lt;=25,"Youth",C142&lt;=35,"Young_Adults",C142&lt;=45,"Mid_Adults",TRUE,"Seniors")</f>
        <v>Mid_Adults</v>
      </c>
    </row>
    <row r="143" spans="1:12" x14ac:dyDescent="0.2">
      <c r="A143">
        <v>142</v>
      </c>
      <c r="B143" t="str">
        <f>_xlfn.XLOOKUP(A143,Instagram_Usage_Lifestyle_Mini_!A143,Instagram_Usage_Lifestyle_Mini_!B143,1)</f>
        <v>Instagram</v>
      </c>
      <c r="C143">
        <f>_xlfn.XLOOKUP($A:$A,Instagram_Usage_Lifestyle_Mini_!$A:$A,Instagram_Usage_Lifestyle_Mini_!$C:$K)</f>
        <v>47</v>
      </c>
      <c r="D143" t="str">
        <f>_xlfn.XLOOKUP($A:$A,Instagram_Usage_Lifestyle_Mini_!$A:$A,Instagram_Usage_Lifestyle_Mini_!$C:$K)</f>
        <v>Male</v>
      </c>
      <c r="E143" t="str">
        <f>_xlfn.XLOOKUP($A:$A,Instagram_Usage_Lifestyle_Mini_!$A:$A,Instagram_Usage_Lifestyle_Mini_!$C:$K)</f>
        <v>Brazil</v>
      </c>
      <c r="F143" t="str">
        <f>_xlfn.XLOOKUP($A:$A,Instagram_Usage_Lifestyle_Mini_!$A:$A,Instagram_Usage_Lifestyle_Mini_!$C:$K)</f>
        <v>Suburban</v>
      </c>
      <c r="G143" t="str">
        <f>_xlfn.XLOOKUP($A:$A,Instagram_Usage_Lifestyle_Mini_!$A:$A,Instagram_Usage_Lifestyle_Mini_!$C:$K)</f>
        <v>High</v>
      </c>
      <c r="H143" t="str">
        <f>_xlfn.XLOOKUP($A:$A,Instagram_Usage_Lifestyle_Mini_!$A:$A,Instagram_Usage_Lifestyle_Mini_!$C:$K)</f>
        <v>Freelancer</v>
      </c>
      <c r="I143" t="str">
        <f>_xlfn.XLOOKUP($A:$A,Instagram_Usage_Lifestyle_Mini_!$A:$A,Instagram_Usage_Lifestyle_Mini_!$C:$K)</f>
        <v>High_school</v>
      </c>
      <c r="J143" t="str">
        <f>_xlfn.XLOOKUP($A:$A,Instagram_Usage_Lifestyle_Mini_!$A:$A,Instagram_Usage_Lifestyle_Mini_!$C:$K)</f>
        <v>Married</v>
      </c>
      <c r="K143" t="str">
        <f>_xlfn.XLOOKUP($A:$A,Instagram_Usage_Lifestyle_Mini_!$A:$A,Instagram_Usage_Lifestyle_Mini_!$C:$K)</f>
        <v>No</v>
      </c>
      <c r="L143" t="str" cm="1">
        <f t="array" ref="L143">_xlfn.IFS(C143&lt;18,"Under_18",C143&lt;=25,"Youth",C143&lt;=35,"Young_Adults",C143&lt;=45,"Mid_Adults",TRUE,"Seniors")</f>
        <v>Seniors</v>
      </c>
    </row>
    <row r="144" spans="1:12" x14ac:dyDescent="0.2">
      <c r="A144">
        <v>143</v>
      </c>
      <c r="B144" t="str">
        <f>_xlfn.XLOOKUP(A144,Instagram_Usage_Lifestyle_Mini_!A144,Instagram_Usage_Lifestyle_Mini_!B144,1)</f>
        <v>Instagram</v>
      </c>
      <c r="C144">
        <f>_xlfn.XLOOKUP($A:$A,Instagram_Usage_Lifestyle_Mini_!$A:$A,Instagram_Usage_Lifestyle_Mini_!$C:$K)</f>
        <v>13</v>
      </c>
      <c r="D144" t="str">
        <f>_xlfn.XLOOKUP($A:$A,Instagram_Usage_Lifestyle_Mini_!$A:$A,Instagram_Usage_Lifestyle_Mini_!$C:$K)</f>
        <v>Female</v>
      </c>
      <c r="E144" t="str">
        <f>_xlfn.XLOOKUP($A:$A,Instagram_Usage_Lifestyle_Mini_!$A:$A,Instagram_Usage_Lifestyle_Mini_!$C:$K)</f>
        <v>Australia</v>
      </c>
      <c r="F144" t="str">
        <f>_xlfn.XLOOKUP($A:$A,Instagram_Usage_Lifestyle_Mini_!$A:$A,Instagram_Usage_Lifestyle_Mini_!$C:$K)</f>
        <v>Urban</v>
      </c>
      <c r="G144" t="str">
        <f>_xlfn.XLOOKUP($A:$A,Instagram_Usage_Lifestyle_Mini_!$A:$A,Instagram_Usage_Lifestyle_Mini_!$C:$K)</f>
        <v>Low</v>
      </c>
      <c r="H144" t="str">
        <f>_xlfn.XLOOKUP($A:$A,Instagram_Usage_Lifestyle_Mini_!$A:$A,Instagram_Usage_Lifestyle_Mini_!$C:$K)</f>
        <v>Full_time_employed</v>
      </c>
      <c r="I144" t="str">
        <f>_xlfn.XLOOKUP($A:$A,Instagram_Usage_Lifestyle_Mini_!$A:$A,Instagram_Usage_Lifestyle_Mini_!$C:$K)</f>
        <v>Bachelors_degree</v>
      </c>
      <c r="J144" t="str">
        <f>_xlfn.XLOOKUP($A:$A,Instagram_Usage_Lifestyle_Mini_!$A:$A,Instagram_Usage_Lifestyle_Mini_!$C:$K)</f>
        <v>In_a_relationship</v>
      </c>
      <c r="K144" t="str">
        <f>_xlfn.XLOOKUP($A:$A,Instagram_Usage_Lifestyle_Mini_!$A:$A,Instagram_Usage_Lifestyle_Mini_!$C:$K)</f>
        <v>No</v>
      </c>
      <c r="L144" t="str" cm="1">
        <f t="array" ref="L144">_xlfn.IFS(C144&lt;18,"Under_18",C144&lt;=25,"Youth",C144&lt;=35,"Young_Adults",C144&lt;=45,"Mid_Adults",TRUE,"Seniors")</f>
        <v>Under_18</v>
      </c>
    </row>
    <row r="145" spans="1:12" x14ac:dyDescent="0.2">
      <c r="A145">
        <v>144</v>
      </c>
      <c r="B145" t="str">
        <f>_xlfn.XLOOKUP(A145,Instagram_Usage_Lifestyle_Mini_!A145,Instagram_Usage_Lifestyle_Mini_!B145,1)</f>
        <v>Instagram</v>
      </c>
      <c r="C145">
        <f>_xlfn.XLOOKUP($A:$A,Instagram_Usage_Lifestyle_Mini_!$A:$A,Instagram_Usage_Lifestyle_Mini_!$C:$K)</f>
        <v>47</v>
      </c>
      <c r="D145" t="str">
        <f>_xlfn.XLOOKUP($A:$A,Instagram_Usage_Lifestyle_Mini_!$A:$A,Instagram_Usage_Lifestyle_Mini_!$C:$K)</f>
        <v>Female</v>
      </c>
      <c r="E145" t="str">
        <f>_xlfn.XLOOKUP($A:$A,Instagram_Usage_Lifestyle_Mini_!$A:$A,Instagram_Usage_Lifestyle_Mini_!$C:$K)</f>
        <v>Brazil</v>
      </c>
      <c r="F145" t="str">
        <f>_xlfn.XLOOKUP($A:$A,Instagram_Usage_Lifestyle_Mini_!$A:$A,Instagram_Usage_Lifestyle_Mini_!$C:$K)</f>
        <v>Urban</v>
      </c>
      <c r="G145" t="str">
        <f>_xlfn.XLOOKUP($A:$A,Instagram_Usage_Lifestyle_Mini_!$A:$A,Instagram_Usage_Lifestyle_Mini_!$C:$K)</f>
        <v>High</v>
      </c>
      <c r="H145" t="str">
        <f>_xlfn.XLOOKUP($A:$A,Instagram_Usage_Lifestyle_Mini_!$A:$A,Instagram_Usage_Lifestyle_Mini_!$C:$K)</f>
        <v>Full_time_employed</v>
      </c>
      <c r="I145" t="str">
        <f>_xlfn.XLOOKUP($A:$A,Instagram_Usage_Lifestyle_Mini_!$A:$A,Instagram_Usage_Lifestyle_Mini_!$C:$K)</f>
        <v>Bachelors_degree</v>
      </c>
      <c r="J145" t="str">
        <f>_xlfn.XLOOKUP($A:$A,Instagram_Usage_Lifestyle_Mini_!$A:$A,Instagram_Usage_Lifestyle_Mini_!$C:$K)</f>
        <v>Single</v>
      </c>
      <c r="K145" t="str">
        <f>_xlfn.XLOOKUP($A:$A,Instagram_Usage_Lifestyle_Mini_!$A:$A,Instagram_Usage_Lifestyle_Mini_!$C:$K)</f>
        <v>No</v>
      </c>
      <c r="L145" t="str" cm="1">
        <f t="array" ref="L145">_xlfn.IFS(C145&lt;18,"Under_18",C145&lt;=25,"Youth",C145&lt;=35,"Young_Adults",C145&lt;=45,"Mid_Adults",TRUE,"Seniors")</f>
        <v>Seniors</v>
      </c>
    </row>
    <row r="146" spans="1:12" x14ac:dyDescent="0.2">
      <c r="A146">
        <v>145</v>
      </c>
      <c r="B146" t="str">
        <f>_xlfn.XLOOKUP(A146,Instagram_Usage_Lifestyle_Mini_!A146,Instagram_Usage_Lifestyle_Mini_!B146,1)</f>
        <v>Instagram</v>
      </c>
      <c r="C146">
        <f>_xlfn.XLOOKUP($A:$A,Instagram_Usage_Lifestyle_Mini_!$A:$A,Instagram_Usage_Lifestyle_Mini_!$C:$K)</f>
        <v>49</v>
      </c>
      <c r="D146" t="str">
        <f>_xlfn.XLOOKUP($A:$A,Instagram_Usage_Lifestyle_Mini_!$A:$A,Instagram_Usage_Lifestyle_Mini_!$C:$K)</f>
        <v>Female</v>
      </c>
      <c r="E146" t="str">
        <f>_xlfn.XLOOKUP($A:$A,Instagram_Usage_Lifestyle_Mini_!$A:$A,Instagram_Usage_Lifestyle_Mini_!$C:$K)</f>
        <v>Brazil</v>
      </c>
      <c r="F146" t="str">
        <f>_xlfn.XLOOKUP($A:$A,Instagram_Usage_Lifestyle_Mini_!$A:$A,Instagram_Usage_Lifestyle_Mini_!$C:$K)</f>
        <v>Urban</v>
      </c>
      <c r="G146" t="str">
        <f>_xlfn.XLOOKUP($A:$A,Instagram_Usage_Lifestyle_Mini_!$A:$A,Instagram_Usage_Lifestyle_Mini_!$C:$K)</f>
        <v>Lower_middle</v>
      </c>
      <c r="H146" t="str">
        <f>_xlfn.XLOOKUP($A:$A,Instagram_Usage_Lifestyle_Mini_!$A:$A,Instagram_Usage_Lifestyle_Mini_!$C:$K)</f>
        <v>Freelancer</v>
      </c>
      <c r="I146" t="str">
        <f>_xlfn.XLOOKUP($A:$A,Instagram_Usage_Lifestyle_Mini_!$A:$A,Instagram_Usage_Lifestyle_Mini_!$C:$K)</f>
        <v>Masters_degree</v>
      </c>
      <c r="J146" t="str">
        <f>_xlfn.XLOOKUP($A:$A,Instagram_Usage_Lifestyle_Mini_!$A:$A,Instagram_Usage_Lifestyle_Mini_!$C:$K)</f>
        <v>Single</v>
      </c>
      <c r="K146" t="str">
        <f>_xlfn.XLOOKUP($A:$A,Instagram_Usage_Lifestyle_Mini_!$A:$A,Instagram_Usage_Lifestyle_Mini_!$C:$K)</f>
        <v>Yes</v>
      </c>
      <c r="L146" t="str" cm="1">
        <f t="array" ref="L146">_xlfn.IFS(C146&lt;18,"Under_18",C146&lt;=25,"Youth",C146&lt;=35,"Young_Adults",C146&lt;=45,"Mid_Adults",TRUE,"Seniors")</f>
        <v>Seniors</v>
      </c>
    </row>
    <row r="147" spans="1:12" x14ac:dyDescent="0.2">
      <c r="A147">
        <v>146</v>
      </c>
      <c r="B147" t="str">
        <f>_xlfn.XLOOKUP(A147,Instagram_Usage_Lifestyle_Mini_!A147,Instagram_Usage_Lifestyle_Mini_!B147,1)</f>
        <v>Instagram</v>
      </c>
      <c r="C147">
        <f>_xlfn.XLOOKUP($A:$A,Instagram_Usage_Lifestyle_Mini_!$A:$A,Instagram_Usage_Lifestyle_Mini_!$C:$K)</f>
        <v>59</v>
      </c>
      <c r="D147" t="str">
        <f>_xlfn.XLOOKUP($A:$A,Instagram_Usage_Lifestyle_Mini_!$A:$A,Instagram_Usage_Lifestyle_Mini_!$C:$K)</f>
        <v>Prefer_not _to _say</v>
      </c>
      <c r="E147" t="str">
        <f>_xlfn.XLOOKUP($A:$A,Instagram_Usage_Lifestyle_Mini_!$A:$A,Instagram_Usage_Lifestyle_Mini_!$C:$K)</f>
        <v>United_States</v>
      </c>
      <c r="F147" t="str">
        <f>_xlfn.XLOOKUP($A:$A,Instagram_Usage_Lifestyle_Mini_!$A:$A,Instagram_Usage_Lifestyle_Mini_!$C:$K)</f>
        <v>Suburban</v>
      </c>
      <c r="G147" t="str">
        <f>_xlfn.XLOOKUP($A:$A,Instagram_Usage_Lifestyle_Mini_!$A:$A,Instagram_Usage_Lifestyle_Mini_!$C:$K)</f>
        <v>Lower_middle</v>
      </c>
      <c r="H147" t="str">
        <f>_xlfn.XLOOKUP($A:$A,Instagram_Usage_Lifestyle_Mini_!$A:$A,Instagram_Usage_Lifestyle_Mini_!$C:$K)</f>
        <v>Full_time_employed</v>
      </c>
      <c r="I147" t="str">
        <f>_xlfn.XLOOKUP($A:$A,Instagram_Usage_Lifestyle_Mini_!$A:$A,Instagram_Usage_Lifestyle_Mini_!$C:$K)</f>
        <v>Bachelors_degree</v>
      </c>
      <c r="J147" t="str">
        <f>_xlfn.XLOOKUP($A:$A,Instagram_Usage_Lifestyle_Mini_!$A:$A,Instagram_Usage_Lifestyle_Mini_!$C:$K)</f>
        <v>In_a_relationship</v>
      </c>
      <c r="K147" t="str">
        <f>_xlfn.XLOOKUP($A:$A,Instagram_Usage_Lifestyle_Mini_!$A:$A,Instagram_Usage_Lifestyle_Mini_!$C:$K)</f>
        <v>Yes</v>
      </c>
      <c r="L147" t="str" cm="1">
        <f t="array" ref="L147">_xlfn.IFS(C147&lt;18,"Under_18",C147&lt;=25,"Youth",C147&lt;=35,"Young_Adults",C147&lt;=45,"Mid_Adults",TRUE,"Seniors")</f>
        <v>Seniors</v>
      </c>
    </row>
    <row r="148" spans="1:12" x14ac:dyDescent="0.2">
      <c r="A148">
        <v>147</v>
      </c>
      <c r="B148" t="str">
        <f>_xlfn.XLOOKUP(A148,Instagram_Usage_Lifestyle_Mini_!A148,Instagram_Usage_Lifestyle_Mini_!B148,1)</f>
        <v>Instagram</v>
      </c>
      <c r="C148">
        <f>_xlfn.XLOOKUP($A:$A,Instagram_Usage_Lifestyle_Mini_!$A:$A,Instagram_Usage_Lifestyle_Mini_!$C:$K)</f>
        <v>26</v>
      </c>
      <c r="D148" t="str">
        <f>_xlfn.XLOOKUP($A:$A,Instagram_Usage_Lifestyle_Mini_!$A:$A,Instagram_Usage_Lifestyle_Mini_!$C:$K)</f>
        <v>Male</v>
      </c>
      <c r="E148" t="str">
        <f>_xlfn.XLOOKUP($A:$A,Instagram_Usage_Lifestyle_Mini_!$A:$A,Instagram_Usage_Lifestyle_Mini_!$C:$K)</f>
        <v>Canada</v>
      </c>
      <c r="F148" t="str">
        <f>_xlfn.XLOOKUP($A:$A,Instagram_Usage_Lifestyle_Mini_!$A:$A,Instagram_Usage_Lifestyle_Mini_!$C:$K)</f>
        <v>Urban</v>
      </c>
      <c r="G148" t="str">
        <f>_xlfn.XLOOKUP($A:$A,Instagram_Usage_Lifestyle_Mini_!$A:$A,Instagram_Usage_Lifestyle_Mini_!$C:$K)</f>
        <v>Upper_middle</v>
      </c>
      <c r="H148" t="str">
        <f>_xlfn.XLOOKUP($A:$A,Instagram_Usage_Lifestyle_Mini_!$A:$A,Instagram_Usage_Lifestyle_Mini_!$C:$K)</f>
        <v>Full_time_employed</v>
      </c>
      <c r="I148" t="str">
        <f>_xlfn.XLOOKUP($A:$A,Instagram_Usage_Lifestyle_Mini_!$A:$A,Instagram_Usage_Lifestyle_Mini_!$C:$K)</f>
        <v>Bachelors_degree</v>
      </c>
      <c r="J148" t="str">
        <f>_xlfn.XLOOKUP($A:$A,Instagram_Usage_Lifestyle_Mini_!$A:$A,Instagram_Usage_Lifestyle_Mini_!$C:$K)</f>
        <v>In_a_relationship</v>
      </c>
      <c r="K148" t="str">
        <f>_xlfn.XLOOKUP($A:$A,Instagram_Usage_Lifestyle_Mini_!$A:$A,Instagram_Usage_Lifestyle_Mini_!$C:$K)</f>
        <v>Yes</v>
      </c>
      <c r="L148" t="str" cm="1">
        <f t="array" ref="L148">_xlfn.IFS(C148&lt;18,"Under_18",C148&lt;=25,"Youth",C148&lt;=35,"Young_Adults",C148&lt;=45,"Mid_Adults",TRUE,"Seniors")</f>
        <v>Young_Adults</v>
      </c>
    </row>
    <row r="149" spans="1:12" x14ac:dyDescent="0.2">
      <c r="A149">
        <v>148</v>
      </c>
      <c r="B149" t="str">
        <f>_xlfn.XLOOKUP(A149,Instagram_Usage_Lifestyle_Mini_!A149,Instagram_Usage_Lifestyle_Mini_!B149,1)</f>
        <v>Instagram</v>
      </c>
      <c r="C149">
        <f>_xlfn.XLOOKUP($A:$A,Instagram_Usage_Lifestyle_Mini_!$A:$A,Instagram_Usage_Lifestyle_Mini_!$C:$K)</f>
        <v>15</v>
      </c>
      <c r="D149" t="str">
        <f>_xlfn.XLOOKUP($A:$A,Instagram_Usage_Lifestyle_Mini_!$A:$A,Instagram_Usage_Lifestyle_Mini_!$C:$K)</f>
        <v>Female</v>
      </c>
      <c r="E149" t="str">
        <f>_xlfn.XLOOKUP($A:$A,Instagram_Usage_Lifestyle_Mini_!$A:$A,Instagram_Usage_Lifestyle_Mini_!$C:$K)</f>
        <v>United _Kingdom</v>
      </c>
      <c r="F149" t="str">
        <f>_xlfn.XLOOKUP($A:$A,Instagram_Usage_Lifestyle_Mini_!$A:$A,Instagram_Usage_Lifestyle_Mini_!$C:$K)</f>
        <v>Suburban</v>
      </c>
      <c r="G149" t="str">
        <f>_xlfn.XLOOKUP($A:$A,Instagram_Usage_Lifestyle_Mini_!$A:$A,Instagram_Usage_Lifestyle_Mini_!$C:$K)</f>
        <v>Middle</v>
      </c>
      <c r="H149" t="str">
        <f>_xlfn.XLOOKUP($A:$A,Instagram_Usage_Lifestyle_Mini_!$A:$A,Instagram_Usage_Lifestyle_Mini_!$C:$K)</f>
        <v>Unemployed</v>
      </c>
      <c r="I149" t="str">
        <f>_xlfn.XLOOKUP($A:$A,Instagram_Usage_Lifestyle_Mini_!$A:$A,Instagram_Usage_Lifestyle_Mini_!$C:$K)</f>
        <v>High_school</v>
      </c>
      <c r="J149" t="str">
        <f>_xlfn.XLOOKUP($A:$A,Instagram_Usage_Lifestyle_Mini_!$A:$A,Instagram_Usage_Lifestyle_Mini_!$C:$K)</f>
        <v>Single</v>
      </c>
      <c r="K149" t="str">
        <f>_xlfn.XLOOKUP($A:$A,Instagram_Usage_Lifestyle_Mini_!$A:$A,Instagram_Usage_Lifestyle_Mini_!$C:$K)</f>
        <v>No</v>
      </c>
      <c r="L149" t="str" cm="1">
        <f t="array" ref="L149">_xlfn.IFS(C149&lt;18,"Under_18",C149&lt;=25,"Youth",C149&lt;=35,"Young_Adults",C149&lt;=45,"Mid_Adults",TRUE,"Seniors")</f>
        <v>Under_18</v>
      </c>
    </row>
    <row r="150" spans="1:12" x14ac:dyDescent="0.2">
      <c r="A150">
        <v>149</v>
      </c>
      <c r="B150" t="str">
        <f>_xlfn.XLOOKUP(A150,Instagram_Usage_Lifestyle_Mini_!A150,Instagram_Usage_Lifestyle_Mini_!B150,1)</f>
        <v>Instagram</v>
      </c>
      <c r="C150">
        <f>_xlfn.XLOOKUP($A:$A,Instagram_Usage_Lifestyle_Mini_!$A:$A,Instagram_Usage_Lifestyle_Mini_!$C:$K)</f>
        <v>13</v>
      </c>
      <c r="D150" t="str">
        <f>_xlfn.XLOOKUP($A:$A,Instagram_Usage_Lifestyle_Mini_!$A:$A,Instagram_Usage_Lifestyle_Mini_!$C:$K)</f>
        <v>Non_binary</v>
      </c>
      <c r="E150" t="str">
        <f>_xlfn.XLOOKUP($A:$A,Instagram_Usage_Lifestyle_Mini_!$A:$A,Instagram_Usage_Lifestyle_Mini_!$C:$K)</f>
        <v>Other</v>
      </c>
      <c r="F150" t="str">
        <f>_xlfn.XLOOKUP($A:$A,Instagram_Usage_Lifestyle_Mini_!$A:$A,Instagram_Usage_Lifestyle_Mini_!$C:$K)</f>
        <v>Urban</v>
      </c>
      <c r="G150" t="str">
        <f>_xlfn.XLOOKUP($A:$A,Instagram_Usage_Lifestyle_Mini_!$A:$A,Instagram_Usage_Lifestyle_Mini_!$C:$K)</f>
        <v>Middle</v>
      </c>
      <c r="H150" t="str">
        <f>_xlfn.XLOOKUP($A:$A,Instagram_Usage_Lifestyle_Mini_!$A:$A,Instagram_Usage_Lifestyle_Mini_!$C:$K)</f>
        <v>Student</v>
      </c>
      <c r="I150" t="str">
        <f>_xlfn.XLOOKUP($A:$A,Instagram_Usage_Lifestyle_Mini_!$A:$A,Instagram_Usage_Lifestyle_Mini_!$C:$K)</f>
        <v>Bachelors_degree</v>
      </c>
      <c r="J150" t="str">
        <f>_xlfn.XLOOKUP($A:$A,Instagram_Usage_Lifestyle_Mini_!$A:$A,Instagram_Usage_Lifestyle_Mini_!$C:$K)</f>
        <v>In_a_relationship</v>
      </c>
      <c r="K150" t="str">
        <f>_xlfn.XLOOKUP($A:$A,Instagram_Usage_Lifestyle_Mini_!$A:$A,Instagram_Usage_Lifestyle_Mini_!$C:$K)</f>
        <v>Yes</v>
      </c>
      <c r="L150" t="str" cm="1">
        <f t="array" ref="L150">_xlfn.IFS(C150&lt;18,"Under_18",C150&lt;=25,"Youth",C150&lt;=35,"Young_Adults",C150&lt;=45,"Mid_Adults",TRUE,"Seniors")</f>
        <v>Under_18</v>
      </c>
    </row>
    <row r="151" spans="1:12" x14ac:dyDescent="0.2">
      <c r="A151">
        <v>150</v>
      </c>
      <c r="B151" t="str">
        <f>_xlfn.XLOOKUP(A151,Instagram_Usage_Lifestyle_Mini_!A151,Instagram_Usage_Lifestyle_Mini_!B151,1)</f>
        <v>Instagram</v>
      </c>
      <c r="C151">
        <f>_xlfn.XLOOKUP($A:$A,Instagram_Usage_Lifestyle_Mini_!$A:$A,Instagram_Usage_Lifestyle_Mini_!$C:$K)</f>
        <v>17</v>
      </c>
      <c r="D151" t="str">
        <f>_xlfn.XLOOKUP($A:$A,Instagram_Usage_Lifestyle_Mini_!$A:$A,Instagram_Usage_Lifestyle_Mini_!$C:$K)</f>
        <v>Female</v>
      </c>
      <c r="E151" t="str">
        <f>_xlfn.XLOOKUP($A:$A,Instagram_Usage_Lifestyle_Mini_!$A:$A,Instagram_Usage_Lifestyle_Mini_!$C:$K)</f>
        <v>Australia</v>
      </c>
      <c r="F151" t="str">
        <f>_xlfn.XLOOKUP($A:$A,Instagram_Usage_Lifestyle_Mini_!$A:$A,Instagram_Usage_Lifestyle_Mini_!$C:$K)</f>
        <v>Urban</v>
      </c>
      <c r="G151" t="str">
        <f>_xlfn.XLOOKUP($A:$A,Instagram_Usage_Lifestyle_Mini_!$A:$A,Instagram_Usage_Lifestyle_Mini_!$C:$K)</f>
        <v>Upper_middle</v>
      </c>
      <c r="H151" t="str">
        <f>_xlfn.XLOOKUP($A:$A,Instagram_Usage_Lifestyle_Mini_!$A:$A,Instagram_Usage_Lifestyle_Mini_!$C:$K)</f>
        <v>Student</v>
      </c>
      <c r="I151" t="str">
        <f>_xlfn.XLOOKUP($A:$A,Instagram_Usage_Lifestyle_Mini_!$A:$A,Instagram_Usage_Lifestyle_Mini_!$C:$K)</f>
        <v>Bachelors_degree</v>
      </c>
      <c r="J151" t="str">
        <f>_xlfn.XLOOKUP($A:$A,Instagram_Usage_Lifestyle_Mini_!$A:$A,Instagram_Usage_Lifestyle_Mini_!$C:$K)</f>
        <v>Single</v>
      </c>
      <c r="K151" t="str">
        <f>_xlfn.XLOOKUP($A:$A,Instagram_Usage_Lifestyle_Mini_!$A:$A,Instagram_Usage_Lifestyle_Mini_!$C:$K)</f>
        <v>No</v>
      </c>
      <c r="L151" t="str" cm="1">
        <f t="array" ref="L151">_xlfn.IFS(C151&lt;18,"Under_18",C151&lt;=25,"Youth",C151&lt;=35,"Young_Adults",C151&lt;=45,"Mid_Adults",TRUE,"Seniors")</f>
        <v>Under_18</v>
      </c>
    </row>
    <row r="152" spans="1:12" x14ac:dyDescent="0.2">
      <c r="A152">
        <v>151</v>
      </c>
      <c r="B152" t="str">
        <f>_xlfn.XLOOKUP(A152,Instagram_Usage_Lifestyle_Mini_!A152,Instagram_Usage_Lifestyle_Mini_!B152,1)</f>
        <v>Instagram</v>
      </c>
      <c r="C152">
        <f>_xlfn.XLOOKUP($A:$A,Instagram_Usage_Lifestyle_Mini_!$A:$A,Instagram_Usage_Lifestyle_Mini_!$C:$K)</f>
        <v>38</v>
      </c>
      <c r="D152" t="str">
        <f>_xlfn.XLOOKUP($A:$A,Instagram_Usage_Lifestyle_Mini_!$A:$A,Instagram_Usage_Lifestyle_Mini_!$C:$K)</f>
        <v>Male</v>
      </c>
      <c r="E152" t="str">
        <f>_xlfn.XLOOKUP($A:$A,Instagram_Usage_Lifestyle_Mini_!$A:$A,Instagram_Usage_Lifestyle_Mini_!$C:$K)</f>
        <v>United _Kingdom</v>
      </c>
      <c r="F152" t="str">
        <f>_xlfn.XLOOKUP($A:$A,Instagram_Usage_Lifestyle_Mini_!$A:$A,Instagram_Usage_Lifestyle_Mini_!$C:$K)</f>
        <v>Urban</v>
      </c>
      <c r="G152" t="str">
        <f>_xlfn.XLOOKUP($A:$A,Instagram_Usage_Lifestyle_Mini_!$A:$A,Instagram_Usage_Lifestyle_Mini_!$C:$K)</f>
        <v>Lower_middle</v>
      </c>
      <c r="H152" t="str">
        <f>_xlfn.XLOOKUP($A:$A,Instagram_Usage_Lifestyle_Mini_!$A:$A,Instagram_Usage_Lifestyle_Mini_!$C:$K)</f>
        <v>Full_time_employed</v>
      </c>
      <c r="I152" t="str">
        <f>_xlfn.XLOOKUP($A:$A,Instagram_Usage_Lifestyle_Mini_!$A:$A,Instagram_Usage_Lifestyle_Mini_!$C:$K)</f>
        <v>Bachelors_degree</v>
      </c>
      <c r="J152" t="str">
        <f>_xlfn.XLOOKUP($A:$A,Instagram_Usage_Lifestyle_Mini_!$A:$A,Instagram_Usage_Lifestyle_Mini_!$C:$K)</f>
        <v>Single</v>
      </c>
      <c r="K152" t="str">
        <f>_xlfn.XLOOKUP($A:$A,Instagram_Usage_Lifestyle_Mini_!$A:$A,Instagram_Usage_Lifestyle_Mini_!$C:$K)</f>
        <v>No</v>
      </c>
      <c r="L152" t="str" cm="1">
        <f t="array" ref="L152">_xlfn.IFS(C152&lt;18,"Under_18",C152&lt;=25,"Youth",C152&lt;=35,"Young_Adults",C152&lt;=45,"Mid_Adults",TRUE,"Seniors")</f>
        <v>Mid_Adults</v>
      </c>
    </row>
    <row r="153" spans="1:12" x14ac:dyDescent="0.2">
      <c r="A153">
        <v>152</v>
      </c>
      <c r="B153" t="str">
        <f>_xlfn.XLOOKUP(A153,Instagram_Usage_Lifestyle_Mini_!A153,Instagram_Usage_Lifestyle_Mini_!B153,1)</f>
        <v>Instagram</v>
      </c>
      <c r="C153">
        <f>_xlfn.XLOOKUP($A:$A,Instagram_Usage_Lifestyle_Mini_!$A:$A,Instagram_Usage_Lifestyle_Mini_!$C:$K)</f>
        <v>26</v>
      </c>
      <c r="D153" t="str">
        <f>_xlfn.XLOOKUP($A:$A,Instagram_Usage_Lifestyle_Mini_!$A:$A,Instagram_Usage_Lifestyle_Mini_!$C:$K)</f>
        <v>Female</v>
      </c>
      <c r="E153" t="str">
        <f>_xlfn.XLOOKUP($A:$A,Instagram_Usage_Lifestyle_Mini_!$A:$A,Instagram_Usage_Lifestyle_Mini_!$C:$K)</f>
        <v>United_States</v>
      </c>
      <c r="F153" t="str">
        <f>_xlfn.XLOOKUP($A:$A,Instagram_Usage_Lifestyle_Mini_!$A:$A,Instagram_Usage_Lifestyle_Mini_!$C:$K)</f>
        <v>Suburban</v>
      </c>
      <c r="G153" t="str">
        <f>_xlfn.XLOOKUP($A:$A,Instagram_Usage_Lifestyle_Mini_!$A:$A,Instagram_Usage_Lifestyle_Mini_!$C:$K)</f>
        <v>Low</v>
      </c>
      <c r="H153" t="str">
        <f>_xlfn.XLOOKUP($A:$A,Instagram_Usage_Lifestyle_Mini_!$A:$A,Instagram_Usage_Lifestyle_Mini_!$C:$K)</f>
        <v>Freelancer</v>
      </c>
      <c r="I153" t="str">
        <f>_xlfn.XLOOKUP($A:$A,Instagram_Usage_Lifestyle_Mini_!$A:$A,Instagram_Usage_Lifestyle_Mini_!$C:$K)</f>
        <v>Some_college</v>
      </c>
      <c r="J153" t="str">
        <f>_xlfn.XLOOKUP($A:$A,Instagram_Usage_Lifestyle_Mini_!$A:$A,Instagram_Usage_Lifestyle_Mini_!$C:$K)</f>
        <v>In_a_relationship</v>
      </c>
      <c r="K153" t="str">
        <f>_xlfn.XLOOKUP($A:$A,Instagram_Usage_Lifestyle_Mini_!$A:$A,Instagram_Usage_Lifestyle_Mini_!$C:$K)</f>
        <v>No</v>
      </c>
      <c r="L153" t="str" cm="1">
        <f t="array" ref="L153">_xlfn.IFS(C153&lt;18,"Under_18",C153&lt;=25,"Youth",C153&lt;=35,"Young_Adults",C153&lt;=45,"Mid_Adults",TRUE,"Seniors")</f>
        <v>Young_Adults</v>
      </c>
    </row>
    <row r="154" spans="1:12" x14ac:dyDescent="0.2">
      <c r="A154">
        <v>153</v>
      </c>
      <c r="B154" t="str">
        <f>_xlfn.XLOOKUP(A154,Instagram_Usage_Lifestyle_Mini_!A154,Instagram_Usage_Lifestyle_Mini_!B154,1)</f>
        <v>Instagram</v>
      </c>
      <c r="C154">
        <f>_xlfn.XLOOKUP($A:$A,Instagram_Usage_Lifestyle_Mini_!$A:$A,Instagram_Usage_Lifestyle_Mini_!$C:$K)</f>
        <v>51</v>
      </c>
      <c r="D154" t="str">
        <f>_xlfn.XLOOKUP($A:$A,Instagram_Usage_Lifestyle_Mini_!$A:$A,Instagram_Usage_Lifestyle_Mini_!$C:$K)</f>
        <v>Female</v>
      </c>
      <c r="E154" t="str">
        <f>_xlfn.XLOOKUP($A:$A,Instagram_Usage_Lifestyle_Mini_!$A:$A,Instagram_Usage_Lifestyle_Mini_!$C:$K)</f>
        <v>United_States</v>
      </c>
      <c r="F154" t="str">
        <f>_xlfn.XLOOKUP($A:$A,Instagram_Usage_Lifestyle_Mini_!$A:$A,Instagram_Usage_Lifestyle_Mini_!$C:$K)</f>
        <v>Rural</v>
      </c>
      <c r="G154" t="str">
        <f>_xlfn.XLOOKUP($A:$A,Instagram_Usage_Lifestyle_Mini_!$A:$A,Instagram_Usage_Lifestyle_Mini_!$C:$K)</f>
        <v>Lower_middle</v>
      </c>
      <c r="H154" t="str">
        <f>_xlfn.XLOOKUP($A:$A,Instagram_Usage_Lifestyle_Mini_!$A:$A,Instagram_Usage_Lifestyle_Mini_!$C:$K)</f>
        <v>Student</v>
      </c>
      <c r="I154" t="str">
        <f>_xlfn.XLOOKUP($A:$A,Instagram_Usage_Lifestyle_Mini_!$A:$A,Instagram_Usage_Lifestyle_Mini_!$C:$K)</f>
        <v>Some_college</v>
      </c>
      <c r="J154" t="str">
        <f>_xlfn.XLOOKUP($A:$A,Instagram_Usage_Lifestyle_Mini_!$A:$A,Instagram_Usage_Lifestyle_Mini_!$C:$K)</f>
        <v>Single</v>
      </c>
      <c r="K154" t="str">
        <f>_xlfn.XLOOKUP($A:$A,Instagram_Usage_Lifestyle_Mini_!$A:$A,Instagram_Usage_Lifestyle_Mini_!$C:$K)</f>
        <v>No</v>
      </c>
      <c r="L154" t="str" cm="1">
        <f t="array" ref="L154">_xlfn.IFS(C154&lt;18,"Under_18",C154&lt;=25,"Youth",C154&lt;=35,"Young_Adults",C154&lt;=45,"Mid_Adults",TRUE,"Seniors")</f>
        <v>Seniors</v>
      </c>
    </row>
    <row r="155" spans="1:12" x14ac:dyDescent="0.2">
      <c r="A155">
        <v>154</v>
      </c>
      <c r="B155" t="str">
        <f>_xlfn.XLOOKUP(A155,Instagram_Usage_Lifestyle_Mini_!A155,Instagram_Usage_Lifestyle_Mini_!B155,1)</f>
        <v>Instagram</v>
      </c>
      <c r="C155">
        <f>_xlfn.XLOOKUP($A:$A,Instagram_Usage_Lifestyle_Mini_!$A:$A,Instagram_Usage_Lifestyle_Mini_!$C:$K)</f>
        <v>39</v>
      </c>
      <c r="D155" t="str">
        <f>_xlfn.XLOOKUP($A:$A,Instagram_Usage_Lifestyle_Mini_!$A:$A,Instagram_Usage_Lifestyle_Mini_!$C:$K)</f>
        <v>Non_binary</v>
      </c>
      <c r="E155" t="str">
        <f>_xlfn.XLOOKUP($A:$A,Instagram_Usage_Lifestyle_Mini_!$A:$A,Instagram_Usage_Lifestyle_Mini_!$C:$K)</f>
        <v>United_States</v>
      </c>
      <c r="F155" t="str">
        <f>_xlfn.XLOOKUP($A:$A,Instagram_Usage_Lifestyle_Mini_!$A:$A,Instagram_Usage_Lifestyle_Mini_!$C:$K)</f>
        <v>Urban</v>
      </c>
      <c r="G155" t="str">
        <f>_xlfn.XLOOKUP($A:$A,Instagram_Usage_Lifestyle_Mini_!$A:$A,Instagram_Usage_Lifestyle_Mini_!$C:$K)</f>
        <v>Middle</v>
      </c>
      <c r="H155" t="str">
        <f>_xlfn.XLOOKUP($A:$A,Instagram_Usage_Lifestyle_Mini_!$A:$A,Instagram_Usage_Lifestyle_Mini_!$C:$K)</f>
        <v>Part_time</v>
      </c>
      <c r="I155" t="str">
        <f>_xlfn.XLOOKUP($A:$A,Instagram_Usage_Lifestyle_Mini_!$A:$A,Instagram_Usage_Lifestyle_Mini_!$C:$K)</f>
        <v>High_school</v>
      </c>
      <c r="J155" t="str">
        <f>_xlfn.XLOOKUP($A:$A,Instagram_Usage_Lifestyle_Mini_!$A:$A,Instagram_Usage_Lifestyle_Mini_!$C:$K)</f>
        <v>Married</v>
      </c>
      <c r="K155" t="str">
        <f>_xlfn.XLOOKUP($A:$A,Instagram_Usage_Lifestyle_Mini_!$A:$A,Instagram_Usage_Lifestyle_Mini_!$C:$K)</f>
        <v>Yes</v>
      </c>
      <c r="L155" t="str" cm="1">
        <f t="array" ref="L155">_xlfn.IFS(C155&lt;18,"Under_18",C155&lt;=25,"Youth",C155&lt;=35,"Young_Adults",C155&lt;=45,"Mid_Adults",TRUE,"Seniors")</f>
        <v>Mid_Adults</v>
      </c>
    </row>
    <row r="156" spans="1:12" x14ac:dyDescent="0.2">
      <c r="A156">
        <v>155</v>
      </c>
      <c r="B156" t="str">
        <f>_xlfn.XLOOKUP(A156,Instagram_Usage_Lifestyle_Mini_!A156,Instagram_Usage_Lifestyle_Mini_!B156,1)</f>
        <v>Instagram</v>
      </c>
      <c r="C156">
        <f>_xlfn.XLOOKUP($A:$A,Instagram_Usage_Lifestyle_Mini_!$A:$A,Instagram_Usage_Lifestyle_Mini_!$C:$K)</f>
        <v>21</v>
      </c>
      <c r="D156" t="str">
        <f>_xlfn.XLOOKUP($A:$A,Instagram_Usage_Lifestyle_Mini_!$A:$A,Instagram_Usage_Lifestyle_Mini_!$C:$K)</f>
        <v>Prefer_not _to _say</v>
      </c>
      <c r="E156" t="str">
        <f>_xlfn.XLOOKUP($A:$A,Instagram_Usage_Lifestyle_Mini_!$A:$A,Instagram_Usage_Lifestyle_Mini_!$C:$K)</f>
        <v>South_Korea</v>
      </c>
      <c r="F156" t="str">
        <f>_xlfn.XLOOKUP($A:$A,Instagram_Usage_Lifestyle_Mini_!$A:$A,Instagram_Usage_Lifestyle_Mini_!$C:$K)</f>
        <v>Suburban</v>
      </c>
      <c r="G156" t="str">
        <f>_xlfn.XLOOKUP($A:$A,Instagram_Usage_Lifestyle_Mini_!$A:$A,Instagram_Usage_Lifestyle_Mini_!$C:$K)</f>
        <v>Middle</v>
      </c>
      <c r="H156" t="str">
        <f>_xlfn.XLOOKUP($A:$A,Instagram_Usage_Lifestyle_Mini_!$A:$A,Instagram_Usage_Lifestyle_Mini_!$C:$K)</f>
        <v>Full_time_employed</v>
      </c>
      <c r="I156" t="str">
        <f>_xlfn.XLOOKUP($A:$A,Instagram_Usage_Lifestyle_Mini_!$A:$A,Instagram_Usage_Lifestyle_Mini_!$C:$K)</f>
        <v>High_school</v>
      </c>
      <c r="J156" t="str">
        <f>_xlfn.XLOOKUP($A:$A,Instagram_Usage_Lifestyle_Mini_!$A:$A,Instagram_Usage_Lifestyle_Mini_!$C:$K)</f>
        <v>Married</v>
      </c>
      <c r="K156" t="str">
        <f>_xlfn.XLOOKUP($A:$A,Instagram_Usage_Lifestyle_Mini_!$A:$A,Instagram_Usage_Lifestyle_Mini_!$C:$K)</f>
        <v>No</v>
      </c>
      <c r="L156" t="str" cm="1">
        <f t="array" ref="L156">_xlfn.IFS(C156&lt;18,"Under_18",C156&lt;=25,"Youth",C156&lt;=35,"Young_Adults",C156&lt;=45,"Mid_Adults",TRUE,"Seniors")</f>
        <v>Youth</v>
      </c>
    </row>
    <row r="157" spans="1:12" x14ac:dyDescent="0.2">
      <c r="A157">
        <v>156</v>
      </c>
      <c r="B157" t="str">
        <f>_xlfn.XLOOKUP(A157,Instagram_Usage_Lifestyle_Mini_!A157,Instagram_Usage_Lifestyle_Mini_!B157,1)</f>
        <v>Instagram</v>
      </c>
      <c r="C157">
        <f>_xlfn.XLOOKUP($A:$A,Instagram_Usage_Lifestyle_Mini_!$A:$A,Instagram_Usage_Lifestyle_Mini_!$C:$K)</f>
        <v>27</v>
      </c>
      <c r="D157" t="str">
        <f>_xlfn.XLOOKUP($A:$A,Instagram_Usage_Lifestyle_Mini_!$A:$A,Instagram_Usage_Lifestyle_Mini_!$C:$K)</f>
        <v>Female</v>
      </c>
      <c r="E157" t="str">
        <f>_xlfn.XLOOKUP($A:$A,Instagram_Usage_Lifestyle_Mini_!$A:$A,Instagram_Usage_Lifestyle_Mini_!$C:$K)</f>
        <v>United _Kingdom</v>
      </c>
      <c r="F157" t="str">
        <f>_xlfn.XLOOKUP($A:$A,Instagram_Usage_Lifestyle_Mini_!$A:$A,Instagram_Usage_Lifestyle_Mini_!$C:$K)</f>
        <v>Urban</v>
      </c>
      <c r="G157" t="str">
        <f>_xlfn.XLOOKUP($A:$A,Instagram_Usage_Lifestyle_Mini_!$A:$A,Instagram_Usage_Lifestyle_Mini_!$C:$K)</f>
        <v>Lower_middle</v>
      </c>
      <c r="H157" t="str">
        <f>_xlfn.XLOOKUP($A:$A,Instagram_Usage_Lifestyle_Mini_!$A:$A,Instagram_Usage_Lifestyle_Mini_!$C:$K)</f>
        <v>Unemployed</v>
      </c>
      <c r="I157" t="str">
        <f>_xlfn.XLOOKUP($A:$A,Instagram_Usage_Lifestyle_Mini_!$A:$A,Instagram_Usage_Lifestyle_Mini_!$C:$K)</f>
        <v>High_school</v>
      </c>
      <c r="J157" t="str">
        <f>_xlfn.XLOOKUP($A:$A,Instagram_Usage_Lifestyle_Mini_!$A:$A,Instagram_Usage_Lifestyle_Mini_!$C:$K)</f>
        <v>Divorced</v>
      </c>
      <c r="K157" t="str">
        <f>_xlfn.XLOOKUP($A:$A,Instagram_Usage_Lifestyle_Mini_!$A:$A,Instagram_Usage_Lifestyle_Mini_!$C:$K)</f>
        <v>No</v>
      </c>
      <c r="L157" t="str" cm="1">
        <f t="array" ref="L157">_xlfn.IFS(C157&lt;18,"Under_18",C157&lt;=25,"Youth",C157&lt;=35,"Young_Adults",C157&lt;=45,"Mid_Adults",TRUE,"Seniors")</f>
        <v>Young_Adults</v>
      </c>
    </row>
    <row r="158" spans="1:12" x14ac:dyDescent="0.2">
      <c r="A158">
        <v>157</v>
      </c>
      <c r="B158" t="str">
        <f>_xlfn.XLOOKUP(A158,Instagram_Usage_Lifestyle_Mini_!A158,Instagram_Usage_Lifestyle_Mini_!B158,1)</f>
        <v>Instagram</v>
      </c>
      <c r="C158">
        <f>_xlfn.XLOOKUP($A:$A,Instagram_Usage_Lifestyle_Mini_!$A:$A,Instagram_Usage_Lifestyle_Mini_!$C:$K)</f>
        <v>27</v>
      </c>
      <c r="D158" t="str">
        <f>_xlfn.XLOOKUP($A:$A,Instagram_Usage_Lifestyle_Mini_!$A:$A,Instagram_Usage_Lifestyle_Mini_!$C:$K)</f>
        <v>Female</v>
      </c>
      <c r="E158" t="str">
        <f>_xlfn.XLOOKUP($A:$A,Instagram_Usage_Lifestyle_Mini_!$A:$A,Instagram_Usage_Lifestyle_Mini_!$C:$K)</f>
        <v>Other</v>
      </c>
      <c r="F158" t="str">
        <f>_xlfn.XLOOKUP($A:$A,Instagram_Usage_Lifestyle_Mini_!$A:$A,Instagram_Usage_Lifestyle_Mini_!$C:$K)</f>
        <v>Urban</v>
      </c>
      <c r="G158" t="str">
        <f>_xlfn.XLOOKUP($A:$A,Instagram_Usage_Lifestyle_Mini_!$A:$A,Instagram_Usage_Lifestyle_Mini_!$C:$K)</f>
        <v>High</v>
      </c>
      <c r="H158" t="str">
        <f>_xlfn.XLOOKUP($A:$A,Instagram_Usage_Lifestyle_Mini_!$A:$A,Instagram_Usage_Lifestyle_Mini_!$C:$K)</f>
        <v>Full_time_employed</v>
      </c>
      <c r="I158" t="str">
        <f>_xlfn.XLOOKUP($A:$A,Instagram_Usage_Lifestyle_Mini_!$A:$A,Instagram_Usage_Lifestyle_Mini_!$C:$K)</f>
        <v>Bachelors_degree</v>
      </c>
      <c r="J158" t="str">
        <f>_xlfn.XLOOKUP($A:$A,Instagram_Usage_Lifestyle_Mini_!$A:$A,Instagram_Usage_Lifestyle_Mini_!$C:$K)</f>
        <v>Single</v>
      </c>
      <c r="K158" t="str">
        <f>_xlfn.XLOOKUP($A:$A,Instagram_Usage_Lifestyle_Mini_!$A:$A,Instagram_Usage_Lifestyle_Mini_!$C:$K)</f>
        <v>Yes</v>
      </c>
      <c r="L158" t="str" cm="1">
        <f t="array" ref="L158">_xlfn.IFS(C158&lt;18,"Under_18",C158&lt;=25,"Youth",C158&lt;=35,"Young_Adults",C158&lt;=45,"Mid_Adults",TRUE,"Seniors")</f>
        <v>Young_Adults</v>
      </c>
    </row>
    <row r="159" spans="1:12" x14ac:dyDescent="0.2">
      <c r="A159">
        <v>158</v>
      </c>
      <c r="B159" t="str">
        <f>_xlfn.XLOOKUP(A159,Instagram_Usage_Lifestyle_Mini_!A159,Instagram_Usage_Lifestyle_Mini_!B159,1)</f>
        <v>Instagram</v>
      </c>
      <c r="C159">
        <f>_xlfn.XLOOKUP($A:$A,Instagram_Usage_Lifestyle_Mini_!$A:$A,Instagram_Usage_Lifestyle_Mini_!$C:$K)</f>
        <v>38</v>
      </c>
      <c r="D159" t="str">
        <f>_xlfn.XLOOKUP($A:$A,Instagram_Usage_Lifestyle_Mini_!$A:$A,Instagram_Usage_Lifestyle_Mini_!$C:$K)</f>
        <v>Female</v>
      </c>
      <c r="E159" t="str">
        <f>_xlfn.XLOOKUP($A:$A,Instagram_Usage_Lifestyle_Mini_!$A:$A,Instagram_Usage_Lifestyle_Mini_!$C:$K)</f>
        <v>United _Kingdom</v>
      </c>
      <c r="F159" t="str">
        <f>_xlfn.XLOOKUP($A:$A,Instagram_Usage_Lifestyle_Mini_!$A:$A,Instagram_Usage_Lifestyle_Mini_!$C:$K)</f>
        <v>Suburban</v>
      </c>
      <c r="G159" t="str">
        <f>_xlfn.XLOOKUP($A:$A,Instagram_Usage_Lifestyle_Mini_!$A:$A,Instagram_Usage_Lifestyle_Mini_!$C:$K)</f>
        <v>Upper_middle</v>
      </c>
      <c r="H159" t="str">
        <f>_xlfn.XLOOKUP($A:$A,Instagram_Usage_Lifestyle_Mini_!$A:$A,Instagram_Usage_Lifestyle_Mini_!$C:$K)</f>
        <v>Student</v>
      </c>
      <c r="I159" t="str">
        <f>_xlfn.XLOOKUP($A:$A,Instagram_Usage_Lifestyle_Mini_!$A:$A,Instagram_Usage_Lifestyle_Mini_!$C:$K)</f>
        <v>Bachelors_degree</v>
      </c>
      <c r="J159" t="str">
        <f>_xlfn.XLOOKUP($A:$A,Instagram_Usage_Lifestyle_Mini_!$A:$A,Instagram_Usage_Lifestyle_Mini_!$C:$K)</f>
        <v>In_a_relationship</v>
      </c>
      <c r="K159" t="str">
        <f>_xlfn.XLOOKUP($A:$A,Instagram_Usage_Lifestyle_Mini_!$A:$A,Instagram_Usage_Lifestyle_Mini_!$C:$K)</f>
        <v>No</v>
      </c>
      <c r="L159" t="str" cm="1">
        <f t="array" ref="L159">_xlfn.IFS(C159&lt;18,"Under_18",C159&lt;=25,"Youth",C159&lt;=35,"Young_Adults",C159&lt;=45,"Mid_Adults",TRUE,"Seniors")</f>
        <v>Mid_Adults</v>
      </c>
    </row>
    <row r="160" spans="1:12" x14ac:dyDescent="0.2">
      <c r="A160">
        <v>159</v>
      </c>
      <c r="B160" t="str">
        <f>_xlfn.XLOOKUP(A160,Instagram_Usage_Lifestyle_Mini_!A160,Instagram_Usage_Lifestyle_Mini_!B160,1)</f>
        <v>Instagram</v>
      </c>
      <c r="C160">
        <f>_xlfn.XLOOKUP($A:$A,Instagram_Usage_Lifestyle_Mini_!$A:$A,Instagram_Usage_Lifestyle_Mini_!$C:$K)</f>
        <v>54</v>
      </c>
      <c r="D160" t="str">
        <f>_xlfn.XLOOKUP($A:$A,Instagram_Usage_Lifestyle_Mini_!$A:$A,Instagram_Usage_Lifestyle_Mini_!$C:$K)</f>
        <v>Male</v>
      </c>
      <c r="E160" t="str">
        <f>_xlfn.XLOOKUP($A:$A,Instagram_Usage_Lifestyle_Mini_!$A:$A,Instagram_Usage_Lifestyle_Mini_!$C:$K)</f>
        <v>United_States</v>
      </c>
      <c r="F160" t="str">
        <f>_xlfn.XLOOKUP($A:$A,Instagram_Usage_Lifestyle_Mini_!$A:$A,Instagram_Usage_Lifestyle_Mini_!$C:$K)</f>
        <v>Urban</v>
      </c>
      <c r="G160" t="str">
        <f>_xlfn.XLOOKUP($A:$A,Instagram_Usage_Lifestyle_Mini_!$A:$A,Instagram_Usage_Lifestyle_Mini_!$C:$K)</f>
        <v>Upper_middle</v>
      </c>
      <c r="H160" t="str">
        <f>_xlfn.XLOOKUP($A:$A,Instagram_Usage_Lifestyle_Mini_!$A:$A,Instagram_Usage_Lifestyle_Mini_!$C:$K)</f>
        <v>Full_time_employed</v>
      </c>
      <c r="I160" t="str">
        <f>_xlfn.XLOOKUP($A:$A,Instagram_Usage_Lifestyle_Mini_!$A:$A,Instagram_Usage_Lifestyle_Mini_!$C:$K)</f>
        <v>Bachelors_degree</v>
      </c>
      <c r="J160" t="str">
        <f>_xlfn.XLOOKUP($A:$A,Instagram_Usage_Lifestyle_Mini_!$A:$A,Instagram_Usage_Lifestyle_Mini_!$C:$K)</f>
        <v>Divorced</v>
      </c>
      <c r="K160" t="str">
        <f>_xlfn.XLOOKUP($A:$A,Instagram_Usage_Lifestyle_Mini_!$A:$A,Instagram_Usage_Lifestyle_Mini_!$C:$K)</f>
        <v>No</v>
      </c>
      <c r="L160" t="str" cm="1">
        <f t="array" ref="L160">_xlfn.IFS(C160&lt;18,"Under_18",C160&lt;=25,"Youth",C160&lt;=35,"Young_Adults",C160&lt;=45,"Mid_Adults",TRUE,"Seniors")</f>
        <v>Seniors</v>
      </c>
    </row>
    <row r="161" spans="1:12" x14ac:dyDescent="0.2">
      <c r="A161">
        <v>160</v>
      </c>
      <c r="B161" t="str">
        <f>_xlfn.XLOOKUP(A161,Instagram_Usage_Lifestyle_Mini_!A161,Instagram_Usage_Lifestyle_Mini_!B161,1)</f>
        <v>Instagram</v>
      </c>
      <c r="C161">
        <f>_xlfn.XLOOKUP($A:$A,Instagram_Usage_Lifestyle_Mini_!$A:$A,Instagram_Usage_Lifestyle_Mini_!$C:$K)</f>
        <v>25</v>
      </c>
      <c r="D161" t="str">
        <f>_xlfn.XLOOKUP($A:$A,Instagram_Usage_Lifestyle_Mini_!$A:$A,Instagram_Usage_Lifestyle_Mini_!$C:$K)</f>
        <v>Female</v>
      </c>
      <c r="E161" t="str">
        <f>_xlfn.XLOOKUP($A:$A,Instagram_Usage_Lifestyle_Mini_!$A:$A,Instagram_Usage_Lifestyle_Mini_!$C:$K)</f>
        <v>United_States</v>
      </c>
      <c r="F161" t="str">
        <f>_xlfn.XLOOKUP($A:$A,Instagram_Usage_Lifestyle_Mini_!$A:$A,Instagram_Usage_Lifestyle_Mini_!$C:$K)</f>
        <v>Suburban</v>
      </c>
      <c r="G161" t="str">
        <f>_xlfn.XLOOKUP($A:$A,Instagram_Usage_Lifestyle_Mini_!$A:$A,Instagram_Usage_Lifestyle_Mini_!$C:$K)</f>
        <v>Middle</v>
      </c>
      <c r="H161" t="str">
        <f>_xlfn.XLOOKUP($A:$A,Instagram_Usage_Lifestyle_Mini_!$A:$A,Instagram_Usage_Lifestyle_Mini_!$C:$K)</f>
        <v>Full_time_employed</v>
      </c>
      <c r="I161" t="str">
        <f>_xlfn.XLOOKUP($A:$A,Instagram_Usage_Lifestyle_Mini_!$A:$A,Instagram_Usage_Lifestyle_Mini_!$C:$K)</f>
        <v>High_school</v>
      </c>
      <c r="J161" t="str">
        <f>_xlfn.XLOOKUP($A:$A,Instagram_Usage_Lifestyle_Mini_!$A:$A,Instagram_Usage_Lifestyle_Mini_!$C:$K)</f>
        <v>Divorced</v>
      </c>
      <c r="K161" t="str">
        <f>_xlfn.XLOOKUP($A:$A,Instagram_Usage_Lifestyle_Mini_!$A:$A,Instagram_Usage_Lifestyle_Mini_!$C:$K)</f>
        <v>No</v>
      </c>
      <c r="L161" t="str" cm="1">
        <f t="array" ref="L161">_xlfn.IFS(C161&lt;18,"Under_18",C161&lt;=25,"Youth",C161&lt;=35,"Young_Adults",C161&lt;=45,"Mid_Adults",TRUE,"Seniors")</f>
        <v>Youth</v>
      </c>
    </row>
    <row r="162" spans="1:12" x14ac:dyDescent="0.2">
      <c r="A162">
        <v>161</v>
      </c>
      <c r="B162" t="str">
        <f>_xlfn.XLOOKUP(A162,Instagram_Usage_Lifestyle_Mini_!A162,Instagram_Usage_Lifestyle_Mini_!B162,1)</f>
        <v>Instagram</v>
      </c>
      <c r="C162">
        <f>_xlfn.XLOOKUP($A:$A,Instagram_Usage_Lifestyle_Mini_!$A:$A,Instagram_Usage_Lifestyle_Mini_!$C:$K)</f>
        <v>63</v>
      </c>
      <c r="D162" t="str">
        <f>_xlfn.XLOOKUP($A:$A,Instagram_Usage_Lifestyle_Mini_!$A:$A,Instagram_Usage_Lifestyle_Mini_!$C:$K)</f>
        <v>Male</v>
      </c>
      <c r="E162" t="str">
        <f>_xlfn.XLOOKUP($A:$A,Instagram_Usage_Lifestyle_Mini_!$A:$A,Instagram_Usage_Lifestyle_Mini_!$C:$K)</f>
        <v>Australia</v>
      </c>
      <c r="F162" t="str">
        <f>_xlfn.XLOOKUP($A:$A,Instagram_Usage_Lifestyle_Mini_!$A:$A,Instagram_Usage_Lifestyle_Mini_!$C:$K)</f>
        <v>Urban</v>
      </c>
      <c r="G162" t="str">
        <f>_xlfn.XLOOKUP($A:$A,Instagram_Usage_Lifestyle_Mini_!$A:$A,Instagram_Usage_Lifestyle_Mini_!$C:$K)</f>
        <v>Low</v>
      </c>
      <c r="H162" t="str">
        <f>_xlfn.XLOOKUP($A:$A,Instagram_Usage_Lifestyle_Mini_!$A:$A,Instagram_Usage_Lifestyle_Mini_!$C:$K)</f>
        <v>Full_time_employed</v>
      </c>
      <c r="I162" t="str">
        <f>_xlfn.XLOOKUP($A:$A,Instagram_Usage_Lifestyle_Mini_!$A:$A,Instagram_Usage_Lifestyle_Mini_!$C:$K)</f>
        <v>Bachelors_degree</v>
      </c>
      <c r="J162" t="str">
        <f>_xlfn.XLOOKUP($A:$A,Instagram_Usage_Lifestyle_Mini_!$A:$A,Instagram_Usage_Lifestyle_Mini_!$C:$K)</f>
        <v>Single</v>
      </c>
      <c r="K162" t="str">
        <f>_xlfn.XLOOKUP($A:$A,Instagram_Usage_Lifestyle_Mini_!$A:$A,Instagram_Usage_Lifestyle_Mini_!$C:$K)</f>
        <v>No</v>
      </c>
      <c r="L162" t="str" cm="1">
        <f t="array" ref="L162">_xlfn.IFS(C162&lt;18,"Under_18",C162&lt;=25,"Youth",C162&lt;=35,"Young_Adults",C162&lt;=45,"Mid_Adults",TRUE,"Seniors")</f>
        <v>Seniors</v>
      </c>
    </row>
    <row r="163" spans="1:12" x14ac:dyDescent="0.2">
      <c r="A163">
        <v>162</v>
      </c>
      <c r="B163" t="str">
        <f>_xlfn.XLOOKUP(A163,Instagram_Usage_Lifestyle_Mini_!A163,Instagram_Usage_Lifestyle_Mini_!B163,1)</f>
        <v>Instagram</v>
      </c>
      <c r="C163">
        <f>_xlfn.XLOOKUP($A:$A,Instagram_Usage_Lifestyle_Mini_!$A:$A,Instagram_Usage_Lifestyle_Mini_!$C:$K)</f>
        <v>44</v>
      </c>
      <c r="D163" t="str">
        <f>_xlfn.XLOOKUP($A:$A,Instagram_Usage_Lifestyle_Mini_!$A:$A,Instagram_Usage_Lifestyle_Mini_!$C:$K)</f>
        <v>Male</v>
      </c>
      <c r="E163" t="str">
        <f>_xlfn.XLOOKUP($A:$A,Instagram_Usage_Lifestyle_Mini_!$A:$A,Instagram_Usage_Lifestyle_Mini_!$C:$K)</f>
        <v>Brazil</v>
      </c>
      <c r="F163" t="str">
        <f>_xlfn.XLOOKUP($A:$A,Instagram_Usage_Lifestyle_Mini_!$A:$A,Instagram_Usage_Lifestyle_Mini_!$C:$K)</f>
        <v>Urban</v>
      </c>
      <c r="G163" t="str">
        <f>_xlfn.XLOOKUP($A:$A,Instagram_Usage_Lifestyle_Mini_!$A:$A,Instagram_Usage_Lifestyle_Mini_!$C:$K)</f>
        <v>Middle</v>
      </c>
      <c r="H163" t="str">
        <f>_xlfn.XLOOKUP($A:$A,Instagram_Usage_Lifestyle_Mini_!$A:$A,Instagram_Usage_Lifestyle_Mini_!$C:$K)</f>
        <v>Freelancer</v>
      </c>
      <c r="I163" t="str">
        <f>_xlfn.XLOOKUP($A:$A,Instagram_Usage_Lifestyle_Mini_!$A:$A,Instagram_Usage_Lifestyle_Mini_!$C:$K)</f>
        <v>High_school</v>
      </c>
      <c r="J163" t="str">
        <f>_xlfn.XLOOKUP($A:$A,Instagram_Usage_Lifestyle_Mini_!$A:$A,Instagram_Usage_Lifestyle_Mini_!$C:$K)</f>
        <v>Married</v>
      </c>
      <c r="K163" t="str">
        <f>_xlfn.XLOOKUP($A:$A,Instagram_Usage_Lifestyle_Mini_!$A:$A,Instagram_Usage_Lifestyle_Mini_!$C:$K)</f>
        <v>Yes</v>
      </c>
      <c r="L163" t="str" cm="1">
        <f t="array" ref="L163">_xlfn.IFS(C163&lt;18,"Under_18",C163&lt;=25,"Youth",C163&lt;=35,"Young_Adults",C163&lt;=45,"Mid_Adults",TRUE,"Seniors")</f>
        <v>Mid_Adults</v>
      </c>
    </row>
    <row r="164" spans="1:12" x14ac:dyDescent="0.2">
      <c r="A164">
        <v>163</v>
      </c>
      <c r="B164" t="str">
        <f>_xlfn.XLOOKUP(A164,Instagram_Usage_Lifestyle_Mini_!A164,Instagram_Usage_Lifestyle_Mini_!B164,1)</f>
        <v>Instagram</v>
      </c>
      <c r="C164">
        <f>_xlfn.XLOOKUP($A:$A,Instagram_Usage_Lifestyle_Mini_!$A:$A,Instagram_Usage_Lifestyle_Mini_!$C:$K)</f>
        <v>51</v>
      </c>
      <c r="D164" t="str">
        <f>_xlfn.XLOOKUP($A:$A,Instagram_Usage_Lifestyle_Mini_!$A:$A,Instagram_Usage_Lifestyle_Mini_!$C:$K)</f>
        <v>Female</v>
      </c>
      <c r="E164" t="str">
        <f>_xlfn.XLOOKUP($A:$A,Instagram_Usage_Lifestyle_Mini_!$A:$A,Instagram_Usage_Lifestyle_Mini_!$C:$K)</f>
        <v>Brazil</v>
      </c>
      <c r="F164" t="str">
        <f>_xlfn.XLOOKUP($A:$A,Instagram_Usage_Lifestyle_Mini_!$A:$A,Instagram_Usage_Lifestyle_Mini_!$C:$K)</f>
        <v>Urban</v>
      </c>
      <c r="G164" t="str">
        <f>_xlfn.XLOOKUP($A:$A,Instagram_Usage_Lifestyle_Mini_!$A:$A,Instagram_Usage_Lifestyle_Mini_!$C:$K)</f>
        <v>Low</v>
      </c>
      <c r="H164" t="str">
        <f>_xlfn.XLOOKUP($A:$A,Instagram_Usage_Lifestyle_Mini_!$A:$A,Instagram_Usage_Lifestyle_Mini_!$C:$K)</f>
        <v>Full_time_employed</v>
      </c>
      <c r="I164" t="str">
        <f>_xlfn.XLOOKUP($A:$A,Instagram_Usage_Lifestyle_Mini_!$A:$A,Instagram_Usage_Lifestyle_Mini_!$C:$K)</f>
        <v>High_school</v>
      </c>
      <c r="J164" t="str">
        <f>_xlfn.XLOOKUP($A:$A,Instagram_Usage_Lifestyle_Mini_!$A:$A,Instagram_Usage_Lifestyle_Mini_!$C:$K)</f>
        <v>Married</v>
      </c>
      <c r="K164" t="str">
        <f>_xlfn.XLOOKUP($A:$A,Instagram_Usage_Lifestyle_Mini_!$A:$A,Instagram_Usage_Lifestyle_Mini_!$C:$K)</f>
        <v>No</v>
      </c>
      <c r="L164" t="str" cm="1">
        <f t="array" ref="L164">_xlfn.IFS(C164&lt;18,"Under_18",C164&lt;=25,"Youth",C164&lt;=35,"Young_Adults",C164&lt;=45,"Mid_Adults",TRUE,"Seniors")</f>
        <v>Seniors</v>
      </c>
    </row>
    <row r="165" spans="1:12" x14ac:dyDescent="0.2">
      <c r="A165">
        <v>164</v>
      </c>
      <c r="B165" t="str">
        <f>_xlfn.XLOOKUP(A165,Instagram_Usage_Lifestyle_Mini_!A165,Instagram_Usage_Lifestyle_Mini_!B165,1)</f>
        <v>Instagram</v>
      </c>
      <c r="C165">
        <f>_xlfn.XLOOKUP($A:$A,Instagram_Usage_Lifestyle_Mini_!$A:$A,Instagram_Usage_Lifestyle_Mini_!$C:$K)</f>
        <v>61</v>
      </c>
      <c r="D165" t="str">
        <f>_xlfn.XLOOKUP($A:$A,Instagram_Usage_Lifestyle_Mini_!$A:$A,Instagram_Usage_Lifestyle_Mini_!$C:$K)</f>
        <v>Male</v>
      </c>
      <c r="E165" t="str">
        <f>_xlfn.XLOOKUP($A:$A,Instagram_Usage_Lifestyle_Mini_!$A:$A,Instagram_Usage_Lifestyle_Mini_!$C:$K)</f>
        <v>United_States</v>
      </c>
      <c r="F165" t="str">
        <f>_xlfn.XLOOKUP($A:$A,Instagram_Usage_Lifestyle_Mini_!$A:$A,Instagram_Usage_Lifestyle_Mini_!$C:$K)</f>
        <v>Suburban</v>
      </c>
      <c r="G165" t="str">
        <f>_xlfn.XLOOKUP($A:$A,Instagram_Usage_Lifestyle_Mini_!$A:$A,Instagram_Usage_Lifestyle_Mini_!$C:$K)</f>
        <v>High</v>
      </c>
      <c r="H165" t="str">
        <f>_xlfn.XLOOKUP($A:$A,Instagram_Usage_Lifestyle_Mini_!$A:$A,Instagram_Usage_Lifestyle_Mini_!$C:$K)</f>
        <v>Full_time_employed</v>
      </c>
      <c r="I165" t="str">
        <f>_xlfn.XLOOKUP($A:$A,Instagram_Usage_Lifestyle_Mini_!$A:$A,Instagram_Usage_Lifestyle_Mini_!$C:$K)</f>
        <v>Bachelors_degree</v>
      </c>
      <c r="J165" t="str">
        <f>_xlfn.XLOOKUP($A:$A,Instagram_Usage_Lifestyle_Mini_!$A:$A,Instagram_Usage_Lifestyle_Mini_!$C:$K)</f>
        <v>Married</v>
      </c>
      <c r="K165" t="str">
        <f>_xlfn.XLOOKUP($A:$A,Instagram_Usage_Lifestyle_Mini_!$A:$A,Instagram_Usage_Lifestyle_Mini_!$C:$K)</f>
        <v>No</v>
      </c>
      <c r="L165" t="str" cm="1">
        <f t="array" ref="L165">_xlfn.IFS(C165&lt;18,"Under_18",C165&lt;=25,"Youth",C165&lt;=35,"Young_Adults",C165&lt;=45,"Mid_Adults",TRUE,"Seniors")</f>
        <v>Seniors</v>
      </c>
    </row>
    <row r="166" spans="1:12" x14ac:dyDescent="0.2">
      <c r="A166">
        <v>165</v>
      </c>
      <c r="B166" t="str">
        <f>_xlfn.XLOOKUP(A166,Instagram_Usage_Lifestyle_Mini_!A166,Instagram_Usage_Lifestyle_Mini_!B166,1)</f>
        <v>Instagram</v>
      </c>
      <c r="C166">
        <f>_xlfn.XLOOKUP($A:$A,Instagram_Usage_Lifestyle_Mini_!$A:$A,Instagram_Usage_Lifestyle_Mini_!$C:$K)</f>
        <v>64</v>
      </c>
      <c r="D166" t="str">
        <f>_xlfn.XLOOKUP($A:$A,Instagram_Usage_Lifestyle_Mini_!$A:$A,Instagram_Usage_Lifestyle_Mini_!$C:$K)</f>
        <v>Male</v>
      </c>
      <c r="E166" t="str">
        <f>_xlfn.XLOOKUP($A:$A,Instagram_Usage_Lifestyle_Mini_!$A:$A,Instagram_Usage_Lifestyle_Mini_!$C:$K)</f>
        <v>Other</v>
      </c>
      <c r="F166" t="str">
        <f>_xlfn.XLOOKUP($A:$A,Instagram_Usage_Lifestyle_Mini_!$A:$A,Instagram_Usage_Lifestyle_Mini_!$C:$K)</f>
        <v>Urban</v>
      </c>
      <c r="G166" t="str">
        <f>_xlfn.XLOOKUP($A:$A,Instagram_Usage_Lifestyle_Mini_!$A:$A,Instagram_Usage_Lifestyle_Mini_!$C:$K)</f>
        <v>Middle</v>
      </c>
      <c r="H166" t="str">
        <f>_xlfn.XLOOKUP($A:$A,Instagram_Usage_Lifestyle_Mini_!$A:$A,Instagram_Usage_Lifestyle_Mini_!$C:$K)</f>
        <v>Student</v>
      </c>
      <c r="I166" t="str">
        <f>_xlfn.XLOOKUP($A:$A,Instagram_Usage_Lifestyle_Mini_!$A:$A,Instagram_Usage_Lifestyle_Mini_!$C:$K)</f>
        <v>Bachelors_degree</v>
      </c>
      <c r="J166" t="str">
        <f>_xlfn.XLOOKUP($A:$A,Instagram_Usage_Lifestyle_Mini_!$A:$A,Instagram_Usage_Lifestyle_Mini_!$C:$K)</f>
        <v>Single</v>
      </c>
      <c r="K166" t="str">
        <f>_xlfn.XLOOKUP($A:$A,Instagram_Usage_Lifestyle_Mini_!$A:$A,Instagram_Usage_Lifestyle_Mini_!$C:$K)</f>
        <v>Yes</v>
      </c>
      <c r="L166" t="str" cm="1">
        <f t="array" ref="L166">_xlfn.IFS(C166&lt;18,"Under_18",C166&lt;=25,"Youth",C166&lt;=35,"Young_Adults",C166&lt;=45,"Mid_Adults",TRUE,"Seniors")</f>
        <v>Seniors</v>
      </c>
    </row>
    <row r="167" spans="1:12" x14ac:dyDescent="0.2">
      <c r="A167">
        <v>166</v>
      </c>
      <c r="B167" t="str">
        <f>_xlfn.XLOOKUP(A167,Instagram_Usage_Lifestyle_Mini_!A167,Instagram_Usage_Lifestyle_Mini_!B167,1)</f>
        <v>Instagram</v>
      </c>
      <c r="C167">
        <f>_xlfn.XLOOKUP($A:$A,Instagram_Usage_Lifestyle_Mini_!$A:$A,Instagram_Usage_Lifestyle_Mini_!$C:$K)</f>
        <v>44</v>
      </c>
      <c r="D167" t="str">
        <f>_xlfn.XLOOKUP($A:$A,Instagram_Usage_Lifestyle_Mini_!$A:$A,Instagram_Usage_Lifestyle_Mini_!$C:$K)</f>
        <v>Male</v>
      </c>
      <c r="E167" t="str">
        <f>_xlfn.XLOOKUP($A:$A,Instagram_Usage_Lifestyle_Mini_!$A:$A,Instagram_Usage_Lifestyle_Mini_!$C:$K)</f>
        <v>United_States</v>
      </c>
      <c r="F167" t="str">
        <f>_xlfn.XLOOKUP($A:$A,Instagram_Usage_Lifestyle_Mini_!$A:$A,Instagram_Usage_Lifestyle_Mini_!$C:$K)</f>
        <v>Urban</v>
      </c>
      <c r="G167" t="str">
        <f>_xlfn.XLOOKUP($A:$A,Instagram_Usage_Lifestyle_Mini_!$A:$A,Instagram_Usage_Lifestyle_Mini_!$C:$K)</f>
        <v>Low</v>
      </c>
      <c r="H167" t="str">
        <f>_xlfn.XLOOKUP($A:$A,Instagram_Usage_Lifestyle_Mini_!$A:$A,Instagram_Usage_Lifestyle_Mini_!$C:$K)</f>
        <v>Freelancer</v>
      </c>
      <c r="I167" t="str">
        <f>_xlfn.XLOOKUP($A:$A,Instagram_Usage_Lifestyle_Mini_!$A:$A,Instagram_Usage_Lifestyle_Mini_!$C:$K)</f>
        <v>Some_college</v>
      </c>
      <c r="J167" t="str">
        <f>_xlfn.XLOOKUP($A:$A,Instagram_Usage_Lifestyle_Mini_!$A:$A,Instagram_Usage_Lifestyle_Mini_!$C:$K)</f>
        <v>Single</v>
      </c>
      <c r="K167" t="str">
        <f>_xlfn.XLOOKUP($A:$A,Instagram_Usage_Lifestyle_Mini_!$A:$A,Instagram_Usage_Lifestyle_Mini_!$C:$K)</f>
        <v>No</v>
      </c>
      <c r="L167" t="str" cm="1">
        <f t="array" ref="L167">_xlfn.IFS(C167&lt;18,"Under_18",C167&lt;=25,"Youth",C167&lt;=35,"Young_Adults",C167&lt;=45,"Mid_Adults",TRUE,"Seniors")</f>
        <v>Mid_Adults</v>
      </c>
    </row>
    <row r="168" spans="1:12" x14ac:dyDescent="0.2">
      <c r="A168">
        <v>167</v>
      </c>
      <c r="B168" t="str">
        <f>_xlfn.XLOOKUP(A168,Instagram_Usage_Lifestyle_Mini_!A168,Instagram_Usage_Lifestyle_Mini_!B168,1)</f>
        <v>Instagram</v>
      </c>
      <c r="C168">
        <f>_xlfn.XLOOKUP($A:$A,Instagram_Usage_Lifestyle_Mini_!$A:$A,Instagram_Usage_Lifestyle_Mini_!$C:$K)</f>
        <v>16</v>
      </c>
      <c r="D168" t="str">
        <f>_xlfn.XLOOKUP($A:$A,Instagram_Usage_Lifestyle_Mini_!$A:$A,Instagram_Usage_Lifestyle_Mini_!$C:$K)</f>
        <v>Female</v>
      </c>
      <c r="E168" t="str">
        <f>_xlfn.XLOOKUP($A:$A,Instagram_Usage_Lifestyle_Mini_!$A:$A,Instagram_Usage_Lifestyle_Mini_!$C:$K)</f>
        <v>United_States</v>
      </c>
      <c r="F168" t="str">
        <f>_xlfn.XLOOKUP($A:$A,Instagram_Usage_Lifestyle_Mini_!$A:$A,Instagram_Usage_Lifestyle_Mini_!$C:$K)</f>
        <v>Rural</v>
      </c>
      <c r="G168" t="str">
        <f>_xlfn.XLOOKUP($A:$A,Instagram_Usage_Lifestyle_Mini_!$A:$A,Instagram_Usage_Lifestyle_Mini_!$C:$K)</f>
        <v>Upper_middle</v>
      </c>
      <c r="H168" t="str">
        <f>_xlfn.XLOOKUP($A:$A,Instagram_Usage_Lifestyle_Mini_!$A:$A,Instagram_Usage_Lifestyle_Mini_!$C:$K)</f>
        <v>Part_time</v>
      </c>
      <c r="I168" t="str">
        <f>_xlfn.XLOOKUP($A:$A,Instagram_Usage_Lifestyle_Mini_!$A:$A,Instagram_Usage_Lifestyle_Mini_!$C:$K)</f>
        <v>High_school</v>
      </c>
      <c r="J168" t="str">
        <f>_xlfn.XLOOKUP($A:$A,Instagram_Usage_Lifestyle_Mini_!$A:$A,Instagram_Usage_Lifestyle_Mini_!$C:$K)</f>
        <v>Married</v>
      </c>
      <c r="K168" t="str">
        <f>_xlfn.XLOOKUP($A:$A,Instagram_Usage_Lifestyle_Mini_!$A:$A,Instagram_Usage_Lifestyle_Mini_!$C:$K)</f>
        <v>No</v>
      </c>
      <c r="L168" t="str" cm="1">
        <f t="array" ref="L168">_xlfn.IFS(C168&lt;18,"Under_18",C168&lt;=25,"Youth",C168&lt;=35,"Young_Adults",C168&lt;=45,"Mid_Adults",TRUE,"Seniors")</f>
        <v>Under_18</v>
      </c>
    </row>
    <row r="169" spans="1:12" x14ac:dyDescent="0.2">
      <c r="A169">
        <v>168</v>
      </c>
      <c r="B169" t="str">
        <f>_xlfn.XLOOKUP(A169,Instagram_Usage_Lifestyle_Mini_!A169,Instagram_Usage_Lifestyle_Mini_!B169,1)</f>
        <v>Instagram</v>
      </c>
      <c r="C169">
        <f>_xlfn.XLOOKUP($A:$A,Instagram_Usage_Lifestyle_Mini_!$A:$A,Instagram_Usage_Lifestyle_Mini_!$C:$K)</f>
        <v>42</v>
      </c>
      <c r="D169" t="str">
        <f>_xlfn.XLOOKUP($A:$A,Instagram_Usage_Lifestyle_Mini_!$A:$A,Instagram_Usage_Lifestyle_Mini_!$C:$K)</f>
        <v>Male</v>
      </c>
      <c r="E169" t="str">
        <f>_xlfn.XLOOKUP($A:$A,Instagram_Usage_Lifestyle_Mini_!$A:$A,Instagram_Usage_Lifestyle_Mini_!$C:$K)</f>
        <v>United_States</v>
      </c>
      <c r="F169" t="str">
        <f>_xlfn.XLOOKUP($A:$A,Instagram_Usage_Lifestyle_Mini_!$A:$A,Instagram_Usage_Lifestyle_Mini_!$C:$K)</f>
        <v>Urban</v>
      </c>
      <c r="G169" t="str">
        <f>_xlfn.XLOOKUP($A:$A,Instagram_Usage_Lifestyle_Mini_!$A:$A,Instagram_Usage_Lifestyle_Mini_!$C:$K)</f>
        <v>Low</v>
      </c>
      <c r="H169" t="str">
        <f>_xlfn.XLOOKUP($A:$A,Instagram_Usage_Lifestyle_Mini_!$A:$A,Instagram_Usage_Lifestyle_Mini_!$C:$K)</f>
        <v>Full_time_employed</v>
      </c>
      <c r="I169" t="str">
        <f>_xlfn.XLOOKUP($A:$A,Instagram_Usage_Lifestyle_Mini_!$A:$A,Instagram_Usage_Lifestyle_Mini_!$C:$K)</f>
        <v>PhD</v>
      </c>
      <c r="J169" t="str">
        <f>_xlfn.XLOOKUP($A:$A,Instagram_Usage_Lifestyle_Mini_!$A:$A,Instagram_Usage_Lifestyle_Mini_!$C:$K)</f>
        <v>Married</v>
      </c>
      <c r="K169" t="str">
        <f>_xlfn.XLOOKUP($A:$A,Instagram_Usage_Lifestyle_Mini_!$A:$A,Instagram_Usage_Lifestyle_Mini_!$C:$K)</f>
        <v>No</v>
      </c>
      <c r="L169" t="str" cm="1">
        <f t="array" ref="L169">_xlfn.IFS(C169&lt;18,"Under_18",C169&lt;=25,"Youth",C169&lt;=35,"Young_Adults",C169&lt;=45,"Mid_Adults",TRUE,"Seniors")</f>
        <v>Mid_Adults</v>
      </c>
    </row>
    <row r="170" spans="1:12" x14ac:dyDescent="0.2">
      <c r="A170">
        <v>169</v>
      </c>
      <c r="B170" t="str">
        <f>_xlfn.XLOOKUP(A170,Instagram_Usage_Lifestyle_Mini_!A170,Instagram_Usage_Lifestyle_Mini_!B170,1)</f>
        <v>Instagram</v>
      </c>
      <c r="C170">
        <f>_xlfn.XLOOKUP($A:$A,Instagram_Usage_Lifestyle_Mini_!$A:$A,Instagram_Usage_Lifestyle_Mini_!$C:$K)</f>
        <v>49</v>
      </c>
      <c r="D170" t="str">
        <f>_xlfn.XLOOKUP($A:$A,Instagram_Usage_Lifestyle_Mini_!$A:$A,Instagram_Usage_Lifestyle_Mini_!$C:$K)</f>
        <v>Female</v>
      </c>
      <c r="E170" t="str">
        <f>_xlfn.XLOOKUP($A:$A,Instagram_Usage_Lifestyle_Mini_!$A:$A,Instagram_Usage_Lifestyle_Mini_!$C:$K)</f>
        <v>United_States</v>
      </c>
      <c r="F170" t="str">
        <f>_xlfn.XLOOKUP($A:$A,Instagram_Usage_Lifestyle_Mini_!$A:$A,Instagram_Usage_Lifestyle_Mini_!$C:$K)</f>
        <v>Urban</v>
      </c>
      <c r="G170" t="str">
        <f>_xlfn.XLOOKUP($A:$A,Instagram_Usage_Lifestyle_Mini_!$A:$A,Instagram_Usage_Lifestyle_Mini_!$C:$K)</f>
        <v>Lower_middle</v>
      </c>
      <c r="H170" t="str">
        <f>_xlfn.XLOOKUP($A:$A,Instagram_Usage_Lifestyle_Mini_!$A:$A,Instagram_Usage_Lifestyle_Mini_!$C:$K)</f>
        <v>Part_time</v>
      </c>
      <c r="I170" t="str">
        <f>_xlfn.XLOOKUP($A:$A,Instagram_Usage_Lifestyle_Mini_!$A:$A,Instagram_Usage_Lifestyle_Mini_!$C:$K)</f>
        <v>Some_college</v>
      </c>
      <c r="J170" t="str">
        <f>_xlfn.XLOOKUP($A:$A,Instagram_Usage_Lifestyle_Mini_!$A:$A,Instagram_Usage_Lifestyle_Mini_!$C:$K)</f>
        <v>Single</v>
      </c>
      <c r="K170" t="str">
        <f>_xlfn.XLOOKUP($A:$A,Instagram_Usage_Lifestyle_Mini_!$A:$A,Instagram_Usage_Lifestyle_Mini_!$C:$K)</f>
        <v>No</v>
      </c>
      <c r="L170" t="str" cm="1">
        <f t="array" ref="L170">_xlfn.IFS(C170&lt;18,"Under_18",C170&lt;=25,"Youth",C170&lt;=35,"Young_Adults",C170&lt;=45,"Mid_Adults",TRUE,"Seniors")</f>
        <v>Seniors</v>
      </c>
    </row>
    <row r="171" spans="1:12" x14ac:dyDescent="0.2">
      <c r="A171">
        <v>170</v>
      </c>
      <c r="B171" t="str">
        <f>_xlfn.XLOOKUP(A171,Instagram_Usage_Lifestyle_Mini_!A171,Instagram_Usage_Lifestyle_Mini_!B171,1)</f>
        <v>Instagram</v>
      </c>
      <c r="C171">
        <f>_xlfn.XLOOKUP($A:$A,Instagram_Usage_Lifestyle_Mini_!$A:$A,Instagram_Usage_Lifestyle_Mini_!$C:$K)</f>
        <v>35</v>
      </c>
      <c r="D171" t="str">
        <f>_xlfn.XLOOKUP($A:$A,Instagram_Usage_Lifestyle_Mini_!$A:$A,Instagram_Usage_Lifestyle_Mini_!$C:$K)</f>
        <v>Prefer_not _to _say</v>
      </c>
      <c r="E171" t="str">
        <f>_xlfn.XLOOKUP($A:$A,Instagram_Usage_Lifestyle_Mini_!$A:$A,Instagram_Usage_Lifestyle_Mini_!$C:$K)</f>
        <v>South_Korea</v>
      </c>
      <c r="F171" t="str">
        <f>_xlfn.XLOOKUP($A:$A,Instagram_Usage_Lifestyle_Mini_!$A:$A,Instagram_Usage_Lifestyle_Mini_!$C:$K)</f>
        <v>Urban</v>
      </c>
      <c r="G171" t="str">
        <f>_xlfn.XLOOKUP($A:$A,Instagram_Usage_Lifestyle_Mini_!$A:$A,Instagram_Usage_Lifestyle_Mini_!$C:$K)</f>
        <v>Middle</v>
      </c>
      <c r="H171" t="str">
        <f>_xlfn.XLOOKUP($A:$A,Instagram_Usage_Lifestyle_Mini_!$A:$A,Instagram_Usage_Lifestyle_Mini_!$C:$K)</f>
        <v>Part_time</v>
      </c>
      <c r="I171" t="str">
        <f>_xlfn.XLOOKUP($A:$A,Instagram_Usage_Lifestyle_Mini_!$A:$A,Instagram_Usage_Lifestyle_Mini_!$C:$K)</f>
        <v>High_school</v>
      </c>
      <c r="J171" t="str">
        <f>_xlfn.XLOOKUP($A:$A,Instagram_Usage_Lifestyle_Mini_!$A:$A,Instagram_Usage_Lifestyle_Mini_!$C:$K)</f>
        <v>In_a_relationship</v>
      </c>
      <c r="K171" t="str">
        <f>_xlfn.XLOOKUP($A:$A,Instagram_Usage_Lifestyle_Mini_!$A:$A,Instagram_Usage_Lifestyle_Mini_!$C:$K)</f>
        <v>No</v>
      </c>
      <c r="L171" t="str" cm="1">
        <f t="array" ref="L171">_xlfn.IFS(C171&lt;18,"Under_18",C171&lt;=25,"Youth",C171&lt;=35,"Young_Adults",C171&lt;=45,"Mid_Adults",TRUE,"Seniors")</f>
        <v>Young_Adults</v>
      </c>
    </row>
    <row r="172" spans="1:12" x14ac:dyDescent="0.2">
      <c r="A172">
        <v>171</v>
      </c>
      <c r="B172" t="str">
        <f>_xlfn.XLOOKUP(A172,Instagram_Usage_Lifestyle_Mini_!A172,Instagram_Usage_Lifestyle_Mini_!B172,1)</f>
        <v>Instagram</v>
      </c>
      <c r="C172">
        <f>_xlfn.XLOOKUP($A:$A,Instagram_Usage_Lifestyle_Mini_!$A:$A,Instagram_Usage_Lifestyle_Mini_!$C:$K)</f>
        <v>51</v>
      </c>
      <c r="D172" t="str">
        <f>_xlfn.XLOOKUP($A:$A,Instagram_Usage_Lifestyle_Mini_!$A:$A,Instagram_Usage_Lifestyle_Mini_!$C:$K)</f>
        <v>Prefer_not _to _say</v>
      </c>
      <c r="E172" t="str">
        <f>_xlfn.XLOOKUP($A:$A,Instagram_Usage_Lifestyle_Mini_!$A:$A,Instagram_Usage_Lifestyle_Mini_!$C:$K)</f>
        <v>United_States</v>
      </c>
      <c r="F172" t="str">
        <f>_xlfn.XLOOKUP($A:$A,Instagram_Usage_Lifestyle_Mini_!$A:$A,Instagram_Usage_Lifestyle_Mini_!$C:$K)</f>
        <v>Urban</v>
      </c>
      <c r="G172" t="str">
        <f>_xlfn.XLOOKUP($A:$A,Instagram_Usage_Lifestyle_Mini_!$A:$A,Instagram_Usage_Lifestyle_Mini_!$C:$K)</f>
        <v>Lower_middle</v>
      </c>
      <c r="H172" t="str">
        <f>_xlfn.XLOOKUP($A:$A,Instagram_Usage_Lifestyle_Mini_!$A:$A,Instagram_Usage_Lifestyle_Mini_!$C:$K)</f>
        <v>Full_time_employed</v>
      </c>
      <c r="I172" t="str">
        <f>_xlfn.XLOOKUP($A:$A,Instagram_Usage_Lifestyle_Mini_!$A:$A,Instagram_Usage_Lifestyle_Mini_!$C:$K)</f>
        <v>Other</v>
      </c>
      <c r="J172" t="str">
        <f>_xlfn.XLOOKUP($A:$A,Instagram_Usage_Lifestyle_Mini_!$A:$A,Instagram_Usage_Lifestyle_Mini_!$C:$K)</f>
        <v>Married</v>
      </c>
      <c r="K172" t="str">
        <f>_xlfn.XLOOKUP($A:$A,Instagram_Usage_Lifestyle_Mini_!$A:$A,Instagram_Usage_Lifestyle_Mini_!$C:$K)</f>
        <v>No</v>
      </c>
      <c r="L172" t="str" cm="1">
        <f t="array" ref="L172">_xlfn.IFS(C172&lt;18,"Under_18",C172&lt;=25,"Youth",C172&lt;=35,"Young_Adults",C172&lt;=45,"Mid_Adults",TRUE,"Seniors")</f>
        <v>Seniors</v>
      </c>
    </row>
    <row r="173" spans="1:12" x14ac:dyDescent="0.2">
      <c r="A173">
        <v>172</v>
      </c>
      <c r="B173" t="str">
        <f>_xlfn.XLOOKUP(A173,Instagram_Usage_Lifestyle_Mini_!A173,Instagram_Usage_Lifestyle_Mini_!B173,1)</f>
        <v>Instagram</v>
      </c>
      <c r="C173">
        <f>_xlfn.XLOOKUP($A:$A,Instagram_Usage_Lifestyle_Mini_!$A:$A,Instagram_Usage_Lifestyle_Mini_!$C:$K)</f>
        <v>57</v>
      </c>
      <c r="D173" t="str">
        <f>_xlfn.XLOOKUP($A:$A,Instagram_Usage_Lifestyle_Mini_!$A:$A,Instagram_Usage_Lifestyle_Mini_!$C:$K)</f>
        <v>Male</v>
      </c>
      <c r="E173" t="str">
        <f>_xlfn.XLOOKUP($A:$A,Instagram_Usage_Lifestyle_Mini_!$A:$A,Instagram_Usage_Lifestyle_Mini_!$C:$K)</f>
        <v>Other</v>
      </c>
      <c r="F173" t="str">
        <f>_xlfn.XLOOKUP($A:$A,Instagram_Usage_Lifestyle_Mini_!$A:$A,Instagram_Usage_Lifestyle_Mini_!$C:$K)</f>
        <v>Rural</v>
      </c>
      <c r="G173" t="str">
        <f>_xlfn.XLOOKUP($A:$A,Instagram_Usage_Lifestyle_Mini_!$A:$A,Instagram_Usage_Lifestyle_Mini_!$C:$K)</f>
        <v>Upper_middle</v>
      </c>
      <c r="H173" t="str">
        <f>_xlfn.XLOOKUP($A:$A,Instagram_Usage_Lifestyle_Mini_!$A:$A,Instagram_Usage_Lifestyle_Mini_!$C:$K)</f>
        <v>Student</v>
      </c>
      <c r="I173" t="str">
        <f>_xlfn.XLOOKUP($A:$A,Instagram_Usage_Lifestyle_Mini_!$A:$A,Instagram_Usage_Lifestyle_Mini_!$C:$K)</f>
        <v>Some_college</v>
      </c>
      <c r="J173" t="str">
        <f>_xlfn.XLOOKUP($A:$A,Instagram_Usage_Lifestyle_Mini_!$A:$A,Instagram_Usage_Lifestyle_Mini_!$C:$K)</f>
        <v>Married</v>
      </c>
      <c r="K173" t="str">
        <f>_xlfn.XLOOKUP($A:$A,Instagram_Usage_Lifestyle_Mini_!$A:$A,Instagram_Usage_Lifestyle_Mini_!$C:$K)</f>
        <v>No</v>
      </c>
      <c r="L173" t="str" cm="1">
        <f t="array" ref="L173">_xlfn.IFS(C173&lt;18,"Under_18",C173&lt;=25,"Youth",C173&lt;=35,"Young_Adults",C173&lt;=45,"Mid_Adults",TRUE,"Seniors")</f>
        <v>Seniors</v>
      </c>
    </row>
    <row r="174" spans="1:12" x14ac:dyDescent="0.2">
      <c r="A174">
        <v>173</v>
      </c>
      <c r="B174" t="str">
        <f>_xlfn.XLOOKUP(A174,Instagram_Usage_Lifestyle_Mini_!A174,Instagram_Usage_Lifestyle_Mini_!B174,1)</f>
        <v>Instagram</v>
      </c>
      <c r="C174">
        <f>_xlfn.XLOOKUP($A:$A,Instagram_Usage_Lifestyle_Mini_!$A:$A,Instagram_Usage_Lifestyle_Mini_!$C:$K)</f>
        <v>27</v>
      </c>
      <c r="D174" t="str">
        <f>_xlfn.XLOOKUP($A:$A,Instagram_Usage_Lifestyle_Mini_!$A:$A,Instagram_Usage_Lifestyle_Mini_!$C:$K)</f>
        <v>Female</v>
      </c>
      <c r="E174" t="str">
        <f>_xlfn.XLOOKUP($A:$A,Instagram_Usage_Lifestyle_Mini_!$A:$A,Instagram_Usage_Lifestyle_Mini_!$C:$K)</f>
        <v>Australia</v>
      </c>
      <c r="F174" t="str">
        <f>_xlfn.XLOOKUP($A:$A,Instagram_Usage_Lifestyle_Mini_!$A:$A,Instagram_Usage_Lifestyle_Mini_!$C:$K)</f>
        <v>Suburban</v>
      </c>
      <c r="G174" t="str">
        <f>_xlfn.XLOOKUP($A:$A,Instagram_Usage_Lifestyle_Mini_!$A:$A,Instagram_Usage_Lifestyle_Mini_!$C:$K)</f>
        <v>Middle</v>
      </c>
      <c r="H174" t="str">
        <f>_xlfn.XLOOKUP($A:$A,Instagram_Usage_Lifestyle_Mini_!$A:$A,Instagram_Usage_Lifestyle_Mini_!$C:$K)</f>
        <v>Student</v>
      </c>
      <c r="I174" t="str">
        <f>_xlfn.XLOOKUP($A:$A,Instagram_Usage_Lifestyle_Mini_!$A:$A,Instagram_Usage_Lifestyle_Mini_!$C:$K)</f>
        <v>Masters_degree</v>
      </c>
      <c r="J174" t="str">
        <f>_xlfn.XLOOKUP($A:$A,Instagram_Usage_Lifestyle_Mini_!$A:$A,Instagram_Usage_Lifestyle_Mini_!$C:$K)</f>
        <v>In_a_relationship</v>
      </c>
      <c r="K174" t="str">
        <f>_xlfn.XLOOKUP($A:$A,Instagram_Usage_Lifestyle_Mini_!$A:$A,Instagram_Usage_Lifestyle_Mini_!$C:$K)</f>
        <v>No</v>
      </c>
      <c r="L174" t="str" cm="1">
        <f t="array" ref="L174">_xlfn.IFS(C174&lt;18,"Under_18",C174&lt;=25,"Youth",C174&lt;=35,"Young_Adults",C174&lt;=45,"Mid_Adults",TRUE,"Seniors")</f>
        <v>Young_Adults</v>
      </c>
    </row>
    <row r="175" spans="1:12" x14ac:dyDescent="0.2">
      <c r="A175">
        <v>174</v>
      </c>
      <c r="B175" t="str">
        <f>_xlfn.XLOOKUP(A175,Instagram_Usage_Lifestyle_Mini_!A175,Instagram_Usage_Lifestyle_Mini_!B175,1)</f>
        <v>Instagram</v>
      </c>
      <c r="C175">
        <f>_xlfn.XLOOKUP($A:$A,Instagram_Usage_Lifestyle_Mini_!$A:$A,Instagram_Usage_Lifestyle_Mini_!$C:$K)</f>
        <v>55</v>
      </c>
      <c r="D175" t="str">
        <f>_xlfn.XLOOKUP($A:$A,Instagram_Usage_Lifestyle_Mini_!$A:$A,Instagram_Usage_Lifestyle_Mini_!$C:$K)</f>
        <v>Male</v>
      </c>
      <c r="E175" t="str">
        <f>_xlfn.XLOOKUP($A:$A,Instagram_Usage_Lifestyle_Mini_!$A:$A,Instagram_Usage_Lifestyle_Mini_!$C:$K)</f>
        <v>Australia</v>
      </c>
      <c r="F175" t="str">
        <f>_xlfn.XLOOKUP($A:$A,Instagram_Usage_Lifestyle_Mini_!$A:$A,Instagram_Usage_Lifestyle_Mini_!$C:$K)</f>
        <v>Urban</v>
      </c>
      <c r="G175" t="str">
        <f>_xlfn.XLOOKUP($A:$A,Instagram_Usage_Lifestyle_Mini_!$A:$A,Instagram_Usage_Lifestyle_Mini_!$C:$K)</f>
        <v>Lower_middle</v>
      </c>
      <c r="H175" t="str">
        <f>_xlfn.XLOOKUP($A:$A,Instagram_Usage_Lifestyle_Mini_!$A:$A,Instagram_Usage_Lifestyle_Mini_!$C:$K)</f>
        <v>Freelancer</v>
      </c>
      <c r="I175" t="str">
        <f>_xlfn.XLOOKUP($A:$A,Instagram_Usage_Lifestyle_Mini_!$A:$A,Instagram_Usage_Lifestyle_Mini_!$C:$K)</f>
        <v>High_school</v>
      </c>
      <c r="J175" t="str">
        <f>_xlfn.XLOOKUP($A:$A,Instagram_Usage_Lifestyle_Mini_!$A:$A,Instagram_Usage_Lifestyle_Mini_!$C:$K)</f>
        <v>In_a_relationship</v>
      </c>
      <c r="K175" t="str">
        <f>_xlfn.XLOOKUP($A:$A,Instagram_Usage_Lifestyle_Mini_!$A:$A,Instagram_Usage_Lifestyle_Mini_!$C:$K)</f>
        <v>No</v>
      </c>
      <c r="L175" t="str" cm="1">
        <f t="array" ref="L175">_xlfn.IFS(C175&lt;18,"Under_18",C175&lt;=25,"Youth",C175&lt;=35,"Young_Adults",C175&lt;=45,"Mid_Adults",TRUE,"Seniors")</f>
        <v>Seniors</v>
      </c>
    </row>
    <row r="176" spans="1:12" x14ac:dyDescent="0.2">
      <c r="A176">
        <v>175</v>
      </c>
      <c r="B176" t="str">
        <f>_xlfn.XLOOKUP(A176,Instagram_Usage_Lifestyle_Mini_!A176,Instagram_Usage_Lifestyle_Mini_!B176,1)</f>
        <v>Instagram</v>
      </c>
      <c r="C176">
        <f>_xlfn.XLOOKUP($A:$A,Instagram_Usage_Lifestyle_Mini_!$A:$A,Instagram_Usage_Lifestyle_Mini_!$C:$K)</f>
        <v>41</v>
      </c>
      <c r="D176" t="str">
        <f>_xlfn.XLOOKUP($A:$A,Instagram_Usage_Lifestyle_Mini_!$A:$A,Instagram_Usage_Lifestyle_Mini_!$C:$K)</f>
        <v>Female</v>
      </c>
      <c r="E176" t="str">
        <f>_xlfn.XLOOKUP($A:$A,Instagram_Usage_Lifestyle_Mini_!$A:$A,Instagram_Usage_Lifestyle_Mini_!$C:$K)</f>
        <v>Australia</v>
      </c>
      <c r="F176" t="str">
        <f>_xlfn.XLOOKUP($A:$A,Instagram_Usage_Lifestyle_Mini_!$A:$A,Instagram_Usage_Lifestyle_Mini_!$C:$K)</f>
        <v>Suburban</v>
      </c>
      <c r="G176" t="str">
        <f>_xlfn.XLOOKUP($A:$A,Instagram_Usage_Lifestyle_Mini_!$A:$A,Instagram_Usage_Lifestyle_Mini_!$C:$K)</f>
        <v>Upper_middle</v>
      </c>
      <c r="H176" t="str">
        <f>_xlfn.XLOOKUP($A:$A,Instagram_Usage_Lifestyle_Mini_!$A:$A,Instagram_Usage_Lifestyle_Mini_!$C:$K)</f>
        <v>Unemployed</v>
      </c>
      <c r="I176" t="str">
        <f>_xlfn.XLOOKUP($A:$A,Instagram_Usage_Lifestyle_Mini_!$A:$A,Instagram_Usage_Lifestyle_Mini_!$C:$K)</f>
        <v>Bachelors_degree</v>
      </c>
      <c r="J176" t="str">
        <f>_xlfn.XLOOKUP($A:$A,Instagram_Usage_Lifestyle_Mini_!$A:$A,Instagram_Usage_Lifestyle_Mini_!$C:$K)</f>
        <v>Married</v>
      </c>
      <c r="K176" t="str">
        <f>_xlfn.XLOOKUP($A:$A,Instagram_Usage_Lifestyle_Mini_!$A:$A,Instagram_Usage_Lifestyle_Mini_!$C:$K)</f>
        <v>No</v>
      </c>
      <c r="L176" t="str" cm="1">
        <f t="array" ref="L176">_xlfn.IFS(C176&lt;18,"Under_18",C176&lt;=25,"Youth",C176&lt;=35,"Young_Adults",C176&lt;=45,"Mid_Adults",TRUE,"Seniors")</f>
        <v>Mid_Adults</v>
      </c>
    </row>
    <row r="177" spans="1:12" x14ac:dyDescent="0.2">
      <c r="A177">
        <v>176</v>
      </c>
      <c r="B177" t="str">
        <f>_xlfn.XLOOKUP(A177,Instagram_Usage_Lifestyle_Mini_!A177,Instagram_Usage_Lifestyle_Mini_!B177,1)</f>
        <v>Instagram</v>
      </c>
      <c r="C177">
        <f>_xlfn.XLOOKUP($A:$A,Instagram_Usage_Lifestyle_Mini_!$A:$A,Instagram_Usage_Lifestyle_Mini_!$C:$K)</f>
        <v>48</v>
      </c>
      <c r="D177" t="str">
        <f>_xlfn.XLOOKUP($A:$A,Instagram_Usage_Lifestyle_Mini_!$A:$A,Instagram_Usage_Lifestyle_Mini_!$C:$K)</f>
        <v>Female</v>
      </c>
      <c r="E177" t="str">
        <f>_xlfn.XLOOKUP($A:$A,Instagram_Usage_Lifestyle_Mini_!$A:$A,Instagram_Usage_Lifestyle_Mini_!$C:$K)</f>
        <v>India</v>
      </c>
      <c r="F177" t="str">
        <f>_xlfn.XLOOKUP($A:$A,Instagram_Usage_Lifestyle_Mini_!$A:$A,Instagram_Usage_Lifestyle_Mini_!$C:$K)</f>
        <v>Urban</v>
      </c>
      <c r="G177" t="str">
        <f>_xlfn.XLOOKUP($A:$A,Instagram_Usage_Lifestyle_Mini_!$A:$A,Instagram_Usage_Lifestyle_Mini_!$C:$K)</f>
        <v>Upper_middle</v>
      </c>
      <c r="H177" t="str">
        <f>_xlfn.XLOOKUP($A:$A,Instagram_Usage_Lifestyle_Mini_!$A:$A,Instagram_Usage_Lifestyle_Mini_!$C:$K)</f>
        <v>Full_time_employed</v>
      </c>
      <c r="I177" t="str">
        <f>_xlfn.XLOOKUP($A:$A,Instagram_Usage_Lifestyle_Mini_!$A:$A,Instagram_Usage_Lifestyle_Mini_!$C:$K)</f>
        <v>High_school</v>
      </c>
      <c r="J177" t="str">
        <f>_xlfn.XLOOKUP($A:$A,Instagram_Usage_Lifestyle_Mini_!$A:$A,Instagram_Usage_Lifestyle_Mini_!$C:$K)</f>
        <v>Single</v>
      </c>
      <c r="K177" t="str">
        <f>_xlfn.XLOOKUP($A:$A,Instagram_Usage_Lifestyle_Mini_!$A:$A,Instagram_Usage_Lifestyle_Mini_!$C:$K)</f>
        <v>Yes</v>
      </c>
      <c r="L177" t="str" cm="1">
        <f t="array" ref="L177">_xlfn.IFS(C177&lt;18,"Under_18",C177&lt;=25,"Youth",C177&lt;=35,"Young_Adults",C177&lt;=45,"Mid_Adults",TRUE,"Seniors")</f>
        <v>Seniors</v>
      </c>
    </row>
    <row r="178" spans="1:12" x14ac:dyDescent="0.2">
      <c r="A178">
        <v>177</v>
      </c>
      <c r="B178" t="str">
        <f>_xlfn.XLOOKUP(A178,Instagram_Usage_Lifestyle_Mini_!A178,Instagram_Usage_Lifestyle_Mini_!B178,1)</f>
        <v>Instagram</v>
      </c>
      <c r="C178">
        <f>_xlfn.XLOOKUP($A:$A,Instagram_Usage_Lifestyle_Mini_!$A:$A,Instagram_Usage_Lifestyle_Mini_!$C:$K)</f>
        <v>25</v>
      </c>
      <c r="D178" t="str">
        <f>_xlfn.XLOOKUP($A:$A,Instagram_Usage_Lifestyle_Mini_!$A:$A,Instagram_Usage_Lifestyle_Mini_!$C:$K)</f>
        <v>Male</v>
      </c>
      <c r="E178" t="str">
        <f>_xlfn.XLOOKUP($A:$A,Instagram_Usage_Lifestyle_Mini_!$A:$A,Instagram_Usage_Lifestyle_Mini_!$C:$K)</f>
        <v>India</v>
      </c>
      <c r="F178" t="str">
        <f>_xlfn.XLOOKUP($A:$A,Instagram_Usage_Lifestyle_Mini_!$A:$A,Instagram_Usage_Lifestyle_Mini_!$C:$K)</f>
        <v>Urban</v>
      </c>
      <c r="G178" t="str">
        <f>_xlfn.XLOOKUP($A:$A,Instagram_Usage_Lifestyle_Mini_!$A:$A,Instagram_Usage_Lifestyle_Mini_!$C:$K)</f>
        <v>Lower_middle</v>
      </c>
      <c r="H178" t="str">
        <f>_xlfn.XLOOKUP($A:$A,Instagram_Usage_Lifestyle_Mini_!$A:$A,Instagram_Usage_Lifestyle_Mini_!$C:$K)</f>
        <v>Student</v>
      </c>
      <c r="I178" t="str">
        <f>_xlfn.XLOOKUP($A:$A,Instagram_Usage_Lifestyle_Mini_!$A:$A,Instagram_Usage_Lifestyle_Mini_!$C:$K)</f>
        <v>Bachelors_degree</v>
      </c>
      <c r="J178" t="str">
        <f>_xlfn.XLOOKUP($A:$A,Instagram_Usage_Lifestyle_Mini_!$A:$A,Instagram_Usage_Lifestyle_Mini_!$C:$K)</f>
        <v>Single</v>
      </c>
      <c r="K178" t="str">
        <f>_xlfn.XLOOKUP($A:$A,Instagram_Usage_Lifestyle_Mini_!$A:$A,Instagram_Usage_Lifestyle_Mini_!$C:$K)</f>
        <v>No</v>
      </c>
      <c r="L178" t="str" cm="1">
        <f t="array" ref="L178">_xlfn.IFS(C178&lt;18,"Under_18",C178&lt;=25,"Youth",C178&lt;=35,"Young_Adults",C178&lt;=45,"Mid_Adults",TRUE,"Seniors")</f>
        <v>Youth</v>
      </c>
    </row>
    <row r="179" spans="1:12" x14ac:dyDescent="0.2">
      <c r="A179">
        <v>178</v>
      </c>
      <c r="B179" t="str">
        <f>_xlfn.XLOOKUP(A179,Instagram_Usage_Lifestyle_Mini_!A179,Instagram_Usage_Lifestyle_Mini_!B179,1)</f>
        <v>Instagram</v>
      </c>
      <c r="C179">
        <f>_xlfn.XLOOKUP($A:$A,Instagram_Usage_Lifestyle_Mini_!$A:$A,Instagram_Usage_Lifestyle_Mini_!$C:$K)</f>
        <v>44</v>
      </c>
      <c r="D179" t="str">
        <f>_xlfn.XLOOKUP($A:$A,Instagram_Usage_Lifestyle_Mini_!$A:$A,Instagram_Usage_Lifestyle_Mini_!$C:$K)</f>
        <v>Male</v>
      </c>
      <c r="E179" t="str">
        <f>_xlfn.XLOOKUP($A:$A,Instagram_Usage_Lifestyle_Mini_!$A:$A,Instagram_Usage_Lifestyle_Mini_!$C:$K)</f>
        <v>Brazil</v>
      </c>
      <c r="F179" t="str">
        <f>_xlfn.XLOOKUP($A:$A,Instagram_Usage_Lifestyle_Mini_!$A:$A,Instagram_Usage_Lifestyle_Mini_!$C:$K)</f>
        <v>Suburban</v>
      </c>
      <c r="G179" t="str">
        <f>_xlfn.XLOOKUP($A:$A,Instagram_Usage_Lifestyle_Mini_!$A:$A,Instagram_Usage_Lifestyle_Mini_!$C:$K)</f>
        <v>Low</v>
      </c>
      <c r="H179" t="str">
        <f>_xlfn.XLOOKUP($A:$A,Instagram_Usage_Lifestyle_Mini_!$A:$A,Instagram_Usage_Lifestyle_Mini_!$C:$K)</f>
        <v>Full_time_employed</v>
      </c>
      <c r="I179" t="str">
        <f>_xlfn.XLOOKUP($A:$A,Instagram_Usage_Lifestyle_Mini_!$A:$A,Instagram_Usage_Lifestyle_Mini_!$C:$K)</f>
        <v>Other</v>
      </c>
      <c r="J179" t="str">
        <f>_xlfn.XLOOKUP($A:$A,Instagram_Usage_Lifestyle_Mini_!$A:$A,Instagram_Usage_Lifestyle_Mini_!$C:$K)</f>
        <v>In_a_relationship</v>
      </c>
      <c r="K179" t="str">
        <f>_xlfn.XLOOKUP($A:$A,Instagram_Usage_Lifestyle_Mini_!$A:$A,Instagram_Usage_Lifestyle_Mini_!$C:$K)</f>
        <v>No</v>
      </c>
      <c r="L179" t="str" cm="1">
        <f t="array" ref="L179">_xlfn.IFS(C179&lt;18,"Under_18",C179&lt;=25,"Youth",C179&lt;=35,"Young_Adults",C179&lt;=45,"Mid_Adults",TRUE,"Seniors")</f>
        <v>Mid_Adults</v>
      </c>
    </row>
    <row r="180" spans="1:12" x14ac:dyDescent="0.2">
      <c r="A180">
        <v>179</v>
      </c>
      <c r="B180" t="str">
        <f>_xlfn.XLOOKUP(A180,Instagram_Usage_Lifestyle_Mini_!A180,Instagram_Usage_Lifestyle_Mini_!B180,1)</f>
        <v>Instagram</v>
      </c>
      <c r="C180">
        <f>_xlfn.XLOOKUP($A:$A,Instagram_Usage_Lifestyle_Mini_!$A:$A,Instagram_Usage_Lifestyle_Mini_!$C:$K)</f>
        <v>19</v>
      </c>
      <c r="D180" t="str">
        <f>_xlfn.XLOOKUP($A:$A,Instagram_Usage_Lifestyle_Mini_!$A:$A,Instagram_Usage_Lifestyle_Mini_!$C:$K)</f>
        <v>Male</v>
      </c>
      <c r="E180" t="str">
        <f>_xlfn.XLOOKUP($A:$A,Instagram_Usage_Lifestyle_Mini_!$A:$A,Instagram_Usage_Lifestyle_Mini_!$C:$K)</f>
        <v>Brazil</v>
      </c>
      <c r="F180" t="str">
        <f>_xlfn.XLOOKUP($A:$A,Instagram_Usage_Lifestyle_Mini_!$A:$A,Instagram_Usage_Lifestyle_Mini_!$C:$K)</f>
        <v>Suburban</v>
      </c>
      <c r="G180" t="str">
        <f>_xlfn.XLOOKUP($A:$A,Instagram_Usage_Lifestyle_Mini_!$A:$A,Instagram_Usage_Lifestyle_Mini_!$C:$K)</f>
        <v>Middle</v>
      </c>
      <c r="H180" t="str">
        <f>_xlfn.XLOOKUP($A:$A,Instagram_Usage_Lifestyle_Mini_!$A:$A,Instagram_Usage_Lifestyle_Mini_!$C:$K)</f>
        <v>Full_time_employed</v>
      </c>
      <c r="I180" t="str">
        <f>_xlfn.XLOOKUP($A:$A,Instagram_Usage_Lifestyle_Mini_!$A:$A,Instagram_Usage_Lifestyle_Mini_!$C:$K)</f>
        <v>Bachelors_degree</v>
      </c>
      <c r="J180" t="str">
        <f>_xlfn.XLOOKUP($A:$A,Instagram_Usage_Lifestyle_Mini_!$A:$A,Instagram_Usage_Lifestyle_Mini_!$C:$K)</f>
        <v>In_a_relationship</v>
      </c>
      <c r="K180" t="str">
        <f>_xlfn.XLOOKUP($A:$A,Instagram_Usage_Lifestyle_Mini_!$A:$A,Instagram_Usage_Lifestyle_Mini_!$C:$K)</f>
        <v>No</v>
      </c>
      <c r="L180" t="str" cm="1">
        <f t="array" ref="L180">_xlfn.IFS(C180&lt;18,"Under_18",C180&lt;=25,"Youth",C180&lt;=35,"Young_Adults",C180&lt;=45,"Mid_Adults",TRUE,"Seniors")</f>
        <v>Youth</v>
      </c>
    </row>
    <row r="181" spans="1:12" x14ac:dyDescent="0.2">
      <c r="A181">
        <v>180</v>
      </c>
      <c r="B181" t="str">
        <f>_xlfn.XLOOKUP(A181,Instagram_Usage_Lifestyle_Mini_!A181,Instagram_Usage_Lifestyle_Mini_!B181,1)</f>
        <v>Instagram</v>
      </c>
      <c r="C181">
        <f>_xlfn.XLOOKUP($A:$A,Instagram_Usage_Lifestyle_Mini_!$A:$A,Instagram_Usage_Lifestyle_Mini_!$C:$K)</f>
        <v>63</v>
      </c>
      <c r="D181" t="str">
        <f>_xlfn.XLOOKUP($A:$A,Instagram_Usage_Lifestyle_Mini_!$A:$A,Instagram_Usage_Lifestyle_Mini_!$C:$K)</f>
        <v>Male</v>
      </c>
      <c r="E181" t="str">
        <f>_xlfn.XLOOKUP($A:$A,Instagram_Usage_Lifestyle_Mini_!$A:$A,Instagram_Usage_Lifestyle_Mini_!$C:$K)</f>
        <v>Other</v>
      </c>
      <c r="F181" t="str">
        <f>_xlfn.XLOOKUP($A:$A,Instagram_Usage_Lifestyle_Mini_!$A:$A,Instagram_Usage_Lifestyle_Mini_!$C:$K)</f>
        <v>Urban</v>
      </c>
      <c r="G181" t="str">
        <f>_xlfn.XLOOKUP($A:$A,Instagram_Usage_Lifestyle_Mini_!$A:$A,Instagram_Usage_Lifestyle_Mini_!$C:$K)</f>
        <v>Middle</v>
      </c>
      <c r="H181" t="str">
        <f>_xlfn.XLOOKUP($A:$A,Instagram_Usage_Lifestyle_Mini_!$A:$A,Instagram_Usage_Lifestyle_Mini_!$C:$K)</f>
        <v>Unemployed</v>
      </c>
      <c r="I181" t="str">
        <f>_xlfn.XLOOKUP($A:$A,Instagram_Usage_Lifestyle_Mini_!$A:$A,Instagram_Usage_Lifestyle_Mini_!$C:$K)</f>
        <v>Masters_degree</v>
      </c>
      <c r="J181" t="str">
        <f>_xlfn.XLOOKUP($A:$A,Instagram_Usage_Lifestyle_Mini_!$A:$A,Instagram_Usage_Lifestyle_Mini_!$C:$K)</f>
        <v>In_a_relationship</v>
      </c>
      <c r="K181" t="str">
        <f>_xlfn.XLOOKUP($A:$A,Instagram_Usage_Lifestyle_Mini_!$A:$A,Instagram_Usage_Lifestyle_Mini_!$C:$K)</f>
        <v>Yes</v>
      </c>
      <c r="L181" t="str" cm="1">
        <f t="array" ref="L181">_xlfn.IFS(C181&lt;18,"Under_18",C181&lt;=25,"Youth",C181&lt;=35,"Young_Adults",C181&lt;=45,"Mid_Adults",TRUE,"Seniors")</f>
        <v>Seniors</v>
      </c>
    </row>
    <row r="182" spans="1:12" x14ac:dyDescent="0.2">
      <c r="A182">
        <v>181</v>
      </c>
      <c r="B182" t="str">
        <f>_xlfn.XLOOKUP(A182,Instagram_Usage_Lifestyle_Mini_!A182,Instagram_Usage_Lifestyle_Mini_!B182,1)</f>
        <v>Instagram</v>
      </c>
      <c r="C182">
        <f>_xlfn.XLOOKUP($A:$A,Instagram_Usage_Lifestyle_Mini_!$A:$A,Instagram_Usage_Lifestyle_Mini_!$C:$K)</f>
        <v>34</v>
      </c>
      <c r="D182" t="str">
        <f>_xlfn.XLOOKUP($A:$A,Instagram_Usage_Lifestyle_Mini_!$A:$A,Instagram_Usage_Lifestyle_Mini_!$C:$K)</f>
        <v>Male</v>
      </c>
      <c r="E182" t="str">
        <f>_xlfn.XLOOKUP($A:$A,Instagram_Usage_Lifestyle_Mini_!$A:$A,Instagram_Usage_Lifestyle_Mini_!$C:$K)</f>
        <v>Canada</v>
      </c>
      <c r="F182" t="str">
        <f>_xlfn.XLOOKUP($A:$A,Instagram_Usage_Lifestyle_Mini_!$A:$A,Instagram_Usage_Lifestyle_Mini_!$C:$K)</f>
        <v>Urban</v>
      </c>
      <c r="G182" t="str">
        <f>_xlfn.XLOOKUP($A:$A,Instagram_Usage_Lifestyle_Mini_!$A:$A,Instagram_Usage_Lifestyle_Mini_!$C:$K)</f>
        <v>Middle</v>
      </c>
      <c r="H182" t="str">
        <f>_xlfn.XLOOKUP($A:$A,Instagram_Usage_Lifestyle_Mini_!$A:$A,Instagram_Usage_Lifestyle_Mini_!$C:$K)</f>
        <v>Freelancer</v>
      </c>
      <c r="I182" t="str">
        <f>_xlfn.XLOOKUP($A:$A,Instagram_Usage_Lifestyle_Mini_!$A:$A,Instagram_Usage_Lifestyle_Mini_!$C:$K)</f>
        <v>Bachelors_degree</v>
      </c>
      <c r="J182" t="str">
        <f>_xlfn.XLOOKUP($A:$A,Instagram_Usage_Lifestyle_Mini_!$A:$A,Instagram_Usage_Lifestyle_Mini_!$C:$K)</f>
        <v>Divorced</v>
      </c>
      <c r="K182" t="str">
        <f>_xlfn.XLOOKUP($A:$A,Instagram_Usage_Lifestyle_Mini_!$A:$A,Instagram_Usage_Lifestyle_Mini_!$C:$K)</f>
        <v>No</v>
      </c>
      <c r="L182" t="str" cm="1">
        <f t="array" ref="L182">_xlfn.IFS(C182&lt;18,"Under_18",C182&lt;=25,"Youth",C182&lt;=35,"Young_Adults",C182&lt;=45,"Mid_Adults",TRUE,"Seniors")</f>
        <v>Young_Adults</v>
      </c>
    </row>
    <row r="183" spans="1:12" x14ac:dyDescent="0.2">
      <c r="A183">
        <v>182</v>
      </c>
      <c r="B183" t="str">
        <f>_xlfn.XLOOKUP(A183,Instagram_Usage_Lifestyle_Mini_!A183,Instagram_Usage_Lifestyle_Mini_!B183,1)</f>
        <v>Instagram</v>
      </c>
      <c r="C183">
        <f>_xlfn.XLOOKUP($A:$A,Instagram_Usage_Lifestyle_Mini_!$A:$A,Instagram_Usage_Lifestyle_Mini_!$C:$K)</f>
        <v>40</v>
      </c>
      <c r="D183" t="str">
        <f>_xlfn.XLOOKUP($A:$A,Instagram_Usage_Lifestyle_Mini_!$A:$A,Instagram_Usage_Lifestyle_Mini_!$C:$K)</f>
        <v>Female</v>
      </c>
      <c r="E183" t="str">
        <f>_xlfn.XLOOKUP($A:$A,Instagram_Usage_Lifestyle_Mini_!$A:$A,Instagram_Usage_Lifestyle_Mini_!$C:$K)</f>
        <v>United_States</v>
      </c>
      <c r="F183" t="str">
        <f>_xlfn.XLOOKUP($A:$A,Instagram_Usage_Lifestyle_Mini_!$A:$A,Instagram_Usage_Lifestyle_Mini_!$C:$K)</f>
        <v>Urban</v>
      </c>
      <c r="G183" t="str">
        <f>_xlfn.XLOOKUP($A:$A,Instagram_Usage_Lifestyle_Mini_!$A:$A,Instagram_Usage_Lifestyle_Mini_!$C:$K)</f>
        <v>Middle</v>
      </c>
      <c r="H183" t="str">
        <f>_xlfn.XLOOKUP($A:$A,Instagram_Usage_Lifestyle_Mini_!$A:$A,Instagram_Usage_Lifestyle_Mini_!$C:$K)</f>
        <v>Unemployed</v>
      </c>
      <c r="I183" t="str">
        <f>_xlfn.XLOOKUP($A:$A,Instagram_Usage_Lifestyle_Mini_!$A:$A,Instagram_Usage_Lifestyle_Mini_!$C:$K)</f>
        <v>Bachelors_degree</v>
      </c>
      <c r="J183" t="str">
        <f>_xlfn.XLOOKUP($A:$A,Instagram_Usage_Lifestyle_Mini_!$A:$A,Instagram_Usage_Lifestyle_Mini_!$C:$K)</f>
        <v>Single</v>
      </c>
      <c r="K183" t="str">
        <f>_xlfn.XLOOKUP($A:$A,Instagram_Usage_Lifestyle_Mini_!$A:$A,Instagram_Usage_Lifestyle_Mini_!$C:$K)</f>
        <v>No</v>
      </c>
      <c r="L183" t="str" cm="1">
        <f t="array" ref="L183">_xlfn.IFS(C183&lt;18,"Under_18",C183&lt;=25,"Youth",C183&lt;=35,"Young_Adults",C183&lt;=45,"Mid_Adults",TRUE,"Seniors")</f>
        <v>Mid_Adults</v>
      </c>
    </row>
    <row r="184" spans="1:12" x14ac:dyDescent="0.2">
      <c r="A184">
        <v>183</v>
      </c>
      <c r="B184" t="str">
        <f>_xlfn.XLOOKUP(A184,Instagram_Usage_Lifestyle_Mini_!A184,Instagram_Usage_Lifestyle_Mini_!B184,1)</f>
        <v>Instagram</v>
      </c>
      <c r="C184">
        <f>_xlfn.XLOOKUP($A:$A,Instagram_Usage_Lifestyle_Mini_!$A:$A,Instagram_Usage_Lifestyle_Mini_!$C:$K)</f>
        <v>14</v>
      </c>
      <c r="D184" t="str">
        <f>_xlfn.XLOOKUP($A:$A,Instagram_Usage_Lifestyle_Mini_!$A:$A,Instagram_Usage_Lifestyle_Mini_!$C:$K)</f>
        <v>Female</v>
      </c>
      <c r="E184" t="str">
        <f>_xlfn.XLOOKUP($A:$A,Instagram_Usage_Lifestyle_Mini_!$A:$A,Instagram_Usage_Lifestyle_Mini_!$C:$K)</f>
        <v>India</v>
      </c>
      <c r="F184" t="str">
        <f>_xlfn.XLOOKUP($A:$A,Instagram_Usage_Lifestyle_Mini_!$A:$A,Instagram_Usage_Lifestyle_Mini_!$C:$K)</f>
        <v>Suburban</v>
      </c>
      <c r="G184" t="str">
        <f>_xlfn.XLOOKUP($A:$A,Instagram_Usage_Lifestyle_Mini_!$A:$A,Instagram_Usage_Lifestyle_Mini_!$C:$K)</f>
        <v>Middle</v>
      </c>
      <c r="H184" t="str">
        <f>_xlfn.XLOOKUP($A:$A,Instagram_Usage_Lifestyle_Mini_!$A:$A,Instagram_Usage_Lifestyle_Mini_!$C:$K)</f>
        <v>Freelancer</v>
      </c>
      <c r="I184" t="str">
        <f>_xlfn.XLOOKUP($A:$A,Instagram_Usage_Lifestyle_Mini_!$A:$A,Instagram_Usage_Lifestyle_Mini_!$C:$K)</f>
        <v>Masters_degree</v>
      </c>
      <c r="J184" t="str">
        <f>_xlfn.XLOOKUP($A:$A,Instagram_Usage_Lifestyle_Mini_!$A:$A,Instagram_Usage_Lifestyle_Mini_!$C:$K)</f>
        <v>Married</v>
      </c>
      <c r="K184" t="str">
        <f>_xlfn.XLOOKUP($A:$A,Instagram_Usage_Lifestyle_Mini_!$A:$A,Instagram_Usage_Lifestyle_Mini_!$C:$K)</f>
        <v>No</v>
      </c>
      <c r="L184" t="str" cm="1">
        <f t="array" ref="L184">_xlfn.IFS(C184&lt;18,"Under_18",C184&lt;=25,"Youth",C184&lt;=35,"Young_Adults",C184&lt;=45,"Mid_Adults",TRUE,"Seniors")</f>
        <v>Under_18</v>
      </c>
    </row>
    <row r="185" spans="1:12" x14ac:dyDescent="0.2">
      <c r="A185">
        <v>184</v>
      </c>
      <c r="B185" t="str">
        <f>_xlfn.XLOOKUP(A185,Instagram_Usage_Lifestyle_Mini_!A185,Instagram_Usage_Lifestyle_Mini_!B185,1)</f>
        <v>Instagram</v>
      </c>
      <c r="C185">
        <f>_xlfn.XLOOKUP($A:$A,Instagram_Usage_Lifestyle_Mini_!$A:$A,Instagram_Usage_Lifestyle_Mini_!$C:$K)</f>
        <v>54</v>
      </c>
      <c r="D185" t="str">
        <f>_xlfn.XLOOKUP($A:$A,Instagram_Usage_Lifestyle_Mini_!$A:$A,Instagram_Usage_Lifestyle_Mini_!$C:$K)</f>
        <v>Female</v>
      </c>
      <c r="E185" t="str">
        <f>_xlfn.XLOOKUP($A:$A,Instagram_Usage_Lifestyle_Mini_!$A:$A,Instagram_Usage_Lifestyle_Mini_!$C:$K)</f>
        <v>United_States</v>
      </c>
      <c r="F185" t="str">
        <f>_xlfn.XLOOKUP($A:$A,Instagram_Usage_Lifestyle_Mini_!$A:$A,Instagram_Usage_Lifestyle_Mini_!$C:$K)</f>
        <v>Urban</v>
      </c>
      <c r="G185" t="str">
        <f>_xlfn.XLOOKUP($A:$A,Instagram_Usage_Lifestyle_Mini_!$A:$A,Instagram_Usage_Lifestyle_Mini_!$C:$K)</f>
        <v>Lower_middle</v>
      </c>
      <c r="H185" t="str">
        <f>_xlfn.XLOOKUP($A:$A,Instagram_Usage_Lifestyle_Mini_!$A:$A,Instagram_Usage_Lifestyle_Mini_!$C:$K)</f>
        <v>Unemployed</v>
      </c>
      <c r="I185" t="str">
        <f>_xlfn.XLOOKUP($A:$A,Instagram_Usage_Lifestyle_Mini_!$A:$A,Instagram_Usage_Lifestyle_Mini_!$C:$K)</f>
        <v>Bachelors_degree</v>
      </c>
      <c r="J185" t="str">
        <f>_xlfn.XLOOKUP($A:$A,Instagram_Usage_Lifestyle_Mini_!$A:$A,Instagram_Usage_Lifestyle_Mini_!$C:$K)</f>
        <v>Widowed</v>
      </c>
      <c r="K185" t="str">
        <f>_xlfn.XLOOKUP($A:$A,Instagram_Usage_Lifestyle_Mini_!$A:$A,Instagram_Usage_Lifestyle_Mini_!$C:$K)</f>
        <v>Yes</v>
      </c>
      <c r="L185" t="str" cm="1">
        <f t="array" ref="L185">_xlfn.IFS(C185&lt;18,"Under_18",C185&lt;=25,"Youth",C185&lt;=35,"Young_Adults",C185&lt;=45,"Mid_Adults",TRUE,"Seniors")</f>
        <v>Seniors</v>
      </c>
    </row>
    <row r="186" spans="1:12" x14ac:dyDescent="0.2">
      <c r="A186">
        <v>185</v>
      </c>
      <c r="B186" t="str">
        <f>_xlfn.XLOOKUP(A186,Instagram_Usage_Lifestyle_Mini_!A186,Instagram_Usage_Lifestyle_Mini_!B186,1)</f>
        <v>Instagram</v>
      </c>
      <c r="C186">
        <f>_xlfn.XLOOKUP($A:$A,Instagram_Usage_Lifestyle_Mini_!$A:$A,Instagram_Usage_Lifestyle_Mini_!$C:$K)</f>
        <v>57</v>
      </c>
      <c r="D186" t="str">
        <f>_xlfn.XLOOKUP($A:$A,Instagram_Usage_Lifestyle_Mini_!$A:$A,Instagram_Usage_Lifestyle_Mini_!$C:$K)</f>
        <v>Female</v>
      </c>
      <c r="E186" t="str">
        <f>_xlfn.XLOOKUP($A:$A,Instagram_Usage_Lifestyle_Mini_!$A:$A,Instagram_Usage_Lifestyle_Mini_!$C:$K)</f>
        <v>South_Korea</v>
      </c>
      <c r="F186" t="str">
        <f>_xlfn.XLOOKUP($A:$A,Instagram_Usage_Lifestyle_Mini_!$A:$A,Instagram_Usage_Lifestyle_Mini_!$C:$K)</f>
        <v>Suburban</v>
      </c>
      <c r="G186" t="str">
        <f>_xlfn.XLOOKUP($A:$A,Instagram_Usage_Lifestyle_Mini_!$A:$A,Instagram_Usage_Lifestyle_Mini_!$C:$K)</f>
        <v>Lower_middle</v>
      </c>
      <c r="H186" t="str">
        <f>_xlfn.XLOOKUP($A:$A,Instagram_Usage_Lifestyle_Mini_!$A:$A,Instagram_Usage_Lifestyle_Mini_!$C:$K)</f>
        <v>Full_time_employed</v>
      </c>
      <c r="I186" t="str">
        <f>_xlfn.XLOOKUP($A:$A,Instagram_Usage_Lifestyle_Mini_!$A:$A,Instagram_Usage_Lifestyle_Mini_!$C:$K)</f>
        <v>Bachelors_degree</v>
      </c>
      <c r="J186" t="str">
        <f>_xlfn.XLOOKUP($A:$A,Instagram_Usage_Lifestyle_Mini_!$A:$A,Instagram_Usage_Lifestyle_Mini_!$C:$K)</f>
        <v>Single</v>
      </c>
      <c r="K186" t="str">
        <f>_xlfn.XLOOKUP($A:$A,Instagram_Usage_Lifestyle_Mini_!$A:$A,Instagram_Usage_Lifestyle_Mini_!$C:$K)</f>
        <v>Yes</v>
      </c>
      <c r="L186" t="str" cm="1">
        <f t="array" ref="L186">_xlfn.IFS(C186&lt;18,"Under_18",C186&lt;=25,"Youth",C186&lt;=35,"Young_Adults",C186&lt;=45,"Mid_Adults",TRUE,"Seniors")</f>
        <v>Seniors</v>
      </c>
    </row>
    <row r="187" spans="1:12" x14ac:dyDescent="0.2">
      <c r="A187">
        <v>186</v>
      </c>
      <c r="B187" t="str">
        <f>_xlfn.XLOOKUP(A187,Instagram_Usage_Lifestyle_Mini_!A187,Instagram_Usage_Lifestyle_Mini_!B187,1)</f>
        <v>Instagram</v>
      </c>
      <c r="C187">
        <f>_xlfn.XLOOKUP($A:$A,Instagram_Usage_Lifestyle_Mini_!$A:$A,Instagram_Usage_Lifestyle_Mini_!$C:$K)</f>
        <v>65</v>
      </c>
      <c r="D187" t="str">
        <f>_xlfn.XLOOKUP($A:$A,Instagram_Usage_Lifestyle_Mini_!$A:$A,Instagram_Usage_Lifestyle_Mini_!$C:$K)</f>
        <v>Female</v>
      </c>
      <c r="E187" t="str">
        <f>_xlfn.XLOOKUP($A:$A,Instagram_Usage_Lifestyle_Mini_!$A:$A,Instagram_Usage_Lifestyle_Mini_!$C:$K)</f>
        <v>South_Korea</v>
      </c>
      <c r="F187" t="str">
        <f>_xlfn.XLOOKUP($A:$A,Instagram_Usage_Lifestyle_Mini_!$A:$A,Instagram_Usage_Lifestyle_Mini_!$C:$K)</f>
        <v>Suburban</v>
      </c>
      <c r="G187" t="str">
        <f>_xlfn.XLOOKUP($A:$A,Instagram_Usage_Lifestyle_Mini_!$A:$A,Instagram_Usage_Lifestyle_Mini_!$C:$K)</f>
        <v>Middle</v>
      </c>
      <c r="H187" t="str">
        <f>_xlfn.XLOOKUP($A:$A,Instagram_Usage_Lifestyle_Mini_!$A:$A,Instagram_Usage_Lifestyle_Mini_!$C:$K)</f>
        <v>Part_time</v>
      </c>
      <c r="I187" t="str">
        <f>_xlfn.XLOOKUP($A:$A,Instagram_Usage_Lifestyle_Mini_!$A:$A,Instagram_Usage_Lifestyle_Mini_!$C:$K)</f>
        <v>High_school</v>
      </c>
      <c r="J187" t="str">
        <f>_xlfn.XLOOKUP($A:$A,Instagram_Usage_Lifestyle_Mini_!$A:$A,Instagram_Usage_Lifestyle_Mini_!$C:$K)</f>
        <v>In_a_relationship</v>
      </c>
      <c r="K187" t="str">
        <f>_xlfn.XLOOKUP($A:$A,Instagram_Usage_Lifestyle_Mini_!$A:$A,Instagram_Usage_Lifestyle_Mini_!$C:$K)</f>
        <v>No</v>
      </c>
      <c r="L187" t="str" cm="1">
        <f t="array" ref="L187">_xlfn.IFS(C187&lt;18,"Under_18",C187&lt;=25,"Youth",C187&lt;=35,"Young_Adults",C187&lt;=45,"Mid_Adults",TRUE,"Seniors")</f>
        <v>Seniors</v>
      </c>
    </row>
    <row r="188" spans="1:12" x14ac:dyDescent="0.2">
      <c r="A188">
        <v>187</v>
      </c>
      <c r="B188" t="str">
        <f>_xlfn.XLOOKUP(A188,Instagram_Usage_Lifestyle_Mini_!A188,Instagram_Usage_Lifestyle_Mini_!B188,1)</f>
        <v>Instagram</v>
      </c>
      <c r="C188">
        <f>_xlfn.XLOOKUP($A:$A,Instagram_Usage_Lifestyle_Mini_!$A:$A,Instagram_Usage_Lifestyle_Mini_!$C:$K)</f>
        <v>18</v>
      </c>
      <c r="D188" t="str">
        <f>_xlfn.XLOOKUP($A:$A,Instagram_Usage_Lifestyle_Mini_!$A:$A,Instagram_Usage_Lifestyle_Mini_!$C:$K)</f>
        <v>Male</v>
      </c>
      <c r="E188" t="str">
        <f>_xlfn.XLOOKUP($A:$A,Instagram_Usage_Lifestyle_Mini_!$A:$A,Instagram_Usage_Lifestyle_Mini_!$C:$K)</f>
        <v>India</v>
      </c>
      <c r="F188" t="str">
        <f>_xlfn.XLOOKUP($A:$A,Instagram_Usage_Lifestyle_Mini_!$A:$A,Instagram_Usage_Lifestyle_Mini_!$C:$K)</f>
        <v>Urban</v>
      </c>
      <c r="G188" t="str">
        <f>_xlfn.XLOOKUP($A:$A,Instagram_Usage_Lifestyle_Mini_!$A:$A,Instagram_Usage_Lifestyle_Mini_!$C:$K)</f>
        <v>High</v>
      </c>
      <c r="H188" t="str">
        <f>_xlfn.XLOOKUP($A:$A,Instagram_Usage_Lifestyle_Mini_!$A:$A,Instagram_Usage_Lifestyle_Mini_!$C:$K)</f>
        <v>Full_time_employed</v>
      </c>
      <c r="I188" t="str">
        <f>_xlfn.XLOOKUP($A:$A,Instagram_Usage_Lifestyle_Mini_!$A:$A,Instagram_Usage_Lifestyle_Mini_!$C:$K)</f>
        <v>Masters_degree</v>
      </c>
      <c r="J188" t="str">
        <f>_xlfn.XLOOKUP($A:$A,Instagram_Usage_Lifestyle_Mini_!$A:$A,Instagram_Usage_Lifestyle_Mini_!$C:$K)</f>
        <v>In_a_relationship</v>
      </c>
      <c r="K188" t="str">
        <f>_xlfn.XLOOKUP($A:$A,Instagram_Usage_Lifestyle_Mini_!$A:$A,Instagram_Usage_Lifestyle_Mini_!$C:$K)</f>
        <v>No</v>
      </c>
      <c r="L188" t="str" cm="1">
        <f t="array" ref="L188">_xlfn.IFS(C188&lt;18,"Under_18",C188&lt;=25,"Youth",C188&lt;=35,"Young_Adults",C188&lt;=45,"Mid_Adults",TRUE,"Seniors")</f>
        <v>Youth</v>
      </c>
    </row>
    <row r="189" spans="1:12" x14ac:dyDescent="0.2">
      <c r="A189">
        <v>188</v>
      </c>
      <c r="B189" t="str">
        <f>_xlfn.XLOOKUP(A189,Instagram_Usage_Lifestyle_Mini_!A189,Instagram_Usage_Lifestyle_Mini_!B189,1)</f>
        <v>Instagram</v>
      </c>
      <c r="C189">
        <f>_xlfn.XLOOKUP($A:$A,Instagram_Usage_Lifestyle_Mini_!$A:$A,Instagram_Usage_Lifestyle_Mini_!$C:$K)</f>
        <v>40</v>
      </c>
      <c r="D189" t="str">
        <f>_xlfn.XLOOKUP($A:$A,Instagram_Usage_Lifestyle_Mini_!$A:$A,Instagram_Usage_Lifestyle_Mini_!$C:$K)</f>
        <v>Female</v>
      </c>
      <c r="E189" t="str">
        <f>_xlfn.XLOOKUP($A:$A,Instagram_Usage_Lifestyle_Mini_!$A:$A,Instagram_Usage_Lifestyle_Mini_!$C:$K)</f>
        <v>India</v>
      </c>
      <c r="F189" t="str">
        <f>_xlfn.XLOOKUP($A:$A,Instagram_Usage_Lifestyle_Mini_!$A:$A,Instagram_Usage_Lifestyle_Mini_!$C:$K)</f>
        <v>Urban</v>
      </c>
      <c r="G189" t="str">
        <f>_xlfn.XLOOKUP($A:$A,Instagram_Usage_Lifestyle_Mini_!$A:$A,Instagram_Usage_Lifestyle_Mini_!$C:$K)</f>
        <v>Middle</v>
      </c>
      <c r="H189" t="str">
        <f>_xlfn.XLOOKUP($A:$A,Instagram_Usage_Lifestyle_Mini_!$A:$A,Instagram_Usage_Lifestyle_Mini_!$C:$K)</f>
        <v>Student</v>
      </c>
      <c r="I189" t="str">
        <f>_xlfn.XLOOKUP($A:$A,Instagram_Usage_Lifestyle_Mini_!$A:$A,Instagram_Usage_Lifestyle_Mini_!$C:$K)</f>
        <v>High_school</v>
      </c>
      <c r="J189" t="str">
        <f>_xlfn.XLOOKUP($A:$A,Instagram_Usage_Lifestyle_Mini_!$A:$A,Instagram_Usage_Lifestyle_Mini_!$C:$K)</f>
        <v>Single</v>
      </c>
      <c r="K189" t="str">
        <f>_xlfn.XLOOKUP($A:$A,Instagram_Usage_Lifestyle_Mini_!$A:$A,Instagram_Usage_Lifestyle_Mini_!$C:$K)</f>
        <v>No</v>
      </c>
      <c r="L189" t="str" cm="1">
        <f t="array" ref="L189">_xlfn.IFS(C189&lt;18,"Under_18",C189&lt;=25,"Youth",C189&lt;=35,"Young_Adults",C189&lt;=45,"Mid_Adults",TRUE,"Seniors")</f>
        <v>Mid_Adults</v>
      </c>
    </row>
    <row r="190" spans="1:12" x14ac:dyDescent="0.2">
      <c r="A190">
        <v>189</v>
      </c>
      <c r="B190" t="str">
        <f>_xlfn.XLOOKUP(A190,Instagram_Usage_Lifestyle_Mini_!A190,Instagram_Usage_Lifestyle_Mini_!B190,1)</f>
        <v>Instagram</v>
      </c>
      <c r="C190">
        <f>_xlfn.XLOOKUP($A:$A,Instagram_Usage_Lifestyle_Mini_!$A:$A,Instagram_Usage_Lifestyle_Mini_!$C:$K)</f>
        <v>40</v>
      </c>
      <c r="D190" t="str">
        <f>_xlfn.XLOOKUP($A:$A,Instagram_Usage_Lifestyle_Mini_!$A:$A,Instagram_Usage_Lifestyle_Mini_!$C:$K)</f>
        <v>Female</v>
      </c>
      <c r="E190" t="str">
        <f>_xlfn.XLOOKUP($A:$A,Instagram_Usage_Lifestyle_Mini_!$A:$A,Instagram_Usage_Lifestyle_Mini_!$C:$K)</f>
        <v>India</v>
      </c>
      <c r="F190" t="str">
        <f>_xlfn.XLOOKUP($A:$A,Instagram_Usage_Lifestyle_Mini_!$A:$A,Instagram_Usage_Lifestyle_Mini_!$C:$K)</f>
        <v>Urban</v>
      </c>
      <c r="G190" t="str">
        <f>_xlfn.XLOOKUP($A:$A,Instagram_Usage_Lifestyle_Mini_!$A:$A,Instagram_Usage_Lifestyle_Mini_!$C:$K)</f>
        <v>Middle</v>
      </c>
      <c r="H190" t="str">
        <f>_xlfn.XLOOKUP($A:$A,Instagram_Usage_Lifestyle_Mini_!$A:$A,Instagram_Usage_Lifestyle_Mini_!$C:$K)</f>
        <v>Freelancer</v>
      </c>
      <c r="I190" t="str">
        <f>_xlfn.XLOOKUP($A:$A,Instagram_Usage_Lifestyle_Mini_!$A:$A,Instagram_Usage_Lifestyle_Mini_!$C:$K)</f>
        <v>High_school</v>
      </c>
      <c r="J190" t="str">
        <f>_xlfn.XLOOKUP($A:$A,Instagram_Usage_Lifestyle_Mini_!$A:$A,Instagram_Usage_Lifestyle_Mini_!$C:$K)</f>
        <v>Married</v>
      </c>
      <c r="K190" t="str">
        <f>_xlfn.XLOOKUP($A:$A,Instagram_Usage_Lifestyle_Mini_!$A:$A,Instagram_Usage_Lifestyle_Mini_!$C:$K)</f>
        <v>No</v>
      </c>
      <c r="L190" t="str" cm="1">
        <f t="array" ref="L190">_xlfn.IFS(C190&lt;18,"Under_18",C190&lt;=25,"Youth",C190&lt;=35,"Young_Adults",C190&lt;=45,"Mid_Adults",TRUE,"Seniors")</f>
        <v>Mid_Adults</v>
      </c>
    </row>
    <row r="191" spans="1:12" x14ac:dyDescent="0.2">
      <c r="A191">
        <v>190</v>
      </c>
      <c r="B191" t="str">
        <f>_xlfn.XLOOKUP(A191,Instagram_Usage_Lifestyle_Mini_!A191,Instagram_Usage_Lifestyle_Mini_!B191,1)</f>
        <v>Instagram</v>
      </c>
      <c r="C191">
        <f>_xlfn.XLOOKUP($A:$A,Instagram_Usage_Lifestyle_Mini_!$A:$A,Instagram_Usage_Lifestyle_Mini_!$C:$K)</f>
        <v>56</v>
      </c>
      <c r="D191" t="str">
        <f>_xlfn.XLOOKUP($A:$A,Instagram_Usage_Lifestyle_Mini_!$A:$A,Instagram_Usage_Lifestyle_Mini_!$C:$K)</f>
        <v>Male</v>
      </c>
      <c r="E191" t="str">
        <f>_xlfn.XLOOKUP($A:$A,Instagram_Usage_Lifestyle_Mini_!$A:$A,Instagram_Usage_Lifestyle_Mini_!$C:$K)</f>
        <v>India</v>
      </c>
      <c r="F191" t="str">
        <f>_xlfn.XLOOKUP($A:$A,Instagram_Usage_Lifestyle_Mini_!$A:$A,Instagram_Usage_Lifestyle_Mini_!$C:$K)</f>
        <v>Urban</v>
      </c>
      <c r="G191" t="str">
        <f>_xlfn.XLOOKUP($A:$A,Instagram_Usage_Lifestyle_Mini_!$A:$A,Instagram_Usage_Lifestyle_Mini_!$C:$K)</f>
        <v>Lower_middle</v>
      </c>
      <c r="H191" t="str">
        <f>_xlfn.XLOOKUP($A:$A,Instagram_Usage_Lifestyle_Mini_!$A:$A,Instagram_Usage_Lifestyle_Mini_!$C:$K)</f>
        <v>Student</v>
      </c>
      <c r="I191" t="str">
        <f>_xlfn.XLOOKUP($A:$A,Instagram_Usage_Lifestyle_Mini_!$A:$A,Instagram_Usage_Lifestyle_Mini_!$C:$K)</f>
        <v>Masters_degree</v>
      </c>
      <c r="J191" t="str">
        <f>_xlfn.XLOOKUP($A:$A,Instagram_Usage_Lifestyle_Mini_!$A:$A,Instagram_Usage_Lifestyle_Mini_!$C:$K)</f>
        <v>In_a_relationship</v>
      </c>
      <c r="K191" t="str">
        <f>_xlfn.XLOOKUP($A:$A,Instagram_Usage_Lifestyle_Mini_!$A:$A,Instagram_Usage_Lifestyle_Mini_!$C:$K)</f>
        <v>No</v>
      </c>
      <c r="L191" t="str" cm="1">
        <f t="array" ref="L191">_xlfn.IFS(C191&lt;18,"Under_18",C191&lt;=25,"Youth",C191&lt;=35,"Young_Adults",C191&lt;=45,"Mid_Adults",TRUE,"Seniors")</f>
        <v>Seniors</v>
      </c>
    </row>
    <row r="192" spans="1:12" x14ac:dyDescent="0.2">
      <c r="A192">
        <v>191</v>
      </c>
      <c r="B192" t="str">
        <f>_xlfn.XLOOKUP(A192,Instagram_Usage_Lifestyle_Mini_!A192,Instagram_Usage_Lifestyle_Mini_!B192,1)</f>
        <v>Instagram</v>
      </c>
      <c r="C192">
        <f>_xlfn.XLOOKUP($A:$A,Instagram_Usage_Lifestyle_Mini_!$A:$A,Instagram_Usage_Lifestyle_Mini_!$C:$K)</f>
        <v>56</v>
      </c>
      <c r="D192" t="str">
        <f>_xlfn.XLOOKUP($A:$A,Instagram_Usage_Lifestyle_Mini_!$A:$A,Instagram_Usage_Lifestyle_Mini_!$C:$K)</f>
        <v>Female</v>
      </c>
      <c r="E192" t="str">
        <f>_xlfn.XLOOKUP($A:$A,Instagram_Usage_Lifestyle_Mini_!$A:$A,Instagram_Usage_Lifestyle_Mini_!$C:$K)</f>
        <v>Other</v>
      </c>
      <c r="F192" t="str">
        <f>_xlfn.XLOOKUP($A:$A,Instagram_Usage_Lifestyle_Mini_!$A:$A,Instagram_Usage_Lifestyle_Mini_!$C:$K)</f>
        <v>Suburban</v>
      </c>
      <c r="G192" t="str">
        <f>_xlfn.XLOOKUP($A:$A,Instagram_Usage_Lifestyle_Mini_!$A:$A,Instagram_Usage_Lifestyle_Mini_!$C:$K)</f>
        <v>High</v>
      </c>
      <c r="H192" t="str">
        <f>_xlfn.XLOOKUP($A:$A,Instagram_Usage_Lifestyle_Mini_!$A:$A,Instagram_Usage_Lifestyle_Mini_!$C:$K)</f>
        <v>Full_time_employed</v>
      </c>
      <c r="I192" t="str">
        <f>_xlfn.XLOOKUP($A:$A,Instagram_Usage_Lifestyle_Mini_!$A:$A,Instagram_Usage_Lifestyle_Mini_!$C:$K)</f>
        <v>Bachelors_degree</v>
      </c>
      <c r="J192" t="str">
        <f>_xlfn.XLOOKUP($A:$A,Instagram_Usage_Lifestyle_Mini_!$A:$A,Instagram_Usage_Lifestyle_Mini_!$C:$K)</f>
        <v>In_a_relationship</v>
      </c>
      <c r="K192" t="str">
        <f>_xlfn.XLOOKUP($A:$A,Instagram_Usage_Lifestyle_Mini_!$A:$A,Instagram_Usage_Lifestyle_Mini_!$C:$K)</f>
        <v>Yes</v>
      </c>
      <c r="L192" t="str" cm="1">
        <f t="array" ref="L192">_xlfn.IFS(C192&lt;18,"Under_18",C192&lt;=25,"Youth",C192&lt;=35,"Young_Adults",C192&lt;=45,"Mid_Adults",TRUE,"Seniors")</f>
        <v>Seniors</v>
      </c>
    </row>
    <row r="193" spans="1:12" x14ac:dyDescent="0.2">
      <c r="A193">
        <v>192</v>
      </c>
      <c r="B193" t="str">
        <f>_xlfn.XLOOKUP(A193,Instagram_Usage_Lifestyle_Mini_!A193,Instagram_Usage_Lifestyle_Mini_!B193,1)</f>
        <v>Instagram</v>
      </c>
      <c r="C193">
        <f>_xlfn.XLOOKUP($A:$A,Instagram_Usage_Lifestyle_Mini_!$A:$A,Instagram_Usage_Lifestyle_Mini_!$C:$K)</f>
        <v>32</v>
      </c>
      <c r="D193" t="str">
        <f>_xlfn.XLOOKUP($A:$A,Instagram_Usage_Lifestyle_Mini_!$A:$A,Instagram_Usage_Lifestyle_Mini_!$C:$K)</f>
        <v>Female</v>
      </c>
      <c r="E193" t="str">
        <f>_xlfn.XLOOKUP($A:$A,Instagram_Usage_Lifestyle_Mini_!$A:$A,Instagram_Usage_Lifestyle_Mini_!$C:$K)</f>
        <v>Other</v>
      </c>
      <c r="F193" t="str">
        <f>_xlfn.XLOOKUP($A:$A,Instagram_Usage_Lifestyle_Mini_!$A:$A,Instagram_Usage_Lifestyle_Mini_!$C:$K)</f>
        <v>Urban</v>
      </c>
      <c r="G193" t="str">
        <f>_xlfn.XLOOKUP($A:$A,Instagram_Usage_Lifestyle_Mini_!$A:$A,Instagram_Usage_Lifestyle_Mini_!$C:$K)</f>
        <v>Middle</v>
      </c>
      <c r="H193" t="str">
        <f>_xlfn.XLOOKUP($A:$A,Instagram_Usage_Lifestyle_Mini_!$A:$A,Instagram_Usage_Lifestyle_Mini_!$C:$K)</f>
        <v>Freelancer</v>
      </c>
      <c r="I193" t="str">
        <f>_xlfn.XLOOKUP($A:$A,Instagram_Usage_Lifestyle_Mini_!$A:$A,Instagram_Usage_Lifestyle_Mini_!$C:$K)</f>
        <v>Some_college</v>
      </c>
      <c r="J193" t="str">
        <f>_xlfn.XLOOKUP($A:$A,Instagram_Usage_Lifestyle_Mini_!$A:$A,Instagram_Usage_Lifestyle_Mini_!$C:$K)</f>
        <v>Single</v>
      </c>
      <c r="K193" t="str">
        <f>_xlfn.XLOOKUP($A:$A,Instagram_Usage_Lifestyle_Mini_!$A:$A,Instagram_Usage_Lifestyle_Mini_!$C:$K)</f>
        <v>No</v>
      </c>
      <c r="L193" t="str" cm="1">
        <f t="array" ref="L193">_xlfn.IFS(C193&lt;18,"Under_18",C193&lt;=25,"Youth",C193&lt;=35,"Young_Adults",C193&lt;=45,"Mid_Adults",TRUE,"Seniors")</f>
        <v>Young_Adults</v>
      </c>
    </row>
    <row r="194" spans="1:12" x14ac:dyDescent="0.2">
      <c r="A194">
        <v>193</v>
      </c>
      <c r="B194" t="str">
        <f>_xlfn.XLOOKUP(A194,Instagram_Usage_Lifestyle_Mini_!A194,Instagram_Usage_Lifestyle_Mini_!B194,1)</f>
        <v>Instagram</v>
      </c>
      <c r="C194">
        <f>_xlfn.XLOOKUP($A:$A,Instagram_Usage_Lifestyle_Mini_!$A:$A,Instagram_Usage_Lifestyle_Mini_!$C:$K)</f>
        <v>42</v>
      </c>
      <c r="D194" t="str">
        <f>_xlfn.XLOOKUP($A:$A,Instagram_Usage_Lifestyle_Mini_!$A:$A,Instagram_Usage_Lifestyle_Mini_!$C:$K)</f>
        <v>Female</v>
      </c>
      <c r="E194" t="str">
        <f>_xlfn.XLOOKUP($A:$A,Instagram_Usage_Lifestyle_Mini_!$A:$A,Instagram_Usage_Lifestyle_Mini_!$C:$K)</f>
        <v>Germany</v>
      </c>
      <c r="F194" t="str">
        <f>_xlfn.XLOOKUP($A:$A,Instagram_Usage_Lifestyle_Mini_!$A:$A,Instagram_Usage_Lifestyle_Mini_!$C:$K)</f>
        <v>Suburban</v>
      </c>
      <c r="G194" t="str">
        <f>_xlfn.XLOOKUP($A:$A,Instagram_Usage_Lifestyle_Mini_!$A:$A,Instagram_Usage_Lifestyle_Mini_!$C:$K)</f>
        <v>Low</v>
      </c>
      <c r="H194" t="str">
        <f>_xlfn.XLOOKUP($A:$A,Instagram_Usage_Lifestyle_Mini_!$A:$A,Instagram_Usage_Lifestyle_Mini_!$C:$K)</f>
        <v>Full_time_employed</v>
      </c>
      <c r="I194" t="str">
        <f>_xlfn.XLOOKUP($A:$A,Instagram_Usage_Lifestyle_Mini_!$A:$A,Instagram_Usage_Lifestyle_Mini_!$C:$K)</f>
        <v>High_school</v>
      </c>
      <c r="J194" t="str">
        <f>_xlfn.XLOOKUP($A:$A,Instagram_Usage_Lifestyle_Mini_!$A:$A,Instagram_Usage_Lifestyle_Mini_!$C:$K)</f>
        <v>Single</v>
      </c>
      <c r="K194" t="str">
        <f>_xlfn.XLOOKUP($A:$A,Instagram_Usage_Lifestyle_Mini_!$A:$A,Instagram_Usage_Lifestyle_Mini_!$C:$K)</f>
        <v>No</v>
      </c>
      <c r="L194" t="str" cm="1">
        <f t="array" ref="L194">_xlfn.IFS(C194&lt;18,"Under_18",C194&lt;=25,"Youth",C194&lt;=35,"Young_Adults",C194&lt;=45,"Mid_Adults",TRUE,"Seniors")</f>
        <v>Mid_Adults</v>
      </c>
    </row>
    <row r="195" spans="1:12" x14ac:dyDescent="0.2">
      <c r="A195">
        <v>194</v>
      </c>
      <c r="B195" t="str">
        <f>_xlfn.XLOOKUP(A195,Instagram_Usage_Lifestyle_Mini_!A195,Instagram_Usage_Lifestyle_Mini_!B195,1)</f>
        <v>Instagram</v>
      </c>
      <c r="C195">
        <f>_xlfn.XLOOKUP($A:$A,Instagram_Usage_Lifestyle_Mini_!$A:$A,Instagram_Usage_Lifestyle_Mini_!$C:$K)</f>
        <v>23</v>
      </c>
      <c r="D195" t="str">
        <f>_xlfn.XLOOKUP($A:$A,Instagram_Usage_Lifestyle_Mini_!$A:$A,Instagram_Usage_Lifestyle_Mini_!$C:$K)</f>
        <v>Female</v>
      </c>
      <c r="E195" t="str">
        <f>_xlfn.XLOOKUP($A:$A,Instagram_Usage_Lifestyle_Mini_!$A:$A,Instagram_Usage_Lifestyle_Mini_!$C:$K)</f>
        <v>Germany</v>
      </c>
      <c r="F195" t="str">
        <f>_xlfn.XLOOKUP($A:$A,Instagram_Usage_Lifestyle_Mini_!$A:$A,Instagram_Usage_Lifestyle_Mini_!$C:$K)</f>
        <v>Urban</v>
      </c>
      <c r="G195" t="str">
        <f>_xlfn.XLOOKUP($A:$A,Instagram_Usage_Lifestyle_Mini_!$A:$A,Instagram_Usage_Lifestyle_Mini_!$C:$K)</f>
        <v>Middle</v>
      </c>
      <c r="H195" t="str">
        <f>_xlfn.XLOOKUP($A:$A,Instagram_Usage_Lifestyle_Mini_!$A:$A,Instagram_Usage_Lifestyle_Mini_!$C:$K)</f>
        <v>Part_time</v>
      </c>
      <c r="I195" t="str">
        <f>_xlfn.XLOOKUP($A:$A,Instagram_Usage_Lifestyle_Mini_!$A:$A,Instagram_Usage_Lifestyle_Mini_!$C:$K)</f>
        <v>Some_college</v>
      </c>
      <c r="J195" t="str">
        <f>_xlfn.XLOOKUP($A:$A,Instagram_Usage_Lifestyle_Mini_!$A:$A,Instagram_Usage_Lifestyle_Mini_!$C:$K)</f>
        <v>Married</v>
      </c>
      <c r="K195" t="str">
        <f>_xlfn.XLOOKUP($A:$A,Instagram_Usage_Lifestyle_Mini_!$A:$A,Instagram_Usage_Lifestyle_Mini_!$C:$K)</f>
        <v>No</v>
      </c>
      <c r="L195" t="str" cm="1">
        <f t="array" ref="L195">_xlfn.IFS(C195&lt;18,"Under_18",C195&lt;=25,"Youth",C195&lt;=35,"Young_Adults",C195&lt;=45,"Mid_Adults",TRUE,"Seniors")</f>
        <v>Youth</v>
      </c>
    </row>
    <row r="196" spans="1:12" x14ac:dyDescent="0.2">
      <c r="A196">
        <v>195</v>
      </c>
      <c r="B196" t="str">
        <f>_xlfn.XLOOKUP(A196,Instagram_Usage_Lifestyle_Mini_!A196,Instagram_Usage_Lifestyle_Mini_!B196,1)</f>
        <v>Instagram</v>
      </c>
      <c r="C196">
        <f>_xlfn.XLOOKUP($A:$A,Instagram_Usage_Lifestyle_Mini_!$A:$A,Instagram_Usage_Lifestyle_Mini_!$C:$K)</f>
        <v>40</v>
      </c>
      <c r="D196" t="str">
        <f>_xlfn.XLOOKUP($A:$A,Instagram_Usage_Lifestyle_Mini_!$A:$A,Instagram_Usage_Lifestyle_Mini_!$C:$K)</f>
        <v>Female</v>
      </c>
      <c r="E196" t="str">
        <f>_xlfn.XLOOKUP($A:$A,Instagram_Usage_Lifestyle_Mini_!$A:$A,Instagram_Usage_Lifestyle_Mini_!$C:$K)</f>
        <v>United_States</v>
      </c>
      <c r="F196" t="str">
        <f>_xlfn.XLOOKUP($A:$A,Instagram_Usage_Lifestyle_Mini_!$A:$A,Instagram_Usage_Lifestyle_Mini_!$C:$K)</f>
        <v>Urban</v>
      </c>
      <c r="G196" t="str">
        <f>_xlfn.XLOOKUP($A:$A,Instagram_Usage_Lifestyle_Mini_!$A:$A,Instagram_Usage_Lifestyle_Mini_!$C:$K)</f>
        <v>High</v>
      </c>
      <c r="H196" t="str">
        <f>_xlfn.XLOOKUP($A:$A,Instagram_Usage_Lifestyle_Mini_!$A:$A,Instagram_Usage_Lifestyle_Mini_!$C:$K)</f>
        <v>Full_time_employed</v>
      </c>
      <c r="I196" t="str">
        <f>_xlfn.XLOOKUP($A:$A,Instagram_Usage_Lifestyle_Mini_!$A:$A,Instagram_Usage_Lifestyle_Mini_!$C:$K)</f>
        <v>High_school</v>
      </c>
      <c r="J196" t="str">
        <f>_xlfn.XLOOKUP($A:$A,Instagram_Usage_Lifestyle_Mini_!$A:$A,Instagram_Usage_Lifestyle_Mini_!$C:$K)</f>
        <v>Single</v>
      </c>
      <c r="K196" t="str">
        <f>_xlfn.XLOOKUP($A:$A,Instagram_Usage_Lifestyle_Mini_!$A:$A,Instagram_Usage_Lifestyle_Mini_!$C:$K)</f>
        <v>Yes</v>
      </c>
      <c r="L196" t="str" cm="1">
        <f t="array" ref="L196">_xlfn.IFS(C196&lt;18,"Under_18",C196&lt;=25,"Youth",C196&lt;=35,"Young_Adults",C196&lt;=45,"Mid_Adults",TRUE,"Seniors")</f>
        <v>Mid_Adults</v>
      </c>
    </row>
    <row r="197" spans="1:12" x14ac:dyDescent="0.2">
      <c r="A197">
        <v>196</v>
      </c>
      <c r="B197" t="str">
        <f>_xlfn.XLOOKUP(A197,Instagram_Usage_Lifestyle_Mini_!A197,Instagram_Usage_Lifestyle_Mini_!B197,1)</f>
        <v>Instagram</v>
      </c>
      <c r="C197">
        <f>_xlfn.XLOOKUP($A:$A,Instagram_Usage_Lifestyle_Mini_!$A:$A,Instagram_Usage_Lifestyle_Mini_!$C:$K)</f>
        <v>37</v>
      </c>
      <c r="D197" t="str">
        <f>_xlfn.XLOOKUP($A:$A,Instagram_Usage_Lifestyle_Mini_!$A:$A,Instagram_Usage_Lifestyle_Mini_!$C:$K)</f>
        <v>Female</v>
      </c>
      <c r="E197" t="str">
        <f>_xlfn.XLOOKUP($A:$A,Instagram_Usage_Lifestyle_Mini_!$A:$A,Instagram_Usage_Lifestyle_Mini_!$C:$K)</f>
        <v>United_States</v>
      </c>
      <c r="F197" t="str">
        <f>_xlfn.XLOOKUP($A:$A,Instagram_Usage_Lifestyle_Mini_!$A:$A,Instagram_Usage_Lifestyle_Mini_!$C:$K)</f>
        <v>Urban</v>
      </c>
      <c r="G197" t="str">
        <f>_xlfn.XLOOKUP($A:$A,Instagram_Usage_Lifestyle_Mini_!$A:$A,Instagram_Usage_Lifestyle_Mini_!$C:$K)</f>
        <v>High</v>
      </c>
      <c r="H197" t="str">
        <f>_xlfn.XLOOKUP($A:$A,Instagram_Usage_Lifestyle_Mini_!$A:$A,Instagram_Usage_Lifestyle_Mini_!$C:$K)</f>
        <v>Unemployed</v>
      </c>
      <c r="I197" t="str">
        <f>_xlfn.XLOOKUP($A:$A,Instagram_Usage_Lifestyle_Mini_!$A:$A,Instagram_Usage_Lifestyle_Mini_!$C:$K)</f>
        <v>High_school</v>
      </c>
      <c r="J197" t="str">
        <f>_xlfn.XLOOKUP($A:$A,Instagram_Usage_Lifestyle_Mini_!$A:$A,Instagram_Usage_Lifestyle_Mini_!$C:$K)</f>
        <v>In_a_relationship</v>
      </c>
      <c r="K197" t="str">
        <f>_xlfn.XLOOKUP($A:$A,Instagram_Usage_Lifestyle_Mini_!$A:$A,Instagram_Usage_Lifestyle_Mini_!$C:$K)</f>
        <v>Yes</v>
      </c>
      <c r="L197" t="str" cm="1">
        <f t="array" ref="L197">_xlfn.IFS(C197&lt;18,"Under_18",C197&lt;=25,"Youth",C197&lt;=35,"Young_Adults",C197&lt;=45,"Mid_Adults",TRUE,"Seniors")</f>
        <v>Mid_Adults</v>
      </c>
    </row>
    <row r="198" spans="1:12" x14ac:dyDescent="0.2">
      <c r="A198">
        <v>197</v>
      </c>
      <c r="B198" t="str">
        <f>_xlfn.XLOOKUP(A198,Instagram_Usage_Lifestyle_Mini_!A198,Instagram_Usage_Lifestyle_Mini_!B198,1)</f>
        <v>Instagram</v>
      </c>
      <c r="C198">
        <f>_xlfn.XLOOKUP($A:$A,Instagram_Usage_Lifestyle_Mini_!$A:$A,Instagram_Usage_Lifestyle_Mini_!$C:$K)</f>
        <v>51</v>
      </c>
      <c r="D198" t="str">
        <f>_xlfn.XLOOKUP($A:$A,Instagram_Usage_Lifestyle_Mini_!$A:$A,Instagram_Usage_Lifestyle_Mini_!$C:$K)</f>
        <v>Female</v>
      </c>
      <c r="E198" t="str">
        <f>_xlfn.XLOOKUP($A:$A,Instagram_Usage_Lifestyle_Mini_!$A:$A,Instagram_Usage_Lifestyle_Mini_!$C:$K)</f>
        <v>Germany</v>
      </c>
      <c r="F198" t="str">
        <f>_xlfn.XLOOKUP($A:$A,Instagram_Usage_Lifestyle_Mini_!$A:$A,Instagram_Usage_Lifestyle_Mini_!$C:$K)</f>
        <v>Urban</v>
      </c>
      <c r="G198" t="str">
        <f>_xlfn.XLOOKUP($A:$A,Instagram_Usage_Lifestyle_Mini_!$A:$A,Instagram_Usage_Lifestyle_Mini_!$C:$K)</f>
        <v>Middle</v>
      </c>
      <c r="H198" t="str">
        <f>_xlfn.XLOOKUP($A:$A,Instagram_Usage_Lifestyle_Mini_!$A:$A,Instagram_Usage_Lifestyle_Mini_!$C:$K)</f>
        <v>Freelancer</v>
      </c>
      <c r="I198" t="str">
        <f>_xlfn.XLOOKUP($A:$A,Instagram_Usage_Lifestyle_Mini_!$A:$A,Instagram_Usage_Lifestyle_Mini_!$C:$K)</f>
        <v>Bachelors_degree</v>
      </c>
      <c r="J198" t="str">
        <f>_xlfn.XLOOKUP($A:$A,Instagram_Usage_Lifestyle_Mini_!$A:$A,Instagram_Usage_Lifestyle_Mini_!$C:$K)</f>
        <v>In_a_relationship</v>
      </c>
      <c r="K198" t="str">
        <f>_xlfn.XLOOKUP($A:$A,Instagram_Usage_Lifestyle_Mini_!$A:$A,Instagram_Usage_Lifestyle_Mini_!$C:$K)</f>
        <v>Yes</v>
      </c>
      <c r="L198" t="str" cm="1">
        <f t="array" ref="L198">_xlfn.IFS(C198&lt;18,"Under_18",C198&lt;=25,"Youth",C198&lt;=35,"Young_Adults",C198&lt;=45,"Mid_Adults",TRUE,"Seniors")</f>
        <v>Seniors</v>
      </c>
    </row>
    <row r="199" spans="1:12" x14ac:dyDescent="0.2">
      <c r="A199">
        <v>198</v>
      </c>
      <c r="B199" t="str">
        <f>_xlfn.XLOOKUP(A199,Instagram_Usage_Lifestyle_Mini_!A199,Instagram_Usage_Lifestyle_Mini_!B199,1)</f>
        <v>Instagram</v>
      </c>
      <c r="C199">
        <f>_xlfn.XLOOKUP($A:$A,Instagram_Usage_Lifestyle_Mini_!$A:$A,Instagram_Usage_Lifestyle_Mini_!$C:$K)</f>
        <v>45</v>
      </c>
      <c r="D199" t="str">
        <f>_xlfn.XLOOKUP($A:$A,Instagram_Usage_Lifestyle_Mini_!$A:$A,Instagram_Usage_Lifestyle_Mini_!$C:$K)</f>
        <v>Female</v>
      </c>
      <c r="E199" t="str">
        <f>_xlfn.XLOOKUP($A:$A,Instagram_Usage_Lifestyle_Mini_!$A:$A,Instagram_Usage_Lifestyle_Mini_!$C:$K)</f>
        <v>South_Korea</v>
      </c>
      <c r="F199" t="str">
        <f>_xlfn.XLOOKUP($A:$A,Instagram_Usage_Lifestyle_Mini_!$A:$A,Instagram_Usage_Lifestyle_Mini_!$C:$K)</f>
        <v>Suburban</v>
      </c>
      <c r="G199" t="str">
        <f>_xlfn.XLOOKUP($A:$A,Instagram_Usage_Lifestyle_Mini_!$A:$A,Instagram_Usage_Lifestyle_Mini_!$C:$K)</f>
        <v>Low</v>
      </c>
      <c r="H199" t="str">
        <f>_xlfn.XLOOKUP($A:$A,Instagram_Usage_Lifestyle_Mini_!$A:$A,Instagram_Usage_Lifestyle_Mini_!$C:$K)</f>
        <v>Student</v>
      </c>
      <c r="I199" t="str">
        <f>_xlfn.XLOOKUP($A:$A,Instagram_Usage_Lifestyle_Mini_!$A:$A,Instagram_Usage_Lifestyle_Mini_!$C:$K)</f>
        <v>Some_college</v>
      </c>
      <c r="J199" t="str">
        <f>_xlfn.XLOOKUP($A:$A,Instagram_Usage_Lifestyle_Mini_!$A:$A,Instagram_Usage_Lifestyle_Mini_!$C:$K)</f>
        <v>Married</v>
      </c>
      <c r="K199" t="str">
        <f>_xlfn.XLOOKUP($A:$A,Instagram_Usage_Lifestyle_Mini_!$A:$A,Instagram_Usage_Lifestyle_Mini_!$C:$K)</f>
        <v>Yes</v>
      </c>
      <c r="L199" t="str" cm="1">
        <f t="array" ref="L199">_xlfn.IFS(C199&lt;18,"Under_18",C199&lt;=25,"Youth",C199&lt;=35,"Young_Adults",C199&lt;=45,"Mid_Adults",TRUE,"Seniors")</f>
        <v>Mid_Adults</v>
      </c>
    </row>
    <row r="200" spans="1:12" x14ac:dyDescent="0.2">
      <c r="A200">
        <v>199</v>
      </c>
      <c r="B200" t="str">
        <f>_xlfn.XLOOKUP(A200,Instagram_Usage_Lifestyle_Mini_!A200,Instagram_Usage_Lifestyle_Mini_!B200,1)</f>
        <v>Instagram</v>
      </c>
      <c r="C200">
        <f>_xlfn.XLOOKUP($A:$A,Instagram_Usage_Lifestyle_Mini_!$A:$A,Instagram_Usage_Lifestyle_Mini_!$C:$K)</f>
        <v>13</v>
      </c>
      <c r="D200" t="str">
        <f>_xlfn.XLOOKUP($A:$A,Instagram_Usage_Lifestyle_Mini_!$A:$A,Instagram_Usage_Lifestyle_Mini_!$C:$K)</f>
        <v>Male</v>
      </c>
      <c r="E200" t="str">
        <f>_xlfn.XLOOKUP($A:$A,Instagram_Usage_Lifestyle_Mini_!$A:$A,Instagram_Usage_Lifestyle_Mini_!$C:$K)</f>
        <v>Canada</v>
      </c>
      <c r="F200" t="str">
        <f>_xlfn.XLOOKUP($A:$A,Instagram_Usage_Lifestyle_Mini_!$A:$A,Instagram_Usage_Lifestyle_Mini_!$C:$K)</f>
        <v>Suburban</v>
      </c>
      <c r="G200" t="str">
        <f>_xlfn.XLOOKUP($A:$A,Instagram_Usage_Lifestyle_Mini_!$A:$A,Instagram_Usage_Lifestyle_Mini_!$C:$K)</f>
        <v>Upper_middle</v>
      </c>
      <c r="H200" t="str">
        <f>_xlfn.XLOOKUP($A:$A,Instagram_Usage_Lifestyle_Mini_!$A:$A,Instagram_Usage_Lifestyle_Mini_!$C:$K)</f>
        <v>Unemployed</v>
      </c>
      <c r="I200" t="str">
        <f>_xlfn.XLOOKUP($A:$A,Instagram_Usage_Lifestyle_Mini_!$A:$A,Instagram_Usage_Lifestyle_Mini_!$C:$K)</f>
        <v>Some_college</v>
      </c>
      <c r="J200" t="str">
        <f>_xlfn.XLOOKUP($A:$A,Instagram_Usage_Lifestyle_Mini_!$A:$A,Instagram_Usage_Lifestyle_Mini_!$C:$K)</f>
        <v>Married</v>
      </c>
      <c r="K200" t="str">
        <f>_xlfn.XLOOKUP($A:$A,Instagram_Usage_Lifestyle_Mini_!$A:$A,Instagram_Usage_Lifestyle_Mini_!$C:$K)</f>
        <v>No</v>
      </c>
      <c r="L200" t="str" cm="1">
        <f t="array" ref="L200">_xlfn.IFS(C200&lt;18,"Under_18",C200&lt;=25,"Youth",C200&lt;=35,"Young_Adults",C200&lt;=45,"Mid_Adults",TRUE,"Seniors")</f>
        <v>Under_18</v>
      </c>
    </row>
    <row r="201" spans="1:12" x14ac:dyDescent="0.2">
      <c r="A201">
        <v>200</v>
      </c>
      <c r="B201" t="str">
        <f>_xlfn.XLOOKUP(A201,Instagram_Usage_Lifestyle_Mini_!A201,Instagram_Usage_Lifestyle_Mini_!B201,1)</f>
        <v>Instagram</v>
      </c>
      <c r="C201">
        <f>_xlfn.XLOOKUP($A:$A,Instagram_Usage_Lifestyle_Mini_!$A:$A,Instagram_Usage_Lifestyle_Mini_!$C:$K)</f>
        <v>39</v>
      </c>
      <c r="D201" t="str">
        <f>_xlfn.XLOOKUP($A:$A,Instagram_Usage_Lifestyle_Mini_!$A:$A,Instagram_Usage_Lifestyle_Mini_!$C:$K)</f>
        <v>Female</v>
      </c>
      <c r="E201" t="str">
        <f>_xlfn.XLOOKUP($A:$A,Instagram_Usage_Lifestyle_Mini_!$A:$A,Instagram_Usage_Lifestyle_Mini_!$C:$K)</f>
        <v>Other</v>
      </c>
      <c r="F201" t="str">
        <f>_xlfn.XLOOKUP($A:$A,Instagram_Usage_Lifestyle_Mini_!$A:$A,Instagram_Usage_Lifestyle_Mini_!$C:$K)</f>
        <v>Rural</v>
      </c>
      <c r="G201" t="str">
        <f>_xlfn.XLOOKUP($A:$A,Instagram_Usage_Lifestyle_Mini_!$A:$A,Instagram_Usage_Lifestyle_Mini_!$C:$K)</f>
        <v>Upper_middle</v>
      </c>
      <c r="H201" t="str">
        <f>_xlfn.XLOOKUP($A:$A,Instagram_Usage_Lifestyle_Mini_!$A:$A,Instagram_Usage_Lifestyle_Mini_!$C:$K)</f>
        <v>Student</v>
      </c>
      <c r="I201" t="str">
        <f>_xlfn.XLOOKUP($A:$A,Instagram_Usage_Lifestyle_Mini_!$A:$A,Instagram_Usage_Lifestyle_Mini_!$C:$K)</f>
        <v>Bachelors_degree</v>
      </c>
      <c r="J201" t="str">
        <f>_xlfn.XLOOKUP($A:$A,Instagram_Usage_Lifestyle_Mini_!$A:$A,Instagram_Usage_Lifestyle_Mini_!$C:$K)</f>
        <v>In_a_relationship</v>
      </c>
      <c r="K201" t="str">
        <f>_xlfn.XLOOKUP($A:$A,Instagram_Usage_Lifestyle_Mini_!$A:$A,Instagram_Usage_Lifestyle_Mini_!$C:$K)</f>
        <v>No</v>
      </c>
      <c r="L201" t="str" cm="1">
        <f t="array" ref="L201">_xlfn.IFS(C201&lt;18,"Under_18",C201&lt;=25,"Youth",C201&lt;=35,"Young_Adults",C201&lt;=45,"Mid_Adults",TRUE,"Seniors")</f>
        <v>Mid_Adults</v>
      </c>
    </row>
    <row r="202" spans="1:12" x14ac:dyDescent="0.2">
      <c r="A202">
        <v>201</v>
      </c>
      <c r="B202" t="str">
        <f>_xlfn.XLOOKUP(A202,Instagram_Usage_Lifestyle_Mini_!A202,Instagram_Usage_Lifestyle_Mini_!B202,1)</f>
        <v>Instagram</v>
      </c>
      <c r="C202">
        <f>_xlfn.XLOOKUP($A:$A,Instagram_Usage_Lifestyle_Mini_!$A:$A,Instagram_Usage_Lifestyle_Mini_!$C:$K)</f>
        <v>64</v>
      </c>
      <c r="D202" t="str">
        <f>_xlfn.XLOOKUP($A:$A,Instagram_Usage_Lifestyle_Mini_!$A:$A,Instagram_Usage_Lifestyle_Mini_!$C:$K)</f>
        <v>Female</v>
      </c>
      <c r="E202" t="str">
        <f>_xlfn.XLOOKUP($A:$A,Instagram_Usage_Lifestyle_Mini_!$A:$A,Instagram_Usage_Lifestyle_Mini_!$C:$K)</f>
        <v>United_States</v>
      </c>
      <c r="F202" t="str">
        <f>_xlfn.XLOOKUP($A:$A,Instagram_Usage_Lifestyle_Mini_!$A:$A,Instagram_Usage_Lifestyle_Mini_!$C:$K)</f>
        <v>Rural</v>
      </c>
      <c r="G202" t="str">
        <f>_xlfn.XLOOKUP($A:$A,Instagram_Usage_Lifestyle_Mini_!$A:$A,Instagram_Usage_Lifestyle_Mini_!$C:$K)</f>
        <v>High</v>
      </c>
      <c r="H202" t="str">
        <f>_xlfn.XLOOKUP($A:$A,Instagram_Usage_Lifestyle_Mini_!$A:$A,Instagram_Usage_Lifestyle_Mini_!$C:$K)</f>
        <v>Part_time</v>
      </c>
      <c r="I202" t="str">
        <f>_xlfn.XLOOKUP($A:$A,Instagram_Usage_Lifestyle_Mini_!$A:$A,Instagram_Usage_Lifestyle_Mini_!$C:$K)</f>
        <v>Other</v>
      </c>
      <c r="J202" t="str">
        <f>_xlfn.XLOOKUP($A:$A,Instagram_Usage_Lifestyle_Mini_!$A:$A,Instagram_Usage_Lifestyle_Mini_!$C:$K)</f>
        <v>In_a_relationship</v>
      </c>
      <c r="K202" t="str">
        <f>_xlfn.XLOOKUP($A:$A,Instagram_Usage_Lifestyle_Mini_!$A:$A,Instagram_Usage_Lifestyle_Mini_!$C:$K)</f>
        <v>No</v>
      </c>
      <c r="L202" t="str" cm="1">
        <f t="array" ref="L202">_xlfn.IFS(C202&lt;18,"Under_18",C202&lt;=25,"Youth",C202&lt;=35,"Young_Adults",C202&lt;=45,"Mid_Adults",TRUE,"Seniors")</f>
        <v>Seniors</v>
      </c>
    </row>
    <row r="203" spans="1:12" x14ac:dyDescent="0.2">
      <c r="A203">
        <v>202</v>
      </c>
      <c r="B203" t="str">
        <f>_xlfn.XLOOKUP(A203,Instagram_Usage_Lifestyle_Mini_!A203,Instagram_Usage_Lifestyle_Mini_!B203,1)</f>
        <v>Instagram</v>
      </c>
      <c r="C203">
        <f>_xlfn.XLOOKUP($A:$A,Instagram_Usage_Lifestyle_Mini_!$A:$A,Instagram_Usage_Lifestyle_Mini_!$C:$K)</f>
        <v>25</v>
      </c>
      <c r="D203" t="str">
        <f>_xlfn.XLOOKUP($A:$A,Instagram_Usage_Lifestyle_Mini_!$A:$A,Instagram_Usage_Lifestyle_Mini_!$C:$K)</f>
        <v>Female</v>
      </c>
      <c r="E203" t="str">
        <f>_xlfn.XLOOKUP($A:$A,Instagram_Usage_Lifestyle_Mini_!$A:$A,Instagram_Usage_Lifestyle_Mini_!$C:$K)</f>
        <v>India</v>
      </c>
      <c r="F203" t="str">
        <f>_xlfn.XLOOKUP($A:$A,Instagram_Usage_Lifestyle_Mini_!$A:$A,Instagram_Usage_Lifestyle_Mini_!$C:$K)</f>
        <v>Urban</v>
      </c>
      <c r="G203" t="str">
        <f>_xlfn.XLOOKUP($A:$A,Instagram_Usage_Lifestyle_Mini_!$A:$A,Instagram_Usage_Lifestyle_Mini_!$C:$K)</f>
        <v>Low</v>
      </c>
      <c r="H203" t="str">
        <f>_xlfn.XLOOKUP($A:$A,Instagram_Usage_Lifestyle_Mini_!$A:$A,Instagram_Usage_Lifestyle_Mini_!$C:$K)</f>
        <v>Full_time_employed</v>
      </c>
      <c r="I203" t="str">
        <f>_xlfn.XLOOKUP($A:$A,Instagram_Usage_Lifestyle_Mini_!$A:$A,Instagram_Usage_Lifestyle_Mini_!$C:$K)</f>
        <v>Bachelors_degree</v>
      </c>
      <c r="J203" t="str">
        <f>_xlfn.XLOOKUP($A:$A,Instagram_Usage_Lifestyle_Mini_!$A:$A,Instagram_Usage_Lifestyle_Mini_!$C:$K)</f>
        <v>Married</v>
      </c>
      <c r="K203" t="str">
        <f>_xlfn.XLOOKUP($A:$A,Instagram_Usage_Lifestyle_Mini_!$A:$A,Instagram_Usage_Lifestyle_Mini_!$C:$K)</f>
        <v>Yes</v>
      </c>
      <c r="L203" t="str" cm="1">
        <f t="array" ref="L203">_xlfn.IFS(C203&lt;18,"Under_18",C203&lt;=25,"Youth",C203&lt;=35,"Young_Adults",C203&lt;=45,"Mid_Adults",TRUE,"Seniors")</f>
        <v>Youth</v>
      </c>
    </row>
    <row r="204" spans="1:12" x14ac:dyDescent="0.2">
      <c r="A204">
        <v>203</v>
      </c>
      <c r="B204" t="str">
        <f>_xlfn.XLOOKUP(A204,Instagram_Usage_Lifestyle_Mini_!A204,Instagram_Usage_Lifestyle_Mini_!B204,1)</f>
        <v>Instagram</v>
      </c>
      <c r="C204">
        <f>_xlfn.XLOOKUP($A:$A,Instagram_Usage_Lifestyle_Mini_!$A:$A,Instagram_Usage_Lifestyle_Mini_!$C:$K)</f>
        <v>53</v>
      </c>
      <c r="D204" t="str">
        <f>_xlfn.XLOOKUP($A:$A,Instagram_Usage_Lifestyle_Mini_!$A:$A,Instagram_Usage_Lifestyle_Mini_!$C:$K)</f>
        <v>Male</v>
      </c>
      <c r="E204" t="str">
        <f>_xlfn.XLOOKUP($A:$A,Instagram_Usage_Lifestyle_Mini_!$A:$A,Instagram_Usage_Lifestyle_Mini_!$C:$K)</f>
        <v>United_States</v>
      </c>
      <c r="F204" t="str">
        <f>_xlfn.XLOOKUP($A:$A,Instagram_Usage_Lifestyle_Mini_!$A:$A,Instagram_Usage_Lifestyle_Mini_!$C:$K)</f>
        <v>Urban</v>
      </c>
      <c r="G204" t="str">
        <f>_xlfn.XLOOKUP($A:$A,Instagram_Usage_Lifestyle_Mini_!$A:$A,Instagram_Usage_Lifestyle_Mini_!$C:$K)</f>
        <v>Upper_middle</v>
      </c>
      <c r="H204" t="str">
        <f>_xlfn.XLOOKUP($A:$A,Instagram_Usage_Lifestyle_Mini_!$A:$A,Instagram_Usage_Lifestyle_Mini_!$C:$K)</f>
        <v>Full_time_employed</v>
      </c>
      <c r="I204" t="str">
        <f>_xlfn.XLOOKUP($A:$A,Instagram_Usage_Lifestyle_Mini_!$A:$A,Instagram_Usage_Lifestyle_Mini_!$C:$K)</f>
        <v>High_school</v>
      </c>
      <c r="J204" t="str">
        <f>_xlfn.XLOOKUP($A:$A,Instagram_Usage_Lifestyle_Mini_!$A:$A,Instagram_Usage_Lifestyle_Mini_!$C:$K)</f>
        <v>Single</v>
      </c>
      <c r="K204" t="str">
        <f>_xlfn.XLOOKUP($A:$A,Instagram_Usage_Lifestyle_Mini_!$A:$A,Instagram_Usage_Lifestyle_Mini_!$C:$K)</f>
        <v>No</v>
      </c>
      <c r="L204" t="str" cm="1">
        <f t="array" ref="L204">_xlfn.IFS(C204&lt;18,"Under_18",C204&lt;=25,"Youth",C204&lt;=35,"Young_Adults",C204&lt;=45,"Mid_Adults",TRUE,"Seniors")</f>
        <v>Seniors</v>
      </c>
    </row>
    <row r="205" spans="1:12" x14ac:dyDescent="0.2">
      <c r="A205">
        <v>204</v>
      </c>
      <c r="B205" t="str">
        <f>_xlfn.XLOOKUP(A205,Instagram_Usage_Lifestyle_Mini_!A205,Instagram_Usage_Lifestyle_Mini_!B205,1)</f>
        <v>Instagram</v>
      </c>
      <c r="C205">
        <f>_xlfn.XLOOKUP($A:$A,Instagram_Usage_Lifestyle_Mini_!$A:$A,Instagram_Usage_Lifestyle_Mini_!$C:$K)</f>
        <v>15</v>
      </c>
      <c r="D205" t="str">
        <f>_xlfn.XLOOKUP($A:$A,Instagram_Usage_Lifestyle_Mini_!$A:$A,Instagram_Usage_Lifestyle_Mini_!$C:$K)</f>
        <v>Female</v>
      </c>
      <c r="E205" t="str">
        <f>_xlfn.XLOOKUP($A:$A,Instagram_Usage_Lifestyle_Mini_!$A:$A,Instagram_Usage_Lifestyle_Mini_!$C:$K)</f>
        <v>Brazil</v>
      </c>
      <c r="F205" t="str">
        <f>_xlfn.XLOOKUP($A:$A,Instagram_Usage_Lifestyle_Mini_!$A:$A,Instagram_Usage_Lifestyle_Mini_!$C:$K)</f>
        <v>Urban</v>
      </c>
      <c r="G205" t="str">
        <f>_xlfn.XLOOKUP($A:$A,Instagram_Usage_Lifestyle_Mini_!$A:$A,Instagram_Usage_Lifestyle_Mini_!$C:$K)</f>
        <v>Middle</v>
      </c>
      <c r="H205" t="str">
        <f>_xlfn.XLOOKUP($A:$A,Instagram_Usage_Lifestyle_Mini_!$A:$A,Instagram_Usage_Lifestyle_Mini_!$C:$K)</f>
        <v>Student</v>
      </c>
      <c r="I205" t="str">
        <f>_xlfn.XLOOKUP($A:$A,Instagram_Usage_Lifestyle_Mini_!$A:$A,Instagram_Usage_Lifestyle_Mini_!$C:$K)</f>
        <v>Some_college</v>
      </c>
      <c r="J205" t="str">
        <f>_xlfn.XLOOKUP($A:$A,Instagram_Usage_Lifestyle_Mini_!$A:$A,Instagram_Usage_Lifestyle_Mini_!$C:$K)</f>
        <v>In_a_relationship</v>
      </c>
      <c r="K205" t="str">
        <f>_xlfn.XLOOKUP($A:$A,Instagram_Usage_Lifestyle_Mini_!$A:$A,Instagram_Usage_Lifestyle_Mini_!$C:$K)</f>
        <v>No</v>
      </c>
      <c r="L205" t="str" cm="1">
        <f t="array" ref="L205">_xlfn.IFS(C205&lt;18,"Under_18",C205&lt;=25,"Youth",C205&lt;=35,"Young_Adults",C205&lt;=45,"Mid_Adults",TRUE,"Seniors")</f>
        <v>Under_18</v>
      </c>
    </row>
    <row r="206" spans="1:12" x14ac:dyDescent="0.2">
      <c r="A206">
        <v>205</v>
      </c>
      <c r="B206" t="str">
        <f>_xlfn.XLOOKUP(A206,Instagram_Usage_Lifestyle_Mini_!A206,Instagram_Usage_Lifestyle_Mini_!B206,1)</f>
        <v>Instagram</v>
      </c>
      <c r="C206">
        <f>_xlfn.XLOOKUP($A:$A,Instagram_Usage_Lifestyle_Mini_!$A:$A,Instagram_Usage_Lifestyle_Mini_!$C:$K)</f>
        <v>51</v>
      </c>
      <c r="D206" t="str">
        <f>_xlfn.XLOOKUP($A:$A,Instagram_Usage_Lifestyle_Mini_!$A:$A,Instagram_Usage_Lifestyle_Mini_!$C:$K)</f>
        <v>Male</v>
      </c>
      <c r="E206" t="str">
        <f>_xlfn.XLOOKUP($A:$A,Instagram_Usage_Lifestyle_Mini_!$A:$A,Instagram_Usage_Lifestyle_Mini_!$C:$K)</f>
        <v>United _Kingdom</v>
      </c>
      <c r="F206" t="str">
        <f>_xlfn.XLOOKUP($A:$A,Instagram_Usage_Lifestyle_Mini_!$A:$A,Instagram_Usage_Lifestyle_Mini_!$C:$K)</f>
        <v>Rural</v>
      </c>
      <c r="G206" t="str">
        <f>_xlfn.XLOOKUP($A:$A,Instagram_Usage_Lifestyle_Mini_!$A:$A,Instagram_Usage_Lifestyle_Mini_!$C:$K)</f>
        <v>Low</v>
      </c>
      <c r="H206" t="str">
        <f>_xlfn.XLOOKUP($A:$A,Instagram_Usage_Lifestyle_Mini_!$A:$A,Instagram_Usage_Lifestyle_Mini_!$C:$K)</f>
        <v>Part_time</v>
      </c>
      <c r="I206" t="str">
        <f>_xlfn.XLOOKUP($A:$A,Instagram_Usage_Lifestyle_Mini_!$A:$A,Instagram_Usage_Lifestyle_Mini_!$C:$K)</f>
        <v>Masters_degree</v>
      </c>
      <c r="J206" t="str">
        <f>_xlfn.XLOOKUP($A:$A,Instagram_Usage_Lifestyle_Mini_!$A:$A,Instagram_Usage_Lifestyle_Mini_!$C:$K)</f>
        <v>Single</v>
      </c>
      <c r="K206" t="str">
        <f>_xlfn.XLOOKUP($A:$A,Instagram_Usage_Lifestyle_Mini_!$A:$A,Instagram_Usage_Lifestyle_Mini_!$C:$K)</f>
        <v>No</v>
      </c>
      <c r="L206" t="str" cm="1">
        <f t="array" ref="L206">_xlfn.IFS(C206&lt;18,"Under_18",C206&lt;=25,"Youth",C206&lt;=35,"Young_Adults",C206&lt;=45,"Mid_Adults",TRUE,"Seniors")</f>
        <v>Seniors</v>
      </c>
    </row>
    <row r="207" spans="1:12" x14ac:dyDescent="0.2">
      <c r="A207">
        <v>206</v>
      </c>
      <c r="B207" t="str">
        <f>_xlfn.XLOOKUP(A207,Instagram_Usage_Lifestyle_Mini_!A207,Instagram_Usage_Lifestyle_Mini_!B207,1)</f>
        <v>Instagram</v>
      </c>
      <c r="C207">
        <f>_xlfn.XLOOKUP($A:$A,Instagram_Usage_Lifestyle_Mini_!$A:$A,Instagram_Usage_Lifestyle_Mini_!$C:$K)</f>
        <v>18</v>
      </c>
      <c r="D207" t="str">
        <f>_xlfn.XLOOKUP($A:$A,Instagram_Usage_Lifestyle_Mini_!$A:$A,Instagram_Usage_Lifestyle_Mini_!$C:$K)</f>
        <v>Female</v>
      </c>
      <c r="E207" t="str">
        <f>_xlfn.XLOOKUP($A:$A,Instagram_Usage_Lifestyle_Mini_!$A:$A,Instagram_Usage_Lifestyle_Mini_!$C:$K)</f>
        <v>United _Kingdom</v>
      </c>
      <c r="F207" t="str">
        <f>_xlfn.XLOOKUP($A:$A,Instagram_Usage_Lifestyle_Mini_!$A:$A,Instagram_Usage_Lifestyle_Mini_!$C:$K)</f>
        <v>Urban</v>
      </c>
      <c r="G207" t="str">
        <f>_xlfn.XLOOKUP($A:$A,Instagram_Usage_Lifestyle_Mini_!$A:$A,Instagram_Usage_Lifestyle_Mini_!$C:$K)</f>
        <v>Middle</v>
      </c>
      <c r="H207" t="str">
        <f>_xlfn.XLOOKUP($A:$A,Instagram_Usage_Lifestyle_Mini_!$A:$A,Instagram_Usage_Lifestyle_Mini_!$C:$K)</f>
        <v>Full_time_employed</v>
      </c>
      <c r="I207" t="str">
        <f>_xlfn.XLOOKUP($A:$A,Instagram_Usage_Lifestyle_Mini_!$A:$A,Instagram_Usage_Lifestyle_Mini_!$C:$K)</f>
        <v>Bachelors_degree</v>
      </c>
      <c r="J207" t="str">
        <f>_xlfn.XLOOKUP($A:$A,Instagram_Usage_Lifestyle_Mini_!$A:$A,Instagram_Usage_Lifestyle_Mini_!$C:$K)</f>
        <v>In_a_relationship</v>
      </c>
      <c r="K207" t="str">
        <f>_xlfn.XLOOKUP($A:$A,Instagram_Usage_Lifestyle_Mini_!$A:$A,Instagram_Usage_Lifestyle_Mini_!$C:$K)</f>
        <v>Yes</v>
      </c>
      <c r="L207" t="str" cm="1">
        <f t="array" ref="L207">_xlfn.IFS(C207&lt;18,"Under_18",C207&lt;=25,"Youth",C207&lt;=35,"Young_Adults",C207&lt;=45,"Mid_Adults",TRUE,"Seniors")</f>
        <v>Youth</v>
      </c>
    </row>
    <row r="208" spans="1:12" x14ac:dyDescent="0.2">
      <c r="A208">
        <v>207</v>
      </c>
      <c r="B208" t="str">
        <f>_xlfn.XLOOKUP(A208,Instagram_Usage_Lifestyle_Mini_!A208,Instagram_Usage_Lifestyle_Mini_!B208,1)</f>
        <v>Instagram</v>
      </c>
      <c r="C208">
        <f>_xlfn.XLOOKUP($A:$A,Instagram_Usage_Lifestyle_Mini_!$A:$A,Instagram_Usage_Lifestyle_Mini_!$C:$K)</f>
        <v>20</v>
      </c>
      <c r="D208" t="str">
        <f>_xlfn.XLOOKUP($A:$A,Instagram_Usage_Lifestyle_Mini_!$A:$A,Instagram_Usage_Lifestyle_Mini_!$C:$K)</f>
        <v>Female</v>
      </c>
      <c r="E208" t="str">
        <f>_xlfn.XLOOKUP($A:$A,Instagram_Usage_Lifestyle_Mini_!$A:$A,Instagram_Usage_Lifestyle_Mini_!$C:$K)</f>
        <v>United_States</v>
      </c>
      <c r="F208" t="str">
        <f>_xlfn.XLOOKUP($A:$A,Instagram_Usage_Lifestyle_Mini_!$A:$A,Instagram_Usage_Lifestyle_Mini_!$C:$K)</f>
        <v>Urban</v>
      </c>
      <c r="G208" t="str">
        <f>_xlfn.XLOOKUP($A:$A,Instagram_Usage_Lifestyle_Mini_!$A:$A,Instagram_Usage_Lifestyle_Mini_!$C:$K)</f>
        <v>Low</v>
      </c>
      <c r="H208" t="str">
        <f>_xlfn.XLOOKUP($A:$A,Instagram_Usage_Lifestyle_Mini_!$A:$A,Instagram_Usage_Lifestyle_Mini_!$C:$K)</f>
        <v>Freelancer</v>
      </c>
      <c r="I208" t="str">
        <f>_xlfn.XLOOKUP($A:$A,Instagram_Usage_Lifestyle_Mini_!$A:$A,Instagram_Usage_Lifestyle_Mini_!$C:$K)</f>
        <v>High_school</v>
      </c>
      <c r="J208" t="str">
        <f>_xlfn.XLOOKUP($A:$A,Instagram_Usage_Lifestyle_Mini_!$A:$A,Instagram_Usage_Lifestyle_Mini_!$C:$K)</f>
        <v>In_a_relationship</v>
      </c>
      <c r="K208" t="str">
        <f>_xlfn.XLOOKUP($A:$A,Instagram_Usage_Lifestyle_Mini_!$A:$A,Instagram_Usage_Lifestyle_Mini_!$C:$K)</f>
        <v>No</v>
      </c>
      <c r="L208" t="str" cm="1">
        <f t="array" ref="L208">_xlfn.IFS(C208&lt;18,"Under_18",C208&lt;=25,"Youth",C208&lt;=35,"Young_Adults",C208&lt;=45,"Mid_Adults",TRUE,"Seniors")</f>
        <v>Youth</v>
      </c>
    </row>
    <row r="209" spans="1:12" x14ac:dyDescent="0.2">
      <c r="A209">
        <v>208</v>
      </c>
      <c r="B209" t="str">
        <f>_xlfn.XLOOKUP(A209,Instagram_Usage_Lifestyle_Mini_!A209,Instagram_Usage_Lifestyle_Mini_!B209,1)</f>
        <v>Instagram</v>
      </c>
      <c r="C209">
        <f>_xlfn.XLOOKUP($A:$A,Instagram_Usage_Lifestyle_Mini_!$A:$A,Instagram_Usage_Lifestyle_Mini_!$C:$K)</f>
        <v>39</v>
      </c>
      <c r="D209" t="str">
        <f>_xlfn.XLOOKUP($A:$A,Instagram_Usage_Lifestyle_Mini_!$A:$A,Instagram_Usage_Lifestyle_Mini_!$C:$K)</f>
        <v>Female</v>
      </c>
      <c r="E209" t="str">
        <f>_xlfn.XLOOKUP($A:$A,Instagram_Usage_Lifestyle_Mini_!$A:$A,Instagram_Usage_Lifestyle_Mini_!$C:$K)</f>
        <v>India</v>
      </c>
      <c r="F209" t="str">
        <f>_xlfn.XLOOKUP($A:$A,Instagram_Usage_Lifestyle_Mini_!$A:$A,Instagram_Usage_Lifestyle_Mini_!$C:$K)</f>
        <v>Urban</v>
      </c>
      <c r="G209" t="str">
        <f>_xlfn.XLOOKUP($A:$A,Instagram_Usage_Lifestyle_Mini_!$A:$A,Instagram_Usage_Lifestyle_Mini_!$C:$K)</f>
        <v>Middle</v>
      </c>
      <c r="H209" t="str">
        <f>_xlfn.XLOOKUP($A:$A,Instagram_Usage_Lifestyle_Mini_!$A:$A,Instagram_Usage_Lifestyle_Mini_!$C:$K)</f>
        <v>Full_time_employed</v>
      </c>
      <c r="I209" t="str">
        <f>_xlfn.XLOOKUP($A:$A,Instagram_Usage_Lifestyle_Mini_!$A:$A,Instagram_Usage_Lifestyle_Mini_!$C:$K)</f>
        <v>Some_college</v>
      </c>
      <c r="J209" t="str">
        <f>_xlfn.XLOOKUP($A:$A,Instagram_Usage_Lifestyle_Mini_!$A:$A,Instagram_Usage_Lifestyle_Mini_!$C:$K)</f>
        <v>Married</v>
      </c>
      <c r="K209" t="str">
        <f>_xlfn.XLOOKUP($A:$A,Instagram_Usage_Lifestyle_Mini_!$A:$A,Instagram_Usage_Lifestyle_Mini_!$C:$K)</f>
        <v>No</v>
      </c>
      <c r="L209" t="str" cm="1">
        <f t="array" ref="L209">_xlfn.IFS(C209&lt;18,"Under_18",C209&lt;=25,"Youth",C209&lt;=35,"Young_Adults",C209&lt;=45,"Mid_Adults",TRUE,"Seniors")</f>
        <v>Mid_Adults</v>
      </c>
    </row>
    <row r="210" spans="1:12" x14ac:dyDescent="0.2">
      <c r="A210">
        <v>209</v>
      </c>
      <c r="B210" t="str">
        <f>_xlfn.XLOOKUP(A210,Instagram_Usage_Lifestyle_Mini_!A210,Instagram_Usage_Lifestyle_Mini_!B210,1)</f>
        <v>Instagram</v>
      </c>
      <c r="C210">
        <f>_xlfn.XLOOKUP($A:$A,Instagram_Usage_Lifestyle_Mini_!$A:$A,Instagram_Usage_Lifestyle_Mini_!$C:$K)</f>
        <v>21</v>
      </c>
      <c r="D210" t="str">
        <f>_xlfn.XLOOKUP($A:$A,Instagram_Usage_Lifestyle_Mini_!$A:$A,Instagram_Usage_Lifestyle_Mini_!$C:$K)</f>
        <v>Male</v>
      </c>
      <c r="E210" t="str">
        <f>_xlfn.XLOOKUP($A:$A,Instagram_Usage_Lifestyle_Mini_!$A:$A,Instagram_Usage_Lifestyle_Mini_!$C:$K)</f>
        <v>South_Korea</v>
      </c>
      <c r="F210" t="str">
        <f>_xlfn.XLOOKUP($A:$A,Instagram_Usage_Lifestyle_Mini_!$A:$A,Instagram_Usage_Lifestyle_Mini_!$C:$K)</f>
        <v>Rural</v>
      </c>
      <c r="G210" t="str">
        <f>_xlfn.XLOOKUP($A:$A,Instagram_Usage_Lifestyle_Mini_!$A:$A,Instagram_Usage_Lifestyle_Mini_!$C:$K)</f>
        <v>Upper_middle</v>
      </c>
      <c r="H210" t="str">
        <f>_xlfn.XLOOKUP($A:$A,Instagram_Usage_Lifestyle_Mini_!$A:$A,Instagram_Usage_Lifestyle_Mini_!$C:$K)</f>
        <v>Full_time_employed</v>
      </c>
      <c r="I210" t="str">
        <f>_xlfn.XLOOKUP($A:$A,Instagram_Usage_Lifestyle_Mini_!$A:$A,Instagram_Usage_Lifestyle_Mini_!$C:$K)</f>
        <v>Some_college</v>
      </c>
      <c r="J210" t="str">
        <f>_xlfn.XLOOKUP($A:$A,Instagram_Usage_Lifestyle_Mini_!$A:$A,Instagram_Usage_Lifestyle_Mini_!$C:$K)</f>
        <v>Single</v>
      </c>
      <c r="K210" t="str">
        <f>_xlfn.XLOOKUP($A:$A,Instagram_Usage_Lifestyle_Mini_!$A:$A,Instagram_Usage_Lifestyle_Mini_!$C:$K)</f>
        <v>No</v>
      </c>
      <c r="L210" t="str" cm="1">
        <f t="array" ref="L210">_xlfn.IFS(C210&lt;18,"Under_18",C210&lt;=25,"Youth",C210&lt;=35,"Young_Adults",C210&lt;=45,"Mid_Adults",TRUE,"Seniors")</f>
        <v>Youth</v>
      </c>
    </row>
    <row r="211" spans="1:12" x14ac:dyDescent="0.2">
      <c r="A211">
        <v>210</v>
      </c>
      <c r="B211" t="str">
        <f>_xlfn.XLOOKUP(A211,Instagram_Usage_Lifestyle_Mini_!A211,Instagram_Usage_Lifestyle_Mini_!B211,1)</f>
        <v>Instagram</v>
      </c>
      <c r="C211">
        <f>_xlfn.XLOOKUP($A:$A,Instagram_Usage_Lifestyle_Mini_!$A:$A,Instagram_Usage_Lifestyle_Mini_!$C:$K)</f>
        <v>49</v>
      </c>
      <c r="D211" t="str">
        <f>_xlfn.XLOOKUP($A:$A,Instagram_Usage_Lifestyle_Mini_!$A:$A,Instagram_Usage_Lifestyle_Mini_!$C:$K)</f>
        <v>Female</v>
      </c>
      <c r="E211" t="str">
        <f>_xlfn.XLOOKUP($A:$A,Instagram_Usage_Lifestyle_Mini_!$A:$A,Instagram_Usage_Lifestyle_Mini_!$C:$K)</f>
        <v>Germany</v>
      </c>
      <c r="F211" t="str">
        <f>_xlfn.XLOOKUP($A:$A,Instagram_Usage_Lifestyle_Mini_!$A:$A,Instagram_Usage_Lifestyle_Mini_!$C:$K)</f>
        <v>Urban</v>
      </c>
      <c r="G211" t="str">
        <f>_xlfn.XLOOKUP($A:$A,Instagram_Usage_Lifestyle_Mini_!$A:$A,Instagram_Usage_Lifestyle_Mini_!$C:$K)</f>
        <v>Lower_middle</v>
      </c>
      <c r="H211" t="str">
        <f>_xlfn.XLOOKUP($A:$A,Instagram_Usage_Lifestyle_Mini_!$A:$A,Instagram_Usage_Lifestyle_Mini_!$C:$K)</f>
        <v>Full_time_employed</v>
      </c>
      <c r="I211" t="str">
        <f>_xlfn.XLOOKUP($A:$A,Instagram_Usage_Lifestyle_Mini_!$A:$A,Instagram_Usage_Lifestyle_Mini_!$C:$K)</f>
        <v>Masters_degree</v>
      </c>
      <c r="J211" t="str">
        <f>_xlfn.XLOOKUP($A:$A,Instagram_Usage_Lifestyle_Mini_!$A:$A,Instagram_Usage_Lifestyle_Mini_!$C:$K)</f>
        <v>Single</v>
      </c>
      <c r="K211" t="str">
        <f>_xlfn.XLOOKUP($A:$A,Instagram_Usage_Lifestyle_Mini_!$A:$A,Instagram_Usage_Lifestyle_Mini_!$C:$K)</f>
        <v>Yes</v>
      </c>
      <c r="L211" t="str" cm="1">
        <f t="array" ref="L211">_xlfn.IFS(C211&lt;18,"Under_18",C211&lt;=25,"Youth",C211&lt;=35,"Young_Adults",C211&lt;=45,"Mid_Adults",TRUE,"Seniors")</f>
        <v>Seniors</v>
      </c>
    </row>
    <row r="212" spans="1:12" x14ac:dyDescent="0.2">
      <c r="A212">
        <v>211</v>
      </c>
      <c r="B212" t="str">
        <f>_xlfn.XLOOKUP(A212,Instagram_Usage_Lifestyle_Mini_!A212,Instagram_Usage_Lifestyle_Mini_!B212,1)</f>
        <v>Instagram</v>
      </c>
      <c r="C212">
        <f>_xlfn.XLOOKUP($A:$A,Instagram_Usage_Lifestyle_Mini_!$A:$A,Instagram_Usage_Lifestyle_Mini_!$C:$K)</f>
        <v>45</v>
      </c>
      <c r="D212" t="str">
        <f>_xlfn.XLOOKUP($A:$A,Instagram_Usage_Lifestyle_Mini_!$A:$A,Instagram_Usage_Lifestyle_Mini_!$C:$K)</f>
        <v>Female</v>
      </c>
      <c r="E212" t="str">
        <f>_xlfn.XLOOKUP($A:$A,Instagram_Usage_Lifestyle_Mini_!$A:$A,Instagram_Usage_Lifestyle_Mini_!$C:$K)</f>
        <v>Canada</v>
      </c>
      <c r="F212" t="str">
        <f>_xlfn.XLOOKUP($A:$A,Instagram_Usage_Lifestyle_Mini_!$A:$A,Instagram_Usage_Lifestyle_Mini_!$C:$K)</f>
        <v>Rural</v>
      </c>
      <c r="G212" t="str">
        <f>_xlfn.XLOOKUP($A:$A,Instagram_Usage_Lifestyle_Mini_!$A:$A,Instagram_Usage_Lifestyle_Mini_!$C:$K)</f>
        <v>Lower_middle</v>
      </c>
      <c r="H212" t="str">
        <f>_xlfn.XLOOKUP($A:$A,Instagram_Usage_Lifestyle_Mini_!$A:$A,Instagram_Usage_Lifestyle_Mini_!$C:$K)</f>
        <v>Full_time_employed</v>
      </c>
      <c r="I212" t="str">
        <f>_xlfn.XLOOKUP($A:$A,Instagram_Usage_Lifestyle_Mini_!$A:$A,Instagram_Usage_Lifestyle_Mini_!$C:$K)</f>
        <v>Some_college</v>
      </c>
      <c r="J212" t="str">
        <f>_xlfn.XLOOKUP($A:$A,Instagram_Usage_Lifestyle_Mini_!$A:$A,Instagram_Usage_Lifestyle_Mini_!$C:$K)</f>
        <v>Single</v>
      </c>
      <c r="K212" t="str">
        <f>_xlfn.XLOOKUP($A:$A,Instagram_Usage_Lifestyle_Mini_!$A:$A,Instagram_Usage_Lifestyle_Mini_!$C:$K)</f>
        <v>No</v>
      </c>
      <c r="L212" t="str" cm="1">
        <f t="array" ref="L212">_xlfn.IFS(C212&lt;18,"Under_18",C212&lt;=25,"Youth",C212&lt;=35,"Young_Adults",C212&lt;=45,"Mid_Adults",TRUE,"Seniors")</f>
        <v>Mid_Adults</v>
      </c>
    </row>
    <row r="213" spans="1:12" x14ac:dyDescent="0.2">
      <c r="A213">
        <v>212</v>
      </c>
      <c r="B213" t="str">
        <f>_xlfn.XLOOKUP(A213,Instagram_Usage_Lifestyle_Mini_!A213,Instagram_Usage_Lifestyle_Mini_!B213,1)</f>
        <v>Instagram</v>
      </c>
      <c r="C213">
        <f>_xlfn.XLOOKUP($A:$A,Instagram_Usage_Lifestyle_Mini_!$A:$A,Instagram_Usage_Lifestyle_Mini_!$C:$K)</f>
        <v>63</v>
      </c>
      <c r="D213" t="str">
        <f>_xlfn.XLOOKUP($A:$A,Instagram_Usage_Lifestyle_Mini_!$A:$A,Instagram_Usage_Lifestyle_Mini_!$C:$K)</f>
        <v>Male</v>
      </c>
      <c r="E213" t="str">
        <f>_xlfn.XLOOKUP($A:$A,Instagram_Usage_Lifestyle_Mini_!$A:$A,Instagram_Usage_Lifestyle_Mini_!$C:$K)</f>
        <v>United _Kingdom</v>
      </c>
      <c r="F213" t="str">
        <f>_xlfn.XLOOKUP($A:$A,Instagram_Usage_Lifestyle_Mini_!$A:$A,Instagram_Usage_Lifestyle_Mini_!$C:$K)</f>
        <v>Urban</v>
      </c>
      <c r="G213" t="str">
        <f>_xlfn.XLOOKUP($A:$A,Instagram_Usage_Lifestyle_Mini_!$A:$A,Instagram_Usage_Lifestyle_Mini_!$C:$K)</f>
        <v>High</v>
      </c>
      <c r="H213" t="str">
        <f>_xlfn.XLOOKUP($A:$A,Instagram_Usage_Lifestyle_Mini_!$A:$A,Instagram_Usage_Lifestyle_Mini_!$C:$K)</f>
        <v>Full_time_employed</v>
      </c>
      <c r="I213" t="str">
        <f>_xlfn.XLOOKUP($A:$A,Instagram_Usage_Lifestyle_Mini_!$A:$A,Instagram_Usage_Lifestyle_Mini_!$C:$K)</f>
        <v>Bachelors_degree</v>
      </c>
      <c r="J213" t="str">
        <f>_xlfn.XLOOKUP($A:$A,Instagram_Usage_Lifestyle_Mini_!$A:$A,Instagram_Usage_Lifestyle_Mini_!$C:$K)</f>
        <v>Single</v>
      </c>
      <c r="K213" t="str">
        <f>_xlfn.XLOOKUP($A:$A,Instagram_Usage_Lifestyle_Mini_!$A:$A,Instagram_Usage_Lifestyle_Mini_!$C:$K)</f>
        <v>No</v>
      </c>
      <c r="L213" t="str" cm="1">
        <f t="array" ref="L213">_xlfn.IFS(C213&lt;18,"Under_18",C213&lt;=25,"Youth",C213&lt;=35,"Young_Adults",C213&lt;=45,"Mid_Adults",TRUE,"Seniors")</f>
        <v>Seniors</v>
      </c>
    </row>
    <row r="214" spans="1:12" x14ac:dyDescent="0.2">
      <c r="A214">
        <v>213</v>
      </c>
      <c r="B214" t="str">
        <f>_xlfn.XLOOKUP(A214,Instagram_Usage_Lifestyle_Mini_!A214,Instagram_Usage_Lifestyle_Mini_!B214,1)</f>
        <v>Instagram</v>
      </c>
      <c r="C214">
        <f>_xlfn.XLOOKUP($A:$A,Instagram_Usage_Lifestyle_Mini_!$A:$A,Instagram_Usage_Lifestyle_Mini_!$C:$K)</f>
        <v>54</v>
      </c>
      <c r="D214" t="str">
        <f>_xlfn.XLOOKUP($A:$A,Instagram_Usage_Lifestyle_Mini_!$A:$A,Instagram_Usage_Lifestyle_Mini_!$C:$K)</f>
        <v>Female</v>
      </c>
      <c r="E214" t="str">
        <f>_xlfn.XLOOKUP($A:$A,Instagram_Usage_Lifestyle_Mini_!$A:$A,Instagram_Usage_Lifestyle_Mini_!$C:$K)</f>
        <v>United _Kingdom</v>
      </c>
      <c r="F214" t="str">
        <f>_xlfn.XLOOKUP($A:$A,Instagram_Usage_Lifestyle_Mini_!$A:$A,Instagram_Usage_Lifestyle_Mini_!$C:$K)</f>
        <v>Urban</v>
      </c>
      <c r="G214" t="str">
        <f>_xlfn.XLOOKUP($A:$A,Instagram_Usage_Lifestyle_Mini_!$A:$A,Instagram_Usage_Lifestyle_Mini_!$C:$K)</f>
        <v>High</v>
      </c>
      <c r="H214" t="str">
        <f>_xlfn.XLOOKUP($A:$A,Instagram_Usage_Lifestyle_Mini_!$A:$A,Instagram_Usage_Lifestyle_Mini_!$C:$K)</f>
        <v>Unemployed</v>
      </c>
      <c r="I214" t="str">
        <f>_xlfn.XLOOKUP($A:$A,Instagram_Usage_Lifestyle_Mini_!$A:$A,Instagram_Usage_Lifestyle_Mini_!$C:$K)</f>
        <v>Other</v>
      </c>
      <c r="J214" t="str">
        <f>_xlfn.XLOOKUP($A:$A,Instagram_Usage_Lifestyle_Mini_!$A:$A,Instagram_Usage_Lifestyle_Mini_!$C:$K)</f>
        <v>Married</v>
      </c>
      <c r="K214" t="str">
        <f>_xlfn.XLOOKUP($A:$A,Instagram_Usage_Lifestyle_Mini_!$A:$A,Instagram_Usage_Lifestyle_Mini_!$C:$K)</f>
        <v>No</v>
      </c>
      <c r="L214" t="str" cm="1">
        <f t="array" ref="L214">_xlfn.IFS(C214&lt;18,"Under_18",C214&lt;=25,"Youth",C214&lt;=35,"Young_Adults",C214&lt;=45,"Mid_Adults",TRUE,"Seniors")</f>
        <v>Seniors</v>
      </c>
    </row>
    <row r="215" spans="1:12" x14ac:dyDescent="0.2">
      <c r="A215">
        <v>214</v>
      </c>
      <c r="B215" t="str">
        <f>_xlfn.XLOOKUP(A215,Instagram_Usage_Lifestyle_Mini_!A215,Instagram_Usage_Lifestyle_Mini_!B215,1)</f>
        <v>Instagram</v>
      </c>
      <c r="C215">
        <f>_xlfn.XLOOKUP($A:$A,Instagram_Usage_Lifestyle_Mini_!$A:$A,Instagram_Usage_Lifestyle_Mini_!$C:$K)</f>
        <v>56</v>
      </c>
      <c r="D215" t="str">
        <f>_xlfn.XLOOKUP($A:$A,Instagram_Usage_Lifestyle_Mini_!$A:$A,Instagram_Usage_Lifestyle_Mini_!$C:$K)</f>
        <v>Female</v>
      </c>
      <c r="E215" t="str">
        <f>_xlfn.XLOOKUP($A:$A,Instagram_Usage_Lifestyle_Mini_!$A:$A,Instagram_Usage_Lifestyle_Mini_!$C:$K)</f>
        <v>Australia</v>
      </c>
      <c r="F215" t="str">
        <f>_xlfn.XLOOKUP($A:$A,Instagram_Usage_Lifestyle_Mini_!$A:$A,Instagram_Usage_Lifestyle_Mini_!$C:$K)</f>
        <v>Suburban</v>
      </c>
      <c r="G215" t="str">
        <f>_xlfn.XLOOKUP($A:$A,Instagram_Usage_Lifestyle_Mini_!$A:$A,Instagram_Usage_Lifestyle_Mini_!$C:$K)</f>
        <v>High</v>
      </c>
      <c r="H215" t="str">
        <f>_xlfn.XLOOKUP($A:$A,Instagram_Usage_Lifestyle_Mini_!$A:$A,Instagram_Usage_Lifestyle_Mini_!$C:$K)</f>
        <v>Full_time_employed</v>
      </c>
      <c r="I215" t="str">
        <f>_xlfn.XLOOKUP($A:$A,Instagram_Usage_Lifestyle_Mini_!$A:$A,Instagram_Usage_Lifestyle_Mini_!$C:$K)</f>
        <v>Some_college</v>
      </c>
      <c r="J215" t="str">
        <f>_xlfn.XLOOKUP($A:$A,Instagram_Usage_Lifestyle_Mini_!$A:$A,Instagram_Usage_Lifestyle_Mini_!$C:$K)</f>
        <v>Single</v>
      </c>
      <c r="K215" t="str">
        <f>_xlfn.XLOOKUP($A:$A,Instagram_Usage_Lifestyle_Mini_!$A:$A,Instagram_Usage_Lifestyle_Mini_!$C:$K)</f>
        <v>No</v>
      </c>
      <c r="L215" t="str" cm="1">
        <f t="array" ref="L215">_xlfn.IFS(C215&lt;18,"Under_18",C215&lt;=25,"Youth",C215&lt;=35,"Young_Adults",C215&lt;=45,"Mid_Adults",TRUE,"Seniors")</f>
        <v>Seniors</v>
      </c>
    </row>
    <row r="216" spans="1:12" x14ac:dyDescent="0.2">
      <c r="A216">
        <v>215</v>
      </c>
      <c r="B216" t="str">
        <f>_xlfn.XLOOKUP(A216,Instagram_Usage_Lifestyle_Mini_!A216,Instagram_Usage_Lifestyle_Mini_!B216,1)</f>
        <v>Instagram</v>
      </c>
      <c r="C216">
        <f>_xlfn.XLOOKUP($A:$A,Instagram_Usage_Lifestyle_Mini_!$A:$A,Instagram_Usage_Lifestyle_Mini_!$C:$K)</f>
        <v>36</v>
      </c>
      <c r="D216" t="str">
        <f>_xlfn.XLOOKUP($A:$A,Instagram_Usage_Lifestyle_Mini_!$A:$A,Instagram_Usage_Lifestyle_Mini_!$C:$K)</f>
        <v>Male</v>
      </c>
      <c r="E216" t="str">
        <f>_xlfn.XLOOKUP($A:$A,Instagram_Usage_Lifestyle_Mini_!$A:$A,Instagram_Usage_Lifestyle_Mini_!$C:$K)</f>
        <v>United_States</v>
      </c>
      <c r="F216" t="str">
        <f>_xlfn.XLOOKUP($A:$A,Instagram_Usage_Lifestyle_Mini_!$A:$A,Instagram_Usage_Lifestyle_Mini_!$C:$K)</f>
        <v>Urban</v>
      </c>
      <c r="G216" t="str">
        <f>_xlfn.XLOOKUP($A:$A,Instagram_Usage_Lifestyle_Mini_!$A:$A,Instagram_Usage_Lifestyle_Mini_!$C:$K)</f>
        <v>High</v>
      </c>
      <c r="H216" t="str">
        <f>_xlfn.XLOOKUP($A:$A,Instagram_Usage_Lifestyle_Mini_!$A:$A,Instagram_Usage_Lifestyle_Mini_!$C:$K)</f>
        <v>Full_time_employed</v>
      </c>
      <c r="I216" t="str">
        <f>_xlfn.XLOOKUP($A:$A,Instagram_Usage_Lifestyle_Mini_!$A:$A,Instagram_Usage_Lifestyle_Mini_!$C:$K)</f>
        <v>Other</v>
      </c>
      <c r="J216" t="str">
        <f>_xlfn.XLOOKUP($A:$A,Instagram_Usage_Lifestyle_Mini_!$A:$A,Instagram_Usage_Lifestyle_Mini_!$C:$K)</f>
        <v>Single</v>
      </c>
      <c r="K216" t="str">
        <f>_xlfn.XLOOKUP($A:$A,Instagram_Usage_Lifestyle_Mini_!$A:$A,Instagram_Usage_Lifestyle_Mini_!$C:$K)</f>
        <v>No</v>
      </c>
      <c r="L216" t="str" cm="1">
        <f t="array" ref="L216">_xlfn.IFS(C216&lt;18,"Under_18",C216&lt;=25,"Youth",C216&lt;=35,"Young_Adults",C216&lt;=45,"Mid_Adults",TRUE,"Seniors")</f>
        <v>Mid_Adults</v>
      </c>
    </row>
    <row r="217" spans="1:12" x14ac:dyDescent="0.2">
      <c r="A217">
        <v>216</v>
      </c>
      <c r="B217" t="str">
        <f>_xlfn.XLOOKUP(A217,Instagram_Usage_Lifestyle_Mini_!A217,Instagram_Usage_Lifestyle_Mini_!B217,1)</f>
        <v>Instagram</v>
      </c>
      <c r="C217">
        <f>_xlfn.XLOOKUP($A:$A,Instagram_Usage_Lifestyle_Mini_!$A:$A,Instagram_Usage_Lifestyle_Mini_!$C:$K)</f>
        <v>27</v>
      </c>
      <c r="D217" t="str">
        <f>_xlfn.XLOOKUP($A:$A,Instagram_Usage_Lifestyle_Mini_!$A:$A,Instagram_Usage_Lifestyle_Mini_!$C:$K)</f>
        <v>Female</v>
      </c>
      <c r="E217" t="str">
        <f>_xlfn.XLOOKUP($A:$A,Instagram_Usage_Lifestyle_Mini_!$A:$A,Instagram_Usage_Lifestyle_Mini_!$C:$K)</f>
        <v>United_States</v>
      </c>
      <c r="F217" t="str">
        <f>_xlfn.XLOOKUP($A:$A,Instagram_Usage_Lifestyle_Mini_!$A:$A,Instagram_Usage_Lifestyle_Mini_!$C:$K)</f>
        <v>Rural</v>
      </c>
      <c r="G217" t="str">
        <f>_xlfn.XLOOKUP($A:$A,Instagram_Usage_Lifestyle_Mini_!$A:$A,Instagram_Usage_Lifestyle_Mini_!$C:$K)</f>
        <v>Middle</v>
      </c>
      <c r="H217" t="str">
        <f>_xlfn.XLOOKUP($A:$A,Instagram_Usage_Lifestyle_Mini_!$A:$A,Instagram_Usage_Lifestyle_Mini_!$C:$K)</f>
        <v>Freelancer</v>
      </c>
      <c r="I217" t="str">
        <f>_xlfn.XLOOKUP($A:$A,Instagram_Usage_Lifestyle_Mini_!$A:$A,Instagram_Usage_Lifestyle_Mini_!$C:$K)</f>
        <v>Some_college</v>
      </c>
      <c r="J217" t="str">
        <f>_xlfn.XLOOKUP($A:$A,Instagram_Usage_Lifestyle_Mini_!$A:$A,Instagram_Usage_Lifestyle_Mini_!$C:$K)</f>
        <v>In_a_relationship</v>
      </c>
      <c r="K217" t="str">
        <f>_xlfn.XLOOKUP($A:$A,Instagram_Usage_Lifestyle_Mini_!$A:$A,Instagram_Usage_Lifestyle_Mini_!$C:$K)</f>
        <v>No</v>
      </c>
      <c r="L217" t="str" cm="1">
        <f t="array" ref="L217">_xlfn.IFS(C217&lt;18,"Under_18",C217&lt;=25,"Youth",C217&lt;=35,"Young_Adults",C217&lt;=45,"Mid_Adults",TRUE,"Seniors")</f>
        <v>Young_Adults</v>
      </c>
    </row>
    <row r="218" spans="1:12" x14ac:dyDescent="0.2">
      <c r="A218">
        <v>217</v>
      </c>
      <c r="B218" t="str">
        <f>_xlfn.XLOOKUP(A218,Instagram_Usage_Lifestyle_Mini_!A218,Instagram_Usage_Lifestyle_Mini_!B218,1)</f>
        <v>Instagram</v>
      </c>
      <c r="C218">
        <f>_xlfn.XLOOKUP($A:$A,Instagram_Usage_Lifestyle_Mini_!$A:$A,Instagram_Usage_Lifestyle_Mini_!$C:$K)</f>
        <v>44</v>
      </c>
      <c r="D218" t="str">
        <f>_xlfn.XLOOKUP($A:$A,Instagram_Usage_Lifestyle_Mini_!$A:$A,Instagram_Usage_Lifestyle_Mini_!$C:$K)</f>
        <v>Female</v>
      </c>
      <c r="E218" t="str">
        <f>_xlfn.XLOOKUP($A:$A,Instagram_Usage_Lifestyle_Mini_!$A:$A,Instagram_Usage_Lifestyle_Mini_!$C:$K)</f>
        <v>Brazil</v>
      </c>
      <c r="F218" t="str">
        <f>_xlfn.XLOOKUP($A:$A,Instagram_Usage_Lifestyle_Mini_!$A:$A,Instagram_Usage_Lifestyle_Mini_!$C:$K)</f>
        <v>Suburban</v>
      </c>
      <c r="G218" t="str">
        <f>_xlfn.XLOOKUP($A:$A,Instagram_Usage_Lifestyle_Mini_!$A:$A,Instagram_Usage_Lifestyle_Mini_!$C:$K)</f>
        <v>Lower_middle</v>
      </c>
      <c r="H218" t="str">
        <f>_xlfn.XLOOKUP($A:$A,Instagram_Usage_Lifestyle_Mini_!$A:$A,Instagram_Usage_Lifestyle_Mini_!$C:$K)</f>
        <v>Full_time_employed</v>
      </c>
      <c r="I218" t="str">
        <f>_xlfn.XLOOKUP($A:$A,Instagram_Usage_Lifestyle_Mini_!$A:$A,Instagram_Usage_Lifestyle_Mini_!$C:$K)</f>
        <v>PhD</v>
      </c>
      <c r="J218" t="str">
        <f>_xlfn.XLOOKUP($A:$A,Instagram_Usage_Lifestyle_Mini_!$A:$A,Instagram_Usage_Lifestyle_Mini_!$C:$K)</f>
        <v>Single</v>
      </c>
      <c r="K218" t="str">
        <f>_xlfn.XLOOKUP($A:$A,Instagram_Usage_Lifestyle_Mini_!$A:$A,Instagram_Usage_Lifestyle_Mini_!$C:$K)</f>
        <v>No</v>
      </c>
      <c r="L218" t="str" cm="1">
        <f t="array" ref="L218">_xlfn.IFS(C218&lt;18,"Under_18",C218&lt;=25,"Youth",C218&lt;=35,"Young_Adults",C218&lt;=45,"Mid_Adults",TRUE,"Seniors")</f>
        <v>Mid_Adults</v>
      </c>
    </row>
    <row r="219" spans="1:12" x14ac:dyDescent="0.2">
      <c r="A219">
        <v>218</v>
      </c>
      <c r="B219" t="str">
        <f>_xlfn.XLOOKUP(A219,Instagram_Usage_Lifestyle_Mini_!A219,Instagram_Usage_Lifestyle_Mini_!B219,1)</f>
        <v>Instagram</v>
      </c>
      <c r="C219">
        <f>_xlfn.XLOOKUP($A:$A,Instagram_Usage_Lifestyle_Mini_!$A:$A,Instagram_Usage_Lifestyle_Mini_!$C:$K)</f>
        <v>44</v>
      </c>
      <c r="D219" t="str">
        <f>_xlfn.XLOOKUP($A:$A,Instagram_Usage_Lifestyle_Mini_!$A:$A,Instagram_Usage_Lifestyle_Mini_!$C:$K)</f>
        <v>Non_binary</v>
      </c>
      <c r="E219" t="str">
        <f>_xlfn.XLOOKUP($A:$A,Instagram_Usage_Lifestyle_Mini_!$A:$A,Instagram_Usage_Lifestyle_Mini_!$C:$K)</f>
        <v>United_States</v>
      </c>
      <c r="F219" t="str">
        <f>_xlfn.XLOOKUP($A:$A,Instagram_Usage_Lifestyle_Mini_!$A:$A,Instagram_Usage_Lifestyle_Mini_!$C:$K)</f>
        <v>Urban</v>
      </c>
      <c r="G219" t="str">
        <f>_xlfn.XLOOKUP($A:$A,Instagram_Usage_Lifestyle_Mini_!$A:$A,Instagram_Usage_Lifestyle_Mini_!$C:$K)</f>
        <v>Lower_middle</v>
      </c>
      <c r="H219" t="str">
        <f>_xlfn.XLOOKUP($A:$A,Instagram_Usage_Lifestyle_Mini_!$A:$A,Instagram_Usage_Lifestyle_Mini_!$C:$K)</f>
        <v>Part_time</v>
      </c>
      <c r="I219" t="str">
        <f>_xlfn.XLOOKUP($A:$A,Instagram_Usage_Lifestyle_Mini_!$A:$A,Instagram_Usage_Lifestyle_Mini_!$C:$K)</f>
        <v>Bachelors_degree</v>
      </c>
      <c r="J219" t="str">
        <f>_xlfn.XLOOKUP($A:$A,Instagram_Usage_Lifestyle_Mini_!$A:$A,Instagram_Usage_Lifestyle_Mini_!$C:$K)</f>
        <v>Single</v>
      </c>
      <c r="K219" t="str">
        <f>_xlfn.XLOOKUP($A:$A,Instagram_Usage_Lifestyle_Mini_!$A:$A,Instagram_Usage_Lifestyle_Mini_!$C:$K)</f>
        <v>No</v>
      </c>
      <c r="L219" t="str" cm="1">
        <f t="array" ref="L219">_xlfn.IFS(C219&lt;18,"Under_18",C219&lt;=25,"Youth",C219&lt;=35,"Young_Adults",C219&lt;=45,"Mid_Adults",TRUE,"Seniors")</f>
        <v>Mid_Adults</v>
      </c>
    </row>
    <row r="220" spans="1:12" x14ac:dyDescent="0.2">
      <c r="A220">
        <v>219</v>
      </c>
      <c r="B220" t="str">
        <f>_xlfn.XLOOKUP(A220,Instagram_Usage_Lifestyle_Mini_!A220,Instagram_Usage_Lifestyle_Mini_!B220,1)</f>
        <v>Instagram</v>
      </c>
      <c r="C220">
        <f>_xlfn.XLOOKUP($A:$A,Instagram_Usage_Lifestyle_Mini_!$A:$A,Instagram_Usage_Lifestyle_Mini_!$C:$K)</f>
        <v>36</v>
      </c>
      <c r="D220" t="str">
        <f>_xlfn.XLOOKUP($A:$A,Instagram_Usage_Lifestyle_Mini_!$A:$A,Instagram_Usage_Lifestyle_Mini_!$C:$K)</f>
        <v>Male</v>
      </c>
      <c r="E220" t="str">
        <f>_xlfn.XLOOKUP($A:$A,Instagram_Usage_Lifestyle_Mini_!$A:$A,Instagram_Usage_Lifestyle_Mini_!$C:$K)</f>
        <v>South_Korea</v>
      </c>
      <c r="F220" t="str">
        <f>_xlfn.XLOOKUP($A:$A,Instagram_Usage_Lifestyle_Mini_!$A:$A,Instagram_Usage_Lifestyle_Mini_!$C:$K)</f>
        <v>Urban</v>
      </c>
      <c r="G220" t="str">
        <f>_xlfn.XLOOKUP($A:$A,Instagram_Usage_Lifestyle_Mini_!$A:$A,Instagram_Usage_Lifestyle_Mini_!$C:$K)</f>
        <v>Low</v>
      </c>
      <c r="H220" t="str">
        <f>_xlfn.XLOOKUP($A:$A,Instagram_Usage_Lifestyle_Mini_!$A:$A,Instagram_Usage_Lifestyle_Mini_!$C:$K)</f>
        <v>Unemployed</v>
      </c>
      <c r="I220" t="str">
        <f>_xlfn.XLOOKUP($A:$A,Instagram_Usage_Lifestyle_Mini_!$A:$A,Instagram_Usage_Lifestyle_Mini_!$C:$K)</f>
        <v>High_school</v>
      </c>
      <c r="J220" t="str">
        <f>_xlfn.XLOOKUP($A:$A,Instagram_Usage_Lifestyle_Mini_!$A:$A,Instagram_Usage_Lifestyle_Mini_!$C:$K)</f>
        <v>Single</v>
      </c>
      <c r="K220" t="str">
        <f>_xlfn.XLOOKUP($A:$A,Instagram_Usage_Lifestyle_Mini_!$A:$A,Instagram_Usage_Lifestyle_Mini_!$C:$K)</f>
        <v>No</v>
      </c>
      <c r="L220" t="str" cm="1">
        <f t="array" ref="L220">_xlfn.IFS(C220&lt;18,"Under_18",C220&lt;=25,"Youth",C220&lt;=35,"Young_Adults",C220&lt;=45,"Mid_Adults",TRUE,"Seniors")</f>
        <v>Mid_Adults</v>
      </c>
    </row>
    <row r="221" spans="1:12" x14ac:dyDescent="0.2">
      <c r="A221">
        <v>220</v>
      </c>
      <c r="B221" t="str">
        <f>_xlfn.XLOOKUP(A221,Instagram_Usage_Lifestyle_Mini_!A221,Instagram_Usage_Lifestyle_Mini_!B221,1)</f>
        <v>Instagram</v>
      </c>
      <c r="C221">
        <f>_xlfn.XLOOKUP($A:$A,Instagram_Usage_Lifestyle_Mini_!$A:$A,Instagram_Usage_Lifestyle_Mini_!$C:$K)</f>
        <v>53</v>
      </c>
      <c r="D221" t="str">
        <f>_xlfn.XLOOKUP($A:$A,Instagram_Usage_Lifestyle_Mini_!$A:$A,Instagram_Usage_Lifestyle_Mini_!$C:$K)</f>
        <v>Male</v>
      </c>
      <c r="E221" t="str">
        <f>_xlfn.XLOOKUP($A:$A,Instagram_Usage_Lifestyle_Mini_!$A:$A,Instagram_Usage_Lifestyle_Mini_!$C:$K)</f>
        <v>United _Kingdom</v>
      </c>
      <c r="F221" t="str">
        <f>_xlfn.XLOOKUP($A:$A,Instagram_Usage_Lifestyle_Mini_!$A:$A,Instagram_Usage_Lifestyle_Mini_!$C:$K)</f>
        <v>Suburban</v>
      </c>
      <c r="G221" t="str">
        <f>_xlfn.XLOOKUP($A:$A,Instagram_Usage_Lifestyle_Mini_!$A:$A,Instagram_Usage_Lifestyle_Mini_!$C:$K)</f>
        <v>Middle</v>
      </c>
      <c r="H221" t="str">
        <f>_xlfn.XLOOKUP($A:$A,Instagram_Usage_Lifestyle_Mini_!$A:$A,Instagram_Usage_Lifestyle_Mini_!$C:$K)</f>
        <v>Full_time_employed</v>
      </c>
      <c r="I221" t="str">
        <f>_xlfn.XLOOKUP($A:$A,Instagram_Usage_Lifestyle_Mini_!$A:$A,Instagram_Usage_Lifestyle_Mini_!$C:$K)</f>
        <v>Masters_degree</v>
      </c>
      <c r="J221" t="str">
        <f>_xlfn.XLOOKUP($A:$A,Instagram_Usage_Lifestyle_Mini_!$A:$A,Instagram_Usage_Lifestyle_Mini_!$C:$K)</f>
        <v>Widowed</v>
      </c>
      <c r="K221" t="str">
        <f>_xlfn.XLOOKUP($A:$A,Instagram_Usage_Lifestyle_Mini_!$A:$A,Instagram_Usage_Lifestyle_Mini_!$C:$K)</f>
        <v>No</v>
      </c>
      <c r="L221" t="str" cm="1">
        <f t="array" ref="L221">_xlfn.IFS(C221&lt;18,"Under_18",C221&lt;=25,"Youth",C221&lt;=35,"Young_Adults",C221&lt;=45,"Mid_Adults",TRUE,"Seniors")</f>
        <v>Seniors</v>
      </c>
    </row>
    <row r="222" spans="1:12" x14ac:dyDescent="0.2">
      <c r="A222">
        <v>221</v>
      </c>
      <c r="B222" t="str">
        <f>_xlfn.XLOOKUP(A222,Instagram_Usage_Lifestyle_Mini_!A222,Instagram_Usage_Lifestyle_Mini_!B222,1)</f>
        <v>Instagram</v>
      </c>
      <c r="C222">
        <f>_xlfn.XLOOKUP($A:$A,Instagram_Usage_Lifestyle_Mini_!$A:$A,Instagram_Usage_Lifestyle_Mini_!$C:$K)</f>
        <v>64</v>
      </c>
      <c r="D222" t="str">
        <f>_xlfn.XLOOKUP($A:$A,Instagram_Usage_Lifestyle_Mini_!$A:$A,Instagram_Usage_Lifestyle_Mini_!$C:$K)</f>
        <v>Male</v>
      </c>
      <c r="E222" t="str">
        <f>_xlfn.XLOOKUP($A:$A,Instagram_Usage_Lifestyle_Mini_!$A:$A,Instagram_Usage_Lifestyle_Mini_!$C:$K)</f>
        <v>Canada</v>
      </c>
      <c r="F222" t="str">
        <f>_xlfn.XLOOKUP($A:$A,Instagram_Usage_Lifestyle_Mini_!$A:$A,Instagram_Usage_Lifestyle_Mini_!$C:$K)</f>
        <v>Suburban</v>
      </c>
      <c r="G222" t="str">
        <f>_xlfn.XLOOKUP($A:$A,Instagram_Usage_Lifestyle_Mini_!$A:$A,Instagram_Usage_Lifestyle_Mini_!$C:$K)</f>
        <v>Middle</v>
      </c>
      <c r="H222" t="str">
        <f>_xlfn.XLOOKUP($A:$A,Instagram_Usage_Lifestyle_Mini_!$A:$A,Instagram_Usage_Lifestyle_Mini_!$C:$K)</f>
        <v>Student</v>
      </c>
      <c r="I222" t="str">
        <f>_xlfn.XLOOKUP($A:$A,Instagram_Usage_Lifestyle_Mini_!$A:$A,Instagram_Usage_Lifestyle_Mini_!$C:$K)</f>
        <v>Bachelors_degree</v>
      </c>
      <c r="J222" t="str">
        <f>_xlfn.XLOOKUP($A:$A,Instagram_Usage_Lifestyle_Mini_!$A:$A,Instagram_Usage_Lifestyle_Mini_!$C:$K)</f>
        <v>Single</v>
      </c>
      <c r="K222" t="str">
        <f>_xlfn.XLOOKUP($A:$A,Instagram_Usage_Lifestyle_Mini_!$A:$A,Instagram_Usage_Lifestyle_Mini_!$C:$K)</f>
        <v>No</v>
      </c>
      <c r="L222" t="str" cm="1">
        <f t="array" ref="L222">_xlfn.IFS(C222&lt;18,"Under_18",C222&lt;=25,"Youth",C222&lt;=35,"Young_Adults",C222&lt;=45,"Mid_Adults",TRUE,"Seniors")</f>
        <v>Seniors</v>
      </c>
    </row>
    <row r="223" spans="1:12" x14ac:dyDescent="0.2">
      <c r="A223">
        <v>222</v>
      </c>
      <c r="B223" t="str">
        <f>_xlfn.XLOOKUP(A223,Instagram_Usage_Lifestyle_Mini_!A223,Instagram_Usage_Lifestyle_Mini_!B223,1)</f>
        <v>Instagram</v>
      </c>
      <c r="C223">
        <f>_xlfn.XLOOKUP($A:$A,Instagram_Usage_Lifestyle_Mini_!$A:$A,Instagram_Usage_Lifestyle_Mini_!$C:$K)</f>
        <v>61</v>
      </c>
      <c r="D223" t="str">
        <f>_xlfn.XLOOKUP($A:$A,Instagram_Usage_Lifestyle_Mini_!$A:$A,Instagram_Usage_Lifestyle_Mini_!$C:$K)</f>
        <v>Female</v>
      </c>
      <c r="E223" t="str">
        <f>_xlfn.XLOOKUP($A:$A,Instagram_Usage_Lifestyle_Mini_!$A:$A,Instagram_Usage_Lifestyle_Mini_!$C:$K)</f>
        <v>Brazil</v>
      </c>
      <c r="F223" t="str">
        <f>_xlfn.XLOOKUP($A:$A,Instagram_Usage_Lifestyle_Mini_!$A:$A,Instagram_Usage_Lifestyle_Mini_!$C:$K)</f>
        <v>Rural</v>
      </c>
      <c r="G223" t="str">
        <f>_xlfn.XLOOKUP($A:$A,Instagram_Usage_Lifestyle_Mini_!$A:$A,Instagram_Usage_Lifestyle_Mini_!$C:$K)</f>
        <v>Middle</v>
      </c>
      <c r="H223" t="str">
        <f>_xlfn.XLOOKUP($A:$A,Instagram_Usage_Lifestyle_Mini_!$A:$A,Instagram_Usage_Lifestyle_Mini_!$C:$K)</f>
        <v>Full_time_employed</v>
      </c>
      <c r="I223" t="str">
        <f>_xlfn.XLOOKUP($A:$A,Instagram_Usage_Lifestyle_Mini_!$A:$A,Instagram_Usage_Lifestyle_Mini_!$C:$K)</f>
        <v>Some_college</v>
      </c>
      <c r="J223" t="str">
        <f>_xlfn.XLOOKUP($A:$A,Instagram_Usage_Lifestyle_Mini_!$A:$A,Instagram_Usage_Lifestyle_Mini_!$C:$K)</f>
        <v>Single</v>
      </c>
      <c r="K223" t="str">
        <f>_xlfn.XLOOKUP($A:$A,Instagram_Usage_Lifestyle_Mini_!$A:$A,Instagram_Usage_Lifestyle_Mini_!$C:$K)</f>
        <v>No</v>
      </c>
      <c r="L223" t="str" cm="1">
        <f t="array" ref="L223">_xlfn.IFS(C223&lt;18,"Under_18",C223&lt;=25,"Youth",C223&lt;=35,"Young_Adults",C223&lt;=45,"Mid_Adults",TRUE,"Seniors")</f>
        <v>Seniors</v>
      </c>
    </row>
    <row r="224" spans="1:12" x14ac:dyDescent="0.2">
      <c r="A224">
        <v>223</v>
      </c>
      <c r="B224" t="str">
        <f>_xlfn.XLOOKUP(A224,Instagram_Usage_Lifestyle_Mini_!A224,Instagram_Usage_Lifestyle_Mini_!B224,1)</f>
        <v>Instagram</v>
      </c>
      <c r="C224">
        <f>_xlfn.XLOOKUP($A:$A,Instagram_Usage_Lifestyle_Mini_!$A:$A,Instagram_Usage_Lifestyle_Mini_!$C:$K)</f>
        <v>61</v>
      </c>
      <c r="D224" t="str">
        <f>_xlfn.XLOOKUP($A:$A,Instagram_Usage_Lifestyle_Mini_!$A:$A,Instagram_Usage_Lifestyle_Mini_!$C:$K)</f>
        <v>Male</v>
      </c>
      <c r="E224" t="str">
        <f>_xlfn.XLOOKUP($A:$A,Instagram_Usage_Lifestyle_Mini_!$A:$A,Instagram_Usage_Lifestyle_Mini_!$C:$K)</f>
        <v>Japan</v>
      </c>
      <c r="F224" t="str">
        <f>_xlfn.XLOOKUP($A:$A,Instagram_Usage_Lifestyle_Mini_!$A:$A,Instagram_Usage_Lifestyle_Mini_!$C:$K)</f>
        <v>Urban</v>
      </c>
      <c r="G224" t="str">
        <f>_xlfn.XLOOKUP($A:$A,Instagram_Usage_Lifestyle_Mini_!$A:$A,Instagram_Usage_Lifestyle_Mini_!$C:$K)</f>
        <v>Upper_middle</v>
      </c>
      <c r="H224" t="str">
        <f>_xlfn.XLOOKUP($A:$A,Instagram_Usage_Lifestyle_Mini_!$A:$A,Instagram_Usage_Lifestyle_Mini_!$C:$K)</f>
        <v>Full_time_employed</v>
      </c>
      <c r="I224" t="str">
        <f>_xlfn.XLOOKUP($A:$A,Instagram_Usage_Lifestyle_Mini_!$A:$A,Instagram_Usage_Lifestyle_Mini_!$C:$K)</f>
        <v>Bachelors_degree</v>
      </c>
      <c r="J224" t="str">
        <f>_xlfn.XLOOKUP($A:$A,Instagram_Usage_Lifestyle_Mini_!$A:$A,Instagram_Usage_Lifestyle_Mini_!$C:$K)</f>
        <v>Married</v>
      </c>
      <c r="K224" t="str">
        <f>_xlfn.XLOOKUP($A:$A,Instagram_Usage_Lifestyle_Mini_!$A:$A,Instagram_Usage_Lifestyle_Mini_!$C:$K)</f>
        <v>No</v>
      </c>
      <c r="L224" t="str" cm="1">
        <f t="array" ref="L224">_xlfn.IFS(C224&lt;18,"Under_18",C224&lt;=25,"Youth",C224&lt;=35,"Young_Adults",C224&lt;=45,"Mid_Adults",TRUE,"Seniors")</f>
        <v>Seniors</v>
      </c>
    </row>
    <row r="225" spans="1:12" x14ac:dyDescent="0.2">
      <c r="A225">
        <v>224</v>
      </c>
      <c r="B225" t="str">
        <f>_xlfn.XLOOKUP(A225,Instagram_Usage_Lifestyle_Mini_!A225,Instagram_Usage_Lifestyle_Mini_!B225,1)</f>
        <v>Instagram</v>
      </c>
      <c r="C225">
        <f>_xlfn.XLOOKUP($A:$A,Instagram_Usage_Lifestyle_Mini_!$A:$A,Instagram_Usage_Lifestyle_Mini_!$C:$K)</f>
        <v>64</v>
      </c>
      <c r="D225" t="str">
        <f>_xlfn.XLOOKUP($A:$A,Instagram_Usage_Lifestyle_Mini_!$A:$A,Instagram_Usage_Lifestyle_Mini_!$C:$K)</f>
        <v>Male</v>
      </c>
      <c r="E225" t="str">
        <f>_xlfn.XLOOKUP($A:$A,Instagram_Usage_Lifestyle_Mini_!$A:$A,Instagram_Usage_Lifestyle_Mini_!$C:$K)</f>
        <v>Brazil</v>
      </c>
      <c r="F225" t="str">
        <f>_xlfn.XLOOKUP($A:$A,Instagram_Usage_Lifestyle_Mini_!$A:$A,Instagram_Usage_Lifestyle_Mini_!$C:$K)</f>
        <v>Suburban</v>
      </c>
      <c r="G225" t="str">
        <f>_xlfn.XLOOKUP($A:$A,Instagram_Usage_Lifestyle_Mini_!$A:$A,Instagram_Usage_Lifestyle_Mini_!$C:$K)</f>
        <v>Upper_middle</v>
      </c>
      <c r="H225" t="str">
        <f>_xlfn.XLOOKUP($A:$A,Instagram_Usage_Lifestyle_Mini_!$A:$A,Instagram_Usage_Lifestyle_Mini_!$C:$K)</f>
        <v>Freelancer</v>
      </c>
      <c r="I225" t="str">
        <f>_xlfn.XLOOKUP($A:$A,Instagram_Usage_Lifestyle_Mini_!$A:$A,Instagram_Usage_Lifestyle_Mini_!$C:$K)</f>
        <v>Some_college</v>
      </c>
      <c r="J225" t="str">
        <f>_xlfn.XLOOKUP($A:$A,Instagram_Usage_Lifestyle_Mini_!$A:$A,Instagram_Usage_Lifestyle_Mini_!$C:$K)</f>
        <v>Divorced</v>
      </c>
      <c r="K225" t="str">
        <f>_xlfn.XLOOKUP($A:$A,Instagram_Usage_Lifestyle_Mini_!$A:$A,Instagram_Usage_Lifestyle_Mini_!$C:$K)</f>
        <v>No</v>
      </c>
      <c r="L225" t="str" cm="1">
        <f t="array" ref="L225">_xlfn.IFS(C225&lt;18,"Under_18",C225&lt;=25,"Youth",C225&lt;=35,"Young_Adults",C225&lt;=45,"Mid_Adults",TRUE,"Seniors")</f>
        <v>Seniors</v>
      </c>
    </row>
    <row r="226" spans="1:12" x14ac:dyDescent="0.2">
      <c r="A226">
        <v>225</v>
      </c>
      <c r="B226" t="str">
        <f>_xlfn.XLOOKUP(A226,Instagram_Usage_Lifestyle_Mini_!A226,Instagram_Usage_Lifestyle_Mini_!B226,1)</f>
        <v>Instagram</v>
      </c>
      <c r="C226">
        <f>_xlfn.XLOOKUP($A:$A,Instagram_Usage_Lifestyle_Mini_!$A:$A,Instagram_Usage_Lifestyle_Mini_!$C:$K)</f>
        <v>24</v>
      </c>
      <c r="D226" t="str">
        <f>_xlfn.XLOOKUP($A:$A,Instagram_Usage_Lifestyle_Mini_!$A:$A,Instagram_Usage_Lifestyle_Mini_!$C:$K)</f>
        <v>Female</v>
      </c>
      <c r="E226" t="str">
        <f>_xlfn.XLOOKUP($A:$A,Instagram_Usage_Lifestyle_Mini_!$A:$A,Instagram_Usage_Lifestyle_Mini_!$C:$K)</f>
        <v>Japan</v>
      </c>
      <c r="F226" t="str">
        <f>_xlfn.XLOOKUP($A:$A,Instagram_Usage_Lifestyle_Mini_!$A:$A,Instagram_Usage_Lifestyle_Mini_!$C:$K)</f>
        <v>Suburban</v>
      </c>
      <c r="G226" t="str">
        <f>_xlfn.XLOOKUP($A:$A,Instagram_Usage_Lifestyle_Mini_!$A:$A,Instagram_Usage_Lifestyle_Mini_!$C:$K)</f>
        <v>Lower_middle</v>
      </c>
      <c r="H226" t="str">
        <f>_xlfn.XLOOKUP($A:$A,Instagram_Usage_Lifestyle_Mini_!$A:$A,Instagram_Usage_Lifestyle_Mini_!$C:$K)</f>
        <v>Full_time_employed</v>
      </c>
      <c r="I226" t="str">
        <f>_xlfn.XLOOKUP($A:$A,Instagram_Usage_Lifestyle_Mini_!$A:$A,Instagram_Usage_Lifestyle_Mini_!$C:$K)</f>
        <v>Some_college</v>
      </c>
      <c r="J226" t="str">
        <f>_xlfn.XLOOKUP($A:$A,Instagram_Usage_Lifestyle_Mini_!$A:$A,Instagram_Usage_Lifestyle_Mini_!$C:$K)</f>
        <v>Married</v>
      </c>
      <c r="K226" t="str">
        <f>_xlfn.XLOOKUP($A:$A,Instagram_Usage_Lifestyle_Mini_!$A:$A,Instagram_Usage_Lifestyle_Mini_!$C:$K)</f>
        <v>No</v>
      </c>
      <c r="L226" t="str" cm="1">
        <f t="array" ref="L226">_xlfn.IFS(C226&lt;18,"Under_18",C226&lt;=25,"Youth",C226&lt;=35,"Young_Adults",C226&lt;=45,"Mid_Adults",TRUE,"Seniors")</f>
        <v>Youth</v>
      </c>
    </row>
    <row r="227" spans="1:12" x14ac:dyDescent="0.2">
      <c r="A227">
        <v>226</v>
      </c>
      <c r="B227" t="str">
        <f>_xlfn.XLOOKUP(A227,Instagram_Usage_Lifestyle_Mini_!A227,Instagram_Usage_Lifestyle_Mini_!B227,1)</f>
        <v>Instagram</v>
      </c>
      <c r="C227">
        <f>_xlfn.XLOOKUP($A:$A,Instagram_Usage_Lifestyle_Mini_!$A:$A,Instagram_Usage_Lifestyle_Mini_!$C:$K)</f>
        <v>51</v>
      </c>
      <c r="D227" t="str">
        <f>_xlfn.XLOOKUP($A:$A,Instagram_Usage_Lifestyle_Mini_!$A:$A,Instagram_Usage_Lifestyle_Mini_!$C:$K)</f>
        <v>Male</v>
      </c>
      <c r="E227" t="str">
        <f>_xlfn.XLOOKUP($A:$A,Instagram_Usage_Lifestyle_Mini_!$A:$A,Instagram_Usage_Lifestyle_Mini_!$C:$K)</f>
        <v>India</v>
      </c>
      <c r="F227" t="str">
        <f>_xlfn.XLOOKUP($A:$A,Instagram_Usage_Lifestyle_Mini_!$A:$A,Instagram_Usage_Lifestyle_Mini_!$C:$K)</f>
        <v>Urban</v>
      </c>
      <c r="G227" t="str">
        <f>_xlfn.XLOOKUP($A:$A,Instagram_Usage_Lifestyle_Mini_!$A:$A,Instagram_Usage_Lifestyle_Mini_!$C:$K)</f>
        <v>Low</v>
      </c>
      <c r="H227" t="str">
        <f>_xlfn.XLOOKUP($A:$A,Instagram_Usage_Lifestyle_Mini_!$A:$A,Instagram_Usage_Lifestyle_Mini_!$C:$K)</f>
        <v>Part_time</v>
      </c>
      <c r="I227" t="str">
        <f>_xlfn.XLOOKUP($A:$A,Instagram_Usage_Lifestyle_Mini_!$A:$A,Instagram_Usage_Lifestyle_Mini_!$C:$K)</f>
        <v>Bachelors_degree</v>
      </c>
      <c r="J227" t="str">
        <f>_xlfn.XLOOKUP($A:$A,Instagram_Usage_Lifestyle_Mini_!$A:$A,Instagram_Usage_Lifestyle_Mini_!$C:$K)</f>
        <v>Married</v>
      </c>
      <c r="K227" t="str">
        <f>_xlfn.XLOOKUP($A:$A,Instagram_Usage_Lifestyle_Mini_!$A:$A,Instagram_Usage_Lifestyle_Mini_!$C:$K)</f>
        <v>No</v>
      </c>
      <c r="L227" t="str" cm="1">
        <f t="array" ref="L227">_xlfn.IFS(C227&lt;18,"Under_18",C227&lt;=25,"Youth",C227&lt;=35,"Young_Adults",C227&lt;=45,"Mid_Adults",TRUE,"Seniors")</f>
        <v>Seniors</v>
      </c>
    </row>
    <row r="228" spans="1:12" x14ac:dyDescent="0.2">
      <c r="A228">
        <v>227</v>
      </c>
      <c r="B228" t="str">
        <f>_xlfn.XLOOKUP(A228,Instagram_Usage_Lifestyle_Mini_!A228,Instagram_Usage_Lifestyle_Mini_!B228,1)</f>
        <v>Instagram</v>
      </c>
      <c r="C228">
        <f>_xlfn.XLOOKUP($A:$A,Instagram_Usage_Lifestyle_Mini_!$A:$A,Instagram_Usage_Lifestyle_Mini_!$C:$K)</f>
        <v>14</v>
      </c>
      <c r="D228" t="str">
        <f>_xlfn.XLOOKUP($A:$A,Instagram_Usage_Lifestyle_Mini_!$A:$A,Instagram_Usage_Lifestyle_Mini_!$C:$K)</f>
        <v>Male</v>
      </c>
      <c r="E228" t="str">
        <f>_xlfn.XLOOKUP($A:$A,Instagram_Usage_Lifestyle_Mini_!$A:$A,Instagram_Usage_Lifestyle_Mini_!$C:$K)</f>
        <v>United_States</v>
      </c>
      <c r="F228" t="str">
        <f>_xlfn.XLOOKUP($A:$A,Instagram_Usage_Lifestyle_Mini_!$A:$A,Instagram_Usage_Lifestyle_Mini_!$C:$K)</f>
        <v>Urban</v>
      </c>
      <c r="G228" t="str">
        <f>_xlfn.XLOOKUP($A:$A,Instagram_Usage_Lifestyle_Mini_!$A:$A,Instagram_Usage_Lifestyle_Mini_!$C:$K)</f>
        <v>Lower_middle</v>
      </c>
      <c r="H228" t="str">
        <f>_xlfn.XLOOKUP($A:$A,Instagram_Usage_Lifestyle_Mini_!$A:$A,Instagram_Usage_Lifestyle_Mini_!$C:$K)</f>
        <v>Freelancer</v>
      </c>
      <c r="I228" t="str">
        <f>_xlfn.XLOOKUP($A:$A,Instagram_Usage_Lifestyle_Mini_!$A:$A,Instagram_Usage_Lifestyle_Mini_!$C:$K)</f>
        <v>Bachelors_degree</v>
      </c>
      <c r="J228" t="str">
        <f>_xlfn.XLOOKUP($A:$A,Instagram_Usage_Lifestyle_Mini_!$A:$A,Instagram_Usage_Lifestyle_Mini_!$C:$K)</f>
        <v>Married</v>
      </c>
      <c r="K228" t="str">
        <f>_xlfn.XLOOKUP($A:$A,Instagram_Usage_Lifestyle_Mini_!$A:$A,Instagram_Usage_Lifestyle_Mini_!$C:$K)</f>
        <v>No</v>
      </c>
      <c r="L228" t="str" cm="1">
        <f t="array" ref="L228">_xlfn.IFS(C228&lt;18,"Under_18",C228&lt;=25,"Youth",C228&lt;=35,"Young_Adults",C228&lt;=45,"Mid_Adults",TRUE,"Seniors")</f>
        <v>Under_18</v>
      </c>
    </row>
    <row r="229" spans="1:12" x14ac:dyDescent="0.2">
      <c r="A229">
        <v>228</v>
      </c>
      <c r="B229" t="str">
        <f>_xlfn.XLOOKUP(A229,Instagram_Usage_Lifestyle_Mini_!A229,Instagram_Usage_Lifestyle_Mini_!B229,1)</f>
        <v>Instagram</v>
      </c>
      <c r="C229">
        <f>_xlfn.XLOOKUP($A:$A,Instagram_Usage_Lifestyle_Mini_!$A:$A,Instagram_Usage_Lifestyle_Mini_!$C:$K)</f>
        <v>15</v>
      </c>
      <c r="D229" t="str">
        <f>_xlfn.XLOOKUP($A:$A,Instagram_Usage_Lifestyle_Mini_!$A:$A,Instagram_Usage_Lifestyle_Mini_!$C:$K)</f>
        <v>Female</v>
      </c>
      <c r="E229" t="str">
        <f>_xlfn.XLOOKUP($A:$A,Instagram_Usage_Lifestyle_Mini_!$A:$A,Instagram_Usage_Lifestyle_Mini_!$C:$K)</f>
        <v>Other</v>
      </c>
      <c r="F229" t="str">
        <f>_xlfn.XLOOKUP($A:$A,Instagram_Usage_Lifestyle_Mini_!$A:$A,Instagram_Usage_Lifestyle_Mini_!$C:$K)</f>
        <v>Urban</v>
      </c>
      <c r="G229" t="str">
        <f>_xlfn.XLOOKUP($A:$A,Instagram_Usage_Lifestyle_Mini_!$A:$A,Instagram_Usage_Lifestyle_Mini_!$C:$K)</f>
        <v>Low</v>
      </c>
      <c r="H229" t="str">
        <f>_xlfn.XLOOKUP($A:$A,Instagram_Usage_Lifestyle_Mini_!$A:$A,Instagram_Usage_Lifestyle_Mini_!$C:$K)</f>
        <v>Full_time_employed</v>
      </c>
      <c r="I229" t="str">
        <f>_xlfn.XLOOKUP($A:$A,Instagram_Usage_Lifestyle_Mini_!$A:$A,Instagram_Usage_Lifestyle_Mini_!$C:$K)</f>
        <v>Masters_degree</v>
      </c>
      <c r="J229" t="str">
        <f>_xlfn.XLOOKUP($A:$A,Instagram_Usage_Lifestyle_Mini_!$A:$A,Instagram_Usage_Lifestyle_Mini_!$C:$K)</f>
        <v>Single</v>
      </c>
      <c r="K229" t="str">
        <f>_xlfn.XLOOKUP($A:$A,Instagram_Usage_Lifestyle_Mini_!$A:$A,Instagram_Usage_Lifestyle_Mini_!$C:$K)</f>
        <v>No</v>
      </c>
      <c r="L229" t="str" cm="1">
        <f t="array" ref="L229">_xlfn.IFS(C229&lt;18,"Under_18",C229&lt;=25,"Youth",C229&lt;=35,"Young_Adults",C229&lt;=45,"Mid_Adults",TRUE,"Seniors")</f>
        <v>Under_18</v>
      </c>
    </row>
    <row r="230" spans="1:12" x14ac:dyDescent="0.2">
      <c r="A230">
        <v>229</v>
      </c>
      <c r="B230" t="str">
        <f>_xlfn.XLOOKUP(A230,Instagram_Usage_Lifestyle_Mini_!A230,Instagram_Usage_Lifestyle_Mini_!B230,1)</f>
        <v>Instagram</v>
      </c>
      <c r="C230">
        <f>_xlfn.XLOOKUP($A:$A,Instagram_Usage_Lifestyle_Mini_!$A:$A,Instagram_Usage_Lifestyle_Mini_!$C:$K)</f>
        <v>61</v>
      </c>
      <c r="D230" t="str">
        <f>_xlfn.XLOOKUP($A:$A,Instagram_Usage_Lifestyle_Mini_!$A:$A,Instagram_Usage_Lifestyle_Mini_!$C:$K)</f>
        <v>Male</v>
      </c>
      <c r="E230" t="str">
        <f>_xlfn.XLOOKUP($A:$A,Instagram_Usage_Lifestyle_Mini_!$A:$A,Instagram_Usage_Lifestyle_Mini_!$C:$K)</f>
        <v>Other</v>
      </c>
      <c r="F230" t="str">
        <f>_xlfn.XLOOKUP($A:$A,Instagram_Usage_Lifestyle_Mini_!$A:$A,Instagram_Usage_Lifestyle_Mini_!$C:$K)</f>
        <v>Urban</v>
      </c>
      <c r="G230" t="str">
        <f>_xlfn.XLOOKUP($A:$A,Instagram_Usage_Lifestyle_Mini_!$A:$A,Instagram_Usage_Lifestyle_Mini_!$C:$K)</f>
        <v>Low</v>
      </c>
      <c r="H230" t="str">
        <f>_xlfn.XLOOKUP($A:$A,Instagram_Usage_Lifestyle_Mini_!$A:$A,Instagram_Usage_Lifestyle_Mini_!$C:$K)</f>
        <v>Full_time_employed</v>
      </c>
      <c r="I230" t="str">
        <f>_xlfn.XLOOKUP($A:$A,Instagram_Usage_Lifestyle_Mini_!$A:$A,Instagram_Usage_Lifestyle_Mini_!$C:$K)</f>
        <v>Some_college</v>
      </c>
      <c r="J230" t="str">
        <f>_xlfn.XLOOKUP($A:$A,Instagram_Usage_Lifestyle_Mini_!$A:$A,Instagram_Usage_Lifestyle_Mini_!$C:$K)</f>
        <v>Single</v>
      </c>
      <c r="K230" t="str">
        <f>_xlfn.XLOOKUP($A:$A,Instagram_Usage_Lifestyle_Mini_!$A:$A,Instagram_Usage_Lifestyle_Mini_!$C:$K)</f>
        <v>Yes</v>
      </c>
      <c r="L230" t="str" cm="1">
        <f t="array" ref="L230">_xlfn.IFS(C230&lt;18,"Under_18",C230&lt;=25,"Youth",C230&lt;=35,"Young_Adults",C230&lt;=45,"Mid_Adults",TRUE,"Seniors")</f>
        <v>Seniors</v>
      </c>
    </row>
    <row r="231" spans="1:12" x14ac:dyDescent="0.2">
      <c r="A231">
        <v>230</v>
      </c>
      <c r="B231" t="str">
        <f>_xlfn.XLOOKUP(A231,Instagram_Usage_Lifestyle_Mini_!A231,Instagram_Usage_Lifestyle_Mini_!B231,1)</f>
        <v>Instagram</v>
      </c>
      <c r="C231">
        <f>_xlfn.XLOOKUP($A:$A,Instagram_Usage_Lifestyle_Mini_!$A:$A,Instagram_Usage_Lifestyle_Mini_!$C:$K)</f>
        <v>49</v>
      </c>
      <c r="D231" t="str">
        <f>_xlfn.XLOOKUP($A:$A,Instagram_Usage_Lifestyle_Mini_!$A:$A,Instagram_Usage_Lifestyle_Mini_!$C:$K)</f>
        <v>Male</v>
      </c>
      <c r="E231" t="str">
        <f>_xlfn.XLOOKUP($A:$A,Instagram_Usage_Lifestyle_Mini_!$A:$A,Instagram_Usage_Lifestyle_Mini_!$C:$K)</f>
        <v>Other</v>
      </c>
      <c r="F231" t="str">
        <f>_xlfn.XLOOKUP($A:$A,Instagram_Usage_Lifestyle_Mini_!$A:$A,Instagram_Usage_Lifestyle_Mini_!$C:$K)</f>
        <v>Urban</v>
      </c>
      <c r="G231" t="str">
        <f>_xlfn.XLOOKUP($A:$A,Instagram_Usage_Lifestyle_Mini_!$A:$A,Instagram_Usage_Lifestyle_Mini_!$C:$K)</f>
        <v>Middle</v>
      </c>
      <c r="H231" t="str">
        <f>_xlfn.XLOOKUP($A:$A,Instagram_Usage_Lifestyle_Mini_!$A:$A,Instagram_Usage_Lifestyle_Mini_!$C:$K)</f>
        <v>Full_time_employed</v>
      </c>
      <c r="I231" t="str">
        <f>_xlfn.XLOOKUP($A:$A,Instagram_Usage_Lifestyle_Mini_!$A:$A,Instagram_Usage_Lifestyle_Mini_!$C:$K)</f>
        <v>Bachelors_degree</v>
      </c>
      <c r="J231" t="str">
        <f>_xlfn.XLOOKUP($A:$A,Instagram_Usage_Lifestyle_Mini_!$A:$A,Instagram_Usage_Lifestyle_Mini_!$C:$K)</f>
        <v>In_a_relationship</v>
      </c>
      <c r="K231" t="str">
        <f>_xlfn.XLOOKUP($A:$A,Instagram_Usage_Lifestyle_Mini_!$A:$A,Instagram_Usage_Lifestyle_Mini_!$C:$K)</f>
        <v>Yes</v>
      </c>
      <c r="L231" t="str" cm="1">
        <f t="array" ref="L231">_xlfn.IFS(C231&lt;18,"Under_18",C231&lt;=25,"Youth",C231&lt;=35,"Young_Adults",C231&lt;=45,"Mid_Adults",TRUE,"Seniors")</f>
        <v>Seniors</v>
      </c>
    </row>
    <row r="232" spans="1:12" x14ac:dyDescent="0.2">
      <c r="A232">
        <v>231</v>
      </c>
      <c r="B232" t="str">
        <f>_xlfn.XLOOKUP(A232,Instagram_Usage_Lifestyle_Mini_!A232,Instagram_Usage_Lifestyle_Mini_!B232,1)</f>
        <v>Instagram</v>
      </c>
      <c r="C232">
        <f>_xlfn.XLOOKUP($A:$A,Instagram_Usage_Lifestyle_Mini_!$A:$A,Instagram_Usage_Lifestyle_Mini_!$C:$K)</f>
        <v>61</v>
      </c>
      <c r="D232" t="str">
        <f>_xlfn.XLOOKUP($A:$A,Instagram_Usage_Lifestyle_Mini_!$A:$A,Instagram_Usage_Lifestyle_Mini_!$C:$K)</f>
        <v>Female</v>
      </c>
      <c r="E232" t="str">
        <f>_xlfn.XLOOKUP($A:$A,Instagram_Usage_Lifestyle_Mini_!$A:$A,Instagram_Usage_Lifestyle_Mini_!$C:$K)</f>
        <v>United _Kingdom</v>
      </c>
      <c r="F232" t="str">
        <f>_xlfn.XLOOKUP($A:$A,Instagram_Usage_Lifestyle_Mini_!$A:$A,Instagram_Usage_Lifestyle_Mini_!$C:$K)</f>
        <v>Suburban</v>
      </c>
      <c r="G232" t="str">
        <f>_xlfn.XLOOKUP($A:$A,Instagram_Usage_Lifestyle_Mini_!$A:$A,Instagram_Usage_Lifestyle_Mini_!$C:$K)</f>
        <v>Low</v>
      </c>
      <c r="H232" t="str">
        <f>_xlfn.XLOOKUP($A:$A,Instagram_Usage_Lifestyle_Mini_!$A:$A,Instagram_Usage_Lifestyle_Mini_!$C:$K)</f>
        <v>Full_time_employed</v>
      </c>
      <c r="I232" t="str">
        <f>_xlfn.XLOOKUP($A:$A,Instagram_Usage_Lifestyle_Mini_!$A:$A,Instagram_Usage_Lifestyle_Mini_!$C:$K)</f>
        <v>High_school</v>
      </c>
      <c r="J232" t="str">
        <f>_xlfn.XLOOKUP($A:$A,Instagram_Usage_Lifestyle_Mini_!$A:$A,Instagram_Usage_Lifestyle_Mini_!$C:$K)</f>
        <v>Divorced</v>
      </c>
      <c r="K232" t="str">
        <f>_xlfn.XLOOKUP($A:$A,Instagram_Usage_Lifestyle_Mini_!$A:$A,Instagram_Usage_Lifestyle_Mini_!$C:$K)</f>
        <v>No</v>
      </c>
      <c r="L232" t="str" cm="1">
        <f t="array" ref="L232">_xlfn.IFS(C232&lt;18,"Under_18",C232&lt;=25,"Youth",C232&lt;=35,"Young_Adults",C232&lt;=45,"Mid_Adults",TRUE,"Seniors")</f>
        <v>Seniors</v>
      </c>
    </row>
    <row r="233" spans="1:12" x14ac:dyDescent="0.2">
      <c r="A233">
        <v>232</v>
      </c>
      <c r="B233" t="str">
        <f>_xlfn.XLOOKUP(A233,Instagram_Usage_Lifestyle_Mini_!A233,Instagram_Usage_Lifestyle_Mini_!B233,1)</f>
        <v>Instagram</v>
      </c>
      <c r="C233">
        <f>_xlfn.XLOOKUP($A:$A,Instagram_Usage_Lifestyle_Mini_!$A:$A,Instagram_Usage_Lifestyle_Mini_!$C:$K)</f>
        <v>29</v>
      </c>
      <c r="D233" t="str">
        <f>_xlfn.XLOOKUP($A:$A,Instagram_Usage_Lifestyle_Mini_!$A:$A,Instagram_Usage_Lifestyle_Mini_!$C:$K)</f>
        <v>Female</v>
      </c>
      <c r="E233" t="str">
        <f>_xlfn.XLOOKUP($A:$A,Instagram_Usage_Lifestyle_Mini_!$A:$A,Instagram_Usage_Lifestyle_Mini_!$C:$K)</f>
        <v>United_States</v>
      </c>
      <c r="F233" t="str">
        <f>_xlfn.XLOOKUP($A:$A,Instagram_Usage_Lifestyle_Mini_!$A:$A,Instagram_Usage_Lifestyle_Mini_!$C:$K)</f>
        <v>Suburban</v>
      </c>
      <c r="G233" t="str">
        <f>_xlfn.XLOOKUP($A:$A,Instagram_Usage_Lifestyle_Mini_!$A:$A,Instagram_Usage_Lifestyle_Mini_!$C:$K)</f>
        <v>Low</v>
      </c>
      <c r="H233" t="str">
        <f>_xlfn.XLOOKUP($A:$A,Instagram_Usage_Lifestyle_Mini_!$A:$A,Instagram_Usage_Lifestyle_Mini_!$C:$K)</f>
        <v>Full_time_employed</v>
      </c>
      <c r="I233" t="str">
        <f>_xlfn.XLOOKUP($A:$A,Instagram_Usage_Lifestyle_Mini_!$A:$A,Instagram_Usage_Lifestyle_Mini_!$C:$K)</f>
        <v>Some_college</v>
      </c>
      <c r="J233" t="str">
        <f>_xlfn.XLOOKUP($A:$A,Instagram_Usage_Lifestyle_Mini_!$A:$A,Instagram_Usage_Lifestyle_Mini_!$C:$K)</f>
        <v>Married</v>
      </c>
      <c r="K233" t="str">
        <f>_xlfn.XLOOKUP($A:$A,Instagram_Usage_Lifestyle_Mini_!$A:$A,Instagram_Usage_Lifestyle_Mini_!$C:$K)</f>
        <v>No</v>
      </c>
      <c r="L233" t="str" cm="1">
        <f t="array" ref="L233">_xlfn.IFS(C233&lt;18,"Under_18",C233&lt;=25,"Youth",C233&lt;=35,"Young_Adults",C233&lt;=45,"Mid_Adults",TRUE,"Seniors")</f>
        <v>Young_Adults</v>
      </c>
    </row>
    <row r="234" spans="1:12" x14ac:dyDescent="0.2">
      <c r="A234">
        <v>233</v>
      </c>
      <c r="B234" t="str">
        <f>_xlfn.XLOOKUP(A234,Instagram_Usage_Lifestyle_Mini_!A234,Instagram_Usage_Lifestyle_Mini_!B234,1)</f>
        <v>Instagram</v>
      </c>
      <c r="C234">
        <f>_xlfn.XLOOKUP($A:$A,Instagram_Usage_Lifestyle_Mini_!$A:$A,Instagram_Usage_Lifestyle_Mini_!$C:$K)</f>
        <v>61</v>
      </c>
      <c r="D234" t="str">
        <f>_xlfn.XLOOKUP($A:$A,Instagram_Usage_Lifestyle_Mini_!$A:$A,Instagram_Usage_Lifestyle_Mini_!$C:$K)</f>
        <v>Female</v>
      </c>
      <c r="E234" t="str">
        <f>_xlfn.XLOOKUP($A:$A,Instagram_Usage_Lifestyle_Mini_!$A:$A,Instagram_Usage_Lifestyle_Mini_!$C:$K)</f>
        <v>United _Kingdom</v>
      </c>
      <c r="F234" t="str">
        <f>_xlfn.XLOOKUP($A:$A,Instagram_Usage_Lifestyle_Mini_!$A:$A,Instagram_Usage_Lifestyle_Mini_!$C:$K)</f>
        <v>Rural</v>
      </c>
      <c r="G234" t="str">
        <f>_xlfn.XLOOKUP($A:$A,Instagram_Usage_Lifestyle_Mini_!$A:$A,Instagram_Usage_Lifestyle_Mini_!$C:$K)</f>
        <v>Lower_middle</v>
      </c>
      <c r="H234" t="str">
        <f>_xlfn.XLOOKUP($A:$A,Instagram_Usage_Lifestyle_Mini_!$A:$A,Instagram_Usage_Lifestyle_Mini_!$C:$K)</f>
        <v>Part_time</v>
      </c>
      <c r="I234" t="str">
        <f>_xlfn.XLOOKUP($A:$A,Instagram_Usage_Lifestyle_Mini_!$A:$A,Instagram_Usage_Lifestyle_Mini_!$C:$K)</f>
        <v>Bachelors_degree</v>
      </c>
      <c r="J234" t="str">
        <f>_xlfn.XLOOKUP($A:$A,Instagram_Usage_Lifestyle_Mini_!$A:$A,Instagram_Usage_Lifestyle_Mini_!$C:$K)</f>
        <v>Single</v>
      </c>
      <c r="K234" t="str">
        <f>_xlfn.XLOOKUP($A:$A,Instagram_Usage_Lifestyle_Mini_!$A:$A,Instagram_Usage_Lifestyle_Mini_!$C:$K)</f>
        <v>No</v>
      </c>
      <c r="L234" t="str" cm="1">
        <f t="array" ref="L234">_xlfn.IFS(C234&lt;18,"Under_18",C234&lt;=25,"Youth",C234&lt;=35,"Young_Adults",C234&lt;=45,"Mid_Adults",TRUE,"Seniors")</f>
        <v>Seniors</v>
      </c>
    </row>
    <row r="235" spans="1:12" x14ac:dyDescent="0.2">
      <c r="A235">
        <v>234</v>
      </c>
      <c r="B235" t="str">
        <f>_xlfn.XLOOKUP(A235,Instagram_Usage_Lifestyle_Mini_!A235,Instagram_Usage_Lifestyle_Mini_!B235,1)</f>
        <v>Instagram</v>
      </c>
      <c r="C235">
        <f>_xlfn.XLOOKUP($A:$A,Instagram_Usage_Lifestyle_Mini_!$A:$A,Instagram_Usage_Lifestyle_Mini_!$C:$K)</f>
        <v>14</v>
      </c>
      <c r="D235" t="str">
        <f>_xlfn.XLOOKUP($A:$A,Instagram_Usage_Lifestyle_Mini_!$A:$A,Instagram_Usage_Lifestyle_Mini_!$C:$K)</f>
        <v>Male</v>
      </c>
      <c r="E235" t="str">
        <f>_xlfn.XLOOKUP($A:$A,Instagram_Usage_Lifestyle_Mini_!$A:$A,Instagram_Usage_Lifestyle_Mini_!$C:$K)</f>
        <v>Brazil</v>
      </c>
      <c r="F235" t="str">
        <f>_xlfn.XLOOKUP($A:$A,Instagram_Usage_Lifestyle_Mini_!$A:$A,Instagram_Usage_Lifestyle_Mini_!$C:$K)</f>
        <v>Urban</v>
      </c>
      <c r="G235" t="str">
        <f>_xlfn.XLOOKUP($A:$A,Instagram_Usage_Lifestyle_Mini_!$A:$A,Instagram_Usage_Lifestyle_Mini_!$C:$K)</f>
        <v>Low</v>
      </c>
      <c r="H235" t="str">
        <f>_xlfn.XLOOKUP($A:$A,Instagram_Usage_Lifestyle_Mini_!$A:$A,Instagram_Usage_Lifestyle_Mini_!$C:$K)</f>
        <v>Full_time_employed</v>
      </c>
      <c r="I235" t="str">
        <f>_xlfn.XLOOKUP($A:$A,Instagram_Usage_Lifestyle_Mini_!$A:$A,Instagram_Usage_Lifestyle_Mini_!$C:$K)</f>
        <v>Masters_degree</v>
      </c>
      <c r="J235" t="str">
        <f>_xlfn.XLOOKUP($A:$A,Instagram_Usage_Lifestyle_Mini_!$A:$A,Instagram_Usage_Lifestyle_Mini_!$C:$K)</f>
        <v>Married</v>
      </c>
      <c r="K235" t="str">
        <f>_xlfn.XLOOKUP($A:$A,Instagram_Usage_Lifestyle_Mini_!$A:$A,Instagram_Usage_Lifestyle_Mini_!$C:$K)</f>
        <v>No</v>
      </c>
      <c r="L235" t="str" cm="1">
        <f t="array" ref="L235">_xlfn.IFS(C235&lt;18,"Under_18",C235&lt;=25,"Youth",C235&lt;=35,"Young_Adults",C235&lt;=45,"Mid_Adults",TRUE,"Seniors")</f>
        <v>Under_18</v>
      </c>
    </row>
    <row r="236" spans="1:12" x14ac:dyDescent="0.2">
      <c r="A236">
        <v>235</v>
      </c>
      <c r="B236" t="str">
        <f>_xlfn.XLOOKUP(A236,Instagram_Usage_Lifestyle_Mini_!A236,Instagram_Usage_Lifestyle_Mini_!B236,1)</f>
        <v>Instagram</v>
      </c>
      <c r="C236">
        <f>_xlfn.XLOOKUP($A:$A,Instagram_Usage_Lifestyle_Mini_!$A:$A,Instagram_Usage_Lifestyle_Mini_!$C:$K)</f>
        <v>14</v>
      </c>
      <c r="D236" t="str">
        <f>_xlfn.XLOOKUP($A:$A,Instagram_Usage_Lifestyle_Mini_!$A:$A,Instagram_Usage_Lifestyle_Mini_!$C:$K)</f>
        <v>Female</v>
      </c>
      <c r="E236" t="str">
        <f>_xlfn.XLOOKUP($A:$A,Instagram_Usage_Lifestyle_Mini_!$A:$A,Instagram_Usage_Lifestyle_Mini_!$C:$K)</f>
        <v>Brazil</v>
      </c>
      <c r="F236" t="str">
        <f>_xlfn.XLOOKUP($A:$A,Instagram_Usage_Lifestyle_Mini_!$A:$A,Instagram_Usage_Lifestyle_Mini_!$C:$K)</f>
        <v>Suburban</v>
      </c>
      <c r="G236" t="str">
        <f>_xlfn.XLOOKUP($A:$A,Instagram_Usage_Lifestyle_Mini_!$A:$A,Instagram_Usage_Lifestyle_Mini_!$C:$K)</f>
        <v>Low</v>
      </c>
      <c r="H236" t="str">
        <f>_xlfn.XLOOKUP($A:$A,Instagram_Usage_Lifestyle_Mini_!$A:$A,Instagram_Usage_Lifestyle_Mini_!$C:$K)</f>
        <v>Full_time_employed</v>
      </c>
      <c r="I236" t="str">
        <f>_xlfn.XLOOKUP($A:$A,Instagram_Usage_Lifestyle_Mini_!$A:$A,Instagram_Usage_Lifestyle_Mini_!$C:$K)</f>
        <v>Some_college</v>
      </c>
      <c r="J236" t="str">
        <f>_xlfn.XLOOKUP($A:$A,Instagram_Usage_Lifestyle_Mini_!$A:$A,Instagram_Usage_Lifestyle_Mini_!$C:$K)</f>
        <v>Married</v>
      </c>
      <c r="K236" t="str">
        <f>_xlfn.XLOOKUP($A:$A,Instagram_Usage_Lifestyle_Mini_!$A:$A,Instagram_Usage_Lifestyle_Mini_!$C:$K)</f>
        <v>Yes</v>
      </c>
      <c r="L236" t="str" cm="1">
        <f t="array" ref="L236">_xlfn.IFS(C236&lt;18,"Under_18",C236&lt;=25,"Youth",C236&lt;=35,"Young_Adults",C236&lt;=45,"Mid_Adults",TRUE,"Seniors")</f>
        <v>Under_18</v>
      </c>
    </row>
    <row r="237" spans="1:12" x14ac:dyDescent="0.2">
      <c r="A237">
        <v>236</v>
      </c>
      <c r="B237" t="str">
        <f>_xlfn.XLOOKUP(A237,Instagram_Usage_Lifestyle_Mini_!A237,Instagram_Usage_Lifestyle_Mini_!B237,1)</f>
        <v>Instagram</v>
      </c>
      <c r="C237">
        <f>_xlfn.XLOOKUP($A:$A,Instagram_Usage_Lifestyle_Mini_!$A:$A,Instagram_Usage_Lifestyle_Mini_!$C:$K)</f>
        <v>40</v>
      </c>
      <c r="D237" t="str">
        <f>_xlfn.XLOOKUP($A:$A,Instagram_Usage_Lifestyle_Mini_!$A:$A,Instagram_Usage_Lifestyle_Mini_!$C:$K)</f>
        <v>Female</v>
      </c>
      <c r="E237" t="str">
        <f>_xlfn.XLOOKUP($A:$A,Instagram_Usage_Lifestyle_Mini_!$A:$A,Instagram_Usage_Lifestyle_Mini_!$C:$K)</f>
        <v>Brazil</v>
      </c>
      <c r="F237" t="str">
        <f>_xlfn.XLOOKUP($A:$A,Instagram_Usage_Lifestyle_Mini_!$A:$A,Instagram_Usage_Lifestyle_Mini_!$C:$K)</f>
        <v>Rural</v>
      </c>
      <c r="G237" t="str">
        <f>_xlfn.XLOOKUP($A:$A,Instagram_Usage_Lifestyle_Mini_!$A:$A,Instagram_Usage_Lifestyle_Mini_!$C:$K)</f>
        <v>Lower_middle</v>
      </c>
      <c r="H237" t="str">
        <f>_xlfn.XLOOKUP($A:$A,Instagram_Usage_Lifestyle_Mini_!$A:$A,Instagram_Usage_Lifestyle_Mini_!$C:$K)</f>
        <v>Part_time</v>
      </c>
      <c r="I237" t="str">
        <f>_xlfn.XLOOKUP($A:$A,Instagram_Usage_Lifestyle_Mini_!$A:$A,Instagram_Usage_Lifestyle_Mini_!$C:$K)</f>
        <v>High_school</v>
      </c>
      <c r="J237" t="str">
        <f>_xlfn.XLOOKUP($A:$A,Instagram_Usage_Lifestyle_Mini_!$A:$A,Instagram_Usage_Lifestyle_Mini_!$C:$K)</f>
        <v>Single</v>
      </c>
      <c r="K237" t="str">
        <f>_xlfn.XLOOKUP($A:$A,Instagram_Usage_Lifestyle_Mini_!$A:$A,Instagram_Usage_Lifestyle_Mini_!$C:$K)</f>
        <v>No</v>
      </c>
      <c r="L237" t="str" cm="1">
        <f t="array" ref="L237">_xlfn.IFS(C237&lt;18,"Under_18",C237&lt;=25,"Youth",C237&lt;=35,"Young_Adults",C237&lt;=45,"Mid_Adults",TRUE,"Seniors")</f>
        <v>Mid_Adults</v>
      </c>
    </row>
    <row r="238" spans="1:12" x14ac:dyDescent="0.2">
      <c r="A238">
        <v>237</v>
      </c>
      <c r="B238" t="str">
        <f>_xlfn.XLOOKUP(A238,Instagram_Usage_Lifestyle_Mini_!A238,Instagram_Usage_Lifestyle_Mini_!B238,1)</f>
        <v>Instagram</v>
      </c>
      <c r="C238">
        <f>_xlfn.XLOOKUP($A:$A,Instagram_Usage_Lifestyle_Mini_!$A:$A,Instagram_Usage_Lifestyle_Mini_!$C:$K)</f>
        <v>35</v>
      </c>
      <c r="D238" t="str">
        <f>_xlfn.XLOOKUP($A:$A,Instagram_Usage_Lifestyle_Mini_!$A:$A,Instagram_Usage_Lifestyle_Mini_!$C:$K)</f>
        <v>Male</v>
      </c>
      <c r="E238" t="str">
        <f>_xlfn.XLOOKUP($A:$A,Instagram_Usage_Lifestyle_Mini_!$A:$A,Instagram_Usage_Lifestyle_Mini_!$C:$K)</f>
        <v>United_States</v>
      </c>
      <c r="F238" t="str">
        <f>_xlfn.XLOOKUP($A:$A,Instagram_Usage_Lifestyle_Mini_!$A:$A,Instagram_Usage_Lifestyle_Mini_!$C:$K)</f>
        <v>Urban</v>
      </c>
      <c r="G238" t="str">
        <f>_xlfn.XLOOKUP($A:$A,Instagram_Usage_Lifestyle_Mini_!$A:$A,Instagram_Usage_Lifestyle_Mini_!$C:$K)</f>
        <v>Low</v>
      </c>
      <c r="H238" t="str">
        <f>_xlfn.XLOOKUP($A:$A,Instagram_Usage_Lifestyle_Mini_!$A:$A,Instagram_Usage_Lifestyle_Mini_!$C:$K)</f>
        <v>Student</v>
      </c>
      <c r="I238" t="str">
        <f>_xlfn.XLOOKUP($A:$A,Instagram_Usage_Lifestyle_Mini_!$A:$A,Instagram_Usage_Lifestyle_Mini_!$C:$K)</f>
        <v>Some_college</v>
      </c>
      <c r="J238" t="str">
        <f>_xlfn.XLOOKUP($A:$A,Instagram_Usage_Lifestyle_Mini_!$A:$A,Instagram_Usage_Lifestyle_Mini_!$C:$K)</f>
        <v>In_a_relationship</v>
      </c>
      <c r="K238" t="str">
        <f>_xlfn.XLOOKUP($A:$A,Instagram_Usage_Lifestyle_Mini_!$A:$A,Instagram_Usage_Lifestyle_Mini_!$C:$K)</f>
        <v>No</v>
      </c>
      <c r="L238" t="str" cm="1">
        <f t="array" ref="L238">_xlfn.IFS(C238&lt;18,"Under_18",C238&lt;=25,"Youth",C238&lt;=35,"Young_Adults",C238&lt;=45,"Mid_Adults",TRUE,"Seniors")</f>
        <v>Young_Adults</v>
      </c>
    </row>
    <row r="239" spans="1:12" x14ac:dyDescent="0.2">
      <c r="A239">
        <v>238</v>
      </c>
      <c r="B239" t="str">
        <f>_xlfn.XLOOKUP(A239,Instagram_Usage_Lifestyle_Mini_!A239,Instagram_Usage_Lifestyle_Mini_!B239,1)</f>
        <v>Instagram</v>
      </c>
      <c r="C239">
        <f>_xlfn.XLOOKUP($A:$A,Instagram_Usage_Lifestyle_Mini_!$A:$A,Instagram_Usage_Lifestyle_Mini_!$C:$K)</f>
        <v>49</v>
      </c>
      <c r="D239" t="str">
        <f>_xlfn.XLOOKUP($A:$A,Instagram_Usage_Lifestyle_Mini_!$A:$A,Instagram_Usage_Lifestyle_Mini_!$C:$K)</f>
        <v>Male</v>
      </c>
      <c r="E239" t="str">
        <f>_xlfn.XLOOKUP($A:$A,Instagram_Usage_Lifestyle_Mini_!$A:$A,Instagram_Usage_Lifestyle_Mini_!$C:$K)</f>
        <v>Canada</v>
      </c>
      <c r="F239" t="str">
        <f>_xlfn.XLOOKUP($A:$A,Instagram_Usage_Lifestyle_Mini_!$A:$A,Instagram_Usage_Lifestyle_Mini_!$C:$K)</f>
        <v>Urban</v>
      </c>
      <c r="G239" t="str">
        <f>_xlfn.XLOOKUP($A:$A,Instagram_Usage_Lifestyle_Mini_!$A:$A,Instagram_Usage_Lifestyle_Mini_!$C:$K)</f>
        <v>Low</v>
      </c>
      <c r="H239" t="str">
        <f>_xlfn.XLOOKUP($A:$A,Instagram_Usage_Lifestyle_Mini_!$A:$A,Instagram_Usage_Lifestyle_Mini_!$C:$K)</f>
        <v>Full_time_employed</v>
      </c>
      <c r="I239" t="str">
        <f>_xlfn.XLOOKUP($A:$A,Instagram_Usage_Lifestyle_Mini_!$A:$A,Instagram_Usage_Lifestyle_Mini_!$C:$K)</f>
        <v>Masters_degree</v>
      </c>
      <c r="J239" t="str">
        <f>_xlfn.XLOOKUP($A:$A,Instagram_Usage_Lifestyle_Mini_!$A:$A,Instagram_Usage_Lifestyle_Mini_!$C:$K)</f>
        <v>Single</v>
      </c>
      <c r="K239" t="str">
        <f>_xlfn.XLOOKUP($A:$A,Instagram_Usage_Lifestyle_Mini_!$A:$A,Instagram_Usage_Lifestyle_Mini_!$C:$K)</f>
        <v>No</v>
      </c>
      <c r="L239" t="str" cm="1">
        <f t="array" ref="L239">_xlfn.IFS(C239&lt;18,"Under_18",C239&lt;=25,"Youth",C239&lt;=35,"Young_Adults",C239&lt;=45,"Mid_Adults",TRUE,"Seniors")</f>
        <v>Seniors</v>
      </c>
    </row>
    <row r="240" spans="1:12" x14ac:dyDescent="0.2">
      <c r="A240">
        <v>239</v>
      </c>
      <c r="B240" t="str">
        <f>_xlfn.XLOOKUP(A240,Instagram_Usage_Lifestyle_Mini_!A240,Instagram_Usage_Lifestyle_Mini_!B240,1)</f>
        <v>Instagram</v>
      </c>
      <c r="C240">
        <f>_xlfn.XLOOKUP($A:$A,Instagram_Usage_Lifestyle_Mini_!$A:$A,Instagram_Usage_Lifestyle_Mini_!$C:$K)</f>
        <v>44</v>
      </c>
      <c r="D240" t="str">
        <f>_xlfn.XLOOKUP($A:$A,Instagram_Usage_Lifestyle_Mini_!$A:$A,Instagram_Usage_Lifestyle_Mini_!$C:$K)</f>
        <v>Male</v>
      </c>
      <c r="E240" t="str">
        <f>_xlfn.XLOOKUP($A:$A,Instagram_Usage_Lifestyle_Mini_!$A:$A,Instagram_Usage_Lifestyle_Mini_!$C:$K)</f>
        <v>Other</v>
      </c>
      <c r="F240" t="str">
        <f>_xlfn.XLOOKUP($A:$A,Instagram_Usage_Lifestyle_Mini_!$A:$A,Instagram_Usage_Lifestyle_Mini_!$C:$K)</f>
        <v>Suburban</v>
      </c>
      <c r="G240" t="str">
        <f>_xlfn.XLOOKUP($A:$A,Instagram_Usage_Lifestyle_Mini_!$A:$A,Instagram_Usage_Lifestyle_Mini_!$C:$K)</f>
        <v>Middle</v>
      </c>
      <c r="H240" t="str">
        <f>_xlfn.XLOOKUP($A:$A,Instagram_Usage_Lifestyle_Mini_!$A:$A,Instagram_Usage_Lifestyle_Mini_!$C:$K)</f>
        <v>Full_time_employed</v>
      </c>
      <c r="I240" t="str">
        <f>_xlfn.XLOOKUP($A:$A,Instagram_Usage_Lifestyle_Mini_!$A:$A,Instagram_Usage_Lifestyle_Mini_!$C:$K)</f>
        <v>Masters_degree</v>
      </c>
      <c r="J240" t="str">
        <f>_xlfn.XLOOKUP($A:$A,Instagram_Usage_Lifestyle_Mini_!$A:$A,Instagram_Usage_Lifestyle_Mini_!$C:$K)</f>
        <v>Divorced</v>
      </c>
      <c r="K240" t="str">
        <f>_xlfn.XLOOKUP($A:$A,Instagram_Usage_Lifestyle_Mini_!$A:$A,Instagram_Usage_Lifestyle_Mini_!$C:$K)</f>
        <v>Yes</v>
      </c>
      <c r="L240" t="str" cm="1">
        <f t="array" ref="L240">_xlfn.IFS(C240&lt;18,"Under_18",C240&lt;=25,"Youth",C240&lt;=35,"Young_Adults",C240&lt;=45,"Mid_Adults",TRUE,"Seniors")</f>
        <v>Mid_Adults</v>
      </c>
    </row>
    <row r="241" spans="1:12" x14ac:dyDescent="0.2">
      <c r="A241">
        <v>240</v>
      </c>
      <c r="B241" t="str">
        <f>_xlfn.XLOOKUP(A241,Instagram_Usage_Lifestyle_Mini_!A241,Instagram_Usage_Lifestyle_Mini_!B241,1)</f>
        <v>Instagram</v>
      </c>
      <c r="C241">
        <f>_xlfn.XLOOKUP($A:$A,Instagram_Usage_Lifestyle_Mini_!$A:$A,Instagram_Usage_Lifestyle_Mini_!$C:$K)</f>
        <v>45</v>
      </c>
      <c r="D241" t="str">
        <f>_xlfn.XLOOKUP($A:$A,Instagram_Usage_Lifestyle_Mini_!$A:$A,Instagram_Usage_Lifestyle_Mini_!$C:$K)</f>
        <v>Male</v>
      </c>
      <c r="E241" t="str">
        <f>_xlfn.XLOOKUP($A:$A,Instagram_Usage_Lifestyle_Mini_!$A:$A,Instagram_Usage_Lifestyle_Mini_!$C:$K)</f>
        <v>United_States</v>
      </c>
      <c r="F241" t="str">
        <f>_xlfn.XLOOKUP($A:$A,Instagram_Usage_Lifestyle_Mini_!$A:$A,Instagram_Usage_Lifestyle_Mini_!$C:$K)</f>
        <v>Urban</v>
      </c>
      <c r="G241" t="str">
        <f>_xlfn.XLOOKUP($A:$A,Instagram_Usage_Lifestyle_Mini_!$A:$A,Instagram_Usage_Lifestyle_Mini_!$C:$K)</f>
        <v>Middle</v>
      </c>
      <c r="H241" t="str">
        <f>_xlfn.XLOOKUP($A:$A,Instagram_Usage_Lifestyle_Mini_!$A:$A,Instagram_Usage_Lifestyle_Mini_!$C:$K)</f>
        <v>Full_time_employed</v>
      </c>
      <c r="I241" t="str">
        <f>_xlfn.XLOOKUP($A:$A,Instagram_Usage_Lifestyle_Mini_!$A:$A,Instagram_Usage_Lifestyle_Mini_!$C:$K)</f>
        <v>Some_college</v>
      </c>
      <c r="J241" t="str">
        <f>_xlfn.XLOOKUP($A:$A,Instagram_Usage_Lifestyle_Mini_!$A:$A,Instagram_Usage_Lifestyle_Mini_!$C:$K)</f>
        <v>Single</v>
      </c>
      <c r="K241" t="str">
        <f>_xlfn.XLOOKUP($A:$A,Instagram_Usage_Lifestyle_Mini_!$A:$A,Instagram_Usage_Lifestyle_Mini_!$C:$K)</f>
        <v>No</v>
      </c>
      <c r="L241" t="str" cm="1">
        <f t="array" ref="L241">_xlfn.IFS(C241&lt;18,"Under_18",C241&lt;=25,"Youth",C241&lt;=35,"Young_Adults",C241&lt;=45,"Mid_Adults",TRUE,"Seniors")</f>
        <v>Mid_Adults</v>
      </c>
    </row>
    <row r="242" spans="1:12" x14ac:dyDescent="0.2">
      <c r="A242">
        <v>241</v>
      </c>
      <c r="B242" t="str">
        <f>_xlfn.XLOOKUP(A242,Instagram_Usage_Lifestyle_Mini_!A242,Instagram_Usage_Lifestyle_Mini_!B242,1)</f>
        <v>Instagram</v>
      </c>
      <c r="C242">
        <f>_xlfn.XLOOKUP($A:$A,Instagram_Usage_Lifestyle_Mini_!$A:$A,Instagram_Usage_Lifestyle_Mini_!$C:$K)</f>
        <v>13</v>
      </c>
      <c r="D242" t="str">
        <f>_xlfn.XLOOKUP($A:$A,Instagram_Usage_Lifestyle_Mini_!$A:$A,Instagram_Usage_Lifestyle_Mini_!$C:$K)</f>
        <v>Female</v>
      </c>
      <c r="E242" t="str">
        <f>_xlfn.XLOOKUP($A:$A,Instagram_Usage_Lifestyle_Mini_!$A:$A,Instagram_Usage_Lifestyle_Mini_!$C:$K)</f>
        <v>India</v>
      </c>
      <c r="F242" t="str">
        <f>_xlfn.XLOOKUP($A:$A,Instagram_Usage_Lifestyle_Mini_!$A:$A,Instagram_Usage_Lifestyle_Mini_!$C:$K)</f>
        <v>Urban</v>
      </c>
      <c r="G242" t="str">
        <f>_xlfn.XLOOKUP($A:$A,Instagram_Usage_Lifestyle_Mini_!$A:$A,Instagram_Usage_Lifestyle_Mini_!$C:$K)</f>
        <v>Middle</v>
      </c>
      <c r="H242" t="str">
        <f>_xlfn.XLOOKUP($A:$A,Instagram_Usage_Lifestyle_Mini_!$A:$A,Instagram_Usage_Lifestyle_Mini_!$C:$K)</f>
        <v>Student</v>
      </c>
      <c r="I242" t="str">
        <f>_xlfn.XLOOKUP($A:$A,Instagram_Usage_Lifestyle_Mini_!$A:$A,Instagram_Usage_Lifestyle_Mini_!$C:$K)</f>
        <v>High_school</v>
      </c>
      <c r="J242" t="str">
        <f>_xlfn.XLOOKUP($A:$A,Instagram_Usage_Lifestyle_Mini_!$A:$A,Instagram_Usage_Lifestyle_Mini_!$C:$K)</f>
        <v>Single</v>
      </c>
      <c r="K242" t="str">
        <f>_xlfn.XLOOKUP($A:$A,Instagram_Usage_Lifestyle_Mini_!$A:$A,Instagram_Usage_Lifestyle_Mini_!$C:$K)</f>
        <v>Yes</v>
      </c>
      <c r="L242" t="str" cm="1">
        <f t="array" ref="L242">_xlfn.IFS(C242&lt;18,"Under_18",C242&lt;=25,"Youth",C242&lt;=35,"Young_Adults",C242&lt;=45,"Mid_Adults",TRUE,"Seniors")</f>
        <v>Under_18</v>
      </c>
    </row>
    <row r="243" spans="1:12" x14ac:dyDescent="0.2">
      <c r="A243">
        <v>242</v>
      </c>
      <c r="B243" t="str">
        <f>_xlfn.XLOOKUP(A243,Instagram_Usage_Lifestyle_Mini_!A243,Instagram_Usage_Lifestyle_Mini_!B243,1)</f>
        <v>Instagram</v>
      </c>
      <c r="C243">
        <f>_xlfn.XLOOKUP($A:$A,Instagram_Usage_Lifestyle_Mini_!$A:$A,Instagram_Usage_Lifestyle_Mini_!$C:$K)</f>
        <v>31</v>
      </c>
      <c r="D243" t="str">
        <f>_xlfn.XLOOKUP($A:$A,Instagram_Usage_Lifestyle_Mini_!$A:$A,Instagram_Usage_Lifestyle_Mini_!$C:$K)</f>
        <v>Female</v>
      </c>
      <c r="E243" t="str">
        <f>_xlfn.XLOOKUP($A:$A,Instagram_Usage_Lifestyle_Mini_!$A:$A,Instagram_Usage_Lifestyle_Mini_!$C:$K)</f>
        <v>Japan</v>
      </c>
      <c r="F243" t="str">
        <f>_xlfn.XLOOKUP($A:$A,Instagram_Usage_Lifestyle_Mini_!$A:$A,Instagram_Usage_Lifestyle_Mini_!$C:$K)</f>
        <v>Urban</v>
      </c>
      <c r="G243" t="str">
        <f>_xlfn.XLOOKUP($A:$A,Instagram_Usage_Lifestyle_Mini_!$A:$A,Instagram_Usage_Lifestyle_Mini_!$C:$K)</f>
        <v>Upper_middle</v>
      </c>
      <c r="H243" t="str">
        <f>_xlfn.XLOOKUP($A:$A,Instagram_Usage_Lifestyle_Mini_!$A:$A,Instagram_Usage_Lifestyle_Mini_!$C:$K)</f>
        <v>Part_time</v>
      </c>
      <c r="I243" t="str">
        <f>_xlfn.XLOOKUP($A:$A,Instagram_Usage_Lifestyle_Mini_!$A:$A,Instagram_Usage_Lifestyle_Mini_!$C:$K)</f>
        <v>High_school</v>
      </c>
      <c r="J243" t="str">
        <f>_xlfn.XLOOKUP($A:$A,Instagram_Usage_Lifestyle_Mini_!$A:$A,Instagram_Usage_Lifestyle_Mini_!$C:$K)</f>
        <v>Single</v>
      </c>
      <c r="K243" t="str">
        <f>_xlfn.XLOOKUP($A:$A,Instagram_Usage_Lifestyle_Mini_!$A:$A,Instagram_Usage_Lifestyle_Mini_!$C:$K)</f>
        <v>No</v>
      </c>
      <c r="L243" t="str" cm="1">
        <f t="array" ref="L243">_xlfn.IFS(C243&lt;18,"Under_18",C243&lt;=25,"Youth",C243&lt;=35,"Young_Adults",C243&lt;=45,"Mid_Adults",TRUE,"Seniors")</f>
        <v>Young_Adults</v>
      </c>
    </row>
    <row r="244" spans="1:12" x14ac:dyDescent="0.2">
      <c r="A244">
        <v>243</v>
      </c>
      <c r="B244" t="str">
        <f>_xlfn.XLOOKUP(A244,Instagram_Usage_Lifestyle_Mini_!A244,Instagram_Usage_Lifestyle_Mini_!B244,1)</f>
        <v>Instagram</v>
      </c>
      <c r="C244">
        <f>_xlfn.XLOOKUP($A:$A,Instagram_Usage_Lifestyle_Mini_!$A:$A,Instagram_Usage_Lifestyle_Mini_!$C:$K)</f>
        <v>14</v>
      </c>
      <c r="D244" t="str">
        <f>_xlfn.XLOOKUP($A:$A,Instagram_Usage_Lifestyle_Mini_!$A:$A,Instagram_Usage_Lifestyle_Mini_!$C:$K)</f>
        <v>Non_binary</v>
      </c>
      <c r="E244" t="str">
        <f>_xlfn.XLOOKUP($A:$A,Instagram_Usage_Lifestyle_Mini_!$A:$A,Instagram_Usage_Lifestyle_Mini_!$C:$K)</f>
        <v>United_States</v>
      </c>
      <c r="F244" t="str">
        <f>_xlfn.XLOOKUP($A:$A,Instagram_Usage_Lifestyle_Mini_!$A:$A,Instagram_Usage_Lifestyle_Mini_!$C:$K)</f>
        <v>Suburban</v>
      </c>
      <c r="G244" t="str">
        <f>_xlfn.XLOOKUP($A:$A,Instagram_Usage_Lifestyle_Mini_!$A:$A,Instagram_Usage_Lifestyle_Mini_!$C:$K)</f>
        <v>Upper_middle</v>
      </c>
      <c r="H244" t="str">
        <f>_xlfn.XLOOKUP($A:$A,Instagram_Usage_Lifestyle_Mini_!$A:$A,Instagram_Usage_Lifestyle_Mini_!$C:$K)</f>
        <v>Student</v>
      </c>
      <c r="I244" t="str">
        <f>_xlfn.XLOOKUP($A:$A,Instagram_Usage_Lifestyle_Mini_!$A:$A,Instagram_Usage_Lifestyle_Mini_!$C:$K)</f>
        <v>Some_college</v>
      </c>
      <c r="J244" t="str">
        <f>_xlfn.XLOOKUP($A:$A,Instagram_Usage_Lifestyle_Mini_!$A:$A,Instagram_Usage_Lifestyle_Mini_!$C:$K)</f>
        <v>Married</v>
      </c>
      <c r="K244" t="str">
        <f>_xlfn.XLOOKUP($A:$A,Instagram_Usage_Lifestyle_Mini_!$A:$A,Instagram_Usage_Lifestyle_Mini_!$C:$K)</f>
        <v>Yes</v>
      </c>
      <c r="L244" t="str" cm="1">
        <f t="array" ref="L244">_xlfn.IFS(C244&lt;18,"Under_18",C244&lt;=25,"Youth",C244&lt;=35,"Young_Adults",C244&lt;=45,"Mid_Adults",TRUE,"Seniors")</f>
        <v>Under_18</v>
      </c>
    </row>
    <row r="245" spans="1:12" x14ac:dyDescent="0.2">
      <c r="A245">
        <v>244</v>
      </c>
      <c r="B245" t="str">
        <f>_xlfn.XLOOKUP(A245,Instagram_Usage_Lifestyle_Mini_!A245,Instagram_Usage_Lifestyle_Mini_!B245,1)</f>
        <v>Instagram</v>
      </c>
      <c r="C245">
        <f>_xlfn.XLOOKUP($A:$A,Instagram_Usage_Lifestyle_Mini_!$A:$A,Instagram_Usage_Lifestyle_Mini_!$C:$K)</f>
        <v>65</v>
      </c>
      <c r="D245" t="str">
        <f>_xlfn.XLOOKUP($A:$A,Instagram_Usage_Lifestyle_Mini_!$A:$A,Instagram_Usage_Lifestyle_Mini_!$C:$K)</f>
        <v>Female</v>
      </c>
      <c r="E245" t="str">
        <f>_xlfn.XLOOKUP($A:$A,Instagram_Usage_Lifestyle_Mini_!$A:$A,Instagram_Usage_Lifestyle_Mini_!$C:$K)</f>
        <v>Japan</v>
      </c>
      <c r="F245" t="str">
        <f>_xlfn.XLOOKUP($A:$A,Instagram_Usage_Lifestyle_Mini_!$A:$A,Instagram_Usage_Lifestyle_Mini_!$C:$K)</f>
        <v>Urban</v>
      </c>
      <c r="G245" t="str">
        <f>_xlfn.XLOOKUP($A:$A,Instagram_Usage_Lifestyle_Mini_!$A:$A,Instagram_Usage_Lifestyle_Mini_!$C:$K)</f>
        <v>Middle</v>
      </c>
      <c r="H245" t="str">
        <f>_xlfn.XLOOKUP($A:$A,Instagram_Usage_Lifestyle_Mini_!$A:$A,Instagram_Usage_Lifestyle_Mini_!$C:$K)</f>
        <v>Unemployed</v>
      </c>
      <c r="I245" t="str">
        <f>_xlfn.XLOOKUP($A:$A,Instagram_Usage_Lifestyle_Mini_!$A:$A,Instagram_Usage_Lifestyle_Mini_!$C:$K)</f>
        <v>Bachelors_degree</v>
      </c>
      <c r="J245" t="str">
        <f>_xlfn.XLOOKUP($A:$A,Instagram_Usage_Lifestyle_Mini_!$A:$A,Instagram_Usage_Lifestyle_Mini_!$C:$K)</f>
        <v>In_a_relationship</v>
      </c>
      <c r="K245" t="str">
        <f>_xlfn.XLOOKUP($A:$A,Instagram_Usage_Lifestyle_Mini_!$A:$A,Instagram_Usage_Lifestyle_Mini_!$C:$K)</f>
        <v>No</v>
      </c>
      <c r="L245" t="str" cm="1">
        <f t="array" ref="L245">_xlfn.IFS(C245&lt;18,"Under_18",C245&lt;=25,"Youth",C245&lt;=35,"Young_Adults",C245&lt;=45,"Mid_Adults",TRUE,"Seniors")</f>
        <v>Seniors</v>
      </c>
    </row>
    <row r="246" spans="1:12" x14ac:dyDescent="0.2">
      <c r="A246">
        <v>245</v>
      </c>
      <c r="B246" t="str">
        <f>_xlfn.XLOOKUP(A246,Instagram_Usage_Lifestyle_Mini_!A246,Instagram_Usage_Lifestyle_Mini_!B246,1)</f>
        <v>Instagram</v>
      </c>
      <c r="C246">
        <f>_xlfn.XLOOKUP($A:$A,Instagram_Usage_Lifestyle_Mini_!$A:$A,Instagram_Usage_Lifestyle_Mini_!$C:$K)</f>
        <v>56</v>
      </c>
      <c r="D246" t="str">
        <f>_xlfn.XLOOKUP($A:$A,Instagram_Usage_Lifestyle_Mini_!$A:$A,Instagram_Usage_Lifestyle_Mini_!$C:$K)</f>
        <v>Female</v>
      </c>
      <c r="E246" t="str">
        <f>_xlfn.XLOOKUP($A:$A,Instagram_Usage_Lifestyle_Mini_!$A:$A,Instagram_Usage_Lifestyle_Mini_!$C:$K)</f>
        <v>United _Kingdom</v>
      </c>
      <c r="F246" t="str">
        <f>_xlfn.XLOOKUP($A:$A,Instagram_Usage_Lifestyle_Mini_!$A:$A,Instagram_Usage_Lifestyle_Mini_!$C:$K)</f>
        <v>Urban</v>
      </c>
      <c r="G246" t="str">
        <f>_xlfn.XLOOKUP($A:$A,Instagram_Usage_Lifestyle_Mini_!$A:$A,Instagram_Usage_Lifestyle_Mini_!$C:$K)</f>
        <v>Lower_middle</v>
      </c>
      <c r="H246" t="str">
        <f>_xlfn.XLOOKUP($A:$A,Instagram_Usage_Lifestyle_Mini_!$A:$A,Instagram_Usage_Lifestyle_Mini_!$C:$K)</f>
        <v>Full_time_employed</v>
      </c>
      <c r="I246" t="str">
        <f>_xlfn.XLOOKUP($A:$A,Instagram_Usage_Lifestyle_Mini_!$A:$A,Instagram_Usage_Lifestyle_Mini_!$C:$K)</f>
        <v>High_school</v>
      </c>
      <c r="J246" t="str">
        <f>_xlfn.XLOOKUP($A:$A,Instagram_Usage_Lifestyle_Mini_!$A:$A,Instagram_Usage_Lifestyle_Mini_!$C:$K)</f>
        <v>In_a_relationship</v>
      </c>
      <c r="K246" t="str">
        <f>_xlfn.XLOOKUP($A:$A,Instagram_Usage_Lifestyle_Mini_!$A:$A,Instagram_Usage_Lifestyle_Mini_!$C:$K)</f>
        <v>No</v>
      </c>
      <c r="L246" t="str" cm="1">
        <f t="array" ref="L246">_xlfn.IFS(C246&lt;18,"Under_18",C246&lt;=25,"Youth",C246&lt;=35,"Young_Adults",C246&lt;=45,"Mid_Adults",TRUE,"Seniors")</f>
        <v>Seniors</v>
      </c>
    </row>
    <row r="247" spans="1:12" x14ac:dyDescent="0.2">
      <c r="A247">
        <v>246</v>
      </c>
      <c r="B247" t="str">
        <f>_xlfn.XLOOKUP(A247,Instagram_Usage_Lifestyle_Mini_!A247,Instagram_Usage_Lifestyle_Mini_!B247,1)</f>
        <v>Instagram</v>
      </c>
      <c r="C247">
        <f>_xlfn.XLOOKUP($A:$A,Instagram_Usage_Lifestyle_Mini_!$A:$A,Instagram_Usage_Lifestyle_Mini_!$C:$K)</f>
        <v>38</v>
      </c>
      <c r="D247" t="str">
        <f>_xlfn.XLOOKUP($A:$A,Instagram_Usage_Lifestyle_Mini_!$A:$A,Instagram_Usage_Lifestyle_Mini_!$C:$K)</f>
        <v>Female</v>
      </c>
      <c r="E247" t="str">
        <f>_xlfn.XLOOKUP($A:$A,Instagram_Usage_Lifestyle_Mini_!$A:$A,Instagram_Usage_Lifestyle_Mini_!$C:$K)</f>
        <v>United_States</v>
      </c>
      <c r="F247" t="str">
        <f>_xlfn.XLOOKUP($A:$A,Instagram_Usage_Lifestyle_Mini_!$A:$A,Instagram_Usage_Lifestyle_Mini_!$C:$K)</f>
        <v>Rural</v>
      </c>
      <c r="G247" t="str">
        <f>_xlfn.XLOOKUP($A:$A,Instagram_Usage_Lifestyle_Mini_!$A:$A,Instagram_Usage_Lifestyle_Mini_!$C:$K)</f>
        <v>Middle</v>
      </c>
      <c r="H247" t="str">
        <f>_xlfn.XLOOKUP($A:$A,Instagram_Usage_Lifestyle_Mini_!$A:$A,Instagram_Usage_Lifestyle_Mini_!$C:$K)</f>
        <v>Full_time_employed</v>
      </c>
      <c r="I247" t="str">
        <f>_xlfn.XLOOKUP($A:$A,Instagram_Usage_Lifestyle_Mini_!$A:$A,Instagram_Usage_Lifestyle_Mini_!$C:$K)</f>
        <v>Bachelors_degree</v>
      </c>
      <c r="J247" t="str">
        <f>_xlfn.XLOOKUP($A:$A,Instagram_Usage_Lifestyle_Mini_!$A:$A,Instagram_Usage_Lifestyle_Mini_!$C:$K)</f>
        <v>In_a_relationship</v>
      </c>
      <c r="K247" t="str">
        <f>_xlfn.XLOOKUP($A:$A,Instagram_Usage_Lifestyle_Mini_!$A:$A,Instagram_Usage_Lifestyle_Mini_!$C:$K)</f>
        <v>Yes</v>
      </c>
      <c r="L247" t="str" cm="1">
        <f t="array" ref="L247">_xlfn.IFS(C247&lt;18,"Under_18",C247&lt;=25,"Youth",C247&lt;=35,"Young_Adults",C247&lt;=45,"Mid_Adults",TRUE,"Seniors")</f>
        <v>Mid_Adults</v>
      </c>
    </row>
    <row r="248" spans="1:12" x14ac:dyDescent="0.2">
      <c r="A248">
        <v>247</v>
      </c>
      <c r="B248" t="str">
        <f>_xlfn.XLOOKUP(A248,Instagram_Usage_Lifestyle_Mini_!A248,Instagram_Usage_Lifestyle_Mini_!B248,1)</f>
        <v>Instagram</v>
      </c>
      <c r="C248">
        <f>_xlfn.XLOOKUP($A:$A,Instagram_Usage_Lifestyle_Mini_!$A:$A,Instagram_Usage_Lifestyle_Mini_!$C:$K)</f>
        <v>44</v>
      </c>
      <c r="D248" t="str">
        <f>_xlfn.XLOOKUP($A:$A,Instagram_Usage_Lifestyle_Mini_!$A:$A,Instagram_Usage_Lifestyle_Mini_!$C:$K)</f>
        <v>Male</v>
      </c>
      <c r="E248" t="str">
        <f>_xlfn.XLOOKUP($A:$A,Instagram_Usage_Lifestyle_Mini_!$A:$A,Instagram_Usage_Lifestyle_Mini_!$C:$K)</f>
        <v>India</v>
      </c>
      <c r="F248" t="str">
        <f>_xlfn.XLOOKUP($A:$A,Instagram_Usage_Lifestyle_Mini_!$A:$A,Instagram_Usage_Lifestyle_Mini_!$C:$K)</f>
        <v>Urban</v>
      </c>
      <c r="G248" t="str">
        <f>_xlfn.XLOOKUP($A:$A,Instagram_Usage_Lifestyle_Mini_!$A:$A,Instagram_Usage_Lifestyle_Mini_!$C:$K)</f>
        <v>Middle</v>
      </c>
      <c r="H248" t="str">
        <f>_xlfn.XLOOKUP($A:$A,Instagram_Usage_Lifestyle_Mini_!$A:$A,Instagram_Usage_Lifestyle_Mini_!$C:$K)</f>
        <v>Retired</v>
      </c>
      <c r="I248" t="str">
        <f>_xlfn.XLOOKUP($A:$A,Instagram_Usage_Lifestyle_Mini_!$A:$A,Instagram_Usage_Lifestyle_Mini_!$C:$K)</f>
        <v>Bachelors_degree</v>
      </c>
      <c r="J248" t="str">
        <f>_xlfn.XLOOKUP($A:$A,Instagram_Usage_Lifestyle_Mini_!$A:$A,Instagram_Usage_Lifestyle_Mini_!$C:$K)</f>
        <v>Single</v>
      </c>
      <c r="K248" t="str">
        <f>_xlfn.XLOOKUP($A:$A,Instagram_Usage_Lifestyle_Mini_!$A:$A,Instagram_Usage_Lifestyle_Mini_!$C:$K)</f>
        <v>No</v>
      </c>
      <c r="L248" t="str" cm="1">
        <f t="array" ref="L248">_xlfn.IFS(C248&lt;18,"Under_18",C248&lt;=25,"Youth",C248&lt;=35,"Young_Adults",C248&lt;=45,"Mid_Adults",TRUE,"Seniors")</f>
        <v>Mid_Adults</v>
      </c>
    </row>
    <row r="249" spans="1:12" x14ac:dyDescent="0.2">
      <c r="A249">
        <v>248</v>
      </c>
      <c r="B249" t="str">
        <f>_xlfn.XLOOKUP(A249,Instagram_Usage_Lifestyle_Mini_!A249,Instagram_Usage_Lifestyle_Mini_!B249,1)</f>
        <v>Instagram</v>
      </c>
      <c r="C249">
        <f>_xlfn.XLOOKUP($A:$A,Instagram_Usage_Lifestyle_Mini_!$A:$A,Instagram_Usage_Lifestyle_Mini_!$C:$K)</f>
        <v>18</v>
      </c>
      <c r="D249" t="str">
        <f>_xlfn.XLOOKUP($A:$A,Instagram_Usage_Lifestyle_Mini_!$A:$A,Instagram_Usage_Lifestyle_Mini_!$C:$K)</f>
        <v>Male</v>
      </c>
      <c r="E249" t="str">
        <f>_xlfn.XLOOKUP($A:$A,Instagram_Usage_Lifestyle_Mini_!$A:$A,Instagram_Usage_Lifestyle_Mini_!$C:$K)</f>
        <v>United_States</v>
      </c>
      <c r="F249" t="str">
        <f>_xlfn.XLOOKUP($A:$A,Instagram_Usage_Lifestyle_Mini_!$A:$A,Instagram_Usage_Lifestyle_Mini_!$C:$K)</f>
        <v>Suburban</v>
      </c>
      <c r="G249" t="str">
        <f>_xlfn.XLOOKUP($A:$A,Instagram_Usage_Lifestyle_Mini_!$A:$A,Instagram_Usage_Lifestyle_Mini_!$C:$K)</f>
        <v>Low</v>
      </c>
      <c r="H249" t="str">
        <f>_xlfn.XLOOKUP($A:$A,Instagram_Usage_Lifestyle_Mini_!$A:$A,Instagram_Usage_Lifestyle_Mini_!$C:$K)</f>
        <v>Full_time_employed</v>
      </c>
      <c r="I249" t="str">
        <f>_xlfn.XLOOKUP($A:$A,Instagram_Usage_Lifestyle_Mini_!$A:$A,Instagram_Usage_Lifestyle_Mini_!$C:$K)</f>
        <v>Bachelors_degree</v>
      </c>
      <c r="J249" t="str">
        <f>_xlfn.XLOOKUP($A:$A,Instagram_Usage_Lifestyle_Mini_!$A:$A,Instagram_Usage_Lifestyle_Mini_!$C:$K)</f>
        <v>Single</v>
      </c>
      <c r="K249" t="str">
        <f>_xlfn.XLOOKUP($A:$A,Instagram_Usage_Lifestyle_Mini_!$A:$A,Instagram_Usage_Lifestyle_Mini_!$C:$K)</f>
        <v>No</v>
      </c>
      <c r="L249" t="str" cm="1">
        <f t="array" ref="L249">_xlfn.IFS(C249&lt;18,"Under_18",C249&lt;=25,"Youth",C249&lt;=35,"Young_Adults",C249&lt;=45,"Mid_Adults",TRUE,"Seniors")</f>
        <v>Youth</v>
      </c>
    </row>
    <row r="250" spans="1:12" x14ac:dyDescent="0.2">
      <c r="A250">
        <v>249</v>
      </c>
      <c r="B250" t="str">
        <f>_xlfn.XLOOKUP(A250,Instagram_Usage_Lifestyle_Mini_!A250,Instagram_Usage_Lifestyle_Mini_!B250,1)</f>
        <v>Instagram</v>
      </c>
      <c r="C250">
        <f>_xlfn.XLOOKUP($A:$A,Instagram_Usage_Lifestyle_Mini_!$A:$A,Instagram_Usage_Lifestyle_Mini_!$C:$K)</f>
        <v>44</v>
      </c>
      <c r="D250" t="str">
        <f>_xlfn.XLOOKUP($A:$A,Instagram_Usage_Lifestyle_Mini_!$A:$A,Instagram_Usage_Lifestyle_Mini_!$C:$K)</f>
        <v>Female</v>
      </c>
      <c r="E250" t="str">
        <f>_xlfn.XLOOKUP($A:$A,Instagram_Usage_Lifestyle_Mini_!$A:$A,Instagram_Usage_Lifestyle_Mini_!$C:$K)</f>
        <v>United _Kingdom</v>
      </c>
      <c r="F250" t="str">
        <f>_xlfn.XLOOKUP($A:$A,Instagram_Usage_Lifestyle_Mini_!$A:$A,Instagram_Usage_Lifestyle_Mini_!$C:$K)</f>
        <v>Suburban</v>
      </c>
      <c r="G250" t="str">
        <f>_xlfn.XLOOKUP($A:$A,Instagram_Usage_Lifestyle_Mini_!$A:$A,Instagram_Usage_Lifestyle_Mini_!$C:$K)</f>
        <v>Upper_middle</v>
      </c>
      <c r="H250" t="str">
        <f>_xlfn.XLOOKUP($A:$A,Instagram_Usage_Lifestyle_Mini_!$A:$A,Instagram_Usage_Lifestyle_Mini_!$C:$K)</f>
        <v>Full_time_employed</v>
      </c>
      <c r="I250" t="str">
        <f>_xlfn.XLOOKUP($A:$A,Instagram_Usage_Lifestyle_Mini_!$A:$A,Instagram_Usage_Lifestyle_Mini_!$C:$K)</f>
        <v>Bachelors_degree</v>
      </c>
      <c r="J250" t="str">
        <f>_xlfn.XLOOKUP($A:$A,Instagram_Usage_Lifestyle_Mini_!$A:$A,Instagram_Usage_Lifestyle_Mini_!$C:$K)</f>
        <v>Married</v>
      </c>
      <c r="K250" t="str">
        <f>_xlfn.XLOOKUP($A:$A,Instagram_Usage_Lifestyle_Mini_!$A:$A,Instagram_Usage_Lifestyle_Mini_!$C:$K)</f>
        <v>No</v>
      </c>
      <c r="L250" t="str" cm="1">
        <f t="array" ref="L250">_xlfn.IFS(C250&lt;18,"Under_18",C250&lt;=25,"Youth",C250&lt;=35,"Young_Adults",C250&lt;=45,"Mid_Adults",TRUE,"Seniors")</f>
        <v>Mid_Adults</v>
      </c>
    </row>
    <row r="251" spans="1:12" x14ac:dyDescent="0.2">
      <c r="A251">
        <v>250</v>
      </c>
      <c r="B251" t="str">
        <f>_xlfn.XLOOKUP(A251,Instagram_Usage_Lifestyle_Mini_!A251,Instagram_Usage_Lifestyle_Mini_!B251,1)</f>
        <v>Instagram</v>
      </c>
      <c r="C251">
        <f>_xlfn.XLOOKUP($A:$A,Instagram_Usage_Lifestyle_Mini_!$A:$A,Instagram_Usage_Lifestyle_Mini_!$C:$K)</f>
        <v>16</v>
      </c>
      <c r="D251" t="str">
        <f>_xlfn.XLOOKUP($A:$A,Instagram_Usage_Lifestyle_Mini_!$A:$A,Instagram_Usage_Lifestyle_Mini_!$C:$K)</f>
        <v>Female</v>
      </c>
      <c r="E251" t="str">
        <f>_xlfn.XLOOKUP($A:$A,Instagram_Usage_Lifestyle_Mini_!$A:$A,Instagram_Usage_Lifestyle_Mini_!$C:$K)</f>
        <v>United_States</v>
      </c>
      <c r="F251" t="str">
        <f>_xlfn.XLOOKUP($A:$A,Instagram_Usage_Lifestyle_Mini_!$A:$A,Instagram_Usage_Lifestyle_Mini_!$C:$K)</f>
        <v>Suburban</v>
      </c>
      <c r="G251" t="str">
        <f>_xlfn.XLOOKUP($A:$A,Instagram_Usage_Lifestyle_Mini_!$A:$A,Instagram_Usage_Lifestyle_Mini_!$C:$K)</f>
        <v>Upper_middle</v>
      </c>
      <c r="H251" t="str">
        <f>_xlfn.XLOOKUP($A:$A,Instagram_Usage_Lifestyle_Mini_!$A:$A,Instagram_Usage_Lifestyle_Mini_!$C:$K)</f>
        <v>Student</v>
      </c>
      <c r="I251" t="str">
        <f>_xlfn.XLOOKUP($A:$A,Instagram_Usage_Lifestyle_Mini_!$A:$A,Instagram_Usage_Lifestyle_Mini_!$C:$K)</f>
        <v>Bachelors_degree</v>
      </c>
      <c r="J251" t="str">
        <f>_xlfn.XLOOKUP($A:$A,Instagram_Usage_Lifestyle_Mini_!$A:$A,Instagram_Usage_Lifestyle_Mini_!$C:$K)</f>
        <v>Divorced</v>
      </c>
      <c r="K251" t="str">
        <f>_xlfn.XLOOKUP($A:$A,Instagram_Usage_Lifestyle_Mini_!$A:$A,Instagram_Usage_Lifestyle_Mini_!$C:$K)</f>
        <v>Yes</v>
      </c>
      <c r="L251" t="str" cm="1">
        <f t="array" ref="L251">_xlfn.IFS(C251&lt;18,"Under_18",C251&lt;=25,"Youth",C251&lt;=35,"Young_Adults",C251&lt;=45,"Mid_Adults",TRUE,"Seniors")</f>
        <v>Under_18</v>
      </c>
    </row>
    <row r="252" spans="1:12" x14ac:dyDescent="0.2">
      <c r="A252">
        <v>251</v>
      </c>
      <c r="B252" t="str">
        <f>_xlfn.XLOOKUP(A252,Instagram_Usage_Lifestyle_Mini_!A252,Instagram_Usage_Lifestyle_Mini_!B252,1)</f>
        <v>Instagram</v>
      </c>
      <c r="C252">
        <f>_xlfn.XLOOKUP($A:$A,Instagram_Usage_Lifestyle_Mini_!$A:$A,Instagram_Usage_Lifestyle_Mini_!$C:$K)</f>
        <v>23</v>
      </c>
      <c r="D252" t="str">
        <f>_xlfn.XLOOKUP($A:$A,Instagram_Usage_Lifestyle_Mini_!$A:$A,Instagram_Usage_Lifestyle_Mini_!$C:$K)</f>
        <v>Female</v>
      </c>
      <c r="E252" t="str">
        <f>_xlfn.XLOOKUP($A:$A,Instagram_Usage_Lifestyle_Mini_!$A:$A,Instagram_Usage_Lifestyle_Mini_!$C:$K)</f>
        <v>United_States</v>
      </c>
      <c r="F252" t="str">
        <f>_xlfn.XLOOKUP($A:$A,Instagram_Usage_Lifestyle_Mini_!$A:$A,Instagram_Usage_Lifestyle_Mini_!$C:$K)</f>
        <v>Urban</v>
      </c>
      <c r="G252" t="str">
        <f>_xlfn.XLOOKUP($A:$A,Instagram_Usage_Lifestyle_Mini_!$A:$A,Instagram_Usage_Lifestyle_Mini_!$C:$K)</f>
        <v>Middle</v>
      </c>
      <c r="H252" t="str">
        <f>_xlfn.XLOOKUP($A:$A,Instagram_Usage_Lifestyle_Mini_!$A:$A,Instagram_Usage_Lifestyle_Mini_!$C:$K)</f>
        <v>Full_time_employed</v>
      </c>
      <c r="I252" t="str">
        <f>_xlfn.XLOOKUP($A:$A,Instagram_Usage_Lifestyle_Mini_!$A:$A,Instagram_Usage_Lifestyle_Mini_!$C:$K)</f>
        <v>Bachelors_degree</v>
      </c>
      <c r="J252" t="str">
        <f>_xlfn.XLOOKUP($A:$A,Instagram_Usage_Lifestyle_Mini_!$A:$A,Instagram_Usage_Lifestyle_Mini_!$C:$K)</f>
        <v>Divorced</v>
      </c>
      <c r="K252" t="str">
        <f>_xlfn.XLOOKUP($A:$A,Instagram_Usage_Lifestyle_Mini_!$A:$A,Instagram_Usage_Lifestyle_Mini_!$C:$K)</f>
        <v>No</v>
      </c>
      <c r="L252" t="str" cm="1">
        <f t="array" ref="L252">_xlfn.IFS(C252&lt;18,"Under_18",C252&lt;=25,"Youth",C252&lt;=35,"Young_Adults",C252&lt;=45,"Mid_Adults",TRUE,"Seniors")</f>
        <v>Youth</v>
      </c>
    </row>
    <row r="253" spans="1:12" x14ac:dyDescent="0.2">
      <c r="A253">
        <v>252</v>
      </c>
      <c r="B253" t="str">
        <f>_xlfn.XLOOKUP(A253,Instagram_Usage_Lifestyle_Mini_!A253,Instagram_Usage_Lifestyle_Mini_!B253,1)</f>
        <v>Instagram</v>
      </c>
      <c r="C253">
        <f>_xlfn.XLOOKUP($A:$A,Instagram_Usage_Lifestyle_Mini_!$A:$A,Instagram_Usage_Lifestyle_Mini_!$C:$K)</f>
        <v>29</v>
      </c>
      <c r="D253" t="str">
        <f>_xlfn.XLOOKUP($A:$A,Instagram_Usage_Lifestyle_Mini_!$A:$A,Instagram_Usage_Lifestyle_Mini_!$C:$K)</f>
        <v>Female</v>
      </c>
      <c r="E253" t="str">
        <f>_xlfn.XLOOKUP($A:$A,Instagram_Usage_Lifestyle_Mini_!$A:$A,Instagram_Usage_Lifestyle_Mini_!$C:$K)</f>
        <v>United_States</v>
      </c>
      <c r="F253" t="str">
        <f>_xlfn.XLOOKUP($A:$A,Instagram_Usage_Lifestyle_Mini_!$A:$A,Instagram_Usage_Lifestyle_Mini_!$C:$K)</f>
        <v>Rural</v>
      </c>
      <c r="G253" t="str">
        <f>_xlfn.XLOOKUP($A:$A,Instagram_Usage_Lifestyle_Mini_!$A:$A,Instagram_Usage_Lifestyle_Mini_!$C:$K)</f>
        <v>Lower_middle</v>
      </c>
      <c r="H253" t="str">
        <f>_xlfn.XLOOKUP($A:$A,Instagram_Usage_Lifestyle_Mini_!$A:$A,Instagram_Usage_Lifestyle_Mini_!$C:$K)</f>
        <v>Part_time</v>
      </c>
      <c r="I253" t="str">
        <f>_xlfn.XLOOKUP($A:$A,Instagram_Usage_Lifestyle_Mini_!$A:$A,Instagram_Usage_Lifestyle_Mini_!$C:$K)</f>
        <v>Some_college</v>
      </c>
      <c r="J253" t="str">
        <f>_xlfn.XLOOKUP($A:$A,Instagram_Usage_Lifestyle_Mini_!$A:$A,Instagram_Usage_Lifestyle_Mini_!$C:$K)</f>
        <v>In_a_relationship</v>
      </c>
      <c r="K253" t="str">
        <f>_xlfn.XLOOKUP($A:$A,Instagram_Usage_Lifestyle_Mini_!$A:$A,Instagram_Usage_Lifestyle_Mini_!$C:$K)</f>
        <v>Yes</v>
      </c>
      <c r="L253" t="str" cm="1">
        <f t="array" ref="L253">_xlfn.IFS(C253&lt;18,"Under_18",C253&lt;=25,"Youth",C253&lt;=35,"Young_Adults",C253&lt;=45,"Mid_Adults",TRUE,"Seniors")</f>
        <v>Young_Adults</v>
      </c>
    </row>
    <row r="254" spans="1:12" x14ac:dyDescent="0.2">
      <c r="A254">
        <v>253</v>
      </c>
      <c r="B254" t="str">
        <f>_xlfn.XLOOKUP(A254,Instagram_Usage_Lifestyle_Mini_!A254,Instagram_Usage_Lifestyle_Mini_!B254,1)</f>
        <v>Instagram</v>
      </c>
      <c r="C254">
        <f>_xlfn.XLOOKUP($A:$A,Instagram_Usage_Lifestyle_Mini_!$A:$A,Instagram_Usage_Lifestyle_Mini_!$C:$K)</f>
        <v>50</v>
      </c>
      <c r="D254" t="str">
        <f>_xlfn.XLOOKUP($A:$A,Instagram_Usage_Lifestyle_Mini_!$A:$A,Instagram_Usage_Lifestyle_Mini_!$C:$K)</f>
        <v>Male</v>
      </c>
      <c r="E254" t="str">
        <f>_xlfn.XLOOKUP($A:$A,Instagram_Usage_Lifestyle_Mini_!$A:$A,Instagram_Usage_Lifestyle_Mini_!$C:$K)</f>
        <v>Australia</v>
      </c>
      <c r="F254" t="str">
        <f>_xlfn.XLOOKUP($A:$A,Instagram_Usage_Lifestyle_Mini_!$A:$A,Instagram_Usage_Lifestyle_Mini_!$C:$K)</f>
        <v>Urban</v>
      </c>
      <c r="G254" t="str">
        <f>_xlfn.XLOOKUP($A:$A,Instagram_Usage_Lifestyle_Mini_!$A:$A,Instagram_Usage_Lifestyle_Mini_!$C:$K)</f>
        <v>Low</v>
      </c>
      <c r="H254" t="str">
        <f>_xlfn.XLOOKUP($A:$A,Instagram_Usage_Lifestyle_Mini_!$A:$A,Instagram_Usage_Lifestyle_Mini_!$C:$K)</f>
        <v>Full_time_employed</v>
      </c>
      <c r="I254" t="str">
        <f>_xlfn.XLOOKUP($A:$A,Instagram_Usage_Lifestyle_Mini_!$A:$A,Instagram_Usage_Lifestyle_Mini_!$C:$K)</f>
        <v>Bachelors_degree</v>
      </c>
      <c r="J254" t="str">
        <f>_xlfn.XLOOKUP($A:$A,Instagram_Usage_Lifestyle_Mini_!$A:$A,Instagram_Usage_Lifestyle_Mini_!$C:$K)</f>
        <v>Single</v>
      </c>
      <c r="K254" t="str">
        <f>_xlfn.XLOOKUP($A:$A,Instagram_Usage_Lifestyle_Mini_!$A:$A,Instagram_Usage_Lifestyle_Mini_!$C:$K)</f>
        <v>No</v>
      </c>
      <c r="L254" t="str" cm="1">
        <f t="array" ref="L254">_xlfn.IFS(C254&lt;18,"Under_18",C254&lt;=25,"Youth",C254&lt;=35,"Young_Adults",C254&lt;=45,"Mid_Adults",TRUE,"Seniors")</f>
        <v>Seniors</v>
      </c>
    </row>
    <row r="255" spans="1:12" x14ac:dyDescent="0.2">
      <c r="A255">
        <v>254</v>
      </c>
      <c r="B255" t="str">
        <f>_xlfn.XLOOKUP(A255,Instagram_Usage_Lifestyle_Mini_!A255,Instagram_Usage_Lifestyle_Mini_!B255,1)</f>
        <v>Instagram</v>
      </c>
      <c r="C255">
        <f>_xlfn.XLOOKUP($A:$A,Instagram_Usage_Lifestyle_Mini_!$A:$A,Instagram_Usage_Lifestyle_Mini_!$C:$K)</f>
        <v>36</v>
      </c>
      <c r="D255" t="str">
        <f>_xlfn.XLOOKUP($A:$A,Instagram_Usage_Lifestyle_Mini_!$A:$A,Instagram_Usage_Lifestyle_Mini_!$C:$K)</f>
        <v>Female</v>
      </c>
      <c r="E255" t="str">
        <f>_xlfn.XLOOKUP($A:$A,Instagram_Usage_Lifestyle_Mini_!$A:$A,Instagram_Usage_Lifestyle_Mini_!$C:$K)</f>
        <v>India</v>
      </c>
      <c r="F255" t="str">
        <f>_xlfn.XLOOKUP($A:$A,Instagram_Usage_Lifestyle_Mini_!$A:$A,Instagram_Usage_Lifestyle_Mini_!$C:$K)</f>
        <v>Urban</v>
      </c>
      <c r="G255" t="str">
        <f>_xlfn.XLOOKUP($A:$A,Instagram_Usage_Lifestyle_Mini_!$A:$A,Instagram_Usage_Lifestyle_Mini_!$C:$K)</f>
        <v>Lower_middle</v>
      </c>
      <c r="H255" t="str">
        <f>_xlfn.XLOOKUP($A:$A,Instagram_Usage_Lifestyle_Mini_!$A:$A,Instagram_Usage_Lifestyle_Mini_!$C:$K)</f>
        <v>Part_time</v>
      </c>
      <c r="I255" t="str">
        <f>_xlfn.XLOOKUP($A:$A,Instagram_Usage_Lifestyle_Mini_!$A:$A,Instagram_Usage_Lifestyle_Mini_!$C:$K)</f>
        <v>Masters_degree</v>
      </c>
      <c r="J255" t="str">
        <f>_xlfn.XLOOKUP($A:$A,Instagram_Usage_Lifestyle_Mini_!$A:$A,Instagram_Usage_Lifestyle_Mini_!$C:$K)</f>
        <v>In_a_relationship</v>
      </c>
      <c r="K255" t="str">
        <f>_xlfn.XLOOKUP($A:$A,Instagram_Usage_Lifestyle_Mini_!$A:$A,Instagram_Usage_Lifestyle_Mini_!$C:$K)</f>
        <v>No</v>
      </c>
      <c r="L255" t="str" cm="1">
        <f t="array" ref="L255">_xlfn.IFS(C255&lt;18,"Under_18",C255&lt;=25,"Youth",C255&lt;=35,"Young_Adults",C255&lt;=45,"Mid_Adults",TRUE,"Seniors")</f>
        <v>Mid_Adults</v>
      </c>
    </row>
    <row r="256" spans="1:12" x14ac:dyDescent="0.2">
      <c r="A256">
        <v>255</v>
      </c>
      <c r="B256" t="str">
        <f>_xlfn.XLOOKUP(A256,Instagram_Usage_Lifestyle_Mini_!A256,Instagram_Usage_Lifestyle_Mini_!B256,1)</f>
        <v>Instagram</v>
      </c>
      <c r="C256">
        <f>_xlfn.XLOOKUP($A:$A,Instagram_Usage_Lifestyle_Mini_!$A:$A,Instagram_Usage_Lifestyle_Mini_!$C:$K)</f>
        <v>17</v>
      </c>
      <c r="D256" t="str">
        <f>_xlfn.XLOOKUP($A:$A,Instagram_Usage_Lifestyle_Mini_!$A:$A,Instagram_Usage_Lifestyle_Mini_!$C:$K)</f>
        <v>Female</v>
      </c>
      <c r="E256" t="str">
        <f>_xlfn.XLOOKUP($A:$A,Instagram_Usage_Lifestyle_Mini_!$A:$A,Instagram_Usage_Lifestyle_Mini_!$C:$K)</f>
        <v>India</v>
      </c>
      <c r="F256" t="str">
        <f>_xlfn.XLOOKUP($A:$A,Instagram_Usage_Lifestyle_Mini_!$A:$A,Instagram_Usage_Lifestyle_Mini_!$C:$K)</f>
        <v>Rural</v>
      </c>
      <c r="G256" t="str">
        <f>_xlfn.XLOOKUP($A:$A,Instagram_Usage_Lifestyle_Mini_!$A:$A,Instagram_Usage_Lifestyle_Mini_!$C:$K)</f>
        <v>Lower_middle</v>
      </c>
      <c r="H256" t="str">
        <f>_xlfn.XLOOKUP($A:$A,Instagram_Usage_Lifestyle_Mini_!$A:$A,Instagram_Usage_Lifestyle_Mini_!$C:$K)</f>
        <v>Full_time_employed</v>
      </c>
      <c r="I256" t="str">
        <f>_xlfn.XLOOKUP($A:$A,Instagram_Usage_Lifestyle_Mini_!$A:$A,Instagram_Usage_Lifestyle_Mini_!$C:$K)</f>
        <v>High_school</v>
      </c>
      <c r="J256" t="str">
        <f>_xlfn.XLOOKUP($A:$A,Instagram_Usage_Lifestyle_Mini_!$A:$A,Instagram_Usage_Lifestyle_Mini_!$C:$K)</f>
        <v>In_a_relationship</v>
      </c>
      <c r="K256" t="str">
        <f>_xlfn.XLOOKUP($A:$A,Instagram_Usage_Lifestyle_Mini_!$A:$A,Instagram_Usage_Lifestyle_Mini_!$C:$K)</f>
        <v>No</v>
      </c>
      <c r="L256" t="str" cm="1">
        <f t="array" ref="L256">_xlfn.IFS(C256&lt;18,"Under_18",C256&lt;=25,"Youth",C256&lt;=35,"Young_Adults",C256&lt;=45,"Mid_Adults",TRUE,"Seniors")</f>
        <v>Under_18</v>
      </c>
    </row>
    <row r="257" spans="1:12" x14ac:dyDescent="0.2">
      <c r="A257">
        <v>256</v>
      </c>
      <c r="B257" t="str">
        <f>_xlfn.XLOOKUP(A257,Instagram_Usage_Lifestyle_Mini_!A257,Instagram_Usage_Lifestyle_Mini_!B257,1)</f>
        <v>Instagram</v>
      </c>
      <c r="C257">
        <f>_xlfn.XLOOKUP($A:$A,Instagram_Usage_Lifestyle_Mini_!$A:$A,Instagram_Usage_Lifestyle_Mini_!$C:$K)</f>
        <v>64</v>
      </c>
      <c r="D257" t="str">
        <f>_xlfn.XLOOKUP($A:$A,Instagram_Usage_Lifestyle_Mini_!$A:$A,Instagram_Usage_Lifestyle_Mini_!$C:$K)</f>
        <v>Female</v>
      </c>
      <c r="E257" t="str">
        <f>_xlfn.XLOOKUP($A:$A,Instagram_Usage_Lifestyle_Mini_!$A:$A,Instagram_Usage_Lifestyle_Mini_!$C:$K)</f>
        <v>United_States</v>
      </c>
      <c r="F257" t="str">
        <f>_xlfn.XLOOKUP($A:$A,Instagram_Usage_Lifestyle_Mini_!$A:$A,Instagram_Usage_Lifestyle_Mini_!$C:$K)</f>
        <v>Urban</v>
      </c>
      <c r="G257" t="str">
        <f>_xlfn.XLOOKUP($A:$A,Instagram_Usage_Lifestyle_Mini_!$A:$A,Instagram_Usage_Lifestyle_Mini_!$C:$K)</f>
        <v>Low</v>
      </c>
      <c r="H257" t="str">
        <f>_xlfn.XLOOKUP($A:$A,Instagram_Usage_Lifestyle_Mini_!$A:$A,Instagram_Usage_Lifestyle_Mini_!$C:$K)</f>
        <v>Full_time_employed</v>
      </c>
      <c r="I257" t="str">
        <f>_xlfn.XLOOKUP($A:$A,Instagram_Usage_Lifestyle_Mini_!$A:$A,Instagram_Usage_Lifestyle_Mini_!$C:$K)</f>
        <v>High_school</v>
      </c>
      <c r="J257" t="str">
        <f>_xlfn.XLOOKUP($A:$A,Instagram_Usage_Lifestyle_Mini_!$A:$A,Instagram_Usage_Lifestyle_Mini_!$C:$K)</f>
        <v>Married</v>
      </c>
      <c r="K257" t="str">
        <f>_xlfn.XLOOKUP($A:$A,Instagram_Usage_Lifestyle_Mini_!$A:$A,Instagram_Usage_Lifestyle_Mini_!$C:$K)</f>
        <v>Yes</v>
      </c>
      <c r="L257" t="str" cm="1">
        <f t="array" ref="L257">_xlfn.IFS(C257&lt;18,"Under_18",C257&lt;=25,"Youth",C257&lt;=35,"Young_Adults",C257&lt;=45,"Mid_Adults",TRUE,"Seniors")</f>
        <v>Seniors</v>
      </c>
    </row>
    <row r="258" spans="1:12" x14ac:dyDescent="0.2">
      <c r="A258">
        <v>257</v>
      </c>
      <c r="B258" t="str">
        <f>_xlfn.XLOOKUP(A258,Instagram_Usage_Lifestyle_Mini_!A258,Instagram_Usage_Lifestyle_Mini_!B258,1)</f>
        <v>Instagram</v>
      </c>
      <c r="C258">
        <f>_xlfn.XLOOKUP($A:$A,Instagram_Usage_Lifestyle_Mini_!$A:$A,Instagram_Usage_Lifestyle_Mini_!$C:$K)</f>
        <v>46</v>
      </c>
      <c r="D258" t="str">
        <f>_xlfn.XLOOKUP($A:$A,Instagram_Usage_Lifestyle_Mini_!$A:$A,Instagram_Usage_Lifestyle_Mini_!$C:$K)</f>
        <v>Female</v>
      </c>
      <c r="E258" t="str">
        <f>_xlfn.XLOOKUP($A:$A,Instagram_Usage_Lifestyle_Mini_!$A:$A,Instagram_Usage_Lifestyle_Mini_!$C:$K)</f>
        <v>United_States</v>
      </c>
      <c r="F258" t="str">
        <f>_xlfn.XLOOKUP($A:$A,Instagram_Usage_Lifestyle_Mini_!$A:$A,Instagram_Usage_Lifestyle_Mini_!$C:$K)</f>
        <v>Rural</v>
      </c>
      <c r="G258" t="str">
        <f>_xlfn.XLOOKUP($A:$A,Instagram_Usage_Lifestyle_Mini_!$A:$A,Instagram_Usage_Lifestyle_Mini_!$C:$K)</f>
        <v>Lower_middle</v>
      </c>
      <c r="H258" t="str">
        <f>_xlfn.XLOOKUP($A:$A,Instagram_Usage_Lifestyle_Mini_!$A:$A,Instagram_Usage_Lifestyle_Mini_!$C:$K)</f>
        <v>Student</v>
      </c>
      <c r="I258" t="str">
        <f>_xlfn.XLOOKUP($A:$A,Instagram_Usage_Lifestyle_Mini_!$A:$A,Instagram_Usage_Lifestyle_Mini_!$C:$K)</f>
        <v>Some_college</v>
      </c>
      <c r="J258" t="str">
        <f>_xlfn.XLOOKUP($A:$A,Instagram_Usage_Lifestyle_Mini_!$A:$A,Instagram_Usage_Lifestyle_Mini_!$C:$K)</f>
        <v>Divorced</v>
      </c>
      <c r="K258" t="str">
        <f>_xlfn.XLOOKUP($A:$A,Instagram_Usage_Lifestyle_Mini_!$A:$A,Instagram_Usage_Lifestyle_Mini_!$C:$K)</f>
        <v>Yes</v>
      </c>
      <c r="L258" t="str" cm="1">
        <f t="array" ref="L258">_xlfn.IFS(C258&lt;18,"Under_18",C258&lt;=25,"Youth",C258&lt;=35,"Young_Adults",C258&lt;=45,"Mid_Adults",TRUE,"Seniors")</f>
        <v>Seniors</v>
      </c>
    </row>
    <row r="259" spans="1:12" x14ac:dyDescent="0.2">
      <c r="A259">
        <v>258</v>
      </c>
      <c r="B259" t="str">
        <f>_xlfn.XLOOKUP(A259,Instagram_Usage_Lifestyle_Mini_!A259,Instagram_Usage_Lifestyle_Mini_!B259,1)</f>
        <v>Instagram</v>
      </c>
      <c r="C259">
        <f>_xlfn.XLOOKUP($A:$A,Instagram_Usage_Lifestyle_Mini_!$A:$A,Instagram_Usage_Lifestyle_Mini_!$C:$K)</f>
        <v>18</v>
      </c>
      <c r="D259" t="str">
        <f>_xlfn.XLOOKUP($A:$A,Instagram_Usage_Lifestyle_Mini_!$A:$A,Instagram_Usage_Lifestyle_Mini_!$C:$K)</f>
        <v>Female</v>
      </c>
      <c r="E259" t="str">
        <f>_xlfn.XLOOKUP($A:$A,Instagram_Usage_Lifestyle_Mini_!$A:$A,Instagram_Usage_Lifestyle_Mini_!$C:$K)</f>
        <v>United_States</v>
      </c>
      <c r="F259" t="str">
        <f>_xlfn.XLOOKUP($A:$A,Instagram_Usage_Lifestyle_Mini_!$A:$A,Instagram_Usage_Lifestyle_Mini_!$C:$K)</f>
        <v>Rural</v>
      </c>
      <c r="G259" t="str">
        <f>_xlfn.XLOOKUP($A:$A,Instagram_Usage_Lifestyle_Mini_!$A:$A,Instagram_Usage_Lifestyle_Mini_!$C:$K)</f>
        <v>Low</v>
      </c>
      <c r="H259" t="str">
        <f>_xlfn.XLOOKUP($A:$A,Instagram_Usage_Lifestyle_Mini_!$A:$A,Instagram_Usage_Lifestyle_Mini_!$C:$K)</f>
        <v>Unemployed</v>
      </c>
      <c r="I259" t="str">
        <f>_xlfn.XLOOKUP($A:$A,Instagram_Usage_Lifestyle_Mini_!$A:$A,Instagram_Usage_Lifestyle_Mini_!$C:$K)</f>
        <v>High_school</v>
      </c>
      <c r="J259" t="str">
        <f>_xlfn.XLOOKUP($A:$A,Instagram_Usage_Lifestyle_Mini_!$A:$A,Instagram_Usage_Lifestyle_Mini_!$C:$K)</f>
        <v>Married</v>
      </c>
      <c r="K259" t="str">
        <f>_xlfn.XLOOKUP($A:$A,Instagram_Usage_Lifestyle_Mini_!$A:$A,Instagram_Usage_Lifestyle_Mini_!$C:$K)</f>
        <v>No</v>
      </c>
      <c r="L259" t="str" cm="1">
        <f t="array" ref="L259">_xlfn.IFS(C259&lt;18,"Under_18",C259&lt;=25,"Youth",C259&lt;=35,"Young_Adults",C259&lt;=45,"Mid_Adults",TRUE,"Seniors")</f>
        <v>Youth</v>
      </c>
    </row>
    <row r="260" spans="1:12" x14ac:dyDescent="0.2">
      <c r="A260">
        <v>259</v>
      </c>
      <c r="B260" t="str">
        <f>_xlfn.XLOOKUP(A260,Instagram_Usage_Lifestyle_Mini_!A260,Instagram_Usage_Lifestyle_Mini_!B260,1)</f>
        <v>Instagram</v>
      </c>
      <c r="C260">
        <f>_xlfn.XLOOKUP($A:$A,Instagram_Usage_Lifestyle_Mini_!$A:$A,Instagram_Usage_Lifestyle_Mini_!$C:$K)</f>
        <v>34</v>
      </c>
      <c r="D260" t="str">
        <f>_xlfn.XLOOKUP($A:$A,Instagram_Usage_Lifestyle_Mini_!$A:$A,Instagram_Usage_Lifestyle_Mini_!$C:$K)</f>
        <v>Male</v>
      </c>
      <c r="E260" t="str">
        <f>_xlfn.XLOOKUP($A:$A,Instagram_Usage_Lifestyle_Mini_!$A:$A,Instagram_Usage_Lifestyle_Mini_!$C:$K)</f>
        <v>South_Korea</v>
      </c>
      <c r="F260" t="str">
        <f>_xlfn.XLOOKUP($A:$A,Instagram_Usage_Lifestyle_Mini_!$A:$A,Instagram_Usage_Lifestyle_Mini_!$C:$K)</f>
        <v>Urban</v>
      </c>
      <c r="G260" t="str">
        <f>_xlfn.XLOOKUP($A:$A,Instagram_Usage_Lifestyle_Mini_!$A:$A,Instagram_Usage_Lifestyle_Mini_!$C:$K)</f>
        <v>Low</v>
      </c>
      <c r="H260" t="str">
        <f>_xlfn.XLOOKUP($A:$A,Instagram_Usage_Lifestyle_Mini_!$A:$A,Instagram_Usage_Lifestyle_Mini_!$C:$K)</f>
        <v>Full_time_employed</v>
      </c>
      <c r="I260" t="str">
        <f>_xlfn.XLOOKUP($A:$A,Instagram_Usage_Lifestyle_Mini_!$A:$A,Instagram_Usage_Lifestyle_Mini_!$C:$K)</f>
        <v>Masters_degree</v>
      </c>
      <c r="J260" t="str">
        <f>_xlfn.XLOOKUP($A:$A,Instagram_Usage_Lifestyle_Mini_!$A:$A,Instagram_Usage_Lifestyle_Mini_!$C:$K)</f>
        <v>Single</v>
      </c>
      <c r="K260" t="str">
        <f>_xlfn.XLOOKUP($A:$A,Instagram_Usage_Lifestyle_Mini_!$A:$A,Instagram_Usage_Lifestyle_Mini_!$C:$K)</f>
        <v>No</v>
      </c>
      <c r="L260" t="str" cm="1">
        <f t="array" ref="L260">_xlfn.IFS(C260&lt;18,"Under_18",C260&lt;=25,"Youth",C260&lt;=35,"Young_Adults",C260&lt;=45,"Mid_Adults",TRUE,"Seniors")</f>
        <v>Young_Adults</v>
      </c>
    </row>
    <row r="261" spans="1:12" x14ac:dyDescent="0.2">
      <c r="A261">
        <v>260</v>
      </c>
      <c r="B261" t="str">
        <f>_xlfn.XLOOKUP(A261,Instagram_Usage_Lifestyle_Mini_!A261,Instagram_Usage_Lifestyle_Mini_!B261,1)</f>
        <v>Instagram</v>
      </c>
      <c r="C261">
        <f>_xlfn.XLOOKUP($A:$A,Instagram_Usage_Lifestyle_Mini_!$A:$A,Instagram_Usage_Lifestyle_Mini_!$C:$K)</f>
        <v>23</v>
      </c>
      <c r="D261" t="str">
        <f>_xlfn.XLOOKUP($A:$A,Instagram_Usage_Lifestyle_Mini_!$A:$A,Instagram_Usage_Lifestyle_Mini_!$C:$K)</f>
        <v>Male</v>
      </c>
      <c r="E261" t="str">
        <f>_xlfn.XLOOKUP($A:$A,Instagram_Usage_Lifestyle_Mini_!$A:$A,Instagram_Usage_Lifestyle_Mini_!$C:$K)</f>
        <v>United _Kingdom</v>
      </c>
      <c r="F261" t="str">
        <f>_xlfn.XLOOKUP($A:$A,Instagram_Usage_Lifestyle_Mini_!$A:$A,Instagram_Usage_Lifestyle_Mini_!$C:$K)</f>
        <v>Urban</v>
      </c>
      <c r="G261" t="str">
        <f>_xlfn.XLOOKUP($A:$A,Instagram_Usage_Lifestyle_Mini_!$A:$A,Instagram_Usage_Lifestyle_Mini_!$C:$K)</f>
        <v>Middle</v>
      </c>
      <c r="H261" t="str">
        <f>_xlfn.XLOOKUP($A:$A,Instagram_Usage_Lifestyle_Mini_!$A:$A,Instagram_Usage_Lifestyle_Mini_!$C:$K)</f>
        <v>Full_time_employed</v>
      </c>
      <c r="I261" t="str">
        <f>_xlfn.XLOOKUP($A:$A,Instagram_Usage_Lifestyle_Mini_!$A:$A,Instagram_Usage_Lifestyle_Mini_!$C:$K)</f>
        <v>High_school</v>
      </c>
      <c r="J261" t="str">
        <f>_xlfn.XLOOKUP($A:$A,Instagram_Usage_Lifestyle_Mini_!$A:$A,Instagram_Usage_Lifestyle_Mini_!$C:$K)</f>
        <v>Single</v>
      </c>
      <c r="K261" t="str">
        <f>_xlfn.XLOOKUP($A:$A,Instagram_Usage_Lifestyle_Mini_!$A:$A,Instagram_Usage_Lifestyle_Mini_!$C:$K)</f>
        <v>No</v>
      </c>
      <c r="L261" t="str" cm="1">
        <f t="array" ref="L261">_xlfn.IFS(C261&lt;18,"Under_18",C261&lt;=25,"Youth",C261&lt;=35,"Young_Adults",C261&lt;=45,"Mid_Adults",TRUE,"Seniors")</f>
        <v>Youth</v>
      </c>
    </row>
    <row r="262" spans="1:12" x14ac:dyDescent="0.2">
      <c r="A262">
        <v>261</v>
      </c>
      <c r="B262" t="str">
        <f>_xlfn.XLOOKUP(A262,Instagram_Usage_Lifestyle_Mini_!A262,Instagram_Usage_Lifestyle_Mini_!B262,1)</f>
        <v>Instagram</v>
      </c>
      <c r="C262">
        <f>_xlfn.XLOOKUP($A:$A,Instagram_Usage_Lifestyle_Mini_!$A:$A,Instagram_Usage_Lifestyle_Mini_!$C:$K)</f>
        <v>60</v>
      </c>
      <c r="D262" t="str">
        <f>_xlfn.XLOOKUP($A:$A,Instagram_Usage_Lifestyle_Mini_!$A:$A,Instagram_Usage_Lifestyle_Mini_!$C:$K)</f>
        <v>Female</v>
      </c>
      <c r="E262" t="str">
        <f>_xlfn.XLOOKUP($A:$A,Instagram_Usage_Lifestyle_Mini_!$A:$A,Instagram_Usage_Lifestyle_Mini_!$C:$K)</f>
        <v>Germany</v>
      </c>
      <c r="F262" t="str">
        <f>_xlfn.XLOOKUP($A:$A,Instagram_Usage_Lifestyle_Mini_!$A:$A,Instagram_Usage_Lifestyle_Mini_!$C:$K)</f>
        <v>Urban</v>
      </c>
      <c r="G262" t="str">
        <f>_xlfn.XLOOKUP($A:$A,Instagram_Usage_Lifestyle_Mini_!$A:$A,Instagram_Usage_Lifestyle_Mini_!$C:$K)</f>
        <v>Upper_middle</v>
      </c>
      <c r="H262" t="str">
        <f>_xlfn.XLOOKUP($A:$A,Instagram_Usage_Lifestyle_Mini_!$A:$A,Instagram_Usage_Lifestyle_Mini_!$C:$K)</f>
        <v>Full_time_employed</v>
      </c>
      <c r="I262" t="str">
        <f>_xlfn.XLOOKUP($A:$A,Instagram_Usage_Lifestyle_Mini_!$A:$A,Instagram_Usage_Lifestyle_Mini_!$C:$K)</f>
        <v>Some_college</v>
      </c>
      <c r="J262" t="str">
        <f>_xlfn.XLOOKUP($A:$A,Instagram_Usage_Lifestyle_Mini_!$A:$A,Instagram_Usage_Lifestyle_Mini_!$C:$K)</f>
        <v>In_a_relationship</v>
      </c>
      <c r="K262" t="str">
        <f>_xlfn.XLOOKUP($A:$A,Instagram_Usage_Lifestyle_Mini_!$A:$A,Instagram_Usage_Lifestyle_Mini_!$C:$K)</f>
        <v>Yes</v>
      </c>
      <c r="L262" t="str" cm="1">
        <f t="array" ref="L262">_xlfn.IFS(C262&lt;18,"Under_18",C262&lt;=25,"Youth",C262&lt;=35,"Young_Adults",C262&lt;=45,"Mid_Adults",TRUE,"Seniors")</f>
        <v>Seniors</v>
      </c>
    </row>
    <row r="263" spans="1:12" x14ac:dyDescent="0.2">
      <c r="A263">
        <v>262</v>
      </c>
      <c r="B263" t="str">
        <f>_xlfn.XLOOKUP(A263,Instagram_Usage_Lifestyle_Mini_!A263,Instagram_Usage_Lifestyle_Mini_!B263,1)</f>
        <v>Instagram</v>
      </c>
      <c r="C263">
        <f>_xlfn.XLOOKUP($A:$A,Instagram_Usage_Lifestyle_Mini_!$A:$A,Instagram_Usage_Lifestyle_Mini_!$C:$K)</f>
        <v>28</v>
      </c>
      <c r="D263" t="str">
        <f>_xlfn.XLOOKUP($A:$A,Instagram_Usage_Lifestyle_Mini_!$A:$A,Instagram_Usage_Lifestyle_Mini_!$C:$K)</f>
        <v>Male</v>
      </c>
      <c r="E263" t="str">
        <f>_xlfn.XLOOKUP($A:$A,Instagram_Usage_Lifestyle_Mini_!$A:$A,Instagram_Usage_Lifestyle_Mini_!$C:$K)</f>
        <v>United _Kingdom</v>
      </c>
      <c r="F263" t="str">
        <f>_xlfn.XLOOKUP($A:$A,Instagram_Usage_Lifestyle_Mini_!$A:$A,Instagram_Usage_Lifestyle_Mini_!$C:$K)</f>
        <v>Urban</v>
      </c>
      <c r="G263" t="str">
        <f>_xlfn.XLOOKUP($A:$A,Instagram_Usage_Lifestyle_Mini_!$A:$A,Instagram_Usage_Lifestyle_Mini_!$C:$K)</f>
        <v>Middle</v>
      </c>
      <c r="H263" t="str">
        <f>_xlfn.XLOOKUP($A:$A,Instagram_Usage_Lifestyle_Mini_!$A:$A,Instagram_Usage_Lifestyle_Mini_!$C:$K)</f>
        <v>Part_time</v>
      </c>
      <c r="I263" t="str">
        <f>_xlfn.XLOOKUP($A:$A,Instagram_Usage_Lifestyle_Mini_!$A:$A,Instagram_Usage_Lifestyle_Mini_!$C:$K)</f>
        <v>High_school</v>
      </c>
      <c r="J263" t="str">
        <f>_xlfn.XLOOKUP($A:$A,Instagram_Usage_Lifestyle_Mini_!$A:$A,Instagram_Usage_Lifestyle_Mini_!$C:$K)</f>
        <v>Single</v>
      </c>
      <c r="K263" t="str">
        <f>_xlfn.XLOOKUP($A:$A,Instagram_Usage_Lifestyle_Mini_!$A:$A,Instagram_Usage_Lifestyle_Mini_!$C:$K)</f>
        <v>Yes</v>
      </c>
      <c r="L263" t="str" cm="1">
        <f t="array" ref="L263">_xlfn.IFS(C263&lt;18,"Under_18",C263&lt;=25,"Youth",C263&lt;=35,"Young_Adults",C263&lt;=45,"Mid_Adults",TRUE,"Seniors")</f>
        <v>Young_Adults</v>
      </c>
    </row>
    <row r="264" spans="1:12" x14ac:dyDescent="0.2">
      <c r="A264">
        <v>263</v>
      </c>
      <c r="B264" t="str">
        <f>_xlfn.XLOOKUP(A264,Instagram_Usage_Lifestyle_Mini_!A264,Instagram_Usage_Lifestyle_Mini_!B264,1)</f>
        <v>Instagram</v>
      </c>
      <c r="C264">
        <f>_xlfn.XLOOKUP($A:$A,Instagram_Usage_Lifestyle_Mini_!$A:$A,Instagram_Usage_Lifestyle_Mini_!$C:$K)</f>
        <v>45</v>
      </c>
      <c r="D264" t="str">
        <f>_xlfn.XLOOKUP($A:$A,Instagram_Usage_Lifestyle_Mini_!$A:$A,Instagram_Usage_Lifestyle_Mini_!$C:$K)</f>
        <v>Male</v>
      </c>
      <c r="E264" t="str">
        <f>_xlfn.XLOOKUP($A:$A,Instagram_Usage_Lifestyle_Mini_!$A:$A,Instagram_Usage_Lifestyle_Mini_!$C:$K)</f>
        <v>United_States</v>
      </c>
      <c r="F264" t="str">
        <f>_xlfn.XLOOKUP($A:$A,Instagram_Usage_Lifestyle_Mini_!$A:$A,Instagram_Usage_Lifestyle_Mini_!$C:$K)</f>
        <v>Urban</v>
      </c>
      <c r="G264" t="str">
        <f>_xlfn.XLOOKUP($A:$A,Instagram_Usage_Lifestyle_Mini_!$A:$A,Instagram_Usage_Lifestyle_Mini_!$C:$K)</f>
        <v>Middle</v>
      </c>
      <c r="H264" t="str">
        <f>_xlfn.XLOOKUP($A:$A,Instagram_Usage_Lifestyle_Mini_!$A:$A,Instagram_Usage_Lifestyle_Mini_!$C:$K)</f>
        <v>Full_time_employed</v>
      </c>
      <c r="I264" t="str">
        <f>_xlfn.XLOOKUP($A:$A,Instagram_Usage_Lifestyle_Mini_!$A:$A,Instagram_Usage_Lifestyle_Mini_!$C:$K)</f>
        <v>Bachelors_degree</v>
      </c>
      <c r="J264" t="str">
        <f>_xlfn.XLOOKUP($A:$A,Instagram_Usage_Lifestyle_Mini_!$A:$A,Instagram_Usage_Lifestyle_Mini_!$C:$K)</f>
        <v>Single</v>
      </c>
      <c r="K264" t="str">
        <f>_xlfn.XLOOKUP($A:$A,Instagram_Usage_Lifestyle_Mini_!$A:$A,Instagram_Usage_Lifestyle_Mini_!$C:$K)</f>
        <v>No</v>
      </c>
      <c r="L264" t="str" cm="1">
        <f t="array" ref="L264">_xlfn.IFS(C264&lt;18,"Under_18",C264&lt;=25,"Youth",C264&lt;=35,"Young_Adults",C264&lt;=45,"Mid_Adults",TRUE,"Seniors")</f>
        <v>Mid_Adults</v>
      </c>
    </row>
    <row r="265" spans="1:12" x14ac:dyDescent="0.2">
      <c r="A265">
        <v>264</v>
      </c>
      <c r="B265" t="str">
        <f>_xlfn.XLOOKUP(A265,Instagram_Usage_Lifestyle_Mini_!A265,Instagram_Usage_Lifestyle_Mini_!B265,1)</f>
        <v>Instagram</v>
      </c>
      <c r="C265">
        <f>_xlfn.XLOOKUP($A:$A,Instagram_Usage_Lifestyle_Mini_!$A:$A,Instagram_Usage_Lifestyle_Mini_!$C:$K)</f>
        <v>21</v>
      </c>
      <c r="D265" t="str">
        <f>_xlfn.XLOOKUP($A:$A,Instagram_Usage_Lifestyle_Mini_!$A:$A,Instagram_Usage_Lifestyle_Mini_!$C:$K)</f>
        <v>Female</v>
      </c>
      <c r="E265" t="str">
        <f>_xlfn.XLOOKUP($A:$A,Instagram_Usage_Lifestyle_Mini_!$A:$A,Instagram_Usage_Lifestyle_Mini_!$C:$K)</f>
        <v>United_States</v>
      </c>
      <c r="F265" t="str">
        <f>_xlfn.XLOOKUP($A:$A,Instagram_Usage_Lifestyle_Mini_!$A:$A,Instagram_Usage_Lifestyle_Mini_!$C:$K)</f>
        <v>Urban</v>
      </c>
      <c r="G265" t="str">
        <f>_xlfn.XLOOKUP($A:$A,Instagram_Usage_Lifestyle_Mini_!$A:$A,Instagram_Usage_Lifestyle_Mini_!$C:$K)</f>
        <v>Middle</v>
      </c>
      <c r="H265" t="str">
        <f>_xlfn.XLOOKUP($A:$A,Instagram_Usage_Lifestyle_Mini_!$A:$A,Instagram_Usage_Lifestyle_Mini_!$C:$K)</f>
        <v>Retired</v>
      </c>
      <c r="I265" t="str">
        <f>_xlfn.XLOOKUP($A:$A,Instagram_Usage_Lifestyle_Mini_!$A:$A,Instagram_Usage_Lifestyle_Mini_!$C:$K)</f>
        <v>High_school</v>
      </c>
      <c r="J265" t="str">
        <f>_xlfn.XLOOKUP($A:$A,Instagram_Usage_Lifestyle_Mini_!$A:$A,Instagram_Usage_Lifestyle_Mini_!$C:$K)</f>
        <v>Single</v>
      </c>
      <c r="K265" t="str">
        <f>_xlfn.XLOOKUP($A:$A,Instagram_Usage_Lifestyle_Mini_!$A:$A,Instagram_Usage_Lifestyle_Mini_!$C:$K)</f>
        <v>No</v>
      </c>
      <c r="L265" t="str" cm="1">
        <f t="array" ref="L265">_xlfn.IFS(C265&lt;18,"Under_18",C265&lt;=25,"Youth",C265&lt;=35,"Young_Adults",C265&lt;=45,"Mid_Adults",TRUE,"Seniors")</f>
        <v>Youth</v>
      </c>
    </row>
    <row r="266" spans="1:12" x14ac:dyDescent="0.2">
      <c r="A266">
        <v>265</v>
      </c>
      <c r="B266" t="str">
        <f>_xlfn.XLOOKUP(A266,Instagram_Usage_Lifestyle_Mini_!A266,Instagram_Usage_Lifestyle_Mini_!B266,1)</f>
        <v>Instagram</v>
      </c>
      <c r="C266">
        <f>_xlfn.XLOOKUP($A:$A,Instagram_Usage_Lifestyle_Mini_!$A:$A,Instagram_Usage_Lifestyle_Mini_!$C:$K)</f>
        <v>18</v>
      </c>
      <c r="D266" t="str">
        <f>_xlfn.XLOOKUP($A:$A,Instagram_Usage_Lifestyle_Mini_!$A:$A,Instagram_Usage_Lifestyle_Mini_!$C:$K)</f>
        <v>Female</v>
      </c>
      <c r="E266" t="str">
        <f>_xlfn.XLOOKUP($A:$A,Instagram_Usage_Lifestyle_Mini_!$A:$A,Instagram_Usage_Lifestyle_Mini_!$C:$K)</f>
        <v>India</v>
      </c>
      <c r="F266" t="str">
        <f>_xlfn.XLOOKUP($A:$A,Instagram_Usage_Lifestyle_Mini_!$A:$A,Instagram_Usage_Lifestyle_Mini_!$C:$K)</f>
        <v>Suburban</v>
      </c>
      <c r="G266" t="str">
        <f>_xlfn.XLOOKUP($A:$A,Instagram_Usage_Lifestyle_Mini_!$A:$A,Instagram_Usage_Lifestyle_Mini_!$C:$K)</f>
        <v>Middle</v>
      </c>
      <c r="H266" t="str">
        <f>_xlfn.XLOOKUP($A:$A,Instagram_Usage_Lifestyle_Mini_!$A:$A,Instagram_Usage_Lifestyle_Mini_!$C:$K)</f>
        <v>Student</v>
      </c>
      <c r="I266" t="str">
        <f>_xlfn.XLOOKUP($A:$A,Instagram_Usage_Lifestyle_Mini_!$A:$A,Instagram_Usage_Lifestyle_Mini_!$C:$K)</f>
        <v>Some_college</v>
      </c>
      <c r="J266" t="str">
        <f>_xlfn.XLOOKUP($A:$A,Instagram_Usage_Lifestyle_Mini_!$A:$A,Instagram_Usage_Lifestyle_Mini_!$C:$K)</f>
        <v>In_a_relationship</v>
      </c>
      <c r="K266" t="str">
        <f>_xlfn.XLOOKUP($A:$A,Instagram_Usage_Lifestyle_Mini_!$A:$A,Instagram_Usage_Lifestyle_Mini_!$C:$K)</f>
        <v>No</v>
      </c>
      <c r="L266" t="str" cm="1">
        <f t="array" ref="L266">_xlfn.IFS(C266&lt;18,"Under_18",C266&lt;=25,"Youth",C266&lt;=35,"Young_Adults",C266&lt;=45,"Mid_Adults",TRUE,"Seniors")</f>
        <v>Youth</v>
      </c>
    </row>
    <row r="267" spans="1:12" x14ac:dyDescent="0.2">
      <c r="A267">
        <v>266</v>
      </c>
      <c r="B267" t="str">
        <f>_xlfn.XLOOKUP(A267,Instagram_Usage_Lifestyle_Mini_!A267,Instagram_Usage_Lifestyle_Mini_!B267,1)</f>
        <v>Instagram</v>
      </c>
      <c r="C267">
        <f>_xlfn.XLOOKUP($A:$A,Instagram_Usage_Lifestyle_Mini_!$A:$A,Instagram_Usage_Lifestyle_Mini_!$C:$K)</f>
        <v>28</v>
      </c>
      <c r="D267" t="str">
        <f>_xlfn.XLOOKUP($A:$A,Instagram_Usage_Lifestyle_Mini_!$A:$A,Instagram_Usage_Lifestyle_Mini_!$C:$K)</f>
        <v>Male</v>
      </c>
      <c r="E267" t="str">
        <f>_xlfn.XLOOKUP($A:$A,Instagram_Usage_Lifestyle_Mini_!$A:$A,Instagram_Usage_Lifestyle_Mini_!$C:$K)</f>
        <v>Brazil</v>
      </c>
      <c r="F267" t="str">
        <f>_xlfn.XLOOKUP($A:$A,Instagram_Usage_Lifestyle_Mini_!$A:$A,Instagram_Usage_Lifestyle_Mini_!$C:$K)</f>
        <v>Urban</v>
      </c>
      <c r="G267" t="str">
        <f>_xlfn.XLOOKUP($A:$A,Instagram_Usage_Lifestyle_Mini_!$A:$A,Instagram_Usage_Lifestyle_Mini_!$C:$K)</f>
        <v>Lower_middle</v>
      </c>
      <c r="H267" t="str">
        <f>_xlfn.XLOOKUP($A:$A,Instagram_Usage_Lifestyle_Mini_!$A:$A,Instagram_Usage_Lifestyle_Mini_!$C:$K)</f>
        <v>Student</v>
      </c>
      <c r="I267" t="str">
        <f>_xlfn.XLOOKUP($A:$A,Instagram_Usage_Lifestyle_Mini_!$A:$A,Instagram_Usage_Lifestyle_Mini_!$C:$K)</f>
        <v>Bachelors_degree</v>
      </c>
      <c r="J267" t="str">
        <f>_xlfn.XLOOKUP($A:$A,Instagram_Usage_Lifestyle_Mini_!$A:$A,Instagram_Usage_Lifestyle_Mini_!$C:$K)</f>
        <v>Single</v>
      </c>
      <c r="K267" t="str">
        <f>_xlfn.XLOOKUP($A:$A,Instagram_Usage_Lifestyle_Mini_!$A:$A,Instagram_Usage_Lifestyle_Mini_!$C:$K)</f>
        <v>No</v>
      </c>
      <c r="L267" t="str" cm="1">
        <f t="array" ref="L267">_xlfn.IFS(C267&lt;18,"Under_18",C267&lt;=25,"Youth",C267&lt;=35,"Young_Adults",C267&lt;=45,"Mid_Adults",TRUE,"Seniors")</f>
        <v>Young_Adults</v>
      </c>
    </row>
    <row r="268" spans="1:12" x14ac:dyDescent="0.2">
      <c r="A268">
        <v>267</v>
      </c>
      <c r="B268" t="str">
        <f>_xlfn.XLOOKUP(A268,Instagram_Usage_Lifestyle_Mini_!A268,Instagram_Usage_Lifestyle_Mini_!B268,1)</f>
        <v>Instagram</v>
      </c>
      <c r="C268">
        <f>_xlfn.XLOOKUP($A:$A,Instagram_Usage_Lifestyle_Mini_!$A:$A,Instagram_Usage_Lifestyle_Mini_!$C:$K)</f>
        <v>41</v>
      </c>
      <c r="D268" t="str">
        <f>_xlfn.XLOOKUP($A:$A,Instagram_Usage_Lifestyle_Mini_!$A:$A,Instagram_Usage_Lifestyle_Mini_!$C:$K)</f>
        <v>Male</v>
      </c>
      <c r="E268" t="str">
        <f>_xlfn.XLOOKUP($A:$A,Instagram_Usage_Lifestyle_Mini_!$A:$A,Instagram_Usage_Lifestyle_Mini_!$C:$K)</f>
        <v>United_States</v>
      </c>
      <c r="F268" t="str">
        <f>_xlfn.XLOOKUP($A:$A,Instagram_Usage_Lifestyle_Mini_!$A:$A,Instagram_Usage_Lifestyle_Mini_!$C:$K)</f>
        <v>Rural</v>
      </c>
      <c r="G268" t="str">
        <f>_xlfn.XLOOKUP($A:$A,Instagram_Usage_Lifestyle_Mini_!$A:$A,Instagram_Usage_Lifestyle_Mini_!$C:$K)</f>
        <v>Upper_middle</v>
      </c>
      <c r="H268" t="str">
        <f>_xlfn.XLOOKUP($A:$A,Instagram_Usage_Lifestyle_Mini_!$A:$A,Instagram_Usage_Lifestyle_Mini_!$C:$K)</f>
        <v>Part_time</v>
      </c>
      <c r="I268" t="str">
        <f>_xlfn.XLOOKUP($A:$A,Instagram_Usage_Lifestyle_Mini_!$A:$A,Instagram_Usage_Lifestyle_Mini_!$C:$K)</f>
        <v>Masters_degree</v>
      </c>
      <c r="J268" t="str">
        <f>_xlfn.XLOOKUP($A:$A,Instagram_Usage_Lifestyle_Mini_!$A:$A,Instagram_Usage_Lifestyle_Mini_!$C:$K)</f>
        <v>Married</v>
      </c>
      <c r="K268" t="str">
        <f>_xlfn.XLOOKUP($A:$A,Instagram_Usage_Lifestyle_Mini_!$A:$A,Instagram_Usage_Lifestyle_Mini_!$C:$K)</f>
        <v>No</v>
      </c>
      <c r="L268" t="str" cm="1">
        <f t="array" ref="L268">_xlfn.IFS(C268&lt;18,"Under_18",C268&lt;=25,"Youth",C268&lt;=35,"Young_Adults",C268&lt;=45,"Mid_Adults",TRUE,"Seniors")</f>
        <v>Mid_Adults</v>
      </c>
    </row>
    <row r="269" spans="1:12" x14ac:dyDescent="0.2">
      <c r="A269">
        <v>268</v>
      </c>
      <c r="B269" t="str">
        <f>_xlfn.XLOOKUP(A269,Instagram_Usage_Lifestyle_Mini_!A269,Instagram_Usage_Lifestyle_Mini_!B269,1)</f>
        <v>Instagram</v>
      </c>
      <c r="C269">
        <f>_xlfn.XLOOKUP($A:$A,Instagram_Usage_Lifestyle_Mini_!$A:$A,Instagram_Usage_Lifestyle_Mini_!$C:$K)</f>
        <v>15</v>
      </c>
      <c r="D269" t="str">
        <f>_xlfn.XLOOKUP($A:$A,Instagram_Usage_Lifestyle_Mini_!$A:$A,Instagram_Usage_Lifestyle_Mini_!$C:$K)</f>
        <v>Female</v>
      </c>
      <c r="E269" t="str">
        <f>_xlfn.XLOOKUP($A:$A,Instagram_Usage_Lifestyle_Mini_!$A:$A,Instagram_Usage_Lifestyle_Mini_!$C:$K)</f>
        <v>India</v>
      </c>
      <c r="F269" t="str">
        <f>_xlfn.XLOOKUP($A:$A,Instagram_Usage_Lifestyle_Mini_!$A:$A,Instagram_Usage_Lifestyle_Mini_!$C:$K)</f>
        <v>Urban</v>
      </c>
      <c r="G269" t="str">
        <f>_xlfn.XLOOKUP($A:$A,Instagram_Usage_Lifestyle_Mini_!$A:$A,Instagram_Usage_Lifestyle_Mini_!$C:$K)</f>
        <v>Upper_middle</v>
      </c>
      <c r="H269" t="str">
        <f>_xlfn.XLOOKUP($A:$A,Instagram_Usage_Lifestyle_Mini_!$A:$A,Instagram_Usage_Lifestyle_Mini_!$C:$K)</f>
        <v>Unemployed</v>
      </c>
      <c r="I269" t="str">
        <f>_xlfn.XLOOKUP($A:$A,Instagram_Usage_Lifestyle_Mini_!$A:$A,Instagram_Usage_Lifestyle_Mini_!$C:$K)</f>
        <v>Some_college</v>
      </c>
      <c r="J269" t="str">
        <f>_xlfn.XLOOKUP($A:$A,Instagram_Usage_Lifestyle_Mini_!$A:$A,Instagram_Usage_Lifestyle_Mini_!$C:$K)</f>
        <v>Single</v>
      </c>
      <c r="K269" t="str">
        <f>_xlfn.XLOOKUP($A:$A,Instagram_Usage_Lifestyle_Mini_!$A:$A,Instagram_Usage_Lifestyle_Mini_!$C:$K)</f>
        <v>No</v>
      </c>
      <c r="L269" t="str" cm="1">
        <f t="array" ref="L269">_xlfn.IFS(C269&lt;18,"Under_18",C269&lt;=25,"Youth",C269&lt;=35,"Young_Adults",C269&lt;=45,"Mid_Adults",TRUE,"Seniors")</f>
        <v>Under_18</v>
      </c>
    </row>
    <row r="270" spans="1:12" x14ac:dyDescent="0.2">
      <c r="A270">
        <v>269</v>
      </c>
      <c r="B270" t="str">
        <f>_xlfn.XLOOKUP(A270,Instagram_Usage_Lifestyle_Mini_!A270,Instagram_Usage_Lifestyle_Mini_!B270,1)</f>
        <v>Instagram</v>
      </c>
      <c r="C270">
        <f>_xlfn.XLOOKUP($A:$A,Instagram_Usage_Lifestyle_Mini_!$A:$A,Instagram_Usage_Lifestyle_Mini_!$C:$K)</f>
        <v>32</v>
      </c>
      <c r="D270" t="str">
        <f>_xlfn.XLOOKUP($A:$A,Instagram_Usage_Lifestyle_Mini_!$A:$A,Instagram_Usage_Lifestyle_Mini_!$C:$K)</f>
        <v>Male</v>
      </c>
      <c r="E270" t="str">
        <f>_xlfn.XLOOKUP($A:$A,Instagram_Usage_Lifestyle_Mini_!$A:$A,Instagram_Usage_Lifestyle_Mini_!$C:$K)</f>
        <v>United_States</v>
      </c>
      <c r="F270" t="str">
        <f>_xlfn.XLOOKUP($A:$A,Instagram_Usage_Lifestyle_Mini_!$A:$A,Instagram_Usage_Lifestyle_Mini_!$C:$K)</f>
        <v>Suburban</v>
      </c>
      <c r="G270" t="str">
        <f>_xlfn.XLOOKUP($A:$A,Instagram_Usage_Lifestyle_Mini_!$A:$A,Instagram_Usage_Lifestyle_Mini_!$C:$K)</f>
        <v>Lower_middle</v>
      </c>
      <c r="H270" t="str">
        <f>_xlfn.XLOOKUP($A:$A,Instagram_Usage_Lifestyle_Mini_!$A:$A,Instagram_Usage_Lifestyle_Mini_!$C:$K)</f>
        <v>Freelancer</v>
      </c>
      <c r="I270" t="str">
        <f>_xlfn.XLOOKUP($A:$A,Instagram_Usage_Lifestyle_Mini_!$A:$A,Instagram_Usage_Lifestyle_Mini_!$C:$K)</f>
        <v>Bachelors_degree</v>
      </c>
      <c r="J270" t="str">
        <f>_xlfn.XLOOKUP($A:$A,Instagram_Usage_Lifestyle_Mini_!$A:$A,Instagram_Usage_Lifestyle_Mini_!$C:$K)</f>
        <v>Single</v>
      </c>
      <c r="K270" t="str">
        <f>_xlfn.XLOOKUP($A:$A,Instagram_Usage_Lifestyle_Mini_!$A:$A,Instagram_Usage_Lifestyle_Mini_!$C:$K)</f>
        <v>Yes</v>
      </c>
      <c r="L270" t="str" cm="1">
        <f t="array" ref="L270">_xlfn.IFS(C270&lt;18,"Under_18",C270&lt;=25,"Youth",C270&lt;=35,"Young_Adults",C270&lt;=45,"Mid_Adults",TRUE,"Seniors")</f>
        <v>Young_Adults</v>
      </c>
    </row>
    <row r="271" spans="1:12" x14ac:dyDescent="0.2">
      <c r="A271">
        <v>270</v>
      </c>
      <c r="B271" t="str">
        <f>_xlfn.XLOOKUP(A271,Instagram_Usage_Lifestyle_Mini_!A271,Instagram_Usage_Lifestyle_Mini_!B271,1)</f>
        <v>Instagram</v>
      </c>
      <c r="C271">
        <f>_xlfn.XLOOKUP($A:$A,Instagram_Usage_Lifestyle_Mini_!$A:$A,Instagram_Usage_Lifestyle_Mini_!$C:$K)</f>
        <v>48</v>
      </c>
      <c r="D271" t="str">
        <f>_xlfn.XLOOKUP($A:$A,Instagram_Usage_Lifestyle_Mini_!$A:$A,Instagram_Usage_Lifestyle_Mini_!$C:$K)</f>
        <v>Male</v>
      </c>
      <c r="E271" t="str">
        <f>_xlfn.XLOOKUP($A:$A,Instagram_Usage_Lifestyle_Mini_!$A:$A,Instagram_Usage_Lifestyle_Mini_!$C:$K)</f>
        <v>Germany</v>
      </c>
      <c r="F271" t="str">
        <f>_xlfn.XLOOKUP($A:$A,Instagram_Usage_Lifestyle_Mini_!$A:$A,Instagram_Usage_Lifestyle_Mini_!$C:$K)</f>
        <v>Rural</v>
      </c>
      <c r="G271" t="str">
        <f>_xlfn.XLOOKUP($A:$A,Instagram_Usage_Lifestyle_Mini_!$A:$A,Instagram_Usage_Lifestyle_Mini_!$C:$K)</f>
        <v>Low</v>
      </c>
      <c r="H271" t="str">
        <f>_xlfn.XLOOKUP($A:$A,Instagram_Usage_Lifestyle_Mini_!$A:$A,Instagram_Usage_Lifestyle_Mini_!$C:$K)</f>
        <v>Full_time_employed</v>
      </c>
      <c r="I271" t="str">
        <f>_xlfn.XLOOKUP($A:$A,Instagram_Usage_Lifestyle_Mini_!$A:$A,Instagram_Usage_Lifestyle_Mini_!$C:$K)</f>
        <v>Other</v>
      </c>
      <c r="J271" t="str">
        <f>_xlfn.XLOOKUP($A:$A,Instagram_Usage_Lifestyle_Mini_!$A:$A,Instagram_Usage_Lifestyle_Mini_!$C:$K)</f>
        <v>Married</v>
      </c>
      <c r="K271" t="str">
        <f>_xlfn.XLOOKUP($A:$A,Instagram_Usage_Lifestyle_Mini_!$A:$A,Instagram_Usage_Lifestyle_Mini_!$C:$K)</f>
        <v>No</v>
      </c>
      <c r="L271" t="str" cm="1">
        <f t="array" ref="L271">_xlfn.IFS(C271&lt;18,"Under_18",C271&lt;=25,"Youth",C271&lt;=35,"Young_Adults",C271&lt;=45,"Mid_Adults",TRUE,"Seniors")</f>
        <v>Seniors</v>
      </c>
    </row>
    <row r="272" spans="1:12" x14ac:dyDescent="0.2">
      <c r="A272">
        <v>271</v>
      </c>
      <c r="B272" t="str">
        <f>_xlfn.XLOOKUP(A272,Instagram_Usage_Lifestyle_Mini_!A272,Instagram_Usage_Lifestyle_Mini_!B272,1)</f>
        <v>Instagram</v>
      </c>
      <c r="C272">
        <f>_xlfn.XLOOKUP($A:$A,Instagram_Usage_Lifestyle_Mini_!$A:$A,Instagram_Usage_Lifestyle_Mini_!$C:$K)</f>
        <v>31</v>
      </c>
      <c r="D272" t="str">
        <f>_xlfn.XLOOKUP($A:$A,Instagram_Usage_Lifestyle_Mini_!$A:$A,Instagram_Usage_Lifestyle_Mini_!$C:$K)</f>
        <v>Male</v>
      </c>
      <c r="E272" t="str">
        <f>_xlfn.XLOOKUP($A:$A,Instagram_Usage_Lifestyle_Mini_!$A:$A,Instagram_Usage_Lifestyle_Mini_!$C:$K)</f>
        <v>United _Kingdom</v>
      </c>
      <c r="F272" t="str">
        <f>_xlfn.XLOOKUP($A:$A,Instagram_Usage_Lifestyle_Mini_!$A:$A,Instagram_Usage_Lifestyle_Mini_!$C:$K)</f>
        <v>Urban</v>
      </c>
      <c r="G272" t="str">
        <f>_xlfn.XLOOKUP($A:$A,Instagram_Usage_Lifestyle_Mini_!$A:$A,Instagram_Usage_Lifestyle_Mini_!$C:$K)</f>
        <v>Lower_middle</v>
      </c>
      <c r="H272" t="str">
        <f>_xlfn.XLOOKUP($A:$A,Instagram_Usage_Lifestyle_Mini_!$A:$A,Instagram_Usage_Lifestyle_Mini_!$C:$K)</f>
        <v>Student</v>
      </c>
      <c r="I272" t="str">
        <f>_xlfn.XLOOKUP($A:$A,Instagram_Usage_Lifestyle_Mini_!$A:$A,Instagram_Usage_Lifestyle_Mini_!$C:$K)</f>
        <v>Some_college</v>
      </c>
      <c r="J272" t="str">
        <f>_xlfn.XLOOKUP($A:$A,Instagram_Usage_Lifestyle_Mini_!$A:$A,Instagram_Usage_Lifestyle_Mini_!$C:$K)</f>
        <v>Married</v>
      </c>
      <c r="K272" t="str">
        <f>_xlfn.XLOOKUP($A:$A,Instagram_Usage_Lifestyle_Mini_!$A:$A,Instagram_Usage_Lifestyle_Mini_!$C:$K)</f>
        <v>No</v>
      </c>
      <c r="L272" t="str" cm="1">
        <f t="array" ref="L272">_xlfn.IFS(C272&lt;18,"Under_18",C272&lt;=25,"Youth",C272&lt;=35,"Young_Adults",C272&lt;=45,"Mid_Adults",TRUE,"Seniors")</f>
        <v>Young_Adults</v>
      </c>
    </row>
    <row r="273" spans="1:12" x14ac:dyDescent="0.2">
      <c r="A273">
        <v>272</v>
      </c>
      <c r="B273" t="str">
        <f>_xlfn.XLOOKUP(A273,Instagram_Usage_Lifestyle_Mini_!A273,Instagram_Usage_Lifestyle_Mini_!B273,1)</f>
        <v>Instagram</v>
      </c>
      <c r="C273">
        <f>_xlfn.XLOOKUP($A:$A,Instagram_Usage_Lifestyle_Mini_!$A:$A,Instagram_Usage_Lifestyle_Mini_!$C:$K)</f>
        <v>38</v>
      </c>
      <c r="D273" t="str">
        <f>_xlfn.XLOOKUP($A:$A,Instagram_Usage_Lifestyle_Mini_!$A:$A,Instagram_Usage_Lifestyle_Mini_!$C:$K)</f>
        <v>Male</v>
      </c>
      <c r="E273" t="str">
        <f>_xlfn.XLOOKUP($A:$A,Instagram_Usage_Lifestyle_Mini_!$A:$A,Instagram_Usage_Lifestyle_Mini_!$C:$K)</f>
        <v>India</v>
      </c>
      <c r="F273" t="str">
        <f>_xlfn.XLOOKUP($A:$A,Instagram_Usage_Lifestyle_Mini_!$A:$A,Instagram_Usage_Lifestyle_Mini_!$C:$K)</f>
        <v>Urban</v>
      </c>
      <c r="G273" t="str">
        <f>_xlfn.XLOOKUP($A:$A,Instagram_Usage_Lifestyle_Mini_!$A:$A,Instagram_Usage_Lifestyle_Mini_!$C:$K)</f>
        <v>Middle</v>
      </c>
      <c r="H273" t="str">
        <f>_xlfn.XLOOKUP($A:$A,Instagram_Usage_Lifestyle_Mini_!$A:$A,Instagram_Usage_Lifestyle_Mini_!$C:$K)</f>
        <v>Part_time</v>
      </c>
      <c r="I273" t="str">
        <f>_xlfn.XLOOKUP($A:$A,Instagram_Usage_Lifestyle_Mini_!$A:$A,Instagram_Usage_Lifestyle_Mini_!$C:$K)</f>
        <v>High_school</v>
      </c>
      <c r="J273" t="str">
        <f>_xlfn.XLOOKUP($A:$A,Instagram_Usage_Lifestyle_Mini_!$A:$A,Instagram_Usage_Lifestyle_Mini_!$C:$K)</f>
        <v>Married</v>
      </c>
      <c r="K273" t="str">
        <f>_xlfn.XLOOKUP($A:$A,Instagram_Usage_Lifestyle_Mini_!$A:$A,Instagram_Usage_Lifestyle_Mini_!$C:$K)</f>
        <v>No</v>
      </c>
      <c r="L273" t="str" cm="1">
        <f t="array" ref="L273">_xlfn.IFS(C273&lt;18,"Under_18",C273&lt;=25,"Youth",C273&lt;=35,"Young_Adults",C273&lt;=45,"Mid_Adults",TRUE,"Seniors")</f>
        <v>Mid_Adults</v>
      </c>
    </row>
    <row r="274" spans="1:12" x14ac:dyDescent="0.2">
      <c r="A274">
        <v>273</v>
      </c>
      <c r="B274" t="str">
        <f>_xlfn.XLOOKUP(A274,Instagram_Usage_Lifestyle_Mini_!A274,Instagram_Usage_Lifestyle_Mini_!B274,1)</f>
        <v>Instagram</v>
      </c>
      <c r="C274">
        <f>_xlfn.XLOOKUP($A:$A,Instagram_Usage_Lifestyle_Mini_!$A:$A,Instagram_Usage_Lifestyle_Mini_!$C:$K)</f>
        <v>15</v>
      </c>
      <c r="D274" t="str">
        <f>_xlfn.XLOOKUP($A:$A,Instagram_Usage_Lifestyle_Mini_!$A:$A,Instagram_Usage_Lifestyle_Mini_!$C:$K)</f>
        <v>Female</v>
      </c>
      <c r="E274" t="str">
        <f>_xlfn.XLOOKUP($A:$A,Instagram_Usage_Lifestyle_Mini_!$A:$A,Instagram_Usage_Lifestyle_Mini_!$C:$K)</f>
        <v>Canada</v>
      </c>
      <c r="F274" t="str">
        <f>_xlfn.XLOOKUP($A:$A,Instagram_Usage_Lifestyle_Mini_!$A:$A,Instagram_Usage_Lifestyle_Mini_!$C:$K)</f>
        <v>Urban</v>
      </c>
      <c r="G274" t="str">
        <f>_xlfn.XLOOKUP($A:$A,Instagram_Usage_Lifestyle_Mini_!$A:$A,Instagram_Usage_Lifestyle_Mini_!$C:$K)</f>
        <v>Middle</v>
      </c>
      <c r="H274" t="str">
        <f>_xlfn.XLOOKUP($A:$A,Instagram_Usage_Lifestyle_Mini_!$A:$A,Instagram_Usage_Lifestyle_Mini_!$C:$K)</f>
        <v>Student</v>
      </c>
      <c r="I274" t="str">
        <f>_xlfn.XLOOKUP($A:$A,Instagram_Usage_Lifestyle_Mini_!$A:$A,Instagram_Usage_Lifestyle_Mini_!$C:$K)</f>
        <v>High_school</v>
      </c>
      <c r="J274" t="str">
        <f>_xlfn.XLOOKUP($A:$A,Instagram_Usage_Lifestyle_Mini_!$A:$A,Instagram_Usage_Lifestyle_Mini_!$C:$K)</f>
        <v>Single</v>
      </c>
      <c r="K274" t="str">
        <f>_xlfn.XLOOKUP($A:$A,Instagram_Usage_Lifestyle_Mini_!$A:$A,Instagram_Usage_Lifestyle_Mini_!$C:$K)</f>
        <v>Yes</v>
      </c>
      <c r="L274" t="str" cm="1">
        <f t="array" ref="L274">_xlfn.IFS(C274&lt;18,"Under_18",C274&lt;=25,"Youth",C274&lt;=35,"Young_Adults",C274&lt;=45,"Mid_Adults",TRUE,"Seniors")</f>
        <v>Under_18</v>
      </c>
    </row>
    <row r="275" spans="1:12" x14ac:dyDescent="0.2">
      <c r="A275">
        <v>274</v>
      </c>
      <c r="B275" t="str">
        <f>_xlfn.XLOOKUP(A275,Instagram_Usage_Lifestyle_Mini_!A275,Instagram_Usage_Lifestyle_Mini_!B275,1)</f>
        <v>Instagram</v>
      </c>
      <c r="C275">
        <f>_xlfn.XLOOKUP($A:$A,Instagram_Usage_Lifestyle_Mini_!$A:$A,Instagram_Usage_Lifestyle_Mini_!$C:$K)</f>
        <v>31</v>
      </c>
      <c r="D275" t="str">
        <f>_xlfn.XLOOKUP($A:$A,Instagram_Usage_Lifestyle_Mini_!$A:$A,Instagram_Usage_Lifestyle_Mini_!$C:$K)</f>
        <v>Male</v>
      </c>
      <c r="E275" t="str">
        <f>_xlfn.XLOOKUP($A:$A,Instagram_Usage_Lifestyle_Mini_!$A:$A,Instagram_Usage_Lifestyle_Mini_!$C:$K)</f>
        <v>United_States</v>
      </c>
      <c r="F275" t="str">
        <f>_xlfn.XLOOKUP($A:$A,Instagram_Usage_Lifestyle_Mini_!$A:$A,Instagram_Usage_Lifestyle_Mini_!$C:$K)</f>
        <v>Urban</v>
      </c>
      <c r="G275" t="str">
        <f>_xlfn.XLOOKUP($A:$A,Instagram_Usage_Lifestyle_Mini_!$A:$A,Instagram_Usage_Lifestyle_Mini_!$C:$K)</f>
        <v>Lower_middle</v>
      </c>
      <c r="H275" t="str">
        <f>_xlfn.XLOOKUP($A:$A,Instagram_Usage_Lifestyle_Mini_!$A:$A,Instagram_Usage_Lifestyle_Mini_!$C:$K)</f>
        <v>Student</v>
      </c>
      <c r="I275" t="str">
        <f>_xlfn.XLOOKUP($A:$A,Instagram_Usage_Lifestyle_Mini_!$A:$A,Instagram_Usage_Lifestyle_Mini_!$C:$K)</f>
        <v>Masters_degree</v>
      </c>
      <c r="J275" t="str">
        <f>_xlfn.XLOOKUP($A:$A,Instagram_Usage_Lifestyle_Mini_!$A:$A,Instagram_Usage_Lifestyle_Mini_!$C:$K)</f>
        <v>In_a_relationship</v>
      </c>
      <c r="K275" t="str">
        <f>_xlfn.XLOOKUP($A:$A,Instagram_Usage_Lifestyle_Mini_!$A:$A,Instagram_Usage_Lifestyle_Mini_!$C:$K)</f>
        <v>No</v>
      </c>
      <c r="L275" t="str" cm="1">
        <f t="array" ref="L275">_xlfn.IFS(C275&lt;18,"Under_18",C275&lt;=25,"Youth",C275&lt;=35,"Young_Adults",C275&lt;=45,"Mid_Adults",TRUE,"Seniors")</f>
        <v>Young_Adults</v>
      </c>
    </row>
    <row r="276" spans="1:12" x14ac:dyDescent="0.2">
      <c r="A276">
        <v>275</v>
      </c>
      <c r="B276" t="str">
        <f>_xlfn.XLOOKUP(A276,Instagram_Usage_Lifestyle_Mini_!A276,Instagram_Usage_Lifestyle_Mini_!B276,1)</f>
        <v>Instagram</v>
      </c>
      <c r="C276">
        <f>_xlfn.XLOOKUP($A:$A,Instagram_Usage_Lifestyle_Mini_!$A:$A,Instagram_Usage_Lifestyle_Mini_!$C:$K)</f>
        <v>32</v>
      </c>
      <c r="D276" t="str">
        <f>_xlfn.XLOOKUP($A:$A,Instagram_Usage_Lifestyle_Mini_!$A:$A,Instagram_Usage_Lifestyle_Mini_!$C:$K)</f>
        <v>Female</v>
      </c>
      <c r="E276" t="str">
        <f>_xlfn.XLOOKUP($A:$A,Instagram_Usage_Lifestyle_Mini_!$A:$A,Instagram_Usage_Lifestyle_Mini_!$C:$K)</f>
        <v>South_Korea</v>
      </c>
      <c r="F276" t="str">
        <f>_xlfn.XLOOKUP($A:$A,Instagram_Usage_Lifestyle_Mini_!$A:$A,Instagram_Usage_Lifestyle_Mini_!$C:$K)</f>
        <v>Suburban</v>
      </c>
      <c r="G276" t="str">
        <f>_xlfn.XLOOKUP($A:$A,Instagram_Usage_Lifestyle_Mini_!$A:$A,Instagram_Usage_Lifestyle_Mini_!$C:$K)</f>
        <v>High</v>
      </c>
      <c r="H276" t="str">
        <f>_xlfn.XLOOKUP($A:$A,Instagram_Usage_Lifestyle_Mini_!$A:$A,Instagram_Usage_Lifestyle_Mini_!$C:$K)</f>
        <v>Full_time_employed</v>
      </c>
      <c r="I276" t="str">
        <f>_xlfn.XLOOKUP($A:$A,Instagram_Usage_Lifestyle_Mini_!$A:$A,Instagram_Usage_Lifestyle_Mini_!$C:$K)</f>
        <v>High_school</v>
      </c>
      <c r="J276" t="str">
        <f>_xlfn.XLOOKUP($A:$A,Instagram_Usage_Lifestyle_Mini_!$A:$A,Instagram_Usage_Lifestyle_Mini_!$C:$K)</f>
        <v>Married</v>
      </c>
      <c r="K276" t="str">
        <f>_xlfn.XLOOKUP($A:$A,Instagram_Usage_Lifestyle_Mini_!$A:$A,Instagram_Usage_Lifestyle_Mini_!$C:$K)</f>
        <v>Yes</v>
      </c>
      <c r="L276" t="str" cm="1">
        <f t="array" ref="L276">_xlfn.IFS(C276&lt;18,"Under_18",C276&lt;=25,"Youth",C276&lt;=35,"Young_Adults",C276&lt;=45,"Mid_Adults",TRUE,"Seniors")</f>
        <v>Young_Adults</v>
      </c>
    </row>
    <row r="277" spans="1:12" x14ac:dyDescent="0.2">
      <c r="A277">
        <v>276</v>
      </c>
      <c r="B277" t="str">
        <f>_xlfn.XLOOKUP(A277,Instagram_Usage_Lifestyle_Mini_!A277,Instagram_Usage_Lifestyle_Mini_!B277,1)</f>
        <v>Instagram</v>
      </c>
      <c r="C277">
        <f>_xlfn.XLOOKUP($A:$A,Instagram_Usage_Lifestyle_Mini_!$A:$A,Instagram_Usage_Lifestyle_Mini_!$C:$K)</f>
        <v>44</v>
      </c>
      <c r="D277" t="str">
        <f>_xlfn.XLOOKUP($A:$A,Instagram_Usage_Lifestyle_Mini_!$A:$A,Instagram_Usage_Lifestyle_Mini_!$C:$K)</f>
        <v>Male</v>
      </c>
      <c r="E277" t="str">
        <f>_xlfn.XLOOKUP($A:$A,Instagram_Usage_Lifestyle_Mini_!$A:$A,Instagram_Usage_Lifestyle_Mini_!$C:$K)</f>
        <v>United_States</v>
      </c>
      <c r="F277" t="str">
        <f>_xlfn.XLOOKUP($A:$A,Instagram_Usage_Lifestyle_Mini_!$A:$A,Instagram_Usage_Lifestyle_Mini_!$C:$K)</f>
        <v>Urban</v>
      </c>
      <c r="G277" t="str">
        <f>_xlfn.XLOOKUP($A:$A,Instagram_Usage_Lifestyle_Mini_!$A:$A,Instagram_Usage_Lifestyle_Mini_!$C:$K)</f>
        <v>Upper_middle</v>
      </c>
      <c r="H277" t="str">
        <f>_xlfn.XLOOKUP($A:$A,Instagram_Usage_Lifestyle_Mini_!$A:$A,Instagram_Usage_Lifestyle_Mini_!$C:$K)</f>
        <v>Full_time_employed</v>
      </c>
      <c r="I277" t="str">
        <f>_xlfn.XLOOKUP($A:$A,Instagram_Usage_Lifestyle_Mini_!$A:$A,Instagram_Usage_Lifestyle_Mini_!$C:$K)</f>
        <v>Masters_degree</v>
      </c>
      <c r="J277" t="str">
        <f>_xlfn.XLOOKUP($A:$A,Instagram_Usage_Lifestyle_Mini_!$A:$A,Instagram_Usage_Lifestyle_Mini_!$C:$K)</f>
        <v>In_a_relationship</v>
      </c>
      <c r="K277" t="str">
        <f>_xlfn.XLOOKUP($A:$A,Instagram_Usage_Lifestyle_Mini_!$A:$A,Instagram_Usage_Lifestyle_Mini_!$C:$K)</f>
        <v>No</v>
      </c>
      <c r="L277" t="str" cm="1">
        <f t="array" ref="L277">_xlfn.IFS(C277&lt;18,"Under_18",C277&lt;=25,"Youth",C277&lt;=35,"Young_Adults",C277&lt;=45,"Mid_Adults",TRUE,"Seniors")</f>
        <v>Mid_Adults</v>
      </c>
    </row>
    <row r="278" spans="1:12" x14ac:dyDescent="0.2">
      <c r="A278">
        <v>277</v>
      </c>
      <c r="B278" t="str">
        <f>_xlfn.XLOOKUP(A278,Instagram_Usage_Lifestyle_Mini_!A278,Instagram_Usage_Lifestyle_Mini_!B278,1)</f>
        <v>Instagram</v>
      </c>
      <c r="C278">
        <f>_xlfn.XLOOKUP($A:$A,Instagram_Usage_Lifestyle_Mini_!$A:$A,Instagram_Usage_Lifestyle_Mini_!$C:$K)</f>
        <v>19</v>
      </c>
      <c r="D278" t="str">
        <f>_xlfn.XLOOKUP($A:$A,Instagram_Usage_Lifestyle_Mini_!$A:$A,Instagram_Usage_Lifestyle_Mini_!$C:$K)</f>
        <v>Male</v>
      </c>
      <c r="E278" t="str">
        <f>_xlfn.XLOOKUP($A:$A,Instagram_Usage_Lifestyle_Mini_!$A:$A,Instagram_Usage_Lifestyle_Mini_!$C:$K)</f>
        <v>United_States</v>
      </c>
      <c r="F278" t="str">
        <f>_xlfn.XLOOKUP($A:$A,Instagram_Usage_Lifestyle_Mini_!$A:$A,Instagram_Usage_Lifestyle_Mini_!$C:$K)</f>
        <v>Urban</v>
      </c>
      <c r="G278" t="str">
        <f>_xlfn.XLOOKUP($A:$A,Instagram_Usage_Lifestyle_Mini_!$A:$A,Instagram_Usage_Lifestyle_Mini_!$C:$K)</f>
        <v>Low</v>
      </c>
      <c r="H278" t="str">
        <f>_xlfn.XLOOKUP($A:$A,Instagram_Usage_Lifestyle_Mini_!$A:$A,Instagram_Usage_Lifestyle_Mini_!$C:$K)</f>
        <v>Student</v>
      </c>
      <c r="I278" t="str">
        <f>_xlfn.XLOOKUP($A:$A,Instagram_Usage_Lifestyle_Mini_!$A:$A,Instagram_Usage_Lifestyle_Mini_!$C:$K)</f>
        <v>Bachelors_degree</v>
      </c>
      <c r="J278" t="str">
        <f>_xlfn.XLOOKUP($A:$A,Instagram_Usage_Lifestyle_Mini_!$A:$A,Instagram_Usage_Lifestyle_Mini_!$C:$K)</f>
        <v>In_a_relationship</v>
      </c>
      <c r="K278" t="str">
        <f>_xlfn.XLOOKUP($A:$A,Instagram_Usage_Lifestyle_Mini_!$A:$A,Instagram_Usage_Lifestyle_Mini_!$C:$K)</f>
        <v>No</v>
      </c>
      <c r="L278" t="str" cm="1">
        <f t="array" ref="L278">_xlfn.IFS(C278&lt;18,"Under_18",C278&lt;=25,"Youth",C278&lt;=35,"Young_Adults",C278&lt;=45,"Mid_Adults",TRUE,"Seniors")</f>
        <v>Youth</v>
      </c>
    </row>
    <row r="279" spans="1:12" x14ac:dyDescent="0.2">
      <c r="A279">
        <v>278</v>
      </c>
      <c r="B279" t="str">
        <f>_xlfn.XLOOKUP(A279,Instagram_Usage_Lifestyle_Mini_!A279,Instagram_Usage_Lifestyle_Mini_!B279,1)</f>
        <v>Instagram</v>
      </c>
      <c r="C279">
        <f>_xlfn.XLOOKUP($A:$A,Instagram_Usage_Lifestyle_Mini_!$A:$A,Instagram_Usage_Lifestyle_Mini_!$C:$K)</f>
        <v>64</v>
      </c>
      <c r="D279" t="str">
        <f>_xlfn.XLOOKUP($A:$A,Instagram_Usage_Lifestyle_Mini_!$A:$A,Instagram_Usage_Lifestyle_Mini_!$C:$K)</f>
        <v>Male</v>
      </c>
      <c r="E279" t="str">
        <f>_xlfn.XLOOKUP($A:$A,Instagram_Usage_Lifestyle_Mini_!$A:$A,Instagram_Usage_Lifestyle_Mini_!$C:$K)</f>
        <v>Australia</v>
      </c>
      <c r="F279" t="str">
        <f>_xlfn.XLOOKUP($A:$A,Instagram_Usage_Lifestyle_Mini_!$A:$A,Instagram_Usage_Lifestyle_Mini_!$C:$K)</f>
        <v>Rural</v>
      </c>
      <c r="G279" t="str">
        <f>_xlfn.XLOOKUP($A:$A,Instagram_Usage_Lifestyle_Mini_!$A:$A,Instagram_Usage_Lifestyle_Mini_!$C:$K)</f>
        <v>Middle</v>
      </c>
      <c r="H279" t="str">
        <f>_xlfn.XLOOKUP($A:$A,Instagram_Usage_Lifestyle_Mini_!$A:$A,Instagram_Usage_Lifestyle_Mini_!$C:$K)</f>
        <v>Full_time_employed</v>
      </c>
      <c r="I279" t="str">
        <f>_xlfn.XLOOKUP($A:$A,Instagram_Usage_Lifestyle_Mini_!$A:$A,Instagram_Usage_Lifestyle_Mini_!$C:$K)</f>
        <v>Some_college</v>
      </c>
      <c r="J279" t="str">
        <f>_xlfn.XLOOKUP($A:$A,Instagram_Usage_Lifestyle_Mini_!$A:$A,Instagram_Usage_Lifestyle_Mini_!$C:$K)</f>
        <v>Single</v>
      </c>
      <c r="K279" t="str">
        <f>_xlfn.XLOOKUP($A:$A,Instagram_Usage_Lifestyle_Mini_!$A:$A,Instagram_Usage_Lifestyle_Mini_!$C:$K)</f>
        <v>No</v>
      </c>
      <c r="L279" t="str" cm="1">
        <f t="array" ref="L279">_xlfn.IFS(C279&lt;18,"Under_18",C279&lt;=25,"Youth",C279&lt;=35,"Young_Adults",C279&lt;=45,"Mid_Adults",TRUE,"Seniors")</f>
        <v>Seniors</v>
      </c>
    </row>
    <row r="280" spans="1:12" x14ac:dyDescent="0.2">
      <c r="A280">
        <v>279</v>
      </c>
      <c r="B280" t="str">
        <f>_xlfn.XLOOKUP(A280,Instagram_Usage_Lifestyle_Mini_!A280,Instagram_Usage_Lifestyle_Mini_!B280,1)</f>
        <v>Instagram</v>
      </c>
      <c r="C280">
        <f>_xlfn.XLOOKUP($A:$A,Instagram_Usage_Lifestyle_Mini_!$A:$A,Instagram_Usage_Lifestyle_Mini_!$C:$K)</f>
        <v>53</v>
      </c>
      <c r="D280" t="str">
        <f>_xlfn.XLOOKUP($A:$A,Instagram_Usage_Lifestyle_Mini_!$A:$A,Instagram_Usage_Lifestyle_Mini_!$C:$K)</f>
        <v>Male</v>
      </c>
      <c r="E280" t="str">
        <f>_xlfn.XLOOKUP($A:$A,Instagram_Usage_Lifestyle_Mini_!$A:$A,Instagram_Usage_Lifestyle_Mini_!$C:$K)</f>
        <v>Brazil</v>
      </c>
      <c r="F280" t="str">
        <f>_xlfn.XLOOKUP($A:$A,Instagram_Usage_Lifestyle_Mini_!$A:$A,Instagram_Usage_Lifestyle_Mini_!$C:$K)</f>
        <v>Rural</v>
      </c>
      <c r="G280" t="str">
        <f>_xlfn.XLOOKUP($A:$A,Instagram_Usage_Lifestyle_Mini_!$A:$A,Instagram_Usage_Lifestyle_Mini_!$C:$K)</f>
        <v>Lower_middle</v>
      </c>
      <c r="H280" t="str">
        <f>_xlfn.XLOOKUP($A:$A,Instagram_Usage_Lifestyle_Mini_!$A:$A,Instagram_Usage_Lifestyle_Mini_!$C:$K)</f>
        <v>Freelancer</v>
      </c>
      <c r="I280" t="str">
        <f>_xlfn.XLOOKUP($A:$A,Instagram_Usage_Lifestyle_Mini_!$A:$A,Instagram_Usage_Lifestyle_Mini_!$C:$K)</f>
        <v>Some_college</v>
      </c>
      <c r="J280" t="str">
        <f>_xlfn.XLOOKUP($A:$A,Instagram_Usage_Lifestyle_Mini_!$A:$A,Instagram_Usage_Lifestyle_Mini_!$C:$K)</f>
        <v>Single</v>
      </c>
      <c r="K280" t="str">
        <f>_xlfn.XLOOKUP($A:$A,Instagram_Usage_Lifestyle_Mini_!$A:$A,Instagram_Usage_Lifestyle_Mini_!$C:$K)</f>
        <v>No</v>
      </c>
      <c r="L280" t="str" cm="1">
        <f t="array" ref="L280">_xlfn.IFS(C280&lt;18,"Under_18",C280&lt;=25,"Youth",C280&lt;=35,"Young_Adults",C280&lt;=45,"Mid_Adults",TRUE,"Seniors")</f>
        <v>Seniors</v>
      </c>
    </row>
    <row r="281" spans="1:12" x14ac:dyDescent="0.2">
      <c r="A281">
        <v>280</v>
      </c>
      <c r="B281" t="str">
        <f>_xlfn.XLOOKUP(A281,Instagram_Usage_Lifestyle_Mini_!A281,Instagram_Usage_Lifestyle_Mini_!B281,1)</f>
        <v>Instagram</v>
      </c>
      <c r="C281">
        <f>_xlfn.XLOOKUP($A:$A,Instagram_Usage_Lifestyle_Mini_!$A:$A,Instagram_Usage_Lifestyle_Mini_!$C:$K)</f>
        <v>45</v>
      </c>
      <c r="D281" t="str">
        <f>_xlfn.XLOOKUP($A:$A,Instagram_Usage_Lifestyle_Mini_!$A:$A,Instagram_Usage_Lifestyle_Mini_!$C:$K)</f>
        <v>Female</v>
      </c>
      <c r="E281" t="str">
        <f>_xlfn.XLOOKUP($A:$A,Instagram_Usage_Lifestyle_Mini_!$A:$A,Instagram_Usage_Lifestyle_Mini_!$C:$K)</f>
        <v>India</v>
      </c>
      <c r="F281" t="str">
        <f>_xlfn.XLOOKUP($A:$A,Instagram_Usage_Lifestyle_Mini_!$A:$A,Instagram_Usage_Lifestyle_Mini_!$C:$K)</f>
        <v>Urban</v>
      </c>
      <c r="G281" t="str">
        <f>_xlfn.XLOOKUP($A:$A,Instagram_Usage_Lifestyle_Mini_!$A:$A,Instagram_Usage_Lifestyle_Mini_!$C:$K)</f>
        <v>Middle</v>
      </c>
      <c r="H281" t="str">
        <f>_xlfn.XLOOKUP($A:$A,Instagram_Usage_Lifestyle_Mini_!$A:$A,Instagram_Usage_Lifestyle_Mini_!$C:$K)</f>
        <v>Full_time_employed</v>
      </c>
      <c r="I281" t="str">
        <f>_xlfn.XLOOKUP($A:$A,Instagram_Usage_Lifestyle_Mini_!$A:$A,Instagram_Usage_Lifestyle_Mini_!$C:$K)</f>
        <v>Bachelors_degree</v>
      </c>
      <c r="J281" t="str">
        <f>_xlfn.XLOOKUP($A:$A,Instagram_Usage_Lifestyle_Mini_!$A:$A,Instagram_Usage_Lifestyle_Mini_!$C:$K)</f>
        <v>Single</v>
      </c>
      <c r="K281" t="str">
        <f>_xlfn.XLOOKUP($A:$A,Instagram_Usage_Lifestyle_Mini_!$A:$A,Instagram_Usage_Lifestyle_Mini_!$C:$K)</f>
        <v>Yes</v>
      </c>
      <c r="L281" t="str" cm="1">
        <f t="array" ref="L281">_xlfn.IFS(C281&lt;18,"Under_18",C281&lt;=25,"Youth",C281&lt;=35,"Young_Adults",C281&lt;=45,"Mid_Adults",TRUE,"Seniors")</f>
        <v>Mid_Adults</v>
      </c>
    </row>
    <row r="282" spans="1:12" x14ac:dyDescent="0.2">
      <c r="A282">
        <v>281</v>
      </c>
      <c r="B282" t="str">
        <f>_xlfn.XLOOKUP(A282,Instagram_Usage_Lifestyle_Mini_!A282,Instagram_Usage_Lifestyle_Mini_!B282,1)</f>
        <v>Instagram</v>
      </c>
      <c r="C282">
        <f>_xlfn.XLOOKUP($A:$A,Instagram_Usage_Lifestyle_Mini_!$A:$A,Instagram_Usage_Lifestyle_Mini_!$C:$K)</f>
        <v>52</v>
      </c>
      <c r="D282" t="str">
        <f>_xlfn.XLOOKUP($A:$A,Instagram_Usage_Lifestyle_Mini_!$A:$A,Instagram_Usage_Lifestyle_Mini_!$C:$K)</f>
        <v>Male</v>
      </c>
      <c r="E282" t="str">
        <f>_xlfn.XLOOKUP($A:$A,Instagram_Usage_Lifestyle_Mini_!$A:$A,Instagram_Usage_Lifestyle_Mini_!$C:$K)</f>
        <v>South_Korea</v>
      </c>
      <c r="F282" t="str">
        <f>_xlfn.XLOOKUP($A:$A,Instagram_Usage_Lifestyle_Mini_!$A:$A,Instagram_Usage_Lifestyle_Mini_!$C:$K)</f>
        <v>Urban</v>
      </c>
      <c r="G282" t="str">
        <f>_xlfn.XLOOKUP($A:$A,Instagram_Usage_Lifestyle_Mini_!$A:$A,Instagram_Usage_Lifestyle_Mini_!$C:$K)</f>
        <v>Upper_middle</v>
      </c>
      <c r="H282" t="str">
        <f>_xlfn.XLOOKUP($A:$A,Instagram_Usage_Lifestyle_Mini_!$A:$A,Instagram_Usage_Lifestyle_Mini_!$C:$K)</f>
        <v>Student</v>
      </c>
      <c r="I282" t="str">
        <f>_xlfn.XLOOKUP($A:$A,Instagram_Usage_Lifestyle_Mini_!$A:$A,Instagram_Usage_Lifestyle_Mini_!$C:$K)</f>
        <v>Bachelors_degree</v>
      </c>
      <c r="J282" t="str">
        <f>_xlfn.XLOOKUP($A:$A,Instagram_Usage_Lifestyle_Mini_!$A:$A,Instagram_Usage_Lifestyle_Mini_!$C:$K)</f>
        <v>Single</v>
      </c>
      <c r="K282" t="str">
        <f>_xlfn.XLOOKUP($A:$A,Instagram_Usage_Lifestyle_Mini_!$A:$A,Instagram_Usage_Lifestyle_Mini_!$C:$K)</f>
        <v>No</v>
      </c>
      <c r="L282" t="str" cm="1">
        <f t="array" ref="L282">_xlfn.IFS(C282&lt;18,"Under_18",C282&lt;=25,"Youth",C282&lt;=35,"Young_Adults",C282&lt;=45,"Mid_Adults",TRUE,"Seniors")</f>
        <v>Seniors</v>
      </c>
    </row>
    <row r="283" spans="1:12" x14ac:dyDescent="0.2">
      <c r="A283">
        <v>282</v>
      </c>
      <c r="B283" t="str">
        <f>_xlfn.XLOOKUP(A283,Instagram_Usage_Lifestyle_Mini_!A283,Instagram_Usage_Lifestyle_Mini_!B283,1)</f>
        <v>Instagram</v>
      </c>
      <c r="C283">
        <f>_xlfn.XLOOKUP($A:$A,Instagram_Usage_Lifestyle_Mini_!$A:$A,Instagram_Usage_Lifestyle_Mini_!$C:$K)</f>
        <v>51</v>
      </c>
      <c r="D283" t="str">
        <f>_xlfn.XLOOKUP($A:$A,Instagram_Usage_Lifestyle_Mini_!$A:$A,Instagram_Usage_Lifestyle_Mini_!$C:$K)</f>
        <v>Male</v>
      </c>
      <c r="E283" t="str">
        <f>_xlfn.XLOOKUP($A:$A,Instagram_Usage_Lifestyle_Mini_!$A:$A,Instagram_Usage_Lifestyle_Mini_!$C:$K)</f>
        <v>Japan</v>
      </c>
      <c r="F283" t="str">
        <f>_xlfn.XLOOKUP($A:$A,Instagram_Usage_Lifestyle_Mini_!$A:$A,Instagram_Usage_Lifestyle_Mini_!$C:$K)</f>
        <v>Suburban</v>
      </c>
      <c r="G283" t="str">
        <f>_xlfn.XLOOKUP($A:$A,Instagram_Usage_Lifestyle_Mini_!$A:$A,Instagram_Usage_Lifestyle_Mini_!$C:$K)</f>
        <v>Upper_middle</v>
      </c>
      <c r="H283" t="str">
        <f>_xlfn.XLOOKUP($A:$A,Instagram_Usage_Lifestyle_Mini_!$A:$A,Instagram_Usage_Lifestyle_Mini_!$C:$K)</f>
        <v>Student</v>
      </c>
      <c r="I283" t="str">
        <f>_xlfn.XLOOKUP($A:$A,Instagram_Usage_Lifestyle_Mini_!$A:$A,Instagram_Usage_Lifestyle_Mini_!$C:$K)</f>
        <v>High_school</v>
      </c>
      <c r="J283" t="str">
        <f>_xlfn.XLOOKUP($A:$A,Instagram_Usage_Lifestyle_Mini_!$A:$A,Instagram_Usage_Lifestyle_Mini_!$C:$K)</f>
        <v>Single</v>
      </c>
      <c r="K283" t="str">
        <f>_xlfn.XLOOKUP($A:$A,Instagram_Usage_Lifestyle_Mini_!$A:$A,Instagram_Usage_Lifestyle_Mini_!$C:$K)</f>
        <v>No</v>
      </c>
      <c r="L283" t="str" cm="1">
        <f t="array" ref="L283">_xlfn.IFS(C283&lt;18,"Under_18",C283&lt;=25,"Youth",C283&lt;=35,"Young_Adults",C283&lt;=45,"Mid_Adults",TRUE,"Seniors")</f>
        <v>Seniors</v>
      </c>
    </row>
    <row r="284" spans="1:12" x14ac:dyDescent="0.2">
      <c r="A284">
        <v>283</v>
      </c>
      <c r="B284" t="str">
        <f>_xlfn.XLOOKUP(A284,Instagram_Usage_Lifestyle_Mini_!A284,Instagram_Usage_Lifestyle_Mini_!B284,1)</f>
        <v>Instagram</v>
      </c>
      <c r="C284">
        <f>_xlfn.XLOOKUP($A:$A,Instagram_Usage_Lifestyle_Mini_!$A:$A,Instagram_Usage_Lifestyle_Mini_!$C:$K)</f>
        <v>30</v>
      </c>
      <c r="D284" t="str">
        <f>_xlfn.XLOOKUP($A:$A,Instagram_Usage_Lifestyle_Mini_!$A:$A,Instagram_Usage_Lifestyle_Mini_!$C:$K)</f>
        <v>Female</v>
      </c>
      <c r="E284" t="str">
        <f>_xlfn.XLOOKUP($A:$A,Instagram_Usage_Lifestyle_Mini_!$A:$A,Instagram_Usage_Lifestyle_Mini_!$C:$K)</f>
        <v>United_States</v>
      </c>
      <c r="F284" t="str">
        <f>_xlfn.XLOOKUP($A:$A,Instagram_Usage_Lifestyle_Mini_!$A:$A,Instagram_Usage_Lifestyle_Mini_!$C:$K)</f>
        <v>Rural</v>
      </c>
      <c r="G284" t="str">
        <f>_xlfn.XLOOKUP($A:$A,Instagram_Usage_Lifestyle_Mini_!$A:$A,Instagram_Usage_Lifestyle_Mini_!$C:$K)</f>
        <v>Lower_middle</v>
      </c>
      <c r="H284" t="str">
        <f>_xlfn.XLOOKUP($A:$A,Instagram_Usage_Lifestyle_Mini_!$A:$A,Instagram_Usage_Lifestyle_Mini_!$C:$K)</f>
        <v>Unemployed</v>
      </c>
      <c r="I284" t="str">
        <f>_xlfn.XLOOKUP($A:$A,Instagram_Usage_Lifestyle_Mini_!$A:$A,Instagram_Usage_Lifestyle_Mini_!$C:$K)</f>
        <v>Masters_degree</v>
      </c>
      <c r="J284" t="str">
        <f>_xlfn.XLOOKUP($A:$A,Instagram_Usage_Lifestyle_Mini_!$A:$A,Instagram_Usage_Lifestyle_Mini_!$C:$K)</f>
        <v>Single</v>
      </c>
      <c r="K284" t="str">
        <f>_xlfn.XLOOKUP($A:$A,Instagram_Usage_Lifestyle_Mini_!$A:$A,Instagram_Usage_Lifestyle_Mini_!$C:$K)</f>
        <v>No</v>
      </c>
      <c r="L284" t="str" cm="1">
        <f t="array" ref="L284">_xlfn.IFS(C284&lt;18,"Under_18",C284&lt;=25,"Youth",C284&lt;=35,"Young_Adults",C284&lt;=45,"Mid_Adults",TRUE,"Seniors")</f>
        <v>Young_Adults</v>
      </c>
    </row>
    <row r="285" spans="1:12" x14ac:dyDescent="0.2">
      <c r="A285">
        <v>284</v>
      </c>
      <c r="B285" t="str">
        <f>_xlfn.XLOOKUP(A285,Instagram_Usage_Lifestyle_Mini_!A285,Instagram_Usage_Lifestyle_Mini_!B285,1)</f>
        <v>Instagram</v>
      </c>
      <c r="C285">
        <f>_xlfn.XLOOKUP($A:$A,Instagram_Usage_Lifestyle_Mini_!$A:$A,Instagram_Usage_Lifestyle_Mini_!$C:$K)</f>
        <v>52</v>
      </c>
      <c r="D285" t="str">
        <f>_xlfn.XLOOKUP($A:$A,Instagram_Usage_Lifestyle_Mini_!$A:$A,Instagram_Usage_Lifestyle_Mini_!$C:$K)</f>
        <v>Male</v>
      </c>
      <c r="E285" t="str">
        <f>_xlfn.XLOOKUP($A:$A,Instagram_Usage_Lifestyle_Mini_!$A:$A,Instagram_Usage_Lifestyle_Mini_!$C:$K)</f>
        <v>South_Korea</v>
      </c>
      <c r="F285" t="str">
        <f>_xlfn.XLOOKUP($A:$A,Instagram_Usage_Lifestyle_Mini_!$A:$A,Instagram_Usage_Lifestyle_Mini_!$C:$K)</f>
        <v>Rural</v>
      </c>
      <c r="G285" t="str">
        <f>_xlfn.XLOOKUP($A:$A,Instagram_Usage_Lifestyle_Mini_!$A:$A,Instagram_Usage_Lifestyle_Mini_!$C:$K)</f>
        <v>Low</v>
      </c>
      <c r="H285" t="str">
        <f>_xlfn.XLOOKUP($A:$A,Instagram_Usage_Lifestyle_Mini_!$A:$A,Instagram_Usage_Lifestyle_Mini_!$C:$K)</f>
        <v>Retired</v>
      </c>
      <c r="I285" t="str">
        <f>_xlfn.XLOOKUP($A:$A,Instagram_Usage_Lifestyle_Mini_!$A:$A,Instagram_Usage_Lifestyle_Mini_!$C:$K)</f>
        <v>Bachelors_degree</v>
      </c>
      <c r="J285" t="str">
        <f>_xlfn.XLOOKUP($A:$A,Instagram_Usage_Lifestyle_Mini_!$A:$A,Instagram_Usage_Lifestyle_Mini_!$C:$K)</f>
        <v>Single</v>
      </c>
      <c r="K285" t="str">
        <f>_xlfn.XLOOKUP($A:$A,Instagram_Usage_Lifestyle_Mini_!$A:$A,Instagram_Usage_Lifestyle_Mini_!$C:$K)</f>
        <v>Yes</v>
      </c>
      <c r="L285" t="str" cm="1">
        <f t="array" ref="L285">_xlfn.IFS(C285&lt;18,"Under_18",C285&lt;=25,"Youth",C285&lt;=35,"Young_Adults",C285&lt;=45,"Mid_Adults",TRUE,"Seniors")</f>
        <v>Seniors</v>
      </c>
    </row>
    <row r="286" spans="1:12" x14ac:dyDescent="0.2">
      <c r="A286">
        <v>285</v>
      </c>
      <c r="B286" t="str">
        <f>_xlfn.XLOOKUP(A286,Instagram_Usage_Lifestyle_Mini_!A286,Instagram_Usage_Lifestyle_Mini_!B286,1)</f>
        <v>Instagram</v>
      </c>
      <c r="C286">
        <f>_xlfn.XLOOKUP($A:$A,Instagram_Usage_Lifestyle_Mini_!$A:$A,Instagram_Usage_Lifestyle_Mini_!$C:$K)</f>
        <v>13</v>
      </c>
      <c r="D286" t="str">
        <f>_xlfn.XLOOKUP($A:$A,Instagram_Usage_Lifestyle_Mini_!$A:$A,Instagram_Usage_Lifestyle_Mini_!$C:$K)</f>
        <v>Male</v>
      </c>
      <c r="E286" t="str">
        <f>_xlfn.XLOOKUP($A:$A,Instagram_Usage_Lifestyle_Mini_!$A:$A,Instagram_Usage_Lifestyle_Mini_!$C:$K)</f>
        <v>Other</v>
      </c>
      <c r="F286" t="str">
        <f>_xlfn.XLOOKUP($A:$A,Instagram_Usage_Lifestyle_Mini_!$A:$A,Instagram_Usage_Lifestyle_Mini_!$C:$K)</f>
        <v>Suburban</v>
      </c>
      <c r="G286" t="str">
        <f>_xlfn.XLOOKUP($A:$A,Instagram_Usage_Lifestyle_Mini_!$A:$A,Instagram_Usage_Lifestyle_Mini_!$C:$K)</f>
        <v>Upper_middle</v>
      </c>
      <c r="H286" t="str">
        <f>_xlfn.XLOOKUP($A:$A,Instagram_Usage_Lifestyle_Mini_!$A:$A,Instagram_Usage_Lifestyle_Mini_!$C:$K)</f>
        <v>Full_time_employed</v>
      </c>
      <c r="I286" t="str">
        <f>_xlfn.XLOOKUP($A:$A,Instagram_Usage_Lifestyle_Mini_!$A:$A,Instagram_Usage_Lifestyle_Mini_!$C:$K)</f>
        <v>Bachelors_degree</v>
      </c>
      <c r="J286" t="str">
        <f>_xlfn.XLOOKUP($A:$A,Instagram_Usage_Lifestyle_Mini_!$A:$A,Instagram_Usage_Lifestyle_Mini_!$C:$K)</f>
        <v>Married</v>
      </c>
      <c r="K286" t="str">
        <f>_xlfn.XLOOKUP($A:$A,Instagram_Usage_Lifestyle_Mini_!$A:$A,Instagram_Usage_Lifestyle_Mini_!$C:$K)</f>
        <v>Yes</v>
      </c>
      <c r="L286" t="str" cm="1">
        <f t="array" ref="L286">_xlfn.IFS(C286&lt;18,"Under_18",C286&lt;=25,"Youth",C286&lt;=35,"Young_Adults",C286&lt;=45,"Mid_Adults",TRUE,"Seniors")</f>
        <v>Under_18</v>
      </c>
    </row>
    <row r="287" spans="1:12" x14ac:dyDescent="0.2">
      <c r="A287">
        <v>286</v>
      </c>
      <c r="B287" t="str">
        <f>_xlfn.XLOOKUP(A287,Instagram_Usage_Lifestyle_Mini_!A287,Instagram_Usage_Lifestyle_Mini_!B287,1)</f>
        <v>Instagram</v>
      </c>
      <c r="C287">
        <f>_xlfn.XLOOKUP($A:$A,Instagram_Usage_Lifestyle_Mini_!$A:$A,Instagram_Usage_Lifestyle_Mini_!$C:$K)</f>
        <v>23</v>
      </c>
      <c r="D287" t="str">
        <f>_xlfn.XLOOKUP($A:$A,Instagram_Usage_Lifestyle_Mini_!$A:$A,Instagram_Usage_Lifestyle_Mini_!$C:$K)</f>
        <v>Male</v>
      </c>
      <c r="E287" t="str">
        <f>_xlfn.XLOOKUP($A:$A,Instagram_Usage_Lifestyle_Mini_!$A:$A,Instagram_Usage_Lifestyle_Mini_!$C:$K)</f>
        <v>India</v>
      </c>
      <c r="F287" t="str">
        <f>_xlfn.XLOOKUP($A:$A,Instagram_Usage_Lifestyle_Mini_!$A:$A,Instagram_Usage_Lifestyle_Mini_!$C:$K)</f>
        <v>Urban</v>
      </c>
      <c r="G287" t="str">
        <f>_xlfn.XLOOKUP($A:$A,Instagram_Usage_Lifestyle_Mini_!$A:$A,Instagram_Usage_Lifestyle_Mini_!$C:$K)</f>
        <v>Middle</v>
      </c>
      <c r="H287" t="str">
        <f>_xlfn.XLOOKUP($A:$A,Instagram_Usage_Lifestyle_Mini_!$A:$A,Instagram_Usage_Lifestyle_Mini_!$C:$K)</f>
        <v>Freelancer</v>
      </c>
      <c r="I287" t="str">
        <f>_xlfn.XLOOKUP($A:$A,Instagram_Usage_Lifestyle_Mini_!$A:$A,Instagram_Usage_Lifestyle_Mini_!$C:$K)</f>
        <v>High_school</v>
      </c>
      <c r="J287" t="str">
        <f>_xlfn.XLOOKUP($A:$A,Instagram_Usage_Lifestyle_Mini_!$A:$A,Instagram_Usage_Lifestyle_Mini_!$C:$K)</f>
        <v>Single</v>
      </c>
      <c r="K287" t="str">
        <f>_xlfn.XLOOKUP($A:$A,Instagram_Usage_Lifestyle_Mini_!$A:$A,Instagram_Usage_Lifestyle_Mini_!$C:$K)</f>
        <v>Yes</v>
      </c>
      <c r="L287" t="str" cm="1">
        <f t="array" ref="L287">_xlfn.IFS(C287&lt;18,"Under_18",C287&lt;=25,"Youth",C287&lt;=35,"Young_Adults",C287&lt;=45,"Mid_Adults",TRUE,"Seniors")</f>
        <v>Youth</v>
      </c>
    </row>
    <row r="288" spans="1:12" x14ac:dyDescent="0.2">
      <c r="A288">
        <v>287</v>
      </c>
      <c r="B288" t="str">
        <f>_xlfn.XLOOKUP(A288,Instagram_Usage_Lifestyle_Mini_!A288,Instagram_Usage_Lifestyle_Mini_!B288,1)</f>
        <v>Instagram</v>
      </c>
      <c r="C288">
        <f>_xlfn.XLOOKUP($A:$A,Instagram_Usage_Lifestyle_Mini_!$A:$A,Instagram_Usage_Lifestyle_Mini_!$C:$K)</f>
        <v>40</v>
      </c>
      <c r="D288" t="str">
        <f>_xlfn.XLOOKUP($A:$A,Instagram_Usage_Lifestyle_Mini_!$A:$A,Instagram_Usage_Lifestyle_Mini_!$C:$K)</f>
        <v>Male</v>
      </c>
      <c r="E288" t="str">
        <f>_xlfn.XLOOKUP($A:$A,Instagram_Usage_Lifestyle_Mini_!$A:$A,Instagram_Usage_Lifestyle_Mini_!$C:$K)</f>
        <v>Japan</v>
      </c>
      <c r="F288" t="str">
        <f>_xlfn.XLOOKUP($A:$A,Instagram_Usage_Lifestyle_Mini_!$A:$A,Instagram_Usage_Lifestyle_Mini_!$C:$K)</f>
        <v>Rural</v>
      </c>
      <c r="G288" t="str">
        <f>_xlfn.XLOOKUP($A:$A,Instagram_Usage_Lifestyle_Mini_!$A:$A,Instagram_Usage_Lifestyle_Mini_!$C:$K)</f>
        <v>Low</v>
      </c>
      <c r="H288" t="str">
        <f>_xlfn.XLOOKUP($A:$A,Instagram_Usage_Lifestyle_Mini_!$A:$A,Instagram_Usage_Lifestyle_Mini_!$C:$K)</f>
        <v>Student</v>
      </c>
      <c r="I288" t="str">
        <f>_xlfn.XLOOKUP($A:$A,Instagram_Usage_Lifestyle_Mini_!$A:$A,Instagram_Usage_Lifestyle_Mini_!$C:$K)</f>
        <v>Masters_degree</v>
      </c>
      <c r="J288" t="str">
        <f>_xlfn.XLOOKUP($A:$A,Instagram_Usage_Lifestyle_Mini_!$A:$A,Instagram_Usage_Lifestyle_Mini_!$C:$K)</f>
        <v>In_a_relationship</v>
      </c>
      <c r="K288" t="str">
        <f>_xlfn.XLOOKUP($A:$A,Instagram_Usage_Lifestyle_Mini_!$A:$A,Instagram_Usage_Lifestyle_Mini_!$C:$K)</f>
        <v>No</v>
      </c>
      <c r="L288" t="str" cm="1">
        <f t="array" ref="L288">_xlfn.IFS(C288&lt;18,"Under_18",C288&lt;=25,"Youth",C288&lt;=35,"Young_Adults",C288&lt;=45,"Mid_Adults",TRUE,"Seniors")</f>
        <v>Mid_Adults</v>
      </c>
    </row>
    <row r="289" spans="1:12" x14ac:dyDescent="0.2">
      <c r="A289">
        <v>288</v>
      </c>
      <c r="B289" t="str">
        <f>_xlfn.XLOOKUP(A289,Instagram_Usage_Lifestyle_Mini_!A289,Instagram_Usage_Lifestyle_Mini_!B289,1)</f>
        <v>Instagram</v>
      </c>
      <c r="C289">
        <f>_xlfn.XLOOKUP($A:$A,Instagram_Usage_Lifestyle_Mini_!$A:$A,Instagram_Usage_Lifestyle_Mini_!$C:$K)</f>
        <v>37</v>
      </c>
      <c r="D289" t="str">
        <f>_xlfn.XLOOKUP($A:$A,Instagram_Usage_Lifestyle_Mini_!$A:$A,Instagram_Usage_Lifestyle_Mini_!$C:$K)</f>
        <v>Male</v>
      </c>
      <c r="E289" t="str">
        <f>_xlfn.XLOOKUP($A:$A,Instagram_Usage_Lifestyle_Mini_!$A:$A,Instagram_Usage_Lifestyle_Mini_!$C:$K)</f>
        <v>Other</v>
      </c>
      <c r="F289" t="str">
        <f>_xlfn.XLOOKUP($A:$A,Instagram_Usage_Lifestyle_Mini_!$A:$A,Instagram_Usage_Lifestyle_Mini_!$C:$K)</f>
        <v>Rural</v>
      </c>
      <c r="G289" t="str">
        <f>_xlfn.XLOOKUP($A:$A,Instagram_Usage_Lifestyle_Mini_!$A:$A,Instagram_Usage_Lifestyle_Mini_!$C:$K)</f>
        <v>Lower_middle</v>
      </c>
      <c r="H289" t="str">
        <f>_xlfn.XLOOKUP($A:$A,Instagram_Usage_Lifestyle_Mini_!$A:$A,Instagram_Usage_Lifestyle_Mini_!$C:$K)</f>
        <v>Full_time_employed</v>
      </c>
      <c r="I289" t="str">
        <f>_xlfn.XLOOKUP($A:$A,Instagram_Usage_Lifestyle_Mini_!$A:$A,Instagram_Usage_Lifestyle_Mini_!$C:$K)</f>
        <v>Some_college</v>
      </c>
      <c r="J289" t="str">
        <f>_xlfn.XLOOKUP($A:$A,Instagram_Usage_Lifestyle_Mini_!$A:$A,Instagram_Usage_Lifestyle_Mini_!$C:$K)</f>
        <v>In_a_relationship</v>
      </c>
      <c r="K289" t="str">
        <f>_xlfn.XLOOKUP($A:$A,Instagram_Usage_Lifestyle_Mini_!$A:$A,Instagram_Usage_Lifestyle_Mini_!$C:$K)</f>
        <v>No</v>
      </c>
      <c r="L289" t="str" cm="1">
        <f t="array" ref="L289">_xlfn.IFS(C289&lt;18,"Under_18",C289&lt;=25,"Youth",C289&lt;=35,"Young_Adults",C289&lt;=45,"Mid_Adults",TRUE,"Seniors")</f>
        <v>Mid_Adults</v>
      </c>
    </row>
    <row r="290" spans="1:12" x14ac:dyDescent="0.2">
      <c r="A290">
        <v>289</v>
      </c>
      <c r="B290" t="str">
        <f>_xlfn.XLOOKUP(A290,Instagram_Usage_Lifestyle_Mini_!A290,Instagram_Usage_Lifestyle_Mini_!B290,1)</f>
        <v>Instagram</v>
      </c>
      <c r="C290">
        <f>_xlfn.XLOOKUP($A:$A,Instagram_Usage_Lifestyle_Mini_!$A:$A,Instagram_Usage_Lifestyle_Mini_!$C:$K)</f>
        <v>62</v>
      </c>
      <c r="D290" t="str">
        <f>_xlfn.XLOOKUP($A:$A,Instagram_Usage_Lifestyle_Mini_!$A:$A,Instagram_Usage_Lifestyle_Mini_!$C:$K)</f>
        <v>Male</v>
      </c>
      <c r="E290" t="str">
        <f>_xlfn.XLOOKUP($A:$A,Instagram_Usage_Lifestyle_Mini_!$A:$A,Instagram_Usage_Lifestyle_Mini_!$C:$K)</f>
        <v>Canada</v>
      </c>
      <c r="F290" t="str">
        <f>_xlfn.XLOOKUP($A:$A,Instagram_Usage_Lifestyle_Mini_!$A:$A,Instagram_Usage_Lifestyle_Mini_!$C:$K)</f>
        <v>Suburban</v>
      </c>
      <c r="G290" t="str">
        <f>_xlfn.XLOOKUP($A:$A,Instagram_Usage_Lifestyle_Mini_!$A:$A,Instagram_Usage_Lifestyle_Mini_!$C:$K)</f>
        <v>Upper_middle</v>
      </c>
      <c r="H290" t="str">
        <f>_xlfn.XLOOKUP($A:$A,Instagram_Usage_Lifestyle_Mini_!$A:$A,Instagram_Usage_Lifestyle_Mini_!$C:$K)</f>
        <v>Full_time_employed</v>
      </c>
      <c r="I290" t="str">
        <f>_xlfn.XLOOKUP($A:$A,Instagram_Usage_Lifestyle_Mini_!$A:$A,Instagram_Usage_Lifestyle_Mini_!$C:$K)</f>
        <v>High_school</v>
      </c>
      <c r="J290" t="str">
        <f>_xlfn.XLOOKUP($A:$A,Instagram_Usage_Lifestyle_Mini_!$A:$A,Instagram_Usage_Lifestyle_Mini_!$C:$K)</f>
        <v>Single</v>
      </c>
      <c r="K290" t="str">
        <f>_xlfn.XLOOKUP($A:$A,Instagram_Usage_Lifestyle_Mini_!$A:$A,Instagram_Usage_Lifestyle_Mini_!$C:$K)</f>
        <v>No</v>
      </c>
      <c r="L290" t="str" cm="1">
        <f t="array" ref="L290">_xlfn.IFS(C290&lt;18,"Under_18",C290&lt;=25,"Youth",C290&lt;=35,"Young_Adults",C290&lt;=45,"Mid_Adults",TRUE,"Seniors")</f>
        <v>Seniors</v>
      </c>
    </row>
    <row r="291" spans="1:12" x14ac:dyDescent="0.2">
      <c r="A291">
        <v>290</v>
      </c>
      <c r="B291" t="str">
        <f>_xlfn.XLOOKUP(A291,Instagram_Usage_Lifestyle_Mini_!A291,Instagram_Usage_Lifestyle_Mini_!B291,1)</f>
        <v>Instagram</v>
      </c>
      <c r="C291">
        <f>_xlfn.XLOOKUP($A:$A,Instagram_Usage_Lifestyle_Mini_!$A:$A,Instagram_Usage_Lifestyle_Mini_!$C:$K)</f>
        <v>35</v>
      </c>
      <c r="D291" t="str">
        <f>_xlfn.XLOOKUP($A:$A,Instagram_Usage_Lifestyle_Mini_!$A:$A,Instagram_Usage_Lifestyle_Mini_!$C:$K)</f>
        <v>Male</v>
      </c>
      <c r="E291" t="str">
        <f>_xlfn.XLOOKUP($A:$A,Instagram_Usage_Lifestyle_Mini_!$A:$A,Instagram_Usage_Lifestyle_Mini_!$C:$K)</f>
        <v>South_Korea</v>
      </c>
      <c r="F291" t="str">
        <f>_xlfn.XLOOKUP($A:$A,Instagram_Usage_Lifestyle_Mini_!$A:$A,Instagram_Usage_Lifestyle_Mini_!$C:$K)</f>
        <v>Suburban</v>
      </c>
      <c r="G291" t="str">
        <f>_xlfn.XLOOKUP($A:$A,Instagram_Usage_Lifestyle_Mini_!$A:$A,Instagram_Usage_Lifestyle_Mini_!$C:$K)</f>
        <v>Middle</v>
      </c>
      <c r="H291" t="str">
        <f>_xlfn.XLOOKUP($A:$A,Instagram_Usage_Lifestyle_Mini_!$A:$A,Instagram_Usage_Lifestyle_Mini_!$C:$K)</f>
        <v>Student</v>
      </c>
      <c r="I291" t="str">
        <f>_xlfn.XLOOKUP($A:$A,Instagram_Usage_Lifestyle_Mini_!$A:$A,Instagram_Usage_Lifestyle_Mini_!$C:$K)</f>
        <v>Some_college</v>
      </c>
      <c r="J291" t="str">
        <f>_xlfn.XLOOKUP($A:$A,Instagram_Usage_Lifestyle_Mini_!$A:$A,Instagram_Usage_Lifestyle_Mini_!$C:$K)</f>
        <v>Married</v>
      </c>
      <c r="K291" t="str">
        <f>_xlfn.XLOOKUP($A:$A,Instagram_Usage_Lifestyle_Mini_!$A:$A,Instagram_Usage_Lifestyle_Mini_!$C:$K)</f>
        <v>Yes</v>
      </c>
      <c r="L291" t="str" cm="1">
        <f t="array" ref="L291">_xlfn.IFS(C291&lt;18,"Under_18",C291&lt;=25,"Youth",C291&lt;=35,"Young_Adults",C291&lt;=45,"Mid_Adults",TRUE,"Seniors")</f>
        <v>Young_Adults</v>
      </c>
    </row>
    <row r="292" spans="1:12" x14ac:dyDescent="0.2">
      <c r="A292">
        <v>291</v>
      </c>
      <c r="B292" t="str">
        <f>_xlfn.XLOOKUP(A292,Instagram_Usage_Lifestyle_Mini_!A292,Instagram_Usage_Lifestyle_Mini_!B292,1)</f>
        <v>Instagram</v>
      </c>
      <c r="C292">
        <f>_xlfn.XLOOKUP($A:$A,Instagram_Usage_Lifestyle_Mini_!$A:$A,Instagram_Usage_Lifestyle_Mini_!$C:$K)</f>
        <v>43</v>
      </c>
      <c r="D292" t="str">
        <f>_xlfn.XLOOKUP($A:$A,Instagram_Usage_Lifestyle_Mini_!$A:$A,Instagram_Usage_Lifestyle_Mini_!$C:$K)</f>
        <v>Non_binary</v>
      </c>
      <c r="E292" t="str">
        <f>_xlfn.XLOOKUP($A:$A,Instagram_Usage_Lifestyle_Mini_!$A:$A,Instagram_Usage_Lifestyle_Mini_!$C:$K)</f>
        <v>India</v>
      </c>
      <c r="F292" t="str">
        <f>_xlfn.XLOOKUP($A:$A,Instagram_Usage_Lifestyle_Mini_!$A:$A,Instagram_Usage_Lifestyle_Mini_!$C:$K)</f>
        <v>Rural</v>
      </c>
      <c r="G292" t="str">
        <f>_xlfn.XLOOKUP($A:$A,Instagram_Usage_Lifestyle_Mini_!$A:$A,Instagram_Usage_Lifestyle_Mini_!$C:$K)</f>
        <v>Lower_middle</v>
      </c>
      <c r="H292" t="str">
        <f>_xlfn.XLOOKUP($A:$A,Instagram_Usage_Lifestyle_Mini_!$A:$A,Instagram_Usage_Lifestyle_Mini_!$C:$K)</f>
        <v>Full_time_employed</v>
      </c>
      <c r="I292" t="str">
        <f>_xlfn.XLOOKUP($A:$A,Instagram_Usage_Lifestyle_Mini_!$A:$A,Instagram_Usage_Lifestyle_Mini_!$C:$K)</f>
        <v>Some_college</v>
      </c>
      <c r="J292" t="str">
        <f>_xlfn.XLOOKUP($A:$A,Instagram_Usage_Lifestyle_Mini_!$A:$A,Instagram_Usage_Lifestyle_Mini_!$C:$K)</f>
        <v>Divorced</v>
      </c>
      <c r="K292" t="str">
        <f>_xlfn.XLOOKUP($A:$A,Instagram_Usage_Lifestyle_Mini_!$A:$A,Instagram_Usage_Lifestyle_Mini_!$C:$K)</f>
        <v>No</v>
      </c>
      <c r="L292" t="str" cm="1">
        <f t="array" ref="L292">_xlfn.IFS(C292&lt;18,"Under_18",C292&lt;=25,"Youth",C292&lt;=35,"Young_Adults",C292&lt;=45,"Mid_Adults",TRUE,"Seniors")</f>
        <v>Mid_Adults</v>
      </c>
    </row>
    <row r="293" spans="1:12" x14ac:dyDescent="0.2">
      <c r="A293">
        <v>292</v>
      </c>
      <c r="B293" t="str">
        <f>_xlfn.XLOOKUP(A293,Instagram_Usage_Lifestyle_Mini_!A293,Instagram_Usage_Lifestyle_Mini_!B293,1)</f>
        <v>Instagram</v>
      </c>
      <c r="C293">
        <f>_xlfn.XLOOKUP($A:$A,Instagram_Usage_Lifestyle_Mini_!$A:$A,Instagram_Usage_Lifestyle_Mini_!$C:$K)</f>
        <v>42</v>
      </c>
      <c r="D293" t="str">
        <f>_xlfn.XLOOKUP($A:$A,Instagram_Usage_Lifestyle_Mini_!$A:$A,Instagram_Usage_Lifestyle_Mini_!$C:$K)</f>
        <v>Female</v>
      </c>
      <c r="E293" t="str">
        <f>_xlfn.XLOOKUP($A:$A,Instagram_Usage_Lifestyle_Mini_!$A:$A,Instagram_Usage_Lifestyle_Mini_!$C:$K)</f>
        <v>South_Korea</v>
      </c>
      <c r="F293" t="str">
        <f>_xlfn.XLOOKUP($A:$A,Instagram_Usage_Lifestyle_Mini_!$A:$A,Instagram_Usage_Lifestyle_Mini_!$C:$K)</f>
        <v>Urban</v>
      </c>
      <c r="G293" t="str">
        <f>_xlfn.XLOOKUP($A:$A,Instagram_Usage_Lifestyle_Mini_!$A:$A,Instagram_Usage_Lifestyle_Mini_!$C:$K)</f>
        <v>Upper_middle</v>
      </c>
      <c r="H293" t="str">
        <f>_xlfn.XLOOKUP($A:$A,Instagram_Usage_Lifestyle_Mini_!$A:$A,Instagram_Usage_Lifestyle_Mini_!$C:$K)</f>
        <v>Full_time_employed</v>
      </c>
      <c r="I293" t="str">
        <f>_xlfn.XLOOKUP($A:$A,Instagram_Usage_Lifestyle_Mini_!$A:$A,Instagram_Usage_Lifestyle_Mini_!$C:$K)</f>
        <v>Bachelors_degree</v>
      </c>
      <c r="J293" t="str">
        <f>_xlfn.XLOOKUP($A:$A,Instagram_Usage_Lifestyle_Mini_!$A:$A,Instagram_Usage_Lifestyle_Mini_!$C:$K)</f>
        <v>Single</v>
      </c>
      <c r="K293" t="str">
        <f>_xlfn.XLOOKUP($A:$A,Instagram_Usage_Lifestyle_Mini_!$A:$A,Instagram_Usage_Lifestyle_Mini_!$C:$K)</f>
        <v>Yes</v>
      </c>
      <c r="L293" t="str" cm="1">
        <f t="array" ref="L293">_xlfn.IFS(C293&lt;18,"Under_18",C293&lt;=25,"Youth",C293&lt;=35,"Young_Adults",C293&lt;=45,"Mid_Adults",TRUE,"Seniors")</f>
        <v>Mid_Adults</v>
      </c>
    </row>
    <row r="294" spans="1:12" x14ac:dyDescent="0.2">
      <c r="A294">
        <v>293</v>
      </c>
      <c r="B294" t="str">
        <f>_xlfn.XLOOKUP(A294,Instagram_Usage_Lifestyle_Mini_!A294,Instagram_Usage_Lifestyle_Mini_!B294,1)</f>
        <v>Instagram</v>
      </c>
      <c r="C294">
        <f>_xlfn.XLOOKUP($A:$A,Instagram_Usage_Lifestyle_Mini_!$A:$A,Instagram_Usage_Lifestyle_Mini_!$C:$K)</f>
        <v>54</v>
      </c>
      <c r="D294" t="str">
        <f>_xlfn.XLOOKUP($A:$A,Instagram_Usage_Lifestyle_Mini_!$A:$A,Instagram_Usage_Lifestyle_Mini_!$C:$K)</f>
        <v>Male</v>
      </c>
      <c r="E294" t="str">
        <f>_xlfn.XLOOKUP($A:$A,Instagram_Usage_Lifestyle_Mini_!$A:$A,Instagram_Usage_Lifestyle_Mini_!$C:$K)</f>
        <v>Germany</v>
      </c>
      <c r="F294" t="str">
        <f>_xlfn.XLOOKUP($A:$A,Instagram_Usage_Lifestyle_Mini_!$A:$A,Instagram_Usage_Lifestyle_Mini_!$C:$K)</f>
        <v>Rural</v>
      </c>
      <c r="G294" t="str">
        <f>_xlfn.XLOOKUP($A:$A,Instagram_Usage_Lifestyle_Mini_!$A:$A,Instagram_Usage_Lifestyle_Mini_!$C:$K)</f>
        <v>Low</v>
      </c>
      <c r="H294" t="str">
        <f>_xlfn.XLOOKUP($A:$A,Instagram_Usage_Lifestyle_Mini_!$A:$A,Instagram_Usage_Lifestyle_Mini_!$C:$K)</f>
        <v>Full_time_employed</v>
      </c>
      <c r="I294" t="str">
        <f>_xlfn.XLOOKUP($A:$A,Instagram_Usage_Lifestyle_Mini_!$A:$A,Instagram_Usage_Lifestyle_Mini_!$C:$K)</f>
        <v>Masters_degree</v>
      </c>
      <c r="J294" t="str">
        <f>_xlfn.XLOOKUP($A:$A,Instagram_Usage_Lifestyle_Mini_!$A:$A,Instagram_Usage_Lifestyle_Mini_!$C:$K)</f>
        <v>In_a_relationship</v>
      </c>
      <c r="K294" t="str">
        <f>_xlfn.XLOOKUP($A:$A,Instagram_Usage_Lifestyle_Mini_!$A:$A,Instagram_Usage_Lifestyle_Mini_!$C:$K)</f>
        <v>Yes</v>
      </c>
      <c r="L294" t="str" cm="1">
        <f t="array" ref="L294">_xlfn.IFS(C294&lt;18,"Under_18",C294&lt;=25,"Youth",C294&lt;=35,"Young_Adults",C294&lt;=45,"Mid_Adults",TRUE,"Seniors")</f>
        <v>Seniors</v>
      </c>
    </row>
    <row r="295" spans="1:12" x14ac:dyDescent="0.2">
      <c r="A295">
        <v>294</v>
      </c>
      <c r="B295" t="str">
        <f>_xlfn.XLOOKUP(A295,Instagram_Usage_Lifestyle_Mini_!A295,Instagram_Usage_Lifestyle_Mini_!B295,1)</f>
        <v>Instagram</v>
      </c>
      <c r="C295">
        <f>_xlfn.XLOOKUP($A:$A,Instagram_Usage_Lifestyle_Mini_!$A:$A,Instagram_Usage_Lifestyle_Mini_!$C:$K)</f>
        <v>47</v>
      </c>
      <c r="D295" t="str">
        <f>_xlfn.XLOOKUP($A:$A,Instagram_Usage_Lifestyle_Mini_!$A:$A,Instagram_Usage_Lifestyle_Mini_!$C:$K)</f>
        <v>Male</v>
      </c>
      <c r="E295" t="str">
        <f>_xlfn.XLOOKUP($A:$A,Instagram_Usage_Lifestyle_Mini_!$A:$A,Instagram_Usage_Lifestyle_Mini_!$C:$K)</f>
        <v>South_Korea</v>
      </c>
      <c r="F295" t="str">
        <f>_xlfn.XLOOKUP($A:$A,Instagram_Usage_Lifestyle_Mini_!$A:$A,Instagram_Usage_Lifestyle_Mini_!$C:$K)</f>
        <v>Suburban</v>
      </c>
      <c r="G295" t="str">
        <f>_xlfn.XLOOKUP($A:$A,Instagram_Usage_Lifestyle_Mini_!$A:$A,Instagram_Usage_Lifestyle_Mini_!$C:$K)</f>
        <v>Upper_middle</v>
      </c>
      <c r="H295" t="str">
        <f>_xlfn.XLOOKUP($A:$A,Instagram_Usage_Lifestyle_Mini_!$A:$A,Instagram_Usage_Lifestyle_Mini_!$C:$K)</f>
        <v>Freelancer</v>
      </c>
      <c r="I295" t="str">
        <f>_xlfn.XLOOKUP($A:$A,Instagram_Usage_Lifestyle_Mini_!$A:$A,Instagram_Usage_Lifestyle_Mini_!$C:$K)</f>
        <v>High_school</v>
      </c>
      <c r="J295" t="str">
        <f>_xlfn.XLOOKUP($A:$A,Instagram_Usage_Lifestyle_Mini_!$A:$A,Instagram_Usage_Lifestyle_Mini_!$C:$K)</f>
        <v>Divorced</v>
      </c>
      <c r="K295" t="str">
        <f>_xlfn.XLOOKUP($A:$A,Instagram_Usage_Lifestyle_Mini_!$A:$A,Instagram_Usage_Lifestyle_Mini_!$C:$K)</f>
        <v>No</v>
      </c>
      <c r="L295" t="str" cm="1">
        <f t="array" ref="L295">_xlfn.IFS(C295&lt;18,"Under_18",C295&lt;=25,"Youth",C295&lt;=35,"Young_Adults",C295&lt;=45,"Mid_Adults",TRUE,"Seniors")</f>
        <v>Seniors</v>
      </c>
    </row>
    <row r="296" spans="1:12" x14ac:dyDescent="0.2">
      <c r="A296">
        <v>295</v>
      </c>
      <c r="B296" t="str">
        <f>_xlfn.XLOOKUP(A296,Instagram_Usage_Lifestyle_Mini_!A296,Instagram_Usage_Lifestyle_Mini_!B296,1)</f>
        <v>Instagram</v>
      </c>
      <c r="C296">
        <f>_xlfn.XLOOKUP($A:$A,Instagram_Usage_Lifestyle_Mini_!$A:$A,Instagram_Usage_Lifestyle_Mini_!$C:$K)</f>
        <v>19</v>
      </c>
      <c r="D296" t="str">
        <f>_xlfn.XLOOKUP($A:$A,Instagram_Usage_Lifestyle_Mini_!$A:$A,Instagram_Usage_Lifestyle_Mini_!$C:$K)</f>
        <v>Male</v>
      </c>
      <c r="E296" t="str">
        <f>_xlfn.XLOOKUP($A:$A,Instagram_Usage_Lifestyle_Mini_!$A:$A,Instagram_Usage_Lifestyle_Mini_!$C:$K)</f>
        <v>United_States</v>
      </c>
      <c r="F296" t="str">
        <f>_xlfn.XLOOKUP($A:$A,Instagram_Usage_Lifestyle_Mini_!$A:$A,Instagram_Usage_Lifestyle_Mini_!$C:$K)</f>
        <v>Rural</v>
      </c>
      <c r="G296" t="str">
        <f>_xlfn.XLOOKUP($A:$A,Instagram_Usage_Lifestyle_Mini_!$A:$A,Instagram_Usage_Lifestyle_Mini_!$C:$K)</f>
        <v>Lower_middle</v>
      </c>
      <c r="H296" t="str">
        <f>_xlfn.XLOOKUP($A:$A,Instagram_Usage_Lifestyle_Mini_!$A:$A,Instagram_Usage_Lifestyle_Mini_!$C:$K)</f>
        <v>Freelancer</v>
      </c>
      <c r="I296" t="str">
        <f>_xlfn.XLOOKUP($A:$A,Instagram_Usage_Lifestyle_Mini_!$A:$A,Instagram_Usage_Lifestyle_Mini_!$C:$K)</f>
        <v>Some_college</v>
      </c>
      <c r="J296" t="str">
        <f>_xlfn.XLOOKUP($A:$A,Instagram_Usage_Lifestyle_Mini_!$A:$A,Instagram_Usage_Lifestyle_Mini_!$C:$K)</f>
        <v>Single</v>
      </c>
      <c r="K296" t="str">
        <f>_xlfn.XLOOKUP($A:$A,Instagram_Usage_Lifestyle_Mini_!$A:$A,Instagram_Usage_Lifestyle_Mini_!$C:$K)</f>
        <v>No</v>
      </c>
      <c r="L296" t="str" cm="1">
        <f t="array" ref="L296">_xlfn.IFS(C296&lt;18,"Under_18",C296&lt;=25,"Youth",C296&lt;=35,"Young_Adults",C296&lt;=45,"Mid_Adults",TRUE,"Seniors")</f>
        <v>Youth</v>
      </c>
    </row>
    <row r="297" spans="1:12" x14ac:dyDescent="0.2">
      <c r="A297">
        <v>296</v>
      </c>
      <c r="B297" t="str">
        <f>_xlfn.XLOOKUP(A297,Instagram_Usage_Lifestyle_Mini_!A297,Instagram_Usage_Lifestyle_Mini_!B297,1)</f>
        <v>Instagram</v>
      </c>
      <c r="C297">
        <f>_xlfn.XLOOKUP($A:$A,Instagram_Usage_Lifestyle_Mini_!$A:$A,Instagram_Usage_Lifestyle_Mini_!$C:$K)</f>
        <v>28</v>
      </c>
      <c r="D297" t="str">
        <f>_xlfn.XLOOKUP($A:$A,Instagram_Usage_Lifestyle_Mini_!$A:$A,Instagram_Usage_Lifestyle_Mini_!$C:$K)</f>
        <v>Female</v>
      </c>
      <c r="E297" t="str">
        <f>_xlfn.XLOOKUP($A:$A,Instagram_Usage_Lifestyle_Mini_!$A:$A,Instagram_Usage_Lifestyle_Mini_!$C:$K)</f>
        <v>Brazil</v>
      </c>
      <c r="F297" t="str">
        <f>_xlfn.XLOOKUP($A:$A,Instagram_Usage_Lifestyle_Mini_!$A:$A,Instagram_Usage_Lifestyle_Mini_!$C:$K)</f>
        <v>Suburban</v>
      </c>
      <c r="G297" t="str">
        <f>_xlfn.XLOOKUP($A:$A,Instagram_Usage_Lifestyle_Mini_!$A:$A,Instagram_Usage_Lifestyle_Mini_!$C:$K)</f>
        <v>Middle</v>
      </c>
      <c r="H297" t="str">
        <f>_xlfn.XLOOKUP($A:$A,Instagram_Usage_Lifestyle_Mini_!$A:$A,Instagram_Usage_Lifestyle_Mini_!$C:$K)</f>
        <v>Part_time</v>
      </c>
      <c r="I297" t="str">
        <f>_xlfn.XLOOKUP($A:$A,Instagram_Usage_Lifestyle_Mini_!$A:$A,Instagram_Usage_Lifestyle_Mini_!$C:$K)</f>
        <v>Some_college</v>
      </c>
      <c r="J297" t="str">
        <f>_xlfn.XLOOKUP($A:$A,Instagram_Usage_Lifestyle_Mini_!$A:$A,Instagram_Usage_Lifestyle_Mini_!$C:$K)</f>
        <v>Married</v>
      </c>
      <c r="K297" t="str">
        <f>_xlfn.XLOOKUP($A:$A,Instagram_Usage_Lifestyle_Mini_!$A:$A,Instagram_Usage_Lifestyle_Mini_!$C:$K)</f>
        <v>No</v>
      </c>
      <c r="L297" t="str" cm="1">
        <f t="array" ref="L297">_xlfn.IFS(C297&lt;18,"Under_18",C297&lt;=25,"Youth",C297&lt;=35,"Young_Adults",C297&lt;=45,"Mid_Adults",TRUE,"Seniors")</f>
        <v>Young_Adults</v>
      </c>
    </row>
    <row r="298" spans="1:12" x14ac:dyDescent="0.2">
      <c r="A298">
        <v>297</v>
      </c>
      <c r="B298" t="str">
        <f>_xlfn.XLOOKUP(A298,Instagram_Usage_Lifestyle_Mini_!A298,Instagram_Usage_Lifestyle_Mini_!B298,1)</f>
        <v>Instagram</v>
      </c>
      <c r="C298">
        <f>_xlfn.XLOOKUP($A:$A,Instagram_Usage_Lifestyle_Mini_!$A:$A,Instagram_Usage_Lifestyle_Mini_!$C:$K)</f>
        <v>38</v>
      </c>
      <c r="D298" t="str">
        <f>_xlfn.XLOOKUP($A:$A,Instagram_Usage_Lifestyle_Mini_!$A:$A,Instagram_Usage_Lifestyle_Mini_!$C:$K)</f>
        <v>Male</v>
      </c>
      <c r="E298" t="str">
        <f>_xlfn.XLOOKUP($A:$A,Instagram_Usage_Lifestyle_Mini_!$A:$A,Instagram_Usage_Lifestyle_Mini_!$C:$K)</f>
        <v>Other</v>
      </c>
      <c r="F298" t="str">
        <f>_xlfn.XLOOKUP($A:$A,Instagram_Usage_Lifestyle_Mini_!$A:$A,Instagram_Usage_Lifestyle_Mini_!$C:$K)</f>
        <v>Rural</v>
      </c>
      <c r="G298" t="str">
        <f>_xlfn.XLOOKUP($A:$A,Instagram_Usage_Lifestyle_Mini_!$A:$A,Instagram_Usage_Lifestyle_Mini_!$C:$K)</f>
        <v>High</v>
      </c>
      <c r="H298" t="str">
        <f>_xlfn.XLOOKUP($A:$A,Instagram_Usage_Lifestyle_Mini_!$A:$A,Instagram_Usage_Lifestyle_Mini_!$C:$K)</f>
        <v>Unemployed</v>
      </c>
      <c r="I298" t="str">
        <f>_xlfn.XLOOKUP($A:$A,Instagram_Usage_Lifestyle_Mini_!$A:$A,Instagram_Usage_Lifestyle_Mini_!$C:$K)</f>
        <v>Bachelors_degree</v>
      </c>
      <c r="J298" t="str">
        <f>_xlfn.XLOOKUP($A:$A,Instagram_Usage_Lifestyle_Mini_!$A:$A,Instagram_Usage_Lifestyle_Mini_!$C:$K)</f>
        <v>In_a_relationship</v>
      </c>
      <c r="K298" t="str">
        <f>_xlfn.XLOOKUP($A:$A,Instagram_Usage_Lifestyle_Mini_!$A:$A,Instagram_Usage_Lifestyle_Mini_!$C:$K)</f>
        <v>No</v>
      </c>
      <c r="L298" t="str" cm="1">
        <f t="array" ref="L298">_xlfn.IFS(C298&lt;18,"Under_18",C298&lt;=25,"Youth",C298&lt;=35,"Young_Adults",C298&lt;=45,"Mid_Adults",TRUE,"Seniors")</f>
        <v>Mid_Adults</v>
      </c>
    </row>
    <row r="299" spans="1:12" x14ac:dyDescent="0.2">
      <c r="A299">
        <v>298</v>
      </c>
      <c r="B299" t="str">
        <f>_xlfn.XLOOKUP(A299,Instagram_Usage_Lifestyle_Mini_!A299,Instagram_Usage_Lifestyle_Mini_!B299,1)</f>
        <v>Instagram</v>
      </c>
      <c r="C299">
        <f>_xlfn.XLOOKUP($A:$A,Instagram_Usage_Lifestyle_Mini_!$A:$A,Instagram_Usage_Lifestyle_Mini_!$C:$K)</f>
        <v>60</v>
      </c>
      <c r="D299" t="str">
        <f>_xlfn.XLOOKUP($A:$A,Instagram_Usage_Lifestyle_Mini_!$A:$A,Instagram_Usage_Lifestyle_Mini_!$C:$K)</f>
        <v>Male</v>
      </c>
      <c r="E299" t="str">
        <f>_xlfn.XLOOKUP($A:$A,Instagram_Usage_Lifestyle_Mini_!$A:$A,Instagram_Usage_Lifestyle_Mini_!$C:$K)</f>
        <v>Canada</v>
      </c>
      <c r="F299" t="str">
        <f>_xlfn.XLOOKUP($A:$A,Instagram_Usage_Lifestyle_Mini_!$A:$A,Instagram_Usage_Lifestyle_Mini_!$C:$K)</f>
        <v>Suburban</v>
      </c>
      <c r="G299" t="str">
        <f>_xlfn.XLOOKUP($A:$A,Instagram_Usage_Lifestyle_Mini_!$A:$A,Instagram_Usage_Lifestyle_Mini_!$C:$K)</f>
        <v>Low</v>
      </c>
      <c r="H299" t="str">
        <f>_xlfn.XLOOKUP($A:$A,Instagram_Usage_Lifestyle_Mini_!$A:$A,Instagram_Usage_Lifestyle_Mini_!$C:$K)</f>
        <v>Full_time_employed</v>
      </c>
      <c r="I299" t="str">
        <f>_xlfn.XLOOKUP($A:$A,Instagram_Usage_Lifestyle_Mini_!$A:$A,Instagram_Usage_Lifestyle_Mini_!$C:$K)</f>
        <v>Masters_degree</v>
      </c>
      <c r="J299" t="str">
        <f>_xlfn.XLOOKUP($A:$A,Instagram_Usage_Lifestyle_Mini_!$A:$A,Instagram_Usage_Lifestyle_Mini_!$C:$K)</f>
        <v>Divorced</v>
      </c>
      <c r="K299" t="str">
        <f>_xlfn.XLOOKUP($A:$A,Instagram_Usage_Lifestyle_Mini_!$A:$A,Instagram_Usage_Lifestyle_Mini_!$C:$K)</f>
        <v>No</v>
      </c>
      <c r="L299" t="str" cm="1">
        <f t="array" ref="L299">_xlfn.IFS(C299&lt;18,"Under_18",C299&lt;=25,"Youth",C299&lt;=35,"Young_Adults",C299&lt;=45,"Mid_Adults",TRUE,"Seniors")</f>
        <v>Seniors</v>
      </c>
    </row>
    <row r="300" spans="1:12" x14ac:dyDescent="0.2">
      <c r="A300">
        <v>299</v>
      </c>
      <c r="B300" t="str">
        <f>_xlfn.XLOOKUP(A300,Instagram_Usage_Lifestyle_Mini_!A300,Instagram_Usage_Lifestyle_Mini_!B300,1)</f>
        <v>Instagram</v>
      </c>
      <c r="C300">
        <f>_xlfn.XLOOKUP($A:$A,Instagram_Usage_Lifestyle_Mini_!$A:$A,Instagram_Usage_Lifestyle_Mini_!$C:$K)</f>
        <v>64</v>
      </c>
      <c r="D300" t="str">
        <f>_xlfn.XLOOKUP($A:$A,Instagram_Usage_Lifestyle_Mini_!$A:$A,Instagram_Usage_Lifestyle_Mini_!$C:$K)</f>
        <v>Female</v>
      </c>
      <c r="E300" t="str">
        <f>_xlfn.XLOOKUP($A:$A,Instagram_Usage_Lifestyle_Mini_!$A:$A,Instagram_Usage_Lifestyle_Mini_!$C:$K)</f>
        <v>Other</v>
      </c>
      <c r="F300" t="str">
        <f>_xlfn.XLOOKUP($A:$A,Instagram_Usage_Lifestyle_Mini_!$A:$A,Instagram_Usage_Lifestyle_Mini_!$C:$K)</f>
        <v>Urban</v>
      </c>
      <c r="G300" t="str">
        <f>_xlfn.XLOOKUP($A:$A,Instagram_Usage_Lifestyle_Mini_!$A:$A,Instagram_Usage_Lifestyle_Mini_!$C:$K)</f>
        <v>High</v>
      </c>
      <c r="H300" t="str">
        <f>_xlfn.XLOOKUP($A:$A,Instagram_Usage_Lifestyle_Mini_!$A:$A,Instagram_Usage_Lifestyle_Mini_!$C:$K)</f>
        <v>Freelancer</v>
      </c>
      <c r="I300" t="str">
        <f>_xlfn.XLOOKUP($A:$A,Instagram_Usage_Lifestyle_Mini_!$A:$A,Instagram_Usage_Lifestyle_Mini_!$C:$K)</f>
        <v>Bachelors_degree</v>
      </c>
      <c r="J300" t="str">
        <f>_xlfn.XLOOKUP($A:$A,Instagram_Usage_Lifestyle_Mini_!$A:$A,Instagram_Usage_Lifestyle_Mini_!$C:$K)</f>
        <v>Single</v>
      </c>
      <c r="K300" t="str">
        <f>_xlfn.XLOOKUP($A:$A,Instagram_Usage_Lifestyle_Mini_!$A:$A,Instagram_Usage_Lifestyle_Mini_!$C:$K)</f>
        <v>No</v>
      </c>
      <c r="L300" t="str" cm="1">
        <f t="array" ref="L300">_xlfn.IFS(C300&lt;18,"Under_18",C300&lt;=25,"Youth",C300&lt;=35,"Young_Adults",C300&lt;=45,"Mid_Adults",TRUE,"Seniors")</f>
        <v>Seniors</v>
      </c>
    </row>
    <row r="301" spans="1:12" x14ac:dyDescent="0.2">
      <c r="A301">
        <v>300</v>
      </c>
      <c r="B301" t="str">
        <f>_xlfn.XLOOKUP(A301,Instagram_Usage_Lifestyle_Mini_!A301,Instagram_Usage_Lifestyle_Mini_!B301,1)</f>
        <v>Instagram</v>
      </c>
      <c r="C301">
        <f>_xlfn.XLOOKUP($A:$A,Instagram_Usage_Lifestyle_Mini_!$A:$A,Instagram_Usage_Lifestyle_Mini_!$C:$K)</f>
        <v>61</v>
      </c>
      <c r="D301" t="str">
        <f>_xlfn.XLOOKUP($A:$A,Instagram_Usage_Lifestyle_Mini_!$A:$A,Instagram_Usage_Lifestyle_Mini_!$C:$K)</f>
        <v>Male</v>
      </c>
      <c r="E301" t="str">
        <f>_xlfn.XLOOKUP($A:$A,Instagram_Usage_Lifestyle_Mini_!$A:$A,Instagram_Usage_Lifestyle_Mini_!$C:$K)</f>
        <v>Germany</v>
      </c>
      <c r="F301" t="str">
        <f>_xlfn.XLOOKUP($A:$A,Instagram_Usage_Lifestyle_Mini_!$A:$A,Instagram_Usage_Lifestyle_Mini_!$C:$K)</f>
        <v>Urban</v>
      </c>
      <c r="G301" t="str">
        <f>_xlfn.XLOOKUP($A:$A,Instagram_Usage_Lifestyle_Mini_!$A:$A,Instagram_Usage_Lifestyle_Mini_!$C:$K)</f>
        <v>High</v>
      </c>
      <c r="H301" t="str">
        <f>_xlfn.XLOOKUP($A:$A,Instagram_Usage_Lifestyle_Mini_!$A:$A,Instagram_Usage_Lifestyle_Mini_!$C:$K)</f>
        <v>Full_time_employed</v>
      </c>
      <c r="I301" t="str">
        <f>_xlfn.XLOOKUP($A:$A,Instagram_Usage_Lifestyle_Mini_!$A:$A,Instagram_Usage_Lifestyle_Mini_!$C:$K)</f>
        <v>Bachelors_degree</v>
      </c>
      <c r="J301" t="str">
        <f>_xlfn.XLOOKUP($A:$A,Instagram_Usage_Lifestyle_Mini_!$A:$A,Instagram_Usage_Lifestyle_Mini_!$C:$K)</f>
        <v>Divorced</v>
      </c>
      <c r="K301" t="str">
        <f>_xlfn.XLOOKUP($A:$A,Instagram_Usage_Lifestyle_Mini_!$A:$A,Instagram_Usage_Lifestyle_Mini_!$C:$K)</f>
        <v>No</v>
      </c>
      <c r="L301" t="str" cm="1">
        <f t="array" ref="L301">_xlfn.IFS(C301&lt;18,"Under_18",C301&lt;=25,"Youth",C301&lt;=35,"Young_Adults",C301&lt;=45,"Mid_Adults",TRUE,"Seniors")</f>
        <v>Seniors</v>
      </c>
    </row>
    <row r="302" spans="1:12" x14ac:dyDescent="0.2">
      <c r="A302">
        <v>301</v>
      </c>
      <c r="B302" t="str">
        <f>_xlfn.XLOOKUP(A302,Instagram_Usage_Lifestyle_Mini_!A302,Instagram_Usage_Lifestyle_Mini_!B302,1)</f>
        <v>Instagram</v>
      </c>
      <c r="C302">
        <f>_xlfn.XLOOKUP($A:$A,Instagram_Usage_Lifestyle_Mini_!$A:$A,Instagram_Usage_Lifestyle_Mini_!$C:$K)</f>
        <v>14</v>
      </c>
      <c r="D302" t="str">
        <f>_xlfn.XLOOKUP($A:$A,Instagram_Usage_Lifestyle_Mini_!$A:$A,Instagram_Usage_Lifestyle_Mini_!$C:$K)</f>
        <v>Non_binary</v>
      </c>
      <c r="E302" t="str">
        <f>_xlfn.XLOOKUP($A:$A,Instagram_Usage_Lifestyle_Mini_!$A:$A,Instagram_Usage_Lifestyle_Mini_!$C:$K)</f>
        <v>United_States</v>
      </c>
      <c r="F302" t="str">
        <f>_xlfn.XLOOKUP($A:$A,Instagram_Usage_Lifestyle_Mini_!$A:$A,Instagram_Usage_Lifestyle_Mini_!$C:$K)</f>
        <v>Rural</v>
      </c>
      <c r="G302" t="str">
        <f>_xlfn.XLOOKUP($A:$A,Instagram_Usage_Lifestyle_Mini_!$A:$A,Instagram_Usage_Lifestyle_Mini_!$C:$K)</f>
        <v>Lower_middle</v>
      </c>
      <c r="H302" t="str">
        <f>_xlfn.XLOOKUP($A:$A,Instagram_Usage_Lifestyle_Mini_!$A:$A,Instagram_Usage_Lifestyle_Mini_!$C:$K)</f>
        <v>Student</v>
      </c>
      <c r="I302" t="str">
        <f>_xlfn.XLOOKUP($A:$A,Instagram_Usage_Lifestyle_Mini_!$A:$A,Instagram_Usage_Lifestyle_Mini_!$C:$K)</f>
        <v>High_school</v>
      </c>
      <c r="J302" t="str">
        <f>_xlfn.XLOOKUP($A:$A,Instagram_Usage_Lifestyle_Mini_!$A:$A,Instagram_Usage_Lifestyle_Mini_!$C:$K)</f>
        <v>Single</v>
      </c>
      <c r="K302" t="str">
        <f>_xlfn.XLOOKUP($A:$A,Instagram_Usage_Lifestyle_Mini_!$A:$A,Instagram_Usage_Lifestyle_Mini_!$C:$K)</f>
        <v>Yes</v>
      </c>
      <c r="L302" t="str" cm="1">
        <f t="array" ref="L302">_xlfn.IFS(C302&lt;18,"Under_18",C302&lt;=25,"Youth",C302&lt;=35,"Young_Adults",C302&lt;=45,"Mid_Adults",TRUE,"Seniors")</f>
        <v>Under_18</v>
      </c>
    </row>
    <row r="303" spans="1:12" x14ac:dyDescent="0.2">
      <c r="A303">
        <v>302</v>
      </c>
      <c r="B303" t="str">
        <f>_xlfn.XLOOKUP(A303,Instagram_Usage_Lifestyle_Mini_!A303,Instagram_Usage_Lifestyle_Mini_!B303,1)</f>
        <v>Instagram</v>
      </c>
      <c r="C303">
        <f>_xlfn.XLOOKUP($A:$A,Instagram_Usage_Lifestyle_Mini_!$A:$A,Instagram_Usage_Lifestyle_Mini_!$C:$K)</f>
        <v>13</v>
      </c>
      <c r="D303" t="str">
        <f>_xlfn.XLOOKUP($A:$A,Instagram_Usage_Lifestyle_Mini_!$A:$A,Instagram_Usage_Lifestyle_Mini_!$C:$K)</f>
        <v>Female</v>
      </c>
      <c r="E303" t="str">
        <f>_xlfn.XLOOKUP($A:$A,Instagram_Usage_Lifestyle_Mini_!$A:$A,Instagram_Usage_Lifestyle_Mini_!$C:$K)</f>
        <v>United _Kingdom</v>
      </c>
      <c r="F303" t="str">
        <f>_xlfn.XLOOKUP($A:$A,Instagram_Usage_Lifestyle_Mini_!$A:$A,Instagram_Usage_Lifestyle_Mini_!$C:$K)</f>
        <v>Urban</v>
      </c>
      <c r="G303" t="str">
        <f>_xlfn.XLOOKUP($A:$A,Instagram_Usage_Lifestyle_Mini_!$A:$A,Instagram_Usage_Lifestyle_Mini_!$C:$K)</f>
        <v>Upper_middle</v>
      </c>
      <c r="H303" t="str">
        <f>_xlfn.XLOOKUP($A:$A,Instagram_Usage_Lifestyle_Mini_!$A:$A,Instagram_Usage_Lifestyle_Mini_!$C:$K)</f>
        <v>Student</v>
      </c>
      <c r="I303" t="str">
        <f>_xlfn.XLOOKUP($A:$A,Instagram_Usage_Lifestyle_Mini_!$A:$A,Instagram_Usage_Lifestyle_Mini_!$C:$K)</f>
        <v>Bachelors_degree</v>
      </c>
      <c r="J303" t="str">
        <f>_xlfn.XLOOKUP($A:$A,Instagram_Usage_Lifestyle_Mini_!$A:$A,Instagram_Usage_Lifestyle_Mini_!$C:$K)</f>
        <v>In_a_relationship</v>
      </c>
      <c r="K303" t="str">
        <f>_xlfn.XLOOKUP($A:$A,Instagram_Usage_Lifestyle_Mini_!$A:$A,Instagram_Usage_Lifestyle_Mini_!$C:$K)</f>
        <v>No</v>
      </c>
      <c r="L303" t="str" cm="1">
        <f t="array" ref="L303">_xlfn.IFS(C303&lt;18,"Under_18",C303&lt;=25,"Youth",C303&lt;=35,"Young_Adults",C303&lt;=45,"Mid_Adults",TRUE,"Seniors")</f>
        <v>Under_18</v>
      </c>
    </row>
    <row r="304" spans="1:12" x14ac:dyDescent="0.2">
      <c r="A304">
        <v>303</v>
      </c>
      <c r="B304" t="str">
        <f>_xlfn.XLOOKUP(A304,Instagram_Usage_Lifestyle_Mini_!A304,Instagram_Usage_Lifestyle_Mini_!B304,1)</f>
        <v>Instagram</v>
      </c>
      <c r="C304">
        <f>_xlfn.XLOOKUP($A:$A,Instagram_Usage_Lifestyle_Mini_!$A:$A,Instagram_Usage_Lifestyle_Mini_!$C:$K)</f>
        <v>60</v>
      </c>
      <c r="D304" t="str">
        <f>_xlfn.XLOOKUP($A:$A,Instagram_Usage_Lifestyle_Mini_!$A:$A,Instagram_Usage_Lifestyle_Mini_!$C:$K)</f>
        <v>Male</v>
      </c>
      <c r="E304" t="str">
        <f>_xlfn.XLOOKUP($A:$A,Instagram_Usage_Lifestyle_Mini_!$A:$A,Instagram_Usage_Lifestyle_Mini_!$C:$K)</f>
        <v>Germany</v>
      </c>
      <c r="F304" t="str">
        <f>_xlfn.XLOOKUP($A:$A,Instagram_Usage_Lifestyle_Mini_!$A:$A,Instagram_Usage_Lifestyle_Mini_!$C:$K)</f>
        <v>Urban</v>
      </c>
      <c r="G304" t="str">
        <f>_xlfn.XLOOKUP($A:$A,Instagram_Usage_Lifestyle_Mini_!$A:$A,Instagram_Usage_Lifestyle_Mini_!$C:$K)</f>
        <v>Low</v>
      </c>
      <c r="H304" t="str">
        <f>_xlfn.XLOOKUP($A:$A,Instagram_Usage_Lifestyle_Mini_!$A:$A,Instagram_Usage_Lifestyle_Mini_!$C:$K)</f>
        <v>Student</v>
      </c>
      <c r="I304" t="str">
        <f>_xlfn.XLOOKUP($A:$A,Instagram_Usage_Lifestyle_Mini_!$A:$A,Instagram_Usage_Lifestyle_Mini_!$C:$K)</f>
        <v>Masters_degree</v>
      </c>
      <c r="J304" t="str">
        <f>_xlfn.XLOOKUP($A:$A,Instagram_Usage_Lifestyle_Mini_!$A:$A,Instagram_Usage_Lifestyle_Mini_!$C:$K)</f>
        <v>Married</v>
      </c>
      <c r="K304" t="str">
        <f>_xlfn.XLOOKUP($A:$A,Instagram_Usage_Lifestyle_Mini_!$A:$A,Instagram_Usage_Lifestyle_Mini_!$C:$K)</f>
        <v>No</v>
      </c>
      <c r="L304" t="str" cm="1">
        <f t="array" ref="L304">_xlfn.IFS(C304&lt;18,"Under_18",C304&lt;=25,"Youth",C304&lt;=35,"Young_Adults",C304&lt;=45,"Mid_Adults",TRUE,"Seniors")</f>
        <v>Seniors</v>
      </c>
    </row>
    <row r="305" spans="1:12" x14ac:dyDescent="0.2">
      <c r="A305">
        <v>304</v>
      </c>
      <c r="B305" t="str">
        <f>_xlfn.XLOOKUP(A305,Instagram_Usage_Lifestyle_Mini_!A305,Instagram_Usage_Lifestyle_Mini_!B305,1)</f>
        <v>Instagram</v>
      </c>
      <c r="C305">
        <f>_xlfn.XLOOKUP($A:$A,Instagram_Usage_Lifestyle_Mini_!$A:$A,Instagram_Usage_Lifestyle_Mini_!$C:$K)</f>
        <v>24</v>
      </c>
      <c r="D305" t="str">
        <f>_xlfn.XLOOKUP($A:$A,Instagram_Usage_Lifestyle_Mini_!$A:$A,Instagram_Usage_Lifestyle_Mini_!$C:$K)</f>
        <v>Male</v>
      </c>
      <c r="E305" t="str">
        <f>_xlfn.XLOOKUP($A:$A,Instagram_Usage_Lifestyle_Mini_!$A:$A,Instagram_Usage_Lifestyle_Mini_!$C:$K)</f>
        <v>India</v>
      </c>
      <c r="F305" t="str">
        <f>_xlfn.XLOOKUP($A:$A,Instagram_Usage_Lifestyle_Mini_!$A:$A,Instagram_Usage_Lifestyle_Mini_!$C:$K)</f>
        <v>Urban</v>
      </c>
      <c r="G305" t="str">
        <f>_xlfn.XLOOKUP($A:$A,Instagram_Usage_Lifestyle_Mini_!$A:$A,Instagram_Usage_Lifestyle_Mini_!$C:$K)</f>
        <v>Middle</v>
      </c>
      <c r="H305" t="str">
        <f>_xlfn.XLOOKUP($A:$A,Instagram_Usage_Lifestyle_Mini_!$A:$A,Instagram_Usage_Lifestyle_Mini_!$C:$K)</f>
        <v>Student</v>
      </c>
      <c r="I305" t="str">
        <f>_xlfn.XLOOKUP($A:$A,Instagram_Usage_Lifestyle_Mini_!$A:$A,Instagram_Usage_Lifestyle_Mini_!$C:$K)</f>
        <v>High_school</v>
      </c>
      <c r="J305" t="str">
        <f>_xlfn.XLOOKUP($A:$A,Instagram_Usage_Lifestyle_Mini_!$A:$A,Instagram_Usage_Lifestyle_Mini_!$C:$K)</f>
        <v>Married</v>
      </c>
      <c r="K305" t="str">
        <f>_xlfn.XLOOKUP($A:$A,Instagram_Usage_Lifestyle_Mini_!$A:$A,Instagram_Usage_Lifestyle_Mini_!$C:$K)</f>
        <v>No</v>
      </c>
      <c r="L305" t="str" cm="1">
        <f t="array" ref="L305">_xlfn.IFS(C305&lt;18,"Under_18",C305&lt;=25,"Youth",C305&lt;=35,"Young_Adults",C305&lt;=45,"Mid_Adults",TRUE,"Seniors")</f>
        <v>Youth</v>
      </c>
    </row>
    <row r="306" spans="1:12" x14ac:dyDescent="0.2">
      <c r="A306">
        <v>305</v>
      </c>
      <c r="B306" t="str">
        <f>_xlfn.XLOOKUP(A306,Instagram_Usage_Lifestyle_Mini_!A306,Instagram_Usage_Lifestyle_Mini_!B306,1)</f>
        <v>Instagram</v>
      </c>
      <c r="C306">
        <f>_xlfn.XLOOKUP($A:$A,Instagram_Usage_Lifestyle_Mini_!$A:$A,Instagram_Usage_Lifestyle_Mini_!$C:$K)</f>
        <v>17</v>
      </c>
      <c r="D306" t="str">
        <f>_xlfn.XLOOKUP($A:$A,Instagram_Usage_Lifestyle_Mini_!$A:$A,Instagram_Usage_Lifestyle_Mini_!$C:$K)</f>
        <v>Female</v>
      </c>
      <c r="E306" t="str">
        <f>_xlfn.XLOOKUP($A:$A,Instagram_Usage_Lifestyle_Mini_!$A:$A,Instagram_Usage_Lifestyle_Mini_!$C:$K)</f>
        <v>Brazil</v>
      </c>
      <c r="F306" t="str">
        <f>_xlfn.XLOOKUP($A:$A,Instagram_Usage_Lifestyle_Mini_!$A:$A,Instagram_Usage_Lifestyle_Mini_!$C:$K)</f>
        <v>Rural</v>
      </c>
      <c r="G306" t="str">
        <f>_xlfn.XLOOKUP($A:$A,Instagram_Usage_Lifestyle_Mini_!$A:$A,Instagram_Usage_Lifestyle_Mini_!$C:$K)</f>
        <v>Middle</v>
      </c>
      <c r="H306" t="str">
        <f>_xlfn.XLOOKUP($A:$A,Instagram_Usage_Lifestyle_Mini_!$A:$A,Instagram_Usage_Lifestyle_Mini_!$C:$K)</f>
        <v>Unemployed</v>
      </c>
      <c r="I306" t="str">
        <f>_xlfn.XLOOKUP($A:$A,Instagram_Usage_Lifestyle_Mini_!$A:$A,Instagram_Usage_Lifestyle_Mini_!$C:$K)</f>
        <v>High_school</v>
      </c>
      <c r="J306" t="str">
        <f>_xlfn.XLOOKUP($A:$A,Instagram_Usage_Lifestyle_Mini_!$A:$A,Instagram_Usage_Lifestyle_Mini_!$C:$K)</f>
        <v>In_a_relationship</v>
      </c>
      <c r="K306" t="str">
        <f>_xlfn.XLOOKUP($A:$A,Instagram_Usage_Lifestyle_Mini_!$A:$A,Instagram_Usage_Lifestyle_Mini_!$C:$K)</f>
        <v>No</v>
      </c>
      <c r="L306" t="str" cm="1">
        <f t="array" ref="L306">_xlfn.IFS(C306&lt;18,"Under_18",C306&lt;=25,"Youth",C306&lt;=35,"Young_Adults",C306&lt;=45,"Mid_Adults",TRUE,"Seniors")</f>
        <v>Under_18</v>
      </c>
    </row>
    <row r="307" spans="1:12" x14ac:dyDescent="0.2">
      <c r="A307">
        <v>306</v>
      </c>
      <c r="B307" t="str">
        <f>_xlfn.XLOOKUP(A307,Instagram_Usage_Lifestyle_Mini_!A307,Instagram_Usage_Lifestyle_Mini_!B307,1)</f>
        <v>Instagram</v>
      </c>
      <c r="C307">
        <f>_xlfn.XLOOKUP($A:$A,Instagram_Usage_Lifestyle_Mini_!$A:$A,Instagram_Usage_Lifestyle_Mini_!$C:$K)</f>
        <v>49</v>
      </c>
      <c r="D307" t="str">
        <f>_xlfn.XLOOKUP($A:$A,Instagram_Usage_Lifestyle_Mini_!$A:$A,Instagram_Usage_Lifestyle_Mini_!$C:$K)</f>
        <v>Female</v>
      </c>
      <c r="E307" t="str">
        <f>_xlfn.XLOOKUP($A:$A,Instagram_Usage_Lifestyle_Mini_!$A:$A,Instagram_Usage_Lifestyle_Mini_!$C:$K)</f>
        <v>Brazil</v>
      </c>
      <c r="F307" t="str">
        <f>_xlfn.XLOOKUP($A:$A,Instagram_Usage_Lifestyle_Mini_!$A:$A,Instagram_Usage_Lifestyle_Mini_!$C:$K)</f>
        <v>Suburban</v>
      </c>
      <c r="G307" t="str">
        <f>_xlfn.XLOOKUP($A:$A,Instagram_Usage_Lifestyle_Mini_!$A:$A,Instagram_Usage_Lifestyle_Mini_!$C:$K)</f>
        <v>Middle</v>
      </c>
      <c r="H307" t="str">
        <f>_xlfn.XLOOKUP($A:$A,Instagram_Usage_Lifestyle_Mini_!$A:$A,Instagram_Usage_Lifestyle_Mini_!$C:$K)</f>
        <v>Freelancer</v>
      </c>
      <c r="I307" t="str">
        <f>_xlfn.XLOOKUP($A:$A,Instagram_Usage_Lifestyle_Mini_!$A:$A,Instagram_Usage_Lifestyle_Mini_!$C:$K)</f>
        <v>Bachelors_degree</v>
      </c>
      <c r="J307" t="str">
        <f>_xlfn.XLOOKUP($A:$A,Instagram_Usage_Lifestyle_Mini_!$A:$A,Instagram_Usage_Lifestyle_Mini_!$C:$K)</f>
        <v>Single</v>
      </c>
      <c r="K307" t="str">
        <f>_xlfn.XLOOKUP($A:$A,Instagram_Usage_Lifestyle_Mini_!$A:$A,Instagram_Usage_Lifestyle_Mini_!$C:$K)</f>
        <v>Yes</v>
      </c>
      <c r="L307" t="str" cm="1">
        <f t="array" ref="L307">_xlfn.IFS(C307&lt;18,"Under_18",C307&lt;=25,"Youth",C307&lt;=35,"Young_Adults",C307&lt;=45,"Mid_Adults",TRUE,"Seniors")</f>
        <v>Seniors</v>
      </c>
    </row>
    <row r="308" spans="1:12" x14ac:dyDescent="0.2">
      <c r="A308">
        <v>307</v>
      </c>
      <c r="B308" t="str">
        <f>_xlfn.XLOOKUP(A308,Instagram_Usage_Lifestyle_Mini_!A308,Instagram_Usage_Lifestyle_Mini_!B308,1)</f>
        <v>Instagram</v>
      </c>
      <c r="C308">
        <f>_xlfn.XLOOKUP($A:$A,Instagram_Usage_Lifestyle_Mini_!$A:$A,Instagram_Usage_Lifestyle_Mini_!$C:$K)</f>
        <v>44</v>
      </c>
      <c r="D308" t="str">
        <f>_xlfn.XLOOKUP($A:$A,Instagram_Usage_Lifestyle_Mini_!$A:$A,Instagram_Usage_Lifestyle_Mini_!$C:$K)</f>
        <v>Male</v>
      </c>
      <c r="E308" t="str">
        <f>_xlfn.XLOOKUP($A:$A,Instagram_Usage_Lifestyle_Mini_!$A:$A,Instagram_Usage_Lifestyle_Mini_!$C:$K)</f>
        <v>South_Korea</v>
      </c>
      <c r="F308" t="str">
        <f>_xlfn.XLOOKUP($A:$A,Instagram_Usage_Lifestyle_Mini_!$A:$A,Instagram_Usage_Lifestyle_Mini_!$C:$K)</f>
        <v>Suburban</v>
      </c>
      <c r="G308" t="str">
        <f>_xlfn.XLOOKUP($A:$A,Instagram_Usage_Lifestyle_Mini_!$A:$A,Instagram_Usage_Lifestyle_Mini_!$C:$K)</f>
        <v>Low</v>
      </c>
      <c r="H308" t="str">
        <f>_xlfn.XLOOKUP($A:$A,Instagram_Usage_Lifestyle_Mini_!$A:$A,Instagram_Usage_Lifestyle_Mini_!$C:$K)</f>
        <v>Full_time_employed</v>
      </c>
      <c r="I308" t="str">
        <f>_xlfn.XLOOKUP($A:$A,Instagram_Usage_Lifestyle_Mini_!$A:$A,Instagram_Usage_Lifestyle_Mini_!$C:$K)</f>
        <v>Some_college</v>
      </c>
      <c r="J308" t="str">
        <f>_xlfn.XLOOKUP($A:$A,Instagram_Usage_Lifestyle_Mini_!$A:$A,Instagram_Usage_Lifestyle_Mini_!$C:$K)</f>
        <v>Single</v>
      </c>
      <c r="K308" t="str">
        <f>_xlfn.XLOOKUP($A:$A,Instagram_Usage_Lifestyle_Mini_!$A:$A,Instagram_Usage_Lifestyle_Mini_!$C:$K)</f>
        <v>No</v>
      </c>
      <c r="L308" t="str" cm="1">
        <f t="array" ref="L308">_xlfn.IFS(C308&lt;18,"Under_18",C308&lt;=25,"Youth",C308&lt;=35,"Young_Adults",C308&lt;=45,"Mid_Adults",TRUE,"Seniors")</f>
        <v>Mid_Adults</v>
      </c>
    </row>
    <row r="309" spans="1:12" x14ac:dyDescent="0.2">
      <c r="A309">
        <v>308</v>
      </c>
      <c r="B309" t="str">
        <f>_xlfn.XLOOKUP(A309,Instagram_Usage_Lifestyle_Mini_!A309,Instagram_Usage_Lifestyle_Mini_!B309,1)</f>
        <v>Instagram</v>
      </c>
      <c r="C309">
        <f>_xlfn.XLOOKUP($A:$A,Instagram_Usage_Lifestyle_Mini_!$A:$A,Instagram_Usage_Lifestyle_Mini_!$C:$K)</f>
        <v>21</v>
      </c>
      <c r="D309" t="str">
        <f>_xlfn.XLOOKUP($A:$A,Instagram_Usage_Lifestyle_Mini_!$A:$A,Instagram_Usage_Lifestyle_Mini_!$C:$K)</f>
        <v>Female</v>
      </c>
      <c r="E309" t="str">
        <f>_xlfn.XLOOKUP($A:$A,Instagram_Usage_Lifestyle_Mini_!$A:$A,Instagram_Usage_Lifestyle_Mini_!$C:$K)</f>
        <v>India</v>
      </c>
      <c r="F309" t="str">
        <f>_xlfn.XLOOKUP($A:$A,Instagram_Usage_Lifestyle_Mini_!$A:$A,Instagram_Usage_Lifestyle_Mini_!$C:$K)</f>
        <v>Rural</v>
      </c>
      <c r="G309" t="str">
        <f>_xlfn.XLOOKUP($A:$A,Instagram_Usage_Lifestyle_Mini_!$A:$A,Instagram_Usage_Lifestyle_Mini_!$C:$K)</f>
        <v>High</v>
      </c>
      <c r="H309" t="str">
        <f>_xlfn.XLOOKUP($A:$A,Instagram_Usage_Lifestyle_Mini_!$A:$A,Instagram_Usage_Lifestyle_Mini_!$C:$K)</f>
        <v>Student</v>
      </c>
      <c r="I309" t="str">
        <f>_xlfn.XLOOKUP($A:$A,Instagram_Usage_Lifestyle_Mini_!$A:$A,Instagram_Usage_Lifestyle_Mini_!$C:$K)</f>
        <v>High_school</v>
      </c>
      <c r="J309" t="str">
        <f>_xlfn.XLOOKUP($A:$A,Instagram_Usage_Lifestyle_Mini_!$A:$A,Instagram_Usage_Lifestyle_Mini_!$C:$K)</f>
        <v>In_a_relationship</v>
      </c>
      <c r="K309" t="str">
        <f>_xlfn.XLOOKUP($A:$A,Instagram_Usage_Lifestyle_Mini_!$A:$A,Instagram_Usage_Lifestyle_Mini_!$C:$K)</f>
        <v>No</v>
      </c>
      <c r="L309" t="str" cm="1">
        <f t="array" ref="L309">_xlfn.IFS(C309&lt;18,"Under_18",C309&lt;=25,"Youth",C309&lt;=35,"Young_Adults",C309&lt;=45,"Mid_Adults",TRUE,"Seniors")</f>
        <v>Youth</v>
      </c>
    </row>
    <row r="310" spans="1:12" x14ac:dyDescent="0.2">
      <c r="A310">
        <v>309</v>
      </c>
      <c r="B310" t="str">
        <f>_xlfn.XLOOKUP(A310,Instagram_Usage_Lifestyle_Mini_!A310,Instagram_Usage_Lifestyle_Mini_!B310,1)</f>
        <v>Instagram</v>
      </c>
      <c r="C310">
        <f>_xlfn.XLOOKUP($A:$A,Instagram_Usage_Lifestyle_Mini_!$A:$A,Instagram_Usage_Lifestyle_Mini_!$C:$K)</f>
        <v>53</v>
      </c>
      <c r="D310" t="str">
        <f>_xlfn.XLOOKUP($A:$A,Instagram_Usage_Lifestyle_Mini_!$A:$A,Instagram_Usage_Lifestyle_Mini_!$C:$K)</f>
        <v>Male</v>
      </c>
      <c r="E310" t="str">
        <f>_xlfn.XLOOKUP($A:$A,Instagram_Usage_Lifestyle_Mini_!$A:$A,Instagram_Usage_Lifestyle_Mini_!$C:$K)</f>
        <v>India</v>
      </c>
      <c r="F310" t="str">
        <f>_xlfn.XLOOKUP($A:$A,Instagram_Usage_Lifestyle_Mini_!$A:$A,Instagram_Usage_Lifestyle_Mini_!$C:$K)</f>
        <v>Rural</v>
      </c>
      <c r="G310" t="str">
        <f>_xlfn.XLOOKUP($A:$A,Instagram_Usage_Lifestyle_Mini_!$A:$A,Instagram_Usage_Lifestyle_Mini_!$C:$K)</f>
        <v>High</v>
      </c>
      <c r="H310" t="str">
        <f>_xlfn.XLOOKUP($A:$A,Instagram_Usage_Lifestyle_Mini_!$A:$A,Instagram_Usage_Lifestyle_Mini_!$C:$K)</f>
        <v>Full_time_employed</v>
      </c>
      <c r="I310" t="str">
        <f>_xlfn.XLOOKUP($A:$A,Instagram_Usage_Lifestyle_Mini_!$A:$A,Instagram_Usage_Lifestyle_Mini_!$C:$K)</f>
        <v>High_school</v>
      </c>
      <c r="J310" t="str">
        <f>_xlfn.XLOOKUP($A:$A,Instagram_Usage_Lifestyle_Mini_!$A:$A,Instagram_Usage_Lifestyle_Mini_!$C:$K)</f>
        <v>Married</v>
      </c>
      <c r="K310" t="str">
        <f>_xlfn.XLOOKUP($A:$A,Instagram_Usage_Lifestyle_Mini_!$A:$A,Instagram_Usage_Lifestyle_Mini_!$C:$K)</f>
        <v>No</v>
      </c>
      <c r="L310" t="str" cm="1">
        <f t="array" ref="L310">_xlfn.IFS(C310&lt;18,"Under_18",C310&lt;=25,"Youth",C310&lt;=35,"Young_Adults",C310&lt;=45,"Mid_Adults",TRUE,"Seniors")</f>
        <v>Seniors</v>
      </c>
    </row>
    <row r="311" spans="1:12" x14ac:dyDescent="0.2">
      <c r="A311">
        <v>310</v>
      </c>
      <c r="B311" t="str">
        <f>_xlfn.XLOOKUP(A311,Instagram_Usage_Lifestyle_Mini_!A311,Instagram_Usage_Lifestyle_Mini_!B311,1)</f>
        <v>Instagram</v>
      </c>
      <c r="C311">
        <f>_xlfn.XLOOKUP($A:$A,Instagram_Usage_Lifestyle_Mini_!$A:$A,Instagram_Usage_Lifestyle_Mini_!$C:$K)</f>
        <v>47</v>
      </c>
      <c r="D311" t="str">
        <f>_xlfn.XLOOKUP($A:$A,Instagram_Usage_Lifestyle_Mini_!$A:$A,Instagram_Usage_Lifestyle_Mini_!$C:$K)</f>
        <v>Male</v>
      </c>
      <c r="E311" t="str">
        <f>_xlfn.XLOOKUP($A:$A,Instagram_Usage_Lifestyle_Mini_!$A:$A,Instagram_Usage_Lifestyle_Mini_!$C:$K)</f>
        <v>Australia</v>
      </c>
      <c r="F311" t="str">
        <f>_xlfn.XLOOKUP($A:$A,Instagram_Usage_Lifestyle_Mini_!$A:$A,Instagram_Usage_Lifestyle_Mini_!$C:$K)</f>
        <v>Urban</v>
      </c>
      <c r="G311" t="str">
        <f>_xlfn.XLOOKUP($A:$A,Instagram_Usage_Lifestyle_Mini_!$A:$A,Instagram_Usage_Lifestyle_Mini_!$C:$K)</f>
        <v>Lower_middle</v>
      </c>
      <c r="H311" t="str">
        <f>_xlfn.XLOOKUP($A:$A,Instagram_Usage_Lifestyle_Mini_!$A:$A,Instagram_Usage_Lifestyle_Mini_!$C:$K)</f>
        <v>Full_time_employed</v>
      </c>
      <c r="I311" t="str">
        <f>_xlfn.XLOOKUP($A:$A,Instagram_Usage_Lifestyle_Mini_!$A:$A,Instagram_Usage_Lifestyle_Mini_!$C:$K)</f>
        <v>High_school</v>
      </c>
      <c r="J311" t="str">
        <f>_xlfn.XLOOKUP($A:$A,Instagram_Usage_Lifestyle_Mini_!$A:$A,Instagram_Usage_Lifestyle_Mini_!$C:$K)</f>
        <v>Single</v>
      </c>
      <c r="K311" t="str">
        <f>_xlfn.XLOOKUP($A:$A,Instagram_Usage_Lifestyle_Mini_!$A:$A,Instagram_Usage_Lifestyle_Mini_!$C:$K)</f>
        <v>No</v>
      </c>
      <c r="L311" t="str" cm="1">
        <f t="array" ref="L311">_xlfn.IFS(C311&lt;18,"Under_18",C311&lt;=25,"Youth",C311&lt;=35,"Young_Adults",C311&lt;=45,"Mid_Adults",TRUE,"Seniors")</f>
        <v>Seniors</v>
      </c>
    </row>
    <row r="312" spans="1:12" x14ac:dyDescent="0.2">
      <c r="A312">
        <v>311</v>
      </c>
      <c r="B312" t="str">
        <f>_xlfn.XLOOKUP(A312,Instagram_Usage_Lifestyle_Mini_!A312,Instagram_Usage_Lifestyle_Mini_!B312,1)</f>
        <v>Instagram</v>
      </c>
      <c r="C312">
        <f>_xlfn.XLOOKUP($A:$A,Instagram_Usage_Lifestyle_Mini_!$A:$A,Instagram_Usage_Lifestyle_Mini_!$C:$K)</f>
        <v>31</v>
      </c>
      <c r="D312" t="str">
        <f>_xlfn.XLOOKUP($A:$A,Instagram_Usage_Lifestyle_Mini_!$A:$A,Instagram_Usage_Lifestyle_Mini_!$C:$K)</f>
        <v>Male</v>
      </c>
      <c r="E312" t="str">
        <f>_xlfn.XLOOKUP($A:$A,Instagram_Usage_Lifestyle_Mini_!$A:$A,Instagram_Usage_Lifestyle_Mini_!$C:$K)</f>
        <v>United_States</v>
      </c>
      <c r="F312" t="str">
        <f>_xlfn.XLOOKUP($A:$A,Instagram_Usage_Lifestyle_Mini_!$A:$A,Instagram_Usage_Lifestyle_Mini_!$C:$K)</f>
        <v>Suburban</v>
      </c>
      <c r="G312" t="str">
        <f>_xlfn.XLOOKUP($A:$A,Instagram_Usage_Lifestyle_Mini_!$A:$A,Instagram_Usage_Lifestyle_Mini_!$C:$K)</f>
        <v>Low</v>
      </c>
      <c r="H312" t="str">
        <f>_xlfn.XLOOKUP($A:$A,Instagram_Usage_Lifestyle_Mini_!$A:$A,Instagram_Usage_Lifestyle_Mini_!$C:$K)</f>
        <v>Freelancer</v>
      </c>
      <c r="I312" t="str">
        <f>_xlfn.XLOOKUP($A:$A,Instagram_Usage_Lifestyle_Mini_!$A:$A,Instagram_Usage_Lifestyle_Mini_!$C:$K)</f>
        <v>High_school</v>
      </c>
      <c r="J312" t="str">
        <f>_xlfn.XLOOKUP($A:$A,Instagram_Usage_Lifestyle_Mini_!$A:$A,Instagram_Usage_Lifestyle_Mini_!$C:$K)</f>
        <v>Single</v>
      </c>
      <c r="K312" t="str">
        <f>_xlfn.XLOOKUP($A:$A,Instagram_Usage_Lifestyle_Mini_!$A:$A,Instagram_Usage_Lifestyle_Mini_!$C:$K)</f>
        <v>No</v>
      </c>
      <c r="L312" t="str" cm="1">
        <f t="array" ref="L312">_xlfn.IFS(C312&lt;18,"Under_18",C312&lt;=25,"Youth",C312&lt;=35,"Young_Adults",C312&lt;=45,"Mid_Adults",TRUE,"Seniors")</f>
        <v>Young_Adults</v>
      </c>
    </row>
    <row r="313" spans="1:12" x14ac:dyDescent="0.2">
      <c r="A313">
        <v>312</v>
      </c>
      <c r="B313" t="str">
        <f>_xlfn.XLOOKUP(A313,Instagram_Usage_Lifestyle_Mini_!A313,Instagram_Usage_Lifestyle_Mini_!B313,1)</f>
        <v>Instagram</v>
      </c>
      <c r="C313">
        <f>_xlfn.XLOOKUP($A:$A,Instagram_Usage_Lifestyle_Mini_!$A:$A,Instagram_Usage_Lifestyle_Mini_!$C:$K)</f>
        <v>60</v>
      </c>
      <c r="D313" t="str">
        <f>_xlfn.XLOOKUP($A:$A,Instagram_Usage_Lifestyle_Mini_!$A:$A,Instagram_Usage_Lifestyle_Mini_!$C:$K)</f>
        <v>Female</v>
      </c>
      <c r="E313" t="str">
        <f>_xlfn.XLOOKUP($A:$A,Instagram_Usage_Lifestyle_Mini_!$A:$A,Instagram_Usage_Lifestyle_Mini_!$C:$K)</f>
        <v>Canada</v>
      </c>
      <c r="F313" t="str">
        <f>_xlfn.XLOOKUP($A:$A,Instagram_Usage_Lifestyle_Mini_!$A:$A,Instagram_Usage_Lifestyle_Mini_!$C:$K)</f>
        <v>Suburban</v>
      </c>
      <c r="G313" t="str">
        <f>_xlfn.XLOOKUP($A:$A,Instagram_Usage_Lifestyle_Mini_!$A:$A,Instagram_Usage_Lifestyle_Mini_!$C:$K)</f>
        <v>Upper_middle</v>
      </c>
      <c r="H313" t="str">
        <f>_xlfn.XLOOKUP($A:$A,Instagram_Usage_Lifestyle_Mini_!$A:$A,Instagram_Usage_Lifestyle_Mini_!$C:$K)</f>
        <v>Full_time_employed</v>
      </c>
      <c r="I313" t="str">
        <f>_xlfn.XLOOKUP($A:$A,Instagram_Usage_Lifestyle_Mini_!$A:$A,Instagram_Usage_Lifestyle_Mini_!$C:$K)</f>
        <v>High_school</v>
      </c>
      <c r="J313" t="str">
        <f>_xlfn.XLOOKUP($A:$A,Instagram_Usage_Lifestyle_Mini_!$A:$A,Instagram_Usage_Lifestyle_Mini_!$C:$K)</f>
        <v>Divorced</v>
      </c>
      <c r="K313" t="str">
        <f>_xlfn.XLOOKUP($A:$A,Instagram_Usage_Lifestyle_Mini_!$A:$A,Instagram_Usage_Lifestyle_Mini_!$C:$K)</f>
        <v>No</v>
      </c>
      <c r="L313" t="str" cm="1">
        <f t="array" ref="L313">_xlfn.IFS(C313&lt;18,"Under_18",C313&lt;=25,"Youth",C313&lt;=35,"Young_Adults",C313&lt;=45,"Mid_Adults",TRUE,"Seniors")</f>
        <v>Seniors</v>
      </c>
    </row>
    <row r="314" spans="1:12" x14ac:dyDescent="0.2">
      <c r="A314">
        <v>313</v>
      </c>
      <c r="B314" t="str">
        <f>_xlfn.XLOOKUP(A314,Instagram_Usage_Lifestyle_Mini_!A314,Instagram_Usage_Lifestyle_Mini_!B314,1)</f>
        <v>Instagram</v>
      </c>
      <c r="C314">
        <f>_xlfn.XLOOKUP($A:$A,Instagram_Usage_Lifestyle_Mini_!$A:$A,Instagram_Usage_Lifestyle_Mini_!$C:$K)</f>
        <v>28</v>
      </c>
      <c r="D314" t="str">
        <f>_xlfn.XLOOKUP($A:$A,Instagram_Usage_Lifestyle_Mini_!$A:$A,Instagram_Usage_Lifestyle_Mini_!$C:$K)</f>
        <v>Male</v>
      </c>
      <c r="E314" t="str">
        <f>_xlfn.XLOOKUP($A:$A,Instagram_Usage_Lifestyle_Mini_!$A:$A,Instagram_Usage_Lifestyle_Mini_!$C:$K)</f>
        <v>Other</v>
      </c>
      <c r="F314" t="str">
        <f>_xlfn.XLOOKUP($A:$A,Instagram_Usage_Lifestyle_Mini_!$A:$A,Instagram_Usage_Lifestyle_Mini_!$C:$K)</f>
        <v>Urban</v>
      </c>
      <c r="G314" t="str">
        <f>_xlfn.XLOOKUP($A:$A,Instagram_Usage_Lifestyle_Mini_!$A:$A,Instagram_Usage_Lifestyle_Mini_!$C:$K)</f>
        <v>Low</v>
      </c>
      <c r="H314" t="str">
        <f>_xlfn.XLOOKUP($A:$A,Instagram_Usage_Lifestyle_Mini_!$A:$A,Instagram_Usage_Lifestyle_Mini_!$C:$K)</f>
        <v>Full_time_employed</v>
      </c>
      <c r="I314" t="str">
        <f>_xlfn.XLOOKUP($A:$A,Instagram_Usage_Lifestyle_Mini_!$A:$A,Instagram_Usage_Lifestyle_Mini_!$C:$K)</f>
        <v>Bachelors_degree</v>
      </c>
      <c r="J314" t="str">
        <f>_xlfn.XLOOKUP($A:$A,Instagram_Usage_Lifestyle_Mini_!$A:$A,Instagram_Usage_Lifestyle_Mini_!$C:$K)</f>
        <v>Married</v>
      </c>
      <c r="K314" t="str">
        <f>_xlfn.XLOOKUP($A:$A,Instagram_Usage_Lifestyle_Mini_!$A:$A,Instagram_Usage_Lifestyle_Mini_!$C:$K)</f>
        <v>Yes</v>
      </c>
      <c r="L314" t="str" cm="1">
        <f t="array" ref="L314">_xlfn.IFS(C314&lt;18,"Under_18",C314&lt;=25,"Youth",C314&lt;=35,"Young_Adults",C314&lt;=45,"Mid_Adults",TRUE,"Seniors")</f>
        <v>Young_Adults</v>
      </c>
    </row>
    <row r="315" spans="1:12" x14ac:dyDescent="0.2">
      <c r="A315">
        <v>314</v>
      </c>
      <c r="B315" t="str">
        <f>_xlfn.XLOOKUP(A315,Instagram_Usage_Lifestyle_Mini_!A315,Instagram_Usage_Lifestyle_Mini_!B315,1)</f>
        <v>Instagram</v>
      </c>
      <c r="C315">
        <f>_xlfn.XLOOKUP($A:$A,Instagram_Usage_Lifestyle_Mini_!$A:$A,Instagram_Usage_Lifestyle_Mini_!$C:$K)</f>
        <v>15</v>
      </c>
      <c r="D315" t="str">
        <f>_xlfn.XLOOKUP($A:$A,Instagram_Usage_Lifestyle_Mini_!$A:$A,Instagram_Usage_Lifestyle_Mini_!$C:$K)</f>
        <v>Male</v>
      </c>
      <c r="E315" t="str">
        <f>_xlfn.XLOOKUP($A:$A,Instagram_Usage_Lifestyle_Mini_!$A:$A,Instagram_Usage_Lifestyle_Mini_!$C:$K)</f>
        <v>Brazil</v>
      </c>
      <c r="F315" t="str">
        <f>_xlfn.XLOOKUP($A:$A,Instagram_Usage_Lifestyle_Mini_!$A:$A,Instagram_Usage_Lifestyle_Mini_!$C:$K)</f>
        <v>Suburban</v>
      </c>
      <c r="G315" t="str">
        <f>_xlfn.XLOOKUP($A:$A,Instagram_Usage_Lifestyle_Mini_!$A:$A,Instagram_Usage_Lifestyle_Mini_!$C:$K)</f>
        <v>Low</v>
      </c>
      <c r="H315" t="str">
        <f>_xlfn.XLOOKUP($A:$A,Instagram_Usage_Lifestyle_Mini_!$A:$A,Instagram_Usage_Lifestyle_Mini_!$C:$K)</f>
        <v>Full_time_employed</v>
      </c>
      <c r="I315" t="str">
        <f>_xlfn.XLOOKUP($A:$A,Instagram_Usage_Lifestyle_Mini_!$A:$A,Instagram_Usage_Lifestyle_Mini_!$C:$K)</f>
        <v>High_school</v>
      </c>
      <c r="J315" t="str">
        <f>_xlfn.XLOOKUP($A:$A,Instagram_Usage_Lifestyle_Mini_!$A:$A,Instagram_Usage_Lifestyle_Mini_!$C:$K)</f>
        <v>Married</v>
      </c>
      <c r="K315" t="str">
        <f>_xlfn.XLOOKUP($A:$A,Instagram_Usage_Lifestyle_Mini_!$A:$A,Instagram_Usage_Lifestyle_Mini_!$C:$K)</f>
        <v>No</v>
      </c>
      <c r="L315" t="str" cm="1">
        <f t="array" ref="L315">_xlfn.IFS(C315&lt;18,"Under_18",C315&lt;=25,"Youth",C315&lt;=35,"Young_Adults",C315&lt;=45,"Mid_Adults",TRUE,"Seniors")</f>
        <v>Under_18</v>
      </c>
    </row>
    <row r="316" spans="1:12" x14ac:dyDescent="0.2">
      <c r="A316">
        <v>315</v>
      </c>
      <c r="B316" t="str">
        <f>_xlfn.XLOOKUP(A316,Instagram_Usage_Lifestyle_Mini_!A316,Instagram_Usage_Lifestyle_Mini_!B316,1)</f>
        <v>Instagram</v>
      </c>
      <c r="C316">
        <f>_xlfn.XLOOKUP($A:$A,Instagram_Usage_Lifestyle_Mini_!$A:$A,Instagram_Usage_Lifestyle_Mini_!$C:$K)</f>
        <v>32</v>
      </c>
      <c r="D316" t="str">
        <f>_xlfn.XLOOKUP($A:$A,Instagram_Usage_Lifestyle_Mini_!$A:$A,Instagram_Usage_Lifestyle_Mini_!$C:$K)</f>
        <v>Male</v>
      </c>
      <c r="E316" t="str">
        <f>_xlfn.XLOOKUP($A:$A,Instagram_Usage_Lifestyle_Mini_!$A:$A,Instagram_Usage_Lifestyle_Mini_!$C:$K)</f>
        <v>Japan</v>
      </c>
      <c r="F316" t="str">
        <f>_xlfn.XLOOKUP($A:$A,Instagram_Usage_Lifestyle_Mini_!$A:$A,Instagram_Usage_Lifestyle_Mini_!$C:$K)</f>
        <v>Urban</v>
      </c>
      <c r="G316" t="str">
        <f>_xlfn.XLOOKUP($A:$A,Instagram_Usage_Lifestyle_Mini_!$A:$A,Instagram_Usage_Lifestyle_Mini_!$C:$K)</f>
        <v>Low</v>
      </c>
      <c r="H316" t="str">
        <f>_xlfn.XLOOKUP($A:$A,Instagram_Usage_Lifestyle_Mini_!$A:$A,Instagram_Usage_Lifestyle_Mini_!$C:$K)</f>
        <v>Full_time_employed</v>
      </c>
      <c r="I316" t="str">
        <f>_xlfn.XLOOKUP($A:$A,Instagram_Usage_Lifestyle_Mini_!$A:$A,Instagram_Usage_Lifestyle_Mini_!$C:$K)</f>
        <v>Some_college</v>
      </c>
      <c r="J316" t="str">
        <f>_xlfn.XLOOKUP($A:$A,Instagram_Usage_Lifestyle_Mini_!$A:$A,Instagram_Usage_Lifestyle_Mini_!$C:$K)</f>
        <v>Married</v>
      </c>
      <c r="K316" t="str">
        <f>_xlfn.XLOOKUP($A:$A,Instagram_Usage_Lifestyle_Mini_!$A:$A,Instagram_Usage_Lifestyle_Mini_!$C:$K)</f>
        <v>No</v>
      </c>
      <c r="L316" t="str" cm="1">
        <f t="array" ref="L316">_xlfn.IFS(C316&lt;18,"Under_18",C316&lt;=25,"Youth",C316&lt;=35,"Young_Adults",C316&lt;=45,"Mid_Adults",TRUE,"Seniors")</f>
        <v>Young_Adults</v>
      </c>
    </row>
    <row r="317" spans="1:12" x14ac:dyDescent="0.2">
      <c r="A317">
        <v>316</v>
      </c>
      <c r="B317" t="str">
        <f>_xlfn.XLOOKUP(A317,Instagram_Usage_Lifestyle_Mini_!A317,Instagram_Usage_Lifestyle_Mini_!B317,1)</f>
        <v>Instagram</v>
      </c>
      <c r="C317">
        <f>_xlfn.XLOOKUP($A:$A,Instagram_Usage_Lifestyle_Mini_!$A:$A,Instagram_Usage_Lifestyle_Mini_!$C:$K)</f>
        <v>36</v>
      </c>
      <c r="D317" t="str">
        <f>_xlfn.XLOOKUP($A:$A,Instagram_Usage_Lifestyle_Mini_!$A:$A,Instagram_Usage_Lifestyle_Mini_!$C:$K)</f>
        <v>Female</v>
      </c>
      <c r="E317" t="str">
        <f>_xlfn.XLOOKUP($A:$A,Instagram_Usage_Lifestyle_Mini_!$A:$A,Instagram_Usage_Lifestyle_Mini_!$C:$K)</f>
        <v>United_States</v>
      </c>
      <c r="F317" t="str">
        <f>_xlfn.XLOOKUP($A:$A,Instagram_Usage_Lifestyle_Mini_!$A:$A,Instagram_Usage_Lifestyle_Mini_!$C:$K)</f>
        <v>Urban</v>
      </c>
      <c r="G317" t="str">
        <f>_xlfn.XLOOKUP($A:$A,Instagram_Usage_Lifestyle_Mini_!$A:$A,Instagram_Usage_Lifestyle_Mini_!$C:$K)</f>
        <v>Low</v>
      </c>
      <c r="H317" t="str">
        <f>_xlfn.XLOOKUP($A:$A,Instagram_Usage_Lifestyle_Mini_!$A:$A,Instagram_Usage_Lifestyle_Mini_!$C:$K)</f>
        <v>Student</v>
      </c>
      <c r="I317" t="str">
        <f>_xlfn.XLOOKUP($A:$A,Instagram_Usage_Lifestyle_Mini_!$A:$A,Instagram_Usage_Lifestyle_Mini_!$C:$K)</f>
        <v>Masters_degree</v>
      </c>
      <c r="J317" t="str">
        <f>_xlfn.XLOOKUP($A:$A,Instagram_Usage_Lifestyle_Mini_!$A:$A,Instagram_Usage_Lifestyle_Mini_!$C:$K)</f>
        <v>Single</v>
      </c>
      <c r="K317" t="str">
        <f>_xlfn.XLOOKUP($A:$A,Instagram_Usage_Lifestyle_Mini_!$A:$A,Instagram_Usage_Lifestyle_Mini_!$C:$K)</f>
        <v>Yes</v>
      </c>
      <c r="L317" t="str" cm="1">
        <f t="array" ref="L317">_xlfn.IFS(C317&lt;18,"Under_18",C317&lt;=25,"Youth",C317&lt;=35,"Young_Adults",C317&lt;=45,"Mid_Adults",TRUE,"Seniors")</f>
        <v>Mid_Adults</v>
      </c>
    </row>
    <row r="318" spans="1:12" x14ac:dyDescent="0.2">
      <c r="A318">
        <v>317</v>
      </c>
      <c r="B318" t="str">
        <f>_xlfn.XLOOKUP(A318,Instagram_Usage_Lifestyle_Mini_!A318,Instagram_Usage_Lifestyle_Mini_!B318,1)</f>
        <v>Instagram</v>
      </c>
      <c r="C318">
        <f>_xlfn.XLOOKUP($A:$A,Instagram_Usage_Lifestyle_Mini_!$A:$A,Instagram_Usage_Lifestyle_Mini_!$C:$K)</f>
        <v>45</v>
      </c>
      <c r="D318" t="str">
        <f>_xlfn.XLOOKUP($A:$A,Instagram_Usage_Lifestyle_Mini_!$A:$A,Instagram_Usage_Lifestyle_Mini_!$C:$K)</f>
        <v>Female</v>
      </c>
      <c r="E318" t="str">
        <f>_xlfn.XLOOKUP($A:$A,Instagram_Usage_Lifestyle_Mini_!$A:$A,Instagram_Usage_Lifestyle_Mini_!$C:$K)</f>
        <v>Japan</v>
      </c>
      <c r="F318" t="str">
        <f>_xlfn.XLOOKUP($A:$A,Instagram_Usage_Lifestyle_Mini_!$A:$A,Instagram_Usage_Lifestyle_Mini_!$C:$K)</f>
        <v>Urban</v>
      </c>
      <c r="G318" t="str">
        <f>_xlfn.XLOOKUP($A:$A,Instagram_Usage_Lifestyle_Mini_!$A:$A,Instagram_Usage_Lifestyle_Mini_!$C:$K)</f>
        <v>Low</v>
      </c>
      <c r="H318" t="str">
        <f>_xlfn.XLOOKUP($A:$A,Instagram_Usage_Lifestyle_Mini_!$A:$A,Instagram_Usage_Lifestyle_Mini_!$C:$K)</f>
        <v>Full_time_employed</v>
      </c>
      <c r="I318" t="str">
        <f>_xlfn.XLOOKUP($A:$A,Instagram_Usage_Lifestyle_Mini_!$A:$A,Instagram_Usage_Lifestyle_Mini_!$C:$K)</f>
        <v>High_school</v>
      </c>
      <c r="J318" t="str">
        <f>_xlfn.XLOOKUP($A:$A,Instagram_Usage_Lifestyle_Mini_!$A:$A,Instagram_Usage_Lifestyle_Mini_!$C:$K)</f>
        <v>Single</v>
      </c>
      <c r="K318" t="str">
        <f>_xlfn.XLOOKUP($A:$A,Instagram_Usage_Lifestyle_Mini_!$A:$A,Instagram_Usage_Lifestyle_Mini_!$C:$K)</f>
        <v>No</v>
      </c>
      <c r="L318" t="str" cm="1">
        <f t="array" ref="L318">_xlfn.IFS(C318&lt;18,"Under_18",C318&lt;=25,"Youth",C318&lt;=35,"Young_Adults",C318&lt;=45,"Mid_Adults",TRUE,"Seniors")</f>
        <v>Mid_Adults</v>
      </c>
    </row>
    <row r="319" spans="1:12" x14ac:dyDescent="0.2">
      <c r="A319">
        <v>318</v>
      </c>
      <c r="B319" t="str">
        <f>_xlfn.XLOOKUP(A319,Instagram_Usage_Lifestyle_Mini_!A319,Instagram_Usage_Lifestyle_Mini_!B319,1)</f>
        <v>Instagram</v>
      </c>
      <c r="C319">
        <f>_xlfn.XLOOKUP($A:$A,Instagram_Usage_Lifestyle_Mini_!$A:$A,Instagram_Usage_Lifestyle_Mini_!$C:$K)</f>
        <v>36</v>
      </c>
      <c r="D319" t="str">
        <f>_xlfn.XLOOKUP($A:$A,Instagram_Usage_Lifestyle_Mini_!$A:$A,Instagram_Usage_Lifestyle_Mini_!$C:$K)</f>
        <v>Male</v>
      </c>
      <c r="E319" t="str">
        <f>_xlfn.XLOOKUP($A:$A,Instagram_Usage_Lifestyle_Mini_!$A:$A,Instagram_Usage_Lifestyle_Mini_!$C:$K)</f>
        <v>Germany</v>
      </c>
      <c r="F319" t="str">
        <f>_xlfn.XLOOKUP($A:$A,Instagram_Usage_Lifestyle_Mini_!$A:$A,Instagram_Usage_Lifestyle_Mini_!$C:$K)</f>
        <v>Suburban</v>
      </c>
      <c r="G319" t="str">
        <f>_xlfn.XLOOKUP($A:$A,Instagram_Usage_Lifestyle_Mini_!$A:$A,Instagram_Usage_Lifestyle_Mini_!$C:$K)</f>
        <v>Middle</v>
      </c>
      <c r="H319" t="str">
        <f>_xlfn.XLOOKUP($A:$A,Instagram_Usage_Lifestyle_Mini_!$A:$A,Instagram_Usage_Lifestyle_Mini_!$C:$K)</f>
        <v>Unemployed</v>
      </c>
      <c r="I319" t="str">
        <f>_xlfn.XLOOKUP($A:$A,Instagram_Usage_Lifestyle_Mini_!$A:$A,Instagram_Usage_Lifestyle_Mini_!$C:$K)</f>
        <v>High_school</v>
      </c>
      <c r="J319" t="str">
        <f>_xlfn.XLOOKUP($A:$A,Instagram_Usage_Lifestyle_Mini_!$A:$A,Instagram_Usage_Lifestyle_Mini_!$C:$K)</f>
        <v>Married</v>
      </c>
      <c r="K319" t="str">
        <f>_xlfn.XLOOKUP($A:$A,Instagram_Usage_Lifestyle_Mini_!$A:$A,Instagram_Usage_Lifestyle_Mini_!$C:$K)</f>
        <v>No</v>
      </c>
      <c r="L319" t="str" cm="1">
        <f t="array" ref="L319">_xlfn.IFS(C319&lt;18,"Under_18",C319&lt;=25,"Youth",C319&lt;=35,"Young_Adults",C319&lt;=45,"Mid_Adults",TRUE,"Seniors")</f>
        <v>Mid_Adults</v>
      </c>
    </row>
    <row r="320" spans="1:12" x14ac:dyDescent="0.2">
      <c r="A320">
        <v>319</v>
      </c>
      <c r="B320" t="str">
        <f>_xlfn.XLOOKUP(A320,Instagram_Usage_Lifestyle_Mini_!A320,Instagram_Usage_Lifestyle_Mini_!B320,1)</f>
        <v>Instagram</v>
      </c>
      <c r="C320">
        <f>_xlfn.XLOOKUP($A:$A,Instagram_Usage_Lifestyle_Mini_!$A:$A,Instagram_Usage_Lifestyle_Mini_!$C:$K)</f>
        <v>64</v>
      </c>
      <c r="D320" t="str">
        <f>_xlfn.XLOOKUP($A:$A,Instagram_Usage_Lifestyle_Mini_!$A:$A,Instagram_Usage_Lifestyle_Mini_!$C:$K)</f>
        <v>Male</v>
      </c>
      <c r="E320" t="str">
        <f>_xlfn.XLOOKUP($A:$A,Instagram_Usage_Lifestyle_Mini_!$A:$A,Instagram_Usage_Lifestyle_Mini_!$C:$K)</f>
        <v>India</v>
      </c>
      <c r="F320" t="str">
        <f>_xlfn.XLOOKUP($A:$A,Instagram_Usage_Lifestyle_Mini_!$A:$A,Instagram_Usage_Lifestyle_Mini_!$C:$K)</f>
        <v>Urban</v>
      </c>
      <c r="G320" t="str">
        <f>_xlfn.XLOOKUP($A:$A,Instagram_Usage_Lifestyle_Mini_!$A:$A,Instagram_Usage_Lifestyle_Mini_!$C:$K)</f>
        <v>Low</v>
      </c>
      <c r="H320" t="str">
        <f>_xlfn.XLOOKUP($A:$A,Instagram_Usage_Lifestyle_Mini_!$A:$A,Instagram_Usage_Lifestyle_Mini_!$C:$K)</f>
        <v>Part_time</v>
      </c>
      <c r="I320" t="str">
        <f>_xlfn.XLOOKUP($A:$A,Instagram_Usage_Lifestyle_Mini_!$A:$A,Instagram_Usage_Lifestyle_Mini_!$C:$K)</f>
        <v>Masters_degree</v>
      </c>
      <c r="J320" t="str">
        <f>_xlfn.XLOOKUP($A:$A,Instagram_Usage_Lifestyle_Mini_!$A:$A,Instagram_Usage_Lifestyle_Mini_!$C:$K)</f>
        <v>In_a_relationship</v>
      </c>
      <c r="K320" t="str">
        <f>_xlfn.XLOOKUP($A:$A,Instagram_Usage_Lifestyle_Mini_!$A:$A,Instagram_Usage_Lifestyle_Mini_!$C:$K)</f>
        <v>No</v>
      </c>
      <c r="L320" t="str" cm="1">
        <f t="array" ref="L320">_xlfn.IFS(C320&lt;18,"Under_18",C320&lt;=25,"Youth",C320&lt;=35,"Young_Adults",C320&lt;=45,"Mid_Adults",TRUE,"Seniors")</f>
        <v>Seniors</v>
      </c>
    </row>
    <row r="321" spans="1:12" x14ac:dyDescent="0.2">
      <c r="A321">
        <v>320</v>
      </c>
      <c r="B321" t="str">
        <f>_xlfn.XLOOKUP(A321,Instagram_Usage_Lifestyle_Mini_!A321,Instagram_Usage_Lifestyle_Mini_!B321,1)</f>
        <v>Instagram</v>
      </c>
      <c r="C321">
        <f>_xlfn.XLOOKUP($A:$A,Instagram_Usage_Lifestyle_Mini_!$A:$A,Instagram_Usage_Lifestyle_Mini_!$C:$K)</f>
        <v>23</v>
      </c>
      <c r="D321" t="str">
        <f>_xlfn.XLOOKUP($A:$A,Instagram_Usage_Lifestyle_Mini_!$A:$A,Instagram_Usage_Lifestyle_Mini_!$C:$K)</f>
        <v>Female</v>
      </c>
      <c r="E321" t="str">
        <f>_xlfn.XLOOKUP($A:$A,Instagram_Usage_Lifestyle_Mini_!$A:$A,Instagram_Usage_Lifestyle_Mini_!$C:$K)</f>
        <v>Brazil</v>
      </c>
      <c r="F321" t="str">
        <f>_xlfn.XLOOKUP($A:$A,Instagram_Usage_Lifestyle_Mini_!$A:$A,Instagram_Usage_Lifestyle_Mini_!$C:$K)</f>
        <v>Urban</v>
      </c>
      <c r="G321" t="str">
        <f>_xlfn.XLOOKUP($A:$A,Instagram_Usage_Lifestyle_Mini_!$A:$A,Instagram_Usage_Lifestyle_Mini_!$C:$K)</f>
        <v>Middle</v>
      </c>
      <c r="H321" t="str">
        <f>_xlfn.XLOOKUP($A:$A,Instagram_Usage_Lifestyle_Mini_!$A:$A,Instagram_Usage_Lifestyle_Mini_!$C:$K)</f>
        <v>Full_time_employed</v>
      </c>
      <c r="I321" t="str">
        <f>_xlfn.XLOOKUP($A:$A,Instagram_Usage_Lifestyle_Mini_!$A:$A,Instagram_Usage_Lifestyle_Mini_!$C:$K)</f>
        <v>Some_college</v>
      </c>
      <c r="J321" t="str">
        <f>_xlfn.XLOOKUP($A:$A,Instagram_Usage_Lifestyle_Mini_!$A:$A,Instagram_Usage_Lifestyle_Mini_!$C:$K)</f>
        <v>In_a_relationship</v>
      </c>
      <c r="K321" t="str">
        <f>_xlfn.XLOOKUP($A:$A,Instagram_Usage_Lifestyle_Mini_!$A:$A,Instagram_Usage_Lifestyle_Mini_!$C:$K)</f>
        <v>Yes</v>
      </c>
      <c r="L321" t="str" cm="1">
        <f t="array" ref="L321">_xlfn.IFS(C321&lt;18,"Under_18",C321&lt;=25,"Youth",C321&lt;=35,"Young_Adults",C321&lt;=45,"Mid_Adults",TRUE,"Seniors")</f>
        <v>Youth</v>
      </c>
    </row>
    <row r="322" spans="1:12" x14ac:dyDescent="0.2">
      <c r="A322">
        <v>321</v>
      </c>
      <c r="B322" t="str">
        <f>_xlfn.XLOOKUP(A322,Instagram_Usage_Lifestyle_Mini_!A322,Instagram_Usage_Lifestyle_Mini_!B322,1)</f>
        <v>Instagram</v>
      </c>
      <c r="C322">
        <f>_xlfn.XLOOKUP($A:$A,Instagram_Usage_Lifestyle_Mini_!$A:$A,Instagram_Usage_Lifestyle_Mini_!$C:$K)</f>
        <v>61</v>
      </c>
      <c r="D322" t="str">
        <f>_xlfn.XLOOKUP($A:$A,Instagram_Usage_Lifestyle_Mini_!$A:$A,Instagram_Usage_Lifestyle_Mini_!$C:$K)</f>
        <v>Female</v>
      </c>
      <c r="E322" t="str">
        <f>_xlfn.XLOOKUP($A:$A,Instagram_Usage_Lifestyle_Mini_!$A:$A,Instagram_Usage_Lifestyle_Mini_!$C:$K)</f>
        <v>United_States</v>
      </c>
      <c r="F322" t="str">
        <f>_xlfn.XLOOKUP($A:$A,Instagram_Usage_Lifestyle_Mini_!$A:$A,Instagram_Usage_Lifestyle_Mini_!$C:$K)</f>
        <v>Suburban</v>
      </c>
      <c r="G322" t="str">
        <f>_xlfn.XLOOKUP($A:$A,Instagram_Usage_Lifestyle_Mini_!$A:$A,Instagram_Usage_Lifestyle_Mini_!$C:$K)</f>
        <v>Middle</v>
      </c>
      <c r="H322" t="str">
        <f>_xlfn.XLOOKUP($A:$A,Instagram_Usage_Lifestyle_Mini_!$A:$A,Instagram_Usage_Lifestyle_Mini_!$C:$K)</f>
        <v>Full_time_employed</v>
      </c>
      <c r="I322" t="str">
        <f>_xlfn.XLOOKUP($A:$A,Instagram_Usage_Lifestyle_Mini_!$A:$A,Instagram_Usage_Lifestyle_Mini_!$C:$K)</f>
        <v>Other</v>
      </c>
      <c r="J322" t="str">
        <f>_xlfn.XLOOKUP($A:$A,Instagram_Usage_Lifestyle_Mini_!$A:$A,Instagram_Usage_Lifestyle_Mini_!$C:$K)</f>
        <v>In_a_relationship</v>
      </c>
      <c r="K322" t="str">
        <f>_xlfn.XLOOKUP($A:$A,Instagram_Usage_Lifestyle_Mini_!$A:$A,Instagram_Usage_Lifestyle_Mini_!$C:$K)</f>
        <v>No</v>
      </c>
      <c r="L322" t="str" cm="1">
        <f t="array" ref="L322">_xlfn.IFS(C322&lt;18,"Under_18",C322&lt;=25,"Youth",C322&lt;=35,"Young_Adults",C322&lt;=45,"Mid_Adults",TRUE,"Seniors")</f>
        <v>Seniors</v>
      </c>
    </row>
    <row r="323" spans="1:12" x14ac:dyDescent="0.2">
      <c r="A323">
        <v>322</v>
      </c>
      <c r="B323" t="str">
        <f>_xlfn.XLOOKUP(A323,Instagram_Usage_Lifestyle_Mini_!A323,Instagram_Usage_Lifestyle_Mini_!B323,1)</f>
        <v>Instagram</v>
      </c>
      <c r="C323">
        <f>_xlfn.XLOOKUP($A:$A,Instagram_Usage_Lifestyle_Mini_!$A:$A,Instagram_Usage_Lifestyle_Mini_!$C:$K)</f>
        <v>20</v>
      </c>
      <c r="D323" t="str">
        <f>_xlfn.XLOOKUP($A:$A,Instagram_Usage_Lifestyle_Mini_!$A:$A,Instagram_Usage_Lifestyle_Mini_!$C:$K)</f>
        <v>Female</v>
      </c>
      <c r="E323" t="str">
        <f>_xlfn.XLOOKUP($A:$A,Instagram_Usage_Lifestyle_Mini_!$A:$A,Instagram_Usage_Lifestyle_Mini_!$C:$K)</f>
        <v>Other</v>
      </c>
      <c r="F323" t="str">
        <f>_xlfn.XLOOKUP($A:$A,Instagram_Usage_Lifestyle_Mini_!$A:$A,Instagram_Usage_Lifestyle_Mini_!$C:$K)</f>
        <v>Urban</v>
      </c>
      <c r="G323" t="str">
        <f>_xlfn.XLOOKUP($A:$A,Instagram_Usage_Lifestyle_Mini_!$A:$A,Instagram_Usage_Lifestyle_Mini_!$C:$K)</f>
        <v>Lower_middle</v>
      </c>
      <c r="H323" t="str">
        <f>_xlfn.XLOOKUP($A:$A,Instagram_Usage_Lifestyle_Mini_!$A:$A,Instagram_Usage_Lifestyle_Mini_!$C:$K)</f>
        <v>Full_time_employed</v>
      </c>
      <c r="I323" t="str">
        <f>_xlfn.XLOOKUP($A:$A,Instagram_Usage_Lifestyle_Mini_!$A:$A,Instagram_Usage_Lifestyle_Mini_!$C:$K)</f>
        <v>High_school</v>
      </c>
      <c r="J323" t="str">
        <f>_xlfn.XLOOKUP($A:$A,Instagram_Usage_Lifestyle_Mini_!$A:$A,Instagram_Usage_Lifestyle_Mini_!$C:$K)</f>
        <v>Divorced</v>
      </c>
      <c r="K323" t="str">
        <f>_xlfn.XLOOKUP($A:$A,Instagram_Usage_Lifestyle_Mini_!$A:$A,Instagram_Usage_Lifestyle_Mini_!$C:$K)</f>
        <v>No</v>
      </c>
      <c r="L323" t="str" cm="1">
        <f t="array" ref="L323">_xlfn.IFS(C323&lt;18,"Under_18",C323&lt;=25,"Youth",C323&lt;=35,"Young_Adults",C323&lt;=45,"Mid_Adults",TRUE,"Seniors")</f>
        <v>Youth</v>
      </c>
    </row>
    <row r="324" spans="1:12" x14ac:dyDescent="0.2">
      <c r="A324">
        <v>323</v>
      </c>
      <c r="B324" t="str">
        <f>_xlfn.XLOOKUP(A324,Instagram_Usage_Lifestyle_Mini_!A324,Instagram_Usage_Lifestyle_Mini_!B324,1)</f>
        <v>Instagram</v>
      </c>
      <c r="C324">
        <f>_xlfn.XLOOKUP($A:$A,Instagram_Usage_Lifestyle_Mini_!$A:$A,Instagram_Usage_Lifestyle_Mini_!$C:$K)</f>
        <v>48</v>
      </c>
      <c r="D324" t="str">
        <f>_xlfn.XLOOKUP($A:$A,Instagram_Usage_Lifestyle_Mini_!$A:$A,Instagram_Usage_Lifestyle_Mini_!$C:$K)</f>
        <v>Male</v>
      </c>
      <c r="E324" t="str">
        <f>_xlfn.XLOOKUP($A:$A,Instagram_Usage_Lifestyle_Mini_!$A:$A,Instagram_Usage_Lifestyle_Mini_!$C:$K)</f>
        <v>Japan</v>
      </c>
      <c r="F324" t="str">
        <f>_xlfn.XLOOKUP($A:$A,Instagram_Usage_Lifestyle_Mini_!$A:$A,Instagram_Usage_Lifestyle_Mini_!$C:$K)</f>
        <v>Urban</v>
      </c>
      <c r="G324" t="str">
        <f>_xlfn.XLOOKUP($A:$A,Instagram_Usage_Lifestyle_Mini_!$A:$A,Instagram_Usage_Lifestyle_Mini_!$C:$K)</f>
        <v>Lower_middle</v>
      </c>
      <c r="H324" t="str">
        <f>_xlfn.XLOOKUP($A:$A,Instagram_Usage_Lifestyle_Mini_!$A:$A,Instagram_Usage_Lifestyle_Mini_!$C:$K)</f>
        <v>Part_time</v>
      </c>
      <c r="I324" t="str">
        <f>_xlfn.XLOOKUP($A:$A,Instagram_Usage_Lifestyle_Mini_!$A:$A,Instagram_Usage_Lifestyle_Mini_!$C:$K)</f>
        <v>Bachelors_degree</v>
      </c>
      <c r="J324" t="str">
        <f>_xlfn.XLOOKUP($A:$A,Instagram_Usage_Lifestyle_Mini_!$A:$A,Instagram_Usage_Lifestyle_Mini_!$C:$K)</f>
        <v>Single</v>
      </c>
      <c r="K324" t="str">
        <f>_xlfn.XLOOKUP($A:$A,Instagram_Usage_Lifestyle_Mini_!$A:$A,Instagram_Usage_Lifestyle_Mini_!$C:$K)</f>
        <v>No</v>
      </c>
      <c r="L324" t="str" cm="1">
        <f t="array" ref="L324">_xlfn.IFS(C324&lt;18,"Under_18",C324&lt;=25,"Youth",C324&lt;=35,"Young_Adults",C324&lt;=45,"Mid_Adults",TRUE,"Seniors")</f>
        <v>Seniors</v>
      </c>
    </row>
    <row r="325" spans="1:12" x14ac:dyDescent="0.2">
      <c r="A325">
        <v>324</v>
      </c>
      <c r="B325" t="str">
        <f>_xlfn.XLOOKUP(A325,Instagram_Usage_Lifestyle_Mini_!A325,Instagram_Usage_Lifestyle_Mini_!B325,1)</f>
        <v>Instagram</v>
      </c>
      <c r="C325">
        <f>_xlfn.XLOOKUP($A:$A,Instagram_Usage_Lifestyle_Mini_!$A:$A,Instagram_Usage_Lifestyle_Mini_!$C:$K)</f>
        <v>50</v>
      </c>
      <c r="D325" t="str">
        <f>_xlfn.XLOOKUP($A:$A,Instagram_Usage_Lifestyle_Mini_!$A:$A,Instagram_Usage_Lifestyle_Mini_!$C:$K)</f>
        <v>Female</v>
      </c>
      <c r="E325" t="str">
        <f>_xlfn.XLOOKUP($A:$A,Instagram_Usage_Lifestyle_Mini_!$A:$A,Instagram_Usage_Lifestyle_Mini_!$C:$K)</f>
        <v>South_Korea</v>
      </c>
      <c r="F325" t="str">
        <f>_xlfn.XLOOKUP($A:$A,Instagram_Usage_Lifestyle_Mini_!$A:$A,Instagram_Usage_Lifestyle_Mini_!$C:$K)</f>
        <v>Rural</v>
      </c>
      <c r="G325" t="str">
        <f>_xlfn.XLOOKUP($A:$A,Instagram_Usage_Lifestyle_Mini_!$A:$A,Instagram_Usage_Lifestyle_Mini_!$C:$K)</f>
        <v>Low</v>
      </c>
      <c r="H325" t="str">
        <f>_xlfn.XLOOKUP($A:$A,Instagram_Usage_Lifestyle_Mini_!$A:$A,Instagram_Usage_Lifestyle_Mini_!$C:$K)</f>
        <v>Freelancer</v>
      </c>
      <c r="I325" t="str">
        <f>_xlfn.XLOOKUP($A:$A,Instagram_Usage_Lifestyle_Mini_!$A:$A,Instagram_Usage_Lifestyle_Mini_!$C:$K)</f>
        <v>Bachelors_degree</v>
      </c>
      <c r="J325" t="str">
        <f>_xlfn.XLOOKUP($A:$A,Instagram_Usage_Lifestyle_Mini_!$A:$A,Instagram_Usage_Lifestyle_Mini_!$C:$K)</f>
        <v>In_a_relationship</v>
      </c>
      <c r="K325" t="str">
        <f>_xlfn.XLOOKUP($A:$A,Instagram_Usage_Lifestyle_Mini_!$A:$A,Instagram_Usage_Lifestyle_Mini_!$C:$K)</f>
        <v>No</v>
      </c>
      <c r="L325" t="str" cm="1">
        <f t="array" ref="L325">_xlfn.IFS(C325&lt;18,"Under_18",C325&lt;=25,"Youth",C325&lt;=35,"Young_Adults",C325&lt;=45,"Mid_Adults",TRUE,"Seniors")</f>
        <v>Seniors</v>
      </c>
    </row>
    <row r="326" spans="1:12" x14ac:dyDescent="0.2">
      <c r="A326">
        <v>325</v>
      </c>
      <c r="B326" t="str">
        <f>_xlfn.XLOOKUP(A326,Instagram_Usage_Lifestyle_Mini_!A326,Instagram_Usage_Lifestyle_Mini_!B326,1)</f>
        <v>Instagram</v>
      </c>
      <c r="C326">
        <f>_xlfn.XLOOKUP($A:$A,Instagram_Usage_Lifestyle_Mini_!$A:$A,Instagram_Usage_Lifestyle_Mini_!$C:$K)</f>
        <v>52</v>
      </c>
      <c r="D326" t="str">
        <f>_xlfn.XLOOKUP($A:$A,Instagram_Usage_Lifestyle_Mini_!$A:$A,Instagram_Usage_Lifestyle_Mini_!$C:$K)</f>
        <v>Male</v>
      </c>
      <c r="E326" t="str">
        <f>_xlfn.XLOOKUP($A:$A,Instagram_Usage_Lifestyle_Mini_!$A:$A,Instagram_Usage_Lifestyle_Mini_!$C:$K)</f>
        <v>India</v>
      </c>
      <c r="F326" t="str">
        <f>_xlfn.XLOOKUP($A:$A,Instagram_Usage_Lifestyle_Mini_!$A:$A,Instagram_Usage_Lifestyle_Mini_!$C:$K)</f>
        <v>Rural</v>
      </c>
      <c r="G326" t="str">
        <f>_xlfn.XLOOKUP($A:$A,Instagram_Usage_Lifestyle_Mini_!$A:$A,Instagram_Usage_Lifestyle_Mini_!$C:$K)</f>
        <v>Lower_middle</v>
      </c>
      <c r="H326" t="str">
        <f>_xlfn.XLOOKUP($A:$A,Instagram_Usage_Lifestyle_Mini_!$A:$A,Instagram_Usage_Lifestyle_Mini_!$C:$K)</f>
        <v>Unemployed</v>
      </c>
      <c r="I326" t="str">
        <f>_xlfn.XLOOKUP($A:$A,Instagram_Usage_Lifestyle_Mini_!$A:$A,Instagram_Usage_Lifestyle_Mini_!$C:$K)</f>
        <v>Some_college</v>
      </c>
      <c r="J326" t="str">
        <f>_xlfn.XLOOKUP($A:$A,Instagram_Usage_Lifestyle_Mini_!$A:$A,Instagram_Usage_Lifestyle_Mini_!$C:$K)</f>
        <v>Single</v>
      </c>
      <c r="K326" t="str">
        <f>_xlfn.XLOOKUP($A:$A,Instagram_Usage_Lifestyle_Mini_!$A:$A,Instagram_Usage_Lifestyle_Mini_!$C:$K)</f>
        <v>Yes</v>
      </c>
      <c r="L326" t="str" cm="1">
        <f t="array" ref="L326">_xlfn.IFS(C326&lt;18,"Under_18",C326&lt;=25,"Youth",C326&lt;=35,"Young_Adults",C326&lt;=45,"Mid_Adults",TRUE,"Seniors")</f>
        <v>Seniors</v>
      </c>
    </row>
    <row r="327" spans="1:12" x14ac:dyDescent="0.2">
      <c r="A327">
        <v>326</v>
      </c>
      <c r="B327" t="str">
        <f>_xlfn.XLOOKUP(A327,Instagram_Usage_Lifestyle_Mini_!A327,Instagram_Usage_Lifestyle_Mini_!B327,1)</f>
        <v>Instagram</v>
      </c>
      <c r="C327">
        <f>_xlfn.XLOOKUP($A:$A,Instagram_Usage_Lifestyle_Mini_!$A:$A,Instagram_Usage_Lifestyle_Mini_!$C:$K)</f>
        <v>32</v>
      </c>
      <c r="D327" t="str">
        <f>_xlfn.XLOOKUP($A:$A,Instagram_Usage_Lifestyle_Mini_!$A:$A,Instagram_Usage_Lifestyle_Mini_!$C:$K)</f>
        <v>Male</v>
      </c>
      <c r="E327" t="str">
        <f>_xlfn.XLOOKUP($A:$A,Instagram_Usage_Lifestyle_Mini_!$A:$A,Instagram_Usage_Lifestyle_Mini_!$C:$K)</f>
        <v>India</v>
      </c>
      <c r="F327" t="str">
        <f>_xlfn.XLOOKUP($A:$A,Instagram_Usage_Lifestyle_Mini_!$A:$A,Instagram_Usage_Lifestyle_Mini_!$C:$K)</f>
        <v>Urban</v>
      </c>
      <c r="G327" t="str">
        <f>_xlfn.XLOOKUP($A:$A,Instagram_Usage_Lifestyle_Mini_!$A:$A,Instagram_Usage_Lifestyle_Mini_!$C:$K)</f>
        <v>Lower_middle</v>
      </c>
      <c r="H327" t="str">
        <f>_xlfn.XLOOKUP($A:$A,Instagram_Usage_Lifestyle_Mini_!$A:$A,Instagram_Usage_Lifestyle_Mini_!$C:$K)</f>
        <v>Unemployed</v>
      </c>
      <c r="I327" t="str">
        <f>_xlfn.XLOOKUP($A:$A,Instagram_Usage_Lifestyle_Mini_!$A:$A,Instagram_Usage_Lifestyle_Mini_!$C:$K)</f>
        <v>Bachelors_degree</v>
      </c>
      <c r="J327" t="str">
        <f>_xlfn.XLOOKUP($A:$A,Instagram_Usage_Lifestyle_Mini_!$A:$A,Instagram_Usage_Lifestyle_Mini_!$C:$K)</f>
        <v>In_a_relationship</v>
      </c>
      <c r="K327" t="str">
        <f>_xlfn.XLOOKUP($A:$A,Instagram_Usage_Lifestyle_Mini_!$A:$A,Instagram_Usage_Lifestyle_Mini_!$C:$K)</f>
        <v>No</v>
      </c>
      <c r="L327" t="str" cm="1">
        <f t="array" ref="L327">_xlfn.IFS(C327&lt;18,"Under_18",C327&lt;=25,"Youth",C327&lt;=35,"Young_Adults",C327&lt;=45,"Mid_Adults",TRUE,"Seniors")</f>
        <v>Young_Adults</v>
      </c>
    </row>
    <row r="328" spans="1:12" x14ac:dyDescent="0.2">
      <c r="A328">
        <v>327</v>
      </c>
      <c r="B328" t="str">
        <f>_xlfn.XLOOKUP(A328,Instagram_Usage_Lifestyle_Mini_!A328,Instagram_Usage_Lifestyle_Mini_!B328,1)</f>
        <v>Instagram</v>
      </c>
      <c r="C328">
        <f>_xlfn.XLOOKUP($A:$A,Instagram_Usage_Lifestyle_Mini_!$A:$A,Instagram_Usage_Lifestyle_Mini_!$C:$K)</f>
        <v>47</v>
      </c>
      <c r="D328" t="str">
        <f>_xlfn.XLOOKUP($A:$A,Instagram_Usage_Lifestyle_Mini_!$A:$A,Instagram_Usage_Lifestyle_Mini_!$C:$K)</f>
        <v>Male</v>
      </c>
      <c r="E328" t="str">
        <f>_xlfn.XLOOKUP($A:$A,Instagram_Usage_Lifestyle_Mini_!$A:$A,Instagram_Usage_Lifestyle_Mini_!$C:$K)</f>
        <v>Other</v>
      </c>
      <c r="F328" t="str">
        <f>_xlfn.XLOOKUP($A:$A,Instagram_Usage_Lifestyle_Mini_!$A:$A,Instagram_Usage_Lifestyle_Mini_!$C:$K)</f>
        <v>Urban</v>
      </c>
      <c r="G328" t="str">
        <f>_xlfn.XLOOKUP($A:$A,Instagram_Usage_Lifestyle_Mini_!$A:$A,Instagram_Usage_Lifestyle_Mini_!$C:$K)</f>
        <v>Middle</v>
      </c>
      <c r="H328" t="str">
        <f>_xlfn.XLOOKUP($A:$A,Instagram_Usage_Lifestyle_Mini_!$A:$A,Instagram_Usage_Lifestyle_Mini_!$C:$K)</f>
        <v>Part_time</v>
      </c>
      <c r="I328" t="str">
        <f>_xlfn.XLOOKUP($A:$A,Instagram_Usage_Lifestyle_Mini_!$A:$A,Instagram_Usage_Lifestyle_Mini_!$C:$K)</f>
        <v>Masters_degree</v>
      </c>
      <c r="J328" t="str">
        <f>_xlfn.XLOOKUP($A:$A,Instagram_Usage_Lifestyle_Mini_!$A:$A,Instagram_Usage_Lifestyle_Mini_!$C:$K)</f>
        <v>Married</v>
      </c>
      <c r="K328" t="str">
        <f>_xlfn.XLOOKUP($A:$A,Instagram_Usage_Lifestyle_Mini_!$A:$A,Instagram_Usage_Lifestyle_Mini_!$C:$K)</f>
        <v>No</v>
      </c>
      <c r="L328" t="str" cm="1">
        <f t="array" ref="L328">_xlfn.IFS(C328&lt;18,"Under_18",C328&lt;=25,"Youth",C328&lt;=35,"Young_Adults",C328&lt;=45,"Mid_Adults",TRUE,"Seniors")</f>
        <v>Seniors</v>
      </c>
    </row>
    <row r="329" spans="1:12" x14ac:dyDescent="0.2">
      <c r="A329">
        <v>328</v>
      </c>
      <c r="B329" t="str">
        <f>_xlfn.XLOOKUP(A329,Instagram_Usage_Lifestyle_Mini_!A329,Instagram_Usage_Lifestyle_Mini_!B329,1)</f>
        <v>Instagram</v>
      </c>
      <c r="C329">
        <f>_xlfn.XLOOKUP($A:$A,Instagram_Usage_Lifestyle_Mini_!$A:$A,Instagram_Usage_Lifestyle_Mini_!$C:$K)</f>
        <v>60</v>
      </c>
      <c r="D329" t="str">
        <f>_xlfn.XLOOKUP($A:$A,Instagram_Usage_Lifestyle_Mini_!$A:$A,Instagram_Usage_Lifestyle_Mini_!$C:$K)</f>
        <v>Male</v>
      </c>
      <c r="E329" t="str">
        <f>_xlfn.XLOOKUP($A:$A,Instagram_Usage_Lifestyle_Mini_!$A:$A,Instagram_Usage_Lifestyle_Mini_!$C:$K)</f>
        <v>Canada</v>
      </c>
      <c r="F329" t="str">
        <f>_xlfn.XLOOKUP($A:$A,Instagram_Usage_Lifestyle_Mini_!$A:$A,Instagram_Usage_Lifestyle_Mini_!$C:$K)</f>
        <v>Rural</v>
      </c>
      <c r="G329" t="str">
        <f>_xlfn.XLOOKUP($A:$A,Instagram_Usage_Lifestyle_Mini_!$A:$A,Instagram_Usage_Lifestyle_Mini_!$C:$K)</f>
        <v>Lower_middle</v>
      </c>
      <c r="H329" t="str">
        <f>_xlfn.XLOOKUP($A:$A,Instagram_Usage_Lifestyle_Mini_!$A:$A,Instagram_Usage_Lifestyle_Mini_!$C:$K)</f>
        <v>Student</v>
      </c>
      <c r="I329" t="str">
        <f>_xlfn.XLOOKUP($A:$A,Instagram_Usage_Lifestyle_Mini_!$A:$A,Instagram_Usage_Lifestyle_Mini_!$C:$K)</f>
        <v>Masters_degree</v>
      </c>
      <c r="J329" t="str">
        <f>_xlfn.XLOOKUP($A:$A,Instagram_Usage_Lifestyle_Mini_!$A:$A,Instagram_Usage_Lifestyle_Mini_!$C:$K)</f>
        <v>Single</v>
      </c>
      <c r="K329" t="str">
        <f>_xlfn.XLOOKUP($A:$A,Instagram_Usage_Lifestyle_Mini_!$A:$A,Instagram_Usage_Lifestyle_Mini_!$C:$K)</f>
        <v>No</v>
      </c>
      <c r="L329" t="str" cm="1">
        <f t="array" ref="L329">_xlfn.IFS(C329&lt;18,"Under_18",C329&lt;=25,"Youth",C329&lt;=35,"Young_Adults",C329&lt;=45,"Mid_Adults",TRUE,"Seniors")</f>
        <v>Seniors</v>
      </c>
    </row>
    <row r="330" spans="1:12" x14ac:dyDescent="0.2">
      <c r="A330">
        <v>329</v>
      </c>
      <c r="B330" t="str">
        <f>_xlfn.XLOOKUP(A330,Instagram_Usage_Lifestyle_Mini_!A330,Instagram_Usage_Lifestyle_Mini_!B330,1)</f>
        <v>Instagram</v>
      </c>
      <c r="C330">
        <f>_xlfn.XLOOKUP($A:$A,Instagram_Usage_Lifestyle_Mini_!$A:$A,Instagram_Usage_Lifestyle_Mini_!$C:$K)</f>
        <v>37</v>
      </c>
      <c r="D330" t="str">
        <f>_xlfn.XLOOKUP($A:$A,Instagram_Usage_Lifestyle_Mini_!$A:$A,Instagram_Usage_Lifestyle_Mini_!$C:$K)</f>
        <v>Female</v>
      </c>
      <c r="E330" t="str">
        <f>_xlfn.XLOOKUP($A:$A,Instagram_Usage_Lifestyle_Mini_!$A:$A,Instagram_Usage_Lifestyle_Mini_!$C:$K)</f>
        <v>Japan</v>
      </c>
      <c r="F330" t="str">
        <f>_xlfn.XLOOKUP($A:$A,Instagram_Usage_Lifestyle_Mini_!$A:$A,Instagram_Usage_Lifestyle_Mini_!$C:$K)</f>
        <v>Suburban</v>
      </c>
      <c r="G330" t="str">
        <f>_xlfn.XLOOKUP($A:$A,Instagram_Usage_Lifestyle_Mini_!$A:$A,Instagram_Usage_Lifestyle_Mini_!$C:$K)</f>
        <v>Middle</v>
      </c>
      <c r="H330" t="str">
        <f>_xlfn.XLOOKUP($A:$A,Instagram_Usage_Lifestyle_Mini_!$A:$A,Instagram_Usage_Lifestyle_Mini_!$C:$K)</f>
        <v>Student</v>
      </c>
      <c r="I330" t="str">
        <f>_xlfn.XLOOKUP($A:$A,Instagram_Usage_Lifestyle_Mini_!$A:$A,Instagram_Usage_Lifestyle_Mini_!$C:$K)</f>
        <v>Some_college</v>
      </c>
      <c r="J330" t="str">
        <f>_xlfn.XLOOKUP($A:$A,Instagram_Usage_Lifestyle_Mini_!$A:$A,Instagram_Usage_Lifestyle_Mini_!$C:$K)</f>
        <v>Married</v>
      </c>
      <c r="K330" t="str">
        <f>_xlfn.XLOOKUP($A:$A,Instagram_Usage_Lifestyle_Mini_!$A:$A,Instagram_Usage_Lifestyle_Mini_!$C:$K)</f>
        <v>No</v>
      </c>
      <c r="L330" t="str" cm="1">
        <f t="array" ref="L330">_xlfn.IFS(C330&lt;18,"Under_18",C330&lt;=25,"Youth",C330&lt;=35,"Young_Adults",C330&lt;=45,"Mid_Adults",TRUE,"Seniors")</f>
        <v>Mid_Adults</v>
      </c>
    </row>
    <row r="331" spans="1:12" x14ac:dyDescent="0.2">
      <c r="A331">
        <v>330</v>
      </c>
      <c r="B331" t="str">
        <f>_xlfn.XLOOKUP(A331,Instagram_Usage_Lifestyle_Mini_!A331,Instagram_Usage_Lifestyle_Mini_!B331,1)</f>
        <v>Instagram</v>
      </c>
      <c r="C331">
        <f>_xlfn.XLOOKUP($A:$A,Instagram_Usage_Lifestyle_Mini_!$A:$A,Instagram_Usage_Lifestyle_Mini_!$C:$K)</f>
        <v>47</v>
      </c>
      <c r="D331" t="str">
        <f>_xlfn.XLOOKUP($A:$A,Instagram_Usage_Lifestyle_Mini_!$A:$A,Instagram_Usage_Lifestyle_Mini_!$C:$K)</f>
        <v>Female</v>
      </c>
      <c r="E331" t="str">
        <f>_xlfn.XLOOKUP($A:$A,Instagram_Usage_Lifestyle_Mini_!$A:$A,Instagram_Usage_Lifestyle_Mini_!$C:$K)</f>
        <v>India</v>
      </c>
      <c r="F331" t="str">
        <f>_xlfn.XLOOKUP($A:$A,Instagram_Usage_Lifestyle_Mini_!$A:$A,Instagram_Usage_Lifestyle_Mini_!$C:$K)</f>
        <v>Suburban</v>
      </c>
      <c r="G331" t="str">
        <f>_xlfn.XLOOKUP($A:$A,Instagram_Usage_Lifestyle_Mini_!$A:$A,Instagram_Usage_Lifestyle_Mini_!$C:$K)</f>
        <v>Lower_middle</v>
      </c>
      <c r="H331" t="str">
        <f>_xlfn.XLOOKUP($A:$A,Instagram_Usage_Lifestyle_Mini_!$A:$A,Instagram_Usage_Lifestyle_Mini_!$C:$K)</f>
        <v>Student</v>
      </c>
      <c r="I331" t="str">
        <f>_xlfn.XLOOKUP($A:$A,Instagram_Usage_Lifestyle_Mini_!$A:$A,Instagram_Usage_Lifestyle_Mini_!$C:$K)</f>
        <v>Bachelors_degree</v>
      </c>
      <c r="J331" t="str">
        <f>_xlfn.XLOOKUP($A:$A,Instagram_Usage_Lifestyle_Mini_!$A:$A,Instagram_Usage_Lifestyle_Mini_!$C:$K)</f>
        <v>Single</v>
      </c>
      <c r="K331" t="str">
        <f>_xlfn.XLOOKUP($A:$A,Instagram_Usage_Lifestyle_Mini_!$A:$A,Instagram_Usage_Lifestyle_Mini_!$C:$K)</f>
        <v>No</v>
      </c>
      <c r="L331" t="str" cm="1">
        <f t="array" ref="L331">_xlfn.IFS(C331&lt;18,"Under_18",C331&lt;=25,"Youth",C331&lt;=35,"Young_Adults",C331&lt;=45,"Mid_Adults",TRUE,"Seniors")</f>
        <v>Seniors</v>
      </c>
    </row>
    <row r="332" spans="1:12" x14ac:dyDescent="0.2">
      <c r="A332">
        <v>331</v>
      </c>
      <c r="B332" t="str">
        <f>_xlfn.XLOOKUP(A332,Instagram_Usage_Lifestyle_Mini_!A332,Instagram_Usage_Lifestyle_Mini_!B332,1)</f>
        <v>Instagram</v>
      </c>
      <c r="C332">
        <f>_xlfn.XLOOKUP($A:$A,Instagram_Usage_Lifestyle_Mini_!$A:$A,Instagram_Usage_Lifestyle_Mini_!$C:$K)</f>
        <v>37</v>
      </c>
      <c r="D332" t="str">
        <f>_xlfn.XLOOKUP($A:$A,Instagram_Usage_Lifestyle_Mini_!$A:$A,Instagram_Usage_Lifestyle_Mini_!$C:$K)</f>
        <v>Female</v>
      </c>
      <c r="E332" t="str">
        <f>_xlfn.XLOOKUP($A:$A,Instagram_Usage_Lifestyle_Mini_!$A:$A,Instagram_Usage_Lifestyle_Mini_!$C:$K)</f>
        <v>Brazil</v>
      </c>
      <c r="F332" t="str">
        <f>_xlfn.XLOOKUP($A:$A,Instagram_Usage_Lifestyle_Mini_!$A:$A,Instagram_Usage_Lifestyle_Mini_!$C:$K)</f>
        <v>Urban</v>
      </c>
      <c r="G332" t="str">
        <f>_xlfn.XLOOKUP($A:$A,Instagram_Usage_Lifestyle_Mini_!$A:$A,Instagram_Usage_Lifestyle_Mini_!$C:$K)</f>
        <v>Lower_middle</v>
      </c>
      <c r="H332" t="str">
        <f>_xlfn.XLOOKUP($A:$A,Instagram_Usage_Lifestyle_Mini_!$A:$A,Instagram_Usage_Lifestyle_Mini_!$C:$K)</f>
        <v>Full_time_employed</v>
      </c>
      <c r="I332" t="str">
        <f>_xlfn.XLOOKUP($A:$A,Instagram_Usage_Lifestyle_Mini_!$A:$A,Instagram_Usage_Lifestyle_Mini_!$C:$K)</f>
        <v>Some_college</v>
      </c>
      <c r="J332" t="str">
        <f>_xlfn.XLOOKUP($A:$A,Instagram_Usage_Lifestyle_Mini_!$A:$A,Instagram_Usage_Lifestyle_Mini_!$C:$K)</f>
        <v>In_a_relationship</v>
      </c>
      <c r="K332" t="str">
        <f>_xlfn.XLOOKUP($A:$A,Instagram_Usage_Lifestyle_Mini_!$A:$A,Instagram_Usage_Lifestyle_Mini_!$C:$K)</f>
        <v>No</v>
      </c>
      <c r="L332" t="str" cm="1">
        <f t="array" ref="L332">_xlfn.IFS(C332&lt;18,"Under_18",C332&lt;=25,"Youth",C332&lt;=35,"Young_Adults",C332&lt;=45,"Mid_Adults",TRUE,"Seniors")</f>
        <v>Mid_Adults</v>
      </c>
    </row>
    <row r="333" spans="1:12" x14ac:dyDescent="0.2">
      <c r="A333">
        <v>332</v>
      </c>
      <c r="B333" t="str">
        <f>_xlfn.XLOOKUP(A333,Instagram_Usage_Lifestyle_Mini_!A333,Instagram_Usage_Lifestyle_Mini_!B333,1)</f>
        <v>Instagram</v>
      </c>
      <c r="C333">
        <f>_xlfn.XLOOKUP($A:$A,Instagram_Usage_Lifestyle_Mini_!$A:$A,Instagram_Usage_Lifestyle_Mini_!$C:$K)</f>
        <v>41</v>
      </c>
      <c r="D333" t="str">
        <f>_xlfn.XLOOKUP($A:$A,Instagram_Usage_Lifestyle_Mini_!$A:$A,Instagram_Usage_Lifestyle_Mini_!$C:$K)</f>
        <v>Non_binary</v>
      </c>
      <c r="E333" t="str">
        <f>_xlfn.XLOOKUP($A:$A,Instagram_Usage_Lifestyle_Mini_!$A:$A,Instagram_Usage_Lifestyle_Mini_!$C:$K)</f>
        <v>United _Kingdom</v>
      </c>
      <c r="F333" t="str">
        <f>_xlfn.XLOOKUP($A:$A,Instagram_Usage_Lifestyle_Mini_!$A:$A,Instagram_Usage_Lifestyle_Mini_!$C:$K)</f>
        <v>Suburban</v>
      </c>
      <c r="G333" t="str">
        <f>_xlfn.XLOOKUP($A:$A,Instagram_Usage_Lifestyle_Mini_!$A:$A,Instagram_Usage_Lifestyle_Mini_!$C:$K)</f>
        <v>High</v>
      </c>
      <c r="H333" t="str">
        <f>_xlfn.XLOOKUP($A:$A,Instagram_Usage_Lifestyle_Mini_!$A:$A,Instagram_Usage_Lifestyle_Mini_!$C:$K)</f>
        <v>Freelancer</v>
      </c>
      <c r="I333" t="str">
        <f>_xlfn.XLOOKUP($A:$A,Instagram_Usage_Lifestyle_Mini_!$A:$A,Instagram_Usage_Lifestyle_Mini_!$C:$K)</f>
        <v>Bachelors_degree</v>
      </c>
      <c r="J333" t="str">
        <f>_xlfn.XLOOKUP($A:$A,Instagram_Usage_Lifestyle_Mini_!$A:$A,Instagram_Usage_Lifestyle_Mini_!$C:$K)</f>
        <v>Single</v>
      </c>
      <c r="K333" t="str">
        <f>_xlfn.XLOOKUP($A:$A,Instagram_Usage_Lifestyle_Mini_!$A:$A,Instagram_Usage_Lifestyle_Mini_!$C:$K)</f>
        <v>Yes</v>
      </c>
      <c r="L333" t="str" cm="1">
        <f t="array" ref="L333">_xlfn.IFS(C333&lt;18,"Under_18",C333&lt;=25,"Youth",C333&lt;=35,"Young_Adults",C333&lt;=45,"Mid_Adults",TRUE,"Seniors")</f>
        <v>Mid_Adults</v>
      </c>
    </row>
    <row r="334" spans="1:12" x14ac:dyDescent="0.2">
      <c r="A334">
        <v>333</v>
      </c>
      <c r="B334" t="str">
        <f>_xlfn.XLOOKUP(A334,Instagram_Usage_Lifestyle_Mini_!A334,Instagram_Usage_Lifestyle_Mini_!B334,1)</f>
        <v>Instagram</v>
      </c>
      <c r="C334">
        <f>_xlfn.XLOOKUP($A:$A,Instagram_Usage_Lifestyle_Mini_!$A:$A,Instagram_Usage_Lifestyle_Mini_!$C:$K)</f>
        <v>30</v>
      </c>
      <c r="D334" t="str">
        <f>_xlfn.XLOOKUP($A:$A,Instagram_Usage_Lifestyle_Mini_!$A:$A,Instagram_Usage_Lifestyle_Mini_!$C:$K)</f>
        <v>Female</v>
      </c>
      <c r="E334" t="str">
        <f>_xlfn.XLOOKUP($A:$A,Instagram_Usage_Lifestyle_Mini_!$A:$A,Instagram_Usage_Lifestyle_Mini_!$C:$K)</f>
        <v>India</v>
      </c>
      <c r="F334" t="str">
        <f>_xlfn.XLOOKUP($A:$A,Instagram_Usage_Lifestyle_Mini_!$A:$A,Instagram_Usage_Lifestyle_Mini_!$C:$K)</f>
        <v>Urban</v>
      </c>
      <c r="G334" t="str">
        <f>_xlfn.XLOOKUP($A:$A,Instagram_Usage_Lifestyle_Mini_!$A:$A,Instagram_Usage_Lifestyle_Mini_!$C:$K)</f>
        <v>Middle</v>
      </c>
      <c r="H334" t="str">
        <f>_xlfn.XLOOKUP($A:$A,Instagram_Usage_Lifestyle_Mini_!$A:$A,Instagram_Usage_Lifestyle_Mini_!$C:$K)</f>
        <v>Full_time_employed</v>
      </c>
      <c r="I334" t="str">
        <f>_xlfn.XLOOKUP($A:$A,Instagram_Usage_Lifestyle_Mini_!$A:$A,Instagram_Usage_Lifestyle_Mini_!$C:$K)</f>
        <v>Masters_degree</v>
      </c>
      <c r="J334" t="str">
        <f>_xlfn.XLOOKUP($A:$A,Instagram_Usage_Lifestyle_Mini_!$A:$A,Instagram_Usage_Lifestyle_Mini_!$C:$K)</f>
        <v>Single</v>
      </c>
      <c r="K334" t="str">
        <f>_xlfn.XLOOKUP($A:$A,Instagram_Usage_Lifestyle_Mini_!$A:$A,Instagram_Usage_Lifestyle_Mini_!$C:$K)</f>
        <v>No</v>
      </c>
      <c r="L334" t="str" cm="1">
        <f t="array" ref="L334">_xlfn.IFS(C334&lt;18,"Under_18",C334&lt;=25,"Youth",C334&lt;=35,"Young_Adults",C334&lt;=45,"Mid_Adults",TRUE,"Seniors")</f>
        <v>Young_Adults</v>
      </c>
    </row>
    <row r="335" spans="1:12" x14ac:dyDescent="0.2">
      <c r="A335">
        <v>334</v>
      </c>
      <c r="B335" t="str">
        <f>_xlfn.XLOOKUP(A335,Instagram_Usage_Lifestyle_Mini_!A335,Instagram_Usage_Lifestyle_Mini_!B335,1)</f>
        <v>Instagram</v>
      </c>
      <c r="C335">
        <f>_xlfn.XLOOKUP($A:$A,Instagram_Usage_Lifestyle_Mini_!$A:$A,Instagram_Usage_Lifestyle_Mini_!$C:$K)</f>
        <v>58</v>
      </c>
      <c r="D335" t="str">
        <f>_xlfn.XLOOKUP($A:$A,Instagram_Usage_Lifestyle_Mini_!$A:$A,Instagram_Usage_Lifestyle_Mini_!$C:$K)</f>
        <v>Female</v>
      </c>
      <c r="E335" t="str">
        <f>_xlfn.XLOOKUP($A:$A,Instagram_Usage_Lifestyle_Mini_!$A:$A,Instagram_Usage_Lifestyle_Mini_!$C:$K)</f>
        <v>United_States</v>
      </c>
      <c r="F335" t="str">
        <f>_xlfn.XLOOKUP($A:$A,Instagram_Usage_Lifestyle_Mini_!$A:$A,Instagram_Usage_Lifestyle_Mini_!$C:$K)</f>
        <v>Suburban</v>
      </c>
      <c r="G335" t="str">
        <f>_xlfn.XLOOKUP($A:$A,Instagram_Usage_Lifestyle_Mini_!$A:$A,Instagram_Usage_Lifestyle_Mini_!$C:$K)</f>
        <v>Lower_middle</v>
      </c>
      <c r="H335" t="str">
        <f>_xlfn.XLOOKUP($A:$A,Instagram_Usage_Lifestyle_Mini_!$A:$A,Instagram_Usage_Lifestyle_Mini_!$C:$K)</f>
        <v>Student</v>
      </c>
      <c r="I335" t="str">
        <f>_xlfn.XLOOKUP($A:$A,Instagram_Usage_Lifestyle_Mini_!$A:$A,Instagram_Usage_Lifestyle_Mini_!$C:$K)</f>
        <v>High_school</v>
      </c>
      <c r="J335" t="str">
        <f>_xlfn.XLOOKUP($A:$A,Instagram_Usage_Lifestyle_Mini_!$A:$A,Instagram_Usage_Lifestyle_Mini_!$C:$K)</f>
        <v>Single</v>
      </c>
      <c r="K335" t="str">
        <f>_xlfn.XLOOKUP($A:$A,Instagram_Usage_Lifestyle_Mini_!$A:$A,Instagram_Usage_Lifestyle_Mini_!$C:$K)</f>
        <v>No</v>
      </c>
      <c r="L335" t="str" cm="1">
        <f t="array" ref="L335">_xlfn.IFS(C335&lt;18,"Under_18",C335&lt;=25,"Youth",C335&lt;=35,"Young_Adults",C335&lt;=45,"Mid_Adults",TRUE,"Seniors")</f>
        <v>Seniors</v>
      </c>
    </row>
    <row r="336" spans="1:12" x14ac:dyDescent="0.2">
      <c r="A336">
        <v>335</v>
      </c>
      <c r="B336" t="str">
        <f>_xlfn.XLOOKUP(A336,Instagram_Usage_Lifestyle_Mini_!A336,Instagram_Usage_Lifestyle_Mini_!B336,1)</f>
        <v>Instagram</v>
      </c>
      <c r="C336">
        <f>_xlfn.XLOOKUP($A:$A,Instagram_Usage_Lifestyle_Mini_!$A:$A,Instagram_Usage_Lifestyle_Mini_!$C:$K)</f>
        <v>30</v>
      </c>
      <c r="D336" t="str">
        <f>_xlfn.XLOOKUP($A:$A,Instagram_Usage_Lifestyle_Mini_!$A:$A,Instagram_Usage_Lifestyle_Mini_!$C:$K)</f>
        <v>Female</v>
      </c>
      <c r="E336" t="str">
        <f>_xlfn.XLOOKUP($A:$A,Instagram_Usage_Lifestyle_Mini_!$A:$A,Instagram_Usage_Lifestyle_Mini_!$C:$K)</f>
        <v>United_States</v>
      </c>
      <c r="F336" t="str">
        <f>_xlfn.XLOOKUP($A:$A,Instagram_Usage_Lifestyle_Mini_!$A:$A,Instagram_Usage_Lifestyle_Mini_!$C:$K)</f>
        <v>Urban</v>
      </c>
      <c r="G336" t="str">
        <f>_xlfn.XLOOKUP($A:$A,Instagram_Usage_Lifestyle_Mini_!$A:$A,Instagram_Usage_Lifestyle_Mini_!$C:$K)</f>
        <v>Middle</v>
      </c>
      <c r="H336" t="str">
        <f>_xlfn.XLOOKUP($A:$A,Instagram_Usage_Lifestyle_Mini_!$A:$A,Instagram_Usage_Lifestyle_Mini_!$C:$K)</f>
        <v>Full_time_employed</v>
      </c>
      <c r="I336" t="str">
        <f>_xlfn.XLOOKUP($A:$A,Instagram_Usage_Lifestyle_Mini_!$A:$A,Instagram_Usage_Lifestyle_Mini_!$C:$K)</f>
        <v>High_school</v>
      </c>
      <c r="J336" t="str">
        <f>_xlfn.XLOOKUP($A:$A,Instagram_Usage_Lifestyle_Mini_!$A:$A,Instagram_Usage_Lifestyle_Mini_!$C:$K)</f>
        <v>Single</v>
      </c>
      <c r="K336" t="str">
        <f>_xlfn.XLOOKUP($A:$A,Instagram_Usage_Lifestyle_Mini_!$A:$A,Instagram_Usage_Lifestyle_Mini_!$C:$K)</f>
        <v>No</v>
      </c>
      <c r="L336" t="str" cm="1">
        <f t="array" ref="L336">_xlfn.IFS(C336&lt;18,"Under_18",C336&lt;=25,"Youth",C336&lt;=35,"Young_Adults",C336&lt;=45,"Mid_Adults",TRUE,"Seniors")</f>
        <v>Young_Adults</v>
      </c>
    </row>
    <row r="337" spans="1:12" x14ac:dyDescent="0.2">
      <c r="A337">
        <v>336</v>
      </c>
      <c r="B337" t="str">
        <f>_xlfn.XLOOKUP(A337,Instagram_Usage_Lifestyle_Mini_!A337,Instagram_Usage_Lifestyle_Mini_!B337,1)</f>
        <v>Instagram</v>
      </c>
      <c r="C337">
        <f>_xlfn.XLOOKUP($A:$A,Instagram_Usage_Lifestyle_Mini_!$A:$A,Instagram_Usage_Lifestyle_Mini_!$C:$K)</f>
        <v>14</v>
      </c>
      <c r="D337" t="str">
        <f>_xlfn.XLOOKUP($A:$A,Instagram_Usage_Lifestyle_Mini_!$A:$A,Instagram_Usage_Lifestyle_Mini_!$C:$K)</f>
        <v>Female</v>
      </c>
      <c r="E337" t="str">
        <f>_xlfn.XLOOKUP($A:$A,Instagram_Usage_Lifestyle_Mini_!$A:$A,Instagram_Usage_Lifestyle_Mini_!$C:$K)</f>
        <v>Brazil</v>
      </c>
      <c r="F337" t="str">
        <f>_xlfn.XLOOKUP($A:$A,Instagram_Usage_Lifestyle_Mini_!$A:$A,Instagram_Usage_Lifestyle_Mini_!$C:$K)</f>
        <v>Rural</v>
      </c>
      <c r="G337" t="str">
        <f>_xlfn.XLOOKUP($A:$A,Instagram_Usage_Lifestyle_Mini_!$A:$A,Instagram_Usage_Lifestyle_Mini_!$C:$K)</f>
        <v>Low</v>
      </c>
      <c r="H337" t="str">
        <f>_xlfn.XLOOKUP($A:$A,Instagram_Usage_Lifestyle_Mini_!$A:$A,Instagram_Usage_Lifestyle_Mini_!$C:$K)</f>
        <v>Full_time_employed</v>
      </c>
      <c r="I337" t="str">
        <f>_xlfn.XLOOKUP($A:$A,Instagram_Usage_Lifestyle_Mini_!$A:$A,Instagram_Usage_Lifestyle_Mini_!$C:$K)</f>
        <v>PhD</v>
      </c>
      <c r="J337" t="str">
        <f>_xlfn.XLOOKUP($A:$A,Instagram_Usage_Lifestyle_Mini_!$A:$A,Instagram_Usage_Lifestyle_Mini_!$C:$K)</f>
        <v>Single</v>
      </c>
      <c r="K337" t="str">
        <f>_xlfn.XLOOKUP($A:$A,Instagram_Usage_Lifestyle_Mini_!$A:$A,Instagram_Usage_Lifestyle_Mini_!$C:$K)</f>
        <v>No</v>
      </c>
      <c r="L337" t="str" cm="1">
        <f t="array" ref="L337">_xlfn.IFS(C337&lt;18,"Under_18",C337&lt;=25,"Youth",C337&lt;=35,"Young_Adults",C337&lt;=45,"Mid_Adults",TRUE,"Seniors")</f>
        <v>Under_18</v>
      </c>
    </row>
    <row r="338" spans="1:12" x14ac:dyDescent="0.2">
      <c r="A338">
        <v>337</v>
      </c>
      <c r="B338" t="str">
        <f>_xlfn.XLOOKUP(A338,Instagram_Usage_Lifestyle_Mini_!A338,Instagram_Usage_Lifestyle_Mini_!B338,1)</f>
        <v>Instagram</v>
      </c>
      <c r="C338">
        <f>_xlfn.XLOOKUP($A:$A,Instagram_Usage_Lifestyle_Mini_!$A:$A,Instagram_Usage_Lifestyle_Mini_!$C:$K)</f>
        <v>47</v>
      </c>
      <c r="D338" t="str">
        <f>_xlfn.XLOOKUP($A:$A,Instagram_Usage_Lifestyle_Mini_!$A:$A,Instagram_Usage_Lifestyle_Mini_!$C:$K)</f>
        <v>Female</v>
      </c>
      <c r="E338" t="str">
        <f>_xlfn.XLOOKUP($A:$A,Instagram_Usage_Lifestyle_Mini_!$A:$A,Instagram_Usage_Lifestyle_Mini_!$C:$K)</f>
        <v>United_States</v>
      </c>
      <c r="F338" t="str">
        <f>_xlfn.XLOOKUP($A:$A,Instagram_Usage_Lifestyle_Mini_!$A:$A,Instagram_Usage_Lifestyle_Mini_!$C:$K)</f>
        <v>Rural</v>
      </c>
      <c r="G338" t="str">
        <f>_xlfn.XLOOKUP($A:$A,Instagram_Usage_Lifestyle_Mini_!$A:$A,Instagram_Usage_Lifestyle_Mini_!$C:$K)</f>
        <v>Lower_middle</v>
      </c>
      <c r="H338" t="str">
        <f>_xlfn.XLOOKUP($A:$A,Instagram_Usage_Lifestyle_Mini_!$A:$A,Instagram_Usage_Lifestyle_Mini_!$C:$K)</f>
        <v>Student</v>
      </c>
      <c r="I338" t="str">
        <f>_xlfn.XLOOKUP($A:$A,Instagram_Usage_Lifestyle_Mini_!$A:$A,Instagram_Usage_Lifestyle_Mini_!$C:$K)</f>
        <v>Bachelors_degree</v>
      </c>
      <c r="J338" t="str">
        <f>_xlfn.XLOOKUP($A:$A,Instagram_Usage_Lifestyle_Mini_!$A:$A,Instagram_Usage_Lifestyle_Mini_!$C:$K)</f>
        <v>Married</v>
      </c>
      <c r="K338" t="str">
        <f>_xlfn.XLOOKUP($A:$A,Instagram_Usage_Lifestyle_Mini_!$A:$A,Instagram_Usage_Lifestyle_Mini_!$C:$K)</f>
        <v>Yes</v>
      </c>
      <c r="L338" t="str" cm="1">
        <f t="array" ref="L338">_xlfn.IFS(C338&lt;18,"Under_18",C338&lt;=25,"Youth",C338&lt;=35,"Young_Adults",C338&lt;=45,"Mid_Adults",TRUE,"Seniors")</f>
        <v>Seniors</v>
      </c>
    </row>
    <row r="339" spans="1:12" x14ac:dyDescent="0.2">
      <c r="A339">
        <v>338</v>
      </c>
      <c r="B339" t="str">
        <f>_xlfn.XLOOKUP(A339,Instagram_Usage_Lifestyle_Mini_!A339,Instagram_Usage_Lifestyle_Mini_!B339,1)</f>
        <v>Instagram</v>
      </c>
      <c r="C339">
        <f>_xlfn.XLOOKUP($A:$A,Instagram_Usage_Lifestyle_Mini_!$A:$A,Instagram_Usage_Lifestyle_Mini_!$C:$K)</f>
        <v>28</v>
      </c>
      <c r="D339" t="str">
        <f>_xlfn.XLOOKUP($A:$A,Instagram_Usage_Lifestyle_Mini_!$A:$A,Instagram_Usage_Lifestyle_Mini_!$C:$K)</f>
        <v>Male</v>
      </c>
      <c r="E339" t="str">
        <f>_xlfn.XLOOKUP($A:$A,Instagram_Usage_Lifestyle_Mini_!$A:$A,Instagram_Usage_Lifestyle_Mini_!$C:$K)</f>
        <v>United_States</v>
      </c>
      <c r="F339" t="str">
        <f>_xlfn.XLOOKUP($A:$A,Instagram_Usage_Lifestyle_Mini_!$A:$A,Instagram_Usage_Lifestyle_Mini_!$C:$K)</f>
        <v>Suburban</v>
      </c>
      <c r="G339" t="str">
        <f>_xlfn.XLOOKUP($A:$A,Instagram_Usage_Lifestyle_Mini_!$A:$A,Instagram_Usage_Lifestyle_Mini_!$C:$K)</f>
        <v>Low</v>
      </c>
      <c r="H339" t="str">
        <f>_xlfn.XLOOKUP($A:$A,Instagram_Usage_Lifestyle_Mini_!$A:$A,Instagram_Usage_Lifestyle_Mini_!$C:$K)</f>
        <v>Full_time_employed</v>
      </c>
      <c r="I339" t="str">
        <f>_xlfn.XLOOKUP($A:$A,Instagram_Usage_Lifestyle_Mini_!$A:$A,Instagram_Usage_Lifestyle_Mini_!$C:$K)</f>
        <v>Bachelors_degree</v>
      </c>
      <c r="J339" t="str">
        <f>_xlfn.XLOOKUP($A:$A,Instagram_Usage_Lifestyle_Mini_!$A:$A,Instagram_Usage_Lifestyle_Mini_!$C:$K)</f>
        <v>Married</v>
      </c>
      <c r="K339" t="str">
        <f>_xlfn.XLOOKUP($A:$A,Instagram_Usage_Lifestyle_Mini_!$A:$A,Instagram_Usage_Lifestyle_Mini_!$C:$K)</f>
        <v>Yes</v>
      </c>
      <c r="L339" t="str" cm="1">
        <f t="array" ref="L339">_xlfn.IFS(C339&lt;18,"Under_18",C339&lt;=25,"Youth",C339&lt;=35,"Young_Adults",C339&lt;=45,"Mid_Adults",TRUE,"Seniors")</f>
        <v>Young_Adults</v>
      </c>
    </row>
    <row r="340" spans="1:12" x14ac:dyDescent="0.2">
      <c r="A340">
        <v>339</v>
      </c>
      <c r="B340" t="str">
        <f>_xlfn.XLOOKUP(A340,Instagram_Usage_Lifestyle_Mini_!A340,Instagram_Usage_Lifestyle_Mini_!B340,1)</f>
        <v>Instagram</v>
      </c>
      <c r="C340">
        <f>_xlfn.XLOOKUP($A:$A,Instagram_Usage_Lifestyle_Mini_!$A:$A,Instagram_Usage_Lifestyle_Mini_!$C:$K)</f>
        <v>53</v>
      </c>
      <c r="D340" t="str">
        <f>_xlfn.XLOOKUP($A:$A,Instagram_Usage_Lifestyle_Mini_!$A:$A,Instagram_Usage_Lifestyle_Mini_!$C:$K)</f>
        <v>Male</v>
      </c>
      <c r="E340" t="str">
        <f>_xlfn.XLOOKUP($A:$A,Instagram_Usage_Lifestyle_Mini_!$A:$A,Instagram_Usage_Lifestyle_Mini_!$C:$K)</f>
        <v>India</v>
      </c>
      <c r="F340" t="str">
        <f>_xlfn.XLOOKUP($A:$A,Instagram_Usage_Lifestyle_Mini_!$A:$A,Instagram_Usage_Lifestyle_Mini_!$C:$K)</f>
        <v>Rural</v>
      </c>
      <c r="G340" t="str">
        <f>_xlfn.XLOOKUP($A:$A,Instagram_Usage_Lifestyle_Mini_!$A:$A,Instagram_Usage_Lifestyle_Mini_!$C:$K)</f>
        <v>Middle</v>
      </c>
      <c r="H340" t="str">
        <f>_xlfn.XLOOKUP($A:$A,Instagram_Usage_Lifestyle_Mini_!$A:$A,Instagram_Usage_Lifestyle_Mini_!$C:$K)</f>
        <v>Full_time_employed</v>
      </c>
      <c r="I340" t="str">
        <f>_xlfn.XLOOKUP($A:$A,Instagram_Usage_Lifestyle_Mini_!$A:$A,Instagram_Usage_Lifestyle_Mini_!$C:$K)</f>
        <v>PhD</v>
      </c>
      <c r="J340" t="str">
        <f>_xlfn.XLOOKUP($A:$A,Instagram_Usage_Lifestyle_Mini_!$A:$A,Instagram_Usage_Lifestyle_Mini_!$C:$K)</f>
        <v>Single</v>
      </c>
      <c r="K340" t="str">
        <f>_xlfn.XLOOKUP($A:$A,Instagram_Usage_Lifestyle_Mini_!$A:$A,Instagram_Usage_Lifestyle_Mini_!$C:$K)</f>
        <v>No</v>
      </c>
      <c r="L340" t="str" cm="1">
        <f t="array" ref="L340">_xlfn.IFS(C340&lt;18,"Under_18",C340&lt;=25,"Youth",C340&lt;=35,"Young_Adults",C340&lt;=45,"Mid_Adults",TRUE,"Seniors")</f>
        <v>Seniors</v>
      </c>
    </row>
    <row r="341" spans="1:12" x14ac:dyDescent="0.2">
      <c r="A341">
        <v>340</v>
      </c>
      <c r="B341" t="str">
        <f>_xlfn.XLOOKUP(A341,Instagram_Usage_Lifestyle_Mini_!A341,Instagram_Usage_Lifestyle_Mini_!B341,1)</f>
        <v>Instagram</v>
      </c>
      <c r="C341">
        <f>_xlfn.XLOOKUP($A:$A,Instagram_Usage_Lifestyle_Mini_!$A:$A,Instagram_Usage_Lifestyle_Mini_!$C:$K)</f>
        <v>48</v>
      </c>
      <c r="D341" t="str">
        <f>_xlfn.XLOOKUP($A:$A,Instagram_Usage_Lifestyle_Mini_!$A:$A,Instagram_Usage_Lifestyle_Mini_!$C:$K)</f>
        <v>Male</v>
      </c>
      <c r="E341" t="str">
        <f>_xlfn.XLOOKUP($A:$A,Instagram_Usage_Lifestyle_Mini_!$A:$A,Instagram_Usage_Lifestyle_Mini_!$C:$K)</f>
        <v>Brazil</v>
      </c>
      <c r="F341" t="str">
        <f>_xlfn.XLOOKUP($A:$A,Instagram_Usage_Lifestyle_Mini_!$A:$A,Instagram_Usage_Lifestyle_Mini_!$C:$K)</f>
        <v>Urban</v>
      </c>
      <c r="G341" t="str">
        <f>_xlfn.XLOOKUP($A:$A,Instagram_Usage_Lifestyle_Mini_!$A:$A,Instagram_Usage_Lifestyle_Mini_!$C:$K)</f>
        <v>Middle</v>
      </c>
      <c r="H341" t="str">
        <f>_xlfn.XLOOKUP($A:$A,Instagram_Usage_Lifestyle_Mini_!$A:$A,Instagram_Usage_Lifestyle_Mini_!$C:$K)</f>
        <v>Full_time_employed</v>
      </c>
      <c r="I341" t="str">
        <f>_xlfn.XLOOKUP($A:$A,Instagram_Usage_Lifestyle_Mini_!$A:$A,Instagram_Usage_Lifestyle_Mini_!$C:$K)</f>
        <v>PhD</v>
      </c>
      <c r="J341" t="str">
        <f>_xlfn.XLOOKUP($A:$A,Instagram_Usage_Lifestyle_Mini_!$A:$A,Instagram_Usage_Lifestyle_Mini_!$C:$K)</f>
        <v>Married</v>
      </c>
      <c r="K341" t="str">
        <f>_xlfn.XLOOKUP($A:$A,Instagram_Usage_Lifestyle_Mini_!$A:$A,Instagram_Usage_Lifestyle_Mini_!$C:$K)</f>
        <v>No</v>
      </c>
      <c r="L341" t="str" cm="1">
        <f t="array" ref="L341">_xlfn.IFS(C341&lt;18,"Under_18",C341&lt;=25,"Youth",C341&lt;=35,"Young_Adults",C341&lt;=45,"Mid_Adults",TRUE,"Seniors")</f>
        <v>Seniors</v>
      </c>
    </row>
    <row r="342" spans="1:12" x14ac:dyDescent="0.2">
      <c r="A342">
        <v>341</v>
      </c>
      <c r="B342" t="str">
        <f>_xlfn.XLOOKUP(A342,Instagram_Usage_Lifestyle_Mini_!A342,Instagram_Usage_Lifestyle_Mini_!B342,1)</f>
        <v>Instagram</v>
      </c>
      <c r="C342">
        <f>_xlfn.XLOOKUP($A:$A,Instagram_Usage_Lifestyle_Mini_!$A:$A,Instagram_Usage_Lifestyle_Mini_!$C:$K)</f>
        <v>45</v>
      </c>
      <c r="D342" t="str">
        <f>_xlfn.XLOOKUP($A:$A,Instagram_Usage_Lifestyle_Mini_!$A:$A,Instagram_Usage_Lifestyle_Mini_!$C:$K)</f>
        <v>Male</v>
      </c>
      <c r="E342" t="str">
        <f>_xlfn.XLOOKUP($A:$A,Instagram_Usage_Lifestyle_Mini_!$A:$A,Instagram_Usage_Lifestyle_Mini_!$C:$K)</f>
        <v>India</v>
      </c>
      <c r="F342" t="str">
        <f>_xlfn.XLOOKUP($A:$A,Instagram_Usage_Lifestyle_Mini_!$A:$A,Instagram_Usage_Lifestyle_Mini_!$C:$K)</f>
        <v>Urban</v>
      </c>
      <c r="G342" t="str">
        <f>_xlfn.XLOOKUP($A:$A,Instagram_Usage_Lifestyle_Mini_!$A:$A,Instagram_Usage_Lifestyle_Mini_!$C:$K)</f>
        <v>Upper_middle</v>
      </c>
      <c r="H342" t="str">
        <f>_xlfn.XLOOKUP($A:$A,Instagram_Usage_Lifestyle_Mini_!$A:$A,Instagram_Usage_Lifestyle_Mini_!$C:$K)</f>
        <v>Full_time_employed</v>
      </c>
      <c r="I342" t="str">
        <f>_xlfn.XLOOKUP($A:$A,Instagram_Usage_Lifestyle_Mini_!$A:$A,Instagram_Usage_Lifestyle_Mini_!$C:$K)</f>
        <v>Bachelors_degree</v>
      </c>
      <c r="J342" t="str">
        <f>_xlfn.XLOOKUP($A:$A,Instagram_Usage_Lifestyle_Mini_!$A:$A,Instagram_Usage_Lifestyle_Mini_!$C:$K)</f>
        <v>Single</v>
      </c>
      <c r="K342" t="str">
        <f>_xlfn.XLOOKUP($A:$A,Instagram_Usage_Lifestyle_Mini_!$A:$A,Instagram_Usage_Lifestyle_Mini_!$C:$K)</f>
        <v>Yes</v>
      </c>
      <c r="L342" t="str" cm="1">
        <f t="array" ref="L342">_xlfn.IFS(C342&lt;18,"Under_18",C342&lt;=25,"Youth",C342&lt;=35,"Young_Adults",C342&lt;=45,"Mid_Adults",TRUE,"Seniors")</f>
        <v>Mid_Adults</v>
      </c>
    </row>
    <row r="343" spans="1:12" x14ac:dyDescent="0.2">
      <c r="A343">
        <v>342</v>
      </c>
      <c r="B343" t="str">
        <f>_xlfn.XLOOKUP(A343,Instagram_Usage_Lifestyle_Mini_!A343,Instagram_Usage_Lifestyle_Mini_!B343,1)</f>
        <v>Instagram</v>
      </c>
      <c r="C343">
        <f>_xlfn.XLOOKUP($A:$A,Instagram_Usage_Lifestyle_Mini_!$A:$A,Instagram_Usage_Lifestyle_Mini_!$C:$K)</f>
        <v>16</v>
      </c>
      <c r="D343" t="str">
        <f>_xlfn.XLOOKUP($A:$A,Instagram_Usage_Lifestyle_Mini_!$A:$A,Instagram_Usage_Lifestyle_Mini_!$C:$K)</f>
        <v>Female</v>
      </c>
      <c r="E343" t="str">
        <f>_xlfn.XLOOKUP($A:$A,Instagram_Usage_Lifestyle_Mini_!$A:$A,Instagram_Usage_Lifestyle_Mini_!$C:$K)</f>
        <v>United_States</v>
      </c>
      <c r="F343" t="str">
        <f>_xlfn.XLOOKUP($A:$A,Instagram_Usage_Lifestyle_Mini_!$A:$A,Instagram_Usage_Lifestyle_Mini_!$C:$K)</f>
        <v>Suburban</v>
      </c>
      <c r="G343" t="str">
        <f>_xlfn.XLOOKUP($A:$A,Instagram_Usage_Lifestyle_Mini_!$A:$A,Instagram_Usage_Lifestyle_Mini_!$C:$K)</f>
        <v>Middle</v>
      </c>
      <c r="H343" t="str">
        <f>_xlfn.XLOOKUP($A:$A,Instagram_Usage_Lifestyle_Mini_!$A:$A,Instagram_Usage_Lifestyle_Mini_!$C:$K)</f>
        <v>Part_time</v>
      </c>
      <c r="I343" t="str">
        <f>_xlfn.XLOOKUP($A:$A,Instagram_Usage_Lifestyle_Mini_!$A:$A,Instagram_Usage_Lifestyle_Mini_!$C:$K)</f>
        <v>High_school</v>
      </c>
      <c r="J343" t="str">
        <f>_xlfn.XLOOKUP($A:$A,Instagram_Usage_Lifestyle_Mini_!$A:$A,Instagram_Usage_Lifestyle_Mini_!$C:$K)</f>
        <v>In_a_relationship</v>
      </c>
      <c r="K343" t="str">
        <f>_xlfn.XLOOKUP($A:$A,Instagram_Usage_Lifestyle_Mini_!$A:$A,Instagram_Usage_Lifestyle_Mini_!$C:$K)</f>
        <v>No</v>
      </c>
      <c r="L343" t="str" cm="1">
        <f t="array" ref="L343">_xlfn.IFS(C343&lt;18,"Under_18",C343&lt;=25,"Youth",C343&lt;=35,"Young_Adults",C343&lt;=45,"Mid_Adults",TRUE,"Seniors")</f>
        <v>Under_18</v>
      </c>
    </row>
    <row r="344" spans="1:12" x14ac:dyDescent="0.2">
      <c r="A344">
        <v>343</v>
      </c>
      <c r="B344" t="str">
        <f>_xlfn.XLOOKUP(A344,Instagram_Usage_Lifestyle_Mini_!A344,Instagram_Usage_Lifestyle_Mini_!B344,1)</f>
        <v>Instagram</v>
      </c>
      <c r="C344">
        <f>_xlfn.XLOOKUP($A:$A,Instagram_Usage_Lifestyle_Mini_!$A:$A,Instagram_Usage_Lifestyle_Mini_!$C:$K)</f>
        <v>45</v>
      </c>
      <c r="D344" t="str">
        <f>_xlfn.XLOOKUP($A:$A,Instagram_Usage_Lifestyle_Mini_!$A:$A,Instagram_Usage_Lifestyle_Mini_!$C:$K)</f>
        <v>Male</v>
      </c>
      <c r="E344" t="str">
        <f>_xlfn.XLOOKUP($A:$A,Instagram_Usage_Lifestyle_Mini_!$A:$A,Instagram_Usage_Lifestyle_Mini_!$C:$K)</f>
        <v>Canada</v>
      </c>
      <c r="F344" t="str">
        <f>_xlfn.XLOOKUP($A:$A,Instagram_Usage_Lifestyle_Mini_!$A:$A,Instagram_Usage_Lifestyle_Mini_!$C:$K)</f>
        <v>Suburban</v>
      </c>
      <c r="G344" t="str">
        <f>_xlfn.XLOOKUP($A:$A,Instagram_Usage_Lifestyle_Mini_!$A:$A,Instagram_Usage_Lifestyle_Mini_!$C:$K)</f>
        <v>Middle</v>
      </c>
      <c r="H344" t="str">
        <f>_xlfn.XLOOKUP($A:$A,Instagram_Usage_Lifestyle_Mini_!$A:$A,Instagram_Usage_Lifestyle_Mini_!$C:$K)</f>
        <v>Student</v>
      </c>
      <c r="I344" t="str">
        <f>_xlfn.XLOOKUP($A:$A,Instagram_Usage_Lifestyle_Mini_!$A:$A,Instagram_Usage_Lifestyle_Mini_!$C:$K)</f>
        <v>High_school</v>
      </c>
      <c r="J344" t="str">
        <f>_xlfn.XLOOKUP($A:$A,Instagram_Usage_Lifestyle_Mini_!$A:$A,Instagram_Usage_Lifestyle_Mini_!$C:$K)</f>
        <v>Married</v>
      </c>
      <c r="K344" t="str">
        <f>_xlfn.XLOOKUP($A:$A,Instagram_Usage_Lifestyle_Mini_!$A:$A,Instagram_Usage_Lifestyle_Mini_!$C:$K)</f>
        <v>No</v>
      </c>
      <c r="L344" t="str" cm="1">
        <f t="array" ref="L344">_xlfn.IFS(C344&lt;18,"Under_18",C344&lt;=25,"Youth",C344&lt;=35,"Young_Adults",C344&lt;=45,"Mid_Adults",TRUE,"Seniors")</f>
        <v>Mid_Adults</v>
      </c>
    </row>
    <row r="345" spans="1:12" x14ac:dyDescent="0.2">
      <c r="A345">
        <v>344</v>
      </c>
      <c r="B345" t="str">
        <f>_xlfn.XLOOKUP(A345,Instagram_Usage_Lifestyle_Mini_!A345,Instagram_Usage_Lifestyle_Mini_!B345,1)</f>
        <v>Instagram</v>
      </c>
      <c r="C345">
        <f>_xlfn.XLOOKUP($A:$A,Instagram_Usage_Lifestyle_Mini_!$A:$A,Instagram_Usage_Lifestyle_Mini_!$C:$K)</f>
        <v>26</v>
      </c>
      <c r="D345" t="str">
        <f>_xlfn.XLOOKUP($A:$A,Instagram_Usage_Lifestyle_Mini_!$A:$A,Instagram_Usage_Lifestyle_Mini_!$C:$K)</f>
        <v>Female</v>
      </c>
      <c r="E345" t="str">
        <f>_xlfn.XLOOKUP($A:$A,Instagram_Usage_Lifestyle_Mini_!$A:$A,Instagram_Usage_Lifestyle_Mini_!$C:$K)</f>
        <v>South_Korea</v>
      </c>
      <c r="F345" t="str">
        <f>_xlfn.XLOOKUP($A:$A,Instagram_Usage_Lifestyle_Mini_!$A:$A,Instagram_Usage_Lifestyle_Mini_!$C:$K)</f>
        <v>Rural</v>
      </c>
      <c r="G345" t="str">
        <f>_xlfn.XLOOKUP($A:$A,Instagram_Usage_Lifestyle_Mini_!$A:$A,Instagram_Usage_Lifestyle_Mini_!$C:$K)</f>
        <v>Low</v>
      </c>
      <c r="H345" t="str">
        <f>_xlfn.XLOOKUP($A:$A,Instagram_Usage_Lifestyle_Mini_!$A:$A,Instagram_Usage_Lifestyle_Mini_!$C:$K)</f>
        <v>Full_time_employed</v>
      </c>
      <c r="I345" t="str">
        <f>_xlfn.XLOOKUP($A:$A,Instagram_Usage_Lifestyle_Mini_!$A:$A,Instagram_Usage_Lifestyle_Mini_!$C:$K)</f>
        <v>Masters_degree</v>
      </c>
      <c r="J345" t="str">
        <f>_xlfn.XLOOKUP($A:$A,Instagram_Usage_Lifestyle_Mini_!$A:$A,Instagram_Usage_Lifestyle_Mini_!$C:$K)</f>
        <v>In_a_relationship</v>
      </c>
      <c r="K345" t="str">
        <f>_xlfn.XLOOKUP($A:$A,Instagram_Usage_Lifestyle_Mini_!$A:$A,Instagram_Usage_Lifestyle_Mini_!$C:$K)</f>
        <v>No</v>
      </c>
      <c r="L345" t="str" cm="1">
        <f t="array" ref="L345">_xlfn.IFS(C345&lt;18,"Under_18",C345&lt;=25,"Youth",C345&lt;=35,"Young_Adults",C345&lt;=45,"Mid_Adults",TRUE,"Seniors")</f>
        <v>Young_Adults</v>
      </c>
    </row>
    <row r="346" spans="1:12" x14ac:dyDescent="0.2">
      <c r="A346">
        <v>345</v>
      </c>
      <c r="B346" t="str">
        <f>_xlfn.XLOOKUP(A346,Instagram_Usage_Lifestyle_Mini_!A346,Instagram_Usage_Lifestyle_Mini_!B346,1)</f>
        <v>Instagram</v>
      </c>
      <c r="C346">
        <f>_xlfn.XLOOKUP($A:$A,Instagram_Usage_Lifestyle_Mini_!$A:$A,Instagram_Usage_Lifestyle_Mini_!$C:$K)</f>
        <v>33</v>
      </c>
      <c r="D346" t="str">
        <f>_xlfn.XLOOKUP($A:$A,Instagram_Usage_Lifestyle_Mini_!$A:$A,Instagram_Usage_Lifestyle_Mini_!$C:$K)</f>
        <v>Male</v>
      </c>
      <c r="E346" t="str">
        <f>_xlfn.XLOOKUP($A:$A,Instagram_Usage_Lifestyle_Mini_!$A:$A,Instagram_Usage_Lifestyle_Mini_!$C:$K)</f>
        <v>Germany</v>
      </c>
      <c r="F346" t="str">
        <f>_xlfn.XLOOKUP($A:$A,Instagram_Usage_Lifestyle_Mini_!$A:$A,Instagram_Usage_Lifestyle_Mini_!$C:$K)</f>
        <v>Suburban</v>
      </c>
      <c r="G346" t="str">
        <f>_xlfn.XLOOKUP($A:$A,Instagram_Usage_Lifestyle_Mini_!$A:$A,Instagram_Usage_Lifestyle_Mini_!$C:$K)</f>
        <v>Low</v>
      </c>
      <c r="H346" t="str">
        <f>_xlfn.XLOOKUP($A:$A,Instagram_Usage_Lifestyle_Mini_!$A:$A,Instagram_Usage_Lifestyle_Mini_!$C:$K)</f>
        <v>Student</v>
      </c>
      <c r="I346" t="str">
        <f>_xlfn.XLOOKUP($A:$A,Instagram_Usage_Lifestyle_Mini_!$A:$A,Instagram_Usage_Lifestyle_Mini_!$C:$K)</f>
        <v>High_school</v>
      </c>
      <c r="J346" t="str">
        <f>_xlfn.XLOOKUP($A:$A,Instagram_Usage_Lifestyle_Mini_!$A:$A,Instagram_Usage_Lifestyle_Mini_!$C:$K)</f>
        <v>In_a_relationship</v>
      </c>
      <c r="K346" t="str">
        <f>_xlfn.XLOOKUP($A:$A,Instagram_Usage_Lifestyle_Mini_!$A:$A,Instagram_Usage_Lifestyle_Mini_!$C:$K)</f>
        <v>No</v>
      </c>
      <c r="L346" t="str" cm="1">
        <f t="array" ref="L346">_xlfn.IFS(C346&lt;18,"Under_18",C346&lt;=25,"Youth",C346&lt;=35,"Young_Adults",C346&lt;=45,"Mid_Adults",TRUE,"Seniors")</f>
        <v>Young_Adults</v>
      </c>
    </row>
    <row r="347" spans="1:12" x14ac:dyDescent="0.2">
      <c r="A347">
        <v>346</v>
      </c>
      <c r="B347" t="str">
        <f>_xlfn.XLOOKUP(A347,Instagram_Usage_Lifestyle_Mini_!A347,Instagram_Usage_Lifestyle_Mini_!B347,1)</f>
        <v>Instagram</v>
      </c>
      <c r="C347">
        <f>_xlfn.XLOOKUP($A:$A,Instagram_Usage_Lifestyle_Mini_!$A:$A,Instagram_Usage_Lifestyle_Mini_!$C:$K)</f>
        <v>60</v>
      </c>
      <c r="D347" t="str">
        <f>_xlfn.XLOOKUP($A:$A,Instagram_Usage_Lifestyle_Mini_!$A:$A,Instagram_Usage_Lifestyle_Mini_!$C:$K)</f>
        <v>Female</v>
      </c>
      <c r="E347" t="str">
        <f>_xlfn.XLOOKUP($A:$A,Instagram_Usage_Lifestyle_Mini_!$A:$A,Instagram_Usage_Lifestyle_Mini_!$C:$K)</f>
        <v>Other</v>
      </c>
      <c r="F347" t="str">
        <f>_xlfn.XLOOKUP($A:$A,Instagram_Usage_Lifestyle_Mini_!$A:$A,Instagram_Usage_Lifestyle_Mini_!$C:$K)</f>
        <v>Suburban</v>
      </c>
      <c r="G347" t="str">
        <f>_xlfn.XLOOKUP($A:$A,Instagram_Usage_Lifestyle_Mini_!$A:$A,Instagram_Usage_Lifestyle_Mini_!$C:$K)</f>
        <v>Upper_middle</v>
      </c>
      <c r="H347" t="str">
        <f>_xlfn.XLOOKUP($A:$A,Instagram_Usage_Lifestyle_Mini_!$A:$A,Instagram_Usage_Lifestyle_Mini_!$C:$K)</f>
        <v>Full_time_employed</v>
      </c>
      <c r="I347" t="str">
        <f>_xlfn.XLOOKUP($A:$A,Instagram_Usage_Lifestyle_Mini_!$A:$A,Instagram_Usage_Lifestyle_Mini_!$C:$K)</f>
        <v>PhD</v>
      </c>
      <c r="J347" t="str">
        <f>_xlfn.XLOOKUP($A:$A,Instagram_Usage_Lifestyle_Mini_!$A:$A,Instagram_Usage_Lifestyle_Mini_!$C:$K)</f>
        <v>Divorced</v>
      </c>
      <c r="K347" t="str">
        <f>_xlfn.XLOOKUP($A:$A,Instagram_Usage_Lifestyle_Mini_!$A:$A,Instagram_Usage_Lifestyle_Mini_!$C:$K)</f>
        <v>No</v>
      </c>
      <c r="L347" t="str" cm="1">
        <f t="array" ref="L347">_xlfn.IFS(C347&lt;18,"Under_18",C347&lt;=25,"Youth",C347&lt;=35,"Young_Adults",C347&lt;=45,"Mid_Adults",TRUE,"Seniors")</f>
        <v>Seniors</v>
      </c>
    </row>
    <row r="348" spans="1:12" x14ac:dyDescent="0.2">
      <c r="A348">
        <v>347</v>
      </c>
      <c r="B348" t="str">
        <f>_xlfn.XLOOKUP(A348,Instagram_Usage_Lifestyle_Mini_!A348,Instagram_Usage_Lifestyle_Mini_!B348,1)</f>
        <v>Instagram</v>
      </c>
      <c r="C348">
        <f>_xlfn.XLOOKUP($A:$A,Instagram_Usage_Lifestyle_Mini_!$A:$A,Instagram_Usage_Lifestyle_Mini_!$C:$K)</f>
        <v>32</v>
      </c>
      <c r="D348" t="str">
        <f>_xlfn.XLOOKUP($A:$A,Instagram_Usage_Lifestyle_Mini_!$A:$A,Instagram_Usage_Lifestyle_Mini_!$C:$K)</f>
        <v>Female</v>
      </c>
      <c r="E348" t="str">
        <f>_xlfn.XLOOKUP($A:$A,Instagram_Usage_Lifestyle_Mini_!$A:$A,Instagram_Usage_Lifestyle_Mini_!$C:$K)</f>
        <v>United_States</v>
      </c>
      <c r="F348" t="str">
        <f>_xlfn.XLOOKUP($A:$A,Instagram_Usage_Lifestyle_Mini_!$A:$A,Instagram_Usage_Lifestyle_Mini_!$C:$K)</f>
        <v>Suburban</v>
      </c>
      <c r="G348" t="str">
        <f>_xlfn.XLOOKUP($A:$A,Instagram_Usage_Lifestyle_Mini_!$A:$A,Instagram_Usage_Lifestyle_Mini_!$C:$K)</f>
        <v>Middle</v>
      </c>
      <c r="H348" t="str">
        <f>_xlfn.XLOOKUP($A:$A,Instagram_Usage_Lifestyle_Mini_!$A:$A,Instagram_Usage_Lifestyle_Mini_!$C:$K)</f>
        <v>Unemployed</v>
      </c>
      <c r="I348" t="str">
        <f>_xlfn.XLOOKUP($A:$A,Instagram_Usage_Lifestyle_Mini_!$A:$A,Instagram_Usage_Lifestyle_Mini_!$C:$K)</f>
        <v>High_school</v>
      </c>
      <c r="J348" t="str">
        <f>_xlfn.XLOOKUP($A:$A,Instagram_Usage_Lifestyle_Mini_!$A:$A,Instagram_Usage_Lifestyle_Mini_!$C:$K)</f>
        <v>Single</v>
      </c>
      <c r="K348" t="str">
        <f>_xlfn.XLOOKUP($A:$A,Instagram_Usage_Lifestyle_Mini_!$A:$A,Instagram_Usage_Lifestyle_Mini_!$C:$K)</f>
        <v>No</v>
      </c>
      <c r="L348" t="str" cm="1">
        <f t="array" ref="L348">_xlfn.IFS(C348&lt;18,"Under_18",C348&lt;=25,"Youth",C348&lt;=35,"Young_Adults",C348&lt;=45,"Mid_Adults",TRUE,"Seniors")</f>
        <v>Young_Adults</v>
      </c>
    </row>
    <row r="349" spans="1:12" x14ac:dyDescent="0.2">
      <c r="A349">
        <v>348</v>
      </c>
      <c r="B349" t="str">
        <f>_xlfn.XLOOKUP(A349,Instagram_Usage_Lifestyle_Mini_!A349,Instagram_Usage_Lifestyle_Mini_!B349,1)</f>
        <v>Instagram</v>
      </c>
      <c r="C349">
        <f>_xlfn.XLOOKUP($A:$A,Instagram_Usage_Lifestyle_Mini_!$A:$A,Instagram_Usage_Lifestyle_Mini_!$C:$K)</f>
        <v>20</v>
      </c>
      <c r="D349" t="str">
        <f>_xlfn.XLOOKUP($A:$A,Instagram_Usage_Lifestyle_Mini_!$A:$A,Instagram_Usage_Lifestyle_Mini_!$C:$K)</f>
        <v>Female</v>
      </c>
      <c r="E349" t="str">
        <f>_xlfn.XLOOKUP($A:$A,Instagram_Usage_Lifestyle_Mini_!$A:$A,Instagram_Usage_Lifestyle_Mini_!$C:$K)</f>
        <v>Australia</v>
      </c>
      <c r="F349" t="str">
        <f>_xlfn.XLOOKUP($A:$A,Instagram_Usage_Lifestyle_Mini_!$A:$A,Instagram_Usage_Lifestyle_Mini_!$C:$K)</f>
        <v>Suburban</v>
      </c>
      <c r="G349" t="str">
        <f>_xlfn.XLOOKUP($A:$A,Instagram_Usage_Lifestyle_Mini_!$A:$A,Instagram_Usage_Lifestyle_Mini_!$C:$K)</f>
        <v>Low</v>
      </c>
      <c r="H349" t="str">
        <f>_xlfn.XLOOKUP($A:$A,Instagram_Usage_Lifestyle_Mini_!$A:$A,Instagram_Usage_Lifestyle_Mini_!$C:$K)</f>
        <v>Student</v>
      </c>
      <c r="I349" t="str">
        <f>_xlfn.XLOOKUP($A:$A,Instagram_Usage_Lifestyle_Mini_!$A:$A,Instagram_Usage_Lifestyle_Mini_!$C:$K)</f>
        <v>Bachelors_degree</v>
      </c>
      <c r="J349" t="str">
        <f>_xlfn.XLOOKUP($A:$A,Instagram_Usage_Lifestyle_Mini_!$A:$A,Instagram_Usage_Lifestyle_Mini_!$C:$K)</f>
        <v>Divorced</v>
      </c>
      <c r="K349" t="str">
        <f>_xlfn.XLOOKUP($A:$A,Instagram_Usage_Lifestyle_Mini_!$A:$A,Instagram_Usage_Lifestyle_Mini_!$C:$K)</f>
        <v>No</v>
      </c>
      <c r="L349" t="str" cm="1">
        <f t="array" ref="L349">_xlfn.IFS(C349&lt;18,"Under_18",C349&lt;=25,"Youth",C349&lt;=35,"Young_Adults",C349&lt;=45,"Mid_Adults",TRUE,"Seniors")</f>
        <v>Youth</v>
      </c>
    </row>
    <row r="350" spans="1:12" x14ac:dyDescent="0.2">
      <c r="A350">
        <v>349</v>
      </c>
      <c r="B350" t="str">
        <f>_xlfn.XLOOKUP(A350,Instagram_Usage_Lifestyle_Mini_!A350,Instagram_Usage_Lifestyle_Mini_!B350,1)</f>
        <v>Instagram</v>
      </c>
      <c r="C350">
        <f>_xlfn.XLOOKUP($A:$A,Instagram_Usage_Lifestyle_Mini_!$A:$A,Instagram_Usage_Lifestyle_Mini_!$C:$K)</f>
        <v>19</v>
      </c>
      <c r="D350" t="str">
        <f>_xlfn.XLOOKUP($A:$A,Instagram_Usage_Lifestyle_Mini_!$A:$A,Instagram_Usage_Lifestyle_Mini_!$C:$K)</f>
        <v>Male</v>
      </c>
      <c r="E350" t="str">
        <f>_xlfn.XLOOKUP($A:$A,Instagram_Usage_Lifestyle_Mini_!$A:$A,Instagram_Usage_Lifestyle_Mini_!$C:$K)</f>
        <v>Canada</v>
      </c>
      <c r="F350" t="str">
        <f>_xlfn.XLOOKUP($A:$A,Instagram_Usage_Lifestyle_Mini_!$A:$A,Instagram_Usage_Lifestyle_Mini_!$C:$K)</f>
        <v>Suburban</v>
      </c>
      <c r="G350" t="str">
        <f>_xlfn.XLOOKUP($A:$A,Instagram_Usage_Lifestyle_Mini_!$A:$A,Instagram_Usage_Lifestyle_Mini_!$C:$K)</f>
        <v>High</v>
      </c>
      <c r="H350" t="str">
        <f>_xlfn.XLOOKUP($A:$A,Instagram_Usage_Lifestyle_Mini_!$A:$A,Instagram_Usage_Lifestyle_Mini_!$C:$K)</f>
        <v>Full_time_employed</v>
      </c>
      <c r="I350" t="str">
        <f>_xlfn.XLOOKUP($A:$A,Instagram_Usage_Lifestyle_Mini_!$A:$A,Instagram_Usage_Lifestyle_Mini_!$C:$K)</f>
        <v>Some_college</v>
      </c>
      <c r="J350" t="str">
        <f>_xlfn.XLOOKUP($A:$A,Instagram_Usage_Lifestyle_Mini_!$A:$A,Instagram_Usage_Lifestyle_Mini_!$C:$K)</f>
        <v>In_a_relationship</v>
      </c>
      <c r="K350" t="str">
        <f>_xlfn.XLOOKUP($A:$A,Instagram_Usage_Lifestyle_Mini_!$A:$A,Instagram_Usage_Lifestyle_Mini_!$C:$K)</f>
        <v>Yes</v>
      </c>
      <c r="L350" t="str" cm="1">
        <f t="array" ref="L350">_xlfn.IFS(C350&lt;18,"Under_18",C350&lt;=25,"Youth",C350&lt;=35,"Young_Adults",C350&lt;=45,"Mid_Adults",TRUE,"Seniors")</f>
        <v>Youth</v>
      </c>
    </row>
    <row r="351" spans="1:12" x14ac:dyDescent="0.2">
      <c r="A351">
        <v>350</v>
      </c>
      <c r="B351" t="str">
        <f>_xlfn.XLOOKUP(A351,Instagram_Usage_Lifestyle_Mini_!A351,Instagram_Usage_Lifestyle_Mini_!B351,1)</f>
        <v>Instagram</v>
      </c>
      <c r="C351">
        <f>_xlfn.XLOOKUP($A:$A,Instagram_Usage_Lifestyle_Mini_!$A:$A,Instagram_Usage_Lifestyle_Mini_!$C:$K)</f>
        <v>15</v>
      </c>
      <c r="D351" t="str">
        <f>_xlfn.XLOOKUP($A:$A,Instagram_Usage_Lifestyle_Mini_!$A:$A,Instagram_Usage_Lifestyle_Mini_!$C:$K)</f>
        <v>Female</v>
      </c>
      <c r="E351" t="str">
        <f>_xlfn.XLOOKUP($A:$A,Instagram_Usage_Lifestyle_Mini_!$A:$A,Instagram_Usage_Lifestyle_Mini_!$C:$K)</f>
        <v>Brazil</v>
      </c>
      <c r="F351" t="str">
        <f>_xlfn.XLOOKUP($A:$A,Instagram_Usage_Lifestyle_Mini_!$A:$A,Instagram_Usage_Lifestyle_Mini_!$C:$K)</f>
        <v>Suburban</v>
      </c>
      <c r="G351" t="str">
        <f>_xlfn.XLOOKUP($A:$A,Instagram_Usage_Lifestyle_Mini_!$A:$A,Instagram_Usage_Lifestyle_Mini_!$C:$K)</f>
        <v>Middle</v>
      </c>
      <c r="H351" t="str">
        <f>_xlfn.XLOOKUP($A:$A,Instagram_Usage_Lifestyle_Mini_!$A:$A,Instagram_Usage_Lifestyle_Mini_!$C:$K)</f>
        <v>Unemployed</v>
      </c>
      <c r="I351" t="str">
        <f>_xlfn.XLOOKUP($A:$A,Instagram_Usage_Lifestyle_Mini_!$A:$A,Instagram_Usage_Lifestyle_Mini_!$C:$K)</f>
        <v>Bachelors_degree</v>
      </c>
      <c r="J351" t="str">
        <f>_xlfn.XLOOKUP($A:$A,Instagram_Usage_Lifestyle_Mini_!$A:$A,Instagram_Usage_Lifestyle_Mini_!$C:$K)</f>
        <v>In_a_relationship</v>
      </c>
      <c r="K351" t="str">
        <f>_xlfn.XLOOKUP($A:$A,Instagram_Usage_Lifestyle_Mini_!$A:$A,Instagram_Usage_Lifestyle_Mini_!$C:$K)</f>
        <v>No</v>
      </c>
      <c r="L351" t="str" cm="1">
        <f t="array" ref="L351">_xlfn.IFS(C351&lt;18,"Under_18",C351&lt;=25,"Youth",C351&lt;=35,"Young_Adults",C351&lt;=45,"Mid_Adults",TRUE,"Seniors")</f>
        <v>Under_18</v>
      </c>
    </row>
    <row r="352" spans="1:12" x14ac:dyDescent="0.2">
      <c r="A352">
        <v>351</v>
      </c>
      <c r="B352" t="str">
        <f>_xlfn.XLOOKUP(A352,Instagram_Usage_Lifestyle_Mini_!A352,Instagram_Usage_Lifestyle_Mini_!B352,1)</f>
        <v>Instagram</v>
      </c>
      <c r="C352">
        <f>_xlfn.XLOOKUP($A:$A,Instagram_Usage_Lifestyle_Mini_!$A:$A,Instagram_Usage_Lifestyle_Mini_!$C:$K)</f>
        <v>29</v>
      </c>
      <c r="D352" t="str">
        <f>_xlfn.XLOOKUP($A:$A,Instagram_Usage_Lifestyle_Mini_!$A:$A,Instagram_Usage_Lifestyle_Mini_!$C:$K)</f>
        <v>Male</v>
      </c>
      <c r="E352" t="str">
        <f>_xlfn.XLOOKUP($A:$A,Instagram_Usage_Lifestyle_Mini_!$A:$A,Instagram_Usage_Lifestyle_Mini_!$C:$K)</f>
        <v>United_States</v>
      </c>
      <c r="F352" t="str">
        <f>_xlfn.XLOOKUP($A:$A,Instagram_Usage_Lifestyle_Mini_!$A:$A,Instagram_Usage_Lifestyle_Mini_!$C:$K)</f>
        <v>Suburban</v>
      </c>
      <c r="G352" t="str">
        <f>_xlfn.XLOOKUP($A:$A,Instagram_Usage_Lifestyle_Mini_!$A:$A,Instagram_Usage_Lifestyle_Mini_!$C:$K)</f>
        <v>Lower_middle</v>
      </c>
      <c r="H352" t="str">
        <f>_xlfn.XLOOKUP($A:$A,Instagram_Usage_Lifestyle_Mini_!$A:$A,Instagram_Usage_Lifestyle_Mini_!$C:$K)</f>
        <v>Full_time_employed</v>
      </c>
      <c r="I352" t="str">
        <f>_xlfn.XLOOKUP($A:$A,Instagram_Usage_Lifestyle_Mini_!$A:$A,Instagram_Usage_Lifestyle_Mini_!$C:$K)</f>
        <v>Some_college</v>
      </c>
      <c r="J352" t="str">
        <f>_xlfn.XLOOKUP($A:$A,Instagram_Usage_Lifestyle_Mini_!$A:$A,Instagram_Usage_Lifestyle_Mini_!$C:$K)</f>
        <v>In_a_relationship</v>
      </c>
      <c r="K352" t="str">
        <f>_xlfn.XLOOKUP($A:$A,Instagram_Usage_Lifestyle_Mini_!$A:$A,Instagram_Usage_Lifestyle_Mini_!$C:$K)</f>
        <v>No</v>
      </c>
      <c r="L352" t="str" cm="1">
        <f t="array" ref="L352">_xlfn.IFS(C352&lt;18,"Under_18",C352&lt;=25,"Youth",C352&lt;=35,"Young_Adults",C352&lt;=45,"Mid_Adults",TRUE,"Seniors")</f>
        <v>Young_Adults</v>
      </c>
    </row>
    <row r="353" spans="1:12" x14ac:dyDescent="0.2">
      <c r="A353">
        <v>352</v>
      </c>
      <c r="B353" t="str">
        <f>_xlfn.XLOOKUP(A353,Instagram_Usage_Lifestyle_Mini_!A353,Instagram_Usage_Lifestyle_Mini_!B353,1)</f>
        <v>Instagram</v>
      </c>
      <c r="C353">
        <f>_xlfn.XLOOKUP($A:$A,Instagram_Usage_Lifestyle_Mini_!$A:$A,Instagram_Usage_Lifestyle_Mini_!$C:$K)</f>
        <v>45</v>
      </c>
      <c r="D353" t="str">
        <f>_xlfn.XLOOKUP($A:$A,Instagram_Usage_Lifestyle_Mini_!$A:$A,Instagram_Usage_Lifestyle_Mini_!$C:$K)</f>
        <v>Female</v>
      </c>
      <c r="E353" t="str">
        <f>_xlfn.XLOOKUP($A:$A,Instagram_Usage_Lifestyle_Mini_!$A:$A,Instagram_Usage_Lifestyle_Mini_!$C:$K)</f>
        <v>Australia</v>
      </c>
      <c r="F353" t="str">
        <f>_xlfn.XLOOKUP($A:$A,Instagram_Usage_Lifestyle_Mini_!$A:$A,Instagram_Usage_Lifestyle_Mini_!$C:$K)</f>
        <v>Suburban</v>
      </c>
      <c r="G353" t="str">
        <f>_xlfn.XLOOKUP($A:$A,Instagram_Usage_Lifestyle_Mini_!$A:$A,Instagram_Usage_Lifestyle_Mini_!$C:$K)</f>
        <v>Upper_middle</v>
      </c>
      <c r="H353" t="str">
        <f>_xlfn.XLOOKUP($A:$A,Instagram_Usage_Lifestyle_Mini_!$A:$A,Instagram_Usage_Lifestyle_Mini_!$C:$K)</f>
        <v>Student</v>
      </c>
      <c r="I353" t="str">
        <f>_xlfn.XLOOKUP($A:$A,Instagram_Usage_Lifestyle_Mini_!$A:$A,Instagram_Usage_Lifestyle_Mini_!$C:$K)</f>
        <v>Bachelors_degree</v>
      </c>
      <c r="J353" t="str">
        <f>_xlfn.XLOOKUP($A:$A,Instagram_Usage_Lifestyle_Mini_!$A:$A,Instagram_Usage_Lifestyle_Mini_!$C:$K)</f>
        <v>Single</v>
      </c>
      <c r="K353" t="str">
        <f>_xlfn.XLOOKUP($A:$A,Instagram_Usage_Lifestyle_Mini_!$A:$A,Instagram_Usage_Lifestyle_Mini_!$C:$K)</f>
        <v>No</v>
      </c>
      <c r="L353" t="str" cm="1">
        <f t="array" ref="L353">_xlfn.IFS(C353&lt;18,"Under_18",C353&lt;=25,"Youth",C353&lt;=35,"Young_Adults",C353&lt;=45,"Mid_Adults",TRUE,"Seniors")</f>
        <v>Mid_Adults</v>
      </c>
    </row>
    <row r="354" spans="1:12" x14ac:dyDescent="0.2">
      <c r="A354">
        <v>353</v>
      </c>
      <c r="B354" t="str">
        <f>_xlfn.XLOOKUP(A354,Instagram_Usage_Lifestyle_Mini_!A354,Instagram_Usage_Lifestyle_Mini_!B354,1)</f>
        <v>Instagram</v>
      </c>
      <c r="C354">
        <f>_xlfn.XLOOKUP($A:$A,Instagram_Usage_Lifestyle_Mini_!$A:$A,Instagram_Usage_Lifestyle_Mini_!$C:$K)</f>
        <v>60</v>
      </c>
      <c r="D354" t="str">
        <f>_xlfn.XLOOKUP($A:$A,Instagram_Usage_Lifestyle_Mini_!$A:$A,Instagram_Usage_Lifestyle_Mini_!$C:$K)</f>
        <v>Female</v>
      </c>
      <c r="E354" t="str">
        <f>_xlfn.XLOOKUP($A:$A,Instagram_Usage_Lifestyle_Mini_!$A:$A,Instagram_Usage_Lifestyle_Mini_!$C:$K)</f>
        <v>Brazil</v>
      </c>
      <c r="F354" t="str">
        <f>_xlfn.XLOOKUP($A:$A,Instagram_Usage_Lifestyle_Mini_!$A:$A,Instagram_Usage_Lifestyle_Mini_!$C:$K)</f>
        <v>Urban</v>
      </c>
      <c r="G354" t="str">
        <f>_xlfn.XLOOKUP($A:$A,Instagram_Usage_Lifestyle_Mini_!$A:$A,Instagram_Usage_Lifestyle_Mini_!$C:$K)</f>
        <v>Lower_middle</v>
      </c>
      <c r="H354" t="str">
        <f>_xlfn.XLOOKUP($A:$A,Instagram_Usage_Lifestyle_Mini_!$A:$A,Instagram_Usage_Lifestyle_Mini_!$C:$K)</f>
        <v>Full_time_employed</v>
      </c>
      <c r="I354" t="str">
        <f>_xlfn.XLOOKUP($A:$A,Instagram_Usage_Lifestyle_Mini_!$A:$A,Instagram_Usage_Lifestyle_Mini_!$C:$K)</f>
        <v>High_school</v>
      </c>
      <c r="J354" t="str">
        <f>_xlfn.XLOOKUP($A:$A,Instagram_Usage_Lifestyle_Mini_!$A:$A,Instagram_Usage_Lifestyle_Mini_!$C:$K)</f>
        <v>In_a_relationship</v>
      </c>
      <c r="K354" t="str">
        <f>_xlfn.XLOOKUP($A:$A,Instagram_Usage_Lifestyle_Mini_!$A:$A,Instagram_Usage_Lifestyle_Mini_!$C:$K)</f>
        <v>No</v>
      </c>
      <c r="L354" t="str" cm="1">
        <f t="array" ref="L354">_xlfn.IFS(C354&lt;18,"Under_18",C354&lt;=25,"Youth",C354&lt;=35,"Young_Adults",C354&lt;=45,"Mid_Adults",TRUE,"Seniors")</f>
        <v>Seniors</v>
      </c>
    </row>
    <row r="355" spans="1:12" x14ac:dyDescent="0.2">
      <c r="A355">
        <v>354</v>
      </c>
      <c r="B355" t="str">
        <f>_xlfn.XLOOKUP(A355,Instagram_Usage_Lifestyle_Mini_!A355,Instagram_Usage_Lifestyle_Mini_!B355,1)</f>
        <v>Instagram</v>
      </c>
      <c r="C355">
        <f>_xlfn.XLOOKUP($A:$A,Instagram_Usage_Lifestyle_Mini_!$A:$A,Instagram_Usage_Lifestyle_Mini_!$C:$K)</f>
        <v>24</v>
      </c>
      <c r="D355" t="str">
        <f>_xlfn.XLOOKUP($A:$A,Instagram_Usage_Lifestyle_Mini_!$A:$A,Instagram_Usage_Lifestyle_Mini_!$C:$K)</f>
        <v>Male</v>
      </c>
      <c r="E355" t="str">
        <f>_xlfn.XLOOKUP($A:$A,Instagram_Usage_Lifestyle_Mini_!$A:$A,Instagram_Usage_Lifestyle_Mini_!$C:$K)</f>
        <v>Brazil</v>
      </c>
      <c r="F355" t="str">
        <f>_xlfn.XLOOKUP($A:$A,Instagram_Usage_Lifestyle_Mini_!$A:$A,Instagram_Usage_Lifestyle_Mini_!$C:$K)</f>
        <v>Suburban</v>
      </c>
      <c r="G355" t="str">
        <f>_xlfn.XLOOKUP($A:$A,Instagram_Usage_Lifestyle_Mini_!$A:$A,Instagram_Usage_Lifestyle_Mini_!$C:$K)</f>
        <v>Middle</v>
      </c>
      <c r="H355" t="str">
        <f>_xlfn.XLOOKUP($A:$A,Instagram_Usage_Lifestyle_Mini_!$A:$A,Instagram_Usage_Lifestyle_Mini_!$C:$K)</f>
        <v>Unemployed</v>
      </c>
      <c r="I355" t="str">
        <f>_xlfn.XLOOKUP($A:$A,Instagram_Usage_Lifestyle_Mini_!$A:$A,Instagram_Usage_Lifestyle_Mini_!$C:$K)</f>
        <v>Bachelors_degree</v>
      </c>
      <c r="J355" t="str">
        <f>_xlfn.XLOOKUP($A:$A,Instagram_Usage_Lifestyle_Mini_!$A:$A,Instagram_Usage_Lifestyle_Mini_!$C:$K)</f>
        <v>Single</v>
      </c>
      <c r="K355" t="str">
        <f>_xlfn.XLOOKUP($A:$A,Instagram_Usage_Lifestyle_Mini_!$A:$A,Instagram_Usage_Lifestyle_Mini_!$C:$K)</f>
        <v>No</v>
      </c>
      <c r="L355" t="str" cm="1">
        <f t="array" ref="L355">_xlfn.IFS(C355&lt;18,"Under_18",C355&lt;=25,"Youth",C355&lt;=35,"Young_Adults",C355&lt;=45,"Mid_Adults",TRUE,"Seniors")</f>
        <v>Youth</v>
      </c>
    </row>
    <row r="356" spans="1:12" x14ac:dyDescent="0.2">
      <c r="A356">
        <v>355</v>
      </c>
      <c r="B356" t="str">
        <f>_xlfn.XLOOKUP(A356,Instagram_Usage_Lifestyle_Mini_!A356,Instagram_Usage_Lifestyle_Mini_!B356,1)</f>
        <v>Instagram</v>
      </c>
      <c r="C356">
        <f>_xlfn.XLOOKUP($A:$A,Instagram_Usage_Lifestyle_Mini_!$A:$A,Instagram_Usage_Lifestyle_Mini_!$C:$K)</f>
        <v>63</v>
      </c>
      <c r="D356" t="str">
        <f>_xlfn.XLOOKUP($A:$A,Instagram_Usage_Lifestyle_Mini_!$A:$A,Instagram_Usage_Lifestyle_Mini_!$C:$K)</f>
        <v>Male</v>
      </c>
      <c r="E356" t="str">
        <f>_xlfn.XLOOKUP($A:$A,Instagram_Usage_Lifestyle_Mini_!$A:$A,Instagram_Usage_Lifestyle_Mini_!$C:$K)</f>
        <v>United_States</v>
      </c>
      <c r="F356" t="str">
        <f>_xlfn.XLOOKUP($A:$A,Instagram_Usage_Lifestyle_Mini_!$A:$A,Instagram_Usage_Lifestyle_Mini_!$C:$K)</f>
        <v>Suburban</v>
      </c>
      <c r="G356" t="str">
        <f>_xlfn.XLOOKUP($A:$A,Instagram_Usage_Lifestyle_Mini_!$A:$A,Instagram_Usage_Lifestyle_Mini_!$C:$K)</f>
        <v>Upper_middle</v>
      </c>
      <c r="H356" t="str">
        <f>_xlfn.XLOOKUP($A:$A,Instagram_Usage_Lifestyle_Mini_!$A:$A,Instagram_Usage_Lifestyle_Mini_!$C:$K)</f>
        <v>Full_time_employed</v>
      </c>
      <c r="I356" t="str">
        <f>_xlfn.XLOOKUP($A:$A,Instagram_Usage_Lifestyle_Mini_!$A:$A,Instagram_Usage_Lifestyle_Mini_!$C:$K)</f>
        <v>Bachelors_degree</v>
      </c>
      <c r="J356" t="str">
        <f>_xlfn.XLOOKUP($A:$A,Instagram_Usage_Lifestyle_Mini_!$A:$A,Instagram_Usage_Lifestyle_Mini_!$C:$K)</f>
        <v>In_a_relationship</v>
      </c>
      <c r="K356" t="str">
        <f>_xlfn.XLOOKUP($A:$A,Instagram_Usage_Lifestyle_Mini_!$A:$A,Instagram_Usage_Lifestyle_Mini_!$C:$K)</f>
        <v>Yes</v>
      </c>
      <c r="L356" t="str" cm="1">
        <f t="array" ref="L356">_xlfn.IFS(C356&lt;18,"Under_18",C356&lt;=25,"Youth",C356&lt;=35,"Young_Adults",C356&lt;=45,"Mid_Adults",TRUE,"Seniors")</f>
        <v>Seniors</v>
      </c>
    </row>
    <row r="357" spans="1:12" x14ac:dyDescent="0.2">
      <c r="A357">
        <v>356</v>
      </c>
      <c r="B357" t="str">
        <f>_xlfn.XLOOKUP(A357,Instagram_Usage_Lifestyle_Mini_!A357,Instagram_Usage_Lifestyle_Mini_!B357,1)</f>
        <v>Instagram</v>
      </c>
      <c r="C357">
        <f>_xlfn.XLOOKUP($A:$A,Instagram_Usage_Lifestyle_Mini_!$A:$A,Instagram_Usage_Lifestyle_Mini_!$C:$K)</f>
        <v>34</v>
      </c>
      <c r="D357" t="str">
        <f>_xlfn.XLOOKUP($A:$A,Instagram_Usage_Lifestyle_Mini_!$A:$A,Instagram_Usage_Lifestyle_Mini_!$C:$K)</f>
        <v>Male</v>
      </c>
      <c r="E357" t="str">
        <f>_xlfn.XLOOKUP($A:$A,Instagram_Usage_Lifestyle_Mini_!$A:$A,Instagram_Usage_Lifestyle_Mini_!$C:$K)</f>
        <v>United _Kingdom</v>
      </c>
      <c r="F357" t="str">
        <f>_xlfn.XLOOKUP($A:$A,Instagram_Usage_Lifestyle_Mini_!$A:$A,Instagram_Usage_Lifestyle_Mini_!$C:$K)</f>
        <v>Suburban</v>
      </c>
      <c r="G357" t="str">
        <f>_xlfn.XLOOKUP($A:$A,Instagram_Usage_Lifestyle_Mini_!$A:$A,Instagram_Usage_Lifestyle_Mini_!$C:$K)</f>
        <v>Upper_middle</v>
      </c>
      <c r="H357" t="str">
        <f>_xlfn.XLOOKUP($A:$A,Instagram_Usage_Lifestyle_Mini_!$A:$A,Instagram_Usage_Lifestyle_Mini_!$C:$K)</f>
        <v>Freelancer</v>
      </c>
      <c r="I357" t="str">
        <f>_xlfn.XLOOKUP($A:$A,Instagram_Usage_Lifestyle_Mini_!$A:$A,Instagram_Usage_Lifestyle_Mini_!$C:$K)</f>
        <v>Some_college</v>
      </c>
      <c r="J357" t="str">
        <f>_xlfn.XLOOKUP($A:$A,Instagram_Usage_Lifestyle_Mini_!$A:$A,Instagram_Usage_Lifestyle_Mini_!$C:$K)</f>
        <v>Single</v>
      </c>
      <c r="K357" t="str">
        <f>_xlfn.XLOOKUP($A:$A,Instagram_Usage_Lifestyle_Mini_!$A:$A,Instagram_Usage_Lifestyle_Mini_!$C:$K)</f>
        <v>No</v>
      </c>
      <c r="L357" t="str" cm="1">
        <f t="array" ref="L357">_xlfn.IFS(C357&lt;18,"Under_18",C357&lt;=25,"Youth",C357&lt;=35,"Young_Adults",C357&lt;=45,"Mid_Adults",TRUE,"Seniors")</f>
        <v>Young_Adults</v>
      </c>
    </row>
    <row r="358" spans="1:12" x14ac:dyDescent="0.2">
      <c r="A358">
        <v>357</v>
      </c>
      <c r="B358" t="str">
        <f>_xlfn.XLOOKUP(A358,Instagram_Usage_Lifestyle_Mini_!A358,Instagram_Usage_Lifestyle_Mini_!B358,1)</f>
        <v>Instagram</v>
      </c>
      <c r="C358">
        <f>_xlfn.XLOOKUP($A:$A,Instagram_Usage_Lifestyle_Mini_!$A:$A,Instagram_Usage_Lifestyle_Mini_!$C:$K)</f>
        <v>34</v>
      </c>
      <c r="D358" t="str">
        <f>_xlfn.XLOOKUP($A:$A,Instagram_Usage_Lifestyle_Mini_!$A:$A,Instagram_Usage_Lifestyle_Mini_!$C:$K)</f>
        <v>Female</v>
      </c>
      <c r="E358" t="str">
        <f>_xlfn.XLOOKUP($A:$A,Instagram_Usage_Lifestyle_Mini_!$A:$A,Instagram_Usage_Lifestyle_Mini_!$C:$K)</f>
        <v>United_States</v>
      </c>
      <c r="F358" t="str">
        <f>_xlfn.XLOOKUP($A:$A,Instagram_Usage_Lifestyle_Mini_!$A:$A,Instagram_Usage_Lifestyle_Mini_!$C:$K)</f>
        <v>Rural</v>
      </c>
      <c r="G358" t="str">
        <f>_xlfn.XLOOKUP($A:$A,Instagram_Usage_Lifestyle_Mini_!$A:$A,Instagram_Usage_Lifestyle_Mini_!$C:$K)</f>
        <v>High</v>
      </c>
      <c r="H358" t="str">
        <f>_xlfn.XLOOKUP($A:$A,Instagram_Usage_Lifestyle_Mini_!$A:$A,Instagram_Usage_Lifestyle_Mini_!$C:$K)</f>
        <v>Full_time_employed</v>
      </c>
      <c r="I358" t="str">
        <f>_xlfn.XLOOKUP($A:$A,Instagram_Usage_Lifestyle_Mini_!$A:$A,Instagram_Usage_Lifestyle_Mini_!$C:$K)</f>
        <v>High_school</v>
      </c>
      <c r="J358" t="str">
        <f>_xlfn.XLOOKUP($A:$A,Instagram_Usage_Lifestyle_Mini_!$A:$A,Instagram_Usage_Lifestyle_Mini_!$C:$K)</f>
        <v>In_a_relationship</v>
      </c>
      <c r="K358" t="str">
        <f>_xlfn.XLOOKUP($A:$A,Instagram_Usage_Lifestyle_Mini_!$A:$A,Instagram_Usage_Lifestyle_Mini_!$C:$K)</f>
        <v>No</v>
      </c>
      <c r="L358" t="str" cm="1">
        <f t="array" ref="L358">_xlfn.IFS(C358&lt;18,"Under_18",C358&lt;=25,"Youth",C358&lt;=35,"Young_Adults",C358&lt;=45,"Mid_Adults",TRUE,"Seniors")</f>
        <v>Young_Adults</v>
      </c>
    </row>
    <row r="359" spans="1:12" x14ac:dyDescent="0.2">
      <c r="A359">
        <v>358</v>
      </c>
      <c r="B359" t="str">
        <f>_xlfn.XLOOKUP(A359,Instagram_Usage_Lifestyle_Mini_!A359,Instagram_Usage_Lifestyle_Mini_!B359,1)</f>
        <v>Instagram</v>
      </c>
      <c r="C359">
        <f>_xlfn.XLOOKUP($A:$A,Instagram_Usage_Lifestyle_Mini_!$A:$A,Instagram_Usage_Lifestyle_Mini_!$C:$K)</f>
        <v>58</v>
      </c>
      <c r="D359" t="str">
        <f>_xlfn.XLOOKUP($A:$A,Instagram_Usage_Lifestyle_Mini_!$A:$A,Instagram_Usage_Lifestyle_Mini_!$C:$K)</f>
        <v>Female</v>
      </c>
      <c r="E359" t="str">
        <f>_xlfn.XLOOKUP($A:$A,Instagram_Usage_Lifestyle_Mini_!$A:$A,Instagram_Usage_Lifestyle_Mini_!$C:$K)</f>
        <v>Other</v>
      </c>
      <c r="F359" t="str">
        <f>_xlfn.XLOOKUP($A:$A,Instagram_Usage_Lifestyle_Mini_!$A:$A,Instagram_Usage_Lifestyle_Mini_!$C:$K)</f>
        <v>Suburban</v>
      </c>
      <c r="G359" t="str">
        <f>_xlfn.XLOOKUP($A:$A,Instagram_Usage_Lifestyle_Mini_!$A:$A,Instagram_Usage_Lifestyle_Mini_!$C:$K)</f>
        <v>Middle</v>
      </c>
      <c r="H359" t="str">
        <f>_xlfn.XLOOKUP($A:$A,Instagram_Usage_Lifestyle_Mini_!$A:$A,Instagram_Usage_Lifestyle_Mini_!$C:$K)</f>
        <v>Freelancer</v>
      </c>
      <c r="I359" t="str">
        <f>_xlfn.XLOOKUP($A:$A,Instagram_Usage_Lifestyle_Mini_!$A:$A,Instagram_Usage_Lifestyle_Mini_!$C:$K)</f>
        <v>Bachelors_degree</v>
      </c>
      <c r="J359" t="str">
        <f>_xlfn.XLOOKUP($A:$A,Instagram_Usage_Lifestyle_Mini_!$A:$A,Instagram_Usage_Lifestyle_Mini_!$C:$K)</f>
        <v>Married</v>
      </c>
      <c r="K359" t="str">
        <f>_xlfn.XLOOKUP($A:$A,Instagram_Usage_Lifestyle_Mini_!$A:$A,Instagram_Usage_Lifestyle_Mini_!$C:$K)</f>
        <v>No</v>
      </c>
      <c r="L359" t="str" cm="1">
        <f t="array" ref="L359">_xlfn.IFS(C359&lt;18,"Under_18",C359&lt;=25,"Youth",C359&lt;=35,"Young_Adults",C359&lt;=45,"Mid_Adults",TRUE,"Seniors")</f>
        <v>Seniors</v>
      </c>
    </row>
    <row r="360" spans="1:12" x14ac:dyDescent="0.2">
      <c r="A360">
        <v>359</v>
      </c>
      <c r="B360" t="str">
        <f>_xlfn.XLOOKUP(A360,Instagram_Usage_Lifestyle_Mini_!A360,Instagram_Usage_Lifestyle_Mini_!B360,1)</f>
        <v>Instagram</v>
      </c>
      <c r="C360">
        <f>_xlfn.XLOOKUP($A:$A,Instagram_Usage_Lifestyle_Mini_!$A:$A,Instagram_Usage_Lifestyle_Mini_!$C:$K)</f>
        <v>42</v>
      </c>
      <c r="D360" t="str">
        <f>_xlfn.XLOOKUP($A:$A,Instagram_Usage_Lifestyle_Mini_!$A:$A,Instagram_Usage_Lifestyle_Mini_!$C:$K)</f>
        <v>Female</v>
      </c>
      <c r="E360" t="str">
        <f>_xlfn.XLOOKUP($A:$A,Instagram_Usage_Lifestyle_Mini_!$A:$A,Instagram_Usage_Lifestyle_Mini_!$C:$K)</f>
        <v>Australia</v>
      </c>
      <c r="F360" t="str">
        <f>_xlfn.XLOOKUP($A:$A,Instagram_Usage_Lifestyle_Mini_!$A:$A,Instagram_Usage_Lifestyle_Mini_!$C:$K)</f>
        <v>Rural</v>
      </c>
      <c r="G360" t="str">
        <f>_xlfn.XLOOKUP($A:$A,Instagram_Usage_Lifestyle_Mini_!$A:$A,Instagram_Usage_Lifestyle_Mini_!$C:$K)</f>
        <v>Lower_middle</v>
      </c>
      <c r="H360" t="str">
        <f>_xlfn.XLOOKUP($A:$A,Instagram_Usage_Lifestyle_Mini_!$A:$A,Instagram_Usage_Lifestyle_Mini_!$C:$K)</f>
        <v>Full_time_employed</v>
      </c>
      <c r="I360" t="str">
        <f>_xlfn.XLOOKUP($A:$A,Instagram_Usage_Lifestyle_Mini_!$A:$A,Instagram_Usage_Lifestyle_Mini_!$C:$K)</f>
        <v>PhD</v>
      </c>
      <c r="J360" t="str">
        <f>_xlfn.XLOOKUP($A:$A,Instagram_Usage_Lifestyle_Mini_!$A:$A,Instagram_Usage_Lifestyle_Mini_!$C:$K)</f>
        <v>Single</v>
      </c>
      <c r="K360" t="str">
        <f>_xlfn.XLOOKUP($A:$A,Instagram_Usage_Lifestyle_Mini_!$A:$A,Instagram_Usage_Lifestyle_Mini_!$C:$K)</f>
        <v>Yes</v>
      </c>
      <c r="L360" t="str" cm="1">
        <f t="array" ref="L360">_xlfn.IFS(C360&lt;18,"Under_18",C360&lt;=25,"Youth",C360&lt;=35,"Young_Adults",C360&lt;=45,"Mid_Adults",TRUE,"Seniors")</f>
        <v>Mid_Adults</v>
      </c>
    </row>
    <row r="361" spans="1:12" x14ac:dyDescent="0.2">
      <c r="A361">
        <v>360</v>
      </c>
      <c r="B361" t="str">
        <f>_xlfn.XLOOKUP(A361,Instagram_Usage_Lifestyle_Mini_!A361,Instagram_Usage_Lifestyle_Mini_!B361,1)</f>
        <v>Instagram</v>
      </c>
      <c r="C361">
        <f>_xlfn.XLOOKUP($A:$A,Instagram_Usage_Lifestyle_Mini_!$A:$A,Instagram_Usage_Lifestyle_Mini_!$C:$K)</f>
        <v>50</v>
      </c>
      <c r="D361" t="str">
        <f>_xlfn.XLOOKUP($A:$A,Instagram_Usage_Lifestyle_Mini_!$A:$A,Instagram_Usage_Lifestyle_Mini_!$C:$K)</f>
        <v>Male</v>
      </c>
      <c r="E361" t="str">
        <f>_xlfn.XLOOKUP($A:$A,Instagram_Usage_Lifestyle_Mini_!$A:$A,Instagram_Usage_Lifestyle_Mini_!$C:$K)</f>
        <v>Other</v>
      </c>
      <c r="F361" t="str">
        <f>_xlfn.XLOOKUP($A:$A,Instagram_Usage_Lifestyle_Mini_!$A:$A,Instagram_Usage_Lifestyle_Mini_!$C:$K)</f>
        <v>Urban</v>
      </c>
      <c r="G361" t="str">
        <f>_xlfn.XLOOKUP($A:$A,Instagram_Usage_Lifestyle_Mini_!$A:$A,Instagram_Usage_Lifestyle_Mini_!$C:$K)</f>
        <v>Low</v>
      </c>
      <c r="H361" t="str">
        <f>_xlfn.XLOOKUP($A:$A,Instagram_Usage_Lifestyle_Mini_!$A:$A,Instagram_Usage_Lifestyle_Mini_!$C:$K)</f>
        <v>Full_time_employed</v>
      </c>
      <c r="I361" t="str">
        <f>_xlfn.XLOOKUP($A:$A,Instagram_Usage_Lifestyle_Mini_!$A:$A,Instagram_Usage_Lifestyle_Mini_!$C:$K)</f>
        <v>High_school</v>
      </c>
      <c r="J361" t="str">
        <f>_xlfn.XLOOKUP($A:$A,Instagram_Usage_Lifestyle_Mini_!$A:$A,Instagram_Usage_Lifestyle_Mini_!$C:$K)</f>
        <v>Married</v>
      </c>
      <c r="K361" t="str">
        <f>_xlfn.XLOOKUP($A:$A,Instagram_Usage_Lifestyle_Mini_!$A:$A,Instagram_Usage_Lifestyle_Mini_!$C:$K)</f>
        <v>No</v>
      </c>
      <c r="L361" t="str" cm="1">
        <f t="array" ref="L361">_xlfn.IFS(C361&lt;18,"Under_18",C361&lt;=25,"Youth",C361&lt;=35,"Young_Adults",C361&lt;=45,"Mid_Adults",TRUE,"Seniors")</f>
        <v>Seniors</v>
      </c>
    </row>
    <row r="362" spans="1:12" x14ac:dyDescent="0.2">
      <c r="A362">
        <v>361</v>
      </c>
      <c r="B362" t="str">
        <f>_xlfn.XLOOKUP(A362,Instagram_Usage_Lifestyle_Mini_!A362,Instagram_Usage_Lifestyle_Mini_!B362,1)</f>
        <v>Instagram</v>
      </c>
      <c r="C362">
        <f>_xlfn.XLOOKUP($A:$A,Instagram_Usage_Lifestyle_Mini_!$A:$A,Instagram_Usage_Lifestyle_Mini_!$C:$K)</f>
        <v>50</v>
      </c>
      <c r="D362" t="str">
        <f>_xlfn.XLOOKUP($A:$A,Instagram_Usage_Lifestyle_Mini_!$A:$A,Instagram_Usage_Lifestyle_Mini_!$C:$K)</f>
        <v>Male</v>
      </c>
      <c r="E362" t="str">
        <f>_xlfn.XLOOKUP($A:$A,Instagram_Usage_Lifestyle_Mini_!$A:$A,Instagram_Usage_Lifestyle_Mini_!$C:$K)</f>
        <v>India</v>
      </c>
      <c r="F362" t="str">
        <f>_xlfn.XLOOKUP($A:$A,Instagram_Usage_Lifestyle_Mini_!$A:$A,Instagram_Usage_Lifestyle_Mini_!$C:$K)</f>
        <v>Suburban</v>
      </c>
      <c r="G362" t="str">
        <f>_xlfn.XLOOKUP($A:$A,Instagram_Usage_Lifestyle_Mini_!$A:$A,Instagram_Usage_Lifestyle_Mini_!$C:$K)</f>
        <v>Middle</v>
      </c>
      <c r="H362" t="str">
        <f>_xlfn.XLOOKUP($A:$A,Instagram_Usage_Lifestyle_Mini_!$A:$A,Instagram_Usage_Lifestyle_Mini_!$C:$K)</f>
        <v>Full_time_employed</v>
      </c>
      <c r="I362" t="str">
        <f>_xlfn.XLOOKUP($A:$A,Instagram_Usage_Lifestyle_Mini_!$A:$A,Instagram_Usage_Lifestyle_Mini_!$C:$K)</f>
        <v>High_school</v>
      </c>
      <c r="J362" t="str">
        <f>_xlfn.XLOOKUP($A:$A,Instagram_Usage_Lifestyle_Mini_!$A:$A,Instagram_Usage_Lifestyle_Mini_!$C:$K)</f>
        <v>Single</v>
      </c>
      <c r="K362" t="str">
        <f>_xlfn.XLOOKUP($A:$A,Instagram_Usage_Lifestyle_Mini_!$A:$A,Instagram_Usage_Lifestyle_Mini_!$C:$K)</f>
        <v>No</v>
      </c>
      <c r="L362" t="str" cm="1">
        <f t="array" ref="L362">_xlfn.IFS(C362&lt;18,"Under_18",C362&lt;=25,"Youth",C362&lt;=35,"Young_Adults",C362&lt;=45,"Mid_Adults",TRUE,"Seniors")</f>
        <v>Seniors</v>
      </c>
    </row>
    <row r="363" spans="1:12" x14ac:dyDescent="0.2">
      <c r="A363">
        <v>362</v>
      </c>
      <c r="B363" t="str">
        <f>_xlfn.XLOOKUP(A363,Instagram_Usage_Lifestyle_Mini_!A363,Instagram_Usage_Lifestyle_Mini_!B363,1)</f>
        <v>Instagram</v>
      </c>
      <c r="C363">
        <f>_xlfn.XLOOKUP($A:$A,Instagram_Usage_Lifestyle_Mini_!$A:$A,Instagram_Usage_Lifestyle_Mini_!$C:$K)</f>
        <v>57</v>
      </c>
      <c r="D363" t="str">
        <f>_xlfn.XLOOKUP($A:$A,Instagram_Usage_Lifestyle_Mini_!$A:$A,Instagram_Usage_Lifestyle_Mini_!$C:$K)</f>
        <v>Female</v>
      </c>
      <c r="E363" t="str">
        <f>_xlfn.XLOOKUP($A:$A,Instagram_Usage_Lifestyle_Mini_!$A:$A,Instagram_Usage_Lifestyle_Mini_!$C:$K)</f>
        <v>United_States</v>
      </c>
      <c r="F363" t="str">
        <f>_xlfn.XLOOKUP($A:$A,Instagram_Usage_Lifestyle_Mini_!$A:$A,Instagram_Usage_Lifestyle_Mini_!$C:$K)</f>
        <v>Suburban</v>
      </c>
      <c r="G363" t="str">
        <f>_xlfn.XLOOKUP($A:$A,Instagram_Usage_Lifestyle_Mini_!$A:$A,Instagram_Usage_Lifestyle_Mini_!$C:$K)</f>
        <v>Lower_middle</v>
      </c>
      <c r="H363" t="str">
        <f>_xlfn.XLOOKUP($A:$A,Instagram_Usage_Lifestyle_Mini_!$A:$A,Instagram_Usage_Lifestyle_Mini_!$C:$K)</f>
        <v>Student</v>
      </c>
      <c r="I363" t="str">
        <f>_xlfn.XLOOKUP($A:$A,Instagram_Usage_Lifestyle_Mini_!$A:$A,Instagram_Usage_Lifestyle_Mini_!$C:$K)</f>
        <v>Some_college</v>
      </c>
      <c r="J363" t="str">
        <f>_xlfn.XLOOKUP($A:$A,Instagram_Usage_Lifestyle_Mini_!$A:$A,Instagram_Usage_Lifestyle_Mini_!$C:$K)</f>
        <v>Single</v>
      </c>
      <c r="K363" t="str">
        <f>_xlfn.XLOOKUP($A:$A,Instagram_Usage_Lifestyle_Mini_!$A:$A,Instagram_Usage_Lifestyle_Mini_!$C:$K)</f>
        <v>No</v>
      </c>
      <c r="L363" t="str" cm="1">
        <f t="array" ref="L363">_xlfn.IFS(C363&lt;18,"Under_18",C363&lt;=25,"Youth",C363&lt;=35,"Young_Adults",C363&lt;=45,"Mid_Adults",TRUE,"Seniors")</f>
        <v>Seniors</v>
      </c>
    </row>
    <row r="364" spans="1:12" x14ac:dyDescent="0.2">
      <c r="A364">
        <v>363</v>
      </c>
      <c r="B364" t="str">
        <f>_xlfn.XLOOKUP(A364,Instagram_Usage_Lifestyle_Mini_!A364,Instagram_Usage_Lifestyle_Mini_!B364,1)</f>
        <v>Instagram</v>
      </c>
      <c r="C364">
        <f>_xlfn.XLOOKUP($A:$A,Instagram_Usage_Lifestyle_Mini_!$A:$A,Instagram_Usage_Lifestyle_Mini_!$C:$K)</f>
        <v>63</v>
      </c>
      <c r="D364" t="str">
        <f>_xlfn.XLOOKUP($A:$A,Instagram_Usage_Lifestyle_Mini_!$A:$A,Instagram_Usage_Lifestyle_Mini_!$C:$K)</f>
        <v>Male</v>
      </c>
      <c r="E364" t="str">
        <f>_xlfn.XLOOKUP($A:$A,Instagram_Usage_Lifestyle_Mini_!$A:$A,Instagram_Usage_Lifestyle_Mini_!$C:$K)</f>
        <v>South_Korea</v>
      </c>
      <c r="F364" t="str">
        <f>_xlfn.XLOOKUP($A:$A,Instagram_Usage_Lifestyle_Mini_!$A:$A,Instagram_Usage_Lifestyle_Mini_!$C:$K)</f>
        <v>Rural</v>
      </c>
      <c r="G364" t="str">
        <f>_xlfn.XLOOKUP($A:$A,Instagram_Usage_Lifestyle_Mini_!$A:$A,Instagram_Usage_Lifestyle_Mini_!$C:$K)</f>
        <v>Lower_middle</v>
      </c>
      <c r="H364" t="str">
        <f>_xlfn.XLOOKUP($A:$A,Instagram_Usage_Lifestyle_Mini_!$A:$A,Instagram_Usage_Lifestyle_Mini_!$C:$K)</f>
        <v>Full_time_employed</v>
      </c>
      <c r="I364" t="str">
        <f>_xlfn.XLOOKUP($A:$A,Instagram_Usage_Lifestyle_Mini_!$A:$A,Instagram_Usage_Lifestyle_Mini_!$C:$K)</f>
        <v>Bachelors_degree</v>
      </c>
      <c r="J364" t="str">
        <f>_xlfn.XLOOKUP($A:$A,Instagram_Usage_Lifestyle_Mini_!$A:$A,Instagram_Usage_Lifestyle_Mini_!$C:$K)</f>
        <v>Single</v>
      </c>
      <c r="K364" t="str">
        <f>_xlfn.XLOOKUP($A:$A,Instagram_Usage_Lifestyle_Mini_!$A:$A,Instagram_Usage_Lifestyle_Mini_!$C:$K)</f>
        <v>No</v>
      </c>
      <c r="L364" t="str" cm="1">
        <f t="array" ref="L364">_xlfn.IFS(C364&lt;18,"Under_18",C364&lt;=25,"Youth",C364&lt;=35,"Young_Adults",C364&lt;=45,"Mid_Adults",TRUE,"Seniors")</f>
        <v>Seniors</v>
      </c>
    </row>
    <row r="365" spans="1:12" x14ac:dyDescent="0.2">
      <c r="A365">
        <v>364</v>
      </c>
      <c r="B365" t="str">
        <f>_xlfn.XLOOKUP(A365,Instagram_Usage_Lifestyle_Mini_!A365,Instagram_Usage_Lifestyle_Mini_!B365,1)</f>
        <v>Instagram</v>
      </c>
      <c r="C365">
        <f>_xlfn.XLOOKUP($A:$A,Instagram_Usage_Lifestyle_Mini_!$A:$A,Instagram_Usage_Lifestyle_Mini_!$C:$K)</f>
        <v>20</v>
      </c>
      <c r="D365" t="str">
        <f>_xlfn.XLOOKUP($A:$A,Instagram_Usage_Lifestyle_Mini_!$A:$A,Instagram_Usage_Lifestyle_Mini_!$C:$K)</f>
        <v>Female</v>
      </c>
      <c r="E365" t="str">
        <f>_xlfn.XLOOKUP($A:$A,Instagram_Usage_Lifestyle_Mini_!$A:$A,Instagram_Usage_Lifestyle_Mini_!$C:$K)</f>
        <v>South_Korea</v>
      </c>
      <c r="F365" t="str">
        <f>_xlfn.XLOOKUP($A:$A,Instagram_Usage_Lifestyle_Mini_!$A:$A,Instagram_Usage_Lifestyle_Mini_!$C:$K)</f>
        <v>Urban</v>
      </c>
      <c r="G365" t="str">
        <f>_xlfn.XLOOKUP($A:$A,Instagram_Usage_Lifestyle_Mini_!$A:$A,Instagram_Usage_Lifestyle_Mini_!$C:$K)</f>
        <v>Middle</v>
      </c>
      <c r="H365" t="str">
        <f>_xlfn.XLOOKUP($A:$A,Instagram_Usage_Lifestyle_Mini_!$A:$A,Instagram_Usage_Lifestyle_Mini_!$C:$K)</f>
        <v>Unemployed</v>
      </c>
      <c r="I365" t="str">
        <f>_xlfn.XLOOKUP($A:$A,Instagram_Usage_Lifestyle_Mini_!$A:$A,Instagram_Usage_Lifestyle_Mini_!$C:$K)</f>
        <v>Bachelors_degree</v>
      </c>
      <c r="J365" t="str">
        <f>_xlfn.XLOOKUP($A:$A,Instagram_Usage_Lifestyle_Mini_!$A:$A,Instagram_Usage_Lifestyle_Mini_!$C:$K)</f>
        <v>Single</v>
      </c>
      <c r="K365" t="str">
        <f>_xlfn.XLOOKUP($A:$A,Instagram_Usage_Lifestyle_Mini_!$A:$A,Instagram_Usage_Lifestyle_Mini_!$C:$K)</f>
        <v>Yes</v>
      </c>
      <c r="L365" t="str" cm="1">
        <f t="array" ref="L365">_xlfn.IFS(C365&lt;18,"Under_18",C365&lt;=25,"Youth",C365&lt;=35,"Young_Adults",C365&lt;=45,"Mid_Adults",TRUE,"Seniors")</f>
        <v>Youth</v>
      </c>
    </row>
    <row r="366" spans="1:12" x14ac:dyDescent="0.2">
      <c r="A366">
        <v>365</v>
      </c>
      <c r="B366" t="str">
        <f>_xlfn.XLOOKUP(A366,Instagram_Usage_Lifestyle_Mini_!A366,Instagram_Usage_Lifestyle_Mini_!B366,1)</f>
        <v>Instagram</v>
      </c>
      <c r="C366">
        <f>_xlfn.XLOOKUP($A:$A,Instagram_Usage_Lifestyle_Mini_!$A:$A,Instagram_Usage_Lifestyle_Mini_!$C:$K)</f>
        <v>39</v>
      </c>
      <c r="D366" t="str">
        <f>_xlfn.XLOOKUP($A:$A,Instagram_Usage_Lifestyle_Mini_!$A:$A,Instagram_Usage_Lifestyle_Mini_!$C:$K)</f>
        <v>Male</v>
      </c>
      <c r="E366" t="str">
        <f>_xlfn.XLOOKUP($A:$A,Instagram_Usage_Lifestyle_Mini_!$A:$A,Instagram_Usage_Lifestyle_Mini_!$C:$K)</f>
        <v>Brazil</v>
      </c>
      <c r="F366" t="str">
        <f>_xlfn.XLOOKUP($A:$A,Instagram_Usage_Lifestyle_Mini_!$A:$A,Instagram_Usage_Lifestyle_Mini_!$C:$K)</f>
        <v>Urban</v>
      </c>
      <c r="G366" t="str">
        <f>_xlfn.XLOOKUP($A:$A,Instagram_Usage_Lifestyle_Mini_!$A:$A,Instagram_Usage_Lifestyle_Mini_!$C:$K)</f>
        <v>Middle</v>
      </c>
      <c r="H366" t="str">
        <f>_xlfn.XLOOKUP($A:$A,Instagram_Usage_Lifestyle_Mini_!$A:$A,Instagram_Usage_Lifestyle_Mini_!$C:$K)</f>
        <v>Student</v>
      </c>
      <c r="I366" t="str">
        <f>_xlfn.XLOOKUP($A:$A,Instagram_Usage_Lifestyle_Mini_!$A:$A,Instagram_Usage_Lifestyle_Mini_!$C:$K)</f>
        <v>High_school</v>
      </c>
      <c r="J366" t="str">
        <f>_xlfn.XLOOKUP($A:$A,Instagram_Usage_Lifestyle_Mini_!$A:$A,Instagram_Usage_Lifestyle_Mini_!$C:$K)</f>
        <v>Single</v>
      </c>
      <c r="K366" t="str">
        <f>_xlfn.XLOOKUP($A:$A,Instagram_Usage_Lifestyle_Mini_!$A:$A,Instagram_Usage_Lifestyle_Mini_!$C:$K)</f>
        <v>No</v>
      </c>
      <c r="L366" t="str" cm="1">
        <f t="array" ref="L366">_xlfn.IFS(C366&lt;18,"Under_18",C366&lt;=25,"Youth",C366&lt;=35,"Young_Adults",C366&lt;=45,"Mid_Adults",TRUE,"Seniors")</f>
        <v>Mid_Adults</v>
      </c>
    </row>
    <row r="367" spans="1:12" x14ac:dyDescent="0.2">
      <c r="A367">
        <v>366</v>
      </c>
      <c r="B367" t="str">
        <f>_xlfn.XLOOKUP(A367,Instagram_Usage_Lifestyle_Mini_!A367,Instagram_Usage_Lifestyle_Mini_!B367,1)</f>
        <v>Instagram</v>
      </c>
      <c r="C367">
        <f>_xlfn.XLOOKUP($A:$A,Instagram_Usage_Lifestyle_Mini_!$A:$A,Instagram_Usage_Lifestyle_Mini_!$C:$K)</f>
        <v>39</v>
      </c>
      <c r="D367" t="str">
        <f>_xlfn.XLOOKUP($A:$A,Instagram_Usage_Lifestyle_Mini_!$A:$A,Instagram_Usage_Lifestyle_Mini_!$C:$K)</f>
        <v>Female</v>
      </c>
      <c r="E367" t="str">
        <f>_xlfn.XLOOKUP($A:$A,Instagram_Usage_Lifestyle_Mini_!$A:$A,Instagram_Usage_Lifestyle_Mini_!$C:$K)</f>
        <v>India</v>
      </c>
      <c r="F367" t="str">
        <f>_xlfn.XLOOKUP($A:$A,Instagram_Usage_Lifestyle_Mini_!$A:$A,Instagram_Usage_Lifestyle_Mini_!$C:$K)</f>
        <v>Suburban</v>
      </c>
      <c r="G367" t="str">
        <f>_xlfn.XLOOKUP($A:$A,Instagram_Usage_Lifestyle_Mini_!$A:$A,Instagram_Usage_Lifestyle_Mini_!$C:$K)</f>
        <v>Lower_middle</v>
      </c>
      <c r="H367" t="str">
        <f>_xlfn.XLOOKUP($A:$A,Instagram_Usage_Lifestyle_Mini_!$A:$A,Instagram_Usage_Lifestyle_Mini_!$C:$K)</f>
        <v>Full_time_employed</v>
      </c>
      <c r="I367" t="str">
        <f>_xlfn.XLOOKUP($A:$A,Instagram_Usage_Lifestyle_Mini_!$A:$A,Instagram_Usage_Lifestyle_Mini_!$C:$K)</f>
        <v>Some_college</v>
      </c>
      <c r="J367" t="str">
        <f>_xlfn.XLOOKUP($A:$A,Instagram_Usage_Lifestyle_Mini_!$A:$A,Instagram_Usage_Lifestyle_Mini_!$C:$K)</f>
        <v>Single</v>
      </c>
      <c r="K367" t="str">
        <f>_xlfn.XLOOKUP($A:$A,Instagram_Usage_Lifestyle_Mini_!$A:$A,Instagram_Usage_Lifestyle_Mini_!$C:$K)</f>
        <v>No</v>
      </c>
      <c r="L367" t="str" cm="1">
        <f t="array" ref="L367">_xlfn.IFS(C367&lt;18,"Under_18",C367&lt;=25,"Youth",C367&lt;=35,"Young_Adults",C367&lt;=45,"Mid_Adults",TRUE,"Seniors")</f>
        <v>Mid_Adults</v>
      </c>
    </row>
    <row r="368" spans="1:12" x14ac:dyDescent="0.2">
      <c r="A368">
        <v>367</v>
      </c>
      <c r="B368" t="str">
        <f>_xlfn.XLOOKUP(A368,Instagram_Usage_Lifestyle_Mini_!A368,Instagram_Usage_Lifestyle_Mini_!B368,1)</f>
        <v>Instagram</v>
      </c>
      <c r="C368">
        <f>_xlfn.XLOOKUP($A:$A,Instagram_Usage_Lifestyle_Mini_!$A:$A,Instagram_Usage_Lifestyle_Mini_!$C:$K)</f>
        <v>46</v>
      </c>
      <c r="D368" t="str">
        <f>_xlfn.XLOOKUP($A:$A,Instagram_Usage_Lifestyle_Mini_!$A:$A,Instagram_Usage_Lifestyle_Mini_!$C:$K)</f>
        <v>Male</v>
      </c>
      <c r="E368" t="str">
        <f>_xlfn.XLOOKUP($A:$A,Instagram_Usage_Lifestyle_Mini_!$A:$A,Instagram_Usage_Lifestyle_Mini_!$C:$K)</f>
        <v>United _Kingdom</v>
      </c>
      <c r="F368" t="str">
        <f>_xlfn.XLOOKUP($A:$A,Instagram_Usage_Lifestyle_Mini_!$A:$A,Instagram_Usage_Lifestyle_Mini_!$C:$K)</f>
        <v>Urban</v>
      </c>
      <c r="G368" t="str">
        <f>_xlfn.XLOOKUP($A:$A,Instagram_Usage_Lifestyle_Mini_!$A:$A,Instagram_Usage_Lifestyle_Mini_!$C:$K)</f>
        <v>Upper_middle</v>
      </c>
      <c r="H368" t="str">
        <f>_xlfn.XLOOKUP($A:$A,Instagram_Usage_Lifestyle_Mini_!$A:$A,Instagram_Usage_Lifestyle_Mini_!$C:$K)</f>
        <v>Full_time_employed</v>
      </c>
      <c r="I368" t="str">
        <f>_xlfn.XLOOKUP($A:$A,Instagram_Usage_Lifestyle_Mini_!$A:$A,Instagram_Usage_Lifestyle_Mini_!$C:$K)</f>
        <v>Bachelors_degree</v>
      </c>
      <c r="J368" t="str">
        <f>_xlfn.XLOOKUP($A:$A,Instagram_Usage_Lifestyle_Mini_!$A:$A,Instagram_Usage_Lifestyle_Mini_!$C:$K)</f>
        <v>Single</v>
      </c>
      <c r="K368" t="str">
        <f>_xlfn.XLOOKUP($A:$A,Instagram_Usage_Lifestyle_Mini_!$A:$A,Instagram_Usage_Lifestyle_Mini_!$C:$K)</f>
        <v>No</v>
      </c>
      <c r="L368" t="str" cm="1">
        <f t="array" ref="L368">_xlfn.IFS(C368&lt;18,"Under_18",C368&lt;=25,"Youth",C368&lt;=35,"Young_Adults",C368&lt;=45,"Mid_Adults",TRUE,"Seniors")</f>
        <v>Seniors</v>
      </c>
    </row>
    <row r="369" spans="1:12" x14ac:dyDescent="0.2">
      <c r="A369">
        <v>368</v>
      </c>
      <c r="B369" t="str">
        <f>_xlfn.XLOOKUP(A369,Instagram_Usage_Lifestyle_Mini_!A369,Instagram_Usage_Lifestyle_Mini_!B369,1)</f>
        <v>Instagram</v>
      </c>
      <c r="C369">
        <f>_xlfn.XLOOKUP($A:$A,Instagram_Usage_Lifestyle_Mini_!$A:$A,Instagram_Usage_Lifestyle_Mini_!$C:$K)</f>
        <v>33</v>
      </c>
      <c r="D369" t="str">
        <f>_xlfn.XLOOKUP($A:$A,Instagram_Usage_Lifestyle_Mini_!$A:$A,Instagram_Usage_Lifestyle_Mini_!$C:$K)</f>
        <v>Male</v>
      </c>
      <c r="E369" t="str">
        <f>_xlfn.XLOOKUP($A:$A,Instagram_Usage_Lifestyle_Mini_!$A:$A,Instagram_Usage_Lifestyle_Mini_!$C:$K)</f>
        <v>United _Kingdom</v>
      </c>
      <c r="F369" t="str">
        <f>_xlfn.XLOOKUP($A:$A,Instagram_Usage_Lifestyle_Mini_!$A:$A,Instagram_Usage_Lifestyle_Mini_!$C:$K)</f>
        <v>Urban</v>
      </c>
      <c r="G369" t="str">
        <f>_xlfn.XLOOKUP($A:$A,Instagram_Usage_Lifestyle_Mini_!$A:$A,Instagram_Usage_Lifestyle_Mini_!$C:$K)</f>
        <v>Low</v>
      </c>
      <c r="H369" t="str">
        <f>_xlfn.XLOOKUP($A:$A,Instagram_Usage_Lifestyle_Mini_!$A:$A,Instagram_Usage_Lifestyle_Mini_!$C:$K)</f>
        <v>Student</v>
      </c>
      <c r="I369" t="str">
        <f>_xlfn.XLOOKUP($A:$A,Instagram_Usage_Lifestyle_Mini_!$A:$A,Instagram_Usage_Lifestyle_Mini_!$C:$K)</f>
        <v>High_school</v>
      </c>
      <c r="J369" t="str">
        <f>_xlfn.XLOOKUP($A:$A,Instagram_Usage_Lifestyle_Mini_!$A:$A,Instagram_Usage_Lifestyle_Mini_!$C:$K)</f>
        <v>Married</v>
      </c>
      <c r="K369" t="str">
        <f>_xlfn.XLOOKUP($A:$A,Instagram_Usage_Lifestyle_Mini_!$A:$A,Instagram_Usage_Lifestyle_Mini_!$C:$K)</f>
        <v>No</v>
      </c>
      <c r="L369" t="str" cm="1">
        <f t="array" ref="L369">_xlfn.IFS(C369&lt;18,"Under_18",C369&lt;=25,"Youth",C369&lt;=35,"Young_Adults",C369&lt;=45,"Mid_Adults",TRUE,"Seniors")</f>
        <v>Young_Adults</v>
      </c>
    </row>
    <row r="370" spans="1:12" x14ac:dyDescent="0.2">
      <c r="A370">
        <v>369</v>
      </c>
      <c r="B370" t="str">
        <f>_xlfn.XLOOKUP(A370,Instagram_Usage_Lifestyle_Mini_!A370,Instagram_Usage_Lifestyle_Mini_!B370,1)</f>
        <v>Instagram</v>
      </c>
      <c r="C370">
        <f>_xlfn.XLOOKUP($A:$A,Instagram_Usage_Lifestyle_Mini_!$A:$A,Instagram_Usage_Lifestyle_Mini_!$C:$K)</f>
        <v>42</v>
      </c>
      <c r="D370" t="str">
        <f>_xlfn.XLOOKUP($A:$A,Instagram_Usage_Lifestyle_Mini_!$A:$A,Instagram_Usage_Lifestyle_Mini_!$C:$K)</f>
        <v>Female</v>
      </c>
      <c r="E370" t="str">
        <f>_xlfn.XLOOKUP($A:$A,Instagram_Usage_Lifestyle_Mini_!$A:$A,Instagram_Usage_Lifestyle_Mini_!$C:$K)</f>
        <v>United_States</v>
      </c>
      <c r="F370" t="str">
        <f>_xlfn.XLOOKUP($A:$A,Instagram_Usage_Lifestyle_Mini_!$A:$A,Instagram_Usage_Lifestyle_Mini_!$C:$K)</f>
        <v>Urban</v>
      </c>
      <c r="G370" t="str">
        <f>_xlfn.XLOOKUP($A:$A,Instagram_Usage_Lifestyle_Mini_!$A:$A,Instagram_Usage_Lifestyle_Mini_!$C:$K)</f>
        <v>Upper_middle</v>
      </c>
      <c r="H370" t="str">
        <f>_xlfn.XLOOKUP($A:$A,Instagram_Usage_Lifestyle_Mini_!$A:$A,Instagram_Usage_Lifestyle_Mini_!$C:$K)</f>
        <v>Unemployed</v>
      </c>
      <c r="I370" t="str">
        <f>_xlfn.XLOOKUP($A:$A,Instagram_Usage_Lifestyle_Mini_!$A:$A,Instagram_Usage_Lifestyle_Mini_!$C:$K)</f>
        <v>High_school</v>
      </c>
      <c r="J370" t="str">
        <f>_xlfn.XLOOKUP($A:$A,Instagram_Usage_Lifestyle_Mini_!$A:$A,Instagram_Usage_Lifestyle_Mini_!$C:$K)</f>
        <v>Married</v>
      </c>
      <c r="K370" t="str">
        <f>_xlfn.XLOOKUP($A:$A,Instagram_Usage_Lifestyle_Mini_!$A:$A,Instagram_Usage_Lifestyle_Mini_!$C:$K)</f>
        <v>No</v>
      </c>
      <c r="L370" t="str" cm="1">
        <f t="array" ref="L370">_xlfn.IFS(C370&lt;18,"Under_18",C370&lt;=25,"Youth",C370&lt;=35,"Young_Adults",C370&lt;=45,"Mid_Adults",TRUE,"Seniors")</f>
        <v>Mid_Adults</v>
      </c>
    </row>
    <row r="371" spans="1:12" x14ac:dyDescent="0.2">
      <c r="A371">
        <v>370</v>
      </c>
      <c r="B371" t="str">
        <f>_xlfn.XLOOKUP(A371,Instagram_Usage_Lifestyle_Mini_!A371,Instagram_Usage_Lifestyle_Mini_!B371,1)</f>
        <v>Instagram</v>
      </c>
      <c r="C371">
        <f>_xlfn.XLOOKUP($A:$A,Instagram_Usage_Lifestyle_Mini_!$A:$A,Instagram_Usage_Lifestyle_Mini_!$C:$K)</f>
        <v>45</v>
      </c>
      <c r="D371" t="str">
        <f>_xlfn.XLOOKUP($A:$A,Instagram_Usage_Lifestyle_Mini_!$A:$A,Instagram_Usage_Lifestyle_Mini_!$C:$K)</f>
        <v>Male</v>
      </c>
      <c r="E371" t="str">
        <f>_xlfn.XLOOKUP($A:$A,Instagram_Usage_Lifestyle_Mini_!$A:$A,Instagram_Usage_Lifestyle_Mini_!$C:$K)</f>
        <v>United _Kingdom</v>
      </c>
      <c r="F371" t="str">
        <f>_xlfn.XLOOKUP($A:$A,Instagram_Usage_Lifestyle_Mini_!$A:$A,Instagram_Usage_Lifestyle_Mini_!$C:$K)</f>
        <v>Rural</v>
      </c>
      <c r="G371" t="str">
        <f>_xlfn.XLOOKUP($A:$A,Instagram_Usage_Lifestyle_Mini_!$A:$A,Instagram_Usage_Lifestyle_Mini_!$C:$K)</f>
        <v>Low</v>
      </c>
      <c r="H371" t="str">
        <f>_xlfn.XLOOKUP($A:$A,Instagram_Usage_Lifestyle_Mini_!$A:$A,Instagram_Usage_Lifestyle_Mini_!$C:$K)</f>
        <v>Freelancer</v>
      </c>
      <c r="I371" t="str">
        <f>_xlfn.XLOOKUP($A:$A,Instagram_Usage_Lifestyle_Mini_!$A:$A,Instagram_Usage_Lifestyle_Mini_!$C:$K)</f>
        <v>High_school</v>
      </c>
      <c r="J371" t="str">
        <f>_xlfn.XLOOKUP($A:$A,Instagram_Usage_Lifestyle_Mini_!$A:$A,Instagram_Usage_Lifestyle_Mini_!$C:$K)</f>
        <v>Single</v>
      </c>
      <c r="K371" t="str">
        <f>_xlfn.XLOOKUP($A:$A,Instagram_Usage_Lifestyle_Mini_!$A:$A,Instagram_Usage_Lifestyle_Mini_!$C:$K)</f>
        <v>No</v>
      </c>
      <c r="L371" t="str" cm="1">
        <f t="array" ref="L371">_xlfn.IFS(C371&lt;18,"Under_18",C371&lt;=25,"Youth",C371&lt;=35,"Young_Adults",C371&lt;=45,"Mid_Adults",TRUE,"Seniors")</f>
        <v>Mid_Adults</v>
      </c>
    </row>
    <row r="372" spans="1:12" x14ac:dyDescent="0.2">
      <c r="A372">
        <v>371</v>
      </c>
      <c r="B372" t="str">
        <f>_xlfn.XLOOKUP(A372,Instagram_Usage_Lifestyle_Mini_!A372,Instagram_Usage_Lifestyle_Mini_!B372,1)</f>
        <v>Instagram</v>
      </c>
      <c r="C372">
        <f>_xlfn.XLOOKUP($A:$A,Instagram_Usage_Lifestyle_Mini_!$A:$A,Instagram_Usage_Lifestyle_Mini_!$C:$K)</f>
        <v>40</v>
      </c>
      <c r="D372" t="str">
        <f>_xlfn.XLOOKUP($A:$A,Instagram_Usage_Lifestyle_Mini_!$A:$A,Instagram_Usage_Lifestyle_Mini_!$C:$K)</f>
        <v>Female</v>
      </c>
      <c r="E372" t="str">
        <f>_xlfn.XLOOKUP($A:$A,Instagram_Usage_Lifestyle_Mini_!$A:$A,Instagram_Usage_Lifestyle_Mini_!$C:$K)</f>
        <v>India</v>
      </c>
      <c r="F372" t="str">
        <f>_xlfn.XLOOKUP($A:$A,Instagram_Usage_Lifestyle_Mini_!$A:$A,Instagram_Usage_Lifestyle_Mini_!$C:$K)</f>
        <v>Urban</v>
      </c>
      <c r="G372" t="str">
        <f>_xlfn.XLOOKUP($A:$A,Instagram_Usage_Lifestyle_Mini_!$A:$A,Instagram_Usage_Lifestyle_Mini_!$C:$K)</f>
        <v>Upper_middle</v>
      </c>
      <c r="H372" t="str">
        <f>_xlfn.XLOOKUP($A:$A,Instagram_Usage_Lifestyle_Mini_!$A:$A,Instagram_Usage_Lifestyle_Mini_!$C:$K)</f>
        <v>Full_time_employed</v>
      </c>
      <c r="I372" t="str">
        <f>_xlfn.XLOOKUP($A:$A,Instagram_Usage_Lifestyle_Mini_!$A:$A,Instagram_Usage_Lifestyle_Mini_!$C:$K)</f>
        <v>High_school</v>
      </c>
      <c r="J372" t="str">
        <f>_xlfn.XLOOKUP($A:$A,Instagram_Usage_Lifestyle_Mini_!$A:$A,Instagram_Usage_Lifestyle_Mini_!$C:$K)</f>
        <v>Married</v>
      </c>
      <c r="K372" t="str">
        <f>_xlfn.XLOOKUP($A:$A,Instagram_Usage_Lifestyle_Mini_!$A:$A,Instagram_Usage_Lifestyle_Mini_!$C:$K)</f>
        <v>No</v>
      </c>
      <c r="L372" t="str" cm="1">
        <f t="array" ref="L372">_xlfn.IFS(C372&lt;18,"Under_18",C372&lt;=25,"Youth",C372&lt;=35,"Young_Adults",C372&lt;=45,"Mid_Adults",TRUE,"Seniors")</f>
        <v>Mid_Adults</v>
      </c>
    </row>
    <row r="373" spans="1:12" x14ac:dyDescent="0.2">
      <c r="A373">
        <v>372</v>
      </c>
      <c r="B373" t="str">
        <f>_xlfn.XLOOKUP(A373,Instagram_Usage_Lifestyle_Mini_!A373,Instagram_Usage_Lifestyle_Mini_!B373,1)</f>
        <v>Instagram</v>
      </c>
      <c r="C373">
        <f>_xlfn.XLOOKUP($A:$A,Instagram_Usage_Lifestyle_Mini_!$A:$A,Instagram_Usage_Lifestyle_Mini_!$C:$K)</f>
        <v>59</v>
      </c>
      <c r="D373" t="str">
        <f>_xlfn.XLOOKUP($A:$A,Instagram_Usage_Lifestyle_Mini_!$A:$A,Instagram_Usage_Lifestyle_Mini_!$C:$K)</f>
        <v>Male</v>
      </c>
      <c r="E373" t="str">
        <f>_xlfn.XLOOKUP($A:$A,Instagram_Usage_Lifestyle_Mini_!$A:$A,Instagram_Usage_Lifestyle_Mini_!$C:$K)</f>
        <v>United_States</v>
      </c>
      <c r="F373" t="str">
        <f>_xlfn.XLOOKUP($A:$A,Instagram_Usage_Lifestyle_Mini_!$A:$A,Instagram_Usage_Lifestyle_Mini_!$C:$K)</f>
        <v>Urban</v>
      </c>
      <c r="G373" t="str">
        <f>_xlfn.XLOOKUP($A:$A,Instagram_Usage_Lifestyle_Mini_!$A:$A,Instagram_Usage_Lifestyle_Mini_!$C:$K)</f>
        <v>Middle</v>
      </c>
      <c r="H373" t="str">
        <f>_xlfn.XLOOKUP($A:$A,Instagram_Usage_Lifestyle_Mini_!$A:$A,Instagram_Usage_Lifestyle_Mini_!$C:$K)</f>
        <v>Freelancer</v>
      </c>
      <c r="I373" t="str">
        <f>_xlfn.XLOOKUP($A:$A,Instagram_Usage_Lifestyle_Mini_!$A:$A,Instagram_Usage_Lifestyle_Mini_!$C:$K)</f>
        <v>Some_college</v>
      </c>
      <c r="J373" t="str">
        <f>_xlfn.XLOOKUP($A:$A,Instagram_Usage_Lifestyle_Mini_!$A:$A,Instagram_Usage_Lifestyle_Mini_!$C:$K)</f>
        <v>Married</v>
      </c>
      <c r="K373" t="str">
        <f>_xlfn.XLOOKUP($A:$A,Instagram_Usage_Lifestyle_Mini_!$A:$A,Instagram_Usage_Lifestyle_Mini_!$C:$K)</f>
        <v>No</v>
      </c>
      <c r="L373" t="str" cm="1">
        <f t="array" ref="L373">_xlfn.IFS(C373&lt;18,"Under_18",C373&lt;=25,"Youth",C373&lt;=35,"Young_Adults",C373&lt;=45,"Mid_Adults",TRUE,"Seniors")</f>
        <v>Seniors</v>
      </c>
    </row>
    <row r="374" spans="1:12" x14ac:dyDescent="0.2">
      <c r="A374">
        <v>373</v>
      </c>
      <c r="B374" t="str">
        <f>_xlfn.XLOOKUP(A374,Instagram_Usage_Lifestyle_Mini_!A374,Instagram_Usage_Lifestyle_Mini_!B374,1)</f>
        <v>Instagram</v>
      </c>
      <c r="C374">
        <f>_xlfn.XLOOKUP($A:$A,Instagram_Usage_Lifestyle_Mini_!$A:$A,Instagram_Usage_Lifestyle_Mini_!$C:$K)</f>
        <v>45</v>
      </c>
      <c r="D374" t="str">
        <f>_xlfn.XLOOKUP($A:$A,Instagram_Usage_Lifestyle_Mini_!$A:$A,Instagram_Usage_Lifestyle_Mini_!$C:$K)</f>
        <v>Male</v>
      </c>
      <c r="E374" t="str">
        <f>_xlfn.XLOOKUP($A:$A,Instagram_Usage_Lifestyle_Mini_!$A:$A,Instagram_Usage_Lifestyle_Mini_!$C:$K)</f>
        <v>Germany</v>
      </c>
      <c r="F374" t="str">
        <f>_xlfn.XLOOKUP($A:$A,Instagram_Usage_Lifestyle_Mini_!$A:$A,Instagram_Usage_Lifestyle_Mini_!$C:$K)</f>
        <v>Urban</v>
      </c>
      <c r="G374" t="str">
        <f>_xlfn.XLOOKUP($A:$A,Instagram_Usage_Lifestyle_Mini_!$A:$A,Instagram_Usage_Lifestyle_Mini_!$C:$K)</f>
        <v>Upper_middle</v>
      </c>
      <c r="H374" t="str">
        <f>_xlfn.XLOOKUP($A:$A,Instagram_Usage_Lifestyle_Mini_!$A:$A,Instagram_Usage_Lifestyle_Mini_!$C:$K)</f>
        <v>Full_time_employed</v>
      </c>
      <c r="I374" t="str">
        <f>_xlfn.XLOOKUP($A:$A,Instagram_Usage_Lifestyle_Mini_!$A:$A,Instagram_Usage_Lifestyle_Mini_!$C:$K)</f>
        <v>Bachelors_degree</v>
      </c>
      <c r="J374" t="str">
        <f>_xlfn.XLOOKUP($A:$A,Instagram_Usage_Lifestyle_Mini_!$A:$A,Instagram_Usage_Lifestyle_Mini_!$C:$K)</f>
        <v>Widowed</v>
      </c>
      <c r="K374" t="str">
        <f>_xlfn.XLOOKUP($A:$A,Instagram_Usage_Lifestyle_Mini_!$A:$A,Instagram_Usage_Lifestyle_Mini_!$C:$K)</f>
        <v>No</v>
      </c>
      <c r="L374" t="str" cm="1">
        <f t="array" ref="L374">_xlfn.IFS(C374&lt;18,"Under_18",C374&lt;=25,"Youth",C374&lt;=35,"Young_Adults",C374&lt;=45,"Mid_Adults",TRUE,"Seniors")</f>
        <v>Mid_Adults</v>
      </c>
    </row>
    <row r="375" spans="1:12" x14ac:dyDescent="0.2">
      <c r="A375">
        <v>374</v>
      </c>
      <c r="B375" t="str">
        <f>_xlfn.XLOOKUP(A375,Instagram_Usage_Lifestyle_Mini_!A375,Instagram_Usage_Lifestyle_Mini_!B375,1)</f>
        <v>Instagram</v>
      </c>
      <c r="C375">
        <f>_xlfn.XLOOKUP($A:$A,Instagram_Usage_Lifestyle_Mini_!$A:$A,Instagram_Usage_Lifestyle_Mini_!$C:$K)</f>
        <v>17</v>
      </c>
      <c r="D375" t="str">
        <f>_xlfn.XLOOKUP($A:$A,Instagram_Usage_Lifestyle_Mini_!$A:$A,Instagram_Usage_Lifestyle_Mini_!$C:$K)</f>
        <v>Female</v>
      </c>
      <c r="E375" t="str">
        <f>_xlfn.XLOOKUP($A:$A,Instagram_Usage_Lifestyle_Mini_!$A:$A,Instagram_Usage_Lifestyle_Mini_!$C:$K)</f>
        <v>South_Korea</v>
      </c>
      <c r="F375" t="str">
        <f>_xlfn.XLOOKUP($A:$A,Instagram_Usage_Lifestyle_Mini_!$A:$A,Instagram_Usage_Lifestyle_Mini_!$C:$K)</f>
        <v>Urban</v>
      </c>
      <c r="G375" t="str">
        <f>_xlfn.XLOOKUP($A:$A,Instagram_Usage_Lifestyle_Mini_!$A:$A,Instagram_Usage_Lifestyle_Mini_!$C:$K)</f>
        <v>Low</v>
      </c>
      <c r="H375" t="str">
        <f>_xlfn.XLOOKUP($A:$A,Instagram_Usage_Lifestyle_Mini_!$A:$A,Instagram_Usage_Lifestyle_Mini_!$C:$K)</f>
        <v>Student</v>
      </c>
      <c r="I375" t="str">
        <f>_xlfn.XLOOKUP($A:$A,Instagram_Usage_Lifestyle_Mini_!$A:$A,Instagram_Usage_Lifestyle_Mini_!$C:$K)</f>
        <v>Masters_degree</v>
      </c>
      <c r="J375" t="str">
        <f>_xlfn.XLOOKUP($A:$A,Instagram_Usage_Lifestyle_Mini_!$A:$A,Instagram_Usage_Lifestyle_Mini_!$C:$K)</f>
        <v>Single</v>
      </c>
      <c r="K375" t="str">
        <f>_xlfn.XLOOKUP($A:$A,Instagram_Usage_Lifestyle_Mini_!$A:$A,Instagram_Usage_Lifestyle_Mini_!$C:$K)</f>
        <v>Yes</v>
      </c>
      <c r="L375" t="str" cm="1">
        <f t="array" ref="L375">_xlfn.IFS(C375&lt;18,"Under_18",C375&lt;=25,"Youth",C375&lt;=35,"Young_Adults",C375&lt;=45,"Mid_Adults",TRUE,"Seniors")</f>
        <v>Under_18</v>
      </c>
    </row>
    <row r="376" spans="1:12" x14ac:dyDescent="0.2">
      <c r="A376">
        <v>375</v>
      </c>
      <c r="B376" t="str">
        <f>_xlfn.XLOOKUP(A376,Instagram_Usage_Lifestyle_Mini_!A376,Instagram_Usage_Lifestyle_Mini_!B376,1)</f>
        <v>Instagram</v>
      </c>
      <c r="C376">
        <f>_xlfn.XLOOKUP($A:$A,Instagram_Usage_Lifestyle_Mini_!$A:$A,Instagram_Usage_Lifestyle_Mini_!$C:$K)</f>
        <v>60</v>
      </c>
      <c r="D376" t="str">
        <f>_xlfn.XLOOKUP($A:$A,Instagram_Usage_Lifestyle_Mini_!$A:$A,Instagram_Usage_Lifestyle_Mini_!$C:$K)</f>
        <v>Male</v>
      </c>
      <c r="E376" t="str">
        <f>_xlfn.XLOOKUP($A:$A,Instagram_Usage_Lifestyle_Mini_!$A:$A,Instagram_Usage_Lifestyle_Mini_!$C:$K)</f>
        <v>India</v>
      </c>
      <c r="F376" t="str">
        <f>_xlfn.XLOOKUP($A:$A,Instagram_Usage_Lifestyle_Mini_!$A:$A,Instagram_Usage_Lifestyle_Mini_!$C:$K)</f>
        <v>Urban</v>
      </c>
      <c r="G376" t="str">
        <f>_xlfn.XLOOKUP($A:$A,Instagram_Usage_Lifestyle_Mini_!$A:$A,Instagram_Usage_Lifestyle_Mini_!$C:$K)</f>
        <v>Middle</v>
      </c>
      <c r="H376" t="str">
        <f>_xlfn.XLOOKUP($A:$A,Instagram_Usage_Lifestyle_Mini_!$A:$A,Instagram_Usage_Lifestyle_Mini_!$C:$K)</f>
        <v>Full_time_employed</v>
      </c>
      <c r="I376" t="str">
        <f>_xlfn.XLOOKUP($A:$A,Instagram_Usage_Lifestyle_Mini_!$A:$A,Instagram_Usage_Lifestyle_Mini_!$C:$K)</f>
        <v>Bachelors_degree</v>
      </c>
      <c r="J376" t="str">
        <f>_xlfn.XLOOKUP($A:$A,Instagram_Usage_Lifestyle_Mini_!$A:$A,Instagram_Usage_Lifestyle_Mini_!$C:$K)</f>
        <v>In_a_relationship</v>
      </c>
      <c r="K376" t="str">
        <f>_xlfn.XLOOKUP($A:$A,Instagram_Usage_Lifestyle_Mini_!$A:$A,Instagram_Usage_Lifestyle_Mini_!$C:$K)</f>
        <v>No</v>
      </c>
      <c r="L376" t="str" cm="1">
        <f t="array" ref="L376">_xlfn.IFS(C376&lt;18,"Under_18",C376&lt;=25,"Youth",C376&lt;=35,"Young_Adults",C376&lt;=45,"Mid_Adults",TRUE,"Seniors")</f>
        <v>Seniors</v>
      </c>
    </row>
    <row r="377" spans="1:12" x14ac:dyDescent="0.2">
      <c r="A377">
        <v>376</v>
      </c>
      <c r="B377" t="str">
        <f>_xlfn.XLOOKUP(A377,Instagram_Usage_Lifestyle_Mini_!A377,Instagram_Usage_Lifestyle_Mini_!B377,1)</f>
        <v>Instagram</v>
      </c>
      <c r="C377">
        <f>_xlfn.XLOOKUP($A:$A,Instagram_Usage_Lifestyle_Mini_!$A:$A,Instagram_Usage_Lifestyle_Mini_!$C:$K)</f>
        <v>31</v>
      </c>
      <c r="D377" t="str">
        <f>_xlfn.XLOOKUP($A:$A,Instagram_Usage_Lifestyle_Mini_!$A:$A,Instagram_Usage_Lifestyle_Mini_!$C:$K)</f>
        <v>Female</v>
      </c>
      <c r="E377" t="str">
        <f>_xlfn.XLOOKUP($A:$A,Instagram_Usage_Lifestyle_Mini_!$A:$A,Instagram_Usage_Lifestyle_Mini_!$C:$K)</f>
        <v>India</v>
      </c>
      <c r="F377" t="str">
        <f>_xlfn.XLOOKUP($A:$A,Instagram_Usage_Lifestyle_Mini_!$A:$A,Instagram_Usage_Lifestyle_Mini_!$C:$K)</f>
        <v>Rural</v>
      </c>
      <c r="G377" t="str">
        <f>_xlfn.XLOOKUP($A:$A,Instagram_Usage_Lifestyle_Mini_!$A:$A,Instagram_Usage_Lifestyle_Mini_!$C:$K)</f>
        <v>Low</v>
      </c>
      <c r="H377" t="str">
        <f>_xlfn.XLOOKUP($A:$A,Instagram_Usage_Lifestyle_Mini_!$A:$A,Instagram_Usage_Lifestyle_Mini_!$C:$K)</f>
        <v>Full_time_employed</v>
      </c>
      <c r="I377" t="str">
        <f>_xlfn.XLOOKUP($A:$A,Instagram_Usage_Lifestyle_Mini_!$A:$A,Instagram_Usage_Lifestyle_Mini_!$C:$K)</f>
        <v>Some_college</v>
      </c>
      <c r="J377" t="str">
        <f>_xlfn.XLOOKUP($A:$A,Instagram_Usage_Lifestyle_Mini_!$A:$A,Instagram_Usage_Lifestyle_Mini_!$C:$K)</f>
        <v>Single</v>
      </c>
      <c r="K377" t="str">
        <f>_xlfn.XLOOKUP($A:$A,Instagram_Usage_Lifestyle_Mini_!$A:$A,Instagram_Usage_Lifestyle_Mini_!$C:$K)</f>
        <v>No</v>
      </c>
      <c r="L377" t="str" cm="1">
        <f t="array" ref="L377">_xlfn.IFS(C377&lt;18,"Under_18",C377&lt;=25,"Youth",C377&lt;=35,"Young_Adults",C377&lt;=45,"Mid_Adults",TRUE,"Seniors")</f>
        <v>Young_Adults</v>
      </c>
    </row>
    <row r="378" spans="1:12" x14ac:dyDescent="0.2">
      <c r="A378">
        <v>377</v>
      </c>
      <c r="B378" t="str">
        <f>_xlfn.XLOOKUP(A378,Instagram_Usage_Lifestyle_Mini_!A378,Instagram_Usage_Lifestyle_Mini_!B378,1)</f>
        <v>Instagram</v>
      </c>
      <c r="C378">
        <f>_xlfn.XLOOKUP($A:$A,Instagram_Usage_Lifestyle_Mini_!$A:$A,Instagram_Usage_Lifestyle_Mini_!$C:$K)</f>
        <v>16</v>
      </c>
      <c r="D378" t="str">
        <f>_xlfn.XLOOKUP($A:$A,Instagram_Usage_Lifestyle_Mini_!$A:$A,Instagram_Usage_Lifestyle_Mini_!$C:$K)</f>
        <v>Male</v>
      </c>
      <c r="E378" t="str">
        <f>_xlfn.XLOOKUP($A:$A,Instagram_Usage_Lifestyle_Mini_!$A:$A,Instagram_Usage_Lifestyle_Mini_!$C:$K)</f>
        <v>United _Kingdom</v>
      </c>
      <c r="F378" t="str">
        <f>_xlfn.XLOOKUP($A:$A,Instagram_Usage_Lifestyle_Mini_!$A:$A,Instagram_Usage_Lifestyle_Mini_!$C:$K)</f>
        <v>Urban</v>
      </c>
      <c r="G378" t="str">
        <f>_xlfn.XLOOKUP($A:$A,Instagram_Usage_Lifestyle_Mini_!$A:$A,Instagram_Usage_Lifestyle_Mini_!$C:$K)</f>
        <v>Middle</v>
      </c>
      <c r="H378" t="str">
        <f>_xlfn.XLOOKUP($A:$A,Instagram_Usage_Lifestyle_Mini_!$A:$A,Instagram_Usage_Lifestyle_Mini_!$C:$K)</f>
        <v>Freelancer</v>
      </c>
      <c r="I378" t="str">
        <f>_xlfn.XLOOKUP($A:$A,Instagram_Usage_Lifestyle_Mini_!$A:$A,Instagram_Usage_Lifestyle_Mini_!$C:$K)</f>
        <v>Masters_degree</v>
      </c>
      <c r="J378" t="str">
        <f>_xlfn.XLOOKUP($A:$A,Instagram_Usage_Lifestyle_Mini_!$A:$A,Instagram_Usage_Lifestyle_Mini_!$C:$K)</f>
        <v>Married</v>
      </c>
      <c r="K378" t="str">
        <f>_xlfn.XLOOKUP($A:$A,Instagram_Usage_Lifestyle_Mini_!$A:$A,Instagram_Usage_Lifestyle_Mini_!$C:$K)</f>
        <v>No</v>
      </c>
      <c r="L378" t="str" cm="1">
        <f t="array" ref="L378">_xlfn.IFS(C378&lt;18,"Under_18",C378&lt;=25,"Youth",C378&lt;=35,"Young_Adults",C378&lt;=45,"Mid_Adults",TRUE,"Seniors")</f>
        <v>Under_18</v>
      </c>
    </row>
    <row r="379" spans="1:12" x14ac:dyDescent="0.2">
      <c r="A379">
        <v>378</v>
      </c>
      <c r="B379" t="str">
        <f>_xlfn.XLOOKUP(A379,Instagram_Usage_Lifestyle_Mini_!A379,Instagram_Usage_Lifestyle_Mini_!B379,1)</f>
        <v>Instagram</v>
      </c>
      <c r="C379">
        <f>_xlfn.XLOOKUP($A:$A,Instagram_Usage_Lifestyle_Mini_!$A:$A,Instagram_Usage_Lifestyle_Mini_!$C:$K)</f>
        <v>47</v>
      </c>
      <c r="D379" t="str">
        <f>_xlfn.XLOOKUP($A:$A,Instagram_Usage_Lifestyle_Mini_!$A:$A,Instagram_Usage_Lifestyle_Mini_!$C:$K)</f>
        <v>Female</v>
      </c>
      <c r="E379" t="str">
        <f>_xlfn.XLOOKUP($A:$A,Instagram_Usage_Lifestyle_Mini_!$A:$A,Instagram_Usage_Lifestyle_Mini_!$C:$K)</f>
        <v>South_Korea</v>
      </c>
      <c r="F379" t="str">
        <f>_xlfn.XLOOKUP($A:$A,Instagram_Usage_Lifestyle_Mini_!$A:$A,Instagram_Usage_Lifestyle_Mini_!$C:$K)</f>
        <v>Suburban</v>
      </c>
      <c r="G379" t="str">
        <f>_xlfn.XLOOKUP($A:$A,Instagram_Usage_Lifestyle_Mini_!$A:$A,Instagram_Usage_Lifestyle_Mini_!$C:$K)</f>
        <v>Middle</v>
      </c>
      <c r="H379" t="str">
        <f>_xlfn.XLOOKUP($A:$A,Instagram_Usage_Lifestyle_Mini_!$A:$A,Instagram_Usage_Lifestyle_Mini_!$C:$K)</f>
        <v>Student</v>
      </c>
      <c r="I379" t="str">
        <f>_xlfn.XLOOKUP($A:$A,Instagram_Usage_Lifestyle_Mini_!$A:$A,Instagram_Usage_Lifestyle_Mini_!$C:$K)</f>
        <v>Bachelors_degree</v>
      </c>
      <c r="J379" t="str">
        <f>_xlfn.XLOOKUP($A:$A,Instagram_Usage_Lifestyle_Mini_!$A:$A,Instagram_Usage_Lifestyle_Mini_!$C:$K)</f>
        <v>Single</v>
      </c>
      <c r="K379" t="str">
        <f>_xlfn.XLOOKUP($A:$A,Instagram_Usage_Lifestyle_Mini_!$A:$A,Instagram_Usage_Lifestyle_Mini_!$C:$K)</f>
        <v>No</v>
      </c>
      <c r="L379" t="str" cm="1">
        <f t="array" ref="L379">_xlfn.IFS(C379&lt;18,"Under_18",C379&lt;=25,"Youth",C379&lt;=35,"Young_Adults",C379&lt;=45,"Mid_Adults",TRUE,"Seniors")</f>
        <v>Seniors</v>
      </c>
    </row>
    <row r="380" spans="1:12" x14ac:dyDescent="0.2">
      <c r="A380">
        <v>379</v>
      </c>
      <c r="B380" t="str">
        <f>_xlfn.XLOOKUP(A380,Instagram_Usage_Lifestyle_Mini_!A380,Instagram_Usage_Lifestyle_Mini_!B380,1)</f>
        <v>Instagram</v>
      </c>
      <c r="C380">
        <f>_xlfn.XLOOKUP($A:$A,Instagram_Usage_Lifestyle_Mini_!$A:$A,Instagram_Usage_Lifestyle_Mini_!$C:$K)</f>
        <v>61</v>
      </c>
      <c r="D380" t="str">
        <f>_xlfn.XLOOKUP($A:$A,Instagram_Usage_Lifestyle_Mini_!$A:$A,Instagram_Usage_Lifestyle_Mini_!$C:$K)</f>
        <v>Male</v>
      </c>
      <c r="E380" t="str">
        <f>_xlfn.XLOOKUP($A:$A,Instagram_Usage_Lifestyle_Mini_!$A:$A,Instagram_Usage_Lifestyle_Mini_!$C:$K)</f>
        <v>Brazil</v>
      </c>
      <c r="F380" t="str">
        <f>_xlfn.XLOOKUP($A:$A,Instagram_Usage_Lifestyle_Mini_!$A:$A,Instagram_Usage_Lifestyle_Mini_!$C:$K)</f>
        <v>Urban</v>
      </c>
      <c r="G380" t="str">
        <f>_xlfn.XLOOKUP($A:$A,Instagram_Usage_Lifestyle_Mini_!$A:$A,Instagram_Usage_Lifestyle_Mini_!$C:$K)</f>
        <v>Middle</v>
      </c>
      <c r="H380" t="str">
        <f>_xlfn.XLOOKUP($A:$A,Instagram_Usage_Lifestyle_Mini_!$A:$A,Instagram_Usage_Lifestyle_Mini_!$C:$K)</f>
        <v>Student</v>
      </c>
      <c r="I380" t="str">
        <f>_xlfn.XLOOKUP($A:$A,Instagram_Usage_Lifestyle_Mini_!$A:$A,Instagram_Usage_Lifestyle_Mini_!$C:$K)</f>
        <v>PhD</v>
      </c>
      <c r="J380" t="str">
        <f>_xlfn.XLOOKUP($A:$A,Instagram_Usage_Lifestyle_Mini_!$A:$A,Instagram_Usage_Lifestyle_Mini_!$C:$K)</f>
        <v>In_a_relationship</v>
      </c>
      <c r="K380" t="str">
        <f>_xlfn.XLOOKUP($A:$A,Instagram_Usage_Lifestyle_Mini_!$A:$A,Instagram_Usage_Lifestyle_Mini_!$C:$K)</f>
        <v>Yes</v>
      </c>
      <c r="L380" t="str" cm="1">
        <f t="array" ref="L380">_xlfn.IFS(C380&lt;18,"Under_18",C380&lt;=25,"Youth",C380&lt;=35,"Young_Adults",C380&lt;=45,"Mid_Adults",TRUE,"Seniors")</f>
        <v>Seniors</v>
      </c>
    </row>
    <row r="381" spans="1:12" x14ac:dyDescent="0.2">
      <c r="A381">
        <v>380</v>
      </c>
      <c r="B381" t="str">
        <f>_xlfn.XLOOKUP(A381,Instagram_Usage_Lifestyle_Mini_!A381,Instagram_Usage_Lifestyle_Mini_!B381,1)</f>
        <v>Instagram</v>
      </c>
      <c r="C381">
        <f>_xlfn.XLOOKUP($A:$A,Instagram_Usage_Lifestyle_Mini_!$A:$A,Instagram_Usage_Lifestyle_Mini_!$C:$K)</f>
        <v>29</v>
      </c>
      <c r="D381" t="str">
        <f>_xlfn.XLOOKUP($A:$A,Instagram_Usage_Lifestyle_Mini_!$A:$A,Instagram_Usage_Lifestyle_Mini_!$C:$K)</f>
        <v>Male</v>
      </c>
      <c r="E381" t="str">
        <f>_xlfn.XLOOKUP($A:$A,Instagram_Usage_Lifestyle_Mini_!$A:$A,Instagram_Usage_Lifestyle_Mini_!$C:$K)</f>
        <v>India</v>
      </c>
      <c r="F381" t="str">
        <f>_xlfn.XLOOKUP($A:$A,Instagram_Usage_Lifestyle_Mini_!$A:$A,Instagram_Usage_Lifestyle_Mini_!$C:$K)</f>
        <v>Urban</v>
      </c>
      <c r="G381" t="str">
        <f>_xlfn.XLOOKUP($A:$A,Instagram_Usage_Lifestyle_Mini_!$A:$A,Instagram_Usage_Lifestyle_Mini_!$C:$K)</f>
        <v>Lower_middle</v>
      </c>
      <c r="H381" t="str">
        <f>_xlfn.XLOOKUP($A:$A,Instagram_Usage_Lifestyle_Mini_!$A:$A,Instagram_Usage_Lifestyle_Mini_!$C:$K)</f>
        <v>Full_time_employed</v>
      </c>
      <c r="I381" t="str">
        <f>_xlfn.XLOOKUP($A:$A,Instagram_Usage_Lifestyle_Mini_!$A:$A,Instagram_Usage_Lifestyle_Mini_!$C:$K)</f>
        <v>High_school</v>
      </c>
      <c r="J381" t="str">
        <f>_xlfn.XLOOKUP($A:$A,Instagram_Usage_Lifestyle_Mini_!$A:$A,Instagram_Usage_Lifestyle_Mini_!$C:$K)</f>
        <v>Single</v>
      </c>
      <c r="K381" t="str">
        <f>_xlfn.XLOOKUP($A:$A,Instagram_Usage_Lifestyle_Mini_!$A:$A,Instagram_Usage_Lifestyle_Mini_!$C:$K)</f>
        <v>No</v>
      </c>
      <c r="L381" t="str" cm="1">
        <f t="array" ref="L381">_xlfn.IFS(C381&lt;18,"Under_18",C381&lt;=25,"Youth",C381&lt;=35,"Young_Adults",C381&lt;=45,"Mid_Adults",TRUE,"Seniors")</f>
        <v>Young_Adults</v>
      </c>
    </row>
    <row r="382" spans="1:12" x14ac:dyDescent="0.2">
      <c r="A382">
        <v>381</v>
      </c>
      <c r="B382" t="str">
        <f>_xlfn.XLOOKUP(A382,Instagram_Usage_Lifestyle_Mini_!A382,Instagram_Usage_Lifestyle_Mini_!B382,1)</f>
        <v>Instagram</v>
      </c>
      <c r="C382">
        <f>_xlfn.XLOOKUP($A:$A,Instagram_Usage_Lifestyle_Mini_!$A:$A,Instagram_Usage_Lifestyle_Mini_!$C:$K)</f>
        <v>56</v>
      </c>
      <c r="D382" t="str">
        <f>_xlfn.XLOOKUP($A:$A,Instagram_Usage_Lifestyle_Mini_!$A:$A,Instagram_Usage_Lifestyle_Mini_!$C:$K)</f>
        <v>Male</v>
      </c>
      <c r="E382" t="str">
        <f>_xlfn.XLOOKUP($A:$A,Instagram_Usage_Lifestyle_Mini_!$A:$A,Instagram_Usage_Lifestyle_Mini_!$C:$K)</f>
        <v>Brazil</v>
      </c>
      <c r="F382" t="str">
        <f>_xlfn.XLOOKUP($A:$A,Instagram_Usage_Lifestyle_Mini_!$A:$A,Instagram_Usage_Lifestyle_Mini_!$C:$K)</f>
        <v>Urban</v>
      </c>
      <c r="G382" t="str">
        <f>_xlfn.XLOOKUP($A:$A,Instagram_Usage_Lifestyle_Mini_!$A:$A,Instagram_Usage_Lifestyle_Mini_!$C:$K)</f>
        <v>Upper_middle</v>
      </c>
      <c r="H382" t="str">
        <f>_xlfn.XLOOKUP($A:$A,Instagram_Usage_Lifestyle_Mini_!$A:$A,Instagram_Usage_Lifestyle_Mini_!$C:$K)</f>
        <v>Unemployed</v>
      </c>
      <c r="I382" t="str">
        <f>_xlfn.XLOOKUP($A:$A,Instagram_Usage_Lifestyle_Mini_!$A:$A,Instagram_Usage_Lifestyle_Mini_!$C:$K)</f>
        <v>Bachelors_degree</v>
      </c>
      <c r="J382" t="str">
        <f>_xlfn.XLOOKUP($A:$A,Instagram_Usage_Lifestyle_Mini_!$A:$A,Instagram_Usage_Lifestyle_Mini_!$C:$K)</f>
        <v>In_a_relationship</v>
      </c>
      <c r="K382" t="str">
        <f>_xlfn.XLOOKUP($A:$A,Instagram_Usage_Lifestyle_Mini_!$A:$A,Instagram_Usage_Lifestyle_Mini_!$C:$K)</f>
        <v>Yes</v>
      </c>
      <c r="L382" t="str" cm="1">
        <f t="array" ref="L382">_xlfn.IFS(C382&lt;18,"Under_18",C382&lt;=25,"Youth",C382&lt;=35,"Young_Adults",C382&lt;=45,"Mid_Adults",TRUE,"Seniors")</f>
        <v>Seniors</v>
      </c>
    </row>
    <row r="383" spans="1:12" x14ac:dyDescent="0.2">
      <c r="A383">
        <v>382</v>
      </c>
      <c r="B383" t="str">
        <f>_xlfn.XLOOKUP(A383,Instagram_Usage_Lifestyle_Mini_!A383,Instagram_Usage_Lifestyle_Mini_!B383,1)</f>
        <v>Instagram</v>
      </c>
      <c r="C383">
        <f>_xlfn.XLOOKUP($A:$A,Instagram_Usage_Lifestyle_Mini_!$A:$A,Instagram_Usage_Lifestyle_Mini_!$C:$K)</f>
        <v>40</v>
      </c>
      <c r="D383" t="str">
        <f>_xlfn.XLOOKUP($A:$A,Instagram_Usage_Lifestyle_Mini_!$A:$A,Instagram_Usage_Lifestyle_Mini_!$C:$K)</f>
        <v>Male</v>
      </c>
      <c r="E383" t="str">
        <f>_xlfn.XLOOKUP($A:$A,Instagram_Usage_Lifestyle_Mini_!$A:$A,Instagram_Usage_Lifestyle_Mini_!$C:$K)</f>
        <v>United_States</v>
      </c>
      <c r="F383" t="str">
        <f>_xlfn.XLOOKUP($A:$A,Instagram_Usage_Lifestyle_Mini_!$A:$A,Instagram_Usage_Lifestyle_Mini_!$C:$K)</f>
        <v>Suburban</v>
      </c>
      <c r="G383" t="str">
        <f>_xlfn.XLOOKUP($A:$A,Instagram_Usage_Lifestyle_Mini_!$A:$A,Instagram_Usage_Lifestyle_Mini_!$C:$K)</f>
        <v>Middle</v>
      </c>
      <c r="H383" t="str">
        <f>_xlfn.XLOOKUP($A:$A,Instagram_Usage_Lifestyle_Mini_!$A:$A,Instagram_Usage_Lifestyle_Mini_!$C:$K)</f>
        <v>Full_time_employed</v>
      </c>
      <c r="I383" t="str">
        <f>_xlfn.XLOOKUP($A:$A,Instagram_Usage_Lifestyle_Mini_!$A:$A,Instagram_Usage_Lifestyle_Mini_!$C:$K)</f>
        <v>Bachelors_degree</v>
      </c>
      <c r="J383" t="str">
        <f>_xlfn.XLOOKUP($A:$A,Instagram_Usage_Lifestyle_Mini_!$A:$A,Instagram_Usage_Lifestyle_Mini_!$C:$K)</f>
        <v>Single</v>
      </c>
      <c r="K383" t="str">
        <f>_xlfn.XLOOKUP($A:$A,Instagram_Usage_Lifestyle_Mini_!$A:$A,Instagram_Usage_Lifestyle_Mini_!$C:$K)</f>
        <v>Yes</v>
      </c>
      <c r="L383" t="str" cm="1">
        <f t="array" ref="L383">_xlfn.IFS(C383&lt;18,"Under_18",C383&lt;=25,"Youth",C383&lt;=35,"Young_Adults",C383&lt;=45,"Mid_Adults",TRUE,"Seniors")</f>
        <v>Mid_Adults</v>
      </c>
    </row>
    <row r="384" spans="1:12" x14ac:dyDescent="0.2">
      <c r="A384">
        <v>383</v>
      </c>
      <c r="B384" t="str">
        <f>_xlfn.XLOOKUP(A384,Instagram_Usage_Lifestyle_Mini_!A384,Instagram_Usage_Lifestyle_Mini_!B384,1)</f>
        <v>Instagram</v>
      </c>
      <c r="C384">
        <f>_xlfn.XLOOKUP($A:$A,Instagram_Usage_Lifestyle_Mini_!$A:$A,Instagram_Usage_Lifestyle_Mini_!$C:$K)</f>
        <v>42</v>
      </c>
      <c r="D384" t="str">
        <f>_xlfn.XLOOKUP($A:$A,Instagram_Usage_Lifestyle_Mini_!$A:$A,Instagram_Usage_Lifestyle_Mini_!$C:$K)</f>
        <v>Male</v>
      </c>
      <c r="E384" t="str">
        <f>_xlfn.XLOOKUP($A:$A,Instagram_Usage_Lifestyle_Mini_!$A:$A,Instagram_Usage_Lifestyle_Mini_!$C:$K)</f>
        <v>Brazil</v>
      </c>
      <c r="F384" t="str">
        <f>_xlfn.XLOOKUP($A:$A,Instagram_Usage_Lifestyle_Mini_!$A:$A,Instagram_Usage_Lifestyle_Mini_!$C:$K)</f>
        <v>Urban</v>
      </c>
      <c r="G384" t="str">
        <f>_xlfn.XLOOKUP($A:$A,Instagram_Usage_Lifestyle_Mini_!$A:$A,Instagram_Usage_Lifestyle_Mini_!$C:$K)</f>
        <v>Lower_middle</v>
      </c>
      <c r="H384" t="str">
        <f>_xlfn.XLOOKUP($A:$A,Instagram_Usage_Lifestyle_Mini_!$A:$A,Instagram_Usage_Lifestyle_Mini_!$C:$K)</f>
        <v>Student</v>
      </c>
      <c r="I384" t="str">
        <f>_xlfn.XLOOKUP($A:$A,Instagram_Usage_Lifestyle_Mini_!$A:$A,Instagram_Usage_Lifestyle_Mini_!$C:$K)</f>
        <v>Some_college</v>
      </c>
      <c r="J384" t="str">
        <f>_xlfn.XLOOKUP($A:$A,Instagram_Usage_Lifestyle_Mini_!$A:$A,Instagram_Usage_Lifestyle_Mini_!$C:$K)</f>
        <v>Married</v>
      </c>
      <c r="K384" t="str">
        <f>_xlfn.XLOOKUP($A:$A,Instagram_Usage_Lifestyle_Mini_!$A:$A,Instagram_Usage_Lifestyle_Mini_!$C:$K)</f>
        <v>No</v>
      </c>
      <c r="L384" t="str" cm="1">
        <f t="array" ref="L384">_xlfn.IFS(C384&lt;18,"Under_18",C384&lt;=25,"Youth",C384&lt;=35,"Young_Adults",C384&lt;=45,"Mid_Adults",TRUE,"Seniors")</f>
        <v>Mid_Adults</v>
      </c>
    </row>
    <row r="385" spans="1:12" x14ac:dyDescent="0.2">
      <c r="A385">
        <v>384</v>
      </c>
      <c r="B385" t="str">
        <f>_xlfn.XLOOKUP(A385,Instagram_Usage_Lifestyle_Mini_!A385,Instagram_Usage_Lifestyle_Mini_!B385,1)</f>
        <v>Instagram</v>
      </c>
      <c r="C385">
        <f>_xlfn.XLOOKUP($A:$A,Instagram_Usage_Lifestyle_Mini_!$A:$A,Instagram_Usage_Lifestyle_Mini_!$C:$K)</f>
        <v>41</v>
      </c>
      <c r="D385" t="str">
        <f>_xlfn.XLOOKUP($A:$A,Instagram_Usage_Lifestyle_Mini_!$A:$A,Instagram_Usage_Lifestyle_Mini_!$C:$K)</f>
        <v>Female</v>
      </c>
      <c r="E385" t="str">
        <f>_xlfn.XLOOKUP($A:$A,Instagram_Usage_Lifestyle_Mini_!$A:$A,Instagram_Usage_Lifestyle_Mini_!$C:$K)</f>
        <v>India</v>
      </c>
      <c r="F385" t="str">
        <f>_xlfn.XLOOKUP($A:$A,Instagram_Usage_Lifestyle_Mini_!$A:$A,Instagram_Usage_Lifestyle_Mini_!$C:$K)</f>
        <v>Urban</v>
      </c>
      <c r="G385" t="str">
        <f>_xlfn.XLOOKUP($A:$A,Instagram_Usage_Lifestyle_Mini_!$A:$A,Instagram_Usage_Lifestyle_Mini_!$C:$K)</f>
        <v>Low</v>
      </c>
      <c r="H385" t="str">
        <f>_xlfn.XLOOKUP($A:$A,Instagram_Usage_Lifestyle_Mini_!$A:$A,Instagram_Usage_Lifestyle_Mini_!$C:$K)</f>
        <v>Student</v>
      </c>
      <c r="I385" t="str">
        <f>_xlfn.XLOOKUP($A:$A,Instagram_Usage_Lifestyle_Mini_!$A:$A,Instagram_Usage_Lifestyle_Mini_!$C:$K)</f>
        <v>High_school</v>
      </c>
      <c r="J385" t="str">
        <f>_xlfn.XLOOKUP($A:$A,Instagram_Usage_Lifestyle_Mini_!$A:$A,Instagram_Usage_Lifestyle_Mini_!$C:$K)</f>
        <v>Divorced</v>
      </c>
      <c r="K385" t="str">
        <f>_xlfn.XLOOKUP($A:$A,Instagram_Usage_Lifestyle_Mini_!$A:$A,Instagram_Usage_Lifestyle_Mini_!$C:$K)</f>
        <v>Yes</v>
      </c>
      <c r="L385" t="str" cm="1">
        <f t="array" ref="L385">_xlfn.IFS(C385&lt;18,"Under_18",C385&lt;=25,"Youth",C385&lt;=35,"Young_Adults",C385&lt;=45,"Mid_Adults",TRUE,"Seniors")</f>
        <v>Mid_Adults</v>
      </c>
    </row>
    <row r="386" spans="1:12" x14ac:dyDescent="0.2">
      <c r="A386">
        <v>385</v>
      </c>
      <c r="B386" t="str">
        <f>_xlfn.XLOOKUP(A386,Instagram_Usage_Lifestyle_Mini_!A386,Instagram_Usage_Lifestyle_Mini_!B386,1)</f>
        <v>Instagram</v>
      </c>
      <c r="C386">
        <f>_xlfn.XLOOKUP($A:$A,Instagram_Usage_Lifestyle_Mini_!$A:$A,Instagram_Usage_Lifestyle_Mini_!$C:$K)</f>
        <v>58</v>
      </c>
      <c r="D386" t="str">
        <f>_xlfn.XLOOKUP($A:$A,Instagram_Usage_Lifestyle_Mini_!$A:$A,Instagram_Usage_Lifestyle_Mini_!$C:$K)</f>
        <v>Male</v>
      </c>
      <c r="E386" t="str">
        <f>_xlfn.XLOOKUP($A:$A,Instagram_Usage_Lifestyle_Mini_!$A:$A,Instagram_Usage_Lifestyle_Mini_!$C:$K)</f>
        <v>Canada</v>
      </c>
      <c r="F386" t="str">
        <f>_xlfn.XLOOKUP($A:$A,Instagram_Usage_Lifestyle_Mini_!$A:$A,Instagram_Usage_Lifestyle_Mini_!$C:$K)</f>
        <v>Urban</v>
      </c>
      <c r="G386" t="str">
        <f>_xlfn.XLOOKUP($A:$A,Instagram_Usage_Lifestyle_Mini_!$A:$A,Instagram_Usage_Lifestyle_Mini_!$C:$K)</f>
        <v>Low</v>
      </c>
      <c r="H386" t="str">
        <f>_xlfn.XLOOKUP($A:$A,Instagram_Usage_Lifestyle_Mini_!$A:$A,Instagram_Usage_Lifestyle_Mini_!$C:$K)</f>
        <v>Student</v>
      </c>
      <c r="I386" t="str">
        <f>_xlfn.XLOOKUP($A:$A,Instagram_Usage_Lifestyle_Mini_!$A:$A,Instagram_Usage_Lifestyle_Mini_!$C:$K)</f>
        <v>Masters_degree</v>
      </c>
      <c r="J386" t="str">
        <f>_xlfn.XLOOKUP($A:$A,Instagram_Usage_Lifestyle_Mini_!$A:$A,Instagram_Usage_Lifestyle_Mini_!$C:$K)</f>
        <v>Divorced</v>
      </c>
      <c r="K386" t="str">
        <f>_xlfn.XLOOKUP($A:$A,Instagram_Usage_Lifestyle_Mini_!$A:$A,Instagram_Usage_Lifestyle_Mini_!$C:$K)</f>
        <v>Yes</v>
      </c>
      <c r="L386" t="str" cm="1">
        <f t="array" ref="L386">_xlfn.IFS(C386&lt;18,"Under_18",C386&lt;=25,"Youth",C386&lt;=35,"Young_Adults",C386&lt;=45,"Mid_Adults",TRUE,"Seniors")</f>
        <v>Seniors</v>
      </c>
    </row>
    <row r="387" spans="1:12" x14ac:dyDescent="0.2">
      <c r="A387">
        <v>386</v>
      </c>
      <c r="B387" t="str">
        <f>_xlfn.XLOOKUP(A387,Instagram_Usage_Lifestyle_Mini_!A387,Instagram_Usage_Lifestyle_Mini_!B387,1)</f>
        <v>Instagram</v>
      </c>
      <c r="C387">
        <f>_xlfn.XLOOKUP($A:$A,Instagram_Usage_Lifestyle_Mini_!$A:$A,Instagram_Usage_Lifestyle_Mini_!$C:$K)</f>
        <v>65</v>
      </c>
      <c r="D387" t="str">
        <f>_xlfn.XLOOKUP($A:$A,Instagram_Usage_Lifestyle_Mini_!$A:$A,Instagram_Usage_Lifestyle_Mini_!$C:$K)</f>
        <v>Female</v>
      </c>
      <c r="E387" t="str">
        <f>_xlfn.XLOOKUP($A:$A,Instagram_Usage_Lifestyle_Mini_!$A:$A,Instagram_Usage_Lifestyle_Mini_!$C:$K)</f>
        <v>United_States</v>
      </c>
      <c r="F387" t="str">
        <f>_xlfn.XLOOKUP($A:$A,Instagram_Usage_Lifestyle_Mini_!$A:$A,Instagram_Usage_Lifestyle_Mini_!$C:$K)</f>
        <v>Urban</v>
      </c>
      <c r="G387" t="str">
        <f>_xlfn.XLOOKUP($A:$A,Instagram_Usage_Lifestyle_Mini_!$A:$A,Instagram_Usage_Lifestyle_Mini_!$C:$K)</f>
        <v>Upper_middle</v>
      </c>
      <c r="H387" t="str">
        <f>_xlfn.XLOOKUP($A:$A,Instagram_Usage_Lifestyle_Mini_!$A:$A,Instagram_Usage_Lifestyle_Mini_!$C:$K)</f>
        <v>Full_time_employed</v>
      </c>
      <c r="I387" t="str">
        <f>_xlfn.XLOOKUP($A:$A,Instagram_Usage_Lifestyle_Mini_!$A:$A,Instagram_Usage_Lifestyle_Mini_!$C:$K)</f>
        <v>Bachelors_degree</v>
      </c>
      <c r="J387" t="str">
        <f>_xlfn.XLOOKUP($A:$A,Instagram_Usage_Lifestyle_Mini_!$A:$A,Instagram_Usage_Lifestyle_Mini_!$C:$K)</f>
        <v>Single</v>
      </c>
      <c r="K387" t="str">
        <f>_xlfn.XLOOKUP($A:$A,Instagram_Usage_Lifestyle_Mini_!$A:$A,Instagram_Usage_Lifestyle_Mini_!$C:$K)</f>
        <v>No</v>
      </c>
      <c r="L387" t="str" cm="1">
        <f t="array" ref="L387">_xlfn.IFS(C387&lt;18,"Under_18",C387&lt;=25,"Youth",C387&lt;=35,"Young_Adults",C387&lt;=45,"Mid_Adults",TRUE,"Seniors")</f>
        <v>Seniors</v>
      </c>
    </row>
    <row r="388" spans="1:12" x14ac:dyDescent="0.2">
      <c r="A388">
        <v>387</v>
      </c>
      <c r="B388" t="str">
        <f>_xlfn.XLOOKUP(A388,Instagram_Usage_Lifestyle_Mini_!A388,Instagram_Usage_Lifestyle_Mini_!B388,1)</f>
        <v>Instagram</v>
      </c>
      <c r="C388">
        <f>_xlfn.XLOOKUP($A:$A,Instagram_Usage_Lifestyle_Mini_!$A:$A,Instagram_Usage_Lifestyle_Mini_!$C:$K)</f>
        <v>18</v>
      </c>
      <c r="D388" t="str">
        <f>_xlfn.XLOOKUP($A:$A,Instagram_Usage_Lifestyle_Mini_!$A:$A,Instagram_Usage_Lifestyle_Mini_!$C:$K)</f>
        <v>Male</v>
      </c>
      <c r="E388" t="str">
        <f>_xlfn.XLOOKUP($A:$A,Instagram_Usage_Lifestyle_Mini_!$A:$A,Instagram_Usage_Lifestyle_Mini_!$C:$K)</f>
        <v>United_States</v>
      </c>
      <c r="F388" t="str">
        <f>_xlfn.XLOOKUP($A:$A,Instagram_Usage_Lifestyle_Mini_!$A:$A,Instagram_Usage_Lifestyle_Mini_!$C:$K)</f>
        <v>Suburban</v>
      </c>
      <c r="G388" t="str">
        <f>_xlfn.XLOOKUP($A:$A,Instagram_Usage_Lifestyle_Mini_!$A:$A,Instagram_Usage_Lifestyle_Mini_!$C:$K)</f>
        <v>Low</v>
      </c>
      <c r="H388" t="str">
        <f>_xlfn.XLOOKUP($A:$A,Instagram_Usage_Lifestyle_Mini_!$A:$A,Instagram_Usage_Lifestyle_Mini_!$C:$K)</f>
        <v>Full_time_employed</v>
      </c>
      <c r="I388" t="str">
        <f>_xlfn.XLOOKUP($A:$A,Instagram_Usage_Lifestyle_Mini_!$A:$A,Instagram_Usage_Lifestyle_Mini_!$C:$K)</f>
        <v>Bachelors_degree</v>
      </c>
      <c r="J388" t="str">
        <f>_xlfn.XLOOKUP($A:$A,Instagram_Usage_Lifestyle_Mini_!$A:$A,Instagram_Usage_Lifestyle_Mini_!$C:$K)</f>
        <v>Single</v>
      </c>
      <c r="K388" t="str">
        <f>_xlfn.XLOOKUP($A:$A,Instagram_Usage_Lifestyle_Mini_!$A:$A,Instagram_Usage_Lifestyle_Mini_!$C:$K)</f>
        <v>No</v>
      </c>
      <c r="L388" t="str" cm="1">
        <f t="array" ref="L388">_xlfn.IFS(C388&lt;18,"Under_18",C388&lt;=25,"Youth",C388&lt;=35,"Young_Adults",C388&lt;=45,"Mid_Adults",TRUE,"Seniors")</f>
        <v>Youth</v>
      </c>
    </row>
    <row r="389" spans="1:12" x14ac:dyDescent="0.2">
      <c r="A389">
        <v>388</v>
      </c>
      <c r="B389" t="str">
        <f>_xlfn.XLOOKUP(A389,Instagram_Usage_Lifestyle_Mini_!A389,Instagram_Usage_Lifestyle_Mini_!B389,1)</f>
        <v>Instagram</v>
      </c>
      <c r="C389">
        <f>_xlfn.XLOOKUP($A:$A,Instagram_Usage_Lifestyle_Mini_!$A:$A,Instagram_Usage_Lifestyle_Mini_!$C:$K)</f>
        <v>47</v>
      </c>
      <c r="D389" t="str">
        <f>_xlfn.XLOOKUP($A:$A,Instagram_Usage_Lifestyle_Mini_!$A:$A,Instagram_Usage_Lifestyle_Mini_!$C:$K)</f>
        <v>Male</v>
      </c>
      <c r="E389" t="str">
        <f>_xlfn.XLOOKUP($A:$A,Instagram_Usage_Lifestyle_Mini_!$A:$A,Instagram_Usage_Lifestyle_Mini_!$C:$K)</f>
        <v>India</v>
      </c>
      <c r="F389" t="str">
        <f>_xlfn.XLOOKUP($A:$A,Instagram_Usage_Lifestyle_Mini_!$A:$A,Instagram_Usage_Lifestyle_Mini_!$C:$K)</f>
        <v>Suburban</v>
      </c>
      <c r="G389" t="str">
        <f>_xlfn.XLOOKUP($A:$A,Instagram_Usage_Lifestyle_Mini_!$A:$A,Instagram_Usage_Lifestyle_Mini_!$C:$K)</f>
        <v>Lower_middle</v>
      </c>
      <c r="H389" t="str">
        <f>_xlfn.XLOOKUP($A:$A,Instagram_Usage_Lifestyle_Mini_!$A:$A,Instagram_Usage_Lifestyle_Mini_!$C:$K)</f>
        <v>Student</v>
      </c>
      <c r="I389" t="str">
        <f>_xlfn.XLOOKUP($A:$A,Instagram_Usage_Lifestyle_Mini_!$A:$A,Instagram_Usage_Lifestyle_Mini_!$C:$K)</f>
        <v>Bachelors_degree</v>
      </c>
      <c r="J389" t="str">
        <f>_xlfn.XLOOKUP($A:$A,Instagram_Usage_Lifestyle_Mini_!$A:$A,Instagram_Usage_Lifestyle_Mini_!$C:$K)</f>
        <v>Single</v>
      </c>
      <c r="K389" t="str">
        <f>_xlfn.XLOOKUP($A:$A,Instagram_Usage_Lifestyle_Mini_!$A:$A,Instagram_Usage_Lifestyle_Mini_!$C:$K)</f>
        <v>Yes</v>
      </c>
      <c r="L389" t="str" cm="1">
        <f t="array" ref="L389">_xlfn.IFS(C389&lt;18,"Under_18",C389&lt;=25,"Youth",C389&lt;=35,"Young_Adults",C389&lt;=45,"Mid_Adults",TRUE,"Seniors")</f>
        <v>Seniors</v>
      </c>
    </row>
    <row r="390" spans="1:12" x14ac:dyDescent="0.2">
      <c r="A390">
        <v>389</v>
      </c>
      <c r="B390" t="str">
        <f>_xlfn.XLOOKUP(A390,Instagram_Usage_Lifestyle_Mini_!A390,Instagram_Usage_Lifestyle_Mini_!B390,1)</f>
        <v>Instagram</v>
      </c>
      <c r="C390">
        <f>_xlfn.XLOOKUP($A:$A,Instagram_Usage_Lifestyle_Mini_!$A:$A,Instagram_Usage_Lifestyle_Mini_!$C:$K)</f>
        <v>53</v>
      </c>
      <c r="D390" t="str">
        <f>_xlfn.XLOOKUP($A:$A,Instagram_Usage_Lifestyle_Mini_!$A:$A,Instagram_Usage_Lifestyle_Mini_!$C:$K)</f>
        <v>Female</v>
      </c>
      <c r="E390" t="str">
        <f>_xlfn.XLOOKUP($A:$A,Instagram_Usage_Lifestyle_Mini_!$A:$A,Instagram_Usage_Lifestyle_Mini_!$C:$K)</f>
        <v>United _Kingdom</v>
      </c>
      <c r="F390" t="str">
        <f>_xlfn.XLOOKUP($A:$A,Instagram_Usage_Lifestyle_Mini_!$A:$A,Instagram_Usage_Lifestyle_Mini_!$C:$K)</f>
        <v>Suburban</v>
      </c>
      <c r="G390" t="str">
        <f>_xlfn.XLOOKUP($A:$A,Instagram_Usage_Lifestyle_Mini_!$A:$A,Instagram_Usage_Lifestyle_Mini_!$C:$K)</f>
        <v>Low</v>
      </c>
      <c r="H390" t="str">
        <f>_xlfn.XLOOKUP($A:$A,Instagram_Usage_Lifestyle_Mini_!$A:$A,Instagram_Usage_Lifestyle_Mini_!$C:$K)</f>
        <v>Full_time_employed</v>
      </c>
      <c r="I390" t="str">
        <f>_xlfn.XLOOKUP($A:$A,Instagram_Usage_Lifestyle_Mini_!$A:$A,Instagram_Usage_Lifestyle_Mini_!$C:$K)</f>
        <v>High_school</v>
      </c>
      <c r="J390" t="str">
        <f>_xlfn.XLOOKUP($A:$A,Instagram_Usage_Lifestyle_Mini_!$A:$A,Instagram_Usage_Lifestyle_Mini_!$C:$K)</f>
        <v>Married</v>
      </c>
      <c r="K390" t="str">
        <f>_xlfn.XLOOKUP($A:$A,Instagram_Usage_Lifestyle_Mini_!$A:$A,Instagram_Usage_Lifestyle_Mini_!$C:$K)</f>
        <v>Yes</v>
      </c>
      <c r="L390" t="str" cm="1">
        <f t="array" ref="L390">_xlfn.IFS(C390&lt;18,"Under_18",C390&lt;=25,"Youth",C390&lt;=35,"Young_Adults",C390&lt;=45,"Mid_Adults",TRUE,"Seniors")</f>
        <v>Seniors</v>
      </c>
    </row>
    <row r="391" spans="1:12" x14ac:dyDescent="0.2">
      <c r="A391">
        <v>390</v>
      </c>
      <c r="B391" t="str">
        <f>_xlfn.XLOOKUP(A391,Instagram_Usage_Lifestyle_Mini_!A391,Instagram_Usage_Lifestyle_Mini_!B391,1)</f>
        <v>Instagram</v>
      </c>
      <c r="C391">
        <f>_xlfn.XLOOKUP($A:$A,Instagram_Usage_Lifestyle_Mini_!$A:$A,Instagram_Usage_Lifestyle_Mini_!$C:$K)</f>
        <v>49</v>
      </c>
      <c r="D391" t="str">
        <f>_xlfn.XLOOKUP($A:$A,Instagram_Usage_Lifestyle_Mini_!$A:$A,Instagram_Usage_Lifestyle_Mini_!$C:$K)</f>
        <v>Male</v>
      </c>
      <c r="E391" t="str">
        <f>_xlfn.XLOOKUP($A:$A,Instagram_Usage_Lifestyle_Mini_!$A:$A,Instagram_Usage_Lifestyle_Mini_!$C:$K)</f>
        <v>United _Kingdom</v>
      </c>
      <c r="F391" t="str">
        <f>_xlfn.XLOOKUP($A:$A,Instagram_Usage_Lifestyle_Mini_!$A:$A,Instagram_Usage_Lifestyle_Mini_!$C:$K)</f>
        <v>Suburban</v>
      </c>
      <c r="G391" t="str">
        <f>_xlfn.XLOOKUP($A:$A,Instagram_Usage_Lifestyle_Mini_!$A:$A,Instagram_Usage_Lifestyle_Mini_!$C:$K)</f>
        <v>Middle</v>
      </c>
      <c r="H391" t="str">
        <f>_xlfn.XLOOKUP($A:$A,Instagram_Usage_Lifestyle_Mini_!$A:$A,Instagram_Usage_Lifestyle_Mini_!$C:$K)</f>
        <v>Full_time_employed</v>
      </c>
      <c r="I391" t="str">
        <f>_xlfn.XLOOKUP($A:$A,Instagram_Usage_Lifestyle_Mini_!$A:$A,Instagram_Usage_Lifestyle_Mini_!$C:$K)</f>
        <v>High_school</v>
      </c>
      <c r="J391" t="str">
        <f>_xlfn.XLOOKUP($A:$A,Instagram_Usage_Lifestyle_Mini_!$A:$A,Instagram_Usage_Lifestyle_Mini_!$C:$K)</f>
        <v>Single</v>
      </c>
      <c r="K391" t="str">
        <f>_xlfn.XLOOKUP($A:$A,Instagram_Usage_Lifestyle_Mini_!$A:$A,Instagram_Usage_Lifestyle_Mini_!$C:$K)</f>
        <v>No</v>
      </c>
      <c r="L391" t="str" cm="1">
        <f t="array" ref="L391">_xlfn.IFS(C391&lt;18,"Under_18",C391&lt;=25,"Youth",C391&lt;=35,"Young_Adults",C391&lt;=45,"Mid_Adults",TRUE,"Seniors")</f>
        <v>Seniors</v>
      </c>
    </row>
    <row r="392" spans="1:12" x14ac:dyDescent="0.2">
      <c r="A392">
        <v>391</v>
      </c>
      <c r="B392" t="str">
        <f>_xlfn.XLOOKUP(A392,Instagram_Usage_Lifestyle_Mini_!A392,Instagram_Usage_Lifestyle_Mini_!B392,1)</f>
        <v>Instagram</v>
      </c>
      <c r="C392">
        <f>_xlfn.XLOOKUP($A:$A,Instagram_Usage_Lifestyle_Mini_!$A:$A,Instagram_Usage_Lifestyle_Mini_!$C:$K)</f>
        <v>36</v>
      </c>
      <c r="D392" t="str">
        <f>_xlfn.XLOOKUP($A:$A,Instagram_Usage_Lifestyle_Mini_!$A:$A,Instagram_Usage_Lifestyle_Mini_!$C:$K)</f>
        <v>Female</v>
      </c>
      <c r="E392" t="str">
        <f>_xlfn.XLOOKUP($A:$A,Instagram_Usage_Lifestyle_Mini_!$A:$A,Instagram_Usage_Lifestyle_Mini_!$C:$K)</f>
        <v>United_States</v>
      </c>
      <c r="F392" t="str">
        <f>_xlfn.XLOOKUP($A:$A,Instagram_Usage_Lifestyle_Mini_!$A:$A,Instagram_Usage_Lifestyle_Mini_!$C:$K)</f>
        <v>Urban</v>
      </c>
      <c r="G392" t="str">
        <f>_xlfn.XLOOKUP($A:$A,Instagram_Usage_Lifestyle_Mini_!$A:$A,Instagram_Usage_Lifestyle_Mini_!$C:$K)</f>
        <v>High</v>
      </c>
      <c r="H392" t="str">
        <f>_xlfn.XLOOKUP($A:$A,Instagram_Usage_Lifestyle_Mini_!$A:$A,Instagram_Usage_Lifestyle_Mini_!$C:$K)</f>
        <v>Full_time_employed</v>
      </c>
      <c r="I392" t="str">
        <f>_xlfn.XLOOKUP($A:$A,Instagram_Usage_Lifestyle_Mini_!$A:$A,Instagram_Usage_Lifestyle_Mini_!$C:$K)</f>
        <v>Some_college</v>
      </c>
      <c r="J392" t="str">
        <f>_xlfn.XLOOKUP($A:$A,Instagram_Usage_Lifestyle_Mini_!$A:$A,Instagram_Usage_Lifestyle_Mini_!$C:$K)</f>
        <v>Married</v>
      </c>
      <c r="K392" t="str">
        <f>_xlfn.XLOOKUP($A:$A,Instagram_Usage_Lifestyle_Mini_!$A:$A,Instagram_Usage_Lifestyle_Mini_!$C:$K)</f>
        <v>Yes</v>
      </c>
      <c r="L392" t="str" cm="1">
        <f t="array" ref="L392">_xlfn.IFS(C392&lt;18,"Under_18",C392&lt;=25,"Youth",C392&lt;=35,"Young_Adults",C392&lt;=45,"Mid_Adults",TRUE,"Seniors")</f>
        <v>Mid_Adults</v>
      </c>
    </row>
    <row r="393" spans="1:12" x14ac:dyDescent="0.2">
      <c r="A393">
        <v>392</v>
      </c>
      <c r="B393" t="str">
        <f>_xlfn.XLOOKUP(A393,Instagram_Usage_Lifestyle_Mini_!A393,Instagram_Usage_Lifestyle_Mini_!B393,1)</f>
        <v>Instagram</v>
      </c>
      <c r="C393">
        <f>_xlfn.XLOOKUP($A:$A,Instagram_Usage_Lifestyle_Mini_!$A:$A,Instagram_Usage_Lifestyle_Mini_!$C:$K)</f>
        <v>41</v>
      </c>
      <c r="D393" t="str">
        <f>_xlfn.XLOOKUP($A:$A,Instagram_Usage_Lifestyle_Mini_!$A:$A,Instagram_Usage_Lifestyle_Mini_!$C:$K)</f>
        <v>Male</v>
      </c>
      <c r="E393" t="str">
        <f>_xlfn.XLOOKUP($A:$A,Instagram_Usage_Lifestyle_Mini_!$A:$A,Instagram_Usage_Lifestyle_Mini_!$C:$K)</f>
        <v>Canada</v>
      </c>
      <c r="F393" t="str">
        <f>_xlfn.XLOOKUP($A:$A,Instagram_Usage_Lifestyle_Mini_!$A:$A,Instagram_Usage_Lifestyle_Mini_!$C:$K)</f>
        <v>Suburban</v>
      </c>
      <c r="G393" t="str">
        <f>_xlfn.XLOOKUP($A:$A,Instagram_Usage_Lifestyle_Mini_!$A:$A,Instagram_Usage_Lifestyle_Mini_!$C:$K)</f>
        <v>Middle</v>
      </c>
      <c r="H393" t="str">
        <f>_xlfn.XLOOKUP($A:$A,Instagram_Usage_Lifestyle_Mini_!$A:$A,Instagram_Usage_Lifestyle_Mini_!$C:$K)</f>
        <v>Full_time_employed</v>
      </c>
      <c r="I393" t="str">
        <f>_xlfn.XLOOKUP($A:$A,Instagram_Usage_Lifestyle_Mini_!$A:$A,Instagram_Usage_Lifestyle_Mini_!$C:$K)</f>
        <v>Bachelors_degree</v>
      </c>
      <c r="J393" t="str">
        <f>_xlfn.XLOOKUP($A:$A,Instagram_Usage_Lifestyle_Mini_!$A:$A,Instagram_Usage_Lifestyle_Mini_!$C:$K)</f>
        <v>In_a_relationship</v>
      </c>
      <c r="K393" t="str">
        <f>_xlfn.XLOOKUP($A:$A,Instagram_Usage_Lifestyle_Mini_!$A:$A,Instagram_Usage_Lifestyle_Mini_!$C:$K)</f>
        <v>Yes</v>
      </c>
      <c r="L393" t="str" cm="1">
        <f t="array" ref="L393">_xlfn.IFS(C393&lt;18,"Under_18",C393&lt;=25,"Youth",C393&lt;=35,"Young_Adults",C393&lt;=45,"Mid_Adults",TRUE,"Seniors")</f>
        <v>Mid_Adults</v>
      </c>
    </row>
    <row r="394" spans="1:12" x14ac:dyDescent="0.2">
      <c r="A394">
        <v>393</v>
      </c>
      <c r="B394" t="str">
        <f>_xlfn.XLOOKUP(A394,Instagram_Usage_Lifestyle_Mini_!A394,Instagram_Usage_Lifestyle_Mini_!B394,1)</f>
        <v>Instagram</v>
      </c>
      <c r="C394">
        <f>_xlfn.XLOOKUP($A:$A,Instagram_Usage_Lifestyle_Mini_!$A:$A,Instagram_Usage_Lifestyle_Mini_!$C:$K)</f>
        <v>61</v>
      </c>
      <c r="D394" t="str">
        <f>_xlfn.XLOOKUP($A:$A,Instagram_Usage_Lifestyle_Mini_!$A:$A,Instagram_Usage_Lifestyle_Mini_!$C:$K)</f>
        <v>Male</v>
      </c>
      <c r="E394" t="str">
        <f>_xlfn.XLOOKUP($A:$A,Instagram_Usage_Lifestyle_Mini_!$A:$A,Instagram_Usage_Lifestyle_Mini_!$C:$K)</f>
        <v>Canada</v>
      </c>
      <c r="F394" t="str">
        <f>_xlfn.XLOOKUP($A:$A,Instagram_Usage_Lifestyle_Mini_!$A:$A,Instagram_Usage_Lifestyle_Mini_!$C:$K)</f>
        <v>Rural</v>
      </c>
      <c r="G394" t="str">
        <f>_xlfn.XLOOKUP($A:$A,Instagram_Usage_Lifestyle_Mini_!$A:$A,Instagram_Usage_Lifestyle_Mini_!$C:$K)</f>
        <v>Low</v>
      </c>
      <c r="H394" t="str">
        <f>_xlfn.XLOOKUP($A:$A,Instagram_Usage_Lifestyle_Mini_!$A:$A,Instagram_Usage_Lifestyle_Mini_!$C:$K)</f>
        <v>Student</v>
      </c>
      <c r="I394" t="str">
        <f>_xlfn.XLOOKUP($A:$A,Instagram_Usage_Lifestyle_Mini_!$A:$A,Instagram_Usage_Lifestyle_Mini_!$C:$K)</f>
        <v>Other</v>
      </c>
      <c r="J394" t="str">
        <f>_xlfn.XLOOKUP($A:$A,Instagram_Usage_Lifestyle_Mini_!$A:$A,Instagram_Usage_Lifestyle_Mini_!$C:$K)</f>
        <v>In_a_relationship</v>
      </c>
      <c r="K394" t="str">
        <f>_xlfn.XLOOKUP($A:$A,Instagram_Usage_Lifestyle_Mini_!$A:$A,Instagram_Usage_Lifestyle_Mini_!$C:$K)</f>
        <v>No</v>
      </c>
      <c r="L394" t="str" cm="1">
        <f t="array" ref="L394">_xlfn.IFS(C394&lt;18,"Under_18",C394&lt;=25,"Youth",C394&lt;=35,"Young_Adults",C394&lt;=45,"Mid_Adults",TRUE,"Seniors")</f>
        <v>Seniors</v>
      </c>
    </row>
    <row r="395" spans="1:12" x14ac:dyDescent="0.2">
      <c r="A395">
        <v>394</v>
      </c>
      <c r="B395" t="str">
        <f>_xlfn.XLOOKUP(A395,Instagram_Usage_Lifestyle_Mini_!A395,Instagram_Usage_Lifestyle_Mini_!B395,1)</f>
        <v>Instagram</v>
      </c>
      <c r="C395">
        <f>_xlfn.XLOOKUP($A:$A,Instagram_Usage_Lifestyle_Mini_!$A:$A,Instagram_Usage_Lifestyle_Mini_!$C:$K)</f>
        <v>58</v>
      </c>
      <c r="D395" t="str">
        <f>_xlfn.XLOOKUP($A:$A,Instagram_Usage_Lifestyle_Mini_!$A:$A,Instagram_Usage_Lifestyle_Mini_!$C:$K)</f>
        <v>Male</v>
      </c>
      <c r="E395" t="str">
        <f>_xlfn.XLOOKUP($A:$A,Instagram_Usage_Lifestyle_Mini_!$A:$A,Instagram_Usage_Lifestyle_Mini_!$C:$K)</f>
        <v>Other</v>
      </c>
      <c r="F395" t="str">
        <f>_xlfn.XLOOKUP($A:$A,Instagram_Usage_Lifestyle_Mini_!$A:$A,Instagram_Usage_Lifestyle_Mini_!$C:$K)</f>
        <v>Suburban</v>
      </c>
      <c r="G395" t="str">
        <f>_xlfn.XLOOKUP($A:$A,Instagram_Usage_Lifestyle_Mini_!$A:$A,Instagram_Usage_Lifestyle_Mini_!$C:$K)</f>
        <v>Upper_middle</v>
      </c>
      <c r="H395" t="str">
        <f>_xlfn.XLOOKUP($A:$A,Instagram_Usage_Lifestyle_Mini_!$A:$A,Instagram_Usage_Lifestyle_Mini_!$C:$K)</f>
        <v>Freelancer</v>
      </c>
      <c r="I395" t="str">
        <f>_xlfn.XLOOKUP($A:$A,Instagram_Usage_Lifestyle_Mini_!$A:$A,Instagram_Usage_Lifestyle_Mini_!$C:$K)</f>
        <v>High_school</v>
      </c>
      <c r="J395" t="str">
        <f>_xlfn.XLOOKUP($A:$A,Instagram_Usage_Lifestyle_Mini_!$A:$A,Instagram_Usage_Lifestyle_Mini_!$C:$K)</f>
        <v>Single</v>
      </c>
      <c r="K395" t="str">
        <f>_xlfn.XLOOKUP($A:$A,Instagram_Usage_Lifestyle_Mini_!$A:$A,Instagram_Usage_Lifestyle_Mini_!$C:$K)</f>
        <v>No</v>
      </c>
      <c r="L395" t="str" cm="1">
        <f t="array" ref="L395">_xlfn.IFS(C395&lt;18,"Under_18",C395&lt;=25,"Youth",C395&lt;=35,"Young_Adults",C395&lt;=45,"Mid_Adults",TRUE,"Seniors")</f>
        <v>Seniors</v>
      </c>
    </row>
    <row r="396" spans="1:12" x14ac:dyDescent="0.2">
      <c r="A396">
        <v>395</v>
      </c>
      <c r="B396" t="str">
        <f>_xlfn.XLOOKUP(A396,Instagram_Usage_Lifestyle_Mini_!A396,Instagram_Usage_Lifestyle_Mini_!B396,1)</f>
        <v>Instagram</v>
      </c>
      <c r="C396">
        <f>_xlfn.XLOOKUP($A:$A,Instagram_Usage_Lifestyle_Mini_!$A:$A,Instagram_Usage_Lifestyle_Mini_!$C:$K)</f>
        <v>65</v>
      </c>
      <c r="D396" t="str">
        <f>_xlfn.XLOOKUP($A:$A,Instagram_Usage_Lifestyle_Mini_!$A:$A,Instagram_Usage_Lifestyle_Mini_!$C:$K)</f>
        <v>Male</v>
      </c>
      <c r="E396" t="str">
        <f>_xlfn.XLOOKUP($A:$A,Instagram_Usage_Lifestyle_Mini_!$A:$A,Instagram_Usage_Lifestyle_Mini_!$C:$K)</f>
        <v>India</v>
      </c>
      <c r="F396" t="str">
        <f>_xlfn.XLOOKUP($A:$A,Instagram_Usage_Lifestyle_Mini_!$A:$A,Instagram_Usage_Lifestyle_Mini_!$C:$K)</f>
        <v>Urban</v>
      </c>
      <c r="G396" t="str">
        <f>_xlfn.XLOOKUP($A:$A,Instagram_Usage_Lifestyle_Mini_!$A:$A,Instagram_Usage_Lifestyle_Mini_!$C:$K)</f>
        <v>Lower_middle</v>
      </c>
      <c r="H396" t="str">
        <f>_xlfn.XLOOKUP($A:$A,Instagram_Usage_Lifestyle_Mini_!$A:$A,Instagram_Usage_Lifestyle_Mini_!$C:$K)</f>
        <v>Student</v>
      </c>
      <c r="I396" t="str">
        <f>_xlfn.XLOOKUP($A:$A,Instagram_Usage_Lifestyle_Mini_!$A:$A,Instagram_Usage_Lifestyle_Mini_!$C:$K)</f>
        <v>High_school</v>
      </c>
      <c r="J396" t="str">
        <f>_xlfn.XLOOKUP($A:$A,Instagram_Usage_Lifestyle_Mini_!$A:$A,Instagram_Usage_Lifestyle_Mini_!$C:$K)</f>
        <v>Married</v>
      </c>
      <c r="K396" t="str">
        <f>_xlfn.XLOOKUP($A:$A,Instagram_Usage_Lifestyle_Mini_!$A:$A,Instagram_Usage_Lifestyle_Mini_!$C:$K)</f>
        <v>No</v>
      </c>
      <c r="L396" t="str" cm="1">
        <f t="array" ref="L396">_xlfn.IFS(C396&lt;18,"Under_18",C396&lt;=25,"Youth",C396&lt;=35,"Young_Adults",C396&lt;=45,"Mid_Adults",TRUE,"Seniors")</f>
        <v>Seniors</v>
      </c>
    </row>
    <row r="397" spans="1:12" x14ac:dyDescent="0.2">
      <c r="A397">
        <v>396</v>
      </c>
      <c r="B397" t="str">
        <f>_xlfn.XLOOKUP(A397,Instagram_Usage_Lifestyle_Mini_!A397,Instagram_Usage_Lifestyle_Mini_!B397,1)</f>
        <v>Instagram</v>
      </c>
      <c r="C397">
        <f>_xlfn.XLOOKUP($A:$A,Instagram_Usage_Lifestyle_Mini_!$A:$A,Instagram_Usage_Lifestyle_Mini_!$C:$K)</f>
        <v>43</v>
      </c>
      <c r="D397" t="str">
        <f>_xlfn.XLOOKUP($A:$A,Instagram_Usage_Lifestyle_Mini_!$A:$A,Instagram_Usage_Lifestyle_Mini_!$C:$K)</f>
        <v>Female</v>
      </c>
      <c r="E397" t="str">
        <f>_xlfn.XLOOKUP($A:$A,Instagram_Usage_Lifestyle_Mini_!$A:$A,Instagram_Usage_Lifestyle_Mini_!$C:$K)</f>
        <v>Brazil</v>
      </c>
      <c r="F397" t="str">
        <f>_xlfn.XLOOKUP($A:$A,Instagram_Usage_Lifestyle_Mini_!$A:$A,Instagram_Usage_Lifestyle_Mini_!$C:$K)</f>
        <v>Urban</v>
      </c>
      <c r="G397" t="str">
        <f>_xlfn.XLOOKUP($A:$A,Instagram_Usage_Lifestyle_Mini_!$A:$A,Instagram_Usage_Lifestyle_Mini_!$C:$K)</f>
        <v>High</v>
      </c>
      <c r="H397" t="str">
        <f>_xlfn.XLOOKUP($A:$A,Instagram_Usage_Lifestyle_Mini_!$A:$A,Instagram_Usage_Lifestyle_Mini_!$C:$K)</f>
        <v>Full_time_employed</v>
      </c>
      <c r="I397" t="str">
        <f>_xlfn.XLOOKUP($A:$A,Instagram_Usage_Lifestyle_Mini_!$A:$A,Instagram_Usage_Lifestyle_Mini_!$C:$K)</f>
        <v>Masters_degree</v>
      </c>
      <c r="J397" t="str">
        <f>_xlfn.XLOOKUP($A:$A,Instagram_Usage_Lifestyle_Mini_!$A:$A,Instagram_Usage_Lifestyle_Mini_!$C:$K)</f>
        <v>Single</v>
      </c>
      <c r="K397" t="str">
        <f>_xlfn.XLOOKUP($A:$A,Instagram_Usage_Lifestyle_Mini_!$A:$A,Instagram_Usage_Lifestyle_Mini_!$C:$K)</f>
        <v>No</v>
      </c>
      <c r="L397" t="str" cm="1">
        <f t="array" ref="L397">_xlfn.IFS(C397&lt;18,"Under_18",C397&lt;=25,"Youth",C397&lt;=35,"Young_Adults",C397&lt;=45,"Mid_Adults",TRUE,"Seniors")</f>
        <v>Mid_Adults</v>
      </c>
    </row>
    <row r="398" spans="1:12" x14ac:dyDescent="0.2">
      <c r="A398">
        <v>397</v>
      </c>
      <c r="B398" t="str">
        <f>_xlfn.XLOOKUP(A398,Instagram_Usage_Lifestyle_Mini_!A398,Instagram_Usage_Lifestyle_Mini_!B398,1)</f>
        <v>Instagram</v>
      </c>
      <c r="C398">
        <f>_xlfn.XLOOKUP($A:$A,Instagram_Usage_Lifestyle_Mini_!$A:$A,Instagram_Usage_Lifestyle_Mini_!$C:$K)</f>
        <v>47</v>
      </c>
      <c r="D398" t="str">
        <f>_xlfn.XLOOKUP($A:$A,Instagram_Usage_Lifestyle_Mini_!$A:$A,Instagram_Usage_Lifestyle_Mini_!$C:$K)</f>
        <v>Female</v>
      </c>
      <c r="E398" t="str">
        <f>_xlfn.XLOOKUP($A:$A,Instagram_Usage_Lifestyle_Mini_!$A:$A,Instagram_Usage_Lifestyle_Mini_!$C:$K)</f>
        <v>India</v>
      </c>
      <c r="F398" t="str">
        <f>_xlfn.XLOOKUP($A:$A,Instagram_Usage_Lifestyle_Mini_!$A:$A,Instagram_Usage_Lifestyle_Mini_!$C:$K)</f>
        <v>Urban</v>
      </c>
      <c r="G398" t="str">
        <f>_xlfn.XLOOKUP($A:$A,Instagram_Usage_Lifestyle_Mini_!$A:$A,Instagram_Usage_Lifestyle_Mini_!$C:$K)</f>
        <v>Middle</v>
      </c>
      <c r="H398" t="str">
        <f>_xlfn.XLOOKUP($A:$A,Instagram_Usage_Lifestyle_Mini_!$A:$A,Instagram_Usage_Lifestyle_Mini_!$C:$K)</f>
        <v>Student</v>
      </c>
      <c r="I398" t="str">
        <f>_xlfn.XLOOKUP($A:$A,Instagram_Usage_Lifestyle_Mini_!$A:$A,Instagram_Usage_Lifestyle_Mini_!$C:$K)</f>
        <v>Bachelors_degree</v>
      </c>
      <c r="J398" t="str">
        <f>_xlfn.XLOOKUP($A:$A,Instagram_Usage_Lifestyle_Mini_!$A:$A,Instagram_Usage_Lifestyle_Mini_!$C:$K)</f>
        <v>In_a_relationship</v>
      </c>
      <c r="K398" t="str">
        <f>_xlfn.XLOOKUP($A:$A,Instagram_Usage_Lifestyle_Mini_!$A:$A,Instagram_Usage_Lifestyle_Mini_!$C:$K)</f>
        <v>No</v>
      </c>
      <c r="L398" t="str" cm="1">
        <f t="array" ref="L398">_xlfn.IFS(C398&lt;18,"Under_18",C398&lt;=25,"Youth",C398&lt;=35,"Young_Adults",C398&lt;=45,"Mid_Adults",TRUE,"Seniors")</f>
        <v>Seniors</v>
      </c>
    </row>
    <row r="399" spans="1:12" x14ac:dyDescent="0.2">
      <c r="A399">
        <v>398</v>
      </c>
      <c r="B399" t="str">
        <f>_xlfn.XLOOKUP(A399,Instagram_Usage_Lifestyle_Mini_!A399,Instagram_Usage_Lifestyle_Mini_!B399,1)</f>
        <v>Instagram</v>
      </c>
      <c r="C399">
        <f>_xlfn.XLOOKUP($A:$A,Instagram_Usage_Lifestyle_Mini_!$A:$A,Instagram_Usage_Lifestyle_Mini_!$C:$K)</f>
        <v>45</v>
      </c>
      <c r="D399" t="str">
        <f>_xlfn.XLOOKUP($A:$A,Instagram_Usage_Lifestyle_Mini_!$A:$A,Instagram_Usage_Lifestyle_Mini_!$C:$K)</f>
        <v>Male</v>
      </c>
      <c r="E399" t="str">
        <f>_xlfn.XLOOKUP($A:$A,Instagram_Usage_Lifestyle_Mini_!$A:$A,Instagram_Usage_Lifestyle_Mini_!$C:$K)</f>
        <v>Australia</v>
      </c>
      <c r="F399" t="str">
        <f>_xlfn.XLOOKUP($A:$A,Instagram_Usage_Lifestyle_Mini_!$A:$A,Instagram_Usage_Lifestyle_Mini_!$C:$K)</f>
        <v>Urban</v>
      </c>
      <c r="G399" t="str">
        <f>_xlfn.XLOOKUP($A:$A,Instagram_Usage_Lifestyle_Mini_!$A:$A,Instagram_Usage_Lifestyle_Mini_!$C:$K)</f>
        <v>Low</v>
      </c>
      <c r="H399" t="str">
        <f>_xlfn.XLOOKUP($A:$A,Instagram_Usage_Lifestyle_Mini_!$A:$A,Instagram_Usage_Lifestyle_Mini_!$C:$K)</f>
        <v>Full_time_employed</v>
      </c>
      <c r="I399" t="str">
        <f>_xlfn.XLOOKUP($A:$A,Instagram_Usage_Lifestyle_Mini_!$A:$A,Instagram_Usage_Lifestyle_Mini_!$C:$K)</f>
        <v>Other</v>
      </c>
      <c r="J399" t="str">
        <f>_xlfn.XLOOKUP($A:$A,Instagram_Usage_Lifestyle_Mini_!$A:$A,Instagram_Usage_Lifestyle_Mini_!$C:$K)</f>
        <v>Single</v>
      </c>
      <c r="K399" t="str">
        <f>_xlfn.XLOOKUP($A:$A,Instagram_Usage_Lifestyle_Mini_!$A:$A,Instagram_Usage_Lifestyle_Mini_!$C:$K)</f>
        <v>No</v>
      </c>
      <c r="L399" t="str" cm="1">
        <f t="array" ref="L399">_xlfn.IFS(C399&lt;18,"Under_18",C399&lt;=25,"Youth",C399&lt;=35,"Young_Adults",C399&lt;=45,"Mid_Adults",TRUE,"Seniors")</f>
        <v>Mid_Adults</v>
      </c>
    </row>
    <row r="400" spans="1:12" x14ac:dyDescent="0.2">
      <c r="A400">
        <v>399</v>
      </c>
      <c r="B400" t="str">
        <f>_xlfn.XLOOKUP(A400,Instagram_Usage_Lifestyle_Mini_!A400,Instagram_Usage_Lifestyle_Mini_!B400,1)</f>
        <v>Instagram</v>
      </c>
      <c r="C400">
        <f>_xlfn.XLOOKUP($A:$A,Instagram_Usage_Lifestyle_Mini_!$A:$A,Instagram_Usage_Lifestyle_Mini_!$C:$K)</f>
        <v>64</v>
      </c>
      <c r="D400" t="str">
        <f>_xlfn.XLOOKUP($A:$A,Instagram_Usage_Lifestyle_Mini_!$A:$A,Instagram_Usage_Lifestyle_Mini_!$C:$K)</f>
        <v>Male</v>
      </c>
      <c r="E400" t="str">
        <f>_xlfn.XLOOKUP($A:$A,Instagram_Usage_Lifestyle_Mini_!$A:$A,Instagram_Usage_Lifestyle_Mini_!$C:$K)</f>
        <v>Canada</v>
      </c>
      <c r="F400" t="str">
        <f>_xlfn.XLOOKUP($A:$A,Instagram_Usage_Lifestyle_Mini_!$A:$A,Instagram_Usage_Lifestyle_Mini_!$C:$K)</f>
        <v>Urban</v>
      </c>
      <c r="G400" t="str">
        <f>_xlfn.XLOOKUP($A:$A,Instagram_Usage_Lifestyle_Mini_!$A:$A,Instagram_Usage_Lifestyle_Mini_!$C:$K)</f>
        <v>Middle</v>
      </c>
      <c r="H400" t="str">
        <f>_xlfn.XLOOKUP($A:$A,Instagram_Usage_Lifestyle_Mini_!$A:$A,Instagram_Usage_Lifestyle_Mini_!$C:$K)</f>
        <v>Full_time_employed</v>
      </c>
      <c r="I400" t="str">
        <f>_xlfn.XLOOKUP($A:$A,Instagram_Usage_Lifestyle_Mini_!$A:$A,Instagram_Usage_Lifestyle_Mini_!$C:$K)</f>
        <v>Other</v>
      </c>
      <c r="J400" t="str">
        <f>_xlfn.XLOOKUP($A:$A,Instagram_Usage_Lifestyle_Mini_!$A:$A,Instagram_Usage_Lifestyle_Mini_!$C:$K)</f>
        <v>In_a_relationship</v>
      </c>
      <c r="K400" t="str">
        <f>_xlfn.XLOOKUP($A:$A,Instagram_Usage_Lifestyle_Mini_!$A:$A,Instagram_Usage_Lifestyle_Mini_!$C:$K)</f>
        <v>No</v>
      </c>
      <c r="L400" t="str" cm="1">
        <f t="array" ref="L400">_xlfn.IFS(C400&lt;18,"Under_18",C400&lt;=25,"Youth",C400&lt;=35,"Young_Adults",C400&lt;=45,"Mid_Adults",TRUE,"Seniors")</f>
        <v>Seniors</v>
      </c>
    </row>
    <row r="401" spans="1:12" x14ac:dyDescent="0.2">
      <c r="A401">
        <v>400</v>
      </c>
      <c r="B401" t="str">
        <f>_xlfn.XLOOKUP(A401,Instagram_Usage_Lifestyle_Mini_!A401,Instagram_Usage_Lifestyle_Mini_!B401,1)</f>
        <v>Instagram</v>
      </c>
      <c r="C401">
        <f>_xlfn.XLOOKUP($A:$A,Instagram_Usage_Lifestyle_Mini_!$A:$A,Instagram_Usage_Lifestyle_Mini_!$C:$K)</f>
        <v>33</v>
      </c>
      <c r="D401" t="str">
        <f>_xlfn.XLOOKUP($A:$A,Instagram_Usage_Lifestyle_Mini_!$A:$A,Instagram_Usage_Lifestyle_Mini_!$C:$K)</f>
        <v>Female</v>
      </c>
      <c r="E401" t="str">
        <f>_xlfn.XLOOKUP($A:$A,Instagram_Usage_Lifestyle_Mini_!$A:$A,Instagram_Usage_Lifestyle_Mini_!$C:$K)</f>
        <v>United_States</v>
      </c>
      <c r="F401" t="str">
        <f>_xlfn.XLOOKUP($A:$A,Instagram_Usage_Lifestyle_Mini_!$A:$A,Instagram_Usage_Lifestyle_Mini_!$C:$K)</f>
        <v>Urban</v>
      </c>
      <c r="G401" t="str">
        <f>_xlfn.XLOOKUP($A:$A,Instagram_Usage_Lifestyle_Mini_!$A:$A,Instagram_Usage_Lifestyle_Mini_!$C:$K)</f>
        <v>Upper_middle</v>
      </c>
      <c r="H401" t="str">
        <f>_xlfn.XLOOKUP($A:$A,Instagram_Usage_Lifestyle_Mini_!$A:$A,Instagram_Usage_Lifestyle_Mini_!$C:$K)</f>
        <v>Part_time</v>
      </c>
      <c r="I401" t="str">
        <f>_xlfn.XLOOKUP($A:$A,Instagram_Usage_Lifestyle_Mini_!$A:$A,Instagram_Usage_Lifestyle_Mini_!$C:$K)</f>
        <v>Some_college</v>
      </c>
      <c r="J401" t="str">
        <f>_xlfn.XLOOKUP($A:$A,Instagram_Usage_Lifestyle_Mini_!$A:$A,Instagram_Usage_Lifestyle_Mini_!$C:$K)</f>
        <v>In_a_relationship</v>
      </c>
      <c r="K401" t="str">
        <f>_xlfn.XLOOKUP($A:$A,Instagram_Usage_Lifestyle_Mini_!$A:$A,Instagram_Usage_Lifestyle_Mini_!$C:$K)</f>
        <v>Yes</v>
      </c>
      <c r="L401" t="str" cm="1">
        <f t="array" ref="L401">_xlfn.IFS(C401&lt;18,"Under_18",C401&lt;=25,"Youth",C401&lt;=35,"Young_Adults",C401&lt;=45,"Mid_Adults",TRUE,"Seniors")</f>
        <v>Young_Adults</v>
      </c>
    </row>
    <row r="402" spans="1:12" x14ac:dyDescent="0.2">
      <c r="A402">
        <v>401</v>
      </c>
      <c r="B402" t="str">
        <f>_xlfn.XLOOKUP(A402,Instagram_Usage_Lifestyle_Mini_!A402,Instagram_Usage_Lifestyle_Mini_!B402,1)</f>
        <v>Instagram</v>
      </c>
      <c r="C402">
        <f>_xlfn.XLOOKUP($A:$A,Instagram_Usage_Lifestyle_Mini_!$A:$A,Instagram_Usage_Lifestyle_Mini_!$C:$K)</f>
        <v>44</v>
      </c>
      <c r="D402" t="str">
        <f>_xlfn.XLOOKUP($A:$A,Instagram_Usage_Lifestyle_Mini_!$A:$A,Instagram_Usage_Lifestyle_Mini_!$C:$K)</f>
        <v>Female</v>
      </c>
      <c r="E402" t="str">
        <f>_xlfn.XLOOKUP($A:$A,Instagram_Usage_Lifestyle_Mini_!$A:$A,Instagram_Usage_Lifestyle_Mini_!$C:$K)</f>
        <v>India</v>
      </c>
      <c r="F402" t="str">
        <f>_xlfn.XLOOKUP($A:$A,Instagram_Usage_Lifestyle_Mini_!$A:$A,Instagram_Usage_Lifestyle_Mini_!$C:$K)</f>
        <v>Urban</v>
      </c>
      <c r="G402" t="str">
        <f>_xlfn.XLOOKUP($A:$A,Instagram_Usage_Lifestyle_Mini_!$A:$A,Instagram_Usage_Lifestyle_Mini_!$C:$K)</f>
        <v>High</v>
      </c>
      <c r="H402" t="str">
        <f>_xlfn.XLOOKUP($A:$A,Instagram_Usage_Lifestyle_Mini_!$A:$A,Instagram_Usage_Lifestyle_Mini_!$C:$K)</f>
        <v>Full_time_employed</v>
      </c>
      <c r="I402" t="str">
        <f>_xlfn.XLOOKUP($A:$A,Instagram_Usage_Lifestyle_Mini_!$A:$A,Instagram_Usage_Lifestyle_Mini_!$C:$K)</f>
        <v>Bachelors_degree</v>
      </c>
      <c r="J402" t="str">
        <f>_xlfn.XLOOKUP($A:$A,Instagram_Usage_Lifestyle_Mini_!$A:$A,Instagram_Usage_Lifestyle_Mini_!$C:$K)</f>
        <v>Married</v>
      </c>
      <c r="K402" t="str">
        <f>_xlfn.XLOOKUP($A:$A,Instagram_Usage_Lifestyle_Mini_!$A:$A,Instagram_Usage_Lifestyle_Mini_!$C:$K)</f>
        <v>No</v>
      </c>
      <c r="L402" t="str" cm="1">
        <f t="array" ref="L402">_xlfn.IFS(C402&lt;18,"Under_18",C402&lt;=25,"Youth",C402&lt;=35,"Young_Adults",C402&lt;=45,"Mid_Adults",TRUE,"Seniors")</f>
        <v>Mid_Adults</v>
      </c>
    </row>
    <row r="403" spans="1:12" x14ac:dyDescent="0.2">
      <c r="A403">
        <v>402</v>
      </c>
      <c r="B403" t="str">
        <f>_xlfn.XLOOKUP(A403,Instagram_Usage_Lifestyle_Mini_!A403,Instagram_Usage_Lifestyle_Mini_!B403,1)</f>
        <v>Instagram</v>
      </c>
      <c r="C403">
        <f>_xlfn.XLOOKUP($A:$A,Instagram_Usage_Lifestyle_Mini_!$A:$A,Instagram_Usage_Lifestyle_Mini_!$C:$K)</f>
        <v>35</v>
      </c>
      <c r="D403" t="str">
        <f>_xlfn.XLOOKUP($A:$A,Instagram_Usage_Lifestyle_Mini_!$A:$A,Instagram_Usage_Lifestyle_Mini_!$C:$K)</f>
        <v>Female</v>
      </c>
      <c r="E403" t="str">
        <f>_xlfn.XLOOKUP($A:$A,Instagram_Usage_Lifestyle_Mini_!$A:$A,Instagram_Usage_Lifestyle_Mini_!$C:$K)</f>
        <v>United _Kingdom</v>
      </c>
      <c r="F403" t="str">
        <f>_xlfn.XLOOKUP($A:$A,Instagram_Usage_Lifestyle_Mini_!$A:$A,Instagram_Usage_Lifestyle_Mini_!$C:$K)</f>
        <v>Urban</v>
      </c>
      <c r="G403" t="str">
        <f>_xlfn.XLOOKUP($A:$A,Instagram_Usage_Lifestyle_Mini_!$A:$A,Instagram_Usage_Lifestyle_Mini_!$C:$K)</f>
        <v>Middle</v>
      </c>
      <c r="H403" t="str">
        <f>_xlfn.XLOOKUP($A:$A,Instagram_Usage_Lifestyle_Mini_!$A:$A,Instagram_Usage_Lifestyle_Mini_!$C:$K)</f>
        <v>Full_time_employed</v>
      </c>
      <c r="I403" t="str">
        <f>_xlfn.XLOOKUP($A:$A,Instagram_Usage_Lifestyle_Mini_!$A:$A,Instagram_Usage_Lifestyle_Mini_!$C:$K)</f>
        <v>Bachelors_degree</v>
      </c>
      <c r="J403" t="str">
        <f>_xlfn.XLOOKUP($A:$A,Instagram_Usage_Lifestyle_Mini_!$A:$A,Instagram_Usage_Lifestyle_Mini_!$C:$K)</f>
        <v>Divorced</v>
      </c>
      <c r="K403" t="str">
        <f>_xlfn.XLOOKUP($A:$A,Instagram_Usage_Lifestyle_Mini_!$A:$A,Instagram_Usage_Lifestyle_Mini_!$C:$K)</f>
        <v>No</v>
      </c>
      <c r="L403" t="str" cm="1">
        <f t="array" ref="L403">_xlfn.IFS(C403&lt;18,"Under_18",C403&lt;=25,"Youth",C403&lt;=35,"Young_Adults",C403&lt;=45,"Mid_Adults",TRUE,"Seniors")</f>
        <v>Young_Adults</v>
      </c>
    </row>
    <row r="404" spans="1:12" x14ac:dyDescent="0.2">
      <c r="A404">
        <v>403</v>
      </c>
      <c r="B404" t="str">
        <f>_xlfn.XLOOKUP(A404,Instagram_Usage_Lifestyle_Mini_!A404,Instagram_Usage_Lifestyle_Mini_!B404,1)</f>
        <v>Instagram</v>
      </c>
      <c r="C404">
        <f>_xlfn.XLOOKUP($A:$A,Instagram_Usage_Lifestyle_Mini_!$A:$A,Instagram_Usage_Lifestyle_Mini_!$C:$K)</f>
        <v>45</v>
      </c>
      <c r="D404" t="str">
        <f>_xlfn.XLOOKUP($A:$A,Instagram_Usage_Lifestyle_Mini_!$A:$A,Instagram_Usage_Lifestyle_Mini_!$C:$K)</f>
        <v>Female</v>
      </c>
      <c r="E404" t="str">
        <f>_xlfn.XLOOKUP($A:$A,Instagram_Usage_Lifestyle_Mini_!$A:$A,Instagram_Usage_Lifestyle_Mini_!$C:$K)</f>
        <v>India</v>
      </c>
      <c r="F404" t="str">
        <f>_xlfn.XLOOKUP($A:$A,Instagram_Usage_Lifestyle_Mini_!$A:$A,Instagram_Usage_Lifestyle_Mini_!$C:$K)</f>
        <v>Suburban</v>
      </c>
      <c r="G404" t="str">
        <f>_xlfn.XLOOKUP($A:$A,Instagram_Usage_Lifestyle_Mini_!$A:$A,Instagram_Usage_Lifestyle_Mini_!$C:$K)</f>
        <v>Upper_middle</v>
      </c>
      <c r="H404" t="str">
        <f>_xlfn.XLOOKUP($A:$A,Instagram_Usage_Lifestyle_Mini_!$A:$A,Instagram_Usage_Lifestyle_Mini_!$C:$K)</f>
        <v>Student</v>
      </c>
      <c r="I404" t="str">
        <f>_xlfn.XLOOKUP($A:$A,Instagram_Usage_Lifestyle_Mini_!$A:$A,Instagram_Usage_Lifestyle_Mini_!$C:$K)</f>
        <v>Bachelors_degree</v>
      </c>
      <c r="J404" t="str">
        <f>_xlfn.XLOOKUP($A:$A,Instagram_Usage_Lifestyle_Mini_!$A:$A,Instagram_Usage_Lifestyle_Mini_!$C:$K)</f>
        <v>Single</v>
      </c>
      <c r="K404" t="str">
        <f>_xlfn.XLOOKUP($A:$A,Instagram_Usage_Lifestyle_Mini_!$A:$A,Instagram_Usage_Lifestyle_Mini_!$C:$K)</f>
        <v>No</v>
      </c>
      <c r="L404" t="str" cm="1">
        <f t="array" ref="L404">_xlfn.IFS(C404&lt;18,"Under_18",C404&lt;=25,"Youth",C404&lt;=35,"Young_Adults",C404&lt;=45,"Mid_Adults",TRUE,"Seniors")</f>
        <v>Mid_Adults</v>
      </c>
    </row>
    <row r="405" spans="1:12" x14ac:dyDescent="0.2">
      <c r="A405">
        <v>404</v>
      </c>
      <c r="B405" t="str">
        <f>_xlfn.XLOOKUP(A405,Instagram_Usage_Lifestyle_Mini_!A405,Instagram_Usage_Lifestyle_Mini_!B405,1)</f>
        <v>Instagram</v>
      </c>
      <c r="C405">
        <f>_xlfn.XLOOKUP($A:$A,Instagram_Usage_Lifestyle_Mini_!$A:$A,Instagram_Usage_Lifestyle_Mini_!$C:$K)</f>
        <v>15</v>
      </c>
      <c r="D405" t="str">
        <f>_xlfn.XLOOKUP($A:$A,Instagram_Usage_Lifestyle_Mini_!$A:$A,Instagram_Usage_Lifestyle_Mini_!$C:$K)</f>
        <v>Male</v>
      </c>
      <c r="E405" t="str">
        <f>_xlfn.XLOOKUP($A:$A,Instagram_Usage_Lifestyle_Mini_!$A:$A,Instagram_Usage_Lifestyle_Mini_!$C:$K)</f>
        <v>United_States</v>
      </c>
      <c r="F405" t="str">
        <f>_xlfn.XLOOKUP($A:$A,Instagram_Usage_Lifestyle_Mini_!$A:$A,Instagram_Usage_Lifestyle_Mini_!$C:$K)</f>
        <v>Urban</v>
      </c>
      <c r="G405" t="str">
        <f>_xlfn.XLOOKUP($A:$A,Instagram_Usage_Lifestyle_Mini_!$A:$A,Instagram_Usage_Lifestyle_Mini_!$C:$K)</f>
        <v>Middle</v>
      </c>
      <c r="H405" t="str">
        <f>_xlfn.XLOOKUP($A:$A,Instagram_Usage_Lifestyle_Mini_!$A:$A,Instagram_Usage_Lifestyle_Mini_!$C:$K)</f>
        <v>Student</v>
      </c>
      <c r="I405" t="str">
        <f>_xlfn.XLOOKUP($A:$A,Instagram_Usage_Lifestyle_Mini_!$A:$A,Instagram_Usage_Lifestyle_Mini_!$C:$K)</f>
        <v>Some_college</v>
      </c>
      <c r="J405" t="str">
        <f>_xlfn.XLOOKUP($A:$A,Instagram_Usage_Lifestyle_Mini_!$A:$A,Instagram_Usage_Lifestyle_Mini_!$C:$K)</f>
        <v>In_a_relationship</v>
      </c>
      <c r="K405" t="str">
        <f>_xlfn.XLOOKUP($A:$A,Instagram_Usage_Lifestyle_Mini_!$A:$A,Instagram_Usage_Lifestyle_Mini_!$C:$K)</f>
        <v>No</v>
      </c>
      <c r="L405" t="str" cm="1">
        <f t="array" ref="L405">_xlfn.IFS(C405&lt;18,"Under_18",C405&lt;=25,"Youth",C405&lt;=35,"Young_Adults",C405&lt;=45,"Mid_Adults",TRUE,"Seniors")</f>
        <v>Under_18</v>
      </c>
    </row>
    <row r="406" spans="1:12" x14ac:dyDescent="0.2">
      <c r="A406">
        <v>405</v>
      </c>
      <c r="B406" t="str">
        <f>_xlfn.XLOOKUP(A406,Instagram_Usage_Lifestyle_Mini_!A406,Instagram_Usage_Lifestyle_Mini_!B406,1)</f>
        <v>Instagram</v>
      </c>
      <c r="C406">
        <f>_xlfn.XLOOKUP($A:$A,Instagram_Usage_Lifestyle_Mini_!$A:$A,Instagram_Usage_Lifestyle_Mini_!$C:$K)</f>
        <v>30</v>
      </c>
      <c r="D406" t="str">
        <f>_xlfn.XLOOKUP($A:$A,Instagram_Usage_Lifestyle_Mini_!$A:$A,Instagram_Usage_Lifestyle_Mini_!$C:$K)</f>
        <v>Male</v>
      </c>
      <c r="E406" t="str">
        <f>_xlfn.XLOOKUP($A:$A,Instagram_Usage_Lifestyle_Mini_!$A:$A,Instagram_Usage_Lifestyle_Mini_!$C:$K)</f>
        <v>Brazil</v>
      </c>
      <c r="F406" t="str">
        <f>_xlfn.XLOOKUP($A:$A,Instagram_Usage_Lifestyle_Mini_!$A:$A,Instagram_Usage_Lifestyle_Mini_!$C:$K)</f>
        <v>Urban</v>
      </c>
      <c r="G406" t="str">
        <f>_xlfn.XLOOKUP($A:$A,Instagram_Usage_Lifestyle_Mini_!$A:$A,Instagram_Usage_Lifestyle_Mini_!$C:$K)</f>
        <v>Middle</v>
      </c>
      <c r="H406" t="str">
        <f>_xlfn.XLOOKUP($A:$A,Instagram_Usage_Lifestyle_Mini_!$A:$A,Instagram_Usage_Lifestyle_Mini_!$C:$K)</f>
        <v>Student</v>
      </c>
      <c r="I406" t="str">
        <f>_xlfn.XLOOKUP($A:$A,Instagram_Usage_Lifestyle_Mini_!$A:$A,Instagram_Usage_Lifestyle_Mini_!$C:$K)</f>
        <v>High_school</v>
      </c>
      <c r="J406" t="str">
        <f>_xlfn.XLOOKUP($A:$A,Instagram_Usage_Lifestyle_Mini_!$A:$A,Instagram_Usage_Lifestyle_Mini_!$C:$K)</f>
        <v>In_a_relationship</v>
      </c>
      <c r="K406" t="str">
        <f>_xlfn.XLOOKUP($A:$A,Instagram_Usage_Lifestyle_Mini_!$A:$A,Instagram_Usage_Lifestyle_Mini_!$C:$K)</f>
        <v>No</v>
      </c>
      <c r="L406" t="str" cm="1">
        <f t="array" ref="L406">_xlfn.IFS(C406&lt;18,"Under_18",C406&lt;=25,"Youth",C406&lt;=35,"Young_Adults",C406&lt;=45,"Mid_Adults",TRUE,"Seniors")</f>
        <v>Young_Adults</v>
      </c>
    </row>
    <row r="407" spans="1:12" x14ac:dyDescent="0.2">
      <c r="A407">
        <v>406</v>
      </c>
      <c r="B407" t="str">
        <f>_xlfn.XLOOKUP(A407,Instagram_Usage_Lifestyle_Mini_!A407,Instagram_Usage_Lifestyle_Mini_!B407,1)</f>
        <v>Instagram</v>
      </c>
      <c r="C407">
        <f>_xlfn.XLOOKUP($A:$A,Instagram_Usage_Lifestyle_Mini_!$A:$A,Instagram_Usage_Lifestyle_Mini_!$C:$K)</f>
        <v>37</v>
      </c>
      <c r="D407" t="str">
        <f>_xlfn.XLOOKUP($A:$A,Instagram_Usage_Lifestyle_Mini_!$A:$A,Instagram_Usage_Lifestyle_Mini_!$C:$K)</f>
        <v>Female</v>
      </c>
      <c r="E407" t="str">
        <f>_xlfn.XLOOKUP($A:$A,Instagram_Usage_Lifestyle_Mini_!$A:$A,Instagram_Usage_Lifestyle_Mini_!$C:$K)</f>
        <v>Australia</v>
      </c>
      <c r="F407" t="str">
        <f>_xlfn.XLOOKUP($A:$A,Instagram_Usage_Lifestyle_Mini_!$A:$A,Instagram_Usage_Lifestyle_Mini_!$C:$K)</f>
        <v>Urban</v>
      </c>
      <c r="G407" t="str">
        <f>_xlfn.XLOOKUP($A:$A,Instagram_Usage_Lifestyle_Mini_!$A:$A,Instagram_Usage_Lifestyle_Mini_!$C:$K)</f>
        <v>Low</v>
      </c>
      <c r="H407" t="str">
        <f>_xlfn.XLOOKUP($A:$A,Instagram_Usage_Lifestyle_Mini_!$A:$A,Instagram_Usage_Lifestyle_Mini_!$C:$K)</f>
        <v>Full_time_employed</v>
      </c>
      <c r="I407" t="str">
        <f>_xlfn.XLOOKUP($A:$A,Instagram_Usage_Lifestyle_Mini_!$A:$A,Instagram_Usage_Lifestyle_Mini_!$C:$K)</f>
        <v>Bachelors_degree</v>
      </c>
      <c r="J407" t="str">
        <f>_xlfn.XLOOKUP($A:$A,Instagram_Usage_Lifestyle_Mini_!$A:$A,Instagram_Usage_Lifestyle_Mini_!$C:$K)</f>
        <v>Married</v>
      </c>
      <c r="K407" t="str">
        <f>_xlfn.XLOOKUP($A:$A,Instagram_Usage_Lifestyle_Mini_!$A:$A,Instagram_Usage_Lifestyle_Mini_!$C:$K)</f>
        <v>Yes</v>
      </c>
      <c r="L407" t="str" cm="1">
        <f t="array" ref="L407">_xlfn.IFS(C407&lt;18,"Under_18",C407&lt;=25,"Youth",C407&lt;=35,"Young_Adults",C407&lt;=45,"Mid_Adults",TRUE,"Seniors")</f>
        <v>Mid_Adults</v>
      </c>
    </row>
    <row r="408" spans="1:12" x14ac:dyDescent="0.2">
      <c r="A408">
        <v>407</v>
      </c>
      <c r="B408" t="str">
        <f>_xlfn.XLOOKUP(A408,Instagram_Usage_Lifestyle_Mini_!A408,Instagram_Usage_Lifestyle_Mini_!B408,1)</f>
        <v>Instagram</v>
      </c>
      <c r="C408">
        <f>_xlfn.XLOOKUP($A:$A,Instagram_Usage_Lifestyle_Mini_!$A:$A,Instagram_Usage_Lifestyle_Mini_!$C:$K)</f>
        <v>54</v>
      </c>
      <c r="D408" t="str">
        <f>_xlfn.XLOOKUP($A:$A,Instagram_Usage_Lifestyle_Mini_!$A:$A,Instagram_Usage_Lifestyle_Mini_!$C:$K)</f>
        <v>Male</v>
      </c>
      <c r="E408" t="str">
        <f>_xlfn.XLOOKUP($A:$A,Instagram_Usage_Lifestyle_Mini_!$A:$A,Instagram_Usage_Lifestyle_Mini_!$C:$K)</f>
        <v>Germany</v>
      </c>
      <c r="F408" t="str">
        <f>_xlfn.XLOOKUP($A:$A,Instagram_Usage_Lifestyle_Mini_!$A:$A,Instagram_Usage_Lifestyle_Mini_!$C:$K)</f>
        <v>Rural</v>
      </c>
      <c r="G408" t="str">
        <f>_xlfn.XLOOKUP($A:$A,Instagram_Usage_Lifestyle_Mini_!$A:$A,Instagram_Usage_Lifestyle_Mini_!$C:$K)</f>
        <v>Lower_middle</v>
      </c>
      <c r="H408" t="str">
        <f>_xlfn.XLOOKUP($A:$A,Instagram_Usage_Lifestyle_Mini_!$A:$A,Instagram_Usage_Lifestyle_Mini_!$C:$K)</f>
        <v>Full_time_employed</v>
      </c>
      <c r="I408" t="str">
        <f>_xlfn.XLOOKUP($A:$A,Instagram_Usage_Lifestyle_Mini_!$A:$A,Instagram_Usage_Lifestyle_Mini_!$C:$K)</f>
        <v>Bachelors_degree</v>
      </c>
      <c r="J408" t="str">
        <f>_xlfn.XLOOKUP($A:$A,Instagram_Usage_Lifestyle_Mini_!$A:$A,Instagram_Usage_Lifestyle_Mini_!$C:$K)</f>
        <v>Single</v>
      </c>
      <c r="K408" t="str">
        <f>_xlfn.XLOOKUP($A:$A,Instagram_Usage_Lifestyle_Mini_!$A:$A,Instagram_Usage_Lifestyle_Mini_!$C:$K)</f>
        <v>No</v>
      </c>
      <c r="L408" t="str" cm="1">
        <f t="array" ref="L408">_xlfn.IFS(C408&lt;18,"Under_18",C408&lt;=25,"Youth",C408&lt;=35,"Young_Adults",C408&lt;=45,"Mid_Adults",TRUE,"Seniors")</f>
        <v>Seniors</v>
      </c>
    </row>
    <row r="409" spans="1:12" x14ac:dyDescent="0.2">
      <c r="A409">
        <v>408</v>
      </c>
      <c r="B409" t="str">
        <f>_xlfn.XLOOKUP(A409,Instagram_Usage_Lifestyle_Mini_!A409,Instagram_Usage_Lifestyle_Mini_!B409,1)</f>
        <v>Instagram</v>
      </c>
      <c r="C409">
        <f>_xlfn.XLOOKUP($A:$A,Instagram_Usage_Lifestyle_Mini_!$A:$A,Instagram_Usage_Lifestyle_Mini_!$C:$K)</f>
        <v>43</v>
      </c>
      <c r="D409" t="str">
        <f>_xlfn.XLOOKUP($A:$A,Instagram_Usage_Lifestyle_Mini_!$A:$A,Instagram_Usage_Lifestyle_Mini_!$C:$K)</f>
        <v>Male</v>
      </c>
      <c r="E409" t="str">
        <f>_xlfn.XLOOKUP($A:$A,Instagram_Usage_Lifestyle_Mini_!$A:$A,Instagram_Usage_Lifestyle_Mini_!$C:$K)</f>
        <v>United_States</v>
      </c>
      <c r="F409" t="str">
        <f>_xlfn.XLOOKUP($A:$A,Instagram_Usage_Lifestyle_Mini_!$A:$A,Instagram_Usage_Lifestyle_Mini_!$C:$K)</f>
        <v>Urban</v>
      </c>
      <c r="G409" t="str">
        <f>_xlfn.XLOOKUP($A:$A,Instagram_Usage_Lifestyle_Mini_!$A:$A,Instagram_Usage_Lifestyle_Mini_!$C:$K)</f>
        <v>Low</v>
      </c>
      <c r="H409" t="str">
        <f>_xlfn.XLOOKUP($A:$A,Instagram_Usage_Lifestyle_Mini_!$A:$A,Instagram_Usage_Lifestyle_Mini_!$C:$K)</f>
        <v>Student</v>
      </c>
      <c r="I409" t="str">
        <f>_xlfn.XLOOKUP($A:$A,Instagram_Usage_Lifestyle_Mini_!$A:$A,Instagram_Usage_Lifestyle_Mini_!$C:$K)</f>
        <v>Masters_degree</v>
      </c>
      <c r="J409" t="str">
        <f>_xlfn.XLOOKUP($A:$A,Instagram_Usage_Lifestyle_Mini_!$A:$A,Instagram_Usage_Lifestyle_Mini_!$C:$K)</f>
        <v>In_a_relationship</v>
      </c>
      <c r="K409" t="str">
        <f>_xlfn.XLOOKUP($A:$A,Instagram_Usage_Lifestyle_Mini_!$A:$A,Instagram_Usage_Lifestyle_Mini_!$C:$K)</f>
        <v>Yes</v>
      </c>
      <c r="L409" t="str" cm="1">
        <f t="array" ref="L409">_xlfn.IFS(C409&lt;18,"Under_18",C409&lt;=25,"Youth",C409&lt;=35,"Young_Adults",C409&lt;=45,"Mid_Adults",TRUE,"Seniors")</f>
        <v>Mid_Adults</v>
      </c>
    </row>
    <row r="410" spans="1:12" x14ac:dyDescent="0.2">
      <c r="A410">
        <v>409</v>
      </c>
      <c r="B410" t="str">
        <f>_xlfn.XLOOKUP(A410,Instagram_Usage_Lifestyle_Mini_!A410,Instagram_Usage_Lifestyle_Mini_!B410,1)</f>
        <v>Instagram</v>
      </c>
      <c r="C410">
        <f>_xlfn.XLOOKUP($A:$A,Instagram_Usage_Lifestyle_Mini_!$A:$A,Instagram_Usage_Lifestyle_Mini_!$C:$K)</f>
        <v>15</v>
      </c>
      <c r="D410" t="str">
        <f>_xlfn.XLOOKUP($A:$A,Instagram_Usage_Lifestyle_Mini_!$A:$A,Instagram_Usage_Lifestyle_Mini_!$C:$K)</f>
        <v>Male</v>
      </c>
      <c r="E410" t="str">
        <f>_xlfn.XLOOKUP($A:$A,Instagram_Usage_Lifestyle_Mini_!$A:$A,Instagram_Usage_Lifestyle_Mini_!$C:$K)</f>
        <v>India</v>
      </c>
      <c r="F410" t="str">
        <f>_xlfn.XLOOKUP($A:$A,Instagram_Usage_Lifestyle_Mini_!$A:$A,Instagram_Usage_Lifestyle_Mini_!$C:$K)</f>
        <v>Urban</v>
      </c>
      <c r="G410" t="str">
        <f>_xlfn.XLOOKUP($A:$A,Instagram_Usage_Lifestyle_Mini_!$A:$A,Instagram_Usage_Lifestyle_Mini_!$C:$K)</f>
        <v>Low</v>
      </c>
      <c r="H410" t="str">
        <f>_xlfn.XLOOKUP($A:$A,Instagram_Usage_Lifestyle_Mini_!$A:$A,Instagram_Usage_Lifestyle_Mini_!$C:$K)</f>
        <v>Full_time_employed</v>
      </c>
      <c r="I410" t="str">
        <f>_xlfn.XLOOKUP($A:$A,Instagram_Usage_Lifestyle_Mini_!$A:$A,Instagram_Usage_Lifestyle_Mini_!$C:$K)</f>
        <v>Some_college</v>
      </c>
      <c r="J410" t="str">
        <f>_xlfn.XLOOKUP($A:$A,Instagram_Usage_Lifestyle_Mini_!$A:$A,Instagram_Usage_Lifestyle_Mini_!$C:$K)</f>
        <v>Married</v>
      </c>
      <c r="K410" t="str">
        <f>_xlfn.XLOOKUP($A:$A,Instagram_Usage_Lifestyle_Mini_!$A:$A,Instagram_Usage_Lifestyle_Mini_!$C:$K)</f>
        <v>No</v>
      </c>
      <c r="L410" t="str" cm="1">
        <f t="array" ref="L410">_xlfn.IFS(C410&lt;18,"Under_18",C410&lt;=25,"Youth",C410&lt;=35,"Young_Adults",C410&lt;=45,"Mid_Adults",TRUE,"Seniors")</f>
        <v>Under_18</v>
      </c>
    </row>
    <row r="411" spans="1:12" x14ac:dyDescent="0.2">
      <c r="A411">
        <v>410</v>
      </c>
      <c r="B411" t="str">
        <f>_xlfn.XLOOKUP(A411,Instagram_Usage_Lifestyle_Mini_!A411,Instagram_Usage_Lifestyle_Mini_!B411,1)</f>
        <v>Instagram</v>
      </c>
      <c r="C411">
        <f>_xlfn.XLOOKUP($A:$A,Instagram_Usage_Lifestyle_Mini_!$A:$A,Instagram_Usage_Lifestyle_Mini_!$C:$K)</f>
        <v>52</v>
      </c>
      <c r="D411" t="str">
        <f>_xlfn.XLOOKUP($A:$A,Instagram_Usage_Lifestyle_Mini_!$A:$A,Instagram_Usage_Lifestyle_Mini_!$C:$K)</f>
        <v>Female</v>
      </c>
      <c r="E411" t="str">
        <f>_xlfn.XLOOKUP($A:$A,Instagram_Usage_Lifestyle_Mini_!$A:$A,Instagram_Usage_Lifestyle_Mini_!$C:$K)</f>
        <v>Other</v>
      </c>
      <c r="F411" t="str">
        <f>_xlfn.XLOOKUP($A:$A,Instagram_Usage_Lifestyle_Mini_!$A:$A,Instagram_Usage_Lifestyle_Mini_!$C:$K)</f>
        <v>Suburban</v>
      </c>
      <c r="G411" t="str">
        <f>_xlfn.XLOOKUP($A:$A,Instagram_Usage_Lifestyle_Mini_!$A:$A,Instagram_Usage_Lifestyle_Mini_!$C:$K)</f>
        <v>Upper_middle</v>
      </c>
      <c r="H411" t="str">
        <f>_xlfn.XLOOKUP($A:$A,Instagram_Usage_Lifestyle_Mini_!$A:$A,Instagram_Usage_Lifestyle_Mini_!$C:$K)</f>
        <v>Student</v>
      </c>
      <c r="I411" t="str">
        <f>_xlfn.XLOOKUP($A:$A,Instagram_Usage_Lifestyle_Mini_!$A:$A,Instagram_Usage_Lifestyle_Mini_!$C:$K)</f>
        <v>High_school</v>
      </c>
      <c r="J411" t="str">
        <f>_xlfn.XLOOKUP($A:$A,Instagram_Usage_Lifestyle_Mini_!$A:$A,Instagram_Usage_Lifestyle_Mini_!$C:$K)</f>
        <v>Single</v>
      </c>
      <c r="K411" t="str">
        <f>_xlfn.XLOOKUP($A:$A,Instagram_Usage_Lifestyle_Mini_!$A:$A,Instagram_Usage_Lifestyle_Mini_!$C:$K)</f>
        <v>No</v>
      </c>
      <c r="L411" t="str" cm="1">
        <f t="array" ref="L411">_xlfn.IFS(C411&lt;18,"Under_18",C411&lt;=25,"Youth",C411&lt;=35,"Young_Adults",C411&lt;=45,"Mid_Adults",TRUE,"Seniors")</f>
        <v>Seniors</v>
      </c>
    </row>
    <row r="412" spans="1:12" x14ac:dyDescent="0.2">
      <c r="A412">
        <v>411</v>
      </c>
      <c r="B412" t="str">
        <f>_xlfn.XLOOKUP(A412,Instagram_Usage_Lifestyle_Mini_!A412,Instagram_Usage_Lifestyle_Mini_!B412,1)</f>
        <v>Instagram</v>
      </c>
      <c r="C412">
        <f>_xlfn.XLOOKUP($A:$A,Instagram_Usage_Lifestyle_Mini_!$A:$A,Instagram_Usage_Lifestyle_Mini_!$C:$K)</f>
        <v>58</v>
      </c>
      <c r="D412" t="str">
        <f>_xlfn.XLOOKUP($A:$A,Instagram_Usage_Lifestyle_Mini_!$A:$A,Instagram_Usage_Lifestyle_Mini_!$C:$K)</f>
        <v>Male</v>
      </c>
      <c r="E412" t="str">
        <f>_xlfn.XLOOKUP($A:$A,Instagram_Usage_Lifestyle_Mini_!$A:$A,Instagram_Usage_Lifestyle_Mini_!$C:$K)</f>
        <v>India</v>
      </c>
      <c r="F412" t="str">
        <f>_xlfn.XLOOKUP($A:$A,Instagram_Usage_Lifestyle_Mini_!$A:$A,Instagram_Usage_Lifestyle_Mini_!$C:$K)</f>
        <v>Urban</v>
      </c>
      <c r="G412" t="str">
        <f>_xlfn.XLOOKUP($A:$A,Instagram_Usage_Lifestyle_Mini_!$A:$A,Instagram_Usage_Lifestyle_Mini_!$C:$K)</f>
        <v>Upper_middle</v>
      </c>
      <c r="H412" t="str">
        <f>_xlfn.XLOOKUP($A:$A,Instagram_Usage_Lifestyle_Mini_!$A:$A,Instagram_Usage_Lifestyle_Mini_!$C:$K)</f>
        <v>Freelancer</v>
      </c>
      <c r="I412" t="str">
        <f>_xlfn.XLOOKUP($A:$A,Instagram_Usage_Lifestyle_Mini_!$A:$A,Instagram_Usage_Lifestyle_Mini_!$C:$K)</f>
        <v>Some_college</v>
      </c>
      <c r="J412" t="str">
        <f>_xlfn.XLOOKUP($A:$A,Instagram_Usage_Lifestyle_Mini_!$A:$A,Instagram_Usage_Lifestyle_Mini_!$C:$K)</f>
        <v>Single</v>
      </c>
      <c r="K412" t="str">
        <f>_xlfn.XLOOKUP($A:$A,Instagram_Usage_Lifestyle_Mini_!$A:$A,Instagram_Usage_Lifestyle_Mini_!$C:$K)</f>
        <v>Yes</v>
      </c>
      <c r="L412" t="str" cm="1">
        <f t="array" ref="L412">_xlfn.IFS(C412&lt;18,"Under_18",C412&lt;=25,"Youth",C412&lt;=35,"Young_Adults",C412&lt;=45,"Mid_Adults",TRUE,"Seniors")</f>
        <v>Seniors</v>
      </c>
    </row>
    <row r="413" spans="1:12" x14ac:dyDescent="0.2">
      <c r="A413">
        <v>412</v>
      </c>
      <c r="B413" t="str">
        <f>_xlfn.XLOOKUP(A413,Instagram_Usage_Lifestyle_Mini_!A413,Instagram_Usage_Lifestyle_Mini_!B413,1)</f>
        <v>Instagram</v>
      </c>
      <c r="C413">
        <f>_xlfn.XLOOKUP($A:$A,Instagram_Usage_Lifestyle_Mini_!$A:$A,Instagram_Usage_Lifestyle_Mini_!$C:$K)</f>
        <v>36</v>
      </c>
      <c r="D413" t="str">
        <f>_xlfn.XLOOKUP($A:$A,Instagram_Usage_Lifestyle_Mini_!$A:$A,Instagram_Usage_Lifestyle_Mini_!$C:$K)</f>
        <v>Non_binary</v>
      </c>
      <c r="E413" t="str">
        <f>_xlfn.XLOOKUP($A:$A,Instagram_Usage_Lifestyle_Mini_!$A:$A,Instagram_Usage_Lifestyle_Mini_!$C:$K)</f>
        <v>United_States</v>
      </c>
      <c r="F413" t="str">
        <f>_xlfn.XLOOKUP($A:$A,Instagram_Usage_Lifestyle_Mini_!$A:$A,Instagram_Usage_Lifestyle_Mini_!$C:$K)</f>
        <v>Urban</v>
      </c>
      <c r="G413" t="str">
        <f>_xlfn.XLOOKUP($A:$A,Instagram_Usage_Lifestyle_Mini_!$A:$A,Instagram_Usage_Lifestyle_Mini_!$C:$K)</f>
        <v>Middle</v>
      </c>
      <c r="H413" t="str">
        <f>_xlfn.XLOOKUP($A:$A,Instagram_Usage_Lifestyle_Mini_!$A:$A,Instagram_Usage_Lifestyle_Mini_!$C:$K)</f>
        <v>Full_time_employed</v>
      </c>
      <c r="I413" t="str">
        <f>_xlfn.XLOOKUP($A:$A,Instagram_Usage_Lifestyle_Mini_!$A:$A,Instagram_Usage_Lifestyle_Mini_!$C:$K)</f>
        <v>Other</v>
      </c>
      <c r="J413" t="str">
        <f>_xlfn.XLOOKUP($A:$A,Instagram_Usage_Lifestyle_Mini_!$A:$A,Instagram_Usage_Lifestyle_Mini_!$C:$K)</f>
        <v>Married</v>
      </c>
      <c r="K413" t="str">
        <f>_xlfn.XLOOKUP($A:$A,Instagram_Usage_Lifestyle_Mini_!$A:$A,Instagram_Usage_Lifestyle_Mini_!$C:$K)</f>
        <v>No</v>
      </c>
      <c r="L413" t="str" cm="1">
        <f t="array" ref="L413">_xlfn.IFS(C413&lt;18,"Under_18",C413&lt;=25,"Youth",C413&lt;=35,"Young_Adults",C413&lt;=45,"Mid_Adults",TRUE,"Seniors")</f>
        <v>Mid_Adults</v>
      </c>
    </row>
    <row r="414" spans="1:12" x14ac:dyDescent="0.2">
      <c r="A414">
        <v>413</v>
      </c>
      <c r="B414" t="str">
        <f>_xlfn.XLOOKUP(A414,Instagram_Usage_Lifestyle_Mini_!A414,Instagram_Usage_Lifestyle_Mini_!B414,1)</f>
        <v>Instagram</v>
      </c>
      <c r="C414">
        <f>_xlfn.XLOOKUP($A:$A,Instagram_Usage_Lifestyle_Mini_!$A:$A,Instagram_Usage_Lifestyle_Mini_!$C:$K)</f>
        <v>62</v>
      </c>
      <c r="D414" t="str">
        <f>_xlfn.XLOOKUP($A:$A,Instagram_Usage_Lifestyle_Mini_!$A:$A,Instagram_Usage_Lifestyle_Mini_!$C:$K)</f>
        <v>Female</v>
      </c>
      <c r="E414" t="str">
        <f>_xlfn.XLOOKUP($A:$A,Instagram_Usage_Lifestyle_Mini_!$A:$A,Instagram_Usage_Lifestyle_Mini_!$C:$K)</f>
        <v>United _Kingdom</v>
      </c>
      <c r="F414" t="str">
        <f>_xlfn.XLOOKUP($A:$A,Instagram_Usage_Lifestyle_Mini_!$A:$A,Instagram_Usage_Lifestyle_Mini_!$C:$K)</f>
        <v>Urban</v>
      </c>
      <c r="G414" t="str">
        <f>_xlfn.XLOOKUP($A:$A,Instagram_Usage_Lifestyle_Mini_!$A:$A,Instagram_Usage_Lifestyle_Mini_!$C:$K)</f>
        <v>Lower_middle</v>
      </c>
      <c r="H414" t="str">
        <f>_xlfn.XLOOKUP($A:$A,Instagram_Usage_Lifestyle_Mini_!$A:$A,Instagram_Usage_Lifestyle_Mini_!$C:$K)</f>
        <v>Freelancer</v>
      </c>
      <c r="I414" t="str">
        <f>_xlfn.XLOOKUP($A:$A,Instagram_Usage_Lifestyle_Mini_!$A:$A,Instagram_Usage_Lifestyle_Mini_!$C:$K)</f>
        <v>High_school</v>
      </c>
      <c r="J414" t="str">
        <f>_xlfn.XLOOKUP($A:$A,Instagram_Usage_Lifestyle_Mini_!$A:$A,Instagram_Usage_Lifestyle_Mini_!$C:$K)</f>
        <v>In_a_relationship</v>
      </c>
      <c r="K414" t="str">
        <f>_xlfn.XLOOKUP($A:$A,Instagram_Usage_Lifestyle_Mini_!$A:$A,Instagram_Usage_Lifestyle_Mini_!$C:$K)</f>
        <v>No</v>
      </c>
      <c r="L414" t="str" cm="1">
        <f t="array" ref="L414">_xlfn.IFS(C414&lt;18,"Under_18",C414&lt;=25,"Youth",C414&lt;=35,"Young_Adults",C414&lt;=45,"Mid_Adults",TRUE,"Seniors")</f>
        <v>Seniors</v>
      </c>
    </row>
    <row r="415" spans="1:12" x14ac:dyDescent="0.2">
      <c r="A415">
        <v>414</v>
      </c>
      <c r="B415" t="str">
        <f>_xlfn.XLOOKUP(A415,Instagram_Usage_Lifestyle_Mini_!A415,Instagram_Usage_Lifestyle_Mini_!B415,1)</f>
        <v>Instagram</v>
      </c>
      <c r="C415">
        <f>_xlfn.XLOOKUP($A:$A,Instagram_Usage_Lifestyle_Mini_!$A:$A,Instagram_Usage_Lifestyle_Mini_!$C:$K)</f>
        <v>44</v>
      </c>
      <c r="D415" t="str">
        <f>_xlfn.XLOOKUP($A:$A,Instagram_Usage_Lifestyle_Mini_!$A:$A,Instagram_Usage_Lifestyle_Mini_!$C:$K)</f>
        <v>Female</v>
      </c>
      <c r="E415" t="str">
        <f>_xlfn.XLOOKUP($A:$A,Instagram_Usage_Lifestyle_Mini_!$A:$A,Instagram_Usage_Lifestyle_Mini_!$C:$K)</f>
        <v>Canada</v>
      </c>
      <c r="F415" t="str">
        <f>_xlfn.XLOOKUP($A:$A,Instagram_Usage_Lifestyle_Mini_!$A:$A,Instagram_Usage_Lifestyle_Mini_!$C:$K)</f>
        <v>Urban</v>
      </c>
      <c r="G415" t="str">
        <f>_xlfn.XLOOKUP($A:$A,Instagram_Usage_Lifestyle_Mini_!$A:$A,Instagram_Usage_Lifestyle_Mini_!$C:$K)</f>
        <v>Middle</v>
      </c>
      <c r="H415" t="str">
        <f>_xlfn.XLOOKUP($A:$A,Instagram_Usage_Lifestyle_Mini_!$A:$A,Instagram_Usage_Lifestyle_Mini_!$C:$K)</f>
        <v>Full_time_employed</v>
      </c>
      <c r="I415" t="str">
        <f>_xlfn.XLOOKUP($A:$A,Instagram_Usage_Lifestyle_Mini_!$A:$A,Instagram_Usage_Lifestyle_Mini_!$C:$K)</f>
        <v>High_school</v>
      </c>
      <c r="J415" t="str">
        <f>_xlfn.XLOOKUP($A:$A,Instagram_Usage_Lifestyle_Mini_!$A:$A,Instagram_Usage_Lifestyle_Mini_!$C:$K)</f>
        <v>Widowed</v>
      </c>
      <c r="K415" t="str">
        <f>_xlfn.XLOOKUP($A:$A,Instagram_Usage_Lifestyle_Mini_!$A:$A,Instagram_Usage_Lifestyle_Mini_!$C:$K)</f>
        <v>Yes</v>
      </c>
      <c r="L415" t="str" cm="1">
        <f t="array" ref="L415">_xlfn.IFS(C415&lt;18,"Under_18",C415&lt;=25,"Youth",C415&lt;=35,"Young_Adults",C415&lt;=45,"Mid_Adults",TRUE,"Seniors")</f>
        <v>Mid_Adults</v>
      </c>
    </row>
    <row r="416" spans="1:12" x14ac:dyDescent="0.2">
      <c r="A416">
        <v>415</v>
      </c>
      <c r="B416" t="str">
        <f>_xlfn.XLOOKUP(A416,Instagram_Usage_Lifestyle_Mini_!A416,Instagram_Usage_Lifestyle_Mini_!B416,1)</f>
        <v>Instagram</v>
      </c>
      <c r="C416">
        <f>_xlfn.XLOOKUP($A:$A,Instagram_Usage_Lifestyle_Mini_!$A:$A,Instagram_Usage_Lifestyle_Mini_!$C:$K)</f>
        <v>59</v>
      </c>
      <c r="D416" t="str">
        <f>_xlfn.XLOOKUP($A:$A,Instagram_Usage_Lifestyle_Mini_!$A:$A,Instagram_Usage_Lifestyle_Mini_!$C:$K)</f>
        <v>Male</v>
      </c>
      <c r="E416" t="str">
        <f>_xlfn.XLOOKUP($A:$A,Instagram_Usage_Lifestyle_Mini_!$A:$A,Instagram_Usage_Lifestyle_Mini_!$C:$K)</f>
        <v>United_States</v>
      </c>
      <c r="F416" t="str">
        <f>_xlfn.XLOOKUP($A:$A,Instagram_Usage_Lifestyle_Mini_!$A:$A,Instagram_Usage_Lifestyle_Mini_!$C:$K)</f>
        <v>Suburban</v>
      </c>
      <c r="G416" t="str">
        <f>_xlfn.XLOOKUP($A:$A,Instagram_Usage_Lifestyle_Mini_!$A:$A,Instagram_Usage_Lifestyle_Mini_!$C:$K)</f>
        <v>Upper_middle</v>
      </c>
      <c r="H416" t="str">
        <f>_xlfn.XLOOKUP($A:$A,Instagram_Usage_Lifestyle_Mini_!$A:$A,Instagram_Usage_Lifestyle_Mini_!$C:$K)</f>
        <v>Full_time_employed</v>
      </c>
      <c r="I416" t="str">
        <f>_xlfn.XLOOKUP($A:$A,Instagram_Usage_Lifestyle_Mini_!$A:$A,Instagram_Usage_Lifestyle_Mini_!$C:$K)</f>
        <v>Bachelors_degree</v>
      </c>
      <c r="J416" t="str">
        <f>_xlfn.XLOOKUP($A:$A,Instagram_Usage_Lifestyle_Mini_!$A:$A,Instagram_Usage_Lifestyle_Mini_!$C:$K)</f>
        <v>Married</v>
      </c>
      <c r="K416" t="str">
        <f>_xlfn.XLOOKUP($A:$A,Instagram_Usage_Lifestyle_Mini_!$A:$A,Instagram_Usage_Lifestyle_Mini_!$C:$K)</f>
        <v>No</v>
      </c>
      <c r="L416" t="str" cm="1">
        <f t="array" ref="L416">_xlfn.IFS(C416&lt;18,"Under_18",C416&lt;=25,"Youth",C416&lt;=35,"Young_Adults",C416&lt;=45,"Mid_Adults",TRUE,"Seniors")</f>
        <v>Seniors</v>
      </c>
    </row>
    <row r="417" spans="1:12" x14ac:dyDescent="0.2">
      <c r="A417">
        <v>416</v>
      </c>
      <c r="B417" t="str">
        <f>_xlfn.XLOOKUP(A417,Instagram_Usage_Lifestyle_Mini_!A417,Instagram_Usage_Lifestyle_Mini_!B417,1)</f>
        <v>Instagram</v>
      </c>
      <c r="C417">
        <f>_xlfn.XLOOKUP($A:$A,Instagram_Usage_Lifestyle_Mini_!$A:$A,Instagram_Usage_Lifestyle_Mini_!$C:$K)</f>
        <v>34</v>
      </c>
      <c r="D417" t="str">
        <f>_xlfn.XLOOKUP($A:$A,Instagram_Usage_Lifestyle_Mini_!$A:$A,Instagram_Usage_Lifestyle_Mini_!$C:$K)</f>
        <v>Male</v>
      </c>
      <c r="E417" t="str">
        <f>_xlfn.XLOOKUP($A:$A,Instagram_Usage_Lifestyle_Mini_!$A:$A,Instagram_Usage_Lifestyle_Mini_!$C:$K)</f>
        <v>Brazil</v>
      </c>
      <c r="F417" t="str">
        <f>_xlfn.XLOOKUP($A:$A,Instagram_Usage_Lifestyle_Mini_!$A:$A,Instagram_Usage_Lifestyle_Mini_!$C:$K)</f>
        <v>Urban</v>
      </c>
      <c r="G417" t="str">
        <f>_xlfn.XLOOKUP($A:$A,Instagram_Usage_Lifestyle_Mini_!$A:$A,Instagram_Usage_Lifestyle_Mini_!$C:$K)</f>
        <v>Lower_middle</v>
      </c>
      <c r="H417" t="str">
        <f>_xlfn.XLOOKUP($A:$A,Instagram_Usage_Lifestyle_Mini_!$A:$A,Instagram_Usage_Lifestyle_Mini_!$C:$K)</f>
        <v>Retired</v>
      </c>
      <c r="I417" t="str">
        <f>_xlfn.XLOOKUP($A:$A,Instagram_Usage_Lifestyle_Mini_!$A:$A,Instagram_Usage_Lifestyle_Mini_!$C:$K)</f>
        <v>Some_college</v>
      </c>
      <c r="J417" t="str">
        <f>_xlfn.XLOOKUP($A:$A,Instagram_Usage_Lifestyle_Mini_!$A:$A,Instagram_Usage_Lifestyle_Mini_!$C:$K)</f>
        <v>Single</v>
      </c>
      <c r="K417" t="str">
        <f>_xlfn.XLOOKUP($A:$A,Instagram_Usage_Lifestyle_Mini_!$A:$A,Instagram_Usage_Lifestyle_Mini_!$C:$K)</f>
        <v>No</v>
      </c>
      <c r="L417" t="str" cm="1">
        <f t="array" ref="L417">_xlfn.IFS(C417&lt;18,"Under_18",C417&lt;=25,"Youth",C417&lt;=35,"Young_Adults",C417&lt;=45,"Mid_Adults",TRUE,"Seniors")</f>
        <v>Young_Adults</v>
      </c>
    </row>
    <row r="418" spans="1:12" x14ac:dyDescent="0.2">
      <c r="A418">
        <v>417</v>
      </c>
      <c r="B418" t="str">
        <f>_xlfn.XLOOKUP(A418,Instagram_Usage_Lifestyle_Mini_!A418,Instagram_Usage_Lifestyle_Mini_!B418,1)</f>
        <v>Instagram</v>
      </c>
      <c r="C418">
        <f>_xlfn.XLOOKUP($A:$A,Instagram_Usage_Lifestyle_Mini_!$A:$A,Instagram_Usage_Lifestyle_Mini_!$C:$K)</f>
        <v>35</v>
      </c>
      <c r="D418" t="str">
        <f>_xlfn.XLOOKUP($A:$A,Instagram_Usage_Lifestyle_Mini_!$A:$A,Instagram_Usage_Lifestyle_Mini_!$C:$K)</f>
        <v>Male</v>
      </c>
      <c r="E418" t="str">
        <f>_xlfn.XLOOKUP($A:$A,Instagram_Usage_Lifestyle_Mini_!$A:$A,Instagram_Usage_Lifestyle_Mini_!$C:$K)</f>
        <v>Australia</v>
      </c>
      <c r="F418" t="str">
        <f>_xlfn.XLOOKUP($A:$A,Instagram_Usage_Lifestyle_Mini_!$A:$A,Instagram_Usage_Lifestyle_Mini_!$C:$K)</f>
        <v>Urban</v>
      </c>
      <c r="G418" t="str">
        <f>_xlfn.XLOOKUP($A:$A,Instagram_Usage_Lifestyle_Mini_!$A:$A,Instagram_Usage_Lifestyle_Mini_!$C:$K)</f>
        <v>Middle</v>
      </c>
      <c r="H418" t="str">
        <f>_xlfn.XLOOKUP($A:$A,Instagram_Usage_Lifestyle_Mini_!$A:$A,Instagram_Usage_Lifestyle_Mini_!$C:$K)</f>
        <v>Part_time</v>
      </c>
      <c r="I418" t="str">
        <f>_xlfn.XLOOKUP($A:$A,Instagram_Usage_Lifestyle_Mini_!$A:$A,Instagram_Usage_Lifestyle_Mini_!$C:$K)</f>
        <v>Bachelors_degree</v>
      </c>
      <c r="J418" t="str">
        <f>_xlfn.XLOOKUP($A:$A,Instagram_Usage_Lifestyle_Mini_!$A:$A,Instagram_Usage_Lifestyle_Mini_!$C:$K)</f>
        <v>Married</v>
      </c>
      <c r="K418" t="str">
        <f>_xlfn.XLOOKUP($A:$A,Instagram_Usage_Lifestyle_Mini_!$A:$A,Instagram_Usage_Lifestyle_Mini_!$C:$K)</f>
        <v>Yes</v>
      </c>
      <c r="L418" t="str" cm="1">
        <f t="array" ref="L418">_xlfn.IFS(C418&lt;18,"Under_18",C418&lt;=25,"Youth",C418&lt;=35,"Young_Adults",C418&lt;=45,"Mid_Adults",TRUE,"Seniors")</f>
        <v>Young_Adults</v>
      </c>
    </row>
    <row r="419" spans="1:12" x14ac:dyDescent="0.2">
      <c r="A419">
        <v>418</v>
      </c>
      <c r="B419" t="str">
        <f>_xlfn.XLOOKUP(A419,Instagram_Usage_Lifestyle_Mini_!A419,Instagram_Usage_Lifestyle_Mini_!B419,1)</f>
        <v>Instagram</v>
      </c>
      <c r="C419">
        <f>_xlfn.XLOOKUP($A:$A,Instagram_Usage_Lifestyle_Mini_!$A:$A,Instagram_Usage_Lifestyle_Mini_!$C:$K)</f>
        <v>14</v>
      </c>
      <c r="D419" t="str">
        <f>_xlfn.XLOOKUP($A:$A,Instagram_Usage_Lifestyle_Mini_!$A:$A,Instagram_Usage_Lifestyle_Mini_!$C:$K)</f>
        <v>Male</v>
      </c>
      <c r="E419" t="str">
        <f>_xlfn.XLOOKUP($A:$A,Instagram_Usage_Lifestyle_Mini_!$A:$A,Instagram_Usage_Lifestyle_Mini_!$C:$K)</f>
        <v>United_States</v>
      </c>
      <c r="F419" t="str">
        <f>_xlfn.XLOOKUP($A:$A,Instagram_Usage_Lifestyle_Mini_!$A:$A,Instagram_Usage_Lifestyle_Mini_!$C:$K)</f>
        <v>Urban</v>
      </c>
      <c r="G419" t="str">
        <f>_xlfn.XLOOKUP($A:$A,Instagram_Usage_Lifestyle_Mini_!$A:$A,Instagram_Usage_Lifestyle_Mini_!$C:$K)</f>
        <v>Low</v>
      </c>
      <c r="H419" t="str">
        <f>_xlfn.XLOOKUP($A:$A,Instagram_Usage_Lifestyle_Mini_!$A:$A,Instagram_Usage_Lifestyle_Mini_!$C:$K)</f>
        <v>Freelancer</v>
      </c>
      <c r="I419" t="str">
        <f>_xlfn.XLOOKUP($A:$A,Instagram_Usage_Lifestyle_Mini_!$A:$A,Instagram_Usage_Lifestyle_Mini_!$C:$K)</f>
        <v>High_school</v>
      </c>
      <c r="J419" t="str">
        <f>_xlfn.XLOOKUP($A:$A,Instagram_Usage_Lifestyle_Mini_!$A:$A,Instagram_Usage_Lifestyle_Mini_!$C:$K)</f>
        <v>In_a_relationship</v>
      </c>
      <c r="K419" t="str">
        <f>_xlfn.XLOOKUP($A:$A,Instagram_Usage_Lifestyle_Mini_!$A:$A,Instagram_Usage_Lifestyle_Mini_!$C:$K)</f>
        <v>No</v>
      </c>
      <c r="L419" t="str" cm="1">
        <f t="array" ref="L419">_xlfn.IFS(C419&lt;18,"Under_18",C419&lt;=25,"Youth",C419&lt;=35,"Young_Adults",C419&lt;=45,"Mid_Adults",TRUE,"Seniors")</f>
        <v>Under_18</v>
      </c>
    </row>
    <row r="420" spans="1:12" x14ac:dyDescent="0.2">
      <c r="A420">
        <v>419</v>
      </c>
      <c r="B420" t="str">
        <f>_xlfn.XLOOKUP(A420,Instagram_Usage_Lifestyle_Mini_!A420,Instagram_Usage_Lifestyle_Mini_!B420,1)</f>
        <v>Instagram</v>
      </c>
      <c r="C420">
        <f>_xlfn.XLOOKUP($A:$A,Instagram_Usage_Lifestyle_Mini_!$A:$A,Instagram_Usage_Lifestyle_Mini_!$C:$K)</f>
        <v>39</v>
      </c>
      <c r="D420" t="str">
        <f>_xlfn.XLOOKUP($A:$A,Instagram_Usage_Lifestyle_Mini_!$A:$A,Instagram_Usage_Lifestyle_Mini_!$C:$K)</f>
        <v>Male</v>
      </c>
      <c r="E420" t="str">
        <f>_xlfn.XLOOKUP($A:$A,Instagram_Usage_Lifestyle_Mini_!$A:$A,Instagram_Usage_Lifestyle_Mini_!$C:$K)</f>
        <v>United _Kingdom</v>
      </c>
      <c r="F420" t="str">
        <f>_xlfn.XLOOKUP($A:$A,Instagram_Usage_Lifestyle_Mini_!$A:$A,Instagram_Usage_Lifestyle_Mini_!$C:$K)</f>
        <v>Urban</v>
      </c>
      <c r="G420" t="str">
        <f>_xlfn.XLOOKUP($A:$A,Instagram_Usage_Lifestyle_Mini_!$A:$A,Instagram_Usage_Lifestyle_Mini_!$C:$K)</f>
        <v>Low</v>
      </c>
      <c r="H420" t="str">
        <f>_xlfn.XLOOKUP($A:$A,Instagram_Usage_Lifestyle_Mini_!$A:$A,Instagram_Usage_Lifestyle_Mini_!$C:$K)</f>
        <v>Full_time_employed</v>
      </c>
      <c r="I420" t="str">
        <f>_xlfn.XLOOKUP($A:$A,Instagram_Usage_Lifestyle_Mini_!$A:$A,Instagram_Usage_Lifestyle_Mini_!$C:$K)</f>
        <v>Other</v>
      </c>
      <c r="J420" t="str">
        <f>_xlfn.XLOOKUP($A:$A,Instagram_Usage_Lifestyle_Mini_!$A:$A,Instagram_Usage_Lifestyle_Mini_!$C:$K)</f>
        <v>In_a_relationship</v>
      </c>
      <c r="K420" t="str">
        <f>_xlfn.XLOOKUP($A:$A,Instagram_Usage_Lifestyle_Mini_!$A:$A,Instagram_Usage_Lifestyle_Mini_!$C:$K)</f>
        <v>Yes</v>
      </c>
      <c r="L420" t="str" cm="1">
        <f t="array" ref="L420">_xlfn.IFS(C420&lt;18,"Under_18",C420&lt;=25,"Youth",C420&lt;=35,"Young_Adults",C420&lt;=45,"Mid_Adults",TRUE,"Seniors")</f>
        <v>Mid_Adults</v>
      </c>
    </row>
    <row r="421" spans="1:12" x14ac:dyDescent="0.2">
      <c r="A421">
        <v>420</v>
      </c>
      <c r="B421" t="str">
        <f>_xlfn.XLOOKUP(A421,Instagram_Usage_Lifestyle_Mini_!A421,Instagram_Usage_Lifestyle_Mini_!B421,1)</f>
        <v>Instagram</v>
      </c>
      <c r="C421">
        <f>_xlfn.XLOOKUP($A:$A,Instagram_Usage_Lifestyle_Mini_!$A:$A,Instagram_Usage_Lifestyle_Mini_!$C:$K)</f>
        <v>54</v>
      </c>
      <c r="D421" t="str">
        <f>_xlfn.XLOOKUP($A:$A,Instagram_Usage_Lifestyle_Mini_!$A:$A,Instagram_Usage_Lifestyle_Mini_!$C:$K)</f>
        <v>Male</v>
      </c>
      <c r="E421" t="str">
        <f>_xlfn.XLOOKUP($A:$A,Instagram_Usage_Lifestyle_Mini_!$A:$A,Instagram_Usage_Lifestyle_Mini_!$C:$K)</f>
        <v>Brazil</v>
      </c>
      <c r="F421" t="str">
        <f>_xlfn.XLOOKUP($A:$A,Instagram_Usage_Lifestyle_Mini_!$A:$A,Instagram_Usage_Lifestyle_Mini_!$C:$K)</f>
        <v>Rural</v>
      </c>
      <c r="G421" t="str">
        <f>_xlfn.XLOOKUP($A:$A,Instagram_Usage_Lifestyle_Mini_!$A:$A,Instagram_Usage_Lifestyle_Mini_!$C:$K)</f>
        <v>Middle</v>
      </c>
      <c r="H421" t="str">
        <f>_xlfn.XLOOKUP($A:$A,Instagram_Usage_Lifestyle_Mini_!$A:$A,Instagram_Usage_Lifestyle_Mini_!$C:$K)</f>
        <v>Freelancer</v>
      </c>
      <c r="I421" t="str">
        <f>_xlfn.XLOOKUP($A:$A,Instagram_Usage_Lifestyle_Mini_!$A:$A,Instagram_Usage_Lifestyle_Mini_!$C:$K)</f>
        <v>Some_college</v>
      </c>
      <c r="J421" t="str">
        <f>_xlfn.XLOOKUP($A:$A,Instagram_Usage_Lifestyle_Mini_!$A:$A,Instagram_Usage_Lifestyle_Mini_!$C:$K)</f>
        <v>Single</v>
      </c>
      <c r="K421" t="str">
        <f>_xlfn.XLOOKUP($A:$A,Instagram_Usage_Lifestyle_Mini_!$A:$A,Instagram_Usage_Lifestyle_Mini_!$C:$K)</f>
        <v>Yes</v>
      </c>
      <c r="L421" t="str" cm="1">
        <f t="array" ref="L421">_xlfn.IFS(C421&lt;18,"Under_18",C421&lt;=25,"Youth",C421&lt;=35,"Young_Adults",C421&lt;=45,"Mid_Adults",TRUE,"Seniors")</f>
        <v>Seniors</v>
      </c>
    </row>
    <row r="422" spans="1:12" x14ac:dyDescent="0.2">
      <c r="A422">
        <v>421</v>
      </c>
      <c r="B422" t="str">
        <f>_xlfn.XLOOKUP(A422,Instagram_Usage_Lifestyle_Mini_!A422,Instagram_Usage_Lifestyle_Mini_!B422,1)</f>
        <v>Instagram</v>
      </c>
      <c r="C422">
        <f>_xlfn.XLOOKUP($A:$A,Instagram_Usage_Lifestyle_Mini_!$A:$A,Instagram_Usage_Lifestyle_Mini_!$C:$K)</f>
        <v>14</v>
      </c>
      <c r="D422" t="str">
        <f>_xlfn.XLOOKUP($A:$A,Instagram_Usage_Lifestyle_Mini_!$A:$A,Instagram_Usage_Lifestyle_Mini_!$C:$K)</f>
        <v>Male</v>
      </c>
      <c r="E422" t="str">
        <f>_xlfn.XLOOKUP($A:$A,Instagram_Usage_Lifestyle_Mini_!$A:$A,Instagram_Usage_Lifestyle_Mini_!$C:$K)</f>
        <v>India</v>
      </c>
      <c r="F422" t="str">
        <f>_xlfn.XLOOKUP($A:$A,Instagram_Usage_Lifestyle_Mini_!$A:$A,Instagram_Usage_Lifestyle_Mini_!$C:$K)</f>
        <v>Suburban</v>
      </c>
      <c r="G422" t="str">
        <f>_xlfn.XLOOKUP($A:$A,Instagram_Usage_Lifestyle_Mini_!$A:$A,Instagram_Usage_Lifestyle_Mini_!$C:$K)</f>
        <v>Lower_middle</v>
      </c>
      <c r="H422" t="str">
        <f>_xlfn.XLOOKUP($A:$A,Instagram_Usage_Lifestyle_Mini_!$A:$A,Instagram_Usage_Lifestyle_Mini_!$C:$K)</f>
        <v>Part_time</v>
      </c>
      <c r="I422" t="str">
        <f>_xlfn.XLOOKUP($A:$A,Instagram_Usage_Lifestyle_Mini_!$A:$A,Instagram_Usage_Lifestyle_Mini_!$C:$K)</f>
        <v>High_school</v>
      </c>
      <c r="J422" t="str">
        <f>_xlfn.XLOOKUP($A:$A,Instagram_Usage_Lifestyle_Mini_!$A:$A,Instagram_Usage_Lifestyle_Mini_!$C:$K)</f>
        <v>Divorced</v>
      </c>
      <c r="K422" t="str">
        <f>_xlfn.XLOOKUP($A:$A,Instagram_Usage_Lifestyle_Mini_!$A:$A,Instagram_Usage_Lifestyle_Mini_!$C:$K)</f>
        <v>No</v>
      </c>
      <c r="L422" t="str" cm="1">
        <f t="array" ref="L422">_xlfn.IFS(C422&lt;18,"Under_18",C422&lt;=25,"Youth",C422&lt;=35,"Young_Adults",C422&lt;=45,"Mid_Adults",TRUE,"Seniors")</f>
        <v>Under_18</v>
      </c>
    </row>
    <row r="423" spans="1:12" x14ac:dyDescent="0.2">
      <c r="A423">
        <v>422</v>
      </c>
      <c r="B423" t="str">
        <f>_xlfn.XLOOKUP(A423,Instagram_Usage_Lifestyle_Mini_!A423,Instagram_Usage_Lifestyle_Mini_!B423,1)</f>
        <v>Instagram</v>
      </c>
      <c r="C423">
        <f>_xlfn.XLOOKUP($A:$A,Instagram_Usage_Lifestyle_Mini_!$A:$A,Instagram_Usage_Lifestyle_Mini_!$C:$K)</f>
        <v>38</v>
      </c>
      <c r="D423" t="str">
        <f>_xlfn.XLOOKUP($A:$A,Instagram_Usage_Lifestyle_Mini_!$A:$A,Instagram_Usage_Lifestyle_Mini_!$C:$K)</f>
        <v>Female</v>
      </c>
      <c r="E423" t="str">
        <f>_xlfn.XLOOKUP($A:$A,Instagram_Usage_Lifestyle_Mini_!$A:$A,Instagram_Usage_Lifestyle_Mini_!$C:$K)</f>
        <v>United_States</v>
      </c>
      <c r="F423" t="str">
        <f>_xlfn.XLOOKUP($A:$A,Instagram_Usage_Lifestyle_Mini_!$A:$A,Instagram_Usage_Lifestyle_Mini_!$C:$K)</f>
        <v>Rural</v>
      </c>
      <c r="G423" t="str">
        <f>_xlfn.XLOOKUP($A:$A,Instagram_Usage_Lifestyle_Mini_!$A:$A,Instagram_Usage_Lifestyle_Mini_!$C:$K)</f>
        <v>Upper_middle</v>
      </c>
      <c r="H423" t="str">
        <f>_xlfn.XLOOKUP($A:$A,Instagram_Usage_Lifestyle_Mini_!$A:$A,Instagram_Usage_Lifestyle_Mini_!$C:$K)</f>
        <v>Student</v>
      </c>
      <c r="I423" t="str">
        <f>_xlfn.XLOOKUP($A:$A,Instagram_Usage_Lifestyle_Mini_!$A:$A,Instagram_Usage_Lifestyle_Mini_!$C:$K)</f>
        <v>Other</v>
      </c>
      <c r="J423" t="str">
        <f>_xlfn.XLOOKUP($A:$A,Instagram_Usage_Lifestyle_Mini_!$A:$A,Instagram_Usage_Lifestyle_Mini_!$C:$K)</f>
        <v>Married</v>
      </c>
      <c r="K423" t="str">
        <f>_xlfn.XLOOKUP($A:$A,Instagram_Usage_Lifestyle_Mini_!$A:$A,Instagram_Usage_Lifestyle_Mini_!$C:$K)</f>
        <v>Yes</v>
      </c>
      <c r="L423" t="str" cm="1">
        <f t="array" ref="L423">_xlfn.IFS(C423&lt;18,"Under_18",C423&lt;=25,"Youth",C423&lt;=35,"Young_Adults",C423&lt;=45,"Mid_Adults",TRUE,"Seniors")</f>
        <v>Mid_Adults</v>
      </c>
    </row>
    <row r="424" spans="1:12" x14ac:dyDescent="0.2">
      <c r="A424">
        <v>423</v>
      </c>
      <c r="B424" t="str">
        <f>_xlfn.XLOOKUP(A424,Instagram_Usage_Lifestyle_Mini_!A424,Instagram_Usage_Lifestyle_Mini_!B424,1)</f>
        <v>Instagram</v>
      </c>
      <c r="C424">
        <f>_xlfn.XLOOKUP($A:$A,Instagram_Usage_Lifestyle_Mini_!$A:$A,Instagram_Usage_Lifestyle_Mini_!$C:$K)</f>
        <v>29</v>
      </c>
      <c r="D424" t="str">
        <f>_xlfn.XLOOKUP($A:$A,Instagram_Usage_Lifestyle_Mini_!$A:$A,Instagram_Usage_Lifestyle_Mini_!$C:$K)</f>
        <v>Male</v>
      </c>
      <c r="E424" t="str">
        <f>_xlfn.XLOOKUP($A:$A,Instagram_Usage_Lifestyle_Mini_!$A:$A,Instagram_Usage_Lifestyle_Mini_!$C:$K)</f>
        <v>United_States</v>
      </c>
      <c r="F424" t="str">
        <f>_xlfn.XLOOKUP($A:$A,Instagram_Usage_Lifestyle_Mini_!$A:$A,Instagram_Usage_Lifestyle_Mini_!$C:$K)</f>
        <v>Suburban</v>
      </c>
      <c r="G424" t="str">
        <f>_xlfn.XLOOKUP($A:$A,Instagram_Usage_Lifestyle_Mini_!$A:$A,Instagram_Usage_Lifestyle_Mini_!$C:$K)</f>
        <v>Lower_middle</v>
      </c>
      <c r="H424" t="str">
        <f>_xlfn.XLOOKUP($A:$A,Instagram_Usage_Lifestyle_Mini_!$A:$A,Instagram_Usage_Lifestyle_Mini_!$C:$K)</f>
        <v>Full_time_employed</v>
      </c>
      <c r="I424" t="str">
        <f>_xlfn.XLOOKUP($A:$A,Instagram_Usage_Lifestyle_Mini_!$A:$A,Instagram_Usage_Lifestyle_Mini_!$C:$K)</f>
        <v>High_school</v>
      </c>
      <c r="J424" t="str">
        <f>_xlfn.XLOOKUP($A:$A,Instagram_Usage_Lifestyle_Mini_!$A:$A,Instagram_Usage_Lifestyle_Mini_!$C:$K)</f>
        <v>Married</v>
      </c>
      <c r="K424" t="str">
        <f>_xlfn.XLOOKUP($A:$A,Instagram_Usage_Lifestyle_Mini_!$A:$A,Instagram_Usage_Lifestyle_Mini_!$C:$K)</f>
        <v>No</v>
      </c>
      <c r="L424" t="str" cm="1">
        <f t="array" ref="L424">_xlfn.IFS(C424&lt;18,"Under_18",C424&lt;=25,"Youth",C424&lt;=35,"Young_Adults",C424&lt;=45,"Mid_Adults",TRUE,"Seniors")</f>
        <v>Young_Adults</v>
      </c>
    </row>
    <row r="425" spans="1:12" x14ac:dyDescent="0.2">
      <c r="A425">
        <v>424</v>
      </c>
      <c r="B425" t="str">
        <f>_xlfn.XLOOKUP(A425,Instagram_Usage_Lifestyle_Mini_!A425,Instagram_Usage_Lifestyle_Mini_!B425,1)</f>
        <v>Instagram</v>
      </c>
      <c r="C425">
        <f>_xlfn.XLOOKUP($A:$A,Instagram_Usage_Lifestyle_Mini_!$A:$A,Instagram_Usage_Lifestyle_Mini_!$C:$K)</f>
        <v>52</v>
      </c>
      <c r="D425" t="str">
        <f>_xlfn.XLOOKUP($A:$A,Instagram_Usage_Lifestyle_Mini_!$A:$A,Instagram_Usage_Lifestyle_Mini_!$C:$K)</f>
        <v>Male</v>
      </c>
      <c r="E425" t="str">
        <f>_xlfn.XLOOKUP($A:$A,Instagram_Usage_Lifestyle_Mini_!$A:$A,Instagram_Usage_Lifestyle_Mini_!$C:$K)</f>
        <v>United_States</v>
      </c>
      <c r="F425" t="str">
        <f>_xlfn.XLOOKUP($A:$A,Instagram_Usage_Lifestyle_Mini_!$A:$A,Instagram_Usage_Lifestyle_Mini_!$C:$K)</f>
        <v>Urban</v>
      </c>
      <c r="G425" t="str">
        <f>_xlfn.XLOOKUP($A:$A,Instagram_Usage_Lifestyle_Mini_!$A:$A,Instagram_Usage_Lifestyle_Mini_!$C:$K)</f>
        <v>Upper_middle</v>
      </c>
      <c r="H425" t="str">
        <f>_xlfn.XLOOKUP($A:$A,Instagram_Usage_Lifestyle_Mini_!$A:$A,Instagram_Usage_Lifestyle_Mini_!$C:$K)</f>
        <v>Full_time_employed</v>
      </c>
      <c r="I425" t="str">
        <f>_xlfn.XLOOKUP($A:$A,Instagram_Usage_Lifestyle_Mini_!$A:$A,Instagram_Usage_Lifestyle_Mini_!$C:$K)</f>
        <v>Bachelors_degree</v>
      </c>
      <c r="J425" t="str">
        <f>_xlfn.XLOOKUP($A:$A,Instagram_Usage_Lifestyle_Mini_!$A:$A,Instagram_Usage_Lifestyle_Mini_!$C:$K)</f>
        <v>Married</v>
      </c>
      <c r="K425" t="str">
        <f>_xlfn.XLOOKUP($A:$A,Instagram_Usage_Lifestyle_Mini_!$A:$A,Instagram_Usage_Lifestyle_Mini_!$C:$K)</f>
        <v>Yes</v>
      </c>
      <c r="L425" t="str" cm="1">
        <f t="array" ref="L425">_xlfn.IFS(C425&lt;18,"Under_18",C425&lt;=25,"Youth",C425&lt;=35,"Young_Adults",C425&lt;=45,"Mid_Adults",TRUE,"Seniors")</f>
        <v>Seniors</v>
      </c>
    </row>
    <row r="426" spans="1:12" x14ac:dyDescent="0.2">
      <c r="A426">
        <v>425</v>
      </c>
      <c r="B426" t="str">
        <f>_xlfn.XLOOKUP(A426,Instagram_Usage_Lifestyle_Mini_!A426,Instagram_Usage_Lifestyle_Mini_!B426,1)</f>
        <v>Instagram</v>
      </c>
      <c r="C426">
        <f>_xlfn.XLOOKUP($A:$A,Instagram_Usage_Lifestyle_Mini_!$A:$A,Instagram_Usage_Lifestyle_Mini_!$C:$K)</f>
        <v>45</v>
      </c>
      <c r="D426" t="str">
        <f>_xlfn.XLOOKUP($A:$A,Instagram_Usage_Lifestyle_Mini_!$A:$A,Instagram_Usage_Lifestyle_Mini_!$C:$K)</f>
        <v>Male</v>
      </c>
      <c r="E426" t="str">
        <f>_xlfn.XLOOKUP($A:$A,Instagram_Usage_Lifestyle_Mini_!$A:$A,Instagram_Usage_Lifestyle_Mini_!$C:$K)</f>
        <v>Other</v>
      </c>
      <c r="F426" t="str">
        <f>_xlfn.XLOOKUP($A:$A,Instagram_Usage_Lifestyle_Mini_!$A:$A,Instagram_Usage_Lifestyle_Mini_!$C:$K)</f>
        <v>Urban</v>
      </c>
      <c r="G426" t="str">
        <f>_xlfn.XLOOKUP($A:$A,Instagram_Usage_Lifestyle_Mini_!$A:$A,Instagram_Usage_Lifestyle_Mini_!$C:$K)</f>
        <v>Lower_middle</v>
      </c>
      <c r="H426" t="str">
        <f>_xlfn.XLOOKUP($A:$A,Instagram_Usage_Lifestyle_Mini_!$A:$A,Instagram_Usage_Lifestyle_Mini_!$C:$K)</f>
        <v>Freelancer</v>
      </c>
      <c r="I426" t="str">
        <f>_xlfn.XLOOKUP($A:$A,Instagram_Usage_Lifestyle_Mini_!$A:$A,Instagram_Usage_Lifestyle_Mini_!$C:$K)</f>
        <v>Bachelors_degree</v>
      </c>
      <c r="J426" t="str">
        <f>_xlfn.XLOOKUP($A:$A,Instagram_Usage_Lifestyle_Mini_!$A:$A,Instagram_Usage_Lifestyle_Mini_!$C:$K)</f>
        <v>Married</v>
      </c>
      <c r="K426" t="str">
        <f>_xlfn.XLOOKUP($A:$A,Instagram_Usage_Lifestyle_Mini_!$A:$A,Instagram_Usage_Lifestyle_Mini_!$C:$K)</f>
        <v>Yes</v>
      </c>
      <c r="L426" t="str" cm="1">
        <f t="array" ref="L426">_xlfn.IFS(C426&lt;18,"Under_18",C426&lt;=25,"Youth",C426&lt;=35,"Young_Adults",C426&lt;=45,"Mid_Adults",TRUE,"Seniors")</f>
        <v>Mid_Adults</v>
      </c>
    </row>
    <row r="427" spans="1:12" x14ac:dyDescent="0.2">
      <c r="A427">
        <v>426</v>
      </c>
      <c r="B427" t="str">
        <f>_xlfn.XLOOKUP(A427,Instagram_Usage_Lifestyle_Mini_!A427,Instagram_Usage_Lifestyle_Mini_!B427,1)</f>
        <v>Instagram</v>
      </c>
      <c r="C427">
        <f>_xlfn.XLOOKUP($A:$A,Instagram_Usage_Lifestyle_Mini_!$A:$A,Instagram_Usage_Lifestyle_Mini_!$C:$K)</f>
        <v>21</v>
      </c>
      <c r="D427" t="str">
        <f>_xlfn.XLOOKUP($A:$A,Instagram_Usage_Lifestyle_Mini_!$A:$A,Instagram_Usage_Lifestyle_Mini_!$C:$K)</f>
        <v>Male</v>
      </c>
      <c r="E427" t="str">
        <f>_xlfn.XLOOKUP($A:$A,Instagram_Usage_Lifestyle_Mini_!$A:$A,Instagram_Usage_Lifestyle_Mini_!$C:$K)</f>
        <v>India</v>
      </c>
      <c r="F427" t="str">
        <f>_xlfn.XLOOKUP($A:$A,Instagram_Usage_Lifestyle_Mini_!$A:$A,Instagram_Usage_Lifestyle_Mini_!$C:$K)</f>
        <v>Urban</v>
      </c>
      <c r="G427" t="str">
        <f>_xlfn.XLOOKUP($A:$A,Instagram_Usage_Lifestyle_Mini_!$A:$A,Instagram_Usage_Lifestyle_Mini_!$C:$K)</f>
        <v>Upper_middle</v>
      </c>
      <c r="H427" t="str">
        <f>_xlfn.XLOOKUP($A:$A,Instagram_Usage_Lifestyle_Mini_!$A:$A,Instagram_Usage_Lifestyle_Mini_!$C:$K)</f>
        <v>Full_time_employed</v>
      </c>
      <c r="I427" t="str">
        <f>_xlfn.XLOOKUP($A:$A,Instagram_Usage_Lifestyle_Mini_!$A:$A,Instagram_Usage_Lifestyle_Mini_!$C:$K)</f>
        <v>Some_college</v>
      </c>
      <c r="J427" t="str">
        <f>_xlfn.XLOOKUP($A:$A,Instagram_Usage_Lifestyle_Mini_!$A:$A,Instagram_Usage_Lifestyle_Mini_!$C:$K)</f>
        <v>Single</v>
      </c>
      <c r="K427" t="str">
        <f>_xlfn.XLOOKUP($A:$A,Instagram_Usage_Lifestyle_Mini_!$A:$A,Instagram_Usage_Lifestyle_Mini_!$C:$K)</f>
        <v>Yes</v>
      </c>
      <c r="L427" t="str" cm="1">
        <f t="array" ref="L427">_xlfn.IFS(C427&lt;18,"Under_18",C427&lt;=25,"Youth",C427&lt;=35,"Young_Adults",C427&lt;=45,"Mid_Adults",TRUE,"Seniors")</f>
        <v>Youth</v>
      </c>
    </row>
    <row r="428" spans="1:12" x14ac:dyDescent="0.2">
      <c r="A428">
        <v>427</v>
      </c>
      <c r="B428" t="str">
        <f>_xlfn.XLOOKUP(A428,Instagram_Usage_Lifestyle_Mini_!A428,Instagram_Usage_Lifestyle_Mini_!B428,1)</f>
        <v>Instagram</v>
      </c>
      <c r="C428">
        <f>_xlfn.XLOOKUP($A:$A,Instagram_Usage_Lifestyle_Mini_!$A:$A,Instagram_Usage_Lifestyle_Mini_!$C:$K)</f>
        <v>55</v>
      </c>
      <c r="D428" t="str">
        <f>_xlfn.XLOOKUP($A:$A,Instagram_Usage_Lifestyle_Mini_!$A:$A,Instagram_Usage_Lifestyle_Mini_!$C:$K)</f>
        <v>Female</v>
      </c>
      <c r="E428" t="str">
        <f>_xlfn.XLOOKUP($A:$A,Instagram_Usage_Lifestyle_Mini_!$A:$A,Instagram_Usage_Lifestyle_Mini_!$C:$K)</f>
        <v>United_States</v>
      </c>
      <c r="F428" t="str">
        <f>_xlfn.XLOOKUP($A:$A,Instagram_Usage_Lifestyle_Mini_!$A:$A,Instagram_Usage_Lifestyle_Mini_!$C:$K)</f>
        <v>Rural</v>
      </c>
      <c r="G428" t="str">
        <f>_xlfn.XLOOKUP($A:$A,Instagram_Usage_Lifestyle_Mini_!$A:$A,Instagram_Usage_Lifestyle_Mini_!$C:$K)</f>
        <v>Upper_middle</v>
      </c>
      <c r="H428" t="str">
        <f>_xlfn.XLOOKUP($A:$A,Instagram_Usage_Lifestyle_Mini_!$A:$A,Instagram_Usage_Lifestyle_Mini_!$C:$K)</f>
        <v>Retired</v>
      </c>
      <c r="I428" t="str">
        <f>_xlfn.XLOOKUP($A:$A,Instagram_Usage_Lifestyle_Mini_!$A:$A,Instagram_Usage_Lifestyle_Mini_!$C:$K)</f>
        <v>High_school</v>
      </c>
      <c r="J428" t="str">
        <f>_xlfn.XLOOKUP($A:$A,Instagram_Usage_Lifestyle_Mini_!$A:$A,Instagram_Usage_Lifestyle_Mini_!$C:$K)</f>
        <v>Single</v>
      </c>
      <c r="K428" t="str">
        <f>_xlfn.XLOOKUP($A:$A,Instagram_Usage_Lifestyle_Mini_!$A:$A,Instagram_Usage_Lifestyle_Mini_!$C:$K)</f>
        <v>No</v>
      </c>
      <c r="L428" t="str" cm="1">
        <f t="array" ref="L428">_xlfn.IFS(C428&lt;18,"Under_18",C428&lt;=25,"Youth",C428&lt;=35,"Young_Adults",C428&lt;=45,"Mid_Adults",TRUE,"Seniors")</f>
        <v>Seniors</v>
      </c>
    </row>
    <row r="429" spans="1:12" x14ac:dyDescent="0.2">
      <c r="A429">
        <v>428</v>
      </c>
      <c r="B429" t="str">
        <f>_xlfn.XLOOKUP(A429,Instagram_Usage_Lifestyle_Mini_!A429,Instagram_Usage_Lifestyle_Mini_!B429,1)</f>
        <v>Instagram</v>
      </c>
      <c r="C429">
        <f>_xlfn.XLOOKUP($A:$A,Instagram_Usage_Lifestyle_Mini_!$A:$A,Instagram_Usage_Lifestyle_Mini_!$C:$K)</f>
        <v>60</v>
      </c>
      <c r="D429" t="str">
        <f>_xlfn.XLOOKUP($A:$A,Instagram_Usage_Lifestyle_Mini_!$A:$A,Instagram_Usage_Lifestyle_Mini_!$C:$K)</f>
        <v>Male</v>
      </c>
      <c r="E429" t="str">
        <f>_xlfn.XLOOKUP($A:$A,Instagram_Usage_Lifestyle_Mini_!$A:$A,Instagram_Usage_Lifestyle_Mini_!$C:$K)</f>
        <v>United_States</v>
      </c>
      <c r="F429" t="str">
        <f>_xlfn.XLOOKUP($A:$A,Instagram_Usage_Lifestyle_Mini_!$A:$A,Instagram_Usage_Lifestyle_Mini_!$C:$K)</f>
        <v>Urban</v>
      </c>
      <c r="G429" t="str">
        <f>_xlfn.XLOOKUP($A:$A,Instagram_Usage_Lifestyle_Mini_!$A:$A,Instagram_Usage_Lifestyle_Mini_!$C:$K)</f>
        <v>Lower_middle</v>
      </c>
      <c r="H429" t="str">
        <f>_xlfn.XLOOKUP($A:$A,Instagram_Usage_Lifestyle_Mini_!$A:$A,Instagram_Usage_Lifestyle_Mini_!$C:$K)</f>
        <v>Full_time_employed</v>
      </c>
      <c r="I429" t="str">
        <f>_xlfn.XLOOKUP($A:$A,Instagram_Usage_Lifestyle_Mini_!$A:$A,Instagram_Usage_Lifestyle_Mini_!$C:$K)</f>
        <v>High_school</v>
      </c>
      <c r="J429" t="str">
        <f>_xlfn.XLOOKUP($A:$A,Instagram_Usage_Lifestyle_Mini_!$A:$A,Instagram_Usage_Lifestyle_Mini_!$C:$K)</f>
        <v>In_a_relationship</v>
      </c>
      <c r="K429" t="str">
        <f>_xlfn.XLOOKUP($A:$A,Instagram_Usage_Lifestyle_Mini_!$A:$A,Instagram_Usage_Lifestyle_Mini_!$C:$K)</f>
        <v>Yes</v>
      </c>
      <c r="L429" t="str" cm="1">
        <f t="array" ref="L429">_xlfn.IFS(C429&lt;18,"Under_18",C429&lt;=25,"Youth",C429&lt;=35,"Young_Adults",C429&lt;=45,"Mid_Adults",TRUE,"Seniors")</f>
        <v>Seniors</v>
      </c>
    </row>
    <row r="430" spans="1:12" x14ac:dyDescent="0.2">
      <c r="A430">
        <v>429</v>
      </c>
      <c r="B430" t="str">
        <f>_xlfn.XLOOKUP(A430,Instagram_Usage_Lifestyle_Mini_!A430,Instagram_Usage_Lifestyle_Mini_!B430,1)</f>
        <v>Instagram</v>
      </c>
      <c r="C430">
        <f>_xlfn.XLOOKUP($A:$A,Instagram_Usage_Lifestyle_Mini_!$A:$A,Instagram_Usage_Lifestyle_Mini_!$C:$K)</f>
        <v>51</v>
      </c>
      <c r="D430" t="str">
        <f>_xlfn.XLOOKUP($A:$A,Instagram_Usage_Lifestyle_Mini_!$A:$A,Instagram_Usage_Lifestyle_Mini_!$C:$K)</f>
        <v>Male</v>
      </c>
      <c r="E430" t="str">
        <f>_xlfn.XLOOKUP($A:$A,Instagram_Usage_Lifestyle_Mini_!$A:$A,Instagram_Usage_Lifestyle_Mini_!$C:$K)</f>
        <v>India</v>
      </c>
      <c r="F430" t="str">
        <f>_xlfn.XLOOKUP($A:$A,Instagram_Usage_Lifestyle_Mini_!$A:$A,Instagram_Usage_Lifestyle_Mini_!$C:$K)</f>
        <v>Urban</v>
      </c>
      <c r="G430" t="str">
        <f>_xlfn.XLOOKUP($A:$A,Instagram_Usage_Lifestyle_Mini_!$A:$A,Instagram_Usage_Lifestyle_Mini_!$C:$K)</f>
        <v>Middle</v>
      </c>
      <c r="H430" t="str">
        <f>_xlfn.XLOOKUP($A:$A,Instagram_Usage_Lifestyle_Mini_!$A:$A,Instagram_Usage_Lifestyle_Mini_!$C:$K)</f>
        <v>Student</v>
      </c>
      <c r="I430" t="str">
        <f>_xlfn.XLOOKUP($A:$A,Instagram_Usage_Lifestyle_Mini_!$A:$A,Instagram_Usage_Lifestyle_Mini_!$C:$K)</f>
        <v>Masters_degree</v>
      </c>
      <c r="J430" t="str">
        <f>_xlfn.XLOOKUP($A:$A,Instagram_Usage_Lifestyle_Mini_!$A:$A,Instagram_Usage_Lifestyle_Mini_!$C:$K)</f>
        <v>In_a_relationship</v>
      </c>
      <c r="K430" t="str">
        <f>_xlfn.XLOOKUP($A:$A,Instagram_Usage_Lifestyle_Mini_!$A:$A,Instagram_Usage_Lifestyle_Mini_!$C:$K)</f>
        <v>No</v>
      </c>
      <c r="L430" t="str" cm="1">
        <f t="array" ref="L430">_xlfn.IFS(C430&lt;18,"Under_18",C430&lt;=25,"Youth",C430&lt;=35,"Young_Adults",C430&lt;=45,"Mid_Adults",TRUE,"Seniors")</f>
        <v>Seniors</v>
      </c>
    </row>
    <row r="431" spans="1:12" x14ac:dyDescent="0.2">
      <c r="A431">
        <v>430</v>
      </c>
      <c r="B431" t="str">
        <f>_xlfn.XLOOKUP(A431,Instagram_Usage_Lifestyle_Mini_!A431,Instagram_Usage_Lifestyle_Mini_!B431,1)</f>
        <v>Instagram</v>
      </c>
      <c r="C431">
        <f>_xlfn.XLOOKUP($A:$A,Instagram_Usage_Lifestyle_Mini_!$A:$A,Instagram_Usage_Lifestyle_Mini_!$C:$K)</f>
        <v>41</v>
      </c>
      <c r="D431" t="str">
        <f>_xlfn.XLOOKUP($A:$A,Instagram_Usage_Lifestyle_Mini_!$A:$A,Instagram_Usage_Lifestyle_Mini_!$C:$K)</f>
        <v>Male</v>
      </c>
      <c r="E431" t="str">
        <f>_xlfn.XLOOKUP($A:$A,Instagram_Usage_Lifestyle_Mini_!$A:$A,Instagram_Usage_Lifestyle_Mini_!$C:$K)</f>
        <v>India</v>
      </c>
      <c r="F431" t="str">
        <f>_xlfn.XLOOKUP($A:$A,Instagram_Usage_Lifestyle_Mini_!$A:$A,Instagram_Usage_Lifestyle_Mini_!$C:$K)</f>
        <v>Suburban</v>
      </c>
      <c r="G431" t="str">
        <f>_xlfn.XLOOKUP($A:$A,Instagram_Usage_Lifestyle_Mini_!$A:$A,Instagram_Usage_Lifestyle_Mini_!$C:$K)</f>
        <v>Middle</v>
      </c>
      <c r="H431" t="str">
        <f>_xlfn.XLOOKUP($A:$A,Instagram_Usage_Lifestyle_Mini_!$A:$A,Instagram_Usage_Lifestyle_Mini_!$C:$K)</f>
        <v>Full_time_employed</v>
      </c>
      <c r="I431" t="str">
        <f>_xlfn.XLOOKUP($A:$A,Instagram_Usage_Lifestyle_Mini_!$A:$A,Instagram_Usage_Lifestyle_Mini_!$C:$K)</f>
        <v>Some_college</v>
      </c>
      <c r="J431" t="str">
        <f>_xlfn.XLOOKUP($A:$A,Instagram_Usage_Lifestyle_Mini_!$A:$A,Instagram_Usage_Lifestyle_Mini_!$C:$K)</f>
        <v>Single</v>
      </c>
      <c r="K431" t="str">
        <f>_xlfn.XLOOKUP($A:$A,Instagram_Usage_Lifestyle_Mini_!$A:$A,Instagram_Usage_Lifestyle_Mini_!$C:$K)</f>
        <v>No</v>
      </c>
      <c r="L431" t="str" cm="1">
        <f t="array" ref="L431">_xlfn.IFS(C431&lt;18,"Under_18",C431&lt;=25,"Youth",C431&lt;=35,"Young_Adults",C431&lt;=45,"Mid_Adults",TRUE,"Seniors")</f>
        <v>Mid_Adults</v>
      </c>
    </row>
    <row r="432" spans="1:12" x14ac:dyDescent="0.2">
      <c r="A432">
        <v>431</v>
      </c>
      <c r="B432" t="str">
        <f>_xlfn.XLOOKUP(A432,Instagram_Usage_Lifestyle_Mini_!A432,Instagram_Usage_Lifestyle_Mini_!B432,1)</f>
        <v>Instagram</v>
      </c>
      <c r="C432">
        <f>_xlfn.XLOOKUP($A:$A,Instagram_Usage_Lifestyle_Mini_!$A:$A,Instagram_Usage_Lifestyle_Mini_!$C:$K)</f>
        <v>54</v>
      </c>
      <c r="D432" t="str">
        <f>_xlfn.XLOOKUP($A:$A,Instagram_Usage_Lifestyle_Mini_!$A:$A,Instagram_Usage_Lifestyle_Mini_!$C:$K)</f>
        <v>Male</v>
      </c>
      <c r="E432" t="str">
        <f>_xlfn.XLOOKUP($A:$A,Instagram_Usage_Lifestyle_Mini_!$A:$A,Instagram_Usage_Lifestyle_Mini_!$C:$K)</f>
        <v>United_States</v>
      </c>
      <c r="F432" t="str">
        <f>_xlfn.XLOOKUP($A:$A,Instagram_Usage_Lifestyle_Mini_!$A:$A,Instagram_Usage_Lifestyle_Mini_!$C:$K)</f>
        <v>Suburban</v>
      </c>
      <c r="G432" t="str">
        <f>_xlfn.XLOOKUP($A:$A,Instagram_Usage_Lifestyle_Mini_!$A:$A,Instagram_Usage_Lifestyle_Mini_!$C:$K)</f>
        <v>Middle</v>
      </c>
      <c r="H432" t="str">
        <f>_xlfn.XLOOKUP($A:$A,Instagram_Usage_Lifestyle_Mini_!$A:$A,Instagram_Usage_Lifestyle_Mini_!$C:$K)</f>
        <v>Student</v>
      </c>
      <c r="I432" t="str">
        <f>_xlfn.XLOOKUP($A:$A,Instagram_Usage_Lifestyle_Mini_!$A:$A,Instagram_Usage_Lifestyle_Mini_!$C:$K)</f>
        <v>Bachelors_degree</v>
      </c>
      <c r="J432" t="str">
        <f>_xlfn.XLOOKUP($A:$A,Instagram_Usage_Lifestyle_Mini_!$A:$A,Instagram_Usage_Lifestyle_Mini_!$C:$K)</f>
        <v>Single</v>
      </c>
      <c r="K432" t="str">
        <f>_xlfn.XLOOKUP($A:$A,Instagram_Usage_Lifestyle_Mini_!$A:$A,Instagram_Usage_Lifestyle_Mini_!$C:$K)</f>
        <v>No</v>
      </c>
      <c r="L432" t="str" cm="1">
        <f t="array" ref="L432">_xlfn.IFS(C432&lt;18,"Under_18",C432&lt;=25,"Youth",C432&lt;=35,"Young_Adults",C432&lt;=45,"Mid_Adults",TRUE,"Seniors")</f>
        <v>Seniors</v>
      </c>
    </row>
    <row r="433" spans="1:12" x14ac:dyDescent="0.2">
      <c r="A433">
        <v>432</v>
      </c>
      <c r="B433" t="str">
        <f>_xlfn.XLOOKUP(A433,Instagram_Usage_Lifestyle_Mini_!A433,Instagram_Usage_Lifestyle_Mini_!B433,1)</f>
        <v>Instagram</v>
      </c>
      <c r="C433">
        <f>_xlfn.XLOOKUP($A:$A,Instagram_Usage_Lifestyle_Mini_!$A:$A,Instagram_Usage_Lifestyle_Mini_!$C:$K)</f>
        <v>38</v>
      </c>
      <c r="D433" t="str">
        <f>_xlfn.XLOOKUP($A:$A,Instagram_Usage_Lifestyle_Mini_!$A:$A,Instagram_Usage_Lifestyle_Mini_!$C:$K)</f>
        <v>Female</v>
      </c>
      <c r="E433" t="str">
        <f>_xlfn.XLOOKUP($A:$A,Instagram_Usage_Lifestyle_Mini_!$A:$A,Instagram_Usage_Lifestyle_Mini_!$C:$K)</f>
        <v>Brazil</v>
      </c>
      <c r="F433" t="str">
        <f>_xlfn.XLOOKUP($A:$A,Instagram_Usage_Lifestyle_Mini_!$A:$A,Instagram_Usage_Lifestyle_Mini_!$C:$K)</f>
        <v>Suburban</v>
      </c>
      <c r="G433" t="str">
        <f>_xlfn.XLOOKUP($A:$A,Instagram_Usage_Lifestyle_Mini_!$A:$A,Instagram_Usage_Lifestyle_Mini_!$C:$K)</f>
        <v>Middle</v>
      </c>
      <c r="H433" t="str">
        <f>_xlfn.XLOOKUP($A:$A,Instagram_Usage_Lifestyle_Mini_!$A:$A,Instagram_Usage_Lifestyle_Mini_!$C:$K)</f>
        <v>Freelancer</v>
      </c>
      <c r="I433" t="str">
        <f>_xlfn.XLOOKUP($A:$A,Instagram_Usage_Lifestyle_Mini_!$A:$A,Instagram_Usage_Lifestyle_Mini_!$C:$K)</f>
        <v>Bachelors_degree</v>
      </c>
      <c r="J433" t="str">
        <f>_xlfn.XLOOKUP($A:$A,Instagram_Usage_Lifestyle_Mini_!$A:$A,Instagram_Usage_Lifestyle_Mini_!$C:$K)</f>
        <v>Married</v>
      </c>
      <c r="K433" t="str">
        <f>_xlfn.XLOOKUP($A:$A,Instagram_Usage_Lifestyle_Mini_!$A:$A,Instagram_Usage_Lifestyle_Mini_!$C:$K)</f>
        <v>No</v>
      </c>
      <c r="L433" t="str" cm="1">
        <f t="array" ref="L433">_xlfn.IFS(C433&lt;18,"Under_18",C433&lt;=25,"Youth",C433&lt;=35,"Young_Adults",C433&lt;=45,"Mid_Adults",TRUE,"Seniors")</f>
        <v>Mid_Adults</v>
      </c>
    </row>
    <row r="434" spans="1:12" x14ac:dyDescent="0.2">
      <c r="A434">
        <v>433</v>
      </c>
      <c r="B434" t="str">
        <f>_xlfn.XLOOKUP(A434,Instagram_Usage_Lifestyle_Mini_!A434,Instagram_Usage_Lifestyle_Mini_!B434,1)</f>
        <v>Instagram</v>
      </c>
      <c r="C434">
        <f>_xlfn.XLOOKUP($A:$A,Instagram_Usage_Lifestyle_Mini_!$A:$A,Instagram_Usage_Lifestyle_Mini_!$C:$K)</f>
        <v>47</v>
      </c>
      <c r="D434" t="str">
        <f>_xlfn.XLOOKUP($A:$A,Instagram_Usage_Lifestyle_Mini_!$A:$A,Instagram_Usage_Lifestyle_Mini_!$C:$K)</f>
        <v>Female</v>
      </c>
      <c r="E434" t="str">
        <f>_xlfn.XLOOKUP($A:$A,Instagram_Usage_Lifestyle_Mini_!$A:$A,Instagram_Usage_Lifestyle_Mini_!$C:$K)</f>
        <v>Australia</v>
      </c>
      <c r="F434" t="str">
        <f>_xlfn.XLOOKUP($A:$A,Instagram_Usage_Lifestyle_Mini_!$A:$A,Instagram_Usage_Lifestyle_Mini_!$C:$K)</f>
        <v>Urban</v>
      </c>
      <c r="G434" t="str">
        <f>_xlfn.XLOOKUP($A:$A,Instagram_Usage_Lifestyle_Mini_!$A:$A,Instagram_Usage_Lifestyle_Mini_!$C:$K)</f>
        <v>Middle</v>
      </c>
      <c r="H434" t="str">
        <f>_xlfn.XLOOKUP($A:$A,Instagram_Usage_Lifestyle_Mini_!$A:$A,Instagram_Usage_Lifestyle_Mini_!$C:$K)</f>
        <v>Student</v>
      </c>
      <c r="I434" t="str">
        <f>_xlfn.XLOOKUP($A:$A,Instagram_Usage_Lifestyle_Mini_!$A:$A,Instagram_Usage_Lifestyle_Mini_!$C:$K)</f>
        <v>Masters_degree</v>
      </c>
      <c r="J434" t="str">
        <f>_xlfn.XLOOKUP($A:$A,Instagram_Usage_Lifestyle_Mini_!$A:$A,Instagram_Usage_Lifestyle_Mini_!$C:$K)</f>
        <v>Single</v>
      </c>
      <c r="K434" t="str">
        <f>_xlfn.XLOOKUP($A:$A,Instagram_Usage_Lifestyle_Mini_!$A:$A,Instagram_Usage_Lifestyle_Mini_!$C:$K)</f>
        <v>Yes</v>
      </c>
      <c r="L434" t="str" cm="1">
        <f t="array" ref="L434">_xlfn.IFS(C434&lt;18,"Under_18",C434&lt;=25,"Youth",C434&lt;=35,"Young_Adults",C434&lt;=45,"Mid_Adults",TRUE,"Seniors")</f>
        <v>Seniors</v>
      </c>
    </row>
    <row r="435" spans="1:12" x14ac:dyDescent="0.2">
      <c r="A435">
        <v>434</v>
      </c>
      <c r="B435" t="str">
        <f>_xlfn.XLOOKUP(A435,Instagram_Usage_Lifestyle_Mini_!A435,Instagram_Usage_Lifestyle_Mini_!B435,1)</f>
        <v>Instagram</v>
      </c>
      <c r="C435">
        <f>_xlfn.XLOOKUP($A:$A,Instagram_Usage_Lifestyle_Mini_!$A:$A,Instagram_Usage_Lifestyle_Mini_!$C:$K)</f>
        <v>62</v>
      </c>
      <c r="D435" t="str">
        <f>_xlfn.XLOOKUP($A:$A,Instagram_Usage_Lifestyle_Mini_!$A:$A,Instagram_Usage_Lifestyle_Mini_!$C:$K)</f>
        <v>Male</v>
      </c>
      <c r="E435" t="str">
        <f>_xlfn.XLOOKUP($A:$A,Instagram_Usage_Lifestyle_Mini_!$A:$A,Instagram_Usage_Lifestyle_Mini_!$C:$K)</f>
        <v>South_Korea</v>
      </c>
      <c r="F435" t="str">
        <f>_xlfn.XLOOKUP($A:$A,Instagram_Usage_Lifestyle_Mini_!$A:$A,Instagram_Usage_Lifestyle_Mini_!$C:$K)</f>
        <v>Suburban</v>
      </c>
      <c r="G435" t="str">
        <f>_xlfn.XLOOKUP($A:$A,Instagram_Usage_Lifestyle_Mini_!$A:$A,Instagram_Usage_Lifestyle_Mini_!$C:$K)</f>
        <v>Middle</v>
      </c>
      <c r="H435" t="str">
        <f>_xlfn.XLOOKUP($A:$A,Instagram_Usage_Lifestyle_Mini_!$A:$A,Instagram_Usage_Lifestyle_Mini_!$C:$K)</f>
        <v>Full_time_employed</v>
      </c>
      <c r="I435" t="str">
        <f>_xlfn.XLOOKUP($A:$A,Instagram_Usage_Lifestyle_Mini_!$A:$A,Instagram_Usage_Lifestyle_Mini_!$C:$K)</f>
        <v>Bachelors_degree</v>
      </c>
      <c r="J435" t="str">
        <f>_xlfn.XLOOKUP($A:$A,Instagram_Usage_Lifestyle_Mini_!$A:$A,Instagram_Usage_Lifestyle_Mini_!$C:$K)</f>
        <v>Married</v>
      </c>
      <c r="K435" t="str">
        <f>_xlfn.XLOOKUP($A:$A,Instagram_Usage_Lifestyle_Mini_!$A:$A,Instagram_Usage_Lifestyle_Mini_!$C:$K)</f>
        <v>Yes</v>
      </c>
      <c r="L435" t="str" cm="1">
        <f t="array" ref="L435">_xlfn.IFS(C435&lt;18,"Under_18",C435&lt;=25,"Youth",C435&lt;=35,"Young_Adults",C435&lt;=45,"Mid_Adults",TRUE,"Seniors")</f>
        <v>Seniors</v>
      </c>
    </row>
    <row r="436" spans="1:12" x14ac:dyDescent="0.2">
      <c r="A436">
        <v>435</v>
      </c>
      <c r="B436" t="str">
        <f>_xlfn.XLOOKUP(A436,Instagram_Usage_Lifestyle_Mini_!A436,Instagram_Usage_Lifestyle_Mini_!B436,1)</f>
        <v>Instagram</v>
      </c>
      <c r="C436">
        <f>_xlfn.XLOOKUP($A:$A,Instagram_Usage_Lifestyle_Mini_!$A:$A,Instagram_Usage_Lifestyle_Mini_!$C:$K)</f>
        <v>37</v>
      </c>
      <c r="D436" t="str">
        <f>_xlfn.XLOOKUP($A:$A,Instagram_Usage_Lifestyle_Mini_!$A:$A,Instagram_Usage_Lifestyle_Mini_!$C:$K)</f>
        <v>Male</v>
      </c>
      <c r="E436" t="str">
        <f>_xlfn.XLOOKUP($A:$A,Instagram_Usage_Lifestyle_Mini_!$A:$A,Instagram_Usage_Lifestyle_Mini_!$C:$K)</f>
        <v>United_States</v>
      </c>
      <c r="F436" t="str">
        <f>_xlfn.XLOOKUP($A:$A,Instagram_Usage_Lifestyle_Mini_!$A:$A,Instagram_Usage_Lifestyle_Mini_!$C:$K)</f>
        <v>Rural</v>
      </c>
      <c r="G436" t="str">
        <f>_xlfn.XLOOKUP($A:$A,Instagram_Usage_Lifestyle_Mini_!$A:$A,Instagram_Usage_Lifestyle_Mini_!$C:$K)</f>
        <v>Low</v>
      </c>
      <c r="H436" t="str">
        <f>_xlfn.XLOOKUP($A:$A,Instagram_Usage_Lifestyle_Mini_!$A:$A,Instagram_Usage_Lifestyle_Mini_!$C:$K)</f>
        <v>Student</v>
      </c>
      <c r="I436" t="str">
        <f>_xlfn.XLOOKUP($A:$A,Instagram_Usage_Lifestyle_Mini_!$A:$A,Instagram_Usage_Lifestyle_Mini_!$C:$K)</f>
        <v>Some_college</v>
      </c>
      <c r="J436" t="str">
        <f>_xlfn.XLOOKUP($A:$A,Instagram_Usage_Lifestyle_Mini_!$A:$A,Instagram_Usage_Lifestyle_Mini_!$C:$K)</f>
        <v>Married</v>
      </c>
      <c r="K436" t="str">
        <f>_xlfn.XLOOKUP($A:$A,Instagram_Usage_Lifestyle_Mini_!$A:$A,Instagram_Usage_Lifestyle_Mini_!$C:$K)</f>
        <v>No</v>
      </c>
      <c r="L436" t="str" cm="1">
        <f t="array" ref="L436">_xlfn.IFS(C436&lt;18,"Under_18",C436&lt;=25,"Youth",C436&lt;=35,"Young_Adults",C436&lt;=45,"Mid_Adults",TRUE,"Seniors")</f>
        <v>Mid_Adults</v>
      </c>
    </row>
    <row r="437" spans="1:12" x14ac:dyDescent="0.2">
      <c r="A437">
        <v>436</v>
      </c>
      <c r="B437" t="str">
        <f>_xlfn.XLOOKUP(A437,Instagram_Usage_Lifestyle_Mini_!A437,Instagram_Usage_Lifestyle_Mini_!B437,1)</f>
        <v>Instagram</v>
      </c>
      <c r="C437">
        <f>_xlfn.XLOOKUP($A:$A,Instagram_Usage_Lifestyle_Mini_!$A:$A,Instagram_Usage_Lifestyle_Mini_!$C:$K)</f>
        <v>36</v>
      </c>
      <c r="D437" t="str">
        <f>_xlfn.XLOOKUP($A:$A,Instagram_Usage_Lifestyle_Mini_!$A:$A,Instagram_Usage_Lifestyle_Mini_!$C:$K)</f>
        <v>Male</v>
      </c>
      <c r="E437" t="str">
        <f>_xlfn.XLOOKUP($A:$A,Instagram_Usage_Lifestyle_Mini_!$A:$A,Instagram_Usage_Lifestyle_Mini_!$C:$K)</f>
        <v>Germany</v>
      </c>
      <c r="F437" t="str">
        <f>_xlfn.XLOOKUP($A:$A,Instagram_Usage_Lifestyle_Mini_!$A:$A,Instagram_Usage_Lifestyle_Mini_!$C:$K)</f>
        <v>Urban</v>
      </c>
      <c r="G437" t="str">
        <f>_xlfn.XLOOKUP($A:$A,Instagram_Usage_Lifestyle_Mini_!$A:$A,Instagram_Usage_Lifestyle_Mini_!$C:$K)</f>
        <v>Middle</v>
      </c>
      <c r="H437" t="str">
        <f>_xlfn.XLOOKUP($A:$A,Instagram_Usage_Lifestyle_Mini_!$A:$A,Instagram_Usage_Lifestyle_Mini_!$C:$K)</f>
        <v>Freelancer</v>
      </c>
      <c r="I437" t="str">
        <f>_xlfn.XLOOKUP($A:$A,Instagram_Usage_Lifestyle_Mini_!$A:$A,Instagram_Usage_Lifestyle_Mini_!$C:$K)</f>
        <v>Masters_degree</v>
      </c>
      <c r="J437" t="str">
        <f>_xlfn.XLOOKUP($A:$A,Instagram_Usage_Lifestyle_Mini_!$A:$A,Instagram_Usage_Lifestyle_Mini_!$C:$K)</f>
        <v>In_a_relationship</v>
      </c>
      <c r="K437" t="str">
        <f>_xlfn.XLOOKUP($A:$A,Instagram_Usage_Lifestyle_Mini_!$A:$A,Instagram_Usage_Lifestyle_Mini_!$C:$K)</f>
        <v>Yes</v>
      </c>
      <c r="L437" t="str" cm="1">
        <f t="array" ref="L437">_xlfn.IFS(C437&lt;18,"Under_18",C437&lt;=25,"Youth",C437&lt;=35,"Young_Adults",C437&lt;=45,"Mid_Adults",TRUE,"Seniors")</f>
        <v>Mid_Adults</v>
      </c>
    </row>
    <row r="438" spans="1:12" x14ac:dyDescent="0.2">
      <c r="A438">
        <v>437</v>
      </c>
      <c r="B438" t="str">
        <f>_xlfn.XLOOKUP(A438,Instagram_Usage_Lifestyle_Mini_!A438,Instagram_Usage_Lifestyle_Mini_!B438,1)</f>
        <v>Instagram</v>
      </c>
      <c r="C438">
        <f>_xlfn.XLOOKUP($A:$A,Instagram_Usage_Lifestyle_Mini_!$A:$A,Instagram_Usage_Lifestyle_Mini_!$C:$K)</f>
        <v>25</v>
      </c>
      <c r="D438" t="str">
        <f>_xlfn.XLOOKUP($A:$A,Instagram_Usage_Lifestyle_Mini_!$A:$A,Instagram_Usage_Lifestyle_Mini_!$C:$K)</f>
        <v>Male</v>
      </c>
      <c r="E438" t="str">
        <f>_xlfn.XLOOKUP($A:$A,Instagram_Usage_Lifestyle_Mini_!$A:$A,Instagram_Usage_Lifestyle_Mini_!$C:$K)</f>
        <v>United _Kingdom</v>
      </c>
      <c r="F438" t="str">
        <f>_xlfn.XLOOKUP($A:$A,Instagram_Usage_Lifestyle_Mini_!$A:$A,Instagram_Usage_Lifestyle_Mini_!$C:$K)</f>
        <v>Suburban</v>
      </c>
      <c r="G438" t="str">
        <f>_xlfn.XLOOKUP($A:$A,Instagram_Usage_Lifestyle_Mini_!$A:$A,Instagram_Usage_Lifestyle_Mini_!$C:$K)</f>
        <v>Low</v>
      </c>
      <c r="H438" t="str">
        <f>_xlfn.XLOOKUP($A:$A,Instagram_Usage_Lifestyle_Mini_!$A:$A,Instagram_Usage_Lifestyle_Mini_!$C:$K)</f>
        <v>Full_time_employed</v>
      </c>
      <c r="I438" t="str">
        <f>_xlfn.XLOOKUP($A:$A,Instagram_Usage_Lifestyle_Mini_!$A:$A,Instagram_Usage_Lifestyle_Mini_!$C:$K)</f>
        <v>High_school</v>
      </c>
      <c r="J438" t="str">
        <f>_xlfn.XLOOKUP($A:$A,Instagram_Usage_Lifestyle_Mini_!$A:$A,Instagram_Usage_Lifestyle_Mini_!$C:$K)</f>
        <v>In_a_relationship</v>
      </c>
      <c r="K438" t="str">
        <f>_xlfn.XLOOKUP($A:$A,Instagram_Usage_Lifestyle_Mini_!$A:$A,Instagram_Usage_Lifestyle_Mini_!$C:$K)</f>
        <v>No</v>
      </c>
      <c r="L438" t="str" cm="1">
        <f t="array" ref="L438">_xlfn.IFS(C438&lt;18,"Under_18",C438&lt;=25,"Youth",C438&lt;=35,"Young_Adults",C438&lt;=45,"Mid_Adults",TRUE,"Seniors")</f>
        <v>Youth</v>
      </c>
    </row>
    <row r="439" spans="1:12" x14ac:dyDescent="0.2">
      <c r="A439">
        <v>438</v>
      </c>
      <c r="B439" t="str">
        <f>_xlfn.XLOOKUP(A439,Instagram_Usage_Lifestyle_Mini_!A439,Instagram_Usage_Lifestyle_Mini_!B439,1)</f>
        <v>Instagram</v>
      </c>
      <c r="C439">
        <f>_xlfn.XLOOKUP($A:$A,Instagram_Usage_Lifestyle_Mini_!$A:$A,Instagram_Usage_Lifestyle_Mini_!$C:$K)</f>
        <v>19</v>
      </c>
      <c r="D439" t="str">
        <f>_xlfn.XLOOKUP($A:$A,Instagram_Usage_Lifestyle_Mini_!$A:$A,Instagram_Usage_Lifestyle_Mini_!$C:$K)</f>
        <v>Female</v>
      </c>
      <c r="E439" t="str">
        <f>_xlfn.XLOOKUP($A:$A,Instagram_Usage_Lifestyle_Mini_!$A:$A,Instagram_Usage_Lifestyle_Mini_!$C:$K)</f>
        <v>South_Korea</v>
      </c>
      <c r="F439" t="str">
        <f>_xlfn.XLOOKUP($A:$A,Instagram_Usage_Lifestyle_Mini_!$A:$A,Instagram_Usage_Lifestyle_Mini_!$C:$K)</f>
        <v>Suburban</v>
      </c>
      <c r="G439" t="str">
        <f>_xlfn.XLOOKUP($A:$A,Instagram_Usage_Lifestyle_Mini_!$A:$A,Instagram_Usage_Lifestyle_Mini_!$C:$K)</f>
        <v>Upper_middle</v>
      </c>
      <c r="H439" t="str">
        <f>_xlfn.XLOOKUP($A:$A,Instagram_Usage_Lifestyle_Mini_!$A:$A,Instagram_Usage_Lifestyle_Mini_!$C:$K)</f>
        <v>Student</v>
      </c>
      <c r="I439" t="str">
        <f>_xlfn.XLOOKUP($A:$A,Instagram_Usage_Lifestyle_Mini_!$A:$A,Instagram_Usage_Lifestyle_Mini_!$C:$K)</f>
        <v>Some_college</v>
      </c>
      <c r="J439" t="str">
        <f>_xlfn.XLOOKUP($A:$A,Instagram_Usage_Lifestyle_Mini_!$A:$A,Instagram_Usage_Lifestyle_Mini_!$C:$K)</f>
        <v>Married</v>
      </c>
      <c r="K439" t="str">
        <f>_xlfn.XLOOKUP($A:$A,Instagram_Usage_Lifestyle_Mini_!$A:$A,Instagram_Usage_Lifestyle_Mini_!$C:$K)</f>
        <v>No</v>
      </c>
      <c r="L439" t="str" cm="1">
        <f t="array" ref="L439">_xlfn.IFS(C439&lt;18,"Under_18",C439&lt;=25,"Youth",C439&lt;=35,"Young_Adults",C439&lt;=45,"Mid_Adults",TRUE,"Seniors")</f>
        <v>Youth</v>
      </c>
    </row>
    <row r="440" spans="1:12" x14ac:dyDescent="0.2">
      <c r="A440">
        <v>439</v>
      </c>
      <c r="B440" t="str">
        <f>_xlfn.XLOOKUP(A440,Instagram_Usage_Lifestyle_Mini_!A440,Instagram_Usage_Lifestyle_Mini_!B440,1)</f>
        <v>Instagram</v>
      </c>
      <c r="C440">
        <f>_xlfn.XLOOKUP($A:$A,Instagram_Usage_Lifestyle_Mini_!$A:$A,Instagram_Usage_Lifestyle_Mini_!$C:$K)</f>
        <v>48</v>
      </c>
      <c r="D440" t="str">
        <f>_xlfn.XLOOKUP($A:$A,Instagram_Usage_Lifestyle_Mini_!$A:$A,Instagram_Usage_Lifestyle_Mini_!$C:$K)</f>
        <v>Female</v>
      </c>
      <c r="E440" t="str">
        <f>_xlfn.XLOOKUP($A:$A,Instagram_Usage_Lifestyle_Mini_!$A:$A,Instagram_Usage_Lifestyle_Mini_!$C:$K)</f>
        <v>United_States</v>
      </c>
      <c r="F440" t="str">
        <f>_xlfn.XLOOKUP($A:$A,Instagram_Usage_Lifestyle_Mini_!$A:$A,Instagram_Usage_Lifestyle_Mini_!$C:$K)</f>
        <v>Suburban</v>
      </c>
      <c r="G440" t="str">
        <f>_xlfn.XLOOKUP($A:$A,Instagram_Usage_Lifestyle_Mini_!$A:$A,Instagram_Usage_Lifestyle_Mini_!$C:$K)</f>
        <v>Lower_middle</v>
      </c>
      <c r="H440" t="str">
        <f>_xlfn.XLOOKUP($A:$A,Instagram_Usage_Lifestyle_Mini_!$A:$A,Instagram_Usage_Lifestyle_Mini_!$C:$K)</f>
        <v>Freelancer</v>
      </c>
      <c r="I440" t="str">
        <f>_xlfn.XLOOKUP($A:$A,Instagram_Usage_Lifestyle_Mini_!$A:$A,Instagram_Usage_Lifestyle_Mini_!$C:$K)</f>
        <v>Some_college</v>
      </c>
      <c r="J440" t="str">
        <f>_xlfn.XLOOKUP($A:$A,Instagram_Usage_Lifestyle_Mini_!$A:$A,Instagram_Usage_Lifestyle_Mini_!$C:$K)</f>
        <v>Single</v>
      </c>
      <c r="K440" t="str">
        <f>_xlfn.XLOOKUP($A:$A,Instagram_Usage_Lifestyle_Mini_!$A:$A,Instagram_Usage_Lifestyle_Mini_!$C:$K)</f>
        <v>No</v>
      </c>
      <c r="L440" t="str" cm="1">
        <f t="array" ref="L440">_xlfn.IFS(C440&lt;18,"Under_18",C440&lt;=25,"Youth",C440&lt;=35,"Young_Adults",C440&lt;=45,"Mid_Adults",TRUE,"Seniors")</f>
        <v>Seniors</v>
      </c>
    </row>
    <row r="441" spans="1:12" x14ac:dyDescent="0.2">
      <c r="A441">
        <v>440</v>
      </c>
      <c r="B441" t="str">
        <f>_xlfn.XLOOKUP(A441,Instagram_Usage_Lifestyle_Mini_!A441,Instagram_Usage_Lifestyle_Mini_!B441,1)</f>
        <v>Instagram</v>
      </c>
      <c r="C441">
        <f>_xlfn.XLOOKUP($A:$A,Instagram_Usage_Lifestyle_Mini_!$A:$A,Instagram_Usage_Lifestyle_Mini_!$C:$K)</f>
        <v>57</v>
      </c>
      <c r="D441" t="str">
        <f>_xlfn.XLOOKUP($A:$A,Instagram_Usage_Lifestyle_Mini_!$A:$A,Instagram_Usage_Lifestyle_Mini_!$C:$K)</f>
        <v>Male</v>
      </c>
      <c r="E441" t="str">
        <f>_xlfn.XLOOKUP($A:$A,Instagram_Usage_Lifestyle_Mini_!$A:$A,Instagram_Usage_Lifestyle_Mini_!$C:$K)</f>
        <v>India</v>
      </c>
      <c r="F441" t="str">
        <f>_xlfn.XLOOKUP($A:$A,Instagram_Usage_Lifestyle_Mini_!$A:$A,Instagram_Usage_Lifestyle_Mini_!$C:$K)</f>
        <v>Urban</v>
      </c>
      <c r="G441" t="str">
        <f>_xlfn.XLOOKUP($A:$A,Instagram_Usage_Lifestyle_Mini_!$A:$A,Instagram_Usage_Lifestyle_Mini_!$C:$K)</f>
        <v>Low</v>
      </c>
      <c r="H441" t="str">
        <f>_xlfn.XLOOKUP($A:$A,Instagram_Usage_Lifestyle_Mini_!$A:$A,Instagram_Usage_Lifestyle_Mini_!$C:$K)</f>
        <v>Full_time_employed</v>
      </c>
      <c r="I441" t="str">
        <f>_xlfn.XLOOKUP($A:$A,Instagram_Usage_Lifestyle_Mini_!$A:$A,Instagram_Usage_Lifestyle_Mini_!$C:$K)</f>
        <v>Bachelors_degree</v>
      </c>
      <c r="J441" t="str">
        <f>_xlfn.XLOOKUP($A:$A,Instagram_Usage_Lifestyle_Mini_!$A:$A,Instagram_Usage_Lifestyle_Mini_!$C:$K)</f>
        <v>Married</v>
      </c>
      <c r="K441" t="str">
        <f>_xlfn.XLOOKUP($A:$A,Instagram_Usage_Lifestyle_Mini_!$A:$A,Instagram_Usage_Lifestyle_Mini_!$C:$K)</f>
        <v>No</v>
      </c>
      <c r="L441" t="str" cm="1">
        <f t="array" ref="L441">_xlfn.IFS(C441&lt;18,"Under_18",C441&lt;=25,"Youth",C441&lt;=35,"Young_Adults",C441&lt;=45,"Mid_Adults",TRUE,"Seniors")</f>
        <v>Seniors</v>
      </c>
    </row>
    <row r="442" spans="1:12" x14ac:dyDescent="0.2">
      <c r="A442">
        <v>441</v>
      </c>
      <c r="B442" t="str">
        <f>_xlfn.XLOOKUP(A442,Instagram_Usage_Lifestyle_Mini_!A442,Instagram_Usage_Lifestyle_Mini_!B442,1)</f>
        <v>Instagram</v>
      </c>
      <c r="C442">
        <f>_xlfn.XLOOKUP($A:$A,Instagram_Usage_Lifestyle_Mini_!$A:$A,Instagram_Usage_Lifestyle_Mini_!$C:$K)</f>
        <v>32</v>
      </c>
      <c r="D442" t="str">
        <f>_xlfn.XLOOKUP($A:$A,Instagram_Usage_Lifestyle_Mini_!$A:$A,Instagram_Usage_Lifestyle_Mini_!$C:$K)</f>
        <v>Female</v>
      </c>
      <c r="E442" t="str">
        <f>_xlfn.XLOOKUP($A:$A,Instagram_Usage_Lifestyle_Mini_!$A:$A,Instagram_Usage_Lifestyle_Mini_!$C:$K)</f>
        <v>Other</v>
      </c>
      <c r="F442" t="str">
        <f>_xlfn.XLOOKUP($A:$A,Instagram_Usage_Lifestyle_Mini_!$A:$A,Instagram_Usage_Lifestyle_Mini_!$C:$K)</f>
        <v>Suburban</v>
      </c>
      <c r="G442" t="str">
        <f>_xlfn.XLOOKUP($A:$A,Instagram_Usage_Lifestyle_Mini_!$A:$A,Instagram_Usage_Lifestyle_Mini_!$C:$K)</f>
        <v>Lower_middle</v>
      </c>
      <c r="H442" t="str">
        <f>_xlfn.XLOOKUP($A:$A,Instagram_Usage_Lifestyle_Mini_!$A:$A,Instagram_Usage_Lifestyle_Mini_!$C:$K)</f>
        <v>Student</v>
      </c>
      <c r="I442" t="str">
        <f>_xlfn.XLOOKUP($A:$A,Instagram_Usage_Lifestyle_Mini_!$A:$A,Instagram_Usage_Lifestyle_Mini_!$C:$K)</f>
        <v>Bachelors_degree</v>
      </c>
      <c r="J442" t="str">
        <f>_xlfn.XLOOKUP($A:$A,Instagram_Usage_Lifestyle_Mini_!$A:$A,Instagram_Usage_Lifestyle_Mini_!$C:$K)</f>
        <v>Married</v>
      </c>
      <c r="K442" t="str">
        <f>_xlfn.XLOOKUP($A:$A,Instagram_Usage_Lifestyle_Mini_!$A:$A,Instagram_Usage_Lifestyle_Mini_!$C:$K)</f>
        <v>Yes</v>
      </c>
      <c r="L442" t="str" cm="1">
        <f t="array" ref="L442">_xlfn.IFS(C442&lt;18,"Under_18",C442&lt;=25,"Youth",C442&lt;=35,"Young_Adults",C442&lt;=45,"Mid_Adults",TRUE,"Seniors")</f>
        <v>Young_Adults</v>
      </c>
    </row>
    <row r="443" spans="1:12" x14ac:dyDescent="0.2">
      <c r="A443">
        <v>442</v>
      </c>
      <c r="B443" t="str">
        <f>_xlfn.XLOOKUP(A443,Instagram_Usage_Lifestyle_Mini_!A443,Instagram_Usage_Lifestyle_Mini_!B443,1)</f>
        <v>Instagram</v>
      </c>
      <c r="C443">
        <f>_xlfn.XLOOKUP($A:$A,Instagram_Usage_Lifestyle_Mini_!$A:$A,Instagram_Usage_Lifestyle_Mini_!$C:$K)</f>
        <v>13</v>
      </c>
      <c r="D443" t="str">
        <f>_xlfn.XLOOKUP($A:$A,Instagram_Usage_Lifestyle_Mini_!$A:$A,Instagram_Usage_Lifestyle_Mini_!$C:$K)</f>
        <v>Female</v>
      </c>
      <c r="E443" t="str">
        <f>_xlfn.XLOOKUP($A:$A,Instagram_Usage_Lifestyle_Mini_!$A:$A,Instagram_Usage_Lifestyle_Mini_!$C:$K)</f>
        <v>South_Korea</v>
      </c>
      <c r="F443" t="str">
        <f>_xlfn.XLOOKUP($A:$A,Instagram_Usage_Lifestyle_Mini_!$A:$A,Instagram_Usage_Lifestyle_Mini_!$C:$K)</f>
        <v>Urban</v>
      </c>
      <c r="G443" t="str">
        <f>_xlfn.XLOOKUP($A:$A,Instagram_Usage_Lifestyle_Mini_!$A:$A,Instagram_Usage_Lifestyle_Mini_!$C:$K)</f>
        <v>Lower_middle</v>
      </c>
      <c r="H443" t="str">
        <f>_xlfn.XLOOKUP($A:$A,Instagram_Usage_Lifestyle_Mini_!$A:$A,Instagram_Usage_Lifestyle_Mini_!$C:$K)</f>
        <v>Full_time_employed</v>
      </c>
      <c r="I443" t="str">
        <f>_xlfn.XLOOKUP($A:$A,Instagram_Usage_Lifestyle_Mini_!$A:$A,Instagram_Usage_Lifestyle_Mini_!$C:$K)</f>
        <v>Bachelors_degree</v>
      </c>
      <c r="J443" t="str">
        <f>_xlfn.XLOOKUP($A:$A,Instagram_Usage_Lifestyle_Mini_!$A:$A,Instagram_Usage_Lifestyle_Mini_!$C:$K)</f>
        <v>Divorced</v>
      </c>
      <c r="K443" t="str">
        <f>_xlfn.XLOOKUP($A:$A,Instagram_Usage_Lifestyle_Mini_!$A:$A,Instagram_Usage_Lifestyle_Mini_!$C:$K)</f>
        <v>Yes</v>
      </c>
      <c r="L443" t="str" cm="1">
        <f t="array" ref="L443">_xlfn.IFS(C443&lt;18,"Under_18",C443&lt;=25,"Youth",C443&lt;=35,"Young_Adults",C443&lt;=45,"Mid_Adults",TRUE,"Seniors")</f>
        <v>Under_18</v>
      </c>
    </row>
    <row r="444" spans="1:12" x14ac:dyDescent="0.2">
      <c r="A444">
        <v>443</v>
      </c>
      <c r="B444" t="str">
        <f>_xlfn.XLOOKUP(A444,Instagram_Usage_Lifestyle_Mini_!A444,Instagram_Usage_Lifestyle_Mini_!B444,1)</f>
        <v>Instagram</v>
      </c>
      <c r="C444">
        <f>_xlfn.XLOOKUP($A:$A,Instagram_Usage_Lifestyle_Mini_!$A:$A,Instagram_Usage_Lifestyle_Mini_!$C:$K)</f>
        <v>20</v>
      </c>
      <c r="D444" t="str">
        <f>_xlfn.XLOOKUP($A:$A,Instagram_Usage_Lifestyle_Mini_!$A:$A,Instagram_Usage_Lifestyle_Mini_!$C:$K)</f>
        <v>Male</v>
      </c>
      <c r="E444" t="str">
        <f>_xlfn.XLOOKUP($A:$A,Instagram_Usage_Lifestyle_Mini_!$A:$A,Instagram_Usage_Lifestyle_Mini_!$C:$K)</f>
        <v>Japan</v>
      </c>
      <c r="F444" t="str">
        <f>_xlfn.XLOOKUP($A:$A,Instagram_Usage_Lifestyle_Mini_!$A:$A,Instagram_Usage_Lifestyle_Mini_!$C:$K)</f>
        <v>Urban</v>
      </c>
      <c r="G444" t="str">
        <f>_xlfn.XLOOKUP($A:$A,Instagram_Usage_Lifestyle_Mini_!$A:$A,Instagram_Usage_Lifestyle_Mini_!$C:$K)</f>
        <v>Low</v>
      </c>
      <c r="H444" t="str">
        <f>_xlfn.XLOOKUP($A:$A,Instagram_Usage_Lifestyle_Mini_!$A:$A,Instagram_Usage_Lifestyle_Mini_!$C:$K)</f>
        <v>Student</v>
      </c>
      <c r="I444" t="str">
        <f>_xlfn.XLOOKUP($A:$A,Instagram_Usage_Lifestyle_Mini_!$A:$A,Instagram_Usage_Lifestyle_Mini_!$C:$K)</f>
        <v>Bachelors_degree</v>
      </c>
      <c r="J444" t="str">
        <f>_xlfn.XLOOKUP($A:$A,Instagram_Usage_Lifestyle_Mini_!$A:$A,Instagram_Usage_Lifestyle_Mini_!$C:$K)</f>
        <v>Married</v>
      </c>
      <c r="K444" t="str">
        <f>_xlfn.XLOOKUP($A:$A,Instagram_Usage_Lifestyle_Mini_!$A:$A,Instagram_Usage_Lifestyle_Mini_!$C:$K)</f>
        <v>No</v>
      </c>
      <c r="L444" t="str" cm="1">
        <f t="array" ref="L444">_xlfn.IFS(C444&lt;18,"Under_18",C444&lt;=25,"Youth",C444&lt;=35,"Young_Adults",C444&lt;=45,"Mid_Adults",TRUE,"Seniors")</f>
        <v>Youth</v>
      </c>
    </row>
    <row r="445" spans="1:12" x14ac:dyDescent="0.2">
      <c r="A445">
        <v>444</v>
      </c>
      <c r="B445" t="str">
        <f>_xlfn.XLOOKUP(A445,Instagram_Usage_Lifestyle_Mini_!A445,Instagram_Usage_Lifestyle_Mini_!B445,1)</f>
        <v>Instagram</v>
      </c>
      <c r="C445">
        <f>_xlfn.XLOOKUP($A:$A,Instagram_Usage_Lifestyle_Mini_!$A:$A,Instagram_Usage_Lifestyle_Mini_!$C:$K)</f>
        <v>58</v>
      </c>
      <c r="D445" t="str">
        <f>_xlfn.XLOOKUP($A:$A,Instagram_Usage_Lifestyle_Mini_!$A:$A,Instagram_Usage_Lifestyle_Mini_!$C:$K)</f>
        <v>Female</v>
      </c>
      <c r="E445" t="str">
        <f>_xlfn.XLOOKUP($A:$A,Instagram_Usage_Lifestyle_Mini_!$A:$A,Instagram_Usage_Lifestyle_Mini_!$C:$K)</f>
        <v>India</v>
      </c>
      <c r="F445" t="str">
        <f>_xlfn.XLOOKUP($A:$A,Instagram_Usage_Lifestyle_Mini_!$A:$A,Instagram_Usage_Lifestyle_Mini_!$C:$K)</f>
        <v>Urban</v>
      </c>
      <c r="G445" t="str">
        <f>_xlfn.XLOOKUP($A:$A,Instagram_Usage_Lifestyle_Mini_!$A:$A,Instagram_Usage_Lifestyle_Mini_!$C:$K)</f>
        <v>Low</v>
      </c>
      <c r="H445" t="str">
        <f>_xlfn.XLOOKUP($A:$A,Instagram_Usage_Lifestyle_Mini_!$A:$A,Instagram_Usage_Lifestyle_Mini_!$C:$K)</f>
        <v>Full_time_employed</v>
      </c>
      <c r="I445" t="str">
        <f>_xlfn.XLOOKUP($A:$A,Instagram_Usage_Lifestyle_Mini_!$A:$A,Instagram_Usage_Lifestyle_Mini_!$C:$K)</f>
        <v>Bachelors_degree</v>
      </c>
      <c r="J445" t="str">
        <f>_xlfn.XLOOKUP($A:$A,Instagram_Usage_Lifestyle_Mini_!$A:$A,Instagram_Usage_Lifestyle_Mini_!$C:$K)</f>
        <v>Single</v>
      </c>
      <c r="K445" t="str">
        <f>_xlfn.XLOOKUP($A:$A,Instagram_Usage_Lifestyle_Mini_!$A:$A,Instagram_Usage_Lifestyle_Mini_!$C:$K)</f>
        <v>Yes</v>
      </c>
      <c r="L445" t="str" cm="1">
        <f t="array" ref="L445">_xlfn.IFS(C445&lt;18,"Under_18",C445&lt;=25,"Youth",C445&lt;=35,"Young_Adults",C445&lt;=45,"Mid_Adults",TRUE,"Seniors")</f>
        <v>Seniors</v>
      </c>
    </row>
    <row r="446" spans="1:12" x14ac:dyDescent="0.2">
      <c r="A446">
        <v>445</v>
      </c>
      <c r="B446" t="str">
        <f>_xlfn.XLOOKUP(A446,Instagram_Usage_Lifestyle_Mini_!A446,Instagram_Usage_Lifestyle_Mini_!B446,1)</f>
        <v>Instagram</v>
      </c>
      <c r="C446">
        <f>_xlfn.XLOOKUP($A:$A,Instagram_Usage_Lifestyle_Mini_!$A:$A,Instagram_Usage_Lifestyle_Mini_!$C:$K)</f>
        <v>28</v>
      </c>
      <c r="D446" t="str">
        <f>_xlfn.XLOOKUP($A:$A,Instagram_Usage_Lifestyle_Mini_!$A:$A,Instagram_Usage_Lifestyle_Mini_!$C:$K)</f>
        <v>Male</v>
      </c>
      <c r="E446" t="str">
        <f>_xlfn.XLOOKUP($A:$A,Instagram_Usage_Lifestyle_Mini_!$A:$A,Instagram_Usage_Lifestyle_Mini_!$C:$K)</f>
        <v>United_States</v>
      </c>
      <c r="F446" t="str">
        <f>_xlfn.XLOOKUP($A:$A,Instagram_Usage_Lifestyle_Mini_!$A:$A,Instagram_Usage_Lifestyle_Mini_!$C:$K)</f>
        <v>Suburban</v>
      </c>
      <c r="G446" t="str">
        <f>_xlfn.XLOOKUP($A:$A,Instagram_Usage_Lifestyle_Mini_!$A:$A,Instagram_Usage_Lifestyle_Mini_!$C:$K)</f>
        <v>Low</v>
      </c>
      <c r="H446" t="str">
        <f>_xlfn.XLOOKUP($A:$A,Instagram_Usage_Lifestyle_Mini_!$A:$A,Instagram_Usage_Lifestyle_Mini_!$C:$K)</f>
        <v>Part_time</v>
      </c>
      <c r="I446" t="str">
        <f>_xlfn.XLOOKUP($A:$A,Instagram_Usage_Lifestyle_Mini_!$A:$A,Instagram_Usage_Lifestyle_Mini_!$C:$K)</f>
        <v>Other</v>
      </c>
      <c r="J446" t="str">
        <f>_xlfn.XLOOKUP($A:$A,Instagram_Usage_Lifestyle_Mini_!$A:$A,Instagram_Usage_Lifestyle_Mini_!$C:$K)</f>
        <v>Single</v>
      </c>
      <c r="K446" t="str">
        <f>_xlfn.XLOOKUP($A:$A,Instagram_Usage_Lifestyle_Mini_!$A:$A,Instagram_Usage_Lifestyle_Mini_!$C:$K)</f>
        <v>No</v>
      </c>
      <c r="L446" t="str" cm="1">
        <f t="array" ref="L446">_xlfn.IFS(C446&lt;18,"Under_18",C446&lt;=25,"Youth",C446&lt;=35,"Young_Adults",C446&lt;=45,"Mid_Adults",TRUE,"Seniors")</f>
        <v>Young_Adults</v>
      </c>
    </row>
    <row r="447" spans="1:12" x14ac:dyDescent="0.2">
      <c r="A447">
        <v>446</v>
      </c>
      <c r="B447" t="str">
        <f>_xlfn.XLOOKUP(A447,Instagram_Usage_Lifestyle_Mini_!A447,Instagram_Usage_Lifestyle_Mini_!B447,1)</f>
        <v>Instagram</v>
      </c>
      <c r="C447">
        <f>_xlfn.XLOOKUP($A:$A,Instagram_Usage_Lifestyle_Mini_!$A:$A,Instagram_Usage_Lifestyle_Mini_!$C:$K)</f>
        <v>26</v>
      </c>
      <c r="D447" t="str">
        <f>_xlfn.XLOOKUP($A:$A,Instagram_Usage_Lifestyle_Mini_!$A:$A,Instagram_Usage_Lifestyle_Mini_!$C:$K)</f>
        <v>Male</v>
      </c>
      <c r="E447" t="str">
        <f>_xlfn.XLOOKUP($A:$A,Instagram_Usage_Lifestyle_Mini_!$A:$A,Instagram_Usage_Lifestyle_Mini_!$C:$K)</f>
        <v>United_States</v>
      </c>
      <c r="F447" t="str">
        <f>_xlfn.XLOOKUP($A:$A,Instagram_Usage_Lifestyle_Mini_!$A:$A,Instagram_Usage_Lifestyle_Mini_!$C:$K)</f>
        <v>Suburban</v>
      </c>
      <c r="G447" t="str">
        <f>_xlfn.XLOOKUP($A:$A,Instagram_Usage_Lifestyle_Mini_!$A:$A,Instagram_Usage_Lifestyle_Mini_!$C:$K)</f>
        <v>Low</v>
      </c>
      <c r="H447" t="str">
        <f>_xlfn.XLOOKUP($A:$A,Instagram_Usage_Lifestyle_Mini_!$A:$A,Instagram_Usage_Lifestyle_Mini_!$C:$K)</f>
        <v>Full_time_employed</v>
      </c>
      <c r="I447" t="str">
        <f>_xlfn.XLOOKUP($A:$A,Instagram_Usage_Lifestyle_Mini_!$A:$A,Instagram_Usage_Lifestyle_Mini_!$C:$K)</f>
        <v>High_school</v>
      </c>
      <c r="J447" t="str">
        <f>_xlfn.XLOOKUP($A:$A,Instagram_Usage_Lifestyle_Mini_!$A:$A,Instagram_Usage_Lifestyle_Mini_!$C:$K)</f>
        <v>Single</v>
      </c>
      <c r="K447" t="str">
        <f>_xlfn.XLOOKUP($A:$A,Instagram_Usage_Lifestyle_Mini_!$A:$A,Instagram_Usage_Lifestyle_Mini_!$C:$K)</f>
        <v>No</v>
      </c>
      <c r="L447" t="str" cm="1">
        <f t="array" ref="L447">_xlfn.IFS(C447&lt;18,"Under_18",C447&lt;=25,"Youth",C447&lt;=35,"Young_Adults",C447&lt;=45,"Mid_Adults",TRUE,"Seniors")</f>
        <v>Young_Adults</v>
      </c>
    </row>
    <row r="448" spans="1:12" x14ac:dyDescent="0.2">
      <c r="A448">
        <v>447</v>
      </c>
      <c r="B448" t="str">
        <f>_xlfn.XLOOKUP(A448,Instagram_Usage_Lifestyle_Mini_!A448,Instagram_Usage_Lifestyle_Mini_!B448,1)</f>
        <v>Instagram</v>
      </c>
      <c r="C448">
        <f>_xlfn.XLOOKUP($A:$A,Instagram_Usage_Lifestyle_Mini_!$A:$A,Instagram_Usage_Lifestyle_Mini_!$C:$K)</f>
        <v>24</v>
      </c>
      <c r="D448" t="str">
        <f>_xlfn.XLOOKUP($A:$A,Instagram_Usage_Lifestyle_Mini_!$A:$A,Instagram_Usage_Lifestyle_Mini_!$C:$K)</f>
        <v>Female</v>
      </c>
      <c r="E448" t="str">
        <f>_xlfn.XLOOKUP($A:$A,Instagram_Usage_Lifestyle_Mini_!$A:$A,Instagram_Usage_Lifestyle_Mini_!$C:$K)</f>
        <v>Brazil</v>
      </c>
      <c r="F448" t="str">
        <f>_xlfn.XLOOKUP($A:$A,Instagram_Usage_Lifestyle_Mini_!$A:$A,Instagram_Usage_Lifestyle_Mini_!$C:$K)</f>
        <v>Suburban</v>
      </c>
      <c r="G448" t="str">
        <f>_xlfn.XLOOKUP($A:$A,Instagram_Usage_Lifestyle_Mini_!$A:$A,Instagram_Usage_Lifestyle_Mini_!$C:$K)</f>
        <v>Upper_middle</v>
      </c>
      <c r="H448" t="str">
        <f>_xlfn.XLOOKUP($A:$A,Instagram_Usage_Lifestyle_Mini_!$A:$A,Instagram_Usage_Lifestyle_Mini_!$C:$K)</f>
        <v>Full_time_employed</v>
      </c>
      <c r="I448" t="str">
        <f>_xlfn.XLOOKUP($A:$A,Instagram_Usage_Lifestyle_Mini_!$A:$A,Instagram_Usage_Lifestyle_Mini_!$C:$K)</f>
        <v>Bachelors_degree</v>
      </c>
      <c r="J448" t="str">
        <f>_xlfn.XLOOKUP($A:$A,Instagram_Usage_Lifestyle_Mini_!$A:$A,Instagram_Usage_Lifestyle_Mini_!$C:$K)</f>
        <v>Married</v>
      </c>
      <c r="K448" t="str">
        <f>_xlfn.XLOOKUP($A:$A,Instagram_Usage_Lifestyle_Mini_!$A:$A,Instagram_Usage_Lifestyle_Mini_!$C:$K)</f>
        <v>Yes</v>
      </c>
      <c r="L448" t="str" cm="1">
        <f t="array" ref="L448">_xlfn.IFS(C448&lt;18,"Under_18",C448&lt;=25,"Youth",C448&lt;=35,"Young_Adults",C448&lt;=45,"Mid_Adults",TRUE,"Seniors")</f>
        <v>Youth</v>
      </c>
    </row>
    <row r="449" spans="1:12" x14ac:dyDescent="0.2">
      <c r="A449">
        <v>448</v>
      </c>
      <c r="B449" t="str">
        <f>_xlfn.XLOOKUP(A449,Instagram_Usage_Lifestyle_Mini_!A449,Instagram_Usage_Lifestyle_Mini_!B449,1)</f>
        <v>Instagram</v>
      </c>
      <c r="C449">
        <f>_xlfn.XLOOKUP($A:$A,Instagram_Usage_Lifestyle_Mini_!$A:$A,Instagram_Usage_Lifestyle_Mini_!$C:$K)</f>
        <v>63</v>
      </c>
      <c r="D449" t="str">
        <f>_xlfn.XLOOKUP($A:$A,Instagram_Usage_Lifestyle_Mini_!$A:$A,Instagram_Usage_Lifestyle_Mini_!$C:$K)</f>
        <v>Male</v>
      </c>
      <c r="E449" t="str">
        <f>_xlfn.XLOOKUP($A:$A,Instagram_Usage_Lifestyle_Mini_!$A:$A,Instagram_Usage_Lifestyle_Mini_!$C:$K)</f>
        <v>Australia</v>
      </c>
      <c r="F449" t="str">
        <f>_xlfn.XLOOKUP($A:$A,Instagram_Usage_Lifestyle_Mini_!$A:$A,Instagram_Usage_Lifestyle_Mini_!$C:$K)</f>
        <v>Rural</v>
      </c>
      <c r="G449" t="str">
        <f>_xlfn.XLOOKUP($A:$A,Instagram_Usage_Lifestyle_Mini_!$A:$A,Instagram_Usage_Lifestyle_Mini_!$C:$K)</f>
        <v>Low</v>
      </c>
      <c r="H449" t="str">
        <f>_xlfn.XLOOKUP($A:$A,Instagram_Usage_Lifestyle_Mini_!$A:$A,Instagram_Usage_Lifestyle_Mini_!$C:$K)</f>
        <v>Part_time</v>
      </c>
      <c r="I449" t="str">
        <f>_xlfn.XLOOKUP($A:$A,Instagram_Usage_Lifestyle_Mini_!$A:$A,Instagram_Usage_Lifestyle_Mini_!$C:$K)</f>
        <v>PhD</v>
      </c>
      <c r="J449" t="str">
        <f>_xlfn.XLOOKUP($A:$A,Instagram_Usage_Lifestyle_Mini_!$A:$A,Instagram_Usage_Lifestyle_Mini_!$C:$K)</f>
        <v>In_a_relationship</v>
      </c>
      <c r="K449" t="str">
        <f>_xlfn.XLOOKUP($A:$A,Instagram_Usage_Lifestyle_Mini_!$A:$A,Instagram_Usage_Lifestyle_Mini_!$C:$K)</f>
        <v>No</v>
      </c>
      <c r="L449" t="str" cm="1">
        <f t="array" ref="L449">_xlfn.IFS(C449&lt;18,"Under_18",C449&lt;=25,"Youth",C449&lt;=35,"Young_Adults",C449&lt;=45,"Mid_Adults",TRUE,"Seniors")</f>
        <v>Seniors</v>
      </c>
    </row>
    <row r="450" spans="1:12" x14ac:dyDescent="0.2">
      <c r="A450">
        <v>449</v>
      </c>
      <c r="B450" t="str">
        <f>_xlfn.XLOOKUP(A450,Instagram_Usage_Lifestyle_Mini_!A450,Instagram_Usage_Lifestyle_Mini_!B450,1)</f>
        <v>Instagram</v>
      </c>
      <c r="C450">
        <f>_xlfn.XLOOKUP($A:$A,Instagram_Usage_Lifestyle_Mini_!$A:$A,Instagram_Usage_Lifestyle_Mini_!$C:$K)</f>
        <v>35</v>
      </c>
      <c r="D450" t="str">
        <f>_xlfn.XLOOKUP($A:$A,Instagram_Usage_Lifestyle_Mini_!$A:$A,Instagram_Usage_Lifestyle_Mini_!$C:$K)</f>
        <v>Female</v>
      </c>
      <c r="E450" t="str">
        <f>_xlfn.XLOOKUP($A:$A,Instagram_Usage_Lifestyle_Mini_!$A:$A,Instagram_Usage_Lifestyle_Mini_!$C:$K)</f>
        <v>South_Korea</v>
      </c>
      <c r="F450" t="str">
        <f>_xlfn.XLOOKUP($A:$A,Instagram_Usage_Lifestyle_Mini_!$A:$A,Instagram_Usage_Lifestyle_Mini_!$C:$K)</f>
        <v>Urban</v>
      </c>
      <c r="G450" t="str">
        <f>_xlfn.XLOOKUP($A:$A,Instagram_Usage_Lifestyle_Mini_!$A:$A,Instagram_Usage_Lifestyle_Mini_!$C:$K)</f>
        <v>Lower_middle</v>
      </c>
      <c r="H450" t="str">
        <f>_xlfn.XLOOKUP($A:$A,Instagram_Usage_Lifestyle_Mini_!$A:$A,Instagram_Usage_Lifestyle_Mini_!$C:$K)</f>
        <v>Full_time_employed</v>
      </c>
      <c r="I450" t="str">
        <f>_xlfn.XLOOKUP($A:$A,Instagram_Usage_Lifestyle_Mini_!$A:$A,Instagram_Usage_Lifestyle_Mini_!$C:$K)</f>
        <v>High_school</v>
      </c>
      <c r="J450" t="str">
        <f>_xlfn.XLOOKUP($A:$A,Instagram_Usage_Lifestyle_Mini_!$A:$A,Instagram_Usage_Lifestyle_Mini_!$C:$K)</f>
        <v>Single</v>
      </c>
      <c r="K450" t="str">
        <f>_xlfn.XLOOKUP($A:$A,Instagram_Usage_Lifestyle_Mini_!$A:$A,Instagram_Usage_Lifestyle_Mini_!$C:$K)</f>
        <v>No</v>
      </c>
      <c r="L450" t="str" cm="1">
        <f t="array" ref="L450">_xlfn.IFS(C450&lt;18,"Under_18",C450&lt;=25,"Youth",C450&lt;=35,"Young_Adults",C450&lt;=45,"Mid_Adults",TRUE,"Seniors")</f>
        <v>Young_Adults</v>
      </c>
    </row>
    <row r="451" spans="1:12" x14ac:dyDescent="0.2">
      <c r="A451">
        <v>450</v>
      </c>
      <c r="B451" t="str">
        <f>_xlfn.XLOOKUP(A451,Instagram_Usage_Lifestyle_Mini_!A451,Instagram_Usage_Lifestyle_Mini_!B451,1)</f>
        <v>Instagram</v>
      </c>
      <c r="C451">
        <f>_xlfn.XLOOKUP($A:$A,Instagram_Usage_Lifestyle_Mini_!$A:$A,Instagram_Usage_Lifestyle_Mini_!$C:$K)</f>
        <v>27</v>
      </c>
      <c r="D451" t="str">
        <f>_xlfn.XLOOKUP($A:$A,Instagram_Usage_Lifestyle_Mini_!$A:$A,Instagram_Usage_Lifestyle_Mini_!$C:$K)</f>
        <v>Female</v>
      </c>
      <c r="E451" t="str">
        <f>_xlfn.XLOOKUP($A:$A,Instagram_Usage_Lifestyle_Mini_!$A:$A,Instagram_Usage_Lifestyle_Mini_!$C:$K)</f>
        <v>United_States</v>
      </c>
      <c r="F451" t="str">
        <f>_xlfn.XLOOKUP($A:$A,Instagram_Usage_Lifestyle_Mini_!$A:$A,Instagram_Usage_Lifestyle_Mini_!$C:$K)</f>
        <v>Suburban</v>
      </c>
      <c r="G451" t="str">
        <f>_xlfn.XLOOKUP($A:$A,Instagram_Usage_Lifestyle_Mini_!$A:$A,Instagram_Usage_Lifestyle_Mini_!$C:$K)</f>
        <v>Upper_middle</v>
      </c>
      <c r="H451" t="str">
        <f>_xlfn.XLOOKUP($A:$A,Instagram_Usage_Lifestyle_Mini_!$A:$A,Instagram_Usage_Lifestyle_Mini_!$C:$K)</f>
        <v>Full_time_employed</v>
      </c>
      <c r="I451" t="str">
        <f>_xlfn.XLOOKUP($A:$A,Instagram_Usage_Lifestyle_Mini_!$A:$A,Instagram_Usage_Lifestyle_Mini_!$C:$K)</f>
        <v>Bachelors_degree</v>
      </c>
      <c r="J451" t="str">
        <f>_xlfn.XLOOKUP($A:$A,Instagram_Usage_Lifestyle_Mini_!$A:$A,Instagram_Usage_Lifestyle_Mini_!$C:$K)</f>
        <v>In_a_relationship</v>
      </c>
      <c r="K451" t="str">
        <f>_xlfn.XLOOKUP($A:$A,Instagram_Usage_Lifestyle_Mini_!$A:$A,Instagram_Usage_Lifestyle_Mini_!$C:$K)</f>
        <v>No</v>
      </c>
      <c r="L451" t="str" cm="1">
        <f t="array" ref="L451">_xlfn.IFS(C451&lt;18,"Under_18",C451&lt;=25,"Youth",C451&lt;=35,"Young_Adults",C451&lt;=45,"Mid_Adults",TRUE,"Seniors")</f>
        <v>Young_Adults</v>
      </c>
    </row>
    <row r="452" spans="1:12" x14ac:dyDescent="0.2">
      <c r="A452">
        <v>451</v>
      </c>
      <c r="B452" t="str">
        <f>_xlfn.XLOOKUP(A452,Instagram_Usage_Lifestyle_Mini_!A452,Instagram_Usage_Lifestyle_Mini_!B452,1)</f>
        <v>Instagram</v>
      </c>
      <c r="C452">
        <f>_xlfn.XLOOKUP($A:$A,Instagram_Usage_Lifestyle_Mini_!$A:$A,Instagram_Usage_Lifestyle_Mini_!$C:$K)</f>
        <v>40</v>
      </c>
      <c r="D452" t="str">
        <f>_xlfn.XLOOKUP($A:$A,Instagram_Usage_Lifestyle_Mini_!$A:$A,Instagram_Usage_Lifestyle_Mini_!$C:$K)</f>
        <v>Female</v>
      </c>
      <c r="E452" t="str">
        <f>_xlfn.XLOOKUP($A:$A,Instagram_Usage_Lifestyle_Mini_!$A:$A,Instagram_Usage_Lifestyle_Mini_!$C:$K)</f>
        <v>Canada</v>
      </c>
      <c r="F452" t="str">
        <f>_xlfn.XLOOKUP($A:$A,Instagram_Usage_Lifestyle_Mini_!$A:$A,Instagram_Usage_Lifestyle_Mini_!$C:$K)</f>
        <v>Urban</v>
      </c>
      <c r="G452" t="str">
        <f>_xlfn.XLOOKUP($A:$A,Instagram_Usage_Lifestyle_Mini_!$A:$A,Instagram_Usage_Lifestyle_Mini_!$C:$K)</f>
        <v>Low</v>
      </c>
      <c r="H452" t="str">
        <f>_xlfn.XLOOKUP($A:$A,Instagram_Usage_Lifestyle_Mini_!$A:$A,Instagram_Usage_Lifestyle_Mini_!$C:$K)</f>
        <v>Unemployed</v>
      </c>
      <c r="I452" t="str">
        <f>_xlfn.XLOOKUP($A:$A,Instagram_Usage_Lifestyle_Mini_!$A:$A,Instagram_Usage_Lifestyle_Mini_!$C:$K)</f>
        <v>Bachelors_degree</v>
      </c>
      <c r="J452" t="str">
        <f>_xlfn.XLOOKUP($A:$A,Instagram_Usage_Lifestyle_Mini_!$A:$A,Instagram_Usage_Lifestyle_Mini_!$C:$K)</f>
        <v>In_a_relationship</v>
      </c>
      <c r="K452" t="str">
        <f>_xlfn.XLOOKUP($A:$A,Instagram_Usage_Lifestyle_Mini_!$A:$A,Instagram_Usage_Lifestyle_Mini_!$C:$K)</f>
        <v>No</v>
      </c>
      <c r="L452" t="str" cm="1">
        <f t="array" ref="L452">_xlfn.IFS(C452&lt;18,"Under_18",C452&lt;=25,"Youth",C452&lt;=35,"Young_Adults",C452&lt;=45,"Mid_Adults",TRUE,"Seniors")</f>
        <v>Mid_Adults</v>
      </c>
    </row>
    <row r="453" spans="1:12" x14ac:dyDescent="0.2">
      <c r="A453">
        <v>452</v>
      </c>
      <c r="B453" t="str">
        <f>_xlfn.XLOOKUP(A453,Instagram_Usage_Lifestyle_Mini_!A453,Instagram_Usage_Lifestyle_Mini_!B453,1)</f>
        <v>Instagram</v>
      </c>
      <c r="C453">
        <f>_xlfn.XLOOKUP($A:$A,Instagram_Usage_Lifestyle_Mini_!$A:$A,Instagram_Usage_Lifestyle_Mini_!$C:$K)</f>
        <v>46</v>
      </c>
      <c r="D453" t="str">
        <f>_xlfn.XLOOKUP($A:$A,Instagram_Usage_Lifestyle_Mini_!$A:$A,Instagram_Usage_Lifestyle_Mini_!$C:$K)</f>
        <v>Male</v>
      </c>
      <c r="E453" t="str">
        <f>_xlfn.XLOOKUP($A:$A,Instagram_Usage_Lifestyle_Mini_!$A:$A,Instagram_Usage_Lifestyle_Mini_!$C:$K)</f>
        <v>United _Kingdom</v>
      </c>
      <c r="F453" t="str">
        <f>_xlfn.XLOOKUP($A:$A,Instagram_Usage_Lifestyle_Mini_!$A:$A,Instagram_Usage_Lifestyle_Mini_!$C:$K)</f>
        <v>Suburban</v>
      </c>
      <c r="G453" t="str">
        <f>_xlfn.XLOOKUP($A:$A,Instagram_Usage_Lifestyle_Mini_!$A:$A,Instagram_Usage_Lifestyle_Mini_!$C:$K)</f>
        <v>Upper_middle</v>
      </c>
      <c r="H453" t="str">
        <f>_xlfn.XLOOKUP($A:$A,Instagram_Usage_Lifestyle_Mini_!$A:$A,Instagram_Usage_Lifestyle_Mini_!$C:$K)</f>
        <v>Full_time_employed</v>
      </c>
      <c r="I453" t="str">
        <f>_xlfn.XLOOKUP($A:$A,Instagram_Usage_Lifestyle_Mini_!$A:$A,Instagram_Usage_Lifestyle_Mini_!$C:$K)</f>
        <v>Some_college</v>
      </c>
      <c r="J453" t="str">
        <f>_xlfn.XLOOKUP($A:$A,Instagram_Usage_Lifestyle_Mini_!$A:$A,Instagram_Usage_Lifestyle_Mini_!$C:$K)</f>
        <v>Single</v>
      </c>
      <c r="K453" t="str">
        <f>_xlfn.XLOOKUP($A:$A,Instagram_Usage_Lifestyle_Mini_!$A:$A,Instagram_Usage_Lifestyle_Mini_!$C:$K)</f>
        <v>No</v>
      </c>
      <c r="L453" t="str" cm="1">
        <f t="array" ref="L453">_xlfn.IFS(C453&lt;18,"Under_18",C453&lt;=25,"Youth",C453&lt;=35,"Young_Adults",C453&lt;=45,"Mid_Adults",TRUE,"Seniors")</f>
        <v>Seniors</v>
      </c>
    </row>
    <row r="454" spans="1:12" x14ac:dyDescent="0.2">
      <c r="A454">
        <v>453</v>
      </c>
      <c r="B454" t="str">
        <f>_xlfn.XLOOKUP(A454,Instagram_Usage_Lifestyle_Mini_!A454,Instagram_Usage_Lifestyle_Mini_!B454,1)</f>
        <v>Instagram</v>
      </c>
      <c r="C454">
        <f>_xlfn.XLOOKUP($A:$A,Instagram_Usage_Lifestyle_Mini_!$A:$A,Instagram_Usage_Lifestyle_Mini_!$C:$K)</f>
        <v>14</v>
      </c>
      <c r="D454" t="str">
        <f>_xlfn.XLOOKUP($A:$A,Instagram_Usage_Lifestyle_Mini_!$A:$A,Instagram_Usage_Lifestyle_Mini_!$C:$K)</f>
        <v>Female</v>
      </c>
      <c r="E454" t="str">
        <f>_xlfn.XLOOKUP($A:$A,Instagram_Usage_Lifestyle_Mini_!$A:$A,Instagram_Usage_Lifestyle_Mini_!$C:$K)</f>
        <v>Brazil</v>
      </c>
      <c r="F454" t="str">
        <f>_xlfn.XLOOKUP($A:$A,Instagram_Usage_Lifestyle_Mini_!$A:$A,Instagram_Usage_Lifestyle_Mini_!$C:$K)</f>
        <v>Urban</v>
      </c>
      <c r="G454" t="str">
        <f>_xlfn.XLOOKUP($A:$A,Instagram_Usage_Lifestyle_Mini_!$A:$A,Instagram_Usage_Lifestyle_Mini_!$C:$K)</f>
        <v>High</v>
      </c>
      <c r="H454" t="str">
        <f>_xlfn.XLOOKUP($A:$A,Instagram_Usage_Lifestyle_Mini_!$A:$A,Instagram_Usage_Lifestyle_Mini_!$C:$K)</f>
        <v>Unemployed</v>
      </c>
      <c r="I454" t="str">
        <f>_xlfn.XLOOKUP($A:$A,Instagram_Usage_Lifestyle_Mini_!$A:$A,Instagram_Usage_Lifestyle_Mini_!$C:$K)</f>
        <v>Bachelors_degree</v>
      </c>
      <c r="J454" t="str">
        <f>_xlfn.XLOOKUP($A:$A,Instagram_Usage_Lifestyle_Mini_!$A:$A,Instagram_Usage_Lifestyle_Mini_!$C:$K)</f>
        <v>Single</v>
      </c>
      <c r="K454" t="str">
        <f>_xlfn.XLOOKUP($A:$A,Instagram_Usage_Lifestyle_Mini_!$A:$A,Instagram_Usage_Lifestyle_Mini_!$C:$K)</f>
        <v>No</v>
      </c>
      <c r="L454" t="str" cm="1">
        <f t="array" ref="L454">_xlfn.IFS(C454&lt;18,"Under_18",C454&lt;=25,"Youth",C454&lt;=35,"Young_Adults",C454&lt;=45,"Mid_Adults",TRUE,"Seniors")</f>
        <v>Under_18</v>
      </c>
    </row>
    <row r="455" spans="1:12" x14ac:dyDescent="0.2">
      <c r="A455">
        <v>454</v>
      </c>
      <c r="B455" t="str">
        <f>_xlfn.XLOOKUP(A455,Instagram_Usage_Lifestyle_Mini_!A455,Instagram_Usage_Lifestyle_Mini_!B455,1)</f>
        <v>Instagram</v>
      </c>
      <c r="C455">
        <f>_xlfn.XLOOKUP($A:$A,Instagram_Usage_Lifestyle_Mini_!$A:$A,Instagram_Usage_Lifestyle_Mini_!$C:$K)</f>
        <v>44</v>
      </c>
      <c r="D455" t="str">
        <f>_xlfn.XLOOKUP($A:$A,Instagram_Usage_Lifestyle_Mini_!$A:$A,Instagram_Usage_Lifestyle_Mini_!$C:$K)</f>
        <v>Female</v>
      </c>
      <c r="E455" t="str">
        <f>_xlfn.XLOOKUP($A:$A,Instagram_Usage_Lifestyle_Mini_!$A:$A,Instagram_Usage_Lifestyle_Mini_!$C:$K)</f>
        <v>India</v>
      </c>
      <c r="F455" t="str">
        <f>_xlfn.XLOOKUP($A:$A,Instagram_Usage_Lifestyle_Mini_!$A:$A,Instagram_Usage_Lifestyle_Mini_!$C:$K)</f>
        <v>Rural</v>
      </c>
      <c r="G455" t="str">
        <f>_xlfn.XLOOKUP($A:$A,Instagram_Usage_Lifestyle_Mini_!$A:$A,Instagram_Usage_Lifestyle_Mini_!$C:$K)</f>
        <v>Lower_middle</v>
      </c>
      <c r="H455" t="str">
        <f>_xlfn.XLOOKUP($A:$A,Instagram_Usage_Lifestyle_Mini_!$A:$A,Instagram_Usage_Lifestyle_Mini_!$C:$K)</f>
        <v>Student</v>
      </c>
      <c r="I455" t="str">
        <f>_xlfn.XLOOKUP($A:$A,Instagram_Usage_Lifestyle_Mini_!$A:$A,Instagram_Usage_Lifestyle_Mini_!$C:$K)</f>
        <v>High_school</v>
      </c>
      <c r="J455" t="str">
        <f>_xlfn.XLOOKUP($A:$A,Instagram_Usage_Lifestyle_Mini_!$A:$A,Instagram_Usage_Lifestyle_Mini_!$C:$K)</f>
        <v>Single</v>
      </c>
      <c r="K455" t="str">
        <f>_xlfn.XLOOKUP($A:$A,Instagram_Usage_Lifestyle_Mini_!$A:$A,Instagram_Usage_Lifestyle_Mini_!$C:$K)</f>
        <v>No</v>
      </c>
      <c r="L455" t="str" cm="1">
        <f t="array" ref="L455">_xlfn.IFS(C455&lt;18,"Under_18",C455&lt;=25,"Youth",C455&lt;=35,"Young_Adults",C455&lt;=45,"Mid_Adults",TRUE,"Seniors")</f>
        <v>Mid_Adults</v>
      </c>
    </row>
    <row r="456" spans="1:12" x14ac:dyDescent="0.2">
      <c r="A456">
        <v>455</v>
      </c>
      <c r="B456" t="str">
        <f>_xlfn.XLOOKUP(A456,Instagram_Usage_Lifestyle_Mini_!A456,Instagram_Usage_Lifestyle_Mini_!B456,1)</f>
        <v>Instagram</v>
      </c>
      <c r="C456">
        <f>_xlfn.XLOOKUP($A:$A,Instagram_Usage_Lifestyle_Mini_!$A:$A,Instagram_Usage_Lifestyle_Mini_!$C:$K)</f>
        <v>35</v>
      </c>
      <c r="D456" t="str">
        <f>_xlfn.XLOOKUP($A:$A,Instagram_Usage_Lifestyle_Mini_!$A:$A,Instagram_Usage_Lifestyle_Mini_!$C:$K)</f>
        <v>Female</v>
      </c>
      <c r="E456" t="str">
        <f>_xlfn.XLOOKUP($A:$A,Instagram_Usage_Lifestyle_Mini_!$A:$A,Instagram_Usage_Lifestyle_Mini_!$C:$K)</f>
        <v>United _Kingdom</v>
      </c>
      <c r="F456" t="str">
        <f>_xlfn.XLOOKUP($A:$A,Instagram_Usage_Lifestyle_Mini_!$A:$A,Instagram_Usage_Lifestyle_Mini_!$C:$K)</f>
        <v>Urban</v>
      </c>
      <c r="G456" t="str">
        <f>_xlfn.XLOOKUP($A:$A,Instagram_Usage_Lifestyle_Mini_!$A:$A,Instagram_Usage_Lifestyle_Mini_!$C:$K)</f>
        <v>Lower_middle</v>
      </c>
      <c r="H456" t="str">
        <f>_xlfn.XLOOKUP($A:$A,Instagram_Usage_Lifestyle_Mini_!$A:$A,Instagram_Usage_Lifestyle_Mini_!$C:$K)</f>
        <v>Full_time_employed</v>
      </c>
      <c r="I456" t="str">
        <f>_xlfn.XLOOKUP($A:$A,Instagram_Usage_Lifestyle_Mini_!$A:$A,Instagram_Usage_Lifestyle_Mini_!$C:$K)</f>
        <v>Bachelors_degree</v>
      </c>
      <c r="J456" t="str">
        <f>_xlfn.XLOOKUP($A:$A,Instagram_Usage_Lifestyle_Mini_!$A:$A,Instagram_Usage_Lifestyle_Mini_!$C:$K)</f>
        <v>Married</v>
      </c>
      <c r="K456" t="str">
        <f>_xlfn.XLOOKUP($A:$A,Instagram_Usage_Lifestyle_Mini_!$A:$A,Instagram_Usage_Lifestyle_Mini_!$C:$K)</f>
        <v>No</v>
      </c>
      <c r="L456" t="str" cm="1">
        <f t="array" ref="L456">_xlfn.IFS(C456&lt;18,"Under_18",C456&lt;=25,"Youth",C456&lt;=35,"Young_Adults",C456&lt;=45,"Mid_Adults",TRUE,"Seniors")</f>
        <v>Young_Adults</v>
      </c>
    </row>
    <row r="457" spans="1:12" x14ac:dyDescent="0.2">
      <c r="A457">
        <v>456</v>
      </c>
      <c r="B457" t="str">
        <f>_xlfn.XLOOKUP(A457,Instagram_Usage_Lifestyle_Mini_!A457,Instagram_Usage_Lifestyle_Mini_!B457,1)</f>
        <v>Instagram</v>
      </c>
      <c r="C457">
        <f>_xlfn.XLOOKUP($A:$A,Instagram_Usage_Lifestyle_Mini_!$A:$A,Instagram_Usage_Lifestyle_Mini_!$C:$K)</f>
        <v>34</v>
      </c>
      <c r="D457" t="str">
        <f>_xlfn.XLOOKUP($A:$A,Instagram_Usage_Lifestyle_Mini_!$A:$A,Instagram_Usage_Lifestyle_Mini_!$C:$K)</f>
        <v>Female</v>
      </c>
      <c r="E457" t="str">
        <f>_xlfn.XLOOKUP($A:$A,Instagram_Usage_Lifestyle_Mini_!$A:$A,Instagram_Usage_Lifestyle_Mini_!$C:$K)</f>
        <v>Other</v>
      </c>
      <c r="F457" t="str">
        <f>_xlfn.XLOOKUP($A:$A,Instagram_Usage_Lifestyle_Mini_!$A:$A,Instagram_Usage_Lifestyle_Mini_!$C:$K)</f>
        <v>Urban</v>
      </c>
      <c r="G457" t="str">
        <f>_xlfn.XLOOKUP($A:$A,Instagram_Usage_Lifestyle_Mini_!$A:$A,Instagram_Usage_Lifestyle_Mini_!$C:$K)</f>
        <v>Lower_middle</v>
      </c>
      <c r="H457" t="str">
        <f>_xlfn.XLOOKUP($A:$A,Instagram_Usage_Lifestyle_Mini_!$A:$A,Instagram_Usage_Lifestyle_Mini_!$C:$K)</f>
        <v>Full_time_employed</v>
      </c>
      <c r="I457" t="str">
        <f>_xlfn.XLOOKUP($A:$A,Instagram_Usage_Lifestyle_Mini_!$A:$A,Instagram_Usage_Lifestyle_Mini_!$C:$K)</f>
        <v>Some_college</v>
      </c>
      <c r="J457" t="str">
        <f>_xlfn.XLOOKUP($A:$A,Instagram_Usage_Lifestyle_Mini_!$A:$A,Instagram_Usage_Lifestyle_Mini_!$C:$K)</f>
        <v>Married</v>
      </c>
      <c r="K457" t="str">
        <f>_xlfn.XLOOKUP($A:$A,Instagram_Usage_Lifestyle_Mini_!$A:$A,Instagram_Usage_Lifestyle_Mini_!$C:$K)</f>
        <v>Yes</v>
      </c>
      <c r="L457" t="str" cm="1">
        <f t="array" ref="L457">_xlfn.IFS(C457&lt;18,"Under_18",C457&lt;=25,"Youth",C457&lt;=35,"Young_Adults",C457&lt;=45,"Mid_Adults",TRUE,"Seniors")</f>
        <v>Young_Adults</v>
      </c>
    </row>
    <row r="458" spans="1:12" x14ac:dyDescent="0.2">
      <c r="A458">
        <v>457</v>
      </c>
      <c r="B458" t="str">
        <f>_xlfn.XLOOKUP(A458,Instagram_Usage_Lifestyle_Mini_!A458,Instagram_Usage_Lifestyle_Mini_!B458,1)</f>
        <v>Instagram</v>
      </c>
      <c r="C458">
        <f>_xlfn.XLOOKUP($A:$A,Instagram_Usage_Lifestyle_Mini_!$A:$A,Instagram_Usage_Lifestyle_Mini_!$C:$K)</f>
        <v>63</v>
      </c>
      <c r="D458" t="str">
        <f>_xlfn.XLOOKUP($A:$A,Instagram_Usage_Lifestyle_Mini_!$A:$A,Instagram_Usage_Lifestyle_Mini_!$C:$K)</f>
        <v>Female</v>
      </c>
      <c r="E458" t="str">
        <f>_xlfn.XLOOKUP($A:$A,Instagram_Usage_Lifestyle_Mini_!$A:$A,Instagram_Usage_Lifestyle_Mini_!$C:$K)</f>
        <v>India</v>
      </c>
      <c r="F458" t="str">
        <f>_xlfn.XLOOKUP($A:$A,Instagram_Usage_Lifestyle_Mini_!$A:$A,Instagram_Usage_Lifestyle_Mini_!$C:$K)</f>
        <v>Urban</v>
      </c>
      <c r="G458" t="str">
        <f>_xlfn.XLOOKUP($A:$A,Instagram_Usage_Lifestyle_Mini_!$A:$A,Instagram_Usage_Lifestyle_Mini_!$C:$K)</f>
        <v>Upper_middle</v>
      </c>
      <c r="H458" t="str">
        <f>_xlfn.XLOOKUP($A:$A,Instagram_Usage_Lifestyle_Mini_!$A:$A,Instagram_Usage_Lifestyle_Mini_!$C:$K)</f>
        <v>Student</v>
      </c>
      <c r="I458" t="str">
        <f>_xlfn.XLOOKUP($A:$A,Instagram_Usage_Lifestyle_Mini_!$A:$A,Instagram_Usage_Lifestyle_Mini_!$C:$K)</f>
        <v>Bachelors_degree</v>
      </c>
      <c r="J458" t="str">
        <f>_xlfn.XLOOKUP($A:$A,Instagram_Usage_Lifestyle_Mini_!$A:$A,Instagram_Usage_Lifestyle_Mini_!$C:$K)</f>
        <v>Married</v>
      </c>
      <c r="K458" t="str">
        <f>_xlfn.XLOOKUP($A:$A,Instagram_Usage_Lifestyle_Mini_!$A:$A,Instagram_Usage_Lifestyle_Mini_!$C:$K)</f>
        <v>No</v>
      </c>
      <c r="L458" t="str" cm="1">
        <f t="array" ref="L458">_xlfn.IFS(C458&lt;18,"Under_18",C458&lt;=25,"Youth",C458&lt;=35,"Young_Adults",C458&lt;=45,"Mid_Adults",TRUE,"Seniors")</f>
        <v>Seniors</v>
      </c>
    </row>
    <row r="459" spans="1:12" x14ac:dyDescent="0.2">
      <c r="A459">
        <v>458</v>
      </c>
      <c r="B459" t="str">
        <f>_xlfn.XLOOKUP(A459,Instagram_Usage_Lifestyle_Mini_!A459,Instagram_Usage_Lifestyle_Mini_!B459,1)</f>
        <v>Instagram</v>
      </c>
      <c r="C459">
        <f>_xlfn.XLOOKUP($A:$A,Instagram_Usage_Lifestyle_Mini_!$A:$A,Instagram_Usage_Lifestyle_Mini_!$C:$K)</f>
        <v>37</v>
      </c>
      <c r="D459" t="str">
        <f>_xlfn.XLOOKUP($A:$A,Instagram_Usage_Lifestyle_Mini_!$A:$A,Instagram_Usage_Lifestyle_Mini_!$C:$K)</f>
        <v>Female</v>
      </c>
      <c r="E459" t="str">
        <f>_xlfn.XLOOKUP($A:$A,Instagram_Usage_Lifestyle_Mini_!$A:$A,Instagram_Usage_Lifestyle_Mini_!$C:$K)</f>
        <v>Other</v>
      </c>
      <c r="F459" t="str">
        <f>_xlfn.XLOOKUP($A:$A,Instagram_Usage_Lifestyle_Mini_!$A:$A,Instagram_Usage_Lifestyle_Mini_!$C:$K)</f>
        <v>Suburban</v>
      </c>
      <c r="G459" t="str">
        <f>_xlfn.XLOOKUP($A:$A,Instagram_Usage_Lifestyle_Mini_!$A:$A,Instagram_Usage_Lifestyle_Mini_!$C:$K)</f>
        <v>Low</v>
      </c>
      <c r="H459" t="str">
        <f>_xlfn.XLOOKUP($A:$A,Instagram_Usage_Lifestyle_Mini_!$A:$A,Instagram_Usage_Lifestyle_Mini_!$C:$K)</f>
        <v>Full_time_employed</v>
      </c>
      <c r="I459" t="str">
        <f>_xlfn.XLOOKUP($A:$A,Instagram_Usage_Lifestyle_Mini_!$A:$A,Instagram_Usage_Lifestyle_Mini_!$C:$K)</f>
        <v>Bachelors_degree</v>
      </c>
      <c r="J459" t="str">
        <f>_xlfn.XLOOKUP($A:$A,Instagram_Usage_Lifestyle_Mini_!$A:$A,Instagram_Usage_Lifestyle_Mini_!$C:$K)</f>
        <v>Married</v>
      </c>
      <c r="K459" t="str">
        <f>_xlfn.XLOOKUP($A:$A,Instagram_Usage_Lifestyle_Mini_!$A:$A,Instagram_Usage_Lifestyle_Mini_!$C:$K)</f>
        <v>No</v>
      </c>
      <c r="L459" t="str" cm="1">
        <f t="array" ref="L459">_xlfn.IFS(C459&lt;18,"Under_18",C459&lt;=25,"Youth",C459&lt;=35,"Young_Adults",C459&lt;=45,"Mid_Adults",TRUE,"Seniors")</f>
        <v>Mid_Adults</v>
      </c>
    </row>
    <row r="460" spans="1:12" x14ac:dyDescent="0.2">
      <c r="A460">
        <v>459</v>
      </c>
      <c r="B460" t="str">
        <f>_xlfn.XLOOKUP(A460,Instagram_Usage_Lifestyle_Mini_!A460,Instagram_Usage_Lifestyle_Mini_!B460,1)</f>
        <v>Instagram</v>
      </c>
      <c r="C460">
        <f>_xlfn.XLOOKUP($A:$A,Instagram_Usage_Lifestyle_Mini_!$A:$A,Instagram_Usage_Lifestyle_Mini_!$C:$K)</f>
        <v>34</v>
      </c>
      <c r="D460" t="str">
        <f>_xlfn.XLOOKUP($A:$A,Instagram_Usage_Lifestyle_Mini_!$A:$A,Instagram_Usage_Lifestyle_Mini_!$C:$K)</f>
        <v>Male</v>
      </c>
      <c r="E460" t="str">
        <f>_xlfn.XLOOKUP($A:$A,Instagram_Usage_Lifestyle_Mini_!$A:$A,Instagram_Usage_Lifestyle_Mini_!$C:$K)</f>
        <v>United_States</v>
      </c>
      <c r="F460" t="str">
        <f>_xlfn.XLOOKUP($A:$A,Instagram_Usage_Lifestyle_Mini_!$A:$A,Instagram_Usage_Lifestyle_Mini_!$C:$K)</f>
        <v>Urban</v>
      </c>
      <c r="G460" t="str">
        <f>_xlfn.XLOOKUP($A:$A,Instagram_Usage_Lifestyle_Mini_!$A:$A,Instagram_Usage_Lifestyle_Mini_!$C:$K)</f>
        <v>Middle</v>
      </c>
      <c r="H460" t="str">
        <f>_xlfn.XLOOKUP($A:$A,Instagram_Usage_Lifestyle_Mini_!$A:$A,Instagram_Usage_Lifestyle_Mini_!$C:$K)</f>
        <v>Part_time</v>
      </c>
      <c r="I460" t="str">
        <f>_xlfn.XLOOKUP($A:$A,Instagram_Usage_Lifestyle_Mini_!$A:$A,Instagram_Usage_Lifestyle_Mini_!$C:$K)</f>
        <v>High_school</v>
      </c>
      <c r="J460" t="str">
        <f>_xlfn.XLOOKUP($A:$A,Instagram_Usage_Lifestyle_Mini_!$A:$A,Instagram_Usage_Lifestyle_Mini_!$C:$K)</f>
        <v>Single</v>
      </c>
      <c r="K460" t="str">
        <f>_xlfn.XLOOKUP($A:$A,Instagram_Usage_Lifestyle_Mini_!$A:$A,Instagram_Usage_Lifestyle_Mini_!$C:$K)</f>
        <v>No</v>
      </c>
      <c r="L460" t="str" cm="1">
        <f t="array" ref="L460">_xlfn.IFS(C460&lt;18,"Under_18",C460&lt;=25,"Youth",C460&lt;=35,"Young_Adults",C460&lt;=45,"Mid_Adults",TRUE,"Seniors")</f>
        <v>Young_Adults</v>
      </c>
    </row>
    <row r="461" spans="1:12" x14ac:dyDescent="0.2">
      <c r="A461">
        <v>460</v>
      </c>
      <c r="B461" t="str">
        <f>_xlfn.XLOOKUP(A461,Instagram_Usage_Lifestyle_Mini_!A461,Instagram_Usage_Lifestyle_Mini_!B461,1)</f>
        <v>Instagram</v>
      </c>
      <c r="C461">
        <f>_xlfn.XLOOKUP($A:$A,Instagram_Usage_Lifestyle_Mini_!$A:$A,Instagram_Usage_Lifestyle_Mini_!$C:$K)</f>
        <v>34</v>
      </c>
      <c r="D461" t="str">
        <f>_xlfn.XLOOKUP($A:$A,Instagram_Usage_Lifestyle_Mini_!$A:$A,Instagram_Usage_Lifestyle_Mini_!$C:$K)</f>
        <v>Female</v>
      </c>
      <c r="E461" t="str">
        <f>_xlfn.XLOOKUP($A:$A,Instagram_Usage_Lifestyle_Mini_!$A:$A,Instagram_Usage_Lifestyle_Mini_!$C:$K)</f>
        <v>Other</v>
      </c>
      <c r="F461" t="str">
        <f>_xlfn.XLOOKUP($A:$A,Instagram_Usage_Lifestyle_Mini_!$A:$A,Instagram_Usage_Lifestyle_Mini_!$C:$K)</f>
        <v>Rural</v>
      </c>
      <c r="G461" t="str">
        <f>_xlfn.XLOOKUP($A:$A,Instagram_Usage_Lifestyle_Mini_!$A:$A,Instagram_Usage_Lifestyle_Mini_!$C:$K)</f>
        <v>Middle</v>
      </c>
      <c r="H461" t="str">
        <f>_xlfn.XLOOKUP($A:$A,Instagram_Usage_Lifestyle_Mini_!$A:$A,Instagram_Usage_Lifestyle_Mini_!$C:$K)</f>
        <v>Full_time_employed</v>
      </c>
      <c r="I461" t="str">
        <f>_xlfn.XLOOKUP($A:$A,Instagram_Usage_Lifestyle_Mini_!$A:$A,Instagram_Usage_Lifestyle_Mini_!$C:$K)</f>
        <v>Other</v>
      </c>
      <c r="J461" t="str">
        <f>_xlfn.XLOOKUP($A:$A,Instagram_Usage_Lifestyle_Mini_!$A:$A,Instagram_Usage_Lifestyle_Mini_!$C:$K)</f>
        <v>Single</v>
      </c>
      <c r="K461" t="str">
        <f>_xlfn.XLOOKUP($A:$A,Instagram_Usage_Lifestyle_Mini_!$A:$A,Instagram_Usage_Lifestyle_Mini_!$C:$K)</f>
        <v>No</v>
      </c>
      <c r="L461" t="str" cm="1">
        <f t="array" ref="L461">_xlfn.IFS(C461&lt;18,"Under_18",C461&lt;=25,"Youth",C461&lt;=35,"Young_Adults",C461&lt;=45,"Mid_Adults",TRUE,"Seniors")</f>
        <v>Young_Adults</v>
      </c>
    </row>
    <row r="462" spans="1:12" x14ac:dyDescent="0.2">
      <c r="A462">
        <v>461</v>
      </c>
      <c r="B462" t="str">
        <f>_xlfn.XLOOKUP(A462,Instagram_Usage_Lifestyle_Mini_!A462,Instagram_Usage_Lifestyle_Mini_!B462,1)</f>
        <v>Instagram</v>
      </c>
      <c r="C462">
        <f>_xlfn.XLOOKUP($A:$A,Instagram_Usage_Lifestyle_Mini_!$A:$A,Instagram_Usage_Lifestyle_Mini_!$C:$K)</f>
        <v>61</v>
      </c>
      <c r="D462" t="str">
        <f>_xlfn.XLOOKUP($A:$A,Instagram_Usage_Lifestyle_Mini_!$A:$A,Instagram_Usage_Lifestyle_Mini_!$C:$K)</f>
        <v>Female</v>
      </c>
      <c r="E462" t="str">
        <f>_xlfn.XLOOKUP($A:$A,Instagram_Usage_Lifestyle_Mini_!$A:$A,Instagram_Usage_Lifestyle_Mini_!$C:$K)</f>
        <v>United _Kingdom</v>
      </c>
      <c r="F462" t="str">
        <f>_xlfn.XLOOKUP($A:$A,Instagram_Usage_Lifestyle_Mini_!$A:$A,Instagram_Usage_Lifestyle_Mini_!$C:$K)</f>
        <v>Urban</v>
      </c>
      <c r="G462" t="str">
        <f>_xlfn.XLOOKUP($A:$A,Instagram_Usage_Lifestyle_Mini_!$A:$A,Instagram_Usage_Lifestyle_Mini_!$C:$K)</f>
        <v>High</v>
      </c>
      <c r="H462" t="str">
        <f>_xlfn.XLOOKUP($A:$A,Instagram_Usage_Lifestyle_Mini_!$A:$A,Instagram_Usage_Lifestyle_Mini_!$C:$K)</f>
        <v>Full_time_employed</v>
      </c>
      <c r="I462" t="str">
        <f>_xlfn.XLOOKUP($A:$A,Instagram_Usage_Lifestyle_Mini_!$A:$A,Instagram_Usage_Lifestyle_Mini_!$C:$K)</f>
        <v>High_school</v>
      </c>
      <c r="J462" t="str">
        <f>_xlfn.XLOOKUP($A:$A,Instagram_Usage_Lifestyle_Mini_!$A:$A,Instagram_Usage_Lifestyle_Mini_!$C:$K)</f>
        <v>Divorced</v>
      </c>
      <c r="K462" t="str">
        <f>_xlfn.XLOOKUP($A:$A,Instagram_Usage_Lifestyle_Mini_!$A:$A,Instagram_Usage_Lifestyle_Mini_!$C:$K)</f>
        <v>Yes</v>
      </c>
      <c r="L462" t="str" cm="1">
        <f t="array" ref="L462">_xlfn.IFS(C462&lt;18,"Under_18",C462&lt;=25,"Youth",C462&lt;=35,"Young_Adults",C462&lt;=45,"Mid_Adults",TRUE,"Seniors")</f>
        <v>Seniors</v>
      </c>
    </row>
    <row r="463" spans="1:12" x14ac:dyDescent="0.2">
      <c r="A463">
        <v>462</v>
      </c>
      <c r="B463" t="str">
        <f>_xlfn.XLOOKUP(A463,Instagram_Usage_Lifestyle_Mini_!A463,Instagram_Usage_Lifestyle_Mini_!B463,1)</f>
        <v>Instagram</v>
      </c>
      <c r="C463">
        <f>_xlfn.XLOOKUP($A:$A,Instagram_Usage_Lifestyle_Mini_!$A:$A,Instagram_Usage_Lifestyle_Mini_!$C:$K)</f>
        <v>64</v>
      </c>
      <c r="D463" t="str">
        <f>_xlfn.XLOOKUP($A:$A,Instagram_Usage_Lifestyle_Mini_!$A:$A,Instagram_Usage_Lifestyle_Mini_!$C:$K)</f>
        <v>Male</v>
      </c>
      <c r="E463" t="str">
        <f>_xlfn.XLOOKUP($A:$A,Instagram_Usage_Lifestyle_Mini_!$A:$A,Instagram_Usage_Lifestyle_Mini_!$C:$K)</f>
        <v>Canada</v>
      </c>
      <c r="F463" t="str">
        <f>_xlfn.XLOOKUP($A:$A,Instagram_Usage_Lifestyle_Mini_!$A:$A,Instagram_Usage_Lifestyle_Mini_!$C:$K)</f>
        <v>Rural</v>
      </c>
      <c r="G463" t="str">
        <f>_xlfn.XLOOKUP($A:$A,Instagram_Usage_Lifestyle_Mini_!$A:$A,Instagram_Usage_Lifestyle_Mini_!$C:$K)</f>
        <v>Upper_middle</v>
      </c>
      <c r="H463" t="str">
        <f>_xlfn.XLOOKUP($A:$A,Instagram_Usage_Lifestyle_Mini_!$A:$A,Instagram_Usage_Lifestyle_Mini_!$C:$K)</f>
        <v>Part_time</v>
      </c>
      <c r="I463" t="str">
        <f>_xlfn.XLOOKUP($A:$A,Instagram_Usage_Lifestyle_Mini_!$A:$A,Instagram_Usage_Lifestyle_Mini_!$C:$K)</f>
        <v>Bachelors_degree</v>
      </c>
      <c r="J463" t="str">
        <f>_xlfn.XLOOKUP($A:$A,Instagram_Usage_Lifestyle_Mini_!$A:$A,Instagram_Usage_Lifestyle_Mini_!$C:$K)</f>
        <v>In_a_relationship</v>
      </c>
      <c r="K463" t="str">
        <f>_xlfn.XLOOKUP($A:$A,Instagram_Usage_Lifestyle_Mini_!$A:$A,Instagram_Usage_Lifestyle_Mini_!$C:$K)</f>
        <v>No</v>
      </c>
      <c r="L463" t="str" cm="1">
        <f t="array" ref="L463">_xlfn.IFS(C463&lt;18,"Under_18",C463&lt;=25,"Youth",C463&lt;=35,"Young_Adults",C463&lt;=45,"Mid_Adults",TRUE,"Seniors")</f>
        <v>Seniors</v>
      </c>
    </row>
    <row r="464" spans="1:12" x14ac:dyDescent="0.2">
      <c r="A464">
        <v>463</v>
      </c>
      <c r="B464" t="str">
        <f>_xlfn.XLOOKUP(A464,Instagram_Usage_Lifestyle_Mini_!A464,Instagram_Usage_Lifestyle_Mini_!B464,1)</f>
        <v>Instagram</v>
      </c>
      <c r="C464">
        <f>_xlfn.XLOOKUP($A:$A,Instagram_Usage_Lifestyle_Mini_!$A:$A,Instagram_Usage_Lifestyle_Mini_!$C:$K)</f>
        <v>54</v>
      </c>
      <c r="D464" t="str">
        <f>_xlfn.XLOOKUP($A:$A,Instagram_Usage_Lifestyle_Mini_!$A:$A,Instagram_Usage_Lifestyle_Mini_!$C:$K)</f>
        <v>Male</v>
      </c>
      <c r="E464" t="str">
        <f>_xlfn.XLOOKUP($A:$A,Instagram_Usage_Lifestyle_Mini_!$A:$A,Instagram_Usage_Lifestyle_Mini_!$C:$K)</f>
        <v>Other</v>
      </c>
      <c r="F464" t="str">
        <f>_xlfn.XLOOKUP($A:$A,Instagram_Usage_Lifestyle_Mini_!$A:$A,Instagram_Usage_Lifestyle_Mini_!$C:$K)</f>
        <v>Suburban</v>
      </c>
      <c r="G464" t="str">
        <f>_xlfn.XLOOKUP($A:$A,Instagram_Usage_Lifestyle_Mini_!$A:$A,Instagram_Usage_Lifestyle_Mini_!$C:$K)</f>
        <v>Middle</v>
      </c>
      <c r="H464" t="str">
        <f>_xlfn.XLOOKUP($A:$A,Instagram_Usage_Lifestyle_Mini_!$A:$A,Instagram_Usage_Lifestyle_Mini_!$C:$K)</f>
        <v>Full_time_employed</v>
      </c>
      <c r="I464" t="str">
        <f>_xlfn.XLOOKUP($A:$A,Instagram_Usage_Lifestyle_Mini_!$A:$A,Instagram_Usage_Lifestyle_Mini_!$C:$K)</f>
        <v>Bachelors_degree</v>
      </c>
      <c r="J464" t="str">
        <f>_xlfn.XLOOKUP($A:$A,Instagram_Usage_Lifestyle_Mini_!$A:$A,Instagram_Usage_Lifestyle_Mini_!$C:$K)</f>
        <v>Married</v>
      </c>
      <c r="K464" t="str">
        <f>_xlfn.XLOOKUP($A:$A,Instagram_Usage_Lifestyle_Mini_!$A:$A,Instagram_Usage_Lifestyle_Mini_!$C:$K)</f>
        <v>Yes</v>
      </c>
      <c r="L464" t="str" cm="1">
        <f t="array" ref="L464">_xlfn.IFS(C464&lt;18,"Under_18",C464&lt;=25,"Youth",C464&lt;=35,"Young_Adults",C464&lt;=45,"Mid_Adults",TRUE,"Seniors")</f>
        <v>Seniors</v>
      </c>
    </row>
    <row r="465" spans="1:12" x14ac:dyDescent="0.2">
      <c r="A465">
        <v>464</v>
      </c>
      <c r="B465" t="str">
        <f>_xlfn.XLOOKUP(A465,Instagram_Usage_Lifestyle_Mini_!A465,Instagram_Usage_Lifestyle_Mini_!B465,1)</f>
        <v>Instagram</v>
      </c>
      <c r="C465">
        <f>_xlfn.XLOOKUP($A:$A,Instagram_Usage_Lifestyle_Mini_!$A:$A,Instagram_Usage_Lifestyle_Mini_!$C:$K)</f>
        <v>18</v>
      </c>
      <c r="D465" t="str">
        <f>_xlfn.XLOOKUP($A:$A,Instagram_Usage_Lifestyle_Mini_!$A:$A,Instagram_Usage_Lifestyle_Mini_!$C:$K)</f>
        <v>Female</v>
      </c>
      <c r="E465" t="str">
        <f>_xlfn.XLOOKUP($A:$A,Instagram_Usage_Lifestyle_Mini_!$A:$A,Instagram_Usage_Lifestyle_Mini_!$C:$K)</f>
        <v>Other</v>
      </c>
      <c r="F465" t="str">
        <f>_xlfn.XLOOKUP($A:$A,Instagram_Usage_Lifestyle_Mini_!$A:$A,Instagram_Usage_Lifestyle_Mini_!$C:$K)</f>
        <v>Rural</v>
      </c>
      <c r="G465" t="str">
        <f>_xlfn.XLOOKUP($A:$A,Instagram_Usage_Lifestyle_Mini_!$A:$A,Instagram_Usage_Lifestyle_Mini_!$C:$K)</f>
        <v>Upper_middle</v>
      </c>
      <c r="H465" t="str">
        <f>_xlfn.XLOOKUP($A:$A,Instagram_Usage_Lifestyle_Mini_!$A:$A,Instagram_Usage_Lifestyle_Mini_!$C:$K)</f>
        <v>Full_time_employed</v>
      </c>
      <c r="I465" t="str">
        <f>_xlfn.XLOOKUP($A:$A,Instagram_Usage_Lifestyle_Mini_!$A:$A,Instagram_Usage_Lifestyle_Mini_!$C:$K)</f>
        <v>Masters_degree</v>
      </c>
      <c r="J465" t="str">
        <f>_xlfn.XLOOKUP($A:$A,Instagram_Usage_Lifestyle_Mini_!$A:$A,Instagram_Usage_Lifestyle_Mini_!$C:$K)</f>
        <v>Single</v>
      </c>
      <c r="K465" t="str">
        <f>_xlfn.XLOOKUP($A:$A,Instagram_Usage_Lifestyle_Mini_!$A:$A,Instagram_Usage_Lifestyle_Mini_!$C:$K)</f>
        <v>Yes</v>
      </c>
      <c r="L465" t="str" cm="1">
        <f t="array" ref="L465">_xlfn.IFS(C465&lt;18,"Under_18",C465&lt;=25,"Youth",C465&lt;=35,"Young_Adults",C465&lt;=45,"Mid_Adults",TRUE,"Seniors")</f>
        <v>Youth</v>
      </c>
    </row>
    <row r="466" spans="1:12" x14ac:dyDescent="0.2">
      <c r="A466">
        <v>465</v>
      </c>
      <c r="B466" t="str">
        <f>_xlfn.XLOOKUP(A466,Instagram_Usage_Lifestyle_Mini_!A466,Instagram_Usage_Lifestyle_Mini_!B466,1)</f>
        <v>Instagram</v>
      </c>
      <c r="C466">
        <f>_xlfn.XLOOKUP($A:$A,Instagram_Usage_Lifestyle_Mini_!$A:$A,Instagram_Usage_Lifestyle_Mini_!$C:$K)</f>
        <v>27</v>
      </c>
      <c r="D466" t="str">
        <f>_xlfn.XLOOKUP($A:$A,Instagram_Usage_Lifestyle_Mini_!$A:$A,Instagram_Usage_Lifestyle_Mini_!$C:$K)</f>
        <v>Male</v>
      </c>
      <c r="E466" t="str">
        <f>_xlfn.XLOOKUP($A:$A,Instagram_Usage_Lifestyle_Mini_!$A:$A,Instagram_Usage_Lifestyle_Mini_!$C:$K)</f>
        <v>Brazil</v>
      </c>
      <c r="F466" t="str">
        <f>_xlfn.XLOOKUP($A:$A,Instagram_Usage_Lifestyle_Mini_!$A:$A,Instagram_Usage_Lifestyle_Mini_!$C:$K)</f>
        <v>Urban</v>
      </c>
      <c r="G466" t="str">
        <f>_xlfn.XLOOKUP($A:$A,Instagram_Usage_Lifestyle_Mini_!$A:$A,Instagram_Usage_Lifestyle_Mini_!$C:$K)</f>
        <v>Middle</v>
      </c>
      <c r="H466" t="str">
        <f>_xlfn.XLOOKUP($A:$A,Instagram_Usage_Lifestyle_Mini_!$A:$A,Instagram_Usage_Lifestyle_Mini_!$C:$K)</f>
        <v>Freelancer</v>
      </c>
      <c r="I466" t="str">
        <f>_xlfn.XLOOKUP($A:$A,Instagram_Usage_Lifestyle_Mini_!$A:$A,Instagram_Usage_Lifestyle_Mini_!$C:$K)</f>
        <v>Some_college</v>
      </c>
      <c r="J466" t="str">
        <f>_xlfn.XLOOKUP($A:$A,Instagram_Usage_Lifestyle_Mini_!$A:$A,Instagram_Usage_Lifestyle_Mini_!$C:$K)</f>
        <v>Single</v>
      </c>
      <c r="K466" t="str">
        <f>_xlfn.XLOOKUP($A:$A,Instagram_Usage_Lifestyle_Mini_!$A:$A,Instagram_Usage_Lifestyle_Mini_!$C:$K)</f>
        <v>No</v>
      </c>
      <c r="L466" t="str" cm="1">
        <f t="array" ref="L466">_xlfn.IFS(C466&lt;18,"Under_18",C466&lt;=25,"Youth",C466&lt;=35,"Young_Adults",C466&lt;=45,"Mid_Adults",TRUE,"Seniors")</f>
        <v>Young_Adults</v>
      </c>
    </row>
    <row r="467" spans="1:12" x14ac:dyDescent="0.2">
      <c r="A467">
        <v>466</v>
      </c>
      <c r="B467" t="str">
        <f>_xlfn.XLOOKUP(A467,Instagram_Usage_Lifestyle_Mini_!A467,Instagram_Usage_Lifestyle_Mini_!B467,1)</f>
        <v>Instagram</v>
      </c>
      <c r="C467">
        <f>_xlfn.XLOOKUP($A:$A,Instagram_Usage_Lifestyle_Mini_!$A:$A,Instagram_Usage_Lifestyle_Mini_!$C:$K)</f>
        <v>55</v>
      </c>
      <c r="D467" t="str">
        <f>_xlfn.XLOOKUP($A:$A,Instagram_Usage_Lifestyle_Mini_!$A:$A,Instagram_Usage_Lifestyle_Mini_!$C:$K)</f>
        <v>Female</v>
      </c>
      <c r="E467" t="str">
        <f>_xlfn.XLOOKUP($A:$A,Instagram_Usage_Lifestyle_Mini_!$A:$A,Instagram_Usage_Lifestyle_Mini_!$C:$K)</f>
        <v>United_States</v>
      </c>
      <c r="F467" t="str">
        <f>_xlfn.XLOOKUP($A:$A,Instagram_Usage_Lifestyle_Mini_!$A:$A,Instagram_Usage_Lifestyle_Mini_!$C:$K)</f>
        <v>Urban</v>
      </c>
      <c r="G467" t="str">
        <f>_xlfn.XLOOKUP($A:$A,Instagram_Usage_Lifestyle_Mini_!$A:$A,Instagram_Usage_Lifestyle_Mini_!$C:$K)</f>
        <v>Upper_middle</v>
      </c>
      <c r="H467" t="str">
        <f>_xlfn.XLOOKUP($A:$A,Instagram_Usage_Lifestyle_Mini_!$A:$A,Instagram_Usage_Lifestyle_Mini_!$C:$K)</f>
        <v>Freelancer</v>
      </c>
      <c r="I467" t="str">
        <f>_xlfn.XLOOKUP($A:$A,Instagram_Usage_Lifestyle_Mini_!$A:$A,Instagram_Usage_Lifestyle_Mini_!$C:$K)</f>
        <v>Some_college</v>
      </c>
      <c r="J467" t="str">
        <f>_xlfn.XLOOKUP($A:$A,Instagram_Usage_Lifestyle_Mini_!$A:$A,Instagram_Usage_Lifestyle_Mini_!$C:$K)</f>
        <v>Divorced</v>
      </c>
      <c r="K467" t="str">
        <f>_xlfn.XLOOKUP($A:$A,Instagram_Usage_Lifestyle_Mini_!$A:$A,Instagram_Usage_Lifestyle_Mini_!$C:$K)</f>
        <v>No</v>
      </c>
      <c r="L467" t="str" cm="1">
        <f t="array" ref="L467">_xlfn.IFS(C467&lt;18,"Under_18",C467&lt;=25,"Youth",C467&lt;=35,"Young_Adults",C467&lt;=45,"Mid_Adults",TRUE,"Seniors")</f>
        <v>Seniors</v>
      </c>
    </row>
    <row r="468" spans="1:12" x14ac:dyDescent="0.2">
      <c r="A468">
        <v>467</v>
      </c>
      <c r="B468" t="str">
        <f>_xlfn.XLOOKUP(A468,Instagram_Usage_Lifestyle_Mini_!A468,Instagram_Usage_Lifestyle_Mini_!B468,1)</f>
        <v>Instagram</v>
      </c>
      <c r="C468">
        <f>_xlfn.XLOOKUP($A:$A,Instagram_Usage_Lifestyle_Mini_!$A:$A,Instagram_Usage_Lifestyle_Mini_!$C:$K)</f>
        <v>49</v>
      </c>
      <c r="D468" t="str">
        <f>_xlfn.XLOOKUP($A:$A,Instagram_Usage_Lifestyle_Mini_!$A:$A,Instagram_Usage_Lifestyle_Mini_!$C:$K)</f>
        <v>Female</v>
      </c>
      <c r="E468" t="str">
        <f>_xlfn.XLOOKUP($A:$A,Instagram_Usage_Lifestyle_Mini_!$A:$A,Instagram_Usage_Lifestyle_Mini_!$C:$K)</f>
        <v>Japan</v>
      </c>
      <c r="F468" t="str">
        <f>_xlfn.XLOOKUP($A:$A,Instagram_Usage_Lifestyle_Mini_!$A:$A,Instagram_Usage_Lifestyle_Mini_!$C:$K)</f>
        <v>Urban</v>
      </c>
      <c r="G468" t="str">
        <f>_xlfn.XLOOKUP($A:$A,Instagram_Usage_Lifestyle_Mini_!$A:$A,Instagram_Usage_Lifestyle_Mini_!$C:$K)</f>
        <v>High</v>
      </c>
      <c r="H468" t="str">
        <f>_xlfn.XLOOKUP($A:$A,Instagram_Usage_Lifestyle_Mini_!$A:$A,Instagram_Usage_Lifestyle_Mini_!$C:$K)</f>
        <v>Freelancer</v>
      </c>
      <c r="I468" t="str">
        <f>_xlfn.XLOOKUP($A:$A,Instagram_Usage_Lifestyle_Mini_!$A:$A,Instagram_Usage_Lifestyle_Mini_!$C:$K)</f>
        <v>Bachelors_degree</v>
      </c>
      <c r="J468" t="str">
        <f>_xlfn.XLOOKUP($A:$A,Instagram_Usage_Lifestyle_Mini_!$A:$A,Instagram_Usage_Lifestyle_Mini_!$C:$K)</f>
        <v>Single</v>
      </c>
      <c r="K468" t="str">
        <f>_xlfn.XLOOKUP($A:$A,Instagram_Usage_Lifestyle_Mini_!$A:$A,Instagram_Usage_Lifestyle_Mini_!$C:$K)</f>
        <v>Yes</v>
      </c>
      <c r="L468" t="str" cm="1">
        <f t="array" ref="L468">_xlfn.IFS(C468&lt;18,"Under_18",C468&lt;=25,"Youth",C468&lt;=35,"Young_Adults",C468&lt;=45,"Mid_Adults",TRUE,"Seniors")</f>
        <v>Seniors</v>
      </c>
    </row>
    <row r="469" spans="1:12" x14ac:dyDescent="0.2">
      <c r="A469">
        <v>468</v>
      </c>
      <c r="B469" t="str">
        <f>_xlfn.XLOOKUP(A469,Instagram_Usage_Lifestyle_Mini_!A469,Instagram_Usage_Lifestyle_Mini_!B469,1)</f>
        <v>Instagram</v>
      </c>
      <c r="C469">
        <f>_xlfn.XLOOKUP($A:$A,Instagram_Usage_Lifestyle_Mini_!$A:$A,Instagram_Usage_Lifestyle_Mini_!$C:$K)</f>
        <v>45</v>
      </c>
      <c r="D469" t="str">
        <f>_xlfn.XLOOKUP($A:$A,Instagram_Usage_Lifestyle_Mini_!$A:$A,Instagram_Usage_Lifestyle_Mini_!$C:$K)</f>
        <v>Female</v>
      </c>
      <c r="E469" t="str">
        <f>_xlfn.XLOOKUP($A:$A,Instagram_Usage_Lifestyle_Mini_!$A:$A,Instagram_Usage_Lifestyle_Mini_!$C:$K)</f>
        <v>India</v>
      </c>
      <c r="F469" t="str">
        <f>_xlfn.XLOOKUP($A:$A,Instagram_Usage_Lifestyle_Mini_!$A:$A,Instagram_Usage_Lifestyle_Mini_!$C:$K)</f>
        <v>Urban</v>
      </c>
      <c r="G469" t="str">
        <f>_xlfn.XLOOKUP($A:$A,Instagram_Usage_Lifestyle_Mini_!$A:$A,Instagram_Usage_Lifestyle_Mini_!$C:$K)</f>
        <v>Middle</v>
      </c>
      <c r="H469" t="str">
        <f>_xlfn.XLOOKUP($A:$A,Instagram_Usage_Lifestyle_Mini_!$A:$A,Instagram_Usage_Lifestyle_Mini_!$C:$K)</f>
        <v>Full_time_employed</v>
      </c>
      <c r="I469" t="str">
        <f>_xlfn.XLOOKUP($A:$A,Instagram_Usage_Lifestyle_Mini_!$A:$A,Instagram_Usage_Lifestyle_Mini_!$C:$K)</f>
        <v>Bachelors_degree</v>
      </c>
      <c r="J469" t="str">
        <f>_xlfn.XLOOKUP($A:$A,Instagram_Usage_Lifestyle_Mini_!$A:$A,Instagram_Usage_Lifestyle_Mini_!$C:$K)</f>
        <v>Married</v>
      </c>
      <c r="K469" t="str">
        <f>_xlfn.XLOOKUP($A:$A,Instagram_Usage_Lifestyle_Mini_!$A:$A,Instagram_Usage_Lifestyle_Mini_!$C:$K)</f>
        <v>No</v>
      </c>
      <c r="L469" t="str" cm="1">
        <f t="array" ref="L469">_xlfn.IFS(C469&lt;18,"Under_18",C469&lt;=25,"Youth",C469&lt;=35,"Young_Adults",C469&lt;=45,"Mid_Adults",TRUE,"Seniors")</f>
        <v>Mid_Adults</v>
      </c>
    </row>
    <row r="470" spans="1:12" x14ac:dyDescent="0.2">
      <c r="A470">
        <v>469</v>
      </c>
      <c r="B470" t="str">
        <f>_xlfn.XLOOKUP(A470,Instagram_Usage_Lifestyle_Mini_!A470,Instagram_Usage_Lifestyle_Mini_!B470,1)</f>
        <v>Instagram</v>
      </c>
      <c r="C470">
        <f>_xlfn.XLOOKUP($A:$A,Instagram_Usage_Lifestyle_Mini_!$A:$A,Instagram_Usage_Lifestyle_Mini_!$C:$K)</f>
        <v>20</v>
      </c>
      <c r="D470" t="str">
        <f>_xlfn.XLOOKUP($A:$A,Instagram_Usage_Lifestyle_Mini_!$A:$A,Instagram_Usage_Lifestyle_Mini_!$C:$K)</f>
        <v>Female</v>
      </c>
      <c r="E470" t="str">
        <f>_xlfn.XLOOKUP($A:$A,Instagram_Usage_Lifestyle_Mini_!$A:$A,Instagram_Usage_Lifestyle_Mini_!$C:$K)</f>
        <v>United_States</v>
      </c>
      <c r="F470" t="str">
        <f>_xlfn.XLOOKUP($A:$A,Instagram_Usage_Lifestyle_Mini_!$A:$A,Instagram_Usage_Lifestyle_Mini_!$C:$K)</f>
        <v>Suburban</v>
      </c>
      <c r="G470" t="str">
        <f>_xlfn.XLOOKUP($A:$A,Instagram_Usage_Lifestyle_Mini_!$A:$A,Instagram_Usage_Lifestyle_Mini_!$C:$K)</f>
        <v>Middle</v>
      </c>
      <c r="H470" t="str">
        <f>_xlfn.XLOOKUP($A:$A,Instagram_Usage_Lifestyle_Mini_!$A:$A,Instagram_Usage_Lifestyle_Mini_!$C:$K)</f>
        <v>Unemployed</v>
      </c>
      <c r="I470" t="str">
        <f>_xlfn.XLOOKUP($A:$A,Instagram_Usage_Lifestyle_Mini_!$A:$A,Instagram_Usage_Lifestyle_Mini_!$C:$K)</f>
        <v>Some_college</v>
      </c>
      <c r="J470" t="str">
        <f>_xlfn.XLOOKUP($A:$A,Instagram_Usage_Lifestyle_Mini_!$A:$A,Instagram_Usage_Lifestyle_Mini_!$C:$K)</f>
        <v>Divorced</v>
      </c>
      <c r="K470" t="str">
        <f>_xlfn.XLOOKUP($A:$A,Instagram_Usage_Lifestyle_Mini_!$A:$A,Instagram_Usage_Lifestyle_Mini_!$C:$K)</f>
        <v>No</v>
      </c>
      <c r="L470" t="str" cm="1">
        <f t="array" ref="L470">_xlfn.IFS(C470&lt;18,"Under_18",C470&lt;=25,"Youth",C470&lt;=35,"Young_Adults",C470&lt;=45,"Mid_Adults",TRUE,"Seniors")</f>
        <v>Youth</v>
      </c>
    </row>
    <row r="471" spans="1:12" x14ac:dyDescent="0.2">
      <c r="A471">
        <v>470</v>
      </c>
      <c r="B471" t="str">
        <f>_xlfn.XLOOKUP(A471,Instagram_Usage_Lifestyle_Mini_!A471,Instagram_Usage_Lifestyle_Mini_!B471,1)</f>
        <v>Instagram</v>
      </c>
      <c r="C471">
        <f>_xlfn.XLOOKUP($A:$A,Instagram_Usage_Lifestyle_Mini_!$A:$A,Instagram_Usage_Lifestyle_Mini_!$C:$K)</f>
        <v>65</v>
      </c>
      <c r="D471" t="str">
        <f>_xlfn.XLOOKUP($A:$A,Instagram_Usage_Lifestyle_Mini_!$A:$A,Instagram_Usage_Lifestyle_Mini_!$C:$K)</f>
        <v>Female</v>
      </c>
      <c r="E471" t="str">
        <f>_xlfn.XLOOKUP($A:$A,Instagram_Usage_Lifestyle_Mini_!$A:$A,Instagram_Usage_Lifestyle_Mini_!$C:$K)</f>
        <v>United_States</v>
      </c>
      <c r="F471" t="str">
        <f>_xlfn.XLOOKUP($A:$A,Instagram_Usage_Lifestyle_Mini_!$A:$A,Instagram_Usage_Lifestyle_Mini_!$C:$K)</f>
        <v>Urban</v>
      </c>
      <c r="G471" t="str">
        <f>_xlfn.XLOOKUP($A:$A,Instagram_Usage_Lifestyle_Mini_!$A:$A,Instagram_Usage_Lifestyle_Mini_!$C:$K)</f>
        <v>Lower_middle</v>
      </c>
      <c r="H471" t="str">
        <f>_xlfn.XLOOKUP($A:$A,Instagram_Usage_Lifestyle_Mini_!$A:$A,Instagram_Usage_Lifestyle_Mini_!$C:$K)</f>
        <v>Full_time_employed</v>
      </c>
      <c r="I471" t="str">
        <f>_xlfn.XLOOKUP($A:$A,Instagram_Usage_Lifestyle_Mini_!$A:$A,Instagram_Usage_Lifestyle_Mini_!$C:$K)</f>
        <v>Some_college</v>
      </c>
      <c r="J471" t="str">
        <f>_xlfn.XLOOKUP($A:$A,Instagram_Usage_Lifestyle_Mini_!$A:$A,Instagram_Usage_Lifestyle_Mini_!$C:$K)</f>
        <v>Married</v>
      </c>
      <c r="K471" t="str">
        <f>_xlfn.XLOOKUP($A:$A,Instagram_Usage_Lifestyle_Mini_!$A:$A,Instagram_Usage_Lifestyle_Mini_!$C:$K)</f>
        <v>Yes</v>
      </c>
      <c r="L471" t="str" cm="1">
        <f t="array" ref="L471">_xlfn.IFS(C471&lt;18,"Under_18",C471&lt;=25,"Youth",C471&lt;=35,"Young_Adults",C471&lt;=45,"Mid_Adults",TRUE,"Seniors")</f>
        <v>Seniors</v>
      </c>
    </row>
    <row r="472" spans="1:12" x14ac:dyDescent="0.2">
      <c r="A472">
        <v>471</v>
      </c>
      <c r="B472" t="str">
        <f>_xlfn.XLOOKUP(A472,Instagram_Usage_Lifestyle_Mini_!A472,Instagram_Usage_Lifestyle_Mini_!B472,1)</f>
        <v>Instagram</v>
      </c>
      <c r="C472">
        <f>_xlfn.XLOOKUP($A:$A,Instagram_Usage_Lifestyle_Mini_!$A:$A,Instagram_Usage_Lifestyle_Mini_!$C:$K)</f>
        <v>56</v>
      </c>
      <c r="D472" t="str">
        <f>_xlfn.XLOOKUP($A:$A,Instagram_Usage_Lifestyle_Mini_!$A:$A,Instagram_Usage_Lifestyle_Mini_!$C:$K)</f>
        <v>Female</v>
      </c>
      <c r="E472" t="str">
        <f>_xlfn.XLOOKUP($A:$A,Instagram_Usage_Lifestyle_Mini_!$A:$A,Instagram_Usage_Lifestyle_Mini_!$C:$K)</f>
        <v>Australia</v>
      </c>
      <c r="F472" t="str">
        <f>_xlfn.XLOOKUP($A:$A,Instagram_Usage_Lifestyle_Mini_!$A:$A,Instagram_Usage_Lifestyle_Mini_!$C:$K)</f>
        <v>Urban</v>
      </c>
      <c r="G472" t="str">
        <f>_xlfn.XLOOKUP($A:$A,Instagram_Usage_Lifestyle_Mini_!$A:$A,Instagram_Usage_Lifestyle_Mini_!$C:$K)</f>
        <v>Lower_middle</v>
      </c>
      <c r="H472" t="str">
        <f>_xlfn.XLOOKUP($A:$A,Instagram_Usage_Lifestyle_Mini_!$A:$A,Instagram_Usage_Lifestyle_Mini_!$C:$K)</f>
        <v>Full_time_employed</v>
      </c>
      <c r="I472" t="str">
        <f>_xlfn.XLOOKUP($A:$A,Instagram_Usage_Lifestyle_Mini_!$A:$A,Instagram_Usage_Lifestyle_Mini_!$C:$K)</f>
        <v>High_school</v>
      </c>
      <c r="J472" t="str">
        <f>_xlfn.XLOOKUP($A:$A,Instagram_Usage_Lifestyle_Mini_!$A:$A,Instagram_Usage_Lifestyle_Mini_!$C:$K)</f>
        <v>Single</v>
      </c>
      <c r="K472" t="str">
        <f>_xlfn.XLOOKUP($A:$A,Instagram_Usage_Lifestyle_Mini_!$A:$A,Instagram_Usage_Lifestyle_Mini_!$C:$K)</f>
        <v>No</v>
      </c>
      <c r="L472" t="str" cm="1">
        <f t="array" ref="L472">_xlfn.IFS(C472&lt;18,"Under_18",C472&lt;=25,"Youth",C472&lt;=35,"Young_Adults",C472&lt;=45,"Mid_Adults",TRUE,"Seniors")</f>
        <v>Seniors</v>
      </c>
    </row>
    <row r="473" spans="1:12" x14ac:dyDescent="0.2">
      <c r="A473">
        <v>472</v>
      </c>
      <c r="B473" t="str">
        <f>_xlfn.XLOOKUP(A473,Instagram_Usage_Lifestyle_Mini_!A473,Instagram_Usage_Lifestyle_Mini_!B473,1)</f>
        <v>Instagram</v>
      </c>
      <c r="C473">
        <f>_xlfn.XLOOKUP($A:$A,Instagram_Usage_Lifestyle_Mini_!$A:$A,Instagram_Usage_Lifestyle_Mini_!$C:$K)</f>
        <v>56</v>
      </c>
      <c r="D473" t="str">
        <f>_xlfn.XLOOKUP($A:$A,Instagram_Usage_Lifestyle_Mini_!$A:$A,Instagram_Usage_Lifestyle_Mini_!$C:$K)</f>
        <v>Male</v>
      </c>
      <c r="E473" t="str">
        <f>_xlfn.XLOOKUP($A:$A,Instagram_Usage_Lifestyle_Mini_!$A:$A,Instagram_Usage_Lifestyle_Mini_!$C:$K)</f>
        <v>India</v>
      </c>
      <c r="F473" t="str">
        <f>_xlfn.XLOOKUP($A:$A,Instagram_Usage_Lifestyle_Mini_!$A:$A,Instagram_Usage_Lifestyle_Mini_!$C:$K)</f>
        <v>Urban</v>
      </c>
      <c r="G473" t="str">
        <f>_xlfn.XLOOKUP($A:$A,Instagram_Usage_Lifestyle_Mini_!$A:$A,Instagram_Usage_Lifestyle_Mini_!$C:$K)</f>
        <v>Middle</v>
      </c>
      <c r="H473" t="str">
        <f>_xlfn.XLOOKUP($A:$A,Instagram_Usage_Lifestyle_Mini_!$A:$A,Instagram_Usage_Lifestyle_Mini_!$C:$K)</f>
        <v>Full_time_employed</v>
      </c>
      <c r="I473" t="str">
        <f>_xlfn.XLOOKUP($A:$A,Instagram_Usage_Lifestyle_Mini_!$A:$A,Instagram_Usage_Lifestyle_Mini_!$C:$K)</f>
        <v>Masters_degree</v>
      </c>
      <c r="J473" t="str">
        <f>_xlfn.XLOOKUP($A:$A,Instagram_Usage_Lifestyle_Mini_!$A:$A,Instagram_Usage_Lifestyle_Mini_!$C:$K)</f>
        <v>Married</v>
      </c>
      <c r="K473" t="str">
        <f>_xlfn.XLOOKUP($A:$A,Instagram_Usage_Lifestyle_Mini_!$A:$A,Instagram_Usage_Lifestyle_Mini_!$C:$K)</f>
        <v>Yes</v>
      </c>
      <c r="L473" t="str" cm="1">
        <f t="array" ref="L473">_xlfn.IFS(C473&lt;18,"Under_18",C473&lt;=25,"Youth",C473&lt;=35,"Young_Adults",C473&lt;=45,"Mid_Adults",TRUE,"Seniors")</f>
        <v>Seniors</v>
      </c>
    </row>
    <row r="474" spans="1:12" x14ac:dyDescent="0.2">
      <c r="A474">
        <v>473</v>
      </c>
      <c r="B474" t="str">
        <f>_xlfn.XLOOKUP(A474,Instagram_Usage_Lifestyle_Mini_!A474,Instagram_Usage_Lifestyle_Mini_!B474,1)</f>
        <v>Instagram</v>
      </c>
      <c r="C474">
        <f>_xlfn.XLOOKUP($A:$A,Instagram_Usage_Lifestyle_Mini_!$A:$A,Instagram_Usage_Lifestyle_Mini_!$C:$K)</f>
        <v>17</v>
      </c>
      <c r="D474" t="str">
        <f>_xlfn.XLOOKUP($A:$A,Instagram_Usage_Lifestyle_Mini_!$A:$A,Instagram_Usage_Lifestyle_Mini_!$C:$K)</f>
        <v>Female</v>
      </c>
      <c r="E474" t="str">
        <f>_xlfn.XLOOKUP($A:$A,Instagram_Usage_Lifestyle_Mini_!$A:$A,Instagram_Usage_Lifestyle_Mini_!$C:$K)</f>
        <v>United_States</v>
      </c>
      <c r="F474" t="str">
        <f>_xlfn.XLOOKUP($A:$A,Instagram_Usage_Lifestyle_Mini_!$A:$A,Instagram_Usage_Lifestyle_Mini_!$C:$K)</f>
        <v>Urban</v>
      </c>
      <c r="G474" t="str">
        <f>_xlfn.XLOOKUP($A:$A,Instagram_Usage_Lifestyle_Mini_!$A:$A,Instagram_Usage_Lifestyle_Mini_!$C:$K)</f>
        <v>Middle</v>
      </c>
      <c r="H474" t="str">
        <f>_xlfn.XLOOKUP($A:$A,Instagram_Usage_Lifestyle_Mini_!$A:$A,Instagram_Usage_Lifestyle_Mini_!$C:$K)</f>
        <v>Full_time_employed</v>
      </c>
      <c r="I474" t="str">
        <f>_xlfn.XLOOKUP($A:$A,Instagram_Usage_Lifestyle_Mini_!$A:$A,Instagram_Usage_Lifestyle_Mini_!$C:$K)</f>
        <v>Bachelors_degree</v>
      </c>
      <c r="J474" t="str">
        <f>_xlfn.XLOOKUP($A:$A,Instagram_Usage_Lifestyle_Mini_!$A:$A,Instagram_Usage_Lifestyle_Mini_!$C:$K)</f>
        <v>Married</v>
      </c>
      <c r="K474" t="str">
        <f>_xlfn.XLOOKUP($A:$A,Instagram_Usage_Lifestyle_Mini_!$A:$A,Instagram_Usage_Lifestyle_Mini_!$C:$K)</f>
        <v>Yes</v>
      </c>
      <c r="L474" t="str" cm="1">
        <f t="array" ref="L474">_xlfn.IFS(C474&lt;18,"Under_18",C474&lt;=25,"Youth",C474&lt;=35,"Young_Adults",C474&lt;=45,"Mid_Adults",TRUE,"Seniors")</f>
        <v>Under_18</v>
      </c>
    </row>
    <row r="475" spans="1:12" x14ac:dyDescent="0.2">
      <c r="A475">
        <v>474</v>
      </c>
      <c r="B475" t="str">
        <f>_xlfn.XLOOKUP(A475,Instagram_Usage_Lifestyle_Mini_!A475,Instagram_Usage_Lifestyle_Mini_!B475,1)</f>
        <v>Instagram</v>
      </c>
      <c r="C475">
        <f>_xlfn.XLOOKUP($A:$A,Instagram_Usage_Lifestyle_Mini_!$A:$A,Instagram_Usage_Lifestyle_Mini_!$C:$K)</f>
        <v>51</v>
      </c>
      <c r="D475" t="str">
        <f>_xlfn.XLOOKUP($A:$A,Instagram_Usage_Lifestyle_Mini_!$A:$A,Instagram_Usage_Lifestyle_Mini_!$C:$K)</f>
        <v>Male</v>
      </c>
      <c r="E475" t="str">
        <f>_xlfn.XLOOKUP($A:$A,Instagram_Usage_Lifestyle_Mini_!$A:$A,Instagram_Usage_Lifestyle_Mini_!$C:$K)</f>
        <v>United _Kingdom</v>
      </c>
      <c r="F475" t="str">
        <f>_xlfn.XLOOKUP($A:$A,Instagram_Usage_Lifestyle_Mini_!$A:$A,Instagram_Usage_Lifestyle_Mini_!$C:$K)</f>
        <v>Urban</v>
      </c>
      <c r="G475" t="str">
        <f>_xlfn.XLOOKUP($A:$A,Instagram_Usage_Lifestyle_Mini_!$A:$A,Instagram_Usage_Lifestyle_Mini_!$C:$K)</f>
        <v>Upper_middle</v>
      </c>
      <c r="H475" t="str">
        <f>_xlfn.XLOOKUP($A:$A,Instagram_Usage_Lifestyle_Mini_!$A:$A,Instagram_Usage_Lifestyle_Mini_!$C:$K)</f>
        <v>Student</v>
      </c>
      <c r="I475" t="str">
        <f>_xlfn.XLOOKUP($A:$A,Instagram_Usage_Lifestyle_Mini_!$A:$A,Instagram_Usage_Lifestyle_Mini_!$C:$K)</f>
        <v>Bachelors_degree</v>
      </c>
      <c r="J475" t="str">
        <f>_xlfn.XLOOKUP($A:$A,Instagram_Usage_Lifestyle_Mini_!$A:$A,Instagram_Usage_Lifestyle_Mini_!$C:$K)</f>
        <v>In_a_relationship</v>
      </c>
      <c r="K475" t="str">
        <f>_xlfn.XLOOKUP($A:$A,Instagram_Usage_Lifestyle_Mini_!$A:$A,Instagram_Usage_Lifestyle_Mini_!$C:$K)</f>
        <v>No</v>
      </c>
      <c r="L475" t="str" cm="1">
        <f t="array" ref="L475">_xlfn.IFS(C475&lt;18,"Under_18",C475&lt;=25,"Youth",C475&lt;=35,"Young_Adults",C475&lt;=45,"Mid_Adults",TRUE,"Seniors")</f>
        <v>Seniors</v>
      </c>
    </row>
    <row r="476" spans="1:12" x14ac:dyDescent="0.2">
      <c r="A476">
        <v>475</v>
      </c>
      <c r="B476" t="str">
        <f>_xlfn.XLOOKUP(A476,Instagram_Usage_Lifestyle_Mini_!A476,Instagram_Usage_Lifestyle_Mini_!B476,1)</f>
        <v>Instagram</v>
      </c>
      <c r="C476">
        <f>_xlfn.XLOOKUP($A:$A,Instagram_Usage_Lifestyle_Mini_!$A:$A,Instagram_Usage_Lifestyle_Mini_!$C:$K)</f>
        <v>16</v>
      </c>
      <c r="D476" t="str">
        <f>_xlfn.XLOOKUP($A:$A,Instagram_Usage_Lifestyle_Mini_!$A:$A,Instagram_Usage_Lifestyle_Mini_!$C:$K)</f>
        <v>Male</v>
      </c>
      <c r="E476" t="str">
        <f>_xlfn.XLOOKUP($A:$A,Instagram_Usage_Lifestyle_Mini_!$A:$A,Instagram_Usage_Lifestyle_Mini_!$C:$K)</f>
        <v>United_States</v>
      </c>
      <c r="F476" t="str">
        <f>_xlfn.XLOOKUP($A:$A,Instagram_Usage_Lifestyle_Mini_!$A:$A,Instagram_Usage_Lifestyle_Mini_!$C:$K)</f>
        <v>Urban</v>
      </c>
      <c r="G476" t="str">
        <f>_xlfn.XLOOKUP($A:$A,Instagram_Usage_Lifestyle_Mini_!$A:$A,Instagram_Usage_Lifestyle_Mini_!$C:$K)</f>
        <v>Lower_middle</v>
      </c>
      <c r="H476" t="str">
        <f>_xlfn.XLOOKUP($A:$A,Instagram_Usage_Lifestyle_Mini_!$A:$A,Instagram_Usage_Lifestyle_Mini_!$C:$K)</f>
        <v>Freelancer</v>
      </c>
      <c r="I476" t="str">
        <f>_xlfn.XLOOKUP($A:$A,Instagram_Usage_Lifestyle_Mini_!$A:$A,Instagram_Usage_Lifestyle_Mini_!$C:$K)</f>
        <v>Some_college</v>
      </c>
      <c r="J476" t="str">
        <f>_xlfn.XLOOKUP($A:$A,Instagram_Usage_Lifestyle_Mini_!$A:$A,Instagram_Usage_Lifestyle_Mini_!$C:$K)</f>
        <v>Single</v>
      </c>
      <c r="K476" t="str">
        <f>_xlfn.XLOOKUP($A:$A,Instagram_Usage_Lifestyle_Mini_!$A:$A,Instagram_Usage_Lifestyle_Mini_!$C:$K)</f>
        <v>No</v>
      </c>
      <c r="L476" t="str" cm="1">
        <f t="array" ref="L476">_xlfn.IFS(C476&lt;18,"Under_18",C476&lt;=25,"Youth",C476&lt;=35,"Young_Adults",C476&lt;=45,"Mid_Adults",TRUE,"Seniors")</f>
        <v>Under_18</v>
      </c>
    </row>
    <row r="477" spans="1:12" x14ac:dyDescent="0.2">
      <c r="A477">
        <v>476</v>
      </c>
      <c r="B477" t="str">
        <f>_xlfn.XLOOKUP(A477,Instagram_Usage_Lifestyle_Mini_!A477,Instagram_Usage_Lifestyle_Mini_!B477,1)</f>
        <v>Instagram</v>
      </c>
      <c r="C477">
        <f>_xlfn.XLOOKUP($A:$A,Instagram_Usage_Lifestyle_Mini_!$A:$A,Instagram_Usage_Lifestyle_Mini_!$C:$K)</f>
        <v>18</v>
      </c>
      <c r="D477" t="str">
        <f>_xlfn.XLOOKUP($A:$A,Instagram_Usage_Lifestyle_Mini_!$A:$A,Instagram_Usage_Lifestyle_Mini_!$C:$K)</f>
        <v>Female</v>
      </c>
      <c r="E477" t="str">
        <f>_xlfn.XLOOKUP($A:$A,Instagram_Usage_Lifestyle_Mini_!$A:$A,Instagram_Usage_Lifestyle_Mini_!$C:$K)</f>
        <v>Japan</v>
      </c>
      <c r="F477" t="str">
        <f>_xlfn.XLOOKUP($A:$A,Instagram_Usage_Lifestyle_Mini_!$A:$A,Instagram_Usage_Lifestyle_Mini_!$C:$K)</f>
        <v>Urban</v>
      </c>
      <c r="G477" t="str">
        <f>_xlfn.XLOOKUP($A:$A,Instagram_Usage_Lifestyle_Mini_!$A:$A,Instagram_Usage_Lifestyle_Mini_!$C:$K)</f>
        <v>Low</v>
      </c>
      <c r="H477" t="str">
        <f>_xlfn.XLOOKUP($A:$A,Instagram_Usage_Lifestyle_Mini_!$A:$A,Instagram_Usage_Lifestyle_Mini_!$C:$K)</f>
        <v>Student</v>
      </c>
      <c r="I477" t="str">
        <f>_xlfn.XLOOKUP($A:$A,Instagram_Usage_Lifestyle_Mini_!$A:$A,Instagram_Usage_Lifestyle_Mini_!$C:$K)</f>
        <v>Bachelors_degree</v>
      </c>
      <c r="J477" t="str">
        <f>_xlfn.XLOOKUP($A:$A,Instagram_Usage_Lifestyle_Mini_!$A:$A,Instagram_Usage_Lifestyle_Mini_!$C:$K)</f>
        <v>Divorced</v>
      </c>
      <c r="K477" t="str">
        <f>_xlfn.XLOOKUP($A:$A,Instagram_Usage_Lifestyle_Mini_!$A:$A,Instagram_Usage_Lifestyle_Mini_!$C:$K)</f>
        <v>No</v>
      </c>
      <c r="L477" t="str" cm="1">
        <f t="array" ref="L477">_xlfn.IFS(C477&lt;18,"Under_18",C477&lt;=25,"Youth",C477&lt;=35,"Young_Adults",C477&lt;=45,"Mid_Adults",TRUE,"Seniors")</f>
        <v>Youth</v>
      </c>
    </row>
    <row r="478" spans="1:12" x14ac:dyDescent="0.2">
      <c r="A478">
        <v>477</v>
      </c>
      <c r="B478" t="str">
        <f>_xlfn.XLOOKUP(A478,Instagram_Usage_Lifestyle_Mini_!A478,Instagram_Usage_Lifestyle_Mini_!B478,1)</f>
        <v>Instagram</v>
      </c>
      <c r="C478">
        <f>_xlfn.XLOOKUP($A:$A,Instagram_Usage_Lifestyle_Mini_!$A:$A,Instagram_Usage_Lifestyle_Mini_!$C:$K)</f>
        <v>57</v>
      </c>
      <c r="D478" t="str">
        <f>_xlfn.XLOOKUP($A:$A,Instagram_Usage_Lifestyle_Mini_!$A:$A,Instagram_Usage_Lifestyle_Mini_!$C:$K)</f>
        <v>Male</v>
      </c>
      <c r="E478" t="str">
        <f>_xlfn.XLOOKUP($A:$A,Instagram_Usage_Lifestyle_Mini_!$A:$A,Instagram_Usage_Lifestyle_Mini_!$C:$K)</f>
        <v>United_States</v>
      </c>
      <c r="F478" t="str">
        <f>_xlfn.XLOOKUP($A:$A,Instagram_Usage_Lifestyle_Mini_!$A:$A,Instagram_Usage_Lifestyle_Mini_!$C:$K)</f>
        <v>Suburban</v>
      </c>
      <c r="G478" t="str">
        <f>_xlfn.XLOOKUP($A:$A,Instagram_Usage_Lifestyle_Mini_!$A:$A,Instagram_Usage_Lifestyle_Mini_!$C:$K)</f>
        <v>Middle</v>
      </c>
      <c r="H478" t="str">
        <f>_xlfn.XLOOKUP($A:$A,Instagram_Usage_Lifestyle_Mini_!$A:$A,Instagram_Usage_Lifestyle_Mini_!$C:$K)</f>
        <v>Full_time_employed</v>
      </c>
      <c r="I478" t="str">
        <f>_xlfn.XLOOKUP($A:$A,Instagram_Usage_Lifestyle_Mini_!$A:$A,Instagram_Usage_Lifestyle_Mini_!$C:$K)</f>
        <v>High_school</v>
      </c>
      <c r="J478" t="str">
        <f>_xlfn.XLOOKUP($A:$A,Instagram_Usage_Lifestyle_Mini_!$A:$A,Instagram_Usage_Lifestyle_Mini_!$C:$K)</f>
        <v>In_a_relationship</v>
      </c>
      <c r="K478" t="str">
        <f>_xlfn.XLOOKUP($A:$A,Instagram_Usage_Lifestyle_Mini_!$A:$A,Instagram_Usage_Lifestyle_Mini_!$C:$K)</f>
        <v>Yes</v>
      </c>
      <c r="L478" t="str" cm="1">
        <f t="array" ref="L478">_xlfn.IFS(C478&lt;18,"Under_18",C478&lt;=25,"Youth",C478&lt;=35,"Young_Adults",C478&lt;=45,"Mid_Adults",TRUE,"Seniors")</f>
        <v>Seniors</v>
      </c>
    </row>
    <row r="479" spans="1:12" x14ac:dyDescent="0.2">
      <c r="A479">
        <v>478</v>
      </c>
      <c r="B479" t="str">
        <f>_xlfn.XLOOKUP(A479,Instagram_Usage_Lifestyle_Mini_!A479,Instagram_Usage_Lifestyle_Mini_!B479,1)</f>
        <v>Instagram</v>
      </c>
      <c r="C479">
        <f>_xlfn.XLOOKUP($A:$A,Instagram_Usage_Lifestyle_Mini_!$A:$A,Instagram_Usage_Lifestyle_Mini_!$C:$K)</f>
        <v>44</v>
      </c>
      <c r="D479" t="str">
        <f>_xlfn.XLOOKUP($A:$A,Instagram_Usage_Lifestyle_Mini_!$A:$A,Instagram_Usage_Lifestyle_Mini_!$C:$K)</f>
        <v>Male</v>
      </c>
      <c r="E479" t="str">
        <f>_xlfn.XLOOKUP($A:$A,Instagram_Usage_Lifestyle_Mini_!$A:$A,Instagram_Usage_Lifestyle_Mini_!$C:$K)</f>
        <v>Canada</v>
      </c>
      <c r="F479" t="str">
        <f>_xlfn.XLOOKUP($A:$A,Instagram_Usage_Lifestyle_Mini_!$A:$A,Instagram_Usage_Lifestyle_Mini_!$C:$K)</f>
        <v>Urban</v>
      </c>
      <c r="G479" t="str">
        <f>_xlfn.XLOOKUP($A:$A,Instagram_Usage_Lifestyle_Mini_!$A:$A,Instagram_Usage_Lifestyle_Mini_!$C:$K)</f>
        <v>Middle</v>
      </c>
      <c r="H479" t="str">
        <f>_xlfn.XLOOKUP($A:$A,Instagram_Usage_Lifestyle_Mini_!$A:$A,Instagram_Usage_Lifestyle_Mini_!$C:$K)</f>
        <v>Part_time</v>
      </c>
      <c r="I479" t="str">
        <f>_xlfn.XLOOKUP($A:$A,Instagram_Usage_Lifestyle_Mini_!$A:$A,Instagram_Usage_Lifestyle_Mini_!$C:$K)</f>
        <v>Other</v>
      </c>
      <c r="J479" t="str">
        <f>_xlfn.XLOOKUP($A:$A,Instagram_Usage_Lifestyle_Mini_!$A:$A,Instagram_Usage_Lifestyle_Mini_!$C:$K)</f>
        <v>Single</v>
      </c>
      <c r="K479" t="str">
        <f>_xlfn.XLOOKUP($A:$A,Instagram_Usage_Lifestyle_Mini_!$A:$A,Instagram_Usage_Lifestyle_Mini_!$C:$K)</f>
        <v>No</v>
      </c>
      <c r="L479" t="str" cm="1">
        <f t="array" ref="L479">_xlfn.IFS(C479&lt;18,"Under_18",C479&lt;=25,"Youth",C479&lt;=35,"Young_Adults",C479&lt;=45,"Mid_Adults",TRUE,"Seniors")</f>
        <v>Mid_Adults</v>
      </c>
    </row>
    <row r="480" spans="1:12" x14ac:dyDescent="0.2">
      <c r="A480">
        <v>479</v>
      </c>
      <c r="B480" t="str">
        <f>_xlfn.XLOOKUP(A480,Instagram_Usage_Lifestyle_Mini_!A480,Instagram_Usage_Lifestyle_Mini_!B480,1)</f>
        <v>Instagram</v>
      </c>
      <c r="C480">
        <f>_xlfn.XLOOKUP($A:$A,Instagram_Usage_Lifestyle_Mini_!$A:$A,Instagram_Usage_Lifestyle_Mini_!$C:$K)</f>
        <v>64</v>
      </c>
      <c r="D480" t="str">
        <f>_xlfn.XLOOKUP($A:$A,Instagram_Usage_Lifestyle_Mini_!$A:$A,Instagram_Usage_Lifestyle_Mini_!$C:$K)</f>
        <v>Male</v>
      </c>
      <c r="E480" t="str">
        <f>_xlfn.XLOOKUP($A:$A,Instagram_Usage_Lifestyle_Mini_!$A:$A,Instagram_Usage_Lifestyle_Mini_!$C:$K)</f>
        <v>Japan</v>
      </c>
      <c r="F480" t="str">
        <f>_xlfn.XLOOKUP($A:$A,Instagram_Usage_Lifestyle_Mini_!$A:$A,Instagram_Usage_Lifestyle_Mini_!$C:$K)</f>
        <v>Suburban</v>
      </c>
      <c r="G480" t="str">
        <f>_xlfn.XLOOKUP($A:$A,Instagram_Usage_Lifestyle_Mini_!$A:$A,Instagram_Usage_Lifestyle_Mini_!$C:$K)</f>
        <v>Upper_middle</v>
      </c>
      <c r="H480" t="str">
        <f>_xlfn.XLOOKUP($A:$A,Instagram_Usage_Lifestyle_Mini_!$A:$A,Instagram_Usage_Lifestyle_Mini_!$C:$K)</f>
        <v>Unemployed</v>
      </c>
      <c r="I480" t="str">
        <f>_xlfn.XLOOKUP($A:$A,Instagram_Usage_Lifestyle_Mini_!$A:$A,Instagram_Usage_Lifestyle_Mini_!$C:$K)</f>
        <v>Bachelors_degree</v>
      </c>
      <c r="J480" t="str">
        <f>_xlfn.XLOOKUP($A:$A,Instagram_Usage_Lifestyle_Mini_!$A:$A,Instagram_Usage_Lifestyle_Mini_!$C:$K)</f>
        <v>Married</v>
      </c>
      <c r="K480" t="str">
        <f>_xlfn.XLOOKUP($A:$A,Instagram_Usage_Lifestyle_Mini_!$A:$A,Instagram_Usage_Lifestyle_Mini_!$C:$K)</f>
        <v>No</v>
      </c>
      <c r="L480" t="str" cm="1">
        <f t="array" ref="L480">_xlfn.IFS(C480&lt;18,"Under_18",C480&lt;=25,"Youth",C480&lt;=35,"Young_Adults",C480&lt;=45,"Mid_Adults",TRUE,"Seniors")</f>
        <v>Seniors</v>
      </c>
    </row>
    <row r="481" spans="1:12" x14ac:dyDescent="0.2">
      <c r="A481">
        <v>480</v>
      </c>
      <c r="B481" t="str">
        <f>_xlfn.XLOOKUP(A481,Instagram_Usage_Lifestyle_Mini_!A481,Instagram_Usage_Lifestyle_Mini_!B481,1)</f>
        <v>Instagram</v>
      </c>
      <c r="C481">
        <f>_xlfn.XLOOKUP($A:$A,Instagram_Usage_Lifestyle_Mini_!$A:$A,Instagram_Usage_Lifestyle_Mini_!$C:$K)</f>
        <v>42</v>
      </c>
      <c r="D481" t="str">
        <f>_xlfn.XLOOKUP($A:$A,Instagram_Usage_Lifestyle_Mini_!$A:$A,Instagram_Usage_Lifestyle_Mini_!$C:$K)</f>
        <v>Male</v>
      </c>
      <c r="E481" t="str">
        <f>_xlfn.XLOOKUP($A:$A,Instagram_Usage_Lifestyle_Mini_!$A:$A,Instagram_Usage_Lifestyle_Mini_!$C:$K)</f>
        <v>Brazil</v>
      </c>
      <c r="F481" t="str">
        <f>_xlfn.XLOOKUP($A:$A,Instagram_Usage_Lifestyle_Mini_!$A:$A,Instagram_Usage_Lifestyle_Mini_!$C:$K)</f>
        <v>Urban</v>
      </c>
      <c r="G481" t="str">
        <f>_xlfn.XLOOKUP($A:$A,Instagram_Usage_Lifestyle_Mini_!$A:$A,Instagram_Usage_Lifestyle_Mini_!$C:$K)</f>
        <v>Lower_middle</v>
      </c>
      <c r="H481" t="str">
        <f>_xlfn.XLOOKUP($A:$A,Instagram_Usage_Lifestyle_Mini_!$A:$A,Instagram_Usage_Lifestyle_Mini_!$C:$K)</f>
        <v>Full_time_employed</v>
      </c>
      <c r="I481" t="str">
        <f>_xlfn.XLOOKUP($A:$A,Instagram_Usage_Lifestyle_Mini_!$A:$A,Instagram_Usage_Lifestyle_Mini_!$C:$K)</f>
        <v>Some_college</v>
      </c>
      <c r="J481" t="str">
        <f>_xlfn.XLOOKUP($A:$A,Instagram_Usage_Lifestyle_Mini_!$A:$A,Instagram_Usage_Lifestyle_Mini_!$C:$K)</f>
        <v>Married</v>
      </c>
      <c r="K481" t="str">
        <f>_xlfn.XLOOKUP($A:$A,Instagram_Usage_Lifestyle_Mini_!$A:$A,Instagram_Usage_Lifestyle_Mini_!$C:$K)</f>
        <v>Yes</v>
      </c>
      <c r="L481" t="str" cm="1">
        <f t="array" ref="L481">_xlfn.IFS(C481&lt;18,"Under_18",C481&lt;=25,"Youth",C481&lt;=35,"Young_Adults",C481&lt;=45,"Mid_Adults",TRUE,"Seniors")</f>
        <v>Mid_Adults</v>
      </c>
    </row>
    <row r="482" spans="1:12" x14ac:dyDescent="0.2">
      <c r="A482">
        <v>481</v>
      </c>
      <c r="B482" t="str">
        <f>_xlfn.XLOOKUP(A482,Instagram_Usage_Lifestyle_Mini_!A482,Instagram_Usage_Lifestyle_Mini_!B482,1)</f>
        <v>Instagram</v>
      </c>
      <c r="C482">
        <f>_xlfn.XLOOKUP($A:$A,Instagram_Usage_Lifestyle_Mini_!$A:$A,Instagram_Usage_Lifestyle_Mini_!$C:$K)</f>
        <v>59</v>
      </c>
      <c r="D482" t="str">
        <f>_xlfn.XLOOKUP($A:$A,Instagram_Usage_Lifestyle_Mini_!$A:$A,Instagram_Usage_Lifestyle_Mini_!$C:$K)</f>
        <v>Male</v>
      </c>
      <c r="E482" t="str">
        <f>_xlfn.XLOOKUP($A:$A,Instagram_Usage_Lifestyle_Mini_!$A:$A,Instagram_Usage_Lifestyle_Mini_!$C:$K)</f>
        <v>Germany</v>
      </c>
      <c r="F482" t="str">
        <f>_xlfn.XLOOKUP($A:$A,Instagram_Usage_Lifestyle_Mini_!$A:$A,Instagram_Usage_Lifestyle_Mini_!$C:$K)</f>
        <v>Urban</v>
      </c>
      <c r="G482" t="str">
        <f>_xlfn.XLOOKUP($A:$A,Instagram_Usage_Lifestyle_Mini_!$A:$A,Instagram_Usage_Lifestyle_Mini_!$C:$K)</f>
        <v>Middle</v>
      </c>
      <c r="H482" t="str">
        <f>_xlfn.XLOOKUP($A:$A,Instagram_Usage_Lifestyle_Mini_!$A:$A,Instagram_Usage_Lifestyle_Mini_!$C:$K)</f>
        <v>Full_time_employed</v>
      </c>
      <c r="I482" t="str">
        <f>_xlfn.XLOOKUP($A:$A,Instagram_Usage_Lifestyle_Mini_!$A:$A,Instagram_Usage_Lifestyle_Mini_!$C:$K)</f>
        <v>Bachelors_degree</v>
      </c>
      <c r="J482" t="str">
        <f>_xlfn.XLOOKUP($A:$A,Instagram_Usage_Lifestyle_Mini_!$A:$A,Instagram_Usage_Lifestyle_Mini_!$C:$K)</f>
        <v>Single</v>
      </c>
      <c r="K482" t="str">
        <f>_xlfn.XLOOKUP($A:$A,Instagram_Usage_Lifestyle_Mini_!$A:$A,Instagram_Usage_Lifestyle_Mini_!$C:$K)</f>
        <v>No</v>
      </c>
      <c r="L482" t="str" cm="1">
        <f t="array" ref="L482">_xlfn.IFS(C482&lt;18,"Under_18",C482&lt;=25,"Youth",C482&lt;=35,"Young_Adults",C482&lt;=45,"Mid_Adults",TRUE,"Seniors")</f>
        <v>Seniors</v>
      </c>
    </row>
    <row r="483" spans="1:12" x14ac:dyDescent="0.2">
      <c r="A483">
        <v>482</v>
      </c>
      <c r="B483" t="str">
        <f>_xlfn.XLOOKUP(A483,Instagram_Usage_Lifestyle_Mini_!A483,Instagram_Usage_Lifestyle_Mini_!B483,1)</f>
        <v>Instagram</v>
      </c>
      <c r="C483">
        <f>_xlfn.XLOOKUP($A:$A,Instagram_Usage_Lifestyle_Mini_!$A:$A,Instagram_Usage_Lifestyle_Mini_!$C:$K)</f>
        <v>47</v>
      </c>
      <c r="D483" t="str">
        <f>_xlfn.XLOOKUP($A:$A,Instagram_Usage_Lifestyle_Mini_!$A:$A,Instagram_Usage_Lifestyle_Mini_!$C:$K)</f>
        <v>Female</v>
      </c>
      <c r="E483" t="str">
        <f>_xlfn.XLOOKUP($A:$A,Instagram_Usage_Lifestyle_Mini_!$A:$A,Instagram_Usage_Lifestyle_Mini_!$C:$K)</f>
        <v>India</v>
      </c>
      <c r="F483" t="str">
        <f>_xlfn.XLOOKUP($A:$A,Instagram_Usage_Lifestyle_Mini_!$A:$A,Instagram_Usage_Lifestyle_Mini_!$C:$K)</f>
        <v>Urban</v>
      </c>
      <c r="G483" t="str">
        <f>_xlfn.XLOOKUP($A:$A,Instagram_Usage_Lifestyle_Mini_!$A:$A,Instagram_Usage_Lifestyle_Mini_!$C:$K)</f>
        <v>Low</v>
      </c>
      <c r="H483" t="str">
        <f>_xlfn.XLOOKUP($A:$A,Instagram_Usage_Lifestyle_Mini_!$A:$A,Instagram_Usage_Lifestyle_Mini_!$C:$K)</f>
        <v>Student</v>
      </c>
      <c r="I483" t="str">
        <f>_xlfn.XLOOKUP($A:$A,Instagram_Usage_Lifestyle_Mini_!$A:$A,Instagram_Usage_Lifestyle_Mini_!$C:$K)</f>
        <v>Other</v>
      </c>
      <c r="J483" t="str">
        <f>_xlfn.XLOOKUP($A:$A,Instagram_Usage_Lifestyle_Mini_!$A:$A,Instagram_Usage_Lifestyle_Mini_!$C:$K)</f>
        <v>Married</v>
      </c>
      <c r="K483" t="str">
        <f>_xlfn.XLOOKUP($A:$A,Instagram_Usage_Lifestyle_Mini_!$A:$A,Instagram_Usage_Lifestyle_Mini_!$C:$K)</f>
        <v>Yes</v>
      </c>
      <c r="L483" t="str" cm="1">
        <f t="array" ref="L483">_xlfn.IFS(C483&lt;18,"Under_18",C483&lt;=25,"Youth",C483&lt;=35,"Young_Adults",C483&lt;=45,"Mid_Adults",TRUE,"Seniors")</f>
        <v>Seniors</v>
      </c>
    </row>
    <row r="484" spans="1:12" x14ac:dyDescent="0.2">
      <c r="A484">
        <v>483</v>
      </c>
      <c r="B484" t="str">
        <f>_xlfn.XLOOKUP(A484,Instagram_Usage_Lifestyle_Mini_!A484,Instagram_Usage_Lifestyle_Mini_!B484,1)</f>
        <v>Instagram</v>
      </c>
      <c r="C484">
        <f>_xlfn.XLOOKUP($A:$A,Instagram_Usage_Lifestyle_Mini_!$A:$A,Instagram_Usage_Lifestyle_Mini_!$C:$K)</f>
        <v>52</v>
      </c>
      <c r="D484" t="str">
        <f>_xlfn.XLOOKUP($A:$A,Instagram_Usage_Lifestyle_Mini_!$A:$A,Instagram_Usage_Lifestyle_Mini_!$C:$K)</f>
        <v>Female</v>
      </c>
      <c r="E484" t="str">
        <f>_xlfn.XLOOKUP($A:$A,Instagram_Usage_Lifestyle_Mini_!$A:$A,Instagram_Usage_Lifestyle_Mini_!$C:$K)</f>
        <v>India</v>
      </c>
      <c r="F484" t="str">
        <f>_xlfn.XLOOKUP($A:$A,Instagram_Usage_Lifestyle_Mini_!$A:$A,Instagram_Usage_Lifestyle_Mini_!$C:$K)</f>
        <v>Urban</v>
      </c>
      <c r="G484" t="str">
        <f>_xlfn.XLOOKUP($A:$A,Instagram_Usage_Lifestyle_Mini_!$A:$A,Instagram_Usage_Lifestyle_Mini_!$C:$K)</f>
        <v>Lower_middle</v>
      </c>
      <c r="H484" t="str">
        <f>_xlfn.XLOOKUP($A:$A,Instagram_Usage_Lifestyle_Mini_!$A:$A,Instagram_Usage_Lifestyle_Mini_!$C:$K)</f>
        <v>Freelancer</v>
      </c>
      <c r="I484" t="str">
        <f>_xlfn.XLOOKUP($A:$A,Instagram_Usage_Lifestyle_Mini_!$A:$A,Instagram_Usage_Lifestyle_Mini_!$C:$K)</f>
        <v>Some_college</v>
      </c>
      <c r="J484" t="str">
        <f>_xlfn.XLOOKUP($A:$A,Instagram_Usage_Lifestyle_Mini_!$A:$A,Instagram_Usage_Lifestyle_Mini_!$C:$K)</f>
        <v>In_a_relationship</v>
      </c>
      <c r="K484" t="str">
        <f>_xlfn.XLOOKUP($A:$A,Instagram_Usage_Lifestyle_Mini_!$A:$A,Instagram_Usage_Lifestyle_Mini_!$C:$K)</f>
        <v>No</v>
      </c>
      <c r="L484" t="str" cm="1">
        <f t="array" ref="L484">_xlfn.IFS(C484&lt;18,"Under_18",C484&lt;=25,"Youth",C484&lt;=35,"Young_Adults",C484&lt;=45,"Mid_Adults",TRUE,"Seniors")</f>
        <v>Seniors</v>
      </c>
    </row>
    <row r="485" spans="1:12" x14ac:dyDescent="0.2">
      <c r="A485">
        <v>484</v>
      </c>
      <c r="B485" t="str">
        <f>_xlfn.XLOOKUP(A485,Instagram_Usage_Lifestyle_Mini_!A485,Instagram_Usage_Lifestyle_Mini_!B485,1)</f>
        <v>Instagram</v>
      </c>
      <c r="C485">
        <f>_xlfn.XLOOKUP($A:$A,Instagram_Usage_Lifestyle_Mini_!$A:$A,Instagram_Usage_Lifestyle_Mini_!$C:$K)</f>
        <v>64</v>
      </c>
      <c r="D485" t="str">
        <f>_xlfn.XLOOKUP($A:$A,Instagram_Usage_Lifestyle_Mini_!$A:$A,Instagram_Usage_Lifestyle_Mini_!$C:$K)</f>
        <v>Female</v>
      </c>
      <c r="E485" t="str">
        <f>_xlfn.XLOOKUP($A:$A,Instagram_Usage_Lifestyle_Mini_!$A:$A,Instagram_Usage_Lifestyle_Mini_!$C:$K)</f>
        <v>Japan</v>
      </c>
      <c r="F485" t="str">
        <f>_xlfn.XLOOKUP($A:$A,Instagram_Usage_Lifestyle_Mini_!$A:$A,Instagram_Usage_Lifestyle_Mini_!$C:$K)</f>
        <v>Urban</v>
      </c>
      <c r="G485" t="str">
        <f>_xlfn.XLOOKUP($A:$A,Instagram_Usage_Lifestyle_Mini_!$A:$A,Instagram_Usage_Lifestyle_Mini_!$C:$K)</f>
        <v>Lower_middle</v>
      </c>
      <c r="H485" t="str">
        <f>_xlfn.XLOOKUP($A:$A,Instagram_Usage_Lifestyle_Mini_!$A:$A,Instagram_Usage_Lifestyle_Mini_!$C:$K)</f>
        <v>Student</v>
      </c>
      <c r="I485" t="str">
        <f>_xlfn.XLOOKUP($A:$A,Instagram_Usage_Lifestyle_Mini_!$A:$A,Instagram_Usage_Lifestyle_Mini_!$C:$K)</f>
        <v>Some_college</v>
      </c>
      <c r="J485" t="str">
        <f>_xlfn.XLOOKUP($A:$A,Instagram_Usage_Lifestyle_Mini_!$A:$A,Instagram_Usage_Lifestyle_Mini_!$C:$K)</f>
        <v>Married</v>
      </c>
      <c r="K485" t="str">
        <f>_xlfn.XLOOKUP($A:$A,Instagram_Usage_Lifestyle_Mini_!$A:$A,Instagram_Usage_Lifestyle_Mini_!$C:$K)</f>
        <v>No</v>
      </c>
      <c r="L485" t="str" cm="1">
        <f t="array" ref="L485">_xlfn.IFS(C485&lt;18,"Under_18",C485&lt;=25,"Youth",C485&lt;=35,"Young_Adults",C485&lt;=45,"Mid_Adults",TRUE,"Seniors")</f>
        <v>Seniors</v>
      </c>
    </row>
    <row r="486" spans="1:12" x14ac:dyDescent="0.2">
      <c r="A486">
        <v>485</v>
      </c>
      <c r="B486" t="str">
        <f>_xlfn.XLOOKUP(A486,Instagram_Usage_Lifestyle_Mini_!A486,Instagram_Usage_Lifestyle_Mini_!B486,1)</f>
        <v>Instagram</v>
      </c>
      <c r="C486">
        <f>_xlfn.XLOOKUP($A:$A,Instagram_Usage_Lifestyle_Mini_!$A:$A,Instagram_Usage_Lifestyle_Mini_!$C:$K)</f>
        <v>28</v>
      </c>
      <c r="D486" t="str">
        <f>_xlfn.XLOOKUP($A:$A,Instagram_Usage_Lifestyle_Mini_!$A:$A,Instagram_Usage_Lifestyle_Mini_!$C:$K)</f>
        <v>Female</v>
      </c>
      <c r="E486" t="str">
        <f>_xlfn.XLOOKUP($A:$A,Instagram_Usage_Lifestyle_Mini_!$A:$A,Instagram_Usage_Lifestyle_Mini_!$C:$K)</f>
        <v>Australia</v>
      </c>
      <c r="F486" t="str">
        <f>_xlfn.XLOOKUP($A:$A,Instagram_Usage_Lifestyle_Mini_!$A:$A,Instagram_Usage_Lifestyle_Mini_!$C:$K)</f>
        <v>Urban</v>
      </c>
      <c r="G486" t="str">
        <f>_xlfn.XLOOKUP($A:$A,Instagram_Usage_Lifestyle_Mini_!$A:$A,Instagram_Usage_Lifestyle_Mini_!$C:$K)</f>
        <v>Low</v>
      </c>
      <c r="H486" t="str">
        <f>_xlfn.XLOOKUP($A:$A,Instagram_Usage_Lifestyle_Mini_!$A:$A,Instagram_Usage_Lifestyle_Mini_!$C:$K)</f>
        <v>Freelancer</v>
      </c>
      <c r="I486" t="str">
        <f>_xlfn.XLOOKUP($A:$A,Instagram_Usage_Lifestyle_Mini_!$A:$A,Instagram_Usage_Lifestyle_Mini_!$C:$K)</f>
        <v>Some_college</v>
      </c>
      <c r="J486" t="str">
        <f>_xlfn.XLOOKUP($A:$A,Instagram_Usage_Lifestyle_Mini_!$A:$A,Instagram_Usage_Lifestyle_Mini_!$C:$K)</f>
        <v>Widowed</v>
      </c>
      <c r="K486" t="str">
        <f>_xlfn.XLOOKUP($A:$A,Instagram_Usage_Lifestyle_Mini_!$A:$A,Instagram_Usage_Lifestyle_Mini_!$C:$K)</f>
        <v>No</v>
      </c>
      <c r="L486" t="str" cm="1">
        <f t="array" ref="L486">_xlfn.IFS(C486&lt;18,"Under_18",C486&lt;=25,"Youth",C486&lt;=35,"Young_Adults",C486&lt;=45,"Mid_Adults",TRUE,"Seniors")</f>
        <v>Young_Adults</v>
      </c>
    </row>
    <row r="487" spans="1:12" x14ac:dyDescent="0.2">
      <c r="A487">
        <v>486</v>
      </c>
      <c r="B487" t="str">
        <f>_xlfn.XLOOKUP(A487,Instagram_Usage_Lifestyle_Mini_!A487,Instagram_Usage_Lifestyle_Mini_!B487,1)</f>
        <v>Instagram</v>
      </c>
      <c r="C487">
        <f>_xlfn.XLOOKUP($A:$A,Instagram_Usage_Lifestyle_Mini_!$A:$A,Instagram_Usage_Lifestyle_Mini_!$C:$K)</f>
        <v>25</v>
      </c>
      <c r="D487" t="str">
        <f>_xlfn.XLOOKUP($A:$A,Instagram_Usage_Lifestyle_Mini_!$A:$A,Instagram_Usage_Lifestyle_Mini_!$C:$K)</f>
        <v>Male</v>
      </c>
      <c r="E487" t="str">
        <f>_xlfn.XLOOKUP($A:$A,Instagram_Usage_Lifestyle_Mini_!$A:$A,Instagram_Usage_Lifestyle_Mini_!$C:$K)</f>
        <v>India</v>
      </c>
      <c r="F487" t="str">
        <f>_xlfn.XLOOKUP($A:$A,Instagram_Usage_Lifestyle_Mini_!$A:$A,Instagram_Usage_Lifestyle_Mini_!$C:$K)</f>
        <v>Rural</v>
      </c>
      <c r="G487" t="str">
        <f>_xlfn.XLOOKUP($A:$A,Instagram_Usage_Lifestyle_Mini_!$A:$A,Instagram_Usage_Lifestyle_Mini_!$C:$K)</f>
        <v>Upper_middle</v>
      </c>
      <c r="H487" t="str">
        <f>_xlfn.XLOOKUP($A:$A,Instagram_Usage_Lifestyle_Mini_!$A:$A,Instagram_Usage_Lifestyle_Mini_!$C:$K)</f>
        <v>Full_time_employed</v>
      </c>
      <c r="I487" t="str">
        <f>_xlfn.XLOOKUP($A:$A,Instagram_Usage_Lifestyle_Mini_!$A:$A,Instagram_Usage_Lifestyle_Mini_!$C:$K)</f>
        <v>Some_college</v>
      </c>
      <c r="J487" t="str">
        <f>_xlfn.XLOOKUP($A:$A,Instagram_Usage_Lifestyle_Mini_!$A:$A,Instagram_Usage_Lifestyle_Mini_!$C:$K)</f>
        <v>Married</v>
      </c>
      <c r="K487" t="str">
        <f>_xlfn.XLOOKUP($A:$A,Instagram_Usage_Lifestyle_Mini_!$A:$A,Instagram_Usage_Lifestyle_Mini_!$C:$K)</f>
        <v>No</v>
      </c>
      <c r="L487" t="str" cm="1">
        <f t="array" ref="L487">_xlfn.IFS(C487&lt;18,"Under_18",C487&lt;=25,"Youth",C487&lt;=35,"Young_Adults",C487&lt;=45,"Mid_Adults",TRUE,"Seniors")</f>
        <v>Youth</v>
      </c>
    </row>
    <row r="488" spans="1:12" x14ac:dyDescent="0.2">
      <c r="A488">
        <v>487</v>
      </c>
      <c r="B488" t="str">
        <f>_xlfn.XLOOKUP(A488,Instagram_Usage_Lifestyle_Mini_!A488,Instagram_Usage_Lifestyle_Mini_!B488,1)</f>
        <v>Instagram</v>
      </c>
      <c r="C488">
        <f>_xlfn.XLOOKUP($A:$A,Instagram_Usage_Lifestyle_Mini_!$A:$A,Instagram_Usage_Lifestyle_Mini_!$C:$K)</f>
        <v>62</v>
      </c>
      <c r="D488" t="str">
        <f>_xlfn.XLOOKUP($A:$A,Instagram_Usage_Lifestyle_Mini_!$A:$A,Instagram_Usage_Lifestyle_Mini_!$C:$K)</f>
        <v>Male</v>
      </c>
      <c r="E488" t="str">
        <f>_xlfn.XLOOKUP($A:$A,Instagram_Usage_Lifestyle_Mini_!$A:$A,Instagram_Usage_Lifestyle_Mini_!$C:$K)</f>
        <v>Brazil</v>
      </c>
      <c r="F488" t="str">
        <f>_xlfn.XLOOKUP($A:$A,Instagram_Usage_Lifestyle_Mini_!$A:$A,Instagram_Usage_Lifestyle_Mini_!$C:$K)</f>
        <v>Rural</v>
      </c>
      <c r="G488" t="str">
        <f>_xlfn.XLOOKUP($A:$A,Instagram_Usage_Lifestyle_Mini_!$A:$A,Instagram_Usage_Lifestyle_Mini_!$C:$K)</f>
        <v>Upper_middle</v>
      </c>
      <c r="H488" t="str">
        <f>_xlfn.XLOOKUP($A:$A,Instagram_Usage_Lifestyle_Mini_!$A:$A,Instagram_Usage_Lifestyle_Mini_!$C:$K)</f>
        <v>Full_time_employed</v>
      </c>
      <c r="I488" t="str">
        <f>_xlfn.XLOOKUP($A:$A,Instagram_Usage_Lifestyle_Mini_!$A:$A,Instagram_Usage_Lifestyle_Mini_!$C:$K)</f>
        <v>High_school</v>
      </c>
      <c r="J488" t="str">
        <f>_xlfn.XLOOKUP($A:$A,Instagram_Usage_Lifestyle_Mini_!$A:$A,Instagram_Usage_Lifestyle_Mini_!$C:$K)</f>
        <v>Married</v>
      </c>
      <c r="K488" t="str">
        <f>_xlfn.XLOOKUP($A:$A,Instagram_Usage_Lifestyle_Mini_!$A:$A,Instagram_Usage_Lifestyle_Mini_!$C:$K)</f>
        <v>No</v>
      </c>
      <c r="L488" t="str" cm="1">
        <f t="array" ref="L488">_xlfn.IFS(C488&lt;18,"Under_18",C488&lt;=25,"Youth",C488&lt;=35,"Young_Adults",C488&lt;=45,"Mid_Adults",TRUE,"Seniors")</f>
        <v>Seniors</v>
      </c>
    </row>
    <row r="489" spans="1:12" x14ac:dyDescent="0.2">
      <c r="A489">
        <v>488</v>
      </c>
      <c r="B489" t="str">
        <f>_xlfn.XLOOKUP(A489,Instagram_Usage_Lifestyle_Mini_!A489,Instagram_Usage_Lifestyle_Mini_!B489,1)</f>
        <v>Instagram</v>
      </c>
      <c r="C489">
        <f>_xlfn.XLOOKUP($A:$A,Instagram_Usage_Lifestyle_Mini_!$A:$A,Instagram_Usage_Lifestyle_Mini_!$C:$K)</f>
        <v>54</v>
      </c>
      <c r="D489" t="str">
        <f>_xlfn.XLOOKUP($A:$A,Instagram_Usage_Lifestyle_Mini_!$A:$A,Instagram_Usage_Lifestyle_Mini_!$C:$K)</f>
        <v>Female</v>
      </c>
      <c r="E489" t="str">
        <f>_xlfn.XLOOKUP($A:$A,Instagram_Usage_Lifestyle_Mini_!$A:$A,Instagram_Usage_Lifestyle_Mini_!$C:$K)</f>
        <v>United_States</v>
      </c>
      <c r="F489" t="str">
        <f>_xlfn.XLOOKUP($A:$A,Instagram_Usage_Lifestyle_Mini_!$A:$A,Instagram_Usage_Lifestyle_Mini_!$C:$K)</f>
        <v>Suburban</v>
      </c>
      <c r="G489" t="str">
        <f>_xlfn.XLOOKUP($A:$A,Instagram_Usage_Lifestyle_Mini_!$A:$A,Instagram_Usage_Lifestyle_Mini_!$C:$K)</f>
        <v>Lower_middle</v>
      </c>
      <c r="H489" t="str">
        <f>_xlfn.XLOOKUP($A:$A,Instagram_Usage_Lifestyle_Mini_!$A:$A,Instagram_Usage_Lifestyle_Mini_!$C:$K)</f>
        <v>Student</v>
      </c>
      <c r="I489" t="str">
        <f>_xlfn.XLOOKUP($A:$A,Instagram_Usage_Lifestyle_Mini_!$A:$A,Instagram_Usage_Lifestyle_Mini_!$C:$K)</f>
        <v>Bachelors_degree</v>
      </c>
      <c r="J489" t="str">
        <f>_xlfn.XLOOKUP($A:$A,Instagram_Usage_Lifestyle_Mini_!$A:$A,Instagram_Usage_Lifestyle_Mini_!$C:$K)</f>
        <v>Divorced</v>
      </c>
      <c r="K489" t="str">
        <f>_xlfn.XLOOKUP($A:$A,Instagram_Usage_Lifestyle_Mini_!$A:$A,Instagram_Usage_Lifestyle_Mini_!$C:$K)</f>
        <v>No</v>
      </c>
      <c r="L489" t="str" cm="1">
        <f t="array" ref="L489">_xlfn.IFS(C489&lt;18,"Under_18",C489&lt;=25,"Youth",C489&lt;=35,"Young_Adults",C489&lt;=45,"Mid_Adults",TRUE,"Seniors")</f>
        <v>Seniors</v>
      </c>
    </row>
    <row r="490" spans="1:12" x14ac:dyDescent="0.2">
      <c r="A490">
        <v>489</v>
      </c>
      <c r="B490" t="str">
        <f>_xlfn.XLOOKUP(A490,Instagram_Usage_Lifestyle_Mini_!A490,Instagram_Usage_Lifestyle_Mini_!B490,1)</f>
        <v>Instagram</v>
      </c>
      <c r="C490">
        <f>_xlfn.XLOOKUP($A:$A,Instagram_Usage_Lifestyle_Mini_!$A:$A,Instagram_Usage_Lifestyle_Mini_!$C:$K)</f>
        <v>42</v>
      </c>
      <c r="D490" t="str">
        <f>_xlfn.XLOOKUP($A:$A,Instagram_Usage_Lifestyle_Mini_!$A:$A,Instagram_Usage_Lifestyle_Mini_!$C:$K)</f>
        <v>Female</v>
      </c>
      <c r="E490" t="str">
        <f>_xlfn.XLOOKUP($A:$A,Instagram_Usage_Lifestyle_Mini_!$A:$A,Instagram_Usage_Lifestyle_Mini_!$C:$K)</f>
        <v>Brazil</v>
      </c>
      <c r="F490" t="str">
        <f>_xlfn.XLOOKUP($A:$A,Instagram_Usage_Lifestyle_Mini_!$A:$A,Instagram_Usage_Lifestyle_Mini_!$C:$K)</f>
        <v>Urban</v>
      </c>
      <c r="G490" t="str">
        <f>_xlfn.XLOOKUP($A:$A,Instagram_Usage_Lifestyle_Mini_!$A:$A,Instagram_Usage_Lifestyle_Mini_!$C:$K)</f>
        <v>Middle</v>
      </c>
      <c r="H490" t="str">
        <f>_xlfn.XLOOKUP($A:$A,Instagram_Usage_Lifestyle_Mini_!$A:$A,Instagram_Usage_Lifestyle_Mini_!$C:$K)</f>
        <v>Part_time</v>
      </c>
      <c r="I490" t="str">
        <f>_xlfn.XLOOKUP($A:$A,Instagram_Usage_Lifestyle_Mini_!$A:$A,Instagram_Usage_Lifestyle_Mini_!$C:$K)</f>
        <v>Bachelors_degree</v>
      </c>
      <c r="J490" t="str">
        <f>_xlfn.XLOOKUP($A:$A,Instagram_Usage_Lifestyle_Mini_!$A:$A,Instagram_Usage_Lifestyle_Mini_!$C:$K)</f>
        <v>In_a_relationship</v>
      </c>
      <c r="K490" t="str">
        <f>_xlfn.XLOOKUP($A:$A,Instagram_Usage_Lifestyle_Mini_!$A:$A,Instagram_Usage_Lifestyle_Mini_!$C:$K)</f>
        <v>No</v>
      </c>
      <c r="L490" t="str" cm="1">
        <f t="array" ref="L490">_xlfn.IFS(C490&lt;18,"Under_18",C490&lt;=25,"Youth",C490&lt;=35,"Young_Adults",C490&lt;=45,"Mid_Adults",TRUE,"Seniors")</f>
        <v>Mid_Adults</v>
      </c>
    </row>
    <row r="491" spans="1:12" x14ac:dyDescent="0.2">
      <c r="A491">
        <v>490</v>
      </c>
      <c r="B491" t="str">
        <f>_xlfn.XLOOKUP(A491,Instagram_Usage_Lifestyle_Mini_!A491,Instagram_Usage_Lifestyle_Mini_!B491,1)</f>
        <v>Instagram</v>
      </c>
      <c r="C491">
        <f>_xlfn.XLOOKUP($A:$A,Instagram_Usage_Lifestyle_Mini_!$A:$A,Instagram_Usage_Lifestyle_Mini_!$C:$K)</f>
        <v>31</v>
      </c>
      <c r="D491" t="str">
        <f>_xlfn.XLOOKUP($A:$A,Instagram_Usage_Lifestyle_Mini_!$A:$A,Instagram_Usage_Lifestyle_Mini_!$C:$K)</f>
        <v>Female</v>
      </c>
      <c r="E491" t="str">
        <f>_xlfn.XLOOKUP($A:$A,Instagram_Usage_Lifestyle_Mini_!$A:$A,Instagram_Usage_Lifestyle_Mini_!$C:$K)</f>
        <v>Canada</v>
      </c>
      <c r="F491" t="str">
        <f>_xlfn.XLOOKUP($A:$A,Instagram_Usage_Lifestyle_Mini_!$A:$A,Instagram_Usage_Lifestyle_Mini_!$C:$K)</f>
        <v>Suburban</v>
      </c>
      <c r="G491" t="str">
        <f>_xlfn.XLOOKUP($A:$A,Instagram_Usage_Lifestyle_Mini_!$A:$A,Instagram_Usage_Lifestyle_Mini_!$C:$K)</f>
        <v>Low</v>
      </c>
      <c r="H491" t="str">
        <f>_xlfn.XLOOKUP($A:$A,Instagram_Usage_Lifestyle_Mini_!$A:$A,Instagram_Usage_Lifestyle_Mini_!$C:$K)</f>
        <v>Full_time_employed</v>
      </c>
      <c r="I491" t="str">
        <f>_xlfn.XLOOKUP($A:$A,Instagram_Usage_Lifestyle_Mini_!$A:$A,Instagram_Usage_Lifestyle_Mini_!$C:$K)</f>
        <v>Some_college</v>
      </c>
      <c r="J491" t="str">
        <f>_xlfn.XLOOKUP($A:$A,Instagram_Usage_Lifestyle_Mini_!$A:$A,Instagram_Usage_Lifestyle_Mini_!$C:$K)</f>
        <v>Single</v>
      </c>
      <c r="K491" t="str">
        <f>_xlfn.XLOOKUP($A:$A,Instagram_Usage_Lifestyle_Mini_!$A:$A,Instagram_Usage_Lifestyle_Mini_!$C:$K)</f>
        <v>No</v>
      </c>
      <c r="L491" t="str" cm="1">
        <f t="array" ref="L491">_xlfn.IFS(C491&lt;18,"Under_18",C491&lt;=25,"Youth",C491&lt;=35,"Young_Adults",C491&lt;=45,"Mid_Adults",TRUE,"Seniors")</f>
        <v>Young_Adults</v>
      </c>
    </row>
    <row r="492" spans="1:12" x14ac:dyDescent="0.2">
      <c r="A492">
        <v>491</v>
      </c>
      <c r="B492" t="str">
        <f>_xlfn.XLOOKUP(A492,Instagram_Usage_Lifestyle_Mini_!A492,Instagram_Usage_Lifestyle_Mini_!B492,1)</f>
        <v>Instagram</v>
      </c>
      <c r="C492">
        <f>_xlfn.XLOOKUP($A:$A,Instagram_Usage_Lifestyle_Mini_!$A:$A,Instagram_Usage_Lifestyle_Mini_!$C:$K)</f>
        <v>29</v>
      </c>
      <c r="D492" t="str">
        <f>_xlfn.XLOOKUP($A:$A,Instagram_Usage_Lifestyle_Mini_!$A:$A,Instagram_Usage_Lifestyle_Mini_!$C:$K)</f>
        <v>Male</v>
      </c>
      <c r="E492" t="str">
        <f>_xlfn.XLOOKUP($A:$A,Instagram_Usage_Lifestyle_Mini_!$A:$A,Instagram_Usage_Lifestyle_Mini_!$C:$K)</f>
        <v>United _Kingdom</v>
      </c>
      <c r="F492" t="str">
        <f>_xlfn.XLOOKUP($A:$A,Instagram_Usage_Lifestyle_Mini_!$A:$A,Instagram_Usage_Lifestyle_Mini_!$C:$K)</f>
        <v>Suburban</v>
      </c>
      <c r="G492" t="str">
        <f>_xlfn.XLOOKUP($A:$A,Instagram_Usage_Lifestyle_Mini_!$A:$A,Instagram_Usage_Lifestyle_Mini_!$C:$K)</f>
        <v>Low</v>
      </c>
      <c r="H492" t="str">
        <f>_xlfn.XLOOKUP($A:$A,Instagram_Usage_Lifestyle_Mini_!$A:$A,Instagram_Usage_Lifestyle_Mini_!$C:$K)</f>
        <v>Student</v>
      </c>
      <c r="I492" t="str">
        <f>_xlfn.XLOOKUP($A:$A,Instagram_Usage_Lifestyle_Mini_!$A:$A,Instagram_Usage_Lifestyle_Mini_!$C:$K)</f>
        <v>Bachelors_degree</v>
      </c>
      <c r="J492" t="str">
        <f>_xlfn.XLOOKUP($A:$A,Instagram_Usage_Lifestyle_Mini_!$A:$A,Instagram_Usage_Lifestyle_Mini_!$C:$K)</f>
        <v>Single</v>
      </c>
      <c r="K492" t="str">
        <f>_xlfn.XLOOKUP($A:$A,Instagram_Usage_Lifestyle_Mini_!$A:$A,Instagram_Usage_Lifestyle_Mini_!$C:$K)</f>
        <v>No</v>
      </c>
      <c r="L492" t="str" cm="1">
        <f t="array" ref="L492">_xlfn.IFS(C492&lt;18,"Under_18",C492&lt;=25,"Youth",C492&lt;=35,"Young_Adults",C492&lt;=45,"Mid_Adults",TRUE,"Seniors")</f>
        <v>Young_Adults</v>
      </c>
    </row>
    <row r="493" spans="1:12" x14ac:dyDescent="0.2">
      <c r="A493">
        <v>492</v>
      </c>
      <c r="B493" t="str">
        <f>_xlfn.XLOOKUP(A493,Instagram_Usage_Lifestyle_Mini_!A493,Instagram_Usage_Lifestyle_Mini_!B493,1)</f>
        <v>Instagram</v>
      </c>
      <c r="C493">
        <f>_xlfn.XLOOKUP($A:$A,Instagram_Usage_Lifestyle_Mini_!$A:$A,Instagram_Usage_Lifestyle_Mini_!$C:$K)</f>
        <v>31</v>
      </c>
      <c r="D493" t="str">
        <f>_xlfn.XLOOKUP($A:$A,Instagram_Usage_Lifestyle_Mini_!$A:$A,Instagram_Usage_Lifestyle_Mini_!$C:$K)</f>
        <v>Female</v>
      </c>
      <c r="E493" t="str">
        <f>_xlfn.XLOOKUP($A:$A,Instagram_Usage_Lifestyle_Mini_!$A:$A,Instagram_Usage_Lifestyle_Mini_!$C:$K)</f>
        <v>Other</v>
      </c>
      <c r="F493" t="str">
        <f>_xlfn.XLOOKUP($A:$A,Instagram_Usage_Lifestyle_Mini_!$A:$A,Instagram_Usage_Lifestyle_Mini_!$C:$K)</f>
        <v>Urban</v>
      </c>
      <c r="G493" t="str">
        <f>_xlfn.XLOOKUP($A:$A,Instagram_Usage_Lifestyle_Mini_!$A:$A,Instagram_Usage_Lifestyle_Mini_!$C:$K)</f>
        <v>Middle</v>
      </c>
      <c r="H493" t="str">
        <f>_xlfn.XLOOKUP($A:$A,Instagram_Usage_Lifestyle_Mini_!$A:$A,Instagram_Usage_Lifestyle_Mini_!$C:$K)</f>
        <v>Student</v>
      </c>
      <c r="I493" t="str">
        <f>_xlfn.XLOOKUP($A:$A,Instagram_Usage_Lifestyle_Mini_!$A:$A,Instagram_Usage_Lifestyle_Mini_!$C:$K)</f>
        <v>Some_college</v>
      </c>
      <c r="J493" t="str">
        <f>_xlfn.XLOOKUP($A:$A,Instagram_Usage_Lifestyle_Mini_!$A:$A,Instagram_Usage_Lifestyle_Mini_!$C:$K)</f>
        <v>Single</v>
      </c>
      <c r="K493" t="str">
        <f>_xlfn.XLOOKUP($A:$A,Instagram_Usage_Lifestyle_Mini_!$A:$A,Instagram_Usage_Lifestyle_Mini_!$C:$K)</f>
        <v>Yes</v>
      </c>
      <c r="L493" t="str" cm="1">
        <f t="array" ref="L493">_xlfn.IFS(C493&lt;18,"Under_18",C493&lt;=25,"Youth",C493&lt;=35,"Young_Adults",C493&lt;=45,"Mid_Adults",TRUE,"Seniors")</f>
        <v>Young_Adults</v>
      </c>
    </row>
    <row r="494" spans="1:12" x14ac:dyDescent="0.2">
      <c r="A494">
        <v>493</v>
      </c>
      <c r="B494" t="str">
        <f>_xlfn.XLOOKUP(A494,Instagram_Usage_Lifestyle_Mini_!A494,Instagram_Usage_Lifestyle_Mini_!B494,1)</f>
        <v>Instagram</v>
      </c>
      <c r="C494">
        <f>_xlfn.XLOOKUP($A:$A,Instagram_Usage_Lifestyle_Mini_!$A:$A,Instagram_Usage_Lifestyle_Mini_!$C:$K)</f>
        <v>40</v>
      </c>
      <c r="D494" t="str">
        <f>_xlfn.XLOOKUP($A:$A,Instagram_Usage_Lifestyle_Mini_!$A:$A,Instagram_Usage_Lifestyle_Mini_!$C:$K)</f>
        <v>Female</v>
      </c>
      <c r="E494" t="str">
        <f>_xlfn.XLOOKUP($A:$A,Instagram_Usage_Lifestyle_Mini_!$A:$A,Instagram_Usage_Lifestyle_Mini_!$C:$K)</f>
        <v>Germany</v>
      </c>
      <c r="F494" t="str">
        <f>_xlfn.XLOOKUP($A:$A,Instagram_Usage_Lifestyle_Mini_!$A:$A,Instagram_Usage_Lifestyle_Mini_!$C:$K)</f>
        <v>Urban</v>
      </c>
      <c r="G494" t="str">
        <f>_xlfn.XLOOKUP($A:$A,Instagram_Usage_Lifestyle_Mini_!$A:$A,Instagram_Usage_Lifestyle_Mini_!$C:$K)</f>
        <v>Lower_middle</v>
      </c>
      <c r="H494" t="str">
        <f>_xlfn.XLOOKUP($A:$A,Instagram_Usage_Lifestyle_Mini_!$A:$A,Instagram_Usage_Lifestyle_Mini_!$C:$K)</f>
        <v>Student</v>
      </c>
      <c r="I494" t="str">
        <f>_xlfn.XLOOKUP($A:$A,Instagram_Usage_Lifestyle_Mini_!$A:$A,Instagram_Usage_Lifestyle_Mini_!$C:$K)</f>
        <v>High_school</v>
      </c>
      <c r="J494" t="str">
        <f>_xlfn.XLOOKUP($A:$A,Instagram_Usage_Lifestyle_Mini_!$A:$A,Instagram_Usage_Lifestyle_Mini_!$C:$K)</f>
        <v>In_a_relationship</v>
      </c>
      <c r="K494" t="str">
        <f>_xlfn.XLOOKUP($A:$A,Instagram_Usage_Lifestyle_Mini_!$A:$A,Instagram_Usage_Lifestyle_Mini_!$C:$K)</f>
        <v>No</v>
      </c>
      <c r="L494" t="str" cm="1">
        <f t="array" ref="L494">_xlfn.IFS(C494&lt;18,"Under_18",C494&lt;=25,"Youth",C494&lt;=35,"Young_Adults",C494&lt;=45,"Mid_Adults",TRUE,"Seniors")</f>
        <v>Mid_Adults</v>
      </c>
    </row>
    <row r="495" spans="1:12" x14ac:dyDescent="0.2">
      <c r="A495">
        <v>494</v>
      </c>
      <c r="B495" t="str">
        <f>_xlfn.XLOOKUP(A495,Instagram_Usage_Lifestyle_Mini_!A495,Instagram_Usage_Lifestyle_Mini_!B495,1)</f>
        <v>Instagram</v>
      </c>
      <c r="C495">
        <f>_xlfn.XLOOKUP($A:$A,Instagram_Usage_Lifestyle_Mini_!$A:$A,Instagram_Usage_Lifestyle_Mini_!$C:$K)</f>
        <v>38</v>
      </c>
      <c r="D495" t="str">
        <f>_xlfn.XLOOKUP($A:$A,Instagram_Usage_Lifestyle_Mini_!$A:$A,Instagram_Usage_Lifestyle_Mini_!$C:$K)</f>
        <v>Male</v>
      </c>
      <c r="E495" t="str">
        <f>_xlfn.XLOOKUP($A:$A,Instagram_Usage_Lifestyle_Mini_!$A:$A,Instagram_Usage_Lifestyle_Mini_!$C:$K)</f>
        <v>India</v>
      </c>
      <c r="F495" t="str">
        <f>_xlfn.XLOOKUP($A:$A,Instagram_Usage_Lifestyle_Mini_!$A:$A,Instagram_Usage_Lifestyle_Mini_!$C:$K)</f>
        <v>Urban</v>
      </c>
      <c r="G495" t="str">
        <f>_xlfn.XLOOKUP($A:$A,Instagram_Usage_Lifestyle_Mini_!$A:$A,Instagram_Usage_Lifestyle_Mini_!$C:$K)</f>
        <v>Upper_middle</v>
      </c>
      <c r="H495" t="str">
        <f>_xlfn.XLOOKUP($A:$A,Instagram_Usage_Lifestyle_Mini_!$A:$A,Instagram_Usage_Lifestyle_Mini_!$C:$K)</f>
        <v>Freelancer</v>
      </c>
      <c r="I495" t="str">
        <f>_xlfn.XLOOKUP($A:$A,Instagram_Usage_Lifestyle_Mini_!$A:$A,Instagram_Usage_Lifestyle_Mini_!$C:$K)</f>
        <v>High_school</v>
      </c>
      <c r="J495" t="str">
        <f>_xlfn.XLOOKUP($A:$A,Instagram_Usage_Lifestyle_Mini_!$A:$A,Instagram_Usage_Lifestyle_Mini_!$C:$K)</f>
        <v>Single</v>
      </c>
      <c r="K495" t="str">
        <f>_xlfn.XLOOKUP($A:$A,Instagram_Usage_Lifestyle_Mini_!$A:$A,Instagram_Usage_Lifestyle_Mini_!$C:$K)</f>
        <v>No</v>
      </c>
      <c r="L495" t="str" cm="1">
        <f t="array" ref="L495">_xlfn.IFS(C495&lt;18,"Under_18",C495&lt;=25,"Youth",C495&lt;=35,"Young_Adults",C495&lt;=45,"Mid_Adults",TRUE,"Seniors")</f>
        <v>Mid_Adults</v>
      </c>
    </row>
    <row r="496" spans="1:12" x14ac:dyDescent="0.2">
      <c r="A496">
        <v>495</v>
      </c>
      <c r="B496" t="str">
        <f>_xlfn.XLOOKUP(A496,Instagram_Usage_Lifestyle_Mini_!A496,Instagram_Usage_Lifestyle_Mini_!B496,1)</f>
        <v>Instagram</v>
      </c>
      <c r="C496">
        <f>_xlfn.XLOOKUP($A:$A,Instagram_Usage_Lifestyle_Mini_!$A:$A,Instagram_Usage_Lifestyle_Mini_!$C:$K)</f>
        <v>49</v>
      </c>
      <c r="D496" t="str">
        <f>_xlfn.XLOOKUP($A:$A,Instagram_Usage_Lifestyle_Mini_!$A:$A,Instagram_Usage_Lifestyle_Mini_!$C:$K)</f>
        <v>Male</v>
      </c>
      <c r="E496" t="str">
        <f>_xlfn.XLOOKUP($A:$A,Instagram_Usage_Lifestyle_Mini_!$A:$A,Instagram_Usage_Lifestyle_Mini_!$C:$K)</f>
        <v>United_States</v>
      </c>
      <c r="F496" t="str">
        <f>_xlfn.XLOOKUP($A:$A,Instagram_Usage_Lifestyle_Mini_!$A:$A,Instagram_Usage_Lifestyle_Mini_!$C:$K)</f>
        <v>Urban</v>
      </c>
      <c r="G496" t="str">
        <f>_xlfn.XLOOKUP($A:$A,Instagram_Usage_Lifestyle_Mini_!$A:$A,Instagram_Usage_Lifestyle_Mini_!$C:$K)</f>
        <v>Lower_middle</v>
      </c>
      <c r="H496" t="str">
        <f>_xlfn.XLOOKUP($A:$A,Instagram_Usage_Lifestyle_Mini_!$A:$A,Instagram_Usage_Lifestyle_Mini_!$C:$K)</f>
        <v>Unemployed</v>
      </c>
      <c r="I496" t="str">
        <f>_xlfn.XLOOKUP($A:$A,Instagram_Usage_Lifestyle_Mini_!$A:$A,Instagram_Usage_Lifestyle_Mini_!$C:$K)</f>
        <v>PhD</v>
      </c>
      <c r="J496" t="str">
        <f>_xlfn.XLOOKUP($A:$A,Instagram_Usage_Lifestyle_Mini_!$A:$A,Instagram_Usage_Lifestyle_Mini_!$C:$K)</f>
        <v>Single</v>
      </c>
      <c r="K496" t="str">
        <f>_xlfn.XLOOKUP($A:$A,Instagram_Usage_Lifestyle_Mini_!$A:$A,Instagram_Usage_Lifestyle_Mini_!$C:$K)</f>
        <v>Yes</v>
      </c>
      <c r="L496" t="str" cm="1">
        <f t="array" ref="L496">_xlfn.IFS(C496&lt;18,"Under_18",C496&lt;=25,"Youth",C496&lt;=35,"Young_Adults",C496&lt;=45,"Mid_Adults",TRUE,"Seniors")</f>
        <v>Seniors</v>
      </c>
    </row>
    <row r="497" spans="1:12" x14ac:dyDescent="0.2">
      <c r="A497">
        <v>496</v>
      </c>
      <c r="B497" t="str">
        <f>_xlfn.XLOOKUP(A497,Instagram_Usage_Lifestyle_Mini_!A497,Instagram_Usage_Lifestyle_Mini_!B497,1)</f>
        <v>Instagram</v>
      </c>
      <c r="C497">
        <f>_xlfn.XLOOKUP($A:$A,Instagram_Usage_Lifestyle_Mini_!$A:$A,Instagram_Usage_Lifestyle_Mini_!$C:$K)</f>
        <v>38</v>
      </c>
      <c r="D497" t="str">
        <f>_xlfn.XLOOKUP($A:$A,Instagram_Usage_Lifestyle_Mini_!$A:$A,Instagram_Usage_Lifestyle_Mini_!$C:$K)</f>
        <v>Female</v>
      </c>
      <c r="E497" t="str">
        <f>_xlfn.XLOOKUP($A:$A,Instagram_Usage_Lifestyle_Mini_!$A:$A,Instagram_Usage_Lifestyle_Mini_!$C:$K)</f>
        <v>Australia</v>
      </c>
      <c r="F497" t="str">
        <f>_xlfn.XLOOKUP($A:$A,Instagram_Usage_Lifestyle_Mini_!$A:$A,Instagram_Usage_Lifestyle_Mini_!$C:$K)</f>
        <v>Rural</v>
      </c>
      <c r="G497" t="str">
        <f>_xlfn.XLOOKUP($A:$A,Instagram_Usage_Lifestyle_Mini_!$A:$A,Instagram_Usage_Lifestyle_Mini_!$C:$K)</f>
        <v>Middle</v>
      </c>
      <c r="H497" t="str">
        <f>_xlfn.XLOOKUP($A:$A,Instagram_Usage_Lifestyle_Mini_!$A:$A,Instagram_Usage_Lifestyle_Mini_!$C:$K)</f>
        <v>Full_time_employed</v>
      </c>
      <c r="I497" t="str">
        <f>_xlfn.XLOOKUP($A:$A,Instagram_Usage_Lifestyle_Mini_!$A:$A,Instagram_Usage_Lifestyle_Mini_!$C:$K)</f>
        <v>Some_college</v>
      </c>
      <c r="J497" t="str">
        <f>_xlfn.XLOOKUP($A:$A,Instagram_Usage_Lifestyle_Mini_!$A:$A,Instagram_Usage_Lifestyle_Mini_!$C:$K)</f>
        <v>Single</v>
      </c>
      <c r="K497" t="str">
        <f>_xlfn.XLOOKUP($A:$A,Instagram_Usage_Lifestyle_Mini_!$A:$A,Instagram_Usage_Lifestyle_Mini_!$C:$K)</f>
        <v>Yes</v>
      </c>
      <c r="L497" t="str" cm="1">
        <f t="array" ref="L497">_xlfn.IFS(C497&lt;18,"Under_18",C497&lt;=25,"Youth",C497&lt;=35,"Young_Adults",C497&lt;=45,"Mid_Adults",TRUE,"Seniors")</f>
        <v>Mid_Adults</v>
      </c>
    </row>
    <row r="498" spans="1:12" x14ac:dyDescent="0.2">
      <c r="A498">
        <v>497</v>
      </c>
      <c r="B498" t="str">
        <f>_xlfn.XLOOKUP(A498,Instagram_Usage_Lifestyle_Mini_!A498,Instagram_Usage_Lifestyle_Mini_!B498,1)</f>
        <v>Instagram</v>
      </c>
      <c r="C498">
        <f>_xlfn.XLOOKUP($A:$A,Instagram_Usage_Lifestyle_Mini_!$A:$A,Instagram_Usage_Lifestyle_Mini_!$C:$K)</f>
        <v>65</v>
      </c>
      <c r="D498" t="str">
        <f>_xlfn.XLOOKUP($A:$A,Instagram_Usage_Lifestyle_Mini_!$A:$A,Instagram_Usage_Lifestyle_Mini_!$C:$K)</f>
        <v>Female</v>
      </c>
      <c r="E498" t="str">
        <f>_xlfn.XLOOKUP($A:$A,Instagram_Usage_Lifestyle_Mini_!$A:$A,Instagram_Usage_Lifestyle_Mini_!$C:$K)</f>
        <v>Germany</v>
      </c>
      <c r="F498" t="str">
        <f>_xlfn.XLOOKUP($A:$A,Instagram_Usage_Lifestyle_Mini_!$A:$A,Instagram_Usage_Lifestyle_Mini_!$C:$K)</f>
        <v>Suburban</v>
      </c>
      <c r="G498" t="str">
        <f>_xlfn.XLOOKUP($A:$A,Instagram_Usage_Lifestyle_Mini_!$A:$A,Instagram_Usage_Lifestyle_Mini_!$C:$K)</f>
        <v>Middle</v>
      </c>
      <c r="H498" t="str">
        <f>_xlfn.XLOOKUP($A:$A,Instagram_Usage_Lifestyle_Mini_!$A:$A,Instagram_Usage_Lifestyle_Mini_!$C:$K)</f>
        <v>Student</v>
      </c>
      <c r="I498" t="str">
        <f>_xlfn.XLOOKUP($A:$A,Instagram_Usage_Lifestyle_Mini_!$A:$A,Instagram_Usage_Lifestyle_Mini_!$C:$K)</f>
        <v>High_school</v>
      </c>
      <c r="J498" t="str">
        <f>_xlfn.XLOOKUP($A:$A,Instagram_Usage_Lifestyle_Mini_!$A:$A,Instagram_Usage_Lifestyle_Mini_!$C:$K)</f>
        <v>Married</v>
      </c>
      <c r="K498" t="str">
        <f>_xlfn.XLOOKUP($A:$A,Instagram_Usage_Lifestyle_Mini_!$A:$A,Instagram_Usage_Lifestyle_Mini_!$C:$K)</f>
        <v>No</v>
      </c>
      <c r="L498" t="str" cm="1">
        <f t="array" ref="L498">_xlfn.IFS(C498&lt;18,"Under_18",C498&lt;=25,"Youth",C498&lt;=35,"Young_Adults",C498&lt;=45,"Mid_Adults",TRUE,"Seniors")</f>
        <v>Seniors</v>
      </c>
    </row>
    <row r="499" spans="1:12" x14ac:dyDescent="0.2">
      <c r="A499">
        <v>498</v>
      </c>
      <c r="B499" t="str">
        <f>_xlfn.XLOOKUP(A499,Instagram_Usage_Lifestyle_Mini_!A499,Instagram_Usage_Lifestyle_Mini_!B499,1)</f>
        <v>Instagram</v>
      </c>
      <c r="C499">
        <f>_xlfn.XLOOKUP($A:$A,Instagram_Usage_Lifestyle_Mini_!$A:$A,Instagram_Usage_Lifestyle_Mini_!$C:$K)</f>
        <v>35</v>
      </c>
      <c r="D499" t="str">
        <f>_xlfn.XLOOKUP($A:$A,Instagram_Usage_Lifestyle_Mini_!$A:$A,Instagram_Usage_Lifestyle_Mini_!$C:$K)</f>
        <v>Male</v>
      </c>
      <c r="E499" t="str">
        <f>_xlfn.XLOOKUP($A:$A,Instagram_Usage_Lifestyle_Mini_!$A:$A,Instagram_Usage_Lifestyle_Mini_!$C:$K)</f>
        <v>United_States</v>
      </c>
      <c r="F499" t="str">
        <f>_xlfn.XLOOKUP($A:$A,Instagram_Usage_Lifestyle_Mini_!$A:$A,Instagram_Usage_Lifestyle_Mini_!$C:$K)</f>
        <v>Urban</v>
      </c>
      <c r="G499" t="str">
        <f>_xlfn.XLOOKUP($A:$A,Instagram_Usage_Lifestyle_Mini_!$A:$A,Instagram_Usage_Lifestyle_Mini_!$C:$K)</f>
        <v>High</v>
      </c>
      <c r="H499" t="str">
        <f>_xlfn.XLOOKUP($A:$A,Instagram_Usage_Lifestyle_Mini_!$A:$A,Instagram_Usage_Lifestyle_Mini_!$C:$K)</f>
        <v>Freelancer</v>
      </c>
      <c r="I499" t="str">
        <f>_xlfn.XLOOKUP($A:$A,Instagram_Usage_Lifestyle_Mini_!$A:$A,Instagram_Usage_Lifestyle_Mini_!$C:$K)</f>
        <v>High_school</v>
      </c>
      <c r="J499" t="str">
        <f>_xlfn.XLOOKUP($A:$A,Instagram_Usage_Lifestyle_Mini_!$A:$A,Instagram_Usage_Lifestyle_Mini_!$C:$K)</f>
        <v>Single</v>
      </c>
      <c r="K499" t="str">
        <f>_xlfn.XLOOKUP($A:$A,Instagram_Usage_Lifestyle_Mini_!$A:$A,Instagram_Usage_Lifestyle_Mini_!$C:$K)</f>
        <v>No</v>
      </c>
      <c r="L499" t="str" cm="1">
        <f t="array" ref="L499">_xlfn.IFS(C499&lt;18,"Under_18",C499&lt;=25,"Youth",C499&lt;=35,"Young_Adults",C499&lt;=45,"Mid_Adults",TRUE,"Seniors")</f>
        <v>Young_Adults</v>
      </c>
    </row>
    <row r="500" spans="1:12" x14ac:dyDescent="0.2">
      <c r="A500">
        <v>499</v>
      </c>
      <c r="B500" t="str">
        <f>_xlfn.XLOOKUP(A500,Instagram_Usage_Lifestyle_Mini_!A500,Instagram_Usage_Lifestyle_Mini_!B500,1)</f>
        <v>Instagram</v>
      </c>
      <c r="C500">
        <f>_xlfn.XLOOKUP($A:$A,Instagram_Usage_Lifestyle_Mini_!$A:$A,Instagram_Usage_Lifestyle_Mini_!$C:$K)</f>
        <v>21</v>
      </c>
      <c r="D500" t="str">
        <f>_xlfn.XLOOKUP($A:$A,Instagram_Usage_Lifestyle_Mini_!$A:$A,Instagram_Usage_Lifestyle_Mini_!$C:$K)</f>
        <v>Female</v>
      </c>
      <c r="E500" t="str">
        <f>_xlfn.XLOOKUP($A:$A,Instagram_Usage_Lifestyle_Mini_!$A:$A,Instagram_Usage_Lifestyle_Mini_!$C:$K)</f>
        <v>United _Kingdom</v>
      </c>
      <c r="F500" t="str">
        <f>_xlfn.XLOOKUP($A:$A,Instagram_Usage_Lifestyle_Mini_!$A:$A,Instagram_Usage_Lifestyle_Mini_!$C:$K)</f>
        <v>Urban</v>
      </c>
      <c r="G500" t="str">
        <f>_xlfn.XLOOKUP($A:$A,Instagram_Usage_Lifestyle_Mini_!$A:$A,Instagram_Usage_Lifestyle_Mini_!$C:$K)</f>
        <v>Middle</v>
      </c>
      <c r="H500" t="str">
        <f>_xlfn.XLOOKUP($A:$A,Instagram_Usage_Lifestyle_Mini_!$A:$A,Instagram_Usage_Lifestyle_Mini_!$C:$K)</f>
        <v>Student</v>
      </c>
      <c r="I500" t="str">
        <f>_xlfn.XLOOKUP($A:$A,Instagram_Usage_Lifestyle_Mini_!$A:$A,Instagram_Usage_Lifestyle_Mini_!$C:$K)</f>
        <v>High_school</v>
      </c>
      <c r="J500" t="str">
        <f>_xlfn.XLOOKUP($A:$A,Instagram_Usage_Lifestyle_Mini_!$A:$A,Instagram_Usage_Lifestyle_Mini_!$C:$K)</f>
        <v>Single</v>
      </c>
      <c r="K500" t="str">
        <f>_xlfn.XLOOKUP($A:$A,Instagram_Usage_Lifestyle_Mini_!$A:$A,Instagram_Usage_Lifestyle_Mini_!$C:$K)</f>
        <v>No</v>
      </c>
      <c r="L500" t="str" cm="1">
        <f t="array" ref="L500">_xlfn.IFS(C500&lt;18,"Under_18",C500&lt;=25,"Youth",C500&lt;=35,"Young_Adults",C500&lt;=45,"Mid_Adults",TRUE,"Seniors")</f>
        <v>Youth</v>
      </c>
    </row>
    <row r="501" spans="1:12" x14ac:dyDescent="0.2">
      <c r="A501">
        <v>500</v>
      </c>
      <c r="B501" t="str">
        <f>_xlfn.XLOOKUP(A501,Instagram_Usage_Lifestyle_Mini_!A501,Instagram_Usage_Lifestyle_Mini_!B501,1)</f>
        <v>Instagram</v>
      </c>
      <c r="C501">
        <f>_xlfn.XLOOKUP($A:$A,Instagram_Usage_Lifestyle_Mini_!$A:$A,Instagram_Usage_Lifestyle_Mini_!$C:$K)</f>
        <v>24</v>
      </c>
      <c r="D501" t="str">
        <f>_xlfn.XLOOKUP($A:$A,Instagram_Usage_Lifestyle_Mini_!$A:$A,Instagram_Usage_Lifestyle_Mini_!$C:$K)</f>
        <v>Female</v>
      </c>
      <c r="E501" t="str">
        <f>_xlfn.XLOOKUP($A:$A,Instagram_Usage_Lifestyle_Mini_!$A:$A,Instagram_Usage_Lifestyle_Mini_!$C:$K)</f>
        <v>India</v>
      </c>
      <c r="F501" t="str">
        <f>_xlfn.XLOOKUP($A:$A,Instagram_Usage_Lifestyle_Mini_!$A:$A,Instagram_Usage_Lifestyle_Mini_!$C:$K)</f>
        <v>Urban</v>
      </c>
      <c r="G501" t="str">
        <f>_xlfn.XLOOKUP($A:$A,Instagram_Usage_Lifestyle_Mini_!$A:$A,Instagram_Usage_Lifestyle_Mini_!$C:$K)</f>
        <v>Low</v>
      </c>
      <c r="H501" t="str">
        <f>_xlfn.XLOOKUP($A:$A,Instagram_Usage_Lifestyle_Mini_!$A:$A,Instagram_Usage_Lifestyle_Mini_!$C:$K)</f>
        <v>Freelancer</v>
      </c>
      <c r="I501" t="str">
        <f>_xlfn.XLOOKUP($A:$A,Instagram_Usage_Lifestyle_Mini_!$A:$A,Instagram_Usage_Lifestyle_Mini_!$C:$K)</f>
        <v>Some_college</v>
      </c>
      <c r="J501" t="str">
        <f>_xlfn.XLOOKUP($A:$A,Instagram_Usage_Lifestyle_Mini_!$A:$A,Instagram_Usage_Lifestyle_Mini_!$C:$K)</f>
        <v>Married</v>
      </c>
      <c r="K501" t="str">
        <f>_xlfn.XLOOKUP($A:$A,Instagram_Usage_Lifestyle_Mini_!$A:$A,Instagram_Usage_Lifestyle_Mini_!$C:$K)</f>
        <v>Yes</v>
      </c>
      <c r="L501" t="str" cm="1">
        <f t="array" ref="L501">_xlfn.IFS(C501&lt;18,"Under_18",C501&lt;=25,"Youth",C501&lt;=35,"Young_Adults",C501&lt;=45,"Mid_Adults",TRUE,"Seniors")</f>
        <v>Youth</v>
      </c>
    </row>
    <row r="502" spans="1:12" x14ac:dyDescent="0.2">
      <c r="A502">
        <v>501</v>
      </c>
      <c r="B502" t="str">
        <f>_xlfn.XLOOKUP(A502,Instagram_Usage_Lifestyle_Mini_!A502,Instagram_Usage_Lifestyle_Mini_!B502,1)</f>
        <v>Instagram</v>
      </c>
      <c r="C502">
        <f>_xlfn.XLOOKUP($A:$A,Instagram_Usage_Lifestyle_Mini_!$A:$A,Instagram_Usage_Lifestyle_Mini_!$C:$K)</f>
        <v>65</v>
      </c>
      <c r="D502" t="str">
        <f>_xlfn.XLOOKUP($A:$A,Instagram_Usage_Lifestyle_Mini_!$A:$A,Instagram_Usage_Lifestyle_Mini_!$C:$K)</f>
        <v>Male</v>
      </c>
      <c r="E502" t="str">
        <f>_xlfn.XLOOKUP($A:$A,Instagram_Usage_Lifestyle_Mini_!$A:$A,Instagram_Usage_Lifestyle_Mini_!$C:$K)</f>
        <v>Australia</v>
      </c>
      <c r="F502" t="str">
        <f>_xlfn.XLOOKUP($A:$A,Instagram_Usage_Lifestyle_Mini_!$A:$A,Instagram_Usage_Lifestyle_Mini_!$C:$K)</f>
        <v>Urban</v>
      </c>
      <c r="G502" t="str">
        <f>_xlfn.XLOOKUP($A:$A,Instagram_Usage_Lifestyle_Mini_!$A:$A,Instagram_Usage_Lifestyle_Mini_!$C:$K)</f>
        <v>Upper_middle</v>
      </c>
      <c r="H502" t="str">
        <f>_xlfn.XLOOKUP($A:$A,Instagram_Usage_Lifestyle_Mini_!$A:$A,Instagram_Usage_Lifestyle_Mini_!$C:$K)</f>
        <v>Freelancer</v>
      </c>
      <c r="I502" t="str">
        <f>_xlfn.XLOOKUP($A:$A,Instagram_Usage_Lifestyle_Mini_!$A:$A,Instagram_Usage_Lifestyle_Mini_!$C:$K)</f>
        <v>PhD</v>
      </c>
      <c r="J502" t="str">
        <f>_xlfn.XLOOKUP($A:$A,Instagram_Usage_Lifestyle_Mini_!$A:$A,Instagram_Usage_Lifestyle_Mini_!$C:$K)</f>
        <v>Single</v>
      </c>
      <c r="K502" t="str">
        <f>_xlfn.XLOOKUP($A:$A,Instagram_Usage_Lifestyle_Mini_!$A:$A,Instagram_Usage_Lifestyle_Mini_!$C:$K)</f>
        <v>Yes</v>
      </c>
      <c r="L502" t="str" cm="1">
        <f t="array" ref="L502">_xlfn.IFS(C502&lt;18,"Under_18",C502&lt;=25,"Youth",C502&lt;=35,"Young_Adults",C502&lt;=45,"Mid_Adults",TRUE,"Seniors")</f>
        <v>Seniors</v>
      </c>
    </row>
    <row r="503" spans="1:12" x14ac:dyDescent="0.2">
      <c r="A503">
        <v>502</v>
      </c>
      <c r="B503" t="str">
        <f>_xlfn.XLOOKUP(A503,Instagram_Usage_Lifestyle_Mini_!A503,Instagram_Usage_Lifestyle_Mini_!B503,1)</f>
        <v>Instagram</v>
      </c>
      <c r="C503">
        <f>_xlfn.XLOOKUP($A:$A,Instagram_Usage_Lifestyle_Mini_!$A:$A,Instagram_Usage_Lifestyle_Mini_!$C:$K)</f>
        <v>13</v>
      </c>
      <c r="D503" t="str">
        <f>_xlfn.XLOOKUP($A:$A,Instagram_Usage_Lifestyle_Mini_!$A:$A,Instagram_Usage_Lifestyle_Mini_!$C:$K)</f>
        <v>Female</v>
      </c>
      <c r="E503" t="str">
        <f>_xlfn.XLOOKUP($A:$A,Instagram_Usage_Lifestyle_Mini_!$A:$A,Instagram_Usage_Lifestyle_Mini_!$C:$K)</f>
        <v>Japan</v>
      </c>
      <c r="F503" t="str">
        <f>_xlfn.XLOOKUP($A:$A,Instagram_Usage_Lifestyle_Mini_!$A:$A,Instagram_Usage_Lifestyle_Mini_!$C:$K)</f>
        <v>Suburban</v>
      </c>
      <c r="G503" t="str">
        <f>_xlfn.XLOOKUP($A:$A,Instagram_Usage_Lifestyle_Mini_!$A:$A,Instagram_Usage_Lifestyle_Mini_!$C:$K)</f>
        <v>Lower_middle</v>
      </c>
      <c r="H503" t="str">
        <f>_xlfn.XLOOKUP($A:$A,Instagram_Usage_Lifestyle_Mini_!$A:$A,Instagram_Usage_Lifestyle_Mini_!$C:$K)</f>
        <v>Full_time_employed</v>
      </c>
      <c r="I503" t="str">
        <f>_xlfn.XLOOKUP($A:$A,Instagram_Usage_Lifestyle_Mini_!$A:$A,Instagram_Usage_Lifestyle_Mini_!$C:$K)</f>
        <v>High_school</v>
      </c>
      <c r="J503" t="str">
        <f>_xlfn.XLOOKUP($A:$A,Instagram_Usage_Lifestyle_Mini_!$A:$A,Instagram_Usage_Lifestyle_Mini_!$C:$K)</f>
        <v>Married</v>
      </c>
      <c r="K503" t="str">
        <f>_xlfn.XLOOKUP($A:$A,Instagram_Usage_Lifestyle_Mini_!$A:$A,Instagram_Usage_Lifestyle_Mini_!$C:$K)</f>
        <v>No</v>
      </c>
      <c r="L503" t="str" cm="1">
        <f t="array" ref="L503">_xlfn.IFS(C503&lt;18,"Under_18",C503&lt;=25,"Youth",C503&lt;=35,"Young_Adults",C503&lt;=45,"Mid_Adults",TRUE,"Seniors")</f>
        <v>Under_18</v>
      </c>
    </row>
    <row r="504" spans="1:12" x14ac:dyDescent="0.2">
      <c r="A504">
        <v>503</v>
      </c>
      <c r="B504" t="str">
        <f>_xlfn.XLOOKUP(A504,Instagram_Usage_Lifestyle_Mini_!A504,Instagram_Usage_Lifestyle_Mini_!B504,1)</f>
        <v>Instagram</v>
      </c>
      <c r="C504">
        <f>_xlfn.XLOOKUP($A:$A,Instagram_Usage_Lifestyle_Mini_!$A:$A,Instagram_Usage_Lifestyle_Mini_!$C:$K)</f>
        <v>13</v>
      </c>
      <c r="D504" t="str">
        <f>_xlfn.XLOOKUP($A:$A,Instagram_Usage_Lifestyle_Mini_!$A:$A,Instagram_Usage_Lifestyle_Mini_!$C:$K)</f>
        <v>Female</v>
      </c>
      <c r="E504" t="str">
        <f>_xlfn.XLOOKUP($A:$A,Instagram_Usage_Lifestyle_Mini_!$A:$A,Instagram_Usage_Lifestyle_Mini_!$C:$K)</f>
        <v>United_States</v>
      </c>
      <c r="F504" t="str">
        <f>_xlfn.XLOOKUP($A:$A,Instagram_Usage_Lifestyle_Mini_!$A:$A,Instagram_Usage_Lifestyle_Mini_!$C:$K)</f>
        <v>Urban</v>
      </c>
      <c r="G504" t="str">
        <f>_xlfn.XLOOKUP($A:$A,Instagram_Usage_Lifestyle_Mini_!$A:$A,Instagram_Usage_Lifestyle_Mini_!$C:$K)</f>
        <v>Low</v>
      </c>
      <c r="H504" t="str">
        <f>_xlfn.XLOOKUP($A:$A,Instagram_Usage_Lifestyle_Mini_!$A:$A,Instagram_Usage_Lifestyle_Mini_!$C:$K)</f>
        <v>Full_time_employed</v>
      </c>
      <c r="I504" t="str">
        <f>_xlfn.XLOOKUP($A:$A,Instagram_Usage_Lifestyle_Mini_!$A:$A,Instagram_Usage_Lifestyle_Mini_!$C:$K)</f>
        <v>High_school</v>
      </c>
      <c r="J504" t="str">
        <f>_xlfn.XLOOKUP($A:$A,Instagram_Usage_Lifestyle_Mini_!$A:$A,Instagram_Usage_Lifestyle_Mini_!$C:$K)</f>
        <v>In_a_relationship</v>
      </c>
      <c r="K504" t="str">
        <f>_xlfn.XLOOKUP($A:$A,Instagram_Usage_Lifestyle_Mini_!$A:$A,Instagram_Usage_Lifestyle_Mini_!$C:$K)</f>
        <v>Yes</v>
      </c>
      <c r="L504" t="str" cm="1">
        <f t="array" ref="L504">_xlfn.IFS(C504&lt;18,"Under_18",C504&lt;=25,"Youth",C504&lt;=35,"Young_Adults",C504&lt;=45,"Mid_Adults",TRUE,"Seniors")</f>
        <v>Under_18</v>
      </c>
    </row>
    <row r="505" spans="1:12" x14ac:dyDescent="0.2">
      <c r="A505">
        <v>504</v>
      </c>
      <c r="B505" t="str">
        <f>_xlfn.XLOOKUP(A505,Instagram_Usage_Lifestyle_Mini_!A505,Instagram_Usage_Lifestyle_Mini_!B505,1)</f>
        <v>Instagram</v>
      </c>
      <c r="C505">
        <f>_xlfn.XLOOKUP($A:$A,Instagram_Usage_Lifestyle_Mini_!$A:$A,Instagram_Usage_Lifestyle_Mini_!$C:$K)</f>
        <v>59</v>
      </c>
      <c r="D505" t="str">
        <f>_xlfn.XLOOKUP($A:$A,Instagram_Usage_Lifestyle_Mini_!$A:$A,Instagram_Usage_Lifestyle_Mini_!$C:$K)</f>
        <v>Male</v>
      </c>
      <c r="E505" t="str">
        <f>_xlfn.XLOOKUP($A:$A,Instagram_Usage_Lifestyle_Mini_!$A:$A,Instagram_Usage_Lifestyle_Mini_!$C:$K)</f>
        <v>India</v>
      </c>
      <c r="F505" t="str">
        <f>_xlfn.XLOOKUP($A:$A,Instagram_Usage_Lifestyle_Mini_!$A:$A,Instagram_Usage_Lifestyle_Mini_!$C:$K)</f>
        <v>Urban</v>
      </c>
      <c r="G505" t="str">
        <f>_xlfn.XLOOKUP($A:$A,Instagram_Usage_Lifestyle_Mini_!$A:$A,Instagram_Usage_Lifestyle_Mini_!$C:$K)</f>
        <v>Lower_middle</v>
      </c>
      <c r="H505" t="str">
        <f>_xlfn.XLOOKUP($A:$A,Instagram_Usage_Lifestyle_Mini_!$A:$A,Instagram_Usage_Lifestyle_Mini_!$C:$K)</f>
        <v>Freelancer</v>
      </c>
      <c r="I505" t="str">
        <f>_xlfn.XLOOKUP($A:$A,Instagram_Usage_Lifestyle_Mini_!$A:$A,Instagram_Usage_Lifestyle_Mini_!$C:$K)</f>
        <v>High_school</v>
      </c>
      <c r="J505" t="str">
        <f>_xlfn.XLOOKUP($A:$A,Instagram_Usage_Lifestyle_Mini_!$A:$A,Instagram_Usage_Lifestyle_Mini_!$C:$K)</f>
        <v>Married</v>
      </c>
      <c r="K505" t="str">
        <f>_xlfn.XLOOKUP($A:$A,Instagram_Usage_Lifestyle_Mini_!$A:$A,Instagram_Usage_Lifestyle_Mini_!$C:$K)</f>
        <v>No</v>
      </c>
      <c r="L505" t="str" cm="1">
        <f t="array" ref="L505">_xlfn.IFS(C505&lt;18,"Under_18",C505&lt;=25,"Youth",C505&lt;=35,"Young_Adults",C505&lt;=45,"Mid_Adults",TRUE,"Seniors")</f>
        <v>Seniors</v>
      </c>
    </row>
    <row r="506" spans="1:12" x14ac:dyDescent="0.2">
      <c r="A506">
        <v>505</v>
      </c>
      <c r="B506" t="str">
        <f>_xlfn.XLOOKUP(A506,Instagram_Usage_Lifestyle_Mini_!A506,Instagram_Usage_Lifestyle_Mini_!B506,1)</f>
        <v>Instagram</v>
      </c>
      <c r="C506">
        <f>_xlfn.XLOOKUP($A:$A,Instagram_Usage_Lifestyle_Mini_!$A:$A,Instagram_Usage_Lifestyle_Mini_!$C:$K)</f>
        <v>46</v>
      </c>
      <c r="D506" t="str">
        <f>_xlfn.XLOOKUP($A:$A,Instagram_Usage_Lifestyle_Mini_!$A:$A,Instagram_Usage_Lifestyle_Mini_!$C:$K)</f>
        <v>Female</v>
      </c>
      <c r="E506" t="str">
        <f>_xlfn.XLOOKUP($A:$A,Instagram_Usage_Lifestyle_Mini_!$A:$A,Instagram_Usage_Lifestyle_Mini_!$C:$K)</f>
        <v>Brazil</v>
      </c>
      <c r="F506" t="str">
        <f>_xlfn.XLOOKUP($A:$A,Instagram_Usage_Lifestyle_Mini_!$A:$A,Instagram_Usage_Lifestyle_Mini_!$C:$K)</f>
        <v>Suburban</v>
      </c>
      <c r="G506" t="str">
        <f>_xlfn.XLOOKUP($A:$A,Instagram_Usage_Lifestyle_Mini_!$A:$A,Instagram_Usage_Lifestyle_Mini_!$C:$K)</f>
        <v>Middle</v>
      </c>
      <c r="H506" t="str">
        <f>_xlfn.XLOOKUP($A:$A,Instagram_Usage_Lifestyle_Mini_!$A:$A,Instagram_Usage_Lifestyle_Mini_!$C:$K)</f>
        <v>Student</v>
      </c>
      <c r="I506" t="str">
        <f>_xlfn.XLOOKUP($A:$A,Instagram_Usage_Lifestyle_Mini_!$A:$A,Instagram_Usage_Lifestyle_Mini_!$C:$K)</f>
        <v>Bachelors_degree</v>
      </c>
      <c r="J506" t="str">
        <f>_xlfn.XLOOKUP($A:$A,Instagram_Usage_Lifestyle_Mini_!$A:$A,Instagram_Usage_Lifestyle_Mini_!$C:$K)</f>
        <v>Divorced</v>
      </c>
      <c r="K506" t="str">
        <f>_xlfn.XLOOKUP($A:$A,Instagram_Usage_Lifestyle_Mini_!$A:$A,Instagram_Usage_Lifestyle_Mini_!$C:$K)</f>
        <v>No</v>
      </c>
      <c r="L506" t="str" cm="1">
        <f t="array" ref="L506">_xlfn.IFS(C506&lt;18,"Under_18",C506&lt;=25,"Youth",C506&lt;=35,"Young_Adults",C506&lt;=45,"Mid_Adults",TRUE,"Seniors")</f>
        <v>Seniors</v>
      </c>
    </row>
    <row r="507" spans="1:12" x14ac:dyDescent="0.2">
      <c r="A507">
        <v>506</v>
      </c>
      <c r="B507" t="str">
        <f>_xlfn.XLOOKUP(A507,Instagram_Usage_Lifestyle_Mini_!A507,Instagram_Usage_Lifestyle_Mini_!B507,1)</f>
        <v>Instagram</v>
      </c>
      <c r="C507">
        <f>_xlfn.XLOOKUP($A:$A,Instagram_Usage_Lifestyle_Mini_!$A:$A,Instagram_Usage_Lifestyle_Mini_!$C:$K)</f>
        <v>44</v>
      </c>
      <c r="D507" t="str">
        <f>_xlfn.XLOOKUP($A:$A,Instagram_Usage_Lifestyle_Mini_!$A:$A,Instagram_Usage_Lifestyle_Mini_!$C:$K)</f>
        <v>Female</v>
      </c>
      <c r="E507" t="str">
        <f>_xlfn.XLOOKUP($A:$A,Instagram_Usage_Lifestyle_Mini_!$A:$A,Instagram_Usage_Lifestyle_Mini_!$C:$K)</f>
        <v>India</v>
      </c>
      <c r="F507" t="str">
        <f>_xlfn.XLOOKUP($A:$A,Instagram_Usage_Lifestyle_Mini_!$A:$A,Instagram_Usage_Lifestyle_Mini_!$C:$K)</f>
        <v>Suburban</v>
      </c>
      <c r="G507" t="str">
        <f>_xlfn.XLOOKUP($A:$A,Instagram_Usage_Lifestyle_Mini_!$A:$A,Instagram_Usage_Lifestyle_Mini_!$C:$K)</f>
        <v>Middle</v>
      </c>
      <c r="H507" t="str">
        <f>_xlfn.XLOOKUP($A:$A,Instagram_Usage_Lifestyle_Mini_!$A:$A,Instagram_Usage_Lifestyle_Mini_!$C:$K)</f>
        <v>Full_time_employed</v>
      </c>
      <c r="I507" t="str">
        <f>_xlfn.XLOOKUP($A:$A,Instagram_Usage_Lifestyle_Mini_!$A:$A,Instagram_Usage_Lifestyle_Mini_!$C:$K)</f>
        <v>Some_college</v>
      </c>
      <c r="J507" t="str">
        <f>_xlfn.XLOOKUP($A:$A,Instagram_Usage_Lifestyle_Mini_!$A:$A,Instagram_Usage_Lifestyle_Mini_!$C:$K)</f>
        <v>Single</v>
      </c>
      <c r="K507" t="str">
        <f>_xlfn.XLOOKUP($A:$A,Instagram_Usage_Lifestyle_Mini_!$A:$A,Instagram_Usage_Lifestyle_Mini_!$C:$K)</f>
        <v>Yes</v>
      </c>
      <c r="L507" t="str" cm="1">
        <f t="array" ref="L507">_xlfn.IFS(C507&lt;18,"Under_18",C507&lt;=25,"Youth",C507&lt;=35,"Young_Adults",C507&lt;=45,"Mid_Adults",TRUE,"Seniors")</f>
        <v>Mid_Adults</v>
      </c>
    </row>
    <row r="508" spans="1:12" x14ac:dyDescent="0.2">
      <c r="A508">
        <v>507</v>
      </c>
      <c r="B508" t="str">
        <f>_xlfn.XLOOKUP(A508,Instagram_Usage_Lifestyle_Mini_!A508,Instagram_Usage_Lifestyle_Mini_!B508,1)</f>
        <v>Instagram</v>
      </c>
      <c r="C508">
        <f>_xlfn.XLOOKUP($A:$A,Instagram_Usage_Lifestyle_Mini_!$A:$A,Instagram_Usage_Lifestyle_Mini_!$C:$K)</f>
        <v>60</v>
      </c>
      <c r="D508" t="str">
        <f>_xlfn.XLOOKUP($A:$A,Instagram_Usage_Lifestyle_Mini_!$A:$A,Instagram_Usage_Lifestyle_Mini_!$C:$K)</f>
        <v>Female</v>
      </c>
      <c r="E508" t="str">
        <f>_xlfn.XLOOKUP($A:$A,Instagram_Usage_Lifestyle_Mini_!$A:$A,Instagram_Usage_Lifestyle_Mini_!$C:$K)</f>
        <v>India</v>
      </c>
      <c r="F508" t="str">
        <f>_xlfn.XLOOKUP($A:$A,Instagram_Usage_Lifestyle_Mini_!$A:$A,Instagram_Usage_Lifestyle_Mini_!$C:$K)</f>
        <v>Urban</v>
      </c>
      <c r="G508" t="str">
        <f>_xlfn.XLOOKUP($A:$A,Instagram_Usage_Lifestyle_Mini_!$A:$A,Instagram_Usage_Lifestyle_Mini_!$C:$K)</f>
        <v>High</v>
      </c>
      <c r="H508" t="str">
        <f>_xlfn.XLOOKUP($A:$A,Instagram_Usage_Lifestyle_Mini_!$A:$A,Instagram_Usage_Lifestyle_Mini_!$C:$K)</f>
        <v>Full_time_employed</v>
      </c>
      <c r="I508" t="str">
        <f>_xlfn.XLOOKUP($A:$A,Instagram_Usage_Lifestyle_Mini_!$A:$A,Instagram_Usage_Lifestyle_Mini_!$C:$K)</f>
        <v>Bachelors_degree</v>
      </c>
      <c r="J508" t="str">
        <f>_xlfn.XLOOKUP($A:$A,Instagram_Usage_Lifestyle_Mini_!$A:$A,Instagram_Usage_Lifestyle_Mini_!$C:$K)</f>
        <v>Divorced</v>
      </c>
      <c r="K508" t="str">
        <f>_xlfn.XLOOKUP($A:$A,Instagram_Usage_Lifestyle_Mini_!$A:$A,Instagram_Usage_Lifestyle_Mini_!$C:$K)</f>
        <v>No</v>
      </c>
      <c r="L508" t="str" cm="1">
        <f t="array" ref="L508">_xlfn.IFS(C508&lt;18,"Under_18",C508&lt;=25,"Youth",C508&lt;=35,"Young_Adults",C508&lt;=45,"Mid_Adults",TRUE,"Seniors")</f>
        <v>Seniors</v>
      </c>
    </row>
    <row r="509" spans="1:12" x14ac:dyDescent="0.2">
      <c r="A509">
        <v>508</v>
      </c>
      <c r="B509" t="str">
        <f>_xlfn.XLOOKUP(A509,Instagram_Usage_Lifestyle_Mini_!A509,Instagram_Usage_Lifestyle_Mini_!B509,1)</f>
        <v>Instagram</v>
      </c>
      <c r="C509">
        <f>_xlfn.XLOOKUP($A:$A,Instagram_Usage_Lifestyle_Mini_!$A:$A,Instagram_Usage_Lifestyle_Mini_!$C:$K)</f>
        <v>37</v>
      </c>
      <c r="D509" t="str">
        <f>_xlfn.XLOOKUP($A:$A,Instagram_Usage_Lifestyle_Mini_!$A:$A,Instagram_Usage_Lifestyle_Mini_!$C:$K)</f>
        <v>Female</v>
      </c>
      <c r="E509" t="str">
        <f>_xlfn.XLOOKUP($A:$A,Instagram_Usage_Lifestyle_Mini_!$A:$A,Instagram_Usage_Lifestyle_Mini_!$C:$K)</f>
        <v>Germany</v>
      </c>
      <c r="F509" t="str">
        <f>_xlfn.XLOOKUP($A:$A,Instagram_Usage_Lifestyle_Mini_!$A:$A,Instagram_Usage_Lifestyle_Mini_!$C:$K)</f>
        <v>Suburban</v>
      </c>
      <c r="G509" t="str">
        <f>_xlfn.XLOOKUP($A:$A,Instagram_Usage_Lifestyle_Mini_!$A:$A,Instagram_Usage_Lifestyle_Mini_!$C:$K)</f>
        <v>Middle</v>
      </c>
      <c r="H509" t="str">
        <f>_xlfn.XLOOKUP($A:$A,Instagram_Usage_Lifestyle_Mini_!$A:$A,Instagram_Usage_Lifestyle_Mini_!$C:$K)</f>
        <v>Freelancer</v>
      </c>
      <c r="I509" t="str">
        <f>_xlfn.XLOOKUP($A:$A,Instagram_Usage_Lifestyle_Mini_!$A:$A,Instagram_Usage_Lifestyle_Mini_!$C:$K)</f>
        <v>Bachelors_degree</v>
      </c>
      <c r="J509" t="str">
        <f>_xlfn.XLOOKUP($A:$A,Instagram_Usage_Lifestyle_Mini_!$A:$A,Instagram_Usage_Lifestyle_Mini_!$C:$K)</f>
        <v>Single</v>
      </c>
      <c r="K509" t="str">
        <f>_xlfn.XLOOKUP($A:$A,Instagram_Usage_Lifestyle_Mini_!$A:$A,Instagram_Usage_Lifestyle_Mini_!$C:$K)</f>
        <v>No</v>
      </c>
      <c r="L509" t="str" cm="1">
        <f t="array" ref="L509">_xlfn.IFS(C509&lt;18,"Under_18",C509&lt;=25,"Youth",C509&lt;=35,"Young_Adults",C509&lt;=45,"Mid_Adults",TRUE,"Seniors")</f>
        <v>Mid_Adults</v>
      </c>
    </row>
    <row r="510" spans="1:12" x14ac:dyDescent="0.2">
      <c r="A510">
        <v>509</v>
      </c>
      <c r="B510" t="str">
        <f>_xlfn.XLOOKUP(A510,Instagram_Usage_Lifestyle_Mini_!A510,Instagram_Usage_Lifestyle_Mini_!B510,1)</f>
        <v>Instagram</v>
      </c>
      <c r="C510">
        <f>_xlfn.XLOOKUP($A:$A,Instagram_Usage_Lifestyle_Mini_!$A:$A,Instagram_Usage_Lifestyle_Mini_!$C:$K)</f>
        <v>52</v>
      </c>
      <c r="D510" t="str">
        <f>_xlfn.XLOOKUP($A:$A,Instagram_Usage_Lifestyle_Mini_!$A:$A,Instagram_Usage_Lifestyle_Mini_!$C:$K)</f>
        <v>Female</v>
      </c>
      <c r="E510" t="str">
        <f>_xlfn.XLOOKUP($A:$A,Instagram_Usage_Lifestyle_Mini_!$A:$A,Instagram_Usage_Lifestyle_Mini_!$C:$K)</f>
        <v>United_States</v>
      </c>
      <c r="F510" t="str">
        <f>_xlfn.XLOOKUP($A:$A,Instagram_Usage_Lifestyle_Mini_!$A:$A,Instagram_Usage_Lifestyle_Mini_!$C:$K)</f>
        <v>Suburban</v>
      </c>
      <c r="G510" t="str">
        <f>_xlfn.XLOOKUP($A:$A,Instagram_Usage_Lifestyle_Mini_!$A:$A,Instagram_Usage_Lifestyle_Mini_!$C:$K)</f>
        <v>Lower_middle</v>
      </c>
      <c r="H510" t="str">
        <f>_xlfn.XLOOKUP($A:$A,Instagram_Usage_Lifestyle_Mini_!$A:$A,Instagram_Usage_Lifestyle_Mini_!$C:$K)</f>
        <v>Student</v>
      </c>
      <c r="I510" t="str">
        <f>_xlfn.XLOOKUP($A:$A,Instagram_Usage_Lifestyle_Mini_!$A:$A,Instagram_Usage_Lifestyle_Mini_!$C:$K)</f>
        <v>High_school</v>
      </c>
      <c r="J510" t="str">
        <f>_xlfn.XLOOKUP($A:$A,Instagram_Usage_Lifestyle_Mini_!$A:$A,Instagram_Usage_Lifestyle_Mini_!$C:$K)</f>
        <v>Married</v>
      </c>
      <c r="K510" t="str">
        <f>_xlfn.XLOOKUP($A:$A,Instagram_Usage_Lifestyle_Mini_!$A:$A,Instagram_Usage_Lifestyle_Mini_!$C:$K)</f>
        <v>No</v>
      </c>
      <c r="L510" t="str" cm="1">
        <f t="array" ref="L510">_xlfn.IFS(C510&lt;18,"Under_18",C510&lt;=25,"Youth",C510&lt;=35,"Young_Adults",C510&lt;=45,"Mid_Adults",TRUE,"Seniors")</f>
        <v>Seniors</v>
      </c>
    </row>
    <row r="511" spans="1:12" x14ac:dyDescent="0.2">
      <c r="A511">
        <v>510</v>
      </c>
      <c r="B511" t="str">
        <f>_xlfn.XLOOKUP(A511,Instagram_Usage_Lifestyle_Mini_!A511,Instagram_Usage_Lifestyle_Mini_!B511,1)</f>
        <v>Instagram</v>
      </c>
      <c r="C511">
        <f>_xlfn.XLOOKUP($A:$A,Instagram_Usage_Lifestyle_Mini_!$A:$A,Instagram_Usage_Lifestyle_Mini_!$C:$K)</f>
        <v>57</v>
      </c>
      <c r="D511" t="str">
        <f>_xlfn.XLOOKUP($A:$A,Instagram_Usage_Lifestyle_Mini_!$A:$A,Instagram_Usage_Lifestyle_Mini_!$C:$K)</f>
        <v>Male</v>
      </c>
      <c r="E511" t="str">
        <f>_xlfn.XLOOKUP($A:$A,Instagram_Usage_Lifestyle_Mini_!$A:$A,Instagram_Usage_Lifestyle_Mini_!$C:$K)</f>
        <v>Brazil</v>
      </c>
      <c r="F511" t="str">
        <f>_xlfn.XLOOKUP($A:$A,Instagram_Usage_Lifestyle_Mini_!$A:$A,Instagram_Usage_Lifestyle_Mini_!$C:$K)</f>
        <v>Suburban</v>
      </c>
      <c r="G511" t="str">
        <f>_xlfn.XLOOKUP($A:$A,Instagram_Usage_Lifestyle_Mini_!$A:$A,Instagram_Usage_Lifestyle_Mini_!$C:$K)</f>
        <v>Lower_middle</v>
      </c>
      <c r="H511" t="str">
        <f>_xlfn.XLOOKUP($A:$A,Instagram_Usage_Lifestyle_Mini_!$A:$A,Instagram_Usage_Lifestyle_Mini_!$C:$K)</f>
        <v>Full_time_employed</v>
      </c>
      <c r="I511" t="str">
        <f>_xlfn.XLOOKUP($A:$A,Instagram_Usage_Lifestyle_Mini_!$A:$A,Instagram_Usage_Lifestyle_Mini_!$C:$K)</f>
        <v>High_school</v>
      </c>
      <c r="J511" t="str">
        <f>_xlfn.XLOOKUP($A:$A,Instagram_Usage_Lifestyle_Mini_!$A:$A,Instagram_Usage_Lifestyle_Mini_!$C:$K)</f>
        <v>Married</v>
      </c>
      <c r="K511" t="str">
        <f>_xlfn.XLOOKUP($A:$A,Instagram_Usage_Lifestyle_Mini_!$A:$A,Instagram_Usage_Lifestyle_Mini_!$C:$K)</f>
        <v>Yes</v>
      </c>
      <c r="L511" t="str" cm="1">
        <f t="array" ref="L511">_xlfn.IFS(C511&lt;18,"Under_18",C511&lt;=25,"Youth",C511&lt;=35,"Young_Adults",C511&lt;=45,"Mid_Adults",TRUE,"Seniors")</f>
        <v>Seniors</v>
      </c>
    </row>
    <row r="512" spans="1:12" x14ac:dyDescent="0.2">
      <c r="A512">
        <v>511</v>
      </c>
      <c r="B512" t="str">
        <f>_xlfn.XLOOKUP(A512,Instagram_Usage_Lifestyle_Mini_!A512,Instagram_Usage_Lifestyle_Mini_!B512,1)</f>
        <v>Instagram</v>
      </c>
      <c r="C512">
        <f>_xlfn.XLOOKUP($A:$A,Instagram_Usage_Lifestyle_Mini_!$A:$A,Instagram_Usage_Lifestyle_Mini_!$C:$K)</f>
        <v>65</v>
      </c>
      <c r="D512" t="str">
        <f>_xlfn.XLOOKUP($A:$A,Instagram_Usage_Lifestyle_Mini_!$A:$A,Instagram_Usage_Lifestyle_Mini_!$C:$K)</f>
        <v>Male</v>
      </c>
      <c r="E512" t="str">
        <f>_xlfn.XLOOKUP($A:$A,Instagram_Usage_Lifestyle_Mini_!$A:$A,Instagram_Usage_Lifestyle_Mini_!$C:$K)</f>
        <v>United _Kingdom</v>
      </c>
      <c r="F512" t="str">
        <f>_xlfn.XLOOKUP($A:$A,Instagram_Usage_Lifestyle_Mini_!$A:$A,Instagram_Usage_Lifestyle_Mini_!$C:$K)</f>
        <v>Urban</v>
      </c>
      <c r="G512" t="str">
        <f>_xlfn.XLOOKUP($A:$A,Instagram_Usage_Lifestyle_Mini_!$A:$A,Instagram_Usage_Lifestyle_Mini_!$C:$K)</f>
        <v>Upper_middle</v>
      </c>
      <c r="H512" t="str">
        <f>_xlfn.XLOOKUP($A:$A,Instagram_Usage_Lifestyle_Mini_!$A:$A,Instagram_Usage_Lifestyle_Mini_!$C:$K)</f>
        <v>Full_time_employed</v>
      </c>
      <c r="I512" t="str">
        <f>_xlfn.XLOOKUP($A:$A,Instagram_Usage_Lifestyle_Mini_!$A:$A,Instagram_Usage_Lifestyle_Mini_!$C:$K)</f>
        <v>High_school</v>
      </c>
      <c r="J512" t="str">
        <f>_xlfn.XLOOKUP($A:$A,Instagram_Usage_Lifestyle_Mini_!$A:$A,Instagram_Usage_Lifestyle_Mini_!$C:$K)</f>
        <v>In_a_relationship</v>
      </c>
      <c r="K512" t="str">
        <f>_xlfn.XLOOKUP($A:$A,Instagram_Usage_Lifestyle_Mini_!$A:$A,Instagram_Usage_Lifestyle_Mini_!$C:$K)</f>
        <v>No</v>
      </c>
      <c r="L512" t="str" cm="1">
        <f t="array" ref="L512">_xlfn.IFS(C512&lt;18,"Under_18",C512&lt;=25,"Youth",C512&lt;=35,"Young_Adults",C512&lt;=45,"Mid_Adults",TRUE,"Seniors")</f>
        <v>Seniors</v>
      </c>
    </row>
    <row r="513" spans="1:12" x14ac:dyDescent="0.2">
      <c r="A513">
        <v>512</v>
      </c>
      <c r="B513" t="str">
        <f>_xlfn.XLOOKUP(A513,Instagram_Usage_Lifestyle_Mini_!A513,Instagram_Usage_Lifestyle_Mini_!B513,1)</f>
        <v>Instagram</v>
      </c>
      <c r="C513">
        <f>_xlfn.XLOOKUP($A:$A,Instagram_Usage_Lifestyle_Mini_!$A:$A,Instagram_Usage_Lifestyle_Mini_!$C:$K)</f>
        <v>13</v>
      </c>
      <c r="D513" t="str">
        <f>_xlfn.XLOOKUP($A:$A,Instagram_Usage_Lifestyle_Mini_!$A:$A,Instagram_Usage_Lifestyle_Mini_!$C:$K)</f>
        <v>Female</v>
      </c>
      <c r="E513" t="str">
        <f>_xlfn.XLOOKUP($A:$A,Instagram_Usage_Lifestyle_Mini_!$A:$A,Instagram_Usage_Lifestyle_Mini_!$C:$K)</f>
        <v>United_States</v>
      </c>
      <c r="F513" t="str">
        <f>_xlfn.XLOOKUP($A:$A,Instagram_Usage_Lifestyle_Mini_!$A:$A,Instagram_Usage_Lifestyle_Mini_!$C:$K)</f>
        <v>Suburban</v>
      </c>
      <c r="G513" t="str">
        <f>_xlfn.XLOOKUP($A:$A,Instagram_Usage_Lifestyle_Mini_!$A:$A,Instagram_Usage_Lifestyle_Mini_!$C:$K)</f>
        <v>Upper_middle</v>
      </c>
      <c r="H513" t="str">
        <f>_xlfn.XLOOKUP($A:$A,Instagram_Usage_Lifestyle_Mini_!$A:$A,Instagram_Usage_Lifestyle_Mini_!$C:$K)</f>
        <v>Student</v>
      </c>
      <c r="I513" t="str">
        <f>_xlfn.XLOOKUP($A:$A,Instagram_Usage_Lifestyle_Mini_!$A:$A,Instagram_Usage_Lifestyle_Mini_!$C:$K)</f>
        <v>Bachelors_degree</v>
      </c>
      <c r="J513" t="str">
        <f>_xlfn.XLOOKUP($A:$A,Instagram_Usage_Lifestyle_Mini_!$A:$A,Instagram_Usage_Lifestyle_Mini_!$C:$K)</f>
        <v>In_a_relationship</v>
      </c>
      <c r="K513" t="str">
        <f>_xlfn.XLOOKUP($A:$A,Instagram_Usage_Lifestyle_Mini_!$A:$A,Instagram_Usage_Lifestyle_Mini_!$C:$K)</f>
        <v>Yes</v>
      </c>
      <c r="L513" t="str" cm="1">
        <f t="array" ref="L513">_xlfn.IFS(C513&lt;18,"Under_18",C513&lt;=25,"Youth",C513&lt;=35,"Young_Adults",C513&lt;=45,"Mid_Adults",TRUE,"Seniors")</f>
        <v>Under_18</v>
      </c>
    </row>
    <row r="514" spans="1:12" x14ac:dyDescent="0.2">
      <c r="A514">
        <v>513</v>
      </c>
      <c r="B514" t="str">
        <f>_xlfn.XLOOKUP(A514,Instagram_Usage_Lifestyle_Mini_!A514,Instagram_Usage_Lifestyle_Mini_!B514,1)</f>
        <v>Instagram</v>
      </c>
      <c r="C514">
        <f>_xlfn.XLOOKUP($A:$A,Instagram_Usage_Lifestyle_Mini_!$A:$A,Instagram_Usage_Lifestyle_Mini_!$C:$K)</f>
        <v>28</v>
      </c>
      <c r="D514" t="str">
        <f>_xlfn.XLOOKUP($A:$A,Instagram_Usage_Lifestyle_Mini_!$A:$A,Instagram_Usage_Lifestyle_Mini_!$C:$K)</f>
        <v>Female</v>
      </c>
      <c r="E514" t="str">
        <f>_xlfn.XLOOKUP($A:$A,Instagram_Usage_Lifestyle_Mini_!$A:$A,Instagram_Usage_Lifestyle_Mini_!$C:$K)</f>
        <v>South_Korea</v>
      </c>
      <c r="F514" t="str">
        <f>_xlfn.XLOOKUP($A:$A,Instagram_Usage_Lifestyle_Mini_!$A:$A,Instagram_Usage_Lifestyle_Mini_!$C:$K)</f>
        <v>Urban</v>
      </c>
      <c r="G514" t="str">
        <f>_xlfn.XLOOKUP($A:$A,Instagram_Usage_Lifestyle_Mini_!$A:$A,Instagram_Usage_Lifestyle_Mini_!$C:$K)</f>
        <v>Upper_middle</v>
      </c>
      <c r="H514" t="str">
        <f>_xlfn.XLOOKUP($A:$A,Instagram_Usage_Lifestyle_Mini_!$A:$A,Instagram_Usage_Lifestyle_Mini_!$C:$K)</f>
        <v>Full_time_employed</v>
      </c>
      <c r="I514" t="str">
        <f>_xlfn.XLOOKUP($A:$A,Instagram_Usage_Lifestyle_Mini_!$A:$A,Instagram_Usage_Lifestyle_Mini_!$C:$K)</f>
        <v>Bachelors_degree</v>
      </c>
      <c r="J514" t="str">
        <f>_xlfn.XLOOKUP($A:$A,Instagram_Usage_Lifestyle_Mini_!$A:$A,Instagram_Usage_Lifestyle_Mini_!$C:$K)</f>
        <v>In_a_relationship</v>
      </c>
      <c r="K514" t="str">
        <f>_xlfn.XLOOKUP($A:$A,Instagram_Usage_Lifestyle_Mini_!$A:$A,Instagram_Usage_Lifestyle_Mini_!$C:$K)</f>
        <v>No</v>
      </c>
      <c r="L514" t="str" cm="1">
        <f t="array" ref="L514">_xlfn.IFS(C514&lt;18,"Under_18",C514&lt;=25,"Youth",C514&lt;=35,"Young_Adults",C514&lt;=45,"Mid_Adults",TRUE,"Seniors")</f>
        <v>Young_Adults</v>
      </c>
    </row>
    <row r="515" spans="1:12" x14ac:dyDescent="0.2">
      <c r="A515">
        <v>514</v>
      </c>
      <c r="B515" t="str">
        <f>_xlfn.XLOOKUP(A515,Instagram_Usage_Lifestyle_Mini_!A515,Instagram_Usage_Lifestyle_Mini_!B515,1)</f>
        <v>Instagram</v>
      </c>
      <c r="C515">
        <f>_xlfn.XLOOKUP($A:$A,Instagram_Usage_Lifestyle_Mini_!$A:$A,Instagram_Usage_Lifestyle_Mini_!$C:$K)</f>
        <v>51</v>
      </c>
      <c r="D515" t="str">
        <f>_xlfn.XLOOKUP($A:$A,Instagram_Usage_Lifestyle_Mini_!$A:$A,Instagram_Usage_Lifestyle_Mini_!$C:$K)</f>
        <v>Male</v>
      </c>
      <c r="E515" t="str">
        <f>_xlfn.XLOOKUP($A:$A,Instagram_Usage_Lifestyle_Mini_!$A:$A,Instagram_Usage_Lifestyle_Mini_!$C:$K)</f>
        <v>South_Korea</v>
      </c>
      <c r="F515" t="str">
        <f>_xlfn.XLOOKUP($A:$A,Instagram_Usage_Lifestyle_Mini_!$A:$A,Instagram_Usage_Lifestyle_Mini_!$C:$K)</f>
        <v>Rural</v>
      </c>
      <c r="G515" t="str">
        <f>_xlfn.XLOOKUP($A:$A,Instagram_Usage_Lifestyle_Mini_!$A:$A,Instagram_Usage_Lifestyle_Mini_!$C:$K)</f>
        <v>High</v>
      </c>
      <c r="H515" t="str">
        <f>_xlfn.XLOOKUP($A:$A,Instagram_Usage_Lifestyle_Mini_!$A:$A,Instagram_Usage_Lifestyle_Mini_!$C:$K)</f>
        <v>Full_time_employed</v>
      </c>
      <c r="I515" t="str">
        <f>_xlfn.XLOOKUP($A:$A,Instagram_Usage_Lifestyle_Mini_!$A:$A,Instagram_Usage_Lifestyle_Mini_!$C:$K)</f>
        <v>High_school</v>
      </c>
      <c r="J515" t="str">
        <f>_xlfn.XLOOKUP($A:$A,Instagram_Usage_Lifestyle_Mini_!$A:$A,Instagram_Usage_Lifestyle_Mini_!$C:$K)</f>
        <v>Married</v>
      </c>
      <c r="K515" t="str">
        <f>_xlfn.XLOOKUP($A:$A,Instagram_Usage_Lifestyle_Mini_!$A:$A,Instagram_Usage_Lifestyle_Mini_!$C:$K)</f>
        <v>No</v>
      </c>
      <c r="L515" t="str" cm="1">
        <f t="array" ref="L515">_xlfn.IFS(C515&lt;18,"Under_18",C515&lt;=25,"Youth",C515&lt;=35,"Young_Adults",C515&lt;=45,"Mid_Adults",TRUE,"Seniors")</f>
        <v>Seniors</v>
      </c>
    </row>
    <row r="516" spans="1:12" x14ac:dyDescent="0.2">
      <c r="A516">
        <v>515</v>
      </c>
      <c r="B516" t="str">
        <f>_xlfn.XLOOKUP(A516,Instagram_Usage_Lifestyle_Mini_!A516,Instagram_Usage_Lifestyle_Mini_!B516,1)</f>
        <v>Instagram</v>
      </c>
      <c r="C516">
        <f>_xlfn.XLOOKUP($A:$A,Instagram_Usage_Lifestyle_Mini_!$A:$A,Instagram_Usage_Lifestyle_Mini_!$C:$K)</f>
        <v>17</v>
      </c>
      <c r="D516" t="str">
        <f>_xlfn.XLOOKUP($A:$A,Instagram_Usage_Lifestyle_Mini_!$A:$A,Instagram_Usage_Lifestyle_Mini_!$C:$K)</f>
        <v>Female</v>
      </c>
      <c r="E516" t="str">
        <f>_xlfn.XLOOKUP($A:$A,Instagram_Usage_Lifestyle_Mini_!$A:$A,Instagram_Usage_Lifestyle_Mini_!$C:$K)</f>
        <v>United _Kingdom</v>
      </c>
      <c r="F516" t="str">
        <f>_xlfn.XLOOKUP($A:$A,Instagram_Usage_Lifestyle_Mini_!$A:$A,Instagram_Usage_Lifestyle_Mini_!$C:$K)</f>
        <v>Urban</v>
      </c>
      <c r="G516" t="str">
        <f>_xlfn.XLOOKUP($A:$A,Instagram_Usage_Lifestyle_Mini_!$A:$A,Instagram_Usage_Lifestyle_Mini_!$C:$K)</f>
        <v>Upper_middle</v>
      </c>
      <c r="H516" t="str">
        <f>_xlfn.XLOOKUP($A:$A,Instagram_Usage_Lifestyle_Mini_!$A:$A,Instagram_Usage_Lifestyle_Mini_!$C:$K)</f>
        <v>Unemployed</v>
      </c>
      <c r="I516" t="str">
        <f>_xlfn.XLOOKUP($A:$A,Instagram_Usage_Lifestyle_Mini_!$A:$A,Instagram_Usage_Lifestyle_Mini_!$C:$K)</f>
        <v>High_school</v>
      </c>
      <c r="J516" t="str">
        <f>_xlfn.XLOOKUP($A:$A,Instagram_Usage_Lifestyle_Mini_!$A:$A,Instagram_Usage_Lifestyle_Mini_!$C:$K)</f>
        <v>In_a_relationship</v>
      </c>
      <c r="K516" t="str">
        <f>_xlfn.XLOOKUP($A:$A,Instagram_Usage_Lifestyle_Mini_!$A:$A,Instagram_Usage_Lifestyle_Mini_!$C:$K)</f>
        <v>No</v>
      </c>
      <c r="L516" t="str" cm="1">
        <f t="array" ref="L516">_xlfn.IFS(C516&lt;18,"Under_18",C516&lt;=25,"Youth",C516&lt;=35,"Young_Adults",C516&lt;=45,"Mid_Adults",TRUE,"Seniors")</f>
        <v>Under_18</v>
      </c>
    </row>
    <row r="517" spans="1:12" x14ac:dyDescent="0.2">
      <c r="A517">
        <v>516</v>
      </c>
      <c r="B517" t="str">
        <f>_xlfn.XLOOKUP(A517,Instagram_Usage_Lifestyle_Mini_!A517,Instagram_Usage_Lifestyle_Mini_!B517,1)</f>
        <v>Instagram</v>
      </c>
      <c r="C517">
        <f>_xlfn.XLOOKUP($A:$A,Instagram_Usage_Lifestyle_Mini_!$A:$A,Instagram_Usage_Lifestyle_Mini_!$C:$K)</f>
        <v>34</v>
      </c>
      <c r="D517" t="str">
        <f>_xlfn.XLOOKUP($A:$A,Instagram_Usage_Lifestyle_Mini_!$A:$A,Instagram_Usage_Lifestyle_Mini_!$C:$K)</f>
        <v>Male</v>
      </c>
      <c r="E517" t="str">
        <f>_xlfn.XLOOKUP($A:$A,Instagram_Usage_Lifestyle_Mini_!$A:$A,Instagram_Usage_Lifestyle_Mini_!$C:$K)</f>
        <v>India</v>
      </c>
      <c r="F517" t="str">
        <f>_xlfn.XLOOKUP($A:$A,Instagram_Usage_Lifestyle_Mini_!$A:$A,Instagram_Usage_Lifestyle_Mini_!$C:$K)</f>
        <v>Rural</v>
      </c>
      <c r="G517" t="str">
        <f>_xlfn.XLOOKUP($A:$A,Instagram_Usage_Lifestyle_Mini_!$A:$A,Instagram_Usage_Lifestyle_Mini_!$C:$K)</f>
        <v>Upper_middle</v>
      </c>
      <c r="H517" t="str">
        <f>_xlfn.XLOOKUP($A:$A,Instagram_Usage_Lifestyle_Mini_!$A:$A,Instagram_Usage_Lifestyle_Mini_!$C:$K)</f>
        <v>Full_time_employed</v>
      </c>
      <c r="I517" t="str">
        <f>_xlfn.XLOOKUP($A:$A,Instagram_Usage_Lifestyle_Mini_!$A:$A,Instagram_Usage_Lifestyle_Mini_!$C:$K)</f>
        <v>High_school</v>
      </c>
      <c r="J517" t="str">
        <f>_xlfn.XLOOKUP($A:$A,Instagram_Usage_Lifestyle_Mini_!$A:$A,Instagram_Usage_Lifestyle_Mini_!$C:$K)</f>
        <v>Single</v>
      </c>
      <c r="K517" t="str">
        <f>_xlfn.XLOOKUP($A:$A,Instagram_Usage_Lifestyle_Mini_!$A:$A,Instagram_Usage_Lifestyle_Mini_!$C:$K)</f>
        <v>No</v>
      </c>
      <c r="L517" t="str" cm="1">
        <f t="array" ref="L517">_xlfn.IFS(C517&lt;18,"Under_18",C517&lt;=25,"Youth",C517&lt;=35,"Young_Adults",C517&lt;=45,"Mid_Adults",TRUE,"Seniors")</f>
        <v>Young_Adults</v>
      </c>
    </row>
    <row r="518" spans="1:12" x14ac:dyDescent="0.2">
      <c r="A518">
        <v>517</v>
      </c>
      <c r="B518" t="str">
        <f>_xlfn.XLOOKUP(A518,Instagram_Usage_Lifestyle_Mini_!A518,Instagram_Usage_Lifestyle_Mini_!B518,1)</f>
        <v>Instagram</v>
      </c>
      <c r="C518">
        <f>_xlfn.XLOOKUP($A:$A,Instagram_Usage_Lifestyle_Mini_!$A:$A,Instagram_Usage_Lifestyle_Mini_!$C:$K)</f>
        <v>41</v>
      </c>
      <c r="D518" t="str">
        <f>_xlfn.XLOOKUP($A:$A,Instagram_Usage_Lifestyle_Mini_!$A:$A,Instagram_Usage_Lifestyle_Mini_!$C:$K)</f>
        <v>Male</v>
      </c>
      <c r="E518" t="str">
        <f>_xlfn.XLOOKUP($A:$A,Instagram_Usage_Lifestyle_Mini_!$A:$A,Instagram_Usage_Lifestyle_Mini_!$C:$K)</f>
        <v>India</v>
      </c>
      <c r="F518" t="str">
        <f>_xlfn.XLOOKUP($A:$A,Instagram_Usage_Lifestyle_Mini_!$A:$A,Instagram_Usage_Lifestyle_Mini_!$C:$K)</f>
        <v>Urban</v>
      </c>
      <c r="G518" t="str">
        <f>_xlfn.XLOOKUP($A:$A,Instagram_Usage_Lifestyle_Mini_!$A:$A,Instagram_Usage_Lifestyle_Mini_!$C:$K)</f>
        <v>Lower_middle</v>
      </c>
      <c r="H518" t="str">
        <f>_xlfn.XLOOKUP($A:$A,Instagram_Usage_Lifestyle_Mini_!$A:$A,Instagram_Usage_Lifestyle_Mini_!$C:$K)</f>
        <v>Freelancer</v>
      </c>
      <c r="I518" t="str">
        <f>_xlfn.XLOOKUP($A:$A,Instagram_Usage_Lifestyle_Mini_!$A:$A,Instagram_Usage_Lifestyle_Mini_!$C:$K)</f>
        <v>Some_college</v>
      </c>
      <c r="J518" t="str">
        <f>_xlfn.XLOOKUP($A:$A,Instagram_Usage_Lifestyle_Mini_!$A:$A,Instagram_Usage_Lifestyle_Mini_!$C:$K)</f>
        <v>Married</v>
      </c>
      <c r="K518" t="str">
        <f>_xlfn.XLOOKUP($A:$A,Instagram_Usage_Lifestyle_Mini_!$A:$A,Instagram_Usage_Lifestyle_Mini_!$C:$K)</f>
        <v>Yes</v>
      </c>
      <c r="L518" t="str" cm="1">
        <f t="array" ref="L518">_xlfn.IFS(C518&lt;18,"Under_18",C518&lt;=25,"Youth",C518&lt;=35,"Young_Adults",C518&lt;=45,"Mid_Adults",TRUE,"Seniors")</f>
        <v>Mid_Adults</v>
      </c>
    </row>
    <row r="519" spans="1:12" x14ac:dyDescent="0.2">
      <c r="A519">
        <v>518</v>
      </c>
      <c r="B519" t="str">
        <f>_xlfn.XLOOKUP(A519,Instagram_Usage_Lifestyle_Mini_!A519,Instagram_Usage_Lifestyle_Mini_!B519,1)</f>
        <v>Instagram</v>
      </c>
      <c r="C519">
        <f>_xlfn.XLOOKUP($A:$A,Instagram_Usage_Lifestyle_Mini_!$A:$A,Instagram_Usage_Lifestyle_Mini_!$C:$K)</f>
        <v>15</v>
      </c>
      <c r="D519" t="str">
        <f>_xlfn.XLOOKUP($A:$A,Instagram_Usage_Lifestyle_Mini_!$A:$A,Instagram_Usage_Lifestyle_Mini_!$C:$K)</f>
        <v>Female</v>
      </c>
      <c r="E519" t="str">
        <f>_xlfn.XLOOKUP($A:$A,Instagram_Usage_Lifestyle_Mini_!$A:$A,Instagram_Usage_Lifestyle_Mini_!$C:$K)</f>
        <v>India</v>
      </c>
      <c r="F519" t="str">
        <f>_xlfn.XLOOKUP($A:$A,Instagram_Usage_Lifestyle_Mini_!$A:$A,Instagram_Usage_Lifestyle_Mini_!$C:$K)</f>
        <v>Rural</v>
      </c>
      <c r="G519" t="str">
        <f>_xlfn.XLOOKUP($A:$A,Instagram_Usage_Lifestyle_Mini_!$A:$A,Instagram_Usage_Lifestyle_Mini_!$C:$K)</f>
        <v>Upper_middle</v>
      </c>
      <c r="H519" t="str">
        <f>_xlfn.XLOOKUP($A:$A,Instagram_Usage_Lifestyle_Mini_!$A:$A,Instagram_Usage_Lifestyle_Mini_!$C:$K)</f>
        <v>Full_time_employed</v>
      </c>
      <c r="I519" t="str">
        <f>_xlfn.XLOOKUP($A:$A,Instagram_Usage_Lifestyle_Mini_!$A:$A,Instagram_Usage_Lifestyle_Mini_!$C:$K)</f>
        <v>Bachelors_degree</v>
      </c>
      <c r="J519" t="str">
        <f>_xlfn.XLOOKUP($A:$A,Instagram_Usage_Lifestyle_Mini_!$A:$A,Instagram_Usage_Lifestyle_Mini_!$C:$K)</f>
        <v>Single</v>
      </c>
      <c r="K519" t="str">
        <f>_xlfn.XLOOKUP($A:$A,Instagram_Usage_Lifestyle_Mini_!$A:$A,Instagram_Usage_Lifestyle_Mini_!$C:$K)</f>
        <v>No</v>
      </c>
      <c r="L519" t="str" cm="1">
        <f t="array" ref="L519">_xlfn.IFS(C519&lt;18,"Under_18",C519&lt;=25,"Youth",C519&lt;=35,"Young_Adults",C519&lt;=45,"Mid_Adults",TRUE,"Seniors")</f>
        <v>Under_18</v>
      </c>
    </row>
    <row r="520" spans="1:12" x14ac:dyDescent="0.2">
      <c r="A520">
        <v>519</v>
      </c>
      <c r="B520" t="str">
        <f>_xlfn.XLOOKUP(A520,Instagram_Usage_Lifestyle_Mini_!A520,Instagram_Usage_Lifestyle_Mini_!B520,1)</f>
        <v>Instagram</v>
      </c>
      <c r="C520">
        <f>_xlfn.XLOOKUP($A:$A,Instagram_Usage_Lifestyle_Mini_!$A:$A,Instagram_Usage_Lifestyle_Mini_!$C:$K)</f>
        <v>24</v>
      </c>
      <c r="D520" t="str">
        <f>_xlfn.XLOOKUP($A:$A,Instagram_Usage_Lifestyle_Mini_!$A:$A,Instagram_Usage_Lifestyle_Mini_!$C:$K)</f>
        <v>Male</v>
      </c>
      <c r="E520" t="str">
        <f>_xlfn.XLOOKUP($A:$A,Instagram_Usage_Lifestyle_Mini_!$A:$A,Instagram_Usage_Lifestyle_Mini_!$C:$K)</f>
        <v>United _Kingdom</v>
      </c>
      <c r="F520" t="str">
        <f>_xlfn.XLOOKUP($A:$A,Instagram_Usage_Lifestyle_Mini_!$A:$A,Instagram_Usage_Lifestyle_Mini_!$C:$K)</f>
        <v>Rural</v>
      </c>
      <c r="G520" t="str">
        <f>_xlfn.XLOOKUP($A:$A,Instagram_Usage_Lifestyle_Mini_!$A:$A,Instagram_Usage_Lifestyle_Mini_!$C:$K)</f>
        <v>Upper_middle</v>
      </c>
      <c r="H520" t="str">
        <f>_xlfn.XLOOKUP($A:$A,Instagram_Usage_Lifestyle_Mini_!$A:$A,Instagram_Usage_Lifestyle_Mini_!$C:$K)</f>
        <v>Full_time_employed</v>
      </c>
      <c r="I520" t="str">
        <f>_xlfn.XLOOKUP($A:$A,Instagram_Usage_Lifestyle_Mini_!$A:$A,Instagram_Usage_Lifestyle_Mini_!$C:$K)</f>
        <v>Bachelors_degree</v>
      </c>
      <c r="J520" t="str">
        <f>_xlfn.XLOOKUP($A:$A,Instagram_Usage_Lifestyle_Mini_!$A:$A,Instagram_Usage_Lifestyle_Mini_!$C:$K)</f>
        <v>Single</v>
      </c>
      <c r="K520" t="str">
        <f>_xlfn.XLOOKUP($A:$A,Instagram_Usage_Lifestyle_Mini_!$A:$A,Instagram_Usage_Lifestyle_Mini_!$C:$K)</f>
        <v>No</v>
      </c>
      <c r="L520" t="str" cm="1">
        <f t="array" ref="L520">_xlfn.IFS(C520&lt;18,"Under_18",C520&lt;=25,"Youth",C520&lt;=35,"Young_Adults",C520&lt;=45,"Mid_Adults",TRUE,"Seniors")</f>
        <v>Youth</v>
      </c>
    </row>
    <row r="521" spans="1:12" x14ac:dyDescent="0.2">
      <c r="A521">
        <v>520</v>
      </c>
      <c r="B521" t="str">
        <f>_xlfn.XLOOKUP(A521,Instagram_Usage_Lifestyle_Mini_!A521,Instagram_Usage_Lifestyle_Mini_!B521,1)</f>
        <v>Instagram</v>
      </c>
      <c r="C521">
        <f>_xlfn.XLOOKUP($A:$A,Instagram_Usage_Lifestyle_Mini_!$A:$A,Instagram_Usage_Lifestyle_Mini_!$C:$K)</f>
        <v>38</v>
      </c>
      <c r="D521" t="str">
        <f>_xlfn.XLOOKUP($A:$A,Instagram_Usage_Lifestyle_Mini_!$A:$A,Instagram_Usage_Lifestyle_Mini_!$C:$K)</f>
        <v>Female</v>
      </c>
      <c r="E521" t="str">
        <f>_xlfn.XLOOKUP($A:$A,Instagram_Usage_Lifestyle_Mini_!$A:$A,Instagram_Usage_Lifestyle_Mini_!$C:$K)</f>
        <v>Germany</v>
      </c>
      <c r="F521" t="str">
        <f>_xlfn.XLOOKUP($A:$A,Instagram_Usage_Lifestyle_Mini_!$A:$A,Instagram_Usage_Lifestyle_Mini_!$C:$K)</f>
        <v>Rural</v>
      </c>
      <c r="G521" t="str">
        <f>_xlfn.XLOOKUP($A:$A,Instagram_Usage_Lifestyle_Mini_!$A:$A,Instagram_Usage_Lifestyle_Mini_!$C:$K)</f>
        <v>Upper_middle</v>
      </c>
      <c r="H521" t="str">
        <f>_xlfn.XLOOKUP($A:$A,Instagram_Usage_Lifestyle_Mini_!$A:$A,Instagram_Usage_Lifestyle_Mini_!$C:$K)</f>
        <v>Part_time</v>
      </c>
      <c r="I521" t="str">
        <f>_xlfn.XLOOKUP($A:$A,Instagram_Usage_Lifestyle_Mini_!$A:$A,Instagram_Usage_Lifestyle_Mini_!$C:$K)</f>
        <v>Some_college</v>
      </c>
      <c r="J521" t="str">
        <f>_xlfn.XLOOKUP($A:$A,Instagram_Usage_Lifestyle_Mini_!$A:$A,Instagram_Usage_Lifestyle_Mini_!$C:$K)</f>
        <v>Single</v>
      </c>
      <c r="K521" t="str">
        <f>_xlfn.XLOOKUP($A:$A,Instagram_Usage_Lifestyle_Mini_!$A:$A,Instagram_Usage_Lifestyle_Mini_!$C:$K)</f>
        <v>No</v>
      </c>
      <c r="L521" t="str" cm="1">
        <f t="array" ref="L521">_xlfn.IFS(C521&lt;18,"Under_18",C521&lt;=25,"Youth",C521&lt;=35,"Young_Adults",C521&lt;=45,"Mid_Adults",TRUE,"Seniors")</f>
        <v>Mid_Adults</v>
      </c>
    </row>
    <row r="522" spans="1:12" x14ac:dyDescent="0.2">
      <c r="A522">
        <v>521</v>
      </c>
      <c r="B522" t="str">
        <f>_xlfn.XLOOKUP(A522,Instagram_Usage_Lifestyle_Mini_!A522,Instagram_Usage_Lifestyle_Mini_!B522,1)</f>
        <v>Instagram</v>
      </c>
      <c r="C522">
        <f>_xlfn.XLOOKUP($A:$A,Instagram_Usage_Lifestyle_Mini_!$A:$A,Instagram_Usage_Lifestyle_Mini_!$C:$K)</f>
        <v>28</v>
      </c>
      <c r="D522" t="str">
        <f>_xlfn.XLOOKUP($A:$A,Instagram_Usage_Lifestyle_Mini_!$A:$A,Instagram_Usage_Lifestyle_Mini_!$C:$K)</f>
        <v>Male</v>
      </c>
      <c r="E522" t="str">
        <f>_xlfn.XLOOKUP($A:$A,Instagram_Usage_Lifestyle_Mini_!$A:$A,Instagram_Usage_Lifestyle_Mini_!$C:$K)</f>
        <v>United _Kingdom</v>
      </c>
      <c r="F522" t="str">
        <f>_xlfn.XLOOKUP($A:$A,Instagram_Usage_Lifestyle_Mini_!$A:$A,Instagram_Usage_Lifestyle_Mini_!$C:$K)</f>
        <v>Urban</v>
      </c>
      <c r="G522" t="str">
        <f>_xlfn.XLOOKUP($A:$A,Instagram_Usage_Lifestyle_Mini_!$A:$A,Instagram_Usage_Lifestyle_Mini_!$C:$K)</f>
        <v>Middle</v>
      </c>
      <c r="H522" t="str">
        <f>_xlfn.XLOOKUP($A:$A,Instagram_Usage_Lifestyle_Mini_!$A:$A,Instagram_Usage_Lifestyle_Mini_!$C:$K)</f>
        <v>Full_time_employed</v>
      </c>
      <c r="I522" t="str">
        <f>_xlfn.XLOOKUP($A:$A,Instagram_Usage_Lifestyle_Mini_!$A:$A,Instagram_Usage_Lifestyle_Mini_!$C:$K)</f>
        <v>Bachelors_degree</v>
      </c>
      <c r="J522" t="str">
        <f>_xlfn.XLOOKUP($A:$A,Instagram_Usage_Lifestyle_Mini_!$A:$A,Instagram_Usage_Lifestyle_Mini_!$C:$K)</f>
        <v>In_a_relationship</v>
      </c>
      <c r="K522" t="str">
        <f>_xlfn.XLOOKUP($A:$A,Instagram_Usage_Lifestyle_Mini_!$A:$A,Instagram_Usage_Lifestyle_Mini_!$C:$K)</f>
        <v>No</v>
      </c>
      <c r="L522" t="str" cm="1">
        <f t="array" ref="L522">_xlfn.IFS(C522&lt;18,"Under_18",C522&lt;=25,"Youth",C522&lt;=35,"Young_Adults",C522&lt;=45,"Mid_Adults",TRUE,"Seniors")</f>
        <v>Young_Adults</v>
      </c>
    </row>
    <row r="523" spans="1:12" x14ac:dyDescent="0.2">
      <c r="A523">
        <v>522</v>
      </c>
      <c r="B523" t="str">
        <f>_xlfn.XLOOKUP(A523,Instagram_Usage_Lifestyle_Mini_!A523,Instagram_Usage_Lifestyle_Mini_!B523,1)</f>
        <v>Instagram</v>
      </c>
      <c r="C523">
        <f>_xlfn.XLOOKUP($A:$A,Instagram_Usage_Lifestyle_Mini_!$A:$A,Instagram_Usage_Lifestyle_Mini_!$C:$K)</f>
        <v>63</v>
      </c>
      <c r="D523" t="str">
        <f>_xlfn.XLOOKUP($A:$A,Instagram_Usage_Lifestyle_Mini_!$A:$A,Instagram_Usage_Lifestyle_Mini_!$C:$K)</f>
        <v>Female</v>
      </c>
      <c r="E523" t="str">
        <f>_xlfn.XLOOKUP($A:$A,Instagram_Usage_Lifestyle_Mini_!$A:$A,Instagram_Usage_Lifestyle_Mini_!$C:$K)</f>
        <v>Australia</v>
      </c>
      <c r="F523" t="str">
        <f>_xlfn.XLOOKUP($A:$A,Instagram_Usage_Lifestyle_Mini_!$A:$A,Instagram_Usage_Lifestyle_Mini_!$C:$K)</f>
        <v>Suburban</v>
      </c>
      <c r="G523" t="str">
        <f>_xlfn.XLOOKUP($A:$A,Instagram_Usage_Lifestyle_Mini_!$A:$A,Instagram_Usage_Lifestyle_Mini_!$C:$K)</f>
        <v>Low</v>
      </c>
      <c r="H523" t="str">
        <f>_xlfn.XLOOKUP($A:$A,Instagram_Usage_Lifestyle_Mini_!$A:$A,Instagram_Usage_Lifestyle_Mini_!$C:$K)</f>
        <v>Full_time_employed</v>
      </c>
      <c r="I523" t="str">
        <f>_xlfn.XLOOKUP($A:$A,Instagram_Usage_Lifestyle_Mini_!$A:$A,Instagram_Usage_Lifestyle_Mini_!$C:$K)</f>
        <v>Some_college</v>
      </c>
      <c r="J523" t="str">
        <f>_xlfn.XLOOKUP($A:$A,Instagram_Usage_Lifestyle_Mini_!$A:$A,Instagram_Usage_Lifestyle_Mini_!$C:$K)</f>
        <v>Single</v>
      </c>
      <c r="K523" t="str">
        <f>_xlfn.XLOOKUP($A:$A,Instagram_Usage_Lifestyle_Mini_!$A:$A,Instagram_Usage_Lifestyle_Mini_!$C:$K)</f>
        <v>Yes</v>
      </c>
      <c r="L523" t="str" cm="1">
        <f t="array" ref="L523">_xlfn.IFS(C523&lt;18,"Under_18",C523&lt;=25,"Youth",C523&lt;=35,"Young_Adults",C523&lt;=45,"Mid_Adults",TRUE,"Seniors")</f>
        <v>Seniors</v>
      </c>
    </row>
    <row r="524" spans="1:12" x14ac:dyDescent="0.2">
      <c r="A524">
        <v>523</v>
      </c>
      <c r="B524" t="str">
        <f>_xlfn.XLOOKUP(A524,Instagram_Usage_Lifestyle_Mini_!A524,Instagram_Usage_Lifestyle_Mini_!B524,1)</f>
        <v>Instagram</v>
      </c>
      <c r="C524">
        <f>_xlfn.XLOOKUP($A:$A,Instagram_Usage_Lifestyle_Mini_!$A:$A,Instagram_Usage_Lifestyle_Mini_!$C:$K)</f>
        <v>49</v>
      </c>
      <c r="D524" t="str">
        <f>_xlfn.XLOOKUP($A:$A,Instagram_Usage_Lifestyle_Mini_!$A:$A,Instagram_Usage_Lifestyle_Mini_!$C:$K)</f>
        <v>Female</v>
      </c>
      <c r="E524" t="str">
        <f>_xlfn.XLOOKUP($A:$A,Instagram_Usage_Lifestyle_Mini_!$A:$A,Instagram_Usage_Lifestyle_Mini_!$C:$K)</f>
        <v>India</v>
      </c>
      <c r="F524" t="str">
        <f>_xlfn.XLOOKUP($A:$A,Instagram_Usage_Lifestyle_Mini_!$A:$A,Instagram_Usage_Lifestyle_Mini_!$C:$K)</f>
        <v>Suburban</v>
      </c>
      <c r="G524" t="str">
        <f>_xlfn.XLOOKUP($A:$A,Instagram_Usage_Lifestyle_Mini_!$A:$A,Instagram_Usage_Lifestyle_Mini_!$C:$K)</f>
        <v>Low</v>
      </c>
      <c r="H524" t="str">
        <f>_xlfn.XLOOKUP($A:$A,Instagram_Usage_Lifestyle_Mini_!$A:$A,Instagram_Usage_Lifestyle_Mini_!$C:$K)</f>
        <v>Student</v>
      </c>
      <c r="I524" t="str">
        <f>_xlfn.XLOOKUP($A:$A,Instagram_Usage_Lifestyle_Mini_!$A:$A,Instagram_Usage_Lifestyle_Mini_!$C:$K)</f>
        <v>High_school</v>
      </c>
      <c r="J524" t="str">
        <f>_xlfn.XLOOKUP($A:$A,Instagram_Usage_Lifestyle_Mini_!$A:$A,Instagram_Usage_Lifestyle_Mini_!$C:$K)</f>
        <v>Divorced</v>
      </c>
      <c r="K524" t="str">
        <f>_xlfn.XLOOKUP($A:$A,Instagram_Usage_Lifestyle_Mini_!$A:$A,Instagram_Usage_Lifestyle_Mini_!$C:$K)</f>
        <v>No</v>
      </c>
      <c r="L524" t="str" cm="1">
        <f t="array" ref="L524">_xlfn.IFS(C524&lt;18,"Under_18",C524&lt;=25,"Youth",C524&lt;=35,"Young_Adults",C524&lt;=45,"Mid_Adults",TRUE,"Seniors")</f>
        <v>Seniors</v>
      </c>
    </row>
    <row r="525" spans="1:12" x14ac:dyDescent="0.2">
      <c r="A525">
        <v>524</v>
      </c>
      <c r="B525" t="str">
        <f>_xlfn.XLOOKUP(A525,Instagram_Usage_Lifestyle_Mini_!A525,Instagram_Usage_Lifestyle_Mini_!B525,1)</f>
        <v>Instagram</v>
      </c>
      <c r="C525">
        <f>_xlfn.XLOOKUP($A:$A,Instagram_Usage_Lifestyle_Mini_!$A:$A,Instagram_Usage_Lifestyle_Mini_!$C:$K)</f>
        <v>34</v>
      </c>
      <c r="D525" t="str">
        <f>_xlfn.XLOOKUP($A:$A,Instagram_Usage_Lifestyle_Mini_!$A:$A,Instagram_Usage_Lifestyle_Mini_!$C:$K)</f>
        <v>Male</v>
      </c>
      <c r="E525" t="str">
        <f>_xlfn.XLOOKUP($A:$A,Instagram_Usage_Lifestyle_Mini_!$A:$A,Instagram_Usage_Lifestyle_Mini_!$C:$K)</f>
        <v>Brazil</v>
      </c>
      <c r="F525" t="str">
        <f>_xlfn.XLOOKUP($A:$A,Instagram_Usage_Lifestyle_Mini_!$A:$A,Instagram_Usage_Lifestyle_Mini_!$C:$K)</f>
        <v>Rural</v>
      </c>
      <c r="G525" t="str">
        <f>_xlfn.XLOOKUP($A:$A,Instagram_Usage_Lifestyle_Mini_!$A:$A,Instagram_Usage_Lifestyle_Mini_!$C:$K)</f>
        <v>Lower_middle</v>
      </c>
      <c r="H525" t="str">
        <f>_xlfn.XLOOKUP($A:$A,Instagram_Usage_Lifestyle_Mini_!$A:$A,Instagram_Usage_Lifestyle_Mini_!$C:$K)</f>
        <v>Unemployed</v>
      </c>
      <c r="I525" t="str">
        <f>_xlfn.XLOOKUP($A:$A,Instagram_Usage_Lifestyle_Mini_!$A:$A,Instagram_Usage_Lifestyle_Mini_!$C:$K)</f>
        <v>Masters_degree</v>
      </c>
      <c r="J525" t="str">
        <f>_xlfn.XLOOKUP($A:$A,Instagram_Usage_Lifestyle_Mini_!$A:$A,Instagram_Usage_Lifestyle_Mini_!$C:$K)</f>
        <v>In_a_relationship</v>
      </c>
      <c r="K525" t="str">
        <f>_xlfn.XLOOKUP($A:$A,Instagram_Usage_Lifestyle_Mini_!$A:$A,Instagram_Usage_Lifestyle_Mini_!$C:$K)</f>
        <v>No</v>
      </c>
      <c r="L525" t="str" cm="1">
        <f t="array" ref="L525">_xlfn.IFS(C525&lt;18,"Under_18",C525&lt;=25,"Youth",C525&lt;=35,"Young_Adults",C525&lt;=45,"Mid_Adults",TRUE,"Seniors")</f>
        <v>Young_Adults</v>
      </c>
    </row>
    <row r="526" spans="1:12" x14ac:dyDescent="0.2">
      <c r="A526">
        <v>525</v>
      </c>
      <c r="B526" t="str">
        <f>_xlfn.XLOOKUP(A526,Instagram_Usage_Lifestyle_Mini_!A526,Instagram_Usage_Lifestyle_Mini_!B526,1)</f>
        <v>Instagram</v>
      </c>
      <c r="C526">
        <f>_xlfn.XLOOKUP($A:$A,Instagram_Usage_Lifestyle_Mini_!$A:$A,Instagram_Usage_Lifestyle_Mini_!$C:$K)</f>
        <v>41</v>
      </c>
      <c r="D526" t="str">
        <f>_xlfn.XLOOKUP($A:$A,Instagram_Usage_Lifestyle_Mini_!$A:$A,Instagram_Usage_Lifestyle_Mini_!$C:$K)</f>
        <v>Female</v>
      </c>
      <c r="E526" t="str">
        <f>_xlfn.XLOOKUP($A:$A,Instagram_Usage_Lifestyle_Mini_!$A:$A,Instagram_Usage_Lifestyle_Mini_!$C:$K)</f>
        <v>Japan</v>
      </c>
      <c r="F526" t="str">
        <f>_xlfn.XLOOKUP($A:$A,Instagram_Usage_Lifestyle_Mini_!$A:$A,Instagram_Usage_Lifestyle_Mini_!$C:$K)</f>
        <v>Urban</v>
      </c>
      <c r="G526" t="str">
        <f>_xlfn.XLOOKUP($A:$A,Instagram_Usage_Lifestyle_Mini_!$A:$A,Instagram_Usage_Lifestyle_Mini_!$C:$K)</f>
        <v>Middle</v>
      </c>
      <c r="H526" t="str">
        <f>_xlfn.XLOOKUP($A:$A,Instagram_Usage_Lifestyle_Mini_!$A:$A,Instagram_Usage_Lifestyle_Mini_!$C:$K)</f>
        <v>Full_time_employed</v>
      </c>
      <c r="I526" t="str">
        <f>_xlfn.XLOOKUP($A:$A,Instagram_Usage_Lifestyle_Mini_!$A:$A,Instagram_Usage_Lifestyle_Mini_!$C:$K)</f>
        <v>Bachelors_degree</v>
      </c>
      <c r="J526" t="str">
        <f>_xlfn.XLOOKUP($A:$A,Instagram_Usage_Lifestyle_Mini_!$A:$A,Instagram_Usage_Lifestyle_Mini_!$C:$K)</f>
        <v>Single</v>
      </c>
      <c r="K526" t="str">
        <f>_xlfn.XLOOKUP($A:$A,Instagram_Usage_Lifestyle_Mini_!$A:$A,Instagram_Usage_Lifestyle_Mini_!$C:$K)</f>
        <v>Yes</v>
      </c>
      <c r="L526" t="str" cm="1">
        <f t="array" ref="L526">_xlfn.IFS(C526&lt;18,"Under_18",C526&lt;=25,"Youth",C526&lt;=35,"Young_Adults",C526&lt;=45,"Mid_Adults",TRUE,"Seniors")</f>
        <v>Mid_Adults</v>
      </c>
    </row>
    <row r="527" spans="1:12" x14ac:dyDescent="0.2">
      <c r="A527">
        <v>526</v>
      </c>
      <c r="B527" t="str">
        <f>_xlfn.XLOOKUP(A527,Instagram_Usage_Lifestyle_Mini_!A527,Instagram_Usage_Lifestyle_Mini_!B527,1)</f>
        <v>Instagram</v>
      </c>
      <c r="C527">
        <f>_xlfn.XLOOKUP($A:$A,Instagram_Usage_Lifestyle_Mini_!$A:$A,Instagram_Usage_Lifestyle_Mini_!$C:$K)</f>
        <v>26</v>
      </c>
      <c r="D527" t="str">
        <f>_xlfn.XLOOKUP($A:$A,Instagram_Usage_Lifestyle_Mini_!$A:$A,Instagram_Usage_Lifestyle_Mini_!$C:$K)</f>
        <v>Female</v>
      </c>
      <c r="E527" t="str">
        <f>_xlfn.XLOOKUP($A:$A,Instagram_Usage_Lifestyle_Mini_!$A:$A,Instagram_Usage_Lifestyle_Mini_!$C:$K)</f>
        <v>South_Korea</v>
      </c>
      <c r="F527" t="str">
        <f>_xlfn.XLOOKUP($A:$A,Instagram_Usage_Lifestyle_Mini_!$A:$A,Instagram_Usage_Lifestyle_Mini_!$C:$K)</f>
        <v>Urban</v>
      </c>
      <c r="G527" t="str">
        <f>_xlfn.XLOOKUP($A:$A,Instagram_Usage_Lifestyle_Mini_!$A:$A,Instagram_Usage_Lifestyle_Mini_!$C:$K)</f>
        <v>Lower_middle</v>
      </c>
      <c r="H527" t="str">
        <f>_xlfn.XLOOKUP($A:$A,Instagram_Usage_Lifestyle_Mini_!$A:$A,Instagram_Usage_Lifestyle_Mini_!$C:$K)</f>
        <v>Student</v>
      </c>
      <c r="I527" t="str">
        <f>_xlfn.XLOOKUP($A:$A,Instagram_Usage_Lifestyle_Mini_!$A:$A,Instagram_Usage_Lifestyle_Mini_!$C:$K)</f>
        <v>Bachelors_degree</v>
      </c>
      <c r="J527" t="str">
        <f>_xlfn.XLOOKUP($A:$A,Instagram_Usage_Lifestyle_Mini_!$A:$A,Instagram_Usage_Lifestyle_Mini_!$C:$K)</f>
        <v>In_a_relationship</v>
      </c>
      <c r="K527" t="str">
        <f>_xlfn.XLOOKUP($A:$A,Instagram_Usage_Lifestyle_Mini_!$A:$A,Instagram_Usage_Lifestyle_Mini_!$C:$K)</f>
        <v>No</v>
      </c>
      <c r="L527" t="str" cm="1">
        <f t="array" ref="L527">_xlfn.IFS(C527&lt;18,"Under_18",C527&lt;=25,"Youth",C527&lt;=35,"Young_Adults",C527&lt;=45,"Mid_Adults",TRUE,"Seniors")</f>
        <v>Young_Adults</v>
      </c>
    </row>
    <row r="528" spans="1:12" x14ac:dyDescent="0.2">
      <c r="A528">
        <v>527</v>
      </c>
      <c r="B528" t="str">
        <f>_xlfn.XLOOKUP(A528,Instagram_Usage_Lifestyle_Mini_!A528,Instagram_Usage_Lifestyle_Mini_!B528,1)</f>
        <v>Instagram</v>
      </c>
      <c r="C528">
        <f>_xlfn.XLOOKUP($A:$A,Instagram_Usage_Lifestyle_Mini_!$A:$A,Instagram_Usage_Lifestyle_Mini_!$C:$K)</f>
        <v>40</v>
      </c>
      <c r="D528" t="str">
        <f>_xlfn.XLOOKUP($A:$A,Instagram_Usage_Lifestyle_Mini_!$A:$A,Instagram_Usage_Lifestyle_Mini_!$C:$K)</f>
        <v>Female</v>
      </c>
      <c r="E528" t="str">
        <f>_xlfn.XLOOKUP($A:$A,Instagram_Usage_Lifestyle_Mini_!$A:$A,Instagram_Usage_Lifestyle_Mini_!$C:$K)</f>
        <v>United_States</v>
      </c>
      <c r="F528" t="str">
        <f>_xlfn.XLOOKUP($A:$A,Instagram_Usage_Lifestyle_Mini_!$A:$A,Instagram_Usage_Lifestyle_Mini_!$C:$K)</f>
        <v>Suburban</v>
      </c>
      <c r="G528" t="str">
        <f>_xlfn.XLOOKUP($A:$A,Instagram_Usage_Lifestyle_Mini_!$A:$A,Instagram_Usage_Lifestyle_Mini_!$C:$K)</f>
        <v>High</v>
      </c>
      <c r="H528" t="str">
        <f>_xlfn.XLOOKUP($A:$A,Instagram_Usage_Lifestyle_Mini_!$A:$A,Instagram_Usage_Lifestyle_Mini_!$C:$K)</f>
        <v>Full_time_employed</v>
      </c>
      <c r="I528" t="str">
        <f>_xlfn.XLOOKUP($A:$A,Instagram_Usage_Lifestyle_Mini_!$A:$A,Instagram_Usage_Lifestyle_Mini_!$C:$K)</f>
        <v>Other</v>
      </c>
      <c r="J528" t="str">
        <f>_xlfn.XLOOKUP($A:$A,Instagram_Usage_Lifestyle_Mini_!$A:$A,Instagram_Usage_Lifestyle_Mini_!$C:$K)</f>
        <v>Single</v>
      </c>
      <c r="K528" t="str">
        <f>_xlfn.XLOOKUP($A:$A,Instagram_Usage_Lifestyle_Mini_!$A:$A,Instagram_Usage_Lifestyle_Mini_!$C:$K)</f>
        <v>Yes</v>
      </c>
      <c r="L528" t="str" cm="1">
        <f t="array" ref="L528">_xlfn.IFS(C528&lt;18,"Under_18",C528&lt;=25,"Youth",C528&lt;=35,"Young_Adults",C528&lt;=45,"Mid_Adults",TRUE,"Seniors")</f>
        <v>Mid_Adults</v>
      </c>
    </row>
    <row r="529" spans="1:12" x14ac:dyDescent="0.2">
      <c r="A529">
        <v>528</v>
      </c>
      <c r="B529" t="str">
        <f>_xlfn.XLOOKUP(A529,Instagram_Usage_Lifestyle_Mini_!A529,Instagram_Usage_Lifestyle_Mini_!B529,1)</f>
        <v>Instagram</v>
      </c>
      <c r="C529">
        <f>_xlfn.XLOOKUP($A:$A,Instagram_Usage_Lifestyle_Mini_!$A:$A,Instagram_Usage_Lifestyle_Mini_!$C:$K)</f>
        <v>17</v>
      </c>
      <c r="D529" t="str">
        <f>_xlfn.XLOOKUP($A:$A,Instagram_Usage_Lifestyle_Mini_!$A:$A,Instagram_Usage_Lifestyle_Mini_!$C:$K)</f>
        <v>Male</v>
      </c>
      <c r="E529" t="str">
        <f>_xlfn.XLOOKUP($A:$A,Instagram_Usage_Lifestyle_Mini_!$A:$A,Instagram_Usage_Lifestyle_Mini_!$C:$K)</f>
        <v>Australia</v>
      </c>
      <c r="F529" t="str">
        <f>_xlfn.XLOOKUP($A:$A,Instagram_Usage_Lifestyle_Mini_!$A:$A,Instagram_Usage_Lifestyle_Mini_!$C:$K)</f>
        <v>Rural</v>
      </c>
      <c r="G529" t="str">
        <f>_xlfn.XLOOKUP($A:$A,Instagram_Usage_Lifestyle_Mini_!$A:$A,Instagram_Usage_Lifestyle_Mini_!$C:$K)</f>
        <v>Middle</v>
      </c>
      <c r="H529" t="str">
        <f>_xlfn.XLOOKUP($A:$A,Instagram_Usage_Lifestyle_Mini_!$A:$A,Instagram_Usage_Lifestyle_Mini_!$C:$K)</f>
        <v>Full_time_employed</v>
      </c>
      <c r="I529" t="str">
        <f>_xlfn.XLOOKUP($A:$A,Instagram_Usage_Lifestyle_Mini_!$A:$A,Instagram_Usage_Lifestyle_Mini_!$C:$K)</f>
        <v>Bachelors_degree</v>
      </c>
      <c r="J529" t="str">
        <f>_xlfn.XLOOKUP($A:$A,Instagram_Usage_Lifestyle_Mini_!$A:$A,Instagram_Usage_Lifestyle_Mini_!$C:$K)</f>
        <v>In_a_relationship</v>
      </c>
      <c r="K529" t="str">
        <f>_xlfn.XLOOKUP($A:$A,Instagram_Usage_Lifestyle_Mini_!$A:$A,Instagram_Usage_Lifestyle_Mini_!$C:$K)</f>
        <v>No</v>
      </c>
      <c r="L529" t="str" cm="1">
        <f t="array" ref="L529">_xlfn.IFS(C529&lt;18,"Under_18",C529&lt;=25,"Youth",C529&lt;=35,"Young_Adults",C529&lt;=45,"Mid_Adults",TRUE,"Seniors")</f>
        <v>Under_18</v>
      </c>
    </row>
    <row r="530" spans="1:12" x14ac:dyDescent="0.2">
      <c r="A530">
        <v>529</v>
      </c>
      <c r="B530" t="str">
        <f>_xlfn.XLOOKUP(A530,Instagram_Usage_Lifestyle_Mini_!A530,Instagram_Usage_Lifestyle_Mini_!B530,1)</f>
        <v>Instagram</v>
      </c>
      <c r="C530">
        <f>_xlfn.XLOOKUP($A:$A,Instagram_Usage_Lifestyle_Mini_!$A:$A,Instagram_Usage_Lifestyle_Mini_!$C:$K)</f>
        <v>59</v>
      </c>
      <c r="D530" t="str">
        <f>_xlfn.XLOOKUP($A:$A,Instagram_Usage_Lifestyle_Mini_!$A:$A,Instagram_Usage_Lifestyle_Mini_!$C:$K)</f>
        <v>Male</v>
      </c>
      <c r="E530" t="str">
        <f>_xlfn.XLOOKUP($A:$A,Instagram_Usage_Lifestyle_Mini_!$A:$A,Instagram_Usage_Lifestyle_Mini_!$C:$K)</f>
        <v>Canada</v>
      </c>
      <c r="F530" t="str">
        <f>_xlfn.XLOOKUP($A:$A,Instagram_Usage_Lifestyle_Mini_!$A:$A,Instagram_Usage_Lifestyle_Mini_!$C:$K)</f>
        <v>Suburban</v>
      </c>
      <c r="G530" t="str">
        <f>_xlfn.XLOOKUP($A:$A,Instagram_Usage_Lifestyle_Mini_!$A:$A,Instagram_Usage_Lifestyle_Mini_!$C:$K)</f>
        <v>Upper_middle</v>
      </c>
      <c r="H530" t="str">
        <f>_xlfn.XLOOKUP($A:$A,Instagram_Usage_Lifestyle_Mini_!$A:$A,Instagram_Usage_Lifestyle_Mini_!$C:$K)</f>
        <v>Full_time_employed</v>
      </c>
      <c r="I530" t="str">
        <f>_xlfn.XLOOKUP($A:$A,Instagram_Usage_Lifestyle_Mini_!$A:$A,Instagram_Usage_Lifestyle_Mini_!$C:$K)</f>
        <v>Other</v>
      </c>
      <c r="J530" t="str">
        <f>_xlfn.XLOOKUP($A:$A,Instagram_Usage_Lifestyle_Mini_!$A:$A,Instagram_Usage_Lifestyle_Mini_!$C:$K)</f>
        <v>Divorced</v>
      </c>
      <c r="K530" t="str">
        <f>_xlfn.XLOOKUP($A:$A,Instagram_Usage_Lifestyle_Mini_!$A:$A,Instagram_Usage_Lifestyle_Mini_!$C:$K)</f>
        <v>Yes</v>
      </c>
      <c r="L530" t="str" cm="1">
        <f t="array" ref="L530">_xlfn.IFS(C530&lt;18,"Under_18",C530&lt;=25,"Youth",C530&lt;=35,"Young_Adults",C530&lt;=45,"Mid_Adults",TRUE,"Seniors")</f>
        <v>Seniors</v>
      </c>
    </row>
    <row r="531" spans="1:12" x14ac:dyDescent="0.2">
      <c r="A531">
        <v>530</v>
      </c>
      <c r="B531" t="str">
        <f>_xlfn.XLOOKUP(A531,Instagram_Usage_Lifestyle_Mini_!A531,Instagram_Usage_Lifestyle_Mini_!B531,1)</f>
        <v>Instagram</v>
      </c>
      <c r="C531">
        <f>_xlfn.XLOOKUP($A:$A,Instagram_Usage_Lifestyle_Mini_!$A:$A,Instagram_Usage_Lifestyle_Mini_!$C:$K)</f>
        <v>61</v>
      </c>
      <c r="D531" t="str">
        <f>_xlfn.XLOOKUP($A:$A,Instagram_Usage_Lifestyle_Mini_!$A:$A,Instagram_Usage_Lifestyle_Mini_!$C:$K)</f>
        <v>Female</v>
      </c>
      <c r="E531" t="str">
        <f>_xlfn.XLOOKUP($A:$A,Instagram_Usage_Lifestyle_Mini_!$A:$A,Instagram_Usage_Lifestyle_Mini_!$C:$K)</f>
        <v>Australia</v>
      </c>
      <c r="F531" t="str">
        <f>_xlfn.XLOOKUP($A:$A,Instagram_Usage_Lifestyle_Mini_!$A:$A,Instagram_Usage_Lifestyle_Mini_!$C:$K)</f>
        <v>Rural</v>
      </c>
      <c r="G531" t="str">
        <f>_xlfn.XLOOKUP($A:$A,Instagram_Usage_Lifestyle_Mini_!$A:$A,Instagram_Usage_Lifestyle_Mini_!$C:$K)</f>
        <v>Upper_middle</v>
      </c>
      <c r="H531" t="str">
        <f>_xlfn.XLOOKUP($A:$A,Instagram_Usage_Lifestyle_Mini_!$A:$A,Instagram_Usage_Lifestyle_Mini_!$C:$K)</f>
        <v>Full_time_employed</v>
      </c>
      <c r="I531" t="str">
        <f>_xlfn.XLOOKUP($A:$A,Instagram_Usage_Lifestyle_Mini_!$A:$A,Instagram_Usage_Lifestyle_Mini_!$C:$K)</f>
        <v>Masters_degree</v>
      </c>
      <c r="J531" t="str">
        <f>_xlfn.XLOOKUP($A:$A,Instagram_Usage_Lifestyle_Mini_!$A:$A,Instagram_Usage_Lifestyle_Mini_!$C:$K)</f>
        <v>In_a_relationship</v>
      </c>
      <c r="K531" t="str">
        <f>_xlfn.XLOOKUP($A:$A,Instagram_Usage_Lifestyle_Mini_!$A:$A,Instagram_Usage_Lifestyle_Mini_!$C:$K)</f>
        <v>Yes</v>
      </c>
      <c r="L531" t="str" cm="1">
        <f t="array" ref="L531">_xlfn.IFS(C531&lt;18,"Under_18",C531&lt;=25,"Youth",C531&lt;=35,"Young_Adults",C531&lt;=45,"Mid_Adults",TRUE,"Seniors")</f>
        <v>Seniors</v>
      </c>
    </row>
    <row r="532" spans="1:12" x14ac:dyDescent="0.2">
      <c r="A532">
        <v>531</v>
      </c>
      <c r="B532" t="str">
        <f>_xlfn.XLOOKUP(A532,Instagram_Usage_Lifestyle_Mini_!A532,Instagram_Usage_Lifestyle_Mini_!B532,1)</f>
        <v>Instagram</v>
      </c>
      <c r="C532">
        <f>_xlfn.XLOOKUP($A:$A,Instagram_Usage_Lifestyle_Mini_!$A:$A,Instagram_Usage_Lifestyle_Mini_!$C:$K)</f>
        <v>42</v>
      </c>
      <c r="D532" t="str">
        <f>_xlfn.XLOOKUP($A:$A,Instagram_Usage_Lifestyle_Mini_!$A:$A,Instagram_Usage_Lifestyle_Mini_!$C:$K)</f>
        <v>Female</v>
      </c>
      <c r="E532" t="str">
        <f>_xlfn.XLOOKUP($A:$A,Instagram_Usage_Lifestyle_Mini_!$A:$A,Instagram_Usage_Lifestyle_Mini_!$C:$K)</f>
        <v>Australia</v>
      </c>
      <c r="F532" t="str">
        <f>_xlfn.XLOOKUP($A:$A,Instagram_Usage_Lifestyle_Mini_!$A:$A,Instagram_Usage_Lifestyle_Mini_!$C:$K)</f>
        <v>Rural</v>
      </c>
      <c r="G532" t="str">
        <f>_xlfn.XLOOKUP($A:$A,Instagram_Usage_Lifestyle_Mini_!$A:$A,Instagram_Usage_Lifestyle_Mini_!$C:$K)</f>
        <v>Low</v>
      </c>
      <c r="H532" t="str">
        <f>_xlfn.XLOOKUP($A:$A,Instagram_Usage_Lifestyle_Mini_!$A:$A,Instagram_Usage_Lifestyle_Mini_!$C:$K)</f>
        <v>Student</v>
      </c>
      <c r="I532" t="str">
        <f>_xlfn.XLOOKUP($A:$A,Instagram_Usage_Lifestyle_Mini_!$A:$A,Instagram_Usage_Lifestyle_Mini_!$C:$K)</f>
        <v>Some_college</v>
      </c>
      <c r="J532" t="str">
        <f>_xlfn.XLOOKUP($A:$A,Instagram_Usage_Lifestyle_Mini_!$A:$A,Instagram_Usage_Lifestyle_Mini_!$C:$K)</f>
        <v>Single</v>
      </c>
      <c r="K532" t="str">
        <f>_xlfn.XLOOKUP($A:$A,Instagram_Usage_Lifestyle_Mini_!$A:$A,Instagram_Usage_Lifestyle_Mini_!$C:$K)</f>
        <v>Yes</v>
      </c>
      <c r="L532" t="str" cm="1">
        <f t="array" ref="L532">_xlfn.IFS(C532&lt;18,"Under_18",C532&lt;=25,"Youth",C532&lt;=35,"Young_Adults",C532&lt;=45,"Mid_Adults",TRUE,"Seniors")</f>
        <v>Mid_Adults</v>
      </c>
    </row>
    <row r="533" spans="1:12" x14ac:dyDescent="0.2">
      <c r="A533">
        <v>532</v>
      </c>
      <c r="B533" t="str">
        <f>_xlfn.XLOOKUP(A533,Instagram_Usage_Lifestyle_Mini_!A533,Instagram_Usage_Lifestyle_Mini_!B533,1)</f>
        <v>Instagram</v>
      </c>
      <c r="C533">
        <f>_xlfn.XLOOKUP($A:$A,Instagram_Usage_Lifestyle_Mini_!$A:$A,Instagram_Usage_Lifestyle_Mini_!$C:$K)</f>
        <v>58</v>
      </c>
      <c r="D533" t="str">
        <f>_xlfn.XLOOKUP($A:$A,Instagram_Usage_Lifestyle_Mini_!$A:$A,Instagram_Usage_Lifestyle_Mini_!$C:$K)</f>
        <v>Male</v>
      </c>
      <c r="E533" t="str">
        <f>_xlfn.XLOOKUP($A:$A,Instagram_Usage_Lifestyle_Mini_!$A:$A,Instagram_Usage_Lifestyle_Mini_!$C:$K)</f>
        <v>India</v>
      </c>
      <c r="F533" t="str">
        <f>_xlfn.XLOOKUP($A:$A,Instagram_Usage_Lifestyle_Mini_!$A:$A,Instagram_Usage_Lifestyle_Mini_!$C:$K)</f>
        <v>Suburban</v>
      </c>
      <c r="G533" t="str">
        <f>_xlfn.XLOOKUP($A:$A,Instagram_Usage_Lifestyle_Mini_!$A:$A,Instagram_Usage_Lifestyle_Mini_!$C:$K)</f>
        <v>Middle</v>
      </c>
      <c r="H533" t="str">
        <f>_xlfn.XLOOKUP($A:$A,Instagram_Usage_Lifestyle_Mini_!$A:$A,Instagram_Usage_Lifestyle_Mini_!$C:$K)</f>
        <v>Freelancer</v>
      </c>
      <c r="I533" t="str">
        <f>_xlfn.XLOOKUP($A:$A,Instagram_Usage_Lifestyle_Mini_!$A:$A,Instagram_Usage_Lifestyle_Mini_!$C:$K)</f>
        <v>High_school</v>
      </c>
      <c r="J533" t="str">
        <f>_xlfn.XLOOKUP($A:$A,Instagram_Usage_Lifestyle_Mini_!$A:$A,Instagram_Usage_Lifestyle_Mini_!$C:$K)</f>
        <v>In_a_relationship</v>
      </c>
      <c r="K533" t="str">
        <f>_xlfn.XLOOKUP($A:$A,Instagram_Usage_Lifestyle_Mini_!$A:$A,Instagram_Usage_Lifestyle_Mini_!$C:$K)</f>
        <v>No</v>
      </c>
      <c r="L533" t="str" cm="1">
        <f t="array" ref="L533">_xlfn.IFS(C533&lt;18,"Under_18",C533&lt;=25,"Youth",C533&lt;=35,"Young_Adults",C533&lt;=45,"Mid_Adults",TRUE,"Seniors")</f>
        <v>Seniors</v>
      </c>
    </row>
    <row r="534" spans="1:12" x14ac:dyDescent="0.2">
      <c r="A534">
        <v>533</v>
      </c>
      <c r="B534" t="str">
        <f>_xlfn.XLOOKUP(A534,Instagram_Usage_Lifestyle_Mini_!A534,Instagram_Usage_Lifestyle_Mini_!B534,1)</f>
        <v>Instagram</v>
      </c>
      <c r="C534">
        <f>_xlfn.XLOOKUP($A:$A,Instagram_Usage_Lifestyle_Mini_!$A:$A,Instagram_Usage_Lifestyle_Mini_!$C:$K)</f>
        <v>64</v>
      </c>
      <c r="D534" t="str">
        <f>_xlfn.XLOOKUP($A:$A,Instagram_Usage_Lifestyle_Mini_!$A:$A,Instagram_Usage_Lifestyle_Mini_!$C:$K)</f>
        <v>Female</v>
      </c>
      <c r="E534" t="str">
        <f>_xlfn.XLOOKUP($A:$A,Instagram_Usage_Lifestyle_Mini_!$A:$A,Instagram_Usage_Lifestyle_Mini_!$C:$K)</f>
        <v>Canada</v>
      </c>
      <c r="F534" t="str">
        <f>_xlfn.XLOOKUP($A:$A,Instagram_Usage_Lifestyle_Mini_!$A:$A,Instagram_Usage_Lifestyle_Mini_!$C:$K)</f>
        <v>Suburban</v>
      </c>
      <c r="G534" t="str">
        <f>_xlfn.XLOOKUP($A:$A,Instagram_Usage_Lifestyle_Mini_!$A:$A,Instagram_Usage_Lifestyle_Mini_!$C:$K)</f>
        <v>Lower_middle</v>
      </c>
      <c r="H534" t="str">
        <f>_xlfn.XLOOKUP($A:$A,Instagram_Usage_Lifestyle_Mini_!$A:$A,Instagram_Usage_Lifestyle_Mini_!$C:$K)</f>
        <v>Full_time_employed</v>
      </c>
      <c r="I534" t="str">
        <f>_xlfn.XLOOKUP($A:$A,Instagram_Usage_Lifestyle_Mini_!$A:$A,Instagram_Usage_Lifestyle_Mini_!$C:$K)</f>
        <v>High_school</v>
      </c>
      <c r="J534" t="str">
        <f>_xlfn.XLOOKUP($A:$A,Instagram_Usage_Lifestyle_Mini_!$A:$A,Instagram_Usage_Lifestyle_Mini_!$C:$K)</f>
        <v>Single</v>
      </c>
      <c r="K534" t="str">
        <f>_xlfn.XLOOKUP($A:$A,Instagram_Usage_Lifestyle_Mini_!$A:$A,Instagram_Usage_Lifestyle_Mini_!$C:$K)</f>
        <v>No</v>
      </c>
      <c r="L534" t="str" cm="1">
        <f t="array" ref="L534">_xlfn.IFS(C534&lt;18,"Under_18",C534&lt;=25,"Youth",C534&lt;=35,"Young_Adults",C534&lt;=45,"Mid_Adults",TRUE,"Seniors")</f>
        <v>Seniors</v>
      </c>
    </row>
    <row r="535" spans="1:12" x14ac:dyDescent="0.2">
      <c r="A535">
        <v>534</v>
      </c>
      <c r="B535" t="str">
        <f>_xlfn.XLOOKUP(A535,Instagram_Usage_Lifestyle_Mini_!A535,Instagram_Usage_Lifestyle_Mini_!B535,1)</f>
        <v>Instagram</v>
      </c>
      <c r="C535">
        <f>_xlfn.XLOOKUP($A:$A,Instagram_Usage_Lifestyle_Mini_!$A:$A,Instagram_Usage_Lifestyle_Mini_!$C:$K)</f>
        <v>17</v>
      </c>
      <c r="D535" t="str">
        <f>_xlfn.XLOOKUP($A:$A,Instagram_Usage_Lifestyle_Mini_!$A:$A,Instagram_Usage_Lifestyle_Mini_!$C:$K)</f>
        <v>Female</v>
      </c>
      <c r="E535" t="str">
        <f>_xlfn.XLOOKUP($A:$A,Instagram_Usage_Lifestyle_Mini_!$A:$A,Instagram_Usage_Lifestyle_Mini_!$C:$K)</f>
        <v>Australia</v>
      </c>
      <c r="F535" t="str">
        <f>_xlfn.XLOOKUP($A:$A,Instagram_Usage_Lifestyle_Mini_!$A:$A,Instagram_Usage_Lifestyle_Mini_!$C:$K)</f>
        <v>Rural</v>
      </c>
      <c r="G535" t="str">
        <f>_xlfn.XLOOKUP($A:$A,Instagram_Usage_Lifestyle_Mini_!$A:$A,Instagram_Usage_Lifestyle_Mini_!$C:$K)</f>
        <v>Low</v>
      </c>
      <c r="H535" t="str">
        <f>_xlfn.XLOOKUP($A:$A,Instagram_Usage_Lifestyle_Mini_!$A:$A,Instagram_Usage_Lifestyle_Mini_!$C:$K)</f>
        <v>Student</v>
      </c>
      <c r="I535" t="str">
        <f>_xlfn.XLOOKUP($A:$A,Instagram_Usage_Lifestyle_Mini_!$A:$A,Instagram_Usage_Lifestyle_Mini_!$C:$K)</f>
        <v>Masters_degree</v>
      </c>
      <c r="J535" t="str">
        <f>_xlfn.XLOOKUP($A:$A,Instagram_Usage_Lifestyle_Mini_!$A:$A,Instagram_Usage_Lifestyle_Mini_!$C:$K)</f>
        <v>Single</v>
      </c>
      <c r="K535" t="str">
        <f>_xlfn.XLOOKUP($A:$A,Instagram_Usage_Lifestyle_Mini_!$A:$A,Instagram_Usage_Lifestyle_Mini_!$C:$K)</f>
        <v>No</v>
      </c>
      <c r="L535" t="str" cm="1">
        <f t="array" ref="L535">_xlfn.IFS(C535&lt;18,"Under_18",C535&lt;=25,"Youth",C535&lt;=35,"Young_Adults",C535&lt;=45,"Mid_Adults",TRUE,"Seniors")</f>
        <v>Under_18</v>
      </c>
    </row>
    <row r="536" spans="1:12" x14ac:dyDescent="0.2">
      <c r="A536">
        <v>535</v>
      </c>
      <c r="B536" t="str">
        <f>_xlfn.XLOOKUP(A536,Instagram_Usage_Lifestyle_Mini_!A536,Instagram_Usage_Lifestyle_Mini_!B536,1)</f>
        <v>Instagram</v>
      </c>
      <c r="C536">
        <f>_xlfn.XLOOKUP($A:$A,Instagram_Usage_Lifestyle_Mini_!$A:$A,Instagram_Usage_Lifestyle_Mini_!$C:$K)</f>
        <v>24</v>
      </c>
      <c r="D536" t="str">
        <f>_xlfn.XLOOKUP($A:$A,Instagram_Usage_Lifestyle_Mini_!$A:$A,Instagram_Usage_Lifestyle_Mini_!$C:$K)</f>
        <v>Female</v>
      </c>
      <c r="E536" t="str">
        <f>_xlfn.XLOOKUP($A:$A,Instagram_Usage_Lifestyle_Mini_!$A:$A,Instagram_Usage_Lifestyle_Mini_!$C:$K)</f>
        <v>United _Kingdom</v>
      </c>
      <c r="F536" t="str">
        <f>_xlfn.XLOOKUP($A:$A,Instagram_Usage_Lifestyle_Mini_!$A:$A,Instagram_Usage_Lifestyle_Mini_!$C:$K)</f>
        <v>Urban</v>
      </c>
      <c r="G536" t="str">
        <f>_xlfn.XLOOKUP($A:$A,Instagram_Usage_Lifestyle_Mini_!$A:$A,Instagram_Usage_Lifestyle_Mini_!$C:$K)</f>
        <v>Upper_middle</v>
      </c>
      <c r="H536" t="str">
        <f>_xlfn.XLOOKUP($A:$A,Instagram_Usage_Lifestyle_Mini_!$A:$A,Instagram_Usage_Lifestyle_Mini_!$C:$K)</f>
        <v>Unemployed</v>
      </c>
      <c r="I536" t="str">
        <f>_xlfn.XLOOKUP($A:$A,Instagram_Usage_Lifestyle_Mini_!$A:$A,Instagram_Usage_Lifestyle_Mini_!$C:$K)</f>
        <v>PhD</v>
      </c>
      <c r="J536" t="str">
        <f>_xlfn.XLOOKUP($A:$A,Instagram_Usage_Lifestyle_Mini_!$A:$A,Instagram_Usage_Lifestyle_Mini_!$C:$K)</f>
        <v>Married</v>
      </c>
      <c r="K536" t="str">
        <f>_xlfn.XLOOKUP($A:$A,Instagram_Usage_Lifestyle_Mini_!$A:$A,Instagram_Usage_Lifestyle_Mini_!$C:$K)</f>
        <v>No</v>
      </c>
      <c r="L536" t="str" cm="1">
        <f t="array" ref="L536">_xlfn.IFS(C536&lt;18,"Under_18",C536&lt;=25,"Youth",C536&lt;=35,"Young_Adults",C536&lt;=45,"Mid_Adults",TRUE,"Seniors")</f>
        <v>Youth</v>
      </c>
    </row>
    <row r="537" spans="1:12" x14ac:dyDescent="0.2">
      <c r="A537">
        <v>536</v>
      </c>
      <c r="B537" t="str">
        <f>_xlfn.XLOOKUP(A537,Instagram_Usage_Lifestyle_Mini_!A537,Instagram_Usage_Lifestyle_Mini_!B537,1)</f>
        <v>Instagram</v>
      </c>
      <c r="C537">
        <f>_xlfn.XLOOKUP($A:$A,Instagram_Usage_Lifestyle_Mini_!$A:$A,Instagram_Usage_Lifestyle_Mini_!$C:$K)</f>
        <v>28</v>
      </c>
      <c r="D537" t="str">
        <f>_xlfn.XLOOKUP($A:$A,Instagram_Usage_Lifestyle_Mini_!$A:$A,Instagram_Usage_Lifestyle_Mini_!$C:$K)</f>
        <v>Male</v>
      </c>
      <c r="E537" t="str">
        <f>_xlfn.XLOOKUP($A:$A,Instagram_Usage_Lifestyle_Mini_!$A:$A,Instagram_Usage_Lifestyle_Mini_!$C:$K)</f>
        <v>Other</v>
      </c>
      <c r="F537" t="str">
        <f>_xlfn.XLOOKUP($A:$A,Instagram_Usage_Lifestyle_Mini_!$A:$A,Instagram_Usage_Lifestyle_Mini_!$C:$K)</f>
        <v>Rural</v>
      </c>
      <c r="G537" t="str">
        <f>_xlfn.XLOOKUP($A:$A,Instagram_Usage_Lifestyle_Mini_!$A:$A,Instagram_Usage_Lifestyle_Mini_!$C:$K)</f>
        <v>Lower_middle</v>
      </c>
      <c r="H537" t="str">
        <f>_xlfn.XLOOKUP($A:$A,Instagram_Usage_Lifestyle_Mini_!$A:$A,Instagram_Usage_Lifestyle_Mini_!$C:$K)</f>
        <v>Full_time_employed</v>
      </c>
      <c r="I537" t="str">
        <f>_xlfn.XLOOKUP($A:$A,Instagram_Usage_Lifestyle_Mini_!$A:$A,Instagram_Usage_Lifestyle_Mini_!$C:$K)</f>
        <v>High_school</v>
      </c>
      <c r="J537" t="str">
        <f>_xlfn.XLOOKUP($A:$A,Instagram_Usage_Lifestyle_Mini_!$A:$A,Instagram_Usage_Lifestyle_Mini_!$C:$K)</f>
        <v>Single</v>
      </c>
      <c r="K537" t="str">
        <f>_xlfn.XLOOKUP($A:$A,Instagram_Usage_Lifestyle_Mini_!$A:$A,Instagram_Usage_Lifestyle_Mini_!$C:$K)</f>
        <v>Yes</v>
      </c>
      <c r="L537" t="str" cm="1">
        <f t="array" ref="L537">_xlfn.IFS(C537&lt;18,"Under_18",C537&lt;=25,"Youth",C537&lt;=35,"Young_Adults",C537&lt;=45,"Mid_Adults",TRUE,"Seniors")</f>
        <v>Young_Adults</v>
      </c>
    </row>
    <row r="538" spans="1:12" x14ac:dyDescent="0.2">
      <c r="A538">
        <v>537</v>
      </c>
      <c r="B538" t="str">
        <f>_xlfn.XLOOKUP(A538,Instagram_Usage_Lifestyle_Mini_!A538,Instagram_Usage_Lifestyle_Mini_!B538,1)</f>
        <v>Instagram</v>
      </c>
      <c r="C538">
        <f>_xlfn.XLOOKUP($A:$A,Instagram_Usage_Lifestyle_Mini_!$A:$A,Instagram_Usage_Lifestyle_Mini_!$C:$K)</f>
        <v>38</v>
      </c>
      <c r="D538" t="str">
        <f>_xlfn.XLOOKUP($A:$A,Instagram_Usage_Lifestyle_Mini_!$A:$A,Instagram_Usage_Lifestyle_Mini_!$C:$K)</f>
        <v>Male</v>
      </c>
      <c r="E538" t="str">
        <f>_xlfn.XLOOKUP($A:$A,Instagram_Usage_Lifestyle_Mini_!$A:$A,Instagram_Usage_Lifestyle_Mini_!$C:$K)</f>
        <v>India</v>
      </c>
      <c r="F538" t="str">
        <f>_xlfn.XLOOKUP($A:$A,Instagram_Usage_Lifestyle_Mini_!$A:$A,Instagram_Usage_Lifestyle_Mini_!$C:$K)</f>
        <v>Suburban</v>
      </c>
      <c r="G538" t="str">
        <f>_xlfn.XLOOKUP($A:$A,Instagram_Usage_Lifestyle_Mini_!$A:$A,Instagram_Usage_Lifestyle_Mini_!$C:$K)</f>
        <v>Lower_middle</v>
      </c>
      <c r="H538" t="str">
        <f>_xlfn.XLOOKUP($A:$A,Instagram_Usage_Lifestyle_Mini_!$A:$A,Instagram_Usage_Lifestyle_Mini_!$C:$K)</f>
        <v>Unemployed</v>
      </c>
      <c r="I538" t="str">
        <f>_xlfn.XLOOKUP($A:$A,Instagram_Usage_Lifestyle_Mini_!$A:$A,Instagram_Usage_Lifestyle_Mini_!$C:$K)</f>
        <v>Bachelors_degree</v>
      </c>
      <c r="J538" t="str">
        <f>_xlfn.XLOOKUP($A:$A,Instagram_Usage_Lifestyle_Mini_!$A:$A,Instagram_Usage_Lifestyle_Mini_!$C:$K)</f>
        <v>Married</v>
      </c>
      <c r="K538" t="str">
        <f>_xlfn.XLOOKUP($A:$A,Instagram_Usage_Lifestyle_Mini_!$A:$A,Instagram_Usage_Lifestyle_Mini_!$C:$K)</f>
        <v>No</v>
      </c>
      <c r="L538" t="str" cm="1">
        <f t="array" ref="L538">_xlfn.IFS(C538&lt;18,"Under_18",C538&lt;=25,"Youth",C538&lt;=35,"Young_Adults",C538&lt;=45,"Mid_Adults",TRUE,"Seniors")</f>
        <v>Mid_Adults</v>
      </c>
    </row>
    <row r="539" spans="1:12" x14ac:dyDescent="0.2">
      <c r="A539">
        <v>538</v>
      </c>
      <c r="B539" t="str">
        <f>_xlfn.XLOOKUP(A539,Instagram_Usage_Lifestyle_Mini_!A539,Instagram_Usage_Lifestyle_Mini_!B539,1)</f>
        <v>Instagram</v>
      </c>
      <c r="C539">
        <f>_xlfn.XLOOKUP($A:$A,Instagram_Usage_Lifestyle_Mini_!$A:$A,Instagram_Usage_Lifestyle_Mini_!$C:$K)</f>
        <v>38</v>
      </c>
      <c r="D539" t="str">
        <f>_xlfn.XLOOKUP($A:$A,Instagram_Usage_Lifestyle_Mini_!$A:$A,Instagram_Usage_Lifestyle_Mini_!$C:$K)</f>
        <v>Male</v>
      </c>
      <c r="E539" t="str">
        <f>_xlfn.XLOOKUP($A:$A,Instagram_Usage_Lifestyle_Mini_!$A:$A,Instagram_Usage_Lifestyle_Mini_!$C:$K)</f>
        <v>United_States</v>
      </c>
      <c r="F539" t="str">
        <f>_xlfn.XLOOKUP($A:$A,Instagram_Usage_Lifestyle_Mini_!$A:$A,Instagram_Usage_Lifestyle_Mini_!$C:$K)</f>
        <v>Suburban</v>
      </c>
      <c r="G539" t="str">
        <f>_xlfn.XLOOKUP($A:$A,Instagram_Usage_Lifestyle_Mini_!$A:$A,Instagram_Usage_Lifestyle_Mini_!$C:$K)</f>
        <v>Lower_middle</v>
      </c>
      <c r="H539" t="str">
        <f>_xlfn.XLOOKUP($A:$A,Instagram_Usage_Lifestyle_Mini_!$A:$A,Instagram_Usage_Lifestyle_Mini_!$C:$K)</f>
        <v>Full_time_employed</v>
      </c>
      <c r="I539" t="str">
        <f>_xlfn.XLOOKUP($A:$A,Instagram_Usage_Lifestyle_Mini_!$A:$A,Instagram_Usage_Lifestyle_Mini_!$C:$K)</f>
        <v>Bachelors_degree</v>
      </c>
      <c r="J539" t="str">
        <f>_xlfn.XLOOKUP($A:$A,Instagram_Usage_Lifestyle_Mini_!$A:$A,Instagram_Usage_Lifestyle_Mini_!$C:$K)</f>
        <v>In_a_relationship</v>
      </c>
      <c r="K539" t="str">
        <f>_xlfn.XLOOKUP($A:$A,Instagram_Usage_Lifestyle_Mini_!$A:$A,Instagram_Usage_Lifestyle_Mini_!$C:$K)</f>
        <v>No</v>
      </c>
      <c r="L539" t="str" cm="1">
        <f t="array" ref="L539">_xlfn.IFS(C539&lt;18,"Under_18",C539&lt;=25,"Youth",C539&lt;=35,"Young_Adults",C539&lt;=45,"Mid_Adults",TRUE,"Seniors")</f>
        <v>Mid_Adults</v>
      </c>
    </row>
    <row r="540" spans="1:12" x14ac:dyDescent="0.2">
      <c r="A540">
        <v>539</v>
      </c>
      <c r="B540" t="str">
        <f>_xlfn.XLOOKUP(A540,Instagram_Usage_Lifestyle_Mini_!A540,Instagram_Usage_Lifestyle_Mini_!B540,1)</f>
        <v>Instagram</v>
      </c>
      <c r="C540">
        <f>_xlfn.XLOOKUP($A:$A,Instagram_Usage_Lifestyle_Mini_!$A:$A,Instagram_Usage_Lifestyle_Mini_!$C:$K)</f>
        <v>60</v>
      </c>
      <c r="D540" t="str">
        <f>_xlfn.XLOOKUP($A:$A,Instagram_Usage_Lifestyle_Mini_!$A:$A,Instagram_Usage_Lifestyle_Mini_!$C:$K)</f>
        <v>Female</v>
      </c>
      <c r="E540" t="str">
        <f>_xlfn.XLOOKUP($A:$A,Instagram_Usage_Lifestyle_Mini_!$A:$A,Instagram_Usage_Lifestyle_Mini_!$C:$K)</f>
        <v>India</v>
      </c>
      <c r="F540" t="str">
        <f>_xlfn.XLOOKUP($A:$A,Instagram_Usage_Lifestyle_Mini_!$A:$A,Instagram_Usage_Lifestyle_Mini_!$C:$K)</f>
        <v>Urban</v>
      </c>
      <c r="G540" t="str">
        <f>_xlfn.XLOOKUP($A:$A,Instagram_Usage_Lifestyle_Mini_!$A:$A,Instagram_Usage_Lifestyle_Mini_!$C:$K)</f>
        <v>Middle</v>
      </c>
      <c r="H540" t="str">
        <f>_xlfn.XLOOKUP($A:$A,Instagram_Usage_Lifestyle_Mini_!$A:$A,Instagram_Usage_Lifestyle_Mini_!$C:$K)</f>
        <v>Full_time_employed</v>
      </c>
      <c r="I540" t="str">
        <f>_xlfn.XLOOKUP($A:$A,Instagram_Usage_Lifestyle_Mini_!$A:$A,Instagram_Usage_Lifestyle_Mini_!$C:$K)</f>
        <v>Masters_degree</v>
      </c>
      <c r="J540" t="str">
        <f>_xlfn.XLOOKUP($A:$A,Instagram_Usage_Lifestyle_Mini_!$A:$A,Instagram_Usage_Lifestyle_Mini_!$C:$K)</f>
        <v>Single</v>
      </c>
      <c r="K540" t="str">
        <f>_xlfn.XLOOKUP($A:$A,Instagram_Usage_Lifestyle_Mini_!$A:$A,Instagram_Usage_Lifestyle_Mini_!$C:$K)</f>
        <v>No</v>
      </c>
      <c r="L540" t="str" cm="1">
        <f t="array" ref="L540">_xlfn.IFS(C540&lt;18,"Under_18",C540&lt;=25,"Youth",C540&lt;=35,"Young_Adults",C540&lt;=45,"Mid_Adults",TRUE,"Seniors")</f>
        <v>Seniors</v>
      </c>
    </row>
    <row r="541" spans="1:12" x14ac:dyDescent="0.2">
      <c r="A541">
        <v>540</v>
      </c>
      <c r="B541" t="str">
        <f>_xlfn.XLOOKUP(A541,Instagram_Usage_Lifestyle_Mini_!A541,Instagram_Usage_Lifestyle_Mini_!B541,1)</f>
        <v>Instagram</v>
      </c>
      <c r="C541">
        <f>_xlfn.XLOOKUP($A:$A,Instagram_Usage_Lifestyle_Mini_!$A:$A,Instagram_Usage_Lifestyle_Mini_!$C:$K)</f>
        <v>33</v>
      </c>
      <c r="D541" t="str">
        <f>_xlfn.XLOOKUP($A:$A,Instagram_Usage_Lifestyle_Mini_!$A:$A,Instagram_Usage_Lifestyle_Mini_!$C:$K)</f>
        <v>Male</v>
      </c>
      <c r="E541" t="str">
        <f>_xlfn.XLOOKUP($A:$A,Instagram_Usage_Lifestyle_Mini_!$A:$A,Instagram_Usage_Lifestyle_Mini_!$C:$K)</f>
        <v>United_States</v>
      </c>
      <c r="F541" t="str">
        <f>_xlfn.XLOOKUP($A:$A,Instagram_Usage_Lifestyle_Mini_!$A:$A,Instagram_Usage_Lifestyle_Mini_!$C:$K)</f>
        <v>Suburban</v>
      </c>
      <c r="G541" t="str">
        <f>_xlfn.XLOOKUP($A:$A,Instagram_Usage_Lifestyle_Mini_!$A:$A,Instagram_Usage_Lifestyle_Mini_!$C:$K)</f>
        <v>Middle</v>
      </c>
      <c r="H541" t="str">
        <f>_xlfn.XLOOKUP($A:$A,Instagram_Usage_Lifestyle_Mini_!$A:$A,Instagram_Usage_Lifestyle_Mini_!$C:$K)</f>
        <v>Full_time_employed</v>
      </c>
      <c r="I541" t="str">
        <f>_xlfn.XLOOKUP($A:$A,Instagram_Usage_Lifestyle_Mini_!$A:$A,Instagram_Usage_Lifestyle_Mini_!$C:$K)</f>
        <v>Other</v>
      </c>
      <c r="J541" t="str">
        <f>_xlfn.XLOOKUP($A:$A,Instagram_Usage_Lifestyle_Mini_!$A:$A,Instagram_Usage_Lifestyle_Mini_!$C:$K)</f>
        <v>Single</v>
      </c>
      <c r="K541" t="str">
        <f>_xlfn.XLOOKUP($A:$A,Instagram_Usage_Lifestyle_Mini_!$A:$A,Instagram_Usage_Lifestyle_Mini_!$C:$K)</f>
        <v>Yes</v>
      </c>
      <c r="L541" t="str" cm="1">
        <f t="array" ref="L541">_xlfn.IFS(C541&lt;18,"Under_18",C541&lt;=25,"Youth",C541&lt;=35,"Young_Adults",C541&lt;=45,"Mid_Adults",TRUE,"Seniors")</f>
        <v>Young_Adults</v>
      </c>
    </row>
    <row r="542" spans="1:12" x14ac:dyDescent="0.2">
      <c r="A542">
        <v>541</v>
      </c>
      <c r="B542" t="str">
        <f>_xlfn.XLOOKUP(A542,Instagram_Usage_Lifestyle_Mini_!A542,Instagram_Usage_Lifestyle_Mini_!B542,1)</f>
        <v>Instagram</v>
      </c>
      <c r="C542">
        <f>_xlfn.XLOOKUP($A:$A,Instagram_Usage_Lifestyle_Mini_!$A:$A,Instagram_Usage_Lifestyle_Mini_!$C:$K)</f>
        <v>51</v>
      </c>
      <c r="D542" t="str">
        <f>_xlfn.XLOOKUP($A:$A,Instagram_Usage_Lifestyle_Mini_!$A:$A,Instagram_Usage_Lifestyle_Mini_!$C:$K)</f>
        <v>Male</v>
      </c>
      <c r="E542" t="str">
        <f>_xlfn.XLOOKUP($A:$A,Instagram_Usage_Lifestyle_Mini_!$A:$A,Instagram_Usage_Lifestyle_Mini_!$C:$K)</f>
        <v>India</v>
      </c>
      <c r="F542" t="str">
        <f>_xlfn.XLOOKUP($A:$A,Instagram_Usage_Lifestyle_Mini_!$A:$A,Instagram_Usage_Lifestyle_Mini_!$C:$K)</f>
        <v>Urban</v>
      </c>
      <c r="G542" t="str">
        <f>_xlfn.XLOOKUP($A:$A,Instagram_Usage_Lifestyle_Mini_!$A:$A,Instagram_Usage_Lifestyle_Mini_!$C:$K)</f>
        <v>Lower_middle</v>
      </c>
      <c r="H542" t="str">
        <f>_xlfn.XLOOKUP($A:$A,Instagram_Usage_Lifestyle_Mini_!$A:$A,Instagram_Usage_Lifestyle_Mini_!$C:$K)</f>
        <v>Full_time_employed</v>
      </c>
      <c r="I542" t="str">
        <f>_xlfn.XLOOKUP($A:$A,Instagram_Usage_Lifestyle_Mini_!$A:$A,Instagram_Usage_Lifestyle_Mini_!$C:$K)</f>
        <v>Some_college</v>
      </c>
      <c r="J542" t="str">
        <f>_xlfn.XLOOKUP($A:$A,Instagram_Usage_Lifestyle_Mini_!$A:$A,Instagram_Usage_Lifestyle_Mini_!$C:$K)</f>
        <v>Single</v>
      </c>
      <c r="K542" t="str">
        <f>_xlfn.XLOOKUP($A:$A,Instagram_Usage_Lifestyle_Mini_!$A:$A,Instagram_Usage_Lifestyle_Mini_!$C:$K)</f>
        <v>No</v>
      </c>
      <c r="L542" t="str" cm="1">
        <f t="array" ref="L542">_xlfn.IFS(C542&lt;18,"Under_18",C542&lt;=25,"Youth",C542&lt;=35,"Young_Adults",C542&lt;=45,"Mid_Adults",TRUE,"Seniors")</f>
        <v>Seniors</v>
      </c>
    </row>
    <row r="543" spans="1:12" x14ac:dyDescent="0.2">
      <c r="A543">
        <v>542</v>
      </c>
      <c r="B543" t="str">
        <f>_xlfn.XLOOKUP(A543,Instagram_Usage_Lifestyle_Mini_!A543,Instagram_Usage_Lifestyle_Mini_!B543,1)</f>
        <v>Instagram</v>
      </c>
      <c r="C543">
        <f>_xlfn.XLOOKUP($A:$A,Instagram_Usage_Lifestyle_Mini_!$A:$A,Instagram_Usage_Lifestyle_Mini_!$C:$K)</f>
        <v>48</v>
      </c>
      <c r="D543" t="str">
        <f>_xlfn.XLOOKUP($A:$A,Instagram_Usage_Lifestyle_Mini_!$A:$A,Instagram_Usage_Lifestyle_Mini_!$C:$K)</f>
        <v>Female</v>
      </c>
      <c r="E543" t="str">
        <f>_xlfn.XLOOKUP($A:$A,Instagram_Usage_Lifestyle_Mini_!$A:$A,Instagram_Usage_Lifestyle_Mini_!$C:$K)</f>
        <v>Other</v>
      </c>
      <c r="F543" t="str">
        <f>_xlfn.XLOOKUP($A:$A,Instagram_Usage_Lifestyle_Mini_!$A:$A,Instagram_Usage_Lifestyle_Mini_!$C:$K)</f>
        <v>Urban</v>
      </c>
      <c r="G543" t="str">
        <f>_xlfn.XLOOKUP($A:$A,Instagram_Usage_Lifestyle_Mini_!$A:$A,Instagram_Usage_Lifestyle_Mini_!$C:$K)</f>
        <v>Upper_middle</v>
      </c>
      <c r="H543" t="str">
        <f>_xlfn.XLOOKUP($A:$A,Instagram_Usage_Lifestyle_Mini_!$A:$A,Instagram_Usage_Lifestyle_Mini_!$C:$K)</f>
        <v>Full_time_employed</v>
      </c>
      <c r="I543" t="str">
        <f>_xlfn.XLOOKUP($A:$A,Instagram_Usage_Lifestyle_Mini_!$A:$A,Instagram_Usage_Lifestyle_Mini_!$C:$K)</f>
        <v>Bachelors_degree</v>
      </c>
      <c r="J543" t="str">
        <f>_xlfn.XLOOKUP($A:$A,Instagram_Usage_Lifestyle_Mini_!$A:$A,Instagram_Usage_Lifestyle_Mini_!$C:$K)</f>
        <v>Married</v>
      </c>
      <c r="K543" t="str">
        <f>_xlfn.XLOOKUP($A:$A,Instagram_Usage_Lifestyle_Mini_!$A:$A,Instagram_Usage_Lifestyle_Mini_!$C:$K)</f>
        <v>No</v>
      </c>
      <c r="L543" t="str" cm="1">
        <f t="array" ref="L543">_xlfn.IFS(C543&lt;18,"Under_18",C543&lt;=25,"Youth",C543&lt;=35,"Young_Adults",C543&lt;=45,"Mid_Adults",TRUE,"Seniors")</f>
        <v>Seniors</v>
      </c>
    </row>
    <row r="544" spans="1:12" x14ac:dyDescent="0.2">
      <c r="A544">
        <v>543</v>
      </c>
      <c r="B544" t="str">
        <f>_xlfn.XLOOKUP(A544,Instagram_Usage_Lifestyle_Mini_!A544,Instagram_Usage_Lifestyle_Mini_!B544,1)</f>
        <v>Instagram</v>
      </c>
      <c r="C544">
        <f>_xlfn.XLOOKUP($A:$A,Instagram_Usage_Lifestyle_Mini_!$A:$A,Instagram_Usage_Lifestyle_Mini_!$C:$K)</f>
        <v>45</v>
      </c>
      <c r="D544" t="str">
        <f>_xlfn.XLOOKUP($A:$A,Instagram_Usage_Lifestyle_Mini_!$A:$A,Instagram_Usage_Lifestyle_Mini_!$C:$K)</f>
        <v>Female</v>
      </c>
      <c r="E544" t="str">
        <f>_xlfn.XLOOKUP($A:$A,Instagram_Usage_Lifestyle_Mini_!$A:$A,Instagram_Usage_Lifestyle_Mini_!$C:$K)</f>
        <v>Canada</v>
      </c>
      <c r="F544" t="str">
        <f>_xlfn.XLOOKUP($A:$A,Instagram_Usage_Lifestyle_Mini_!$A:$A,Instagram_Usage_Lifestyle_Mini_!$C:$K)</f>
        <v>Rural</v>
      </c>
      <c r="G544" t="str">
        <f>_xlfn.XLOOKUP($A:$A,Instagram_Usage_Lifestyle_Mini_!$A:$A,Instagram_Usage_Lifestyle_Mini_!$C:$K)</f>
        <v>Lower_middle</v>
      </c>
      <c r="H544" t="str">
        <f>_xlfn.XLOOKUP($A:$A,Instagram_Usage_Lifestyle_Mini_!$A:$A,Instagram_Usage_Lifestyle_Mini_!$C:$K)</f>
        <v>Full_time_employed</v>
      </c>
      <c r="I544" t="str">
        <f>_xlfn.XLOOKUP($A:$A,Instagram_Usage_Lifestyle_Mini_!$A:$A,Instagram_Usage_Lifestyle_Mini_!$C:$K)</f>
        <v>Masters_degree</v>
      </c>
      <c r="J544" t="str">
        <f>_xlfn.XLOOKUP($A:$A,Instagram_Usage_Lifestyle_Mini_!$A:$A,Instagram_Usage_Lifestyle_Mini_!$C:$K)</f>
        <v>Widowed</v>
      </c>
      <c r="K544" t="str">
        <f>_xlfn.XLOOKUP($A:$A,Instagram_Usage_Lifestyle_Mini_!$A:$A,Instagram_Usage_Lifestyle_Mini_!$C:$K)</f>
        <v>Yes</v>
      </c>
      <c r="L544" t="str" cm="1">
        <f t="array" ref="L544">_xlfn.IFS(C544&lt;18,"Under_18",C544&lt;=25,"Youth",C544&lt;=35,"Young_Adults",C544&lt;=45,"Mid_Adults",TRUE,"Seniors")</f>
        <v>Mid_Adults</v>
      </c>
    </row>
    <row r="545" spans="1:12" x14ac:dyDescent="0.2">
      <c r="A545">
        <v>544</v>
      </c>
      <c r="B545" t="str">
        <f>_xlfn.XLOOKUP(A545,Instagram_Usage_Lifestyle_Mini_!A545,Instagram_Usage_Lifestyle_Mini_!B545,1)</f>
        <v>Instagram</v>
      </c>
      <c r="C545">
        <f>_xlfn.XLOOKUP($A:$A,Instagram_Usage_Lifestyle_Mini_!$A:$A,Instagram_Usage_Lifestyle_Mini_!$C:$K)</f>
        <v>42</v>
      </c>
      <c r="D545" t="str">
        <f>_xlfn.XLOOKUP($A:$A,Instagram_Usage_Lifestyle_Mini_!$A:$A,Instagram_Usage_Lifestyle_Mini_!$C:$K)</f>
        <v>Female</v>
      </c>
      <c r="E545" t="str">
        <f>_xlfn.XLOOKUP($A:$A,Instagram_Usage_Lifestyle_Mini_!$A:$A,Instagram_Usage_Lifestyle_Mini_!$C:$K)</f>
        <v>Germany</v>
      </c>
      <c r="F545" t="str">
        <f>_xlfn.XLOOKUP($A:$A,Instagram_Usage_Lifestyle_Mini_!$A:$A,Instagram_Usage_Lifestyle_Mini_!$C:$K)</f>
        <v>Rural</v>
      </c>
      <c r="G545" t="str">
        <f>_xlfn.XLOOKUP($A:$A,Instagram_Usage_Lifestyle_Mini_!$A:$A,Instagram_Usage_Lifestyle_Mini_!$C:$K)</f>
        <v>Middle</v>
      </c>
      <c r="H545" t="str">
        <f>_xlfn.XLOOKUP($A:$A,Instagram_Usage_Lifestyle_Mini_!$A:$A,Instagram_Usage_Lifestyle_Mini_!$C:$K)</f>
        <v>Student</v>
      </c>
      <c r="I545" t="str">
        <f>_xlfn.XLOOKUP($A:$A,Instagram_Usage_Lifestyle_Mini_!$A:$A,Instagram_Usage_Lifestyle_Mini_!$C:$K)</f>
        <v>Bachelors_degree</v>
      </c>
      <c r="J545" t="str">
        <f>_xlfn.XLOOKUP($A:$A,Instagram_Usage_Lifestyle_Mini_!$A:$A,Instagram_Usage_Lifestyle_Mini_!$C:$K)</f>
        <v>Single</v>
      </c>
      <c r="K545" t="str">
        <f>_xlfn.XLOOKUP($A:$A,Instagram_Usage_Lifestyle_Mini_!$A:$A,Instagram_Usage_Lifestyle_Mini_!$C:$K)</f>
        <v>No</v>
      </c>
      <c r="L545" t="str" cm="1">
        <f t="array" ref="L545">_xlfn.IFS(C545&lt;18,"Under_18",C545&lt;=25,"Youth",C545&lt;=35,"Young_Adults",C545&lt;=45,"Mid_Adults",TRUE,"Seniors")</f>
        <v>Mid_Adults</v>
      </c>
    </row>
    <row r="546" spans="1:12" x14ac:dyDescent="0.2">
      <c r="A546">
        <v>545</v>
      </c>
      <c r="B546" t="str">
        <f>_xlfn.XLOOKUP(A546,Instagram_Usage_Lifestyle_Mini_!A546,Instagram_Usage_Lifestyle_Mini_!B546,1)</f>
        <v>Instagram</v>
      </c>
      <c r="C546">
        <f>_xlfn.XLOOKUP($A:$A,Instagram_Usage_Lifestyle_Mini_!$A:$A,Instagram_Usage_Lifestyle_Mini_!$C:$K)</f>
        <v>49</v>
      </c>
      <c r="D546" t="str">
        <f>_xlfn.XLOOKUP($A:$A,Instagram_Usage_Lifestyle_Mini_!$A:$A,Instagram_Usage_Lifestyle_Mini_!$C:$K)</f>
        <v>Female</v>
      </c>
      <c r="E546" t="str">
        <f>_xlfn.XLOOKUP($A:$A,Instagram_Usage_Lifestyle_Mini_!$A:$A,Instagram_Usage_Lifestyle_Mini_!$C:$K)</f>
        <v>Canada</v>
      </c>
      <c r="F546" t="str">
        <f>_xlfn.XLOOKUP($A:$A,Instagram_Usage_Lifestyle_Mini_!$A:$A,Instagram_Usage_Lifestyle_Mini_!$C:$K)</f>
        <v>Urban</v>
      </c>
      <c r="G546" t="str">
        <f>_xlfn.XLOOKUP($A:$A,Instagram_Usage_Lifestyle_Mini_!$A:$A,Instagram_Usage_Lifestyle_Mini_!$C:$K)</f>
        <v>Middle</v>
      </c>
      <c r="H546" t="str">
        <f>_xlfn.XLOOKUP($A:$A,Instagram_Usage_Lifestyle_Mini_!$A:$A,Instagram_Usage_Lifestyle_Mini_!$C:$K)</f>
        <v>Student</v>
      </c>
      <c r="I546" t="str">
        <f>_xlfn.XLOOKUP($A:$A,Instagram_Usage_Lifestyle_Mini_!$A:$A,Instagram_Usage_Lifestyle_Mini_!$C:$K)</f>
        <v>High_school</v>
      </c>
      <c r="J546" t="str">
        <f>_xlfn.XLOOKUP($A:$A,Instagram_Usage_Lifestyle_Mini_!$A:$A,Instagram_Usage_Lifestyle_Mini_!$C:$K)</f>
        <v>Single</v>
      </c>
      <c r="K546" t="str">
        <f>_xlfn.XLOOKUP($A:$A,Instagram_Usage_Lifestyle_Mini_!$A:$A,Instagram_Usage_Lifestyle_Mini_!$C:$K)</f>
        <v>No</v>
      </c>
      <c r="L546" t="str" cm="1">
        <f t="array" ref="L546">_xlfn.IFS(C546&lt;18,"Under_18",C546&lt;=25,"Youth",C546&lt;=35,"Young_Adults",C546&lt;=45,"Mid_Adults",TRUE,"Seniors")</f>
        <v>Seniors</v>
      </c>
    </row>
    <row r="547" spans="1:12" x14ac:dyDescent="0.2">
      <c r="A547">
        <v>546</v>
      </c>
      <c r="B547" t="str">
        <f>_xlfn.XLOOKUP(A547,Instagram_Usage_Lifestyle_Mini_!A547,Instagram_Usage_Lifestyle_Mini_!B547,1)</f>
        <v>Instagram</v>
      </c>
      <c r="C547">
        <f>_xlfn.XLOOKUP($A:$A,Instagram_Usage_Lifestyle_Mini_!$A:$A,Instagram_Usage_Lifestyle_Mini_!$C:$K)</f>
        <v>35</v>
      </c>
      <c r="D547" t="str">
        <f>_xlfn.XLOOKUP($A:$A,Instagram_Usage_Lifestyle_Mini_!$A:$A,Instagram_Usage_Lifestyle_Mini_!$C:$K)</f>
        <v>Male</v>
      </c>
      <c r="E547" t="str">
        <f>_xlfn.XLOOKUP($A:$A,Instagram_Usage_Lifestyle_Mini_!$A:$A,Instagram_Usage_Lifestyle_Mini_!$C:$K)</f>
        <v>Canada</v>
      </c>
      <c r="F547" t="str">
        <f>_xlfn.XLOOKUP($A:$A,Instagram_Usage_Lifestyle_Mini_!$A:$A,Instagram_Usage_Lifestyle_Mini_!$C:$K)</f>
        <v>Rural</v>
      </c>
      <c r="G547" t="str">
        <f>_xlfn.XLOOKUP($A:$A,Instagram_Usage_Lifestyle_Mini_!$A:$A,Instagram_Usage_Lifestyle_Mini_!$C:$K)</f>
        <v>High</v>
      </c>
      <c r="H547" t="str">
        <f>_xlfn.XLOOKUP($A:$A,Instagram_Usage_Lifestyle_Mini_!$A:$A,Instagram_Usage_Lifestyle_Mini_!$C:$K)</f>
        <v>Student</v>
      </c>
      <c r="I547" t="str">
        <f>_xlfn.XLOOKUP($A:$A,Instagram_Usage_Lifestyle_Mini_!$A:$A,Instagram_Usage_Lifestyle_Mini_!$C:$K)</f>
        <v>Bachelors_degree</v>
      </c>
      <c r="J547" t="str">
        <f>_xlfn.XLOOKUP($A:$A,Instagram_Usage_Lifestyle_Mini_!$A:$A,Instagram_Usage_Lifestyle_Mini_!$C:$K)</f>
        <v>Married</v>
      </c>
      <c r="K547" t="str">
        <f>_xlfn.XLOOKUP($A:$A,Instagram_Usage_Lifestyle_Mini_!$A:$A,Instagram_Usage_Lifestyle_Mini_!$C:$K)</f>
        <v>No</v>
      </c>
      <c r="L547" t="str" cm="1">
        <f t="array" ref="L547">_xlfn.IFS(C547&lt;18,"Under_18",C547&lt;=25,"Youth",C547&lt;=35,"Young_Adults",C547&lt;=45,"Mid_Adults",TRUE,"Seniors")</f>
        <v>Young_Adults</v>
      </c>
    </row>
    <row r="548" spans="1:12" x14ac:dyDescent="0.2">
      <c r="A548">
        <v>547</v>
      </c>
      <c r="B548" t="str">
        <f>_xlfn.XLOOKUP(A548,Instagram_Usage_Lifestyle_Mini_!A548,Instagram_Usage_Lifestyle_Mini_!B548,1)</f>
        <v>Instagram</v>
      </c>
      <c r="C548">
        <f>_xlfn.XLOOKUP($A:$A,Instagram_Usage_Lifestyle_Mini_!$A:$A,Instagram_Usage_Lifestyle_Mini_!$C:$K)</f>
        <v>22</v>
      </c>
      <c r="D548" t="str">
        <f>_xlfn.XLOOKUP($A:$A,Instagram_Usage_Lifestyle_Mini_!$A:$A,Instagram_Usage_Lifestyle_Mini_!$C:$K)</f>
        <v>Female</v>
      </c>
      <c r="E548" t="str">
        <f>_xlfn.XLOOKUP($A:$A,Instagram_Usage_Lifestyle_Mini_!$A:$A,Instagram_Usage_Lifestyle_Mini_!$C:$K)</f>
        <v>India</v>
      </c>
      <c r="F548" t="str">
        <f>_xlfn.XLOOKUP($A:$A,Instagram_Usage_Lifestyle_Mini_!$A:$A,Instagram_Usage_Lifestyle_Mini_!$C:$K)</f>
        <v>Suburban</v>
      </c>
      <c r="G548" t="str">
        <f>_xlfn.XLOOKUP($A:$A,Instagram_Usage_Lifestyle_Mini_!$A:$A,Instagram_Usage_Lifestyle_Mini_!$C:$K)</f>
        <v>Low</v>
      </c>
      <c r="H548" t="str">
        <f>_xlfn.XLOOKUP($A:$A,Instagram_Usage_Lifestyle_Mini_!$A:$A,Instagram_Usage_Lifestyle_Mini_!$C:$K)</f>
        <v>Student</v>
      </c>
      <c r="I548" t="str">
        <f>_xlfn.XLOOKUP($A:$A,Instagram_Usage_Lifestyle_Mini_!$A:$A,Instagram_Usage_Lifestyle_Mini_!$C:$K)</f>
        <v>High_school</v>
      </c>
      <c r="J548" t="str">
        <f>_xlfn.XLOOKUP($A:$A,Instagram_Usage_Lifestyle_Mini_!$A:$A,Instagram_Usage_Lifestyle_Mini_!$C:$K)</f>
        <v>Divorced</v>
      </c>
      <c r="K548" t="str">
        <f>_xlfn.XLOOKUP($A:$A,Instagram_Usage_Lifestyle_Mini_!$A:$A,Instagram_Usage_Lifestyle_Mini_!$C:$K)</f>
        <v>No</v>
      </c>
      <c r="L548" t="str" cm="1">
        <f t="array" ref="L548">_xlfn.IFS(C548&lt;18,"Under_18",C548&lt;=25,"Youth",C548&lt;=35,"Young_Adults",C548&lt;=45,"Mid_Adults",TRUE,"Seniors")</f>
        <v>Youth</v>
      </c>
    </row>
    <row r="549" spans="1:12" x14ac:dyDescent="0.2">
      <c r="A549">
        <v>548</v>
      </c>
      <c r="B549" t="str">
        <f>_xlfn.XLOOKUP(A549,Instagram_Usage_Lifestyle_Mini_!A549,Instagram_Usage_Lifestyle_Mini_!B549,1)</f>
        <v>Instagram</v>
      </c>
      <c r="C549">
        <f>_xlfn.XLOOKUP($A:$A,Instagram_Usage_Lifestyle_Mini_!$A:$A,Instagram_Usage_Lifestyle_Mini_!$C:$K)</f>
        <v>17</v>
      </c>
      <c r="D549" t="str">
        <f>_xlfn.XLOOKUP($A:$A,Instagram_Usage_Lifestyle_Mini_!$A:$A,Instagram_Usage_Lifestyle_Mini_!$C:$K)</f>
        <v>Male</v>
      </c>
      <c r="E549" t="str">
        <f>_xlfn.XLOOKUP($A:$A,Instagram_Usage_Lifestyle_Mini_!$A:$A,Instagram_Usage_Lifestyle_Mini_!$C:$K)</f>
        <v>South_Korea</v>
      </c>
      <c r="F549" t="str">
        <f>_xlfn.XLOOKUP($A:$A,Instagram_Usage_Lifestyle_Mini_!$A:$A,Instagram_Usage_Lifestyle_Mini_!$C:$K)</f>
        <v>Suburban</v>
      </c>
      <c r="G549" t="str">
        <f>_xlfn.XLOOKUP($A:$A,Instagram_Usage_Lifestyle_Mini_!$A:$A,Instagram_Usage_Lifestyle_Mini_!$C:$K)</f>
        <v>Low</v>
      </c>
      <c r="H549" t="str">
        <f>_xlfn.XLOOKUP($A:$A,Instagram_Usage_Lifestyle_Mini_!$A:$A,Instagram_Usage_Lifestyle_Mini_!$C:$K)</f>
        <v>Full_time_employed</v>
      </c>
      <c r="I549" t="str">
        <f>_xlfn.XLOOKUP($A:$A,Instagram_Usage_Lifestyle_Mini_!$A:$A,Instagram_Usage_Lifestyle_Mini_!$C:$K)</f>
        <v>Bachelors_degree</v>
      </c>
      <c r="J549" t="str">
        <f>_xlfn.XLOOKUP($A:$A,Instagram_Usage_Lifestyle_Mini_!$A:$A,Instagram_Usage_Lifestyle_Mini_!$C:$K)</f>
        <v>In_a_relationship</v>
      </c>
      <c r="K549" t="str">
        <f>_xlfn.XLOOKUP($A:$A,Instagram_Usage_Lifestyle_Mini_!$A:$A,Instagram_Usage_Lifestyle_Mini_!$C:$K)</f>
        <v>No</v>
      </c>
      <c r="L549" t="str" cm="1">
        <f t="array" ref="L549">_xlfn.IFS(C549&lt;18,"Under_18",C549&lt;=25,"Youth",C549&lt;=35,"Young_Adults",C549&lt;=45,"Mid_Adults",TRUE,"Seniors")</f>
        <v>Under_18</v>
      </c>
    </row>
    <row r="550" spans="1:12" x14ac:dyDescent="0.2">
      <c r="A550">
        <v>549</v>
      </c>
      <c r="B550" t="str">
        <f>_xlfn.XLOOKUP(A550,Instagram_Usage_Lifestyle_Mini_!A550,Instagram_Usage_Lifestyle_Mini_!B550,1)</f>
        <v>Instagram</v>
      </c>
      <c r="C550">
        <f>_xlfn.XLOOKUP($A:$A,Instagram_Usage_Lifestyle_Mini_!$A:$A,Instagram_Usage_Lifestyle_Mini_!$C:$K)</f>
        <v>48</v>
      </c>
      <c r="D550" t="str">
        <f>_xlfn.XLOOKUP($A:$A,Instagram_Usage_Lifestyle_Mini_!$A:$A,Instagram_Usage_Lifestyle_Mini_!$C:$K)</f>
        <v>Male</v>
      </c>
      <c r="E550" t="str">
        <f>_xlfn.XLOOKUP($A:$A,Instagram_Usage_Lifestyle_Mini_!$A:$A,Instagram_Usage_Lifestyle_Mini_!$C:$K)</f>
        <v>South_Korea</v>
      </c>
      <c r="F550" t="str">
        <f>_xlfn.XLOOKUP($A:$A,Instagram_Usage_Lifestyle_Mini_!$A:$A,Instagram_Usage_Lifestyle_Mini_!$C:$K)</f>
        <v>Suburban</v>
      </c>
      <c r="G550" t="str">
        <f>_xlfn.XLOOKUP($A:$A,Instagram_Usage_Lifestyle_Mini_!$A:$A,Instagram_Usage_Lifestyle_Mini_!$C:$K)</f>
        <v>Lower_middle</v>
      </c>
      <c r="H550" t="str">
        <f>_xlfn.XLOOKUP($A:$A,Instagram_Usage_Lifestyle_Mini_!$A:$A,Instagram_Usage_Lifestyle_Mini_!$C:$K)</f>
        <v>Full_time_employed</v>
      </c>
      <c r="I550" t="str">
        <f>_xlfn.XLOOKUP($A:$A,Instagram_Usage_Lifestyle_Mini_!$A:$A,Instagram_Usage_Lifestyle_Mini_!$C:$K)</f>
        <v>Bachelors_degree</v>
      </c>
      <c r="J550" t="str">
        <f>_xlfn.XLOOKUP($A:$A,Instagram_Usage_Lifestyle_Mini_!$A:$A,Instagram_Usage_Lifestyle_Mini_!$C:$K)</f>
        <v>Married</v>
      </c>
      <c r="K550" t="str">
        <f>_xlfn.XLOOKUP($A:$A,Instagram_Usage_Lifestyle_Mini_!$A:$A,Instagram_Usage_Lifestyle_Mini_!$C:$K)</f>
        <v>No</v>
      </c>
      <c r="L550" t="str" cm="1">
        <f t="array" ref="L550">_xlfn.IFS(C550&lt;18,"Under_18",C550&lt;=25,"Youth",C550&lt;=35,"Young_Adults",C550&lt;=45,"Mid_Adults",TRUE,"Seniors")</f>
        <v>Seniors</v>
      </c>
    </row>
    <row r="551" spans="1:12" x14ac:dyDescent="0.2">
      <c r="A551">
        <v>550</v>
      </c>
      <c r="B551" t="str">
        <f>_xlfn.XLOOKUP(A551,Instagram_Usage_Lifestyle_Mini_!A551,Instagram_Usage_Lifestyle_Mini_!B551,1)</f>
        <v>Instagram</v>
      </c>
      <c r="C551">
        <f>_xlfn.XLOOKUP($A:$A,Instagram_Usage_Lifestyle_Mini_!$A:$A,Instagram_Usage_Lifestyle_Mini_!$C:$K)</f>
        <v>46</v>
      </c>
      <c r="D551" t="str">
        <f>_xlfn.XLOOKUP($A:$A,Instagram_Usage_Lifestyle_Mini_!$A:$A,Instagram_Usage_Lifestyle_Mini_!$C:$K)</f>
        <v>Male</v>
      </c>
      <c r="E551" t="str">
        <f>_xlfn.XLOOKUP($A:$A,Instagram_Usage_Lifestyle_Mini_!$A:$A,Instagram_Usage_Lifestyle_Mini_!$C:$K)</f>
        <v>United _Kingdom</v>
      </c>
      <c r="F551" t="str">
        <f>_xlfn.XLOOKUP($A:$A,Instagram_Usage_Lifestyle_Mini_!$A:$A,Instagram_Usage_Lifestyle_Mini_!$C:$K)</f>
        <v>Rural</v>
      </c>
      <c r="G551" t="str">
        <f>_xlfn.XLOOKUP($A:$A,Instagram_Usage_Lifestyle_Mini_!$A:$A,Instagram_Usage_Lifestyle_Mini_!$C:$K)</f>
        <v>Low</v>
      </c>
      <c r="H551" t="str">
        <f>_xlfn.XLOOKUP($A:$A,Instagram_Usage_Lifestyle_Mini_!$A:$A,Instagram_Usage_Lifestyle_Mini_!$C:$K)</f>
        <v>Full_time_employed</v>
      </c>
      <c r="I551" t="str">
        <f>_xlfn.XLOOKUP($A:$A,Instagram_Usage_Lifestyle_Mini_!$A:$A,Instagram_Usage_Lifestyle_Mini_!$C:$K)</f>
        <v>High_school</v>
      </c>
      <c r="J551" t="str">
        <f>_xlfn.XLOOKUP($A:$A,Instagram_Usage_Lifestyle_Mini_!$A:$A,Instagram_Usage_Lifestyle_Mini_!$C:$K)</f>
        <v>Married</v>
      </c>
      <c r="K551" t="str">
        <f>_xlfn.XLOOKUP($A:$A,Instagram_Usage_Lifestyle_Mini_!$A:$A,Instagram_Usage_Lifestyle_Mini_!$C:$K)</f>
        <v>No</v>
      </c>
      <c r="L551" t="str" cm="1">
        <f t="array" ref="L551">_xlfn.IFS(C551&lt;18,"Under_18",C551&lt;=25,"Youth",C551&lt;=35,"Young_Adults",C551&lt;=45,"Mid_Adults",TRUE,"Seniors")</f>
        <v>Seniors</v>
      </c>
    </row>
    <row r="552" spans="1:12" x14ac:dyDescent="0.2">
      <c r="A552">
        <v>551</v>
      </c>
      <c r="B552" t="str">
        <f>_xlfn.XLOOKUP(A552,Instagram_Usage_Lifestyle_Mini_!A552,Instagram_Usage_Lifestyle_Mini_!B552,1)</f>
        <v>Instagram</v>
      </c>
      <c r="C552">
        <f>_xlfn.XLOOKUP($A:$A,Instagram_Usage_Lifestyle_Mini_!$A:$A,Instagram_Usage_Lifestyle_Mini_!$C:$K)</f>
        <v>64</v>
      </c>
      <c r="D552" t="str">
        <f>_xlfn.XLOOKUP($A:$A,Instagram_Usage_Lifestyle_Mini_!$A:$A,Instagram_Usage_Lifestyle_Mini_!$C:$K)</f>
        <v>Non_binary</v>
      </c>
      <c r="E552" t="str">
        <f>_xlfn.XLOOKUP($A:$A,Instagram_Usage_Lifestyle_Mini_!$A:$A,Instagram_Usage_Lifestyle_Mini_!$C:$K)</f>
        <v>Other</v>
      </c>
      <c r="F552" t="str">
        <f>_xlfn.XLOOKUP($A:$A,Instagram_Usage_Lifestyle_Mini_!$A:$A,Instagram_Usage_Lifestyle_Mini_!$C:$K)</f>
        <v>Urban</v>
      </c>
      <c r="G552" t="str">
        <f>_xlfn.XLOOKUP($A:$A,Instagram_Usage_Lifestyle_Mini_!$A:$A,Instagram_Usage_Lifestyle_Mini_!$C:$K)</f>
        <v>Upper_middle</v>
      </c>
      <c r="H552" t="str">
        <f>_xlfn.XLOOKUP($A:$A,Instagram_Usage_Lifestyle_Mini_!$A:$A,Instagram_Usage_Lifestyle_Mini_!$C:$K)</f>
        <v>Unemployed</v>
      </c>
      <c r="I552" t="str">
        <f>_xlfn.XLOOKUP($A:$A,Instagram_Usage_Lifestyle_Mini_!$A:$A,Instagram_Usage_Lifestyle_Mini_!$C:$K)</f>
        <v>High_school</v>
      </c>
      <c r="J552" t="str">
        <f>_xlfn.XLOOKUP($A:$A,Instagram_Usage_Lifestyle_Mini_!$A:$A,Instagram_Usage_Lifestyle_Mini_!$C:$K)</f>
        <v>Single</v>
      </c>
      <c r="K552" t="str">
        <f>_xlfn.XLOOKUP($A:$A,Instagram_Usage_Lifestyle_Mini_!$A:$A,Instagram_Usage_Lifestyle_Mini_!$C:$K)</f>
        <v>Yes</v>
      </c>
      <c r="L552" t="str" cm="1">
        <f t="array" ref="L552">_xlfn.IFS(C552&lt;18,"Under_18",C552&lt;=25,"Youth",C552&lt;=35,"Young_Adults",C552&lt;=45,"Mid_Adults",TRUE,"Seniors")</f>
        <v>Seniors</v>
      </c>
    </row>
    <row r="553" spans="1:12" x14ac:dyDescent="0.2">
      <c r="A553">
        <v>552</v>
      </c>
      <c r="B553" t="str">
        <f>_xlfn.XLOOKUP(A553,Instagram_Usage_Lifestyle_Mini_!A553,Instagram_Usage_Lifestyle_Mini_!B553,1)</f>
        <v>Instagram</v>
      </c>
      <c r="C553">
        <f>_xlfn.XLOOKUP($A:$A,Instagram_Usage_Lifestyle_Mini_!$A:$A,Instagram_Usage_Lifestyle_Mini_!$C:$K)</f>
        <v>43</v>
      </c>
      <c r="D553" t="str">
        <f>_xlfn.XLOOKUP($A:$A,Instagram_Usage_Lifestyle_Mini_!$A:$A,Instagram_Usage_Lifestyle_Mini_!$C:$K)</f>
        <v>Female</v>
      </c>
      <c r="E553" t="str">
        <f>_xlfn.XLOOKUP($A:$A,Instagram_Usage_Lifestyle_Mini_!$A:$A,Instagram_Usage_Lifestyle_Mini_!$C:$K)</f>
        <v>Australia</v>
      </c>
      <c r="F553" t="str">
        <f>_xlfn.XLOOKUP($A:$A,Instagram_Usage_Lifestyle_Mini_!$A:$A,Instagram_Usage_Lifestyle_Mini_!$C:$K)</f>
        <v>Suburban</v>
      </c>
      <c r="G553" t="str">
        <f>_xlfn.XLOOKUP($A:$A,Instagram_Usage_Lifestyle_Mini_!$A:$A,Instagram_Usage_Lifestyle_Mini_!$C:$K)</f>
        <v>Middle</v>
      </c>
      <c r="H553" t="str">
        <f>_xlfn.XLOOKUP($A:$A,Instagram_Usage_Lifestyle_Mini_!$A:$A,Instagram_Usage_Lifestyle_Mini_!$C:$K)</f>
        <v>Full_time_employed</v>
      </c>
      <c r="I553" t="str">
        <f>_xlfn.XLOOKUP($A:$A,Instagram_Usage_Lifestyle_Mini_!$A:$A,Instagram_Usage_Lifestyle_Mini_!$C:$K)</f>
        <v>High_school</v>
      </c>
      <c r="J553" t="str">
        <f>_xlfn.XLOOKUP($A:$A,Instagram_Usage_Lifestyle_Mini_!$A:$A,Instagram_Usage_Lifestyle_Mini_!$C:$K)</f>
        <v>Single</v>
      </c>
      <c r="K553" t="str">
        <f>_xlfn.XLOOKUP($A:$A,Instagram_Usage_Lifestyle_Mini_!$A:$A,Instagram_Usage_Lifestyle_Mini_!$C:$K)</f>
        <v>No</v>
      </c>
      <c r="L553" t="str" cm="1">
        <f t="array" ref="L553">_xlfn.IFS(C553&lt;18,"Under_18",C553&lt;=25,"Youth",C553&lt;=35,"Young_Adults",C553&lt;=45,"Mid_Adults",TRUE,"Seniors")</f>
        <v>Mid_Adults</v>
      </c>
    </row>
    <row r="554" spans="1:12" x14ac:dyDescent="0.2">
      <c r="A554">
        <v>553</v>
      </c>
      <c r="B554" t="str">
        <f>_xlfn.XLOOKUP(A554,Instagram_Usage_Lifestyle_Mini_!A554,Instagram_Usage_Lifestyle_Mini_!B554,1)</f>
        <v>Instagram</v>
      </c>
      <c r="C554">
        <f>_xlfn.XLOOKUP($A:$A,Instagram_Usage_Lifestyle_Mini_!$A:$A,Instagram_Usage_Lifestyle_Mini_!$C:$K)</f>
        <v>22</v>
      </c>
      <c r="D554" t="str">
        <f>_xlfn.XLOOKUP($A:$A,Instagram_Usage_Lifestyle_Mini_!$A:$A,Instagram_Usage_Lifestyle_Mini_!$C:$K)</f>
        <v>Female</v>
      </c>
      <c r="E554" t="str">
        <f>_xlfn.XLOOKUP($A:$A,Instagram_Usage_Lifestyle_Mini_!$A:$A,Instagram_Usage_Lifestyle_Mini_!$C:$K)</f>
        <v>Australia</v>
      </c>
      <c r="F554" t="str">
        <f>_xlfn.XLOOKUP($A:$A,Instagram_Usage_Lifestyle_Mini_!$A:$A,Instagram_Usage_Lifestyle_Mini_!$C:$K)</f>
        <v>Urban</v>
      </c>
      <c r="G554" t="str">
        <f>_xlfn.XLOOKUP($A:$A,Instagram_Usage_Lifestyle_Mini_!$A:$A,Instagram_Usage_Lifestyle_Mini_!$C:$K)</f>
        <v>Low</v>
      </c>
      <c r="H554" t="str">
        <f>_xlfn.XLOOKUP($A:$A,Instagram_Usage_Lifestyle_Mini_!$A:$A,Instagram_Usage_Lifestyle_Mini_!$C:$K)</f>
        <v>Full_time_employed</v>
      </c>
      <c r="I554" t="str">
        <f>_xlfn.XLOOKUP($A:$A,Instagram_Usage_Lifestyle_Mini_!$A:$A,Instagram_Usage_Lifestyle_Mini_!$C:$K)</f>
        <v>Bachelors_degree</v>
      </c>
      <c r="J554" t="str">
        <f>_xlfn.XLOOKUP($A:$A,Instagram_Usage_Lifestyle_Mini_!$A:$A,Instagram_Usage_Lifestyle_Mini_!$C:$K)</f>
        <v>Married</v>
      </c>
      <c r="K554" t="str">
        <f>_xlfn.XLOOKUP($A:$A,Instagram_Usage_Lifestyle_Mini_!$A:$A,Instagram_Usage_Lifestyle_Mini_!$C:$K)</f>
        <v>Yes</v>
      </c>
      <c r="L554" t="str" cm="1">
        <f t="array" ref="L554">_xlfn.IFS(C554&lt;18,"Under_18",C554&lt;=25,"Youth",C554&lt;=35,"Young_Adults",C554&lt;=45,"Mid_Adults",TRUE,"Seniors")</f>
        <v>Youth</v>
      </c>
    </row>
    <row r="555" spans="1:12" x14ac:dyDescent="0.2">
      <c r="A555">
        <v>554</v>
      </c>
      <c r="B555" t="str">
        <f>_xlfn.XLOOKUP(A555,Instagram_Usage_Lifestyle_Mini_!A555,Instagram_Usage_Lifestyle_Mini_!B555,1)</f>
        <v>Instagram</v>
      </c>
      <c r="C555">
        <f>_xlfn.XLOOKUP($A:$A,Instagram_Usage_Lifestyle_Mini_!$A:$A,Instagram_Usage_Lifestyle_Mini_!$C:$K)</f>
        <v>31</v>
      </c>
      <c r="D555" t="str">
        <f>_xlfn.XLOOKUP($A:$A,Instagram_Usage_Lifestyle_Mini_!$A:$A,Instagram_Usage_Lifestyle_Mini_!$C:$K)</f>
        <v>Non_binary</v>
      </c>
      <c r="E555" t="str">
        <f>_xlfn.XLOOKUP($A:$A,Instagram_Usage_Lifestyle_Mini_!$A:$A,Instagram_Usage_Lifestyle_Mini_!$C:$K)</f>
        <v>Other</v>
      </c>
      <c r="F555" t="str">
        <f>_xlfn.XLOOKUP($A:$A,Instagram_Usage_Lifestyle_Mini_!$A:$A,Instagram_Usage_Lifestyle_Mini_!$C:$K)</f>
        <v>Suburban</v>
      </c>
      <c r="G555" t="str">
        <f>_xlfn.XLOOKUP($A:$A,Instagram_Usage_Lifestyle_Mini_!$A:$A,Instagram_Usage_Lifestyle_Mini_!$C:$K)</f>
        <v>Upper_middle</v>
      </c>
      <c r="H555" t="str">
        <f>_xlfn.XLOOKUP($A:$A,Instagram_Usage_Lifestyle_Mini_!$A:$A,Instagram_Usage_Lifestyle_Mini_!$C:$K)</f>
        <v>Unemployed</v>
      </c>
      <c r="I555" t="str">
        <f>_xlfn.XLOOKUP($A:$A,Instagram_Usage_Lifestyle_Mini_!$A:$A,Instagram_Usage_Lifestyle_Mini_!$C:$K)</f>
        <v>High_school</v>
      </c>
      <c r="J555" t="str">
        <f>_xlfn.XLOOKUP($A:$A,Instagram_Usage_Lifestyle_Mini_!$A:$A,Instagram_Usage_Lifestyle_Mini_!$C:$K)</f>
        <v>Married</v>
      </c>
      <c r="K555" t="str">
        <f>_xlfn.XLOOKUP($A:$A,Instagram_Usage_Lifestyle_Mini_!$A:$A,Instagram_Usage_Lifestyle_Mini_!$C:$K)</f>
        <v>No</v>
      </c>
      <c r="L555" t="str" cm="1">
        <f t="array" ref="L555">_xlfn.IFS(C555&lt;18,"Under_18",C555&lt;=25,"Youth",C555&lt;=35,"Young_Adults",C555&lt;=45,"Mid_Adults",TRUE,"Seniors")</f>
        <v>Young_Adults</v>
      </c>
    </row>
    <row r="556" spans="1:12" x14ac:dyDescent="0.2">
      <c r="A556">
        <v>555</v>
      </c>
      <c r="B556" t="str">
        <f>_xlfn.XLOOKUP(A556,Instagram_Usage_Lifestyle_Mini_!A556,Instagram_Usage_Lifestyle_Mini_!B556,1)</f>
        <v>Instagram</v>
      </c>
      <c r="C556">
        <f>_xlfn.XLOOKUP($A:$A,Instagram_Usage_Lifestyle_Mini_!$A:$A,Instagram_Usage_Lifestyle_Mini_!$C:$K)</f>
        <v>44</v>
      </c>
      <c r="D556" t="str">
        <f>_xlfn.XLOOKUP($A:$A,Instagram_Usage_Lifestyle_Mini_!$A:$A,Instagram_Usage_Lifestyle_Mini_!$C:$K)</f>
        <v>Female</v>
      </c>
      <c r="E556" t="str">
        <f>_xlfn.XLOOKUP($A:$A,Instagram_Usage_Lifestyle_Mini_!$A:$A,Instagram_Usage_Lifestyle_Mini_!$C:$K)</f>
        <v>South_Korea</v>
      </c>
      <c r="F556" t="str">
        <f>_xlfn.XLOOKUP($A:$A,Instagram_Usage_Lifestyle_Mini_!$A:$A,Instagram_Usage_Lifestyle_Mini_!$C:$K)</f>
        <v>Rural</v>
      </c>
      <c r="G556" t="str">
        <f>_xlfn.XLOOKUP($A:$A,Instagram_Usage_Lifestyle_Mini_!$A:$A,Instagram_Usage_Lifestyle_Mini_!$C:$K)</f>
        <v>Low</v>
      </c>
      <c r="H556" t="str">
        <f>_xlfn.XLOOKUP($A:$A,Instagram_Usage_Lifestyle_Mini_!$A:$A,Instagram_Usage_Lifestyle_Mini_!$C:$K)</f>
        <v>Student</v>
      </c>
      <c r="I556" t="str">
        <f>_xlfn.XLOOKUP($A:$A,Instagram_Usage_Lifestyle_Mini_!$A:$A,Instagram_Usage_Lifestyle_Mini_!$C:$K)</f>
        <v>Some_college</v>
      </c>
      <c r="J556" t="str">
        <f>_xlfn.XLOOKUP($A:$A,Instagram_Usage_Lifestyle_Mini_!$A:$A,Instagram_Usage_Lifestyle_Mini_!$C:$K)</f>
        <v>In_a_relationship</v>
      </c>
      <c r="K556" t="str">
        <f>_xlfn.XLOOKUP($A:$A,Instagram_Usage_Lifestyle_Mini_!$A:$A,Instagram_Usage_Lifestyle_Mini_!$C:$K)</f>
        <v>Yes</v>
      </c>
      <c r="L556" t="str" cm="1">
        <f t="array" ref="L556">_xlfn.IFS(C556&lt;18,"Under_18",C556&lt;=25,"Youth",C556&lt;=35,"Young_Adults",C556&lt;=45,"Mid_Adults",TRUE,"Seniors")</f>
        <v>Mid_Adults</v>
      </c>
    </row>
    <row r="557" spans="1:12" x14ac:dyDescent="0.2">
      <c r="A557">
        <v>556</v>
      </c>
      <c r="B557" t="str">
        <f>_xlfn.XLOOKUP(A557,Instagram_Usage_Lifestyle_Mini_!A557,Instagram_Usage_Lifestyle_Mini_!B557,1)</f>
        <v>Instagram</v>
      </c>
      <c r="C557">
        <f>_xlfn.XLOOKUP($A:$A,Instagram_Usage_Lifestyle_Mini_!$A:$A,Instagram_Usage_Lifestyle_Mini_!$C:$K)</f>
        <v>13</v>
      </c>
      <c r="D557" t="str">
        <f>_xlfn.XLOOKUP($A:$A,Instagram_Usage_Lifestyle_Mini_!$A:$A,Instagram_Usage_Lifestyle_Mini_!$C:$K)</f>
        <v>Female</v>
      </c>
      <c r="E557" t="str">
        <f>_xlfn.XLOOKUP($A:$A,Instagram_Usage_Lifestyle_Mini_!$A:$A,Instagram_Usage_Lifestyle_Mini_!$C:$K)</f>
        <v>Brazil</v>
      </c>
      <c r="F557" t="str">
        <f>_xlfn.XLOOKUP($A:$A,Instagram_Usage_Lifestyle_Mini_!$A:$A,Instagram_Usage_Lifestyle_Mini_!$C:$K)</f>
        <v>Urban</v>
      </c>
      <c r="G557" t="str">
        <f>_xlfn.XLOOKUP($A:$A,Instagram_Usage_Lifestyle_Mini_!$A:$A,Instagram_Usage_Lifestyle_Mini_!$C:$K)</f>
        <v>Lower_middle</v>
      </c>
      <c r="H557" t="str">
        <f>_xlfn.XLOOKUP($A:$A,Instagram_Usage_Lifestyle_Mini_!$A:$A,Instagram_Usage_Lifestyle_Mini_!$C:$K)</f>
        <v>Full_time_employed</v>
      </c>
      <c r="I557" t="str">
        <f>_xlfn.XLOOKUP($A:$A,Instagram_Usage_Lifestyle_Mini_!$A:$A,Instagram_Usage_Lifestyle_Mini_!$C:$K)</f>
        <v>Masters_degree</v>
      </c>
      <c r="J557" t="str">
        <f>_xlfn.XLOOKUP($A:$A,Instagram_Usage_Lifestyle_Mini_!$A:$A,Instagram_Usage_Lifestyle_Mini_!$C:$K)</f>
        <v>Single</v>
      </c>
      <c r="K557" t="str">
        <f>_xlfn.XLOOKUP($A:$A,Instagram_Usage_Lifestyle_Mini_!$A:$A,Instagram_Usage_Lifestyle_Mini_!$C:$K)</f>
        <v>No</v>
      </c>
      <c r="L557" t="str" cm="1">
        <f t="array" ref="L557">_xlfn.IFS(C557&lt;18,"Under_18",C557&lt;=25,"Youth",C557&lt;=35,"Young_Adults",C557&lt;=45,"Mid_Adults",TRUE,"Seniors")</f>
        <v>Under_18</v>
      </c>
    </row>
    <row r="558" spans="1:12" x14ac:dyDescent="0.2">
      <c r="A558">
        <v>557</v>
      </c>
      <c r="B558" t="str">
        <f>_xlfn.XLOOKUP(A558,Instagram_Usage_Lifestyle_Mini_!A558,Instagram_Usage_Lifestyle_Mini_!B558,1)</f>
        <v>Instagram</v>
      </c>
      <c r="C558">
        <f>_xlfn.XLOOKUP($A:$A,Instagram_Usage_Lifestyle_Mini_!$A:$A,Instagram_Usage_Lifestyle_Mini_!$C:$K)</f>
        <v>17</v>
      </c>
      <c r="D558" t="str">
        <f>_xlfn.XLOOKUP($A:$A,Instagram_Usage_Lifestyle_Mini_!$A:$A,Instagram_Usage_Lifestyle_Mini_!$C:$K)</f>
        <v>Non_binary</v>
      </c>
      <c r="E558" t="str">
        <f>_xlfn.XLOOKUP($A:$A,Instagram_Usage_Lifestyle_Mini_!$A:$A,Instagram_Usage_Lifestyle_Mini_!$C:$K)</f>
        <v>Other</v>
      </c>
      <c r="F558" t="str">
        <f>_xlfn.XLOOKUP($A:$A,Instagram_Usage_Lifestyle_Mini_!$A:$A,Instagram_Usage_Lifestyle_Mini_!$C:$K)</f>
        <v>Urban</v>
      </c>
      <c r="G558" t="str">
        <f>_xlfn.XLOOKUP($A:$A,Instagram_Usage_Lifestyle_Mini_!$A:$A,Instagram_Usage_Lifestyle_Mini_!$C:$K)</f>
        <v>Middle</v>
      </c>
      <c r="H558" t="str">
        <f>_xlfn.XLOOKUP($A:$A,Instagram_Usage_Lifestyle_Mini_!$A:$A,Instagram_Usage_Lifestyle_Mini_!$C:$K)</f>
        <v>Full_time_employed</v>
      </c>
      <c r="I558" t="str">
        <f>_xlfn.XLOOKUP($A:$A,Instagram_Usage_Lifestyle_Mini_!$A:$A,Instagram_Usage_Lifestyle_Mini_!$C:$K)</f>
        <v>Masters_degree</v>
      </c>
      <c r="J558" t="str">
        <f>_xlfn.XLOOKUP($A:$A,Instagram_Usage_Lifestyle_Mini_!$A:$A,Instagram_Usage_Lifestyle_Mini_!$C:$K)</f>
        <v>Single</v>
      </c>
      <c r="K558" t="str">
        <f>_xlfn.XLOOKUP($A:$A,Instagram_Usage_Lifestyle_Mini_!$A:$A,Instagram_Usage_Lifestyle_Mini_!$C:$K)</f>
        <v>No</v>
      </c>
      <c r="L558" t="str" cm="1">
        <f t="array" ref="L558">_xlfn.IFS(C558&lt;18,"Under_18",C558&lt;=25,"Youth",C558&lt;=35,"Young_Adults",C558&lt;=45,"Mid_Adults",TRUE,"Seniors")</f>
        <v>Under_18</v>
      </c>
    </row>
    <row r="559" spans="1:12" x14ac:dyDescent="0.2">
      <c r="A559">
        <v>558</v>
      </c>
      <c r="B559" t="str">
        <f>_xlfn.XLOOKUP(A559,Instagram_Usage_Lifestyle_Mini_!A559,Instagram_Usage_Lifestyle_Mini_!B559,1)</f>
        <v>Instagram</v>
      </c>
      <c r="C559">
        <f>_xlfn.XLOOKUP($A:$A,Instagram_Usage_Lifestyle_Mini_!$A:$A,Instagram_Usage_Lifestyle_Mini_!$C:$K)</f>
        <v>57</v>
      </c>
      <c r="D559" t="str">
        <f>_xlfn.XLOOKUP($A:$A,Instagram_Usage_Lifestyle_Mini_!$A:$A,Instagram_Usage_Lifestyle_Mini_!$C:$K)</f>
        <v>Male</v>
      </c>
      <c r="E559" t="str">
        <f>_xlfn.XLOOKUP($A:$A,Instagram_Usage_Lifestyle_Mini_!$A:$A,Instagram_Usage_Lifestyle_Mini_!$C:$K)</f>
        <v>India</v>
      </c>
      <c r="F559" t="str">
        <f>_xlfn.XLOOKUP($A:$A,Instagram_Usage_Lifestyle_Mini_!$A:$A,Instagram_Usage_Lifestyle_Mini_!$C:$K)</f>
        <v>Urban</v>
      </c>
      <c r="G559" t="str">
        <f>_xlfn.XLOOKUP($A:$A,Instagram_Usage_Lifestyle_Mini_!$A:$A,Instagram_Usage_Lifestyle_Mini_!$C:$K)</f>
        <v>Middle</v>
      </c>
      <c r="H559" t="str">
        <f>_xlfn.XLOOKUP($A:$A,Instagram_Usage_Lifestyle_Mini_!$A:$A,Instagram_Usage_Lifestyle_Mini_!$C:$K)</f>
        <v>Full_time_employed</v>
      </c>
      <c r="I559" t="str">
        <f>_xlfn.XLOOKUP($A:$A,Instagram_Usage_Lifestyle_Mini_!$A:$A,Instagram_Usage_Lifestyle_Mini_!$C:$K)</f>
        <v>Some_college</v>
      </c>
      <c r="J559" t="str">
        <f>_xlfn.XLOOKUP($A:$A,Instagram_Usage_Lifestyle_Mini_!$A:$A,Instagram_Usage_Lifestyle_Mini_!$C:$K)</f>
        <v>In_a_relationship</v>
      </c>
      <c r="K559" t="str">
        <f>_xlfn.XLOOKUP($A:$A,Instagram_Usage_Lifestyle_Mini_!$A:$A,Instagram_Usage_Lifestyle_Mini_!$C:$K)</f>
        <v>No</v>
      </c>
      <c r="L559" t="str" cm="1">
        <f t="array" ref="L559">_xlfn.IFS(C559&lt;18,"Under_18",C559&lt;=25,"Youth",C559&lt;=35,"Young_Adults",C559&lt;=45,"Mid_Adults",TRUE,"Seniors")</f>
        <v>Seniors</v>
      </c>
    </row>
    <row r="560" spans="1:12" x14ac:dyDescent="0.2">
      <c r="A560">
        <v>559</v>
      </c>
      <c r="B560" t="str">
        <f>_xlfn.XLOOKUP(A560,Instagram_Usage_Lifestyle_Mini_!A560,Instagram_Usage_Lifestyle_Mini_!B560,1)</f>
        <v>Instagram</v>
      </c>
      <c r="C560">
        <f>_xlfn.XLOOKUP($A:$A,Instagram_Usage_Lifestyle_Mini_!$A:$A,Instagram_Usage_Lifestyle_Mini_!$C:$K)</f>
        <v>16</v>
      </c>
      <c r="D560" t="str">
        <f>_xlfn.XLOOKUP($A:$A,Instagram_Usage_Lifestyle_Mini_!$A:$A,Instagram_Usage_Lifestyle_Mini_!$C:$K)</f>
        <v>Male</v>
      </c>
      <c r="E560" t="str">
        <f>_xlfn.XLOOKUP($A:$A,Instagram_Usage_Lifestyle_Mini_!$A:$A,Instagram_Usage_Lifestyle_Mini_!$C:$K)</f>
        <v>Brazil</v>
      </c>
      <c r="F560" t="str">
        <f>_xlfn.XLOOKUP($A:$A,Instagram_Usage_Lifestyle_Mini_!$A:$A,Instagram_Usage_Lifestyle_Mini_!$C:$K)</f>
        <v>Urban</v>
      </c>
      <c r="G560" t="str">
        <f>_xlfn.XLOOKUP($A:$A,Instagram_Usage_Lifestyle_Mini_!$A:$A,Instagram_Usage_Lifestyle_Mini_!$C:$K)</f>
        <v>Upper_middle</v>
      </c>
      <c r="H560" t="str">
        <f>_xlfn.XLOOKUP($A:$A,Instagram_Usage_Lifestyle_Mini_!$A:$A,Instagram_Usage_Lifestyle_Mini_!$C:$K)</f>
        <v>Full_time_employed</v>
      </c>
      <c r="I560" t="str">
        <f>_xlfn.XLOOKUP($A:$A,Instagram_Usage_Lifestyle_Mini_!$A:$A,Instagram_Usage_Lifestyle_Mini_!$C:$K)</f>
        <v>High_school</v>
      </c>
      <c r="J560" t="str">
        <f>_xlfn.XLOOKUP($A:$A,Instagram_Usage_Lifestyle_Mini_!$A:$A,Instagram_Usage_Lifestyle_Mini_!$C:$K)</f>
        <v>Divorced</v>
      </c>
      <c r="K560" t="str">
        <f>_xlfn.XLOOKUP($A:$A,Instagram_Usage_Lifestyle_Mini_!$A:$A,Instagram_Usage_Lifestyle_Mini_!$C:$K)</f>
        <v>No</v>
      </c>
      <c r="L560" t="str" cm="1">
        <f t="array" ref="L560">_xlfn.IFS(C560&lt;18,"Under_18",C560&lt;=25,"Youth",C560&lt;=35,"Young_Adults",C560&lt;=45,"Mid_Adults",TRUE,"Seniors")</f>
        <v>Under_18</v>
      </c>
    </row>
    <row r="561" spans="1:12" x14ac:dyDescent="0.2">
      <c r="A561">
        <v>560</v>
      </c>
      <c r="B561" t="str">
        <f>_xlfn.XLOOKUP(A561,Instagram_Usage_Lifestyle_Mini_!A561,Instagram_Usage_Lifestyle_Mini_!B561,1)</f>
        <v>Instagram</v>
      </c>
      <c r="C561">
        <f>_xlfn.XLOOKUP($A:$A,Instagram_Usage_Lifestyle_Mini_!$A:$A,Instagram_Usage_Lifestyle_Mini_!$C:$K)</f>
        <v>28</v>
      </c>
      <c r="D561" t="str">
        <f>_xlfn.XLOOKUP($A:$A,Instagram_Usage_Lifestyle_Mini_!$A:$A,Instagram_Usage_Lifestyle_Mini_!$C:$K)</f>
        <v>Male</v>
      </c>
      <c r="E561" t="str">
        <f>_xlfn.XLOOKUP($A:$A,Instagram_Usage_Lifestyle_Mini_!$A:$A,Instagram_Usage_Lifestyle_Mini_!$C:$K)</f>
        <v>Germany</v>
      </c>
      <c r="F561" t="str">
        <f>_xlfn.XLOOKUP($A:$A,Instagram_Usage_Lifestyle_Mini_!$A:$A,Instagram_Usage_Lifestyle_Mini_!$C:$K)</f>
        <v>Urban</v>
      </c>
      <c r="G561" t="str">
        <f>_xlfn.XLOOKUP($A:$A,Instagram_Usage_Lifestyle_Mini_!$A:$A,Instagram_Usage_Lifestyle_Mini_!$C:$K)</f>
        <v>Upper_middle</v>
      </c>
      <c r="H561" t="str">
        <f>_xlfn.XLOOKUP($A:$A,Instagram_Usage_Lifestyle_Mini_!$A:$A,Instagram_Usage_Lifestyle_Mini_!$C:$K)</f>
        <v>Unemployed</v>
      </c>
      <c r="I561" t="str">
        <f>_xlfn.XLOOKUP($A:$A,Instagram_Usage_Lifestyle_Mini_!$A:$A,Instagram_Usage_Lifestyle_Mini_!$C:$K)</f>
        <v>High_school</v>
      </c>
      <c r="J561" t="str">
        <f>_xlfn.XLOOKUP($A:$A,Instagram_Usage_Lifestyle_Mini_!$A:$A,Instagram_Usage_Lifestyle_Mini_!$C:$K)</f>
        <v>Married</v>
      </c>
      <c r="K561" t="str">
        <f>_xlfn.XLOOKUP($A:$A,Instagram_Usage_Lifestyle_Mini_!$A:$A,Instagram_Usage_Lifestyle_Mini_!$C:$K)</f>
        <v>No</v>
      </c>
      <c r="L561" t="str" cm="1">
        <f t="array" ref="L561">_xlfn.IFS(C561&lt;18,"Under_18",C561&lt;=25,"Youth",C561&lt;=35,"Young_Adults",C561&lt;=45,"Mid_Adults",TRUE,"Seniors")</f>
        <v>Young_Adults</v>
      </c>
    </row>
    <row r="562" spans="1:12" x14ac:dyDescent="0.2">
      <c r="A562">
        <v>561</v>
      </c>
      <c r="B562" t="str">
        <f>_xlfn.XLOOKUP(A562,Instagram_Usage_Lifestyle_Mini_!A562,Instagram_Usage_Lifestyle_Mini_!B562,1)</f>
        <v>Instagram</v>
      </c>
      <c r="C562">
        <f>_xlfn.XLOOKUP($A:$A,Instagram_Usage_Lifestyle_Mini_!$A:$A,Instagram_Usage_Lifestyle_Mini_!$C:$K)</f>
        <v>36</v>
      </c>
      <c r="D562" t="str">
        <f>_xlfn.XLOOKUP($A:$A,Instagram_Usage_Lifestyle_Mini_!$A:$A,Instagram_Usage_Lifestyle_Mini_!$C:$K)</f>
        <v>Female</v>
      </c>
      <c r="E562" t="str">
        <f>_xlfn.XLOOKUP($A:$A,Instagram_Usage_Lifestyle_Mini_!$A:$A,Instagram_Usage_Lifestyle_Mini_!$C:$K)</f>
        <v>Germany</v>
      </c>
      <c r="F562" t="str">
        <f>_xlfn.XLOOKUP($A:$A,Instagram_Usage_Lifestyle_Mini_!$A:$A,Instagram_Usage_Lifestyle_Mini_!$C:$K)</f>
        <v>Urban</v>
      </c>
      <c r="G562" t="str">
        <f>_xlfn.XLOOKUP($A:$A,Instagram_Usage_Lifestyle_Mini_!$A:$A,Instagram_Usage_Lifestyle_Mini_!$C:$K)</f>
        <v>Middle</v>
      </c>
      <c r="H562" t="str">
        <f>_xlfn.XLOOKUP($A:$A,Instagram_Usage_Lifestyle_Mini_!$A:$A,Instagram_Usage_Lifestyle_Mini_!$C:$K)</f>
        <v>Full_time_employed</v>
      </c>
      <c r="I562" t="str">
        <f>_xlfn.XLOOKUP($A:$A,Instagram_Usage_Lifestyle_Mini_!$A:$A,Instagram_Usage_Lifestyle_Mini_!$C:$K)</f>
        <v>Bachelors_degree</v>
      </c>
      <c r="J562" t="str">
        <f>_xlfn.XLOOKUP($A:$A,Instagram_Usage_Lifestyle_Mini_!$A:$A,Instagram_Usage_Lifestyle_Mini_!$C:$K)</f>
        <v>Single</v>
      </c>
      <c r="K562" t="str">
        <f>_xlfn.XLOOKUP($A:$A,Instagram_Usage_Lifestyle_Mini_!$A:$A,Instagram_Usage_Lifestyle_Mini_!$C:$K)</f>
        <v>No</v>
      </c>
      <c r="L562" t="str" cm="1">
        <f t="array" ref="L562">_xlfn.IFS(C562&lt;18,"Under_18",C562&lt;=25,"Youth",C562&lt;=35,"Young_Adults",C562&lt;=45,"Mid_Adults",TRUE,"Seniors")</f>
        <v>Mid_Adults</v>
      </c>
    </row>
    <row r="563" spans="1:12" x14ac:dyDescent="0.2">
      <c r="A563">
        <v>562</v>
      </c>
      <c r="B563" t="str">
        <f>_xlfn.XLOOKUP(A563,Instagram_Usage_Lifestyle_Mini_!A563,Instagram_Usage_Lifestyle_Mini_!B563,1)</f>
        <v>Instagram</v>
      </c>
      <c r="C563">
        <f>_xlfn.XLOOKUP($A:$A,Instagram_Usage_Lifestyle_Mini_!$A:$A,Instagram_Usage_Lifestyle_Mini_!$C:$K)</f>
        <v>28</v>
      </c>
      <c r="D563" t="str">
        <f>_xlfn.XLOOKUP($A:$A,Instagram_Usage_Lifestyle_Mini_!$A:$A,Instagram_Usage_Lifestyle_Mini_!$C:$K)</f>
        <v>Male</v>
      </c>
      <c r="E563" t="str">
        <f>_xlfn.XLOOKUP($A:$A,Instagram_Usage_Lifestyle_Mini_!$A:$A,Instagram_Usage_Lifestyle_Mini_!$C:$K)</f>
        <v>Brazil</v>
      </c>
      <c r="F563" t="str">
        <f>_xlfn.XLOOKUP($A:$A,Instagram_Usage_Lifestyle_Mini_!$A:$A,Instagram_Usage_Lifestyle_Mini_!$C:$K)</f>
        <v>Urban</v>
      </c>
      <c r="G563" t="str">
        <f>_xlfn.XLOOKUP($A:$A,Instagram_Usage_Lifestyle_Mini_!$A:$A,Instagram_Usage_Lifestyle_Mini_!$C:$K)</f>
        <v>Upper_middle</v>
      </c>
      <c r="H563" t="str">
        <f>_xlfn.XLOOKUP($A:$A,Instagram_Usage_Lifestyle_Mini_!$A:$A,Instagram_Usage_Lifestyle_Mini_!$C:$K)</f>
        <v>Part_time</v>
      </c>
      <c r="I563" t="str">
        <f>_xlfn.XLOOKUP($A:$A,Instagram_Usage_Lifestyle_Mini_!$A:$A,Instagram_Usage_Lifestyle_Mini_!$C:$K)</f>
        <v>High_school</v>
      </c>
      <c r="J563" t="str">
        <f>_xlfn.XLOOKUP($A:$A,Instagram_Usage_Lifestyle_Mini_!$A:$A,Instagram_Usage_Lifestyle_Mini_!$C:$K)</f>
        <v>Divorced</v>
      </c>
      <c r="K563" t="str">
        <f>_xlfn.XLOOKUP($A:$A,Instagram_Usage_Lifestyle_Mini_!$A:$A,Instagram_Usage_Lifestyle_Mini_!$C:$K)</f>
        <v>Yes</v>
      </c>
      <c r="L563" t="str" cm="1">
        <f t="array" ref="L563">_xlfn.IFS(C563&lt;18,"Under_18",C563&lt;=25,"Youth",C563&lt;=35,"Young_Adults",C563&lt;=45,"Mid_Adults",TRUE,"Seniors")</f>
        <v>Young_Adults</v>
      </c>
    </row>
    <row r="564" spans="1:12" x14ac:dyDescent="0.2">
      <c r="A564">
        <v>563</v>
      </c>
      <c r="B564" t="str">
        <f>_xlfn.XLOOKUP(A564,Instagram_Usage_Lifestyle_Mini_!A564,Instagram_Usage_Lifestyle_Mini_!B564,1)</f>
        <v>Instagram</v>
      </c>
      <c r="C564">
        <f>_xlfn.XLOOKUP($A:$A,Instagram_Usage_Lifestyle_Mini_!$A:$A,Instagram_Usage_Lifestyle_Mini_!$C:$K)</f>
        <v>14</v>
      </c>
      <c r="D564" t="str">
        <f>_xlfn.XLOOKUP($A:$A,Instagram_Usage_Lifestyle_Mini_!$A:$A,Instagram_Usage_Lifestyle_Mini_!$C:$K)</f>
        <v>Female</v>
      </c>
      <c r="E564" t="str">
        <f>_xlfn.XLOOKUP($A:$A,Instagram_Usage_Lifestyle_Mini_!$A:$A,Instagram_Usage_Lifestyle_Mini_!$C:$K)</f>
        <v>Other</v>
      </c>
      <c r="F564" t="str">
        <f>_xlfn.XLOOKUP($A:$A,Instagram_Usage_Lifestyle_Mini_!$A:$A,Instagram_Usage_Lifestyle_Mini_!$C:$K)</f>
        <v>Urban</v>
      </c>
      <c r="G564" t="str">
        <f>_xlfn.XLOOKUP($A:$A,Instagram_Usage_Lifestyle_Mini_!$A:$A,Instagram_Usage_Lifestyle_Mini_!$C:$K)</f>
        <v>Middle</v>
      </c>
      <c r="H564" t="str">
        <f>_xlfn.XLOOKUP($A:$A,Instagram_Usage_Lifestyle_Mini_!$A:$A,Instagram_Usage_Lifestyle_Mini_!$C:$K)</f>
        <v>Full_time_employed</v>
      </c>
      <c r="I564" t="str">
        <f>_xlfn.XLOOKUP($A:$A,Instagram_Usage_Lifestyle_Mini_!$A:$A,Instagram_Usage_Lifestyle_Mini_!$C:$K)</f>
        <v>Some_college</v>
      </c>
      <c r="J564" t="str">
        <f>_xlfn.XLOOKUP($A:$A,Instagram_Usage_Lifestyle_Mini_!$A:$A,Instagram_Usage_Lifestyle_Mini_!$C:$K)</f>
        <v>Single</v>
      </c>
      <c r="K564" t="str">
        <f>_xlfn.XLOOKUP($A:$A,Instagram_Usage_Lifestyle_Mini_!$A:$A,Instagram_Usage_Lifestyle_Mini_!$C:$K)</f>
        <v>Yes</v>
      </c>
      <c r="L564" t="str" cm="1">
        <f t="array" ref="L564">_xlfn.IFS(C564&lt;18,"Under_18",C564&lt;=25,"Youth",C564&lt;=35,"Young_Adults",C564&lt;=45,"Mid_Adults",TRUE,"Seniors")</f>
        <v>Under_18</v>
      </c>
    </row>
    <row r="565" spans="1:12" x14ac:dyDescent="0.2">
      <c r="A565">
        <v>564</v>
      </c>
      <c r="B565" t="str">
        <f>_xlfn.XLOOKUP(A565,Instagram_Usage_Lifestyle_Mini_!A565,Instagram_Usage_Lifestyle_Mini_!B565,1)</f>
        <v>Instagram</v>
      </c>
      <c r="C565">
        <f>_xlfn.XLOOKUP($A:$A,Instagram_Usage_Lifestyle_Mini_!$A:$A,Instagram_Usage_Lifestyle_Mini_!$C:$K)</f>
        <v>61</v>
      </c>
      <c r="D565" t="str">
        <f>_xlfn.XLOOKUP($A:$A,Instagram_Usage_Lifestyle_Mini_!$A:$A,Instagram_Usage_Lifestyle_Mini_!$C:$K)</f>
        <v>Female</v>
      </c>
      <c r="E565" t="str">
        <f>_xlfn.XLOOKUP($A:$A,Instagram_Usage_Lifestyle_Mini_!$A:$A,Instagram_Usage_Lifestyle_Mini_!$C:$K)</f>
        <v>Canada</v>
      </c>
      <c r="F565" t="str">
        <f>_xlfn.XLOOKUP($A:$A,Instagram_Usage_Lifestyle_Mini_!$A:$A,Instagram_Usage_Lifestyle_Mini_!$C:$K)</f>
        <v>Urban</v>
      </c>
      <c r="G565" t="str">
        <f>_xlfn.XLOOKUP($A:$A,Instagram_Usage_Lifestyle_Mini_!$A:$A,Instagram_Usage_Lifestyle_Mini_!$C:$K)</f>
        <v>Low</v>
      </c>
      <c r="H565" t="str">
        <f>_xlfn.XLOOKUP($A:$A,Instagram_Usage_Lifestyle_Mini_!$A:$A,Instagram_Usage_Lifestyle_Mini_!$C:$K)</f>
        <v>Full_time_employed</v>
      </c>
      <c r="I565" t="str">
        <f>_xlfn.XLOOKUP($A:$A,Instagram_Usage_Lifestyle_Mini_!$A:$A,Instagram_Usage_Lifestyle_Mini_!$C:$K)</f>
        <v>Some_college</v>
      </c>
      <c r="J565" t="str">
        <f>_xlfn.XLOOKUP($A:$A,Instagram_Usage_Lifestyle_Mini_!$A:$A,Instagram_Usage_Lifestyle_Mini_!$C:$K)</f>
        <v>Married</v>
      </c>
      <c r="K565" t="str">
        <f>_xlfn.XLOOKUP($A:$A,Instagram_Usage_Lifestyle_Mini_!$A:$A,Instagram_Usage_Lifestyle_Mini_!$C:$K)</f>
        <v>Yes</v>
      </c>
      <c r="L565" t="str" cm="1">
        <f t="array" ref="L565">_xlfn.IFS(C565&lt;18,"Under_18",C565&lt;=25,"Youth",C565&lt;=35,"Young_Adults",C565&lt;=45,"Mid_Adults",TRUE,"Seniors")</f>
        <v>Seniors</v>
      </c>
    </row>
    <row r="566" spans="1:12" x14ac:dyDescent="0.2">
      <c r="A566">
        <v>565</v>
      </c>
      <c r="B566" t="str">
        <f>_xlfn.XLOOKUP(A566,Instagram_Usage_Lifestyle_Mini_!A566,Instagram_Usage_Lifestyle_Mini_!B566,1)</f>
        <v>Instagram</v>
      </c>
      <c r="C566">
        <f>_xlfn.XLOOKUP($A:$A,Instagram_Usage_Lifestyle_Mini_!$A:$A,Instagram_Usage_Lifestyle_Mini_!$C:$K)</f>
        <v>40</v>
      </c>
      <c r="D566" t="str">
        <f>_xlfn.XLOOKUP($A:$A,Instagram_Usage_Lifestyle_Mini_!$A:$A,Instagram_Usage_Lifestyle_Mini_!$C:$K)</f>
        <v>Female</v>
      </c>
      <c r="E566" t="str">
        <f>_xlfn.XLOOKUP($A:$A,Instagram_Usage_Lifestyle_Mini_!$A:$A,Instagram_Usage_Lifestyle_Mini_!$C:$K)</f>
        <v>United_States</v>
      </c>
      <c r="F566" t="str">
        <f>_xlfn.XLOOKUP($A:$A,Instagram_Usage_Lifestyle_Mini_!$A:$A,Instagram_Usage_Lifestyle_Mini_!$C:$K)</f>
        <v>Urban</v>
      </c>
      <c r="G566" t="str">
        <f>_xlfn.XLOOKUP($A:$A,Instagram_Usage_Lifestyle_Mini_!$A:$A,Instagram_Usage_Lifestyle_Mini_!$C:$K)</f>
        <v>Lower_middle</v>
      </c>
      <c r="H566" t="str">
        <f>_xlfn.XLOOKUP($A:$A,Instagram_Usage_Lifestyle_Mini_!$A:$A,Instagram_Usage_Lifestyle_Mini_!$C:$K)</f>
        <v>Student</v>
      </c>
      <c r="I566" t="str">
        <f>_xlfn.XLOOKUP($A:$A,Instagram_Usage_Lifestyle_Mini_!$A:$A,Instagram_Usage_Lifestyle_Mini_!$C:$K)</f>
        <v>High_school</v>
      </c>
      <c r="J566" t="str">
        <f>_xlfn.XLOOKUP($A:$A,Instagram_Usage_Lifestyle_Mini_!$A:$A,Instagram_Usage_Lifestyle_Mini_!$C:$K)</f>
        <v>In_a_relationship</v>
      </c>
      <c r="K566" t="str">
        <f>_xlfn.XLOOKUP($A:$A,Instagram_Usage_Lifestyle_Mini_!$A:$A,Instagram_Usage_Lifestyle_Mini_!$C:$K)</f>
        <v>Yes</v>
      </c>
      <c r="L566" t="str" cm="1">
        <f t="array" ref="L566">_xlfn.IFS(C566&lt;18,"Under_18",C566&lt;=25,"Youth",C566&lt;=35,"Young_Adults",C566&lt;=45,"Mid_Adults",TRUE,"Seniors")</f>
        <v>Mid_Adults</v>
      </c>
    </row>
    <row r="567" spans="1:12" x14ac:dyDescent="0.2">
      <c r="A567">
        <v>566</v>
      </c>
      <c r="B567" t="str">
        <f>_xlfn.XLOOKUP(A567,Instagram_Usage_Lifestyle_Mini_!A567,Instagram_Usage_Lifestyle_Mini_!B567,1)</f>
        <v>Instagram</v>
      </c>
      <c r="C567">
        <f>_xlfn.XLOOKUP($A:$A,Instagram_Usage_Lifestyle_Mini_!$A:$A,Instagram_Usage_Lifestyle_Mini_!$C:$K)</f>
        <v>44</v>
      </c>
      <c r="D567" t="str">
        <f>_xlfn.XLOOKUP($A:$A,Instagram_Usage_Lifestyle_Mini_!$A:$A,Instagram_Usage_Lifestyle_Mini_!$C:$K)</f>
        <v>Female</v>
      </c>
      <c r="E567" t="str">
        <f>_xlfn.XLOOKUP($A:$A,Instagram_Usage_Lifestyle_Mini_!$A:$A,Instagram_Usage_Lifestyle_Mini_!$C:$K)</f>
        <v>India</v>
      </c>
      <c r="F567" t="str">
        <f>_xlfn.XLOOKUP($A:$A,Instagram_Usage_Lifestyle_Mini_!$A:$A,Instagram_Usage_Lifestyle_Mini_!$C:$K)</f>
        <v>Suburban</v>
      </c>
      <c r="G567" t="str">
        <f>_xlfn.XLOOKUP($A:$A,Instagram_Usage_Lifestyle_Mini_!$A:$A,Instagram_Usage_Lifestyle_Mini_!$C:$K)</f>
        <v>Upper_middle</v>
      </c>
      <c r="H567" t="str">
        <f>_xlfn.XLOOKUP($A:$A,Instagram_Usage_Lifestyle_Mini_!$A:$A,Instagram_Usage_Lifestyle_Mini_!$C:$K)</f>
        <v>Full_time_employed</v>
      </c>
      <c r="I567" t="str">
        <f>_xlfn.XLOOKUP($A:$A,Instagram_Usage_Lifestyle_Mini_!$A:$A,Instagram_Usage_Lifestyle_Mini_!$C:$K)</f>
        <v>Masters_degree</v>
      </c>
      <c r="J567" t="str">
        <f>_xlfn.XLOOKUP($A:$A,Instagram_Usage_Lifestyle_Mini_!$A:$A,Instagram_Usage_Lifestyle_Mini_!$C:$K)</f>
        <v>Single</v>
      </c>
      <c r="K567" t="str">
        <f>_xlfn.XLOOKUP($A:$A,Instagram_Usage_Lifestyle_Mini_!$A:$A,Instagram_Usage_Lifestyle_Mini_!$C:$K)</f>
        <v>No</v>
      </c>
      <c r="L567" t="str" cm="1">
        <f t="array" ref="L567">_xlfn.IFS(C567&lt;18,"Under_18",C567&lt;=25,"Youth",C567&lt;=35,"Young_Adults",C567&lt;=45,"Mid_Adults",TRUE,"Seniors")</f>
        <v>Mid_Adults</v>
      </c>
    </row>
    <row r="568" spans="1:12" x14ac:dyDescent="0.2">
      <c r="A568">
        <v>567</v>
      </c>
      <c r="B568" t="str">
        <f>_xlfn.XLOOKUP(A568,Instagram_Usage_Lifestyle_Mini_!A568,Instagram_Usage_Lifestyle_Mini_!B568,1)</f>
        <v>Instagram</v>
      </c>
      <c r="C568">
        <f>_xlfn.XLOOKUP($A:$A,Instagram_Usage_Lifestyle_Mini_!$A:$A,Instagram_Usage_Lifestyle_Mini_!$C:$K)</f>
        <v>39</v>
      </c>
      <c r="D568" t="str">
        <f>_xlfn.XLOOKUP($A:$A,Instagram_Usage_Lifestyle_Mini_!$A:$A,Instagram_Usage_Lifestyle_Mini_!$C:$K)</f>
        <v>Female</v>
      </c>
      <c r="E568" t="str">
        <f>_xlfn.XLOOKUP($A:$A,Instagram_Usage_Lifestyle_Mini_!$A:$A,Instagram_Usage_Lifestyle_Mini_!$C:$K)</f>
        <v>United_States</v>
      </c>
      <c r="F568" t="str">
        <f>_xlfn.XLOOKUP($A:$A,Instagram_Usage_Lifestyle_Mini_!$A:$A,Instagram_Usage_Lifestyle_Mini_!$C:$K)</f>
        <v>Urban</v>
      </c>
      <c r="G568" t="str">
        <f>_xlfn.XLOOKUP($A:$A,Instagram_Usage_Lifestyle_Mini_!$A:$A,Instagram_Usage_Lifestyle_Mini_!$C:$K)</f>
        <v>High</v>
      </c>
      <c r="H568" t="str">
        <f>_xlfn.XLOOKUP($A:$A,Instagram_Usage_Lifestyle_Mini_!$A:$A,Instagram_Usage_Lifestyle_Mini_!$C:$K)</f>
        <v>Freelancer</v>
      </c>
      <c r="I568" t="str">
        <f>_xlfn.XLOOKUP($A:$A,Instagram_Usage_Lifestyle_Mini_!$A:$A,Instagram_Usage_Lifestyle_Mini_!$C:$K)</f>
        <v>Bachelors_degree</v>
      </c>
      <c r="J568" t="str">
        <f>_xlfn.XLOOKUP($A:$A,Instagram_Usage_Lifestyle_Mini_!$A:$A,Instagram_Usage_Lifestyle_Mini_!$C:$K)</f>
        <v>In_a_relationship</v>
      </c>
      <c r="K568" t="str">
        <f>_xlfn.XLOOKUP($A:$A,Instagram_Usage_Lifestyle_Mini_!$A:$A,Instagram_Usage_Lifestyle_Mini_!$C:$K)</f>
        <v>Yes</v>
      </c>
      <c r="L568" t="str" cm="1">
        <f t="array" ref="L568">_xlfn.IFS(C568&lt;18,"Under_18",C568&lt;=25,"Youth",C568&lt;=35,"Young_Adults",C568&lt;=45,"Mid_Adults",TRUE,"Seniors")</f>
        <v>Mid_Adults</v>
      </c>
    </row>
    <row r="569" spans="1:12" x14ac:dyDescent="0.2">
      <c r="A569">
        <v>568</v>
      </c>
      <c r="B569" t="str">
        <f>_xlfn.XLOOKUP(A569,Instagram_Usage_Lifestyle_Mini_!A569,Instagram_Usage_Lifestyle_Mini_!B569,1)</f>
        <v>Instagram</v>
      </c>
      <c r="C569">
        <f>_xlfn.XLOOKUP($A:$A,Instagram_Usage_Lifestyle_Mini_!$A:$A,Instagram_Usage_Lifestyle_Mini_!$C:$K)</f>
        <v>32</v>
      </c>
      <c r="D569" t="str">
        <f>_xlfn.XLOOKUP($A:$A,Instagram_Usage_Lifestyle_Mini_!$A:$A,Instagram_Usage_Lifestyle_Mini_!$C:$K)</f>
        <v>Non_binary</v>
      </c>
      <c r="E569" t="str">
        <f>_xlfn.XLOOKUP($A:$A,Instagram_Usage_Lifestyle_Mini_!$A:$A,Instagram_Usage_Lifestyle_Mini_!$C:$K)</f>
        <v>Japan</v>
      </c>
      <c r="F569" t="str">
        <f>_xlfn.XLOOKUP($A:$A,Instagram_Usage_Lifestyle_Mini_!$A:$A,Instagram_Usage_Lifestyle_Mini_!$C:$K)</f>
        <v>Urban</v>
      </c>
      <c r="G569" t="str">
        <f>_xlfn.XLOOKUP($A:$A,Instagram_Usage_Lifestyle_Mini_!$A:$A,Instagram_Usage_Lifestyle_Mini_!$C:$K)</f>
        <v>Upper_middle</v>
      </c>
      <c r="H569" t="str">
        <f>_xlfn.XLOOKUP($A:$A,Instagram_Usage_Lifestyle_Mini_!$A:$A,Instagram_Usage_Lifestyle_Mini_!$C:$K)</f>
        <v>Full_time_employed</v>
      </c>
      <c r="I569" t="str">
        <f>_xlfn.XLOOKUP($A:$A,Instagram_Usage_Lifestyle_Mini_!$A:$A,Instagram_Usage_Lifestyle_Mini_!$C:$K)</f>
        <v>Bachelors_degree</v>
      </c>
      <c r="J569" t="str">
        <f>_xlfn.XLOOKUP($A:$A,Instagram_Usage_Lifestyle_Mini_!$A:$A,Instagram_Usage_Lifestyle_Mini_!$C:$K)</f>
        <v>Single</v>
      </c>
      <c r="K569" t="str">
        <f>_xlfn.XLOOKUP($A:$A,Instagram_Usage_Lifestyle_Mini_!$A:$A,Instagram_Usage_Lifestyle_Mini_!$C:$K)</f>
        <v>Yes</v>
      </c>
      <c r="L569" t="str" cm="1">
        <f t="array" ref="L569">_xlfn.IFS(C569&lt;18,"Under_18",C569&lt;=25,"Youth",C569&lt;=35,"Young_Adults",C569&lt;=45,"Mid_Adults",TRUE,"Seniors")</f>
        <v>Young_Adults</v>
      </c>
    </row>
    <row r="570" spans="1:12" x14ac:dyDescent="0.2">
      <c r="A570">
        <v>569</v>
      </c>
      <c r="B570" t="str">
        <f>_xlfn.XLOOKUP(A570,Instagram_Usage_Lifestyle_Mini_!A570,Instagram_Usage_Lifestyle_Mini_!B570,1)</f>
        <v>Instagram</v>
      </c>
      <c r="C570">
        <f>_xlfn.XLOOKUP($A:$A,Instagram_Usage_Lifestyle_Mini_!$A:$A,Instagram_Usage_Lifestyle_Mini_!$C:$K)</f>
        <v>36</v>
      </c>
      <c r="D570" t="str">
        <f>_xlfn.XLOOKUP($A:$A,Instagram_Usage_Lifestyle_Mini_!$A:$A,Instagram_Usage_Lifestyle_Mini_!$C:$K)</f>
        <v>Female</v>
      </c>
      <c r="E570" t="str">
        <f>_xlfn.XLOOKUP($A:$A,Instagram_Usage_Lifestyle_Mini_!$A:$A,Instagram_Usage_Lifestyle_Mini_!$C:$K)</f>
        <v>United_States</v>
      </c>
      <c r="F570" t="str">
        <f>_xlfn.XLOOKUP($A:$A,Instagram_Usage_Lifestyle_Mini_!$A:$A,Instagram_Usage_Lifestyle_Mini_!$C:$K)</f>
        <v>Urban</v>
      </c>
      <c r="G570" t="str">
        <f>_xlfn.XLOOKUP($A:$A,Instagram_Usage_Lifestyle_Mini_!$A:$A,Instagram_Usage_Lifestyle_Mini_!$C:$K)</f>
        <v>Middle</v>
      </c>
      <c r="H570" t="str">
        <f>_xlfn.XLOOKUP($A:$A,Instagram_Usage_Lifestyle_Mini_!$A:$A,Instagram_Usage_Lifestyle_Mini_!$C:$K)</f>
        <v>Retired</v>
      </c>
      <c r="I570" t="str">
        <f>_xlfn.XLOOKUP($A:$A,Instagram_Usage_Lifestyle_Mini_!$A:$A,Instagram_Usage_Lifestyle_Mini_!$C:$K)</f>
        <v>High_school</v>
      </c>
      <c r="J570" t="str">
        <f>_xlfn.XLOOKUP($A:$A,Instagram_Usage_Lifestyle_Mini_!$A:$A,Instagram_Usage_Lifestyle_Mini_!$C:$K)</f>
        <v>Single</v>
      </c>
      <c r="K570" t="str">
        <f>_xlfn.XLOOKUP($A:$A,Instagram_Usage_Lifestyle_Mini_!$A:$A,Instagram_Usage_Lifestyle_Mini_!$C:$K)</f>
        <v>No</v>
      </c>
      <c r="L570" t="str" cm="1">
        <f t="array" ref="L570">_xlfn.IFS(C570&lt;18,"Under_18",C570&lt;=25,"Youth",C570&lt;=35,"Young_Adults",C570&lt;=45,"Mid_Adults",TRUE,"Seniors")</f>
        <v>Mid_Adults</v>
      </c>
    </row>
    <row r="571" spans="1:12" x14ac:dyDescent="0.2">
      <c r="A571">
        <v>570</v>
      </c>
      <c r="B571" t="str">
        <f>_xlfn.XLOOKUP(A571,Instagram_Usage_Lifestyle_Mini_!A571,Instagram_Usage_Lifestyle_Mini_!B571,1)</f>
        <v>Instagram</v>
      </c>
      <c r="C571">
        <f>_xlfn.XLOOKUP($A:$A,Instagram_Usage_Lifestyle_Mini_!$A:$A,Instagram_Usage_Lifestyle_Mini_!$C:$K)</f>
        <v>24</v>
      </c>
      <c r="D571" t="str">
        <f>_xlfn.XLOOKUP($A:$A,Instagram_Usage_Lifestyle_Mini_!$A:$A,Instagram_Usage_Lifestyle_Mini_!$C:$K)</f>
        <v>Female</v>
      </c>
      <c r="E571" t="str">
        <f>_xlfn.XLOOKUP($A:$A,Instagram_Usage_Lifestyle_Mini_!$A:$A,Instagram_Usage_Lifestyle_Mini_!$C:$K)</f>
        <v>United_States</v>
      </c>
      <c r="F571" t="str">
        <f>_xlfn.XLOOKUP($A:$A,Instagram_Usage_Lifestyle_Mini_!$A:$A,Instagram_Usage_Lifestyle_Mini_!$C:$K)</f>
        <v>Rural</v>
      </c>
      <c r="G571" t="str">
        <f>_xlfn.XLOOKUP($A:$A,Instagram_Usage_Lifestyle_Mini_!$A:$A,Instagram_Usage_Lifestyle_Mini_!$C:$K)</f>
        <v>Low</v>
      </c>
      <c r="H571" t="str">
        <f>_xlfn.XLOOKUP($A:$A,Instagram_Usage_Lifestyle_Mini_!$A:$A,Instagram_Usage_Lifestyle_Mini_!$C:$K)</f>
        <v>Part_time</v>
      </c>
      <c r="I571" t="str">
        <f>_xlfn.XLOOKUP($A:$A,Instagram_Usage_Lifestyle_Mini_!$A:$A,Instagram_Usage_Lifestyle_Mini_!$C:$K)</f>
        <v>High_school</v>
      </c>
      <c r="J571" t="str">
        <f>_xlfn.XLOOKUP($A:$A,Instagram_Usage_Lifestyle_Mini_!$A:$A,Instagram_Usage_Lifestyle_Mini_!$C:$K)</f>
        <v>Married</v>
      </c>
      <c r="K571" t="str">
        <f>_xlfn.XLOOKUP($A:$A,Instagram_Usage_Lifestyle_Mini_!$A:$A,Instagram_Usage_Lifestyle_Mini_!$C:$K)</f>
        <v>No</v>
      </c>
      <c r="L571" t="str" cm="1">
        <f t="array" ref="L571">_xlfn.IFS(C571&lt;18,"Under_18",C571&lt;=25,"Youth",C571&lt;=35,"Young_Adults",C571&lt;=45,"Mid_Adults",TRUE,"Seniors")</f>
        <v>Youth</v>
      </c>
    </row>
    <row r="572" spans="1:12" x14ac:dyDescent="0.2">
      <c r="A572">
        <v>571</v>
      </c>
      <c r="B572" t="str">
        <f>_xlfn.XLOOKUP(A572,Instagram_Usage_Lifestyle_Mini_!A572,Instagram_Usage_Lifestyle_Mini_!B572,1)</f>
        <v>Instagram</v>
      </c>
      <c r="C572">
        <f>_xlfn.XLOOKUP($A:$A,Instagram_Usage_Lifestyle_Mini_!$A:$A,Instagram_Usage_Lifestyle_Mini_!$C:$K)</f>
        <v>62</v>
      </c>
      <c r="D572" t="str">
        <f>_xlfn.XLOOKUP($A:$A,Instagram_Usage_Lifestyle_Mini_!$A:$A,Instagram_Usage_Lifestyle_Mini_!$C:$K)</f>
        <v>Female</v>
      </c>
      <c r="E572" t="str">
        <f>_xlfn.XLOOKUP($A:$A,Instagram_Usage_Lifestyle_Mini_!$A:$A,Instagram_Usage_Lifestyle_Mini_!$C:$K)</f>
        <v>United_States</v>
      </c>
      <c r="F572" t="str">
        <f>_xlfn.XLOOKUP($A:$A,Instagram_Usage_Lifestyle_Mini_!$A:$A,Instagram_Usage_Lifestyle_Mini_!$C:$K)</f>
        <v>Suburban</v>
      </c>
      <c r="G572" t="str">
        <f>_xlfn.XLOOKUP($A:$A,Instagram_Usage_Lifestyle_Mini_!$A:$A,Instagram_Usage_Lifestyle_Mini_!$C:$K)</f>
        <v>High</v>
      </c>
      <c r="H572" t="str">
        <f>_xlfn.XLOOKUP($A:$A,Instagram_Usage_Lifestyle_Mini_!$A:$A,Instagram_Usage_Lifestyle_Mini_!$C:$K)</f>
        <v>Full_time_employed</v>
      </c>
      <c r="I572" t="str">
        <f>_xlfn.XLOOKUP($A:$A,Instagram_Usage_Lifestyle_Mini_!$A:$A,Instagram_Usage_Lifestyle_Mini_!$C:$K)</f>
        <v>Some_college</v>
      </c>
      <c r="J572" t="str">
        <f>_xlfn.XLOOKUP($A:$A,Instagram_Usage_Lifestyle_Mini_!$A:$A,Instagram_Usage_Lifestyle_Mini_!$C:$K)</f>
        <v>Married</v>
      </c>
      <c r="K572" t="str">
        <f>_xlfn.XLOOKUP($A:$A,Instagram_Usage_Lifestyle_Mini_!$A:$A,Instagram_Usage_Lifestyle_Mini_!$C:$K)</f>
        <v>Yes</v>
      </c>
      <c r="L572" t="str" cm="1">
        <f t="array" ref="L572">_xlfn.IFS(C572&lt;18,"Under_18",C572&lt;=25,"Youth",C572&lt;=35,"Young_Adults",C572&lt;=45,"Mid_Adults",TRUE,"Seniors")</f>
        <v>Seniors</v>
      </c>
    </row>
    <row r="573" spans="1:12" x14ac:dyDescent="0.2">
      <c r="A573">
        <v>572</v>
      </c>
      <c r="B573" t="str">
        <f>_xlfn.XLOOKUP(A573,Instagram_Usage_Lifestyle_Mini_!A573,Instagram_Usage_Lifestyle_Mini_!B573,1)</f>
        <v>Instagram</v>
      </c>
      <c r="C573">
        <f>_xlfn.XLOOKUP($A:$A,Instagram_Usage_Lifestyle_Mini_!$A:$A,Instagram_Usage_Lifestyle_Mini_!$C:$K)</f>
        <v>47</v>
      </c>
      <c r="D573" t="str">
        <f>_xlfn.XLOOKUP($A:$A,Instagram_Usage_Lifestyle_Mini_!$A:$A,Instagram_Usage_Lifestyle_Mini_!$C:$K)</f>
        <v>Female</v>
      </c>
      <c r="E573" t="str">
        <f>_xlfn.XLOOKUP($A:$A,Instagram_Usage_Lifestyle_Mini_!$A:$A,Instagram_Usage_Lifestyle_Mini_!$C:$K)</f>
        <v>United_States</v>
      </c>
      <c r="F573" t="str">
        <f>_xlfn.XLOOKUP($A:$A,Instagram_Usage_Lifestyle_Mini_!$A:$A,Instagram_Usage_Lifestyle_Mini_!$C:$K)</f>
        <v>Suburban</v>
      </c>
      <c r="G573" t="str">
        <f>_xlfn.XLOOKUP($A:$A,Instagram_Usage_Lifestyle_Mini_!$A:$A,Instagram_Usage_Lifestyle_Mini_!$C:$K)</f>
        <v>Lower_middle</v>
      </c>
      <c r="H573" t="str">
        <f>_xlfn.XLOOKUP($A:$A,Instagram_Usage_Lifestyle_Mini_!$A:$A,Instagram_Usage_Lifestyle_Mini_!$C:$K)</f>
        <v>Full_time_employed</v>
      </c>
      <c r="I573" t="str">
        <f>_xlfn.XLOOKUP($A:$A,Instagram_Usage_Lifestyle_Mini_!$A:$A,Instagram_Usage_Lifestyle_Mini_!$C:$K)</f>
        <v>Some_college</v>
      </c>
      <c r="J573" t="str">
        <f>_xlfn.XLOOKUP($A:$A,Instagram_Usage_Lifestyle_Mini_!$A:$A,Instagram_Usage_Lifestyle_Mini_!$C:$K)</f>
        <v>In_a_relationship</v>
      </c>
      <c r="K573" t="str">
        <f>_xlfn.XLOOKUP($A:$A,Instagram_Usage_Lifestyle_Mini_!$A:$A,Instagram_Usage_Lifestyle_Mini_!$C:$K)</f>
        <v>Yes</v>
      </c>
      <c r="L573" t="str" cm="1">
        <f t="array" ref="L573">_xlfn.IFS(C573&lt;18,"Under_18",C573&lt;=25,"Youth",C573&lt;=35,"Young_Adults",C573&lt;=45,"Mid_Adults",TRUE,"Seniors")</f>
        <v>Seniors</v>
      </c>
    </row>
    <row r="574" spans="1:12" x14ac:dyDescent="0.2">
      <c r="A574">
        <v>573</v>
      </c>
      <c r="B574" t="str">
        <f>_xlfn.XLOOKUP(A574,Instagram_Usage_Lifestyle_Mini_!A574,Instagram_Usage_Lifestyle_Mini_!B574,1)</f>
        <v>Instagram</v>
      </c>
      <c r="C574">
        <f>_xlfn.XLOOKUP($A:$A,Instagram_Usage_Lifestyle_Mini_!$A:$A,Instagram_Usage_Lifestyle_Mini_!$C:$K)</f>
        <v>45</v>
      </c>
      <c r="D574" t="str">
        <f>_xlfn.XLOOKUP($A:$A,Instagram_Usage_Lifestyle_Mini_!$A:$A,Instagram_Usage_Lifestyle_Mini_!$C:$K)</f>
        <v>Male</v>
      </c>
      <c r="E574" t="str">
        <f>_xlfn.XLOOKUP($A:$A,Instagram_Usage_Lifestyle_Mini_!$A:$A,Instagram_Usage_Lifestyle_Mini_!$C:$K)</f>
        <v>India</v>
      </c>
      <c r="F574" t="str">
        <f>_xlfn.XLOOKUP($A:$A,Instagram_Usage_Lifestyle_Mini_!$A:$A,Instagram_Usage_Lifestyle_Mini_!$C:$K)</f>
        <v>Suburban</v>
      </c>
      <c r="G574" t="str">
        <f>_xlfn.XLOOKUP($A:$A,Instagram_Usage_Lifestyle_Mini_!$A:$A,Instagram_Usage_Lifestyle_Mini_!$C:$K)</f>
        <v>Middle</v>
      </c>
      <c r="H574" t="str">
        <f>_xlfn.XLOOKUP($A:$A,Instagram_Usage_Lifestyle_Mini_!$A:$A,Instagram_Usage_Lifestyle_Mini_!$C:$K)</f>
        <v>Full_time_employed</v>
      </c>
      <c r="I574" t="str">
        <f>_xlfn.XLOOKUP($A:$A,Instagram_Usage_Lifestyle_Mini_!$A:$A,Instagram_Usage_Lifestyle_Mini_!$C:$K)</f>
        <v>Some_college</v>
      </c>
      <c r="J574" t="str">
        <f>_xlfn.XLOOKUP($A:$A,Instagram_Usage_Lifestyle_Mini_!$A:$A,Instagram_Usage_Lifestyle_Mini_!$C:$K)</f>
        <v>Divorced</v>
      </c>
      <c r="K574" t="str">
        <f>_xlfn.XLOOKUP($A:$A,Instagram_Usage_Lifestyle_Mini_!$A:$A,Instagram_Usage_Lifestyle_Mini_!$C:$K)</f>
        <v>No</v>
      </c>
      <c r="L574" t="str" cm="1">
        <f t="array" ref="L574">_xlfn.IFS(C574&lt;18,"Under_18",C574&lt;=25,"Youth",C574&lt;=35,"Young_Adults",C574&lt;=45,"Mid_Adults",TRUE,"Seniors")</f>
        <v>Mid_Adults</v>
      </c>
    </row>
    <row r="575" spans="1:12" x14ac:dyDescent="0.2">
      <c r="A575">
        <v>574</v>
      </c>
      <c r="B575" t="str">
        <f>_xlfn.XLOOKUP(A575,Instagram_Usage_Lifestyle_Mini_!A575,Instagram_Usage_Lifestyle_Mini_!B575,1)</f>
        <v>Instagram</v>
      </c>
      <c r="C575">
        <f>_xlfn.XLOOKUP($A:$A,Instagram_Usage_Lifestyle_Mini_!$A:$A,Instagram_Usage_Lifestyle_Mini_!$C:$K)</f>
        <v>45</v>
      </c>
      <c r="D575" t="str">
        <f>_xlfn.XLOOKUP($A:$A,Instagram_Usage_Lifestyle_Mini_!$A:$A,Instagram_Usage_Lifestyle_Mini_!$C:$K)</f>
        <v>Female</v>
      </c>
      <c r="E575" t="str">
        <f>_xlfn.XLOOKUP($A:$A,Instagram_Usage_Lifestyle_Mini_!$A:$A,Instagram_Usage_Lifestyle_Mini_!$C:$K)</f>
        <v>Brazil</v>
      </c>
      <c r="F575" t="str">
        <f>_xlfn.XLOOKUP($A:$A,Instagram_Usage_Lifestyle_Mini_!$A:$A,Instagram_Usage_Lifestyle_Mini_!$C:$K)</f>
        <v>Urban</v>
      </c>
      <c r="G575" t="str">
        <f>_xlfn.XLOOKUP($A:$A,Instagram_Usage_Lifestyle_Mini_!$A:$A,Instagram_Usage_Lifestyle_Mini_!$C:$K)</f>
        <v>Lower_middle</v>
      </c>
      <c r="H575" t="str">
        <f>_xlfn.XLOOKUP($A:$A,Instagram_Usage_Lifestyle_Mini_!$A:$A,Instagram_Usage_Lifestyle_Mini_!$C:$K)</f>
        <v>Student</v>
      </c>
      <c r="I575" t="str">
        <f>_xlfn.XLOOKUP($A:$A,Instagram_Usage_Lifestyle_Mini_!$A:$A,Instagram_Usage_Lifestyle_Mini_!$C:$K)</f>
        <v>Masters_degree</v>
      </c>
      <c r="J575" t="str">
        <f>_xlfn.XLOOKUP($A:$A,Instagram_Usage_Lifestyle_Mini_!$A:$A,Instagram_Usage_Lifestyle_Mini_!$C:$K)</f>
        <v>Married</v>
      </c>
      <c r="K575" t="str">
        <f>_xlfn.XLOOKUP($A:$A,Instagram_Usage_Lifestyle_Mini_!$A:$A,Instagram_Usage_Lifestyle_Mini_!$C:$K)</f>
        <v>No</v>
      </c>
      <c r="L575" t="str" cm="1">
        <f t="array" ref="L575">_xlfn.IFS(C575&lt;18,"Under_18",C575&lt;=25,"Youth",C575&lt;=35,"Young_Adults",C575&lt;=45,"Mid_Adults",TRUE,"Seniors")</f>
        <v>Mid_Adults</v>
      </c>
    </row>
    <row r="576" spans="1:12" x14ac:dyDescent="0.2">
      <c r="A576">
        <v>575</v>
      </c>
      <c r="B576" t="str">
        <f>_xlfn.XLOOKUP(A576,Instagram_Usage_Lifestyle_Mini_!A576,Instagram_Usage_Lifestyle_Mini_!B576,1)</f>
        <v>Instagram</v>
      </c>
      <c r="C576">
        <f>_xlfn.XLOOKUP($A:$A,Instagram_Usage_Lifestyle_Mini_!$A:$A,Instagram_Usage_Lifestyle_Mini_!$C:$K)</f>
        <v>63</v>
      </c>
      <c r="D576" t="str">
        <f>_xlfn.XLOOKUP($A:$A,Instagram_Usage_Lifestyle_Mini_!$A:$A,Instagram_Usage_Lifestyle_Mini_!$C:$K)</f>
        <v>Male</v>
      </c>
      <c r="E576" t="str">
        <f>_xlfn.XLOOKUP($A:$A,Instagram_Usage_Lifestyle_Mini_!$A:$A,Instagram_Usage_Lifestyle_Mini_!$C:$K)</f>
        <v>Brazil</v>
      </c>
      <c r="F576" t="str">
        <f>_xlfn.XLOOKUP($A:$A,Instagram_Usage_Lifestyle_Mini_!$A:$A,Instagram_Usage_Lifestyle_Mini_!$C:$K)</f>
        <v>Urban</v>
      </c>
      <c r="G576" t="str">
        <f>_xlfn.XLOOKUP($A:$A,Instagram_Usage_Lifestyle_Mini_!$A:$A,Instagram_Usage_Lifestyle_Mini_!$C:$K)</f>
        <v>High</v>
      </c>
      <c r="H576" t="str">
        <f>_xlfn.XLOOKUP($A:$A,Instagram_Usage_Lifestyle_Mini_!$A:$A,Instagram_Usage_Lifestyle_Mini_!$C:$K)</f>
        <v>Student</v>
      </c>
      <c r="I576" t="str">
        <f>_xlfn.XLOOKUP($A:$A,Instagram_Usage_Lifestyle_Mini_!$A:$A,Instagram_Usage_Lifestyle_Mini_!$C:$K)</f>
        <v>Bachelors_degree</v>
      </c>
      <c r="J576" t="str">
        <f>_xlfn.XLOOKUP($A:$A,Instagram_Usage_Lifestyle_Mini_!$A:$A,Instagram_Usage_Lifestyle_Mini_!$C:$K)</f>
        <v>Married</v>
      </c>
      <c r="K576" t="str">
        <f>_xlfn.XLOOKUP($A:$A,Instagram_Usage_Lifestyle_Mini_!$A:$A,Instagram_Usage_Lifestyle_Mini_!$C:$K)</f>
        <v>Yes</v>
      </c>
      <c r="L576" t="str" cm="1">
        <f t="array" ref="L576">_xlfn.IFS(C576&lt;18,"Under_18",C576&lt;=25,"Youth",C576&lt;=35,"Young_Adults",C576&lt;=45,"Mid_Adults",TRUE,"Seniors")</f>
        <v>Seniors</v>
      </c>
    </row>
    <row r="577" spans="1:12" x14ac:dyDescent="0.2">
      <c r="A577">
        <v>576</v>
      </c>
      <c r="B577" t="str">
        <f>_xlfn.XLOOKUP(A577,Instagram_Usage_Lifestyle_Mini_!A577,Instagram_Usage_Lifestyle_Mini_!B577,1)</f>
        <v>Instagram</v>
      </c>
      <c r="C577">
        <f>_xlfn.XLOOKUP($A:$A,Instagram_Usage_Lifestyle_Mini_!$A:$A,Instagram_Usage_Lifestyle_Mini_!$C:$K)</f>
        <v>55</v>
      </c>
      <c r="D577" t="str">
        <f>_xlfn.XLOOKUP($A:$A,Instagram_Usage_Lifestyle_Mini_!$A:$A,Instagram_Usage_Lifestyle_Mini_!$C:$K)</f>
        <v>Female</v>
      </c>
      <c r="E577" t="str">
        <f>_xlfn.XLOOKUP($A:$A,Instagram_Usage_Lifestyle_Mini_!$A:$A,Instagram_Usage_Lifestyle_Mini_!$C:$K)</f>
        <v>Brazil</v>
      </c>
      <c r="F577" t="str">
        <f>_xlfn.XLOOKUP($A:$A,Instagram_Usage_Lifestyle_Mini_!$A:$A,Instagram_Usage_Lifestyle_Mini_!$C:$K)</f>
        <v>Urban</v>
      </c>
      <c r="G577" t="str">
        <f>_xlfn.XLOOKUP($A:$A,Instagram_Usage_Lifestyle_Mini_!$A:$A,Instagram_Usage_Lifestyle_Mini_!$C:$K)</f>
        <v>Low</v>
      </c>
      <c r="H577" t="str">
        <f>_xlfn.XLOOKUP($A:$A,Instagram_Usage_Lifestyle_Mini_!$A:$A,Instagram_Usage_Lifestyle_Mini_!$C:$K)</f>
        <v>Unemployed</v>
      </c>
      <c r="I577" t="str">
        <f>_xlfn.XLOOKUP($A:$A,Instagram_Usage_Lifestyle_Mini_!$A:$A,Instagram_Usage_Lifestyle_Mini_!$C:$K)</f>
        <v>High_school</v>
      </c>
      <c r="J577" t="str">
        <f>_xlfn.XLOOKUP($A:$A,Instagram_Usage_Lifestyle_Mini_!$A:$A,Instagram_Usage_Lifestyle_Mini_!$C:$K)</f>
        <v>Married</v>
      </c>
      <c r="K577" t="str">
        <f>_xlfn.XLOOKUP($A:$A,Instagram_Usage_Lifestyle_Mini_!$A:$A,Instagram_Usage_Lifestyle_Mini_!$C:$K)</f>
        <v>No</v>
      </c>
      <c r="L577" t="str" cm="1">
        <f t="array" ref="L577">_xlfn.IFS(C577&lt;18,"Under_18",C577&lt;=25,"Youth",C577&lt;=35,"Young_Adults",C577&lt;=45,"Mid_Adults",TRUE,"Seniors")</f>
        <v>Seniors</v>
      </c>
    </row>
    <row r="578" spans="1:12" x14ac:dyDescent="0.2">
      <c r="A578">
        <v>577</v>
      </c>
      <c r="B578" t="str">
        <f>_xlfn.XLOOKUP(A578,Instagram_Usage_Lifestyle_Mini_!A578,Instagram_Usage_Lifestyle_Mini_!B578,1)</f>
        <v>Instagram</v>
      </c>
      <c r="C578">
        <f>_xlfn.XLOOKUP($A:$A,Instagram_Usage_Lifestyle_Mini_!$A:$A,Instagram_Usage_Lifestyle_Mini_!$C:$K)</f>
        <v>49</v>
      </c>
      <c r="D578" t="str">
        <f>_xlfn.XLOOKUP($A:$A,Instagram_Usage_Lifestyle_Mini_!$A:$A,Instagram_Usage_Lifestyle_Mini_!$C:$K)</f>
        <v>Male</v>
      </c>
      <c r="E578" t="str">
        <f>_xlfn.XLOOKUP($A:$A,Instagram_Usage_Lifestyle_Mini_!$A:$A,Instagram_Usage_Lifestyle_Mini_!$C:$K)</f>
        <v>Other</v>
      </c>
      <c r="F578" t="str">
        <f>_xlfn.XLOOKUP($A:$A,Instagram_Usage_Lifestyle_Mini_!$A:$A,Instagram_Usage_Lifestyle_Mini_!$C:$K)</f>
        <v>Urban</v>
      </c>
      <c r="G578" t="str">
        <f>_xlfn.XLOOKUP($A:$A,Instagram_Usage_Lifestyle_Mini_!$A:$A,Instagram_Usage_Lifestyle_Mini_!$C:$K)</f>
        <v>Lower_middle</v>
      </c>
      <c r="H578" t="str">
        <f>_xlfn.XLOOKUP($A:$A,Instagram_Usage_Lifestyle_Mini_!$A:$A,Instagram_Usage_Lifestyle_Mini_!$C:$K)</f>
        <v>Full_time_employed</v>
      </c>
      <c r="I578" t="str">
        <f>_xlfn.XLOOKUP($A:$A,Instagram_Usage_Lifestyle_Mini_!$A:$A,Instagram_Usage_Lifestyle_Mini_!$C:$K)</f>
        <v>Some_college</v>
      </c>
      <c r="J578" t="str">
        <f>_xlfn.XLOOKUP($A:$A,Instagram_Usage_Lifestyle_Mini_!$A:$A,Instagram_Usage_Lifestyle_Mini_!$C:$K)</f>
        <v>Single</v>
      </c>
      <c r="K578" t="str">
        <f>_xlfn.XLOOKUP($A:$A,Instagram_Usage_Lifestyle_Mini_!$A:$A,Instagram_Usage_Lifestyle_Mini_!$C:$K)</f>
        <v>No</v>
      </c>
      <c r="L578" t="str" cm="1">
        <f t="array" ref="L578">_xlfn.IFS(C578&lt;18,"Under_18",C578&lt;=25,"Youth",C578&lt;=35,"Young_Adults",C578&lt;=45,"Mid_Adults",TRUE,"Seniors")</f>
        <v>Seniors</v>
      </c>
    </row>
    <row r="579" spans="1:12" x14ac:dyDescent="0.2">
      <c r="A579">
        <v>578</v>
      </c>
      <c r="B579" t="str">
        <f>_xlfn.XLOOKUP(A579,Instagram_Usage_Lifestyle_Mini_!A579,Instagram_Usage_Lifestyle_Mini_!B579,1)</f>
        <v>Instagram</v>
      </c>
      <c r="C579">
        <f>_xlfn.XLOOKUP($A:$A,Instagram_Usage_Lifestyle_Mini_!$A:$A,Instagram_Usage_Lifestyle_Mini_!$C:$K)</f>
        <v>24</v>
      </c>
      <c r="D579" t="str">
        <f>_xlfn.XLOOKUP($A:$A,Instagram_Usage_Lifestyle_Mini_!$A:$A,Instagram_Usage_Lifestyle_Mini_!$C:$K)</f>
        <v>Male</v>
      </c>
      <c r="E579" t="str">
        <f>_xlfn.XLOOKUP($A:$A,Instagram_Usage_Lifestyle_Mini_!$A:$A,Instagram_Usage_Lifestyle_Mini_!$C:$K)</f>
        <v>United_States</v>
      </c>
      <c r="F579" t="str">
        <f>_xlfn.XLOOKUP($A:$A,Instagram_Usage_Lifestyle_Mini_!$A:$A,Instagram_Usage_Lifestyle_Mini_!$C:$K)</f>
        <v>Urban</v>
      </c>
      <c r="G579" t="str">
        <f>_xlfn.XLOOKUP($A:$A,Instagram_Usage_Lifestyle_Mini_!$A:$A,Instagram_Usage_Lifestyle_Mini_!$C:$K)</f>
        <v>Middle</v>
      </c>
      <c r="H579" t="str">
        <f>_xlfn.XLOOKUP($A:$A,Instagram_Usage_Lifestyle_Mini_!$A:$A,Instagram_Usage_Lifestyle_Mini_!$C:$K)</f>
        <v>Full_time_employed</v>
      </c>
      <c r="I579" t="str">
        <f>_xlfn.XLOOKUP($A:$A,Instagram_Usage_Lifestyle_Mini_!$A:$A,Instagram_Usage_Lifestyle_Mini_!$C:$K)</f>
        <v>PhD</v>
      </c>
      <c r="J579" t="str">
        <f>_xlfn.XLOOKUP($A:$A,Instagram_Usage_Lifestyle_Mini_!$A:$A,Instagram_Usage_Lifestyle_Mini_!$C:$K)</f>
        <v>Married</v>
      </c>
      <c r="K579" t="str">
        <f>_xlfn.XLOOKUP($A:$A,Instagram_Usage_Lifestyle_Mini_!$A:$A,Instagram_Usage_Lifestyle_Mini_!$C:$K)</f>
        <v>Yes</v>
      </c>
      <c r="L579" t="str" cm="1">
        <f t="array" ref="L579">_xlfn.IFS(C579&lt;18,"Under_18",C579&lt;=25,"Youth",C579&lt;=35,"Young_Adults",C579&lt;=45,"Mid_Adults",TRUE,"Seniors")</f>
        <v>Youth</v>
      </c>
    </row>
    <row r="580" spans="1:12" x14ac:dyDescent="0.2">
      <c r="A580">
        <v>579</v>
      </c>
      <c r="B580" t="str">
        <f>_xlfn.XLOOKUP(A580,Instagram_Usage_Lifestyle_Mini_!A580,Instagram_Usage_Lifestyle_Mini_!B580,1)</f>
        <v>Instagram</v>
      </c>
      <c r="C580">
        <f>_xlfn.XLOOKUP($A:$A,Instagram_Usage_Lifestyle_Mini_!$A:$A,Instagram_Usage_Lifestyle_Mini_!$C:$K)</f>
        <v>15</v>
      </c>
      <c r="D580" t="str">
        <f>_xlfn.XLOOKUP($A:$A,Instagram_Usage_Lifestyle_Mini_!$A:$A,Instagram_Usage_Lifestyle_Mini_!$C:$K)</f>
        <v>Male</v>
      </c>
      <c r="E580" t="str">
        <f>_xlfn.XLOOKUP($A:$A,Instagram_Usage_Lifestyle_Mini_!$A:$A,Instagram_Usage_Lifestyle_Mini_!$C:$K)</f>
        <v>Other</v>
      </c>
      <c r="F580" t="str">
        <f>_xlfn.XLOOKUP($A:$A,Instagram_Usage_Lifestyle_Mini_!$A:$A,Instagram_Usage_Lifestyle_Mini_!$C:$K)</f>
        <v>Urban</v>
      </c>
      <c r="G580" t="str">
        <f>_xlfn.XLOOKUP($A:$A,Instagram_Usage_Lifestyle_Mini_!$A:$A,Instagram_Usage_Lifestyle_Mini_!$C:$K)</f>
        <v>Lower_middle</v>
      </c>
      <c r="H580" t="str">
        <f>_xlfn.XLOOKUP($A:$A,Instagram_Usage_Lifestyle_Mini_!$A:$A,Instagram_Usage_Lifestyle_Mini_!$C:$K)</f>
        <v>Freelancer</v>
      </c>
      <c r="I580" t="str">
        <f>_xlfn.XLOOKUP($A:$A,Instagram_Usage_Lifestyle_Mini_!$A:$A,Instagram_Usage_Lifestyle_Mini_!$C:$K)</f>
        <v>High_school</v>
      </c>
      <c r="J580" t="str">
        <f>_xlfn.XLOOKUP($A:$A,Instagram_Usage_Lifestyle_Mini_!$A:$A,Instagram_Usage_Lifestyle_Mini_!$C:$K)</f>
        <v>Single</v>
      </c>
      <c r="K580" t="str">
        <f>_xlfn.XLOOKUP($A:$A,Instagram_Usage_Lifestyle_Mini_!$A:$A,Instagram_Usage_Lifestyle_Mini_!$C:$K)</f>
        <v>No</v>
      </c>
      <c r="L580" t="str" cm="1">
        <f t="array" ref="L580">_xlfn.IFS(C580&lt;18,"Under_18",C580&lt;=25,"Youth",C580&lt;=35,"Young_Adults",C580&lt;=45,"Mid_Adults",TRUE,"Seniors")</f>
        <v>Under_18</v>
      </c>
    </row>
    <row r="581" spans="1:12" x14ac:dyDescent="0.2">
      <c r="A581">
        <v>580</v>
      </c>
      <c r="B581" t="str">
        <f>_xlfn.XLOOKUP(A581,Instagram_Usage_Lifestyle_Mini_!A581,Instagram_Usage_Lifestyle_Mini_!B581,1)</f>
        <v>Instagram</v>
      </c>
      <c r="C581">
        <f>_xlfn.XLOOKUP($A:$A,Instagram_Usage_Lifestyle_Mini_!$A:$A,Instagram_Usage_Lifestyle_Mini_!$C:$K)</f>
        <v>13</v>
      </c>
      <c r="D581" t="str">
        <f>_xlfn.XLOOKUP($A:$A,Instagram_Usage_Lifestyle_Mini_!$A:$A,Instagram_Usage_Lifestyle_Mini_!$C:$K)</f>
        <v>Male</v>
      </c>
      <c r="E581" t="str">
        <f>_xlfn.XLOOKUP($A:$A,Instagram_Usage_Lifestyle_Mini_!$A:$A,Instagram_Usage_Lifestyle_Mini_!$C:$K)</f>
        <v>India</v>
      </c>
      <c r="F581" t="str">
        <f>_xlfn.XLOOKUP($A:$A,Instagram_Usage_Lifestyle_Mini_!$A:$A,Instagram_Usage_Lifestyle_Mini_!$C:$K)</f>
        <v>Urban</v>
      </c>
      <c r="G581" t="str">
        <f>_xlfn.XLOOKUP($A:$A,Instagram_Usage_Lifestyle_Mini_!$A:$A,Instagram_Usage_Lifestyle_Mini_!$C:$K)</f>
        <v>Low</v>
      </c>
      <c r="H581" t="str">
        <f>_xlfn.XLOOKUP($A:$A,Instagram_Usage_Lifestyle_Mini_!$A:$A,Instagram_Usage_Lifestyle_Mini_!$C:$K)</f>
        <v>Student</v>
      </c>
      <c r="I581" t="str">
        <f>_xlfn.XLOOKUP($A:$A,Instagram_Usage_Lifestyle_Mini_!$A:$A,Instagram_Usage_Lifestyle_Mini_!$C:$K)</f>
        <v>Some_college</v>
      </c>
      <c r="J581" t="str">
        <f>_xlfn.XLOOKUP($A:$A,Instagram_Usage_Lifestyle_Mini_!$A:$A,Instagram_Usage_Lifestyle_Mini_!$C:$K)</f>
        <v>Single</v>
      </c>
      <c r="K581" t="str">
        <f>_xlfn.XLOOKUP($A:$A,Instagram_Usage_Lifestyle_Mini_!$A:$A,Instagram_Usage_Lifestyle_Mini_!$C:$K)</f>
        <v>No</v>
      </c>
      <c r="L581" t="str" cm="1">
        <f t="array" ref="L581">_xlfn.IFS(C581&lt;18,"Under_18",C581&lt;=25,"Youth",C581&lt;=35,"Young_Adults",C581&lt;=45,"Mid_Adults",TRUE,"Seniors")</f>
        <v>Under_18</v>
      </c>
    </row>
    <row r="582" spans="1:12" x14ac:dyDescent="0.2">
      <c r="A582">
        <v>581</v>
      </c>
      <c r="B582" t="str">
        <f>_xlfn.XLOOKUP(A582,Instagram_Usage_Lifestyle_Mini_!A582,Instagram_Usage_Lifestyle_Mini_!B582,1)</f>
        <v>Instagram</v>
      </c>
      <c r="C582">
        <f>_xlfn.XLOOKUP($A:$A,Instagram_Usage_Lifestyle_Mini_!$A:$A,Instagram_Usage_Lifestyle_Mini_!$C:$K)</f>
        <v>45</v>
      </c>
      <c r="D582" t="str">
        <f>_xlfn.XLOOKUP($A:$A,Instagram_Usage_Lifestyle_Mini_!$A:$A,Instagram_Usage_Lifestyle_Mini_!$C:$K)</f>
        <v>Female</v>
      </c>
      <c r="E582" t="str">
        <f>_xlfn.XLOOKUP($A:$A,Instagram_Usage_Lifestyle_Mini_!$A:$A,Instagram_Usage_Lifestyle_Mini_!$C:$K)</f>
        <v>United_States</v>
      </c>
      <c r="F582" t="str">
        <f>_xlfn.XLOOKUP($A:$A,Instagram_Usage_Lifestyle_Mini_!$A:$A,Instagram_Usage_Lifestyle_Mini_!$C:$K)</f>
        <v>Rural</v>
      </c>
      <c r="G582" t="str">
        <f>_xlfn.XLOOKUP($A:$A,Instagram_Usage_Lifestyle_Mini_!$A:$A,Instagram_Usage_Lifestyle_Mini_!$C:$K)</f>
        <v>Upper_middle</v>
      </c>
      <c r="H582" t="str">
        <f>_xlfn.XLOOKUP($A:$A,Instagram_Usage_Lifestyle_Mini_!$A:$A,Instagram_Usage_Lifestyle_Mini_!$C:$K)</f>
        <v>Retired</v>
      </c>
      <c r="I582" t="str">
        <f>_xlfn.XLOOKUP($A:$A,Instagram_Usage_Lifestyle_Mini_!$A:$A,Instagram_Usage_Lifestyle_Mini_!$C:$K)</f>
        <v>High_school</v>
      </c>
      <c r="J582" t="str">
        <f>_xlfn.XLOOKUP($A:$A,Instagram_Usage_Lifestyle_Mini_!$A:$A,Instagram_Usage_Lifestyle_Mini_!$C:$K)</f>
        <v>Married</v>
      </c>
      <c r="K582" t="str">
        <f>_xlfn.XLOOKUP($A:$A,Instagram_Usage_Lifestyle_Mini_!$A:$A,Instagram_Usage_Lifestyle_Mini_!$C:$K)</f>
        <v>No</v>
      </c>
      <c r="L582" t="str" cm="1">
        <f t="array" ref="L582">_xlfn.IFS(C582&lt;18,"Under_18",C582&lt;=25,"Youth",C582&lt;=35,"Young_Adults",C582&lt;=45,"Mid_Adults",TRUE,"Seniors")</f>
        <v>Mid_Adults</v>
      </c>
    </row>
    <row r="583" spans="1:12" x14ac:dyDescent="0.2">
      <c r="A583">
        <v>582</v>
      </c>
      <c r="B583" t="str">
        <f>_xlfn.XLOOKUP(A583,Instagram_Usage_Lifestyle_Mini_!A583,Instagram_Usage_Lifestyle_Mini_!B583,1)</f>
        <v>Instagram</v>
      </c>
      <c r="C583">
        <f>_xlfn.XLOOKUP($A:$A,Instagram_Usage_Lifestyle_Mini_!$A:$A,Instagram_Usage_Lifestyle_Mini_!$C:$K)</f>
        <v>52</v>
      </c>
      <c r="D583" t="str">
        <f>_xlfn.XLOOKUP($A:$A,Instagram_Usage_Lifestyle_Mini_!$A:$A,Instagram_Usage_Lifestyle_Mini_!$C:$K)</f>
        <v>Female</v>
      </c>
      <c r="E583" t="str">
        <f>_xlfn.XLOOKUP($A:$A,Instagram_Usage_Lifestyle_Mini_!$A:$A,Instagram_Usage_Lifestyle_Mini_!$C:$K)</f>
        <v>Canada</v>
      </c>
      <c r="F583" t="str">
        <f>_xlfn.XLOOKUP($A:$A,Instagram_Usage_Lifestyle_Mini_!$A:$A,Instagram_Usage_Lifestyle_Mini_!$C:$K)</f>
        <v>Urban</v>
      </c>
      <c r="G583" t="str">
        <f>_xlfn.XLOOKUP($A:$A,Instagram_Usage_Lifestyle_Mini_!$A:$A,Instagram_Usage_Lifestyle_Mini_!$C:$K)</f>
        <v>Middle</v>
      </c>
      <c r="H583" t="str">
        <f>_xlfn.XLOOKUP($A:$A,Instagram_Usage_Lifestyle_Mini_!$A:$A,Instagram_Usage_Lifestyle_Mini_!$C:$K)</f>
        <v>Full_time_employed</v>
      </c>
      <c r="I583" t="str">
        <f>_xlfn.XLOOKUP($A:$A,Instagram_Usage_Lifestyle_Mini_!$A:$A,Instagram_Usage_Lifestyle_Mini_!$C:$K)</f>
        <v>Some_college</v>
      </c>
      <c r="J583" t="str">
        <f>_xlfn.XLOOKUP($A:$A,Instagram_Usage_Lifestyle_Mini_!$A:$A,Instagram_Usage_Lifestyle_Mini_!$C:$K)</f>
        <v>Single</v>
      </c>
      <c r="K583" t="str">
        <f>_xlfn.XLOOKUP($A:$A,Instagram_Usage_Lifestyle_Mini_!$A:$A,Instagram_Usage_Lifestyle_Mini_!$C:$K)</f>
        <v>No</v>
      </c>
      <c r="L583" t="str" cm="1">
        <f t="array" ref="L583">_xlfn.IFS(C583&lt;18,"Under_18",C583&lt;=25,"Youth",C583&lt;=35,"Young_Adults",C583&lt;=45,"Mid_Adults",TRUE,"Seniors")</f>
        <v>Seniors</v>
      </c>
    </row>
    <row r="584" spans="1:12" x14ac:dyDescent="0.2">
      <c r="A584">
        <v>583</v>
      </c>
      <c r="B584" t="str">
        <f>_xlfn.XLOOKUP(A584,Instagram_Usage_Lifestyle_Mini_!A584,Instagram_Usage_Lifestyle_Mini_!B584,1)</f>
        <v>Instagram</v>
      </c>
      <c r="C584">
        <f>_xlfn.XLOOKUP($A:$A,Instagram_Usage_Lifestyle_Mini_!$A:$A,Instagram_Usage_Lifestyle_Mini_!$C:$K)</f>
        <v>22</v>
      </c>
      <c r="D584" t="str">
        <f>_xlfn.XLOOKUP($A:$A,Instagram_Usage_Lifestyle_Mini_!$A:$A,Instagram_Usage_Lifestyle_Mini_!$C:$K)</f>
        <v>Male</v>
      </c>
      <c r="E584" t="str">
        <f>_xlfn.XLOOKUP($A:$A,Instagram_Usage_Lifestyle_Mini_!$A:$A,Instagram_Usage_Lifestyle_Mini_!$C:$K)</f>
        <v>South_Korea</v>
      </c>
      <c r="F584" t="str">
        <f>_xlfn.XLOOKUP($A:$A,Instagram_Usage_Lifestyle_Mini_!$A:$A,Instagram_Usage_Lifestyle_Mini_!$C:$K)</f>
        <v>Rural</v>
      </c>
      <c r="G584" t="str">
        <f>_xlfn.XLOOKUP($A:$A,Instagram_Usage_Lifestyle_Mini_!$A:$A,Instagram_Usage_Lifestyle_Mini_!$C:$K)</f>
        <v>Upper_middle</v>
      </c>
      <c r="H584" t="str">
        <f>_xlfn.XLOOKUP($A:$A,Instagram_Usage_Lifestyle_Mini_!$A:$A,Instagram_Usage_Lifestyle_Mini_!$C:$K)</f>
        <v>Student</v>
      </c>
      <c r="I584" t="str">
        <f>_xlfn.XLOOKUP($A:$A,Instagram_Usage_Lifestyle_Mini_!$A:$A,Instagram_Usage_Lifestyle_Mini_!$C:$K)</f>
        <v>Some_college</v>
      </c>
      <c r="J584" t="str">
        <f>_xlfn.XLOOKUP($A:$A,Instagram_Usage_Lifestyle_Mini_!$A:$A,Instagram_Usage_Lifestyle_Mini_!$C:$K)</f>
        <v>Single</v>
      </c>
      <c r="K584" t="str">
        <f>_xlfn.XLOOKUP($A:$A,Instagram_Usage_Lifestyle_Mini_!$A:$A,Instagram_Usage_Lifestyle_Mini_!$C:$K)</f>
        <v>No</v>
      </c>
      <c r="L584" t="str" cm="1">
        <f t="array" ref="L584">_xlfn.IFS(C584&lt;18,"Under_18",C584&lt;=25,"Youth",C584&lt;=35,"Young_Adults",C584&lt;=45,"Mid_Adults",TRUE,"Seniors")</f>
        <v>Youth</v>
      </c>
    </row>
    <row r="585" spans="1:12" x14ac:dyDescent="0.2">
      <c r="A585">
        <v>584</v>
      </c>
      <c r="B585" t="str">
        <f>_xlfn.XLOOKUP(A585,Instagram_Usage_Lifestyle_Mini_!A585,Instagram_Usage_Lifestyle_Mini_!B585,1)</f>
        <v>Instagram</v>
      </c>
      <c r="C585">
        <f>_xlfn.XLOOKUP($A:$A,Instagram_Usage_Lifestyle_Mini_!$A:$A,Instagram_Usage_Lifestyle_Mini_!$C:$K)</f>
        <v>55</v>
      </c>
      <c r="D585" t="str">
        <f>_xlfn.XLOOKUP($A:$A,Instagram_Usage_Lifestyle_Mini_!$A:$A,Instagram_Usage_Lifestyle_Mini_!$C:$K)</f>
        <v>Male</v>
      </c>
      <c r="E585" t="str">
        <f>_xlfn.XLOOKUP($A:$A,Instagram_Usage_Lifestyle_Mini_!$A:$A,Instagram_Usage_Lifestyle_Mini_!$C:$K)</f>
        <v>South_Korea</v>
      </c>
      <c r="F585" t="str">
        <f>_xlfn.XLOOKUP($A:$A,Instagram_Usage_Lifestyle_Mini_!$A:$A,Instagram_Usage_Lifestyle_Mini_!$C:$K)</f>
        <v>Suburban</v>
      </c>
      <c r="G585" t="str">
        <f>_xlfn.XLOOKUP($A:$A,Instagram_Usage_Lifestyle_Mini_!$A:$A,Instagram_Usage_Lifestyle_Mini_!$C:$K)</f>
        <v>Low</v>
      </c>
      <c r="H585" t="str">
        <f>_xlfn.XLOOKUP($A:$A,Instagram_Usage_Lifestyle_Mini_!$A:$A,Instagram_Usage_Lifestyle_Mini_!$C:$K)</f>
        <v>Full_time_employed</v>
      </c>
      <c r="I585" t="str">
        <f>_xlfn.XLOOKUP($A:$A,Instagram_Usage_Lifestyle_Mini_!$A:$A,Instagram_Usage_Lifestyle_Mini_!$C:$K)</f>
        <v>Masters_degree</v>
      </c>
      <c r="J585" t="str">
        <f>_xlfn.XLOOKUP($A:$A,Instagram_Usage_Lifestyle_Mini_!$A:$A,Instagram_Usage_Lifestyle_Mini_!$C:$K)</f>
        <v>In_a_relationship</v>
      </c>
      <c r="K585" t="str">
        <f>_xlfn.XLOOKUP($A:$A,Instagram_Usage_Lifestyle_Mini_!$A:$A,Instagram_Usage_Lifestyle_Mini_!$C:$K)</f>
        <v>Yes</v>
      </c>
      <c r="L585" t="str" cm="1">
        <f t="array" ref="L585">_xlfn.IFS(C585&lt;18,"Under_18",C585&lt;=25,"Youth",C585&lt;=35,"Young_Adults",C585&lt;=45,"Mid_Adults",TRUE,"Seniors")</f>
        <v>Seniors</v>
      </c>
    </row>
    <row r="586" spans="1:12" x14ac:dyDescent="0.2">
      <c r="A586">
        <v>585</v>
      </c>
      <c r="B586" t="str">
        <f>_xlfn.XLOOKUP(A586,Instagram_Usage_Lifestyle_Mini_!A586,Instagram_Usage_Lifestyle_Mini_!B586,1)</f>
        <v>Instagram</v>
      </c>
      <c r="C586">
        <f>_xlfn.XLOOKUP($A:$A,Instagram_Usage_Lifestyle_Mini_!$A:$A,Instagram_Usage_Lifestyle_Mini_!$C:$K)</f>
        <v>56</v>
      </c>
      <c r="D586" t="str">
        <f>_xlfn.XLOOKUP($A:$A,Instagram_Usage_Lifestyle_Mini_!$A:$A,Instagram_Usage_Lifestyle_Mini_!$C:$K)</f>
        <v>Male</v>
      </c>
      <c r="E586" t="str">
        <f>_xlfn.XLOOKUP($A:$A,Instagram_Usage_Lifestyle_Mini_!$A:$A,Instagram_Usage_Lifestyle_Mini_!$C:$K)</f>
        <v>United_States</v>
      </c>
      <c r="F586" t="str">
        <f>_xlfn.XLOOKUP($A:$A,Instagram_Usage_Lifestyle_Mini_!$A:$A,Instagram_Usage_Lifestyle_Mini_!$C:$K)</f>
        <v>Urban</v>
      </c>
      <c r="G586" t="str">
        <f>_xlfn.XLOOKUP($A:$A,Instagram_Usage_Lifestyle_Mini_!$A:$A,Instagram_Usage_Lifestyle_Mini_!$C:$K)</f>
        <v>Lower_middle</v>
      </c>
      <c r="H586" t="str">
        <f>_xlfn.XLOOKUP($A:$A,Instagram_Usage_Lifestyle_Mini_!$A:$A,Instagram_Usage_Lifestyle_Mini_!$C:$K)</f>
        <v>Student</v>
      </c>
      <c r="I586" t="str">
        <f>_xlfn.XLOOKUP($A:$A,Instagram_Usage_Lifestyle_Mini_!$A:$A,Instagram_Usage_Lifestyle_Mini_!$C:$K)</f>
        <v>Bachelors_degree</v>
      </c>
      <c r="J586" t="str">
        <f>_xlfn.XLOOKUP($A:$A,Instagram_Usage_Lifestyle_Mini_!$A:$A,Instagram_Usage_Lifestyle_Mini_!$C:$K)</f>
        <v>In_a_relationship</v>
      </c>
      <c r="K586" t="str">
        <f>_xlfn.XLOOKUP($A:$A,Instagram_Usage_Lifestyle_Mini_!$A:$A,Instagram_Usage_Lifestyle_Mini_!$C:$K)</f>
        <v>No</v>
      </c>
      <c r="L586" t="str" cm="1">
        <f t="array" ref="L586">_xlfn.IFS(C586&lt;18,"Under_18",C586&lt;=25,"Youth",C586&lt;=35,"Young_Adults",C586&lt;=45,"Mid_Adults",TRUE,"Seniors")</f>
        <v>Seniors</v>
      </c>
    </row>
    <row r="587" spans="1:12" x14ac:dyDescent="0.2">
      <c r="A587">
        <v>586</v>
      </c>
      <c r="B587" t="str">
        <f>_xlfn.XLOOKUP(A587,Instagram_Usage_Lifestyle_Mini_!A587,Instagram_Usage_Lifestyle_Mini_!B587,1)</f>
        <v>Instagram</v>
      </c>
      <c r="C587">
        <f>_xlfn.XLOOKUP($A:$A,Instagram_Usage_Lifestyle_Mini_!$A:$A,Instagram_Usage_Lifestyle_Mini_!$C:$K)</f>
        <v>41</v>
      </c>
      <c r="D587" t="str">
        <f>_xlfn.XLOOKUP($A:$A,Instagram_Usage_Lifestyle_Mini_!$A:$A,Instagram_Usage_Lifestyle_Mini_!$C:$K)</f>
        <v>Female</v>
      </c>
      <c r="E587" t="str">
        <f>_xlfn.XLOOKUP($A:$A,Instagram_Usage_Lifestyle_Mini_!$A:$A,Instagram_Usage_Lifestyle_Mini_!$C:$K)</f>
        <v>Canada</v>
      </c>
      <c r="F587" t="str">
        <f>_xlfn.XLOOKUP($A:$A,Instagram_Usage_Lifestyle_Mini_!$A:$A,Instagram_Usage_Lifestyle_Mini_!$C:$K)</f>
        <v>Suburban</v>
      </c>
      <c r="G587" t="str">
        <f>_xlfn.XLOOKUP($A:$A,Instagram_Usage_Lifestyle_Mini_!$A:$A,Instagram_Usage_Lifestyle_Mini_!$C:$K)</f>
        <v>Lower_middle</v>
      </c>
      <c r="H587" t="str">
        <f>_xlfn.XLOOKUP($A:$A,Instagram_Usage_Lifestyle_Mini_!$A:$A,Instagram_Usage_Lifestyle_Mini_!$C:$K)</f>
        <v>Freelancer</v>
      </c>
      <c r="I587" t="str">
        <f>_xlfn.XLOOKUP($A:$A,Instagram_Usage_Lifestyle_Mini_!$A:$A,Instagram_Usage_Lifestyle_Mini_!$C:$K)</f>
        <v>Some_college</v>
      </c>
      <c r="J587" t="str">
        <f>_xlfn.XLOOKUP($A:$A,Instagram_Usage_Lifestyle_Mini_!$A:$A,Instagram_Usage_Lifestyle_Mini_!$C:$K)</f>
        <v>Single</v>
      </c>
      <c r="K587" t="str">
        <f>_xlfn.XLOOKUP($A:$A,Instagram_Usage_Lifestyle_Mini_!$A:$A,Instagram_Usage_Lifestyle_Mini_!$C:$K)</f>
        <v>Yes</v>
      </c>
      <c r="L587" t="str" cm="1">
        <f t="array" ref="L587">_xlfn.IFS(C587&lt;18,"Under_18",C587&lt;=25,"Youth",C587&lt;=35,"Young_Adults",C587&lt;=45,"Mid_Adults",TRUE,"Seniors")</f>
        <v>Mid_Adults</v>
      </c>
    </row>
    <row r="588" spans="1:12" x14ac:dyDescent="0.2">
      <c r="A588">
        <v>587</v>
      </c>
      <c r="B588" t="str">
        <f>_xlfn.XLOOKUP(A588,Instagram_Usage_Lifestyle_Mini_!A588,Instagram_Usage_Lifestyle_Mini_!B588,1)</f>
        <v>Instagram</v>
      </c>
      <c r="C588">
        <f>_xlfn.XLOOKUP($A:$A,Instagram_Usage_Lifestyle_Mini_!$A:$A,Instagram_Usage_Lifestyle_Mini_!$C:$K)</f>
        <v>25</v>
      </c>
      <c r="D588" t="str">
        <f>_xlfn.XLOOKUP($A:$A,Instagram_Usage_Lifestyle_Mini_!$A:$A,Instagram_Usage_Lifestyle_Mini_!$C:$K)</f>
        <v>Male</v>
      </c>
      <c r="E588" t="str">
        <f>_xlfn.XLOOKUP($A:$A,Instagram_Usage_Lifestyle_Mini_!$A:$A,Instagram_Usage_Lifestyle_Mini_!$C:$K)</f>
        <v>Australia</v>
      </c>
      <c r="F588" t="str">
        <f>_xlfn.XLOOKUP($A:$A,Instagram_Usage_Lifestyle_Mini_!$A:$A,Instagram_Usage_Lifestyle_Mini_!$C:$K)</f>
        <v>Urban</v>
      </c>
      <c r="G588" t="str">
        <f>_xlfn.XLOOKUP($A:$A,Instagram_Usage_Lifestyle_Mini_!$A:$A,Instagram_Usage_Lifestyle_Mini_!$C:$K)</f>
        <v>Middle</v>
      </c>
      <c r="H588" t="str">
        <f>_xlfn.XLOOKUP($A:$A,Instagram_Usage_Lifestyle_Mini_!$A:$A,Instagram_Usage_Lifestyle_Mini_!$C:$K)</f>
        <v>Full_time_employed</v>
      </c>
      <c r="I588" t="str">
        <f>_xlfn.XLOOKUP($A:$A,Instagram_Usage_Lifestyle_Mini_!$A:$A,Instagram_Usage_Lifestyle_Mini_!$C:$K)</f>
        <v>Some_college</v>
      </c>
      <c r="J588" t="str">
        <f>_xlfn.XLOOKUP($A:$A,Instagram_Usage_Lifestyle_Mini_!$A:$A,Instagram_Usage_Lifestyle_Mini_!$C:$K)</f>
        <v>In_a_relationship</v>
      </c>
      <c r="K588" t="str">
        <f>_xlfn.XLOOKUP($A:$A,Instagram_Usage_Lifestyle_Mini_!$A:$A,Instagram_Usage_Lifestyle_Mini_!$C:$K)</f>
        <v>Yes</v>
      </c>
      <c r="L588" t="str" cm="1">
        <f t="array" ref="L588">_xlfn.IFS(C588&lt;18,"Under_18",C588&lt;=25,"Youth",C588&lt;=35,"Young_Adults",C588&lt;=45,"Mid_Adults",TRUE,"Seniors")</f>
        <v>Youth</v>
      </c>
    </row>
    <row r="589" spans="1:12" x14ac:dyDescent="0.2">
      <c r="A589">
        <v>588</v>
      </c>
      <c r="B589" t="str">
        <f>_xlfn.XLOOKUP(A589,Instagram_Usage_Lifestyle_Mini_!A589,Instagram_Usage_Lifestyle_Mini_!B589,1)</f>
        <v>Instagram</v>
      </c>
      <c r="C589">
        <f>_xlfn.XLOOKUP($A:$A,Instagram_Usage_Lifestyle_Mini_!$A:$A,Instagram_Usage_Lifestyle_Mini_!$C:$K)</f>
        <v>24</v>
      </c>
      <c r="D589" t="str">
        <f>_xlfn.XLOOKUP($A:$A,Instagram_Usage_Lifestyle_Mini_!$A:$A,Instagram_Usage_Lifestyle_Mini_!$C:$K)</f>
        <v>Male</v>
      </c>
      <c r="E589" t="str">
        <f>_xlfn.XLOOKUP($A:$A,Instagram_Usage_Lifestyle_Mini_!$A:$A,Instagram_Usage_Lifestyle_Mini_!$C:$K)</f>
        <v>Japan</v>
      </c>
      <c r="F589" t="str">
        <f>_xlfn.XLOOKUP($A:$A,Instagram_Usage_Lifestyle_Mini_!$A:$A,Instagram_Usage_Lifestyle_Mini_!$C:$K)</f>
        <v>Urban</v>
      </c>
      <c r="G589" t="str">
        <f>_xlfn.XLOOKUP($A:$A,Instagram_Usage_Lifestyle_Mini_!$A:$A,Instagram_Usage_Lifestyle_Mini_!$C:$K)</f>
        <v>Middle</v>
      </c>
      <c r="H589" t="str">
        <f>_xlfn.XLOOKUP($A:$A,Instagram_Usage_Lifestyle_Mini_!$A:$A,Instagram_Usage_Lifestyle_Mini_!$C:$K)</f>
        <v>Full_time_employed</v>
      </c>
      <c r="I589" t="str">
        <f>_xlfn.XLOOKUP($A:$A,Instagram_Usage_Lifestyle_Mini_!$A:$A,Instagram_Usage_Lifestyle_Mini_!$C:$K)</f>
        <v>Bachelors_degree</v>
      </c>
      <c r="J589" t="str">
        <f>_xlfn.XLOOKUP($A:$A,Instagram_Usage_Lifestyle_Mini_!$A:$A,Instagram_Usage_Lifestyle_Mini_!$C:$K)</f>
        <v>Married</v>
      </c>
      <c r="K589" t="str">
        <f>_xlfn.XLOOKUP($A:$A,Instagram_Usage_Lifestyle_Mini_!$A:$A,Instagram_Usage_Lifestyle_Mini_!$C:$K)</f>
        <v>No</v>
      </c>
      <c r="L589" t="str" cm="1">
        <f t="array" ref="L589">_xlfn.IFS(C589&lt;18,"Under_18",C589&lt;=25,"Youth",C589&lt;=35,"Young_Adults",C589&lt;=45,"Mid_Adults",TRUE,"Seniors")</f>
        <v>Youth</v>
      </c>
    </row>
    <row r="590" spans="1:12" x14ac:dyDescent="0.2">
      <c r="A590">
        <v>589</v>
      </c>
      <c r="B590" t="str">
        <f>_xlfn.XLOOKUP(A590,Instagram_Usage_Lifestyle_Mini_!A590,Instagram_Usage_Lifestyle_Mini_!B590,1)</f>
        <v>Instagram</v>
      </c>
      <c r="C590">
        <f>_xlfn.XLOOKUP($A:$A,Instagram_Usage_Lifestyle_Mini_!$A:$A,Instagram_Usage_Lifestyle_Mini_!$C:$K)</f>
        <v>43</v>
      </c>
      <c r="D590" t="str">
        <f>_xlfn.XLOOKUP($A:$A,Instagram_Usage_Lifestyle_Mini_!$A:$A,Instagram_Usage_Lifestyle_Mini_!$C:$K)</f>
        <v>Female</v>
      </c>
      <c r="E590" t="str">
        <f>_xlfn.XLOOKUP($A:$A,Instagram_Usage_Lifestyle_Mini_!$A:$A,Instagram_Usage_Lifestyle_Mini_!$C:$K)</f>
        <v>Germany</v>
      </c>
      <c r="F590" t="str">
        <f>_xlfn.XLOOKUP($A:$A,Instagram_Usage_Lifestyle_Mini_!$A:$A,Instagram_Usage_Lifestyle_Mini_!$C:$K)</f>
        <v>Urban</v>
      </c>
      <c r="G590" t="str">
        <f>_xlfn.XLOOKUP($A:$A,Instagram_Usage_Lifestyle_Mini_!$A:$A,Instagram_Usage_Lifestyle_Mini_!$C:$K)</f>
        <v>Middle</v>
      </c>
      <c r="H590" t="str">
        <f>_xlfn.XLOOKUP($A:$A,Instagram_Usage_Lifestyle_Mini_!$A:$A,Instagram_Usage_Lifestyle_Mini_!$C:$K)</f>
        <v>Freelancer</v>
      </c>
      <c r="I590" t="str">
        <f>_xlfn.XLOOKUP($A:$A,Instagram_Usage_Lifestyle_Mini_!$A:$A,Instagram_Usage_Lifestyle_Mini_!$C:$K)</f>
        <v>Some_college</v>
      </c>
      <c r="J590" t="str">
        <f>_xlfn.XLOOKUP($A:$A,Instagram_Usage_Lifestyle_Mini_!$A:$A,Instagram_Usage_Lifestyle_Mini_!$C:$K)</f>
        <v>Single</v>
      </c>
      <c r="K590" t="str">
        <f>_xlfn.XLOOKUP($A:$A,Instagram_Usage_Lifestyle_Mini_!$A:$A,Instagram_Usage_Lifestyle_Mini_!$C:$K)</f>
        <v>No</v>
      </c>
      <c r="L590" t="str" cm="1">
        <f t="array" ref="L590">_xlfn.IFS(C590&lt;18,"Under_18",C590&lt;=25,"Youth",C590&lt;=35,"Young_Adults",C590&lt;=45,"Mid_Adults",TRUE,"Seniors")</f>
        <v>Mid_Adults</v>
      </c>
    </row>
    <row r="591" spans="1:12" x14ac:dyDescent="0.2">
      <c r="A591">
        <v>590</v>
      </c>
      <c r="B591" t="str">
        <f>_xlfn.XLOOKUP(A591,Instagram_Usage_Lifestyle_Mini_!A591,Instagram_Usage_Lifestyle_Mini_!B591,1)</f>
        <v>Instagram</v>
      </c>
      <c r="C591">
        <f>_xlfn.XLOOKUP($A:$A,Instagram_Usage_Lifestyle_Mini_!$A:$A,Instagram_Usage_Lifestyle_Mini_!$C:$K)</f>
        <v>58</v>
      </c>
      <c r="D591" t="str">
        <f>_xlfn.XLOOKUP($A:$A,Instagram_Usage_Lifestyle_Mini_!$A:$A,Instagram_Usage_Lifestyle_Mini_!$C:$K)</f>
        <v>Female</v>
      </c>
      <c r="E591" t="str">
        <f>_xlfn.XLOOKUP($A:$A,Instagram_Usage_Lifestyle_Mini_!$A:$A,Instagram_Usage_Lifestyle_Mini_!$C:$K)</f>
        <v>United _Kingdom</v>
      </c>
      <c r="F591" t="str">
        <f>_xlfn.XLOOKUP($A:$A,Instagram_Usage_Lifestyle_Mini_!$A:$A,Instagram_Usage_Lifestyle_Mini_!$C:$K)</f>
        <v>Urban</v>
      </c>
      <c r="G591" t="str">
        <f>_xlfn.XLOOKUP($A:$A,Instagram_Usage_Lifestyle_Mini_!$A:$A,Instagram_Usage_Lifestyle_Mini_!$C:$K)</f>
        <v>Lower_middle</v>
      </c>
      <c r="H591" t="str">
        <f>_xlfn.XLOOKUP($A:$A,Instagram_Usage_Lifestyle_Mini_!$A:$A,Instagram_Usage_Lifestyle_Mini_!$C:$K)</f>
        <v>Full_time_employed</v>
      </c>
      <c r="I591" t="str">
        <f>_xlfn.XLOOKUP($A:$A,Instagram_Usage_Lifestyle_Mini_!$A:$A,Instagram_Usage_Lifestyle_Mini_!$C:$K)</f>
        <v>Some_college</v>
      </c>
      <c r="J591" t="str">
        <f>_xlfn.XLOOKUP($A:$A,Instagram_Usage_Lifestyle_Mini_!$A:$A,Instagram_Usage_Lifestyle_Mini_!$C:$K)</f>
        <v>Married</v>
      </c>
      <c r="K591" t="str">
        <f>_xlfn.XLOOKUP($A:$A,Instagram_Usage_Lifestyle_Mini_!$A:$A,Instagram_Usage_Lifestyle_Mini_!$C:$K)</f>
        <v>Yes</v>
      </c>
      <c r="L591" t="str" cm="1">
        <f t="array" ref="L591">_xlfn.IFS(C591&lt;18,"Under_18",C591&lt;=25,"Youth",C591&lt;=35,"Young_Adults",C591&lt;=45,"Mid_Adults",TRUE,"Seniors")</f>
        <v>Seniors</v>
      </c>
    </row>
    <row r="592" spans="1:12" x14ac:dyDescent="0.2">
      <c r="A592">
        <v>591</v>
      </c>
      <c r="B592" t="str">
        <f>_xlfn.XLOOKUP(A592,Instagram_Usage_Lifestyle_Mini_!A592,Instagram_Usage_Lifestyle_Mini_!B592,1)</f>
        <v>Instagram</v>
      </c>
      <c r="C592">
        <f>_xlfn.XLOOKUP($A:$A,Instagram_Usage_Lifestyle_Mini_!$A:$A,Instagram_Usage_Lifestyle_Mini_!$C:$K)</f>
        <v>14</v>
      </c>
      <c r="D592" t="str">
        <f>_xlfn.XLOOKUP($A:$A,Instagram_Usage_Lifestyle_Mini_!$A:$A,Instagram_Usage_Lifestyle_Mini_!$C:$K)</f>
        <v>Male</v>
      </c>
      <c r="E592" t="str">
        <f>_xlfn.XLOOKUP($A:$A,Instagram_Usage_Lifestyle_Mini_!$A:$A,Instagram_Usage_Lifestyle_Mini_!$C:$K)</f>
        <v>Other</v>
      </c>
      <c r="F592" t="str">
        <f>_xlfn.XLOOKUP($A:$A,Instagram_Usage_Lifestyle_Mini_!$A:$A,Instagram_Usage_Lifestyle_Mini_!$C:$K)</f>
        <v>Suburban</v>
      </c>
      <c r="G592" t="str">
        <f>_xlfn.XLOOKUP($A:$A,Instagram_Usage_Lifestyle_Mini_!$A:$A,Instagram_Usage_Lifestyle_Mini_!$C:$K)</f>
        <v>Lower_middle</v>
      </c>
      <c r="H592" t="str">
        <f>_xlfn.XLOOKUP($A:$A,Instagram_Usage_Lifestyle_Mini_!$A:$A,Instagram_Usage_Lifestyle_Mini_!$C:$K)</f>
        <v>Full_time_employed</v>
      </c>
      <c r="I592" t="str">
        <f>_xlfn.XLOOKUP($A:$A,Instagram_Usage_Lifestyle_Mini_!$A:$A,Instagram_Usage_Lifestyle_Mini_!$C:$K)</f>
        <v>Some_college</v>
      </c>
      <c r="J592" t="str">
        <f>_xlfn.XLOOKUP($A:$A,Instagram_Usage_Lifestyle_Mini_!$A:$A,Instagram_Usage_Lifestyle_Mini_!$C:$K)</f>
        <v>Single</v>
      </c>
      <c r="K592" t="str">
        <f>_xlfn.XLOOKUP($A:$A,Instagram_Usage_Lifestyle_Mini_!$A:$A,Instagram_Usage_Lifestyle_Mini_!$C:$K)</f>
        <v>No</v>
      </c>
      <c r="L592" t="str" cm="1">
        <f t="array" ref="L592">_xlfn.IFS(C592&lt;18,"Under_18",C592&lt;=25,"Youth",C592&lt;=35,"Young_Adults",C592&lt;=45,"Mid_Adults",TRUE,"Seniors")</f>
        <v>Under_18</v>
      </c>
    </row>
    <row r="593" spans="1:12" x14ac:dyDescent="0.2">
      <c r="A593">
        <v>592</v>
      </c>
      <c r="B593" t="str">
        <f>_xlfn.XLOOKUP(A593,Instagram_Usage_Lifestyle_Mini_!A593,Instagram_Usage_Lifestyle_Mini_!B593,1)</f>
        <v>Instagram</v>
      </c>
      <c r="C593">
        <f>_xlfn.XLOOKUP($A:$A,Instagram_Usage_Lifestyle_Mini_!$A:$A,Instagram_Usage_Lifestyle_Mini_!$C:$K)</f>
        <v>63</v>
      </c>
      <c r="D593" t="str">
        <f>_xlfn.XLOOKUP($A:$A,Instagram_Usage_Lifestyle_Mini_!$A:$A,Instagram_Usage_Lifestyle_Mini_!$C:$K)</f>
        <v>Male</v>
      </c>
      <c r="E593" t="str">
        <f>_xlfn.XLOOKUP($A:$A,Instagram_Usage_Lifestyle_Mini_!$A:$A,Instagram_Usage_Lifestyle_Mini_!$C:$K)</f>
        <v>United_States</v>
      </c>
      <c r="F593" t="str">
        <f>_xlfn.XLOOKUP($A:$A,Instagram_Usage_Lifestyle_Mini_!$A:$A,Instagram_Usage_Lifestyle_Mini_!$C:$K)</f>
        <v>Urban</v>
      </c>
      <c r="G593" t="str">
        <f>_xlfn.XLOOKUP($A:$A,Instagram_Usage_Lifestyle_Mini_!$A:$A,Instagram_Usage_Lifestyle_Mini_!$C:$K)</f>
        <v>Lower_middle</v>
      </c>
      <c r="H593" t="str">
        <f>_xlfn.XLOOKUP($A:$A,Instagram_Usage_Lifestyle_Mini_!$A:$A,Instagram_Usage_Lifestyle_Mini_!$C:$K)</f>
        <v>Student</v>
      </c>
      <c r="I593" t="str">
        <f>_xlfn.XLOOKUP($A:$A,Instagram_Usage_Lifestyle_Mini_!$A:$A,Instagram_Usage_Lifestyle_Mini_!$C:$K)</f>
        <v>Other</v>
      </c>
      <c r="J593" t="str">
        <f>_xlfn.XLOOKUP($A:$A,Instagram_Usage_Lifestyle_Mini_!$A:$A,Instagram_Usage_Lifestyle_Mini_!$C:$K)</f>
        <v>In_a_relationship</v>
      </c>
      <c r="K593" t="str">
        <f>_xlfn.XLOOKUP($A:$A,Instagram_Usage_Lifestyle_Mini_!$A:$A,Instagram_Usage_Lifestyle_Mini_!$C:$K)</f>
        <v>Yes</v>
      </c>
      <c r="L593" t="str" cm="1">
        <f t="array" ref="L593">_xlfn.IFS(C593&lt;18,"Under_18",C593&lt;=25,"Youth",C593&lt;=35,"Young_Adults",C593&lt;=45,"Mid_Adults",TRUE,"Seniors")</f>
        <v>Seniors</v>
      </c>
    </row>
    <row r="594" spans="1:12" x14ac:dyDescent="0.2">
      <c r="A594">
        <v>593</v>
      </c>
      <c r="B594" t="str">
        <f>_xlfn.XLOOKUP(A594,Instagram_Usage_Lifestyle_Mini_!A594,Instagram_Usage_Lifestyle_Mini_!B594,1)</f>
        <v>Instagram</v>
      </c>
      <c r="C594">
        <f>_xlfn.XLOOKUP($A:$A,Instagram_Usage_Lifestyle_Mini_!$A:$A,Instagram_Usage_Lifestyle_Mini_!$C:$K)</f>
        <v>62</v>
      </c>
      <c r="D594" t="str">
        <f>_xlfn.XLOOKUP($A:$A,Instagram_Usage_Lifestyle_Mini_!$A:$A,Instagram_Usage_Lifestyle_Mini_!$C:$K)</f>
        <v>Female</v>
      </c>
      <c r="E594" t="str">
        <f>_xlfn.XLOOKUP($A:$A,Instagram_Usage_Lifestyle_Mini_!$A:$A,Instagram_Usage_Lifestyle_Mini_!$C:$K)</f>
        <v>Germany</v>
      </c>
      <c r="F594" t="str">
        <f>_xlfn.XLOOKUP($A:$A,Instagram_Usage_Lifestyle_Mini_!$A:$A,Instagram_Usage_Lifestyle_Mini_!$C:$K)</f>
        <v>Urban</v>
      </c>
      <c r="G594" t="str">
        <f>_xlfn.XLOOKUP($A:$A,Instagram_Usage_Lifestyle_Mini_!$A:$A,Instagram_Usage_Lifestyle_Mini_!$C:$K)</f>
        <v>Low</v>
      </c>
      <c r="H594" t="str">
        <f>_xlfn.XLOOKUP($A:$A,Instagram_Usage_Lifestyle_Mini_!$A:$A,Instagram_Usage_Lifestyle_Mini_!$C:$K)</f>
        <v>Full_time_employed</v>
      </c>
      <c r="I594" t="str">
        <f>_xlfn.XLOOKUP($A:$A,Instagram_Usage_Lifestyle_Mini_!$A:$A,Instagram_Usage_Lifestyle_Mini_!$C:$K)</f>
        <v>Bachelors_degree</v>
      </c>
      <c r="J594" t="str">
        <f>_xlfn.XLOOKUP($A:$A,Instagram_Usage_Lifestyle_Mini_!$A:$A,Instagram_Usage_Lifestyle_Mini_!$C:$K)</f>
        <v>Single</v>
      </c>
      <c r="K594" t="str">
        <f>_xlfn.XLOOKUP($A:$A,Instagram_Usage_Lifestyle_Mini_!$A:$A,Instagram_Usage_Lifestyle_Mini_!$C:$K)</f>
        <v>No</v>
      </c>
      <c r="L594" t="str" cm="1">
        <f t="array" ref="L594">_xlfn.IFS(C594&lt;18,"Under_18",C594&lt;=25,"Youth",C594&lt;=35,"Young_Adults",C594&lt;=45,"Mid_Adults",TRUE,"Seniors")</f>
        <v>Seniors</v>
      </c>
    </row>
    <row r="595" spans="1:12" x14ac:dyDescent="0.2">
      <c r="A595">
        <v>594</v>
      </c>
      <c r="B595" t="str">
        <f>_xlfn.XLOOKUP(A595,Instagram_Usage_Lifestyle_Mini_!A595,Instagram_Usage_Lifestyle_Mini_!B595,1)</f>
        <v>Instagram</v>
      </c>
      <c r="C595">
        <f>_xlfn.XLOOKUP($A:$A,Instagram_Usage_Lifestyle_Mini_!$A:$A,Instagram_Usage_Lifestyle_Mini_!$C:$K)</f>
        <v>47</v>
      </c>
      <c r="D595" t="str">
        <f>_xlfn.XLOOKUP($A:$A,Instagram_Usage_Lifestyle_Mini_!$A:$A,Instagram_Usage_Lifestyle_Mini_!$C:$K)</f>
        <v>Male</v>
      </c>
      <c r="E595" t="str">
        <f>_xlfn.XLOOKUP($A:$A,Instagram_Usage_Lifestyle_Mini_!$A:$A,Instagram_Usage_Lifestyle_Mini_!$C:$K)</f>
        <v>Other</v>
      </c>
      <c r="F595" t="str">
        <f>_xlfn.XLOOKUP($A:$A,Instagram_Usage_Lifestyle_Mini_!$A:$A,Instagram_Usage_Lifestyle_Mini_!$C:$K)</f>
        <v>Rural</v>
      </c>
      <c r="G595" t="str">
        <f>_xlfn.XLOOKUP($A:$A,Instagram_Usage_Lifestyle_Mini_!$A:$A,Instagram_Usage_Lifestyle_Mini_!$C:$K)</f>
        <v>Lower_middle</v>
      </c>
      <c r="H595" t="str">
        <f>_xlfn.XLOOKUP($A:$A,Instagram_Usage_Lifestyle_Mini_!$A:$A,Instagram_Usage_Lifestyle_Mini_!$C:$K)</f>
        <v>Student</v>
      </c>
      <c r="I595" t="str">
        <f>_xlfn.XLOOKUP($A:$A,Instagram_Usage_Lifestyle_Mini_!$A:$A,Instagram_Usage_Lifestyle_Mini_!$C:$K)</f>
        <v>Masters_degree</v>
      </c>
      <c r="J595" t="str">
        <f>_xlfn.XLOOKUP($A:$A,Instagram_Usage_Lifestyle_Mini_!$A:$A,Instagram_Usage_Lifestyle_Mini_!$C:$K)</f>
        <v>Married</v>
      </c>
      <c r="K595" t="str">
        <f>_xlfn.XLOOKUP($A:$A,Instagram_Usage_Lifestyle_Mini_!$A:$A,Instagram_Usage_Lifestyle_Mini_!$C:$K)</f>
        <v>No</v>
      </c>
      <c r="L595" t="str" cm="1">
        <f t="array" ref="L595">_xlfn.IFS(C595&lt;18,"Under_18",C595&lt;=25,"Youth",C595&lt;=35,"Young_Adults",C595&lt;=45,"Mid_Adults",TRUE,"Seniors")</f>
        <v>Seniors</v>
      </c>
    </row>
    <row r="596" spans="1:12" x14ac:dyDescent="0.2">
      <c r="A596">
        <v>595</v>
      </c>
      <c r="B596" t="str">
        <f>_xlfn.XLOOKUP(A596,Instagram_Usage_Lifestyle_Mini_!A596,Instagram_Usage_Lifestyle_Mini_!B596,1)</f>
        <v>Instagram</v>
      </c>
      <c r="C596">
        <f>_xlfn.XLOOKUP($A:$A,Instagram_Usage_Lifestyle_Mini_!$A:$A,Instagram_Usage_Lifestyle_Mini_!$C:$K)</f>
        <v>35</v>
      </c>
      <c r="D596" t="str">
        <f>_xlfn.XLOOKUP($A:$A,Instagram_Usage_Lifestyle_Mini_!$A:$A,Instagram_Usage_Lifestyle_Mini_!$C:$K)</f>
        <v>Male</v>
      </c>
      <c r="E596" t="str">
        <f>_xlfn.XLOOKUP($A:$A,Instagram_Usage_Lifestyle_Mini_!$A:$A,Instagram_Usage_Lifestyle_Mini_!$C:$K)</f>
        <v>India</v>
      </c>
      <c r="F596" t="str">
        <f>_xlfn.XLOOKUP($A:$A,Instagram_Usage_Lifestyle_Mini_!$A:$A,Instagram_Usage_Lifestyle_Mini_!$C:$K)</f>
        <v>Urban</v>
      </c>
      <c r="G596" t="str">
        <f>_xlfn.XLOOKUP($A:$A,Instagram_Usage_Lifestyle_Mini_!$A:$A,Instagram_Usage_Lifestyle_Mini_!$C:$K)</f>
        <v>Lower_middle</v>
      </c>
      <c r="H596" t="str">
        <f>_xlfn.XLOOKUP($A:$A,Instagram_Usage_Lifestyle_Mini_!$A:$A,Instagram_Usage_Lifestyle_Mini_!$C:$K)</f>
        <v>Full_time_employed</v>
      </c>
      <c r="I596" t="str">
        <f>_xlfn.XLOOKUP($A:$A,Instagram_Usage_Lifestyle_Mini_!$A:$A,Instagram_Usage_Lifestyle_Mini_!$C:$K)</f>
        <v>High_school</v>
      </c>
      <c r="J596" t="str">
        <f>_xlfn.XLOOKUP($A:$A,Instagram_Usage_Lifestyle_Mini_!$A:$A,Instagram_Usage_Lifestyle_Mini_!$C:$K)</f>
        <v>Married</v>
      </c>
      <c r="K596" t="str">
        <f>_xlfn.XLOOKUP($A:$A,Instagram_Usage_Lifestyle_Mini_!$A:$A,Instagram_Usage_Lifestyle_Mini_!$C:$K)</f>
        <v>Yes</v>
      </c>
      <c r="L596" t="str" cm="1">
        <f t="array" ref="L596">_xlfn.IFS(C596&lt;18,"Under_18",C596&lt;=25,"Youth",C596&lt;=35,"Young_Adults",C596&lt;=45,"Mid_Adults",TRUE,"Seniors")</f>
        <v>Young_Adults</v>
      </c>
    </row>
    <row r="597" spans="1:12" x14ac:dyDescent="0.2">
      <c r="A597">
        <v>596</v>
      </c>
      <c r="B597" t="str">
        <f>_xlfn.XLOOKUP(A597,Instagram_Usage_Lifestyle_Mini_!A597,Instagram_Usage_Lifestyle_Mini_!B597,1)</f>
        <v>Instagram</v>
      </c>
      <c r="C597">
        <f>_xlfn.XLOOKUP($A:$A,Instagram_Usage_Lifestyle_Mini_!$A:$A,Instagram_Usage_Lifestyle_Mini_!$C:$K)</f>
        <v>29</v>
      </c>
      <c r="D597" t="str">
        <f>_xlfn.XLOOKUP($A:$A,Instagram_Usage_Lifestyle_Mini_!$A:$A,Instagram_Usage_Lifestyle_Mini_!$C:$K)</f>
        <v>Female</v>
      </c>
      <c r="E597" t="str">
        <f>_xlfn.XLOOKUP($A:$A,Instagram_Usage_Lifestyle_Mini_!$A:$A,Instagram_Usage_Lifestyle_Mini_!$C:$K)</f>
        <v>Brazil</v>
      </c>
      <c r="F597" t="str">
        <f>_xlfn.XLOOKUP($A:$A,Instagram_Usage_Lifestyle_Mini_!$A:$A,Instagram_Usage_Lifestyle_Mini_!$C:$K)</f>
        <v>Rural</v>
      </c>
      <c r="G597" t="str">
        <f>_xlfn.XLOOKUP($A:$A,Instagram_Usage_Lifestyle_Mini_!$A:$A,Instagram_Usage_Lifestyle_Mini_!$C:$K)</f>
        <v>Middle</v>
      </c>
      <c r="H597" t="str">
        <f>_xlfn.XLOOKUP($A:$A,Instagram_Usage_Lifestyle_Mini_!$A:$A,Instagram_Usage_Lifestyle_Mini_!$C:$K)</f>
        <v>Freelancer</v>
      </c>
      <c r="I597" t="str">
        <f>_xlfn.XLOOKUP($A:$A,Instagram_Usage_Lifestyle_Mini_!$A:$A,Instagram_Usage_Lifestyle_Mini_!$C:$K)</f>
        <v>High_school</v>
      </c>
      <c r="J597" t="str">
        <f>_xlfn.XLOOKUP($A:$A,Instagram_Usage_Lifestyle_Mini_!$A:$A,Instagram_Usage_Lifestyle_Mini_!$C:$K)</f>
        <v>Single</v>
      </c>
      <c r="K597" t="str">
        <f>_xlfn.XLOOKUP($A:$A,Instagram_Usage_Lifestyle_Mini_!$A:$A,Instagram_Usage_Lifestyle_Mini_!$C:$K)</f>
        <v>No</v>
      </c>
      <c r="L597" t="str" cm="1">
        <f t="array" ref="L597">_xlfn.IFS(C597&lt;18,"Under_18",C597&lt;=25,"Youth",C597&lt;=35,"Young_Adults",C597&lt;=45,"Mid_Adults",TRUE,"Seniors")</f>
        <v>Young_Adults</v>
      </c>
    </row>
    <row r="598" spans="1:12" x14ac:dyDescent="0.2">
      <c r="A598">
        <v>597</v>
      </c>
      <c r="B598" t="str">
        <f>_xlfn.XLOOKUP(A598,Instagram_Usage_Lifestyle_Mini_!A598,Instagram_Usage_Lifestyle_Mini_!B598,1)</f>
        <v>Instagram</v>
      </c>
      <c r="C598">
        <f>_xlfn.XLOOKUP($A:$A,Instagram_Usage_Lifestyle_Mini_!$A:$A,Instagram_Usage_Lifestyle_Mini_!$C:$K)</f>
        <v>38</v>
      </c>
      <c r="D598" t="str">
        <f>_xlfn.XLOOKUP($A:$A,Instagram_Usage_Lifestyle_Mini_!$A:$A,Instagram_Usage_Lifestyle_Mini_!$C:$K)</f>
        <v>Female</v>
      </c>
      <c r="E598" t="str">
        <f>_xlfn.XLOOKUP($A:$A,Instagram_Usage_Lifestyle_Mini_!$A:$A,Instagram_Usage_Lifestyle_Mini_!$C:$K)</f>
        <v>Canada</v>
      </c>
      <c r="F598" t="str">
        <f>_xlfn.XLOOKUP($A:$A,Instagram_Usage_Lifestyle_Mini_!$A:$A,Instagram_Usage_Lifestyle_Mini_!$C:$K)</f>
        <v>Urban</v>
      </c>
      <c r="G598" t="str">
        <f>_xlfn.XLOOKUP($A:$A,Instagram_Usage_Lifestyle_Mini_!$A:$A,Instagram_Usage_Lifestyle_Mini_!$C:$K)</f>
        <v>Middle</v>
      </c>
      <c r="H598" t="str">
        <f>_xlfn.XLOOKUP($A:$A,Instagram_Usage_Lifestyle_Mini_!$A:$A,Instagram_Usage_Lifestyle_Mini_!$C:$K)</f>
        <v>Full_time_employed</v>
      </c>
      <c r="I598" t="str">
        <f>_xlfn.XLOOKUP($A:$A,Instagram_Usage_Lifestyle_Mini_!$A:$A,Instagram_Usage_Lifestyle_Mini_!$C:$K)</f>
        <v>Some_college</v>
      </c>
      <c r="J598" t="str">
        <f>_xlfn.XLOOKUP($A:$A,Instagram_Usage_Lifestyle_Mini_!$A:$A,Instagram_Usage_Lifestyle_Mini_!$C:$K)</f>
        <v>Married</v>
      </c>
      <c r="K598" t="str">
        <f>_xlfn.XLOOKUP($A:$A,Instagram_Usage_Lifestyle_Mini_!$A:$A,Instagram_Usage_Lifestyle_Mini_!$C:$K)</f>
        <v>No</v>
      </c>
      <c r="L598" t="str" cm="1">
        <f t="array" ref="L598">_xlfn.IFS(C598&lt;18,"Under_18",C598&lt;=25,"Youth",C598&lt;=35,"Young_Adults",C598&lt;=45,"Mid_Adults",TRUE,"Seniors")</f>
        <v>Mid_Adults</v>
      </c>
    </row>
    <row r="599" spans="1:12" x14ac:dyDescent="0.2">
      <c r="A599">
        <v>598</v>
      </c>
      <c r="B599" t="str">
        <f>_xlfn.XLOOKUP(A599,Instagram_Usage_Lifestyle_Mini_!A599,Instagram_Usage_Lifestyle_Mini_!B599,1)</f>
        <v>Instagram</v>
      </c>
      <c r="C599">
        <f>_xlfn.XLOOKUP($A:$A,Instagram_Usage_Lifestyle_Mini_!$A:$A,Instagram_Usage_Lifestyle_Mini_!$C:$K)</f>
        <v>20</v>
      </c>
      <c r="D599" t="str">
        <f>_xlfn.XLOOKUP($A:$A,Instagram_Usage_Lifestyle_Mini_!$A:$A,Instagram_Usage_Lifestyle_Mini_!$C:$K)</f>
        <v>Male</v>
      </c>
      <c r="E599" t="str">
        <f>_xlfn.XLOOKUP($A:$A,Instagram_Usage_Lifestyle_Mini_!$A:$A,Instagram_Usage_Lifestyle_Mini_!$C:$K)</f>
        <v>Japan</v>
      </c>
      <c r="F599" t="str">
        <f>_xlfn.XLOOKUP($A:$A,Instagram_Usage_Lifestyle_Mini_!$A:$A,Instagram_Usage_Lifestyle_Mini_!$C:$K)</f>
        <v>Urban</v>
      </c>
      <c r="G599" t="str">
        <f>_xlfn.XLOOKUP($A:$A,Instagram_Usage_Lifestyle_Mini_!$A:$A,Instagram_Usage_Lifestyle_Mini_!$C:$K)</f>
        <v>Low</v>
      </c>
      <c r="H599" t="str">
        <f>_xlfn.XLOOKUP($A:$A,Instagram_Usage_Lifestyle_Mini_!$A:$A,Instagram_Usage_Lifestyle_Mini_!$C:$K)</f>
        <v>Full_time_employed</v>
      </c>
      <c r="I599" t="str">
        <f>_xlfn.XLOOKUP($A:$A,Instagram_Usage_Lifestyle_Mini_!$A:$A,Instagram_Usage_Lifestyle_Mini_!$C:$K)</f>
        <v>High_school</v>
      </c>
      <c r="J599" t="str">
        <f>_xlfn.XLOOKUP($A:$A,Instagram_Usage_Lifestyle_Mini_!$A:$A,Instagram_Usage_Lifestyle_Mini_!$C:$K)</f>
        <v>In_a_relationship</v>
      </c>
      <c r="K599" t="str">
        <f>_xlfn.XLOOKUP($A:$A,Instagram_Usage_Lifestyle_Mini_!$A:$A,Instagram_Usage_Lifestyle_Mini_!$C:$K)</f>
        <v>No</v>
      </c>
      <c r="L599" t="str" cm="1">
        <f t="array" ref="L599">_xlfn.IFS(C599&lt;18,"Under_18",C599&lt;=25,"Youth",C599&lt;=35,"Young_Adults",C599&lt;=45,"Mid_Adults",TRUE,"Seniors")</f>
        <v>Youth</v>
      </c>
    </row>
    <row r="600" spans="1:12" x14ac:dyDescent="0.2">
      <c r="A600">
        <v>599</v>
      </c>
      <c r="B600" t="str">
        <f>_xlfn.XLOOKUP(A600,Instagram_Usage_Lifestyle_Mini_!A600,Instagram_Usage_Lifestyle_Mini_!B600,1)</f>
        <v>Instagram</v>
      </c>
      <c r="C600">
        <f>_xlfn.XLOOKUP($A:$A,Instagram_Usage_Lifestyle_Mini_!$A:$A,Instagram_Usage_Lifestyle_Mini_!$C:$K)</f>
        <v>41</v>
      </c>
      <c r="D600" t="str">
        <f>_xlfn.XLOOKUP($A:$A,Instagram_Usage_Lifestyle_Mini_!$A:$A,Instagram_Usage_Lifestyle_Mini_!$C:$K)</f>
        <v>Male</v>
      </c>
      <c r="E600" t="str">
        <f>_xlfn.XLOOKUP($A:$A,Instagram_Usage_Lifestyle_Mini_!$A:$A,Instagram_Usage_Lifestyle_Mini_!$C:$K)</f>
        <v>India</v>
      </c>
      <c r="F600" t="str">
        <f>_xlfn.XLOOKUP($A:$A,Instagram_Usage_Lifestyle_Mini_!$A:$A,Instagram_Usage_Lifestyle_Mini_!$C:$K)</f>
        <v>Urban</v>
      </c>
      <c r="G600" t="str">
        <f>_xlfn.XLOOKUP($A:$A,Instagram_Usage_Lifestyle_Mini_!$A:$A,Instagram_Usage_Lifestyle_Mini_!$C:$K)</f>
        <v>Middle</v>
      </c>
      <c r="H600" t="str">
        <f>_xlfn.XLOOKUP($A:$A,Instagram_Usage_Lifestyle_Mini_!$A:$A,Instagram_Usage_Lifestyle_Mini_!$C:$K)</f>
        <v>Unemployed</v>
      </c>
      <c r="I600" t="str">
        <f>_xlfn.XLOOKUP($A:$A,Instagram_Usage_Lifestyle_Mini_!$A:$A,Instagram_Usage_Lifestyle_Mini_!$C:$K)</f>
        <v>High_school</v>
      </c>
      <c r="J600" t="str">
        <f>_xlfn.XLOOKUP($A:$A,Instagram_Usage_Lifestyle_Mini_!$A:$A,Instagram_Usage_Lifestyle_Mini_!$C:$K)</f>
        <v>In_a_relationship</v>
      </c>
      <c r="K600" t="str">
        <f>_xlfn.XLOOKUP($A:$A,Instagram_Usage_Lifestyle_Mini_!$A:$A,Instagram_Usage_Lifestyle_Mini_!$C:$K)</f>
        <v>No</v>
      </c>
      <c r="L600" t="str" cm="1">
        <f t="array" ref="L600">_xlfn.IFS(C600&lt;18,"Under_18",C600&lt;=25,"Youth",C600&lt;=35,"Young_Adults",C600&lt;=45,"Mid_Adults",TRUE,"Seniors")</f>
        <v>Mid_Adults</v>
      </c>
    </row>
    <row r="601" spans="1:12" x14ac:dyDescent="0.2">
      <c r="A601">
        <v>600</v>
      </c>
      <c r="B601" t="str">
        <f>_xlfn.XLOOKUP(A601,Instagram_Usage_Lifestyle_Mini_!A601,Instagram_Usage_Lifestyle_Mini_!B601,1)</f>
        <v>Instagram</v>
      </c>
      <c r="C601">
        <f>_xlfn.XLOOKUP($A:$A,Instagram_Usage_Lifestyle_Mini_!$A:$A,Instagram_Usage_Lifestyle_Mini_!$C:$K)</f>
        <v>38</v>
      </c>
      <c r="D601" t="str">
        <f>_xlfn.XLOOKUP($A:$A,Instagram_Usage_Lifestyle_Mini_!$A:$A,Instagram_Usage_Lifestyle_Mini_!$C:$K)</f>
        <v>Female</v>
      </c>
      <c r="E601" t="str">
        <f>_xlfn.XLOOKUP($A:$A,Instagram_Usage_Lifestyle_Mini_!$A:$A,Instagram_Usage_Lifestyle_Mini_!$C:$K)</f>
        <v>India</v>
      </c>
      <c r="F601" t="str">
        <f>_xlfn.XLOOKUP($A:$A,Instagram_Usage_Lifestyle_Mini_!$A:$A,Instagram_Usage_Lifestyle_Mini_!$C:$K)</f>
        <v>Suburban</v>
      </c>
      <c r="G601" t="str">
        <f>_xlfn.XLOOKUP($A:$A,Instagram_Usage_Lifestyle_Mini_!$A:$A,Instagram_Usage_Lifestyle_Mini_!$C:$K)</f>
        <v>Low</v>
      </c>
      <c r="H601" t="str">
        <f>_xlfn.XLOOKUP($A:$A,Instagram_Usage_Lifestyle_Mini_!$A:$A,Instagram_Usage_Lifestyle_Mini_!$C:$K)</f>
        <v>Full_time_employed</v>
      </c>
      <c r="I601" t="str">
        <f>_xlfn.XLOOKUP($A:$A,Instagram_Usage_Lifestyle_Mini_!$A:$A,Instagram_Usage_Lifestyle_Mini_!$C:$K)</f>
        <v>Some_college</v>
      </c>
      <c r="J601" t="str">
        <f>_xlfn.XLOOKUP($A:$A,Instagram_Usage_Lifestyle_Mini_!$A:$A,Instagram_Usage_Lifestyle_Mini_!$C:$K)</f>
        <v>In_a_relationship</v>
      </c>
      <c r="K601" t="str">
        <f>_xlfn.XLOOKUP($A:$A,Instagram_Usage_Lifestyle_Mini_!$A:$A,Instagram_Usage_Lifestyle_Mini_!$C:$K)</f>
        <v>Yes</v>
      </c>
      <c r="L601" t="str" cm="1">
        <f t="array" ref="L601">_xlfn.IFS(C601&lt;18,"Under_18",C601&lt;=25,"Youth",C601&lt;=35,"Young_Adults",C601&lt;=45,"Mid_Adults",TRUE,"Seniors")</f>
        <v>Mid_Adults</v>
      </c>
    </row>
    <row r="602" spans="1:12" x14ac:dyDescent="0.2">
      <c r="A602">
        <v>601</v>
      </c>
      <c r="B602" t="str">
        <f>_xlfn.XLOOKUP(A602,Instagram_Usage_Lifestyle_Mini_!A602,Instagram_Usage_Lifestyle_Mini_!B602,1)</f>
        <v>Instagram</v>
      </c>
      <c r="C602">
        <f>_xlfn.XLOOKUP($A:$A,Instagram_Usage_Lifestyle_Mini_!$A:$A,Instagram_Usage_Lifestyle_Mini_!$C:$K)</f>
        <v>22</v>
      </c>
      <c r="D602" t="str">
        <f>_xlfn.XLOOKUP($A:$A,Instagram_Usage_Lifestyle_Mini_!$A:$A,Instagram_Usage_Lifestyle_Mini_!$C:$K)</f>
        <v>Female</v>
      </c>
      <c r="E602" t="str">
        <f>_xlfn.XLOOKUP($A:$A,Instagram_Usage_Lifestyle_Mini_!$A:$A,Instagram_Usage_Lifestyle_Mini_!$C:$K)</f>
        <v>United_States</v>
      </c>
      <c r="F602" t="str">
        <f>_xlfn.XLOOKUP($A:$A,Instagram_Usage_Lifestyle_Mini_!$A:$A,Instagram_Usage_Lifestyle_Mini_!$C:$K)</f>
        <v>Suburban</v>
      </c>
      <c r="G602" t="str">
        <f>_xlfn.XLOOKUP($A:$A,Instagram_Usage_Lifestyle_Mini_!$A:$A,Instagram_Usage_Lifestyle_Mini_!$C:$K)</f>
        <v>Middle</v>
      </c>
      <c r="H602" t="str">
        <f>_xlfn.XLOOKUP($A:$A,Instagram_Usage_Lifestyle_Mini_!$A:$A,Instagram_Usage_Lifestyle_Mini_!$C:$K)</f>
        <v>Student</v>
      </c>
      <c r="I602" t="str">
        <f>_xlfn.XLOOKUP($A:$A,Instagram_Usage_Lifestyle_Mini_!$A:$A,Instagram_Usage_Lifestyle_Mini_!$C:$K)</f>
        <v>Bachelors_degree</v>
      </c>
      <c r="J602" t="str">
        <f>_xlfn.XLOOKUP($A:$A,Instagram_Usage_Lifestyle_Mini_!$A:$A,Instagram_Usage_Lifestyle_Mini_!$C:$K)</f>
        <v>Single</v>
      </c>
      <c r="K602" t="str">
        <f>_xlfn.XLOOKUP($A:$A,Instagram_Usage_Lifestyle_Mini_!$A:$A,Instagram_Usage_Lifestyle_Mini_!$C:$K)</f>
        <v>Yes</v>
      </c>
      <c r="L602" t="str" cm="1">
        <f t="array" ref="L602">_xlfn.IFS(C602&lt;18,"Under_18",C602&lt;=25,"Youth",C602&lt;=35,"Young_Adults",C602&lt;=45,"Mid_Adults",TRUE,"Seniors")</f>
        <v>Youth</v>
      </c>
    </row>
    <row r="603" spans="1:12" x14ac:dyDescent="0.2">
      <c r="A603">
        <v>602</v>
      </c>
      <c r="B603" t="str">
        <f>_xlfn.XLOOKUP(A603,Instagram_Usage_Lifestyle_Mini_!A603,Instagram_Usage_Lifestyle_Mini_!B603,1)</f>
        <v>Instagram</v>
      </c>
      <c r="C603">
        <f>_xlfn.XLOOKUP($A:$A,Instagram_Usage_Lifestyle_Mini_!$A:$A,Instagram_Usage_Lifestyle_Mini_!$C:$K)</f>
        <v>38</v>
      </c>
      <c r="D603" t="str">
        <f>_xlfn.XLOOKUP($A:$A,Instagram_Usage_Lifestyle_Mini_!$A:$A,Instagram_Usage_Lifestyle_Mini_!$C:$K)</f>
        <v>Female</v>
      </c>
      <c r="E603" t="str">
        <f>_xlfn.XLOOKUP($A:$A,Instagram_Usage_Lifestyle_Mini_!$A:$A,Instagram_Usage_Lifestyle_Mini_!$C:$K)</f>
        <v>United_States</v>
      </c>
      <c r="F603" t="str">
        <f>_xlfn.XLOOKUP($A:$A,Instagram_Usage_Lifestyle_Mini_!$A:$A,Instagram_Usage_Lifestyle_Mini_!$C:$K)</f>
        <v>Urban</v>
      </c>
      <c r="G603" t="str">
        <f>_xlfn.XLOOKUP($A:$A,Instagram_Usage_Lifestyle_Mini_!$A:$A,Instagram_Usage_Lifestyle_Mini_!$C:$K)</f>
        <v>Low</v>
      </c>
      <c r="H603" t="str">
        <f>_xlfn.XLOOKUP($A:$A,Instagram_Usage_Lifestyle_Mini_!$A:$A,Instagram_Usage_Lifestyle_Mini_!$C:$K)</f>
        <v>Student</v>
      </c>
      <c r="I603" t="str">
        <f>_xlfn.XLOOKUP($A:$A,Instagram_Usage_Lifestyle_Mini_!$A:$A,Instagram_Usage_Lifestyle_Mini_!$C:$K)</f>
        <v>Masters_degree</v>
      </c>
      <c r="J603" t="str">
        <f>_xlfn.XLOOKUP($A:$A,Instagram_Usage_Lifestyle_Mini_!$A:$A,Instagram_Usage_Lifestyle_Mini_!$C:$K)</f>
        <v>Married</v>
      </c>
      <c r="K603" t="str">
        <f>_xlfn.XLOOKUP($A:$A,Instagram_Usage_Lifestyle_Mini_!$A:$A,Instagram_Usage_Lifestyle_Mini_!$C:$K)</f>
        <v>Yes</v>
      </c>
      <c r="L603" t="str" cm="1">
        <f t="array" ref="L603">_xlfn.IFS(C603&lt;18,"Under_18",C603&lt;=25,"Youth",C603&lt;=35,"Young_Adults",C603&lt;=45,"Mid_Adults",TRUE,"Seniors")</f>
        <v>Mid_Adults</v>
      </c>
    </row>
    <row r="604" spans="1:12" x14ac:dyDescent="0.2">
      <c r="A604">
        <v>603</v>
      </c>
      <c r="B604" t="str">
        <f>_xlfn.XLOOKUP(A604,Instagram_Usage_Lifestyle_Mini_!A604,Instagram_Usage_Lifestyle_Mini_!B604,1)</f>
        <v>Instagram</v>
      </c>
      <c r="C604">
        <f>_xlfn.XLOOKUP($A:$A,Instagram_Usage_Lifestyle_Mini_!$A:$A,Instagram_Usage_Lifestyle_Mini_!$C:$K)</f>
        <v>46</v>
      </c>
      <c r="D604" t="str">
        <f>_xlfn.XLOOKUP($A:$A,Instagram_Usage_Lifestyle_Mini_!$A:$A,Instagram_Usage_Lifestyle_Mini_!$C:$K)</f>
        <v>Male</v>
      </c>
      <c r="E604" t="str">
        <f>_xlfn.XLOOKUP($A:$A,Instagram_Usage_Lifestyle_Mini_!$A:$A,Instagram_Usage_Lifestyle_Mini_!$C:$K)</f>
        <v>United _Kingdom</v>
      </c>
      <c r="F604" t="str">
        <f>_xlfn.XLOOKUP($A:$A,Instagram_Usage_Lifestyle_Mini_!$A:$A,Instagram_Usage_Lifestyle_Mini_!$C:$K)</f>
        <v>Rural</v>
      </c>
      <c r="G604" t="str">
        <f>_xlfn.XLOOKUP($A:$A,Instagram_Usage_Lifestyle_Mini_!$A:$A,Instagram_Usage_Lifestyle_Mini_!$C:$K)</f>
        <v>Upper_middle</v>
      </c>
      <c r="H604" t="str">
        <f>_xlfn.XLOOKUP($A:$A,Instagram_Usage_Lifestyle_Mini_!$A:$A,Instagram_Usage_Lifestyle_Mini_!$C:$K)</f>
        <v>Full_time_employed</v>
      </c>
      <c r="I604" t="str">
        <f>_xlfn.XLOOKUP($A:$A,Instagram_Usage_Lifestyle_Mini_!$A:$A,Instagram_Usage_Lifestyle_Mini_!$C:$K)</f>
        <v>Bachelors_degree</v>
      </c>
      <c r="J604" t="str">
        <f>_xlfn.XLOOKUP($A:$A,Instagram_Usage_Lifestyle_Mini_!$A:$A,Instagram_Usage_Lifestyle_Mini_!$C:$K)</f>
        <v>Single</v>
      </c>
      <c r="K604" t="str">
        <f>_xlfn.XLOOKUP($A:$A,Instagram_Usage_Lifestyle_Mini_!$A:$A,Instagram_Usage_Lifestyle_Mini_!$C:$K)</f>
        <v>Yes</v>
      </c>
      <c r="L604" t="str" cm="1">
        <f t="array" ref="L604">_xlfn.IFS(C604&lt;18,"Under_18",C604&lt;=25,"Youth",C604&lt;=35,"Young_Adults",C604&lt;=45,"Mid_Adults",TRUE,"Seniors")</f>
        <v>Seniors</v>
      </c>
    </row>
    <row r="605" spans="1:12" x14ac:dyDescent="0.2">
      <c r="A605">
        <v>604</v>
      </c>
      <c r="B605" t="str">
        <f>_xlfn.XLOOKUP(A605,Instagram_Usage_Lifestyle_Mini_!A605,Instagram_Usage_Lifestyle_Mini_!B605,1)</f>
        <v>Instagram</v>
      </c>
      <c r="C605">
        <f>_xlfn.XLOOKUP($A:$A,Instagram_Usage_Lifestyle_Mini_!$A:$A,Instagram_Usage_Lifestyle_Mini_!$C:$K)</f>
        <v>63</v>
      </c>
      <c r="D605" t="str">
        <f>_xlfn.XLOOKUP($A:$A,Instagram_Usage_Lifestyle_Mini_!$A:$A,Instagram_Usage_Lifestyle_Mini_!$C:$K)</f>
        <v>Female</v>
      </c>
      <c r="E605" t="str">
        <f>_xlfn.XLOOKUP($A:$A,Instagram_Usage_Lifestyle_Mini_!$A:$A,Instagram_Usage_Lifestyle_Mini_!$C:$K)</f>
        <v>Canada</v>
      </c>
      <c r="F605" t="str">
        <f>_xlfn.XLOOKUP($A:$A,Instagram_Usage_Lifestyle_Mini_!$A:$A,Instagram_Usage_Lifestyle_Mini_!$C:$K)</f>
        <v>Suburban</v>
      </c>
      <c r="G605" t="str">
        <f>_xlfn.XLOOKUP($A:$A,Instagram_Usage_Lifestyle_Mini_!$A:$A,Instagram_Usage_Lifestyle_Mini_!$C:$K)</f>
        <v>Upper_middle</v>
      </c>
      <c r="H605" t="str">
        <f>_xlfn.XLOOKUP($A:$A,Instagram_Usage_Lifestyle_Mini_!$A:$A,Instagram_Usage_Lifestyle_Mini_!$C:$K)</f>
        <v>Full_time_employed</v>
      </c>
      <c r="I605" t="str">
        <f>_xlfn.XLOOKUP($A:$A,Instagram_Usage_Lifestyle_Mini_!$A:$A,Instagram_Usage_Lifestyle_Mini_!$C:$K)</f>
        <v>Bachelors_degree</v>
      </c>
      <c r="J605" t="str">
        <f>_xlfn.XLOOKUP($A:$A,Instagram_Usage_Lifestyle_Mini_!$A:$A,Instagram_Usage_Lifestyle_Mini_!$C:$K)</f>
        <v>Single</v>
      </c>
      <c r="K605" t="str">
        <f>_xlfn.XLOOKUP($A:$A,Instagram_Usage_Lifestyle_Mini_!$A:$A,Instagram_Usage_Lifestyle_Mini_!$C:$K)</f>
        <v>No</v>
      </c>
      <c r="L605" t="str" cm="1">
        <f t="array" ref="L605">_xlfn.IFS(C605&lt;18,"Under_18",C605&lt;=25,"Youth",C605&lt;=35,"Young_Adults",C605&lt;=45,"Mid_Adults",TRUE,"Seniors")</f>
        <v>Seniors</v>
      </c>
    </row>
    <row r="606" spans="1:12" x14ac:dyDescent="0.2">
      <c r="A606">
        <v>605</v>
      </c>
      <c r="B606" t="str">
        <f>_xlfn.XLOOKUP(A606,Instagram_Usage_Lifestyle_Mini_!A606,Instagram_Usage_Lifestyle_Mini_!B606,1)</f>
        <v>Instagram</v>
      </c>
      <c r="C606">
        <f>_xlfn.XLOOKUP($A:$A,Instagram_Usage_Lifestyle_Mini_!$A:$A,Instagram_Usage_Lifestyle_Mini_!$C:$K)</f>
        <v>53</v>
      </c>
      <c r="D606" t="str">
        <f>_xlfn.XLOOKUP($A:$A,Instagram_Usage_Lifestyle_Mini_!$A:$A,Instagram_Usage_Lifestyle_Mini_!$C:$K)</f>
        <v>Female</v>
      </c>
      <c r="E606" t="str">
        <f>_xlfn.XLOOKUP($A:$A,Instagram_Usage_Lifestyle_Mini_!$A:$A,Instagram_Usage_Lifestyle_Mini_!$C:$K)</f>
        <v>India</v>
      </c>
      <c r="F606" t="str">
        <f>_xlfn.XLOOKUP($A:$A,Instagram_Usage_Lifestyle_Mini_!$A:$A,Instagram_Usage_Lifestyle_Mini_!$C:$K)</f>
        <v>Urban</v>
      </c>
      <c r="G606" t="str">
        <f>_xlfn.XLOOKUP($A:$A,Instagram_Usage_Lifestyle_Mini_!$A:$A,Instagram_Usage_Lifestyle_Mini_!$C:$K)</f>
        <v>Lower_middle</v>
      </c>
      <c r="H606" t="str">
        <f>_xlfn.XLOOKUP($A:$A,Instagram_Usage_Lifestyle_Mini_!$A:$A,Instagram_Usage_Lifestyle_Mini_!$C:$K)</f>
        <v>Part_time</v>
      </c>
      <c r="I606" t="str">
        <f>_xlfn.XLOOKUP($A:$A,Instagram_Usage_Lifestyle_Mini_!$A:$A,Instagram_Usage_Lifestyle_Mini_!$C:$K)</f>
        <v>Bachelors_degree</v>
      </c>
      <c r="J606" t="str">
        <f>_xlfn.XLOOKUP($A:$A,Instagram_Usage_Lifestyle_Mini_!$A:$A,Instagram_Usage_Lifestyle_Mini_!$C:$K)</f>
        <v>Single</v>
      </c>
      <c r="K606" t="str">
        <f>_xlfn.XLOOKUP($A:$A,Instagram_Usage_Lifestyle_Mini_!$A:$A,Instagram_Usage_Lifestyle_Mini_!$C:$K)</f>
        <v>Yes</v>
      </c>
      <c r="L606" t="str" cm="1">
        <f t="array" ref="L606">_xlfn.IFS(C606&lt;18,"Under_18",C606&lt;=25,"Youth",C606&lt;=35,"Young_Adults",C606&lt;=45,"Mid_Adults",TRUE,"Seniors")</f>
        <v>Seniors</v>
      </c>
    </row>
    <row r="607" spans="1:12" x14ac:dyDescent="0.2">
      <c r="A607">
        <v>606</v>
      </c>
      <c r="B607" t="str">
        <f>_xlfn.XLOOKUP(A607,Instagram_Usage_Lifestyle_Mini_!A607,Instagram_Usage_Lifestyle_Mini_!B607,1)</f>
        <v>Instagram</v>
      </c>
      <c r="C607">
        <f>_xlfn.XLOOKUP($A:$A,Instagram_Usage_Lifestyle_Mini_!$A:$A,Instagram_Usage_Lifestyle_Mini_!$C:$K)</f>
        <v>19</v>
      </c>
      <c r="D607" t="str">
        <f>_xlfn.XLOOKUP($A:$A,Instagram_Usage_Lifestyle_Mini_!$A:$A,Instagram_Usage_Lifestyle_Mini_!$C:$K)</f>
        <v>Male</v>
      </c>
      <c r="E607" t="str">
        <f>_xlfn.XLOOKUP($A:$A,Instagram_Usage_Lifestyle_Mini_!$A:$A,Instagram_Usage_Lifestyle_Mini_!$C:$K)</f>
        <v>Germany</v>
      </c>
      <c r="F607" t="str">
        <f>_xlfn.XLOOKUP($A:$A,Instagram_Usage_Lifestyle_Mini_!$A:$A,Instagram_Usage_Lifestyle_Mini_!$C:$K)</f>
        <v>Urban</v>
      </c>
      <c r="G607" t="str">
        <f>_xlfn.XLOOKUP($A:$A,Instagram_Usage_Lifestyle_Mini_!$A:$A,Instagram_Usage_Lifestyle_Mini_!$C:$K)</f>
        <v>Middle</v>
      </c>
      <c r="H607" t="str">
        <f>_xlfn.XLOOKUP($A:$A,Instagram_Usage_Lifestyle_Mini_!$A:$A,Instagram_Usage_Lifestyle_Mini_!$C:$K)</f>
        <v>Student</v>
      </c>
      <c r="I607" t="str">
        <f>_xlfn.XLOOKUP($A:$A,Instagram_Usage_Lifestyle_Mini_!$A:$A,Instagram_Usage_Lifestyle_Mini_!$C:$K)</f>
        <v>High_school</v>
      </c>
      <c r="J607" t="str">
        <f>_xlfn.XLOOKUP($A:$A,Instagram_Usage_Lifestyle_Mini_!$A:$A,Instagram_Usage_Lifestyle_Mini_!$C:$K)</f>
        <v>Married</v>
      </c>
      <c r="K607" t="str">
        <f>_xlfn.XLOOKUP($A:$A,Instagram_Usage_Lifestyle_Mini_!$A:$A,Instagram_Usage_Lifestyle_Mini_!$C:$K)</f>
        <v>No</v>
      </c>
      <c r="L607" t="str" cm="1">
        <f t="array" ref="L607">_xlfn.IFS(C607&lt;18,"Under_18",C607&lt;=25,"Youth",C607&lt;=35,"Young_Adults",C607&lt;=45,"Mid_Adults",TRUE,"Seniors")</f>
        <v>Youth</v>
      </c>
    </row>
    <row r="608" spans="1:12" x14ac:dyDescent="0.2">
      <c r="A608">
        <v>607</v>
      </c>
      <c r="B608" t="str">
        <f>_xlfn.XLOOKUP(A608,Instagram_Usage_Lifestyle_Mini_!A608,Instagram_Usage_Lifestyle_Mini_!B608,1)</f>
        <v>Instagram</v>
      </c>
      <c r="C608">
        <f>_xlfn.XLOOKUP($A:$A,Instagram_Usage_Lifestyle_Mini_!$A:$A,Instagram_Usage_Lifestyle_Mini_!$C:$K)</f>
        <v>16</v>
      </c>
      <c r="D608" t="str">
        <f>_xlfn.XLOOKUP($A:$A,Instagram_Usage_Lifestyle_Mini_!$A:$A,Instagram_Usage_Lifestyle_Mini_!$C:$K)</f>
        <v>Male</v>
      </c>
      <c r="E608" t="str">
        <f>_xlfn.XLOOKUP($A:$A,Instagram_Usage_Lifestyle_Mini_!$A:$A,Instagram_Usage_Lifestyle_Mini_!$C:$K)</f>
        <v>Japan</v>
      </c>
      <c r="F608" t="str">
        <f>_xlfn.XLOOKUP($A:$A,Instagram_Usage_Lifestyle_Mini_!$A:$A,Instagram_Usage_Lifestyle_Mini_!$C:$K)</f>
        <v>Urban</v>
      </c>
      <c r="G608" t="str">
        <f>_xlfn.XLOOKUP($A:$A,Instagram_Usage_Lifestyle_Mini_!$A:$A,Instagram_Usage_Lifestyle_Mini_!$C:$K)</f>
        <v>Low</v>
      </c>
      <c r="H608" t="str">
        <f>_xlfn.XLOOKUP($A:$A,Instagram_Usage_Lifestyle_Mini_!$A:$A,Instagram_Usage_Lifestyle_Mini_!$C:$K)</f>
        <v>Student</v>
      </c>
      <c r="I608" t="str">
        <f>_xlfn.XLOOKUP($A:$A,Instagram_Usage_Lifestyle_Mini_!$A:$A,Instagram_Usage_Lifestyle_Mini_!$C:$K)</f>
        <v>High_school</v>
      </c>
      <c r="J608" t="str">
        <f>_xlfn.XLOOKUP($A:$A,Instagram_Usage_Lifestyle_Mini_!$A:$A,Instagram_Usage_Lifestyle_Mini_!$C:$K)</f>
        <v>Single</v>
      </c>
      <c r="K608" t="str">
        <f>_xlfn.XLOOKUP($A:$A,Instagram_Usage_Lifestyle_Mini_!$A:$A,Instagram_Usage_Lifestyle_Mini_!$C:$K)</f>
        <v>No</v>
      </c>
      <c r="L608" t="str" cm="1">
        <f t="array" ref="L608">_xlfn.IFS(C608&lt;18,"Under_18",C608&lt;=25,"Youth",C608&lt;=35,"Young_Adults",C608&lt;=45,"Mid_Adults",TRUE,"Seniors")</f>
        <v>Under_18</v>
      </c>
    </row>
    <row r="609" spans="1:12" x14ac:dyDescent="0.2">
      <c r="A609">
        <v>608</v>
      </c>
      <c r="B609" t="str">
        <f>_xlfn.XLOOKUP(A609,Instagram_Usage_Lifestyle_Mini_!A609,Instagram_Usage_Lifestyle_Mini_!B609,1)</f>
        <v>Instagram</v>
      </c>
      <c r="C609">
        <f>_xlfn.XLOOKUP($A:$A,Instagram_Usage_Lifestyle_Mini_!$A:$A,Instagram_Usage_Lifestyle_Mini_!$C:$K)</f>
        <v>65</v>
      </c>
      <c r="D609" t="str">
        <f>_xlfn.XLOOKUP($A:$A,Instagram_Usage_Lifestyle_Mini_!$A:$A,Instagram_Usage_Lifestyle_Mini_!$C:$K)</f>
        <v>Male</v>
      </c>
      <c r="E609" t="str">
        <f>_xlfn.XLOOKUP($A:$A,Instagram_Usage_Lifestyle_Mini_!$A:$A,Instagram_Usage_Lifestyle_Mini_!$C:$K)</f>
        <v>United_States</v>
      </c>
      <c r="F609" t="str">
        <f>_xlfn.XLOOKUP($A:$A,Instagram_Usage_Lifestyle_Mini_!$A:$A,Instagram_Usage_Lifestyle_Mini_!$C:$K)</f>
        <v>Urban</v>
      </c>
      <c r="G609" t="str">
        <f>_xlfn.XLOOKUP($A:$A,Instagram_Usage_Lifestyle_Mini_!$A:$A,Instagram_Usage_Lifestyle_Mini_!$C:$K)</f>
        <v>Middle</v>
      </c>
      <c r="H609" t="str">
        <f>_xlfn.XLOOKUP($A:$A,Instagram_Usage_Lifestyle_Mini_!$A:$A,Instagram_Usage_Lifestyle_Mini_!$C:$K)</f>
        <v>Full_time_employed</v>
      </c>
      <c r="I609" t="str">
        <f>_xlfn.XLOOKUP($A:$A,Instagram_Usage_Lifestyle_Mini_!$A:$A,Instagram_Usage_Lifestyle_Mini_!$C:$K)</f>
        <v>Some_college</v>
      </c>
      <c r="J609" t="str">
        <f>_xlfn.XLOOKUP($A:$A,Instagram_Usage_Lifestyle_Mini_!$A:$A,Instagram_Usage_Lifestyle_Mini_!$C:$K)</f>
        <v>In_a_relationship</v>
      </c>
      <c r="K609" t="str">
        <f>_xlfn.XLOOKUP($A:$A,Instagram_Usage_Lifestyle_Mini_!$A:$A,Instagram_Usage_Lifestyle_Mini_!$C:$K)</f>
        <v>No</v>
      </c>
      <c r="L609" t="str" cm="1">
        <f t="array" ref="L609">_xlfn.IFS(C609&lt;18,"Under_18",C609&lt;=25,"Youth",C609&lt;=35,"Young_Adults",C609&lt;=45,"Mid_Adults",TRUE,"Seniors")</f>
        <v>Seniors</v>
      </c>
    </row>
    <row r="610" spans="1:12" x14ac:dyDescent="0.2">
      <c r="A610">
        <v>609</v>
      </c>
      <c r="B610" t="str">
        <f>_xlfn.XLOOKUP(A610,Instagram_Usage_Lifestyle_Mini_!A610,Instagram_Usage_Lifestyle_Mini_!B610,1)</f>
        <v>Instagram</v>
      </c>
      <c r="C610">
        <f>_xlfn.XLOOKUP($A:$A,Instagram_Usage_Lifestyle_Mini_!$A:$A,Instagram_Usage_Lifestyle_Mini_!$C:$K)</f>
        <v>62</v>
      </c>
      <c r="D610" t="str">
        <f>_xlfn.XLOOKUP($A:$A,Instagram_Usage_Lifestyle_Mini_!$A:$A,Instagram_Usage_Lifestyle_Mini_!$C:$K)</f>
        <v>Male</v>
      </c>
      <c r="E610" t="str">
        <f>_xlfn.XLOOKUP($A:$A,Instagram_Usage_Lifestyle_Mini_!$A:$A,Instagram_Usage_Lifestyle_Mini_!$C:$K)</f>
        <v>India</v>
      </c>
      <c r="F610" t="str">
        <f>_xlfn.XLOOKUP($A:$A,Instagram_Usage_Lifestyle_Mini_!$A:$A,Instagram_Usage_Lifestyle_Mini_!$C:$K)</f>
        <v>Suburban</v>
      </c>
      <c r="G610" t="str">
        <f>_xlfn.XLOOKUP($A:$A,Instagram_Usage_Lifestyle_Mini_!$A:$A,Instagram_Usage_Lifestyle_Mini_!$C:$K)</f>
        <v>Low</v>
      </c>
      <c r="H610" t="str">
        <f>_xlfn.XLOOKUP($A:$A,Instagram_Usage_Lifestyle_Mini_!$A:$A,Instagram_Usage_Lifestyle_Mini_!$C:$K)</f>
        <v>Full_time_employed</v>
      </c>
      <c r="I610" t="str">
        <f>_xlfn.XLOOKUP($A:$A,Instagram_Usage_Lifestyle_Mini_!$A:$A,Instagram_Usage_Lifestyle_Mini_!$C:$K)</f>
        <v>Bachelors_degree</v>
      </c>
      <c r="J610" t="str">
        <f>_xlfn.XLOOKUP($A:$A,Instagram_Usage_Lifestyle_Mini_!$A:$A,Instagram_Usage_Lifestyle_Mini_!$C:$K)</f>
        <v>Single</v>
      </c>
      <c r="K610" t="str">
        <f>_xlfn.XLOOKUP($A:$A,Instagram_Usage_Lifestyle_Mini_!$A:$A,Instagram_Usage_Lifestyle_Mini_!$C:$K)</f>
        <v>No</v>
      </c>
      <c r="L610" t="str" cm="1">
        <f t="array" ref="L610">_xlfn.IFS(C610&lt;18,"Under_18",C610&lt;=25,"Youth",C610&lt;=35,"Young_Adults",C610&lt;=45,"Mid_Adults",TRUE,"Seniors")</f>
        <v>Seniors</v>
      </c>
    </row>
    <row r="611" spans="1:12" x14ac:dyDescent="0.2">
      <c r="A611">
        <v>610</v>
      </c>
      <c r="B611" t="str">
        <f>_xlfn.XLOOKUP(A611,Instagram_Usage_Lifestyle_Mini_!A611,Instagram_Usage_Lifestyle_Mini_!B611,1)</f>
        <v>Instagram</v>
      </c>
      <c r="C611">
        <f>_xlfn.XLOOKUP($A:$A,Instagram_Usage_Lifestyle_Mini_!$A:$A,Instagram_Usage_Lifestyle_Mini_!$C:$K)</f>
        <v>57</v>
      </c>
      <c r="D611" t="str">
        <f>_xlfn.XLOOKUP($A:$A,Instagram_Usage_Lifestyle_Mini_!$A:$A,Instagram_Usage_Lifestyle_Mini_!$C:$K)</f>
        <v>Male</v>
      </c>
      <c r="E611" t="str">
        <f>_xlfn.XLOOKUP($A:$A,Instagram_Usage_Lifestyle_Mini_!$A:$A,Instagram_Usage_Lifestyle_Mini_!$C:$K)</f>
        <v>United_States</v>
      </c>
      <c r="F611" t="str">
        <f>_xlfn.XLOOKUP($A:$A,Instagram_Usage_Lifestyle_Mini_!$A:$A,Instagram_Usage_Lifestyle_Mini_!$C:$K)</f>
        <v>Urban</v>
      </c>
      <c r="G611" t="str">
        <f>_xlfn.XLOOKUP($A:$A,Instagram_Usage_Lifestyle_Mini_!$A:$A,Instagram_Usage_Lifestyle_Mini_!$C:$K)</f>
        <v>High</v>
      </c>
      <c r="H611" t="str">
        <f>_xlfn.XLOOKUP($A:$A,Instagram_Usage_Lifestyle_Mini_!$A:$A,Instagram_Usage_Lifestyle_Mini_!$C:$K)</f>
        <v>Part_time</v>
      </c>
      <c r="I611" t="str">
        <f>_xlfn.XLOOKUP($A:$A,Instagram_Usage_Lifestyle_Mini_!$A:$A,Instagram_Usage_Lifestyle_Mini_!$C:$K)</f>
        <v>High_school</v>
      </c>
      <c r="J611" t="str">
        <f>_xlfn.XLOOKUP($A:$A,Instagram_Usage_Lifestyle_Mini_!$A:$A,Instagram_Usage_Lifestyle_Mini_!$C:$K)</f>
        <v>In_a_relationship</v>
      </c>
      <c r="K611" t="str">
        <f>_xlfn.XLOOKUP($A:$A,Instagram_Usage_Lifestyle_Mini_!$A:$A,Instagram_Usage_Lifestyle_Mini_!$C:$K)</f>
        <v>No</v>
      </c>
      <c r="L611" t="str" cm="1">
        <f t="array" ref="L611">_xlfn.IFS(C611&lt;18,"Under_18",C611&lt;=25,"Youth",C611&lt;=35,"Young_Adults",C611&lt;=45,"Mid_Adults",TRUE,"Seniors")</f>
        <v>Seniors</v>
      </c>
    </row>
    <row r="612" spans="1:12" x14ac:dyDescent="0.2">
      <c r="A612">
        <v>611</v>
      </c>
      <c r="B612" t="str">
        <f>_xlfn.XLOOKUP(A612,Instagram_Usage_Lifestyle_Mini_!A612,Instagram_Usage_Lifestyle_Mini_!B612,1)</f>
        <v>Instagram</v>
      </c>
      <c r="C612">
        <f>_xlfn.XLOOKUP($A:$A,Instagram_Usage_Lifestyle_Mini_!$A:$A,Instagram_Usage_Lifestyle_Mini_!$C:$K)</f>
        <v>23</v>
      </c>
      <c r="D612" t="str">
        <f>_xlfn.XLOOKUP($A:$A,Instagram_Usage_Lifestyle_Mini_!$A:$A,Instagram_Usage_Lifestyle_Mini_!$C:$K)</f>
        <v>Male</v>
      </c>
      <c r="E612" t="str">
        <f>_xlfn.XLOOKUP($A:$A,Instagram_Usage_Lifestyle_Mini_!$A:$A,Instagram_Usage_Lifestyle_Mini_!$C:$K)</f>
        <v>Canada</v>
      </c>
      <c r="F612" t="str">
        <f>_xlfn.XLOOKUP($A:$A,Instagram_Usage_Lifestyle_Mini_!$A:$A,Instagram_Usage_Lifestyle_Mini_!$C:$K)</f>
        <v>Urban</v>
      </c>
      <c r="G612" t="str">
        <f>_xlfn.XLOOKUP($A:$A,Instagram_Usage_Lifestyle_Mini_!$A:$A,Instagram_Usage_Lifestyle_Mini_!$C:$K)</f>
        <v>High</v>
      </c>
      <c r="H612" t="str">
        <f>_xlfn.XLOOKUP($A:$A,Instagram_Usage_Lifestyle_Mini_!$A:$A,Instagram_Usage_Lifestyle_Mini_!$C:$K)</f>
        <v>Full_time_employed</v>
      </c>
      <c r="I612" t="str">
        <f>_xlfn.XLOOKUP($A:$A,Instagram_Usage_Lifestyle_Mini_!$A:$A,Instagram_Usage_Lifestyle_Mini_!$C:$K)</f>
        <v>High_school</v>
      </c>
      <c r="J612" t="str">
        <f>_xlfn.XLOOKUP($A:$A,Instagram_Usage_Lifestyle_Mini_!$A:$A,Instagram_Usage_Lifestyle_Mini_!$C:$K)</f>
        <v>Married</v>
      </c>
      <c r="K612" t="str">
        <f>_xlfn.XLOOKUP($A:$A,Instagram_Usage_Lifestyle_Mini_!$A:$A,Instagram_Usage_Lifestyle_Mini_!$C:$K)</f>
        <v>No</v>
      </c>
      <c r="L612" t="str" cm="1">
        <f t="array" ref="L612">_xlfn.IFS(C612&lt;18,"Under_18",C612&lt;=25,"Youth",C612&lt;=35,"Young_Adults",C612&lt;=45,"Mid_Adults",TRUE,"Seniors")</f>
        <v>Youth</v>
      </c>
    </row>
    <row r="613" spans="1:12" x14ac:dyDescent="0.2">
      <c r="A613">
        <v>612</v>
      </c>
      <c r="B613" t="str">
        <f>_xlfn.XLOOKUP(A613,Instagram_Usage_Lifestyle_Mini_!A613,Instagram_Usage_Lifestyle_Mini_!B613,1)</f>
        <v>Instagram</v>
      </c>
      <c r="C613">
        <f>_xlfn.XLOOKUP($A:$A,Instagram_Usage_Lifestyle_Mini_!$A:$A,Instagram_Usage_Lifestyle_Mini_!$C:$K)</f>
        <v>41</v>
      </c>
      <c r="D613" t="str">
        <f>_xlfn.XLOOKUP($A:$A,Instagram_Usage_Lifestyle_Mini_!$A:$A,Instagram_Usage_Lifestyle_Mini_!$C:$K)</f>
        <v>Female</v>
      </c>
      <c r="E613" t="str">
        <f>_xlfn.XLOOKUP($A:$A,Instagram_Usage_Lifestyle_Mini_!$A:$A,Instagram_Usage_Lifestyle_Mini_!$C:$K)</f>
        <v>United_States</v>
      </c>
      <c r="F613" t="str">
        <f>_xlfn.XLOOKUP($A:$A,Instagram_Usage_Lifestyle_Mini_!$A:$A,Instagram_Usage_Lifestyle_Mini_!$C:$K)</f>
        <v>Urban</v>
      </c>
      <c r="G613" t="str">
        <f>_xlfn.XLOOKUP($A:$A,Instagram_Usage_Lifestyle_Mini_!$A:$A,Instagram_Usage_Lifestyle_Mini_!$C:$K)</f>
        <v>Lower_middle</v>
      </c>
      <c r="H613" t="str">
        <f>_xlfn.XLOOKUP($A:$A,Instagram_Usage_Lifestyle_Mini_!$A:$A,Instagram_Usage_Lifestyle_Mini_!$C:$K)</f>
        <v>Unemployed</v>
      </c>
      <c r="I613" t="str">
        <f>_xlfn.XLOOKUP($A:$A,Instagram_Usage_Lifestyle_Mini_!$A:$A,Instagram_Usage_Lifestyle_Mini_!$C:$K)</f>
        <v>High_school</v>
      </c>
      <c r="J613" t="str">
        <f>_xlfn.XLOOKUP($A:$A,Instagram_Usage_Lifestyle_Mini_!$A:$A,Instagram_Usage_Lifestyle_Mini_!$C:$K)</f>
        <v>Married</v>
      </c>
      <c r="K613" t="str">
        <f>_xlfn.XLOOKUP($A:$A,Instagram_Usage_Lifestyle_Mini_!$A:$A,Instagram_Usage_Lifestyle_Mini_!$C:$K)</f>
        <v>No</v>
      </c>
      <c r="L613" t="str" cm="1">
        <f t="array" ref="L613">_xlfn.IFS(C613&lt;18,"Under_18",C613&lt;=25,"Youth",C613&lt;=35,"Young_Adults",C613&lt;=45,"Mid_Adults",TRUE,"Seniors")</f>
        <v>Mid_Adults</v>
      </c>
    </row>
    <row r="614" spans="1:12" x14ac:dyDescent="0.2">
      <c r="A614">
        <v>613</v>
      </c>
      <c r="B614" t="str">
        <f>_xlfn.XLOOKUP(A614,Instagram_Usage_Lifestyle_Mini_!A614,Instagram_Usage_Lifestyle_Mini_!B614,1)</f>
        <v>Instagram</v>
      </c>
      <c r="C614">
        <f>_xlfn.XLOOKUP($A:$A,Instagram_Usage_Lifestyle_Mini_!$A:$A,Instagram_Usage_Lifestyle_Mini_!$C:$K)</f>
        <v>48</v>
      </c>
      <c r="D614" t="str">
        <f>_xlfn.XLOOKUP($A:$A,Instagram_Usage_Lifestyle_Mini_!$A:$A,Instagram_Usage_Lifestyle_Mini_!$C:$K)</f>
        <v>Male</v>
      </c>
      <c r="E614" t="str">
        <f>_xlfn.XLOOKUP($A:$A,Instagram_Usage_Lifestyle_Mini_!$A:$A,Instagram_Usage_Lifestyle_Mini_!$C:$K)</f>
        <v>India</v>
      </c>
      <c r="F614" t="str">
        <f>_xlfn.XLOOKUP($A:$A,Instagram_Usage_Lifestyle_Mini_!$A:$A,Instagram_Usage_Lifestyle_Mini_!$C:$K)</f>
        <v>Suburban</v>
      </c>
      <c r="G614" t="str">
        <f>_xlfn.XLOOKUP($A:$A,Instagram_Usage_Lifestyle_Mini_!$A:$A,Instagram_Usage_Lifestyle_Mini_!$C:$K)</f>
        <v>Middle</v>
      </c>
      <c r="H614" t="str">
        <f>_xlfn.XLOOKUP($A:$A,Instagram_Usage_Lifestyle_Mini_!$A:$A,Instagram_Usage_Lifestyle_Mini_!$C:$K)</f>
        <v>Student</v>
      </c>
      <c r="I614" t="str">
        <f>_xlfn.XLOOKUP($A:$A,Instagram_Usage_Lifestyle_Mini_!$A:$A,Instagram_Usage_Lifestyle_Mini_!$C:$K)</f>
        <v>Some_college</v>
      </c>
      <c r="J614" t="str">
        <f>_xlfn.XLOOKUP($A:$A,Instagram_Usage_Lifestyle_Mini_!$A:$A,Instagram_Usage_Lifestyle_Mini_!$C:$K)</f>
        <v>Single</v>
      </c>
      <c r="K614" t="str">
        <f>_xlfn.XLOOKUP($A:$A,Instagram_Usage_Lifestyle_Mini_!$A:$A,Instagram_Usage_Lifestyle_Mini_!$C:$K)</f>
        <v>No</v>
      </c>
      <c r="L614" t="str" cm="1">
        <f t="array" ref="L614">_xlfn.IFS(C614&lt;18,"Under_18",C614&lt;=25,"Youth",C614&lt;=35,"Young_Adults",C614&lt;=45,"Mid_Adults",TRUE,"Seniors")</f>
        <v>Seniors</v>
      </c>
    </row>
    <row r="615" spans="1:12" x14ac:dyDescent="0.2">
      <c r="A615">
        <v>614</v>
      </c>
      <c r="B615" t="str">
        <f>_xlfn.XLOOKUP(A615,Instagram_Usage_Lifestyle_Mini_!A615,Instagram_Usage_Lifestyle_Mini_!B615,1)</f>
        <v>Instagram</v>
      </c>
      <c r="C615">
        <f>_xlfn.XLOOKUP($A:$A,Instagram_Usage_Lifestyle_Mini_!$A:$A,Instagram_Usage_Lifestyle_Mini_!$C:$K)</f>
        <v>37</v>
      </c>
      <c r="D615" t="str">
        <f>_xlfn.XLOOKUP($A:$A,Instagram_Usage_Lifestyle_Mini_!$A:$A,Instagram_Usage_Lifestyle_Mini_!$C:$K)</f>
        <v>Female</v>
      </c>
      <c r="E615" t="str">
        <f>_xlfn.XLOOKUP($A:$A,Instagram_Usage_Lifestyle_Mini_!$A:$A,Instagram_Usage_Lifestyle_Mini_!$C:$K)</f>
        <v>United _Kingdom</v>
      </c>
      <c r="F615" t="str">
        <f>_xlfn.XLOOKUP($A:$A,Instagram_Usage_Lifestyle_Mini_!$A:$A,Instagram_Usage_Lifestyle_Mini_!$C:$K)</f>
        <v>Rural</v>
      </c>
      <c r="G615" t="str">
        <f>_xlfn.XLOOKUP($A:$A,Instagram_Usage_Lifestyle_Mini_!$A:$A,Instagram_Usage_Lifestyle_Mini_!$C:$K)</f>
        <v>Middle</v>
      </c>
      <c r="H615" t="str">
        <f>_xlfn.XLOOKUP($A:$A,Instagram_Usage_Lifestyle_Mini_!$A:$A,Instagram_Usage_Lifestyle_Mini_!$C:$K)</f>
        <v>Full_time_employed</v>
      </c>
      <c r="I615" t="str">
        <f>_xlfn.XLOOKUP($A:$A,Instagram_Usage_Lifestyle_Mini_!$A:$A,Instagram_Usage_Lifestyle_Mini_!$C:$K)</f>
        <v>Masters_degree</v>
      </c>
      <c r="J615" t="str">
        <f>_xlfn.XLOOKUP($A:$A,Instagram_Usage_Lifestyle_Mini_!$A:$A,Instagram_Usage_Lifestyle_Mini_!$C:$K)</f>
        <v>Single</v>
      </c>
      <c r="K615" t="str">
        <f>_xlfn.XLOOKUP($A:$A,Instagram_Usage_Lifestyle_Mini_!$A:$A,Instagram_Usage_Lifestyle_Mini_!$C:$K)</f>
        <v>Yes</v>
      </c>
      <c r="L615" t="str" cm="1">
        <f t="array" ref="L615">_xlfn.IFS(C615&lt;18,"Under_18",C615&lt;=25,"Youth",C615&lt;=35,"Young_Adults",C615&lt;=45,"Mid_Adults",TRUE,"Seniors")</f>
        <v>Mid_Adults</v>
      </c>
    </row>
    <row r="616" spans="1:12" x14ac:dyDescent="0.2">
      <c r="A616">
        <v>615</v>
      </c>
      <c r="B616" t="str">
        <f>_xlfn.XLOOKUP(A616,Instagram_Usage_Lifestyle_Mini_!A616,Instagram_Usage_Lifestyle_Mini_!B616,1)</f>
        <v>Instagram</v>
      </c>
      <c r="C616">
        <f>_xlfn.XLOOKUP($A:$A,Instagram_Usage_Lifestyle_Mini_!$A:$A,Instagram_Usage_Lifestyle_Mini_!$C:$K)</f>
        <v>33</v>
      </c>
      <c r="D616" t="str">
        <f>_xlfn.XLOOKUP($A:$A,Instagram_Usage_Lifestyle_Mini_!$A:$A,Instagram_Usage_Lifestyle_Mini_!$C:$K)</f>
        <v>Male</v>
      </c>
      <c r="E616" t="str">
        <f>_xlfn.XLOOKUP($A:$A,Instagram_Usage_Lifestyle_Mini_!$A:$A,Instagram_Usage_Lifestyle_Mini_!$C:$K)</f>
        <v>Brazil</v>
      </c>
      <c r="F616" t="str">
        <f>_xlfn.XLOOKUP($A:$A,Instagram_Usage_Lifestyle_Mini_!$A:$A,Instagram_Usage_Lifestyle_Mini_!$C:$K)</f>
        <v>Suburban</v>
      </c>
      <c r="G616" t="str">
        <f>_xlfn.XLOOKUP($A:$A,Instagram_Usage_Lifestyle_Mini_!$A:$A,Instagram_Usage_Lifestyle_Mini_!$C:$K)</f>
        <v>Middle</v>
      </c>
      <c r="H616" t="str">
        <f>_xlfn.XLOOKUP($A:$A,Instagram_Usage_Lifestyle_Mini_!$A:$A,Instagram_Usage_Lifestyle_Mini_!$C:$K)</f>
        <v>Full_time_employed</v>
      </c>
      <c r="I616" t="str">
        <f>_xlfn.XLOOKUP($A:$A,Instagram_Usage_Lifestyle_Mini_!$A:$A,Instagram_Usage_Lifestyle_Mini_!$C:$K)</f>
        <v>Bachelors_degree</v>
      </c>
      <c r="J616" t="str">
        <f>_xlfn.XLOOKUP($A:$A,Instagram_Usage_Lifestyle_Mini_!$A:$A,Instagram_Usage_Lifestyle_Mini_!$C:$K)</f>
        <v>Single</v>
      </c>
      <c r="K616" t="str">
        <f>_xlfn.XLOOKUP($A:$A,Instagram_Usage_Lifestyle_Mini_!$A:$A,Instagram_Usage_Lifestyle_Mini_!$C:$K)</f>
        <v>No</v>
      </c>
      <c r="L616" t="str" cm="1">
        <f t="array" ref="L616">_xlfn.IFS(C616&lt;18,"Under_18",C616&lt;=25,"Youth",C616&lt;=35,"Young_Adults",C616&lt;=45,"Mid_Adults",TRUE,"Seniors")</f>
        <v>Young_Adults</v>
      </c>
    </row>
    <row r="617" spans="1:12" x14ac:dyDescent="0.2">
      <c r="A617">
        <v>616</v>
      </c>
      <c r="B617" t="str">
        <f>_xlfn.XLOOKUP(A617,Instagram_Usage_Lifestyle_Mini_!A617,Instagram_Usage_Lifestyle_Mini_!B617,1)</f>
        <v>Instagram</v>
      </c>
      <c r="C617">
        <f>_xlfn.XLOOKUP($A:$A,Instagram_Usage_Lifestyle_Mini_!$A:$A,Instagram_Usage_Lifestyle_Mini_!$C:$K)</f>
        <v>48</v>
      </c>
      <c r="D617" t="str">
        <f>_xlfn.XLOOKUP($A:$A,Instagram_Usage_Lifestyle_Mini_!$A:$A,Instagram_Usage_Lifestyle_Mini_!$C:$K)</f>
        <v>Female</v>
      </c>
      <c r="E617" t="str">
        <f>_xlfn.XLOOKUP($A:$A,Instagram_Usage_Lifestyle_Mini_!$A:$A,Instagram_Usage_Lifestyle_Mini_!$C:$K)</f>
        <v>United_States</v>
      </c>
      <c r="F617" t="str">
        <f>_xlfn.XLOOKUP($A:$A,Instagram_Usage_Lifestyle_Mini_!$A:$A,Instagram_Usage_Lifestyle_Mini_!$C:$K)</f>
        <v>Urban</v>
      </c>
      <c r="G617" t="str">
        <f>_xlfn.XLOOKUP($A:$A,Instagram_Usage_Lifestyle_Mini_!$A:$A,Instagram_Usage_Lifestyle_Mini_!$C:$K)</f>
        <v>Lower_middle</v>
      </c>
      <c r="H617" t="str">
        <f>_xlfn.XLOOKUP($A:$A,Instagram_Usage_Lifestyle_Mini_!$A:$A,Instagram_Usage_Lifestyle_Mini_!$C:$K)</f>
        <v>Part_time</v>
      </c>
      <c r="I617" t="str">
        <f>_xlfn.XLOOKUP($A:$A,Instagram_Usage_Lifestyle_Mini_!$A:$A,Instagram_Usage_Lifestyle_Mini_!$C:$K)</f>
        <v>High_school</v>
      </c>
      <c r="J617" t="str">
        <f>_xlfn.XLOOKUP($A:$A,Instagram_Usage_Lifestyle_Mini_!$A:$A,Instagram_Usage_Lifestyle_Mini_!$C:$K)</f>
        <v>In_a_relationship</v>
      </c>
      <c r="K617" t="str">
        <f>_xlfn.XLOOKUP($A:$A,Instagram_Usage_Lifestyle_Mini_!$A:$A,Instagram_Usage_Lifestyle_Mini_!$C:$K)</f>
        <v>No</v>
      </c>
      <c r="L617" t="str" cm="1">
        <f t="array" ref="L617">_xlfn.IFS(C617&lt;18,"Under_18",C617&lt;=25,"Youth",C617&lt;=35,"Young_Adults",C617&lt;=45,"Mid_Adults",TRUE,"Seniors")</f>
        <v>Seniors</v>
      </c>
    </row>
    <row r="618" spans="1:12" x14ac:dyDescent="0.2">
      <c r="A618">
        <v>617</v>
      </c>
      <c r="B618" t="str">
        <f>_xlfn.XLOOKUP(A618,Instagram_Usage_Lifestyle_Mini_!A618,Instagram_Usage_Lifestyle_Mini_!B618,1)</f>
        <v>Instagram</v>
      </c>
      <c r="C618">
        <f>_xlfn.XLOOKUP($A:$A,Instagram_Usage_Lifestyle_Mini_!$A:$A,Instagram_Usage_Lifestyle_Mini_!$C:$K)</f>
        <v>22</v>
      </c>
      <c r="D618" t="str">
        <f>_xlfn.XLOOKUP($A:$A,Instagram_Usage_Lifestyle_Mini_!$A:$A,Instagram_Usage_Lifestyle_Mini_!$C:$K)</f>
        <v>Female</v>
      </c>
      <c r="E618" t="str">
        <f>_xlfn.XLOOKUP($A:$A,Instagram_Usage_Lifestyle_Mini_!$A:$A,Instagram_Usage_Lifestyle_Mini_!$C:$K)</f>
        <v>Australia</v>
      </c>
      <c r="F618" t="str">
        <f>_xlfn.XLOOKUP($A:$A,Instagram_Usage_Lifestyle_Mini_!$A:$A,Instagram_Usage_Lifestyle_Mini_!$C:$K)</f>
        <v>Suburban</v>
      </c>
      <c r="G618" t="str">
        <f>_xlfn.XLOOKUP($A:$A,Instagram_Usage_Lifestyle_Mini_!$A:$A,Instagram_Usage_Lifestyle_Mini_!$C:$K)</f>
        <v>Middle</v>
      </c>
      <c r="H618" t="str">
        <f>_xlfn.XLOOKUP($A:$A,Instagram_Usage_Lifestyle_Mini_!$A:$A,Instagram_Usage_Lifestyle_Mini_!$C:$K)</f>
        <v>Unemployed</v>
      </c>
      <c r="I618" t="str">
        <f>_xlfn.XLOOKUP($A:$A,Instagram_Usage_Lifestyle_Mini_!$A:$A,Instagram_Usage_Lifestyle_Mini_!$C:$K)</f>
        <v>Some_college</v>
      </c>
      <c r="J618" t="str">
        <f>_xlfn.XLOOKUP($A:$A,Instagram_Usage_Lifestyle_Mini_!$A:$A,Instagram_Usage_Lifestyle_Mini_!$C:$K)</f>
        <v>Married</v>
      </c>
      <c r="K618" t="str">
        <f>_xlfn.XLOOKUP($A:$A,Instagram_Usage_Lifestyle_Mini_!$A:$A,Instagram_Usage_Lifestyle_Mini_!$C:$K)</f>
        <v>Yes</v>
      </c>
      <c r="L618" t="str" cm="1">
        <f t="array" ref="L618">_xlfn.IFS(C618&lt;18,"Under_18",C618&lt;=25,"Youth",C618&lt;=35,"Young_Adults",C618&lt;=45,"Mid_Adults",TRUE,"Seniors")</f>
        <v>Youth</v>
      </c>
    </row>
    <row r="619" spans="1:12" x14ac:dyDescent="0.2">
      <c r="A619">
        <v>618</v>
      </c>
      <c r="B619" t="str">
        <f>_xlfn.XLOOKUP(A619,Instagram_Usage_Lifestyle_Mini_!A619,Instagram_Usage_Lifestyle_Mini_!B619,1)</f>
        <v>Instagram</v>
      </c>
      <c r="C619">
        <f>_xlfn.XLOOKUP($A:$A,Instagram_Usage_Lifestyle_Mini_!$A:$A,Instagram_Usage_Lifestyle_Mini_!$C:$K)</f>
        <v>49</v>
      </c>
      <c r="D619" t="str">
        <f>_xlfn.XLOOKUP($A:$A,Instagram_Usage_Lifestyle_Mini_!$A:$A,Instagram_Usage_Lifestyle_Mini_!$C:$K)</f>
        <v>Male</v>
      </c>
      <c r="E619" t="str">
        <f>_xlfn.XLOOKUP($A:$A,Instagram_Usage_Lifestyle_Mini_!$A:$A,Instagram_Usage_Lifestyle_Mini_!$C:$K)</f>
        <v>South_Korea</v>
      </c>
      <c r="F619" t="str">
        <f>_xlfn.XLOOKUP($A:$A,Instagram_Usage_Lifestyle_Mini_!$A:$A,Instagram_Usage_Lifestyle_Mini_!$C:$K)</f>
        <v>Urban</v>
      </c>
      <c r="G619" t="str">
        <f>_xlfn.XLOOKUP($A:$A,Instagram_Usage_Lifestyle_Mini_!$A:$A,Instagram_Usage_Lifestyle_Mini_!$C:$K)</f>
        <v>High</v>
      </c>
      <c r="H619" t="str">
        <f>_xlfn.XLOOKUP($A:$A,Instagram_Usage_Lifestyle_Mini_!$A:$A,Instagram_Usage_Lifestyle_Mini_!$C:$K)</f>
        <v>Full_time_employed</v>
      </c>
      <c r="I619" t="str">
        <f>_xlfn.XLOOKUP($A:$A,Instagram_Usage_Lifestyle_Mini_!$A:$A,Instagram_Usage_Lifestyle_Mini_!$C:$K)</f>
        <v>Some_college</v>
      </c>
      <c r="J619" t="str">
        <f>_xlfn.XLOOKUP($A:$A,Instagram_Usage_Lifestyle_Mini_!$A:$A,Instagram_Usage_Lifestyle_Mini_!$C:$K)</f>
        <v>Single</v>
      </c>
      <c r="K619" t="str">
        <f>_xlfn.XLOOKUP($A:$A,Instagram_Usage_Lifestyle_Mini_!$A:$A,Instagram_Usage_Lifestyle_Mini_!$C:$K)</f>
        <v>No</v>
      </c>
      <c r="L619" t="str" cm="1">
        <f t="array" ref="L619">_xlfn.IFS(C619&lt;18,"Under_18",C619&lt;=25,"Youth",C619&lt;=35,"Young_Adults",C619&lt;=45,"Mid_Adults",TRUE,"Seniors")</f>
        <v>Seniors</v>
      </c>
    </row>
    <row r="620" spans="1:12" x14ac:dyDescent="0.2">
      <c r="A620">
        <v>619</v>
      </c>
      <c r="B620" t="str">
        <f>_xlfn.XLOOKUP(A620,Instagram_Usage_Lifestyle_Mini_!A620,Instagram_Usage_Lifestyle_Mini_!B620,1)</f>
        <v>Instagram</v>
      </c>
      <c r="C620">
        <f>_xlfn.XLOOKUP($A:$A,Instagram_Usage_Lifestyle_Mini_!$A:$A,Instagram_Usage_Lifestyle_Mini_!$C:$K)</f>
        <v>21</v>
      </c>
      <c r="D620" t="str">
        <f>_xlfn.XLOOKUP($A:$A,Instagram_Usage_Lifestyle_Mini_!$A:$A,Instagram_Usage_Lifestyle_Mini_!$C:$K)</f>
        <v>Male</v>
      </c>
      <c r="E620" t="str">
        <f>_xlfn.XLOOKUP($A:$A,Instagram_Usage_Lifestyle_Mini_!$A:$A,Instagram_Usage_Lifestyle_Mini_!$C:$K)</f>
        <v>United_States</v>
      </c>
      <c r="F620" t="str">
        <f>_xlfn.XLOOKUP($A:$A,Instagram_Usage_Lifestyle_Mini_!$A:$A,Instagram_Usage_Lifestyle_Mini_!$C:$K)</f>
        <v>Suburban</v>
      </c>
      <c r="G620" t="str">
        <f>_xlfn.XLOOKUP($A:$A,Instagram_Usage_Lifestyle_Mini_!$A:$A,Instagram_Usage_Lifestyle_Mini_!$C:$K)</f>
        <v>Middle</v>
      </c>
      <c r="H620" t="str">
        <f>_xlfn.XLOOKUP($A:$A,Instagram_Usage_Lifestyle_Mini_!$A:$A,Instagram_Usage_Lifestyle_Mini_!$C:$K)</f>
        <v>Full_time_employed</v>
      </c>
      <c r="I620" t="str">
        <f>_xlfn.XLOOKUP($A:$A,Instagram_Usage_Lifestyle_Mini_!$A:$A,Instagram_Usage_Lifestyle_Mini_!$C:$K)</f>
        <v>High_school</v>
      </c>
      <c r="J620" t="str">
        <f>_xlfn.XLOOKUP($A:$A,Instagram_Usage_Lifestyle_Mini_!$A:$A,Instagram_Usage_Lifestyle_Mini_!$C:$K)</f>
        <v>Married</v>
      </c>
      <c r="K620" t="str">
        <f>_xlfn.XLOOKUP($A:$A,Instagram_Usage_Lifestyle_Mini_!$A:$A,Instagram_Usage_Lifestyle_Mini_!$C:$K)</f>
        <v>No</v>
      </c>
      <c r="L620" t="str" cm="1">
        <f t="array" ref="L620">_xlfn.IFS(C620&lt;18,"Under_18",C620&lt;=25,"Youth",C620&lt;=35,"Young_Adults",C620&lt;=45,"Mid_Adults",TRUE,"Seniors")</f>
        <v>Youth</v>
      </c>
    </row>
    <row r="621" spans="1:12" x14ac:dyDescent="0.2">
      <c r="A621">
        <v>620</v>
      </c>
      <c r="B621" t="str">
        <f>_xlfn.XLOOKUP(A621,Instagram_Usage_Lifestyle_Mini_!A621,Instagram_Usage_Lifestyle_Mini_!B621,1)</f>
        <v>Instagram</v>
      </c>
      <c r="C621">
        <f>_xlfn.XLOOKUP($A:$A,Instagram_Usage_Lifestyle_Mini_!$A:$A,Instagram_Usage_Lifestyle_Mini_!$C:$K)</f>
        <v>36</v>
      </c>
      <c r="D621" t="str">
        <f>_xlfn.XLOOKUP($A:$A,Instagram_Usage_Lifestyle_Mini_!$A:$A,Instagram_Usage_Lifestyle_Mini_!$C:$K)</f>
        <v>Male</v>
      </c>
      <c r="E621" t="str">
        <f>_xlfn.XLOOKUP($A:$A,Instagram_Usage_Lifestyle_Mini_!$A:$A,Instagram_Usage_Lifestyle_Mini_!$C:$K)</f>
        <v>India</v>
      </c>
      <c r="F621" t="str">
        <f>_xlfn.XLOOKUP($A:$A,Instagram_Usage_Lifestyle_Mini_!$A:$A,Instagram_Usage_Lifestyle_Mini_!$C:$K)</f>
        <v>Suburban</v>
      </c>
      <c r="G621" t="str">
        <f>_xlfn.XLOOKUP($A:$A,Instagram_Usage_Lifestyle_Mini_!$A:$A,Instagram_Usage_Lifestyle_Mini_!$C:$K)</f>
        <v>Lower_middle</v>
      </c>
      <c r="H621" t="str">
        <f>_xlfn.XLOOKUP($A:$A,Instagram_Usage_Lifestyle_Mini_!$A:$A,Instagram_Usage_Lifestyle_Mini_!$C:$K)</f>
        <v>Full_time_employed</v>
      </c>
      <c r="I621" t="str">
        <f>_xlfn.XLOOKUP($A:$A,Instagram_Usage_Lifestyle_Mini_!$A:$A,Instagram_Usage_Lifestyle_Mini_!$C:$K)</f>
        <v>Other</v>
      </c>
      <c r="J621" t="str">
        <f>_xlfn.XLOOKUP($A:$A,Instagram_Usage_Lifestyle_Mini_!$A:$A,Instagram_Usage_Lifestyle_Mini_!$C:$K)</f>
        <v>Single</v>
      </c>
      <c r="K621" t="str">
        <f>_xlfn.XLOOKUP($A:$A,Instagram_Usage_Lifestyle_Mini_!$A:$A,Instagram_Usage_Lifestyle_Mini_!$C:$K)</f>
        <v>No</v>
      </c>
      <c r="L621" t="str" cm="1">
        <f t="array" ref="L621">_xlfn.IFS(C621&lt;18,"Under_18",C621&lt;=25,"Youth",C621&lt;=35,"Young_Adults",C621&lt;=45,"Mid_Adults",TRUE,"Seniors")</f>
        <v>Mid_Adults</v>
      </c>
    </row>
    <row r="622" spans="1:12" x14ac:dyDescent="0.2">
      <c r="A622">
        <v>621</v>
      </c>
      <c r="B622" t="str">
        <f>_xlfn.XLOOKUP(A622,Instagram_Usage_Lifestyle_Mini_!A622,Instagram_Usage_Lifestyle_Mini_!B622,1)</f>
        <v>Instagram</v>
      </c>
      <c r="C622">
        <f>_xlfn.XLOOKUP($A:$A,Instagram_Usage_Lifestyle_Mini_!$A:$A,Instagram_Usage_Lifestyle_Mini_!$C:$K)</f>
        <v>47</v>
      </c>
      <c r="D622" t="str">
        <f>_xlfn.XLOOKUP($A:$A,Instagram_Usage_Lifestyle_Mini_!$A:$A,Instagram_Usage_Lifestyle_Mini_!$C:$K)</f>
        <v>Male</v>
      </c>
      <c r="E622" t="str">
        <f>_xlfn.XLOOKUP($A:$A,Instagram_Usage_Lifestyle_Mini_!$A:$A,Instagram_Usage_Lifestyle_Mini_!$C:$K)</f>
        <v>Australia</v>
      </c>
      <c r="F622" t="str">
        <f>_xlfn.XLOOKUP($A:$A,Instagram_Usage_Lifestyle_Mini_!$A:$A,Instagram_Usage_Lifestyle_Mini_!$C:$K)</f>
        <v>Urban</v>
      </c>
      <c r="G622" t="str">
        <f>_xlfn.XLOOKUP($A:$A,Instagram_Usage_Lifestyle_Mini_!$A:$A,Instagram_Usage_Lifestyle_Mini_!$C:$K)</f>
        <v>Lower_middle</v>
      </c>
      <c r="H622" t="str">
        <f>_xlfn.XLOOKUP($A:$A,Instagram_Usage_Lifestyle_Mini_!$A:$A,Instagram_Usage_Lifestyle_Mini_!$C:$K)</f>
        <v>Full_time_employed</v>
      </c>
      <c r="I622" t="str">
        <f>_xlfn.XLOOKUP($A:$A,Instagram_Usage_Lifestyle_Mini_!$A:$A,Instagram_Usage_Lifestyle_Mini_!$C:$K)</f>
        <v>Bachelors_degree</v>
      </c>
      <c r="J622" t="str">
        <f>_xlfn.XLOOKUP($A:$A,Instagram_Usage_Lifestyle_Mini_!$A:$A,Instagram_Usage_Lifestyle_Mini_!$C:$K)</f>
        <v>Divorced</v>
      </c>
      <c r="K622" t="str">
        <f>_xlfn.XLOOKUP($A:$A,Instagram_Usage_Lifestyle_Mini_!$A:$A,Instagram_Usage_Lifestyle_Mini_!$C:$K)</f>
        <v>No</v>
      </c>
      <c r="L622" t="str" cm="1">
        <f t="array" ref="L622">_xlfn.IFS(C622&lt;18,"Under_18",C622&lt;=25,"Youth",C622&lt;=35,"Young_Adults",C622&lt;=45,"Mid_Adults",TRUE,"Seniors")</f>
        <v>Seniors</v>
      </c>
    </row>
    <row r="623" spans="1:12" x14ac:dyDescent="0.2">
      <c r="A623">
        <v>622</v>
      </c>
      <c r="B623" t="str">
        <f>_xlfn.XLOOKUP(A623,Instagram_Usage_Lifestyle_Mini_!A623,Instagram_Usage_Lifestyle_Mini_!B623,1)</f>
        <v>Instagram</v>
      </c>
      <c r="C623">
        <f>_xlfn.XLOOKUP($A:$A,Instagram_Usage_Lifestyle_Mini_!$A:$A,Instagram_Usage_Lifestyle_Mini_!$C:$K)</f>
        <v>61</v>
      </c>
      <c r="D623" t="str">
        <f>_xlfn.XLOOKUP($A:$A,Instagram_Usage_Lifestyle_Mini_!$A:$A,Instagram_Usage_Lifestyle_Mini_!$C:$K)</f>
        <v>Female</v>
      </c>
      <c r="E623" t="str">
        <f>_xlfn.XLOOKUP($A:$A,Instagram_Usage_Lifestyle_Mini_!$A:$A,Instagram_Usage_Lifestyle_Mini_!$C:$K)</f>
        <v>India</v>
      </c>
      <c r="F623" t="str">
        <f>_xlfn.XLOOKUP($A:$A,Instagram_Usage_Lifestyle_Mini_!$A:$A,Instagram_Usage_Lifestyle_Mini_!$C:$K)</f>
        <v>Suburban</v>
      </c>
      <c r="G623" t="str">
        <f>_xlfn.XLOOKUP($A:$A,Instagram_Usage_Lifestyle_Mini_!$A:$A,Instagram_Usage_Lifestyle_Mini_!$C:$K)</f>
        <v>Lower_middle</v>
      </c>
      <c r="H623" t="str">
        <f>_xlfn.XLOOKUP($A:$A,Instagram_Usage_Lifestyle_Mini_!$A:$A,Instagram_Usage_Lifestyle_Mini_!$C:$K)</f>
        <v>Full_time_employed</v>
      </c>
      <c r="I623" t="str">
        <f>_xlfn.XLOOKUP($A:$A,Instagram_Usage_Lifestyle_Mini_!$A:$A,Instagram_Usage_Lifestyle_Mini_!$C:$K)</f>
        <v>High_school</v>
      </c>
      <c r="J623" t="str">
        <f>_xlfn.XLOOKUP($A:$A,Instagram_Usage_Lifestyle_Mini_!$A:$A,Instagram_Usage_Lifestyle_Mini_!$C:$K)</f>
        <v>Single</v>
      </c>
      <c r="K623" t="str">
        <f>_xlfn.XLOOKUP($A:$A,Instagram_Usage_Lifestyle_Mini_!$A:$A,Instagram_Usage_Lifestyle_Mini_!$C:$K)</f>
        <v>No</v>
      </c>
      <c r="L623" t="str" cm="1">
        <f t="array" ref="L623">_xlfn.IFS(C623&lt;18,"Under_18",C623&lt;=25,"Youth",C623&lt;=35,"Young_Adults",C623&lt;=45,"Mid_Adults",TRUE,"Seniors")</f>
        <v>Seniors</v>
      </c>
    </row>
    <row r="624" spans="1:12" x14ac:dyDescent="0.2">
      <c r="A624">
        <v>623</v>
      </c>
      <c r="B624" t="str">
        <f>_xlfn.XLOOKUP(A624,Instagram_Usage_Lifestyle_Mini_!A624,Instagram_Usage_Lifestyle_Mini_!B624,1)</f>
        <v>Instagram</v>
      </c>
      <c r="C624">
        <f>_xlfn.XLOOKUP($A:$A,Instagram_Usage_Lifestyle_Mini_!$A:$A,Instagram_Usage_Lifestyle_Mini_!$C:$K)</f>
        <v>47</v>
      </c>
      <c r="D624" t="str">
        <f>_xlfn.XLOOKUP($A:$A,Instagram_Usage_Lifestyle_Mini_!$A:$A,Instagram_Usage_Lifestyle_Mini_!$C:$K)</f>
        <v>Male</v>
      </c>
      <c r="E624" t="str">
        <f>_xlfn.XLOOKUP($A:$A,Instagram_Usage_Lifestyle_Mini_!$A:$A,Instagram_Usage_Lifestyle_Mini_!$C:$K)</f>
        <v>Australia</v>
      </c>
      <c r="F624" t="str">
        <f>_xlfn.XLOOKUP($A:$A,Instagram_Usage_Lifestyle_Mini_!$A:$A,Instagram_Usage_Lifestyle_Mini_!$C:$K)</f>
        <v>Urban</v>
      </c>
      <c r="G624" t="str">
        <f>_xlfn.XLOOKUP($A:$A,Instagram_Usage_Lifestyle_Mini_!$A:$A,Instagram_Usage_Lifestyle_Mini_!$C:$K)</f>
        <v>Lower_middle</v>
      </c>
      <c r="H624" t="str">
        <f>_xlfn.XLOOKUP($A:$A,Instagram_Usage_Lifestyle_Mini_!$A:$A,Instagram_Usage_Lifestyle_Mini_!$C:$K)</f>
        <v>Freelancer</v>
      </c>
      <c r="I624" t="str">
        <f>_xlfn.XLOOKUP($A:$A,Instagram_Usage_Lifestyle_Mini_!$A:$A,Instagram_Usage_Lifestyle_Mini_!$C:$K)</f>
        <v>Bachelors_degree</v>
      </c>
      <c r="J624" t="str">
        <f>_xlfn.XLOOKUP($A:$A,Instagram_Usage_Lifestyle_Mini_!$A:$A,Instagram_Usage_Lifestyle_Mini_!$C:$K)</f>
        <v>Single</v>
      </c>
      <c r="K624" t="str">
        <f>_xlfn.XLOOKUP($A:$A,Instagram_Usage_Lifestyle_Mini_!$A:$A,Instagram_Usage_Lifestyle_Mini_!$C:$K)</f>
        <v>No</v>
      </c>
      <c r="L624" t="str" cm="1">
        <f t="array" ref="L624">_xlfn.IFS(C624&lt;18,"Under_18",C624&lt;=25,"Youth",C624&lt;=35,"Young_Adults",C624&lt;=45,"Mid_Adults",TRUE,"Seniors")</f>
        <v>Seniors</v>
      </c>
    </row>
    <row r="625" spans="1:12" x14ac:dyDescent="0.2">
      <c r="A625">
        <v>624</v>
      </c>
      <c r="B625" t="str">
        <f>_xlfn.XLOOKUP(A625,Instagram_Usage_Lifestyle_Mini_!A625,Instagram_Usage_Lifestyle_Mini_!B625,1)</f>
        <v>Instagram</v>
      </c>
      <c r="C625">
        <f>_xlfn.XLOOKUP($A:$A,Instagram_Usage_Lifestyle_Mini_!$A:$A,Instagram_Usage_Lifestyle_Mini_!$C:$K)</f>
        <v>60</v>
      </c>
      <c r="D625" t="str">
        <f>_xlfn.XLOOKUP($A:$A,Instagram_Usage_Lifestyle_Mini_!$A:$A,Instagram_Usage_Lifestyle_Mini_!$C:$K)</f>
        <v>Male</v>
      </c>
      <c r="E625" t="str">
        <f>_xlfn.XLOOKUP($A:$A,Instagram_Usage_Lifestyle_Mini_!$A:$A,Instagram_Usage_Lifestyle_Mini_!$C:$K)</f>
        <v>United_States</v>
      </c>
      <c r="F625" t="str">
        <f>_xlfn.XLOOKUP($A:$A,Instagram_Usage_Lifestyle_Mini_!$A:$A,Instagram_Usage_Lifestyle_Mini_!$C:$K)</f>
        <v>Urban</v>
      </c>
      <c r="G625" t="str">
        <f>_xlfn.XLOOKUP($A:$A,Instagram_Usage_Lifestyle_Mini_!$A:$A,Instagram_Usage_Lifestyle_Mini_!$C:$K)</f>
        <v>Middle</v>
      </c>
      <c r="H625" t="str">
        <f>_xlfn.XLOOKUP($A:$A,Instagram_Usage_Lifestyle_Mini_!$A:$A,Instagram_Usage_Lifestyle_Mini_!$C:$K)</f>
        <v>Full_time_employed</v>
      </c>
      <c r="I625" t="str">
        <f>_xlfn.XLOOKUP($A:$A,Instagram_Usage_Lifestyle_Mini_!$A:$A,Instagram_Usage_Lifestyle_Mini_!$C:$K)</f>
        <v>Bachelors_degree</v>
      </c>
      <c r="J625" t="str">
        <f>_xlfn.XLOOKUP($A:$A,Instagram_Usage_Lifestyle_Mini_!$A:$A,Instagram_Usage_Lifestyle_Mini_!$C:$K)</f>
        <v>In_a_relationship</v>
      </c>
      <c r="K625" t="str">
        <f>_xlfn.XLOOKUP($A:$A,Instagram_Usage_Lifestyle_Mini_!$A:$A,Instagram_Usage_Lifestyle_Mini_!$C:$K)</f>
        <v>No</v>
      </c>
      <c r="L625" t="str" cm="1">
        <f t="array" ref="L625">_xlfn.IFS(C625&lt;18,"Under_18",C625&lt;=25,"Youth",C625&lt;=35,"Young_Adults",C625&lt;=45,"Mid_Adults",TRUE,"Seniors")</f>
        <v>Seniors</v>
      </c>
    </row>
    <row r="626" spans="1:12" x14ac:dyDescent="0.2">
      <c r="A626">
        <v>625</v>
      </c>
      <c r="B626" t="str">
        <f>_xlfn.XLOOKUP(A626,Instagram_Usage_Lifestyle_Mini_!A626,Instagram_Usage_Lifestyle_Mini_!B626,1)</f>
        <v>Instagram</v>
      </c>
      <c r="C626">
        <f>_xlfn.XLOOKUP($A:$A,Instagram_Usage_Lifestyle_Mini_!$A:$A,Instagram_Usage_Lifestyle_Mini_!$C:$K)</f>
        <v>48</v>
      </c>
      <c r="D626" t="str">
        <f>_xlfn.XLOOKUP($A:$A,Instagram_Usage_Lifestyle_Mini_!$A:$A,Instagram_Usage_Lifestyle_Mini_!$C:$K)</f>
        <v>Female</v>
      </c>
      <c r="E626" t="str">
        <f>_xlfn.XLOOKUP($A:$A,Instagram_Usage_Lifestyle_Mini_!$A:$A,Instagram_Usage_Lifestyle_Mini_!$C:$K)</f>
        <v>United_States</v>
      </c>
      <c r="F626" t="str">
        <f>_xlfn.XLOOKUP($A:$A,Instagram_Usage_Lifestyle_Mini_!$A:$A,Instagram_Usage_Lifestyle_Mini_!$C:$K)</f>
        <v>Urban</v>
      </c>
      <c r="G626" t="str">
        <f>_xlfn.XLOOKUP($A:$A,Instagram_Usage_Lifestyle_Mini_!$A:$A,Instagram_Usage_Lifestyle_Mini_!$C:$K)</f>
        <v>High</v>
      </c>
      <c r="H626" t="str">
        <f>_xlfn.XLOOKUP($A:$A,Instagram_Usage_Lifestyle_Mini_!$A:$A,Instagram_Usage_Lifestyle_Mini_!$C:$K)</f>
        <v>Student</v>
      </c>
      <c r="I626" t="str">
        <f>_xlfn.XLOOKUP($A:$A,Instagram_Usage_Lifestyle_Mini_!$A:$A,Instagram_Usage_Lifestyle_Mini_!$C:$K)</f>
        <v>Bachelors_degree</v>
      </c>
      <c r="J626" t="str">
        <f>_xlfn.XLOOKUP($A:$A,Instagram_Usage_Lifestyle_Mini_!$A:$A,Instagram_Usage_Lifestyle_Mini_!$C:$K)</f>
        <v>Single</v>
      </c>
      <c r="K626" t="str">
        <f>_xlfn.XLOOKUP($A:$A,Instagram_Usage_Lifestyle_Mini_!$A:$A,Instagram_Usage_Lifestyle_Mini_!$C:$K)</f>
        <v>No</v>
      </c>
      <c r="L626" t="str" cm="1">
        <f t="array" ref="L626">_xlfn.IFS(C626&lt;18,"Under_18",C626&lt;=25,"Youth",C626&lt;=35,"Young_Adults",C626&lt;=45,"Mid_Adults",TRUE,"Seniors")</f>
        <v>Seniors</v>
      </c>
    </row>
    <row r="627" spans="1:12" x14ac:dyDescent="0.2">
      <c r="A627">
        <v>626</v>
      </c>
      <c r="B627" t="str">
        <f>_xlfn.XLOOKUP(A627,Instagram_Usage_Lifestyle_Mini_!A627,Instagram_Usage_Lifestyle_Mini_!B627,1)</f>
        <v>Instagram</v>
      </c>
      <c r="C627">
        <f>_xlfn.XLOOKUP($A:$A,Instagram_Usage_Lifestyle_Mini_!$A:$A,Instagram_Usage_Lifestyle_Mini_!$C:$K)</f>
        <v>30</v>
      </c>
      <c r="D627" t="str">
        <f>_xlfn.XLOOKUP($A:$A,Instagram_Usage_Lifestyle_Mini_!$A:$A,Instagram_Usage_Lifestyle_Mini_!$C:$K)</f>
        <v>Male</v>
      </c>
      <c r="E627" t="str">
        <f>_xlfn.XLOOKUP($A:$A,Instagram_Usage_Lifestyle_Mini_!$A:$A,Instagram_Usage_Lifestyle_Mini_!$C:$K)</f>
        <v>United_States</v>
      </c>
      <c r="F627" t="str">
        <f>_xlfn.XLOOKUP($A:$A,Instagram_Usage_Lifestyle_Mini_!$A:$A,Instagram_Usage_Lifestyle_Mini_!$C:$K)</f>
        <v>Urban</v>
      </c>
      <c r="G627" t="str">
        <f>_xlfn.XLOOKUP($A:$A,Instagram_Usage_Lifestyle_Mini_!$A:$A,Instagram_Usage_Lifestyle_Mini_!$C:$K)</f>
        <v>Lower_middle</v>
      </c>
      <c r="H627" t="str">
        <f>_xlfn.XLOOKUP($A:$A,Instagram_Usage_Lifestyle_Mini_!$A:$A,Instagram_Usage_Lifestyle_Mini_!$C:$K)</f>
        <v>Freelancer</v>
      </c>
      <c r="I627" t="str">
        <f>_xlfn.XLOOKUP($A:$A,Instagram_Usage_Lifestyle_Mini_!$A:$A,Instagram_Usage_Lifestyle_Mini_!$C:$K)</f>
        <v>Some_college</v>
      </c>
      <c r="J627" t="str">
        <f>_xlfn.XLOOKUP($A:$A,Instagram_Usage_Lifestyle_Mini_!$A:$A,Instagram_Usage_Lifestyle_Mini_!$C:$K)</f>
        <v>Married</v>
      </c>
      <c r="K627" t="str">
        <f>_xlfn.XLOOKUP($A:$A,Instagram_Usage_Lifestyle_Mini_!$A:$A,Instagram_Usage_Lifestyle_Mini_!$C:$K)</f>
        <v>No</v>
      </c>
      <c r="L627" t="str" cm="1">
        <f t="array" ref="L627">_xlfn.IFS(C627&lt;18,"Under_18",C627&lt;=25,"Youth",C627&lt;=35,"Young_Adults",C627&lt;=45,"Mid_Adults",TRUE,"Seniors")</f>
        <v>Young_Adults</v>
      </c>
    </row>
    <row r="628" spans="1:12" x14ac:dyDescent="0.2">
      <c r="A628">
        <v>627</v>
      </c>
      <c r="B628" t="str">
        <f>_xlfn.XLOOKUP(A628,Instagram_Usage_Lifestyle_Mini_!A628,Instagram_Usage_Lifestyle_Mini_!B628,1)</f>
        <v>Instagram</v>
      </c>
      <c r="C628">
        <f>_xlfn.XLOOKUP($A:$A,Instagram_Usage_Lifestyle_Mini_!$A:$A,Instagram_Usage_Lifestyle_Mini_!$C:$K)</f>
        <v>61</v>
      </c>
      <c r="D628" t="str">
        <f>_xlfn.XLOOKUP($A:$A,Instagram_Usage_Lifestyle_Mini_!$A:$A,Instagram_Usage_Lifestyle_Mini_!$C:$K)</f>
        <v>Male</v>
      </c>
      <c r="E628" t="str">
        <f>_xlfn.XLOOKUP($A:$A,Instagram_Usage_Lifestyle_Mini_!$A:$A,Instagram_Usage_Lifestyle_Mini_!$C:$K)</f>
        <v>United _Kingdom</v>
      </c>
      <c r="F628" t="str">
        <f>_xlfn.XLOOKUP($A:$A,Instagram_Usage_Lifestyle_Mini_!$A:$A,Instagram_Usage_Lifestyle_Mini_!$C:$K)</f>
        <v>Urban</v>
      </c>
      <c r="G628" t="str">
        <f>_xlfn.XLOOKUP($A:$A,Instagram_Usage_Lifestyle_Mini_!$A:$A,Instagram_Usage_Lifestyle_Mini_!$C:$K)</f>
        <v>Lower_middle</v>
      </c>
      <c r="H628" t="str">
        <f>_xlfn.XLOOKUP($A:$A,Instagram_Usage_Lifestyle_Mini_!$A:$A,Instagram_Usage_Lifestyle_Mini_!$C:$K)</f>
        <v>Unemployed</v>
      </c>
      <c r="I628" t="str">
        <f>_xlfn.XLOOKUP($A:$A,Instagram_Usage_Lifestyle_Mini_!$A:$A,Instagram_Usage_Lifestyle_Mini_!$C:$K)</f>
        <v>Masters_degree</v>
      </c>
      <c r="J628" t="str">
        <f>_xlfn.XLOOKUP($A:$A,Instagram_Usage_Lifestyle_Mini_!$A:$A,Instagram_Usage_Lifestyle_Mini_!$C:$K)</f>
        <v>Divorced</v>
      </c>
      <c r="K628" t="str">
        <f>_xlfn.XLOOKUP($A:$A,Instagram_Usage_Lifestyle_Mini_!$A:$A,Instagram_Usage_Lifestyle_Mini_!$C:$K)</f>
        <v>No</v>
      </c>
      <c r="L628" t="str" cm="1">
        <f t="array" ref="L628">_xlfn.IFS(C628&lt;18,"Under_18",C628&lt;=25,"Youth",C628&lt;=35,"Young_Adults",C628&lt;=45,"Mid_Adults",TRUE,"Seniors")</f>
        <v>Seniors</v>
      </c>
    </row>
    <row r="629" spans="1:12" x14ac:dyDescent="0.2">
      <c r="A629">
        <v>628</v>
      </c>
      <c r="B629" t="str">
        <f>_xlfn.XLOOKUP(A629,Instagram_Usage_Lifestyle_Mini_!A629,Instagram_Usage_Lifestyle_Mini_!B629,1)</f>
        <v>Instagram</v>
      </c>
      <c r="C629">
        <f>_xlfn.XLOOKUP($A:$A,Instagram_Usage_Lifestyle_Mini_!$A:$A,Instagram_Usage_Lifestyle_Mini_!$C:$K)</f>
        <v>51</v>
      </c>
      <c r="D629" t="str">
        <f>_xlfn.XLOOKUP($A:$A,Instagram_Usage_Lifestyle_Mini_!$A:$A,Instagram_Usage_Lifestyle_Mini_!$C:$K)</f>
        <v>Female</v>
      </c>
      <c r="E629" t="str">
        <f>_xlfn.XLOOKUP($A:$A,Instagram_Usage_Lifestyle_Mini_!$A:$A,Instagram_Usage_Lifestyle_Mini_!$C:$K)</f>
        <v>India</v>
      </c>
      <c r="F629" t="str">
        <f>_xlfn.XLOOKUP($A:$A,Instagram_Usage_Lifestyle_Mini_!$A:$A,Instagram_Usage_Lifestyle_Mini_!$C:$K)</f>
        <v>Rural</v>
      </c>
      <c r="G629" t="str">
        <f>_xlfn.XLOOKUP($A:$A,Instagram_Usage_Lifestyle_Mini_!$A:$A,Instagram_Usage_Lifestyle_Mini_!$C:$K)</f>
        <v>Upper_middle</v>
      </c>
      <c r="H629" t="str">
        <f>_xlfn.XLOOKUP($A:$A,Instagram_Usage_Lifestyle_Mini_!$A:$A,Instagram_Usage_Lifestyle_Mini_!$C:$K)</f>
        <v>Freelancer</v>
      </c>
      <c r="I629" t="str">
        <f>_xlfn.XLOOKUP($A:$A,Instagram_Usage_Lifestyle_Mini_!$A:$A,Instagram_Usage_Lifestyle_Mini_!$C:$K)</f>
        <v>Bachelors_degree</v>
      </c>
      <c r="J629" t="str">
        <f>_xlfn.XLOOKUP($A:$A,Instagram_Usage_Lifestyle_Mini_!$A:$A,Instagram_Usage_Lifestyle_Mini_!$C:$K)</f>
        <v>In_a_relationship</v>
      </c>
      <c r="K629" t="str">
        <f>_xlfn.XLOOKUP($A:$A,Instagram_Usage_Lifestyle_Mini_!$A:$A,Instagram_Usage_Lifestyle_Mini_!$C:$K)</f>
        <v>No</v>
      </c>
      <c r="L629" t="str" cm="1">
        <f t="array" ref="L629">_xlfn.IFS(C629&lt;18,"Under_18",C629&lt;=25,"Youth",C629&lt;=35,"Young_Adults",C629&lt;=45,"Mid_Adults",TRUE,"Seniors")</f>
        <v>Seniors</v>
      </c>
    </row>
    <row r="630" spans="1:12" x14ac:dyDescent="0.2">
      <c r="A630">
        <v>629</v>
      </c>
      <c r="B630" t="str">
        <f>_xlfn.XLOOKUP(A630,Instagram_Usage_Lifestyle_Mini_!A630,Instagram_Usage_Lifestyle_Mini_!B630,1)</f>
        <v>Instagram</v>
      </c>
      <c r="C630">
        <f>_xlfn.XLOOKUP($A:$A,Instagram_Usage_Lifestyle_Mini_!$A:$A,Instagram_Usage_Lifestyle_Mini_!$C:$K)</f>
        <v>44</v>
      </c>
      <c r="D630" t="str">
        <f>_xlfn.XLOOKUP($A:$A,Instagram_Usage_Lifestyle_Mini_!$A:$A,Instagram_Usage_Lifestyle_Mini_!$C:$K)</f>
        <v>Male</v>
      </c>
      <c r="E630" t="str">
        <f>_xlfn.XLOOKUP($A:$A,Instagram_Usage_Lifestyle_Mini_!$A:$A,Instagram_Usage_Lifestyle_Mini_!$C:$K)</f>
        <v>Brazil</v>
      </c>
      <c r="F630" t="str">
        <f>_xlfn.XLOOKUP($A:$A,Instagram_Usage_Lifestyle_Mini_!$A:$A,Instagram_Usage_Lifestyle_Mini_!$C:$K)</f>
        <v>Rural</v>
      </c>
      <c r="G630" t="str">
        <f>_xlfn.XLOOKUP($A:$A,Instagram_Usage_Lifestyle_Mini_!$A:$A,Instagram_Usage_Lifestyle_Mini_!$C:$K)</f>
        <v>Middle</v>
      </c>
      <c r="H630" t="str">
        <f>_xlfn.XLOOKUP($A:$A,Instagram_Usage_Lifestyle_Mini_!$A:$A,Instagram_Usage_Lifestyle_Mini_!$C:$K)</f>
        <v>Full_time_employed</v>
      </c>
      <c r="I630" t="str">
        <f>_xlfn.XLOOKUP($A:$A,Instagram_Usage_Lifestyle_Mini_!$A:$A,Instagram_Usage_Lifestyle_Mini_!$C:$K)</f>
        <v>Some_college</v>
      </c>
      <c r="J630" t="str">
        <f>_xlfn.XLOOKUP($A:$A,Instagram_Usage_Lifestyle_Mini_!$A:$A,Instagram_Usage_Lifestyle_Mini_!$C:$K)</f>
        <v>Married</v>
      </c>
      <c r="K630" t="str">
        <f>_xlfn.XLOOKUP($A:$A,Instagram_Usage_Lifestyle_Mini_!$A:$A,Instagram_Usage_Lifestyle_Mini_!$C:$K)</f>
        <v>Yes</v>
      </c>
      <c r="L630" t="str" cm="1">
        <f t="array" ref="L630">_xlfn.IFS(C630&lt;18,"Under_18",C630&lt;=25,"Youth",C630&lt;=35,"Young_Adults",C630&lt;=45,"Mid_Adults",TRUE,"Seniors")</f>
        <v>Mid_Adults</v>
      </c>
    </row>
    <row r="631" spans="1:12" x14ac:dyDescent="0.2">
      <c r="A631">
        <v>630</v>
      </c>
      <c r="B631" t="str">
        <f>_xlfn.XLOOKUP(A631,Instagram_Usage_Lifestyle_Mini_!A631,Instagram_Usage_Lifestyle_Mini_!B631,1)</f>
        <v>Instagram</v>
      </c>
      <c r="C631">
        <f>_xlfn.XLOOKUP($A:$A,Instagram_Usage_Lifestyle_Mini_!$A:$A,Instagram_Usage_Lifestyle_Mini_!$C:$K)</f>
        <v>36</v>
      </c>
      <c r="D631" t="str">
        <f>_xlfn.XLOOKUP($A:$A,Instagram_Usage_Lifestyle_Mini_!$A:$A,Instagram_Usage_Lifestyle_Mini_!$C:$K)</f>
        <v>Female</v>
      </c>
      <c r="E631" t="str">
        <f>_xlfn.XLOOKUP($A:$A,Instagram_Usage_Lifestyle_Mini_!$A:$A,Instagram_Usage_Lifestyle_Mini_!$C:$K)</f>
        <v>Other</v>
      </c>
      <c r="F631" t="str">
        <f>_xlfn.XLOOKUP($A:$A,Instagram_Usage_Lifestyle_Mini_!$A:$A,Instagram_Usage_Lifestyle_Mini_!$C:$K)</f>
        <v>Urban</v>
      </c>
      <c r="G631" t="str">
        <f>_xlfn.XLOOKUP($A:$A,Instagram_Usage_Lifestyle_Mini_!$A:$A,Instagram_Usage_Lifestyle_Mini_!$C:$K)</f>
        <v>Middle</v>
      </c>
      <c r="H631" t="str">
        <f>_xlfn.XLOOKUP($A:$A,Instagram_Usage_Lifestyle_Mini_!$A:$A,Instagram_Usage_Lifestyle_Mini_!$C:$K)</f>
        <v>Full_time_employed</v>
      </c>
      <c r="I631" t="str">
        <f>_xlfn.XLOOKUP($A:$A,Instagram_Usage_Lifestyle_Mini_!$A:$A,Instagram_Usage_Lifestyle_Mini_!$C:$K)</f>
        <v>Bachelors_degree</v>
      </c>
      <c r="J631" t="str">
        <f>_xlfn.XLOOKUP($A:$A,Instagram_Usage_Lifestyle_Mini_!$A:$A,Instagram_Usage_Lifestyle_Mini_!$C:$K)</f>
        <v>Single</v>
      </c>
      <c r="K631" t="str">
        <f>_xlfn.XLOOKUP($A:$A,Instagram_Usage_Lifestyle_Mini_!$A:$A,Instagram_Usage_Lifestyle_Mini_!$C:$K)</f>
        <v>No</v>
      </c>
      <c r="L631" t="str" cm="1">
        <f t="array" ref="L631">_xlfn.IFS(C631&lt;18,"Under_18",C631&lt;=25,"Youth",C631&lt;=35,"Young_Adults",C631&lt;=45,"Mid_Adults",TRUE,"Seniors")</f>
        <v>Mid_Adults</v>
      </c>
    </row>
    <row r="632" spans="1:12" x14ac:dyDescent="0.2">
      <c r="A632">
        <v>631</v>
      </c>
      <c r="B632" t="str">
        <f>_xlfn.XLOOKUP(A632,Instagram_Usage_Lifestyle_Mini_!A632,Instagram_Usage_Lifestyle_Mini_!B632,1)</f>
        <v>Instagram</v>
      </c>
      <c r="C632">
        <f>_xlfn.XLOOKUP($A:$A,Instagram_Usage_Lifestyle_Mini_!$A:$A,Instagram_Usage_Lifestyle_Mini_!$C:$K)</f>
        <v>35</v>
      </c>
      <c r="D632" t="str">
        <f>_xlfn.XLOOKUP($A:$A,Instagram_Usage_Lifestyle_Mini_!$A:$A,Instagram_Usage_Lifestyle_Mini_!$C:$K)</f>
        <v>Male</v>
      </c>
      <c r="E632" t="str">
        <f>_xlfn.XLOOKUP($A:$A,Instagram_Usage_Lifestyle_Mini_!$A:$A,Instagram_Usage_Lifestyle_Mini_!$C:$K)</f>
        <v>Brazil</v>
      </c>
      <c r="F632" t="str">
        <f>_xlfn.XLOOKUP($A:$A,Instagram_Usage_Lifestyle_Mini_!$A:$A,Instagram_Usage_Lifestyle_Mini_!$C:$K)</f>
        <v>Suburban</v>
      </c>
      <c r="G632" t="str">
        <f>_xlfn.XLOOKUP($A:$A,Instagram_Usage_Lifestyle_Mini_!$A:$A,Instagram_Usage_Lifestyle_Mini_!$C:$K)</f>
        <v>Upper_middle</v>
      </c>
      <c r="H632" t="str">
        <f>_xlfn.XLOOKUP($A:$A,Instagram_Usage_Lifestyle_Mini_!$A:$A,Instagram_Usage_Lifestyle_Mini_!$C:$K)</f>
        <v>Part_time</v>
      </c>
      <c r="I632" t="str">
        <f>_xlfn.XLOOKUP($A:$A,Instagram_Usage_Lifestyle_Mini_!$A:$A,Instagram_Usage_Lifestyle_Mini_!$C:$K)</f>
        <v>PhD</v>
      </c>
      <c r="J632" t="str">
        <f>_xlfn.XLOOKUP($A:$A,Instagram_Usage_Lifestyle_Mini_!$A:$A,Instagram_Usage_Lifestyle_Mini_!$C:$K)</f>
        <v>In_a_relationship</v>
      </c>
      <c r="K632" t="str">
        <f>_xlfn.XLOOKUP($A:$A,Instagram_Usage_Lifestyle_Mini_!$A:$A,Instagram_Usage_Lifestyle_Mini_!$C:$K)</f>
        <v>No</v>
      </c>
      <c r="L632" t="str" cm="1">
        <f t="array" ref="L632">_xlfn.IFS(C632&lt;18,"Under_18",C632&lt;=25,"Youth",C632&lt;=35,"Young_Adults",C632&lt;=45,"Mid_Adults",TRUE,"Seniors")</f>
        <v>Young_Adults</v>
      </c>
    </row>
    <row r="633" spans="1:12" x14ac:dyDescent="0.2">
      <c r="A633">
        <v>632</v>
      </c>
      <c r="B633" t="str">
        <f>_xlfn.XLOOKUP(A633,Instagram_Usage_Lifestyle_Mini_!A633,Instagram_Usage_Lifestyle_Mini_!B633,1)</f>
        <v>Instagram</v>
      </c>
      <c r="C633">
        <f>_xlfn.XLOOKUP($A:$A,Instagram_Usage_Lifestyle_Mini_!$A:$A,Instagram_Usage_Lifestyle_Mini_!$C:$K)</f>
        <v>44</v>
      </c>
      <c r="D633" t="str">
        <f>_xlfn.XLOOKUP($A:$A,Instagram_Usage_Lifestyle_Mini_!$A:$A,Instagram_Usage_Lifestyle_Mini_!$C:$K)</f>
        <v>Male</v>
      </c>
      <c r="E633" t="str">
        <f>_xlfn.XLOOKUP($A:$A,Instagram_Usage_Lifestyle_Mini_!$A:$A,Instagram_Usage_Lifestyle_Mini_!$C:$K)</f>
        <v>India</v>
      </c>
      <c r="F633" t="str">
        <f>_xlfn.XLOOKUP($A:$A,Instagram_Usage_Lifestyle_Mini_!$A:$A,Instagram_Usage_Lifestyle_Mini_!$C:$K)</f>
        <v>Urban</v>
      </c>
      <c r="G633" t="str">
        <f>_xlfn.XLOOKUP($A:$A,Instagram_Usage_Lifestyle_Mini_!$A:$A,Instagram_Usage_Lifestyle_Mini_!$C:$K)</f>
        <v>Lower_middle</v>
      </c>
      <c r="H633" t="str">
        <f>_xlfn.XLOOKUP($A:$A,Instagram_Usage_Lifestyle_Mini_!$A:$A,Instagram_Usage_Lifestyle_Mini_!$C:$K)</f>
        <v>Full_time_employed</v>
      </c>
      <c r="I633" t="str">
        <f>_xlfn.XLOOKUP($A:$A,Instagram_Usage_Lifestyle_Mini_!$A:$A,Instagram_Usage_Lifestyle_Mini_!$C:$K)</f>
        <v>High_school</v>
      </c>
      <c r="J633" t="str">
        <f>_xlfn.XLOOKUP($A:$A,Instagram_Usage_Lifestyle_Mini_!$A:$A,Instagram_Usage_Lifestyle_Mini_!$C:$K)</f>
        <v>Married</v>
      </c>
      <c r="K633" t="str">
        <f>_xlfn.XLOOKUP($A:$A,Instagram_Usage_Lifestyle_Mini_!$A:$A,Instagram_Usage_Lifestyle_Mini_!$C:$K)</f>
        <v>Yes</v>
      </c>
      <c r="L633" t="str" cm="1">
        <f t="array" ref="L633">_xlfn.IFS(C633&lt;18,"Under_18",C633&lt;=25,"Youth",C633&lt;=35,"Young_Adults",C633&lt;=45,"Mid_Adults",TRUE,"Seniors")</f>
        <v>Mid_Adults</v>
      </c>
    </row>
    <row r="634" spans="1:12" x14ac:dyDescent="0.2">
      <c r="A634">
        <v>633</v>
      </c>
      <c r="B634" t="str">
        <f>_xlfn.XLOOKUP(A634,Instagram_Usage_Lifestyle_Mini_!A634,Instagram_Usage_Lifestyle_Mini_!B634,1)</f>
        <v>Instagram</v>
      </c>
      <c r="C634">
        <f>_xlfn.XLOOKUP($A:$A,Instagram_Usage_Lifestyle_Mini_!$A:$A,Instagram_Usage_Lifestyle_Mini_!$C:$K)</f>
        <v>49</v>
      </c>
      <c r="D634" t="str">
        <f>_xlfn.XLOOKUP($A:$A,Instagram_Usage_Lifestyle_Mini_!$A:$A,Instagram_Usage_Lifestyle_Mini_!$C:$K)</f>
        <v>Male</v>
      </c>
      <c r="E634" t="str">
        <f>_xlfn.XLOOKUP($A:$A,Instagram_Usage_Lifestyle_Mini_!$A:$A,Instagram_Usage_Lifestyle_Mini_!$C:$K)</f>
        <v>Brazil</v>
      </c>
      <c r="F634" t="str">
        <f>_xlfn.XLOOKUP($A:$A,Instagram_Usage_Lifestyle_Mini_!$A:$A,Instagram_Usage_Lifestyle_Mini_!$C:$K)</f>
        <v>Rural</v>
      </c>
      <c r="G634" t="str">
        <f>_xlfn.XLOOKUP($A:$A,Instagram_Usage_Lifestyle_Mini_!$A:$A,Instagram_Usage_Lifestyle_Mini_!$C:$K)</f>
        <v>Middle</v>
      </c>
      <c r="H634" t="str">
        <f>_xlfn.XLOOKUP($A:$A,Instagram_Usage_Lifestyle_Mini_!$A:$A,Instagram_Usage_Lifestyle_Mini_!$C:$K)</f>
        <v>Student</v>
      </c>
      <c r="I634" t="str">
        <f>_xlfn.XLOOKUP($A:$A,Instagram_Usage_Lifestyle_Mini_!$A:$A,Instagram_Usage_Lifestyle_Mini_!$C:$K)</f>
        <v>Bachelors_degree</v>
      </c>
      <c r="J634" t="str">
        <f>_xlfn.XLOOKUP($A:$A,Instagram_Usage_Lifestyle_Mini_!$A:$A,Instagram_Usage_Lifestyle_Mini_!$C:$K)</f>
        <v>Single</v>
      </c>
      <c r="K634" t="str">
        <f>_xlfn.XLOOKUP($A:$A,Instagram_Usage_Lifestyle_Mini_!$A:$A,Instagram_Usage_Lifestyle_Mini_!$C:$K)</f>
        <v>No</v>
      </c>
      <c r="L634" t="str" cm="1">
        <f t="array" ref="L634">_xlfn.IFS(C634&lt;18,"Under_18",C634&lt;=25,"Youth",C634&lt;=35,"Young_Adults",C634&lt;=45,"Mid_Adults",TRUE,"Seniors")</f>
        <v>Seniors</v>
      </c>
    </row>
    <row r="635" spans="1:12" x14ac:dyDescent="0.2">
      <c r="A635">
        <v>634</v>
      </c>
      <c r="B635" t="str">
        <f>_xlfn.XLOOKUP(A635,Instagram_Usage_Lifestyle_Mini_!A635,Instagram_Usage_Lifestyle_Mini_!B635,1)</f>
        <v>Instagram</v>
      </c>
      <c r="C635">
        <f>_xlfn.XLOOKUP($A:$A,Instagram_Usage_Lifestyle_Mini_!$A:$A,Instagram_Usage_Lifestyle_Mini_!$C:$K)</f>
        <v>24</v>
      </c>
      <c r="D635" t="str">
        <f>_xlfn.XLOOKUP($A:$A,Instagram_Usage_Lifestyle_Mini_!$A:$A,Instagram_Usage_Lifestyle_Mini_!$C:$K)</f>
        <v>Male</v>
      </c>
      <c r="E635" t="str">
        <f>_xlfn.XLOOKUP($A:$A,Instagram_Usage_Lifestyle_Mini_!$A:$A,Instagram_Usage_Lifestyle_Mini_!$C:$K)</f>
        <v>India</v>
      </c>
      <c r="F635" t="str">
        <f>_xlfn.XLOOKUP($A:$A,Instagram_Usage_Lifestyle_Mini_!$A:$A,Instagram_Usage_Lifestyle_Mini_!$C:$K)</f>
        <v>Urban</v>
      </c>
      <c r="G635" t="str">
        <f>_xlfn.XLOOKUP($A:$A,Instagram_Usage_Lifestyle_Mini_!$A:$A,Instagram_Usage_Lifestyle_Mini_!$C:$K)</f>
        <v>Lower_middle</v>
      </c>
      <c r="H635" t="str">
        <f>_xlfn.XLOOKUP($A:$A,Instagram_Usage_Lifestyle_Mini_!$A:$A,Instagram_Usage_Lifestyle_Mini_!$C:$K)</f>
        <v>Part_time</v>
      </c>
      <c r="I635" t="str">
        <f>_xlfn.XLOOKUP($A:$A,Instagram_Usage_Lifestyle_Mini_!$A:$A,Instagram_Usage_Lifestyle_Mini_!$C:$K)</f>
        <v>Other</v>
      </c>
      <c r="J635" t="str">
        <f>_xlfn.XLOOKUP($A:$A,Instagram_Usage_Lifestyle_Mini_!$A:$A,Instagram_Usage_Lifestyle_Mini_!$C:$K)</f>
        <v>In_a_relationship</v>
      </c>
      <c r="K635" t="str">
        <f>_xlfn.XLOOKUP($A:$A,Instagram_Usage_Lifestyle_Mini_!$A:$A,Instagram_Usage_Lifestyle_Mini_!$C:$K)</f>
        <v>No</v>
      </c>
      <c r="L635" t="str" cm="1">
        <f t="array" ref="L635">_xlfn.IFS(C635&lt;18,"Under_18",C635&lt;=25,"Youth",C635&lt;=35,"Young_Adults",C635&lt;=45,"Mid_Adults",TRUE,"Seniors")</f>
        <v>Youth</v>
      </c>
    </row>
    <row r="636" spans="1:12" x14ac:dyDescent="0.2">
      <c r="A636">
        <v>635</v>
      </c>
      <c r="B636" t="str">
        <f>_xlfn.XLOOKUP(A636,Instagram_Usage_Lifestyle_Mini_!A636,Instagram_Usage_Lifestyle_Mini_!B636,1)</f>
        <v>Instagram</v>
      </c>
      <c r="C636">
        <f>_xlfn.XLOOKUP($A:$A,Instagram_Usage_Lifestyle_Mini_!$A:$A,Instagram_Usage_Lifestyle_Mini_!$C:$K)</f>
        <v>61</v>
      </c>
      <c r="D636" t="str">
        <f>_xlfn.XLOOKUP($A:$A,Instagram_Usage_Lifestyle_Mini_!$A:$A,Instagram_Usage_Lifestyle_Mini_!$C:$K)</f>
        <v>Male</v>
      </c>
      <c r="E636" t="str">
        <f>_xlfn.XLOOKUP($A:$A,Instagram_Usage_Lifestyle_Mini_!$A:$A,Instagram_Usage_Lifestyle_Mini_!$C:$K)</f>
        <v>United _Kingdom</v>
      </c>
      <c r="F636" t="str">
        <f>_xlfn.XLOOKUP($A:$A,Instagram_Usage_Lifestyle_Mini_!$A:$A,Instagram_Usage_Lifestyle_Mini_!$C:$K)</f>
        <v>Urban</v>
      </c>
      <c r="G636" t="str">
        <f>_xlfn.XLOOKUP($A:$A,Instagram_Usage_Lifestyle_Mini_!$A:$A,Instagram_Usage_Lifestyle_Mini_!$C:$K)</f>
        <v>Middle</v>
      </c>
      <c r="H636" t="str">
        <f>_xlfn.XLOOKUP($A:$A,Instagram_Usage_Lifestyle_Mini_!$A:$A,Instagram_Usage_Lifestyle_Mini_!$C:$K)</f>
        <v>Full_time_employed</v>
      </c>
      <c r="I636" t="str">
        <f>_xlfn.XLOOKUP($A:$A,Instagram_Usage_Lifestyle_Mini_!$A:$A,Instagram_Usage_Lifestyle_Mini_!$C:$K)</f>
        <v>Bachelors_degree</v>
      </c>
      <c r="J636" t="str">
        <f>_xlfn.XLOOKUP($A:$A,Instagram_Usage_Lifestyle_Mini_!$A:$A,Instagram_Usage_Lifestyle_Mini_!$C:$K)</f>
        <v>Single</v>
      </c>
      <c r="K636" t="str">
        <f>_xlfn.XLOOKUP($A:$A,Instagram_Usage_Lifestyle_Mini_!$A:$A,Instagram_Usage_Lifestyle_Mini_!$C:$K)</f>
        <v>No</v>
      </c>
      <c r="L636" t="str" cm="1">
        <f t="array" ref="L636">_xlfn.IFS(C636&lt;18,"Under_18",C636&lt;=25,"Youth",C636&lt;=35,"Young_Adults",C636&lt;=45,"Mid_Adults",TRUE,"Seniors")</f>
        <v>Seniors</v>
      </c>
    </row>
    <row r="637" spans="1:12" x14ac:dyDescent="0.2">
      <c r="A637">
        <v>636</v>
      </c>
      <c r="B637" t="str">
        <f>_xlfn.XLOOKUP(A637,Instagram_Usage_Lifestyle_Mini_!A637,Instagram_Usage_Lifestyle_Mini_!B637,1)</f>
        <v>Instagram</v>
      </c>
      <c r="C637">
        <f>_xlfn.XLOOKUP($A:$A,Instagram_Usage_Lifestyle_Mini_!$A:$A,Instagram_Usage_Lifestyle_Mini_!$C:$K)</f>
        <v>25</v>
      </c>
      <c r="D637" t="str">
        <f>_xlfn.XLOOKUP($A:$A,Instagram_Usage_Lifestyle_Mini_!$A:$A,Instagram_Usage_Lifestyle_Mini_!$C:$K)</f>
        <v>Non_binary</v>
      </c>
      <c r="E637" t="str">
        <f>_xlfn.XLOOKUP($A:$A,Instagram_Usage_Lifestyle_Mini_!$A:$A,Instagram_Usage_Lifestyle_Mini_!$C:$K)</f>
        <v>South_Korea</v>
      </c>
      <c r="F637" t="str">
        <f>_xlfn.XLOOKUP($A:$A,Instagram_Usage_Lifestyle_Mini_!$A:$A,Instagram_Usage_Lifestyle_Mini_!$C:$K)</f>
        <v>Suburban</v>
      </c>
      <c r="G637" t="str">
        <f>_xlfn.XLOOKUP($A:$A,Instagram_Usage_Lifestyle_Mini_!$A:$A,Instagram_Usage_Lifestyle_Mini_!$C:$K)</f>
        <v>Middle</v>
      </c>
      <c r="H637" t="str">
        <f>_xlfn.XLOOKUP($A:$A,Instagram_Usage_Lifestyle_Mini_!$A:$A,Instagram_Usage_Lifestyle_Mini_!$C:$K)</f>
        <v>Student</v>
      </c>
      <c r="I637" t="str">
        <f>_xlfn.XLOOKUP($A:$A,Instagram_Usage_Lifestyle_Mini_!$A:$A,Instagram_Usage_Lifestyle_Mini_!$C:$K)</f>
        <v>High_school</v>
      </c>
      <c r="J637" t="str">
        <f>_xlfn.XLOOKUP($A:$A,Instagram_Usage_Lifestyle_Mini_!$A:$A,Instagram_Usage_Lifestyle_Mini_!$C:$K)</f>
        <v>Divorced</v>
      </c>
      <c r="K637" t="str">
        <f>_xlfn.XLOOKUP($A:$A,Instagram_Usage_Lifestyle_Mini_!$A:$A,Instagram_Usage_Lifestyle_Mini_!$C:$K)</f>
        <v>No</v>
      </c>
      <c r="L637" t="str" cm="1">
        <f t="array" ref="L637">_xlfn.IFS(C637&lt;18,"Under_18",C637&lt;=25,"Youth",C637&lt;=35,"Young_Adults",C637&lt;=45,"Mid_Adults",TRUE,"Seniors")</f>
        <v>Youth</v>
      </c>
    </row>
    <row r="638" spans="1:12" x14ac:dyDescent="0.2">
      <c r="A638">
        <v>637</v>
      </c>
      <c r="B638" t="str">
        <f>_xlfn.XLOOKUP(A638,Instagram_Usage_Lifestyle_Mini_!A638,Instagram_Usage_Lifestyle_Mini_!B638,1)</f>
        <v>Instagram</v>
      </c>
      <c r="C638">
        <f>_xlfn.XLOOKUP($A:$A,Instagram_Usage_Lifestyle_Mini_!$A:$A,Instagram_Usage_Lifestyle_Mini_!$C:$K)</f>
        <v>35</v>
      </c>
      <c r="D638" t="str">
        <f>_xlfn.XLOOKUP($A:$A,Instagram_Usage_Lifestyle_Mini_!$A:$A,Instagram_Usage_Lifestyle_Mini_!$C:$K)</f>
        <v>Male</v>
      </c>
      <c r="E638" t="str">
        <f>_xlfn.XLOOKUP($A:$A,Instagram_Usage_Lifestyle_Mini_!$A:$A,Instagram_Usage_Lifestyle_Mini_!$C:$K)</f>
        <v>Australia</v>
      </c>
      <c r="F638" t="str">
        <f>_xlfn.XLOOKUP($A:$A,Instagram_Usage_Lifestyle_Mini_!$A:$A,Instagram_Usage_Lifestyle_Mini_!$C:$K)</f>
        <v>Urban</v>
      </c>
      <c r="G638" t="str">
        <f>_xlfn.XLOOKUP($A:$A,Instagram_Usage_Lifestyle_Mini_!$A:$A,Instagram_Usage_Lifestyle_Mini_!$C:$K)</f>
        <v>Middle</v>
      </c>
      <c r="H638" t="str">
        <f>_xlfn.XLOOKUP($A:$A,Instagram_Usage_Lifestyle_Mini_!$A:$A,Instagram_Usage_Lifestyle_Mini_!$C:$K)</f>
        <v>Freelancer</v>
      </c>
      <c r="I638" t="str">
        <f>_xlfn.XLOOKUP($A:$A,Instagram_Usage_Lifestyle_Mini_!$A:$A,Instagram_Usage_Lifestyle_Mini_!$C:$K)</f>
        <v>High_school</v>
      </c>
      <c r="J638" t="str">
        <f>_xlfn.XLOOKUP($A:$A,Instagram_Usage_Lifestyle_Mini_!$A:$A,Instagram_Usage_Lifestyle_Mini_!$C:$K)</f>
        <v>Single</v>
      </c>
      <c r="K638" t="str">
        <f>_xlfn.XLOOKUP($A:$A,Instagram_Usage_Lifestyle_Mini_!$A:$A,Instagram_Usage_Lifestyle_Mini_!$C:$K)</f>
        <v>No</v>
      </c>
      <c r="L638" t="str" cm="1">
        <f t="array" ref="L638">_xlfn.IFS(C638&lt;18,"Under_18",C638&lt;=25,"Youth",C638&lt;=35,"Young_Adults",C638&lt;=45,"Mid_Adults",TRUE,"Seniors")</f>
        <v>Young_Adults</v>
      </c>
    </row>
    <row r="639" spans="1:12" x14ac:dyDescent="0.2">
      <c r="A639">
        <v>638</v>
      </c>
      <c r="B639" t="str">
        <f>_xlfn.XLOOKUP(A639,Instagram_Usage_Lifestyle_Mini_!A639,Instagram_Usage_Lifestyle_Mini_!B639,1)</f>
        <v>Instagram</v>
      </c>
      <c r="C639">
        <f>_xlfn.XLOOKUP($A:$A,Instagram_Usage_Lifestyle_Mini_!$A:$A,Instagram_Usage_Lifestyle_Mini_!$C:$K)</f>
        <v>37</v>
      </c>
      <c r="D639" t="str">
        <f>_xlfn.XLOOKUP($A:$A,Instagram_Usage_Lifestyle_Mini_!$A:$A,Instagram_Usage_Lifestyle_Mini_!$C:$K)</f>
        <v>Male</v>
      </c>
      <c r="E639" t="str">
        <f>_xlfn.XLOOKUP($A:$A,Instagram_Usage_Lifestyle_Mini_!$A:$A,Instagram_Usage_Lifestyle_Mini_!$C:$K)</f>
        <v>United_States</v>
      </c>
      <c r="F639" t="str">
        <f>_xlfn.XLOOKUP($A:$A,Instagram_Usage_Lifestyle_Mini_!$A:$A,Instagram_Usage_Lifestyle_Mini_!$C:$K)</f>
        <v>Urban</v>
      </c>
      <c r="G639" t="str">
        <f>_xlfn.XLOOKUP($A:$A,Instagram_Usage_Lifestyle_Mini_!$A:$A,Instagram_Usage_Lifestyle_Mini_!$C:$K)</f>
        <v>High</v>
      </c>
      <c r="H639" t="str">
        <f>_xlfn.XLOOKUP($A:$A,Instagram_Usage_Lifestyle_Mini_!$A:$A,Instagram_Usage_Lifestyle_Mini_!$C:$K)</f>
        <v>Full_time_employed</v>
      </c>
      <c r="I639" t="str">
        <f>_xlfn.XLOOKUP($A:$A,Instagram_Usage_Lifestyle_Mini_!$A:$A,Instagram_Usage_Lifestyle_Mini_!$C:$K)</f>
        <v>High_school</v>
      </c>
      <c r="J639" t="str">
        <f>_xlfn.XLOOKUP($A:$A,Instagram_Usage_Lifestyle_Mini_!$A:$A,Instagram_Usage_Lifestyle_Mini_!$C:$K)</f>
        <v>Married</v>
      </c>
      <c r="K639" t="str">
        <f>_xlfn.XLOOKUP($A:$A,Instagram_Usage_Lifestyle_Mini_!$A:$A,Instagram_Usage_Lifestyle_Mini_!$C:$K)</f>
        <v>No</v>
      </c>
      <c r="L639" t="str" cm="1">
        <f t="array" ref="L639">_xlfn.IFS(C639&lt;18,"Under_18",C639&lt;=25,"Youth",C639&lt;=35,"Young_Adults",C639&lt;=45,"Mid_Adults",TRUE,"Seniors")</f>
        <v>Mid_Adults</v>
      </c>
    </row>
    <row r="640" spans="1:12" x14ac:dyDescent="0.2">
      <c r="A640">
        <v>639</v>
      </c>
      <c r="B640" t="str">
        <f>_xlfn.XLOOKUP(A640,Instagram_Usage_Lifestyle_Mini_!A640,Instagram_Usage_Lifestyle_Mini_!B640,1)</f>
        <v>Instagram</v>
      </c>
      <c r="C640">
        <f>_xlfn.XLOOKUP($A:$A,Instagram_Usage_Lifestyle_Mini_!$A:$A,Instagram_Usage_Lifestyle_Mini_!$C:$K)</f>
        <v>47</v>
      </c>
      <c r="D640" t="str">
        <f>_xlfn.XLOOKUP($A:$A,Instagram_Usage_Lifestyle_Mini_!$A:$A,Instagram_Usage_Lifestyle_Mini_!$C:$K)</f>
        <v>Male</v>
      </c>
      <c r="E640" t="str">
        <f>_xlfn.XLOOKUP($A:$A,Instagram_Usage_Lifestyle_Mini_!$A:$A,Instagram_Usage_Lifestyle_Mini_!$C:$K)</f>
        <v>India</v>
      </c>
      <c r="F640" t="str">
        <f>_xlfn.XLOOKUP($A:$A,Instagram_Usage_Lifestyle_Mini_!$A:$A,Instagram_Usage_Lifestyle_Mini_!$C:$K)</f>
        <v>Suburban</v>
      </c>
      <c r="G640" t="str">
        <f>_xlfn.XLOOKUP($A:$A,Instagram_Usage_Lifestyle_Mini_!$A:$A,Instagram_Usage_Lifestyle_Mini_!$C:$K)</f>
        <v>High</v>
      </c>
      <c r="H640" t="str">
        <f>_xlfn.XLOOKUP($A:$A,Instagram_Usage_Lifestyle_Mini_!$A:$A,Instagram_Usage_Lifestyle_Mini_!$C:$K)</f>
        <v>Full_time_employed</v>
      </c>
      <c r="I640" t="str">
        <f>_xlfn.XLOOKUP($A:$A,Instagram_Usage_Lifestyle_Mini_!$A:$A,Instagram_Usage_Lifestyle_Mini_!$C:$K)</f>
        <v>Masters_degree</v>
      </c>
      <c r="J640" t="str">
        <f>_xlfn.XLOOKUP($A:$A,Instagram_Usage_Lifestyle_Mini_!$A:$A,Instagram_Usage_Lifestyle_Mini_!$C:$K)</f>
        <v>Single</v>
      </c>
      <c r="K640" t="str">
        <f>_xlfn.XLOOKUP($A:$A,Instagram_Usage_Lifestyle_Mini_!$A:$A,Instagram_Usage_Lifestyle_Mini_!$C:$K)</f>
        <v>Yes</v>
      </c>
      <c r="L640" t="str" cm="1">
        <f t="array" ref="L640">_xlfn.IFS(C640&lt;18,"Under_18",C640&lt;=25,"Youth",C640&lt;=35,"Young_Adults",C640&lt;=45,"Mid_Adults",TRUE,"Seniors")</f>
        <v>Seniors</v>
      </c>
    </row>
    <row r="641" spans="1:12" x14ac:dyDescent="0.2">
      <c r="A641">
        <v>640</v>
      </c>
      <c r="B641" t="str">
        <f>_xlfn.XLOOKUP(A641,Instagram_Usage_Lifestyle_Mini_!A641,Instagram_Usage_Lifestyle_Mini_!B641,1)</f>
        <v>Instagram</v>
      </c>
      <c r="C641">
        <f>_xlfn.XLOOKUP($A:$A,Instagram_Usage_Lifestyle_Mini_!$A:$A,Instagram_Usage_Lifestyle_Mini_!$C:$K)</f>
        <v>53</v>
      </c>
      <c r="D641" t="str">
        <f>_xlfn.XLOOKUP($A:$A,Instagram_Usage_Lifestyle_Mini_!$A:$A,Instagram_Usage_Lifestyle_Mini_!$C:$K)</f>
        <v>Male</v>
      </c>
      <c r="E641" t="str">
        <f>_xlfn.XLOOKUP($A:$A,Instagram_Usage_Lifestyle_Mini_!$A:$A,Instagram_Usage_Lifestyle_Mini_!$C:$K)</f>
        <v>India</v>
      </c>
      <c r="F641" t="str">
        <f>_xlfn.XLOOKUP($A:$A,Instagram_Usage_Lifestyle_Mini_!$A:$A,Instagram_Usage_Lifestyle_Mini_!$C:$K)</f>
        <v>Urban</v>
      </c>
      <c r="G641" t="str">
        <f>_xlfn.XLOOKUP($A:$A,Instagram_Usage_Lifestyle_Mini_!$A:$A,Instagram_Usage_Lifestyle_Mini_!$C:$K)</f>
        <v>Middle</v>
      </c>
      <c r="H641" t="str">
        <f>_xlfn.XLOOKUP($A:$A,Instagram_Usage_Lifestyle_Mini_!$A:$A,Instagram_Usage_Lifestyle_Mini_!$C:$K)</f>
        <v>Student</v>
      </c>
      <c r="I641" t="str">
        <f>_xlfn.XLOOKUP($A:$A,Instagram_Usage_Lifestyle_Mini_!$A:$A,Instagram_Usage_Lifestyle_Mini_!$C:$K)</f>
        <v>High_school</v>
      </c>
      <c r="J641" t="str">
        <f>_xlfn.XLOOKUP($A:$A,Instagram_Usage_Lifestyle_Mini_!$A:$A,Instagram_Usage_Lifestyle_Mini_!$C:$K)</f>
        <v>Single</v>
      </c>
      <c r="K641" t="str">
        <f>_xlfn.XLOOKUP($A:$A,Instagram_Usage_Lifestyle_Mini_!$A:$A,Instagram_Usage_Lifestyle_Mini_!$C:$K)</f>
        <v>Yes</v>
      </c>
      <c r="L641" t="str" cm="1">
        <f t="array" ref="L641">_xlfn.IFS(C641&lt;18,"Under_18",C641&lt;=25,"Youth",C641&lt;=35,"Young_Adults",C641&lt;=45,"Mid_Adults",TRUE,"Seniors")</f>
        <v>Seniors</v>
      </c>
    </row>
    <row r="642" spans="1:12" x14ac:dyDescent="0.2">
      <c r="A642">
        <v>641</v>
      </c>
      <c r="B642" t="str">
        <f>_xlfn.XLOOKUP(A642,Instagram_Usage_Lifestyle_Mini_!A642,Instagram_Usage_Lifestyle_Mini_!B642,1)</f>
        <v>Instagram</v>
      </c>
      <c r="C642">
        <f>_xlfn.XLOOKUP($A:$A,Instagram_Usage_Lifestyle_Mini_!$A:$A,Instagram_Usage_Lifestyle_Mini_!$C:$K)</f>
        <v>42</v>
      </c>
      <c r="D642" t="str">
        <f>_xlfn.XLOOKUP($A:$A,Instagram_Usage_Lifestyle_Mini_!$A:$A,Instagram_Usage_Lifestyle_Mini_!$C:$K)</f>
        <v>Female</v>
      </c>
      <c r="E642" t="str">
        <f>_xlfn.XLOOKUP($A:$A,Instagram_Usage_Lifestyle_Mini_!$A:$A,Instagram_Usage_Lifestyle_Mini_!$C:$K)</f>
        <v>United_States</v>
      </c>
      <c r="F642" t="str">
        <f>_xlfn.XLOOKUP($A:$A,Instagram_Usage_Lifestyle_Mini_!$A:$A,Instagram_Usage_Lifestyle_Mini_!$C:$K)</f>
        <v>Rural</v>
      </c>
      <c r="G642" t="str">
        <f>_xlfn.XLOOKUP($A:$A,Instagram_Usage_Lifestyle_Mini_!$A:$A,Instagram_Usage_Lifestyle_Mini_!$C:$K)</f>
        <v>Low</v>
      </c>
      <c r="H642" t="str">
        <f>_xlfn.XLOOKUP($A:$A,Instagram_Usage_Lifestyle_Mini_!$A:$A,Instagram_Usage_Lifestyle_Mini_!$C:$K)</f>
        <v>Freelancer</v>
      </c>
      <c r="I642" t="str">
        <f>_xlfn.XLOOKUP($A:$A,Instagram_Usage_Lifestyle_Mini_!$A:$A,Instagram_Usage_Lifestyle_Mini_!$C:$K)</f>
        <v>High_school</v>
      </c>
      <c r="J642" t="str">
        <f>_xlfn.XLOOKUP($A:$A,Instagram_Usage_Lifestyle_Mini_!$A:$A,Instagram_Usage_Lifestyle_Mini_!$C:$K)</f>
        <v>In_a_relationship</v>
      </c>
      <c r="K642" t="str">
        <f>_xlfn.XLOOKUP($A:$A,Instagram_Usage_Lifestyle_Mini_!$A:$A,Instagram_Usage_Lifestyle_Mini_!$C:$K)</f>
        <v>Yes</v>
      </c>
      <c r="L642" t="str" cm="1">
        <f t="array" ref="L642">_xlfn.IFS(C642&lt;18,"Under_18",C642&lt;=25,"Youth",C642&lt;=35,"Young_Adults",C642&lt;=45,"Mid_Adults",TRUE,"Seniors")</f>
        <v>Mid_Adults</v>
      </c>
    </row>
    <row r="643" spans="1:12" x14ac:dyDescent="0.2">
      <c r="A643">
        <v>642</v>
      </c>
      <c r="B643" t="str">
        <f>_xlfn.XLOOKUP(A643,Instagram_Usage_Lifestyle_Mini_!A643,Instagram_Usage_Lifestyle_Mini_!B643,1)</f>
        <v>Instagram</v>
      </c>
      <c r="C643">
        <f>_xlfn.XLOOKUP($A:$A,Instagram_Usage_Lifestyle_Mini_!$A:$A,Instagram_Usage_Lifestyle_Mini_!$C:$K)</f>
        <v>29</v>
      </c>
      <c r="D643" t="str">
        <f>_xlfn.XLOOKUP($A:$A,Instagram_Usage_Lifestyle_Mini_!$A:$A,Instagram_Usage_Lifestyle_Mini_!$C:$K)</f>
        <v>Male</v>
      </c>
      <c r="E643" t="str">
        <f>_xlfn.XLOOKUP($A:$A,Instagram_Usage_Lifestyle_Mini_!$A:$A,Instagram_Usage_Lifestyle_Mini_!$C:$K)</f>
        <v>United_States</v>
      </c>
      <c r="F643" t="str">
        <f>_xlfn.XLOOKUP($A:$A,Instagram_Usage_Lifestyle_Mini_!$A:$A,Instagram_Usage_Lifestyle_Mini_!$C:$K)</f>
        <v>Urban</v>
      </c>
      <c r="G643" t="str">
        <f>_xlfn.XLOOKUP($A:$A,Instagram_Usage_Lifestyle_Mini_!$A:$A,Instagram_Usage_Lifestyle_Mini_!$C:$K)</f>
        <v>Low</v>
      </c>
      <c r="H643" t="str">
        <f>_xlfn.XLOOKUP($A:$A,Instagram_Usage_Lifestyle_Mini_!$A:$A,Instagram_Usage_Lifestyle_Mini_!$C:$K)</f>
        <v>Retired</v>
      </c>
      <c r="I643" t="str">
        <f>_xlfn.XLOOKUP($A:$A,Instagram_Usage_Lifestyle_Mini_!$A:$A,Instagram_Usage_Lifestyle_Mini_!$C:$K)</f>
        <v>Some_college</v>
      </c>
      <c r="J643" t="str">
        <f>_xlfn.XLOOKUP($A:$A,Instagram_Usage_Lifestyle_Mini_!$A:$A,Instagram_Usage_Lifestyle_Mini_!$C:$K)</f>
        <v>Single</v>
      </c>
      <c r="K643" t="str">
        <f>_xlfn.XLOOKUP($A:$A,Instagram_Usage_Lifestyle_Mini_!$A:$A,Instagram_Usage_Lifestyle_Mini_!$C:$K)</f>
        <v>No</v>
      </c>
      <c r="L643" t="str" cm="1">
        <f t="array" ref="L643">_xlfn.IFS(C643&lt;18,"Under_18",C643&lt;=25,"Youth",C643&lt;=35,"Young_Adults",C643&lt;=45,"Mid_Adults",TRUE,"Seniors")</f>
        <v>Young_Adults</v>
      </c>
    </row>
    <row r="644" spans="1:12" x14ac:dyDescent="0.2">
      <c r="A644">
        <v>643</v>
      </c>
      <c r="B644" t="str">
        <f>_xlfn.XLOOKUP(A644,Instagram_Usage_Lifestyle_Mini_!A644,Instagram_Usage_Lifestyle_Mini_!B644,1)</f>
        <v>Instagram</v>
      </c>
      <c r="C644">
        <f>_xlfn.XLOOKUP($A:$A,Instagram_Usage_Lifestyle_Mini_!$A:$A,Instagram_Usage_Lifestyle_Mini_!$C:$K)</f>
        <v>61</v>
      </c>
      <c r="D644" t="str">
        <f>_xlfn.XLOOKUP($A:$A,Instagram_Usage_Lifestyle_Mini_!$A:$A,Instagram_Usage_Lifestyle_Mini_!$C:$K)</f>
        <v>Female</v>
      </c>
      <c r="E644" t="str">
        <f>_xlfn.XLOOKUP($A:$A,Instagram_Usage_Lifestyle_Mini_!$A:$A,Instagram_Usage_Lifestyle_Mini_!$C:$K)</f>
        <v>United_States</v>
      </c>
      <c r="F644" t="str">
        <f>_xlfn.XLOOKUP($A:$A,Instagram_Usage_Lifestyle_Mini_!$A:$A,Instagram_Usage_Lifestyle_Mini_!$C:$K)</f>
        <v>Urban</v>
      </c>
      <c r="G644" t="str">
        <f>_xlfn.XLOOKUP($A:$A,Instagram_Usage_Lifestyle_Mini_!$A:$A,Instagram_Usage_Lifestyle_Mini_!$C:$K)</f>
        <v>Low</v>
      </c>
      <c r="H644" t="str">
        <f>_xlfn.XLOOKUP($A:$A,Instagram_Usage_Lifestyle_Mini_!$A:$A,Instagram_Usage_Lifestyle_Mini_!$C:$K)</f>
        <v>Full_time_employed</v>
      </c>
      <c r="I644" t="str">
        <f>_xlfn.XLOOKUP($A:$A,Instagram_Usage_Lifestyle_Mini_!$A:$A,Instagram_Usage_Lifestyle_Mini_!$C:$K)</f>
        <v>High_school</v>
      </c>
      <c r="J644" t="str">
        <f>_xlfn.XLOOKUP($A:$A,Instagram_Usage_Lifestyle_Mini_!$A:$A,Instagram_Usage_Lifestyle_Mini_!$C:$K)</f>
        <v>Married</v>
      </c>
      <c r="K644" t="str">
        <f>_xlfn.XLOOKUP($A:$A,Instagram_Usage_Lifestyle_Mini_!$A:$A,Instagram_Usage_Lifestyle_Mini_!$C:$K)</f>
        <v>No</v>
      </c>
      <c r="L644" t="str" cm="1">
        <f t="array" ref="L644">_xlfn.IFS(C644&lt;18,"Under_18",C644&lt;=25,"Youth",C644&lt;=35,"Young_Adults",C644&lt;=45,"Mid_Adults",TRUE,"Seniors")</f>
        <v>Seniors</v>
      </c>
    </row>
    <row r="645" spans="1:12" x14ac:dyDescent="0.2">
      <c r="A645">
        <v>644</v>
      </c>
      <c r="B645" t="str">
        <f>_xlfn.XLOOKUP(A645,Instagram_Usage_Lifestyle_Mini_!A645,Instagram_Usage_Lifestyle_Mini_!B645,1)</f>
        <v>Instagram</v>
      </c>
      <c r="C645">
        <f>_xlfn.XLOOKUP($A:$A,Instagram_Usage_Lifestyle_Mini_!$A:$A,Instagram_Usage_Lifestyle_Mini_!$C:$K)</f>
        <v>32</v>
      </c>
      <c r="D645" t="str">
        <f>_xlfn.XLOOKUP($A:$A,Instagram_Usage_Lifestyle_Mini_!$A:$A,Instagram_Usage_Lifestyle_Mini_!$C:$K)</f>
        <v>Female</v>
      </c>
      <c r="E645" t="str">
        <f>_xlfn.XLOOKUP($A:$A,Instagram_Usage_Lifestyle_Mini_!$A:$A,Instagram_Usage_Lifestyle_Mini_!$C:$K)</f>
        <v>Canada</v>
      </c>
      <c r="F645" t="str">
        <f>_xlfn.XLOOKUP($A:$A,Instagram_Usage_Lifestyle_Mini_!$A:$A,Instagram_Usage_Lifestyle_Mini_!$C:$K)</f>
        <v>Urban</v>
      </c>
      <c r="G645" t="str">
        <f>_xlfn.XLOOKUP($A:$A,Instagram_Usage_Lifestyle_Mini_!$A:$A,Instagram_Usage_Lifestyle_Mini_!$C:$K)</f>
        <v>Low</v>
      </c>
      <c r="H645" t="str">
        <f>_xlfn.XLOOKUP($A:$A,Instagram_Usage_Lifestyle_Mini_!$A:$A,Instagram_Usage_Lifestyle_Mini_!$C:$K)</f>
        <v>Student</v>
      </c>
      <c r="I645" t="str">
        <f>_xlfn.XLOOKUP($A:$A,Instagram_Usage_Lifestyle_Mini_!$A:$A,Instagram_Usage_Lifestyle_Mini_!$C:$K)</f>
        <v>Bachelors_degree</v>
      </c>
      <c r="J645" t="str">
        <f>_xlfn.XLOOKUP($A:$A,Instagram_Usage_Lifestyle_Mini_!$A:$A,Instagram_Usage_Lifestyle_Mini_!$C:$K)</f>
        <v>In_a_relationship</v>
      </c>
      <c r="K645" t="str">
        <f>_xlfn.XLOOKUP($A:$A,Instagram_Usage_Lifestyle_Mini_!$A:$A,Instagram_Usage_Lifestyle_Mini_!$C:$K)</f>
        <v>No</v>
      </c>
      <c r="L645" t="str" cm="1">
        <f t="array" ref="L645">_xlfn.IFS(C645&lt;18,"Under_18",C645&lt;=25,"Youth",C645&lt;=35,"Young_Adults",C645&lt;=45,"Mid_Adults",TRUE,"Seniors")</f>
        <v>Young_Adults</v>
      </c>
    </row>
    <row r="646" spans="1:12" x14ac:dyDescent="0.2">
      <c r="A646">
        <v>645</v>
      </c>
      <c r="B646" t="str">
        <f>_xlfn.XLOOKUP(A646,Instagram_Usage_Lifestyle_Mini_!A646,Instagram_Usage_Lifestyle_Mini_!B646,1)</f>
        <v>Instagram</v>
      </c>
      <c r="C646">
        <f>_xlfn.XLOOKUP($A:$A,Instagram_Usage_Lifestyle_Mini_!$A:$A,Instagram_Usage_Lifestyle_Mini_!$C:$K)</f>
        <v>60</v>
      </c>
      <c r="D646" t="str">
        <f>_xlfn.XLOOKUP($A:$A,Instagram_Usage_Lifestyle_Mini_!$A:$A,Instagram_Usage_Lifestyle_Mini_!$C:$K)</f>
        <v>Non_binary</v>
      </c>
      <c r="E646" t="str">
        <f>_xlfn.XLOOKUP($A:$A,Instagram_Usage_Lifestyle_Mini_!$A:$A,Instagram_Usage_Lifestyle_Mini_!$C:$K)</f>
        <v>India</v>
      </c>
      <c r="F646" t="str">
        <f>_xlfn.XLOOKUP($A:$A,Instagram_Usage_Lifestyle_Mini_!$A:$A,Instagram_Usage_Lifestyle_Mini_!$C:$K)</f>
        <v>Suburban</v>
      </c>
      <c r="G646" t="str">
        <f>_xlfn.XLOOKUP($A:$A,Instagram_Usage_Lifestyle_Mini_!$A:$A,Instagram_Usage_Lifestyle_Mini_!$C:$K)</f>
        <v>Middle</v>
      </c>
      <c r="H646" t="str">
        <f>_xlfn.XLOOKUP($A:$A,Instagram_Usage_Lifestyle_Mini_!$A:$A,Instagram_Usage_Lifestyle_Mini_!$C:$K)</f>
        <v>Full_time_employed</v>
      </c>
      <c r="I646" t="str">
        <f>_xlfn.XLOOKUP($A:$A,Instagram_Usage_Lifestyle_Mini_!$A:$A,Instagram_Usage_Lifestyle_Mini_!$C:$K)</f>
        <v>Bachelors_degree</v>
      </c>
      <c r="J646" t="str">
        <f>_xlfn.XLOOKUP($A:$A,Instagram_Usage_Lifestyle_Mini_!$A:$A,Instagram_Usage_Lifestyle_Mini_!$C:$K)</f>
        <v>Married</v>
      </c>
      <c r="K646" t="str">
        <f>_xlfn.XLOOKUP($A:$A,Instagram_Usage_Lifestyle_Mini_!$A:$A,Instagram_Usage_Lifestyle_Mini_!$C:$K)</f>
        <v>Yes</v>
      </c>
      <c r="L646" t="str" cm="1">
        <f t="array" ref="L646">_xlfn.IFS(C646&lt;18,"Under_18",C646&lt;=25,"Youth",C646&lt;=35,"Young_Adults",C646&lt;=45,"Mid_Adults",TRUE,"Seniors")</f>
        <v>Seniors</v>
      </c>
    </row>
    <row r="647" spans="1:12" x14ac:dyDescent="0.2">
      <c r="A647">
        <v>646</v>
      </c>
      <c r="B647" t="str">
        <f>_xlfn.XLOOKUP(A647,Instagram_Usage_Lifestyle_Mini_!A647,Instagram_Usage_Lifestyle_Mini_!B647,1)</f>
        <v>Instagram</v>
      </c>
      <c r="C647">
        <f>_xlfn.XLOOKUP($A:$A,Instagram_Usage_Lifestyle_Mini_!$A:$A,Instagram_Usage_Lifestyle_Mini_!$C:$K)</f>
        <v>37</v>
      </c>
      <c r="D647" t="str">
        <f>_xlfn.XLOOKUP($A:$A,Instagram_Usage_Lifestyle_Mini_!$A:$A,Instagram_Usage_Lifestyle_Mini_!$C:$K)</f>
        <v>Male</v>
      </c>
      <c r="E647" t="str">
        <f>_xlfn.XLOOKUP($A:$A,Instagram_Usage_Lifestyle_Mini_!$A:$A,Instagram_Usage_Lifestyle_Mini_!$C:$K)</f>
        <v>United_States</v>
      </c>
      <c r="F647" t="str">
        <f>_xlfn.XLOOKUP($A:$A,Instagram_Usage_Lifestyle_Mini_!$A:$A,Instagram_Usage_Lifestyle_Mini_!$C:$K)</f>
        <v>Urban</v>
      </c>
      <c r="G647" t="str">
        <f>_xlfn.XLOOKUP($A:$A,Instagram_Usage_Lifestyle_Mini_!$A:$A,Instagram_Usage_Lifestyle_Mini_!$C:$K)</f>
        <v>Low</v>
      </c>
      <c r="H647" t="str">
        <f>_xlfn.XLOOKUP($A:$A,Instagram_Usage_Lifestyle_Mini_!$A:$A,Instagram_Usage_Lifestyle_Mini_!$C:$K)</f>
        <v>Part_time</v>
      </c>
      <c r="I647" t="str">
        <f>_xlfn.XLOOKUP($A:$A,Instagram_Usage_Lifestyle_Mini_!$A:$A,Instagram_Usage_Lifestyle_Mini_!$C:$K)</f>
        <v>Bachelors_degree</v>
      </c>
      <c r="J647" t="str">
        <f>_xlfn.XLOOKUP($A:$A,Instagram_Usage_Lifestyle_Mini_!$A:$A,Instagram_Usage_Lifestyle_Mini_!$C:$K)</f>
        <v>In_a_relationship</v>
      </c>
      <c r="K647" t="str">
        <f>_xlfn.XLOOKUP($A:$A,Instagram_Usage_Lifestyle_Mini_!$A:$A,Instagram_Usage_Lifestyle_Mini_!$C:$K)</f>
        <v>Yes</v>
      </c>
      <c r="L647" t="str" cm="1">
        <f t="array" ref="L647">_xlfn.IFS(C647&lt;18,"Under_18",C647&lt;=25,"Youth",C647&lt;=35,"Young_Adults",C647&lt;=45,"Mid_Adults",TRUE,"Seniors")</f>
        <v>Mid_Adults</v>
      </c>
    </row>
    <row r="648" spans="1:12" x14ac:dyDescent="0.2">
      <c r="A648">
        <v>647</v>
      </c>
      <c r="B648" t="str">
        <f>_xlfn.XLOOKUP(A648,Instagram_Usage_Lifestyle_Mini_!A648,Instagram_Usage_Lifestyle_Mini_!B648,1)</f>
        <v>Instagram</v>
      </c>
      <c r="C648">
        <f>_xlfn.XLOOKUP($A:$A,Instagram_Usage_Lifestyle_Mini_!$A:$A,Instagram_Usage_Lifestyle_Mini_!$C:$K)</f>
        <v>34</v>
      </c>
      <c r="D648" t="str">
        <f>_xlfn.XLOOKUP($A:$A,Instagram_Usage_Lifestyle_Mini_!$A:$A,Instagram_Usage_Lifestyle_Mini_!$C:$K)</f>
        <v>Female</v>
      </c>
      <c r="E648" t="str">
        <f>_xlfn.XLOOKUP($A:$A,Instagram_Usage_Lifestyle_Mini_!$A:$A,Instagram_Usage_Lifestyle_Mini_!$C:$K)</f>
        <v>Germany</v>
      </c>
      <c r="F648" t="str">
        <f>_xlfn.XLOOKUP($A:$A,Instagram_Usage_Lifestyle_Mini_!$A:$A,Instagram_Usage_Lifestyle_Mini_!$C:$K)</f>
        <v>Urban</v>
      </c>
      <c r="G648" t="str">
        <f>_xlfn.XLOOKUP($A:$A,Instagram_Usage_Lifestyle_Mini_!$A:$A,Instagram_Usage_Lifestyle_Mini_!$C:$K)</f>
        <v>Upper_middle</v>
      </c>
      <c r="H648" t="str">
        <f>_xlfn.XLOOKUP($A:$A,Instagram_Usage_Lifestyle_Mini_!$A:$A,Instagram_Usage_Lifestyle_Mini_!$C:$K)</f>
        <v>Student</v>
      </c>
      <c r="I648" t="str">
        <f>_xlfn.XLOOKUP($A:$A,Instagram_Usage_Lifestyle_Mini_!$A:$A,Instagram_Usage_Lifestyle_Mini_!$C:$K)</f>
        <v>Bachelors_degree</v>
      </c>
      <c r="J648" t="str">
        <f>_xlfn.XLOOKUP($A:$A,Instagram_Usage_Lifestyle_Mini_!$A:$A,Instagram_Usage_Lifestyle_Mini_!$C:$K)</f>
        <v>In_a_relationship</v>
      </c>
      <c r="K648" t="str">
        <f>_xlfn.XLOOKUP($A:$A,Instagram_Usage_Lifestyle_Mini_!$A:$A,Instagram_Usage_Lifestyle_Mini_!$C:$K)</f>
        <v>No</v>
      </c>
      <c r="L648" t="str" cm="1">
        <f t="array" ref="L648">_xlfn.IFS(C648&lt;18,"Under_18",C648&lt;=25,"Youth",C648&lt;=35,"Young_Adults",C648&lt;=45,"Mid_Adults",TRUE,"Seniors")</f>
        <v>Young_Adults</v>
      </c>
    </row>
    <row r="649" spans="1:12" x14ac:dyDescent="0.2">
      <c r="A649">
        <v>648</v>
      </c>
      <c r="B649" t="str">
        <f>_xlfn.XLOOKUP(A649,Instagram_Usage_Lifestyle_Mini_!A649,Instagram_Usage_Lifestyle_Mini_!B649,1)</f>
        <v>Instagram</v>
      </c>
      <c r="C649">
        <f>_xlfn.XLOOKUP($A:$A,Instagram_Usage_Lifestyle_Mini_!$A:$A,Instagram_Usage_Lifestyle_Mini_!$C:$K)</f>
        <v>25</v>
      </c>
      <c r="D649" t="str">
        <f>_xlfn.XLOOKUP($A:$A,Instagram_Usage_Lifestyle_Mini_!$A:$A,Instagram_Usage_Lifestyle_Mini_!$C:$K)</f>
        <v>Male</v>
      </c>
      <c r="E649" t="str">
        <f>_xlfn.XLOOKUP($A:$A,Instagram_Usage_Lifestyle_Mini_!$A:$A,Instagram_Usage_Lifestyle_Mini_!$C:$K)</f>
        <v>India</v>
      </c>
      <c r="F649" t="str">
        <f>_xlfn.XLOOKUP($A:$A,Instagram_Usage_Lifestyle_Mini_!$A:$A,Instagram_Usage_Lifestyle_Mini_!$C:$K)</f>
        <v>Urban</v>
      </c>
      <c r="G649" t="str">
        <f>_xlfn.XLOOKUP($A:$A,Instagram_Usage_Lifestyle_Mini_!$A:$A,Instagram_Usage_Lifestyle_Mini_!$C:$K)</f>
        <v>Upper_middle</v>
      </c>
      <c r="H649" t="str">
        <f>_xlfn.XLOOKUP($A:$A,Instagram_Usage_Lifestyle_Mini_!$A:$A,Instagram_Usage_Lifestyle_Mini_!$C:$K)</f>
        <v>Full_time_employed</v>
      </c>
      <c r="I649" t="str">
        <f>_xlfn.XLOOKUP($A:$A,Instagram_Usage_Lifestyle_Mini_!$A:$A,Instagram_Usage_Lifestyle_Mini_!$C:$K)</f>
        <v>Bachelors_degree</v>
      </c>
      <c r="J649" t="str">
        <f>_xlfn.XLOOKUP($A:$A,Instagram_Usage_Lifestyle_Mini_!$A:$A,Instagram_Usage_Lifestyle_Mini_!$C:$K)</f>
        <v>Married</v>
      </c>
      <c r="K649" t="str">
        <f>_xlfn.XLOOKUP($A:$A,Instagram_Usage_Lifestyle_Mini_!$A:$A,Instagram_Usage_Lifestyle_Mini_!$C:$K)</f>
        <v>Yes</v>
      </c>
      <c r="L649" t="str" cm="1">
        <f t="array" ref="L649">_xlfn.IFS(C649&lt;18,"Under_18",C649&lt;=25,"Youth",C649&lt;=35,"Young_Adults",C649&lt;=45,"Mid_Adults",TRUE,"Seniors")</f>
        <v>Youth</v>
      </c>
    </row>
    <row r="650" spans="1:12" x14ac:dyDescent="0.2">
      <c r="A650">
        <v>649</v>
      </c>
      <c r="B650" t="str">
        <f>_xlfn.XLOOKUP(A650,Instagram_Usage_Lifestyle_Mini_!A650,Instagram_Usage_Lifestyle_Mini_!B650,1)</f>
        <v>Instagram</v>
      </c>
      <c r="C650">
        <f>_xlfn.XLOOKUP($A:$A,Instagram_Usage_Lifestyle_Mini_!$A:$A,Instagram_Usage_Lifestyle_Mini_!$C:$K)</f>
        <v>31</v>
      </c>
      <c r="D650" t="str">
        <f>_xlfn.XLOOKUP($A:$A,Instagram_Usage_Lifestyle_Mini_!$A:$A,Instagram_Usage_Lifestyle_Mini_!$C:$K)</f>
        <v>Female</v>
      </c>
      <c r="E650" t="str">
        <f>_xlfn.XLOOKUP($A:$A,Instagram_Usage_Lifestyle_Mini_!$A:$A,Instagram_Usage_Lifestyle_Mini_!$C:$K)</f>
        <v>Australia</v>
      </c>
      <c r="F650" t="str">
        <f>_xlfn.XLOOKUP($A:$A,Instagram_Usage_Lifestyle_Mini_!$A:$A,Instagram_Usage_Lifestyle_Mini_!$C:$K)</f>
        <v>Rural</v>
      </c>
      <c r="G650" t="str">
        <f>_xlfn.XLOOKUP($A:$A,Instagram_Usage_Lifestyle_Mini_!$A:$A,Instagram_Usage_Lifestyle_Mini_!$C:$K)</f>
        <v>Upper_middle</v>
      </c>
      <c r="H650" t="str">
        <f>_xlfn.XLOOKUP($A:$A,Instagram_Usage_Lifestyle_Mini_!$A:$A,Instagram_Usage_Lifestyle_Mini_!$C:$K)</f>
        <v>Unemployed</v>
      </c>
      <c r="I650" t="str">
        <f>_xlfn.XLOOKUP($A:$A,Instagram_Usage_Lifestyle_Mini_!$A:$A,Instagram_Usage_Lifestyle_Mini_!$C:$K)</f>
        <v>High_school</v>
      </c>
      <c r="J650" t="str">
        <f>_xlfn.XLOOKUP($A:$A,Instagram_Usage_Lifestyle_Mini_!$A:$A,Instagram_Usage_Lifestyle_Mini_!$C:$K)</f>
        <v>Single</v>
      </c>
      <c r="K650" t="str">
        <f>_xlfn.XLOOKUP($A:$A,Instagram_Usage_Lifestyle_Mini_!$A:$A,Instagram_Usage_Lifestyle_Mini_!$C:$K)</f>
        <v>No</v>
      </c>
      <c r="L650" t="str" cm="1">
        <f t="array" ref="L650">_xlfn.IFS(C650&lt;18,"Under_18",C650&lt;=25,"Youth",C650&lt;=35,"Young_Adults",C650&lt;=45,"Mid_Adults",TRUE,"Seniors")</f>
        <v>Young_Adults</v>
      </c>
    </row>
    <row r="651" spans="1:12" x14ac:dyDescent="0.2">
      <c r="A651">
        <v>650</v>
      </c>
      <c r="B651" t="str">
        <f>_xlfn.XLOOKUP(A651,Instagram_Usage_Lifestyle_Mini_!A651,Instagram_Usage_Lifestyle_Mini_!B651,1)</f>
        <v>Instagram</v>
      </c>
      <c r="C651">
        <f>_xlfn.XLOOKUP($A:$A,Instagram_Usage_Lifestyle_Mini_!$A:$A,Instagram_Usage_Lifestyle_Mini_!$C:$K)</f>
        <v>61</v>
      </c>
      <c r="D651" t="str">
        <f>_xlfn.XLOOKUP($A:$A,Instagram_Usage_Lifestyle_Mini_!$A:$A,Instagram_Usage_Lifestyle_Mini_!$C:$K)</f>
        <v>Male</v>
      </c>
      <c r="E651" t="str">
        <f>_xlfn.XLOOKUP($A:$A,Instagram_Usage_Lifestyle_Mini_!$A:$A,Instagram_Usage_Lifestyle_Mini_!$C:$K)</f>
        <v>United _Kingdom</v>
      </c>
      <c r="F651" t="str">
        <f>_xlfn.XLOOKUP($A:$A,Instagram_Usage_Lifestyle_Mini_!$A:$A,Instagram_Usage_Lifestyle_Mini_!$C:$K)</f>
        <v>Suburban</v>
      </c>
      <c r="G651" t="str">
        <f>_xlfn.XLOOKUP($A:$A,Instagram_Usage_Lifestyle_Mini_!$A:$A,Instagram_Usage_Lifestyle_Mini_!$C:$K)</f>
        <v>Lower_middle</v>
      </c>
      <c r="H651" t="str">
        <f>_xlfn.XLOOKUP($A:$A,Instagram_Usage_Lifestyle_Mini_!$A:$A,Instagram_Usage_Lifestyle_Mini_!$C:$K)</f>
        <v>Full_time_employed</v>
      </c>
      <c r="I651" t="str">
        <f>_xlfn.XLOOKUP($A:$A,Instagram_Usage_Lifestyle_Mini_!$A:$A,Instagram_Usage_Lifestyle_Mini_!$C:$K)</f>
        <v>Masters_degree</v>
      </c>
      <c r="J651" t="str">
        <f>_xlfn.XLOOKUP($A:$A,Instagram_Usage_Lifestyle_Mini_!$A:$A,Instagram_Usage_Lifestyle_Mini_!$C:$K)</f>
        <v>Married</v>
      </c>
      <c r="K651" t="str">
        <f>_xlfn.XLOOKUP($A:$A,Instagram_Usage_Lifestyle_Mini_!$A:$A,Instagram_Usage_Lifestyle_Mini_!$C:$K)</f>
        <v>No</v>
      </c>
      <c r="L651" t="str" cm="1">
        <f t="array" ref="L651">_xlfn.IFS(C651&lt;18,"Under_18",C651&lt;=25,"Youth",C651&lt;=35,"Young_Adults",C651&lt;=45,"Mid_Adults",TRUE,"Seniors")</f>
        <v>Seniors</v>
      </c>
    </row>
    <row r="652" spans="1:12" x14ac:dyDescent="0.2">
      <c r="A652">
        <v>651</v>
      </c>
      <c r="B652" t="str">
        <f>_xlfn.XLOOKUP(A652,Instagram_Usage_Lifestyle_Mini_!A652,Instagram_Usage_Lifestyle_Mini_!B652,1)</f>
        <v>Instagram</v>
      </c>
      <c r="C652">
        <f>_xlfn.XLOOKUP($A:$A,Instagram_Usage_Lifestyle_Mini_!$A:$A,Instagram_Usage_Lifestyle_Mini_!$C:$K)</f>
        <v>48</v>
      </c>
      <c r="D652" t="str">
        <f>_xlfn.XLOOKUP($A:$A,Instagram_Usage_Lifestyle_Mini_!$A:$A,Instagram_Usage_Lifestyle_Mini_!$C:$K)</f>
        <v>Male</v>
      </c>
      <c r="E652" t="str">
        <f>_xlfn.XLOOKUP($A:$A,Instagram_Usage_Lifestyle_Mini_!$A:$A,Instagram_Usage_Lifestyle_Mini_!$C:$K)</f>
        <v>India</v>
      </c>
      <c r="F652" t="str">
        <f>_xlfn.XLOOKUP($A:$A,Instagram_Usage_Lifestyle_Mini_!$A:$A,Instagram_Usage_Lifestyle_Mini_!$C:$K)</f>
        <v>Suburban</v>
      </c>
      <c r="G652" t="str">
        <f>_xlfn.XLOOKUP($A:$A,Instagram_Usage_Lifestyle_Mini_!$A:$A,Instagram_Usage_Lifestyle_Mini_!$C:$K)</f>
        <v>Lower_middle</v>
      </c>
      <c r="H652" t="str">
        <f>_xlfn.XLOOKUP($A:$A,Instagram_Usage_Lifestyle_Mini_!$A:$A,Instagram_Usage_Lifestyle_Mini_!$C:$K)</f>
        <v>Student</v>
      </c>
      <c r="I652" t="str">
        <f>_xlfn.XLOOKUP($A:$A,Instagram_Usage_Lifestyle_Mini_!$A:$A,Instagram_Usage_Lifestyle_Mini_!$C:$K)</f>
        <v>High_school</v>
      </c>
      <c r="J652" t="str">
        <f>_xlfn.XLOOKUP($A:$A,Instagram_Usage_Lifestyle_Mini_!$A:$A,Instagram_Usage_Lifestyle_Mini_!$C:$K)</f>
        <v>Single</v>
      </c>
      <c r="K652" t="str">
        <f>_xlfn.XLOOKUP($A:$A,Instagram_Usage_Lifestyle_Mini_!$A:$A,Instagram_Usage_Lifestyle_Mini_!$C:$K)</f>
        <v>Yes</v>
      </c>
      <c r="L652" t="str" cm="1">
        <f t="array" ref="L652">_xlfn.IFS(C652&lt;18,"Under_18",C652&lt;=25,"Youth",C652&lt;=35,"Young_Adults",C652&lt;=45,"Mid_Adults",TRUE,"Seniors")</f>
        <v>Seniors</v>
      </c>
    </row>
    <row r="653" spans="1:12" x14ac:dyDescent="0.2">
      <c r="A653">
        <v>652</v>
      </c>
      <c r="B653" t="str">
        <f>_xlfn.XLOOKUP(A653,Instagram_Usage_Lifestyle_Mini_!A653,Instagram_Usage_Lifestyle_Mini_!B653,1)</f>
        <v>Instagram</v>
      </c>
      <c r="C653">
        <f>_xlfn.XLOOKUP($A:$A,Instagram_Usage_Lifestyle_Mini_!$A:$A,Instagram_Usage_Lifestyle_Mini_!$C:$K)</f>
        <v>24</v>
      </c>
      <c r="D653" t="str">
        <f>_xlfn.XLOOKUP($A:$A,Instagram_Usage_Lifestyle_Mini_!$A:$A,Instagram_Usage_Lifestyle_Mini_!$C:$K)</f>
        <v>Male</v>
      </c>
      <c r="E653" t="str">
        <f>_xlfn.XLOOKUP($A:$A,Instagram_Usage_Lifestyle_Mini_!$A:$A,Instagram_Usage_Lifestyle_Mini_!$C:$K)</f>
        <v>United_States</v>
      </c>
      <c r="F653" t="str">
        <f>_xlfn.XLOOKUP($A:$A,Instagram_Usage_Lifestyle_Mini_!$A:$A,Instagram_Usage_Lifestyle_Mini_!$C:$K)</f>
        <v>Suburban</v>
      </c>
      <c r="G653" t="str">
        <f>_xlfn.XLOOKUP($A:$A,Instagram_Usage_Lifestyle_Mini_!$A:$A,Instagram_Usage_Lifestyle_Mini_!$C:$K)</f>
        <v>Lower_middle</v>
      </c>
      <c r="H653" t="str">
        <f>_xlfn.XLOOKUP($A:$A,Instagram_Usage_Lifestyle_Mini_!$A:$A,Instagram_Usage_Lifestyle_Mini_!$C:$K)</f>
        <v>Freelancer</v>
      </c>
      <c r="I653" t="str">
        <f>_xlfn.XLOOKUP($A:$A,Instagram_Usage_Lifestyle_Mini_!$A:$A,Instagram_Usage_Lifestyle_Mini_!$C:$K)</f>
        <v>Some_college</v>
      </c>
      <c r="J653" t="str">
        <f>_xlfn.XLOOKUP($A:$A,Instagram_Usage_Lifestyle_Mini_!$A:$A,Instagram_Usage_Lifestyle_Mini_!$C:$K)</f>
        <v>In_a_relationship</v>
      </c>
      <c r="K653" t="str">
        <f>_xlfn.XLOOKUP($A:$A,Instagram_Usage_Lifestyle_Mini_!$A:$A,Instagram_Usage_Lifestyle_Mini_!$C:$K)</f>
        <v>No</v>
      </c>
      <c r="L653" t="str" cm="1">
        <f t="array" ref="L653">_xlfn.IFS(C653&lt;18,"Under_18",C653&lt;=25,"Youth",C653&lt;=35,"Young_Adults",C653&lt;=45,"Mid_Adults",TRUE,"Seniors")</f>
        <v>Youth</v>
      </c>
    </row>
    <row r="654" spans="1:12" x14ac:dyDescent="0.2">
      <c r="A654">
        <v>653</v>
      </c>
      <c r="B654" t="str">
        <f>_xlfn.XLOOKUP(A654,Instagram_Usage_Lifestyle_Mini_!A654,Instagram_Usage_Lifestyle_Mini_!B654,1)</f>
        <v>Instagram</v>
      </c>
      <c r="C654">
        <f>_xlfn.XLOOKUP($A:$A,Instagram_Usage_Lifestyle_Mini_!$A:$A,Instagram_Usage_Lifestyle_Mini_!$C:$K)</f>
        <v>53</v>
      </c>
      <c r="D654" t="str">
        <f>_xlfn.XLOOKUP($A:$A,Instagram_Usage_Lifestyle_Mini_!$A:$A,Instagram_Usage_Lifestyle_Mini_!$C:$K)</f>
        <v>Male</v>
      </c>
      <c r="E654" t="str">
        <f>_xlfn.XLOOKUP($A:$A,Instagram_Usage_Lifestyle_Mini_!$A:$A,Instagram_Usage_Lifestyle_Mini_!$C:$K)</f>
        <v>India</v>
      </c>
      <c r="F654" t="str">
        <f>_xlfn.XLOOKUP($A:$A,Instagram_Usage_Lifestyle_Mini_!$A:$A,Instagram_Usage_Lifestyle_Mini_!$C:$K)</f>
        <v>Urban</v>
      </c>
      <c r="G654" t="str">
        <f>_xlfn.XLOOKUP($A:$A,Instagram_Usage_Lifestyle_Mini_!$A:$A,Instagram_Usage_Lifestyle_Mini_!$C:$K)</f>
        <v>Lower_middle</v>
      </c>
      <c r="H654" t="str">
        <f>_xlfn.XLOOKUP($A:$A,Instagram_Usage_Lifestyle_Mini_!$A:$A,Instagram_Usage_Lifestyle_Mini_!$C:$K)</f>
        <v>Freelancer</v>
      </c>
      <c r="I654" t="str">
        <f>_xlfn.XLOOKUP($A:$A,Instagram_Usage_Lifestyle_Mini_!$A:$A,Instagram_Usage_Lifestyle_Mini_!$C:$K)</f>
        <v>Some_college</v>
      </c>
      <c r="J654" t="str">
        <f>_xlfn.XLOOKUP($A:$A,Instagram_Usage_Lifestyle_Mini_!$A:$A,Instagram_Usage_Lifestyle_Mini_!$C:$K)</f>
        <v>Single</v>
      </c>
      <c r="K654" t="str">
        <f>_xlfn.XLOOKUP($A:$A,Instagram_Usage_Lifestyle_Mini_!$A:$A,Instagram_Usage_Lifestyle_Mini_!$C:$K)</f>
        <v>Yes</v>
      </c>
      <c r="L654" t="str" cm="1">
        <f t="array" ref="L654">_xlfn.IFS(C654&lt;18,"Under_18",C654&lt;=25,"Youth",C654&lt;=35,"Young_Adults",C654&lt;=45,"Mid_Adults",TRUE,"Seniors")</f>
        <v>Seniors</v>
      </c>
    </row>
    <row r="655" spans="1:12" x14ac:dyDescent="0.2">
      <c r="A655">
        <v>654</v>
      </c>
      <c r="B655" t="str">
        <f>_xlfn.XLOOKUP(A655,Instagram_Usage_Lifestyle_Mini_!A655,Instagram_Usage_Lifestyle_Mini_!B655,1)</f>
        <v>Instagram</v>
      </c>
      <c r="C655">
        <f>_xlfn.XLOOKUP($A:$A,Instagram_Usage_Lifestyle_Mini_!$A:$A,Instagram_Usage_Lifestyle_Mini_!$C:$K)</f>
        <v>31</v>
      </c>
      <c r="D655" t="str">
        <f>_xlfn.XLOOKUP($A:$A,Instagram_Usage_Lifestyle_Mini_!$A:$A,Instagram_Usage_Lifestyle_Mini_!$C:$K)</f>
        <v>Male</v>
      </c>
      <c r="E655" t="str">
        <f>_xlfn.XLOOKUP($A:$A,Instagram_Usage_Lifestyle_Mini_!$A:$A,Instagram_Usage_Lifestyle_Mini_!$C:$K)</f>
        <v>United_States</v>
      </c>
      <c r="F655" t="str">
        <f>_xlfn.XLOOKUP($A:$A,Instagram_Usage_Lifestyle_Mini_!$A:$A,Instagram_Usage_Lifestyle_Mini_!$C:$K)</f>
        <v>Suburban</v>
      </c>
      <c r="G655" t="str">
        <f>_xlfn.XLOOKUP($A:$A,Instagram_Usage_Lifestyle_Mini_!$A:$A,Instagram_Usage_Lifestyle_Mini_!$C:$K)</f>
        <v>High</v>
      </c>
      <c r="H655" t="str">
        <f>_xlfn.XLOOKUP($A:$A,Instagram_Usage_Lifestyle_Mini_!$A:$A,Instagram_Usage_Lifestyle_Mini_!$C:$K)</f>
        <v>Full_time_employed</v>
      </c>
      <c r="I655" t="str">
        <f>_xlfn.XLOOKUP($A:$A,Instagram_Usage_Lifestyle_Mini_!$A:$A,Instagram_Usage_Lifestyle_Mini_!$C:$K)</f>
        <v>High_school</v>
      </c>
      <c r="J655" t="str">
        <f>_xlfn.XLOOKUP($A:$A,Instagram_Usage_Lifestyle_Mini_!$A:$A,Instagram_Usage_Lifestyle_Mini_!$C:$K)</f>
        <v>Married</v>
      </c>
      <c r="K655" t="str">
        <f>_xlfn.XLOOKUP($A:$A,Instagram_Usage_Lifestyle_Mini_!$A:$A,Instagram_Usage_Lifestyle_Mini_!$C:$K)</f>
        <v>No</v>
      </c>
      <c r="L655" t="str" cm="1">
        <f t="array" ref="L655">_xlfn.IFS(C655&lt;18,"Under_18",C655&lt;=25,"Youth",C655&lt;=35,"Young_Adults",C655&lt;=45,"Mid_Adults",TRUE,"Seniors")</f>
        <v>Young_Adults</v>
      </c>
    </row>
    <row r="656" spans="1:12" x14ac:dyDescent="0.2">
      <c r="A656">
        <v>655</v>
      </c>
      <c r="B656" t="str">
        <f>_xlfn.XLOOKUP(A656,Instagram_Usage_Lifestyle_Mini_!A656,Instagram_Usage_Lifestyle_Mini_!B656,1)</f>
        <v>Instagram</v>
      </c>
      <c r="C656">
        <f>_xlfn.XLOOKUP($A:$A,Instagram_Usage_Lifestyle_Mini_!$A:$A,Instagram_Usage_Lifestyle_Mini_!$C:$K)</f>
        <v>24</v>
      </c>
      <c r="D656" t="str">
        <f>_xlfn.XLOOKUP($A:$A,Instagram_Usage_Lifestyle_Mini_!$A:$A,Instagram_Usage_Lifestyle_Mini_!$C:$K)</f>
        <v>Female</v>
      </c>
      <c r="E656" t="str">
        <f>_xlfn.XLOOKUP($A:$A,Instagram_Usage_Lifestyle_Mini_!$A:$A,Instagram_Usage_Lifestyle_Mini_!$C:$K)</f>
        <v>India</v>
      </c>
      <c r="F656" t="str">
        <f>_xlfn.XLOOKUP($A:$A,Instagram_Usage_Lifestyle_Mini_!$A:$A,Instagram_Usage_Lifestyle_Mini_!$C:$K)</f>
        <v>Urban</v>
      </c>
      <c r="G656" t="str">
        <f>_xlfn.XLOOKUP($A:$A,Instagram_Usage_Lifestyle_Mini_!$A:$A,Instagram_Usage_Lifestyle_Mini_!$C:$K)</f>
        <v>Low</v>
      </c>
      <c r="H656" t="str">
        <f>_xlfn.XLOOKUP($A:$A,Instagram_Usage_Lifestyle_Mini_!$A:$A,Instagram_Usage_Lifestyle_Mini_!$C:$K)</f>
        <v>Full_time_employed</v>
      </c>
      <c r="I656" t="str">
        <f>_xlfn.XLOOKUP($A:$A,Instagram_Usage_Lifestyle_Mini_!$A:$A,Instagram_Usage_Lifestyle_Mini_!$C:$K)</f>
        <v>Masters_degree</v>
      </c>
      <c r="J656" t="str">
        <f>_xlfn.XLOOKUP($A:$A,Instagram_Usage_Lifestyle_Mini_!$A:$A,Instagram_Usage_Lifestyle_Mini_!$C:$K)</f>
        <v>Single</v>
      </c>
      <c r="K656" t="str">
        <f>_xlfn.XLOOKUP($A:$A,Instagram_Usage_Lifestyle_Mini_!$A:$A,Instagram_Usage_Lifestyle_Mini_!$C:$K)</f>
        <v>No</v>
      </c>
      <c r="L656" t="str" cm="1">
        <f t="array" ref="L656">_xlfn.IFS(C656&lt;18,"Under_18",C656&lt;=25,"Youth",C656&lt;=35,"Young_Adults",C656&lt;=45,"Mid_Adults",TRUE,"Seniors")</f>
        <v>Youth</v>
      </c>
    </row>
    <row r="657" spans="1:12" x14ac:dyDescent="0.2">
      <c r="A657">
        <v>656</v>
      </c>
      <c r="B657" t="str">
        <f>_xlfn.XLOOKUP(A657,Instagram_Usage_Lifestyle_Mini_!A657,Instagram_Usage_Lifestyle_Mini_!B657,1)</f>
        <v>Instagram</v>
      </c>
      <c r="C657">
        <f>_xlfn.XLOOKUP($A:$A,Instagram_Usage_Lifestyle_Mini_!$A:$A,Instagram_Usage_Lifestyle_Mini_!$C:$K)</f>
        <v>21</v>
      </c>
      <c r="D657" t="str">
        <f>_xlfn.XLOOKUP($A:$A,Instagram_Usage_Lifestyle_Mini_!$A:$A,Instagram_Usage_Lifestyle_Mini_!$C:$K)</f>
        <v>Male</v>
      </c>
      <c r="E657" t="str">
        <f>_xlfn.XLOOKUP($A:$A,Instagram_Usage_Lifestyle_Mini_!$A:$A,Instagram_Usage_Lifestyle_Mini_!$C:$K)</f>
        <v>United_States</v>
      </c>
      <c r="F657" t="str">
        <f>_xlfn.XLOOKUP($A:$A,Instagram_Usage_Lifestyle_Mini_!$A:$A,Instagram_Usage_Lifestyle_Mini_!$C:$K)</f>
        <v>Suburban</v>
      </c>
      <c r="G657" t="str">
        <f>_xlfn.XLOOKUP($A:$A,Instagram_Usage_Lifestyle_Mini_!$A:$A,Instagram_Usage_Lifestyle_Mini_!$C:$K)</f>
        <v>Middle</v>
      </c>
      <c r="H657" t="str">
        <f>_xlfn.XLOOKUP($A:$A,Instagram_Usage_Lifestyle_Mini_!$A:$A,Instagram_Usage_Lifestyle_Mini_!$C:$K)</f>
        <v>Full_time_employed</v>
      </c>
      <c r="I657" t="str">
        <f>_xlfn.XLOOKUP($A:$A,Instagram_Usage_Lifestyle_Mini_!$A:$A,Instagram_Usage_Lifestyle_Mini_!$C:$K)</f>
        <v>High_school</v>
      </c>
      <c r="J657" t="str">
        <f>_xlfn.XLOOKUP($A:$A,Instagram_Usage_Lifestyle_Mini_!$A:$A,Instagram_Usage_Lifestyle_Mini_!$C:$K)</f>
        <v>In_a_relationship</v>
      </c>
      <c r="K657" t="str">
        <f>_xlfn.XLOOKUP($A:$A,Instagram_Usage_Lifestyle_Mini_!$A:$A,Instagram_Usage_Lifestyle_Mini_!$C:$K)</f>
        <v>No</v>
      </c>
      <c r="L657" t="str" cm="1">
        <f t="array" ref="L657">_xlfn.IFS(C657&lt;18,"Under_18",C657&lt;=25,"Youth",C657&lt;=35,"Young_Adults",C657&lt;=45,"Mid_Adults",TRUE,"Seniors")</f>
        <v>Youth</v>
      </c>
    </row>
    <row r="658" spans="1:12" x14ac:dyDescent="0.2">
      <c r="A658">
        <v>657</v>
      </c>
      <c r="B658" t="str">
        <f>_xlfn.XLOOKUP(A658,Instagram_Usage_Lifestyle_Mini_!A658,Instagram_Usage_Lifestyle_Mini_!B658,1)</f>
        <v>Instagram</v>
      </c>
      <c r="C658">
        <f>_xlfn.XLOOKUP($A:$A,Instagram_Usage_Lifestyle_Mini_!$A:$A,Instagram_Usage_Lifestyle_Mini_!$C:$K)</f>
        <v>19</v>
      </c>
      <c r="D658" t="str">
        <f>_xlfn.XLOOKUP($A:$A,Instagram_Usage_Lifestyle_Mini_!$A:$A,Instagram_Usage_Lifestyle_Mini_!$C:$K)</f>
        <v>Male</v>
      </c>
      <c r="E658" t="str">
        <f>_xlfn.XLOOKUP($A:$A,Instagram_Usage_Lifestyle_Mini_!$A:$A,Instagram_Usage_Lifestyle_Mini_!$C:$K)</f>
        <v>India</v>
      </c>
      <c r="F658" t="str">
        <f>_xlfn.XLOOKUP($A:$A,Instagram_Usage_Lifestyle_Mini_!$A:$A,Instagram_Usage_Lifestyle_Mini_!$C:$K)</f>
        <v>Urban</v>
      </c>
      <c r="G658" t="str">
        <f>_xlfn.XLOOKUP($A:$A,Instagram_Usage_Lifestyle_Mini_!$A:$A,Instagram_Usage_Lifestyle_Mini_!$C:$K)</f>
        <v>High</v>
      </c>
      <c r="H658" t="str">
        <f>_xlfn.XLOOKUP($A:$A,Instagram_Usage_Lifestyle_Mini_!$A:$A,Instagram_Usage_Lifestyle_Mini_!$C:$K)</f>
        <v>Full_time_employed</v>
      </c>
      <c r="I658" t="str">
        <f>_xlfn.XLOOKUP($A:$A,Instagram_Usage_Lifestyle_Mini_!$A:$A,Instagram_Usage_Lifestyle_Mini_!$C:$K)</f>
        <v>Bachelors_degree</v>
      </c>
      <c r="J658" t="str">
        <f>_xlfn.XLOOKUP($A:$A,Instagram_Usage_Lifestyle_Mini_!$A:$A,Instagram_Usage_Lifestyle_Mini_!$C:$K)</f>
        <v>Single</v>
      </c>
      <c r="K658" t="str">
        <f>_xlfn.XLOOKUP($A:$A,Instagram_Usage_Lifestyle_Mini_!$A:$A,Instagram_Usage_Lifestyle_Mini_!$C:$K)</f>
        <v>No</v>
      </c>
      <c r="L658" t="str" cm="1">
        <f t="array" ref="L658">_xlfn.IFS(C658&lt;18,"Under_18",C658&lt;=25,"Youth",C658&lt;=35,"Young_Adults",C658&lt;=45,"Mid_Adults",TRUE,"Seniors")</f>
        <v>Youth</v>
      </c>
    </row>
    <row r="659" spans="1:12" x14ac:dyDescent="0.2">
      <c r="A659">
        <v>658</v>
      </c>
      <c r="B659" t="str">
        <f>_xlfn.XLOOKUP(A659,Instagram_Usage_Lifestyle_Mini_!A659,Instagram_Usage_Lifestyle_Mini_!B659,1)</f>
        <v>Instagram</v>
      </c>
      <c r="C659">
        <f>_xlfn.XLOOKUP($A:$A,Instagram_Usage_Lifestyle_Mini_!$A:$A,Instagram_Usage_Lifestyle_Mini_!$C:$K)</f>
        <v>40</v>
      </c>
      <c r="D659" t="str">
        <f>_xlfn.XLOOKUP($A:$A,Instagram_Usage_Lifestyle_Mini_!$A:$A,Instagram_Usage_Lifestyle_Mini_!$C:$K)</f>
        <v>Female</v>
      </c>
      <c r="E659" t="str">
        <f>_xlfn.XLOOKUP($A:$A,Instagram_Usage_Lifestyle_Mini_!$A:$A,Instagram_Usage_Lifestyle_Mini_!$C:$K)</f>
        <v>United_States</v>
      </c>
      <c r="F659" t="str">
        <f>_xlfn.XLOOKUP($A:$A,Instagram_Usage_Lifestyle_Mini_!$A:$A,Instagram_Usage_Lifestyle_Mini_!$C:$K)</f>
        <v>Urban</v>
      </c>
      <c r="G659" t="str">
        <f>_xlfn.XLOOKUP($A:$A,Instagram_Usage_Lifestyle_Mini_!$A:$A,Instagram_Usage_Lifestyle_Mini_!$C:$K)</f>
        <v>Lower_middle</v>
      </c>
      <c r="H659" t="str">
        <f>_xlfn.XLOOKUP($A:$A,Instagram_Usage_Lifestyle_Mini_!$A:$A,Instagram_Usage_Lifestyle_Mini_!$C:$K)</f>
        <v>Part_time</v>
      </c>
      <c r="I659" t="str">
        <f>_xlfn.XLOOKUP($A:$A,Instagram_Usage_Lifestyle_Mini_!$A:$A,Instagram_Usage_Lifestyle_Mini_!$C:$K)</f>
        <v>Some_college</v>
      </c>
      <c r="J659" t="str">
        <f>_xlfn.XLOOKUP($A:$A,Instagram_Usage_Lifestyle_Mini_!$A:$A,Instagram_Usage_Lifestyle_Mini_!$C:$K)</f>
        <v>In_a_relationship</v>
      </c>
      <c r="K659" t="str">
        <f>_xlfn.XLOOKUP($A:$A,Instagram_Usage_Lifestyle_Mini_!$A:$A,Instagram_Usage_Lifestyle_Mini_!$C:$K)</f>
        <v>No</v>
      </c>
      <c r="L659" t="str" cm="1">
        <f t="array" ref="L659">_xlfn.IFS(C659&lt;18,"Under_18",C659&lt;=25,"Youth",C659&lt;=35,"Young_Adults",C659&lt;=45,"Mid_Adults",TRUE,"Seniors")</f>
        <v>Mid_Adults</v>
      </c>
    </row>
    <row r="660" spans="1:12" x14ac:dyDescent="0.2">
      <c r="A660">
        <v>659</v>
      </c>
      <c r="B660" t="str">
        <f>_xlfn.XLOOKUP(A660,Instagram_Usage_Lifestyle_Mini_!A660,Instagram_Usage_Lifestyle_Mini_!B660,1)</f>
        <v>Instagram</v>
      </c>
      <c r="C660">
        <f>_xlfn.XLOOKUP($A:$A,Instagram_Usage_Lifestyle_Mini_!$A:$A,Instagram_Usage_Lifestyle_Mini_!$C:$K)</f>
        <v>26</v>
      </c>
      <c r="D660" t="str">
        <f>_xlfn.XLOOKUP($A:$A,Instagram_Usage_Lifestyle_Mini_!$A:$A,Instagram_Usage_Lifestyle_Mini_!$C:$K)</f>
        <v>Male</v>
      </c>
      <c r="E660" t="str">
        <f>_xlfn.XLOOKUP($A:$A,Instagram_Usage_Lifestyle_Mini_!$A:$A,Instagram_Usage_Lifestyle_Mini_!$C:$K)</f>
        <v>India</v>
      </c>
      <c r="F660" t="str">
        <f>_xlfn.XLOOKUP($A:$A,Instagram_Usage_Lifestyle_Mini_!$A:$A,Instagram_Usage_Lifestyle_Mini_!$C:$K)</f>
        <v>Urban</v>
      </c>
      <c r="G660" t="str">
        <f>_xlfn.XLOOKUP($A:$A,Instagram_Usage_Lifestyle_Mini_!$A:$A,Instagram_Usage_Lifestyle_Mini_!$C:$K)</f>
        <v>Upper_middle</v>
      </c>
      <c r="H660" t="str">
        <f>_xlfn.XLOOKUP($A:$A,Instagram_Usage_Lifestyle_Mini_!$A:$A,Instagram_Usage_Lifestyle_Mini_!$C:$K)</f>
        <v>Full_time_employed</v>
      </c>
      <c r="I660" t="str">
        <f>_xlfn.XLOOKUP($A:$A,Instagram_Usage_Lifestyle_Mini_!$A:$A,Instagram_Usage_Lifestyle_Mini_!$C:$K)</f>
        <v>Some_college</v>
      </c>
      <c r="J660" t="str">
        <f>_xlfn.XLOOKUP($A:$A,Instagram_Usage_Lifestyle_Mini_!$A:$A,Instagram_Usage_Lifestyle_Mini_!$C:$K)</f>
        <v>Married</v>
      </c>
      <c r="K660" t="str">
        <f>_xlfn.XLOOKUP($A:$A,Instagram_Usage_Lifestyle_Mini_!$A:$A,Instagram_Usage_Lifestyle_Mini_!$C:$K)</f>
        <v>No</v>
      </c>
      <c r="L660" t="str" cm="1">
        <f t="array" ref="L660">_xlfn.IFS(C660&lt;18,"Under_18",C660&lt;=25,"Youth",C660&lt;=35,"Young_Adults",C660&lt;=45,"Mid_Adults",TRUE,"Seniors")</f>
        <v>Young_Adults</v>
      </c>
    </row>
    <row r="661" spans="1:12" x14ac:dyDescent="0.2">
      <c r="A661">
        <v>660</v>
      </c>
      <c r="B661" t="str">
        <f>_xlfn.XLOOKUP(A661,Instagram_Usage_Lifestyle_Mini_!A661,Instagram_Usage_Lifestyle_Mini_!B661,1)</f>
        <v>Instagram</v>
      </c>
      <c r="C661">
        <f>_xlfn.XLOOKUP($A:$A,Instagram_Usage_Lifestyle_Mini_!$A:$A,Instagram_Usage_Lifestyle_Mini_!$C:$K)</f>
        <v>43</v>
      </c>
      <c r="D661" t="str">
        <f>_xlfn.XLOOKUP($A:$A,Instagram_Usage_Lifestyle_Mini_!$A:$A,Instagram_Usage_Lifestyle_Mini_!$C:$K)</f>
        <v>Female</v>
      </c>
      <c r="E661" t="str">
        <f>_xlfn.XLOOKUP($A:$A,Instagram_Usage_Lifestyle_Mini_!$A:$A,Instagram_Usage_Lifestyle_Mini_!$C:$K)</f>
        <v>Other</v>
      </c>
      <c r="F661" t="str">
        <f>_xlfn.XLOOKUP($A:$A,Instagram_Usage_Lifestyle_Mini_!$A:$A,Instagram_Usage_Lifestyle_Mini_!$C:$K)</f>
        <v>Urban</v>
      </c>
      <c r="G661" t="str">
        <f>_xlfn.XLOOKUP($A:$A,Instagram_Usage_Lifestyle_Mini_!$A:$A,Instagram_Usage_Lifestyle_Mini_!$C:$K)</f>
        <v>Low</v>
      </c>
      <c r="H661" t="str">
        <f>_xlfn.XLOOKUP($A:$A,Instagram_Usage_Lifestyle_Mini_!$A:$A,Instagram_Usage_Lifestyle_Mini_!$C:$K)</f>
        <v>Student</v>
      </c>
      <c r="I661" t="str">
        <f>_xlfn.XLOOKUP($A:$A,Instagram_Usage_Lifestyle_Mini_!$A:$A,Instagram_Usage_Lifestyle_Mini_!$C:$K)</f>
        <v>Bachelors_degree</v>
      </c>
      <c r="J661" t="str">
        <f>_xlfn.XLOOKUP($A:$A,Instagram_Usage_Lifestyle_Mini_!$A:$A,Instagram_Usage_Lifestyle_Mini_!$C:$K)</f>
        <v>Single</v>
      </c>
      <c r="K661" t="str">
        <f>_xlfn.XLOOKUP($A:$A,Instagram_Usage_Lifestyle_Mini_!$A:$A,Instagram_Usage_Lifestyle_Mini_!$C:$K)</f>
        <v>No</v>
      </c>
      <c r="L661" t="str" cm="1">
        <f t="array" ref="L661">_xlfn.IFS(C661&lt;18,"Under_18",C661&lt;=25,"Youth",C661&lt;=35,"Young_Adults",C661&lt;=45,"Mid_Adults",TRUE,"Seniors")</f>
        <v>Mid_Adults</v>
      </c>
    </row>
    <row r="662" spans="1:12" x14ac:dyDescent="0.2">
      <c r="A662">
        <v>661</v>
      </c>
      <c r="B662" t="str">
        <f>_xlfn.XLOOKUP(A662,Instagram_Usage_Lifestyle_Mini_!A662,Instagram_Usage_Lifestyle_Mini_!B662,1)</f>
        <v>Instagram</v>
      </c>
      <c r="C662">
        <f>_xlfn.XLOOKUP($A:$A,Instagram_Usage_Lifestyle_Mini_!$A:$A,Instagram_Usage_Lifestyle_Mini_!$C:$K)</f>
        <v>64</v>
      </c>
      <c r="D662" t="str">
        <f>_xlfn.XLOOKUP($A:$A,Instagram_Usage_Lifestyle_Mini_!$A:$A,Instagram_Usage_Lifestyle_Mini_!$C:$K)</f>
        <v>Female</v>
      </c>
      <c r="E662" t="str">
        <f>_xlfn.XLOOKUP($A:$A,Instagram_Usage_Lifestyle_Mini_!$A:$A,Instagram_Usage_Lifestyle_Mini_!$C:$K)</f>
        <v>Canada</v>
      </c>
      <c r="F662" t="str">
        <f>_xlfn.XLOOKUP($A:$A,Instagram_Usage_Lifestyle_Mini_!$A:$A,Instagram_Usage_Lifestyle_Mini_!$C:$K)</f>
        <v>Urban</v>
      </c>
      <c r="G662" t="str">
        <f>_xlfn.XLOOKUP($A:$A,Instagram_Usage_Lifestyle_Mini_!$A:$A,Instagram_Usage_Lifestyle_Mini_!$C:$K)</f>
        <v>High</v>
      </c>
      <c r="H662" t="str">
        <f>_xlfn.XLOOKUP($A:$A,Instagram_Usage_Lifestyle_Mini_!$A:$A,Instagram_Usage_Lifestyle_Mini_!$C:$K)</f>
        <v>Full_time_employed</v>
      </c>
      <c r="I662" t="str">
        <f>_xlfn.XLOOKUP($A:$A,Instagram_Usage_Lifestyle_Mini_!$A:$A,Instagram_Usage_Lifestyle_Mini_!$C:$K)</f>
        <v>PhD</v>
      </c>
      <c r="J662" t="str">
        <f>_xlfn.XLOOKUP($A:$A,Instagram_Usage_Lifestyle_Mini_!$A:$A,Instagram_Usage_Lifestyle_Mini_!$C:$K)</f>
        <v>Married</v>
      </c>
      <c r="K662" t="str">
        <f>_xlfn.XLOOKUP($A:$A,Instagram_Usage_Lifestyle_Mini_!$A:$A,Instagram_Usage_Lifestyle_Mini_!$C:$K)</f>
        <v>No</v>
      </c>
      <c r="L662" t="str" cm="1">
        <f t="array" ref="L662">_xlfn.IFS(C662&lt;18,"Under_18",C662&lt;=25,"Youth",C662&lt;=35,"Young_Adults",C662&lt;=45,"Mid_Adults",TRUE,"Seniors")</f>
        <v>Seniors</v>
      </c>
    </row>
    <row r="663" spans="1:12" x14ac:dyDescent="0.2">
      <c r="A663">
        <v>662</v>
      </c>
      <c r="B663" t="str">
        <f>_xlfn.XLOOKUP(A663,Instagram_Usage_Lifestyle_Mini_!A663,Instagram_Usage_Lifestyle_Mini_!B663,1)</f>
        <v>Instagram</v>
      </c>
      <c r="C663">
        <f>_xlfn.XLOOKUP($A:$A,Instagram_Usage_Lifestyle_Mini_!$A:$A,Instagram_Usage_Lifestyle_Mini_!$C:$K)</f>
        <v>31</v>
      </c>
      <c r="D663" t="str">
        <f>_xlfn.XLOOKUP($A:$A,Instagram_Usage_Lifestyle_Mini_!$A:$A,Instagram_Usage_Lifestyle_Mini_!$C:$K)</f>
        <v>Male</v>
      </c>
      <c r="E663" t="str">
        <f>_xlfn.XLOOKUP($A:$A,Instagram_Usage_Lifestyle_Mini_!$A:$A,Instagram_Usage_Lifestyle_Mini_!$C:$K)</f>
        <v>India</v>
      </c>
      <c r="F663" t="str">
        <f>_xlfn.XLOOKUP($A:$A,Instagram_Usage_Lifestyle_Mini_!$A:$A,Instagram_Usage_Lifestyle_Mini_!$C:$K)</f>
        <v>Urban</v>
      </c>
      <c r="G663" t="str">
        <f>_xlfn.XLOOKUP($A:$A,Instagram_Usage_Lifestyle_Mini_!$A:$A,Instagram_Usage_Lifestyle_Mini_!$C:$K)</f>
        <v>Upper_middle</v>
      </c>
      <c r="H663" t="str">
        <f>_xlfn.XLOOKUP($A:$A,Instagram_Usage_Lifestyle_Mini_!$A:$A,Instagram_Usage_Lifestyle_Mini_!$C:$K)</f>
        <v>Part_time</v>
      </c>
      <c r="I663" t="str">
        <f>_xlfn.XLOOKUP($A:$A,Instagram_Usage_Lifestyle_Mini_!$A:$A,Instagram_Usage_Lifestyle_Mini_!$C:$K)</f>
        <v>Bachelors_degree</v>
      </c>
      <c r="J663" t="str">
        <f>_xlfn.XLOOKUP($A:$A,Instagram_Usage_Lifestyle_Mini_!$A:$A,Instagram_Usage_Lifestyle_Mini_!$C:$K)</f>
        <v>In_a_relationship</v>
      </c>
      <c r="K663" t="str">
        <f>_xlfn.XLOOKUP($A:$A,Instagram_Usage_Lifestyle_Mini_!$A:$A,Instagram_Usage_Lifestyle_Mini_!$C:$K)</f>
        <v>Yes</v>
      </c>
      <c r="L663" t="str" cm="1">
        <f t="array" ref="L663">_xlfn.IFS(C663&lt;18,"Under_18",C663&lt;=25,"Youth",C663&lt;=35,"Young_Adults",C663&lt;=45,"Mid_Adults",TRUE,"Seniors")</f>
        <v>Young_Adults</v>
      </c>
    </row>
    <row r="664" spans="1:12" x14ac:dyDescent="0.2">
      <c r="A664">
        <v>663</v>
      </c>
      <c r="B664" t="str">
        <f>_xlfn.XLOOKUP(A664,Instagram_Usage_Lifestyle_Mini_!A664,Instagram_Usage_Lifestyle_Mini_!B664,1)</f>
        <v>Instagram</v>
      </c>
      <c r="C664">
        <f>_xlfn.XLOOKUP($A:$A,Instagram_Usage_Lifestyle_Mini_!$A:$A,Instagram_Usage_Lifestyle_Mini_!$C:$K)</f>
        <v>59</v>
      </c>
      <c r="D664" t="str">
        <f>_xlfn.XLOOKUP($A:$A,Instagram_Usage_Lifestyle_Mini_!$A:$A,Instagram_Usage_Lifestyle_Mini_!$C:$K)</f>
        <v>Male</v>
      </c>
      <c r="E664" t="str">
        <f>_xlfn.XLOOKUP($A:$A,Instagram_Usage_Lifestyle_Mini_!$A:$A,Instagram_Usage_Lifestyle_Mini_!$C:$K)</f>
        <v>United_States</v>
      </c>
      <c r="F664" t="str">
        <f>_xlfn.XLOOKUP($A:$A,Instagram_Usage_Lifestyle_Mini_!$A:$A,Instagram_Usage_Lifestyle_Mini_!$C:$K)</f>
        <v>Urban</v>
      </c>
      <c r="G664" t="str">
        <f>_xlfn.XLOOKUP($A:$A,Instagram_Usage_Lifestyle_Mini_!$A:$A,Instagram_Usage_Lifestyle_Mini_!$C:$K)</f>
        <v>Lower_middle</v>
      </c>
      <c r="H664" t="str">
        <f>_xlfn.XLOOKUP($A:$A,Instagram_Usage_Lifestyle_Mini_!$A:$A,Instagram_Usage_Lifestyle_Mini_!$C:$K)</f>
        <v>Full_time_employed</v>
      </c>
      <c r="I664" t="str">
        <f>_xlfn.XLOOKUP($A:$A,Instagram_Usage_Lifestyle_Mini_!$A:$A,Instagram_Usage_Lifestyle_Mini_!$C:$K)</f>
        <v>Some_college</v>
      </c>
      <c r="J664" t="str">
        <f>_xlfn.XLOOKUP($A:$A,Instagram_Usage_Lifestyle_Mini_!$A:$A,Instagram_Usage_Lifestyle_Mini_!$C:$K)</f>
        <v>Widowed</v>
      </c>
      <c r="K664" t="str">
        <f>_xlfn.XLOOKUP($A:$A,Instagram_Usage_Lifestyle_Mini_!$A:$A,Instagram_Usage_Lifestyle_Mini_!$C:$K)</f>
        <v>Yes</v>
      </c>
      <c r="L664" t="str" cm="1">
        <f t="array" ref="L664">_xlfn.IFS(C664&lt;18,"Under_18",C664&lt;=25,"Youth",C664&lt;=35,"Young_Adults",C664&lt;=45,"Mid_Adults",TRUE,"Seniors")</f>
        <v>Seniors</v>
      </c>
    </row>
    <row r="665" spans="1:12" x14ac:dyDescent="0.2">
      <c r="A665">
        <v>664</v>
      </c>
      <c r="B665" t="str">
        <f>_xlfn.XLOOKUP(A665,Instagram_Usage_Lifestyle_Mini_!A665,Instagram_Usage_Lifestyle_Mini_!B665,1)</f>
        <v>Instagram</v>
      </c>
      <c r="C665">
        <f>_xlfn.XLOOKUP($A:$A,Instagram_Usage_Lifestyle_Mini_!$A:$A,Instagram_Usage_Lifestyle_Mini_!$C:$K)</f>
        <v>28</v>
      </c>
      <c r="D665" t="str">
        <f>_xlfn.XLOOKUP($A:$A,Instagram_Usage_Lifestyle_Mini_!$A:$A,Instagram_Usage_Lifestyle_Mini_!$C:$K)</f>
        <v>Female</v>
      </c>
      <c r="E665" t="str">
        <f>_xlfn.XLOOKUP($A:$A,Instagram_Usage_Lifestyle_Mini_!$A:$A,Instagram_Usage_Lifestyle_Mini_!$C:$K)</f>
        <v>South_Korea</v>
      </c>
      <c r="F665" t="str">
        <f>_xlfn.XLOOKUP($A:$A,Instagram_Usage_Lifestyle_Mini_!$A:$A,Instagram_Usage_Lifestyle_Mini_!$C:$K)</f>
        <v>Urban</v>
      </c>
      <c r="G665" t="str">
        <f>_xlfn.XLOOKUP($A:$A,Instagram_Usage_Lifestyle_Mini_!$A:$A,Instagram_Usage_Lifestyle_Mini_!$C:$K)</f>
        <v>Lower_middle</v>
      </c>
      <c r="H665" t="str">
        <f>_xlfn.XLOOKUP($A:$A,Instagram_Usage_Lifestyle_Mini_!$A:$A,Instagram_Usage_Lifestyle_Mini_!$C:$K)</f>
        <v>Full_time_employed</v>
      </c>
      <c r="I665" t="str">
        <f>_xlfn.XLOOKUP($A:$A,Instagram_Usage_Lifestyle_Mini_!$A:$A,Instagram_Usage_Lifestyle_Mini_!$C:$K)</f>
        <v>Masters_degree</v>
      </c>
      <c r="J665" t="str">
        <f>_xlfn.XLOOKUP($A:$A,Instagram_Usage_Lifestyle_Mini_!$A:$A,Instagram_Usage_Lifestyle_Mini_!$C:$K)</f>
        <v>Single</v>
      </c>
      <c r="K665" t="str">
        <f>_xlfn.XLOOKUP($A:$A,Instagram_Usage_Lifestyle_Mini_!$A:$A,Instagram_Usage_Lifestyle_Mini_!$C:$K)</f>
        <v>No</v>
      </c>
      <c r="L665" t="str" cm="1">
        <f t="array" ref="L665">_xlfn.IFS(C665&lt;18,"Under_18",C665&lt;=25,"Youth",C665&lt;=35,"Young_Adults",C665&lt;=45,"Mid_Adults",TRUE,"Seniors")</f>
        <v>Young_Adults</v>
      </c>
    </row>
    <row r="666" spans="1:12" x14ac:dyDescent="0.2">
      <c r="A666">
        <v>665</v>
      </c>
      <c r="B666" t="str">
        <f>_xlfn.XLOOKUP(A666,Instagram_Usage_Lifestyle_Mini_!A666,Instagram_Usage_Lifestyle_Mini_!B666,1)</f>
        <v>Instagram</v>
      </c>
      <c r="C666">
        <f>_xlfn.XLOOKUP($A:$A,Instagram_Usage_Lifestyle_Mini_!$A:$A,Instagram_Usage_Lifestyle_Mini_!$C:$K)</f>
        <v>65</v>
      </c>
      <c r="D666" t="str">
        <f>_xlfn.XLOOKUP($A:$A,Instagram_Usage_Lifestyle_Mini_!$A:$A,Instagram_Usage_Lifestyle_Mini_!$C:$K)</f>
        <v>Female</v>
      </c>
      <c r="E666" t="str">
        <f>_xlfn.XLOOKUP($A:$A,Instagram_Usage_Lifestyle_Mini_!$A:$A,Instagram_Usage_Lifestyle_Mini_!$C:$K)</f>
        <v>Brazil</v>
      </c>
      <c r="F666" t="str">
        <f>_xlfn.XLOOKUP($A:$A,Instagram_Usage_Lifestyle_Mini_!$A:$A,Instagram_Usage_Lifestyle_Mini_!$C:$K)</f>
        <v>Urban</v>
      </c>
      <c r="G666" t="str">
        <f>_xlfn.XLOOKUP($A:$A,Instagram_Usage_Lifestyle_Mini_!$A:$A,Instagram_Usage_Lifestyle_Mini_!$C:$K)</f>
        <v>Low</v>
      </c>
      <c r="H666" t="str">
        <f>_xlfn.XLOOKUP($A:$A,Instagram_Usage_Lifestyle_Mini_!$A:$A,Instagram_Usage_Lifestyle_Mini_!$C:$K)</f>
        <v>Part_time</v>
      </c>
      <c r="I666" t="str">
        <f>_xlfn.XLOOKUP($A:$A,Instagram_Usage_Lifestyle_Mini_!$A:$A,Instagram_Usage_Lifestyle_Mini_!$C:$K)</f>
        <v>Bachelors_degree</v>
      </c>
      <c r="J666" t="str">
        <f>_xlfn.XLOOKUP($A:$A,Instagram_Usage_Lifestyle_Mini_!$A:$A,Instagram_Usage_Lifestyle_Mini_!$C:$K)</f>
        <v>Single</v>
      </c>
      <c r="K666" t="str">
        <f>_xlfn.XLOOKUP($A:$A,Instagram_Usage_Lifestyle_Mini_!$A:$A,Instagram_Usage_Lifestyle_Mini_!$C:$K)</f>
        <v>Yes</v>
      </c>
      <c r="L666" t="str" cm="1">
        <f t="array" ref="L666">_xlfn.IFS(C666&lt;18,"Under_18",C666&lt;=25,"Youth",C666&lt;=35,"Young_Adults",C666&lt;=45,"Mid_Adults",TRUE,"Seniors")</f>
        <v>Seniors</v>
      </c>
    </row>
    <row r="667" spans="1:12" x14ac:dyDescent="0.2">
      <c r="A667">
        <v>666</v>
      </c>
      <c r="B667" t="str">
        <f>_xlfn.XLOOKUP(A667,Instagram_Usage_Lifestyle_Mini_!A667,Instagram_Usage_Lifestyle_Mini_!B667,1)</f>
        <v>Instagram</v>
      </c>
      <c r="C667">
        <f>_xlfn.XLOOKUP($A:$A,Instagram_Usage_Lifestyle_Mini_!$A:$A,Instagram_Usage_Lifestyle_Mini_!$C:$K)</f>
        <v>17</v>
      </c>
      <c r="D667" t="str">
        <f>_xlfn.XLOOKUP($A:$A,Instagram_Usage_Lifestyle_Mini_!$A:$A,Instagram_Usage_Lifestyle_Mini_!$C:$K)</f>
        <v>Male</v>
      </c>
      <c r="E667" t="str">
        <f>_xlfn.XLOOKUP($A:$A,Instagram_Usage_Lifestyle_Mini_!$A:$A,Instagram_Usage_Lifestyle_Mini_!$C:$K)</f>
        <v>India</v>
      </c>
      <c r="F667" t="str">
        <f>_xlfn.XLOOKUP($A:$A,Instagram_Usage_Lifestyle_Mini_!$A:$A,Instagram_Usage_Lifestyle_Mini_!$C:$K)</f>
        <v>Urban</v>
      </c>
      <c r="G667" t="str">
        <f>_xlfn.XLOOKUP($A:$A,Instagram_Usage_Lifestyle_Mini_!$A:$A,Instagram_Usage_Lifestyle_Mini_!$C:$K)</f>
        <v>Low</v>
      </c>
      <c r="H667" t="str">
        <f>_xlfn.XLOOKUP($A:$A,Instagram_Usage_Lifestyle_Mini_!$A:$A,Instagram_Usage_Lifestyle_Mini_!$C:$K)</f>
        <v>Full_time_employed</v>
      </c>
      <c r="I667" t="str">
        <f>_xlfn.XLOOKUP($A:$A,Instagram_Usage_Lifestyle_Mini_!$A:$A,Instagram_Usage_Lifestyle_Mini_!$C:$K)</f>
        <v>Some_college</v>
      </c>
      <c r="J667" t="str">
        <f>_xlfn.XLOOKUP($A:$A,Instagram_Usage_Lifestyle_Mini_!$A:$A,Instagram_Usage_Lifestyle_Mini_!$C:$K)</f>
        <v>In_a_relationship</v>
      </c>
      <c r="K667" t="str">
        <f>_xlfn.XLOOKUP($A:$A,Instagram_Usage_Lifestyle_Mini_!$A:$A,Instagram_Usage_Lifestyle_Mini_!$C:$K)</f>
        <v>No</v>
      </c>
      <c r="L667" t="str" cm="1">
        <f t="array" ref="L667">_xlfn.IFS(C667&lt;18,"Under_18",C667&lt;=25,"Youth",C667&lt;=35,"Young_Adults",C667&lt;=45,"Mid_Adults",TRUE,"Seniors")</f>
        <v>Under_18</v>
      </c>
    </row>
    <row r="668" spans="1:12" x14ac:dyDescent="0.2">
      <c r="A668">
        <v>667</v>
      </c>
      <c r="B668" t="str">
        <f>_xlfn.XLOOKUP(A668,Instagram_Usage_Lifestyle_Mini_!A668,Instagram_Usage_Lifestyle_Mini_!B668,1)</f>
        <v>Instagram</v>
      </c>
      <c r="C668">
        <f>_xlfn.XLOOKUP($A:$A,Instagram_Usage_Lifestyle_Mini_!$A:$A,Instagram_Usage_Lifestyle_Mini_!$C:$K)</f>
        <v>47</v>
      </c>
      <c r="D668" t="str">
        <f>_xlfn.XLOOKUP($A:$A,Instagram_Usage_Lifestyle_Mini_!$A:$A,Instagram_Usage_Lifestyle_Mini_!$C:$K)</f>
        <v>Female</v>
      </c>
      <c r="E668" t="str">
        <f>_xlfn.XLOOKUP($A:$A,Instagram_Usage_Lifestyle_Mini_!$A:$A,Instagram_Usage_Lifestyle_Mini_!$C:$K)</f>
        <v>India</v>
      </c>
      <c r="F668" t="str">
        <f>_xlfn.XLOOKUP($A:$A,Instagram_Usage_Lifestyle_Mini_!$A:$A,Instagram_Usage_Lifestyle_Mini_!$C:$K)</f>
        <v>Urban</v>
      </c>
      <c r="G668" t="str">
        <f>_xlfn.XLOOKUP($A:$A,Instagram_Usage_Lifestyle_Mini_!$A:$A,Instagram_Usage_Lifestyle_Mini_!$C:$K)</f>
        <v>Middle</v>
      </c>
      <c r="H668" t="str">
        <f>_xlfn.XLOOKUP($A:$A,Instagram_Usage_Lifestyle_Mini_!$A:$A,Instagram_Usage_Lifestyle_Mini_!$C:$K)</f>
        <v>Full_time_employed</v>
      </c>
      <c r="I668" t="str">
        <f>_xlfn.XLOOKUP($A:$A,Instagram_Usage_Lifestyle_Mini_!$A:$A,Instagram_Usage_Lifestyle_Mini_!$C:$K)</f>
        <v>High_school</v>
      </c>
      <c r="J668" t="str">
        <f>_xlfn.XLOOKUP($A:$A,Instagram_Usage_Lifestyle_Mini_!$A:$A,Instagram_Usage_Lifestyle_Mini_!$C:$K)</f>
        <v>In_a_relationship</v>
      </c>
      <c r="K668" t="str">
        <f>_xlfn.XLOOKUP($A:$A,Instagram_Usage_Lifestyle_Mini_!$A:$A,Instagram_Usage_Lifestyle_Mini_!$C:$K)</f>
        <v>No</v>
      </c>
      <c r="L668" t="str" cm="1">
        <f t="array" ref="L668">_xlfn.IFS(C668&lt;18,"Under_18",C668&lt;=25,"Youth",C668&lt;=35,"Young_Adults",C668&lt;=45,"Mid_Adults",TRUE,"Seniors")</f>
        <v>Seniors</v>
      </c>
    </row>
    <row r="669" spans="1:12" x14ac:dyDescent="0.2">
      <c r="A669">
        <v>668</v>
      </c>
      <c r="B669" t="str">
        <f>_xlfn.XLOOKUP(A669,Instagram_Usage_Lifestyle_Mini_!A669,Instagram_Usage_Lifestyle_Mini_!B669,1)</f>
        <v>Instagram</v>
      </c>
      <c r="C669">
        <f>_xlfn.XLOOKUP($A:$A,Instagram_Usage_Lifestyle_Mini_!$A:$A,Instagram_Usage_Lifestyle_Mini_!$C:$K)</f>
        <v>24</v>
      </c>
      <c r="D669" t="str">
        <f>_xlfn.XLOOKUP($A:$A,Instagram_Usage_Lifestyle_Mini_!$A:$A,Instagram_Usage_Lifestyle_Mini_!$C:$K)</f>
        <v>Male</v>
      </c>
      <c r="E669" t="str">
        <f>_xlfn.XLOOKUP($A:$A,Instagram_Usage_Lifestyle_Mini_!$A:$A,Instagram_Usage_Lifestyle_Mini_!$C:$K)</f>
        <v>Australia</v>
      </c>
      <c r="F669" t="str">
        <f>_xlfn.XLOOKUP($A:$A,Instagram_Usage_Lifestyle_Mini_!$A:$A,Instagram_Usage_Lifestyle_Mini_!$C:$K)</f>
        <v>Urban</v>
      </c>
      <c r="G669" t="str">
        <f>_xlfn.XLOOKUP($A:$A,Instagram_Usage_Lifestyle_Mini_!$A:$A,Instagram_Usage_Lifestyle_Mini_!$C:$K)</f>
        <v>Middle</v>
      </c>
      <c r="H669" t="str">
        <f>_xlfn.XLOOKUP($A:$A,Instagram_Usage_Lifestyle_Mini_!$A:$A,Instagram_Usage_Lifestyle_Mini_!$C:$K)</f>
        <v>Freelancer</v>
      </c>
      <c r="I669" t="str">
        <f>_xlfn.XLOOKUP($A:$A,Instagram_Usage_Lifestyle_Mini_!$A:$A,Instagram_Usage_Lifestyle_Mini_!$C:$K)</f>
        <v>Bachelors_degree</v>
      </c>
      <c r="J669" t="str">
        <f>_xlfn.XLOOKUP($A:$A,Instagram_Usage_Lifestyle_Mini_!$A:$A,Instagram_Usage_Lifestyle_Mini_!$C:$K)</f>
        <v>In_a_relationship</v>
      </c>
      <c r="K669" t="str">
        <f>_xlfn.XLOOKUP($A:$A,Instagram_Usage_Lifestyle_Mini_!$A:$A,Instagram_Usage_Lifestyle_Mini_!$C:$K)</f>
        <v>No</v>
      </c>
      <c r="L669" t="str" cm="1">
        <f t="array" ref="L669">_xlfn.IFS(C669&lt;18,"Under_18",C669&lt;=25,"Youth",C669&lt;=35,"Young_Adults",C669&lt;=45,"Mid_Adults",TRUE,"Seniors")</f>
        <v>Youth</v>
      </c>
    </row>
    <row r="670" spans="1:12" x14ac:dyDescent="0.2">
      <c r="A670">
        <v>669</v>
      </c>
      <c r="B670" t="str">
        <f>_xlfn.XLOOKUP(A670,Instagram_Usage_Lifestyle_Mini_!A670,Instagram_Usage_Lifestyle_Mini_!B670,1)</f>
        <v>Instagram</v>
      </c>
      <c r="C670">
        <f>_xlfn.XLOOKUP($A:$A,Instagram_Usage_Lifestyle_Mini_!$A:$A,Instagram_Usage_Lifestyle_Mini_!$C:$K)</f>
        <v>37</v>
      </c>
      <c r="D670" t="str">
        <f>_xlfn.XLOOKUP($A:$A,Instagram_Usage_Lifestyle_Mini_!$A:$A,Instagram_Usage_Lifestyle_Mini_!$C:$K)</f>
        <v>Male</v>
      </c>
      <c r="E670" t="str">
        <f>_xlfn.XLOOKUP($A:$A,Instagram_Usage_Lifestyle_Mini_!$A:$A,Instagram_Usage_Lifestyle_Mini_!$C:$K)</f>
        <v>Canada</v>
      </c>
      <c r="F670" t="str">
        <f>_xlfn.XLOOKUP($A:$A,Instagram_Usage_Lifestyle_Mini_!$A:$A,Instagram_Usage_Lifestyle_Mini_!$C:$K)</f>
        <v>Urban</v>
      </c>
      <c r="G670" t="str">
        <f>_xlfn.XLOOKUP($A:$A,Instagram_Usage_Lifestyle_Mini_!$A:$A,Instagram_Usage_Lifestyle_Mini_!$C:$K)</f>
        <v>Low</v>
      </c>
      <c r="H670" t="str">
        <f>_xlfn.XLOOKUP($A:$A,Instagram_Usage_Lifestyle_Mini_!$A:$A,Instagram_Usage_Lifestyle_Mini_!$C:$K)</f>
        <v>Student</v>
      </c>
      <c r="I670" t="str">
        <f>_xlfn.XLOOKUP($A:$A,Instagram_Usage_Lifestyle_Mini_!$A:$A,Instagram_Usage_Lifestyle_Mini_!$C:$K)</f>
        <v>High_school</v>
      </c>
      <c r="J670" t="str">
        <f>_xlfn.XLOOKUP($A:$A,Instagram_Usage_Lifestyle_Mini_!$A:$A,Instagram_Usage_Lifestyle_Mini_!$C:$K)</f>
        <v>Single</v>
      </c>
      <c r="K670" t="str">
        <f>_xlfn.XLOOKUP($A:$A,Instagram_Usage_Lifestyle_Mini_!$A:$A,Instagram_Usage_Lifestyle_Mini_!$C:$K)</f>
        <v>No</v>
      </c>
      <c r="L670" t="str" cm="1">
        <f t="array" ref="L670">_xlfn.IFS(C670&lt;18,"Under_18",C670&lt;=25,"Youth",C670&lt;=35,"Young_Adults",C670&lt;=45,"Mid_Adults",TRUE,"Seniors")</f>
        <v>Mid_Adults</v>
      </c>
    </row>
    <row r="671" spans="1:12" x14ac:dyDescent="0.2">
      <c r="A671">
        <v>670</v>
      </c>
      <c r="B671" t="str">
        <f>_xlfn.XLOOKUP(A671,Instagram_Usage_Lifestyle_Mini_!A671,Instagram_Usage_Lifestyle_Mini_!B671,1)</f>
        <v>Instagram</v>
      </c>
      <c r="C671">
        <f>_xlfn.XLOOKUP($A:$A,Instagram_Usage_Lifestyle_Mini_!$A:$A,Instagram_Usage_Lifestyle_Mini_!$C:$K)</f>
        <v>64</v>
      </c>
      <c r="D671" t="str">
        <f>_xlfn.XLOOKUP($A:$A,Instagram_Usage_Lifestyle_Mini_!$A:$A,Instagram_Usage_Lifestyle_Mini_!$C:$K)</f>
        <v>Male</v>
      </c>
      <c r="E671" t="str">
        <f>_xlfn.XLOOKUP($A:$A,Instagram_Usage_Lifestyle_Mini_!$A:$A,Instagram_Usage_Lifestyle_Mini_!$C:$K)</f>
        <v>Other</v>
      </c>
      <c r="F671" t="str">
        <f>_xlfn.XLOOKUP($A:$A,Instagram_Usage_Lifestyle_Mini_!$A:$A,Instagram_Usage_Lifestyle_Mini_!$C:$K)</f>
        <v>Urban</v>
      </c>
      <c r="G671" t="str">
        <f>_xlfn.XLOOKUP($A:$A,Instagram_Usage_Lifestyle_Mini_!$A:$A,Instagram_Usage_Lifestyle_Mini_!$C:$K)</f>
        <v>Lower_middle</v>
      </c>
      <c r="H671" t="str">
        <f>_xlfn.XLOOKUP($A:$A,Instagram_Usage_Lifestyle_Mini_!$A:$A,Instagram_Usage_Lifestyle_Mini_!$C:$K)</f>
        <v>Full_time_employed</v>
      </c>
      <c r="I671" t="str">
        <f>_xlfn.XLOOKUP($A:$A,Instagram_Usage_Lifestyle_Mini_!$A:$A,Instagram_Usage_Lifestyle_Mini_!$C:$K)</f>
        <v>Some_college</v>
      </c>
      <c r="J671" t="str">
        <f>_xlfn.XLOOKUP($A:$A,Instagram_Usage_Lifestyle_Mini_!$A:$A,Instagram_Usage_Lifestyle_Mini_!$C:$K)</f>
        <v>Single</v>
      </c>
      <c r="K671" t="str">
        <f>_xlfn.XLOOKUP($A:$A,Instagram_Usage_Lifestyle_Mini_!$A:$A,Instagram_Usage_Lifestyle_Mini_!$C:$K)</f>
        <v>No</v>
      </c>
      <c r="L671" t="str" cm="1">
        <f t="array" ref="L671">_xlfn.IFS(C671&lt;18,"Under_18",C671&lt;=25,"Youth",C671&lt;=35,"Young_Adults",C671&lt;=45,"Mid_Adults",TRUE,"Seniors")</f>
        <v>Seniors</v>
      </c>
    </row>
    <row r="672" spans="1:12" x14ac:dyDescent="0.2">
      <c r="A672">
        <v>671</v>
      </c>
      <c r="B672" t="str">
        <f>_xlfn.XLOOKUP(A672,Instagram_Usage_Lifestyle_Mini_!A672,Instagram_Usage_Lifestyle_Mini_!B672,1)</f>
        <v>Instagram</v>
      </c>
      <c r="C672">
        <f>_xlfn.XLOOKUP($A:$A,Instagram_Usage_Lifestyle_Mini_!$A:$A,Instagram_Usage_Lifestyle_Mini_!$C:$K)</f>
        <v>33</v>
      </c>
      <c r="D672" t="str">
        <f>_xlfn.XLOOKUP($A:$A,Instagram_Usage_Lifestyle_Mini_!$A:$A,Instagram_Usage_Lifestyle_Mini_!$C:$K)</f>
        <v>Male</v>
      </c>
      <c r="E672" t="str">
        <f>_xlfn.XLOOKUP($A:$A,Instagram_Usage_Lifestyle_Mini_!$A:$A,Instagram_Usage_Lifestyle_Mini_!$C:$K)</f>
        <v>Japan</v>
      </c>
      <c r="F672" t="str">
        <f>_xlfn.XLOOKUP($A:$A,Instagram_Usage_Lifestyle_Mini_!$A:$A,Instagram_Usage_Lifestyle_Mini_!$C:$K)</f>
        <v>Suburban</v>
      </c>
      <c r="G672" t="str">
        <f>_xlfn.XLOOKUP($A:$A,Instagram_Usage_Lifestyle_Mini_!$A:$A,Instagram_Usage_Lifestyle_Mini_!$C:$K)</f>
        <v>Upper_middle</v>
      </c>
      <c r="H672" t="str">
        <f>_xlfn.XLOOKUP($A:$A,Instagram_Usage_Lifestyle_Mini_!$A:$A,Instagram_Usage_Lifestyle_Mini_!$C:$K)</f>
        <v>Student</v>
      </c>
      <c r="I672" t="str">
        <f>_xlfn.XLOOKUP($A:$A,Instagram_Usage_Lifestyle_Mini_!$A:$A,Instagram_Usage_Lifestyle_Mini_!$C:$K)</f>
        <v>Masters_degree</v>
      </c>
      <c r="J672" t="str">
        <f>_xlfn.XLOOKUP($A:$A,Instagram_Usage_Lifestyle_Mini_!$A:$A,Instagram_Usage_Lifestyle_Mini_!$C:$K)</f>
        <v>Divorced</v>
      </c>
      <c r="K672" t="str">
        <f>_xlfn.XLOOKUP($A:$A,Instagram_Usage_Lifestyle_Mini_!$A:$A,Instagram_Usage_Lifestyle_Mini_!$C:$K)</f>
        <v>No</v>
      </c>
      <c r="L672" t="str" cm="1">
        <f t="array" ref="L672">_xlfn.IFS(C672&lt;18,"Under_18",C672&lt;=25,"Youth",C672&lt;=35,"Young_Adults",C672&lt;=45,"Mid_Adults",TRUE,"Seniors")</f>
        <v>Young_Adults</v>
      </c>
    </row>
    <row r="673" spans="1:12" x14ac:dyDescent="0.2">
      <c r="A673">
        <v>672</v>
      </c>
      <c r="B673" t="str">
        <f>_xlfn.XLOOKUP(A673,Instagram_Usage_Lifestyle_Mini_!A673,Instagram_Usage_Lifestyle_Mini_!B673,1)</f>
        <v>Instagram</v>
      </c>
      <c r="C673">
        <f>_xlfn.XLOOKUP($A:$A,Instagram_Usage_Lifestyle_Mini_!$A:$A,Instagram_Usage_Lifestyle_Mini_!$C:$K)</f>
        <v>48</v>
      </c>
      <c r="D673" t="str">
        <f>_xlfn.XLOOKUP($A:$A,Instagram_Usage_Lifestyle_Mini_!$A:$A,Instagram_Usage_Lifestyle_Mini_!$C:$K)</f>
        <v>Male</v>
      </c>
      <c r="E673" t="str">
        <f>_xlfn.XLOOKUP($A:$A,Instagram_Usage_Lifestyle_Mini_!$A:$A,Instagram_Usage_Lifestyle_Mini_!$C:$K)</f>
        <v>United _Kingdom</v>
      </c>
      <c r="F673" t="str">
        <f>_xlfn.XLOOKUP($A:$A,Instagram_Usage_Lifestyle_Mini_!$A:$A,Instagram_Usage_Lifestyle_Mini_!$C:$K)</f>
        <v>Rural</v>
      </c>
      <c r="G673" t="str">
        <f>_xlfn.XLOOKUP($A:$A,Instagram_Usage_Lifestyle_Mini_!$A:$A,Instagram_Usage_Lifestyle_Mini_!$C:$K)</f>
        <v>Upper_middle</v>
      </c>
      <c r="H673" t="str">
        <f>_xlfn.XLOOKUP($A:$A,Instagram_Usage_Lifestyle_Mini_!$A:$A,Instagram_Usage_Lifestyle_Mini_!$C:$K)</f>
        <v>Part_time</v>
      </c>
      <c r="I673" t="str">
        <f>_xlfn.XLOOKUP($A:$A,Instagram_Usage_Lifestyle_Mini_!$A:$A,Instagram_Usage_Lifestyle_Mini_!$C:$K)</f>
        <v>High_school</v>
      </c>
      <c r="J673" t="str">
        <f>_xlfn.XLOOKUP($A:$A,Instagram_Usage_Lifestyle_Mini_!$A:$A,Instagram_Usage_Lifestyle_Mini_!$C:$K)</f>
        <v>Married</v>
      </c>
      <c r="K673" t="str">
        <f>_xlfn.XLOOKUP($A:$A,Instagram_Usage_Lifestyle_Mini_!$A:$A,Instagram_Usage_Lifestyle_Mini_!$C:$K)</f>
        <v>No</v>
      </c>
      <c r="L673" t="str" cm="1">
        <f t="array" ref="L673">_xlfn.IFS(C673&lt;18,"Under_18",C673&lt;=25,"Youth",C673&lt;=35,"Young_Adults",C673&lt;=45,"Mid_Adults",TRUE,"Seniors")</f>
        <v>Seniors</v>
      </c>
    </row>
    <row r="674" spans="1:12" x14ac:dyDescent="0.2">
      <c r="A674">
        <v>673</v>
      </c>
      <c r="B674" t="str">
        <f>_xlfn.XLOOKUP(A674,Instagram_Usage_Lifestyle_Mini_!A674,Instagram_Usage_Lifestyle_Mini_!B674,1)</f>
        <v>Instagram</v>
      </c>
      <c r="C674">
        <f>_xlfn.XLOOKUP($A:$A,Instagram_Usage_Lifestyle_Mini_!$A:$A,Instagram_Usage_Lifestyle_Mini_!$C:$K)</f>
        <v>65</v>
      </c>
      <c r="D674" t="str">
        <f>_xlfn.XLOOKUP($A:$A,Instagram_Usage_Lifestyle_Mini_!$A:$A,Instagram_Usage_Lifestyle_Mini_!$C:$K)</f>
        <v>Female</v>
      </c>
      <c r="E674" t="str">
        <f>_xlfn.XLOOKUP($A:$A,Instagram_Usage_Lifestyle_Mini_!$A:$A,Instagram_Usage_Lifestyle_Mini_!$C:$K)</f>
        <v>Other</v>
      </c>
      <c r="F674" t="str">
        <f>_xlfn.XLOOKUP($A:$A,Instagram_Usage_Lifestyle_Mini_!$A:$A,Instagram_Usage_Lifestyle_Mini_!$C:$K)</f>
        <v>Suburban</v>
      </c>
      <c r="G674" t="str">
        <f>_xlfn.XLOOKUP($A:$A,Instagram_Usage_Lifestyle_Mini_!$A:$A,Instagram_Usage_Lifestyle_Mini_!$C:$K)</f>
        <v>Low</v>
      </c>
      <c r="H674" t="str">
        <f>_xlfn.XLOOKUP($A:$A,Instagram_Usage_Lifestyle_Mini_!$A:$A,Instagram_Usage_Lifestyle_Mini_!$C:$K)</f>
        <v>Full_time_employed</v>
      </c>
      <c r="I674" t="str">
        <f>_xlfn.XLOOKUP($A:$A,Instagram_Usage_Lifestyle_Mini_!$A:$A,Instagram_Usage_Lifestyle_Mini_!$C:$K)</f>
        <v>Bachelors_degree</v>
      </c>
      <c r="J674" t="str">
        <f>_xlfn.XLOOKUP($A:$A,Instagram_Usage_Lifestyle_Mini_!$A:$A,Instagram_Usage_Lifestyle_Mini_!$C:$K)</f>
        <v>In_a_relationship</v>
      </c>
      <c r="K674" t="str">
        <f>_xlfn.XLOOKUP($A:$A,Instagram_Usage_Lifestyle_Mini_!$A:$A,Instagram_Usage_Lifestyle_Mini_!$C:$K)</f>
        <v>No</v>
      </c>
      <c r="L674" t="str" cm="1">
        <f t="array" ref="L674">_xlfn.IFS(C674&lt;18,"Under_18",C674&lt;=25,"Youth",C674&lt;=35,"Young_Adults",C674&lt;=45,"Mid_Adults",TRUE,"Seniors")</f>
        <v>Seniors</v>
      </c>
    </row>
    <row r="675" spans="1:12" x14ac:dyDescent="0.2">
      <c r="A675">
        <v>674</v>
      </c>
      <c r="B675" t="str">
        <f>_xlfn.XLOOKUP(A675,Instagram_Usage_Lifestyle_Mini_!A675,Instagram_Usage_Lifestyle_Mini_!B675,1)</f>
        <v>Instagram</v>
      </c>
      <c r="C675">
        <f>_xlfn.XLOOKUP($A:$A,Instagram_Usage_Lifestyle_Mini_!$A:$A,Instagram_Usage_Lifestyle_Mini_!$C:$K)</f>
        <v>35</v>
      </c>
      <c r="D675" t="str">
        <f>_xlfn.XLOOKUP($A:$A,Instagram_Usage_Lifestyle_Mini_!$A:$A,Instagram_Usage_Lifestyle_Mini_!$C:$K)</f>
        <v>Male</v>
      </c>
      <c r="E675" t="str">
        <f>_xlfn.XLOOKUP($A:$A,Instagram_Usage_Lifestyle_Mini_!$A:$A,Instagram_Usage_Lifestyle_Mini_!$C:$K)</f>
        <v>United _Kingdom</v>
      </c>
      <c r="F675" t="str">
        <f>_xlfn.XLOOKUP($A:$A,Instagram_Usage_Lifestyle_Mini_!$A:$A,Instagram_Usage_Lifestyle_Mini_!$C:$K)</f>
        <v>Urban</v>
      </c>
      <c r="G675" t="str">
        <f>_xlfn.XLOOKUP($A:$A,Instagram_Usage_Lifestyle_Mini_!$A:$A,Instagram_Usage_Lifestyle_Mini_!$C:$K)</f>
        <v>Upper_middle</v>
      </c>
      <c r="H675" t="str">
        <f>_xlfn.XLOOKUP($A:$A,Instagram_Usage_Lifestyle_Mini_!$A:$A,Instagram_Usage_Lifestyle_Mini_!$C:$K)</f>
        <v>Unemployed</v>
      </c>
      <c r="I675" t="str">
        <f>_xlfn.XLOOKUP($A:$A,Instagram_Usage_Lifestyle_Mini_!$A:$A,Instagram_Usage_Lifestyle_Mini_!$C:$K)</f>
        <v>High_school</v>
      </c>
      <c r="J675" t="str">
        <f>_xlfn.XLOOKUP($A:$A,Instagram_Usage_Lifestyle_Mini_!$A:$A,Instagram_Usage_Lifestyle_Mini_!$C:$K)</f>
        <v>Divorced</v>
      </c>
      <c r="K675" t="str">
        <f>_xlfn.XLOOKUP($A:$A,Instagram_Usage_Lifestyle_Mini_!$A:$A,Instagram_Usage_Lifestyle_Mini_!$C:$K)</f>
        <v>No</v>
      </c>
      <c r="L675" t="str" cm="1">
        <f t="array" ref="L675">_xlfn.IFS(C675&lt;18,"Under_18",C675&lt;=25,"Youth",C675&lt;=35,"Young_Adults",C675&lt;=45,"Mid_Adults",TRUE,"Seniors")</f>
        <v>Young_Adults</v>
      </c>
    </row>
    <row r="676" spans="1:12" x14ac:dyDescent="0.2">
      <c r="A676">
        <v>675</v>
      </c>
      <c r="B676" t="str">
        <f>_xlfn.XLOOKUP(A676,Instagram_Usage_Lifestyle_Mini_!A676,Instagram_Usage_Lifestyle_Mini_!B676,1)</f>
        <v>Instagram</v>
      </c>
      <c r="C676">
        <f>_xlfn.XLOOKUP($A:$A,Instagram_Usage_Lifestyle_Mini_!$A:$A,Instagram_Usage_Lifestyle_Mini_!$C:$K)</f>
        <v>28</v>
      </c>
      <c r="D676" t="str">
        <f>_xlfn.XLOOKUP($A:$A,Instagram_Usage_Lifestyle_Mini_!$A:$A,Instagram_Usage_Lifestyle_Mini_!$C:$K)</f>
        <v>Female</v>
      </c>
      <c r="E676" t="str">
        <f>_xlfn.XLOOKUP($A:$A,Instagram_Usage_Lifestyle_Mini_!$A:$A,Instagram_Usage_Lifestyle_Mini_!$C:$K)</f>
        <v>India</v>
      </c>
      <c r="F676" t="str">
        <f>_xlfn.XLOOKUP($A:$A,Instagram_Usage_Lifestyle_Mini_!$A:$A,Instagram_Usage_Lifestyle_Mini_!$C:$K)</f>
        <v>Rural</v>
      </c>
      <c r="G676" t="str">
        <f>_xlfn.XLOOKUP($A:$A,Instagram_Usage_Lifestyle_Mini_!$A:$A,Instagram_Usage_Lifestyle_Mini_!$C:$K)</f>
        <v>High</v>
      </c>
      <c r="H676" t="str">
        <f>_xlfn.XLOOKUP($A:$A,Instagram_Usage_Lifestyle_Mini_!$A:$A,Instagram_Usage_Lifestyle_Mini_!$C:$K)</f>
        <v>Full_time_employed</v>
      </c>
      <c r="I676" t="str">
        <f>_xlfn.XLOOKUP($A:$A,Instagram_Usage_Lifestyle_Mini_!$A:$A,Instagram_Usage_Lifestyle_Mini_!$C:$K)</f>
        <v>Some_college</v>
      </c>
      <c r="J676" t="str">
        <f>_xlfn.XLOOKUP($A:$A,Instagram_Usage_Lifestyle_Mini_!$A:$A,Instagram_Usage_Lifestyle_Mini_!$C:$K)</f>
        <v>Single</v>
      </c>
      <c r="K676" t="str">
        <f>_xlfn.XLOOKUP($A:$A,Instagram_Usage_Lifestyle_Mini_!$A:$A,Instagram_Usage_Lifestyle_Mini_!$C:$K)</f>
        <v>No</v>
      </c>
      <c r="L676" t="str" cm="1">
        <f t="array" ref="L676">_xlfn.IFS(C676&lt;18,"Under_18",C676&lt;=25,"Youth",C676&lt;=35,"Young_Adults",C676&lt;=45,"Mid_Adults",TRUE,"Seniors")</f>
        <v>Young_Adults</v>
      </c>
    </row>
    <row r="677" spans="1:12" x14ac:dyDescent="0.2">
      <c r="A677">
        <v>676</v>
      </c>
      <c r="B677" t="str">
        <f>_xlfn.XLOOKUP(A677,Instagram_Usage_Lifestyle_Mini_!A677,Instagram_Usage_Lifestyle_Mini_!B677,1)</f>
        <v>Instagram</v>
      </c>
      <c r="C677">
        <f>_xlfn.XLOOKUP($A:$A,Instagram_Usage_Lifestyle_Mini_!$A:$A,Instagram_Usage_Lifestyle_Mini_!$C:$K)</f>
        <v>51</v>
      </c>
      <c r="D677" t="str">
        <f>_xlfn.XLOOKUP($A:$A,Instagram_Usage_Lifestyle_Mini_!$A:$A,Instagram_Usage_Lifestyle_Mini_!$C:$K)</f>
        <v>Male</v>
      </c>
      <c r="E677" t="str">
        <f>_xlfn.XLOOKUP($A:$A,Instagram_Usage_Lifestyle_Mini_!$A:$A,Instagram_Usage_Lifestyle_Mini_!$C:$K)</f>
        <v>Other</v>
      </c>
      <c r="F677" t="str">
        <f>_xlfn.XLOOKUP($A:$A,Instagram_Usage_Lifestyle_Mini_!$A:$A,Instagram_Usage_Lifestyle_Mini_!$C:$K)</f>
        <v>Suburban</v>
      </c>
      <c r="G677" t="str">
        <f>_xlfn.XLOOKUP($A:$A,Instagram_Usage_Lifestyle_Mini_!$A:$A,Instagram_Usage_Lifestyle_Mini_!$C:$K)</f>
        <v>Low</v>
      </c>
      <c r="H677" t="str">
        <f>_xlfn.XLOOKUP($A:$A,Instagram_Usage_Lifestyle_Mini_!$A:$A,Instagram_Usage_Lifestyle_Mini_!$C:$K)</f>
        <v>Full_time_employed</v>
      </c>
      <c r="I677" t="str">
        <f>_xlfn.XLOOKUP($A:$A,Instagram_Usage_Lifestyle_Mini_!$A:$A,Instagram_Usage_Lifestyle_Mini_!$C:$K)</f>
        <v>Some_college</v>
      </c>
      <c r="J677" t="str">
        <f>_xlfn.XLOOKUP($A:$A,Instagram_Usage_Lifestyle_Mini_!$A:$A,Instagram_Usage_Lifestyle_Mini_!$C:$K)</f>
        <v>Married</v>
      </c>
      <c r="K677" t="str">
        <f>_xlfn.XLOOKUP($A:$A,Instagram_Usage_Lifestyle_Mini_!$A:$A,Instagram_Usage_Lifestyle_Mini_!$C:$K)</f>
        <v>No</v>
      </c>
      <c r="L677" t="str" cm="1">
        <f t="array" ref="L677">_xlfn.IFS(C677&lt;18,"Under_18",C677&lt;=25,"Youth",C677&lt;=35,"Young_Adults",C677&lt;=45,"Mid_Adults",TRUE,"Seniors")</f>
        <v>Seniors</v>
      </c>
    </row>
    <row r="678" spans="1:12" x14ac:dyDescent="0.2">
      <c r="A678">
        <v>677</v>
      </c>
      <c r="B678" t="str">
        <f>_xlfn.XLOOKUP(A678,Instagram_Usage_Lifestyle_Mini_!A678,Instagram_Usage_Lifestyle_Mini_!B678,1)</f>
        <v>Instagram</v>
      </c>
      <c r="C678">
        <f>_xlfn.XLOOKUP($A:$A,Instagram_Usage_Lifestyle_Mini_!$A:$A,Instagram_Usage_Lifestyle_Mini_!$C:$K)</f>
        <v>57</v>
      </c>
      <c r="D678" t="str">
        <f>_xlfn.XLOOKUP($A:$A,Instagram_Usage_Lifestyle_Mini_!$A:$A,Instagram_Usage_Lifestyle_Mini_!$C:$K)</f>
        <v>Female</v>
      </c>
      <c r="E678" t="str">
        <f>_xlfn.XLOOKUP($A:$A,Instagram_Usage_Lifestyle_Mini_!$A:$A,Instagram_Usage_Lifestyle_Mini_!$C:$K)</f>
        <v>South_Korea</v>
      </c>
      <c r="F678" t="str">
        <f>_xlfn.XLOOKUP($A:$A,Instagram_Usage_Lifestyle_Mini_!$A:$A,Instagram_Usage_Lifestyle_Mini_!$C:$K)</f>
        <v>Urban</v>
      </c>
      <c r="G678" t="str">
        <f>_xlfn.XLOOKUP($A:$A,Instagram_Usage_Lifestyle_Mini_!$A:$A,Instagram_Usage_Lifestyle_Mini_!$C:$K)</f>
        <v>Middle</v>
      </c>
      <c r="H678" t="str">
        <f>_xlfn.XLOOKUP($A:$A,Instagram_Usage_Lifestyle_Mini_!$A:$A,Instagram_Usage_Lifestyle_Mini_!$C:$K)</f>
        <v>Unemployed</v>
      </c>
      <c r="I678" t="str">
        <f>_xlfn.XLOOKUP($A:$A,Instagram_Usage_Lifestyle_Mini_!$A:$A,Instagram_Usage_Lifestyle_Mini_!$C:$K)</f>
        <v>Masters_degree</v>
      </c>
      <c r="J678" t="str">
        <f>_xlfn.XLOOKUP($A:$A,Instagram_Usage_Lifestyle_Mini_!$A:$A,Instagram_Usage_Lifestyle_Mini_!$C:$K)</f>
        <v>In_a_relationship</v>
      </c>
      <c r="K678" t="str">
        <f>_xlfn.XLOOKUP($A:$A,Instagram_Usage_Lifestyle_Mini_!$A:$A,Instagram_Usage_Lifestyle_Mini_!$C:$K)</f>
        <v>Yes</v>
      </c>
      <c r="L678" t="str" cm="1">
        <f t="array" ref="L678">_xlfn.IFS(C678&lt;18,"Under_18",C678&lt;=25,"Youth",C678&lt;=35,"Young_Adults",C678&lt;=45,"Mid_Adults",TRUE,"Seniors")</f>
        <v>Seniors</v>
      </c>
    </row>
    <row r="679" spans="1:12" x14ac:dyDescent="0.2">
      <c r="A679">
        <v>678</v>
      </c>
      <c r="B679" t="str">
        <f>_xlfn.XLOOKUP(A679,Instagram_Usage_Lifestyle_Mini_!A679,Instagram_Usage_Lifestyle_Mini_!B679,1)</f>
        <v>Instagram</v>
      </c>
      <c r="C679">
        <f>_xlfn.XLOOKUP($A:$A,Instagram_Usage_Lifestyle_Mini_!$A:$A,Instagram_Usage_Lifestyle_Mini_!$C:$K)</f>
        <v>65</v>
      </c>
      <c r="D679" t="str">
        <f>_xlfn.XLOOKUP($A:$A,Instagram_Usage_Lifestyle_Mini_!$A:$A,Instagram_Usage_Lifestyle_Mini_!$C:$K)</f>
        <v>Female</v>
      </c>
      <c r="E679" t="str">
        <f>_xlfn.XLOOKUP($A:$A,Instagram_Usage_Lifestyle_Mini_!$A:$A,Instagram_Usage_Lifestyle_Mini_!$C:$K)</f>
        <v>United_States</v>
      </c>
      <c r="F679" t="str">
        <f>_xlfn.XLOOKUP($A:$A,Instagram_Usage_Lifestyle_Mini_!$A:$A,Instagram_Usage_Lifestyle_Mini_!$C:$K)</f>
        <v>Urban</v>
      </c>
      <c r="G679" t="str">
        <f>_xlfn.XLOOKUP($A:$A,Instagram_Usage_Lifestyle_Mini_!$A:$A,Instagram_Usage_Lifestyle_Mini_!$C:$K)</f>
        <v>Lower_middle</v>
      </c>
      <c r="H679" t="str">
        <f>_xlfn.XLOOKUP($A:$A,Instagram_Usage_Lifestyle_Mini_!$A:$A,Instagram_Usage_Lifestyle_Mini_!$C:$K)</f>
        <v>Freelancer</v>
      </c>
      <c r="I679" t="str">
        <f>_xlfn.XLOOKUP($A:$A,Instagram_Usage_Lifestyle_Mini_!$A:$A,Instagram_Usage_Lifestyle_Mini_!$C:$K)</f>
        <v>Some_college</v>
      </c>
      <c r="J679" t="str">
        <f>_xlfn.XLOOKUP($A:$A,Instagram_Usage_Lifestyle_Mini_!$A:$A,Instagram_Usage_Lifestyle_Mini_!$C:$K)</f>
        <v>Single</v>
      </c>
      <c r="K679" t="str">
        <f>_xlfn.XLOOKUP($A:$A,Instagram_Usage_Lifestyle_Mini_!$A:$A,Instagram_Usage_Lifestyle_Mini_!$C:$K)</f>
        <v>Yes</v>
      </c>
      <c r="L679" t="str" cm="1">
        <f t="array" ref="L679">_xlfn.IFS(C679&lt;18,"Under_18",C679&lt;=25,"Youth",C679&lt;=35,"Young_Adults",C679&lt;=45,"Mid_Adults",TRUE,"Seniors")</f>
        <v>Seniors</v>
      </c>
    </row>
    <row r="680" spans="1:12" x14ac:dyDescent="0.2">
      <c r="A680">
        <v>679</v>
      </c>
      <c r="B680" t="str">
        <f>_xlfn.XLOOKUP(A680,Instagram_Usage_Lifestyle_Mini_!A680,Instagram_Usage_Lifestyle_Mini_!B680,1)</f>
        <v>Instagram</v>
      </c>
      <c r="C680">
        <f>_xlfn.XLOOKUP($A:$A,Instagram_Usage_Lifestyle_Mini_!$A:$A,Instagram_Usage_Lifestyle_Mini_!$C:$K)</f>
        <v>54</v>
      </c>
      <c r="D680" t="str">
        <f>_xlfn.XLOOKUP($A:$A,Instagram_Usage_Lifestyle_Mini_!$A:$A,Instagram_Usage_Lifestyle_Mini_!$C:$K)</f>
        <v>Female</v>
      </c>
      <c r="E680" t="str">
        <f>_xlfn.XLOOKUP($A:$A,Instagram_Usage_Lifestyle_Mini_!$A:$A,Instagram_Usage_Lifestyle_Mini_!$C:$K)</f>
        <v>United_States</v>
      </c>
      <c r="F680" t="str">
        <f>_xlfn.XLOOKUP($A:$A,Instagram_Usage_Lifestyle_Mini_!$A:$A,Instagram_Usage_Lifestyle_Mini_!$C:$K)</f>
        <v>Suburban</v>
      </c>
      <c r="G680" t="str">
        <f>_xlfn.XLOOKUP($A:$A,Instagram_Usage_Lifestyle_Mini_!$A:$A,Instagram_Usage_Lifestyle_Mini_!$C:$K)</f>
        <v>Lower_middle</v>
      </c>
      <c r="H680" t="str">
        <f>_xlfn.XLOOKUP($A:$A,Instagram_Usage_Lifestyle_Mini_!$A:$A,Instagram_Usage_Lifestyle_Mini_!$C:$K)</f>
        <v>Full_time_employed</v>
      </c>
      <c r="I680" t="str">
        <f>_xlfn.XLOOKUP($A:$A,Instagram_Usage_Lifestyle_Mini_!$A:$A,Instagram_Usage_Lifestyle_Mini_!$C:$K)</f>
        <v>Some_college</v>
      </c>
      <c r="J680" t="str">
        <f>_xlfn.XLOOKUP($A:$A,Instagram_Usage_Lifestyle_Mini_!$A:$A,Instagram_Usage_Lifestyle_Mini_!$C:$K)</f>
        <v>Married</v>
      </c>
      <c r="K680" t="str">
        <f>_xlfn.XLOOKUP($A:$A,Instagram_Usage_Lifestyle_Mini_!$A:$A,Instagram_Usage_Lifestyle_Mini_!$C:$K)</f>
        <v>No</v>
      </c>
      <c r="L680" t="str" cm="1">
        <f t="array" ref="L680">_xlfn.IFS(C680&lt;18,"Under_18",C680&lt;=25,"Youth",C680&lt;=35,"Young_Adults",C680&lt;=45,"Mid_Adults",TRUE,"Seniors")</f>
        <v>Seniors</v>
      </c>
    </row>
    <row r="681" spans="1:12" x14ac:dyDescent="0.2">
      <c r="A681">
        <v>680</v>
      </c>
      <c r="B681" t="str">
        <f>_xlfn.XLOOKUP(A681,Instagram_Usage_Lifestyle_Mini_!A681,Instagram_Usage_Lifestyle_Mini_!B681,1)</f>
        <v>Instagram</v>
      </c>
      <c r="C681">
        <f>_xlfn.XLOOKUP($A:$A,Instagram_Usage_Lifestyle_Mini_!$A:$A,Instagram_Usage_Lifestyle_Mini_!$C:$K)</f>
        <v>51</v>
      </c>
      <c r="D681" t="str">
        <f>_xlfn.XLOOKUP($A:$A,Instagram_Usage_Lifestyle_Mini_!$A:$A,Instagram_Usage_Lifestyle_Mini_!$C:$K)</f>
        <v>Female</v>
      </c>
      <c r="E681" t="str">
        <f>_xlfn.XLOOKUP($A:$A,Instagram_Usage_Lifestyle_Mini_!$A:$A,Instagram_Usage_Lifestyle_Mini_!$C:$K)</f>
        <v>United _Kingdom</v>
      </c>
      <c r="F681" t="str">
        <f>_xlfn.XLOOKUP($A:$A,Instagram_Usage_Lifestyle_Mini_!$A:$A,Instagram_Usage_Lifestyle_Mini_!$C:$K)</f>
        <v>Urban</v>
      </c>
      <c r="G681" t="str">
        <f>_xlfn.XLOOKUP($A:$A,Instagram_Usage_Lifestyle_Mini_!$A:$A,Instagram_Usage_Lifestyle_Mini_!$C:$K)</f>
        <v>Lower_middle</v>
      </c>
      <c r="H681" t="str">
        <f>_xlfn.XLOOKUP($A:$A,Instagram_Usage_Lifestyle_Mini_!$A:$A,Instagram_Usage_Lifestyle_Mini_!$C:$K)</f>
        <v>Part_time</v>
      </c>
      <c r="I681" t="str">
        <f>_xlfn.XLOOKUP($A:$A,Instagram_Usage_Lifestyle_Mini_!$A:$A,Instagram_Usage_Lifestyle_Mini_!$C:$K)</f>
        <v>Masters_degree</v>
      </c>
      <c r="J681" t="str">
        <f>_xlfn.XLOOKUP($A:$A,Instagram_Usage_Lifestyle_Mini_!$A:$A,Instagram_Usage_Lifestyle_Mini_!$C:$K)</f>
        <v>Single</v>
      </c>
      <c r="K681" t="str">
        <f>_xlfn.XLOOKUP($A:$A,Instagram_Usage_Lifestyle_Mini_!$A:$A,Instagram_Usage_Lifestyle_Mini_!$C:$K)</f>
        <v>No</v>
      </c>
      <c r="L681" t="str" cm="1">
        <f t="array" ref="L681">_xlfn.IFS(C681&lt;18,"Under_18",C681&lt;=25,"Youth",C681&lt;=35,"Young_Adults",C681&lt;=45,"Mid_Adults",TRUE,"Seniors")</f>
        <v>Seniors</v>
      </c>
    </row>
    <row r="682" spans="1:12" x14ac:dyDescent="0.2">
      <c r="A682">
        <v>681</v>
      </c>
      <c r="B682" t="str">
        <f>_xlfn.XLOOKUP(A682,Instagram_Usage_Lifestyle_Mini_!A682,Instagram_Usage_Lifestyle_Mini_!B682,1)</f>
        <v>Instagram</v>
      </c>
      <c r="C682">
        <f>_xlfn.XLOOKUP($A:$A,Instagram_Usage_Lifestyle_Mini_!$A:$A,Instagram_Usage_Lifestyle_Mini_!$C:$K)</f>
        <v>26</v>
      </c>
      <c r="D682" t="str">
        <f>_xlfn.XLOOKUP($A:$A,Instagram_Usage_Lifestyle_Mini_!$A:$A,Instagram_Usage_Lifestyle_Mini_!$C:$K)</f>
        <v>Female</v>
      </c>
      <c r="E682" t="str">
        <f>_xlfn.XLOOKUP($A:$A,Instagram_Usage_Lifestyle_Mini_!$A:$A,Instagram_Usage_Lifestyle_Mini_!$C:$K)</f>
        <v>Other</v>
      </c>
      <c r="F682" t="str">
        <f>_xlfn.XLOOKUP($A:$A,Instagram_Usage_Lifestyle_Mini_!$A:$A,Instagram_Usage_Lifestyle_Mini_!$C:$K)</f>
        <v>Rural</v>
      </c>
      <c r="G682" t="str">
        <f>_xlfn.XLOOKUP($A:$A,Instagram_Usage_Lifestyle_Mini_!$A:$A,Instagram_Usage_Lifestyle_Mini_!$C:$K)</f>
        <v>Low</v>
      </c>
      <c r="H682" t="str">
        <f>_xlfn.XLOOKUP($A:$A,Instagram_Usage_Lifestyle_Mini_!$A:$A,Instagram_Usage_Lifestyle_Mini_!$C:$K)</f>
        <v>Freelancer</v>
      </c>
      <c r="I682" t="str">
        <f>_xlfn.XLOOKUP($A:$A,Instagram_Usage_Lifestyle_Mini_!$A:$A,Instagram_Usage_Lifestyle_Mini_!$C:$K)</f>
        <v>Bachelors_degree</v>
      </c>
      <c r="J682" t="str">
        <f>_xlfn.XLOOKUP($A:$A,Instagram_Usage_Lifestyle_Mini_!$A:$A,Instagram_Usage_Lifestyle_Mini_!$C:$K)</f>
        <v>In_a_relationship</v>
      </c>
      <c r="K682" t="str">
        <f>_xlfn.XLOOKUP($A:$A,Instagram_Usage_Lifestyle_Mini_!$A:$A,Instagram_Usage_Lifestyle_Mini_!$C:$K)</f>
        <v>Yes</v>
      </c>
      <c r="L682" t="str" cm="1">
        <f t="array" ref="L682">_xlfn.IFS(C682&lt;18,"Under_18",C682&lt;=25,"Youth",C682&lt;=35,"Young_Adults",C682&lt;=45,"Mid_Adults",TRUE,"Seniors")</f>
        <v>Young_Adults</v>
      </c>
    </row>
    <row r="683" spans="1:12" x14ac:dyDescent="0.2">
      <c r="A683">
        <v>682</v>
      </c>
      <c r="B683" t="str">
        <f>_xlfn.XLOOKUP(A683,Instagram_Usage_Lifestyle_Mini_!A683,Instagram_Usage_Lifestyle_Mini_!B683,1)</f>
        <v>Instagram</v>
      </c>
      <c r="C683">
        <f>_xlfn.XLOOKUP($A:$A,Instagram_Usage_Lifestyle_Mini_!$A:$A,Instagram_Usage_Lifestyle_Mini_!$C:$K)</f>
        <v>43</v>
      </c>
      <c r="D683" t="str">
        <f>_xlfn.XLOOKUP($A:$A,Instagram_Usage_Lifestyle_Mini_!$A:$A,Instagram_Usage_Lifestyle_Mini_!$C:$K)</f>
        <v>Male</v>
      </c>
      <c r="E683" t="str">
        <f>_xlfn.XLOOKUP($A:$A,Instagram_Usage_Lifestyle_Mini_!$A:$A,Instagram_Usage_Lifestyle_Mini_!$C:$K)</f>
        <v>United_States</v>
      </c>
      <c r="F683" t="str">
        <f>_xlfn.XLOOKUP($A:$A,Instagram_Usage_Lifestyle_Mini_!$A:$A,Instagram_Usage_Lifestyle_Mini_!$C:$K)</f>
        <v>Urban</v>
      </c>
      <c r="G683" t="str">
        <f>_xlfn.XLOOKUP($A:$A,Instagram_Usage_Lifestyle_Mini_!$A:$A,Instagram_Usage_Lifestyle_Mini_!$C:$K)</f>
        <v>Middle</v>
      </c>
      <c r="H683" t="str">
        <f>_xlfn.XLOOKUP($A:$A,Instagram_Usage_Lifestyle_Mini_!$A:$A,Instagram_Usage_Lifestyle_Mini_!$C:$K)</f>
        <v>Full_time_employed</v>
      </c>
      <c r="I683" t="str">
        <f>_xlfn.XLOOKUP($A:$A,Instagram_Usage_Lifestyle_Mini_!$A:$A,Instagram_Usage_Lifestyle_Mini_!$C:$K)</f>
        <v>Masters_degree</v>
      </c>
      <c r="J683" t="str">
        <f>_xlfn.XLOOKUP($A:$A,Instagram_Usage_Lifestyle_Mini_!$A:$A,Instagram_Usage_Lifestyle_Mini_!$C:$K)</f>
        <v>Divorced</v>
      </c>
      <c r="K683" t="str">
        <f>_xlfn.XLOOKUP($A:$A,Instagram_Usage_Lifestyle_Mini_!$A:$A,Instagram_Usage_Lifestyle_Mini_!$C:$K)</f>
        <v>No</v>
      </c>
      <c r="L683" t="str" cm="1">
        <f t="array" ref="L683">_xlfn.IFS(C683&lt;18,"Under_18",C683&lt;=25,"Youth",C683&lt;=35,"Young_Adults",C683&lt;=45,"Mid_Adults",TRUE,"Seniors")</f>
        <v>Mid_Adults</v>
      </c>
    </row>
    <row r="684" spans="1:12" x14ac:dyDescent="0.2">
      <c r="A684">
        <v>683</v>
      </c>
      <c r="B684" t="str">
        <f>_xlfn.XLOOKUP(A684,Instagram_Usage_Lifestyle_Mini_!A684,Instagram_Usage_Lifestyle_Mini_!B684,1)</f>
        <v>Instagram</v>
      </c>
      <c r="C684">
        <f>_xlfn.XLOOKUP($A:$A,Instagram_Usage_Lifestyle_Mini_!$A:$A,Instagram_Usage_Lifestyle_Mini_!$C:$K)</f>
        <v>17</v>
      </c>
      <c r="D684" t="str">
        <f>_xlfn.XLOOKUP($A:$A,Instagram_Usage_Lifestyle_Mini_!$A:$A,Instagram_Usage_Lifestyle_Mini_!$C:$K)</f>
        <v>Female</v>
      </c>
      <c r="E684" t="str">
        <f>_xlfn.XLOOKUP($A:$A,Instagram_Usage_Lifestyle_Mini_!$A:$A,Instagram_Usage_Lifestyle_Mini_!$C:$K)</f>
        <v>India</v>
      </c>
      <c r="F684" t="str">
        <f>_xlfn.XLOOKUP($A:$A,Instagram_Usage_Lifestyle_Mini_!$A:$A,Instagram_Usage_Lifestyle_Mini_!$C:$K)</f>
        <v>Urban</v>
      </c>
      <c r="G684" t="str">
        <f>_xlfn.XLOOKUP($A:$A,Instagram_Usage_Lifestyle_Mini_!$A:$A,Instagram_Usage_Lifestyle_Mini_!$C:$K)</f>
        <v>Low</v>
      </c>
      <c r="H684" t="str">
        <f>_xlfn.XLOOKUP($A:$A,Instagram_Usage_Lifestyle_Mini_!$A:$A,Instagram_Usage_Lifestyle_Mini_!$C:$K)</f>
        <v>Full_time_employed</v>
      </c>
      <c r="I684" t="str">
        <f>_xlfn.XLOOKUP($A:$A,Instagram_Usage_Lifestyle_Mini_!$A:$A,Instagram_Usage_Lifestyle_Mini_!$C:$K)</f>
        <v>High_school</v>
      </c>
      <c r="J684" t="str">
        <f>_xlfn.XLOOKUP($A:$A,Instagram_Usage_Lifestyle_Mini_!$A:$A,Instagram_Usage_Lifestyle_Mini_!$C:$K)</f>
        <v>In_a_relationship</v>
      </c>
      <c r="K684" t="str">
        <f>_xlfn.XLOOKUP($A:$A,Instagram_Usage_Lifestyle_Mini_!$A:$A,Instagram_Usage_Lifestyle_Mini_!$C:$K)</f>
        <v>No</v>
      </c>
      <c r="L684" t="str" cm="1">
        <f t="array" ref="L684">_xlfn.IFS(C684&lt;18,"Under_18",C684&lt;=25,"Youth",C684&lt;=35,"Young_Adults",C684&lt;=45,"Mid_Adults",TRUE,"Seniors")</f>
        <v>Under_18</v>
      </c>
    </row>
    <row r="685" spans="1:12" x14ac:dyDescent="0.2">
      <c r="A685">
        <v>684</v>
      </c>
      <c r="B685" t="str">
        <f>_xlfn.XLOOKUP(A685,Instagram_Usage_Lifestyle_Mini_!A685,Instagram_Usage_Lifestyle_Mini_!B685,1)</f>
        <v>Instagram</v>
      </c>
      <c r="C685">
        <f>_xlfn.XLOOKUP($A:$A,Instagram_Usage_Lifestyle_Mini_!$A:$A,Instagram_Usage_Lifestyle_Mini_!$C:$K)</f>
        <v>47</v>
      </c>
      <c r="D685" t="str">
        <f>_xlfn.XLOOKUP($A:$A,Instagram_Usage_Lifestyle_Mini_!$A:$A,Instagram_Usage_Lifestyle_Mini_!$C:$K)</f>
        <v>Female</v>
      </c>
      <c r="E685" t="str">
        <f>_xlfn.XLOOKUP($A:$A,Instagram_Usage_Lifestyle_Mini_!$A:$A,Instagram_Usage_Lifestyle_Mini_!$C:$K)</f>
        <v>Brazil</v>
      </c>
      <c r="F685" t="str">
        <f>_xlfn.XLOOKUP($A:$A,Instagram_Usage_Lifestyle_Mini_!$A:$A,Instagram_Usage_Lifestyle_Mini_!$C:$K)</f>
        <v>Suburban</v>
      </c>
      <c r="G685" t="str">
        <f>_xlfn.XLOOKUP($A:$A,Instagram_Usage_Lifestyle_Mini_!$A:$A,Instagram_Usage_Lifestyle_Mini_!$C:$K)</f>
        <v>Lower_middle</v>
      </c>
      <c r="H685" t="str">
        <f>_xlfn.XLOOKUP($A:$A,Instagram_Usage_Lifestyle_Mini_!$A:$A,Instagram_Usage_Lifestyle_Mini_!$C:$K)</f>
        <v>Full_time_employed</v>
      </c>
      <c r="I685" t="str">
        <f>_xlfn.XLOOKUP($A:$A,Instagram_Usage_Lifestyle_Mini_!$A:$A,Instagram_Usage_Lifestyle_Mini_!$C:$K)</f>
        <v>Some_college</v>
      </c>
      <c r="J685" t="str">
        <f>_xlfn.XLOOKUP($A:$A,Instagram_Usage_Lifestyle_Mini_!$A:$A,Instagram_Usage_Lifestyle_Mini_!$C:$K)</f>
        <v>Single</v>
      </c>
      <c r="K685" t="str">
        <f>_xlfn.XLOOKUP($A:$A,Instagram_Usage_Lifestyle_Mini_!$A:$A,Instagram_Usage_Lifestyle_Mini_!$C:$K)</f>
        <v>Yes</v>
      </c>
      <c r="L685" t="str" cm="1">
        <f t="array" ref="L685">_xlfn.IFS(C685&lt;18,"Under_18",C685&lt;=25,"Youth",C685&lt;=35,"Young_Adults",C685&lt;=45,"Mid_Adults",TRUE,"Seniors")</f>
        <v>Seniors</v>
      </c>
    </row>
    <row r="686" spans="1:12" x14ac:dyDescent="0.2">
      <c r="A686">
        <v>685</v>
      </c>
      <c r="B686" t="str">
        <f>_xlfn.XLOOKUP(A686,Instagram_Usage_Lifestyle_Mini_!A686,Instagram_Usage_Lifestyle_Mini_!B686,1)</f>
        <v>Instagram</v>
      </c>
      <c r="C686">
        <f>_xlfn.XLOOKUP($A:$A,Instagram_Usage_Lifestyle_Mini_!$A:$A,Instagram_Usage_Lifestyle_Mini_!$C:$K)</f>
        <v>35</v>
      </c>
      <c r="D686" t="str">
        <f>_xlfn.XLOOKUP($A:$A,Instagram_Usage_Lifestyle_Mini_!$A:$A,Instagram_Usage_Lifestyle_Mini_!$C:$K)</f>
        <v>Male</v>
      </c>
      <c r="E686" t="str">
        <f>_xlfn.XLOOKUP($A:$A,Instagram_Usage_Lifestyle_Mini_!$A:$A,Instagram_Usage_Lifestyle_Mini_!$C:$K)</f>
        <v>Germany</v>
      </c>
      <c r="F686" t="str">
        <f>_xlfn.XLOOKUP($A:$A,Instagram_Usage_Lifestyle_Mini_!$A:$A,Instagram_Usage_Lifestyle_Mini_!$C:$K)</f>
        <v>Urban</v>
      </c>
      <c r="G686" t="str">
        <f>_xlfn.XLOOKUP($A:$A,Instagram_Usage_Lifestyle_Mini_!$A:$A,Instagram_Usage_Lifestyle_Mini_!$C:$K)</f>
        <v>Middle</v>
      </c>
      <c r="H686" t="str">
        <f>_xlfn.XLOOKUP($A:$A,Instagram_Usage_Lifestyle_Mini_!$A:$A,Instagram_Usage_Lifestyle_Mini_!$C:$K)</f>
        <v>Freelancer</v>
      </c>
      <c r="I686" t="str">
        <f>_xlfn.XLOOKUP($A:$A,Instagram_Usage_Lifestyle_Mini_!$A:$A,Instagram_Usage_Lifestyle_Mini_!$C:$K)</f>
        <v>Some_college</v>
      </c>
      <c r="J686" t="str">
        <f>_xlfn.XLOOKUP($A:$A,Instagram_Usage_Lifestyle_Mini_!$A:$A,Instagram_Usage_Lifestyle_Mini_!$C:$K)</f>
        <v>In_a_relationship</v>
      </c>
      <c r="K686" t="str">
        <f>_xlfn.XLOOKUP($A:$A,Instagram_Usage_Lifestyle_Mini_!$A:$A,Instagram_Usage_Lifestyle_Mini_!$C:$K)</f>
        <v>Yes</v>
      </c>
      <c r="L686" t="str" cm="1">
        <f t="array" ref="L686">_xlfn.IFS(C686&lt;18,"Under_18",C686&lt;=25,"Youth",C686&lt;=35,"Young_Adults",C686&lt;=45,"Mid_Adults",TRUE,"Seniors")</f>
        <v>Young_Adults</v>
      </c>
    </row>
    <row r="687" spans="1:12" x14ac:dyDescent="0.2">
      <c r="A687">
        <v>686</v>
      </c>
      <c r="B687" t="str">
        <f>_xlfn.XLOOKUP(A687,Instagram_Usage_Lifestyle_Mini_!A687,Instagram_Usage_Lifestyle_Mini_!B687,1)</f>
        <v>Instagram</v>
      </c>
      <c r="C687">
        <f>_xlfn.XLOOKUP($A:$A,Instagram_Usage_Lifestyle_Mini_!$A:$A,Instagram_Usage_Lifestyle_Mini_!$C:$K)</f>
        <v>41</v>
      </c>
      <c r="D687" t="str">
        <f>_xlfn.XLOOKUP($A:$A,Instagram_Usage_Lifestyle_Mini_!$A:$A,Instagram_Usage_Lifestyle_Mini_!$C:$K)</f>
        <v>Male</v>
      </c>
      <c r="E687" t="str">
        <f>_xlfn.XLOOKUP($A:$A,Instagram_Usage_Lifestyle_Mini_!$A:$A,Instagram_Usage_Lifestyle_Mini_!$C:$K)</f>
        <v>Canada</v>
      </c>
      <c r="F687" t="str">
        <f>_xlfn.XLOOKUP($A:$A,Instagram_Usage_Lifestyle_Mini_!$A:$A,Instagram_Usage_Lifestyle_Mini_!$C:$K)</f>
        <v>Rural</v>
      </c>
      <c r="G687" t="str">
        <f>_xlfn.XLOOKUP($A:$A,Instagram_Usage_Lifestyle_Mini_!$A:$A,Instagram_Usage_Lifestyle_Mini_!$C:$K)</f>
        <v>Lower_middle</v>
      </c>
      <c r="H687" t="str">
        <f>_xlfn.XLOOKUP($A:$A,Instagram_Usage_Lifestyle_Mini_!$A:$A,Instagram_Usage_Lifestyle_Mini_!$C:$K)</f>
        <v>Unemployed</v>
      </c>
      <c r="I687" t="str">
        <f>_xlfn.XLOOKUP($A:$A,Instagram_Usage_Lifestyle_Mini_!$A:$A,Instagram_Usage_Lifestyle_Mini_!$C:$K)</f>
        <v>Bachelors_degree</v>
      </c>
      <c r="J687" t="str">
        <f>_xlfn.XLOOKUP($A:$A,Instagram_Usage_Lifestyle_Mini_!$A:$A,Instagram_Usage_Lifestyle_Mini_!$C:$K)</f>
        <v>Married</v>
      </c>
      <c r="K687" t="str">
        <f>_xlfn.XLOOKUP($A:$A,Instagram_Usage_Lifestyle_Mini_!$A:$A,Instagram_Usage_Lifestyle_Mini_!$C:$K)</f>
        <v>No</v>
      </c>
      <c r="L687" t="str" cm="1">
        <f t="array" ref="L687">_xlfn.IFS(C687&lt;18,"Under_18",C687&lt;=25,"Youth",C687&lt;=35,"Young_Adults",C687&lt;=45,"Mid_Adults",TRUE,"Seniors")</f>
        <v>Mid_Adults</v>
      </c>
    </row>
    <row r="688" spans="1:12" x14ac:dyDescent="0.2">
      <c r="A688">
        <v>687</v>
      </c>
      <c r="B688" t="str">
        <f>_xlfn.XLOOKUP(A688,Instagram_Usage_Lifestyle_Mini_!A688,Instagram_Usage_Lifestyle_Mini_!B688,1)</f>
        <v>Instagram</v>
      </c>
      <c r="C688">
        <f>_xlfn.XLOOKUP($A:$A,Instagram_Usage_Lifestyle_Mini_!$A:$A,Instagram_Usage_Lifestyle_Mini_!$C:$K)</f>
        <v>55</v>
      </c>
      <c r="D688" t="str">
        <f>_xlfn.XLOOKUP($A:$A,Instagram_Usage_Lifestyle_Mini_!$A:$A,Instagram_Usage_Lifestyle_Mini_!$C:$K)</f>
        <v>Male</v>
      </c>
      <c r="E688" t="str">
        <f>_xlfn.XLOOKUP($A:$A,Instagram_Usage_Lifestyle_Mini_!$A:$A,Instagram_Usage_Lifestyle_Mini_!$C:$K)</f>
        <v>United_States</v>
      </c>
      <c r="F688" t="str">
        <f>_xlfn.XLOOKUP($A:$A,Instagram_Usage_Lifestyle_Mini_!$A:$A,Instagram_Usage_Lifestyle_Mini_!$C:$K)</f>
        <v>Urban</v>
      </c>
      <c r="G688" t="str">
        <f>_xlfn.XLOOKUP($A:$A,Instagram_Usage_Lifestyle_Mini_!$A:$A,Instagram_Usage_Lifestyle_Mini_!$C:$K)</f>
        <v>Lower_middle</v>
      </c>
      <c r="H688" t="str">
        <f>_xlfn.XLOOKUP($A:$A,Instagram_Usage_Lifestyle_Mini_!$A:$A,Instagram_Usage_Lifestyle_Mini_!$C:$K)</f>
        <v>Full_time_employed</v>
      </c>
      <c r="I688" t="str">
        <f>_xlfn.XLOOKUP($A:$A,Instagram_Usage_Lifestyle_Mini_!$A:$A,Instagram_Usage_Lifestyle_Mini_!$C:$K)</f>
        <v>High_school</v>
      </c>
      <c r="J688" t="str">
        <f>_xlfn.XLOOKUP($A:$A,Instagram_Usage_Lifestyle_Mini_!$A:$A,Instagram_Usage_Lifestyle_Mini_!$C:$K)</f>
        <v>Single</v>
      </c>
      <c r="K688" t="str">
        <f>_xlfn.XLOOKUP($A:$A,Instagram_Usage_Lifestyle_Mini_!$A:$A,Instagram_Usage_Lifestyle_Mini_!$C:$K)</f>
        <v>Yes</v>
      </c>
      <c r="L688" t="str" cm="1">
        <f t="array" ref="L688">_xlfn.IFS(C688&lt;18,"Under_18",C688&lt;=25,"Youth",C688&lt;=35,"Young_Adults",C688&lt;=45,"Mid_Adults",TRUE,"Seniors")</f>
        <v>Seniors</v>
      </c>
    </row>
    <row r="689" spans="1:12" x14ac:dyDescent="0.2">
      <c r="A689">
        <v>688</v>
      </c>
      <c r="B689" t="str">
        <f>_xlfn.XLOOKUP(A689,Instagram_Usage_Lifestyle_Mini_!A689,Instagram_Usage_Lifestyle_Mini_!B689,1)</f>
        <v>Instagram</v>
      </c>
      <c r="C689">
        <f>_xlfn.XLOOKUP($A:$A,Instagram_Usage_Lifestyle_Mini_!$A:$A,Instagram_Usage_Lifestyle_Mini_!$C:$K)</f>
        <v>23</v>
      </c>
      <c r="D689" t="str">
        <f>_xlfn.XLOOKUP($A:$A,Instagram_Usage_Lifestyle_Mini_!$A:$A,Instagram_Usage_Lifestyle_Mini_!$C:$K)</f>
        <v>Male</v>
      </c>
      <c r="E689" t="str">
        <f>_xlfn.XLOOKUP($A:$A,Instagram_Usage_Lifestyle_Mini_!$A:$A,Instagram_Usage_Lifestyle_Mini_!$C:$K)</f>
        <v>India</v>
      </c>
      <c r="F689" t="str">
        <f>_xlfn.XLOOKUP($A:$A,Instagram_Usage_Lifestyle_Mini_!$A:$A,Instagram_Usage_Lifestyle_Mini_!$C:$K)</f>
        <v>Suburban</v>
      </c>
      <c r="G689" t="str">
        <f>_xlfn.XLOOKUP($A:$A,Instagram_Usage_Lifestyle_Mini_!$A:$A,Instagram_Usage_Lifestyle_Mini_!$C:$K)</f>
        <v>Middle</v>
      </c>
      <c r="H689" t="str">
        <f>_xlfn.XLOOKUP($A:$A,Instagram_Usage_Lifestyle_Mini_!$A:$A,Instagram_Usage_Lifestyle_Mini_!$C:$K)</f>
        <v>Full_time_employed</v>
      </c>
      <c r="I689" t="str">
        <f>_xlfn.XLOOKUP($A:$A,Instagram_Usage_Lifestyle_Mini_!$A:$A,Instagram_Usage_Lifestyle_Mini_!$C:$K)</f>
        <v>Bachelors_degree</v>
      </c>
      <c r="J689" t="str">
        <f>_xlfn.XLOOKUP($A:$A,Instagram_Usage_Lifestyle_Mini_!$A:$A,Instagram_Usage_Lifestyle_Mini_!$C:$K)</f>
        <v>Married</v>
      </c>
      <c r="K689" t="str">
        <f>_xlfn.XLOOKUP($A:$A,Instagram_Usage_Lifestyle_Mini_!$A:$A,Instagram_Usage_Lifestyle_Mini_!$C:$K)</f>
        <v>No</v>
      </c>
      <c r="L689" t="str" cm="1">
        <f t="array" ref="L689">_xlfn.IFS(C689&lt;18,"Under_18",C689&lt;=25,"Youth",C689&lt;=35,"Young_Adults",C689&lt;=45,"Mid_Adults",TRUE,"Seniors")</f>
        <v>Youth</v>
      </c>
    </row>
    <row r="690" spans="1:12" x14ac:dyDescent="0.2">
      <c r="A690">
        <v>689</v>
      </c>
      <c r="B690" t="str">
        <f>_xlfn.XLOOKUP(A690,Instagram_Usage_Lifestyle_Mini_!A690,Instagram_Usage_Lifestyle_Mini_!B690,1)</f>
        <v>Instagram</v>
      </c>
      <c r="C690">
        <f>_xlfn.XLOOKUP($A:$A,Instagram_Usage_Lifestyle_Mini_!$A:$A,Instagram_Usage_Lifestyle_Mini_!$C:$K)</f>
        <v>30</v>
      </c>
      <c r="D690" t="str">
        <f>_xlfn.XLOOKUP($A:$A,Instagram_Usage_Lifestyle_Mini_!$A:$A,Instagram_Usage_Lifestyle_Mini_!$C:$K)</f>
        <v>Female</v>
      </c>
      <c r="E690" t="str">
        <f>_xlfn.XLOOKUP($A:$A,Instagram_Usage_Lifestyle_Mini_!$A:$A,Instagram_Usage_Lifestyle_Mini_!$C:$K)</f>
        <v>Other</v>
      </c>
      <c r="F690" t="str">
        <f>_xlfn.XLOOKUP($A:$A,Instagram_Usage_Lifestyle_Mini_!$A:$A,Instagram_Usage_Lifestyle_Mini_!$C:$K)</f>
        <v>Urban</v>
      </c>
      <c r="G690" t="str">
        <f>_xlfn.XLOOKUP($A:$A,Instagram_Usage_Lifestyle_Mini_!$A:$A,Instagram_Usage_Lifestyle_Mini_!$C:$K)</f>
        <v>Lower_middle</v>
      </c>
      <c r="H690" t="str">
        <f>_xlfn.XLOOKUP($A:$A,Instagram_Usage_Lifestyle_Mini_!$A:$A,Instagram_Usage_Lifestyle_Mini_!$C:$K)</f>
        <v>Student</v>
      </c>
      <c r="I690" t="str">
        <f>_xlfn.XLOOKUP($A:$A,Instagram_Usage_Lifestyle_Mini_!$A:$A,Instagram_Usage_Lifestyle_Mini_!$C:$K)</f>
        <v>High_school</v>
      </c>
      <c r="J690" t="str">
        <f>_xlfn.XLOOKUP($A:$A,Instagram_Usage_Lifestyle_Mini_!$A:$A,Instagram_Usage_Lifestyle_Mini_!$C:$K)</f>
        <v>In_a_relationship</v>
      </c>
      <c r="K690" t="str">
        <f>_xlfn.XLOOKUP($A:$A,Instagram_Usage_Lifestyle_Mini_!$A:$A,Instagram_Usage_Lifestyle_Mini_!$C:$K)</f>
        <v>Yes</v>
      </c>
      <c r="L690" t="str" cm="1">
        <f t="array" ref="L690">_xlfn.IFS(C690&lt;18,"Under_18",C690&lt;=25,"Youth",C690&lt;=35,"Young_Adults",C690&lt;=45,"Mid_Adults",TRUE,"Seniors")</f>
        <v>Young_Adults</v>
      </c>
    </row>
    <row r="691" spans="1:12" x14ac:dyDescent="0.2">
      <c r="A691">
        <v>690</v>
      </c>
      <c r="B691" t="str">
        <f>_xlfn.XLOOKUP(A691,Instagram_Usage_Lifestyle_Mini_!A691,Instagram_Usage_Lifestyle_Mini_!B691,1)</f>
        <v>Instagram</v>
      </c>
      <c r="C691">
        <f>_xlfn.XLOOKUP($A:$A,Instagram_Usage_Lifestyle_Mini_!$A:$A,Instagram_Usage_Lifestyle_Mini_!$C:$K)</f>
        <v>59</v>
      </c>
      <c r="D691" t="str">
        <f>_xlfn.XLOOKUP($A:$A,Instagram_Usage_Lifestyle_Mini_!$A:$A,Instagram_Usage_Lifestyle_Mini_!$C:$K)</f>
        <v>Female</v>
      </c>
      <c r="E691" t="str">
        <f>_xlfn.XLOOKUP($A:$A,Instagram_Usage_Lifestyle_Mini_!$A:$A,Instagram_Usage_Lifestyle_Mini_!$C:$K)</f>
        <v>United_States</v>
      </c>
      <c r="F691" t="str">
        <f>_xlfn.XLOOKUP($A:$A,Instagram_Usage_Lifestyle_Mini_!$A:$A,Instagram_Usage_Lifestyle_Mini_!$C:$K)</f>
        <v>Urban</v>
      </c>
      <c r="G691" t="str">
        <f>_xlfn.XLOOKUP($A:$A,Instagram_Usage_Lifestyle_Mini_!$A:$A,Instagram_Usage_Lifestyle_Mini_!$C:$K)</f>
        <v>Lower_middle</v>
      </c>
      <c r="H691" t="str">
        <f>_xlfn.XLOOKUP($A:$A,Instagram_Usage_Lifestyle_Mini_!$A:$A,Instagram_Usage_Lifestyle_Mini_!$C:$K)</f>
        <v>Full_time_employed</v>
      </c>
      <c r="I691" t="str">
        <f>_xlfn.XLOOKUP($A:$A,Instagram_Usage_Lifestyle_Mini_!$A:$A,Instagram_Usage_Lifestyle_Mini_!$C:$K)</f>
        <v>High_school</v>
      </c>
      <c r="J691" t="str">
        <f>_xlfn.XLOOKUP($A:$A,Instagram_Usage_Lifestyle_Mini_!$A:$A,Instagram_Usage_Lifestyle_Mini_!$C:$K)</f>
        <v>In_a_relationship</v>
      </c>
      <c r="K691" t="str">
        <f>_xlfn.XLOOKUP($A:$A,Instagram_Usage_Lifestyle_Mini_!$A:$A,Instagram_Usage_Lifestyle_Mini_!$C:$K)</f>
        <v>No</v>
      </c>
      <c r="L691" t="str" cm="1">
        <f t="array" ref="L691">_xlfn.IFS(C691&lt;18,"Under_18",C691&lt;=25,"Youth",C691&lt;=35,"Young_Adults",C691&lt;=45,"Mid_Adults",TRUE,"Seniors")</f>
        <v>Seniors</v>
      </c>
    </row>
    <row r="692" spans="1:12" x14ac:dyDescent="0.2">
      <c r="A692">
        <v>691</v>
      </c>
      <c r="B692" t="str">
        <f>_xlfn.XLOOKUP(A692,Instagram_Usage_Lifestyle_Mini_!A692,Instagram_Usage_Lifestyle_Mini_!B692,1)</f>
        <v>Instagram</v>
      </c>
      <c r="C692">
        <f>_xlfn.XLOOKUP($A:$A,Instagram_Usage_Lifestyle_Mini_!$A:$A,Instagram_Usage_Lifestyle_Mini_!$C:$K)</f>
        <v>24</v>
      </c>
      <c r="D692" t="str">
        <f>_xlfn.XLOOKUP($A:$A,Instagram_Usage_Lifestyle_Mini_!$A:$A,Instagram_Usage_Lifestyle_Mini_!$C:$K)</f>
        <v>Male</v>
      </c>
      <c r="E692" t="str">
        <f>_xlfn.XLOOKUP($A:$A,Instagram_Usage_Lifestyle_Mini_!$A:$A,Instagram_Usage_Lifestyle_Mini_!$C:$K)</f>
        <v>Brazil</v>
      </c>
      <c r="F692" t="str">
        <f>_xlfn.XLOOKUP($A:$A,Instagram_Usage_Lifestyle_Mini_!$A:$A,Instagram_Usage_Lifestyle_Mini_!$C:$K)</f>
        <v>Urban</v>
      </c>
      <c r="G692" t="str">
        <f>_xlfn.XLOOKUP($A:$A,Instagram_Usage_Lifestyle_Mini_!$A:$A,Instagram_Usage_Lifestyle_Mini_!$C:$K)</f>
        <v>Low</v>
      </c>
      <c r="H692" t="str">
        <f>_xlfn.XLOOKUP($A:$A,Instagram_Usage_Lifestyle_Mini_!$A:$A,Instagram_Usage_Lifestyle_Mini_!$C:$K)</f>
        <v>Unemployed</v>
      </c>
      <c r="I692" t="str">
        <f>_xlfn.XLOOKUP($A:$A,Instagram_Usage_Lifestyle_Mini_!$A:$A,Instagram_Usage_Lifestyle_Mini_!$C:$K)</f>
        <v>Bachelors_degree</v>
      </c>
      <c r="J692" t="str">
        <f>_xlfn.XLOOKUP($A:$A,Instagram_Usage_Lifestyle_Mini_!$A:$A,Instagram_Usage_Lifestyle_Mini_!$C:$K)</f>
        <v>Divorced</v>
      </c>
      <c r="K692" t="str">
        <f>_xlfn.XLOOKUP($A:$A,Instagram_Usage_Lifestyle_Mini_!$A:$A,Instagram_Usage_Lifestyle_Mini_!$C:$K)</f>
        <v>Yes</v>
      </c>
      <c r="L692" t="str" cm="1">
        <f t="array" ref="L692">_xlfn.IFS(C692&lt;18,"Under_18",C692&lt;=25,"Youth",C692&lt;=35,"Young_Adults",C692&lt;=45,"Mid_Adults",TRUE,"Seniors")</f>
        <v>Youth</v>
      </c>
    </row>
    <row r="693" spans="1:12" x14ac:dyDescent="0.2">
      <c r="A693">
        <v>692</v>
      </c>
      <c r="B693" t="str">
        <f>_xlfn.XLOOKUP(A693,Instagram_Usage_Lifestyle_Mini_!A693,Instagram_Usage_Lifestyle_Mini_!B693,1)</f>
        <v>Instagram</v>
      </c>
      <c r="C693">
        <f>_xlfn.XLOOKUP($A:$A,Instagram_Usage_Lifestyle_Mini_!$A:$A,Instagram_Usage_Lifestyle_Mini_!$C:$K)</f>
        <v>21</v>
      </c>
      <c r="D693" t="str">
        <f>_xlfn.XLOOKUP($A:$A,Instagram_Usage_Lifestyle_Mini_!$A:$A,Instagram_Usage_Lifestyle_Mini_!$C:$K)</f>
        <v>Non_binary</v>
      </c>
      <c r="E693" t="str">
        <f>_xlfn.XLOOKUP($A:$A,Instagram_Usage_Lifestyle_Mini_!$A:$A,Instagram_Usage_Lifestyle_Mini_!$C:$K)</f>
        <v>India</v>
      </c>
      <c r="F693" t="str">
        <f>_xlfn.XLOOKUP($A:$A,Instagram_Usage_Lifestyle_Mini_!$A:$A,Instagram_Usage_Lifestyle_Mini_!$C:$K)</f>
        <v>Urban</v>
      </c>
      <c r="G693" t="str">
        <f>_xlfn.XLOOKUP($A:$A,Instagram_Usage_Lifestyle_Mini_!$A:$A,Instagram_Usage_Lifestyle_Mini_!$C:$K)</f>
        <v>High</v>
      </c>
      <c r="H693" t="str">
        <f>_xlfn.XLOOKUP($A:$A,Instagram_Usage_Lifestyle_Mini_!$A:$A,Instagram_Usage_Lifestyle_Mini_!$C:$K)</f>
        <v>Student</v>
      </c>
      <c r="I693" t="str">
        <f>_xlfn.XLOOKUP($A:$A,Instagram_Usage_Lifestyle_Mini_!$A:$A,Instagram_Usage_Lifestyle_Mini_!$C:$K)</f>
        <v>Bachelors_degree</v>
      </c>
      <c r="J693" t="str">
        <f>_xlfn.XLOOKUP($A:$A,Instagram_Usage_Lifestyle_Mini_!$A:$A,Instagram_Usage_Lifestyle_Mini_!$C:$K)</f>
        <v>Single</v>
      </c>
      <c r="K693" t="str">
        <f>_xlfn.XLOOKUP($A:$A,Instagram_Usage_Lifestyle_Mini_!$A:$A,Instagram_Usage_Lifestyle_Mini_!$C:$K)</f>
        <v>No</v>
      </c>
      <c r="L693" t="str" cm="1">
        <f t="array" ref="L693">_xlfn.IFS(C693&lt;18,"Under_18",C693&lt;=25,"Youth",C693&lt;=35,"Young_Adults",C693&lt;=45,"Mid_Adults",TRUE,"Seniors")</f>
        <v>Youth</v>
      </c>
    </row>
    <row r="694" spans="1:12" x14ac:dyDescent="0.2">
      <c r="A694">
        <v>693</v>
      </c>
      <c r="B694" t="str">
        <f>_xlfn.XLOOKUP(A694,Instagram_Usage_Lifestyle_Mini_!A694,Instagram_Usage_Lifestyle_Mini_!B694,1)</f>
        <v>Instagram</v>
      </c>
      <c r="C694">
        <f>_xlfn.XLOOKUP($A:$A,Instagram_Usage_Lifestyle_Mini_!$A:$A,Instagram_Usage_Lifestyle_Mini_!$C:$K)</f>
        <v>22</v>
      </c>
      <c r="D694" t="str">
        <f>_xlfn.XLOOKUP($A:$A,Instagram_Usage_Lifestyle_Mini_!$A:$A,Instagram_Usage_Lifestyle_Mini_!$C:$K)</f>
        <v>Male</v>
      </c>
      <c r="E694" t="str">
        <f>_xlfn.XLOOKUP($A:$A,Instagram_Usage_Lifestyle_Mini_!$A:$A,Instagram_Usage_Lifestyle_Mini_!$C:$K)</f>
        <v>Brazil</v>
      </c>
      <c r="F694" t="str">
        <f>_xlfn.XLOOKUP($A:$A,Instagram_Usage_Lifestyle_Mini_!$A:$A,Instagram_Usage_Lifestyle_Mini_!$C:$K)</f>
        <v>Suburban</v>
      </c>
      <c r="G694" t="str">
        <f>_xlfn.XLOOKUP($A:$A,Instagram_Usage_Lifestyle_Mini_!$A:$A,Instagram_Usage_Lifestyle_Mini_!$C:$K)</f>
        <v>Middle</v>
      </c>
      <c r="H694" t="str">
        <f>_xlfn.XLOOKUP($A:$A,Instagram_Usage_Lifestyle_Mini_!$A:$A,Instagram_Usage_Lifestyle_Mini_!$C:$K)</f>
        <v>Full_time_employed</v>
      </c>
      <c r="I694" t="str">
        <f>_xlfn.XLOOKUP($A:$A,Instagram_Usage_Lifestyle_Mini_!$A:$A,Instagram_Usage_Lifestyle_Mini_!$C:$K)</f>
        <v>Masters_degree</v>
      </c>
      <c r="J694" t="str">
        <f>_xlfn.XLOOKUP($A:$A,Instagram_Usage_Lifestyle_Mini_!$A:$A,Instagram_Usage_Lifestyle_Mini_!$C:$K)</f>
        <v>Married</v>
      </c>
      <c r="K694" t="str">
        <f>_xlfn.XLOOKUP($A:$A,Instagram_Usage_Lifestyle_Mini_!$A:$A,Instagram_Usage_Lifestyle_Mini_!$C:$K)</f>
        <v>Yes</v>
      </c>
      <c r="L694" t="str" cm="1">
        <f t="array" ref="L694">_xlfn.IFS(C694&lt;18,"Under_18",C694&lt;=25,"Youth",C694&lt;=35,"Young_Adults",C694&lt;=45,"Mid_Adults",TRUE,"Seniors")</f>
        <v>Youth</v>
      </c>
    </row>
    <row r="695" spans="1:12" x14ac:dyDescent="0.2">
      <c r="A695">
        <v>694</v>
      </c>
      <c r="B695" t="str">
        <f>_xlfn.XLOOKUP(A695,Instagram_Usage_Lifestyle_Mini_!A695,Instagram_Usage_Lifestyle_Mini_!B695,1)</f>
        <v>Instagram</v>
      </c>
      <c r="C695">
        <f>_xlfn.XLOOKUP($A:$A,Instagram_Usage_Lifestyle_Mini_!$A:$A,Instagram_Usage_Lifestyle_Mini_!$C:$K)</f>
        <v>56</v>
      </c>
      <c r="D695" t="str">
        <f>_xlfn.XLOOKUP($A:$A,Instagram_Usage_Lifestyle_Mini_!$A:$A,Instagram_Usage_Lifestyle_Mini_!$C:$K)</f>
        <v>Male</v>
      </c>
      <c r="E695" t="str">
        <f>_xlfn.XLOOKUP($A:$A,Instagram_Usage_Lifestyle_Mini_!$A:$A,Instagram_Usage_Lifestyle_Mini_!$C:$K)</f>
        <v>India</v>
      </c>
      <c r="F695" t="str">
        <f>_xlfn.XLOOKUP($A:$A,Instagram_Usage_Lifestyle_Mini_!$A:$A,Instagram_Usage_Lifestyle_Mini_!$C:$K)</f>
        <v>Urban</v>
      </c>
      <c r="G695" t="str">
        <f>_xlfn.XLOOKUP($A:$A,Instagram_Usage_Lifestyle_Mini_!$A:$A,Instagram_Usage_Lifestyle_Mini_!$C:$K)</f>
        <v>Middle</v>
      </c>
      <c r="H695" t="str">
        <f>_xlfn.XLOOKUP($A:$A,Instagram_Usage_Lifestyle_Mini_!$A:$A,Instagram_Usage_Lifestyle_Mini_!$C:$K)</f>
        <v>Full_time_employed</v>
      </c>
      <c r="I695" t="str">
        <f>_xlfn.XLOOKUP($A:$A,Instagram_Usage_Lifestyle_Mini_!$A:$A,Instagram_Usage_Lifestyle_Mini_!$C:$K)</f>
        <v>Bachelors_degree</v>
      </c>
      <c r="J695" t="str">
        <f>_xlfn.XLOOKUP($A:$A,Instagram_Usage_Lifestyle_Mini_!$A:$A,Instagram_Usage_Lifestyle_Mini_!$C:$K)</f>
        <v>Single</v>
      </c>
      <c r="K695" t="str">
        <f>_xlfn.XLOOKUP($A:$A,Instagram_Usage_Lifestyle_Mini_!$A:$A,Instagram_Usage_Lifestyle_Mini_!$C:$K)</f>
        <v>No</v>
      </c>
      <c r="L695" t="str" cm="1">
        <f t="array" ref="L695">_xlfn.IFS(C695&lt;18,"Under_18",C695&lt;=25,"Youth",C695&lt;=35,"Young_Adults",C695&lt;=45,"Mid_Adults",TRUE,"Seniors")</f>
        <v>Seniors</v>
      </c>
    </row>
    <row r="696" spans="1:12" x14ac:dyDescent="0.2">
      <c r="A696">
        <v>695</v>
      </c>
      <c r="B696" t="str">
        <f>_xlfn.XLOOKUP(A696,Instagram_Usage_Lifestyle_Mini_!A696,Instagram_Usage_Lifestyle_Mini_!B696,1)</f>
        <v>Instagram</v>
      </c>
      <c r="C696">
        <f>_xlfn.XLOOKUP($A:$A,Instagram_Usage_Lifestyle_Mini_!$A:$A,Instagram_Usage_Lifestyle_Mini_!$C:$K)</f>
        <v>29</v>
      </c>
      <c r="D696" t="str">
        <f>_xlfn.XLOOKUP($A:$A,Instagram_Usage_Lifestyle_Mini_!$A:$A,Instagram_Usage_Lifestyle_Mini_!$C:$K)</f>
        <v>Male</v>
      </c>
      <c r="E696" t="str">
        <f>_xlfn.XLOOKUP($A:$A,Instagram_Usage_Lifestyle_Mini_!$A:$A,Instagram_Usage_Lifestyle_Mini_!$C:$K)</f>
        <v>Brazil</v>
      </c>
      <c r="F696" t="str">
        <f>_xlfn.XLOOKUP($A:$A,Instagram_Usage_Lifestyle_Mini_!$A:$A,Instagram_Usage_Lifestyle_Mini_!$C:$K)</f>
        <v>Urban</v>
      </c>
      <c r="G696" t="str">
        <f>_xlfn.XLOOKUP($A:$A,Instagram_Usage_Lifestyle_Mini_!$A:$A,Instagram_Usage_Lifestyle_Mini_!$C:$K)</f>
        <v>Low</v>
      </c>
      <c r="H696" t="str">
        <f>_xlfn.XLOOKUP($A:$A,Instagram_Usage_Lifestyle_Mini_!$A:$A,Instagram_Usage_Lifestyle_Mini_!$C:$K)</f>
        <v>Full_time_employed</v>
      </c>
      <c r="I696" t="str">
        <f>_xlfn.XLOOKUP($A:$A,Instagram_Usage_Lifestyle_Mini_!$A:$A,Instagram_Usage_Lifestyle_Mini_!$C:$K)</f>
        <v>Some_college</v>
      </c>
      <c r="J696" t="str">
        <f>_xlfn.XLOOKUP($A:$A,Instagram_Usage_Lifestyle_Mini_!$A:$A,Instagram_Usage_Lifestyle_Mini_!$C:$K)</f>
        <v>Married</v>
      </c>
      <c r="K696" t="str">
        <f>_xlfn.XLOOKUP($A:$A,Instagram_Usage_Lifestyle_Mini_!$A:$A,Instagram_Usage_Lifestyle_Mini_!$C:$K)</f>
        <v>No</v>
      </c>
      <c r="L696" t="str" cm="1">
        <f t="array" ref="L696">_xlfn.IFS(C696&lt;18,"Under_18",C696&lt;=25,"Youth",C696&lt;=35,"Young_Adults",C696&lt;=45,"Mid_Adults",TRUE,"Seniors")</f>
        <v>Young_Adults</v>
      </c>
    </row>
    <row r="697" spans="1:12" x14ac:dyDescent="0.2">
      <c r="A697">
        <v>696</v>
      </c>
      <c r="B697" t="str">
        <f>_xlfn.XLOOKUP(A697,Instagram_Usage_Lifestyle_Mini_!A697,Instagram_Usage_Lifestyle_Mini_!B697,1)</f>
        <v>Instagram</v>
      </c>
      <c r="C697">
        <f>_xlfn.XLOOKUP($A:$A,Instagram_Usage_Lifestyle_Mini_!$A:$A,Instagram_Usage_Lifestyle_Mini_!$C:$K)</f>
        <v>50</v>
      </c>
      <c r="D697" t="str">
        <f>_xlfn.XLOOKUP($A:$A,Instagram_Usage_Lifestyle_Mini_!$A:$A,Instagram_Usage_Lifestyle_Mini_!$C:$K)</f>
        <v>Female</v>
      </c>
      <c r="E697" t="str">
        <f>_xlfn.XLOOKUP($A:$A,Instagram_Usage_Lifestyle_Mini_!$A:$A,Instagram_Usage_Lifestyle_Mini_!$C:$K)</f>
        <v>United_States</v>
      </c>
      <c r="F697" t="str">
        <f>_xlfn.XLOOKUP($A:$A,Instagram_Usage_Lifestyle_Mini_!$A:$A,Instagram_Usage_Lifestyle_Mini_!$C:$K)</f>
        <v>Urban</v>
      </c>
      <c r="G697" t="str">
        <f>_xlfn.XLOOKUP($A:$A,Instagram_Usage_Lifestyle_Mini_!$A:$A,Instagram_Usage_Lifestyle_Mini_!$C:$K)</f>
        <v>Lower_middle</v>
      </c>
      <c r="H697" t="str">
        <f>_xlfn.XLOOKUP($A:$A,Instagram_Usage_Lifestyle_Mini_!$A:$A,Instagram_Usage_Lifestyle_Mini_!$C:$K)</f>
        <v>Full_time_employed</v>
      </c>
      <c r="I697" t="str">
        <f>_xlfn.XLOOKUP($A:$A,Instagram_Usage_Lifestyle_Mini_!$A:$A,Instagram_Usage_Lifestyle_Mini_!$C:$K)</f>
        <v>Masters_degree</v>
      </c>
      <c r="J697" t="str">
        <f>_xlfn.XLOOKUP($A:$A,Instagram_Usage_Lifestyle_Mini_!$A:$A,Instagram_Usage_Lifestyle_Mini_!$C:$K)</f>
        <v>Married</v>
      </c>
      <c r="K697" t="str">
        <f>_xlfn.XLOOKUP($A:$A,Instagram_Usage_Lifestyle_Mini_!$A:$A,Instagram_Usage_Lifestyle_Mini_!$C:$K)</f>
        <v>No</v>
      </c>
      <c r="L697" t="str" cm="1">
        <f t="array" ref="L697">_xlfn.IFS(C697&lt;18,"Under_18",C697&lt;=25,"Youth",C697&lt;=35,"Young_Adults",C697&lt;=45,"Mid_Adults",TRUE,"Seniors")</f>
        <v>Seniors</v>
      </c>
    </row>
    <row r="698" spans="1:12" x14ac:dyDescent="0.2">
      <c r="A698">
        <v>697</v>
      </c>
      <c r="B698" t="str">
        <f>_xlfn.XLOOKUP(A698,Instagram_Usage_Lifestyle_Mini_!A698,Instagram_Usage_Lifestyle_Mini_!B698,1)</f>
        <v>Instagram</v>
      </c>
      <c r="C698">
        <f>_xlfn.XLOOKUP($A:$A,Instagram_Usage_Lifestyle_Mini_!$A:$A,Instagram_Usage_Lifestyle_Mini_!$C:$K)</f>
        <v>19</v>
      </c>
      <c r="D698" t="str">
        <f>_xlfn.XLOOKUP($A:$A,Instagram_Usage_Lifestyle_Mini_!$A:$A,Instagram_Usage_Lifestyle_Mini_!$C:$K)</f>
        <v>Female</v>
      </c>
      <c r="E698" t="str">
        <f>_xlfn.XLOOKUP($A:$A,Instagram_Usage_Lifestyle_Mini_!$A:$A,Instagram_Usage_Lifestyle_Mini_!$C:$K)</f>
        <v>Canada</v>
      </c>
      <c r="F698" t="str">
        <f>_xlfn.XLOOKUP($A:$A,Instagram_Usage_Lifestyle_Mini_!$A:$A,Instagram_Usage_Lifestyle_Mini_!$C:$K)</f>
        <v>Urban</v>
      </c>
      <c r="G698" t="str">
        <f>_xlfn.XLOOKUP($A:$A,Instagram_Usage_Lifestyle_Mini_!$A:$A,Instagram_Usage_Lifestyle_Mini_!$C:$K)</f>
        <v>Middle</v>
      </c>
      <c r="H698" t="str">
        <f>_xlfn.XLOOKUP($A:$A,Instagram_Usage_Lifestyle_Mini_!$A:$A,Instagram_Usage_Lifestyle_Mini_!$C:$K)</f>
        <v>Student</v>
      </c>
      <c r="I698" t="str">
        <f>_xlfn.XLOOKUP($A:$A,Instagram_Usage_Lifestyle_Mini_!$A:$A,Instagram_Usage_Lifestyle_Mini_!$C:$K)</f>
        <v>Bachelors_degree</v>
      </c>
      <c r="J698" t="str">
        <f>_xlfn.XLOOKUP($A:$A,Instagram_Usage_Lifestyle_Mini_!$A:$A,Instagram_Usage_Lifestyle_Mini_!$C:$K)</f>
        <v>Married</v>
      </c>
      <c r="K698" t="str">
        <f>_xlfn.XLOOKUP($A:$A,Instagram_Usage_Lifestyle_Mini_!$A:$A,Instagram_Usage_Lifestyle_Mini_!$C:$K)</f>
        <v>Yes</v>
      </c>
      <c r="L698" t="str" cm="1">
        <f t="array" ref="L698">_xlfn.IFS(C698&lt;18,"Under_18",C698&lt;=25,"Youth",C698&lt;=35,"Young_Adults",C698&lt;=45,"Mid_Adults",TRUE,"Seniors")</f>
        <v>Youth</v>
      </c>
    </row>
    <row r="699" spans="1:12" x14ac:dyDescent="0.2">
      <c r="A699">
        <v>698</v>
      </c>
      <c r="B699" t="str">
        <f>_xlfn.XLOOKUP(A699,Instagram_Usage_Lifestyle_Mini_!A699,Instagram_Usage_Lifestyle_Mini_!B699,1)</f>
        <v>Instagram</v>
      </c>
      <c r="C699">
        <f>_xlfn.XLOOKUP($A:$A,Instagram_Usage_Lifestyle_Mini_!$A:$A,Instagram_Usage_Lifestyle_Mini_!$C:$K)</f>
        <v>58</v>
      </c>
      <c r="D699" t="str">
        <f>_xlfn.XLOOKUP($A:$A,Instagram_Usage_Lifestyle_Mini_!$A:$A,Instagram_Usage_Lifestyle_Mini_!$C:$K)</f>
        <v>Female</v>
      </c>
      <c r="E699" t="str">
        <f>_xlfn.XLOOKUP($A:$A,Instagram_Usage_Lifestyle_Mini_!$A:$A,Instagram_Usage_Lifestyle_Mini_!$C:$K)</f>
        <v>Other</v>
      </c>
      <c r="F699" t="str">
        <f>_xlfn.XLOOKUP($A:$A,Instagram_Usage_Lifestyle_Mini_!$A:$A,Instagram_Usage_Lifestyle_Mini_!$C:$K)</f>
        <v>Urban</v>
      </c>
      <c r="G699" t="str">
        <f>_xlfn.XLOOKUP($A:$A,Instagram_Usage_Lifestyle_Mini_!$A:$A,Instagram_Usage_Lifestyle_Mini_!$C:$K)</f>
        <v>Middle</v>
      </c>
      <c r="H699" t="str">
        <f>_xlfn.XLOOKUP($A:$A,Instagram_Usage_Lifestyle_Mini_!$A:$A,Instagram_Usage_Lifestyle_Mini_!$C:$K)</f>
        <v>Full_time_employed</v>
      </c>
      <c r="I699" t="str">
        <f>_xlfn.XLOOKUP($A:$A,Instagram_Usage_Lifestyle_Mini_!$A:$A,Instagram_Usage_Lifestyle_Mini_!$C:$K)</f>
        <v>Some_college</v>
      </c>
      <c r="J699" t="str">
        <f>_xlfn.XLOOKUP($A:$A,Instagram_Usage_Lifestyle_Mini_!$A:$A,Instagram_Usage_Lifestyle_Mini_!$C:$K)</f>
        <v>Married</v>
      </c>
      <c r="K699" t="str">
        <f>_xlfn.XLOOKUP($A:$A,Instagram_Usage_Lifestyle_Mini_!$A:$A,Instagram_Usage_Lifestyle_Mini_!$C:$K)</f>
        <v>Yes</v>
      </c>
      <c r="L699" t="str" cm="1">
        <f t="array" ref="L699">_xlfn.IFS(C699&lt;18,"Under_18",C699&lt;=25,"Youth",C699&lt;=35,"Young_Adults",C699&lt;=45,"Mid_Adults",TRUE,"Seniors")</f>
        <v>Seniors</v>
      </c>
    </row>
    <row r="700" spans="1:12" x14ac:dyDescent="0.2">
      <c r="A700">
        <v>699</v>
      </c>
      <c r="B700" t="str">
        <f>_xlfn.XLOOKUP(A700,Instagram_Usage_Lifestyle_Mini_!A700,Instagram_Usage_Lifestyle_Mini_!B700,1)</f>
        <v>Instagram</v>
      </c>
      <c r="C700">
        <f>_xlfn.XLOOKUP($A:$A,Instagram_Usage_Lifestyle_Mini_!$A:$A,Instagram_Usage_Lifestyle_Mini_!$C:$K)</f>
        <v>25</v>
      </c>
      <c r="D700" t="str">
        <f>_xlfn.XLOOKUP($A:$A,Instagram_Usage_Lifestyle_Mini_!$A:$A,Instagram_Usage_Lifestyle_Mini_!$C:$K)</f>
        <v>Female</v>
      </c>
      <c r="E700" t="str">
        <f>_xlfn.XLOOKUP($A:$A,Instagram_Usage_Lifestyle_Mini_!$A:$A,Instagram_Usage_Lifestyle_Mini_!$C:$K)</f>
        <v>Other</v>
      </c>
      <c r="F700" t="str">
        <f>_xlfn.XLOOKUP($A:$A,Instagram_Usage_Lifestyle_Mini_!$A:$A,Instagram_Usage_Lifestyle_Mini_!$C:$K)</f>
        <v>Urban</v>
      </c>
      <c r="G700" t="str">
        <f>_xlfn.XLOOKUP($A:$A,Instagram_Usage_Lifestyle_Mini_!$A:$A,Instagram_Usage_Lifestyle_Mini_!$C:$K)</f>
        <v>Upper_middle</v>
      </c>
      <c r="H700" t="str">
        <f>_xlfn.XLOOKUP($A:$A,Instagram_Usage_Lifestyle_Mini_!$A:$A,Instagram_Usage_Lifestyle_Mini_!$C:$K)</f>
        <v>Student</v>
      </c>
      <c r="I700" t="str">
        <f>_xlfn.XLOOKUP($A:$A,Instagram_Usage_Lifestyle_Mini_!$A:$A,Instagram_Usage_Lifestyle_Mini_!$C:$K)</f>
        <v>Some_college</v>
      </c>
      <c r="J700" t="str">
        <f>_xlfn.XLOOKUP($A:$A,Instagram_Usage_Lifestyle_Mini_!$A:$A,Instagram_Usage_Lifestyle_Mini_!$C:$K)</f>
        <v>Divorced</v>
      </c>
      <c r="K700" t="str">
        <f>_xlfn.XLOOKUP($A:$A,Instagram_Usage_Lifestyle_Mini_!$A:$A,Instagram_Usage_Lifestyle_Mini_!$C:$K)</f>
        <v>No</v>
      </c>
      <c r="L700" t="str" cm="1">
        <f t="array" ref="L700">_xlfn.IFS(C700&lt;18,"Under_18",C700&lt;=25,"Youth",C700&lt;=35,"Young_Adults",C700&lt;=45,"Mid_Adults",TRUE,"Seniors")</f>
        <v>Youth</v>
      </c>
    </row>
    <row r="701" spans="1:12" x14ac:dyDescent="0.2">
      <c r="A701">
        <v>700</v>
      </c>
      <c r="B701" t="str">
        <f>_xlfn.XLOOKUP(A701,Instagram_Usage_Lifestyle_Mini_!A701,Instagram_Usage_Lifestyle_Mini_!B701,1)</f>
        <v>Instagram</v>
      </c>
      <c r="C701">
        <f>_xlfn.XLOOKUP($A:$A,Instagram_Usage_Lifestyle_Mini_!$A:$A,Instagram_Usage_Lifestyle_Mini_!$C:$K)</f>
        <v>52</v>
      </c>
      <c r="D701" t="str">
        <f>_xlfn.XLOOKUP($A:$A,Instagram_Usage_Lifestyle_Mini_!$A:$A,Instagram_Usage_Lifestyle_Mini_!$C:$K)</f>
        <v>Male</v>
      </c>
      <c r="E701" t="str">
        <f>_xlfn.XLOOKUP($A:$A,Instagram_Usage_Lifestyle_Mini_!$A:$A,Instagram_Usage_Lifestyle_Mini_!$C:$K)</f>
        <v>Australia</v>
      </c>
      <c r="F701" t="str">
        <f>_xlfn.XLOOKUP($A:$A,Instagram_Usage_Lifestyle_Mini_!$A:$A,Instagram_Usage_Lifestyle_Mini_!$C:$K)</f>
        <v>Urban</v>
      </c>
      <c r="G701" t="str">
        <f>_xlfn.XLOOKUP($A:$A,Instagram_Usage_Lifestyle_Mini_!$A:$A,Instagram_Usage_Lifestyle_Mini_!$C:$K)</f>
        <v>Middle</v>
      </c>
      <c r="H701" t="str">
        <f>_xlfn.XLOOKUP($A:$A,Instagram_Usage_Lifestyle_Mini_!$A:$A,Instagram_Usage_Lifestyle_Mini_!$C:$K)</f>
        <v>Student</v>
      </c>
      <c r="I701" t="str">
        <f>_xlfn.XLOOKUP($A:$A,Instagram_Usage_Lifestyle_Mini_!$A:$A,Instagram_Usage_Lifestyle_Mini_!$C:$K)</f>
        <v>Bachelors_degree</v>
      </c>
      <c r="J701" t="str">
        <f>_xlfn.XLOOKUP($A:$A,Instagram_Usage_Lifestyle_Mini_!$A:$A,Instagram_Usage_Lifestyle_Mini_!$C:$K)</f>
        <v>Married</v>
      </c>
      <c r="K701" t="str">
        <f>_xlfn.XLOOKUP($A:$A,Instagram_Usage_Lifestyle_Mini_!$A:$A,Instagram_Usage_Lifestyle_Mini_!$C:$K)</f>
        <v>Yes</v>
      </c>
      <c r="L701" t="str" cm="1">
        <f t="array" ref="L701">_xlfn.IFS(C701&lt;18,"Under_18",C701&lt;=25,"Youth",C701&lt;=35,"Young_Adults",C701&lt;=45,"Mid_Adults",TRUE,"Seniors")</f>
        <v>Seniors</v>
      </c>
    </row>
    <row r="702" spans="1:12" x14ac:dyDescent="0.2">
      <c r="A702">
        <v>701</v>
      </c>
      <c r="B702" t="str">
        <f>_xlfn.XLOOKUP(A702,Instagram_Usage_Lifestyle_Mini_!A702,Instagram_Usage_Lifestyle_Mini_!B702,1)</f>
        <v>Instagram</v>
      </c>
      <c r="C702">
        <f>_xlfn.XLOOKUP($A:$A,Instagram_Usage_Lifestyle_Mini_!$A:$A,Instagram_Usage_Lifestyle_Mini_!$C:$K)</f>
        <v>54</v>
      </c>
      <c r="D702" t="str">
        <f>_xlfn.XLOOKUP($A:$A,Instagram_Usage_Lifestyle_Mini_!$A:$A,Instagram_Usage_Lifestyle_Mini_!$C:$K)</f>
        <v>Non_binary</v>
      </c>
      <c r="E702" t="str">
        <f>_xlfn.XLOOKUP($A:$A,Instagram_Usage_Lifestyle_Mini_!$A:$A,Instagram_Usage_Lifestyle_Mini_!$C:$K)</f>
        <v>South_Korea</v>
      </c>
      <c r="F702" t="str">
        <f>_xlfn.XLOOKUP($A:$A,Instagram_Usage_Lifestyle_Mini_!$A:$A,Instagram_Usage_Lifestyle_Mini_!$C:$K)</f>
        <v>Suburban</v>
      </c>
      <c r="G702" t="str">
        <f>_xlfn.XLOOKUP($A:$A,Instagram_Usage_Lifestyle_Mini_!$A:$A,Instagram_Usage_Lifestyle_Mini_!$C:$K)</f>
        <v>Upper_middle</v>
      </c>
      <c r="H702" t="str">
        <f>_xlfn.XLOOKUP($A:$A,Instagram_Usage_Lifestyle_Mini_!$A:$A,Instagram_Usage_Lifestyle_Mini_!$C:$K)</f>
        <v>Full_time_employed</v>
      </c>
      <c r="I702" t="str">
        <f>_xlfn.XLOOKUP($A:$A,Instagram_Usage_Lifestyle_Mini_!$A:$A,Instagram_Usage_Lifestyle_Mini_!$C:$K)</f>
        <v>Bachelors_degree</v>
      </c>
      <c r="J702" t="str">
        <f>_xlfn.XLOOKUP($A:$A,Instagram_Usage_Lifestyle_Mini_!$A:$A,Instagram_Usage_Lifestyle_Mini_!$C:$K)</f>
        <v>Single</v>
      </c>
      <c r="K702" t="str">
        <f>_xlfn.XLOOKUP($A:$A,Instagram_Usage_Lifestyle_Mini_!$A:$A,Instagram_Usage_Lifestyle_Mini_!$C:$K)</f>
        <v>Yes</v>
      </c>
      <c r="L702" t="str" cm="1">
        <f t="array" ref="L702">_xlfn.IFS(C702&lt;18,"Under_18",C702&lt;=25,"Youth",C702&lt;=35,"Young_Adults",C702&lt;=45,"Mid_Adults",TRUE,"Seniors")</f>
        <v>Seniors</v>
      </c>
    </row>
    <row r="703" spans="1:12" x14ac:dyDescent="0.2">
      <c r="A703">
        <v>702</v>
      </c>
      <c r="B703" t="str">
        <f>_xlfn.XLOOKUP(A703,Instagram_Usage_Lifestyle_Mini_!A703,Instagram_Usage_Lifestyle_Mini_!B703,1)</f>
        <v>Instagram</v>
      </c>
      <c r="C703">
        <f>_xlfn.XLOOKUP($A:$A,Instagram_Usage_Lifestyle_Mini_!$A:$A,Instagram_Usage_Lifestyle_Mini_!$C:$K)</f>
        <v>21</v>
      </c>
      <c r="D703" t="str">
        <f>_xlfn.XLOOKUP($A:$A,Instagram_Usage_Lifestyle_Mini_!$A:$A,Instagram_Usage_Lifestyle_Mini_!$C:$K)</f>
        <v>Female</v>
      </c>
      <c r="E703" t="str">
        <f>_xlfn.XLOOKUP($A:$A,Instagram_Usage_Lifestyle_Mini_!$A:$A,Instagram_Usage_Lifestyle_Mini_!$C:$K)</f>
        <v>United _Kingdom</v>
      </c>
      <c r="F703" t="str">
        <f>_xlfn.XLOOKUP($A:$A,Instagram_Usage_Lifestyle_Mini_!$A:$A,Instagram_Usage_Lifestyle_Mini_!$C:$K)</f>
        <v>Urban</v>
      </c>
      <c r="G703" t="str">
        <f>_xlfn.XLOOKUP($A:$A,Instagram_Usage_Lifestyle_Mini_!$A:$A,Instagram_Usage_Lifestyle_Mini_!$C:$K)</f>
        <v>Low</v>
      </c>
      <c r="H703" t="str">
        <f>_xlfn.XLOOKUP($A:$A,Instagram_Usage_Lifestyle_Mini_!$A:$A,Instagram_Usage_Lifestyle_Mini_!$C:$K)</f>
        <v>Full_time_employed</v>
      </c>
      <c r="I703" t="str">
        <f>_xlfn.XLOOKUP($A:$A,Instagram_Usage_Lifestyle_Mini_!$A:$A,Instagram_Usage_Lifestyle_Mini_!$C:$K)</f>
        <v>High_school</v>
      </c>
      <c r="J703" t="str">
        <f>_xlfn.XLOOKUP($A:$A,Instagram_Usage_Lifestyle_Mini_!$A:$A,Instagram_Usage_Lifestyle_Mini_!$C:$K)</f>
        <v>Single</v>
      </c>
      <c r="K703" t="str">
        <f>_xlfn.XLOOKUP($A:$A,Instagram_Usage_Lifestyle_Mini_!$A:$A,Instagram_Usage_Lifestyle_Mini_!$C:$K)</f>
        <v>Yes</v>
      </c>
      <c r="L703" t="str" cm="1">
        <f t="array" ref="L703">_xlfn.IFS(C703&lt;18,"Under_18",C703&lt;=25,"Youth",C703&lt;=35,"Young_Adults",C703&lt;=45,"Mid_Adults",TRUE,"Seniors")</f>
        <v>Youth</v>
      </c>
    </row>
    <row r="704" spans="1:12" x14ac:dyDescent="0.2">
      <c r="A704">
        <v>703</v>
      </c>
      <c r="B704" t="str">
        <f>_xlfn.XLOOKUP(A704,Instagram_Usage_Lifestyle_Mini_!A704,Instagram_Usage_Lifestyle_Mini_!B704,1)</f>
        <v>Instagram</v>
      </c>
      <c r="C704">
        <f>_xlfn.XLOOKUP($A:$A,Instagram_Usage_Lifestyle_Mini_!$A:$A,Instagram_Usage_Lifestyle_Mini_!$C:$K)</f>
        <v>62</v>
      </c>
      <c r="D704" t="str">
        <f>_xlfn.XLOOKUP($A:$A,Instagram_Usage_Lifestyle_Mini_!$A:$A,Instagram_Usage_Lifestyle_Mini_!$C:$K)</f>
        <v>Female</v>
      </c>
      <c r="E704" t="str">
        <f>_xlfn.XLOOKUP($A:$A,Instagram_Usage_Lifestyle_Mini_!$A:$A,Instagram_Usage_Lifestyle_Mini_!$C:$K)</f>
        <v>United_States</v>
      </c>
      <c r="F704" t="str">
        <f>_xlfn.XLOOKUP($A:$A,Instagram_Usage_Lifestyle_Mini_!$A:$A,Instagram_Usage_Lifestyle_Mini_!$C:$K)</f>
        <v>Urban</v>
      </c>
      <c r="G704" t="str">
        <f>_xlfn.XLOOKUP($A:$A,Instagram_Usage_Lifestyle_Mini_!$A:$A,Instagram_Usage_Lifestyle_Mini_!$C:$K)</f>
        <v>Upper_middle</v>
      </c>
      <c r="H704" t="str">
        <f>_xlfn.XLOOKUP($A:$A,Instagram_Usage_Lifestyle_Mini_!$A:$A,Instagram_Usage_Lifestyle_Mini_!$C:$K)</f>
        <v>Student</v>
      </c>
      <c r="I704" t="str">
        <f>_xlfn.XLOOKUP($A:$A,Instagram_Usage_Lifestyle_Mini_!$A:$A,Instagram_Usage_Lifestyle_Mini_!$C:$K)</f>
        <v>Some_college</v>
      </c>
      <c r="J704" t="str">
        <f>_xlfn.XLOOKUP($A:$A,Instagram_Usage_Lifestyle_Mini_!$A:$A,Instagram_Usage_Lifestyle_Mini_!$C:$K)</f>
        <v>In_a_relationship</v>
      </c>
      <c r="K704" t="str">
        <f>_xlfn.XLOOKUP($A:$A,Instagram_Usage_Lifestyle_Mini_!$A:$A,Instagram_Usage_Lifestyle_Mini_!$C:$K)</f>
        <v>No</v>
      </c>
      <c r="L704" t="str" cm="1">
        <f t="array" ref="L704">_xlfn.IFS(C704&lt;18,"Under_18",C704&lt;=25,"Youth",C704&lt;=35,"Young_Adults",C704&lt;=45,"Mid_Adults",TRUE,"Seniors")</f>
        <v>Seniors</v>
      </c>
    </row>
    <row r="705" spans="1:12" x14ac:dyDescent="0.2">
      <c r="A705">
        <v>704</v>
      </c>
      <c r="B705" t="str">
        <f>_xlfn.XLOOKUP(A705,Instagram_Usage_Lifestyle_Mini_!A705,Instagram_Usage_Lifestyle_Mini_!B705,1)</f>
        <v>Instagram</v>
      </c>
      <c r="C705">
        <f>_xlfn.XLOOKUP($A:$A,Instagram_Usage_Lifestyle_Mini_!$A:$A,Instagram_Usage_Lifestyle_Mini_!$C:$K)</f>
        <v>39</v>
      </c>
      <c r="D705" t="str">
        <f>_xlfn.XLOOKUP($A:$A,Instagram_Usage_Lifestyle_Mini_!$A:$A,Instagram_Usage_Lifestyle_Mini_!$C:$K)</f>
        <v>Female</v>
      </c>
      <c r="E705" t="str">
        <f>_xlfn.XLOOKUP($A:$A,Instagram_Usage_Lifestyle_Mini_!$A:$A,Instagram_Usage_Lifestyle_Mini_!$C:$K)</f>
        <v>United _Kingdom</v>
      </c>
      <c r="F705" t="str">
        <f>_xlfn.XLOOKUP($A:$A,Instagram_Usage_Lifestyle_Mini_!$A:$A,Instagram_Usage_Lifestyle_Mini_!$C:$K)</f>
        <v>Suburban</v>
      </c>
      <c r="G705" t="str">
        <f>_xlfn.XLOOKUP($A:$A,Instagram_Usage_Lifestyle_Mini_!$A:$A,Instagram_Usage_Lifestyle_Mini_!$C:$K)</f>
        <v>Lower_middle</v>
      </c>
      <c r="H705" t="str">
        <f>_xlfn.XLOOKUP($A:$A,Instagram_Usage_Lifestyle_Mini_!$A:$A,Instagram_Usage_Lifestyle_Mini_!$C:$K)</f>
        <v>Student</v>
      </c>
      <c r="I705" t="str">
        <f>_xlfn.XLOOKUP($A:$A,Instagram_Usage_Lifestyle_Mini_!$A:$A,Instagram_Usage_Lifestyle_Mini_!$C:$K)</f>
        <v>Bachelors_degree</v>
      </c>
      <c r="J705" t="str">
        <f>_xlfn.XLOOKUP($A:$A,Instagram_Usage_Lifestyle_Mini_!$A:$A,Instagram_Usage_Lifestyle_Mini_!$C:$K)</f>
        <v>Single</v>
      </c>
      <c r="K705" t="str">
        <f>_xlfn.XLOOKUP($A:$A,Instagram_Usage_Lifestyle_Mini_!$A:$A,Instagram_Usage_Lifestyle_Mini_!$C:$K)</f>
        <v>Yes</v>
      </c>
      <c r="L705" t="str" cm="1">
        <f t="array" ref="L705">_xlfn.IFS(C705&lt;18,"Under_18",C705&lt;=25,"Youth",C705&lt;=35,"Young_Adults",C705&lt;=45,"Mid_Adults",TRUE,"Seniors")</f>
        <v>Mid_Adults</v>
      </c>
    </row>
    <row r="706" spans="1:12" x14ac:dyDescent="0.2">
      <c r="A706">
        <v>705</v>
      </c>
      <c r="B706" t="str">
        <f>_xlfn.XLOOKUP(A706,Instagram_Usage_Lifestyle_Mini_!A706,Instagram_Usage_Lifestyle_Mini_!B706,1)</f>
        <v>Instagram</v>
      </c>
      <c r="C706">
        <f>_xlfn.XLOOKUP($A:$A,Instagram_Usage_Lifestyle_Mini_!$A:$A,Instagram_Usage_Lifestyle_Mini_!$C:$K)</f>
        <v>14</v>
      </c>
      <c r="D706" t="str">
        <f>_xlfn.XLOOKUP($A:$A,Instagram_Usage_Lifestyle_Mini_!$A:$A,Instagram_Usage_Lifestyle_Mini_!$C:$K)</f>
        <v>Male</v>
      </c>
      <c r="E706" t="str">
        <f>_xlfn.XLOOKUP($A:$A,Instagram_Usage_Lifestyle_Mini_!$A:$A,Instagram_Usage_Lifestyle_Mini_!$C:$K)</f>
        <v>South_Korea</v>
      </c>
      <c r="F706" t="str">
        <f>_xlfn.XLOOKUP($A:$A,Instagram_Usage_Lifestyle_Mini_!$A:$A,Instagram_Usage_Lifestyle_Mini_!$C:$K)</f>
        <v>Suburban</v>
      </c>
      <c r="G706" t="str">
        <f>_xlfn.XLOOKUP($A:$A,Instagram_Usage_Lifestyle_Mini_!$A:$A,Instagram_Usage_Lifestyle_Mini_!$C:$K)</f>
        <v>Lower_middle</v>
      </c>
      <c r="H706" t="str">
        <f>_xlfn.XLOOKUP($A:$A,Instagram_Usage_Lifestyle_Mini_!$A:$A,Instagram_Usage_Lifestyle_Mini_!$C:$K)</f>
        <v>Full_time_employed</v>
      </c>
      <c r="I706" t="str">
        <f>_xlfn.XLOOKUP($A:$A,Instagram_Usage_Lifestyle_Mini_!$A:$A,Instagram_Usage_Lifestyle_Mini_!$C:$K)</f>
        <v>High_school</v>
      </c>
      <c r="J706" t="str">
        <f>_xlfn.XLOOKUP($A:$A,Instagram_Usage_Lifestyle_Mini_!$A:$A,Instagram_Usage_Lifestyle_Mini_!$C:$K)</f>
        <v>Single</v>
      </c>
      <c r="K706" t="str">
        <f>_xlfn.XLOOKUP($A:$A,Instagram_Usage_Lifestyle_Mini_!$A:$A,Instagram_Usage_Lifestyle_Mini_!$C:$K)</f>
        <v>No</v>
      </c>
      <c r="L706" t="str" cm="1">
        <f t="array" ref="L706">_xlfn.IFS(C706&lt;18,"Under_18",C706&lt;=25,"Youth",C706&lt;=35,"Young_Adults",C706&lt;=45,"Mid_Adults",TRUE,"Seniors")</f>
        <v>Under_18</v>
      </c>
    </row>
    <row r="707" spans="1:12" x14ac:dyDescent="0.2">
      <c r="A707">
        <v>706</v>
      </c>
      <c r="B707" t="str">
        <f>_xlfn.XLOOKUP(A707,Instagram_Usage_Lifestyle_Mini_!A707,Instagram_Usage_Lifestyle_Mini_!B707,1)</f>
        <v>Instagram</v>
      </c>
      <c r="C707">
        <f>_xlfn.XLOOKUP($A:$A,Instagram_Usage_Lifestyle_Mini_!$A:$A,Instagram_Usage_Lifestyle_Mini_!$C:$K)</f>
        <v>17</v>
      </c>
      <c r="D707" t="str">
        <f>_xlfn.XLOOKUP($A:$A,Instagram_Usage_Lifestyle_Mini_!$A:$A,Instagram_Usage_Lifestyle_Mini_!$C:$K)</f>
        <v>Male</v>
      </c>
      <c r="E707" t="str">
        <f>_xlfn.XLOOKUP($A:$A,Instagram_Usage_Lifestyle_Mini_!$A:$A,Instagram_Usage_Lifestyle_Mini_!$C:$K)</f>
        <v>India</v>
      </c>
      <c r="F707" t="str">
        <f>_xlfn.XLOOKUP($A:$A,Instagram_Usage_Lifestyle_Mini_!$A:$A,Instagram_Usage_Lifestyle_Mini_!$C:$K)</f>
        <v>Urban</v>
      </c>
      <c r="G707" t="str">
        <f>_xlfn.XLOOKUP($A:$A,Instagram_Usage_Lifestyle_Mini_!$A:$A,Instagram_Usage_Lifestyle_Mini_!$C:$K)</f>
        <v>Lower_middle</v>
      </c>
      <c r="H707" t="str">
        <f>_xlfn.XLOOKUP($A:$A,Instagram_Usage_Lifestyle_Mini_!$A:$A,Instagram_Usage_Lifestyle_Mini_!$C:$K)</f>
        <v>Full_time_employed</v>
      </c>
      <c r="I707" t="str">
        <f>_xlfn.XLOOKUP($A:$A,Instagram_Usage_Lifestyle_Mini_!$A:$A,Instagram_Usage_Lifestyle_Mini_!$C:$K)</f>
        <v>Bachelors_degree</v>
      </c>
      <c r="J707" t="str">
        <f>_xlfn.XLOOKUP($A:$A,Instagram_Usage_Lifestyle_Mini_!$A:$A,Instagram_Usage_Lifestyle_Mini_!$C:$K)</f>
        <v>Single</v>
      </c>
      <c r="K707" t="str">
        <f>_xlfn.XLOOKUP($A:$A,Instagram_Usage_Lifestyle_Mini_!$A:$A,Instagram_Usage_Lifestyle_Mini_!$C:$K)</f>
        <v>No</v>
      </c>
      <c r="L707" t="str" cm="1">
        <f t="array" ref="L707">_xlfn.IFS(C707&lt;18,"Under_18",C707&lt;=25,"Youth",C707&lt;=35,"Young_Adults",C707&lt;=45,"Mid_Adults",TRUE,"Seniors")</f>
        <v>Under_18</v>
      </c>
    </row>
    <row r="708" spans="1:12" x14ac:dyDescent="0.2">
      <c r="A708">
        <v>707</v>
      </c>
      <c r="B708" t="str">
        <f>_xlfn.XLOOKUP(A708,Instagram_Usage_Lifestyle_Mini_!A708,Instagram_Usage_Lifestyle_Mini_!B708,1)</f>
        <v>Instagram</v>
      </c>
      <c r="C708">
        <f>_xlfn.XLOOKUP($A:$A,Instagram_Usage_Lifestyle_Mini_!$A:$A,Instagram_Usage_Lifestyle_Mini_!$C:$K)</f>
        <v>41</v>
      </c>
      <c r="D708" t="str">
        <f>_xlfn.XLOOKUP($A:$A,Instagram_Usage_Lifestyle_Mini_!$A:$A,Instagram_Usage_Lifestyle_Mini_!$C:$K)</f>
        <v>Female</v>
      </c>
      <c r="E708" t="str">
        <f>_xlfn.XLOOKUP($A:$A,Instagram_Usage_Lifestyle_Mini_!$A:$A,Instagram_Usage_Lifestyle_Mini_!$C:$K)</f>
        <v>India</v>
      </c>
      <c r="F708" t="str">
        <f>_xlfn.XLOOKUP($A:$A,Instagram_Usage_Lifestyle_Mini_!$A:$A,Instagram_Usage_Lifestyle_Mini_!$C:$K)</f>
        <v>Urban</v>
      </c>
      <c r="G708" t="str">
        <f>_xlfn.XLOOKUP($A:$A,Instagram_Usage_Lifestyle_Mini_!$A:$A,Instagram_Usage_Lifestyle_Mini_!$C:$K)</f>
        <v>Lower_middle</v>
      </c>
      <c r="H708" t="str">
        <f>_xlfn.XLOOKUP($A:$A,Instagram_Usage_Lifestyle_Mini_!$A:$A,Instagram_Usage_Lifestyle_Mini_!$C:$K)</f>
        <v>Student</v>
      </c>
      <c r="I708" t="str">
        <f>_xlfn.XLOOKUP($A:$A,Instagram_Usage_Lifestyle_Mini_!$A:$A,Instagram_Usage_Lifestyle_Mini_!$C:$K)</f>
        <v>Bachelors_degree</v>
      </c>
      <c r="J708" t="str">
        <f>_xlfn.XLOOKUP($A:$A,Instagram_Usage_Lifestyle_Mini_!$A:$A,Instagram_Usage_Lifestyle_Mini_!$C:$K)</f>
        <v>In_a_relationship</v>
      </c>
      <c r="K708" t="str">
        <f>_xlfn.XLOOKUP($A:$A,Instagram_Usage_Lifestyle_Mini_!$A:$A,Instagram_Usage_Lifestyle_Mini_!$C:$K)</f>
        <v>No</v>
      </c>
      <c r="L708" t="str" cm="1">
        <f t="array" ref="L708">_xlfn.IFS(C708&lt;18,"Under_18",C708&lt;=25,"Youth",C708&lt;=35,"Young_Adults",C708&lt;=45,"Mid_Adults",TRUE,"Seniors")</f>
        <v>Mid_Adults</v>
      </c>
    </row>
    <row r="709" spans="1:12" x14ac:dyDescent="0.2">
      <c r="A709">
        <v>708</v>
      </c>
      <c r="B709" t="str">
        <f>_xlfn.XLOOKUP(A709,Instagram_Usage_Lifestyle_Mini_!A709,Instagram_Usage_Lifestyle_Mini_!B709,1)</f>
        <v>Instagram</v>
      </c>
      <c r="C709">
        <f>_xlfn.XLOOKUP($A:$A,Instagram_Usage_Lifestyle_Mini_!$A:$A,Instagram_Usage_Lifestyle_Mini_!$C:$K)</f>
        <v>49</v>
      </c>
      <c r="D709" t="str">
        <f>_xlfn.XLOOKUP($A:$A,Instagram_Usage_Lifestyle_Mini_!$A:$A,Instagram_Usage_Lifestyle_Mini_!$C:$K)</f>
        <v>Female</v>
      </c>
      <c r="E709" t="str">
        <f>_xlfn.XLOOKUP($A:$A,Instagram_Usage_Lifestyle_Mini_!$A:$A,Instagram_Usage_Lifestyle_Mini_!$C:$K)</f>
        <v>Brazil</v>
      </c>
      <c r="F709" t="str">
        <f>_xlfn.XLOOKUP($A:$A,Instagram_Usage_Lifestyle_Mini_!$A:$A,Instagram_Usage_Lifestyle_Mini_!$C:$K)</f>
        <v>Suburban</v>
      </c>
      <c r="G709" t="str">
        <f>_xlfn.XLOOKUP($A:$A,Instagram_Usage_Lifestyle_Mini_!$A:$A,Instagram_Usage_Lifestyle_Mini_!$C:$K)</f>
        <v>Low</v>
      </c>
      <c r="H709" t="str">
        <f>_xlfn.XLOOKUP($A:$A,Instagram_Usage_Lifestyle_Mini_!$A:$A,Instagram_Usage_Lifestyle_Mini_!$C:$K)</f>
        <v>Part_time</v>
      </c>
      <c r="I709" t="str">
        <f>_xlfn.XLOOKUP($A:$A,Instagram_Usage_Lifestyle_Mini_!$A:$A,Instagram_Usage_Lifestyle_Mini_!$C:$K)</f>
        <v>Bachelors_degree</v>
      </c>
      <c r="J709" t="str">
        <f>_xlfn.XLOOKUP($A:$A,Instagram_Usage_Lifestyle_Mini_!$A:$A,Instagram_Usage_Lifestyle_Mini_!$C:$K)</f>
        <v>Single</v>
      </c>
      <c r="K709" t="str">
        <f>_xlfn.XLOOKUP($A:$A,Instagram_Usage_Lifestyle_Mini_!$A:$A,Instagram_Usage_Lifestyle_Mini_!$C:$K)</f>
        <v>Yes</v>
      </c>
      <c r="L709" t="str" cm="1">
        <f t="array" ref="L709">_xlfn.IFS(C709&lt;18,"Under_18",C709&lt;=25,"Youth",C709&lt;=35,"Young_Adults",C709&lt;=45,"Mid_Adults",TRUE,"Seniors")</f>
        <v>Seniors</v>
      </c>
    </row>
    <row r="710" spans="1:12" x14ac:dyDescent="0.2">
      <c r="A710">
        <v>709</v>
      </c>
      <c r="B710" t="str">
        <f>_xlfn.XLOOKUP(A710,Instagram_Usage_Lifestyle_Mini_!A710,Instagram_Usage_Lifestyle_Mini_!B710,1)</f>
        <v>Instagram</v>
      </c>
      <c r="C710">
        <f>_xlfn.XLOOKUP($A:$A,Instagram_Usage_Lifestyle_Mini_!$A:$A,Instagram_Usage_Lifestyle_Mini_!$C:$K)</f>
        <v>50</v>
      </c>
      <c r="D710" t="str">
        <f>_xlfn.XLOOKUP($A:$A,Instagram_Usage_Lifestyle_Mini_!$A:$A,Instagram_Usage_Lifestyle_Mini_!$C:$K)</f>
        <v>Female</v>
      </c>
      <c r="E710" t="str">
        <f>_xlfn.XLOOKUP($A:$A,Instagram_Usage_Lifestyle_Mini_!$A:$A,Instagram_Usage_Lifestyle_Mini_!$C:$K)</f>
        <v>South_Korea</v>
      </c>
      <c r="F710" t="str">
        <f>_xlfn.XLOOKUP($A:$A,Instagram_Usage_Lifestyle_Mini_!$A:$A,Instagram_Usage_Lifestyle_Mini_!$C:$K)</f>
        <v>Urban</v>
      </c>
      <c r="G710" t="str">
        <f>_xlfn.XLOOKUP($A:$A,Instagram_Usage_Lifestyle_Mini_!$A:$A,Instagram_Usage_Lifestyle_Mini_!$C:$K)</f>
        <v>Middle</v>
      </c>
      <c r="H710" t="str">
        <f>_xlfn.XLOOKUP($A:$A,Instagram_Usage_Lifestyle_Mini_!$A:$A,Instagram_Usage_Lifestyle_Mini_!$C:$K)</f>
        <v>Full_time_employed</v>
      </c>
      <c r="I710" t="str">
        <f>_xlfn.XLOOKUP($A:$A,Instagram_Usage_Lifestyle_Mini_!$A:$A,Instagram_Usage_Lifestyle_Mini_!$C:$K)</f>
        <v>Some_college</v>
      </c>
      <c r="J710" t="str">
        <f>_xlfn.XLOOKUP($A:$A,Instagram_Usage_Lifestyle_Mini_!$A:$A,Instagram_Usage_Lifestyle_Mini_!$C:$K)</f>
        <v>Single</v>
      </c>
      <c r="K710" t="str">
        <f>_xlfn.XLOOKUP($A:$A,Instagram_Usage_Lifestyle_Mini_!$A:$A,Instagram_Usage_Lifestyle_Mini_!$C:$K)</f>
        <v>No</v>
      </c>
      <c r="L710" t="str" cm="1">
        <f t="array" ref="L710">_xlfn.IFS(C710&lt;18,"Under_18",C710&lt;=25,"Youth",C710&lt;=35,"Young_Adults",C710&lt;=45,"Mid_Adults",TRUE,"Seniors")</f>
        <v>Seniors</v>
      </c>
    </row>
    <row r="711" spans="1:12" x14ac:dyDescent="0.2">
      <c r="A711">
        <v>710</v>
      </c>
      <c r="B711" t="str">
        <f>_xlfn.XLOOKUP(A711,Instagram_Usage_Lifestyle_Mini_!A711,Instagram_Usage_Lifestyle_Mini_!B711,1)</f>
        <v>Instagram</v>
      </c>
      <c r="C711">
        <f>_xlfn.XLOOKUP($A:$A,Instagram_Usage_Lifestyle_Mini_!$A:$A,Instagram_Usage_Lifestyle_Mini_!$C:$K)</f>
        <v>31</v>
      </c>
      <c r="D711" t="str">
        <f>_xlfn.XLOOKUP($A:$A,Instagram_Usage_Lifestyle_Mini_!$A:$A,Instagram_Usage_Lifestyle_Mini_!$C:$K)</f>
        <v>Male</v>
      </c>
      <c r="E711" t="str">
        <f>_xlfn.XLOOKUP($A:$A,Instagram_Usage_Lifestyle_Mini_!$A:$A,Instagram_Usage_Lifestyle_Mini_!$C:$K)</f>
        <v>Australia</v>
      </c>
      <c r="F711" t="str">
        <f>_xlfn.XLOOKUP($A:$A,Instagram_Usage_Lifestyle_Mini_!$A:$A,Instagram_Usage_Lifestyle_Mini_!$C:$K)</f>
        <v>Suburban</v>
      </c>
      <c r="G711" t="str">
        <f>_xlfn.XLOOKUP($A:$A,Instagram_Usage_Lifestyle_Mini_!$A:$A,Instagram_Usage_Lifestyle_Mini_!$C:$K)</f>
        <v>Lower_middle</v>
      </c>
      <c r="H711" t="str">
        <f>_xlfn.XLOOKUP($A:$A,Instagram_Usage_Lifestyle_Mini_!$A:$A,Instagram_Usage_Lifestyle_Mini_!$C:$K)</f>
        <v>Student</v>
      </c>
      <c r="I711" t="str">
        <f>_xlfn.XLOOKUP($A:$A,Instagram_Usage_Lifestyle_Mini_!$A:$A,Instagram_Usage_Lifestyle_Mini_!$C:$K)</f>
        <v>High_school</v>
      </c>
      <c r="J711" t="str">
        <f>_xlfn.XLOOKUP($A:$A,Instagram_Usage_Lifestyle_Mini_!$A:$A,Instagram_Usage_Lifestyle_Mini_!$C:$K)</f>
        <v>In_a_relationship</v>
      </c>
      <c r="K711" t="str">
        <f>_xlfn.XLOOKUP($A:$A,Instagram_Usage_Lifestyle_Mini_!$A:$A,Instagram_Usage_Lifestyle_Mini_!$C:$K)</f>
        <v>Yes</v>
      </c>
      <c r="L711" t="str" cm="1">
        <f t="array" ref="L711">_xlfn.IFS(C711&lt;18,"Under_18",C711&lt;=25,"Youth",C711&lt;=35,"Young_Adults",C711&lt;=45,"Mid_Adults",TRUE,"Seniors")</f>
        <v>Young_Adults</v>
      </c>
    </row>
    <row r="712" spans="1:12" x14ac:dyDescent="0.2">
      <c r="A712">
        <v>711</v>
      </c>
      <c r="B712" t="str">
        <f>_xlfn.XLOOKUP(A712,Instagram_Usage_Lifestyle_Mini_!A712,Instagram_Usage_Lifestyle_Mini_!B712,1)</f>
        <v>Instagram</v>
      </c>
      <c r="C712">
        <f>_xlfn.XLOOKUP($A:$A,Instagram_Usage_Lifestyle_Mini_!$A:$A,Instagram_Usage_Lifestyle_Mini_!$C:$K)</f>
        <v>20</v>
      </c>
      <c r="D712" t="str">
        <f>_xlfn.XLOOKUP($A:$A,Instagram_Usage_Lifestyle_Mini_!$A:$A,Instagram_Usage_Lifestyle_Mini_!$C:$K)</f>
        <v>Female</v>
      </c>
      <c r="E712" t="str">
        <f>_xlfn.XLOOKUP($A:$A,Instagram_Usage_Lifestyle_Mini_!$A:$A,Instagram_Usage_Lifestyle_Mini_!$C:$K)</f>
        <v>United_States</v>
      </c>
      <c r="F712" t="str">
        <f>_xlfn.XLOOKUP($A:$A,Instagram_Usage_Lifestyle_Mini_!$A:$A,Instagram_Usage_Lifestyle_Mini_!$C:$K)</f>
        <v>Suburban</v>
      </c>
      <c r="G712" t="str">
        <f>_xlfn.XLOOKUP($A:$A,Instagram_Usage_Lifestyle_Mini_!$A:$A,Instagram_Usage_Lifestyle_Mini_!$C:$K)</f>
        <v>Low</v>
      </c>
      <c r="H712" t="str">
        <f>_xlfn.XLOOKUP($A:$A,Instagram_Usage_Lifestyle_Mini_!$A:$A,Instagram_Usage_Lifestyle_Mini_!$C:$K)</f>
        <v>Student</v>
      </c>
      <c r="I712" t="str">
        <f>_xlfn.XLOOKUP($A:$A,Instagram_Usage_Lifestyle_Mini_!$A:$A,Instagram_Usage_Lifestyle_Mini_!$C:$K)</f>
        <v>High_school</v>
      </c>
      <c r="J712" t="str">
        <f>_xlfn.XLOOKUP($A:$A,Instagram_Usage_Lifestyle_Mini_!$A:$A,Instagram_Usage_Lifestyle_Mini_!$C:$K)</f>
        <v>Married</v>
      </c>
      <c r="K712" t="str">
        <f>_xlfn.XLOOKUP($A:$A,Instagram_Usage_Lifestyle_Mini_!$A:$A,Instagram_Usage_Lifestyle_Mini_!$C:$K)</f>
        <v>Yes</v>
      </c>
      <c r="L712" t="str" cm="1">
        <f t="array" ref="L712">_xlfn.IFS(C712&lt;18,"Under_18",C712&lt;=25,"Youth",C712&lt;=35,"Young_Adults",C712&lt;=45,"Mid_Adults",TRUE,"Seniors")</f>
        <v>Youth</v>
      </c>
    </row>
    <row r="713" spans="1:12" x14ac:dyDescent="0.2">
      <c r="A713">
        <v>712</v>
      </c>
      <c r="B713" t="str">
        <f>_xlfn.XLOOKUP(A713,Instagram_Usage_Lifestyle_Mini_!A713,Instagram_Usage_Lifestyle_Mini_!B713,1)</f>
        <v>Instagram</v>
      </c>
      <c r="C713">
        <f>_xlfn.XLOOKUP($A:$A,Instagram_Usage_Lifestyle_Mini_!$A:$A,Instagram_Usage_Lifestyle_Mini_!$C:$K)</f>
        <v>60</v>
      </c>
      <c r="D713" t="str">
        <f>_xlfn.XLOOKUP($A:$A,Instagram_Usage_Lifestyle_Mini_!$A:$A,Instagram_Usage_Lifestyle_Mini_!$C:$K)</f>
        <v>Female</v>
      </c>
      <c r="E713" t="str">
        <f>_xlfn.XLOOKUP($A:$A,Instagram_Usage_Lifestyle_Mini_!$A:$A,Instagram_Usage_Lifestyle_Mini_!$C:$K)</f>
        <v>South_Korea</v>
      </c>
      <c r="F713" t="str">
        <f>_xlfn.XLOOKUP($A:$A,Instagram_Usage_Lifestyle_Mini_!$A:$A,Instagram_Usage_Lifestyle_Mini_!$C:$K)</f>
        <v>Suburban</v>
      </c>
      <c r="G713" t="str">
        <f>_xlfn.XLOOKUP($A:$A,Instagram_Usage_Lifestyle_Mini_!$A:$A,Instagram_Usage_Lifestyle_Mini_!$C:$K)</f>
        <v>Upper_middle</v>
      </c>
      <c r="H713" t="str">
        <f>_xlfn.XLOOKUP($A:$A,Instagram_Usage_Lifestyle_Mini_!$A:$A,Instagram_Usage_Lifestyle_Mini_!$C:$K)</f>
        <v>Unemployed</v>
      </c>
      <c r="I713" t="str">
        <f>_xlfn.XLOOKUP($A:$A,Instagram_Usage_Lifestyle_Mini_!$A:$A,Instagram_Usage_Lifestyle_Mini_!$C:$K)</f>
        <v>Bachelors_degree</v>
      </c>
      <c r="J713" t="str">
        <f>_xlfn.XLOOKUP($A:$A,Instagram_Usage_Lifestyle_Mini_!$A:$A,Instagram_Usage_Lifestyle_Mini_!$C:$K)</f>
        <v>Single</v>
      </c>
      <c r="K713" t="str">
        <f>_xlfn.XLOOKUP($A:$A,Instagram_Usage_Lifestyle_Mini_!$A:$A,Instagram_Usage_Lifestyle_Mini_!$C:$K)</f>
        <v>No</v>
      </c>
      <c r="L713" t="str" cm="1">
        <f t="array" ref="L713">_xlfn.IFS(C713&lt;18,"Under_18",C713&lt;=25,"Youth",C713&lt;=35,"Young_Adults",C713&lt;=45,"Mid_Adults",TRUE,"Seniors")</f>
        <v>Seniors</v>
      </c>
    </row>
    <row r="714" spans="1:12" x14ac:dyDescent="0.2">
      <c r="A714">
        <v>713</v>
      </c>
      <c r="B714" t="str">
        <f>_xlfn.XLOOKUP(A714,Instagram_Usage_Lifestyle_Mini_!A714,Instagram_Usage_Lifestyle_Mini_!B714,1)</f>
        <v>Instagram</v>
      </c>
      <c r="C714">
        <f>_xlfn.XLOOKUP($A:$A,Instagram_Usage_Lifestyle_Mini_!$A:$A,Instagram_Usage_Lifestyle_Mini_!$C:$K)</f>
        <v>57</v>
      </c>
      <c r="D714" t="str">
        <f>_xlfn.XLOOKUP($A:$A,Instagram_Usage_Lifestyle_Mini_!$A:$A,Instagram_Usage_Lifestyle_Mini_!$C:$K)</f>
        <v>Male</v>
      </c>
      <c r="E714" t="str">
        <f>_xlfn.XLOOKUP($A:$A,Instagram_Usage_Lifestyle_Mini_!$A:$A,Instagram_Usage_Lifestyle_Mini_!$C:$K)</f>
        <v>India</v>
      </c>
      <c r="F714" t="str">
        <f>_xlfn.XLOOKUP($A:$A,Instagram_Usage_Lifestyle_Mini_!$A:$A,Instagram_Usage_Lifestyle_Mini_!$C:$K)</f>
        <v>Suburban</v>
      </c>
      <c r="G714" t="str">
        <f>_xlfn.XLOOKUP($A:$A,Instagram_Usage_Lifestyle_Mini_!$A:$A,Instagram_Usage_Lifestyle_Mini_!$C:$K)</f>
        <v>Middle</v>
      </c>
      <c r="H714" t="str">
        <f>_xlfn.XLOOKUP($A:$A,Instagram_Usage_Lifestyle_Mini_!$A:$A,Instagram_Usage_Lifestyle_Mini_!$C:$K)</f>
        <v>Part_time</v>
      </c>
      <c r="I714" t="str">
        <f>_xlfn.XLOOKUP($A:$A,Instagram_Usage_Lifestyle_Mini_!$A:$A,Instagram_Usage_Lifestyle_Mini_!$C:$K)</f>
        <v>Masters_degree</v>
      </c>
      <c r="J714" t="str">
        <f>_xlfn.XLOOKUP($A:$A,Instagram_Usage_Lifestyle_Mini_!$A:$A,Instagram_Usage_Lifestyle_Mini_!$C:$K)</f>
        <v>In_a_relationship</v>
      </c>
      <c r="K714" t="str">
        <f>_xlfn.XLOOKUP($A:$A,Instagram_Usage_Lifestyle_Mini_!$A:$A,Instagram_Usage_Lifestyle_Mini_!$C:$K)</f>
        <v>No</v>
      </c>
      <c r="L714" t="str" cm="1">
        <f t="array" ref="L714">_xlfn.IFS(C714&lt;18,"Under_18",C714&lt;=25,"Youth",C714&lt;=35,"Young_Adults",C714&lt;=45,"Mid_Adults",TRUE,"Seniors")</f>
        <v>Seniors</v>
      </c>
    </row>
    <row r="715" spans="1:12" x14ac:dyDescent="0.2">
      <c r="A715">
        <v>714</v>
      </c>
      <c r="B715" t="str">
        <f>_xlfn.XLOOKUP(A715,Instagram_Usage_Lifestyle_Mini_!A715,Instagram_Usage_Lifestyle_Mini_!B715,1)</f>
        <v>Instagram</v>
      </c>
      <c r="C715">
        <f>_xlfn.XLOOKUP($A:$A,Instagram_Usage_Lifestyle_Mini_!$A:$A,Instagram_Usage_Lifestyle_Mini_!$C:$K)</f>
        <v>13</v>
      </c>
      <c r="D715" t="str">
        <f>_xlfn.XLOOKUP($A:$A,Instagram_Usage_Lifestyle_Mini_!$A:$A,Instagram_Usage_Lifestyle_Mini_!$C:$K)</f>
        <v>Male</v>
      </c>
      <c r="E715" t="str">
        <f>_xlfn.XLOOKUP($A:$A,Instagram_Usage_Lifestyle_Mini_!$A:$A,Instagram_Usage_Lifestyle_Mini_!$C:$K)</f>
        <v>United_States</v>
      </c>
      <c r="F715" t="str">
        <f>_xlfn.XLOOKUP($A:$A,Instagram_Usage_Lifestyle_Mini_!$A:$A,Instagram_Usage_Lifestyle_Mini_!$C:$K)</f>
        <v>Urban</v>
      </c>
      <c r="G715" t="str">
        <f>_xlfn.XLOOKUP($A:$A,Instagram_Usage_Lifestyle_Mini_!$A:$A,Instagram_Usage_Lifestyle_Mini_!$C:$K)</f>
        <v>Middle</v>
      </c>
      <c r="H715" t="str">
        <f>_xlfn.XLOOKUP($A:$A,Instagram_Usage_Lifestyle_Mini_!$A:$A,Instagram_Usage_Lifestyle_Mini_!$C:$K)</f>
        <v>Full_time_employed</v>
      </c>
      <c r="I715" t="str">
        <f>_xlfn.XLOOKUP($A:$A,Instagram_Usage_Lifestyle_Mini_!$A:$A,Instagram_Usage_Lifestyle_Mini_!$C:$K)</f>
        <v>High_school</v>
      </c>
      <c r="J715" t="str">
        <f>_xlfn.XLOOKUP($A:$A,Instagram_Usage_Lifestyle_Mini_!$A:$A,Instagram_Usage_Lifestyle_Mini_!$C:$K)</f>
        <v>In_a_relationship</v>
      </c>
      <c r="K715" t="str">
        <f>_xlfn.XLOOKUP($A:$A,Instagram_Usage_Lifestyle_Mini_!$A:$A,Instagram_Usage_Lifestyle_Mini_!$C:$K)</f>
        <v>No</v>
      </c>
      <c r="L715" t="str" cm="1">
        <f t="array" ref="L715">_xlfn.IFS(C715&lt;18,"Under_18",C715&lt;=25,"Youth",C715&lt;=35,"Young_Adults",C715&lt;=45,"Mid_Adults",TRUE,"Seniors")</f>
        <v>Under_18</v>
      </c>
    </row>
    <row r="716" spans="1:12" x14ac:dyDescent="0.2">
      <c r="A716">
        <v>715</v>
      </c>
      <c r="B716" t="str">
        <f>_xlfn.XLOOKUP(A716,Instagram_Usage_Lifestyle_Mini_!A716,Instagram_Usage_Lifestyle_Mini_!B716,1)</f>
        <v>Instagram</v>
      </c>
      <c r="C716">
        <f>_xlfn.XLOOKUP($A:$A,Instagram_Usage_Lifestyle_Mini_!$A:$A,Instagram_Usage_Lifestyle_Mini_!$C:$K)</f>
        <v>34</v>
      </c>
      <c r="D716" t="str">
        <f>_xlfn.XLOOKUP($A:$A,Instagram_Usage_Lifestyle_Mini_!$A:$A,Instagram_Usage_Lifestyle_Mini_!$C:$K)</f>
        <v>Male</v>
      </c>
      <c r="E716" t="str">
        <f>_xlfn.XLOOKUP($A:$A,Instagram_Usage_Lifestyle_Mini_!$A:$A,Instagram_Usage_Lifestyle_Mini_!$C:$K)</f>
        <v>Japan</v>
      </c>
      <c r="F716" t="str">
        <f>_xlfn.XLOOKUP($A:$A,Instagram_Usage_Lifestyle_Mini_!$A:$A,Instagram_Usage_Lifestyle_Mini_!$C:$K)</f>
        <v>Urban</v>
      </c>
      <c r="G716" t="str">
        <f>_xlfn.XLOOKUP($A:$A,Instagram_Usage_Lifestyle_Mini_!$A:$A,Instagram_Usage_Lifestyle_Mini_!$C:$K)</f>
        <v>Middle</v>
      </c>
      <c r="H716" t="str">
        <f>_xlfn.XLOOKUP($A:$A,Instagram_Usage_Lifestyle_Mini_!$A:$A,Instagram_Usage_Lifestyle_Mini_!$C:$K)</f>
        <v>Student</v>
      </c>
      <c r="I716" t="str">
        <f>_xlfn.XLOOKUP($A:$A,Instagram_Usage_Lifestyle_Mini_!$A:$A,Instagram_Usage_Lifestyle_Mini_!$C:$K)</f>
        <v>Masters_degree</v>
      </c>
      <c r="J716" t="str">
        <f>_xlfn.XLOOKUP($A:$A,Instagram_Usage_Lifestyle_Mini_!$A:$A,Instagram_Usage_Lifestyle_Mini_!$C:$K)</f>
        <v>Single</v>
      </c>
      <c r="K716" t="str">
        <f>_xlfn.XLOOKUP($A:$A,Instagram_Usage_Lifestyle_Mini_!$A:$A,Instagram_Usage_Lifestyle_Mini_!$C:$K)</f>
        <v>No</v>
      </c>
      <c r="L716" t="str" cm="1">
        <f t="array" ref="L716">_xlfn.IFS(C716&lt;18,"Under_18",C716&lt;=25,"Youth",C716&lt;=35,"Young_Adults",C716&lt;=45,"Mid_Adults",TRUE,"Seniors")</f>
        <v>Young_Adults</v>
      </c>
    </row>
    <row r="717" spans="1:12" x14ac:dyDescent="0.2">
      <c r="A717">
        <v>716</v>
      </c>
      <c r="B717" t="str">
        <f>_xlfn.XLOOKUP(A717,Instagram_Usage_Lifestyle_Mini_!A717,Instagram_Usage_Lifestyle_Mini_!B717,1)</f>
        <v>Instagram</v>
      </c>
      <c r="C717">
        <f>_xlfn.XLOOKUP($A:$A,Instagram_Usage_Lifestyle_Mini_!$A:$A,Instagram_Usage_Lifestyle_Mini_!$C:$K)</f>
        <v>64</v>
      </c>
      <c r="D717" t="str">
        <f>_xlfn.XLOOKUP($A:$A,Instagram_Usage_Lifestyle_Mini_!$A:$A,Instagram_Usage_Lifestyle_Mini_!$C:$K)</f>
        <v>Female</v>
      </c>
      <c r="E717" t="str">
        <f>_xlfn.XLOOKUP($A:$A,Instagram_Usage_Lifestyle_Mini_!$A:$A,Instagram_Usage_Lifestyle_Mini_!$C:$K)</f>
        <v>Japan</v>
      </c>
      <c r="F717" t="str">
        <f>_xlfn.XLOOKUP($A:$A,Instagram_Usage_Lifestyle_Mini_!$A:$A,Instagram_Usage_Lifestyle_Mini_!$C:$K)</f>
        <v>Suburban</v>
      </c>
      <c r="G717" t="str">
        <f>_xlfn.XLOOKUP($A:$A,Instagram_Usage_Lifestyle_Mini_!$A:$A,Instagram_Usage_Lifestyle_Mini_!$C:$K)</f>
        <v>Middle</v>
      </c>
      <c r="H717" t="str">
        <f>_xlfn.XLOOKUP($A:$A,Instagram_Usage_Lifestyle_Mini_!$A:$A,Instagram_Usage_Lifestyle_Mini_!$C:$K)</f>
        <v>Retired</v>
      </c>
      <c r="I717" t="str">
        <f>_xlfn.XLOOKUP($A:$A,Instagram_Usage_Lifestyle_Mini_!$A:$A,Instagram_Usage_Lifestyle_Mini_!$C:$K)</f>
        <v>Some_college</v>
      </c>
      <c r="J717" t="str">
        <f>_xlfn.XLOOKUP($A:$A,Instagram_Usage_Lifestyle_Mini_!$A:$A,Instagram_Usage_Lifestyle_Mini_!$C:$K)</f>
        <v>Single</v>
      </c>
      <c r="K717" t="str">
        <f>_xlfn.XLOOKUP($A:$A,Instagram_Usage_Lifestyle_Mini_!$A:$A,Instagram_Usage_Lifestyle_Mini_!$C:$K)</f>
        <v>No</v>
      </c>
      <c r="L717" t="str" cm="1">
        <f t="array" ref="L717">_xlfn.IFS(C717&lt;18,"Under_18",C717&lt;=25,"Youth",C717&lt;=35,"Young_Adults",C717&lt;=45,"Mid_Adults",TRUE,"Seniors")</f>
        <v>Seniors</v>
      </c>
    </row>
    <row r="718" spans="1:12" x14ac:dyDescent="0.2">
      <c r="A718">
        <v>717</v>
      </c>
      <c r="B718" t="str">
        <f>_xlfn.XLOOKUP(A718,Instagram_Usage_Lifestyle_Mini_!A718,Instagram_Usage_Lifestyle_Mini_!B718,1)</f>
        <v>Instagram</v>
      </c>
      <c r="C718">
        <f>_xlfn.XLOOKUP($A:$A,Instagram_Usage_Lifestyle_Mini_!$A:$A,Instagram_Usage_Lifestyle_Mini_!$C:$K)</f>
        <v>29</v>
      </c>
      <c r="D718" t="str">
        <f>_xlfn.XLOOKUP($A:$A,Instagram_Usage_Lifestyle_Mini_!$A:$A,Instagram_Usage_Lifestyle_Mini_!$C:$K)</f>
        <v>Male</v>
      </c>
      <c r="E718" t="str">
        <f>_xlfn.XLOOKUP($A:$A,Instagram_Usage_Lifestyle_Mini_!$A:$A,Instagram_Usage_Lifestyle_Mini_!$C:$K)</f>
        <v>India</v>
      </c>
      <c r="F718" t="str">
        <f>_xlfn.XLOOKUP($A:$A,Instagram_Usage_Lifestyle_Mini_!$A:$A,Instagram_Usage_Lifestyle_Mini_!$C:$K)</f>
        <v>Urban</v>
      </c>
      <c r="G718" t="str">
        <f>_xlfn.XLOOKUP($A:$A,Instagram_Usage_Lifestyle_Mini_!$A:$A,Instagram_Usage_Lifestyle_Mini_!$C:$K)</f>
        <v>Middle</v>
      </c>
      <c r="H718" t="str">
        <f>_xlfn.XLOOKUP($A:$A,Instagram_Usage_Lifestyle_Mini_!$A:$A,Instagram_Usage_Lifestyle_Mini_!$C:$K)</f>
        <v>Student</v>
      </c>
      <c r="I718" t="str">
        <f>_xlfn.XLOOKUP($A:$A,Instagram_Usage_Lifestyle_Mini_!$A:$A,Instagram_Usage_Lifestyle_Mini_!$C:$K)</f>
        <v>High_school</v>
      </c>
      <c r="J718" t="str">
        <f>_xlfn.XLOOKUP($A:$A,Instagram_Usage_Lifestyle_Mini_!$A:$A,Instagram_Usage_Lifestyle_Mini_!$C:$K)</f>
        <v>In_a_relationship</v>
      </c>
      <c r="K718" t="str">
        <f>_xlfn.XLOOKUP($A:$A,Instagram_Usage_Lifestyle_Mini_!$A:$A,Instagram_Usage_Lifestyle_Mini_!$C:$K)</f>
        <v>No</v>
      </c>
      <c r="L718" t="str" cm="1">
        <f t="array" ref="L718">_xlfn.IFS(C718&lt;18,"Under_18",C718&lt;=25,"Youth",C718&lt;=35,"Young_Adults",C718&lt;=45,"Mid_Adults",TRUE,"Seniors")</f>
        <v>Young_Adults</v>
      </c>
    </row>
    <row r="719" spans="1:12" x14ac:dyDescent="0.2">
      <c r="A719">
        <v>718</v>
      </c>
      <c r="B719" t="str">
        <f>_xlfn.XLOOKUP(A719,Instagram_Usage_Lifestyle_Mini_!A719,Instagram_Usage_Lifestyle_Mini_!B719,1)</f>
        <v>Instagram</v>
      </c>
      <c r="C719">
        <f>_xlfn.XLOOKUP($A:$A,Instagram_Usage_Lifestyle_Mini_!$A:$A,Instagram_Usage_Lifestyle_Mini_!$C:$K)</f>
        <v>19</v>
      </c>
      <c r="D719" t="str">
        <f>_xlfn.XLOOKUP($A:$A,Instagram_Usage_Lifestyle_Mini_!$A:$A,Instagram_Usage_Lifestyle_Mini_!$C:$K)</f>
        <v>Male</v>
      </c>
      <c r="E719" t="str">
        <f>_xlfn.XLOOKUP($A:$A,Instagram_Usage_Lifestyle_Mini_!$A:$A,Instagram_Usage_Lifestyle_Mini_!$C:$K)</f>
        <v>Brazil</v>
      </c>
      <c r="F719" t="str">
        <f>_xlfn.XLOOKUP($A:$A,Instagram_Usage_Lifestyle_Mini_!$A:$A,Instagram_Usage_Lifestyle_Mini_!$C:$K)</f>
        <v>Rural</v>
      </c>
      <c r="G719" t="str">
        <f>_xlfn.XLOOKUP($A:$A,Instagram_Usage_Lifestyle_Mini_!$A:$A,Instagram_Usage_Lifestyle_Mini_!$C:$K)</f>
        <v>Middle</v>
      </c>
      <c r="H719" t="str">
        <f>_xlfn.XLOOKUP($A:$A,Instagram_Usage_Lifestyle_Mini_!$A:$A,Instagram_Usage_Lifestyle_Mini_!$C:$K)</f>
        <v>Unemployed</v>
      </c>
      <c r="I719" t="str">
        <f>_xlfn.XLOOKUP($A:$A,Instagram_Usage_Lifestyle_Mini_!$A:$A,Instagram_Usage_Lifestyle_Mini_!$C:$K)</f>
        <v>Some_college</v>
      </c>
      <c r="J719" t="str">
        <f>_xlfn.XLOOKUP($A:$A,Instagram_Usage_Lifestyle_Mini_!$A:$A,Instagram_Usage_Lifestyle_Mini_!$C:$K)</f>
        <v>In_a_relationship</v>
      </c>
      <c r="K719" t="str">
        <f>_xlfn.XLOOKUP($A:$A,Instagram_Usage_Lifestyle_Mini_!$A:$A,Instagram_Usage_Lifestyle_Mini_!$C:$K)</f>
        <v>No</v>
      </c>
      <c r="L719" t="str" cm="1">
        <f t="array" ref="L719">_xlfn.IFS(C719&lt;18,"Under_18",C719&lt;=25,"Youth",C719&lt;=35,"Young_Adults",C719&lt;=45,"Mid_Adults",TRUE,"Seniors")</f>
        <v>Youth</v>
      </c>
    </row>
    <row r="720" spans="1:12" x14ac:dyDescent="0.2">
      <c r="A720">
        <v>719</v>
      </c>
      <c r="B720" t="str">
        <f>_xlfn.XLOOKUP(A720,Instagram_Usage_Lifestyle_Mini_!A720,Instagram_Usage_Lifestyle_Mini_!B720,1)</f>
        <v>Instagram</v>
      </c>
      <c r="C720">
        <f>_xlfn.XLOOKUP($A:$A,Instagram_Usage_Lifestyle_Mini_!$A:$A,Instagram_Usage_Lifestyle_Mini_!$C:$K)</f>
        <v>37</v>
      </c>
      <c r="D720" t="str">
        <f>_xlfn.XLOOKUP($A:$A,Instagram_Usage_Lifestyle_Mini_!$A:$A,Instagram_Usage_Lifestyle_Mini_!$C:$K)</f>
        <v>Female</v>
      </c>
      <c r="E720" t="str">
        <f>_xlfn.XLOOKUP($A:$A,Instagram_Usage_Lifestyle_Mini_!$A:$A,Instagram_Usage_Lifestyle_Mini_!$C:$K)</f>
        <v>Brazil</v>
      </c>
      <c r="F720" t="str">
        <f>_xlfn.XLOOKUP($A:$A,Instagram_Usage_Lifestyle_Mini_!$A:$A,Instagram_Usage_Lifestyle_Mini_!$C:$K)</f>
        <v>Suburban</v>
      </c>
      <c r="G720" t="str">
        <f>_xlfn.XLOOKUP($A:$A,Instagram_Usage_Lifestyle_Mini_!$A:$A,Instagram_Usage_Lifestyle_Mini_!$C:$K)</f>
        <v>High</v>
      </c>
      <c r="H720" t="str">
        <f>_xlfn.XLOOKUP($A:$A,Instagram_Usage_Lifestyle_Mini_!$A:$A,Instagram_Usage_Lifestyle_Mini_!$C:$K)</f>
        <v>Full_time_employed</v>
      </c>
      <c r="I720" t="str">
        <f>_xlfn.XLOOKUP($A:$A,Instagram_Usage_Lifestyle_Mini_!$A:$A,Instagram_Usage_Lifestyle_Mini_!$C:$K)</f>
        <v>Bachelors_degree</v>
      </c>
      <c r="J720" t="str">
        <f>_xlfn.XLOOKUP($A:$A,Instagram_Usage_Lifestyle_Mini_!$A:$A,Instagram_Usage_Lifestyle_Mini_!$C:$K)</f>
        <v>Married</v>
      </c>
      <c r="K720" t="str">
        <f>_xlfn.XLOOKUP($A:$A,Instagram_Usage_Lifestyle_Mini_!$A:$A,Instagram_Usage_Lifestyle_Mini_!$C:$K)</f>
        <v>No</v>
      </c>
      <c r="L720" t="str" cm="1">
        <f t="array" ref="L720">_xlfn.IFS(C720&lt;18,"Under_18",C720&lt;=25,"Youth",C720&lt;=35,"Young_Adults",C720&lt;=45,"Mid_Adults",TRUE,"Seniors")</f>
        <v>Mid_Adults</v>
      </c>
    </row>
    <row r="721" spans="1:12" x14ac:dyDescent="0.2">
      <c r="A721">
        <v>720</v>
      </c>
      <c r="B721" t="str">
        <f>_xlfn.XLOOKUP(A721,Instagram_Usage_Lifestyle_Mini_!A721,Instagram_Usage_Lifestyle_Mini_!B721,1)</f>
        <v>Instagram</v>
      </c>
      <c r="C721">
        <f>_xlfn.XLOOKUP($A:$A,Instagram_Usage_Lifestyle_Mini_!$A:$A,Instagram_Usage_Lifestyle_Mini_!$C:$K)</f>
        <v>57</v>
      </c>
      <c r="D721" t="str">
        <f>_xlfn.XLOOKUP($A:$A,Instagram_Usage_Lifestyle_Mini_!$A:$A,Instagram_Usage_Lifestyle_Mini_!$C:$K)</f>
        <v>Female</v>
      </c>
      <c r="E721" t="str">
        <f>_xlfn.XLOOKUP($A:$A,Instagram_Usage_Lifestyle_Mini_!$A:$A,Instagram_Usage_Lifestyle_Mini_!$C:$K)</f>
        <v>United_States</v>
      </c>
      <c r="F721" t="str">
        <f>_xlfn.XLOOKUP($A:$A,Instagram_Usage_Lifestyle_Mini_!$A:$A,Instagram_Usage_Lifestyle_Mini_!$C:$K)</f>
        <v>Urban</v>
      </c>
      <c r="G721" t="str">
        <f>_xlfn.XLOOKUP($A:$A,Instagram_Usage_Lifestyle_Mini_!$A:$A,Instagram_Usage_Lifestyle_Mini_!$C:$K)</f>
        <v>Middle</v>
      </c>
      <c r="H721" t="str">
        <f>_xlfn.XLOOKUP($A:$A,Instagram_Usage_Lifestyle_Mini_!$A:$A,Instagram_Usage_Lifestyle_Mini_!$C:$K)</f>
        <v>Freelancer</v>
      </c>
      <c r="I721" t="str">
        <f>_xlfn.XLOOKUP($A:$A,Instagram_Usage_Lifestyle_Mini_!$A:$A,Instagram_Usage_Lifestyle_Mini_!$C:$K)</f>
        <v>Masters_degree</v>
      </c>
      <c r="J721" t="str">
        <f>_xlfn.XLOOKUP($A:$A,Instagram_Usage_Lifestyle_Mini_!$A:$A,Instagram_Usage_Lifestyle_Mini_!$C:$K)</f>
        <v>Single</v>
      </c>
      <c r="K721" t="str">
        <f>_xlfn.XLOOKUP($A:$A,Instagram_Usage_Lifestyle_Mini_!$A:$A,Instagram_Usage_Lifestyle_Mini_!$C:$K)</f>
        <v>Yes</v>
      </c>
      <c r="L721" t="str" cm="1">
        <f t="array" ref="L721">_xlfn.IFS(C721&lt;18,"Under_18",C721&lt;=25,"Youth",C721&lt;=35,"Young_Adults",C721&lt;=45,"Mid_Adults",TRUE,"Seniors")</f>
        <v>Seniors</v>
      </c>
    </row>
    <row r="722" spans="1:12" x14ac:dyDescent="0.2">
      <c r="A722">
        <v>721</v>
      </c>
      <c r="B722" t="str">
        <f>_xlfn.XLOOKUP(A722,Instagram_Usage_Lifestyle_Mini_!A722,Instagram_Usage_Lifestyle_Mini_!B722,1)</f>
        <v>Instagram</v>
      </c>
      <c r="C722">
        <f>_xlfn.XLOOKUP($A:$A,Instagram_Usage_Lifestyle_Mini_!$A:$A,Instagram_Usage_Lifestyle_Mini_!$C:$K)</f>
        <v>16</v>
      </c>
      <c r="D722" t="str">
        <f>_xlfn.XLOOKUP($A:$A,Instagram_Usage_Lifestyle_Mini_!$A:$A,Instagram_Usage_Lifestyle_Mini_!$C:$K)</f>
        <v>Male</v>
      </c>
      <c r="E722" t="str">
        <f>_xlfn.XLOOKUP($A:$A,Instagram_Usage_Lifestyle_Mini_!$A:$A,Instagram_Usage_Lifestyle_Mini_!$C:$K)</f>
        <v>Germany</v>
      </c>
      <c r="F722" t="str">
        <f>_xlfn.XLOOKUP($A:$A,Instagram_Usage_Lifestyle_Mini_!$A:$A,Instagram_Usage_Lifestyle_Mini_!$C:$K)</f>
        <v>Rural</v>
      </c>
      <c r="G722" t="str">
        <f>_xlfn.XLOOKUP($A:$A,Instagram_Usage_Lifestyle_Mini_!$A:$A,Instagram_Usage_Lifestyle_Mini_!$C:$K)</f>
        <v>Lower_middle</v>
      </c>
      <c r="H722" t="str">
        <f>_xlfn.XLOOKUP($A:$A,Instagram_Usage_Lifestyle_Mini_!$A:$A,Instagram_Usage_Lifestyle_Mini_!$C:$K)</f>
        <v>Full_time_employed</v>
      </c>
      <c r="I722" t="str">
        <f>_xlfn.XLOOKUP($A:$A,Instagram_Usage_Lifestyle_Mini_!$A:$A,Instagram_Usage_Lifestyle_Mini_!$C:$K)</f>
        <v>Some_college</v>
      </c>
      <c r="J722" t="str">
        <f>_xlfn.XLOOKUP($A:$A,Instagram_Usage_Lifestyle_Mini_!$A:$A,Instagram_Usage_Lifestyle_Mini_!$C:$K)</f>
        <v>Single</v>
      </c>
      <c r="K722" t="str">
        <f>_xlfn.XLOOKUP($A:$A,Instagram_Usage_Lifestyle_Mini_!$A:$A,Instagram_Usage_Lifestyle_Mini_!$C:$K)</f>
        <v>Yes</v>
      </c>
      <c r="L722" t="str" cm="1">
        <f t="array" ref="L722">_xlfn.IFS(C722&lt;18,"Under_18",C722&lt;=25,"Youth",C722&lt;=35,"Young_Adults",C722&lt;=45,"Mid_Adults",TRUE,"Seniors")</f>
        <v>Under_18</v>
      </c>
    </row>
    <row r="723" spans="1:12" x14ac:dyDescent="0.2">
      <c r="A723">
        <v>722</v>
      </c>
      <c r="B723" t="str">
        <f>_xlfn.XLOOKUP(A723,Instagram_Usage_Lifestyle_Mini_!A723,Instagram_Usage_Lifestyle_Mini_!B723,1)</f>
        <v>Instagram</v>
      </c>
      <c r="C723">
        <f>_xlfn.XLOOKUP($A:$A,Instagram_Usage_Lifestyle_Mini_!$A:$A,Instagram_Usage_Lifestyle_Mini_!$C:$K)</f>
        <v>48</v>
      </c>
      <c r="D723" t="str">
        <f>_xlfn.XLOOKUP($A:$A,Instagram_Usage_Lifestyle_Mini_!$A:$A,Instagram_Usage_Lifestyle_Mini_!$C:$K)</f>
        <v>Female</v>
      </c>
      <c r="E723" t="str">
        <f>_xlfn.XLOOKUP($A:$A,Instagram_Usage_Lifestyle_Mini_!$A:$A,Instagram_Usage_Lifestyle_Mini_!$C:$K)</f>
        <v>India</v>
      </c>
      <c r="F723" t="str">
        <f>_xlfn.XLOOKUP($A:$A,Instagram_Usage_Lifestyle_Mini_!$A:$A,Instagram_Usage_Lifestyle_Mini_!$C:$K)</f>
        <v>Urban</v>
      </c>
      <c r="G723" t="str">
        <f>_xlfn.XLOOKUP($A:$A,Instagram_Usage_Lifestyle_Mini_!$A:$A,Instagram_Usage_Lifestyle_Mini_!$C:$K)</f>
        <v>Upper_middle</v>
      </c>
      <c r="H723" t="str">
        <f>_xlfn.XLOOKUP($A:$A,Instagram_Usage_Lifestyle_Mini_!$A:$A,Instagram_Usage_Lifestyle_Mini_!$C:$K)</f>
        <v>Full_time_employed</v>
      </c>
      <c r="I723" t="str">
        <f>_xlfn.XLOOKUP($A:$A,Instagram_Usage_Lifestyle_Mini_!$A:$A,Instagram_Usage_Lifestyle_Mini_!$C:$K)</f>
        <v>Bachelors_degree</v>
      </c>
      <c r="J723" t="str">
        <f>_xlfn.XLOOKUP($A:$A,Instagram_Usage_Lifestyle_Mini_!$A:$A,Instagram_Usage_Lifestyle_Mini_!$C:$K)</f>
        <v>Married</v>
      </c>
      <c r="K723" t="str">
        <f>_xlfn.XLOOKUP($A:$A,Instagram_Usage_Lifestyle_Mini_!$A:$A,Instagram_Usage_Lifestyle_Mini_!$C:$K)</f>
        <v>No</v>
      </c>
      <c r="L723" t="str" cm="1">
        <f t="array" ref="L723">_xlfn.IFS(C723&lt;18,"Under_18",C723&lt;=25,"Youth",C723&lt;=35,"Young_Adults",C723&lt;=45,"Mid_Adults",TRUE,"Seniors")</f>
        <v>Seniors</v>
      </c>
    </row>
    <row r="724" spans="1:12" x14ac:dyDescent="0.2">
      <c r="A724">
        <v>723</v>
      </c>
      <c r="B724" t="str">
        <f>_xlfn.XLOOKUP(A724,Instagram_Usage_Lifestyle_Mini_!A724,Instagram_Usage_Lifestyle_Mini_!B724,1)</f>
        <v>Instagram</v>
      </c>
      <c r="C724">
        <f>_xlfn.XLOOKUP($A:$A,Instagram_Usage_Lifestyle_Mini_!$A:$A,Instagram_Usage_Lifestyle_Mini_!$C:$K)</f>
        <v>18</v>
      </c>
      <c r="D724" t="str">
        <f>_xlfn.XLOOKUP($A:$A,Instagram_Usage_Lifestyle_Mini_!$A:$A,Instagram_Usage_Lifestyle_Mini_!$C:$K)</f>
        <v>Female</v>
      </c>
      <c r="E724" t="str">
        <f>_xlfn.XLOOKUP($A:$A,Instagram_Usage_Lifestyle_Mini_!$A:$A,Instagram_Usage_Lifestyle_Mini_!$C:$K)</f>
        <v>India</v>
      </c>
      <c r="F724" t="str">
        <f>_xlfn.XLOOKUP($A:$A,Instagram_Usage_Lifestyle_Mini_!$A:$A,Instagram_Usage_Lifestyle_Mini_!$C:$K)</f>
        <v>Urban</v>
      </c>
      <c r="G724" t="str">
        <f>_xlfn.XLOOKUP($A:$A,Instagram_Usage_Lifestyle_Mini_!$A:$A,Instagram_Usage_Lifestyle_Mini_!$C:$K)</f>
        <v>Middle</v>
      </c>
      <c r="H724" t="str">
        <f>_xlfn.XLOOKUP($A:$A,Instagram_Usage_Lifestyle_Mini_!$A:$A,Instagram_Usage_Lifestyle_Mini_!$C:$K)</f>
        <v>Student</v>
      </c>
      <c r="I724" t="str">
        <f>_xlfn.XLOOKUP($A:$A,Instagram_Usage_Lifestyle_Mini_!$A:$A,Instagram_Usage_Lifestyle_Mini_!$C:$K)</f>
        <v>Other</v>
      </c>
      <c r="J724" t="str">
        <f>_xlfn.XLOOKUP($A:$A,Instagram_Usage_Lifestyle_Mini_!$A:$A,Instagram_Usage_Lifestyle_Mini_!$C:$K)</f>
        <v>Married</v>
      </c>
      <c r="K724" t="str">
        <f>_xlfn.XLOOKUP($A:$A,Instagram_Usage_Lifestyle_Mini_!$A:$A,Instagram_Usage_Lifestyle_Mini_!$C:$K)</f>
        <v>No</v>
      </c>
      <c r="L724" t="str" cm="1">
        <f t="array" ref="L724">_xlfn.IFS(C724&lt;18,"Under_18",C724&lt;=25,"Youth",C724&lt;=35,"Young_Adults",C724&lt;=45,"Mid_Adults",TRUE,"Seniors")</f>
        <v>Youth</v>
      </c>
    </row>
    <row r="725" spans="1:12" x14ac:dyDescent="0.2">
      <c r="A725">
        <v>724</v>
      </c>
      <c r="B725" t="str">
        <f>_xlfn.XLOOKUP(A725,Instagram_Usage_Lifestyle_Mini_!A725,Instagram_Usage_Lifestyle_Mini_!B725,1)</f>
        <v>Instagram</v>
      </c>
      <c r="C725">
        <f>_xlfn.XLOOKUP($A:$A,Instagram_Usage_Lifestyle_Mini_!$A:$A,Instagram_Usage_Lifestyle_Mini_!$C:$K)</f>
        <v>43</v>
      </c>
      <c r="D725" t="str">
        <f>_xlfn.XLOOKUP($A:$A,Instagram_Usage_Lifestyle_Mini_!$A:$A,Instagram_Usage_Lifestyle_Mini_!$C:$K)</f>
        <v>Male</v>
      </c>
      <c r="E725" t="str">
        <f>_xlfn.XLOOKUP($A:$A,Instagram_Usage_Lifestyle_Mini_!$A:$A,Instagram_Usage_Lifestyle_Mini_!$C:$K)</f>
        <v>United_States</v>
      </c>
      <c r="F725" t="str">
        <f>_xlfn.XLOOKUP($A:$A,Instagram_Usage_Lifestyle_Mini_!$A:$A,Instagram_Usage_Lifestyle_Mini_!$C:$K)</f>
        <v>Urban</v>
      </c>
      <c r="G725" t="str">
        <f>_xlfn.XLOOKUP($A:$A,Instagram_Usage_Lifestyle_Mini_!$A:$A,Instagram_Usage_Lifestyle_Mini_!$C:$K)</f>
        <v>Lower_middle</v>
      </c>
      <c r="H725" t="str">
        <f>_xlfn.XLOOKUP($A:$A,Instagram_Usage_Lifestyle_Mini_!$A:$A,Instagram_Usage_Lifestyle_Mini_!$C:$K)</f>
        <v>Full_time_employed</v>
      </c>
      <c r="I725" t="str">
        <f>_xlfn.XLOOKUP($A:$A,Instagram_Usage_Lifestyle_Mini_!$A:$A,Instagram_Usage_Lifestyle_Mini_!$C:$K)</f>
        <v>Bachelors_degree</v>
      </c>
      <c r="J725" t="str">
        <f>_xlfn.XLOOKUP($A:$A,Instagram_Usage_Lifestyle_Mini_!$A:$A,Instagram_Usage_Lifestyle_Mini_!$C:$K)</f>
        <v>In_a_relationship</v>
      </c>
      <c r="K725" t="str">
        <f>_xlfn.XLOOKUP($A:$A,Instagram_Usage_Lifestyle_Mini_!$A:$A,Instagram_Usage_Lifestyle_Mini_!$C:$K)</f>
        <v>No</v>
      </c>
      <c r="L725" t="str" cm="1">
        <f t="array" ref="L725">_xlfn.IFS(C725&lt;18,"Under_18",C725&lt;=25,"Youth",C725&lt;=35,"Young_Adults",C725&lt;=45,"Mid_Adults",TRUE,"Seniors")</f>
        <v>Mid_Adults</v>
      </c>
    </row>
    <row r="726" spans="1:12" x14ac:dyDescent="0.2">
      <c r="A726">
        <v>725</v>
      </c>
      <c r="B726" t="str">
        <f>_xlfn.XLOOKUP(A726,Instagram_Usage_Lifestyle_Mini_!A726,Instagram_Usage_Lifestyle_Mini_!B726,1)</f>
        <v>Instagram</v>
      </c>
      <c r="C726">
        <f>_xlfn.XLOOKUP($A:$A,Instagram_Usage_Lifestyle_Mini_!$A:$A,Instagram_Usage_Lifestyle_Mini_!$C:$K)</f>
        <v>31</v>
      </c>
      <c r="D726" t="str">
        <f>_xlfn.XLOOKUP($A:$A,Instagram_Usage_Lifestyle_Mini_!$A:$A,Instagram_Usage_Lifestyle_Mini_!$C:$K)</f>
        <v>Female</v>
      </c>
      <c r="E726" t="str">
        <f>_xlfn.XLOOKUP($A:$A,Instagram_Usage_Lifestyle_Mini_!$A:$A,Instagram_Usage_Lifestyle_Mini_!$C:$K)</f>
        <v>Other</v>
      </c>
      <c r="F726" t="str">
        <f>_xlfn.XLOOKUP($A:$A,Instagram_Usage_Lifestyle_Mini_!$A:$A,Instagram_Usage_Lifestyle_Mini_!$C:$K)</f>
        <v>Suburban</v>
      </c>
      <c r="G726" t="str">
        <f>_xlfn.XLOOKUP($A:$A,Instagram_Usage_Lifestyle_Mini_!$A:$A,Instagram_Usage_Lifestyle_Mini_!$C:$K)</f>
        <v>Middle</v>
      </c>
      <c r="H726" t="str">
        <f>_xlfn.XLOOKUP($A:$A,Instagram_Usage_Lifestyle_Mini_!$A:$A,Instagram_Usage_Lifestyle_Mini_!$C:$K)</f>
        <v>Full_time_employed</v>
      </c>
      <c r="I726" t="str">
        <f>_xlfn.XLOOKUP($A:$A,Instagram_Usage_Lifestyle_Mini_!$A:$A,Instagram_Usage_Lifestyle_Mini_!$C:$K)</f>
        <v>Masters_degree</v>
      </c>
      <c r="J726" t="str">
        <f>_xlfn.XLOOKUP($A:$A,Instagram_Usage_Lifestyle_Mini_!$A:$A,Instagram_Usage_Lifestyle_Mini_!$C:$K)</f>
        <v>Married</v>
      </c>
      <c r="K726" t="str">
        <f>_xlfn.XLOOKUP($A:$A,Instagram_Usage_Lifestyle_Mini_!$A:$A,Instagram_Usage_Lifestyle_Mini_!$C:$K)</f>
        <v>No</v>
      </c>
      <c r="L726" t="str" cm="1">
        <f t="array" ref="L726">_xlfn.IFS(C726&lt;18,"Under_18",C726&lt;=25,"Youth",C726&lt;=35,"Young_Adults",C726&lt;=45,"Mid_Adults",TRUE,"Seniors")</f>
        <v>Young_Adults</v>
      </c>
    </row>
    <row r="727" spans="1:12" x14ac:dyDescent="0.2">
      <c r="A727">
        <v>726</v>
      </c>
      <c r="B727" t="str">
        <f>_xlfn.XLOOKUP(A727,Instagram_Usage_Lifestyle_Mini_!A727,Instagram_Usage_Lifestyle_Mini_!B727,1)</f>
        <v>Instagram</v>
      </c>
      <c r="C727">
        <f>_xlfn.XLOOKUP($A:$A,Instagram_Usage_Lifestyle_Mini_!$A:$A,Instagram_Usage_Lifestyle_Mini_!$C:$K)</f>
        <v>56</v>
      </c>
      <c r="D727" t="str">
        <f>_xlfn.XLOOKUP($A:$A,Instagram_Usage_Lifestyle_Mini_!$A:$A,Instagram_Usage_Lifestyle_Mini_!$C:$K)</f>
        <v>Male</v>
      </c>
      <c r="E727" t="str">
        <f>_xlfn.XLOOKUP($A:$A,Instagram_Usage_Lifestyle_Mini_!$A:$A,Instagram_Usage_Lifestyle_Mini_!$C:$K)</f>
        <v>Brazil</v>
      </c>
      <c r="F727" t="str">
        <f>_xlfn.XLOOKUP($A:$A,Instagram_Usage_Lifestyle_Mini_!$A:$A,Instagram_Usage_Lifestyle_Mini_!$C:$K)</f>
        <v>Urban</v>
      </c>
      <c r="G727" t="str">
        <f>_xlfn.XLOOKUP($A:$A,Instagram_Usage_Lifestyle_Mini_!$A:$A,Instagram_Usage_Lifestyle_Mini_!$C:$K)</f>
        <v>Lower_middle</v>
      </c>
      <c r="H727" t="str">
        <f>_xlfn.XLOOKUP($A:$A,Instagram_Usage_Lifestyle_Mini_!$A:$A,Instagram_Usage_Lifestyle_Mini_!$C:$K)</f>
        <v>Full_time_employed</v>
      </c>
      <c r="I727" t="str">
        <f>_xlfn.XLOOKUP($A:$A,Instagram_Usage_Lifestyle_Mini_!$A:$A,Instagram_Usage_Lifestyle_Mini_!$C:$K)</f>
        <v>Bachelors_degree</v>
      </c>
      <c r="J727" t="str">
        <f>_xlfn.XLOOKUP($A:$A,Instagram_Usage_Lifestyle_Mini_!$A:$A,Instagram_Usage_Lifestyle_Mini_!$C:$K)</f>
        <v>Married</v>
      </c>
      <c r="K727" t="str">
        <f>_xlfn.XLOOKUP($A:$A,Instagram_Usage_Lifestyle_Mini_!$A:$A,Instagram_Usage_Lifestyle_Mini_!$C:$K)</f>
        <v>Yes</v>
      </c>
      <c r="L727" t="str" cm="1">
        <f t="array" ref="L727">_xlfn.IFS(C727&lt;18,"Under_18",C727&lt;=25,"Youth",C727&lt;=35,"Young_Adults",C727&lt;=45,"Mid_Adults",TRUE,"Seniors")</f>
        <v>Seniors</v>
      </c>
    </row>
    <row r="728" spans="1:12" x14ac:dyDescent="0.2">
      <c r="A728">
        <v>727</v>
      </c>
      <c r="B728" t="str">
        <f>_xlfn.XLOOKUP(A728,Instagram_Usage_Lifestyle_Mini_!A728,Instagram_Usage_Lifestyle_Mini_!B728,1)</f>
        <v>Instagram</v>
      </c>
      <c r="C728">
        <f>_xlfn.XLOOKUP($A:$A,Instagram_Usage_Lifestyle_Mini_!$A:$A,Instagram_Usage_Lifestyle_Mini_!$C:$K)</f>
        <v>51</v>
      </c>
      <c r="D728" t="str">
        <f>_xlfn.XLOOKUP($A:$A,Instagram_Usage_Lifestyle_Mini_!$A:$A,Instagram_Usage_Lifestyle_Mini_!$C:$K)</f>
        <v>Female</v>
      </c>
      <c r="E728" t="str">
        <f>_xlfn.XLOOKUP($A:$A,Instagram_Usage_Lifestyle_Mini_!$A:$A,Instagram_Usage_Lifestyle_Mini_!$C:$K)</f>
        <v>Australia</v>
      </c>
      <c r="F728" t="str">
        <f>_xlfn.XLOOKUP($A:$A,Instagram_Usage_Lifestyle_Mini_!$A:$A,Instagram_Usage_Lifestyle_Mini_!$C:$K)</f>
        <v>Urban</v>
      </c>
      <c r="G728" t="str">
        <f>_xlfn.XLOOKUP($A:$A,Instagram_Usage_Lifestyle_Mini_!$A:$A,Instagram_Usage_Lifestyle_Mini_!$C:$K)</f>
        <v>Middle</v>
      </c>
      <c r="H728" t="str">
        <f>_xlfn.XLOOKUP($A:$A,Instagram_Usage_Lifestyle_Mini_!$A:$A,Instagram_Usage_Lifestyle_Mini_!$C:$K)</f>
        <v>Student</v>
      </c>
      <c r="I728" t="str">
        <f>_xlfn.XLOOKUP($A:$A,Instagram_Usage_Lifestyle_Mini_!$A:$A,Instagram_Usage_Lifestyle_Mini_!$C:$K)</f>
        <v>Bachelors_degree</v>
      </c>
      <c r="J728" t="str">
        <f>_xlfn.XLOOKUP($A:$A,Instagram_Usage_Lifestyle_Mini_!$A:$A,Instagram_Usage_Lifestyle_Mini_!$C:$K)</f>
        <v>Single</v>
      </c>
      <c r="K728" t="str">
        <f>_xlfn.XLOOKUP($A:$A,Instagram_Usage_Lifestyle_Mini_!$A:$A,Instagram_Usage_Lifestyle_Mini_!$C:$K)</f>
        <v>No</v>
      </c>
      <c r="L728" t="str" cm="1">
        <f t="array" ref="L728">_xlfn.IFS(C728&lt;18,"Under_18",C728&lt;=25,"Youth",C728&lt;=35,"Young_Adults",C728&lt;=45,"Mid_Adults",TRUE,"Seniors")</f>
        <v>Seniors</v>
      </c>
    </row>
    <row r="729" spans="1:12" x14ac:dyDescent="0.2">
      <c r="A729">
        <v>728</v>
      </c>
      <c r="B729" t="str">
        <f>_xlfn.XLOOKUP(A729,Instagram_Usage_Lifestyle_Mini_!A729,Instagram_Usage_Lifestyle_Mini_!B729,1)</f>
        <v>Instagram</v>
      </c>
      <c r="C729">
        <f>_xlfn.XLOOKUP($A:$A,Instagram_Usage_Lifestyle_Mini_!$A:$A,Instagram_Usage_Lifestyle_Mini_!$C:$K)</f>
        <v>39</v>
      </c>
      <c r="D729" t="str">
        <f>_xlfn.XLOOKUP($A:$A,Instagram_Usage_Lifestyle_Mini_!$A:$A,Instagram_Usage_Lifestyle_Mini_!$C:$K)</f>
        <v>Female</v>
      </c>
      <c r="E729" t="str">
        <f>_xlfn.XLOOKUP($A:$A,Instagram_Usage_Lifestyle_Mini_!$A:$A,Instagram_Usage_Lifestyle_Mini_!$C:$K)</f>
        <v>Canada</v>
      </c>
      <c r="F729" t="str">
        <f>_xlfn.XLOOKUP($A:$A,Instagram_Usage_Lifestyle_Mini_!$A:$A,Instagram_Usage_Lifestyle_Mini_!$C:$K)</f>
        <v>Urban</v>
      </c>
      <c r="G729" t="str">
        <f>_xlfn.XLOOKUP($A:$A,Instagram_Usage_Lifestyle_Mini_!$A:$A,Instagram_Usage_Lifestyle_Mini_!$C:$K)</f>
        <v>Low</v>
      </c>
      <c r="H729" t="str">
        <f>_xlfn.XLOOKUP($A:$A,Instagram_Usage_Lifestyle_Mini_!$A:$A,Instagram_Usage_Lifestyle_Mini_!$C:$K)</f>
        <v>Full_time_employed</v>
      </c>
      <c r="I729" t="str">
        <f>_xlfn.XLOOKUP($A:$A,Instagram_Usage_Lifestyle_Mini_!$A:$A,Instagram_Usage_Lifestyle_Mini_!$C:$K)</f>
        <v>Bachelors_degree</v>
      </c>
      <c r="J729" t="str">
        <f>_xlfn.XLOOKUP($A:$A,Instagram_Usage_Lifestyle_Mini_!$A:$A,Instagram_Usage_Lifestyle_Mini_!$C:$K)</f>
        <v>Single</v>
      </c>
      <c r="K729" t="str">
        <f>_xlfn.XLOOKUP($A:$A,Instagram_Usage_Lifestyle_Mini_!$A:$A,Instagram_Usage_Lifestyle_Mini_!$C:$K)</f>
        <v>No</v>
      </c>
      <c r="L729" t="str" cm="1">
        <f t="array" ref="L729">_xlfn.IFS(C729&lt;18,"Under_18",C729&lt;=25,"Youth",C729&lt;=35,"Young_Adults",C729&lt;=45,"Mid_Adults",TRUE,"Seniors")</f>
        <v>Mid_Adults</v>
      </c>
    </row>
    <row r="730" spans="1:12" x14ac:dyDescent="0.2">
      <c r="A730">
        <v>729</v>
      </c>
      <c r="B730" t="str">
        <f>_xlfn.XLOOKUP(A730,Instagram_Usage_Lifestyle_Mini_!A730,Instagram_Usage_Lifestyle_Mini_!B730,1)</f>
        <v>Instagram</v>
      </c>
      <c r="C730">
        <f>_xlfn.XLOOKUP($A:$A,Instagram_Usage_Lifestyle_Mini_!$A:$A,Instagram_Usage_Lifestyle_Mini_!$C:$K)</f>
        <v>22</v>
      </c>
      <c r="D730" t="str">
        <f>_xlfn.XLOOKUP($A:$A,Instagram_Usage_Lifestyle_Mini_!$A:$A,Instagram_Usage_Lifestyle_Mini_!$C:$K)</f>
        <v>Male</v>
      </c>
      <c r="E730" t="str">
        <f>_xlfn.XLOOKUP($A:$A,Instagram_Usage_Lifestyle_Mini_!$A:$A,Instagram_Usage_Lifestyle_Mini_!$C:$K)</f>
        <v>Japan</v>
      </c>
      <c r="F730" t="str">
        <f>_xlfn.XLOOKUP($A:$A,Instagram_Usage_Lifestyle_Mini_!$A:$A,Instagram_Usage_Lifestyle_Mini_!$C:$K)</f>
        <v>Urban</v>
      </c>
      <c r="G730" t="str">
        <f>_xlfn.XLOOKUP($A:$A,Instagram_Usage_Lifestyle_Mini_!$A:$A,Instagram_Usage_Lifestyle_Mini_!$C:$K)</f>
        <v>High</v>
      </c>
      <c r="H730" t="str">
        <f>_xlfn.XLOOKUP($A:$A,Instagram_Usage_Lifestyle_Mini_!$A:$A,Instagram_Usage_Lifestyle_Mini_!$C:$K)</f>
        <v>Full_time_employed</v>
      </c>
      <c r="I730" t="str">
        <f>_xlfn.XLOOKUP($A:$A,Instagram_Usage_Lifestyle_Mini_!$A:$A,Instagram_Usage_Lifestyle_Mini_!$C:$K)</f>
        <v>Other</v>
      </c>
      <c r="J730" t="str">
        <f>_xlfn.XLOOKUP($A:$A,Instagram_Usage_Lifestyle_Mini_!$A:$A,Instagram_Usage_Lifestyle_Mini_!$C:$K)</f>
        <v>Single</v>
      </c>
      <c r="K730" t="str">
        <f>_xlfn.XLOOKUP($A:$A,Instagram_Usage_Lifestyle_Mini_!$A:$A,Instagram_Usage_Lifestyle_Mini_!$C:$K)</f>
        <v>Yes</v>
      </c>
      <c r="L730" t="str" cm="1">
        <f t="array" ref="L730">_xlfn.IFS(C730&lt;18,"Under_18",C730&lt;=25,"Youth",C730&lt;=35,"Young_Adults",C730&lt;=45,"Mid_Adults",TRUE,"Seniors")</f>
        <v>Youth</v>
      </c>
    </row>
    <row r="731" spans="1:12" x14ac:dyDescent="0.2">
      <c r="A731">
        <v>730</v>
      </c>
      <c r="B731" t="str">
        <f>_xlfn.XLOOKUP(A731,Instagram_Usage_Lifestyle_Mini_!A731,Instagram_Usage_Lifestyle_Mini_!B731,1)</f>
        <v>Instagram</v>
      </c>
      <c r="C731">
        <f>_xlfn.XLOOKUP($A:$A,Instagram_Usage_Lifestyle_Mini_!$A:$A,Instagram_Usage_Lifestyle_Mini_!$C:$K)</f>
        <v>38</v>
      </c>
      <c r="D731" t="str">
        <f>_xlfn.XLOOKUP($A:$A,Instagram_Usage_Lifestyle_Mini_!$A:$A,Instagram_Usage_Lifestyle_Mini_!$C:$K)</f>
        <v>Male</v>
      </c>
      <c r="E731" t="str">
        <f>_xlfn.XLOOKUP($A:$A,Instagram_Usage_Lifestyle_Mini_!$A:$A,Instagram_Usage_Lifestyle_Mini_!$C:$K)</f>
        <v>Brazil</v>
      </c>
      <c r="F731" t="str">
        <f>_xlfn.XLOOKUP($A:$A,Instagram_Usage_Lifestyle_Mini_!$A:$A,Instagram_Usage_Lifestyle_Mini_!$C:$K)</f>
        <v>Urban</v>
      </c>
      <c r="G731" t="str">
        <f>_xlfn.XLOOKUP($A:$A,Instagram_Usage_Lifestyle_Mini_!$A:$A,Instagram_Usage_Lifestyle_Mini_!$C:$K)</f>
        <v>Middle</v>
      </c>
      <c r="H731" t="str">
        <f>_xlfn.XLOOKUP($A:$A,Instagram_Usage_Lifestyle_Mini_!$A:$A,Instagram_Usage_Lifestyle_Mini_!$C:$K)</f>
        <v>Full_time_employed</v>
      </c>
      <c r="I731" t="str">
        <f>_xlfn.XLOOKUP($A:$A,Instagram_Usage_Lifestyle_Mini_!$A:$A,Instagram_Usage_Lifestyle_Mini_!$C:$K)</f>
        <v>Masters_degree</v>
      </c>
      <c r="J731" t="str">
        <f>_xlfn.XLOOKUP($A:$A,Instagram_Usage_Lifestyle_Mini_!$A:$A,Instagram_Usage_Lifestyle_Mini_!$C:$K)</f>
        <v>Single</v>
      </c>
      <c r="K731" t="str">
        <f>_xlfn.XLOOKUP($A:$A,Instagram_Usage_Lifestyle_Mini_!$A:$A,Instagram_Usage_Lifestyle_Mini_!$C:$K)</f>
        <v>No</v>
      </c>
      <c r="L731" t="str" cm="1">
        <f t="array" ref="L731">_xlfn.IFS(C731&lt;18,"Under_18",C731&lt;=25,"Youth",C731&lt;=35,"Young_Adults",C731&lt;=45,"Mid_Adults",TRUE,"Seniors")</f>
        <v>Mid_Adults</v>
      </c>
    </row>
    <row r="732" spans="1:12" x14ac:dyDescent="0.2">
      <c r="A732">
        <v>731</v>
      </c>
      <c r="B732" t="str">
        <f>_xlfn.XLOOKUP(A732,Instagram_Usage_Lifestyle_Mini_!A732,Instagram_Usage_Lifestyle_Mini_!B732,1)</f>
        <v>Instagram</v>
      </c>
      <c r="C732">
        <f>_xlfn.XLOOKUP($A:$A,Instagram_Usage_Lifestyle_Mini_!$A:$A,Instagram_Usage_Lifestyle_Mini_!$C:$K)</f>
        <v>31</v>
      </c>
      <c r="D732" t="str">
        <f>_xlfn.XLOOKUP($A:$A,Instagram_Usage_Lifestyle_Mini_!$A:$A,Instagram_Usage_Lifestyle_Mini_!$C:$K)</f>
        <v>Female</v>
      </c>
      <c r="E732" t="str">
        <f>_xlfn.XLOOKUP($A:$A,Instagram_Usage_Lifestyle_Mini_!$A:$A,Instagram_Usage_Lifestyle_Mini_!$C:$K)</f>
        <v>United_States</v>
      </c>
      <c r="F732" t="str">
        <f>_xlfn.XLOOKUP($A:$A,Instagram_Usage_Lifestyle_Mini_!$A:$A,Instagram_Usage_Lifestyle_Mini_!$C:$K)</f>
        <v>Suburban</v>
      </c>
      <c r="G732" t="str">
        <f>_xlfn.XLOOKUP($A:$A,Instagram_Usage_Lifestyle_Mini_!$A:$A,Instagram_Usage_Lifestyle_Mini_!$C:$K)</f>
        <v>Lower_middle</v>
      </c>
      <c r="H732" t="str">
        <f>_xlfn.XLOOKUP($A:$A,Instagram_Usage_Lifestyle_Mini_!$A:$A,Instagram_Usage_Lifestyle_Mini_!$C:$K)</f>
        <v>Student</v>
      </c>
      <c r="I732" t="str">
        <f>_xlfn.XLOOKUP($A:$A,Instagram_Usage_Lifestyle_Mini_!$A:$A,Instagram_Usage_Lifestyle_Mini_!$C:$K)</f>
        <v>High_school</v>
      </c>
      <c r="J732" t="str">
        <f>_xlfn.XLOOKUP($A:$A,Instagram_Usage_Lifestyle_Mini_!$A:$A,Instagram_Usage_Lifestyle_Mini_!$C:$K)</f>
        <v>In_a_relationship</v>
      </c>
      <c r="K732" t="str">
        <f>_xlfn.XLOOKUP($A:$A,Instagram_Usage_Lifestyle_Mini_!$A:$A,Instagram_Usage_Lifestyle_Mini_!$C:$K)</f>
        <v>No</v>
      </c>
      <c r="L732" t="str" cm="1">
        <f t="array" ref="L732">_xlfn.IFS(C732&lt;18,"Under_18",C732&lt;=25,"Youth",C732&lt;=35,"Young_Adults",C732&lt;=45,"Mid_Adults",TRUE,"Seniors")</f>
        <v>Young_Adults</v>
      </c>
    </row>
    <row r="733" spans="1:12" x14ac:dyDescent="0.2">
      <c r="A733">
        <v>732</v>
      </c>
      <c r="B733" t="str">
        <f>_xlfn.XLOOKUP(A733,Instagram_Usage_Lifestyle_Mini_!A733,Instagram_Usage_Lifestyle_Mini_!B733,1)</f>
        <v>Instagram</v>
      </c>
      <c r="C733">
        <f>_xlfn.XLOOKUP($A:$A,Instagram_Usage_Lifestyle_Mini_!$A:$A,Instagram_Usage_Lifestyle_Mini_!$C:$K)</f>
        <v>51</v>
      </c>
      <c r="D733" t="str">
        <f>_xlfn.XLOOKUP($A:$A,Instagram_Usage_Lifestyle_Mini_!$A:$A,Instagram_Usage_Lifestyle_Mini_!$C:$K)</f>
        <v>Male</v>
      </c>
      <c r="E733" t="str">
        <f>_xlfn.XLOOKUP($A:$A,Instagram_Usage_Lifestyle_Mini_!$A:$A,Instagram_Usage_Lifestyle_Mini_!$C:$K)</f>
        <v>Germany</v>
      </c>
      <c r="F733" t="str">
        <f>_xlfn.XLOOKUP($A:$A,Instagram_Usage_Lifestyle_Mini_!$A:$A,Instagram_Usage_Lifestyle_Mini_!$C:$K)</f>
        <v>Rural</v>
      </c>
      <c r="G733" t="str">
        <f>_xlfn.XLOOKUP($A:$A,Instagram_Usage_Lifestyle_Mini_!$A:$A,Instagram_Usage_Lifestyle_Mini_!$C:$K)</f>
        <v>Middle</v>
      </c>
      <c r="H733" t="str">
        <f>_xlfn.XLOOKUP($A:$A,Instagram_Usage_Lifestyle_Mini_!$A:$A,Instagram_Usage_Lifestyle_Mini_!$C:$K)</f>
        <v>Freelancer</v>
      </c>
      <c r="I733" t="str">
        <f>_xlfn.XLOOKUP($A:$A,Instagram_Usage_Lifestyle_Mini_!$A:$A,Instagram_Usage_Lifestyle_Mini_!$C:$K)</f>
        <v>Some_college</v>
      </c>
      <c r="J733" t="str">
        <f>_xlfn.XLOOKUP($A:$A,Instagram_Usage_Lifestyle_Mini_!$A:$A,Instagram_Usage_Lifestyle_Mini_!$C:$K)</f>
        <v>Single</v>
      </c>
      <c r="K733" t="str">
        <f>_xlfn.XLOOKUP($A:$A,Instagram_Usage_Lifestyle_Mini_!$A:$A,Instagram_Usage_Lifestyle_Mini_!$C:$K)</f>
        <v>No</v>
      </c>
      <c r="L733" t="str" cm="1">
        <f t="array" ref="L733">_xlfn.IFS(C733&lt;18,"Under_18",C733&lt;=25,"Youth",C733&lt;=35,"Young_Adults",C733&lt;=45,"Mid_Adults",TRUE,"Seniors")</f>
        <v>Seniors</v>
      </c>
    </row>
    <row r="734" spans="1:12" x14ac:dyDescent="0.2">
      <c r="A734">
        <v>733</v>
      </c>
      <c r="B734" t="str">
        <f>_xlfn.XLOOKUP(A734,Instagram_Usage_Lifestyle_Mini_!A734,Instagram_Usage_Lifestyle_Mini_!B734,1)</f>
        <v>Instagram</v>
      </c>
      <c r="C734">
        <f>_xlfn.XLOOKUP($A:$A,Instagram_Usage_Lifestyle_Mini_!$A:$A,Instagram_Usage_Lifestyle_Mini_!$C:$K)</f>
        <v>15</v>
      </c>
      <c r="D734" t="str">
        <f>_xlfn.XLOOKUP($A:$A,Instagram_Usage_Lifestyle_Mini_!$A:$A,Instagram_Usage_Lifestyle_Mini_!$C:$K)</f>
        <v>Male</v>
      </c>
      <c r="E734" t="str">
        <f>_xlfn.XLOOKUP($A:$A,Instagram_Usage_Lifestyle_Mini_!$A:$A,Instagram_Usage_Lifestyle_Mini_!$C:$K)</f>
        <v>Australia</v>
      </c>
      <c r="F734" t="str">
        <f>_xlfn.XLOOKUP($A:$A,Instagram_Usage_Lifestyle_Mini_!$A:$A,Instagram_Usage_Lifestyle_Mini_!$C:$K)</f>
        <v>Suburban</v>
      </c>
      <c r="G734" t="str">
        <f>_xlfn.XLOOKUP($A:$A,Instagram_Usage_Lifestyle_Mini_!$A:$A,Instagram_Usage_Lifestyle_Mini_!$C:$K)</f>
        <v>Middle</v>
      </c>
      <c r="H734" t="str">
        <f>_xlfn.XLOOKUP($A:$A,Instagram_Usage_Lifestyle_Mini_!$A:$A,Instagram_Usage_Lifestyle_Mini_!$C:$K)</f>
        <v>Part_time</v>
      </c>
      <c r="I734" t="str">
        <f>_xlfn.XLOOKUP($A:$A,Instagram_Usage_Lifestyle_Mini_!$A:$A,Instagram_Usage_Lifestyle_Mini_!$C:$K)</f>
        <v>Some_college</v>
      </c>
      <c r="J734" t="str">
        <f>_xlfn.XLOOKUP($A:$A,Instagram_Usage_Lifestyle_Mini_!$A:$A,Instagram_Usage_Lifestyle_Mini_!$C:$K)</f>
        <v>Single</v>
      </c>
      <c r="K734" t="str">
        <f>_xlfn.XLOOKUP($A:$A,Instagram_Usage_Lifestyle_Mini_!$A:$A,Instagram_Usage_Lifestyle_Mini_!$C:$K)</f>
        <v>Yes</v>
      </c>
      <c r="L734" t="str" cm="1">
        <f t="array" ref="L734">_xlfn.IFS(C734&lt;18,"Under_18",C734&lt;=25,"Youth",C734&lt;=35,"Young_Adults",C734&lt;=45,"Mid_Adults",TRUE,"Seniors")</f>
        <v>Under_18</v>
      </c>
    </row>
    <row r="735" spans="1:12" x14ac:dyDescent="0.2">
      <c r="A735">
        <v>734</v>
      </c>
      <c r="B735" t="str">
        <f>_xlfn.XLOOKUP(A735,Instagram_Usage_Lifestyle_Mini_!A735,Instagram_Usage_Lifestyle_Mini_!B735,1)</f>
        <v>Instagram</v>
      </c>
      <c r="C735">
        <f>_xlfn.XLOOKUP($A:$A,Instagram_Usage_Lifestyle_Mini_!$A:$A,Instagram_Usage_Lifestyle_Mini_!$C:$K)</f>
        <v>57</v>
      </c>
      <c r="D735" t="str">
        <f>_xlfn.XLOOKUP($A:$A,Instagram_Usage_Lifestyle_Mini_!$A:$A,Instagram_Usage_Lifestyle_Mini_!$C:$K)</f>
        <v>Female</v>
      </c>
      <c r="E735" t="str">
        <f>_xlfn.XLOOKUP($A:$A,Instagram_Usage_Lifestyle_Mini_!$A:$A,Instagram_Usage_Lifestyle_Mini_!$C:$K)</f>
        <v>Germany</v>
      </c>
      <c r="F735" t="str">
        <f>_xlfn.XLOOKUP($A:$A,Instagram_Usage_Lifestyle_Mini_!$A:$A,Instagram_Usage_Lifestyle_Mini_!$C:$K)</f>
        <v>Suburban</v>
      </c>
      <c r="G735" t="str">
        <f>_xlfn.XLOOKUP($A:$A,Instagram_Usage_Lifestyle_Mini_!$A:$A,Instagram_Usage_Lifestyle_Mini_!$C:$K)</f>
        <v>High</v>
      </c>
      <c r="H735" t="str">
        <f>_xlfn.XLOOKUP($A:$A,Instagram_Usage_Lifestyle_Mini_!$A:$A,Instagram_Usage_Lifestyle_Mini_!$C:$K)</f>
        <v>Unemployed</v>
      </c>
      <c r="I735" t="str">
        <f>_xlfn.XLOOKUP($A:$A,Instagram_Usage_Lifestyle_Mini_!$A:$A,Instagram_Usage_Lifestyle_Mini_!$C:$K)</f>
        <v>High_school</v>
      </c>
      <c r="J735" t="str">
        <f>_xlfn.XLOOKUP($A:$A,Instagram_Usage_Lifestyle_Mini_!$A:$A,Instagram_Usage_Lifestyle_Mini_!$C:$K)</f>
        <v>In_a_relationship</v>
      </c>
      <c r="K735" t="str">
        <f>_xlfn.XLOOKUP($A:$A,Instagram_Usage_Lifestyle_Mini_!$A:$A,Instagram_Usage_Lifestyle_Mini_!$C:$K)</f>
        <v>Yes</v>
      </c>
      <c r="L735" t="str" cm="1">
        <f t="array" ref="L735">_xlfn.IFS(C735&lt;18,"Under_18",C735&lt;=25,"Youth",C735&lt;=35,"Young_Adults",C735&lt;=45,"Mid_Adults",TRUE,"Seniors")</f>
        <v>Seniors</v>
      </c>
    </row>
    <row r="736" spans="1:12" x14ac:dyDescent="0.2">
      <c r="A736">
        <v>735</v>
      </c>
      <c r="B736" t="str">
        <f>_xlfn.XLOOKUP(A736,Instagram_Usage_Lifestyle_Mini_!A736,Instagram_Usage_Lifestyle_Mini_!B736,1)</f>
        <v>Instagram</v>
      </c>
      <c r="C736">
        <f>_xlfn.XLOOKUP($A:$A,Instagram_Usage_Lifestyle_Mini_!$A:$A,Instagram_Usage_Lifestyle_Mini_!$C:$K)</f>
        <v>25</v>
      </c>
      <c r="D736" t="str">
        <f>_xlfn.XLOOKUP($A:$A,Instagram_Usage_Lifestyle_Mini_!$A:$A,Instagram_Usage_Lifestyle_Mini_!$C:$K)</f>
        <v>Male</v>
      </c>
      <c r="E736" t="str">
        <f>_xlfn.XLOOKUP($A:$A,Instagram_Usage_Lifestyle_Mini_!$A:$A,Instagram_Usage_Lifestyle_Mini_!$C:$K)</f>
        <v>Other</v>
      </c>
      <c r="F736" t="str">
        <f>_xlfn.XLOOKUP($A:$A,Instagram_Usage_Lifestyle_Mini_!$A:$A,Instagram_Usage_Lifestyle_Mini_!$C:$K)</f>
        <v>Urban</v>
      </c>
      <c r="G736" t="str">
        <f>_xlfn.XLOOKUP($A:$A,Instagram_Usage_Lifestyle_Mini_!$A:$A,Instagram_Usage_Lifestyle_Mini_!$C:$K)</f>
        <v>Lower_middle</v>
      </c>
      <c r="H736" t="str">
        <f>_xlfn.XLOOKUP($A:$A,Instagram_Usage_Lifestyle_Mini_!$A:$A,Instagram_Usage_Lifestyle_Mini_!$C:$K)</f>
        <v>Full_time_employed</v>
      </c>
      <c r="I736" t="str">
        <f>_xlfn.XLOOKUP($A:$A,Instagram_Usage_Lifestyle_Mini_!$A:$A,Instagram_Usage_Lifestyle_Mini_!$C:$K)</f>
        <v>High_school</v>
      </c>
      <c r="J736" t="str">
        <f>_xlfn.XLOOKUP($A:$A,Instagram_Usage_Lifestyle_Mini_!$A:$A,Instagram_Usage_Lifestyle_Mini_!$C:$K)</f>
        <v>Single</v>
      </c>
      <c r="K736" t="str">
        <f>_xlfn.XLOOKUP($A:$A,Instagram_Usage_Lifestyle_Mini_!$A:$A,Instagram_Usage_Lifestyle_Mini_!$C:$K)</f>
        <v>Yes</v>
      </c>
      <c r="L736" t="str" cm="1">
        <f t="array" ref="L736">_xlfn.IFS(C736&lt;18,"Under_18",C736&lt;=25,"Youth",C736&lt;=35,"Young_Adults",C736&lt;=45,"Mid_Adults",TRUE,"Seniors")</f>
        <v>Youth</v>
      </c>
    </row>
    <row r="737" spans="1:12" x14ac:dyDescent="0.2">
      <c r="A737">
        <v>736</v>
      </c>
      <c r="B737" t="str">
        <f>_xlfn.XLOOKUP(A737,Instagram_Usage_Lifestyle_Mini_!A737,Instagram_Usage_Lifestyle_Mini_!B737,1)</f>
        <v>Instagram</v>
      </c>
      <c r="C737">
        <f>_xlfn.XLOOKUP($A:$A,Instagram_Usage_Lifestyle_Mini_!$A:$A,Instagram_Usage_Lifestyle_Mini_!$C:$K)</f>
        <v>62</v>
      </c>
      <c r="D737" t="str">
        <f>_xlfn.XLOOKUP($A:$A,Instagram_Usage_Lifestyle_Mini_!$A:$A,Instagram_Usage_Lifestyle_Mini_!$C:$K)</f>
        <v>Female</v>
      </c>
      <c r="E737" t="str">
        <f>_xlfn.XLOOKUP($A:$A,Instagram_Usage_Lifestyle_Mini_!$A:$A,Instagram_Usage_Lifestyle_Mini_!$C:$K)</f>
        <v>United_States</v>
      </c>
      <c r="F737" t="str">
        <f>_xlfn.XLOOKUP($A:$A,Instagram_Usage_Lifestyle_Mini_!$A:$A,Instagram_Usage_Lifestyle_Mini_!$C:$K)</f>
        <v>Suburban</v>
      </c>
      <c r="G737" t="str">
        <f>_xlfn.XLOOKUP($A:$A,Instagram_Usage_Lifestyle_Mini_!$A:$A,Instagram_Usage_Lifestyle_Mini_!$C:$K)</f>
        <v>High</v>
      </c>
      <c r="H737" t="str">
        <f>_xlfn.XLOOKUP($A:$A,Instagram_Usage_Lifestyle_Mini_!$A:$A,Instagram_Usage_Lifestyle_Mini_!$C:$K)</f>
        <v>Student</v>
      </c>
      <c r="I737" t="str">
        <f>_xlfn.XLOOKUP($A:$A,Instagram_Usage_Lifestyle_Mini_!$A:$A,Instagram_Usage_Lifestyle_Mini_!$C:$K)</f>
        <v>Bachelors_degree</v>
      </c>
      <c r="J737" t="str">
        <f>_xlfn.XLOOKUP($A:$A,Instagram_Usage_Lifestyle_Mini_!$A:$A,Instagram_Usage_Lifestyle_Mini_!$C:$K)</f>
        <v>In_a_relationship</v>
      </c>
      <c r="K737" t="str">
        <f>_xlfn.XLOOKUP($A:$A,Instagram_Usage_Lifestyle_Mini_!$A:$A,Instagram_Usage_Lifestyle_Mini_!$C:$K)</f>
        <v>No</v>
      </c>
      <c r="L737" t="str" cm="1">
        <f t="array" ref="L737">_xlfn.IFS(C737&lt;18,"Under_18",C737&lt;=25,"Youth",C737&lt;=35,"Young_Adults",C737&lt;=45,"Mid_Adults",TRUE,"Seniors")</f>
        <v>Seniors</v>
      </c>
    </row>
    <row r="738" spans="1:12" x14ac:dyDescent="0.2">
      <c r="A738">
        <v>737</v>
      </c>
      <c r="B738" t="str">
        <f>_xlfn.XLOOKUP(A738,Instagram_Usage_Lifestyle_Mini_!A738,Instagram_Usage_Lifestyle_Mini_!B738,1)</f>
        <v>Instagram</v>
      </c>
      <c r="C738">
        <f>_xlfn.XLOOKUP($A:$A,Instagram_Usage_Lifestyle_Mini_!$A:$A,Instagram_Usage_Lifestyle_Mini_!$C:$K)</f>
        <v>40</v>
      </c>
      <c r="D738" t="str">
        <f>_xlfn.XLOOKUP($A:$A,Instagram_Usage_Lifestyle_Mini_!$A:$A,Instagram_Usage_Lifestyle_Mini_!$C:$K)</f>
        <v>Female</v>
      </c>
      <c r="E738" t="str">
        <f>_xlfn.XLOOKUP($A:$A,Instagram_Usage_Lifestyle_Mini_!$A:$A,Instagram_Usage_Lifestyle_Mini_!$C:$K)</f>
        <v>Other</v>
      </c>
      <c r="F738" t="str">
        <f>_xlfn.XLOOKUP($A:$A,Instagram_Usage_Lifestyle_Mini_!$A:$A,Instagram_Usage_Lifestyle_Mini_!$C:$K)</f>
        <v>Urban</v>
      </c>
      <c r="G738" t="str">
        <f>_xlfn.XLOOKUP($A:$A,Instagram_Usage_Lifestyle_Mini_!$A:$A,Instagram_Usage_Lifestyle_Mini_!$C:$K)</f>
        <v>Upper_middle</v>
      </c>
      <c r="H738" t="str">
        <f>_xlfn.XLOOKUP($A:$A,Instagram_Usage_Lifestyle_Mini_!$A:$A,Instagram_Usage_Lifestyle_Mini_!$C:$K)</f>
        <v>Student</v>
      </c>
      <c r="I738" t="str">
        <f>_xlfn.XLOOKUP($A:$A,Instagram_Usage_Lifestyle_Mini_!$A:$A,Instagram_Usage_Lifestyle_Mini_!$C:$K)</f>
        <v>Other</v>
      </c>
      <c r="J738" t="str">
        <f>_xlfn.XLOOKUP($A:$A,Instagram_Usage_Lifestyle_Mini_!$A:$A,Instagram_Usage_Lifestyle_Mini_!$C:$K)</f>
        <v>In_a_relationship</v>
      </c>
      <c r="K738" t="str">
        <f>_xlfn.XLOOKUP($A:$A,Instagram_Usage_Lifestyle_Mini_!$A:$A,Instagram_Usage_Lifestyle_Mini_!$C:$K)</f>
        <v>No</v>
      </c>
      <c r="L738" t="str" cm="1">
        <f t="array" ref="L738">_xlfn.IFS(C738&lt;18,"Under_18",C738&lt;=25,"Youth",C738&lt;=35,"Young_Adults",C738&lt;=45,"Mid_Adults",TRUE,"Seniors")</f>
        <v>Mid_Adults</v>
      </c>
    </row>
    <row r="739" spans="1:12" x14ac:dyDescent="0.2">
      <c r="A739">
        <v>738</v>
      </c>
      <c r="B739" t="str">
        <f>_xlfn.XLOOKUP(A739,Instagram_Usage_Lifestyle_Mini_!A739,Instagram_Usage_Lifestyle_Mini_!B739,1)</f>
        <v>Instagram</v>
      </c>
      <c r="C739">
        <f>_xlfn.XLOOKUP($A:$A,Instagram_Usage_Lifestyle_Mini_!$A:$A,Instagram_Usage_Lifestyle_Mini_!$C:$K)</f>
        <v>32</v>
      </c>
      <c r="D739" t="str">
        <f>_xlfn.XLOOKUP($A:$A,Instagram_Usage_Lifestyle_Mini_!$A:$A,Instagram_Usage_Lifestyle_Mini_!$C:$K)</f>
        <v>Male</v>
      </c>
      <c r="E739" t="str">
        <f>_xlfn.XLOOKUP($A:$A,Instagram_Usage_Lifestyle_Mini_!$A:$A,Instagram_Usage_Lifestyle_Mini_!$C:$K)</f>
        <v>United_States</v>
      </c>
      <c r="F739" t="str">
        <f>_xlfn.XLOOKUP($A:$A,Instagram_Usage_Lifestyle_Mini_!$A:$A,Instagram_Usage_Lifestyle_Mini_!$C:$K)</f>
        <v>Suburban</v>
      </c>
      <c r="G739" t="str">
        <f>_xlfn.XLOOKUP($A:$A,Instagram_Usage_Lifestyle_Mini_!$A:$A,Instagram_Usage_Lifestyle_Mini_!$C:$K)</f>
        <v>Lower_middle</v>
      </c>
      <c r="H739" t="str">
        <f>_xlfn.XLOOKUP($A:$A,Instagram_Usage_Lifestyle_Mini_!$A:$A,Instagram_Usage_Lifestyle_Mini_!$C:$K)</f>
        <v>Student</v>
      </c>
      <c r="I739" t="str">
        <f>_xlfn.XLOOKUP($A:$A,Instagram_Usage_Lifestyle_Mini_!$A:$A,Instagram_Usage_Lifestyle_Mini_!$C:$K)</f>
        <v>Bachelors_degree</v>
      </c>
      <c r="J739" t="str">
        <f>_xlfn.XLOOKUP($A:$A,Instagram_Usage_Lifestyle_Mini_!$A:$A,Instagram_Usage_Lifestyle_Mini_!$C:$K)</f>
        <v>In_a_relationship</v>
      </c>
      <c r="K739" t="str">
        <f>_xlfn.XLOOKUP($A:$A,Instagram_Usage_Lifestyle_Mini_!$A:$A,Instagram_Usage_Lifestyle_Mini_!$C:$K)</f>
        <v>No</v>
      </c>
      <c r="L739" t="str" cm="1">
        <f t="array" ref="L739">_xlfn.IFS(C739&lt;18,"Under_18",C739&lt;=25,"Youth",C739&lt;=35,"Young_Adults",C739&lt;=45,"Mid_Adults",TRUE,"Seniors")</f>
        <v>Young_Adults</v>
      </c>
    </row>
    <row r="740" spans="1:12" x14ac:dyDescent="0.2">
      <c r="A740">
        <v>739</v>
      </c>
      <c r="B740" t="str">
        <f>_xlfn.XLOOKUP(A740,Instagram_Usage_Lifestyle_Mini_!A740,Instagram_Usage_Lifestyle_Mini_!B740,1)</f>
        <v>Instagram</v>
      </c>
      <c r="C740">
        <f>_xlfn.XLOOKUP($A:$A,Instagram_Usage_Lifestyle_Mini_!$A:$A,Instagram_Usage_Lifestyle_Mini_!$C:$K)</f>
        <v>40</v>
      </c>
      <c r="D740" t="str">
        <f>_xlfn.XLOOKUP($A:$A,Instagram_Usage_Lifestyle_Mini_!$A:$A,Instagram_Usage_Lifestyle_Mini_!$C:$K)</f>
        <v>Male</v>
      </c>
      <c r="E740" t="str">
        <f>_xlfn.XLOOKUP($A:$A,Instagram_Usage_Lifestyle_Mini_!$A:$A,Instagram_Usage_Lifestyle_Mini_!$C:$K)</f>
        <v>Japan</v>
      </c>
      <c r="F740" t="str">
        <f>_xlfn.XLOOKUP($A:$A,Instagram_Usage_Lifestyle_Mini_!$A:$A,Instagram_Usage_Lifestyle_Mini_!$C:$K)</f>
        <v>Urban</v>
      </c>
      <c r="G740" t="str">
        <f>_xlfn.XLOOKUP($A:$A,Instagram_Usage_Lifestyle_Mini_!$A:$A,Instagram_Usage_Lifestyle_Mini_!$C:$K)</f>
        <v>Lower_middle</v>
      </c>
      <c r="H740" t="str">
        <f>_xlfn.XLOOKUP($A:$A,Instagram_Usage_Lifestyle_Mini_!$A:$A,Instagram_Usage_Lifestyle_Mini_!$C:$K)</f>
        <v>Full_time_employed</v>
      </c>
      <c r="I740" t="str">
        <f>_xlfn.XLOOKUP($A:$A,Instagram_Usage_Lifestyle_Mini_!$A:$A,Instagram_Usage_Lifestyle_Mini_!$C:$K)</f>
        <v>PhD</v>
      </c>
      <c r="J740" t="str">
        <f>_xlfn.XLOOKUP($A:$A,Instagram_Usage_Lifestyle_Mini_!$A:$A,Instagram_Usage_Lifestyle_Mini_!$C:$K)</f>
        <v>Married</v>
      </c>
      <c r="K740" t="str">
        <f>_xlfn.XLOOKUP($A:$A,Instagram_Usage_Lifestyle_Mini_!$A:$A,Instagram_Usage_Lifestyle_Mini_!$C:$K)</f>
        <v>No</v>
      </c>
      <c r="L740" t="str" cm="1">
        <f t="array" ref="L740">_xlfn.IFS(C740&lt;18,"Under_18",C740&lt;=25,"Youth",C740&lt;=35,"Young_Adults",C740&lt;=45,"Mid_Adults",TRUE,"Seniors")</f>
        <v>Mid_Adults</v>
      </c>
    </row>
    <row r="741" spans="1:12" x14ac:dyDescent="0.2">
      <c r="A741">
        <v>740</v>
      </c>
      <c r="B741" t="str">
        <f>_xlfn.XLOOKUP(A741,Instagram_Usage_Lifestyle_Mini_!A741,Instagram_Usage_Lifestyle_Mini_!B741,1)</f>
        <v>Instagram</v>
      </c>
      <c r="C741">
        <f>_xlfn.XLOOKUP($A:$A,Instagram_Usage_Lifestyle_Mini_!$A:$A,Instagram_Usage_Lifestyle_Mini_!$C:$K)</f>
        <v>20</v>
      </c>
      <c r="D741" t="str">
        <f>_xlfn.XLOOKUP($A:$A,Instagram_Usage_Lifestyle_Mini_!$A:$A,Instagram_Usage_Lifestyle_Mini_!$C:$K)</f>
        <v>Female</v>
      </c>
      <c r="E741" t="str">
        <f>_xlfn.XLOOKUP($A:$A,Instagram_Usage_Lifestyle_Mini_!$A:$A,Instagram_Usage_Lifestyle_Mini_!$C:$K)</f>
        <v>Canada</v>
      </c>
      <c r="F741" t="str">
        <f>_xlfn.XLOOKUP($A:$A,Instagram_Usage_Lifestyle_Mini_!$A:$A,Instagram_Usage_Lifestyle_Mini_!$C:$K)</f>
        <v>Rural</v>
      </c>
      <c r="G741" t="str">
        <f>_xlfn.XLOOKUP($A:$A,Instagram_Usage_Lifestyle_Mini_!$A:$A,Instagram_Usage_Lifestyle_Mini_!$C:$K)</f>
        <v>Middle</v>
      </c>
      <c r="H741" t="str">
        <f>_xlfn.XLOOKUP($A:$A,Instagram_Usage_Lifestyle_Mini_!$A:$A,Instagram_Usage_Lifestyle_Mini_!$C:$K)</f>
        <v>Retired</v>
      </c>
      <c r="I741" t="str">
        <f>_xlfn.XLOOKUP($A:$A,Instagram_Usage_Lifestyle_Mini_!$A:$A,Instagram_Usage_Lifestyle_Mini_!$C:$K)</f>
        <v>Bachelors_degree</v>
      </c>
      <c r="J741" t="str">
        <f>_xlfn.XLOOKUP($A:$A,Instagram_Usage_Lifestyle_Mini_!$A:$A,Instagram_Usage_Lifestyle_Mini_!$C:$K)</f>
        <v>In_a_relationship</v>
      </c>
      <c r="K741" t="str">
        <f>_xlfn.XLOOKUP($A:$A,Instagram_Usage_Lifestyle_Mini_!$A:$A,Instagram_Usage_Lifestyle_Mini_!$C:$K)</f>
        <v>No</v>
      </c>
      <c r="L741" t="str" cm="1">
        <f t="array" ref="L741">_xlfn.IFS(C741&lt;18,"Under_18",C741&lt;=25,"Youth",C741&lt;=35,"Young_Adults",C741&lt;=45,"Mid_Adults",TRUE,"Seniors")</f>
        <v>Youth</v>
      </c>
    </row>
    <row r="742" spans="1:12" x14ac:dyDescent="0.2">
      <c r="A742">
        <v>741</v>
      </c>
      <c r="B742" t="str">
        <f>_xlfn.XLOOKUP(A742,Instagram_Usage_Lifestyle_Mini_!A742,Instagram_Usage_Lifestyle_Mini_!B742,1)</f>
        <v>Instagram</v>
      </c>
      <c r="C742">
        <f>_xlfn.XLOOKUP($A:$A,Instagram_Usage_Lifestyle_Mini_!$A:$A,Instagram_Usage_Lifestyle_Mini_!$C:$K)</f>
        <v>53</v>
      </c>
      <c r="D742" t="str">
        <f>_xlfn.XLOOKUP($A:$A,Instagram_Usage_Lifestyle_Mini_!$A:$A,Instagram_Usage_Lifestyle_Mini_!$C:$K)</f>
        <v>Female</v>
      </c>
      <c r="E742" t="str">
        <f>_xlfn.XLOOKUP($A:$A,Instagram_Usage_Lifestyle_Mini_!$A:$A,Instagram_Usage_Lifestyle_Mini_!$C:$K)</f>
        <v>South_Korea</v>
      </c>
      <c r="F742" t="str">
        <f>_xlfn.XLOOKUP($A:$A,Instagram_Usage_Lifestyle_Mini_!$A:$A,Instagram_Usage_Lifestyle_Mini_!$C:$K)</f>
        <v>Suburban</v>
      </c>
      <c r="G742" t="str">
        <f>_xlfn.XLOOKUP($A:$A,Instagram_Usage_Lifestyle_Mini_!$A:$A,Instagram_Usage_Lifestyle_Mini_!$C:$K)</f>
        <v>Low</v>
      </c>
      <c r="H742" t="str">
        <f>_xlfn.XLOOKUP($A:$A,Instagram_Usage_Lifestyle_Mini_!$A:$A,Instagram_Usage_Lifestyle_Mini_!$C:$K)</f>
        <v>Full_time_employed</v>
      </c>
      <c r="I742" t="str">
        <f>_xlfn.XLOOKUP($A:$A,Instagram_Usage_Lifestyle_Mini_!$A:$A,Instagram_Usage_Lifestyle_Mini_!$C:$K)</f>
        <v>High_school</v>
      </c>
      <c r="J742" t="str">
        <f>_xlfn.XLOOKUP($A:$A,Instagram_Usage_Lifestyle_Mini_!$A:$A,Instagram_Usage_Lifestyle_Mini_!$C:$K)</f>
        <v>Single</v>
      </c>
      <c r="K742" t="str">
        <f>_xlfn.XLOOKUP($A:$A,Instagram_Usage_Lifestyle_Mini_!$A:$A,Instagram_Usage_Lifestyle_Mini_!$C:$K)</f>
        <v>No</v>
      </c>
      <c r="L742" t="str" cm="1">
        <f t="array" ref="L742">_xlfn.IFS(C742&lt;18,"Under_18",C742&lt;=25,"Youth",C742&lt;=35,"Young_Adults",C742&lt;=45,"Mid_Adults",TRUE,"Seniors")</f>
        <v>Seniors</v>
      </c>
    </row>
    <row r="743" spans="1:12" x14ac:dyDescent="0.2">
      <c r="A743">
        <v>742</v>
      </c>
      <c r="B743" t="str">
        <f>_xlfn.XLOOKUP(A743,Instagram_Usage_Lifestyle_Mini_!A743,Instagram_Usage_Lifestyle_Mini_!B743,1)</f>
        <v>Instagram</v>
      </c>
      <c r="C743">
        <f>_xlfn.XLOOKUP($A:$A,Instagram_Usage_Lifestyle_Mini_!$A:$A,Instagram_Usage_Lifestyle_Mini_!$C:$K)</f>
        <v>51</v>
      </c>
      <c r="D743" t="str">
        <f>_xlfn.XLOOKUP($A:$A,Instagram_Usage_Lifestyle_Mini_!$A:$A,Instagram_Usage_Lifestyle_Mini_!$C:$K)</f>
        <v>Male</v>
      </c>
      <c r="E743" t="str">
        <f>_xlfn.XLOOKUP($A:$A,Instagram_Usage_Lifestyle_Mini_!$A:$A,Instagram_Usage_Lifestyle_Mini_!$C:$K)</f>
        <v>United_States</v>
      </c>
      <c r="F743" t="str">
        <f>_xlfn.XLOOKUP($A:$A,Instagram_Usage_Lifestyle_Mini_!$A:$A,Instagram_Usage_Lifestyle_Mini_!$C:$K)</f>
        <v>Suburban</v>
      </c>
      <c r="G743" t="str">
        <f>_xlfn.XLOOKUP($A:$A,Instagram_Usage_Lifestyle_Mini_!$A:$A,Instagram_Usage_Lifestyle_Mini_!$C:$K)</f>
        <v>Low</v>
      </c>
      <c r="H743" t="str">
        <f>_xlfn.XLOOKUP($A:$A,Instagram_Usage_Lifestyle_Mini_!$A:$A,Instagram_Usage_Lifestyle_Mini_!$C:$K)</f>
        <v>Student</v>
      </c>
      <c r="I743" t="str">
        <f>_xlfn.XLOOKUP($A:$A,Instagram_Usage_Lifestyle_Mini_!$A:$A,Instagram_Usage_Lifestyle_Mini_!$C:$K)</f>
        <v>Masters_degree</v>
      </c>
      <c r="J743" t="str">
        <f>_xlfn.XLOOKUP($A:$A,Instagram_Usage_Lifestyle_Mini_!$A:$A,Instagram_Usage_Lifestyle_Mini_!$C:$K)</f>
        <v>Married</v>
      </c>
      <c r="K743" t="str">
        <f>_xlfn.XLOOKUP($A:$A,Instagram_Usage_Lifestyle_Mini_!$A:$A,Instagram_Usage_Lifestyle_Mini_!$C:$K)</f>
        <v>No</v>
      </c>
      <c r="L743" t="str" cm="1">
        <f t="array" ref="L743">_xlfn.IFS(C743&lt;18,"Under_18",C743&lt;=25,"Youth",C743&lt;=35,"Young_Adults",C743&lt;=45,"Mid_Adults",TRUE,"Seniors")</f>
        <v>Seniors</v>
      </c>
    </row>
    <row r="744" spans="1:12" x14ac:dyDescent="0.2">
      <c r="A744">
        <v>743</v>
      </c>
      <c r="B744" t="str">
        <f>_xlfn.XLOOKUP(A744,Instagram_Usage_Lifestyle_Mini_!A744,Instagram_Usage_Lifestyle_Mini_!B744,1)</f>
        <v>Instagram</v>
      </c>
      <c r="C744">
        <f>_xlfn.XLOOKUP($A:$A,Instagram_Usage_Lifestyle_Mini_!$A:$A,Instagram_Usage_Lifestyle_Mini_!$C:$K)</f>
        <v>13</v>
      </c>
      <c r="D744" t="str">
        <f>_xlfn.XLOOKUP($A:$A,Instagram_Usage_Lifestyle_Mini_!$A:$A,Instagram_Usage_Lifestyle_Mini_!$C:$K)</f>
        <v>Non_binary</v>
      </c>
      <c r="E744" t="str">
        <f>_xlfn.XLOOKUP($A:$A,Instagram_Usage_Lifestyle_Mini_!$A:$A,Instagram_Usage_Lifestyle_Mini_!$C:$K)</f>
        <v>Brazil</v>
      </c>
      <c r="F744" t="str">
        <f>_xlfn.XLOOKUP($A:$A,Instagram_Usage_Lifestyle_Mini_!$A:$A,Instagram_Usage_Lifestyle_Mini_!$C:$K)</f>
        <v>Suburban</v>
      </c>
      <c r="G744" t="str">
        <f>_xlfn.XLOOKUP($A:$A,Instagram_Usage_Lifestyle_Mini_!$A:$A,Instagram_Usage_Lifestyle_Mini_!$C:$K)</f>
        <v>Middle</v>
      </c>
      <c r="H744" t="str">
        <f>_xlfn.XLOOKUP($A:$A,Instagram_Usage_Lifestyle_Mini_!$A:$A,Instagram_Usage_Lifestyle_Mini_!$C:$K)</f>
        <v>Full_time_employed</v>
      </c>
      <c r="I744" t="str">
        <f>_xlfn.XLOOKUP($A:$A,Instagram_Usage_Lifestyle_Mini_!$A:$A,Instagram_Usage_Lifestyle_Mini_!$C:$K)</f>
        <v>High_school</v>
      </c>
      <c r="J744" t="str">
        <f>_xlfn.XLOOKUP($A:$A,Instagram_Usage_Lifestyle_Mini_!$A:$A,Instagram_Usage_Lifestyle_Mini_!$C:$K)</f>
        <v>Single</v>
      </c>
      <c r="K744" t="str">
        <f>_xlfn.XLOOKUP($A:$A,Instagram_Usage_Lifestyle_Mini_!$A:$A,Instagram_Usage_Lifestyle_Mini_!$C:$K)</f>
        <v>Yes</v>
      </c>
      <c r="L744" t="str" cm="1">
        <f t="array" ref="L744">_xlfn.IFS(C744&lt;18,"Under_18",C744&lt;=25,"Youth",C744&lt;=35,"Young_Adults",C744&lt;=45,"Mid_Adults",TRUE,"Seniors")</f>
        <v>Under_18</v>
      </c>
    </row>
    <row r="745" spans="1:12" x14ac:dyDescent="0.2">
      <c r="A745">
        <v>744</v>
      </c>
      <c r="B745" t="str">
        <f>_xlfn.XLOOKUP(A745,Instagram_Usage_Lifestyle_Mini_!A745,Instagram_Usage_Lifestyle_Mini_!B745,1)</f>
        <v>Instagram</v>
      </c>
      <c r="C745">
        <f>_xlfn.XLOOKUP($A:$A,Instagram_Usage_Lifestyle_Mini_!$A:$A,Instagram_Usage_Lifestyle_Mini_!$C:$K)</f>
        <v>15</v>
      </c>
      <c r="D745" t="str">
        <f>_xlfn.XLOOKUP($A:$A,Instagram_Usage_Lifestyle_Mini_!$A:$A,Instagram_Usage_Lifestyle_Mini_!$C:$K)</f>
        <v>Prefer_not _to _say</v>
      </c>
      <c r="E745" t="str">
        <f>_xlfn.XLOOKUP($A:$A,Instagram_Usage_Lifestyle_Mini_!$A:$A,Instagram_Usage_Lifestyle_Mini_!$C:$K)</f>
        <v>Germany</v>
      </c>
      <c r="F745" t="str">
        <f>_xlfn.XLOOKUP($A:$A,Instagram_Usage_Lifestyle_Mini_!$A:$A,Instagram_Usage_Lifestyle_Mini_!$C:$K)</f>
        <v>Urban</v>
      </c>
      <c r="G745" t="str">
        <f>_xlfn.XLOOKUP($A:$A,Instagram_Usage_Lifestyle_Mini_!$A:$A,Instagram_Usage_Lifestyle_Mini_!$C:$K)</f>
        <v>High</v>
      </c>
      <c r="H745" t="str">
        <f>_xlfn.XLOOKUP($A:$A,Instagram_Usage_Lifestyle_Mini_!$A:$A,Instagram_Usage_Lifestyle_Mini_!$C:$K)</f>
        <v>Student</v>
      </c>
      <c r="I745" t="str">
        <f>_xlfn.XLOOKUP($A:$A,Instagram_Usage_Lifestyle_Mini_!$A:$A,Instagram_Usage_Lifestyle_Mini_!$C:$K)</f>
        <v>Other</v>
      </c>
      <c r="J745" t="str">
        <f>_xlfn.XLOOKUP($A:$A,Instagram_Usage_Lifestyle_Mini_!$A:$A,Instagram_Usage_Lifestyle_Mini_!$C:$K)</f>
        <v>In_a_relationship</v>
      </c>
      <c r="K745" t="str">
        <f>_xlfn.XLOOKUP($A:$A,Instagram_Usage_Lifestyle_Mini_!$A:$A,Instagram_Usage_Lifestyle_Mini_!$C:$K)</f>
        <v>No</v>
      </c>
      <c r="L745" t="str" cm="1">
        <f t="array" ref="L745">_xlfn.IFS(C745&lt;18,"Under_18",C745&lt;=25,"Youth",C745&lt;=35,"Young_Adults",C745&lt;=45,"Mid_Adults",TRUE,"Seniors")</f>
        <v>Under_18</v>
      </c>
    </row>
    <row r="746" spans="1:12" x14ac:dyDescent="0.2">
      <c r="A746">
        <v>745</v>
      </c>
      <c r="B746" t="str">
        <f>_xlfn.XLOOKUP(A746,Instagram_Usage_Lifestyle_Mini_!A746,Instagram_Usage_Lifestyle_Mini_!B746,1)</f>
        <v>Instagram</v>
      </c>
      <c r="C746">
        <f>_xlfn.XLOOKUP($A:$A,Instagram_Usage_Lifestyle_Mini_!$A:$A,Instagram_Usage_Lifestyle_Mini_!$C:$K)</f>
        <v>25</v>
      </c>
      <c r="D746" t="str">
        <f>_xlfn.XLOOKUP($A:$A,Instagram_Usage_Lifestyle_Mini_!$A:$A,Instagram_Usage_Lifestyle_Mini_!$C:$K)</f>
        <v>Male</v>
      </c>
      <c r="E746" t="str">
        <f>_xlfn.XLOOKUP($A:$A,Instagram_Usage_Lifestyle_Mini_!$A:$A,Instagram_Usage_Lifestyle_Mini_!$C:$K)</f>
        <v>Germany</v>
      </c>
      <c r="F746" t="str">
        <f>_xlfn.XLOOKUP($A:$A,Instagram_Usage_Lifestyle_Mini_!$A:$A,Instagram_Usage_Lifestyle_Mini_!$C:$K)</f>
        <v>Suburban</v>
      </c>
      <c r="G746" t="str">
        <f>_xlfn.XLOOKUP($A:$A,Instagram_Usage_Lifestyle_Mini_!$A:$A,Instagram_Usage_Lifestyle_Mini_!$C:$K)</f>
        <v>Low</v>
      </c>
      <c r="H746" t="str">
        <f>_xlfn.XLOOKUP($A:$A,Instagram_Usage_Lifestyle_Mini_!$A:$A,Instagram_Usage_Lifestyle_Mini_!$C:$K)</f>
        <v>Part_time</v>
      </c>
      <c r="I746" t="str">
        <f>_xlfn.XLOOKUP($A:$A,Instagram_Usage_Lifestyle_Mini_!$A:$A,Instagram_Usage_Lifestyle_Mini_!$C:$K)</f>
        <v>Bachelors_degree</v>
      </c>
      <c r="J746" t="str">
        <f>_xlfn.XLOOKUP($A:$A,Instagram_Usage_Lifestyle_Mini_!$A:$A,Instagram_Usage_Lifestyle_Mini_!$C:$K)</f>
        <v>In_a_relationship</v>
      </c>
      <c r="K746" t="str">
        <f>_xlfn.XLOOKUP($A:$A,Instagram_Usage_Lifestyle_Mini_!$A:$A,Instagram_Usage_Lifestyle_Mini_!$C:$K)</f>
        <v>Yes</v>
      </c>
      <c r="L746" t="str" cm="1">
        <f t="array" ref="L746">_xlfn.IFS(C746&lt;18,"Under_18",C746&lt;=25,"Youth",C746&lt;=35,"Young_Adults",C746&lt;=45,"Mid_Adults",TRUE,"Seniors")</f>
        <v>Youth</v>
      </c>
    </row>
    <row r="747" spans="1:12" x14ac:dyDescent="0.2">
      <c r="A747">
        <v>746</v>
      </c>
      <c r="B747" t="str">
        <f>_xlfn.XLOOKUP(A747,Instagram_Usage_Lifestyle_Mini_!A747,Instagram_Usage_Lifestyle_Mini_!B747,1)</f>
        <v>Instagram</v>
      </c>
      <c r="C747">
        <f>_xlfn.XLOOKUP($A:$A,Instagram_Usage_Lifestyle_Mini_!$A:$A,Instagram_Usage_Lifestyle_Mini_!$C:$K)</f>
        <v>40</v>
      </c>
      <c r="D747" t="str">
        <f>_xlfn.XLOOKUP($A:$A,Instagram_Usage_Lifestyle_Mini_!$A:$A,Instagram_Usage_Lifestyle_Mini_!$C:$K)</f>
        <v>Male</v>
      </c>
      <c r="E747" t="str">
        <f>_xlfn.XLOOKUP($A:$A,Instagram_Usage_Lifestyle_Mini_!$A:$A,Instagram_Usage_Lifestyle_Mini_!$C:$K)</f>
        <v>United_States</v>
      </c>
      <c r="F747" t="str">
        <f>_xlfn.XLOOKUP($A:$A,Instagram_Usage_Lifestyle_Mini_!$A:$A,Instagram_Usage_Lifestyle_Mini_!$C:$K)</f>
        <v>Urban</v>
      </c>
      <c r="G747" t="str">
        <f>_xlfn.XLOOKUP($A:$A,Instagram_Usage_Lifestyle_Mini_!$A:$A,Instagram_Usage_Lifestyle_Mini_!$C:$K)</f>
        <v>Middle</v>
      </c>
      <c r="H747" t="str">
        <f>_xlfn.XLOOKUP($A:$A,Instagram_Usage_Lifestyle_Mini_!$A:$A,Instagram_Usage_Lifestyle_Mini_!$C:$K)</f>
        <v>Student</v>
      </c>
      <c r="I747" t="str">
        <f>_xlfn.XLOOKUP($A:$A,Instagram_Usage_Lifestyle_Mini_!$A:$A,Instagram_Usage_Lifestyle_Mini_!$C:$K)</f>
        <v>Masters_degree</v>
      </c>
      <c r="J747" t="str">
        <f>_xlfn.XLOOKUP($A:$A,Instagram_Usage_Lifestyle_Mini_!$A:$A,Instagram_Usage_Lifestyle_Mini_!$C:$K)</f>
        <v>Divorced</v>
      </c>
      <c r="K747" t="str">
        <f>_xlfn.XLOOKUP($A:$A,Instagram_Usage_Lifestyle_Mini_!$A:$A,Instagram_Usage_Lifestyle_Mini_!$C:$K)</f>
        <v>No</v>
      </c>
      <c r="L747" t="str" cm="1">
        <f t="array" ref="L747">_xlfn.IFS(C747&lt;18,"Under_18",C747&lt;=25,"Youth",C747&lt;=35,"Young_Adults",C747&lt;=45,"Mid_Adults",TRUE,"Seniors")</f>
        <v>Mid_Adults</v>
      </c>
    </row>
    <row r="748" spans="1:12" x14ac:dyDescent="0.2">
      <c r="A748">
        <v>747</v>
      </c>
      <c r="B748" t="str">
        <f>_xlfn.XLOOKUP(A748,Instagram_Usage_Lifestyle_Mini_!A748,Instagram_Usage_Lifestyle_Mini_!B748,1)</f>
        <v>Instagram</v>
      </c>
      <c r="C748">
        <f>_xlfn.XLOOKUP($A:$A,Instagram_Usage_Lifestyle_Mini_!$A:$A,Instagram_Usage_Lifestyle_Mini_!$C:$K)</f>
        <v>61</v>
      </c>
      <c r="D748" t="str">
        <f>_xlfn.XLOOKUP($A:$A,Instagram_Usage_Lifestyle_Mini_!$A:$A,Instagram_Usage_Lifestyle_Mini_!$C:$K)</f>
        <v>Male</v>
      </c>
      <c r="E748" t="str">
        <f>_xlfn.XLOOKUP($A:$A,Instagram_Usage_Lifestyle_Mini_!$A:$A,Instagram_Usage_Lifestyle_Mini_!$C:$K)</f>
        <v>Japan</v>
      </c>
      <c r="F748" t="str">
        <f>_xlfn.XLOOKUP($A:$A,Instagram_Usage_Lifestyle_Mini_!$A:$A,Instagram_Usage_Lifestyle_Mini_!$C:$K)</f>
        <v>Urban</v>
      </c>
      <c r="G748" t="str">
        <f>_xlfn.XLOOKUP($A:$A,Instagram_Usage_Lifestyle_Mini_!$A:$A,Instagram_Usage_Lifestyle_Mini_!$C:$K)</f>
        <v>Lower_middle</v>
      </c>
      <c r="H748" t="str">
        <f>_xlfn.XLOOKUP($A:$A,Instagram_Usage_Lifestyle_Mini_!$A:$A,Instagram_Usage_Lifestyle_Mini_!$C:$K)</f>
        <v>Full_time_employed</v>
      </c>
      <c r="I748" t="str">
        <f>_xlfn.XLOOKUP($A:$A,Instagram_Usage_Lifestyle_Mini_!$A:$A,Instagram_Usage_Lifestyle_Mini_!$C:$K)</f>
        <v>Bachelors_degree</v>
      </c>
      <c r="J748" t="str">
        <f>_xlfn.XLOOKUP($A:$A,Instagram_Usage_Lifestyle_Mini_!$A:$A,Instagram_Usage_Lifestyle_Mini_!$C:$K)</f>
        <v>In_a_relationship</v>
      </c>
      <c r="K748" t="str">
        <f>_xlfn.XLOOKUP($A:$A,Instagram_Usage_Lifestyle_Mini_!$A:$A,Instagram_Usage_Lifestyle_Mini_!$C:$K)</f>
        <v>No</v>
      </c>
      <c r="L748" t="str" cm="1">
        <f t="array" ref="L748">_xlfn.IFS(C748&lt;18,"Under_18",C748&lt;=25,"Youth",C748&lt;=35,"Young_Adults",C748&lt;=45,"Mid_Adults",TRUE,"Seniors")</f>
        <v>Seniors</v>
      </c>
    </row>
    <row r="749" spans="1:12" x14ac:dyDescent="0.2">
      <c r="A749">
        <v>748</v>
      </c>
      <c r="B749" t="str">
        <f>_xlfn.XLOOKUP(A749,Instagram_Usage_Lifestyle_Mini_!A749,Instagram_Usage_Lifestyle_Mini_!B749,1)</f>
        <v>Instagram</v>
      </c>
      <c r="C749">
        <f>_xlfn.XLOOKUP($A:$A,Instagram_Usage_Lifestyle_Mini_!$A:$A,Instagram_Usage_Lifestyle_Mini_!$C:$K)</f>
        <v>37</v>
      </c>
      <c r="D749" t="str">
        <f>_xlfn.XLOOKUP($A:$A,Instagram_Usage_Lifestyle_Mini_!$A:$A,Instagram_Usage_Lifestyle_Mini_!$C:$K)</f>
        <v>Female</v>
      </c>
      <c r="E749" t="str">
        <f>_xlfn.XLOOKUP($A:$A,Instagram_Usage_Lifestyle_Mini_!$A:$A,Instagram_Usage_Lifestyle_Mini_!$C:$K)</f>
        <v>Australia</v>
      </c>
      <c r="F749" t="str">
        <f>_xlfn.XLOOKUP($A:$A,Instagram_Usage_Lifestyle_Mini_!$A:$A,Instagram_Usage_Lifestyle_Mini_!$C:$K)</f>
        <v>Urban</v>
      </c>
      <c r="G749" t="str">
        <f>_xlfn.XLOOKUP($A:$A,Instagram_Usage_Lifestyle_Mini_!$A:$A,Instagram_Usage_Lifestyle_Mini_!$C:$K)</f>
        <v>Lower_middle</v>
      </c>
      <c r="H749" t="str">
        <f>_xlfn.XLOOKUP($A:$A,Instagram_Usage_Lifestyle_Mini_!$A:$A,Instagram_Usage_Lifestyle_Mini_!$C:$K)</f>
        <v>Full_time_employed</v>
      </c>
      <c r="I749" t="str">
        <f>_xlfn.XLOOKUP($A:$A,Instagram_Usage_Lifestyle_Mini_!$A:$A,Instagram_Usage_Lifestyle_Mini_!$C:$K)</f>
        <v>High_school</v>
      </c>
      <c r="J749" t="str">
        <f>_xlfn.XLOOKUP($A:$A,Instagram_Usage_Lifestyle_Mini_!$A:$A,Instagram_Usage_Lifestyle_Mini_!$C:$K)</f>
        <v>Single</v>
      </c>
      <c r="K749" t="str">
        <f>_xlfn.XLOOKUP($A:$A,Instagram_Usage_Lifestyle_Mini_!$A:$A,Instagram_Usage_Lifestyle_Mini_!$C:$K)</f>
        <v>Yes</v>
      </c>
      <c r="L749" t="str" cm="1">
        <f t="array" ref="L749">_xlfn.IFS(C749&lt;18,"Under_18",C749&lt;=25,"Youth",C749&lt;=35,"Young_Adults",C749&lt;=45,"Mid_Adults",TRUE,"Seniors")</f>
        <v>Mid_Adults</v>
      </c>
    </row>
    <row r="750" spans="1:12" x14ac:dyDescent="0.2">
      <c r="A750">
        <v>749</v>
      </c>
      <c r="B750" t="str">
        <f>_xlfn.XLOOKUP(A750,Instagram_Usage_Lifestyle_Mini_!A750,Instagram_Usage_Lifestyle_Mini_!B750,1)</f>
        <v>Instagram</v>
      </c>
      <c r="C750">
        <f>_xlfn.XLOOKUP($A:$A,Instagram_Usage_Lifestyle_Mini_!$A:$A,Instagram_Usage_Lifestyle_Mini_!$C:$K)</f>
        <v>45</v>
      </c>
      <c r="D750" t="str">
        <f>_xlfn.XLOOKUP($A:$A,Instagram_Usage_Lifestyle_Mini_!$A:$A,Instagram_Usage_Lifestyle_Mini_!$C:$K)</f>
        <v>Female</v>
      </c>
      <c r="E750" t="str">
        <f>_xlfn.XLOOKUP($A:$A,Instagram_Usage_Lifestyle_Mini_!$A:$A,Instagram_Usage_Lifestyle_Mini_!$C:$K)</f>
        <v>Canada</v>
      </c>
      <c r="F750" t="str">
        <f>_xlfn.XLOOKUP($A:$A,Instagram_Usage_Lifestyle_Mini_!$A:$A,Instagram_Usage_Lifestyle_Mini_!$C:$K)</f>
        <v>Urban</v>
      </c>
      <c r="G750" t="str">
        <f>_xlfn.XLOOKUP($A:$A,Instagram_Usage_Lifestyle_Mini_!$A:$A,Instagram_Usage_Lifestyle_Mini_!$C:$K)</f>
        <v>Low</v>
      </c>
      <c r="H750" t="str">
        <f>_xlfn.XLOOKUP($A:$A,Instagram_Usage_Lifestyle_Mini_!$A:$A,Instagram_Usage_Lifestyle_Mini_!$C:$K)</f>
        <v>Student</v>
      </c>
      <c r="I750" t="str">
        <f>_xlfn.XLOOKUP($A:$A,Instagram_Usage_Lifestyle_Mini_!$A:$A,Instagram_Usage_Lifestyle_Mini_!$C:$K)</f>
        <v>High_school</v>
      </c>
      <c r="J750" t="str">
        <f>_xlfn.XLOOKUP($A:$A,Instagram_Usage_Lifestyle_Mini_!$A:$A,Instagram_Usage_Lifestyle_Mini_!$C:$K)</f>
        <v>Single</v>
      </c>
      <c r="K750" t="str">
        <f>_xlfn.XLOOKUP($A:$A,Instagram_Usage_Lifestyle_Mini_!$A:$A,Instagram_Usage_Lifestyle_Mini_!$C:$K)</f>
        <v>No</v>
      </c>
      <c r="L750" t="str" cm="1">
        <f t="array" ref="L750">_xlfn.IFS(C750&lt;18,"Under_18",C750&lt;=25,"Youth",C750&lt;=35,"Young_Adults",C750&lt;=45,"Mid_Adults",TRUE,"Seniors")</f>
        <v>Mid_Adults</v>
      </c>
    </row>
    <row r="751" spans="1:12" x14ac:dyDescent="0.2">
      <c r="A751">
        <v>750</v>
      </c>
      <c r="B751" t="str">
        <f>_xlfn.XLOOKUP(A751,Instagram_Usage_Lifestyle_Mini_!A751,Instagram_Usage_Lifestyle_Mini_!B751,1)</f>
        <v>Instagram</v>
      </c>
      <c r="C751">
        <f>_xlfn.XLOOKUP($A:$A,Instagram_Usage_Lifestyle_Mini_!$A:$A,Instagram_Usage_Lifestyle_Mini_!$C:$K)</f>
        <v>50</v>
      </c>
      <c r="D751" t="str">
        <f>_xlfn.XLOOKUP($A:$A,Instagram_Usage_Lifestyle_Mini_!$A:$A,Instagram_Usage_Lifestyle_Mini_!$C:$K)</f>
        <v>Male</v>
      </c>
      <c r="E751" t="str">
        <f>_xlfn.XLOOKUP($A:$A,Instagram_Usage_Lifestyle_Mini_!$A:$A,Instagram_Usage_Lifestyle_Mini_!$C:$K)</f>
        <v>United_States</v>
      </c>
      <c r="F751" t="str">
        <f>_xlfn.XLOOKUP($A:$A,Instagram_Usage_Lifestyle_Mini_!$A:$A,Instagram_Usage_Lifestyle_Mini_!$C:$K)</f>
        <v>Suburban</v>
      </c>
      <c r="G751" t="str">
        <f>_xlfn.XLOOKUP($A:$A,Instagram_Usage_Lifestyle_Mini_!$A:$A,Instagram_Usage_Lifestyle_Mini_!$C:$K)</f>
        <v>Low</v>
      </c>
      <c r="H751" t="str">
        <f>_xlfn.XLOOKUP($A:$A,Instagram_Usage_Lifestyle_Mini_!$A:$A,Instagram_Usage_Lifestyle_Mini_!$C:$K)</f>
        <v>Retired</v>
      </c>
      <c r="I751" t="str">
        <f>_xlfn.XLOOKUP($A:$A,Instagram_Usage_Lifestyle_Mini_!$A:$A,Instagram_Usage_Lifestyle_Mini_!$C:$K)</f>
        <v>Masters_degree</v>
      </c>
      <c r="J751" t="str">
        <f>_xlfn.XLOOKUP($A:$A,Instagram_Usage_Lifestyle_Mini_!$A:$A,Instagram_Usage_Lifestyle_Mini_!$C:$K)</f>
        <v>Married</v>
      </c>
      <c r="K751" t="str">
        <f>_xlfn.XLOOKUP($A:$A,Instagram_Usage_Lifestyle_Mini_!$A:$A,Instagram_Usage_Lifestyle_Mini_!$C:$K)</f>
        <v>No</v>
      </c>
      <c r="L751" t="str" cm="1">
        <f t="array" ref="L751">_xlfn.IFS(C751&lt;18,"Under_18",C751&lt;=25,"Youth",C751&lt;=35,"Young_Adults",C751&lt;=45,"Mid_Adults",TRUE,"Seniors")</f>
        <v>Seniors</v>
      </c>
    </row>
    <row r="752" spans="1:12" x14ac:dyDescent="0.2">
      <c r="A752">
        <v>751</v>
      </c>
      <c r="B752" t="str">
        <f>_xlfn.XLOOKUP(A752,Instagram_Usage_Lifestyle_Mini_!A752,Instagram_Usage_Lifestyle_Mini_!B752,1)</f>
        <v>Instagram</v>
      </c>
      <c r="C752">
        <f>_xlfn.XLOOKUP($A:$A,Instagram_Usage_Lifestyle_Mini_!$A:$A,Instagram_Usage_Lifestyle_Mini_!$C:$K)</f>
        <v>65</v>
      </c>
      <c r="D752" t="str">
        <f>_xlfn.XLOOKUP($A:$A,Instagram_Usage_Lifestyle_Mini_!$A:$A,Instagram_Usage_Lifestyle_Mini_!$C:$K)</f>
        <v>Female</v>
      </c>
      <c r="E752" t="str">
        <f>_xlfn.XLOOKUP($A:$A,Instagram_Usage_Lifestyle_Mini_!$A:$A,Instagram_Usage_Lifestyle_Mini_!$C:$K)</f>
        <v>United_States</v>
      </c>
      <c r="F752" t="str">
        <f>_xlfn.XLOOKUP($A:$A,Instagram_Usage_Lifestyle_Mini_!$A:$A,Instagram_Usage_Lifestyle_Mini_!$C:$K)</f>
        <v>Urban</v>
      </c>
      <c r="G752" t="str">
        <f>_xlfn.XLOOKUP($A:$A,Instagram_Usage_Lifestyle_Mini_!$A:$A,Instagram_Usage_Lifestyle_Mini_!$C:$K)</f>
        <v>Lower_middle</v>
      </c>
      <c r="H752" t="str">
        <f>_xlfn.XLOOKUP($A:$A,Instagram_Usage_Lifestyle_Mini_!$A:$A,Instagram_Usage_Lifestyle_Mini_!$C:$K)</f>
        <v>Student</v>
      </c>
      <c r="I752" t="str">
        <f>_xlfn.XLOOKUP($A:$A,Instagram_Usage_Lifestyle_Mini_!$A:$A,Instagram_Usage_Lifestyle_Mini_!$C:$K)</f>
        <v>Bachelors_degree</v>
      </c>
      <c r="J752" t="str">
        <f>_xlfn.XLOOKUP($A:$A,Instagram_Usage_Lifestyle_Mini_!$A:$A,Instagram_Usage_Lifestyle_Mini_!$C:$K)</f>
        <v>Married</v>
      </c>
      <c r="K752" t="str">
        <f>_xlfn.XLOOKUP($A:$A,Instagram_Usage_Lifestyle_Mini_!$A:$A,Instagram_Usage_Lifestyle_Mini_!$C:$K)</f>
        <v>No</v>
      </c>
      <c r="L752" t="str" cm="1">
        <f t="array" ref="L752">_xlfn.IFS(C752&lt;18,"Under_18",C752&lt;=25,"Youth",C752&lt;=35,"Young_Adults",C752&lt;=45,"Mid_Adults",TRUE,"Seniors")</f>
        <v>Seniors</v>
      </c>
    </row>
    <row r="753" spans="1:12" x14ac:dyDescent="0.2">
      <c r="A753">
        <v>752</v>
      </c>
      <c r="B753" t="str">
        <f>_xlfn.XLOOKUP(A753,Instagram_Usage_Lifestyle_Mini_!A753,Instagram_Usage_Lifestyle_Mini_!B753,1)</f>
        <v>Instagram</v>
      </c>
      <c r="C753">
        <f>_xlfn.XLOOKUP($A:$A,Instagram_Usage_Lifestyle_Mini_!$A:$A,Instagram_Usage_Lifestyle_Mini_!$C:$K)</f>
        <v>18</v>
      </c>
      <c r="D753" t="str">
        <f>_xlfn.XLOOKUP($A:$A,Instagram_Usage_Lifestyle_Mini_!$A:$A,Instagram_Usage_Lifestyle_Mini_!$C:$K)</f>
        <v>Male</v>
      </c>
      <c r="E753" t="str">
        <f>_xlfn.XLOOKUP($A:$A,Instagram_Usage_Lifestyle_Mini_!$A:$A,Instagram_Usage_Lifestyle_Mini_!$C:$K)</f>
        <v>United _Kingdom</v>
      </c>
      <c r="F753" t="str">
        <f>_xlfn.XLOOKUP($A:$A,Instagram_Usage_Lifestyle_Mini_!$A:$A,Instagram_Usage_Lifestyle_Mini_!$C:$K)</f>
        <v>Urban</v>
      </c>
      <c r="G753" t="str">
        <f>_xlfn.XLOOKUP($A:$A,Instagram_Usage_Lifestyle_Mini_!$A:$A,Instagram_Usage_Lifestyle_Mini_!$C:$K)</f>
        <v>Low</v>
      </c>
      <c r="H753" t="str">
        <f>_xlfn.XLOOKUP($A:$A,Instagram_Usage_Lifestyle_Mini_!$A:$A,Instagram_Usage_Lifestyle_Mini_!$C:$K)</f>
        <v>Part_time</v>
      </c>
      <c r="I753" t="str">
        <f>_xlfn.XLOOKUP($A:$A,Instagram_Usage_Lifestyle_Mini_!$A:$A,Instagram_Usage_Lifestyle_Mini_!$C:$K)</f>
        <v>Bachelors_degree</v>
      </c>
      <c r="J753" t="str">
        <f>_xlfn.XLOOKUP($A:$A,Instagram_Usage_Lifestyle_Mini_!$A:$A,Instagram_Usage_Lifestyle_Mini_!$C:$K)</f>
        <v>Married</v>
      </c>
      <c r="K753" t="str">
        <f>_xlfn.XLOOKUP($A:$A,Instagram_Usage_Lifestyle_Mini_!$A:$A,Instagram_Usage_Lifestyle_Mini_!$C:$K)</f>
        <v>No</v>
      </c>
      <c r="L753" t="str" cm="1">
        <f t="array" ref="L753">_xlfn.IFS(C753&lt;18,"Under_18",C753&lt;=25,"Youth",C753&lt;=35,"Young_Adults",C753&lt;=45,"Mid_Adults",TRUE,"Seniors")</f>
        <v>Youth</v>
      </c>
    </row>
    <row r="754" spans="1:12" x14ac:dyDescent="0.2">
      <c r="A754">
        <v>753</v>
      </c>
      <c r="B754" t="str">
        <f>_xlfn.XLOOKUP(A754,Instagram_Usage_Lifestyle_Mini_!A754,Instagram_Usage_Lifestyle_Mini_!B754,1)</f>
        <v>Instagram</v>
      </c>
      <c r="C754">
        <f>_xlfn.XLOOKUP($A:$A,Instagram_Usage_Lifestyle_Mini_!$A:$A,Instagram_Usage_Lifestyle_Mini_!$C:$K)</f>
        <v>56</v>
      </c>
      <c r="D754" t="str">
        <f>_xlfn.XLOOKUP($A:$A,Instagram_Usage_Lifestyle_Mini_!$A:$A,Instagram_Usage_Lifestyle_Mini_!$C:$K)</f>
        <v>Non_binary</v>
      </c>
      <c r="E754" t="str">
        <f>_xlfn.XLOOKUP($A:$A,Instagram_Usage_Lifestyle_Mini_!$A:$A,Instagram_Usage_Lifestyle_Mini_!$C:$K)</f>
        <v>United _Kingdom</v>
      </c>
      <c r="F754" t="str">
        <f>_xlfn.XLOOKUP($A:$A,Instagram_Usage_Lifestyle_Mini_!$A:$A,Instagram_Usage_Lifestyle_Mini_!$C:$K)</f>
        <v>Urban</v>
      </c>
      <c r="G754" t="str">
        <f>_xlfn.XLOOKUP($A:$A,Instagram_Usage_Lifestyle_Mini_!$A:$A,Instagram_Usage_Lifestyle_Mini_!$C:$K)</f>
        <v>High</v>
      </c>
      <c r="H754" t="str">
        <f>_xlfn.XLOOKUP($A:$A,Instagram_Usage_Lifestyle_Mini_!$A:$A,Instagram_Usage_Lifestyle_Mini_!$C:$K)</f>
        <v>Full_time_employed</v>
      </c>
      <c r="I754" t="str">
        <f>_xlfn.XLOOKUP($A:$A,Instagram_Usage_Lifestyle_Mini_!$A:$A,Instagram_Usage_Lifestyle_Mini_!$C:$K)</f>
        <v>PhD</v>
      </c>
      <c r="J754" t="str">
        <f>_xlfn.XLOOKUP($A:$A,Instagram_Usage_Lifestyle_Mini_!$A:$A,Instagram_Usage_Lifestyle_Mini_!$C:$K)</f>
        <v>Single</v>
      </c>
      <c r="K754" t="str">
        <f>_xlfn.XLOOKUP($A:$A,Instagram_Usage_Lifestyle_Mini_!$A:$A,Instagram_Usage_Lifestyle_Mini_!$C:$K)</f>
        <v>No</v>
      </c>
      <c r="L754" t="str" cm="1">
        <f t="array" ref="L754">_xlfn.IFS(C754&lt;18,"Under_18",C754&lt;=25,"Youth",C754&lt;=35,"Young_Adults",C754&lt;=45,"Mid_Adults",TRUE,"Seniors")</f>
        <v>Seniors</v>
      </c>
    </row>
    <row r="755" spans="1:12" x14ac:dyDescent="0.2">
      <c r="A755">
        <v>754</v>
      </c>
      <c r="B755" t="str">
        <f>_xlfn.XLOOKUP(A755,Instagram_Usage_Lifestyle_Mini_!A755,Instagram_Usage_Lifestyle_Mini_!B755,1)</f>
        <v>Instagram</v>
      </c>
      <c r="C755">
        <f>_xlfn.XLOOKUP($A:$A,Instagram_Usage_Lifestyle_Mini_!$A:$A,Instagram_Usage_Lifestyle_Mini_!$C:$K)</f>
        <v>57</v>
      </c>
      <c r="D755" t="str">
        <f>_xlfn.XLOOKUP($A:$A,Instagram_Usage_Lifestyle_Mini_!$A:$A,Instagram_Usage_Lifestyle_Mini_!$C:$K)</f>
        <v>Male</v>
      </c>
      <c r="E755" t="str">
        <f>_xlfn.XLOOKUP($A:$A,Instagram_Usage_Lifestyle_Mini_!$A:$A,Instagram_Usage_Lifestyle_Mini_!$C:$K)</f>
        <v>India</v>
      </c>
      <c r="F755" t="str">
        <f>_xlfn.XLOOKUP($A:$A,Instagram_Usage_Lifestyle_Mini_!$A:$A,Instagram_Usage_Lifestyle_Mini_!$C:$K)</f>
        <v>Urban</v>
      </c>
      <c r="G755" t="str">
        <f>_xlfn.XLOOKUP($A:$A,Instagram_Usage_Lifestyle_Mini_!$A:$A,Instagram_Usage_Lifestyle_Mini_!$C:$K)</f>
        <v>Lower_middle</v>
      </c>
      <c r="H755" t="str">
        <f>_xlfn.XLOOKUP($A:$A,Instagram_Usage_Lifestyle_Mini_!$A:$A,Instagram_Usage_Lifestyle_Mini_!$C:$K)</f>
        <v>Student</v>
      </c>
      <c r="I755" t="str">
        <f>_xlfn.XLOOKUP($A:$A,Instagram_Usage_Lifestyle_Mini_!$A:$A,Instagram_Usage_Lifestyle_Mini_!$C:$K)</f>
        <v>Masters_degree</v>
      </c>
      <c r="J755" t="str">
        <f>_xlfn.XLOOKUP($A:$A,Instagram_Usage_Lifestyle_Mini_!$A:$A,Instagram_Usage_Lifestyle_Mini_!$C:$K)</f>
        <v>Single</v>
      </c>
      <c r="K755" t="str">
        <f>_xlfn.XLOOKUP($A:$A,Instagram_Usage_Lifestyle_Mini_!$A:$A,Instagram_Usage_Lifestyle_Mini_!$C:$K)</f>
        <v>No</v>
      </c>
      <c r="L755" t="str" cm="1">
        <f t="array" ref="L755">_xlfn.IFS(C755&lt;18,"Under_18",C755&lt;=25,"Youth",C755&lt;=35,"Young_Adults",C755&lt;=45,"Mid_Adults",TRUE,"Seniors")</f>
        <v>Seniors</v>
      </c>
    </row>
    <row r="756" spans="1:12" x14ac:dyDescent="0.2">
      <c r="A756">
        <v>755</v>
      </c>
      <c r="B756" t="str">
        <f>_xlfn.XLOOKUP(A756,Instagram_Usage_Lifestyle_Mini_!A756,Instagram_Usage_Lifestyle_Mini_!B756,1)</f>
        <v>Instagram</v>
      </c>
      <c r="C756">
        <f>_xlfn.XLOOKUP($A:$A,Instagram_Usage_Lifestyle_Mini_!$A:$A,Instagram_Usage_Lifestyle_Mini_!$C:$K)</f>
        <v>44</v>
      </c>
      <c r="D756" t="str">
        <f>_xlfn.XLOOKUP($A:$A,Instagram_Usage_Lifestyle_Mini_!$A:$A,Instagram_Usage_Lifestyle_Mini_!$C:$K)</f>
        <v>Male</v>
      </c>
      <c r="E756" t="str">
        <f>_xlfn.XLOOKUP($A:$A,Instagram_Usage_Lifestyle_Mini_!$A:$A,Instagram_Usage_Lifestyle_Mini_!$C:$K)</f>
        <v>United _Kingdom</v>
      </c>
      <c r="F756" t="str">
        <f>_xlfn.XLOOKUP($A:$A,Instagram_Usage_Lifestyle_Mini_!$A:$A,Instagram_Usage_Lifestyle_Mini_!$C:$K)</f>
        <v>Urban</v>
      </c>
      <c r="G756" t="str">
        <f>_xlfn.XLOOKUP($A:$A,Instagram_Usage_Lifestyle_Mini_!$A:$A,Instagram_Usage_Lifestyle_Mini_!$C:$K)</f>
        <v>Lower_middle</v>
      </c>
      <c r="H756" t="str">
        <f>_xlfn.XLOOKUP($A:$A,Instagram_Usage_Lifestyle_Mini_!$A:$A,Instagram_Usage_Lifestyle_Mini_!$C:$K)</f>
        <v>Full_time_employed</v>
      </c>
      <c r="I756" t="str">
        <f>_xlfn.XLOOKUP($A:$A,Instagram_Usage_Lifestyle_Mini_!$A:$A,Instagram_Usage_Lifestyle_Mini_!$C:$K)</f>
        <v>High_school</v>
      </c>
      <c r="J756" t="str">
        <f>_xlfn.XLOOKUP($A:$A,Instagram_Usage_Lifestyle_Mini_!$A:$A,Instagram_Usage_Lifestyle_Mini_!$C:$K)</f>
        <v>Married</v>
      </c>
      <c r="K756" t="str">
        <f>_xlfn.XLOOKUP($A:$A,Instagram_Usage_Lifestyle_Mini_!$A:$A,Instagram_Usage_Lifestyle_Mini_!$C:$K)</f>
        <v>Yes</v>
      </c>
      <c r="L756" t="str" cm="1">
        <f t="array" ref="L756">_xlfn.IFS(C756&lt;18,"Under_18",C756&lt;=25,"Youth",C756&lt;=35,"Young_Adults",C756&lt;=45,"Mid_Adults",TRUE,"Seniors")</f>
        <v>Mid_Adults</v>
      </c>
    </row>
    <row r="757" spans="1:12" x14ac:dyDescent="0.2">
      <c r="A757">
        <v>756</v>
      </c>
      <c r="B757" t="str">
        <f>_xlfn.XLOOKUP(A757,Instagram_Usage_Lifestyle_Mini_!A757,Instagram_Usage_Lifestyle_Mini_!B757,1)</f>
        <v>Instagram</v>
      </c>
      <c r="C757">
        <f>_xlfn.XLOOKUP($A:$A,Instagram_Usage_Lifestyle_Mini_!$A:$A,Instagram_Usage_Lifestyle_Mini_!$C:$K)</f>
        <v>57</v>
      </c>
      <c r="D757" t="str">
        <f>_xlfn.XLOOKUP($A:$A,Instagram_Usage_Lifestyle_Mini_!$A:$A,Instagram_Usage_Lifestyle_Mini_!$C:$K)</f>
        <v>Male</v>
      </c>
      <c r="E757" t="str">
        <f>_xlfn.XLOOKUP($A:$A,Instagram_Usage_Lifestyle_Mini_!$A:$A,Instagram_Usage_Lifestyle_Mini_!$C:$K)</f>
        <v>Brazil</v>
      </c>
      <c r="F757" t="str">
        <f>_xlfn.XLOOKUP($A:$A,Instagram_Usage_Lifestyle_Mini_!$A:$A,Instagram_Usage_Lifestyle_Mini_!$C:$K)</f>
        <v>Urban</v>
      </c>
      <c r="G757" t="str">
        <f>_xlfn.XLOOKUP($A:$A,Instagram_Usage_Lifestyle_Mini_!$A:$A,Instagram_Usage_Lifestyle_Mini_!$C:$K)</f>
        <v>Middle</v>
      </c>
      <c r="H757" t="str">
        <f>_xlfn.XLOOKUP($A:$A,Instagram_Usage_Lifestyle_Mini_!$A:$A,Instagram_Usage_Lifestyle_Mini_!$C:$K)</f>
        <v>Student</v>
      </c>
      <c r="I757" t="str">
        <f>_xlfn.XLOOKUP($A:$A,Instagram_Usage_Lifestyle_Mini_!$A:$A,Instagram_Usage_Lifestyle_Mini_!$C:$K)</f>
        <v>Bachelors_degree</v>
      </c>
      <c r="J757" t="str">
        <f>_xlfn.XLOOKUP($A:$A,Instagram_Usage_Lifestyle_Mini_!$A:$A,Instagram_Usage_Lifestyle_Mini_!$C:$K)</f>
        <v>Married</v>
      </c>
      <c r="K757" t="str">
        <f>_xlfn.XLOOKUP($A:$A,Instagram_Usage_Lifestyle_Mini_!$A:$A,Instagram_Usage_Lifestyle_Mini_!$C:$K)</f>
        <v>No</v>
      </c>
      <c r="L757" t="str" cm="1">
        <f t="array" ref="L757">_xlfn.IFS(C757&lt;18,"Under_18",C757&lt;=25,"Youth",C757&lt;=35,"Young_Adults",C757&lt;=45,"Mid_Adults",TRUE,"Seniors")</f>
        <v>Seniors</v>
      </c>
    </row>
    <row r="758" spans="1:12" x14ac:dyDescent="0.2">
      <c r="A758">
        <v>757</v>
      </c>
      <c r="B758" t="str">
        <f>_xlfn.XLOOKUP(A758,Instagram_Usage_Lifestyle_Mini_!A758,Instagram_Usage_Lifestyle_Mini_!B758,1)</f>
        <v>Instagram</v>
      </c>
      <c r="C758">
        <f>_xlfn.XLOOKUP($A:$A,Instagram_Usage_Lifestyle_Mini_!$A:$A,Instagram_Usage_Lifestyle_Mini_!$C:$K)</f>
        <v>59</v>
      </c>
      <c r="D758" t="str">
        <f>_xlfn.XLOOKUP($A:$A,Instagram_Usage_Lifestyle_Mini_!$A:$A,Instagram_Usage_Lifestyle_Mini_!$C:$K)</f>
        <v>Non_binary</v>
      </c>
      <c r="E758" t="str">
        <f>_xlfn.XLOOKUP($A:$A,Instagram_Usage_Lifestyle_Mini_!$A:$A,Instagram_Usage_Lifestyle_Mini_!$C:$K)</f>
        <v>India</v>
      </c>
      <c r="F758" t="str">
        <f>_xlfn.XLOOKUP($A:$A,Instagram_Usage_Lifestyle_Mini_!$A:$A,Instagram_Usage_Lifestyle_Mini_!$C:$K)</f>
        <v>Urban</v>
      </c>
      <c r="G758" t="str">
        <f>_xlfn.XLOOKUP($A:$A,Instagram_Usage_Lifestyle_Mini_!$A:$A,Instagram_Usage_Lifestyle_Mini_!$C:$K)</f>
        <v>Low</v>
      </c>
      <c r="H758" t="str">
        <f>_xlfn.XLOOKUP($A:$A,Instagram_Usage_Lifestyle_Mini_!$A:$A,Instagram_Usage_Lifestyle_Mini_!$C:$K)</f>
        <v>Full_time_employed</v>
      </c>
      <c r="I758" t="str">
        <f>_xlfn.XLOOKUP($A:$A,Instagram_Usage_Lifestyle_Mini_!$A:$A,Instagram_Usage_Lifestyle_Mini_!$C:$K)</f>
        <v>High_school</v>
      </c>
      <c r="J758" t="str">
        <f>_xlfn.XLOOKUP($A:$A,Instagram_Usage_Lifestyle_Mini_!$A:$A,Instagram_Usage_Lifestyle_Mini_!$C:$K)</f>
        <v>Married</v>
      </c>
      <c r="K758" t="str">
        <f>_xlfn.XLOOKUP($A:$A,Instagram_Usage_Lifestyle_Mini_!$A:$A,Instagram_Usage_Lifestyle_Mini_!$C:$K)</f>
        <v>No</v>
      </c>
      <c r="L758" t="str" cm="1">
        <f t="array" ref="L758">_xlfn.IFS(C758&lt;18,"Under_18",C758&lt;=25,"Youth",C758&lt;=35,"Young_Adults",C758&lt;=45,"Mid_Adults",TRUE,"Seniors")</f>
        <v>Seniors</v>
      </c>
    </row>
    <row r="759" spans="1:12" x14ac:dyDescent="0.2">
      <c r="A759">
        <v>758</v>
      </c>
      <c r="B759" t="str">
        <f>_xlfn.XLOOKUP(A759,Instagram_Usage_Lifestyle_Mini_!A759,Instagram_Usage_Lifestyle_Mini_!B759,1)</f>
        <v>Instagram</v>
      </c>
      <c r="C759">
        <f>_xlfn.XLOOKUP($A:$A,Instagram_Usage_Lifestyle_Mini_!$A:$A,Instagram_Usage_Lifestyle_Mini_!$C:$K)</f>
        <v>33</v>
      </c>
      <c r="D759" t="str">
        <f>_xlfn.XLOOKUP($A:$A,Instagram_Usage_Lifestyle_Mini_!$A:$A,Instagram_Usage_Lifestyle_Mini_!$C:$K)</f>
        <v>Male</v>
      </c>
      <c r="E759" t="str">
        <f>_xlfn.XLOOKUP($A:$A,Instagram_Usage_Lifestyle_Mini_!$A:$A,Instagram_Usage_Lifestyle_Mini_!$C:$K)</f>
        <v>Other</v>
      </c>
      <c r="F759" t="str">
        <f>_xlfn.XLOOKUP($A:$A,Instagram_Usage_Lifestyle_Mini_!$A:$A,Instagram_Usage_Lifestyle_Mini_!$C:$K)</f>
        <v>Urban</v>
      </c>
      <c r="G759" t="str">
        <f>_xlfn.XLOOKUP($A:$A,Instagram_Usage_Lifestyle_Mini_!$A:$A,Instagram_Usage_Lifestyle_Mini_!$C:$K)</f>
        <v>Middle</v>
      </c>
      <c r="H759" t="str">
        <f>_xlfn.XLOOKUP($A:$A,Instagram_Usage_Lifestyle_Mini_!$A:$A,Instagram_Usage_Lifestyle_Mini_!$C:$K)</f>
        <v>Student</v>
      </c>
      <c r="I759" t="str">
        <f>_xlfn.XLOOKUP($A:$A,Instagram_Usage_Lifestyle_Mini_!$A:$A,Instagram_Usage_Lifestyle_Mini_!$C:$K)</f>
        <v>Some_college</v>
      </c>
      <c r="J759" t="str">
        <f>_xlfn.XLOOKUP($A:$A,Instagram_Usage_Lifestyle_Mini_!$A:$A,Instagram_Usage_Lifestyle_Mini_!$C:$K)</f>
        <v>Married</v>
      </c>
      <c r="K759" t="str">
        <f>_xlfn.XLOOKUP($A:$A,Instagram_Usage_Lifestyle_Mini_!$A:$A,Instagram_Usage_Lifestyle_Mini_!$C:$K)</f>
        <v>No</v>
      </c>
      <c r="L759" t="str" cm="1">
        <f t="array" ref="L759">_xlfn.IFS(C759&lt;18,"Under_18",C759&lt;=25,"Youth",C759&lt;=35,"Young_Adults",C759&lt;=45,"Mid_Adults",TRUE,"Seniors")</f>
        <v>Young_Adults</v>
      </c>
    </row>
    <row r="760" spans="1:12" x14ac:dyDescent="0.2">
      <c r="A760">
        <v>759</v>
      </c>
      <c r="B760" t="str">
        <f>_xlfn.XLOOKUP(A760,Instagram_Usage_Lifestyle_Mini_!A760,Instagram_Usage_Lifestyle_Mini_!B760,1)</f>
        <v>Instagram</v>
      </c>
      <c r="C760">
        <f>_xlfn.XLOOKUP($A:$A,Instagram_Usage_Lifestyle_Mini_!$A:$A,Instagram_Usage_Lifestyle_Mini_!$C:$K)</f>
        <v>28</v>
      </c>
      <c r="D760" t="str">
        <f>_xlfn.XLOOKUP($A:$A,Instagram_Usage_Lifestyle_Mini_!$A:$A,Instagram_Usage_Lifestyle_Mini_!$C:$K)</f>
        <v>Male</v>
      </c>
      <c r="E760" t="str">
        <f>_xlfn.XLOOKUP($A:$A,Instagram_Usage_Lifestyle_Mini_!$A:$A,Instagram_Usage_Lifestyle_Mini_!$C:$K)</f>
        <v>United_States</v>
      </c>
      <c r="F760" t="str">
        <f>_xlfn.XLOOKUP($A:$A,Instagram_Usage_Lifestyle_Mini_!$A:$A,Instagram_Usage_Lifestyle_Mini_!$C:$K)</f>
        <v>Rural</v>
      </c>
      <c r="G760" t="str">
        <f>_xlfn.XLOOKUP($A:$A,Instagram_Usage_Lifestyle_Mini_!$A:$A,Instagram_Usage_Lifestyle_Mini_!$C:$K)</f>
        <v>Middle</v>
      </c>
      <c r="H760" t="str">
        <f>_xlfn.XLOOKUP($A:$A,Instagram_Usage_Lifestyle_Mini_!$A:$A,Instagram_Usage_Lifestyle_Mini_!$C:$K)</f>
        <v>Unemployed</v>
      </c>
      <c r="I760" t="str">
        <f>_xlfn.XLOOKUP($A:$A,Instagram_Usage_Lifestyle_Mini_!$A:$A,Instagram_Usage_Lifestyle_Mini_!$C:$K)</f>
        <v>Masters_degree</v>
      </c>
      <c r="J760" t="str">
        <f>_xlfn.XLOOKUP($A:$A,Instagram_Usage_Lifestyle_Mini_!$A:$A,Instagram_Usage_Lifestyle_Mini_!$C:$K)</f>
        <v>In_a_relationship</v>
      </c>
      <c r="K760" t="str">
        <f>_xlfn.XLOOKUP($A:$A,Instagram_Usage_Lifestyle_Mini_!$A:$A,Instagram_Usage_Lifestyle_Mini_!$C:$K)</f>
        <v>Yes</v>
      </c>
      <c r="L760" t="str" cm="1">
        <f t="array" ref="L760">_xlfn.IFS(C760&lt;18,"Under_18",C760&lt;=25,"Youth",C760&lt;=35,"Young_Adults",C760&lt;=45,"Mid_Adults",TRUE,"Seniors")</f>
        <v>Young_Adults</v>
      </c>
    </row>
    <row r="761" spans="1:12" x14ac:dyDescent="0.2">
      <c r="A761">
        <v>760</v>
      </c>
      <c r="B761" t="str">
        <f>_xlfn.XLOOKUP(A761,Instagram_Usage_Lifestyle_Mini_!A761,Instagram_Usage_Lifestyle_Mini_!B761,1)</f>
        <v>Instagram</v>
      </c>
      <c r="C761">
        <f>_xlfn.XLOOKUP($A:$A,Instagram_Usage_Lifestyle_Mini_!$A:$A,Instagram_Usage_Lifestyle_Mini_!$C:$K)</f>
        <v>33</v>
      </c>
      <c r="D761" t="str">
        <f>_xlfn.XLOOKUP($A:$A,Instagram_Usage_Lifestyle_Mini_!$A:$A,Instagram_Usage_Lifestyle_Mini_!$C:$K)</f>
        <v>Male</v>
      </c>
      <c r="E761" t="str">
        <f>_xlfn.XLOOKUP($A:$A,Instagram_Usage_Lifestyle_Mini_!$A:$A,Instagram_Usage_Lifestyle_Mini_!$C:$K)</f>
        <v>United_States</v>
      </c>
      <c r="F761" t="str">
        <f>_xlfn.XLOOKUP($A:$A,Instagram_Usage_Lifestyle_Mini_!$A:$A,Instagram_Usage_Lifestyle_Mini_!$C:$K)</f>
        <v>Rural</v>
      </c>
      <c r="G761" t="str">
        <f>_xlfn.XLOOKUP($A:$A,Instagram_Usage_Lifestyle_Mini_!$A:$A,Instagram_Usage_Lifestyle_Mini_!$C:$K)</f>
        <v>Lower_middle</v>
      </c>
      <c r="H761" t="str">
        <f>_xlfn.XLOOKUP($A:$A,Instagram_Usage_Lifestyle_Mini_!$A:$A,Instagram_Usage_Lifestyle_Mini_!$C:$K)</f>
        <v>Full_time_employed</v>
      </c>
      <c r="I761" t="str">
        <f>_xlfn.XLOOKUP($A:$A,Instagram_Usage_Lifestyle_Mini_!$A:$A,Instagram_Usage_Lifestyle_Mini_!$C:$K)</f>
        <v>High_school</v>
      </c>
      <c r="J761" t="str">
        <f>_xlfn.XLOOKUP($A:$A,Instagram_Usage_Lifestyle_Mini_!$A:$A,Instagram_Usage_Lifestyle_Mini_!$C:$K)</f>
        <v>Single</v>
      </c>
      <c r="K761" t="str">
        <f>_xlfn.XLOOKUP($A:$A,Instagram_Usage_Lifestyle_Mini_!$A:$A,Instagram_Usage_Lifestyle_Mini_!$C:$K)</f>
        <v>Yes</v>
      </c>
      <c r="L761" t="str" cm="1">
        <f t="array" ref="L761">_xlfn.IFS(C761&lt;18,"Under_18",C761&lt;=25,"Youth",C761&lt;=35,"Young_Adults",C761&lt;=45,"Mid_Adults",TRUE,"Seniors")</f>
        <v>Young_Adults</v>
      </c>
    </row>
    <row r="762" spans="1:12" x14ac:dyDescent="0.2">
      <c r="A762">
        <v>761</v>
      </c>
      <c r="B762" t="str">
        <f>_xlfn.XLOOKUP(A762,Instagram_Usage_Lifestyle_Mini_!A762,Instagram_Usage_Lifestyle_Mini_!B762,1)</f>
        <v>Instagram</v>
      </c>
      <c r="C762">
        <f>_xlfn.XLOOKUP($A:$A,Instagram_Usage_Lifestyle_Mini_!$A:$A,Instagram_Usage_Lifestyle_Mini_!$C:$K)</f>
        <v>23</v>
      </c>
      <c r="D762" t="str">
        <f>_xlfn.XLOOKUP($A:$A,Instagram_Usage_Lifestyle_Mini_!$A:$A,Instagram_Usage_Lifestyle_Mini_!$C:$K)</f>
        <v>Male</v>
      </c>
      <c r="E762" t="str">
        <f>_xlfn.XLOOKUP($A:$A,Instagram_Usage_Lifestyle_Mini_!$A:$A,Instagram_Usage_Lifestyle_Mini_!$C:$K)</f>
        <v>South_Korea</v>
      </c>
      <c r="F762" t="str">
        <f>_xlfn.XLOOKUP($A:$A,Instagram_Usage_Lifestyle_Mini_!$A:$A,Instagram_Usage_Lifestyle_Mini_!$C:$K)</f>
        <v>Urban</v>
      </c>
      <c r="G762" t="str">
        <f>_xlfn.XLOOKUP($A:$A,Instagram_Usage_Lifestyle_Mini_!$A:$A,Instagram_Usage_Lifestyle_Mini_!$C:$K)</f>
        <v>Middle</v>
      </c>
      <c r="H762" t="str">
        <f>_xlfn.XLOOKUP($A:$A,Instagram_Usage_Lifestyle_Mini_!$A:$A,Instagram_Usage_Lifestyle_Mini_!$C:$K)</f>
        <v>Full_time_employed</v>
      </c>
      <c r="I762" t="str">
        <f>_xlfn.XLOOKUP($A:$A,Instagram_Usage_Lifestyle_Mini_!$A:$A,Instagram_Usage_Lifestyle_Mini_!$C:$K)</f>
        <v>Bachelors_degree</v>
      </c>
      <c r="J762" t="str">
        <f>_xlfn.XLOOKUP($A:$A,Instagram_Usage_Lifestyle_Mini_!$A:$A,Instagram_Usage_Lifestyle_Mini_!$C:$K)</f>
        <v>Married</v>
      </c>
      <c r="K762" t="str">
        <f>_xlfn.XLOOKUP($A:$A,Instagram_Usage_Lifestyle_Mini_!$A:$A,Instagram_Usage_Lifestyle_Mini_!$C:$K)</f>
        <v>No</v>
      </c>
      <c r="L762" t="str" cm="1">
        <f t="array" ref="L762">_xlfn.IFS(C762&lt;18,"Under_18",C762&lt;=25,"Youth",C762&lt;=35,"Young_Adults",C762&lt;=45,"Mid_Adults",TRUE,"Seniors")</f>
        <v>Youth</v>
      </c>
    </row>
    <row r="763" spans="1:12" x14ac:dyDescent="0.2">
      <c r="A763">
        <v>762</v>
      </c>
      <c r="B763" t="str">
        <f>_xlfn.XLOOKUP(A763,Instagram_Usage_Lifestyle_Mini_!A763,Instagram_Usage_Lifestyle_Mini_!B763,1)</f>
        <v>Instagram</v>
      </c>
      <c r="C763">
        <f>_xlfn.XLOOKUP($A:$A,Instagram_Usage_Lifestyle_Mini_!$A:$A,Instagram_Usage_Lifestyle_Mini_!$C:$K)</f>
        <v>49</v>
      </c>
      <c r="D763" t="str">
        <f>_xlfn.XLOOKUP($A:$A,Instagram_Usage_Lifestyle_Mini_!$A:$A,Instagram_Usage_Lifestyle_Mini_!$C:$K)</f>
        <v>Female</v>
      </c>
      <c r="E763" t="str">
        <f>_xlfn.XLOOKUP($A:$A,Instagram_Usage_Lifestyle_Mini_!$A:$A,Instagram_Usage_Lifestyle_Mini_!$C:$K)</f>
        <v>Australia</v>
      </c>
      <c r="F763" t="str">
        <f>_xlfn.XLOOKUP($A:$A,Instagram_Usage_Lifestyle_Mini_!$A:$A,Instagram_Usage_Lifestyle_Mini_!$C:$K)</f>
        <v>Urban</v>
      </c>
      <c r="G763" t="str">
        <f>_xlfn.XLOOKUP($A:$A,Instagram_Usage_Lifestyle_Mini_!$A:$A,Instagram_Usage_Lifestyle_Mini_!$C:$K)</f>
        <v>Lower_middle</v>
      </c>
      <c r="H763" t="str">
        <f>_xlfn.XLOOKUP($A:$A,Instagram_Usage_Lifestyle_Mini_!$A:$A,Instagram_Usage_Lifestyle_Mini_!$C:$K)</f>
        <v>Full_time_employed</v>
      </c>
      <c r="I763" t="str">
        <f>_xlfn.XLOOKUP($A:$A,Instagram_Usage_Lifestyle_Mini_!$A:$A,Instagram_Usage_Lifestyle_Mini_!$C:$K)</f>
        <v>Bachelors_degree</v>
      </c>
      <c r="J763" t="str">
        <f>_xlfn.XLOOKUP($A:$A,Instagram_Usage_Lifestyle_Mini_!$A:$A,Instagram_Usage_Lifestyle_Mini_!$C:$K)</f>
        <v>Married</v>
      </c>
      <c r="K763" t="str">
        <f>_xlfn.XLOOKUP($A:$A,Instagram_Usage_Lifestyle_Mini_!$A:$A,Instagram_Usage_Lifestyle_Mini_!$C:$K)</f>
        <v>No</v>
      </c>
      <c r="L763" t="str" cm="1">
        <f t="array" ref="L763">_xlfn.IFS(C763&lt;18,"Under_18",C763&lt;=25,"Youth",C763&lt;=35,"Young_Adults",C763&lt;=45,"Mid_Adults",TRUE,"Seniors")</f>
        <v>Seniors</v>
      </c>
    </row>
    <row r="764" spans="1:12" x14ac:dyDescent="0.2">
      <c r="A764">
        <v>763</v>
      </c>
      <c r="B764" t="str">
        <f>_xlfn.XLOOKUP(A764,Instagram_Usage_Lifestyle_Mini_!A764,Instagram_Usage_Lifestyle_Mini_!B764,1)</f>
        <v>Instagram</v>
      </c>
      <c r="C764">
        <f>_xlfn.XLOOKUP($A:$A,Instagram_Usage_Lifestyle_Mini_!$A:$A,Instagram_Usage_Lifestyle_Mini_!$C:$K)</f>
        <v>48</v>
      </c>
      <c r="D764" t="str">
        <f>_xlfn.XLOOKUP($A:$A,Instagram_Usage_Lifestyle_Mini_!$A:$A,Instagram_Usage_Lifestyle_Mini_!$C:$K)</f>
        <v>Male</v>
      </c>
      <c r="E764" t="str">
        <f>_xlfn.XLOOKUP($A:$A,Instagram_Usage_Lifestyle_Mini_!$A:$A,Instagram_Usage_Lifestyle_Mini_!$C:$K)</f>
        <v>United_States</v>
      </c>
      <c r="F764" t="str">
        <f>_xlfn.XLOOKUP($A:$A,Instagram_Usage_Lifestyle_Mini_!$A:$A,Instagram_Usage_Lifestyle_Mini_!$C:$K)</f>
        <v>Suburban</v>
      </c>
      <c r="G764" t="str">
        <f>_xlfn.XLOOKUP($A:$A,Instagram_Usage_Lifestyle_Mini_!$A:$A,Instagram_Usage_Lifestyle_Mini_!$C:$K)</f>
        <v>Lower_middle</v>
      </c>
      <c r="H764" t="str">
        <f>_xlfn.XLOOKUP($A:$A,Instagram_Usage_Lifestyle_Mini_!$A:$A,Instagram_Usage_Lifestyle_Mini_!$C:$K)</f>
        <v>Full_time_employed</v>
      </c>
      <c r="I764" t="str">
        <f>_xlfn.XLOOKUP($A:$A,Instagram_Usage_Lifestyle_Mini_!$A:$A,Instagram_Usage_Lifestyle_Mini_!$C:$K)</f>
        <v>High_school</v>
      </c>
      <c r="J764" t="str">
        <f>_xlfn.XLOOKUP($A:$A,Instagram_Usage_Lifestyle_Mini_!$A:$A,Instagram_Usage_Lifestyle_Mini_!$C:$K)</f>
        <v>Divorced</v>
      </c>
      <c r="K764" t="str">
        <f>_xlfn.XLOOKUP($A:$A,Instagram_Usage_Lifestyle_Mini_!$A:$A,Instagram_Usage_Lifestyle_Mini_!$C:$K)</f>
        <v>No</v>
      </c>
      <c r="L764" t="str" cm="1">
        <f t="array" ref="L764">_xlfn.IFS(C764&lt;18,"Under_18",C764&lt;=25,"Youth",C764&lt;=35,"Young_Adults",C764&lt;=45,"Mid_Adults",TRUE,"Seniors")</f>
        <v>Seniors</v>
      </c>
    </row>
    <row r="765" spans="1:12" x14ac:dyDescent="0.2">
      <c r="A765">
        <v>764</v>
      </c>
      <c r="B765" t="str">
        <f>_xlfn.XLOOKUP(A765,Instagram_Usage_Lifestyle_Mini_!A765,Instagram_Usage_Lifestyle_Mini_!B765,1)</f>
        <v>Instagram</v>
      </c>
      <c r="C765">
        <f>_xlfn.XLOOKUP($A:$A,Instagram_Usage_Lifestyle_Mini_!$A:$A,Instagram_Usage_Lifestyle_Mini_!$C:$K)</f>
        <v>47</v>
      </c>
      <c r="D765" t="str">
        <f>_xlfn.XLOOKUP($A:$A,Instagram_Usage_Lifestyle_Mini_!$A:$A,Instagram_Usage_Lifestyle_Mini_!$C:$K)</f>
        <v>Male</v>
      </c>
      <c r="E765" t="str">
        <f>_xlfn.XLOOKUP($A:$A,Instagram_Usage_Lifestyle_Mini_!$A:$A,Instagram_Usage_Lifestyle_Mini_!$C:$K)</f>
        <v>Other</v>
      </c>
      <c r="F765" t="str">
        <f>_xlfn.XLOOKUP($A:$A,Instagram_Usage_Lifestyle_Mini_!$A:$A,Instagram_Usage_Lifestyle_Mini_!$C:$K)</f>
        <v>Urban</v>
      </c>
      <c r="G765" t="str">
        <f>_xlfn.XLOOKUP($A:$A,Instagram_Usage_Lifestyle_Mini_!$A:$A,Instagram_Usage_Lifestyle_Mini_!$C:$K)</f>
        <v>Upper_middle</v>
      </c>
      <c r="H765" t="str">
        <f>_xlfn.XLOOKUP($A:$A,Instagram_Usage_Lifestyle_Mini_!$A:$A,Instagram_Usage_Lifestyle_Mini_!$C:$K)</f>
        <v>Full_time_employed</v>
      </c>
      <c r="I765" t="str">
        <f>_xlfn.XLOOKUP($A:$A,Instagram_Usage_Lifestyle_Mini_!$A:$A,Instagram_Usage_Lifestyle_Mini_!$C:$K)</f>
        <v>Bachelors_degree</v>
      </c>
      <c r="J765" t="str">
        <f>_xlfn.XLOOKUP($A:$A,Instagram_Usage_Lifestyle_Mini_!$A:$A,Instagram_Usage_Lifestyle_Mini_!$C:$K)</f>
        <v>Married</v>
      </c>
      <c r="K765" t="str">
        <f>_xlfn.XLOOKUP($A:$A,Instagram_Usage_Lifestyle_Mini_!$A:$A,Instagram_Usage_Lifestyle_Mini_!$C:$K)</f>
        <v>No</v>
      </c>
      <c r="L765" t="str" cm="1">
        <f t="array" ref="L765">_xlfn.IFS(C765&lt;18,"Under_18",C765&lt;=25,"Youth",C765&lt;=35,"Young_Adults",C765&lt;=45,"Mid_Adults",TRUE,"Seniors")</f>
        <v>Seniors</v>
      </c>
    </row>
    <row r="766" spans="1:12" x14ac:dyDescent="0.2">
      <c r="A766">
        <v>765</v>
      </c>
      <c r="B766" t="str">
        <f>_xlfn.XLOOKUP(A766,Instagram_Usage_Lifestyle_Mini_!A766,Instagram_Usage_Lifestyle_Mini_!B766,1)</f>
        <v>Instagram</v>
      </c>
      <c r="C766">
        <f>_xlfn.XLOOKUP($A:$A,Instagram_Usage_Lifestyle_Mini_!$A:$A,Instagram_Usage_Lifestyle_Mini_!$C:$K)</f>
        <v>31</v>
      </c>
      <c r="D766" t="str">
        <f>_xlfn.XLOOKUP($A:$A,Instagram_Usage_Lifestyle_Mini_!$A:$A,Instagram_Usage_Lifestyle_Mini_!$C:$K)</f>
        <v>Male</v>
      </c>
      <c r="E766" t="str">
        <f>_xlfn.XLOOKUP($A:$A,Instagram_Usage_Lifestyle_Mini_!$A:$A,Instagram_Usage_Lifestyle_Mini_!$C:$K)</f>
        <v>Other</v>
      </c>
      <c r="F766" t="str">
        <f>_xlfn.XLOOKUP($A:$A,Instagram_Usage_Lifestyle_Mini_!$A:$A,Instagram_Usage_Lifestyle_Mini_!$C:$K)</f>
        <v>Rural</v>
      </c>
      <c r="G766" t="str">
        <f>_xlfn.XLOOKUP($A:$A,Instagram_Usage_Lifestyle_Mini_!$A:$A,Instagram_Usage_Lifestyle_Mini_!$C:$K)</f>
        <v>Low</v>
      </c>
      <c r="H766" t="str">
        <f>_xlfn.XLOOKUP($A:$A,Instagram_Usage_Lifestyle_Mini_!$A:$A,Instagram_Usage_Lifestyle_Mini_!$C:$K)</f>
        <v>Part_time</v>
      </c>
      <c r="I766" t="str">
        <f>_xlfn.XLOOKUP($A:$A,Instagram_Usage_Lifestyle_Mini_!$A:$A,Instagram_Usage_Lifestyle_Mini_!$C:$K)</f>
        <v>High_school</v>
      </c>
      <c r="J766" t="str">
        <f>_xlfn.XLOOKUP($A:$A,Instagram_Usage_Lifestyle_Mini_!$A:$A,Instagram_Usage_Lifestyle_Mini_!$C:$K)</f>
        <v>Single</v>
      </c>
      <c r="K766" t="str">
        <f>_xlfn.XLOOKUP($A:$A,Instagram_Usage_Lifestyle_Mini_!$A:$A,Instagram_Usage_Lifestyle_Mini_!$C:$K)</f>
        <v>No</v>
      </c>
      <c r="L766" t="str" cm="1">
        <f t="array" ref="L766">_xlfn.IFS(C766&lt;18,"Under_18",C766&lt;=25,"Youth",C766&lt;=35,"Young_Adults",C766&lt;=45,"Mid_Adults",TRUE,"Seniors")</f>
        <v>Young_Adults</v>
      </c>
    </row>
    <row r="767" spans="1:12" x14ac:dyDescent="0.2">
      <c r="A767">
        <v>766</v>
      </c>
      <c r="B767" t="str">
        <f>_xlfn.XLOOKUP(A767,Instagram_Usage_Lifestyle_Mini_!A767,Instagram_Usage_Lifestyle_Mini_!B767,1)</f>
        <v>Instagram</v>
      </c>
      <c r="C767">
        <f>_xlfn.XLOOKUP($A:$A,Instagram_Usage_Lifestyle_Mini_!$A:$A,Instagram_Usage_Lifestyle_Mini_!$C:$K)</f>
        <v>32</v>
      </c>
      <c r="D767" t="str">
        <f>_xlfn.XLOOKUP($A:$A,Instagram_Usage_Lifestyle_Mini_!$A:$A,Instagram_Usage_Lifestyle_Mini_!$C:$K)</f>
        <v>Male</v>
      </c>
      <c r="E767" t="str">
        <f>_xlfn.XLOOKUP($A:$A,Instagram_Usage_Lifestyle_Mini_!$A:$A,Instagram_Usage_Lifestyle_Mini_!$C:$K)</f>
        <v>Other</v>
      </c>
      <c r="F767" t="str">
        <f>_xlfn.XLOOKUP($A:$A,Instagram_Usage_Lifestyle_Mini_!$A:$A,Instagram_Usage_Lifestyle_Mini_!$C:$K)</f>
        <v>Suburban</v>
      </c>
      <c r="G767" t="str">
        <f>_xlfn.XLOOKUP($A:$A,Instagram_Usage_Lifestyle_Mini_!$A:$A,Instagram_Usage_Lifestyle_Mini_!$C:$K)</f>
        <v>Upper_middle</v>
      </c>
      <c r="H767" t="str">
        <f>_xlfn.XLOOKUP($A:$A,Instagram_Usage_Lifestyle_Mini_!$A:$A,Instagram_Usage_Lifestyle_Mini_!$C:$K)</f>
        <v>Full_time_employed</v>
      </c>
      <c r="I767" t="str">
        <f>_xlfn.XLOOKUP($A:$A,Instagram_Usage_Lifestyle_Mini_!$A:$A,Instagram_Usage_Lifestyle_Mini_!$C:$K)</f>
        <v>Some_college</v>
      </c>
      <c r="J767" t="str">
        <f>_xlfn.XLOOKUP($A:$A,Instagram_Usage_Lifestyle_Mini_!$A:$A,Instagram_Usage_Lifestyle_Mini_!$C:$K)</f>
        <v>Single</v>
      </c>
      <c r="K767" t="str">
        <f>_xlfn.XLOOKUP($A:$A,Instagram_Usage_Lifestyle_Mini_!$A:$A,Instagram_Usage_Lifestyle_Mini_!$C:$K)</f>
        <v>Yes</v>
      </c>
      <c r="L767" t="str" cm="1">
        <f t="array" ref="L767">_xlfn.IFS(C767&lt;18,"Under_18",C767&lt;=25,"Youth",C767&lt;=35,"Young_Adults",C767&lt;=45,"Mid_Adults",TRUE,"Seniors")</f>
        <v>Young_Adults</v>
      </c>
    </row>
    <row r="768" spans="1:12" x14ac:dyDescent="0.2">
      <c r="A768">
        <v>767</v>
      </c>
      <c r="B768" t="str">
        <f>_xlfn.XLOOKUP(A768,Instagram_Usage_Lifestyle_Mini_!A768,Instagram_Usage_Lifestyle_Mini_!B768,1)</f>
        <v>Instagram</v>
      </c>
      <c r="C768">
        <f>_xlfn.XLOOKUP($A:$A,Instagram_Usage_Lifestyle_Mini_!$A:$A,Instagram_Usage_Lifestyle_Mini_!$C:$K)</f>
        <v>30</v>
      </c>
      <c r="D768" t="str">
        <f>_xlfn.XLOOKUP($A:$A,Instagram_Usage_Lifestyle_Mini_!$A:$A,Instagram_Usage_Lifestyle_Mini_!$C:$K)</f>
        <v>Female</v>
      </c>
      <c r="E768" t="str">
        <f>_xlfn.XLOOKUP($A:$A,Instagram_Usage_Lifestyle_Mini_!$A:$A,Instagram_Usage_Lifestyle_Mini_!$C:$K)</f>
        <v>Brazil</v>
      </c>
      <c r="F768" t="str">
        <f>_xlfn.XLOOKUP($A:$A,Instagram_Usage_Lifestyle_Mini_!$A:$A,Instagram_Usage_Lifestyle_Mini_!$C:$K)</f>
        <v>Rural</v>
      </c>
      <c r="G768" t="str">
        <f>_xlfn.XLOOKUP($A:$A,Instagram_Usage_Lifestyle_Mini_!$A:$A,Instagram_Usage_Lifestyle_Mini_!$C:$K)</f>
        <v>Lower_middle</v>
      </c>
      <c r="H768" t="str">
        <f>_xlfn.XLOOKUP($A:$A,Instagram_Usage_Lifestyle_Mini_!$A:$A,Instagram_Usage_Lifestyle_Mini_!$C:$K)</f>
        <v>Full_time_employed</v>
      </c>
      <c r="I768" t="str">
        <f>_xlfn.XLOOKUP($A:$A,Instagram_Usage_Lifestyle_Mini_!$A:$A,Instagram_Usage_Lifestyle_Mini_!$C:$K)</f>
        <v>Some_college</v>
      </c>
      <c r="J768" t="str">
        <f>_xlfn.XLOOKUP($A:$A,Instagram_Usage_Lifestyle_Mini_!$A:$A,Instagram_Usage_Lifestyle_Mini_!$C:$K)</f>
        <v>Single</v>
      </c>
      <c r="K768" t="str">
        <f>_xlfn.XLOOKUP($A:$A,Instagram_Usage_Lifestyle_Mini_!$A:$A,Instagram_Usage_Lifestyle_Mini_!$C:$K)</f>
        <v>No</v>
      </c>
      <c r="L768" t="str" cm="1">
        <f t="array" ref="L768">_xlfn.IFS(C768&lt;18,"Under_18",C768&lt;=25,"Youth",C768&lt;=35,"Young_Adults",C768&lt;=45,"Mid_Adults",TRUE,"Seniors")</f>
        <v>Young_Adults</v>
      </c>
    </row>
    <row r="769" spans="1:12" x14ac:dyDescent="0.2">
      <c r="A769">
        <v>768</v>
      </c>
      <c r="B769" t="str">
        <f>_xlfn.XLOOKUP(A769,Instagram_Usage_Lifestyle_Mini_!A769,Instagram_Usage_Lifestyle_Mini_!B769,1)</f>
        <v>Instagram</v>
      </c>
      <c r="C769">
        <f>_xlfn.XLOOKUP($A:$A,Instagram_Usage_Lifestyle_Mini_!$A:$A,Instagram_Usage_Lifestyle_Mini_!$C:$K)</f>
        <v>59</v>
      </c>
      <c r="D769" t="str">
        <f>_xlfn.XLOOKUP($A:$A,Instagram_Usage_Lifestyle_Mini_!$A:$A,Instagram_Usage_Lifestyle_Mini_!$C:$K)</f>
        <v>Male</v>
      </c>
      <c r="E769" t="str">
        <f>_xlfn.XLOOKUP($A:$A,Instagram_Usage_Lifestyle_Mini_!$A:$A,Instagram_Usage_Lifestyle_Mini_!$C:$K)</f>
        <v>United _Kingdom</v>
      </c>
      <c r="F769" t="str">
        <f>_xlfn.XLOOKUP($A:$A,Instagram_Usage_Lifestyle_Mini_!$A:$A,Instagram_Usage_Lifestyle_Mini_!$C:$K)</f>
        <v>Rural</v>
      </c>
      <c r="G769" t="str">
        <f>_xlfn.XLOOKUP($A:$A,Instagram_Usage_Lifestyle_Mini_!$A:$A,Instagram_Usage_Lifestyle_Mini_!$C:$K)</f>
        <v>Lower_middle</v>
      </c>
      <c r="H769" t="str">
        <f>_xlfn.XLOOKUP($A:$A,Instagram_Usage_Lifestyle_Mini_!$A:$A,Instagram_Usage_Lifestyle_Mini_!$C:$K)</f>
        <v>Full_time_employed</v>
      </c>
      <c r="I769" t="str">
        <f>_xlfn.XLOOKUP($A:$A,Instagram_Usage_Lifestyle_Mini_!$A:$A,Instagram_Usage_Lifestyle_Mini_!$C:$K)</f>
        <v>Bachelors_degree</v>
      </c>
      <c r="J769" t="str">
        <f>_xlfn.XLOOKUP($A:$A,Instagram_Usage_Lifestyle_Mini_!$A:$A,Instagram_Usage_Lifestyle_Mini_!$C:$K)</f>
        <v>Married</v>
      </c>
      <c r="K769" t="str">
        <f>_xlfn.XLOOKUP($A:$A,Instagram_Usage_Lifestyle_Mini_!$A:$A,Instagram_Usage_Lifestyle_Mini_!$C:$K)</f>
        <v>No</v>
      </c>
      <c r="L769" t="str" cm="1">
        <f t="array" ref="L769">_xlfn.IFS(C769&lt;18,"Under_18",C769&lt;=25,"Youth",C769&lt;=35,"Young_Adults",C769&lt;=45,"Mid_Adults",TRUE,"Seniors")</f>
        <v>Seniors</v>
      </c>
    </row>
    <row r="770" spans="1:12" x14ac:dyDescent="0.2">
      <c r="A770">
        <v>769</v>
      </c>
      <c r="B770" t="str">
        <f>_xlfn.XLOOKUP(A770,Instagram_Usage_Lifestyle_Mini_!A770,Instagram_Usage_Lifestyle_Mini_!B770,1)</f>
        <v>Instagram</v>
      </c>
      <c r="C770">
        <f>_xlfn.XLOOKUP($A:$A,Instagram_Usage_Lifestyle_Mini_!$A:$A,Instagram_Usage_Lifestyle_Mini_!$C:$K)</f>
        <v>53</v>
      </c>
      <c r="D770" t="str">
        <f>_xlfn.XLOOKUP($A:$A,Instagram_Usage_Lifestyle_Mini_!$A:$A,Instagram_Usage_Lifestyle_Mini_!$C:$K)</f>
        <v>Female</v>
      </c>
      <c r="E770" t="str">
        <f>_xlfn.XLOOKUP($A:$A,Instagram_Usage_Lifestyle_Mini_!$A:$A,Instagram_Usage_Lifestyle_Mini_!$C:$K)</f>
        <v>Germany</v>
      </c>
      <c r="F770" t="str">
        <f>_xlfn.XLOOKUP($A:$A,Instagram_Usage_Lifestyle_Mini_!$A:$A,Instagram_Usage_Lifestyle_Mini_!$C:$K)</f>
        <v>Urban</v>
      </c>
      <c r="G770" t="str">
        <f>_xlfn.XLOOKUP($A:$A,Instagram_Usage_Lifestyle_Mini_!$A:$A,Instagram_Usage_Lifestyle_Mini_!$C:$K)</f>
        <v>High</v>
      </c>
      <c r="H770" t="str">
        <f>_xlfn.XLOOKUP($A:$A,Instagram_Usage_Lifestyle_Mini_!$A:$A,Instagram_Usage_Lifestyle_Mini_!$C:$K)</f>
        <v>Full_time_employed</v>
      </c>
      <c r="I770" t="str">
        <f>_xlfn.XLOOKUP($A:$A,Instagram_Usage_Lifestyle_Mini_!$A:$A,Instagram_Usage_Lifestyle_Mini_!$C:$K)</f>
        <v>Bachelors_degree</v>
      </c>
      <c r="J770" t="str">
        <f>_xlfn.XLOOKUP($A:$A,Instagram_Usage_Lifestyle_Mini_!$A:$A,Instagram_Usage_Lifestyle_Mini_!$C:$K)</f>
        <v>In_a_relationship</v>
      </c>
      <c r="K770" t="str">
        <f>_xlfn.XLOOKUP($A:$A,Instagram_Usage_Lifestyle_Mini_!$A:$A,Instagram_Usage_Lifestyle_Mini_!$C:$K)</f>
        <v>No</v>
      </c>
      <c r="L770" t="str" cm="1">
        <f t="array" ref="L770">_xlfn.IFS(C770&lt;18,"Under_18",C770&lt;=25,"Youth",C770&lt;=35,"Young_Adults",C770&lt;=45,"Mid_Adults",TRUE,"Seniors")</f>
        <v>Seniors</v>
      </c>
    </row>
    <row r="771" spans="1:12" x14ac:dyDescent="0.2">
      <c r="A771">
        <v>770</v>
      </c>
      <c r="B771" t="str">
        <f>_xlfn.XLOOKUP(A771,Instagram_Usage_Lifestyle_Mini_!A771,Instagram_Usage_Lifestyle_Mini_!B771,1)</f>
        <v>Instagram</v>
      </c>
      <c r="C771">
        <f>_xlfn.XLOOKUP($A:$A,Instagram_Usage_Lifestyle_Mini_!$A:$A,Instagram_Usage_Lifestyle_Mini_!$C:$K)</f>
        <v>61</v>
      </c>
      <c r="D771" t="str">
        <f>_xlfn.XLOOKUP($A:$A,Instagram_Usage_Lifestyle_Mini_!$A:$A,Instagram_Usage_Lifestyle_Mini_!$C:$K)</f>
        <v>Female</v>
      </c>
      <c r="E771" t="str">
        <f>_xlfn.XLOOKUP($A:$A,Instagram_Usage_Lifestyle_Mini_!$A:$A,Instagram_Usage_Lifestyle_Mini_!$C:$K)</f>
        <v>Japan</v>
      </c>
      <c r="F771" t="str">
        <f>_xlfn.XLOOKUP($A:$A,Instagram_Usage_Lifestyle_Mini_!$A:$A,Instagram_Usage_Lifestyle_Mini_!$C:$K)</f>
        <v>Rural</v>
      </c>
      <c r="G771" t="str">
        <f>_xlfn.XLOOKUP($A:$A,Instagram_Usage_Lifestyle_Mini_!$A:$A,Instagram_Usage_Lifestyle_Mini_!$C:$K)</f>
        <v>Middle</v>
      </c>
      <c r="H771" t="str">
        <f>_xlfn.XLOOKUP($A:$A,Instagram_Usage_Lifestyle_Mini_!$A:$A,Instagram_Usage_Lifestyle_Mini_!$C:$K)</f>
        <v>Full_time_employed</v>
      </c>
      <c r="I771" t="str">
        <f>_xlfn.XLOOKUP($A:$A,Instagram_Usage_Lifestyle_Mini_!$A:$A,Instagram_Usage_Lifestyle_Mini_!$C:$K)</f>
        <v>Bachelors_degree</v>
      </c>
      <c r="J771" t="str">
        <f>_xlfn.XLOOKUP($A:$A,Instagram_Usage_Lifestyle_Mini_!$A:$A,Instagram_Usage_Lifestyle_Mini_!$C:$K)</f>
        <v>Single</v>
      </c>
      <c r="K771" t="str">
        <f>_xlfn.XLOOKUP($A:$A,Instagram_Usage_Lifestyle_Mini_!$A:$A,Instagram_Usage_Lifestyle_Mini_!$C:$K)</f>
        <v>No</v>
      </c>
      <c r="L771" t="str" cm="1">
        <f t="array" ref="L771">_xlfn.IFS(C771&lt;18,"Under_18",C771&lt;=25,"Youth",C771&lt;=35,"Young_Adults",C771&lt;=45,"Mid_Adults",TRUE,"Seniors")</f>
        <v>Seniors</v>
      </c>
    </row>
    <row r="772" spans="1:12" x14ac:dyDescent="0.2">
      <c r="A772">
        <v>771</v>
      </c>
      <c r="B772" t="str">
        <f>_xlfn.XLOOKUP(A772,Instagram_Usage_Lifestyle_Mini_!A772,Instagram_Usage_Lifestyle_Mini_!B772,1)</f>
        <v>Instagram</v>
      </c>
      <c r="C772">
        <f>_xlfn.XLOOKUP($A:$A,Instagram_Usage_Lifestyle_Mini_!$A:$A,Instagram_Usage_Lifestyle_Mini_!$C:$K)</f>
        <v>26</v>
      </c>
      <c r="D772" t="str">
        <f>_xlfn.XLOOKUP($A:$A,Instagram_Usage_Lifestyle_Mini_!$A:$A,Instagram_Usage_Lifestyle_Mini_!$C:$K)</f>
        <v>Female</v>
      </c>
      <c r="E772" t="str">
        <f>_xlfn.XLOOKUP($A:$A,Instagram_Usage_Lifestyle_Mini_!$A:$A,Instagram_Usage_Lifestyle_Mini_!$C:$K)</f>
        <v>India</v>
      </c>
      <c r="F772" t="str">
        <f>_xlfn.XLOOKUP($A:$A,Instagram_Usage_Lifestyle_Mini_!$A:$A,Instagram_Usage_Lifestyle_Mini_!$C:$K)</f>
        <v>Rural</v>
      </c>
      <c r="G772" t="str">
        <f>_xlfn.XLOOKUP($A:$A,Instagram_Usage_Lifestyle_Mini_!$A:$A,Instagram_Usage_Lifestyle_Mini_!$C:$K)</f>
        <v>Low</v>
      </c>
      <c r="H772" t="str">
        <f>_xlfn.XLOOKUP($A:$A,Instagram_Usage_Lifestyle_Mini_!$A:$A,Instagram_Usage_Lifestyle_Mini_!$C:$K)</f>
        <v>Full_time_employed</v>
      </c>
      <c r="I772" t="str">
        <f>_xlfn.XLOOKUP($A:$A,Instagram_Usage_Lifestyle_Mini_!$A:$A,Instagram_Usage_Lifestyle_Mini_!$C:$K)</f>
        <v>Bachelors_degree</v>
      </c>
      <c r="J772" t="str">
        <f>_xlfn.XLOOKUP($A:$A,Instagram_Usage_Lifestyle_Mini_!$A:$A,Instagram_Usage_Lifestyle_Mini_!$C:$K)</f>
        <v>In_a_relationship</v>
      </c>
      <c r="K772" t="str">
        <f>_xlfn.XLOOKUP($A:$A,Instagram_Usage_Lifestyle_Mini_!$A:$A,Instagram_Usage_Lifestyle_Mini_!$C:$K)</f>
        <v>No</v>
      </c>
      <c r="L772" t="str" cm="1">
        <f t="array" ref="L772">_xlfn.IFS(C772&lt;18,"Under_18",C772&lt;=25,"Youth",C772&lt;=35,"Young_Adults",C772&lt;=45,"Mid_Adults",TRUE,"Seniors")</f>
        <v>Young_Adults</v>
      </c>
    </row>
    <row r="773" spans="1:12" x14ac:dyDescent="0.2">
      <c r="A773">
        <v>772</v>
      </c>
      <c r="B773" t="str">
        <f>_xlfn.XLOOKUP(A773,Instagram_Usage_Lifestyle_Mini_!A773,Instagram_Usage_Lifestyle_Mini_!B773,1)</f>
        <v>Instagram</v>
      </c>
      <c r="C773">
        <f>_xlfn.XLOOKUP($A:$A,Instagram_Usage_Lifestyle_Mini_!$A:$A,Instagram_Usage_Lifestyle_Mini_!$C:$K)</f>
        <v>27</v>
      </c>
      <c r="D773" t="str">
        <f>_xlfn.XLOOKUP($A:$A,Instagram_Usage_Lifestyle_Mini_!$A:$A,Instagram_Usage_Lifestyle_Mini_!$C:$K)</f>
        <v>Male</v>
      </c>
      <c r="E773" t="str">
        <f>_xlfn.XLOOKUP($A:$A,Instagram_Usage_Lifestyle_Mini_!$A:$A,Instagram_Usage_Lifestyle_Mini_!$C:$K)</f>
        <v>Japan</v>
      </c>
      <c r="F773" t="str">
        <f>_xlfn.XLOOKUP($A:$A,Instagram_Usage_Lifestyle_Mini_!$A:$A,Instagram_Usage_Lifestyle_Mini_!$C:$K)</f>
        <v>Rural</v>
      </c>
      <c r="G773" t="str">
        <f>_xlfn.XLOOKUP($A:$A,Instagram_Usage_Lifestyle_Mini_!$A:$A,Instagram_Usage_Lifestyle_Mini_!$C:$K)</f>
        <v>Lower_middle</v>
      </c>
      <c r="H773" t="str">
        <f>_xlfn.XLOOKUP($A:$A,Instagram_Usage_Lifestyle_Mini_!$A:$A,Instagram_Usage_Lifestyle_Mini_!$C:$K)</f>
        <v>Full_time_employed</v>
      </c>
      <c r="I773" t="str">
        <f>_xlfn.XLOOKUP($A:$A,Instagram_Usage_Lifestyle_Mini_!$A:$A,Instagram_Usage_Lifestyle_Mini_!$C:$K)</f>
        <v>Bachelors_degree</v>
      </c>
      <c r="J773" t="str">
        <f>_xlfn.XLOOKUP($A:$A,Instagram_Usage_Lifestyle_Mini_!$A:$A,Instagram_Usage_Lifestyle_Mini_!$C:$K)</f>
        <v>Married</v>
      </c>
      <c r="K773" t="str">
        <f>_xlfn.XLOOKUP($A:$A,Instagram_Usage_Lifestyle_Mini_!$A:$A,Instagram_Usage_Lifestyle_Mini_!$C:$K)</f>
        <v>No</v>
      </c>
      <c r="L773" t="str" cm="1">
        <f t="array" ref="L773">_xlfn.IFS(C773&lt;18,"Under_18",C773&lt;=25,"Youth",C773&lt;=35,"Young_Adults",C773&lt;=45,"Mid_Adults",TRUE,"Seniors")</f>
        <v>Young_Adults</v>
      </c>
    </row>
    <row r="774" spans="1:12" x14ac:dyDescent="0.2">
      <c r="A774">
        <v>773</v>
      </c>
      <c r="B774" t="str">
        <f>_xlfn.XLOOKUP(A774,Instagram_Usage_Lifestyle_Mini_!A774,Instagram_Usage_Lifestyle_Mini_!B774,1)</f>
        <v>Instagram</v>
      </c>
      <c r="C774">
        <f>_xlfn.XLOOKUP($A:$A,Instagram_Usage_Lifestyle_Mini_!$A:$A,Instagram_Usage_Lifestyle_Mini_!$C:$K)</f>
        <v>43</v>
      </c>
      <c r="D774" t="str">
        <f>_xlfn.XLOOKUP($A:$A,Instagram_Usage_Lifestyle_Mini_!$A:$A,Instagram_Usage_Lifestyle_Mini_!$C:$K)</f>
        <v>Prefer_not _to _say</v>
      </c>
      <c r="E774" t="str">
        <f>_xlfn.XLOOKUP($A:$A,Instagram_Usage_Lifestyle_Mini_!$A:$A,Instagram_Usage_Lifestyle_Mini_!$C:$K)</f>
        <v>South_Korea</v>
      </c>
      <c r="F774" t="str">
        <f>_xlfn.XLOOKUP($A:$A,Instagram_Usage_Lifestyle_Mini_!$A:$A,Instagram_Usage_Lifestyle_Mini_!$C:$K)</f>
        <v>Suburban</v>
      </c>
      <c r="G774" t="str">
        <f>_xlfn.XLOOKUP($A:$A,Instagram_Usage_Lifestyle_Mini_!$A:$A,Instagram_Usage_Lifestyle_Mini_!$C:$K)</f>
        <v>Lower_middle</v>
      </c>
      <c r="H774" t="str">
        <f>_xlfn.XLOOKUP($A:$A,Instagram_Usage_Lifestyle_Mini_!$A:$A,Instagram_Usage_Lifestyle_Mini_!$C:$K)</f>
        <v>Full_time_employed</v>
      </c>
      <c r="I774" t="str">
        <f>_xlfn.XLOOKUP($A:$A,Instagram_Usage_Lifestyle_Mini_!$A:$A,Instagram_Usage_Lifestyle_Mini_!$C:$K)</f>
        <v>Some_college</v>
      </c>
      <c r="J774" t="str">
        <f>_xlfn.XLOOKUP($A:$A,Instagram_Usage_Lifestyle_Mini_!$A:$A,Instagram_Usage_Lifestyle_Mini_!$C:$K)</f>
        <v>Single</v>
      </c>
      <c r="K774" t="str">
        <f>_xlfn.XLOOKUP($A:$A,Instagram_Usage_Lifestyle_Mini_!$A:$A,Instagram_Usage_Lifestyle_Mini_!$C:$K)</f>
        <v>No</v>
      </c>
      <c r="L774" t="str" cm="1">
        <f t="array" ref="L774">_xlfn.IFS(C774&lt;18,"Under_18",C774&lt;=25,"Youth",C774&lt;=35,"Young_Adults",C774&lt;=45,"Mid_Adults",TRUE,"Seniors")</f>
        <v>Mid_Adults</v>
      </c>
    </row>
    <row r="775" spans="1:12" x14ac:dyDescent="0.2">
      <c r="A775">
        <v>774</v>
      </c>
      <c r="B775" t="str">
        <f>_xlfn.XLOOKUP(A775,Instagram_Usage_Lifestyle_Mini_!A775,Instagram_Usage_Lifestyle_Mini_!B775,1)</f>
        <v>Instagram</v>
      </c>
      <c r="C775">
        <f>_xlfn.XLOOKUP($A:$A,Instagram_Usage_Lifestyle_Mini_!$A:$A,Instagram_Usage_Lifestyle_Mini_!$C:$K)</f>
        <v>13</v>
      </c>
      <c r="D775" t="str">
        <f>_xlfn.XLOOKUP($A:$A,Instagram_Usage_Lifestyle_Mini_!$A:$A,Instagram_Usage_Lifestyle_Mini_!$C:$K)</f>
        <v>Female</v>
      </c>
      <c r="E775" t="str">
        <f>_xlfn.XLOOKUP($A:$A,Instagram_Usage_Lifestyle_Mini_!$A:$A,Instagram_Usage_Lifestyle_Mini_!$C:$K)</f>
        <v>India</v>
      </c>
      <c r="F775" t="str">
        <f>_xlfn.XLOOKUP($A:$A,Instagram_Usage_Lifestyle_Mini_!$A:$A,Instagram_Usage_Lifestyle_Mini_!$C:$K)</f>
        <v>Suburban</v>
      </c>
      <c r="G775" t="str">
        <f>_xlfn.XLOOKUP($A:$A,Instagram_Usage_Lifestyle_Mini_!$A:$A,Instagram_Usage_Lifestyle_Mini_!$C:$K)</f>
        <v>Lower_middle</v>
      </c>
      <c r="H775" t="str">
        <f>_xlfn.XLOOKUP($A:$A,Instagram_Usage_Lifestyle_Mini_!$A:$A,Instagram_Usage_Lifestyle_Mini_!$C:$K)</f>
        <v>Full_time_employed</v>
      </c>
      <c r="I775" t="str">
        <f>_xlfn.XLOOKUP($A:$A,Instagram_Usage_Lifestyle_Mini_!$A:$A,Instagram_Usage_Lifestyle_Mini_!$C:$K)</f>
        <v>Other</v>
      </c>
      <c r="J775" t="str">
        <f>_xlfn.XLOOKUP($A:$A,Instagram_Usage_Lifestyle_Mini_!$A:$A,Instagram_Usage_Lifestyle_Mini_!$C:$K)</f>
        <v>Single</v>
      </c>
      <c r="K775" t="str">
        <f>_xlfn.XLOOKUP($A:$A,Instagram_Usage_Lifestyle_Mini_!$A:$A,Instagram_Usage_Lifestyle_Mini_!$C:$K)</f>
        <v>Yes</v>
      </c>
      <c r="L775" t="str" cm="1">
        <f t="array" ref="L775">_xlfn.IFS(C775&lt;18,"Under_18",C775&lt;=25,"Youth",C775&lt;=35,"Young_Adults",C775&lt;=45,"Mid_Adults",TRUE,"Seniors")</f>
        <v>Under_18</v>
      </c>
    </row>
    <row r="776" spans="1:12" x14ac:dyDescent="0.2">
      <c r="A776">
        <v>775</v>
      </c>
      <c r="B776" t="str">
        <f>_xlfn.XLOOKUP(A776,Instagram_Usage_Lifestyle_Mini_!A776,Instagram_Usage_Lifestyle_Mini_!B776,1)</f>
        <v>Instagram</v>
      </c>
      <c r="C776">
        <f>_xlfn.XLOOKUP($A:$A,Instagram_Usage_Lifestyle_Mini_!$A:$A,Instagram_Usage_Lifestyle_Mini_!$C:$K)</f>
        <v>65</v>
      </c>
      <c r="D776" t="str">
        <f>_xlfn.XLOOKUP($A:$A,Instagram_Usage_Lifestyle_Mini_!$A:$A,Instagram_Usage_Lifestyle_Mini_!$C:$K)</f>
        <v>Male</v>
      </c>
      <c r="E776" t="str">
        <f>_xlfn.XLOOKUP($A:$A,Instagram_Usage_Lifestyle_Mini_!$A:$A,Instagram_Usage_Lifestyle_Mini_!$C:$K)</f>
        <v>United_States</v>
      </c>
      <c r="F776" t="str">
        <f>_xlfn.XLOOKUP($A:$A,Instagram_Usage_Lifestyle_Mini_!$A:$A,Instagram_Usage_Lifestyle_Mini_!$C:$K)</f>
        <v>Rural</v>
      </c>
      <c r="G776" t="str">
        <f>_xlfn.XLOOKUP($A:$A,Instagram_Usage_Lifestyle_Mini_!$A:$A,Instagram_Usage_Lifestyle_Mini_!$C:$K)</f>
        <v>High</v>
      </c>
      <c r="H776" t="str">
        <f>_xlfn.XLOOKUP($A:$A,Instagram_Usage_Lifestyle_Mini_!$A:$A,Instagram_Usage_Lifestyle_Mini_!$C:$K)</f>
        <v>Student</v>
      </c>
      <c r="I776" t="str">
        <f>_xlfn.XLOOKUP($A:$A,Instagram_Usage_Lifestyle_Mini_!$A:$A,Instagram_Usage_Lifestyle_Mini_!$C:$K)</f>
        <v>Bachelors_degree</v>
      </c>
      <c r="J776" t="str">
        <f>_xlfn.XLOOKUP($A:$A,Instagram_Usage_Lifestyle_Mini_!$A:$A,Instagram_Usage_Lifestyle_Mini_!$C:$K)</f>
        <v>Single</v>
      </c>
      <c r="K776" t="str">
        <f>_xlfn.XLOOKUP($A:$A,Instagram_Usage_Lifestyle_Mini_!$A:$A,Instagram_Usage_Lifestyle_Mini_!$C:$K)</f>
        <v>No</v>
      </c>
      <c r="L776" t="str" cm="1">
        <f t="array" ref="L776">_xlfn.IFS(C776&lt;18,"Under_18",C776&lt;=25,"Youth",C776&lt;=35,"Young_Adults",C776&lt;=45,"Mid_Adults",TRUE,"Seniors")</f>
        <v>Seniors</v>
      </c>
    </row>
    <row r="777" spans="1:12" x14ac:dyDescent="0.2">
      <c r="A777">
        <v>776</v>
      </c>
      <c r="B777" t="str">
        <f>_xlfn.XLOOKUP(A777,Instagram_Usage_Lifestyle_Mini_!A777,Instagram_Usage_Lifestyle_Mini_!B777,1)</f>
        <v>Instagram</v>
      </c>
      <c r="C777">
        <f>_xlfn.XLOOKUP($A:$A,Instagram_Usage_Lifestyle_Mini_!$A:$A,Instagram_Usage_Lifestyle_Mini_!$C:$K)</f>
        <v>15</v>
      </c>
      <c r="D777" t="str">
        <f>_xlfn.XLOOKUP($A:$A,Instagram_Usage_Lifestyle_Mini_!$A:$A,Instagram_Usage_Lifestyle_Mini_!$C:$K)</f>
        <v>Male</v>
      </c>
      <c r="E777" t="str">
        <f>_xlfn.XLOOKUP($A:$A,Instagram_Usage_Lifestyle_Mini_!$A:$A,Instagram_Usage_Lifestyle_Mini_!$C:$K)</f>
        <v>United _Kingdom</v>
      </c>
      <c r="F777" t="str">
        <f>_xlfn.XLOOKUP($A:$A,Instagram_Usage_Lifestyle_Mini_!$A:$A,Instagram_Usage_Lifestyle_Mini_!$C:$K)</f>
        <v>Suburban</v>
      </c>
      <c r="G777" t="str">
        <f>_xlfn.XLOOKUP($A:$A,Instagram_Usage_Lifestyle_Mini_!$A:$A,Instagram_Usage_Lifestyle_Mini_!$C:$K)</f>
        <v>Upper_middle</v>
      </c>
      <c r="H777" t="str">
        <f>_xlfn.XLOOKUP($A:$A,Instagram_Usage_Lifestyle_Mini_!$A:$A,Instagram_Usage_Lifestyle_Mini_!$C:$K)</f>
        <v>Student</v>
      </c>
      <c r="I777" t="str">
        <f>_xlfn.XLOOKUP($A:$A,Instagram_Usage_Lifestyle_Mini_!$A:$A,Instagram_Usage_Lifestyle_Mini_!$C:$K)</f>
        <v>Some_college</v>
      </c>
      <c r="J777" t="str">
        <f>_xlfn.XLOOKUP($A:$A,Instagram_Usage_Lifestyle_Mini_!$A:$A,Instagram_Usage_Lifestyle_Mini_!$C:$K)</f>
        <v>Single</v>
      </c>
      <c r="K777" t="str">
        <f>_xlfn.XLOOKUP($A:$A,Instagram_Usage_Lifestyle_Mini_!$A:$A,Instagram_Usage_Lifestyle_Mini_!$C:$K)</f>
        <v>Yes</v>
      </c>
      <c r="L777" t="str" cm="1">
        <f t="array" ref="L777">_xlfn.IFS(C777&lt;18,"Under_18",C777&lt;=25,"Youth",C777&lt;=35,"Young_Adults",C777&lt;=45,"Mid_Adults",TRUE,"Seniors")</f>
        <v>Under_18</v>
      </c>
    </row>
    <row r="778" spans="1:12" x14ac:dyDescent="0.2">
      <c r="A778">
        <v>777</v>
      </c>
      <c r="B778" t="str">
        <f>_xlfn.XLOOKUP(A778,Instagram_Usage_Lifestyle_Mini_!A778,Instagram_Usage_Lifestyle_Mini_!B778,1)</f>
        <v>Instagram</v>
      </c>
      <c r="C778">
        <f>_xlfn.XLOOKUP($A:$A,Instagram_Usage_Lifestyle_Mini_!$A:$A,Instagram_Usage_Lifestyle_Mini_!$C:$K)</f>
        <v>28</v>
      </c>
      <c r="D778" t="str">
        <f>_xlfn.XLOOKUP($A:$A,Instagram_Usage_Lifestyle_Mini_!$A:$A,Instagram_Usage_Lifestyle_Mini_!$C:$K)</f>
        <v>Male</v>
      </c>
      <c r="E778" t="str">
        <f>_xlfn.XLOOKUP($A:$A,Instagram_Usage_Lifestyle_Mini_!$A:$A,Instagram_Usage_Lifestyle_Mini_!$C:$K)</f>
        <v>Brazil</v>
      </c>
      <c r="F778" t="str">
        <f>_xlfn.XLOOKUP($A:$A,Instagram_Usage_Lifestyle_Mini_!$A:$A,Instagram_Usage_Lifestyle_Mini_!$C:$K)</f>
        <v>Suburban</v>
      </c>
      <c r="G778" t="str">
        <f>_xlfn.XLOOKUP($A:$A,Instagram_Usage_Lifestyle_Mini_!$A:$A,Instagram_Usage_Lifestyle_Mini_!$C:$K)</f>
        <v>Lower_middle</v>
      </c>
      <c r="H778" t="str">
        <f>_xlfn.XLOOKUP($A:$A,Instagram_Usage_Lifestyle_Mini_!$A:$A,Instagram_Usage_Lifestyle_Mini_!$C:$K)</f>
        <v>Unemployed</v>
      </c>
      <c r="I778" t="str">
        <f>_xlfn.XLOOKUP($A:$A,Instagram_Usage_Lifestyle_Mini_!$A:$A,Instagram_Usage_Lifestyle_Mini_!$C:$K)</f>
        <v>Bachelors_degree</v>
      </c>
      <c r="J778" t="str">
        <f>_xlfn.XLOOKUP($A:$A,Instagram_Usage_Lifestyle_Mini_!$A:$A,Instagram_Usage_Lifestyle_Mini_!$C:$K)</f>
        <v>Divorced</v>
      </c>
      <c r="K778" t="str">
        <f>_xlfn.XLOOKUP($A:$A,Instagram_Usage_Lifestyle_Mini_!$A:$A,Instagram_Usage_Lifestyle_Mini_!$C:$K)</f>
        <v>Yes</v>
      </c>
      <c r="L778" t="str" cm="1">
        <f t="array" ref="L778">_xlfn.IFS(C778&lt;18,"Under_18",C778&lt;=25,"Youth",C778&lt;=35,"Young_Adults",C778&lt;=45,"Mid_Adults",TRUE,"Seniors")</f>
        <v>Young_Adults</v>
      </c>
    </row>
    <row r="779" spans="1:12" x14ac:dyDescent="0.2">
      <c r="A779">
        <v>778</v>
      </c>
      <c r="B779" t="str">
        <f>_xlfn.XLOOKUP(A779,Instagram_Usage_Lifestyle_Mini_!A779,Instagram_Usage_Lifestyle_Mini_!B779,1)</f>
        <v>Instagram</v>
      </c>
      <c r="C779">
        <f>_xlfn.XLOOKUP($A:$A,Instagram_Usage_Lifestyle_Mini_!$A:$A,Instagram_Usage_Lifestyle_Mini_!$C:$K)</f>
        <v>35</v>
      </c>
      <c r="D779" t="str">
        <f>_xlfn.XLOOKUP($A:$A,Instagram_Usage_Lifestyle_Mini_!$A:$A,Instagram_Usage_Lifestyle_Mini_!$C:$K)</f>
        <v>Male</v>
      </c>
      <c r="E779" t="str">
        <f>_xlfn.XLOOKUP($A:$A,Instagram_Usage_Lifestyle_Mini_!$A:$A,Instagram_Usage_Lifestyle_Mini_!$C:$K)</f>
        <v>Australia</v>
      </c>
      <c r="F779" t="str">
        <f>_xlfn.XLOOKUP($A:$A,Instagram_Usage_Lifestyle_Mini_!$A:$A,Instagram_Usage_Lifestyle_Mini_!$C:$K)</f>
        <v>Urban</v>
      </c>
      <c r="G779" t="str">
        <f>_xlfn.XLOOKUP($A:$A,Instagram_Usage_Lifestyle_Mini_!$A:$A,Instagram_Usage_Lifestyle_Mini_!$C:$K)</f>
        <v>Middle</v>
      </c>
      <c r="H779" t="str">
        <f>_xlfn.XLOOKUP($A:$A,Instagram_Usage_Lifestyle_Mini_!$A:$A,Instagram_Usage_Lifestyle_Mini_!$C:$K)</f>
        <v>Student</v>
      </c>
      <c r="I779" t="str">
        <f>_xlfn.XLOOKUP($A:$A,Instagram_Usage_Lifestyle_Mini_!$A:$A,Instagram_Usage_Lifestyle_Mini_!$C:$K)</f>
        <v>Bachelors_degree</v>
      </c>
      <c r="J779" t="str">
        <f>_xlfn.XLOOKUP($A:$A,Instagram_Usage_Lifestyle_Mini_!$A:$A,Instagram_Usage_Lifestyle_Mini_!$C:$K)</f>
        <v>Single</v>
      </c>
      <c r="K779" t="str">
        <f>_xlfn.XLOOKUP($A:$A,Instagram_Usage_Lifestyle_Mini_!$A:$A,Instagram_Usage_Lifestyle_Mini_!$C:$K)</f>
        <v>Yes</v>
      </c>
      <c r="L779" t="str" cm="1">
        <f t="array" ref="L779">_xlfn.IFS(C779&lt;18,"Under_18",C779&lt;=25,"Youth",C779&lt;=35,"Young_Adults",C779&lt;=45,"Mid_Adults",TRUE,"Seniors")</f>
        <v>Young_Adults</v>
      </c>
    </row>
    <row r="780" spans="1:12" x14ac:dyDescent="0.2">
      <c r="A780">
        <v>779</v>
      </c>
      <c r="B780" t="str">
        <f>_xlfn.XLOOKUP(A780,Instagram_Usage_Lifestyle_Mini_!A780,Instagram_Usage_Lifestyle_Mini_!B780,1)</f>
        <v>Instagram</v>
      </c>
      <c r="C780">
        <f>_xlfn.XLOOKUP($A:$A,Instagram_Usage_Lifestyle_Mini_!$A:$A,Instagram_Usage_Lifestyle_Mini_!$C:$K)</f>
        <v>23</v>
      </c>
      <c r="D780" t="str">
        <f>_xlfn.XLOOKUP($A:$A,Instagram_Usage_Lifestyle_Mini_!$A:$A,Instagram_Usage_Lifestyle_Mini_!$C:$K)</f>
        <v>Male</v>
      </c>
      <c r="E780" t="str">
        <f>_xlfn.XLOOKUP($A:$A,Instagram_Usage_Lifestyle_Mini_!$A:$A,Instagram_Usage_Lifestyle_Mini_!$C:$K)</f>
        <v>India</v>
      </c>
      <c r="F780" t="str">
        <f>_xlfn.XLOOKUP($A:$A,Instagram_Usage_Lifestyle_Mini_!$A:$A,Instagram_Usage_Lifestyle_Mini_!$C:$K)</f>
        <v>Urban</v>
      </c>
      <c r="G780" t="str">
        <f>_xlfn.XLOOKUP($A:$A,Instagram_Usage_Lifestyle_Mini_!$A:$A,Instagram_Usage_Lifestyle_Mini_!$C:$K)</f>
        <v>Upper_middle</v>
      </c>
      <c r="H780" t="str">
        <f>_xlfn.XLOOKUP($A:$A,Instagram_Usage_Lifestyle_Mini_!$A:$A,Instagram_Usage_Lifestyle_Mini_!$C:$K)</f>
        <v>Freelancer</v>
      </c>
      <c r="I780" t="str">
        <f>_xlfn.XLOOKUP($A:$A,Instagram_Usage_Lifestyle_Mini_!$A:$A,Instagram_Usage_Lifestyle_Mini_!$C:$K)</f>
        <v>Some_college</v>
      </c>
      <c r="J780" t="str">
        <f>_xlfn.XLOOKUP($A:$A,Instagram_Usage_Lifestyle_Mini_!$A:$A,Instagram_Usage_Lifestyle_Mini_!$C:$K)</f>
        <v>Married</v>
      </c>
      <c r="K780" t="str">
        <f>_xlfn.XLOOKUP($A:$A,Instagram_Usage_Lifestyle_Mini_!$A:$A,Instagram_Usage_Lifestyle_Mini_!$C:$K)</f>
        <v>No</v>
      </c>
      <c r="L780" t="str" cm="1">
        <f t="array" ref="L780">_xlfn.IFS(C780&lt;18,"Under_18",C780&lt;=25,"Youth",C780&lt;=35,"Young_Adults",C780&lt;=45,"Mid_Adults",TRUE,"Seniors")</f>
        <v>Youth</v>
      </c>
    </row>
    <row r="781" spans="1:12" x14ac:dyDescent="0.2">
      <c r="A781">
        <v>780</v>
      </c>
      <c r="B781" t="str">
        <f>_xlfn.XLOOKUP(A781,Instagram_Usage_Lifestyle_Mini_!A781,Instagram_Usage_Lifestyle_Mini_!B781,1)</f>
        <v>Instagram</v>
      </c>
      <c r="C781">
        <f>_xlfn.XLOOKUP($A:$A,Instagram_Usage_Lifestyle_Mini_!$A:$A,Instagram_Usage_Lifestyle_Mini_!$C:$K)</f>
        <v>24</v>
      </c>
      <c r="D781" t="str">
        <f>_xlfn.XLOOKUP($A:$A,Instagram_Usage_Lifestyle_Mini_!$A:$A,Instagram_Usage_Lifestyle_Mini_!$C:$K)</f>
        <v>Female</v>
      </c>
      <c r="E781" t="str">
        <f>_xlfn.XLOOKUP($A:$A,Instagram_Usage_Lifestyle_Mini_!$A:$A,Instagram_Usage_Lifestyle_Mini_!$C:$K)</f>
        <v>Germany</v>
      </c>
      <c r="F781" t="str">
        <f>_xlfn.XLOOKUP($A:$A,Instagram_Usage_Lifestyle_Mini_!$A:$A,Instagram_Usage_Lifestyle_Mini_!$C:$K)</f>
        <v>Suburban</v>
      </c>
      <c r="G781" t="str">
        <f>_xlfn.XLOOKUP($A:$A,Instagram_Usage_Lifestyle_Mini_!$A:$A,Instagram_Usage_Lifestyle_Mini_!$C:$K)</f>
        <v>Low</v>
      </c>
      <c r="H781" t="str">
        <f>_xlfn.XLOOKUP($A:$A,Instagram_Usage_Lifestyle_Mini_!$A:$A,Instagram_Usage_Lifestyle_Mini_!$C:$K)</f>
        <v>Student</v>
      </c>
      <c r="I781" t="str">
        <f>_xlfn.XLOOKUP($A:$A,Instagram_Usage_Lifestyle_Mini_!$A:$A,Instagram_Usage_Lifestyle_Mini_!$C:$K)</f>
        <v>High_school</v>
      </c>
      <c r="J781" t="str">
        <f>_xlfn.XLOOKUP($A:$A,Instagram_Usage_Lifestyle_Mini_!$A:$A,Instagram_Usage_Lifestyle_Mini_!$C:$K)</f>
        <v>Married</v>
      </c>
      <c r="K781" t="str">
        <f>_xlfn.XLOOKUP($A:$A,Instagram_Usage_Lifestyle_Mini_!$A:$A,Instagram_Usage_Lifestyle_Mini_!$C:$K)</f>
        <v>Yes</v>
      </c>
      <c r="L781" t="str" cm="1">
        <f t="array" ref="L781">_xlfn.IFS(C781&lt;18,"Under_18",C781&lt;=25,"Youth",C781&lt;=35,"Young_Adults",C781&lt;=45,"Mid_Adults",TRUE,"Seniors")</f>
        <v>Youth</v>
      </c>
    </row>
    <row r="782" spans="1:12" x14ac:dyDescent="0.2">
      <c r="A782">
        <v>781</v>
      </c>
      <c r="B782" t="str">
        <f>_xlfn.XLOOKUP(A782,Instagram_Usage_Lifestyle_Mini_!A782,Instagram_Usage_Lifestyle_Mini_!B782,1)</f>
        <v>Instagram</v>
      </c>
      <c r="C782">
        <f>_xlfn.XLOOKUP($A:$A,Instagram_Usage_Lifestyle_Mini_!$A:$A,Instagram_Usage_Lifestyle_Mini_!$C:$K)</f>
        <v>22</v>
      </c>
      <c r="D782" t="str">
        <f>_xlfn.XLOOKUP($A:$A,Instagram_Usage_Lifestyle_Mini_!$A:$A,Instagram_Usage_Lifestyle_Mini_!$C:$K)</f>
        <v>Female</v>
      </c>
      <c r="E782" t="str">
        <f>_xlfn.XLOOKUP($A:$A,Instagram_Usage_Lifestyle_Mini_!$A:$A,Instagram_Usage_Lifestyle_Mini_!$C:$K)</f>
        <v>India</v>
      </c>
      <c r="F782" t="str">
        <f>_xlfn.XLOOKUP($A:$A,Instagram_Usage_Lifestyle_Mini_!$A:$A,Instagram_Usage_Lifestyle_Mini_!$C:$K)</f>
        <v>Urban</v>
      </c>
      <c r="G782" t="str">
        <f>_xlfn.XLOOKUP($A:$A,Instagram_Usage_Lifestyle_Mini_!$A:$A,Instagram_Usage_Lifestyle_Mini_!$C:$K)</f>
        <v>Middle</v>
      </c>
      <c r="H782" t="str">
        <f>_xlfn.XLOOKUP($A:$A,Instagram_Usage_Lifestyle_Mini_!$A:$A,Instagram_Usage_Lifestyle_Mini_!$C:$K)</f>
        <v>Full_time_employed</v>
      </c>
      <c r="I782" t="str">
        <f>_xlfn.XLOOKUP($A:$A,Instagram_Usage_Lifestyle_Mini_!$A:$A,Instagram_Usage_Lifestyle_Mini_!$C:$K)</f>
        <v>Bachelors_degree</v>
      </c>
      <c r="J782" t="str">
        <f>_xlfn.XLOOKUP($A:$A,Instagram_Usage_Lifestyle_Mini_!$A:$A,Instagram_Usage_Lifestyle_Mini_!$C:$K)</f>
        <v>Single</v>
      </c>
      <c r="K782" t="str">
        <f>_xlfn.XLOOKUP($A:$A,Instagram_Usage_Lifestyle_Mini_!$A:$A,Instagram_Usage_Lifestyle_Mini_!$C:$K)</f>
        <v>Yes</v>
      </c>
      <c r="L782" t="str" cm="1">
        <f t="array" ref="L782">_xlfn.IFS(C782&lt;18,"Under_18",C782&lt;=25,"Youth",C782&lt;=35,"Young_Adults",C782&lt;=45,"Mid_Adults",TRUE,"Seniors")</f>
        <v>Youth</v>
      </c>
    </row>
    <row r="783" spans="1:12" x14ac:dyDescent="0.2">
      <c r="A783">
        <v>782</v>
      </c>
      <c r="B783" t="str">
        <f>_xlfn.XLOOKUP(A783,Instagram_Usage_Lifestyle_Mini_!A783,Instagram_Usage_Lifestyle_Mini_!B783,1)</f>
        <v>Instagram</v>
      </c>
      <c r="C783">
        <f>_xlfn.XLOOKUP($A:$A,Instagram_Usage_Lifestyle_Mini_!$A:$A,Instagram_Usage_Lifestyle_Mini_!$C:$K)</f>
        <v>44</v>
      </c>
      <c r="D783" t="str">
        <f>_xlfn.XLOOKUP($A:$A,Instagram_Usage_Lifestyle_Mini_!$A:$A,Instagram_Usage_Lifestyle_Mini_!$C:$K)</f>
        <v>Female</v>
      </c>
      <c r="E783" t="str">
        <f>_xlfn.XLOOKUP($A:$A,Instagram_Usage_Lifestyle_Mini_!$A:$A,Instagram_Usage_Lifestyle_Mini_!$C:$K)</f>
        <v>Germany</v>
      </c>
      <c r="F783" t="str">
        <f>_xlfn.XLOOKUP($A:$A,Instagram_Usage_Lifestyle_Mini_!$A:$A,Instagram_Usage_Lifestyle_Mini_!$C:$K)</f>
        <v>Suburban</v>
      </c>
      <c r="G783" t="str">
        <f>_xlfn.XLOOKUP($A:$A,Instagram_Usage_Lifestyle_Mini_!$A:$A,Instagram_Usage_Lifestyle_Mini_!$C:$K)</f>
        <v>Lower_middle</v>
      </c>
      <c r="H783" t="str">
        <f>_xlfn.XLOOKUP($A:$A,Instagram_Usage_Lifestyle_Mini_!$A:$A,Instagram_Usage_Lifestyle_Mini_!$C:$K)</f>
        <v>Full_time_employed</v>
      </c>
      <c r="I783" t="str">
        <f>_xlfn.XLOOKUP($A:$A,Instagram_Usage_Lifestyle_Mini_!$A:$A,Instagram_Usage_Lifestyle_Mini_!$C:$K)</f>
        <v>Bachelors_degree</v>
      </c>
      <c r="J783" t="str">
        <f>_xlfn.XLOOKUP($A:$A,Instagram_Usage_Lifestyle_Mini_!$A:$A,Instagram_Usage_Lifestyle_Mini_!$C:$K)</f>
        <v>In_a_relationship</v>
      </c>
      <c r="K783" t="str">
        <f>_xlfn.XLOOKUP($A:$A,Instagram_Usage_Lifestyle_Mini_!$A:$A,Instagram_Usage_Lifestyle_Mini_!$C:$K)</f>
        <v>Yes</v>
      </c>
      <c r="L783" t="str" cm="1">
        <f t="array" ref="L783">_xlfn.IFS(C783&lt;18,"Under_18",C783&lt;=25,"Youth",C783&lt;=35,"Young_Adults",C783&lt;=45,"Mid_Adults",TRUE,"Seniors")</f>
        <v>Mid_Adults</v>
      </c>
    </row>
    <row r="784" spans="1:12" x14ac:dyDescent="0.2">
      <c r="A784">
        <v>783</v>
      </c>
      <c r="B784" t="str">
        <f>_xlfn.XLOOKUP(A784,Instagram_Usage_Lifestyle_Mini_!A784,Instagram_Usage_Lifestyle_Mini_!B784,1)</f>
        <v>Instagram</v>
      </c>
      <c r="C784">
        <f>_xlfn.XLOOKUP($A:$A,Instagram_Usage_Lifestyle_Mini_!$A:$A,Instagram_Usage_Lifestyle_Mini_!$C:$K)</f>
        <v>28</v>
      </c>
      <c r="D784" t="str">
        <f>_xlfn.XLOOKUP($A:$A,Instagram_Usage_Lifestyle_Mini_!$A:$A,Instagram_Usage_Lifestyle_Mini_!$C:$K)</f>
        <v>Male</v>
      </c>
      <c r="E784" t="str">
        <f>_xlfn.XLOOKUP($A:$A,Instagram_Usage_Lifestyle_Mini_!$A:$A,Instagram_Usage_Lifestyle_Mini_!$C:$K)</f>
        <v>Brazil</v>
      </c>
      <c r="F784" t="str">
        <f>_xlfn.XLOOKUP($A:$A,Instagram_Usage_Lifestyle_Mini_!$A:$A,Instagram_Usage_Lifestyle_Mini_!$C:$K)</f>
        <v>Suburban</v>
      </c>
      <c r="G784" t="str">
        <f>_xlfn.XLOOKUP($A:$A,Instagram_Usage_Lifestyle_Mini_!$A:$A,Instagram_Usage_Lifestyle_Mini_!$C:$K)</f>
        <v>Middle</v>
      </c>
      <c r="H784" t="str">
        <f>_xlfn.XLOOKUP($A:$A,Instagram_Usage_Lifestyle_Mini_!$A:$A,Instagram_Usage_Lifestyle_Mini_!$C:$K)</f>
        <v>Student</v>
      </c>
      <c r="I784" t="str">
        <f>_xlfn.XLOOKUP($A:$A,Instagram_Usage_Lifestyle_Mini_!$A:$A,Instagram_Usage_Lifestyle_Mini_!$C:$K)</f>
        <v>High_school</v>
      </c>
      <c r="J784" t="str">
        <f>_xlfn.XLOOKUP($A:$A,Instagram_Usage_Lifestyle_Mini_!$A:$A,Instagram_Usage_Lifestyle_Mini_!$C:$K)</f>
        <v>Single</v>
      </c>
      <c r="K784" t="str">
        <f>_xlfn.XLOOKUP($A:$A,Instagram_Usage_Lifestyle_Mini_!$A:$A,Instagram_Usage_Lifestyle_Mini_!$C:$K)</f>
        <v>Yes</v>
      </c>
      <c r="L784" t="str" cm="1">
        <f t="array" ref="L784">_xlfn.IFS(C784&lt;18,"Under_18",C784&lt;=25,"Youth",C784&lt;=35,"Young_Adults",C784&lt;=45,"Mid_Adults",TRUE,"Seniors")</f>
        <v>Young_Adults</v>
      </c>
    </row>
    <row r="785" spans="1:12" x14ac:dyDescent="0.2">
      <c r="A785">
        <v>784</v>
      </c>
      <c r="B785" t="str">
        <f>_xlfn.XLOOKUP(A785,Instagram_Usage_Lifestyle_Mini_!A785,Instagram_Usage_Lifestyle_Mini_!B785,1)</f>
        <v>Instagram</v>
      </c>
      <c r="C785">
        <f>_xlfn.XLOOKUP($A:$A,Instagram_Usage_Lifestyle_Mini_!$A:$A,Instagram_Usage_Lifestyle_Mini_!$C:$K)</f>
        <v>20</v>
      </c>
      <c r="D785" t="str">
        <f>_xlfn.XLOOKUP($A:$A,Instagram_Usage_Lifestyle_Mini_!$A:$A,Instagram_Usage_Lifestyle_Mini_!$C:$K)</f>
        <v>Female</v>
      </c>
      <c r="E785" t="str">
        <f>_xlfn.XLOOKUP($A:$A,Instagram_Usage_Lifestyle_Mini_!$A:$A,Instagram_Usage_Lifestyle_Mini_!$C:$K)</f>
        <v>India</v>
      </c>
      <c r="F785" t="str">
        <f>_xlfn.XLOOKUP($A:$A,Instagram_Usage_Lifestyle_Mini_!$A:$A,Instagram_Usage_Lifestyle_Mini_!$C:$K)</f>
        <v>Suburban</v>
      </c>
      <c r="G785" t="str">
        <f>_xlfn.XLOOKUP($A:$A,Instagram_Usage_Lifestyle_Mini_!$A:$A,Instagram_Usage_Lifestyle_Mini_!$C:$K)</f>
        <v>Lower_middle</v>
      </c>
      <c r="H785" t="str">
        <f>_xlfn.XLOOKUP($A:$A,Instagram_Usage_Lifestyle_Mini_!$A:$A,Instagram_Usage_Lifestyle_Mini_!$C:$K)</f>
        <v>Full_time_employed</v>
      </c>
      <c r="I785" t="str">
        <f>_xlfn.XLOOKUP($A:$A,Instagram_Usage_Lifestyle_Mini_!$A:$A,Instagram_Usage_Lifestyle_Mini_!$C:$K)</f>
        <v>Bachelors_degree</v>
      </c>
      <c r="J785" t="str">
        <f>_xlfn.XLOOKUP($A:$A,Instagram_Usage_Lifestyle_Mini_!$A:$A,Instagram_Usage_Lifestyle_Mini_!$C:$K)</f>
        <v>Single</v>
      </c>
      <c r="K785" t="str">
        <f>_xlfn.XLOOKUP($A:$A,Instagram_Usage_Lifestyle_Mini_!$A:$A,Instagram_Usage_Lifestyle_Mini_!$C:$K)</f>
        <v>No</v>
      </c>
      <c r="L785" t="str" cm="1">
        <f t="array" ref="L785">_xlfn.IFS(C785&lt;18,"Under_18",C785&lt;=25,"Youth",C785&lt;=35,"Young_Adults",C785&lt;=45,"Mid_Adults",TRUE,"Seniors")</f>
        <v>Youth</v>
      </c>
    </row>
    <row r="786" spans="1:12" x14ac:dyDescent="0.2">
      <c r="A786">
        <v>785</v>
      </c>
      <c r="B786" t="str">
        <f>_xlfn.XLOOKUP(A786,Instagram_Usage_Lifestyle_Mini_!A786,Instagram_Usage_Lifestyle_Mini_!B786,1)</f>
        <v>Instagram</v>
      </c>
      <c r="C786">
        <f>_xlfn.XLOOKUP($A:$A,Instagram_Usage_Lifestyle_Mini_!$A:$A,Instagram_Usage_Lifestyle_Mini_!$C:$K)</f>
        <v>50</v>
      </c>
      <c r="D786" t="str">
        <f>_xlfn.XLOOKUP($A:$A,Instagram_Usage_Lifestyle_Mini_!$A:$A,Instagram_Usage_Lifestyle_Mini_!$C:$K)</f>
        <v>Male</v>
      </c>
      <c r="E786" t="str">
        <f>_xlfn.XLOOKUP($A:$A,Instagram_Usage_Lifestyle_Mini_!$A:$A,Instagram_Usage_Lifestyle_Mini_!$C:$K)</f>
        <v>India</v>
      </c>
      <c r="F786" t="str">
        <f>_xlfn.XLOOKUP($A:$A,Instagram_Usage_Lifestyle_Mini_!$A:$A,Instagram_Usage_Lifestyle_Mini_!$C:$K)</f>
        <v>Urban</v>
      </c>
      <c r="G786" t="str">
        <f>_xlfn.XLOOKUP($A:$A,Instagram_Usage_Lifestyle_Mini_!$A:$A,Instagram_Usage_Lifestyle_Mini_!$C:$K)</f>
        <v>Upper_middle</v>
      </c>
      <c r="H786" t="str">
        <f>_xlfn.XLOOKUP($A:$A,Instagram_Usage_Lifestyle_Mini_!$A:$A,Instagram_Usage_Lifestyle_Mini_!$C:$K)</f>
        <v>Student</v>
      </c>
      <c r="I786" t="str">
        <f>_xlfn.XLOOKUP($A:$A,Instagram_Usage_Lifestyle_Mini_!$A:$A,Instagram_Usage_Lifestyle_Mini_!$C:$K)</f>
        <v>Bachelors_degree</v>
      </c>
      <c r="J786" t="str">
        <f>_xlfn.XLOOKUP($A:$A,Instagram_Usage_Lifestyle_Mini_!$A:$A,Instagram_Usage_Lifestyle_Mini_!$C:$K)</f>
        <v>Single</v>
      </c>
      <c r="K786" t="str">
        <f>_xlfn.XLOOKUP($A:$A,Instagram_Usage_Lifestyle_Mini_!$A:$A,Instagram_Usage_Lifestyle_Mini_!$C:$K)</f>
        <v>No</v>
      </c>
      <c r="L786" t="str" cm="1">
        <f t="array" ref="L786">_xlfn.IFS(C786&lt;18,"Under_18",C786&lt;=25,"Youth",C786&lt;=35,"Young_Adults",C786&lt;=45,"Mid_Adults",TRUE,"Seniors")</f>
        <v>Seniors</v>
      </c>
    </row>
    <row r="787" spans="1:12" x14ac:dyDescent="0.2">
      <c r="A787">
        <v>786</v>
      </c>
      <c r="B787" t="str">
        <f>_xlfn.XLOOKUP(A787,Instagram_Usage_Lifestyle_Mini_!A787,Instagram_Usage_Lifestyle_Mini_!B787,1)</f>
        <v>Instagram</v>
      </c>
      <c r="C787">
        <f>_xlfn.XLOOKUP($A:$A,Instagram_Usage_Lifestyle_Mini_!$A:$A,Instagram_Usage_Lifestyle_Mini_!$C:$K)</f>
        <v>24</v>
      </c>
      <c r="D787" t="str">
        <f>_xlfn.XLOOKUP($A:$A,Instagram_Usage_Lifestyle_Mini_!$A:$A,Instagram_Usage_Lifestyle_Mini_!$C:$K)</f>
        <v>Male</v>
      </c>
      <c r="E787" t="str">
        <f>_xlfn.XLOOKUP($A:$A,Instagram_Usage_Lifestyle_Mini_!$A:$A,Instagram_Usage_Lifestyle_Mini_!$C:$K)</f>
        <v>Japan</v>
      </c>
      <c r="F787" t="str">
        <f>_xlfn.XLOOKUP($A:$A,Instagram_Usage_Lifestyle_Mini_!$A:$A,Instagram_Usage_Lifestyle_Mini_!$C:$K)</f>
        <v>Urban</v>
      </c>
      <c r="G787" t="str">
        <f>_xlfn.XLOOKUP($A:$A,Instagram_Usage_Lifestyle_Mini_!$A:$A,Instagram_Usage_Lifestyle_Mini_!$C:$K)</f>
        <v>Middle</v>
      </c>
      <c r="H787" t="str">
        <f>_xlfn.XLOOKUP($A:$A,Instagram_Usage_Lifestyle_Mini_!$A:$A,Instagram_Usage_Lifestyle_Mini_!$C:$K)</f>
        <v>Student</v>
      </c>
      <c r="I787" t="str">
        <f>_xlfn.XLOOKUP($A:$A,Instagram_Usage_Lifestyle_Mini_!$A:$A,Instagram_Usage_Lifestyle_Mini_!$C:$K)</f>
        <v>Masters_degree</v>
      </c>
      <c r="J787" t="str">
        <f>_xlfn.XLOOKUP($A:$A,Instagram_Usage_Lifestyle_Mini_!$A:$A,Instagram_Usage_Lifestyle_Mini_!$C:$K)</f>
        <v>Single</v>
      </c>
      <c r="K787" t="str">
        <f>_xlfn.XLOOKUP($A:$A,Instagram_Usage_Lifestyle_Mini_!$A:$A,Instagram_Usage_Lifestyle_Mini_!$C:$K)</f>
        <v>No</v>
      </c>
      <c r="L787" t="str" cm="1">
        <f t="array" ref="L787">_xlfn.IFS(C787&lt;18,"Under_18",C787&lt;=25,"Youth",C787&lt;=35,"Young_Adults",C787&lt;=45,"Mid_Adults",TRUE,"Seniors")</f>
        <v>Youth</v>
      </c>
    </row>
    <row r="788" spans="1:12" x14ac:dyDescent="0.2">
      <c r="A788">
        <v>787</v>
      </c>
      <c r="B788" t="str">
        <f>_xlfn.XLOOKUP(A788,Instagram_Usage_Lifestyle_Mini_!A788,Instagram_Usage_Lifestyle_Mini_!B788,1)</f>
        <v>Instagram</v>
      </c>
      <c r="C788">
        <f>_xlfn.XLOOKUP($A:$A,Instagram_Usage_Lifestyle_Mini_!$A:$A,Instagram_Usage_Lifestyle_Mini_!$C:$K)</f>
        <v>36</v>
      </c>
      <c r="D788" t="str">
        <f>_xlfn.XLOOKUP($A:$A,Instagram_Usage_Lifestyle_Mini_!$A:$A,Instagram_Usage_Lifestyle_Mini_!$C:$K)</f>
        <v>Female</v>
      </c>
      <c r="E788" t="str">
        <f>_xlfn.XLOOKUP($A:$A,Instagram_Usage_Lifestyle_Mini_!$A:$A,Instagram_Usage_Lifestyle_Mini_!$C:$K)</f>
        <v>South_Korea</v>
      </c>
      <c r="F788" t="str">
        <f>_xlfn.XLOOKUP($A:$A,Instagram_Usage_Lifestyle_Mini_!$A:$A,Instagram_Usage_Lifestyle_Mini_!$C:$K)</f>
        <v>Urban</v>
      </c>
      <c r="G788" t="str">
        <f>_xlfn.XLOOKUP($A:$A,Instagram_Usage_Lifestyle_Mini_!$A:$A,Instagram_Usage_Lifestyle_Mini_!$C:$K)</f>
        <v>Middle</v>
      </c>
      <c r="H788" t="str">
        <f>_xlfn.XLOOKUP($A:$A,Instagram_Usage_Lifestyle_Mini_!$A:$A,Instagram_Usage_Lifestyle_Mini_!$C:$K)</f>
        <v>Unemployed</v>
      </c>
      <c r="I788" t="str">
        <f>_xlfn.XLOOKUP($A:$A,Instagram_Usage_Lifestyle_Mini_!$A:$A,Instagram_Usage_Lifestyle_Mini_!$C:$K)</f>
        <v>Masters_degree</v>
      </c>
      <c r="J788" t="str">
        <f>_xlfn.XLOOKUP($A:$A,Instagram_Usage_Lifestyle_Mini_!$A:$A,Instagram_Usage_Lifestyle_Mini_!$C:$K)</f>
        <v>Married</v>
      </c>
      <c r="K788" t="str">
        <f>_xlfn.XLOOKUP($A:$A,Instagram_Usage_Lifestyle_Mini_!$A:$A,Instagram_Usage_Lifestyle_Mini_!$C:$K)</f>
        <v>No</v>
      </c>
      <c r="L788" t="str" cm="1">
        <f t="array" ref="L788">_xlfn.IFS(C788&lt;18,"Under_18",C788&lt;=25,"Youth",C788&lt;=35,"Young_Adults",C788&lt;=45,"Mid_Adults",TRUE,"Seniors")</f>
        <v>Mid_Adults</v>
      </c>
    </row>
    <row r="789" spans="1:12" x14ac:dyDescent="0.2">
      <c r="A789">
        <v>788</v>
      </c>
      <c r="B789" t="str">
        <f>_xlfn.XLOOKUP(A789,Instagram_Usage_Lifestyle_Mini_!A789,Instagram_Usage_Lifestyle_Mini_!B789,1)</f>
        <v>Instagram</v>
      </c>
      <c r="C789">
        <f>_xlfn.XLOOKUP($A:$A,Instagram_Usage_Lifestyle_Mini_!$A:$A,Instagram_Usage_Lifestyle_Mini_!$C:$K)</f>
        <v>40</v>
      </c>
      <c r="D789" t="str">
        <f>_xlfn.XLOOKUP($A:$A,Instagram_Usage_Lifestyle_Mini_!$A:$A,Instagram_Usage_Lifestyle_Mini_!$C:$K)</f>
        <v>Female</v>
      </c>
      <c r="E789" t="str">
        <f>_xlfn.XLOOKUP($A:$A,Instagram_Usage_Lifestyle_Mini_!$A:$A,Instagram_Usage_Lifestyle_Mini_!$C:$K)</f>
        <v>Brazil</v>
      </c>
      <c r="F789" t="str">
        <f>_xlfn.XLOOKUP($A:$A,Instagram_Usage_Lifestyle_Mini_!$A:$A,Instagram_Usage_Lifestyle_Mini_!$C:$K)</f>
        <v>Suburban</v>
      </c>
      <c r="G789" t="str">
        <f>_xlfn.XLOOKUP($A:$A,Instagram_Usage_Lifestyle_Mini_!$A:$A,Instagram_Usage_Lifestyle_Mini_!$C:$K)</f>
        <v>High</v>
      </c>
      <c r="H789" t="str">
        <f>_xlfn.XLOOKUP($A:$A,Instagram_Usage_Lifestyle_Mini_!$A:$A,Instagram_Usage_Lifestyle_Mini_!$C:$K)</f>
        <v>Part_time</v>
      </c>
      <c r="I789" t="str">
        <f>_xlfn.XLOOKUP($A:$A,Instagram_Usage_Lifestyle_Mini_!$A:$A,Instagram_Usage_Lifestyle_Mini_!$C:$K)</f>
        <v>Some_college</v>
      </c>
      <c r="J789" t="str">
        <f>_xlfn.XLOOKUP($A:$A,Instagram_Usage_Lifestyle_Mini_!$A:$A,Instagram_Usage_Lifestyle_Mini_!$C:$K)</f>
        <v>Married</v>
      </c>
      <c r="K789" t="str">
        <f>_xlfn.XLOOKUP($A:$A,Instagram_Usage_Lifestyle_Mini_!$A:$A,Instagram_Usage_Lifestyle_Mini_!$C:$K)</f>
        <v>No</v>
      </c>
      <c r="L789" t="str" cm="1">
        <f t="array" ref="L789">_xlfn.IFS(C789&lt;18,"Under_18",C789&lt;=25,"Youth",C789&lt;=35,"Young_Adults",C789&lt;=45,"Mid_Adults",TRUE,"Seniors")</f>
        <v>Mid_Adults</v>
      </c>
    </row>
    <row r="790" spans="1:12" x14ac:dyDescent="0.2">
      <c r="A790">
        <v>789</v>
      </c>
      <c r="B790" t="str">
        <f>_xlfn.XLOOKUP(A790,Instagram_Usage_Lifestyle_Mini_!A790,Instagram_Usage_Lifestyle_Mini_!B790,1)</f>
        <v>Instagram</v>
      </c>
      <c r="C790">
        <f>_xlfn.XLOOKUP($A:$A,Instagram_Usage_Lifestyle_Mini_!$A:$A,Instagram_Usage_Lifestyle_Mini_!$C:$K)</f>
        <v>65</v>
      </c>
      <c r="D790" t="str">
        <f>_xlfn.XLOOKUP($A:$A,Instagram_Usage_Lifestyle_Mini_!$A:$A,Instagram_Usage_Lifestyle_Mini_!$C:$K)</f>
        <v>Male</v>
      </c>
      <c r="E790" t="str">
        <f>_xlfn.XLOOKUP($A:$A,Instagram_Usage_Lifestyle_Mini_!$A:$A,Instagram_Usage_Lifestyle_Mini_!$C:$K)</f>
        <v>United_States</v>
      </c>
      <c r="F790" t="str">
        <f>_xlfn.XLOOKUP($A:$A,Instagram_Usage_Lifestyle_Mini_!$A:$A,Instagram_Usage_Lifestyle_Mini_!$C:$K)</f>
        <v>Suburban</v>
      </c>
      <c r="G790" t="str">
        <f>_xlfn.XLOOKUP($A:$A,Instagram_Usage_Lifestyle_Mini_!$A:$A,Instagram_Usage_Lifestyle_Mini_!$C:$K)</f>
        <v>Lower_middle</v>
      </c>
      <c r="H790" t="str">
        <f>_xlfn.XLOOKUP($A:$A,Instagram_Usage_Lifestyle_Mini_!$A:$A,Instagram_Usage_Lifestyle_Mini_!$C:$K)</f>
        <v>Full_time_employed</v>
      </c>
      <c r="I790" t="str">
        <f>_xlfn.XLOOKUP($A:$A,Instagram_Usage_Lifestyle_Mini_!$A:$A,Instagram_Usage_Lifestyle_Mini_!$C:$K)</f>
        <v>Bachelors_degree</v>
      </c>
      <c r="J790" t="str">
        <f>_xlfn.XLOOKUP($A:$A,Instagram_Usage_Lifestyle_Mini_!$A:$A,Instagram_Usage_Lifestyle_Mini_!$C:$K)</f>
        <v>Married</v>
      </c>
      <c r="K790" t="str">
        <f>_xlfn.XLOOKUP($A:$A,Instagram_Usage_Lifestyle_Mini_!$A:$A,Instagram_Usage_Lifestyle_Mini_!$C:$K)</f>
        <v>No</v>
      </c>
      <c r="L790" t="str" cm="1">
        <f t="array" ref="L790">_xlfn.IFS(C790&lt;18,"Under_18",C790&lt;=25,"Youth",C790&lt;=35,"Young_Adults",C790&lt;=45,"Mid_Adults",TRUE,"Seniors")</f>
        <v>Seniors</v>
      </c>
    </row>
    <row r="791" spans="1:12" x14ac:dyDescent="0.2">
      <c r="A791">
        <v>790</v>
      </c>
      <c r="B791" t="str">
        <f>_xlfn.XLOOKUP(A791,Instagram_Usage_Lifestyle_Mini_!A791,Instagram_Usage_Lifestyle_Mini_!B791,1)</f>
        <v>Instagram</v>
      </c>
      <c r="C791">
        <f>_xlfn.XLOOKUP($A:$A,Instagram_Usage_Lifestyle_Mini_!$A:$A,Instagram_Usage_Lifestyle_Mini_!$C:$K)</f>
        <v>20</v>
      </c>
      <c r="D791" t="str">
        <f>_xlfn.XLOOKUP($A:$A,Instagram_Usage_Lifestyle_Mini_!$A:$A,Instagram_Usage_Lifestyle_Mini_!$C:$K)</f>
        <v>Male</v>
      </c>
      <c r="E791" t="str">
        <f>_xlfn.XLOOKUP($A:$A,Instagram_Usage_Lifestyle_Mini_!$A:$A,Instagram_Usage_Lifestyle_Mini_!$C:$K)</f>
        <v>Brazil</v>
      </c>
      <c r="F791" t="str">
        <f>_xlfn.XLOOKUP($A:$A,Instagram_Usage_Lifestyle_Mini_!$A:$A,Instagram_Usage_Lifestyle_Mini_!$C:$K)</f>
        <v>Suburban</v>
      </c>
      <c r="G791" t="str">
        <f>_xlfn.XLOOKUP($A:$A,Instagram_Usage_Lifestyle_Mini_!$A:$A,Instagram_Usage_Lifestyle_Mini_!$C:$K)</f>
        <v>Upper_middle</v>
      </c>
      <c r="H791" t="str">
        <f>_xlfn.XLOOKUP($A:$A,Instagram_Usage_Lifestyle_Mini_!$A:$A,Instagram_Usage_Lifestyle_Mini_!$C:$K)</f>
        <v>Part_time</v>
      </c>
      <c r="I791" t="str">
        <f>_xlfn.XLOOKUP($A:$A,Instagram_Usage_Lifestyle_Mini_!$A:$A,Instagram_Usage_Lifestyle_Mini_!$C:$K)</f>
        <v>PhD</v>
      </c>
      <c r="J791" t="str">
        <f>_xlfn.XLOOKUP($A:$A,Instagram_Usage_Lifestyle_Mini_!$A:$A,Instagram_Usage_Lifestyle_Mini_!$C:$K)</f>
        <v>Single</v>
      </c>
      <c r="K791" t="str">
        <f>_xlfn.XLOOKUP($A:$A,Instagram_Usage_Lifestyle_Mini_!$A:$A,Instagram_Usage_Lifestyle_Mini_!$C:$K)</f>
        <v>No</v>
      </c>
      <c r="L791" t="str" cm="1">
        <f t="array" ref="L791">_xlfn.IFS(C791&lt;18,"Under_18",C791&lt;=25,"Youth",C791&lt;=35,"Young_Adults",C791&lt;=45,"Mid_Adults",TRUE,"Seniors")</f>
        <v>Youth</v>
      </c>
    </row>
    <row r="792" spans="1:12" x14ac:dyDescent="0.2">
      <c r="A792">
        <v>791</v>
      </c>
      <c r="B792" t="str">
        <f>_xlfn.XLOOKUP(A792,Instagram_Usage_Lifestyle_Mini_!A792,Instagram_Usage_Lifestyle_Mini_!B792,1)</f>
        <v>Instagram</v>
      </c>
      <c r="C792">
        <f>_xlfn.XLOOKUP($A:$A,Instagram_Usage_Lifestyle_Mini_!$A:$A,Instagram_Usage_Lifestyle_Mini_!$C:$K)</f>
        <v>40</v>
      </c>
      <c r="D792" t="str">
        <f>_xlfn.XLOOKUP($A:$A,Instagram_Usage_Lifestyle_Mini_!$A:$A,Instagram_Usage_Lifestyle_Mini_!$C:$K)</f>
        <v>Female</v>
      </c>
      <c r="E792" t="str">
        <f>_xlfn.XLOOKUP($A:$A,Instagram_Usage_Lifestyle_Mini_!$A:$A,Instagram_Usage_Lifestyle_Mini_!$C:$K)</f>
        <v>Other</v>
      </c>
      <c r="F792" t="str">
        <f>_xlfn.XLOOKUP($A:$A,Instagram_Usage_Lifestyle_Mini_!$A:$A,Instagram_Usage_Lifestyle_Mini_!$C:$K)</f>
        <v>Urban</v>
      </c>
      <c r="G792" t="str">
        <f>_xlfn.XLOOKUP($A:$A,Instagram_Usage_Lifestyle_Mini_!$A:$A,Instagram_Usage_Lifestyle_Mini_!$C:$K)</f>
        <v>Upper_middle</v>
      </c>
      <c r="H792" t="str">
        <f>_xlfn.XLOOKUP($A:$A,Instagram_Usage_Lifestyle_Mini_!$A:$A,Instagram_Usage_Lifestyle_Mini_!$C:$K)</f>
        <v>Student</v>
      </c>
      <c r="I792" t="str">
        <f>_xlfn.XLOOKUP($A:$A,Instagram_Usage_Lifestyle_Mini_!$A:$A,Instagram_Usage_Lifestyle_Mini_!$C:$K)</f>
        <v>Other</v>
      </c>
      <c r="J792" t="str">
        <f>_xlfn.XLOOKUP($A:$A,Instagram_Usage_Lifestyle_Mini_!$A:$A,Instagram_Usage_Lifestyle_Mini_!$C:$K)</f>
        <v>Single</v>
      </c>
      <c r="K792" t="str">
        <f>_xlfn.XLOOKUP($A:$A,Instagram_Usage_Lifestyle_Mini_!$A:$A,Instagram_Usage_Lifestyle_Mini_!$C:$K)</f>
        <v>No</v>
      </c>
      <c r="L792" t="str" cm="1">
        <f t="array" ref="L792">_xlfn.IFS(C792&lt;18,"Under_18",C792&lt;=25,"Youth",C792&lt;=35,"Young_Adults",C792&lt;=45,"Mid_Adults",TRUE,"Seniors")</f>
        <v>Mid_Adults</v>
      </c>
    </row>
    <row r="793" spans="1:12" x14ac:dyDescent="0.2">
      <c r="A793">
        <v>792</v>
      </c>
      <c r="B793" t="str">
        <f>_xlfn.XLOOKUP(A793,Instagram_Usage_Lifestyle_Mini_!A793,Instagram_Usage_Lifestyle_Mini_!B793,1)</f>
        <v>Instagram</v>
      </c>
      <c r="C793">
        <f>_xlfn.XLOOKUP($A:$A,Instagram_Usage_Lifestyle_Mini_!$A:$A,Instagram_Usage_Lifestyle_Mini_!$C:$K)</f>
        <v>48</v>
      </c>
      <c r="D793" t="str">
        <f>_xlfn.XLOOKUP($A:$A,Instagram_Usage_Lifestyle_Mini_!$A:$A,Instagram_Usage_Lifestyle_Mini_!$C:$K)</f>
        <v>Female</v>
      </c>
      <c r="E793" t="str">
        <f>_xlfn.XLOOKUP($A:$A,Instagram_Usage_Lifestyle_Mini_!$A:$A,Instagram_Usage_Lifestyle_Mini_!$C:$K)</f>
        <v>Australia</v>
      </c>
      <c r="F793" t="str">
        <f>_xlfn.XLOOKUP($A:$A,Instagram_Usage_Lifestyle_Mini_!$A:$A,Instagram_Usage_Lifestyle_Mini_!$C:$K)</f>
        <v>Suburban</v>
      </c>
      <c r="G793" t="str">
        <f>_xlfn.XLOOKUP($A:$A,Instagram_Usage_Lifestyle_Mini_!$A:$A,Instagram_Usage_Lifestyle_Mini_!$C:$K)</f>
        <v>Middle</v>
      </c>
      <c r="H793" t="str">
        <f>_xlfn.XLOOKUP($A:$A,Instagram_Usage_Lifestyle_Mini_!$A:$A,Instagram_Usage_Lifestyle_Mini_!$C:$K)</f>
        <v>Student</v>
      </c>
      <c r="I793" t="str">
        <f>_xlfn.XLOOKUP($A:$A,Instagram_Usage_Lifestyle_Mini_!$A:$A,Instagram_Usage_Lifestyle_Mini_!$C:$K)</f>
        <v>Some_college</v>
      </c>
      <c r="J793" t="str">
        <f>_xlfn.XLOOKUP($A:$A,Instagram_Usage_Lifestyle_Mini_!$A:$A,Instagram_Usage_Lifestyle_Mini_!$C:$K)</f>
        <v>In_a_relationship</v>
      </c>
      <c r="K793" t="str">
        <f>_xlfn.XLOOKUP($A:$A,Instagram_Usage_Lifestyle_Mini_!$A:$A,Instagram_Usage_Lifestyle_Mini_!$C:$K)</f>
        <v>Yes</v>
      </c>
      <c r="L793" t="str" cm="1">
        <f t="array" ref="L793">_xlfn.IFS(C793&lt;18,"Under_18",C793&lt;=25,"Youth",C793&lt;=35,"Young_Adults",C793&lt;=45,"Mid_Adults",TRUE,"Seniors")</f>
        <v>Seniors</v>
      </c>
    </row>
    <row r="794" spans="1:12" x14ac:dyDescent="0.2">
      <c r="A794">
        <v>793</v>
      </c>
      <c r="B794" t="str">
        <f>_xlfn.XLOOKUP(A794,Instagram_Usage_Lifestyle_Mini_!A794,Instagram_Usage_Lifestyle_Mini_!B794,1)</f>
        <v>Instagram</v>
      </c>
      <c r="C794">
        <f>_xlfn.XLOOKUP($A:$A,Instagram_Usage_Lifestyle_Mini_!$A:$A,Instagram_Usage_Lifestyle_Mini_!$C:$K)</f>
        <v>38</v>
      </c>
      <c r="D794" t="str">
        <f>_xlfn.XLOOKUP($A:$A,Instagram_Usage_Lifestyle_Mini_!$A:$A,Instagram_Usage_Lifestyle_Mini_!$C:$K)</f>
        <v>Female</v>
      </c>
      <c r="E794" t="str">
        <f>_xlfn.XLOOKUP($A:$A,Instagram_Usage_Lifestyle_Mini_!$A:$A,Instagram_Usage_Lifestyle_Mini_!$C:$K)</f>
        <v>United_States</v>
      </c>
      <c r="F794" t="str">
        <f>_xlfn.XLOOKUP($A:$A,Instagram_Usage_Lifestyle_Mini_!$A:$A,Instagram_Usage_Lifestyle_Mini_!$C:$K)</f>
        <v>Rural</v>
      </c>
      <c r="G794" t="str">
        <f>_xlfn.XLOOKUP($A:$A,Instagram_Usage_Lifestyle_Mini_!$A:$A,Instagram_Usage_Lifestyle_Mini_!$C:$K)</f>
        <v>Lower_middle</v>
      </c>
      <c r="H794" t="str">
        <f>_xlfn.XLOOKUP($A:$A,Instagram_Usage_Lifestyle_Mini_!$A:$A,Instagram_Usage_Lifestyle_Mini_!$C:$K)</f>
        <v>Student</v>
      </c>
      <c r="I794" t="str">
        <f>_xlfn.XLOOKUP($A:$A,Instagram_Usage_Lifestyle_Mini_!$A:$A,Instagram_Usage_Lifestyle_Mini_!$C:$K)</f>
        <v>Some_college</v>
      </c>
      <c r="J794" t="str">
        <f>_xlfn.XLOOKUP($A:$A,Instagram_Usage_Lifestyle_Mini_!$A:$A,Instagram_Usage_Lifestyle_Mini_!$C:$K)</f>
        <v>In_a_relationship</v>
      </c>
      <c r="K794" t="str">
        <f>_xlfn.XLOOKUP($A:$A,Instagram_Usage_Lifestyle_Mini_!$A:$A,Instagram_Usage_Lifestyle_Mini_!$C:$K)</f>
        <v>No</v>
      </c>
      <c r="L794" t="str" cm="1">
        <f t="array" ref="L794">_xlfn.IFS(C794&lt;18,"Under_18",C794&lt;=25,"Youth",C794&lt;=35,"Young_Adults",C794&lt;=45,"Mid_Adults",TRUE,"Seniors")</f>
        <v>Mid_Adults</v>
      </c>
    </row>
    <row r="795" spans="1:12" x14ac:dyDescent="0.2">
      <c r="A795">
        <v>794</v>
      </c>
      <c r="B795" t="str">
        <f>_xlfn.XLOOKUP(A795,Instagram_Usage_Lifestyle_Mini_!A795,Instagram_Usage_Lifestyle_Mini_!B795,1)</f>
        <v>Instagram</v>
      </c>
      <c r="C795">
        <f>_xlfn.XLOOKUP($A:$A,Instagram_Usage_Lifestyle_Mini_!$A:$A,Instagram_Usage_Lifestyle_Mini_!$C:$K)</f>
        <v>20</v>
      </c>
      <c r="D795" t="str">
        <f>_xlfn.XLOOKUP($A:$A,Instagram_Usage_Lifestyle_Mini_!$A:$A,Instagram_Usage_Lifestyle_Mini_!$C:$K)</f>
        <v>Female</v>
      </c>
      <c r="E795" t="str">
        <f>_xlfn.XLOOKUP($A:$A,Instagram_Usage_Lifestyle_Mini_!$A:$A,Instagram_Usage_Lifestyle_Mini_!$C:$K)</f>
        <v>Brazil</v>
      </c>
      <c r="F795" t="str">
        <f>_xlfn.XLOOKUP($A:$A,Instagram_Usage_Lifestyle_Mini_!$A:$A,Instagram_Usage_Lifestyle_Mini_!$C:$K)</f>
        <v>Rural</v>
      </c>
      <c r="G795" t="str">
        <f>_xlfn.XLOOKUP($A:$A,Instagram_Usage_Lifestyle_Mini_!$A:$A,Instagram_Usage_Lifestyle_Mini_!$C:$K)</f>
        <v>Upper_middle</v>
      </c>
      <c r="H795" t="str">
        <f>_xlfn.XLOOKUP($A:$A,Instagram_Usage_Lifestyle_Mini_!$A:$A,Instagram_Usage_Lifestyle_Mini_!$C:$K)</f>
        <v>Full_time_employed</v>
      </c>
      <c r="I795" t="str">
        <f>_xlfn.XLOOKUP($A:$A,Instagram_Usage_Lifestyle_Mini_!$A:$A,Instagram_Usage_Lifestyle_Mini_!$C:$K)</f>
        <v>Bachelors_degree</v>
      </c>
      <c r="J795" t="str">
        <f>_xlfn.XLOOKUP($A:$A,Instagram_Usage_Lifestyle_Mini_!$A:$A,Instagram_Usage_Lifestyle_Mini_!$C:$K)</f>
        <v>Single</v>
      </c>
      <c r="K795" t="str">
        <f>_xlfn.XLOOKUP($A:$A,Instagram_Usage_Lifestyle_Mini_!$A:$A,Instagram_Usage_Lifestyle_Mini_!$C:$K)</f>
        <v>No</v>
      </c>
      <c r="L795" t="str" cm="1">
        <f t="array" ref="L795">_xlfn.IFS(C795&lt;18,"Under_18",C795&lt;=25,"Youth",C795&lt;=35,"Young_Adults",C795&lt;=45,"Mid_Adults",TRUE,"Seniors")</f>
        <v>Youth</v>
      </c>
    </row>
    <row r="796" spans="1:12" x14ac:dyDescent="0.2">
      <c r="A796">
        <v>795</v>
      </c>
      <c r="B796" t="str">
        <f>_xlfn.XLOOKUP(A796,Instagram_Usage_Lifestyle_Mini_!A796,Instagram_Usage_Lifestyle_Mini_!B796,1)</f>
        <v>Instagram</v>
      </c>
      <c r="C796">
        <f>_xlfn.XLOOKUP($A:$A,Instagram_Usage_Lifestyle_Mini_!$A:$A,Instagram_Usage_Lifestyle_Mini_!$C:$K)</f>
        <v>62</v>
      </c>
      <c r="D796" t="str">
        <f>_xlfn.XLOOKUP($A:$A,Instagram_Usage_Lifestyle_Mini_!$A:$A,Instagram_Usage_Lifestyle_Mini_!$C:$K)</f>
        <v>Male</v>
      </c>
      <c r="E796" t="str">
        <f>_xlfn.XLOOKUP($A:$A,Instagram_Usage_Lifestyle_Mini_!$A:$A,Instagram_Usage_Lifestyle_Mini_!$C:$K)</f>
        <v>South_Korea</v>
      </c>
      <c r="F796" t="str">
        <f>_xlfn.XLOOKUP($A:$A,Instagram_Usage_Lifestyle_Mini_!$A:$A,Instagram_Usage_Lifestyle_Mini_!$C:$K)</f>
        <v>Urban</v>
      </c>
      <c r="G796" t="str">
        <f>_xlfn.XLOOKUP($A:$A,Instagram_Usage_Lifestyle_Mini_!$A:$A,Instagram_Usage_Lifestyle_Mini_!$C:$K)</f>
        <v>Low</v>
      </c>
      <c r="H796" t="str">
        <f>_xlfn.XLOOKUP($A:$A,Instagram_Usage_Lifestyle_Mini_!$A:$A,Instagram_Usage_Lifestyle_Mini_!$C:$K)</f>
        <v>Student</v>
      </c>
      <c r="I796" t="str">
        <f>_xlfn.XLOOKUP($A:$A,Instagram_Usage_Lifestyle_Mini_!$A:$A,Instagram_Usage_Lifestyle_Mini_!$C:$K)</f>
        <v>Some_college</v>
      </c>
      <c r="J796" t="str">
        <f>_xlfn.XLOOKUP($A:$A,Instagram_Usage_Lifestyle_Mini_!$A:$A,Instagram_Usage_Lifestyle_Mini_!$C:$K)</f>
        <v>Divorced</v>
      </c>
      <c r="K796" t="str">
        <f>_xlfn.XLOOKUP($A:$A,Instagram_Usage_Lifestyle_Mini_!$A:$A,Instagram_Usage_Lifestyle_Mini_!$C:$K)</f>
        <v>No</v>
      </c>
      <c r="L796" t="str" cm="1">
        <f t="array" ref="L796">_xlfn.IFS(C796&lt;18,"Under_18",C796&lt;=25,"Youth",C796&lt;=35,"Young_Adults",C796&lt;=45,"Mid_Adults",TRUE,"Seniors")</f>
        <v>Seniors</v>
      </c>
    </row>
    <row r="797" spans="1:12" x14ac:dyDescent="0.2">
      <c r="A797">
        <v>796</v>
      </c>
      <c r="B797" t="str">
        <f>_xlfn.XLOOKUP(A797,Instagram_Usage_Lifestyle_Mini_!A797,Instagram_Usage_Lifestyle_Mini_!B797,1)</f>
        <v>Instagram</v>
      </c>
      <c r="C797">
        <f>_xlfn.XLOOKUP($A:$A,Instagram_Usage_Lifestyle_Mini_!$A:$A,Instagram_Usage_Lifestyle_Mini_!$C:$K)</f>
        <v>40</v>
      </c>
      <c r="D797" t="str">
        <f>_xlfn.XLOOKUP($A:$A,Instagram_Usage_Lifestyle_Mini_!$A:$A,Instagram_Usage_Lifestyle_Mini_!$C:$K)</f>
        <v>Female</v>
      </c>
      <c r="E797" t="str">
        <f>_xlfn.XLOOKUP($A:$A,Instagram_Usage_Lifestyle_Mini_!$A:$A,Instagram_Usage_Lifestyle_Mini_!$C:$K)</f>
        <v>Canada</v>
      </c>
      <c r="F797" t="str">
        <f>_xlfn.XLOOKUP($A:$A,Instagram_Usage_Lifestyle_Mini_!$A:$A,Instagram_Usage_Lifestyle_Mini_!$C:$K)</f>
        <v>Rural</v>
      </c>
      <c r="G797" t="str">
        <f>_xlfn.XLOOKUP($A:$A,Instagram_Usage_Lifestyle_Mini_!$A:$A,Instagram_Usage_Lifestyle_Mini_!$C:$K)</f>
        <v>Lower_middle</v>
      </c>
      <c r="H797" t="str">
        <f>_xlfn.XLOOKUP($A:$A,Instagram_Usage_Lifestyle_Mini_!$A:$A,Instagram_Usage_Lifestyle_Mini_!$C:$K)</f>
        <v>Full_time_employed</v>
      </c>
      <c r="I797" t="str">
        <f>_xlfn.XLOOKUP($A:$A,Instagram_Usage_Lifestyle_Mini_!$A:$A,Instagram_Usage_Lifestyle_Mini_!$C:$K)</f>
        <v>Bachelors_degree</v>
      </c>
      <c r="J797" t="str">
        <f>_xlfn.XLOOKUP($A:$A,Instagram_Usage_Lifestyle_Mini_!$A:$A,Instagram_Usage_Lifestyle_Mini_!$C:$K)</f>
        <v>In_a_relationship</v>
      </c>
      <c r="K797" t="str">
        <f>_xlfn.XLOOKUP($A:$A,Instagram_Usage_Lifestyle_Mini_!$A:$A,Instagram_Usage_Lifestyle_Mini_!$C:$K)</f>
        <v>No</v>
      </c>
      <c r="L797" t="str" cm="1">
        <f t="array" ref="L797">_xlfn.IFS(C797&lt;18,"Under_18",C797&lt;=25,"Youth",C797&lt;=35,"Young_Adults",C797&lt;=45,"Mid_Adults",TRUE,"Seniors")</f>
        <v>Mid_Adults</v>
      </c>
    </row>
    <row r="798" spans="1:12" x14ac:dyDescent="0.2">
      <c r="A798">
        <v>797</v>
      </c>
      <c r="B798" t="str">
        <f>_xlfn.XLOOKUP(A798,Instagram_Usage_Lifestyle_Mini_!A798,Instagram_Usage_Lifestyle_Mini_!B798,1)</f>
        <v>Instagram</v>
      </c>
      <c r="C798">
        <f>_xlfn.XLOOKUP($A:$A,Instagram_Usage_Lifestyle_Mini_!$A:$A,Instagram_Usage_Lifestyle_Mini_!$C:$K)</f>
        <v>40</v>
      </c>
      <c r="D798" t="str">
        <f>_xlfn.XLOOKUP($A:$A,Instagram_Usage_Lifestyle_Mini_!$A:$A,Instagram_Usage_Lifestyle_Mini_!$C:$K)</f>
        <v>Female</v>
      </c>
      <c r="E798" t="str">
        <f>_xlfn.XLOOKUP($A:$A,Instagram_Usage_Lifestyle_Mini_!$A:$A,Instagram_Usage_Lifestyle_Mini_!$C:$K)</f>
        <v>United_States</v>
      </c>
      <c r="F798" t="str">
        <f>_xlfn.XLOOKUP($A:$A,Instagram_Usage_Lifestyle_Mini_!$A:$A,Instagram_Usage_Lifestyle_Mini_!$C:$K)</f>
        <v>Urban</v>
      </c>
      <c r="G798" t="str">
        <f>_xlfn.XLOOKUP($A:$A,Instagram_Usage_Lifestyle_Mini_!$A:$A,Instagram_Usage_Lifestyle_Mini_!$C:$K)</f>
        <v>Lower_middle</v>
      </c>
      <c r="H798" t="str">
        <f>_xlfn.XLOOKUP($A:$A,Instagram_Usage_Lifestyle_Mini_!$A:$A,Instagram_Usage_Lifestyle_Mini_!$C:$K)</f>
        <v>Full_time_employed</v>
      </c>
      <c r="I798" t="str">
        <f>_xlfn.XLOOKUP($A:$A,Instagram_Usage_Lifestyle_Mini_!$A:$A,Instagram_Usage_Lifestyle_Mini_!$C:$K)</f>
        <v>Bachelors_degree</v>
      </c>
      <c r="J798" t="str">
        <f>_xlfn.XLOOKUP($A:$A,Instagram_Usage_Lifestyle_Mini_!$A:$A,Instagram_Usage_Lifestyle_Mini_!$C:$K)</f>
        <v>Single</v>
      </c>
      <c r="K798" t="str">
        <f>_xlfn.XLOOKUP($A:$A,Instagram_Usage_Lifestyle_Mini_!$A:$A,Instagram_Usage_Lifestyle_Mini_!$C:$K)</f>
        <v>No</v>
      </c>
      <c r="L798" t="str" cm="1">
        <f t="array" ref="L798">_xlfn.IFS(C798&lt;18,"Under_18",C798&lt;=25,"Youth",C798&lt;=35,"Young_Adults",C798&lt;=45,"Mid_Adults",TRUE,"Seniors")</f>
        <v>Mid_Adults</v>
      </c>
    </row>
    <row r="799" spans="1:12" x14ac:dyDescent="0.2">
      <c r="A799">
        <v>798</v>
      </c>
      <c r="B799" t="str">
        <f>_xlfn.XLOOKUP(A799,Instagram_Usage_Lifestyle_Mini_!A799,Instagram_Usage_Lifestyle_Mini_!B799,1)</f>
        <v>Instagram</v>
      </c>
      <c r="C799">
        <f>_xlfn.XLOOKUP($A:$A,Instagram_Usage_Lifestyle_Mini_!$A:$A,Instagram_Usage_Lifestyle_Mini_!$C:$K)</f>
        <v>49</v>
      </c>
      <c r="D799" t="str">
        <f>_xlfn.XLOOKUP($A:$A,Instagram_Usage_Lifestyle_Mini_!$A:$A,Instagram_Usage_Lifestyle_Mini_!$C:$K)</f>
        <v>Male</v>
      </c>
      <c r="E799" t="str">
        <f>_xlfn.XLOOKUP($A:$A,Instagram_Usage_Lifestyle_Mini_!$A:$A,Instagram_Usage_Lifestyle_Mini_!$C:$K)</f>
        <v>Japan</v>
      </c>
      <c r="F799" t="str">
        <f>_xlfn.XLOOKUP($A:$A,Instagram_Usage_Lifestyle_Mini_!$A:$A,Instagram_Usage_Lifestyle_Mini_!$C:$K)</f>
        <v>Urban</v>
      </c>
      <c r="G799" t="str">
        <f>_xlfn.XLOOKUP($A:$A,Instagram_Usage_Lifestyle_Mini_!$A:$A,Instagram_Usage_Lifestyle_Mini_!$C:$K)</f>
        <v>Middle</v>
      </c>
      <c r="H799" t="str">
        <f>_xlfn.XLOOKUP($A:$A,Instagram_Usage_Lifestyle_Mini_!$A:$A,Instagram_Usage_Lifestyle_Mini_!$C:$K)</f>
        <v>Full_time_employed</v>
      </c>
      <c r="I799" t="str">
        <f>_xlfn.XLOOKUP($A:$A,Instagram_Usage_Lifestyle_Mini_!$A:$A,Instagram_Usage_Lifestyle_Mini_!$C:$K)</f>
        <v>Other</v>
      </c>
      <c r="J799" t="str">
        <f>_xlfn.XLOOKUP($A:$A,Instagram_Usage_Lifestyle_Mini_!$A:$A,Instagram_Usage_Lifestyle_Mini_!$C:$K)</f>
        <v>Widowed</v>
      </c>
      <c r="K799" t="str">
        <f>_xlfn.XLOOKUP($A:$A,Instagram_Usage_Lifestyle_Mini_!$A:$A,Instagram_Usage_Lifestyle_Mini_!$C:$K)</f>
        <v>Yes</v>
      </c>
      <c r="L799" t="str" cm="1">
        <f t="array" ref="L799">_xlfn.IFS(C799&lt;18,"Under_18",C799&lt;=25,"Youth",C799&lt;=35,"Young_Adults",C799&lt;=45,"Mid_Adults",TRUE,"Seniors")</f>
        <v>Seniors</v>
      </c>
    </row>
    <row r="800" spans="1:12" x14ac:dyDescent="0.2">
      <c r="A800">
        <v>799</v>
      </c>
      <c r="B800" t="str">
        <f>_xlfn.XLOOKUP(A800,Instagram_Usage_Lifestyle_Mini_!A800,Instagram_Usage_Lifestyle_Mini_!B800,1)</f>
        <v>Instagram</v>
      </c>
      <c r="C800">
        <f>_xlfn.XLOOKUP($A:$A,Instagram_Usage_Lifestyle_Mini_!$A:$A,Instagram_Usage_Lifestyle_Mini_!$C:$K)</f>
        <v>53</v>
      </c>
      <c r="D800" t="str">
        <f>_xlfn.XLOOKUP($A:$A,Instagram_Usage_Lifestyle_Mini_!$A:$A,Instagram_Usage_Lifestyle_Mini_!$C:$K)</f>
        <v>Female</v>
      </c>
      <c r="E800" t="str">
        <f>_xlfn.XLOOKUP($A:$A,Instagram_Usage_Lifestyle_Mini_!$A:$A,Instagram_Usage_Lifestyle_Mini_!$C:$K)</f>
        <v>India</v>
      </c>
      <c r="F800" t="str">
        <f>_xlfn.XLOOKUP($A:$A,Instagram_Usage_Lifestyle_Mini_!$A:$A,Instagram_Usage_Lifestyle_Mini_!$C:$K)</f>
        <v>Urban</v>
      </c>
      <c r="G800" t="str">
        <f>_xlfn.XLOOKUP($A:$A,Instagram_Usage_Lifestyle_Mini_!$A:$A,Instagram_Usage_Lifestyle_Mini_!$C:$K)</f>
        <v>Upper_middle</v>
      </c>
      <c r="H800" t="str">
        <f>_xlfn.XLOOKUP($A:$A,Instagram_Usage_Lifestyle_Mini_!$A:$A,Instagram_Usage_Lifestyle_Mini_!$C:$K)</f>
        <v>Full_time_employed</v>
      </c>
      <c r="I800" t="str">
        <f>_xlfn.XLOOKUP($A:$A,Instagram_Usage_Lifestyle_Mini_!$A:$A,Instagram_Usage_Lifestyle_Mini_!$C:$K)</f>
        <v>High_school</v>
      </c>
      <c r="J800" t="str">
        <f>_xlfn.XLOOKUP($A:$A,Instagram_Usage_Lifestyle_Mini_!$A:$A,Instagram_Usage_Lifestyle_Mini_!$C:$K)</f>
        <v>Single</v>
      </c>
      <c r="K800" t="str">
        <f>_xlfn.XLOOKUP($A:$A,Instagram_Usage_Lifestyle_Mini_!$A:$A,Instagram_Usage_Lifestyle_Mini_!$C:$K)</f>
        <v>Yes</v>
      </c>
      <c r="L800" t="str" cm="1">
        <f t="array" ref="L800">_xlfn.IFS(C800&lt;18,"Under_18",C800&lt;=25,"Youth",C800&lt;=35,"Young_Adults",C800&lt;=45,"Mid_Adults",TRUE,"Seniors")</f>
        <v>Seniors</v>
      </c>
    </row>
    <row r="801" spans="1:12" x14ac:dyDescent="0.2">
      <c r="A801">
        <v>800</v>
      </c>
      <c r="B801" t="str">
        <f>_xlfn.XLOOKUP(A801,Instagram_Usage_Lifestyle_Mini_!A801,Instagram_Usage_Lifestyle_Mini_!B801,1)</f>
        <v>Instagram</v>
      </c>
      <c r="C801">
        <f>_xlfn.XLOOKUP($A:$A,Instagram_Usage_Lifestyle_Mini_!$A:$A,Instagram_Usage_Lifestyle_Mini_!$C:$K)</f>
        <v>48</v>
      </c>
      <c r="D801" t="str">
        <f>_xlfn.XLOOKUP($A:$A,Instagram_Usage_Lifestyle_Mini_!$A:$A,Instagram_Usage_Lifestyle_Mini_!$C:$K)</f>
        <v>Female</v>
      </c>
      <c r="E801" t="str">
        <f>_xlfn.XLOOKUP($A:$A,Instagram_Usage_Lifestyle_Mini_!$A:$A,Instagram_Usage_Lifestyle_Mini_!$C:$K)</f>
        <v>Australia</v>
      </c>
      <c r="F801" t="str">
        <f>_xlfn.XLOOKUP($A:$A,Instagram_Usage_Lifestyle_Mini_!$A:$A,Instagram_Usage_Lifestyle_Mini_!$C:$K)</f>
        <v>Suburban</v>
      </c>
      <c r="G801" t="str">
        <f>_xlfn.XLOOKUP($A:$A,Instagram_Usage_Lifestyle_Mini_!$A:$A,Instagram_Usage_Lifestyle_Mini_!$C:$K)</f>
        <v>Low</v>
      </c>
      <c r="H801" t="str">
        <f>_xlfn.XLOOKUP($A:$A,Instagram_Usage_Lifestyle_Mini_!$A:$A,Instagram_Usage_Lifestyle_Mini_!$C:$K)</f>
        <v>Part_time</v>
      </c>
      <c r="I801" t="str">
        <f>_xlfn.XLOOKUP($A:$A,Instagram_Usage_Lifestyle_Mini_!$A:$A,Instagram_Usage_Lifestyle_Mini_!$C:$K)</f>
        <v>Some_college</v>
      </c>
      <c r="J801" t="str">
        <f>_xlfn.XLOOKUP($A:$A,Instagram_Usage_Lifestyle_Mini_!$A:$A,Instagram_Usage_Lifestyle_Mini_!$C:$K)</f>
        <v>In_a_relationship</v>
      </c>
      <c r="K801" t="str">
        <f>_xlfn.XLOOKUP($A:$A,Instagram_Usage_Lifestyle_Mini_!$A:$A,Instagram_Usage_Lifestyle_Mini_!$C:$K)</f>
        <v>No</v>
      </c>
      <c r="L801" t="str" cm="1">
        <f t="array" ref="L801">_xlfn.IFS(C801&lt;18,"Under_18",C801&lt;=25,"Youth",C801&lt;=35,"Young_Adults",C801&lt;=45,"Mid_Adults",TRUE,"Seniors")</f>
        <v>Seniors</v>
      </c>
    </row>
    <row r="802" spans="1:12" x14ac:dyDescent="0.2">
      <c r="A802">
        <v>801</v>
      </c>
      <c r="B802" t="str">
        <f>_xlfn.XLOOKUP(A802,Instagram_Usage_Lifestyle_Mini_!A802,Instagram_Usage_Lifestyle_Mini_!B802,1)</f>
        <v>Instagram</v>
      </c>
      <c r="C802">
        <f>_xlfn.XLOOKUP($A:$A,Instagram_Usage_Lifestyle_Mini_!$A:$A,Instagram_Usage_Lifestyle_Mini_!$C:$K)</f>
        <v>39</v>
      </c>
      <c r="D802" t="str">
        <f>_xlfn.XLOOKUP($A:$A,Instagram_Usage_Lifestyle_Mini_!$A:$A,Instagram_Usage_Lifestyle_Mini_!$C:$K)</f>
        <v>Male</v>
      </c>
      <c r="E802" t="str">
        <f>_xlfn.XLOOKUP($A:$A,Instagram_Usage_Lifestyle_Mini_!$A:$A,Instagram_Usage_Lifestyle_Mini_!$C:$K)</f>
        <v>United _Kingdom</v>
      </c>
      <c r="F802" t="str">
        <f>_xlfn.XLOOKUP($A:$A,Instagram_Usage_Lifestyle_Mini_!$A:$A,Instagram_Usage_Lifestyle_Mini_!$C:$K)</f>
        <v>Urban</v>
      </c>
      <c r="G802" t="str">
        <f>_xlfn.XLOOKUP($A:$A,Instagram_Usage_Lifestyle_Mini_!$A:$A,Instagram_Usage_Lifestyle_Mini_!$C:$K)</f>
        <v>Middle</v>
      </c>
      <c r="H802" t="str">
        <f>_xlfn.XLOOKUP($A:$A,Instagram_Usage_Lifestyle_Mini_!$A:$A,Instagram_Usage_Lifestyle_Mini_!$C:$K)</f>
        <v>Full_time_employed</v>
      </c>
      <c r="I802" t="str">
        <f>_xlfn.XLOOKUP($A:$A,Instagram_Usage_Lifestyle_Mini_!$A:$A,Instagram_Usage_Lifestyle_Mini_!$C:$K)</f>
        <v>Some_college</v>
      </c>
      <c r="J802" t="str">
        <f>_xlfn.XLOOKUP($A:$A,Instagram_Usage_Lifestyle_Mini_!$A:$A,Instagram_Usage_Lifestyle_Mini_!$C:$K)</f>
        <v>Single</v>
      </c>
      <c r="K802" t="str">
        <f>_xlfn.XLOOKUP($A:$A,Instagram_Usage_Lifestyle_Mini_!$A:$A,Instagram_Usage_Lifestyle_Mini_!$C:$K)</f>
        <v>Yes</v>
      </c>
      <c r="L802" t="str" cm="1">
        <f t="array" ref="L802">_xlfn.IFS(C802&lt;18,"Under_18",C802&lt;=25,"Youth",C802&lt;=35,"Young_Adults",C802&lt;=45,"Mid_Adults",TRUE,"Seniors")</f>
        <v>Mid_Adults</v>
      </c>
    </row>
    <row r="803" spans="1:12" x14ac:dyDescent="0.2">
      <c r="A803">
        <v>802</v>
      </c>
      <c r="B803" t="str">
        <f>_xlfn.XLOOKUP(A803,Instagram_Usage_Lifestyle_Mini_!A803,Instagram_Usage_Lifestyle_Mini_!B803,1)</f>
        <v>Instagram</v>
      </c>
      <c r="C803">
        <f>_xlfn.XLOOKUP($A:$A,Instagram_Usage_Lifestyle_Mini_!$A:$A,Instagram_Usage_Lifestyle_Mini_!$C:$K)</f>
        <v>29</v>
      </c>
      <c r="D803" t="str">
        <f>_xlfn.XLOOKUP($A:$A,Instagram_Usage_Lifestyle_Mini_!$A:$A,Instagram_Usage_Lifestyle_Mini_!$C:$K)</f>
        <v>Female</v>
      </c>
      <c r="E803" t="str">
        <f>_xlfn.XLOOKUP($A:$A,Instagram_Usage_Lifestyle_Mini_!$A:$A,Instagram_Usage_Lifestyle_Mini_!$C:$K)</f>
        <v>United_States</v>
      </c>
      <c r="F803" t="str">
        <f>_xlfn.XLOOKUP($A:$A,Instagram_Usage_Lifestyle_Mini_!$A:$A,Instagram_Usage_Lifestyle_Mini_!$C:$K)</f>
        <v>Urban</v>
      </c>
      <c r="G803" t="str">
        <f>_xlfn.XLOOKUP($A:$A,Instagram_Usage_Lifestyle_Mini_!$A:$A,Instagram_Usage_Lifestyle_Mini_!$C:$K)</f>
        <v>Upper_middle</v>
      </c>
      <c r="H803" t="str">
        <f>_xlfn.XLOOKUP($A:$A,Instagram_Usage_Lifestyle_Mini_!$A:$A,Instagram_Usage_Lifestyle_Mini_!$C:$K)</f>
        <v>Full_time_employed</v>
      </c>
      <c r="I803" t="str">
        <f>_xlfn.XLOOKUP($A:$A,Instagram_Usage_Lifestyle_Mini_!$A:$A,Instagram_Usage_Lifestyle_Mini_!$C:$K)</f>
        <v>High_school</v>
      </c>
      <c r="J803" t="str">
        <f>_xlfn.XLOOKUP($A:$A,Instagram_Usage_Lifestyle_Mini_!$A:$A,Instagram_Usage_Lifestyle_Mini_!$C:$K)</f>
        <v>In_a_relationship</v>
      </c>
      <c r="K803" t="str">
        <f>_xlfn.XLOOKUP($A:$A,Instagram_Usage_Lifestyle_Mini_!$A:$A,Instagram_Usage_Lifestyle_Mini_!$C:$K)</f>
        <v>No</v>
      </c>
      <c r="L803" t="str" cm="1">
        <f t="array" ref="L803">_xlfn.IFS(C803&lt;18,"Under_18",C803&lt;=25,"Youth",C803&lt;=35,"Young_Adults",C803&lt;=45,"Mid_Adults",TRUE,"Seniors")</f>
        <v>Young_Adults</v>
      </c>
    </row>
    <row r="804" spans="1:12" x14ac:dyDescent="0.2">
      <c r="A804">
        <v>803</v>
      </c>
      <c r="B804" t="str">
        <f>_xlfn.XLOOKUP(A804,Instagram_Usage_Lifestyle_Mini_!A804,Instagram_Usage_Lifestyle_Mini_!B804,1)</f>
        <v>Instagram</v>
      </c>
      <c r="C804">
        <f>_xlfn.XLOOKUP($A:$A,Instagram_Usage_Lifestyle_Mini_!$A:$A,Instagram_Usage_Lifestyle_Mini_!$C:$K)</f>
        <v>21</v>
      </c>
      <c r="D804" t="str">
        <f>_xlfn.XLOOKUP($A:$A,Instagram_Usage_Lifestyle_Mini_!$A:$A,Instagram_Usage_Lifestyle_Mini_!$C:$K)</f>
        <v>Female</v>
      </c>
      <c r="E804" t="str">
        <f>_xlfn.XLOOKUP($A:$A,Instagram_Usage_Lifestyle_Mini_!$A:$A,Instagram_Usage_Lifestyle_Mini_!$C:$K)</f>
        <v>Germany</v>
      </c>
      <c r="F804" t="str">
        <f>_xlfn.XLOOKUP($A:$A,Instagram_Usage_Lifestyle_Mini_!$A:$A,Instagram_Usage_Lifestyle_Mini_!$C:$K)</f>
        <v>Urban</v>
      </c>
      <c r="G804" t="str">
        <f>_xlfn.XLOOKUP($A:$A,Instagram_Usage_Lifestyle_Mini_!$A:$A,Instagram_Usage_Lifestyle_Mini_!$C:$K)</f>
        <v>Upper_middle</v>
      </c>
      <c r="H804" t="str">
        <f>_xlfn.XLOOKUP($A:$A,Instagram_Usage_Lifestyle_Mini_!$A:$A,Instagram_Usage_Lifestyle_Mini_!$C:$K)</f>
        <v>Full_time_employed</v>
      </c>
      <c r="I804" t="str">
        <f>_xlfn.XLOOKUP($A:$A,Instagram_Usage_Lifestyle_Mini_!$A:$A,Instagram_Usage_Lifestyle_Mini_!$C:$K)</f>
        <v>Bachelors_degree</v>
      </c>
      <c r="J804" t="str">
        <f>_xlfn.XLOOKUP($A:$A,Instagram_Usage_Lifestyle_Mini_!$A:$A,Instagram_Usage_Lifestyle_Mini_!$C:$K)</f>
        <v>Single</v>
      </c>
      <c r="K804" t="str">
        <f>_xlfn.XLOOKUP($A:$A,Instagram_Usage_Lifestyle_Mini_!$A:$A,Instagram_Usage_Lifestyle_Mini_!$C:$K)</f>
        <v>No</v>
      </c>
      <c r="L804" t="str" cm="1">
        <f t="array" ref="L804">_xlfn.IFS(C804&lt;18,"Under_18",C804&lt;=25,"Youth",C804&lt;=35,"Young_Adults",C804&lt;=45,"Mid_Adults",TRUE,"Seniors")</f>
        <v>Youth</v>
      </c>
    </row>
    <row r="805" spans="1:12" x14ac:dyDescent="0.2">
      <c r="A805">
        <v>804</v>
      </c>
      <c r="B805" t="str">
        <f>_xlfn.XLOOKUP(A805,Instagram_Usage_Lifestyle_Mini_!A805,Instagram_Usage_Lifestyle_Mini_!B805,1)</f>
        <v>Instagram</v>
      </c>
      <c r="C805">
        <f>_xlfn.XLOOKUP($A:$A,Instagram_Usage_Lifestyle_Mini_!$A:$A,Instagram_Usage_Lifestyle_Mini_!$C:$K)</f>
        <v>45</v>
      </c>
      <c r="D805" t="str">
        <f>_xlfn.XLOOKUP($A:$A,Instagram_Usage_Lifestyle_Mini_!$A:$A,Instagram_Usage_Lifestyle_Mini_!$C:$K)</f>
        <v>Male</v>
      </c>
      <c r="E805" t="str">
        <f>_xlfn.XLOOKUP($A:$A,Instagram_Usage_Lifestyle_Mini_!$A:$A,Instagram_Usage_Lifestyle_Mini_!$C:$K)</f>
        <v>United_States</v>
      </c>
      <c r="F805" t="str">
        <f>_xlfn.XLOOKUP($A:$A,Instagram_Usage_Lifestyle_Mini_!$A:$A,Instagram_Usage_Lifestyle_Mini_!$C:$K)</f>
        <v>Suburban</v>
      </c>
      <c r="G805" t="str">
        <f>_xlfn.XLOOKUP($A:$A,Instagram_Usage_Lifestyle_Mini_!$A:$A,Instagram_Usage_Lifestyle_Mini_!$C:$K)</f>
        <v>High</v>
      </c>
      <c r="H805" t="str">
        <f>_xlfn.XLOOKUP($A:$A,Instagram_Usage_Lifestyle_Mini_!$A:$A,Instagram_Usage_Lifestyle_Mini_!$C:$K)</f>
        <v>Student</v>
      </c>
      <c r="I805" t="str">
        <f>_xlfn.XLOOKUP($A:$A,Instagram_Usage_Lifestyle_Mini_!$A:$A,Instagram_Usage_Lifestyle_Mini_!$C:$K)</f>
        <v>Some_college</v>
      </c>
      <c r="J805" t="str">
        <f>_xlfn.XLOOKUP($A:$A,Instagram_Usage_Lifestyle_Mini_!$A:$A,Instagram_Usage_Lifestyle_Mini_!$C:$K)</f>
        <v>Single</v>
      </c>
      <c r="K805" t="str">
        <f>_xlfn.XLOOKUP($A:$A,Instagram_Usage_Lifestyle_Mini_!$A:$A,Instagram_Usage_Lifestyle_Mini_!$C:$K)</f>
        <v>Yes</v>
      </c>
      <c r="L805" t="str" cm="1">
        <f t="array" ref="L805">_xlfn.IFS(C805&lt;18,"Under_18",C805&lt;=25,"Youth",C805&lt;=35,"Young_Adults",C805&lt;=45,"Mid_Adults",TRUE,"Seniors")</f>
        <v>Mid_Adults</v>
      </c>
    </row>
    <row r="806" spans="1:12" x14ac:dyDescent="0.2">
      <c r="A806">
        <v>805</v>
      </c>
      <c r="B806" t="str">
        <f>_xlfn.XLOOKUP(A806,Instagram_Usage_Lifestyle_Mini_!A806,Instagram_Usage_Lifestyle_Mini_!B806,1)</f>
        <v>Instagram</v>
      </c>
      <c r="C806">
        <f>_xlfn.XLOOKUP($A:$A,Instagram_Usage_Lifestyle_Mini_!$A:$A,Instagram_Usage_Lifestyle_Mini_!$C:$K)</f>
        <v>65</v>
      </c>
      <c r="D806" t="str">
        <f>_xlfn.XLOOKUP($A:$A,Instagram_Usage_Lifestyle_Mini_!$A:$A,Instagram_Usage_Lifestyle_Mini_!$C:$K)</f>
        <v>Female</v>
      </c>
      <c r="E806" t="str">
        <f>_xlfn.XLOOKUP($A:$A,Instagram_Usage_Lifestyle_Mini_!$A:$A,Instagram_Usage_Lifestyle_Mini_!$C:$K)</f>
        <v>United_States</v>
      </c>
      <c r="F806" t="str">
        <f>_xlfn.XLOOKUP($A:$A,Instagram_Usage_Lifestyle_Mini_!$A:$A,Instagram_Usage_Lifestyle_Mini_!$C:$K)</f>
        <v>Urban</v>
      </c>
      <c r="G806" t="str">
        <f>_xlfn.XLOOKUP($A:$A,Instagram_Usage_Lifestyle_Mini_!$A:$A,Instagram_Usage_Lifestyle_Mini_!$C:$K)</f>
        <v>Middle</v>
      </c>
      <c r="H806" t="str">
        <f>_xlfn.XLOOKUP($A:$A,Instagram_Usage_Lifestyle_Mini_!$A:$A,Instagram_Usage_Lifestyle_Mini_!$C:$K)</f>
        <v>Full_time_employed</v>
      </c>
      <c r="I806" t="str">
        <f>_xlfn.XLOOKUP($A:$A,Instagram_Usage_Lifestyle_Mini_!$A:$A,Instagram_Usage_Lifestyle_Mini_!$C:$K)</f>
        <v>Bachelors_degree</v>
      </c>
      <c r="J806" t="str">
        <f>_xlfn.XLOOKUP($A:$A,Instagram_Usage_Lifestyle_Mini_!$A:$A,Instagram_Usage_Lifestyle_Mini_!$C:$K)</f>
        <v>Single</v>
      </c>
      <c r="K806" t="str">
        <f>_xlfn.XLOOKUP($A:$A,Instagram_Usage_Lifestyle_Mini_!$A:$A,Instagram_Usage_Lifestyle_Mini_!$C:$K)</f>
        <v>No</v>
      </c>
      <c r="L806" t="str" cm="1">
        <f t="array" ref="L806">_xlfn.IFS(C806&lt;18,"Under_18",C806&lt;=25,"Youth",C806&lt;=35,"Young_Adults",C806&lt;=45,"Mid_Adults",TRUE,"Seniors")</f>
        <v>Seniors</v>
      </c>
    </row>
    <row r="807" spans="1:12" x14ac:dyDescent="0.2">
      <c r="A807">
        <v>806</v>
      </c>
      <c r="B807" t="str">
        <f>_xlfn.XLOOKUP(A807,Instagram_Usage_Lifestyle_Mini_!A807,Instagram_Usage_Lifestyle_Mini_!B807,1)</f>
        <v>Instagram</v>
      </c>
      <c r="C807">
        <f>_xlfn.XLOOKUP($A:$A,Instagram_Usage_Lifestyle_Mini_!$A:$A,Instagram_Usage_Lifestyle_Mini_!$C:$K)</f>
        <v>32</v>
      </c>
      <c r="D807" t="str">
        <f>_xlfn.XLOOKUP($A:$A,Instagram_Usage_Lifestyle_Mini_!$A:$A,Instagram_Usage_Lifestyle_Mini_!$C:$K)</f>
        <v>Female</v>
      </c>
      <c r="E807" t="str">
        <f>_xlfn.XLOOKUP($A:$A,Instagram_Usage_Lifestyle_Mini_!$A:$A,Instagram_Usage_Lifestyle_Mini_!$C:$K)</f>
        <v>United _Kingdom</v>
      </c>
      <c r="F807" t="str">
        <f>_xlfn.XLOOKUP($A:$A,Instagram_Usage_Lifestyle_Mini_!$A:$A,Instagram_Usage_Lifestyle_Mini_!$C:$K)</f>
        <v>Urban</v>
      </c>
      <c r="G807" t="str">
        <f>_xlfn.XLOOKUP($A:$A,Instagram_Usage_Lifestyle_Mini_!$A:$A,Instagram_Usage_Lifestyle_Mini_!$C:$K)</f>
        <v>Middle</v>
      </c>
      <c r="H807" t="str">
        <f>_xlfn.XLOOKUP($A:$A,Instagram_Usage_Lifestyle_Mini_!$A:$A,Instagram_Usage_Lifestyle_Mini_!$C:$K)</f>
        <v>Full_time_employed</v>
      </c>
      <c r="I807" t="str">
        <f>_xlfn.XLOOKUP($A:$A,Instagram_Usage_Lifestyle_Mini_!$A:$A,Instagram_Usage_Lifestyle_Mini_!$C:$K)</f>
        <v>High_school</v>
      </c>
      <c r="J807" t="str">
        <f>_xlfn.XLOOKUP($A:$A,Instagram_Usage_Lifestyle_Mini_!$A:$A,Instagram_Usage_Lifestyle_Mini_!$C:$K)</f>
        <v>Married</v>
      </c>
      <c r="K807" t="str">
        <f>_xlfn.XLOOKUP($A:$A,Instagram_Usage_Lifestyle_Mini_!$A:$A,Instagram_Usage_Lifestyle_Mini_!$C:$K)</f>
        <v>No</v>
      </c>
      <c r="L807" t="str" cm="1">
        <f t="array" ref="L807">_xlfn.IFS(C807&lt;18,"Under_18",C807&lt;=25,"Youth",C807&lt;=35,"Young_Adults",C807&lt;=45,"Mid_Adults",TRUE,"Seniors")</f>
        <v>Young_Adults</v>
      </c>
    </row>
    <row r="808" spans="1:12" x14ac:dyDescent="0.2">
      <c r="A808">
        <v>807</v>
      </c>
      <c r="B808" t="str">
        <f>_xlfn.XLOOKUP(A808,Instagram_Usage_Lifestyle_Mini_!A808,Instagram_Usage_Lifestyle_Mini_!B808,1)</f>
        <v>Instagram</v>
      </c>
      <c r="C808">
        <f>_xlfn.XLOOKUP($A:$A,Instagram_Usage_Lifestyle_Mini_!$A:$A,Instagram_Usage_Lifestyle_Mini_!$C:$K)</f>
        <v>25</v>
      </c>
      <c r="D808" t="str">
        <f>_xlfn.XLOOKUP($A:$A,Instagram_Usage_Lifestyle_Mini_!$A:$A,Instagram_Usage_Lifestyle_Mini_!$C:$K)</f>
        <v>Male</v>
      </c>
      <c r="E808" t="str">
        <f>_xlfn.XLOOKUP($A:$A,Instagram_Usage_Lifestyle_Mini_!$A:$A,Instagram_Usage_Lifestyle_Mini_!$C:$K)</f>
        <v>Brazil</v>
      </c>
      <c r="F808" t="str">
        <f>_xlfn.XLOOKUP($A:$A,Instagram_Usage_Lifestyle_Mini_!$A:$A,Instagram_Usage_Lifestyle_Mini_!$C:$K)</f>
        <v>Rural</v>
      </c>
      <c r="G808" t="str">
        <f>_xlfn.XLOOKUP($A:$A,Instagram_Usage_Lifestyle_Mini_!$A:$A,Instagram_Usage_Lifestyle_Mini_!$C:$K)</f>
        <v>Upper_middle</v>
      </c>
      <c r="H808" t="str">
        <f>_xlfn.XLOOKUP($A:$A,Instagram_Usage_Lifestyle_Mini_!$A:$A,Instagram_Usage_Lifestyle_Mini_!$C:$K)</f>
        <v>Full_time_employed</v>
      </c>
      <c r="I808" t="str">
        <f>_xlfn.XLOOKUP($A:$A,Instagram_Usage_Lifestyle_Mini_!$A:$A,Instagram_Usage_Lifestyle_Mini_!$C:$K)</f>
        <v>High_school</v>
      </c>
      <c r="J808" t="str">
        <f>_xlfn.XLOOKUP($A:$A,Instagram_Usage_Lifestyle_Mini_!$A:$A,Instagram_Usage_Lifestyle_Mini_!$C:$K)</f>
        <v>In_a_relationship</v>
      </c>
      <c r="K808" t="str">
        <f>_xlfn.XLOOKUP($A:$A,Instagram_Usage_Lifestyle_Mini_!$A:$A,Instagram_Usage_Lifestyle_Mini_!$C:$K)</f>
        <v>No</v>
      </c>
      <c r="L808" t="str" cm="1">
        <f t="array" ref="L808">_xlfn.IFS(C808&lt;18,"Under_18",C808&lt;=25,"Youth",C808&lt;=35,"Young_Adults",C808&lt;=45,"Mid_Adults",TRUE,"Seniors")</f>
        <v>Youth</v>
      </c>
    </row>
    <row r="809" spans="1:12" x14ac:dyDescent="0.2">
      <c r="A809">
        <v>808</v>
      </c>
      <c r="B809" t="str">
        <f>_xlfn.XLOOKUP(A809,Instagram_Usage_Lifestyle_Mini_!A809,Instagram_Usage_Lifestyle_Mini_!B809,1)</f>
        <v>Instagram</v>
      </c>
      <c r="C809">
        <f>_xlfn.XLOOKUP($A:$A,Instagram_Usage_Lifestyle_Mini_!$A:$A,Instagram_Usage_Lifestyle_Mini_!$C:$K)</f>
        <v>40</v>
      </c>
      <c r="D809" t="str">
        <f>_xlfn.XLOOKUP($A:$A,Instagram_Usage_Lifestyle_Mini_!$A:$A,Instagram_Usage_Lifestyle_Mini_!$C:$K)</f>
        <v>Female</v>
      </c>
      <c r="E809" t="str">
        <f>_xlfn.XLOOKUP($A:$A,Instagram_Usage_Lifestyle_Mini_!$A:$A,Instagram_Usage_Lifestyle_Mini_!$C:$K)</f>
        <v>India</v>
      </c>
      <c r="F809" t="str">
        <f>_xlfn.XLOOKUP($A:$A,Instagram_Usage_Lifestyle_Mini_!$A:$A,Instagram_Usage_Lifestyle_Mini_!$C:$K)</f>
        <v>Suburban</v>
      </c>
      <c r="G809" t="str">
        <f>_xlfn.XLOOKUP($A:$A,Instagram_Usage_Lifestyle_Mini_!$A:$A,Instagram_Usage_Lifestyle_Mini_!$C:$K)</f>
        <v>Low</v>
      </c>
      <c r="H809" t="str">
        <f>_xlfn.XLOOKUP($A:$A,Instagram_Usage_Lifestyle_Mini_!$A:$A,Instagram_Usage_Lifestyle_Mini_!$C:$K)</f>
        <v>Full_time_employed</v>
      </c>
      <c r="I809" t="str">
        <f>_xlfn.XLOOKUP($A:$A,Instagram_Usage_Lifestyle_Mini_!$A:$A,Instagram_Usage_Lifestyle_Mini_!$C:$K)</f>
        <v>Bachelors_degree</v>
      </c>
      <c r="J809" t="str">
        <f>_xlfn.XLOOKUP($A:$A,Instagram_Usage_Lifestyle_Mini_!$A:$A,Instagram_Usage_Lifestyle_Mini_!$C:$K)</f>
        <v>Married</v>
      </c>
      <c r="K809" t="str">
        <f>_xlfn.XLOOKUP($A:$A,Instagram_Usage_Lifestyle_Mini_!$A:$A,Instagram_Usage_Lifestyle_Mini_!$C:$K)</f>
        <v>Yes</v>
      </c>
      <c r="L809" t="str" cm="1">
        <f t="array" ref="L809">_xlfn.IFS(C809&lt;18,"Under_18",C809&lt;=25,"Youth",C809&lt;=35,"Young_Adults",C809&lt;=45,"Mid_Adults",TRUE,"Seniors")</f>
        <v>Mid_Adults</v>
      </c>
    </row>
    <row r="810" spans="1:12" x14ac:dyDescent="0.2">
      <c r="A810">
        <v>809</v>
      </c>
      <c r="B810" t="str">
        <f>_xlfn.XLOOKUP(A810,Instagram_Usage_Lifestyle_Mini_!A810,Instagram_Usage_Lifestyle_Mini_!B810,1)</f>
        <v>Instagram</v>
      </c>
      <c r="C810">
        <f>_xlfn.XLOOKUP($A:$A,Instagram_Usage_Lifestyle_Mini_!$A:$A,Instagram_Usage_Lifestyle_Mini_!$C:$K)</f>
        <v>60</v>
      </c>
      <c r="D810" t="str">
        <f>_xlfn.XLOOKUP($A:$A,Instagram_Usage_Lifestyle_Mini_!$A:$A,Instagram_Usage_Lifestyle_Mini_!$C:$K)</f>
        <v>Female</v>
      </c>
      <c r="E810" t="str">
        <f>_xlfn.XLOOKUP($A:$A,Instagram_Usage_Lifestyle_Mini_!$A:$A,Instagram_Usage_Lifestyle_Mini_!$C:$K)</f>
        <v>India</v>
      </c>
      <c r="F810" t="str">
        <f>_xlfn.XLOOKUP($A:$A,Instagram_Usage_Lifestyle_Mini_!$A:$A,Instagram_Usage_Lifestyle_Mini_!$C:$K)</f>
        <v>Rural</v>
      </c>
      <c r="G810" t="str">
        <f>_xlfn.XLOOKUP($A:$A,Instagram_Usage_Lifestyle_Mini_!$A:$A,Instagram_Usage_Lifestyle_Mini_!$C:$K)</f>
        <v>Lower_middle</v>
      </c>
      <c r="H810" t="str">
        <f>_xlfn.XLOOKUP($A:$A,Instagram_Usage_Lifestyle_Mini_!$A:$A,Instagram_Usage_Lifestyle_Mini_!$C:$K)</f>
        <v>Full_time_employed</v>
      </c>
      <c r="I810" t="str">
        <f>_xlfn.XLOOKUP($A:$A,Instagram_Usage_Lifestyle_Mini_!$A:$A,Instagram_Usage_Lifestyle_Mini_!$C:$K)</f>
        <v>Bachelors_degree</v>
      </c>
      <c r="J810" t="str">
        <f>_xlfn.XLOOKUP($A:$A,Instagram_Usage_Lifestyle_Mini_!$A:$A,Instagram_Usage_Lifestyle_Mini_!$C:$K)</f>
        <v>Single</v>
      </c>
      <c r="K810" t="str">
        <f>_xlfn.XLOOKUP($A:$A,Instagram_Usage_Lifestyle_Mini_!$A:$A,Instagram_Usage_Lifestyle_Mini_!$C:$K)</f>
        <v>No</v>
      </c>
      <c r="L810" t="str" cm="1">
        <f t="array" ref="L810">_xlfn.IFS(C810&lt;18,"Under_18",C810&lt;=25,"Youth",C810&lt;=35,"Young_Adults",C810&lt;=45,"Mid_Adults",TRUE,"Seniors")</f>
        <v>Seniors</v>
      </c>
    </row>
    <row r="811" spans="1:12" x14ac:dyDescent="0.2">
      <c r="A811">
        <v>810</v>
      </c>
      <c r="B811" t="str">
        <f>_xlfn.XLOOKUP(A811,Instagram_Usage_Lifestyle_Mini_!A811,Instagram_Usage_Lifestyle_Mini_!B811,1)</f>
        <v>Instagram</v>
      </c>
      <c r="C811">
        <f>_xlfn.XLOOKUP($A:$A,Instagram_Usage_Lifestyle_Mini_!$A:$A,Instagram_Usage_Lifestyle_Mini_!$C:$K)</f>
        <v>41</v>
      </c>
      <c r="D811" t="str">
        <f>_xlfn.XLOOKUP($A:$A,Instagram_Usage_Lifestyle_Mini_!$A:$A,Instagram_Usage_Lifestyle_Mini_!$C:$K)</f>
        <v>Male</v>
      </c>
      <c r="E811" t="str">
        <f>_xlfn.XLOOKUP($A:$A,Instagram_Usage_Lifestyle_Mini_!$A:$A,Instagram_Usage_Lifestyle_Mini_!$C:$K)</f>
        <v>Germany</v>
      </c>
      <c r="F811" t="str">
        <f>_xlfn.XLOOKUP($A:$A,Instagram_Usage_Lifestyle_Mini_!$A:$A,Instagram_Usage_Lifestyle_Mini_!$C:$K)</f>
        <v>Suburban</v>
      </c>
      <c r="G811" t="str">
        <f>_xlfn.XLOOKUP($A:$A,Instagram_Usage_Lifestyle_Mini_!$A:$A,Instagram_Usage_Lifestyle_Mini_!$C:$K)</f>
        <v>Low</v>
      </c>
      <c r="H811" t="str">
        <f>_xlfn.XLOOKUP($A:$A,Instagram_Usage_Lifestyle_Mini_!$A:$A,Instagram_Usage_Lifestyle_Mini_!$C:$K)</f>
        <v>Full_time_employed</v>
      </c>
      <c r="I811" t="str">
        <f>_xlfn.XLOOKUP($A:$A,Instagram_Usage_Lifestyle_Mini_!$A:$A,Instagram_Usage_Lifestyle_Mini_!$C:$K)</f>
        <v>Other</v>
      </c>
      <c r="J811" t="str">
        <f>_xlfn.XLOOKUP($A:$A,Instagram_Usage_Lifestyle_Mini_!$A:$A,Instagram_Usage_Lifestyle_Mini_!$C:$K)</f>
        <v>In_a_relationship</v>
      </c>
      <c r="K811" t="str">
        <f>_xlfn.XLOOKUP($A:$A,Instagram_Usage_Lifestyle_Mini_!$A:$A,Instagram_Usage_Lifestyle_Mini_!$C:$K)</f>
        <v>No</v>
      </c>
      <c r="L811" t="str" cm="1">
        <f t="array" ref="L811">_xlfn.IFS(C811&lt;18,"Under_18",C811&lt;=25,"Youth",C811&lt;=35,"Young_Adults",C811&lt;=45,"Mid_Adults",TRUE,"Seniors")</f>
        <v>Mid_Adults</v>
      </c>
    </row>
    <row r="812" spans="1:12" x14ac:dyDescent="0.2">
      <c r="A812">
        <v>811</v>
      </c>
      <c r="B812" t="str">
        <f>_xlfn.XLOOKUP(A812,Instagram_Usage_Lifestyle_Mini_!A812,Instagram_Usage_Lifestyle_Mini_!B812,1)</f>
        <v>Instagram</v>
      </c>
      <c r="C812">
        <f>_xlfn.XLOOKUP($A:$A,Instagram_Usage_Lifestyle_Mini_!$A:$A,Instagram_Usage_Lifestyle_Mini_!$C:$K)</f>
        <v>25</v>
      </c>
      <c r="D812" t="str">
        <f>_xlfn.XLOOKUP($A:$A,Instagram_Usage_Lifestyle_Mini_!$A:$A,Instagram_Usage_Lifestyle_Mini_!$C:$K)</f>
        <v>Male</v>
      </c>
      <c r="E812" t="str">
        <f>_xlfn.XLOOKUP($A:$A,Instagram_Usage_Lifestyle_Mini_!$A:$A,Instagram_Usage_Lifestyle_Mini_!$C:$K)</f>
        <v>Brazil</v>
      </c>
      <c r="F812" t="str">
        <f>_xlfn.XLOOKUP($A:$A,Instagram_Usage_Lifestyle_Mini_!$A:$A,Instagram_Usage_Lifestyle_Mini_!$C:$K)</f>
        <v>Suburban</v>
      </c>
      <c r="G812" t="str">
        <f>_xlfn.XLOOKUP($A:$A,Instagram_Usage_Lifestyle_Mini_!$A:$A,Instagram_Usage_Lifestyle_Mini_!$C:$K)</f>
        <v>Middle</v>
      </c>
      <c r="H812" t="str">
        <f>_xlfn.XLOOKUP($A:$A,Instagram_Usage_Lifestyle_Mini_!$A:$A,Instagram_Usage_Lifestyle_Mini_!$C:$K)</f>
        <v>Unemployed</v>
      </c>
      <c r="I812" t="str">
        <f>_xlfn.XLOOKUP($A:$A,Instagram_Usage_Lifestyle_Mini_!$A:$A,Instagram_Usage_Lifestyle_Mini_!$C:$K)</f>
        <v>Masters_degree</v>
      </c>
      <c r="J812" t="str">
        <f>_xlfn.XLOOKUP($A:$A,Instagram_Usage_Lifestyle_Mini_!$A:$A,Instagram_Usage_Lifestyle_Mini_!$C:$K)</f>
        <v>In_a_relationship</v>
      </c>
      <c r="K812" t="str">
        <f>_xlfn.XLOOKUP($A:$A,Instagram_Usage_Lifestyle_Mini_!$A:$A,Instagram_Usage_Lifestyle_Mini_!$C:$K)</f>
        <v>Yes</v>
      </c>
      <c r="L812" t="str" cm="1">
        <f t="array" ref="L812">_xlfn.IFS(C812&lt;18,"Under_18",C812&lt;=25,"Youth",C812&lt;=35,"Young_Adults",C812&lt;=45,"Mid_Adults",TRUE,"Seniors")</f>
        <v>Youth</v>
      </c>
    </row>
    <row r="813" spans="1:12" x14ac:dyDescent="0.2">
      <c r="A813">
        <v>812</v>
      </c>
      <c r="B813" t="str">
        <f>_xlfn.XLOOKUP(A813,Instagram_Usage_Lifestyle_Mini_!A813,Instagram_Usage_Lifestyle_Mini_!B813,1)</f>
        <v>Instagram</v>
      </c>
      <c r="C813">
        <f>_xlfn.XLOOKUP($A:$A,Instagram_Usage_Lifestyle_Mini_!$A:$A,Instagram_Usage_Lifestyle_Mini_!$C:$K)</f>
        <v>58</v>
      </c>
      <c r="D813" t="str">
        <f>_xlfn.XLOOKUP($A:$A,Instagram_Usage_Lifestyle_Mini_!$A:$A,Instagram_Usage_Lifestyle_Mini_!$C:$K)</f>
        <v>Female</v>
      </c>
      <c r="E813" t="str">
        <f>_xlfn.XLOOKUP($A:$A,Instagram_Usage_Lifestyle_Mini_!$A:$A,Instagram_Usage_Lifestyle_Mini_!$C:$K)</f>
        <v>United_States</v>
      </c>
      <c r="F813" t="str">
        <f>_xlfn.XLOOKUP($A:$A,Instagram_Usage_Lifestyle_Mini_!$A:$A,Instagram_Usage_Lifestyle_Mini_!$C:$K)</f>
        <v>Rural</v>
      </c>
      <c r="G813" t="str">
        <f>_xlfn.XLOOKUP($A:$A,Instagram_Usage_Lifestyle_Mini_!$A:$A,Instagram_Usage_Lifestyle_Mini_!$C:$K)</f>
        <v>Lower_middle</v>
      </c>
      <c r="H813" t="str">
        <f>_xlfn.XLOOKUP($A:$A,Instagram_Usage_Lifestyle_Mini_!$A:$A,Instagram_Usage_Lifestyle_Mini_!$C:$K)</f>
        <v>Freelancer</v>
      </c>
      <c r="I813" t="str">
        <f>_xlfn.XLOOKUP($A:$A,Instagram_Usage_Lifestyle_Mini_!$A:$A,Instagram_Usage_Lifestyle_Mini_!$C:$K)</f>
        <v>Bachelors_degree</v>
      </c>
      <c r="J813" t="str">
        <f>_xlfn.XLOOKUP($A:$A,Instagram_Usage_Lifestyle_Mini_!$A:$A,Instagram_Usage_Lifestyle_Mini_!$C:$K)</f>
        <v>Single</v>
      </c>
      <c r="K813" t="str">
        <f>_xlfn.XLOOKUP($A:$A,Instagram_Usage_Lifestyle_Mini_!$A:$A,Instagram_Usage_Lifestyle_Mini_!$C:$K)</f>
        <v>Yes</v>
      </c>
      <c r="L813" t="str" cm="1">
        <f t="array" ref="L813">_xlfn.IFS(C813&lt;18,"Under_18",C813&lt;=25,"Youth",C813&lt;=35,"Young_Adults",C813&lt;=45,"Mid_Adults",TRUE,"Seniors")</f>
        <v>Seniors</v>
      </c>
    </row>
    <row r="814" spans="1:12" x14ac:dyDescent="0.2">
      <c r="A814">
        <v>813</v>
      </c>
      <c r="B814" t="str">
        <f>_xlfn.XLOOKUP(A814,Instagram_Usage_Lifestyle_Mini_!A814,Instagram_Usage_Lifestyle_Mini_!B814,1)</f>
        <v>Instagram</v>
      </c>
      <c r="C814">
        <f>_xlfn.XLOOKUP($A:$A,Instagram_Usage_Lifestyle_Mini_!$A:$A,Instagram_Usage_Lifestyle_Mini_!$C:$K)</f>
        <v>47</v>
      </c>
      <c r="D814" t="str">
        <f>_xlfn.XLOOKUP($A:$A,Instagram_Usage_Lifestyle_Mini_!$A:$A,Instagram_Usage_Lifestyle_Mini_!$C:$K)</f>
        <v>Female</v>
      </c>
      <c r="E814" t="str">
        <f>_xlfn.XLOOKUP($A:$A,Instagram_Usage_Lifestyle_Mini_!$A:$A,Instagram_Usage_Lifestyle_Mini_!$C:$K)</f>
        <v>United_States</v>
      </c>
      <c r="F814" t="str">
        <f>_xlfn.XLOOKUP($A:$A,Instagram_Usage_Lifestyle_Mini_!$A:$A,Instagram_Usage_Lifestyle_Mini_!$C:$K)</f>
        <v>Rural</v>
      </c>
      <c r="G814" t="str">
        <f>_xlfn.XLOOKUP($A:$A,Instagram_Usage_Lifestyle_Mini_!$A:$A,Instagram_Usage_Lifestyle_Mini_!$C:$K)</f>
        <v>Low</v>
      </c>
      <c r="H814" t="str">
        <f>_xlfn.XLOOKUP($A:$A,Instagram_Usage_Lifestyle_Mini_!$A:$A,Instagram_Usage_Lifestyle_Mini_!$C:$K)</f>
        <v>Part_time</v>
      </c>
      <c r="I814" t="str">
        <f>_xlfn.XLOOKUP($A:$A,Instagram_Usage_Lifestyle_Mini_!$A:$A,Instagram_Usage_Lifestyle_Mini_!$C:$K)</f>
        <v>Some_college</v>
      </c>
      <c r="J814" t="str">
        <f>_xlfn.XLOOKUP($A:$A,Instagram_Usage_Lifestyle_Mini_!$A:$A,Instagram_Usage_Lifestyle_Mini_!$C:$K)</f>
        <v>Single</v>
      </c>
      <c r="K814" t="str">
        <f>_xlfn.XLOOKUP($A:$A,Instagram_Usage_Lifestyle_Mini_!$A:$A,Instagram_Usage_Lifestyle_Mini_!$C:$K)</f>
        <v>No</v>
      </c>
      <c r="L814" t="str" cm="1">
        <f t="array" ref="L814">_xlfn.IFS(C814&lt;18,"Under_18",C814&lt;=25,"Youth",C814&lt;=35,"Young_Adults",C814&lt;=45,"Mid_Adults",TRUE,"Seniors")</f>
        <v>Seniors</v>
      </c>
    </row>
    <row r="815" spans="1:12" x14ac:dyDescent="0.2">
      <c r="A815">
        <v>814</v>
      </c>
      <c r="B815" t="str">
        <f>_xlfn.XLOOKUP(A815,Instagram_Usage_Lifestyle_Mini_!A815,Instagram_Usage_Lifestyle_Mini_!B815,1)</f>
        <v>Instagram</v>
      </c>
      <c r="C815">
        <f>_xlfn.XLOOKUP($A:$A,Instagram_Usage_Lifestyle_Mini_!$A:$A,Instagram_Usage_Lifestyle_Mini_!$C:$K)</f>
        <v>18</v>
      </c>
      <c r="D815" t="str">
        <f>_xlfn.XLOOKUP($A:$A,Instagram_Usage_Lifestyle_Mini_!$A:$A,Instagram_Usage_Lifestyle_Mini_!$C:$K)</f>
        <v>Male</v>
      </c>
      <c r="E815" t="str">
        <f>_xlfn.XLOOKUP($A:$A,Instagram_Usage_Lifestyle_Mini_!$A:$A,Instagram_Usage_Lifestyle_Mini_!$C:$K)</f>
        <v>United _Kingdom</v>
      </c>
      <c r="F815" t="str">
        <f>_xlfn.XLOOKUP($A:$A,Instagram_Usage_Lifestyle_Mini_!$A:$A,Instagram_Usage_Lifestyle_Mini_!$C:$K)</f>
        <v>Suburban</v>
      </c>
      <c r="G815" t="str">
        <f>_xlfn.XLOOKUP($A:$A,Instagram_Usage_Lifestyle_Mini_!$A:$A,Instagram_Usage_Lifestyle_Mini_!$C:$K)</f>
        <v>Lower_middle</v>
      </c>
      <c r="H815" t="str">
        <f>_xlfn.XLOOKUP($A:$A,Instagram_Usage_Lifestyle_Mini_!$A:$A,Instagram_Usage_Lifestyle_Mini_!$C:$K)</f>
        <v>Part_time</v>
      </c>
      <c r="I815" t="str">
        <f>_xlfn.XLOOKUP($A:$A,Instagram_Usage_Lifestyle_Mini_!$A:$A,Instagram_Usage_Lifestyle_Mini_!$C:$K)</f>
        <v>Masters_degree</v>
      </c>
      <c r="J815" t="str">
        <f>_xlfn.XLOOKUP($A:$A,Instagram_Usage_Lifestyle_Mini_!$A:$A,Instagram_Usage_Lifestyle_Mini_!$C:$K)</f>
        <v>Divorced</v>
      </c>
      <c r="K815" t="str">
        <f>_xlfn.XLOOKUP($A:$A,Instagram_Usage_Lifestyle_Mini_!$A:$A,Instagram_Usage_Lifestyle_Mini_!$C:$K)</f>
        <v>No</v>
      </c>
      <c r="L815" t="str" cm="1">
        <f t="array" ref="L815">_xlfn.IFS(C815&lt;18,"Under_18",C815&lt;=25,"Youth",C815&lt;=35,"Young_Adults",C815&lt;=45,"Mid_Adults",TRUE,"Seniors")</f>
        <v>Youth</v>
      </c>
    </row>
    <row r="816" spans="1:12" x14ac:dyDescent="0.2">
      <c r="A816">
        <v>815</v>
      </c>
      <c r="B816" t="str">
        <f>_xlfn.XLOOKUP(A816,Instagram_Usage_Lifestyle_Mini_!A816,Instagram_Usage_Lifestyle_Mini_!B816,1)</f>
        <v>Instagram</v>
      </c>
      <c r="C816">
        <f>_xlfn.XLOOKUP($A:$A,Instagram_Usage_Lifestyle_Mini_!$A:$A,Instagram_Usage_Lifestyle_Mini_!$C:$K)</f>
        <v>30</v>
      </c>
      <c r="D816" t="str">
        <f>_xlfn.XLOOKUP($A:$A,Instagram_Usage_Lifestyle_Mini_!$A:$A,Instagram_Usage_Lifestyle_Mini_!$C:$K)</f>
        <v>Female</v>
      </c>
      <c r="E816" t="str">
        <f>_xlfn.XLOOKUP($A:$A,Instagram_Usage_Lifestyle_Mini_!$A:$A,Instagram_Usage_Lifestyle_Mini_!$C:$K)</f>
        <v>United_States</v>
      </c>
      <c r="F816" t="str">
        <f>_xlfn.XLOOKUP($A:$A,Instagram_Usage_Lifestyle_Mini_!$A:$A,Instagram_Usage_Lifestyle_Mini_!$C:$K)</f>
        <v>Urban</v>
      </c>
      <c r="G816" t="str">
        <f>_xlfn.XLOOKUP($A:$A,Instagram_Usage_Lifestyle_Mini_!$A:$A,Instagram_Usage_Lifestyle_Mini_!$C:$K)</f>
        <v>Lower_middle</v>
      </c>
      <c r="H816" t="str">
        <f>_xlfn.XLOOKUP($A:$A,Instagram_Usage_Lifestyle_Mini_!$A:$A,Instagram_Usage_Lifestyle_Mini_!$C:$K)</f>
        <v>Full_time_employed</v>
      </c>
      <c r="I816" t="str">
        <f>_xlfn.XLOOKUP($A:$A,Instagram_Usage_Lifestyle_Mini_!$A:$A,Instagram_Usage_Lifestyle_Mini_!$C:$K)</f>
        <v>Bachelors_degree</v>
      </c>
      <c r="J816" t="str">
        <f>_xlfn.XLOOKUP($A:$A,Instagram_Usage_Lifestyle_Mini_!$A:$A,Instagram_Usage_Lifestyle_Mini_!$C:$K)</f>
        <v>Married</v>
      </c>
      <c r="K816" t="str">
        <f>_xlfn.XLOOKUP($A:$A,Instagram_Usage_Lifestyle_Mini_!$A:$A,Instagram_Usage_Lifestyle_Mini_!$C:$K)</f>
        <v>No</v>
      </c>
      <c r="L816" t="str" cm="1">
        <f t="array" ref="L816">_xlfn.IFS(C816&lt;18,"Under_18",C816&lt;=25,"Youth",C816&lt;=35,"Young_Adults",C816&lt;=45,"Mid_Adults",TRUE,"Seniors")</f>
        <v>Young_Adults</v>
      </c>
    </row>
    <row r="817" spans="1:12" x14ac:dyDescent="0.2">
      <c r="A817">
        <v>816</v>
      </c>
      <c r="B817" t="str">
        <f>_xlfn.XLOOKUP(A817,Instagram_Usage_Lifestyle_Mini_!A817,Instagram_Usage_Lifestyle_Mini_!B817,1)</f>
        <v>Instagram</v>
      </c>
      <c r="C817">
        <f>_xlfn.XLOOKUP($A:$A,Instagram_Usage_Lifestyle_Mini_!$A:$A,Instagram_Usage_Lifestyle_Mini_!$C:$K)</f>
        <v>63</v>
      </c>
      <c r="D817" t="str">
        <f>_xlfn.XLOOKUP($A:$A,Instagram_Usage_Lifestyle_Mini_!$A:$A,Instagram_Usage_Lifestyle_Mini_!$C:$K)</f>
        <v>Female</v>
      </c>
      <c r="E817" t="str">
        <f>_xlfn.XLOOKUP($A:$A,Instagram_Usage_Lifestyle_Mini_!$A:$A,Instagram_Usage_Lifestyle_Mini_!$C:$K)</f>
        <v>United_States</v>
      </c>
      <c r="F817" t="str">
        <f>_xlfn.XLOOKUP($A:$A,Instagram_Usage_Lifestyle_Mini_!$A:$A,Instagram_Usage_Lifestyle_Mini_!$C:$K)</f>
        <v>Rural</v>
      </c>
      <c r="G817" t="str">
        <f>_xlfn.XLOOKUP($A:$A,Instagram_Usage_Lifestyle_Mini_!$A:$A,Instagram_Usage_Lifestyle_Mini_!$C:$K)</f>
        <v>Low</v>
      </c>
      <c r="H817" t="str">
        <f>_xlfn.XLOOKUP($A:$A,Instagram_Usage_Lifestyle_Mini_!$A:$A,Instagram_Usage_Lifestyle_Mini_!$C:$K)</f>
        <v>Full_time_employed</v>
      </c>
      <c r="I817" t="str">
        <f>_xlfn.XLOOKUP($A:$A,Instagram_Usage_Lifestyle_Mini_!$A:$A,Instagram_Usage_Lifestyle_Mini_!$C:$K)</f>
        <v>High_school</v>
      </c>
      <c r="J817" t="str">
        <f>_xlfn.XLOOKUP($A:$A,Instagram_Usage_Lifestyle_Mini_!$A:$A,Instagram_Usage_Lifestyle_Mini_!$C:$K)</f>
        <v>Divorced</v>
      </c>
      <c r="K817" t="str">
        <f>_xlfn.XLOOKUP($A:$A,Instagram_Usage_Lifestyle_Mini_!$A:$A,Instagram_Usage_Lifestyle_Mini_!$C:$K)</f>
        <v>Yes</v>
      </c>
      <c r="L817" t="str" cm="1">
        <f t="array" ref="L817">_xlfn.IFS(C817&lt;18,"Under_18",C817&lt;=25,"Youth",C817&lt;=35,"Young_Adults",C817&lt;=45,"Mid_Adults",TRUE,"Seniors")</f>
        <v>Seniors</v>
      </c>
    </row>
    <row r="818" spans="1:12" x14ac:dyDescent="0.2">
      <c r="A818">
        <v>817</v>
      </c>
      <c r="B818" t="str">
        <f>_xlfn.XLOOKUP(A818,Instagram_Usage_Lifestyle_Mini_!A818,Instagram_Usage_Lifestyle_Mini_!B818,1)</f>
        <v>Instagram</v>
      </c>
      <c r="C818">
        <f>_xlfn.XLOOKUP($A:$A,Instagram_Usage_Lifestyle_Mini_!$A:$A,Instagram_Usage_Lifestyle_Mini_!$C:$K)</f>
        <v>17</v>
      </c>
      <c r="D818" t="str">
        <f>_xlfn.XLOOKUP($A:$A,Instagram_Usage_Lifestyle_Mini_!$A:$A,Instagram_Usage_Lifestyle_Mini_!$C:$K)</f>
        <v>Male</v>
      </c>
      <c r="E818" t="str">
        <f>_xlfn.XLOOKUP($A:$A,Instagram_Usage_Lifestyle_Mini_!$A:$A,Instagram_Usage_Lifestyle_Mini_!$C:$K)</f>
        <v>South_Korea</v>
      </c>
      <c r="F818" t="str">
        <f>_xlfn.XLOOKUP($A:$A,Instagram_Usage_Lifestyle_Mini_!$A:$A,Instagram_Usage_Lifestyle_Mini_!$C:$K)</f>
        <v>Urban</v>
      </c>
      <c r="G818" t="str">
        <f>_xlfn.XLOOKUP($A:$A,Instagram_Usage_Lifestyle_Mini_!$A:$A,Instagram_Usage_Lifestyle_Mini_!$C:$K)</f>
        <v>Upper_middle</v>
      </c>
      <c r="H818" t="str">
        <f>_xlfn.XLOOKUP($A:$A,Instagram_Usage_Lifestyle_Mini_!$A:$A,Instagram_Usage_Lifestyle_Mini_!$C:$K)</f>
        <v>Full_time_employed</v>
      </c>
      <c r="I818" t="str">
        <f>_xlfn.XLOOKUP($A:$A,Instagram_Usage_Lifestyle_Mini_!$A:$A,Instagram_Usage_Lifestyle_Mini_!$C:$K)</f>
        <v>Bachelors_degree</v>
      </c>
      <c r="J818" t="str">
        <f>_xlfn.XLOOKUP($A:$A,Instagram_Usage_Lifestyle_Mini_!$A:$A,Instagram_Usage_Lifestyle_Mini_!$C:$K)</f>
        <v>Married</v>
      </c>
      <c r="K818" t="str">
        <f>_xlfn.XLOOKUP($A:$A,Instagram_Usage_Lifestyle_Mini_!$A:$A,Instagram_Usage_Lifestyle_Mini_!$C:$K)</f>
        <v>No</v>
      </c>
      <c r="L818" t="str" cm="1">
        <f t="array" ref="L818">_xlfn.IFS(C818&lt;18,"Under_18",C818&lt;=25,"Youth",C818&lt;=35,"Young_Adults",C818&lt;=45,"Mid_Adults",TRUE,"Seniors")</f>
        <v>Under_18</v>
      </c>
    </row>
    <row r="819" spans="1:12" x14ac:dyDescent="0.2">
      <c r="A819">
        <v>818</v>
      </c>
      <c r="B819" t="str">
        <f>_xlfn.XLOOKUP(A819,Instagram_Usage_Lifestyle_Mini_!A819,Instagram_Usage_Lifestyle_Mini_!B819,1)</f>
        <v>Instagram</v>
      </c>
      <c r="C819">
        <f>_xlfn.XLOOKUP($A:$A,Instagram_Usage_Lifestyle_Mini_!$A:$A,Instagram_Usage_Lifestyle_Mini_!$C:$K)</f>
        <v>59</v>
      </c>
      <c r="D819" t="str">
        <f>_xlfn.XLOOKUP($A:$A,Instagram_Usage_Lifestyle_Mini_!$A:$A,Instagram_Usage_Lifestyle_Mini_!$C:$K)</f>
        <v>Female</v>
      </c>
      <c r="E819" t="str">
        <f>_xlfn.XLOOKUP($A:$A,Instagram_Usage_Lifestyle_Mini_!$A:$A,Instagram_Usage_Lifestyle_Mini_!$C:$K)</f>
        <v>Canada</v>
      </c>
      <c r="F819" t="str">
        <f>_xlfn.XLOOKUP($A:$A,Instagram_Usage_Lifestyle_Mini_!$A:$A,Instagram_Usage_Lifestyle_Mini_!$C:$K)</f>
        <v>Urban</v>
      </c>
      <c r="G819" t="str">
        <f>_xlfn.XLOOKUP($A:$A,Instagram_Usage_Lifestyle_Mini_!$A:$A,Instagram_Usage_Lifestyle_Mini_!$C:$K)</f>
        <v>Middle</v>
      </c>
      <c r="H819" t="str">
        <f>_xlfn.XLOOKUP($A:$A,Instagram_Usage_Lifestyle_Mini_!$A:$A,Instagram_Usage_Lifestyle_Mini_!$C:$K)</f>
        <v>Freelancer</v>
      </c>
      <c r="I819" t="str">
        <f>_xlfn.XLOOKUP($A:$A,Instagram_Usage_Lifestyle_Mini_!$A:$A,Instagram_Usage_Lifestyle_Mini_!$C:$K)</f>
        <v>High_school</v>
      </c>
      <c r="J819" t="str">
        <f>_xlfn.XLOOKUP($A:$A,Instagram_Usage_Lifestyle_Mini_!$A:$A,Instagram_Usage_Lifestyle_Mini_!$C:$K)</f>
        <v>In_a_relationship</v>
      </c>
      <c r="K819" t="str">
        <f>_xlfn.XLOOKUP($A:$A,Instagram_Usage_Lifestyle_Mini_!$A:$A,Instagram_Usage_Lifestyle_Mini_!$C:$K)</f>
        <v>Yes</v>
      </c>
      <c r="L819" t="str" cm="1">
        <f t="array" ref="L819">_xlfn.IFS(C819&lt;18,"Under_18",C819&lt;=25,"Youth",C819&lt;=35,"Young_Adults",C819&lt;=45,"Mid_Adults",TRUE,"Seniors")</f>
        <v>Seniors</v>
      </c>
    </row>
    <row r="820" spans="1:12" x14ac:dyDescent="0.2">
      <c r="A820">
        <v>819</v>
      </c>
      <c r="B820" t="str">
        <f>_xlfn.XLOOKUP(A820,Instagram_Usage_Lifestyle_Mini_!A820,Instagram_Usage_Lifestyle_Mini_!B820,1)</f>
        <v>Instagram</v>
      </c>
      <c r="C820">
        <f>_xlfn.XLOOKUP($A:$A,Instagram_Usage_Lifestyle_Mini_!$A:$A,Instagram_Usage_Lifestyle_Mini_!$C:$K)</f>
        <v>37</v>
      </c>
      <c r="D820" t="str">
        <f>_xlfn.XLOOKUP($A:$A,Instagram_Usage_Lifestyle_Mini_!$A:$A,Instagram_Usage_Lifestyle_Mini_!$C:$K)</f>
        <v>Male</v>
      </c>
      <c r="E820" t="str">
        <f>_xlfn.XLOOKUP($A:$A,Instagram_Usage_Lifestyle_Mini_!$A:$A,Instagram_Usage_Lifestyle_Mini_!$C:$K)</f>
        <v>United_States</v>
      </c>
      <c r="F820" t="str">
        <f>_xlfn.XLOOKUP($A:$A,Instagram_Usage_Lifestyle_Mini_!$A:$A,Instagram_Usage_Lifestyle_Mini_!$C:$K)</f>
        <v>Urban</v>
      </c>
      <c r="G820" t="str">
        <f>_xlfn.XLOOKUP($A:$A,Instagram_Usage_Lifestyle_Mini_!$A:$A,Instagram_Usage_Lifestyle_Mini_!$C:$K)</f>
        <v>Low</v>
      </c>
      <c r="H820" t="str">
        <f>_xlfn.XLOOKUP($A:$A,Instagram_Usage_Lifestyle_Mini_!$A:$A,Instagram_Usage_Lifestyle_Mini_!$C:$K)</f>
        <v>Full_time_employed</v>
      </c>
      <c r="I820" t="str">
        <f>_xlfn.XLOOKUP($A:$A,Instagram_Usage_Lifestyle_Mini_!$A:$A,Instagram_Usage_Lifestyle_Mini_!$C:$K)</f>
        <v>Bachelors_degree</v>
      </c>
      <c r="J820" t="str">
        <f>_xlfn.XLOOKUP($A:$A,Instagram_Usage_Lifestyle_Mini_!$A:$A,Instagram_Usage_Lifestyle_Mini_!$C:$K)</f>
        <v>In_a_relationship</v>
      </c>
      <c r="K820" t="str">
        <f>_xlfn.XLOOKUP($A:$A,Instagram_Usage_Lifestyle_Mini_!$A:$A,Instagram_Usage_Lifestyle_Mini_!$C:$K)</f>
        <v>No</v>
      </c>
      <c r="L820" t="str" cm="1">
        <f t="array" ref="L820">_xlfn.IFS(C820&lt;18,"Under_18",C820&lt;=25,"Youth",C820&lt;=35,"Young_Adults",C820&lt;=45,"Mid_Adults",TRUE,"Seniors")</f>
        <v>Mid_Adults</v>
      </c>
    </row>
    <row r="821" spans="1:12" x14ac:dyDescent="0.2">
      <c r="A821">
        <v>820</v>
      </c>
      <c r="B821" t="str">
        <f>_xlfn.XLOOKUP(A821,Instagram_Usage_Lifestyle_Mini_!A821,Instagram_Usage_Lifestyle_Mini_!B821,1)</f>
        <v>Instagram</v>
      </c>
      <c r="C821">
        <f>_xlfn.XLOOKUP($A:$A,Instagram_Usage_Lifestyle_Mini_!$A:$A,Instagram_Usage_Lifestyle_Mini_!$C:$K)</f>
        <v>14</v>
      </c>
      <c r="D821" t="str">
        <f>_xlfn.XLOOKUP($A:$A,Instagram_Usage_Lifestyle_Mini_!$A:$A,Instagram_Usage_Lifestyle_Mini_!$C:$K)</f>
        <v>Female</v>
      </c>
      <c r="E821" t="str">
        <f>_xlfn.XLOOKUP($A:$A,Instagram_Usage_Lifestyle_Mini_!$A:$A,Instagram_Usage_Lifestyle_Mini_!$C:$K)</f>
        <v>India</v>
      </c>
      <c r="F821" t="str">
        <f>_xlfn.XLOOKUP($A:$A,Instagram_Usage_Lifestyle_Mini_!$A:$A,Instagram_Usage_Lifestyle_Mini_!$C:$K)</f>
        <v>Rural</v>
      </c>
      <c r="G821" t="str">
        <f>_xlfn.XLOOKUP($A:$A,Instagram_Usage_Lifestyle_Mini_!$A:$A,Instagram_Usage_Lifestyle_Mini_!$C:$K)</f>
        <v>Low</v>
      </c>
      <c r="H821" t="str">
        <f>_xlfn.XLOOKUP($A:$A,Instagram_Usage_Lifestyle_Mini_!$A:$A,Instagram_Usage_Lifestyle_Mini_!$C:$K)</f>
        <v>Full_time_employed</v>
      </c>
      <c r="I821" t="str">
        <f>_xlfn.XLOOKUP($A:$A,Instagram_Usage_Lifestyle_Mini_!$A:$A,Instagram_Usage_Lifestyle_Mini_!$C:$K)</f>
        <v>High_school</v>
      </c>
      <c r="J821" t="str">
        <f>_xlfn.XLOOKUP($A:$A,Instagram_Usage_Lifestyle_Mini_!$A:$A,Instagram_Usage_Lifestyle_Mini_!$C:$K)</f>
        <v>In_a_relationship</v>
      </c>
      <c r="K821" t="str">
        <f>_xlfn.XLOOKUP($A:$A,Instagram_Usage_Lifestyle_Mini_!$A:$A,Instagram_Usage_Lifestyle_Mini_!$C:$K)</f>
        <v>No</v>
      </c>
      <c r="L821" t="str" cm="1">
        <f t="array" ref="L821">_xlfn.IFS(C821&lt;18,"Under_18",C821&lt;=25,"Youth",C821&lt;=35,"Young_Adults",C821&lt;=45,"Mid_Adults",TRUE,"Seniors")</f>
        <v>Under_18</v>
      </c>
    </row>
    <row r="822" spans="1:12" x14ac:dyDescent="0.2">
      <c r="A822">
        <v>821</v>
      </c>
      <c r="B822" t="str">
        <f>_xlfn.XLOOKUP(A822,Instagram_Usage_Lifestyle_Mini_!A822,Instagram_Usage_Lifestyle_Mini_!B822,1)</f>
        <v>Instagram</v>
      </c>
      <c r="C822">
        <f>_xlfn.XLOOKUP($A:$A,Instagram_Usage_Lifestyle_Mini_!$A:$A,Instagram_Usage_Lifestyle_Mini_!$C:$K)</f>
        <v>22</v>
      </c>
      <c r="D822" t="str">
        <f>_xlfn.XLOOKUP($A:$A,Instagram_Usage_Lifestyle_Mini_!$A:$A,Instagram_Usage_Lifestyle_Mini_!$C:$K)</f>
        <v>Male</v>
      </c>
      <c r="E822" t="str">
        <f>_xlfn.XLOOKUP($A:$A,Instagram_Usage_Lifestyle_Mini_!$A:$A,Instagram_Usage_Lifestyle_Mini_!$C:$K)</f>
        <v>Japan</v>
      </c>
      <c r="F822" t="str">
        <f>_xlfn.XLOOKUP($A:$A,Instagram_Usage_Lifestyle_Mini_!$A:$A,Instagram_Usage_Lifestyle_Mini_!$C:$K)</f>
        <v>Urban</v>
      </c>
      <c r="G822" t="str">
        <f>_xlfn.XLOOKUP($A:$A,Instagram_Usage_Lifestyle_Mini_!$A:$A,Instagram_Usage_Lifestyle_Mini_!$C:$K)</f>
        <v>Upper_middle</v>
      </c>
      <c r="H822" t="str">
        <f>_xlfn.XLOOKUP($A:$A,Instagram_Usage_Lifestyle_Mini_!$A:$A,Instagram_Usage_Lifestyle_Mini_!$C:$K)</f>
        <v>Full_time_employed</v>
      </c>
      <c r="I822" t="str">
        <f>_xlfn.XLOOKUP($A:$A,Instagram_Usage_Lifestyle_Mini_!$A:$A,Instagram_Usage_Lifestyle_Mini_!$C:$K)</f>
        <v>Bachelors_degree</v>
      </c>
      <c r="J822" t="str">
        <f>_xlfn.XLOOKUP($A:$A,Instagram_Usage_Lifestyle_Mini_!$A:$A,Instagram_Usage_Lifestyle_Mini_!$C:$K)</f>
        <v>Single</v>
      </c>
      <c r="K822" t="str">
        <f>_xlfn.XLOOKUP($A:$A,Instagram_Usage_Lifestyle_Mini_!$A:$A,Instagram_Usage_Lifestyle_Mini_!$C:$K)</f>
        <v>Yes</v>
      </c>
      <c r="L822" t="str" cm="1">
        <f t="array" ref="L822">_xlfn.IFS(C822&lt;18,"Under_18",C822&lt;=25,"Youth",C822&lt;=35,"Young_Adults",C822&lt;=45,"Mid_Adults",TRUE,"Seniors")</f>
        <v>Youth</v>
      </c>
    </row>
    <row r="823" spans="1:12" x14ac:dyDescent="0.2">
      <c r="A823">
        <v>822</v>
      </c>
      <c r="B823" t="str">
        <f>_xlfn.XLOOKUP(A823,Instagram_Usage_Lifestyle_Mini_!A823,Instagram_Usage_Lifestyle_Mini_!B823,1)</f>
        <v>Instagram</v>
      </c>
      <c r="C823">
        <f>_xlfn.XLOOKUP($A:$A,Instagram_Usage_Lifestyle_Mini_!$A:$A,Instagram_Usage_Lifestyle_Mini_!$C:$K)</f>
        <v>42</v>
      </c>
      <c r="D823" t="str">
        <f>_xlfn.XLOOKUP($A:$A,Instagram_Usage_Lifestyle_Mini_!$A:$A,Instagram_Usage_Lifestyle_Mini_!$C:$K)</f>
        <v>Male</v>
      </c>
      <c r="E823" t="str">
        <f>_xlfn.XLOOKUP($A:$A,Instagram_Usage_Lifestyle_Mini_!$A:$A,Instagram_Usage_Lifestyle_Mini_!$C:$K)</f>
        <v>Brazil</v>
      </c>
      <c r="F823" t="str">
        <f>_xlfn.XLOOKUP($A:$A,Instagram_Usage_Lifestyle_Mini_!$A:$A,Instagram_Usage_Lifestyle_Mini_!$C:$K)</f>
        <v>Suburban</v>
      </c>
      <c r="G823" t="str">
        <f>_xlfn.XLOOKUP($A:$A,Instagram_Usage_Lifestyle_Mini_!$A:$A,Instagram_Usage_Lifestyle_Mini_!$C:$K)</f>
        <v>Middle</v>
      </c>
      <c r="H823" t="str">
        <f>_xlfn.XLOOKUP($A:$A,Instagram_Usage_Lifestyle_Mini_!$A:$A,Instagram_Usage_Lifestyle_Mini_!$C:$K)</f>
        <v>Full_time_employed</v>
      </c>
      <c r="I823" t="str">
        <f>_xlfn.XLOOKUP($A:$A,Instagram_Usage_Lifestyle_Mini_!$A:$A,Instagram_Usage_Lifestyle_Mini_!$C:$K)</f>
        <v>Bachelors_degree</v>
      </c>
      <c r="J823" t="str">
        <f>_xlfn.XLOOKUP($A:$A,Instagram_Usage_Lifestyle_Mini_!$A:$A,Instagram_Usage_Lifestyle_Mini_!$C:$K)</f>
        <v>Married</v>
      </c>
      <c r="K823" t="str">
        <f>_xlfn.XLOOKUP($A:$A,Instagram_Usage_Lifestyle_Mini_!$A:$A,Instagram_Usage_Lifestyle_Mini_!$C:$K)</f>
        <v>Yes</v>
      </c>
      <c r="L823" t="str" cm="1">
        <f t="array" ref="L823">_xlfn.IFS(C823&lt;18,"Under_18",C823&lt;=25,"Youth",C823&lt;=35,"Young_Adults",C823&lt;=45,"Mid_Adults",TRUE,"Seniors")</f>
        <v>Mid_Adults</v>
      </c>
    </row>
    <row r="824" spans="1:12" x14ac:dyDescent="0.2">
      <c r="A824">
        <v>823</v>
      </c>
      <c r="B824" t="str">
        <f>_xlfn.XLOOKUP(A824,Instagram_Usage_Lifestyle_Mini_!A824,Instagram_Usage_Lifestyle_Mini_!B824,1)</f>
        <v>Instagram</v>
      </c>
      <c r="C824">
        <f>_xlfn.XLOOKUP($A:$A,Instagram_Usage_Lifestyle_Mini_!$A:$A,Instagram_Usage_Lifestyle_Mini_!$C:$K)</f>
        <v>62</v>
      </c>
      <c r="D824" t="str">
        <f>_xlfn.XLOOKUP($A:$A,Instagram_Usage_Lifestyle_Mini_!$A:$A,Instagram_Usage_Lifestyle_Mini_!$C:$K)</f>
        <v>Female</v>
      </c>
      <c r="E824" t="str">
        <f>_xlfn.XLOOKUP($A:$A,Instagram_Usage_Lifestyle_Mini_!$A:$A,Instagram_Usage_Lifestyle_Mini_!$C:$K)</f>
        <v>Other</v>
      </c>
      <c r="F824" t="str">
        <f>_xlfn.XLOOKUP($A:$A,Instagram_Usage_Lifestyle_Mini_!$A:$A,Instagram_Usage_Lifestyle_Mini_!$C:$K)</f>
        <v>Rural</v>
      </c>
      <c r="G824" t="str">
        <f>_xlfn.XLOOKUP($A:$A,Instagram_Usage_Lifestyle_Mini_!$A:$A,Instagram_Usage_Lifestyle_Mini_!$C:$K)</f>
        <v>Middle</v>
      </c>
      <c r="H824" t="str">
        <f>_xlfn.XLOOKUP($A:$A,Instagram_Usage_Lifestyle_Mini_!$A:$A,Instagram_Usage_Lifestyle_Mini_!$C:$K)</f>
        <v>Full_time_employed</v>
      </c>
      <c r="I824" t="str">
        <f>_xlfn.XLOOKUP($A:$A,Instagram_Usage_Lifestyle_Mini_!$A:$A,Instagram_Usage_Lifestyle_Mini_!$C:$K)</f>
        <v>High_school</v>
      </c>
      <c r="J824" t="str">
        <f>_xlfn.XLOOKUP($A:$A,Instagram_Usage_Lifestyle_Mini_!$A:$A,Instagram_Usage_Lifestyle_Mini_!$C:$K)</f>
        <v>In_a_relationship</v>
      </c>
      <c r="K824" t="str">
        <f>_xlfn.XLOOKUP($A:$A,Instagram_Usage_Lifestyle_Mini_!$A:$A,Instagram_Usage_Lifestyle_Mini_!$C:$K)</f>
        <v>No</v>
      </c>
      <c r="L824" t="str" cm="1">
        <f t="array" ref="L824">_xlfn.IFS(C824&lt;18,"Under_18",C824&lt;=25,"Youth",C824&lt;=35,"Young_Adults",C824&lt;=45,"Mid_Adults",TRUE,"Seniors")</f>
        <v>Seniors</v>
      </c>
    </row>
    <row r="825" spans="1:12" x14ac:dyDescent="0.2">
      <c r="A825">
        <v>824</v>
      </c>
      <c r="B825" t="str">
        <f>_xlfn.XLOOKUP(A825,Instagram_Usage_Lifestyle_Mini_!A825,Instagram_Usage_Lifestyle_Mini_!B825,1)</f>
        <v>Instagram</v>
      </c>
      <c r="C825">
        <f>_xlfn.XLOOKUP($A:$A,Instagram_Usage_Lifestyle_Mini_!$A:$A,Instagram_Usage_Lifestyle_Mini_!$C:$K)</f>
        <v>57</v>
      </c>
      <c r="D825" t="str">
        <f>_xlfn.XLOOKUP($A:$A,Instagram_Usage_Lifestyle_Mini_!$A:$A,Instagram_Usage_Lifestyle_Mini_!$C:$K)</f>
        <v>Female</v>
      </c>
      <c r="E825" t="str">
        <f>_xlfn.XLOOKUP($A:$A,Instagram_Usage_Lifestyle_Mini_!$A:$A,Instagram_Usage_Lifestyle_Mini_!$C:$K)</f>
        <v>United _Kingdom</v>
      </c>
      <c r="F825" t="str">
        <f>_xlfn.XLOOKUP($A:$A,Instagram_Usage_Lifestyle_Mini_!$A:$A,Instagram_Usage_Lifestyle_Mini_!$C:$K)</f>
        <v>Suburban</v>
      </c>
      <c r="G825" t="str">
        <f>_xlfn.XLOOKUP($A:$A,Instagram_Usage_Lifestyle_Mini_!$A:$A,Instagram_Usage_Lifestyle_Mini_!$C:$K)</f>
        <v>High</v>
      </c>
      <c r="H825" t="str">
        <f>_xlfn.XLOOKUP($A:$A,Instagram_Usage_Lifestyle_Mini_!$A:$A,Instagram_Usage_Lifestyle_Mini_!$C:$K)</f>
        <v>Full_time_employed</v>
      </c>
      <c r="I825" t="str">
        <f>_xlfn.XLOOKUP($A:$A,Instagram_Usage_Lifestyle_Mini_!$A:$A,Instagram_Usage_Lifestyle_Mini_!$C:$K)</f>
        <v>Bachelors_degree</v>
      </c>
      <c r="J825" t="str">
        <f>_xlfn.XLOOKUP($A:$A,Instagram_Usage_Lifestyle_Mini_!$A:$A,Instagram_Usage_Lifestyle_Mini_!$C:$K)</f>
        <v>Single</v>
      </c>
      <c r="K825" t="str">
        <f>_xlfn.XLOOKUP($A:$A,Instagram_Usage_Lifestyle_Mini_!$A:$A,Instagram_Usage_Lifestyle_Mini_!$C:$K)</f>
        <v>No</v>
      </c>
      <c r="L825" t="str" cm="1">
        <f t="array" ref="L825">_xlfn.IFS(C825&lt;18,"Under_18",C825&lt;=25,"Youth",C825&lt;=35,"Young_Adults",C825&lt;=45,"Mid_Adults",TRUE,"Seniors")</f>
        <v>Seniors</v>
      </c>
    </row>
    <row r="826" spans="1:12" x14ac:dyDescent="0.2">
      <c r="A826">
        <v>825</v>
      </c>
      <c r="B826" t="str">
        <f>_xlfn.XLOOKUP(A826,Instagram_Usage_Lifestyle_Mini_!A826,Instagram_Usage_Lifestyle_Mini_!B826,1)</f>
        <v>Instagram</v>
      </c>
      <c r="C826">
        <f>_xlfn.XLOOKUP($A:$A,Instagram_Usage_Lifestyle_Mini_!$A:$A,Instagram_Usage_Lifestyle_Mini_!$C:$K)</f>
        <v>17</v>
      </c>
      <c r="D826" t="str">
        <f>_xlfn.XLOOKUP($A:$A,Instagram_Usage_Lifestyle_Mini_!$A:$A,Instagram_Usage_Lifestyle_Mini_!$C:$K)</f>
        <v>Female</v>
      </c>
      <c r="E826" t="str">
        <f>_xlfn.XLOOKUP($A:$A,Instagram_Usage_Lifestyle_Mini_!$A:$A,Instagram_Usage_Lifestyle_Mini_!$C:$K)</f>
        <v>India</v>
      </c>
      <c r="F826" t="str">
        <f>_xlfn.XLOOKUP($A:$A,Instagram_Usage_Lifestyle_Mini_!$A:$A,Instagram_Usage_Lifestyle_Mini_!$C:$K)</f>
        <v>Urban</v>
      </c>
      <c r="G826" t="str">
        <f>_xlfn.XLOOKUP($A:$A,Instagram_Usage_Lifestyle_Mini_!$A:$A,Instagram_Usage_Lifestyle_Mini_!$C:$K)</f>
        <v>Upper_middle</v>
      </c>
      <c r="H826" t="str">
        <f>_xlfn.XLOOKUP($A:$A,Instagram_Usage_Lifestyle_Mini_!$A:$A,Instagram_Usage_Lifestyle_Mini_!$C:$K)</f>
        <v>Full_time_employed</v>
      </c>
      <c r="I826" t="str">
        <f>_xlfn.XLOOKUP($A:$A,Instagram_Usage_Lifestyle_Mini_!$A:$A,Instagram_Usage_Lifestyle_Mini_!$C:$K)</f>
        <v>High_school</v>
      </c>
      <c r="J826" t="str">
        <f>_xlfn.XLOOKUP($A:$A,Instagram_Usage_Lifestyle_Mini_!$A:$A,Instagram_Usage_Lifestyle_Mini_!$C:$K)</f>
        <v>In_a_relationship</v>
      </c>
      <c r="K826" t="str">
        <f>_xlfn.XLOOKUP($A:$A,Instagram_Usage_Lifestyle_Mini_!$A:$A,Instagram_Usage_Lifestyle_Mini_!$C:$K)</f>
        <v>Yes</v>
      </c>
      <c r="L826" t="str" cm="1">
        <f t="array" ref="L826">_xlfn.IFS(C826&lt;18,"Under_18",C826&lt;=25,"Youth",C826&lt;=35,"Young_Adults",C826&lt;=45,"Mid_Adults",TRUE,"Seniors")</f>
        <v>Under_18</v>
      </c>
    </row>
    <row r="827" spans="1:12" x14ac:dyDescent="0.2">
      <c r="A827">
        <v>826</v>
      </c>
      <c r="B827" t="str">
        <f>_xlfn.XLOOKUP(A827,Instagram_Usage_Lifestyle_Mini_!A827,Instagram_Usage_Lifestyle_Mini_!B827,1)</f>
        <v>Instagram</v>
      </c>
      <c r="C827">
        <f>_xlfn.XLOOKUP($A:$A,Instagram_Usage_Lifestyle_Mini_!$A:$A,Instagram_Usage_Lifestyle_Mini_!$C:$K)</f>
        <v>45</v>
      </c>
      <c r="D827" t="str">
        <f>_xlfn.XLOOKUP($A:$A,Instagram_Usage_Lifestyle_Mini_!$A:$A,Instagram_Usage_Lifestyle_Mini_!$C:$K)</f>
        <v>Male</v>
      </c>
      <c r="E827" t="str">
        <f>_xlfn.XLOOKUP($A:$A,Instagram_Usage_Lifestyle_Mini_!$A:$A,Instagram_Usage_Lifestyle_Mini_!$C:$K)</f>
        <v>United_States</v>
      </c>
      <c r="F827" t="str">
        <f>_xlfn.XLOOKUP($A:$A,Instagram_Usage_Lifestyle_Mini_!$A:$A,Instagram_Usage_Lifestyle_Mini_!$C:$K)</f>
        <v>Urban</v>
      </c>
      <c r="G827" t="str">
        <f>_xlfn.XLOOKUP($A:$A,Instagram_Usage_Lifestyle_Mini_!$A:$A,Instagram_Usage_Lifestyle_Mini_!$C:$K)</f>
        <v>Low</v>
      </c>
      <c r="H827" t="str">
        <f>_xlfn.XLOOKUP($A:$A,Instagram_Usage_Lifestyle_Mini_!$A:$A,Instagram_Usage_Lifestyle_Mini_!$C:$K)</f>
        <v>Unemployed</v>
      </c>
      <c r="I827" t="str">
        <f>_xlfn.XLOOKUP($A:$A,Instagram_Usage_Lifestyle_Mini_!$A:$A,Instagram_Usage_Lifestyle_Mini_!$C:$K)</f>
        <v>High_school</v>
      </c>
      <c r="J827" t="str">
        <f>_xlfn.XLOOKUP($A:$A,Instagram_Usage_Lifestyle_Mini_!$A:$A,Instagram_Usage_Lifestyle_Mini_!$C:$K)</f>
        <v>Single</v>
      </c>
      <c r="K827" t="str">
        <f>_xlfn.XLOOKUP($A:$A,Instagram_Usage_Lifestyle_Mini_!$A:$A,Instagram_Usage_Lifestyle_Mini_!$C:$K)</f>
        <v>No</v>
      </c>
      <c r="L827" t="str" cm="1">
        <f t="array" ref="L827">_xlfn.IFS(C827&lt;18,"Under_18",C827&lt;=25,"Youth",C827&lt;=35,"Young_Adults",C827&lt;=45,"Mid_Adults",TRUE,"Seniors")</f>
        <v>Mid_Adults</v>
      </c>
    </row>
    <row r="828" spans="1:12" x14ac:dyDescent="0.2">
      <c r="A828">
        <v>827</v>
      </c>
      <c r="B828" t="str">
        <f>_xlfn.XLOOKUP(A828,Instagram_Usage_Lifestyle_Mini_!A828,Instagram_Usage_Lifestyle_Mini_!B828,1)</f>
        <v>Instagram</v>
      </c>
      <c r="C828">
        <f>_xlfn.XLOOKUP($A:$A,Instagram_Usage_Lifestyle_Mini_!$A:$A,Instagram_Usage_Lifestyle_Mini_!$C:$K)</f>
        <v>13</v>
      </c>
      <c r="D828" t="str">
        <f>_xlfn.XLOOKUP($A:$A,Instagram_Usage_Lifestyle_Mini_!$A:$A,Instagram_Usage_Lifestyle_Mini_!$C:$K)</f>
        <v>Male</v>
      </c>
      <c r="E828" t="str">
        <f>_xlfn.XLOOKUP($A:$A,Instagram_Usage_Lifestyle_Mini_!$A:$A,Instagram_Usage_Lifestyle_Mini_!$C:$K)</f>
        <v>United_States</v>
      </c>
      <c r="F828" t="str">
        <f>_xlfn.XLOOKUP($A:$A,Instagram_Usage_Lifestyle_Mini_!$A:$A,Instagram_Usage_Lifestyle_Mini_!$C:$K)</f>
        <v>Urban</v>
      </c>
      <c r="G828" t="str">
        <f>_xlfn.XLOOKUP($A:$A,Instagram_Usage_Lifestyle_Mini_!$A:$A,Instagram_Usage_Lifestyle_Mini_!$C:$K)</f>
        <v>Upper_middle</v>
      </c>
      <c r="H828" t="str">
        <f>_xlfn.XLOOKUP($A:$A,Instagram_Usage_Lifestyle_Mini_!$A:$A,Instagram_Usage_Lifestyle_Mini_!$C:$K)</f>
        <v>Unemployed</v>
      </c>
      <c r="I828" t="str">
        <f>_xlfn.XLOOKUP($A:$A,Instagram_Usage_Lifestyle_Mini_!$A:$A,Instagram_Usage_Lifestyle_Mini_!$C:$K)</f>
        <v>Some_college</v>
      </c>
      <c r="J828" t="str">
        <f>_xlfn.XLOOKUP($A:$A,Instagram_Usage_Lifestyle_Mini_!$A:$A,Instagram_Usage_Lifestyle_Mini_!$C:$K)</f>
        <v>Single</v>
      </c>
      <c r="K828" t="str">
        <f>_xlfn.XLOOKUP($A:$A,Instagram_Usage_Lifestyle_Mini_!$A:$A,Instagram_Usage_Lifestyle_Mini_!$C:$K)</f>
        <v>No</v>
      </c>
      <c r="L828" t="str" cm="1">
        <f t="array" ref="L828">_xlfn.IFS(C828&lt;18,"Under_18",C828&lt;=25,"Youth",C828&lt;=35,"Young_Adults",C828&lt;=45,"Mid_Adults",TRUE,"Seniors")</f>
        <v>Under_18</v>
      </c>
    </row>
    <row r="829" spans="1:12" x14ac:dyDescent="0.2">
      <c r="A829">
        <v>828</v>
      </c>
      <c r="B829" t="str">
        <f>_xlfn.XLOOKUP(A829,Instagram_Usage_Lifestyle_Mini_!A829,Instagram_Usage_Lifestyle_Mini_!B829,1)</f>
        <v>Instagram</v>
      </c>
      <c r="C829">
        <f>_xlfn.XLOOKUP($A:$A,Instagram_Usage_Lifestyle_Mini_!$A:$A,Instagram_Usage_Lifestyle_Mini_!$C:$K)</f>
        <v>30</v>
      </c>
      <c r="D829" t="str">
        <f>_xlfn.XLOOKUP($A:$A,Instagram_Usage_Lifestyle_Mini_!$A:$A,Instagram_Usage_Lifestyle_Mini_!$C:$K)</f>
        <v>Female</v>
      </c>
      <c r="E829" t="str">
        <f>_xlfn.XLOOKUP($A:$A,Instagram_Usage_Lifestyle_Mini_!$A:$A,Instagram_Usage_Lifestyle_Mini_!$C:$K)</f>
        <v>United _Kingdom</v>
      </c>
      <c r="F829" t="str">
        <f>_xlfn.XLOOKUP($A:$A,Instagram_Usage_Lifestyle_Mini_!$A:$A,Instagram_Usage_Lifestyle_Mini_!$C:$K)</f>
        <v>Rural</v>
      </c>
      <c r="G829" t="str">
        <f>_xlfn.XLOOKUP($A:$A,Instagram_Usage_Lifestyle_Mini_!$A:$A,Instagram_Usage_Lifestyle_Mini_!$C:$K)</f>
        <v>Lower_middle</v>
      </c>
      <c r="H829" t="str">
        <f>_xlfn.XLOOKUP($A:$A,Instagram_Usage_Lifestyle_Mini_!$A:$A,Instagram_Usage_Lifestyle_Mini_!$C:$K)</f>
        <v>Unemployed</v>
      </c>
      <c r="I829" t="str">
        <f>_xlfn.XLOOKUP($A:$A,Instagram_Usage_Lifestyle_Mini_!$A:$A,Instagram_Usage_Lifestyle_Mini_!$C:$K)</f>
        <v>High_school</v>
      </c>
      <c r="J829" t="str">
        <f>_xlfn.XLOOKUP($A:$A,Instagram_Usage_Lifestyle_Mini_!$A:$A,Instagram_Usage_Lifestyle_Mini_!$C:$K)</f>
        <v>Divorced</v>
      </c>
      <c r="K829" t="str">
        <f>_xlfn.XLOOKUP($A:$A,Instagram_Usage_Lifestyle_Mini_!$A:$A,Instagram_Usage_Lifestyle_Mini_!$C:$K)</f>
        <v>No</v>
      </c>
      <c r="L829" t="str" cm="1">
        <f t="array" ref="L829">_xlfn.IFS(C829&lt;18,"Under_18",C829&lt;=25,"Youth",C829&lt;=35,"Young_Adults",C829&lt;=45,"Mid_Adults",TRUE,"Seniors")</f>
        <v>Young_Adults</v>
      </c>
    </row>
    <row r="830" spans="1:12" x14ac:dyDescent="0.2">
      <c r="A830">
        <v>829</v>
      </c>
      <c r="B830" t="str">
        <f>_xlfn.XLOOKUP(A830,Instagram_Usage_Lifestyle_Mini_!A830,Instagram_Usage_Lifestyle_Mini_!B830,1)</f>
        <v>Instagram</v>
      </c>
      <c r="C830">
        <f>_xlfn.XLOOKUP($A:$A,Instagram_Usage_Lifestyle_Mini_!$A:$A,Instagram_Usage_Lifestyle_Mini_!$C:$K)</f>
        <v>44</v>
      </c>
      <c r="D830" t="str">
        <f>_xlfn.XLOOKUP($A:$A,Instagram_Usage_Lifestyle_Mini_!$A:$A,Instagram_Usage_Lifestyle_Mini_!$C:$K)</f>
        <v>Male</v>
      </c>
      <c r="E830" t="str">
        <f>_xlfn.XLOOKUP($A:$A,Instagram_Usage_Lifestyle_Mini_!$A:$A,Instagram_Usage_Lifestyle_Mini_!$C:$K)</f>
        <v>Australia</v>
      </c>
      <c r="F830" t="str">
        <f>_xlfn.XLOOKUP($A:$A,Instagram_Usage_Lifestyle_Mini_!$A:$A,Instagram_Usage_Lifestyle_Mini_!$C:$K)</f>
        <v>Urban</v>
      </c>
      <c r="G830" t="str">
        <f>_xlfn.XLOOKUP($A:$A,Instagram_Usage_Lifestyle_Mini_!$A:$A,Instagram_Usage_Lifestyle_Mini_!$C:$K)</f>
        <v>Low</v>
      </c>
      <c r="H830" t="str">
        <f>_xlfn.XLOOKUP($A:$A,Instagram_Usage_Lifestyle_Mini_!$A:$A,Instagram_Usage_Lifestyle_Mini_!$C:$K)</f>
        <v>Full_time_employed</v>
      </c>
      <c r="I830" t="str">
        <f>_xlfn.XLOOKUP($A:$A,Instagram_Usage_Lifestyle_Mini_!$A:$A,Instagram_Usage_Lifestyle_Mini_!$C:$K)</f>
        <v>High_school</v>
      </c>
      <c r="J830" t="str">
        <f>_xlfn.XLOOKUP($A:$A,Instagram_Usage_Lifestyle_Mini_!$A:$A,Instagram_Usage_Lifestyle_Mini_!$C:$K)</f>
        <v>Married</v>
      </c>
      <c r="K830" t="str">
        <f>_xlfn.XLOOKUP($A:$A,Instagram_Usage_Lifestyle_Mini_!$A:$A,Instagram_Usage_Lifestyle_Mini_!$C:$K)</f>
        <v>Yes</v>
      </c>
      <c r="L830" t="str" cm="1">
        <f t="array" ref="L830">_xlfn.IFS(C830&lt;18,"Under_18",C830&lt;=25,"Youth",C830&lt;=35,"Young_Adults",C830&lt;=45,"Mid_Adults",TRUE,"Seniors")</f>
        <v>Mid_Adults</v>
      </c>
    </row>
    <row r="831" spans="1:12" x14ac:dyDescent="0.2">
      <c r="A831">
        <v>830</v>
      </c>
      <c r="B831" t="str">
        <f>_xlfn.XLOOKUP(A831,Instagram_Usage_Lifestyle_Mini_!A831,Instagram_Usage_Lifestyle_Mini_!B831,1)</f>
        <v>Instagram</v>
      </c>
      <c r="C831">
        <f>_xlfn.XLOOKUP($A:$A,Instagram_Usage_Lifestyle_Mini_!$A:$A,Instagram_Usage_Lifestyle_Mini_!$C:$K)</f>
        <v>59</v>
      </c>
      <c r="D831" t="str">
        <f>_xlfn.XLOOKUP($A:$A,Instagram_Usage_Lifestyle_Mini_!$A:$A,Instagram_Usage_Lifestyle_Mini_!$C:$K)</f>
        <v>Male</v>
      </c>
      <c r="E831" t="str">
        <f>_xlfn.XLOOKUP($A:$A,Instagram_Usage_Lifestyle_Mini_!$A:$A,Instagram_Usage_Lifestyle_Mini_!$C:$K)</f>
        <v>United_States</v>
      </c>
      <c r="F831" t="str">
        <f>_xlfn.XLOOKUP($A:$A,Instagram_Usage_Lifestyle_Mini_!$A:$A,Instagram_Usage_Lifestyle_Mini_!$C:$K)</f>
        <v>Urban</v>
      </c>
      <c r="G831" t="str">
        <f>_xlfn.XLOOKUP($A:$A,Instagram_Usage_Lifestyle_Mini_!$A:$A,Instagram_Usage_Lifestyle_Mini_!$C:$K)</f>
        <v>High</v>
      </c>
      <c r="H831" t="str">
        <f>_xlfn.XLOOKUP($A:$A,Instagram_Usage_Lifestyle_Mini_!$A:$A,Instagram_Usage_Lifestyle_Mini_!$C:$K)</f>
        <v>Student</v>
      </c>
      <c r="I831" t="str">
        <f>_xlfn.XLOOKUP($A:$A,Instagram_Usage_Lifestyle_Mini_!$A:$A,Instagram_Usage_Lifestyle_Mini_!$C:$K)</f>
        <v>Bachelors_degree</v>
      </c>
      <c r="J831" t="str">
        <f>_xlfn.XLOOKUP($A:$A,Instagram_Usage_Lifestyle_Mini_!$A:$A,Instagram_Usage_Lifestyle_Mini_!$C:$K)</f>
        <v>Married</v>
      </c>
      <c r="K831" t="str">
        <f>_xlfn.XLOOKUP($A:$A,Instagram_Usage_Lifestyle_Mini_!$A:$A,Instagram_Usage_Lifestyle_Mini_!$C:$K)</f>
        <v>No</v>
      </c>
      <c r="L831" t="str" cm="1">
        <f t="array" ref="L831">_xlfn.IFS(C831&lt;18,"Under_18",C831&lt;=25,"Youth",C831&lt;=35,"Young_Adults",C831&lt;=45,"Mid_Adults",TRUE,"Seniors")</f>
        <v>Seniors</v>
      </c>
    </row>
    <row r="832" spans="1:12" x14ac:dyDescent="0.2">
      <c r="A832">
        <v>831</v>
      </c>
      <c r="B832" t="str">
        <f>_xlfn.XLOOKUP(A832,Instagram_Usage_Lifestyle_Mini_!A832,Instagram_Usage_Lifestyle_Mini_!B832,1)</f>
        <v>Instagram</v>
      </c>
      <c r="C832">
        <f>_xlfn.XLOOKUP($A:$A,Instagram_Usage_Lifestyle_Mini_!$A:$A,Instagram_Usage_Lifestyle_Mini_!$C:$K)</f>
        <v>61</v>
      </c>
      <c r="D832" t="str">
        <f>_xlfn.XLOOKUP($A:$A,Instagram_Usage_Lifestyle_Mini_!$A:$A,Instagram_Usage_Lifestyle_Mini_!$C:$K)</f>
        <v>Male</v>
      </c>
      <c r="E832" t="str">
        <f>_xlfn.XLOOKUP($A:$A,Instagram_Usage_Lifestyle_Mini_!$A:$A,Instagram_Usage_Lifestyle_Mini_!$C:$K)</f>
        <v>United_States</v>
      </c>
      <c r="F832" t="str">
        <f>_xlfn.XLOOKUP($A:$A,Instagram_Usage_Lifestyle_Mini_!$A:$A,Instagram_Usage_Lifestyle_Mini_!$C:$K)</f>
        <v>Urban</v>
      </c>
      <c r="G832" t="str">
        <f>_xlfn.XLOOKUP($A:$A,Instagram_Usage_Lifestyle_Mini_!$A:$A,Instagram_Usage_Lifestyle_Mini_!$C:$K)</f>
        <v>Upper_middle</v>
      </c>
      <c r="H832" t="str">
        <f>_xlfn.XLOOKUP($A:$A,Instagram_Usage_Lifestyle_Mini_!$A:$A,Instagram_Usage_Lifestyle_Mini_!$C:$K)</f>
        <v>Full_time_employed</v>
      </c>
      <c r="I832" t="str">
        <f>_xlfn.XLOOKUP($A:$A,Instagram_Usage_Lifestyle_Mini_!$A:$A,Instagram_Usage_Lifestyle_Mini_!$C:$K)</f>
        <v>High_school</v>
      </c>
      <c r="J832" t="str">
        <f>_xlfn.XLOOKUP($A:$A,Instagram_Usage_Lifestyle_Mini_!$A:$A,Instagram_Usage_Lifestyle_Mini_!$C:$K)</f>
        <v>In_a_relationship</v>
      </c>
      <c r="K832" t="str">
        <f>_xlfn.XLOOKUP($A:$A,Instagram_Usage_Lifestyle_Mini_!$A:$A,Instagram_Usage_Lifestyle_Mini_!$C:$K)</f>
        <v>Yes</v>
      </c>
      <c r="L832" t="str" cm="1">
        <f t="array" ref="L832">_xlfn.IFS(C832&lt;18,"Under_18",C832&lt;=25,"Youth",C832&lt;=35,"Young_Adults",C832&lt;=45,"Mid_Adults",TRUE,"Seniors")</f>
        <v>Seniors</v>
      </c>
    </row>
    <row r="833" spans="1:12" x14ac:dyDescent="0.2">
      <c r="A833">
        <v>832</v>
      </c>
      <c r="B833" t="str">
        <f>_xlfn.XLOOKUP(A833,Instagram_Usage_Lifestyle_Mini_!A833,Instagram_Usage_Lifestyle_Mini_!B833,1)</f>
        <v>Instagram</v>
      </c>
      <c r="C833">
        <f>_xlfn.XLOOKUP($A:$A,Instagram_Usage_Lifestyle_Mini_!$A:$A,Instagram_Usage_Lifestyle_Mini_!$C:$K)</f>
        <v>23</v>
      </c>
      <c r="D833" t="str">
        <f>_xlfn.XLOOKUP($A:$A,Instagram_Usage_Lifestyle_Mini_!$A:$A,Instagram_Usage_Lifestyle_Mini_!$C:$K)</f>
        <v>Female</v>
      </c>
      <c r="E833" t="str">
        <f>_xlfn.XLOOKUP($A:$A,Instagram_Usage_Lifestyle_Mini_!$A:$A,Instagram_Usage_Lifestyle_Mini_!$C:$K)</f>
        <v>Australia</v>
      </c>
      <c r="F833" t="str">
        <f>_xlfn.XLOOKUP($A:$A,Instagram_Usage_Lifestyle_Mini_!$A:$A,Instagram_Usage_Lifestyle_Mini_!$C:$K)</f>
        <v>Suburban</v>
      </c>
      <c r="G833" t="str">
        <f>_xlfn.XLOOKUP($A:$A,Instagram_Usage_Lifestyle_Mini_!$A:$A,Instagram_Usage_Lifestyle_Mini_!$C:$K)</f>
        <v>High</v>
      </c>
      <c r="H833" t="str">
        <f>_xlfn.XLOOKUP($A:$A,Instagram_Usage_Lifestyle_Mini_!$A:$A,Instagram_Usage_Lifestyle_Mini_!$C:$K)</f>
        <v>Full_time_employed</v>
      </c>
      <c r="I833" t="str">
        <f>_xlfn.XLOOKUP($A:$A,Instagram_Usage_Lifestyle_Mini_!$A:$A,Instagram_Usage_Lifestyle_Mini_!$C:$K)</f>
        <v>Bachelors_degree</v>
      </c>
      <c r="J833" t="str">
        <f>_xlfn.XLOOKUP($A:$A,Instagram_Usage_Lifestyle_Mini_!$A:$A,Instagram_Usage_Lifestyle_Mini_!$C:$K)</f>
        <v>In_a_relationship</v>
      </c>
      <c r="K833" t="str">
        <f>_xlfn.XLOOKUP($A:$A,Instagram_Usage_Lifestyle_Mini_!$A:$A,Instagram_Usage_Lifestyle_Mini_!$C:$K)</f>
        <v>No</v>
      </c>
      <c r="L833" t="str" cm="1">
        <f t="array" ref="L833">_xlfn.IFS(C833&lt;18,"Under_18",C833&lt;=25,"Youth",C833&lt;=35,"Young_Adults",C833&lt;=45,"Mid_Adults",TRUE,"Seniors")</f>
        <v>Youth</v>
      </c>
    </row>
    <row r="834" spans="1:12" x14ac:dyDescent="0.2">
      <c r="A834">
        <v>833</v>
      </c>
      <c r="B834" t="str">
        <f>_xlfn.XLOOKUP(A834,Instagram_Usage_Lifestyle_Mini_!A834,Instagram_Usage_Lifestyle_Mini_!B834,1)</f>
        <v>Instagram</v>
      </c>
      <c r="C834">
        <f>_xlfn.XLOOKUP($A:$A,Instagram_Usage_Lifestyle_Mini_!$A:$A,Instagram_Usage_Lifestyle_Mini_!$C:$K)</f>
        <v>33</v>
      </c>
      <c r="D834" t="str">
        <f>_xlfn.XLOOKUP($A:$A,Instagram_Usage_Lifestyle_Mini_!$A:$A,Instagram_Usage_Lifestyle_Mini_!$C:$K)</f>
        <v>Female</v>
      </c>
      <c r="E834" t="str">
        <f>_xlfn.XLOOKUP($A:$A,Instagram_Usage_Lifestyle_Mini_!$A:$A,Instagram_Usage_Lifestyle_Mini_!$C:$K)</f>
        <v>Canada</v>
      </c>
      <c r="F834" t="str">
        <f>_xlfn.XLOOKUP($A:$A,Instagram_Usage_Lifestyle_Mini_!$A:$A,Instagram_Usage_Lifestyle_Mini_!$C:$K)</f>
        <v>Urban</v>
      </c>
      <c r="G834" t="str">
        <f>_xlfn.XLOOKUP($A:$A,Instagram_Usage_Lifestyle_Mini_!$A:$A,Instagram_Usage_Lifestyle_Mini_!$C:$K)</f>
        <v>Middle</v>
      </c>
      <c r="H834" t="str">
        <f>_xlfn.XLOOKUP($A:$A,Instagram_Usage_Lifestyle_Mini_!$A:$A,Instagram_Usage_Lifestyle_Mini_!$C:$K)</f>
        <v>Student</v>
      </c>
      <c r="I834" t="str">
        <f>_xlfn.XLOOKUP($A:$A,Instagram_Usage_Lifestyle_Mini_!$A:$A,Instagram_Usage_Lifestyle_Mini_!$C:$K)</f>
        <v>Bachelors_degree</v>
      </c>
      <c r="J834" t="str">
        <f>_xlfn.XLOOKUP($A:$A,Instagram_Usage_Lifestyle_Mini_!$A:$A,Instagram_Usage_Lifestyle_Mini_!$C:$K)</f>
        <v>Single</v>
      </c>
      <c r="K834" t="str">
        <f>_xlfn.XLOOKUP($A:$A,Instagram_Usage_Lifestyle_Mini_!$A:$A,Instagram_Usage_Lifestyle_Mini_!$C:$K)</f>
        <v>Yes</v>
      </c>
      <c r="L834" t="str" cm="1">
        <f t="array" ref="L834">_xlfn.IFS(C834&lt;18,"Under_18",C834&lt;=25,"Youth",C834&lt;=35,"Young_Adults",C834&lt;=45,"Mid_Adults",TRUE,"Seniors")</f>
        <v>Young_Adults</v>
      </c>
    </row>
    <row r="835" spans="1:12" x14ac:dyDescent="0.2">
      <c r="A835">
        <v>834</v>
      </c>
      <c r="B835" t="str">
        <f>_xlfn.XLOOKUP(A835,Instagram_Usage_Lifestyle_Mini_!A835,Instagram_Usage_Lifestyle_Mini_!B835,1)</f>
        <v>Instagram</v>
      </c>
      <c r="C835">
        <f>_xlfn.XLOOKUP($A:$A,Instagram_Usage_Lifestyle_Mini_!$A:$A,Instagram_Usage_Lifestyle_Mini_!$C:$K)</f>
        <v>38</v>
      </c>
      <c r="D835" t="str">
        <f>_xlfn.XLOOKUP($A:$A,Instagram_Usage_Lifestyle_Mini_!$A:$A,Instagram_Usage_Lifestyle_Mini_!$C:$K)</f>
        <v>Male</v>
      </c>
      <c r="E835" t="str">
        <f>_xlfn.XLOOKUP($A:$A,Instagram_Usage_Lifestyle_Mini_!$A:$A,Instagram_Usage_Lifestyle_Mini_!$C:$K)</f>
        <v>United_States</v>
      </c>
      <c r="F835" t="str">
        <f>_xlfn.XLOOKUP($A:$A,Instagram_Usage_Lifestyle_Mini_!$A:$A,Instagram_Usage_Lifestyle_Mini_!$C:$K)</f>
        <v>Suburban</v>
      </c>
      <c r="G835" t="str">
        <f>_xlfn.XLOOKUP($A:$A,Instagram_Usage_Lifestyle_Mini_!$A:$A,Instagram_Usage_Lifestyle_Mini_!$C:$K)</f>
        <v>Low</v>
      </c>
      <c r="H835" t="str">
        <f>_xlfn.XLOOKUP($A:$A,Instagram_Usage_Lifestyle_Mini_!$A:$A,Instagram_Usage_Lifestyle_Mini_!$C:$K)</f>
        <v>Freelancer</v>
      </c>
      <c r="I835" t="str">
        <f>_xlfn.XLOOKUP($A:$A,Instagram_Usage_Lifestyle_Mini_!$A:$A,Instagram_Usage_Lifestyle_Mini_!$C:$K)</f>
        <v>Bachelors_degree</v>
      </c>
      <c r="J835" t="str">
        <f>_xlfn.XLOOKUP($A:$A,Instagram_Usage_Lifestyle_Mini_!$A:$A,Instagram_Usage_Lifestyle_Mini_!$C:$K)</f>
        <v>Married</v>
      </c>
      <c r="K835" t="str">
        <f>_xlfn.XLOOKUP($A:$A,Instagram_Usage_Lifestyle_Mini_!$A:$A,Instagram_Usage_Lifestyle_Mini_!$C:$K)</f>
        <v>Yes</v>
      </c>
      <c r="L835" t="str" cm="1">
        <f t="array" ref="L835">_xlfn.IFS(C835&lt;18,"Under_18",C835&lt;=25,"Youth",C835&lt;=35,"Young_Adults",C835&lt;=45,"Mid_Adults",TRUE,"Seniors")</f>
        <v>Mid_Adults</v>
      </c>
    </row>
    <row r="836" spans="1:12" x14ac:dyDescent="0.2">
      <c r="A836">
        <v>835</v>
      </c>
      <c r="B836" t="str">
        <f>_xlfn.XLOOKUP(A836,Instagram_Usage_Lifestyle_Mini_!A836,Instagram_Usage_Lifestyle_Mini_!B836,1)</f>
        <v>Instagram</v>
      </c>
      <c r="C836">
        <f>_xlfn.XLOOKUP($A:$A,Instagram_Usage_Lifestyle_Mini_!$A:$A,Instagram_Usage_Lifestyle_Mini_!$C:$K)</f>
        <v>37</v>
      </c>
      <c r="D836" t="str">
        <f>_xlfn.XLOOKUP($A:$A,Instagram_Usage_Lifestyle_Mini_!$A:$A,Instagram_Usage_Lifestyle_Mini_!$C:$K)</f>
        <v>Male</v>
      </c>
      <c r="E836" t="str">
        <f>_xlfn.XLOOKUP($A:$A,Instagram_Usage_Lifestyle_Mini_!$A:$A,Instagram_Usage_Lifestyle_Mini_!$C:$K)</f>
        <v>United_States</v>
      </c>
      <c r="F836" t="str">
        <f>_xlfn.XLOOKUP($A:$A,Instagram_Usage_Lifestyle_Mini_!$A:$A,Instagram_Usage_Lifestyle_Mini_!$C:$K)</f>
        <v>Suburban</v>
      </c>
      <c r="G836" t="str">
        <f>_xlfn.XLOOKUP($A:$A,Instagram_Usage_Lifestyle_Mini_!$A:$A,Instagram_Usage_Lifestyle_Mini_!$C:$K)</f>
        <v>Low</v>
      </c>
      <c r="H836" t="str">
        <f>_xlfn.XLOOKUP($A:$A,Instagram_Usage_Lifestyle_Mini_!$A:$A,Instagram_Usage_Lifestyle_Mini_!$C:$K)</f>
        <v>Full_time_employed</v>
      </c>
      <c r="I836" t="str">
        <f>_xlfn.XLOOKUP($A:$A,Instagram_Usage_Lifestyle_Mini_!$A:$A,Instagram_Usage_Lifestyle_Mini_!$C:$K)</f>
        <v>Bachelors_degree</v>
      </c>
      <c r="J836" t="str">
        <f>_xlfn.XLOOKUP($A:$A,Instagram_Usage_Lifestyle_Mini_!$A:$A,Instagram_Usage_Lifestyle_Mini_!$C:$K)</f>
        <v>Divorced</v>
      </c>
      <c r="K836" t="str">
        <f>_xlfn.XLOOKUP($A:$A,Instagram_Usage_Lifestyle_Mini_!$A:$A,Instagram_Usage_Lifestyle_Mini_!$C:$K)</f>
        <v>No</v>
      </c>
      <c r="L836" t="str" cm="1">
        <f t="array" ref="L836">_xlfn.IFS(C836&lt;18,"Under_18",C836&lt;=25,"Youth",C836&lt;=35,"Young_Adults",C836&lt;=45,"Mid_Adults",TRUE,"Seniors")</f>
        <v>Mid_Adults</v>
      </c>
    </row>
    <row r="837" spans="1:12" x14ac:dyDescent="0.2">
      <c r="A837">
        <v>836</v>
      </c>
      <c r="B837" t="str">
        <f>_xlfn.XLOOKUP(A837,Instagram_Usage_Lifestyle_Mini_!A837,Instagram_Usage_Lifestyle_Mini_!B837,1)</f>
        <v>Instagram</v>
      </c>
      <c r="C837">
        <f>_xlfn.XLOOKUP($A:$A,Instagram_Usage_Lifestyle_Mini_!$A:$A,Instagram_Usage_Lifestyle_Mini_!$C:$K)</f>
        <v>34</v>
      </c>
      <c r="D837" t="str">
        <f>_xlfn.XLOOKUP($A:$A,Instagram_Usage_Lifestyle_Mini_!$A:$A,Instagram_Usage_Lifestyle_Mini_!$C:$K)</f>
        <v>Male</v>
      </c>
      <c r="E837" t="str">
        <f>_xlfn.XLOOKUP($A:$A,Instagram_Usage_Lifestyle_Mini_!$A:$A,Instagram_Usage_Lifestyle_Mini_!$C:$K)</f>
        <v>Germany</v>
      </c>
      <c r="F837" t="str">
        <f>_xlfn.XLOOKUP($A:$A,Instagram_Usage_Lifestyle_Mini_!$A:$A,Instagram_Usage_Lifestyle_Mini_!$C:$K)</f>
        <v>Urban</v>
      </c>
      <c r="G837" t="str">
        <f>_xlfn.XLOOKUP($A:$A,Instagram_Usage_Lifestyle_Mini_!$A:$A,Instagram_Usage_Lifestyle_Mini_!$C:$K)</f>
        <v>Middle</v>
      </c>
      <c r="H837" t="str">
        <f>_xlfn.XLOOKUP($A:$A,Instagram_Usage_Lifestyle_Mini_!$A:$A,Instagram_Usage_Lifestyle_Mini_!$C:$K)</f>
        <v>Student</v>
      </c>
      <c r="I837" t="str">
        <f>_xlfn.XLOOKUP($A:$A,Instagram_Usage_Lifestyle_Mini_!$A:$A,Instagram_Usage_Lifestyle_Mini_!$C:$K)</f>
        <v>High_school</v>
      </c>
      <c r="J837" t="str">
        <f>_xlfn.XLOOKUP($A:$A,Instagram_Usage_Lifestyle_Mini_!$A:$A,Instagram_Usage_Lifestyle_Mini_!$C:$K)</f>
        <v>Single</v>
      </c>
      <c r="K837" t="str">
        <f>_xlfn.XLOOKUP($A:$A,Instagram_Usage_Lifestyle_Mini_!$A:$A,Instagram_Usage_Lifestyle_Mini_!$C:$K)</f>
        <v>No</v>
      </c>
      <c r="L837" t="str" cm="1">
        <f t="array" ref="L837">_xlfn.IFS(C837&lt;18,"Under_18",C837&lt;=25,"Youth",C837&lt;=35,"Young_Adults",C837&lt;=45,"Mid_Adults",TRUE,"Seniors")</f>
        <v>Young_Adults</v>
      </c>
    </row>
    <row r="838" spans="1:12" x14ac:dyDescent="0.2">
      <c r="A838">
        <v>837</v>
      </c>
      <c r="B838" t="str">
        <f>_xlfn.XLOOKUP(A838,Instagram_Usage_Lifestyle_Mini_!A838,Instagram_Usage_Lifestyle_Mini_!B838,1)</f>
        <v>Instagram</v>
      </c>
      <c r="C838">
        <f>_xlfn.XLOOKUP($A:$A,Instagram_Usage_Lifestyle_Mini_!$A:$A,Instagram_Usage_Lifestyle_Mini_!$C:$K)</f>
        <v>39</v>
      </c>
      <c r="D838" t="str">
        <f>_xlfn.XLOOKUP($A:$A,Instagram_Usage_Lifestyle_Mini_!$A:$A,Instagram_Usage_Lifestyle_Mini_!$C:$K)</f>
        <v>Female</v>
      </c>
      <c r="E838" t="str">
        <f>_xlfn.XLOOKUP($A:$A,Instagram_Usage_Lifestyle_Mini_!$A:$A,Instagram_Usage_Lifestyle_Mini_!$C:$K)</f>
        <v>Brazil</v>
      </c>
      <c r="F838" t="str">
        <f>_xlfn.XLOOKUP($A:$A,Instagram_Usage_Lifestyle_Mini_!$A:$A,Instagram_Usage_Lifestyle_Mini_!$C:$K)</f>
        <v>Urban</v>
      </c>
      <c r="G838" t="str">
        <f>_xlfn.XLOOKUP($A:$A,Instagram_Usage_Lifestyle_Mini_!$A:$A,Instagram_Usage_Lifestyle_Mini_!$C:$K)</f>
        <v>Middle</v>
      </c>
      <c r="H838" t="str">
        <f>_xlfn.XLOOKUP($A:$A,Instagram_Usage_Lifestyle_Mini_!$A:$A,Instagram_Usage_Lifestyle_Mini_!$C:$K)</f>
        <v>Unemployed</v>
      </c>
      <c r="I838" t="str">
        <f>_xlfn.XLOOKUP($A:$A,Instagram_Usage_Lifestyle_Mini_!$A:$A,Instagram_Usage_Lifestyle_Mini_!$C:$K)</f>
        <v>Some_college</v>
      </c>
      <c r="J838" t="str">
        <f>_xlfn.XLOOKUP($A:$A,Instagram_Usage_Lifestyle_Mini_!$A:$A,Instagram_Usage_Lifestyle_Mini_!$C:$K)</f>
        <v>Divorced</v>
      </c>
      <c r="K838" t="str">
        <f>_xlfn.XLOOKUP($A:$A,Instagram_Usage_Lifestyle_Mini_!$A:$A,Instagram_Usage_Lifestyle_Mini_!$C:$K)</f>
        <v>Yes</v>
      </c>
      <c r="L838" t="str" cm="1">
        <f t="array" ref="L838">_xlfn.IFS(C838&lt;18,"Under_18",C838&lt;=25,"Youth",C838&lt;=35,"Young_Adults",C838&lt;=45,"Mid_Adults",TRUE,"Seniors")</f>
        <v>Mid_Adults</v>
      </c>
    </row>
    <row r="839" spans="1:12" x14ac:dyDescent="0.2">
      <c r="A839">
        <v>838</v>
      </c>
      <c r="B839" t="str">
        <f>_xlfn.XLOOKUP(A839,Instagram_Usage_Lifestyle_Mini_!A839,Instagram_Usage_Lifestyle_Mini_!B839,1)</f>
        <v>Instagram</v>
      </c>
      <c r="C839">
        <f>_xlfn.XLOOKUP($A:$A,Instagram_Usage_Lifestyle_Mini_!$A:$A,Instagram_Usage_Lifestyle_Mini_!$C:$K)</f>
        <v>61</v>
      </c>
      <c r="D839" t="str">
        <f>_xlfn.XLOOKUP($A:$A,Instagram_Usage_Lifestyle_Mini_!$A:$A,Instagram_Usage_Lifestyle_Mini_!$C:$K)</f>
        <v>Female</v>
      </c>
      <c r="E839" t="str">
        <f>_xlfn.XLOOKUP($A:$A,Instagram_Usage_Lifestyle_Mini_!$A:$A,Instagram_Usage_Lifestyle_Mini_!$C:$K)</f>
        <v>United_States</v>
      </c>
      <c r="F839" t="str">
        <f>_xlfn.XLOOKUP($A:$A,Instagram_Usage_Lifestyle_Mini_!$A:$A,Instagram_Usage_Lifestyle_Mini_!$C:$K)</f>
        <v>Suburban</v>
      </c>
      <c r="G839" t="str">
        <f>_xlfn.XLOOKUP($A:$A,Instagram_Usage_Lifestyle_Mini_!$A:$A,Instagram_Usage_Lifestyle_Mini_!$C:$K)</f>
        <v>Low</v>
      </c>
      <c r="H839" t="str">
        <f>_xlfn.XLOOKUP($A:$A,Instagram_Usage_Lifestyle_Mini_!$A:$A,Instagram_Usage_Lifestyle_Mini_!$C:$K)</f>
        <v>Full_time_employed</v>
      </c>
      <c r="I839" t="str">
        <f>_xlfn.XLOOKUP($A:$A,Instagram_Usage_Lifestyle_Mini_!$A:$A,Instagram_Usage_Lifestyle_Mini_!$C:$K)</f>
        <v>High_school</v>
      </c>
      <c r="J839" t="str">
        <f>_xlfn.XLOOKUP($A:$A,Instagram_Usage_Lifestyle_Mini_!$A:$A,Instagram_Usage_Lifestyle_Mini_!$C:$K)</f>
        <v>Single</v>
      </c>
      <c r="K839" t="str">
        <f>_xlfn.XLOOKUP($A:$A,Instagram_Usage_Lifestyle_Mini_!$A:$A,Instagram_Usage_Lifestyle_Mini_!$C:$K)</f>
        <v>No</v>
      </c>
      <c r="L839" t="str" cm="1">
        <f t="array" ref="L839">_xlfn.IFS(C839&lt;18,"Under_18",C839&lt;=25,"Youth",C839&lt;=35,"Young_Adults",C839&lt;=45,"Mid_Adults",TRUE,"Seniors")</f>
        <v>Seniors</v>
      </c>
    </row>
    <row r="840" spans="1:12" x14ac:dyDescent="0.2">
      <c r="A840">
        <v>839</v>
      </c>
      <c r="B840" t="str">
        <f>_xlfn.XLOOKUP(A840,Instagram_Usage_Lifestyle_Mini_!A840,Instagram_Usage_Lifestyle_Mini_!B840,1)</f>
        <v>Instagram</v>
      </c>
      <c r="C840">
        <f>_xlfn.XLOOKUP($A:$A,Instagram_Usage_Lifestyle_Mini_!$A:$A,Instagram_Usage_Lifestyle_Mini_!$C:$K)</f>
        <v>25</v>
      </c>
      <c r="D840" t="str">
        <f>_xlfn.XLOOKUP($A:$A,Instagram_Usage_Lifestyle_Mini_!$A:$A,Instagram_Usage_Lifestyle_Mini_!$C:$K)</f>
        <v>Female</v>
      </c>
      <c r="E840" t="str">
        <f>_xlfn.XLOOKUP($A:$A,Instagram_Usage_Lifestyle_Mini_!$A:$A,Instagram_Usage_Lifestyle_Mini_!$C:$K)</f>
        <v>South_Korea</v>
      </c>
      <c r="F840" t="str">
        <f>_xlfn.XLOOKUP($A:$A,Instagram_Usage_Lifestyle_Mini_!$A:$A,Instagram_Usage_Lifestyle_Mini_!$C:$K)</f>
        <v>Urban</v>
      </c>
      <c r="G840" t="str">
        <f>_xlfn.XLOOKUP($A:$A,Instagram_Usage_Lifestyle_Mini_!$A:$A,Instagram_Usage_Lifestyle_Mini_!$C:$K)</f>
        <v>Middle</v>
      </c>
      <c r="H840" t="str">
        <f>_xlfn.XLOOKUP($A:$A,Instagram_Usage_Lifestyle_Mini_!$A:$A,Instagram_Usage_Lifestyle_Mini_!$C:$K)</f>
        <v>Full_time_employed</v>
      </c>
      <c r="I840" t="str">
        <f>_xlfn.XLOOKUP($A:$A,Instagram_Usage_Lifestyle_Mini_!$A:$A,Instagram_Usage_Lifestyle_Mini_!$C:$K)</f>
        <v>Bachelors_degree</v>
      </c>
      <c r="J840" t="str">
        <f>_xlfn.XLOOKUP($A:$A,Instagram_Usage_Lifestyle_Mini_!$A:$A,Instagram_Usage_Lifestyle_Mini_!$C:$K)</f>
        <v>Married</v>
      </c>
      <c r="K840" t="str">
        <f>_xlfn.XLOOKUP($A:$A,Instagram_Usage_Lifestyle_Mini_!$A:$A,Instagram_Usage_Lifestyle_Mini_!$C:$K)</f>
        <v>Yes</v>
      </c>
      <c r="L840" t="str" cm="1">
        <f t="array" ref="L840">_xlfn.IFS(C840&lt;18,"Under_18",C840&lt;=25,"Youth",C840&lt;=35,"Young_Adults",C840&lt;=45,"Mid_Adults",TRUE,"Seniors")</f>
        <v>Youth</v>
      </c>
    </row>
    <row r="841" spans="1:12" x14ac:dyDescent="0.2">
      <c r="A841">
        <v>840</v>
      </c>
      <c r="B841" t="str">
        <f>_xlfn.XLOOKUP(A841,Instagram_Usage_Lifestyle_Mini_!A841,Instagram_Usage_Lifestyle_Mini_!B841,1)</f>
        <v>Instagram</v>
      </c>
      <c r="C841">
        <f>_xlfn.XLOOKUP($A:$A,Instagram_Usage_Lifestyle_Mini_!$A:$A,Instagram_Usage_Lifestyle_Mini_!$C:$K)</f>
        <v>45</v>
      </c>
      <c r="D841" t="str">
        <f>_xlfn.XLOOKUP($A:$A,Instagram_Usage_Lifestyle_Mini_!$A:$A,Instagram_Usage_Lifestyle_Mini_!$C:$K)</f>
        <v>Male</v>
      </c>
      <c r="E841" t="str">
        <f>_xlfn.XLOOKUP($A:$A,Instagram_Usage_Lifestyle_Mini_!$A:$A,Instagram_Usage_Lifestyle_Mini_!$C:$K)</f>
        <v>United_States</v>
      </c>
      <c r="F841" t="str">
        <f>_xlfn.XLOOKUP($A:$A,Instagram_Usage_Lifestyle_Mini_!$A:$A,Instagram_Usage_Lifestyle_Mini_!$C:$K)</f>
        <v>Suburban</v>
      </c>
      <c r="G841" t="str">
        <f>_xlfn.XLOOKUP($A:$A,Instagram_Usage_Lifestyle_Mini_!$A:$A,Instagram_Usage_Lifestyle_Mini_!$C:$K)</f>
        <v>Low</v>
      </c>
      <c r="H841" t="str">
        <f>_xlfn.XLOOKUP($A:$A,Instagram_Usage_Lifestyle_Mini_!$A:$A,Instagram_Usage_Lifestyle_Mini_!$C:$K)</f>
        <v>Full_time_employed</v>
      </c>
      <c r="I841" t="str">
        <f>_xlfn.XLOOKUP($A:$A,Instagram_Usage_Lifestyle_Mini_!$A:$A,Instagram_Usage_Lifestyle_Mini_!$C:$K)</f>
        <v>Bachelors_degree</v>
      </c>
      <c r="J841" t="str">
        <f>_xlfn.XLOOKUP($A:$A,Instagram_Usage_Lifestyle_Mini_!$A:$A,Instagram_Usage_Lifestyle_Mini_!$C:$K)</f>
        <v>Single</v>
      </c>
      <c r="K841" t="str">
        <f>_xlfn.XLOOKUP($A:$A,Instagram_Usage_Lifestyle_Mini_!$A:$A,Instagram_Usage_Lifestyle_Mini_!$C:$K)</f>
        <v>No</v>
      </c>
      <c r="L841" t="str" cm="1">
        <f t="array" ref="L841">_xlfn.IFS(C841&lt;18,"Under_18",C841&lt;=25,"Youth",C841&lt;=35,"Young_Adults",C841&lt;=45,"Mid_Adults",TRUE,"Seniors")</f>
        <v>Mid_Adults</v>
      </c>
    </row>
    <row r="842" spans="1:12" x14ac:dyDescent="0.2">
      <c r="A842">
        <v>841</v>
      </c>
      <c r="B842" t="str">
        <f>_xlfn.XLOOKUP(A842,Instagram_Usage_Lifestyle_Mini_!A842,Instagram_Usage_Lifestyle_Mini_!B842,1)</f>
        <v>Instagram</v>
      </c>
      <c r="C842">
        <f>_xlfn.XLOOKUP($A:$A,Instagram_Usage_Lifestyle_Mini_!$A:$A,Instagram_Usage_Lifestyle_Mini_!$C:$K)</f>
        <v>46</v>
      </c>
      <c r="D842" t="str">
        <f>_xlfn.XLOOKUP($A:$A,Instagram_Usage_Lifestyle_Mini_!$A:$A,Instagram_Usage_Lifestyle_Mini_!$C:$K)</f>
        <v>Female</v>
      </c>
      <c r="E842" t="str">
        <f>_xlfn.XLOOKUP($A:$A,Instagram_Usage_Lifestyle_Mini_!$A:$A,Instagram_Usage_Lifestyle_Mini_!$C:$K)</f>
        <v>Brazil</v>
      </c>
      <c r="F842" t="str">
        <f>_xlfn.XLOOKUP($A:$A,Instagram_Usage_Lifestyle_Mini_!$A:$A,Instagram_Usage_Lifestyle_Mini_!$C:$K)</f>
        <v>Suburban</v>
      </c>
      <c r="G842" t="str">
        <f>_xlfn.XLOOKUP($A:$A,Instagram_Usage_Lifestyle_Mini_!$A:$A,Instagram_Usage_Lifestyle_Mini_!$C:$K)</f>
        <v>Low</v>
      </c>
      <c r="H842" t="str">
        <f>_xlfn.XLOOKUP($A:$A,Instagram_Usage_Lifestyle_Mini_!$A:$A,Instagram_Usage_Lifestyle_Mini_!$C:$K)</f>
        <v>Full_time_employed</v>
      </c>
      <c r="I842" t="str">
        <f>_xlfn.XLOOKUP($A:$A,Instagram_Usage_Lifestyle_Mini_!$A:$A,Instagram_Usage_Lifestyle_Mini_!$C:$K)</f>
        <v>Masters_degree</v>
      </c>
      <c r="J842" t="str">
        <f>_xlfn.XLOOKUP($A:$A,Instagram_Usage_Lifestyle_Mini_!$A:$A,Instagram_Usage_Lifestyle_Mini_!$C:$K)</f>
        <v>Single</v>
      </c>
      <c r="K842" t="str">
        <f>_xlfn.XLOOKUP($A:$A,Instagram_Usage_Lifestyle_Mini_!$A:$A,Instagram_Usage_Lifestyle_Mini_!$C:$K)</f>
        <v>Yes</v>
      </c>
      <c r="L842" t="str" cm="1">
        <f t="array" ref="L842">_xlfn.IFS(C842&lt;18,"Under_18",C842&lt;=25,"Youth",C842&lt;=35,"Young_Adults",C842&lt;=45,"Mid_Adults",TRUE,"Seniors")</f>
        <v>Seniors</v>
      </c>
    </row>
    <row r="843" spans="1:12" x14ac:dyDescent="0.2">
      <c r="A843">
        <v>842</v>
      </c>
      <c r="B843" t="str">
        <f>_xlfn.XLOOKUP(A843,Instagram_Usage_Lifestyle_Mini_!A843,Instagram_Usage_Lifestyle_Mini_!B843,1)</f>
        <v>Instagram</v>
      </c>
      <c r="C843">
        <f>_xlfn.XLOOKUP($A:$A,Instagram_Usage_Lifestyle_Mini_!$A:$A,Instagram_Usage_Lifestyle_Mini_!$C:$K)</f>
        <v>53</v>
      </c>
      <c r="D843" t="str">
        <f>_xlfn.XLOOKUP($A:$A,Instagram_Usage_Lifestyle_Mini_!$A:$A,Instagram_Usage_Lifestyle_Mini_!$C:$K)</f>
        <v>Male</v>
      </c>
      <c r="E843" t="str">
        <f>_xlfn.XLOOKUP($A:$A,Instagram_Usage_Lifestyle_Mini_!$A:$A,Instagram_Usage_Lifestyle_Mini_!$C:$K)</f>
        <v>United _Kingdom</v>
      </c>
      <c r="F843" t="str">
        <f>_xlfn.XLOOKUP($A:$A,Instagram_Usage_Lifestyle_Mini_!$A:$A,Instagram_Usage_Lifestyle_Mini_!$C:$K)</f>
        <v>Urban</v>
      </c>
      <c r="G843" t="str">
        <f>_xlfn.XLOOKUP($A:$A,Instagram_Usage_Lifestyle_Mini_!$A:$A,Instagram_Usage_Lifestyle_Mini_!$C:$K)</f>
        <v>Lower_middle</v>
      </c>
      <c r="H843" t="str">
        <f>_xlfn.XLOOKUP($A:$A,Instagram_Usage_Lifestyle_Mini_!$A:$A,Instagram_Usage_Lifestyle_Mini_!$C:$K)</f>
        <v>Student</v>
      </c>
      <c r="I843" t="str">
        <f>_xlfn.XLOOKUP($A:$A,Instagram_Usage_Lifestyle_Mini_!$A:$A,Instagram_Usage_Lifestyle_Mini_!$C:$K)</f>
        <v>Masters_degree</v>
      </c>
      <c r="J843" t="str">
        <f>_xlfn.XLOOKUP($A:$A,Instagram_Usage_Lifestyle_Mini_!$A:$A,Instagram_Usage_Lifestyle_Mini_!$C:$K)</f>
        <v>Married</v>
      </c>
      <c r="K843" t="str">
        <f>_xlfn.XLOOKUP($A:$A,Instagram_Usage_Lifestyle_Mini_!$A:$A,Instagram_Usage_Lifestyle_Mini_!$C:$K)</f>
        <v>No</v>
      </c>
      <c r="L843" t="str" cm="1">
        <f t="array" ref="L843">_xlfn.IFS(C843&lt;18,"Under_18",C843&lt;=25,"Youth",C843&lt;=35,"Young_Adults",C843&lt;=45,"Mid_Adults",TRUE,"Seniors")</f>
        <v>Seniors</v>
      </c>
    </row>
    <row r="844" spans="1:12" x14ac:dyDescent="0.2">
      <c r="A844">
        <v>843</v>
      </c>
      <c r="B844" t="str">
        <f>_xlfn.XLOOKUP(A844,Instagram_Usage_Lifestyle_Mini_!A844,Instagram_Usage_Lifestyle_Mini_!B844,1)</f>
        <v>Instagram</v>
      </c>
      <c r="C844">
        <f>_xlfn.XLOOKUP($A:$A,Instagram_Usage_Lifestyle_Mini_!$A:$A,Instagram_Usage_Lifestyle_Mini_!$C:$K)</f>
        <v>47</v>
      </c>
      <c r="D844" t="str">
        <f>_xlfn.XLOOKUP($A:$A,Instagram_Usage_Lifestyle_Mini_!$A:$A,Instagram_Usage_Lifestyle_Mini_!$C:$K)</f>
        <v>Female</v>
      </c>
      <c r="E844" t="str">
        <f>_xlfn.XLOOKUP($A:$A,Instagram_Usage_Lifestyle_Mini_!$A:$A,Instagram_Usage_Lifestyle_Mini_!$C:$K)</f>
        <v>India</v>
      </c>
      <c r="F844" t="str">
        <f>_xlfn.XLOOKUP($A:$A,Instagram_Usage_Lifestyle_Mini_!$A:$A,Instagram_Usage_Lifestyle_Mini_!$C:$K)</f>
        <v>Rural</v>
      </c>
      <c r="G844" t="str">
        <f>_xlfn.XLOOKUP($A:$A,Instagram_Usage_Lifestyle_Mini_!$A:$A,Instagram_Usage_Lifestyle_Mini_!$C:$K)</f>
        <v>Middle</v>
      </c>
      <c r="H844" t="str">
        <f>_xlfn.XLOOKUP($A:$A,Instagram_Usage_Lifestyle_Mini_!$A:$A,Instagram_Usage_Lifestyle_Mini_!$C:$K)</f>
        <v>Full_time_employed</v>
      </c>
      <c r="I844" t="str">
        <f>_xlfn.XLOOKUP($A:$A,Instagram_Usage_Lifestyle_Mini_!$A:$A,Instagram_Usage_Lifestyle_Mini_!$C:$K)</f>
        <v>High_school</v>
      </c>
      <c r="J844" t="str">
        <f>_xlfn.XLOOKUP($A:$A,Instagram_Usage_Lifestyle_Mini_!$A:$A,Instagram_Usage_Lifestyle_Mini_!$C:$K)</f>
        <v>Single</v>
      </c>
      <c r="K844" t="str">
        <f>_xlfn.XLOOKUP($A:$A,Instagram_Usage_Lifestyle_Mini_!$A:$A,Instagram_Usage_Lifestyle_Mini_!$C:$K)</f>
        <v>No</v>
      </c>
      <c r="L844" t="str" cm="1">
        <f t="array" ref="L844">_xlfn.IFS(C844&lt;18,"Under_18",C844&lt;=25,"Youth",C844&lt;=35,"Young_Adults",C844&lt;=45,"Mid_Adults",TRUE,"Seniors")</f>
        <v>Seniors</v>
      </c>
    </row>
    <row r="845" spans="1:12" x14ac:dyDescent="0.2">
      <c r="A845">
        <v>844</v>
      </c>
      <c r="B845" t="str">
        <f>_xlfn.XLOOKUP(A845,Instagram_Usage_Lifestyle_Mini_!A845,Instagram_Usage_Lifestyle_Mini_!B845,1)</f>
        <v>Instagram</v>
      </c>
      <c r="C845">
        <f>_xlfn.XLOOKUP($A:$A,Instagram_Usage_Lifestyle_Mini_!$A:$A,Instagram_Usage_Lifestyle_Mini_!$C:$K)</f>
        <v>13</v>
      </c>
      <c r="D845" t="str">
        <f>_xlfn.XLOOKUP($A:$A,Instagram_Usage_Lifestyle_Mini_!$A:$A,Instagram_Usage_Lifestyle_Mini_!$C:$K)</f>
        <v>Female</v>
      </c>
      <c r="E845" t="str">
        <f>_xlfn.XLOOKUP($A:$A,Instagram_Usage_Lifestyle_Mini_!$A:$A,Instagram_Usage_Lifestyle_Mini_!$C:$K)</f>
        <v>Other</v>
      </c>
      <c r="F845" t="str">
        <f>_xlfn.XLOOKUP($A:$A,Instagram_Usage_Lifestyle_Mini_!$A:$A,Instagram_Usage_Lifestyle_Mini_!$C:$K)</f>
        <v>Suburban</v>
      </c>
      <c r="G845" t="str">
        <f>_xlfn.XLOOKUP($A:$A,Instagram_Usage_Lifestyle_Mini_!$A:$A,Instagram_Usage_Lifestyle_Mini_!$C:$K)</f>
        <v>Upper_middle</v>
      </c>
      <c r="H845" t="str">
        <f>_xlfn.XLOOKUP($A:$A,Instagram_Usage_Lifestyle_Mini_!$A:$A,Instagram_Usage_Lifestyle_Mini_!$C:$K)</f>
        <v>Full_time_employed</v>
      </c>
      <c r="I845" t="str">
        <f>_xlfn.XLOOKUP($A:$A,Instagram_Usage_Lifestyle_Mini_!$A:$A,Instagram_Usage_Lifestyle_Mini_!$C:$K)</f>
        <v>PhD</v>
      </c>
      <c r="J845" t="str">
        <f>_xlfn.XLOOKUP($A:$A,Instagram_Usage_Lifestyle_Mini_!$A:$A,Instagram_Usage_Lifestyle_Mini_!$C:$K)</f>
        <v>Single</v>
      </c>
      <c r="K845" t="str">
        <f>_xlfn.XLOOKUP($A:$A,Instagram_Usage_Lifestyle_Mini_!$A:$A,Instagram_Usage_Lifestyle_Mini_!$C:$K)</f>
        <v>No</v>
      </c>
      <c r="L845" t="str" cm="1">
        <f t="array" ref="L845">_xlfn.IFS(C845&lt;18,"Under_18",C845&lt;=25,"Youth",C845&lt;=35,"Young_Adults",C845&lt;=45,"Mid_Adults",TRUE,"Seniors")</f>
        <v>Under_18</v>
      </c>
    </row>
    <row r="846" spans="1:12" x14ac:dyDescent="0.2">
      <c r="A846">
        <v>845</v>
      </c>
      <c r="B846" t="str">
        <f>_xlfn.XLOOKUP(A846,Instagram_Usage_Lifestyle_Mini_!A846,Instagram_Usage_Lifestyle_Mini_!B846,1)</f>
        <v>Instagram</v>
      </c>
      <c r="C846">
        <f>_xlfn.XLOOKUP($A:$A,Instagram_Usage_Lifestyle_Mini_!$A:$A,Instagram_Usage_Lifestyle_Mini_!$C:$K)</f>
        <v>33</v>
      </c>
      <c r="D846" t="str">
        <f>_xlfn.XLOOKUP($A:$A,Instagram_Usage_Lifestyle_Mini_!$A:$A,Instagram_Usage_Lifestyle_Mini_!$C:$K)</f>
        <v>Male</v>
      </c>
      <c r="E846" t="str">
        <f>_xlfn.XLOOKUP($A:$A,Instagram_Usage_Lifestyle_Mini_!$A:$A,Instagram_Usage_Lifestyle_Mini_!$C:$K)</f>
        <v>United_States</v>
      </c>
      <c r="F846" t="str">
        <f>_xlfn.XLOOKUP($A:$A,Instagram_Usage_Lifestyle_Mini_!$A:$A,Instagram_Usage_Lifestyle_Mini_!$C:$K)</f>
        <v>Urban</v>
      </c>
      <c r="G846" t="str">
        <f>_xlfn.XLOOKUP($A:$A,Instagram_Usage_Lifestyle_Mini_!$A:$A,Instagram_Usage_Lifestyle_Mini_!$C:$K)</f>
        <v>Middle</v>
      </c>
      <c r="H846" t="str">
        <f>_xlfn.XLOOKUP($A:$A,Instagram_Usage_Lifestyle_Mini_!$A:$A,Instagram_Usage_Lifestyle_Mini_!$C:$K)</f>
        <v>Retired</v>
      </c>
      <c r="I846" t="str">
        <f>_xlfn.XLOOKUP($A:$A,Instagram_Usage_Lifestyle_Mini_!$A:$A,Instagram_Usage_Lifestyle_Mini_!$C:$K)</f>
        <v>Masters_degree</v>
      </c>
      <c r="J846" t="str">
        <f>_xlfn.XLOOKUP($A:$A,Instagram_Usage_Lifestyle_Mini_!$A:$A,Instagram_Usage_Lifestyle_Mini_!$C:$K)</f>
        <v>In_a_relationship</v>
      </c>
      <c r="K846" t="str">
        <f>_xlfn.XLOOKUP($A:$A,Instagram_Usage_Lifestyle_Mini_!$A:$A,Instagram_Usage_Lifestyle_Mini_!$C:$K)</f>
        <v>No</v>
      </c>
      <c r="L846" t="str" cm="1">
        <f t="array" ref="L846">_xlfn.IFS(C846&lt;18,"Under_18",C846&lt;=25,"Youth",C846&lt;=35,"Young_Adults",C846&lt;=45,"Mid_Adults",TRUE,"Seniors")</f>
        <v>Young_Adults</v>
      </c>
    </row>
    <row r="847" spans="1:12" x14ac:dyDescent="0.2">
      <c r="A847">
        <v>846</v>
      </c>
      <c r="B847" t="str">
        <f>_xlfn.XLOOKUP(A847,Instagram_Usage_Lifestyle_Mini_!A847,Instagram_Usage_Lifestyle_Mini_!B847,1)</f>
        <v>Instagram</v>
      </c>
      <c r="C847">
        <f>_xlfn.XLOOKUP($A:$A,Instagram_Usage_Lifestyle_Mini_!$A:$A,Instagram_Usage_Lifestyle_Mini_!$C:$K)</f>
        <v>60</v>
      </c>
      <c r="D847" t="str">
        <f>_xlfn.XLOOKUP($A:$A,Instagram_Usage_Lifestyle_Mini_!$A:$A,Instagram_Usage_Lifestyle_Mini_!$C:$K)</f>
        <v>Female</v>
      </c>
      <c r="E847" t="str">
        <f>_xlfn.XLOOKUP($A:$A,Instagram_Usage_Lifestyle_Mini_!$A:$A,Instagram_Usage_Lifestyle_Mini_!$C:$K)</f>
        <v>India</v>
      </c>
      <c r="F847" t="str">
        <f>_xlfn.XLOOKUP($A:$A,Instagram_Usage_Lifestyle_Mini_!$A:$A,Instagram_Usage_Lifestyle_Mini_!$C:$K)</f>
        <v>Rural</v>
      </c>
      <c r="G847" t="str">
        <f>_xlfn.XLOOKUP($A:$A,Instagram_Usage_Lifestyle_Mini_!$A:$A,Instagram_Usage_Lifestyle_Mini_!$C:$K)</f>
        <v>Lower_middle</v>
      </c>
      <c r="H847" t="str">
        <f>_xlfn.XLOOKUP($A:$A,Instagram_Usage_Lifestyle_Mini_!$A:$A,Instagram_Usage_Lifestyle_Mini_!$C:$K)</f>
        <v>Full_time_employed</v>
      </c>
      <c r="I847" t="str">
        <f>_xlfn.XLOOKUP($A:$A,Instagram_Usage_Lifestyle_Mini_!$A:$A,Instagram_Usage_Lifestyle_Mini_!$C:$K)</f>
        <v>High_school</v>
      </c>
      <c r="J847" t="str">
        <f>_xlfn.XLOOKUP($A:$A,Instagram_Usage_Lifestyle_Mini_!$A:$A,Instagram_Usage_Lifestyle_Mini_!$C:$K)</f>
        <v>In_a_relationship</v>
      </c>
      <c r="K847" t="str">
        <f>_xlfn.XLOOKUP($A:$A,Instagram_Usage_Lifestyle_Mini_!$A:$A,Instagram_Usage_Lifestyle_Mini_!$C:$K)</f>
        <v>No</v>
      </c>
      <c r="L847" t="str" cm="1">
        <f t="array" ref="L847">_xlfn.IFS(C847&lt;18,"Under_18",C847&lt;=25,"Youth",C847&lt;=35,"Young_Adults",C847&lt;=45,"Mid_Adults",TRUE,"Seniors")</f>
        <v>Seniors</v>
      </c>
    </row>
    <row r="848" spans="1:12" x14ac:dyDescent="0.2">
      <c r="A848">
        <v>847</v>
      </c>
      <c r="B848" t="str">
        <f>_xlfn.XLOOKUP(A848,Instagram_Usage_Lifestyle_Mini_!A848,Instagram_Usage_Lifestyle_Mini_!B848,1)</f>
        <v>Instagram</v>
      </c>
      <c r="C848">
        <f>_xlfn.XLOOKUP($A:$A,Instagram_Usage_Lifestyle_Mini_!$A:$A,Instagram_Usage_Lifestyle_Mini_!$C:$K)</f>
        <v>18</v>
      </c>
      <c r="D848" t="str">
        <f>_xlfn.XLOOKUP($A:$A,Instagram_Usage_Lifestyle_Mini_!$A:$A,Instagram_Usage_Lifestyle_Mini_!$C:$K)</f>
        <v>Female</v>
      </c>
      <c r="E848" t="str">
        <f>_xlfn.XLOOKUP($A:$A,Instagram_Usage_Lifestyle_Mini_!$A:$A,Instagram_Usage_Lifestyle_Mini_!$C:$K)</f>
        <v>Other</v>
      </c>
      <c r="F848" t="str">
        <f>_xlfn.XLOOKUP($A:$A,Instagram_Usage_Lifestyle_Mini_!$A:$A,Instagram_Usage_Lifestyle_Mini_!$C:$K)</f>
        <v>Urban</v>
      </c>
      <c r="G848" t="str">
        <f>_xlfn.XLOOKUP($A:$A,Instagram_Usage_Lifestyle_Mini_!$A:$A,Instagram_Usage_Lifestyle_Mini_!$C:$K)</f>
        <v>Middle</v>
      </c>
      <c r="H848" t="str">
        <f>_xlfn.XLOOKUP($A:$A,Instagram_Usage_Lifestyle_Mini_!$A:$A,Instagram_Usage_Lifestyle_Mini_!$C:$K)</f>
        <v>Student</v>
      </c>
      <c r="I848" t="str">
        <f>_xlfn.XLOOKUP($A:$A,Instagram_Usage_Lifestyle_Mini_!$A:$A,Instagram_Usage_Lifestyle_Mini_!$C:$K)</f>
        <v>High_school</v>
      </c>
      <c r="J848" t="str">
        <f>_xlfn.XLOOKUP($A:$A,Instagram_Usage_Lifestyle_Mini_!$A:$A,Instagram_Usage_Lifestyle_Mini_!$C:$K)</f>
        <v>Single</v>
      </c>
      <c r="K848" t="str">
        <f>_xlfn.XLOOKUP($A:$A,Instagram_Usage_Lifestyle_Mini_!$A:$A,Instagram_Usage_Lifestyle_Mini_!$C:$K)</f>
        <v>Yes</v>
      </c>
      <c r="L848" t="str" cm="1">
        <f t="array" ref="L848">_xlfn.IFS(C848&lt;18,"Under_18",C848&lt;=25,"Youth",C848&lt;=35,"Young_Adults",C848&lt;=45,"Mid_Adults",TRUE,"Seniors")</f>
        <v>Youth</v>
      </c>
    </row>
    <row r="849" spans="1:12" x14ac:dyDescent="0.2">
      <c r="A849">
        <v>848</v>
      </c>
      <c r="B849" t="str">
        <f>_xlfn.XLOOKUP(A849,Instagram_Usage_Lifestyle_Mini_!A849,Instagram_Usage_Lifestyle_Mini_!B849,1)</f>
        <v>Instagram</v>
      </c>
      <c r="C849">
        <f>_xlfn.XLOOKUP($A:$A,Instagram_Usage_Lifestyle_Mini_!$A:$A,Instagram_Usage_Lifestyle_Mini_!$C:$K)</f>
        <v>40</v>
      </c>
      <c r="D849" t="str">
        <f>_xlfn.XLOOKUP($A:$A,Instagram_Usage_Lifestyle_Mini_!$A:$A,Instagram_Usage_Lifestyle_Mini_!$C:$K)</f>
        <v>Male</v>
      </c>
      <c r="E849" t="str">
        <f>_xlfn.XLOOKUP($A:$A,Instagram_Usage_Lifestyle_Mini_!$A:$A,Instagram_Usage_Lifestyle_Mini_!$C:$K)</f>
        <v>United _Kingdom</v>
      </c>
      <c r="F849" t="str">
        <f>_xlfn.XLOOKUP($A:$A,Instagram_Usage_Lifestyle_Mini_!$A:$A,Instagram_Usage_Lifestyle_Mini_!$C:$K)</f>
        <v>Rural</v>
      </c>
      <c r="G849" t="str">
        <f>_xlfn.XLOOKUP($A:$A,Instagram_Usage_Lifestyle_Mini_!$A:$A,Instagram_Usage_Lifestyle_Mini_!$C:$K)</f>
        <v>Middle</v>
      </c>
      <c r="H849" t="str">
        <f>_xlfn.XLOOKUP($A:$A,Instagram_Usage_Lifestyle_Mini_!$A:$A,Instagram_Usage_Lifestyle_Mini_!$C:$K)</f>
        <v>Part_time</v>
      </c>
      <c r="I849" t="str">
        <f>_xlfn.XLOOKUP($A:$A,Instagram_Usage_Lifestyle_Mini_!$A:$A,Instagram_Usage_Lifestyle_Mini_!$C:$K)</f>
        <v>High_school</v>
      </c>
      <c r="J849" t="str">
        <f>_xlfn.XLOOKUP($A:$A,Instagram_Usage_Lifestyle_Mini_!$A:$A,Instagram_Usage_Lifestyle_Mini_!$C:$K)</f>
        <v>In_a_relationship</v>
      </c>
      <c r="K849" t="str">
        <f>_xlfn.XLOOKUP($A:$A,Instagram_Usage_Lifestyle_Mini_!$A:$A,Instagram_Usage_Lifestyle_Mini_!$C:$K)</f>
        <v>No</v>
      </c>
      <c r="L849" t="str" cm="1">
        <f t="array" ref="L849">_xlfn.IFS(C849&lt;18,"Under_18",C849&lt;=25,"Youth",C849&lt;=35,"Young_Adults",C849&lt;=45,"Mid_Adults",TRUE,"Seniors")</f>
        <v>Mid_Adults</v>
      </c>
    </row>
    <row r="850" spans="1:12" x14ac:dyDescent="0.2">
      <c r="A850">
        <v>849</v>
      </c>
      <c r="B850" t="str">
        <f>_xlfn.XLOOKUP(A850,Instagram_Usage_Lifestyle_Mini_!A850,Instagram_Usage_Lifestyle_Mini_!B850,1)</f>
        <v>Instagram</v>
      </c>
      <c r="C850">
        <f>_xlfn.XLOOKUP($A:$A,Instagram_Usage_Lifestyle_Mini_!$A:$A,Instagram_Usage_Lifestyle_Mini_!$C:$K)</f>
        <v>29</v>
      </c>
      <c r="D850" t="str">
        <f>_xlfn.XLOOKUP($A:$A,Instagram_Usage_Lifestyle_Mini_!$A:$A,Instagram_Usage_Lifestyle_Mini_!$C:$K)</f>
        <v>Male</v>
      </c>
      <c r="E850" t="str">
        <f>_xlfn.XLOOKUP($A:$A,Instagram_Usage_Lifestyle_Mini_!$A:$A,Instagram_Usage_Lifestyle_Mini_!$C:$K)</f>
        <v>India</v>
      </c>
      <c r="F850" t="str">
        <f>_xlfn.XLOOKUP($A:$A,Instagram_Usage_Lifestyle_Mini_!$A:$A,Instagram_Usage_Lifestyle_Mini_!$C:$K)</f>
        <v>Urban</v>
      </c>
      <c r="G850" t="str">
        <f>_xlfn.XLOOKUP($A:$A,Instagram_Usage_Lifestyle_Mini_!$A:$A,Instagram_Usage_Lifestyle_Mini_!$C:$K)</f>
        <v>Lower_middle</v>
      </c>
      <c r="H850" t="str">
        <f>_xlfn.XLOOKUP($A:$A,Instagram_Usage_Lifestyle_Mini_!$A:$A,Instagram_Usage_Lifestyle_Mini_!$C:$K)</f>
        <v>Student</v>
      </c>
      <c r="I850" t="str">
        <f>_xlfn.XLOOKUP($A:$A,Instagram_Usage_Lifestyle_Mini_!$A:$A,Instagram_Usage_Lifestyle_Mini_!$C:$K)</f>
        <v>Bachelors_degree</v>
      </c>
      <c r="J850" t="str">
        <f>_xlfn.XLOOKUP($A:$A,Instagram_Usage_Lifestyle_Mini_!$A:$A,Instagram_Usage_Lifestyle_Mini_!$C:$K)</f>
        <v>Divorced</v>
      </c>
      <c r="K850" t="str">
        <f>_xlfn.XLOOKUP($A:$A,Instagram_Usage_Lifestyle_Mini_!$A:$A,Instagram_Usage_Lifestyle_Mini_!$C:$K)</f>
        <v>Yes</v>
      </c>
      <c r="L850" t="str" cm="1">
        <f t="array" ref="L850">_xlfn.IFS(C850&lt;18,"Under_18",C850&lt;=25,"Youth",C850&lt;=35,"Young_Adults",C850&lt;=45,"Mid_Adults",TRUE,"Seniors")</f>
        <v>Young_Adults</v>
      </c>
    </row>
    <row r="851" spans="1:12" x14ac:dyDescent="0.2">
      <c r="A851">
        <v>850</v>
      </c>
      <c r="B851" t="str">
        <f>_xlfn.XLOOKUP(A851,Instagram_Usage_Lifestyle_Mini_!A851,Instagram_Usage_Lifestyle_Mini_!B851,1)</f>
        <v>Instagram</v>
      </c>
      <c r="C851">
        <f>_xlfn.XLOOKUP($A:$A,Instagram_Usage_Lifestyle_Mini_!$A:$A,Instagram_Usage_Lifestyle_Mini_!$C:$K)</f>
        <v>17</v>
      </c>
      <c r="D851" t="str">
        <f>_xlfn.XLOOKUP($A:$A,Instagram_Usage_Lifestyle_Mini_!$A:$A,Instagram_Usage_Lifestyle_Mini_!$C:$K)</f>
        <v>Female</v>
      </c>
      <c r="E851" t="str">
        <f>_xlfn.XLOOKUP($A:$A,Instagram_Usage_Lifestyle_Mini_!$A:$A,Instagram_Usage_Lifestyle_Mini_!$C:$K)</f>
        <v>India</v>
      </c>
      <c r="F851" t="str">
        <f>_xlfn.XLOOKUP($A:$A,Instagram_Usage_Lifestyle_Mini_!$A:$A,Instagram_Usage_Lifestyle_Mini_!$C:$K)</f>
        <v>Urban</v>
      </c>
      <c r="G851" t="str">
        <f>_xlfn.XLOOKUP($A:$A,Instagram_Usage_Lifestyle_Mini_!$A:$A,Instagram_Usage_Lifestyle_Mini_!$C:$K)</f>
        <v>Upper_middle</v>
      </c>
      <c r="H851" t="str">
        <f>_xlfn.XLOOKUP($A:$A,Instagram_Usage_Lifestyle_Mini_!$A:$A,Instagram_Usage_Lifestyle_Mini_!$C:$K)</f>
        <v>Unemployed</v>
      </c>
      <c r="I851" t="str">
        <f>_xlfn.XLOOKUP($A:$A,Instagram_Usage_Lifestyle_Mini_!$A:$A,Instagram_Usage_Lifestyle_Mini_!$C:$K)</f>
        <v>High_school</v>
      </c>
      <c r="J851" t="str">
        <f>_xlfn.XLOOKUP($A:$A,Instagram_Usage_Lifestyle_Mini_!$A:$A,Instagram_Usage_Lifestyle_Mini_!$C:$K)</f>
        <v>Married</v>
      </c>
      <c r="K851" t="str">
        <f>_xlfn.XLOOKUP($A:$A,Instagram_Usage_Lifestyle_Mini_!$A:$A,Instagram_Usage_Lifestyle_Mini_!$C:$K)</f>
        <v>No</v>
      </c>
      <c r="L851" t="str" cm="1">
        <f t="array" ref="L851">_xlfn.IFS(C851&lt;18,"Under_18",C851&lt;=25,"Youth",C851&lt;=35,"Young_Adults",C851&lt;=45,"Mid_Adults",TRUE,"Seniors")</f>
        <v>Under_18</v>
      </c>
    </row>
    <row r="852" spans="1:12" x14ac:dyDescent="0.2">
      <c r="A852">
        <v>851</v>
      </c>
      <c r="B852" t="str">
        <f>_xlfn.XLOOKUP(A852,Instagram_Usage_Lifestyle_Mini_!A852,Instagram_Usage_Lifestyle_Mini_!B852,1)</f>
        <v>Instagram</v>
      </c>
      <c r="C852">
        <f>_xlfn.XLOOKUP($A:$A,Instagram_Usage_Lifestyle_Mini_!$A:$A,Instagram_Usage_Lifestyle_Mini_!$C:$K)</f>
        <v>43</v>
      </c>
      <c r="D852" t="str">
        <f>_xlfn.XLOOKUP($A:$A,Instagram_Usage_Lifestyle_Mini_!$A:$A,Instagram_Usage_Lifestyle_Mini_!$C:$K)</f>
        <v>Female</v>
      </c>
      <c r="E852" t="str">
        <f>_xlfn.XLOOKUP($A:$A,Instagram_Usage_Lifestyle_Mini_!$A:$A,Instagram_Usage_Lifestyle_Mini_!$C:$K)</f>
        <v>United_States</v>
      </c>
      <c r="F852" t="str">
        <f>_xlfn.XLOOKUP($A:$A,Instagram_Usage_Lifestyle_Mini_!$A:$A,Instagram_Usage_Lifestyle_Mini_!$C:$K)</f>
        <v>Urban</v>
      </c>
      <c r="G852" t="str">
        <f>_xlfn.XLOOKUP($A:$A,Instagram_Usage_Lifestyle_Mini_!$A:$A,Instagram_Usage_Lifestyle_Mini_!$C:$K)</f>
        <v>Middle</v>
      </c>
      <c r="H852" t="str">
        <f>_xlfn.XLOOKUP($A:$A,Instagram_Usage_Lifestyle_Mini_!$A:$A,Instagram_Usage_Lifestyle_Mini_!$C:$K)</f>
        <v>Full_time_employed</v>
      </c>
      <c r="I852" t="str">
        <f>_xlfn.XLOOKUP($A:$A,Instagram_Usage_Lifestyle_Mini_!$A:$A,Instagram_Usage_Lifestyle_Mini_!$C:$K)</f>
        <v>High_school</v>
      </c>
      <c r="J852" t="str">
        <f>_xlfn.XLOOKUP($A:$A,Instagram_Usage_Lifestyle_Mini_!$A:$A,Instagram_Usage_Lifestyle_Mini_!$C:$K)</f>
        <v>Divorced</v>
      </c>
      <c r="K852" t="str">
        <f>_xlfn.XLOOKUP($A:$A,Instagram_Usage_Lifestyle_Mini_!$A:$A,Instagram_Usage_Lifestyle_Mini_!$C:$K)</f>
        <v>No</v>
      </c>
      <c r="L852" t="str" cm="1">
        <f t="array" ref="L852">_xlfn.IFS(C852&lt;18,"Under_18",C852&lt;=25,"Youth",C852&lt;=35,"Young_Adults",C852&lt;=45,"Mid_Adults",TRUE,"Seniors")</f>
        <v>Mid_Adults</v>
      </c>
    </row>
    <row r="853" spans="1:12" x14ac:dyDescent="0.2">
      <c r="A853">
        <v>852</v>
      </c>
      <c r="B853" t="str">
        <f>_xlfn.XLOOKUP(A853,Instagram_Usage_Lifestyle_Mini_!A853,Instagram_Usage_Lifestyle_Mini_!B853,1)</f>
        <v>Instagram</v>
      </c>
      <c r="C853">
        <f>_xlfn.XLOOKUP($A:$A,Instagram_Usage_Lifestyle_Mini_!$A:$A,Instagram_Usage_Lifestyle_Mini_!$C:$K)</f>
        <v>17</v>
      </c>
      <c r="D853" t="str">
        <f>_xlfn.XLOOKUP($A:$A,Instagram_Usage_Lifestyle_Mini_!$A:$A,Instagram_Usage_Lifestyle_Mini_!$C:$K)</f>
        <v>Female</v>
      </c>
      <c r="E853" t="str">
        <f>_xlfn.XLOOKUP($A:$A,Instagram_Usage_Lifestyle_Mini_!$A:$A,Instagram_Usage_Lifestyle_Mini_!$C:$K)</f>
        <v>United_States</v>
      </c>
      <c r="F853" t="str">
        <f>_xlfn.XLOOKUP($A:$A,Instagram_Usage_Lifestyle_Mini_!$A:$A,Instagram_Usage_Lifestyle_Mini_!$C:$K)</f>
        <v>Urban</v>
      </c>
      <c r="G853" t="str">
        <f>_xlfn.XLOOKUP($A:$A,Instagram_Usage_Lifestyle_Mini_!$A:$A,Instagram_Usage_Lifestyle_Mini_!$C:$K)</f>
        <v>Lower_middle</v>
      </c>
      <c r="H853" t="str">
        <f>_xlfn.XLOOKUP($A:$A,Instagram_Usage_Lifestyle_Mini_!$A:$A,Instagram_Usage_Lifestyle_Mini_!$C:$K)</f>
        <v>Full_time_employed</v>
      </c>
      <c r="I853" t="str">
        <f>_xlfn.XLOOKUP($A:$A,Instagram_Usage_Lifestyle_Mini_!$A:$A,Instagram_Usage_Lifestyle_Mini_!$C:$K)</f>
        <v>Masters_degree</v>
      </c>
      <c r="J853" t="str">
        <f>_xlfn.XLOOKUP($A:$A,Instagram_Usage_Lifestyle_Mini_!$A:$A,Instagram_Usage_Lifestyle_Mini_!$C:$K)</f>
        <v>Single</v>
      </c>
      <c r="K853" t="str">
        <f>_xlfn.XLOOKUP($A:$A,Instagram_Usage_Lifestyle_Mini_!$A:$A,Instagram_Usage_Lifestyle_Mini_!$C:$K)</f>
        <v>No</v>
      </c>
      <c r="L853" t="str" cm="1">
        <f t="array" ref="L853">_xlfn.IFS(C853&lt;18,"Under_18",C853&lt;=25,"Youth",C853&lt;=35,"Young_Adults",C853&lt;=45,"Mid_Adults",TRUE,"Seniors")</f>
        <v>Under_18</v>
      </c>
    </row>
    <row r="854" spans="1:12" x14ac:dyDescent="0.2">
      <c r="A854">
        <v>853</v>
      </c>
      <c r="B854" t="str">
        <f>_xlfn.XLOOKUP(A854,Instagram_Usage_Lifestyle_Mini_!A854,Instagram_Usage_Lifestyle_Mini_!B854,1)</f>
        <v>Instagram</v>
      </c>
      <c r="C854">
        <f>_xlfn.XLOOKUP($A:$A,Instagram_Usage_Lifestyle_Mini_!$A:$A,Instagram_Usage_Lifestyle_Mini_!$C:$K)</f>
        <v>50</v>
      </c>
      <c r="D854" t="str">
        <f>_xlfn.XLOOKUP($A:$A,Instagram_Usage_Lifestyle_Mini_!$A:$A,Instagram_Usage_Lifestyle_Mini_!$C:$K)</f>
        <v>Male</v>
      </c>
      <c r="E854" t="str">
        <f>_xlfn.XLOOKUP($A:$A,Instagram_Usage_Lifestyle_Mini_!$A:$A,Instagram_Usage_Lifestyle_Mini_!$C:$K)</f>
        <v>Canada</v>
      </c>
      <c r="F854" t="str">
        <f>_xlfn.XLOOKUP($A:$A,Instagram_Usage_Lifestyle_Mini_!$A:$A,Instagram_Usage_Lifestyle_Mini_!$C:$K)</f>
        <v>Suburban</v>
      </c>
      <c r="G854" t="str">
        <f>_xlfn.XLOOKUP($A:$A,Instagram_Usage_Lifestyle_Mini_!$A:$A,Instagram_Usage_Lifestyle_Mini_!$C:$K)</f>
        <v>Lower_middle</v>
      </c>
      <c r="H854" t="str">
        <f>_xlfn.XLOOKUP($A:$A,Instagram_Usage_Lifestyle_Mini_!$A:$A,Instagram_Usage_Lifestyle_Mini_!$C:$K)</f>
        <v>Full_time_employed</v>
      </c>
      <c r="I854" t="str">
        <f>_xlfn.XLOOKUP($A:$A,Instagram_Usage_Lifestyle_Mini_!$A:$A,Instagram_Usage_Lifestyle_Mini_!$C:$K)</f>
        <v>Other</v>
      </c>
      <c r="J854" t="str">
        <f>_xlfn.XLOOKUP($A:$A,Instagram_Usage_Lifestyle_Mini_!$A:$A,Instagram_Usage_Lifestyle_Mini_!$C:$K)</f>
        <v>In_a_relationship</v>
      </c>
      <c r="K854" t="str">
        <f>_xlfn.XLOOKUP($A:$A,Instagram_Usage_Lifestyle_Mini_!$A:$A,Instagram_Usage_Lifestyle_Mini_!$C:$K)</f>
        <v>Yes</v>
      </c>
      <c r="L854" t="str" cm="1">
        <f t="array" ref="L854">_xlfn.IFS(C854&lt;18,"Under_18",C854&lt;=25,"Youth",C854&lt;=35,"Young_Adults",C854&lt;=45,"Mid_Adults",TRUE,"Seniors")</f>
        <v>Seniors</v>
      </c>
    </row>
    <row r="855" spans="1:12" x14ac:dyDescent="0.2">
      <c r="A855">
        <v>854</v>
      </c>
      <c r="B855" t="str">
        <f>_xlfn.XLOOKUP(A855,Instagram_Usage_Lifestyle_Mini_!A855,Instagram_Usage_Lifestyle_Mini_!B855,1)</f>
        <v>Instagram</v>
      </c>
      <c r="C855">
        <f>_xlfn.XLOOKUP($A:$A,Instagram_Usage_Lifestyle_Mini_!$A:$A,Instagram_Usage_Lifestyle_Mini_!$C:$K)</f>
        <v>15</v>
      </c>
      <c r="D855" t="str">
        <f>_xlfn.XLOOKUP($A:$A,Instagram_Usage_Lifestyle_Mini_!$A:$A,Instagram_Usage_Lifestyle_Mini_!$C:$K)</f>
        <v>Male</v>
      </c>
      <c r="E855" t="str">
        <f>_xlfn.XLOOKUP($A:$A,Instagram_Usage_Lifestyle_Mini_!$A:$A,Instagram_Usage_Lifestyle_Mini_!$C:$K)</f>
        <v>United_States</v>
      </c>
      <c r="F855" t="str">
        <f>_xlfn.XLOOKUP($A:$A,Instagram_Usage_Lifestyle_Mini_!$A:$A,Instagram_Usage_Lifestyle_Mini_!$C:$K)</f>
        <v>Urban</v>
      </c>
      <c r="G855" t="str">
        <f>_xlfn.XLOOKUP($A:$A,Instagram_Usage_Lifestyle_Mini_!$A:$A,Instagram_Usage_Lifestyle_Mini_!$C:$K)</f>
        <v>High</v>
      </c>
      <c r="H855" t="str">
        <f>_xlfn.XLOOKUP($A:$A,Instagram_Usage_Lifestyle_Mini_!$A:$A,Instagram_Usage_Lifestyle_Mini_!$C:$K)</f>
        <v>Unemployed</v>
      </c>
      <c r="I855" t="str">
        <f>_xlfn.XLOOKUP($A:$A,Instagram_Usage_Lifestyle_Mini_!$A:$A,Instagram_Usage_Lifestyle_Mini_!$C:$K)</f>
        <v>Bachelors_degree</v>
      </c>
      <c r="J855" t="str">
        <f>_xlfn.XLOOKUP($A:$A,Instagram_Usage_Lifestyle_Mini_!$A:$A,Instagram_Usage_Lifestyle_Mini_!$C:$K)</f>
        <v>Divorced</v>
      </c>
      <c r="K855" t="str">
        <f>_xlfn.XLOOKUP($A:$A,Instagram_Usage_Lifestyle_Mini_!$A:$A,Instagram_Usage_Lifestyle_Mini_!$C:$K)</f>
        <v>Yes</v>
      </c>
      <c r="L855" t="str" cm="1">
        <f t="array" ref="L855">_xlfn.IFS(C855&lt;18,"Under_18",C855&lt;=25,"Youth",C855&lt;=35,"Young_Adults",C855&lt;=45,"Mid_Adults",TRUE,"Seniors")</f>
        <v>Under_18</v>
      </c>
    </row>
    <row r="856" spans="1:12" x14ac:dyDescent="0.2">
      <c r="A856">
        <v>855</v>
      </c>
      <c r="B856" t="str">
        <f>_xlfn.XLOOKUP(A856,Instagram_Usage_Lifestyle_Mini_!A856,Instagram_Usage_Lifestyle_Mini_!B856,1)</f>
        <v>Instagram</v>
      </c>
      <c r="C856">
        <f>_xlfn.XLOOKUP($A:$A,Instagram_Usage_Lifestyle_Mini_!$A:$A,Instagram_Usage_Lifestyle_Mini_!$C:$K)</f>
        <v>65</v>
      </c>
      <c r="D856" t="str">
        <f>_xlfn.XLOOKUP($A:$A,Instagram_Usage_Lifestyle_Mini_!$A:$A,Instagram_Usage_Lifestyle_Mini_!$C:$K)</f>
        <v>Male</v>
      </c>
      <c r="E856" t="str">
        <f>_xlfn.XLOOKUP($A:$A,Instagram_Usage_Lifestyle_Mini_!$A:$A,Instagram_Usage_Lifestyle_Mini_!$C:$K)</f>
        <v>Japan</v>
      </c>
      <c r="F856" t="str">
        <f>_xlfn.XLOOKUP($A:$A,Instagram_Usage_Lifestyle_Mini_!$A:$A,Instagram_Usage_Lifestyle_Mini_!$C:$K)</f>
        <v>Rural</v>
      </c>
      <c r="G856" t="str">
        <f>_xlfn.XLOOKUP($A:$A,Instagram_Usage_Lifestyle_Mini_!$A:$A,Instagram_Usage_Lifestyle_Mini_!$C:$K)</f>
        <v>Upper_middle</v>
      </c>
      <c r="H856" t="str">
        <f>_xlfn.XLOOKUP($A:$A,Instagram_Usage_Lifestyle_Mini_!$A:$A,Instagram_Usage_Lifestyle_Mini_!$C:$K)</f>
        <v>Freelancer</v>
      </c>
      <c r="I856" t="str">
        <f>_xlfn.XLOOKUP($A:$A,Instagram_Usage_Lifestyle_Mini_!$A:$A,Instagram_Usage_Lifestyle_Mini_!$C:$K)</f>
        <v>High_school</v>
      </c>
      <c r="J856" t="str">
        <f>_xlfn.XLOOKUP($A:$A,Instagram_Usage_Lifestyle_Mini_!$A:$A,Instagram_Usage_Lifestyle_Mini_!$C:$K)</f>
        <v>Divorced</v>
      </c>
      <c r="K856" t="str">
        <f>_xlfn.XLOOKUP($A:$A,Instagram_Usage_Lifestyle_Mini_!$A:$A,Instagram_Usage_Lifestyle_Mini_!$C:$K)</f>
        <v>No</v>
      </c>
      <c r="L856" t="str" cm="1">
        <f t="array" ref="L856">_xlfn.IFS(C856&lt;18,"Under_18",C856&lt;=25,"Youth",C856&lt;=35,"Young_Adults",C856&lt;=45,"Mid_Adults",TRUE,"Seniors")</f>
        <v>Seniors</v>
      </c>
    </row>
    <row r="857" spans="1:12" x14ac:dyDescent="0.2">
      <c r="A857">
        <v>856</v>
      </c>
      <c r="B857" t="str">
        <f>_xlfn.XLOOKUP(A857,Instagram_Usage_Lifestyle_Mini_!A857,Instagram_Usage_Lifestyle_Mini_!B857,1)</f>
        <v>Instagram</v>
      </c>
      <c r="C857">
        <f>_xlfn.XLOOKUP($A:$A,Instagram_Usage_Lifestyle_Mini_!$A:$A,Instagram_Usage_Lifestyle_Mini_!$C:$K)</f>
        <v>35</v>
      </c>
      <c r="D857" t="str">
        <f>_xlfn.XLOOKUP($A:$A,Instagram_Usage_Lifestyle_Mini_!$A:$A,Instagram_Usage_Lifestyle_Mini_!$C:$K)</f>
        <v>Female</v>
      </c>
      <c r="E857" t="str">
        <f>_xlfn.XLOOKUP($A:$A,Instagram_Usage_Lifestyle_Mini_!$A:$A,Instagram_Usage_Lifestyle_Mini_!$C:$K)</f>
        <v>United_States</v>
      </c>
      <c r="F857" t="str">
        <f>_xlfn.XLOOKUP($A:$A,Instagram_Usage_Lifestyle_Mini_!$A:$A,Instagram_Usage_Lifestyle_Mini_!$C:$K)</f>
        <v>Suburban</v>
      </c>
      <c r="G857" t="str">
        <f>_xlfn.XLOOKUP($A:$A,Instagram_Usage_Lifestyle_Mini_!$A:$A,Instagram_Usage_Lifestyle_Mini_!$C:$K)</f>
        <v>Middle</v>
      </c>
      <c r="H857" t="str">
        <f>_xlfn.XLOOKUP($A:$A,Instagram_Usage_Lifestyle_Mini_!$A:$A,Instagram_Usage_Lifestyle_Mini_!$C:$K)</f>
        <v>Freelancer</v>
      </c>
      <c r="I857" t="str">
        <f>_xlfn.XLOOKUP($A:$A,Instagram_Usage_Lifestyle_Mini_!$A:$A,Instagram_Usage_Lifestyle_Mini_!$C:$K)</f>
        <v>High_school</v>
      </c>
      <c r="J857" t="str">
        <f>_xlfn.XLOOKUP($A:$A,Instagram_Usage_Lifestyle_Mini_!$A:$A,Instagram_Usage_Lifestyle_Mini_!$C:$K)</f>
        <v>In_a_relationship</v>
      </c>
      <c r="K857" t="str">
        <f>_xlfn.XLOOKUP($A:$A,Instagram_Usage_Lifestyle_Mini_!$A:$A,Instagram_Usage_Lifestyle_Mini_!$C:$K)</f>
        <v>No</v>
      </c>
      <c r="L857" t="str" cm="1">
        <f t="array" ref="L857">_xlfn.IFS(C857&lt;18,"Under_18",C857&lt;=25,"Youth",C857&lt;=35,"Young_Adults",C857&lt;=45,"Mid_Adults",TRUE,"Seniors")</f>
        <v>Young_Adults</v>
      </c>
    </row>
    <row r="858" spans="1:12" x14ac:dyDescent="0.2">
      <c r="A858">
        <v>857</v>
      </c>
      <c r="B858" t="str">
        <f>_xlfn.XLOOKUP(A858,Instagram_Usage_Lifestyle_Mini_!A858,Instagram_Usage_Lifestyle_Mini_!B858,1)</f>
        <v>Instagram</v>
      </c>
      <c r="C858">
        <f>_xlfn.XLOOKUP($A:$A,Instagram_Usage_Lifestyle_Mini_!$A:$A,Instagram_Usage_Lifestyle_Mini_!$C:$K)</f>
        <v>49</v>
      </c>
      <c r="D858" t="str">
        <f>_xlfn.XLOOKUP($A:$A,Instagram_Usage_Lifestyle_Mini_!$A:$A,Instagram_Usage_Lifestyle_Mini_!$C:$K)</f>
        <v>Female</v>
      </c>
      <c r="E858" t="str">
        <f>_xlfn.XLOOKUP($A:$A,Instagram_Usage_Lifestyle_Mini_!$A:$A,Instagram_Usage_Lifestyle_Mini_!$C:$K)</f>
        <v>United_States</v>
      </c>
      <c r="F858" t="str">
        <f>_xlfn.XLOOKUP($A:$A,Instagram_Usage_Lifestyle_Mini_!$A:$A,Instagram_Usage_Lifestyle_Mini_!$C:$K)</f>
        <v>Urban</v>
      </c>
      <c r="G858" t="str">
        <f>_xlfn.XLOOKUP($A:$A,Instagram_Usage_Lifestyle_Mini_!$A:$A,Instagram_Usage_Lifestyle_Mini_!$C:$K)</f>
        <v>Lower_middle</v>
      </c>
      <c r="H858" t="str">
        <f>_xlfn.XLOOKUP($A:$A,Instagram_Usage_Lifestyle_Mini_!$A:$A,Instagram_Usage_Lifestyle_Mini_!$C:$K)</f>
        <v>Part_time</v>
      </c>
      <c r="I858" t="str">
        <f>_xlfn.XLOOKUP($A:$A,Instagram_Usage_Lifestyle_Mini_!$A:$A,Instagram_Usage_Lifestyle_Mini_!$C:$K)</f>
        <v>High_school</v>
      </c>
      <c r="J858" t="str">
        <f>_xlfn.XLOOKUP($A:$A,Instagram_Usage_Lifestyle_Mini_!$A:$A,Instagram_Usage_Lifestyle_Mini_!$C:$K)</f>
        <v>Single</v>
      </c>
      <c r="K858" t="str">
        <f>_xlfn.XLOOKUP($A:$A,Instagram_Usage_Lifestyle_Mini_!$A:$A,Instagram_Usage_Lifestyle_Mini_!$C:$K)</f>
        <v>Yes</v>
      </c>
      <c r="L858" t="str" cm="1">
        <f t="array" ref="L858">_xlfn.IFS(C858&lt;18,"Under_18",C858&lt;=25,"Youth",C858&lt;=35,"Young_Adults",C858&lt;=45,"Mid_Adults",TRUE,"Seniors")</f>
        <v>Seniors</v>
      </c>
    </row>
    <row r="859" spans="1:12" x14ac:dyDescent="0.2">
      <c r="A859">
        <v>858</v>
      </c>
      <c r="B859" t="str">
        <f>_xlfn.XLOOKUP(A859,Instagram_Usage_Lifestyle_Mini_!A859,Instagram_Usage_Lifestyle_Mini_!B859,1)</f>
        <v>Instagram</v>
      </c>
      <c r="C859">
        <f>_xlfn.XLOOKUP($A:$A,Instagram_Usage_Lifestyle_Mini_!$A:$A,Instagram_Usage_Lifestyle_Mini_!$C:$K)</f>
        <v>65</v>
      </c>
      <c r="D859" t="str">
        <f>_xlfn.XLOOKUP($A:$A,Instagram_Usage_Lifestyle_Mini_!$A:$A,Instagram_Usage_Lifestyle_Mini_!$C:$K)</f>
        <v>Female</v>
      </c>
      <c r="E859" t="str">
        <f>_xlfn.XLOOKUP($A:$A,Instagram_Usage_Lifestyle_Mini_!$A:$A,Instagram_Usage_Lifestyle_Mini_!$C:$K)</f>
        <v>United_States</v>
      </c>
      <c r="F859" t="str">
        <f>_xlfn.XLOOKUP($A:$A,Instagram_Usage_Lifestyle_Mini_!$A:$A,Instagram_Usage_Lifestyle_Mini_!$C:$K)</f>
        <v>Suburban</v>
      </c>
      <c r="G859" t="str">
        <f>_xlfn.XLOOKUP($A:$A,Instagram_Usage_Lifestyle_Mini_!$A:$A,Instagram_Usage_Lifestyle_Mini_!$C:$K)</f>
        <v>Low</v>
      </c>
      <c r="H859" t="str">
        <f>_xlfn.XLOOKUP($A:$A,Instagram_Usage_Lifestyle_Mini_!$A:$A,Instagram_Usage_Lifestyle_Mini_!$C:$K)</f>
        <v>Full_time_employed</v>
      </c>
      <c r="I859" t="str">
        <f>_xlfn.XLOOKUP($A:$A,Instagram_Usage_Lifestyle_Mini_!$A:$A,Instagram_Usage_Lifestyle_Mini_!$C:$K)</f>
        <v>Other</v>
      </c>
      <c r="J859" t="str">
        <f>_xlfn.XLOOKUP($A:$A,Instagram_Usage_Lifestyle_Mini_!$A:$A,Instagram_Usage_Lifestyle_Mini_!$C:$K)</f>
        <v>Married</v>
      </c>
      <c r="K859" t="str">
        <f>_xlfn.XLOOKUP($A:$A,Instagram_Usage_Lifestyle_Mini_!$A:$A,Instagram_Usage_Lifestyle_Mini_!$C:$K)</f>
        <v>No</v>
      </c>
      <c r="L859" t="str" cm="1">
        <f t="array" ref="L859">_xlfn.IFS(C859&lt;18,"Under_18",C859&lt;=25,"Youth",C859&lt;=35,"Young_Adults",C859&lt;=45,"Mid_Adults",TRUE,"Seniors")</f>
        <v>Seniors</v>
      </c>
    </row>
    <row r="860" spans="1:12" x14ac:dyDescent="0.2">
      <c r="A860">
        <v>859</v>
      </c>
      <c r="B860" t="str">
        <f>_xlfn.XLOOKUP(A860,Instagram_Usage_Lifestyle_Mini_!A860,Instagram_Usage_Lifestyle_Mini_!B860,1)</f>
        <v>Instagram</v>
      </c>
      <c r="C860">
        <f>_xlfn.XLOOKUP($A:$A,Instagram_Usage_Lifestyle_Mini_!$A:$A,Instagram_Usage_Lifestyle_Mini_!$C:$K)</f>
        <v>49</v>
      </c>
      <c r="D860" t="str">
        <f>_xlfn.XLOOKUP($A:$A,Instagram_Usage_Lifestyle_Mini_!$A:$A,Instagram_Usage_Lifestyle_Mini_!$C:$K)</f>
        <v>Female</v>
      </c>
      <c r="E860" t="str">
        <f>_xlfn.XLOOKUP($A:$A,Instagram_Usage_Lifestyle_Mini_!$A:$A,Instagram_Usage_Lifestyle_Mini_!$C:$K)</f>
        <v>South_Korea</v>
      </c>
      <c r="F860" t="str">
        <f>_xlfn.XLOOKUP($A:$A,Instagram_Usage_Lifestyle_Mini_!$A:$A,Instagram_Usage_Lifestyle_Mini_!$C:$K)</f>
        <v>Urban</v>
      </c>
      <c r="G860" t="str">
        <f>_xlfn.XLOOKUP($A:$A,Instagram_Usage_Lifestyle_Mini_!$A:$A,Instagram_Usage_Lifestyle_Mini_!$C:$K)</f>
        <v>High</v>
      </c>
      <c r="H860" t="str">
        <f>_xlfn.XLOOKUP($A:$A,Instagram_Usage_Lifestyle_Mini_!$A:$A,Instagram_Usage_Lifestyle_Mini_!$C:$K)</f>
        <v>Full_time_employed</v>
      </c>
      <c r="I860" t="str">
        <f>_xlfn.XLOOKUP($A:$A,Instagram_Usage_Lifestyle_Mini_!$A:$A,Instagram_Usage_Lifestyle_Mini_!$C:$K)</f>
        <v>Bachelors_degree</v>
      </c>
      <c r="J860" t="str">
        <f>_xlfn.XLOOKUP($A:$A,Instagram_Usage_Lifestyle_Mini_!$A:$A,Instagram_Usage_Lifestyle_Mini_!$C:$K)</f>
        <v>In_a_relationship</v>
      </c>
      <c r="K860" t="str">
        <f>_xlfn.XLOOKUP($A:$A,Instagram_Usage_Lifestyle_Mini_!$A:$A,Instagram_Usage_Lifestyle_Mini_!$C:$K)</f>
        <v>No</v>
      </c>
      <c r="L860" t="str" cm="1">
        <f t="array" ref="L860">_xlfn.IFS(C860&lt;18,"Under_18",C860&lt;=25,"Youth",C860&lt;=35,"Young_Adults",C860&lt;=45,"Mid_Adults",TRUE,"Seniors")</f>
        <v>Seniors</v>
      </c>
    </row>
    <row r="861" spans="1:12" x14ac:dyDescent="0.2">
      <c r="A861">
        <v>860</v>
      </c>
      <c r="B861" t="str">
        <f>_xlfn.XLOOKUP(A861,Instagram_Usage_Lifestyle_Mini_!A861,Instagram_Usage_Lifestyle_Mini_!B861,1)</f>
        <v>Instagram</v>
      </c>
      <c r="C861">
        <f>_xlfn.XLOOKUP($A:$A,Instagram_Usage_Lifestyle_Mini_!$A:$A,Instagram_Usage_Lifestyle_Mini_!$C:$K)</f>
        <v>22</v>
      </c>
      <c r="D861" t="str">
        <f>_xlfn.XLOOKUP($A:$A,Instagram_Usage_Lifestyle_Mini_!$A:$A,Instagram_Usage_Lifestyle_Mini_!$C:$K)</f>
        <v>Female</v>
      </c>
      <c r="E861" t="str">
        <f>_xlfn.XLOOKUP($A:$A,Instagram_Usage_Lifestyle_Mini_!$A:$A,Instagram_Usage_Lifestyle_Mini_!$C:$K)</f>
        <v>United_States</v>
      </c>
      <c r="F861" t="str">
        <f>_xlfn.XLOOKUP($A:$A,Instagram_Usage_Lifestyle_Mini_!$A:$A,Instagram_Usage_Lifestyle_Mini_!$C:$K)</f>
        <v>Rural</v>
      </c>
      <c r="G861" t="str">
        <f>_xlfn.XLOOKUP($A:$A,Instagram_Usage_Lifestyle_Mini_!$A:$A,Instagram_Usage_Lifestyle_Mini_!$C:$K)</f>
        <v>Middle</v>
      </c>
      <c r="H861" t="str">
        <f>_xlfn.XLOOKUP($A:$A,Instagram_Usage_Lifestyle_Mini_!$A:$A,Instagram_Usage_Lifestyle_Mini_!$C:$K)</f>
        <v>Full_time_employed</v>
      </c>
      <c r="I861" t="str">
        <f>_xlfn.XLOOKUP($A:$A,Instagram_Usage_Lifestyle_Mini_!$A:$A,Instagram_Usage_Lifestyle_Mini_!$C:$K)</f>
        <v>Some_college</v>
      </c>
      <c r="J861" t="str">
        <f>_xlfn.XLOOKUP($A:$A,Instagram_Usage_Lifestyle_Mini_!$A:$A,Instagram_Usage_Lifestyle_Mini_!$C:$K)</f>
        <v>Single</v>
      </c>
      <c r="K861" t="str">
        <f>_xlfn.XLOOKUP($A:$A,Instagram_Usage_Lifestyle_Mini_!$A:$A,Instagram_Usage_Lifestyle_Mini_!$C:$K)</f>
        <v>Yes</v>
      </c>
      <c r="L861" t="str" cm="1">
        <f t="array" ref="L861">_xlfn.IFS(C861&lt;18,"Under_18",C861&lt;=25,"Youth",C861&lt;=35,"Young_Adults",C861&lt;=45,"Mid_Adults",TRUE,"Seniors")</f>
        <v>Youth</v>
      </c>
    </row>
    <row r="862" spans="1:12" x14ac:dyDescent="0.2">
      <c r="A862">
        <v>861</v>
      </c>
      <c r="B862" t="str">
        <f>_xlfn.XLOOKUP(A862,Instagram_Usage_Lifestyle_Mini_!A862,Instagram_Usage_Lifestyle_Mini_!B862,1)</f>
        <v>Instagram</v>
      </c>
      <c r="C862">
        <f>_xlfn.XLOOKUP($A:$A,Instagram_Usage_Lifestyle_Mini_!$A:$A,Instagram_Usage_Lifestyle_Mini_!$C:$K)</f>
        <v>22</v>
      </c>
      <c r="D862" t="str">
        <f>_xlfn.XLOOKUP($A:$A,Instagram_Usage_Lifestyle_Mini_!$A:$A,Instagram_Usage_Lifestyle_Mini_!$C:$K)</f>
        <v>Female</v>
      </c>
      <c r="E862" t="str">
        <f>_xlfn.XLOOKUP($A:$A,Instagram_Usage_Lifestyle_Mini_!$A:$A,Instagram_Usage_Lifestyle_Mini_!$C:$K)</f>
        <v>Japan</v>
      </c>
      <c r="F862" t="str">
        <f>_xlfn.XLOOKUP($A:$A,Instagram_Usage_Lifestyle_Mini_!$A:$A,Instagram_Usage_Lifestyle_Mini_!$C:$K)</f>
        <v>Suburban</v>
      </c>
      <c r="G862" t="str">
        <f>_xlfn.XLOOKUP($A:$A,Instagram_Usage_Lifestyle_Mini_!$A:$A,Instagram_Usage_Lifestyle_Mini_!$C:$K)</f>
        <v>High</v>
      </c>
      <c r="H862" t="str">
        <f>_xlfn.XLOOKUP($A:$A,Instagram_Usage_Lifestyle_Mini_!$A:$A,Instagram_Usage_Lifestyle_Mini_!$C:$K)</f>
        <v>Part_time</v>
      </c>
      <c r="I862" t="str">
        <f>_xlfn.XLOOKUP($A:$A,Instagram_Usage_Lifestyle_Mini_!$A:$A,Instagram_Usage_Lifestyle_Mini_!$C:$K)</f>
        <v>High_school</v>
      </c>
      <c r="J862" t="str">
        <f>_xlfn.XLOOKUP($A:$A,Instagram_Usage_Lifestyle_Mini_!$A:$A,Instagram_Usage_Lifestyle_Mini_!$C:$K)</f>
        <v>Married</v>
      </c>
      <c r="K862" t="str">
        <f>_xlfn.XLOOKUP($A:$A,Instagram_Usage_Lifestyle_Mini_!$A:$A,Instagram_Usage_Lifestyle_Mini_!$C:$K)</f>
        <v>No</v>
      </c>
      <c r="L862" t="str" cm="1">
        <f t="array" ref="L862">_xlfn.IFS(C862&lt;18,"Under_18",C862&lt;=25,"Youth",C862&lt;=35,"Young_Adults",C862&lt;=45,"Mid_Adults",TRUE,"Seniors")</f>
        <v>Youth</v>
      </c>
    </row>
    <row r="863" spans="1:12" x14ac:dyDescent="0.2">
      <c r="A863">
        <v>862</v>
      </c>
      <c r="B863" t="str">
        <f>_xlfn.XLOOKUP(A863,Instagram_Usage_Lifestyle_Mini_!A863,Instagram_Usage_Lifestyle_Mini_!B863,1)</f>
        <v>Instagram</v>
      </c>
      <c r="C863">
        <f>_xlfn.XLOOKUP($A:$A,Instagram_Usage_Lifestyle_Mini_!$A:$A,Instagram_Usage_Lifestyle_Mini_!$C:$K)</f>
        <v>31</v>
      </c>
      <c r="D863" t="str">
        <f>_xlfn.XLOOKUP($A:$A,Instagram_Usage_Lifestyle_Mini_!$A:$A,Instagram_Usage_Lifestyle_Mini_!$C:$K)</f>
        <v>Male</v>
      </c>
      <c r="E863" t="str">
        <f>_xlfn.XLOOKUP($A:$A,Instagram_Usage_Lifestyle_Mini_!$A:$A,Instagram_Usage_Lifestyle_Mini_!$C:$K)</f>
        <v>Brazil</v>
      </c>
      <c r="F863" t="str">
        <f>_xlfn.XLOOKUP($A:$A,Instagram_Usage_Lifestyle_Mini_!$A:$A,Instagram_Usage_Lifestyle_Mini_!$C:$K)</f>
        <v>Rural</v>
      </c>
      <c r="G863" t="str">
        <f>_xlfn.XLOOKUP($A:$A,Instagram_Usage_Lifestyle_Mini_!$A:$A,Instagram_Usage_Lifestyle_Mini_!$C:$K)</f>
        <v>Middle</v>
      </c>
      <c r="H863" t="str">
        <f>_xlfn.XLOOKUP($A:$A,Instagram_Usage_Lifestyle_Mini_!$A:$A,Instagram_Usage_Lifestyle_Mini_!$C:$K)</f>
        <v>Full_time_employed</v>
      </c>
      <c r="I863" t="str">
        <f>_xlfn.XLOOKUP($A:$A,Instagram_Usage_Lifestyle_Mini_!$A:$A,Instagram_Usage_Lifestyle_Mini_!$C:$K)</f>
        <v>High_school</v>
      </c>
      <c r="J863" t="str">
        <f>_xlfn.XLOOKUP($A:$A,Instagram_Usage_Lifestyle_Mini_!$A:$A,Instagram_Usage_Lifestyle_Mini_!$C:$K)</f>
        <v>Single</v>
      </c>
      <c r="K863" t="str">
        <f>_xlfn.XLOOKUP($A:$A,Instagram_Usage_Lifestyle_Mini_!$A:$A,Instagram_Usage_Lifestyle_Mini_!$C:$K)</f>
        <v>No</v>
      </c>
      <c r="L863" t="str" cm="1">
        <f t="array" ref="L863">_xlfn.IFS(C863&lt;18,"Under_18",C863&lt;=25,"Youth",C863&lt;=35,"Young_Adults",C863&lt;=45,"Mid_Adults",TRUE,"Seniors")</f>
        <v>Young_Adults</v>
      </c>
    </row>
    <row r="864" spans="1:12" x14ac:dyDescent="0.2">
      <c r="A864">
        <v>863</v>
      </c>
      <c r="B864" t="str">
        <f>_xlfn.XLOOKUP(A864,Instagram_Usage_Lifestyle_Mini_!A864,Instagram_Usage_Lifestyle_Mini_!B864,1)</f>
        <v>Instagram</v>
      </c>
      <c r="C864">
        <f>_xlfn.XLOOKUP($A:$A,Instagram_Usage_Lifestyle_Mini_!$A:$A,Instagram_Usage_Lifestyle_Mini_!$C:$K)</f>
        <v>29</v>
      </c>
      <c r="D864" t="str">
        <f>_xlfn.XLOOKUP($A:$A,Instagram_Usage_Lifestyle_Mini_!$A:$A,Instagram_Usage_Lifestyle_Mini_!$C:$K)</f>
        <v>Female</v>
      </c>
      <c r="E864" t="str">
        <f>_xlfn.XLOOKUP($A:$A,Instagram_Usage_Lifestyle_Mini_!$A:$A,Instagram_Usage_Lifestyle_Mini_!$C:$K)</f>
        <v>Australia</v>
      </c>
      <c r="F864" t="str">
        <f>_xlfn.XLOOKUP($A:$A,Instagram_Usage_Lifestyle_Mini_!$A:$A,Instagram_Usage_Lifestyle_Mini_!$C:$K)</f>
        <v>Urban</v>
      </c>
      <c r="G864" t="str">
        <f>_xlfn.XLOOKUP($A:$A,Instagram_Usage_Lifestyle_Mini_!$A:$A,Instagram_Usage_Lifestyle_Mini_!$C:$K)</f>
        <v>Lower_middle</v>
      </c>
      <c r="H864" t="str">
        <f>_xlfn.XLOOKUP($A:$A,Instagram_Usage_Lifestyle_Mini_!$A:$A,Instagram_Usage_Lifestyle_Mini_!$C:$K)</f>
        <v>Full_time_employed</v>
      </c>
      <c r="I864" t="str">
        <f>_xlfn.XLOOKUP($A:$A,Instagram_Usage_Lifestyle_Mini_!$A:$A,Instagram_Usage_Lifestyle_Mini_!$C:$K)</f>
        <v>High_school</v>
      </c>
      <c r="J864" t="str">
        <f>_xlfn.XLOOKUP($A:$A,Instagram_Usage_Lifestyle_Mini_!$A:$A,Instagram_Usage_Lifestyle_Mini_!$C:$K)</f>
        <v>Single</v>
      </c>
      <c r="K864" t="str">
        <f>_xlfn.XLOOKUP($A:$A,Instagram_Usage_Lifestyle_Mini_!$A:$A,Instagram_Usage_Lifestyle_Mini_!$C:$K)</f>
        <v>Yes</v>
      </c>
      <c r="L864" t="str" cm="1">
        <f t="array" ref="L864">_xlfn.IFS(C864&lt;18,"Under_18",C864&lt;=25,"Youth",C864&lt;=35,"Young_Adults",C864&lt;=45,"Mid_Adults",TRUE,"Seniors")</f>
        <v>Young_Adults</v>
      </c>
    </row>
    <row r="865" spans="1:12" x14ac:dyDescent="0.2">
      <c r="A865">
        <v>864</v>
      </c>
      <c r="B865" t="str">
        <f>_xlfn.XLOOKUP(A865,Instagram_Usage_Lifestyle_Mini_!A865,Instagram_Usage_Lifestyle_Mini_!B865,1)</f>
        <v>Instagram</v>
      </c>
      <c r="C865">
        <f>_xlfn.XLOOKUP($A:$A,Instagram_Usage_Lifestyle_Mini_!$A:$A,Instagram_Usage_Lifestyle_Mini_!$C:$K)</f>
        <v>33</v>
      </c>
      <c r="D865" t="str">
        <f>_xlfn.XLOOKUP($A:$A,Instagram_Usage_Lifestyle_Mini_!$A:$A,Instagram_Usage_Lifestyle_Mini_!$C:$K)</f>
        <v>Female</v>
      </c>
      <c r="E865" t="str">
        <f>_xlfn.XLOOKUP($A:$A,Instagram_Usage_Lifestyle_Mini_!$A:$A,Instagram_Usage_Lifestyle_Mini_!$C:$K)</f>
        <v>India</v>
      </c>
      <c r="F865" t="str">
        <f>_xlfn.XLOOKUP($A:$A,Instagram_Usage_Lifestyle_Mini_!$A:$A,Instagram_Usage_Lifestyle_Mini_!$C:$K)</f>
        <v>Suburban</v>
      </c>
      <c r="G865" t="str">
        <f>_xlfn.XLOOKUP($A:$A,Instagram_Usage_Lifestyle_Mini_!$A:$A,Instagram_Usage_Lifestyle_Mini_!$C:$K)</f>
        <v>Low</v>
      </c>
      <c r="H865" t="str">
        <f>_xlfn.XLOOKUP($A:$A,Instagram_Usage_Lifestyle_Mini_!$A:$A,Instagram_Usage_Lifestyle_Mini_!$C:$K)</f>
        <v>Full_time_employed</v>
      </c>
      <c r="I865" t="str">
        <f>_xlfn.XLOOKUP($A:$A,Instagram_Usage_Lifestyle_Mini_!$A:$A,Instagram_Usage_Lifestyle_Mini_!$C:$K)</f>
        <v>Some_college</v>
      </c>
      <c r="J865" t="str">
        <f>_xlfn.XLOOKUP($A:$A,Instagram_Usage_Lifestyle_Mini_!$A:$A,Instagram_Usage_Lifestyle_Mini_!$C:$K)</f>
        <v>Single</v>
      </c>
      <c r="K865" t="str">
        <f>_xlfn.XLOOKUP($A:$A,Instagram_Usage_Lifestyle_Mini_!$A:$A,Instagram_Usage_Lifestyle_Mini_!$C:$K)</f>
        <v>Yes</v>
      </c>
      <c r="L865" t="str" cm="1">
        <f t="array" ref="L865">_xlfn.IFS(C865&lt;18,"Under_18",C865&lt;=25,"Youth",C865&lt;=35,"Young_Adults",C865&lt;=45,"Mid_Adults",TRUE,"Seniors")</f>
        <v>Young_Adults</v>
      </c>
    </row>
    <row r="866" spans="1:12" x14ac:dyDescent="0.2">
      <c r="A866">
        <v>865</v>
      </c>
      <c r="B866" t="str">
        <f>_xlfn.XLOOKUP(A866,Instagram_Usage_Lifestyle_Mini_!A866,Instagram_Usage_Lifestyle_Mini_!B866,1)</f>
        <v>Instagram</v>
      </c>
      <c r="C866">
        <f>_xlfn.XLOOKUP($A:$A,Instagram_Usage_Lifestyle_Mini_!$A:$A,Instagram_Usage_Lifestyle_Mini_!$C:$K)</f>
        <v>26</v>
      </c>
      <c r="D866" t="str">
        <f>_xlfn.XLOOKUP($A:$A,Instagram_Usage_Lifestyle_Mini_!$A:$A,Instagram_Usage_Lifestyle_Mini_!$C:$K)</f>
        <v>Female</v>
      </c>
      <c r="E866" t="str">
        <f>_xlfn.XLOOKUP($A:$A,Instagram_Usage_Lifestyle_Mini_!$A:$A,Instagram_Usage_Lifestyle_Mini_!$C:$K)</f>
        <v>United _Kingdom</v>
      </c>
      <c r="F866" t="str">
        <f>_xlfn.XLOOKUP($A:$A,Instagram_Usage_Lifestyle_Mini_!$A:$A,Instagram_Usage_Lifestyle_Mini_!$C:$K)</f>
        <v>Rural</v>
      </c>
      <c r="G866" t="str">
        <f>_xlfn.XLOOKUP($A:$A,Instagram_Usage_Lifestyle_Mini_!$A:$A,Instagram_Usage_Lifestyle_Mini_!$C:$K)</f>
        <v>Middle</v>
      </c>
      <c r="H866" t="str">
        <f>_xlfn.XLOOKUP($A:$A,Instagram_Usage_Lifestyle_Mini_!$A:$A,Instagram_Usage_Lifestyle_Mini_!$C:$K)</f>
        <v>Full_time_employed</v>
      </c>
      <c r="I866" t="str">
        <f>_xlfn.XLOOKUP($A:$A,Instagram_Usage_Lifestyle_Mini_!$A:$A,Instagram_Usage_Lifestyle_Mini_!$C:$K)</f>
        <v>Masters_degree</v>
      </c>
      <c r="J866" t="str">
        <f>_xlfn.XLOOKUP($A:$A,Instagram_Usage_Lifestyle_Mini_!$A:$A,Instagram_Usage_Lifestyle_Mini_!$C:$K)</f>
        <v>Single</v>
      </c>
      <c r="K866" t="str">
        <f>_xlfn.XLOOKUP($A:$A,Instagram_Usage_Lifestyle_Mini_!$A:$A,Instagram_Usage_Lifestyle_Mini_!$C:$K)</f>
        <v>No</v>
      </c>
      <c r="L866" t="str" cm="1">
        <f t="array" ref="L866">_xlfn.IFS(C866&lt;18,"Under_18",C866&lt;=25,"Youth",C866&lt;=35,"Young_Adults",C866&lt;=45,"Mid_Adults",TRUE,"Seniors")</f>
        <v>Young_Adults</v>
      </c>
    </row>
    <row r="867" spans="1:12" x14ac:dyDescent="0.2">
      <c r="A867">
        <v>866</v>
      </c>
      <c r="B867" t="str">
        <f>_xlfn.XLOOKUP(A867,Instagram_Usage_Lifestyle_Mini_!A867,Instagram_Usage_Lifestyle_Mini_!B867,1)</f>
        <v>Instagram</v>
      </c>
      <c r="C867">
        <f>_xlfn.XLOOKUP($A:$A,Instagram_Usage_Lifestyle_Mini_!$A:$A,Instagram_Usage_Lifestyle_Mini_!$C:$K)</f>
        <v>21</v>
      </c>
      <c r="D867" t="str">
        <f>_xlfn.XLOOKUP($A:$A,Instagram_Usage_Lifestyle_Mini_!$A:$A,Instagram_Usage_Lifestyle_Mini_!$C:$K)</f>
        <v>Female</v>
      </c>
      <c r="E867" t="str">
        <f>_xlfn.XLOOKUP($A:$A,Instagram_Usage_Lifestyle_Mini_!$A:$A,Instagram_Usage_Lifestyle_Mini_!$C:$K)</f>
        <v>Germany</v>
      </c>
      <c r="F867" t="str">
        <f>_xlfn.XLOOKUP($A:$A,Instagram_Usage_Lifestyle_Mini_!$A:$A,Instagram_Usage_Lifestyle_Mini_!$C:$K)</f>
        <v>Urban</v>
      </c>
      <c r="G867" t="str">
        <f>_xlfn.XLOOKUP($A:$A,Instagram_Usage_Lifestyle_Mini_!$A:$A,Instagram_Usage_Lifestyle_Mini_!$C:$K)</f>
        <v>Low</v>
      </c>
      <c r="H867" t="str">
        <f>_xlfn.XLOOKUP($A:$A,Instagram_Usage_Lifestyle_Mini_!$A:$A,Instagram_Usage_Lifestyle_Mini_!$C:$K)</f>
        <v>Unemployed</v>
      </c>
      <c r="I867" t="str">
        <f>_xlfn.XLOOKUP($A:$A,Instagram_Usage_Lifestyle_Mini_!$A:$A,Instagram_Usage_Lifestyle_Mini_!$C:$K)</f>
        <v>Some_college</v>
      </c>
      <c r="J867" t="str">
        <f>_xlfn.XLOOKUP($A:$A,Instagram_Usage_Lifestyle_Mini_!$A:$A,Instagram_Usage_Lifestyle_Mini_!$C:$K)</f>
        <v>Divorced</v>
      </c>
      <c r="K867" t="str">
        <f>_xlfn.XLOOKUP($A:$A,Instagram_Usage_Lifestyle_Mini_!$A:$A,Instagram_Usage_Lifestyle_Mini_!$C:$K)</f>
        <v>Yes</v>
      </c>
      <c r="L867" t="str" cm="1">
        <f t="array" ref="L867">_xlfn.IFS(C867&lt;18,"Under_18",C867&lt;=25,"Youth",C867&lt;=35,"Young_Adults",C867&lt;=45,"Mid_Adults",TRUE,"Seniors")</f>
        <v>Youth</v>
      </c>
    </row>
    <row r="868" spans="1:12" x14ac:dyDescent="0.2">
      <c r="A868">
        <v>867</v>
      </c>
      <c r="B868" t="str">
        <f>_xlfn.XLOOKUP(A868,Instagram_Usage_Lifestyle_Mini_!A868,Instagram_Usage_Lifestyle_Mini_!B868,1)</f>
        <v>Instagram</v>
      </c>
      <c r="C868">
        <f>_xlfn.XLOOKUP($A:$A,Instagram_Usage_Lifestyle_Mini_!$A:$A,Instagram_Usage_Lifestyle_Mini_!$C:$K)</f>
        <v>58</v>
      </c>
      <c r="D868" t="str">
        <f>_xlfn.XLOOKUP($A:$A,Instagram_Usage_Lifestyle_Mini_!$A:$A,Instagram_Usage_Lifestyle_Mini_!$C:$K)</f>
        <v>Male</v>
      </c>
      <c r="E868" t="str">
        <f>_xlfn.XLOOKUP($A:$A,Instagram_Usage_Lifestyle_Mini_!$A:$A,Instagram_Usage_Lifestyle_Mini_!$C:$K)</f>
        <v>India</v>
      </c>
      <c r="F868" t="str">
        <f>_xlfn.XLOOKUP($A:$A,Instagram_Usage_Lifestyle_Mini_!$A:$A,Instagram_Usage_Lifestyle_Mini_!$C:$K)</f>
        <v>Suburban</v>
      </c>
      <c r="G868" t="str">
        <f>_xlfn.XLOOKUP($A:$A,Instagram_Usage_Lifestyle_Mini_!$A:$A,Instagram_Usage_Lifestyle_Mini_!$C:$K)</f>
        <v>Lower_middle</v>
      </c>
      <c r="H868" t="str">
        <f>_xlfn.XLOOKUP($A:$A,Instagram_Usage_Lifestyle_Mini_!$A:$A,Instagram_Usage_Lifestyle_Mini_!$C:$K)</f>
        <v>Part_time</v>
      </c>
      <c r="I868" t="str">
        <f>_xlfn.XLOOKUP($A:$A,Instagram_Usage_Lifestyle_Mini_!$A:$A,Instagram_Usage_Lifestyle_Mini_!$C:$K)</f>
        <v>Other</v>
      </c>
      <c r="J868" t="str">
        <f>_xlfn.XLOOKUP($A:$A,Instagram_Usage_Lifestyle_Mini_!$A:$A,Instagram_Usage_Lifestyle_Mini_!$C:$K)</f>
        <v>Single</v>
      </c>
      <c r="K868" t="str">
        <f>_xlfn.XLOOKUP($A:$A,Instagram_Usage_Lifestyle_Mini_!$A:$A,Instagram_Usage_Lifestyle_Mini_!$C:$K)</f>
        <v>No</v>
      </c>
      <c r="L868" t="str" cm="1">
        <f t="array" ref="L868">_xlfn.IFS(C868&lt;18,"Under_18",C868&lt;=25,"Youth",C868&lt;=35,"Young_Adults",C868&lt;=45,"Mid_Adults",TRUE,"Seniors")</f>
        <v>Seniors</v>
      </c>
    </row>
    <row r="869" spans="1:12" x14ac:dyDescent="0.2">
      <c r="A869">
        <v>868</v>
      </c>
      <c r="B869" t="str">
        <f>_xlfn.XLOOKUP(A869,Instagram_Usage_Lifestyle_Mini_!A869,Instagram_Usage_Lifestyle_Mini_!B869,1)</f>
        <v>Instagram</v>
      </c>
      <c r="C869">
        <f>_xlfn.XLOOKUP($A:$A,Instagram_Usage_Lifestyle_Mini_!$A:$A,Instagram_Usage_Lifestyle_Mini_!$C:$K)</f>
        <v>13</v>
      </c>
      <c r="D869" t="str">
        <f>_xlfn.XLOOKUP($A:$A,Instagram_Usage_Lifestyle_Mini_!$A:$A,Instagram_Usage_Lifestyle_Mini_!$C:$K)</f>
        <v>Male</v>
      </c>
      <c r="E869" t="str">
        <f>_xlfn.XLOOKUP($A:$A,Instagram_Usage_Lifestyle_Mini_!$A:$A,Instagram_Usage_Lifestyle_Mini_!$C:$K)</f>
        <v>India</v>
      </c>
      <c r="F869" t="str">
        <f>_xlfn.XLOOKUP($A:$A,Instagram_Usage_Lifestyle_Mini_!$A:$A,Instagram_Usage_Lifestyle_Mini_!$C:$K)</f>
        <v>Urban</v>
      </c>
      <c r="G869" t="str">
        <f>_xlfn.XLOOKUP($A:$A,Instagram_Usage_Lifestyle_Mini_!$A:$A,Instagram_Usage_Lifestyle_Mini_!$C:$K)</f>
        <v>Lower_middle</v>
      </c>
      <c r="H869" t="str">
        <f>_xlfn.XLOOKUP($A:$A,Instagram_Usage_Lifestyle_Mini_!$A:$A,Instagram_Usage_Lifestyle_Mini_!$C:$K)</f>
        <v>Freelancer</v>
      </c>
      <c r="I869" t="str">
        <f>_xlfn.XLOOKUP($A:$A,Instagram_Usage_Lifestyle_Mini_!$A:$A,Instagram_Usage_Lifestyle_Mini_!$C:$K)</f>
        <v>Bachelors_degree</v>
      </c>
      <c r="J869" t="str">
        <f>_xlfn.XLOOKUP($A:$A,Instagram_Usage_Lifestyle_Mini_!$A:$A,Instagram_Usage_Lifestyle_Mini_!$C:$K)</f>
        <v>Single</v>
      </c>
      <c r="K869" t="str">
        <f>_xlfn.XLOOKUP($A:$A,Instagram_Usage_Lifestyle_Mini_!$A:$A,Instagram_Usage_Lifestyle_Mini_!$C:$K)</f>
        <v>No</v>
      </c>
      <c r="L869" t="str" cm="1">
        <f t="array" ref="L869">_xlfn.IFS(C869&lt;18,"Under_18",C869&lt;=25,"Youth",C869&lt;=35,"Young_Adults",C869&lt;=45,"Mid_Adults",TRUE,"Seniors")</f>
        <v>Under_18</v>
      </c>
    </row>
    <row r="870" spans="1:12" x14ac:dyDescent="0.2">
      <c r="A870">
        <v>869</v>
      </c>
      <c r="B870" t="str">
        <f>_xlfn.XLOOKUP(A870,Instagram_Usage_Lifestyle_Mini_!A870,Instagram_Usage_Lifestyle_Mini_!B870,1)</f>
        <v>Instagram</v>
      </c>
      <c r="C870">
        <f>_xlfn.XLOOKUP($A:$A,Instagram_Usage_Lifestyle_Mini_!$A:$A,Instagram_Usage_Lifestyle_Mini_!$C:$K)</f>
        <v>63</v>
      </c>
      <c r="D870" t="str">
        <f>_xlfn.XLOOKUP($A:$A,Instagram_Usage_Lifestyle_Mini_!$A:$A,Instagram_Usage_Lifestyle_Mini_!$C:$K)</f>
        <v>Female</v>
      </c>
      <c r="E870" t="str">
        <f>_xlfn.XLOOKUP($A:$A,Instagram_Usage_Lifestyle_Mini_!$A:$A,Instagram_Usage_Lifestyle_Mini_!$C:$K)</f>
        <v>Australia</v>
      </c>
      <c r="F870" t="str">
        <f>_xlfn.XLOOKUP($A:$A,Instagram_Usage_Lifestyle_Mini_!$A:$A,Instagram_Usage_Lifestyle_Mini_!$C:$K)</f>
        <v>Urban</v>
      </c>
      <c r="G870" t="str">
        <f>_xlfn.XLOOKUP($A:$A,Instagram_Usage_Lifestyle_Mini_!$A:$A,Instagram_Usage_Lifestyle_Mini_!$C:$K)</f>
        <v>Low</v>
      </c>
      <c r="H870" t="str">
        <f>_xlfn.XLOOKUP($A:$A,Instagram_Usage_Lifestyle_Mini_!$A:$A,Instagram_Usage_Lifestyle_Mini_!$C:$K)</f>
        <v>Full_time_employed</v>
      </c>
      <c r="I870" t="str">
        <f>_xlfn.XLOOKUP($A:$A,Instagram_Usage_Lifestyle_Mini_!$A:$A,Instagram_Usage_Lifestyle_Mini_!$C:$K)</f>
        <v>Bachelors_degree</v>
      </c>
      <c r="J870" t="str">
        <f>_xlfn.XLOOKUP($A:$A,Instagram_Usage_Lifestyle_Mini_!$A:$A,Instagram_Usage_Lifestyle_Mini_!$C:$K)</f>
        <v>In_a_relationship</v>
      </c>
      <c r="K870" t="str">
        <f>_xlfn.XLOOKUP($A:$A,Instagram_Usage_Lifestyle_Mini_!$A:$A,Instagram_Usage_Lifestyle_Mini_!$C:$K)</f>
        <v>Yes</v>
      </c>
      <c r="L870" t="str" cm="1">
        <f t="array" ref="L870">_xlfn.IFS(C870&lt;18,"Under_18",C870&lt;=25,"Youth",C870&lt;=35,"Young_Adults",C870&lt;=45,"Mid_Adults",TRUE,"Seniors")</f>
        <v>Seniors</v>
      </c>
    </row>
    <row r="871" spans="1:12" x14ac:dyDescent="0.2">
      <c r="A871">
        <v>870</v>
      </c>
      <c r="B871" t="str">
        <f>_xlfn.XLOOKUP(A871,Instagram_Usage_Lifestyle_Mini_!A871,Instagram_Usage_Lifestyle_Mini_!B871,1)</f>
        <v>Instagram</v>
      </c>
      <c r="C871">
        <f>_xlfn.XLOOKUP($A:$A,Instagram_Usage_Lifestyle_Mini_!$A:$A,Instagram_Usage_Lifestyle_Mini_!$C:$K)</f>
        <v>57</v>
      </c>
      <c r="D871" t="str">
        <f>_xlfn.XLOOKUP($A:$A,Instagram_Usage_Lifestyle_Mini_!$A:$A,Instagram_Usage_Lifestyle_Mini_!$C:$K)</f>
        <v>Female</v>
      </c>
      <c r="E871" t="str">
        <f>_xlfn.XLOOKUP($A:$A,Instagram_Usage_Lifestyle_Mini_!$A:$A,Instagram_Usage_Lifestyle_Mini_!$C:$K)</f>
        <v>Brazil</v>
      </c>
      <c r="F871" t="str">
        <f>_xlfn.XLOOKUP($A:$A,Instagram_Usage_Lifestyle_Mini_!$A:$A,Instagram_Usage_Lifestyle_Mini_!$C:$K)</f>
        <v>Suburban</v>
      </c>
      <c r="G871" t="str">
        <f>_xlfn.XLOOKUP($A:$A,Instagram_Usage_Lifestyle_Mini_!$A:$A,Instagram_Usage_Lifestyle_Mini_!$C:$K)</f>
        <v>Upper_middle</v>
      </c>
      <c r="H871" t="str">
        <f>_xlfn.XLOOKUP($A:$A,Instagram_Usage_Lifestyle_Mini_!$A:$A,Instagram_Usage_Lifestyle_Mini_!$C:$K)</f>
        <v>Full_time_employed</v>
      </c>
      <c r="I871" t="str">
        <f>_xlfn.XLOOKUP($A:$A,Instagram_Usage_Lifestyle_Mini_!$A:$A,Instagram_Usage_Lifestyle_Mini_!$C:$K)</f>
        <v>Some_college</v>
      </c>
      <c r="J871" t="str">
        <f>_xlfn.XLOOKUP($A:$A,Instagram_Usage_Lifestyle_Mini_!$A:$A,Instagram_Usage_Lifestyle_Mini_!$C:$K)</f>
        <v>Single</v>
      </c>
      <c r="K871" t="str">
        <f>_xlfn.XLOOKUP($A:$A,Instagram_Usage_Lifestyle_Mini_!$A:$A,Instagram_Usage_Lifestyle_Mini_!$C:$K)</f>
        <v>No</v>
      </c>
      <c r="L871" t="str" cm="1">
        <f t="array" ref="L871">_xlfn.IFS(C871&lt;18,"Under_18",C871&lt;=25,"Youth",C871&lt;=35,"Young_Adults",C871&lt;=45,"Mid_Adults",TRUE,"Seniors")</f>
        <v>Seniors</v>
      </c>
    </row>
    <row r="872" spans="1:12" x14ac:dyDescent="0.2">
      <c r="A872">
        <v>871</v>
      </c>
      <c r="B872" t="str">
        <f>_xlfn.XLOOKUP(A872,Instagram_Usage_Lifestyle_Mini_!A872,Instagram_Usage_Lifestyle_Mini_!B872,1)</f>
        <v>Instagram</v>
      </c>
      <c r="C872">
        <f>_xlfn.XLOOKUP($A:$A,Instagram_Usage_Lifestyle_Mini_!$A:$A,Instagram_Usage_Lifestyle_Mini_!$C:$K)</f>
        <v>25</v>
      </c>
      <c r="D872" t="str">
        <f>_xlfn.XLOOKUP($A:$A,Instagram_Usage_Lifestyle_Mini_!$A:$A,Instagram_Usage_Lifestyle_Mini_!$C:$K)</f>
        <v>Female</v>
      </c>
      <c r="E872" t="str">
        <f>_xlfn.XLOOKUP($A:$A,Instagram_Usage_Lifestyle_Mini_!$A:$A,Instagram_Usage_Lifestyle_Mini_!$C:$K)</f>
        <v>United_States</v>
      </c>
      <c r="F872" t="str">
        <f>_xlfn.XLOOKUP($A:$A,Instagram_Usage_Lifestyle_Mini_!$A:$A,Instagram_Usage_Lifestyle_Mini_!$C:$K)</f>
        <v>Urban</v>
      </c>
      <c r="G872" t="str">
        <f>_xlfn.XLOOKUP($A:$A,Instagram_Usage_Lifestyle_Mini_!$A:$A,Instagram_Usage_Lifestyle_Mini_!$C:$K)</f>
        <v>Middle</v>
      </c>
      <c r="H872" t="str">
        <f>_xlfn.XLOOKUP($A:$A,Instagram_Usage_Lifestyle_Mini_!$A:$A,Instagram_Usage_Lifestyle_Mini_!$C:$K)</f>
        <v>Student</v>
      </c>
      <c r="I872" t="str">
        <f>_xlfn.XLOOKUP($A:$A,Instagram_Usage_Lifestyle_Mini_!$A:$A,Instagram_Usage_Lifestyle_Mini_!$C:$K)</f>
        <v>Masters_degree</v>
      </c>
      <c r="J872" t="str">
        <f>_xlfn.XLOOKUP($A:$A,Instagram_Usage_Lifestyle_Mini_!$A:$A,Instagram_Usage_Lifestyle_Mini_!$C:$K)</f>
        <v>Single</v>
      </c>
      <c r="K872" t="str">
        <f>_xlfn.XLOOKUP($A:$A,Instagram_Usage_Lifestyle_Mini_!$A:$A,Instagram_Usage_Lifestyle_Mini_!$C:$K)</f>
        <v>No</v>
      </c>
      <c r="L872" t="str" cm="1">
        <f t="array" ref="L872">_xlfn.IFS(C872&lt;18,"Under_18",C872&lt;=25,"Youth",C872&lt;=35,"Young_Adults",C872&lt;=45,"Mid_Adults",TRUE,"Seniors")</f>
        <v>Youth</v>
      </c>
    </row>
    <row r="873" spans="1:12" x14ac:dyDescent="0.2">
      <c r="A873">
        <v>872</v>
      </c>
      <c r="B873" t="str">
        <f>_xlfn.XLOOKUP(A873,Instagram_Usage_Lifestyle_Mini_!A873,Instagram_Usage_Lifestyle_Mini_!B873,1)</f>
        <v>Instagram</v>
      </c>
      <c r="C873">
        <f>_xlfn.XLOOKUP($A:$A,Instagram_Usage_Lifestyle_Mini_!$A:$A,Instagram_Usage_Lifestyle_Mini_!$C:$K)</f>
        <v>16</v>
      </c>
      <c r="D873" t="str">
        <f>_xlfn.XLOOKUP($A:$A,Instagram_Usage_Lifestyle_Mini_!$A:$A,Instagram_Usage_Lifestyle_Mini_!$C:$K)</f>
        <v>Female</v>
      </c>
      <c r="E873" t="str">
        <f>_xlfn.XLOOKUP($A:$A,Instagram_Usage_Lifestyle_Mini_!$A:$A,Instagram_Usage_Lifestyle_Mini_!$C:$K)</f>
        <v>United_States</v>
      </c>
      <c r="F873" t="str">
        <f>_xlfn.XLOOKUP($A:$A,Instagram_Usage_Lifestyle_Mini_!$A:$A,Instagram_Usage_Lifestyle_Mini_!$C:$K)</f>
        <v>Urban</v>
      </c>
      <c r="G873" t="str">
        <f>_xlfn.XLOOKUP($A:$A,Instagram_Usage_Lifestyle_Mini_!$A:$A,Instagram_Usage_Lifestyle_Mini_!$C:$K)</f>
        <v>Lower_middle</v>
      </c>
      <c r="H873" t="str">
        <f>_xlfn.XLOOKUP($A:$A,Instagram_Usage_Lifestyle_Mini_!$A:$A,Instagram_Usage_Lifestyle_Mini_!$C:$K)</f>
        <v>Retired</v>
      </c>
      <c r="I873" t="str">
        <f>_xlfn.XLOOKUP($A:$A,Instagram_Usage_Lifestyle_Mini_!$A:$A,Instagram_Usage_Lifestyle_Mini_!$C:$K)</f>
        <v>Some_college</v>
      </c>
      <c r="J873" t="str">
        <f>_xlfn.XLOOKUP($A:$A,Instagram_Usage_Lifestyle_Mini_!$A:$A,Instagram_Usage_Lifestyle_Mini_!$C:$K)</f>
        <v>Single</v>
      </c>
      <c r="K873" t="str">
        <f>_xlfn.XLOOKUP($A:$A,Instagram_Usage_Lifestyle_Mini_!$A:$A,Instagram_Usage_Lifestyle_Mini_!$C:$K)</f>
        <v>No</v>
      </c>
      <c r="L873" t="str" cm="1">
        <f t="array" ref="L873">_xlfn.IFS(C873&lt;18,"Under_18",C873&lt;=25,"Youth",C873&lt;=35,"Young_Adults",C873&lt;=45,"Mid_Adults",TRUE,"Seniors")</f>
        <v>Under_18</v>
      </c>
    </row>
    <row r="874" spans="1:12" x14ac:dyDescent="0.2">
      <c r="A874">
        <v>873</v>
      </c>
      <c r="B874" t="str">
        <f>_xlfn.XLOOKUP(A874,Instagram_Usage_Lifestyle_Mini_!A874,Instagram_Usage_Lifestyle_Mini_!B874,1)</f>
        <v>Instagram</v>
      </c>
      <c r="C874">
        <f>_xlfn.XLOOKUP($A:$A,Instagram_Usage_Lifestyle_Mini_!$A:$A,Instagram_Usage_Lifestyle_Mini_!$C:$K)</f>
        <v>13</v>
      </c>
      <c r="D874" t="str">
        <f>_xlfn.XLOOKUP($A:$A,Instagram_Usage_Lifestyle_Mini_!$A:$A,Instagram_Usage_Lifestyle_Mini_!$C:$K)</f>
        <v>Female</v>
      </c>
      <c r="E874" t="str">
        <f>_xlfn.XLOOKUP($A:$A,Instagram_Usage_Lifestyle_Mini_!$A:$A,Instagram_Usage_Lifestyle_Mini_!$C:$K)</f>
        <v>Brazil</v>
      </c>
      <c r="F874" t="str">
        <f>_xlfn.XLOOKUP($A:$A,Instagram_Usage_Lifestyle_Mini_!$A:$A,Instagram_Usage_Lifestyle_Mini_!$C:$K)</f>
        <v>Urban</v>
      </c>
      <c r="G874" t="str">
        <f>_xlfn.XLOOKUP($A:$A,Instagram_Usage_Lifestyle_Mini_!$A:$A,Instagram_Usage_Lifestyle_Mini_!$C:$K)</f>
        <v>Lower_middle</v>
      </c>
      <c r="H874" t="str">
        <f>_xlfn.XLOOKUP($A:$A,Instagram_Usage_Lifestyle_Mini_!$A:$A,Instagram_Usage_Lifestyle_Mini_!$C:$K)</f>
        <v>Full_time_employed</v>
      </c>
      <c r="I874" t="str">
        <f>_xlfn.XLOOKUP($A:$A,Instagram_Usage_Lifestyle_Mini_!$A:$A,Instagram_Usage_Lifestyle_Mini_!$C:$K)</f>
        <v>High_school</v>
      </c>
      <c r="J874" t="str">
        <f>_xlfn.XLOOKUP($A:$A,Instagram_Usage_Lifestyle_Mini_!$A:$A,Instagram_Usage_Lifestyle_Mini_!$C:$K)</f>
        <v>Married</v>
      </c>
      <c r="K874" t="str">
        <f>_xlfn.XLOOKUP($A:$A,Instagram_Usage_Lifestyle_Mini_!$A:$A,Instagram_Usage_Lifestyle_Mini_!$C:$K)</f>
        <v>No</v>
      </c>
      <c r="L874" t="str" cm="1">
        <f t="array" ref="L874">_xlfn.IFS(C874&lt;18,"Under_18",C874&lt;=25,"Youth",C874&lt;=35,"Young_Adults",C874&lt;=45,"Mid_Adults",TRUE,"Seniors")</f>
        <v>Under_18</v>
      </c>
    </row>
    <row r="875" spans="1:12" x14ac:dyDescent="0.2">
      <c r="A875">
        <v>874</v>
      </c>
      <c r="B875" t="str">
        <f>_xlfn.XLOOKUP(A875,Instagram_Usage_Lifestyle_Mini_!A875,Instagram_Usage_Lifestyle_Mini_!B875,1)</f>
        <v>Instagram</v>
      </c>
      <c r="C875">
        <f>_xlfn.XLOOKUP($A:$A,Instagram_Usage_Lifestyle_Mini_!$A:$A,Instagram_Usage_Lifestyle_Mini_!$C:$K)</f>
        <v>61</v>
      </c>
      <c r="D875" t="str">
        <f>_xlfn.XLOOKUP($A:$A,Instagram_Usage_Lifestyle_Mini_!$A:$A,Instagram_Usage_Lifestyle_Mini_!$C:$K)</f>
        <v>Female</v>
      </c>
      <c r="E875" t="str">
        <f>_xlfn.XLOOKUP($A:$A,Instagram_Usage_Lifestyle_Mini_!$A:$A,Instagram_Usage_Lifestyle_Mini_!$C:$K)</f>
        <v>India</v>
      </c>
      <c r="F875" t="str">
        <f>_xlfn.XLOOKUP($A:$A,Instagram_Usage_Lifestyle_Mini_!$A:$A,Instagram_Usage_Lifestyle_Mini_!$C:$K)</f>
        <v>Rural</v>
      </c>
      <c r="G875" t="str">
        <f>_xlfn.XLOOKUP($A:$A,Instagram_Usage_Lifestyle_Mini_!$A:$A,Instagram_Usage_Lifestyle_Mini_!$C:$K)</f>
        <v>Lower_middle</v>
      </c>
      <c r="H875" t="str">
        <f>_xlfn.XLOOKUP($A:$A,Instagram_Usage_Lifestyle_Mini_!$A:$A,Instagram_Usage_Lifestyle_Mini_!$C:$K)</f>
        <v>Unemployed</v>
      </c>
      <c r="I875" t="str">
        <f>_xlfn.XLOOKUP($A:$A,Instagram_Usage_Lifestyle_Mini_!$A:$A,Instagram_Usage_Lifestyle_Mini_!$C:$K)</f>
        <v>High_school</v>
      </c>
      <c r="J875" t="str">
        <f>_xlfn.XLOOKUP($A:$A,Instagram_Usage_Lifestyle_Mini_!$A:$A,Instagram_Usage_Lifestyle_Mini_!$C:$K)</f>
        <v>Divorced</v>
      </c>
      <c r="K875" t="str">
        <f>_xlfn.XLOOKUP($A:$A,Instagram_Usage_Lifestyle_Mini_!$A:$A,Instagram_Usage_Lifestyle_Mini_!$C:$K)</f>
        <v>Yes</v>
      </c>
      <c r="L875" t="str" cm="1">
        <f t="array" ref="L875">_xlfn.IFS(C875&lt;18,"Under_18",C875&lt;=25,"Youth",C875&lt;=35,"Young_Adults",C875&lt;=45,"Mid_Adults",TRUE,"Seniors")</f>
        <v>Seniors</v>
      </c>
    </row>
    <row r="876" spans="1:12" x14ac:dyDescent="0.2">
      <c r="A876">
        <v>875</v>
      </c>
      <c r="B876" t="str">
        <f>_xlfn.XLOOKUP(A876,Instagram_Usage_Lifestyle_Mini_!A876,Instagram_Usage_Lifestyle_Mini_!B876,1)</f>
        <v>Instagram</v>
      </c>
      <c r="C876">
        <f>_xlfn.XLOOKUP($A:$A,Instagram_Usage_Lifestyle_Mini_!$A:$A,Instagram_Usage_Lifestyle_Mini_!$C:$K)</f>
        <v>52</v>
      </c>
      <c r="D876" t="str">
        <f>_xlfn.XLOOKUP($A:$A,Instagram_Usage_Lifestyle_Mini_!$A:$A,Instagram_Usage_Lifestyle_Mini_!$C:$K)</f>
        <v>Male</v>
      </c>
      <c r="E876" t="str">
        <f>_xlfn.XLOOKUP($A:$A,Instagram_Usage_Lifestyle_Mini_!$A:$A,Instagram_Usage_Lifestyle_Mini_!$C:$K)</f>
        <v>Other</v>
      </c>
      <c r="F876" t="str">
        <f>_xlfn.XLOOKUP($A:$A,Instagram_Usage_Lifestyle_Mini_!$A:$A,Instagram_Usage_Lifestyle_Mini_!$C:$K)</f>
        <v>Suburban</v>
      </c>
      <c r="G876" t="str">
        <f>_xlfn.XLOOKUP($A:$A,Instagram_Usage_Lifestyle_Mini_!$A:$A,Instagram_Usage_Lifestyle_Mini_!$C:$K)</f>
        <v>Upper_middle</v>
      </c>
      <c r="H876" t="str">
        <f>_xlfn.XLOOKUP($A:$A,Instagram_Usage_Lifestyle_Mini_!$A:$A,Instagram_Usage_Lifestyle_Mini_!$C:$K)</f>
        <v>Part_time</v>
      </c>
      <c r="I876" t="str">
        <f>_xlfn.XLOOKUP($A:$A,Instagram_Usage_Lifestyle_Mini_!$A:$A,Instagram_Usage_Lifestyle_Mini_!$C:$K)</f>
        <v>Bachelors_degree</v>
      </c>
      <c r="J876" t="str">
        <f>_xlfn.XLOOKUP($A:$A,Instagram_Usage_Lifestyle_Mini_!$A:$A,Instagram_Usage_Lifestyle_Mini_!$C:$K)</f>
        <v>Single</v>
      </c>
      <c r="K876" t="str">
        <f>_xlfn.XLOOKUP($A:$A,Instagram_Usage_Lifestyle_Mini_!$A:$A,Instagram_Usage_Lifestyle_Mini_!$C:$K)</f>
        <v>No</v>
      </c>
      <c r="L876" t="str" cm="1">
        <f t="array" ref="L876">_xlfn.IFS(C876&lt;18,"Under_18",C876&lt;=25,"Youth",C876&lt;=35,"Young_Adults",C876&lt;=45,"Mid_Adults",TRUE,"Seniors")</f>
        <v>Seniors</v>
      </c>
    </row>
    <row r="877" spans="1:12" x14ac:dyDescent="0.2">
      <c r="A877">
        <v>876</v>
      </c>
      <c r="B877" t="str">
        <f>_xlfn.XLOOKUP(A877,Instagram_Usage_Lifestyle_Mini_!A877,Instagram_Usage_Lifestyle_Mini_!B877,1)</f>
        <v>Instagram</v>
      </c>
      <c r="C877">
        <f>_xlfn.XLOOKUP($A:$A,Instagram_Usage_Lifestyle_Mini_!$A:$A,Instagram_Usage_Lifestyle_Mini_!$C:$K)</f>
        <v>44</v>
      </c>
      <c r="D877" t="str">
        <f>_xlfn.XLOOKUP($A:$A,Instagram_Usage_Lifestyle_Mini_!$A:$A,Instagram_Usage_Lifestyle_Mini_!$C:$K)</f>
        <v>Female</v>
      </c>
      <c r="E877" t="str">
        <f>_xlfn.XLOOKUP($A:$A,Instagram_Usage_Lifestyle_Mini_!$A:$A,Instagram_Usage_Lifestyle_Mini_!$C:$K)</f>
        <v>Germany</v>
      </c>
      <c r="F877" t="str">
        <f>_xlfn.XLOOKUP($A:$A,Instagram_Usage_Lifestyle_Mini_!$A:$A,Instagram_Usage_Lifestyle_Mini_!$C:$K)</f>
        <v>Urban</v>
      </c>
      <c r="G877" t="str">
        <f>_xlfn.XLOOKUP($A:$A,Instagram_Usage_Lifestyle_Mini_!$A:$A,Instagram_Usage_Lifestyle_Mini_!$C:$K)</f>
        <v>Upper_middle</v>
      </c>
      <c r="H877" t="str">
        <f>_xlfn.XLOOKUP($A:$A,Instagram_Usage_Lifestyle_Mini_!$A:$A,Instagram_Usage_Lifestyle_Mini_!$C:$K)</f>
        <v>Full_time_employed</v>
      </c>
      <c r="I877" t="str">
        <f>_xlfn.XLOOKUP($A:$A,Instagram_Usage_Lifestyle_Mini_!$A:$A,Instagram_Usage_Lifestyle_Mini_!$C:$K)</f>
        <v>Some_college</v>
      </c>
      <c r="J877" t="str">
        <f>_xlfn.XLOOKUP($A:$A,Instagram_Usage_Lifestyle_Mini_!$A:$A,Instagram_Usage_Lifestyle_Mini_!$C:$K)</f>
        <v>Married</v>
      </c>
      <c r="K877" t="str">
        <f>_xlfn.XLOOKUP($A:$A,Instagram_Usage_Lifestyle_Mini_!$A:$A,Instagram_Usage_Lifestyle_Mini_!$C:$K)</f>
        <v>Yes</v>
      </c>
      <c r="L877" t="str" cm="1">
        <f t="array" ref="L877">_xlfn.IFS(C877&lt;18,"Under_18",C877&lt;=25,"Youth",C877&lt;=35,"Young_Adults",C877&lt;=45,"Mid_Adults",TRUE,"Seniors")</f>
        <v>Mid_Adults</v>
      </c>
    </row>
    <row r="878" spans="1:12" x14ac:dyDescent="0.2">
      <c r="A878">
        <v>877</v>
      </c>
      <c r="B878" t="str">
        <f>_xlfn.XLOOKUP(A878,Instagram_Usage_Lifestyle_Mini_!A878,Instagram_Usage_Lifestyle_Mini_!B878,1)</f>
        <v>Instagram</v>
      </c>
      <c r="C878">
        <f>_xlfn.XLOOKUP($A:$A,Instagram_Usage_Lifestyle_Mini_!$A:$A,Instagram_Usage_Lifestyle_Mini_!$C:$K)</f>
        <v>46</v>
      </c>
      <c r="D878" t="str">
        <f>_xlfn.XLOOKUP($A:$A,Instagram_Usage_Lifestyle_Mini_!$A:$A,Instagram_Usage_Lifestyle_Mini_!$C:$K)</f>
        <v>Female</v>
      </c>
      <c r="E878" t="str">
        <f>_xlfn.XLOOKUP($A:$A,Instagram_Usage_Lifestyle_Mini_!$A:$A,Instagram_Usage_Lifestyle_Mini_!$C:$K)</f>
        <v>United_States</v>
      </c>
      <c r="F878" t="str">
        <f>_xlfn.XLOOKUP($A:$A,Instagram_Usage_Lifestyle_Mini_!$A:$A,Instagram_Usage_Lifestyle_Mini_!$C:$K)</f>
        <v>Urban</v>
      </c>
      <c r="G878" t="str">
        <f>_xlfn.XLOOKUP($A:$A,Instagram_Usage_Lifestyle_Mini_!$A:$A,Instagram_Usage_Lifestyle_Mini_!$C:$K)</f>
        <v>Middle</v>
      </c>
      <c r="H878" t="str">
        <f>_xlfn.XLOOKUP($A:$A,Instagram_Usage_Lifestyle_Mini_!$A:$A,Instagram_Usage_Lifestyle_Mini_!$C:$K)</f>
        <v>Freelancer</v>
      </c>
      <c r="I878" t="str">
        <f>_xlfn.XLOOKUP($A:$A,Instagram_Usage_Lifestyle_Mini_!$A:$A,Instagram_Usage_Lifestyle_Mini_!$C:$K)</f>
        <v>High_school</v>
      </c>
      <c r="J878" t="str">
        <f>_xlfn.XLOOKUP($A:$A,Instagram_Usage_Lifestyle_Mini_!$A:$A,Instagram_Usage_Lifestyle_Mini_!$C:$K)</f>
        <v>Single</v>
      </c>
      <c r="K878" t="str">
        <f>_xlfn.XLOOKUP($A:$A,Instagram_Usage_Lifestyle_Mini_!$A:$A,Instagram_Usage_Lifestyle_Mini_!$C:$K)</f>
        <v>No</v>
      </c>
      <c r="L878" t="str" cm="1">
        <f t="array" ref="L878">_xlfn.IFS(C878&lt;18,"Under_18",C878&lt;=25,"Youth",C878&lt;=35,"Young_Adults",C878&lt;=45,"Mid_Adults",TRUE,"Seniors")</f>
        <v>Seniors</v>
      </c>
    </row>
    <row r="879" spans="1:12" x14ac:dyDescent="0.2">
      <c r="A879">
        <v>878</v>
      </c>
      <c r="B879" t="str">
        <f>_xlfn.XLOOKUP(A879,Instagram_Usage_Lifestyle_Mini_!A879,Instagram_Usage_Lifestyle_Mini_!B879,1)</f>
        <v>Instagram</v>
      </c>
      <c r="C879">
        <f>_xlfn.XLOOKUP($A:$A,Instagram_Usage_Lifestyle_Mini_!$A:$A,Instagram_Usage_Lifestyle_Mini_!$C:$K)</f>
        <v>40</v>
      </c>
      <c r="D879" t="str">
        <f>_xlfn.XLOOKUP($A:$A,Instagram_Usage_Lifestyle_Mini_!$A:$A,Instagram_Usage_Lifestyle_Mini_!$C:$K)</f>
        <v>Male</v>
      </c>
      <c r="E879" t="str">
        <f>_xlfn.XLOOKUP($A:$A,Instagram_Usage_Lifestyle_Mini_!$A:$A,Instagram_Usage_Lifestyle_Mini_!$C:$K)</f>
        <v>United_States</v>
      </c>
      <c r="F879" t="str">
        <f>_xlfn.XLOOKUP($A:$A,Instagram_Usage_Lifestyle_Mini_!$A:$A,Instagram_Usage_Lifestyle_Mini_!$C:$K)</f>
        <v>Urban</v>
      </c>
      <c r="G879" t="str">
        <f>_xlfn.XLOOKUP($A:$A,Instagram_Usage_Lifestyle_Mini_!$A:$A,Instagram_Usage_Lifestyle_Mini_!$C:$K)</f>
        <v>Upper_middle</v>
      </c>
      <c r="H879" t="str">
        <f>_xlfn.XLOOKUP($A:$A,Instagram_Usage_Lifestyle_Mini_!$A:$A,Instagram_Usage_Lifestyle_Mini_!$C:$K)</f>
        <v>Freelancer</v>
      </c>
      <c r="I879" t="str">
        <f>_xlfn.XLOOKUP($A:$A,Instagram_Usage_Lifestyle_Mini_!$A:$A,Instagram_Usage_Lifestyle_Mini_!$C:$K)</f>
        <v>Bachelors_degree</v>
      </c>
      <c r="J879" t="str">
        <f>_xlfn.XLOOKUP($A:$A,Instagram_Usage_Lifestyle_Mini_!$A:$A,Instagram_Usage_Lifestyle_Mini_!$C:$K)</f>
        <v>Single</v>
      </c>
      <c r="K879" t="str">
        <f>_xlfn.XLOOKUP($A:$A,Instagram_Usage_Lifestyle_Mini_!$A:$A,Instagram_Usage_Lifestyle_Mini_!$C:$K)</f>
        <v>No</v>
      </c>
      <c r="L879" t="str" cm="1">
        <f t="array" ref="L879">_xlfn.IFS(C879&lt;18,"Under_18",C879&lt;=25,"Youth",C879&lt;=35,"Young_Adults",C879&lt;=45,"Mid_Adults",TRUE,"Seniors")</f>
        <v>Mid_Adults</v>
      </c>
    </row>
    <row r="880" spans="1:12" x14ac:dyDescent="0.2">
      <c r="A880">
        <v>879</v>
      </c>
      <c r="B880" t="str">
        <f>_xlfn.XLOOKUP(A880,Instagram_Usage_Lifestyle_Mini_!A880,Instagram_Usage_Lifestyle_Mini_!B880,1)</f>
        <v>Instagram</v>
      </c>
      <c r="C880">
        <f>_xlfn.XLOOKUP($A:$A,Instagram_Usage_Lifestyle_Mini_!$A:$A,Instagram_Usage_Lifestyle_Mini_!$C:$K)</f>
        <v>43</v>
      </c>
      <c r="D880" t="str">
        <f>_xlfn.XLOOKUP($A:$A,Instagram_Usage_Lifestyle_Mini_!$A:$A,Instagram_Usage_Lifestyle_Mini_!$C:$K)</f>
        <v>Non_binary</v>
      </c>
      <c r="E880" t="str">
        <f>_xlfn.XLOOKUP($A:$A,Instagram_Usage_Lifestyle_Mini_!$A:$A,Instagram_Usage_Lifestyle_Mini_!$C:$K)</f>
        <v>India</v>
      </c>
      <c r="F880" t="str">
        <f>_xlfn.XLOOKUP($A:$A,Instagram_Usage_Lifestyle_Mini_!$A:$A,Instagram_Usage_Lifestyle_Mini_!$C:$K)</f>
        <v>Rural</v>
      </c>
      <c r="G880" t="str">
        <f>_xlfn.XLOOKUP($A:$A,Instagram_Usage_Lifestyle_Mini_!$A:$A,Instagram_Usage_Lifestyle_Mini_!$C:$K)</f>
        <v>Middle</v>
      </c>
      <c r="H880" t="str">
        <f>_xlfn.XLOOKUP($A:$A,Instagram_Usage_Lifestyle_Mini_!$A:$A,Instagram_Usage_Lifestyle_Mini_!$C:$K)</f>
        <v>Full_time_employed</v>
      </c>
      <c r="I880" t="str">
        <f>_xlfn.XLOOKUP($A:$A,Instagram_Usage_Lifestyle_Mini_!$A:$A,Instagram_Usage_Lifestyle_Mini_!$C:$K)</f>
        <v>High_school</v>
      </c>
      <c r="J880" t="str">
        <f>_xlfn.XLOOKUP($A:$A,Instagram_Usage_Lifestyle_Mini_!$A:$A,Instagram_Usage_Lifestyle_Mini_!$C:$K)</f>
        <v>Single</v>
      </c>
      <c r="K880" t="str">
        <f>_xlfn.XLOOKUP($A:$A,Instagram_Usage_Lifestyle_Mini_!$A:$A,Instagram_Usage_Lifestyle_Mini_!$C:$K)</f>
        <v>No</v>
      </c>
      <c r="L880" t="str" cm="1">
        <f t="array" ref="L880">_xlfn.IFS(C880&lt;18,"Under_18",C880&lt;=25,"Youth",C880&lt;=35,"Young_Adults",C880&lt;=45,"Mid_Adults",TRUE,"Seniors")</f>
        <v>Mid_Adults</v>
      </c>
    </row>
    <row r="881" spans="1:12" x14ac:dyDescent="0.2">
      <c r="A881">
        <v>880</v>
      </c>
      <c r="B881" t="str">
        <f>_xlfn.XLOOKUP(A881,Instagram_Usage_Lifestyle_Mini_!A881,Instagram_Usage_Lifestyle_Mini_!B881,1)</f>
        <v>Instagram</v>
      </c>
      <c r="C881">
        <f>_xlfn.XLOOKUP($A:$A,Instagram_Usage_Lifestyle_Mini_!$A:$A,Instagram_Usage_Lifestyle_Mini_!$C:$K)</f>
        <v>20</v>
      </c>
      <c r="D881" t="str">
        <f>_xlfn.XLOOKUP($A:$A,Instagram_Usage_Lifestyle_Mini_!$A:$A,Instagram_Usage_Lifestyle_Mini_!$C:$K)</f>
        <v>Male</v>
      </c>
      <c r="E881" t="str">
        <f>_xlfn.XLOOKUP($A:$A,Instagram_Usage_Lifestyle_Mini_!$A:$A,Instagram_Usage_Lifestyle_Mini_!$C:$K)</f>
        <v>Other</v>
      </c>
      <c r="F881" t="str">
        <f>_xlfn.XLOOKUP($A:$A,Instagram_Usage_Lifestyle_Mini_!$A:$A,Instagram_Usage_Lifestyle_Mini_!$C:$K)</f>
        <v>Urban</v>
      </c>
      <c r="G881" t="str">
        <f>_xlfn.XLOOKUP($A:$A,Instagram_Usage_Lifestyle_Mini_!$A:$A,Instagram_Usage_Lifestyle_Mini_!$C:$K)</f>
        <v>Upper_middle</v>
      </c>
      <c r="H881" t="str">
        <f>_xlfn.XLOOKUP($A:$A,Instagram_Usage_Lifestyle_Mini_!$A:$A,Instagram_Usage_Lifestyle_Mini_!$C:$K)</f>
        <v>Full_time_employed</v>
      </c>
      <c r="I881" t="str">
        <f>_xlfn.XLOOKUP($A:$A,Instagram_Usage_Lifestyle_Mini_!$A:$A,Instagram_Usage_Lifestyle_Mini_!$C:$K)</f>
        <v>Bachelors_degree</v>
      </c>
      <c r="J881" t="str">
        <f>_xlfn.XLOOKUP($A:$A,Instagram_Usage_Lifestyle_Mini_!$A:$A,Instagram_Usage_Lifestyle_Mini_!$C:$K)</f>
        <v>In_a_relationship</v>
      </c>
      <c r="K881" t="str">
        <f>_xlfn.XLOOKUP($A:$A,Instagram_Usage_Lifestyle_Mini_!$A:$A,Instagram_Usage_Lifestyle_Mini_!$C:$K)</f>
        <v>No</v>
      </c>
      <c r="L881" t="str" cm="1">
        <f t="array" ref="L881">_xlfn.IFS(C881&lt;18,"Under_18",C881&lt;=25,"Youth",C881&lt;=35,"Young_Adults",C881&lt;=45,"Mid_Adults",TRUE,"Seniors")</f>
        <v>Youth</v>
      </c>
    </row>
    <row r="882" spans="1:12" x14ac:dyDescent="0.2">
      <c r="A882">
        <v>881</v>
      </c>
      <c r="B882" t="str">
        <f>_xlfn.XLOOKUP(A882,Instagram_Usage_Lifestyle_Mini_!A882,Instagram_Usage_Lifestyle_Mini_!B882,1)</f>
        <v>Instagram</v>
      </c>
      <c r="C882">
        <f>_xlfn.XLOOKUP($A:$A,Instagram_Usage_Lifestyle_Mini_!$A:$A,Instagram_Usage_Lifestyle_Mini_!$C:$K)</f>
        <v>51</v>
      </c>
      <c r="D882" t="str">
        <f>_xlfn.XLOOKUP($A:$A,Instagram_Usage_Lifestyle_Mini_!$A:$A,Instagram_Usage_Lifestyle_Mini_!$C:$K)</f>
        <v>Male</v>
      </c>
      <c r="E882" t="str">
        <f>_xlfn.XLOOKUP($A:$A,Instagram_Usage_Lifestyle_Mini_!$A:$A,Instagram_Usage_Lifestyle_Mini_!$C:$K)</f>
        <v>India</v>
      </c>
      <c r="F882" t="str">
        <f>_xlfn.XLOOKUP($A:$A,Instagram_Usage_Lifestyle_Mini_!$A:$A,Instagram_Usage_Lifestyle_Mini_!$C:$K)</f>
        <v>Urban</v>
      </c>
      <c r="G882" t="str">
        <f>_xlfn.XLOOKUP($A:$A,Instagram_Usage_Lifestyle_Mini_!$A:$A,Instagram_Usage_Lifestyle_Mini_!$C:$K)</f>
        <v>Low</v>
      </c>
      <c r="H882" t="str">
        <f>_xlfn.XLOOKUP($A:$A,Instagram_Usage_Lifestyle_Mini_!$A:$A,Instagram_Usage_Lifestyle_Mini_!$C:$K)</f>
        <v>Full_time_employed</v>
      </c>
      <c r="I882" t="str">
        <f>_xlfn.XLOOKUP($A:$A,Instagram_Usage_Lifestyle_Mini_!$A:$A,Instagram_Usage_Lifestyle_Mini_!$C:$K)</f>
        <v>Some_college</v>
      </c>
      <c r="J882" t="str">
        <f>_xlfn.XLOOKUP($A:$A,Instagram_Usage_Lifestyle_Mini_!$A:$A,Instagram_Usage_Lifestyle_Mini_!$C:$K)</f>
        <v>Divorced</v>
      </c>
      <c r="K882" t="str">
        <f>_xlfn.XLOOKUP($A:$A,Instagram_Usage_Lifestyle_Mini_!$A:$A,Instagram_Usage_Lifestyle_Mini_!$C:$K)</f>
        <v>No</v>
      </c>
      <c r="L882" t="str" cm="1">
        <f t="array" ref="L882">_xlfn.IFS(C882&lt;18,"Under_18",C882&lt;=25,"Youth",C882&lt;=35,"Young_Adults",C882&lt;=45,"Mid_Adults",TRUE,"Seniors")</f>
        <v>Seniors</v>
      </c>
    </row>
    <row r="883" spans="1:12" x14ac:dyDescent="0.2">
      <c r="A883">
        <v>882</v>
      </c>
      <c r="B883" t="str">
        <f>_xlfn.XLOOKUP(A883,Instagram_Usage_Lifestyle_Mini_!A883,Instagram_Usage_Lifestyle_Mini_!B883,1)</f>
        <v>Instagram</v>
      </c>
      <c r="C883">
        <f>_xlfn.XLOOKUP($A:$A,Instagram_Usage_Lifestyle_Mini_!$A:$A,Instagram_Usage_Lifestyle_Mini_!$C:$K)</f>
        <v>38</v>
      </c>
      <c r="D883" t="str">
        <f>_xlfn.XLOOKUP($A:$A,Instagram_Usage_Lifestyle_Mini_!$A:$A,Instagram_Usage_Lifestyle_Mini_!$C:$K)</f>
        <v>Prefer_not _to _say</v>
      </c>
      <c r="E883" t="str">
        <f>_xlfn.XLOOKUP($A:$A,Instagram_Usage_Lifestyle_Mini_!$A:$A,Instagram_Usage_Lifestyle_Mini_!$C:$K)</f>
        <v>Japan</v>
      </c>
      <c r="F883" t="str">
        <f>_xlfn.XLOOKUP($A:$A,Instagram_Usage_Lifestyle_Mini_!$A:$A,Instagram_Usage_Lifestyle_Mini_!$C:$K)</f>
        <v>Rural</v>
      </c>
      <c r="G883" t="str">
        <f>_xlfn.XLOOKUP($A:$A,Instagram_Usage_Lifestyle_Mini_!$A:$A,Instagram_Usage_Lifestyle_Mini_!$C:$K)</f>
        <v>Middle</v>
      </c>
      <c r="H883" t="str">
        <f>_xlfn.XLOOKUP($A:$A,Instagram_Usage_Lifestyle_Mini_!$A:$A,Instagram_Usage_Lifestyle_Mini_!$C:$K)</f>
        <v>Full_time_employed</v>
      </c>
      <c r="I883" t="str">
        <f>_xlfn.XLOOKUP($A:$A,Instagram_Usage_Lifestyle_Mini_!$A:$A,Instagram_Usage_Lifestyle_Mini_!$C:$K)</f>
        <v>Masters_degree</v>
      </c>
      <c r="J883" t="str">
        <f>_xlfn.XLOOKUP($A:$A,Instagram_Usage_Lifestyle_Mini_!$A:$A,Instagram_Usage_Lifestyle_Mini_!$C:$K)</f>
        <v>Single</v>
      </c>
      <c r="K883" t="str">
        <f>_xlfn.XLOOKUP($A:$A,Instagram_Usage_Lifestyle_Mini_!$A:$A,Instagram_Usage_Lifestyle_Mini_!$C:$K)</f>
        <v>No</v>
      </c>
      <c r="L883" t="str" cm="1">
        <f t="array" ref="L883">_xlfn.IFS(C883&lt;18,"Under_18",C883&lt;=25,"Youth",C883&lt;=35,"Young_Adults",C883&lt;=45,"Mid_Adults",TRUE,"Seniors")</f>
        <v>Mid_Adults</v>
      </c>
    </row>
    <row r="884" spans="1:12" x14ac:dyDescent="0.2">
      <c r="A884">
        <v>883</v>
      </c>
      <c r="B884" t="str">
        <f>_xlfn.XLOOKUP(A884,Instagram_Usage_Lifestyle_Mini_!A884,Instagram_Usage_Lifestyle_Mini_!B884,1)</f>
        <v>Instagram</v>
      </c>
      <c r="C884">
        <f>_xlfn.XLOOKUP($A:$A,Instagram_Usage_Lifestyle_Mini_!$A:$A,Instagram_Usage_Lifestyle_Mini_!$C:$K)</f>
        <v>46</v>
      </c>
      <c r="D884" t="str">
        <f>_xlfn.XLOOKUP($A:$A,Instagram_Usage_Lifestyle_Mini_!$A:$A,Instagram_Usage_Lifestyle_Mini_!$C:$K)</f>
        <v>Male</v>
      </c>
      <c r="E884" t="str">
        <f>_xlfn.XLOOKUP($A:$A,Instagram_Usage_Lifestyle_Mini_!$A:$A,Instagram_Usage_Lifestyle_Mini_!$C:$K)</f>
        <v>United _Kingdom</v>
      </c>
      <c r="F884" t="str">
        <f>_xlfn.XLOOKUP($A:$A,Instagram_Usage_Lifestyle_Mini_!$A:$A,Instagram_Usage_Lifestyle_Mini_!$C:$K)</f>
        <v>Urban</v>
      </c>
      <c r="G884" t="str">
        <f>_xlfn.XLOOKUP($A:$A,Instagram_Usage_Lifestyle_Mini_!$A:$A,Instagram_Usage_Lifestyle_Mini_!$C:$K)</f>
        <v>Lower_middle</v>
      </c>
      <c r="H884" t="str">
        <f>_xlfn.XLOOKUP($A:$A,Instagram_Usage_Lifestyle_Mini_!$A:$A,Instagram_Usage_Lifestyle_Mini_!$C:$K)</f>
        <v>Full_time_employed</v>
      </c>
      <c r="I884" t="str">
        <f>_xlfn.XLOOKUP($A:$A,Instagram_Usage_Lifestyle_Mini_!$A:$A,Instagram_Usage_Lifestyle_Mini_!$C:$K)</f>
        <v>High_school</v>
      </c>
      <c r="J884" t="str">
        <f>_xlfn.XLOOKUP($A:$A,Instagram_Usage_Lifestyle_Mini_!$A:$A,Instagram_Usage_Lifestyle_Mini_!$C:$K)</f>
        <v>Single</v>
      </c>
      <c r="K884" t="str">
        <f>_xlfn.XLOOKUP($A:$A,Instagram_Usage_Lifestyle_Mini_!$A:$A,Instagram_Usage_Lifestyle_Mini_!$C:$K)</f>
        <v>No</v>
      </c>
      <c r="L884" t="str" cm="1">
        <f t="array" ref="L884">_xlfn.IFS(C884&lt;18,"Under_18",C884&lt;=25,"Youth",C884&lt;=35,"Young_Adults",C884&lt;=45,"Mid_Adults",TRUE,"Seniors")</f>
        <v>Seniors</v>
      </c>
    </row>
    <row r="885" spans="1:12" x14ac:dyDescent="0.2">
      <c r="A885">
        <v>884</v>
      </c>
      <c r="B885" t="str">
        <f>_xlfn.XLOOKUP(A885,Instagram_Usage_Lifestyle_Mini_!A885,Instagram_Usage_Lifestyle_Mini_!B885,1)</f>
        <v>Instagram</v>
      </c>
      <c r="C885">
        <f>_xlfn.XLOOKUP($A:$A,Instagram_Usage_Lifestyle_Mini_!$A:$A,Instagram_Usage_Lifestyle_Mini_!$C:$K)</f>
        <v>15</v>
      </c>
      <c r="D885" t="str">
        <f>_xlfn.XLOOKUP($A:$A,Instagram_Usage_Lifestyle_Mini_!$A:$A,Instagram_Usage_Lifestyle_Mini_!$C:$K)</f>
        <v>Male</v>
      </c>
      <c r="E885" t="str">
        <f>_xlfn.XLOOKUP($A:$A,Instagram_Usage_Lifestyle_Mini_!$A:$A,Instagram_Usage_Lifestyle_Mini_!$C:$K)</f>
        <v>United_States</v>
      </c>
      <c r="F885" t="str">
        <f>_xlfn.XLOOKUP($A:$A,Instagram_Usage_Lifestyle_Mini_!$A:$A,Instagram_Usage_Lifestyle_Mini_!$C:$K)</f>
        <v>Rural</v>
      </c>
      <c r="G885" t="str">
        <f>_xlfn.XLOOKUP($A:$A,Instagram_Usage_Lifestyle_Mini_!$A:$A,Instagram_Usage_Lifestyle_Mini_!$C:$K)</f>
        <v>Lower_middle</v>
      </c>
      <c r="H885" t="str">
        <f>_xlfn.XLOOKUP($A:$A,Instagram_Usage_Lifestyle_Mini_!$A:$A,Instagram_Usage_Lifestyle_Mini_!$C:$K)</f>
        <v>Freelancer</v>
      </c>
      <c r="I885" t="str">
        <f>_xlfn.XLOOKUP($A:$A,Instagram_Usage_Lifestyle_Mini_!$A:$A,Instagram_Usage_Lifestyle_Mini_!$C:$K)</f>
        <v>Other</v>
      </c>
      <c r="J885" t="str">
        <f>_xlfn.XLOOKUP($A:$A,Instagram_Usage_Lifestyle_Mini_!$A:$A,Instagram_Usage_Lifestyle_Mini_!$C:$K)</f>
        <v>Married</v>
      </c>
      <c r="K885" t="str">
        <f>_xlfn.XLOOKUP($A:$A,Instagram_Usage_Lifestyle_Mini_!$A:$A,Instagram_Usage_Lifestyle_Mini_!$C:$K)</f>
        <v>Yes</v>
      </c>
      <c r="L885" t="str" cm="1">
        <f t="array" ref="L885">_xlfn.IFS(C885&lt;18,"Under_18",C885&lt;=25,"Youth",C885&lt;=35,"Young_Adults",C885&lt;=45,"Mid_Adults",TRUE,"Seniors")</f>
        <v>Under_18</v>
      </c>
    </row>
    <row r="886" spans="1:12" x14ac:dyDescent="0.2">
      <c r="A886">
        <v>885</v>
      </c>
      <c r="B886" t="str">
        <f>_xlfn.XLOOKUP(A886,Instagram_Usage_Lifestyle_Mini_!A886,Instagram_Usage_Lifestyle_Mini_!B886,1)</f>
        <v>Instagram</v>
      </c>
      <c r="C886">
        <f>_xlfn.XLOOKUP($A:$A,Instagram_Usage_Lifestyle_Mini_!$A:$A,Instagram_Usage_Lifestyle_Mini_!$C:$K)</f>
        <v>62</v>
      </c>
      <c r="D886" t="str">
        <f>_xlfn.XLOOKUP($A:$A,Instagram_Usage_Lifestyle_Mini_!$A:$A,Instagram_Usage_Lifestyle_Mini_!$C:$K)</f>
        <v>Male</v>
      </c>
      <c r="E886" t="str">
        <f>_xlfn.XLOOKUP($A:$A,Instagram_Usage_Lifestyle_Mini_!$A:$A,Instagram_Usage_Lifestyle_Mini_!$C:$K)</f>
        <v>Australia</v>
      </c>
      <c r="F886" t="str">
        <f>_xlfn.XLOOKUP($A:$A,Instagram_Usage_Lifestyle_Mini_!$A:$A,Instagram_Usage_Lifestyle_Mini_!$C:$K)</f>
        <v>Urban</v>
      </c>
      <c r="G886" t="str">
        <f>_xlfn.XLOOKUP($A:$A,Instagram_Usage_Lifestyle_Mini_!$A:$A,Instagram_Usage_Lifestyle_Mini_!$C:$K)</f>
        <v>Middle</v>
      </c>
      <c r="H886" t="str">
        <f>_xlfn.XLOOKUP($A:$A,Instagram_Usage_Lifestyle_Mini_!$A:$A,Instagram_Usage_Lifestyle_Mini_!$C:$K)</f>
        <v>Part_time</v>
      </c>
      <c r="I886" t="str">
        <f>_xlfn.XLOOKUP($A:$A,Instagram_Usage_Lifestyle_Mini_!$A:$A,Instagram_Usage_Lifestyle_Mini_!$C:$K)</f>
        <v>Bachelors_degree</v>
      </c>
      <c r="J886" t="str">
        <f>_xlfn.XLOOKUP($A:$A,Instagram_Usage_Lifestyle_Mini_!$A:$A,Instagram_Usage_Lifestyle_Mini_!$C:$K)</f>
        <v>Divorced</v>
      </c>
      <c r="K886" t="str">
        <f>_xlfn.XLOOKUP($A:$A,Instagram_Usage_Lifestyle_Mini_!$A:$A,Instagram_Usage_Lifestyle_Mini_!$C:$K)</f>
        <v>No</v>
      </c>
      <c r="L886" t="str" cm="1">
        <f t="array" ref="L886">_xlfn.IFS(C886&lt;18,"Under_18",C886&lt;=25,"Youth",C886&lt;=35,"Young_Adults",C886&lt;=45,"Mid_Adults",TRUE,"Seniors")</f>
        <v>Seniors</v>
      </c>
    </row>
    <row r="887" spans="1:12" x14ac:dyDescent="0.2">
      <c r="A887">
        <v>886</v>
      </c>
      <c r="B887" t="str">
        <f>_xlfn.XLOOKUP(A887,Instagram_Usage_Lifestyle_Mini_!A887,Instagram_Usage_Lifestyle_Mini_!B887,1)</f>
        <v>Instagram</v>
      </c>
      <c r="C887">
        <f>_xlfn.XLOOKUP($A:$A,Instagram_Usage_Lifestyle_Mini_!$A:$A,Instagram_Usage_Lifestyle_Mini_!$C:$K)</f>
        <v>24</v>
      </c>
      <c r="D887" t="str">
        <f>_xlfn.XLOOKUP($A:$A,Instagram_Usage_Lifestyle_Mini_!$A:$A,Instagram_Usage_Lifestyle_Mini_!$C:$K)</f>
        <v>Male</v>
      </c>
      <c r="E887" t="str">
        <f>_xlfn.XLOOKUP($A:$A,Instagram_Usage_Lifestyle_Mini_!$A:$A,Instagram_Usage_Lifestyle_Mini_!$C:$K)</f>
        <v>Brazil</v>
      </c>
      <c r="F887" t="str">
        <f>_xlfn.XLOOKUP($A:$A,Instagram_Usage_Lifestyle_Mini_!$A:$A,Instagram_Usage_Lifestyle_Mini_!$C:$K)</f>
        <v>Suburban</v>
      </c>
      <c r="G887" t="str">
        <f>_xlfn.XLOOKUP($A:$A,Instagram_Usage_Lifestyle_Mini_!$A:$A,Instagram_Usage_Lifestyle_Mini_!$C:$K)</f>
        <v>Low</v>
      </c>
      <c r="H887" t="str">
        <f>_xlfn.XLOOKUP($A:$A,Instagram_Usage_Lifestyle_Mini_!$A:$A,Instagram_Usage_Lifestyle_Mini_!$C:$K)</f>
        <v>Full_time_employed</v>
      </c>
      <c r="I887" t="str">
        <f>_xlfn.XLOOKUP($A:$A,Instagram_Usage_Lifestyle_Mini_!$A:$A,Instagram_Usage_Lifestyle_Mini_!$C:$K)</f>
        <v>Bachelors_degree</v>
      </c>
      <c r="J887" t="str">
        <f>_xlfn.XLOOKUP($A:$A,Instagram_Usage_Lifestyle_Mini_!$A:$A,Instagram_Usage_Lifestyle_Mini_!$C:$K)</f>
        <v>In_a_relationship</v>
      </c>
      <c r="K887" t="str">
        <f>_xlfn.XLOOKUP($A:$A,Instagram_Usage_Lifestyle_Mini_!$A:$A,Instagram_Usage_Lifestyle_Mini_!$C:$K)</f>
        <v>No</v>
      </c>
      <c r="L887" t="str" cm="1">
        <f t="array" ref="L887">_xlfn.IFS(C887&lt;18,"Under_18",C887&lt;=25,"Youth",C887&lt;=35,"Young_Adults",C887&lt;=45,"Mid_Adults",TRUE,"Seniors")</f>
        <v>Youth</v>
      </c>
    </row>
    <row r="888" spans="1:12" x14ac:dyDescent="0.2">
      <c r="A888">
        <v>887</v>
      </c>
      <c r="B888" t="str">
        <f>_xlfn.XLOOKUP(A888,Instagram_Usage_Lifestyle_Mini_!A888,Instagram_Usage_Lifestyle_Mini_!B888,1)</f>
        <v>Instagram</v>
      </c>
      <c r="C888">
        <f>_xlfn.XLOOKUP($A:$A,Instagram_Usage_Lifestyle_Mini_!$A:$A,Instagram_Usage_Lifestyle_Mini_!$C:$K)</f>
        <v>13</v>
      </c>
      <c r="D888" t="str">
        <f>_xlfn.XLOOKUP($A:$A,Instagram_Usage_Lifestyle_Mini_!$A:$A,Instagram_Usage_Lifestyle_Mini_!$C:$K)</f>
        <v>Female</v>
      </c>
      <c r="E888" t="str">
        <f>_xlfn.XLOOKUP($A:$A,Instagram_Usage_Lifestyle_Mini_!$A:$A,Instagram_Usage_Lifestyle_Mini_!$C:$K)</f>
        <v>Canada</v>
      </c>
      <c r="F888" t="str">
        <f>_xlfn.XLOOKUP($A:$A,Instagram_Usage_Lifestyle_Mini_!$A:$A,Instagram_Usage_Lifestyle_Mini_!$C:$K)</f>
        <v>Suburban</v>
      </c>
      <c r="G888" t="str">
        <f>_xlfn.XLOOKUP($A:$A,Instagram_Usage_Lifestyle_Mini_!$A:$A,Instagram_Usage_Lifestyle_Mini_!$C:$K)</f>
        <v>Lower_middle</v>
      </c>
      <c r="H888" t="str">
        <f>_xlfn.XLOOKUP($A:$A,Instagram_Usage_Lifestyle_Mini_!$A:$A,Instagram_Usage_Lifestyle_Mini_!$C:$K)</f>
        <v>Full_time_employed</v>
      </c>
      <c r="I888" t="str">
        <f>_xlfn.XLOOKUP($A:$A,Instagram_Usage_Lifestyle_Mini_!$A:$A,Instagram_Usage_Lifestyle_Mini_!$C:$K)</f>
        <v>PhD</v>
      </c>
      <c r="J888" t="str">
        <f>_xlfn.XLOOKUP($A:$A,Instagram_Usage_Lifestyle_Mini_!$A:$A,Instagram_Usage_Lifestyle_Mini_!$C:$K)</f>
        <v>In_a_relationship</v>
      </c>
      <c r="K888" t="str">
        <f>_xlfn.XLOOKUP($A:$A,Instagram_Usage_Lifestyle_Mini_!$A:$A,Instagram_Usage_Lifestyle_Mini_!$C:$K)</f>
        <v>No</v>
      </c>
      <c r="L888" t="str" cm="1">
        <f t="array" ref="L888">_xlfn.IFS(C888&lt;18,"Under_18",C888&lt;=25,"Youth",C888&lt;=35,"Young_Adults",C888&lt;=45,"Mid_Adults",TRUE,"Seniors")</f>
        <v>Under_18</v>
      </c>
    </row>
    <row r="889" spans="1:12" x14ac:dyDescent="0.2">
      <c r="A889">
        <v>888</v>
      </c>
      <c r="B889" t="str">
        <f>_xlfn.XLOOKUP(A889,Instagram_Usage_Lifestyle_Mini_!A889,Instagram_Usage_Lifestyle_Mini_!B889,1)</f>
        <v>Instagram</v>
      </c>
      <c r="C889">
        <f>_xlfn.XLOOKUP($A:$A,Instagram_Usage_Lifestyle_Mini_!$A:$A,Instagram_Usage_Lifestyle_Mini_!$C:$K)</f>
        <v>56</v>
      </c>
      <c r="D889" t="str">
        <f>_xlfn.XLOOKUP($A:$A,Instagram_Usage_Lifestyle_Mini_!$A:$A,Instagram_Usage_Lifestyle_Mini_!$C:$K)</f>
        <v>Female</v>
      </c>
      <c r="E889" t="str">
        <f>_xlfn.XLOOKUP($A:$A,Instagram_Usage_Lifestyle_Mini_!$A:$A,Instagram_Usage_Lifestyle_Mini_!$C:$K)</f>
        <v>United_States</v>
      </c>
      <c r="F889" t="str">
        <f>_xlfn.XLOOKUP($A:$A,Instagram_Usage_Lifestyle_Mini_!$A:$A,Instagram_Usage_Lifestyle_Mini_!$C:$K)</f>
        <v>Urban</v>
      </c>
      <c r="G889" t="str">
        <f>_xlfn.XLOOKUP($A:$A,Instagram_Usage_Lifestyle_Mini_!$A:$A,Instagram_Usage_Lifestyle_Mini_!$C:$K)</f>
        <v>High</v>
      </c>
      <c r="H889" t="str">
        <f>_xlfn.XLOOKUP($A:$A,Instagram_Usage_Lifestyle_Mini_!$A:$A,Instagram_Usage_Lifestyle_Mini_!$C:$K)</f>
        <v>Full_time_employed</v>
      </c>
      <c r="I889" t="str">
        <f>_xlfn.XLOOKUP($A:$A,Instagram_Usage_Lifestyle_Mini_!$A:$A,Instagram_Usage_Lifestyle_Mini_!$C:$K)</f>
        <v>Bachelors_degree</v>
      </c>
      <c r="J889" t="str">
        <f>_xlfn.XLOOKUP($A:$A,Instagram_Usage_Lifestyle_Mini_!$A:$A,Instagram_Usage_Lifestyle_Mini_!$C:$K)</f>
        <v>Single</v>
      </c>
      <c r="K889" t="str">
        <f>_xlfn.XLOOKUP($A:$A,Instagram_Usage_Lifestyle_Mini_!$A:$A,Instagram_Usage_Lifestyle_Mini_!$C:$K)</f>
        <v>No</v>
      </c>
      <c r="L889" t="str" cm="1">
        <f t="array" ref="L889">_xlfn.IFS(C889&lt;18,"Under_18",C889&lt;=25,"Youth",C889&lt;=35,"Young_Adults",C889&lt;=45,"Mid_Adults",TRUE,"Seniors")</f>
        <v>Seniors</v>
      </c>
    </row>
    <row r="890" spans="1:12" x14ac:dyDescent="0.2">
      <c r="A890">
        <v>889</v>
      </c>
      <c r="B890" t="str">
        <f>_xlfn.XLOOKUP(A890,Instagram_Usage_Lifestyle_Mini_!A890,Instagram_Usage_Lifestyle_Mini_!B890,1)</f>
        <v>Instagram</v>
      </c>
      <c r="C890">
        <f>_xlfn.XLOOKUP($A:$A,Instagram_Usage_Lifestyle_Mini_!$A:$A,Instagram_Usage_Lifestyle_Mini_!$C:$K)</f>
        <v>17</v>
      </c>
      <c r="D890" t="str">
        <f>_xlfn.XLOOKUP($A:$A,Instagram_Usage_Lifestyle_Mini_!$A:$A,Instagram_Usage_Lifestyle_Mini_!$C:$K)</f>
        <v>Female</v>
      </c>
      <c r="E890" t="str">
        <f>_xlfn.XLOOKUP($A:$A,Instagram_Usage_Lifestyle_Mini_!$A:$A,Instagram_Usage_Lifestyle_Mini_!$C:$K)</f>
        <v>United_States</v>
      </c>
      <c r="F890" t="str">
        <f>_xlfn.XLOOKUP($A:$A,Instagram_Usage_Lifestyle_Mini_!$A:$A,Instagram_Usage_Lifestyle_Mini_!$C:$K)</f>
        <v>Rural</v>
      </c>
      <c r="G890" t="str">
        <f>_xlfn.XLOOKUP($A:$A,Instagram_Usage_Lifestyle_Mini_!$A:$A,Instagram_Usage_Lifestyle_Mini_!$C:$K)</f>
        <v>Lower_middle</v>
      </c>
      <c r="H890" t="str">
        <f>_xlfn.XLOOKUP($A:$A,Instagram_Usage_Lifestyle_Mini_!$A:$A,Instagram_Usage_Lifestyle_Mini_!$C:$K)</f>
        <v>Full_time_employed</v>
      </c>
      <c r="I890" t="str">
        <f>_xlfn.XLOOKUP($A:$A,Instagram_Usage_Lifestyle_Mini_!$A:$A,Instagram_Usage_Lifestyle_Mini_!$C:$K)</f>
        <v>Bachelors_degree</v>
      </c>
      <c r="J890" t="str">
        <f>_xlfn.XLOOKUP($A:$A,Instagram_Usage_Lifestyle_Mini_!$A:$A,Instagram_Usage_Lifestyle_Mini_!$C:$K)</f>
        <v>Married</v>
      </c>
      <c r="K890" t="str">
        <f>_xlfn.XLOOKUP($A:$A,Instagram_Usage_Lifestyle_Mini_!$A:$A,Instagram_Usage_Lifestyle_Mini_!$C:$K)</f>
        <v>Yes</v>
      </c>
      <c r="L890" t="str" cm="1">
        <f t="array" ref="L890">_xlfn.IFS(C890&lt;18,"Under_18",C890&lt;=25,"Youth",C890&lt;=35,"Young_Adults",C890&lt;=45,"Mid_Adults",TRUE,"Seniors")</f>
        <v>Under_18</v>
      </c>
    </row>
    <row r="891" spans="1:12" x14ac:dyDescent="0.2">
      <c r="A891">
        <v>890</v>
      </c>
      <c r="B891" t="str">
        <f>_xlfn.XLOOKUP(A891,Instagram_Usage_Lifestyle_Mini_!A891,Instagram_Usage_Lifestyle_Mini_!B891,1)</f>
        <v>Instagram</v>
      </c>
      <c r="C891">
        <f>_xlfn.XLOOKUP($A:$A,Instagram_Usage_Lifestyle_Mini_!$A:$A,Instagram_Usage_Lifestyle_Mini_!$C:$K)</f>
        <v>42</v>
      </c>
      <c r="D891" t="str">
        <f>_xlfn.XLOOKUP($A:$A,Instagram_Usage_Lifestyle_Mini_!$A:$A,Instagram_Usage_Lifestyle_Mini_!$C:$K)</f>
        <v>Male</v>
      </c>
      <c r="E891" t="str">
        <f>_xlfn.XLOOKUP($A:$A,Instagram_Usage_Lifestyle_Mini_!$A:$A,Instagram_Usage_Lifestyle_Mini_!$C:$K)</f>
        <v>Germany</v>
      </c>
      <c r="F891" t="str">
        <f>_xlfn.XLOOKUP($A:$A,Instagram_Usage_Lifestyle_Mini_!$A:$A,Instagram_Usage_Lifestyle_Mini_!$C:$K)</f>
        <v>Urban</v>
      </c>
      <c r="G891" t="str">
        <f>_xlfn.XLOOKUP($A:$A,Instagram_Usage_Lifestyle_Mini_!$A:$A,Instagram_Usage_Lifestyle_Mini_!$C:$K)</f>
        <v>Upper_middle</v>
      </c>
      <c r="H891" t="str">
        <f>_xlfn.XLOOKUP($A:$A,Instagram_Usage_Lifestyle_Mini_!$A:$A,Instagram_Usage_Lifestyle_Mini_!$C:$K)</f>
        <v>Part_time</v>
      </c>
      <c r="I891" t="str">
        <f>_xlfn.XLOOKUP($A:$A,Instagram_Usage_Lifestyle_Mini_!$A:$A,Instagram_Usage_Lifestyle_Mini_!$C:$K)</f>
        <v>High_school</v>
      </c>
      <c r="J891" t="str">
        <f>_xlfn.XLOOKUP($A:$A,Instagram_Usage_Lifestyle_Mini_!$A:$A,Instagram_Usage_Lifestyle_Mini_!$C:$K)</f>
        <v>Single</v>
      </c>
      <c r="K891" t="str">
        <f>_xlfn.XLOOKUP($A:$A,Instagram_Usage_Lifestyle_Mini_!$A:$A,Instagram_Usage_Lifestyle_Mini_!$C:$K)</f>
        <v>No</v>
      </c>
      <c r="L891" t="str" cm="1">
        <f t="array" ref="L891">_xlfn.IFS(C891&lt;18,"Under_18",C891&lt;=25,"Youth",C891&lt;=35,"Young_Adults",C891&lt;=45,"Mid_Adults",TRUE,"Seniors")</f>
        <v>Mid_Adults</v>
      </c>
    </row>
    <row r="892" spans="1:12" x14ac:dyDescent="0.2">
      <c r="A892">
        <v>891</v>
      </c>
      <c r="B892" t="str">
        <f>_xlfn.XLOOKUP(A892,Instagram_Usage_Lifestyle_Mini_!A892,Instagram_Usage_Lifestyle_Mini_!B892,1)</f>
        <v>Instagram</v>
      </c>
      <c r="C892">
        <f>_xlfn.XLOOKUP($A:$A,Instagram_Usage_Lifestyle_Mini_!$A:$A,Instagram_Usage_Lifestyle_Mini_!$C:$K)</f>
        <v>42</v>
      </c>
      <c r="D892" t="str">
        <f>_xlfn.XLOOKUP($A:$A,Instagram_Usage_Lifestyle_Mini_!$A:$A,Instagram_Usage_Lifestyle_Mini_!$C:$K)</f>
        <v>Male</v>
      </c>
      <c r="E892" t="str">
        <f>_xlfn.XLOOKUP($A:$A,Instagram_Usage_Lifestyle_Mini_!$A:$A,Instagram_Usage_Lifestyle_Mini_!$C:$K)</f>
        <v>India</v>
      </c>
      <c r="F892" t="str">
        <f>_xlfn.XLOOKUP($A:$A,Instagram_Usage_Lifestyle_Mini_!$A:$A,Instagram_Usage_Lifestyle_Mini_!$C:$K)</f>
        <v>Urban</v>
      </c>
      <c r="G892" t="str">
        <f>_xlfn.XLOOKUP($A:$A,Instagram_Usage_Lifestyle_Mini_!$A:$A,Instagram_Usage_Lifestyle_Mini_!$C:$K)</f>
        <v>Middle</v>
      </c>
      <c r="H892" t="str">
        <f>_xlfn.XLOOKUP($A:$A,Instagram_Usage_Lifestyle_Mini_!$A:$A,Instagram_Usage_Lifestyle_Mini_!$C:$K)</f>
        <v>Full_time_employed</v>
      </c>
      <c r="I892" t="str">
        <f>_xlfn.XLOOKUP($A:$A,Instagram_Usage_Lifestyle_Mini_!$A:$A,Instagram_Usage_Lifestyle_Mini_!$C:$K)</f>
        <v>Bachelors_degree</v>
      </c>
      <c r="J892" t="str">
        <f>_xlfn.XLOOKUP($A:$A,Instagram_Usage_Lifestyle_Mini_!$A:$A,Instagram_Usage_Lifestyle_Mini_!$C:$K)</f>
        <v>Single</v>
      </c>
      <c r="K892" t="str">
        <f>_xlfn.XLOOKUP($A:$A,Instagram_Usage_Lifestyle_Mini_!$A:$A,Instagram_Usage_Lifestyle_Mini_!$C:$K)</f>
        <v>No</v>
      </c>
      <c r="L892" t="str" cm="1">
        <f t="array" ref="L892">_xlfn.IFS(C892&lt;18,"Under_18",C892&lt;=25,"Youth",C892&lt;=35,"Young_Adults",C892&lt;=45,"Mid_Adults",TRUE,"Seniors")</f>
        <v>Mid_Adults</v>
      </c>
    </row>
    <row r="893" spans="1:12" x14ac:dyDescent="0.2">
      <c r="A893">
        <v>892</v>
      </c>
      <c r="B893" t="str">
        <f>_xlfn.XLOOKUP(A893,Instagram_Usage_Lifestyle_Mini_!A893,Instagram_Usage_Lifestyle_Mini_!B893,1)</f>
        <v>Instagram</v>
      </c>
      <c r="C893">
        <f>_xlfn.XLOOKUP($A:$A,Instagram_Usage_Lifestyle_Mini_!$A:$A,Instagram_Usage_Lifestyle_Mini_!$C:$K)</f>
        <v>29</v>
      </c>
      <c r="D893" t="str">
        <f>_xlfn.XLOOKUP($A:$A,Instagram_Usage_Lifestyle_Mini_!$A:$A,Instagram_Usage_Lifestyle_Mini_!$C:$K)</f>
        <v>Female</v>
      </c>
      <c r="E893" t="str">
        <f>_xlfn.XLOOKUP($A:$A,Instagram_Usage_Lifestyle_Mini_!$A:$A,Instagram_Usage_Lifestyle_Mini_!$C:$K)</f>
        <v>India</v>
      </c>
      <c r="F893" t="str">
        <f>_xlfn.XLOOKUP($A:$A,Instagram_Usage_Lifestyle_Mini_!$A:$A,Instagram_Usage_Lifestyle_Mini_!$C:$K)</f>
        <v>Suburban</v>
      </c>
      <c r="G893" t="str">
        <f>_xlfn.XLOOKUP($A:$A,Instagram_Usage_Lifestyle_Mini_!$A:$A,Instagram_Usage_Lifestyle_Mini_!$C:$K)</f>
        <v>Middle</v>
      </c>
      <c r="H893" t="str">
        <f>_xlfn.XLOOKUP($A:$A,Instagram_Usage_Lifestyle_Mini_!$A:$A,Instagram_Usage_Lifestyle_Mini_!$C:$K)</f>
        <v>Freelancer</v>
      </c>
      <c r="I893" t="str">
        <f>_xlfn.XLOOKUP($A:$A,Instagram_Usage_Lifestyle_Mini_!$A:$A,Instagram_Usage_Lifestyle_Mini_!$C:$K)</f>
        <v>High_school</v>
      </c>
      <c r="J893" t="str">
        <f>_xlfn.XLOOKUP($A:$A,Instagram_Usage_Lifestyle_Mini_!$A:$A,Instagram_Usage_Lifestyle_Mini_!$C:$K)</f>
        <v>Married</v>
      </c>
      <c r="K893" t="str">
        <f>_xlfn.XLOOKUP($A:$A,Instagram_Usage_Lifestyle_Mini_!$A:$A,Instagram_Usage_Lifestyle_Mini_!$C:$K)</f>
        <v>Yes</v>
      </c>
      <c r="L893" t="str" cm="1">
        <f t="array" ref="L893">_xlfn.IFS(C893&lt;18,"Under_18",C893&lt;=25,"Youth",C893&lt;=35,"Young_Adults",C893&lt;=45,"Mid_Adults",TRUE,"Seniors")</f>
        <v>Young_Adults</v>
      </c>
    </row>
    <row r="894" spans="1:12" x14ac:dyDescent="0.2">
      <c r="A894">
        <v>893</v>
      </c>
      <c r="B894" t="str">
        <f>_xlfn.XLOOKUP(A894,Instagram_Usage_Lifestyle_Mini_!A894,Instagram_Usage_Lifestyle_Mini_!B894,1)</f>
        <v>Instagram</v>
      </c>
      <c r="C894">
        <f>_xlfn.XLOOKUP($A:$A,Instagram_Usage_Lifestyle_Mini_!$A:$A,Instagram_Usage_Lifestyle_Mini_!$C:$K)</f>
        <v>60</v>
      </c>
      <c r="D894" t="str">
        <f>_xlfn.XLOOKUP($A:$A,Instagram_Usage_Lifestyle_Mini_!$A:$A,Instagram_Usage_Lifestyle_Mini_!$C:$K)</f>
        <v>Male</v>
      </c>
      <c r="E894" t="str">
        <f>_xlfn.XLOOKUP($A:$A,Instagram_Usage_Lifestyle_Mini_!$A:$A,Instagram_Usage_Lifestyle_Mini_!$C:$K)</f>
        <v>United _Kingdom</v>
      </c>
      <c r="F894" t="str">
        <f>_xlfn.XLOOKUP($A:$A,Instagram_Usage_Lifestyle_Mini_!$A:$A,Instagram_Usage_Lifestyle_Mini_!$C:$K)</f>
        <v>Urban</v>
      </c>
      <c r="G894" t="str">
        <f>_xlfn.XLOOKUP($A:$A,Instagram_Usage_Lifestyle_Mini_!$A:$A,Instagram_Usage_Lifestyle_Mini_!$C:$K)</f>
        <v>Low</v>
      </c>
      <c r="H894" t="str">
        <f>_xlfn.XLOOKUP($A:$A,Instagram_Usage_Lifestyle_Mini_!$A:$A,Instagram_Usage_Lifestyle_Mini_!$C:$K)</f>
        <v>Student</v>
      </c>
      <c r="I894" t="str">
        <f>_xlfn.XLOOKUP($A:$A,Instagram_Usage_Lifestyle_Mini_!$A:$A,Instagram_Usage_Lifestyle_Mini_!$C:$K)</f>
        <v>Bachelors_degree</v>
      </c>
      <c r="J894" t="str">
        <f>_xlfn.XLOOKUP($A:$A,Instagram_Usage_Lifestyle_Mini_!$A:$A,Instagram_Usage_Lifestyle_Mini_!$C:$K)</f>
        <v>Single</v>
      </c>
      <c r="K894" t="str">
        <f>_xlfn.XLOOKUP($A:$A,Instagram_Usage_Lifestyle_Mini_!$A:$A,Instagram_Usage_Lifestyle_Mini_!$C:$K)</f>
        <v>No</v>
      </c>
      <c r="L894" t="str" cm="1">
        <f t="array" ref="L894">_xlfn.IFS(C894&lt;18,"Under_18",C894&lt;=25,"Youth",C894&lt;=35,"Young_Adults",C894&lt;=45,"Mid_Adults",TRUE,"Seniors")</f>
        <v>Seniors</v>
      </c>
    </row>
    <row r="895" spans="1:12" x14ac:dyDescent="0.2">
      <c r="A895">
        <v>894</v>
      </c>
      <c r="B895" t="str">
        <f>_xlfn.XLOOKUP(A895,Instagram_Usage_Lifestyle_Mini_!A895,Instagram_Usage_Lifestyle_Mini_!B895,1)</f>
        <v>Instagram</v>
      </c>
      <c r="C895">
        <f>_xlfn.XLOOKUP($A:$A,Instagram_Usage_Lifestyle_Mini_!$A:$A,Instagram_Usage_Lifestyle_Mini_!$C:$K)</f>
        <v>59</v>
      </c>
      <c r="D895" t="str">
        <f>_xlfn.XLOOKUP($A:$A,Instagram_Usage_Lifestyle_Mini_!$A:$A,Instagram_Usage_Lifestyle_Mini_!$C:$K)</f>
        <v>Female</v>
      </c>
      <c r="E895" t="str">
        <f>_xlfn.XLOOKUP($A:$A,Instagram_Usage_Lifestyle_Mini_!$A:$A,Instagram_Usage_Lifestyle_Mini_!$C:$K)</f>
        <v>Japan</v>
      </c>
      <c r="F895" t="str">
        <f>_xlfn.XLOOKUP($A:$A,Instagram_Usage_Lifestyle_Mini_!$A:$A,Instagram_Usage_Lifestyle_Mini_!$C:$K)</f>
        <v>Rural</v>
      </c>
      <c r="G895" t="str">
        <f>_xlfn.XLOOKUP($A:$A,Instagram_Usage_Lifestyle_Mini_!$A:$A,Instagram_Usage_Lifestyle_Mini_!$C:$K)</f>
        <v>Middle</v>
      </c>
      <c r="H895" t="str">
        <f>_xlfn.XLOOKUP($A:$A,Instagram_Usage_Lifestyle_Mini_!$A:$A,Instagram_Usage_Lifestyle_Mini_!$C:$K)</f>
        <v>Full_time_employed</v>
      </c>
      <c r="I895" t="str">
        <f>_xlfn.XLOOKUP($A:$A,Instagram_Usage_Lifestyle_Mini_!$A:$A,Instagram_Usage_Lifestyle_Mini_!$C:$K)</f>
        <v>High_school</v>
      </c>
      <c r="J895" t="str">
        <f>_xlfn.XLOOKUP($A:$A,Instagram_Usage_Lifestyle_Mini_!$A:$A,Instagram_Usage_Lifestyle_Mini_!$C:$K)</f>
        <v>In_a_relationship</v>
      </c>
      <c r="K895" t="str">
        <f>_xlfn.XLOOKUP($A:$A,Instagram_Usage_Lifestyle_Mini_!$A:$A,Instagram_Usage_Lifestyle_Mini_!$C:$K)</f>
        <v>No</v>
      </c>
      <c r="L895" t="str" cm="1">
        <f t="array" ref="L895">_xlfn.IFS(C895&lt;18,"Under_18",C895&lt;=25,"Youth",C895&lt;=35,"Young_Adults",C895&lt;=45,"Mid_Adults",TRUE,"Seniors")</f>
        <v>Seniors</v>
      </c>
    </row>
    <row r="896" spans="1:12" x14ac:dyDescent="0.2">
      <c r="A896">
        <v>895</v>
      </c>
      <c r="B896" t="str">
        <f>_xlfn.XLOOKUP(A896,Instagram_Usage_Lifestyle_Mini_!A896,Instagram_Usage_Lifestyle_Mini_!B896,1)</f>
        <v>Instagram</v>
      </c>
      <c r="C896">
        <f>_xlfn.XLOOKUP($A:$A,Instagram_Usage_Lifestyle_Mini_!$A:$A,Instagram_Usage_Lifestyle_Mini_!$C:$K)</f>
        <v>35</v>
      </c>
      <c r="D896" t="str">
        <f>_xlfn.XLOOKUP($A:$A,Instagram_Usage_Lifestyle_Mini_!$A:$A,Instagram_Usage_Lifestyle_Mini_!$C:$K)</f>
        <v>Male</v>
      </c>
      <c r="E896" t="str">
        <f>_xlfn.XLOOKUP($A:$A,Instagram_Usage_Lifestyle_Mini_!$A:$A,Instagram_Usage_Lifestyle_Mini_!$C:$K)</f>
        <v>United _Kingdom</v>
      </c>
      <c r="F896" t="str">
        <f>_xlfn.XLOOKUP($A:$A,Instagram_Usage_Lifestyle_Mini_!$A:$A,Instagram_Usage_Lifestyle_Mini_!$C:$K)</f>
        <v>Urban</v>
      </c>
      <c r="G896" t="str">
        <f>_xlfn.XLOOKUP($A:$A,Instagram_Usage_Lifestyle_Mini_!$A:$A,Instagram_Usage_Lifestyle_Mini_!$C:$K)</f>
        <v>High</v>
      </c>
      <c r="H896" t="str">
        <f>_xlfn.XLOOKUP($A:$A,Instagram_Usage_Lifestyle_Mini_!$A:$A,Instagram_Usage_Lifestyle_Mini_!$C:$K)</f>
        <v>Freelancer</v>
      </c>
      <c r="I896" t="str">
        <f>_xlfn.XLOOKUP($A:$A,Instagram_Usage_Lifestyle_Mini_!$A:$A,Instagram_Usage_Lifestyle_Mini_!$C:$K)</f>
        <v>Masters_degree</v>
      </c>
      <c r="J896" t="str">
        <f>_xlfn.XLOOKUP($A:$A,Instagram_Usage_Lifestyle_Mini_!$A:$A,Instagram_Usage_Lifestyle_Mini_!$C:$K)</f>
        <v>In_a_relationship</v>
      </c>
      <c r="K896" t="str">
        <f>_xlfn.XLOOKUP($A:$A,Instagram_Usage_Lifestyle_Mini_!$A:$A,Instagram_Usage_Lifestyle_Mini_!$C:$K)</f>
        <v>No</v>
      </c>
      <c r="L896" t="str" cm="1">
        <f t="array" ref="L896">_xlfn.IFS(C896&lt;18,"Under_18",C896&lt;=25,"Youth",C896&lt;=35,"Young_Adults",C896&lt;=45,"Mid_Adults",TRUE,"Seniors")</f>
        <v>Young_Adults</v>
      </c>
    </row>
    <row r="897" spans="1:12" x14ac:dyDescent="0.2">
      <c r="A897">
        <v>896</v>
      </c>
      <c r="B897" t="str">
        <f>_xlfn.XLOOKUP(A897,Instagram_Usage_Lifestyle_Mini_!A897,Instagram_Usage_Lifestyle_Mini_!B897,1)</f>
        <v>Instagram</v>
      </c>
      <c r="C897">
        <f>_xlfn.XLOOKUP($A:$A,Instagram_Usage_Lifestyle_Mini_!$A:$A,Instagram_Usage_Lifestyle_Mini_!$C:$K)</f>
        <v>27</v>
      </c>
      <c r="D897" t="str">
        <f>_xlfn.XLOOKUP($A:$A,Instagram_Usage_Lifestyle_Mini_!$A:$A,Instagram_Usage_Lifestyle_Mini_!$C:$K)</f>
        <v>Female</v>
      </c>
      <c r="E897" t="str">
        <f>_xlfn.XLOOKUP($A:$A,Instagram_Usage_Lifestyle_Mini_!$A:$A,Instagram_Usage_Lifestyle_Mini_!$C:$K)</f>
        <v>India</v>
      </c>
      <c r="F897" t="str">
        <f>_xlfn.XLOOKUP($A:$A,Instagram_Usage_Lifestyle_Mini_!$A:$A,Instagram_Usage_Lifestyle_Mini_!$C:$K)</f>
        <v>Urban</v>
      </c>
      <c r="G897" t="str">
        <f>_xlfn.XLOOKUP($A:$A,Instagram_Usage_Lifestyle_Mini_!$A:$A,Instagram_Usage_Lifestyle_Mini_!$C:$K)</f>
        <v>Middle</v>
      </c>
      <c r="H897" t="str">
        <f>_xlfn.XLOOKUP($A:$A,Instagram_Usage_Lifestyle_Mini_!$A:$A,Instagram_Usage_Lifestyle_Mini_!$C:$K)</f>
        <v>Freelancer</v>
      </c>
      <c r="I897" t="str">
        <f>_xlfn.XLOOKUP($A:$A,Instagram_Usage_Lifestyle_Mini_!$A:$A,Instagram_Usage_Lifestyle_Mini_!$C:$K)</f>
        <v>Bachelors_degree</v>
      </c>
      <c r="J897" t="str">
        <f>_xlfn.XLOOKUP($A:$A,Instagram_Usage_Lifestyle_Mini_!$A:$A,Instagram_Usage_Lifestyle_Mini_!$C:$K)</f>
        <v>Single</v>
      </c>
      <c r="K897" t="str">
        <f>_xlfn.XLOOKUP($A:$A,Instagram_Usage_Lifestyle_Mini_!$A:$A,Instagram_Usage_Lifestyle_Mini_!$C:$K)</f>
        <v>Yes</v>
      </c>
      <c r="L897" t="str" cm="1">
        <f t="array" ref="L897">_xlfn.IFS(C897&lt;18,"Under_18",C897&lt;=25,"Youth",C897&lt;=35,"Young_Adults",C897&lt;=45,"Mid_Adults",TRUE,"Seniors")</f>
        <v>Young_Adults</v>
      </c>
    </row>
    <row r="898" spans="1:12" x14ac:dyDescent="0.2">
      <c r="A898">
        <v>897</v>
      </c>
      <c r="B898" t="str">
        <f>_xlfn.XLOOKUP(A898,Instagram_Usage_Lifestyle_Mini_!A898,Instagram_Usage_Lifestyle_Mini_!B898,1)</f>
        <v>Instagram</v>
      </c>
      <c r="C898">
        <f>_xlfn.XLOOKUP($A:$A,Instagram_Usage_Lifestyle_Mini_!$A:$A,Instagram_Usage_Lifestyle_Mini_!$C:$K)</f>
        <v>49</v>
      </c>
      <c r="D898" t="str">
        <f>_xlfn.XLOOKUP($A:$A,Instagram_Usage_Lifestyle_Mini_!$A:$A,Instagram_Usage_Lifestyle_Mini_!$C:$K)</f>
        <v>Female</v>
      </c>
      <c r="E898" t="str">
        <f>_xlfn.XLOOKUP($A:$A,Instagram_Usage_Lifestyle_Mini_!$A:$A,Instagram_Usage_Lifestyle_Mini_!$C:$K)</f>
        <v>Germany</v>
      </c>
      <c r="F898" t="str">
        <f>_xlfn.XLOOKUP($A:$A,Instagram_Usage_Lifestyle_Mini_!$A:$A,Instagram_Usage_Lifestyle_Mini_!$C:$K)</f>
        <v>Urban</v>
      </c>
      <c r="G898" t="str">
        <f>_xlfn.XLOOKUP($A:$A,Instagram_Usage_Lifestyle_Mini_!$A:$A,Instagram_Usage_Lifestyle_Mini_!$C:$K)</f>
        <v>High</v>
      </c>
      <c r="H898" t="str">
        <f>_xlfn.XLOOKUP($A:$A,Instagram_Usage_Lifestyle_Mini_!$A:$A,Instagram_Usage_Lifestyle_Mini_!$C:$K)</f>
        <v>Student</v>
      </c>
      <c r="I898" t="str">
        <f>_xlfn.XLOOKUP($A:$A,Instagram_Usage_Lifestyle_Mini_!$A:$A,Instagram_Usage_Lifestyle_Mini_!$C:$K)</f>
        <v>Other</v>
      </c>
      <c r="J898" t="str">
        <f>_xlfn.XLOOKUP($A:$A,Instagram_Usage_Lifestyle_Mini_!$A:$A,Instagram_Usage_Lifestyle_Mini_!$C:$K)</f>
        <v>Single</v>
      </c>
      <c r="K898" t="str">
        <f>_xlfn.XLOOKUP($A:$A,Instagram_Usage_Lifestyle_Mini_!$A:$A,Instagram_Usage_Lifestyle_Mini_!$C:$K)</f>
        <v>No</v>
      </c>
      <c r="L898" t="str" cm="1">
        <f t="array" ref="L898">_xlfn.IFS(C898&lt;18,"Under_18",C898&lt;=25,"Youth",C898&lt;=35,"Young_Adults",C898&lt;=45,"Mid_Adults",TRUE,"Seniors")</f>
        <v>Seniors</v>
      </c>
    </row>
    <row r="899" spans="1:12" x14ac:dyDescent="0.2">
      <c r="A899">
        <v>898</v>
      </c>
      <c r="B899" t="str">
        <f>_xlfn.XLOOKUP(A899,Instagram_Usage_Lifestyle_Mini_!A899,Instagram_Usage_Lifestyle_Mini_!B899,1)</f>
        <v>Instagram</v>
      </c>
      <c r="C899">
        <f>_xlfn.XLOOKUP($A:$A,Instagram_Usage_Lifestyle_Mini_!$A:$A,Instagram_Usage_Lifestyle_Mini_!$C:$K)</f>
        <v>33</v>
      </c>
      <c r="D899" t="str">
        <f>_xlfn.XLOOKUP($A:$A,Instagram_Usage_Lifestyle_Mini_!$A:$A,Instagram_Usage_Lifestyle_Mini_!$C:$K)</f>
        <v>Male</v>
      </c>
      <c r="E899" t="str">
        <f>_xlfn.XLOOKUP($A:$A,Instagram_Usage_Lifestyle_Mini_!$A:$A,Instagram_Usage_Lifestyle_Mini_!$C:$K)</f>
        <v>South_Korea</v>
      </c>
      <c r="F899" t="str">
        <f>_xlfn.XLOOKUP($A:$A,Instagram_Usage_Lifestyle_Mini_!$A:$A,Instagram_Usage_Lifestyle_Mini_!$C:$K)</f>
        <v>Suburban</v>
      </c>
      <c r="G899" t="str">
        <f>_xlfn.XLOOKUP($A:$A,Instagram_Usage_Lifestyle_Mini_!$A:$A,Instagram_Usage_Lifestyle_Mini_!$C:$K)</f>
        <v>Upper_middle</v>
      </c>
      <c r="H899" t="str">
        <f>_xlfn.XLOOKUP($A:$A,Instagram_Usage_Lifestyle_Mini_!$A:$A,Instagram_Usage_Lifestyle_Mini_!$C:$K)</f>
        <v>Full_time_employed</v>
      </c>
      <c r="I899" t="str">
        <f>_xlfn.XLOOKUP($A:$A,Instagram_Usage_Lifestyle_Mini_!$A:$A,Instagram_Usage_Lifestyle_Mini_!$C:$K)</f>
        <v>Some_college</v>
      </c>
      <c r="J899" t="str">
        <f>_xlfn.XLOOKUP($A:$A,Instagram_Usage_Lifestyle_Mini_!$A:$A,Instagram_Usage_Lifestyle_Mini_!$C:$K)</f>
        <v>Divorced</v>
      </c>
      <c r="K899" t="str">
        <f>_xlfn.XLOOKUP($A:$A,Instagram_Usage_Lifestyle_Mini_!$A:$A,Instagram_Usage_Lifestyle_Mini_!$C:$K)</f>
        <v>No</v>
      </c>
      <c r="L899" t="str" cm="1">
        <f t="array" ref="L899">_xlfn.IFS(C899&lt;18,"Under_18",C899&lt;=25,"Youth",C899&lt;=35,"Young_Adults",C899&lt;=45,"Mid_Adults",TRUE,"Seniors")</f>
        <v>Young_Adults</v>
      </c>
    </row>
    <row r="900" spans="1:12" x14ac:dyDescent="0.2">
      <c r="A900">
        <v>899</v>
      </c>
      <c r="B900" t="str">
        <f>_xlfn.XLOOKUP(A900,Instagram_Usage_Lifestyle_Mini_!A900,Instagram_Usage_Lifestyle_Mini_!B900,1)</f>
        <v>Instagram</v>
      </c>
      <c r="C900">
        <f>_xlfn.XLOOKUP($A:$A,Instagram_Usage_Lifestyle_Mini_!$A:$A,Instagram_Usage_Lifestyle_Mini_!$C:$K)</f>
        <v>26</v>
      </c>
      <c r="D900" t="str">
        <f>_xlfn.XLOOKUP($A:$A,Instagram_Usage_Lifestyle_Mini_!$A:$A,Instagram_Usage_Lifestyle_Mini_!$C:$K)</f>
        <v>Female</v>
      </c>
      <c r="E900" t="str">
        <f>_xlfn.XLOOKUP($A:$A,Instagram_Usage_Lifestyle_Mini_!$A:$A,Instagram_Usage_Lifestyle_Mini_!$C:$K)</f>
        <v>United _Kingdom</v>
      </c>
      <c r="F900" t="str">
        <f>_xlfn.XLOOKUP($A:$A,Instagram_Usage_Lifestyle_Mini_!$A:$A,Instagram_Usage_Lifestyle_Mini_!$C:$K)</f>
        <v>Suburban</v>
      </c>
      <c r="G900" t="str">
        <f>_xlfn.XLOOKUP($A:$A,Instagram_Usage_Lifestyle_Mini_!$A:$A,Instagram_Usage_Lifestyle_Mini_!$C:$K)</f>
        <v>Lower_middle</v>
      </c>
      <c r="H900" t="str">
        <f>_xlfn.XLOOKUP($A:$A,Instagram_Usage_Lifestyle_Mini_!$A:$A,Instagram_Usage_Lifestyle_Mini_!$C:$K)</f>
        <v>Unemployed</v>
      </c>
      <c r="I900" t="str">
        <f>_xlfn.XLOOKUP($A:$A,Instagram_Usage_Lifestyle_Mini_!$A:$A,Instagram_Usage_Lifestyle_Mini_!$C:$K)</f>
        <v>Bachelors_degree</v>
      </c>
      <c r="J900" t="str">
        <f>_xlfn.XLOOKUP($A:$A,Instagram_Usage_Lifestyle_Mini_!$A:$A,Instagram_Usage_Lifestyle_Mini_!$C:$K)</f>
        <v>Married</v>
      </c>
      <c r="K900" t="str">
        <f>_xlfn.XLOOKUP($A:$A,Instagram_Usage_Lifestyle_Mini_!$A:$A,Instagram_Usage_Lifestyle_Mini_!$C:$K)</f>
        <v>No</v>
      </c>
      <c r="L900" t="str" cm="1">
        <f t="array" ref="L900">_xlfn.IFS(C900&lt;18,"Under_18",C900&lt;=25,"Youth",C900&lt;=35,"Young_Adults",C900&lt;=45,"Mid_Adults",TRUE,"Seniors")</f>
        <v>Young_Adults</v>
      </c>
    </row>
    <row r="901" spans="1:12" x14ac:dyDescent="0.2">
      <c r="A901">
        <v>900</v>
      </c>
      <c r="B901" t="str">
        <f>_xlfn.XLOOKUP(A901,Instagram_Usage_Lifestyle_Mini_!A901,Instagram_Usage_Lifestyle_Mini_!B901,1)</f>
        <v>Instagram</v>
      </c>
      <c r="C901">
        <f>_xlfn.XLOOKUP($A:$A,Instagram_Usage_Lifestyle_Mini_!$A:$A,Instagram_Usage_Lifestyle_Mini_!$C:$K)</f>
        <v>14</v>
      </c>
      <c r="D901" t="str">
        <f>_xlfn.XLOOKUP($A:$A,Instagram_Usage_Lifestyle_Mini_!$A:$A,Instagram_Usage_Lifestyle_Mini_!$C:$K)</f>
        <v>Male</v>
      </c>
      <c r="E901" t="str">
        <f>_xlfn.XLOOKUP($A:$A,Instagram_Usage_Lifestyle_Mini_!$A:$A,Instagram_Usage_Lifestyle_Mini_!$C:$K)</f>
        <v>Canada</v>
      </c>
      <c r="F901" t="str">
        <f>_xlfn.XLOOKUP($A:$A,Instagram_Usage_Lifestyle_Mini_!$A:$A,Instagram_Usage_Lifestyle_Mini_!$C:$K)</f>
        <v>Suburban</v>
      </c>
      <c r="G901" t="str">
        <f>_xlfn.XLOOKUP($A:$A,Instagram_Usage_Lifestyle_Mini_!$A:$A,Instagram_Usage_Lifestyle_Mini_!$C:$K)</f>
        <v>High</v>
      </c>
      <c r="H901" t="str">
        <f>_xlfn.XLOOKUP($A:$A,Instagram_Usage_Lifestyle_Mini_!$A:$A,Instagram_Usage_Lifestyle_Mini_!$C:$K)</f>
        <v>Student</v>
      </c>
      <c r="I901" t="str">
        <f>_xlfn.XLOOKUP($A:$A,Instagram_Usage_Lifestyle_Mini_!$A:$A,Instagram_Usage_Lifestyle_Mini_!$C:$K)</f>
        <v>High_school</v>
      </c>
      <c r="J901" t="str">
        <f>_xlfn.XLOOKUP($A:$A,Instagram_Usage_Lifestyle_Mini_!$A:$A,Instagram_Usage_Lifestyle_Mini_!$C:$K)</f>
        <v>In_a_relationship</v>
      </c>
      <c r="K901" t="str">
        <f>_xlfn.XLOOKUP($A:$A,Instagram_Usage_Lifestyle_Mini_!$A:$A,Instagram_Usage_Lifestyle_Mini_!$C:$K)</f>
        <v>No</v>
      </c>
      <c r="L901" t="str" cm="1">
        <f t="array" ref="L901">_xlfn.IFS(C901&lt;18,"Under_18",C901&lt;=25,"Youth",C901&lt;=35,"Young_Adults",C901&lt;=45,"Mid_Adults",TRUE,"Seniors")</f>
        <v>Under_18</v>
      </c>
    </row>
    <row r="902" spans="1:12" x14ac:dyDescent="0.2">
      <c r="A902">
        <v>901</v>
      </c>
      <c r="B902" t="str">
        <f>_xlfn.XLOOKUP(A902,Instagram_Usage_Lifestyle_Mini_!A902,Instagram_Usage_Lifestyle_Mini_!B902,1)</f>
        <v>Instagram</v>
      </c>
      <c r="C902">
        <f>_xlfn.XLOOKUP($A:$A,Instagram_Usage_Lifestyle_Mini_!$A:$A,Instagram_Usage_Lifestyle_Mini_!$C:$K)</f>
        <v>23</v>
      </c>
      <c r="D902" t="str">
        <f>_xlfn.XLOOKUP($A:$A,Instagram_Usage_Lifestyle_Mini_!$A:$A,Instagram_Usage_Lifestyle_Mini_!$C:$K)</f>
        <v>Female</v>
      </c>
      <c r="E902" t="str">
        <f>_xlfn.XLOOKUP($A:$A,Instagram_Usage_Lifestyle_Mini_!$A:$A,Instagram_Usage_Lifestyle_Mini_!$C:$K)</f>
        <v>India</v>
      </c>
      <c r="F902" t="str">
        <f>_xlfn.XLOOKUP($A:$A,Instagram_Usage_Lifestyle_Mini_!$A:$A,Instagram_Usage_Lifestyle_Mini_!$C:$K)</f>
        <v>Suburban</v>
      </c>
      <c r="G902" t="str">
        <f>_xlfn.XLOOKUP($A:$A,Instagram_Usage_Lifestyle_Mini_!$A:$A,Instagram_Usage_Lifestyle_Mini_!$C:$K)</f>
        <v>Lower_middle</v>
      </c>
      <c r="H902" t="str">
        <f>_xlfn.XLOOKUP($A:$A,Instagram_Usage_Lifestyle_Mini_!$A:$A,Instagram_Usage_Lifestyle_Mini_!$C:$K)</f>
        <v>Full_time_employed</v>
      </c>
      <c r="I902" t="str">
        <f>_xlfn.XLOOKUP($A:$A,Instagram_Usage_Lifestyle_Mini_!$A:$A,Instagram_Usage_Lifestyle_Mini_!$C:$K)</f>
        <v>Bachelors_degree</v>
      </c>
      <c r="J902" t="str">
        <f>_xlfn.XLOOKUP($A:$A,Instagram_Usage_Lifestyle_Mini_!$A:$A,Instagram_Usage_Lifestyle_Mini_!$C:$K)</f>
        <v>Single</v>
      </c>
      <c r="K902" t="str">
        <f>_xlfn.XLOOKUP($A:$A,Instagram_Usage_Lifestyle_Mini_!$A:$A,Instagram_Usage_Lifestyle_Mini_!$C:$K)</f>
        <v>No</v>
      </c>
      <c r="L902" t="str" cm="1">
        <f t="array" ref="L902">_xlfn.IFS(C902&lt;18,"Under_18",C902&lt;=25,"Youth",C902&lt;=35,"Young_Adults",C902&lt;=45,"Mid_Adults",TRUE,"Seniors")</f>
        <v>Youth</v>
      </c>
    </row>
    <row r="903" spans="1:12" x14ac:dyDescent="0.2">
      <c r="A903">
        <v>902</v>
      </c>
      <c r="B903" t="str">
        <f>_xlfn.XLOOKUP(A903,Instagram_Usage_Lifestyle_Mini_!A903,Instagram_Usage_Lifestyle_Mini_!B903,1)</f>
        <v>Instagram</v>
      </c>
      <c r="C903">
        <f>_xlfn.XLOOKUP($A:$A,Instagram_Usage_Lifestyle_Mini_!$A:$A,Instagram_Usage_Lifestyle_Mini_!$C:$K)</f>
        <v>63</v>
      </c>
      <c r="D903" t="str">
        <f>_xlfn.XLOOKUP($A:$A,Instagram_Usage_Lifestyle_Mini_!$A:$A,Instagram_Usage_Lifestyle_Mini_!$C:$K)</f>
        <v>Female</v>
      </c>
      <c r="E903" t="str">
        <f>_xlfn.XLOOKUP($A:$A,Instagram_Usage_Lifestyle_Mini_!$A:$A,Instagram_Usage_Lifestyle_Mini_!$C:$K)</f>
        <v>United_States</v>
      </c>
      <c r="F903" t="str">
        <f>_xlfn.XLOOKUP($A:$A,Instagram_Usage_Lifestyle_Mini_!$A:$A,Instagram_Usage_Lifestyle_Mini_!$C:$K)</f>
        <v>Rural</v>
      </c>
      <c r="G903" t="str">
        <f>_xlfn.XLOOKUP($A:$A,Instagram_Usage_Lifestyle_Mini_!$A:$A,Instagram_Usage_Lifestyle_Mini_!$C:$K)</f>
        <v>Upper_middle</v>
      </c>
      <c r="H903" t="str">
        <f>_xlfn.XLOOKUP($A:$A,Instagram_Usage_Lifestyle_Mini_!$A:$A,Instagram_Usage_Lifestyle_Mini_!$C:$K)</f>
        <v>Full_time_employed</v>
      </c>
      <c r="I903" t="str">
        <f>_xlfn.XLOOKUP($A:$A,Instagram_Usage_Lifestyle_Mini_!$A:$A,Instagram_Usage_Lifestyle_Mini_!$C:$K)</f>
        <v>High_school</v>
      </c>
      <c r="J903" t="str">
        <f>_xlfn.XLOOKUP($A:$A,Instagram_Usage_Lifestyle_Mini_!$A:$A,Instagram_Usage_Lifestyle_Mini_!$C:$K)</f>
        <v>In_a_relationship</v>
      </c>
      <c r="K903" t="str">
        <f>_xlfn.XLOOKUP($A:$A,Instagram_Usage_Lifestyle_Mini_!$A:$A,Instagram_Usage_Lifestyle_Mini_!$C:$K)</f>
        <v>No</v>
      </c>
      <c r="L903" t="str" cm="1">
        <f t="array" ref="L903">_xlfn.IFS(C903&lt;18,"Under_18",C903&lt;=25,"Youth",C903&lt;=35,"Young_Adults",C903&lt;=45,"Mid_Adults",TRUE,"Seniors")</f>
        <v>Seniors</v>
      </c>
    </row>
    <row r="904" spans="1:12" x14ac:dyDescent="0.2">
      <c r="A904">
        <v>903</v>
      </c>
      <c r="B904" t="str">
        <f>_xlfn.XLOOKUP(A904,Instagram_Usage_Lifestyle_Mini_!A904,Instagram_Usage_Lifestyle_Mini_!B904,1)</f>
        <v>Instagram</v>
      </c>
      <c r="C904">
        <f>_xlfn.XLOOKUP($A:$A,Instagram_Usage_Lifestyle_Mini_!$A:$A,Instagram_Usage_Lifestyle_Mini_!$C:$K)</f>
        <v>51</v>
      </c>
      <c r="D904" t="str">
        <f>_xlfn.XLOOKUP($A:$A,Instagram_Usage_Lifestyle_Mini_!$A:$A,Instagram_Usage_Lifestyle_Mini_!$C:$K)</f>
        <v>Male</v>
      </c>
      <c r="E904" t="str">
        <f>_xlfn.XLOOKUP($A:$A,Instagram_Usage_Lifestyle_Mini_!$A:$A,Instagram_Usage_Lifestyle_Mini_!$C:$K)</f>
        <v>United_States</v>
      </c>
      <c r="F904" t="str">
        <f>_xlfn.XLOOKUP($A:$A,Instagram_Usage_Lifestyle_Mini_!$A:$A,Instagram_Usage_Lifestyle_Mini_!$C:$K)</f>
        <v>Suburban</v>
      </c>
      <c r="G904" t="str">
        <f>_xlfn.XLOOKUP($A:$A,Instagram_Usage_Lifestyle_Mini_!$A:$A,Instagram_Usage_Lifestyle_Mini_!$C:$K)</f>
        <v>Upper_middle</v>
      </c>
      <c r="H904" t="str">
        <f>_xlfn.XLOOKUP($A:$A,Instagram_Usage_Lifestyle_Mini_!$A:$A,Instagram_Usage_Lifestyle_Mini_!$C:$K)</f>
        <v>Unemployed</v>
      </c>
      <c r="I904" t="str">
        <f>_xlfn.XLOOKUP($A:$A,Instagram_Usage_Lifestyle_Mini_!$A:$A,Instagram_Usage_Lifestyle_Mini_!$C:$K)</f>
        <v>Some_college</v>
      </c>
      <c r="J904" t="str">
        <f>_xlfn.XLOOKUP($A:$A,Instagram_Usage_Lifestyle_Mini_!$A:$A,Instagram_Usage_Lifestyle_Mini_!$C:$K)</f>
        <v>Single</v>
      </c>
      <c r="K904" t="str">
        <f>_xlfn.XLOOKUP($A:$A,Instagram_Usage_Lifestyle_Mini_!$A:$A,Instagram_Usage_Lifestyle_Mini_!$C:$K)</f>
        <v>No</v>
      </c>
      <c r="L904" t="str" cm="1">
        <f t="array" ref="L904">_xlfn.IFS(C904&lt;18,"Under_18",C904&lt;=25,"Youth",C904&lt;=35,"Young_Adults",C904&lt;=45,"Mid_Adults",TRUE,"Seniors")</f>
        <v>Seniors</v>
      </c>
    </row>
    <row r="905" spans="1:12" x14ac:dyDescent="0.2">
      <c r="A905">
        <v>904</v>
      </c>
      <c r="B905" t="str">
        <f>_xlfn.XLOOKUP(A905,Instagram_Usage_Lifestyle_Mini_!A905,Instagram_Usage_Lifestyle_Mini_!B905,1)</f>
        <v>Instagram</v>
      </c>
      <c r="C905">
        <f>_xlfn.XLOOKUP($A:$A,Instagram_Usage_Lifestyle_Mini_!$A:$A,Instagram_Usage_Lifestyle_Mini_!$C:$K)</f>
        <v>50</v>
      </c>
      <c r="D905" t="str">
        <f>_xlfn.XLOOKUP($A:$A,Instagram_Usage_Lifestyle_Mini_!$A:$A,Instagram_Usage_Lifestyle_Mini_!$C:$K)</f>
        <v>Male</v>
      </c>
      <c r="E905" t="str">
        <f>_xlfn.XLOOKUP($A:$A,Instagram_Usage_Lifestyle_Mini_!$A:$A,Instagram_Usage_Lifestyle_Mini_!$C:$K)</f>
        <v>South_Korea</v>
      </c>
      <c r="F905" t="str">
        <f>_xlfn.XLOOKUP($A:$A,Instagram_Usage_Lifestyle_Mini_!$A:$A,Instagram_Usage_Lifestyle_Mini_!$C:$K)</f>
        <v>Urban</v>
      </c>
      <c r="G905" t="str">
        <f>_xlfn.XLOOKUP($A:$A,Instagram_Usage_Lifestyle_Mini_!$A:$A,Instagram_Usage_Lifestyle_Mini_!$C:$K)</f>
        <v>Lower_middle</v>
      </c>
      <c r="H905" t="str">
        <f>_xlfn.XLOOKUP($A:$A,Instagram_Usage_Lifestyle_Mini_!$A:$A,Instagram_Usage_Lifestyle_Mini_!$C:$K)</f>
        <v>Student</v>
      </c>
      <c r="I905" t="str">
        <f>_xlfn.XLOOKUP($A:$A,Instagram_Usage_Lifestyle_Mini_!$A:$A,Instagram_Usage_Lifestyle_Mini_!$C:$K)</f>
        <v>Bachelors_degree</v>
      </c>
      <c r="J905" t="str">
        <f>_xlfn.XLOOKUP($A:$A,Instagram_Usage_Lifestyle_Mini_!$A:$A,Instagram_Usage_Lifestyle_Mini_!$C:$K)</f>
        <v>Single</v>
      </c>
      <c r="K905" t="str">
        <f>_xlfn.XLOOKUP($A:$A,Instagram_Usage_Lifestyle_Mini_!$A:$A,Instagram_Usage_Lifestyle_Mini_!$C:$K)</f>
        <v>No</v>
      </c>
      <c r="L905" t="str" cm="1">
        <f t="array" ref="L905">_xlfn.IFS(C905&lt;18,"Under_18",C905&lt;=25,"Youth",C905&lt;=35,"Young_Adults",C905&lt;=45,"Mid_Adults",TRUE,"Seniors")</f>
        <v>Seniors</v>
      </c>
    </row>
    <row r="906" spans="1:12" x14ac:dyDescent="0.2">
      <c r="A906">
        <v>905</v>
      </c>
      <c r="B906" t="str">
        <f>_xlfn.XLOOKUP(A906,Instagram_Usage_Lifestyle_Mini_!A906,Instagram_Usage_Lifestyle_Mini_!B906,1)</f>
        <v>Instagram</v>
      </c>
      <c r="C906">
        <f>_xlfn.XLOOKUP($A:$A,Instagram_Usage_Lifestyle_Mini_!$A:$A,Instagram_Usage_Lifestyle_Mini_!$C:$K)</f>
        <v>46</v>
      </c>
      <c r="D906" t="str">
        <f>_xlfn.XLOOKUP($A:$A,Instagram_Usage_Lifestyle_Mini_!$A:$A,Instagram_Usage_Lifestyle_Mini_!$C:$K)</f>
        <v>Female</v>
      </c>
      <c r="E906" t="str">
        <f>_xlfn.XLOOKUP($A:$A,Instagram_Usage_Lifestyle_Mini_!$A:$A,Instagram_Usage_Lifestyle_Mini_!$C:$K)</f>
        <v>United_States</v>
      </c>
      <c r="F906" t="str">
        <f>_xlfn.XLOOKUP($A:$A,Instagram_Usage_Lifestyle_Mini_!$A:$A,Instagram_Usage_Lifestyle_Mini_!$C:$K)</f>
        <v>Urban</v>
      </c>
      <c r="G906" t="str">
        <f>_xlfn.XLOOKUP($A:$A,Instagram_Usage_Lifestyle_Mini_!$A:$A,Instagram_Usage_Lifestyle_Mini_!$C:$K)</f>
        <v>Middle</v>
      </c>
      <c r="H906" t="str">
        <f>_xlfn.XLOOKUP($A:$A,Instagram_Usage_Lifestyle_Mini_!$A:$A,Instagram_Usage_Lifestyle_Mini_!$C:$K)</f>
        <v>Full_time_employed</v>
      </c>
      <c r="I906" t="str">
        <f>_xlfn.XLOOKUP($A:$A,Instagram_Usage_Lifestyle_Mini_!$A:$A,Instagram_Usage_Lifestyle_Mini_!$C:$K)</f>
        <v>Masters_degree</v>
      </c>
      <c r="J906" t="str">
        <f>_xlfn.XLOOKUP($A:$A,Instagram_Usage_Lifestyle_Mini_!$A:$A,Instagram_Usage_Lifestyle_Mini_!$C:$K)</f>
        <v>Single</v>
      </c>
      <c r="K906" t="str">
        <f>_xlfn.XLOOKUP($A:$A,Instagram_Usage_Lifestyle_Mini_!$A:$A,Instagram_Usage_Lifestyle_Mini_!$C:$K)</f>
        <v>No</v>
      </c>
      <c r="L906" t="str" cm="1">
        <f t="array" ref="L906">_xlfn.IFS(C906&lt;18,"Under_18",C906&lt;=25,"Youth",C906&lt;=35,"Young_Adults",C906&lt;=45,"Mid_Adults",TRUE,"Seniors")</f>
        <v>Seniors</v>
      </c>
    </row>
    <row r="907" spans="1:12" x14ac:dyDescent="0.2">
      <c r="A907">
        <v>906</v>
      </c>
      <c r="B907" t="str">
        <f>_xlfn.XLOOKUP(A907,Instagram_Usage_Lifestyle_Mini_!A907,Instagram_Usage_Lifestyle_Mini_!B907,1)</f>
        <v>Instagram</v>
      </c>
      <c r="C907">
        <f>_xlfn.XLOOKUP($A:$A,Instagram_Usage_Lifestyle_Mini_!$A:$A,Instagram_Usage_Lifestyle_Mini_!$C:$K)</f>
        <v>50</v>
      </c>
      <c r="D907" t="str">
        <f>_xlfn.XLOOKUP($A:$A,Instagram_Usage_Lifestyle_Mini_!$A:$A,Instagram_Usage_Lifestyle_Mini_!$C:$K)</f>
        <v>Female</v>
      </c>
      <c r="E907" t="str">
        <f>_xlfn.XLOOKUP($A:$A,Instagram_Usage_Lifestyle_Mini_!$A:$A,Instagram_Usage_Lifestyle_Mini_!$C:$K)</f>
        <v>India</v>
      </c>
      <c r="F907" t="str">
        <f>_xlfn.XLOOKUP($A:$A,Instagram_Usage_Lifestyle_Mini_!$A:$A,Instagram_Usage_Lifestyle_Mini_!$C:$K)</f>
        <v>Suburban</v>
      </c>
      <c r="G907" t="str">
        <f>_xlfn.XLOOKUP($A:$A,Instagram_Usage_Lifestyle_Mini_!$A:$A,Instagram_Usage_Lifestyle_Mini_!$C:$K)</f>
        <v>Low</v>
      </c>
      <c r="H907" t="str">
        <f>_xlfn.XLOOKUP($A:$A,Instagram_Usage_Lifestyle_Mini_!$A:$A,Instagram_Usage_Lifestyle_Mini_!$C:$K)</f>
        <v>Full_time_employed</v>
      </c>
      <c r="I907" t="str">
        <f>_xlfn.XLOOKUP($A:$A,Instagram_Usage_Lifestyle_Mini_!$A:$A,Instagram_Usage_Lifestyle_Mini_!$C:$K)</f>
        <v>Bachelors_degree</v>
      </c>
      <c r="J907" t="str">
        <f>_xlfn.XLOOKUP($A:$A,Instagram_Usage_Lifestyle_Mini_!$A:$A,Instagram_Usage_Lifestyle_Mini_!$C:$K)</f>
        <v>Single</v>
      </c>
      <c r="K907" t="str">
        <f>_xlfn.XLOOKUP($A:$A,Instagram_Usage_Lifestyle_Mini_!$A:$A,Instagram_Usage_Lifestyle_Mini_!$C:$K)</f>
        <v>No</v>
      </c>
      <c r="L907" t="str" cm="1">
        <f t="array" ref="L907">_xlfn.IFS(C907&lt;18,"Under_18",C907&lt;=25,"Youth",C907&lt;=35,"Young_Adults",C907&lt;=45,"Mid_Adults",TRUE,"Seniors")</f>
        <v>Seniors</v>
      </c>
    </row>
    <row r="908" spans="1:12" x14ac:dyDescent="0.2">
      <c r="A908">
        <v>907</v>
      </c>
      <c r="B908" t="str">
        <f>_xlfn.XLOOKUP(A908,Instagram_Usage_Lifestyle_Mini_!A908,Instagram_Usage_Lifestyle_Mini_!B908,1)</f>
        <v>Instagram</v>
      </c>
      <c r="C908">
        <f>_xlfn.XLOOKUP($A:$A,Instagram_Usage_Lifestyle_Mini_!$A:$A,Instagram_Usage_Lifestyle_Mini_!$C:$K)</f>
        <v>62</v>
      </c>
      <c r="D908" t="str">
        <f>_xlfn.XLOOKUP($A:$A,Instagram_Usage_Lifestyle_Mini_!$A:$A,Instagram_Usage_Lifestyle_Mini_!$C:$K)</f>
        <v>Female</v>
      </c>
      <c r="E908" t="str">
        <f>_xlfn.XLOOKUP($A:$A,Instagram_Usage_Lifestyle_Mini_!$A:$A,Instagram_Usage_Lifestyle_Mini_!$C:$K)</f>
        <v>Brazil</v>
      </c>
      <c r="F908" t="str">
        <f>_xlfn.XLOOKUP($A:$A,Instagram_Usage_Lifestyle_Mini_!$A:$A,Instagram_Usage_Lifestyle_Mini_!$C:$K)</f>
        <v>Urban</v>
      </c>
      <c r="G908" t="str">
        <f>_xlfn.XLOOKUP($A:$A,Instagram_Usage_Lifestyle_Mini_!$A:$A,Instagram_Usage_Lifestyle_Mini_!$C:$K)</f>
        <v>High</v>
      </c>
      <c r="H908" t="str">
        <f>_xlfn.XLOOKUP($A:$A,Instagram_Usage_Lifestyle_Mini_!$A:$A,Instagram_Usage_Lifestyle_Mini_!$C:$K)</f>
        <v>Full_time_employed</v>
      </c>
      <c r="I908" t="str">
        <f>_xlfn.XLOOKUP($A:$A,Instagram_Usage_Lifestyle_Mini_!$A:$A,Instagram_Usage_Lifestyle_Mini_!$C:$K)</f>
        <v>Masters_degree</v>
      </c>
      <c r="J908" t="str">
        <f>_xlfn.XLOOKUP($A:$A,Instagram_Usage_Lifestyle_Mini_!$A:$A,Instagram_Usage_Lifestyle_Mini_!$C:$K)</f>
        <v>Single</v>
      </c>
      <c r="K908" t="str">
        <f>_xlfn.XLOOKUP($A:$A,Instagram_Usage_Lifestyle_Mini_!$A:$A,Instagram_Usage_Lifestyle_Mini_!$C:$K)</f>
        <v>No</v>
      </c>
      <c r="L908" t="str" cm="1">
        <f t="array" ref="L908">_xlfn.IFS(C908&lt;18,"Under_18",C908&lt;=25,"Youth",C908&lt;=35,"Young_Adults",C908&lt;=45,"Mid_Adults",TRUE,"Seniors")</f>
        <v>Seniors</v>
      </c>
    </row>
    <row r="909" spans="1:12" x14ac:dyDescent="0.2">
      <c r="A909">
        <v>908</v>
      </c>
      <c r="B909" t="str">
        <f>_xlfn.XLOOKUP(A909,Instagram_Usage_Lifestyle_Mini_!A909,Instagram_Usage_Lifestyle_Mini_!B909,1)</f>
        <v>Instagram</v>
      </c>
      <c r="C909">
        <f>_xlfn.XLOOKUP($A:$A,Instagram_Usage_Lifestyle_Mini_!$A:$A,Instagram_Usage_Lifestyle_Mini_!$C:$K)</f>
        <v>46</v>
      </c>
      <c r="D909" t="str">
        <f>_xlfn.XLOOKUP($A:$A,Instagram_Usage_Lifestyle_Mini_!$A:$A,Instagram_Usage_Lifestyle_Mini_!$C:$K)</f>
        <v>Female</v>
      </c>
      <c r="E909" t="str">
        <f>_xlfn.XLOOKUP($A:$A,Instagram_Usage_Lifestyle_Mini_!$A:$A,Instagram_Usage_Lifestyle_Mini_!$C:$K)</f>
        <v>United_States</v>
      </c>
      <c r="F909" t="str">
        <f>_xlfn.XLOOKUP($A:$A,Instagram_Usage_Lifestyle_Mini_!$A:$A,Instagram_Usage_Lifestyle_Mini_!$C:$K)</f>
        <v>Suburban</v>
      </c>
      <c r="G909" t="str">
        <f>_xlfn.XLOOKUP($A:$A,Instagram_Usage_Lifestyle_Mini_!$A:$A,Instagram_Usage_Lifestyle_Mini_!$C:$K)</f>
        <v>Upper_middle</v>
      </c>
      <c r="H909" t="str">
        <f>_xlfn.XLOOKUP($A:$A,Instagram_Usage_Lifestyle_Mini_!$A:$A,Instagram_Usage_Lifestyle_Mini_!$C:$K)</f>
        <v>Full_time_employed</v>
      </c>
      <c r="I909" t="str">
        <f>_xlfn.XLOOKUP($A:$A,Instagram_Usage_Lifestyle_Mini_!$A:$A,Instagram_Usage_Lifestyle_Mini_!$C:$K)</f>
        <v>Masters_degree</v>
      </c>
      <c r="J909" t="str">
        <f>_xlfn.XLOOKUP($A:$A,Instagram_Usage_Lifestyle_Mini_!$A:$A,Instagram_Usage_Lifestyle_Mini_!$C:$K)</f>
        <v>Single</v>
      </c>
      <c r="K909" t="str">
        <f>_xlfn.XLOOKUP($A:$A,Instagram_Usage_Lifestyle_Mini_!$A:$A,Instagram_Usage_Lifestyle_Mini_!$C:$K)</f>
        <v>No</v>
      </c>
      <c r="L909" t="str" cm="1">
        <f t="array" ref="L909">_xlfn.IFS(C909&lt;18,"Under_18",C909&lt;=25,"Youth",C909&lt;=35,"Young_Adults",C909&lt;=45,"Mid_Adults",TRUE,"Seniors")</f>
        <v>Seniors</v>
      </c>
    </row>
    <row r="910" spans="1:12" x14ac:dyDescent="0.2">
      <c r="A910">
        <v>909</v>
      </c>
      <c r="B910" t="str">
        <f>_xlfn.XLOOKUP(A910,Instagram_Usage_Lifestyle_Mini_!A910,Instagram_Usage_Lifestyle_Mini_!B910,1)</f>
        <v>Instagram</v>
      </c>
      <c r="C910">
        <f>_xlfn.XLOOKUP($A:$A,Instagram_Usage_Lifestyle_Mini_!$A:$A,Instagram_Usage_Lifestyle_Mini_!$C:$K)</f>
        <v>30</v>
      </c>
      <c r="D910" t="str">
        <f>_xlfn.XLOOKUP($A:$A,Instagram_Usage_Lifestyle_Mini_!$A:$A,Instagram_Usage_Lifestyle_Mini_!$C:$K)</f>
        <v>Male</v>
      </c>
      <c r="E910" t="str">
        <f>_xlfn.XLOOKUP($A:$A,Instagram_Usage_Lifestyle_Mini_!$A:$A,Instagram_Usage_Lifestyle_Mini_!$C:$K)</f>
        <v>South_Korea</v>
      </c>
      <c r="F910" t="str">
        <f>_xlfn.XLOOKUP($A:$A,Instagram_Usage_Lifestyle_Mini_!$A:$A,Instagram_Usage_Lifestyle_Mini_!$C:$K)</f>
        <v>Urban</v>
      </c>
      <c r="G910" t="str">
        <f>_xlfn.XLOOKUP($A:$A,Instagram_Usage_Lifestyle_Mini_!$A:$A,Instagram_Usage_Lifestyle_Mini_!$C:$K)</f>
        <v>Upper_middle</v>
      </c>
      <c r="H910" t="str">
        <f>_xlfn.XLOOKUP($A:$A,Instagram_Usage_Lifestyle_Mini_!$A:$A,Instagram_Usage_Lifestyle_Mini_!$C:$K)</f>
        <v>Retired</v>
      </c>
      <c r="I910" t="str">
        <f>_xlfn.XLOOKUP($A:$A,Instagram_Usage_Lifestyle_Mini_!$A:$A,Instagram_Usage_Lifestyle_Mini_!$C:$K)</f>
        <v>High_school</v>
      </c>
      <c r="J910" t="str">
        <f>_xlfn.XLOOKUP($A:$A,Instagram_Usage_Lifestyle_Mini_!$A:$A,Instagram_Usage_Lifestyle_Mini_!$C:$K)</f>
        <v>Widowed</v>
      </c>
      <c r="K910" t="str">
        <f>_xlfn.XLOOKUP($A:$A,Instagram_Usage_Lifestyle_Mini_!$A:$A,Instagram_Usage_Lifestyle_Mini_!$C:$K)</f>
        <v>No</v>
      </c>
      <c r="L910" t="str" cm="1">
        <f t="array" ref="L910">_xlfn.IFS(C910&lt;18,"Under_18",C910&lt;=25,"Youth",C910&lt;=35,"Young_Adults",C910&lt;=45,"Mid_Adults",TRUE,"Seniors")</f>
        <v>Young_Adults</v>
      </c>
    </row>
    <row r="911" spans="1:12" x14ac:dyDescent="0.2">
      <c r="A911">
        <v>910</v>
      </c>
      <c r="B911" t="str">
        <f>_xlfn.XLOOKUP(A911,Instagram_Usage_Lifestyle_Mini_!A911,Instagram_Usage_Lifestyle_Mini_!B911,1)</f>
        <v>Instagram</v>
      </c>
      <c r="C911">
        <f>_xlfn.XLOOKUP($A:$A,Instagram_Usage_Lifestyle_Mini_!$A:$A,Instagram_Usage_Lifestyle_Mini_!$C:$K)</f>
        <v>42</v>
      </c>
      <c r="D911" t="str">
        <f>_xlfn.XLOOKUP($A:$A,Instagram_Usage_Lifestyle_Mini_!$A:$A,Instagram_Usage_Lifestyle_Mini_!$C:$K)</f>
        <v>Female</v>
      </c>
      <c r="E911" t="str">
        <f>_xlfn.XLOOKUP($A:$A,Instagram_Usage_Lifestyle_Mini_!$A:$A,Instagram_Usage_Lifestyle_Mini_!$C:$K)</f>
        <v>India</v>
      </c>
      <c r="F911" t="str">
        <f>_xlfn.XLOOKUP($A:$A,Instagram_Usage_Lifestyle_Mini_!$A:$A,Instagram_Usage_Lifestyle_Mini_!$C:$K)</f>
        <v>Urban</v>
      </c>
      <c r="G911" t="str">
        <f>_xlfn.XLOOKUP($A:$A,Instagram_Usage_Lifestyle_Mini_!$A:$A,Instagram_Usage_Lifestyle_Mini_!$C:$K)</f>
        <v>Lower_middle</v>
      </c>
      <c r="H911" t="str">
        <f>_xlfn.XLOOKUP($A:$A,Instagram_Usage_Lifestyle_Mini_!$A:$A,Instagram_Usage_Lifestyle_Mini_!$C:$K)</f>
        <v>Student</v>
      </c>
      <c r="I911" t="str">
        <f>_xlfn.XLOOKUP($A:$A,Instagram_Usage_Lifestyle_Mini_!$A:$A,Instagram_Usage_Lifestyle_Mini_!$C:$K)</f>
        <v>High_school</v>
      </c>
      <c r="J911" t="str">
        <f>_xlfn.XLOOKUP($A:$A,Instagram_Usage_Lifestyle_Mini_!$A:$A,Instagram_Usage_Lifestyle_Mini_!$C:$K)</f>
        <v>In_a_relationship</v>
      </c>
      <c r="K911" t="str">
        <f>_xlfn.XLOOKUP($A:$A,Instagram_Usage_Lifestyle_Mini_!$A:$A,Instagram_Usage_Lifestyle_Mini_!$C:$K)</f>
        <v>No</v>
      </c>
      <c r="L911" t="str" cm="1">
        <f t="array" ref="L911">_xlfn.IFS(C911&lt;18,"Under_18",C911&lt;=25,"Youth",C911&lt;=35,"Young_Adults",C911&lt;=45,"Mid_Adults",TRUE,"Seniors")</f>
        <v>Mid_Adults</v>
      </c>
    </row>
    <row r="912" spans="1:12" x14ac:dyDescent="0.2">
      <c r="A912">
        <v>911</v>
      </c>
      <c r="B912" t="str">
        <f>_xlfn.XLOOKUP(A912,Instagram_Usage_Lifestyle_Mini_!A912,Instagram_Usage_Lifestyle_Mini_!B912,1)</f>
        <v>Instagram</v>
      </c>
      <c r="C912">
        <f>_xlfn.XLOOKUP($A:$A,Instagram_Usage_Lifestyle_Mini_!$A:$A,Instagram_Usage_Lifestyle_Mini_!$C:$K)</f>
        <v>27</v>
      </c>
      <c r="D912" t="str">
        <f>_xlfn.XLOOKUP($A:$A,Instagram_Usage_Lifestyle_Mini_!$A:$A,Instagram_Usage_Lifestyle_Mini_!$C:$K)</f>
        <v>Female</v>
      </c>
      <c r="E912" t="str">
        <f>_xlfn.XLOOKUP($A:$A,Instagram_Usage_Lifestyle_Mini_!$A:$A,Instagram_Usage_Lifestyle_Mini_!$C:$K)</f>
        <v>United_States</v>
      </c>
      <c r="F912" t="str">
        <f>_xlfn.XLOOKUP($A:$A,Instagram_Usage_Lifestyle_Mini_!$A:$A,Instagram_Usage_Lifestyle_Mini_!$C:$K)</f>
        <v>Urban</v>
      </c>
      <c r="G912" t="str">
        <f>_xlfn.XLOOKUP($A:$A,Instagram_Usage_Lifestyle_Mini_!$A:$A,Instagram_Usage_Lifestyle_Mini_!$C:$K)</f>
        <v>Low</v>
      </c>
      <c r="H912" t="str">
        <f>_xlfn.XLOOKUP($A:$A,Instagram_Usage_Lifestyle_Mini_!$A:$A,Instagram_Usage_Lifestyle_Mini_!$C:$K)</f>
        <v>Part_time</v>
      </c>
      <c r="I912" t="str">
        <f>_xlfn.XLOOKUP($A:$A,Instagram_Usage_Lifestyle_Mini_!$A:$A,Instagram_Usage_Lifestyle_Mini_!$C:$K)</f>
        <v>PhD</v>
      </c>
      <c r="J912" t="str">
        <f>_xlfn.XLOOKUP($A:$A,Instagram_Usage_Lifestyle_Mini_!$A:$A,Instagram_Usage_Lifestyle_Mini_!$C:$K)</f>
        <v>In_a_relationship</v>
      </c>
      <c r="K912" t="str">
        <f>_xlfn.XLOOKUP($A:$A,Instagram_Usage_Lifestyle_Mini_!$A:$A,Instagram_Usage_Lifestyle_Mini_!$C:$K)</f>
        <v>No</v>
      </c>
      <c r="L912" t="str" cm="1">
        <f t="array" ref="L912">_xlfn.IFS(C912&lt;18,"Under_18",C912&lt;=25,"Youth",C912&lt;=35,"Young_Adults",C912&lt;=45,"Mid_Adults",TRUE,"Seniors")</f>
        <v>Young_Adults</v>
      </c>
    </row>
    <row r="913" spans="1:12" x14ac:dyDescent="0.2">
      <c r="A913">
        <v>912</v>
      </c>
      <c r="B913" t="str">
        <f>_xlfn.XLOOKUP(A913,Instagram_Usage_Lifestyle_Mini_!A913,Instagram_Usage_Lifestyle_Mini_!B913,1)</f>
        <v>Instagram</v>
      </c>
      <c r="C913">
        <f>_xlfn.XLOOKUP($A:$A,Instagram_Usage_Lifestyle_Mini_!$A:$A,Instagram_Usage_Lifestyle_Mini_!$C:$K)</f>
        <v>39</v>
      </c>
      <c r="D913" t="str">
        <f>_xlfn.XLOOKUP($A:$A,Instagram_Usage_Lifestyle_Mini_!$A:$A,Instagram_Usage_Lifestyle_Mini_!$C:$K)</f>
        <v>Female</v>
      </c>
      <c r="E913" t="str">
        <f>_xlfn.XLOOKUP($A:$A,Instagram_Usage_Lifestyle_Mini_!$A:$A,Instagram_Usage_Lifestyle_Mini_!$C:$K)</f>
        <v>Australia</v>
      </c>
      <c r="F913" t="str">
        <f>_xlfn.XLOOKUP($A:$A,Instagram_Usage_Lifestyle_Mini_!$A:$A,Instagram_Usage_Lifestyle_Mini_!$C:$K)</f>
        <v>Urban</v>
      </c>
      <c r="G913" t="str">
        <f>_xlfn.XLOOKUP($A:$A,Instagram_Usage_Lifestyle_Mini_!$A:$A,Instagram_Usage_Lifestyle_Mini_!$C:$K)</f>
        <v>Low</v>
      </c>
      <c r="H913" t="str">
        <f>_xlfn.XLOOKUP($A:$A,Instagram_Usage_Lifestyle_Mini_!$A:$A,Instagram_Usage_Lifestyle_Mini_!$C:$K)</f>
        <v>Full_time_employed</v>
      </c>
      <c r="I913" t="str">
        <f>_xlfn.XLOOKUP($A:$A,Instagram_Usage_Lifestyle_Mini_!$A:$A,Instagram_Usage_Lifestyle_Mini_!$C:$K)</f>
        <v>Some_college</v>
      </c>
      <c r="J913" t="str">
        <f>_xlfn.XLOOKUP($A:$A,Instagram_Usage_Lifestyle_Mini_!$A:$A,Instagram_Usage_Lifestyle_Mini_!$C:$K)</f>
        <v>Married</v>
      </c>
      <c r="K913" t="str">
        <f>_xlfn.XLOOKUP($A:$A,Instagram_Usage_Lifestyle_Mini_!$A:$A,Instagram_Usage_Lifestyle_Mini_!$C:$K)</f>
        <v>No</v>
      </c>
      <c r="L913" t="str" cm="1">
        <f t="array" ref="L913">_xlfn.IFS(C913&lt;18,"Under_18",C913&lt;=25,"Youth",C913&lt;=35,"Young_Adults",C913&lt;=45,"Mid_Adults",TRUE,"Seniors")</f>
        <v>Mid_Adults</v>
      </c>
    </row>
    <row r="914" spans="1:12" x14ac:dyDescent="0.2">
      <c r="A914">
        <v>913</v>
      </c>
      <c r="B914" t="str">
        <f>_xlfn.XLOOKUP(A914,Instagram_Usage_Lifestyle_Mini_!A914,Instagram_Usage_Lifestyle_Mini_!B914,1)</f>
        <v>Instagram</v>
      </c>
      <c r="C914">
        <f>_xlfn.XLOOKUP($A:$A,Instagram_Usage_Lifestyle_Mini_!$A:$A,Instagram_Usage_Lifestyle_Mini_!$C:$K)</f>
        <v>63</v>
      </c>
      <c r="D914" t="str">
        <f>_xlfn.XLOOKUP($A:$A,Instagram_Usage_Lifestyle_Mini_!$A:$A,Instagram_Usage_Lifestyle_Mini_!$C:$K)</f>
        <v>Female</v>
      </c>
      <c r="E914" t="str">
        <f>_xlfn.XLOOKUP($A:$A,Instagram_Usage_Lifestyle_Mini_!$A:$A,Instagram_Usage_Lifestyle_Mini_!$C:$K)</f>
        <v>United_States</v>
      </c>
      <c r="F914" t="str">
        <f>_xlfn.XLOOKUP($A:$A,Instagram_Usage_Lifestyle_Mini_!$A:$A,Instagram_Usage_Lifestyle_Mini_!$C:$K)</f>
        <v>Urban</v>
      </c>
      <c r="G914" t="str">
        <f>_xlfn.XLOOKUP($A:$A,Instagram_Usage_Lifestyle_Mini_!$A:$A,Instagram_Usage_Lifestyle_Mini_!$C:$K)</f>
        <v>Upper_middle</v>
      </c>
      <c r="H914" t="str">
        <f>_xlfn.XLOOKUP($A:$A,Instagram_Usage_Lifestyle_Mini_!$A:$A,Instagram_Usage_Lifestyle_Mini_!$C:$K)</f>
        <v>Unemployed</v>
      </c>
      <c r="I914" t="str">
        <f>_xlfn.XLOOKUP($A:$A,Instagram_Usage_Lifestyle_Mini_!$A:$A,Instagram_Usage_Lifestyle_Mini_!$C:$K)</f>
        <v>High_school</v>
      </c>
      <c r="J914" t="str">
        <f>_xlfn.XLOOKUP($A:$A,Instagram_Usage_Lifestyle_Mini_!$A:$A,Instagram_Usage_Lifestyle_Mini_!$C:$K)</f>
        <v>Divorced</v>
      </c>
      <c r="K914" t="str">
        <f>_xlfn.XLOOKUP($A:$A,Instagram_Usage_Lifestyle_Mini_!$A:$A,Instagram_Usage_Lifestyle_Mini_!$C:$K)</f>
        <v>No</v>
      </c>
      <c r="L914" t="str" cm="1">
        <f t="array" ref="L914">_xlfn.IFS(C914&lt;18,"Under_18",C914&lt;=25,"Youth",C914&lt;=35,"Young_Adults",C914&lt;=45,"Mid_Adults",TRUE,"Seniors")</f>
        <v>Seniors</v>
      </c>
    </row>
    <row r="915" spans="1:12" x14ac:dyDescent="0.2">
      <c r="A915">
        <v>914</v>
      </c>
      <c r="B915" t="str">
        <f>_xlfn.XLOOKUP(A915,Instagram_Usage_Lifestyle_Mini_!A915,Instagram_Usage_Lifestyle_Mini_!B915,1)</f>
        <v>Instagram</v>
      </c>
      <c r="C915">
        <f>_xlfn.XLOOKUP($A:$A,Instagram_Usage_Lifestyle_Mini_!$A:$A,Instagram_Usage_Lifestyle_Mini_!$C:$K)</f>
        <v>46</v>
      </c>
      <c r="D915" t="str">
        <f>_xlfn.XLOOKUP($A:$A,Instagram_Usage_Lifestyle_Mini_!$A:$A,Instagram_Usage_Lifestyle_Mini_!$C:$K)</f>
        <v>Male</v>
      </c>
      <c r="E915" t="str">
        <f>_xlfn.XLOOKUP($A:$A,Instagram_Usage_Lifestyle_Mini_!$A:$A,Instagram_Usage_Lifestyle_Mini_!$C:$K)</f>
        <v>Other</v>
      </c>
      <c r="F915" t="str">
        <f>_xlfn.XLOOKUP($A:$A,Instagram_Usage_Lifestyle_Mini_!$A:$A,Instagram_Usage_Lifestyle_Mini_!$C:$K)</f>
        <v>Urban</v>
      </c>
      <c r="G915" t="str">
        <f>_xlfn.XLOOKUP($A:$A,Instagram_Usage_Lifestyle_Mini_!$A:$A,Instagram_Usage_Lifestyle_Mini_!$C:$K)</f>
        <v>Middle</v>
      </c>
      <c r="H915" t="str">
        <f>_xlfn.XLOOKUP($A:$A,Instagram_Usage_Lifestyle_Mini_!$A:$A,Instagram_Usage_Lifestyle_Mini_!$C:$K)</f>
        <v>Student</v>
      </c>
      <c r="I915" t="str">
        <f>_xlfn.XLOOKUP($A:$A,Instagram_Usage_Lifestyle_Mini_!$A:$A,Instagram_Usage_Lifestyle_Mini_!$C:$K)</f>
        <v>High_school</v>
      </c>
      <c r="J915" t="str">
        <f>_xlfn.XLOOKUP($A:$A,Instagram_Usage_Lifestyle_Mini_!$A:$A,Instagram_Usage_Lifestyle_Mini_!$C:$K)</f>
        <v>Divorced</v>
      </c>
      <c r="K915" t="str">
        <f>_xlfn.XLOOKUP($A:$A,Instagram_Usage_Lifestyle_Mini_!$A:$A,Instagram_Usage_Lifestyle_Mini_!$C:$K)</f>
        <v>No</v>
      </c>
      <c r="L915" t="str" cm="1">
        <f t="array" ref="L915">_xlfn.IFS(C915&lt;18,"Under_18",C915&lt;=25,"Youth",C915&lt;=35,"Young_Adults",C915&lt;=45,"Mid_Adults",TRUE,"Seniors")</f>
        <v>Seniors</v>
      </c>
    </row>
    <row r="916" spans="1:12" x14ac:dyDescent="0.2">
      <c r="A916">
        <v>915</v>
      </c>
      <c r="B916" t="str">
        <f>_xlfn.XLOOKUP(A916,Instagram_Usage_Lifestyle_Mini_!A916,Instagram_Usage_Lifestyle_Mini_!B916,1)</f>
        <v>Instagram</v>
      </c>
      <c r="C916">
        <f>_xlfn.XLOOKUP($A:$A,Instagram_Usage_Lifestyle_Mini_!$A:$A,Instagram_Usage_Lifestyle_Mini_!$C:$K)</f>
        <v>64</v>
      </c>
      <c r="D916" t="str">
        <f>_xlfn.XLOOKUP($A:$A,Instagram_Usage_Lifestyle_Mini_!$A:$A,Instagram_Usage_Lifestyle_Mini_!$C:$K)</f>
        <v>Male</v>
      </c>
      <c r="E916" t="str">
        <f>_xlfn.XLOOKUP($A:$A,Instagram_Usage_Lifestyle_Mini_!$A:$A,Instagram_Usage_Lifestyle_Mini_!$C:$K)</f>
        <v>United_States</v>
      </c>
      <c r="F916" t="str">
        <f>_xlfn.XLOOKUP($A:$A,Instagram_Usage_Lifestyle_Mini_!$A:$A,Instagram_Usage_Lifestyle_Mini_!$C:$K)</f>
        <v>Urban</v>
      </c>
      <c r="G916" t="str">
        <f>_xlfn.XLOOKUP($A:$A,Instagram_Usage_Lifestyle_Mini_!$A:$A,Instagram_Usage_Lifestyle_Mini_!$C:$K)</f>
        <v>High</v>
      </c>
      <c r="H916" t="str">
        <f>_xlfn.XLOOKUP($A:$A,Instagram_Usage_Lifestyle_Mini_!$A:$A,Instagram_Usage_Lifestyle_Mini_!$C:$K)</f>
        <v>Part_time</v>
      </c>
      <c r="I916" t="str">
        <f>_xlfn.XLOOKUP($A:$A,Instagram_Usage_Lifestyle_Mini_!$A:$A,Instagram_Usage_Lifestyle_Mini_!$C:$K)</f>
        <v>Bachelors_degree</v>
      </c>
      <c r="J916" t="str">
        <f>_xlfn.XLOOKUP($A:$A,Instagram_Usage_Lifestyle_Mini_!$A:$A,Instagram_Usage_Lifestyle_Mini_!$C:$K)</f>
        <v>Single</v>
      </c>
      <c r="K916" t="str">
        <f>_xlfn.XLOOKUP($A:$A,Instagram_Usage_Lifestyle_Mini_!$A:$A,Instagram_Usage_Lifestyle_Mini_!$C:$K)</f>
        <v>No</v>
      </c>
      <c r="L916" t="str" cm="1">
        <f t="array" ref="L916">_xlfn.IFS(C916&lt;18,"Under_18",C916&lt;=25,"Youth",C916&lt;=35,"Young_Adults",C916&lt;=45,"Mid_Adults",TRUE,"Seniors")</f>
        <v>Seniors</v>
      </c>
    </row>
    <row r="917" spans="1:12" x14ac:dyDescent="0.2">
      <c r="A917">
        <v>916</v>
      </c>
      <c r="B917" t="str">
        <f>_xlfn.XLOOKUP(A917,Instagram_Usage_Lifestyle_Mini_!A917,Instagram_Usage_Lifestyle_Mini_!B917,1)</f>
        <v>Instagram</v>
      </c>
      <c r="C917">
        <f>_xlfn.XLOOKUP($A:$A,Instagram_Usage_Lifestyle_Mini_!$A:$A,Instagram_Usage_Lifestyle_Mini_!$C:$K)</f>
        <v>50</v>
      </c>
      <c r="D917" t="str">
        <f>_xlfn.XLOOKUP($A:$A,Instagram_Usage_Lifestyle_Mini_!$A:$A,Instagram_Usage_Lifestyle_Mini_!$C:$K)</f>
        <v>Male</v>
      </c>
      <c r="E917" t="str">
        <f>_xlfn.XLOOKUP($A:$A,Instagram_Usage_Lifestyle_Mini_!$A:$A,Instagram_Usage_Lifestyle_Mini_!$C:$K)</f>
        <v>South_Korea</v>
      </c>
      <c r="F917" t="str">
        <f>_xlfn.XLOOKUP($A:$A,Instagram_Usage_Lifestyle_Mini_!$A:$A,Instagram_Usage_Lifestyle_Mini_!$C:$K)</f>
        <v>Urban</v>
      </c>
      <c r="G917" t="str">
        <f>_xlfn.XLOOKUP($A:$A,Instagram_Usage_Lifestyle_Mini_!$A:$A,Instagram_Usage_Lifestyle_Mini_!$C:$K)</f>
        <v>Lower_middle</v>
      </c>
      <c r="H917" t="str">
        <f>_xlfn.XLOOKUP($A:$A,Instagram_Usage_Lifestyle_Mini_!$A:$A,Instagram_Usage_Lifestyle_Mini_!$C:$K)</f>
        <v>Full_time_employed</v>
      </c>
      <c r="I917" t="str">
        <f>_xlfn.XLOOKUP($A:$A,Instagram_Usage_Lifestyle_Mini_!$A:$A,Instagram_Usage_Lifestyle_Mini_!$C:$K)</f>
        <v>Bachelors_degree</v>
      </c>
      <c r="J917" t="str">
        <f>_xlfn.XLOOKUP($A:$A,Instagram_Usage_Lifestyle_Mini_!$A:$A,Instagram_Usage_Lifestyle_Mini_!$C:$K)</f>
        <v>Single</v>
      </c>
      <c r="K917" t="str">
        <f>_xlfn.XLOOKUP($A:$A,Instagram_Usage_Lifestyle_Mini_!$A:$A,Instagram_Usage_Lifestyle_Mini_!$C:$K)</f>
        <v>No</v>
      </c>
      <c r="L917" t="str" cm="1">
        <f t="array" ref="L917">_xlfn.IFS(C917&lt;18,"Under_18",C917&lt;=25,"Youth",C917&lt;=35,"Young_Adults",C917&lt;=45,"Mid_Adults",TRUE,"Seniors")</f>
        <v>Seniors</v>
      </c>
    </row>
    <row r="918" spans="1:12" x14ac:dyDescent="0.2">
      <c r="A918">
        <v>917</v>
      </c>
      <c r="B918" t="str">
        <f>_xlfn.XLOOKUP(A918,Instagram_Usage_Lifestyle_Mini_!A918,Instagram_Usage_Lifestyle_Mini_!B918,1)</f>
        <v>Instagram</v>
      </c>
      <c r="C918">
        <f>_xlfn.XLOOKUP($A:$A,Instagram_Usage_Lifestyle_Mini_!$A:$A,Instagram_Usage_Lifestyle_Mini_!$C:$K)</f>
        <v>45</v>
      </c>
      <c r="D918" t="str">
        <f>_xlfn.XLOOKUP($A:$A,Instagram_Usage_Lifestyle_Mini_!$A:$A,Instagram_Usage_Lifestyle_Mini_!$C:$K)</f>
        <v>Female</v>
      </c>
      <c r="E918" t="str">
        <f>_xlfn.XLOOKUP($A:$A,Instagram_Usage_Lifestyle_Mini_!$A:$A,Instagram_Usage_Lifestyle_Mini_!$C:$K)</f>
        <v>Other</v>
      </c>
      <c r="F918" t="str">
        <f>_xlfn.XLOOKUP($A:$A,Instagram_Usage_Lifestyle_Mini_!$A:$A,Instagram_Usage_Lifestyle_Mini_!$C:$K)</f>
        <v>Suburban</v>
      </c>
      <c r="G918" t="str">
        <f>_xlfn.XLOOKUP($A:$A,Instagram_Usage_Lifestyle_Mini_!$A:$A,Instagram_Usage_Lifestyle_Mini_!$C:$K)</f>
        <v>Upper_middle</v>
      </c>
      <c r="H918" t="str">
        <f>_xlfn.XLOOKUP($A:$A,Instagram_Usage_Lifestyle_Mini_!$A:$A,Instagram_Usage_Lifestyle_Mini_!$C:$K)</f>
        <v>Full_time_employed</v>
      </c>
      <c r="I918" t="str">
        <f>_xlfn.XLOOKUP($A:$A,Instagram_Usage_Lifestyle_Mini_!$A:$A,Instagram_Usage_Lifestyle_Mini_!$C:$K)</f>
        <v>Masters_degree</v>
      </c>
      <c r="J918" t="str">
        <f>_xlfn.XLOOKUP($A:$A,Instagram_Usage_Lifestyle_Mini_!$A:$A,Instagram_Usage_Lifestyle_Mini_!$C:$K)</f>
        <v>In_a_relationship</v>
      </c>
      <c r="K918" t="str">
        <f>_xlfn.XLOOKUP($A:$A,Instagram_Usage_Lifestyle_Mini_!$A:$A,Instagram_Usage_Lifestyle_Mini_!$C:$K)</f>
        <v>No</v>
      </c>
      <c r="L918" t="str" cm="1">
        <f t="array" ref="L918">_xlfn.IFS(C918&lt;18,"Under_18",C918&lt;=25,"Youth",C918&lt;=35,"Young_Adults",C918&lt;=45,"Mid_Adults",TRUE,"Seniors")</f>
        <v>Mid_Adults</v>
      </c>
    </row>
    <row r="919" spans="1:12" x14ac:dyDescent="0.2">
      <c r="A919">
        <v>918</v>
      </c>
      <c r="B919" t="str">
        <f>_xlfn.XLOOKUP(A919,Instagram_Usage_Lifestyle_Mini_!A919,Instagram_Usage_Lifestyle_Mini_!B919,1)</f>
        <v>Instagram</v>
      </c>
      <c r="C919">
        <f>_xlfn.XLOOKUP($A:$A,Instagram_Usage_Lifestyle_Mini_!$A:$A,Instagram_Usage_Lifestyle_Mini_!$C:$K)</f>
        <v>36</v>
      </c>
      <c r="D919" t="str">
        <f>_xlfn.XLOOKUP($A:$A,Instagram_Usage_Lifestyle_Mini_!$A:$A,Instagram_Usage_Lifestyle_Mini_!$C:$K)</f>
        <v>Male</v>
      </c>
      <c r="E919" t="str">
        <f>_xlfn.XLOOKUP($A:$A,Instagram_Usage_Lifestyle_Mini_!$A:$A,Instagram_Usage_Lifestyle_Mini_!$C:$K)</f>
        <v>India</v>
      </c>
      <c r="F919" t="str">
        <f>_xlfn.XLOOKUP($A:$A,Instagram_Usage_Lifestyle_Mini_!$A:$A,Instagram_Usage_Lifestyle_Mini_!$C:$K)</f>
        <v>Urban</v>
      </c>
      <c r="G919" t="str">
        <f>_xlfn.XLOOKUP($A:$A,Instagram_Usage_Lifestyle_Mini_!$A:$A,Instagram_Usage_Lifestyle_Mini_!$C:$K)</f>
        <v>Low</v>
      </c>
      <c r="H919" t="str">
        <f>_xlfn.XLOOKUP($A:$A,Instagram_Usage_Lifestyle_Mini_!$A:$A,Instagram_Usage_Lifestyle_Mini_!$C:$K)</f>
        <v>Unemployed</v>
      </c>
      <c r="I919" t="str">
        <f>_xlfn.XLOOKUP($A:$A,Instagram_Usage_Lifestyle_Mini_!$A:$A,Instagram_Usage_Lifestyle_Mini_!$C:$K)</f>
        <v>High_school</v>
      </c>
      <c r="J919" t="str">
        <f>_xlfn.XLOOKUP($A:$A,Instagram_Usage_Lifestyle_Mini_!$A:$A,Instagram_Usage_Lifestyle_Mini_!$C:$K)</f>
        <v>In_a_relationship</v>
      </c>
      <c r="K919" t="str">
        <f>_xlfn.XLOOKUP($A:$A,Instagram_Usage_Lifestyle_Mini_!$A:$A,Instagram_Usage_Lifestyle_Mini_!$C:$K)</f>
        <v>No</v>
      </c>
      <c r="L919" t="str" cm="1">
        <f t="array" ref="L919">_xlfn.IFS(C919&lt;18,"Under_18",C919&lt;=25,"Youth",C919&lt;=35,"Young_Adults",C919&lt;=45,"Mid_Adults",TRUE,"Seniors")</f>
        <v>Mid_Adults</v>
      </c>
    </row>
    <row r="920" spans="1:12" x14ac:dyDescent="0.2">
      <c r="A920">
        <v>919</v>
      </c>
      <c r="B920" t="str">
        <f>_xlfn.XLOOKUP(A920,Instagram_Usage_Lifestyle_Mini_!A920,Instagram_Usage_Lifestyle_Mini_!B920,1)</f>
        <v>Instagram</v>
      </c>
      <c r="C920">
        <f>_xlfn.XLOOKUP($A:$A,Instagram_Usage_Lifestyle_Mini_!$A:$A,Instagram_Usage_Lifestyle_Mini_!$C:$K)</f>
        <v>27</v>
      </c>
      <c r="D920" t="str">
        <f>_xlfn.XLOOKUP($A:$A,Instagram_Usage_Lifestyle_Mini_!$A:$A,Instagram_Usage_Lifestyle_Mini_!$C:$K)</f>
        <v>Female</v>
      </c>
      <c r="E920" t="str">
        <f>_xlfn.XLOOKUP($A:$A,Instagram_Usage_Lifestyle_Mini_!$A:$A,Instagram_Usage_Lifestyle_Mini_!$C:$K)</f>
        <v>Brazil</v>
      </c>
      <c r="F920" t="str">
        <f>_xlfn.XLOOKUP($A:$A,Instagram_Usage_Lifestyle_Mini_!$A:$A,Instagram_Usage_Lifestyle_Mini_!$C:$K)</f>
        <v>Suburban</v>
      </c>
      <c r="G920" t="str">
        <f>_xlfn.XLOOKUP($A:$A,Instagram_Usage_Lifestyle_Mini_!$A:$A,Instagram_Usage_Lifestyle_Mini_!$C:$K)</f>
        <v>High</v>
      </c>
      <c r="H920" t="str">
        <f>_xlfn.XLOOKUP($A:$A,Instagram_Usage_Lifestyle_Mini_!$A:$A,Instagram_Usage_Lifestyle_Mini_!$C:$K)</f>
        <v>Freelancer</v>
      </c>
      <c r="I920" t="str">
        <f>_xlfn.XLOOKUP($A:$A,Instagram_Usage_Lifestyle_Mini_!$A:$A,Instagram_Usage_Lifestyle_Mini_!$C:$K)</f>
        <v>Masters_degree</v>
      </c>
      <c r="J920" t="str">
        <f>_xlfn.XLOOKUP($A:$A,Instagram_Usage_Lifestyle_Mini_!$A:$A,Instagram_Usage_Lifestyle_Mini_!$C:$K)</f>
        <v>Single</v>
      </c>
      <c r="K920" t="str">
        <f>_xlfn.XLOOKUP($A:$A,Instagram_Usage_Lifestyle_Mini_!$A:$A,Instagram_Usage_Lifestyle_Mini_!$C:$K)</f>
        <v>No</v>
      </c>
      <c r="L920" t="str" cm="1">
        <f t="array" ref="L920">_xlfn.IFS(C920&lt;18,"Under_18",C920&lt;=25,"Youth",C920&lt;=35,"Young_Adults",C920&lt;=45,"Mid_Adults",TRUE,"Seniors")</f>
        <v>Young_Adults</v>
      </c>
    </row>
    <row r="921" spans="1:12" x14ac:dyDescent="0.2">
      <c r="A921">
        <v>920</v>
      </c>
      <c r="B921" t="str">
        <f>_xlfn.XLOOKUP(A921,Instagram_Usage_Lifestyle_Mini_!A921,Instagram_Usage_Lifestyle_Mini_!B921,1)</f>
        <v>Instagram</v>
      </c>
      <c r="C921">
        <f>_xlfn.XLOOKUP($A:$A,Instagram_Usage_Lifestyle_Mini_!$A:$A,Instagram_Usage_Lifestyle_Mini_!$C:$K)</f>
        <v>42</v>
      </c>
      <c r="D921" t="str">
        <f>_xlfn.XLOOKUP($A:$A,Instagram_Usage_Lifestyle_Mini_!$A:$A,Instagram_Usage_Lifestyle_Mini_!$C:$K)</f>
        <v>Female</v>
      </c>
      <c r="E921" t="str">
        <f>_xlfn.XLOOKUP($A:$A,Instagram_Usage_Lifestyle_Mini_!$A:$A,Instagram_Usage_Lifestyle_Mini_!$C:$K)</f>
        <v>United_States</v>
      </c>
      <c r="F921" t="str">
        <f>_xlfn.XLOOKUP($A:$A,Instagram_Usage_Lifestyle_Mini_!$A:$A,Instagram_Usage_Lifestyle_Mini_!$C:$K)</f>
        <v>Urban</v>
      </c>
      <c r="G921" t="str">
        <f>_xlfn.XLOOKUP($A:$A,Instagram_Usage_Lifestyle_Mini_!$A:$A,Instagram_Usage_Lifestyle_Mini_!$C:$K)</f>
        <v>Lower_middle</v>
      </c>
      <c r="H921" t="str">
        <f>_xlfn.XLOOKUP($A:$A,Instagram_Usage_Lifestyle_Mini_!$A:$A,Instagram_Usage_Lifestyle_Mini_!$C:$K)</f>
        <v>Full_time_employed</v>
      </c>
      <c r="I921" t="str">
        <f>_xlfn.XLOOKUP($A:$A,Instagram_Usage_Lifestyle_Mini_!$A:$A,Instagram_Usage_Lifestyle_Mini_!$C:$K)</f>
        <v>Masters_degree</v>
      </c>
      <c r="J921" t="str">
        <f>_xlfn.XLOOKUP($A:$A,Instagram_Usage_Lifestyle_Mini_!$A:$A,Instagram_Usage_Lifestyle_Mini_!$C:$K)</f>
        <v>In_a_relationship</v>
      </c>
      <c r="K921" t="str">
        <f>_xlfn.XLOOKUP($A:$A,Instagram_Usage_Lifestyle_Mini_!$A:$A,Instagram_Usage_Lifestyle_Mini_!$C:$K)</f>
        <v>Yes</v>
      </c>
      <c r="L921" t="str" cm="1">
        <f t="array" ref="L921">_xlfn.IFS(C921&lt;18,"Under_18",C921&lt;=25,"Youth",C921&lt;=35,"Young_Adults",C921&lt;=45,"Mid_Adults",TRUE,"Seniors")</f>
        <v>Mid_Adults</v>
      </c>
    </row>
    <row r="922" spans="1:12" x14ac:dyDescent="0.2">
      <c r="A922">
        <v>921</v>
      </c>
      <c r="B922" t="str">
        <f>_xlfn.XLOOKUP(A922,Instagram_Usage_Lifestyle_Mini_!A922,Instagram_Usage_Lifestyle_Mini_!B922,1)</f>
        <v>Instagram</v>
      </c>
      <c r="C922">
        <f>_xlfn.XLOOKUP($A:$A,Instagram_Usage_Lifestyle_Mini_!$A:$A,Instagram_Usage_Lifestyle_Mini_!$C:$K)</f>
        <v>54</v>
      </c>
      <c r="D922" t="str">
        <f>_xlfn.XLOOKUP($A:$A,Instagram_Usage_Lifestyle_Mini_!$A:$A,Instagram_Usage_Lifestyle_Mini_!$C:$K)</f>
        <v>Female</v>
      </c>
      <c r="E922" t="str">
        <f>_xlfn.XLOOKUP($A:$A,Instagram_Usage_Lifestyle_Mini_!$A:$A,Instagram_Usage_Lifestyle_Mini_!$C:$K)</f>
        <v>India</v>
      </c>
      <c r="F922" t="str">
        <f>_xlfn.XLOOKUP($A:$A,Instagram_Usage_Lifestyle_Mini_!$A:$A,Instagram_Usage_Lifestyle_Mini_!$C:$K)</f>
        <v>Urban</v>
      </c>
      <c r="G922" t="str">
        <f>_xlfn.XLOOKUP($A:$A,Instagram_Usage_Lifestyle_Mini_!$A:$A,Instagram_Usage_Lifestyle_Mini_!$C:$K)</f>
        <v>Upper_middle</v>
      </c>
      <c r="H922" t="str">
        <f>_xlfn.XLOOKUP($A:$A,Instagram_Usage_Lifestyle_Mini_!$A:$A,Instagram_Usage_Lifestyle_Mini_!$C:$K)</f>
        <v>Full_time_employed</v>
      </c>
      <c r="I922" t="str">
        <f>_xlfn.XLOOKUP($A:$A,Instagram_Usage_Lifestyle_Mini_!$A:$A,Instagram_Usage_Lifestyle_Mini_!$C:$K)</f>
        <v>Bachelors_degree</v>
      </c>
      <c r="J922" t="str">
        <f>_xlfn.XLOOKUP($A:$A,Instagram_Usage_Lifestyle_Mini_!$A:$A,Instagram_Usage_Lifestyle_Mini_!$C:$K)</f>
        <v>In_a_relationship</v>
      </c>
      <c r="K922" t="str">
        <f>_xlfn.XLOOKUP($A:$A,Instagram_Usage_Lifestyle_Mini_!$A:$A,Instagram_Usage_Lifestyle_Mini_!$C:$K)</f>
        <v>No</v>
      </c>
      <c r="L922" t="str" cm="1">
        <f t="array" ref="L922">_xlfn.IFS(C922&lt;18,"Under_18",C922&lt;=25,"Youth",C922&lt;=35,"Young_Adults",C922&lt;=45,"Mid_Adults",TRUE,"Seniors")</f>
        <v>Seniors</v>
      </c>
    </row>
    <row r="923" spans="1:12" x14ac:dyDescent="0.2">
      <c r="A923">
        <v>922</v>
      </c>
      <c r="B923" t="str">
        <f>_xlfn.XLOOKUP(A923,Instagram_Usage_Lifestyle_Mini_!A923,Instagram_Usage_Lifestyle_Mini_!B923,1)</f>
        <v>Instagram</v>
      </c>
      <c r="C923">
        <f>_xlfn.XLOOKUP($A:$A,Instagram_Usage_Lifestyle_Mini_!$A:$A,Instagram_Usage_Lifestyle_Mini_!$C:$K)</f>
        <v>63</v>
      </c>
      <c r="D923" t="str">
        <f>_xlfn.XLOOKUP($A:$A,Instagram_Usage_Lifestyle_Mini_!$A:$A,Instagram_Usage_Lifestyle_Mini_!$C:$K)</f>
        <v>Male</v>
      </c>
      <c r="E923" t="str">
        <f>_xlfn.XLOOKUP($A:$A,Instagram_Usage_Lifestyle_Mini_!$A:$A,Instagram_Usage_Lifestyle_Mini_!$C:$K)</f>
        <v>Canada</v>
      </c>
      <c r="F923" t="str">
        <f>_xlfn.XLOOKUP($A:$A,Instagram_Usage_Lifestyle_Mini_!$A:$A,Instagram_Usage_Lifestyle_Mini_!$C:$K)</f>
        <v>Urban</v>
      </c>
      <c r="G923" t="str">
        <f>_xlfn.XLOOKUP($A:$A,Instagram_Usage_Lifestyle_Mini_!$A:$A,Instagram_Usage_Lifestyle_Mini_!$C:$K)</f>
        <v>Middle</v>
      </c>
      <c r="H923" t="str">
        <f>_xlfn.XLOOKUP($A:$A,Instagram_Usage_Lifestyle_Mini_!$A:$A,Instagram_Usage_Lifestyle_Mini_!$C:$K)</f>
        <v>Unemployed</v>
      </c>
      <c r="I923" t="str">
        <f>_xlfn.XLOOKUP($A:$A,Instagram_Usage_Lifestyle_Mini_!$A:$A,Instagram_Usage_Lifestyle_Mini_!$C:$K)</f>
        <v>Bachelors_degree</v>
      </c>
      <c r="J923" t="str">
        <f>_xlfn.XLOOKUP($A:$A,Instagram_Usage_Lifestyle_Mini_!$A:$A,Instagram_Usage_Lifestyle_Mini_!$C:$K)</f>
        <v>Married</v>
      </c>
      <c r="K923" t="str">
        <f>_xlfn.XLOOKUP($A:$A,Instagram_Usage_Lifestyle_Mini_!$A:$A,Instagram_Usage_Lifestyle_Mini_!$C:$K)</f>
        <v>No</v>
      </c>
      <c r="L923" t="str" cm="1">
        <f t="array" ref="L923">_xlfn.IFS(C923&lt;18,"Under_18",C923&lt;=25,"Youth",C923&lt;=35,"Young_Adults",C923&lt;=45,"Mid_Adults",TRUE,"Seniors")</f>
        <v>Seniors</v>
      </c>
    </row>
    <row r="924" spans="1:12" x14ac:dyDescent="0.2">
      <c r="A924">
        <v>923</v>
      </c>
      <c r="B924" t="str">
        <f>_xlfn.XLOOKUP(A924,Instagram_Usage_Lifestyle_Mini_!A924,Instagram_Usage_Lifestyle_Mini_!B924,1)</f>
        <v>Instagram</v>
      </c>
      <c r="C924">
        <f>_xlfn.XLOOKUP($A:$A,Instagram_Usage_Lifestyle_Mini_!$A:$A,Instagram_Usage_Lifestyle_Mini_!$C:$K)</f>
        <v>29</v>
      </c>
      <c r="D924" t="str">
        <f>_xlfn.XLOOKUP($A:$A,Instagram_Usage_Lifestyle_Mini_!$A:$A,Instagram_Usage_Lifestyle_Mini_!$C:$K)</f>
        <v>Male</v>
      </c>
      <c r="E924" t="str">
        <f>_xlfn.XLOOKUP($A:$A,Instagram_Usage_Lifestyle_Mini_!$A:$A,Instagram_Usage_Lifestyle_Mini_!$C:$K)</f>
        <v>United_States</v>
      </c>
      <c r="F924" t="str">
        <f>_xlfn.XLOOKUP($A:$A,Instagram_Usage_Lifestyle_Mini_!$A:$A,Instagram_Usage_Lifestyle_Mini_!$C:$K)</f>
        <v>Urban</v>
      </c>
      <c r="G924" t="str">
        <f>_xlfn.XLOOKUP($A:$A,Instagram_Usage_Lifestyle_Mini_!$A:$A,Instagram_Usage_Lifestyle_Mini_!$C:$K)</f>
        <v>Upper_middle</v>
      </c>
      <c r="H924" t="str">
        <f>_xlfn.XLOOKUP($A:$A,Instagram_Usage_Lifestyle_Mini_!$A:$A,Instagram_Usage_Lifestyle_Mini_!$C:$K)</f>
        <v>Part_time</v>
      </c>
      <c r="I924" t="str">
        <f>_xlfn.XLOOKUP($A:$A,Instagram_Usage_Lifestyle_Mini_!$A:$A,Instagram_Usage_Lifestyle_Mini_!$C:$K)</f>
        <v>Some_college</v>
      </c>
      <c r="J924" t="str">
        <f>_xlfn.XLOOKUP($A:$A,Instagram_Usage_Lifestyle_Mini_!$A:$A,Instagram_Usage_Lifestyle_Mini_!$C:$K)</f>
        <v>Married</v>
      </c>
      <c r="K924" t="str">
        <f>_xlfn.XLOOKUP($A:$A,Instagram_Usage_Lifestyle_Mini_!$A:$A,Instagram_Usage_Lifestyle_Mini_!$C:$K)</f>
        <v>No</v>
      </c>
      <c r="L924" t="str" cm="1">
        <f t="array" ref="L924">_xlfn.IFS(C924&lt;18,"Under_18",C924&lt;=25,"Youth",C924&lt;=35,"Young_Adults",C924&lt;=45,"Mid_Adults",TRUE,"Seniors")</f>
        <v>Young_Adults</v>
      </c>
    </row>
    <row r="925" spans="1:12" x14ac:dyDescent="0.2">
      <c r="A925">
        <v>924</v>
      </c>
      <c r="B925" t="str">
        <f>_xlfn.XLOOKUP(A925,Instagram_Usage_Lifestyle_Mini_!A925,Instagram_Usage_Lifestyle_Mini_!B925,1)</f>
        <v>Instagram</v>
      </c>
      <c r="C925">
        <f>_xlfn.XLOOKUP($A:$A,Instagram_Usage_Lifestyle_Mini_!$A:$A,Instagram_Usage_Lifestyle_Mini_!$C:$K)</f>
        <v>17</v>
      </c>
      <c r="D925" t="str">
        <f>_xlfn.XLOOKUP($A:$A,Instagram_Usage_Lifestyle_Mini_!$A:$A,Instagram_Usage_Lifestyle_Mini_!$C:$K)</f>
        <v>Male</v>
      </c>
      <c r="E925" t="str">
        <f>_xlfn.XLOOKUP($A:$A,Instagram_Usage_Lifestyle_Mini_!$A:$A,Instagram_Usage_Lifestyle_Mini_!$C:$K)</f>
        <v>India</v>
      </c>
      <c r="F925" t="str">
        <f>_xlfn.XLOOKUP($A:$A,Instagram_Usage_Lifestyle_Mini_!$A:$A,Instagram_Usage_Lifestyle_Mini_!$C:$K)</f>
        <v>Suburban</v>
      </c>
      <c r="G925" t="str">
        <f>_xlfn.XLOOKUP($A:$A,Instagram_Usage_Lifestyle_Mini_!$A:$A,Instagram_Usage_Lifestyle_Mini_!$C:$K)</f>
        <v>Middle</v>
      </c>
      <c r="H925" t="str">
        <f>_xlfn.XLOOKUP($A:$A,Instagram_Usage_Lifestyle_Mini_!$A:$A,Instagram_Usage_Lifestyle_Mini_!$C:$K)</f>
        <v>Part_time</v>
      </c>
      <c r="I925" t="str">
        <f>_xlfn.XLOOKUP($A:$A,Instagram_Usage_Lifestyle_Mini_!$A:$A,Instagram_Usage_Lifestyle_Mini_!$C:$K)</f>
        <v>High_school</v>
      </c>
      <c r="J925" t="str">
        <f>_xlfn.XLOOKUP($A:$A,Instagram_Usage_Lifestyle_Mini_!$A:$A,Instagram_Usage_Lifestyle_Mini_!$C:$K)</f>
        <v>In_a_relationship</v>
      </c>
      <c r="K925" t="str">
        <f>_xlfn.XLOOKUP($A:$A,Instagram_Usage_Lifestyle_Mini_!$A:$A,Instagram_Usage_Lifestyle_Mini_!$C:$K)</f>
        <v>No</v>
      </c>
      <c r="L925" t="str" cm="1">
        <f t="array" ref="L925">_xlfn.IFS(C925&lt;18,"Under_18",C925&lt;=25,"Youth",C925&lt;=35,"Young_Adults",C925&lt;=45,"Mid_Adults",TRUE,"Seniors")</f>
        <v>Under_18</v>
      </c>
    </row>
    <row r="926" spans="1:12" x14ac:dyDescent="0.2">
      <c r="A926">
        <v>925</v>
      </c>
      <c r="B926" t="str">
        <f>_xlfn.XLOOKUP(A926,Instagram_Usage_Lifestyle_Mini_!A926,Instagram_Usage_Lifestyle_Mini_!B926,1)</f>
        <v>Instagram</v>
      </c>
      <c r="C926">
        <f>_xlfn.XLOOKUP($A:$A,Instagram_Usage_Lifestyle_Mini_!$A:$A,Instagram_Usage_Lifestyle_Mini_!$C:$K)</f>
        <v>41</v>
      </c>
      <c r="D926" t="str">
        <f>_xlfn.XLOOKUP($A:$A,Instagram_Usage_Lifestyle_Mini_!$A:$A,Instagram_Usage_Lifestyle_Mini_!$C:$K)</f>
        <v>Female</v>
      </c>
      <c r="E926" t="str">
        <f>_xlfn.XLOOKUP($A:$A,Instagram_Usage_Lifestyle_Mini_!$A:$A,Instagram_Usage_Lifestyle_Mini_!$C:$K)</f>
        <v>Germany</v>
      </c>
      <c r="F926" t="str">
        <f>_xlfn.XLOOKUP($A:$A,Instagram_Usage_Lifestyle_Mini_!$A:$A,Instagram_Usage_Lifestyle_Mini_!$C:$K)</f>
        <v>Suburban</v>
      </c>
      <c r="G926" t="str">
        <f>_xlfn.XLOOKUP($A:$A,Instagram_Usage_Lifestyle_Mini_!$A:$A,Instagram_Usage_Lifestyle_Mini_!$C:$K)</f>
        <v>Middle</v>
      </c>
      <c r="H926" t="str">
        <f>_xlfn.XLOOKUP($A:$A,Instagram_Usage_Lifestyle_Mini_!$A:$A,Instagram_Usage_Lifestyle_Mini_!$C:$K)</f>
        <v>Student</v>
      </c>
      <c r="I926" t="str">
        <f>_xlfn.XLOOKUP($A:$A,Instagram_Usage_Lifestyle_Mini_!$A:$A,Instagram_Usage_Lifestyle_Mini_!$C:$K)</f>
        <v>High_school</v>
      </c>
      <c r="J926" t="str">
        <f>_xlfn.XLOOKUP($A:$A,Instagram_Usage_Lifestyle_Mini_!$A:$A,Instagram_Usage_Lifestyle_Mini_!$C:$K)</f>
        <v>In_a_relationship</v>
      </c>
      <c r="K926" t="str">
        <f>_xlfn.XLOOKUP($A:$A,Instagram_Usage_Lifestyle_Mini_!$A:$A,Instagram_Usage_Lifestyle_Mini_!$C:$K)</f>
        <v>No</v>
      </c>
      <c r="L926" t="str" cm="1">
        <f t="array" ref="L926">_xlfn.IFS(C926&lt;18,"Under_18",C926&lt;=25,"Youth",C926&lt;=35,"Young_Adults",C926&lt;=45,"Mid_Adults",TRUE,"Seniors")</f>
        <v>Mid_Adults</v>
      </c>
    </row>
    <row r="927" spans="1:12" x14ac:dyDescent="0.2">
      <c r="A927">
        <v>926</v>
      </c>
      <c r="B927" t="str">
        <f>_xlfn.XLOOKUP(A927,Instagram_Usage_Lifestyle_Mini_!A927,Instagram_Usage_Lifestyle_Mini_!B927,1)</f>
        <v>Instagram</v>
      </c>
      <c r="C927">
        <f>_xlfn.XLOOKUP($A:$A,Instagram_Usage_Lifestyle_Mini_!$A:$A,Instagram_Usage_Lifestyle_Mini_!$C:$K)</f>
        <v>16</v>
      </c>
      <c r="D927" t="str">
        <f>_xlfn.XLOOKUP($A:$A,Instagram_Usage_Lifestyle_Mini_!$A:$A,Instagram_Usage_Lifestyle_Mini_!$C:$K)</f>
        <v>Non_binary</v>
      </c>
      <c r="E927" t="str">
        <f>_xlfn.XLOOKUP($A:$A,Instagram_Usage_Lifestyle_Mini_!$A:$A,Instagram_Usage_Lifestyle_Mini_!$C:$K)</f>
        <v>Germany</v>
      </c>
      <c r="F927" t="str">
        <f>_xlfn.XLOOKUP($A:$A,Instagram_Usage_Lifestyle_Mini_!$A:$A,Instagram_Usage_Lifestyle_Mini_!$C:$K)</f>
        <v>Suburban</v>
      </c>
      <c r="G927" t="str">
        <f>_xlfn.XLOOKUP($A:$A,Instagram_Usage_Lifestyle_Mini_!$A:$A,Instagram_Usage_Lifestyle_Mini_!$C:$K)</f>
        <v>Upper_middle</v>
      </c>
      <c r="H927" t="str">
        <f>_xlfn.XLOOKUP($A:$A,Instagram_Usage_Lifestyle_Mini_!$A:$A,Instagram_Usage_Lifestyle_Mini_!$C:$K)</f>
        <v>Part_time</v>
      </c>
      <c r="I927" t="str">
        <f>_xlfn.XLOOKUP($A:$A,Instagram_Usage_Lifestyle_Mini_!$A:$A,Instagram_Usage_Lifestyle_Mini_!$C:$K)</f>
        <v>Some_college</v>
      </c>
      <c r="J927" t="str">
        <f>_xlfn.XLOOKUP($A:$A,Instagram_Usage_Lifestyle_Mini_!$A:$A,Instagram_Usage_Lifestyle_Mini_!$C:$K)</f>
        <v>Divorced</v>
      </c>
      <c r="K927" t="str">
        <f>_xlfn.XLOOKUP($A:$A,Instagram_Usage_Lifestyle_Mini_!$A:$A,Instagram_Usage_Lifestyle_Mini_!$C:$K)</f>
        <v>No</v>
      </c>
      <c r="L927" t="str" cm="1">
        <f t="array" ref="L927">_xlfn.IFS(C927&lt;18,"Under_18",C927&lt;=25,"Youth",C927&lt;=35,"Young_Adults",C927&lt;=45,"Mid_Adults",TRUE,"Seniors")</f>
        <v>Under_18</v>
      </c>
    </row>
    <row r="928" spans="1:12" x14ac:dyDescent="0.2">
      <c r="A928">
        <v>927</v>
      </c>
      <c r="B928" t="str">
        <f>_xlfn.XLOOKUP(A928,Instagram_Usage_Lifestyle_Mini_!A928,Instagram_Usage_Lifestyle_Mini_!B928,1)</f>
        <v>Instagram</v>
      </c>
      <c r="C928">
        <f>_xlfn.XLOOKUP($A:$A,Instagram_Usage_Lifestyle_Mini_!$A:$A,Instagram_Usage_Lifestyle_Mini_!$C:$K)</f>
        <v>22</v>
      </c>
      <c r="D928" t="str">
        <f>_xlfn.XLOOKUP($A:$A,Instagram_Usage_Lifestyle_Mini_!$A:$A,Instagram_Usage_Lifestyle_Mini_!$C:$K)</f>
        <v>Male</v>
      </c>
      <c r="E928" t="str">
        <f>_xlfn.XLOOKUP($A:$A,Instagram_Usage_Lifestyle_Mini_!$A:$A,Instagram_Usage_Lifestyle_Mini_!$C:$K)</f>
        <v>United_States</v>
      </c>
      <c r="F928" t="str">
        <f>_xlfn.XLOOKUP($A:$A,Instagram_Usage_Lifestyle_Mini_!$A:$A,Instagram_Usage_Lifestyle_Mini_!$C:$K)</f>
        <v>Urban</v>
      </c>
      <c r="G928" t="str">
        <f>_xlfn.XLOOKUP($A:$A,Instagram_Usage_Lifestyle_Mini_!$A:$A,Instagram_Usage_Lifestyle_Mini_!$C:$K)</f>
        <v>Middle</v>
      </c>
      <c r="H928" t="str">
        <f>_xlfn.XLOOKUP($A:$A,Instagram_Usage_Lifestyle_Mini_!$A:$A,Instagram_Usage_Lifestyle_Mini_!$C:$K)</f>
        <v>Full_time_employed</v>
      </c>
      <c r="I928" t="str">
        <f>_xlfn.XLOOKUP($A:$A,Instagram_Usage_Lifestyle_Mini_!$A:$A,Instagram_Usage_Lifestyle_Mini_!$C:$K)</f>
        <v>High_school</v>
      </c>
      <c r="J928" t="str">
        <f>_xlfn.XLOOKUP($A:$A,Instagram_Usage_Lifestyle_Mini_!$A:$A,Instagram_Usage_Lifestyle_Mini_!$C:$K)</f>
        <v>Single</v>
      </c>
      <c r="K928" t="str">
        <f>_xlfn.XLOOKUP($A:$A,Instagram_Usage_Lifestyle_Mini_!$A:$A,Instagram_Usage_Lifestyle_Mini_!$C:$K)</f>
        <v>Yes</v>
      </c>
      <c r="L928" t="str" cm="1">
        <f t="array" ref="L928">_xlfn.IFS(C928&lt;18,"Under_18",C928&lt;=25,"Youth",C928&lt;=35,"Young_Adults",C928&lt;=45,"Mid_Adults",TRUE,"Seniors")</f>
        <v>Youth</v>
      </c>
    </row>
    <row r="929" spans="1:12" x14ac:dyDescent="0.2">
      <c r="A929">
        <v>928</v>
      </c>
      <c r="B929" t="str">
        <f>_xlfn.XLOOKUP(A929,Instagram_Usage_Lifestyle_Mini_!A929,Instagram_Usage_Lifestyle_Mini_!B929,1)</f>
        <v>Instagram</v>
      </c>
      <c r="C929">
        <f>_xlfn.XLOOKUP($A:$A,Instagram_Usage_Lifestyle_Mini_!$A:$A,Instagram_Usage_Lifestyle_Mini_!$C:$K)</f>
        <v>29</v>
      </c>
      <c r="D929" t="str">
        <f>_xlfn.XLOOKUP($A:$A,Instagram_Usage_Lifestyle_Mini_!$A:$A,Instagram_Usage_Lifestyle_Mini_!$C:$K)</f>
        <v>Male</v>
      </c>
      <c r="E929" t="str">
        <f>_xlfn.XLOOKUP($A:$A,Instagram_Usage_Lifestyle_Mini_!$A:$A,Instagram_Usage_Lifestyle_Mini_!$C:$K)</f>
        <v>India</v>
      </c>
      <c r="F929" t="str">
        <f>_xlfn.XLOOKUP($A:$A,Instagram_Usage_Lifestyle_Mini_!$A:$A,Instagram_Usage_Lifestyle_Mini_!$C:$K)</f>
        <v>Rural</v>
      </c>
      <c r="G929" t="str">
        <f>_xlfn.XLOOKUP($A:$A,Instagram_Usage_Lifestyle_Mini_!$A:$A,Instagram_Usage_Lifestyle_Mini_!$C:$K)</f>
        <v>Upper_middle</v>
      </c>
      <c r="H929" t="str">
        <f>_xlfn.XLOOKUP($A:$A,Instagram_Usage_Lifestyle_Mini_!$A:$A,Instagram_Usage_Lifestyle_Mini_!$C:$K)</f>
        <v>Full_time_employed</v>
      </c>
      <c r="I929" t="str">
        <f>_xlfn.XLOOKUP($A:$A,Instagram_Usage_Lifestyle_Mini_!$A:$A,Instagram_Usage_Lifestyle_Mini_!$C:$K)</f>
        <v>Bachelors_degree</v>
      </c>
      <c r="J929" t="str">
        <f>_xlfn.XLOOKUP($A:$A,Instagram_Usage_Lifestyle_Mini_!$A:$A,Instagram_Usage_Lifestyle_Mini_!$C:$K)</f>
        <v>Single</v>
      </c>
      <c r="K929" t="str">
        <f>_xlfn.XLOOKUP($A:$A,Instagram_Usage_Lifestyle_Mini_!$A:$A,Instagram_Usage_Lifestyle_Mini_!$C:$K)</f>
        <v>No</v>
      </c>
      <c r="L929" t="str" cm="1">
        <f t="array" ref="L929">_xlfn.IFS(C929&lt;18,"Under_18",C929&lt;=25,"Youth",C929&lt;=35,"Young_Adults",C929&lt;=45,"Mid_Adults",TRUE,"Seniors")</f>
        <v>Young_Adults</v>
      </c>
    </row>
    <row r="930" spans="1:12" x14ac:dyDescent="0.2">
      <c r="A930">
        <v>929</v>
      </c>
      <c r="B930" t="str">
        <f>_xlfn.XLOOKUP(A930,Instagram_Usage_Lifestyle_Mini_!A930,Instagram_Usage_Lifestyle_Mini_!B930,1)</f>
        <v>Instagram</v>
      </c>
      <c r="C930">
        <f>_xlfn.XLOOKUP($A:$A,Instagram_Usage_Lifestyle_Mini_!$A:$A,Instagram_Usage_Lifestyle_Mini_!$C:$K)</f>
        <v>22</v>
      </c>
      <c r="D930" t="str">
        <f>_xlfn.XLOOKUP($A:$A,Instagram_Usage_Lifestyle_Mini_!$A:$A,Instagram_Usage_Lifestyle_Mini_!$C:$K)</f>
        <v>Female</v>
      </c>
      <c r="E930" t="str">
        <f>_xlfn.XLOOKUP($A:$A,Instagram_Usage_Lifestyle_Mini_!$A:$A,Instagram_Usage_Lifestyle_Mini_!$C:$K)</f>
        <v>United _Kingdom</v>
      </c>
      <c r="F930" t="str">
        <f>_xlfn.XLOOKUP($A:$A,Instagram_Usage_Lifestyle_Mini_!$A:$A,Instagram_Usage_Lifestyle_Mini_!$C:$K)</f>
        <v>Suburban</v>
      </c>
      <c r="G930" t="str">
        <f>_xlfn.XLOOKUP($A:$A,Instagram_Usage_Lifestyle_Mini_!$A:$A,Instagram_Usage_Lifestyle_Mini_!$C:$K)</f>
        <v>Lower_middle</v>
      </c>
      <c r="H930" t="str">
        <f>_xlfn.XLOOKUP($A:$A,Instagram_Usage_Lifestyle_Mini_!$A:$A,Instagram_Usage_Lifestyle_Mini_!$C:$K)</f>
        <v>Student</v>
      </c>
      <c r="I930" t="str">
        <f>_xlfn.XLOOKUP($A:$A,Instagram_Usage_Lifestyle_Mini_!$A:$A,Instagram_Usage_Lifestyle_Mini_!$C:$K)</f>
        <v>Bachelors_degree</v>
      </c>
      <c r="J930" t="str">
        <f>_xlfn.XLOOKUP($A:$A,Instagram_Usage_Lifestyle_Mini_!$A:$A,Instagram_Usage_Lifestyle_Mini_!$C:$K)</f>
        <v>In_a_relationship</v>
      </c>
      <c r="K930" t="str">
        <f>_xlfn.XLOOKUP($A:$A,Instagram_Usage_Lifestyle_Mini_!$A:$A,Instagram_Usage_Lifestyle_Mini_!$C:$K)</f>
        <v>No</v>
      </c>
      <c r="L930" t="str" cm="1">
        <f t="array" ref="L930">_xlfn.IFS(C930&lt;18,"Under_18",C930&lt;=25,"Youth",C930&lt;=35,"Young_Adults",C930&lt;=45,"Mid_Adults",TRUE,"Seniors")</f>
        <v>Youth</v>
      </c>
    </row>
    <row r="931" spans="1:12" x14ac:dyDescent="0.2">
      <c r="A931">
        <v>930</v>
      </c>
      <c r="B931" t="str">
        <f>_xlfn.XLOOKUP(A931,Instagram_Usage_Lifestyle_Mini_!A931,Instagram_Usage_Lifestyle_Mini_!B931,1)</f>
        <v>Instagram</v>
      </c>
      <c r="C931">
        <f>_xlfn.XLOOKUP($A:$A,Instagram_Usage_Lifestyle_Mini_!$A:$A,Instagram_Usage_Lifestyle_Mini_!$C:$K)</f>
        <v>29</v>
      </c>
      <c r="D931" t="str">
        <f>_xlfn.XLOOKUP($A:$A,Instagram_Usage_Lifestyle_Mini_!$A:$A,Instagram_Usage_Lifestyle_Mini_!$C:$K)</f>
        <v>Female</v>
      </c>
      <c r="E931" t="str">
        <f>_xlfn.XLOOKUP($A:$A,Instagram_Usage_Lifestyle_Mini_!$A:$A,Instagram_Usage_Lifestyle_Mini_!$C:$K)</f>
        <v>Canada</v>
      </c>
      <c r="F931" t="str">
        <f>_xlfn.XLOOKUP($A:$A,Instagram_Usage_Lifestyle_Mini_!$A:$A,Instagram_Usage_Lifestyle_Mini_!$C:$K)</f>
        <v>Urban</v>
      </c>
      <c r="G931" t="str">
        <f>_xlfn.XLOOKUP($A:$A,Instagram_Usage_Lifestyle_Mini_!$A:$A,Instagram_Usage_Lifestyle_Mini_!$C:$K)</f>
        <v>Upper_middle</v>
      </c>
      <c r="H931" t="str">
        <f>_xlfn.XLOOKUP($A:$A,Instagram_Usage_Lifestyle_Mini_!$A:$A,Instagram_Usage_Lifestyle_Mini_!$C:$K)</f>
        <v>Student</v>
      </c>
      <c r="I931" t="str">
        <f>_xlfn.XLOOKUP($A:$A,Instagram_Usage_Lifestyle_Mini_!$A:$A,Instagram_Usage_Lifestyle_Mini_!$C:$K)</f>
        <v>High_school</v>
      </c>
      <c r="J931" t="str">
        <f>_xlfn.XLOOKUP($A:$A,Instagram_Usage_Lifestyle_Mini_!$A:$A,Instagram_Usage_Lifestyle_Mini_!$C:$K)</f>
        <v>Single</v>
      </c>
      <c r="K931" t="str">
        <f>_xlfn.XLOOKUP($A:$A,Instagram_Usage_Lifestyle_Mini_!$A:$A,Instagram_Usage_Lifestyle_Mini_!$C:$K)</f>
        <v>No</v>
      </c>
      <c r="L931" t="str" cm="1">
        <f t="array" ref="L931">_xlfn.IFS(C931&lt;18,"Under_18",C931&lt;=25,"Youth",C931&lt;=35,"Young_Adults",C931&lt;=45,"Mid_Adults",TRUE,"Seniors")</f>
        <v>Young_Adults</v>
      </c>
    </row>
    <row r="932" spans="1:12" x14ac:dyDescent="0.2">
      <c r="A932">
        <v>931</v>
      </c>
      <c r="B932" t="str">
        <f>_xlfn.XLOOKUP(A932,Instagram_Usage_Lifestyle_Mini_!A932,Instagram_Usage_Lifestyle_Mini_!B932,1)</f>
        <v>Instagram</v>
      </c>
      <c r="C932">
        <f>_xlfn.XLOOKUP($A:$A,Instagram_Usage_Lifestyle_Mini_!$A:$A,Instagram_Usage_Lifestyle_Mini_!$C:$K)</f>
        <v>32</v>
      </c>
      <c r="D932" t="str">
        <f>_xlfn.XLOOKUP($A:$A,Instagram_Usage_Lifestyle_Mini_!$A:$A,Instagram_Usage_Lifestyle_Mini_!$C:$K)</f>
        <v>Female</v>
      </c>
      <c r="E932" t="str">
        <f>_xlfn.XLOOKUP($A:$A,Instagram_Usage_Lifestyle_Mini_!$A:$A,Instagram_Usage_Lifestyle_Mini_!$C:$K)</f>
        <v>India</v>
      </c>
      <c r="F932" t="str">
        <f>_xlfn.XLOOKUP($A:$A,Instagram_Usage_Lifestyle_Mini_!$A:$A,Instagram_Usage_Lifestyle_Mini_!$C:$K)</f>
        <v>Rural</v>
      </c>
      <c r="G932" t="str">
        <f>_xlfn.XLOOKUP($A:$A,Instagram_Usage_Lifestyle_Mini_!$A:$A,Instagram_Usage_Lifestyle_Mini_!$C:$K)</f>
        <v>Low</v>
      </c>
      <c r="H932" t="str">
        <f>_xlfn.XLOOKUP($A:$A,Instagram_Usage_Lifestyle_Mini_!$A:$A,Instagram_Usage_Lifestyle_Mini_!$C:$K)</f>
        <v>Retired</v>
      </c>
      <c r="I932" t="str">
        <f>_xlfn.XLOOKUP($A:$A,Instagram_Usage_Lifestyle_Mini_!$A:$A,Instagram_Usage_Lifestyle_Mini_!$C:$K)</f>
        <v>Bachelors_degree</v>
      </c>
      <c r="J932" t="str">
        <f>_xlfn.XLOOKUP($A:$A,Instagram_Usage_Lifestyle_Mini_!$A:$A,Instagram_Usage_Lifestyle_Mini_!$C:$K)</f>
        <v>In_a_relationship</v>
      </c>
      <c r="K932" t="str">
        <f>_xlfn.XLOOKUP($A:$A,Instagram_Usage_Lifestyle_Mini_!$A:$A,Instagram_Usage_Lifestyle_Mini_!$C:$K)</f>
        <v>No</v>
      </c>
      <c r="L932" t="str" cm="1">
        <f t="array" ref="L932">_xlfn.IFS(C932&lt;18,"Under_18",C932&lt;=25,"Youth",C932&lt;=35,"Young_Adults",C932&lt;=45,"Mid_Adults",TRUE,"Seniors")</f>
        <v>Young_Adults</v>
      </c>
    </row>
    <row r="933" spans="1:12" x14ac:dyDescent="0.2">
      <c r="A933">
        <v>932</v>
      </c>
      <c r="B933" t="str">
        <f>_xlfn.XLOOKUP(A933,Instagram_Usage_Lifestyle_Mini_!A933,Instagram_Usage_Lifestyle_Mini_!B933,1)</f>
        <v>Instagram</v>
      </c>
      <c r="C933">
        <f>_xlfn.XLOOKUP($A:$A,Instagram_Usage_Lifestyle_Mini_!$A:$A,Instagram_Usage_Lifestyle_Mini_!$C:$K)</f>
        <v>36</v>
      </c>
      <c r="D933" t="str">
        <f>_xlfn.XLOOKUP($A:$A,Instagram_Usage_Lifestyle_Mini_!$A:$A,Instagram_Usage_Lifestyle_Mini_!$C:$K)</f>
        <v>Male</v>
      </c>
      <c r="E933" t="str">
        <f>_xlfn.XLOOKUP($A:$A,Instagram_Usage_Lifestyle_Mini_!$A:$A,Instagram_Usage_Lifestyle_Mini_!$C:$K)</f>
        <v>Canada</v>
      </c>
      <c r="F933" t="str">
        <f>_xlfn.XLOOKUP($A:$A,Instagram_Usage_Lifestyle_Mini_!$A:$A,Instagram_Usage_Lifestyle_Mini_!$C:$K)</f>
        <v>Suburban</v>
      </c>
      <c r="G933" t="str">
        <f>_xlfn.XLOOKUP($A:$A,Instagram_Usage_Lifestyle_Mini_!$A:$A,Instagram_Usage_Lifestyle_Mini_!$C:$K)</f>
        <v>Upper_middle</v>
      </c>
      <c r="H933" t="str">
        <f>_xlfn.XLOOKUP($A:$A,Instagram_Usage_Lifestyle_Mini_!$A:$A,Instagram_Usage_Lifestyle_Mini_!$C:$K)</f>
        <v>Part_time</v>
      </c>
      <c r="I933" t="str">
        <f>_xlfn.XLOOKUP($A:$A,Instagram_Usage_Lifestyle_Mini_!$A:$A,Instagram_Usage_Lifestyle_Mini_!$C:$K)</f>
        <v>Some_college</v>
      </c>
      <c r="J933" t="str">
        <f>_xlfn.XLOOKUP($A:$A,Instagram_Usage_Lifestyle_Mini_!$A:$A,Instagram_Usage_Lifestyle_Mini_!$C:$K)</f>
        <v>Married</v>
      </c>
      <c r="K933" t="str">
        <f>_xlfn.XLOOKUP($A:$A,Instagram_Usage_Lifestyle_Mini_!$A:$A,Instagram_Usage_Lifestyle_Mini_!$C:$K)</f>
        <v>No</v>
      </c>
      <c r="L933" t="str" cm="1">
        <f t="array" ref="L933">_xlfn.IFS(C933&lt;18,"Under_18",C933&lt;=25,"Youth",C933&lt;=35,"Young_Adults",C933&lt;=45,"Mid_Adults",TRUE,"Seniors")</f>
        <v>Mid_Adults</v>
      </c>
    </row>
    <row r="934" spans="1:12" x14ac:dyDescent="0.2">
      <c r="A934">
        <v>933</v>
      </c>
      <c r="B934" t="str">
        <f>_xlfn.XLOOKUP(A934,Instagram_Usage_Lifestyle_Mini_!A934,Instagram_Usage_Lifestyle_Mini_!B934,1)</f>
        <v>Instagram</v>
      </c>
      <c r="C934">
        <f>_xlfn.XLOOKUP($A:$A,Instagram_Usage_Lifestyle_Mini_!$A:$A,Instagram_Usage_Lifestyle_Mini_!$C:$K)</f>
        <v>17</v>
      </c>
      <c r="D934" t="str">
        <f>_xlfn.XLOOKUP($A:$A,Instagram_Usage_Lifestyle_Mini_!$A:$A,Instagram_Usage_Lifestyle_Mini_!$C:$K)</f>
        <v>Female</v>
      </c>
      <c r="E934" t="str">
        <f>_xlfn.XLOOKUP($A:$A,Instagram_Usage_Lifestyle_Mini_!$A:$A,Instagram_Usage_Lifestyle_Mini_!$C:$K)</f>
        <v>Brazil</v>
      </c>
      <c r="F934" t="str">
        <f>_xlfn.XLOOKUP($A:$A,Instagram_Usage_Lifestyle_Mini_!$A:$A,Instagram_Usage_Lifestyle_Mini_!$C:$K)</f>
        <v>Urban</v>
      </c>
      <c r="G934" t="str">
        <f>_xlfn.XLOOKUP($A:$A,Instagram_Usage_Lifestyle_Mini_!$A:$A,Instagram_Usage_Lifestyle_Mini_!$C:$K)</f>
        <v>Lower_middle</v>
      </c>
      <c r="H934" t="str">
        <f>_xlfn.XLOOKUP($A:$A,Instagram_Usage_Lifestyle_Mini_!$A:$A,Instagram_Usage_Lifestyle_Mini_!$C:$K)</f>
        <v>Freelancer</v>
      </c>
      <c r="I934" t="str">
        <f>_xlfn.XLOOKUP($A:$A,Instagram_Usage_Lifestyle_Mini_!$A:$A,Instagram_Usage_Lifestyle_Mini_!$C:$K)</f>
        <v>Some_college</v>
      </c>
      <c r="J934" t="str">
        <f>_xlfn.XLOOKUP($A:$A,Instagram_Usage_Lifestyle_Mini_!$A:$A,Instagram_Usage_Lifestyle_Mini_!$C:$K)</f>
        <v>Single</v>
      </c>
      <c r="K934" t="str">
        <f>_xlfn.XLOOKUP($A:$A,Instagram_Usage_Lifestyle_Mini_!$A:$A,Instagram_Usage_Lifestyle_Mini_!$C:$K)</f>
        <v>No</v>
      </c>
      <c r="L934" t="str" cm="1">
        <f t="array" ref="L934">_xlfn.IFS(C934&lt;18,"Under_18",C934&lt;=25,"Youth",C934&lt;=35,"Young_Adults",C934&lt;=45,"Mid_Adults",TRUE,"Seniors")</f>
        <v>Under_18</v>
      </c>
    </row>
    <row r="935" spans="1:12" x14ac:dyDescent="0.2">
      <c r="A935">
        <v>934</v>
      </c>
      <c r="B935" t="str">
        <f>_xlfn.XLOOKUP(A935,Instagram_Usage_Lifestyle_Mini_!A935,Instagram_Usage_Lifestyle_Mini_!B935,1)</f>
        <v>Instagram</v>
      </c>
      <c r="C935">
        <f>_xlfn.XLOOKUP($A:$A,Instagram_Usage_Lifestyle_Mini_!$A:$A,Instagram_Usage_Lifestyle_Mini_!$C:$K)</f>
        <v>46</v>
      </c>
      <c r="D935" t="str">
        <f>_xlfn.XLOOKUP($A:$A,Instagram_Usage_Lifestyle_Mini_!$A:$A,Instagram_Usage_Lifestyle_Mini_!$C:$K)</f>
        <v>Male</v>
      </c>
      <c r="E935" t="str">
        <f>_xlfn.XLOOKUP($A:$A,Instagram_Usage_Lifestyle_Mini_!$A:$A,Instagram_Usage_Lifestyle_Mini_!$C:$K)</f>
        <v>India</v>
      </c>
      <c r="F935" t="str">
        <f>_xlfn.XLOOKUP($A:$A,Instagram_Usage_Lifestyle_Mini_!$A:$A,Instagram_Usage_Lifestyle_Mini_!$C:$K)</f>
        <v>Urban</v>
      </c>
      <c r="G935" t="str">
        <f>_xlfn.XLOOKUP($A:$A,Instagram_Usage_Lifestyle_Mini_!$A:$A,Instagram_Usage_Lifestyle_Mini_!$C:$K)</f>
        <v>Lower_middle</v>
      </c>
      <c r="H935" t="str">
        <f>_xlfn.XLOOKUP($A:$A,Instagram_Usage_Lifestyle_Mini_!$A:$A,Instagram_Usage_Lifestyle_Mini_!$C:$K)</f>
        <v>Student</v>
      </c>
      <c r="I935" t="str">
        <f>_xlfn.XLOOKUP($A:$A,Instagram_Usage_Lifestyle_Mini_!$A:$A,Instagram_Usage_Lifestyle_Mini_!$C:$K)</f>
        <v>Bachelors_degree</v>
      </c>
      <c r="J935" t="str">
        <f>_xlfn.XLOOKUP($A:$A,Instagram_Usage_Lifestyle_Mini_!$A:$A,Instagram_Usage_Lifestyle_Mini_!$C:$K)</f>
        <v>Single</v>
      </c>
      <c r="K935" t="str">
        <f>_xlfn.XLOOKUP($A:$A,Instagram_Usage_Lifestyle_Mini_!$A:$A,Instagram_Usage_Lifestyle_Mini_!$C:$K)</f>
        <v>Yes</v>
      </c>
      <c r="L935" t="str" cm="1">
        <f t="array" ref="L935">_xlfn.IFS(C935&lt;18,"Under_18",C935&lt;=25,"Youth",C935&lt;=35,"Young_Adults",C935&lt;=45,"Mid_Adults",TRUE,"Seniors")</f>
        <v>Seniors</v>
      </c>
    </row>
    <row r="936" spans="1:12" x14ac:dyDescent="0.2">
      <c r="A936">
        <v>935</v>
      </c>
      <c r="B936" t="str">
        <f>_xlfn.XLOOKUP(A936,Instagram_Usage_Lifestyle_Mini_!A936,Instagram_Usage_Lifestyle_Mini_!B936,1)</f>
        <v>Instagram</v>
      </c>
      <c r="C936">
        <f>_xlfn.XLOOKUP($A:$A,Instagram_Usage_Lifestyle_Mini_!$A:$A,Instagram_Usage_Lifestyle_Mini_!$C:$K)</f>
        <v>18</v>
      </c>
      <c r="D936" t="str">
        <f>_xlfn.XLOOKUP($A:$A,Instagram_Usage_Lifestyle_Mini_!$A:$A,Instagram_Usage_Lifestyle_Mini_!$C:$K)</f>
        <v>Female</v>
      </c>
      <c r="E936" t="str">
        <f>_xlfn.XLOOKUP($A:$A,Instagram_Usage_Lifestyle_Mini_!$A:$A,Instagram_Usage_Lifestyle_Mini_!$C:$K)</f>
        <v>India</v>
      </c>
      <c r="F936" t="str">
        <f>_xlfn.XLOOKUP($A:$A,Instagram_Usage_Lifestyle_Mini_!$A:$A,Instagram_Usage_Lifestyle_Mini_!$C:$K)</f>
        <v>Urban</v>
      </c>
      <c r="G936" t="str">
        <f>_xlfn.XLOOKUP($A:$A,Instagram_Usage_Lifestyle_Mini_!$A:$A,Instagram_Usage_Lifestyle_Mini_!$C:$K)</f>
        <v>Upper_middle</v>
      </c>
      <c r="H936" t="str">
        <f>_xlfn.XLOOKUP($A:$A,Instagram_Usage_Lifestyle_Mini_!$A:$A,Instagram_Usage_Lifestyle_Mini_!$C:$K)</f>
        <v>Part_time</v>
      </c>
      <c r="I936" t="str">
        <f>_xlfn.XLOOKUP($A:$A,Instagram_Usage_Lifestyle_Mini_!$A:$A,Instagram_Usage_Lifestyle_Mini_!$C:$K)</f>
        <v>High_school</v>
      </c>
      <c r="J936" t="str">
        <f>_xlfn.XLOOKUP($A:$A,Instagram_Usage_Lifestyle_Mini_!$A:$A,Instagram_Usage_Lifestyle_Mini_!$C:$K)</f>
        <v>In_a_relationship</v>
      </c>
      <c r="K936" t="str">
        <f>_xlfn.XLOOKUP($A:$A,Instagram_Usage_Lifestyle_Mini_!$A:$A,Instagram_Usage_Lifestyle_Mini_!$C:$K)</f>
        <v>No</v>
      </c>
      <c r="L936" t="str" cm="1">
        <f t="array" ref="L936">_xlfn.IFS(C936&lt;18,"Under_18",C936&lt;=25,"Youth",C936&lt;=35,"Young_Adults",C936&lt;=45,"Mid_Adults",TRUE,"Seniors")</f>
        <v>Youth</v>
      </c>
    </row>
    <row r="937" spans="1:12" x14ac:dyDescent="0.2">
      <c r="A937">
        <v>936</v>
      </c>
      <c r="B937" t="str">
        <f>_xlfn.XLOOKUP(A937,Instagram_Usage_Lifestyle_Mini_!A937,Instagram_Usage_Lifestyle_Mini_!B937,1)</f>
        <v>Instagram</v>
      </c>
      <c r="C937">
        <f>_xlfn.XLOOKUP($A:$A,Instagram_Usage_Lifestyle_Mini_!$A:$A,Instagram_Usage_Lifestyle_Mini_!$C:$K)</f>
        <v>65</v>
      </c>
      <c r="D937" t="str">
        <f>_xlfn.XLOOKUP($A:$A,Instagram_Usage_Lifestyle_Mini_!$A:$A,Instagram_Usage_Lifestyle_Mini_!$C:$K)</f>
        <v>Male</v>
      </c>
      <c r="E937" t="str">
        <f>_xlfn.XLOOKUP($A:$A,Instagram_Usage_Lifestyle_Mini_!$A:$A,Instagram_Usage_Lifestyle_Mini_!$C:$K)</f>
        <v>Brazil</v>
      </c>
      <c r="F937" t="str">
        <f>_xlfn.XLOOKUP($A:$A,Instagram_Usage_Lifestyle_Mini_!$A:$A,Instagram_Usage_Lifestyle_Mini_!$C:$K)</f>
        <v>Suburban</v>
      </c>
      <c r="G937" t="str">
        <f>_xlfn.XLOOKUP($A:$A,Instagram_Usage_Lifestyle_Mini_!$A:$A,Instagram_Usage_Lifestyle_Mini_!$C:$K)</f>
        <v>Upper_middle</v>
      </c>
      <c r="H937" t="str">
        <f>_xlfn.XLOOKUP($A:$A,Instagram_Usage_Lifestyle_Mini_!$A:$A,Instagram_Usage_Lifestyle_Mini_!$C:$K)</f>
        <v>Part_time</v>
      </c>
      <c r="I937" t="str">
        <f>_xlfn.XLOOKUP($A:$A,Instagram_Usage_Lifestyle_Mini_!$A:$A,Instagram_Usage_Lifestyle_Mini_!$C:$K)</f>
        <v>Bachelors_degree</v>
      </c>
      <c r="J937" t="str">
        <f>_xlfn.XLOOKUP($A:$A,Instagram_Usage_Lifestyle_Mini_!$A:$A,Instagram_Usage_Lifestyle_Mini_!$C:$K)</f>
        <v>Divorced</v>
      </c>
      <c r="K937" t="str">
        <f>_xlfn.XLOOKUP($A:$A,Instagram_Usage_Lifestyle_Mini_!$A:$A,Instagram_Usage_Lifestyle_Mini_!$C:$K)</f>
        <v>Yes</v>
      </c>
      <c r="L937" t="str" cm="1">
        <f t="array" ref="L937">_xlfn.IFS(C937&lt;18,"Under_18",C937&lt;=25,"Youth",C937&lt;=35,"Young_Adults",C937&lt;=45,"Mid_Adults",TRUE,"Seniors")</f>
        <v>Seniors</v>
      </c>
    </row>
    <row r="938" spans="1:12" x14ac:dyDescent="0.2">
      <c r="A938">
        <v>937</v>
      </c>
      <c r="B938" t="str">
        <f>_xlfn.XLOOKUP(A938,Instagram_Usage_Lifestyle_Mini_!A938,Instagram_Usage_Lifestyle_Mini_!B938,1)</f>
        <v>Instagram</v>
      </c>
      <c r="C938">
        <f>_xlfn.XLOOKUP($A:$A,Instagram_Usage_Lifestyle_Mini_!$A:$A,Instagram_Usage_Lifestyle_Mini_!$C:$K)</f>
        <v>14</v>
      </c>
      <c r="D938" t="str">
        <f>_xlfn.XLOOKUP($A:$A,Instagram_Usage_Lifestyle_Mini_!$A:$A,Instagram_Usage_Lifestyle_Mini_!$C:$K)</f>
        <v>Male</v>
      </c>
      <c r="E938" t="str">
        <f>_xlfn.XLOOKUP($A:$A,Instagram_Usage_Lifestyle_Mini_!$A:$A,Instagram_Usage_Lifestyle_Mini_!$C:$K)</f>
        <v>United_States</v>
      </c>
      <c r="F938" t="str">
        <f>_xlfn.XLOOKUP($A:$A,Instagram_Usage_Lifestyle_Mini_!$A:$A,Instagram_Usage_Lifestyle_Mini_!$C:$K)</f>
        <v>Urban</v>
      </c>
      <c r="G938" t="str">
        <f>_xlfn.XLOOKUP($A:$A,Instagram_Usage_Lifestyle_Mini_!$A:$A,Instagram_Usage_Lifestyle_Mini_!$C:$K)</f>
        <v>Lower_middle</v>
      </c>
      <c r="H938" t="str">
        <f>_xlfn.XLOOKUP($A:$A,Instagram_Usage_Lifestyle_Mini_!$A:$A,Instagram_Usage_Lifestyle_Mini_!$C:$K)</f>
        <v>Full_time_employed</v>
      </c>
      <c r="I938" t="str">
        <f>_xlfn.XLOOKUP($A:$A,Instagram_Usage_Lifestyle_Mini_!$A:$A,Instagram_Usage_Lifestyle_Mini_!$C:$K)</f>
        <v>Bachelors_degree</v>
      </c>
      <c r="J938" t="str">
        <f>_xlfn.XLOOKUP($A:$A,Instagram_Usage_Lifestyle_Mini_!$A:$A,Instagram_Usage_Lifestyle_Mini_!$C:$K)</f>
        <v>Single</v>
      </c>
      <c r="K938" t="str">
        <f>_xlfn.XLOOKUP($A:$A,Instagram_Usage_Lifestyle_Mini_!$A:$A,Instagram_Usage_Lifestyle_Mini_!$C:$K)</f>
        <v>Yes</v>
      </c>
      <c r="L938" t="str" cm="1">
        <f t="array" ref="L938">_xlfn.IFS(C938&lt;18,"Under_18",C938&lt;=25,"Youth",C938&lt;=35,"Young_Adults",C938&lt;=45,"Mid_Adults",TRUE,"Seniors")</f>
        <v>Under_18</v>
      </c>
    </row>
    <row r="939" spans="1:12" x14ac:dyDescent="0.2">
      <c r="A939">
        <v>938</v>
      </c>
      <c r="B939" t="str">
        <f>_xlfn.XLOOKUP(A939,Instagram_Usage_Lifestyle_Mini_!A939,Instagram_Usage_Lifestyle_Mini_!B939,1)</f>
        <v>Instagram</v>
      </c>
      <c r="C939">
        <f>_xlfn.XLOOKUP($A:$A,Instagram_Usage_Lifestyle_Mini_!$A:$A,Instagram_Usage_Lifestyle_Mini_!$C:$K)</f>
        <v>25</v>
      </c>
      <c r="D939" t="str">
        <f>_xlfn.XLOOKUP($A:$A,Instagram_Usage_Lifestyle_Mini_!$A:$A,Instagram_Usage_Lifestyle_Mini_!$C:$K)</f>
        <v>Female</v>
      </c>
      <c r="E939" t="str">
        <f>_xlfn.XLOOKUP($A:$A,Instagram_Usage_Lifestyle_Mini_!$A:$A,Instagram_Usage_Lifestyle_Mini_!$C:$K)</f>
        <v>Germany</v>
      </c>
      <c r="F939" t="str">
        <f>_xlfn.XLOOKUP($A:$A,Instagram_Usage_Lifestyle_Mini_!$A:$A,Instagram_Usage_Lifestyle_Mini_!$C:$K)</f>
        <v>Urban</v>
      </c>
      <c r="G939" t="str">
        <f>_xlfn.XLOOKUP($A:$A,Instagram_Usage_Lifestyle_Mini_!$A:$A,Instagram_Usage_Lifestyle_Mini_!$C:$K)</f>
        <v>Lower_middle</v>
      </c>
      <c r="H939" t="str">
        <f>_xlfn.XLOOKUP($A:$A,Instagram_Usage_Lifestyle_Mini_!$A:$A,Instagram_Usage_Lifestyle_Mini_!$C:$K)</f>
        <v>Student</v>
      </c>
      <c r="I939" t="str">
        <f>_xlfn.XLOOKUP($A:$A,Instagram_Usage_Lifestyle_Mini_!$A:$A,Instagram_Usage_Lifestyle_Mini_!$C:$K)</f>
        <v>Masters_degree</v>
      </c>
      <c r="J939" t="str">
        <f>_xlfn.XLOOKUP($A:$A,Instagram_Usage_Lifestyle_Mini_!$A:$A,Instagram_Usage_Lifestyle_Mini_!$C:$K)</f>
        <v>Married</v>
      </c>
      <c r="K939" t="str">
        <f>_xlfn.XLOOKUP($A:$A,Instagram_Usage_Lifestyle_Mini_!$A:$A,Instagram_Usage_Lifestyle_Mini_!$C:$K)</f>
        <v>No</v>
      </c>
      <c r="L939" t="str" cm="1">
        <f t="array" ref="L939">_xlfn.IFS(C939&lt;18,"Under_18",C939&lt;=25,"Youth",C939&lt;=35,"Young_Adults",C939&lt;=45,"Mid_Adults",TRUE,"Seniors")</f>
        <v>Youth</v>
      </c>
    </row>
    <row r="940" spans="1:12" x14ac:dyDescent="0.2">
      <c r="A940">
        <v>939</v>
      </c>
      <c r="B940" t="str">
        <f>_xlfn.XLOOKUP(A940,Instagram_Usage_Lifestyle_Mini_!A940,Instagram_Usage_Lifestyle_Mini_!B940,1)</f>
        <v>Instagram</v>
      </c>
      <c r="C940">
        <f>_xlfn.XLOOKUP($A:$A,Instagram_Usage_Lifestyle_Mini_!$A:$A,Instagram_Usage_Lifestyle_Mini_!$C:$K)</f>
        <v>55</v>
      </c>
      <c r="D940" t="str">
        <f>_xlfn.XLOOKUP($A:$A,Instagram_Usage_Lifestyle_Mini_!$A:$A,Instagram_Usage_Lifestyle_Mini_!$C:$K)</f>
        <v>Male</v>
      </c>
      <c r="E940" t="str">
        <f>_xlfn.XLOOKUP($A:$A,Instagram_Usage_Lifestyle_Mini_!$A:$A,Instagram_Usage_Lifestyle_Mini_!$C:$K)</f>
        <v>Brazil</v>
      </c>
      <c r="F940" t="str">
        <f>_xlfn.XLOOKUP($A:$A,Instagram_Usage_Lifestyle_Mini_!$A:$A,Instagram_Usage_Lifestyle_Mini_!$C:$K)</f>
        <v>Rural</v>
      </c>
      <c r="G940" t="str">
        <f>_xlfn.XLOOKUP($A:$A,Instagram_Usage_Lifestyle_Mini_!$A:$A,Instagram_Usage_Lifestyle_Mini_!$C:$K)</f>
        <v>Lower_middle</v>
      </c>
      <c r="H940" t="str">
        <f>_xlfn.XLOOKUP($A:$A,Instagram_Usage_Lifestyle_Mini_!$A:$A,Instagram_Usage_Lifestyle_Mini_!$C:$K)</f>
        <v>Full_time_employed</v>
      </c>
      <c r="I940" t="str">
        <f>_xlfn.XLOOKUP($A:$A,Instagram_Usage_Lifestyle_Mini_!$A:$A,Instagram_Usage_Lifestyle_Mini_!$C:$K)</f>
        <v>High_school</v>
      </c>
      <c r="J940" t="str">
        <f>_xlfn.XLOOKUP($A:$A,Instagram_Usage_Lifestyle_Mini_!$A:$A,Instagram_Usage_Lifestyle_Mini_!$C:$K)</f>
        <v>In_a_relationship</v>
      </c>
      <c r="K940" t="str">
        <f>_xlfn.XLOOKUP($A:$A,Instagram_Usage_Lifestyle_Mini_!$A:$A,Instagram_Usage_Lifestyle_Mini_!$C:$K)</f>
        <v>No</v>
      </c>
      <c r="L940" t="str" cm="1">
        <f t="array" ref="L940">_xlfn.IFS(C940&lt;18,"Under_18",C940&lt;=25,"Youth",C940&lt;=35,"Young_Adults",C940&lt;=45,"Mid_Adults",TRUE,"Seniors")</f>
        <v>Seniors</v>
      </c>
    </row>
    <row r="941" spans="1:12" x14ac:dyDescent="0.2">
      <c r="A941">
        <v>940</v>
      </c>
      <c r="B941" t="str">
        <f>_xlfn.XLOOKUP(A941,Instagram_Usage_Lifestyle_Mini_!A941,Instagram_Usage_Lifestyle_Mini_!B941,1)</f>
        <v>Instagram</v>
      </c>
      <c r="C941">
        <f>_xlfn.XLOOKUP($A:$A,Instagram_Usage_Lifestyle_Mini_!$A:$A,Instagram_Usage_Lifestyle_Mini_!$C:$K)</f>
        <v>55</v>
      </c>
      <c r="D941" t="str">
        <f>_xlfn.XLOOKUP($A:$A,Instagram_Usage_Lifestyle_Mini_!$A:$A,Instagram_Usage_Lifestyle_Mini_!$C:$K)</f>
        <v>Female</v>
      </c>
      <c r="E941" t="str">
        <f>_xlfn.XLOOKUP($A:$A,Instagram_Usage_Lifestyle_Mini_!$A:$A,Instagram_Usage_Lifestyle_Mini_!$C:$K)</f>
        <v>Brazil</v>
      </c>
      <c r="F941" t="str">
        <f>_xlfn.XLOOKUP($A:$A,Instagram_Usage_Lifestyle_Mini_!$A:$A,Instagram_Usage_Lifestyle_Mini_!$C:$K)</f>
        <v>Suburban</v>
      </c>
      <c r="G941" t="str">
        <f>_xlfn.XLOOKUP($A:$A,Instagram_Usage_Lifestyle_Mini_!$A:$A,Instagram_Usage_Lifestyle_Mini_!$C:$K)</f>
        <v>Low</v>
      </c>
      <c r="H941" t="str">
        <f>_xlfn.XLOOKUP($A:$A,Instagram_Usage_Lifestyle_Mini_!$A:$A,Instagram_Usage_Lifestyle_Mini_!$C:$K)</f>
        <v>Student</v>
      </c>
      <c r="I941" t="str">
        <f>_xlfn.XLOOKUP($A:$A,Instagram_Usage_Lifestyle_Mini_!$A:$A,Instagram_Usage_Lifestyle_Mini_!$C:$K)</f>
        <v>High_school</v>
      </c>
      <c r="J941" t="str">
        <f>_xlfn.XLOOKUP($A:$A,Instagram_Usage_Lifestyle_Mini_!$A:$A,Instagram_Usage_Lifestyle_Mini_!$C:$K)</f>
        <v>Married</v>
      </c>
      <c r="K941" t="str">
        <f>_xlfn.XLOOKUP($A:$A,Instagram_Usage_Lifestyle_Mini_!$A:$A,Instagram_Usage_Lifestyle_Mini_!$C:$K)</f>
        <v>No</v>
      </c>
      <c r="L941" t="str" cm="1">
        <f t="array" ref="L941">_xlfn.IFS(C941&lt;18,"Under_18",C941&lt;=25,"Youth",C941&lt;=35,"Young_Adults",C941&lt;=45,"Mid_Adults",TRUE,"Seniors")</f>
        <v>Seniors</v>
      </c>
    </row>
    <row r="942" spans="1:12" x14ac:dyDescent="0.2">
      <c r="A942">
        <v>941</v>
      </c>
      <c r="B942" t="str">
        <f>_xlfn.XLOOKUP(A942,Instagram_Usage_Lifestyle_Mini_!A942,Instagram_Usage_Lifestyle_Mini_!B942,1)</f>
        <v>Instagram</v>
      </c>
      <c r="C942">
        <f>_xlfn.XLOOKUP($A:$A,Instagram_Usage_Lifestyle_Mini_!$A:$A,Instagram_Usage_Lifestyle_Mini_!$C:$K)</f>
        <v>60</v>
      </c>
      <c r="D942" t="str">
        <f>_xlfn.XLOOKUP($A:$A,Instagram_Usage_Lifestyle_Mini_!$A:$A,Instagram_Usage_Lifestyle_Mini_!$C:$K)</f>
        <v>Male</v>
      </c>
      <c r="E942" t="str">
        <f>_xlfn.XLOOKUP($A:$A,Instagram_Usage_Lifestyle_Mini_!$A:$A,Instagram_Usage_Lifestyle_Mini_!$C:$K)</f>
        <v>United_States</v>
      </c>
      <c r="F942" t="str">
        <f>_xlfn.XLOOKUP($A:$A,Instagram_Usage_Lifestyle_Mini_!$A:$A,Instagram_Usage_Lifestyle_Mini_!$C:$K)</f>
        <v>Suburban</v>
      </c>
      <c r="G942" t="str">
        <f>_xlfn.XLOOKUP($A:$A,Instagram_Usage_Lifestyle_Mini_!$A:$A,Instagram_Usage_Lifestyle_Mini_!$C:$K)</f>
        <v>Upper_middle</v>
      </c>
      <c r="H942" t="str">
        <f>_xlfn.XLOOKUP($A:$A,Instagram_Usage_Lifestyle_Mini_!$A:$A,Instagram_Usage_Lifestyle_Mini_!$C:$K)</f>
        <v>Full_time_employed</v>
      </c>
      <c r="I942" t="str">
        <f>_xlfn.XLOOKUP($A:$A,Instagram_Usage_Lifestyle_Mini_!$A:$A,Instagram_Usage_Lifestyle_Mini_!$C:$K)</f>
        <v>High_school</v>
      </c>
      <c r="J942" t="str">
        <f>_xlfn.XLOOKUP($A:$A,Instagram_Usage_Lifestyle_Mini_!$A:$A,Instagram_Usage_Lifestyle_Mini_!$C:$K)</f>
        <v>Single</v>
      </c>
      <c r="K942" t="str">
        <f>_xlfn.XLOOKUP($A:$A,Instagram_Usage_Lifestyle_Mini_!$A:$A,Instagram_Usage_Lifestyle_Mini_!$C:$K)</f>
        <v>Yes</v>
      </c>
      <c r="L942" t="str" cm="1">
        <f t="array" ref="L942">_xlfn.IFS(C942&lt;18,"Under_18",C942&lt;=25,"Youth",C942&lt;=35,"Young_Adults",C942&lt;=45,"Mid_Adults",TRUE,"Seniors")</f>
        <v>Seniors</v>
      </c>
    </row>
    <row r="943" spans="1:12" x14ac:dyDescent="0.2">
      <c r="A943">
        <v>942</v>
      </c>
      <c r="B943" t="str">
        <f>_xlfn.XLOOKUP(A943,Instagram_Usage_Lifestyle_Mini_!A943,Instagram_Usage_Lifestyle_Mini_!B943,1)</f>
        <v>Instagram</v>
      </c>
      <c r="C943">
        <f>_xlfn.XLOOKUP($A:$A,Instagram_Usage_Lifestyle_Mini_!$A:$A,Instagram_Usage_Lifestyle_Mini_!$C:$K)</f>
        <v>23</v>
      </c>
      <c r="D943" t="str">
        <f>_xlfn.XLOOKUP($A:$A,Instagram_Usage_Lifestyle_Mini_!$A:$A,Instagram_Usage_Lifestyle_Mini_!$C:$K)</f>
        <v>Female</v>
      </c>
      <c r="E943" t="str">
        <f>_xlfn.XLOOKUP($A:$A,Instagram_Usage_Lifestyle_Mini_!$A:$A,Instagram_Usage_Lifestyle_Mini_!$C:$K)</f>
        <v>United_States</v>
      </c>
      <c r="F943" t="str">
        <f>_xlfn.XLOOKUP($A:$A,Instagram_Usage_Lifestyle_Mini_!$A:$A,Instagram_Usage_Lifestyle_Mini_!$C:$K)</f>
        <v>Urban</v>
      </c>
      <c r="G943" t="str">
        <f>_xlfn.XLOOKUP($A:$A,Instagram_Usage_Lifestyle_Mini_!$A:$A,Instagram_Usage_Lifestyle_Mini_!$C:$K)</f>
        <v>Upper_middle</v>
      </c>
      <c r="H943" t="str">
        <f>_xlfn.XLOOKUP($A:$A,Instagram_Usage_Lifestyle_Mini_!$A:$A,Instagram_Usage_Lifestyle_Mini_!$C:$K)</f>
        <v>Full_time_employed</v>
      </c>
      <c r="I943" t="str">
        <f>_xlfn.XLOOKUP($A:$A,Instagram_Usage_Lifestyle_Mini_!$A:$A,Instagram_Usage_Lifestyle_Mini_!$C:$K)</f>
        <v>Masters_degree</v>
      </c>
      <c r="J943" t="str">
        <f>_xlfn.XLOOKUP($A:$A,Instagram_Usage_Lifestyle_Mini_!$A:$A,Instagram_Usage_Lifestyle_Mini_!$C:$K)</f>
        <v>Single</v>
      </c>
      <c r="K943" t="str">
        <f>_xlfn.XLOOKUP($A:$A,Instagram_Usage_Lifestyle_Mini_!$A:$A,Instagram_Usage_Lifestyle_Mini_!$C:$K)</f>
        <v>No</v>
      </c>
      <c r="L943" t="str" cm="1">
        <f t="array" ref="L943">_xlfn.IFS(C943&lt;18,"Under_18",C943&lt;=25,"Youth",C943&lt;=35,"Young_Adults",C943&lt;=45,"Mid_Adults",TRUE,"Seniors")</f>
        <v>Youth</v>
      </c>
    </row>
    <row r="944" spans="1:12" x14ac:dyDescent="0.2">
      <c r="A944">
        <v>943</v>
      </c>
      <c r="B944" t="str">
        <f>_xlfn.XLOOKUP(A944,Instagram_Usage_Lifestyle_Mini_!A944,Instagram_Usage_Lifestyle_Mini_!B944,1)</f>
        <v>Instagram</v>
      </c>
      <c r="C944">
        <f>_xlfn.XLOOKUP($A:$A,Instagram_Usage_Lifestyle_Mini_!$A:$A,Instagram_Usage_Lifestyle_Mini_!$C:$K)</f>
        <v>63</v>
      </c>
      <c r="D944" t="str">
        <f>_xlfn.XLOOKUP($A:$A,Instagram_Usage_Lifestyle_Mini_!$A:$A,Instagram_Usage_Lifestyle_Mini_!$C:$K)</f>
        <v>Male</v>
      </c>
      <c r="E944" t="str">
        <f>_xlfn.XLOOKUP($A:$A,Instagram_Usage_Lifestyle_Mini_!$A:$A,Instagram_Usage_Lifestyle_Mini_!$C:$K)</f>
        <v>United _Kingdom</v>
      </c>
      <c r="F944" t="str">
        <f>_xlfn.XLOOKUP($A:$A,Instagram_Usage_Lifestyle_Mini_!$A:$A,Instagram_Usage_Lifestyle_Mini_!$C:$K)</f>
        <v>Suburban</v>
      </c>
      <c r="G944" t="str">
        <f>_xlfn.XLOOKUP($A:$A,Instagram_Usage_Lifestyle_Mini_!$A:$A,Instagram_Usage_Lifestyle_Mini_!$C:$K)</f>
        <v>Upper_middle</v>
      </c>
      <c r="H944" t="str">
        <f>_xlfn.XLOOKUP($A:$A,Instagram_Usage_Lifestyle_Mini_!$A:$A,Instagram_Usage_Lifestyle_Mini_!$C:$K)</f>
        <v>Student</v>
      </c>
      <c r="I944" t="str">
        <f>_xlfn.XLOOKUP($A:$A,Instagram_Usage_Lifestyle_Mini_!$A:$A,Instagram_Usage_Lifestyle_Mini_!$C:$K)</f>
        <v>Other</v>
      </c>
      <c r="J944" t="str">
        <f>_xlfn.XLOOKUP($A:$A,Instagram_Usage_Lifestyle_Mini_!$A:$A,Instagram_Usage_Lifestyle_Mini_!$C:$K)</f>
        <v>Single</v>
      </c>
      <c r="K944" t="str">
        <f>_xlfn.XLOOKUP($A:$A,Instagram_Usage_Lifestyle_Mini_!$A:$A,Instagram_Usage_Lifestyle_Mini_!$C:$K)</f>
        <v>No</v>
      </c>
      <c r="L944" t="str" cm="1">
        <f t="array" ref="L944">_xlfn.IFS(C944&lt;18,"Under_18",C944&lt;=25,"Youth",C944&lt;=35,"Young_Adults",C944&lt;=45,"Mid_Adults",TRUE,"Seniors")</f>
        <v>Seniors</v>
      </c>
    </row>
    <row r="945" spans="1:12" x14ac:dyDescent="0.2">
      <c r="A945">
        <v>944</v>
      </c>
      <c r="B945" t="str">
        <f>_xlfn.XLOOKUP(A945,Instagram_Usage_Lifestyle_Mini_!A945,Instagram_Usage_Lifestyle_Mini_!B945,1)</f>
        <v>Instagram</v>
      </c>
      <c r="C945">
        <f>_xlfn.XLOOKUP($A:$A,Instagram_Usage_Lifestyle_Mini_!$A:$A,Instagram_Usage_Lifestyle_Mini_!$C:$K)</f>
        <v>59</v>
      </c>
      <c r="D945" t="str">
        <f>_xlfn.XLOOKUP($A:$A,Instagram_Usage_Lifestyle_Mini_!$A:$A,Instagram_Usage_Lifestyle_Mini_!$C:$K)</f>
        <v>Female</v>
      </c>
      <c r="E945" t="str">
        <f>_xlfn.XLOOKUP($A:$A,Instagram_Usage_Lifestyle_Mini_!$A:$A,Instagram_Usage_Lifestyle_Mini_!$C:$K)</f>
        <v>Other</v>
      </c>
      <c r="F945" t="str">
        <f>_xlfn.XLOOKUP($A:$A,Instagram_Usage_Lifestyle_Mini_!$A:$A,Instagram_Usage_Lifestyle_Mini_!$C:$K)</f>
        <v>Suburban</v>
      </c>
      <c r="G945" t="str">
        <f>_xlfn.XLOOKUP($A:$A,Instagram_Usage_Lifestyle_Mini_!$A:$A,Instagram_Usage_Lifestyle_Mini_!$C:$K)</f>
        <v>Upper_middle</v>
      </c>
      <c r="H945" t="str">
        <f>_xlfn.XLOOKUP($A:$A,Instagram_Usage_Lifestyle_Mini_!$A:$A,Instagram_Usage_Lifestyle_Mini_!$C:$K)</f>
        <v>Freelancer</v>
      </c>
      <c r="I945" t="str">
        <f>_xlfn.XLOOKUP($A:$A,Instagram_Usage_Lifestyle_Mini_!$A:$A,Instagram_Usage_Lifestyle_Mini_!$C:$K)</f>
        <v>Masters_degree</v>
      </c>
      <c r="J945" t="str">
        <f>_xlfn.XLOOKUP($A:$A,Instagram_Usage_Lifestyle_Mini_!$A:$A,Instagram_Usage_Lifestyle_Mini_!$C:$K)</f>
        <v>Married</v>
      </c>
      <c r="K945" t="str">
        <f>_xlfn.XLOOKUP($A:$A,Instagram_Usage_Lifestyle_Mini_!$A:$A,Instagram_Usage_Lifestyle_Mini_!$C:$K)</f>
        <v>No</v>
      </c>
      <c r="L945" t="str" cm="1">
        <f t="array" ref="L945">_xlfn.IFS(C945&lt;18,"Under_18",C945&lt;=25,"Youth",C945&lt;=35,"Young_Adults",C945&lt;=45,"Mid_Adults",TRUE,"Seniors")</f>
        <v>Seniors</v>
      </c>
    </row>
    <row r="946" spans="1:12" x14ac:dyDescent="0.2">
      <c r="A946">
        <v>945</v>
      </c>
      <c r="B946" t="str">
        <f>_xlfn.XLOOKUP(A946,Instagram_Usage_Lifestyle_Mini_!A946,Instagram_Usage_Lifestyle_Mini_!B946,1)</f>
        <v>Instagram</v>
      </c>
      <c r="C946">
        <f>_xlfn.XLOOKUP($A:$A,Instagram_Usage_Lifestyle_Mini_!$A:$A,Instagram_Usage_Lifestyle_Mini_!$C:$K)</f>
        <v>35</v>
      </c>
      <c r="D946" t="str">
        <f>_xlfn.XLOOKUP($A:$A,Instagram_Usage_Lifestyle_Mini_!$A:$A,Instagram_Usage_Lifestyle_Mini_!$C:$K)</f>
        <v>Male</v>
      </c>
      <c r="E946" t="str">
        <f>_xlfn.XLOOKUP($A:$A,Instagram_Usage_Lifestyle_Mini_!$A:$A,Instagram_Usage_Lifestyle_Mini_!$C:$K)</f>
        <v>United _Kingdom</v>
      </c>
      <c r="F946" t="str">
        <f>_xlfn.XLOOKUP($A:$A,Instagram_Usage_Lifestyle_Mini_!$A:$A,Instagram_Usage_Lifestyle_Mini_!$C:$K)</f>
        <v>Suburban</v>
      </c>
      <c r="G946" t="str">
        <f>_xlfn.XLOOKUP($A:$A,Instagram_Usage_Lifestyle_Mini_!$A:$A,Instagram_Usage_Lifestyle_Mini_!$C:$K)</f>
        <v>Middle</v>
      </c>
      <c r="H946" t="str">
        <f>_xlfn.XLOOKUP($A:$A,Instagram_Usage_Lifestyle_Mini_!$A:$A,Instagram_Usage_Lifestyle_Mini_!$C:$K)</f>
        <v>Freelancer</v>
      </c>
      <c r="I946" t="str">
        <f>_xlfn.XLOOKUP($A:$A,Instagram_Usage_Lifestyle_Mini_!$A:$A,Instagram_Usage_Lifestyle_Mini_!$C:$K)</f>
        <v>Masters_degree</v>
      </c>
      <c r="J946" t="str">
        <f>_xlfn.XLOOKUP($A:$A,Instagram_Usage_Lifestyle_Mini_!$A:$A,Instagram_Usage_Lifestyle_Mini_!$C:$K)</f>
        <v>In_a_relationship</v>
      </c>
      <c r="K946" t="str">
        <f>_xlfn.XLOOKUP($A:$A,Instagram_Usage_Lifestyle_Mini_!$A:$A,Instagram_Usage_Lifestyle_Mini_!$C:$K)</f>
        <v>No</v>
      </c>
      <c r="L946" t="str" cm="1">
        <f t="array" ref="L946">_xlfn.IFS(C946&lt;18,"Under_18",C946&lt;=25,"Youth",C946&lt;=35,"Young_Adults",C946&lt;=45,"Mid_Adults",TRUE,"Seniors")</f>
        <v>Young_Adults</v>
      </c>
    </row>
    <row r="947" spans="1:12" x14ac:dyDescent="0.2">
      <c r="A947">
        <v>946</v>
      </c>
      <c r="B947" t="str">
        <f>_xlfn.XLOOKUP(A947,Instagram_Usage_Lifestyle_Mini_!A947,Instagram_Usage_Lifestyle_Mini_!B947,1)</f>
        <v>Instagram</v>
      </c>
      <c r="C947">
        <f>_xlfn.XLOOKUP($A:$A,Instagram_Usage_Lifestyle_Mini_!$A:$A,Instagram_Usage_Lifestyle_Mini_!$C:$K)</f>
        <v>28</v>
      </c>
      <c r="D947" t="str">
        <f>_xlfn.XLOOKUP($A:$A,Instagram_Usage_Lifestyle_Mini_!$A:$A,Instagram_Usage_Lifestyle_Mini_!$C:$K)</f>
        <v>Female</v>
      </c>
      <c r="E947" t="str">
        <f>_xlfn.XLOOKUP($A:$A,Instagram_Usage_Lifestyle_Mini_!$A:$A,Instagram_Usage_Lifestyle_Mini_!$C:$K)</f>
        <v>United_States</v>
      </c>
      <c r="F947" t="str">
        <f>_xlfn.XLOOKUP($A:$A,Instagram_Usage_Lifestyle_Mini_!$A:$A,Instagram_Usage_Lifestyle_Mini_!$C:$K)</f>
        <v>Urban</v>
      </c>
      <c r="G947" t="str">
        <f>_xlfn.XLOOKUP($A:$A,Instagram_Usage_Lifestyle_Mini_!$A:$A,Instagram_Usage_Lifestyle_Mini_!$C:$K)</f>
        <v>High</v>
      </c>
      <c r="H947" t="str">
        <f>_xlfn.XLOOKUP($A:$A,Instagram_Usage_Lifestyle_Mini_!$A:$A,Instagram_Usage_Lifestyle_Mini_!$C:$K)</f>
        <v>Full_time_employed</v>
      </c>
      <c r="I947" t="str">
        <f>_xlfn.XLOOKUP($A:$A,Instagram_Usage_Lifestyle_Mini_!$A:$A,Instagram_Usage_Lifestyle_Mini_!$C:$K)</f>
        <v>Masters_degree</v>
      </c>
      <c r="J947" t="str">
        <f>_xlfn.XLOOKUP($A:$A,Instagram_Usage_Lifestyle_Mini_!$A:$A,Instagram_Usage_Lifestyle_Mini_!$C:$K)</f>
        <v>Married</v>
      </c>
      <c r="K947" t="str">
        <f>_xlfn.XLOOKUP($A:$A,Instagram_Usage_Lifestyle_Mini_!$A:$A,Instagram_Usage_Lifestyle_Mini_!$C:$K)</f>
        <v>No</v>
      </c>
      <c r="L947" t="str" cm="1">
        <f t="array" ref="L947">_xlfn.IFS(C947&lt;18,"Under_18",C947&lt;=25,"Youth",C947&lt;=35,"Young_Adults",C947&lt;=45,"Mid_Adults",TRUE,"Seniors")</f>
        <v>Young_Adults</v>
      </c>
    </row>
    <row r="948" spans="1:12" x14ac:dyDescent="0.2">
      <c r="A948">
        <v>947</v>
      </c>
      <c r="B948" t="str">
        <f>_xlfn.XLOOKUP(A948,Instagram_Usage_Lifestyle_Mini_!A948,Instagram_Usage_Lifestyle_Mini_!B948,1)</f>
        <v>Instagram</v>
      </c>
      <c r="C948">
        <f>_xlfn.XLOOKUP($A:$A,Instagram_Usage_Lifestyle_Mini_!$A:$A,Instagram_Usage_Lifestyle_Mini_!$C:$K)</f>
        <v>43</v>
      </c>
      <c r="D948" t="str">
        <f>_xlfn.XLOOKUP($A:$A,Instagram_Usage_Lifestyle_Mini_!$A:$A,Instagram_Usage_Lifestyle_Mini_!$C:$K)</f>
        <v>Male</v>
      </c>
      <c r="E948" t="str">
        <f>_xlfn.XLOOKUP($A:$A,Instagram_Usage_Lifestyle_Mini_!$A:$A,Instagram_Usage_Lifestyle_Mini_!$C:$K)</f>
        <v>Australia</v>
      </c>
      <c r="F948" t="str">
        <f>_xlfn.XLOOKUP($A:$A,Instagram_Usage_Lifestyle_Mini_!$A:$A,Instagram_Usage_Lifestyle_Mini_!$C:$K)</f>
        <v>Suburban</v>
      </c>
      <c r="G948" t="str">
        <f>_xlfn.XLOOKUP($A:$A,Instagram_Usage_Lifestyle_Mini_!$A:$A,Instagram_Usage_Lifestyle_Mini_!$C:$K)</f>
        <v>Middle</v>
      </c>
      <c r="H948" t="str">
        <f>_xlfn.XLOOKUP($A:$A,Instagram_Usage_Lifestyle_Mini_!$A:$A,Instagram_Usage_Lifestyle_Mini_!$C:$K)</f>
        <v>Unemployed</v>
      </c>
      <c r="I948" t="str">
        <f>_xlfn.XLOOKUP($A:$A,Instagram_Usage_Lifestyle_Mini_!$A:$A,Instagram_Usage_Lifestyle_Mini_!$C:$K)</f>
        <v>Bachelors_degree</v>
      </c>
      <c r="J948" t="str">
        <f>_xlfn.XLOOKUP($A:$A,Instagram_Usage_Lifestyle_Mini_!$A:$A,Instagram_Usage_Lifestyle_Mini_!$C:$K)</f>
        <v>Single</v>
      </c>
      <c r="K948" t="str">
        <f>_xlfn.XLOOKUP($A:$A,Instagram_Usage_Lifestyle_Mini_!$A:$A,Instagram_Usage_Lifestyle_Mini_!$C:$K)</f>
        <v>No</v>
      </c>
      <c r="L948" t="str" cm="1">
        <f t="array" ref="L948">_xlfn.IFS(C948&lt;18,"Under_18",C948&lt;=25,"Youth",C948&lt;=35,"Young_Adults",C948&lt;=45,"Mid_Adults",TRUE,"Seniors")</f>
        <v>Mid_Adults</v>
      </c>
    </row>
    <row r="949" spans="1:12" x14ac:dyDescent="0.2">
      <c r="A949">
        <v>948</v>
      </c>
      <c r="B949" t="str">
        <f>_xlfn.XLOOKUP(A949,Instagram_Usage_Lifestyle_Mini_!A949,Instagram_Usage_Lifestyle_Mini_!B949,1)</f>
        <v>Instagram</v>
      </c>
      <c r="C949">
        <f>_xlfn.XLOOKUP($A:$A,Instagram_Usage_Lifestyle_Mini_!$A:$A,Instagram_Usage_Lifestyle_Mini_!$C:$K)</f>
        <v>23</v>
      </c>
      <c r="D949" t="str">
        <f>_xlfn.XLOOKUP($A:$A,Instagram_Usage_Lifestyle_Mini_!$A:$A,Instagram_Usage_Lifestyle_Mini_!$C:$K)</f>
        <v>Female</v>
      </c>
      <c r="E949" t="str">
        <f>_xlfn.XLOOKUP($A:$A,Instagram_Usage_Lifestyle_Mini_!$A:$A,Instagram_Usage_Lifestyle_Mini_!$C:$K)</f>
        <v>Other</v>
      </c>
      <c r="F949" t="str">
        <f>_xlfn.XLOOKUP($A:$A,Instagram_Usage_Lifestyle_Mini_!$A:$A,Instagram_Usage_Lifestyle_Mini_!$C:$K)</f>
        <v>Suburban</v>
      </c>
      <c r="G949" t="str">
        <f>_xlfn.XLOOKUP($A:$A,Instagram_Usage_Lifestyle_Mini_!$A:$A,Instagram_Usage_Lifestyle_Mini_!$C:$K)</f>
        <v>Middle</v>
      </c>
      <c r="H949" t="str">
        <f>_xlfn.XLOOKUP($A:$A,Instagram_Usage_Lifestyle_Mini_!$A:$A,Instagram_Usage_Lifestyle_Mini_!$C:$K)</f>
        <v>Full_time_employed</v>
      </c>
      <c r="I949" t="str">
        <f>_xlfn.XLOOKUP($A:$A,Instagram_Usage_Lifestyle_Mini_!$A:$A,Instagram_Usage_Lifestyle_Mini_!$C:$K)</f>
        <v>Some_college</v>
      </c>
      <c r="J949" t="str">
        <f>_xlfn.XLOOKUP($A:$A,Instagram_Usage_Lifestyle_Mini_!$A:$A,Instagram_Usage_Lifestyle_Mini_!$C:$K)</f>
        <v>Single</v>
      </c>
      <c r="K949" t="str">
        <f>_xlfn.XLOOKUP($A:$A,Instagram_Usage_Lifestyle_Mini_!$A:$A,Instagram_Usage_Lifestyle_Mini_!$C:$K)</f>
        <v>No</v>
      </c>
      <c r="L949" t="str" cm="1">
        <f t="array" ref="L949">_xlfn.IFS(C949&lt;18,"Under_18",C949&lt;=25,"Youth",C949&lt;=35,"Young_Adults",C949&lt;=45,"Mid_Adults",TRUE,"Seniors")</f>
        <v>Youth</v>
      </c>
    </row>
    <row r="950" spans="1:12" x14ac:dyDescent="0.2">
      <c r="A950">
        <v>949</v>
      </c>
      <c r="B950" t="str">
        <f>_xlfn.XLOOKUP(A950,Instagram_Usage_Lifestyle_Mini_!A950,Instagram_Usage_Lifestyle_Mini_!B950,1)</f>
        <v>Instagram</v>
      </c>
      <c r="C950">
        <f>_xlfn.XLOOKUP($A:$A,Instagram_Usage_Lifestyle_Mini_!$A:$A,Instagram_Usage_Lifestyle_Mini_!$C:$K)</f>
        <v>28</v>
      </c>
      <c r="D950" t="str">
        <f>_xlfn.XLOOKUP($A:$A,Instagram_Usage_Lifestyle_Mini_!$A:$A,Instagram_Usage_Lifestyle_Mini_!$C:$K)</f>
        <v>Male</v>
      </c>
      <c r="E950" t="str">
        <f>_xlfn.XLOOKUP($A:$A,Instagram_Usage_Lifestyle_Mini_!$A:$A,Instagram_Usage_Lifestyle_Mini_!$C:$K)</f>
        <v>United_States</v>
      </c>
      <c r="F950" t="str">
        <f>_xlfn.XLOOKUP($A:$A,Instagram_Usage_Lifestyle_Mini_!$A:$A,Instagram_Usage_Lifestyle_Mini_!$C:$K)</f>
        <v>Urban</v>
      </c>
      <c r="G950" t="str">
        <f>_xlfn.XLOOKUP($A:$A,Instagram_Usage_Lifestyle_Mini_!$A:$A,Instagram_Usage_Lifestyle_Mini_!$C:$K)</f>
        <v>Upper_middle</v>
      </c>
      <c r="H950" t="str">
        <f>_xlfn.XLOOKUP($A:$A,Instagram_Usage_Lifestyle_Mini_!$A:$A,Instagram_Usage_Lifestyle_Mini_!$C:$K)</f>
        <v>Student</v>
      </c>
      <c r="I950" t="str">
        <f>_xlfn.XLOOKUP($A:$A,Instagram_Usage_Lifestyle_Mini_!$A:$A,Instagram_Usage_Lifestyle_Mini_!$C:$K)</f>
        <v>Bachelors_degree</v>
      </c>
      <c r="J950" t="str">
        <f>_xlfn.XLOOKUP($A:$A,Instagram_Usage_Lifestyle_Mini_!$A:$A,Instagram_Usage_Lifestyle_Mini_!$C:$K)</f>
        <v>Single</v>
      </c>
      <c r="K950" t="str">
        <f>_xlfn.XLOOKUP($A:$A,Instagram_Usage_Lifestyle_Mini_!$A:$A,Instagram_Usage_Lifestyle_Mini_!$C:$K)</f>
        <v>Yes</v>
      </c>
      <c r="L950" t="str" cm="1">
        <f t="array" ref="L950">_xlfn.IFS(C950&lt;18,"Under_18",C950&lt;=25,"Youth",C950&lt;=35,"Young_Adults",C950&lt;=45,"Mid_Adults",TRUE,"Seniors")</f>
        <v>Young_Adults</v>
      </c>
    </row>
    <row r="951" spans="1:12" x14ac:dyDescent="0.2">
      <c r="A951">
        <v>950</v>
      </c>
      <c r="B951" t="str">
        <f>_xlfn.XLOOKUP(A951,Instagram_Usage_Lifestyle_Mini_!A951,Instagram_Usage_Lifestyle_Mini_!B951,1)</f>
        <v>Instagram</v>
      </c>
      <c r="C951">
        <f>_xlfn.XLOOKUP($A:$A,Instagram_Usage_Lifestyle_Mini_!$A:$A,Instagram_Usage_Lifestyle_Mini_!$C:$K)</f>
        <v>20</v>
      </c>
      <c r="D951" t="str">
        <f>_xlfn.XLOOKUP($A:$A,Instagram_Usage_Lifestyle_Mini_!$A:$A,Instagram_Usage_Lifestyle_Mini_!$C:$K)</f>
        <v>Female</v>
      </c>
      <c r="E951" t="str">
        <f>_xlfn.XLOOKUP($A:$A,Instagram_Usage_Lifestyle_Mini_!$A:$A,Instagram_Usage_Lifestyle_Mini_!$C:$K)</f>
        <v>United_States</v>
      </c>
      <c r="F951" t="str">
        <f>_xlfn.XLOOKUP($A:$A,Instagram_Usage_Lifestyle_Mini_!$A:$A,Instagram_Usage_Lifestyle_Mini_!$C:$K)</f>
        <v>Urban</v>
      </c>
      <c r="G951" t="str">
        <f>_xlfn.XLOOKUP($A:$A,Instagram_Usage_Lifestyle_Mini_!$A:$A,Instagram_Usage_Lifestyle_Mini_!$C:$K)</f>
        <v>High</v>
      </c>
      <c r="H951" t="str">
        <f>_xlfn.XLOOKUP($A:$A,Instagram_Usage_Lifestyle_Mini_!$A:$A,Instagram_Usage_Lifestyle_Mini_!$C:$K)</f>
        <v>Unemployed</v>
      </c>
      <c r="I951" t="str">
        <f>_xlfn.XLOOKUP($A:$A,Instagram_Usage_Lifestyle_Mini_!$A:$A,Instagram_Usage_Lifestyle_Mini_!$C:$K)</f>
        <v>High_school</v>
      </c>
      <c r="J951" t="str">
        <f>_xlfn.XLOOKUP($A:$A,Instagram_Usage_Lifestyle_Mini_!$A:$A,Instagram_Usage_Lifestyle_Mini_!$C:$K)</f>
        <v>Married</v>
      </c>
      <c r="K951" t="str">
        <f>_xlfn.XLOOKUP($A:$A,Instagram_Usage_Lifestyle_Mini_!$A:$A,Instagram_Usage_Lifestyle_Mini_!$C:$K)</f>
        <v>No</v>
      </c>
      <c r="L951" t="str" cm="1">
        <f t="array" ref="L951">_xlfn.IFS(C951&lt;18,"Under_18",C951&lt;=25,"Youth",C951&lt;=35,"Young_Adults",C951&lt;=45,"Mid_Adults",TRUE,"Seniors")</f>
        <v>Youth</v>
      </c>
    </row>
    <row r="952" spans="1:12" x14ac:dyDescent="0.2">
      <c r="A952">
        <v>951</v>
      </c>
      <c r="B952" t="str">
        <f>_xlfn.XLOOKUP(A952,Instagram_Usage_Lifestyle_Mini_!A952,Instagram_Usage_Lifestyle_Mini_!B952,1)</f>
        <v>Instagram</v>
      </c>
      <c r="C952">
        <f>_xlfn.XLOOKUP($A:$A,Instagram_Usage_Lifestyle_Mini_!$A:$A,Instagram_Usage_Lifestyle_Mini_!$C:$K)</f>
        <v>16</v>
      </c>
      <c r="D952" t="str">
        <f>_xlfn.XLOOKUP($A:$A,Instagram_Usage_Lifestyle_Mini_!$A:$A,Instagram_Usage_Lifestyle_Mini_!$C:$K)</f>
        <v>Male</v>
      </c>
      <c r="E952" t="str">
        <f>_xlfn.XLOOKUP($A:$A,Instagram_Usage_Lifestyle_Mini_!$A:$A,Instagram_Usage_Lifestyle_Mini_!$C:$K)</f>
        <v>India</v>
      </c>
      <c r="F952" t="str">
        <f>_xlfn.XLOOKUP($A:$A,Instagram_Usage_Lifestyle_Mini_!$A:$A,Instagram_Usage_Lifestyle_Mini_!$C:$K)</f>
        <v>Urban</v>
      </c>
      <c r="G952" t="str">
        <f>_xlfn.XLOOKUP($A:$A,Instagram_Usage_Lifestyle_Mini_!$A:$A,Instagram_Usage_Lifestyle_Mini_!$C:$K)</f>
        <v>Middle</v>
      </c>
      <c r="H952" t="str">
        <f>_xlfn.XLOOKUP($A:$A,Instagram_Usage_Lifestyle_Mini_!$A:$A,Instagram_Usage_Lifestyle_Mini_!$C:$K)</f>
        <v>Student</v>
      </c>
      <c r="I952" t="str">
        <f>_xlfn.XLOOKUP($A:$A,Instagram_Usage_Lifestyle_Mini_!$A:$A,Instagram_Usage_Lifestyle_Mini_!$C:$K)</f>
        <v>Some_college</v>
      </c>
      <c r="J952" t="str">
        <f>_xlfn.XLOOKUP($A:$A,Instagram_Usage_Lifestyle_Mini_!$A:$A,Instagram_Usage_Lifestyle_Mini_!$C:$K)</f>
        <v>Single</v>
      </c>
      <c r="K952" t="str">
        <f>_xlfn.XLOOKUP($A:$A,Instagram_Usage_Lifestyle_Mini_!$A:$A,Instagram_Usage_Lifestyle_Mini_!$C:$K)</f>
        <v>No</v>
      </c>
      <c r="L952" t="str" cm="1">
        <f t="array" ref="L952">_xlfn.IFS(C952&lt;18,"Under_18",C952&lt;=25,"Youth",C952&lt;=35,"Young_Adults",C952&lt;=45,"Mid_Adults",TRUE,"Seniors")</f>
        <v>Under_18</v>
      </c>
    </row>
    <row r="953" spans="1:12" x14ac:dyDescent="0.2">
      <c r="A953">
        <v>952</v>
      </c>
      <c r="B953" t="str">
        <f>_xlfn.XLOOKUP(A953,Instagram_Usage_Lifestyle_Mini_!A953,Instagram_Usage_Lifestyle_Mini_!B953,1)</f>
        <v>Instagram</v>
      </c>
      <c r="C953">
        <f>_xlfn.XLOOKUP($A:$A,Instagram_Usage_Lifestyle_Mini_!$A:$A,Instagram_Usage_Lifestyle_Mini_!$C:$K)</f>
        <v>52</v>
      </c>
      <c r="D953" t="str">
        <f>_xlfn.XLOOKUP($A:$A,Instagram_Usage_Lifestyle_Mini_!$A:$A,Instagram_Usage_Lifestyle_Mini_!$C:$K)</f>
        <v>Female</v>
      </c>
      <c r="E953" t="str">
        <f>_xlfn.XLOOKUP($A:$A,Instagram_Usage_Lifestyle_Mini_!$A:$A,Instagram_Usage_Lifestyle_Mini_!$C:$K)</f>
        <v>United_States</v>
      </c>
      <c r="F953" t="str">
        <f>_xlfn.XLOOKUP($A:$A,Instagram_Usage_Lifestyle_Mini_!$A:$A,Instagram_Usage_Lifestyle_Mini_!$C:$K)</f>
        <v>Urban</v>
      </c>
      <c r="G953" t="str">
        <f>_xlfn.XLOOKUP($A:$A,Instagram_Usage_Lifestyle_Mini_!$A:$A,Instagram_Usage_Lifestyle_Mini_!$C:$K)</f>
        <v>Lower_middle</v>
      </c>
      <c r="H953" t="str">
        <f>_xlfn.XLOOKUP($A:$A,Instagram_Usage_Lifestyle_Mini_!$A:$A,Instagram_Usage_Lifestyle_Mini_!$C:$K)</f>
        <v>Full_time_employed</v>
      </c>
      <c r="I953" t="str">
        <f>_xlfn.XLOOKUP($A:$A,Instagram_Usage_Lifestyle_Mini_!$A:$A,Instagram_Usage_Lifestyle_Mini_!$C:$K)</f>
        <v>Bachelors_degree</v>
      </c>
      <c r="J953" t="str">
        <f>_xlfn.XLOOKUP($A:$A,Instagram_Usage_Lifestyle_Mini_!$A:$A,Instagram_Usage_Lifestyle_Mini_!$C:$K)</f>
        <v>Married</v>
      </c>
      <c r="K953" t="str">
        <f>_xlfn.XLOOKUP($A:$A,Instagram_Usage_Lifestyle_Mini_!$A:$A,Instagram_Usage_Lifestyle_Mini_!$C:$K)</f>
        <v>No</v>
      </c>
      <c r="L953" t="str" cm="1">
        <f t="array" ref="L953">_xlfn.IFS(C953&lt;18,"Under_18",C953&lt;=25,"Youth",C953&lt;=35,"Young_Adults",C953&lt;=45,"Mid_Adults",TRUE,"Seniors")</f>
        <v>Seniors</v>
      </c>
    </row>
    <row r="954" spans="1:12" x14ac:dyDescent="0.2">
      <c r="A954">
        <v>953</v>
      </c>
      <c r="B954" t="str">
        <f>_xlfn.XLOOKUP(A954,Instagram_Usage_Lifestyle_Mini_!A954,Instagram_Usage_Lifestyle_Mini_!B954,1)</f>
        <v>Instagram</v>
      </c>
      <c r="C954">
        <f>_xlfn.XLOOKUP($A:$A,Instagram_Usage_Lifestyle_Mini_!$A:$A,Instagram_Usage_Lifestyle_Mini_!$C:$K)</f>
        <v>16</v>
      </c>
      <c r="D954" t="str">
        <f>_xlfn.XLOOKUP($A:$A,Instagram_Usage_Lifestyle_Mini_!$A:$A,Instagram_Usage_Lifestyle_Mini_!$C:$K)</f>
        <v>Female</v>
      </c>
      <c r="E954" t="str">
        <f>_xlfn.XLOOKUP($A:$A,Instagram_Usage_Lifestyle_Mini_!$A:$A,Instagram_Usage_Lifestyle_Mini_!$C:$K)</f>
        <v>United_States</v>
      </c>
      <c r="F954" t="str">
        <f>_xlfn.XLOOKUP($A:$A,Instagram_Usage_Lifestyle_Mini_!$A:$A,Instagram_Usage_Lifestyle_Mini_!$C:$K)</f>
        <v>Urban</v>
      </c>
      <c r="G954" t="str">
        <f>_xlfn.XLOOKUP($A:$A,Instagram_Usage_Lifestyle_Mini_!$A:$A,Instagram_Usage_Lifestyle_Mini_!$C:$K)</f>
        <v>Middle</v>
      </c>
      <c r="H954" t="str">
        <f>_xlfn.XLOOKUP($A:$A,Instagram_Usage_Lifestyle_Mini_!$A:$A,Instagram_Usage_Lifestyle_Mini_!$C:$K)</f>
        <v>Student</v>
      </c>
      <c r="I954" t="str">
        <f>_xlfn.XLOOKUP($A:$A,Instagram_Usage_Lifestyle_Mini_!$A:$A,Instagram_Usage_Lifestyle_Mini_!$C:$K)</f>
        <v>Bachelors_degree</v>
      </c>
      <c r="J954" t="str">
        <f>_xlfn.XLOOKUP($A:$A,Instagram_Usage_Lifestyle_Mini_!$A:$A,Instagram_Usage_Lifestyle_Mini_!$C:$K)</f>
        <v>Single</v>
      </c>
      <c r="K954" t="str">
        <f>_xlfn.XLOOKUP($A:$A,Instagram_Usage_Lifestyle_Mini_!$A:$A,Instagram_Usage_Lifestyle_Mini_!$C:$K)</f>
        <v>No</v>
      </c>
      <c r="L954" t="str" cm="1">
        <f t="array" ref="L954">_xlfn.IFS(C954&lt;18,"Under_18",C954&lt;=25,"Youth",C954&lt;=35,"Young_Adults",C954&lt;=45,"Mid_Adults",TRUE,"Seniors")</f>
        <v>Under_18</v>
      </c>
    </row>
    <row r="955" spans="1:12" x14ac:dyDescent="0.2">
      <c r="A955">
        <v>954</v>
      </c>
      <c r="B955" t="str">
        <f>_xlfn.XLOOKUP(A955,Instagram_Usage_Lifestyle_Mini_!A955,Instagram_Usage_Lifestyle_Mini_!B955,1)</f>
        <v>Instagram</v>
      </c>
      <c r="C955">
        <f>_xlfn.XLOOKUP($A:$A,Instagram_Usage_Lifestyle_Mini_!$A:$A,Instagram_Usage_Lifestyle_Mini_!$C:$K)</f>
        <v>37</v>
      </c>
      <c r="D955" t="str">
        <f>_xlfn.XLOOKUP($A:$A,Instagram_Usage_Lifestyle_Mini_!$A:$A,Instagram_Usage_Lifestyle_Mini_!$C:$K)</f>
        <v>Female</v>
      </c>
      <c r="E955" t="str">
        <f>_xlfn.XLOOKUP($A:$A,Instagram_Usage_Lifestyle_Mini_!$A:$A,Instagram_Usage_Lifestyle_Mini_!$C:$K)</f>
        <v>United_States</v>
      </c>
      <c r="F955" t="str">
        <f>_xlfn.XLOOKUP($A:$A,Instagram_Usage_Lifestyle_Mini_!$A:$A,Instagram_Usage_Lifestyle_Mini_!$C:$K)</f>
        <v>Suburban</v>
      </c>
      <c r="G955" t="str">
        <f>_xlfn.XLOOKUP($A:$A,Instagram_Usage_Lifestyle_Mini_!$A:$A,Instagram_Usage_Lifestyle_Mini_!$C:$K)</f>
        <v>Lower_middle</v>
      </c>
      <c r="H955" t="str">
        <f>_xlfn.XLOOKUP($A:$A,Instagram_Usage_Lifestyle_Mini_!$A:$A,Instagram_Usage_Lifestyle_Mini_!$C:$K)</f>
        <v>Student</v>
      </c>
      <c r="I955" t="str">
        <f>_xlfn.XLOOKUP($A:$A,Instagram_Usage_Lifestyle_Mini_!$A:$A,Instagram_Usage_Lifestyle_Mini_!$C:$K)</f>
        <v>High_school</v>
      </c>
      <c r="J955" t="str">
        <f>_xlfn.XLOOKUP($A:$A,Instagram_Usage_Lifestyle_Mini_!$A:$A,Instagram_Usage_Lifestyle_Mini_!$C:$K)</f>
        <v>Married</v>
      </c>
      <c r="K955" t="str">
        <f>_xlfn.XLOOKUP($A:$A,Instagram_Usage_Lifestyle_Mini_!$A:$A,Instagram_Usage_Lifestyle_Mini_!$C:$K)</f>
        <v>No</v>
      </c>
      <c r="L955" t="str" cm="1">
        <f t="array" ref="L955">_xlfn.IFS(C955&lt;18,"Under_18",C955&lt;=25,"Youth",C955&lt;=35,"Young_Adults",C955&lt;=45,"Mid_Adults",TRUE,"Seniors")</f>
        <v>Mid_Adults</v>
      </c>
    </row>
    <row r="956" spans="1:12" x14ac:dyDescent="0.2">
      <c r="A956">
        <v>955</v>
      </c>
      <c r="B956" t="str">
        <f>_xlfn.XLOOKUP(A956,Instagram_Usage_Lifestyle_Mini_!A956,Instagram_Usage_Lifestyle_Mini_!B956,1)</f>
        <v>Instagram</v>
      </c>
      <c r="C956">
        <f>_xlfn.XLOOKUP($A:$A,Instagram_Usage_Lifestyle_Mini_!$A:$A,Instagram_Usage_Lifestyle_Mini_!$C:$K)</f>
        <v>15</v>
      </c>
      <c r="D956" t="str">
        <f>_xlfn.XLOOKUP($A:$A,Instagram_Usage_Lifestyle_Mini_!$A:$A,Instagram_Usage_Lifestyle_Mini_!$C:$K)</f>
        <v>Prefer_not _to _say</v>
      </c>
      <c r="E956" t="str">
        <f>_xlfn.XLOOKUP($A:$A,Instagram_Usage_Lifestyle_Mini_!$A:$A,Instagram_Usage_Lifestyle_Mini_!$C:$K)</f>
        <v>India</v>
      </c>
      <c r="F956" t="str">
        <f>_xlfn.XLOOKUP($A:$A,Instagram_Usage_Lifestyle_Mini_!$A:$A,Instagram_Usage_Lifestyle_Mini_!$C:$K)</f>
        <v>Urban</v>
      </c>
      <c r="G956" t="str">
        <f>_xlfn.XLOOKUP($A:$A,Instagram_Usage_Lifestyle_Mini_!$A:$A,Instagram_Usage_Lifestyle_Mini_!$C:$K)</f>
        <v>Upper_middle</v>
      </c>
      <c r="H956" t="str">
        <f>_xlfn.XLOOKUP($A:$A,Instagram_Usage_Lifestyle_Mini_!$A:$A,Instagram_Usage_Lifestyle_Mini_!$C:$K)</f>
        <v>Full_time_employed</v>
      </c>
      <c r="I956" t="str">
        <f>_xlfn.XLOOKUP($A:$A,Instagram_Usage_Lifestyle_Mini_!$A:$A,Instagram_Usage_Lifestyle_Mini_!$C:$K)</f>
        <v>Bachelors_degree</v>
      </c>
      <c r="J956" t="str">
        <f>_xlfn.XLOOKUP($A:$A,Instagram_Usage_Lifestyle_Mini_!$A:$A,Instagram_Usage_Lifestyle_Mini_!$C:$K)</f>
        <v>In_a_relationship</v>
      </c>
      <c r="K956" t="str">
        <f>_xlfn.XLOOKUP($A:$A,Instagram_Usage_Lifestyle_Mini_!$A:$A,Instagram_Usage_Lifestyle_Mini_!$C:$K)</f>
        <v>No</v>
      </c>
      <c r="L956" t="str" cm="1">
        <f t="array" ref="L956">_xlfn.IFS(C956&lt;18,"Under_18",C956&lt;=25,"Youth",C956&lt;=35,"Young_Adults",C956&lt;=45,"Mid_Adults",TRUE,"Seniors")</f>
        <v>Under_18</v>
      </c>
    </row>
    <row r="957" spans="1:12" x14ac:dyDescent="0.2">
      <c r="A957">
        <v>956</v>
      </c>
      <c r="B957" t="str">
        <f>_xlfn.XLOOKUP(A957,Instagram_Usage_Lifestyle_Mini_!A957,Instagram_Usage_Lifestyle_Mini_!B957,1)</f>
        <v>Instagram</v>
      </c>
      <c r="C957">
        <f>_xlfn.XLOOKUP($A:$A,Instagram_Usage_Lifestyle_Mini_!$A:$A,Instagram_Usage_Lifestyle_Mini_!$C:$K)</f>
        <v>44</v>
      </c>
      <c r="D957" t="str">
        <f>_xlfn.XLOOKUP($A:$A,Instagram_Usage_Lifestyle_Mini_!$A:$A,Instagram_Usage_Lifestyle_Mini_!$C:$K)</f>
        <v>Male</v>
      </c>
      <c r="E957" t="str">
        <f>_xlfn.XLOOKUP($A:$A,Instagram_Usage_Lifestyle_Mini_!$A:$A,Instagram_Usage_Lifestyle_Mini_!$C:$K)</f>
        <v>Canada</v>
      </c>
      <c r="F957" t="str">
        <f>_xlfn.XLOOKUP($A:$A,Instagram_Usage_Lifestyle_Mini_!$A:$A,Instagram_Usage_Lifestyle_Mini_!$C:$K)</f>
        <v>Rural</v>
      </c>
      <c r="G957" t="str">
        <f>_xlfn.XLOOKUP($A:$A,Instagram_Usage_Lifestyle_Mini_!$A:$A,Instagram_Usage_Lifestyle_Mini_!$C:$K)</f>
        <v>Middle</v>
      </c>
      <c r="H957" t="str">
        <f>_xlfn.XLOOKUP($A:$A,Instagram_Usage_Lifestyle_Mini_!$A:$A,Instagram_Usage_Lifestyle_Mini_!$C:$K)</f>
        <v>Part_time</v>
      </c>
      <c r="I957" t="str">
        <f>_xlfn.XLOOKUP($A:$A,Instagram_Usage_Lifestyle_Mini_!$A:$A,Instagram_Usage_Lifestyle_Mini_!$C:$K)</f>
        <v>Some_college</v>
      </c>
      <c r="J957" t="str">
        <f>_xlfn.XLOOKUP($A:$A,Instagram_Usage_Lifestyle_Mini_!$A:$A,Instagram_Usage_Lifestyle_Mini_!$C:$K)</f>
        <v>Single</v>
      </c>
      <c r="K957" t="str">
        <f>_xlfn.XLOOKUP($A:$A,Instagram_Usage_Lifestyle_Mini_!$A:$A,Instagram_Usage_Lifestyle_Mini_!$C:$K)</f>
        <v>No</v>
      </c>
      <c r="L957" t="str" cm="1">
        <f t="array" ref="L957">_xlfn.IFS(C957&lt;18,"Under_18",C957&lt;=25,"Youth",C957&lt;=35,"Young_Adults",C957&lt;=45,"Mid_Adults",TRUE,"Seniors")</f>
        <v>Mid_Adults</v>
      </c>
    </row>
    <row r="958" spans="1:12" x14ac:dyDescent="0.2">
      <c r="A958">
        <v>957</v>
      </c>
      <c r="B958" t="str">
        <f>_xlfn.XLOOKUP(A958,Instagram_Usage_Lifestyle_Mini_!A958,Instagram_Usage_Lifestyle_Mini_!B958,1)</f>
        <v>Instagram</v>
      </c>
      <c r="C958">
        <f>_xlfn.XLOOKUP($A:$A,Instagram_Usage_Lifestyle_Mini_!$A:$A,Instagram_Usage_Lifestyle_Mini_!$C:$K)</f>
        <v>15</v>
      </c>
      <c r="D958" t="str">
        <f>_xlfn.XLOOKUP($A:$A,Instagram_Usage_Lifestyle_Mini_!$A:$A,Instagram_Usage_Lifestyle_Mini_!$C:$K)</f>
        <v>Female</v>
      </c>
      <c r="E958" t="str">
        <f>_xlfn.XLOOKUP($A:$A,Instagram_Usage_Lifestyle_Mini_!$A:$A,Instagram_Usage_Lifestyle_Mini_!$C:$K)</f>
        <v>India</v>
      </c>
      <c r="F958" t="str">
        <f>_xlfn.XLOOKUP($A:$A,Instagram_Usage_Lifestyle_Mini_!$A:$A,Instagram_Usage_Lifestyle_Mini_!$C:$K)</f>
        <v>Urban</v>
      </c>
      <c r="G958" t="str">
        <f>_xlfn.XLOOKUP($A:$A,Instagram_Usage_Lifestyle_Mini_!$A:$A,Instagram_Usage_Lifestyle_Mini_!$C:$K)</f>
        <v>Middle</v>
      </c>
      <c r="H958" t="str">
        <f>_xlfn.XLOOKUP($A:$A,Instagram_Usage_Lifestyle_Mini_!$A:$A,Instagram_Usage_Lifestyle_Mini_!$C:$K)</f>
        <v>Full_time_employed</v>
      </c>
      <c r="I958" t="str">
        <f>_xlfn.XLOOKUP($A:$A,Instagram_Usage_Lifestyle_Mini_!$A:$A,Instagram_Usage_Lifestyle_Mini_!$C:$K)</f>
        <v>Some_college</v>
      </c>
      <c r="J958" t="str">
        <f>_xlfn.XLOOKUP($A:$A,Instagram_Usage_Lifestyle_Mini_!$A:$A,Instagram_Usage_Lifestyle_Mini_!$C:$K)</f>
        <v>Single</v>
      </c>
      <c r="K958" t="str">
        <f>_xlfn.XLOOKUP($A:$A,Instagram_Usage_Lifestyle_Mini_!$A:$A,Instagram_Usage_Lifestyle_Mini_!$C:$K)</f>
        <v>No</v>
      </c>
      <c r="L958" t="str" cm="1">
        <f t="array" ref="L958">_xlfn.IFS(C958&lt;18,"Under_18",C958&lt;=25,"Youth",C958&lt;=35,"Young_Adults",C958&lt;=45,"Mid_Adults",TRUE,"Seniors")</f>
        <v>Under_18</v>
      </c>
    </row>
    <row r="959" spans="1:12" x14ac:dyDescent="0.2">
      <c r="A959">
        <v>958</v>
      </c>
      <c r="B959" t="str">
        <f>_xlfn.XLOOKUP(A959,Instagram_Usage_Lifestyle_Mini_!A959,Instagram_Usage_Lifestyle_Mini_!B959,1)</f>
        <v>Instagram</v>
      </c>
      <c r="C959">
        <f>_xlfn.XLOOKUP($A:$A,Instagram_Usage_Lifestyle_Mini_!$A:$A,Instagram_Usage_Lifestyle_Mini_!$C:$K)</f>
        <v>39</v>
      </c>
      <c r="D959" t="str">
        <f>_xlfn.XLOOKUP($A:$A,Instagram_Usage_Lifestyle_Mini_!$A:$A,Instagram_Usage_Lifestyle_Mini_!$C:$K)</f>
        <v>Female</v>
      </c>
      <c r="E959" t="str">
        <f>_xlfn.XLOOKUP($A:$A,Instagram_Usage_Lifestyle_Mini_!$A:$A,Instagram_Usage_Lifestyle_Mini_!$C:$K)</f>
        <v>Brazil</v>
      </c>
      <c r="F959" t="str">
        <f>_xlfn.XLOOKUP($A:$A,Instagram_Usage_Lifestyle_Mini_!$A:$A,Instagram_Usage_Lifestyle_Mini_!$C:$K)</f>
        <v>Rural</v>
      </c>
      <c r="G959" t="str">
        <f>_xlfn.XLOOKUP($A:$A,Instagram_Usage_Lifestyle_Mini_!$A:$A,Instagram_Usage_Lifestyle_Mini_!$C:$K)</f>
        <v>Upper_middle</v>
      </c>
      <c r="H959" t="str">
        <f>_xlfn.XLOOKUP($A:$A,Instagram_Usage_Lifestyle_Mini_!$A:$A,Instagram_Usage_Lifestyle_Mini_!$C:$K)</f>
        <v>Unemployed</v>
      </c>
      <c r="I959" t="str">
        <f>_xlfn.XLOOKUP($A:$A,Instagram_Usage_Lifestyle_Mini_!$A:$A,Instagram_Usage_Lifestyle_Mini_!$C:$K)</f>
        <v>Bachelors_degree</v>
      </c>
      <c r="J959" t="str">
        <f>_xlfn.XLOOKUP($A:$A,Instagram_Usage_Lifestyle_Mini_!$A:$A,Instagram_Usage_Lifestyle_Mini_!$C:$K)</f>
        <v>Single</v>
      </c>
      <c r="K959" t="str">
        <f>_xlfn.XLOOKUP($A:$A,Instagram_Usage_Lifestyle_Mini_!$A:$A,Instagram_Usage_Lifestyle_Mini_!$C:$K)</f>
        <v>No</v>
      </c>
      <c r="L959" t="str" cm="1">
        <f t="array" ref="L959">_xlfn.IFS(C959&lt;18,"Under_18",C959&lt;=25,"Youth",C959&lt;=35,"Young_Adults",C959&lt;=45,"Mid_Adults",TRUE,"Seniors")</f>
        <v>Mid_Adults</v>
      </c>
    </row>
    <row r="960" spans="1:12" x14ac:dyDescent="0.2">
      <c r="A960">
        <v>959</v>
      </c>
      <c r="B960" t="str">
        <f>_xlfn.XLOOKUP(A960,Instagram_Usage_Lifestyle_Mini_!A960,Instagram_Usage_Lifestyle_Mini_!B960,1)</f>
        <v>Instagram</v>
      </c>
      <c r="C960">
        <f>_xlfn.XLOOKUP($A:$A,Instagram_Usage_Lifestyle_Mini_!$A:$A,Instagram_Usage_Lifestyle_Mini_!$C:$K)</f>
        <v>41</v>
      </c>
      <c r="D960" t="str">
        <f>_xlfn.XLOOKUP($A:$A,Instagram_Usage_Lifestyle_Mini_!$A:$A,Instagram_Usage_Lifestyle_Mini_!$C:$K)</f>
        <v>Male</v>
      </c>
      <c r="E960" t="str">
        <f>_xlfn.XLOOKUP($A:$A,Instagram_Usage_Lifestyle_Mini_!$A:$A,Instagram_Usage_Lifestyle_Mini_!$C:$K)</f>
        <v>Australia</v>
      </c>
      <c r="F960" t="str">
        <f>_xlfn.XLOOKUP($A:$A,Instagram_Usage_Lifestyle_Mini_!$A:$A,Instagram_Usage_Lifestyle_Mini_!$C:$K)</f>
        <v>Urban</v>
      </c>
      <c r="G960" t="str">
        <f>_xlfn.XLOOKUP($A:$A,Instagram_Usage_Lifestyle_Mini_!$A:$A,Instagram_Usage_Lifestyle_Mini_!$C:$K)</f>
        <v>Lower_middle</v>
      </c>
      <c r="H960" t="str">
        <f>_xlfn.XLOOKUP($A:$A,Instagram_Usage_Lifestyle_Mini_!$A:$A,Instagram_Usage_Lifestyle_Mini_!$C:$K)</f>
        <v>Full_time_employed</v>
      </c>
      <c r="I960" t="str">
        <f>_xlfn.XLOOKUP($A:$A,Instagram_Usage_Lifestyle_Mini_!$A:$A,Instagram_Usage_Lifestyle_Mini_!$C:$K)</f>
        <v>Some_college</v>
      </c>
      <c r="J960" t="str">
        <f>_xlfn.XLOOKUP($A:$A,Instagram_Usage_Lifestyle_Mini_!$A:$A,Instagram_Usage_Lifestyle_Mini_!$C:$K)</f>
        <v>In_a_relationship</v>
      </c>
      <c r="K960" t="str">
        <f>_xlfn.XLOOKUP($A:$A,Instagram_Usage_Lifestyle_Mini_!$A:$A,Instagram_Usage_Lifestyle_Mini_!$C:$K)</f>
        <v>No</v>
      </c>
      <c r="L960" t="str" cm="1">
        <f t="array" ref="L960">_xlfn.IFS(C960&lt;18,"Under_18",C960&lt;=25,"Youth",C960&lt;=35,"Young_Adults",C960&lt;=45,"Mid_Adults",TRUE,"Seniors")</f>
        <v>Mid_Adults</v>
      </c>
    </row>
    <row r="961" spans="1:12" x14ac:dyDescent="0.2">
      <c r="A961">
        <v>960</v>
      </c>
      <c r="B961" t="str">
        <f>_xlfn.XLOOKUP(A961,Instagram_Usage_Lifestyle_Mini_!A961,Instagram_Usage_Lifestyle_Mini_!B961,1)</f>
        <v>Instagram</v>
      </c>
      <c r="C961">
        <f>_xlfn.XLOOKUP($A:$A,Instagram_Usage_Lifestyle_Mini_!$A:$A,Instagram_Usage_Lifestyle_Mini_!$C:$K)</f>
        <v>44</v>
      </c>
      <c r="D961" t="str">
        <f>_xlfn.XLOOKUP($A:$A,Instagram_Usage_Lifestyle_Mini_!$A:$A,Instagram_Usage_Lifestyle_Mini_!$C:$K)</f>
        <v>Male</v>
      </c>
      <c r="E961" t="str">
        <f>_xlfn.XLOOKUP($A:$A,Instagram_Usage_Lifestyle_Mini_!$A:$A,Instagram_Usage_Lifestyle_Mini_!$C:$K)</f>
        <v>India</v>
      </c>
      <c r="F961" t="str">
        <f>_xlfn.XLOOKUP($A:$A,Instagram_Usage_Lifestyle_Mini_!$A:$A,Instagram_Usage_Lifestyle_Mini_!$C:$K)</f>
        <v>Suburban</v>
      </c>
      <c r="G961" t="str">
        <f>_xlfn.XLOOKUP($A:$A,Instagram_Usage_Lifestyle_Mini_!$A:$A,Instagram_Usage_Lifestyle_Mini_!$C:$K)</f>
        <v>Lower_middle</v>
      </c>
      <c r="H961" t="str">
        <f>_xlfn.XLOOKUP($A:$A,Instagram_Usage_Lifestyle_Mini_!$A:$A,Instagram_Usage_Lifestyle_Mini_!$C:$K)</f>
        <v>Full_time_employed</v>
      </c>
      <c r="I961" t="str">
        <f>_xlfn.XLOOKUP($A:$A,Instagram_Usage_Lifestyle_Mini_!$A:$A,Instagram_Usage_Lifestyle_Mini_!$C:$K)</f>
        <v>Some_college</v>
      </c>
      <c r="J961" t="str">
        <f>_xlfn.XLOOKUP($A:$A,Instagram_Usage_Lifestyle_Mini_!$A:$A,Instagram_Usage_Lifestyle_Mini_!$C:$K)</f>
        <v>Single</v>
      </c>
      <c r="K961" t="str">
        <f>_xlfn.XLOOKUP($A:$A,Instagram_Usage_Lifestyle_Mini_!$A:$A,Instagram_Usage_Lifestyle_Mini_!$C:$K)</f>
        <v>No</v>
      </c>
      <c r="L961" t="str" cm="1">
        <f t="array" ref="L961">_xlfn.IFS(C961&lt;18,"Under_18",C961&lt;=25,"Youth",C961&lt;=35,"Young_Adults",C961&lt;=45,"Mid_Adults",TRUE,"Seniors")</f>
        <v>Mid_Adults</v>
      </c>
    </row>
    <row r="962" spans="1:12" x14ac:dyDescent="0.2">
      <c r="A962">
        <v>961</v>
      </c>
      <c r="B962" t="str">
        <f>_xlfn.XLOOKUP(A962,Instagram_Usage_Lifestyle_Mini_!A962,Instagram_Usage_Lifestyle_Mini_!B962,1)</f>
        <v>Instagram</v>
      </c>
      <c r="C962">
        <f>_xlfn.XLOOKUP($A:$A,Instagram_Usage_Lifestyle_Mini_!$A:$A,Instagram_Usage_Lifestyle_Mini_!$C:$K)</f>
        <v>62</v>
      </c>
      <c r="D962" t="str">
        <f>_xlfn.XLOOKUP($A:$A,Instagram_Usage_Lifestyle_Mini_!$A:$A,Instagram_Usage_Lifestyle_Mini_!$C:$K)</f>
        <v>Male</v>
      </c>
      <c r="E962" t="str">
        <f>_xlfn.XLOOKUP($A:$A,Instagram_Usage_Lifestyle_Mini_!$A:$A,Instagram_Usage_Lifestyle_Mini_!$C:$K)</f>
        <v>United_States</v>
      </c>
      <c r="F962" t="str">
        <f>_xlfn.XLOOKUP($A:$A,Instagram_Usage_Lifestyle_Mini_!$A:$A,Instagram_Usage_Lifestyle_Mini_!$C:$K)</f>
        <v>Urban</v>
      </c>
      <c r="G962" t="str">
        <f>_xlfn.XLOOKUP($A:$A,Instagram_Usage_Lifestyle_Mini_!$A:$A,Instagram_Usage_Lifestyle_Mini_!$C:$K)</f>
        <v>Middle</v>
      </c>
      <c r="H962" t="str">
        <f>_xlfn.XLOOKUP($A:$A,Instagram_Usage_Lifestyle_Mini_!$A:$A,Instagram_Usage_Lifestyle_Mini_!$C:$K)</f>
        <v>Full_time_employed</v>
      </c>
      <c r="I962" t="str">
        <f>_xlfn.XLOOKUP($A:$A,Instagram_Usage_Lifestyle_Mini_!$A:$A,Instagram_Usage_Lifestyle_Mini_!$C:$K)</f>
        <v>PhD</v>
      </c>
      <c r="J962" t="str">
        <f>_xlfn.XLOOKUP($A:$A,Instagram_Usage_Lifestyle_Mini_!$A:$A,Instagram_Usage_Lifestyle_Mini_!$C:$K)</f>
        <v>In_a_relationship</v>
      </c>
      <c r="K962" t="str">
        <f>_xlfn.XLOOKUP($A:$A,Instagram_Usage_Lifestyle_Mini_!$A:$A,Instagram_Usage_Lifestyle_Mini_!$C:$K)</f>
        <v>No</v>
      </c>
      <c r="L962" t="str" cm="1">
        <f t="array" ref="L962">_xlfn.IFS(C962&lt;18,"Under_18",C962&lt;=25,"Youth",C962&lt;=35,"Young_Adults",C962&lt;=45,"Mid_Adults",TRUE,"Seniors")</f>
        <v>Seniors</v>
      </c>
    </row>
    <row r="963" spans="1:12" x14ac:dyDescent="0.2">
      <c r="A963">
        <v>962</v>
      </c>
      <c r="B963" t="str">
        <f>_xlfn.XLOOKUP(A963,Instagram_Usage_Lifestyle_Mini_!A963,Instagram_Usage_Lifestyle_Mini_!B963,1)</f>
        <v>Instagram</v>
      </c>
      <c r="C963">
        <f>_xlfn.XLOOKUP($A:$A,Instagram_Usage_Lifestyle_Mini_!$A:$A,Instagram_Usage_Lifestyle_Mini_!$C:$K)</f>
        <v>63</v>
      </c>
      <c r="D963" t="str">
        <f>_xlfn.XLOOKUP($A:$A,Instagram_Usage_Lifestyle_Mini_!$A:$A,Instagram_Usage_Lifestyle_Mini_!$C:$K)</f>
        <v>Male</v>
      </c>
      <c r="E963" t="str">
        <f>_xlfn.XLOOKUP($A:$A,Instagram_Usage_Lifestyle_Mini_!$A:$A,Instagram_Usage_Lifestyle_Mini_!$C:$K)</f>
        <v>United_States</v>
      </c>
      <c r="F963" t="str">
        <f>_xlfn.XLOOKUP($A:$A,Instagram_Usage_Lifestyle_Mini_!$A:$A,Instagram_Usage_Lifestyle_Mini_!$C:$K)</f>
        <v>Urban</v>
      </c>
      <c r="G963" t="str">
        <f>_xlfn.XLOOKUP($A:$A,Instagram_Usage_Lifestyle_Mini_!$A:$A,Instagram_Usage_Lifestyle_Mini_!$C:$K)</f>
        <v>High</v>
      </c>
      <c r="H963" t="str">
        <f>_xlfn.XLOOKUP($A:$A,Instagram_Usage_Lifestyle_Mini_!$A:$A,Instagram_Usage_Lifestyle_Mini_!$C:$K)</f>
        <v>Full_time_employed</v>
      </c>
      <c r="I963" t="str">
        <f>_xlfn.XLOOKUP($A:$A,Instagram_Usage_Lifestyle_Mini_!$A:$A,Instagram_Usage_Lifestyle_Mini_!$C:$K)</f>
        <v>Bachelors_degree</v>
      </c>
      <c r="J963" t="str">
        <f>_xlfn.XLOOKUP($A:$A,Instagram_Usage_Lifestyle_Mini_!$A:$A,Instagram_Usage_Lifestyle_Mini_!$C:$K)</f>
        <v>Single</v>
      </c>
      <c r="K963" t="str">
        <f>_xlfn.XLOOKUP($A:$A,Instagram_Usage_Lifestyle_Mini_!$A:$A,Instagram_Usage_Lifestyle_Mini_!$C:$K)</f>
        <v>No</v>
      </c>
      <c r="L963" t="str" cm="1">
        <f t="array" ref="L963">_xlfn.IFS(C963&lt;18,"Under_18",C963&lt;=25,"Youth",C963&lt;=35,"Young_Adults",C963&lt;=45,"Mid_Adults",TRUE,"Seniors")</f>
        <v>Seniors</v>
      </c>
    </row>
    <row r="964" spans="1:12" x14ac:dyDescent="0.2">
      <c r="A964">
        <v>963</v>
      </c>
      <c r="B964" t="str">
        <f>_xlfn.XLOOKUP(A964,Instagram_Usage_Lifestyle_Mini_!A964,Instagram_Usage_Lifestyle_Mini_!B964,1)</f>
        <v>Instagram</v>
      </c>
      <c r="C964">
        <f>_xlfn.XLOOKUP($A:$A,Instagram_Usage_Lifestyle_Mini_!$A:$A,Instagram_Usage_Lifestyle_Mini_!$C:$K)</f>
        <v>31</v>
      </c>
      <c r="D964" t="str">
        <f>_xlfn.XLOOKUP($A:$A,Instagram_Usage_Lifestyle_Mini_!$A:$A,Instagram_Usage_Lifestyle_Mini_!$C:$K)</f>
        <v>Male</v>
      </c>
      <c r="E964" t="str">
        <f>_xlfn.XLOOKUP($A:$A,Instagram_Usage_Lifestyle_Mini_!$A:$A,Instagram_Usage_Lifestyle_Mini_!$C:$K)</f>
        <v>United_States</v>
      </c>
      <c r="F964" t="str">
        <f>_xlfn.XLOOKUP($A:$A,Instagram_Usage_Lifestyle_Mini_!$A:$A,Instagram_Usage_Lifestyle_Mini_!$C:$K)</f>
        <v>Urban</v>
      </c>
      <c r="G964" t="str">
        <f>_xlfn.XLOOKUP($A:$A,Instagram_Usage_Lifestyle_Mini_!$A:$A,Instagram_Usage_Lifestyle_Mini_!$C:$K)</f>
        <v>Upper_middle</v>
      </c>
      <c r="H964" t="str">
        <f>_xlfn.XLOOKUP($A:$A,Instagram_Usage_Lifestyle_Mini_!$A:$A,Instagram_Usage_Lifestyle_Mini_!$C:$K)</f>
        <v>Freelancer</v>
      </c>
      <c r="I964" t="str">
        <f>_xlfn.XLOOKUP($A:$A,Instagram_Usage_Lifestyle_Mini_!$A:$A,Instagram_Usage_Lifestyle_Mini_!$C:$K)</f>
        <v>Bachelors_degree</v>
      </c>
      <c r="J964" t="str">
        <f>_xlfn.XLOOKUP($A:$A,Instagram_Usage_Lifestyle_Mini_!$A:$A,Instagram_Usage_Lifestyle_Mini_!$C:$K)</f>
        <v>Single</v>
      </c>
      <c r="K964" t="str">
        <f>_xlfn.XLOOKUP($A:$A,Instagram_Usage_Lifestyle_Mini_!$A:$A,Instagram_Usage_Lifestyle_Mini_!$C:$K)</f>
        <v>No</v>
      </c>
      <c r="L964" t="str" cm="1">
        <f t="array" ref="L964">_xlfn.IFS(C964&lt;18,"Under_18",C964&lt;=25,"Youth",C964&lt;=35,"Young_Adults",C964&lt;=45,"Mid_Adults",TRUE,"Seniors")</f>
        <v>Young_Adults</v>
      </c>
    </row>
    <row r="965" spans="1:12" x14ac:dyDescent="0.2">
      <c r="A965">
        <v>964</v>
      </c>
      <c r="B965" t="str">
        <f>_xlfn.XLOOKUP(A965,Instagram_Usage_Lifestyle_Mini_!A965,Instagram_Usage_Lifestyle_Mini_!B965,1)</f>
        <v>Instagram</v>
      </c>
      <c r="C965">
        <f>_xlfn.XLOOKUP($A:$A,Instagram_Usage_Lifestyle_Mini_!$A:$A,Instagram_Usage_Lifestyle_Mini_!$C:$K)</f>
        <v>33</v>
      </c>
      <c r="D965" t="str">
        <f>_xlfn.XLOOKUP($A:$A,Instagram_Usage_Lifestyle_Mini_!$A:$A,Instagram_Usage_Lifestyle_Mini_!$C:$K)</f>
        <v>Female</v>
      </c>
      <c r="E965" t="str">
        <f>_xlfn.XLOOKUP($A:$A,Instagram_Usage_Lifestyle_Mini_!$A:$A,Instagram_Usage_Lifestyle_Mini_!$C:$K)</f>
        <v>United_States</v>
      </c>
      <c r="F965" t="str">
        <f>_xlfn.XLOOKUP($A:$A,Instagram_Usage_Lifestyle_Mini_!$A:$A,Instagram_Usage_Lifestyle_Mini_!$C:$K)</f>
        <v>Urban</v>
      </c>
      <c r="G965" t="str">
        <f>_xlfn.XLOOKUP($A:$A,Instagram_Usage_Lifestyle_Mini_!$A:$A,Instagram_Usage_Lifestyle_Mini_!$C:$K)</f>
        <v>Middle</v>
      </c>
      <c r="H965" t="str">
        <f>_xlfn.XLOOKUP($A:$A,Instagram_Usage_Lifestyle_Mini_!$A:$A,Instagram_Usage_Lifestyle_Mini_!$C:$K)</f>
        <v>Freelancer</v>
      </c>
      <c r="I965" t="str">
        <f>_xlfn.XLOOKUP($A:$A,Instagram_Usage_Lifestyle_Mini_!$A:$A,Instagram_Usage_Lifestyle_Mini_!$C:$K)</f>
        <v>Bachelors_degree</v>
      </c>
      <c r="J965" t="str">
        <f>_xlfn.XLOOKUP($A:$A,Instagram_Usage_Lifestyle_Mini_!$A:$A,Instagram_Usage_Lifestyle_Mini_!$C:$K)</f>
        <v>Single</v>
      </c>
      <c r="K965" t="str">
        <f>_xlfn.XLOOKUP($A:$A,Instagram_Usage_Lifestyle_Mini_!$A:$A,Instagram_Usage_Lifestyle_Mini_!$C:$K)</f>
        <v>No</v>
      </c>
      <c r="L965" t="str" cm="1">
        <f t="array" ref="L965">_xlfn.IFS(C965&lt;18,"Under_18",C965&lt;=25,"Youth",C965&lt;=35,"Young_Adults",C965&lt;=45,"Mid_Adults",TRUE,"Seniors")</f>
        <v>Young_Adults</v>
      </c>
    </row>
    <row r="966" spans="1:12" x14ac:dyDescent="0.2">
      <c r="A966">
        <v>965</v>
      </c>
      <c r="B966" t="str">
        <f>_xlfn.XLOOKUP(A966,Instagram_Usage_Lifestyle_Mini_!A966,Instagram_Usage_Lifestyle_Mini_!B966,1)</f>
        <v>Instagram</v>
      </c>
      <c r="C966">
        <f>_xlfn.XLOOKUP($A:$A,Instagram_Usage_Lifestyle_Mini_!$A:$A,Instagram_Usage_Lifestyle_Mini_!$C:$K)</f>
        <v>17</v>
      </c>
      <c r="D966" t="str">
        <f>_xlfn.XLOOKUP($A:$A,Instagram_Usage_Lifestyle_Mini_!$A:$A,Instagram_Usage_Lifestyle_Mini_!$C:$K)</f>
        <v>Male</v>
      </c>
      <c r="E966" t="str">
        <f>_xlfn.XLOOKUP($A:$A,Instagram_Usage_Lifestyle_Mini_!$A:$A,Instagram_Usage_Lifestyle_Mini_!$C:$K)</f>
        <v>United _Kingdom</v>
      </c>
      <c r="F966" t="str">
        <f>_xlfn.XLOOKUP($A:$A,Instagram_Usage_Lifestyle_Mini_!$A:$A,Instagram_Usage_Lifestyle_Mini_!$C:$K)</f>
        <v>Suburban</v>
      </c>
      <c r="G966" t="str">
        <f>_xlfn.XLOOKUP($A:$A,Instagram_Usage_Lifestyle_Mini_!$A:$A,Instagram_Usage_Lifestyle_Mini_!$C:$K)</f>
        <v>Low</v>
      </c>
      <c r="H966" t="str">
        <f>_xlfn.XLOOKUP($A:$A,Instagram_Usage_Lifestyle_Mini_!$A:$A,Instagram_Usage_Lifestyle_Mini_!$C:$K)</f>
        <v>Part_time</v>
      </c>
      <c r="I966" t="str">
        <f>_xlfn.XLOOKUP($A:$A,Instagram_Usage_Lifestyle_Mini_!$A:$A,Instagram_Usage_Lifestyle_Mini_!$C:$K)</f>
        <v>Bachelors_degree</v>
      </c>
      <c r="J966" t="str">
        <f>_xlfn.XLOOKUP($A:$A,Instagram_Usage_Lifestyle_Mini_!$A:$A,Instagram_Usage_Lifestyle_Mini_!$C:$K)</f>
        <v>Single</v>
      </c>
      <c r="K966" t="str">
        <f>_xlfn.XLOOKUP($A:$A,Instagram_Usage_Lifestyle_Mini_!$A:$A,Instagram_Usage_Lifestyle_Mini_!$C:$K)</f>
        <v>Yes</v>
      </c>
      <c r="L966" t="str" cm="1">
        <f t="array" ref="L966">_xlfn.IFS(C966&lt;18,"Under_18",C966&lt;=25,"Youth",C966&lt;=35,"Young_Adults",C966&lt;=45,"Mid_Adults",TRUE,"Seniors")</f>
        <v>Under_18</v>
      </c>
    </row>
    <row r="967" spans="1:12" x14ac:dyDescent="0.2">
      <c r="A967">
        <v>966</v>
      </c>
      <c r="B967" t="str">
        <f>_xlfn.XLOOKUP(A967,Instagram_Usage_Lifestyle_Mini_!A967,Instagram_Usage_Lifestyle_Mini_!B967,1)</f>
        <v>Instagram</v>
      </c>
      <c r="C967">
        <f>_xlfn.XLOOKUP($A:$A,Instagram_Usage_Lifestyle_Mini_!$A:$A,Instagram_Usage_Lifestyle_Mini_!$C:$K)</f>
        <v>30</v>
      </c>
      <c r="D967" t="str">
        <f>_xlfn.XLOOKUP($A:$A,Instagram_Usage_Lifestyle_Mini_!$A:$A,Instagram_Usage_Lifestyle_Mini_!$C:$K)</f>
        <v>Female</v>
      </c>
      <c r="E967" t="str">
        <f>_xlfn.XLOOKUP($A:$A,Instagram_Usage_Lifestyle_Mini_!$A:$A,Instagram_Usage_Lifestyle_Mini_!$C:$K)</f>
        <v>India</v>
      </c>
      <c r="F967" t="str">
        <f>_xlfn.XLOOKUP($A:$A,Instagram_Usage_Lifestyle_Mini_!$A:$A,Instagram_Usage_Lifestyle_Mini_!$C:$K)</f>
        <v>Urban</v>
      </c>
      <c r="G967" t="str">
        <f>_xlfn.XLOOKUP($A:$A,Instagram_Usage_Lifestyle_Mini_!$A:$A,Instagram_Usage_Lifestyle_Mini_!$C:$K)</f>
        <v>Middle</v>
      </c>
      <c r="H967" t="str">
        <f>_xlfn.XLOOKUP($A:$A,Instagram_Usage_Lifestyle_Mini_!$A:$A,Instagram_Usage_Lifestyle_Mini_!$C:$K)</f>
        <v>Unemployed</v>
      </c>
      <c r="I967" t="str">
        <f>_xlfn.XLOOKUP($A:$A,Instagram_Usage_Lifestyle_Mini_!$A:$A,Instagram_Usage_Lifestyle_Mini_!$C:$K)</f>
        <v>High_school</v>
      </c>
      <c r="J967" t="str">
        <f>_xlfn.XLOOKUP($A:$A,Instagram_Usage_Lifestyle_Mini_!$A:$A,Instagram_Usage_Lifestyle_Mini_!$C:$K)</f>
        <v>Single</v>
      </c>
      <c r="K967" t="str">
        <f>_xlfn.XLOOKUP($A:$A,Instagram_Usage_Lifestyle_Mini_!$A:$A,Instagram_Usage_Lifestyle_Mini_!$C:$K)</f>
        <v>No</v>
      </c>
      <c r="L967" t="str" cm="1">
        <f t="array" ref="L967">_xlfn.IFS(C967&lt;18,"Under_18",C967&lt;=25,"Youth",C967&lt;=35,"Young_Adults",C967&lt;=45,"Mid_Adults",TRUE,"Seniors")</f>
        <v>Young_Adults</v>
      </c>
    </row>
    <row r="968" spans="1:12" x14ac:dyDescent="0.2">
      <c r="A968">
        <v>967</v>
      </c>
      <c r="B968" t="str">
        <f>_xlfn.XLOOKUP(A968,Instagram_Usage_Lifestyle_Mini_!A968,Instagram_Usage_Lifestyle_Mini_!B968,1)</f>
        <v>Instagram</v>
      </c>
      <c r="C968">
        <f>_xlfn.XLOOKUP($A:$A,Instagram_Usage_Lifestyle_Mini_!$A:$A,Instagram_Usage_Lifestyle_Mini_!$C:$K)</f>
        <v>40</v>
      </c>
      <c r="D968" t="str">
        <f>_xlfn.XLOOKUP($A:$A,Instagram_Usage_Lifestyle_Mini_!$A:$A,Instagram_Usage_Lifestyle_Mini_!$C:$K)</f>
        <v>Male</v>
      </c>
      <c r="E968" t="str">
        <f>_xlfn.XLOOKUP($A:$A,Instagram_Usage_Lifestyle_Mini_!$A:$A,Instagram_Usage_Lifestyle_Mini_!$C:$K)</f>
        <v>India</v>
      </c>
      <c r="F968" t="str">
        <f>_xlfn.XLOOKUP($A:$A,Instagram_Usage_Lifestyle_Mini_!$A:$A,Instagram_Usage_Lifestyle_Mini_!$C:$K)</f>
        <v>Urban</v>
      </c>
      <c r="G968" t="str">
        <f>_xlfn.XLOOKUP($A:$A,Instagram_Usage_Lifestyle_Mini_!$A:$A,Instagram_Usage_Lifestyle_Mini_!$C:$K)</f>
        <v>Lower_middle</v>
      </c>
      <c r="H968" t="str">
        <f>_xlfn.XLOOKUP($A:$A,Instagram_Usage_Lifestyle_Mini_!$A:$A,Instagram_Usage_Lifestyle_Mini_!$C:$K)</f>
        <v>Full_time_employed</v>
      </c>
      <c r="I968" t="str">
        <f>_xlfn.XLOOKUP($A:$A,Instagram_Usage_Lifestyle_Mini_!$A:$A,Instagram_Usage_Lifestyle_Mini_!$C:$K)</f>
        <v>High_school</v>
      </c>
      <c r="J968" t="str">
        <f>_xlfn.XLOOKUP($A:$A,Instagram_Usage_Lifestyle_Mini_!$A:$A,Instagram_Usage_Lifestyle_Mini_!$C:$K)</f>
        <v>Single</v>
      </c>
      <c r="K968" t="str">
        <f>_xlfn.XLOOKUP($A:$A,Instagram_Usage_Lifestyle_Mini_!$A:$A,Instagram_Usage_Lifestyle_Mini_!$C:$K)</f>
        <v>No</v>
      </c>
      <c r="L968" t="str" cm="1">
        <f t="array" ref="L968">_xlfn.IFS(C968&lt;18,"Under_18",C968&lt;=25,"Youth",C968&lt;=35,"Young_Adults",C968&lt;=45,"Mid_Adults",TRUE,"Seniors")</f>
        <v>Mid_Adults</v>
      </c>
    </row>
    <row r="969" spans="1:12" x14ac:dyDescent="0.2">
      <c r="A969">
        <v>968</v>
      </c>
      <c r="B969" t="str">
        <f>_xlfn.XLOOKUP(A969,Instagram_Usage_Lifestyle_Mini_!A969,Instagram_Usage_Lifestyle_Mini_!B969,1)</f>
        <v>Instagram</v>
      </c>
      <c r="C969">
        <f>_xlfn.XLOOKUP($A:$A,Instagram_Usage_Lifestyle_Mini_!$A:$A,Instagram_Usage_Lifestyle_Mini_!$C:$K)</f>
        <v>54</v>
      </c>
      <c r="D969" t="str">
        <f>_xlfn.XLOOKUP($A:$A,Instagram_Usage_Lifestyle_Mini_!$A:$A,Instagram_Usage_Lifestyle_Mini_!$C:$K)</f>
        <v>Female</v>
      </c>
      <c r="E969" t="str">
        <f>_xlfn.XLOOKUP($A:$A,Instagram_Usage_Lifestyle_Mini_!$A:$A,Instagram_Usage_Lifestyle_Mini_!$C:$K)</f>
        <v>Brazil</v>
      </c>
      <c r="F969" t="str">
        <f>_xlfn.XLOOKUP($A:$A,Instagram_Usage_Lifestyle_Mini_!$A:$A,Instagram_Usage_Lifestyle_Mini_!$C:$K)</f>
        <v>Urban</v>
      </c>
      <c r="G969" t="str">
        <f>_xlfn.XLOOKUP($A:$A,Instagram_Usage_Lifestyle_Mini_!$A:$A,Instagram_Usage_Lifestyle_Mini_!$C:$K)</f>
        <v>Upper_middle</v>
      </c>
      <c r="H969" t="str">
        <f>_xlfn.XLOOKUP($A:$A,Instagram_Usage_Lifestyle_Mini_!$A:$A,Instagram_Usage_Lifestyle_Mini_!$C:$K)</f>
        <v>Freelancer</v>
      </c>
      <c r="I969" t="str">
        <f>_xlfn.XLOOKUP($A:$A,Instagram_Usage_Lifestyle_Mini_!$A:$A,Instagram_Usage_Lifestyle_Mini_!$C:$K)</f>
        <v>High_school</v>
      </c>
      <c r="J969" t="str">
        <f>_xlfn.XLOOKUP($A:$A,Instagram_Usage_Lifestyle_Mini_!$A:$A,Instagram_Usage_Lifestyle_Mini_!$C:$K)</f>
        <v>Single</v>
      </c>
      <c r="K969" t="str">
        <f>_xlfn.XLOOKUP($A:$A,Instagram_Usage_Lifestyle_Mini_!$A:$A,Instagram_Usage_Lifestyle_Mini_!$C:$K)</f>
        <v>Yes</v>
      </c>
      <c r="L969" t="str" cm="1">
        <f t="array" ref="L969">_xlfn.IFS(C969&lt;18,"Under_18",C969&lt;=25,"Youth",C969&lt;=35,"Young_Adults",C969&lt;=45,"Mid_Adults",TRUE,"Seniors")</f>
        <v>Seniors</v>
      </c>
    </row>
    <row r="970" spans="1:12" x14ac:dyDescent="0.2">
      <c r="A970">
        <v>969</v>
      </c>
      <c r="B970" t="str">
        <f>_xlfn.XLOOKUP(A970,Instagram_Usage_Lifestyle_Mini_!A970,Instagram_Usage_Lifestyle_Mini_!B970,1)</f>
        <v>Instagram</v>
      </c>
      <c r="C970">
        <f>_xlfn.XLOOKUP($A:$A,Instagram_Usage_Lifestyle_Mini_!$A:$A,Instagram_Usage_Lifestyle_Mini_!$C:$K)</f>
        <v>34</v>
      </c>
      <c r="D970" t="str">
        <f>_xlfn.XLOOKUP($A:$A,Instagram_Usage_Lifestyle_Mini_!$A:$A,Instagram_Usage_Lifestyle_Mini_!$C:$K)</f>
        <v>Male</v>
      </c>
      <c r="E970" t="str">
        <f>_xlfn.XLOOKUP($A:$A,Instagram_Usage_Lifestyle_Mini_!$A:$A,Instagram_Usage_Lifestyle_Mini_!$C:$K)</f>
        <v>Brazil</v>
      </c>
      <c r="F970" t="str">
        <f>_xlfn.XLOOKUP($A:$A,Instagram_Usage_Lifestyle_Mini_!$A:$A,Instagram_Usage_Lifestyle_Mini_!$C:$K)</f>
        <v>Urban</v>
      </c>
      <c r="G970" t="str">
        <f>_xlfn.XLOOKUP($A:$A,Instagram_Usage_Lifestyle_Mini_!$A:$A,Instagram_Usage_Lifestyle_Mini_!$C:$K)</f>
        <v>Lower_middle</v>
      </c>
      <c r="H970" t="str">
        <f>_xlfn.XLOOKUP($A:$A,Instagram_Usage_Lifestyle_Mini_!$A:$A,Instagram_Usage_Lifestyle_Mini_!$C:$K)</f>
        <v>Full_time_employed</v>
      </c>
      <c r="I970" t="str">
        <f>_xlfn.XLOOKUP($A:$A,Instagram_Usage_Lifestyle_Mini_!$A:$A,Instagram_Usage_Lifestyle_Mini_!$C:$K)</f>
        <v>High_school</v>
      </c>
      <c r="J970" t="str">
        <f>_xlfn.XLOOKUP($A:$A,Instagram_Usage_Lifestyle_Mini_!$A:$A,Instagram_Usage_Lifestyle_Mini_!$C:$K)</f>
        <v>Single</v>
      </c>
      <c r="K970" t="str">
        <f>_xlfn.XLOOKUP($A:$A,Instagram_Usage_Lifestyle_Mini_!$A:$A,Instagram_Usage_Lifestyle_Mini_!$C:$K)</f>
        <v>No</v>
      </c>
      <c r="L970" t="str" cm="1">
        <f t="array" ref="L970">_xlfn.IFS(C970&lt;18,"Under_18",C970&lt;=25,"Youth",C970&lt;=35,"Young_Adults",C970&lt;=45,"Mid_Adults",TRUE,"Seniors")</f>
        <v>Young_Adults</v>
      </c>
    </row>
    <row r="971" spans="1:12" x14ac:dyDescent="0.2">
      <c r="A971">
        <v>970</v>
      </c>
      <c r="B971" t="str">
        <f>_xlfn.XLOOKUP(A971,Instagram_Usage_Lifestyle_Mini_!A971,Instagram_Usage_Lifestyle_Mini_!B971,1)</f>
        <v>Instagram</v>
      </c>
      <c r="C971">
        <f>_xlfn.XLOOKUP($A:$A,Instagram_Usage_Lifestyle_Mini_!$A:$A,Instagram_Usage_Lifestyle_Mini_!$C:$K)</f>
        <v>33</v>
      </c>
      <c r="D971" t="str">
        <f>_xlfn.XLOOKUP($A:$A,Instagram_Usage_Lifestyle_Mini_!$A:$A,Instagram_Usage_Lifestyle_Mini_!$C:$K)</f>
        <v>Female</v>
      </c>
      <c r="E971" t="str">
        <f>_xlfn.XLOOKUP($A:$A,Instagram_Usage_Lifestyle_Mini_!$A:$A,Instagram_Usage_Lifestyle_Mini_!$C:$K)</f>
        <v>India</v>
      </c>
      <c r="F971" t="str">
        <f>_xlfn.XLOOKUP($A:$A,Instagram_Usage_Lifestyle_Mini_!$A:$A,Instagram_Usage_Lifestyle_Mini_!$C:$K)</f>
        <v>Urban</v>
      </c>
      <c r="G971" t="str">
        <f>_xlfn.XLOOKUP($A:$A,Instagram_Usage_Lifestyle_Mini_!$A:$A,Instagram_Usage_Lifestyle_Mini_!$C:$K)</f>
        <v>Middle</v>
      </c>
      <c r="H971" t="str">
        <f>_xlfn.XLOOKUP($A:$A,Instagram_Usage_Lifestyle_Mini_!$A:$A,Instagram_Usage_Lifestyle_Mini_!$C:$K)</f>
        <v>Full_time_employed</v>
      </c>
      <c r="I971" t="str">
        <f>_xlfn.XLOOKUP($A:$A,Instagram_Usage_Lifestyle_Mini_!$A:$A,Instagram_Usage_Lifestyle_Mini_!$C:$K)</f>
        <v>Masters_degree</v>
      </c>
      <c r="J971" t="str">
        <f>_xlfn.XLOOKUP($A:$A,Instagram_Usage_Lifestyle_Mini_!$A:$A,Instagram_Usage_Lifestyle_Mini_!$C:$K)</f>
        <v>In_a_relationship</v>
      </c>
      <c r="K971" t="str">
        <f>_xlfn.XLOOKUP($A:$A,Instagram_Usage_Lifestyle_Mini_!$A:$A,Instagram_Usage_Lifestyle_Mini_!$C:$K)</f>
        <v>No</v>
      </c>
      <c r="L971" t="str" cm="1">
        <f t="array" ref="L971">_xlfn.IFS(C971&lt;18,"Under_18",C971&lt;=25,"Youth",C971&lt;=35,"Young_Adults",C971&lt;=45,"Mid_Adults",TRUE,"Seniors")</f>
        <v>Young_Adults</v>
      </c>
    </row>
    <row r="972" spans="1:12" x14ac:dyDescent="0.2">
      <c r="A972">
        <v>971</v>
      </c>
      <c r="B972" t="str">
        <f>_xlfn.XLOOKUP(A972,Instagram_Usage_Lifestyle_Mini_!A972,Instagram_Usage_Lifestyle_Mini_!B972,1)</f>
        <v>Instagram</v>
      </c>
      <c r="C972">
        <f>_xlfn.XLOOKUP($A:$A,Instagram_Usage_Lifestyle_Mini_!$A:$A,Instagram_Usage_Lifestyle_Mini_!$C:$K)</f>
        <v>18</v>
      </c>
      <c r="D972" t="str">
        <f>_xlfn.XLOOKUP($A:$A,Instagram_Usage_Lifestyle_Mini_!$A:$A,Instagram_Usage_Lifestyle_Mini_!$C:$K)</f>
        <v>Female</v>
      </c>
      <c r="E972" t="str">
        <f>_xlfn.XLOOKUP($A:$A,Instagram_Usage_Lifestyle_Mini_!$A:$A,Instagram_Usage_Lifestyle_Mini_!$C:$K)</f>
        <v>India</v>
      </c>
      <c r="F972" t="str">
        <f>_xlfn.XLOOKUP($A:$A,Instagram_Usage_Lifestyle_Mini_!$A:$A,Instagram_Usage_Lifestyle_Mini_!$C:$K)</f>
        <v>Urban</v>
      </c>
      <c r="G972" t="str">
        <f>_xlfn.XLOOKUP($A:$A,Instagram_Usage_Lifestyle_Mini_!$A:$A,Instagram_Usage_Lifestyle_Mini_!$C:$K)</f>
        <v>Low</v>
      </c>
      <c r="H972" t="str">
        <f>_xlfn.XLOOKUP($A:$A,Instagram_Usage_Lifestyle_Mini_!$A:$A,Instagram_Usage_Lifestyle_Mini_!$C:$K)</f>
        <v>Student</v>
      </c>
      <c r="I972" t="str">
        <f>_xlfn.XLOOKUP($A:$A,Instagram_Usage_Lifestyle_Mini_!$A:$A,Instagram_Usage_Lifestyle_Mini_!$C:$K)</f>
        <v>Other</v>
      </c>
      <c r="J972" t="str">
        <f>_xlfn.XLOOKUP($A:$A,Instagram_Usage_Lifestyle_Mini_!$A:$A,Instagram_Usage_Lifestyle_Mini_!$C:$K)</f>
        <v>Single</v>
      </c>
      <c r="K972" t="str">
        <f>_xlfn.XLOOKUP($A:$A,Instagram_Usage_Lifestyle_Mini_!$A:$A,Instagram_Usage_Lifestyle_Mini_!$C:$K)</f>
        <v>No</v>
      </c>
      <c r="L972" t="str" cm="1">
        <f t="array" ref="L972">_xlfn.IFS(C972&lt;18,"Under_18",C972&lt;=25,"Youth",C972&lt;=35,"Young_Adults",C972&lt;=45,"Mid_Adults",TRUE,"Seniors")</f>
        <v>Youth</v>
      </c>
    </row>
    <row r="973" spans="1:12" x14ac:dyDescent="0.2">
      <c r="A973">
        <v>972</v>
      </c>
      <c r="B973" t="str">
        <f>_xlfn.XLOOKUP(A973,Instagram_Usage_Lifestyle_Mini_!A973,Instagram_Usage_Lifestyle_Mini_!B973,1)</f>
        <v>Instagram</v>
      </c>
      <c r="C973">
        <f>_xlfn.XLOOKUP($A:$A,Instagram_Usage_Lifestyle_Mini_!$A:$A,Instagram_Usage_Lifestyle_Mini_!$C:$K)</f>
        <v>13</v>
      </c>
      <c r="D973" t="str">
        <f>_xlfn.XLOOKUP($A:$A,Instagram_Usage_Lifestyle_Mini_!$A:$A,Instagram_Usage_Lifestyle_Mini_!$C:$K)</f>
        <v>Male</v>
      </c>
      <c r="E973" t="str">
        <f>_xlfn.XLOOKUP($A:$A,Instagram_Usage_Lifestyle_Mini_!$A:$A,Instagram_Usage_Lifestyle_Mini_!$C:$K)</f>
        <v>Brazil</v>
      </c>
      <c r="F973" t="str">
        <f>_xlfn.XLOOKUP($A:$A,Instagram_Usage_Lifestyle_Mini_!$A:$A,Instagram_Usage_Lifestyle_Mini_!$C:$K)</f>
        <v>Suburban</v>
      </c>
      <c r="G973" t="str">
        <f>_xlfn.XLOOKUP($A:$A,Instagram_Usage_Lifestyle_Mini_!$A:$A,Instagram_Usage_Lifestyle_Mini_!$C:$K)</f>
        <v>Lower_middle</v>
      </c>
      <c r="H973" t="str">
        <f>_xlfn.XLOOKUP($A:$A,Instagram_Usage_Lifestyle_Mini_!$A:$A,Instagram_Usage_Lifestyle_Mini_!$C:$K)</f>
        <v>Full_time_employed</v>
      </c>
      <c r="I973" t="str">
        <f>_xlfn.XLOOKUP($A:$A,Instagram_Usage_Lifestyle_Mini_!$A:$A,Instagram_Usage_Lifestyle_Mini_!$C:$K)</f>
        <v>Some_college</v>
      </c>
      <c r="J973" t="str">
        <f>_xlfn.XLOOKUP($A:$A,Instagram_Usage_Lifestyle_Mini_!$A:$A,Instagram_Usage_Lifestyle_Mini_!$C:$K)</f>
        <v>Single</v>
      </c>
      <c r="K973" t="str">
        <f>_xlfn.XLOOKUP($A:$A,Instagram_Usage_Lifestyle_Mini_!$A:$A,Instagram_Usage_Lifestyle_Mini_!$C:$K)</f>
        <v>Yes</v>
      </c>
      <c r="L973" t="str" cm="1">
        <f t="array" ref="L973">_xlfn.IFS(C973&lt;18,"Under_18",C973&lt;=25,"Youth",C973&lt;=35,"Young_Adults",C973&lt;=45,"Mid_Adults",TRUE,"Seniors")</f>
        <v>Under_18</v>
      </c>
    </row>
    <row r="974" spans="1:12" x14ac:dyDescent="0.2">
      <c r="A974">
        <v>973</v>
      </c>
      <c r="B974" t="str">
        <f>_xlfn.XLOOKUP(A974,Instagram_Usage_Lifestyle_Mini_!A974,Instagram_Usage_Lifestyle_Mini_!B974,1)</f>
        <v>Instagram</v>
      </c>
      <c r="C974">
        <f>_xlfn.XLOOKUP($A:$A,Instagram_Usage_Lifestyle_Mini_!$A:$A,Instagram_Usage_Lifestyle_Mini_!$C:$K)</f>
        <v>17</v>
      </c>
      <c r="D974" t="str">
        <f>_xlfn.XLOOKUP($A:$A,Instagram_Usage_Lifestyle_Mini_!$A:$A,Instagram_Usage_Lifestyle_Mini_!$C:$K)</f>
        <v>Female</v>
      </c>
      <c r="E974" t="str">
        <f>_xlfn.XLOOKUP($A:$A,Instagram_Usage_Lifestyle_Mini_!$A:$A,Instagram_Usage_Lifestyle_Mini_!$C:$K)</f>
        <v>Brazil</v>
      </c>
      <c r="F974" t="str">
        <f>_xlfn.XLOOKUP($A:$A,Instagram_Usage_Lifestyle_Mini_!$A:$A,Instagram_Usage_Lifestyle_Mini_!$C:$K)</f>
        <v>Urban</v>
      </c>
      <c r="G974" t="str">
        <f>_xlfn.XLOOKUP($A:$A,Instagram_Usage_Lifestyle_Mini_!$A:$A,Instagram_Usage_Lifestyle_Mini_!$C:$K)</f>
        <v>Lower_middle</v>
      </c>
      <c r="H974" t="str">
        <f>_xlfn.XLOOKUP($A:$A,Instagram_Usage_Lifestyle_Mini_!$A:$A,Instagram_Usage_Lifestyle_Mini_!$C:$K)</f>
        <v>Full_time_employed</v>
      </c>
      <c r="I974" t="str">
        <f>_xlfn.XLOOKUP($A:$A,Instagram_Usage_Lifestyle_Mini_!$A:$A,Instagram_Usage_Lifestyle_Mini_!$C:$K)</f>
        <v>High_school</v>
      </c>
      <c r="J974" t="str">
        <f>_xlfn.XLOOKUP($A:$A,Instagram_Usage_Lifestyle_Mini_!$A:$A,Instagram_Usage_Lifestyle_Mini_!$C:$K)</f>
        <v>Married</v>
      </c>
      <c r="K974" t="str">
        <f>_xlfn.XLOOKUP($A:$A,Instagram_Usage_Lifestyle_Mini_!$A:$A,Instagram_Usage_Lifestyle_Mini_!$C:$K)</f>
        <v>No</v>
      </c>
      <c r="L974" t="str" cm="1">
        <f t="array" ref="L974">_xlfn.IFS(C974&lt;18,"Under_18",C974&lt;=25,"Youth",C974&lt;=35,"Young_Adults",C974&lt;=45,"Mid_Adults",TRUE,"Seniors")</f>
        <v>Under_18</v>
      </c>
    </row>
    <row r="975" spans="1:12" x14ac:dyDescent="0.2">
      <c r="A975">
        <v>974</v>
      </c>
      <c r="B975" t="str">
        <f>_xlfn.XLOOKUP(A975,Instagram_Usage_Lifestyle_Mini_!A975,Instagram_Usage_Lifestyle_Mini_!B975,1)</f>
        <v>Instagram</v>
      </c>
      <c r="C975">
        <f>_xlfn.XLOOKUP($A:$A,Instagram_Usage_Lifestyle_Mini_!$A:$A,Instagram_Usage_Lifestyle_Mini_!$C:$K)</f>
        <v>53</v>
      </c>
      <c r="D975" t="str">
        <f>_xlfn.XLOOKUP($A:$A,Instagram_Usage_Lifestyle_Mini_!$A:$A,Instagram_Usage_Lifestyle_Mini_!$C:$K)</f>
        <v>Male</v>
      </c>
      <c r="E975" t="str">
        <f>_xlfn.XLOOKUP($A:$A,Instagram_Usage_Lifestyle_Mini_!$A:$A,Instagram_Usage_Lifestyle_Mini_!$C:$K)</f>
        <v>India</v>
      </c>
      <c r="F975" t="str">
        <f>_xlfn.XLOOKUP($A:$A,Instagram_Usage_Lifestyle_Mini_!$A:$A,Instagram_Usage_Lifestyle_Mini_!$C:$K)</f>
        <v>Urban</v>
      </c>
      <c r="G975" t="str">
        <f>_xlfn.XLOOKUP($A:$A,Instagram_Usage_Lifestyle_Mini_!$A:$A,Instagram_Usage_Lifestyle_Mini_!$C:$K)</f>
        <v>Lower_middle</v>
      </c>
      <c r="H975" t="str">
        <f>_xlfn.XLOOKUP($A:$A,Instagram_Usage_Lifestyle_Mini_!$A:$A,Instagram_Usage_Lifestyle_Mini_!$C:$K)</f>
        <v>Part_time</v>
      </c>
      <c r="I975" t="str">
        <f>_xlfn.XLOOKUP($A:$A,Instagram_Usage_Lifestyle_Mini_!$A:$A,Instagram_Usage_Lifestyle_Mini_!$C:$K)</f>
        <v>PhD</v>
      </c>
      <c r="J975" t="str">
        <f>_xlfn.XLOOKUP($A:$A,Instagram_Usage_Lifestyle_Mini_!$A:$A,Instagram_Usage_Lifestyle_Mini_!$C:$K)</f>
        <v>Single</v>
      </c>
      <c r="K975" t="str">
        <f>_xlfn.XLOOKUP($A:$A,Instagram_Usage_Lifestyle_Mini_!$A:$A,Instagram_Usage_Lifestyle_Mini_!$C:$K)</f>
        <v>No</v>
      </c>
      <c r="L975" t="str" cm="1">
        <f t="array" ref="L975">_xlfn.IFS(C975&lt;18,"Under_18",C975&lt;=25,"Youth",C975&lt;=35,"Young_Adults",C975&lt;=45,"Mid_Adults",TRUE,"Seniors")</f>
        <v>Seniors</v>
      </c>
    </row>
    <row r="976" spans="1:12" x14ac:dyDescent="0.2">
      <c r="A976">
        <v>975</v>
      </c>
      <c r="B976" t="str">
        <f>_xlfn.XLOOKUP(A976,Instagram_Usage_Lifestyle_Mini_!A976,Instagram_Usage_Lifestyle_Mini_!B976,1)</f>
        <v>Instagram</v>
      </c>
      <c r="C976">
        <f>_xlfn.XLOOKUP($A:$A,Instagram_Usage_Lifestyle_Mini_!$A:$A,Instagram_Usage_Lifestyle_Mini_!$C:$K)</f>
        <v>24</v>
      </c>
      <c r="D976" t="str">
        <f>_xlfn.XLOOKUP($A:$A,Instagram_Usage_Lifestyle_Mini_!$A:$A,Instagram_Usage_Lifestyle_Mini_!$C:$K)</f>
        <v>Female</v>
      </c>
      <c r="E976" t="str">
        <f>_xlfn.XLOOKUP($A:$A,Instagram_Usage_Lifestyle_Mini_!$A:$A,Instagram_Usage_Lifestyle_Mini_!$C:$K)</f>
        <v>United_States</v>
      </c>
      <c r="F976" t="str">
        <f>_xlfn.XLOOKUP($A:$A,Instagram_Usage_Lifestyle_Mini_!$A:$A,Instagram_Usage_Lifestyle_Mini_!$C:$K)</f>
        <v>Urban</v>
      </c>
      <c r="G976" t="str">
        <f>_xlfn.XLOOKUP($A:$A,Instagram_Usage_Lifestyle_Mini_!$A:$A,Instagram_Usage_Lifestyle_Mini_!$C:$K)</f>
        <v>Middle</v>
      </c>
      <c r="H976" t="str">
        <f>_xlfn.XLOOKUP($A:$A,Instagram_Usage_Lifestyle_Mini_!$A:$A,Instagram_Usage_Lifestyle_Mini_!$C:$K)</f>
        <v>Full_time_employed</v>
      </c>
      <c r="I976" t="str">
        <f>_xlfn.XLOOKUP($A:$A,Instagram_Usage_Lifestyle_Mini_!$A:$A,Instagram_Usage_Lifestyle_Mini_!$C:$K)</f>
        <v>Some_college</v>
      </c>
      <c r="J976" t="str">
        <f>_xlfn.XLOOKUP($A:$A,Instagram_Usage_Lifestyle_Mini_!$A:$A,Instagram_Usage_Lifestyle_Mini_!$C:$K)</f>
        <v>Widowed</v>
      </c>
      <c r="K976" t="str">
        <f>_xlfn.XLOOKUP($A:$A,Instagram_Usage_Lifestyle_Mini_!$A:$A,Instagram_Usage_Lifestyle_Mini_!$C:$K)</f>
        <v>No</v>
      </c>
      <c r="L976" t="str" cm="1">
        <f t="array" ref="L976">_xlfn.IFS(C976&lt;18,"Under_18",C976&lt;=25,"Youth",C976&lt;=35,"Young_Adults",C976&lt;=45,"Mid_Adults",TRUE,"Seniors")</f>
        <v>Youth</v>
      </c>
    </row>
    <row r="977" spans="1:12" x14ac:dyDescent="0.2">
      <c r="A977">
        <v>976</v>
      </c>
      <c r="B977" t="str">
        <f>_xlfn.XLOOKUP(A977,Instagram_Usage_Lifestyle_Mini_!A977,Instagram_Usage_Lifestyle_Mini_!B977,1)</f>
        <v>Instagram</v>
      </c>
      <c r="C977">
        <f>_xlfn.XLOOKUP($A:$A,Instagram_Usage_Lifestyle_Mini_!$A:$A,Instagram_Usage_Lifestyle_Mini_!$C:$K)</f>
        <v>38</v>
      </c>
      <c r="D977" t="str">
        <f>_xlfn.XLOOKUP($A:$A,Instagram_Usage_Lifestyle_Mini_!$A:$A,Instagram_Usage_Lifestyle_Mini_!$C:$K)</f>
        <v>Female</v>
      </c>
      <c r="E977" t="str">
        <f>_xlfn.XLOOKUP($A:$A,Instagram_Usage_Lifestyle_Mini_!$A:$A,Instagram_Usage_Lifestyle_Mini_!$C:$K)</f>
        <v>Canada</v>
      </c>
      <c r="F977" t="str">
        <f>_xlfn.XLOOKUP($A:$A,Instagram_Usage_Lifestyle_Mini_!$A:$A,Instagram_Usage_Lifestyle_Mini_!$C:$K)</f>
        <v>Suburban</v>
      </c>
      <c r="G977" t="str">
        <f>_xlfn.XLOOKUP($A:$A,Instagram_Usage_Lifestyle_Mini_!$A:$A,Instagram_Usage_Lifestyle_Mini_!$C:$K)</f>
        <v>Upper_middle</v>
      </c>
      <c r="H977" t="str">
        <f>_xlfn.XLOOKUP($A:$A,Instagram_Usage_Lifestyle_Mini_!$A:$A,Instagram_Usage_Lifestyle_Mini_!$C:$K)</f>
        <v>Part_time</v>
      </c>
      <c r="I977" t="str">
        <f>_xlfn.XLOOKUP($A:$A,Instagram_Usage_Lifestyle_Mini_!$A:$A,Instagram_Usage_Lifestyle_Mini_!$C:$K)</f>
        <v>Bachelors_degree</v>
      </c>
      <c r="J977" t="str">
        <f>_xlfn.XLOOKUP($A:$A,Instagram_Usage_Lifestyle_Mini_!$A:$A,Instagram_Usage_Lifestyle_Mini_!$C:$K)</f>
        <v>In_a_relationship</v>
      </c>
      <c r="K977" t="str">
        <f>_xlfn.XLOOKUP($A:$A,Instagram_Usage_Lifestyle_Mini_!$A:$A,Instagram_Usage_Lifestyle_Mini_!$C:$K)</f>
        <v>No</v>
      </c>
      <c r="L977" t="str" cm="1">
        <f t="array" ref="L977">_xlfn.IFS(C977&lt;18,"Under_18",C977&lt;=25,"Youth",C977&lt;=35,"Young_Adults",C977&lt;=45,"Mid_Adults",TRUE,"Seniors")</f>
        <v>Mid_Adults</v>
      </c>
    </row>
    <row r="978" spans="1:12" x14ac:dyDescent="0.2">
      <c r="A978">
        <v>977</v>
      </c>
      <c r="B978" t="str">
        <f>_xlfn.XLOOKUP(A978,Instagram_Usage_Lifestyle_Mini_!A978,Instagram_Usage_Lifestyle_Mini_!B978,1)</f>
        <v>Instagram</v>
      </c>
      <c r="C978">
        <f>_xlfn.XLOOKUP($A:$A,Instagram_Usage_Lifestyle_Mini_!$A:$A,Instagram_Usage_Lifestyle_Mini_!$C:$K)</f>
        <v>58</v>
      </c>
      <c r="D978" t="str">
        <f>_xlfn.XLOOKUP($A:$A,Instagram_Usage_Lifestyle_Mini_!$A:$A,Instagram_Usage_Lifestyle_Mini_!$C:$K)</f>
        <v>Male</v>
      </c>
      <c r="E978" t="str">
        <f>_xlfn.XLOOKUP($A:$A,Instagram_Usage_Lifestyle_Mini_!$A:$A,Instagram_Usage_Lifestyle_Mini_!$C:$K)</f>
        <v>South_Korea</v>
      </c>
      <c r="F978" t="str">
        <f>_xlfn.XLOOKUP($A:$A,Instagram_Usage_Lifestyle_Mini_!$A:$A,Instagram_Usage_Lifestyle_Mini_!$C:$K)</f>
        <v>Urban</v>
      </c>
      <c r="G978" t="str">
        <f>_xlfn.XLOOKUP($A:$A,Instagram_Usage_Lifestyle_Mini_!$A:$A,Instagram_Usage_Lifestyle_Mini_!$C:$K)</f>
        <v>Upper_middle</v>
      </c>
      <c r="H978" t="str">
        <f>_xlfn.XLOOKUP($A:$A,Instagram_Usage_Lifestyle_Mini_!$A:$A,Instagram_Usage_Lifestyle_Mini_!$C:$K)</f>
        <v>Unemployed</v>
      </c>
      <c r="I978" t="str">
        <f>_xlfn.XLOOKUP($A:$A,Instagram_Usage_Lifestyle_Mini_!$A:$A,Instagram_Usage_Lifestyle_Mini_!$C:$K)</f>
        <v>Some_college</v>
      </c>
      <c r="J978" t="str">
        <f>_xlfn.XLOOKUP($A:$A,Instagram_Usage_Lifestyle_Mini_!$A:$A,Instagram_Usage_Lifestyle_Mini_!$C:$K)</f>
        <v>In_a_relationship</v>
      </c>
      <c r="K978" t="str">
        <f>_xlfn.XLOOKUP($A:$A,Instagram_Usage_Lifestyle_Mini_!$A:$A,Instagram_Usage_Lifestyle_Mini_!$C:$K)</f>
        <v>No</v>
      </c>
      <c r="L978" t="str" cm="1">
        <f t="array" ref="L978">_xlfn.IFS(C978&lt;18,"Under_18",C978&lt;=25,"Youth",C978&lt;=35,"Young_Adults",C978&lt;=45,"Mid_Adults",TRUE,"Seniors")</f>
        <v>Seniors</v>
      </c>
    </row>
    <row r="979" spans="1:12" x14ac:dyDescent="0.2">
      <c r="A979">
        <v>978</v>
      </c>
      <c r="B979" t="str">
        <f>_xlfn.XLOOKUP(A979,Instagram_Usage_Lifestyle_Mini_!A979,Instagram_Usage_Lifestyle_Mini_!B979,1)</f>
        <v>Instagram</v>
      </c>
      <c r="C979">
        <f>_xlfn.XLOOKUP($A:$A,Instagram_Usage_Lifestyle_Mini_!$A:$A,Instagram_Usage_Lifestyle_Mini_!$C:$K)</f>
        <v>46</v>
      </c>
      <c r="D979" t="str">
        <f>_xlfn.XLOOKUP($A:$A,Instagram_Usage_Lifestyle_Mini_!$A:$A,Instagram_Usage_Lifestyle_Mini_!$C:$K)</f>
        <v>Male</v>
      </c>
      <c r="E979" t="str">
        <f>_xlfn.XLOOKUP($A:$A,Instagram_Usage_Lifestyle_Mini_!$A:$A,Instagram_Usage_Lifestyle_Mini_!$C:$K)</f>
        <v>Other</v>
      </c>
      <c r="F979" t="str">
        <f>_xlfn.XLOOKUP($A:$A,Instagram_Usage_Lifestyle_Mini_!$A:$A,Instagram_Usage_Lifestyle_Mini_!$C:$K)</f>
        <v>Suburban</v>
      </c>
      <c r="G979" t="str">
        <f>_xlfn.XLOOKUP($A:$A,Instagram_Usage_Lifestyle_Mini_!$A:$A,Instagram_Usage_Lifestyle_Mini_!$C:$K)</f>
        <v>Low</v>
      </c>
      <c r="H979" t="str">
        <f>_xlfn.XLOOKUP($A:$A,Instagram_Usage_Lifestyle_Mini_!$A:$A,Instagram_Usage_Lifestyle_Mini_!$C:$K)</f>
        <v>Full_time_employed</v>
      </c>
      <c r="I979" t="str">
        <f>_xlfn.XLOOKUP($A:$A,Instagram_Usage_Lifestyle_Mini_!$A:$A,Instagram_Usage_Lifestyle_Mini_!$C:$K)</f>
        <v>Bachelors_degree</v>
      </c>
      <c r="J979" t="str">
        <f>_xlfn.XLOOKUP($A:$A,Instagram_Usage_Lifestyle_Mini_!$A:$A,Instagram_Usage_Lifestyle_Mini_!$C:$K)</f>
        <v>Divorced</v>
      </c>
      <c r="K979" t="str">
        <f>_xlfn.XLOOKUP($A:$A,Instagram_Usage_Lifestyle_Mini_!$A:$A,Instagram_Usage_Lifestyle_Mini_!$C:$K)</f>
        <v>Yes</v>
      </c>
      <c r="L979" t="str" cm="1">
        <f t="array" ref="L979">_xlfn.IFS(C979&lt;18,"Under_18",C979&lt;=25,"Youth",C979&lt;=35,"Young_Adults",C979&lt;=45,"Mid_Adults",TRUE,"Seniors")</f>
        <v>Seniors</v>
      </c>
    </row>
    <row r="980" spans="1:12" x14ac:dyDescent="0.2">
      <c r="A980">
        <v>979</v>
      </c>
      <c r="B980" t="str">
        <f>_xlfn.XLOOKUP(A980,Instagram_Usage_Lifestyle_Mini_!A980,Instagram_Usage_Lifestyle_Mini_!B980,1)</f>
        <v>Instagram</v>
      </c>
      <c r="C980">
        <f>_xlfn.XLOOKUP($A:$A,Instagram_Usage_Lifestyle_Mini_!$A:$A,Instagram_Usage_Lifestyle_Mini_!$C:$K)</f>
        <v>61</v>
      </c>
      <c r="D980" t="str">
        <f>_xlfn.XLOOKUP($A:$A,Instagram_Usage_Lifestyle_Mini_!$A:$A,Instagram_Usage_Lifestyle_Mini_!$C:$K)</f>
        <v>Female</v>
      </c>
      <c r="E980" t="str">
        <f>_xlfn.XLOOKUP($A:$A,Instagram_Usage_Lifestyle_Mini_!$A:$A,Instagram_Usage_Lifestyle_Mini_!$C:$K)</f>
        <v>Germany</v>
      </c>
      <c r="F980" t="str">
        <f>_xlfn.XLOOKUP($A:$A,Instagram_Usage_Lifestyle_Mini_!$A:$A,Instagram_Usage_Lifestyle_Mini_!$C:$K)</f>
        <v>Urban</v>
      </c>
      <c r="G980" t="str">
        <f>_xlfn.XLOOKUP($A:$A,Instagram_Usage_Lifestyle_Mini_!$A:$A,Instagram_Usage_Lifestyle_Mini_!$C:$K)</f>
        <v>Upper_middle</v>
      </c>
      <c r="H980" t="str">
        <f>_xlfn.XLOOKUP($A:$A,Instagram_Usage_Lifestyle_Mini_!$A:$A,Instagram_Usage_Lifestyle_Mini_!$C:$K)</f>
        <v>Student</v>
      </c>
      <c r="I980" t="str">
        <f>_xlfn.XLOOKUP($A:$A,Instagram_Usage_Lifestyle_Mini_!$A:$A,Instagram_Usage_Lifestyle_Mini_!$C:$K)</f>
        <v>Some_college</v>
      </c>
      <c r="J980" t="str">
        <f>_xlfn.XLOOKUP($A:$A,Instagram_Usage_Lifestyle_Mini_!$A:$A,Instagram_Usage_Lifestyle_Mini_!$C:$K)</f>
        <v>Married</v>
      </c>
      <c r="K980" t="str">
        <f>_xlfn.XLOOKUP($A:$A,Instagram_Usage_Lifestyle_Mini_!$A:$A,Instagram_Usage_Lifestyle_Mini_!$C:$K)</f>
        <v>No</v>
      </c>
      <c r="L980" t="str" cm="1">
        <f t="array" ref="L980">_xlfn.IFS(C980&lt;18,"Under_18",C980&lt;=25,"Youth",C980&lt;=35,"Young_Adults",C980&lt;=45,"Mid_Adults",TRUE,"Seniors")</f>
        <v>Seniors</v>
      </c>
    </row>
    <row r="981" spans="1:12" x14ac:dyDescent="0.2">
      <c r="A981">
        <v>980</v>
      </c>
      <c r="B981" t="str">
        <f>_xlfn.XLOOKUP(A981,Instagram_Usage_Lifestyle_Mini_!A981,Instagram_Usage_Lifestyle_Mini_!B981,1)</f>
        <v>Instagram</v>
      </c>
      <c r="C981">
        <f>_xlfn.XLOOKUP($A:$A,Instagram_Usage_Lifestyle_Mini_!$A:$A,Instagram_Usage_Lifestyle_Mini_!$C:$K)</f>
        <v>26</v>
      </c>
      <c r="D981" t="str">
        <f>_xlfn.XLOOKUP($A:$A,Instagram_Usage_Lifestyle_Mini_!$A:$A,Instagram_Usage_Lifestyle_Mini_!$C:$K)</f>
        <v>Male</v>
      </c>
      <c r="E981" t="str">
        <f>_xlfn.XLOOKUP($A:$A,Instagram_Usage_Lifestyle_Mini_!$A:$A,Instagram_Usage_Lifestyle_Mini_!$C:$K)</f>
        <v>United_States</v>
      </c>
      <c r="F981" t="str">
        <f>_xlfn.XLOOKUP($A:$A,Instagram_Usage_Lifestyle_Mini_!$A:$A,Instagram_Usage_Lifestyle_Mini_!$C:$K)</f>
        <v>Suburban</v>
      </c>
      <c r="G981" t="str">
        <f>_xlfn.XLOOKUP($A:$A,Instagram_Usage_Lifestyle_Mini_!$A:$A,Instagram_Usage_Lifestyle_Mini_!$C:$K)</f>
        <v>Lower_middle</v>
      </c>
      <c r="H981" t="str">
        <f>_xlfn.XLOOKUP($A:$A,Instagram_Usage_Lifestyle_Mini_!$A:$A,Instagram_Usage_Lifestyle_Mini_!$C:$K)</f>
        <v>Full_time_employed</v>
      </c>
      <c r="I981" t="str">
        <f>_xlfn.XLOOKUP($A:$A,Instagram_Usage_Lifestyle_Mini_!$A:$A,Instagram_Usage_Lifestyle_Mini_!$C:$K)</f>
        <v>Bachelors_degree</v>
      </c>
      <c r="J981" t="str">
        <f>_xlfn.XLOOKUP($A:$A,Instagram_Usage_Lifestyle_Mini_!$A:$A,Instagram_Usage_Lifestyle_Mini_!$C:$K)</f>
        <v>In_a_relationship</v>
      </c>
      <c r="K981" t="str">
        <f>_xlfn.XLOOKUP($A:$A,Instagram_Usage_Lifestyle_Mini_!$A:$A,Instagram_Usage_Lifestyle_Mini_!$C:$K)</f>
        <v>Yes</v>
      </c>
      <c r="L981" t="str" cm="1">
        <f t="array" ref="L981">_xlfn.IFS(C981&lt;18,"Under_18",C981&lt;=25,"Youth",C981&lt;=35,"Young_Adults",C981&lt;=45,"Mid_Adults",TRUE,"Seniors")</f>
        <v>Young_Adults</v>
      </c>
    </row>
    <row r="982" spans="1:12" x14ac:dyDescent="0.2">
      <c r="A982">
        <v>981</v>
      </c>
      <c r="B982" t="str">
        <f>_xlfn.XLOOKUP(A982,Instagram_Usage_Lifestyle_Mini_!A982,Instagram_Usage_Lifestyle_Mini_!B982,1)</f>
        <v>Instagram</v>
      </c>
      <c r="C982">
        <f>_xlfn.XLOOKUP($A:$A,Instagram_Usage_Lifestyle_Mini_!$A:$A,Instagram_Usage_Lifestyle_Mini_!$C:$K)</f>
        <v>38</v>
      </c>
      <c r="D982" t="str">
        <f>_xlfn.XLOOKUP($A:$A,Instagram_Usage_Lifestyle_Mini_!$A:$A,Instagram_Usage_Lifestyle_Mini_!$C:$K)</f>
        <v>Male</v>
      </c>
      <c r="E982" t="str">
        <f>_xlfn.XLOOKUP($A:$A,Instagram_Usage_Lifestyle_Mini_!$A:$A,Instagram_Usage_Lifestyle_Mini_!$C:$K)</f>
        <v>Brazil</v>
      </c>
      <c r="F982" t="str">
        <f>_xlfn.XLOOKUP($A:$A,Instagram_Usage_Lifestyle_Mini_!$A:$A,Instagram_Usage_Lifestyle_Mini_!$C:$K)</f>
        <v>Urban</v>
      </c>
      <c r="G982" t="str">
        <f>_xlfn.XLOOKUP($A:$A,Instagram_Usage_Lifestyle_Mini_!$A:$A,Instagram_Usage_Lifestyle_Mini_!$C:$K)</f>
        <v>Middle</v>
      </c>
      <c r="H982" t="str">
        <f>_xlfn.XLOOKUP($A:$A,Instagram_Usage_Lifestyle_Mini_!$A:$A,Instagram_Usage_Lifestyle_Mini_!$C:$K)</f>
        <v>Full_time_employed</v>
      </c>
      <c r="I982" t="str">
        <f>_xlfn.XLOOKUP($A:$A,Instagram_Usage_Lifestyle_Mini_!$A:$A,Instagram_Usage_Lifestyle_Mini_!$C:$K)</f>
        <v>Some_college</v>
      </c>
      <c r="J982" t="str">
        <f>_xlfn.XLOOKUP($A:$A,Instagram_Usage_Lifestyle_Mini_!$A:$A,Instagram_Usage_Lifestyle_Mini_!$C:$K)</f>
        <v>Single</v>
      </c>
      <c r="K982" t="str">
        <f>_xlfn.XLOOKUP($A:$A,Instagram_Usage_Lifestyle_Mini_!$A:$A,Instagram_Usage_Lifestyle_Mini_!$C:$K)</f>
        <v>No</v>
      </c>
      <c r="L982" t="str" cm="1">
        <f t="array" ref="L982">_xlfn.IFS(C982&lt;18,"Under_18",C982&lt;=25,"Youth",C982&lt;=35,"Young_Adults",C982&lt;=45,"Mid_Adults",TRUE,"Seniors")</f>
        <v>Mid_Adults</v>
      </c>
    </row>
    <row r="983" spans="1:12" x14ac:dyDescent="0.2">
      <c r="A983">
        <v>982</v>
      </c>
      <c r="B983" t="str">
        <f>_xlfn.XLOOKUP(A983,Instagram_Usage_Lifestyle_Mini_!A983,Instagram_Usage_Lifestyle_Mini_!B983,1)</f>
        <v>Instagram</v>
      </c>
      <c r="C983">
        <f>_xlfn.XLOOKUP($A:$A,Instagram_Usage_Lifestyle_Mini_!$A:$A,Instagram_Usage_Lifestyle_Mini_!$C:$K)</f>
        <v>57</v>
      </c>
      <c r="D983" t="str">
        <f>_xlfn.XLOOKUP($A:$A,Instagram_Usage_Lifestyle_Mini_!$A:$A,Instagram_Usage_Lifestyle_Mini_!$C:$K)</f>
        <v>Female</v>
      </c>
      <c r="E983" t="str">
        <f>_xlfn.XLOOKUP($A:$A,Instagram_Usage_Lifestyle_Mini_!$A:$A,Instagram_Usage_Lifestyle_Mini_!$C:$K)</f>
        <v>India</v>
      </c>
      <c r="F983" t="str">
        <f>_xlfn.XLOOKUP($A:$A,Instagram_Usage_Lifestyle_Mini_!$A:$A,Instagram_Usage_Lifestyle_Mini_!$C:$K)</f>
        <v>Urban</v>
      </c>
      <c r="G983" t="str">
        <f>_xlfn.XLOOKUP($A:$A,Instagram_Usage_Lifestyle_Mini_!$A:$A,Instagram_Usage_Lifestyle_Mini_!$C:$K)</f>
        <v>Middle</v>
      </c>
      <c r="H983" t="str">
        <f>_xlfn.XLOOKUP($A:$A,Instagram_Usage_Lifestyle_Mini_!$A:$A,Instagram_Usage_Lifestyle_Mini_!$C:$K)</f>
        <v>Freelancer</v>
      </c>
      <c r="I983" t="str">
        <f>_xlfn.XLOOKUP($A:$A,Instagram_Usage_Lifestyle_Mini_!$A:$A,Instagram_Usage_Lifestyle_Mini_!$C:$K)</f>
        <v>Bachelors_degree</v>
      </c>
      <c r="J983" t="str">
        <f>_xlfn.XLOOKUP($A:$A,Instagram_Usage_Lifestyle_Mini_!$A:$A,Instagram_Usage_Lifestyle_Mini_!$C:$K)</f>
        <v>In_a_relationship</v>
      </c>
      <c r="K983" t="str">
        <f>_xlfn.XLOOKUP($A:$A,Instagram_Usage_Lifestyle_Mini_!$A:$A,Instagram_Usage_Lifestyle_Mini_!$C:$K)</f>
        <v>No</v>
      </c>
      <c r="L983" t="str" cm="1">
        <f t="array" ref="L983">_xlfn.IFS(C983&lt;18,"Under_18",C983&lt;=25,"Youth",C983&lt;=35,"Young_Adults",C983&lt;=45,"Mid_Adults",TRUE,"Seniors")</f>
        <v>Seniors</v>
      </c>
    </row>
    <row r="984" spans="1:12" x14ac:dyDescent="0.2">
      <c r="A984">
        <v>983</v>
      </c>
      <c r="B984" t="str">
        <f>_xlfn.XLOOKUP(A984,Instagram_Usage_Lifestyle_Mini_!A984,Instagram_Usage_Lifestyle_Mini_!B984,1)</f>
        <v>Instagram</v>
      </c>
      <c r="C984">
        <f>_xlfn.XLOOKUP($A:$A,Instagram_Usage_Lifestyle_Mini_!$A:$A,Instagram_Usage_Lifestyle_Mini_!$C:$K)</f>
        <v>39</v>
      </c>
      <c r="D984" t="str">
        <f>_xlfn.XLOOKUP($A:$A,Instagram_Usage_Lifestyle_Mini_!$A:$A,Instagram_Usage_Lifestyle_Mini_!$C:$K)</f>
        <v>Male</v>
      </c>
      <c r="E984" t="str">
        <f>_xlfn.XLOOKUP($A:$A,Instagram_Usage_Lifestyle_Mini_!$A:$A,Instagram_Usage_Lifestyle_Mini_!$C:$K)</f>
        <v>Other</v>
      </c>
      <c r="F984" t="str">
        <f>_xlfn.XLOOKUP($A:$A,Instagram_Usage_Lifestyle_Mini_!$A:$A,Instagram_Usage_Lifestyle_Mini_!$C:$K)</f>
        <v>Urban</v>
      </c>
      <c r="G984" t="str">
        <f>_xlfn.XLOOKUP($A:$A,Instagram_Usage_Lifestyle_Mini_!$A:$A,Instagram_Usage_Lifestyle_Mini_!$C:$K)</f>
        <v>Middle</v>
      </c>
      <c r="H984" t="str">
        <f>_xlfn.XLOOKUP($A:$A,Instagram_Usage_Lifestyle_Mini_!$A:$A,Instagram_Usage_Lifestyle_Mini_!$C:$K)</f>
        <v>Full_time_employed</v>
      </c>
      <c r="I984" t="str">
        <f>_xlfn.XLOOKUP($A:$A,Instagram_Usage_Lifestyle_Mini_!$A:$A,Instagram_Usage_Lifestyle_Mini_!$C:$K)</f>
        <v>Bachelors_degree</v>
      </c>
      <c r="J984" t="str">
        <f>_xlfn.XLOOKUP($A:$A,Instagram_Usage_Lifestyle_Mini_!$A:$A,Instagram_Usage_Lifestyle_Mini_!$C:$K)</f>
        <v>In_a_relationship</v>
      </c>
      <c r="K984" t="str">
        <f>_xlfn.XLOOKUP($A:$A,Instagram_Usage_Lifestyle_Mini_!$A:$A,Instagram_Usage_Lifestyle_Mini_!$C:$K)</f>
        <v>No</v>
      </c>
      <c r="L984" t="str" cm="1">
        <f t="array" ref="L984">_xlfn.IFS(C984&lt;18,"Under_18",C984&lt;=25,"Youth",C984&lt;=35,"Young_Adults",C984&lt;=45,"Mid_Adults",TRUE,"Seniors")</f>
        <v>Mid_Adults</v>
      </c>
    </row>
    <row r="985" spans="1:12" x14ac:dyDescent="0.2">
      <c r="A985">
        <v>984</v>
      </c>
      <c r="B985" t="str">
        <f>_xlfn.XLOOKUP(A985,Instagram_Usage_Lifestyle_Mini_!A985,Instagram_Usage_Lifestyle_Mini_!B985,1)</f>
        <v>Instagram</v>
      </c>
      <c r="C985">
        <f>_xlfn.XLOOKUP($A:$A,Instagram_Usage_Lifestyle_Mini_!$A:$A,Instagram_Usage_Lifestyle_Mini_!$C:$K)</f>
        <v>21</v>
      </c>
      <c r="D985" t="str">
        <f>_xlfn.XLOOKUP($A:$A,Instagram_Usage_Lifestyle_Mini_!$A:$A,Instagram_Usage_Lifestyle_Mini_!$C:$K)</f>
        <v>Female</v>
      </c>
      <c r="E985" t="str">
        <f>_xlfn.XLOOKUP($A:$A,Instagram_Usage_Lifestyle_Mini_!$A:$A,Instagram_Usage_Lifestyle_Mini_!$C:$K)</f>
        <v>Brazil</v>
      </c>
      <c r="F985" t="str">
        <f>_xlfn.XLOOKUP($A:$A,Instagram_Usage_Lifestyle_Mini_!$A:$A,Instagram_Usage_Lifestyle_Mini_!$C:$K)</f>
        <v>Rural</v>
      </c>
      <c r="G985" t="str">
        <f>_xlfn.XLOOKUP($A:$A,Instagram_Usage_Lifestyle_Mini_!$A:$A,Instagram_Usage_Lifestyle_Mini_!$C:$K)</f>
        <v>Upper_middle</v>
      </c>
      <c r="H985" t="str">
        <f>_xlfn.XLOOKUP($A:$A,Instagram_Usage_Lifestyle_Mini_!$A:$A,Instagram_Usage_Lifestyle_Mini_!$C:$K)</f>
        <v>Full_time_employed</v>
      </c>
      <c r="I985" t="str">
        <f>_xlfn.XLOOKUP($A:$A,Instagram_Usage_Lifestyle_Mini_!$A:$A,Instagram_Usage_Lifestyle_Mini_!$C:$K)</f>
        <v>Bachelors_degree</v>
      </c>
      <c r="J985" t="str">
        <f>_xlfn.XLOOKUP($A:$A,Instagram_Usage_Lifestyle_Mini_!$A:$A,Instagram_Usage_Lifestyle_Mini_!$C:$K)</f>
        <v>Married</v>
      </c>
      <c r="K985" t="str">
        <f>_xlfn.XLOOKUP($A:$A,Instagram_Usage_Lifestyle_Mini_!$A:$A,Instagram_Usage_Lifestyle_Mini_!$C:$K)</f>
        <v>Yes</v>
      </c>
      <c r="L985" t="str" cm="1">
        <f t="array" ref="L985">_xlfn.IFS(C985&lt;18,"Under_18",C985&lt;=25,"Youth",C985&lt;=35,"Young_Adults",C985&lt;=45,"Mid_Adults",TRUE,"Seniors")</f>
        <v>Youth</v>
      </c>
    </row>
    <row r="986" spans="1:12" x14ac:dyDescent="0.2">
      <c r="A986">
        <v>985</v>
      </c>
      <c r="B986" t="str">
        <f>_xlfn.XLOOKUP(A986,Instagram_Usage_Lifestyle_Mini_!A986,Instagram_Usage_Lifestyle_Mini_!B986,1)</f>
        <v>Instagram</v>
      </c>
      <c r="C986">
        <f>_xlfn.XLOOKUP($A:$A,Instagram_Usage_Lifestyle_Mini_!$A:$A,Instagram_Usage_Lifestyle_Mini_!$C:$K)</f>
        <v>38</v>
      </c>
      <c r="D986" t="str">
        <f>_xlfn.XLOOKUP($A:$A,Instagram_Usage_Lifestyle_Mini_!$A:$A,Instagram_Usage_Lifestyle_Mini_!$C:$K)</f>
        <v>Male</v>
      </c>
      <c r="E986" t="str">
        <f>_xlfn.XLOOKUP($A:$A,Instagram_Usage_Lifestyle_Mini_!$A:$A,Instagram_Usage_Lifestyle_Mini_!$C:$K)</f>
        <v>United _Kingdom</v>
      </c>
      <c r="F986" t="str">
        <f>_xlfn.XLOOKUP($A:$A,Instagram_Usage_Lifestyle_Mini_!$A:$A,Instagram_Usage_Lifestyle_Mini_!$C:$K)</f>
        <v>Suburban</v>
      </c>
      <c r="G986" t="str">
        <f>_xlfn.XLOOKUP($A:$A,Instagram_Usage_Lifestyle_Mini_!$A:$A,Instagram_Usage_Lifestyle_Mini_!$C:$K)</f>
        <v>Upper_middle</v>
      </c>
      <c r="H986" t="str">
        <f>_xlfn.XLOOKUP($A:$A,Instagram_Usage_Lifestyle_Mini_!$A:$A,Instagram_Usage_Lifestyle_Mini_!$C:$K)</f>
        <v>Student</v>
      </c>
      <c r="I986" t="str">
        <f>_xlfn.XLOOKUP($A:$A,Instagram_Usage_Lifestyle_Mini_!$A:$A,Instagram_Usage_Lifestyle_Mini_!$C:$K)</f>
        <v>Bachelors_degree</v>
      </c>
      <c r="J986" t="str">
        <f>_xlfn.XLOOKUP($A:$A,Instagram_Usage_Lifestyle_Mini_!$A:$A,Instagram_Usage_Lifestyle_Mini_!$C:$K)</f>
        <v>Single</v>
      </c>
      <c r="K986" t="str">
        <f>_xlfn.XLOOKUP($A:$A,Instagram_Usage_Lifestyle_Mini_!$A:$A,Instagram_Usage_Lifestyle_Mini_!$C:$K)</f>
        <v>No</v>
      </c>
      <c r="L986" t="str" cm="1">
        <f t="array" ref="L986">_xlfn.IFS(C986&lt;18,"Under_18",C986&lt;=25,"Youth",C986&lt;=35,"Young_Adults",C986&lt;=45,"Mid_Adults",TRUE,"Seniors")</f>
        <v>Mid_Adults</v>
      </c>
    </row>
    <row r="987" spans="1:12" x14ac:dyDescent="0.2">
      <c r="A987">
        <v>986</v>
      </c>
      <c r="B987" t="str">
        <f>_xlfn.XLOOKUP(A987,Instagram_Usage_Lifestyle_Mini_!A987,Instagram_Usage_Lifestyle_Mini_!B987,1)</f>
        <v>Instagram</v>
      </c>
      <c r="C987">
        <f>_xlfn.XLOOKUP($A:$A,Instagram_Usage_Lifestyle_Mini_!$A:$A,Instagram_Usage_Lifestyle_Mini_!$C:$K)</f>
        <v>59</v>
      </c>
      <c r="D987" t="str">
        <f>_xlfn.XLOOKUP($A:$A,Instagram_Usage_Lifestyle_Mini_!$A:$A,Instagram_Usage_Lifestyle_Mini_!$C:$K)</f>
        <v>Female</v>
      </c>
      <c r="E987" t="str">
        <f>_xlfn.XLOOKUP($A:$A,Instagram_Usage_Lifestyle_Mini_!$A:$A,Instagram_Usage_Lifestyle_Mini_!$C:$K)</f>
        <v>Brazil</v>
      </c>
      <c r="F987" t="str">
        <f>_xlfn.XLOOKUP($A:$A,Instagram_Usage_Lifestyle_Mini_!$A:$A,Instagram_Usage_Lifestyle_Mini_!$C:$K)</f>
        <v>Rural</v>
      </c>
      <c r="G987" t="str">
        <f>_xlfn.XLOOKUP($A:$A,Instagram_Usage_Lifestyle_Mini_!$A:$A,Instagram_Usage_Lifestyle_Mini_!$C:$K)</f>
        <v>Low</v>
      </c>
      <c r="H987" t="str">
        <f>_xlfn.XLOOKUP($A:$A,Instagram_Usage_Lifestyle_Mini_!$A:$A,Instagram_Usage_Lifestyle_Mini_!$C:$K)</f>
        <v>Unemployed</v>
      </c>
      <c r="I987" t="str">
        <f>_xlfn.XLOOKUP($A:$A,Instagram_Usage_Lifestyle_Mini_!$A:$A,Instagram_Usage_Lifestyle_Mini_!$C:$K)</f>
        <v>Some_college</v>
      </c>
      <c r="J987" t="str">
        <f>_xlfn.XLOOKUP($A:$A,Instagram_Usage_Lifestyle_Mini_!$A:$A,Instagram_Usage_Lifestyle_Mini_!$C:$K)</f>
        <v>Married</v>
      </c>
      <c r="K987" t="str">
        <f>_xlfn.XLOOKUP($A:$A,Instagram_Usage_Lifestyle_Mini_!$A:$A,Instagram_Usage_Lifestyle_Mini_!$C:$K)</f>
        <v>No</v>
      </c>
      <c r="L987" t="str" cm="1">
        <f t="array" ref="L987">_xlfn.IFS(C987&lt;18,"Under_18",C987&lt;=25,"Youth",C987&lt;=35,"Young_Adults",C987&lt;=45,"Mid_Adults",TRUE,"Seniors")</f>
        <v>Seniors</v>
      </c>
    </row>
    <row r="988" spans="1:12" x14ac:dyDescent="0.2">
      <c r="A988">
        <v>987</v>
      </c>
      <c r="B988" t="str">
        <f>_xlfn.XLOOKUP(A988,Instagram_Usage_Lifestyle_Mini_!A988,Instagram_Usage_Lifestyle_Mini_!B988,1)</f>
        <v>Instagram</v>
      </c>
      <c r="C988">
        <f>_xlfn.XLOOKUP($A:$A,Instagram_Usage_Lifestyle_Mini_!$A:$A,Instagram_Usage_Lifestyle_Mini_!$C:$K)</f>
        <v>34</v>
      </c>
      <c r="D988" t="str">
        <f>_xlfn.XLOOKUP($A:$A,Instagram_Usage_Lifestyle_Mini_!$A:$A,Instagram_Usage_Lifestyle_Mini_!$C:$K)</f>
        <v>Female</v>
      </c>
      <c r="E988" t="str">
        <f>_xlfn.XLOOKUP($A:$A,Instagram_Usage_Lifestyle_Mini_!$A:$A,Instagram_Usage_Lifestyle_Mini_!$C:$K)</f>
        <v>Brazil</v>
      </c>
      <c r="F988" t="str">
        <f>_xlfn.XLOOKUP($A:$A,Instagram_Usage_Lifestyle_Mini_!$A:$A,Instagram_Usage_Lifestyle_Mini_!$C:$K)</f>
        <v>Urban</v>
      </c>
      <c r="G988" t="str">
        <f>_xlfn.XLOOKUP($A:$A,Instagram_Usage_Lifestyle_Mini_!$A:$A,Instagram_Usage_Lifestyle_Mini_!$C:$K)</f>
        <v>Lower_middle</v>
      </c>
      <c r="H988" t="str">
        <f>_xlfn.XLOOKUP($A:$A,Instagram_Usage_Lifestyle_Mini_!$A:$A,Instagram_Usage_Lifestyle_Mini_!$C:$K)</f>
        <v>Full_time_employed</v>
      </c>
      <c r="I988" t="str">
        <f>_xlfn.XLOOKUP($A:$A,Instagram_Usage_Lifestyle_Mini_!$A:$A,Instagram_Usage_Lifestyle_Mini_!$C:$K)</f>
        <v>Bachelors_degree</v>
      </c>
      <c r="J988" t="str">
        <f>_xlfn.XLOOKUP($A:$A,Instagram_Usage_Lifestyle_Mini_!$A:$A,Instagram_Usage_Lifestyle_Mini_!$C:$K)</f>
        <v>Married</v>
      </c>
      <c r="K988" t="str">
        <f>_xlfn.XLOOKUP($A:$A,Instagram_Usage_Lifestyle_Mini_!$A:$A,Instagram_Usage_Lifestyle_Mini_!$C:$K)</f>
        <v>Yes</v>
      </c>
      <c r="L988" t="str" cm="1">
        <f t="array" ref="L988">_xlfn.IFS(C988&lt;18,"Under_18",C988&lt;=25,"Youth",C988&lt;=35,"Young_Adults",C988&lt;=45,"Mid_Adults",TRUE,"Seniors")</f>
        <v>Young_Adults</v>
      </c>
    </row>
    <row r="989" spans="1:12" x14ac:dyDescent="0.2">
      <c r="A989">
        <v>988</v>
      </c>
      <c r="B989" t="str">
        <f>_xlfn.XLOOKUP(A989,Instagram_Usage_Lifestyle_Mini_!A989,Instagram_Usage_Lifestyle_Mini_!B989,1)</f>
        <v>Instagram</v>
      </c>
      <c r="C989">
        <f>_xlfn.XLOOKUP($A:$A,Instagram_Usage_Lifestyle_Mini_!$A:$A,Instagram_Usage_Lifestyle_Mini_!$C:$K)</f>
        <v>59</v>
      </c>
      <c r="D989" t="str">
        <f>_xlfn.XLOOKUP($A:$A,Instagram_Usage_Lifestyle_Mini_!$A:$A,Instagram_Usage_Lifestyle_Mini_!$C:$K)</f>
        <v>Female</v>
      </c>
      <c r="E989" t="str">
        <f>_xlfn.XLOOKUP($A:$A,Instagram_Usage_Lifestyle_Mini_!$A:$A,Instagram_Usage_Lifestyle_Mini_!$C:$K)</f>
        <v>United_States</v>
      </c>
      <c r="F989" t="str">
        <f>_xlfn.XLOOKUP($A:$A,Instagram_Usage_Lifestyle_Mini_!$A:$A,Instagram_Usage_Lifestyle_Mini_!$C:$K)</f>
        <v>Suburban</v>
      </c>
      <c r="G989" t="str">
        <f>_xlfn.XLOOKUP($A:$A,Instagram_Usage_Lifestyle_Mini_!$A:$A,Instagram_Usage_Lifestyle_Mini_!$C:$K)</f>
        <v>Upper_middle</v>
      </c>
      <c r="H989" t="str">
        <f>_xlfn.XLOOKUP($A:$A,Instagram_Usage_Lifestyle_Mini_!$A:$A,Instagram_Usage_Lifestyle_Mini_!$C:$K)</f>
        <v>Full_time_employed</v>
      </c>
      <c r="I989" t="str">
        <f>_xlfn.XLOOKUP($A:$A,Instagram_Usage_Lifestyle_Mini_!$A:$A,Instagram_Usage_Lifestyle_Mini_!$C:$K)</f>
        <v>Bachelors_degree</v>
      </c>
      <c r="J989" t="str">
        <f>_xlfn.XLOOKUP($A:$A,Instagram_Usage_Lifestyle_Mini_!$A:$A,Instagram_Usage_Lifestyle_Mini_!$C:$K)</f>
        <v>In_a_relationship</v>
      </c>
      <c r="K989" t="str">
        <f>_xlfn.XLOOKUP($A:$A,Instagram_Usage_Lifestyle_Mini_!$A:$A,Instagram_Usage_Lifestyle_Mini_!$C:$K)</f>
        <v>No</v>
      </c>
      <c r="L989" t="str" cm="1">
        <f t="array" ref="L989">_xlfn.IFS(C989&lt;18,"Under_18",C989&lt;=25,"Youth",C989&lt;=35,"Young_Adults",C989&lt;=45,"Mid_Adults",TRUE,"Seniors")</f>
        <v>Seniors</v>
      </c>
    </row>
    <row r="990" spans="1:12" x14ac:dyDescent="0.2">
      <c r="A990">
        <v>989</v>
      </c>
      <c r="B990" t="str">
        <f>_xlfn.XLOOKUP(A990,Instagram_Usage_Lifestyle_Mini_!A990,Instagram_Usage_Lifestyle_Mini_!B990,1)</f>
        <v>Instagram</v>
      </c>
      <c r="C990">
        <f>_xlfn.XLOOKUP($A:$A,Instagram_Usage_Lifestyle_Mini_!$A:$A,Instagram_Usage_Lifestyle_Mini_!$C:$K)</f>
        <v>42</v>
      </c>
      <c r="D990" t="str">
        <f>_xlfn.XLOOKUP($A:$A,Instagram_Usage_Lifestyle_Mini_!$A:$A,Instagram_Usage_Lifestyle_Mini_!$C:$K)</f>
        <v>Male</v>
      </c>
      <c r="E990" t="str">
        <f>_xlfn.XLOOKUP($A:$A,Instagram_Usage_Lifestyle_Mini_!$A:$A,Instagram_Usage_Lifestyle_Mini_!$C:$K)</f>
        <v>Other</v>
      </c>
      <c r="F990" t="str">
        <f>_xlfn.XLOOKUP($A:$A,Instagram_Usage_Lifestyle_Mini_!$A:$A,Instagram_Usage_Lifestyle_Mini_!$C:$K)</f>
        <v>Suburban</v>
      </c>
      <c r="G990" t="str">
        <f>_xlfn.XLOOKUP($A:$A,Instagram_Usage_Lifestyle_Mini_!$A:$A,Instagram_Usage_Lifestyle_Mini_!$C:$K)</f>
        <v>Lower_middle</v>
      </c>
      <c r="H990" t="str">
        <f>_xlfn.XLOOKUP($A:$A,Instagram_Usage_Lifestyle_Mini_!$A:$A,Instagram_Usage_Lifestyle_Mini_!$C:$K)</f>
        <v>Student</v>
      </c>
      <c r="I990" t="str">
        <f>_xlfn.XLOOKUP($A:$A,Instagram_Usage_Lifestyle_Mini_!$A:$A,Instagram_Usage_Lifestyle_Mini_!$C:$K)</f>
        <v>High_school</v>
      </c>
      <c r="J990" t="str">
        <f>_xlfn.XLOOKUP($A:$A,Instagram_Usage_Lifestyle_Mini_!$A:$A,Instagram_Usage_Lifestyle_Mini_!$C:$K)</f>
        <v>In_a_relationship</v>
      </c>
      <c r="K990" t="str">
        <f>_xlfn.XLOOKUP($A:$A,Instagram_Usage_Lifestyle_Mini_!$A:$A,Instagram_Usage_Lifestyle_Mini_!$C:$K)</f>
        <v>Yes</v>
      </c>
      <c r="L990" t="str" cm="1">
        <f t="array" ref="L990">_xlfn.IFS(C990&lt;18,"Under_18",C990&lt;=25,"Youth",C990&lt;=35,"Young_Adults",C990&lt;=45,"Mid_Adults",TRUE,"Seniors")</f>
        <v>Mid_Adults</v>
      </c>
    </row>
    <row r="991" spans="1:12" x14ac:dyDescent="0.2">
      <c r="A991">
        <v>990</v>
      </c>
      <c r="B991" t="str">
        <f>_xlfn.XLOOKUP(A991,Instagram_Usage_Lifestyle_Mini_!A991,Instagram_Usage_Lifestyle_Mini_!B991,1)</f>
        <v>Instagram</v>
      </c>
      <c r="C991">
        <f>_xlfn.XLOOKUP($A:$A,Instagram_Usage_Lifestyle_Mini_!$A:$A,Instagram_Usage_Lifestyle_Mini_!$C:$K)</f>
        <v>55</v>
      </c>
      <c r="D991" t="str">
        <f>_xlfn.XLOOKUP($A:$A,Instagram_Usage_Lifestyle_Mini_!$A:$A,Instagram_Usage_Lifestyle_Mini_!$C:$K)</f>
        <v>Male</v>
      </c>
      <c r="E991" t="str">
        <f>_xlfn.XLOOKUP($A:$A,Instagram_Usage_Lifestyle_Mini_!$A:$A,Instagram_Usage_Lifestyle_Mini_!$C:$K)</f>
        <v>United_States</v>
      </c>
      <c r="F991" t="str">
        <f>_xlfn.XLOOKUP($A:$A,Instagram_Usage_Lifestyle_Mini_!$A:$A,Instagram_Usage_Lifestyle_Mini_!$C:$K)</f>
        <v>Suburban</v>
      </c>
      <c r="G991" t="str">
        <f>_xlfn.XLOOKUP($A:$A,Instagram_Usage_Lifestyle_Mini_!$A:$A,Instagram_Usage_Lifestyle_Mini_!$C:$K)</f>
        <v>Upper_middle</v>
      </c>
      <c r="H991" t="str">
        <f>_xlfn.XLOOKUP($A:$A,Instagram_Usage_Lifestyle_Mini_!$A:$A,Instagram_Usage_Lifestyle_Mini_!$C:$K)</f>
        <v>Student</v>
      </c>
      <c r="I991" t="str">
        <f>_xlfn.XLOOKUP($A:$A,Instagram_Usage_Lifestyle_Mini_!$A:$A,Instagram_Usage_Lifestyle_Mini_!$C:$K)</f>
        <v>Masters_degree</v>
      </c>
      <c r="J991" t="str">
        <f>_xlfn.XLOOKUP($A:$A,Instagram_Usage_Lifestyle_Mini_!$A:$A,Instagram_Usage_Lifestyle_Mini_!$C:$K)</f>
        <v>Single</v>
      </c>
      <c r="K991" t="str">
        <f>_xlfn.XLOOKUP($A:$A,Instagram_Usage_Lifestyle_Mini_!$A:$A,Instagram_Usage_Lifestyle_Mini_!$C:$K)</f>
        <v>No</v>
      </c>
      <c r="L991" t="str" cm="1">
        <f t="array" ref="L991">_xlfn.IFS(C991&lt;18,"Under_18",C991&lt;=25,"Youth",C991&lt;=35,"Young_Adults",C991&lt;=45,"Mid_Adults",TRUE,"Seniors")</f>
        <v>Seniors</v>
      </c>
    </row>
    <row r="992" spans="1:12" x14ac:dyDescent="0.2">
      <c r="A992">
        <v>991</v>
      </c>
      <c r="B992" t="str">
        <f>_xlfn.XLOOKUP(A992,Instagram_Usage_Lifestyle_Mini_!A992,Instagram_Usage_Lifestyle_Mini_!B992,1)</f>
        <v>Instagram</v>
      </c>
      <c r="C992">
        <f>_xlfn.XLOOKUP($A:$A,Instagram_Usage_Lifestyle_Mini_!$A:$A,Instagram_Usage_Lifestyle_Mini_!$C:$K)</f>
        <v>60</v>
      </c>
      <c r="D992" t="str">
        <f>_xlfn.XLOOKUP($A:$A,Instagram_Usage_Lifestyle_Mini_!$A:$A,Instagram_Usage_Lifestyle_Mini_!$C:$K)</f>
        <v>Male</v>
      </c>
      <c r="E992" t="str">
        <f>_xlfn.XLOOKUP($A:$A,Instagram_Usage_Lifestyle_Mini_!$A:$A,Instagram_Usage_Lifestyle_Mini_!$C:$K)</f>
        <v>South_Korea</v>
      </c>
      <c r="F992" t="str">
        <f>_xlfn.XLOOKUP($A:$A,Instagram_Usage_Lifestyle_Mini_!$A:$A,Instagram_Usage_Lifestyle_Mini_!$C:$K)</f>
        <v>Suburban</v>
      </c>
      <c r="G992" t="str">
        <f>_xlfn.XLOOKUP($A:$A,Instagram_Usage_Lifestyle_Mini_!$A:$A,Instagram_Usage_Lifestyle_Mini_!$C:$K)</f>
        <v>Upper_middle</v>
      </c>
      <c r="H992" t="str">
        <f>_xlfn.XLOOKUP($A:$A,Instagram_Usage_Lifestyle_Mini_!$A:$A,Instagram_Usage_Lifestyle_Mini_!$C:$K)</f>
        <v>Freelancer</v>
      </c>
      <c r="I992" t="str">
        <f>_xlfn.XLOOKUP($A:$A,Instagram_Usage_Lifestyle_Mini_!$A:$A,Instagram_Usage_Lifestyle_Mini_!$C:$K)</f>
        <v>Some_college</v>
      </c>
      <c r="J992" t="str">
        <f>_xlfn.XLOOKUP($A:$A,Instagram_Usage_Lifestyle_Mini_!$A:$A,Instagram_Usage_Lifestyle_Mini_!$C:$K)</f>
        <v>Single</v>
      </c>
      <c r="K992" t="str">
        <f>_xlfn.XLOOKUP($A:$A,Instagram_Usage_Lifestyle_Mini_!$A:$A,Instagram_Usage_Lifestyle_Mini_!$C:$K)</f>
        <v>No</v>
      </c>
      <c r="L992" t="str" cm="1">
        <f t="array" ref="L992">_xlfn.IFS(C992&lt;18,"Under_18",C992&lt;=25,"Youth",C992&lt;=35,"Young_Adults",C992&lt;=45,"Mid_Adults",TRUE,"Seniors")</f>
        <v>Seniors</v>
      </c>
    </row>
    <row r="993" spans="1:12" x14ac:dyDescent="0.2">
      <c r="A993">
        <v>992</v>
      </c>
      <c r="B993" t="str">
        <f>_xlfn.XLOOKUP(A993,Instagram_Usage_Lifestyle_Mini_!A993,Instagram_Usage_Lifestyle_Mini_!B993,1)</f>
        <v>Instagram</v>
      </c>
      <c r="C993">
        <f>_xlfn.XLOOKUP($A:$A,Instagram_Usage_Lifestyle_Mini_!$A:$A,Instagram_Usage_Lifestyle_Mini_!$C:$K)</f>
        <v>29</v>
      </c>
      <c r="D993" t="str">
        <f>_xlfn.XLOOKUP($A:$A,Instagram_Usage_Lifestyle_Mini_!$A:$A,Instagram_Usage_Lifestyle_Mini_!$C:$K)</f>
        <v>Female</v>
      </c>
      <c r="E993" t="str">
        <f>_xlfn.XLOOKUP($A:$A,Instagram_Usage_Lifestyle_Mini_!$A:$A,Instagram_Usage_Lifestyle_Mini_!$C:$K)</f>
        <v>United_States</v>
      </c>
      <c r="F993" t="str">
        <f>_xlfn.XLOOKUP($A:$A,Instagram_Usage_Lifestyle_Mini_!$A:$A,Instagram_Usage_Lifestyle_Mini_!$C:$K)</f>
        <v>Suburban</v>
      </c>
      <c r="G993" t="str">
        <f>_xlfn.XLOOKUP($A:$A,Instagram_Usage_Lifestyle_Mini_!$A:$A,Instagram_Usage_Lifestyle_Mini_!$C:$K)</f>
        <v>Lower_middle</v>
      </c>
      <c r="H993" t="str">
        <f>_xlfn.XLOOKUP($A:$A,Instagram_Usage_Lifestyle_Mini_!$A:$A,Instagram_Usage_Lifestyle_Mini_!$C:$K)</f>
        <v>Student</v>
      </c>
      <c r="I993" t="str">
        <f>_xlfn.XLOOKUP($A:$A,Instagram_Usage_Lifestyle_Mini_!$A:$A,Instagram_Usage_Lifestyle_Mini_!$C:$K)</f>
        <v>Some_college</v>
      </c>
      <c r="J993" t="str">
        <f>_xlfn.XLOOKUP($A:$A,Instagram_Usage_Lifestyle_Mini_!$A:$A,Instagram_Usage_Lifestyle_Mini_!$C:$K)</f>
        <v>In_a_relationship</v>
      </c>
      <c r="K993" t="str">
        <f>_xlfn.XLOOKUP($A:$A,Instagram_Usage_Lifestyle_Mini_!$A:$A,Instagram_Usage_Lifestyle_Mini_!$C:$K)</f>
        <v>No</v>
      </c>
      <c r="L993" t="str" cm="1">
        <f t="array" ref="L993">_xlfn.IFS(C993&lt;18,"Under_18",C993&lt;=25,"Youth",C993&lt;=35,"Young_Adults",C993&lt;=45,"Mid_Adults",TRUE,"Seniors")</f>
        <v>Young_Adults</v>
      </c>
    </row>
    <row r="994" spans="1:12" x14ac:dyDescent="0.2">
      <c r="A994">
        <v>993</v>
      </c>
      <c r="B994" t="str">
        <f>_xlfn.XLOOKUP(A994,Instagram_Usage_Lifestyle_Mini_!A994,Instagram_Usage_Lifestyle_Mini_!B994,1)</f>
        <v>Instagram</v>
      </c>
      <c r="C994">
        <f>_xlfn.XLOOKUP($A:$A,Instagram_Usage_Lifestyle_Mini_!$A:$A,Instagram_Usage_Lifestyle_Mini_!$C:$K)</f>
        <v>38</v>
      </c>
      <c r="D994" t="str">
        <f>_xlfn.XLOOKUP($A:$A,Instagram_Usage_Lifestyle_Mini_!$A:$A,Instagram_Usage_Lifestyle_Mini_!$C:$K)</f>
        <v>Female</v>
      </c>
      <c r="E994" t="str">
        <f>_xlfn.XLOOKUP($A:$A,Instagram_Usage_Lifestyle_Mini_!$A:$A,Instagram_Usage_Lifestyle_Mini_!$C:$K)</f>
        <v>India</v>
      </c>
      <c r="F994" t="str">
        <f>_xlfn.XLOOKUP($A:$A,Instagram_Usage_Lifestyle_Mini_!$A:$A,Instagram_Usage_Lifestyle_Mini_!$C:$K)</f>
        <v>Urban</v>
      </c>
      <c r="G994" t="str">
        <f>_xlfn.XLOOKUP($A:$A,Instagram_Usage_Lifestyle_Mini_!$A:$A,Instagram_Usage_Lifestyle_Mini_!$C:$K)</f>
        <v>Upper_middle</v>
      </c>
      <c r="H994" t="str">
        <f>_xlfn.XLOOKUP($A:$A,Instagram_Usage_Lifestyle_Mini_!$A:$A,Instagram_Usage_Lifestyle_Mini_!$C:$K)</f>
        <v>Full_time_employed</v>
      </c>
      <c r="I994" t="str">
        <f>_xlfn.XLOOKUP($A:$A,Instagram_Usage_Lifestyle_Mini_!$A:$A,Instagram_Usage_Lifestyle_Mini_!$C:$K)</f>
        <v>Some_college</v>
      </c>
      <c r="J994" t="str">
        <f>_xlfn.XLOOKUP($A:$A,Instagram_Usage_Lifestyle_Mini_!$A:$A,Instagram_Usage_Lifestyle_Mini_!$C:$K)</f>
        <v>In_a_relationship</v>
      </c>
      <c r="K994" t="str">
        <f>_xlfn.XLOOKUP($A:$A,Instagram_Usage_Lifestyle_Mini_!$A:$A,Instagram_Usage_Lifestyle_Mini_!$C:$K)</f>
        <v>No</v>
      </c>
      <c r="L994" t="str" cm="1">
        <f t="array" ref="L994">_xlfn.IFS(C994&lt;18,"Under_18",C994&lt;=25,"Youth",C994&lt;=35,"Young_Adults",C994&lt;=45,"Mid_Adults",TRUE,"Seniors")</f>
        <v>Mid_Adults</v>
      </c>
    </row>
    <row r="995" spans="1:12" x14ac:dyDescent="0.2">
      <c r="A995">
        <v>994</v>
      </c>
      <c r="B995" t="str">
        <f>_xlfn.XLOOKUP(A995,Instagram_Usage_Lifestyle_Mini_!A995,Instagram_Usage_Lifestyle_Mini_!B995,1)</f>
        <v>Instagram</v>
      </c>
      <c r="C995">
        <f>_xlfn.XLOOKUP($A:$A,Instagram_Usage_Lifestyle_Mini_!$A:$A,Instagram_Usage_Lifestyle_Mini_!$C:$K)</f>
        <v>48</v>
      </c>
      <c r="D995" t="str">
        <f>_xlfn.XLOOKUP($A:$A,Instagram_Usage_Lifestyle_Mini_!$A:$A,Instagram_Usage_Lifestyle_Mini_!$C:$K)</f>
        <v>Female</v>
      </c>
      <c r="E995" t="str">
        <f>_xlfn.XLOOKUP($A:$A,Instagram_Usage_Lifestyle_Mini_!$A:$A,Instagram_Usage_Lifestyle_Mini_!$C:$K)</f>
        <v>India</v>
      </c>
      <c r="F995" t="str">
        <f>_xlfn.XLOOKUP($A:$A,Instagram_Usage_Lifestyle_Mini_!$A:$A,Instagram_Usage_Lifestyle_Mini_!$C:$K)</f>
        <v>Rural</v>
      </c>
      <c r="G995" t="str">
        <f>_xlfn.XLOOKUP($A:$A,Instagram_Usage_Lifestyle_Mini_!$A:$A,Instagram_Usage_Lifestyle_Mini_!$C:$K)</f>
        <v>Middle</v>
      </c>
      <c r="H995" t="str">
        <f>_xlfn.XLOOKUP($A:$A,Instagram_Usage_Lifestyle_Mini_!$A:$A,Instagram_Usage_Lifestyle_Mini_!$C:$K)</f>
        <v>Student</v>
      </c>
      <c r="I995" t="str">
        <f>_xlfn.XLOOKUP($A:$A,Instagram_Usage_Lifestyle_Mini_!$A:$A,Instagram_Usage_Lifestyle_Mini_!$C:$K)</f>
        <v>Bachelors_degree</v>
      </c>
      <c r="J995" t="str">
        <f>_xlfn.XLOOKUP($A:$A,Instagram_Usage_Lifestyle_Mini_!$A:$A,Instagram_Usage_Lifestyle_Mini_!$C:$K)</f>
        <v>Married</v>
      </c>
      <c r="K995" t="str">
        <f>_xlfn.XLOOKUP($A:$A,Instagram_Usage_Lifestyle_Mini_!$A:$A,Instagram_Usage_Lifestyle_Mini_!$C:$K)</f>
        <v>No</v>
      </c>
      <c r="L995" t="str" cm="1">
        <f t="array" ref="L995">_xlfn.IFS(C995&lt;18,"Under_18",C995&lt;=25,"Youth",C995&lt;=35,"Young_Adults",C995&lt;=45,"Mid_Adults",TRUE,"Seniors")</f>
        <v>Seniors</v>
      </c>
    </row>
    <row r="996" spans="1:12" x14ac:dyDescent="0.2">
      <c r="A996">
        <v>995</v>
      </c>
      <c r="B996" t="str">
        <f>_xlfn.XLOOKUP(A996,Instagram_Usage_Lifestyle_Mini_!A996,Instagram_Usage_Lifestyle_Mini_!B996,1)</f>
        <v>Instagram</v>
      </c>
      <c r="C996">
        <f>_xlfn.XLOOKUP($A:$A,Instagram_Usage_Lifestyle_Mini_!$A:$A,Instagram_Usage_Lifestyle_Mini_!$C:$K)</f>
        <v>13</v>
      </c>
      <c r="D996" t="str">
        <f>_xlfn.XLOOKUP($A:$A,Instagram_Usage_Lifestyle_Mini_!$A:$A,Instagram_Usage_Lifestyle_Mini_!$C:$K)</f>
        <v>Female</v>
      </c>
      <c r="E996" t="str">
        <f>_xlfn.XLOOKUP($A:$A,Instagram_Usage_Lifestyle_Mini_!$A:$A,Instagram_Usage_Lifestyle_Mini_!$C:$K)</f>
        <v>India</v>
      </c>
      <c r="F996" t="str">
        <f>_xlfn.XLOOKUP($A:$A,Instagram_Usage_Lifestyle_Mini_!$A:$A,Instagram_Usage_Lifestyle_Mini_!$C:$K)</f>
        <v>Urban</v>
      </c>
      <c r="G996" t="str">
        <f>_xlfn.XLOOKUP($A:$A,Instagram_Usage_Lifestyle_Mini_!$A:$A,Instagram_Usage_Lifestyle_Mini_!$C:$K)</f>
        <v>Low</v>
      </c>
      <c r="H996" t="str">
        <f>_xlfn.XLOOKUP($A:$A,Instagram_Usage_Lifestyle_Mini_!$A:$A,Instagram_Usage_Lifestyle_Mini_!$C:$K)</f>
        <v>Student</v>
      </c>
      <c r="I996" t="str">
        <f>_xlfn.XLOOKUP($A:$A,Instagram_Usage_Lifestyle_Mini_!$A:$A,Instagram_Usage_Lifestyle_Mini_!$C:$K)</f>
        <v>High_school</v>
      </c>
      <c r="J996" t="str">
        <f>_xlfn.XLOOKUP($A:$A,Instagram_Usage_Lifestyle_Mini_!$A:$A,Instagram_Usage_Lifestyle_Mini_!$C:$K)</f>
        <v>Single</v>
      </c>
      <c r="K996" t="str">
        <f>_xlfn.XLOOKUP($A:$A,Instagram_Usage_Lifestyle_Mini_!$A:$A,Instagram_Usage_Lifestyle_Mini_!$C:$K)</f>
        <v>No</v>
      </c>
      <c r="L996" t="str" cm="1">
        <f t="array" ref="L996">_xlfn.IFS(C996&lt;18,"Under_18",C996&lt;=25,"Youth",C996&lt;=35,"Young_Adults",C996&lt;=45,"Mid_Adults",TRUE,"Seniors")</f>
        <v>Under_18</v>
      </c>
    </row>
    <row r="997" spans="1:12" x14ac:dyDescent="0.2">
      <c r="A997">
        <v>996</v>
      </c>
      <c r="B997" t="str">
        <f>_xlfn.XLOOKUP(A997,Instagram_Usage_Lifestyle_Mini_!A997,Instagram_Usage_Lifestyle_Mini_!B997,1)</f>
        <v>Instagram</v>
      </c>
      <c r="C997">
        <f>_xlfn.XLOOKUP($A:$A,Instagram_Usage_Lifestyle_Mini_!$A:$A,Instagram_Usage_Lifestyle_Mini_!$C:$K)</f>
        <v>20</v>
      </c>
      <c r="D997" t="str">
        <f>_xlfn.XLOOKUP($A:$A,Instagram_Usage_Lifestyle_Mini_!$A:$A,Instagram_Usage_Lifestyle_Mini_!$C:$K)</f>
        <v>Female</v>
      </c>
      <c r="E997" t="str">
        <f>_xlfn.XLOOKUP($A:$A,Instagram_Usage_Lifestyle_Mini_!$A:$A,Instagram_Usage_Lifestyle_Mini_!$C:$K)</f>
        <v>India</v>
      </c>
      <c r="F997" t="str">
        <f>_xlfn.XLOOKUP($A:$A,Instagram_Usage_Lifestyle_Mini_!$A:$A,Instagram_Usage_Lifestyle_Mini_!$C:$K)</f>
        <v>Suburban</v>
      </c>
      <c r="G997" t="str">
        <f>_xlfn.XLOOKUP($A:$A,Instagram_Usage_Lifestyle_Mini_!$A:$A,Instagram_Usage_Lifestyle_Mini_!$C:$K)</f>
        <v>Low</v>
      </c>
      <c r="H997" t="str">
        <f>_xlfn.XLOOKUP($A:$A,Instagram_Usage_Lifestyle_Mini_!$A:$A,Instagram_Usage_Lifestyle_Mini_!$C:$K)</f>
        <v>Student</v>
      </c>
      <c r="I997" t="str">
        <f>_xlfn.XLOOKUP($A:$A,Instagram_Usage_Lifestyle_Mini_!$A:$A,Instagram_Usage_Lifestyle_Mini_!$C:$K)</f>
        <v>Bachelors_degree</v>
      </c>
      <c r="J997" t="str">
        <f>_xlfn.XLOOKUP($A:$A,Instagram_Usage_Lifestyle_Mini_!$A:$A,Instagram_Usage_Lifestyle_Mini_!$C:$K)</f>
        <v>In_a_relationship</v>
      </c>
      <c r="K997" t="str">
        <f>_xlfn.XLOOKUP($A:$A,Instagram_Usage_Lifestyle_Mini_!$A:$A,Instagram_Usage_Lifestyle_Mini_!$C:$K)</f>
        <v>Yes</v>
      </c>
      <c r="L997" t="str" cm="1">
        <f t="array" ref="L997">_xlfn.IFS(C997&lt;18,"Under_18",C997&lt;=25,"Youth",C997&lt;=35,"Young_Adults",C997&lt;=45,"Mid_Adults",TRUE,"Seniors")</f>
        <v>Youth</v>
      </c>
    </row>
    <row r="998" spans="1:12" x14ac:dyDescent="0.2">
      <c r="A998">
        <v>997</v>
      </c>
      <c r="B998" t="str">
        <f>_xlfn.XLOOKUP(A998,Instagram_Usage_Lifestyle_Mini_!A998,Instagram_Usage_Lifestyle_Mini_!B998,1)</f>
        <v>Instagram</v>
      </c>
      <c r="C998">
        <f>_xlfn.XLOOKUP($A:$A,Instagram_Usage_Lifestyle_Mini_!$A:$A,Instagram_Usage_Lifestyle_Mini_!$C:$K)</f>
        <v>61</v>
      </c>
      <c r="D998" t="str">
        <f>_xlfn.XLOOKUP($A:$A,Instagram_Usage_Lifestyle_Mini_!$A:$A,Instagram_Usage_Lifestyle_Mini_!$C:$K)</f>
        <v>Female</v>
      </c>
      <c r="E998" t="str">
        <f>_xlfn.XLOOKUP($A:$A,Instagram_Usage_Lifestyle_Mini_!$A:$A,Instagram_Usage_Lifestyle_Mini_!$C:$K)</f>
        <v>United _Kingdom</v>
      </c>
      <c r="F998" t="str">
        <f>_xlfn.XLOOKUP($A:$A,Instagram_Usage_Lifestyle_Mini_!$A:$A,Instagram_Usage_Lifestyle_Mini_!$C:$K)</f>
        <v>Suburban</v>
      </c>
      <c r="G998" t="str">
        <f>_xlfn.XLOOKUP($A:$A,Instagram_Usage_Lifestyle_Mini_!$A:$A,Instagram_Usage_Lifestyle_Mini_!$C:$K)</f>
        <v>Low</v>
      </c>
      <c r="H998" t="str">
        <f>_xlfn.XLOOKUP($A:$A,Instagram_Usage_Lifestyle_Mini_!$A:$A,Instagram_Usage_Lifestyle_Mini_!$C:$K)</f>
        <v>Student</v>
      </c>
      <c r="I998" t="str">
        <f>_xlfn.XLOOKUP($A:$A,Instagram_Usage_Lifestyle_Mini_!$A:$A,Instagram_Usage_Lifestyle_Mini_!$C:$K)</f>
        <v>High_school</v>
      </c>
      <c r="J998" t="str">
        <f>_xlfn.XLOOKUP($A:$A,Instagram_Usage_Lifestyle_Mini_!$A:$A,Instagram_Usage_Lifestyle_Mini_!$C:$K)</f>
        <v>Divorced</v>
      </c>
      <c r="K998" t="str">
        <f>_xlfn.XLOOKUP($A:$A,Instagram_Usage_Lifestyle_Mini_!$A:$A,Instagram_Usage_Lifestyle_Mini_!$C:$K)</f>
        <v>No</v>
      </c>
      <c r="L998" t="str" cm="1">
        <f t="array" ref="L998">_xlfn.IFS(C998&lt;18,"Under_18",C998&lt;=25,"Youth",C998&lt;=35,"Young_Adults",C998&lt;=45,"Mid_Adults",TRUE,"Seniors")</f>
        <v>Seniors</v>
      </c>
    </row>
    <row r="999" spans="1:12" x14ac:dyDescent="0.2">
      <c r="A999">
        <v>998</v>
      </c>
      <c r="B999" t="str">
        <f>_xlfn.XLOOKUP(A999,Instagram_Usage_Lifestyle_Mini_!A999,Instagram_Usage_Lifestyle_Mini_!B999,1)</f>
        <v>Instagram</v>
      </c>
      <c r="C999">
        <f>_xlfn.XLOOKUP($A:$A,Instagram_Usage_Lifestyle_Mini_!$A:$A,Instagram_Usage_Lifestyle_Mini_!$C:$K)</f>
        <v>47</v>
      </c>
      <c r="D999" t="str">
        <f>_xlfn.XLOOKUP($A:$A,Instagram_Usage_Lifestyle_Mini_!$A:$A,Instagram_Usage_Lifestyle_Mini_!$C:$K)</f>
        <v>Female</v>
      </c>
      <c r="E999" t="str">
        <f>_xlfn.XLOOKUP($A:$A,Instagram_Usage_Lifestyle_Mini_!$A:$A,Instagram_Usage_Lifestyle_Mini_!$C:$K)</f>
        <v>India</v>
      </c>
      <c r="F999" t="str">
        <f>_xlfn.XLOOKUP($A:$A,Instagram_Usage_Lifestyle_Mini_!$A:$A,Instagram_Usage_Lifestyle_Mini_!$C:$K)</f>
        <v>Urban</v>
      </c>
      <c r="G999" t="str">
        <f>_xlfn.XLOOKUP($A:$A,Instagram_Usage_Lifestyle_Mini_!$A:$A,Instagram_Usage_Lifestyle_Mini_!$C:$K)</f>
        <v>Upper_middle</v>
      </c>
      <c r="H999" t="str">
        <f>_xlfn.XLOOKUP($A:$A,Instagram_Usage_Lifestyle_Mini_!$A:$A,Instagram_Usage_Lifestyle_Mini_!$C:$K)</f>
        <v>Student</v>
      </c>
      <c r="I999" t="str">
        <f>_xlfn.XLOOKUP($A:$A,Instagram_Usage_Lifestyle_Mini_!$A:$A,Instagram_Usage_Lifestyle_Mini_!$C:$K)</f>
        <v>High_school</v>
      </c>
      <c r="J999" t="str">
        <f>_xlfn.XLOOKUP($A:$A,Instagram_Usage_Lifestyle_Mini_!$A:$A,Instagram_Usage_Lifestyle_Mini_!$C:$K)</f>
        <v>In_a_relationship</v>
      </c>
      <c r="K999" t="str">
        <f>_xlfn.XLOOKUP($A:$A,Instagram_Usage_Lifestyle_Mini_!$A:$A,Instagram_Usage_Lifestyle_Mini_!$C:$K)</f>
        <v>No</v>
      </c>
      <c r="L999" t="str" cm="1">
        <f t="array" ref="L999">_xlfn.IFS(C999&lt;18,"Under_18",C999&lt;=25,"Youth",C999&lt;=35,"Young_Adults",C999&lt;=45,"Mid_Adults",TRUE,"Seniors")</f>
        <v>Seniors</v>
      </c>
    </row>
    <row r="1000" spans="1:12" x14ac:dyDescent="0.2">
      <c r="A1000">
        <v>999</v>
      </c>
      <c r="B1000" t="str">
        <f>_xlfn.XLOOKUP(A1000,Instagram_Usage_Lifestyle_Mini_!A1000,Instagram_Usage_Lifestyle_Mini_!B1000,1)</f>
        <v>Instagram</v>
      </c>
      <c r="C1000">
        <f>_xlfn.XLOOKUP($A:$A,Instagram_Usage_Lifestyle_Mini_!$A:$A,Instagram_Usage_Lifestyle_Mini_!$C:$K)</f>
        <v>64</v>
      </c>
      <c r="D1000" t="str">
        <f>_xlfn.XLOOKUP($A:$A,Instagram_Usage_Lifestyle_Mini_!$A:$A,Instagram_Usage_Lifestyle_Mini_!$C:$K)</f>
        <v>Male</v>
      </c>
      <c r="E1000" t="str">
        <f>_xlfn.XLOOKUP($A:$A,Instagram_Usage_Lifestyle_Mini_!$A:$A,Instagram_Usage_Lifestyle_Mini_!$C:$K)</f>
        <v>United_States</v>
      </c>
      <c r="F1000" t="str">
        <f>_xlfn.XLOOKUP($A:$A,Instagram_Usage_Lifestyle_Mini_!$A:$A,Instagram_Usage_Lifestyle_Mini_!$C:$K)</f>
        <v>Suburban</v>
      </c>
      <c r="G1000" t="str">
        <f>_xlfn.XLOOKUP($A:$A,Instagram_Usage_Lifestyle_Mini_!$A:$A,Instagram_Usage_Lifestyle_Mini_!$C:$K)</f>
        <v>Upper_middle</v>
      </c>
      <c r="H1000" t="str">
        <f>_xlfn.XLOOKUP($A:$A,Instagram_Usage_Lifestyle_Mini_!$A:$A,Instagram_Usage_Lifestyle_Mini_!$C:$K)</f>
        <v>Full_time_employed</v>
      </c>
      <c r="I1000" t="str">
        <f>_xlfn.XLOOKUP($A:$A,Instagram_Usage_Lifestyle_Mini_!$A:$A,Instagram_Usage_Lifestyle_Mini_!$C:$K)</f>
        <v>Some_college</v>
      </c>
      <c r="J1000" t="str">
        <f>_xlfn.XLOOKUP($A:$A,Instagram_Usage_Lifestyle_Mini_!$A:$A,Instagram_Usage_Lifestyle_Mini_!$C:$K)</f>
        <v>In_a_relationship</v>
      </c>
      <c r="K1000" t="str">
        <f>_xlfn.XLOOKUP($A:$A,Instagram_Usage_Lifestyle_Mini_!$A:$A,Instagram_Usage_Lifestyle_Mini_!$C:$K)</f>
        <v>Yes</v>
      </c>
      <c r="L1000" t="str" cm="1">
        <f t="array" ref="L1000">_xlfn.IFS(C1000&lt;18,"Under_18",C1000&lt;=25,"Youth",C1000&lt;=35,"Young_Adults",C1000&lt;=45,"Mid_Adults",TRUE,"Seniors")</f>
        <v>Seniors</v>
      </c>
    </row>
    <row r="1001" spans="1:12" x14ac:dyDescent="0.2">
      <c r="A1001">
        <v>1000</v>
      </c>
      <c r="B1001" t="str">
        <f>_xlfn.XLOOKUP(A1001,Instagram_Usage_Lifestyle_Mini_!A1001,Instagram_Usage_Lifestyle_Mini_!B1001,1)</f>
        <v>Instagram</v>
      </c>
      <c r="C1001">
        <f>_xlfn.XLOOKUP($A:$A,Instagram_Usage_Lifestyle_Mini_!$A:$A,Instagram_Usage_Lifestyle_Mini_!$C:$K)</f>
        <v>27</v>
      </c>
      <c r="D1001" t="str">
        <f>_xlfn.XLOOKUP($A:$A,Instagram_Usage_Lifestyle_Mini_!$A:$A,Instagram_Usage_Lifestyle_Mini_!$C:$K)</f>
        <v>Female</v>
      </c>
      <c r="E1001" t="str">
        <f>_xlfn.XLOOKUP($A:$A,Instagram_Usage_Lifestyle_Mini_!$A:$A,Instagram_Usage_Lifestyle_Mini_!$C:$K)</f>
        <v>Canada</v>
      </c>
      <c r="F1001" t="str">
        <f>_xlfn.XLOOKUP($A:$A,Instagram_Usage_Lifestyle_Mini_!$A:$A,Instagram_Usage_Lifestyle_Mini_!$C:$K)</f>
        <v>Urban</v>
      </c>
      <c r="G1001" t="str">
        <f>_xlfn.XLOOKUP($A:$A,Instagram_Usage_Lifestyle_Mini_!$A:$A,Instagram_Usage_Lifestyle_Mini_!$C:$K)</f>
        <v>Middle</v>
      </c>
      <c r="H1001" t="str">
        <f>_xlfn.XLOOKUP($A:$A,Instagram_Usage_Lifestyle_Mini_!$A:$A,Instagram_Usage_Lifestyle_Mini_!$C:$K)</f>
        <v>Unemployed</v>
      </c>
      <c r="I1001" t="str">
        <f>_xlfn.XLOOKUP($A:$A,Instagram_Usage_Lifestyle_Mini_!$A:$A,Instagram_Usage_Lifestyle_Mini_!$C:$K)</f>
        <v>Bachelors_degree</v>
      </c>
      <c r="J1001" t="str">
        <f>_xlfn.XLOOKUP($A:$A,Instagram_Usage_Lifestyle_Mini_!$A:$A,Instagram_Usage_Lifestyle_Mini_!$C:$K)</f>
        <v>In_a_relationship</v>
      </c>
      <c r="K1001" t="str">
        <f>_xlfn.XLOOKUP($A:$A,Instagram_Usage_Lifestyle_Mini_!$A:$A,Instagram_Usage_Lifestyle_Mini_!$C:$K)</f>
        <v>No</v>
      </c>
      <c r="L1001" t="str" cm="1">
        <f t="array" ref="L1001">_xlfn.IFS(C1001&lt;18,"Under_18",C1001&lt;=25,"Youth",C1001&lt;=35,"Young_Adults",C1001&lt;=45,"Mid_Adults",TRUE,"Seniors")</f>
        <v>Young_Adults</v>
      </c>
    </row>
  </sheetData>
  <autoFilter ref="A1:L1" xr:uid="{CB650EB1-3613-9846-9729-B63290FADCB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A0E3A-B8A2-654F-A85C-44931CBC63D2}">
  <dimension ref="A3:E33"/>
  <sheetViews>
    <sheetView workbookViewId="0">
      <selection activeCell="G32" sqref="G32"/>
    </sheetView>
  </sheetViews>
  <sheetFormatPr baseColWidth="10" defaultRowHeight="16" x14ac:dyDescent="0.2"/>
  <cols>
    <col min="1" max="1" width="13" bestFit="1" customWidth="1"/>
    <col min="2" max="2" width="14.5" bestFit="1" customWidth="1"/>
    <col min="3" max="3" width="16.5" bestFit="1" customWidth="1"/>
    <col min="4" max="4" width="18.6640625" bestFit="1" customWidth="1"/>
    <col min="5" max="5" width="15" bestFit="1" customWidth="1"/>
    <col min="6" max="9" width="16.5" bestFit="1" customWidth="1"/>
    <col min="10" max="10" width="19" bestFit="1" customWidth="1"/>
    <col min="11" max="11" width="20.83203125" bestFit="1" customWidth="1"/>
    <col min="12" max="12" width="19.5" bestFit="1" customWidth="1"/>
    <col min="13" max="13" width="3.1640625" bestFit="1" customWidth="1"/>
    <col min="14" max="157" width="4.1640625" bestFit="1" customWidth="1"/>
    <col min="158" max="158" width="9.83203125" bestFit="1" customWidth="1"/>
    <col min="160" max="183" width="3.1640625" bestFit="1" customWidth="1"/>
    <col min="184" max="455" width="4.1640625" bestFit="1" customWidth="1"/>
    <col min="456" max="456" width="13.1640625" bestFit="1" customWidth="1"/>
    <col min="457" max="457" width="8" bestFit="1" customWidth="1"/>
    <col min="458" max="463" width="2.1640625" bestFit="1" customWidth="1"/>
    <col min="464" max="518" width="3.1640625" bestFit="1" customWidth="1"/>
    <col min="519" max="1002" width="4.1640625" bestFit="1" customWidth="1"/>
    <col min="1003" max="1003" width="5.1640625" bestFit="1" customWidth="1"/>
    <col min="1004" max="1004" width="10.33203125" bestFit="1" customWidth="1"/>
    <col min="1005" max="1005" width="10.5" bestFit="1" customWidth="1"/>
  </cols>
  <sheetData>
    <row r="3" spans="1:5" x14ac:dyDescent="0.2">
      <c r="A3" s="11" t="s">
        <v>136</v>
      </c>
      <c r="B3" t="s">
        <v>135</v>
      </c>
      <c r="C3" t="s">
        <v>137</v>
      </c>
      <c r="D3" t="s">
        <v>139</v>
      </c>
      <c r="E3" t="s">
        <v>138</v>
      </c>
    </row>
    <row r="4" spans="1:5" x14ac:dyDescent="0.2">
      <c r="A4" s="12" t="s">
        <v>3</v>
      </c>
      <c r="B4">
        <v>156</v>
      </c>
      <c r="C4">
        <v>495.68589743589746</v>
      </c>
      <c r="D4">
        <v>156</v>
      </c>
      <c r="E4">
        <v>156</v>
      </c>
    </row>
    <row r="5" spans="1:5" x14ac:dyDescent="0.2">
      <c r="A5" s="12" t="s">
        <v>40</v>
      </c>
      <c r="B5">
        <v>297</v>
      </c>
      <c r="C5">
        <v>515.89225589225589</v>
      </c>
      <c r="D5">
        <v>297</v>
      </c>
      <c r="E5">
        <v>297</v>
      </c>
    </row>
    <row r="6" spans="1:5" x14ac:dyDescent="0.2">
      <c r="A6" s="12" t="s">
        <v>15</v>
      </c>
      <c r="B6">
        <v>547</v>
      </c>
      <c r="C6">
        <v>493.51553930530167</v>
      </c>
      <c r="D6">
        <v>547</v>
      </c>
      <c r="E6">
        <v>547</v>
      </c>
    </row>
    <row r="7" spans="1:5" x14ac:dyDescent="0.2">
      <c r="A7" s="12" t="s">
        <v>134</v>
      </c>
      <c r="B7">
        <v>1000</v>
      </c>
      <c r="C7">
        <v>500.5</v>
      </c>
      <c r="D7">
        <v>1000</v>
      </c>
      <c r="E7">
        <v>1000</v>
      </c>
    </row>
    <row r="30" spans="2:4" ht="19" x14ac:dyDescent="0.25">
      <c r="B30" s="2" t="s">
        <v>130</v>
      </c>
      <c r="C30" s="2" t="s">
        <v>131</v>
      </c>
      <c r="D30" s="2" t="s">
        <v>132</v>
      </c>
    </row>
    <row r="31" spans="2:4" x14ac:dyDescent="0.2">
      <c r="B31" t="s">
        <v>3</v>
      </c>
      <c r="C31">
        <f>COUNTIF(User_Background_Details!F2:F1001,"Rural")</f>
        <v>156</v>
      </c>
      <c r="D31" s="10">
        <f>COUNTIF(User_Background_Details!F2:F1001,"Rural")/ COUNTA(User_Background_Details!F2:F1001)</f>
        <v>0.156</v>
      </c>
    </row>
    <row r="32" spans="2:4" x14ac:dyDescent="0.2">
      <c r="B32" t="s">
        <v>15</v>
      </c>
      <c r="C32">
        <f>COUNTIF(User_Background_Details!F2:F1001,"Urban")</f>
        <v>547</v>
      </c>
      <c r="D32" s="10">
        <f>COUNTIF(User_Background_Details!F2:F1001,"Urban")/ COUNTA(User_Background_Details!F2:F1001)</f>
        <v>0.54700000000000004</v>
      </c>
    </row>
    <row r="33" spans="2:4" x14ac:dyDescent="0.2">
      <c r="B33" t="s">
        <v>40</v>
      </c>
      <c r="C33">
        <f>COUNTIF(User_Background_Details!F2:F1001,"Suburban")</f>
        <v>297</v>
      </c>
      <c r="D33" s="10">
        <f>COUNTIF(User_Background_Details!F2:F1001,"Suburban") / COUNTA(User_Background_Details!F2:F1001)</f>
        <v>0.29699999999999999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8D077-9249-FC42-B1C6-D4088E9E0F5A}">
  <dimension ref="A1:M1001"/>
  <sheetViews>
    <sheetView workbookViewId="0">
      <selection activeCell="O1001" sqref="O1001"/>
    </sheetView>
  </sheetViews>
  <sheetFormatPr baseColWidth="10" defaultRowHeight="16" x14ac:dyDescent="0.2"/>
  <cols>
    <col min="2" max="2" width="29.83203125" bestFit="1" customWidth="1"/>
    <col min="3" max="3" width="26.5" bestFit="1" customWidth="1"/>
    <col min="4" max="4" width="15.5" bestFit="1" customWidth="1"/>
    <col min="5" max="5" width="12" bestFit="1" customWidth="1"/>
    <col min="6" max="6" width="22.1640625" bestFit="1" customWidth="1"/>
    <col min="7" max="7" width="27.33203125" bestFit="1" customWidth="1"/>
    <col min="8" max="8" width="28.5" bestFit="1" customWidth="1"/>
    <col min="9" max="9" width="20.5" bestFit="1" customWidth="1"/>
    <col min="10" max="10" width="27.6640625" bestFit="1" customWidth="1"/>
    <col min="11" max="11" width="28.6640625" bestFit="1" customWidth="1"/>
    <col min="12" max="12" width="19.33203125" bestFit="1" customWidth="1"/>
    <col min="13" max="13" width="14.5" bestFit="1" customWidth="1"/>
  </cols>
  <sheetData>
    <row r="1" spans="1:13" ht="19" x14ac:dyDescent="0.25">
      <c r="A1" s="3" t="s">
        <v>55</v>
      </c>
      <c r="B1" s="3" t="s">
        <v>65</v>
      </c>
      <c r="C1" s="3" t="s">
        <v>66</v>
      </c>
      <c r="D1" s="4" t="s">
        <v>67</v>
      </c>
      <c r="E1" s="4" t="s">
        <v>68</v>
      </c>
      <c r="F1" s="4" t="s">
        <v>69</v>
      </c>
      <c r="G1" s="3" t="s">
        <v>70</v>
      </c>
      <c r="H1" s="3" t="s">
        <v>71</v>
      </c>
      <c r="I1" s="5" t="s">
        <v>72</v>
      </c>
      <c r="J1" s="3" t="s">
        <v>73</v>
      </c>
      <c r="K1" s="3" t="s">
        <v>74</v>
      </c>
      <c r="L1" s="8" t="s">
        <v>75</v>
      </c>
      <c r="M1" s="3" t="s">
        <v>133</v>
      </c>
    </row>
    <row r="2" spans="1:13" x14ac:dyDescent="0.2">
      <c r="A2">
        <v>1</v>
      </c>
      <c r="B2" cm="1">
        <f t="array" ref="B2:L2">_xlfn.XLOOKUP($A2,Instagram_Usage_Lifestyle_Mini_!$A:$A,Instagram_Usage_Lifestyle_Mini_!$L:$V,"Not Found")</f>
        <v>7.2</v>
      </c>
      <c r="C2">
        <v>7.7</v>
      </c>
      <c r="D2" t="str">
        <v>Good</v>
      </c>
      <c r="E2" t="str">
        <v>No</v>
      </c>
      <c r="F2" t="str">
        <v>Rarely</v>
      </c>
      <c r="G2">
        <v>3</v>
      </c>
      <c r="H2">
        <v>8</v>
      </c>
      <c r="I2">
        <v>20.8</v>
      </c>
      <c r="J2">
        <v>148</v>
      </c>
      <c r="K2">
        <v>86</v>
      </c>
      <c r="L2">
        <v>8107</v>
      </c>
      <c r="M2" t="str" cm="1">
        <f t="array" ref="M2">_xlfn.IFS(C2&lt;6,"Poor",C2&lt;=8,"Normal",TRUE,"High")</f>
        <v>Normal</v>
      </c>
    </row>
    <row r="3" spans="1:13" x14ac:dyDescent="0.2">
      <c r="A3">
        <v>2</v>
      </c>
      <c r="B3" cm="1">
        <f t="array" ref="B3:L3">_xlfn.XLOOKUP($A3,Instagram_Usage_Lifestyle_Mini_!$A:$A,Instagram_Usage_Lifestyle_Mini_!$L:$V,"Not Found")</f>
        <v>10.9</v>
      </c>
      <c r="C3">
        <v>8.6</v>
      </c>
      <c r="D3" t="str">
        <v>Very_poor</v>
      </c>
      <c r="E3" t="str">
        <v>No</v>
      </c>
      <c r="F3" t="str">
        <v>Rarely</v>
      </c>
      <c r="G3">
        <v>1</v>
      </c>
      <c r="H3">
        <v>1</v>
      </c>
      <c r="I3">
        <v>23.5</v>
      </c>
      <c r="J3">
        <v>133</v>
      </c>
      <c r="K3">
        <v>84</v>
      </c>
      <c r="L3">
        <v>8059</v>
      </c>
      <c r="M3" t="str" cm="1">
        <f t="array" ref="M3">_xlfn.IFS(C3&lt;6,"Poor",C3&lt;=8,"Normal",TRUE,"High")</f>
        <v>High</v>
      </c>
    </row>
    <row r="4" spans="1:13" x14ac:dyDescent="0.2">
      <c r="A4">
        <v>3</v>
      </c>
      <c r="B4" cm="1">
        <f t="array" ref="B4:L4">_xlfn.XLOOKUP($A4,Instagram_Usage_Lifestyle_Mini_!$A:$A,Instagram_Usage_Lifestyle_Mini_!$L:$V,"Not Found")</f>
        <v>5</v>
      </c>
      <c r="C4">
        <v>6.7</v>
      </c>
      <c r="D4" t="str">
        <v>Good</v>
      </c>
      <c r="E4" t="str">
        <v>No</v>
      </c>
      <c r="F4" t="str">
        <v>Rarely</v>
      </c>
      <c r="G4">
        <v>4</v>
      </c>
      <c r="H4">
        <v>10</v>
      </c>
      <c r="I4">
        <v>28.6</v>
      </c>
      <c r="J4">
        <v>135</v>
      </c>
      <c r="K4">
        <v>88</v>
      </c>
      <c r="L4">
        <v>7872</v>
      </c>
      <c r="M4" t="str" cm="1">
        <f t="array" ref="M4">_xlfn.IFS(C4&lt;6,"Poor",C4&lt;=8,"Normal",TRUE,"High")</f>
        <v>Normal</v>
      </c>
    </row>
    <row r="5" spans="1:13" x14ac:dyDescent="0.2">
      <c r="A5">
        <v>4</v>
      </c>
      <c r="B5" cm="1">
        <f t="array" ref="B5:L5">_xlfn.XLOOKUP($A5,Instagram_Usage_Lifestyle_Mini_!$A:$A,Instagram_Usage_Lifestyle_Mini_!$L:$V,"Not Found")</f>
        <v>10.6</v>
      </c>
      <c r="C5">
        <v>6.5</v>
      </c>
      <c r="D5" t="str">
        <v>Poor</v>
      </c>
      <c r="E5" t="str">
        <v>Yes</v>
      </c>
      <c r="F5" t="str">
        <v>Never</v>
      </c>
      <c r="G5">
        <v>18</v>
      </c>
      <c r="H5">
        <v>1</v>
      </c>
      <c r="I5">
        <v>22.5</v>
      </c>
      <c r="J5">
        <v>105</v>
      </c>
      <c r="K5">
        <v>73</v>
      </c>
      <c r="L5">
        <v>7801</v>
      </c>
      <c r="M5" t="str" cm="1">
        <f t="array" ref="M5">_xlfn.IFS(C5&lt;6,"Poor",C5&lt;=8,"Normal",TRUE,"High")</f>
        <v>Normal</v>
      </c>
    </row>
    <row r="6" spans="1:13" x14ac:dyDescent="0.2">
      <c r="A6">
        <v>5</v>
      </c>
      <c r="B6" cm="1">
        <f t="array" ref="B6:L6">_xlfn.XLOOKUP($A6,Instagram_Usage_Lifestyle_Mini_!$A:$A,Instagram_Usage_Lifestyle_Mini_!$L:$V,"Not Found")</f>
        <v>7.7</v>
      </c>
      <c r="C6">
        <v>6.8</v>
      </c>
      <c r="D6" t="str">
        <v>Average</v>
      </c>
      <c r="E6" t="str">
        <v>No</v>
      </c>
      <c r="F6" t="str">
        <v>Never</v>
      </c>
      <c r="G6">
        <v>19</v>
      </c>
      <c r="H6">
        <v>1</v>
      </c>
      <c r="I6">
        <v>28.1</v>
      </c>
      <c r="J6">
        <v>146</v>
      </c>
      <c r="K6">
        <v>90</v>
      </c>
      <c r="L6">
        <v>8005</v>
      </c>
      <c r="M6" t="str" cm="1">
        <f t="array" ref="M6">_xlfn.IFS(C6&lt;6,"Poor",C6&lt;=8,"Normal",TRUE,"High")</f>
        <v>Normal</v>
      </c>
    </row>
    <row r="7" spans="1:13" x14ac:dyDescent="0.2">
      <c r="A7">
        <v>6</v>
      </c>
      <c r="B7" cm="1">
        <f t="array" ref="B7:L7">_xlfn.XLOOKUP($A7,Instagram_Usage_Lifestyle_Mini_!$A:$A,Instagram_Usage_Lifestyle_Mini_!$L:$V,"Not Found")</f>
        <v>5.2</v>
      </c>
      <c r="C7">
        <v>5.8</v>
      </c>
      <c r="D7" t="str">
        <v>Poor</v>
      </c>
      <c r="E7" t="str">
        <v>No</v>
      </c>
      <c r="F7" t="str">
        <v>Several_times_a_week</v>
      </c>
      <c r="G7">
        <v>1</v>
      </c>
      <c r="H7">
        <v>3</v>
      </c>
      <c r="I7">
        <v>25.7</v>
      </c>
      <c r="J7">
        <v>138</v>
      </c>
      <c r="K7">
        <v>71</v>
      </c>
      <c r="L7">
        <v>7964</v>
      </c>
      <c r="M7" t="str" cm="1">
        <f t="array" ref="M7">_xlfn.IFS(C7&lt;6,"Poor",C7&lt;=8,"Normal",TRUE,"High")</f>
        <v>Poor</v>
      </c>
    </row>
    <row r="8" spans="1:13" x14ac:dyDescent="0.2">
      <c r="A8">
        <v>7</v>
      </c>
      <c r="B8" cm="1">
        <f t="array" ref="B8:L8">_xlfn.XLOOKUP($A8,Instagram_Usage_Lifestyle_Mini_!$A:$A,Instagram_Usage_Lifestyle_Mini_!$L:$V,"Not Found")</f>
        <v>6.5</v>
      </c>
      <c r="C8">
        <v>7.7</v>
      </c>
      <c r="D8" t="str">
        <v>Poor</v>
      </c>
      <c r="E8" t="str">
        <v>No</v>
      </c>
      <c r="F8" t="str">
        <v>Never</v>
      </c>
      <c r="G8">
        <v>23</v>
      </c>
      <c r="H8">
        <v>10</v>
      </c>
      <c r="I8">
        <v>24.5</v>
      </c>
      <c r="J8">
        <v>114</v>
      </c>
      <c r="K8">
        <v>72</v>
      </c>
      <c r="L8">
        <v>7861</v>
      </c>
      <c r="M8" t="str" cm="1">
        <f t="array" ref="M8">_xlfn.IFS(C8&lt;6,"Poor",C8&lt;=8,"Normal",TRUE,"High")</f>
        <v>Normal</v>
      </c>
    </row>
    <row r="9" spans="1:13" x14ac:dyDescent="0.2">
      <c r="A9">
        <v>8</v>
      </c>
      <c r="B9" cm="1">
        <f t="array" ref="B9:L9">_xlfn.XLOOKUP($A9,Instagram_Usage_Lifestyle_Mini_!$A:$A,Instagram_Usage_Lifestyle_Mini_!$L:$V,"Not Found")</f>
        <v>10.5</v>
      </c>
      <c r="C9">
        <v>7.7</v>
      </c>
      <c r="D9" t="str">
        <v>Average</v>
      </c>
      <c r="E9" t="str">
        <v>No</v>
      </c>
      <c r="F9" t="str">
        <v>Several_times_a_week</v>
      </c>
      <c r="G9">
        <v>33</v>
      </c>
      <c r="H9">
        <v>3</v>
      </c>
      <c r="I9">
        <v>20.3</v>
      </c>
      <c r="J9">
        <v>118</v>
      </c>
      <c r="K9">
        <v>85</v>
      </c>
      <c r="L9">
        <v>7932</v>
      </c>
      <c r="M9" t="str" cm="1">
        <f t="array" ref="M9">_xlfn.IFS(C9&lt;6,"Poor",C9&lt;=8,"Normal",TRUE,"High")</f>
        <v>Normal</v>
      </c>
    </row>
    <row r="10" spans="1:13" x14ac:dyDescent="0.2">
      <c r="A10">
        <v>9</v>
      </c>
      <c r="B10" cm="1">
        <f t="array" ref="B10:L10">_xlfn.XLOOKUP($A10,Instagram_Usage_Lifestyle_Mini_!$A:$A,Instagram_Usage_Lifestyle_Mini_!$L:$V,"Not Found")</f>
        <v>4.2</v>
      </c>
      <c r="C10">
        <v>8.3000000000000007</v>
      </c>
      <c r="D10" t="str">
        <v>Poor</v>
      </c>
      <c r="E10" t="str">
        <v>No</v>
      </c>
      <c r="F10" t="str">
        <v>Rarely</v>
      </c>
      <c r="G10">
        <v>12</v>
      </c>
      <c r="H10">
        <v>6</v>
      </c>
      <c r="I10">
        <v>22.2</v>
      </c>
      <c r="J10">
        <v>93</v>
      </c>
      <c r="K10">
        <v>98</v>
      </c>
      <c r="L10">
        <v>8127</v>
      </c>
      <c r="M10" t="str" cm="1">
        <f t="array" ref="M10">_xlfn.IFS(C10&lt;6,"Poor",C10&lt;=8,"Normal",TRUE,"High")</f>
        <v>High</v>
      </c>
    </row>
    <row r="11" spans="1:13" x14ac:dyDescent="0.2">
      <c r="A11">
        <v>10</v>
      </c>
      <c r="B11" cm="1">
        <f t="array" ref="B11:L11">_xlfn.XLOOKUP($A11,Instagram_Usage_Lifestyle_Mini_!$A:$A,Instagram_Usage_Lifestyle_Mini_!$L:$V,"Not Found")</f>
        <v>2.1</v>
      </c>
      <c r="C11">
        <v>6.5</v>
      </c>
      <c r="D11" t="str">
        <v>Excellent</v>
      </c>
      <c r="E11" t="str">
        <v>No</v>
      </c>
      <c r="F11" t="str">
        <v>Rarely</v>
      </c>
      <c r="G11">
        <v>25</v>
      </c>
      <c r="H11">
        <v>10</v>
      </c>
      <c r="I11">
        <v>23.3</v>
      </c>
      <c r="J11">
        <v>128</v>
      </c>
      <c r="K11">
        <v>75</v>
      </c>
      <c r="L11">
        <v>8144</v>
      </c>
      <c r="M11" t="str" cm="1">
        <f t="array" ref="M11">_xlfn.IFS(C11&lt;6,"Poor",C11&lt;=8,"Normal",TRUE,"High")</f>
        <v>Normal</v>
      </c>
    </row>
    <row r="12" spans="1:13" x14ac:dyDescent="0.2">
      <c r="A12">
        <v>11</v>
      </c>
      <c r="B12" cm="1">
        <f t="array" ref="B12:L12">_xlfn.XLOOKUP($A12,Instagram_Usage_Lifestyle_Mini_!$A:$A,Instagram_Usage_Lifestyle_Mini_!$L:$V,"Not Found")</f>
        <v>1.5</v>
      </c>
      <c r="C12">
        <v>6.5</v>
      </c>
      <c r="D12" t="str">
        <v>Poor</v>
      </c>
      <c r="E12" t="str">
        <v>Former</v>
      </c>
      <c r="F12" t="str">
        <v>Rarely</v>
      </c>
      <c r="G12">
        <v>14</v>
      </c>
      <c r="H12">
        <v>3</v>
      </c>
      <c r="I12">
        <v>22.1</v>
      </c>
      <c r="J12">
        <v>158</v>
      </c>
      <c r="K12">
        <v>95</v>
      </c>
      <c r="L12">
        <v>8009</v>
      </c>
      <c r="M12" t="str" cm="1">
        <f t="array" ref="M12">_xlfn.IFS(C12&lt;6,"Poor",C12&lt;=8,"Normal",TRUE,"High")</f>
        <v>Normal</v>
      </c>
    </row>
    <row r="13" spans="1:13" x14ac:dyDescent="0.2">
      <c r="A13">
        <v>12</v>
      </c>
      <c r="B13" cm="1">
        <f t="array" ref="B13:L13">_xlfn.XLOOKUP($A13,Instagram_Usage_Lifestyle_Mini_!$A:$A,Instagram_Usage_Lifestyle_Mini_!$L:$V,"Not Found")</f>
        <v>3.3</v>
      </c>
      <c r="C13">
        <v>7.5</v>
      </c>
      <c r="D13" t="str">
        <v>Poor</v>
      </c>
      <c r="E13" t="str">
        <v>No</v>
      </c>
      <c r="F13" t="str">
        <v>Rarely</v>
      </c>
      <c r="G13">
        <v>15</v>
      </c>
      <c r="H13">
        <v>7</v>
      </c>
      <c r="I13">
        <v>21.4</v>
      </c>
      <c r="J13">
        <v>149</v>
      </c>
      <c r="K13">
        <v>74</v>
      </c>
      <c r="L13">
        <v>7925</v>
      </c>
      <c r="M13" t="str" cm="1">
        <f t="array" ref="M13">_xlfn.IFS(C13&lt;6,"Poor",C13&lt;=8,"Normal",TRUE,"High")</f>
        <v>Normal</v>
      </c>
    </row>
    <row r="14" spans="1:13" x14ac:dyDescent="0.2">
      <c r="A14">
        <v>13</v>
      </c>
      <c r="B14" cm="1">
        <f t="array" ref="B14:L14">_xlfn.XLOOKUP($A14,Instagram_Usage_Lifestyle_Mini_!$A:$A,Instagram_Usage_Lifestyle_Mini_!$L:$V,"Not Found")</f>
        <v>10.1</v>
      </c>
      <c r="C14">
        <v>6.6</v>
      </c>
      <c r="D14" t="str">
        <v>Very_poor</v>
      </c>
      <c r="E14" t="str">
        <v>No</v>
      </c>
      <c r="F14" t="str">
        <v>Never</v>
      </c>
      <c r="G14">
        <v>7</v>
      </c>
      <c r="H14">
        <v>10</v>
      </c>
      <c r="I14">
        <v>24.3</v>
      </c>
      <c r="J14">
        <v>129</v>
      </c>
      <c r="K14">
        <v>80</v>
      </c>
      <c r="L14">
        <v>8006</v>
      </c>
      <c r="M14" t="str" cm="1">
        <f t="array" ref="M14">_xlfn.IFS(C14&lt;6,"Poor",C14&lt;=8,"Normal",TRUE,"High")</f>
        <v>Normal</v>
      </c>
    </row>
    <row r="15" spans="1:13" x14ac:dyDescent="0.2">
      <c r="A15">
        <v>14</v>
      </c>
      <c r="B15" cm="1">
        <f t="array" ref="B15:L15">_xlfn.XLOOKUP($A15,Instagram_Usage_Lifestyle_Mini_!$A:$A,Instagram_Usage_Lifestyle_Mini_!$L:$V,"Not Found")</f>
        <v>8.6999999999999993</v>
      </c>
      <c r="C15">
        <v>7.3</v>
      </c>
      <c r="D15" t="str">
        <v>Average</v>
      </c>
      <c r="E15" t="str">
        <v>No</v>
      </c>
      <c r="F15" t="str">
        <v>Never</v>
      </c>
      <c r="G15">
        <v>7</v>
      </c>
      <c r="H15">
        <v>8</v>
      </c>
      <c r="I15">
        <v>24.5</v>
      </c>
      <c r="J15">
        <v>120</v>
      </c>
      <c r="K15">
        <v>69</v>
      </c>
      <c r="L15">
        <v>8120</v>
      </c>
      <c r="M15" t="str" cm="1">
        <f t="array" ref="M15">_xlfn.IFS(C15&lt;6,"Poor",C15&lt;=8,"Normal",TRUE,"High")</f>
        <v>Normal</v>
      </c>
    </row>
    <row r="16" spans="1:13" x14ac:dyDescent="0.2">
      <c r="A16">
        <v>15</v>
      </c>
      <c r="B16" cm="1">
        <f t="array" ref="B16:L16">_xlfn.XLOOKUP($A16,Instagram_Usage_Lifestyle_Mini_!$A:$A,Instagram_Usage_Lifestyle_Mini_!$L:$V,"Not Found")</f>
        <v>9.5</v>
      </c>
      <c r="C16">
        <v>5.3</v>
      </c>
      <c r="D16" t="str">
        <v>Very_poor</v>
      </c>
      <c r="E16" t="str">
        <v>No</v>
      </c>
      <c r="F16" t="str">
        <v>Rarely</v>
      </c>
      <c r="G16">
        <v>31</v>
      </c>
      <c r="H16">
        <v>3</v>
      </c>
      <c r="I16">
        <v>29.8</v>
      </c>
      <c r="J16">
        <v>113</v>
      </c>
      <c r="K16">
        <v>88</v>
      </c>
      <c r="L16">
        <v>7973</v>
      </c>
      <c r="M16" t="str" cm="1">
        <f t="array" ref="M16">_xlfn.IFS(C16&lt;6,"Poor",C16&lt;=8,"Normal",TRUE,"High")</f>
        <v>Poor</v>
      </c>
    </row>
    <row r="17" spans="1:13" x14ac:dyDescent="0.2">
      <c r="A17">
        <v>16</v>
      </c>
      <c r="B17" cm="1">
        <f t="array" ref="B17:L17">_xlfn.XLOOKUP($A17,Instagram_Usage_Lifestyle_Mini_!$A:$A,Instagram_Usage_Lifestyle_Mini_!$L:$V,"Not Found")</f>
        <v>10.7</v>
      </c>
      <c r="C17">
        <v>7.2</v>
      </c>
      <c r="D17" t="str">
        <v>Poor</v>
      </c>
      <c r="E17" t="str">
        <v>No</v>
      </c>
      <c r="F17" t="str">
        <v>Weekly</v>
      </c>
      <c r="G17">
        <v>2</v>
      </c>
      <c r="H17">
        <v>10</v>
      </c>
      <c r="I17">
        <v>30.1</v>
      </c>
      <c r="J17">
        <v>127</v>
      </c>
      <c r="K17">
        <v>65</v>
      </c>
      <c r="L17">
        <v>8022</v>
      </c>
      <c r="M17" t="str" cm="1">
        <f t="array" ref="M17">_xlfn.IFS(C17&lt;6,"Poor",C17&lt;=8,"Normal",TRUE,"High")</f>
        <v>Normal</v>
      </c>
    </row>
    <row r="18" spans="1:13" x14ac:dyDescent="0.2">
      <c r="A18">
        <v>17</v>
      </c>
      <c r="B18" cm="1">
        <f t="array" ref="B18:L18">_xlfn.XLOOKUP($A18,Instagram_Usage_Lifestyle_Mini_!$A:$A,Instagram_Usage_Lifestyle_Mini_!$L:$V,"Not Found")</f>
        <v>2.8</v>
      </c>
      <c r="C18">
        <v>8.1999999999999993</v>
      </c>
      <c r="D18" t="str">
        <v>Good</v>
      </c>
      <c r="E18" t="str">
        <v>No</v>
      </c>
      <c r="F18" t="str">
        <v>Rarely</v>
      </c>
      <c r="G18">
        <v>37</v>
      </c>
      <c r="H18">
        <v>9</v>
      </c>
      <c r="I18">
        <v>26.8</v>
      </c>
      <c r="J18">
        <v>108</v>
      </c>
      <c r="K18">
        <v>86</v>
      </c>
      <c r="L18">
        <v>8120</v>
      </c>
      <c r="M18" t="str" cm="1">
        <f t="array" ref="M18">_xlfn.IFS(C18&lt;6,"Poor",C18&lt;=8,"Normal",TRUE,"High")</f>
        <v>High</v>
      </c>
    </row>
    <row r="19" spans="1:13" x14ac:dyDescent="0.2">
      <c r="A19">
        <v>18</v>
      </c>
      <c r="B19" cm="1">
        <f t="array" ref="B19:L19">_xlfn.XLOOKUP($A19,Instagram_Usage_Lifestyle_Mini_!$A:$A,Instagram_Usage_Lifestyle_Mini_!$L:$V,"Not Found")</f>
        <v>11.6</v>
      </c>
      <c r="C19">
        <v>6.2</v>
      </c>
      <c r="D19" t="str">
        <v>Average</v>
      </c>
      <c r="E19" t="str">
        <v>No</v>
      </c>
      <c r="F19" t="str">
        <v>Weekly</v>
      </c>
      <c r="G19">
        <v>40</v>
      </c>
      <c r="H19">
        <v>2</v>
      </c>
      <c r="I19">
        <v>26.3</v>
      </c>
      <c r="J19">
        <v>151</v>
      </c>
      <c r="K19">
        <v>78</v>
      </c>
      <c r="L19">
        <v>7981</v>
      </c>
      <c r="M19" t="str" cm="1">
        <f t="array" ref="M19">_xlfn.IFS(C19&lt;6,"Poor",C19&lt;=8,"Normal",TRUE,"High")</f>
        <v>Normal</v>
      </c>
    </row>
    <row r="20" spans="1:13" x14ac:dyDescent="0.2">
      <c r="A20">
        <v>19</v>
      </c>
      <c r="B20" cm="1">
        <f t="array" ref="B20:L20">_xlfn.XLOOKUP($A20,Instagram_Usage_Lifestyle_Mini_!$A:$A,Instagram_Usage_Lifestyle_Mini_!$L:$V,"Not Found")</f>
        <v>7.3</v>
      </c>
      <c r="C20">
        <v>6</v>
      </c>
      <c r="D20" t="str">
        <v>Excellent</v>
      </c>
      <c r="E20" t="str">
        <v>No</v>
      </c>
      <c r="F20" t="str">
        <v>Rarely</v>
      </c>
      <c r="G20">
        <v>20</v>
      </c>
      <c r="H20">
        <v>3</v>
      </c>
      <c r="I20">
        <v>29.6</v>
      </c>
      <c r="J20">
        <v>109</v>
      </c>
      <c r="K20">
        <v>67</v>
      </c>
      <c r="L20">
        <v>8194</v>
      </c>
      <c r="M20" t="str" cm="1">
        <f t="array" ref="M20">_xlfn.IFS(C20&lt;6,"Poor",C20&lt;=8,"Normal",TRUE,"High")</f>
        <v>Normal</v>
      </c>
    </row>
    <row r="21" spans="1:13" x14ac:dyDescent="0.2">
      <c r="A21">
        <v>20</v>
      </c>
      <c r="B21" cm="1">
        <f t="array" ref="B21:L21">_xlfn.XLOOKUP($A21,Instagram_Usage_Lifestyle_Mini_!$A:$A,Instagram_Usage_Lifestyle_Mini_!$L:$V,"Not Found")</f>
        <v>8</v>
      </c>
      <c r="C21">
        <v>8</v>
      </c>
      <c r="D21" t="str">
        <v>Average</v>
      </c>
      <c r="E21" t="str">
        <v>Yes</v>
      </c>
      <c r="F21" t="str">
        <v>Rarely</v>
      </c>
      <c r="G21">
        <v>12</v>
      </c>
      <c r="H21">
        <v>5</v>
      </c>
      <c r="I21">
        <v>27.1</v>
      </c>
      <c r="J21">
        <v>126</v>
      </c>
      <c r="K21">
        <v>92</v>
      </c>
      <c r="L21">
        <v>8048</v>
      </c>
      <c r="M21" t="str" cm="1">
        <f t="array" ref="M21">_xlfn.IFS(C21&lt;6,"Poor",C21&lt;=8,"Normal",TRUE,"High")</f>
        <v>Normal</v>
      </c>
    </row>
    <row r="22" spans="1:13" x14ac:dyDescent="0.2">
      <c r="A22">
        <v>21</v>
      </c>
      <c r="B22" cm="1">
        <f t="array" ref="B22:L22">_xlfn.XLOOKUP($A22,Instagram_Usage_Lifestyle_Mini_!$A:$A,Instagram_Usage_Lifestyle_Mini_!$L:$V,"Not Found")</f>
        <v>3.6</v>
      </c>
      <c r="C22">
        <v>6</v>
      </c>
      <c r="D22" t="str">
        <v>Good</v>
      </c>
      <c r="E22" t="str">
        <v>No</v>
      </c>
      <c r="F22" t="str">
        <v>Several_times_a_week</v>
      </c>
      <c r="G22">
        <v>7</v>
      </c>
      <c r="H22">
        <v>5</v>
      </c>
      <c r="I22">
        <v>27.8</v>
      </c>
      <c r="J22">
        <v>148</v>
      </c>
      <c r="K22">
        <v>80</v>
      </c>
      <c r="L22">
        <v>8006</v>
      </c>
      <c r="M22" t="str" cm="1">
        <f t="array" ref="M22">_xlfn.IFS(C22&lt;6,"Poor",C22&lt;=8,"Normal",TRUE,"High")</f>
        <v>Normal</v>
      </c>
    </row>
    <row r="23" spans="1:13" x14ac:dyDescent="0.2">
      <c r="A23">
        <v>22</v>
      </c>
      <c r="B23" cm="1">
        <f t="array" ref="B23:L23">_xlfn.XLOOKUP($A23,Instagram_Usage_Lifestyle_Mini_!$A:$A,Instagram_Usage_Lifestyle_Mini_!$L:$V,"Not Found")</f>
        <v>10.6</v>
      </c>
      <c r="C23">
        <v>7.9</v>
      </c>
      <c r="D23" t="str">
        <v>Average</v>
      </c>
      <c r="E23" t="str">
        <v>No</v>
      </c>
      <c r="F23" t="str">
        <v>Rarely</v>
      </c>
      <c r="G23">
        <v>6</v>
      </c>
      <c r="H23">
        <v>8</v>
      </c>
      <c r="I23">
        <v>23.3</v>
      </c>
      <c r="J23">
        <v>92</v>
      </c>
      <c r="K23">
        <v>70</v>
      </c>
      <c r="L23">
        <v>7979</v>
      </c>
      <c r="M23" t="str" cm="1">
        <f t="array" ref="M23">_xlfn.IFS(C23&lt;6,"Poor",C23&lt;=8,"Normal",TRUE,"High")</f>
        <v>Normal</v>
      </c>
    </row>
    <row r="24" spans="1:13" x14ac:dyDescent="0.2">
      <c r="A24">
        <v>23</v>
      </c>
      <c r="B24" cm="1">
        <f t="array" ref="B24:L24">_xlfn.XLOOKUP($A24,Instagram_Usage_Lifestyle_Mini_!$A:$A,Instagram_Usage_Lifestyle_Mini_!$L:$V,"Not Found")</f>
        <v>9.6</v>
      </c>
      <c r="C24">
        <v>7.7</v>
      </c>
      <c r="D24" t="str">
        <v>Excellent</v>
      </c>
      <c r="E24" t="str">
        <v>No</v>
      </c>
      <c r="F24" t="str">
        <v>Weekly</v>
      </c>
      <c r="G24">
        <v>10</v>
      </c>
      <c r="H24">
        <v>1</v>
      </c>
      <c r="I24">
        <v>23.7</v>
      </c>
      <c r="J24">
        <v>91</v>
      </c>
      <c r="K24">
        <v>97</v>
      </c>
      <c r="L24">
        <v>8043</v>
      </c>
      <c r="M24" t="str" cm="1">
        <f t="array" ref="M24">_xlfn.IFS(C24&lt;6,"Poor",C24&lt;=8,"Normal",TRUE,"High")</f>
        <v>Normal</v>
      </c>
    </row>
    <row r="25" spans="1:13" x14ac:dyDescent="0.2">
      <c r="A25">
        <v>24</v>
      </c>
      <c r="B25" cm="1">
        <f t="array" ref="B25:L25">_xlfn.XLOOKUP($A25,Instagram_Usage_Lifestyle_Mini_!$A:$A,Instagram_Usage_Lifestyle_Mini_!$L:$V,"Not Found")</f>
        <v>5.5</v>
      </c>
      <c r="C25">
        <v>5.9</v>
      </c>
      <c r="D25" t="str">
        <v>Excellent</v>
      </c>
      <c r="E25" t="str">
        <v>No</v>
      </c>
      <c r="F25" t="str">
        <v>Rarely</v>
      </c>
      <c r="G25">
        <v>25</v>
      </c>
      <c r="H25">
        <v>4</v>
      </c>
      <c r="I25">
        <v>24.8</v>
      </c>
      <c r="J25">
        <v>103</v>
      </c>
      <c r="K25">
        <v>82</v>
      </c>
      <c r="L25">
        <v>7925</v>
      </c>
      <c r="M25" t="str" cm="1">
        <f t="array" ref="M25">_xlfn.IFS(C25&lt;6,"Poor",C25&lt;=8,"Normal",TRUE,"High")</f>
        <v>Poor</v>
      </c>
    </row>
    <row r="26" spans="1:13" x14ac:dyDescent="0.2">
      <c r="A26">
        <v>25</v>
      </c>
      <c r="B26" cm="1">
        <f t="array" ref="B26:L26">_xlfn.XLOOKUP($A26,Instagram_Usage_Lifestyle_Mini_!$A:$A,Instagram_Usage_Lifestyle_Mini_!$L:$V,"Not Found")</f>
        <v>9.8000000000000007</v>
      </c>
      <c r="C26">
        <v>5.6</v>
      </c>
      <c r="D26" t="str">
        <v>Poor</v>
      </c>
      <c r="E26" t="str">
        <v>No</v>
      </c>
      <c r="F26" t="str">
        <v>Rarely</v>
      </c>
      <c r="G26">
        <v>22</v>
      </c>
      <c r="H26">
        <v>10</v>
      </c>
      <c r="I26">
        <v>33</v>
      </c>
      <c r="J26">
        <v>134</v>
      </c>
      <c r="K26">
        <v>98</v>
      </c>
      <c r="L26">
        <v>7977</v>
      </c>
      <c r="M26" t="str" cm="1">
        <f t="array" ref="M26">_xlfn.IFS(C26&lt;6,"Poor",C26&lt;=8,"Normal",TRUE,"High")</f>
        <v>Poor</v>
      </c>
    </row>
    <row r="27" spans="1:13" x14ac:dyDescent="0.2">
      <c r="A27">
        <v>26</v>
      </c>
      <c r="B27" cm="1">
        <f t="array" ref="B27:L27">_xlfn.XLOOKUP($A27,Instagram_Usage_Lifestyle_Mini_!$A:$A,Instagram_Usage_Lifestyle_Mini_!$L:$V,"Not Found")</f>
        <v>6.2</v>
      </c>
      <c r="C27">
        <v>6.8</v>
      </c>
      <c r="D27" t="str">
        <v>Good</v>
      </c>
      <c r="E27" t="str">
        <v>Yes</v>
      </c>
      <c r="F27" t="str">
        <v>Rarely</v>
      </c>
      <c r="G27">
        <v>14</v>
      </c>
      <c r="H27">
        <v>2</v>
      </c>
      <c r="I27">
        <v>27.1</v>
      </c>
      <c r="J27">
        <v>136</v>
      </c>
      <c r="K27">
        <v>82</v>
      </c>
      <c r="L27">
        <v>7994</v>
      </c>
      <c r="M27" t="str" cm="1">
        <f t="array" ref="M27">_xlfn.IFS(C27&lt;6,"Poor",C27&lt;=8,"Normal",TRUE,"High")</f>
        <v>Normal</v>
      </c>
    </row>
    <row r="28" spans="1:13" x14ac:dyDescent="0.2">
      <c r="A28">
        <v>27</v>
      </c>
      <c r="B28" cm="1">
        <f t="array" ref="B28:L28">_xlfn.XLOOKUP($A28,Instagram_Usage_Lifestyle_Mini_!$A:$A,Instagram_Usage_Lifestyle_Mini_!$L:$V,"Not Found")</f>
        <v>7.8</v>
      </c>
      <c r="C28">
        <v>7.9</v>
      </c>
      <c r="D28" t="str">
        <v>Average</v>
      </c>
      <c r="E28" t="str">
        <v>No</v>
      </c>
      <c r="F28" t="str">
        <v>Weekly</v>
      </c>
      <c r="G28">
        <v>30</v>
      </c>
      <c r="H28">
        <v>8</v>
      </c>
      <c r="I28">
        <v>20.399999999999999</v>
      </c>
      <c r="J28">
        <v>143</v>
      </c>
      <c r="K28">
        <v>64</v>
      </c>
      <c r="L28">
        <v>8072</v>
      </c>
      <c r="M28" t="str" cm="1">
        <f t="array" ref="M28">_xlfn.IFS(C28&lt;6,"Poor",C28&lt;=8,"Normal",TRUE,"High")</f>
        <v>Normal</v>
      </c>
    </row>
    <row r="29" spans="1:13" x14ac:dyDescent="0.2">
      <c r="A29">
        <v>28</v>
      </c>
      <c r="B29" cm="1">
        <f t="array" ref="B29:L29">_xlfn.XLOOKUP($A29,Instagram_Usage_Lifestyle_Mini_!$A:$A,Instagram_Usage_Lifestyle_Mini_!$L:$V,"Not Found")</f>
        <v>4</v>
      </c>
      <c r="C29">
        <v>7.8</v>
      </c>
      <c r="D29" t="str">
        <v>Average</v>
      </c>
      <c r="E29" t="str">
        <v>No</v>
      </c>
      <c r="F29" t="str">
        <v>Never</v>
      </c>
      <c r="G29">
        <v>0</v>
      </c>
      <c r="H29">
        <v>9</v>
      </c>
      <c r="I29">
        <v>22.7</v>
      </c>
      <c r="J29">
        <v>131</v>
      </c>
      <c r="K29">
        <v>96</v>
      </c>
      <c r="L29">
        <v>7941</v>
      </c>
      <c r="M29" t="str" cm="1">
        <f t="array" ref="M29">_xlfn.IFS(C29&lt;6,"Poor",C29&lt;=8,"Normal",TRUE,"High")</f>
        <v>Normal</v>
      </c>
    </row>
    <row r="30" spans="1:13" x14ac:dyDescent="0.2">
      <c r="A30">
        <v>29</v>
      </c>
      <c r="B30" cm="1">
        <f t="array" ref="B30:L30">_xlfn.XLOOKUP($A30,Instagram_Usage_Lifestyle_Mini_!$A:$A,Instagram_Usage_Lifestyle_Mini_!$L:$V,"Not Found")</f>
        <v>6.8</v>
      </c>
      <c r="C30">
        <v>6.2</v>
      </c>
      <c r="D30" t="str">
        <v>Good</v>
      </c>
      <c r="E30" t="str">
        <v>No</v>
      </c>
      <c r="F30" t="str">
        <v>Several_times_a_week</v>
      </c>
      <c r="G30">
        <v>30</v>
      </c>
      <c r="H30">
        <v>1</v>
      </c>
      <c r="I30">
        <v>25.2</v>
      </c>
      <c r="J30">
        <v>117</v>
      </c>
      <c r="K30">
        <v>75</v>
      </c>
      <c r="L30">
        <v>7925</v>
      </c>
      <c r="M30" t="str" cm="1">
        <f t="array" ref="M30">_xlfn.IFS(C30&lt;6,"Poor",C30&lt;=8,"Normal",TRUE,"High")</f>
        <v>Normal</v>
      </c>
    </row>
    <row r="31" spans="1:13" x14ac:dyDescent="0.2">
      <c r="A31">
        <v>30</v>
      </c>
      <c r="B31" cm="1">
        <f t="array" ref="B31:L31">_xlfn.XLOOKUP($A31,Instagram_Usage_Lifestyle_Mini_!$A:$A,Instagram_Usage_Lifestyle_Mini_!$L:$V,"Not Found")</f>
        <v>6.7</v>
      </c>
      <c r="C31">
        <v>7.2</v>
      </c>
      <c r="D31" t="str">
        <v>Good</v>
      </c>
      <c r="E31" t="str">
        <v>Yes</v>
      </c>
      <c r="F31" t="str">
        <v>Several_times_a_week</v>
      </c>
      <c r="G31">
        <v>26</v>
      </c>
      <c r="H31">
        <v>7</v>
      </c>
      <c r="I31">
        <v>29.7</v>
      </c>
      <c r="J31">
        <v>95</v>
      </c>
      <c r="K31">
        <v>96</v>
      </c>
      <c r="L31">
        <v>8018</v>
      </c>
      <c r="M31" t="str" cm="1">
        <f t="array" ref="M31">_xlfn.IFS(C31&lt;6,"Poor",C31&lt;=8,"Normal",TRUE,"High")</f>
        <v>Normal</v>
      </c>
    </row>
    <row r="32" spans="1:13" x14ac:dyDescent="0.2">
      <c r="A32">
        <v>31</v>
      </c>
      <c r="B32" cm="1">
        <f t="array" ref="B32:L32">_xlfn.XLOOKUP($A32,Instagram_Usage_Lifestyle_Mini_!$A:$A,Instagram_Usage_Lifestyle_Mini_!$L:$V,"Not Found")</f>
        <v>8.3000000000000007</v>
      </c>
      <c r="C32">
        <v>6.9</v>
      </c>
      <c r="D32" t="str">
        <v>Average</v>
      </c>
      <c r="E32" t="str">
        <v>Yes</v>
      </c>
      <c r="F32" t="str">
        <v>Several_times_a_week</v>
      </c>
      <c r="G32">
        <v>3</v>
      </c>
      <c r="H32">
        <v>2</v>
      </c>
      <c r="I32">
        <v>20.9</v>
      </c>
      <c r="J32">
        <v>138</v>
      </c>
      <c r="K32">
        <v>94</v>
      </c>
      <c r="L32">
        <v>7877</v>
      </c>
      <c r="M32" t="str" cm="1">
        <f t="array" ref="M32">_xlfn.IFS(C32&lt;6,"Poor",C32&lt;=8,"Normal",TRUE,"High")</f>
        <v>Normal</v>
      </c>
    </row>
    <row r="33" spans="1:13" x14ac:dyDescent="0.2">
      <c r="A33">
        <v>32</v>
      </c>
      <c r="B33" cm="1">
        <f t="array" ref="B33:L33">_xlfn.XLOOKUP($A33,Instagram_Usage_Lifestyle_Mini_!$A:$A,Instagram_Usage_Lifestyle_Mini_!$L:$V,"Not Found")</f>
        <v>1</v>
      </c>
      <c r="C33">
        <v>7.3</v>
      </c>
      <c r="D33" t="str">
        <v>Good</v>
      </c>
      <c r="E33" t="str">
        <v>No</v>
      </c>
      <c r="F33" t="str">
        <v>Never</v>
      </c>
      <c r="G33">
        <v>22</v>
      </c>
      <c r="H33">
        <v>1</v>
      </c>
      <c r="I33">
        <v>23.1</v>
      </c>
      <c r="J33">
        <v>157</v>
      </c>
      <c r="K33">
        <v>79</v>
      </c>
      <c r="L33">
        <v>7873</v>
      </c>
      <c r="M33" t="str" cm="1">
        <f t="array" ref="M33">_xlfn.IFS(C33&lt;6,"Poor",C33&lt;=8,"Normal",TRUE,"High")</f>
        <v>Normal</v>
      </c>
    </row>
    <row r="34" spans="1:13" x14ac:dyDescent="0.2">
      <c r="A34">
        <v>33</v>
      </c>
      <c r="B34" cm="1">
        <f t="array" ref="B34:L34">_xlfn.XLOOKUP($A34,Instagram_Usage_Lifestyle_Mini_!$A:$A,Instagram_Usage_Lifestyle_Mini_!$L:$V,"Not Found")</f>
        <v>10.1</v>
      </c>
      <c r="C34">
        <v>7.7</v>
      </c>
      <c r="D34" t="str">
        <v>Average</v>
      </c>
      <c r="E34" t="str">
        <v>No</v>
      </c>
      <c r="F34" t="str">
        <v>Weekly</v>
      </c>
      <c r="G34">
        <v>22</v>
      </c>
      <c r="H34">
        <v>9</v>
      </c>
      <c r="I34">
        <v>25.1</v>
      </c>
      <c r="J34">
        <v>99</v>
      </c>
      <c r="K34">
        <v>82</v>
      </c>
      <c r="L34">
        <v>7998</v>
      </c>
      <c r="M34" t="str" cm="1">
        <f t="array" ref="M34">_xlfn.IFS(C34&lt;6,"Poor",C34&lt;=8,"Normal",TRUE,"High")</f>
        <v>Normal</v>
      </c>
    </row>
    <row r="35" spans="1:13" x14ac:dyDescent="0.2">
      <c r="A35">
        <v>34</v>
      </c>
      <c r="B35" cm="1">
        <f t="array" ref="B35:L35">_xlfn.XLOOKUP($A35,Instagram_Usage_Lifestyle_Mini_!$A:$A,Instagram_Usage_Lifestyle_Mini_!$L:$V,"Not Found")</f>
        <v>5.9</v>
      </c>
      <c r="C35">
        <v>7.9</v>
      </c>
      <c r="D35" t="str">
        <v>Poor</v>
      </c>
      <c r="E35" t="str">
        <v>Yes</v>
      </c>
      <c r="F35" t="str">
        <v>Rarely</v>
      </c>
      <c r="G35">
        <v>27</v>
      </c>
      <c r="H35">
        <v>8</v>
      </c>
      <c r="I35">
        <v>23.3</v>
      </c>
      <c r="J35">
        <v>155</v>
      </c>
      <c r="K35">
        <v>95</v>
      </c>
      <c r="L35">
        <v>7934</v>
      </c>
      <c r="M35" t="str" cm="1">
        <f t="array" ref="M35">_xlfn.IFS(C35&lt;6,"Poor",C35&lt;=8,"Normal",TRUE,"High")</f>
        <v>Normal</v>
      </c>
    </row>
    <row r="36" spans="1:13" x14ac:dyDescent="0.2">
      <c r="A36">
        <v>35</v>
      </c>
      <c r="B36" cm="1">
        <f t="array" ref="B36:L36">_xlfn.XLOOKUP($A36,Instagram_Usage_Lifestyle_Mini_!$A:$A,Instagram_Usage_Lifestyle_Mini_!$L:$V,"Not Found")</f>
        <v>2.2000000000000002</v>
      </c>
      <c r="C36">
        <v>7.8</v>
      </c>
      <c r="D36" t="str">
        <v>Average</v>
      </c>
      <c r="E36" t="str">
        <v>No</v>
      </c>
      <c r="F36" t="str">
        <v>Weekly</v>
      </c>
      <c r="G36">
        <v>10</v>
      </c>
      <c r="H36">
        <v>6</v>
      </c>
      <c r="I36">
        <v>25.2</v>
      </c>
      <c r="J36">
        <v>131</v>
      </c>
      <c r="K36">
        <v>81</v>
      </c>
      <c r="L36">
        <v>8053</v>
      </c>
      <c r="M36" t="str" cm="1">
        <f t="array" ref="M36">_xlfn.IFS(C36&lt;6,"Poor",C36&lt;=8,"Normal",TRUE,"High")</f>
        <v>Normal</v>
      </c>
    </row>
    <row r="37" spans="1:13" x14ac:dyDescent="0.2">
      <c r="A37">
        <v>36</v>
      </c>
      <c r="B37" cm="1">
        <f t="array" ref="B37:L37">_xlfn.XLOOKUP($A37,Instagram_Usage_Lifestyle_Mini_!$A:$A,Instagram_Usage_Lifestyle_Mini_!$L:$V,"Not Found")</f>
        <v>1.2</v>
      </c>
      <c r="C37">
        <v>7.2</v>
      </c>
      <c r="D37" t="str">
        <v>Poor</v>
      </c>
      <c r="E37" t="str">
        <v>Former</v>
      </c>
      <c r="F37" t="str">
        <v>Never</v>
      </c>
      <c r="G37">
        <v>23</v>
      </c>
      <c r="H37">
        <v>5</v>
      </c>
      <c r="I37">
        <v>25</v>
      </c>
      <c r="J37">
        <v>104</v>
      </c>
      <c r="K37">
        <v>92</v>
      </c>
      <c r="L37">
        <v>7941</v>
      </c>
      <c r="M37" t="str" cm="1">
        <f t="array" ref="M37">_xlfn.IFS(C37&lt;6,"Poor",C37&lt;=8,"Normal",TRUE,"High")</f>
        <v>Normal</v>
      </c>
    </row>
    <row r="38" spans="1:13" x14ac:dyDescent="0.2">
      <c r="A38">
        <v>37</v>
      </c>
      <c r="B38" cm="1">
        <f t="array" ref="B38:L38">_xlfn.XLOOKUP($A38,Instagram_Usage_Lifestyle_Mini_!$A:$A,Instagram_Usage_Lifestyle_Mini_!$L:$V,"Not Found")</f>
        <v>5.8</v>
      </c>
      <c r="C38">
        <v>7.9</v>
      </c>
      <c r="D38" t="str">
        <v>Average</v>
      </c>
      <c r="E38" t="str">
        <v>No</v>
      </c>
      <c r="F38" t="str">
        <v>Rarely</v>
      </c>
      <c r="G38">
        <v>3</v>
      </c>
      <c r="H38">
        <v>7</v>
      </c>
      <c r="I38">
        <v>22.6</v>
      </c>
      <c r="J38">
        <v>94</v>
      </c>
      <c r="K38">
        <v>73</v>
      </c>
      <c r="L38">
        <v>8177</v>
      </c>
      <c r="M38" t="str" cm="1">
        <f t="array" ref="M38">_xlfn.IFS(C38&lt;6,"Poor",C38&lt;=8,"Normal",TRUE,"High")</f>
        <v>Normal</v>
      </c>
    </row>
    <row r="39" spans="1:13" x14ac:dyDescent="0.2">
      <c r="A39">
        <v>38</v>
      </c>
      <c r="B39" cm="1">
        <f t="array" ref="B39:L39">_xlfn.XLOOKUP($A39,Instagram_Usage_Lifestyle_Mini_!$A:$A,Instagram_Usage_Lifestyle_Mini_!$L:$V,"Not Found")</f>
        <v>9.6999999999999993</v>
      </c>
      <c r="C39">
        <v>6.9</v>
      </c>
      <c r="D39" t="str">
        <v>Excellent</v>
      </c>
      <c r="E39" t="str">
        <v>Yes</v>
      </c>
      <c r="F39" t="str">
        <v>Never</v>
      </c>
      <c r="G39">
        <v>12</v>
      </c>
      <c r="H39">
        <v>2</v>
      </c>
      <c r="I39">
        <v>20.100000000000001</v>
      </c>
      <c r="J39">
        <v>112</v>
      </c>
      <c r="K39">
        <v>93</v>
      </c>
      <c r="L39">
        <v>7976</v>
      </c>
      <c r="M39" t="str" cm="1">
        <f t="array" ref="M39">_xlfn.IFS(C39&lt;6,"Poor",C39&lt;=8,"Normal",TRUE,"High")</f>
        <v>Normal</v>
      </c>
    </row>
    <row r="40" spans="1:13" x14ac:dyDescent="0.2">
      <c r="A40">
        <v>39</v>
      </c>
      <c r="B40" cm="1">
        <f t="array" ref="B40:L40">_xlfn.XLOOKUP($A40,Instagram_Usage_Lifestyle_Mini_!$A:$A,Instagram_Usage_Lifestyle_Mini_!$L:$V,"Not Found")</f>
        <v>11.7</v>
      </c>
      <c r="C40">
        <v>6.1</v>
      </c>
      <c r="D40" t="str">
        <v>Average</v>
      </c>
      <c r="E40" t="str">
        <v>No</v>
      </c>
      <c r="F40" t="str">
        <v>Weekly</v>
      </c>
      <c r="G40">
        <v>22</v>
      </c>
      <c r="H40">
        <v>9</v>
      </c>
      <c r="I40">
        <v>29.4</v>
      </c>
      <c r="J40">
        <v>113</v>
      </c>
      <c r="K40">
        <v>79</v>
      </c>
      <c r="L40">
        <v>8055</v>
      </c>
      <c r="M40" t="str" cm="1">
        <f t="array" ref="M40">_xlfn.IFS(C40&lt;6,"Poor",C40&lt;=8,"Normal",TRUE,"High")</f>
        <v>Normal</v>
      </c>
    </row>
    <row r="41" spans="1:13" x14ac:dyDescent="0.2">
      <c r="A41">
        <v>40</v>
      </c>
      <c r="B41" cm="1">
        <f t="array" ref="B41:L41">_xlfn.XLOOKUP($A41,Instagram_Usage_Lifestyle_Mini_!$A:$A,Instagram_Usage_Lifestyle_Mini_!$L:$V,"Not Found")</f>
        <v>13</v>
      </c>
      <c r="C41">
        <v>6.3</v>
      </c>
      <c r="D41" t="str">
        <v>Poor</v>
      </c>
      <c r="E41" t="str">
        <v>No</v>
      </c>
      <c r="F41" t="str">
        <v>Never</v>
      </c>
      <c r="G41">
        <v>1</v>
      </c>
      <c r="H41">
        <v>6</v>
      </c>
      <c r="I41">
        <v>24.7</v>
      </c>
      <c r="J41">
        <v>154</v>
      </c>
      <c r="K41">
        <v>69</v>
      </c>
      <c r="L41">
        <v>7952</v>
      </c>
      <c r="M41" t="str" cm="1">
        <f t="array" ref="M41">_xlfn.IFS(C41&lt;6,"Poor",C41&lt;=8,"Normal",TRUE,"High")</f>
        <v>Normal</v>
      </c>
    </row>
    <row r="42" spans="1:13" x14ac:dyDescent="0.2">
      <c r="A42">
        <v>41</v>
      </c>
      <c r="B42" cm="1">
        <f t="array" ref="B42:L42">_xlfn.XLOOKUP($A42,Instagram_Usage_Lifestyle_Mini_!$A:$A,Instagram_Usage_Lifestyle_Mini_!$L:$V,"Not Found")</f>
        <v>12.7</v>
      </c>
      <c r="C42">
        <v>5.4</v>
      </c>
      <c r="D42" t="str">
        <v>Excellent</v>
      </c>
      <c r="E42" t="str">
        <v>No</v>
      </c>
      <c r="F42" t="str">
        <v>Never</v>
      </c>
      <c r="G42">
        <v>32</v>
      </c>
      <c r="H42">
        <v>7</v>
      </c>
      <c r="I42">
        <v>25.6</v>
      </c>
      <c r="J42">
        <v>139</v>
      </c>
      <c r="K42">
        <v>83</v>
      </c>
      <c r="L42">
        <v>7994</v>
      </c>
      <c r="M42" t="str" cm="1">
        <f t="array" ref="M42">_xlfn.IFS(C42&lt;6,"Poor",C42&lt;=8,"Normal",TRUE,"High")</f>
        <v>Poor</v>
      </c>
    </row>
    <row r="43" spans="1:13" x14ac:dyDescent="0.2">
      <c r="A43">
        <v>42</v>
      </c>
      <c r="B43" cm="1">
        <f t="array" ref="B43:L43">_xlfn.XLOOKUP($A43,Instagram_Usage_Lifestyle_Mini_!$A:$A,Instagram_Usage_Lifestyle_Mini_!$L:$V,"Not Found")</f>
        <v>3.7</v>
      </c>
      <c r="C43">
        <v>6.2</v>
      </c>
      <c r="D43" t="str">
        <v>Poor</v>
      </c>
      <c r="E43" t="str">
        <v>Former</v>
      </c>
      <c r="F43" t="str">
        <v>Daily</v>
      </c>
      <c r="G43">
        <v>10</v>
      </c>
      <c r="H43">
        <v>6</v>
      </c>
      <c r="I43">
        <v>18.600000000000001</v>
      </c>
      <c r="J43">
        <v>124</v>
      </c>
      <c r="K43">
        <v>79</v>
      </c>
      <c r="L43">
        <v>8100</v>
      </c>
      <c r="M43" t="str" cm="1">
        <f t="array" ref="M43">_xlfn.IFS(C43&lt;6,"Poor",C43&lt;=8,"Normal",TRUE,"High")</f>
        <v>Normal</v>
      </c>
    </row>
    <row r="44" spans="1:13" x14ac:dyDescent="0.2">
      <c r="A44">
        <v>43</v>
      </c>
      <c r="B44" cm="1">
        <f t="array" ref="B44:L44">_xlfn.XLOOKUP($A44,Instagram_Usage_Lifestyle_Mini_!$A:$A,Instagram_Usage_Lifestyle_Mini_!$L:$V,"Not Found")</f>
        <v>7.7</v>
      </c>
      <c r="C44">
        <v>8.6999999999999993</v>
      </c>
      <c r="D44" t="str">
        <v>Good</v>
      </c>
      <c r="E44" t="str">
        <v>No</v>
      </c>
      <c r="F44" t="str">
        <v>Several_times_a_week</v>
      </c>
      <c r="G44">
        <v>19</v>
      </c>
      <c r="H44">
        <v>4</v>
      </c>
      <c r="I44">
        <v>29.7</v>
      </c>
      <c r="J44">
        <v>126</v>
      </c>
      <c r="K44">
        <v>97</v>
      </c>
      <c r="L44">
        <v>8175</v>
      </c>
      <c r="M44" t="str" cm="1">
        <f t="array" ref="M44">_xlfn.IFS(C44&lt;6,"Poor",C44&lt;=8,"Normal",TRUE,"High")</f>
        <v>High</v>
      </c>
    </row>
    <row r="45" spans="1:13" x14ac:dyDescent="0.2">
      <c r="A45">
        <v>44</v>
      </c>
      <c r="B45" cm="1">
        <f t="array" ref="B45:L45">_xlfn.XLOOKUP($A45,Instagram_Usage_Lifestyle_Mini_!$A:$A,Instagram_Usage_Lifestyle_Mini_!$L:$V,"Not Found")</f>
        <v>7.2</v>
      </c>
      <c r="C45">
        <v>7.5</v>
      </c>
      <c r="D45" t="str">
        <v>Average</v>
      </c>
      <c r="E45" t="str">
        <v>No</v>
      </c>
      <c r="F45" t="str">
        <v>Rarely</v>
      </c>
      <c r="G45">
        <v>26</v>
      </c>
      <c r="H45">
        <v>7</v>
      </c>
      <c r="I45">
        <v>25.9</v>
      </c>
      <c r="J45">
        <v>137</v>
      </c>
      <c r="K45">
        <v>73</v>
      </c>
      <c r="L45">
        <v>8082</v>
      </c>
      <c r="M45" t="str" cm="1">
        <f t="array" ref="M45">_xlfn.IFS(C45&lt;6,"Poor",C45&lt;=8,"Normal",TRUE,"High")</f>
        <v>Normal</v>
      </c>
    </row>
    <row r="46" spans="1:13" x14ac:dyDescent="0.2">
      <c r="A46">
        <v>45</v>
      </c>
      <c r="B46" cm="1">
        <f t="array" ref="B46:L46">_xlfn.XLOOKUP($A46,Instagram_Usage_Lifestyle_Mini_!$A:$A,Instagram_Usage_Lifestyle_Mini_!$L:$V,"Not Found")</f>
        <v>8.5</v>
      </c>
      <c r="C46">
        <v>7</v>
      </c>
      <c r="D46" t="str">
        <v>Average</v>
      </c>
      <c r="E46" t="str">
        <v>No</v>
      </c>
      <c r="F46" t="str">
        <v>Daily</v>
      </c>
      <c r="G46">
        <v>4</v>
      </c>
      <c r="H46">
        <v>2</v>
      </c>
      <c r="I46">
        <v>27.3</v>
      </c>
      <c r="J46">
        <v>97</v>
      </c>
      <c r="K46">
        <v>67</v>
      </c>
      <c r="L46">
        <v>8143</v>
      </c>
      <c r="M46" t="str" cm="1">
        <f t="array" ref="M46">_xlfn.IFS(C46&lt;6,"Poor",C46&lt;=8,"Normal",TRUE,"High")</f>
        <v>Normal</v>
      </c>
    </row>
    <row r="47" spans="1:13" x14ac:dyDescent="0.2">
      <c r="A47">
        <v>46</v>
      </c>
      <c r="B47" cm="1">
        <f t="array" ref="B47:L47">_xlfn.XLOOKUP($A47,Instagram_Usage_Lifestyle_Mini_!$A:$A,Instagram_Usage_Lifestyle_Mini_!$L:$V,"Not Found")</f>
        <v>2.9</v>
      </c>
      <c r="C47">
        <v>6.3</v>
      </c>
      <c r="D47" t="str">
        <v>Poor</v>
      </c>
      <c r="E47" t="str">
        <v>Yes</v>
      </c>
      <c r="F47" t="str">
        <v>Never</v>
      </c>
      <c r="G47">
        <v>19</v>
      </c>
      <c r="H47">
        <v>1</v>
      </c>
      <c r="I47">
        <v>23.2</v>
      </c>
      <c r="J47">
        <v>96</v>
      </c>
      <c r="K47">
        <v>68</v>
      </c>
      <c r="L47">
        <v>8085</v>
      </c>
      <c r="M47" t="str" cm="1">
        <f t="array" ref="M47">_xlfn.IFS(C47&lt;6,"Poor",C47&lt;=8,"Normal",TRUE,"High")</f>
        <v>Normal</v>
      </c>
    </row>
    <row r="48" spans="1:13" x14ac:dyDescent="0.2">
      <c r="A48">
        <v>47</v>
      </c>
      <c r="B48" cm="1">
        <f t="array" ref="B48:L48">_xlfn.XLOOKUP($A48,Instagram_Usage_Lifestyle_Mini_!$A:$A,Instagram_Usage_Lifestyle_Mini_!$L:$V,"Not Found")</f>
        <v>7.4</v>
      </c>
      <c r="C48">
        <v>9.9</v>
      </c>
      <c r="D48" t="str">
        <v>Average</v>
      </c>
      <c r="E48" t="str">
        <v>No</v>
      </c>
      <c r="F48" t="str">
        <v>Rarely</v>
      </c>
      <c r="G48">
        <v>7</v>
      </c>
      <c r="H48">
        <v>1</v>
      </c>
      <c r="I48">
        <v>22.8</v>
      </c>
      <c r="J48">
        <v>156</v>
      </c>
      <c r="K48">
        <v>89</v>
      </c>
      <c r="L48">
        <v>7888</v>
      </c>
      <c r="M48" t="str" cm="1">
        <f t="array" ref="M48">_xlfn.IFS(C48&lt;6,"Poor",C48&lt;=8,"Normal",TRUE,"High")</f>
        <v>High</v>
      </c>
    </row>
    <row r="49" spans="1:13" x14ac:dyDescent="0.2">
      <c r="A49">
        <v>48</v>
      </c>
      <c r="B49" cm="1">
        <f t="array" ref="B49:L49">_xlfn.XLOOKUP($A49,Instagram_Usage_Lifestyle_Mini_!$A:$A,Instagram_Usage_Lifestyle_Mini_!$L:$V,"Not Found")</f>
        <v>2.5</v>
      </c>
      <c r="C49">
        <v>6.1</v>
      </c>
      <c r="D49" t="str">
        <v>Excellent</v>
      </c>
      <c r="E49" t="str">
        <v>Yes</v>
      </c>
      <c r="F49" t="str">
        <v>Rarely</v>
      </c>
      <c r="G49">
        <v>2</v>
      </c>
      <c r="H49">
        <v>9</v>
      </c>
      <c r="I49">
        <v>25.2</v>
      </c>
      <c r="J49">
        <v>105</v>
      </c>
      <c r="K49">
        <v>63</v>
      </c>
      <c r="L49">
        <v>8089</v>
      </c>
      <c r="M49" t="str" cm="1">
        <f t="array" ref="M49">_xlfn.IFS(C49&lt;6,"Poor",C49&lt;=8,"Normal",TRUE,"High")</f>
        <v>Normal</v>
      </c>
    </row>
    <row r="50" spans="1:13" x14ac:dyDescent="0.2">
      <c r="A50">
        <v>49</v>
      </c>
      <c r="B50" cm="1">
        <f t="array" ref="B50:L50">_xlfn.XLOOKUP($A50,Instagram_Usage_Lifestyle_Mini_!$A:$A,Instagram_Usage_Lifestyle_Mini_!$L:$V,"Not Found")</f>
        <v>9.5</v>
      </c>
      <c r="C50">
        <v>8</v>
      </c>
      <c r="D50" t="str">
        <v>Poor</v>
      </c>
      <c r="E50" t="str">
        <v>Former</v>
      </c>
      <c r="F50" t="str">
        <v>Rarely</v>
      </c>
      <c r="G50">
        <v>17</v>
      </c>
      <c r="H50">
        <v>6</v>
      </c>
      <c r="I50">
        <v>21.2</v>
      </c>
      <c r="J50">
        <v>153</v>
      </c>
      <c r="K50">
        <v>93</v>
      </c>
      <c r="L50">
        <v>7968</v>
      </c>
      <c r="M50" t="str" cm="1">
        <f t="array" ref="M50">_xlfn.IFS(C50&lt;6,"Poor",C50&lt;=8,"Normal",TRUE,"High")</f>
        <v>Normal</v>
      </c>
    </row>
    <row r="51" spans="1:13" x14ac:dyDescent="0.2">
      <c r="A51">
        <v>50</v>
      </c>
      <c r="B51" cm="1">
        <f t="array" ref="B51:L51">_xlfn.XLOOKUP($A51,Instagram_Usage_Lifestyle_Mini_!$A:$A,Instagram_Usage_Lifestyle_Mini_!$L:$V,"Not Found")</f>
        <v>5.5</v>
      </c>
      <c r="C51">
        <v>6.4</v>
      </c>
      <c r="D51" t="str">
        <v>Good</v>
      </c>
      <c r="E51" t="str">
        <v>No</v>
      </c>
      <c r="F51" t="str">
        <v>Rarely</v>
      </c>
      <c r="G51">
        <v>39</v>
      </c>
      <c r="H51">
        <v>1</v>
      </c>
      <c r="I51">
        <v>22.8</v>
      </c>
      <c r="J51">
        <v>108</v>
      </c>
      <c r="K51">
        <v>62</v>
      </c>
      <c r="L51">
        <v>8123</v>
      </c>
      <c r="M51" t="str" cm="1">
        <f t="array" ref="M51">_xlfn.IFS(C51&lt;6,"Poor",C51&lt;=8,"Normal",TRUE,"High")</f>
        <v>Normal</v>
      </c>
    </row>
    <row r="52" spans="1:13" x14ac:dyDescent="0.2">
      <c r="A52">
        <v>51</v>
      </c>
      <c r="B52" cm="1">
        <f t="array" ref="B52:L52">_xlfn.XLOOKUP($A52,Instagram_Usage_Lifestyle_Mini_!$A:$A,Instagram_Usage_Lifestyle_Mini_!$L:$V,"Not Found")</f>
        <v>4.8</v>
      </c>
      <c r="C52">
        <v>5.5</v>
      </c>
      <c r="D52" t="str">
        <v>Good</v>
      </c>
      <c r="E52" t="str">
        <v>Yes</v>
      </c>
      <c r="F52" t="str">
        <v>Daily</v>
      </c>
      <c r="G52">
        <v>35</v>
      </c>
      <c r="H52">
        <v>8</v>
      </c>
      <c r="I52">
        <v>21.3</v>
      </c>
      <c r="J52">
        <v>95</v>
      </c>
      <c r="K52">
        <v>95</v>
      </c>
      <c r="L52">
        <v>7981</v>
      </c>
      <c r="M52" t="str" cm="1">
        <f t="array" ref="M52">_xlfn.IFS(C52&lt;6,"Poor",C52&lt;=8,"Normal",TRUE,"High")</f>
        <v>Poor</v>
      </c>
    </row>
    <row r="53" spans="1:13" x14ac:dyDescent="0.2">
      <c r="A53">
        <v>52</v>
      </c>
      <c r="B53" cm="1">
        <f t="array" ref="B53:L53">_xlfn.XLOOKUP($A53,Instagram_Usage_Lifestyle_Mini_!$A:$A,Instagram_Usage_Lifestyle_Mini_!$L:$V,"Not Found")</f>
        <v>2.7</v>
      </c>
      <c r="C53">
        <v>7.6</v>
      </c>
      <c r="D53" t="str">
        <v>Average</v>
      </c>
      <c r="E53" t="str">
        <v>Former</v>
      </c>
      <c r="F53" t="str">
        <v>Never</v>
      </c>
      <c r="G53">
        <v>35</v>
      </c>
      <c r="H53">
        <v>6</v>
      </c>
      <c r="I53">
        <v>22.4</v>
      </c>
      <c r="J53">
        <v>152</v>
      </c>
      <c r="K53">
        <v>75</v>
      </c>
      <c r="L53">
        <v>7941</v>
      </c>
      <c r="M53" t="str" cm="1">
        <f t="array" ref="M53">_xlfn.IFS(C53&lt;6,"Poor",C53&lt;=8,"Normal",TRUE,"High")</f>
        <v>Normal</v>
      </c>
    </row>
    <row r="54" spans="1:13" x14ac:dyDescent="0.2">
      <c r="A54">
        <v>53</v>
      </c>
      <c r="B54" cm="1">
        <f t="array" ref="B54:L54">_xlfn.XLOOKUP($A54,Instagram_Usage_Lifestyle_Mini_!$A:$A,Instagram_Usage_Lifestyle_Mini_!$L:$V,"Not Found")</f>
        <v>4.2</v>
      </c>
      <c r="C54">
        <v>6</v>
      </c>
      <c r="D54" t="str">
        <v>Poor</v>
      </c>
      <c r="E54" t="str">
        <v>No</v>
      </c>
      <c r="F54" t="str">
        <v>Never</v>
      </c>
      <c r="G54">
        <v>32</v>
      </c>
      <c r="H54">
        <v>4</v>
      </c>
      <c r="I54">
        <v>30.3</v>
      </c>
      <c r="J54">
        <v>101</v>
      </c>
      <c r="K54">
        <v>92</v>
      </c>
      <c r="L54">
        <v>8065</v>
      </c>
      <c r="M54" t="str" cm="1">
        <f t="array" ref="M54">_xlfn.IFS(C54&lt;6,"Poor",C54&lt;=8,"Normal",TRUE,"High")</f>
        <v>Normal</v>
      </c>
    </row>
    <row r="55" spans="1:13" x14ac:dyDescent="0.2">
      <c r="A55">
        <v>54</v>
      </c>
      <c r="B55" cm="1">
        <f t="array" ref="B55:L55">_xlfn.XLOOKUP($A55,Instagram_Usage_Lifestyle_Mini_!$A:$A,Instagram_Usage_Lifestyle_Mini_!$L:$V,"Not Found")</f>
        <v>1.3</v>
      </c>
      <c r="C55">
        <v>7</v>
      </c>
      <c r="D55" t="str">
        <v>Average</v>
      </c>
      <c r="E55" t="str">
        <v>Former</v>
      </c>
      <c r="F55" t="str">
        <v>Rarely</v>
      </c>
      <c r="G55">
        <v>11</v>
      </c>
      <c r="H55">
        <v>1</v>
      </c>
      <c r="I55">
        <v>26</v>
      </c>
      <c r="J55">
        <v>103</v>
      </c>
      <c r="K55">
        <v>71</v>
      </c>
      <c r="L55">
        <v>8047</v>
      </c>
      <c r="M55" t="str" cm="1">
        <f t="array" ref="M55">_xlfn.IFS(C55&lt;6,"Poor",C55&lt;=8,"Normal",TRUE,"High")</f>
        <v>Normal</v>
      </c>
    </row>
    <row r="56" spans="1:13" x14ac:dyDescent="0.2">
      <c r="A56">
        <v>55</v>
      </c>
      <c r="B56" cm="1">
        <f t="array" ref="B56:L56">_xlfn.XLOOKUP($A56,Instagram_Usage_Lifestyle_Mini_!$A:$A,Instagram_Usage_Lifestyle_Mini_!$L:$V,"Not Found")</f>
        <v>4.5999999999999996</v>
      </c>
      <c r="C56">
        <v>5.5</v>
      </c>
      <c r="D56" t="str">
        <v>Poor</v>
      </c>
      <c r="E56" t="str">
        <v>No</v>
      </c>
      <c r="F56" t="str">
        <v>Weekly</v>
      </c>
      <c r="G56">
        <v>34</v>
      </c>
      <c r="H56">
        <v>5</v>
      </c>
      <c r="I56">
        <v>28.9</v>
      </c>
      <c r="J56">
        <v>124</v>
      </c>
      <c r="K56">
        <v>82</v>
      </c>
      <c r="L56">
        <v>7958</v>
      </c>
      <c r="M56" t="str" cm="1">
        <f t="array" ref="M56">_xlfn.IFS(C56&lt;6,"Poor",C56&lt;=8,"Normal",TRUE,"High")</f>
        <v>Poor</v>
      </c>
    </row>
    <row r="57" spans="1:13" x14ac:dyDescent="0.2">
      <c r="A57">
        <v>56</v>
      </c>
      <c r="B57" cm="1">
        <f t="array" ref="B57:L57">_xlfn.XLOOKUP($A57,Instagram_Usage_Lifestyle_Mini_!$A:$A,Instagram_Usage_Lifestyle_Mini_!$L:$V,"Not Found")</f>
        <v>10.5</v>
      </c>
      <c r="C57">
        <v>5.4</v>
      </c>
      <c r="D57" t="str">
        <v>Poor</v>
      </c>
      <c r="E57" t="str">
        <v>Yes</v>
      </c>
      <c r="F57" t="str">
        <v>Never</v>
      </c>
      <c r="G57">
        <v>26</v>
      </c>
      <c r="H57">
        <v>9</v>
      </c>
      <c r="I57">
        <v>23.5</v>
      </c>
      <c r="J57">
        <v>100</v>
      </c>
      <c r="K57">
        <v>72</v>
      </c>
      <c r="L57">
        <v>8061</v>
      </c>
      <c r="M57" t="str" cm="1">
        <f t="array" ref="M57">_xlfn.IFS(C57&lt;6,"Poor",C57&lt;=8,"Normal",TRUE,"High")</f>
        <v>Poor</v>
      </c>
    </row>
    <row r="58" spans="1:13" x14ac:dyDescent="0.2">
      <c r="A58">
        <v>57</v>
      </c>
      <c r="B58" cm="1">
        <f t="array" ref="B58:L58">_xlfn.XLOOKUP($A58,Instagram_Usage_Lifestyle_Mini_!$A:$A,Instagram_Usage_Lifestyle_Mini_!$L:$V,"Not Found")</f>
        <v>4.0999999999999996</v>
      </c>
      <c r="C58">
        <v>7.6</v>
      </c>
      <c r="D58" t="str">
        <v>Excellent</v>
      </c>
      <c r="E58" t="str">
        <v>No</v>
      </c>
      <c r="F58" t="str">
        <v>Rarely</v>
      </c>
      <c r="G58">
        <v>18</v>
      </c>
      <c r="H58">
        <v>4</v>
      </c>
      <c r="I58">
        <v>18.7</v>
      </c>
      <c r="J58">
        <v>151</v>
      </c>
      <c r="K58">
        <v>79</v>
      </c>
      <c r="L58">
        <v>8010</v>
      </c>
      <c r="M58" t="str" cm="1">
        <f t="array" ref="M58">_xlfn.IFS(C58&lt;6,"Poor",C58&lt;=8,"Normal",TRUE,"High")</f>
        <v>Normal</v>
      </c>
    </row>
    <row r="59" spans="1:13" x14ac:dyDescent="0.2">
      <c r="A59">
        <v>58</v>
      </c>
      <c r="B59" cm="1">
        <f t="array" ref="B59:L59">_xlfn.XLOOKUP($A59,Instagram_Usage_Lifestyle_Mini_!$A:$A,Instagram_Usage_Lifestyle_Mini_!$L:$V,"Not Found")</f>
        <v>6.9</v>
      </c>
      <c r="C59">
        <v>6.7</v>
      </c>
      <c r="D59" t="str">
        <v>Average</v>
      </c>
      <c r="E59" t="str">
        <v>No</v>
      </c>
      <c r="F59" t="str">
        <v>Never</v>
      </c>
      <c r="G59">
        <v>4</v>
      </c>
      <c r="H59">
        <v>9</v>
      </c>
      <c r="I59">
        <v>20.100000000000001</v>
      </c>
      <c r="J59">
        <v>142</v>
      </c>
      <c r="K59">
        <v>88</v>
      </c>
      <c r="L59">
        <v>8006</v>
      </c>
      <c r="M59" t="str" cm="1">
        <f t="array" ref="M59">_xlfn.IFS(C59&lt;6,"Poor",C59&lt;=8,"Normal",TRUE,"High")</f>
        <v>Normal</v>
      </c>
    </row>
    <row r="60" spans="1:13" x14ac:dyDescent="0.2">
      <c r="A60">
        <v>59</v>
      </c>
      <c r="B60" cm="1">
        <f t="array" ref="B60:L60">_xlfn.XLOOKUP($A60,Instagram_Usage_Lifestyle_Mini_!$A:$A,Instagram_Usage_Lifestyle_Mini_!$L:$V,"Not Found")</f>
        <v>18.5</v>
      </c>
      <c r="C60">
        <v>8.3000000000000007</v>
      </c>
      <c r="D60" t="str">
        <v>Excellent</v>
      </c>
      <c r="E60" t="str">
        <v>No</v>
      </c>
      <c r="F60" t="str">
        <v>Rarely</v>
      </c>
      <c r="G60">
        <v>27</v>
      </c>
      <c r="H60">
        <v>4</v>
      </c>
      <c r="I60">
        <v>26.8</v>
      </c>
      <c r="J60">
        <v>117</v>
      </c>
      <c r="K60">
        <v>99</v>
      </c>
      <c r="L60">
        <v>7887</v>
      </c>
      <c r="M60" t="str" cm="1">
        <f t="array" ref="M60">_xlfn.IFS(C60&lt;6,"Poor",C60&lt;=8,"Normal",TRUE,"High")</f>
        <v>High</v>
      </c>
    </row>
    <row r="61" spans="1:13" x14ac:dyDescent="0.2">
      <c r="A61">
        <v>60</v>
      </c>
      <c r="B61" cm="1">
        <f t="array" ref="B61:L61">_xlfn.XLOOKUP($A61,Instagram_Usage_Lifestyle_Mini_!$A:$A,Instagram_Usage_Lifestyle_Mini_!$L:$V,"Not Found")</f>
        <v>1.8</v>
      </c>
      <c r="C61">
        <v>6.2</v>
      </c>
      <c r="D61" t="str">
        <v>Good</v>
      </c>
      <c r="E61" t="str">
        <v>No</v>
      </c>
      <c r="F61" t="str">
        <v>Never</v>
      </c>
      <c r="G61">
        <v>17</v>
      </c>
      <c r="H61">
        <v>10</v>
      </c>
      <c r="I61">
        <v>27</v>
      </c>
      <c r="J61">
        <v>102</v>
      </c>
      <c r="K61">
        <v>63</v>
      </c>
      <c r="L61">
        <v>8010</v>
      </c>
      <c r="M61" t="str" cm="1">
        <f t="array" ref="M61">_xlfn.IFS(C61&lt;6,"Poor",C61&lt;=8,"Normal",TRUE,"High")</f>
        <v>Normal</v>
      </c>
    </row>
    <row r="62" spans="1:13" x14ac:dyDescent="0.2">
      <c r="A62">
        <v>61</v>
      </c>
      <c r="B62" cm="1">
        <f t="array" ref="B62:L62">_xlfn.XLOOKUP($A62,Instagram_Usage_Lifestyle_Mini_!$A:$A,Instagram_Usage_Lifestyle_Mini_!$L:$V,"Not Found")</f>
        <v>13.8</v>
      </c>
      <c r="C62">
        <v>6.5</v>
      </c>
      <c r="D62" t="str">
        <v>Average</v>
      </c>
      <c r="E62" t="str">
        <v>No</v>
      </c>
      <c r="F62" t="str">
        <v>Never</v>
      </c>
      <c r="G62">
        <v>30</v>
      </c>
      <c r="H62">
        <v>8</v>
      </c>
      <c r="I62">
        <v>23.4</v>
      </c>
      <c r="J62">
        <v>151</v>
      </c>
      <c r="K62">
        <v>85</v>
      </c>
      <c r="L62">
        <v>8080</v>
      </c>
      <c r="M62" t="str" cm="1">
        <f t="array" ref="M62">_xlfn.IFS(C62&lt;6,"Poor",C62&lt;=8,"Normal",TRUE,"High")</f>
        <v>Normal</v>
      </c>
    </row>
    <row r="63" spans="1:13" x14ac:dyDescent="0.2">
      <c r="A63">
        <v>62</v>
      </c>
      <c r="B63" cm="1">
        <f t="array" ref="B63:L63">_xlfn.XLOOKUP($A63,Instagram_Usage_Lifestyle_Mini_!$A:$A,Instagram_Usage_Lifestyle_Mini_!$L:$V,"Not Found")</f>
        <v>5</v>
      </c>
      <c r="C63">
        <v>5.6</v>
      </c>
      <c r="D63" t="str">
        <v>Average</v>
      </c>
      <c r="E63" t="str">
        <v>No</v>
      </c>
      <c r="F63" t="str">
        <v>Never</v>
      </c>
      <c r="G63">
        <v>26</v>
      </c>
      <c r="H63">
        <v>4</v>
      </c>
      <c r="I63">
        <v>23.8</v>
      </c>
      <c r="J63">
        <v>136</v>
      </c>
      <c r="K63">
        <v>67</v>
      </c>
      <c r="L63">
        <v>7888</v>
      </c>
      <c r="M63" t="str" cm="1">
        <f t="array" ref="M63">_xlfn.IFS(C63&lt;6,"Poor",C63&lt;=8,"Normal",TRUE,"High")</f>
        <v>Poor</v>
      </c>
    </row>
    <row r="64" spans="1:13" x14ac:dyDescent="0.2">
      <c r="A64">
        <v>63</v>
      </c>
      <c r="B64" cm="1">
        <f t="array" ref="B64:L64">_xlfn.XLOOKUP($A64,Instagram_Usage_Lifestyle_Mini_!$A:$A,Instagram_Usage_Lifestyle_Mini_!$L:$V,"Not Found")</f>
        <v>8</v>
      </c>
      <c r="C64">
        <v>8.1999999999999993</v>
      </c>
      <c r="D64" t="str">
        <v>Poor</v>
      </c>
      <c r="E64" t="str">
        <v>No</v>
      </c>
      <c r="F64" t="str">
        <v>Rarely</v>
      </c>
      <c r="G64">
        <v>19</v>
      </c>
      <c r="H64">
        <v>2</v>
      </c>
      <c r="I64">
        <v>24.3</v>
      </c>
      <c r="J64">
        <v>157</v>
      </c>
      <c r="K64">
        <v>97</v>
      </c>
      <c r="L64">
        <v>7914</v>
      </c>
      <c r="M64" t="str" cm="1">
        <f t="array" ref="M64">_xlfn.IFS(C64&lt;6,"Poor",C64&lt;=8,"Normal",TRUE,"High")</f>
        <v>High</v>
      </c>
    </row>
    <row r="65" spans="1:13" x14ac:dyDescent="0.2">
      <c r="A65">
        <v>64</v>
      </c>
      <c r="B65" cm="1">
        <f t="array" ref="B65:L65">_xlfn.XLOOKUP($A65,Instagram_Usage_Lifestyle_Mini_!$A:$A,Instagram_Usage_Lifestyle_Mini_!$L:$V,"Not Found")</f>
        <v>12.3</v>
      </c>
      <c r="C65">
        <v>7.7</v>
      </c>
      <c r="D65" t="str">
        <v>Good</v>
      </c>
      <c r="E65" t="str">
        <v>No</v>
      </c>
      <c r="F65" t="str">
        <v>Weekly</v>
      </c>
      <c r="G65">
        <v>6</v>
      </c>
      <c r="H65">
        <v>1</v>
      </c>
      <c r="I65">
        <v>27.5</v>
      </c>
      <c r="J65">
        <v>106</v>
      </c>
      <c r="K65">
        <v>61</v>
      </c>
      <c r="L65">
        <v>7981</v>
      </c>
      <c r="M65" t="str" cm="1">
        <f t="array" ref="M65">_xlfn.IFS(C65&lt;6,"Poor",C65&lt;=8,"Normal",TRUE,"High")</f>
        <v>Normal</v>
      </c>
    </row>
    <row r="66" spans="1:13" x14ac:dyDescent="0.2">
      <c r="A66">
        <v>65</v>
      </c>
      <c r="B66" cm="1">
        <f t="array" ref="B66:L66">_xlfn.XLOOKUP($A66,Instagram_Usage_Lifestyle_Mini_!$A:$A,Instagram_Usage_Lifestyle_Mini_!$L:$V,"Not Found")</f>
        <v>2.2000000000000002</v>
      </c>
      <c r="C66">
        <v>8.4</v>
      </c>
      <c r="D66" t="str">
        <v>Excellent</v>
      </c>
      <c r="E66" t="str">
        <v>No</v>
      </c>
      <c r="F66" t="str">
        <v>Rarely</v>
      </c>
      <c r="G66">
        <v>8</v>
      </c>
      <c r="H66">
        <v>7</v>
      </c>
      <c r="I66">
        <v>18.5</v>
      </c>
      <c r="J66">
        <v>146</v>
      </c>
      <c r="K66">
        <v>93</v>
      </c>
      <c r="L66">
        <v>7926</v>
      </c>
      <c r="M66" t="str" cm="1">
        <f t="array" ref="M66">_xlfn.IFS(C66&lt;6,"Poor",C66&lt;=8,"Normal",TRUE,"High")</f>
        <v>High</v>
      </c>
    </row>
    <row r="67" spans="1:13" x14ac:dyDescent="0.2">
      <c r="A67">
        <v>66</v>
      </c>
      <c r="B67" cm="1">
        <f t="array" ref="B67:L67">_xlfn.XLOOKUP($A67,Instagram_Usage_Lifestyle_Mini_!$A:$A,Instagram_Usage_Lifestyle_Mini_!$L:$V,"Not Found")</f>
        <v>7.6</v>
      </c>
      <c r="C67">
        <v>8.1999999999999993</v>
      </c>
      <c r="D67" t="str">
        <v>Average</v>
      </c>
      <c r="E67" t="str">
        <v>No</v>
      </c>
      <c r="F67" t="str">
        <v>Several_times_a_week</v>
      </c>
      <c r="G67">
        <v>0</v>
      </c>
      <c r="H67">
        <v>6</v>
      </c>
      <c r="I67">
        <v>28.5</v>
      </c>
      <c r="J67">
        <v>106</v>
      </c>
      <c r="K67">
        <v>70</v>
      </c>
      <c r="L67">
        <v>8082</v>
      </c>
      <c r="M67" t="str" cm="1">
        <f t="array" ref="M67">_xlfn.IFS(C67&lt;6,"Poor",C67&lt;=8,"Normal",TRUE,"High")</f>
        <v>High</v>
      </c>
    </row>
    <row r="68" spans="1:13" x14ac:dyDescent="0.2">
      <c r="A68">
        <v>67</v>
      </c>
      <c r="B68" cm="1">
        <f t="array" ref="B68:L68">_xlfn.XLOOKUP($A68,Instagram_Usage_Lifestyle_Mini_!$A:$A,Instagram_Usage_Lifestyle_Mini_!$L:$V,"Not Found")</f>
        <v>8.9</v>
      </c>
      <c r="C68">
        <v>6.7</v>
      </c>
      <c r="D68" t="str">
        <v>Poor</v>
      </c>
      <c r="E68" t="str">
        <v>No</v>
      </c>
      <c r="F68" t="str">
        <v>Never</v>
      </c>
      <c r="G68">
        <v>38</v>
      </c>
      <c r="H68">
        <v>8</v>
      </c>
      <c r="I68">
        <v>21.4</v>
      </c>
      <c r="J68">
        <v>107</v>
      </c>
      <c r="K68">
        <v>83</v>
      </c>
      <c r="L68">
        <v>8020</v>
      </c>
      <c r="M68" t="str" cm="1">
        <f t="array" ref="M68">_xlfn.IFS(C68&lt;6,"Poor",C68&lt;=8,"Normal",TRUE,"High")</f>
        <v>Normal</v>
      </c>
    </row>
    <row r="69" spans="1:13" x14ac:dyDescent="0.2">
      <c r="A69">
        <v>68</v>
      </c>
      <c r="B69" cm="1">
        <f t="array" ref="B69:L69">_xlfn.XLOOKUP($A69,Instagram_Usage_Lifestyle_Mini_!$A:$A,Instagram_Usage_Lifestyle_Mini_!$L:$V,"Not Found")</f>
        <v>7.1</v>
      </c>
      <c r="C69">
        <v>7</v>
      </c>
      <c r="D69" t="str">
        <v>Excellent</v>
      </c>
      <c r="E69" t="str">
        <v>No</v>
      </c>
      <c r="F69" t="str">
        <v>Never</v>
      </c>
      <c r="G69">
        <v>29</v>
      </c>
      <c r="H69">
        <v>4</v>
      </c>
      <c r="I69">
        <v>23.1</v>
      </c>
      <c r="J69">
        <v>106</v>
      </c>
      <c r="K69">
        <v>85</v>
      </c>
      <c r="L69">
        <v>7966</v>
      </c>
      <c r="M69" t="str" cm="1">
        <f t="array" ref="M69">_xlfn.IFS(C69&lt;6,"Poor",C69&lt;=8,"Normal",TRUE,"High")</f>
        <v>Normal</v>
      </c>
    </row>
    <row r="70" spans="1:13" x14ac:dyDescent="0.2">
      <c r="A70">
        <v>69</v>
      </c>
      <c r="B70" cm="1">
        <f t="array" ref="B70:L70">_xlfn.XLOOKUP($A70,Instagram_Usage_Lifestyle_Mini_!$A:$A,Instagram_Usage_Lifestyle_Mini_!$L:$V,"Not Found")</f>
        <v>1.9</v>
      </c>
      <c r="C70">
        <v>5.8</v>
      </c>
      <c r="D70" t="str">
        <v>Excellent</v>
      </c>
      <c r="E70" t="str">
        <v>No</v>
      </c>
      <c r="F70" t="str">
        <v>Rarely</v>
      </c>
      <c r="G70">
        <v>29</v>
      </c>
      <c r="H70">
        <v>3</v>
      </c>
      <c r="I70">
        <v>25.7</v>
      </c>
      <c r="J70">
        <v>148</v>
      </c>
      <c r="K70">
        <v>73</v>
      </c>
      <c r="L70">
        <v>8030</v>
      </c>
      <c r="M70" t="str" cm="1">
        <f t="array" ref="M70">_xlfn.IFS(C70&lt;6,"Poor",C70&lt;=8,"Normal",TRUE,"High")</f>
        <v>Poor</v>
      </c>
    </row>
    <row r="71" spans="1:13" x14ac:dyDescent="0.2">
      <c r="A71">
        <v>70</v>
      </c>
      <c r="B71" cm="1">
        <f t="array" ref="B71:L71">_xlfn.XLOOKUP($A71,Instagram_Usage_Lifestyle_Mini_!$A:$A,Instagram_Usage_Lifestyle_Mini_!$L:$V,"Not Found")</f>
        <v>4.9000000000000004</v>
      </c>
      <c r="C71">
        <v>7.7</v>
      </c>
      <c r="D71" t="str">
        <v>Average</v>
      </c>
      <c r="E71" t="str">
        <v>No</v>
      </c>
      <c r="F71" t="str">
        <v>Rarely</v>
      </c>
      <c r="G71">
        <v>15</v>
      </c>
      <c r="H71">
        <v>8</v>
      </c>
      <c r="I71">
        <v>27.7</v>
      </c>
      <c r="J71">
        <v>133</v>
      </c>
      <c r="K71">
        <v>83</v>
      </c>
      <c r="L71">
        <v>8002</v>
      </c>
      <c r="M71" t="str" cm="1">
        <f t="array" ref="M71">_xlfn.IFS(C71&lt;6,"Poor",C71&lt;=8,"Normal",TRUE,"High")</f>
        <v>Normal</v>
      </c>
    </row>
    <row r="72" spans="1:13" x14ac:dyDescent="0.2">
      <c r="A72">
        <v>71</v>
      </c>
      <c r="B72" cm="1">
        <f t="array" ref="B72:L72">_xlfn.XLOOKUP($A72,Instagram_Usage_Lifestyle_Mini_!$A:$A,Instagram_Usage_Lifestyle_Mini_!$L:$V,"Not Found")</f>
        <v>7.6</v>
      </c>
      <c r="C72">
        <v>7.2</v>
      </c>
      <c r="D72" t="str">
        <v>Average</v>
      </c>
      <c r="E72" t="str">
        <v>No</v>
      </c>
      <c r="F72" t="str">
        <v>Weekly</v>
      </c>
      <c r="G72">
        <v>31</v>
      </c>
      <c r="H72">
        <v>10</v>
      </c>
      <c r="I72">
        <v>27.6</v>
      </c>
      <c r="J72">
        <v>129</v>
      </c>
      <c r="K72">
        <v>96</v>
      </c>
      <c r="L72">
        <v>8018</v>
      </c>
      <c r="M72" t="str" cm="1">
        <f t="array" ref="M72">_xlfn.IFS(C72&lt;6,"Poor",C72&lt;=8,"Normal",TRUE,"High")</f>
        <v>Normal</v>
      </c>
    </row>
    <row r="73" spans="1:13" x14ac:dyDescent="0.2">
      <c r="A73">
        <v>72</v>
      </c>
      <c r="B73" cm="1">
        <f t="array" ref="B73:L73">_xlfn.XLOOKUP($A73,Instagram_Usage_Lifestyle_Mini_!$A:$A,Instagram_Usage_Lifestyle_Mini_!$L:$V,"Not Found")</f>
        <v>9.3000000000000007</v>
      </c>
      <c r="C73">
        <v>7.2</v>
      </c>
      <c r="D73" t="str">
        <v>Poor</v>
      </c>
      <c r="E73" t="str">
        <v>No</v>
      </c>
      <c r="F73" t="str">
        <v>Rarely</v>
      </c>
      <c r="G73">
        <v>8</v>
      </c>
      <c r="H73">
        <v>5</v>
      </c>
      <c r="I73">
        <v>33.700000000000003</v>
      </c>
      <c r="J73">
        <v>110</v>
      </c>
      <c r="K73">
        <v>91</v>
      </c>
      <c r="L73">
        <v>7940</v>
      </c>
      <c r="M73" t="str" cm="1">
        <f t="array" ref="M73">_xlfn.IFS(C73&lt;6,"Poor",C73&lt;=8,"Normal",TRUE,"High")</f>
        <v>Normal</v>
      </c>
    </row>
    <row r="74" spans="1:13" x14ac:dyDescent="0.2">
      <c r="A74">
        <v>73</v>
      </c>
      <c r="B74" cm="1">
        <f t="array" ref="B74:L74">_xlfn.XLOOKUP($A74,Instagram_Usage_Lifestyle_Mini_!$A:$A,Instagram_Usage_Lifestyle_Mini_!$L:$V,"Not Found")</f>
        <v>7.5</v>
      </c>
      <c r="C74">
        <v>6.7</v>
      </c>
      <c r="D74" t="str">
        <v>Excellent</v>
      </c>
      <c r="E74" t="str">
        <v>No</v>
      </c>
      <c r="F74" t="str">
        <v>Weekly</v>
      </c>
      <c r="G74">
        <v>11</v>
      </c>
      <c r="H74">
        <v>2</v>
      </c>
      <c r="I74">
        <v>33.5</v>
      </c>
      <c r="J74">
        <v>110</v>
      </c>
      <c r="K74">
        <v>79</v>
      </c>
      <c r="L74">
        <v>8109</v>
      </c>
      <c r="M74" t="str" cm="1">
        <f t="array" ref="M74">_xlfn.IFS(C74&lt;6,"Poor",C74&lt;=8,"Normal",TRUE,"High")</f>
        <v>Normal</v>
      </c>
    </row>
    <row r="75" spans="1:13" x14ac:dyDescent="0.2">
      <c r="A75">
        <v>74</v>
      </c>
      <c r="B75" cm="1">
        <f t="array" ref="B75:L75">_xlfn.XLOOKUP($A75,Instagram_Usage_Lifestyle_Mini_!$A:$A,Instagram_Usage_Lifestyle_Mini_!$L:$V,"Not Found")</f>
        <v>10.199999999999999</v>
      </c>
      <c r="C75">
        <v>6.7</v>
      </c>
      <c r="D75" t="str">
        <v>Average</v>
      </c>
      <c r="E75" t="str">
        <v>Former</v>
      </c>
      <c r="F75" t="str">
        <v>Several_times_a_week</v>
      </c>
      <c r="G75">
        <v>27</v>
      </c>
      <c r="H75">
        <v>2</v>
      </c>
      <c r="I75">
        <v>30.8</v>
      </c>
      <c r="J75">
        <v>97</v>
      </c>
      <c r="K75">
        <v>65</v>
      </c>
      <c r="L75">
        <v>8125</v>
      </c>
      <c r="M75" t="str" cm="1">
        <f t="array" ref="M75">_xlfn.IFS(C75&lt;6,"Poor",C75&lt;=8,"Normal",TRUE,"High")</f>
        <v>Normal</v>
      </c>
    </row>
    <row r="76" spans="1:13" x14ac:dyDescent="0.2">
      <c r="A76">
        <v>75</v>
      </c>
      <c r="B76" cm="1">
        <f t="array" ref="B76:L76">_xlfn.XLOOKUP($A76,Instagram_Usage_Lifestyle_Mini_!$A:$A,Instagram_Usage_Lifestyle_Mini_!$L:$V,"Not Found")</f>
        <v>4.8</v>
      </c>
      <c r="C76">
        <v>6</v>
      </c>
      <c r="D76" t="str">
        <v>Average</v>
      </c>
      <c r="E76" t="str">
        <v>No</v>
      </c>
      <c r="F76" t="str">
        <v>Daily</v>
      </c>
      <c r="G76">
        <v>30</v>
      </c>
      <c r="H76">
        <v>4</v>
      </c>
      <c r="I76">
        <v>29</v>
      </c>
      <c r="J76">
        <v>119</v>
      </c>
      <c r="K76">
        <v>78</v>
      </c>
      <c r="L76">
        <v>8174</v>
      </c>
      <c r="M76" t="str" cm="1">
        <f t="array" ref="M76">_xlfn.IFS(C76&lt;6,"Poor",C76&lt;=8,"Normal",TRUE,"High")</f>
        <v>Normal</v>
      </c>
    </row>
    <row r="77" spans="1:13" x14ac:dyDescent="0.2">
      <c r="A77">
        <v>76</v>
      </c>
      <c r="B77" cm="1">
        <f t="array" ref="B77:L77">_xlfn.XLOOKUP($A77,Instagram_Usage_Lifestyle_Mini_!$A:$A,Instagram_Usage_Lifestyle_Mini_!$L:$V,"Not Found")</f>
        <v>10.5</v>
      </c>
      <c r="C77">
        <v>7.5</v>
      </c>
      <c r="D77" t="str">
        <v>Average</v>
      </c>
      <c r="E77" t="str">
        <v>No</v>
      </c>
      <c r="F77" t="str">
        <v>Never</v>
      </c>
      <c r="G77">
        <v>21</v>
      </c>
      <c r="H77">
        <v>7</v>
      </c>
      <c r="I77">
        <v>23.3</v>
      </c>
      <c r="J77">
        <v>156</v>
      </c>
      <c r="K77">
        <v>76</v>
      </c>
      <c r="L77">
        <v>8053</v>
      </c>
      <c r="M77" t="str" cm="1">
        <f t="array" ref="M77">_xlfn.IFS(C77&lt;6,"Poor",C77&lt;=8,"Normal",TRUE,"High")</f>
        <v>Normal</v>
      </c>
    </row>
    <row r="78" spans="1:13" x14ac:dyDescent="0.2">
      <c r="A78">
        <v>77</v>
      </c>
      <c r="B78" cm="1">
        <f t="array" ref="B78:L78">_xlfn.XLOOKUP($A78,Instagram_Usage_Lifestyle_Mini_!$A:$A,Instagram_Usage_Lifestyle_Mini_!$L:$V,"Not Found")</f>
        <v>4.5</v>
      </c>
      <c r="C78">
        <v>6.6</v>
      </c>
      <c r="D78" t="str">
        <v>Average</v>
      </c>
      <c r="E78" t="str">
        <v>No</v>
      </c>
      <c r="F78" t="str">
        <v>Several_times_a_week</v>
      </c>
      <c r="G78">
        <v>25</v>
      </c>
      <c r="H78">
        <v>3</v>
      </c>
      <c r="I78">
        <v>28.4</v>
      </c>
      <c r="J78">
        <v>121</v>
      </c>
      <c r="K78">
        <v>81</v>
      </c>
      <c r="L78">
        <v>8000</v>
      </c>
      <c r="M78" t="str" cm="1">
        <f t="array" ref="M78">_xlfn.IFS(C78&lt;6,"Poor",C78&lt;=8,"Normal",TRUE,"High")</f>
        <v>Normal</v>
      </c>
    </row>
    <row r="79" spans="1:13" x14ac:dyDescent="0.2">
      <c r="A79">
        <v>78</v>
      </c>
      <c r="B79" cm="1">
        <f t="array" ref="B79:L79">_xlfn.XLOOKUP($A79,Instagram_Usage_Lifestyle_Mini_!$A:$A,Instagram_Usage_Lifestyle_Mini_!$L:$V,"Not Found")</f>
        <v>13.2</v>
      </c>
      <c r="C79">
        <v>6.8</v>
      </c>
      <c r="D79" t="str">
        <v>Excellent</v>
      </c>
      <c r="E79" t="str">
        <v>No</v>
      </c>
      <c r="F79" t="str">
        <v>Weekly</v>
      </c>
      <c r="G79">
        <v>33</v>
      </c>
      <c r="H79">
        <v>1</v>
      </c>
      <c r="I79">
        <v>19.2</v>
      </c>
      <c r="J79">
        <v>140</v>
      </c>
      <c r="K79">
        <v>81</v>
      </c>
      <c r="L79">
        <v>8090</v>
      </c>
      <c r="M79" t="str" cm="1">
        <f t="array" ref="M79">_xlfn.IFS(C79&lt;6,"Poor",C79&lt;=8,"Normal",TRUE,"High")</f>
        <v>Normal</v>
      </c>
    </row>
    <row r="80" spans="1:13" x14ac:dyDescent="0.2">
      <c r="A80">
        <v>79</v>
      </c>
      <c r="B80" cm="1">
        <f t="array" ref="B80:L80">_xlfn.XLOOKUP($A80,Instagram_Usage_Lifestyle_Mini_!$A:$A,Instagram_Usage_Lifestyle_Mini_!$L:$V,"Not Found")</f>
        <v>7.8</v>
      </c>
      <c r="C80">
        <v>7.6</v>
      </c>
      <c r="D80" t="str">
        <v>Poor</v>
      </c>
      <c r="E80" t="str">
        <v>No</v>
      </c>
      <c r="F80" t="str">
        <v>Never</v>
      </c>
      <c r="G80">
        <v>38</v>
      </c>
      <c r="H80">
        <v>6</v>
      </c>
      <c r="I80">
        <v>24.3</v>
      </c>
      <c r="J80">
        <v>153</v>
      </c>
      <c r="K80">
        <v>82</v>
      </c>
      <c r="L80">
        <v>7749</v>
      </c>
      <c r="M80" t="str" cm="1">
        <f t="array" ref="M80">_xlfn.IFS(C80&lt;6,"Poor",C80&lt;=8,"Normal",TRUE,"High")</f>
        <v>Normal</v>
      </c>
    </row>
    <row r="81" spans="1:13" x14ac:dyDescent="0.2">
      <c r="A81">
        <v>80</v>
      </c>
      <c r="B81" cm="1">
        <f t="array" ref="B81:L81">_xlfn.XLOOKUP($A81,Instagram_Usage_Lifestyle_Mini_!$A:$A,Instagram_Usage_Lifestyle_Mini_!$L:$V,"Not Found")</f>
        <v>5</v>
      </c>
      <c r="C81">
        <v>5.7</v>
      </c>
      <c r="D81" t="str">
        <v>Good</v>
      </c>
      <c r="E81" t="str">
        <v>Yes</v>
      </c>
      <c r="F81" t="str">
        <v>Several_times_a_week</v>
      </c>
      <c r="G81">
        <v>12</v>
      </c>
      <c r="H81">
        <v>8</v>
      </c>
      <c r="I81">
        <v>29.5</v>
      </c>
      <c r="J81">
        <v>132</v>
      </c>
      <c r="K81">
        <v>67</v>
      </c>
      <c r="L81">
        <v>7985</v>
      </c>
      <c r="M81" t="str" cm="1">
        <f t="array" ref="M81">_xlfn.IFS(C81&lt;6,"Poor",C81&lt;=8,"Normal",TRUE,"High")</f>
        <v>Poor</v>
      </c>
    </row>
    <row r="82" spans="1:13" x14ac:dyDescent="0.2">
      <c r="A82">
        <v>81</v>
      </c>
      <c r="B82" cm="1">
        <f t="array" ref="B82:L82">_xlfn.XLOOKUP($A82,Instagram_Usage_Lifestyle_Mini_!$A:$A,Instagram_Usage_Lifestyle_Mini_!$L:$V,"Not Found")</f>
        <v>16</v>
      </c>
      <c r="C82">
        <v>9</v>
      </c>
      <c r="D82" t="str">
        <v>Excellent</v>
      </c>
      <c r="E82" t="str">
        <v>No</v>
      </c>
      <c r="F82" t="str">
        <v>Rarely</v>
      </c>
      <c r="G82">
        <v>36</v>
      </c>
      <c r="H82">
        <v>2</v>
      </c>
      <c r="I82">
        <v>19.8</v>
      </c>
      <c r="J82">
        <v>127</v>
      </c>
      <c r="K82">
        <v>99</v>
      </c>
      <c r="L82">
        <v>7930</v>
      </c>
      <c r="M82" t="str" cm="1">
        <f t="array" ref="M82">_xlfn.IFS(C82&lt;6,"Poor",C82&lt;=8,"Normal",TRUE,"High")</f>
        <v>High</v>
      </c>
    </row>
    <row r="83" spans="1:13" x14ac:dyDescent="0.2">
      <c r="A83">
        <v>82</v>
      </c>
      <c r="B83" cm="1">
        <f t="array" ref="B83:L83">_xlfn.XLOOKUP($A83,Instagram_Usage_Lifestyle_Mini_!$A:$A,Instagram_Usage_Lifestyle_Mini_!$L:$V,"Not Found")</f>
        <v>13.2</v>
      </c>
      <c r="C83">
        <v>6.1</v>
      </c>
      <c r="D83" t="str">
        <v>Average</v>
      </c>
      <c r="E83" t="str">
        <v>No</v>
      </c>
      <c r="F83" t="str">
        <v>Daily</v>
      </c>
      <c r="G83">
        <v>5</v>
      </c>
      <c r="H83">
        <v>4</v>
      </c>
      <c r="I83">
        <v>21.8</v>
      </c>
      <c r="J83">
        <v>90</v>
      </c>
      <c r="K83">
        <v>79</v>
      </c>
      <c r="L83">
        <v>8131</v>
      </c>
      <c r="M83" t="str" cm="1">
        <f t="array" ref="M83">_xlfn.IFS(C83&lt;6,"Poor",C83&lt;=8,"Normal",TRUE,"High")</f>
        <v>Normal</v>
      </c>
    </row>
    <row r="84" spans="1:13" x14ac:dyDescent="0.2">
      <c r="A84">
        <v>83</v>
      </c>
      <c r="B84" cm="1">
        <f t="array" ref="B84:L84">_xlfn.XLOOKUP($A84,Instagram_Usage_Lifestyle_Mini_!$A:$A,Instagram_Usage_Lifestyle_Mini_!$L:$V,"Not Found")</f>
        <v>1.8</v>
      </c>
      <c r="C84">
        <v>7.3</v>
      </c>
      <c r="D84" t="str">
        <v>Excellent</v>
      </c>
      <c r="E84" t="str">
        <v>No</v>
      </c>
      <c r="F84" t="str">
        <v>Never</v>
      </c>
      <c r="G84">
        <v>30</v>
      </c>
      <c r="H84">
        <v>2</v>
      </c>
      <c r="I84">
        <v>28.1</v>
      </c>
      <c r="J84">
        <v>111</v>
      </c>
      <c r="K84">
        <v>89</v>
      </c>
      <c r="L84">
        <v>8134</v>
      </c>
      <c r="M84" t="str" cm="1">
        <f t="array" ref="M84">_xlfn.IFS(C84&lt;6,"Poor",C84&lt;=8,"Normal",TRUE,"High")</f>
        <v>Normal</v>
      </c>
    </row>
    <row r="85" spans="1:13" x14ac:dyDescent="0.2">
      <c r="A85">
        <v>84</v>
      </c>
      <c r="B85" cm="1">
        <f t="array" ref="B85:L85">_xlfn.XLOOKUP($A85,Instagram_Usage_Lifestyle_Mini_!$A:$A,Instagram_Usage_Lifestyle_Mini_!$L:$V,"Not Found")</f>
        <v>16.8</v>
      </c>
      <c r="C85">
        <v>8.6</v>
      </c>
      <c r="D85" t="str">
        <v>Excellent</v>
      </c>
      <c r="E85" t="str">
        <v>No</v>
      </c>
      <c r="F85" t="str">
        <v>Weekly</v>
      </c>
      <c r="G85">
        <v>2</v>
      </c>
      <c r="H85">
        <v>5</v>
      </c>
      <c r="I85">
        <v>20.5</v>
      </c>
      <c r="J85">
        <v>130</v>
      </c>
      <c r="K85">
        <v>96</v>
      </c>
      <c r="L85">
        <v>7983</v>
      </c>
      <c r="M85" t="str" cm="1">
        <f t="array" ref="M85">_xlfn.IFS(C85&lt;6,"Poor",C85&lt;=8,"Normal",TRUE,"High")</f>
        <v>High</v>
      </c>
    </row>
    <row r="86" spans="1:13" x14ac:dyDescent="0.2">
      <c r="A86">
        <v>85</v>
      </c>
      <c r="B86" cm="1">
        <f t="array" ref="B86:L86">_xlfn.XLOOKUP($A86,Instagram_Usage_Lifestyle_Mini_!$A:$A,Instagram_Usage_Lifestyle_Mini_!$L:$V,"Not Found")</f>
        <v>11</v>
      </c>
      <c r="C86">
        <v>8.6999999999999993</v>
      </c>
      <c r="D86" t="str">
        <v>Average</v>
      </c>
      <c r="E86" t="str">
        <v>No</v>
      </c>
      <c r="F86" t="str">
        <v>Rarely</v>
      </c>
      <c r="G86">
        <v>10</v>
      </c>
      <c r="H86">
        <v>5</v>
      </c>
      <c r="I86">
        <v>25.4</v>
      </c>
      <c r="J86">
        <v>157</v>
      </c>
      <c r="K86">
        <v>89</v>
      </c>
      <c r="L86">
        <v>7962</v>
      </c>
      <c r="M86" t="str" cm="1">
        <f t="array" ref="M86">_xlfn.IFS(C86&lt;6,"Poor",C86&lt;=8,"Normal",TRUE,"High")</f>
        <v>High</v>
      </c>
    </row>
    <row r="87" spans="1:13" x14ac:dyDescent="0.2">
      <c r="A87">
        <v>86</v>
      </c>
      <c r="B87" cm="1">
        <f t="array" ref="B87:L87">_xlfn.XLOOKUP($A87,Instagram_Usage_Lifestyle_Mini_!$A:$A,Instagram_Usage_Lifestyle_Mini_!$L:$V,"Not Found")</f>
        <v>4.3</v>
      </c>
      <c r="C87">
        <v>6.2</v>
      </c>
      <c r="D87" t="str">
        <v>Average</v>
      </c>
      <c r="E87" t="str">
        <v>Former</v>
      </c>
      <c r="F87" t="str">
        <v>Weekly</v>
      </c>
      <c r="G87">
        <v>35</v>
      </c>
      <c r="H87">
        <v>6</v>
      </c>
      <c r="I87">
        <v>28.9</v>
      </c>
      <c r="J87">
        <v>95</v>
      </c>
      <c r="K87">
        <v>81</v>
      </c>
      <c r="L87">
        <v>7833</v>
      </c>
      <c r="M87" t="str" cm="1">
        <f t="array" ref="M87">_xlfn.IFS(C87&lt;6,"Poor",C87&lt;=8,"Normal",TRUE,"High")</f>
        <v>Normal</v>
      </c>
    </row>
    <row r="88" spans="1:13" x14ac:dyDescent="0.2">
      <c r="A88">
        <v>87</v>
      </c>
      <c r="B88" cm="1">
        <f t="array" ref="B88:L88">_xlfn.XLOOKUP($A88,Instagram_Usage_Lifestyle_Mini_!$A:$A,Instagram_Usage_Lifestyle_Mini_!$L:$V,"Not Found")</f>
        <v>10.4</v>
      </c>
      <c r="C88">
        <v>6.2</v>
      </c>
      <c r="D88" t="str">
        <v>Average</v>
      </c>
      <c r="E88" t="str">
        <v>No</v>
      </c>
      <c r="F88" t="str">
        <v>Rarely</v>
      </c>
      <c r="G88">
        <v>0</v>
      </c>
      <c r="H88">
        <v>7</v>
      </c>
      <c r="I88">
        <v>35.4</v>
      </c>
      <c r="J88">
        <v>107</v>
      </c>
      <c r="K88">
        <v>96</v>
      </c>
      <c r="L88">
        <v>7979</v>
      </c>
      <c r="M88" t="str" cm="1">
        <f t="array" ref="M88">_xlfn.IFS(C88&lt;6,"Poor",C88&lt;=8,"Normal",TRUE,"High")</f>
        <v>Normal</v>
      </c>
    </row>
    <row r="89" spans="1:13" x14ac:dyDescent="0.2">
      <c r="A89">
        <v>88</v>
      </c>
      <c r="B89" cm="1">
        <f t="array" ref="B89:L89">_xlfn.XLOOKUP($A89,Instagram_Usage_Lifestyle_Mini_!$A:$A,Instagram_Usage_Lifestyle_Mini_!$L:$V,"Not Found")</f>
        <v>2.1</v>
      </c>
      <c r="C89">
        <v>6.9</v>
      </c>
      <c r="D89" t="str">
        <v>Good</v>
      </c>
      <c r="E89" t="str">
        <v>No</v>
      </c>
      <c r="F89" t="str">
        <v>Weekly</v>
      </c>
      <c r="G89">
        <v>6</v>
      </c>
      <c r="H89">
        <v>4</v>
      </c>
      <c r="I89">
        <v>23.1</v>
      </c>
      <c r="J89">
        <v>135</v>
      </c>
      <c r="K89">
        <v>92</v>
      </c>
      <c r="L89">
        <v>7996</v>
      </c>
      <c r="M89" t="str" cm="1">
        <f t="array" ref="M89">_xlfn.IFS(C89&lt;6,"Poor",C89&lt;=8,"Normal",TRUE,"High")</f>
        <v>Normal</v>
      </c>
    </row>
    <row r="90" spans="1:13" x14ac:dyDescent="0.2">
      <c r="A90">
        <v>89</v>
      </c>
      <c r="B90" cm="1">
        <f t="array" ref="B90:L90">_xlfn.XLOOKUP($A90,Instagram_Usage_Lifestyle_Mini_!$A:$A,Instagram_Usage_Lifestyle_Mini_!$L:$V,"Not Found")</f>
        <v>4.0999999999999996</v>
      </c>
      <c r="C90">
        <v>7.1</v>
      </c>
      <c r="D90" t="str">
        <v>Average</v>
      </c>
      <c r="E90" t="str">
        <v>No</v>
      </c>
      <c r="F90" t="str">
        <v>Weekly</v>
      </c>
      <c r="G90">
        <v>39</v>
      </c>
      <c r="H90">
        <v>9</v>
      </c>
      <c r="I90">
        <v>24.3</v>
      </c>
      <c r="J90">
        <v>100</v>
      </c>
      <c r="K90">
        <v>87</v>
      </c>
      <c r="L90">
        <v>8055</v>
      </c>
      <c r="M90" t="str" cm="1">
        <f t="array" ref="M90">_xlfn.IFS(C90&lt;6,"Poor",C90&lt;=8,"Normal",TRUE,"High")</f>
        <v>Normal</v>
      </c>
    </row>
    <row r="91" spans="1:13" x14ac:dyDescent="0.2">
      <c r="A91">
        <v>90</v>
      </c>
      <c r="B91" cm="1">
        <f t="array" ref="B91:L91">_xlfn.XLOOKUP($A91,Instagram_Usage_Lifestyle_Mini_!$A:$A,Instagram_Usage_Lifestyle_Mini_!$L:$V,"Not Found")</f>
        <v>6.6</v>
      </c>
      <c r="C91">
        <v>6.3</v>
      </c>
      <c r="D91" t="str">
        <v>Poor</v>
      </c>
      <c r="E91" t="str">
        <v>No</v>
      </c>
      <c r="F91" t="str">
        <v>Never</v>
      </c>
      <c r="G91">
        <v>6</v>
      </c>
      <c r="H91">
        <v>9</v>
      </c>
      <c r="I91">
        <v>26.4</v>
      </c>
      <c r="J91">
        <v>91</v>
      </c>
      <c r="K91">
        <v>75</v>
      </c>
      <c r="L91">
        <v>8008</v>
      </c>
      <c r="M91" t="str" cm="1">
        <f t="array" ref="M91">_xlfn.IFS(C91&lt;6,"Poor",C91&lt;=8,"Normal",TRUE,"High")</f>
        <v>Normal</v>
      </c>
    </row>
    <row r="92" spans="1:13" x14ac:dyDescent="0.2">
      <c r="A92">
        <v>91</v>
      </c>
      <c r="B92" cm="1">
        <f t="array" ref="B92:L92">_xlfn.XLOOKUP($A92,Instagram_Usage_Lifestyle_Mini_!$A:$A,Instagram_Usage_Lifestyle_Mini_!$L:$V,"Not Found")</f>
        <v>8.6999999999999993</v>
      </c>
      <c r="C92">
        <v>4.7</v>
      </c>
      <c r="D92" t="str">
        <v>Average</v>
      </c>
      <c r="E92" t="str">
        <v>Former</v>
      </c>
      <c r="F92" t="str">
        <v>Weekly</v>
      </c>
      <c r="G92">
        <v>8</v>
      </c>
      <c r="H92">
        <v>1</v>
      </c>
      <c r="I92">
        <v>23.3</v>
      </c>
      <c r="J92">
        <v>101</v>
      </c>
      <c r="K92">
        <v>72</v>
      </c>
      <c r="L92">
        <v>8118</v>
      </c>
      <c r="M92" t="str" cm="1">
        <f t="array" ref="M92">_xlfn.IFS(C92&lt;6,"Poor",C92&lt;=8,"Normal",TRUE,"High")</f>
        <v>Poor</v>
      </c>
    </row>
    <row r="93" spans="1:13" x14ac:dyDescent="0.2">
      <c r="A93">
        <v>92</v>
      </c>
      <c r="B93" cm="1">
        <f t="array" ref="B93:L93">_xlfn.XLOOKUP($A93,Instagram_Usage_Lifestyle_Mini_!$A:$A,Instagram_Usage_Lifestyle_Mini_!$L:$V,"Not Found")</f>
        <v>10.5</v>
      </c>
      <c r="C93">
        <v>5</v>
      </c>
      <c r="D93" t="str">
        <v>Poor</v>
      </c>
      <c r="E93" t="str">
        <v>Former</v>
      </c>
      <c r="F93" t="str">
        <v>Rarely</v>
      </c>
      <c r="G93">
        <v>20</v>
      </c>
      <c r="H93">
        <v>3</v>
      </c>
      <c r="I93">
        <v>26.9</v>
      </c>
      <c r="J93">
        <v>104</v>
      </c>
      <c r="K93">
        <v>62</v>
      </c>
      <c r="L93">
        <v>8076</v>
      </c>
      <c r="M93" t="str" cm="1">
        <f t="array" ref="M93">_xlfn.IFS(C93&lt;6,"Poor",C93&lt;=8,"Normal",TRUE,"High")</f>
        <v>Poor</v>
      </c>
    </row>
    <row r="94" spans="1:13" x14ac:dyDescent="0.2">
      <c r="A94">
        <v>93</v>
      </c>
      <c r="B94" cm="1">
        <f t="array" ref="B94:L94">_xlfn.XLOOKUP($A94,Instagram_Usage_Lifestyle_Mini_!$A:$A,Instagram_Usage_Lifestyle_Mini_!$L:$V,"Not Found")</f>
        <v>9.6999999999999993</v>
      </c>
      <c r="C94">
        <v>5.7</v>
      </c>
      <c r="D94" t="str">
        <v>Average</v>
      </c>
      <c r="E94" t="str">
        <v>No</v>
      </c>
      <c r="F94" t="str">
        <v>Never</v>
      </c>
      <c r="G94">
        <v>14</v>
      </c>
      <c r="H94">
        <v>4</v>
      </c>
      <c r="I94">
        <v>27.2</v>
      </c>
      <c r="J94">
        <v>134</v>
      </c>
      <c r="K94">
        <v>90</v>
      </c>
      <c r="L94">
        <v>8045</v>
      </c>
      <c r="M94" t="str" cm="1">
        <f t="array" ref="M94">_xlfn.IFS(C94&lt;6,"Poor",C94&lt;=8,"Normal",TRUE,"High")</f>
        <v>Poor</v>
      </c>
    </row>
    <row r="95" spans="1:13" x14ac:dyDescent="0.2">
      <c r="A95">
        <v>94</v>
      </c>
      <c r="B95" cm="1">
        <f t="array" ref="B95:L95">_xlfn.XLOOKUP($A95,Instagram_Usage_Lifestyle_Mini_!$A:$A,Instagram_Usage_Lifestyle_Mini_!$L:$V,"Not Found")</f>
        <v>0.3</v>
      </c>
      <c r="C95">
        <v>7.7</v>
      </c>
      <c r="D95" t="str">
        <v>Good</v>
      </c>
      <c r="E95" t="str">
        <v>Yes</v>
      </c>
      <c r="F95" t="str">
        <v>Never</v>
      </c>
      <c r="G95">
        <v>1</v>
      </c>
      <c r="H95">
        <v>6</v>
      </c>
      <c r="I95">
        <v>20.8</v>
      </c>
      <c r="J95">
        <v>153</v>
      </c>
      <c r="K95">
        <v>69</v>
      </c>
      <c r="L95">
        <v>7865</v>
      </c>
      <c r="M95" t="str" cm="1">
        <f t="array" ref="M95">_xlfn.IFS(C95&lt;6,"Poor",C95&lt;=8,"Normal",TRUE,"High")</f>
        <v>Normal</v>
      </c>
    </row>
    <row r="96" spans="1:13" x14ac:dyDescent="0.2">
      <c r="A96">
        <v>95</v>
      </c>
      <c r="B96" cm="1">
        <f t="array" ref="B96:L96">_xlfn.XLOOKUP($A96,Instagram_Usage_Lifestyle_Mini_!$A:$A,Instagram_Usage_Lifestyle_Mini_!$L:$V,"Not Found")</f>
        <v>5.6</v>
      </c>
      <c r="C96">
        <v>5.4</v>
      </c>
      <c r="D96" t="str">
        <v>Average</v>
      </c>
      <c r="E96" t="str">
        <v>No</v>
      </c>
      <c r="F96" t="str">
        <v>Never</v>
      </c>
      <c r="G96">
        <v>17</v>
      </c>
      <c r="H96">
        <v>7</v>
      </c>
      <c r="I96">
        <v>28.5</v>
      </c>
      <c r="J96">
        <v>154</v>
      </c>
      <c r="K96">
        <v>84</v>
      </c>
      <c r="L96">
        <v>8079</v>
      </c>
      <c r="M96" t="str" cm="1">
        <f t="array" ref="M96">_xlfn.IFS(C96&lt;6,"Poor",C96&lt;=8,"Normal",TRUE,"High")</f>
        <v>Poor</v>
      </c>
    </row>
    <row r="97" spans="1:13" x14ac:dyDescent="0.2">
      <c r="A97">
        <v>96</v>
      </c>
      <c r="B97" cm="1">
        <f t="array" ref="B97:L97">_xlfn.XLOOKUP($A97,Instagram_Usage_Lifestyle_Mini_!$A:$A,Instagram_Usage_Lifestyle_Mini_!$L:$V,"Not Found")</f>
        <v>4.2</v>
      </c>
      <c r="C97">
        <v>8.3000000000000007</v>
      </c>
      <c r="D97" t="str">
        <v>Average</v>
      </c>
      <c r="E97" t="str">
        <v>No</v>
      </c>
      <c r="F97" t="str">
        <v>Never</v>
      </c>
      <c r="G97">
        <v>26</v>
      </c>
      <c r="H97">
        <v>2</v>
      </c>
      <c r="I97">
        <v>17.399999999999999</v>
      </c>
      <c r="J97">
        <v>121</v>
      </c>
      <c r="K97">
        <v>63</v>
      </c>
      <c r="L97">
        <v>8101</v>
      </c>
      <c r="M97" t="str" cm="1">
        <f t="array" ref="M97">_xlfn.IFS(C97&lt;6,"Poor",C97&lt;=8,"Normal",TRUE,"High")</f>
        <v>High</v>
      </c>
    </row>
    <row r="98" spans="1:13" x14ac:dyDescent="0.2">
      <c r="A98">
        <v>97</v>
      </c>
      <c r="B98" cm="1">
        <f t="array" ref="B98:L98">_xlfn.XLOOKUP($A98,Instagram_Usage_Lifestyle_Mini_!$A:$A,Instagram_Usage_Lifestyle_Mini_!$L:$V,"Not Found")</f>
        <v>5.9</v>
      </c>
      <c r="C98">
        <v>6.8</v>
      </c>
      <c r="D98" t="str">
        <v>Good</v>
      </c>
      <c r="E98" t="str">
        <v>No</v>
      </c>
      <c r="F98" t="str">
        <v>Rarely</v>
      </c>
      <c r="G98">
        <v>1</v>
      </c>
      <c r="H98">
        <v>5</v>
      </c>
      <c r="I98">
        <v>21.7</v>
      </c>
      <c r="J98">
        <v>136</v>
      </c>
      <c r="K98">
        <v>61</v>
      </c>
      <c r="L98">
        <v>8121</v>
      </c>
      <c r="M98" t="str" cm="1">
        <f t="array" ref="M98">_xlfn.IFS(C98&lt;6,"Poor",C98&lt;=8,"Normal",TRUE,"High")</f>
        <v>Normal</v>
      </c>
    </row>
    <row r="99" spans="1:13" x14ac:dyDescent="0.2">
      <c r="A99">
        <v>98</v>
      </c>
      <c r="B99" cm="1">
        <f t="array" ref="B99:L99">_xlfn.XLOOKUP($A99,Instagram_Usage_Lifestyle_Mini_!$A:$A,Instagram_Usage_Lifestyle_Mini_!$L:$V,"Not Found")</f>
        <v>1.8</v>
      </c>
      <c r="C99">
        <v>7.8</v>
      </c>
      <c r="D99" t="str">
        <v>Excellent</v>
      </c>
      <c r="E99" t="str">
        <v>No</v>
      </c>
      <c r="F99" t="str">
        <v>Never</v>
      </c>
      <c r="G99">
        <v>36</v>
      </c>
      <c r="H99">
        <v>7</v>
      </c>
      <c r="I99">
        <v>21.7</v>
      </c>
      <c r="J99">
        <v>97</v>
      </c>
      <c r="K99">
        <v>76</v>
      </c>
      <c r="L99">
        <v>7907</v>
      </c>
      <c r="M99" t="str" cm="1">
        <f t="array" ref="M99">_xlfn.IFS(C99&lt;6,"Poor",C99&lt;=8,"Normal",TRUE,"High")</f>
        <v>Normal</v>
      </c>
    </row>
    <row r="100" spans="1:13" x14ac:dyDescent="0.2">
      <c r="A100">
        <v>99</v>
      </c>
      <c r="B100" cm="1">
        <f t="array" ref="B100:L100">_xlfn.XLOOKUP($A100,Instagram_Usage_Lifestyle_Mini_!$A:$A,Instagram_Usage_Lifestyle_Mini_!$L:$V,"Not Found")</f>
        <v>4.0999999999999996</v>
      </c>
      <c r="C100">
        <v>6.8</v>
      </c>
      <c r="D100" t="str">
        <v>Average</v>
      </c>
      <c r="E100" t="str">
        <v>No</v>
      </c>
      <c r="F100" t="str">
        <v>Never</v>
      </c>
      <c r="G100">
        <v>11</v>
      </c>
      <c r="H100">
        <v>4</v>
      </c>
      <c r="I100">
        <v>26.4</v>
      </c>
      <c r="J100">
        <v>94</v>
      </c>
      <c r="K100">
        <v>96</v>
      </c>
      <c r="L100">
        <v>7802</v>
      </c>
      <c r="M100" t="str" cm="1">
        <f t="array" ref="M100">_xlfn.IFS(C100&lt;6,"Poor",C100&lt;=8,"Normal",TRUE,"High")</f>
        <v>Normal</v>
      </c>
    </row>
    <row r="101" spans="1:13" x14ac:dyDescent="0.2">
      <c r="A101">
        <v>100</v>
      </c>
      <c r="B101" cm="1">
        <f t="array" ref="B101:L101">_xlfn.XLOOKUP($A101,Instagram_Usage_Lifestyle_Mini_!$A:$A,Instagram_Usage_Lifestyle_Mini_!$L:$V,"Not Found")</f>
        <v>5.6</v>
      </c>
      <c r="C101">
        <v>7.4</v>
      </c>
      <c r="D101" t="str">
        <v>Average</v>
      </c>
      <c r="E101" t="str">
        <v>No</v>
      </c>
      <c r="F101" t="str">
        <v>Weekly</v>
      </c>
      <c r="G101">
        <v>24</v>
      </c>
      <c r="H101">
        <v>4</v>
      </c>
      <c r="I101">
        <v>25.8</v>
      </c>
      <c r="J101">
        <v>131</v>
      </c>
      <c r="K101">
        <v>98</v>
      </c>
      <c r="L101">
        <v>7783</v>
      </c>
      <c r="M101" t="str" cm="1">
        <f t="array" ref="M101">_xlfn.IFS(C101&lt;6,"Poor",C101&lt;=8,"Normal",TRUE,"High")</f>
        <v>Normal</v>
      </c>
    </row>
    <row r="102" spans="1:13" x14ac:dyDescent="0.2">
      <c r="A102">
        <v>101</v>
      </c>
      <c r="B102" cm="1">
        <f t="array" ref="B102:L102">_xlfn.XLOOKUP($A102,Instagram_Usage_Lifestyle_Mini_!$A:$A,Instagram_Usage_Lifestyle_Mini_!$L:$V,"Not Found")</f>
        <v>4</v>
      </c>
      <c r="C102">
        <v>7.9</v>
      </c>
      <c r="D102" t="str">
        <v>Average</v>
      </c>
      <c r="E102" t="str">
        <v>No</v>
      </c>
      <c r="F102" t="str">
        <v>Rarely</v>
      </c>
      <c r="G102">
        <v>11</v>
      </c>
      <c r="H102">
        <v>3</v>
      </c>
      <c r="I102">
        <v>26.5</v>
      </c>
      <c r="J102">
        <v>127</v>
      </c>
      <c r="K102">
        <v>72</v>
      </c>
      <c r="L102">
        <v>8126</v>
      </c>
      <c r="M102" t="str" cm="1">
        <f t="array" ref="M102">_xlfn.IFS(C102&lt;6,"Poor",C102&lt;=8,"Normal",TRUE,"High")</f>
        <v>Normal</v>
      </c>
    </row>
    <row r="103" spans="1:13" x14ac:dyDescent="0.2">
      <c r="A103">
        <v>102</v>
      </c>
      <c r="B103" cm="1">
        <f t="array" ref="B103:L103">_xlfn.XLOOKUP($A103,Instagram_Usage_Lifestyle_Mini_!$A:$A,Instagram_Usage_Lifestyle_Mini_!$L:$V,"Not Found")</f>
        <v>6.6</v>
      </c>
      <c r="C103">
        <v>6.9</v>
      </c>
      <c r="D103" t="str">
        <v>Excellent</v>
      </c>
      <c r="E103" t="str">
        <v>No</v>
      </c>
      <c r="F103" t="str">
        <v>Weekly</v>
      </c>
      <c r="G103">
        <v>40</v>
      </c>
      <c r="H103">
        <v>4</v>
      </c>
      <c r="I103">
        <v>27.6</v>
      </c>
      <c r="J103">
        <v>139</v>
      </c>
      <c r="K103">
        <v>73</v>
      </c>
      <c r="L103">
        <v>7902</v>
      </c>
      <c r="M103" t="str" cm="1">
        <f t="array" ref="M103">_xlfn.IFS(C103&lt;6,"Poor",C103&lt;=8,"Normal",TRUE,"High")</f>
        <v>Normal</v>
      </c>
    </row>
    <row r="104" spans="1:13" x14ac:dyDescent="0.2">
      <c r="A104">
        <v>103</v>
      </c>
      <c r="B104" cm="1">
        <f t="array" ref="B104:L104">_xlfn.XLOOKUP($A104,Instagram_Usage_Lifestyle_Mini_!$A:$A,Instagram_Usage_Lifestyle_Mini_!$L:$V,"Not Found")</f>
        <v>8.1999999999999993</v>
      </c>
      <c r="C104">
        <v>7.6</v>
      </c>
      <c r="D104" t="str">
        <v>Average</v>
      </c>
      <c r="E104" t="str">
        <v>No</v>
      </c>
      <c r="F104" t="str">
        <v>Never</v>
      </c>
      <c r="G104">
        <v>24</v>
      </c>
      <c r="H104">
        <v>6</v>
      </c>
      <c r="I104">
        <v>19.7</v>
      </c>
      <c r="J104">
        <v>150</v>
      </c>
      <c r="K104">
        <v>69</v>
      </c>
      <c r="L104">
        <v>8080</v>
      </c>
      <c r="M104" t="str" cm="1">
        <f t="array" ref="M104">_xlfn.IFS(C104&lt;6,"Poor",C104&lt;=8,"Normal",TRUE,"High")</f>
        <v>Normal</v>
      </c>
    </row>
    <row r="105" spans="1:13" x14ac:dyDescent="0.2">
      <c r="A105">
        <v>104</v>
      </c>
      <c r="B105" cm="1">
        <f t="array" ref="B105:L105">_xlfn.XLOOKUP($A105,Instagram_Usage_Lifestyle_Mini_!$A:$A,Instagram_Usage_Lifestyle_Mini_!$L:$V,"Not Found")</f>
        <v>4.7</v>
      </c>
      <c r="C105">
        <v>7.4</v>
      </c>
      <c r="D105" t="str">
        <v>Good</v>
      </c>
      <c r="E105" t="str">
        <v>No</v>
      </c>
      <c r="F105" t="str">
        <v>Rarely</v>
      </c>
      <c r="G105">
        <v>34</v>
      </c>
      <c r="H105">
        <v>1</v>
      </c>
      <c r="I105">
        <v>24.1</v>
      </c>
      <c r="J105">
        <v>133</v>
      </c>
      <c r="K105">
        <v>87</v>
      </c>
      <c r="L105">
        <v>7960</v>
      </c>
      <c r="M105" t="str" cm="1">
        <f t="array" ref="M105">_xlfn.IFS(C105&lt;6,"Poor",C105&lt;=8,"Normal",TRUE,"High")</f>
        <v>Normal</v>
      </c>
    </row>
    <row r="106" spans="1:13" x14ac:dyDescent="0.2">
      <c r="A106">
        <v>105</v>
      </c>
      <c r="B106" cm="1">
        <f t="array" ref="B106:L106">_xlfn.XLOOKUP($A106,Instagram_Usage_Lifestyle_Mini_!$A:$A,Instagram_Usage_Lifestyle_Mini_!$L:$V,"Not Found")</f>
        <v>7.9</v>
      </c>
      <c r="C106">
        <v>6.4</v>
      </c>
      <c r="D106" t="str">
        <v>Good</v>
      </c>
      <c r="E106" t="str">
        <v>No</v>
      </c>
      <c r="F106" t="str">
        <v>Several_times_a_week</v>
      </c>
      <c r="G106">
        <v>40</v>
      </c>
      <c r="H106">
        <v>7</v>
      </c>
      <c r="I106">
        <v>26.8</v>
      </c>
      <c r="J106">
        <v>153</v>
      </c>
      <c r="K106">
        <v>87</v>
      </c>
      <c r="L106">
        <v>7945</v>
      </c>
      <c r="M106" t="str" cm="1">
        <f t="array" ref="M106">_xlfn.IFS(C106&lt;6,"Poor",C106&lt;=8,"Normal",TRUE,"High")</f>
        <v>Normal</v>
      </c>
    </row>
    <row r="107" spans="1:13" x14ac:dyDescent="0.2">
      <c r="A107">
        <v>106</v>
      </c>
      <c r="B107" cm="1">
        <f t="array" ref="B107:L107">_xlfn.XLOOKUP($A107,Instagram_Usage_Lifestyle_Mini_!$A:$A,Instagram_Usage_Lifestyle_Mini_!$L:$V,"Not Found")</f>
        <v>14.4</v>
      </c>
      <c r="C107">
        <v>6.4</v>
      </c>
      <c r="D107" t="str">
        <v>Average</v>
      </c>
      <c r="E107" t="str">
        <v>No</v>
      </c>
      <c r="F107" t="str">
        <v>Never</v>
      </c>
      <c r="G107">
        <v>32</v>
      </c>
      <c r="H107">
        <v>10</v>
      </c>
      <c r="I107">
        <v>17.3</v>
      </c>
      <c r="J107">
        <v>153</v>
      </c>
      <c r="K107">
        <v>70</v>
      </c>
      <c r="L107">
        <v>8014</v>
      </c>
      <c r="M107" t="str" cm="1">
        <f t="array" ref="M107">_xlfn.IFS(C107&lt;6,"Poor",C107&lt;=8,"Normal",TRUE,"High")</f>
        <v>Normal</v>
      </c>
    </row>
    <row r="108" spans="1:13" x14ac:dyDescent="0.2">
      <c r="A108">
        <v>107</v>
      </c>
      <c r="B108" cm="1">
        <f t="array" ref="B108:L108">_xlfn.XLOOKUP($A108,Instagram_Usage_Lifestyle_Mini_!$A:$A,Instagram_Usage_Lifestyle_Mini_!$L:$V,"Not Found")</f>
        <v>9.1</v>
      </c>
      <c r="C108">
        <v>6.2</v>
      </c>
      <c r="D108" t="str">
        <v>Average</v>
      </c>
      <c r="E108" t="str">
        <v>No</v>
      </c>
      <c r="F108" t="str">
        <v>Rarely</v>
      </c>
      <c r="G108">
        <v>10</v>
      </c>
      <c r="H108">
        <v>8</v>
      </c>
      <c r="I108">
        <v>25</v>
      </c>
      <c r="J108">
        <v>158</v>
      </c>
      <c r="K108">
        <v>73</v>
      </c>
      <c r="L108">
        <v>7912</v>
      </c>
      <c r="M108" t="str" cm="1">
        <f t="array" ref="M108">_xlfn.IFS(C108&lt;6,"Poor",C108&lt;=8,"Normal",TRUE,"High")</f>
        <v>Normal</v>
      </c>
    </row>
    <row r="109" spans="1:13" x14ac:dyDescent="0.2">
      <c r="A109">
        <v>108</v>
      </c>
      <c r="B109" cm="1">
        <f t="array" ref="B109:L109">_xlfn.XLOOKUP($A109,Instagram_Usage_Lifestyle_Mini_!$A:$A,Instagram_Usage_Lifestyle_Mini_!$L:$V,"Not Found")</f>
        <v>4.8</v>
      </c>
      <c r="C109">
        <v>6.3</v>
      </c>
      <c r="D109" t="str">
        <v>Average</v>
      </c>
      <c r="E109" t="str">
        <v>No</v>
      </c>
      <c r="F109" t="str">
        <v>Daily</v>
      </c>
      <c r="G109">
        <v>12</v>
      </c>
      <c r="H109">
        <v>10</v>
      </c>
      <c r="I109">
        <v>22</v>
      </c>
      <c r="J109">
        <v>155</v>
      </c>
      <c r="K109">
        <v>89</v>
      </c>
      <c r="L109">
        <v>7944</v>
      </c>
      <c r="M109" t="str" cm="1">
        <f t="array" ref="M109">_xlfn.IFS(C109&lt;6,"Poor",C109&lt;=8,"Normal",TRUE,"High")</f>
        <v>Normal</v>
      </c>
    </row>
    <row r="110" spans="1:13" x14ac:dyDescent="0.2">
      <c r="A110">
        <v>109</v>
      </c>
      <c r="B110" cm="1">
        <f t="array" ref="B110:L110">_xlfn.XLOOKUP($A110,Instagram_Usage_Lifestyle_Mini_!$A:$A,Instagram_Usage_Lifestyle_Mini_!$L:$V,"Not Found")</f>
        <v>5.2</v>
      </c>
      <c r="C110">
        <v>5.9</v>
      </c>
      <c r="D110" t="str">
        <v>Good</v>
      </c>
      <c r="E110" t="str">
        <v>Former</v>
      </c>
      <c r="F110" t="str">
        <v>Never</v>
      </c>
      <c r="G110">
        <v>30</v>
      </c>
      <c r="H110">
        <v>8</v>
      </c>
      <c r="I110">
        <v>24.4</v>
      </c>
      <c r="J110">
        <v>139</v>
      </c>
      <c r="K110">
        <v>77</v>
      </c>
      <c r="L110">
        <v>8174</v>
      </c>
      <c r="M110" t="str" cm="1">
        <f t="array" ref="M110">_xlfn.IFS(C110&lt;6,"Poor",C110&lt;=8,"Normal",TRUE,"High")</f>
        <v>Poor</v>
      </c>
    </row>
    <row r="111" spans="1:13" x14ac:dyDescent="0.2">
      <c r="A111">
        <v>110</v>
      </c>
      <c r="B111" cm="1">
        <f t="array" ref="B111:L111">_xlfn.XLOOKUP($A111,Instagram_Usage_Lifestyle_Mini_!$A:$A,Instagram_Usage_Lifestyle_Mini_!$L:$V,"Not Found")</f>
        <v>5.0999999999999996</v>
      </c>
      <c r="C111">
        <v>6.9</v>
      </c>
      <c r="D111" t="str">
        <v>Poor</v>
      </c>
      <c r="E111" t="str">
        <v>No</v>
      </c>
      <c r="F111" t="str">
        <v>Daily</v>
      </c>
      <c r="G111">
        <v>40</v>
      </c>
      <c r="H111">
        <v>8</v>
      </c>
      <c r="I111">
        <v>27.1</v>
      </c>
      <c r="J111">
        <v>109</v>
      </c>
      <c r="K111">
        <v>70</v>
      </c>
      <c r="L111">
        <v>8007</v>
      </c>
      <c r="M111" t="str" cm="1">
        <f t="array" ref="M111">_xlfn.IFS(C111&lt;6,"Poor",C111&lt;=8,"Normal",TRUE,"High")</f>
        <v>Normal</v>
      </c>
    </row>
    <row r="112" spans="1:13" x14ac:dyDescent="0.2">
      <c r="A112">
        <v>111</v>
      </c>
      <c r="B112" cm="1">
        <f t="array" ref="B112:L112">_xlfn.XLOOKUP($A112,Instagram_Usage_Lifestyle_Mini_!$A:$A,Instagram_Usage_Lifestyle_Mini_!$L:$V,"Not Found")</f>
        <v>3.2</v>
      </c>
      <c r="C112">
        <v>8.3000000000000007</v>
      </c>
      <c r="D112" t="str">
        <v>Poor</v>
      </c>
      <c r="E112" t="str">
        <v>No</v>
      </c>
      <c r="F112" t="str">
        <v>Weekly</v>
      </c>
      <c r="G112">
        <v>20</v>
      </c>
      <c r="H112">
        <v>9</v>
      </c>
      <c r="I112">
        <v>16.3</v>
      </c>
      <c r="J112">
        <v>118</v>
      </c>
      <c r="K112">
        <v>74</v>
      </c>
      <c r="L112">
        <v>7994</v>
      </c>
      <c r="M112" t="str" cm="1">
        <f t="array" ref="M112">_xlfn.IFS(C112&lt;6,"Poor",C112&lt;=8,"Normal",TRUE,"High")</f>
        <v>High</v>
      </c>
    </row>
    <row r="113" spans="1:13" x14ac:dyDescent="0.2">
      <c r="A113">
        <v>112</v>
      </c>
      <c r="B113" cm="1">
        <f t="array" ref="B113:L113">_xlfn.XLOOKUP($A113,Instagram_Usage_Lifestyle_Mini_!$A:$A,Instagram_Usage_Lifestyle_Mini_!$L:$V,"Not Found")</f>
        <v>11.6</v>
      </c>
      <c r="C113">
        <v>5.6</v>
      </c>
      <c r="D113" t="str">
        <v>Average</v>
      </c>
      <c r="E113" t="str">
        <v>No</v>
      </c>
      <c r="F113" t="str">
        <v>Never</v>
      </c>
      <c r="G113">
        <v>28</v>
      </c>
      <c r="H113">
        <v>6</v>
      </c>
      <c r="I113">
        <v>22.1</v>
      </c>
      <c r="J113">
        <v>141</v>
      </c>
      <c r="K113">
        <v>71</v>
      </c>
      <c r="L113">
        <v>8003</v>
      </c>
      <c r="M113" t="str" cm="1">
        <f t="array" ref="M113">_xlfn.IFS(C113&lt;6,"Poor",C113&lt;=8,"Normal",TRUE,"High")</f>
        <v>Poor</v>
      </c>
    </row>
    <row r="114" spans="1:13" x14ac:dyDescent="0.2">
      <c r="A114">
        <v>113</v>
      </c>
      <c r="B114" cm="1">
        <f t="array" ref="B114:L114">_xlfn.XLOOKUP($A114,Instagram_Usage_Lifestyle_Mini_!$A:$A,Instagram_Usage_Lifestyle_Mini_!$L:$V,"Not Found")</f>
        <v>6</v>
      </c>
      <c r="C114">
        <v>7.3</v>
      </c>
      <c r="D114" t="str">
        <v>Average</v>
      </c>
      <c r="E114" t="str">
        <v>No</v>
      </c>
      <c r="F114" t="str">
        <v>Rarely</v>
      </c>
      <c r="G114">
        <v>34</v>
      </c>
      <c r="H114">
        <v>1</v>
      </c>
      <c r="I114">
        <v>22.3</v>
      </c>
      <c r="J114">
        <v>150</v>
      </c>
      <c r="K114">
        <v>85</v>
      </c>
      <c r="L114">
        <v>7903</v>
      </c>
      <c r="M114" t="str" cm="1">
        <f t="array" ref="M114">_xlfn.IFS(C114&lt;6,"Poor",C114&lt;=8,"Normal",TRUE,"High")</f>
        <v>Normal</v>
      </c>
    </row>
    <row r="115" spans="1:13" x14ac:dyDescent="0.2">
      <c r="A115">
        <v>114</v>
      </c>
      <c r="B115" cm="1">
        <f t="array" ref="B115:L115">_xlfn.XLOOKUP($A115,Instagram_Usage_Lifestyle_Mini_!$A:$A,Instagram_Usage_Lifestyle_Mini_!$L:$V,"Not Found")</f>
        <v>7.4</v>
      </c>
      <c r="C115">
        <v>7.1</v>
      </c>
      <c r="D115" t="str">
        <v>Excellent</v>
      </c>
      <c r="E115" t="str">
        <v>Former</v>
      </c>
      <c r="F115" t="str">
        <v>Rarely</v>
      </c>
      <c r="G115">
        <v>28</v>
      </c>
      <c r="H115">
        <v>7</v>
      </c>
      <c r="I115">
        <v>28.7</v>
      </c>
      <c r="J115">
        <v>121</v>
      </c>
      <c r="K115">
        <v>71</v>
      </c>
      <c r="L115">
        <v>8005</v>
      </c>
      <c r="M115" t="str" cm="1">
        <f t="array" ref="M115">_xlfn.IFS(C115&lt;6,"Poor",C115&lt;=8,"Normal",TRUE,"High")</f>
        <v>Normal</v>
      </c>
    </row>
    <row r="116" spans="1:13" x14ac:dyDescent="0.2">
      <c r="A116">
        <v>115</v>
      </c>
      <c r="B116" cm="1">
        <f t="array" ref="B116:L116">_xlfn.XLOOKUP($A116,Instagram_Usage_Lifestyle_Mini_!$A:$A,Instagram_Usage_Lifestyle_Mini_!$L:$V,"Not Found")</f>
        <v>3.6</v>
      </c>
      <c r="C116">
        <v>6.9</v>
      </c>
      <c r="D116" t="str">
        <v>Very_poor</v>
      </c>
      <c r="E116" t="str">
        <v>No</v>
      </c>
      <c r="F116" t="str">
        <v>Daily</v>
      </c>
      <c r="G116">
        <v>23</v>
      </c>
      <c r="H116">
        <v>6</v>
      </c>
      <c r="I116">
        <v>20.3</v>
      </c>
      <c r="J116">
        <v>105</v>
      </c>
      <c r="K116">
        <v>91</v>
      </c>
      <c r="L116">
        <v>8003</v>
      </c>
      <c r="M116" t="str" cm="1">
        <f t="array" ref="M116">_xlfn.IFS(C116&lt;6,"Poor",C116&lt;=8,"Normal",TRUE,"High")</f>
        <v>Normal</v>
      </c>
    </row>
    <row r="117" spans="1:13" x14ac:dyDescent="0.2">
      <c r="A117">
        <v>116</v>
      </c>
      <c r="B117" cm="1">
        <f t="array" ref="B117:L117">_xlfn.XLOOKUP($A117,Instagram_Usage_Lifestyle_Mini_!$A:$A,Instagram_Usage_Lifestyle_Mini_!$L:$V,"Not Found")</f>
        <v>5</v>
      </c>
      <c r="C117">
        <v>5</v>
      </c>
      <c r="D117" t="str">
        <v>Good</v>
      </c>
      <c r="E117" t="str">
        <v>No</v>
      </c>
      <c r="F117" t="str">
        <v>Weekly</v>
      </c>
      <c r="G117">
        <v>36</v>
      </c>
      <c r="H117">
        <v>3</v>
      </c>
      <c r="I117">
        <v>19.399999999999999</v>
      </c>
      <c r="J117">
        <v>111</v>
      </c>
      <c r="K117">
        <v>77</v>
      </c>
      <c r="L117">
        <v>7829</v>
      </c>
      <c r="M117" t="str" cm="1">
        <f t="array" ref="M117">_xlfn.IFS(C117&lt;6,"Poor",C117&lt;=8,"Normal",TRUE,"High")</f>
        <v>Poor</v>
      </c>
    </row>
    <row r="118" spans="1:13" x14ac:dyDescent="0.2">
      <c r="A118">
        <v>117</v>
      </c>
      <c r="B118" cm="1">
        <f t="array" ref="B118:L118">_xlfn.XLOOKUP($A118,Instagram_Usage_Lifestyle_Mini_!$A:$A,Instagram_Usage_Lifestyle_Mini_!$L:$V,"Not Found")</f>
        <v>2.9</v>
      </c>
      <c r="C118">
        <v>6.2</v>
      </c>
      <c r="D118" t="str">
        <v>Excellent</v>
      </c>
      <c r="E118" t="str">
        <v>No</v>
      </c>
      <c r="F118" t="str">
        <v>Never</v>
      </c>
      <c r="G118">
        <v>8</v>
      </c>
      <c r="H118">
        <v>1</v>
      </c>
      <c r="I118">
        <v>26.1</v>
      </c>
      <c r="J118">
        <v>133</v>
      </c>
      <c r="K118">
        <v>76</v>
      </c>
      <c r="L118">
        <v>7946</v>
      </c>
      <c r="M118" t="str" cm="1">
        <f t="array" ref="M118">_xlfn.IFS(C118&lt;6,"Poor",C118&lt;=8,"Normal",TRUE,"High")</f>
        <v>Normal</v>
      </c>
    </row>
    <row r="119" spans="1:13" x14ac:dyDescent="0.2">
      <c r="A119">
        <v>118</v>
      </c>
      <c r="B119" cm="1">
        <f t="array" ref="B119:L119">_xlfn.XLOOKUP($A119,Instagram_Usage_Lifestyle_Mini_!$A:$A,Instagram_Usage_Lifestyle_Mini_!$L:$V,"Not Found")</f>
        <v>4.9000000000000004</v>
      </c>
      <c r="C119">
        <v>7.1</v>
      </c>
      <c r="D119" t="str">
        <v>Average</v>
      </c>
      <c r="E119" t="str">
        <v>No</v>
      </c>
      <c r="F119" t="str">
        <v>Never</v>
      </c>
      <c r="G119">
        <v>26</v>
      </c>
      <c r="H119">
        <v>10</v>
      </c>
      <c r="I119">
        <v>21.3</v>
      </c>
      <c r="J119">
        <v>142</v>
      </c>
      <c r="K119">
        <v>77</v>
      </c>
      <c r="L119">
        <v>8112</v>
      </c>
      <c r="M119" t="str" cm="1">
        <f t="array" ref="M119">_xlfn.IFS(C119&lt;6,"Poor",C119&lt;=8,"Normal",TRUE,"High")</f>
        <v>Normal</v>
      </c>
    </row>
    <row r="120" spans="1:13" x14ac:dyDescent="0.2">
      <c r="A120">
        <v>119</v>
      </c>
      <c r="B120" cm="1">
        <f t="array" ref="B120:L120">_xlfn.XLOOKUP($A120,Instagram_Usage_Lifestyle_Mini_!$A:$A,Instagram_Usage_Lifestyle_Mini_!$L:$V,"Not Found")</f>
        <v>5.6</v>
      </c>
      <c r="C120">
        <v>7.7</v>
      </c>
      <c r="D120" t="str">
        <v>Good</v>
      </c>
      <c r="E120" t="str">
        <v>No</v>
      </c>
      <c r="F120" t="str">
        <v>Rarely</v>
      </c>
      <c r="G120">
        <v>12</v>
      </c>
      <c r="H120">
        <v>4</v>
      </c>
      <c r="I120">
        <v>23</v>
      </c>
      <c r="J120">
        <v>107</v>
      </c>
      <c r="K120">
        <v>99</v>
      </c>
      <c r="L120">
        <v>7956</v>
      </c>
      <c r="M120" t="str" cm="1">
        <f t="array" ref="M120">_xlfn.IFS(C120&lt;6,"Poor",C120&lt;=8,"Normal",TRUE,"High")</f>
        <v>Normal</v>
      </c>
    </row>
    <row r="121" spans="1:13" x14ac:dyDescent="0.2">
      <c r="A121">
        <v>120</v>
      </c>
      <c r="B121" cm="1">
        <f t="array" ref="B121:L121">_xlfn.XLOOKUP($A121,Instagram_Usage_Lifestyle_Mini_!$A:$A,Instagram_Usage_Lifestyle_Mini_!$L:$V,"Not Found")</f>
        <v>4</v>
      </c>
      <c r="C121">
        <v>8.1</v>
      </c>
      <c r="D121" t="str">
        <v>Good</v>
      </c>
      <c r="E121" t="str">
        <v>No</v>
      </c>
      <c r="F121" t="str">
        <v>Never</v>
      </c>
      <c r="G121">
        <v>23</v>
      </c>
      <c r="H121">
        <v>9</v>
      </c>
      <c r="I121">
        <v>27.2</v>
      </c>
      <c r="J121">
        <v>118</v>
      </c>
      <c r="K121">
        <v>82</v>
      </c>
      <c r="L121">
        <v>8081</v>
      </c>
      <c r="M121" t="str" cm="1">
        <f t="array" ref="M121">_xlfn.IFS(C121&lt;6,"Poor",C121&lt;=8,"Normal",TRUE,"High")</f>
        <v>High</v>
      </c>
    </row>
    <row r="122" spans="1:13" x14ac:dyDescent="0.2">
      <c r="A122">
        <v>121</v>
      </c>
      <c r="B122" cm="1">
        <f t="array" ref="B122:L122">_xlfn.XLOOKUP($A122,Instagram_Usage_Lifestyle_Mini_!$A:$A,Instagram_Usage_Lifestyle_Mini_!$L:$V,"Not Found")</f>
        <v>6.9</v>
      </c>
      <c r="C122">
        <v>8.6</v>
      </c>
      <c r="D122" t="str">
        <v>Excellent</v>
      </c>
      <c r="E122" t="str">
        <v>No</v>
      </c>
      <c r="F122" t="str">
        <v>Rarely</v>
      </c>
      <c r="G122">
        <v>32</v>
      </c>
      <c r="H122">
        <v>7</v>
      </c>
      <c r="I122">
        <v>30.8</v>
      </c>
      <c r="J122">
        <v>106</v>
      </c>
      <c r="K122">
        <v>80</v>
      </c>
      <c r="L122">
        <v>8024</v>
      </c>
      <c r="M122" t="str" cm="1">
        <f t="array" ref="M122">_xlfn.IFS(C122&lt;6,"Poor",C122&lt;=8,"Normal",TRUE,"High")</f>
        <v>High</v>
      </c>
    </row>
    <row r="123" spans="1:13" x14ac:dyDescent="0.2">
      <c r="A123">
        <v>122</v>
      </c>
      <c r="B123" cm="1">
        <f t="array" ref="B123:L123">_xlfn.XLOOKUP($A123,Instagram_Usage_Lifestyle_Mini_!$A:$A,Instagram_Usage_Lifestyle_Mini_!$L:$V,"Not Found")</f>
        <v>2.2000000000000002</v>
      </c>
      <c r="C123">
        <v>7.4</v>
      </c>
      <c r="D123" t="str">
        <v>Very_poor</v>
      </c>
      <c r="E123" t="str">
        <v>Former</v>
      </c>
      <c r="F123" t="str">
        <v>Rarely</v>
      </c>
      <c r="G123">
        <v>21</v>
      </c>
      <c r="H123">
        <v>1</v>
      </c>
      <c r="I123">
        <v>26.5</v>
      </c>
      <c r="J123">
        <v>152</v>
      </c>
      <c r="K123">
        <v>68</v>
      </c>
      <c r="L123">
        <v>8011</v>
      </c>
      <c r="M123" t="str" cm="1">
        <f t="array" ref="M123">_xlfn.IFS(C123&lt;6,"Poor",C123&lt;=8,"Normal",TRUE,"High")</f>
        <v>Normal</v>
      </c>
    </row>
    <row r="124" spans="1:13" x14ac:dyDescent="0.2">
      <c r="A124">
        <v>123</v>
      </c>
      <c r="B124" cm="1">
        <f t="array" ref="B124:L124">_xlfn.XLOOKUP($A124,Instagram_Usage_Lifestyle_Mini_!$A:$A,Instagram_Usage_Lifestyle_Mini_!$L:$V,"Not Found")</f>
        <v>9.3000000000000007</v>
      </c>
      <c r="C124">
        <v>7.6</v>
      </c>
      <c r="D124" t="str">
        <v>Good</v>
      </c>
      <c r="E124" t="str">
        <v>Former</v>
      </c>
      <c r="F124" t="str">
        <v>Rarely</v>
      </c>
      <c r="G124">
        <v>14</v>
      </c>
      <c r="H124">
        <v>4</v>
      </c>
      <c r="I124">
        <v>25.7</v>
      </c>
      <c r="J124">
        <v>145</v>
      </c>
      <c r="K124">
        <v>85</v>
      </c>
      <c r="L124">
        <v>7979</v>
      </c>
      <c r="M124" t="str" cm="1">
        <f t="array" ref="M124">_xlfn.IFS(C124&lt;6,"Poor",C124&lt;=8,"Normal",TRUE,"High")</f>
        <v>Normal</v>
      </c>
    </row>
    <row r="125" spans="1:13" x14ac:dyDescent="0.2">
      <c r="A125">
        <v>124</v>
      </c>
      <c r="B125" cm="1">
        <f t="array" ref="B125:L125">_xlfn.XLOOKUP($A125,Instagram_Usage_Lifestyle_Mini_!$A:$A,Instagram_Usage_Lifestyle_Mini_!$L:$V,"Not Found")</f>
        <v>13.3</v>
      </c>
      <c r="C125">
        <v>6.7</v>
      </c>
      <c r="D125" t="str">
        <v>Good</v>
      </c>
      <c r="E125" t="str">
        <v>Yes</v>
      </c>
      <c r="F125" t="str">
        <v>Never</v>
      </c>
      <c r="G125">
        <v>9</v>
      </c>
      <c r="H125">
        <v>10</v>
      </c>
      <c r="I125">
        <v>24.9</v>
      </c>
      <c r="J125">
        <v>100</v>
      </c>
      <c r="K125">
        <v>60</v>
      </c>
      <c r="L125">
        <v>7942</v>
      </c>
      <c r="M125" t="str" cm="1">
        <f t="array" ref="M125">_xlfn.IFS(C125&lt;6,"Poor",C125&lt;=8,"Normal",TRUE,"High")</f>
        <v>Normal</v>
      </c>
    </row>
    <row r="126" spans="1:13" x14ac:dyDescent="0.2">
      <c r="A126">
        <v>125</v>
      </c>
      <c r="B126" cm="1">
        <f t="array" ref="B126:L126">_xlfn.XLOOKUP($A126,Instagram_Usage_Lifestyle_Mini_!$A:$A,Instagram_Usage_Lifestyle_Mini_!$L:$V,"Not Found")</f>
        <v>5.4</v>
      </c>
      <c r="C126">
        <v>6.8</v>
      </c>
      <c r="D126" t="str">
        <v>Poor</v>
      </c>
      <c r="E126" t="str">
        <v>No</v>
      </c>
      <c r="F126" t="str">
        <v>Never</v>
      </c>
      <c r="G126">
        <v>14</v>
      </c>
      <c r="H126">
        <v>2</v>
      </c>
      <c r="I126">
        <v>20.399999999999999</v>
      </c>
      <c r="J126">
        <v>123</v>
      </c>
      <c r="K126">
        <v>66</v>
      </c>
      <c r="L126">
        <v>8041</v>
      </c>
      <c r="M126" t="str" cm="1">
        <f t="array" ref="M126">_xlfn.IFS(C126&lt;6,"Poor",C126&lt;=8,"Normal",TRUE,"High")</f>
        <v>Normal</v>
      </c>
    </row>
    <row r="127" spans="1:13" x14ac:dyDescent="0.2">
      <c r="A127">
        <v>126</v>
      </c>
      <c r="B127" cm="1">
        <f t="array" ref="B127:L127">_xlfn.XLOOKUP($A127,Instagram_Usage_Lifestyle_Mini_!$A:$A,Instagram_Usage_Lifestyle_Mini_!$L:$V,"Not Found")</f>
        <v>2.8</v>
      </c>
      <c r="C127">
        <v>5.0999999999999996</v>
      </c>
      <c r="D127" t="str">
        <v>Average</v>
      </c>
      <c r="E127" t="str">
        <v>No</v>
      </c>
      <c r="F127" t="str">
        <v>Rarely</v>
      </c>
      <c r="G127">
        <v>22</v>
      </c>
      <c r="H127">
        <v>9</v>
      </c>
      <c r="I127">
        <v>31</v>
      </c>
      <c r="J127">
        <v>97</v>
      </c>
      <c r="K127">
        <v>60</v>
      </c>
      <c r="L127">
        <v>8067</v>
      </c>
      <c r="M127" t="str" cm="1">
        <f t="array" ref="M127">_xlfn.IFS(C127&lt;6,"Poor",C127&lt;=8,"Normal",TRUE,"High")</f>
        <v>Poor</v>
      </c>
    </row>
    <row r="128" spans="1:13" x14ac:dyDescent="0.2">
      <c r="A128">
        <v>127</v>
      </c>
      <c r="B128" cm="1">
        <f t="array" ref="B128:L128">_xlfn.XLOOKUP($A128,Instagram_Usage_Lifestyle_Mini_!$A:$A,Instagram_Usage_Lifestyle_Mini_!$L:$V,"Not Found")</f>
        <v>5.5</v>
      </c>
      <c r="C128">
        <v>5.8</v>
      </c>
      <c r="D128" t="str">
        <v>Average</v>
      </c>
      <c r="E128" t="str">
        <v>No</v>
      </c>
      <c r="F128" t="str">
        <v>Weekly</v>
      </c>
      <c r="G128">
        <v>15</v>
      </c>
      <c r="H128">
        <v>9</v>
      </c>
      <c r="I128">
        <v>30.8</v>
      </c>
      <c r="J128">
        <v>158</v>
      </c>
      <c r="K128">
        <v>67</v>
      </c>
      <c r="L128">
        <v>7931</v>
      </c>
      <c r="M128" t="str" cm="1">
        <f t="array" ref="M128">_xlfn.IFS(C128&lt;6,"Poor",C128&lt;=8,"Normal",TRUE,"High")</f>
        <v>Poor</v>
      </c>
    </row>
    <row r="129" spans="1:13" x14ac:dyDescent="0.2">
      <c r="A129">
        <v>128</v>
      </c>
      <c r="B129" cm="1">
        <f t="array" ref="B129:L129">_xlfn.XLOOKUP($A129,Instagram_Usage_Lifestyle_Mini_!$A:$A,Instagram_Usage_Lifestyle_Mini_!$L:$V,"Not Found")</f>
        <v>12.7</v>
      </c>
      <c r="C129">
        <v>8.9</v>
      </c>
      <c r="D129" t="str">
        <v>Excellent</v>
      </c>
      <c r="E129" t="str">
        <v>No</v>
      </c>
      <c r="F129" t="str">
        <v>Never</v>
      </c>
      <c r="G129">
        <v>31</v>
      </c>
      <c r="H129">
        <v>3</v>
      </c>
      <c r="I129">
        <v>21.9</v>
      </c>
      <c r="J129">
        <v>101</v>
      </c>
      <c r="K129">
        <v>69</v>
      </c>
      <c r="L129">
        <v>7971</v>
      </c>
      <c r="M129" t="str" cm="1">
        <f t="array" ref="M129">_xlfn.IFS(C129&lt;6,"Poor",C129&lt;=8,"Normal",TRUE,"High")</f>
        <v>High</v>
      </c>
    </row>
    <row r="130" spans="1:13" x14ac:dyDescent="0.2">
      <c r="A130">
        <v>129</v>
      </c>
      <c r="B130" cm="1">
        <f t="array" ref="B130:L130">_xlfn.XLOOKUP($A130,Instagram_Usage_Lifestyle_Mini_!$A:$A,Instagram_Usage_Lifestyle_Mini_!$L:$V,"Not Found")</f>
        <v>13.5</v>
      </c>
      <c r="C130">
        <v>6.2</v>
      </c>
      <c r="D130" t="str">
        <v>Very_poor</v>
      </c>
      <c r="E130" t="str">
        <v>No</v>
      </c>
      <c r="F130" t="str">
        <v>Never</v>
      </c>
      <c r="G130">
        <v>16</v>
      </c>
      <c r="H130">
        <v>8</v>
      </c>
      <c r="I130">
        <v>27.2</v>
      </c>
      <c r="J130">
        <v>122</v>
      </c>
      <c r="K130">
        <v>92</v>
      </c>
      <c r="L130">
        <v>7958</v>
      </c>
      <c r="M130" t="str" cm="1">
        <f t="array" ref="M130">_xlfn.IFS(C130&lt;6,"Poor",C130&lt;=8,"Normal",TRUE,"High")</f>
        <v>Normal</v>
      </c>
    </row>
    <row r="131" spans="1:13" x14ac:dyDescent="0.2">
      <c r="A131">
        <v>130</v>
      </c>
      <c r="B131" cm="1">
        <f t="array" ref="B131:L131">_xlfn.XLOOKUP($A131,Instagram_Usage_Lifestyle_Mini_!$A:$A,Instagram_Usage_Lifestyle_Mini_!$L:$V,"Not Found")</f>
        <v>2.6</v>
      </c>
      <c r="C131">
        <v>8.6</v>
      </c>
      <c r="D131" t="str">
        <v>Good</v>
      </c>
      <c r="E131" t="str">
        <v>Former</v>
      </c>
      <c r="F131" t="str">
        <v>Daily</v>
      </c>
      <c r="G131">
        <v>5</v>
      </c>
      <c r="H131">
        <v>8</v>
      </c>
      <c r="I131">
        <v>26.8</v>
      </c>
      <c r="J131">
        <v>115</v>
      </c>
      <c r="K131">
        <v>62</v>
      </c>
      <c r="L131">
        <v>8080</v>
      </c>
      <c r="M131" t="str" cm="1">
        <f t="array" ref="M131">_xlfn.IFS(C131&lt;6,"Poor",C131&lt;=8,"Normal",TRUE,"High")</f>
        <v>High</v>
      </c>
    </row>
    <row r="132" spans="1:13" x14ac:dyDescent="0.2">
      <c r="A132">
        <v>131</v>
      </c>
      <c r="B132" cm="1">
        <f t="array" ref="B132:L132">_xlfn.XLOOKUP($A132,Instagram_Usage_Lifestyle_Mini_!$A:$A,Instagram_Usage_Lifestyle_Mini_!$L:$V,"Not Found")</f>
        <v>13.2</v>
      </c>
      <c r="C132">
        <v>7.3</v>
      </c>
      <c r="D132" t="str">
        <v>Poor</v>
      </c>
      <c r="E132" t="str">
        <v>No</v>
      </c>
      <c r="F132" t="str">
        <v>Several_times_a_week</v>
      </c>
      <c r="G132">
        <v>26</v>
      </c>
      <c r="H132">
        <v>3</v>
      </c>
      <c r="I132">
        <v>27.7</v>
      </c>
      <c r="J132">
        <v>152</v>
      </c>
      <c r="K132">
        <v>67</v>
      </c>
      <c r="L132">
        <v>8037</v>
      </c>
      <c r="M132" t="str" cm="1">
        <f t="array" ref="M132">_xlfn.IFS(C132&lt;6,"Poor",C132&lt;=8,"Normal",TRUE,"High")</f>
        <v>Normal</v>
      </c>
    </row>
    <row r="133" spans="1:13" x14ac:dyDescent="0.2">
      <c r="A133">
        <v>132</v>
      </c>
      <c r="B133" cm="1">
        <f t="array" ref="B133:L133">_xlfn.XLOOKUP($A133,Instagram_Usage_Lifestyle_Mini_!$A:$A,Instagram_Usage_Lifestyle_Mini_!$L:$V,"Not Found")</f>
        <v>8</v>
      </c>
      <c r="C133">
        <v>7.7</v>
      </c>
      <c r="D133" t="str">
        <v>Average</v>
      </c>
      <c r="E133" t="str">
        <v>No</v>
      </c>
      <c r="F133" t="str">
        <v>Rarely</v>
      </c>
      <c r="G133">
        <v>30</v>
      </c>
      <c r="H133">
        <v>6</v>
      </c>
      <c r="I133">
        <v>20.7</v>
      </c>
      <c r="J133">
        <v>143</v>
      </c>
      <c r="K133">
        <v>99</v>
      </c>
      <c r="L133">
        <v>8104</v>
      </c>
      <c r="M133" t="str" cm="1">
        <f t="array" ref="M133">_xlfn.IFS(C133&lt;6,"Poor",C133&lt;=8,"Normal",TRUE,"High")</f>
        <v>Normal</v>
      </c>
    </row>
    <row r="134" spans="1:13" x14ac:dyDescent="0.2">
      <c r="A134">
        <v>133</v>
      </c>
      <c r="B134" cm="1">
        <f t="array" ref="B134:L134">_xlfn.XLOOKUP($A134,Instagram_Usage_Lifestyle_Mini_!$A:$A,Instagram_Usage_Lifestyle_Mini_!$L:$V,"Not Found")</f>
        <v>6.5</v>
      </c>
      <c r="C134">
        <v>7.1</v>
      </c>
      <c r="D134" t="str">
        <v>Poor</v>
      </c>
      <c r="E134" t="str">
        <v>No</v>
      </c>
      <c r="F134" t="str">
        <v>Weekly</v>
      </c>
      <c r="G134">
        <v>29</v>
      </c>
      <c r="H134">
        <v>1</v>
      </c>
      <c r="I134">
        <v>20.3</v>
      </c>
      <c r="J134">
        <v>156</v>
      </c>
      <c r="K134">
        <v>87</v>
      </c>
      <c r="L134">
        <v>7969</v>
      </c>
      <c r="M134" t="str" cm="1">
        <f t="array" ref="M134">_xlfn.IFS(C134&lt;6,"Poor",C134&lt;=8,"Normal",TRUE,"High")</f>
        <v>Normal</v>
      </c>
    </row>
    <row r="135" spans="1:13" x14ac:dyDescent="0.2">
      <c r="A135">
        <v>134</v>
      </c>
      <c r="B135" cm="1">
        <f t="array" ref="B135:L135">_xlfn.XLOOKUP($A135,Instagram_Usage_Lifestyle_Mini_!$A:$A,Instagram_Usage_Lifestyle_Mini_!$L:$V,"Not Found")</f>
        <v>5</v>
      </c>
      <c r="C135">
        <v>7.6</v>
      </c>
      <c r="D135" t="str">
        <v>Excellent</v>
      </c>
      <c r="E135" t="str">
        <v>No</v>
      </c>
      <c r="F135" t="str">
        <v>Never</v>
      </c>
      <c r="G135">
        <v>38</v>
      </c>
      <c r="H135">
        <v>3</v>
      </c>
      <c r="I135">
        <v>20.399999999999999</v>
      </c>
      <c r="J135">
        <v>97</v>
      </c>
      <c r="K135">
        <v>77</v>
      </c>
      <c r="L135">
        <v>8002</v>
      </c>
      <c r="M135" t="str" cm="1">
        <f t="array" ref="M135">_xlfn.IFS(C135&lt;6,"Poor",C135&lt;=8,"Normal",TRUE,"High")</f>
        <v>Normal</v>
      </c>
    </row>
    <row r="136" spans="1:13" x14ac:dyDescent="0.2">
      <c r="A136">
        <v>135</v>
      </c>
      <c r="B136" cm="1">
        <f t="array" ref="B136:L136">_xlfn.XLOOKUP($A136,Instagram_Usage_Lifestyle_Mini_!$A:$A,Instagram_Usage_Lifestyle_Mini_!$L:$V,"Not Found")</f>
        <v>3.3</v>
      </c>
      <c r="C136">
        <v>6</v>
      </c>
      <c r="D136" t="str">
        <v>Very_poor</v>
      </c>
      <c r="E136" t="str">
        <v>No</v>
      </c>
      <c r="F136" t="str">
        <v>Rarely</v>
      </c>
      <c r="G136">
        <v>22</v>
      </c>
      <c r="H136">
        <v>10</v>
      </c>
      <c r="I136">
        <v>20.399999999999999</v>
      </c>
      <c r="J136">
        <v>117</v>
      </c>
      <c r="K136">
        <v>97</v>
      </c>
      <c r="L136">
        <v>7946</v>
      </c>
      <c r="M136" t="str" cm="1">
        <f t="array" ref="M136">_xlfn.IFS(C136&lt;6,"Poor",C136&lt;=8,"Normal",TRUE,"High")</f>
        <v>Normal</v>
      </c>
    </row>
    <row r="137" spans="1:13" x14ac:dyDescent="0.2">
      <c r="A137">
        <v>136</v>
      </c>
      <c r="B137" cm="1">
        <f t="array" ref="B137:L137">_xlfn.XLOOKUP($A137,Instagram_Usage_Lifestyle_Mini_!$A:$A,Instagram_Usage_Lifestyle_Mini_!$L:$V,"Not Found")</f>
        <v>5.3</v>
      </c>
      <c r="C137">
        <v>7.4</v>
      </c>
      <c r="D137" t="str">
        <v>Average</v>
      </c>
      <c r="E137" t="str">
        <v>No</v>
      </c>
      <c r="F137" t="str">
        <v>Weekly</v>
      </c>
      <c r="G137">
        <v>22</v>
      </c>
      <c r="H137">
        <v>4</v>
      </c>
      <c r="I137">
        <v>19.8</v>
      </c>
      <c r="J137">
        <v>130</v>
      </c>
      <c r="K137">
        <v>85</v>
      </c>
      <c r="L137">
        <v>8078</v>
      </c>
      <c r="M137" t="str" cm="1">
        <f t="array" ref="M137">_xlfn.IFS(C137&lt;6,"Poor",C137&lt;=8,"Normal",TRUE,"High")</f>
        <v>Normal</v>
      </c>
    </row>
    <row r="138" spans="1:13" x14ac:dyDescent="0.2">
      <c r="A138">
        <v>137</v>
      </c>
      <c r="B138" cm="1">
        <f t="array" ref="B138:L138">_xlfn.XLOOKUP($A138,Instagram_Usage_Lifestyle_Mini_!$A:$A,Instagram_Usage_Lifestyle_Mini_!$L:$V,"Not Found")</f>
        <v>6.7</v>
      </c>
      <c r="C138">
        <v>6.6</v>
      </c>
      <c r="D138" t="str">
        <v>Very_poor</v>
      </c>
      <c r="E138" t="str">
        <v>No</v>
      </c>
      <c r="F138" t="str">
        <v>Never</v>
      </c>
      <c r="G138">
        <v>35</v>
      </c>
      <c r="H138">
        <v>1</v>
      </c>
      <c r="I138">
        <v>28.1</v>
      </c>
      <c r="J138">
        <v>158</v>
      </c>
      <c r="K138">
        <v>83</v>
      </c>
      <c r="L138">
        <v>7998</v>
      </c>
      <c r="M138" t="str" cm="1">
        <f t="array" ref="M138">_xlfn.IFS(C138&lt;6,"Poor",C138&lt;=8,"Normal",TRUE,"High")</f>
        <v>Normal</v>
      </c>
    </row>
    <row r="139" spans="1:13" x14ac:dyDescent="0.2">
      <c r="A139">
        <v>138</v>
      </c>
      <c r="B139" cm="1">
        <f t="array" ref="B139:L139">_xlfn.XLOOKUP($A139,Instagram_Usage_Lifestyle_Mini_!$A:$A,Instagram_Usage_Lifestyle_Mini_!$L:$V,"Not Found")</f>
        <v>1</v>
      </c>
      <c r="C139">
        <v>5.9</v>
      </c>
      <c r="D139" t="str">
        <v>Average</v>
      </c>
      <c r="E139" t="str">
        <v>Yes</v>
      </c>
      <c r="F139" t="str">
        <v>Rarely</v>
      </c>
      <c r="G139">
        <v>34</v>
      </c>
      <c r="H139">
        <v>1</v>
      </c>
      <c r="I139">
        <v>24.6</v>
      </c>
      <c r="J139">
        <v>133</v>
      </c>
      <c r="K139">
        <v>69</v>
      </c>
      <c r="L139">
        <v>8084</v>
      </c>
      <c r="M139" t="str" cm="1">
        <f t="array" ref="M139">_xlfn.IFS(C139&lt;6,"Poor",C139&lt;=8,"Normal",TRUE,"High")</f>
        <v>Poor</v>
      </c>
    </row>
    <row r="140" spans="1:13" x14ac:dyDescent="0.2">
      <c r="A140">
        <v>139</v>
      </c>
      <c r="B140" cm="1">
        <f t="array" ref="B140:L140">_xlfn.XLOOKUP($A140,Instagram_Usage_Lifestyle_Mini_!$A:$A,Instagram_Usage_Lifestyle_Mini_!$L:$V,"Not Found")</f>
        <v>4.7</v>
      </c>
      <c r="C140">
        <v>6.9</v>
      </c>
      <c r="D140" t="str">
        <v>Poor</v>
      </c>
      <c r="E140" t="str">
        <v>Yes</v>
      </c>
      <c r="F140" t="str">
        <v>Never</v>
      </c>
      <c r="G140">
        <v>19</v>
      </c>
      <c r="H140">
        <v>10</v>
      </c>
      <c r="I140">
        <v>21.4</v>
      </c>
      <c r="J140">
        <v>130</v>
      </c>
      <c r="K140">
        <v>88</v>
      </c>
      <c r="L140">
        <v>8121</v>
      </c>
      <c r="M140" t="str" cm="1">
        <f t="array" ref="M140">_xlfn.IFS(C140&lt;6,"Poor",C140&lt;=8,"Normal",TRUE,"High")</f>
        <v>Normal</v>
      </c>
    </row>
    <row r="141" spans="1:13" x14ac:dyDescent="0.2">
      <c r="A141">
        <v>140</v>
      </c>
      <c r="B141" cm="1">
        <f t="array" ref="B141:L141">_xlfn.XLOOKUP($A141,Instagram_Usage_Lifestyle_Mini_!$A:$A,Instagram_Usage_Lifestyle_Mini_!$L:$V,"Not Found")</f>
        <v>5.6</v>
      </c>
      <c r="C141">
        <v>9</v>
      </c>
      <c r="D141" t="str">
        <v>Good</v>
      </c>
      <c r="E141" t="str">
        <v>No</v>
      </c>
      <c r="F141" t="str">
        <v>Rarely</v>
      </c>
      <c r="G141">
        <v>5</v>
      </c>
      <c r="H141">
        <v>2</v>
      </c>
      <c r="I141">
        <v>21</v>
      </c>
      <c r="J141">
        <v>123</v>
      </c>
      <c r="K141">
        <v>77</v>
      </c>
      <c r="L141">
        <v>8052</v>
      </c>
      <c r="M141" t="str" cm="1">
        <f t="array" ref="M141">_xlfn.IFS(C141&lt;6,"Poor",C141&lt;=8,"Normal",TRUE,"High")</f>
        <v>High</v>
      </c>
    </row>
    <row r="142" spans="1:13" x14ac:dyDescent="0.2">
      <c r="A142">
        <v>141</v>
      </c>
      <c r="B142" cm="1">
        <f t="array" ref="B142:L142">_xlfn.XLOOKUP($A142,Instagram_Usage_Lifestyle_Mini_!$A:$A,Instagram_Usage_Lifestyle_Mini_!$L:$V,"Not Found")</f>
        <v>6.2</v>
      </c>
      <c r="C142">
        <v>6.8</v>
      </c>
      <c r="D142" t="str">
        <v>Very_poor</v>
      </c>
      <c r="E142" t="str">
        <v>No</v>
      </c>
      <c r="F142" t="str">
        <v>Rarely</v>
      </c>
      <c r="G142">
        <v>8</v>
      </c>
      <c r="H142">
        <v>4</v>
      </c>
      <c r="I142">
        <v>29.5</v>
      </c>
      <c r="J142">
        <v>91</v>
      </c>
      <c r="K142">
        <v>70</v>
      </c>
      <c r="L142">
        <v>7834</v>
      </c>
      <c r="M142" t="str" cm="1">
        <f t="array" ref="M142">_xlfn.IFS(C142&lt;6,"Poor",C142&lt;=8,"Normal",TRUE,"High")</f>
        <v>Normal</v>
      </c>
    </row>
    <row r="143" spans="1:13" x14ac:dyDescent="0.2">
      <c r="A143">
        <v>142</v>
      </c>
      <c r="B143" cm="1">
        <f t="array" ref="B143:L143">_xlfn.XLOOKUP($A143,Instagram_Usage_Lifestyle_Mini_!$A:$A,Instagram_Usage_Lifestyle_Mini_!$L:$V,"Not Found")</f>
        <v>10.199999999999999</v>
      </c>
      <c r="C143">
        <v>7.6</v>
      </c>
      <c r="D143" t="str">
        <v>Very_poor</v>
      </c>
      <c r="E143" t="str">
        <v>Former</v>
      </c>
      <c r="F143" t="str">
        <v>Daily</v>
      </c>
      <c r="G143">
        <v>27</v>
      </c>
      <c r="H143">
        <v>5</v>
      </c>
      <c r="I143">
        <v>32</v>
      </c>
      <c r="J143">
        <v>146</v>
      </c>
      <c r="K143">
        <v>96</v>
      </c>
      <c r="L143">
        <v>7953</v>
      </c>
      <c r="M143" t="str" cm="1">
        <f t="array" ref="M143">_xlfn.IFS(C143&lt;6,"Poor",C143&lt;=8,"Normal",TRUE,"High")</f>
        <v>Normal</v>
      </c>
    </row>
    <row r="144" spans="1:13" x14ac:dyDescent="0.2">
      <c r="A144">
        <v>143</v>
      </c>
      <c r="B144" cm="1">
        <f t="array" ref="B144:L144">_xlfn.XLOOKUP($A144,Instagram_Usage_Lifestyle_Mini_!$A:$A,Instagram_Usage_Lifestyle_Mini_!$L:$V,"Not Found")</f>
        <v>5.8</v>
      </c>
      <c r="C144">
        <v>6.1</v>
      </c>
      <c r="D144" t="str">
        <v>Very_poor</v>
      </c>
      <c r="E144" t="str">
        <v>No</v>
      </c>
      <c r="F144" t="str">
        <v>Weekly</v>
      </c>
      <c r="G144">
        <v>15</v>
      </c>
      <c r="H144">
        <v>10</v>
      </c>
      <c r="I144">
        <v>22.3</v>
      </c>
      <c r="J144">
        <v>147</v>
      </c>
      <c r="K144">
        <v>61</v>
      </c>
      <c r="L144">
        <v>8023</v>
      </c>
      <c r="M144" t="str" cm="1">
        <f t="array" ref="M144">_xlfn.IFS(C144&lt;6,"Poor",C144&lt;=8,"Normal",TRUE,"High")</f>
        <v>Normal</v>
      </c>
    </row>
    <row r="145" spans="1:13" x14ac:dyDescent="0.2">
      <c r="A145">
        <v>144</v>
      </c>
      <c r="B145" cm="1">
        <f t="array" ref="B145:L145">_xlfn.XLOOKUP($A145,Instagram_Usage_Lifestyle_Mini_!$A:$A,Instagram_Usage_Lifestyle_Mini_!$L:$V,"Not Found")</f>
        <v>7.1</v>
      </c>
      <c r="C145">
        <v>6.3</v>
      </c>
      <c r="D145" t="str">
        <v>Average</v>
      </c>
      <c r="E145" t="str">
        <v>Former</v>
      </c>
      <c r="F145" t="str">
        <v>Rarely</v>
      </c>
      <c r="G145">
        <v>26</v>
      </c>
      <c r="H145">
        <v>10</v>
      </c>
      <c r="I145">
        <v>18.5</v>
      </c>
      <c r="J145">
        <v>95</v>
      </c>
      <c r="K145">
        <v>73</v>
      </c>
      <c r="L145">
        <v>7997</v>
      </c>
      <c r="M145" t="str" cm="1">
        <f t="array" ref="M145">_xlfn.IFS(C145&lt;6,"Poor",C145&lt;=8,"Normal",TRUE,"High")</f>
        <v>Normal</v>
      </c>
    </row>
    <row r="146" spans="1:13" x14ac:dyDescent="0.2">
      <c r="A146">
        <v>145</v>
      </c>
      <c r="B146" cm="1">
        <f t="array" ref="B146:L146">_xlfn.XLOOKUP($A146,Instagram_Usage_Lifestyle_Mini_!$A:$A,Instagram_Usage_Lifestyle_Mini_!$L:$V,"Not Found")</f>
        <v>6.3</v>
      </c>
      <c r="C146">
        <v>7.9</v>
      </c>
      <c r="D146" t="str">
        <v>Excellent</v>
      </c>
      <c r="E146" t="str">
        <v>Yes</v>
      </c>
      <c r="F146" t="str">
        <v>Rarely</v>
      </c>
      <c r="G146">
        <v>28</v>
      </c>
      <c r="H146">
        <v>8</v>
      </c>
      <c r="I146">
        <v>24.9</v>
      </c>
      <c r="J146">
        <v>150</v>
      </c>
      <c r="K146">
        <v>80</v>
      </c>
      <c r="L146">
        <v>8043</v>
      </c>
      <c r="M146" t="str" cm="1">
        <f t="array" ref="M146">_xlfn.IFS(C146&lt;6,"Poor",C146&lt;=8,"Normal",TRUE,"High")</f>
        <v>Normal</v>
      </c>
    </row>
    <row r="147" spans="1:13" x14ac:dyDescent="0.2">
      <c r="A147">
        <v>146</v>
      </c>
      <c r="B147" cm="1">
        <f t="array" ref="B147:L147">_xlfn.XLOOKUP($A147,Instagram_Usage_Lifestyle_Mini_!$A:$A,Instagram_Usage_Lifestyle_Mini_!$L:$V,"Not Found")</f>
        <v>6.2</v>
      </c>
      <c r="C147">
        <v>4.7</v>
      </c>
      <c r="D147" t="str">
        <v>Excellent</v>
      </c>
      <c r="E147" t="str">
        <v>No</v>
      </c>
      <c r="F147" t="str">
        <v>Weekly</v>
      </c>
      <c r="G147">
        <v>10</v>
      </c>
      <c r="H147">
        <v>4</v>
      </c>
      <c r="I147">
        <v>36.9</v>
      </c>
      <c r="J147">
        <v>145</v>
      </c>
      <c r="K147">
        <v>75</v>
      </c>
      <c r="L147">
        <v>7909</v>
      </c>
      <c r="M147" t="str" cm="1">
        <f t="array" ref="M147">_xlfn.IFS(C147&lt;6,"Poor",C147&lt;=8,"Normal",TRUE,"High")</f>
        <v>Poor</v>
      </c>
    </row>
    <row r="148" spans="1:13" x14ac:dyDescent="0.2">
      <c r="A148">
        <v>147</v>
      </c>
      <c r="B148" cm="1">
        <f t="array" ref="B148:L148">_xlfn.XLOOKUP($A148,Instagram_Usage_Lifestyle_Mini_!$A:$A,Instagram_Usage_Lifestyle_Mini_!$L:$V,"Not Found")</f>
        <v>11.3</v>
      </c>
      <c r="C148">
        <v>8.4</v>
      </c>
      <c r="D148" t="str">
        <v>Excellent</v>
      </c>
      <c r="E148" t="str">
        <v>No</v>
      </c>
      <c r="F148" t="str">
        <v>Never</v>
      </c>
      <c r="G148">
        <v>25</v>
      </c>
      <c r="H148">
        <v>6</v>
      </c>
      <c r="I148">
        <v>24.5</v>
      </c>
      <c r="J148">
        <v>134</v>
      </c>
      <c r="K148">
        <v>95</v>
      </c>
      <c r="L148">
        <v>7935</v>
      </c>
      <c r="M148" t="str" cm="1">
        <f t="array" ref="M148">_xlfn.IFS(C148&lt;6,"Poor",C148&lt;=8,"Normal",TRUE,"High")</f>
        <v>High</v>
      </c>
    </row>
    <row r="149" spans="1:13" x14ac:dyDescent="0.2">
      <c r="A149">
        <v>148</v>
      </c>
      <c r="B149" cm="1">
        <f t="array" ref="B149:L149">_xlfn.XLOOKUP($A149,Instagram_Usage_Lifestyle_Mini_!$A:$A,Instagram_Usage_Lifestyle_Mini_!$L:$V,"Not Found")</f>
        <v>7.6</v>
      </c>
      <c r="C149">
        <v>6.4</v>
      </c>
      <c r="D149" t="str">
        <v>Very_poor</v>
      </c>
      <c r="E149" t="str">
        <v>No</v>
      </c>
      <c r="F149" t="str">
        <v>Never</v>
      </c>
      <c r="G149">
        <v>17</v>
      </c>
      <c r="H149">
        <v>5</v>
      </c>
      <c r="I149">
        <v>27.4</v>
      </c>
      <c r="J149">
        <v>111</v>
      </c>
      <c r="K149">
        <v>99</v>
      </c>
      <c r="L149">
        <v>8156</v>
      </c>
      <c r="M149" t="str" cm="1">
        <f t="array" ref="M149">_xlfn.IFS(C149&lt;6,"Poor",C149&lt;=8,"Normal",TRUE,"High")</f>
        <v>Normal</v>
      </c>
    </row>
    <row r="150" spans="1:13" x14ac:dyDescent="0.2">
      <c r="A150">
        <v>149</v>
      </c>
      <c r="B150" cm="1">
        <f t="array" ref="B150:L150">_xlfn.XLOOKUP($A150,Instagram_Usage_Lifestyle_Mini_!$A:$A,Instagram_Usage_Lifestyle_Mini_!$L:$V,"Not Found")</f>
        <v>16.899999999999999</v>
      </c>
      <c r="C150">
        <v>9.5</v>
      </c>
      <c r="D150" t="str">
        <v>Average</v>
      </c>
      <c r="E150" t="str">
        <v>No</v>
      </c>
      <c r="F150" t="str">
        <v>Rarely</v>
      </c>
      <c r="G150">
        <v>18</v>
      </c>
      <c r="H150">
        <v>3</v>
      </c>
      <c r="I150">
        <v>30.2</v>
      </c>
      <c r="J150">
        <v>96</v>
      </c>
      <c r="K150">
        <v>98</v>
      </c>
      <c r="L150">
        <v>7905</v>
      </c>
      <c r="M150" t="str" cm="1">
        <f t="array" ref="M150">_xlfn.IFS(C150&lt;6,"Poor",C150&lt;=8,"Normal",TRUE,"High")</f>
        <v>High</v>
      </c>
    </row>
    <row r="151" spans="1:13" x14ac:dyDescent="0.2">
      <c r="A151">
        <v>150</v>
      </c>
      <c r="B151" cm="1">
        <f t="array" ref="B151:L151">_xlfn.XLOOKUP($A151,Instagram_Usage_Lifestyle_Mini_!$A:$A,Instagram_Usage_Lifestyle_Mini_!$L:$V,"Not Found")</f>
        <v>16.600000000000001</v>
      </c>
      <c r="C151">
        <v>6.2</v>
      </c>
      <c r="D151" t="str">
        <v>Excellent</v>
      </c>
      <c r="E151" t="str">
        <v>No</v>
      </c>
      <c r="F151" t="str">
        <v>Rarely</v>
      </c>
      <c r="G151">
        <v>13</v>
      </c>
      <c r="H151">
        <v>3</v>
      </c>
      <c r="I151">
        <v>32.299999999999997</v>
      </c>
      <c r="J151">
        <v>97</v>
      </c>
      <c r="K151">
        <v>87</v>
      </c>
      <c r="L151">
        <v>7842</v>
      </c>
      <c r="M151" t="str" cm="1">
        <f t="array" ref="M151">_xlfn.IFS(C151&lt;6,"Poor",C151&lt;=8,"Normal",TRUE,"High")</f>
        <v>Normal</v>
      </c>
    </row>
    <row r="152" spans="1:13" x14ac:dyDescent="0.2">
      <c r="A152">
        <v>151</v>
      </c>
      <c r="B152" cm="1">
        <f t="array" ref="B152:L152">_xlfn.XLOOKUP($A152,Instagram_Usage_Lifestyle_Mini_!$A:$A,Instagram_Usage_Lifestyle_Mini_!$L:$V,"Not Found")</f>
        <v>2.2999999999999998</v>
      </c>
      <c r="C152">
        <v>8.1999999999999993</v>
      </c>
      <c r="D152" t="str">
        <v>Average</v>
      </c>
      <c r="E152" t="str">
        <v>No</v>
      </c>
      <c r="F152" t="str">
        <v>Weekly</v>
      </c>
      <c r="G152">
        <v>28</v>
      </c>
      <c r="H152">
        <v>2</v>
      </c>
      <c r="I152">
        <v>25.8</v>
      </c>
      <c r="J152">
        <v>114</v>
      </c>
      <c r="K152">
        <v>64</v>
      </c>
      <c r="L152">
        <v>7999</v>
      </c>
      <c r="M152" t="str" cm="1">
        <f t="array" ref="M152">_xlfn.IFS(C152&lt;6,"Poor",C152&lt;=8,"Normal",TRUE,"High")</f>
        <v>High</v>
      </c>
    </row>
    <row r="153" spans="1:13" x14ac:dyDescent="0.2">
      <c r="A153">
        <v>152</v>
      </c>
      <c r="B153" cm="1">
        <f t="array" ref="B153:L153">_xlfn.XLOOKUP($A153,Instagram_Usage_Lifestyle_Mini_!$A:$A,Instagram_Usage_Lifestyle_Mini_!$L:$V,"Not Found")</f>
        <v>15.5</v>
      </c>
      <c r="C153">
        <v>7.4</v>
      </c>
      <c r="D153" t="str">
        <v>Good</v>
      </c>
      <c r="E153" t="str">
        <v>Former</v>
      </c>
      <c r="F153" t="str">
        <v>Rarely</v>
      </c>
      <c r="G153">
        <v>27</v>
      </c>
      <c r="H153">
        <v>6</v>
      </c>
      <c r="I153">
        <v>26</v>
      </c>
      <c r="J153">
        <v>125</v>
      </c>
      <c r="K153">
        <v>79</v>
      </c>
      <c r="L153">
        <v>8062</v>
      </c>
      <c r="M153" t="str" cm="1">
        <f t="array" ref="M153">_xlfn.IFS(C153&lt;6,"Poor",C153&lt;=8,"Normal",TRUE,"High")</f>
        <v>Normal</v>
      </c>
    </row>
    <row r="154" spans="1:13" x14ac:dyDescent="0.2">
      <c r="A154">
        <v>153</v>
      </c>
      <c r="B154" cm="1">
        <f t="array" ref="B154:L154">_xlfn.XLOOKUP($A154,Instagram_Usage_Lifestyle_Mini_!$A:$A,Instagram_Usage_Lifestyle_Mini_!$L:$V,"Not Found")</f>
        <v>9</v>
      </c>
      <c r="C154">
        <v>8.8000000000000007</v>
      </c>
      <c r="D154" t="str">
        <v>Good</v>
      </c>
      <c r="E154" t="str">
        <v>Former</v>
      </c>
      <c r="F154" t="str">
        <v>Rarely</v>
      </c>
      <c r="G154">
        <v>19</v>
      </c>
      <c r="H154">
        <v>1</v>
      </c>
      <c r="I154">
        <v>28.4</v>
      </c>
      <c r="J154">
        <v>155</v>
      </c>
      <c r="K154">
        <v>70</v>
      </c>
      <c r="L154">
        <v>7997</v>
      </c>
      <c r="M154" t="str" cm="1">
        <f t="array" ref="M154">_xlfn.IFS(C154&lt;6,"Poor",C154&lt;=8,"Normal",TRUE,"High")</f>
        <v>High</v>
      </c>
    </row>
    <row r="155" spans="1:13" x14ac:dyDescent="0.2">
      <c r="A155">
        <v>154</v>
      </c>
      <c r="B155" cm="1">
        <f t="array" ref="B155:L155">_xlfn.XLOOKUP($A155,Instagram_Usage_Lifestyle_Mini_!$A:$A,Instagram_Usage_Lifestyle_Mini_!$L:$V,"Not Found")</f>
        <v>11.2</v>
      </c>
      <c r="C155">
        <v>6.6</v>
      </c>
      <c r="D155" t="str">
        <v>Average</v>
      </c>
      <c r="E155" t="str">
        <v>Yes</v>
      </c>
      <c r="F155" t="str">
        <v>Weekly</v>
      </c>
      <c r="G155">
        <v>34</v>
      </c>
      <c r="H155">
        <v>7</v>
      </c>
      <c r="I155">
        <v>26.9</v>
      </c>
      <c r="J155">
        <v>117</v>
      </c>
      <c r="K155">
        <v>91</v>
      </c>
      <c r="L155">
        <v>8039</v>
      </c>
      <c r="M155" t="str" cm="1">
        <f t="array" ref="M155">_xlfn.IFS(C155&lt;6,"Poor",C155&lt;=8,"Normal",TRUE,"High")</f>
        <v>Normal</v>
      </c>
    </row>
    <row r="156" spans="1:13" x14ac:dyDescent="0.2">
      <c r="A156">
        <v>155</v>
      </c>
      <c r="B156" cm="1">
        <f t="array" ref="B156:L156">_xlfn.XLOOKUP($A156,Instagram_Usage_Lifestyle_Mini_!$A:$A,Instagram_Usage_Lifestyle_Mini_!$L:$V,"Not Found")</f>
        <v>1.1000000000000001</v>
      </c>
      <c r="C156">
        <v>7.8</v>
      </c>
      <c r="D156" t="str">
        <v>Average</v>
      </c>
      <c r="E156" t="str">
        <v>No</v>
      </c>
      <c r="F156" t="str">
        <v>Rarely</v>
      </c>
      <c r="G156">
        <v>30</v>
      </c>
      <c r="H156">
        <v>7</v>
      </c>
      <c r="I156">
        <v>20.7</v>
      </c>
      <c r="J156">
        <v>95</v>
      </c>
      <c r="K156">
        <v>93</v>
      </c>
      <c r="L156">
        <v>8118</v>
      </c>
      <c r="M156" t="str" cm="1">
        <f t="array" ref="M156">_xlfn.IFS(C156&lt;6,"Poor",C156&lt;=8,"Normal",TRUE,"High")</f>
        <v>Normal</v>
      </c>
    </row>
    <row r="157" spans="1:13" x14ac:dyDescent="0.2">
      <c r="A157">
        <v>156</v>
      </c>
      <c r="B157" cm="1">
        <f t="array" ref="B157:L157">_xlfn.XLOOKUP($A157,Instagram_Usage_Lifestyle_Mini_!$A:$A,Instagram_Usage_Lifestyle_Mini_!$L:$V,"Not Found")</f>
        <v>3.6</v>
      </c>
      <c r="C157">
        <v>6.1</v>
      </c>
      <c r="D157" t="str">
        <v>Good</v>
      </c>
      <c r="E157" t="str">
        <v>No</v>
      </c>
      <c r="F157" t="str">
        <v>Never</v>
      </c>
      <c r="G157">
        <v>24</v>
      </c>
      <c r="H157">
        <v>8</v>
      </c>
      <c r="I157">
        <v>24.1</v>
      </c>
      <c r="J157">
        <v>141</v>
      </c>
      <c r="K157">
        <v>80</v>
      </c>
      <c r="L157">
        <v>7974</v>
      </c>
      <c r="M157" t="str" cm="1">
        <f t="array" ref="M157">_xlfn.IFS(C157&lt;6,"Poor",C157&lt;=8,"Normal",TRUE,"High")</f>
        <v>Normal</v>
      </c>
    </row>
    <row r="158" spans="1:13" x14ac:dyDescent="0.2">
      <c r="A158">
        <v>157</v>
      </c>
      <c r="B158" cm="1">
        <f t="array" ref="B158:L158">_xlfn.XLOOKUP($A158,Instagram_Usage_Lifestyle_Mini_!$A:$A,Instagram_Usage_Lifestyle_Mini_!$L:$V,"Not Found")</f>
        <v>5.9</v>
      </c>
      <c r="C158">
        <v>8</v>
      </c>
      <c r="D158" t="str">
        <v>Average</v>
      </c>
      <c r="E158" t="str">
        <v>No</v>
      </c>
      <c r="F158" t="str">
        <v>Rarely</v>
      </c>
      <c r="G158">
        <v>34</v>
      </c>
      <c r="H158">
        <v>6</v>
      </c>
      <c r="I158">
        <v>24.1</v>
      </c>
      <c r="J158">
        <v>94</v>
      </c>
      <c r="K158">
        <v>72</v>
      </c>
      <c r="L158">
        <v>8060</v>
      </c>
      <c r="M158" t="str" cm="1">
        <f t="array" ref="M158">_xlfn.IFS(C158&lt;6,"Poor",C158&lt;=8,"Normal",TRUE,"High")</f>
        <v>Normal</v>
      </c>
    </row>
    <row r="159" spans="1:13" x14ac:dyDescent="0.2">
      <c r="A159">
        <v>158</v>
      </c>
      <c r="B159" cm="1">
        <f t="array" ref="B159:L159">_xlfn.XLOOKUP($A159,Instagram_Usage_Lifestyle_Mini_!$A:$A,Instagram_Usage_Lifestyle_Mini_!$L:$V,"Not Found")</f>
        <v>12.2</v>
      </c>
      <c r="C159">
        <v>6.9</v>
      </c>
      <c r="D159" t="str">
        <v>Excellent</v>
      </c>
      <c r="E159" t="str">
        <v>No</v>
      </c>
      <c r="F159" t="str">
        <v>Rarely</v>
      </c>
      <c r="G159">
        <v>14</v>
      </c>
      <c r="H159">
        <v>3</v>
      </c>
      <c r="I159">
        <v>23.1</v>
      </c>
      <c r="J159">
        <v>116</v>
      </c>
      <c r="K159">
        <v>89</v>
      </c>
      <c r="L159">
        <v>7863</v>
      </c>
      <c r="M159" t="str" cm="1">
        <f t="array" ref="M159">_xlfn.IFS(C159&lt;6,"Poor",C159&lt;=8,"Normal",TRUE,"High")</f>
        <v>Normal</v>
      </c>
    </row>
    <row r="160" spans="1:13" x14ac:dyDescent="0.2">
      <c r="A160">
        <v>159</v>
      </c>
      <c r="B160" cm="1">
        <f t="array" ref="B160:L160">_xlfn.XLOOKUP($A160,Instagram_Usage_Lifestyle_Mini_!$A:$A,Instagram_Usage_Lifestyle_Mini_!$L:$V,"Not Found")</f>
        <v>7.4</v>
      </c>
      <c r="C160">
        <v>5.4</v>
      </c>
      <c r="D160" t="str">
        <v>Very_poor</v>
      </c>
      <c r="E160" t="str">
        <v>No</v>
      </c>
      <c r="F160" t="str">
        <v>Never</v>
      </c>
      <c r="G160">
        <v>9</v>
      </c>
      <c r="H160">
        <v>6</v>
      </c>
      <c r="I160">
        <v>29.5</v>
      </c>
      <c r="J160">
        <v>137</v>
      </c>
      <c r="K160">
        <v>78</v>
      </c>
      <c r="L160">
        <v>7848</v>
      </c>
      <c r="M160" t="str" cm="1">
        <f t="array" ref="M160">_xlfn.IFS(C160&lt;6,"Poor",C160&lt;=8,"Normal",TRUE,"High")</f>
        <v>Poor</v>
      </c>
    </row>
    <row r="161" spans="1:13" x14ac:dyDescent="0.2">
      <c r="A161">
        <v>160</v>
      </c>
      <c r="B161" cm="1">
        <f t="array" ref="B161:L161">_xlfn.XLOOKUP($A161,Instagram_Usage_Lifestyle_Mini_!$A:$A,Instagram_Usage_Lifestyle_Mini_!$L:$V,"Not Found")</f>
        <v>5.9</v>
      </c>
      <c r="C161">
        <v>9</v>
      </c>
      <c r="D161" t="str">
        <v>Average</v>
      </c>
      <c r="E161" t="str">
        <v>No</v>
      </c>
      <c r="F161" t="str">
        <v>Never</v>
      </c>
      <c r="G161">
        <v>34</v>
      </c>
      <c r="H161">
        <v>3</v>
      </c>
      <c r="I161">
        <v>22.4</v>
      </c>
      <c r="J161">
        <v>148</v>
      </c>
      <c r="K161">
        <v>84</v>
      </c>
      <c r="L161">
        <v>8025</v>
      </c>
      <c r="M161" t="str" cm="1">
        <f t="array" ref="M161">_xlfn.IFS(C161&lt;6,"Poor",C161&lt;=8,"Normal",TRUE,"High")</f>
        <v>High</v>
      </c>
    </row>
    <row r="162" spans="1:13" x14ac:dyDescent="0.2">
      <c r="A162">
        <v>161</v>
      </c>
      <c r="B162" cm="1">
        <f t="array" ref="B162:L162">_xlfn.XLOOKUP($A162,Instagram_Usage_Lifestyle_Mini_!$A:$A,Instagram_Usage_Lifestyle_Mini_!$L:$V,"Not Found")</f>
        <v>5.6</v>
      </c>
      <c r="C162">
        <v>7.8</v>
      </c>
      <c r="D162" t="str">
        <v>Average</v>
      </c>
      <c r="E162" t="str">
        <v>No</v>
      </c>
      <c r="F162" t="str">
        <v>Rarely</v>
      </c>
      <c r="G162">
        <v>5</v>
      </c>
      <c r="H162">
        <v>3</v>
      </c>
      <c r="I162">
        <v>23</v>
      </c>
      <c r="J162">
        <v>93</v>
      </c>
      <c r="K162">
        <v>67</v>
      </c>
      <c r="L162">
        <v>7943</v>
      </c>
      <c r="M162" t="str" cm="1">
        <f t="array" ref="M162">_xlfn.IFS(C162&lt;6,"Poor",C162&lt;=8,"Normal",TRUE,"High")</f>
        <v>Normal</v>
      </c>
    </row>
    <row r="163" spans="1:13" x14ac:dyDescent="0.2">
      <c r="A163">
        <v>162</v>
      </c>
      <c r="B163" cm="1">
        <f t="array" ref="B163:L163">_xlfn.XLOOKUP($A163,Instagram_Usage_Lifestyle_Mini_!$A:$A,Instagram_Usage_Lifestyle_Mini_!$L:$V,"Not Found")</f>
        <v>9.6999999999999993</v>
      </c>
      <c r="C163">
        <v>5.6</v>
      </c>
      <c r="D163" t="str">
        <v>Very_poor</v>
      </c>
      <c r="E163" t="str">
        <v>Yes</v>
      </c>
      <c r="F163" t="str">
        <v>Weekly</v>
      </c>
      <c r="G163">
        <v>6</v>
      </c>
      <c r="H163">
        <v>9</v>
      </c>
      <c r="I163">
        <v>29.4</v>
      </c>
      <c r="J163">
        <v>110</v>
      </c>
      <c r="K163">
        <v>69</v>
      </c>
      <c r="L163">
        <v>7945</v>
      </c>
      <c r="M163" t="str" cm="1">
        <f t="array" ref="M163">_xlfn.IFS(C163&lt;6,"Poor",C163&lt;=8,"Normal",TRUE,"High")</f>
        <v>Poor</v>
      </c>
    </row>
    <row r="164" spans="1:13" x14ac:dyDescent="0.2">
      <c r="A164">
        <v>163</v>
      </c>
      <c r="B164" cm="1">
        <f t="array" ref="B164:L164">_xlfn.XLOOKUP($A164,Instagram_Usage_Lifestyle_Mini_!$A:$A,Instagram_Usage_Lifestyle_Mini_!$L:$V,"Not Found")</f>
        <v>4.3</v>
      </c>
      <c r="C164">
        <v>7.1</v>
      </c>
      <c r="D164" t="str">
        <v>Poor</v>
      </c>
      <c r="E164" t="str">
        <v>No</v>
      </c>
      <c r="F164" t="str">
        <v>Rarely</v>
      </c>
      <c r="G164">
        <v>19</v>
      </c>
      <c r="H164">
        <v>6</v>
      </c>
      <c r="I164">
        <v>27.6</v>
      </c>
      <c r="J164">
        <v>122</v>
      </c>
      <c r="K164">
        <v>75</v>
      </c>
      <c r="L164">
        <v>7996</v>
      </c>
      <c r="M164" t="str" cm="1">
        <f t="array" ref="M164">_xlfn.IFS(C164&lt;6,"Poor",C164&lt;=8,"Normal",TRUE,"High")</f>
        <v>Normal</v>
      </c>
    </row>
    <row r="165" spans="1:13" x14ac:dyDescent="0.2">
      <c r="A165">
        <v>164</v>
      </c>
      <c r="B165" cm="1">
        <f t="array" ref="B165:L165">_xlfn.XLOOKUP($A165,Instagram_Usage_Lifestyle_Mini_!$A:$A,Instagram_Usage_Lifestyle_Mini_!$L:$V,"Not Found")</f>
        <v>8.1</v>
      </c>
      <c r="C165">
        <v>7.9</v>
      </c>
      <c r="D165" t="str">
        <v>Excellent</v>
      </c>
      <c r="E165" t="str">
        <v>No</v>
      </c>
      <c r="F165" t="str">
        <v>Never</v>
      </c>
      <c r="G165">
        <v>39</v>
      </c>
      <c r="H165">
        <v>1</v>
      </c>
      <c r="I165">
        <v>25.8</v>
      </c>
      <c r="J165">
        <v>146</v>
      </c>
      <c r="K165">
        <v>89</v>
      </c>
      <c r="L165">
        <v>8126</v>
      </c>
      <c r="M165" t="str" cm="1">
        <f t="array" ref="M165">_xlfn.IFS(C165&lt;6,"Poor",C165&lt;=8,"Normal",TRUE,"High")</f>
        <v>Normal</v>
      </c>
    </row>
    <row r="166" spans="1:13" x14ac:dyDescent="0.2">
      <c r="A166">
        <v>165</v>
      </c>
      <c r="B166" cm="1">
        <f t="array" ref="B166:L166">_xlfn.XLOOKUP($A166,Instagram_Usage_Lifestyle_Mini_!$A:$A,Instagram_Usage_Lifestyle_Mini_!$L:$V,"Not Found")</f>
        <v>14.2</v>
      </c>
      <c r="C166">
        <v>8.5</v>
      </c>
      <c r="D166" t="str">
        <v>Good</v>
      </c>
      <c r="E166" t="str">
        <v>No</v>
      </c>
      <c r="F166" t="str">
        <v>Weekly</v>
      </c>
      <c r="G166">
        <v>7</v>
      </c>
      <c r="H166">
        <v>2</v>
      </c>
      <c r="I166">
        <v>30.5</v>
      </c>
      <c r="J166">
        <v>95</v>
      </c>
      <c r="K166">
        <v>97</v>
      </c>
      <c r="L166">
        <v>7895</v>
      </c>
      <c r="M166" t="str" cm="1">
        <f t="array" ref="M166">_xlfn.IFS(C166&lt;6,"Poor",C166&lt;=8,"Normal",TRUE,"High")</f>
        <v>High</v>
      </c>
    </row>
    <row r="167" spans="1:13" x14ac:dyDescent="0.2">
      <c r="A167">
        <v>166</v>
      </c>
      <c r="B167" cm="1">
        <f t="array" ref="B167:L167">_xlfn.XLOOKUP($A167,Instagram_Usage_Lifestyle_Mini_!$A:$A,Instagram_Usage_Lifestyle_Mini_!$L:$V,"Not Found")</f>
        <v>4.0999999999999996</v>
      </c>
      <c r="C167">
        <v>8.6999999999999993</v>
      </c>
      <c r="D167" t="str">
        <v>Average</v>
      </c>
      <c r="E167" t="str">
        <v>Yes</v>
      </c>
      <c r="F167" t="str">
        <v>Weekly</v>
      </c>
      <c r="G167">
        <v>12</v>
      </c>
      <c r="H167">
        <v>9</v>
      </c>
      <c r="I167">
        <v>19.899999999999999</v>
      </c>
      <c r="J167">
        <v>154</v>
      </c>
      <c r="K167">
        <v>79</v>
      </c>
      <c r="L167">
        <v>8207</v>
      </c>
      <c r="M167" t="str" cm="1">
        <f t="array" ref="M167">_xlfn.IFS(C167&lt;6,"Poor",C167&lt;=8,"Normal",TRUE,"High")</f>
        <v>High</v>
      </c>
    </row>
    <row r="168" spans="1:13" x14ac:dyDescent="0.2">
      <c r="A168">
        <v>167</v>
      </c>
      <c r="B168" cm="1">
        <f t="array" ref="B168:L168">_xlfn.XLOOKUP($A168,Instagram_Usage_Lifestyle_Mini_!$A:$A,Instagram_Usage_Lifestyle_Mini_!$L:$V,"Not Found")</f>
        <v>7.9</v>
      </c>
      <c r="C168">
        <v>6.7</v>
      </c>
      <c r="D168" t="str">
        <v>Average</v>
      </c>
      <c r="E168" t="str">
        <v>No</v>
      </c>
      <c r="F168" t="str">
        <v>Never</v>
      </c>
      <c r="G168">
        <v>20</v>
      </c>
      <c r="H168">
        <v>9</v>
      </c>
      <c r="I168">
        <v>18.3</v>
      </c>
      <c r="J168">
        <v>147</v>
      </c>
      <c r="K168">
        <v>61</v>
      </c>
      <c r="L168">
        <v>7863</v>
      </c>
      <c r="M168" t="str" cm="1">
        <f t="array" ref="M168">_xlfn.IFS(C168&lt;6,"Poor",C168&lt;=8,"Normal",TRUE,"High")</f>
        <v>Normal</v>
      </c>
    </row>
    <row r="169" spans="1:13" x14ac:dyDescent="0.2">
      <c r="A169">
        <v>168</v>
      </c>
      <c r="B169" cm="1">
        <f t="array" ref="B169:L169">_xlfn.XLOOKUP($A169,Instagram_Usage_Lifestyle_Mini_!$A:$A,Instagram_Usage_Lifestyle_Mini_!$L:$V,"Not Found")</f>
        <v>3.7</v>
      </c>
      <c r="C169">
        <v>8.3000000000000007</v>
      </c>
      <c r="D169" t="str">
        <v>Very_poor</v>
      </c>
      <c r="E169" t="str">
        <v>No</v>
      </c>
      <c r="F169" t="str">
        <v>Rarely</v>
      </c>
      <c r="G169">
        <v>40</v>
      </c>
      <c r="H169">
        <v>5</v>
      </c>
      <c r="I169">
        <v>20.3</v>
      </c>
      <c r="J169">
        <v>143</v>
      </c>
      <c r="K169">
        <v>73</v>
      </c>
      <c r="L169">
        <v>7993</v>
      </c>
      <c r="M169" t="str" cm="1">
        <f t="array" ref="M169">_xlfn.IFS(C169&lt;6,"Poor",C169&lt;=8,"Normal",TRUE,"High")</f>
        <v>High</v>
      </c>
    </row>
    <row r="170" spans="1:13" x14ac:dyDescent="0.2">
      <c r="A170">
        <v>169</v>
      </c>
      <c r="B170" cm="1">
        <f t="array" ref="B170:L170">_xlfn.XLOOKUP($A170,Instagram_Usage_Lifestyle_Mini_!$A:$A,Instagram_Usage_Lifestyle_Mini_!$L:$V,"Not Found")</f>
        <v>1.9</v>
      </c>
      <c r="C170">
        <v>6.9</v>
      </c>
      <c r="D170" t="str">
        <v>Good</v>
      </c>
      <c r="E170" t="str">
        <v>No</v>
      </c>
      <c r="F170" t="str">
        <v>Rarely</v>
      </c>
      <c r="G170">
        <v>33</v>
      </c>
      <c r="H170">
        <v>9</v>
      </c>
      <c r="I170">
        <v>25.4</v>
      </c>
      <c r="J170">
        <v>155</v>
      </c>
      <c r="K170">
        <v>80</v>
      </c>
      <c r="L170">
        <v>8057</v>
      </c>
      <c r="M170" t="str" cm="1">
        <f t="array" ref="M170">_xlfn.IFS(C170&lt;6,"Poor",C170&lt;=8,"Normal",TRUE,"High")</f>
        <v>Normal</v>
      </c>
    </row>
    <row r="171" spans="1:13" x14ac:dyDescent="0.2">
      <c r="A171">
        <v>170</v>
      </c>
      <c r="B171" cm="1">
        <f t="array" ref="B171:L171">_xlfn.XLOOKUP($A171,Instagram_Usage_Lifestyle_Mini_!$A:$A,Instagram_Usage_Lifestyle_Mini_!$L:$V,"Not Found")</f>
        <v>8.1999999999999993</v>
      </c>
      <c r="C171">
        <v>8.8000000000000007</v>
      </c>
      <c r="D171" t="str">
        <v>Poor</v>
      </c>
      <c r="E171" t="str">
        <v>Former</v>
      </c>
      <c r="F171" t="str">
        <v>Rarely</v>
      </c>
      <c r="G171">
        <v>2</v>
      </c>
      <c r="H171">
        <v>2</v>
      </c>
      <c r="I171">
        <v>22.4</v>
      </c>
      <c r="J171">
        <v>139</v>
      </c>
      <c r="K171">
        <v>63</v>
      </c>
      <c r="L171">
        <v>8034</v>
      </c>
      <c r="M171" t="str" cm="1">
        <f t="array" ref="M171">_xlfn.IFS(C171&lt;6,"Poor",C171&lt;=8,"Normal",TRUE,"High")</f>
        <v>High</v>
      </c>
    </row>
    <row r="172" spans="1:13" x14ac:dyDescent="0.2">
      <c r="A172">
        <v>171</v>
      </c>
      <c r="B172" cm="1">
        <f t="array" ref="B172:L172">_xlfn.XLOOKUP($A172,Instagram_Usage_Lifestyle_Mini_!$A:$A,Instagram_Usage_Lifestyle_Mini_!$L:$V,"Not Found")</f>
        <v>6.3</v>
      </c>
      <c r="C172">
        <v>6.5</v>
      </c>
      <c r="D172" t="str">
        <v>Average</v>
      </c>
      <c r="E172" t="str">
        <v>No</v>
      </c>
      <c r="F172" t="str">
        <v>Never</v>
      </c>
      <c r="G172">
        <v>31</v>
      </c>
      <c r="H172">
        <v>8</v>
      </c>
      <c r="I172">
        <v>25.9</v>
      </c>
      <c r="J172">
        <v>150</v>
      </c>
      <c r="K172">
        <v>88</v>
      </c>
      <c r="L172">
        <v>7853</v>
      </c>
      <c r="M172" t="str" cm="1">
        <f t="array" ref="M172">_xlfn.IFS(C172&lt;6,"Poor",C172&lt;=8,"Normal",TRUE,"High")</f>
        <v>Normal</v>
      </c>
    </row>
    <row r="173" spans="1:13" x14ac:dyDescent="0.2">
      <c r="A173">
        <v>172</v>
      </c>
      <c r="B173" cm="1">
        <f t="array" ref="B173:L173">_xlfn.XLOOKUP($A173,Instagram_Usage_Lifestyle_Mini_!$A:$A,Instagram_Usage_Lifestyle_Mini_!$L:$V,"Not Found")</f>
        <v>5.2</v>
      </c>
      <c r="C173">
        <v>5.0999999999999996</v>
      </c>
      <c r="D173" t="str">
        <v>Average</v>
      </c>
      <c r="E173" t="str">
        <v>No</v>
      </c>
      <c r="F173" t="str">
        <v>Weekly</v>
      </c>
      <c r="G173">
        <v>34</v>
      </c>
      <c r="H173">
        <v>4</v>
      </c>
      <c r="I173">
        <v>24.5</v>
      </c>
      <c r="J173">
        <v>134</v>
      </c>
      <c r="K173">
        <v>99</v>
      </c>
      <c r="L173">
        <v>7984</v>
      </c>
      <c r="M173" t="str" cm="1">
        <f t="array" ref="M173">_xlfn.IFS(C173&lt;6,"Poor",C173&lt;=8,"Normal",TRUE,"High")</f>
        <v>Poor</v>
      </c>
    </row>
    <row r="174" spans="1:13" x14ac:dyDescent="0.2">
      <c r="A174">
        <v>173</v>
      </c>
      <c r="B174" cm="1">
        <f t="array" ref="B174:L174">_xlfn.XLOOKUP($A174,Instagram_Usage_Lifestyle_Mini_!$A:$A,Instagram_Usage_Lifestyle_Mini_!$L:$V,"Not Found")</f>
        <v>5.0999999999999996</v>
      </c>
      <c r="C174">
        <v>6.3</v>
      </c>
      <c r="D174" t="str">
        <v>Average</v>
      </c>
      <c r="E174" t="str">
        <v>No</v>
      </c>
      <c r="F174" t="str">
        <v>Never</v>
      </c>
      <c r="G174">
        <v>20</v>
      </c>
      <c r="H174">
        <v>2</v>
      </c>
      <c r="I174">
        <v>25.9</v>
      </c>
      <c r="J174">
        <v>94</v>
      </c>
      <c r="K174">
        <v>70</v>
      </c>
      <c r="L174">
        <v>8097</v>
      </c>
      <c r="M174" t="str" cm="1">
        <f t="array" ref="M174">_xlfn.IFS(C174&lt;6,"Poor",C174&lt;=8,"Normal",TRUE,"High")</f>
        <v>Normal</v>
      </c>
    </row>
    <row r="175" spans="1:13" x14ac:dyDescent="0.2">
      <c r="A175">
        <v>174</v>
      </c>
      <c r="B175" cm="1">
        <f t="array" ref="B175:L175">_xlfn.XLOOKUP($A175,Instagram_Usage_Lifestyle_Mini_!$A:$A,Instagram_Usage_Lifestyle_Mini_!$L:$V,"Not Found")</f>
        <v>7.7</v>
      </c>
      <c r="C175">
        <v>7.6</v>
      </c>
      <c r="D175" t="str">
        <v>Average</v>
      </c>
      <c r="E175" t="str">
        <v>Yes</v>
      </c>
      <c r="F175" t="str">
        <v>Rarely</v>
      </c>
      <c r="G175">
        <v>9</v>
      </c>
      <c r="H175">
        <v>5</v>
      </c>
      <c r="I175">
        <v>15.3</v>
      </c>
      <c r="J175">
        <v>147</v>
      </c>
      <c r="K175">
        <v>94</v>
      </c>
      <c r="L175">
        <v>8066</v>
      </c>
      <c r="M175" t="str" cm="1">
        <f t="array" ref="M175">_xlfn.IFS(C175&lt;6,"Poor",C175&lt;=8,"Normal",TRUE,"High")</f>
        <v>Normal</v>
      </c>
    </row>
    <row r="176" spans="1:13" x14ac:dyDescent="0.2">
      <c r="A176">
        <v>175</v>
      </c>
      <c r="B176" cm="1">
        <f t="array" ref="B176:L176">_xlfn.XLOOKUP($A176,Instagram_Usage_Lifestyle_Mini_!$A:$A,Instagram_Usage_Lifestyle_Mini_!$L:$V,"Not Found")</f>
        <v>5.0999999999999996</v>
      </c>
      <c r="C176">
        <v>7.7</v>
      </c>
      <c r="D176" t="str">
        <v>Very_poor</v>
      </c>
      <c r="E176" t="str">
        <v>No</v>
      </c>
      <c r="F176" t="str">
        <v>Rarely</v>
      </c>
      <c r="G176">
        <v>8</v>
      </c>
      <c r="H176">
        <v>1</v>
      </c>
      <c r="I176">
        <v>21.2</v>
      </c>
      <c r="J176">
        <v>100</v>
      </c>
      <c r="K176">
        <v>91</v>
      </c>
      <c r="L176">
        <v>7946</v>
      </c>
      <c r="M176" t="str" cm="1">
        <f t="array" ref="M176">_xlfn.IFS(C176&lt;6,"Poor",C176&lt;=8,"Normal",TRUE,"High")</f>
        <v>Normal</v>
      </c>
    </row>
    <row r="177" spans="1:13" x14ac:dyDescent="0.2">
      <c r="A177">
        <v>176</v>
      </c>
      <c r="B177" cm="1">
        <f t="array" ref="B177:L177">_xlfn.XLOOKUP($A177,Instagram_Usage_Lifestyle_Mini_!$A:$A,Instagram_Usage_Lifestyle_Mini_!$L:$V,"Not Found")</f>
        <v>4.7</v>
      </c>
      <c r="C177">
        <v>6.5</v>
      </c>
      <c r="D177" t="str">
        <v>Good</v>
      </c>
      <c r="E177" t="str">
        <v>No</v>
      </c>
      <c r="F177" t="str">
        <v>Never</v>
      </c>
      <c r="G177">
        <v>10</v>
      </c>
      <c r="H177">
        <v>8</v>
      </c>
      <c r="I177">
        <v>23.2</v>
      </c>
      <c r="J177">
        <v>107</v>
      </c>
      <c r="K177">
        <v>62</v>
      </c>
      <c r="L177">
        <v>8020</v>
      </c>
      <c r="M177" t="str" cm="1">
        <f t="array" ref="M177">_xlfn.IFS(C177&lt;6,"Poor",C177&lt;=8,"Normal",TRUE,"High")</f>
        <v>Normal</v>
      </c>
    </row>
    <row r="178" spans="1:13" x14ac:dyDescent="0.2">
      <c r="A178">
        <v>177</v>
      </c>
      <c r="B178" cm="1">
        <f t="array" ref="B178:L178">_xlfn.XLOOKUP($A178,Instagram_Usage_Lifestyle_Mini_!$A:$A,Instagram_Usage_Lifestyle_Mini_!$L:$V,"Not Found")</f>
        <v>3.1</v>
      </c>
      <c r="C178">
        <v>7.6</v>
      </c>
      <c r="D178" t="str">
        <v>Average</v>
      </c>
      <c r="E178" t="str">
        <v>No</v>
      </c>
      <c r="F178" t="str">
        <v>Never</v>
      </c>
      <c r="G178">
        <v>19</v>
      </c>
      <c r="H178">
        <v>1</v>
      </c>
      <c r="I178">
        <v>15</v>
      </c>
      <c r="J178">
        <v>128</v>
      </c>
      <c r="K178">
        <v>71</v>
      </c>
      <c r="L178">
        <v>7837</v>
      </c>
      <c r="M178" t="str" cm="1">
        <f t="array" ref="M178">_xlfn.IFS(C178&lt;6,"Poor",C178&lt;=8,"Normal",TRUE,"High")</f>
        <v>Normal</v>
      </c>
    </row>
    <row r="179" spans="1:13" x14ac:dyDescent="0.2">
      <c r="A179">
        <v>178</v>
      </c>
      <c r="B179" cm="1">
        <f t="array" ref="B179:L179">_xlfn.XLOOKUP($A179,Instagram_Usage_Lifestyle_Mini_!$A:$A,Instagram_Usage_Lifestyle_Mini_!$L:$V,"Not Found")</f>
        <v>10.9</v>
      </c>
      <c r="C179">
        <v>5.3</v>
      </c>
      <c r="D179" t="str">
        <v>Average</v>
      </c>
      <c r="E179" t="str">
        <v>No</v>
      </c>
      <c r="F179" t="str">
        <v>Rarely</v>
      </c>
      <c r="G179">
        <v>26</v>
      </c>
      <c r="H179">
        <v>9</v>
      </c>
      <c r="I179">
        <v>26.5</v>
      </c>
      <c r="J179">
        <v>98</v>
      </c>
      <c r="K179">
        <v>99</v>
      </c>
      <c r="L179">
        <v>7834</v>
      </c>
      <c r="M179" t="str" cm="1">
        <f t="array" ref="M179">_xlfn.IFS(C179&lt;6,"Poor",C179&lt;=8,"Normal",TRUE,"High")</f>
        <v>Poor</v>
      </c>
    </row>
    <row r="180" spans="1:13" x14ac:dyDescent="0.2">
      <c r="A180">
        <v>179</v>
      </c>
      <c r="B180" cm="1">
        <f t="array" ref="B180:L180">_xlfn.XLOOKUP($A180,Instagram_Usage_Lifestyle_Mini_!$A:$A,Instagram_Usage_Lifestyle_Mini_!$L:$V,"Not Found")</f>
        <v>2.7</v>
      </c>
      <c r="C180">
        <v>7.3</v>
      </c>
      <c r="D180" t="str">
        <v>Poor</v>
      </c>
      <c r="E180" t="str">
        <v>No</v>
      </c>
      <c r="F180" t="str">
        <v>Rarely</v>
      </c>
      <c r="G180">
        <v>36</v>
      </c>
      <c r="H180">
        <v>8</v>
      </c>
      <c r="I180">
        <v>25.3</v>
      </c>
      <c r="J180">
        <v>91</v>
      </c>
      <c r="K180">
        <v>61</v>
      </c>
      <c r="L180">
        <v>7950</v>
      </c>
      <c r="M180" t="str" cm="1">
        <f t="array" ref="M180">_xlfn.IFS(C180&lt;6,"Poor",C180&lt;=8,"Normal",TRUE,"High")</f>
        <v>Normal</v>
      </c>
    </row>
    <row r="181" spans="1:13" x14ac:dyDescent="0.2">
      <c r="A181">
        <v>180</v>
      </c>
      <c r="B181" cm="1">
        <f t="array" ref="B181:L181">_xlfn.XLOOKUP($A181,Instagram_Usage_Lifestyle_Mini_!$A:$A,Instagram_Usage_Lifestyle_Mini_!$L:$V,"Not Found")</f>
        <v>4.5</v>
      </c>
      <c r="C181">
        <v>9.1999999999999993</v>
      </c>
      <c r="D181" t="str">
        <v>Excellent</v>
      </c>
      <c r="E181" t="str">
        <v>No</v>
      </c>
      <c r="F181" t="str">
        <v>Weekly</v>
      </c>
      <c r="G181">
        <v>8</v>
      </c>
      <c r="H181">
        <v>7</v>
      </c>
      <c r="I181">
        <v>28.9</v>
      </c>
      <c r="J181">
        <v>127</v>
      </c>
      <c r="K181">
        <v>98</v>
      </c>
      <c r="L181">
        <v>7901</v>
      </c>
      <c r="M181" t="str" cm="1">
        <f t="array" ref="M181">_xlfn.IFS(C181&lt;6,"Poor",C181&lt;=8,"Normal",TRUE,"High")</f>
        <v>High</v>
      </c>
    </row>
    <row r="182" spans="1:13" x14ac:dyDescent="0.2">
      <c r="A182">
        <v>181</v>
      </c>
      <c r="B182" cm="1">
        <f t="array" ref="B182:L182">_xlfn.XLOOKUP($A182,Instagram_Usage_Lifestyle_Mini_!$A:$A,Instagram_Usage_Lifestyle_Mini_!$L:$V,"Not Found")</f>
        <v>1</v>
      </c>
      <c r="C182">
        <v>7</v>
      </c>
      <c r="D182" t="str">
        <v>Average</v>
      </c>
      <c r="E182" t="str">
        <v>Former</v>
      </c>
      <c r="F182" t="str">
        <v>Never</v>
      </c>
      <c r="G182">
        <v>23</v>
      </c>
      <c r="H182">
        <v>5</v>
      </c>
      <c r="I182">
        <v>27.4</v>
      </c>
      <c r="J182">
        <v>126</v>
      </c>
      <c r="K182">
        <v>72</v>
      </c>
      <c r="L182">
        <v>7974</v>
      </c>
      <c r="M182" t="str" cm="1">
        <f t="array" ref="M182">_xlfn.IFS(C182&lt;6,"Poor",C182&lt;=8,"Normal",TRUE,"High")</f>
        <v>Normal</v>
      </c>
    </row>
    <row r="183" spans="1:13" x14ac:dyDescent="0.2">
      <c r="A183">
        <v>182</v>
      </c>
      <c r="B183" cm="1">
        <f t="array" ref="B183:L183">_xlfn.XLOOKUP($A183,Instagram_Usage_Lifestyle_Mini_!$A:$A,Instagram_Usage_Lifestyle_Mini_!$L:$V,"Not Found")</f>
        <v>1.5</v>
      </c>
      <c r="C183">
        <v>7.1</v>
      </c>
      <c r="D183" t="str">
        <v>Excellent</v>
      </c>
      <c r="E183" t="str">
        <v>No</v>
      </c>
      <c r="F183" t="str">
        <v>Never</v>
      </c>
      <c r="G183">
        <v>16</v>
      </c>
      <c r="H183">
        <v>1</v>
      </c>
      <c r="I183">
        <v>34.799999999999997</v>
      </c>
      <c r="J183">
        <v>146</v>
      </c>
      <c r="K183">
        <v>87</v>
      </c>
      <c r="L183">
        <v>8028</v>
      </c>
      <c r="M183" t="str" cm="1">
        <f t="array" ref="M183">_xlfn.IFS(C183&lt;6,"Poor",C183&lt;=8,"Normal",TRUE,"High")</f>
        <v>Normal</v>
      </c>
    </row>
    <row r="184" spans="1:13" x14ac:dyDescent="0.2">
      <c r="A184">
        <v>183</v>
      </c>
      <c r="B184" cm="1">
        <f t="array" ref="B184:L184">_xlfn.XLOOKUP($A184,Instagram_Usage_Lifestyle_Mini_!$A:$A,Instagram_Usage_Lifestyle_Mini_!$L:$V,"Not Found")</f>
        <v>5.3</v>
      </c>
      <c r="C184">
        <v>8.9</v>
      </c>
      <c r="D184" t="str">
        <v>Average</v>
      </c>
      <c r="E184" t="str">
        <v>Former</v>
      </c>
      <c r="F184" t="str">
        <v>Never</v>
      </c>
      <c r="G184">
        <v>25</v>
      </c>
      <c r="H184">
        <v>1</v>
      </c>
      <c r="I184">
        <v>20.2</v>
      </c>
      <c r="J184">
        <v>153</v>
      </c>
      <c r="K184">
        <v>66</v>
      </c>
      <c r="L184">
        <v>7865</v>
      </c>
      <c r="M184" t="str" cm="1">
        <f t="array" ref="M184">_xlfn.IFS(C184&lt;6,"Poor",C184&lt;=8,"Normal",TRUE,"High")</f>
        <v>High</v>
      </c>
    </row>
    <row r="185" spans="1:13" x14ac:dyDescent="0.2">
      <c r="A185">
        <v>184</v>
      </c>
      <c r="B185" cm="1">
        <f t="array" ref="B185:L185">_xlfn.XLOOKUP($A185,Instagram_Usage_Lifestyle_Mini_!$A:$A,Instagram_Usage_Lifestyle_Mini_!$L:$V,"Not Found")</f>
        <v>3.8</v>
      </c>
      <c r="C185">
        <v>5.0999999999999996</v>
      </c>
      <c r="D185" t="str">
        <v>Very_poor</v>
      </c>
      <c r="E185" t="str">
        <v>No</v>
      </c>
      <c r="F185" t="str">
        <v>Daily</v>
      </c>
      <c r="G185">
        <v>37</v>
      </c>
      <c r="H185">
        <v>9</v>
      </c>
      <c r="I185">
        <v>26.4</v>
      </c>
      <c r="J185">
        <v>143</v>
      </c>
      <c r="K185">
        <v>69</v>
      </c>
      <c r="L185">
        <v>8061</v>
      </c>
      <c r="M185" t="str" cm="1">
        <f t="array" ref="M185">_xlfn.IFS(C185&lt;6,"Poor",C185&lt;=8,"Normal",TRUE,"High")</f>
        <v>Poor</v>
      </c>
    </row>
    <row r="186" spans="1:13" x14ac:dyDescent="0.2">
      <c r="A186">
        <v>185</v>
      </c>
      <c r="B186" cm="1">
        <f t="array" ref="B186:L186">_xlfn.XLOOKUP($A186,Instagram_Usage_Lifestyle_Mini_!$A:$A,Instagram_Usage_Lifestyle_Mini_!$L:$V,"Not Found")</f>
        <v>11.5</v>
      </c>
      <c r="C186">
        <v>6.5</v>
      </c>
      <c r="D186" t="str">
        <v>Average</v>
      </c>
      <c r="E186" t="str">
        <v>No</v>
      </c>
      <c r="F186" t="str">
        <v>Rarely</v>
      </c>
      <c r="G186">
        <v>1</v>
      </c>
      <c r="H186">
        <v>9</v>
      </c>
      <c r="I186">
        <v>29</v>
      </c>
      <c r="J186">
        <v>124</v>
      </c>
      <c r="K186">
        <v>82</v>
      </c>
      <c r="L186">
        <v>8073</v>
      </c>
      <c r="M186" t="str" cm="1">
        <f t="array" ref="M186">_xlfn.IFS(C186&lt;6,"Poor",C186&lt;=8,"Normal",TRUE,"High")</f>
        <v>Normal</v>
      </c>
    </row>
    <row r="187" spans="1:13" x14ac:dyDescent="0.2">
      <c r="A187">
        <v>186</v>
      </c>
      <c r="B187" cm="1">
        <f t="array" ref="B187:L187">_xlfn.XLOOKUP($A187,Instagram_Usage_Lifestyle_Mini_!$A:$A,Instagram_Usage_Lifestyle_Mini_!$L:$V,"Not Found")</f>
        <v>4.8</v>
      </c>
      <c r="C187">
        <v>8.1999999999999993</v>
      </c>
      <c r="D187" t="str">
        <v>Good</v>
      </c>
      <c r="E187" t="str">
        <v>No</v>
      </c>
      <c r="F187" t="str">
        <v>Never</v>
      </c>
      <c r="G187">
        <v>5</v>
      </c>
      <c r="H187">
        <v>1</v>
      </c>
      <c r="I187">
        <v>26</v>
      </c>
      <c r="J187">
        <v>158</v>
      </c>
      <c r="K187">
        <v>79</v>
      </c>
      <c r="L187">
        <v>8020</v>
      </c>
      <c r="M187" t="str" cm="1">
        <f t="array" ref="M187">_xlfn.IFS(C187&lt;6,"Poor",C187&lt;=8,"Normal",TRUE,"High")</f>
        <v>High</v>
      </c>
    </row>
    <row r="188" spans="1:13" x14ac:dyDescent="0.2">
      <c r="A188">
        <v>187</v>
      </c>
      <c r="B188" cm="1">
        <f t="array" ref="B188:L188">_xlfn.XLOOKUP($A188,Instagram_Usage_Lifestyle_Mini_!$A:$A,Instagram_Usage_Lifestyle_Mini_!$L:$V,"Not Found")</f>
        <v>2.7</v>
      </c>
      <c r="C188">
        <v>6.5</v>
      </c>
      <c r="D188" t="str">
        <v>Good</v>
      </c>
      <c r="E188" t="str">
        <v>No</v>
      </c>
      <c r="F188" t="str">
        <v>Rarely</v>
      </c>
      <c r="G188">
        <v>6</v>
      </c>
      <c r="H188">
        <v>8</v>
      </c>
      <c r="I188">
        <v>27.5</v>
      </c>
      <c r="J188">
        <v>134</v>
      </c>
      <c r="K188">
        <v>71</v>
      </c>
      <c r="L188">
        <v>7919</v>
      </c>
      <c r="M188" t="str" cm="1">
        <f t="array" ref="M188">_xlfn.IFS(C188&lt;6,"Poor",C188&lt;=8,"Normal",TRUE,"High")</f>
        <v>Normal</v>
      </c>
    </row>
    <row r="189" spans="1:13" x14ac:dyDescent="0.2">
      <c r="A189">
        <v>188</v>
      </c>
      <c r="B189" cm="1">
        <f t="array" ref="B189:L189">_xlfn.XLOOKUP($A189,Instagram_Usage_Lifestyle_Mini_!$A:$A,Instagram_Usage_Lifestyle_Mini_!$L:$V,"Not Found")</f>
        <v>15.2</v>
      </c>
      <c r="C189">
        <v>6.7</v>
      </c>
      <c r="D189" t="str">
        <v>Average</v>
      </c>
      <c r="E189" t="str">
        <v>No</v>
      </c>
      <c r="F189" t="str">
        <v>Daily</v>
      </c>
      <c r="G189">
        <v>23</v>
      </c>
      <c r="H189">
        <v>1</v>
      </c>
      <c r="I189">
        <v>24.5</v>
      </c>
      <c r="J189">
        <v>150</v>
      </c>
      <c r="K189">
        <v>85</v>
      </c>
      <c r="L189">
        <v>8121</v>
      </c>
      <c r="M189" t="str" cm="1">
        <f t="array" ref="M189">_xlfn.IFS(C189&lt;6,"Poor",C189&lt;=8,"Normal",TRUE,"High")</f>
        <v>Normal</v>
      </c>
    </row>
    <row r="190" spans="1:13" x14ac:dyDescent="0.2">
      <c r="A190">
        <v>189</v>
      </c>
      <c r="B190" cm="1">
        <f t="array" ref="B190:L190">_xlfn.XLOOKUP($A190,Instagram_Usage_Lifestyle_Mini_!$A:$A,Instagram_Usage_Lifestyle_Mini_!$L:$V,"Not Found")</f>
        <v>12.8</v>
      </c>
      <c r="C190">
        <v>7.6</v>
      </c>
      <c r="D190" t="str">
        <v>Good</v>
      </c>
      <c r="E190" t="str">
        <v>Yes</v>
      </c>
      <c r="F190" t="str">
        <v>Never</v>
      </c>
      <c r="G190">
        <v>24</v>
      </c>
      <c r="H190">
        <v>10</v>
      </c>
      <c r="I190">
        <v>25.2</v>
      </c>
      <c r="J190">
        <v>145</v>
      </c>
      <c r="K190">
        <v>69</v>
      </c>
      <c r="L190">
        <v>8006</v>
      </c>
      <c r="M190" t="str" cm="1">
        <f t="array" ref="M190">_xlfn.IFS(C190&lt;6,"Poor",C190&lt;=8,"Normal",TRUE,"High")</f>
        <v>Normal</v>
      </c>
    </row>
    <row r="191" spans="1:13" x14ac:dyDescent="0.2">
      <c r="A191">
        <v>190</v>
      </c>
      <c r="B191" cm="1">
        <f t="array" ref="B191:L191">_xlfn.XLOOKUP($A191,Instagram_Usage_Lifestyle_Mini_!$A:$A,Instagram_Usage_Lifestyle_Mini_!$L:$V,"Not Found")</f>
        <v>10.8</v>
      </c>
      <c r="C191">
        <v>5.9</v>
      </c>
      <c r="D191" t="str">
        <v>Good</v>
      </c>
      <c r="E191" t="str">
        <v>Yes</v>
      </c>
      <c r="F191" t="str">
        <v>Rarely</v>
      </c>
      <c r="G191">
        <v>28</v>
      </c>
      <c r="H191">
        <v>6</v>
      </c>
      <c r="I191">
        <v>24.4</v>
      </c>
      <c r="J191">
        <v>106</v>
      </c>
      <c r="K191">
        <v>85</v>
      </c>
      <c r="L191">
        <v>7939</v>
      </c>
      <c r="M191" t="str" cm="1">
        <f t="array" ref="M191">_xlfn.IFS(C191&lt;6,"Poor",C191&lt;=8,"Normal",TRUE,"High")</f>
        <v>Poor</v>
      </c>
    </row>
    <row r="192" spans="1:13" x14ac:dyDescent="0.2">
      <c r="A192">
        <v>191</v>
      </c>
      <c r="B192" cm="1">
        <f t="array" ref="B192:L192">_xlfn.XLOOKUP($A192,Instagram_Usage_Lifestyle_Mini_!$A:$A,Instagram_Usage_Lifestyle_Mini_!$L:$V,"Not Found")</f>
        <v>7.5</v>
      </c>
      <c r="C192">
        <v>6.6</v>
      </c>
      <c r="D192" t="str">
        <v>Good</v>
      </c>
      <c r="E192" t="str">
        <v>Yes</v>
      </c>
      <c r="F192" t="str">
        <v>Rarely</v>
      </c>
      <c r="G192">
        <v>30</v>
      </c>
      <c r="H192">
        <v>7</v>
      </c>
      <c r="I192">
        <v>27.3</v>
      </c>
      <c r="J192">
        <v>99</v>
      </c>
      <c r="K192">
        <v>83</v>
      </c>
      <c r="L192">
        <v>8001</v>
      </c>
      <c r="M192" t="str" cm="1">
        <f t="array" ref="M192">_xlfn.IFS(C192&lt;6,"Poor",C192&lt;=8,"Normal",TRUE,"High")</f>
        <v>Normal</v>
      </c>
    </row>
    <row r="193" spans="1:13" x14ac:dyDescent="0.2">
      <c r="A193">
        <v>192</v>
      </c>
      <c r="B193" cm="1">
        <f t="array" ref="B193:L193">_xlfn.XLOOKUP($A193,Instagram_Usage_Lifestyle_Mini_!$A:$A,Instagram_Usage_Lifestyle_Mini_!$L:$V,"Not Found")</f>
        <v>6.3</v>
      </c>
      <c r="C193">
        <v>7.3</v>
      </c>
      <c r="D193" t="str">
        <v>Average</v>
      </c>
      <c r="E193" t="str">
        <v>No</v>
      </c>
      <c r="F193" t="str">
        <v>Weekly</v>
      </c>
      <c r="G193">
        <v>8</v>
      </c>
      <c r="H193">
        <v>7</v>
      </c>
      <c r="I193">
        <v>28.5</v>
      </c>
      <c r="J193">
        <v>123</v>
      </c>
      <c r="K193">
        <v>80</v>
      </c>
      <c r="L193">
        <v>8026</v>
      </c>
      <c r="M193" t="str" cm="1">
        <f t="array" ref="M193">_xlfn.IFS(C193&lt;6,"Poor",C193&lt;=8,"Normal",TRUE,"High")</f>
        <v>Normal</v>
      </c>
    </row>
    <row r="194" spans="1:13" x14ac:dyDescent="0.2">
      <c r="A194">
        <v>193</v>
      </c>
      <c r="B194" cm="1">
        <f t="array" ref="B194:L194">_xlfn.XLOOKUP($A194,Instagram_Usage_Lifestyle_Mini_!$A:$A,Instagram_Usage_Lifestyle_Mini_!$L:$V,"Not Found")</f>
        <v>6.5</v>
      </c>
      <c r="C194">
        <v>8.3000000000000007</v>
      </c>
      <c r="D194" t="str">
        <v>Good</v>
      </c>
      <c r="E194" t="str">
        <v>No</v>
      </c>
      <c r="F194" t="str">
        <v>Never</v>
      </c>
      <c r="G194">
        <v>31</v>
      </c>
      <c r="H194">
        <v>7</v>
      </c>
      <c r="I194">
        <v>22.5</v>
      </c>
      <c r="J194">
        <v>109</v>
      </c>
      <c r="K194">
        <v>77</v>
      </c>
      <c r="L194">
        <v>7866</v>
      </c>
      <c r="M194" t="str" cm="1">
        <f t="array" ref="M194">_xlfn.IFS(C194&lt;6,"Poor",C194&lt;=8,"Normal",TRUE,"High")</f>
        <v>High</v>
      </c>
    </row>
    <row r="195" spans="1:13" x14ac:dyDescent="0.2">
      <c r="A195">
        <v>194</v>
      </c>
      <c r="B195" cm="1">
        <f t="array" ref="B195:L195">_xlfn.XLOOKUP($A195,Instagram_Usage_Lifestyle_Mini_!$A:$A,Instagram_Usage_Lifestyle_Mini_!$L:$V,"Not Found")</f>
        <v>8.4</v>
      </c>
      <c r="C195">
        <v>7.8</v>
      </c>
      <c r="D195" t="str">
        <v>Very_poor</v>
      </c>
      <c r="E195" t="str">
        <v>No</v>
      </c>
      <c r="F195" t="str">
        <v>Rarely</v>
      </c>
      <c r="G195">
        <v>31</v>
      </c>
      <c r="H195">
        <v>9</v>
      </c>
      <c r="I195">
        <v>21.4</v>
      </c>
      <c r="J195">
        <v>157</v>
      </c>
      <c r="K195">
        <v>95</v>
      </c>
      <c r="L195">
        <v>8159</v>
      </c>
      <c r="M195" t="str" cm="1">
        <f t="array" ref="M195">_xlfn.IFS(C195&lt;6,"Poor",C195&lt;=8,"Normal",TRUE,"High")</f>
        <v>Normal</v>
      </c>
    </row>
    <row r="196" spans="1:13" x14ac:dyDescent="0.2">
      <c r="A196">
        <v>195</v>
      </c>
      <c r="B196" cm="1">
        <f t="array" ref="B196:L196">_xlfn.XLOOKUP($A196,Instagram_Usage_Lifestyle_Mini_!$A:$A,Instagram_Usage_Lifestyle_Mini_!$L:$V,"Not Found")</f>
        <v>4.5</v>
      </c>
      <c r="C196">
        <v>7.4</v>
      </c>
      <c r="D196" t="str">
        <v>Very_poor</v>
      </c>
      <c r="E196" t="str">
        <v>Yes</v>
      </c>
      <c r="F196" t="str">
        <v>Rarely</v>
      </c>
      <c r="G196">
        <v>38</v>
      </c>
      <c r="H196">
        <v>7</v>
      </c>
      <c r="I196">
        <v>30.4</v>
      </c>
      <c r="J196">
        <v>95</v>
      </c>
      <c r="K196">
        <v>84</v>
      </c>
      <c r="L196">
        <v>7938</v>
      </c>
      <c r="M196" t="str" cm="1">
        <f t="array" ref="M196">_xlfn.IFS(C196&lt;6,"Poor",C196&lt;=8,"Normal",TRUE,"High")</f>
        <v>Normal</v>
      </c>
    </row>
    <row r="197" spans="1:13" x14ac:dyDescent="0.2">
      <c r="A197">
        <v>196</v>
      </c>
      <c r="B197" cm="1">
        <f t="array" ref="B197:L197">_xlfn.XLOOKUP($A197,Instagram_Usage_Lifestyle_Mini_!$A:$A,Instagram_Usage_Lifestyle_Mini_!$L:$V,"Not Found")</f>
        <v>4.9000000000000004</v>
      </c>
      <c r="C197">
        <v>7.7</v>
      </c>
      <c r="D197" t="str">
        <v>Average</v>
      </c>
      <c r="E197" t="str">
        <v>Former</v>
      </c>
      <c r="F197" t="str">
        <v>Rarely</v>
      </c>
      <c r="G197">
        <v>36</v>
      </c>
      <c r="H197">
        <v>10</v>
      </c>
      <c r="I197">
        <v>28.4</v>
      </c>
      <c r="J197">
        <v>107</v>
      </c>
      <c r="K197">
        <v>95</v>
      </c>
      <c r="L197">
        <v>8046</v>
      </c>
      <c r="M197" t="str" cm="1">
        <f t="array" ref="M197">_xlfn.IFS(C197&lt;6,"Poor",C197&lt;=8,"Normal",TRUE,"High")</f>
        <v>Normal</v>
      </c>
    </row>
    <row r="198" spans="1:13" x14ac:dyDescent="0.2">
      <c r="A198">
        <v>197</v>
      </c>
      <c r="B198" cm="1">
        <f t="array" ref="B198:L198">_xlfn.XLOOKUP($A198,Instagram_Usage_Lifestyle_Mini_!$A:$A,Instagram_Usage_Lifestyle_Mini_!$L:$V,"Not Found")</f>
        <v>4.8</v>
      </c>
      <c r="C198">
        <v>6.7</v>
      </c>
      <c r="D198" t="str">
        <v>Good</v>
      </c>
      <c r="E198" t="str">
        <v>No</v>
      </c>
      <c r="F198" t="str">
        <v>Several_times_a_week</v>
      </c>
      <c r="G198">
        <v>12</v>
      </c>
      <c r="H198">
        <v>5</v>
      </c>
      <c r="I198">
        <v>25.7</v>
      </c>
      <c r="J198">
        <v>97</v>
      </c>
      <c r="K198">
        <v>97</v>
      </c>
      <c r="L198">
        <v>8032</v>
      </c>
      <c r="M198" t="str" cm="1">
        <f t="array" ref="M198">_xlfn.IFS(C198&lt;6,"Poor",C198&lt;=8,"Normal",TRUE,"High")</f>
        <v>Normal</v>
      </c>
    </row>
    <row r="199" spans="1:13" x14ac:dyDescent="0.2">
      <c r="A199">
        <v>198</v>
      </c>
      <c r="B199" cm="1">
        <f t="array" ref="B199:L199">_xlfn.XLOOKUP($A199,Instagram_Usage_Lifestyle_Mini_!$A:$A,Instagram_Usage_Lifestyle_Mini_!$L:$V,"Not Found")</f>
        <v>3.2</v>
      </c>
      <c r="C199">
        <v>7.7</v>
      </c>
      <c r="D199" t="str">
        <v>Average</v>
      </c>
      <c r="E199" t="str">
        <v>No</v>
      </c>
      <c r="F199" t="str">
        <v>Rarely</v>
      </c>
      <c r="G199">
        <v>35</v>
      </c>
      <c r="H199">
        <v>7</v>
      </c>
      <c r="I199">
        <v>24.5</v>
      </c>
      <c r="J199">
        <v>109</v>
      </c>
      <c r="K199">
        <v>79</v>
      </c>
      <c r="L199">
        <v>8001</v>
      </c>
      <c r="M199" t="str" cm="1">
        <f t="array" ref="M199">_xlfn.IFS(C199&lt;6,"Poor",C199&lt;=8,"Normal",TRUE,"High")</f>
        <v>Normal</v>
      </c>
    </row>
    <row r="200" spans="1:13" x14ac:dyDescent="0.2">
      <c r="A200">
        <v>199</v>
      </c>
      <c r="B200" cm="1">
        <f t="array" ref="B200:L200">_xlfn.XLOOKUP($A200,Instagram_Usage_Lifestyle_Mini_!$A:$A,Instagram_Usage_Lifestyle_Mini_!$L:$V,"Not Found")</f>
        <v>8.8000000000000007</v>
      </c>
      <c r="C200">
        <v>4.5999999999999996</v>
      </c>
      <c r="D200" t="str">
        <v>Poor</v>
      </c>
      <c r="E200" t="str">
        <v>No</v>
      </c>
      <c r="F200" t="str">
        <v>Weekly</v>
      </c>
      <c r="G200">
        <v>0</v>
      </c>
      <c r="H200">
        <v>9</v>
      </c>
      <c r="I200">
        <v>27.4</v>
      </c>
      <c r="J200">
        <v>103</v>
      </c>
      <c r="K200">
        <v>66</v>
      </c>
      <c r="L200">
        <v>7955</v>
      </c>
      <c r="M200" t="str" cm="1">
        <f t="array" ref="M200">_xlfn.IFS(C200&lt;6,"Poor",C200&lt;=8,"Normal",TRUE,"High")</f>
        <v>Poor</v>
      </c>
    </row>
    <row r="201" spans="1:13" x14ac:dyDescent="0.2">
      <c r="A201">
        <v>200</v>
      </c>
      <c r="B201" cm="1">
        <f t="array" ref="B201:L201">_xlfn.XLOOKUP($A201,Instagram_Usage_Lifestyle_Mini_!$A:$A,Instagram_Usage_Lifestyle_Mini_!$L:$V,"Not Found")</f>
        <v>12.9</v>
      </c>
      <c r="C201">
        <v>5.0999999999999996</v>
      </c>
      <c r="D201" t="str">
        <v>Average</v>
      </c>
      <c r="E201" t="str">
        <v>No</v>
      </c>
      <c r="F201" t="str">
        <v>Several_times_a_week</v>
      </c>
      <c r="G201">
        <v>16</v>
      </c>
      <c r="H201">
        <v>9</v>
      </c>
      <c r="I201">
        <v>26.2</v>
      </c>
      <c r="J201">
        <v>130</v>
      </c>
      <c r="K201">
        <v>73</v>
      </c>
      <c r="L201">
        <v>8036</v>
      </c>
      <c r="M201" t="str" cm="1">
        <f t="array" ref="M201">_xlfn.IFS(C201&lt;6,"Poor",C201&lt;=8,"Normal",TRUE,"High")</f>
        <v>Poor</v>
      </c>
    </row>
    <row r="202" spans="1:13" x14ac:dyDescent="0.2">
      <c r="A202">
        <v>201</v>
      </c>
      <c r="B202" cm="1">
        <f t="array" ref="B202:L202">_xlfn.XLOOKUP($A202,Instagram_Usage_Lifestyle_Mini_!$A:$A,Instagram_Usage_Lifestyle_Mini_!$L:$V,"Not Found")</f>
        <v>5</v>
      </c>
      <c r="C202">
        <v>6.7</v>
      </c>
      <c r="D202" t="str">
        <v>Very_poor</v>
      </c>
      <c r="E202" t="str">
        <v>Yes</v>
      </c>
      <c r="F202" t="str">
        <v>Weekly</v>
      </c>
      <c r="G202">
        <v>19</v>
      </c>
      <c r="H202">
        <v>4</v>
      </c>
      <c r="I202">
        <v>28.3</v>
      </c>
      <c r="J202">
        <v>141</v>
      </c>
      <c r="K202">
        <v>83</v>
      </c>
      <c r="L202">
        <v>8056</v>
      </c>
      <c r="M202" t="str" cm="1">
        <f t="array" ref="M202">_xlfn.IFS(C202&lt;6,"Poor",C202&lt;=8,"Normal",TRUE,"High")</f>
        <v>Normal</v>
      </c>
    </row>
    <row r="203" spans="1:13" x14ac:dyDescent="0.2">
      <c r="A203">
        <v>202</v>
      </c>
      <c r="B203" cm="1">
        <f t="array" ref="B203:L203">_xlfn.XLOOKUP($A203,Instagram_Usage_Lifestyle_Mini_!$A:$A,Instagram_Usage_Lifestyle_Mini_!$L:$V,"Not Found")</f>
        <v>7.1</v>
      </c>
      <c r="C203">
        <v>7.4</v>
      </c>
      <c r="D203" t="str">
        <v>Excellent</v>
      </c>
      <c r="E203" t="str">
        <v>No</v>
      </c>
      <c r="F203" t="str">
        <v>Rarely</v>
      </c>
      <c r="G203">
        <v>22</v>
      </c>
      <c r="H203">
        <v>3</v>
      </c>
      <c r="I203">
        <v>25.5</v>
      </c>
      <c r="J203">
        <v>149</v>
      </c>
      <c r="K203">
        <v>89</v>
      </c>
      <c r="L203">
        <v>8043</v>
      </c>
      <c r="M203" t="str" cm="1">
        <f t="array" ref="M203">_xlfn.IFS(C203&lt;6,"Poor",C203&lt;=8,"Normal",TRUE,"High")</f>
        <v>Normal</v>
      </c>
    </row>
    <row r="204" spans="1:13" x14ac:dyDescent="0.2">
      <c r="A204">
        <v>203</v>
      </c>
      <c r="B204" cm="1">
        <f t="array" ref="B204:L204">_xlfn.XLOOKUP($A204,Instagram_Usage_Lifestyle_Mini_!$A:$A,Instagram_Usage_Lifestyle_Mini_!$L:$V,"Not Found")</f>
        <v>6</v>
      </c>
      <c r="C204">
        <v>5</v>
      </c>
      <c r="D204" t="str">
        <v>Good</v>
      </c>
      <c r="E204" t="str">
        <v>No</v>
      </c>
      <c r="F204" t="str">
        <v>Several_times_a_week</v>
      </c>
      <c r="G204">
        <v>40</v>
      </c>
      <c r="H204">
        <v>3</v>
      </c>
      <c r="I204">
        <v>17.8</v>
      </c>
      <c r="J204">
        <v>117</v>
      </c>
      <c r="K204">
        <v>82</v>
      </c>
      <c r="L204">
        <v>8002</v>
      </c>
      <c r="M204" t="str" cm="1">
        <f t="array" ref="M204">_xlfn.IFS(C204&lt;6,"Poor",C204&lt;=8,"Normal",TRUE,"High")</f>
        <v>Poor</v>
      </c>
    </row>
    <row r="205" spans="1:13" x14ac:dyDescent="0.2">
      <c r="A205">
        <v>204</v>
      </c>
      <c r="B205" cm="1">
        <f t="array" ref="B205:L205">_xlfn.XLOOKUP($A205,Instagram_Usage_Lifestyle_Mini_!$A:$A,Instagram_Usage_Lifestyle_Mini_!$L:$V,"Not Found")</f>
        <v>7.3</v>
      </c>
      <c r="C205">
        <v>6.2</v>
      </c>
      <c r="D205" t="str">
        <v>Average</v>
      </c>
      <c r="E205" t="str">
        <v>No</v>
      </c>
      <c r="F205" t="str">
        <v>Weekly</v>
      </c>
      <c r="G205">
        <v>7</v>
      </c>
      <c r="H205">
        <v>10</v>
      </c>
      <c r="I205">
        <v>21.2</v>
      </c>
      <c r="J205">
        <v>149</v>
      </c>
      <c r="K205">
        <v>63</v>
      </c>
      <c r="L205">
        <v>7946</v>
      </c>
      <c r="M205" t="str" cm="1">
        <f t="array" ref="M205">_xlfn.IFS(C205&lt;6,"Poor",C205&lt;=8,"Normal",TRUE,"High")</f>
        <v>Normal</v>
      </c>
    </row>
    <row r="206" spans="1:13" x14ac:dyDescent="0.2">
      <c r="A206">
        <v>205</v>
      </c>
      <c r="B206" cm="1">
        <f t="array" ref="B206:L206">_xlfn.XLOOKUP($A206,Instagram_Usage_Lifestyle_Mini_!$A:$A,Instagram_Usage_Lifestyle_Mini_!$L:$V,"Not Found")</f>
        <v>2.1</v>
      </c>
      <c r="C206">
        <v>6.4</v>
      </c>
      <c r="D206" t="str">
        <v>Average</v>
      </c>
      <c r="E206" t="str">
        <v>Yes</v>
      </c>
      <c r="F206" t="str">
        <v>Rarely</v>
      </c>
      <c r="G206">
        <v>16</v>
      </c>
      <c r="H206">
        <v>3</v>
      </c>
      <c r="I206">
        <v>26.5</v>
      </c>
      <c r="J206">
        <v>140</v>
      </c>
      <c r="K206">
        <v>83</v>
      </c>
      <c r="L206">
        <v>7984</v>
      </c>
      <c r="M206" t="str" cm="1">
        <f t="array" ref="M206">_xlfn.IFS(C206&lt;6,"Poor",C206&lt;=8,"Normal",TRUE,"High")</f>
        <v>Normal</v>
      </c>
    </row>
    <row r="207" spans="1:13" x14ac:dyDescent="0.2">
      <c r="A207">
        <v>206</v>
      </c>
      <c r="B207" cm="1">
        <f t="array" ref="B207:L207">_xlfn.XLOOKUP($A207,Instagram_Usage_Lifestyle_Mini_!$A:$A,Instagram_Usage_Lifestyle_Mini_!$L:$V,"Not Found")</f>
        <v>5.6</v>
      </c>
      <c r="C207">
        <v>7.1</v>
      </c>
      <c r="D207" t="str">
        <v>Average</v>
      </c>
      <c r="E207" t="str">
        <v>No</v>
      </c>
      <c r="F207" t="str">
        <v>Rarely</v>
      </c>
      <c r="G207">
        <v>25</v>
      </c>
      <c r="H207">
        <v>5</v>
      </c>
      <c r="I207">
        <v>25.5</v>
      </c>
      <c r="J207">
        <v>130</v>
      </c>
      <c r="K207">
        <v>68</v>
      </c>
      <c r="L207">
        <v>7975</v>
      </c>
      <c r="M207" t="str" cm="1">
        <f t="array" ref="M207">_xlfn.IFS(C207&lt;6,"Poor",C207&lt;=8,"Normal",TRUE,"High")</f>
        <v>Normal</v>
      </c>
    </row>
    <row r="208" spans="1:13" x14ac:dyDescent="0.2">
      <c r="A208">
        <v>207</v>
      </c>
      <c r="B208" cm="1">
        <f t="array" ref="B208:L208">_xlfn.XLOOKUP($A208,Instagram_Usage_Lifestyle_Mini_!$A:$A,Instagram_Usage_Lifestyle_Mini_!$L:$V,"Not Found")</f>
        <v>6.9</v>
      </c>
      <c r="C208">
        <v>5.7</v>
      </c>
      <c r="D208" t="str">
        <v>Average</v>
      </c>
      <c r="E208" t="str">
        <v>No</v>
      </c>
      <c r="F208" t="str">
        <v>Weekly</v>
      </c>
      <c r="G208">
        <v>27</v>
      </c>
      <c r="H208">
        <v>2</v>
      </c>
      <c r="I208">
        <v>24.5</v>
      </c>
      <c r="J208">
        <v>136</v>
      </c>
      <c r="K208">
        <v>88</v>
      </c>
      <c r="L208">
        <v>8188</v>
      </c>
      <c r="M208" t="str" cm="1">
        <f t="array" ref="M208">_xlfn.IFS(C208&lt;6,"Poor",C208&lt;=8,"Normal",TRUE,"High")</f>
        <v>Poor</v>
      </c>
    </row>
    <row r="209" spans="1:13" x14ac:dyDescent="0.2">
      <c r="A209">
        <v>208</v>
      </c>
      <c r="B209" cm="1">
        <f t="array" ref="B209:L209">_xlfn.XLOOKUP($A209,Instagram_Usage_Lifestyle_Mini_!$A:$A,Instagram_Usage_Lifestyle_Mini_!$L:$V,"Not Found")</f>
        <v>6.1</v>
      </c>
      <c r="C209">
        <v>8.6</v>
      </c>
      <c r="D209" t="str">
        <v>Very_poor</v>
      </c>
      <c r="E209" t="str">
        <v>No</v>
      </c>
      <c r="F209" t="str">
        <v>Rarely</v>
      </c>
      <c r="G209">
        <v>40</v>
      </c>
      <c r="H209">
        <v>9</v>
      </c>
      <c r="I209">
        <v>29.9</v>
      </c>
      <c r="J209">
        <v>122</v>
      </c>
      <c r="K209">
        <v>97</v>
      </c>
      <c r="L209">
        <v>7954</v>
      </c>
      <c r="M209" t="str" cm="1">
        <f t="array" ref="M209">_xlfn.IFS(C209&lt;6,"Poor",C209&lt;=8,"Normal",TRUE,"High")</f>
        <v>High</v>
      </c>
    </row>
    <row r="210" spans="1:13" x14ac:dyDescent="0.2">
      <c r="A210">
        <v>209</v>
      </c>
      <c r="B210" cm="1">
        <f t="array" ref="B210:L210">_xlfn.XLOOKUP($A210,Instagram_Usage_Lifestyle_Mini_!$A:$A,Instagram_Usage_Lifestyle_Mini_!$L:$V,"Not Found")</f>
        <v>5.7</v>
      </c>
      <c r="C210">
        <v>8.1</v>
      </c>
      <c r="D210" t="str">
        <v>Excellent</v>
      </c>
      <c r="E210" t="str">
        <v>No</v>
      </c>
      <c r="F210" t="str">
        <v>Weekly</v>
      </c>
      <c r="G210">
        <v>27</v>
      </c>
      <c r="H210">
        <v>8</v>
      </c>
      <c r="I210">
        <v>24.3</v>
      </c>
      <c r="J210">
        <v>117</v>
      </c>
      <c r="K210">
        <v>75</v>
      </c>
      <c r="L210">
        <v>8220</v>
      </c>
      <c r="M210" t="str" cm="1">
        <f t="array" ref="M210">_xlfn.IFS(C210&lt;6,"Poor",C210&lt;=8,"Normal",TRUE,"High")</f>
        <v>High</v>
      </c>
    </row>
    <row r="211" spans="1:13" x14ac:dyDescent="0.2">
      <c r="A211">
        <v>210</v>
      </c>
      <c r="B211" cm="1">
        <f t="array" ref="B211:L211">_xlfn.XLOOKUP($A211,Instagram_Usage_Lifestyle_Mini_!$A:$A,Instagram_Usage_Lifestyle_Mini_!$L:$V,"Not Found")</f>
        <v>7.1</v>
      </c>
      <c r="C211">
        <v>7.8</v>
      </c>
      <c r="D211" t="str">
        <v>Excellent</v>
      </c>
      <c r="E211" t="str">
        <v>No</v>
      </c>
      <c r="F211" t="str">
        <v>Never</v>
      </c>
      <c r="G211">
        <v>8</v>
      </c>
      <c r="H211">
        <v>6</v>
      </c>
      <c r="I211">
        <v>23.6</v>
      </c>
      <c r="J211">
        <v>135</v>
      </c>
      <c r="K211">
        <v>63</v>
      </c>
      <c r="L211">
        <v>8207</v>
      </c>
      <c r="M211" t="str" cm="1">
        <f t="array" ref="M211">_xlfn.IFS(C211&lt;6,"Poor",C211&lt;=8,"Normal",TRUE,"High")</f>
        <v>Normal</v>
      </c>
    </row>
    <row r="212" spans="1:13" x14ac:dyDescent="0.2">
      <c r="A212">
        <v>211</v>
      </c>
      <c r="B212" cm="1">
        <f t="array" ref="B212:L212">_xlfn.XLOOKUP($A212,Instagram_Usage_Lifestyle_Mini_!$A:$A,Instagram_Usage_Lifestyle_Mini_!$L:$V,"Not Found")</f>
        <v>9.1</v>
      </c>
      <c r="C212">
        <v>7.5</v>
      </c>
      <c r="D212" t="str">
        <v>Average</v>
      </c>
      <c r="E212" t="str">
        <v>No</v>
      </c>
      <c r="F212" t="str">
        <v>Several_times_a_week</v>
      </c>
      <c r="G212">
        <v>11</v>
      </c>
      <c r="H212">
        <v>3</v>
      </c>
      <c r="I212">
        <v>28.3</v>
      </c>
      <c r="J212">
        <v>139</v>
      </c>
      <c r="K212">
        <v>95</v>
      </c>
      <c r="L212">
        <v>8038</v>
      </c>
      <c r="M212" t="str" cm="1">
        <f t="array" ref="M212">_xlfn.IFS(C212&lt;6,"Poor",C212&lt;=8,"Normal",TRUE,"High")</f>
        <v>Normal</v>
      </c>
    </row>
    <row r="213" spans="1:13" x14ac:dyDescent="0.2">
      <c r="A213">
        <v>212</v>
      </c>
      <c r="B213" cm="1">
        <f t="array" ref="B213:L213">_xlfn.XLOOKUP($A213,Instagram_Usage_Lifestyle_Mini_!$A:$A,Instagram_Usage_Lifestyle_Mini_!$L:$V,"Not Found")</f>
        <v>2.8</v>
      </c>
      <c r="C213">
        <v>7.3</v>
      </c>
      <c r="D213" t="str">
        <v>Good</v>
      </c>
      <c r="E213" t="str">
        <v>No</v>
      </c>
      <c r="F213" t="str">
        <v>Rarely</v>
      </c>
      <c r="G213">
        <v>23</v>
      </c>
      <c r="H213">
        <v>5</v>
      </c>
      <c r="I213">
        <v>26.6</v>
      </c>
      <c r="J213">
        <v>145</v>
      </c>
      <c r="K213">
        <v>76</v>
      </c>
      <c r="L213">
        <v>7977</v>
      </c>
      <c r="M213" t="str" cm="1">
        <f t="array" ref="M213">_xlfn.IFS(C213&lt;6,"Poor",C213&lt;=8,"Normal",TRUE,"High")</f>
        <v>Normal</v>
      </c>
    </row>
    <row r="214" spans="1:13" x14ac:dyDescent="0.2">
      <c r="A214">
        <v>213</v>
      </c>
      <c r="B214" cm="1">
        <f t="array" ref="B214:L214">_xlfn.XLOOKUP($A214,Instagram_Usage_Lifestyle_Mini_!$A:$A,Instagram_Usage_Lifestyle_Mini_!$L:$V,"Not Found")</f>
        <v>8.5</v>
      </c>
      <c r="C214">
        <v>6.8</v>
      </c>
      <c r="D214" t="str">
        <v>Excellent</v>
      </c>
      <c r="E214" t="str">
        <v>Yes</v>
      </c>
      <c r="F214" t="str">
        <v>Weekly</v>
      </c>
      <c r="G214">
        <v>9</v>
      </c>
      <c r="H214">
        <v>10</v>
      </c>
      <c r="I214">
        <v>20.3</v>
      </c>
      <c r="J214">
        <v>115</v>
      </c>
      <c r="K214">
        <v>94</v>
      </c>
      <c r="L214">
        <v>7915</v>
      </c>
      <c r="M214" t="str" cm="1">
        <f t="array" ref="M214">_xlfn.IFS(C214&lt;6,"Poor",C214&lt;=8,"Normal",TRUE,"High")</f>
        <v>Normal</v>
      </c>
    </row>
    <row r="215" spans="1:13" x14ac:dyDescent="0.2">
      <c r="A215">
        <v>214</v>
      </c>
      <c r="B215" cm="1">
        <f t="array" ref="B215:L215">_xlfn.XLOOKUP($A215,Instagram_Usage_Lifestyle_Mini_!$A:$A,Instagram_Usage_Lifestyle_Mini_!$L:$V,"Not Found")</f>
        <v>4.0999999999999996</v>
      </c>
      <c r="C215">
        <v>6.7</v>
      </c>
      <c r="D215" t="str">
        <v>Poor</v>
      </c>
      <c r="E215" t="str">
        <v>Former</v>
      </c>
      <c r="F215" t="str">
        <v>Several_times_a_week</v>
      </c>
      <c r="G215">
        <v>35</v>
      </c>
      <c r="H215">
        <v>8</v>
      </c>
      <c r="I215">
        <v>23.7</v>
      </c>
      <c r="J215">
        <v>92</v>
      </c>
      <c r="K215">
        <v>94</v>
      </c>
      <c r="L215">
        <v>7797</v>
      </c>
      <c r="M215" t="str" cm="1">
        <f t="array" ref="M215">_xlfn.IFS(C215&lt;6,"Poor",C215&lt;=8,"Normal",TRUE,"High")</f>
        <v>Normal</v>
      </c>
    </row>
    <row r="216" spans="1:13" x14ac:dyDescent="0.2">
      <c r="A216">
        <v>215</v>
      </c>
      <c r="B216" cm="1">
        <f t="array" ref="B216:L216">_xlfn.XLOOKUP($A216,Instagram_Usage_Lifestyle_Mini_!$A:$A,Instagram_Usage_Lifestyle_Mini_!$L:$V,"Not Found")</f>
        <v>6.4</v>
      </c>
      <c r="C216">
        <v>7.4</v>
      </c>
      <c r="D216" t="str">
        <v>Poor</v>
      </c>
      <c r="E216" t="str">
        <v>No</v>
      </c>
      <c r="F216" t="str">
        <v>Rarely</v>
      </c>
      <c r="G216">
        <v>28</v>
      </c>
      <c r="H216">
        <v>4</v>
      </c>
      <c r="I216">
        <v>18.8</v>
      </c>
      <c r="J216">
        <v>90</v>
      </c>
      <c r="K216">
        <v>64</v>
      </c>
      <c r="L216">
        <v>7954</v>
      </c>
      <c r="M216" t="str" cm="1">
        <f t="array" ref="M216">_xlfn.IFS(C216&lt;6,"Poor",C216&lt;=8,"Normal",TRUE,"High")</f>
        <v>Normal</v>
      </c>
    </row>
    <row r="217" spans="1:13" x14ac:dyDescent="0.2">
      <c r="A217">
        <v>216</v>
      </c>
      <c r="B217" cm="1">
        <f t="array" ref="B217:L217">_xlfn.XLOOKUP($A217,Instagram_Usage_Lifestyle_Mini_!$A:$A,Instagram_Usage_Lifestyle_Mini_!$L:$V,"Not Found")</f>
        <v>6.9</v>
      </c>
      <c r="C217">
        <v>7.2</v>
      </c>
      <c r="D217" t="str">
        <v>Average</v>
      </c>
      <c r="E217" t="str">
        <v>No</v>
      </c>
      <c r="F217" t="str">
        <v>Rarely</v>
      </c>
      <c r="G217">
        <v>31</v>
      </c>
      <c r="H217">
        <v>8</v>
      </c>
      <c r="I217">
        <v>20.399999999999999</v>
      </c>
      <c r="J217">
        <v>108</v>
      </c>
      <c r="K217">
        <v>92</v>
      </c>
      <c r="L217">
        <v>7939</v>
      </c>
      <c r="M217" t="str" cm="1">
        <f t="array" ref="M217">_xlfn.IFS(C217&lt;6,"Poor",C217&lt;=8,"Normal",TRUE,"High")</f>
        <v>Normal</v>
      </c>
    </row>
    <row r="218" spans="1:13" x14ac:dyDescent="0.2">
      <c r="A218">
        <v>217</v>
      </c>
      <c r="B218" cm="1">
        <f t="array" ref="B218:L218">_xlfn.XLOOKUP($A218,Instagram_Usage_Lifestyle_Mini_!$A:$A,Instagram_Usage_Lifestyle_Mini_!$L:$V,"Not Found")</f>
        <v>12.4</v>
      </c>
      <c r="C218">
        <v>7</v>
      </c>
      <c r="D218" t="str">
        <v>Average</v>
      </c>
      <c r="E218" t="str">
        <v>No</v>
      </c>
      <c r="F218" t="str">
        <v>Weekly</v>
      </c>
      <c r="G218">
        <v>32</v>
      </c>
      <c r="H218">
        <v>9</v>
      </c>
      <c r="I218">
        <v>21.7</v>
      </c>
      <c r="J218">
        <v>145</v>
      </c>
      <c r="K218">
        <v>92</v>
      </c>
      <c r="L218">
        <v>7966</v>
      </c>
      <c r="M218" t="str" cm="1">
        <f t="array" ref="M218">_xlfn.IFS(C218&lt;6,"Poor",C218&lt;=8,"Normal",TRUE,"High")</f>
        <v>Normal</v>
      </c>
    </row>
    <row r="219" spans="1:13" x14ac:dyDescent="0.2">
      <c r="A219">
        <v>218</v>
      </c>
      <c r="B219" cm="1">
        <f t="array" ref="B219:L219">_xlfn.XLOOKUP($A219,Instagram_Usage_Lifestyle_Mini_!$A:$A,Instagram_Usage_Lifestyle_Mini_!$L:$V,"Not Found")</f>
        <v>11.8</v>
      </c>
      <c r="C219">
        <v>6.7</v>
      </c>
      <c r="D219" t="str">
        <v>Poor</v>
      </c>
      <c r="E219" t="str">
        <v>No</v>
      </c>
      <c r="F219" t="str">
        <v>Several_times_a_week</v>
      </c>
      <c r="G219">
        <v>38</v>
      </c>
      <c r="H219">
        <v>5</v>
      </c>
      <c r="I219">
        <v>16.7</v>
      </c>
      <c r="J219">
        <v>98</v>
      </c>
      <c r="K219">
        <v>67</v>
      </c>
      <c r="L219">
        <v>8048</v>
      </c>
      <c r="M219" t="str" cm="1">
        <f t="array" ref="M219">_xlfn.IFS(C219&lt;6,"Poor",C219&lt;=8,"Normal",TRUE,"High")</f>
        <v>Normal</v>
      </c>
    </row>
    <row r="220" spans="1:13" x14ac:dyDescent="0.2">
      <c r="A220">
        <v>219</v>
      </c>
      <c r="B220" cm="1">
        <f t="array" ref="B220:L220">_xlfn.XLOOKUP($A220,Instagram_Usage_Lifestyle_Mini_!$A:$A,Instagram_Usage_Lifestyle_Mini_!$L:$V,"Not Found")</f>
        <v>5</v>
      </c>
      <c r="C220">
        <v>6.8</v>
      </c>
      <c r="D220" t="str">
        <v>Average</v>
      </c>
      <c r="E220" t="str">
        <v>No</v>
      </c>
      <c r="F220" t="str">
        <v>Never</v>
      </c>
      <c r="G220">
        <v>29</v>
      </c>
      <c r="H220">
        <v>3</v>
      </c>
      <c r="I220">
        <v>16.8</v>
      </c>
      <c r="J220">
        <v>118</v>
      </c>
      <c r="K220">
        <v>89</v>
      </c>
      <c r="L220">
        <v>7991</v>
      </c>
      <c r="M220" t="str" cm="1">
        <f t="array" ref="M220">_xlfn.IFS(C220&lt;6,"Poor",C220&lt;=8,"Normal",TRUE,"High")</f>
        <v>Normal</v>
      </c>
    </row>
    <row r="221" spans="1:13" x14ac:dyDescent="0.2">
      <c r="A221">
        <v>220</v>
      </c>
      <c r="B221" cm="1">
        <f t="array" ref="B221:L221">_xlfn.XLOOKUP($A221,Instagram_Usage_Lifestyle_Mini_!$A:$A,Instagram_Usage_Lifestyle_Mini_!$L:$V,"Not Found")</f>
        <v>3.8</v>
      </c>
      <c r="C221">
        <v>6.6</v>
      </c>
      <c r="D221" t="str">
        <v>Poor</v>
      </c>
      <c r="E221" t="str">
        <v>No</v>
      </c>
      <c r="F221" t="str">
        <v>Several_times_a_week</v>
      </c>
      <c r="G221">
        <v>29</v>
      </c>
      <c r="H221">
        <v>2</v>
      </c>
      <c r="I221">
        <v>23.5</v>
      </c>
      <c r="J221">
        <v>109</v>
      </c>
      <c r="K221">
        <v>84</v>
      </c>
      <c r="L221">
        <v>8023</v>
      </c>
      <c r="M221" t="str" cm="1">
        <f t="array" ref="M221">_xlfn.IFS(C221&lt;6,"Poor",C221&lt;=8,"Normal",TRUE,"High")</f>
        <v>Normal</v>
      </c>
    </row>
    <row r="222" spans="1:13" x14ac:dyDescent="0.2">
      <c r="A222">
        <v>221</v>
      </c>
      <c r="B222" cm="1">
        <f t="array" ref="B222:L222">_xlfn.XLOOKUP($A222,Instagram_Usage_Lifestyle_Mini_!$A:$A,Instagram_Usage_Lifestyle_Mini_!$L:$V,"Not Found")</f>
        <v>1.5</v>
      </c>
      <c r="C222">
        <v>5.6</v>
      </c>
      <c r="D222" t="str">
        <v>Poor</v>
      </c>
      <c r="E222" t="str">
        <v>No</v>
      </c>
      <c r="F222" t="str">
        <v>Rarely</v>
      </c>
      <c r="G222">
        <v>0</v>
      </c>
      <c r="H222">
        <v>6</v>
      </c>
      <c r="I222">
        <v>30.5</v>
      </c>
      <c r="J222">
        <v>112</v>
      </c>
      <c r="K222">
        <v>91</v>
      </c>
      <c r="L222">
        <v>8015</v>
      </c>
      <c r="M222" t="str" cm="1">
        <f t="array" ref="M222">_xlfn.IFS(C222&lt;6,"Poor",C222&lt;=8,"Normal",TRUE,"High")</f>
        <v>Poor</v>
      </c>
    </row>
    <row r="223" spans="1:13" x14ac:dyDescent="0.2">
      <c r="A223">
        <v>222</v>
      </c>
      <c r="B223" cm="1">
        <f t="array" ref="B223:L223">_xlfn.XLOOKUP($A223,Instagram_Usage_Lifestyle_Mini_!$A:$A,Instagram_Usage_Lifestyle_Mini_!$L:$V,"Not Found")</f>
        <v>11.1</v>
      </c>
      <c r="C223">
        <v>8.6999999999999993</v>
      </c>
      <c r="D223" t="str">
        <v>Poor</v>
      </c>
      <c r="E223" t="str">
        <v>Yes</v>
      </c>
      <c r="F223" t="str">
        <v>Daily</v>
      </c>
      <c r="G223">
        <v>24</v>
      </c>
      <c r="H223">
        <v>5</v>
      </c>
      <c r="I223">
        <v>22.9</v>
      </c>
      <c r="J223">
        <v>102</v>
      </c>
      <c r="K223">
        <v>75</v>
      </c>
      <c r="L223">
        <v>8162</v>
      </c>
      <c r="M223" t="str" cm="1">
        <f t="array" ref="M223">_xlfn.IFS(C223&lt;6,"Poor",C223&lt;=8,"Normal",TRUE,"High")</f>
        <v>High</v>
      </c>
    </row>
    <row r="224" spans="1:13" x14ac:dyDescent="0.2">
      <c r="A224">
        <v>223</v>
      </c>
      <c r="B224" cm="1">
        <f t="array" ref="B224:L224">_xlfn.XLOOKUP($A224,Instagram_Usage_Lifestyle_Mini_!$A:$A,Instagram_Usage_Lifestyle_Mini_!$L:$V,"Not Found")</f>
        <v>8.1999999999999993</v>
      </c>
      <c r="C224">
        <v>6</v>
      </c>
      <c r="D224" t="str">
        <v>Very_poor</v>
      </c>
      <c r="E224" t="str">
        <v>Former</v>
      </c>
      <c r="F224" t="str">
        <v>Rarely</v>
      </c>
      <c r="G224">
        <v>20</v>
      </c>
      <c r="H224">
        <v>2</v>
      </c>
      <c r="I224">
        <v>21.4</v>
      </c>
      <c r="J224">
        <v>107</v>
      </c>
      <c r="K224">
        <v>80</v>
      </c>
      <c r="L224">
        <v>8109</v>
      </c>
      <c r="M224" t="str" cm="1">
        <f t="array" ref="M224">_xlfn.IFS(C224&lt;6,"Poor",C224&lt;=8,"Normal",TRUE,"High")</f>
        <v>Normal</v>
      </c>
    </row>
    <row r="225" spans="1:13" x14ac:dyDescent="0.2">
      <c r="A225">
        <v>224</v>
      </c>
      <c r="B225" cm="1">
        <f t="array" ref="B225:L225">_xlfn.XLOOKUP($A225,Instagram_Usage_Lifestyle_Mini_!$A:$A,Instagram_Usage_Lifestyle_Mini_!$L:$V,"Not Found")</f>
        <v>13.8</v>
      </c>
      <c r="C225">
        <v>6.6</v>
      </c>
      <c r="D225" t="str">
        <v>Very_poor</v>
      </c>
      <c r="E225" t="str">
        <v>No</v>
      </c>
      <c r="F225" t="str">
        <v>Never</v>
      </c>
      <c r="G225">
        <v>7</v>
      </c>
      <c r="H225">
        <v>9</v>
      </c>
      <c r="I225">
        <v>20.8</v>
      </c>
      <c r="J225">
        <v>156</v>
      </c>
      <c r="K225">
        <v>81</v>
      </c>
      <c r="L225">
        <v>8029</v>
      </c>
      <c r="M225" t="str" cm="1">
        <f t="array" ref="M225">_xlfn.IFS(C225&lt;6,"Poor",C225&lt;=8,"Normal",TRUE,"High")</f>
        <v>Normal</v>
      </c>
    </row>
    <row r="226" spans="1:13" x14ac:dyDescent="0.2">
      <c r="A226">
        <v>225</v>
      </c>
      <c r="B226" cm="1">
        <f t="array" ref="B226:L226">_xlfn.XLOOKUP($A226,Instagram_Usage_Lifestyle_Mini_!$A:$A,Instagram_Usage_Lifestyle_Mini_!$L:$V,"Not Found")</f>
        <v>11.3</v>
      </c>
      <c r="C226">
        <v>5.9</v>
      </c>
      <c r="D226" t="str">
        <v>Excellent</v>
      </c>
      <c r="E226" t="str">
        <v>Former</v>
      </c>
      <c r="F226" t="str">
        <v>Rarely</v>
      </c>
      <c r="G226">
        <v>14</v>
      </c>
      <c r="H226">
        <v>7</v>
      </c>
      <c r="I226">
        <v>25.1</v>
      </c>
      <c r="J226">
        <v>105</v>
      </c>
      <c r="K226">
        <v>63</v>
      </c>
      <c r="L226">
        <v>7964</v>
      </c>
      <c r="M226" t="str" cm="1">
        <f t="array" ref="M226">_xlfn.IFS(C226&lt;6,"Poor",C226&lt;=8,"Normal",TRUE,"High")</f>
        <v>Poor</v>
      </c>
    </row>
    <row r="227" spans="1:13" x14ac:dyDescent="0.2">
      <c r="A227">
        <v>226</v>
      </c>
      <c r="B227" cm="1">
        <f t="array" ref="B227:L227">_xlfn.XLOOKUP($A227,Instagram_Usage_Lifestyle_Mini_!$A:$A,Instagram_Usage_Lifestyle_Mini_!$L:$V,"Not Found")</f>
        <v>0.9</v>
      </c>
      <c r="C227">
        <v>7.6</v>
      </c>
      <c r="D227" t="str">
        <v>Average</v>
      </c>
      <c r="E227" t="str">
        <v>Former</v>
      </c>
      <c r="F227" t="str">
        <v>Never</v>
      </c>
      <c r="G227">
        <v>38</v>
      </c>
      <c r="H227">
        <v>6</v>
      </c>
      <c r="I227">
        <v>26.9</v>
      </c>
      <c r="J227">
        <v>111</v>
      </c>
      <c r="K227">
        <v>70</v>
      </c>
      <c r="L227">
        <v>8073</v>
      </c>
      <c r="M227" t="str" cm="1">
        <f t="array" ref="M227">_xlfn.IFS(C227&lt;6,"Poor",C227&lt;=8,"Normal",TRUE,"High")</f>
        <v>Normal</v>
      </c>
    </row>
    <row r="228" spans="1:13" x14ac:dyDescent="0.2">
      <c r="A228">
        <v>227</v>
      </c>
      <c r="B228" cm="1">
        <f t="array" ref="B228:L228">_xlfn.XLOOKUP($A228,Instagram_Usage_Lifestyle_Mini_!$A:$A,Instagram_Usage_Lifestyle_Mini_!$L:$V,"Not Found")</f>
        <v>10.1</v>
      </c>
      <c r="C228">
        <v>8.8000000000000007</v>
      </c>
      <c r="D228" t="str">
        <v>Average</v>
      </c>
      <c r="E228" t="str">
        <v>No</v>
      </c>
      <c r="F228" t="str">
        <v>Rarely</v>
      </c>
      <c r="G228">
        <v>17</v>
      </c>
      <c r="H228">
        <v>6</v>
      </c>
      <c r="I228">
        <v>22.8</v>
      </c>
      <c r="J228">
        <v>140</v>
      </c>
      <c r="K228">
        <v>79</v>
      </c>
      <c r="L228">
        <v>7872</v>
      </c>
      <c r="M228" t="str" cm="1">
        <f t="array" ref="M228">_xlfn.IFS(C228&lt;6,"Poor",C228&lt;=8,"Normal",TRUE,"High")</f>
        <v>High</v>
      </c>
    </row>
    <row r="229" spans="1:13" x14ac:dyDescent="0.2">
      <c r="A229">
        <v>228</v>
      </c>
      <c r="B229" cm="1">
        <f t="array" ref="B229:L229">_xlfn.XLOOKUP($A229,Instagram_Usage_Lifestyle_Mini_!$A:$A,Instagram_Usage_Lifestyle_Mini_!$L:$V,"Not Found")</f>
        <v>9.6999999999999993</v>
      </c>
      <c r="C229">
        <v>6.6</v>
      </c>
      <c r="D229" t="str">
        <v>Poor</v>
      </c>
      <c r="E229" t="str">
        <v>Yes</v>
      </c>
      <c r="F229" t="str">
        <v>Never</v>
      </c>
      <c r="G229">
        <v>24</v>
      </c>
      <c r="H229">
        <v>1</v>
      </c>
      <c r="I229">
        <v>23.9</v>
      </c>
      <c r="J229">
        <v>111</v>
      </c>
      <c r="K229">
        <v>63</v>
      </c>
      <c r="L229">
        <v>7838</v>
      </c>
      <c r="M229" t="str" cm="1">
        <f t="array" ref="M229">_xlfn.IFS(C229&lt;6,"Poor",C229&lt;=8,"Normal",TRUE,"High")</f>
        <v>Normal</v>
      </c>
    </row>
    <row r="230" spans="1:13" x14ac:dyDescent="0.2">
      <c r="A230">
        <v>229</v>
      </c>
      <c r="B230" cm="1">
        <f t="array" ref="B230:L230">_xlfn.XLOOKUP($A230,Instagram_Usage_Lifestyle_Mini_!$A:$A,Instagram_Usage_Lifestyle_Mini_!$L:$V,"Not Found")</f>
        <v>9.6</v>
      </c>
      <c r="C230">
        <v>7.1</v>
      </c>
      <c r="D230" t="str">
        <v>Average</v>
      </c>
      <c r="E230" t="str">
        <v>Yes</v>
      </c>
      <c r="F230" t="str">
        <v>Rarely</v>
      </c>
      <c r="G230">
        <v>28</v>
      </c>
      <c r="H230">
        <v>10</v>
      </c>
      <c r="I230">
        <v>27.4</v>
      </c>
      <c r="J230">
        <v>141</v>
      </c>
      <c r="K230">
        <v>61</v>
      </c>
      <c r="L230">
        <v>8002</v>
      </c>
      <c r="M230" t="str" cm="1">
        <f t="array" ref="M230">_xlfn.IFS(C230&lt;6,"Poor",C230&lt;=8,"Normal",TRUE,"High")</f>
        <v>Normal</v>
      </c>
    </row>
    <row r="231" spans="1:13" x14ac:dyDescent="0.2">
      <c r="A231">
        <v>230</v>
      </c>
      <c r="B231" cm="1">
        <f t="array" ref="B231:L231">_xlfn.XLOOKUP($A231,Instagram_Usage_Lifestyle_Mini_!$A:$A,Instagram_Usage_Lifestyle_Mini_!$L:$V,"Not Found")</f>
        <v>7.3</v>
      </c>
      <c r="C231">
        <v>5.7</v>
      </c>
      <c r="D231" t="str">
        <v>Average</v>
      </c>
      <c r="E231" t="str">
        <v>Yes</v>
      </c>
      <c r="F231" t="str">
        <v>Rarely</v>
      </c>
      <c r="G231">
        <v>0</v>
      </c>
      <c r="H231">
        <v>7</v>
      </c>
      <c r="I231">
        <v>19.399999999999999</v>
      </c>
      <c r="J231">
        <v>152</v>
      </c>
      <c r="K231">
        <v>77</v>
      </c>
      <c r="L231">
        <v>7878</v>
      </c>
      <c r="M231" t="str" cm="1">
        <f t="array" ref="M231">_xlfn.IFS(C231&lt;6,"Poor",C231&lt;=8,"Normal",TRUE,"High")</f>
        <v>Poor</v>
      </c>
    </row>
    <row r="232" spans="1:13" x14ac:dyDescent="0.2">
      <c r="A232">
        <v>231</v>
      </c>
      <c r="B232" cm="1">
        <f t="array" ref="B232:L232">_xlfn.XLOOKUP($A232,Instagram_Usage_Lifestyle_Mini_!$A:$A,Instagram_Usage_Lifestyle_Mini_!$L:$V,"Not Found")</f>
        <v>9.3000000000000007</v>
      </c>
      <c r="C232">
        <v>6.9</v>
      </c>
      <c r="D232" t="str">
        <v>Good</v>
      </c>
      <c r="E232" t="str">
        <v>No</v>
      </c>
      <c r="F232" t="str">
        <v>Several_times_a_week</v>
      </c>
      <c r="G232">
        <v>28</v>
      </c>
      <c r="H232">
        <v>8</v>
      </c>
      <c r="I232">
        <v>24.1</v>
      </c>
      <c r="J232">
        <v>158</v>
      </c>
      <c r="K232">
        <v>98</v>
      </c>
      <c r="L232">
        <v>7963</v>
      </c>
      <c r="M232" t="str" cm="1">
        <f t="array" ref="M232">_xlfn.IFS(C232&lt;6,"Poor",C232&lt;=8,"Normal",TRUE,"High")</f>
        <v>Normal</v>
      </c>
    </row>
    <row r="233" spans="1:13" x14ac:dyDescent="0.2">
      <c r="A233">
        <v>232</v>
      </c>
      <c r="B233" cm="1">
        <f t="array" ref="B233:L233">_xlfn.XLOOKUP($A233,Instagram_Usage_Lifestyle_Mini_!$A:$A,Instagram_Usage_Lifestyle_Mini_!$L:$V,"Not Found")</f>
        <v>7.8</v>
      </c>
      <c r="C233">
        <v>7.7</v>
      </c>
      <c r="D233" t="str">
        <v>Average</v>
      </c>
      <c r="E233" t="str">
        <v>No</v>
      </c>
      <c r="F233" t="str">
        <v>Never</v>
      </c>
      <c r="G233">
        <v>30</v>
      </c>
      <c r="H233">
        <v>6</v>
      </c>
      <c r="I233">
        <v>30</v>
      </c>
      <c r="J233">
        <v>127</v>
      </c>
      <c r="K233">
        <v>89</v>
      </c>
      <c r="L233">
        <v>8126</v>
      </c>
      <c r="M233" t="str" cm="1">
        <f t="array" ref="M233">_xlfn.IFS(C233&lt;6,"Poor",C233&lt;=8,"Normal",TRUE,"High")</f>
        <v>Normal</v>
      </c>
    </row>
    <row r="234" spans="1:13" x14ac:dyDescent="0.2">
      <c r="A234">
        <v>233</v>
      </c>
      <c r="B234" cm="1">
        <f t="array" ref="B234:L234">_xlfn.XLOOKUP($A234,Instagram_Usage_Lifestyle_Mini_!$A:$A,Instagram_Usage_Lifestyle_Mini_!$L:$V,"Not Found")</f>
        <v>10.6</v>
      </c>
      <c r="C234">
        <v>7.9</v>
      </c>
      <c r="D234" t="str">
        <v>Good</v>
      </c>
      <c r="E234" t="str">
        <v>No</v>
      </c>
      <c r="F234" t="str">
        <v>Never</v>
      </c>
      <c r="G234">
        <v>6</v>
      </c>
      <c r="H234">
        <v>9</v>
      </c>
      <c r="I234">
        <v>26</v>
      </c>
      <c r="J234">
        <v>107</v>
      </c>
      <c r="K234">
        <v>62</v>
      </c>
      <c r="L234">
        <v>7989</v>
      </c>
      <c r="M234" t="str" cm="1">
        <f t="array" ref="M234">_xlfn.IFS(C234&lt;6,"Poor",C234&lt;=8,"Normal",TRUE,"High")</f>
        <v>Normal</v>
      </c>
    </row>
    <row r="235" spans="1:13" x14ac:dyDescent="0.2">
      <c r="A235">
        <v>234</v>
      </c>
      <c r="B235" cm="1">
        <f t="array" ref="B235:L235">_xlfn.XLOOKUP($A235,Instagram_Usage_Lifestyle_Mini_!$A:$A,Instagram_Usage_Lifestyle_Mini_!$L:$V,"Not Found")</f>
        <v>14.1</v>
      </c>
      <c r="C235">
        <v>6.3</v>
      </c>
      <c r="D235" t="str">
        <v>Very_poor</v>
      </c>
      <c r="E235" t="str">
        <v>No</v>
      </c>
      <c r="F235" t="str">
        <v>Rarely</v>
      </c>
      <c r="G235">
        <v>9</v>
      </c>
      <c r="H235">
        <v>8</v>
      </c>
      <c r="I235">
        <v>22.5</v>
      </c>
      <c r="J235">
        <v>128</v>
      </c>
      <c r="K235">
        <v>91</v>
      </c>
      <c r="L235">
        <v>7932</v>
      </c>
      <c r="M235" t="str" cm="1">
        <f t="array" ref="M235">_xlfn.IFS(C235&lt;6,"Poor",C235&lt;=8,"Normal",TRUE,"High")</f>
        <v>Normal</v>
      </c>
    </row>
    <row r="236" spans="1:13" x14ac:dyDescent="0.2">
      <c r="A236">
        <v>235</v>
      </c>
      <c r="B236" cm="1">
        <f t="array" ref="B236:L236">_xlfn.XLOOKUP($A236,Instagram_Usage_Lifestyle_Mini_!$A:$A,Instagram_Usage_Lifestyle_Mini_!$L:$V,"Not Found")</f>
        <v>10</v>
      </c>
      <c r="C236">
        <v>6.6</v>
      </c>
      <c r="D236" t="str">
        <v>Excellent</v>
      </c>
      <c r="E236" t="str">
        <v>No</v>
      </c>
      <c r="F236" t="str">
        <v>Never</v>
      </c>
      <c r="G236">
        <v>15</v>
      </c>
      <c r="H236">
        <v>2</v>
      </c>
      <c r="I236">
        <v>20.5</v>
      </c>
      <c r="J236">
        <v>122</v>
      </c>
      <c r="K236">
        <v>73</v>
      </c>
      <c r="L236">
        <v>7975</v>
      </c>
      <c r="M236" t="str" cm="1">
        <f t="array" ref="M236">_xlfn.IFS(C236&lt;6,"Poor",C236&lt;=8,"Normal",TRUE,"High")</f>
        <v>Normal</v>
      </c>
    </row>
    <row r="237" spans="1:13" x14ac:dyDescent="0.2">
      <c r="A237">
        <v>236</v>
      </c>
      <c r="B237" cm="1">
        <f t="array" ref="B237:L237">_xlfn.XLOOKUP($A237,Instagram_Usage_Lifestyle_Mini_!$A:$A,Instagram_Usage_Lifestyle_Mini_!$L:$V,"Not Found")</f>
        <v>4.8</v>
      </c>
      <c r="C237">
        <v>7</v>
      </c>
      <c r="D237" t="str">
        <v>Good</v>
      </c>
      <c r="E237" t="str">
        <v>No</v>
      </c>
      <c r="F237" t="str">
        <v>Daily</v>
      </c>
      <c r="G237">
        <v>37</v>
      </c>
      <c r="H237">
        <v>3</v>
      </c>
      <c r="I237">
        <v>19</v>
      </c>
      <c r="J237">
        <v>155</v>
      </c>
      <c r="K237">
        <v>60</v>
      </c>
      <c r="L237">
        <v>7870</v>
      </c>
      <c r="M237" t="str" cm="1">
        <f t="array" ref="M237">_xlfn.IFS(C237&lt;6,"Poor",C237&lt;=8,"Normal",TRUE,"High")</f>
        <v>Normal</v>
      </c>
    </row>
    <row r="238" spans="1:13" x14ac:dyDescent="0.2">
      <c r="A238">
        <v>237</v>
      </c>
      <c r="B238" cm="1">
        <f t="array" ref="B238:L238">_xlfn.XLOOKUP($A238,Instagram_Usage_Lifestyle_Mini_!$A:$A,Instagram_Usage_Lifestyle_Mini_!$L:$V,"Not Found")</f>
        <v>11</v>
      </c>
      <c r="C238">
        <v>8.4</v>
      </c>
      <c r="D238" t="str">
        <v>Good</v>
      </c>
      <c r="E238" t="str">
        <v>No</v>
      </c>
      <c r="F238" t="str">
        <v>Rarely</v>
      </c>
      <c r="G238">
        <v>28</v>
      </c>
      <c r="H238">
        <v>8</v>
      </c>
      <c r="I238">
        <v>22.7</v>
      </c>
      <c r="J238">
        <v>141</v>
      </c>
      <c r="K238">
        <v>64</v>
      </c>
      <c r="L238">
        <v>7876</v>
      </c>
      <c r="M238" t="str" cm="1">
        <f t="array" ref="M238">_xlfn.IFS(C238&lt;6,"Poor",C238&lt;=8,"Normal",TRUE,"High")</f>
        <v>High</v>
      </c>
    </row>
    <row r="239" spans="1:13" x14ac:dyDescent="0.2">
      <c r="A239">
        <v>238</v>
      </c>
      <c r="B239" cm="1">
        <f t="array" ref="B239:L239">_xlfn.XLOOKUP($A239,Instagram_Usage_Lifestyle_Mini_!$A:$A,Instagram_Usage_Lifestyle_Mini_!$L:$V,"Not Found")</f>
        <v>0.6</v>
      </c>
      <c r="C239">
        <v>7.3</v>
      </c>
      <c r="D239" t="str">
        <v>Poor</v>
      </c>
      <c r="E239" t="str">
        <v>No</v>
      </c>
      <c r="F239" t="str">
        <v>Rarely</v>
      </c>
      <c r="G239">
        <v>5</v>
      </c>
      <c r="H239">
        <v>6</v>
      </c>
      <c r="I239">
        <v>20.2</v>
      </c>
      <c r="J239">
        <v>127</v>
      </c>
      <c r="K239">
        <v>67</v>
      </c>
      <c r="L239">
        <v>8091</v>
      </c>
      <c r="M239" t="str" cm="1">
        <f t="array" ref="M239">_xlfn.IFS(C239&lt;6,"Poor",C239&lt;=8,"Normal",TRUE,"High")</f>
        <v>Normal</v>
      </c>
    </row>
    <row r="240" spans="1:13" x14ac:dyDescent="0.2">
      <c r="A240">
        <v>239</v>
      </c>
      <c r="B240" cm="1">
        <f t="array" ref="B240:L240">_xlfn.XLOOKUP($A240,Instagram_Usage_Lifestyle_Mini_!$A:$A,Instagram_Usage_Lifestyle_Mini_!$L:$V,"Not Found")</f>
        <v>5.2</v>
      </c>
      <c r="C240">
        <v>7.3</v>
      </c>
      <c r="D240" t="str">
        <v>Excellent</v>
      </c>
      <c r="E240" t="str">
        <v>Yes</v>
      </c>
      <c r="F240" t="str">
        <v>Never</v>
      </c>
      <c r="G240">
        <v>30</v>
      </c>
      <c r="H240">
        <v>7</v>
      </c>
      <c r="I240">
        <v>28.1</v>
      </c>
      <c r="J240">
        <v>123</v>
      </c>
      <c r="K240">
        <v>63</v>
      </c>
      <c r="L240">
        <v>8072</v>
      </c>
      <c r="M240" t="str" cm="1">
        <f t="array" ref="M240">_xlfn.IFS(C240&lt;6,"Poor",C240&lt;=8,"Normal",TRUE,"High")</f>
        <v>Normal</v>
      </c>
    </row>
    <row r="241" spans="1:13" x14ac:dyDescent="0.2">
      <c r="A241">
        <v>240</v>
      </c>
      <c r="B241" cm="1">
        <f t="array" ref="B241:L241">_xlfn.XLOOKUP($A241,Instagram_Usage_Lifestyle_Mini_!$A:$A,Instagram_Usage_Lifestyle_Mini_!$L:$V,"Not Found")</f>
        <v>2.9</v>
      </c>
      <c r="C241">
        <v>7.5</v>
      </c>
      <c r="D241" t="str">
        <v>Average</v>
      </c>
      <c r="E241" t="str">
        <v>No</v>
      </c>
      <c r="F241" t="str">
        <v>Rarely</v>
      </c>
      <c r="G241">
        <v>13</v>
      </c>
      <c r="H241">
        <v>5</v>
      </c>
      <c r="I241">
        <v>29.9</v>
      </c>
      <c r="J241">
        <v>98</v>
      </c>
      <c r="K241">
        <v>80</v>
      </c>
      <c r="L241">
        <v>8042</v>
      </c>
      <c r="M241" t="str" cm="1">
        <f t="array" ref="M241">_xlfn.IFS(C241&lt;6,"Poor",C241&lt;=8,"Normal",TRUE,"High")</f>
        <v>Normal</v>
      </c>
    </row>
    <row r="242" spans="1:13" x14ac:dyDescent="0.2">
      <c r="A242">
        <v>241</v>
      </c>
      <c r="B242" cm="1">
        <f t="array" ref="B242:L242">_xlfn.XLOOKUP($A242,Instagram_Usage_Lifestyle_Mini_!$A:$A,Instagram_Usage_Lifestyle_Mini_!$L:$V,"Not Found")</f>
        <v>9.9</v>
      </c>
      <c r="C242">
        <v>6.7</v>
      </c>
      <c r="D242" t="str">
        <v>Poor</v>
      </c>
      <c r="E242" t="str">
        <v>No</v>
      </c>
      <c r="F242" t="str">
        <v>Rarely</v>
      </c>
      <c r="G242">
        <v>25</v>
      </c>
      <c r="H242">
        <v>7</v>
      </c>
      <c r="I242">
        <v>31.8</v>
      </c>
      <c r="J242">
        <v>124</v>
      </c>
      <c r="K242">
        <v>95</v>
      </c>
      <c r="L242">
        <v>7975</v>
      </c>
      <c r="M242" t="str" cm="1">
        <f t="array" ref="M242">_xlfn.IFS(C242&lt;6,"Poor",C242&lt;=8,"Normal",TRUE,"High")</f>
        <v>Normal</v>
      </c>
    </row>
    <row r="243" spans="1:13" x14ac:dyDescent="0.2">
      <c r="A243">
        <v>242</v>
      </c>
      <c r="B243" cm="1">
        <f t="array" ref="B243:L243">_xlfn.XLOOKUP($A243,Instagram_Usage_Lifestyle_Mini_!$A:$A,Instagram_Usage_Lifestyle_Mini_!$L:$V,"Not Found")</f>
        <v>7</v>
      </c>
      <c r="C243">
        <v>7</v>
      </c>
      <c r="D243" t="str">
        <v>Average</v>
      </c>
      <c r="E243" t="str">
        <v>No</v>
      </c>
      <c r="F243" t="str">
        <v>Rarely</v>
      </c>
      <c r="G243">
        <v>2</v>
      </c>
      <c r="H243">
        <v>6</v>
      </c>
      <c r="I243">
        <v>19.899999999999999</v>
      </c>
      <c r="J243">
        <v>140</v>
      </c>
      <c r="K243">
        <v>95</v>
      </c>
      <c r="L243">
        <v>8006</v>
      </c>
      <c r="M243" t="str" cm="1">
        <f t="array" ref="M243">_xlfn.IFS(C243&lt;6,"Poor",C243&lt;=8,"Normal",TRUE,"High")</f>
        <v>Normal</v>
      </c>
    </row>
    <row r="244" spans="1:13" x14ac:dyDescent="0.2">
      <c r="A244">
        <v>243</v>
      </c>
      <c r="B244" cm="1">
        <f t="array" ref="B244:L244">_xlfn.XLOOKUP($A244,Instagram_Usage_Lifestyle_Mini_!$A:$A,Instagram_Usage_Lifestyle_Mini_!$L:$V,"Not Found")</f>
        <v>1.4</v>
      </c>
      <c r="C244">
        <v>6.5</v>
      </c>
      <c r="D244" t="str">
        <v>Excellent</v>
      </c>
      <c r="E244" t="str">
        <v>Yes</v>
      </c>
      <c r="F244" t="str">
        <v>Never</v>
      </c>
      <c r="G244">
        <v>38</v>
      </c>
      <c r="H244">
        <v>5</v>
      </c>
      <c r="I244">
        <v>17.7</v>
      </c>
      <c r="J244">
        <v>153</v>
      </c>
      <c r="K244">
        <v>87</v>
      </c>
      <c r="L244">
        <v>8148</v>
      </c>
      <c r="M244" t="str" cm="1">
        <f t="array" ref="M244">_xlfn.IFS(C244&lt;6,"Poor",C244&lt;=8,"Normal",TRUE,"High")</f>
        <v>Normal</v>
      </c>
    </row>
    <row r="245" spans="1:13" x14ac:dyDescent="0.2">
      <c r="A245">
        <v>244</v>
      </c>
      <c r="B245" cm="1">
        <f t="array" ref="B245:L245">_xlfn.XLOOKUP($A245,Instagram_Usage_Lifestyle_Mini_!$A:$A,Instagram_Usage_Lifestyle_Mini_!$L:$V,"Not Found")</f>
        <v>4.5999999999999996</v>
      </c>
      <c r="C245">
        <v>7.2</v>
      </c>
      <c r="D245" t="str">
        <v>Good</v>
      </c>
      <c r="E245" t="str">
        <v>No</v>
      </c>
      <c r="F245" t="str">
        <v>Never</v>
      </c>
      <c r="G245">
        <v>11</v>
      </c>
      <c r="H245">
        <v>5</v>
      </c>
      <c r="I245">
        <v>26.4</v>
      </c>
      <c r="J245">
        <v>96</v>
      </c>
      <c r="K245">
        <v>66</v>
      </c>
      <c r="L245">
        <v>7842</v>
      </c>
      <c r="M245" t="str" cm="1">
        <f t="array" ref="M245">_xlfn.IFS(C245&lt;6,"Poor",C245&lt;=8,"Normal",TRUE,"High")</f>
        <v>Normal</v>
      </c>
    </row>
    <row r="246" spans="1:13" x14ac:dyDescent="0.2">
      <c r="A246">
        <v>245</v>
      </c>
      <c r="B246" cm="1">
        <f t="array" ref="B246:L246">_xlfn.XLOOKUP($A246,Instagram_Usage_Lifestyle_Mini_!$A:$A,Instagram_Usage_Lifestyle_Mini_!$L:$V,"Not Found")</f>
        <v>2.7</v>
      </c>
      <c r="C246">
        <v>5.8</v>
      </c>
      <c r="D246" t="str">
        <v>Very_poor</v>
      </c>
      <c r="E246" t="str">
        <v>No</v>
      </c>
      <c r="F246" t="str">
        <v>Weekly</v>
      </c>
      <c r="G246">
        <v>6</v>
      </c>
      <c r="H246">
        <v>7</v>
      </c>
      <c r="I246">
        <v>22.6</v>
      </c>
      <c r="J246">
        <v>112</v>
      </c>
      <c r="K246">
        <v>86</v>
      </c>
      <c r="L246">
        <v>8173</v>
      </c>
      <c r="M246" t="str" cm="1">
        <f t="array" ref="M246">_xlfn.IFS(C246&lt;6,"Poor",C246&lt;=8,"Normal",TRUE,"High")</f>
        <v>Poor</v>
      </c>
    </row>
    <row r="247" spans="1:13" x14ac:dyDescent="0.2">
      <c r="A247">
        <v>246</v>
      </c>
      <c r="B247" cm="1">
        <f t="array" ref="B247:L247">_xlfn.XLOOKUP($A247,Instagram_Usage_Lifestyle_Mini_!$A:$A,Instagram_Usage_Lifestyle_Mini_!$L:$V,"Not Found")</f>
        <v>6.6</v>
      </c>
      <c r="C247">
        <v>7.5</v>
      </c>
      <c r="D247" t="str">
        <v>Average</v>
      </c>
      <c r="E247" t="str">
        <v>Yes</v>
      </c>
      <c r="F247" t="str">
        <v>Never</v>
      </c>
      <c r="G247">
        <v>18</v>
      </c>
      <c r="H247">
        <v>6</v>
      </c>
      <c r="I247">
        <v>21</v>
      </c>
      <c r="J247">
        <v>147</v>
      </c>
      <c r="K247">
        <v>70</v>
      </c>
      <c r="L247">
        <v>7945</v>
      </c>
      <c r="M247" t="str" cm="1">
        <f t="array" ref="M247">_xlfn.IFS(C247&lt;6,"Poor",C247&lt;=8,"Normal",TRUE,"High")</f>
        <v>Normal</v>
      </c>
    </row>
    <row r="248" spans="1:13" x14ac:dyDescent="0.2">
      <c r="A248">
        <v>247</v>
      </c>
      <c r="B248" cm="1">
        <f t="array" ref="B248:L248">_xlfn.XLOOKUP($A248,Instagram_Usage_Lifestyle_Mini_!$A:$A,Instagram_Usage_Lifestyle_Mini_!$L:$V,"Not Found")</f>
        <v>8.5</v>
      </c>
      <c r="C248">
        <v>6.1</v>
      </c>
      <c r="D248" t="str">
        <v>Average</v>
      </c>
      <c r="E248" t="str">
        <v>No</v>
      </c>
      <c r="F248" t="str">
        <v>Rarely</v>
      </c>
      <c r="G248">
        <v>31</v>
      </c>
      <c r="H248">
        <v>3</v>
      </c>
      <c r="I248">
        <v>21.2</v>
      </c>
      <c r="J248">
        <v>125</v>
      </c>
      <c r="K248">
        <v>74</v>
      </c>
      <c r="L248">
        <v>7897</v>
      </c>
      <c r="M248" t="str" cm="1">
        <f t="array" ref="M248">_xlfn.IFS(C248&lt;6,"Poor",C248&lt;=8,"Normal",TRUE,"High")</f>
        <v>Normal</v>
      </c>
    </row>
    <row r="249" spans="1:13" x14ac:dyDescent="0.2">
      <c r="A249">
        <v>248</v>
      </c>
      <c r="B249" cm="1">
        <f t="array" ref="B249:L249">_xlfn.XLOOKUP($A249,Instagram_Usage_Lifestyle_Mini_!$A:$A,Instagram_Usage_Lifestyle_Mini_!$L:$V,"Not Found")</f>
        <v>6.6</v>
      </c>
      <c r="C249">
        <v>8.1</v>
      </c>
      <c r="D249" t="str">
        <v>Very_poor</v>
      </c>
      <c r="E249" t="str">
        <v>No</v>
      </c>
      <c r="F249" t="str">
        <v>Never</v>
      </c>
      <c r="G249">
        <v>11</v>
      </c>
      <c r="H249">
        <v>10</v>
      </c>
      <c r="I249">
        <v>23.9</v>
      </c>
      <c r="J249">
        <v>147</v>
      </c>
      <c r="K249">
        <v>81</v>
      </c>
      <c r="L249">
        <v>7899</v>
      </c>
      <c r="M249" t="str" cm="1">
        <f t="array" ref="M249">_xlfn.IFS(C249&lt;6,"Poor",C249&lt;=8,"Normal",TRUE,"High")</f>
        <v>High</v>
      </c>
    </row>
    <row r="250" spans="1:13" x14ac:dyDescent="0.2">
      <c r="A250">
        <v>249</v>
      </c>
      <c r="B250" cm="1">
        <f t="array" ref="B250:L250">_xlfn.XLOOKUP($A250,Instagram_Usage_Lifestyle_Mini_!$A:$A,Instagram_Usage_Lifestyle_Mini_!$L:$V,"Not Found")</f>
        <v>7.3</v>
      </c>
      <c r="C250">
        <v>6.1</v>
      </c>
      <c r="D250" t="str">
        <v>Average</v>
      </c>
      <c r="E250" t="str">
        <v>Yes</v>
      </c>
      <c r="F250" t="str">
        <v>Never</v>
      </c>
      <c r="G250">
        <v>31</v>
      </c>
      <c r="H250">
        <v>3</v>
      </c>
      <c r="I250">
        <v>23.5</v>
      </c>
      <c r="J250">
        <v>157</v>
      </c>
      <c r="K250">
        <v>93</v>
      </c>
      <c r="L250">
        <v>8051</v>
      </c>
      <c r="M250" t="str" cm="1">
        <f t="array" ref="M250">_xlfn.IFS(C250&lt;6,"Poor",C250&lt;=8,"Normal",TRUE,"High")</f>
        <v>Normal</v>
      </c>
    </row>
    <row r="251" spans="1:13" x14ac:dyDescent="0.2">
      <c r="A251">
        <v>250</v>
      </c>
      <c r="B251" cm="1">
        <f t="array" ref="B251:L251">_xlfn.XLOOKUP($A251,Instagram_Usage_Lifestyle_Mini_!$A:$A,Instagram_Usage_Lifestyle_Mini_!$L:$V,"Not Found")</f>
        <v>4.9000000000000004</v>
      </c>
      <c r="C251">
        <v>6</v>
      </c>
      <c r="D251" t="str">
        <v>Average</v>
      </c>
      <c r="E251" t="str">
        <v>Yes</v>
      </c>
      <c r="F251" t="str">
        <v>Weekly</v>
      </c>
      <c r="G251">
        <v>33</v>
      </c>
      <c r="H251">
        <v>8</v>
      </c>
      <c r="I251">
        <v>28.9</v>
      </c>
      <c r="J251">
        <v>111</v>
      </c>
      <c r="K251">
        <v>68</v>
      </c>
      <c r="L251">
        <v>7836</v>
      </c>
      <c r="M251" t="str" cm="1">
        <f t="array" ref="M251">_xlfn.IFS(C251&lt;6,"Poor",C251&lt;=8,"Normal",TRUE,"High")</f>
        <v>Normal</v>
      </c>
    </row>
    <row r="252" spans="1:13" x14ac:dyDescent="0.2">
      <c r="A252">
        <v>251</v>
      </c>
      <c r="B252" cm="1">
        <f t="array" ref="B252:L252">_xlfn.XLOOKUP($A252,Instagram_Usage_Lifestyle_Mini_!$A:$A,Instagram_Usage_Lifestyle_Mini_!$L:$V,"Not Found")</f>
        <v>2.7</v>
      </c>
      <c r="C252">
        <v>7.6</v>
      </c>
      <c r="D252" t="str">
        <v>Average</v>
      </c>
      <c r="E252" t="str">
        <v>Former</v>
      </c>
      <c r="F252" t="str">
        <v>Rarely</v>
      </c>
      <c r="G252">
        <v>26</v>
      </c>
      <c r="H252">
        <v>10</v>
      </c>
      <c r="I252">
        <v>24.5</v>
      </c>
      <c r="J252">
        <v>135</v>
      </c>
      <c r="K252">
        <v>81</v>
      </c>
      <c r="L252">
        <v>8086</v>
      </c>
      <c r="M252" t="str" cm="1">
        <f t="array" ref="M252">_xlfn.IFS(C252&lt;6,"Poor",C252&lt;=8,"Normal",TRUE,"High")</f>
        <v>Normal</v>
      </c>
    </row>
    <row r="253" spans="1:13" x14ac:dyDescent="0.2">
      <c r="A253">
        <v>252</v>
      </c>
      <c r="B253" cm="1">
        <f t="array" ref="B253:L253">_xlfn.XLOOKUP($A253,Instagram_Usage_Lifestyle_Mini_!$A:$A,Instagram_Usage_Lifestyle_Mini_!$L:$V,"Not Found")</f>
        <v>4.2</v>
      </c>
      <c r="C253">
        <v>6.6</v>
      </c>
      <c r="D253" t="str">
        <v>Good</v>
      </c>
      <c r="E253" t="str">
        <v>No</v>
      </c>
      <c r="F253" t="str">
        <v>Several_times_a_week</v>
      </c>
      <c r="G253">
        <v>9</v>
      </c>
      <c r="H253">
        <v>7</v>
      </c>
      <c r="I253">
        <v>29.3</v>
      </c>
      <c r="J253">
        <v>153</v>
      </c>
      <c r="K253">
        <v>67</v>
      </c>
      <c r="L253">
        <v>8086</v>
      </c>
      <c r="M253" t="str" cm="1">
        <f t="array" ref="M253">_xlfn.IFS(C253&lt;6,"Poor",C253&lt;=8,"Normal",TRUE,"High")</f>
        <v>Normal</v>
      </c>
    </row>
    <row r="254" spans="1:13" x14ac:dyDescent="0.2">
      <c r="A254">
        <v>253</v>
      </c>
      <c r="B254" cm="1">
        <f t="array" ref="B254:L254">_xlfn.XLOOKUP($A254,Instagram_Usage_Lifestyle_Mini_!$A:$A,Instagram_Usage_Lifestyle_Mini_!$L:$V,"Not Found")</f>
        <v>0.8</v>
      </c>
      <c r="C254">
        <v>7.1</v>
      </c>
      <c r="D254" t="str">
        <v>Poor</v>
      </c>
      <c r="E254" t="str">
        <v>No</v>
      </c>
      <c r="F254" t="str">
        <v>Rarely</v>
      </c>
      <c r="G254">
        <v>4</v>
      </c>
      <c r="H254">
        <v>5</v>
      </c>
      <c r="I254">
        <v>28.3</v>
      </c>
      <c r="J254">
        <v>101</v>
      </c>
      <c r="K254">
        <v>72</v>
      </c>
      <c r="L254">
        <v>8011</v>
      </c>
      <c r="M254" t="str" cm="1">
        <f t="array" ref="M254">_xlfn.IFS(C254&lt;6,"Poor",C254&lt;=8,"Normal",TRUE,"High")</f>
        <v>Normal</v>
      </c>
    </row>
    <row r="255" spans="1:13" x14ac:dyDescent="0.2">
      <c r="A255">
        <v>254</v>
      </c>
      <c r="B255" cm="1">
        <f t="array" ref="B255:L255">_xlfn.XLOOKUP($A255,Instagram_Usage_Lifestyle_Mini_!$A:$A,Instagram_Usage_Lifestyle_Mini_!$L:$V,"Not Found")</f>
        <v>4.2</v>
      </c>
      <c r="C255">
        <v>8</v>
      </c>
      <c r="D255" t="str">
        <v>Very_poor</v>
      </c>
      <c r="E255" t="str">
        <v>No</v>
      </c>
      <c r="F255" t="str">
        <v>Never</v>
      </c>
      <c r="G255">
        <v>15</v>
      </c>
      <c r="H255">
        <v>7</v>
      </c>
      <c r="I255">
        <v>25.5</v>
      </c>
      <c r="J255">
        <v>112</v>
      </c>
      <c r="K255">
        <v>62</v>
      </c>
      <c r="L255">
        <v>8044</v>
      </c>
      <c r="M255" t="str" cm="1">
        <f t="array" ref="M255">_xlfn.IFS(C255&lt;6,"Poor",C255&lt;=8,"Normal",TRUE,"High")</f>
        <v>Normal</v>
      </c>
    </row>
    <row r="256" spans="1:13" x14ac:dyDescent="0.2">
      <c r="A256">
        <v>255</v>
      </c>
      <c r="B256" cm="1">
        <f t="array" ref="B256:L256">_xlfn.XLOOKUP($A256,Instagram_Usage_Lifestyle_Mini_!$A:$A,Instagram_Usage_Lifestyle_Mini_!$L:$V,"Not Found")</f>
        <v>3.7</v>
      </c>
      <c r="C256">
        <v>5.6</v>
      </c>
      <c r="D256" t="str">
        <v>Poor</v>
      </c>
      <c r="E256" t="str">
        <v>No</v>
      </c>
      <c r="F256" t="str">
        <v>Weekly</v>
      </c>
      <c r="G256">
        <v>0</v>
      </c>
      <c r="H256">
        <v>2</v>
      </c>
      <c r="I256">
        <v>24.4</v>
      </c>
      <c r="J256">
        <v>122</v>
      </c>
      <c r="K256">
        <v>73</v>
      </c>
      <c r="L256">
        <v>7985</v>
      </c>
      <c r="M256" t="str" cm="1">
        <f t="array" ref="M256">_xlfn.IFS(C256&lt;6,"Poor",C256&lt;=8,"Normal",TRUE,"High")</f>
        <v>Poor</v>
      </c>
    </row>
    <row r="257" spans="1:13" x14ac:dyDescent="0.2">
      <c r="A257">
        <v>256</v>
      </c>
      <c r="B257" cm="1">
        <f t="array" ref="B257:L257">_xlfn.XLOOKUP($A257,Instagram_Usage_Lifestyle_Mini_!$A:$A,Instagram_Usage_Lifestyle_Mini_!$L:$V,"Not Found")</f>
        <v>7.6</v>
      </c>
      <c r="C257">
        <v>6.9</v>
      </c>
      <c r="D257" t="str">
        <v>Good</v>
      </c>
      <c r="E257" t="str">
        <v>Former</v>
      </c>
      <c r="F257" t="str">
        <v>Weekly</v>
      </c>
      <c r="G257">
        <v>18</v>
      </c>
      <c r="H257">
        <v>1</v>
      </c>
      <c r="I257">
        <v>27.6</v>
      </c>
      <c r="J257">
        <v>118</v>
      </c>
      <c r="K257">
        <v>73</v>
      </c>
      <c r="L257">
        <v>8047</v>
      </c>
      <c r="M257" t="str" cm="1">
        <f t="array" ref="M257">_xlfn.IFS(C257&lt;6,"Poor",C257&lt;=8,"Normal",TRUE,"High")</f>
        <v>Normal</v>
      </c>
    </row>
    <row r="258" spans="1:13" x14ac:dyDescent="0.2">
      <c r="A258">
        <v>257</v>
      </c>
      <c r="B258" cm="1">
        <f t="array" ref="B258:L258">_xlfn.XLOOKUP($A258,Instagram_Usage_Lifestyle_Mini_!$A:$A,Instagram_Usage_Lifestyle_Mini_!$L:$V,"Not Found")</f>
        <v>10</v>
      </c>
      <c r="C258">
        <v>5.6</v>
      </c>
      <c r="D258" t="str">
        <v>Good</v>
      </c>
      <c r="E258" t="str">
        <v>Yes</v>
      </c>
      <c r="F258" t="str">
        <v>Rarely</v>
      </c>
      <c r="G258">
        <v>24</v>
      </c>
      <c r="H258">
        <v>3</v>
      </c>
      <c r="I258">
        <v>28.9</v>
      </c>
      <c r="J258">
        <v>141</v>
      </c>
      <c r="K258">
        <v>64</v>
      </c>
      <c r="L258">
        <v>8073</v>
      </c>
      <c r="M258" t="str" cm="1">
        <f t="array" ref="M258">_xlfn.IFS(C258&lt;6,"Poor",C258&lt;=8,"Normal",TRUE,"High")</f>
        <v>Poor</v>
      </c>
    </row>
    <row r="259" spans="1:13" x14ac:dyDescent="0.2">
      <c r="A259">
        <v>258</v>
      </c>
      <c r="B259" cm="1">
        <f t="array" ref="B259:L259">_xlfn.XLOOKUP($A259,Instagram_Usage_Lifestyle_Mini_!$A:$A,Instagram_Usage_Lifestyle_Mini_!$L:$V,"Not Found")</f>
        <v>9.5</v>
      </c>
      <c r="C259">
        <v>7.4</v>
      </c>
      <c r="D259" t="str">
        <v>Average</v>
      </c>
      <c r="E259" t="str">
        <v>No</v>
      </c>
      <c r="F259" t="str">
        <v>Never</v>
      </c>
      <c r="G259">
        <v>29</v>
      </c>
      <c r="H259">
        <v>3</v>
      </c>
      <c r="I259">
        <v>21.5</v>
      </c>
      <c r="J259">
        <v>95</v>
      </c>
      <c r="K259">
        <v>92</v>
      </c>
      <c r="L259">
        <v>7930</v>
      </c>
      <c r="M259" t="str" cm="1">
        <f t="array" ref="M259">_xlfn.IFS(C259&lt;6,"Poor",C259&lt;=8,"Normal",TRUE,"High")</f>
        <v>Normal</v>
      </c>
    </row>
    <row r="260" spans="1:13" x14ac:dyDescent="0.2">
      <c r="A260">
        <v>259</v>
      </c>
      <c r="B260" cm="1">
        <f t="array" ref="B260:L260">_xlfn.XLOOKUP($A260,Instagram_Usage_Lifestyle_Mini_!$A:$A,Instagram_Usage_Lifestyle_Mini_!$L:$V,"Not Found")</f>
        <v>3.7</v>
      </c>
      <c r="C260">
        <v>7.2</v>
      </c>
      <c r="D260" t="str">
        <v>Very_poor</v>
      </c>
      <c r="E260" t="str">
        <v>No</v>
      </c>
      <c r="F260" t="str">
        <v>Weekly</v>
      </c>
      <c r="G260">
        <v>9</v>
      </c>
      <c r="H260">
        <v>4</v>
      </c>
      <c r="I260">
        <v>25.8</v>
      </c>
      <c r="J260">
        <v>147</v>
      </c>
      <c r="K260">
        <v>74</v>
      </c>
      <c r="L260">
        <v>7989</v>
      </c>
      <c r="M260" t="str" cm="1">
        <f t="array" ref="M260">_xlfn.IFS(C260&lt;6,"Poor",C260&lt;=8,"Normal",TRUE,"High")</f>
        <v>Normal</v>
      </c>
    </row>
    <row r="261" spans="1:13" x14ac:dyDescent="0.2">
      <c r="A261">
        <v>260</v>
      </c>
      <c r="B261" cm="1">
        <f t="array" ref="B261:L261">_xlfn.XLOOKUP($A261,Instagram_Usage_Lifestyle_Mini_!$A:$A,Instagram_Usage_Lifestyle_Mini_!$L:$V,"Not Found")</f>
        <v>3.9</v>
      </c>
      <c r="C261">
        <v>8.9</v>
      </c>
      <c r="D261" t="str">
        <v>Average</v>
      </c>
      <c r="E261" t="str">
        <v>No</v>
      </c>
      <c r="F261" t="str">
        <v>Never</v>
      </c>
      <c r="G261">
        <v>18</v>
      </c>
      <c r="H261">
        <v>7</v>
      </c>
      <c r="I261">
        <v>29.3</v>
      </c>
      <c r="J261">
        <v>100</v>
      </c>
      <c r="K261">
        <v>70</v>
      </c>
      <c r="L261">
        <v>8018</v>
      </c>
      <c r="M261" t="str" cm="1">
        <f t="array" ref="M261">_xlfn.IFS(C261&lt;6,"Poor",C261&lt;=8,"Normal",TRUE,"High")</f>
        <v>High</v>
      </c>
    </row>
    <row r="262" spans="1:13" x14ac:dyDescent="0.2">
      <c r="A262">
        <v>261</v>
      </c>
      <c r="B262" cm="1">
        <f t="array" ref="B262:L262">_xlfn.XLOOKUP($A262,Instagram_Usage_Lifestyle_Mini_!$A:$A,Instagram_Usage_Lifestyle_Mini_!$L:$V,"Not Found")</f>
        <v>5.4</v>
      </c>
      <c r="C262">
        <v>6</v>
      </c>
      <c r="D262" t="str">
        <v>Excellent</v>
      </c>
      <c r="E262" t="str">
        <v>No</v>
      </c>
      <c r="F262" t="str">
        <v>Rarely</v>
      </c>
      <c r="G262">
        <v>37</v>
      </c>
      <c r="H262">
        <v>5</v>
      </c>
      <c r="I262">
        <v>23.9</v>
      </c>
      <c r="J262">
        <v>92</v>
      </c>
      <c r="K262">
        <v>94</v>
      </c>
      <c r="L262">
        <v>8072</v>
      </c>
      <c r="M262" t="str" cm="1">
        <f t="array" ref="M262">_xlfn.IFS(C262&lt;6,"Poor",C262&lt;=8,"Normal",TRUE,"High")</f>
        <v>Normal</v>
      </c>
    </row>
    <row r="263" spans="1:13" x14ac:dyDescent="0.2">
      <c r="A263">
        <v>262</v>
      </c>
      <c r="B263" cm="1">
        <f t="array" ref="B263:L263">_xlfn.XLOOKUP($A263,Instagram_Usage_Lifestyle_Mini_!$A:$A,Instagram_Usage_Lifestyle_Mini_!$L:$V,"Not Found")</f>
        <v>9.6</v>
      </c>
      <c r="C263">
        <v>6.7</v>
      </c>
      <c r="D263" t="str">
        <v>Good</v>
      </c>
      <c r="E263" t="str">
        <v>No</v>
      </c>
      <c r="F263" t="str">
        <v>Never</v>
      </c>
      <c r="G263">
        <v>14</v>
      </c>
      <c r="H263">
        <v>3</v>
      </c>
      <c r="I263">
        <v>23.8</v>
      </c>
      <c r="J263">
        <v>144</v>
      </c>
      <c r="K263">
        <v>80</v>
      </c>
      <c r="L263">
        <v>7913</v>
      </c>
      <c r="M263" t="str" cm="1">
        <f t="array" ref="M263">_xlfn.IFS(C263&lt;6,"Poor",C263&lt;=8,"Normal",TRUE,"High")</f>
        <v>Normal</v>
      </c>
    </row>
    <row r="264" spans="1:13" x14ac:dyDescent="0.2">
      <c r="A264">
        <v>263</v>
      </c>
      <c r="B264" cm="1">
        <f t="array" ref="B264:L264">_xlfn.XLOOKUP($A264,Instagram_Usage_Lifestyle_Mini_!$A:$A,Instagram_Usage_Lifestyle_Mini_!$L:$V,"Not Found")</f>
        <v>6.6</v>
      </c>
      <c r="C264">
        <v>8</v>
      </c>
      <c r="D264" t="str">
        <v>Average</v>
      </c>
      <c r="E264" t="str">
        <v>Yes</v>
      </c>
      <c r="F264" t="str">
        <v>Several_times_a_week</v>
      </c>
      <c r="G264">
        <v>25</v>
      </c>
      <c r="H264">
        <v>4</v>
      </c>
      <c r="I264">
        <v>33</v>
      </c>
      <c r="J264">
        <v>123</v>
      </c>
      <c r="K264">
        <v>72</v>
      </c>
      <c r="L264">
        <v>7940</v>
      </c>
      <c r="M264" t="str" cm="1">
        <f t="array" ref="M264">_xlfn.IFS(C264&lt;6,"Poor",C264&lt;=8,"Normal",TRUE,"High")</f>
        <v>Normal</v>
      </c>
    </row>
    <row r="265" spans="1:13" x14ac:dyDescent="0.2">
      <c r="A265">
        <v>264</v>
      </c>
      <c r="B265" cm="1">
        <f t="array" ref="B265:L265">_xlfn.XLOOKUP($A265,Instagram_Usage_Lifestyle_Mini_!$A:$A,Instagram_Usage_Lifestyle_Mini_!$L:$V,"Not Found")</f>
        <v>12.7</v>
      </c>
      <c r="C265">
        <v>7.9</v>
      </c>
      <c r="D265" t="str">
        <v>Very_poor</v>
      </c>
      <c r="E265" t="str">
        <v>No</v>
      </c>
      <c r="F265" t="str">
        <v>Rarely</v>
      </c>
      <c r="G265">
        <v>0</v>
      </c>
      <c r="H265">
        <v>4</v>
      </c>
      <c r="I265">
        <v>20.5</v>
      </c>
      <c r="J265">
        <v>105</v>
      </c>
      <c r="K265">
        <v>89</v>
      </c>
      <c r="L265">
        <v>8014</v>
      </c>
      <c r="M265" t="str" cm="1">
        <f t="array" ref="M265">_xlfn.IFS(C265&lt;6,"Poor",C265&lt;=8,"Normal",TRUE,"High")</f>
        <v>Normal</v>
      </c>
    </row>
    <row r="266" spans="1:13" x14ac:dyDescent="0.2">
      <c r="A266">
        <v>265</v>
      </c>
      <c r="B266" cm="1">
        <f t="array" ref="B266:L266">_xlfn.XLOOKUP($A266,Instagram_Usage_Lifestyle_Mini_!$A:$A,Instagram_Usage_Lifestyle_Mini_!$L:$V,"Not Found")</f>
        <v>3.4</v>
      </c>
      <c r="C266">
        <v>5.7</v>
      </c>
      <c r="D266" t="str">
        <v>Average</v>
      </c>
      <c r="E266" t="str">
        <v>No</v>
      </c>
      <c r="F266" t="str">
        <v>Never</v>
      </c>
      <c r="G266">
        <v>9</v>
      </c>
      <c r="H266">
        <v>4</v>
      </c>
      <c r="I266">
        <v>24.3</v>
      </c>
      <c r="J266">
        <v>150</v>
      </c>
      <c r="K266">
        <v>68</v>
      </c>
      <c r="L266">
        <v>7954</v>
      </c>
      <c r="M266" t="str" cm="1">
        <f t="array" ref="M266">_xlfn.IFS(C266&lt;6,"Poor",C266&lt;=8,"Normal",TRUE,"High")</f>
        <v>Poor</v>
      </c>
    </row>
    <row r="267" spans="1:13" x14ac:dyDescent="0.2">
      <c r="A267">
        <v>266</v>
      </c>
      <c r="B267" cm="1">
        <f t="array" ref="B267:L267">_xlfn.XLOOKUP($A267,Instagram_Usage_Lifestyle_Mini_!$A:$A,Instagram_Usage_Lifestyle_Mini_!$L:$V,"Not Found")</f>
        <v>9.3000000000000007</v>
      </c>
      <c r="C267">
        <v>6.8</v>
      </c>
      <c r="D267" t="str">
        <v>Very_poor</v>
      </c>
      <c r="E267" t="str">
        <v>No</v>
      </c>
      <c r="F267" t="str">
        <v>Rarely</v>
      </c>
      <c r="G267">
        <v>2</v>
      </c>
      <c r="H267">
        <v>7</v>
      </c>
      <c r="I267">
        <v>20.5</v>
      </c>
      <c r="J267">
        <v>156</v>
      </c>
      <c r="K267">
        <v>92</v>
      </c>
      <c r="L267">
        <v>8101</v>
      </c>
      <c r="M267" t="str" cm="1">
        <f t="array" ref="M267">_xlfn.IFS(C267&lt;6,"Poor",C267&lt;=8,"Normal",TRUE,"High")</f>
        <v>Normal</v>
      </c>
    </row>
    <row r="268" spans="1:13" x14ac:dyDescent="0.2">
      <c r="A268">
        <v>267</v>
      </c>
      <c r="B268" cm="1">
        <f t="array" ref="B268:L268">_xlfn.XLOOKUP($A268,Instagram_Usage_Lifestyle_Mini_!$A:$A,Instagram_Usage_Lifestyle_Mini_!$L:$V,"Not Found")</f>
        <v>9.9</v>
      </c>
      <c r="C268">
        <v>7.2</v>
      </c>
      <c r="D268" t="str">
        <v>Average</v>
      </c>
      <c r="E268" t="str">
        <v>Yes</v>
      </c>
      <c r="F268" t="str">
        <v>Never</v>
      </c>
      <c r="G268">
        <v>7</v>
      </c>
      <c r="H268">
        <v>8</v>
      </c>
      <c r="I268">
        <v>20.9</v>
      </c>
      <c r="J268">
        <v>99</v>
      </c>
      <c r="K268">
        <v>85</v>
      </c>
      <c r="L268">
        <v>7973</v>
      </c>
      <c r="M268" t="str" cm="1">
        <f t="array" ref="M268">_xlfn.IFS(C268&lt;6,"Poor",C268&lt;=8,"Normal",TRUE,"High")</f>
        <v>Normal</v>
      </c>
    </row>
    <row r="269" spans="1:13" x14ac:dyDescent="0.2">
      <c r="A269">
        <v>268</v>
      </c>
      <c r="B269" cm="1">
        <f t="array" ref="B269:L269">_xlfn.XLOOKUP($A269,Instagram_Usage_Lifestyle_Mini_!$A:$A,Instagram_Usage_Lifestyle_Mini_!$L:$V,"Not Found")</f>
        <v>1</v>
      </c>
      <c r="C269">
        <v>7.3</v>
      </c>
      <c r="D269" t="str">
        <v>Poor</v>
      </c>
      <c r="E269" t="str">
        <v>No</v>
      </c>
      <c r="F269" t="str">
        <v>Never</v>
      </c>
      <c r="G269">
        <v>31</v>
      </c>
      <c r="H269">
        <v>7</v>
      </c>
      <c r="I269">
        <v>31</v>
      </c>
      <c r="J269">
        <v>154</v>
      </c>
      <c r="K269">
        <v>60</v>
      </c>
      <c r="L269">
        <v>8009</v>
      </c>
      <c r="M269" t="str" cm="1">
        <f t="array" ref="M269">_xlfn.IFS(C269&lt;6,"Poor",C269&lt;=8,"Normal",TRUE,"High")</f>
        <v>Normal</v>
      </c>
    </row>
    <row r="270" spans="1:13" x14ac:dyDescent="0.2">
      <c r="A270">
        <v>269</v>
      </c>
      <c r="B270" cm="1">
        <f t="array" ref="B270:L270">_xlfn.XLOOKUP($A270,Instagram_Usage_Lifestyle_Mini_!$A:$A,Instagram_Usage_Lifestyle_Mini_!$L:$V,"Not Found")</f>
        <v>14.7</v>
      </c>
      <c r="C270">
        <v>6.5</v>
      </c>
      <c r="D270" t="str">
        <v>Excellent</v>
      </c>
      <c r="E270" t="str">
        <v>No</v>
      </c>
      <c r="F270" t="str">
        <v>Rarely</v>
      </c>
      <c r="G270">
        <v>26</v>
      </c>
      <c r="H270">
        <v>9</v>
      </c>
      <c r="I270">
        <v>27.5</v>
      </c>
      <c r="J270">
        <v>126</v>
      </c>
      <c r="K270">
        <v>78</v>
      </c>
      <c r="L270">
        <v>8057</v>
      </c>
      <c r="M270" t="str" cm="1">
        <f t="array" ref="M270">_xlfn.IFS(C270&lt;6,"Poor",C270&lt;=8,"Normal",TRUE,"High")</f>
        <v>Normal</v>
      </c>
    </row>
    <row r="271" spans="1:13" x14ac:dyDescent="0.2">
      <c r="A271">
        <v>270</v>
      </c>
      <c r="B271" cm="1">
        <f t="array" ref="B271:L271">_xlfn.XLOOKUP($A271,Instagram_Usage_Lifestyle_Mini_!$A:$A,Instagram_Usage_Lifestyle_Mini_!$L:$V,"Not Found")</f>
        <v>4.2</v>
      </c>
      <c r="C271">
        <v>7.7</v>
      </c>
      <c r="D271" t="str">
        <v>Excellent</v>
      </c>
      <c r="E271" t="str">
        <v>No</v>
      </c>
      <c r="F271" t="str">
        <v>Never</v>
      </c>
      <c r="G271">
        <v>26</v>
      </c>
      <c r="H271">
        <v>1</v>
      </c>
      <c r="I271">
        <v>24.6</v>
      </c>
      <c r="J271">
        <v>128</v>
      </c>
      <c r="K271">
        <v>80</v>
      </c>
      <c r="L271">
        <v>7844</v>
      </c>
      <c r="M271" t="str" cm="1">
        <f t="array" ref="M271">_xlfn.IFS(C271&lt;6,"Poor",C271&lt;=8,"Normal",TRUE,"High")</f>
        <v>Normal</v>
      </c>
    </row>
    <row r="272" spans="1:13" x14ac:dyDescent="0.2">
      <c r="A272">
        <v>271</v>
      </c>
      <c r="B272" cm="1">
        <f t="array" ref="B272:L272">_xlfn.XLOOKUP($A272,Instagram_Usage_Lifestyle_Mini_!$A:$A,Instagram_Usage_Lifestyle_Mini_!$L:$V,"Not Found")</f>
        <v>12.4</v>
      </c>
      <c r="C272">
        <v>8.3000000000000007</v>
      </c>
      <c r="D272" t="str">
        <v>Good</v>
      </c>
      <c r="E272" t="str">
        <v>No</v>
      </c>
      <c r="F272" t="str">
        <v>Several_times_a_week</v>
      </c>
      <c r="G272">
        <v>29</v>
      </c>
      <c r="H272">
        <v>4</v>
      </c>
      <c r="I272">
        <v>25.9</v>
      </c>
      <c r="J272">
        <v>102</v>
      </c>
      <c r="K272">
        <v>66</v>
      </c>
      <c r="L272">
        <v>8041</v>
      </c>
      <c r="M272" t="str" cm="1">
        <f t="array" ref="M272">_xlfn.IFS(C272&lt;6,"Poor",C272&lt;=8,"Normal",TRUE,"High")</f>
        <v>High</v>
      </c>
    </row>
    <row r="273" spans="1:13" x14ac:dyDescent="0.2">
      <c r="A273">
        <v>272</v>
      </c>
      <c r="B273" cm="1">
        <f t="array" ref="B273:L273">_xlfn.XLOOKUP($A273,Instagram_Usage_Lifestyle_Mini_!$A:$A,Instagram_Usage_Lifestyle_Mini_!$L:$V,"Not Found")</f>
        <v>11.9</v>
      </c>
      <c r="C273">
        <v>7.5</v>
      </c>
      <c r="D273" t="str">
        <v>Average</v>
      </c>
      <c r="E273" t="str">
        <v>No</v>
      </c>
      <c r="F273" t="str">
        <v>Daily</v>
      </c>
      <c r="G273">
        <v>32</v>
      </c>
      <c r="H273">
        <v>2</v>
      </c>
      <c r="I273">
        <v>21.5</v>
      </c>
      <c r="J273">
        <v>131</v>
      </c>
      <c r="K273">
        <v>87</v>
      </c>
      <c r="L273">
        <v>8053</v>
      </c>
      <c r="M273" t="str" cm="1">
        <f t="array" ref="M273">_xlfn.IFS(C273&lt;6,"Poor",C273&lt;=8,"Normal",TRUE,"High")</f>
        <v>Normal</v>
      </c>
    </row>
    <row r="274" spans="1:13" x14ac:dyDescent="0.2">
      <c r="A274">
        <v>273</v>
      </c>
      <c r="B274" cm="1">
        <f t="array" ref="B274:L274">_xlfn.XLOOKUP($A274,Instagram_Usage_Lifestyle_Mini_!$A:$A,Instagram_Usage_Lifestyle_Mini_!$L:$V,"Not Found")</f>
        <v>7.5</v>
      </c>
      <c r="C274">
        <v>9.4</v>
      </c>
      <c r="D274" t="str">
        <v>Good</v>
      </c>
      <c r="E274" t="str">
        <v>No</v>
      </c>
      <c r="F274" t="str">
        <v>Never</v>
      </c>
      <c r="G274">
        <v>3</v>
      </c>
      <c r="H274">
        <v>2</v>
      </c>
      <c r="I274">
        <v>22</v>
      </c>
      <c r="J274">
        <v>110</v>
      </c>
      <c r="K274">
        <v>65</v>
      </c>
      <c r="L274">
        <v>8134</v>
      </c>
      <c r="M274" t="str" cm="1">
        <f t="array" ref="M274">_xlfn.IFS(C274&lt;6,"Poor",C274&lt;=8,"Normal",TRUE,"High")</f>
        <v>High</v>
      </c>
    </row>
    <row r="275" spans="1:13" x14ac:dyDescent="0.2">
      <c r="A275">
        <v>274</v>
      </c>
      <c r="B275" cm="1">
        <f t="array" ref="B275:L275">_xlfn.XLOOKUP($A275,Instagram_Usage_Lifestyle_Mini_!$A:$A,Instagram_Usage_Lifestyle_Mini_!$L:$V,"Not Found")</f>
        <v>3.5</v>
      </c>
      <c r="C275">
        <v>6.2</v>
      </c>
      <c r="D275" t="str">
        <v>Poor</v>
      </c>
      <c r="E275" t="str">
        <v>No</v>
      </c>
      <c r="F275" t="str">
        <v>Rarely</v>
      </c>
      <c r="G275">
        <v>36</v>
      </c>
      <c r="H275">
        <v>7</v>
      </c>
      <c r="I275">
        <v>30.2</v>
      </c>
      <c r="J275">
        <v>152</v>
      </c>
      <c r="K275">
        <v>85</v>
      </c>
      <c r="L275">
        <v>7914</v>
      </c>
      <c r="M275" t="str" cm="1">
        <f t="array" ref="M275">_xlfn.IFS(C275&lt;6,"Poor",C275&lt;=8,"Normal",TRUE,"High")</f>
        <v>Normal</v>
      </c>
    </row>
    <row r="276" spans="1:13" x14ac:dyDescent="0.2">
      <c r="A276">
        <v>275</v>
      </c>
      <c r="B276" cm="1">
        <f t="array" ref="B276:L276">_xlfn.XLOOKUP($A276,Instagram_Usage_Lifestyle_Mini_!$A:$A,Instagram_Usage_Lifestyle_Mini_!$L:$V,"Not Found")</f>
        <v>4.2</v>
      </c>
      <c r="C276">
        <v>7</v>
      </c>
      <c r="D276" t="str">
        <v>Good</v>
      </c>
      <c r="E276" t="str">
        <v>No</v>
      </c>
      <c r="F276" t="str">
        <v>Never</v>
      </c>
      <c r="G276">
        <v>22</v>
      </c>
      <c r="H276">
        <v>9</v>
      </c>
      <c r="I276">
        <v>19.8</v>
      </c>
      <c r="J276">
        <v>112</v>
      </c>
      <c r="K276">
        <v>61</v>
      </c>
      <c r="L276">
        <v>8006</v>
      </c>
      <c r="M276" t="str" cm="1">
        <f t="array" ref="M276">_xlfn.IFS(C276&lt;6,"Poor",C276&lt;=8,"Normal",TRUE,"High")</f>
        <v>Normal</v>
      </c>
    </row>
    <row r="277" spans="1:13" x14ac:dyDescent="0.2">
      <c r="A277">
        <v>276</v>
      </c>
      <c r="B277" cm="1">
        <f t="array" ref="B277:L277">_xlfn.XLOOKUP($A277,Instagram_Usage_Lifestyle_Mini_!$A:$A,Instagram_Usage_Lifestyle_Mini_!$L:$V,"Not Found")</f>
        <v>8.8000000000000007</v>
      </c>
      <c r="C277">
        <v>5.4</v>
      </c>
      <c r="D277" t="str">
        <v>Excellent</v>
      </c>
      <c r="E277" t="str">
        <v>No</v>
      </c>
      <c r="F277" t="str">
        <v>Rarely</v>
      </c>
      <c r="G277">
        <v>18</v>
      </c>
      <c r="H277">
        <v>7</v>
      </c>
      <c r="I277">
        <v>23</v>
      </c>
      <c r="J277">
        <v>111</v>
      </c>
      <c r="K277">
        <v>73</v>
      </c>
      <c r="L277">
        <v>7937</v>
      </c>
      <c r="M277" t="str" cm="1">
        <f t="array" ref="M277">_xlfn.IFS(C277&lt;6,"Poor",C277&lt;=8,"Normal",TRUE,"High")</f>
        <v>Poor</v>
      </c>
    </row>
    <row r="278" spans="1:13" x14ac:dyDescent="0.2">
      <c r="A278">
        <v>277</v>
      </c>
      <c r="B278" cm="1">
        <f t="array" ref="B278:L278">_xlfn.XLOOKUP($A278,Instagram_Usage_Lifestyle_Mini_!$A:$A,Instagram_Usage_Lifestyle_Mini_!$L:$V,"Not Found")</f>
        <v>8.5</v>
      </c>
      <c r="C278">
        <v>7.7</v>
      </c>
      <c r="D278" t="str">
        <v>Average</v>
      </c>
      <c r="E278" t="str">
        <v>No</v>
      </c>
      <c r="F278" t="str">
        <v>Weekly</v>
      </c>
      <c r="G278">
        <v>36</v>
      </c>
      <c r="H278">
        <v>9</v>
      </c>
      <c r="I278">
        <v>24.8</v>
      </c>
      <c r="J278">
        <v>90</v>
      </c>
      <c r="K278">
        <v>80</v>
      </c>
      <c r="L278">
        <v>7849</v>
      </c>
      <c r="M278" t="str" cm="1">
        <f t="array" ref="M278">_xlfn.IFS(C278&lt;6,"Poor",C278&lt;=8,"Normal",TRUE,"High")</f>
        <v>Normal</v>
      </c>
    </row>
    <row r="279" spans="1:13" x14ac:dyDescent="0.2">
      <c r="A279">
        <v>278</v>
      </c>
      <c r="B279" cm="1">
        <f t="array" ref="B279:L279">_xlfn.XLOOKUP($A279,Instagram_Usage_Lifestyle_Mini_!$A:$A,Instagram_Usage_Lifestyle_Mini_!$L:$V,"Not Found")</f>
        <v>5.9</v>
      </c>
      <c r="C279">
        <v>7.9</v>
      </c>
      <c r="D279" t="str">
        <v>Average</v>
      </c>
      <c r="E279" t="str">
        <v>No</v>
      </c>
      <c r="F279" t="str">
        <v>Rarely</v>
      </c>
      <c r="G279">
        <v>34</v>
      </c>
      <c r="H279">
        <v>2</v>
      </c>
      <c r="I279">
        <v>38.6</v>
      </c>
      <c r="J279">
        <v>126</v>
      </c>
      <c r="K279">
        <v>84</v>
      </c>
      <c r="L279">
        <v>8089</v>
      </c>
      <c r="M279" t="str" cm="1">
        <f t="array" ref="M279">_xlfn.IFS(C279&lt;6,"Poor",C279&lt;=8,"Normal",TRUE,"High")</f>
        <v>Normal</v>
      </c>
    </row>
    <row r="280" spans="1:13" x14ac:dyDescent="0.2">
      <c r="A280">
        <v>279</v>
      </c>
      <c r="B280" cm="1">
        <f t="array" ref="B280:L280">_xlfn.XLOOKUP($A280,Instagram_Usage_Lifestyle_Mini_!$A:$A,Instagram_Usage_Lifestyle_Mini_!$L:$V,"Not Found")</f>
        <v>9.4</v>
      </c>
      <c r="C280">
        <v>8.6</v>
      </c>
      <c r="D280" t="str">
        <v>Excellent</v>
      </c>
      <c r="E280" t="str">
        <v>No</v>
      </c>
      <c r="F280" t="str">
        <v>Never</v>
      </c>
      <c r="G280">
        <v>28</v>
      </c>
      <c r="H280">
        <v>1</v>
      </c>
      <c r="I280">
        <v>25.3</v>
      </c>
      <c r="J280">
        <v>101</v>
      </c>
      <c r="K280">
        <v>65</v>
      </c>
      <c r="L280">
        <v>8012</v>
      </c>
      <c r="M280" t="str" cm="1">
        <f t="array" ref="M280">_xlfn.IFS(C280&lt;6,"Poor",C280&lt;=8,"Normal",TRUE,"High")</f>
        <v>High</v>
      </c>
    </row>
    <row r="281" spans="1:13" x14ac:dyDescent="0.2">
      <c r="A281">
        <v>280</v>
      </c>
      <c r="B281" cm="1">
        <f t="array" ref="B281:L281">_xlfn.XLOOKUP($A281,Instagram_Usage_Lifestyle_Mini_!$A:$A,Instagram_Usage_Lifestyle_Mini_!$L:$V,"Not Found")</f>
        <v>13</v>
      </c>
      <c r="C281">
        <v>5.2</v>
      </c>
      <c r="D281" t="str">
        <v>Good</v>
      </c>
      <c r="E281" t="str">
        <v>Yes</v>
      </c>
      <c r="F281" t="str">
        <v>Weekly</v>
      </c>
      <c r="G281">
        <v>3</v>
      </c>
      <c r="H281">
        <v>6</v>
      </c>
      <c r="I281">
        <v>33.9</v>
      </c>
      <c r="J281">
        <v>154</v>
      </c>
      <c r="K281">
        <v>98</v>
      </c>
      <c r="L281">
        <v>7929</v>
      </c>
      <c r="M281" t="str" cm="1">
        <f t="array" ref="M281">_xlfn.IFS(C281&lt;6,"Poor",C281&lt;=8,"Normal",TRUE,"High")</f>
        <v>Poor</v>
      </c>
    </row>
    <row r="282" spans="1:13" x14ac:dyDescent="0.2">
      <c r="A282">
        <v>281</v>
      </c>
      <c r="B282" cm="1">
        <f t="array" ref="B282:L282">_xlfn.XLOOKUP($A282,Instagram_Usage_Lifestyle_Mini_!$A:$A,Instagram_Usage_Lifestyle_Mini_!$L:$V,"Not Found")</f>
        <v>8.6999999999999993</v>
      </c>
      <c r="C282">
        <v>7</v>
      </c>
      <c r="D282" t="str">
        <v>Very_poor</v>
      </c>
      <c r="E282" t="str">
        <v>No</v>
      </c>
      <c r="F282" t="str">
        <v>Weekly</v>
      </c>
      <c r="G282">
        <v>33</v>
      </c>
      <c r="H282">
        <v>9</v>
      </c>
      <c r="I282">
        <v>24.1</v>
      </c>
      <c r="J282">
        <v>120</v>
      </c>
      <c r="K282">
        <v>97</v>
      </c>
      <c r="L282">
        <v>8177</v>
      </c>
      <c r="M282" t="str" cm="1">
        <f t="array" ref="M282">_xlfn.IFS(C282&lt;6,"Poor",C282&lt;=8,"Normal",TRUE,"High")</f>
        <v>Normal</v>
      </c>
    </row>
    <row r="283" spans="1:13" x14ac:dyDescent="0.2">
      <c r="A283">
        <v>282</v>
      </c>
      <c r="B283" cm="1">
        <f t="array" ref="B283:L283">_xlfn.XLOOKUP($A283,Instagram_Usage_Lifestyle_Mini_!$A:$A,Instagram_Usage_Lifestyle_Mini_!$L:$V,"Not Found")</f>
        <v>13.3</v>
      </c>
      <c r="C283">
        <v>7.1</v>
      </c>
      <c r="D283" t="str">
        <v>Average</v>
      </c>
      <c r="E283" t="str">
        <v>No</v>
      </c>
      <c r="F283" t="str">
        <v>Rarely</v>
      </c>
      <c r="G283">
        <v>32</v>
      </c>
      <c r="H283">
        <v>1</v>
      </c>
      <c r="I283">
        <v>25.9</v>
      </c>
      <c r="J283">
        <v>127</v>
      </c>
      <c r="K283">
        <v>78</v>
      </c>
      <c r="L283">
        <v>8086</v>
      </c>
      <c r="M283" t="str" cm="1">
        <f t="array" ref="M283">_xlfn.IFS(C283&lt;6,"Poor",C283&lt;=8,"Normal",TRUE,"High")</f>
        <v>Normal</v>
      </c>
    </row>
    <row r="284" spans="1:13" x14ac:dyDescent="0.2">
      <c r="A284">
        <v>283</v>
      </c>
      <c r="B284" cm="1">
        <f t="array" ref="B284:L284">_xlfn.XLOOKUP($A284,Instagram_Usage_Lifestyle_Mini_!$A:$A,Instagram_Usage_Lifestyle_Mini_!$L:$V,"Not Found")</f>
        <v>1.6</v>
      </c>
      <c r="C284">
        <v>6.6</v>
      </c>
      <c r="D284" t="str">
        <v>Good</v>
      </c>
      <c r="E284" t="str">
        <v>No</v>
      </c>
      <c r="F284" t="str">
        <v>Never</v>
      </c>
      <c r="G284">
        <v>36</v>
      </c>
      <c r="H284">
        <v>2</v>
      </c>
      <c r="I284">
        <v>21.9</v>
      </c>
      <c r="J284">
        <v>142</v>
      </c>
      <c r="K284">
        <v>96</v>
      </c>
      <c r="L284">
        <v>8036</v>
      </c>
      <c r="M284" t="str" cm="1">
        <f t="array" ref="M284">_xlfn.IFS(C284&lt;6,"Poor",C284&lt;=8,"Normal",TRUE,"High")</f>
        <v>Normal</v>
      </c>
    </row>
    <row r="285" spans="1:13" x14ac:dyDescent="0.2">
      <c r="A285">
        <v>284</v>
      </c>
      <c r="B285" cm="1">
        <f t="array" ref="B285:L285">_xlfn.XLOOKUP($A285,Instagram_Usage_Lifestyle_Mini_!$A:$A,Instagram_Usage_Lifestyle_Mini_!$L:$V,"Not Found")</f>
        <v>6.5</v>
      </c>
      <c r="C285">
        <v>8.4</v>
      </c>
      <c r="D285" t="str">
        <v>Average</v>
      </c>
      <c r="E285" t="str">
        <v>No</v>
      </c>
      <c r="F285" t="str">
        <v>Never</v>
      </c>
      <c r="G285">
        <v>37</v>
      </c>
      <c r="H285">
        <v>7</v>
      </c>
      <c r="I285">
        <v>18.5</v>
      </c>
      <c r="J285">
        <v>146</v>
      </c>
      <c r="K285">
        <v>99</v>
      </c>
      <c r="L285">
        <v>8043</v>
      </c>
      <c r="M285" t="str" cm="1">
        <f t="array" ref="M285">_xlfn.IFS(C285&lt;6,"Poor",C285&lt;=8,"Normal",TRUE,"High")</f>
        <v>High</v>
      </c>
    </row>
    <row r="286" spans="1:13" x14ac:dyDescent="0.2">
      <c r="A286">
        <v>285</v>
      </c>
      <c r="B286" cm="1">
        <f t="array" ref="B286:L286">_xlfn.XLOOKUP($A286,Instagram_Usage_Lifestyle_Mini_!$A:$A,Instagram_Usage_Lifestyle_Mini_!$L:$V,"Not Found")</f>
        <v>4</v>
      </c>
      <c r="C286">
        <v>7.1</v>
      </c>
      <c r="D286" t="str">
        <v>Excellent</v>
      </c>
      <c r="E286" t="str">
        <v>No</v>
      </c>
      <c r="F286" t="str">
        <v>Rarely</v>
      </c>
      <c r="G286">
        <v>25</v>
      </c>
      <c r="H286">
        <v>6</v>
      </c>
      <c r="I286">
        <v>27.7</v>
      </c>
      <c r="J286">
        <v>132</v>
      </c>
      <c r="K286">
        <v>96</v>
      </c>
      <c r="L286">
        <v>7977</v>
      </c>
      <c r="M286" t="str" cm="1">
        <f t="array" ref="M286">_xlfn.IFS(C286&lt;6,"Poor",C286&lt;=8,"Normal",TRUE,"High")</f>
        <v>Normal</v>
      </c>
    </row>
    <row r="287" spans="1:13" x14ac:dyDescent="0.2">
      <c r="A287">
        <v>286</v>
      </c>
      <c r="B287" cm="1">
        <f t="array" ref="B287:L287">_xlfn.XLOOKUP($A287,Instagram_Usage_Lifestyle_Mini_!$A:$A,Instagram_Usage_Lifestyle_Mini_!$L:$V,"Not Found")</f>
        <v>8</v>
      </c>
      <c r="C287">
        <v>8.1999999999999993</v>
      </c>
      <c r="D287" t="str">
        <v>Good</v>
      </c>
      <c r="E287" t="str">
        <v>No</v>
      </c>
      <c r="F287" t="str">
        <v>Rarely</v>
      </c>
      <c r="G287">
        <v>3</v>
      </c>
      <c r="H287">
        <v>2</v>
      </c>
      <c r="I287">
        <v>26</v>
      </c>
      <c r="J287">
        <v>147</v>
      </c>
      <c r="K287">
        <v>71</v>
      </c>
      <c r="L287">
        <v>7967</v>
      </c>
      <c r="M287" t="str" cm="1">
        <f t="array" ref="M287">_xlfn.IFS(C287&lt;6,"Poor",C287&lt;=8,"Normal",TRUE,"High")</f>
        <v>High</v>
      </c>
    </row>
    <row r="288" spans="1:13" x14ac:dyDescent="0.2">
      <c r="A288">
        <v>287</v>
      </c>
      <c r="B288" cm="1">
        <f t="array" ref="B288:L288">_xlfn.XLOOKUP($A288,Instagram_Usage_Lifestyle_Mini_!$A:$A,Instagram_Usage_Lifestyle_Mini_!$L:$V,"Not Found")</f>
        <v>6.8</v>
      </c>
      <c r="C288">
        <v>7</v>
      </c>
      <c r="D288" t="str">
        <v>Excellent</v>
      </c>
      <c r="E288" t="str">
        <v>No</v>
      </c>
      <c r="F288" t="str">
        <v>Several_times_a_week</v>
      </c>
      <c r="G288">
        <v>38</v>
      </c>
      <c r="H288">
        <v>10</v>
      </c>
      <c r="I288">
        <v>28</v>
      </c>
      <c r="J288">
        <v>151</v>
      </c>
      <c r="K288">
        <v>85</v>
      </c>
      <c r="L288">
        <v>7973</v>
      </c>
      <c r="M288" t="str" cm="1">
        <f t="array" ref="M288">_xlfn.IFS(C288&lt;6,"Poor",C288&lt;=8,"Normal",TRUE,"High")</f>
        <v>Normal</v>
      </c>
    </row>
    <row r="289" spans="1:13" x14ac:dyDescent="0.2">
      <c r="A289">
        <v>288</v>
      </c>
      <c r="B289" cm="1">
        <f t="array" ref="B289:L289">_xlfn.XLOOKUP($A289,Instagram_Usage_Lifestyle_Mini_!$A:$A,Instagram_Usage_Lifestyle_Mini_!$L:$V,"Not Found")</f>
        <v>16.5</v>
      </c>
      <c r="C289">
        <v>6.9</v>
      </c>
      <c r="D289" t="str">
        <v>Poor</v>
      </c>
      <c r="E289" t="str">
        <v>No</v>
      </c>
      <c r="F289" t="str">
        <v>Rarely</v>
      </c>
      <c r="G289">
        <v>12</v>
      </c>
      <c r="H289">
        <v>10</v>
      </c>
      <c r="I289">
        <v>25.4</v>
      </c>
      <c r="J289">
        <v>157</v>
      </c>
      <c r="K289">
        <v>90</v>
      </c>
      <c r="L289">
        <v>8202</v>
      </c>
      <c r="M289" t="str" cm="1">
        <f t="array" ref="M289">_xlfn.IFS(C289&lt;6,"Poor",C289&lt;=8,"Normal",TRUE,"High")</f>
        <v>Normal</v>
      </c>
    </row>
    <row r="290" spans="1:13" x14ac:dyDescent="0.2">
      <c r="A290">
        <v>289</v>
      </c>
      <c r="B290" cm="1">
        <f t="array" ref="B290:L290">_xlfn.XLOOKUP($A290,Instagram_Usage_Lifestyle_Mini_!$A:$A,Instagram_Usage_Lifestyle_Mini_!$L:$V,"Not Found")</f>
        <v>2.1</v>
      </c>
      <c r="C290">
        <v>7</v>
      </c>
      <c r="D290" t="str">
        <v>Poor</v>
      </c>
      <c r="E290" t="str">
        <v>No</v>
      </c>
      <c r="F290" t="str">
        <v>Never</v>
      </c>
      <c r="G290">
        <v>8</v>
      </c>
      <c r="H290">
        <v>9</v>
      </c>
      <c r="I290">
        <v>27.2</v>
      </c>
      <c r="J290">
        <v>126</v>
      </c>
      <c r="K290">
        <v>65</v>
      </c>
      <c r="L290">
        <v>8144</v>
      </c>
      <c r="M290" t="str" cm="1">
        <f t="array" ref="M290">_xlfn.IFS(C290&lt;6,"Poor",C290&lt;=8,"Normal",TRUE,"High")</f>
        <v>Normal</v>
      </c>
    </row>
    <row r="291" spans="1:13" x14ac:dyDescent="0.2">
      <c r="A291">
        <v>290</v>
      </c>
      <c r="B291" cm="1">
        <f t="array" ref="B291:L291">_xlfn.XLOOKUP($A291,Instagram_Usage_Lifestyle_Mini_!$A:$A,Instagram_Usage_Lifestyle_Mini_!$L:$V,"Not Found")</f>
        <v>14.2</v>
      </c>
      <c r="C291">
        <v>7.6</v>
      </c>
      <c r="D291" t="str">
        <v>Average</v>
      </c>
      <c r="E291" t="str">
        <v>Yes</v>
      </c>
      <c r="F291" t="str">
        <v>Rarely</v>
      </c>
      <c r="G291">
        <v>11</v>
      </c>
      <c r="H291">
        <v>10</v>
      </c>
      <c r="I291">
        <v>31</v>
      </c>
      <c r="J291">
        <v>105</v>
      </c>
      <c r="K291">
        <v>79</v>
      </c>
      <c r="L291">
        <v>8097</v>
      </c>
      <c r="M291" t="str" cm="1">
        <f t="array" ref="M291">_xlfn.IFS(C291&lt;6,"Poor",C291&lt;=8,"Normal",TRUE,"High")</f>
        <v>Normal</v>
      </c>
    </row>
    <row r="292" spans="1:13" x14ac:dyDescent="0.2">
      <c r="A292">
        <v>291</v>
      </c>
      <c r="B292" cm="1">
        <f t="array" ref="B292:L292">_xlfn.XLOOKUP($A292,Instagram_Usage_Lifestyle_Mini_!$A:$A,Instagram_Usage_Lifestyle_Mini_!$L:$V,"Not Found")</f>
        <v>2.2999999999999998</v>
      </c>
      <c r="C292">
        <v>7.4</v>
      </c>
      <c r="D292" t="str">
        <v>Average</v>
      </c>
      <c r="E292" t="str">
        <v>Yes</v>
      </c>
      <c r="F292" t="str">
        <v>Weekly</v>
      </c>
      <c r="G292">
        <v>11</v>
      </c>
      <c r="H292">
        <v>9</v>
      </c>
      <c r="I292">
        <v>26.8</v>
      </c>
      <c r="J292">
        <v>139</v>
      </c>
      <c r="K292">
        <v>90</v>
      </c>
      <c r="L292">
        <v>7928</v>
      </c>
      <c r="M292" t="str" cm="1">
        <f t="array" ref="M292">_xlfn.IFS(C292&lt;6,"Poor",C292&lt;=8,"Normal",TRUE,"High")</f>
        <v>Normal</v>
      </c>
    </row>
    <row r="293" spans="1:13" x14ac:dyDescent="0.2">
      <c r="A293">
        <v>292</v>
      </c>
      <c r="B293" cm="1">
        <f t="array" ref="B293:L293">_xlfn.XLOOKUP($A293,Instagram_Usage_Lifestyle_Mini_!$A:$A,Instagram_Usage_Lifestyle_Mini_!$L:$V,"Not Found")</f>
        <v>9.4</v>
      </c>
      <c r="C293">
        <v>6</v>
      </c>
      <c r="D293" t="str">
        <v>Excellent</v>
      </c>
      <c r="E293" t="str">
        <v>Yes</v>
      </c>
      <c r="F293" t="str">
        <v>Rarely</v>
      </c>
      <c r="G293">
        <v>33</v>
      </c>
      <c r="H293">
        <v>6</v>
      </c>
      <c r="I293">
        <v>23.9</v>
      </c>
      <c r="J293">
        <v>110</v>
      </c>
      <c r="K293">
        <v>89</v>
      </c>
      <c r="L293">
        <v>7879</v>
      </c>
      <c r="M293" t="str" cm="1">
        <f t="array" ref="M293">_xlfn.IFS(C293&lt;6,"Poor",C293&lt;=8,"Normal",TRUE,"High")</f>
        <v>Normal</v>
      </c>
    </row>
    <row r="294" spans="1:13" x14ac:dyDescent="0.2">
      <c r="A294">
        <v>293</v>
      </c>
      <c r="B294" cm="1">
        <f t="array" ref="B294:L294">_xlfn.XLOOKUP($A294,Instagram_Usage_Lifestyle_Mini_!$A:$A,Instagram_Usage_Lifestyle_Mini_!$L:$V,"Not Found")</f>
        <v>16.399999999999999</v>
      </c>
      <c r="C294">
        <v>7.4</v>
      </c>
      <c r="D294" t="str">
        <v>Average</v>
      </c>
      <c r="E294" t="str">
        <v>No</v>
      </c>
      <c r="F294" t="str">
        <v>Weekly</v>
      </c>
      <c r="G294">
        <v>0</v>
      </c>
      <c r="H294">
        <v>4</v>
      </c>
      <c r="I294">
        <v>26.1</v>
      </c>
      <c r="J294">
        <v>116</v>
      </c>
      <c r="K294">
        <v>71</v>
      </c>
      <c r="L294">
        <v>8138</v>
      </c>
      <c r="M294" t="str" cm="1">
        <f t="array" ref="M294">_xlfn.IFS(C294&lt;6,"Poor",C294&lt;=8,"Normal",TRUE,"High")</f>
        <v>Normal</v>
      </c>
    </row>
    <row r="295" spans="1:13" x14ac:dyDescent="0.2">
      <c r="A295">
        <v>294</v>
      </c>
      <c r="B295" cm="1">
        <f t="array" ref="B295:L295">_xlfn.XLOOKUP($A295,Instagram_Usage_Lifestyle_Mini_!$A:$A,Instagram_Usage_Lifestyle_Mini_!$L:$V,"Not Found")</f>
        <v>0.9</v>
      </c>
      <c r="C295">
        <v>6</v>
      </c>
      <c r="D295" t="str">
        <v>Average</v>
      </c>
      <c r="E295" t="str">
        <v>No</v>
      </c>
      <c r="F295" t="str">
        <v>Never</v>
      </c>
      <c r="G295">
        <v>19</v>
      </c>
      <c r="H295">
        <v>3</v>
      </c>
      <c r="I295">
        <v>24.1</v>
      </c>
      <c r="J295">
        <v>149</v>
      </c>
      <c r="K295">
        <v>61</v>
      </c>
      <c r="L295">
        <v>8070</v>
      </c>
      <c r="M295" t="str" cm="1">
        <f t="array" ref="M295">_xlfn.IFS(C295&lt;6,"Poor",C295&lt;=8,"Normal",TRUE,"High")</f>
        <v>Normal</v>
      </c>
    </row>
    <row r="296" spans="1:13" x14ac:dyDescent="0.2">
      <c r="A296">
        <v>295</v>
      </c>
      <c r="B296" cm="1">
        <f t="array" ref="B296:L296">_xlfn.XLOOKUP($A296,Instagram_Usage_Lifestyle_Mini_!$A:$A,Instagram_Usage_Lifestyle_Mini_!$L:$V,"Not Found")</f>
        <v>4</v>
      </c>
      <c r="C296">
        <v>9</v>
      </c>
      <c r="D296" t="str">
        <v>Average</v>
      </c>
      <c r="E296" t="str">
        <v>Yes</v>
      </c>
      <c r="F296" t="str">
        <v>Never</v>
      </c>
      <c r="G296">
        <v>21</v>
      </c>
      <c r="H296">
        <v>5</v>
      </c>
      <c r="I296">
        <v>30.8</v>
      </c>
      <c r="J296">
        <v>106</v>
      </c>
      <c r="K296">
        <v>75</v>
      </c>
      <c r="L296">
        <v>8003</v>
      </c>
      <c r="M296" t="str" cm="1">
        <f t="array" ref="M296">_xlfn.IFS(C296&lt;6,"Poor",C296&lt;=8,"Normal",TRUE,"High")</f>
        <v>High</v>
      </c>
    </row>
    <row r="297" spans="1:13" x14ac:dyDescent="0.2">
      <c r="A297">
        <v>296</v>
      </c>
      <c r="B297" cm="1">
        <f t="array" ref="B297:L297">_xlfn.XLOOKUP($A297,Instagram_Usage_Lifestyle_Mini_!$A:$A,Instagram_Usage_Lifestyle_Mini_!$L:$V,"Not Found")</f>
        <v>10.3</v>
      </c>
      <c r="C297">
        <v>7</v>
      </c>
      <c r="D297" t="str">
        <v>Poor</v>
      </c>
      <c r="E297" t="str">
        <v>Former</v>
      </c>
      <c r="F297" t="str">
        <v>Rarely</v>
      </c>
      <c r="G297">
        <v>19</v>
      </c>
      <c r="H297">
        <v>5</v>
      </c>
      <c r="I297">
        <v>20.7</v>
      </c>
      <c r="J297">
        <v>91</v>
      </c>
      <c r="K297">
        <v>73</v>
      </c>
      <c r="L297">
        <v>8057</v>
      </c>
      <c r="M297" t="str" cm="1">
        <f t="array" ref="M297">_xlfn.IFS(C297&lt;6,"Poor",C297&lt;=8,"Normal",TRUE,"High")</f>
        <v>Normal</v>
      </c>
    </row>
    <row r="298" spans="1:13" x14ac:dyDescent="0.2">
      <c r="A298">
        <v>297</v>
      </c>
      <c r="B298" cm="1">
        <f t="array" ref="B298:L298">_xlfn.XLOOKUP($A298,Instagram_Usage_Lifestyle_Mini_!$A:$A,Instagram_Usage_Lifestyle_Mini_!$L:$V,"Not Found")</f>
        <v>4.7</v>
      </c>
      <c r="C298">
        <v>5.9</v>
      </c>
      <c r="D298" t="str">
        <v>Poor</v>
      </c>
      <c r="E298" t="str">
        <v>No</v>
      </c>
      <c r="F298" t="str">
        <v>Never</v>
      </c>
      <c r="G298">
        <v>6</v>
      </c>
      <c r="H298">
        <v>1</v>
      </c>
      <c r="I298">
        <v>25.4</v>
      </c>
      <c r="J298">
        <v>124</v>
      </c>
      <c r="K298">
        <v>65</v>
      </c>
      <c r="L298">
        <v>7971</v>
      </c>
      <c r="M298" t="str" cm="1">
        <f t="array" ref="M298">_xlfn.IFS(C298&lt;6,"Poor",C298&lt;=8,"Normal",TRUE,"High")</f>
        <v>Poor</v>
      </c>
    </row>
    <row r="299" spans="1:13" x14ac:dyDescent="0.2">
      <c r="A299">
        <v>298</v>
      </c>
      <c r="B299" cm="1">
        <f t="array" ref="B299:L299">_xlfn.XLOOKUP($A299,Instagram_Usage_Lifestyle_Mini_!$A:$A,Instagram_Usage_Lifestyle_Mini_!$L:$V,"Not Found")</f>
        <v>17.100000000000001</v>
      </c>
      <c r="C299">
        <v>6.6</v>
      </c>
      <c r="D299" t="str">
        <v>Good</v>
      </c>
      <c r="E299" t="str">
        <v>No</v>
      </c>
      <c r="F299" t="str">
        <v>Weekly</v>
      </c>
      <c r="G299">
        <v>2</v>
      </c>
      <c r="H299">
        <v>1</v>
      </c>
      <c r="I299">
        <v>25.4</v>
      </c>
      <c r="J299">
        <v>148</v>
      </c>
      <c r="K299">
        <v>87</v>
      </c>
      <c r="L299">
        <v>8162</v>
      </c>
      <c r="M299" t="str" cm="1">
        <f t="array" ref="M299">_xlfn.IFS(C299&lt;6,"Poor",C299&lt;=8,"Normal",TRUE,"High")</f>
        <v>Normal</v>
      </c>
    </row>
    <row r="300" spans="1:13" x14ac:dyDescent="0.2">
      <c r="A300">
        <v>299</v>
      </c>
      <c r="B300" cm="1">
        <f t="array" ref="B300:L300">_xlfn.XLOOKUP($A300,Instagram_Usage_Lifestyle_Mini_!$A:$A,Instagram_Usage_Lifestyle_Mini_!$L:$V,"Not Found")</f>
        <v>4.2</v>
      </c>
      <c r="C300">
        <v>7.5</v>
      </c>
      <c r="D300" t="str">
        <v>Poor</v>
      </c>
      <c r="E300" t="str">
        <v>No</v>
      </c>
      <c r="F300" t="str">
        <v>Never</v>
      </c>
      <c r="G300">
        <v>33</v>
      </c>
      <c r="H300">
        <v>2</v>
      </c>
      <c r="I300">
        <v>27</v>
      </c>
      <c r="J300">
        <v>100</v>
      </c>
      <c r="K300">
        <v>90</v>
      </c>
      <c r="L300">
        <v>7952</v>
      </c>
      <c r="M300" t="str" cm="1">
        <f t="array" ref="M300">_xlfn.IFS(C300&lt;6,"Poor",C300&lt;=8,"Normal",TRUE,"High")</f>
        <v>Normal</v>
      </c>
    </row>
    <row r="301" spans="1:13" x14ac:dyDescent="0.2">
      <c r="A301">
        <v>300</v>
      </c>
      <c r="B301" cm="1">
        <f t="array" ref="B301:L301">_xlfn.XLOOKUP($A301,Instagram_Usage_Lifestyle_Mini_!$A:$A,Instagram_Usage_Lifestyle_Mini_!$L:$V,"Not Found")</f>
        <v>4.4000000000000004</v>
      </c>
      <c r="C301">
        <v>7.4</v>
      </c>
      <c r="D301" t="str">
        <v>Poor</v>
      </c>
      <c r="E301" t="str">
        <v>Yes</v>
      </c>
      <c r="F301" t="str">
        <v>Several_times_a_week</v>
      </c>
      <c r="G301">
        <v>5</v>
      </c>
      <c r="H301">
        <v>6</v>
      </c>
      <c r="I301">
        <v>23.3</v>
      </c>
      <c r="J301">
        <v>90</v>
      </c>
      <c r="K301">
        <v>80</v>
      </c>
      <c r="L301">
        <v>7909</v>
      </c>
      <c r="M301" t="str" cm="1">
        <f t="array" ref="M301">_xlfn.IFS(C301&lt;6,"Poor",C301&lt;=8,"Normal",TRUE,"High")</f>
        <v>Normal</v>
      </c>
    </row>
    <row r="302" spans="1:13" x14ac:dyDescent="0.2">
      <c r="A302">
        <v>301</v>
      </c>
      <c r="B302" cm="1">
        <f t="array" ref="B302:L302">_xlfn.XLOOKUP($A302,Instagram_Usage_Lifestyle_Mini_!$A:$A,Instagram_Usage_Lifestyle_Mini_!$L:$V,"Not Found")</f>
        <v>10.6</v>
      </c>
      <c r="C302">
        <v>7.4</v>
      </c>
      <c r="D302" t="str">
        <v>Average</v>
      </c>
      <c r="E302" t="str">
        <v>No</v>
      </c>
      <c r="F302" t="str">
        <v>Weekly</v>
      </c>
      <c r="G302">
        <v>22</v>
      </c>
      <c r="H302">
        <v>9</v>
      </c>
      <c r="I302">
        <v>23.7</v>
      </c>
      <c r="J302">
        <v>90</v>
      </c>
      <c r="K302">
        <v>81</v>
      </c>
      <c r="L302">
        <v>7967</v>
      </c>
      <c r="M302" t="str" cm="1">
        <f t="array" ref="M302">_xlfn.IFS(C302&lt;6,"Poor",C302&lt;=8,"Normal",TRUE,"High")</f>
        <v>Normal</v>
      </c>
    </row>
    <row r="303" spans="1:13" x14ac:dyDescent="0.2">
      <c r="A303">
        <v>302</v>
      </c>
      <c r="B303" cm="1">
        <f t="array" ref="B303:L303">_xlfn.XLOOKUP($A303,Instagram_Usage_Lifestyle_Mini_!$A:$A,Instagram_Usage_Lifestyle_Mini_!$L:$V,"Not Found")</f>
        <v>12</v>
      </c>
      <c r="C303">
        <v>7.7</v>
      </c>
      <c r="D303" t="str">
        <v>Good</v>
      </c>
      <c r="E303" t="str">
        <v>Yes</v>
      </c>
      <c r="F303" t="str">
        <v>Weekly</v>
      </c>
      <c r="G303">
        <v>26</v>
      </c>
      <c r="H303">
        <v>3</v>
      </c>
      <c r="I303">
        <v>29.6</v>
      </c>
      <c r="J303">
        <v>120</v>
      </c>
      <c r="K303">
        <v>72</v>
      </c>
      <c r="L303">
        <v>8139</v>
      </c>
      <c r="M303" t="str" cm="1">
        <f t="array" ref="M303">_xlfn.IFS(C303&lt;6,"Poor",C303&lt;=8,"Normal",TRUE,"High")</f>
        <v>Normal</v>
      </c>
    </row>
    <row r="304" spans="1:13" x14ac:dyDescent="0.2">
      <c r="A304">
        <v>303</v>
      </c>
      <c r="B304" cm="1">
        <f t="array" ref="B304:L304">_xlfn.XLOOKUP($A304,Instagram_Usage_Lifestyle_Mini_!$A:$A,Instagram_Usage_Lifestyle_Mini_!$L:$V,"Not Found")</f>
        <v>1.1000000000000001</v>
      </c>
      <c r="C304">
        <v>6.7</v>
      </c>
      <c r="D304" t="str">
        <v>Average</v>
      </c>
      <c r="E304" t="str">
        <v>Former</v>
      </c>
      <c r="F304" t="str">
        <v>Rarely</v>
      </c>
      <c r="G304">
        <v>9</v>
      </c>
      <c r="H304">
        <v>9</v>
      </c>
      <c r="I304">
        <v>24.9</v>
      </c>
      <c r="J304">
        <v>119</v>
      </c>
      <c r="K304">
        <v>78</v>
      </c>
      <c r="L304">
        <v>8035</v>
      </c>
      <c r="M304" t="str" cm="1">
        <f t="array" ref="M304">_xlfn.IFS(C304&lt;6,"Poor",C304&lt;=8,"Normal",TRUE,"High")</f>
        <v>Normal</v>
      </c>
    </row>
    <row r="305" spans="1:13" x14ac:dyDescent="0.2">
      <c r="A305">
        <v>304</v>
      </c>
      <c r="B305" cm="1">
        <f t="array" ref="B305:L305">_xlfn.XLOOKUP($A305,Instagram_Usage_Lifestyle_Mini_!$A:$A,Instagram_Usage_Lifestyle_Mini_!$L:$V,"Not Found")</f>
        <v>13</v>
      </c>
      <c r="C305">
        <v>6.8</v>
      </c>
      <c r="D305" t="str">
        <v>Very_poor</v>
      </c>
      <c r="E305" t="str">
        <v>No</v>
      </c>
      <c r="F305" t="str">
        <v>Never</v>
      </c>
      <c r="G305">
        <v>4</v>
      </c>
      <c r="H305">
        <v>10</v>
      </c>
      <c r="I305">
        <v>21.7</v>
      </c>
      <c r="J305">
        <v>121</v>
      </c>
      <c r="K305">
        <v>79</v>
      </c>
      <c r="L305">
        <v>8084</v>
      </c>
      <c r="M305" t="str" cm="1">
        <f t="array" ref="M305">_xlfn.IFS(C305&lt;6,"Poor",C305&lt;=8,"Normal",TRUE,"High")</f>
        <v>Normal</v>
      </c>
    </row>
    <row r="306" spans="1:13" x14ac:dyDescent="0.2">
      <c r="A306">
        <v>305</v>
      </c>
      <c r="B306" cm="1">
        <f t="array" ref="B306:L306">_xlfn.XLOOKUP($A306,Instagram_Usage_Lifestyle_Mini_!$A:$A,Instagram_Usage_Lifestyle_Mini_!$L:$V,"Not Found")</f>
        <v>8.4</v>
      </c>
      <c r="C306">
        <v>6.6</v>
      </c>
      <c r="D306" t="str">
        <v>Good</v>
      </c>
      <c r="E306" t="str">
        <v>No</v>
      </c>
      <c r="F306" t="str">
        <v>Rarely</v>
      </c>
      <c r="G306">
        <v>8</v>
      </c>
      <c r="H306">
        <v>6</v>
      </c>
      <c r="I306">
        <v>30.8</v>
      </c>
      <c r="J306">
        <v>118</v>
      </c>
      <c r="K306">
        <v>90</v>
      </c>
      <c r="L306">
        <v>7924</v>
      </c>
      <c r="M306" t="str" cm="1">
        <f t="array" ref="M306">_xlfn.IFS(C306&lt;6,"Poor",C306&lt;=8,"Normal",TRUE,"High")</f>
        <v>Normal</v>
      </c>
    </row>
    <row r="307" spans="1:13" x14ac:dyDescent="0.2">
      <c r="A307">
        <v>306</v>
      </c>
      <c r="B307" cm="1">
        <f t="array" ref="B307:L307">_xlfn.XLOOKUP($A307,Instagram_Usage_Lifestyle_Mini_!$A:$A,Instagram_Usage_Lifestyle_Mini_!$L:$V,"Not Found")</f>
        <v>10.8</v>
      </c>
      <c r="C307">
        <v>7.1</v>
      </c>
      <c r="D307" t="str">
        <v>Good</v>
      </c>
      <c r="E307" t="str">
        <v>No</v>
      </c>
      <c r="F307" t="str">
        <v>Rarely</v>
      </c>
      <c r="G307">
        <v>6</v>
      </c>
      <c r="H307">
        <v>9</v>
      </c>
      <c r="I307">
        <v>25.1</v>
      </c>
      <c r="J307">
        <v>154</v>
      </c>
      <c r="K307">
        <v>80</v>
      </c>
      <c r="L307">
        <v>8142</v>
      </c>
      <c r="M307" t="str" cm="1">
        <f t="array" ref="M307">_xlfn.IFS(C307&lt;6,"Poor",C307&lt;=8,"Normal",TRUE,"High")</f>
        <v>Normal</v>
      </c>
    </row>
    <row r="308" spans="1:13" x14ac:dyDescent="0.2">
      <c r="A308">
        <v>307</v>
      </c>
      <c r="B308" cm="1">
        <f t="array" ref="B308:L308">_xlfn.XLOOKUP($A308,Instagram_Usage_Lifestyle_Mini_!$A:$A,Instagram_Usage_Lifestyle_Mini_!$L:$V,"Not Found")</f>
        <v>10.1</v>
      </c>
      <c r="C308">
        <v>7.2</v>
      </c>
      <c r="D308" t="str">
        <v>Average</v>
      </c>
      <c r="E308" t="str">
        <v>No</v>
      </c>
      <c r="F308" t="str">
        <v>Rarely</v>
      </c>
      <c r="G308">
        <v>39</v>
      </c>
      <c r="H308">
        <v>6</v>
      </c>
      <c r="I308">
        <v>30.6</v>
      </c>
      <c r="J308">
        <v>137</v>
      </c>
      <c r="K308">
        <v>85</v>
      </c>
      <c r="L308">
        <v>8055</v>
      </c>
      <c r="M308" t="str" cm="1">
        <f t="array" ref="M308">_xlfn.IFS(C308&lt;6,"Poor",C308&lt;=8,"Normal",TRUE,"High")</f>
        <v>Normal</v>
      </c>
    </row>
    <row r="309" spans="1:13" x14ac:dyDescent="0.2">
      <c r="A309">
        <v>308</v>
      </c>
      <c r="B309" cm="1">
        <f t="array" ref="B309:L309">_xlfn.XLOOKUP($A309,Instagram_Usage_Lifestyle_Mini_!$A:$A,Instagram_Usage_Lifestyle_Mini_!$L:$V,"Not Found")</f>
        <v>9.5</v>
      </c>
      <c r="C309">
        <v>9.4</v>
      </c>
      <c r="D309" t="str">
        <v>Poor</v>
      </c>
      <c r="E309" t="str">
        <v>No</v>
      </c>
      <c r="F309" t="str">
        <v>Weekly</v>
      </c>
      <c r="G309">
        <v>28</v>
      </c>
      <c r="H309">
        <v>9</v>
      </c>
      <c r="I309">
        <v>29.3</v>
      </c>
      <c r="J309">
        <v>115</v>
      </c>
      <c r="K309">
        <v>92</v>
      </c>
      <c r="L309">
        <v>8098</v>
      </c>
      <c r="M309" t="str" cm="1">
        <f t="array" ref="M309">_xlfn.IFS(C309&lt;6,"Poor",C309&lt;=8,"Normal",TRUE,"High")</f>
        <v>High</v>
      </c>
    </row>
    <row r="310" spans="1:13" x14ac:dyDescent="0.2">
      <c r="A310">
        <v>309</v>
      </c>
      <c r="B310" cm="1">
        <f t="array" ref="B310:L310">_xlfn.XLOOKUP($A310,Instagram_Usage_Lifestyle_Mini_!$A:$A,Instagram_Usage_Lifestyle_Mini_!$L:$V,"Not Found")</f>
        <v>4.5</v>
      </c>
      <c r="C310">
        <v>6.5</v>
      </c>
      <c r="D310" t="str">
        <v>Poor</v>
      </c>
      <c r="E310" t="str">
        <v>No</v>
      </c>
      <c r="F310" t="str">
        <v>Never</v>
      </c>
      <c r="G310">
        <v>10</v>
      </c>
      <c r="H310">
        <v>10</v>
      </c>
      <c r="I310">
        <v>25.2</v>
      </c>
      <c r="J310">
        <v>107</v>
      </c>
      <c r="K310">
        <v>63</v>
      </c>
      <c r="L310">
        <v>8016</v>
      </c>
      <c r="M310" t="str" cm="1">
        <f t="array" ref="M310">_xlfn.IFS(C310&lt;6,"Poor",C310&lt;=8,"Normal",TRUE,"High")</f>
        <v>Normal</v>
      </c>
    </row>
    <row r="311" spans="1:13" x14ac:dyDescent="0.2">
      <c r="A311">
        <v>310</v>
      </c>
      <c r="B311" cm="1">
        <f t="array" ref="B311:L311">_xlfn.XLOOKUP($A311,Instagram_Usage_Lifestyle_Mini_!$A:$A,Instagram_Usage_Lifestyle_Mini_!$L:$V,"Not Found")</f>
        <v>3</v>
      </c>
      <c r="C311">
        <v>7.4</v>
      </c>
      <c r="D311" t="str">
        <v>Very_poor</v>
      </c>
      <c r="E311" t="str">
        <v>Former</v>
      </c>
      <c r="F311" t="str">
        <v>Daily</v>
      </c>
      <c r="G311">
        <v>23</v>
      </c>
      <c r="H311">
        <v>5</v>
      </c>
      <c r="I311">
        <v>25.6</v>
      </c>
      <c r="J311">
        <v>142</v>
      </c>
      <c r="K311">
        <v>83</v>
      </c>
      <c r="L311">
        <v>8032</v>
      </c>
      <c r="M311" t="str" cm="1">
        <f t="array" ref="M311">_xlfn.IFS(C311&lt;6,"Poor",C311&lt;=8,"Normal",TRUE,"High")</f>
        <v>Normal</v>
      </c>
    </row>
    <row r="312" spans="1:13" x14ac:dyDescent="0.2">
      <c r="A312">
        <v>311</v>
      </c>
      <c r="B312" cm="1">
        <f t="array" ref="B312:L312">_xlfn.XLOOKUP($A312,Instagram_Usage_Lifestyle_Mini_!$A:$A,Instagram_Usage_Lifestyle_Mini_!$L:$V,"Not Found")</f>
        <v>7.2</v>
      </c>
      <c r="C312">
        <v>6.8</v>
      </c>
      <c r="D312" t="str">
        <v>Average</v>
      </c>
      <c r="E312" t="str">
        <v>No</v>
      </c>
      <c r="F312" t="str">
        <v>Rarely</v>
      </c>
      <c r="G312">
        <v>22</v>
      </c>
      <c r="H312">
        <v>6</v>
      </c>
      <c r="I312">
        <v>21.4</v>
      </c>
      <c r="J312">
        <v>127</v>
      </c>
      <c r="K312">
        <v>75</v>
      </c>
      <c r="L312">
        <v>7930</v>
      </c>
      <c r="M312" t="str" cm="1">
        <f t="array" ref="M312">_xlfn.IFS(C312&lt;6,"Poor",C312&lt;=8,"Normal",TRUE,"High")</f>
        <v>Normal</v>
      </c>
    </row>
    <row r="313" spans="1:13" x14ac:dyDescent="0.2">
      <c r="A313">
        <v>312</v>
      </c>
      <c r="B313" cm="1">
        <f t="array" ref="B313:L313">_xlfn.XLOOKUP($A313,Instagram_Usage_Lifestyle_Mini_!$A:$A,Instagram_Usage_Lifestyle_Mini_!$L:$V,"Not Found")</f>
        <v>5.8</v>
      </c>
      <c r="C313">
        <v>8.1</v>
      </c>
      <c r="D313" t="str">
        <v>Good</v>
      </c>
      <c r="E313" t="str">
        <v>Former</v>
      </c>
      <c r="F313" t="str">
        <v>Weekly</v>
      </c>
      <c r="G313">
        <v>4</v>
      </c>
      <c r="H313">
        <v>1</v>
      </c>
      <c r="I313">
        <v>26.5</v>
      </c>
      <c r="J313">
        <v>157</v>
      </c>
      <c r="K313">
        <v>66</v>
      </c>
      <c r="L313">
        <v>8033</v>
      </c>
      <c r="M313" t="str" cm="1">
        <f t="array" ref="M313">_xlfn.IFS(C313&lt;6,"Poor",C313&lt;=8,"Normal",TRUE,"High")</f>
        <v>High</v>
      </c>
    </row>
    <row r="314" spans="1:13" x14ac:dyDescent="0.2">
      <c r="A314">
        <v>313</v>
      </c>
      <c r="B314" cm="1">
        <f t="array" ref="B314:L314">_xlfn.XLOOKUP($A314,Instagram_Usage_Lifestyle_Mini_!$A:$A,Instagram_Usage_Lifestyle_Mini_!$L:$V,"Not Found")</f>
        <v>6.3</v>
      </c>
      <c r="C314">
        <v>5.9</v>
      </c>
      <c r="D314" t="str">
        <v>Average</v>
      </c>
      <c r="E314" t="str">
        <v>No</v>
      </c>
      <c r="F314" t="str">
        <v>Weekly</v>
      </c>
      <c r="G314">
        <v>10</v>
      </c>
      <c r="H314">
        <v>6</v>
      </c>
      <c r="I314">
        <v>37.200000000000003</v>
      </c>
      <c r="J314">
        <v>101</v>
      </c>
      <c r="K314">
        <v>65</v>
      </c>
      <c r="L314">
        <v>7957</v>
      </c>
      <c r="M314" t="str" cm="1">
        <f t="array" ref="M314">_xlfn.IFS(C314&lt;6,"Poor",C314&lt;=8,"Normal",TRUE,"High")</f>
        <v>Poor</v>
      </c>
    </row>
    <row r="315" spans="1:13" x14ac:dyDescent="0.2">
      <c r="A315">
        <v>314</v>
      </c>
      <c r="B315" cm="1">
        <f t="array" ref="B315:L315">_xlfn.XLOOKUP($A315,Instagram_Usage_Lifestyle_Mini_!$A:$A,Instagram_Usage_Lifestyle_Mini_!$L:$V,"Not Found")</f>
        <v>13.1</v>
      </c>
      <c r="C315">
        <v>8</v>
      </c>
      <c r="D315" t="str">
        <v>Good</v>
      </c>
      <c r="E315" t="str">
        <v>Yes</v>
      </c>
      <c r="F315" t="str">
        <v>Weekly</v>
      </c>
      <c r="G315">
        <v>17</v>
      </c>
      <c r="H315">
        <v>5</v>
      </c>
      <c r="I315">
        <v>34.200000000000003</v>
      </c>
      <c r="J315">
        <v>151</v>
      </c>
      <c r="K315">
        <v>98</v>
      </c>
      <c r="L315">
        <v>8045</v>
      </c>
      <c r="M315" t="str" cm="1">
        <f t="array" ref="M315">_xlfn.IFS(C315&lt;6,"Poor",C315&lt;=8,"Normal",TRUE,"High")</f>
        <v>Normal</v>
      </c>
    </row>
    <row r="316" spans="1:13" x14ac:dyDescent="0.2">
      <c r="A316">
        <v>315</v>
      </c>
      <c r="B316" cm="1">
        <f t="array" ref="B316:L316">_xlfn.XLOOKUP($A316,Instagram_Usage_Lifestyle_Mini_!$A:$A,Instagram_Usage_Lifestyle_Mini_!$L:$V,"Not Found")</f>
        <v>8.6</v>
      </c>
      <c r="C316">
        <v>6.8</v>
      </c>
      <c r="D316" t="str">
        <v>Excellent</v>
      </c>
      <c r="E316" t="str">
        <v>No</v>
      </c>
      <c r="F316" t="str">
        <v>Rarely</v>
      </c>
      <c r="G316">
        <v>8</v>
      </c>
      <c r="H316">
        <v>4</v>
      </c>
      <c r="I316">
        <v>20.100000000000001</v>
      </c>
      <c r="J316">
        <v>121</v>
      </c>
      <c r="K316">
        <v>80</v>
      </c>
      <c r="L316">
        <v>8044</v>
      </c>
      <c r="M316" t="str" cm="1">
        <f t="array" ref="M316">_xlfn.IFS(C316&lt;6,"Poor",C316&lt;=8,"Normal",TRUE,"High")</f>
        <v>Normal</v>
      </c>
    </row>
    <row r="317" spans="1:13" x14ac:dyDescent="0.2">
      <c r="A317">
        <v>316</v>
      </c>
      <c r="B317" cm="1">
        <f t="array" ref="B317:L317">_xlfn.XLOOKUP($A317,Instagram_Usage_Lifestyle_Mini_!$A:$A,Instagram_Usage_Lifestyle_Mini_!$L:$V,"Not Found")</f>
        <v>1.3</v>
      </c>
      <c r="C317">
        <v>6.3</v>
      </c>
      <c r="D317" t="str">
        <v>Poor</v>
      </c>
      <c r="E317" t="str">
        <v>No</v>
      </c>
      <c r="F317" t="str">
        <v>Rarely</v>
      </c>
      <c r="G317">
        <v>9</v>
      </c>
      <c r="H317">
        <v>9</v>
      </c>
      <c r="I317">
        <v>26.7</v>
      </c>
      <c r="J317">
        <v>154</v>
      </c>
      <c r="K317">
        <v>88</v>
      </c>
      <c r="L317">
        <v>8144</v>
      </c>
      <c r="M317" t="str" cm="1">
        <f t="array" ref="M317">_xlfn.IFS(C317&lt;6,"Poor",C317&lt;=8,"Normal",TRUE,"High")</f>
        <v>Normal</v>
      </c>
    </row>
    <row r="318" spans="1:13" x14ac:dyDescent="0.2">
      <c r="A318">
        <v>317</v>
      </c>
      <c r="B318" cm="1">
        <f t="array" ref="B318:L318">_xlfn.XLOOKUP($A318,Instagram_Usage_Lifestyle_Mini_!$A:$A,Instagram_Usage_Lifestyle_Mini_!$L:$V,"Not Found")</f>
        <v>13.4</v>
      </c>
      <c r="C318">
        <v>6.5</v>
      </c>
      <c r="D318" t="str">
        <v>Excellent</v>
      </c>
      <c r="E318" t="str">
        <v>No</v>
      </c>
      <c r="F318" t="str">
        <v>Never</v>
      </c>
      <c r="G318">
        <v>10</v>
      </c>
      <c r="H318">
        <v>2</v>
      </c>
      <c r="I318">
        <v>31.1</v>
      </c>
      <c r="J318">
        <v>96</v>
      </c>
      <c r="K318">
        <v>80</v>
      </c>
      <c r="L318">
        <v>8083</v>
      </c>
      <c r="M318" t="str" cm="1">
        <f t="array" ref="M318">_xlfn.IFS(C318&lt;6,"Poor",C318&lt;=8,"Normal",TRUE,"High")</f>
        <v>Normal</v>
      </c>
    </row>
    <row r="319" spans="1:13" x14ac:dyDescent="0.2">
      <c r="A319">
        <v>318</v>
      </c>
      <c r="B319" cm="1">
        <f t="array" ref="B319:L319">_xlfn.XLOOKUP($A319,Instagram_Usage_Lifestyle_Mini_!$A:$A,Instagram_Usage_Lifestyle_Mini_!$L:$V,"Not Found")</f>
        <v>10.199999999999999</v>
      </c>
      <c r="C319">
        <v>7.4</v>
      </c>
      <c r="D319" t="str">
        <v>Good</v>
      </c>
      <c r="E319" t="str">
        <v>No</v>
      </c>
      <c r="F319" t="str">
        <v>Rarely</v>
      </c>
      <c r="G319">
        <v>35</v>
      </c>
      <c r="H319">
        <v>7</v>
      </c>
      <c r="I319">
        <v>29.2</v>
      </c>
      <c r="J319">
        <v>112</v>
      </c>
      <c r="K319">
        <v>67</v>
      </c>
      <c r="L319">
        <v>7728</v>
      </c>
      <c r="M319" t="str" cm="1">
        <f t="array" ref="M319">_xlfn.IFS(C319&lt;6,"Poor",C319&lt;=8,"Normal",TRUE,"High")</f>
        <v>Normal</v>
      </c>
    </row>
    <row r="320" spans="1:13" x14ac:dyDescent="0.2">
      <c r="A320">
        <v>319</v>
      </c>
      <c r="B320" cm="1">
        <f t="array" ref="B320:L320">_xlfn.XLOOKUP($A320,Instagram_Usage_Lifestyle_Mini_!$A:$A,Instagram_Usage_Lifestyle_Mini_!$L:$V,"Not Found")</f>
        <v>11.2</v>
      </c>
      <c r="C320">
        <v>5.4</v>
      </c>
      <c r="D320" t="str">
        <v>Poor</v>
      </c>
      <c r="E320" t="str">
        <v>Yes</v>
      </c>
      <c r="F320" t="str">
        <v>Rarely</v>
      </c>
      <c r="G320">
        <v>9</v>
      </c>
      <c r="H320">
        <v>7</v>
      </c>
      <c r="I320">
        <v>29.4</v>
      </c>
      <c r="J320">
        <v>121</v>
      </c>
      <c r="K320">
        <v>90</v>
      </c>
      <c r="L320">
        <v>8044</v>
      </c>
      <c r="M320" t="str" cm="1">
        <f t="array" ref="M320">_xlfn.IFS(C320&lt;6,"Poor",C320&lt;=8,"Normal",TRUE,"High")</f>
        <v>Poor</v>
      </c>
    </row>
    <row r="321" spans="1:13" x14ac:dyDescent="0.2">
      <c r="A321">
        <v>320</v>
      </c>
      <c r="B321" cm="1">
        <f t="array" ref="B321:L321">_xlfn.XLOOKUP($A321,Instagram_Usage_Lifestyle_Mini_!$A:$A,Instagram_Usage_Lifestyle_Mini_!$L:$V,"Not Found")</f>
        <v>10.6</v>
      </c>
      <c r="C321">
        <v>7.4</v>
      </c>
      <c r="D321" t="str">
        <v>Average</v>
      </c>
      <c r="E321" t="str">
        <v>No</v>
      </c>
      <c r="F321" t="str">
        <v>Several_times_a_week</v>
      </c>
      <c r="G321">
        <v>30</v>
      </c>
      <c r="H321">
        <v>10</v>
      </c>
      <c r="I321">
        <v>24</v>
      </c>
      <c r="J321">
        <v>115</v>
      </c>
      <c r="K321">
        <v>70</v>
      </c>
      <c r="L321">
        <v>7999</v>
      </c>
      <c r="M321" t="str" cm="1">
        <f t="array" ref="M321">_xlfn.IFS(C321&lt;6,"Poor",C321&lt;=8,"Normal",TRUE,"High")</f>
        <v>Normal</v>
      </c>
    </row>
    <row r="322" spans="1:13" x14ac:dyDescent="0.2">
      <c r="A322">
        <v>321</v>
      </c>
      <c r="B322" cm="1">
        <f t="array" ref="B322:L322">_xlfn.XLOOKUP($A322,Instagram_Usage_Lifestyle_Mini_!$A:$A,Instagram_Usage_Lifestyle_Mini_!$L:$V,"Not Found")</f>
        <v>9.3000000000000007</v>
      </c>
      <c r="C322">
        <v>7.3</v>
      </c>
      <c r="D322" t="str">
        <v>Excellent</v>
      </c>
      <c r="E322" t="str">
        <v>No</v>
      </c>
      <c r="F322" t="str">
        <v>Several_times_a_week</v>
      </c>
      <c r="G322">
        <v>5</v>
      </c>
      <c r="H322">
        <v>1</v>
      </c>
      <c r="I322">
        <v>21.5</v>
      </c>
      <c r="J322">
        <v>106</v>
      </c>
      <c r="K322">
        <v>73</v>
      </c>
      <c r="L322">
        <v>8001</v>
      </c>
      <c r="M322" t="str" cm="1">
        <f t="array" ref="M322">_xlfn.IFS(C322&lt;6,"Poor",C322&lt;=8,"Normal",TRUE,"High")</f>
        <v>Normal</v>
      </c>
    </row>
    <row r="323" spans="1:13" x14ac:dyDescent="0.2">
      <c r="A323">
        <v>322</v>
      </c>
      <c r="B323" cm="1">
        <f t="array" ref="B323:L323">_xlfn.XLOOKUP($A323,Instagram_Usage_Lifestyle_Mini_!$A:$A,Instagram_Usage_Lifestyle_Mini_!$L:$V,"Not Found")</f>
        <v>5.8</v>
      </c>
      <c r="C323">
        <v>6.6</v>
      </c>
      <c r="D323" t="str">
        <v>Average</v>
      </c>
      <c r="E323" t="str">
        <v>Yes</v>
      </c>
      <c r="F323" t="str">
        <v>Never</v>
      </c>
      <c r="G323">
        <v>11</v>
      </c>
      <c r="H323">
        <v>6</v>
      </c>
      <c r="I323">
        <v>21</v>
      </c>
      <c r="J323">
        <v>144</v>
      </c>
      <c r="K323">
        <v>72</v>
      </c>
      <c r="L323">
        <v>8125</v>
      </c>
      <c r="M323" t="str" cm="1">
        <f t="array" ref="M323">_xlfn.IFS(C323&lt;6,"Poor",C323&lt;=8,"Normal",TRUE,"High")</f>
        <v>Normal</v>
      </c>
    </row>
    <row r="324" spans="1:13" x14ac:dyDescent="0.2">
      <c r="A324">
        <v>323</v>
      </c>
      <c r="B324" cm="1">
        <f t="array" ref="B324:L324">_xlfn.XLOOKUP($A324,Instagram_Usage_Lifestyle_Mini_!$A:$A,Instagram_Usage_Lifestyle_Mini_!$L:$V,"Not Found")</f>
        <v>8.1</v>
      </c>
      <c r="C324">
        <v>5.8</v>
      </c>
      <c r="D324" t="str">
        <v>Good</v>
      </c>
      <c r="E324" t="str">
        <v>Yes</v>
      </c>
      <c r="F324" t="str">
        <v>Weekly</v>
      </c>
      <c r="G324">
        <v>36</v>
      </c>
      <c r="H324">
        <v>10</v>
      </c>
      <c r="I324">
        <v>28.6</v>
      </c>
      <c r="J324">
        <v>154</v>
      </c>
      <c r="K324">
        <v>67</v>
      </c>
      <c r="L324">
        <v>7931</v>
      </c>
      <c r="M324" t="str" cm="1">
        <f t="array" ref="M324">_xlfn.IFS(C324&lt;6,"Poor",C324&lt;=8,"Normal",TRUE,"High")</f>
        <v>Poor</v>
      </c>
    </row>
    <row r="325" spans="1:13" x14ac:dyDescent="0.2">
      <c r="A325">
        <v>324</v>
      </c>
      <c r="B325" cm="1">
        <f t="array" ref="B325:L325">_xlfn.XLOOKUP($A325,Instagram_Usage_Lifestyle_Mini_!$A:$A,Instagram_Usage_Lifestyle_Mini_!$L:$V,"Not Found")</f>
        <v>4.8</v>
      </c>
      <c r="C325">
        <v>6.9</v>
      </c>
      <c r="D325" t="str">
        <v>Good</v>
      </c>
      <c r="E325" t="str">
        <v>Yes</v>
      </c>
      <c r="F325" t="str">
        <v>Weekly</v>
      </c>
      <c r="G325">
        <v>5</v>
      </c>
      <c r="H325">
        <v>6</v>
      </c>
      <c r="I325">
        <v>21</v>
      </c>
      <c r="J325">
        <v>113</v>
      </c>
      <c r="K325">
        <v>80</v>
      </c>
      <c r="L325">
        <v>7989</v>
      </c>
      <c r="M325" t="str" cm="1">
        <f t="array" ref="M325">_xlfn.IFS(C325&lt;6,"Poor",C325&lt;=8,"Normal",TRUE,"High")</f>
        <v>Normal</v>
      </c>
    </row>
    <row r="326" spans="1:13" x14ac:dyDescent="0.2">
      <c r="A326">
        <v>325</v>
      </c>
      <c r="B326" cm="1">
        <f t="array" ref="B326:L326">_xlfn.XLOOKUP($A326,Instagram_Usage_Lifestyle_Mini_!$A:$A,Instagram_Usage_Lifestyle_Mini_!$L:$V,"Not Found")</f>
        <v>3.7</v>
      </c>
      <c r="C326">
        <v>6.3</v>
      </c>
      <c r="D326" t="str">
        <v>Excellent</v>
      </c>
      <c r="E326" t="str">
        <v>No</v>
      </c>
      <c r="F326" t="str">
        <v>Rarely</v>
      </c>
      <c r="G326">
        <v>5</v>
      </c>
      <c r="H326">
        <v>2</v>
      </c>
      <c r="I326">
        <v>28.8</v>
      </c>
      <c r="J326">
        <v>101</v>
      </c>
      <c r="K326">
        <v>96</v>
      </c>
      <c r="L326">
        <v>7956</v>
      </c>
      <c r="M326" t="str" cm="1">
        <f t="array" ref="M326">_xlfn.IFS(C326&lt;6,"Poor",C326&lt;=8,"Normal",TRUE,"High")</f>
        <v>Normal</v>
      </c>
    </row>
    <row r="327" spans="1:13" x14ac:dyDescent="0.2">
      <c r="A327">
        <v>326</v>
      </c>
      <c r="B327" cm="1">
        <f t="array" ref="B327:L327">_xlfn.XLOOKUP($A327,Instagram_Usage_Lifestyle_Mini_!$A:$A,Instagram_Usage_Lifestyle_Mini_!$L:$V,"Not Found")</f>
        <v>15.2</v>
      </c>
      <c r="C327">
        <v>4.7</v>
      </c>
      <c r="D327" t="str">
        <v>Good</v>
      </c>
      <c r="E327" t="str">
        <v>Former</v>
      </c>
      <c r="F327" t="str">
        <v>Never</v>
      </c>
      <c r="G327">
        <v>23</v>
      </c>
      <c r="H327">
        <v>1</v>
      </c>
      <c r="I327">
        <v>22</v>
      </c>
      <c r="J327">
        <v>107</v>
      </c>
      <c r="K327">
        <v>81</v>
      </c>
      <c r="L327">
        <v>7999</v>
      </c>
      <c r="M327" t="str" cm="1">
        <f t="array" ref="M327">_xlfn.IFS(C327&lt;6,"Poor",C327&lt;=8,"Normal",TRUE,"High")</f>
        <v>Poor</v>
      </c>
    </row>
    <row r="328" spans="1:13" x14ac:dyDescent="0.2">
      <c r="A328">
        <v>327</v>
      </c>
      <c r="B328" cm="1">
        <f t="array" ref="B328:L328">_xlfn.XLOOKUP($A328,Instagram_Usage_Lifestyle_Mini_!$A:$A,Instagram_Usage_Lifestyle_Mini_!$L:$V,"Not Found")</f>
        <v>9.1</v>
      </c>
      <c r="C328">
        <v>6.3</v>
      </c>
      <c r="D328" t="str">
        <v>Excellent</v>
      </c>
      <c r="E328" t="str">
        <v>No</v>
      </c>
      <c r="F328" t="str">
        <v>Rarely</v>
      </c>
      <c r="G328">
        <v>21</v>
      </c>
      <c r="H328">
        <v>1</v>
      </c>
      <c r="I328">
        <v>21.6</v>
      </c>
      <c r="J328">
        <v>113</v>
      </c>
      <c r="K328">
        <v>92</v>
      </c>
      <c r="L328">
        <v>7950</v>
      </c>
      <c r="M328" t="str" cm="1">
        <f t="array" ref="M328">_xlfn.IFS(C328&lt;6,"Poor",C328&lt;=8,"Normal",TRUE,"High")</f>
        <v>Normal</v>
      </c>
    </row>
    <row r="329" spans="1:13" x14ac:dyDescent="0.2">
      <c r="A329">
        <v>328</v>
      </c>
      <c r="B329" cm="1">
        <f t="array" ref="B329:L329">_xlfn.XLOOKUP($A329,Instagram_Usage_Lifestyle_Mini_!$A:$A,Instagram_Usage_Lifestyle_Mini_!$L:$V,"Not Found")</f>
        <v>7</v>
      </c>
      <c r="C329">
        <v>5.5</v>
      </c>
      <c r="D329" t="str">
        <v>Excellent</v>
      </c>
      <c r="E329" t="str">
        <v>No</v>
      </c>
      <c r="F329" t="str">
        <v>Weekly</v>
      </c>
      <c r="G329">
        <v>14</v>
      </c>
      <c r="H329">
        <v>1</v>
      </c>
      <c r="I329">
        <v>29.3</v>
      </c>
      <c r="J329">
        <v>128</v>
      </c>
      <c r="K329">
        <v>75</v>
      </c>
      <c r="L329">
        <v>7876</v>
      </c>
      <c r="M329" t="str" cm="1">
        <f t="array" ref="M329">_xlfn.IFS(C329&lt;6,"Poor",C329&lt;=8,"Normal",TRUE,"High")</f>
        <v>Poor</v>
      </c>
    </row>
    <row r="330" spans="1:13" x14ac:dyDescent="0.2">
      <c r="A330">
        <v>329</v>
      </c>
      <c r="B330" cm="1">
        <f t="array" ref="B330:L330">_xlfn.XLOOKUP($A330,Instagram_Usage_Lifestyle_Mini_!$A:$A,Instagram_Usage_Lifestyle_Mini_!$L:$V,"Not Found")</f>
        <v>5.0999999999999996</v>
      </c>
      <c r="C330">
        <v>5.9</v>
      </c>
      <c r="D330" t="str">
        <v>Excellent</v>
      </c>
      <c r="E330" t="str">
        <v>Yes</v>
      </c>
      <c r="F330" t="str">
        <v>Several_times_a_week</v>
      </c>
      <c r="G330">
        <v>38</v>
      </c>
      <c r="H330">
        <v>4</v>
      </c>
      <c r="I330">
        <v>22.7</v>
      </c>
      <c r="J330">
        <v>129</v>
      </c>
      <c r="K330">
        <v>84</v>
      </c>
      <c r="L330">
        <v>7862</v>
      </c>
      <c r="M330" t="str" cm="1">
        <f t="array" ref="M330">_xlfn.IFS(C330&lt;6,"Poor",C330&lt;=8,"Normal",TRUE,"High")</f>
        <v>Poor</v>
      </c>
    </row>
    <row r="331" spans="1:13" x14ac:dyDescent="0.2">
      <c r="A331">
        <v>330</v>
      </c>
      <c r="B331" cm="1">
        <f t="array" ref="B331:L331">_xlfn.XLOOKUP($A331,Instagram_Usage_Lifestyle_Mini_!$A:$A,Instagram_Usage_Lifestyle_Mini_!$L:$V,"Not Found")</f>
        <v>2.8</v>
      </c>
      <c r="C331">
        <v>7.1</v>
      </c>
      <c r="D331" t="str">
        <v>Poor</v>
      </c>
      <c r="E331" t="str">
        <v>No</v>
      </c>
      <c r="F331" t="str">
        <v>Rarely</v>
      </c>
      <c r="G331">
        <v>13</v>
      </c>
      <c r="H331">
        <v>5</v>
      </c>
      <c r="I331">
        <v>28.7</v>
      </c>
      <c r="J331">
        <v>114</v>
      </c>
      <c r="K331">
        <v>88</v>
      </c>
      <c r="L331">
        <v>8254</v>
      </c>
      <c r="M331" t="str" cm="1">
        <f t="array" ref="M331">_xlfn.IFS(C331&lt;6,"Poor",C331&lt;=8,"Normal",TRUE,"High")</f>
        <v>Normal</v>
      </c>
    </row>
    <row r="332" spans="1:13" x14ac:dyDescent="0.2">
      <c r="A332">
        <v>331</v>
      </c>
      <c r="B332" cm="1">
        <f t="array" ref="B332:L332">_xlfn.XLOOKUP($A332,Instagram_Usage_Lifestyle_Mini_!$A:$A,Instagram_Usage_Lifestyle_Mini_!$L:$V,"Not Found")</f>
        <v>10.4</v>
      </c>
      <c r="C332">
        <v>7</v>
      </c>
      <c r="D332" t="str">
        <v>Good</v>
      </c>
      <c r="E332" t="str">
        <v>No</v>
      </c>
      <c r="F332" t="str">
        <v>Never</v>
      </c>
      <c r="G332">
        <v>29</v>
      </c>
      <c r="H332">
        <v>2</v>
      </c>
      <c r="I332">
        <v>23.6</v>
      </c>
      <c r="J332">
        <v>153</v>
      </c>
      <c r="K332">
        <v>81</v>
      </c>
      <c r="L332">
        <v>8054</v>
      </c>
      <c r="M332" t="str" cm="1">
        <f t="array" ref="M332">_xlfn.IFS(C332&lt;6,"Poor",C332&lt;=8,"Normal",TRUE,"High")</f>
        <v>Normal</v>
      </c>
    </row>
    <row r="333" spans="1:13" x14ac:dyDescent="0.2">
      <c r="A333">
        <v>332</v>
      </c>
      <c r="B333" cm="1">
        <f t="array" ref="B333:L333">_xlfn.XLOOKUP($A333,Instagram_Usage_Lifestyle_Mini_!$A:$A,Instagram_Usage_Lifestyle_Mini_!$L:$V,"Not Found")</f>
        <v>5.2</v>
      </c>
      <c r="C333">
        <v>6.9</v>
      </c>
      <c r="D333" t="str">
        <v>Poor</v>
      </c>
      <c r="E333" t="str">
        <v>No</v>
      </c>
      <c r="F333" t="str">
        <v>Never</v>
      </c>
      <c r="G333">
        <v>2</v>
      </c>
      <c r="H333">
        <v>8</v>
      </c>
      <c r="I333">
        <v>17.3</v>
      </c>
      <c r="J333">
        <v>152</v>
      </c>
      <c r="K333">
        <v>64</v>
      </c>
      <c r="L333">
        <v>8069</v>
      </c>
      <c r="M333" t="str" cm="1">
        <f t="array" ref="M333">_xlfn.IFS(C333&lt;6,"Poor",C333&lt;=8,"Normal",TRUE,"High")</f>
        <v>Normal</v>
      </c>
    </row>
    <row r="334" spans="1:13" x14ac:dyDescent="0.2">
      <c r="A334">
        <v>333</v>
      </c>
      <c r="B334" cm="1">
        <f t="array" ref="B334:L334">_xlfn.XLOOKUP($A334,Instagram_Usage_Lifestyle_Mini_!$A:$A,Instagram_Usage_Lifestyle_Mini_!$L:$V,"Not Found")</f>
        <v>3</v>
      </c>
      <c r="C334">
        <v>5.3</v>
      </c>
      <c r="D334" t="str">
        <v>Poor</v>
      </c>
      <c r="E334" t="str">
        <v>No</v>
      </c>
      <c r="F334" t="str">
        <v>Never</v>
      </c>
      <c r="G334">
        <v>22</v>
      </c>
      <c r="H334">
        <v>1</v>
      </c>
      <c r="I334">
        <v>29.6</v>
      </c>
      <c r="J334">
        <v>132</v>
      </c>
      <c r="K334">
        <v>80</v>
      </c>
      <c r="L334">
        <v>8045</v>
      </c>
      <c r="M334" t="str" cm="1">
        <f t="array" ref="M334">_xlfn.IFS(C334&lt;6,"Poor",C334&lt;=8,"Normal",TRUE,"High")</f>
        <v>Poor</v>
      </c>
    </row>
    <row r="335" spans="1:13" x14ac:dyDescent="0.2">
      <c r="A335">
        <v>334</v>
      </c>
      <c r="B335" cm="1">
        <f t="array" ref="B335:L335">_xlfn.XLOOKUP($A335,Instagram_Usage_Lifestyle_Mini_!$A:$A,Instagram_Usage_Lifestyle_Mini_!$L:$V,"Not Found")</f>
        <v>14.9</v>
      </c>
      <c r="C335">
        <v>6.8</v>
      </c>
      <c r="D335" t="str">
        <v>Average</v>
      </c>
      <c r="E335" t="str">
        <v>No</v>
      </c>
      <c r="F335" t="str">
        <v>Weekly</v>
      </c>
      <c r="G335">
        <v>14</v>
      </c>
      <c r="H335">
        <v>2</v>
      </c>
      <c r="I335">
        <v>23.3</v>
      </c>
      <c r="J335">
        <v>105</v>
      </c>
      <c r="K335">
        <v>84</v>
      </c>
      <c r="L335">
        <v>7979</v>
      </c>
      <c r="M335" t="str" cm="1">
        <f t="array" ref="M335">_xlfn.IFS(C335&lt;6,"Poor",C335&lt;=8,"Normal",TRUE,"High")</f>
        <v>Normal</v>
      </c>
    </row>
    <row r="336" spans="1:13" x14ac:dyDescent="0.2">
      <c r="A336">
        <v>335</v>
      </c>
      <c r="B336" cm="1">
        <f t="array" ref="B336:L336">_xlfn.XLOOKUP($A336,Instagram_Usage_Lifestyle_Mini_!$A:$A,Instagram_Usage_Lifestyle_Mini_!$L:$V,"Not Found")</f>
        <v>6.5</v>
      </c>
      <c r="C336">
        <v>5</v>
      </c>
      <c r="D336" t="str">
        <v>Good</v>
      </c>
      <c r="E336" t="str">
        <v>No</v>
      </c>
      <c r="F336" t="str">
        <v>Rarely</v>
      </c>
      <c r="G336">
        <v>12</v>
      </c>
      <c r="H336">
        <v>7</v>
      </c>
      <c r="I336">
        <v>26.8</v>
      </c>
      <c r="J336">
        <v>91</v>
      </c>
      <c r="K336">
        <v>71</v>
      </c>
      <c r="L336">
        <v>8017</v>
      </c>
      <c r="M336" t="str" cm="1">
        <f t="array" ref="M336">_xlfn.IFS(C336&lt;6,"Poor",C336&lt;=8,"Normal",TRUE,"High")</f>
        <v>Poor</v>
      </c>
    </row>
    <row r="337" spans="1:13" x14ac:dyDescent="0.2">
      <c r="A337">
        <v>336</v>
      </c>
      <c r="B337" cm="1">
        <f t="array" ref="B337:L337">_xlfn.XLOOKUP($A337,Instagram_Usage_Lifestyle_Mini_!$A:$A,Instagram_Usage_Lifestyle_Mini_!$L:$V,"Not Found")</f>
        <v>12.2</v>
      </c>
      <c r="C337">
        <v>8.4</v>
      </c>
      <c r="D337" t="str">
        <v>Average</v>
      </c>
      <c r="E337" t="str">
        <v>No</v>
      </c>
      <c r="F337" t="str">
        <v>Rarely</v>
      </c>
      <c r="G337">
        <v>6</v>
      </c>
      <c r="H337">
        <v>2</v>
      </c>
      <c r="I337">
        <v>24.8</v>
      </c>
      <c r="J337">
        <v>125</v>
      </c>
      <c r="K337">
        <v>74</v>
      </c>
      <c r="L337">
        <v>8022</v>
      </c>
      <c r="M337" t="str" cm="1">
        <f t="array" ref="M337">_xlfn.IFS(C337&lt;6,"Poor",C337&lt;=8,"Normal",TRUE,"High")</f>
        <v>High</v>
      </c>
    </row>
    <row r="338" spans="1:13" x14ac:dyDescent="0.2">
      <c r="A338">
        <v>337</v>
      </c>
      <c r="B338" cm="1">
        <f t="array" ref="B338:L338">_xlfn.XLOOKUP($A338,Instagram_Usage_Lifestyle_Mini_!$A:$A,Instagram_Usage_Lifestyle_Mini_!$L:$V,"Not Found")</f>
        <v>5.5</v>
      </c>
      <c r="C338">
        <v>6.4</v>
      </c>
      <c r="D338" t="str">
        <v>Average</v>
      </c>
      <c r="E338" t="str">
        <v>No</v>
      </c>
      <c r="F338" t="str">
        <v>Weekly</v>
      </c>
      <c r="G338">
        <v>6</v>
      </c>
      <c r="H338">
        <v>5</v>
      </c>
      <c r="I338">
        <v>26.7</v>
      </c>
      <c r="J338">
        <v>153</v>
      </c>
      <c r="K338">
        <v>91</v>
      </c>
      <c r="L338">
        <v>8141</v>
      </c>
      <c r="M338" t="str" cm="1">
        <f t="array" ref="M338">_xlfn.IFS(C338&lt;6,"Poor",C338&lt;=8,"Normal",TRUE,"High")</f>
        <v>Normal</v>
      </c>
    </row>
    <row r="339" spans="1:13" x14ac:dyDescent="0.2">
      <c r="A339">
        <v>338</v>
      </c>
      <c r="B339" cm="1">
        <f t="array" ref="B339:L339">_xlfn.XLOOKUP($A339,Instagram_Usage_Lifestyle_Mini_!$A:$A,Instagram_Usage_Lifestyle_Mini_!$L:$V,"Not Found")</f>
        <v>2.2999999999999998</v>
      </c>
      <c r="C339">
        <v>7</v>
      </c>
      <c r="D339" t="str">
        <v>Good</v>
      </c>
      <c r="E339" t="str">
        <v>No</v>
      </c>
      <c r="F339" t="str">
        <v>Never</v>
      </c>
      <c r="G339">
        <v>32</v>
      </c>
      <c r="H339">
        <v>1</v>
      </c>
      <c r="I339">
        <v>28.2</v>
      </c>
      <c r="J339">
        <v>148</v>
      </c>
      <c r="K339">
        <v>65</v>
      </c>
      <c r="L339">
        <v>8009</v>
      </c>
      <c r="M339" t="str" cm="1">
        <f t="array" ref="M339">_xlfn.IFS(C339&lt;6,"Poor",C339&lt;=8,"Normal",TRUE,"High")</f>
        <v>Normal</v>
      </c>
    </row>
    <row r="340" spans="1:13" x14ac:dyDescent="0.2">
      <c r="A340">
        <v>339</v>
      </c>
      <c r="B340" cm="1">
        <f t="array" ref="B340:L340">_xlfn.XLOOKUP($A340,Instagram_Usage_Lifestyle_Mini_!$A:$A,Instagram_Usage_Lifestyle_Mini_!$L:$V,"Not Found")</f>
        <v>5.4</v>
      </c>
      <c r="C340">
        <v>7.5</v>
      </c>
      <c r="D340" t="str">
        <v>Poor</v>
      </c>
      <c r="E340" t="str">
        <v>No</v>
      </c>
      <c r="F340" t="str">
        <v>Weekly</v>
      </c>
      <c r="G340">
        <v>34</v>
      </c>
      <c r="H340">
        <v>3</v>
      </c>
      <c r="I340">
        <v>28.1</v>
      </c>
      <c r="J340">
        <v>125</v>
      </c>
      <c r="K340">
        <v>79</v>
      </c>
      <c r="L340">
        <v>7873</v>
      </c>
      <c r="M340" t="str" cm="1">
        <f t="array" ref="M340">_xlfn.IFS(C340&lt;6,"Poor",C340&lt;=8,"Normal",TRUE,"High")</f>
        <v>Normal</v>
      </c>
    </row>
    <row r="341" spans="1:13" x14ac:dyDescent="0.2">
      <c r="A341">
        <v>340</v>
      </c>
      <c r="B341" cm="1">
        <f t="array" ref="B341:L341">_xlfn.XLOOKUP($A341,Instagram_Usage_Lifestyle_Mini_!$A:$A,Instagram_Usage_Lifestyle_Mini_!$L:$V,"Not Found")</f>
        <v>9</v>
      </c>
      <c r="C341">
        <v>6.7</v>
      </c>
      <c r="D341" t="str">
        <v>Good</v>
      </c>
      <c r="E341" t="str">
        <v>No</v>
      </c>
      <c r="F341" t="str">
        <v>Never</v>
      </c>
      <c r="G341">
        <v>26</v>
      </c>
      <c r="H341">
        <v>2</v>
      </c>
      <c r="I341">
        <v>27.4</v>
      </c>
      <c r="J341">
        <v>148</v>
      </c>
      <c r="K341">
        <v>96</v>
      </c>
      <c r="L341">
        <v>8141</v>
      </c>
      <c r="M341" t="str" cm="1">
        <f t="array" ref="M341">_xlfn.IFS(C341&lt;6,"Poor",C341&lt;=8,"Normal",TRUE,"High")</f>
        <v>Normal</v>
      </c>
    </row>
    <row r="342" spans="1:13" x14ac:dyDescent="0.2">
      <c r="A342">
        <v>341</v>
      </c>
      <c r="B342" cm="1">
        <f t="array" ref="B342:L342">_xlfn.XLOOKUP($A342,Instagram_Usage_Lifestyle_Mini_!$A:$A,Instagram_Usage_Lifestyle_Mini_!$L:$V,"Not Found")</f>
        <v>9.6999999999999993</v>
      </c>
      <c r="C342">
        <v>8</v>
      </c>
      <c r="D342" t="str">
        <v>Average</v>
      </c>
      <c r="E342" t="str">
        <v>No</v>
      </c>
      <c r="F342" t="str">
        <v>Rarely</v>
      </c>
      <c r="G342">
        <v>15</v>
      </c>
      <c r="H342">
        <v>9</v>
      </c>
      <c r="I342">
        <v>27.8</v>
      </c>
      <c r="J342">
        <v>125</v>
      </c>
      <c r="K342">
        <v>87</v>
      </c>
      <c r="L342">
        <v>7900</v>
      </c>
      <c r="M342" t="str" cm="1">
        <f t="array" ref="M342">_xlfn.IFS(C342&lt;6,"Poor",C342&lt;=8,"Normal",TRUE,"High")</f>
        <v>Normal</v>
      </c>
    </row>
    <row r="343" spans="1:13" x14ac:dyDescent="0.2">
      <c r="A343">
        <v>342</v>
      </c>
      <c r="B343" cm="1">
        <f t="array" ref="B343:L343">_xlfn.XLOOKUP($A343,Instagram_Usage_Lifestyle_Mini_!$A:$A,Instagram_Usage_Lifestyle_Mini_!$L:$V,"Not Found")</f>
        <v>9.6</v>
      </c>
      <c r="C343">
        <v>7.9</v>
      </c>
      <c r="D343" t="str">
        <v>Average</v>
      </c>
      <c r="E343" t="str">
        <v>No</v>
      </c>
      <c r="F343" t="str">
        <v>Rarely</v>
      </c>
      <c r="G343">
        <v>13</v>
      </c>
      <c r="H343">
        <v>10</v>
      </c>
      <c r="I343">
        <v>22.2</v>
      </c>
      <c r="J343">
        <v>105</v>
      </c>
      <c r="K343">
        <v>92</v>
      </c>
      <c r="L343">
        <v>7833</v>
      </c>
      <c r="M343" t="str" cm="1">
        <f t="array" ref="M343">_xlfn.IFS(C343&lt;6,"Poor",C343&lt;=8,"Normal",TRUE,"High")</f>
        <v>Normal</v>
      </c>
    </row>
    <row r="344" spans="1:13" x14ac:dyDescent="0.2">
      <c r="A344">
        <v>343</v>
      </c>
      <c r="B344" cm="1">
        <f t="array" ref="B344:L344">_xlfn.XLOOKUP($A344,Instagram_Usage_Lifestyle_Mini_!$A:$A,Instagram_Usage_Lifestyle_Mini_!$L:$V,"Not Found")</f>
        <v>5.8</v>
      </c>
      <c r="C344">
        <v>6.7</v>
      </c>
      <c r="D344" t="str">
        <v>Poor</v>
      </c>
      <c r="E344" t="str">
        <v>Former</v>
      </c>
      <c r="F344" t="str">
        <v>Rarely</v>
      </c>
      <c r="G344">
        <v>13</v>
      </c>
      <c r="H344">
        <v>4</v>
      </c>
      <c r="I344">
        <v>25.4</v>
      </c>
      <c r="J344">
        <v>136</v>
      </c>
      <c r="K344">
        <v>86</v>
      </c>
      <c r="L344">
        <v>7946</v>
      </c>
      <c r="M344" t="str" cm="1">
        <f t="array" ref="M344">_xlfn.IFS(C344&lt;6,"Poor",C344&lt;=8,"Normal",TRUE,"High")</f>
        <v>Normal</v>
      </c>
    </row>
    <row r="345" spans="1:13" x14ac:dyDescent="0.2">
      <c r="A345">
        <v>344</v>
      </c>
      <c r="B345" cm="1">
        <f t="array" ref="B345:L345">_xlfn.XLOOKUP($A345,Instagram_Usage_Lifestyle_Mini_!$A:$A,Instagram_Usage_Lifestyle_Mini_!$L:$V,"Not Found")</f>
        <v>5.9</v>
      </c>
      <c r="C345">
        <v>4.5</v>
      </c>
      <c r="D345" t="str">
        <v>Good</v>
      </c>
      <c r="E345" t="str">
        <v>No</v>
      </c>
      <c r="F345" t="str">
        <v>Several_times_a_week</v>
      </c>
      <c r="G345">
        <v>40</v>
      </c>
      <c r="H345">
        <v>9</v>
      </c>
      <c r="I345">
        <v>27.1</v>
      </c>
      <c r="J345">
        <v>131</v>
      </c>
      <c r="K345">
        <v>86</v>
      </c>
      <c r="L345">
        <v>8022</v>
      </c>
      <c r="M345" t="str" cm="1">
        <f t="array" ref="M345">_xlfn.IFS(C345&lt;6,"Poor",C345&lt;=8,"Normal",TRUE,"High")</f>
        <v>Poor</v>
      </c>
    </row>
    <row r="346" spans="1:13" x14ac:dyDescent="0.2">
      <c r="A346">
        <v>345</v>
      </c>
      <c r="B346" cm="1">
        <f t="array" ref="B346:L346">_xlfn.XLOOKUP($A346,Instagram_Usage_Lifestyle_Mini_!$A:$A,Instagram_Usage_Lifestyle_Mini_!$L:$V,"Not Found")</f>
        <v>6.3</v>
      </c>
      <c r="C346">
        <v>5.3</v>
      </c>
      <c r="D346" t="str">
        <v>Poor</v>
      </c>
      <c r="E346" t="str">
        <v>No</v>
      </c>
      <c r="F346" t="str">
        <v>Rarely</v>
      </c>
      <c r="G346">
        <v>6</v>
      </c>
      <c r="H346">
        <v>9</v>
      </c>
      <c r="I346">
        <v>21.8</v>
      </c>
      <c r="J346">
        <v>137</v>
      </c>
      <c r="K346">
        <v>96</v>
      </c>
      <c r="L346">
        <v>8193</v>
      </c>
      <c r="M346" t="str" cm="1">
        <f t="array" ref="M346">_xlfn.IFS(C346&lt;6,"Poor",C346&lt;=8,"Normal",TRUE,"High")</f>
        <v>Poor</v>
      </c>
    </row>
    <row r="347" spans="1:13" x14ac:dyDescent="0.2">
      <c r="A347">
        <v>346</v>
      </c>
      <c r="B347" cm="1">
        <f t="array" ref="B347:L347">_xlfn.XLOOKUP($A347,Instagram_Usage_Lifestyle_Mini_!$A:$A,Instagram_Usage_Lifestyle_Mini_!$L:$V,"Not Found")</f>
        <v>3.4</v>
      </c>
      <c r="C347">
        <v>8.4</v>
      </c>
      <c r="D347" t="str">
        <v>Poor</v>
      </c>
      <c r="E347" t="str">
        <v>No</v>
      </c>
      <c r="F347" t="str">
        <v>Rarely</v>
      </c>
      <c r="G347">
        <v>4</v>
      </c>
      <c r="H347">
        <v>8</v>
      </c>
      <c r="I347">
        <v>23</v>
      </c>
      <c r="J347">
        <v>145</v>
      </c>
      <c r="K347">
        <v>95</v>
      </c>
      <c r="L347">
        <v>7965</v>
      </c>
      <c r="M347" t="str" cm="1">
        <f t="array" ref="M347">_xlfn.IFS(C347&lt;6,"Poor",C347&lt;=8,"Normal",TRUE,"High")</f>
        <v>High</v>
      </c>
    </row>
    <row r="348" spans="1:13" x14ac:dyDescent="0.2">
      <c r="A348">
        <v>347</v>
      </c>
      <c r="B348" cm="1">
        <f t="array" ref="B348:L348">_xlfn.XLOOKUP($A348,Instagram_Usage_Lifestyle_Mini_!$A:$A,Instagram_Usage_Lifestyle_Mini_!$L:$V,"Not Found")</f>
        <v>5.2</v>
      </c>
      <c r="C348">
        <v>7.9</v>
      </c>
      <c r="D348" t="str">
        <v>Good</v>
      </c>
      <c r="E348" t="str">
        <v>Former</v>
      </c>
      <c r="F348" t="str">
        <v>Daily</v>
      </c>
      <c r="G348">
        <v>39</v>
      </c>
      <c r="H348">
        <v>3</v>
      </c>
      <c r="I348">
        <v>32.5</v>
      </c>
      <c r="J348">
        <v>138</v>
      </c>
      <c r="K348">
        <v>73</v>
      </c>
      <c r="L348">
        <v>7955</v>
      </c>
      <c r="M348" t="str" cm="1">
        <f t="array" ref="M348">_xlfn.IFS(C348&lt;6,"Poor",C348&lt;=8,"Normal",TRUE,"High")</f>
        <v>Normal</v>
      </c>
    </row>
    <row r="349" spans="1:13" x14ac:dyDescent="0.2">
      <c r="A349">
        <v>348</v>
      </c>
      <c r="B349" cm="1">
        <f t="array" ref="B349:L349">_xlfn.XLOOKUP($A349,Instagram_Usage_Lifestyle_Mini_!$A:$A,Instagram_Usage_Lifestyle_Mini_!$L:$V,"Not Found")</f>
        <v>13.8</v>
      </c>
      <c r="C349">
        <v>8</v>
      </c>
      <c r="D349" t="str">
        <v>Average</v>
      </c>
      <c r="E349" t="str">
        <v>No</v>
      </c>
      <c r="F349" t="str">
        <v>Weekly</v>
      </c>
      <c r="G349">
        <v>28</v>
      </c>
      <c r="H349">
        <v>6</v>
      </c>
      <c r="I349">
        <v>29.1</v>
      </c>
      <c r="J349">
        <v>125</v>
      </c>
      <c r="K349">
        <v>62</v>
      </c>
      <c r="L349">
        <v>7876</v>
      </c>
      <c r="M349" t="str" cm="1">
        <f t="array" ref="M349">_xlfn.IFS(C349&lt;6,"Poor",C349&lt;=8,"Normal",TRUE,"High")</f>
        <v>Normal</v>
      </c>
    </row>
    <row r="350" spans="1:13" x14ac:dyDescent="0.2">
      <c r="A350">
        <v>349</v>
      </c>
      <c r="B350" cm="1">
        <f t="array" ref="B350:L350">_xlfn.XLOOKUP($A350,Instagram_Usage_Lifestyle_Mini_!$A:$A,Instagram_Usage_Lifestyle_Mini_!$L:$V,"Not Found")</f>
        <v>9.4</v>
      </c>
      <c r="C350">
        <v>6.3</v>
      </c>
      <c r="D350" t="str">
        <v>Poor</v>
      </c>
      <c r="E350" t="str">
        <v>Yes</v>
      </c>
      <c r="F350" t="str">
        <v>Rarely</v>
      </c>
      <c r="G350">
        <v>13</v>
      </c>
      <c r="H350">
        <v>4</v>
      </c>
      <c r="I350">
        <v>25.5</v>
      </c>
      <c r="J350">
        <v>120</v>
      </c>
      <c r="K350">
        <v>67</v>
      </c>
      <c r="L350">
        <v>8042</v>
      </c>
      <c r="M350" t="str" cm="1">
        <f t="array" ref="M350">_xlfn.IFS(C350&lt;6,"Poor",C350&lt;=8,"Normal",TRUE,"High")</f>
        <v>Normal</v>
      </c>
    </row>
    <row r="351" spans="1:13" x14ac:dyDescent="0.2">
      <c r="A351">
        <v>350</v>
      </c>
      <c r="B351" cm="1">
        <f t="array" ref="B351:L351">_xlfn.XLOOKUP($A351,Instagram_Usage_Lifestyle_Mini_!$A:$A,Instagram_Usage_Lifestyle_Mini_!$L:$V,"Not Found")</f>
        <v>4.5</v>
      </c>
      <c r="C351">
        <v>8.6</v>
      </c>
      <c r="D351" t="str">
        <v>Average</v>
      </c>
      <c r="E351" t="str">
        <v>Yes</v>
      </c>
      <c r="F351" t="str">
        <v>Never</v>
      </c>
      <c r="G351">
        <v>33</v>
      </c>
      <c r="H351">
        <v>5</v>
      </c>
      <c r="I351">
        <v>24.7</v>
      </c>
      <c r="J351">
        <v>145</v>
      </c>
      <c r="K351">
        <v>63</v>
      </c>
      <c r="L351">
        <v>8006</v>
      </c>
      <c r="M351" t="str" cm="1">
        <f t="array" ref="M351">_xlfn.IFS(C351&lt;6,"Poor",C351&lt;=8,"Normal",TRUE,"High")</f>
        <v>High</v>
      </c>
    </row>
    <row r="352" spans="1:13" x14ac:dyDescent="0.2">
      <c r="A352">
        <v>351</v>
      </c>
      <c r="B352" cm="1">
        <f t="array" ref="B352:L352">_xlfn.XLOOKUP($A352,Instagram_Usage_Lifestyle_Mini_!$A:$A,Instagram_Usage_Lifestyle_Mini_!$L:$V,"Not Found")</f>
        <v>3.6</v>
      </c>
      <c r="C352">
        <v>8.3000000000000007</v>
      </c>
      <c r="D352" t="str">
        <v>Excellent</v>
      </c>
      <c r="E352" t="str">
        <v>Former</v>
      </c>
      <c r="F352" t="str">
        <v>Rarely</v>
      </c>
      <c r="G352">
        <v>36</v>
      </c>
      <c r="H352">
        <v>1</v>
      </c>
      <c r="I352">
        <v>19</v>
      </c>
      <c r="J352">
        <v>119</v>
      </c>
      <c r="K352">
        <v>79</v>
      </c>
      <c r="L352">
        <v>7980</v>
      </c>
      <c r="M352" t="str" cm="1">
        <f t="array" ref="M352">_xlfn.IFS(C352&lt;6,"Poor",C352&lt;=8,"Normal",TRUE,"High")</f>
        <v>High</v>
      </c>
    </row>
    <row r="353" spans="1:13" x14ac:dyDescent="0.2">
      <c r="A353">
        <v>352</v>
      </c>
      <c r="B353" cm="1">
        <f t="array" ref="B353:L353">_xlfn.XLOOKUP($A353,Instagram_Usage_Lifestyle_Mini_!$A:$A,Instagram_Usage_Lifestyle_Mini_!$L:$V,"Not Found")</f>
        <v>9.9</v>
      </c>
      <c r="C353">
        <v>6.6</v>
      </c>
      <c r="D353" t="str">
        <v>Average</v>
      </c>
      <c r="E353" t="str">
        <v>Yes</v>
      </c>
      <c r="F353" t="str">
        <v>Rarely</v>
      </c>
      <c r="G353">
        <v>9</v>
      </c>
      <c r="H353">
        <v>6</v>
      </c>
      <c r="I353">
        <v>25.4</v>
      </c>
      <c r="J353">
        <v>136</v>
      </c>
      <c r="K353">
        <v>72</v>
      </c>
      <c r="L353">
        <v>7961</v>
      </c>
      <c r="M353" t="str" cm="1">
        <f t="array" ref="M353">_xlfn.IFS(C353&lt;6,"Poor",C353&lt;=8,"Normal",TRUE,"High")</f>
        <v>Normal</v>
      </c>
    </row>
    <row r="354" spans="1:13" x14ac:dyDescent="0.2">
      <c r="A354">
        <v>353</v>
      </c>
      <c r="B354" cm="1">
        <f t="array" ref="B354:L354">_xlfn.XLOOKUP($A354,Instagram_Usage_Lifestyle_Mini_!$A:$A,Instagram_Usage_Lifestyle_Mini_!$L:$V,"Not Found")</f>
        <v>2</v>
      </c>
      <c r="C354">
        <v>6.4</v>
      </c>
      <c r="D354" t="str">
        <v>Very_poor</v>
      </c>
      <c r="E354" t="str">
        <v>No</v>
      </c>
      <c r="F354" t="str">
        <v>Never</v>
      </c>
      <c r="G354">
        <v>17</v>
      </c>
      <c r="H354">
        <v>10</v>
      </c>
      <c r="I354">
        <v>22.9</v>
      </c>
      <c r="J354">
        <v>148</v>
      </c>
      <c r="K354">
        <v>81</v>
      </c>
      <c r="L354">
        <v>7891</v>
      </c>
      <c r="M354" t="str" cm="1">
        <f t="array" ref="M354">_xlfn.IFS(C354&lt;6,"Poor",C354&lt;=8,"Normal",TRUE,"High")</f>
        <v>Normal</v>
      </c>
    </row>
    <row r="355" spans="1:13" x14ac:dyDescent="0.2">
      <c r="A355">
        <v>354</v>
      </c>
      <c r="B355" cm="1">
        <f t="array" ref="B355:L355">_xlfn.XLOOKUP($A355,Instagram_Usage_Lifestyle_Mini_!$A:$A,Instagram_Usage_Lifestyle_Mini_!$L:$V,"Not Found")</f>
        <v>6.3</v>
      </c>
      <c r="C355">
        <v>6.2</v>
      </c>
      <c r="D355" t="str">
        <v>Good</v>
      </c>
      <c r="E355" t="str">
        <v>No</v>
      </c>
      <c r="F355" t="str">
        <v>Never</v>
      </c>
      <c r="G355">
        <v>9</v>
      </c>
      <c r="H355">
        <v>7</v>
      </c>
      <c r="I355">
        <v>23.2</v>
      </c>
      <c r="J355">
        <v>145</v>
      </c>
      <c r="K355">
        <v>87</v>
      </c>
      <c r="L355">
        <v>7920</v>
      </c>
      <c r="M355" t="str" cm="1">
        <f t="array" ref="M355">_xlfn.IFS(C355&lt;6,"Poor",C355&lt;=8,"Normal",TRUE,"High")</f>
        <v>Normal</v>
      </c>
    </row>
    <row r="356" spans="1:13" x14ac:dyDescent="0.2">
      <c r="A356">
        <v>355</v>
      </c>
      <c r="B356" cm="1">
        <f t="array" ref="B356:L356">_xlfn.XLOOKUP($A356,Instagram_Usage_Lifestyle_Mini_!$A:$A,Instagram_Usage_Lifestyle_Mini_!$L:$V,"Not Found")</f>
        <v>12.4</v>
      </c>
      <c r="C356">
        <v>7.7</v>
      </c>
      <c r="D356" t="str">
        <v>Average</v>
      </c>
      <c r="E356" t="str">
        <v>No</v>
      </c>
      <c r="F356" t="str">
        <v>Rarely</v>
      </c>
      <c r="G356">
        <v>22</v>
      </c>
      <c r="H356">
        <v>6</v>
      </c>
      <c r="I356">
        <v>26</v>
      </c>
      <c r="J356">
        <v>159</v>
      </c>
      <c r="K356">
        <v>65</v>
      </c>
      <c r="L356">
        <v>7995</v>
      </c>
      <c r="M356" t="str" cm="1">
        <f t="array" ref="M356">_xlfn.IFS(C356&lt;6,"Poor",C356&lt;=8,"Normal",TRUE,"High")</f>
        <v>Normal</v>
      </c>
    </row>
    <row r="357" spans="1:13" x14ac:dyDescent="0.2">
      <c r="A357">
        <v>356</v>
      </c>
      <c r="B357" cm="1">
        <f t="array" ref="B357:L357">_xlfn.XLOOKUP($A357,Instagram_Usage_Lifestyle_Mini_!$A:$A,Instagram_Usage_Lifestyle_Mini_!$L:$V,"Not Found")</f>
        <v>4.7</v>
      </c>
      <c r="C357">
        <v>6.5</v>
      </c>
      <c r="D357" t="str">
        <v>Average</v>
      </c>
      <c r="E357" t="str">
        <v>No</v>
      </c>
      <c r="F357" t="str">
        <v>Never</v>
      </c>
      <c r="G357">
        <v>12</v>
      </c>
      <c r="H357">
        <v>10</v>
      </c>
      <c r="I357">
        <v>22.6</v>
      </c>
      <c r="J357">
        <v>115</v>
      </c>
      <c r="K357">
        <v>78</v>
      </c>
      <c r="L357">
        <v>7922</v>
      </c>
      <c r="M357" t="str" cm="1">
        <f t="array" ref="M357">_xlfn.IFS(C357&lt;6,"Poor",C357&lt;=8,"Normal",TRUE,"High")</f>
        <v>Normal</v>
      </c>
    </row>
    <row r="358" spans="1:13" x14ac:dyDescent="0.2">
      <c r="A358">
        <v>357</v>
      </c>
      <c r="B358" cm="1">
        <f t="array" ref="B358:L358">_xlfn.XLOOKUP($A358,Instagram_Usage_Lifestyle_Mini_!$A:$A,Instagram_Usage_Lifestyle_Mini_!$L:$V,"Not Found")</f>
        <v>3.3</v>
      </c>
      <c r="C358">
        <v>5.7</v>
      </c>
      <c r="D358" t="str">
        <v>Average</v>
      </c>
      <c r="E358" t="str">
        <v>No</v>
      </c>
      <c r="F358" t="str">
        <v>Several_times_a_week</v>
      </c>
      <c r="G358">
        <v>38</v>
      </c>
      <c r="H358">
        <v>8</v>
      </c>
      <c r="I358">
        <v>28.3</v>
      </c>
      <c r="J358">
        <v>99</v>
      </c>
      <c r="K358">
        <v>89</v>
      </c>
      <c r="L358">
        <v>7833</v>
      </c>
      <c r="M358" t="str" cm="1">
        <f t="array" ref="M358">_xlfn.IFS(C358&lt;6,"Poor",C358&lt;=8,"Normal",TRUE,"High")</f>
        <v>Poor</v>
      </c>
    </row>
    <row r="359" spans="1:13" x14ac:dyDescent="0.2">
      <c r="A359">
        <v>358</v>
      </c>
      <c r="B359" cm="1">
        <f t="array" ref="B359:L359">_xlfn.XLOOKUP($A359,Instagram_Usage_Lifestyle_Mini_!$A:$A,Instagram_Usage_Lifestyle_Mini_!$L:$V,"Not Found")</f>
        <v>3.2</v>
      </c>
      <c r="C359">
        <v>8.5</v>
      </c>
      <c r="D359" t="str">
        <v>Average</v>
      </c>
      <c r="E359" t="str">
        <v>No</v>
      </c>
      <c r="F359" t="str">
        <v>Rarely</v>
      </c>
      <c r="G359">
        <v>20</v>
      </c>
      <c r="H359">
        <v>3</v>
      </c>
      <c r="I359">
        <v>32.4</v>
      </c>
      <c r="J359">
        <v>114</v>
      </c>
      <c r="K359">
        <v>88</v>
      </c>
      <c r="L359">
        <v>7984</v>
      </c>
      <c r="M359" t="str" cm="1">
        <f t="array" ref="M359">_xlfn.IFS(C359&lt;6,"Poor",C359&lt;=8,"Normal",TRUE,"High")</f>
        <v>High</v>
      </c>
    </row>
    <row r="360" spans="1:13" x14ac:dyDescent="0.2">
      <c r="A360">
        <v>359</v>
      </c>
      <c r="B360" cm="1">
        <f t="array" ref="B360:L360">_xlfn.XLOOKUP($A360,Instagram_Usage_Lifestyle_Mini_!$A:$A,Instagram_Usage_Lifestyle_Mini_!$L:$V,"Not Found")</f>
        <v>5.9</v>
      </c>
      <c r="C360">
        <v>7</v>
      </c>
      <c r="D360" t="str">
        <v>Good</v>
      </c>
      <c r="E360" t="str">
        <v>No</v>
      </c>
      <c r="F360" t="str">
        <v>Never</v>
      </c>
      <c r="G360">
        <v>33</v>
      </c>
      <c r="H360">
        <v>8</v>
      </c>
      <c r="I360">
        <v>27.3</v>
      </c>
      <c r="J360">
        <v>151</v>
      </c>
      <c r="K360">
        <v>82</v>
      </c>
      <c r="L360">
        <v>8041</v>
      </c>
      <c r="M360" t="str" cm="1">
        <f t="array" ref="M360">_xlfn.IFS(C360&lt;6,"Poor",C360&lt;=8,"Normal",TRUE,"High")</f>
        <v>Normal</v>
      </c>
    </row>
    <row r="361" spans="1:13" x14ac:dyDescent="0.2">
      <c r="A361">
        <v>360</v>
      </c>
      <c r="B361" cm="1">
        <f t="array" ref="B361:L361">_xlfn.XLOOKUP($A361,Instagram_Usage_Lifestyle_Mini_!$A:$A,Instagram_Usage_Lifestyle_Mini_!$L:$V,"Not Found")</f>
        <v>2.8</v>
      </c>
      <c r="C361">
        <v>4.5999999999999996</v>
      </c>
      <c r="D361" t="str">
        <v>Poor</v>
      </c>
      <c r="E361" t="str">
        <v>No</v>
      </c>
      <c r="F361" t="str">
        <v>Never</v>
      </c>
      <c r="G361">
        <v>1</v>
      </c>
      <c r="H361">
        <v>7</v>
      </c>
      <c r="I361">
        <v>22.9</v>
      </c>
      <c r="J361">
        <v>148</v>
      </c>
      <c r="K361">
        <v>75</v>
      </c>
      <c r="L361">
        <v>8151</v>
      </c>
      <c r="M361" t="str" cm="1">
        <f t="array" ref="M361">_xlfn.IFS(C361&lt;6,"Poor",C361&lt;=8,"Normal",TRUE,"High")</f>
        <v>Poor</v>
      </c>
    </row>
    <row r="362" spans="1:13" x14ac:dyDescent="0.2">
      <c r="A362">
        <v>361</v>
      </c>
      <c r="B362" cm="1">
        <f t="array" ref="B362:L362">_xlfn.XLOOKUP($A362,Instagram_Usage_Lifestyle_Mini_!$A:$A,Instagram_Usage_Lifestyle_Mini_!$L:$V,"Not Found")</f>
        <v>11.1</v>
      </c>
      <c r="C362">
        <v>7.3</v>
      </c>
      <c r="D362" t="str">
        <v>Poor</v>
      </c>
      <c r="E362" t="str">
        <v>No</v>
      </c>
      <c r="F362" t="str">
        <v>Several_times_a_week</v>
      </c>
      <c r="G362">
        <v>22</v>
      </c>
      <c r="H362">
        <v>6</v>
      </c>
      <c r="I362">
        <v>20.5</v>
      </c>
      <c r="J362">
        <v>119</v>
      </c>
      <c r="K362">
        <v>96</v>
      </c>
      <c r="L362">
        <v>8051</v>
      </c>
      <c r="M362" t="str" cm="1">
        <f t="array" ref="M362">_xlfn.IFS(C362&lt;6,"Poor",C362&lt;=8,"Normal",TRUE,"High")</f>
        <v>Normal</v>
      </c>
    </row>
    <row r="363" spans="1:13" x14ac:dyDescent="0.2">
      <c r="A363">
        <v>362</v>
      </c>
      <c r="B363" cm="1">
        <f t="array" ref="B363:L363">_xlfn.XLOOKUP($A363,Instagram_Usage_Lifestyle_Mini_!$A:$A,Instagram_Usage_Lifestyle_Mini_!$L:$V,"Not Found")</f>
        <v>13.5</v>
      </c>
      <c r="C363">
        <v>8.3000000000000007</v>
      </c>
      <c r="D363" t="str">
        <v>Very_poor</v>
      </c>
      <c r="E363" t="str">
        <v>No</v>
      </c>
      <c r="F363" t="str">
        <v>Never</v>
      </c>
      <c r="G363">
        <v>4</v>
      </c>
      <c r="H363">
        <v>3</v>
      </c>
      <c r="I363">
        <v>15</v>
      </c>
      <c r="J363">
        <v>126</v>
      </c>
      <c r="K363">
        <v>77</v>
      </c>
      <c r="L363">
        <v>8047</v>
      </c>
      <c r="M363" t="str" cm="1">
        <f t="array" ref="M363">_xlfn.IFS(C363&lt;6,"Poor",C363&lt;=8,"Normal",TRUE,"High")</f>
        <v>High</v>
      </c>
    </row>
    <row r="364" spans="1:13" x14ac:dyDescent="0.2">
      <c r="A364">
        <v>363</v>
      </c>
      <c r="B364" cm="1">
        <f t="array" ref="B364:L364">_xlfn.XLOOKUP($A364,Instagram_Usage_Lifestyle_Mini_!$A:$A,Instagram_Usage_Lifestyle_Mini_!$L:$V,"Not Found")</f>
        <v>3.3</v>
      </c>
      <c r="C364">
        <v>7.3</v>
      </c>
      <c r="D364" t="str">
        <v>Excellent</v>
      </c>
      <c r="E364" t="str">
        <v>No</v>
      </c>
      <c r="F364" t="str">
        <v>Rarely</v>
      </c>
      <c r="G364">
        <v>6</v>
      </c>
      <c r="H364">
        <v>9</v>
      </c>
      <c r="I364">
        <v>25.3</v>
      </c>
      <c r="J364">
        <v>98</v>
      </c>
      <c r="K364">
        <v>65</v>
      </c>
      <c r="L364">
        <v>7956</v>
      </c>
      <c r="M364" t="str" cm="1">
        <f t="array" ref="M364">_xlfn.IFS(C364&lt;6,"Poor",C364&lt;=8,"Normal",TRUE,"High")</f>
        <v>Normal</v>
      </c>
    </row>
    <row r="365" spans="1:13" x14ac:dyDescent="0.2">
      <c r="A365">
        <v>364</v>
      </c>
      <c r="B365" cm="1">
        <f t="array" ref="B365:L365">_xlfn.XLOOKUP($A365,Instagram_Usage_Lifestyle_Mini_!$A:$A,Instagram_Usage_Lifestyle_Mini_!$L:$V,"Not Found")</f>
        <v>3.1</v>
      </c>
      <c r="C365">
        <v>6.7</v>
      </c>
      <c r="D365" t="str">
        <v>Poor</v>
      </c>
      <c r="E365" t="str">
        <v>Yes</v>
      </c>
      <c r="F365" t="str">
        <v>Never</v>
      </c>
      <c r="G365">
        <v>13</v>
      </c>
      <c r="H365">
        <v>3</v>
      </c>
      <c r="I365">
        <v>25</v>
      </c>
      <c r="J365">
        <v>150</v>
      </c>
      <c r="K365">
        <v>92</v>
      </c>
      <c r="L365">
        <v>8011</v>
      </c>
      <c r="M365" t="str" cm="1">
        <f t="array" ref="M365">_xlfn.IFS(C365&lt;6,"Poor",C365&lt;=8,"Normal",TRUE,"High")</f>
        <v>Normal</v>
      </c>
    </row>
    <row r="366" spans="1:13" x14ac:dyDescent="0.2">
      <c r="A366">
        <v>365</v>
      </c>
      <c r="B366" cm="1">
        <f t="array" ref="B366:L366">_xlfn.XLOOKUP($A366,Instagram_Usage_Lifestyle_Mini_!$A:$A,Instagram_Usage_Lifestyle_Mini_!$L:$V,"Not Found")</f>
        <v>3.4</v>
      </c>
      <c r="C366">
        <v>7.3</v>
      </c>
      <c r="D366" t="str">
        <v>Poor</v>
      </c>
      <c r="E366" t="str">
        <v>No</v>
      </c>
      <c r="F366" t="str">
        <v>Rarely</v>
      </c>
      <c r="G366">
        <v>6</v>
      </c>
      <c r="H366">
        <v>9</v>
      </c>
      <c r="I366">
        <v>32.9</v>
      </c>
      <c r="J366">
        <v>96</v>
      </c>
      <c r="K366">
        <v>64</v>
      </c>
      <c r="L366">
        <v>7969</v>
      </c>
      <c r="M366" t="str" cm="1">
        <f t="array" ref="M366">_xlfn.IFS(C366&lt;6,"Poor",C366&lt;=8,"Normal",TRUE,"High")</f>
        <v>Normal</v>
      </c>
    </row>
    <row r="367" spans="1:13" x14ac:dyDescent="0.2">
      <c r="A367">
        <v>366</v>
      </c>
      <c r="B367" cm="1">
        <f t="array" ref="B367:L367">_xlfn.XLOOKUP($A367,Instagram_Usage_Lifestyle_Mini_!$A:$A,Instagram_Usage_Lifestyle_Mini_!$L:$V,"Not Found")</f>
        <v>13.5</v>
      </c>
      <c r="C367">
        <v>7</v>
      </c>
      <c r="D367" t="str">
        <v>Very_poor</v>
      </c>
      <c r="E367" t="str">
        <v>No</v>
      </c>
      <c r="F367" t="str">
        <v>Several_times_a_week</v>
      </c>
      <c r="G367">
        <v>31</v>
      </c>
      <c r="H367">
        <v>10</v>
      </c>
      <c r="I367">
        <v>26.7</v>
      </c>
      <c r="J367">
        <v>119</v>
      </c>
      <c r="K367">
        <v>98</v>
      </c>
      <c r="L367">
        <v>7996</v>
      </c>
      <c r="M367" t="str" cm="1">
        <f t="array" ref="M367">_xlfn.IFS(C367&lt;6,"Poor",C367&lt;=8,"Normal",TRUE,"High")</f>
        <v>Normal</v>
      </c>
    </row>
    <row r="368" spans="1:13" x14ac:dyDescent="0.2">
      <c r="A368">
        <v>367</v>
      </c>
      <c r="B368" cm="1">
        <f t="array" ref="B368:L368">_xlfn.XLOOKUP($A368,Instagram_Usage_Lifestyle_Mini_!$A:$A,Instagram_Usage_Lifestyle_Mini_!$L:$V,"Not Found")</f>
        <v>10.3</v>
      </c>
      <c r="C368">
        <v>7</v>
      </c>
      <c r="D368" t="str">
        <v>Good</v>
      </c>
      <c r="E368" t="str">
        <v>No</v>
      </c>
      <c r="F368" t="str">
        <v>Rarely</v>
      </c>
      <c r="G368">
        <v>23</v>
      </c>
      <c r="H368">
        <v>9</v>
      </c>
      <c r="I368">
        <v>22.9</v>
      </c>
      <c r="J368">
        <v>106</v>
      </c>
      <c r="K368">
        <v>63</v>
      </c>
      <c r="L368">
        <v>8007</v>
      </c>
      <c r="M368" t="str" cm="1">
        <f t="array" ref="M368">_xlfn.IFS(C368&lt;6,"Poor",C368&lt;=8,"Normal",TRUE,"High")</f>
        <v>Normal</v>
      </c>
    </row>
    <row r="369" spans="1:13" x14ac:dyDescent="0.2">
      <c r="A369">
        <v>368</v>
      </c>
      <c r="B369" cm="1">
        <f t="array" ref="B369:L369">_xlfn.XLOOKUP($A369,Instagram_Usage_Lifestyle_Mini_!$A:$A,Instagram_Usage_Lifestyle_Mini_!$L:$V,"Not Found")</f>
        <v>11.2</v>
      </c>
      <c r="C369">
        <v>8.1999999999999993</v>
      </c>
      <c r="D369" t="str">
        <v>Average</v>
      </c>
      <c r="E369" t="str">
        <v>Yes</v>
      </c>
      <c r="F369" t="str">
        <v>Rarely</v>
      </c>
      <c r="G369">
        <v>35</v>
      </c>
      <c r="H369">
        <v>9</v>
      </c>
      <c r="I369">
        <v>24.8</v>
      </c>
      <c r="J369">
        <v>154</v>
      </c>
      <c r="K369">
        <v>86</v>
      </c>
      <c r="L369">
        <v>7957</v>
      </c>
      <c r="M369" t="str" cm="1">
        <f t="array" ref="M369">_xlfn.IFS(C369&lt;6,"Poor",C369&lt;=8,"Normal",TRUE,"High")</f>
        <v>High</v>
      </c>
    </row>
    <row r="370" spans="1:13" x14ac:dyDescent="0.2">
      <c r="A370">
        <v>369</v>
      </c>
      <c r="B370" cm="1">
        <f t="array" ref="B370:L370">_xlfn.XLOOKUP($A370,Instagram_Usage_Lifestyle_Mini_!$A:$A,Instagram_Usage_Lifestyle_Mini_!$L:$V,"Not Found")</f>
        <v>9.1</v>
      </c>
      <c r="C370">
        <v>6.7</v>
      </c>
      <c r="D370" t="str">
        <v>Poor</v>
      </c>
      <c r="E370" t="str">
        <v>No</v>
      </c>
      <c r="F370" t="str">
        <v>Rarely</v>
      </c>
      <c r="G370">
        <v>33</v>
      </c>
      <c r="H370">
        <v>5</v>
      </c>
      <c r="I370">
        <v>24.5</v>
      </c>
      <c r="J370">
        <v>147</v>
      </c>
      <c r="K370">
        <v>65</v>
      </c>
      <c r="L370">
        <v>8019</v>
      </c>
      <c r="M370" t="str" cm="1">
        <f t="array" ref="M370">_xlfn.IFS(C370&lt;6,"Poor",C370&lt;=8,"Normal",TRUE,"High")</f>
        <v>Normal</v>
      </c>
    </row>
    <row r="371" spans="1:13" x14ac:dyDescent="0.2">
      <c r="A371">
        <v>370</v>
      </c>
      <c r="B371" cm="1">
        <f t="array" ref="B371:L371">_xlfn.XLOOKUP($A371,Instagram_Usage_Lifestyle_Mini_!$A:$A,Instagram_Usage_Lifestyle_Mini_!$L:$V,"Not Found")</f>
        <v>7.9</v>
      </c>
      <c r="C371">
        <v>6.8</v>
      </c>
      <c r="D371" t="str">
        <v>Average</v>
      </c>
      <c r="E371" t="str">
        <v>Former</v>
      </c>
      <c r="F371" t="str">
        <v>Never</v>
      </c>
      <c r="G371">
        <v>7</v>
      </c>
      <c r="H371">
        <v>2</v>
      </c>
      <c r="I371">
        <v>26.1</v>
      </c>
      <c r="J371">
        <v>159</v>
      </c>
      <c r="K371">
        <v>82</v>
      </c>
      <c r="L371">
        <v>7905</v>
      </c>
      <c r="M371" t="str" cm="1">
        <f t="array" ref="M371">_xlfn.IFS(C371&lt;6,"Poor",C371&lt;=8,"Normal",TRUE,"High")</f>
        <v>Normal</v>
      </c>
    </row>
    <row r="372" spans="1:13" x14ac:dyDescent="0.2">
      <c r="A372">
        <v>371</v>
      </c>
      <c r="B372" cm="1">
        <f t="array" ref="B372:L372">_xlfn.XLOOKUP($A372,Instagram_Usage_Lifestyle_Mini_!$A:$A,Instagram_Usage_Lifestyle_Mini_!$L:$V,"Not Found")</f>
        <v>7.3</v>
      </c>
      <c r="C372">
        <v>7.8</v>
      </c>
      <c r="D372" t="str">
        <v>Poor</v>
      </c>
      <c r="E372" t="str">
        <v>No</v>
      </c>
      <c r="F372" t="str">
        <v>Never</v>
      </c>
      <c r="G372">
        <v>30</v>
      </c>
      <c r="H372">
        <v>8</v>
      </c>
      <c r="I372">
        <v>26.6</v>
      </c>
      <c r="J372">
        <v>135</v>
      </c>
      <c r="K372">
        <v>61</v>
      </c>
      <c r="L372">
        <v>7911</v>
      </c>
      <c r="M372" t="str" cm="1">
        <f t="array" ref="M372">_xlfn.IFS(C372&lt;6,"Poor",C372&lt;=8,"Normal",TRUE,"High")</f>
        <v>Normal</v>
      </c>
    </row>
    <row r="373" spans="1:13" x14ac:dyDescent="0.2">
      <c r="A373">
        <v>372</v>
      </c>
      <c r="B373" cm="1">
        <f t="array" ref="B373:L373">_xlfn.XLOOKUP($A373,Instagram_Usage_Lifestyle_Mini_!$A:$A,Instagram_Usage_Lifestyle_Mini_!$L:$V,"Not Found")</f>
        <v>6.4</v>
      </c>
      <c r="C373">
        <v>9.8000000000000007</v>
      </c>
      <c r="D373" t="str">
        <v>Poor</v>
      </c>
      <c r="E373" t="str">
        <v>Yes</v>
      </c>
      <c r="F373" t="str">
        <v>Rarely</v>
      </c>
      <c r="G373">
        <v>11</v>
      </c>
      <c r="H373">
        <v>3</v>
      </c>
      <c r="I373">
        <v>30.3</v>
      </c>
      <c r="J373">
        <v>124</v>
      </c>
      <c r="K373">
        <v>96</v>
      </c>
      <c r="L373">
        <v>7969</v>
      </c>
      <c r="M373" t="str" cm="1">
        <f t="array" ref="M373">_xlfn.IFS(C373&lt;6,"Poor",C373&lt;=8,"Normal",TRUE,"High")</f>
        <v>High</v>
      </c>
    </row>
    <row r="374" spans="1:13" x14ac:dyDescent="0.2">
      <c r="A374">
        <v>373</v>
      </c>
      <c r="B374" cm="1">
        <f t="array" ref="B374:L374">_xlfn.XLOOKUP($A374,Instagram_Usage_Lifestyle_Mini_!$A:$A,Instagram_Usage_Lifestyle_Mini_!$L:$V,"Not Found")</f>
        <v>4</v>
      </c>
      <c r="C374">
        <v>7.6</v>
      </c>
      <c r="D374" t="str">
        <v>Average</v>
      </c>
      <c r="E374" t="str">
        <v>No</v>
      </c>
      <c r="F374" t="str">
        <v>Weekly</v>
      </c>
      <c r="G374">
        <v>2</v>
      </c>
      <c r="H374">
        <v>1</v>
      </c>
      <c r="I374">
        <v>28.3</v>
      </c>
      <c r="J374">
        <v>127</v>
      </c>
      <c r="K374">
        <v>81</v>
      </c>
      <c r="L374">
        <v>8002</v>
      </c>
      <c r="M374" t="str" cm="1">
        <f t="array" ref="M374">_xlfn.IFS(C374&lt;6,"Poor",C374&lt;=8,"Normal",TRUE,"High")</f>
        <v>Normal</v>
      </c>
    </row>
    <row r="375" spans="1:13" x14ac:dyDescent="0.2">
      <c r="A375">
        <v>374</v>
      </c>
      <c r="B375" cm="1">
        <f t="array" ref="B375:L375">_xlfn.XLOOKUP($A375,Instagram_Usage_Lifestyle_Mini_!$A:$A,Instagram_Usage_Lifestyle_Mini_!$L:$V,"Not Found")</f>
        <v>9.8000000000000007</v>
      </c>
      <c r="C375">
        <v>8</v>
      </c>
      <c r="D375" t="str">
        <v>Good</v>
      </c>
      <c r="E375" t="str">
        <v>No</v>
      </c>
      <c r="F375" t="str">
        <v>Never</v>
      </c>
      <c r="G375">
        <v>38</v>
      </c>
      <c r="H375">
        <v>8</v>
      </c>
      <c r="I375">
        <v>23</v>
      </c>
      <c r="J375">
        <v>138</v>
      </c>
      <c r="K375">
        <v>87</v>
      </c>
      <c r="L375">
        <v>7937</v>
      </c>
      <c r="M375" t="str" cm="1">
        <f t="array" ref="M375">_xlfn.IFS(C375&lt;6,"Poor",C375&lt;=8,"Normal",TRUE,"High")</f>
        <v>Normal</v>
      </c>
    </row>
    <row r="376" spans="1:13" x14ac:dyDescent="0.2">
      <c r="A376">
        <v>375</v>
      </c>
      <c r="B376" cm="1">
        <f t="array" ref="B376:L376">_xlfn.XLOOKUP($A376,Instagram_Usage_Lifestyle_Mini_!$A:$A,Instagram_Usage_Lifestyle_Mini_!$L:$V,"Not Found")</f>
        <v>2.1</v>
      </c>
      <c r="C376">
        <v>6.7</v>
      </c>
      <c r="D376" t="str">
        <v>Good</v>
      </c>
      <c r="E376" t="str">
        <v>Yes</v>
      </c>
      <c r="F376" t="str">
        <v>Weekly</v>
      </c>
      <c r="G376">
        <v>40</v>
      </c>
      <c r="H376">
        <v>7</v>
      </c>
      <c r="I376">
        <v>22.8</v>
      </c>
      <c r="J376">
        <v>148</v>
      </c>
      <c r="K376">
        <v>93</v>
      </c>
      <c r="L376">
        <v>7885</v>
      </c>
      <c r="M376" t="str" cm="1">
        <f t="array" ref="M376">_xlfn.IFS(C376&lt;6,"Poor",C376&lt;=8,"Normal",TRUE,"High")</f>
        <v>Normal</v>
      </c>
    </row>
    <row r="377" spans="1:13" x14ac:dyDescent="0.2">
      <c r="A377">
        <v>376</v>
      </c>
      <c r="B377" cm="1">
        <f t="array" ref="B377:L377">_xlfn.XLOOKUP($A377,Instagram_Usage_Lifestyle_Mini_!$A:$A,Instagram_Usage_Lifestyle_Mini_!$L:$V,"Not Found")</f>
        <v>8.6</v>
      </c>
      <c r="C377">
        <v>8.6999999999999993</v>
      </c>
      <c r="D377" t="str">
        <v>Very_poor</v>
      </c>
      <c r="E377" t="str">
        <v>Yes</v>
      </c>
      <c r="F377" t="str">
        <v>Weekly</v>
      </c>
      <c r="G377">
        <v>13</v>
      </c>
      <c r="H377">
        <v>7</v>
      </c>
      <c r="I377">
        <v>26.5</v>
      </c>
      <c r="J377">
        <v>134</v>
      </c>
      <c r="K377">
        <v>93</v>
      </c>
      <c r="L377">
        <v>7887</v>
      </c>
      <c r="M377" t="str" cm="1">
        <f t="array" ref="M377">_xlfn.IFS(C377&lt;6,"Poor",C377&lt;=8,"Normal",TRUE,"High")</f>
        <v>High</v>
      </c>
    </row>
    <row r="378" spans="1:13" x14ac:dyDescent="0.2">
      <c r="A378">
        <v>377</v>
      </c>
      <c r="B378" cm="1">
        <f t="array" ref="B378:L378">_xlfn.XLOOKUP($A378,Instagram_Usage_Lifestyle_Mini_!$A:$A,Instagram_Usage_Lifestyle_Mini_!$L:$V,"Not Found")</f>
        <v>7.8</v>
      </c>
      <c r="C378">
        <v>6.8</v>
      </c>
      <c r="D378" t="str">
        <v>Excellent</v>
      </c>
      <c r="E378" t="str">
        <v>No</v>
      </c>
      <c r="F378" t="str">
        <v>Never</v>
      </c>
      <c r="G378">
        <v>17</v>
      </c>
      <c r="H378">
        <v>1</v>
      </c>
      <c r="I378">
        <v>26</v>
      </c>
      <c r="J378">
        <v>99</v>
      </c>
      <c r="K378">
        <v>71</v>
      </c>
      <c r="L378">
        <v>7912</v>
      </c>
      <c r="M378" t="str" cm="1">
        <f t="array" ref="M378">_xlfn.IFS(C378&lt;6,"Poor",C378&lt;=8,"Normal",TRUE,"High")</f>
        <v>Normal</v>
      </c>
    </row>
    <row r="379" spans="1:13" x14ac:dyDescent="0.2">
      <c r="A379">
        <v>378</v>
      </c>
      <c r="B379" cm="1">
        <f t="array" ref="B379:L379">_xlfn.XLOOKUP($A379,Instagram_Usage_Lifestyle_Mini_!$A:$A,Instagram_Usage_Lifestyle_Mini_!$L:$V,"Not Found")</f>
        <v>11.1</v>
      </c>
      <c r="C379">
        <v>5.8</v>
      </c>
      <c r="D379" t="str">
        <v>Average</v>
      </c>
      <c r="E379" t="str">
        <v>No</v>
      </c>
      <c r="F379" t="str">
        <v>Rarely</v>
      </c>
      <c r="G379">
        <v>19</v>
      </c>
      <c r="H379">
        <v>5</v>
      </c>
      <c r="I379">
        <v>17.7</v>
      </c>
      <c r="J379">
        <v>105</v>
      </c>
      <c r="K379">
        <v>95</v>
      </c>
      <c r="L379">
        <v>7839</v>
      </c>
      <c r="M379" t="str" cm="1">
        <f t="array" ref="M379">_xlfn.IFS(C379&lt;6,"Poor",C379&lt;=8,"Normal",TRUE,"High")</f>
        <v>Poor</v>
      </c>
    </row>
    <row r="380" spans="1:13" x14ac:dyDescent="0.2">
      <c r="A380">
        <v>379</v>
      </c>
      <c r="B380" cm="1">
        <f t="array" ref="B380:L380">_xlfn.XLOOKUP($A380,Instagram_Usage_Lifestyle_Mini_!$A:$A,Instagram_Usage_Lifestyle_Mini_!$L:$V,"Not Found")</f>
        <v>2.6</v>
      </c>
      <c r="C380">
        <v>6.9</v>
      </c>
      <c r="D380" t="str">
        <v>Good</v>
      </c>
      <c r="E380" t="str">
        <v>Yes</v>
      </c>
      <c r="F380" t="str">
        <v>Weekly</v>
      </c>
      <c r="G380">
        <v>26</v>
      </c>
      <c r="H380">
        <v>1</v>
      </c>
      <c r="I380">
        <v>26.4</v>
      </c>
      <c r="J380">
        <v>131</v>
      </c>
      <c r="K380">
        <v>63</v>
      </c>
      <c r="L380">
        <v>7811</v>
      </c>
      <c r="M380" t="str" cm="1">
        <f t="array" ref="M380">_xlfn.IFS(C380&lt;6,"Poor",C380&lt;=8,"Normal",TRUE,"High")</f>
        <v>Normal</v>
      </c>
    </row>
    <row r="381" spans="1:13" x14ac:dyDescent="0.2">
      <c r="A381">
        <v>380</v>
      </c>
      <c r="B381" cm="1">
        <f t="array" ref="B381:L381">_xlfn.XLOOKUP($A381,Instagram_Usage_Lifestyle_Mini_!$A:$A,Instagram_Usage_Lifestyle_Mini_!$L:$V,"Not Found")</f>
        <v>7</v>
      </c>
      <c r="C381">
        <v>9.5</v>
      </c>
      <c r="D381" t="str">
        <v>Excellent</v>
      </c>
      <c r="E381" t="str">
        <v>Yes</v>
      </c>
      <c r="F381" t="str">
        <v>Never</v>
      </c>
      <c r="G381">
        <v>0</v>
      </c>
      <c r="H381">
        <v>4</v>
      </c>
      <c r="I381">
        <v>20.3</v>
      </c>
      <c r="J381">
        <v>154</v>
      </c>
      <c r="K381">
        <v>84</v>
      </c>
      <c r="L381">
        <v>8048</v>
      </c>
      <c r="M381" t="str" cm="1">
        <f t="array" ref="M381">_xlfn.IFS(C381&lt;6,"Poor",C381&lt;=8,"Normal",TRUE,"High")</f>
        <v>High</v>
      </c>
    </row>
    <row r="382" spans="1:13" x14ac:dyDescent="0.2">
      <c r="A382">
        <v>381</v>
      </c>
      <c r="B382" cm="1">
        <f t="array" ref="B382:L382">_xlfn.XLOOKUP($A382,Instagram_Usage_Lifestyle_Mini_!$A:$A,Instagram_Usage_Lifestyle_Mini_!$L:$V,"Not Found")</f>
        <v>9.1</v>
      </c>
      <c r="C382">
        <v>5.9</v>
      </c>
      <c r="D382" t="str">
        <v>Good</v>
      </c>
      <c r="E382" t="str">
        <v>No</v>
      </c>
      <c r="F382" t="str">
        <v>Rarely</v>
      </c>
      <c r="G382">
        <v>4</v>
      </c>
      <c r="H382">
        <v>2</v>
      </c>
      <c r="I382">
        <v>31.4</v>
      </c>
      <c r="J382">
        <v>117</v>
      </c>
      <c r="K382">
        <v>99</v>
      </c>
      <c r="L382">
        <v>7967</v>
      </c>
      <c r="M382" t="str" cm="1">
        <f t="array" ref="M382">_xlfn.IFS(C382&lt;6,"Poor",C382&lt;=8,"Normal",TRUE,"High")</f>
        <v>Poor</v>
      </c>
    </row>
    <row r="383" spans="1:13" x14ac:dyDescent="0.2">
      <c r="A383">
        <v>382</v>
      </c>
      <c r="B383" cm="1">
        <f t="array" ref="B383:L383">_xlfn.XLOOKUP($A383,Instagram_Usage_Lifestyle_Mini_!$A:$A,Instagram_Usage_Lifestyle_Mini_!$L:$V,"Not Found")</f>
        <v>7</v>
      </c>
      <c r="C383">
        <v>8</v>
      </c>
      <c r="D383" t="str">
        <v>Very_poor</v>
      </c>
      <c r="E383" t="str">
        <v>No</v>
      </c>
      <c r="F383" t="str">
        <v>Never</v>
      </c>
      <c r="G383">
        <v>20</v>
      </c>
      <c r="H383">
        <v>2</v>
      </c>
      <c r="I383">
        <v>25.6</v>
      </c>
      <c r="J383">
        <v>158</v>
      </c>
      <c r="K383">
        <v>88</v>
      </c>
      <c r="L383">
        <v>7924</v>
      </c>
      <c r="M383" t="str" cm="1">
        <f t="array" ref="M383">_xlfn.IFS(C383&lt;6,"Poor",C383&lt;=8,"Normal",TRUE,"High")</f>
        <v>Normal</v>
      </c>
    </row>
    <row r="384" spans="1:13" x14ac:dyDescent="0.2">
      <c r="A384">
        <v>383</v>
      </c>
      <c r="B384" cm="1">
        <f t="array" ref="B384:L384">_xlfn.XLOOKUP($A384,Instagram_Usage_Lifestyle_Mini_!$A:$A,Instagram_Usage_Lifestyle_Mini_!$L:$V,"Not Found")</f>
        <v>4.5999999999999996</v>
      </c>
      <c r="C384">
        <v>8.1</v>
      </c>
      <c r="D384" t="str">
        <v>Good</v>
      </c>
      <c r="E384" t="str">
        <v>No</v>
      </c>
      <c r="F384" t="str">
        <v>Never</v>
      </c>
      <c r="G384">
        <v>1</v>
      </c>
      <c r="H384">
        <v>5</v>
      </c>
      <c r="I384">
        <v>15.3</v>
      </c>
      <c r="J384">
        <v>157</v>
      </c>
      <c r="K384">
        <v>83</v>
      </c>
      <c r="L384">
        <v>8020</v>
      </c>
      <c r="M384" t="str" cm="1">
        <f t="array" ref="M384">_xlfn.IFS(C384&lt;6,"Poor",C384&lt;=8,"Normal",TRUE,"High")</f>
        <v>High</v>
      </c>
    </row>
    <row r="385" spans="1:13" x14ac:dyDescent="0.2">
      <c r="A385">
        <v>384</v>
      </c>
      <c r="B385" cm="1">
        <f t="array" ref="B385:L385">_xlfn.XLOOKUP($A385,Instagram_Usage_Lifestyle_Mini_!$A:$A,Instagram_Usage_Lifestyle_Mini_!$L:$V,"Not Found")</f>
        <v>10.5</v>
      </c>
      <c r="C385">
        <v>8</v>
      </c>
      <c r="D385" t="str">
        <v>Poor</v>
      </c>
      <c r="E385" t="str">
        <v>No</v>
      </c>
      <c r="F385" t="str">
        <v>Never</v>
      </c>
      <c r="G385">
        <v>36</v>
      </c>
      <c r="H385">
        <v>2</v>
      </c>
      <c r="I385">
        <v>22.1</v>
      </c>
      <c r="J385">
        <v>145</v>
      </c>
      <c r="K385">
        <v>75</v>
      </c>
      <c r="L385">
        <v>7992</v>
      </c>
      <c r="M385" t="str" cm="1">
        <f t="array" ref="M385">_xlfn.IFS(C385&lt;6,"Poor",C385&lt;=8,"Normal",TRUE,"High")</f>
        <v>Normal</v>
      </c>
    </row>
    <row r="386" spans="1:13" x14ac:dyDescent="0.2">
      <c r="A386">
        <v>385</v>
      </c>
      <c r="B386" cm="1">
        <f t="array" ref="B386:L386">_xlfn.XLOOKUP($A386,Instagram_Usage_Lifestyle_Mini_!$A:$A,Instagram_Usage_Lifestyle_Mini_!$L:$V,"Not Found")</f>
        <v>5.5</v>
      </c>
      <c r="C386">
        <v>9.1</v>
      </c>
      <c r="D386" t="str">
        <v>Good</v>
      </c>
      <c r="E386" t="str">
        <v>No</v>
      </c>
      <c r="F386" t="str">
        <v>Never</v>
      </c>
      <c r="G386">
        <v>16</v>
      </c>
      <c r="H386">
        <v>6</v>
      </c>
      <c r="I386">
        <v>26.1</v>
      </c>
      <c r="J386">
        <v>115</v>
      </c>
      <c r="K386">
        <v>70</v>
      </c>
      <c r="L386">
        <v>8024</v>
      </c>
      <c r="M386" t="str" cm="1">
        <f t="array" ref="M386">_xlfn.IFS(C386&lt;6,"Poor",C386&lt;=8,"Normal",TRUE,"High")</f>
        <v>High</v>
      </c>
    </row>
    <row r="387" spans="1:13" x14ac:dyDescent="0.2">
      <c r="A387">
        <v>386</v>
      </c>
      <c r="B387" cm="1">
        <f t="array" ref="B387:L387">_xlfn.XLOOKUP($A387,Instagram_Usage_Lifestyle_Mini_!$A:$A,Instagram_Usage_Lifestyle_Mini_!$L:$V,"Not Found")</f>
        <v>5.4</v>
      </c>
      <c r="C387">
        <v>8.1</v>
      </c>
      <c r="D387" t="str">
        <v>Average</v>
      </c>
      <c r="E387" t="str">
        <v>No</v>
      </c>
      <c r="F387" t="str">
        <v>Rarely</v>
      </c>
      <c r="G387">
        <v>18</v>
      </c>
      <c r="H387">
        <v>3</v>
      </c>
      <c r="I387">
        <v>27.1</v>
      </c>
      <c r="J387">
        <v>111</v>
      </c>
      <c r="K387">
        <v>85</v>
      </c>
      <c r="L387">
        <v>8009</v>
      </c>
      <c r="M387" t="str" cm="1">
        <f t="array" ref="M387">_xlfn.IFS(C387&lt;6,"Poor",C387&lt;=8,"Normal",TRUE,"High")</f>
        <v>High</v>
      </c>
    </row>
    <row r="388" spans="1:13" x14ac:dyDescent="0.2">
      <c r="A388">
        <v>387</v>
      </c>
      <c r="B388" cm="1">
        <f t="array" ref="B388:L388">_xlfn.XLOOKUP($A388,Instagram_Usage_Lifestyle_Mini_!$A:$A,Instagram_Usage_Lifestyle_Mini_!$L:$V,"Not Found")</f>
        <v>6.3</v>
      </c>
      <c r="C388">
        <v>5.3</v>
      </c>
      <c r="D388" t="str">
        <v>Very_poor</v>
      </c>
      <c r="E388" t="str">
        <v>No</v>
      </c>
      <c r="F388" t="str">
        <v>Rarely</v>
      </c>
      <c r="G388">
        <v>39</v>
      </c>
      <c r="H388">
        <v>3</v>
      </c>
      <c r="I388">
        <v>27.6</v>
      </c>
      <c r="J388">
        <v>136</v>
      </c>
      <c r="K388">
        <v>89</v>
      </c>
      <c r="L388">
        <v>8093</v>
      </c>
      <c r="M388" t="str" cm="1">
        <f t="array" ref="M388">_xlfn.IFS(C388&lt;6,"Poor",C388&lt;=8,"Normal",TRUE,"High")</f>
        <v>Poor</v>
      </c>
    </row>
    <row r="389" spans="1:13" x14ac:dyDescent="0.2">
      <c r="A389">
        <v>388</v>
      </c>
      <c r="B389" cm="1">
        <f t="array" ref="B389:L389">_xlfn.XLOOKUP($A389,Instagram_Usage_Lifestyle_Mini_!$A:$A,Instagram_Usage_Lifestyle_Mini_!$L:$V,"Not Found")</f>
        <v>10.199999999999999</v>
      </c>
      <c r="C389">
        <v>6.4</v>
      </c>
      <c r="D389" t="str">
        <v>Average</v>
      </c>
      <c r="E389" t="str">
        <v>No</v>
      </c>
      <c r="F389" t="str">
        <v>Rarely</v>
      </c>
      <c r="G389">
        <v>1</v>
      </c>
      <c r="H389">
        <v>7</v>
      </c>
      <c r="I389">
        <v>22.8</v>
      </c>
      <c r="J389">
        <v>90</v>
      </c>
      <c r="K389">
        <v>97</v>
      </c>
      <c r="L389">
        <v>8143</v>
      </c>
      <c r="M389" t="str" cm="1">
        <f t="array" ref="M389">_xlfn.IFS(C389&lt;6,"Poor",C389&lt;=8,"Normal",TRUE,"High")</f>
        <v>Normal</v>
      </c>
    </row>
    <row r="390" spans="1:13" x14ac:dyDescent="0.2">
      <c r="A390">
        <v>389</v>
      </c>
      <c r="B390" cm="1">
        <f t="array" ref="B390:L390">_xlfn.XLOOKUP($A390,Instagram_Usage_Lifestyle_Mini_!$A:$A,Instagram_Usage_Lifestyle_Mini_!$L:$V,"Not Found")</f>
        <v>10.1</v>
      </c>
      <c r="C390">
        <v>7</v>
      </c>
      <c r="D390" t="str">
        <v>Average</v>
      </c>
      <c r="E390" t="str">
        <v>Yes</v>
      </c>
      <c r="F390" t="str">
        <v>Weekly</v>
      </c>
      <c r="G390">
        <v>35</v>
      </c>
      <c r="H390">
        <v>8</v>
      </c>
      <c r="I390">
        <v>27.4</v>
      </c>
      <c r="J390">
        <v>91</v>
      </c>
      <c r="K390">
        <v>99</v>
      </c>
      <c r="L390">
        <v>8033</v>
      </c>
      <c r="M390" t="str" cm="1">
        <f t="array" ref="M390">_xlfn.IFS(C390&lt;6,"Poor",C390&lt;=8,"Normal",TRUE,"High")</f>
        <v>Normal</v>
      </c>
    </row>
    <row r="391" spans="1:13" x14ac:dyDescent="0.2">
      <c r="A391">
        <v>390</v>
      </c>
      <c r="B391" cm="1">
        <f t="array" ref="B391:L391">_xlfn.XLOOKUP($A391,Instagram_Usage_Lifestyle_Mini_!$A:$A,Instagram_Usage_Lifestyle_Mini_!$L:$V,"Not Found")</f>
        <v>8.9</v>
      </c>
      <c r="C391">
        <v>6.2</v>
      </c>
      <c r="D391" t="str">
        <v>Average</v>
      </c>
      <c r="E391" t="str">
        <v>No</v>
      </c>
      <c r="F391" t="str">
        <v>Weekly</v>
      </c>
      <c r="G391">
        <v>33</v>
      </c>
      <c r="H391">
        <v>7</v>
      </c>
      <c r="I391">
        <v>31.4</v>
      </c>
      <c r="J391">
        <v>100</v>
      </c>
      <c r="K391">
        <v>65</v>
      </c>
      <c r="L391">
        <v>7983</v>
      </c>
      <c r="M391" t="str" cm="1">
        <f t="array" ref="M391">_xlfn.IFS(C391&lt;6,"Poor",C391&lt;=8,"Normal",TRUE,"High")</f>
        <v>Normal</v>
      </c>
    </row>
    <row r="392" spans="1:13" x14ac:dyDescent="0.2">
      <c r="A392">
        <v>391</v>
      </c>
      <c r="B392" cm="1">
        <f t="array" ref="B392:L392">_xlfn.XLOOKUP($A392,Instagram_Usage_Lifestyle_Mini_!$A:$A,Instagram_Usage_Lifestyle_Mini_!$L:$V,"Not Found")</f>
        <v>5.4</v>
      </c>
      <c r="C392">
        <v>7.1</v>
      </c>
      <c r="D392" t="str">
        <v>Average</v>
      </c>
      <c r="E392" t="str">
        <v>Yes</v>
      </c>
      <c r="F392" t="str">
        <v>Never</v>
      </c>
      <c r="G392">
        <v>37</v>
      </c>
      <c r="H392">
        <v>8</v>
      </c>
      <c r="I392">
        <v>19.2</v>
      </c>
      <c r="J392">
        <v>117</v>
      </c>
      <c r="K392">
        <v>60</v>
      </c>
      <c r="L392">
        <v>7855</v>
      </c>
      <c r="M392" t="str" cm="1">
        <f t="array" ref="M392">_xlfn.IFS(C392&lt;6,"Poor",C392&lt;=8,"Normal",TRUE,"High")</f>
        <v>Normal</v>
      </c>
    </row>
    <row r="393" spans="1:13" x14ac:dyDescent="0.2">
      <c r="A393">
        <v>392</v>
      </c>
      <c r="B393" cm="1">
        <f t="array" ref="B393:L393">_xlfn.XLOOKUP($A393,Instagram_Usage_Lifestyle_Mini_!$A:$A,Instagram_Usage_Lifestyle_Mini_!$L:$V,"Not Found")</f>
        <v>15.4</v>
      </c>
      <c r="C393">
        <v>7.6</v>
      </c>
      <c r="D393" t="str">
        <v>Poor</v>
      </c>
      <c r="E393" t="str">
        <v>No</v>
      </c>
      <c r="F393" t="str">
        <v>Never</v>
      </c>
      <c r="G393">
        <v>12</v>
      </c>
      <c r="H393">
        <v>7</v>
      </c>
      <c r="I393">
        <v>24.9</v>
      </c>
      <c r="J393">
        <v>127</v>
      </c>
      <c r="K393">
        <v>68</v>
      </c>
      <c r="L393">
        <v>8042</v>
      </c>
      <c r="M393" t="str" cm="1">
        <f t="array" ref="M393">_xlfn.IFS(C393&lt;6,"Poor",C393&lt;=8,"Normal",TRUE,"High")</f>
        <v>Normal</v>
      </c>
    </row>
    <row r="394" spans="1:13" x14ac:dyDescent="0.2">
      <c r="A394">
        <v>393</v>
      </c>
      <c r="B394" cm="1">
        <f t="array" ref="B394:L394">_xlfn.XLOOKUP($A394,Instagram_Usage_Lifestyle_Mini_!$A:$A,Instagram_Usage_Lifestyle_Mini_!$L:$V,"Not Found")</f>
        <v>15.2</v>
      </c>
      <c r="C394">
        <v>7.1</v>
      </c>
      <c r="D394" t="str">
        <v>Average</v>
      </c>
      <c r="E394" t="str">
        <v>No</v>
      </c>
      <c r="F394" t="str">
        <v>Never</v>
      </c>
      <c r="G394">
        <v>38</v>
      </c>
      <c r="H394">
        <v>1</v>
      </c>
      <c r="I394">
        <v>27</v>
      </c>
      <c r="J394">
        <v>128</v>
      </c>
      <c r="K394">
        <v>62</v>
      </c>
      <c r="L394">
        <v>7995</v>
      </c>
      <c r="M394" t="str" cm="1">
        <f t="array" ref="M394">_xlfn.IFS(C394&lt;6,"Poor",C394&lt;=8,"Normal",TRUE,"High")</f>
        <v>Normal</v>
      </c>
    </row>
    <row r="395" spans="1:13" x14ac:dyDescent="0.2">
      <c r="A395">
        <v>394</v>
      </c>
      <c r="B395" cm="1">
        <f t="array" ref="B395:L395">_xlfn.XLOOKUP($A395,Instagram_Usage_Lifestyle_Mini_!$A:$A,Instagram_Usage_Lifestyle_Mini_!$L:$V,"Not Found")</f>
        <v>10.1</v>
      </c>
      <c r="C395">
        <v>6.8</v>
      </c>
      <c r="D395" t="str">
        <v>Good</v>
      </c>
      <c r="E395" t="str">
        <v>Yes</v>
      </c>
      <c r="F395" t="str">
        <v>Rarely</v>
      </c>
      <c r="G395">
        <v>40</v>
      </c>
      <c r="H395">
        <v>2</v>
      </c>
      <c r="I395">
        <v>29.6</v>
      </c>
      <c r="J395">
        <v>113</v>
      </c>
      <c r="K395">
        <v>77</v>
      </c>
      <c r="L395">
        <v>7995</v>
      </c>
      <c r="M395" t="str" cm="1">
        <f t="array" ref="M395">_xlfn.IFS(C395&lt;6,"Poor",C395&lt;=8,"Normal",TRUE,"High")</f>
        <v>Normal</v>
      </c>
    </row>
    <row r="396" spans="1:13" x14ac:dyDescent="0.2">
      <c r="A396">
        <v>395</v>
      </c>
      <c r="B396" cm="1">
        <f t="array" ref="B396:L396">_xlfn.XLOOKUP($A396,Instagram_Usage_Lifestyle_Mini_!$A:$A,Instagram_Usage_Lifestyle_Mini_!$L:$V,"Not Found")</f>
        <v>13.4</v>
      </c>
      <c r="C396">
        <v>7.9</v>
      </c>
      <c r="D396" t="str">
        <v>Very_poor</v>
      </c>
      <c r="E396" t="str">
        <v>No</v>
      </c>
      <c r="F396" t="str">
        <v>Never</v>
      </c>
      <c r="G396">
        <v>36</v>
      </c>
      <c r="H396">
        <v>1</v>
      </c>
      <c r="I396">
        <v>29</v>
      </c>
      <c r="J396">
        <v>118</v>
      </c>
      <c r="K396">
        <v>78</v>
      </c>
      <c r="L396">
        <v>8128</v>
      </c>
      <c r="M396" t="str" cm="1">
        <f t="array" ref="M396">_xlfn.IFS(C396&lt;6,"Poor",C396&lt;=8,"Normal",TRUE,"High")</f>
        <v>Normal</v>
      </c>
    </row>
    <row r="397" spans="1:13" x14ac:dyDescent="0.2">
      <c r="A397">
        <v>396</v>
      </c>
      <c r="B397" cm="1">
        <f t="array" ref="B397:L397">_xlfn.XLOOKUP($A397,Instagram_Usage_Lifestyle_Mini_!$A:$A,Instagram_Usage_Lifestyle_Mini_!$L:$V,"Not Found")</f>
        <v>4.8</v>
      </c>
      <c r="C397">
        <v>6.6</v>
      </c>
      <c r="D397" t="str">
        <v>Poor</v>
      </c>
      <c r="E397" t="str">
        <v>No</v>
      </c>
      <c r="F397" t="str">
        <v>Never</v>
      </c>
      <c r="G397">
        <v>8</v>
      </c>
      <c r="H397">
        <v>5</v>
      </c>
      <c r="I397">
        <v>30.4</v>
      </c>
      <c r="J397">
        <v>107</v>
      </c>
      <c r="K397">
        <v>60</v>
      </c>
      <c r="L397">
        <v>7894</v>
      </c>
      <c r="M397" t="str" cm="1">
        <f t="array" ref="M397">_xlfn.IFS(C397&lt;6,"Poor",C397&lt;=8,"Normal",TRUE,"High")</f>
        <v>Normal</v>
      </c>
    </row>
    <row r="398" spans="1:13" x14ac:dyDescent="0.2">
      <c r="A398">
        <v>397</v>
      </c>
      <c r="B398" cm="1">
        <f t="array" ref="B398:L398">_xlfn.XLOOKUP($A398,Instagram_Usage_Lifestyle_Mini_!$A:$A,Instagram_Usage_Lifestyle_Mini_!$L:$V,"Not Found")</f>
        <v>9.3000000000000007</v>
      </c>
      <c r="C398">
        <v>6.6</v>
      </c>
      <c r="D398" t="str">
        <v>Poor</v>
      </c>
      <c r="E398" t="str">
        <v>No</v>
      </c>
      <c r="F398" t="str">
        <v>Rarely</v>
      </c>
      <c r="G398">
        <v>5</v>
      </c>
      <c r="H398">
        <v>8</v>
      </c>
      <c r="I398">
        <v>26.8</v>
      </c>
      <c r="J398">
        <v>121</v>
      </c>
      <c r="K398">
        <v>61</v>
      </c>
      <c r="L398">
        <v>7898</v>
      </c>
      <c r="M398" t="str" cm="1">
        <f t="array" ref="M398">_xlfn.IFS(C398&lt;6,"Poor",C398&lt;=8,"Normal",TRUE,"High")</f>
        <v>Normal</v>
      </c>
    </row>
    <row r="399" spans="1:13" x14ac:dyDescent="0.2">
      <c r="A399">
        <v>398</v>
      </c>
      <c r="B399" cm="1">
        <f t="array" ref="B399:L399">_xlfn.XLOOKUP($A399,Instagram_Usage_Lifestyle_Mini_!$A:$A,Instagram_Usage_Lifestyle_Mini_!$L:$V,"Not Found")</f>
        <v>9.9</v>
      </c>
      <c r="C399">
        <v>7.8</v>
      </c>
      <c r="D399" t="str">
        <v>Average</v>
      </c>
      <c r="E399" t="str">
        <v>Yes</v>
      </c>
      <c r="F399" t="str">
        <v>Weekly</v>
      </c>
      <c r="G399">
        <v>36</v>
      </c>
      <c r="H399">
        <v>2</v>
      </c>
      <c r="I399">
        <v>25.3</v>
      </c>
      <c r="J399">
        <v>155</v>
      </c>
      <c r="K399">
        <v>83</v>
      </c>
      <c r="L399">
        <v>7988</v>
      </c>
      <c r="M399" t="str" cm="1">
        <f t="array" ref="M399">_xlfn.IFS(C399&lt;6,"Poor",C399&lt;=8,"Normal",TRUE,"High")</f>
        <v>Normal</v>
      </c>
    </row>
    <row r="400" spans="1:13" x14ac:dyDescent="0.2">
      <c r="A400">
        <v>399</v>
      </c>
      <c r="B400" cm="1">
        <f t="array" ref="B400:L400">_xlfn.XLOOKUP($A400,Instagram_Usage_Lifestyle_Mini_!$A:$A,Instagram_Usage_Lifestyle_Mini_!$L:$V,"Not Found")</f>
        <v>11.5</v>
      </c>
      <c r="C400">
        <v>6.5</v>
      </c>
      <c r="D400" t="str">
        <v>Excellent</v>
      </c>
      <c r="E400" t="str">
        <v>No</v>
      </c>
      <c r="F400" t="str">
        <v>Never</v>
      </c>
      <c r="G400">
        <v>36</v>
      </c>
      <c r="H400">
        <v>7</v>
      </c>
      <c r="I400">
        <v>24.4</v>
      </c>
      <c r="J400">
        <v>140</v>
      </c>
      <c r="K400">
        <v>89</v>
      </c>
      <c r="L400">
        <v>8014</v>
      </c>
      <c r="M400" t="str" cm="1">
        <f t="array" ref="M400">_xlfn.IFS(C400&lt;6,"Poor",C400&lt;=8,"Normal",TRUE,"High")</f>
        <v>Normal</v>
      </c>
    </row>
    <row r="401" spans="1:13" x14ac:dyDescent="0.2">
      <c r="A401">
        <v>400</v>
      </c>
      <c r="B401" cm="1">
        <f t="array" ref="B401:L401">_xlfn.XLOOKUP($A401,Instagram_Usage_Lifestyle_Mini_!$A:$A,Instagram_Usage_Lifestyle_Mini_!$L:$V,"Not Found")</f>
        <v>4.8</v>
      </c>
      <c r="C401">
        <v>6.6</v>
      </c>
      <c r="D401" t="str">
        <v>Good</v>
      </c>
      <c r="E401" t="str">
        <v>No</v>
      </c>
      <c r="F401" t="str">
        <v>Weekly</v>
      </c>
      <c r="G401">
        <v>28</v>
      </c>
      <c r="H401">
        <v>8</v>
      </c>
      <c r="I401">
        <v>29.3</v>
      </c>
      <c r="J401">
        <v>127</v>
      </c>
      <c r="K401">
        <v>84</v>
      </c>
      <c r="L401">
        <v>8094</v>
      </c>
      <c r="M401" t="str" cm="1">
        <f t="array" ref="M401">_xlfn.IFS(C401&lt;6,"Poor",C401&lt;=8,"Normal",TRUE,"High")</f>
        <v>Normal</v>
      </c>
    </row>
    <row r="402" spans="1:13" x14ac:dyDescent="0.2">
      <c r="A402">
        <v>401</v>
      </c>
      <c r="B402" cm="1">
        <f t="array" ref="B402:L402">_xlfn.XLOOKUP($A402,Instagram_Usage_Lifestyle_Mini_!$A:$A,Instagram_Usage_Lifestyle_Mini_!$L:$V,"Not Found")</f>
        <v>4</v>
      </c>
      <c r="C402">
        <v>3.1</v>
      </c>
      <c r="D402" t="str">
        <v>Good</v>
      </c>
      <c r="E402" t="str">
        <v>Former</v>
      </c>
      <c r="F402" t="str">
        <v>Never</v>
      </c>
      <c r="G402">
        <v>35</v>
      </c>
      <c r="H402">
        <v>4</v>
      </c>
      <c r="I402">
        <v>29.5</v>
      </c>
      <c r="J402">
        <v>147</v>
      </c>
      <c r="K402">
        <v>84</v>
      </c>
      <c r="L402">
        <v>7963</v>
      </c>
      <c r="M402" t="str" cm="1">
        <f t="array" ref="M402">_xlfn.IFS(C402&lt;6,"Poor",C402&lt;=8,"Normal",TRUE,"High")</f>
        <v>Poor</v>
      </c>
    </row>
    <row r="403" spans="1:13" x14ac:dyDescent="0.2">
      <c r="A403">
        <v>402</v>
      </c>
      <c r="B403" cm="1">
        <f t="array" ref="B403:L403">_xlfn.XLOOKUP($A403,Instagram_Usage_Lifestyle_Mini_!$A:$A,Instagram_Usage_Lifestyle_Mini_!$L:$V,"Not Found")</f>
        <v>8.4</v>
      </c>
      <c r="C403">
        <v>6.3</v>
      </c>
      <c r="D403" t="str">
        <v>Poor</v>
      </c>
      <c r="E403" t="str">
        <v>No</v>
      </c>
      <c r="F403" t="str">
        <v>Daily</v>
      </c>
      <c r="G403">
        <v>2</v>
      </c>
      <c r="H403">
        <v>7</v>
      </c>
      <c r="I403">
        <v>27.2</v>
      </c>
      <c r="J403">
        <v>137</v>
      </c>
      <c r="K403">
        <v>97</v>
      </c>
      <c r="L403">
        <v>7938</v>
      </c>
      <c r="M403" t="str" cm="1">
        <f t="array" ref="M403">_xlfn.IFS(C403&lt;6,"Poor",C403&lt;=8,"Normal",TRUE,"High")</f>
        <v>Normal</v>
      </c>
    </row>
    <row r="404" spans="1:13" x14ac:dyDescent="0.2">
      <c r="A404">
        <v>403</v>
      </c>
      <c r="B404" cm="1">
        <f t="array" ref="B404:L404">_xlfn.XLOOKUP($A404,Instagram_Usage_Lifestyle_Mini_!$A:$A,Instagram_Usage_Lifestyle_Mini_!$L:$V,"Not Found")</f>
        <v>14</v>
      </c>
      <c r="C404">
        <v>7.7</v>
      </c>
      <c r="D404" t="str">
        <v>Excellent</v>
      </c>
      <c r="E404" t="str">
        <v>Former</v>
      </c>
      <c r="F404" t="str">
        <v>Never</v>
      </c>
      <c r="G404">
        <v>26</v>
      </c>
      <c r="H404">
        <v>6</v>
      </c>
      <c r="I404">
        <v>26.3</v>
      </c>
      <c r="J404">
        <v>140</v>
      </c>
      <c r="K404">
        <v>90</v>
      </c>
      <c r="L404">
        <v>8024</v>
      </c>
      <c r="M404" t="str" cm="1">
        <f t="array" ref="M404">_xlfn.IFS(C404&lt;6,"Poor",C404&lt;=8,"Normal",TRUE,"High")</f>
        <v>Normal</v>
      </c>
    </row>
    <row r="405" spans="1:13" x14ac:dyDescent="0.2">
      <c r="A405">
        <v>404</v>
      </c>
      <c r="B405" cm="1">
        <f t="array" ref="B405:L405">_xlfn.XLOOKUP($A405,Instagram_Usage_Lifestyle_Mini_!$A:$A,Instagram_Usage_Lifestyle_Mini_!$L:$V,"Not Found")</f>
        <v>1.2</v>
      </c>
      <c r="C405">
        <v>7.3</v>
      </c>
      <c r="D405" t="str">
        <v>Excellent</v>
      </c>
      <c r="E405" t="str">
        <v>No</v>
      </c>
      <c r="F405" t="str">
        <v>Never</v>
      </c>
      <c r="G405">
        <v>31</v>
      </c>
      <c r="H405">
        <v>6</v>
      </c>
      <c r="I405">
        <v>29.9</v>
      </c>
      <c r="J405">
        <v>126</v>
      </c>
      <c r="K405">
        <v>86</v>
      </c>
      <c r="L405">
        <v>7963</v>
      </c>
      <c r="M405" t="str" cm="1">
        <f t="array" ref="M405">_xlfn.IFS(C405&lt;6,"Poor",C405&lt;=8,"Normal",TRUE,"High")</f>
        <v>Normal</v>
      </c>
    </row>
    <row r="406" spans="1:13" x14ac:dyDescent="0.2">
      <c r="A406">
        <v>405</v>
      </c>
      <c r="B406" cm="1">
        <f t="array" ref="B406:L406">_xlfn.XLOOKUP($A406,Instagram_Usage_Lifestyle_Mini_!$A:$A,Instagram_Usage_Lifestyle_Mini_!$L:$V,"Not Found")</f>
        <v>14.8</v>
      </c>
      <c r="C406">
        <v>8.1999999999999993</v>
      </c>
      <c r="D406" t="str">
        <v>Good</v>
      </c>
      <c r="E406" t="str">
        <v>No</v>
      </c>
      <c r="F406" t="str">
        <v>Several_times_a_week</v>
      </c>
      <c r="G406">
        <v>28</v>
      </c>
      <c r="H406">
        <v>3</v>
      </c>
      <c r="I406">
        <v>24.4</v>
      </c>
      <c r="J406">
        <v>113</v>
      </c>
      <c r="K406">
        <v>98</v>
      </c>
      <c r="L406">
        <v>7946</v>
      </c>
      <c r="M406" t="str" cm="1">
        <f t="array" ref="M406">_xlfn.IFS(C406&lt;6,"Poor",C406&lt;=8,"Normal",TRUE,"High")</f>
        <v>High</v>
      </c>
    </row>
    <row r="407" spans="1:13" x14ac:dyDescent="0.2">
      <c r="A407">
        <v>406</v>
      </c>
      <c r="B407" cm="1">
        <f t="array" ref="B407:L407">_xlfn.XLOOKUP($A407,Instagram_Usage_Lifestyle_Mini_!$A:$A,Instagram_Usage_Lifestyle_Mini_!$L:$V,"Not Found")</f>
        <v>6.8</v>
      </c>
      <c r="C407">
        <v>7.1</v>
      </c>
      <c r="D407" t="str">
        <v>Good</v>
      </c>
      <c r="E407" t="str">
        <v>Yes</v>
      </c>
      <c r="F407" t="str">
        <v>Never</v>
      </c>
      <c r="G407">
        <v>4</v>
      </c>
      <c r="H407">
        <v>10</v>
      </c>
      <c r="I407">
        <v>19.7</v>
      </c>
      <c r="J407">
        <v>146</v>
      </c>
      <c r="K407">
        <v>62</v>
      </c>
      <c r="L407">
        <v>7847</v>
      </c>
      <c r="M407" t="str" cm="1">
        <f t="array" ref="M407">_xlfn.IFS(C407&lt;6,"Poor",C407&lt;=8,"Normal",TRUE,"High")</f>
        <v>Normal</v>
      </c>
    </row>
    <row r="408" spans="1:13" x14ac:dyDescent="0.2">
      <c r="A408">
        <v>407</v>
      </c>
      <c r="B408" cm="1">
        <f t="array" ref="B408:L408">_xlfn.XLOOKUP($A408,Instagram_Usage_Lifestyle_Mini_!$A:$A,Instagram_Usage_Lifestyle_Mini_!$L:$V,"Not Found")</f>
        <v>11.1</v>
      </c>
      <c r="C408">
        <v>6.7</v>
      </c>
      <c r="D408" t="str">
        <v>Very_poor</v>
      </c>
      <c r="E408" t="str">
        <v>Former</v>
      </c>
      <c r="F408" t="str">
        <v>Never</v>
      </c>
      <c r="G408">
        <v>36</v>
      </c>
      <c r="H408">
        <v>10</v>
      </c>
      <c r="I408">
        <v>21.6</v>
      </c>
      <c r="J408">
        <v>101</v>
      </c>
      <c r="K408">
        <v>93</v>
      </c>
      <c r="L408">
        <v>8060</v>
      </c>
      <c r="M408" t="str" cm="1">
        <f t="array" ref="M408">_xlfn.IFS(C408&lt;6,"Poor",C408&lt;=8,"Normal",TRUE,"High")</f>
        <v>Normal</v>
      </c>
    </row>
    <row r="409" spans="1:13" x14ac:dyDescent="0.2">
      <c r="A409">
        <v>408</v>
      </c>
      <c r="B409" cm="1">
        <f t="array" ref="B409:L409">_xlfn.XLOOKUP($A409,Instagram_Usage_Lifestyle_Mini_!$A:$A,Instagram_Usage_Lifestyle_Mini_!$L:$V,"Not Found")</f>
        <v>5.4</v>
      </c>
      <c r="C409">
        <v>8.4</v>
      </c>
      <c r="D409" t="str">
        <v>Poor</v>
      </c>
      <c r="E409" t="str">
        <v>No</v>
      </c>
      <c r="F409" t="str">
        <v>Never</v>
      </c>
      <c r="G409">
        <v>16</v>
      </c>
      <c r="H409">
        <v>10</v>
      </c>
      <c r="I409">
        <v>30.2</v>
      </c>
      <c r="J409">
        <v>145</v>
      </c>
      <c r="K409">
        <v>79</v>
      </c>
      <c r="L409">
        <v>8039</v>
      </c>
      <c r="M409" t="str" cm="1">
        <f t="array" ref="M409">_xlfn.IFS(C409&lt;6,"Poor",C409&lt;=8,"Normal",TRUE,"High")</f>
        <v>High</v>
      </c>
    </row>
    <row r="410" spans="1:13" x14ac:dyDescent="0.2">
      <c r="A410">
        <v>409</v>
      </c>
      <c r="B410" cm="1">
        <f t="array" ref="B410:L410">_xlfn.XLOOKUP($A410,Instagram_Usage_Lifestyle_Mini_!$A:$A,Instagram_Usage_Lifestyle_Mini_!$L:$V,"Not Found")</f>
        <v>12.1</v>
      </c>
      <c r="C410">
        <v>6.2</v>
      </c>
      <c r="D410" t="str">
        <v>Poor</v>
      </c>
      <c r="E410" t="str">
        <v>No</v>
      </c>
      <c r="F410" t="str">
        <v>Weekly</v>
      </c>
      <c r="G410">
        <v>25</v>
      </c>
      <c r="H410">
        <v>6</v>
      </c>
      <c r="I410">
        <v>28.5</v>
      </c>
      <c r="J410">
        <v>139</v>
      </c>
      <c r="K410">
        <v>72</v>
      </c>
      <c r="L410">
        <v>8127</v>
      </c>
      <c r="M410" t="str" cm="1">
        <f t="array" ref="M410">_xlfn.IFS(C410&lt;6,"Poor",C410&lt;=8,"Normal",TRUE,"High")</f>
        <v>Normal</v>
      </c>
    </row>
    <row r="411" spans="1:13" x14ac:dyDescent="0.2">
      <c r="A411">
        <v>410</v>
      </c>
      <c r="B411" cm="1">
        <f t="array" ref="B411:L411">_xlfn.XLOOKUP($A411,Instagram_Usage_Lifestyle_Mini_!$A:$A,Instagram_Usage_Lifestyle_Mini_!$L:$V,"Not Found")</f>
        <v>5.9</v>
      </c>
      <c r="C411">
        <v>6.1</v>
      </c>
      <c r="D411" t="str">
        <v>Average</v>
      </c>
      <c r="E411" t="str">
        <v>Former</v>
      </c>
      <c r="F411" t="str">
        <v>Rarely</v>
      </c>
      <c r="G411">
        <v>13</v>
      </c>
      <c r="H411">
        <v>2</v>
      </c>
      <c r="I411">
        <v>27.1</v>
      </c>
      <c r="J411">
        <v>151</v>
      </c>
      <c r="K411">
        <v>75</v>
      </c>
      <c r="L411">
        <v>7959</v>
      </c>
      <c r="M411" t="str" cm="1">
        <f t="array" ref="M411">_xlfn.IFS(C411&lt;6,"Poor",C411&lt;=8,"Normal",TRUE,"High")</f>
        <v>Normal</v>
      </c>
    </row>
    <row r="412" spans="1:13" x14ac:dyDescent="0.2">
      <c r="A412">
        <v>411</v>
      </c>
      <c r="B412" cm="1">
        <f t="array" ref="B412:L412">_xlfn.XLOOKUP($A412,Instagram_Usage_Lifestyle_Mini_!$A:$A,Instagram_Usage_Lifestyle_Mini_!$L:$V,"Not Found")</f>
        <v>6</v>
      </c>
      <c r="C412">
        <v>7.6</v>
      </c>
      <c r="D412" t="str">
        <v>Average</v>
      </c>
      <c r="E412" t="str">
        <v>Former</v>
      </c>
      <c r="F412" t="str">
        <v>Never</v>
      </c>
      <c r="G412">
        <v>12</v>
      </c>
      <c r="H412">
        <v>9</v>
      </c>
      <c r="I412">
        <v>24.5</v>
      </c>
      <c r="J412">
        <v>137</v>
      </c>
      <c r="K412">
        <v>85</v>
      </c>
      <c r="L412">
        <v>8080</v>
      </c>
      <c r="M412" t="str" cm="1">
        <f t="array" ref="M412">_xlfn.IFS(C412&lt;6,"Poor",C412&lt;=8,"Normal",TRUE,"High")</f>
        <v>Normal</v>
      </c>
    </row>
    <row r="413" spans="1:13" x14ac:dyDescent="0.2">
      <c r="A413">
        <v>412</v>
      </c>
      <c r="B413" cm="1">
        <f t="array" ref="B413:L413">_xlfn.XLOOKUP($A413,Instagram_Usage_Lifestyle_Mini_!$A:$A,Instagram_Usage_Lifestyle_Mini_!$L:$V,"Not Found")</f>
        <v>3.4</v>
      </c>
      <c r="C413">
        <v>7.6</v>
      </c>
      <c r="D413" t="str">
        <v>Very_poor</v>
      </c>
      <c r="E413" t="str">
        <v>No</v>
      </c>
      <c r="F413" t="str">
        <v>Weekly</v>
      </c>
      <c r="G413">
        <v>12</v>
      </c>
      <c r="H413">
        <v>8</v>
      </c>
      <c r="I413">
        <v>19.5</v>
      </c>
      <c r="J413">
        <v>136</v>
      </c>
      <c r="K413">
        <v>62</v>
      </c>
      <c r="L413">
        <v>7969</v>
      </c>
      <c r="M413" t="str" cm="1">
        <f t="array" ref="M413">_xlfn.IFS(C413&lt;6,"Poor",C413&lt;=8,"Normal",TRUE,"High")</f>
        <v>Normal</v>
      </c>
    </row>
    <row r="414" spans="1:13" x14ac:dyDescent="0.2">
      <c r="A414">
        <v>413</v>
      </c>
      <c r="B414" cm="1">
        <f t="array" ref="B414:L414">_xlfn.XLOOKUP($A414,Instagram_Usage_Lifestyle_Mini_!$A:$A,Instagram_Usage_Lifestyle_Mini_!$L:$V,"Not Found")</f>
        <v>16.3</v>
      </c>
      <c r="C414">
        <v>7.2</v>
      </c>
      <c r="D414" t="str">
        <v>Very_poor</v>
      </c>
      <c r="E414" t="str">
        <v>Yes</v>
      </c>
      <c r="F414" t="str">
        <v>Daily</v>
      </c>
      <c r="G414">
        <v>32</v>
      </c>
      <c r="H414">
        <v>7</v>
      </c>
      <c r="I414">
        <v>26.4</v>
      </c>
      <c r="J414">
        <v>154</v>
      </c>
      <c r="K414">
        <v>82</v>
      </c>
      <c r="L414">
        <v>7842</v>
      </c>
      <c r="M414" t="str" cm="1">
        <f t="array" ref="M414">_xlfn.IFS(C414&lt;6,"Poor",C414&lt;=8,"Normal",TRUE,"High")</f>
        <v>Normal</v>
      </c>
    </row>
    <row r="415" spans="1:13" x14ac:dyDescent="0.2">
      <c r="A415">
        <v>414</v>
      </c>
      <c r="B415" cm="1">
        <f t="array" ref="B415:L415">_xlfn.XLOOKUP($A415,Instagram_Usage_Lifestyle_Mini_!$A:$A,Instagram_Usage_Lifestyle_Mini_!$L:$V,"Not Found")</f>
        <v>5.5</v>
      </c>
      <c r="C415">
        <v>7.4</v>
      </c>
      <c r="D415" t="str">
        <v>Very_poor</v>
      </c>
      <c r="E415" t="str">
        <v>No</v>
      </c>
      <c r="F415" t="str">
        <v>Never</v>
      </c>
      <c r="G415">
        <v>9</v>
      </c>
      <c r="H415">
        <v>5</v>
      </c>
      <c r="I415">
        <v>25.9</v>
      </c>
      <c r="J415">
        <v>105</v>
      </c>
      <c r="K415">
        <v>86</v>
      </c>
      <c r="L415">
        <v>8141</v>
      </c>
      <c r="M415" t="str" cm="1">
        <f t="array" ref="M415">_xlfn.IFS(C415&lt;6,"Poor",C415&lt;=8,"Normal",TRUE,"High")</f>
        <v>Normal</v>
      </c>
    </row>
    <row r="416" spans="1:13" x14ac:dyDescent="0.2">
      <c r="A416">
        <v>415</v>
      </c>
      <c r="B416" cm="1">
        <f t="array" ref="B416:L416">_xlfn.XLOOKUP($A416,Instagram_Usage_Lifestyle_Mini_!$A:$A,Instagram_Usage_Lifestyle_Mini_!$L:$V,"Not Found")</f>
        <v>12.7</v>
      </c>
      <c r="C416">
        <v>7.5</v>
      </c>
      <c r="D416" t="str">
        <v>Average</v>
      </c>
      <c r="E416" t="str">
        <v>No</v>
      </c>
      <c r="F416" t="str">
        <v>Rarely</v>
      </c>
      <c r="G416">
        <v>40</v>
      </c>
      <c r="H416">
        <v>9</v>
      </c>
      <c r="I416">
        <v>21.5</v>
      </c>
      <c r="J416">
        <v>144</v>
      </c>
      <c r="K416">
        <v>82</v>
      </c>
      <c r="L416">
        <v>8021</v>
      </c>
      <c r="M416" t="str" cm="1">
        <f t="array" ref="M416">_xlfn.IFS(C416&lt;6,"Poor",C416&lt;=8,"Normal",TRUE,"High")</f>
        <v>Normal</v>
      </c>
    </row>
    <row r="417" spans="1:13" x14ac:dyDescent="0.2">
      <c r="A417">
        <v>416</v>
      </c>
      <c r="B417" cm="1">
        <f t="array" ref="B417:L417">_xlfn.XLOOKUP($A417,Instagram_Usage_Lifestyle_Mini_!$A:$A,Instagram_Usage_Lifestyle_Mini_!$L:$V,"Not Found")</f>
        <v>13.2</v>
      </c>
      <c r="C417">
        <v>6.5</v>
      </c>
      <c r="D417" t="str">
        <v>Average</v>
      </c>
      <c r="E417" t="str">
        <v>No</v>
      </c>
      <c r="F417" t="str">
        <v>Rarely</v>
      </c>
      <c r="G417">
        <v>19</v>
      </c>
      <c r="H417">
        <v>6</v>
      </c>
      <c r="I417">
        <v>24.1</v>
      </c>
      <c r="J417">
        <v>157</v>
      </c>
      <c r="K417">
        <v>81</v>
      </c>
      <c r="L417">
        <v>8064</v>
      </c>
      <c r="M417" t="str" cm="1">
        <f t="array" ref="M417">_xlfn.IFS(C417&lt;6,"Poor",C417&lt;=8,"Normal",TRUE,"High")</f>
        <v>Normal</v>
      </c>
    </row>
    <row r="418" spans="1:13" x14ac:dyDescent="0.2">
      <c r="A418">
        <v>417</v>
      </c>
      <c r="B418" cm="1">
        <f t="array" ref="B418:L418">_xlfn.XLOOKUP($A418,Instagram_Usage_Lifestyle_Mini_!$A:$A,Instagram_Usage_Lifestyle_Mini_!$L:$V,"Not Found")</f>
        <v>4</v>
      </c>
      <c r="C418">
        <v>6.7</v>
      </c>
      <c r="D418" t="str">
        <v>Average</v>
      </c>
      <c r="E418" t="str">
        <v>No</v>
      </c>
      <c r="F418" t="str">
        <v>Rarely</v>
      </c>
      <c r="G418">
        <v>34</v>
      </c>
      <c r="H418">
        <v>9</v>
      </c>
      <c r="I418">
        <v>31.5</v>
      </c>
      <c r="J418">
        <v>139</v>
      </c>
      <c r="K418">
        <v>82</v>
      </c>
      <c r="L418">
        <v>7910</v>
      </c>
      <c r="M418" t="str" cm="1">
        <f t="array" ref="M418">_xlfn.IFS(C418&lt;6,"Poor",C418&lt;=8,"Normal",TRUE,"High")</f>
        <v>Normal</v>
      </c>
    </row>
    <row r="419" spans="1:13" x14ac:dyDescent="0.2">
      <c r="A419">
        <v>418</v>
      </c>
      <c r="B419" cm="1">
        <f t="array" ref="B419:L419">_xlfn.XLOOKUP($A419,Instagram_Usage_Lifestyle_Mini_!$A:$A,Instagram_Usage_Lifestyle_Mini_!$L:$V,"Not Found")</f>
        <v>6.5</v>
      </c>
      <c r="C419">
        <v>7.7</v>
      </c>
      <c r="D419" t="str">
        <v>Average</v>
      </c>
      <c r="E419" t="str">
        <v>No</v>
      </c>
      <c r="F419" t="str">
        <v>Never</v>
      </c>
      <c r="G419">
        <v>19</v>
      </c>
      <c r="H419">
        <v>3</v>
      </c>
      <c r="I419">
        <v>22.6</v>
      </c>
      <c r="J419">
        <v>122</v>
      </c>
      <c r="K419">
        <v>65</v>
      </c>
      <c r="L419">
        <v>7926</v>
      </c>
      <c r="M419" t="str" cm="1">
        <f t="array" ref="M419">_xlfn.IFS(C419&lt;6,"Poor",C419&lt;=8,"Normal",TRUE,"High")</f>
        <v>Normal</v>
      </c>
    </row>
    <row r="420" spans="1:13" x14ac:dyDescent="0.2">
      <c r="A420">
        <v>419</v>
      </c>
      <c r="B420" cm="1">
        <f t="array" ref="B420:L420">_xlfn.XLOOKUP($A420,Instagram_Usage_Lifestyle_Mini_!$A:$A,Instagram_Usage_Lifestyle_Mini_!$L:$V,"Not Found")</f>
        <v>6.5</v>
      </c>
      <c r="C420">
        <v>9.1</v>
      </c>
      <c r="D420" t="str">
        <v>Excellent</v>
      </c>
      <c r="E420" t="str">
        <v>Former</v>
      </c>
      <c r="F420" t="str">
        <v>Weekly</v>
      </c>
      <c r="G420">
        <v>31</v>
      </c>
      <c r="H420">
        <v>9</v>
      </c>
      <c r="I420">
        <v>25</v>
      </c>
      <c r="J420">
        <v>122</v>
      </c>
      <c r="K420">
        <v>89</v>
      </c>
      <c r="L420">
        <v>7991</v>
      </c>
      <c r="M420" t="str" cm="1">
        <f t="array" ref="M420">_xlfn.IFS(C420&lt;6,"Poor",C420&lt;=8,"Normal",TRUE,"High")</f>
        <v>High</v>
      </c>
    </row>
    <row r="421" spans="1:13" x14ac:dyDescent="0.2">
      <c r="A421">
        <v>420</v>
      </c>
      <c r="B421" cm="1">
        <f t="array" ref="B421:L421">_xlfn.XLOOKUP($A421,Instagram_Usage_Lifestyle_Mini_!$A:$A,Instagram_Usage_Lifestyle_Mini_!$L:$V,"Not Found")</f>
        <v>3.4</v>
      </c>
      <c r="C421">
        <v>8.6999999999999993</v>
      </c>
      <c r="D421" t="str">
        <v>Poor</v>
      </c>
      <c r="E421" t="str">
        <v>No</v>
      </c>
      <c r="F421" t="str">
        <v>Weekly</v>
      </c>
      <c r="G421">
        <v>8</v>
      </c>
      <c r="H421">
        <v>9</v>
      </c>
      <c r="I421">
        <v>26.5</v>
      </c>
      <c r="J421">
        <v>121</v>
      </c>
      <c r="K421">
        <v>83</v>
      </c>
      <c r="L421">
        <v>7996</v>
      </c>
      <c r="M421" t="str" cm="1">
        <f t="array" ref="M421">_xlfn.IFS(C421&lt;6,"Poor",C421&lt;=8,"Normal",TRUE,"High")</f>
        <v>High</v>
      </c>
    </row>
    <row r="422" spans="1:13" x14ac:dyDescent="0.2">
      <c r="A422">
        <v>421</v>
      </c>
      <c r="B422" cm="1">
        <f t="array" ref="B422:L422">_xlfn.XLOOKUP($A422,Instagram_Usage_Lifestyle_Mini_!$A:$A,Instagram_Usage_Lifestyle_Mini_!$L:$V,"Not Found")</f>
        <v>2.4</v>
      </c>
      <c r="C422">
        <v>7.4</v>
      </c>
      <c r="D422" t="str">
        <v>Excellent</v>
      </c>
      <c r="E422" t="str">
        <v>Yes</v>
      </c>
      <c r="F422" t="str">
        <v>Rarely</v>
      </c>
      <c r="G422">
        <v>25</v>
      </c>
      <c r="H422">
        <v>8</v>
      </c>
      <c r="I422">
        <v>20.3</v>
      </c>
      <c r="J422">
        <v>149</v>
      </c>
      <c r="K422">
        <v>82</v>
      </c>
      <c r="L422">
        <v>7939</v>
      </c>
      <c r="M422" t="str" cm="1">
        <f t="array" ref="M422">_xlfn.IFS(C422&lt;6,"Poor",C422&lt;=8,"Normal",TRUE,"High")</f>
        <v>Normal</v>
      </c>
    </row>
    <row r="423" spans="1:13" x14ac:dyDescent="0.2">
      <c r="A423">
        <v>422</v>
      </c>
      <c r="B423" cm="1">
        <f t="array" ref="B423:L423">_xlfn.XLOOKUP($A423,Instagram_Usage_Lifestyle_Mini_!$A:$A,Instagram_Usage_Lifestyle_Mini_!$L:$V,"Not Found")</f>
        <v>6.1</v>
      </c>
      <c r="C423">
        <v>7.6</v>
      </c>
      <c r="D423" t="str">
        <v>Poor</v>
      </c>
      <c r="E423" t="str">
        <v>No</v>
      </c>
      <c r="F423" t="str">
        <v>Several_times_a_week</v>
      </c>
      <c r="G423">
        <v>34</v>
      </c>
      <c r="H423">
        <v>6</v>
      </c>
      <c r="I423">
        <v>25.5</v>
      </c>
      <c r="J423">
        <v>98</v>
      </c>
      <c r="K423">
        <v>98</v>
      </c>
      <c r="L423">
        <v>8120</v>
      </c>
      <c r="M423" t="str" cm="1">
        <f t="array" ref="M423">_xlfn.IFS(C423&lt;6,"Poor",C423&lt;=8,"Normal",TRUE,"High")</f>
        <v>Normal</v>
      </c>
    </row>
    <row r="424" spans="1:13" x14ac:dyDescent="0.2">
      <c r="A424">
        <v>423</v>
      </c>
      <c r="B424" cm="1">
        <f t="array" ref="B424:L424">_xlfn.XLOOKUP($A424,Instagram_Usage_Lifestyle_Mini_!$A:$A,Instagram_Usage_Lifestyle_Mini_!$L:$V,"Not Found")</f>
        <v>5.5</v>
      </c>
      <c r="C424">
        <v>5.2</v>
      </c>
      <c r="D424" t="str">
        <v>Poor</v>
      </c>
      <c r="E424" t="str">
        <v>No</v>
      </c>
      <c r="F424" t="str">
        <v>Never</v>
      </c>
      <c r="G424">
        <v>4</v>
      </c>
      <c r="H424">
        <v>1</v>
      </c>
      <c r="I424">
        <v>33.5</v>
      </c>
      <c r="J424">
        <v>135</v>
      </c>
      <c r="K424">
        <v>94</v>
      </c>
      <c r="L424">
        <v>7958</v>
      </c>
      <c r="M424" t="str" cm="1">
        <f t="array" ref="M424">_xlfn.IFS(C424&lt;6,"Poor",C424&lt;=8,"Normal",TRUE,"High")</f>
        <v>Poor</v>
      </c>
    </row>
    <row r="425" spans="1:13" x14ac:dyDescent="0.2">
      <c r="A425">
        <v>424</v>
      </c>
      <c r="B425" cm="1">
        <f t="array" ref="B425:L425">_xlfn.XLOOKUP($A425,Instagram_Usage_Lifestyle_Mini_!$A:$A,Instagram_Usage_Lifestyle_Mini_!$L:$V,"Not Found")</f>
        <v>7.3</v>
      </c>
      <c r="C425">
        <v>8.1</v>
      </c>
      <c r="D425" t="str">
        <v>Average</v>
      </c>
      <c r="E425" t="str">
        <v>No</v>
      </c>
      <c r="F425" t="str">
        <v>Weekly</v>
      </c>
      <c r="G425">
        <v>35</v>
      </c>
      <c r="H425">
        <v>1</v>
      </c>
      <c r="I425">
        <v>23.3</v>
      </c>
      <c r="J425">
        <v>121</v>
      </c>
      <c r="K425">
        <v>98</v>
      </c>
      <c r="L425">
        <v>8086</v>
      </c>
      <c r="M425" t="str" cm="1">
        <f t="array" ref="M425">_xlfn.IFS(C425&lt;6,"Poor",C425&lt;=8,"Normal",TRUE,"High")</f>
        <v>High</v>
      </c>
    </row>
    <row r="426" spans="1:13" x14ac:dyDescent="0.2">
      <c r="A426">
        <v>425</v>
      </c>
      <c r="B426" cm="1">
        <f t="array" ref="B426:L426">_xlfn.XLOOKUP($A426,Instagram_Usage_Lifestyle_Mini_!$A:$A,Instagram_Usage_Lifestyle_Mini_!$L:$V,"Not Found")</f>
        <v>7.5</v>
      </c>
      <c r="C426">
        <v>7.1</v>
      </c>
      <c r="D426" t="str">
        <v>Average</v>
      </c>
      <c r="E426" t="str">
        <v>Former</v>
      </c>
      <c r="F426" t="str">
        <v>Never</v>
      </c>
      <c r="G426">
        <v>24</v>
      </c>
      <c r="H426">
        <v>7</v>
      </c>
      <c r="I426">
        <v>15.8</v>
      </c>
      <c r="J426">
        <v>96</v>
      </c>
      <c r="K426">
        <v>80</v>
      </c>
      <c r="L426">
        <v>7876</v>
      </c>
      <c r="M426" t="str" cm="1">
        <f t="array" ref="M426">_xlfn.IFS(C426&lt;6,"Poor",C426&lt;=8,"Normal",TRUE,"High")</f>
        <v>Normal</v>
      </c>
    </row>
    <row r="427" spans="1:13" x14ac:dyDescent="0.2">
      <c r="A427">
        <v>426</v>
      </c>
      <c r="B427" cm="1">
        <f t="array" ref="B427:L427">_xlfn.XLOOKUP($A427,Instagram_Usage_Lifestyle_Mini_!$A:$A,Instagram_Usage_Lifestyle_Mini_!$L:$V,"Not Found")</f>
        <v>1.1000000000000001</v>
      </c>
      <c r="C427">
        <v>5.4</v>
      </c>
      <c r="D427" t="str">
        <v>Average</v>
      </c>
      <c r="E427" t="str">
        <v>No</v>
      </c>
      <c r="F427" t="str">
        <v>Weekly</v>
      </c>
      <c r="G427">
        <v>1</v>
      </c>
      <c r="H427">
        <v>3</v>
      </c>
      <c r="I427">
        <v>28.1</v>
      </c>
      <c r="J427">
        <v>114</v>
      </c>
      <c r="K427">
        <v>81</v>
      </c>
      <c r="L427">
        <v>7930</v>
      </c>
      <c r="M427" t="str" cm="1">
        <f t="array" ref="M427">_xlfn.IFS(C427&lt;6,"Poor",C427&lt;=8,"Normal",TRUE,"High")</f>
        <v>Poor</v>
      </c>
    </row>
    <row r="428" spans="1:13" x14ac:dyDescent="0.2">
      <c r="A428">
        <v>427</v>
      </c>
      <c r="B428" cm="1">
        <f t="array" ref="B428:L428">_xlfn.XLOOKUP($A428,Instagram_Usage_Lifestyle_Mini_!$A:$A,Instagram_Usage_Lifestyle_Mini_!$L:$V,"Not Found")</f>
        <v>14.7</v>
      </c>
      <c r="C428">
        <v>7.4</v>
      </c>
      <c r="D428" t="str">
        <v>Good</v>
      </c>
      <c r="E428" t="str">
        <v>No</v>
      </c>
      <c r="F428" t="str">
        <v>Weekly</v>
      </c>
      <c r="G428">
        <v>8</v>
      </c>
      <c r="H428">
        <v>4</v>
      </c>
      <c r="I428">
        <v>29</v>
      </c>
      <c r="J428">
        <v>110</v>
      </c>
      <c r="K428">
        <v>69</v>
      </c>
      <c r="L428">
        <v>8097</v>
      </c>
      <c r="M428" t="str" cm="1">
        <f t="array" ref="M428">_xlfn.IFS(C428&lt;6,"Poor",C428&lt;=8,"Normal",TRUE,"High")</f>
        <v>Normal</v>
      </c>
    </row>
    <row r="429" spans="1:13" x14ac:dyDescent="0.2">
      <c r="A429">
        <v>428</v>
      </c>
      <c r="B429" cm="1">
        <f t="array" ref="B429:L429">_xlfn.XLOOKUP($A429,Instagram_Usage_Lifestyle_Mini_!$A:$A,Instagram_Usage_Lifestyle_Mini_!$L:$V,"Not Found")</f>
        <v>4.5</v>
      </c>
      <c r="C429">
        <v>6.8</v>
      </c>
      <c r="D429" t="str">
        <v>Poor</v>
      </c>
      <c r="E429" t="str">
        <v>No</v>
      </c>
      <c r="F429" t="str">
        <v>Rarely</v>
      </c>
      <c r="G429">
        <v>14</v>
      </c>
      <c r="H429">
        <v>3</v>
      </c>
      <c r="I429">
        <v>26.1</v>
      </c>
      <c r="J429">
        <v>124</v>
      </c>
      <c r="K429">
        <v>71</v>
      </c>
      <c r="L429">
        <v>8261</v>
      </c>
      <c r="M429" t="str" cm="1">
        <f t="array" ref="M429">_xlfn.IFS(C429&lt;6,"Poor",C429&lt;=8,"Normal",TRUE,"High")</f>
        <v>Normal</v>
      </c>
    </row>
    <row r="430" spans="1:13" x14ac:dyDescent="0.2">
      <c r="A430">
        <v>429</v>
      </c>
      <c r="B430" cm="1">
        <f t="array" ref="B430:L430">_xlfn.XLOOKUP($A430,Instagram_Usage_Lifestyle_Mini_!$A:$A,Instagram_Usage_Lifestyle_Mini_!$L:$V,"Not Found")</f>
        <v>4.7</v>
      </c>
      <c r="C430">
        <v>6.3</v>
      </c>
      <c r="D430" t="str">
        <v>Average</v>
      </c>
      <c r="E430" t="str">
        <v>No</v>
      </c>
      <c r="F430" t="str">
        <v>Never</v>
      </c>
      <c r="G430">
        <v>36</v>
      </c>
      <c r="H430">
        <v>10</v>
      </c>
      <c r="I430">
        <v>25.6</v>
      </c>
      <c r="J430">
        <v>116</v>
      </c>
      <c r="K430">
        <v>64</v>
      </c>
      <c r="L430">
        <v>8199</v>
      </c>
      <c r="M430" t="str" cm="1">
        <f t="array" ref="M430">_xlfn.IFS(C430&lt;6,"Poor",C430&lt;=8,"Normal",TRUE,"High")</f>
        <v>Normal</v>
      </c>
    </row>
    <row r="431" spans="1:13" x14ac:dyDescent="0.2">
      <c r="A431">
        <v>430</v>
      </c>
      <c r="B431" cm="1">
        <f t="array" ref="B431:L431">_xlfn.XLOOKUP($A431,Instagram_Usage_Lifestyle_Mini_!$A:$A,Instagram_Usage_Lifestyle_Mini_!$L:$V,"Not Found")</f>
        <v>10.9</v>
      </c>
      <c r="C431">
        <v>6.4</v>
      </c>
      <c r="D431" t="str">
        <v>Average</v>
      </c>
      <c r="E431" t="str">
        <v>Former</v>
      </c>
      <c r="F431" t="str">
        <v>Never</v>
      </c>
      <c r="G431">
        <v>34</v>
      </c>
      <c r="H431">
        <v>6</v>
      </c>
      <c r="I431">
        <v>28.4</v>
      </c>
      <c r="J431">
        <v>140</v>
      </c>
      <c r="K431">
        <v>65</v>
      </c>
      <c r="L431">
        <v>7999</v>
      </c>
      <c r="M431" t="str" cm="1">
        <f t="array" ref="M431">_xlfn.IFS(C431&lt;6,"Poor",C431&lt;=8,"Normal",TRUE,"High")</f>
        <v>Normal</v>
      </c>
    </row>
    <row r="432" spans="1:13" x14ac:dyDescent="0.2">
      <c r="A432">
        <v>431</v>
      </c>
      <c r="B432" cm="1">
        <f t="array" ref="B432:L432">_xlfn.XLOOKUP($A432,Instagram_Usage_Lifestyle_Mini_!$A:$A,Instagram_Usage_Lifestyle_Mini_!$L:$V,"Not Found")</f>
        <v>1.8</v>
      </c>
      <c r="C432">
        <v>6.7</v>
      </c>
      <c r="D432" t="str">
        <v>Poor</v>
      </c>
      <c r="E432" t="str">
        <v>No</v>
      </c>
      <c r="F432" t="str">
        <v>Rarely</v>
      </c>
      <c r="G432">
        <v>8</v>
      </c>
      <c r="H432">
        <v>2</v>
      </c>
      <c r="I432">
        <v>22.2</v>
      </c>
      <c r="J432">
        <v>150</v>
      </c>
      <c r="K432">
        <v>76</v>
      </c>
      <c r="L432">
        <v>8036</v>
      </c>
      <c r="M432" t="str" cm="1">
        <f t="array" ref="M432">_xlfn.IFS(C432&lt;6,"Poor",C432&lt;=8,"Normal",TRUE,"High")</f>
        <v>Normal</v>
      </c>
    </row>
    <row r="433" spans="1:13" x14ac:dyDescent="0.2">
      <c r="A433">
        <v>432</v>
      </c>
      <c r="B433" cm="1">
        <f t="array" ref="B433:L433">_xlfn.XLOOKUP($A433,Instagram_Usage_Lifestyle_Mini_!$A:$A,Instagram_Usage_Lifestyle_Mini_!$L:$V,"Not Found")</f>
        <v>3.7</v>
      </c>
      <c r="C433">
        <v>5.6</v>
      </c>
      <c r="D433" t="str">
        <v>Poor</v>
      </c>
      <c r="E433" t="str">
        <v>No</v>
      </c>
      <c r="F433" t="str">
        <v>Rarely</v>
      </c>
      <c r="G433">
        <v>0</v>
      </c>
      <c r="H433">
        <v>6</v>
      </c>
      <c r="I433">
        <v>21.2</v>
      </c>
      <c r="J433">
        <v>138</v>
      </c>
      <c r="K433">
        <v>91</v>
      </c>
      <c r="L433">
        <v>8104</v>
      </c>
      <c r="M433" t="str" cm="1">
        <f t="array" ref="M433">_xlfn.IFS(C433&lt;6,"Poor",C433&lt;=8,"Normal",TRUE,"High")</f>
        <v>Poor</v>
      </c>
    </row>
    <row r="434" spans="1:13" x14ac:dyDescent="0.2">
      <c r="A434">
        <v>433</v>
      </c>
      <c r="B434" cm="1">
        <f t="array" ref="B434:L434">_xlfn.XLOOKUP($A434,Instagram_Usage_Lifestyle_Mini_!$A:$A,Instagram_Usage_Lifestyle_Mini_!$L:$V,"Not Found")</f>
        <v>1.4</v>
      </c>
      <c r="C434">
        <v>7.6</v>
      </c>
      <c r="D434" t="str">
        <v>Very_poor</v>
      </c>
      <c r="E434" t="str">
        <v>No</v>
      </c>
      <c r="F434" t="str">
        <v>Weekly</v>
      </c>
      <c r="G434">
        <v>38</v>
      </c>
      <c r="H434">
        <v>9</v>
      </c>
      <c r="I434">
        <v>29.9</v>
      </c>
      <c r="J434">
        <v>102</v>
      </c>
      <c r="K434">
        <v>63</v>
      </c>
      <c r="L434">
        <v>7961</v>
      </c>
      <c r="M434" t="str" cm="1">
        <f t="array" ref="M434">_xlfn.IFS(C434&lt;6,"Poor",C434&lt;=8,"Normal",TRUE,"High")</f>
        <v>Normal</v>
      </c>
    </row>
    <row r="435" spans="1:13" x14ac:dyDescent="0.2">
      <c r="A435">
        <v>434</v>
      </c>
      <c r="B435" cm="1">
        <f t="array" ref="B435:L435">_xlfn.XLOOKUP($A435,Instagram_Usage_Lifestyle_Mini_!$A:$A,Instagram_Usage_Lifestyle_Mini_!$L:$V,"Not Found")</f>
        <v>11.9</v>
      </c>
      <c r="C435">
        <v>6.9</v>
      </c>
      <c r="D435" t="str">
        <v>Poor</v>
      </c>
      <c r="E435" t="str">
        <v>No</v>
      </c>
      <c r="F435" t="str">
        <v>Weekly</v>
      </c>
      <c r="G435">
        <v>10</v>
      </c>
      <c r="H435">
        <v>8</v>
      </c>
      <c r="I435">
        <v>27.3</v>
      </c>
      <c r="J435">
        <v>115</v>
      </c>
      <c r="K435">
        <v>81</v>
      </c>
      <c r="L435">
        <v>7984</v>
      </c>
      <c r="M435" t="str" cm="1">
        <f t="array" ref="M435">_xlfn.IFS(C435&lt;6,"Poor",C435&lt;=8,"Normal",TRUE,"High")</f>
        <v>Normal</v>
      </c>
    </row>
    <row r="436" spans="1:13" x14ac:dyDescent="0.2">
      <c r="A436">
        <v>435</v>
      </c>
      <c r="B436" cm="1">
        <f t="array" ref="B436:L436">_xlfn.XLOOKUP($A436,Instagram_Usage_Lifestyle_Mini_!$A:$A,Instagram_Usage_Lifestyle_Mini_!$L:$V,"Not Found")</f>
        <v>4</v>
      </c>
      <c r="C436">
        <v>6.2</v>
      </c>
      <c r="D436" t="str">
        <v>Average</v>
      </c>
      <c r="E436" t="str">
        <v>No</v>
      </c>
      <c r="F436" t="str">
        <v>Never</v>
      </c>
      <c r="G436">
        <v>33</v>
      </c>
      <c r="H436">
        <v>10</v>
      </c>
      <c r="I436">
        <v>20.9</v>
      </c>
      <c r="J436">
        <v>148</v>
      </c>
      <c r="K436">
        <v>77</v>
      </c>
      <c r="L436">
        <v>8060</v>
      </c>
      <c r="M436" t="str" cm="1">
        <f t="array" ref="M436">_xlfn.IFS(C436&lt;6,"Poor",C436&lt;=8,"Normal",TRUE,"High")</f>
        <v>Normal</v>
      </c>
    </row>
    <row r="437" spans="1:13" x14ac:dyDescent="0.2">
      <c r="A437">
        <v>436</v>
      </c>
      <c r="B437" cm="1">
        <f t="array" ref="B437:L437">_xlfn.XLOOKUP($A437,Instagram_Usage_Lifestyle_Mini_!$A:$A,Instagram_Usage_Lifestyle_Mini_!$L:$V,"Not Found")</f>
        <v>4.8</v>
      </c>
      <c r="C437">
        <v>8.1999999999999993</v>
      </c>
      <c r="D437" t="str">
        <v>Good</v>
      </c>
      <c r="E437" t="str">
        <v>Former</v>
      </c>
      <c r="F437" t="str">
        <v>Weekly</v>
      </c>
      <c r="G437">
        <v>28</v>
      </c>
      <c r="H437">
        <v>2</v>
      </c>
      <c r="I437">
        <v>28.3</v>
      </c>
      <c r="J437">
        <v>122</v>
      </c>
      <c r="K437">
        <v>65</v>
      </c>
      <c r="L437">
        <v>8100</v>
      </c>
      <c r="M437" t="str" cm="1">
        <f t="array" ref="M437">_xlfn.IFS(C437&lt;6,"Poor",C437&lt;=8,"Normal",TRUE,"High")</f>
        <v>High</v>
      </c>
    </row>
    <row r="438" spans="1:13" x14ac:dyDescent="0.2">
      <c r="A438">
        <v>437</v>
      </c>
      <c r="B438" cm="1">
        <f t="array" ref="B438:L438">_xlfn.XLOOKUP($A438,Instagram_Usage_Lifestyle_Mini_!$A:$A,Instagram_Usage_Lifestyle_Mini_!$L:$V,"Not Found")</f>
        <v>9</v>
      </c>
      <c r="C438">
        <v>6.6</v>
      </c>
      <c r="D438" t="str">
        <v>Good</v>
      </c>
      <c r="E438" t="str">
        <v>No</v>
      </c>
      <c r="F438" t="str">
        <v>Never</v>
      </c>
      <c r="G438">
        <v>21</v>
      </c>
      <c r="H438">
        <v>4</v>
      </c>
      <c r="I438">
        <v>27.7</v>
      </c>
      <c r="J438">
        <v>140</v>
      </c>
      <c r="K438">
        <v>67</v>
      </c>
      <c r="L438">
        <v>8008</v>
      </c>
      <c r="M438" t="str" cm="1">
        <f t="array" ref="M438">_xlfn.IFS(C438&lt;6,"Poor",C438&lt;=8,"Normal",TRUE,"High")</f>
        <v>Normal</v>
      </c>
    </row>
    <row r="439" spans="1:13" x14ac:dyDescent="0.2">
      <c r="A439">
        <v>438</v>
      </c>
      <c r="B439" cm="1">
        <f t="array" ref="B439:L439">_xlfn.XLOOKUP($A439,Instagram_Usage_Lifestyle_Mini_!$A:$A,Instagram_Usage_Lifestyle_Mini_!$L:$V,"Not Found")</f>
        <v>10.5</v>
      </c>
      <c r="C439">
        <v>9</v>
      </c>
      <c r="D439" t="str">
        <v>Average</v>
      </c>
      <c r="E439" t="str">
        <v>No</v>
      </c>
      <c r="F439" t="str">
        <v>Weekly</v>
      </c>
      <c r="G439">
        <v>8</v>
      </c>
      <c r="H439">
        <v>9</v>
      </c>
      <c r="I439">
        <v>31.7</v>
      </c>
      <c r="J439">
        <v>117</v>
      </c>
      <c r="K439">
        <v>72</v>
      </c>
      <c r="L439">
        <v>8058</v>
      </c>
      <c r="M439" t="str" cm="1">
        <f t="array" ref="M439">_xlfn.IFS(C439&lt;6,"Poor",C439&lt;=8,"Normal",TRUE,"High")</f>
        <v>High</v>
      </c>
    </row>
    <row r="440" spans="1:13" x14ac:dyDescent="0.2">
      <c r="A440">
        <v>439</v>
      </c>
      <c r="B440" cm="1">
        <f t="array" ref="B440:L440">_xlfn.XLOOKUP($A440,Instagram_Usage_Lifestyle_Mini_!$A:$A,Instagram_Usage_Lifestyle_Mini_!$L:$V,"Not Found")</f>
        <v>9.1</v>
      </c>
      <c r="C440">
        <v>7.6</v>
      </c>
      <c r="D440" t="str">
        <v>Average</v>
      </c>
      <c r="E440" t="str">
        <v>No</v>
      </c>
      <c r="F440" t="str">
        <v>Rarely</v>
      </c>
      <c r="G440">
        <v>31</v>
      </c>
      <c r="H440">
        <v>8</v>
      </c>
      <c r="I440">
        <v>18.5</v>
      </c>
      <c r="J440">
        <v>111</v>
      </c>
      <c r="K440">
        <v>79</v>
      </c>
      <c r="L440">
        <v>8067</v>
      </c>
      <c r="M440" t="str" cm="1">
        <f t="array" ref="M440">_xlfn.IFS(C440&lt;6,"Poor",C440&lt;=8,"Normal",TRUE,"High")</f>
        <v>Normal</v>
      </c>
    </row>
    <row r="441" spans="1:13" x14ac:dyDescent="0.2">
      <c r="A441">
        <v>440</v>
      </c>
      <c r="B441" cm="1">
        <f t="array" ref="B441:L441">_xlfn.XLOOKUP($A441,Instagram_Usage_Lifestyle_Mini_!$A:$A,Instagram_Usage_Lifestyle_Mini_!$L:$V,"Not Found")</f>
        <v>1.5</v>
      </c>
      <c r="C441">
        <v>6.3</v>
      </c>
      <c r="D441" t="str">
        <v>Good</v>
      </c>
      <c r="E441" t="str">
        <v>Yes</v>
      </c>
      <c r="F441" t="str">
        <v>Rarely</v>
      </c>
      <c r="G441">
        <v>18</v>
      </c>
      <c r="H441">
        <v>8</v>
      </c>
      <c r="I441">
        <v>29.2</v>
      </c>
      <c r="J441">
        <v>159</v>
      </c>
      <c r="K441">
        <v>68</v>
      </c>
      <c r="L441">
        <v>8032</v>
      </c>
      <c r="M441" t="str" cm="1">
        <f t="array" ref="M441">_xlfn.IFS(C441&lt;6,"Poor",C441&lt;=8,"Normal",TRUE,"High")</f>
        <v>Normal</v>
      </c>
    </row>
    <row r="442" spans="1:13" x14ac:dyDescent="0.2">
      <c r="A442">
        <v>441</v>
      </c>
      <c r="B442" cm="1">
        <f t="array" ref="B442:L442">_xlfn.XLOOKUP($A442,Instagram_Usage_Lifestyle_Mini_!$A:$A,Instagram_Usage_Lifestyle_Mini_!$L:$V,"Not Found")</f>
        <v>0.6</v>
      </c>
      <c r="C442">
        <v>7.7</v>
      </c>
      <c r="D442" t="str">
        <v>Average</v>
      </c>
      <c r="E442" t="str">
        <v>No</v>
      </c>
      <c r="F442" t="str">
        <v>Never</v>
      </c>
      <c r="G442">
        <v>38</v>
      </c>
      <c r="H442">
        <v>5</v>
      </c>
      <c r="I442">
        <v>32.5</v>
      </c>
      <c r="J442">
        <v>104</v>
      </c>
      <c r="K442">
        <v>71</v>
      </c>
      <c r="L442">
        <v>8111</v>
      </c>
      <c r="M442" t="str" cm="1">
        <f t="array" ref="M442">_xlfn.IFS(C442&lt;6,"Poor",C442&lt;=8,"Normal",TRUE,"High")</f>
        <v>Normal</v>
      </c>
    </row>
    <row r="443" spans="1:13" x14ac:dyDescent="0.2">
      <c r="A443">
        <v>442</v>
      </c>
      <c r="B443" cm="1">
        <f t="array" ref="B443:L443">_xlfn.XLOOKUP($A443,Instagram_Usage_Lifestyle_Mini_!$A:$A,Instagram_Usage_Lifestyle_Mini_!$L:$V,"Not Found")</f>
        <v>4.5999999999999996</v>
      </c>
      <c r="C443">
        <v>6.3</v>
      </c>
      <c r="D443" t="str">
        <v>Average</v>
      </c>
      <c r="E443" t="str">
        <v>Yes</v>
      </c>
      <c r="F443" t="str">
        <v>Never</v>
      </c>
      <c r="G443">
        <v>27</v>
      </c>
      <c r="H443">
        <v>6</v>
      </c>
      <c r="I443">
        <v>32.5</v>
      </c>
      <c r="J443">
        <v>116</v>
      </c>
      <c r="K443">
        <v>69</v>
      </c>
      <c r="L443">
        <v>8095</v>
      </c>
      <c r="M443" t="str" cm="1">
        <f t="array" ref="M443">_xlfn.IFS(C443&lt;6,"Poor",C443&lt;=8,"Normal",TRUE,"High")</f>
        <v>Normal</v>
      </c>
    </row>
    <row r="444" spans="1:13" x14ac:dyDescent="0.2">
      <c r="A444">
        <v>443</v>
      </c>
      <c r="B444" cm="1">
        <f t="array" ref="B444:L444">_xlfn.XLOOKUP($A444,Instagram_Usage_Lifestyle_Mini_!$A:$A,Instagram_Usage_Lifestyle_Mini_!$L:$V,"Not Found")</f>
        <v>10.9</v>
      </c>
      <c r="C444">
        <v>7.5</v>
      </c>
      <c r="D444" t="str">
        <v>Excellent</v>
      </c>
      <c r="E444" t="str">
        <v>Former</v>
      </c>
      <c r="F444" t="str">
        <v>Never</v>
      </c>
      <c r="G444">
        <v>18</v>
      </c>
      <c r="H444">
        <v>7</v>
      </c>
      <c r="I444">
        <v>36.299999999999997</v>
      </c>
      <c r="J444">
        <v>136</v>
      </c>
      <c r="K444">
        <v>72</v>
      </c>
      <c r="L444">
        <v>8138</v>
      </c>
      <c r="M444" t="str" cm="1">
        <f t="array" ref="M444">_xlfn.IFS(C444&lt;6,"Poor",C444&lt;=8,"Normal",TRUE,"High")</f>
        <v>Normal</v>
      </c>
    </row>
    <row r="445" spans="1:13" x14ac:dyDescent="0.2">
      <c r="A445">
        <v>444</v>
      </c>
      <c r="B445" cm="1">
        <f t="array" ref="B445:L445">_xlfn.XLOOKUP($A445,Instagram_Usage_Lifestyle_Mini_!$A:$A,Instagram_Usage_Lifestyle_Mini_!$L:$V,"Not Found")</f>
        <v>8.3000000000000007</v>
      </c>
      <c r="C445">
        <v>7.4</v>
      </c>
      <c r="D445" t="str">
        <v>Good</v>
      </c>
      <c r="E445" t="str">
        <v>No</v>
      </c>
      <c r="F445" t="str">
        <v>Rarely</v>
      </c>
      <c r="G445">
        <v>31</v>
      </c>
      <c r="H445">
        <v>5</v>
      </c>
      <c r="I445">
        <v>29</v>
      </c>
      <c r="J445">
        <v>116</v>
      </c>
      <c r="K445">
        <v>95</v>
      </c>
      <c r="L445">
        <v>8002</v>
      </c>
      <c r="M445" t="str" cm="1">
        <f t="array" ref="M445">_xlfn.IFS(C445&lt;6,"Poor",C445&lt;=8,"Normal",TRUE,"High")</f>
        <v>Normal</v>
      </c>
    </row>
    <row r="446" spans="1:13" x14ac:dyDescent="0.2">
      <c r="A446">
        <v>445</v>
      </c>
      <c r="B446" cm="1">
        <f t="array" ref="B446:L446">_xlfn.XLOOKUP($A446,Instagram_Usage_Lifestyle_Mini_!$A:$A,Instagram_Usage_Lifestyle_Mini_!$L:$V,"Not Found")</f>
        <v>12.6</v>
      </c>
      <c r="C446">
        <v>6.8</v>
      </c>
      <c r="D446" t="str">
        <v>Good</v>
      </c>
      <c r="E446" t="str">
        <v>No</v>
      </c>
      <c r="F446" t="str">
        <v>Never</v>
      </c>
      <c r="G446">
        <v>15</v>
      </c>
      <c r="H446">
        <v>9</v>
      </c>
      <c r="I446">
        <v>25.5</v>
      </c>
      <c r="J446">
        <v>157</v>
      </c>
      <c r="K446">
        <v>97</v>
      </c>
      <c r="L446">
        <v>8247</v>
      </c>
      <c r="M446" t="str" cm="1">
        <f t="array" ref="M446">_xlfn.IFS(C446&lt;6,"Poor",C446&lt;=8,"Normal",TRUE,"High")</f>
        <v>Normal</v>
      </c>
    </row>
    <row r="447" spans="1:13" x14ac:dyDescent="0.2">
      <c r="A447">
        <v>446</v>
      </c>
      <c r="B447" cm="1">
        <f t="array" ref="B447:L447">_xlfn.XLOOKUP($A447,Instagram_Usage_Lifestyle_Mini_!$A:$A,Instagram_Usage_Lifestyle_Mini_!$L:$V,"Not Found")</f>
        <v>6.9</v>
      </c>
      <c r="C447">
        <v>6.8</v>
      </c>
      <c r="D447" t="str">
        <v>Excellent</v>
      </c>
      <c r="E447" t="str">
        <v>No</v>
      </c>
      <c r="F447" t="str">
        <v>Rarely</v>
      </c>
      <c r="G447">
        <v>11</v>
      </c>
      <c r="H447">
        <v>1</v>
      </c>
      <c r="I447">
        <v>26.1</v>
      </c>
      <c r="J447">
        <v>129</v>
      </c>
      <c r="K447">
        <v>81</v>
      </c>
      <c r="L447">
        <v>7985</v>
      </c>
      <c r="M447" t="str" cm="1">
        <f t="array" ref="M447">_xlfn.IFS(C447&lt;6,"Poor",C447&lt;=8,"Normal",TRUE,"High")</f>
        <v>Normal</v>
      </c>
    </row>
    <row r="448" spans="1:13" x14ac:dyDescent="0.2">
      <c r="A448">
        <v>447</v>
      </c>
      <c r="B448" cm="1">
        <f t="array" ref="B448:L448">_xlfn.XLOOKUP($A448,Instagram_Usage_Lifestyle_Mini_!$A:$A,Instagram_Usage_Lifestyle_Mini_!$L:$V,"Not Found")</f>
        <v>10.199999999999999</v>
      </c>
      <c r="C448">
        <v>8.1999999999999993</v>
      </c>
      <c r="D448" t="str">
        <v>Excellent</v>
      </c>
      <c r="E448" t="str">
        <v>Former</v>
      </c>
      <c r="F448" t="str">
        <v>Rarely</v>
      </c>
      <c r="G448">
        <v>6</v>
      </c>
      <c r="H448">
        <v>9</v>
      </c>
      <c r="I448">
        <v>25</v>
      </c>
      <c r="J448">
        <v>112</v>
      </c>
      <c r="K448">
        <v>96</v>
      </c>
      <c r="L448">
        <v>7994</v>
      </c>
      <c r="M448" t="str" cm="1">
        <f t="array" ref="M448">_xlfn.IFS(C448&lt;6,"Poor",C448&lt;=8,"Normal",TRUE,"High")</f>
        <v>High</v>
      </c>
    </row>
    <row r="449" spans="1:13" x14ac:dyDescent="0.2">
      <c r="A449">
        <v>448</v>
      </c>
      <c r="B449" cm="1">
        <f t="array" ref="B449:L449">_xlfn.XLOOKUP($A449,Instagram_Usage_Lifestyle_Mini_!$A:$A,Instagram_Usage_Lifestyle_Mini_!$L:$V,"Not Found")</f>
        <v>6.4</v>
      </c>
      <c r="C449">
        <v>6.5</v>
      </c>
      <c r="D449" t="str">
        <v>Average</v>
      </c>
      <c r="E449" t="str">
        <v>No</v>
      </c>
      <c r="F449" t="str">
        <v>Rarely</v>
      </c>
      <c r="G449">
        <v>7</v>
      </c>
      <c r="H449">
        <v>10</v>
      </c>
      <c r="I449">
        <v>25.1</v>
      </c>
      <c r="J449">
        <v>157</v>
      </c>
      <c r="K449">
        <v>84</v>
      </c>
      <c r="L449">
        <v>7984</v>
      </c>
      <c r="M449" t="str" cm="1">
        <f t="array" ref="M449">_xlfn.IFS(C449&lt;6,"Poor",C449&lt;=8,"Normal",TRUE,"High")</f>
        <v>Normal</v>
      </c>
    </row>
    <row r="450" spans="1:13" x14ac:dyDescent="0.2">
      <c r="A450">
        <v>449</v>
      </c>
      <c r="B450" cm="1">
        <f t="array" ref="B450:L450">_xlfn.XLOOKUP($A450,Instagram_Usage_Lifestyle_Mini_!$A:$A,Instagram_Usage_Lifestyle_Mini_!$L:$V,"Not Found")</f>
        <v>5.3</v>
      </c>
      <c r="C450">
        <v>6.5</v>
      </c>
      <c r="D450" t="str">
        <v>Poor</v>
      </c>
      <c r="E450" t="str">
        <v>No</v>
      </c>
      <c r="F450" t="str">
        <v>Rarely</v>
      </c>
      <c r="G450">
        <v>25</v>
      </c>
      <c r="H450">
        <v>5</v>
      </c>
      <c r="I450">
        <v>27.4</v>
      </c>
      <c r="J450">
        <v>146</v>
      </c>
      <c r="K450">
        <v>98</v>
      </c>
      <c r="L450">
        <v>7876</v>
      </c>
      <c r="M450" t="str" cm="1">
        <f t="array" ref="M450">_xlfn.IFS(C450&lt;6,"Poor",C450&lt;=8,"Normal",TRUE,"High")</f>
        <v>Normal</v>
      </c>
    </row>
    <row r="451" spans="1:13" x14ac:dyDescent="0.2">
      <c r="A451">
        <v>450</v>
      </c>
      <c r="B451" cm="1">
        <f t="array" ref="B451:L451">_xlfn.XLOOKUP($A451,Instagram_Usage_Lifestyle_Mini_!$A:$A,Instagram_Usage_Lifestyle_Mini_!$L:$V,"Not Found")</f>
        <v>1.9</v>
      </c>
      <c r="C451">
        <v>6.2</v>
      </c>
      <c r="D451" t="str">
        <v>Average</v>
      </c>
      <c r="E451" t="str">
        <v>No</v>
      </c>
      <c r="F451" t="str">
        <v>Never</v>
      </c>
      <c r="G451">
        <v>16</v>
      </c>
      <c r="H451">
        <v>8</v>
      </c>
      <c r="I451">
        <v>26.8</v>
      </c>
      <c r="J451">
        <v>159</v>
      </c>
      <c r="K451">
        <v>95</v>
      </c>
      <c r="L451">
        <v>8045</v>
      </c>
      <c r="M451" t="str" cm="1">
        <f t="array" ref="M451">_xlfn.IFS(C451&lt;6,"Poor",C451&lt;=8,"Normal",TRUE,"High")</f>
        <v>Normal</v>
      </c>
    </row>
    <row r="452" spans="1:13" x14ac:dyDescent="0.2">
      <c r="A452">
        <v>451</v>
      </c>
      <c r="B452" cm="1">
        <f t="array" ref="B452:L452">_xlfn.XLOOKUP($A452,Instagram_Usage_Lifestyle_Mini_!$A:$A,Instagram_Usage_Lifestyle_Mini_!$L:$V,"Not Found")</f>
        <v>5.9</v>
      </c>
      <c r="C452">
        <v>4.9000000000000004</v>
      </c>
      <c r="D452" t="str">
        <v>Very_poor</v>
      </c>
      <c r="E452" t="str">
        <v>No</v>
      </c>
      <c r="F452" t="str">
        <v>Rarely</v>
      </c>
      <c r="G452">
        <v>8</v>
      </c>
      <c r="H452">
        <v>4</v>
      </c>
      <c r="I452">
        <v>21.9</v>
      </c>
      <c r="J452">
        <v>92</v>
      </c>
      <c r="K452">
        <v>62</v>
      </c>
      <c r="L452">
        <v>8009</v>
      </c>
      <c r="M452" t="str" cm="1">
        <f t="array" ref="M452">_xlfn.IFS(C452&lt;6,"Poor",C452&lt;=8,"Normal",TRUE,"High")</f>
        <v>Poor</v>
      </c>
    </row>
    <row r="453" spans="1:13" x14ac:dyDescent="0.2">
      <c r="A453">
        <v>452</v>
      </c>
      <c r="B453" cm="1">
        <f t="array" ref="B453:L453">_xlfn.XLOOKUP($A453,Instagram_Usage_Lifestyle_Mini_!$A:$A,Instagram_Usage_Lifestyle_Mini_!$L:$V,"Not Found")</f>
        <v>15.2</v>
      </c>
      <c r="C453">
        <v>5.4</v>
      </c>
      <c r="D453" t="str">
        <v>Good</v>
      </c>
      <c r="E453" t="str">
        <v>No</v>
      </c>
      <c r="F453" t="str">
        <v>Rarely</v>
      </c>
      <c r="G453">
        <v>17</v>
      </c>
      <c r="H453">
        <v>7</v>
      </c>
      <c r="I453">
        <v>26</v>
      </c>
      <c r="J453">
        <v>155</v>
      </c>
      <c r="K453">
        <v>76</v>
      </c>
      <c r="L453">
        <v>7971</v>
      </c>
      <c r="M453" t="str" cm="1">
        <f t="array" ref="M453">_xlfn.IFS(C453&lt;6,"Poor",C453&lt;=8,"Normal",TRUE,"High")</f>
        <v>Poor</v>
      </c>
    </row>
    <row r="454" spans="1:13" x14ac:dyDescent="0.2">
      <c r="A454">
        <v>453</v>
      </c>
      <c r="B454" cm="1">
        <f t="array" ref="B454:L454">_xlfn.XLOOKUP($A454,Instagram_Usage_Lifestyle_Mini_!$A:$A,Instagram_Usage_Lifestyle_Mini_!$L:$V,"Not Found")</f>
        <v>3.7</v>
      </c>
      <c r="C454">
        <v>7.1</v>
      </c>
      <c r="D454" t="str">
        <v>Poor</v>
      </c>
      <c r="E454" t="str">
        <v>No</v>
      </c>
      <c r="F454" t="str">
        <v>Never</v>
      </c>
      <c r="G454">
        <v>35</v>
      </c>
      <c r="H454">
        <v>4</v>
      </c>
      <c r="I454">
        <v>26.3</v>
      </c>
      <c r="J454">
        <v>99</v>
      </c>
      <c r="K454">
        <v>95</v>
      </c>
      <c r="L454">
        <v>7875</v>
      </c>
      <c r="M454" t="str" cm="1">
        <f t="array" ref="M454">_xlfn.IFS(C454&lt;6,"Poor",C454&lt;=8,"Normal",TRUE,"High")</f>
        <v>Normal</v>
      </c>
    </row>
    <row r="455" spans="1:13" x14ac:dyDescent="0.2">
      <c r="A455">
        <v>454</v>
      </c>
      <c r="B455" cm="1">
        <f t="array" ref="B455:L455">_xlfn.XLOOKUP($A455,Instagram_Usage_Lifestyle_Mini_!$A:$A,Instagram_Usage_Lifestyle_Mini_!$L:$V,"Not Found")</f>
        <v>10.6</v>
      </c>
      <c r="C455">
        <v>6.8</v>
      </c>
      <c r="D455" t="str">
        <v>Very_poor</v>
      </c>
      <c r="E455" t="str">
        <v>No</v>
      </c>
      <c r="F455" t="str">
        <v>Several_times_a_week</v>
      </c>
      <c r="G455">
        <v>26</v>
      </c>
      <c r="H455">
        <v>4</v>
      </c>
      <c r="I455">
        <v>25.9</v>
      </c>
      <c r="J455">
        <v>153</v>
      </c>
      <c r="K455">
        <v>62</v>
      </c>
      <c r="L455">
        <v>7889</v>
      </c>
      <c r="M455" t="str" cm="1">
        <f t="array" ref="M455">_xlfn.IFS(C455&lt;6,"Poor",C455&lt;=8,"Normal",TRUE,"High")</f>
        <v>Normal</v>
      </c>
    </row>
    <row r="456" spans="1:13" x14ac:dyDescent="0.2">
      <c r="A456">
        <v>455</v>
      </c>
      <c r="B456" cm="1">
        <f t="array" ref="B456:L456">_xlfn.XLOOKUP($A456,Instagram_Usage_Lifestyle_Mini_!$A:$A,Instagram_Usage_Lifestyle_Mini_!$L:$V,"Not Found")</f>
        <v>12.9</v>
      </c>
      <c r="C456">
        <v>8.1</v>
      </c>
      <c r="D456" t="str">
        <v>Average</v>
      </c>
      <c r="E456" t="str">
        <v>No</v>
      </c>
      <c r="F456" t="str">
        <v>Daily</v>
      </c>
      <c r="G456">
        <v>16</v>
      </c>
      <c r="H456">
        <v>10</v>
      </c>
      <c r="I456">
        <v>19.7</v>
      </c>
      <c r="J456">
        <v>138</v>
      </c>
      <c r="K456">
        <v>96</v>
      </c>
      <c r="L456">
        <v>7955</v>
      </c>
      <c r="M456" t="str" cm="1">
        <f t="array" ref="M456">_xlfn.IFS(C456&lt;6,"Poor",C456&lt;=8,"Normal",TRUE,"High")</f>
        <v>High</v>
      </c>
    </row>
    <row r="457" spans="1:13" x14ac:dyDescent="0.2">
      <c r="A457">
        <v>456</v>
      </c>
      <c r="B457" cm="1">
        <f t="array" ref="B457:L457">_xlfn.XLOOKUP($A457,Instagram_Usage_Lifestyle_Mini_!$A:$A,Instagram_Usage_Lifestyle_Mini_!$L:$V,"Not Found")</f>
        <v>4.3</v>
      </c>
      <c r="C457">
        <v>7</v>
      </c>
      <c r="D457" t="str">
        <v>Poor</v>
      </c>
      <c r="E457" t="str">
        <v>No</v>
      </c>
      <c r="F457" t="str">
        <v>Rarely</v>
      </c>
      <c r="G457">
        <v>7</v>
      </c>
      <c r="H457">
        <v>6</v>
      </c>
      <c r="I457">
        <v>26.7</v>
      </c>
      <c r="J457">
        <v>113</v>
      </c>
      <c r="K457">
        <v>84</v>
      </c>
      <c r="L457">
        <v>7952</v>
      </c>
      <c r="M457" t="str" cm="1">
        <f t="array" ref="M457">_xlfn.IFS(C457&lt;6,"Poor",C457&lt;=8,"Normal",TRUE,"High")</f>
        <v>Normal</v>
      </c>
    </row>
    <row r="458" spans="1:13" x14ac:dyDescent="0.2">
      <c r="A458">
        <v>457</v>
      </c>
      <c r="B458" cm="1">
        <f t="array" ref="B458:L458">_xlfn.XLOOKUP($A458,Instagram_Usage_Lifestyle_Mini_!$A:$A,Instagram_Usage_Lifestyle_Mini_!$L:$V,"Not Found")</f>
        <v>5.9</v>
      </c>
      <c r="C458">
        <v>7.9</v>
      </c>
      <c r="D458" t="str">
        <v>Poor</v>
      </c>
      <c r="E458" t="str">
        <v>No</v>
      </c>
      <c r="F458" t="str">
        <v>Rarely</v>
      </c>
      <c r="G458">
        <v>11</v>
      </c>
      <c r="H458">
        <v>4</v>
      </c>
      <c r="I458">
        <v>27.8</v>
      </c>
      <c r="J458">
        <v>133</v>
      </c>
      <c r="K458">
        <v>70</v>
      </c>
      <c r="L458">
        <v>7940</v>
      </c>
      <c r="M458" t="str" cm="1">
        <f t="array" ref="M458">_xlfn.IFS(C458&lt;6,"Poor",C458&lt;=8,"Normal",TRUE,"High")</f>
        <v>Normal</v>
      </c>
    </row>
    <row r="459" spans="1:13" x14ac:dyDescent="0.2">
      <c r="A459">
        <v>458</v>
      </c>
      <c r="B459" cm="1">
        <f t="array" ref="B459:L459">_xlfn.XLOOKUP($A459,Instagram_Usage_Lifestyle_Mini_!$A:$A,Instagram_Usage_Lifestyle_Mini_!$L:$V,"Not Found")</f>
        <v>10.4</v>
      </c>
      <c r="C459">
        <v>8.1</v>
      </c>
      <c r="D459" t="str">
        <v>Average</v>
      </c>
      <c r="E459" t="str">
        <v>No</v>
      </c>
      <c r="F459" t="str">
        <v>Weekly</v>
      </c>
      <c r="G459">
        <v>19</v>
      </c>
      <c r="H459">
        <v>7</v>
      </c>
      <c r="I459">
        <v>22.3</v>
      </c>
      <c r="J459">
        <v>129</v>
      </c>
      <c r="K459">
        <v>63</v>
      </c>
      <c r="L459">
        <v>7940</v>
      </c>
      <c r="M459" t="str" cm="1">
        <f t="array" ref="M459">_xlfn.IFS(C459&lt;6,"Poor",C459&lt;=8,"Normal",TRUE,"High")</f>
        <v>High</v>
      </c>
    </row>
    <row r="460" spans="1:13" x14ac:dyDescent="0.2">
      <c r="A460">
        <v>459</v>
      </c>
      <c r="B460" cm="1">
        <f t="array" ref="B460:L460">_xlfn.XLOOKUP($A460,Instagram_Usage_Lifestyle_Mini_!$A:$A,Instagram_Usage_Lifestyle_Mini_!$L:$V,"Not Found")</f>
        <v>8.5</v>
      </c>
      <c r="C460">
        <v>5.9</v>
      </c>
      <c r="D460" t="str">
        <v>Very_poor</v>
      </c>
      <c r="E460" t="str">
        <v>Former</v>
      </c>
      <c r="F460" t="str">
        <v>Weekly</v>
      </c>
      <c r="G460">
        <v>29</v>
      </c>
      <c r="H460">
        <v>5</v>
      </c>
      <c r="I460">
        <v>32.200000000000003</v>
      </c>
      <c r="J460">
        <v>148</v>
      </c>
      <c r="K460">
        <v>76</v>
      </c>
      <c r="L460">
        <v>7882</v>
      </c>
      <c r="M460" t="str" cm="1">
        <f t="array" ref="M460">_xlfn.IFS(C460&lt;6,"Poor",C460&lt;=8,"Normal",TRUE,"High")</f>
        <v>Poor</v>
      </c>
    </row>
    <row r="461" spans="1:13" x14ac:dyDescent="0.2">
      <c r="A461">
        <v>460</v>
      </c>
      <c r="B461" cm="1">
        <f t="array" ref="B461:L461">_xlfn.XLOOKUP($A461,Instagram_Usage_Lifestyle_Mini_!$A:$A,Instagram_Usage_Lifestyle_Mini_!$L:$V,"Not Found")</f>
        <v>5.4</v>
      </c>
      <c r="C461">
        <v>6.5</v>
      </c>
      <c r="D461" t="str">
        <v>Average</v>
      </c>
      <c r="E461" t="str">
        <v>No</v>
      </c>
      <c r="F461" t="str">
        <v>Never</v>
      </c>
      <c r="G461">
        <v>13</v>
      </c>
      <c r="H461">
        <v>4</v>
      </c>
      <c r="I461">
        <v>24.2</v>
      </c>
      <c r="J461">
        <v>131</v>
      </c>
      <c r="K461">
        <v>69</v>
      </c>
      <c r="L461">
        <v>7954</v>
      </c>
      <c r="M461" t="str" cm="1">
        <f t="array" ref="M461">_xlfn.IFS(C461&lt;6,"Poor",C461&lt;=8,"Normal",TRUE,"High")</f>
        <v>Normal</v>
      </c>
    </row>
    <row r="462" spans="1:13" x14ac:dyDescent="0.2">
      <c r="A462">
        <v>461</v>
      </c>
      <c r="B462" cm="1">
        <f t="array" ref="B462:L462">_xlfn.XLOOKUP($A462,Instagram_Usage_Lifestyle_Mini_!$A:$A,Instagram_Usage_Lifestyle_Mini_!$L:$V,"Not Found")</f>
        <v>2</v>
      </c>
      <c r="C462">
        <v>6.1</v>
      </c>
      <c r="D462" t="str">
        <v>Poor</v>
      </c>
      <c r="E462" t="str">
        <v>No</v>
      </c>
      <c r="F462" t="str">
        <v>Rarely</v>
      </c>
      <c r="G462">
        <v>18</v>
      </c>
      <c r="H462">
        <v>7</v>
      </c>
      <c r="I462">
        <v>26.4</v>
      </c>
      <c r="J462">
        <v>118</v>
      </c>
      <c r="K462">
        <v>68</v>
      </c>
      <c r="L462">
        <v>7898</v>
      </c>
      <c r="M462" t="str" cm="1">
        <f t="array" ref="M462">_xlfn.IFS(C462&lt;6,"Poor",C462&lt;=8,"Normal",TRUE,"High")</f>
        <v>Normal</v>
      </c>
    </row>
    <row r="463" spans="1:13" x14ac:dyDescent="0.2">
      <c r="A463">
        <v>462</v>
      </c>
      <c r="B463" cm="1">
        <f t="array" ref="B463:L463">_xlfn.XLOOKUP($A463,Instagram_Usage_Lifestyle_Mini_!$A:$A,Instagram_Usage_Lifestyle_Mini_!$L:$V,"Not Found")</f>
        <v>10.3</v>
      </c>
      <c r="C463">
        <v>8.5</v>
      </c>
      <c r="D463" t="str">
        <v>Excellent</v>
      </c>
      <c r="E463" t="str">
        <v>No</v>
      </c>
      <c r="F463" t="str">
        <v>Daily</v>
      </c>
      <c r="G463">
        <v>27</v>
      </c>
      <c r="H463">
        <v>1</v>
      </c>
      <c r="I463">
        <v>30</v>
      </c>
      <c r="J463">
        <v>119</v>
      </c>
      <c r="K463">
        <v>75</v>
      </c>
      <c r="L463">
        <v>8025</v>
      </c>
      <c r="M463" t="str" cm="1">
        <f t="array" ref="M463">_xlfn.IFS(C463&lt;6,"Poor",C463&lt;=8,"Normal",TRUE,"High")</f>
        <v>High</v>
      </c>
    </row>
    <row r="464" spans="1:13" x14ac:dyDescent="0.2">
      <c r="A464">
        <v>463</v>
      </c>
      <c r="B464" cm="1">
        <f t="array" ref="B464:L464">_xlfn.XLOOKUP($A464,Instagram_Usage_Lifestyle_Mini_!$A:$A,Instagram_Usage_Lifestyle_Mini_!$L:$V,"Not Found")</f>
        <v>8.8000000000000007</v>
      </c>
      <c r="C464">
        <v>7.3</v>
      </c>
      <c r="D464" t="str">
        <v>Average</v>
      </c>
      <c r="E464" t="str">
        <v>Yes</v>
      </c>
      <c r="F464" t="str">
        <v>Never</v>
      </c>
      <c r="G464">
        <v>36</v>
      </c>
      <c r="H464">
        <v>3</v>
      </c>
      <c r="I464">
        <v>29.4</v>
      </c>
      <c r="J464">
        <v>143</v>
      </c>
      <c r="K464">
        <v>91</v>
      </c>
      <c r="L464">
        <v>8052</v>
      </c>
      <c r="M464" t="str" cm="1">
        <f t="array" ref="M464">_xlfn.IFS(C464&lt;6,"Poor",C464&lt;=8,"Normal",TRUE,"High")</f>
        <v>Normal</v>
      </c>
    </row>
    <row r="465" spans="1:13" x14ac:dyDescent="0.2">
      <c r="A465">
        <v>464</v>
      </c>
      <c r="B465" cm="1">
        <f t="array" ref="B465:L465">_xlfn.XLOOKUP($A465,Instagram_Usage_Lifestyle_Mini_!$A:$A,Instagram_Usage_Lifestyle_Mini_!$L:$V,"Not Found")</f>
        <v>5.8</v>
      </c>
      <c r="C465">
        <v>6.7</v>
      </c>
      <c r="D465" t="str">
        <v>Very_poor</v>
      </c>
      <c r="E465" t="str">
        <v>No</v>
      </c>
      <c r="F465" t="str">
        <v>Rarely</v>
      </c>
      <c r="G465">
        <v>6</v>
      </c>
      <c r="H465">
        <v>9</v>
      </c>
      <c r="I465">
        <v>25.4</v>
      </c>
      <c r="J465">
        <v>103</v>
      </c>
      <c r="K465">
        <v>96</v>
      </c>
      <c r="L465">
        <v>7984</v>
      </c>
      <c r="M465" t="str" cm="1">
        <f t="array" ref="M465">_xlfn.IFS(C465&lt;6,"Poor",C465&lt;=8,"Normal",TRUE,"High")</f>
        <v>Normal</v>
      </c>
    </row>
    <row r="466" spans="1:13" x14ac:dyDescent="0.2">
      <c r="A466">
        <v>465</v>
      </c>
      <c r="B466" cm="1">
        <f t="array" ref="B466:L466">_xlfn.XLOOKUP($A466,Instagram_Usage_Lifestyle_Mini_!$A:$A,Instagram_Usage_Lifestyle_Mini_!$L:$V,"Not Found")</f>
        <v>2.2999999999999998</v>
      </c>
      <c r="C466">
        <v>6.3</v>
      </c>
      <c r="D466" t="str">
        <v>Average</v>
      </c>
      <c r="E466" t="str">
        <v>No</v>
      </c>
      <c r="F466" t="str">
        <v>Several_times_a_week</v>
      </c>
      <c r="G466">
        <v>3</v>
      </c>
      <c r="H466">
        <v>2</v>
      </c>
      <c r="I466">
        <v>23.3</v>
      </c>
      <c r="J466">
        <v>152</v>
      </c>
      <c r="K466">
        <v>85</v>
      </c>
      <c r="L466">
        <v>8044</v>
      </c>
      <c r="M466" t="str" cm="1">
        <f t="array" ref="M466">_xlfn.IFS(C466&lt;6,"Poor",C466&lt;=8,"Normal",TRUE,"High")</f>
        <v>Normal</v>
      </c>
    </row>
    <row r="467" spans="1:13" x14ac:dyDescent="0.2">
      <c r="A467">
        <v>466</v>
      </c>
      <c r="B467" cm="1">
        <f t="array" ref="B467:L467">_xlfn.XLOOKUP($A467,Instagram_Usage_Lifestyle_Mini_!$A:$A,Instagram_Usage_Lifestyle_Mini_!$L:$V,"Not Found")</f>
        <v>9.1999999999999993</v>
      </c>
      <c r="C467">
        <v>5.5</v>
      </c>
      <c r="D467" t="str">
        <v>Average</v>
      </c>
      <c r="E467" t="str">
        <v>No</v>
      </c>
      <c r="F467" t="str">
        <v>Rarely</v>
      </c>
      <c r="G467">
        <v>26</v>
      </c>
      <c r="H467">
        <v>4</v>
      </c>
      <c r="I467">
        <v>22.4</v>
      </c>
      <c r="J467">
        <v>104</v>
      </c>
      <c r="K467">
        <v>65</v>
      </c>
      <c r="L467">
        <v>7919</v>
      </c>
      <c r="M467" t="str" cm="1">
        <f t="array" ref="M467">_xlfn.IFS(C467&lt;6,"Poor",C467&lt;=8,"Normal",TRUE,"High")</f>
        <v>Poor</v>
      </c>
    </row>
    <row r="468" spans="1:13" x14ac:dyDescent="0.2">
      <c r="A468">
        <v>467</v>
      </c>
      <c r="B468" cm="1">
        <f t="array" ref="B468:L468">_xlfn.XLOOKUP($A468,Instagram_Usage_Lifestyle_Mini_!$A:$A,Instagram_Usage_Lifestyle_Mini_!$L:$V,"Not Found")</f>
        <v>4.0999999999999996</v>
      </c>
      <c r="C468">
        <v>7.9</v>
      </c>
      <c r="D468" t="str">
        <v>Excellent</v>
      </c>
      <c r="E468" t="str">
        <v>Yes</v>
      </c>
      <c r="F468" t="str">
        <v>Weekly</v>
      </c>
      <c r="G468">
        <v>24</v>
      </c>
      <c r="H468">
        <v>10</v>
      </c>
      <c r="I468">
        <v>29.4</v>
      </c>
      <c r="J468">
        <v>95</v>
      </c>
      <c r="K468">
        <v>80</v>
      </c>
      <c r="L468">
        <v>8130</v>
      </c>
      <c r="M468" t="str" cm="1">
        <f t="array" ref="M468">_xlfn.IFS(C468&lt;6,"Poor",C468&lt;=8,"Normal",TRUE,"High")</f>
        <v>Normal</v>
      </c>
    </row>
    <row r="469" spans="1:13" x14ac:dyDescent="0.2">
      <c r="A469">
        <v>468</v>
      </c>
      <c r="B469" cm="1">
        <f t="array" ref="B469:L469">_xlfn.XLOOKUP($A469,Instagram_Usage_Lifestyle_Mini_!$A:$A,Instagram_Usage_Lifestyle_Mini_!$L:$V,"Not Found")</f>
        <v>10.1</v>
      </c>
      <c r="C469">
        <v>7.5</v>
      </c>
      <c r="D469" t="str">
        <v>Average</v>
      </c>
      <c r="E469" t="str">
        <v>No</v>
      </c>
      <c r="F469" t="str">
        <v>Weekly</v>
      </c>
      <c r="G469">
        <v>30</v>
      </c>
      <c r="H469">
        <v>3</v>
      </c>
      <c r="I469">
        <v>25.3</v>
      </c>
      <c r="J469">
        <v>112</v>
      </c>
      <c r="K469">
        <v>90</v>
      </c>
      <c r="L469">
        <v>8030</v>
      </c>
      <c r="M469" t="str" cm="1">
        <f t="array" ref="M469">_xlfn.IFS(C469&lt;6,"Poor",C469&lt;=8,"Normal",TRUE,"High")</f>
        <v>Normal</v>
      </c>
    </row>
    <row r="470" spans="1:13" x14ac:dyDescent="0.2">
      <c r="A470">
        <v>469</v>
      </c>
      <c r="B470" cm="1">
        <f t="array" ref="B470:L470">_xlfn.XLOOKUP($A470,Instagram_Usage_Lifestyle_Mini_!$A:$A,Instagram_Usage_Lifestyle_Mini_!$L:$V,"Not Found")</f>
        <v>4.4000000000000004</v>
      </c>
      <c r="C470">
        <v>7.6</v>
      </c>
      <c r="D470" t="str">
        <v>Poor</v>
      </c>
      <c r="E470" t="str">
        <v>Former</v>
      </c>
      <c r="F470" t="str">
        <v>Never</v>
      </c>
      <c r="G470">
        <v>39</v>
      </c>
      <c r="H470">
        <v>5</v>
      </c>
      <c r="I470">
        <v>22.4</v>
      </c>
      <c r="J470">
        <v>99</v>
      </c>
      <c r="K470">
        <v>93</v>
      </c>
      <c r="L470">
        <v>7940</v>
      </c>
      <c r="M470" t="str" cm="1">
        <f t="array" ref="M470">_xlfn.IFS(C470&lt;6,"Poor",C470&lt;=8,"Normal",TRUE,"High")</f>
        <v>Normal</v>
      </c>
    </row>
    <row r="471" spans="1:13" x14ac:dyDescent="0.2">
      <c r="A471">
        <v>470</v>
      </c>
      <c r="B471" cm="1">
        <f t="array" ref="B471:L471">_xlfn.XLOOKUP($A471,Instagram_Usage_Lifestyle_Mini_!$A:$A,Instagram_Usage_Lifestyle_Mini_!$L:$V,"Not Found")</f>
        <v>4.5</v>
      </c>
      <c r="C471">
        <v>7.2</v>
      </c>
      <c r="D471" t="str">
        <v>Good</v>
      </c>
      <c r="E471" t="str">
        <v>No</v>
      </c>
      <c r="F471" t="str">
        <v>Several_times_a_week</v>
      </c>
      <c r="G471">
        <v>14</v>
      </c>
      <c r="H471">
        <v>2</v>
      </c>
      <c r="I471">
        <v>19.100000000000001</v>
      </c>
      <c r="J471">
        <v>134</v>
      </c>
      <c r="K471">
        <v>97</v>
      </c>
      <c r="L471">
        <v>7948</v>
      </c>
      <c r="M471" t="str" cm="1">
        <f t="array" ref="M471">_xlfn.IFS(C471&lt;6,"Poor",C471&lt;=8,"Normal",TRUE,"High")</f>
        <v>Normal</v>
      </c>
    </row>
    <row r="472" spans="1:13" x14ac:dyDescent="0.2">
      <c r="A472">
        <v>471</v>
      </c>
      <c r="B472" cm="1">
        <f t="array" ref="B472:L472">_xlfn.XLOOKUP($A472,Instagram_Usage_Lifestyle_Mini_!$A:$A,Instagram_Usage_Lifestyle_Mini_!$L:$V,"Not Found")</f>
        <v>6.6</v>
      </c>
      <c r="C472">
        <v>7.4</v>
      </c>
      <c r="D472" t="str">
        <v>Very_poor</v>
      </c>
      <c r="E472" t="str">
        <v>No</v>
      </c>
      <c r="F472" t="str">
        <v>Several_times_a_week</v>
      </c>
      <c r="G472">
        <v>4</v>
      </c>
      <c r="H472">
        <v>9</v>
      </c>
      <c r="I472">
        <v>26.5</v>
      </c>
      <c r="J472">
        <v>132</v>
      </c>
      <c r="K472">
        <v>62</v>
      </c>
      <c r="L472">
        <v>8019</v>
      </c>
      <c r="M472" t="str" cm="1">
        <f t="array" ref="M472">_xlfn.IFS(C472&lt;6,"Poor",C472&lt;=8,"Normal",TRUE,"High")</f>
        <v>Normal</v>
      </c>
    </row>
    <row r="473" spans="1:13" x14ac:dyDescent="0.2">
      <c r="A473">
        <v>472</v>
      </c>
      <c r="B473" cm="1">
        <f t="array" ref="B473:L473">_xlfn.XLOOKUP($A473,Instagram_Usage_Lifestyle_Mini_!$A:$A,Instagram_Usage_Lifestyle_Mini_!$L:$V,"Not Found")</f>
        <v>11.9</v>
      </c>
      <c r="C473">
        <v>8.5</v>
      </c>
      <c r="D473" t="str">
        <v>Good</v>
      </c>
      <c r="E473" t="str">
        <v>No</v>
      </c>
      <c r="F473" t="str">
        <v>Never</v>
      </c>
      <c r="G473">
        <v>37</v>
      </c>
      <c r="H473">
        <v>1</v>
      </c>
      <c r="I473">
        <v>23.9</v>
      </c>
      <c r="J473">
        <v>125</v>
      </c>
      <c r="K473">
        <v>85</v>
      </c>
      <c r="L473">
        <v>8024</v>
      </c>
      <c r="M473" t="str" cm="1">
        <f t="array" ref="M473">_xlfn.IFS(C473&lt;6,"Poor",C473&lt;=8,"Normal",TRUE,"High")</f>
        <v>High</v>
      </c>
    </row>
    <row r="474" spans="1:13" x14ac:dyDescent="0.2">
      <c r="A474">
        <v>473</v>
      </c>
      <c r="B474" cm="1">
        <f t="array" ref="B474:L474">_xlfn.XLOOKUP($A474,Instagram_Usage_Lifestyle_Mini_!$A:$A,Instagram_Usage_Lifestyle_Mini_!$L:$V,"Not Found")</f>
        <v>4.2</v>
      </c>
      <c r="C474">
        <v>7.8</v>
      </c>
      <c r="D474" t="str">
        <v>Very_poor</v>
      </c>
      <c r="E474" t="str">
        <v>No</v>
      </c>
      <c r="F474" t="str">
        <v>Rarely</v>
      </c>
      <c r="G474">
        <v>8</v>
      </c>
      <c r="H474">
        <v>4</v>
      </c>
      <c r="I474">
        <v>17.2</v>
      </c>
      <c r="J474">
        <v>149</v>
      </c>
      <c r="K474">
        <v>83</v>
      </c>
      <c r="L474">
        <v>8007</v>
      </c>
      <c r="M474" t="str" cm="1">
        <f t="array" ref="M474">_xlfn.IFS(C474&lt;6,"Poor",C474&lt;=8,"Normal",TRUE,"High")</f>
        <v>Normal</v>
      </c>
    </row>
    <row r="475" spans="1:13" x14ac:dyDescent="0.2">
      <c r="A475">
        <v>474</v>
      </c>
      <c r="B475" cm="1">
        <f t="array" ref="B475:L475">_xlfn.XLOOKUP($A475,Instagram_Usage_Lifestyle_Mini_!$A:$A,Instagram_Usage_Lifestyle_Mini_!$L:$V,"Not Found")</f>
        <v>10.3</v>
      </c>
      <c r="C475">
        <v>5</v>
      </c>
      <c r="D475" t="str">
        <v>Poor</v>
      </c>
      <c r="E475" t="str">
        <v>No</v>
      </c>
      <c r="F475" t="str">
        <v>Weekly</v>
      </c>
      <c r="G475">
        <v>10</v>
      </c>
      <c r="H475">
        <v>5</v>
      </c>
      <c r="I475">
        <v>26.7</v>
      </c>
      <c r="J475">
        <v>120</v>
      </c>
      <c r="K475">
        <v>97</v>
      </c>
      <c r="L475">
        <v>8044</v>
      </c>
      <c r="M475" t="str" cm="1">
        <f t="array" ref="M475">_xlfn.IFS(C475&lt;6,"Poor",C475&lt;=8,"Normal",TRUE,"High")</f>
        <v>Poor</v>
      </c>
    </row>
    <row r="476" spans="1:13" x14ac:dyDescent="0.2">
      <c r="A476">
        <v>475</v>
      </c>
      <c r="B476" cm="1">
        <f t="array" ref="B476:L476">_xlfn.XLOOKUP($A476,Instagram_Usage_Lifestyle_Mini_!$A:$A,Instagram_Usage_Lifestyle_Mini_!$L:$V,"Not Found")</f>
        <v>8.1999999999999993</v>
      </c>
      <c r="C476">
        <v>4.4000000000000004</v>
      </c>
      <c r="D476" t="str">
        <v>Average</v>
      </c>
      <c r="E476" t="str">
        <v>Yes</v>
      </c>
      <c r="F476" t="str">
        <v>Rarely</v>
      </c>
      <c r="G476">
        <v>18</v>
      </c>
      <c r="H476">
        <v>6</v>
      </c>
      <c r="I476">
        <v>29.3</v>
      </c>
      <c r="J476">
        <v>143</v>
      </c>
      <c r="K476">
        <v>81</v>
      </c>
      <c r="L476">
        <v>7877</v>
      </c>
      <c r="M476" t="str" cm="1">
        <f t="array" ref="M476">_xlfn.IFS(C476&lt;6,"Poor",C476&lt;=8,"Normal",TRUE,"High")</f>
        <v>Poor</v>
      </c>
    </row>
    <row r="477" spans="1:13" x14ac:dyDescent="0.2">
      <c r="A477">
        <v>476</v>
      </c>
      <c r="B477" cm="1">
        <f t="array" ref="B477:L477">_xlfn.XLOOKUP($A477,Instagram_Usage_Lifestyle_Mini_!$A:$A,Instagram_Usage_Lifestyle_Mini_!$L:$V,"Not Found")</f>
        <v>11</v>
      </c>
      <c r="C477">
        <v>6.2</v>
      </c>
      <c r="D477" t="str">
        <v>Poor</v>
      </c>
      <c r="E477" t="str">
        <v>Former</v>
      </c>
      <c r="F477" t="str">
        <v>Never</v>
      </c>
      <c r="G477">
        <v>2</v>
      </c>
      <c r="H477">
        <v>2</v>
      </c>
      <c r="I477">
        <v>29.6</v>
      </c>
      <c r="J477">
        <v>124</v>
      </c>
      <c r="K477">
        <v>74</v>
      </c>
      <c r="L477">
        <v>8206</v>
      </c>
      <c r="M477" t="str" cm="1">
        <f t="array" ref="M477">_xlfn.IFS(C477&lt;6,"Poor",C477&lt;=8,"Normal",TRUE,"High")</f>
        <v>Normal</v>
      </c>
    </row>
    <row r="478" spans="1:13" x14ac:dyDescent="0.2">
      <c r="A478">
        <v>477</v>
      </c>
      <c r="B478" cm="1">
        <f t="array" ref="B478:L478">_xlfn.XLOOKUP($A478,Instagram_Usage_Lifestyle_Mini_!$A:$A,Instagram_Usage_Lifestyle_Mini_!$L:$V,"Not Found")</f>
        <v>16.399999999999999</v>
      </c>
      <c r="C478">
        <v>8.6999999999999993</v>
      </c>
      <c r="D478" t="str">
        <v>Average</v>
      </c>
      <c r="E478" t="str">
        <v>No</v>
      </c>
      <c r="F478" t="str">
        <v>Never</v>
      </c>
      <c r="G478">
        <v>17</v>
      </c>
      <c r="H478">
        <v>6</v>
      </c>
      <c r="I478">
        <v>22.1</v>
      </c>
      <c r="J478">
        <v>145</v>
      </c>
      <c r="K478">
        <v>91</v>
      </c>
      <c r="L478">
        <v>8033</v>
      </c>
      <c r="M478" t="str" cm="1">
        <f t="array" ref="M478">_xlfn.IFS(C478&lt;6,"Poor",C478&lt;=8,"Normal",TRUE,"High")</f>
        <v>High</v>
      </c>
    </row>
    <row r="479" spans="1:13" x14ac:dyDescent="0.2">
      <c r="A479">
        <v>478</v>
      </c>
      <c r="B479" cm="1">
        <f t="array" ref="B479:L479">_xlfn.XLOOKUP($A479,Instagram_Usage_Lifestyle_Mini_!$A:$A,Instagram_Usage_Lifestyle_Mini_!$L:$V,"Not Found")</f>
        <v>16.8</v>
      </c>
      <c r="C479">
        <v>8.1999999999999993</v>
      </c>
      <c r="D479" t="str">
        <v>Very_poor</v>
      </c>
      <c r="E479" t="str">
        <v>No</v>
      </c>
      <c r="F479" t="str">
        <v>Rarely</v>
      </c>
      <c r="G479">
        <v>8</v>
      </c>
      <c r="H479">
        <v>2</v>
      </c>
      <c r="I479">
        <v>25.2</v>
      </c>
      <c r="J479">
        <v>119</v>
      </c>
      <c r="K479">
        <v>60</v>
      </c>
      <c r="L479">
        <v>7806</v>
      </c>
      <c r="M479" t="str" cm="1">
        <f t="array" ref="M479">_xlfn.IFS(C479&lt;6,"Poor",C479&lt;=8,"Normal",TRUE,"High")</f>
        <v>High</v>
      </c>
    </row>
    <row r="480" spans="1:13" x14ac:dyDescent="0.2">
      <c r="A480">
        <v>479</v>
      </c>
      <c r="B480" cm="1">
        <f t="array" ref="B480:L480">_xlfn.XLOOKUP($A480,Instagram_Usage_Lifestyle_Mini_!$A:$A,Instagram_Usage_Lifestyle_Mini_!$L:$V,"Not Found")</f>
        <v>4.5999999999999996</v>
      </c>
      <c r="C480">
        <v>7.5</v>
      </c>
      <c r="D480" t="str">
        <v>Poor</v>
      </c>
      <c r="E480" t="str">
        <v>No</v>
      </c>
      <c r="F480" t="str">
        <v>Rarely</v>
      </c>
      <c r="G480">
        <v>39</v>
      </c>
      <c r="H480">
        <v>4</v>
      </c>
      <c r="I480">
        <v>30.9</v>
      </c>
      <c r="J480">
        <v>126</v>
      </c>
      <c r="K480">
        <v>69</v>
      </c>
      <c r="L480">
        <v>8125</v>
      </c>
      <c r="M480" t="str" cm="1">
        <f t="array" ref="M480">_xlfn.IFS(C480&lt;6,"Poor",C480&lt;=8,"Normal",TRUE,"High")</f>
        <v>Normal</v>
      </c>
    </row>
    <row r="481" spans="1:13" x14ac:dyDescent="0.2">
      <c r="A481">
        <v>480</v>
      </c>
      <c r="B481" cm="1">
        <f t="array" ref="B481:L481">_xlfn.XLOOKUP($A481,Instagram_Usage_Lifestyle_Mini_!$A:$A,Instagram_Usage_Lifestyle_Mini_!$L:$V,"Not Found")</f>
        <v>3.8</v>
      </c>
      <c r="C481">
        <v>5.6</v>
      </c>
      <c r="D481" t="str">
        <v>Good</v>
      </c>
      <c r="E481" t="str">
        <v>No</v>
      </c>
      <c r="F481" t="str">
        <v>Weekly</v>
      </c>
      <c r="G481">
        <v>11</v>
      </c>
      <c r="H481">
        <v>7</v>
      </c>
      <c r="I481">
        <v>27.1</v>
      </c>
      <c r="J481">
        <v>102</v>
      </c>
      <c r="K481">
        <v>92</v>
      </c>
      <c r="L481">
        <v>8194</v>
      </c>
      <c r="M481" t="str" cm="1">
        <f t="array" ref="M481">_xlfn.IFS(C481&lt;6,"Poor",C481&lt;=8,"Normal",TRUE,"High")</f>
        <v>Poor</v>
      </c>
    </row>
    <row r="482" spans="1:13" x14ac:dyDescent="0.2">
      <c r="A482">
        <v>481</v>
      </c>
      <c r="B482" cm="1">
        <f t="array" ref="B482:L482">_xlfn.XLOOKUP($A482,Instagram_Usage_Lifestyle_Mini_!$A:$A,Instagram_Usage_Lifestyle_Mini_!$L:$V,"Not Found")</f>
        <v>4</v>
      </c>
      <c r="C482">
        <v>9.6</v>
      </c>
      <c r="D482" t="str">
        <v>Average</v>
      </c>
      <c r="E482" t="str">
        <v>No</v>
      </c>
      <c r="F482" t="str">
        <v>Rarely</v>
      </c>
      <c r="G482">
        <v>13</v>
      </c>
      <c r="H482">
        <v>1</v>
      </c>
      <c r="I482">
        <v>32.6</v>
      </c>
      <c r="J482">
        <v>105</v>
      </c>
      <c r="K482">
        <v>75</v>
      </c>
      <c r="L482">
        <v>7921</v>
      </c>
      <c r="M482" t="str" cm="1">
        <f t="array" ref="M482">_xlfn.IFS(C482&lt;6,"Poor",C482&lt;=8,"Normal",TRUE,"High")</f>
        <v>High</v>
      </c>
    </row>
    <row r="483" spans="1:13" x14ac:dyDescent="0.2">
      <c r="A483">
        <v>482</v>
      </c>
      <c r="B483" cm="1">
        <f t="array" ref="B483:L483">_xlfn.XLOOKUP($A483,Instagram_Usage_Lifestyle_Mini_!$A:$A,Instagram_Usage_Lifestyle_Mini_!$L:$V,"Not Found")</f>
        <v>3.2</v>
      </c>
      <c r="C483">
        <v>6.9</v>
      </c>
      <c r="D483" t="str">
        <v>Average</v>
      </c>
      <c r="E483" t="str">
        <v>Yes</v>
      </c>
      <c r="F483" t="str">
        <v>Rarely</v>
      </c>
      <c r="G483">
        <v>5</v>
      </c>
      <c r="H483">
        <v>6</v>
      </c>
      <c r="I483">
        <v>28.9</v>
      </c>
      <c r="J483">
        <v>144</v>
      </c>
      <c r="K483">
        <v>74</v>
      </c>
      <c r="L483">
        <v>7886</v>
      </c>
      <c r="M483" t="str" cm="1">
        <f t="array" ref="M483">_xlfn.IFS(C483&lt;6,"Poor",C483&lt;=8,"Normal",TRUE,"High")</f>
        <v>Normal</v>
      </c>
    </row>
    <row r="484" spans="1:13" x14ac:dyDescent="0.2">
      <c r="A484">
        <v>483</v>
      </c>
      <c r="B484" cm="1">
        <f t="array" ref="B484:L484">_xlfn.XLOOKUP($A484,Instagram_Usage_Lifestyle_Mini_!$A:$A,Instagram_Usage_Lifestyle_Mini_!$L:$V,"Not Found")</f>
        <v>4.5</v>
      </c>
      <c r="C484">
        <v>8.9</v>
      </c>
      <c r="D484" t="str">
        <v>Average</v>
      </c>
      <c r="E484" t="str">
        <v>No</v>
      </c>
      <c r="F484" t="str">
        <v>Rarely</v>
      </c>
      <c r="G484">
        <v>32</v>
      </c>
      <c r="H484">
        <v>6</v>
      </c>
      <c r="I484">
        <v>15</v>
      </c>
      <c r="J484">
        <v>126</v>
      </c>
      <c r="K484">
        <v>78</v>
      </c>
      <c r="L484">
        <v>8052</v>
      </c>
      <c r="M484" t="str" cm="1">
        <f t="array" ref="M484">_xlfn.IFS(C484&lt;6,"Poor",C484&lt;=8,"Normal",TRUE,"High")</f>
        <v>High</v>
      </c>
    </row>
    <row r="485" spans="1:13" x14ac:dyDescent="0.2">
      <c r="A485">
        <v>484</v>
      </c>
      <c r="B485" cm="1">
        <f t="array" ref="B485:L485">_xlfn.XLOOKUP($A485,Instagram_Usage_Lifestyle_Mini_!$A:$A,Instagram_Usage_Lifestyle_Mini_!$L:$V,"Not Found")</f>
        <v>5.5</v>
      </c>
      <c r="C485">
        <v>6.6</v>
      </c>
      <c r="D485" t="str">
        <v>Average</v>
      </c>
      <c r="E485" t="str">
        <v>Yes</v>
      </c>
      <c r="F485" t="str">
        <v>Rarely</v>
      </c>
      <c r="G485">
        <v>35</v>
      </c>
      <c r="H485">
        <v>8</v>
      </c>
      <c r="I485">
        <v>25.7</v>
      </c>
      <c r="J485">
        <v>142</v>
      </c>
      <c r="K485">
        <v>91</v>
      </c>
      <c r="L485">
        <v>7994</v>
      </c>
      <c r="M485" t="str" cm="1">
        <f t="array" ref="M485">_xlfn.IFS(C485&lt;6,"Poor",C485&lt;=8,"Normal",TRUE,"High")</f>
        <v>Normal</v>
      </c>
    </row>
    <row r="486" spans="1:13" x14ac:dyDescent="0.2">
      <c r="A486">
        <v>485</v>
      </c>
      <c r="B486" cm="1">
        <f t="array" ref="B486:L486">_xlfn.XLOOKUP($A486,Instagram_Usage_Lifestyle_Mini_!$A:$A,Instagram_Usage_Lifestyle_Mini_!$L:$V,"Not Found")</f>
        <v>12</v>
      </c>
      <c r="C486">
        <v>5.6</v>
      </c>
      <c r="D486" t="str">
        <v>Average</v>
      </c>
      <c r="E486" t="str">
        <v>No</v>
      </c>
      <c r="F486" t="str">
        <v>Rarely</v>
      </c>
      <c r="G486">
        <v>28</v>
      </c>
      <c r="H486">
        <v>6</v>
      </c>
      <c r="I486">
        <v>32.700000000000003</v>
      </c>
      <c r="J486">
        <v>121</v>
      </c>
      <c r="K486">
        <v>76</v>
      </c>
      <c r="L486">
        <v>8006</v>
      </c>
      <c r="M486" t="str" cm="1">
        <f t="array" ref="M486">_xlfn.IFS(C486&lt;6,"Poor",C486&lt;=8,"Normal",TRUE,"High")</f>
        <v>Poor</v>
      </c>
    </row>
    <row r="487" spans="1:13" x14ac:dyDescent="0.2">
      <c r="A487">
        <v>486</v>
      </c>
      <c r="B487" cm="1">
        <f t="array" ref="B487:L487">_xlfn.XLOOKUP($A487,Instagram_Usage_Lifestyle_Mini_!$A:$A,Instagram_Usage_Lifestyle_Mini_!$L:$V,"Not Found")</f>
        <v>4.5999999999999996</v>
      </c>
      <c r="C487">
        <v>6</v>
      </c>
      <c r="D487" t="str">
        <v>Poor</v>
      </c>
      <c r="E487" t="str">
        <v>No</v>
      </c>
      <c r="F487" t="str">
        <v>Weekly</v>
      </c>
      <c r="G487">
        <v>34</v>
      </c>
      <c r="H487">
        <v>6</v>
      </c>
      <c r="I487">
        <v>29.6</v>
      </c>
      <c r="J487">
        <v>109</v>
      </c>
      <c r="K487">
        <v>98</v>
      </c>
      <c r="L487">
        <v>8035</v>
      </c>
      <c r="M487" t="str" cm="1">
        <f t="array" ref="M487">_xlfn.IFS(C487&lt;6,"Poor",C487&lt;=8,"Normal",TRUE,"High")</f>
        <v>Normal</v>
      </c>
    </row>
    <row r="488" spans="1:13" x14ac:dyDescent="0.2">
      <c r="A488">
        <v>487</v>
      </c>
      <c r="B488" cm="1">
        <f t="array" ref="B488:L488">_xlfn.XLOOKUP($A488,Instagram_Usage_Lifestyle_Mini_!$A:$A,Instagram_Usage_Lifestyle_Mini_!$L:$V,"Not Found")</f>
        <v>7.7</v>
      </c>
      <c r="C488">
        <v>6.7</v>
      </c>
      <c r="D488" t="str">
        <v>Excellent</v>
      </c>
      <c r="E488" t="str">
        <v>No</v>
      </c>
      <c r="F488" t="str">
        <v>Rarely</v>
      </c>
      <c r="G488">
        <v>2</v>
      </c>
      <c r="H488">
        <v>2</v>
      </c>
      <c r="I488">
        <v>27.1</v>
      </c>
      <c r="J488">
        <v>108</v>
      </c>
      <c r="K488">
        <v>82</v>
      </c>
      <c r="L488">
        <v>8049</v>
      </c>
      <c r="M488" t="str" cm="1">
        <f t="array" ref="M488">_xlfn.IFS(C488&lt;6,"Poor",C488&lt;=8,"Normal",TRUE,"High")</f>
        <v>Normal</v>
      </c>
    </row>
    <row r="489" spans="1:13" x14ac:dyDescent="0.2">
      <c r="A489">
        <v>488</v>
      </c>
      <c r="B489" cm="1">
        <f t="array" ref="B489:L489">_xlfn.XLOOKUP($A489,Instagram_Usage_Lifestyle_Mini_!$A:$A,Instagram_Usage_Lifestyle_Mini_!$L:$V,"Not Found")</f>
        <v>2.9</v>
      </c>
      <c r="C489">
        <v>6.1</v>
      </c>
      <c r="D489" t="str">
        <v>Poor</v>
      </c>
      <c r="E489" t="str">
        <v>No</v>
      </c>
      <c r="F489" t="str">
        <v>Rarely</v>
      </c>
      <c r="G489">
        <v>22</v>
      </c>
      <c r="H489">
        <v>2</v>
      </c>
      <c r="I489">
        <v>19.8</v>
      </c>
      <c r="J489">
        <v>109</v>
      </c>
      <c r="K489">
        <v>87</v>
      </c>
      <c r="L489">
        <v>8081</v>
      </c>
      <c r="M489" t="str" cm="1">
        <f t="array" ref="M489">_xlfn.IFS(C489&lt;6,"Poor",C489&lt;=8,"Normal",TRUE,"High")</f>
        <v>Normal</v>
      </c>
    </row>
    <row r="490" spans="1:13" x14ac:dyDescent="0.2">
      <c r="A490">
        <v>489</v>
      </c>
      <c r="B490" cm="1">
        <f t="array" ref="B490:L490">_xlfn.XLOOKUP($A490,Instagram_Usage_Lifestyle_Mini_!$A:$A,Instagram_Usage_Lifestyle_Mini_!$L:$V,"Not Found")</f>
        <v>10.5</v>
      </c>
      <c r="C490">
        <v>5</v>
      </c>
      <c r="D490" t="str">
        <v>Average</v>
      </c>
      <c r="E490" t="str">
        <v>No</v>
      </c>
      <c r="F490" t="str">
        <v>Never</v>
      </c>
      <c r="G490">
        <v>34</v>
      </c>
      <c r="H490">
        <v>3</v>
      </c>
      <c r="I490">
        <v>26.5</v>
      </c>
      <c r="J490">
        <v>102</v>
      </c>
      <c r="K490">
        <v>70</v>
      </c>
      <c r="L490">
        <v>7985</v>
      </c>
      <c r="M490" t="str" cm="1">
        <f t="array" ref="M490">_xlfn.IFS(C490&lt;6,"Poor",C490&lt;=8,"Normal",TRUE,"High")</f>
        <v>Poor</v>
      </c>
    </row>
    <row r="491" spans="1:13" x14ac:dyDescent="0.2">
      <c r="A491">
        <v>490</v>
      </c>
      <c r="B491" cm="1">
        <f t="array" ref="B491:L491">_xlfn.XLOOKUP($A491,Instagram_Usage_Lifestyle_Mini_!$A:$A,Instagram_Usage_Lifestyle_Mini_!$L:$V,"Not Found")</f>
        <v>11.9</v>
      </c>
      <c r="C491">
        <v>7.5</v>
      </c>
      <c r="D491" t="str">
        <v>Poor</v>
      </c>
      <c r="E491" t="str">
        <v>No</v>
      </c>
      <c r="F491" t="str">
        <v>Weekly</v>
      </c>
      <c r="G491">
        <v>11</v>
      </c>
      <c r="H491">
        <v>8</v>
      </c>
      <c r="I491">
        <v>20.6</v>
      </c>
      <c r="J491">
        <v>149</v>
      </c>
      <c r="K491">
        <v>73</v>
      </c>
      <c r="L491">
        <v>7970</v>
      </c>
      <c r="M491" t="str" cm="1">
        <f t="array" ref="M491">_xlfn.IFS(C491&lt;6,"Poor",C491&lt;=8,"Normal",TRUE,"High")</f>
        <v>Normal</v>
      </c>
    </row>
    <row r="492" spans="1:13" x14ac:dyDescent="0.2">
      <c r="A492">
        <v>491</v>
      </c>
      <c r="B492" cm="1">
        <f t="array" ref="B492:L492">_xlfn.XLOOKUP($A492,Instagram_Usage_Lifestyle_Mini_!$A:$A,Instagram_Usage_Lifestyle_Mini_!$L:$V,"Not Found")</f>
        <v>2.7</v>
      </c>
      <c r="C492">
        <v>6.8</v>
      </c>
      <c r="D492" t="str">
        <v>Average</v>
      </c>
      <c r="E492" t="str">
        <v>No</v>
      </c>
      <c r="F492" t="str">
        <v>Never</v>
      </c>
      <c r="G492">
        <v>1</v>
      </c>
      <c r="H492">
        <v>7</v>
      </c>
      <c r="I492">
        <v>20.6</v>
      </c>
      <c r="J492">
        <v>110</v>
      </c>
      <c r="K492">
        <v>74</v>
      </c>
      <c r="L492">
        <v>7936</v>
      </c>
      <c r="M492" t="str" cm="1">
        <f t="array" ref="M492">_xlfn.IFS(C492&lt;6,"Poor",C492&lt;=8,"Normal",TRUE,"High")</f>
        <v>Normal</v>
      </c>
    </row>
    <row r="493" spans="1:13" x14ac:dyDescent="0.2">
      <c r="A493">
        <v>492</v>
      </c>
      <c r="B493" cm="1">
        <f t="array" ref="B493:L493">_xlfn.XLOOKUP($A493,Instagram_Usage_Lifestyle_Mini_!$A:$A,Instagram_Usage_Lifestyle_Mini_!$L:$V,"Not Found")</f>
        <v>4.4000000000000004</v>
      </c>
      <c r="C493">
        <v>7.9</v>
      </c>
      <c r="D493" t="str">
        <v>Excellent</v>
      </c>
      <c r="E493" t="str">
        <v>No</v>
      </c>
      <c r="F493" t="str">
        <v>Weekly</v>
      </c>
      <c r="G493">
        <v>9</v>
      </c>
      <c r="H493">
        <v>9</v>
      </c>
      <c r="I493">
        <v>21.2</v>
      </c>
      <c r="J493">
        <v>156</v>
      </c>
      <c r="K493">
        <v>90</v>
      </c>
      <c r="L493">
        <v>8069</v>
      </c>
      <c r="M493" t="str" cm="1">
        <f t="array" ref="M493">_xlfn.IFS(C493&lt;6,"Poor",C493&lt;=8,"Normal",TRUE,"High")</f>
        <v>Normal</v>
      </c>
    </row>
    <row r="494" spans="1:13" x14ac:dyDescent="0.2">
      <c r="A494">
        <v>493</v>
      </c>
      <c r="B494" cm="1">
        <f t="array" ref="B494:L494">_xlfn.XLOOKUP($A494,Instagram_Usage_Lifestyle_Mini_!$A:$A,Instagram_Usage_Lifestyle_Mini_!$L:$V,"Not Found")</f>
        <v>4</v>
      </c>
      <c r="C494">
        <v>6</v>
      </c>
      <c r="D494" t="str">
        <v>Excellent</v>
      </c>
      <c r="E494" t="str">
        <v>No</v>
      </c>
      <c r="F494" t="str">
        <v>Never</v>
      </c>
      <c r="G494">
        <v>21</v>
      </c>
      <c r="H494">
        <v>10</v>
      </c>
      <c r="I494">
        <v>28.8</v>
      </c>
      <c r="J494">
        <v>108</v>
      </c>
      <c r="K494">
        <v>80</v>
      </c>
      <c r="L494">
        <v>7808</v>
      </c>
      <c r="M494" t="str" cm="1">
        <f t="array" ref="M494">_xlfn.IFS(C494&lt;6,"Poor",C494&lt;=8,"Normal",TRUE,"High")</f>
        <v>Normal</v>
      </c>
    </row>
    <row r="495" spans="1:13" x14ac:dyDescent="0.2">
      <c r="A495">
        <v>494</v>
      </c>
      <c r="B495" cm="1">
        <f t="array" ref="B495:L495">_xlfn.XLOOKUP($A495,Instagram_Usage_Lifestyle_Mini_!$A:$A,Instagram_Usage_Lifestyle_Mini_!$L:$V,"Not Found")</f>
        <v>11.2</v>
      </c>
      <c r="C495">
        <v>4.9000000000000004</v>
      </c>
      <c r="D495" t="str">
        <v>Very_poor</v>
      </c>
      <c r="E495" t="str">
        <v>No</v>
      </c>
      <c r="F495" t="str">
        <v>Several_times_a_week</v>
      </c>
      <c r="G495">
        <v>23</v>
      </c>
      <c r="H495">
        <v>10</v>
      </c>
      <c r="I495">
        <v>23.7</v>
      </c>
      <c r="J495">
        <v>105</v>
      </c>
      <c r="K495">
        <v>75</v>
      </c>
      <c r="L495">
        <v>8147</v>
      </c>
      <c r="M495" t="str" cm="1">
        <f t="array" ref="M495">_xlfn.IFS(C495&lt;6,"Poor",C495&lt;=8,"Normal",TRUE,"High")</f>
        <v>Poor</v>
      </c>
    </row>
    <row r="496" spans="1:13" x14ac:dyDescent="0.2">
      <c r="A496">
        <v>495</v>
      </c>
      <c r="B496" cm="1">
        <f t="array" ref="B496:L496">_xlfn.XLOOKUP($A496,Instagram_Usage_Lifestyle_Mini_!$A:$A,Instagram_Usage_Lifestyle_Mini_!$L:$V,"Not Found")</f>
        <v>3.6</v>
      </c>
      <c r="C496">
        <v>7.6</v>
      </c>
      <c r="D496" t="str">
        <v>Good</v>
      </c>
      <c r="E496" t="str">
        <v>No</v>
      </c>
      <c r="F496" t="str">
        <v>Weekly</v>
      </c>
      <c r="G496">
        <v>37</v>
      </c>
      <c r="H496">
        <v>4</v>
      </c>
      <c r="I496">
        <v>22.6</v>
      </c>
      <c r="J496">
        <v>144</v>
      </c>
      <c r="K496">
        <v>61</v>
      </c>
      <c r="L496">
        <v>7958</v>
      </c>
      <c r="M496" t="str" cm="1">
        <f t="array" ref="M496">_xlfn.IFS(C496&lt;6,"Poor",C496&lt;=8,"Normal",TRUE,"High")</f>
        <v>Normal</v>
      </c>
    </row>
    <row r="497" spans="1:13" x14ac:dyDescent="0.2">
      <c r="A497">
        <v>496</v>
      </c>
      <c r="B497" cm="1">
        <f t="array" ref="B497:L497">_xlfn.XLOOKUP($A497,Instagram_Usage_Lifestyle_Mini_!$A:$A,Instagram_Usage_Lifestyle_Mini_!$L:$V,"Not Found")</f>
        <v>3.4</v>
      </c>
      <c r="C497">
        <v>5.9</v>
      </c>
      <c r="D497" t="str">
        <v>Average</v>
      </c>
      <c r="E497" t="str">
        <v>No</v>
      </c>
      <c r="F497" t="str">
        <v>Weekly</v>
      </c>
      <c r="G497">
        <v>24</v>
      </c>
      <c r="H497">
        <v>8</v>
      </c>
      <c r="I497">
        <v>27.4</v>
      </c>
      <c r="J497">
        <v>123</v>
      </c>
      <c r="K497">
        <v>90</v>
      </c>
      <c r="L497">
        <v>8009</v>
      </c>
      <c r="M497" t="str" cm="1">
        <f t="array" ref="M497">_xlfn.IFS(C497&lt;6,"Poor",C497&lt;=8,"Normal",TRUE,"High")</f>
        <v>Poor</v>
      </c>
    </row>
    <row r="498" spans="1:13" x14ac:dyDescent="0.2">
      <c r="A498">
        <v>497</v>
      </c>
      <c r="B498" cm="1">
        <f t="array" ref="B498:L498">_xlfn.XLOOKUP($A498,Instagram_Usage_Lifestyle_Mini_!$A:$A,Instagram_Usage_Lifestyle_Mini_!$L:$V,"Not Found")</f>
        <v>7</v>
      </c>
      <c r="C498">
        <v>8.3000000000000007</v>
      </c>
      <c r="D498" t="str">
        <v>Excellent</v>
      </c>
      <c r="E498" t="str">
        <v>No</v>
      </c>
      <c r="F498" t="str">
        <v>Rarely</v>
      </c>
      <c r="G498">
        <v>22</v>
      </c>
      <c r="H498">
        <v>10</v>
      </c>
      <c r="I498">
        <v>31</v>
      </c>
      <c r="J498">
        <v>137</v>
      </c>
      <c r="K498">
        <v>82</v>
      </c>
      <c r="L498">
        <v>7905</v>
      </c>
      <c r="M498" t="str" cm="1">
        <f t="array" ref="M498">_xlfn.IFS(C498&lt;6,"Poor",C498&lt;=8,"Normal",TRUE,"High")</f>
        <v>High</v>
      </c>
    </row>
    <row r="499" spans="1:13" x14ac:dyDescent="0.2">
      <c r="A499">
        <v>498</v>
      </c>
      <c r="B499" cm="1">
        <f t="array" ref="B499:L499">_xlfn.XLOOKUP($A499,Instagram_Usage_Lifestyle_Mini_!$A:$A,Instagram_Usage_Lifestyle_Mini_!$L:$V,"Not Found")</f>
        <v>8.4</v>
      </c>
      <c r="C499">
        <v>6.1</v>
      </c>
      <c r="D499" t="str">
        <v>Poor</v>
      </c>
      <c r="E499" t="str">
        <v>Yes</v>
      </c>
      <c r="F499" t="str">
        <v>Never</v>
      </c>
      <c r="G499">
        <v>40</v>
      </c>
      <c r="H499">
        <v>1</v>
      </c>
      <c r="I499">
        <v>24.4</v>
      </c>
      <c r="J499">
        <v>103</v>
      </c>
      <c r="K499">
        <v>80</v>
      </c>
      <c r="L499">
        <v>7983</v>
      </c>
      <c r="M499" t="str" cm="1">
        <f t="array" ref="M499">_xlfn.IFS(C499&lt;6,"Poor",C499&lt;=8,"Normal",TRUE,"High")</f>
        <v>Normal</v>
      </c>
    </row>
    <row r="500" spans="1:13" x14ac:dyDescent="0.2">
      <c r="A500">
        <v>499</v>
      </c>
      <c r="B500" cm="1">
        <f t="array" ref="B500:L500">_xlfn.XLOOKUP($A500,Instagram_Usage_Lifestyle_Mini_!$A:$A,Instagram_Usage_Lifestyle_Mini_!$L:$V,"Not Found")</f>
        <v>5.5</v>
      </c>
      <c r="C500">
        <v>7.6</v>
      </c>
      <c r="D500" t="str">
        <v>Average</v>
      </c>
      <c r="E500" t="str">
        <v>No</v>
      </c>
      <c r="F500" t="str">
        <v>Several_times_a_week</v>
      </c>
      <c r="G500">
        <v>35</v>
      </c>
      <c r="H500">
        <v>5</v>
      </c>
      <c r="I500">
        <v>17.600000000000001</v>
      </c>
      <c r="J500">
        <v>151</v>
      </c>
      <c r="K500">
        <v>69</v>
      </c>
      <c r="L500">
        <v>7977</v>
      </c>
      <c r="M500" t="str" cm="1">
        <f t="array" ref="M500">_xlfn.IFS(C500&lt;6,"Poor",C500&lt;=8,"Normal",TRUE,"High")</f>
        <v>Normal</v>
      </c>
    </row>
    <row r="501" spans="1:13" x14ac:dyDescent="0.2">
      <c r="A501">
        <v>500</v>
      </c>
      <c r="B501" cm="1">
        <f t="array" ref="B501:L501">_xlfn.XLOOKUP($A501,Instagram_Usage_Lifestyle_Mini_!$A:$A,Instagram_Usage_Lifestyle_Mini_!$L:$V,"Not Found")</f>
        <v>3.4</v>
      </c>
      <c r="C501">
        <v>6.8</v>
      </c>
      <c r="D501" t="str">
        <v>Average</v>
      </c>
      <c r="E501" t="str">
        <v>Former</v>
      </c>
      <c r="F501" t="str">
        <v>Never</v>
      </c>
      <c r="G501">
        <v>36</v>
      </c>
      <c r="H501">
        <v>5</v>
      </c>
      <c r="I501">
        <v>28.9</v>
      </c>
      <c r="J501">
        <v>103</v>
      </c>
      <c r="K501">
        <v>76</v>
      </c>
      <c r="L501">
        <v>8127</v>
      </c>
      <c r="M501" t="str" cm="1">
        <f t="array" ref="M501">_xlfn.IFS(C501&lt;6,"Poor",C501&lt;=8,"Normal",TRUE,"High")</f>
        <v>Normal</v>
      </c>
    </row>
    <row r="502" spans="1:13" x14ac:dyDescent="0.2">
      <c r="A502">
        <v>501</v>
      </c>
      <c r="B502" cm="1">
        <f t="array" ref="B502:L502">_xlfn.XLOOKUP($A502,Instagram_Usage_Lifestyle_Mini_!$A:$A,Instagram_Usage_Lifestyle_Mini_!$L:$V,"Not Found")</f>
        <v>7.2</v>
      </c>
      <c r="C502">
        <v>7.3</v>
      </c>
      <c r="D502" t="str">
        <v>Average</v>
      </c>
      <c r="E502" t="str">
        <v>No</v>
      </c>
      <c r="F502" t="str">
        <v>Never</v>
      </c>
      <c r="G502">
        <v>13</v>
      </c>
      <c r="H502">
        <v>8</v>
      </c>
      <c r="I502">
        <v>25.7</v>
      </c>
      <c r="J502">
        <v>128</v>
      </c>
      <c r="K502">
        <v>64</v>
      </c>
      <c r="L502">
        <v>8025</v>
      </c>
      <c r="M502" t="str" cm="1">
        <f t="array" ref="M502">_xlfn.IFS(C502&lt;6,"Poor",C502&lt;=8,"Normal",TRUE,"High")</f>
        <v>Normal</v>
      </c>
    </row>
    <row r="503" spans="1:13" x14ac:dyDescent="0.2">
      <c r="A503">
        <v>502</v>
      </c>
      <c r="B503" cm="1">
        <f t="array" ref="B503:L503">_xlfn.XLOOKUP($A503,Instagram_Usage_Lifestyle_Mini_!$A:$A,Instagram_Usage_Lifestyle_Mini_!$L:$V,"Not Found")</f>
        <v>4.5</v>
      </c>
      <c r="C503">
        <v>5.9</v>
      </c>
      <c r="D503" t="str">
        <v>Average</v>
      </c>
      <c r="E503" t="str">
        <v>No</v>
      </c>
      <c r="F503" t="str">
        <v>Rarely</v>
      </c>
      <c r="G503">
        <v>29</v>
      </c>
      <c r="H503">
        <v>5</v>
      </c>
      <c r="I503">
        <v>34</v>
      </c>
      <c r="J503">
        <v>135</v>
      </c>
      <c r="K503">
        <v>81</v>
      </c>
      <c r="L503">
        <v>7974</v>
      </c>
      <c r="M503" t="str" cm="1">
        <f t="array" ref="M503">_xlfn.IFS(C503&lt;6,"Poor",C503&lt;=8,"Normal",TRUE,"High")</f>
        <v>Poor</v>
      </c>
    </row>
    <row r="504" spans="1:13" x14ac:dyDescent="0.2">
      <c r="A504">
        <v>503</v>
      </c>
      <c r="B504" cm="1">
        <f t="array" ref="B504:L504">_xlfn.XLOOKUP($A504,Instagram_Usage_Lifestyle_Mini_!$A:$A,Instagram_Usage_Lifestyle_Mini_!$L:$V,"Not Found")</f>
        <v>5.9</v>
      </c>
      <c r="C504">
        <v>6.6</v>
      </c>
      <c r="D504" t="str">
        <v>Good</v>
      </c>
      <c r="E504" t="str">
        <v>No</v>
      </c>
      <c r="F504" t="str">
        <v>Several_times_a_week</v>
      </c>
      <c r="G504">
        <v>1</v>
      </c>
      <c r="H504">
        <v>10</v>
      </c>
      <c r="I504">
        <v>23.5</v>
      </c>
      <c r="J504">
        <v>131</v>
      </c>
      <c r="K504">
        <v>82</v>
      </c>
      <c r="L504">
        <v>8075</v>
      </c>
      <c r="M504" t="str" cm="1">
        <f t="array" ref="M504">_xlfn.IFS(C504&lt;6,"Poor",C504&lt;=8,"Normal",TRUE,"High")</f>
        <v>Normal</v>
      </c>
    </row>
    <row r="505" spans="1:13" x14ac:dyDescent="0.2">
      <c r="A505">
        <v>504</v>
      </c>
      <c r="B505" cm="1">
        <f t="array" ref="B505:L505">_xlfn.XLOOKUP($A505,Instagram_Usage_Lifestyle_Mini_!$A:$A,Instagram_Usage_Lifestyle_Mini_!$L:$V,"Not Found")</f>
        <v>9.9</v>
      </c>
      <c r="C505">
        <v>6.9</v>
      </c>
      <c r="D505" t="str">
        <v>Poor</v>
      </c>
      <c r="E505" t="str">
        <v>No</v>
      </c>
      <c r="F505" t="str">
        <v>Rarely</v>
      </c>
      <c r="G505">
        <v>35</v>
      </c>
      <c r="H505">
        <v>7</v>
      </c>
      <c r="I505">
        <v>16.899999999999999</v>
      </c>
      <c r="J505">
        <v>143</v>
      </c>
      <c r="K505">
        <v>61</v>
      </c>
      <c r="L505">
        <v>7920</v>
      </c>
      <c r="M505" t="str" cm="1">
        <f t="array" ref="M505">_xlfn.IFS(C505&lt;6,"Poor",C505&lt;=8,"Normal",TRUE,"High")</f>
        <v>Normal</v>
      </c>
    </row>
    <row r="506" spans="1:13" x14ac:dyDescent="0.2">
      <c r="A506">
        <v>505</v>
      </c>
      <c r="B506" cm="1">
        <f t="array" ref="B506:L506">_xlfn.XLOOKUP($A506,Instagram_Usage_Lifestyle_Mini_!$A:$A,Instagram_Usage_Lifestyle_Mini_!$L:$V,"Not Found")</f>
        <v>3.9</v>
      </c>
      <c r="C506">
        <v>7.4</v>
      </c>
      <c r="D506" t="str">
        <v>Excellent</v>
      </c>
      <c r="E506" t="str">
        <v>No</v>
      </c>
      <c r="F506" t="str">
        <v>Rarely</v>
      </c>
      <c r="G506">
        <v>13</v>
      </c>
      <c r="H506">
        <v>7</v>
      </c>
      <c r="I506">
        <v>26.4</v>
      </c>
      <c r="J506">
        <v>152</v>
      </c>
      <c r="K506">
        <v>87</v>
      </c>
      <c r="L506">
        <v>8032</v>
      </c>
      <c r="M506" t="str" cm="1">
        <f t="array" ref="M506">_xlfn.IFS(C506&lt;6,"Poor",C506&lt;=8,"Normal",TRUE,"High")</f>
        <v>Normal</v>
      </c>
    </row>
    <row r="507" spans="1:13" x14ac:dyDescent="0.2">
      <c r="A507">
        <v>506</v>
      </c>
      <c r="B507" cm="1">
        <f t="array" ref="B507:L507">_xlfn.XLOOKUP($A507,Instagram_Usage_Lifestyle_Mini_!$A:$A,Instagram_Usage_Lifestyle_Mini_!$L:$V,"Not Found")</f>
        <v>3.5</v>
      </c>
      <c r="C507">
        <v>6</v>
      </c>
      <c r="D507" t="str">
        <v>Average</v>
      </c>
      <c r="E507" t="str">
        <v>Former</v>
      </c>
      <c r="F507" t="str">
        <v>Never</v>
      </c>
      <c r="G507">
        <v>7</v>
      </c>
      <c r="H507">
        <v>6</v>
      </c>
      <c r="I507">
        <v>26</v>
      </c>
      <c r="J507">
        <v>105</v>
      </c>
      <c r="K507">
        <v>92</v>
      </c>
      <c r="L507">
        <v>8102</v>
      </c>
      <c r="M507" t="str" cm="1">
        <f t="array" ref="M507">_xlfn.IFS(C507&lt;6,"Poor",C507&lt;=8,"Normal",TRUE,"High")</f>
        <v>Normal</v>
      </c>
    </row>
    <row r="508" spans="1:13" x14ac:dyDescent="0.2">
      <c r="A508">
        <v>507</v>
      </c>
      <c r="B508" cm="1">
        <f t="array" ref="B508:L508">_xlfn.XLOOKUP($A508,Instagram_Usage_Lifestyle_Mini_!$A:$A,Instagram_Usage_Lifestyle_Mini_!$L:$V,"Not Found")</f>
        <v>3.4</v>
      </c>
      <c r="C508">
        <v>5.4</v>
      </c>
      <c r="D508" t="str">
        <v>Good</v>
      </c>
      <c r="E508" t="str">
        <v>No</v>
      </c>
      <c r="F508" t="str">
        <v>Several_times_a_week</v>
      </c>
      <c r="G508">
        <v>4</v>
      </c>
      <c r="H508">
        <v>6</v>
      </c>
      <c r="I508">
        <v>22.6</v>
      </c>
      <c r="J508">
        <v>157</v>
      </c>
      <c r="K508">
        <v>72</v>
      </c>
      <c r="L508">
        <v>7930</v>
      </c>
      <c r="M508" t="str" cm="1">
        <f t="array" ref="M508">_xlfn.IFS(C508&lt;6,"Poor",C508&lt;=8,"Normal",TRUE,"High")</f>
        <v>Poor</v>
      </c>
    </row>
    <row r="509" spans="1:13" x14ac:dyDescent="0.2">
      <c r="A509">
        <v>508</v>
      </c>
      <c r="B509" cm="1">
        <f t="array" ref="B509:L509">_xlfn.XLOOKUP($A509,Instagram_Usage_Lifestyle_Mini_!$A:$A,Instagram_Usage_Lifestyle_Mini_!$L:$V,"Not Found")</f>
        <v>4.8</v>
      </c>
      <c r="C509">
        <v>6.9</v>
      </c>
      <c r="D509" t="str">
        <v>Good</v>
      </c>
      <c r="E509" t="str">
        <v>No</v>
      </c>
      <c r="F509" t="str">
        <v>Rarely</v>
      </c>
      <c r="G509">
        <v>35</v>
      </c>
      <c r="H509">
        <v>3</v>
      </c>
      <c r="I509">
        <v>19.7</v>
      </c>
      <c r="J509">
        <v>150</v>
      </c>
      <c r="K509">
        <v>96</v>
      </c>
      <c r="L509">
        <v>7997</v>
      </c>
      <c r="M509" t="str" cm="1">
        <f t="array" ref="M509">_xlfn.IFS(C509&lt;6,"Poor",C509&lt;=8,"Normal",TRUE,"High")</f>
        <v>Normal</v>
      </c>
    </row>
    <row r="510" spans="1:13" x14ac:dyDescent="0.2">
      <c r="A510">
        <v>509</v>
      </c>
      <c r="B510" cm="1">
        <f t="array" ref="B510:L510">_xlfn.XLOOKUP($A510,Instagram_Usage_Lifestyle_Mini_!$A:$A,Instagram_Usage_Lifestyle_Mini_!$L:$V,"Not Found")</f>
        <v>6.9</v>
      </c>
      <c r="C510">
        <v>6.9</v>
      </c>
      <c r="D510" t="str">
        <v>Average</v>
      </c>
      <c r="E510" t="str">
        <v>No</v>
      </c>
      <c r="F510" t="str">
        <v>Weekly</v>
      </c>
      <c r="G510">
        <v>13</v>
      </c>
      <c r="H510">
        <v>3</v>
      </c>
      <c r="I510">
        <v>20.7</v>
      </c>
      <c r="J510">
        <v>92</v>
      </c>
      <c r="K510">
        <v>74</v>
      </c>
      <c r="L510">
        <v>8111</v>
      </c>
      <c r="M510" t="str" cm="1">
        <f t="array" ref="M510">_xlfn.IFS(C510&lt;6,"Poor",C510&lt;=8,"Normal",TRUE,"High")</f>
        <v>Normal</v>
      </c>
    </row>
    <row r="511" spans="1:13" x14ac:dyDescent="0.2">
      <c r="A511">
        <v>510</v>
      </c>
      <c r="B511" cm="1">
        <f t="array" ref="B511:L511">_xlfn.XLOOKUP($A511,Instagram_Usage_Lifestyle_Mini_!$A:$A,Instagram_Usage_Lifestyle_Mini_!$L:$V,"Not Found")</f>
        <v>11.3</v>
      </c>
      <c r="C511">
        <v>6.3</v>
      </c>
      <c r="D511" t="str">
        <v>Average</v>
      </c>
      <c r="E511" t="str">
        <v>No</v>
      </c>
      <c r="F511" t="str">
        <v>Weekly</v>
      </c>
      <c r="G511">
        <v>21</v>
      </c>
      <c r="H511">
        <v>5</v>
      </c>
      <c r="I511">
        <v>22.6</v>
      </c>
      <c r="J511">
        <v>92</v>
      </c>
      <c r="K511">
        <v>62</v>
      </c>
      <c r="L511">
        <v>7996</v>
      </c>
      <c r="M511" t="str" cm="1">
        <f t="array" ref="M511">_xlfn.IFS(C511&lt;6,"Poor",C511&lt;=8,"Normal",TRUE,"High")</f>
        <v>Normal</v>
      </c>
    </row>
    <row r="512" spans="1:13" x14ac:dyDescent="0.2">
      <c r="A512">
        <v>511</v>
      </c>
      <c r="B512" cm="1">
        <f t="array" ref="B512:L512">_xlfn.XLOOKUP($A512,Instagram_Usage_Lifestyle_Mini_!$A:$A,Instagram_Usage_Lifestyle_Mini_!$L:$V,"Not Found")</f>
        <v>11.9</v>
      </c>
      <c r="C512">
        <v>6.5</v>
      </c>
      <c r="D512" t="str">
        <v>Excellent</v>
      </c>
      <c r="E512" t="str">
        <v>No</v>
      </c>
      <c r="F512" t="str">
        <v>Never</v>
      </c>
      <c r="G512">
        <v>8</v>
      </c>
      <c r="H512">
        <v>6</v>
      </c>
      <c r="I512">
        <v>22.3</v>
      </c>
      <c r="J512">
        <v>156</v>
      </c>
      <c r="K512">
        <v>82</v>
      </c>
      <c r="L512">
        <v>7866</v>
      </c>
      <c r="M512" t="str" cm="1">
        <f t="array" ref="M512">_xlfn.IFS(C512&lt;6,"Poor",C512&lt;=8,"Normal",TRUE,"High")</f>
        <v>Normal</v>
      </c>
    </row>
    <row r="513" spans="1:13" x14ac:dyDescent="0.2">
      <c r="A513">
        <v>512</v>
      </c>
      <c r="B513" cm="1">
        <f t="array" ref="B513:L513">_xlfn.XLOOKUP($A513,Instagram_Usage_Lifestyle_Mini_!$A:$A,Instagram_Usage_Lifestyle_Mini_!$L:$V,"Not Found")</f>
        <v>15.3</v>
      </c>
      <c r="C513">
        <v>7.8</v>
      </c>
      <c r="D513" t="str">
        <v>Good</v>
      </c>
      <c r="E513" t="str">
        <v>No</v>
      </c>
      <c r="F513" t="str">
        <v>Weekly</v>
      </c>
      <c r="G513">
        <v>19</v>
      </c>
      <c r="H513">
        <v>9</v>
      </c>
      <c r="I513">
        <v>27.8</v>
      </c>
      <c r="J513">
        <v>107</v>
      </c>
      <c r="K513">
        <v>64</v>
      </c>
      <c r="L513">
        <v>8113</v>
      </c>
      <c r="M513" t="str" cm="1">
        <f t="array" ref="M513">_xlfn.IFS(C513&lt;6,"Poor",C513&lt;=8,"Normal",TRUE,"High")</f>
        <v>Normal</v>
      </c>
    </row>
    <row r="514" spans="1:13" x14ac:dyDescent="0.2">
      <c r="A514">
        <v>513</v>
      </c>
      <c r="B514" cm="1">
        <f t="array" ref="B514:L514">_xlfn.XLOOKUP($A514,Instagram_Usage_Lifestyle_Mini_!$A:$A,Instagram_Usage_Lifestyle_Mini_!$L:$V,"Not Found")</f>
        <v>5.5</v>
      </c>
      <c r="C514">
        <v>7.7</v>
      </c>
      <c r="D514" t="str">
        <v>Average</v>
      </c>
      <c r="E514" t="str">
        <v>No</v>
      </c>
      <c r="F514" t="str">
        <v>Rarely</v>
      </c>
      <c r="G514">
        <v>17</v>
      </c>
      <c r="H514">
        <v>5</v>
      </c>
      <c r="I514">
        <v>28.9</v>
      </c>
      <c r="J514">
        <v>115</v>
      </c>
      <c r="K514">
        <v>83</v>
      </c>
      <c r="L514">
        <v>7952</v>
      </c>
      <c r="M514" t="str" cm="1">
        <f t="array" ref="M514">_xlfn.IFS(C514&lt;6,"Poor",C514&lt;=8,"Normal",TRUE,"High")</f>
        <v>Normal</v>
      </c>
    </row>
    <row r="515" spans="1:13" x14ac:dyDescent="0.2">
      <c r="A515">
        <v>514</v>
      </c>
      <c r="B515" cm="1">
        <f t="array" ref="B515:L515">_xlfn.XLOOKUP($A515,Instagram_Usage_Lifestyle_Mini_!$A:$A,Instagram_Usage_Lifestyle_Mini_!$L:$V,"Not Found")</f>
        <v>8.6999999999999993</v>
      </c>
      <c r="C515">
        <v>6</v>
      </c>
      <c r="D515" t="str">
        <v>Average</v>
      </c>
      <c r="E515" t="str">
        <v>Yes</v>
      </c>
      <c r="F515" t="str">
        <v>Weekly</v>
      </c>
      <c r="G515">
        <v>26</v>
      </c>
      <c r="H515">
        <v>7</v>
      </c>
      <c r="I515">
        <v>22.5</v>
      </c>
      <c r="J515">
        <v>126</v>
      </c>
      <c r="K515">
        <v>65</v>
      </c>
      <c r="L515">
        <v>7982</v>
      </c>
      <c r="M515" t="str" cm="1">
        <f t="array" ref="M515">_xlfn.IFS(C515&lt;6,"Poor",C515&lt;=8,"Normal",TRUE,"High")</f>
        <v>Normal</v>
      </c>
    </row>
    <row r="516" spans="1:13" x14ac:dyDescent="0.2">
      <c r="A516">
        <v>515</v>
      </c>
      <c r="B516" cm="1">
        <f t="array" ref="B516:L516">_xlfn.XLOOKUP($A516,Instagram_Usage_Lifestyle_Mini_!$A:$A,Instagram_Usage_Lifestyle_Mini_!$L:$V,"Not Found")</f>
        <v>4.0999999999999996</v>
      </c>
      <c r="C516">
        <v>7.8</v>
      </c>
      <c r="D516" t="str">
        <v>Good</v>
      </c>
      <c r="E516" t="str">
        <v>Former</v>
      </c>
      <c r="F516" t="str">
        <v>Rarely</v>
      </c>
      <c r="G516">
        <v>33</v>
      </c>
      <c r="H516">
        <v>6</v>
      </c>
      <c r="I516">
        <v>21.6</v>
      </c>
      <c r="J516">
        <v>92</v>
      </c>
      <c r="K516">
        <v>98</v>
      </c>
      <c r="L516">
        <v>7800</v>
      </c>
      <c r="M516" t="str" cm="1">
        <f t="array" ref="M516">_xlfn.IFS(C516&lt;6,"Poor",C516&lt;=8,"Normal",TRUE,"High")</f>
        <v>Normal</v>
      </c>
    </row>
    <row r="517" spans="1:13" x14ac:dyDescent="0.2">
      <c r="A517">
        <v>516</v>
      </c>
      <c r="B517" cm="1">
        <f t="array" ref="B517:L517">_xlfn.XLOOKUP($A517,Instagram_Usage_Lifestyle_Mini_!$A:$A,Instagram_Usage_Lifestyle_Mini_!$L:$V,"Not Found")</f>
        <v>6.8</v>
      </c>
      <c r="C517">
        <v>7.1</v>
      </c>
      <c r="D517" t="str">
        <v>Good</v>
      </c>
      <c r="E517" t="str">
        <v>No</v>
      </c>
      <c r="F517" t="str">
        <v>Never</v>
      </c>
      <c r="G517">
        <v>24</v>
      </c>
      <c r="H517">
        <v>6</v>
      </c>
      <c r="I517">
        <v>28.5</v>
      </c>
      <c r="J517">
        <v>157</v>
      </c>
      <c r="K517">
        <v>76</v>
      </c>
      <c r="L517">
        <v>8014</v>
      </c>
      <c r="M517" t="str" cm="1">
        <f t="array" ref="M517">_xlfn.IFS(C517&lt;6,"Poor",C517&lt;=8,"Normal",TRUE,"High")</f>
        <v>Normal</v>
      </c>
    </row>
    <row r="518" spans="1:13" x14ac:dyDescent="0.2">
      <c r="A518">
        <v>517</v>
      </c>
      <c r="B518" cm="1">
        <f t="array" ref="B518:L518">_xlfn.XLOOKUP($A518,Instagram_Usage_Lifestyle_Mini_!$A:$A,Instagram_Usage_Lifestyle_Mini_!$L:$V,"Not Found")</f>
        <v>4.3</v>
      </c>
      <c r="C518">
        <v>8.8000000000000007</v>
      </c>
      <c r="D518" t="str">
        <v>Excellent</v>
      </c>
      <c r="E518" t="str">
        <v>No</v>
      </c>
      <c r="F518" t="str">
        <v>Rarely</v>
      </c>
      <c r="G518">
        <v>28</v>
      </c>
      <c r="H518">
        <v>1</v>
      </c>
      <c r="I518">
        <v>27.6</v>
      </c>
      <c r="J518">
        <v>157</v>
      </c>
      <c r="K518">
        <v>81</v>
      </c>
      <c r="L518">
        <v>7974</v>
      </c>
      <c r="M518" t="str" cm="1">
        <f t="array" ref="M518">_xlfn.IFS(C518&lt;6,"Poor",C518&lt;=8,"Normal",TRUE,"High")</f>
        <v>High</v>
      </c>
    </row>
    <row r="519" spans="1:13" x14ac:dyDescent="0.2">
      <c r="A519">
        <v>518</v>
      </c>
      <c r="B519" cm="1">
        <f t="array" ref="B519:L519">_xlfn.XLOOKUP($A519,Instagram_Usage_Lifestyle_Mini_!$A:$A,Instagram_Usage_Lifestyle_Mini_!$L:$V,"Not Found")</f>
        <v>6</v>
      </c>
      <c r="C519">
        <v>7.5</v>
      </c>
      <c r="D519" t="str">
        <v>Average</v>
      </c>
      <c r="E519" t="str">
        <v>Former</v>
      </c>
      <c r="F519" t="str">
        <v>Weekly</v>
      </c>
      <c r="G519">
        <v>23</v>
      </c>
      <c r="H519">
        <v>7</v>
      </c>
      <c r="I519">
        <v>27.3</v>
      </c>
      <c r="J519">
        <v>104</v>
      </c>
      <c r="K519">
        <v>98</v>
      </c>
      <c r="L519">
        <v>8164</v>
      </c>
      <c r="M519" t="str" cm="1">
        <f t="array" ref="M519">_xlfn.IFS(C519&lt;6,"Poor",C519&lt;=8,"Normal",TRUE,"High")</f>
        <v>Normal</v>
      </c>
    </row>
    <row r="520" spans="1:13" x14ac:dyDescent="0.2">
      <c r="A520">
        <v>519</v>
      </c>
      <c r="B520" cm="1">
        <f t="array" ref="B520:L520">_xlfn.XLOOKUP($A520,Instagram_Usage_Lifestyle_Mini_!$A:$A,Instagram_Usage_Lifestyle_Mini_!$L:$V,"Not Found")</f>
        <v>9.6999999999999993</v>
      </c>
      <c r="C520">
        <v>7.5</v>
      </c>
      <c r="D520" t="str">
        <v>Excellent</v>
      </c>
      <c r="E520" t="str">
        <v>No</v>
      </c>
      <c r="F520" t="str">
        <v>Never</v>
      </c>
      <c r="G520">
        <v>3</v>
      </c>
      <c r="H520">
        <v>8</v>
      </c>
      <c r="I520">
        <v>23.5</v>
      </c>
      <c r="J520">
        <v>98</v>
      </c>
      <c r="K520">
        <v>75</v>
      </c>
      <c r="L520">
        <v>8259</v>
      </c>
      <c r="M520" t="str" cm="1">
        <f t="array" ref="M520">_xlfn.IFS(C520&lt;6,"Poor",C520&lt;=8,"Normal",TRUE,"High")</f>
        <v>Normal</v>
      </c>
    </row>
    <row r="521" spans="1:13" x14ac:dyDescent="0.2">
      <c r="A521">
        <v>520</v>
      </c>
      <c r="B521" cm="1">
        <f t="array" ref="B521:L521">_xlfn.XLOOKUP($A521,Instagram_Usage_Lifestyle_Mini_!$A:$A,Instagram_Usage_Lifestyle_Mini_!$L:$V,"Not Found")</f>
        <v>7.2</v>
      </c>
      <c r="C521">
        <v>7.1</v>
      </c>
      <c r="D521" t="str">
        <v>Good</v>
      </c>
      <c r="E521" t="str">
        <v>No</v>
      </c>
      <c r="F521" t="str">
        <v>Rarely</v>
      </c>
      <c r="G521">
        <v>24</v>
      </c>
      <c r="H521">
        <v>5</v>
      </c>
      <c r="I521">
        <v>26.6</v>
      </c>
      <c r="J521">
        <v>125</v>
      </c>
      <c r="K521">
        <v>64</v>
      </c>
      <c r="L521">
        <v>8052</v>
      </c>
      <c r="M521" t="str" cm="1">
        <f t="array" ref="M521">_xlfn.IFS(C521&lt;6,"Poor",C521&lt;=8,"Normal",TRUE,"High")</f>
        <v>Normal</v>
      </c>
    </row>
    <row r="522" spans="1:13" x14ac:dyDescent="0.2">
      <c r="A522">
        <v>521</v>
      </c>
      <c r="B522" cm="1">
        <f t="array" ref="B522:L522">_xlfn.XLOOKUP($A522,Instagram_Usage_Lifestyle_Mini_!$A:$A,Instagram_Usage_Lifestyle_Mini_!$L:$V,"Not Found")</f>
        <v>5</v>
      </c>
      <c r="C522">
        <v>6.8</v>
      </c>
      <c r="D522" t="str">
        <v>Good</v>
      </c>
      <c r="E522" t="str">
        <v>No</v>
      </c>
      <c r="F522" t="str">
        <v>Rarely</v>
      </c>
      <c r="G522">
        <v>34</v>
      </c>
      <c r="H522">
        <v>8</v>
      </c>
      <c r="I522">
        <v>27.2</v>
      </c>
      <c r="J522">
        <v>94</v>
      </c>
      <c r="K522">
        <v>63</v>
      </c>
      <c r="L522">
        <v>7886</v>
      </c>
      <c r="M522" t="str" cm="1">
        <f t="array" ref="M522">_xlfn.IFS(C522&lt;6,"Poor",C522&lt;=8,"Normal",TRUE,"High")</f>
        <v>Normal</v>
      </c>
    </row>
    <row r="523" spans="1:13" x14ac:dyDescent="0.2">
      <c r="A523">
        <v>522</v>
      </c>
      <c r="B523" cm="1">
        <f t="array" ref="B523:L523">_xlfn.XLOOKUP($A523,Instagram_Usage_Lifestyle_Mini_!$A:$A,Instagram_Usage_Lifestyle_Mini_!$L:$V,"Not Found")</f>
        <v>2.5</v>
      </c>
      <c r="C523">
        <v>5.5</v>
      </c>
      <c r="D523" t="str">
        <v>Very_poor</v>
      </c>
      <c r="E523" t="str">
        <v>No</v>
      </c>
      <c r="F523" t="str">
        <v>Daily</v>
      </c>
      <c r="G523">
        <v>26</v>
      </c>
      <c r="H523">
        <v>1</v>
      </c>
      <c r="I523">
        <v>23</v>
      </c>
      <c r="J523">
        <v>128</v>
      </c>
      <c r="K523">
        <v>64</v>
      </c>
      <c r="L523">
        <v>7845</v>
      </c>
      <c r="M523" t="str" cm="1">
        <f t="array" ref="M523">_xlfn.IFS(C523&lt;6,"Poor",C523&lt;=8,"Normal",TRUE,"High")</f>
        <v>Poor</v>
      </c>
    </row>
    <row r="524" spans="1:13" x14ac:dyDescent="0.2">
      <c r="A524">
        <v>523</v>
      </c>
      <c r="B524" cm="1">
        <f t="array" ref="B524:L524">_xlfn.XLOOKUP($A524,Instagram_Usage_Lifestyle_Mini_!$A:$A,Instagram_Usage_Lifestyle_Mini_!$L:$V,"Not Found")</f>
        <v>9.9</v>
      </c>
      <c r="C524">
        <v>8.8000000000000007</v>
      </c>
      <c r="D524" t="str">
        <v>Excellent</v>
      </c>
      <c r="E524" t="str">
        <v>No</v>
      </c>
      <c r="F524" t="str">
        <v>Weekly</v>
      </c>
      <c r="G524">
        <v>34</v>
      </c>
      <c r="H524">
        <v>1</v>
      </c>
      <c r="I524">
        <v>23</v>
      </c>
      <c r="J524">
        <v>138</v>
      </c>
      <c r="K524">
        <v>81</v>
      </c>
      <c r="L524">
        <v>8095</v>
      </c>
      <c r="M524" t="str" cm="1">
        <f t="array" ref="M524">_xlfn.IFS(C524&lt;6,"Poor",C524&lt;=8,"Normal",TRUE,"High")</f>
        <v>High</v>
      </c>
    </row>
    <row r="525" spans="1:13" x14ac:dyDescent="0.2">
      <c r="A525">
        <v>524</v>
      </c>
      <c r="B525" cm="1">
        <f t="array" ref="B525:L525">_xlfn.XLOOKUP($A525,Instagram_Usage_Lifestyle_Mini_!$A:$A,Instagram_Usage_Lifestyle_Mini_!$L:$V,"Not Found")</f>
        <v>7</v>
      </c>
      <c r="C525">
        <v>5.9</v>
      </c>
      <c r="D525" t="str">
        <v>Excellent</v>
      </c>
      <c r="E525" t="str">
        <v>No</v>
      </c>
      <c r="F525" t="str">
        <v>Several_times_a_week</v>
      </c>
      <c r="G525">
        <v>40</v>
      </c>
      <c r="H525">
        <v>1</v>
      </c>
      <c r="I525">
        <v>27.9</v>
      </c>
      <c r="J525">
        <v>121</v>
      </c>
      <c r="K525">
        <v>93</v>
      </c>
      <c r="L525">
        <v>7826</v>
      </c>
      <c r="M525" t="str" cm="1">
        <f t="array" ref="M525">_xlfn.IFS(C525&lt;6,"Poor",C525&lt;=8,"Normal",TRUE,"High")</f>
        <v>Poor</v>
      </c>
    </row>
    <row r="526" spans="1:13" x14ac:dyDescent="0.2">
      <c r="A526">
        <v>525</v>
      </c>
      <c r="B526" cm="1">
        <f t="array" ref="B526:L526">_xlfn.XLOOKUP($A526,Instagram_Usage_Lifestyle_Mini_!$A:$A,Instagram_Usage_Lifestyle_Mini_!$L:$V,"Not Found")</f>
        <v>10.7</v>
      </c>
      <c r="C526">
        <v>5.7</v>
      </c>
      <c r="D526" t="str">
        <v>Average</v>
      </c>
      <c r="E526" t="str">
        <v>No</v>
      </c>
      <c r="F526" t="str">
        <v>Never</v>
      </c>
      <c r="G526">
        <v>34</v>
      </c>
      <c r="H526">
        <v>2</v>
      </c>
      <c r="I526">
        <v>27.5</v>
      </c>
      <c r="J526">
        <v>138</v>
      </c>
      <c r="K526">
        <v>60</v>
      </c>
      <c r="L526">
        <v>8120</v>
      </c>
      <c r="M526" t="str" cm="1">
        <f t="array" ref="M526">_xlfn.IFS(C526&lt;6,"Poor",C526&lt;=8,"Normal",TRUE,"High")</f>
        <v>Poor</v>
      </c>
    </row>
    <row r="527" spans="1:13" x14ac:dyDescent="0.2">
      <c r="A527">
        <v>526</v>
      </c>
      <c r="B527" cm="1">
        <f t="array" ref="B527:L527">_xlfn.XLOOKUP($A527,Instagram_Usage_Lifestyle_Mini_!$A:$A,Instagram_Usage_Lifestyle_Mini_!$L:$V,"Not Found")</f>
        <v>12.8</v>
      </c>
      <c r="C527">
        <v>5.3</v>
      </c>
      <c r="D527" t="str">
        <v>Average</v>
      </c>
      <c r="E527" t="str">
        <v>No</v>
      </c>
      <c r="F527" t="str">
        <v>Never</v>
      </c>
      <c r="G527">
        <v>4</v>
      </c>
      <c r="H527">
        <v>1</v>
      </c>
      <c r="I527">
        <v>28.9</v>
      </c>
      <c r="J527">
        <v>139</v>
      </c>
      <c r="K527">
        <v>93</v>
      </c>
      <c r="L527">
        <v>7987</v>
      </c>
      <c r="M527" t="str" cm="1">
        <f t="array" ref="M527">_xlfn.IFS(C527&lt;6,"Poor",C527&lt;=8,"Normal",TRUE,"High")</f>
        <v>Poor</v>
      </c>
    </row>
    <row r="528" spans="1:13" x14ac:dyDescent="0.2">
      <c r="A528">
        <v>527</v>
      </c>
      <c r="B528" cm="1">
        <f t="array" ref="B528:L528">_xlfn.XLOOKUP($A528,Instagram_Usage_Lifestyle_Mini_!$A:$A,Instagram_Usage_Lifestyle_Mini_!$L:$V,"Not Found")</f>
        <v>2.9</v>
      </c>
      <c r="C528">
        <v>7.3</v>
      </c>
      <c r="D528" t="str">
        <v>Average</v>
      </c>
      <c r="E528" t="str">
        <v>Yes</v>
      </c>
      <c r="F528" t="str">
        <v>Rarely</v>
      </c>
      <c r="G528">
        <v>21</v>
      </c>
      <c r="H528">
        <v>8</v>
      </c>
      <c r="I528">
        <v>31.7</v>
      </c>
      <c r="J528">
        <v>131</v>
      </c>
      <c r="K528">
        <v>90</v>
      </c>
      <c r="L528">
        <v>8006</v>
      </c>
      <c r="M528" t="str" cm="1">
        <f t="array" ref="M528">_xlfn.IFS(C528&lt;6,"Poor",C528&lt;=8,"Normal",TRUE,"High")</f>
        <v>Normal</v>
      </c>
    </row>
    <row r="529" spans="1:13" x14ac:dyDescent="0.2">
      <c r="A529">
        <v>528</v>
      </c>
      <c r="B529" cm="1">
        <f t="array" ref="B529:L529">_xlfn.XLOOKUP($A529,Instagram_Usage_Lifestyle_Mini_!$A:$A,Instagram_Usage_Lifestyle_Mini_!$L:$V,"Not Found")</f>
        <v>3.4</v>
      </c>
      <c r="C529">
        <v>6</v>
      </c>
      <c r="D529" t="str">
        <v>Good</v>
      </c>
      <c r="E529" t="str">
        <v>No</v>
      </c>
      <c r="F529" t="str">
        <v>Rarely</v>
      </c>
      <c r="G529">
        <v>24</v>
      </c>
      <c r="H529">
        <v>7</v>
      </c>
      <c r="I529">
        <v>23.5</v>
      </c>
      <c r="J529">
        <v>128</v>
      </c>
      <c r="K529">
        <v>88</v>
      </c>
      <c r="L529">
        <v>8115</v>
      </c>
      <c r="M529" t="str" cm="1">
        <f t="array" ref="M529">_xlfn.IFS(C529&lt;6,"Poor",C529&lt;=8,"Normal",TRUE,"High")</f>
        <v>Normal</v>
      </c>
    </row>
    <row r="530" spans="1:13" x14ac:dyDescent="0.2">
      <c r="A530">
        <v>529</v>
      </c>
      <c r="B530" cm="1">
        <f t="array" ref="B530:L530">_xlfn.XLOOKUP($A530,Instagram_Usage_Lifestyle_Mini_!$A:$A,Instagram_Usage_Lifestyle_Mini_!$L:$V,"Not Found")</f>
        <v>9.4</v>
      </c>
      <c r="C530">
        <v>6.3</v>
      </c>
      <c r="D530" t="str">
        <v>Good</v>
      </c>
      <c r="E530" t="str">
        <v>No</v>
      </c>
      <c r="F530" t="str">
        <v>Never</v>
      </c>
      <c r="G530">
        <v>31</v>
      </c>
      <c r="H530">
        <v>9</v>
      </c>
      <c r="I530">
        <v>17.100000000000001</v>
      </c>
      <c r="J530">
        <v>93</v>
      </c>
      <c r="K530">
        <v>83</v>
      </c>
      <c r="L530">
        <v>8152</v>
      </c>
      <c r="M530" t="str" cm="1">
        <f t="array" ref="M530">_xlfn.IFS(C530&lt;6,"Poor",C530&lt;=8,"Normal",TRUE,"High")</f>
        <v>Normal</v>
      </c>
    </row>
    <row r="531" spans="1:13" x14ac:dyDescent="0.2">
      <c r="A531">
        <v>530</v>
      </c>
      <c r="B531" cm="1">
        <f t="array" ref="B531:L531">_xlfn.XLOOKUP($A531,Instagram_Usage_Lifestyle_Mini_!$A:$A,Instagram_Usage_Lifestyle_Mini_!$L:$V,"Not Found")</f>
        <v>5.6</v>
      </c>
      <c r="C531">
        <v>5.7</v>
      </c>
      <c r="D531" t="str">
        <v>Average</v>
      </c>
      <c r="E531" t="str">
        <v>No</v>
      </c>
      <c r="F531" t="str">
        <v>Never</v>
      </c>
      <c r="G531">
        <v>5</v>
      </c>
      <c r="H531">
        <v>1</v>
      </c>
      <c r="I531">
        <v>25.9</v>
      </c>
      <c r="J531">
        <v>136</v>
      </c>
      <c r="K531">
        <v>70</v>
      </c>
      <c r="L531">
        <v>7905</v>
      </c>
      <c r="M531" t="str" cm="1">
        <f t="array" ref="M531">_xlfn.IFS(C531&lt;6,"Poor",C531&lt;=8,"Normal",TRUE,"High")</f>
        <v>Poor</v>
      </c>
    </row>
    <row r="532" spans="1:13" x14ac:dyDescent="0.2">
      <c r="A532">
        <v>531</v>
      </c>
      <c r="B532" cm="1">
        <f t="array" ref="B532:L532">_xlfn.XLOOKUP($A532,Instagram_Usage_Lifestyle_Mini_!$A:$A,Instagram_Usage_Lifestyle_Mini_!$L:$V,"Not Found")</f>
        <v>15.4</v>
      </c>
      <c r="C532">
        <v>6.6</v>
      </c>
      <c r="D532" t="str">
        <v>Average</v>
      </c>
      <c r="E532" t="str">
        <v>Yes</v>
      </c>
      <c r="F532" t="str">
        <v>Weekly</v>
      </c>
      <c r="G532">
        <v>39</v>
      </c>
      <c r="H532">
        <v>3</v>
      </c>
      <c r="I532">
        <v>27</v>
      </c>
      <c r="J532">
        <v>125</v>
      </c>
      <c r="K532">
        <v>89</v>
      </c>
      <c r="L532">
        <v>8091</v>
      </c>
      <c r="M532" t="str" cm="1">
        <f t="array" ref="M532">_xlfn.IFS(C532&lt;6,"Poor",C532&lt;=8,"Normal",TRUE,"High")</f>
        <v>Normal</v>
      </c>
    </row>
    <row r="533" spans="1:13" x14ac:dyDescent="0.2">
      <c r="A533">
        <v>532</v>
      </c>
      <c r="B533" cm="1">
        <f t="array" ref="B533:L533">_xlfn.XLOOKUP($A533,Instagram_Usage_Lifestyle_Mini_!$A:$A,Instagram_Usage_Lifestyle_Mini_!$L:$V,"Not Found")</f>
        <v>3.4</v>
      </c>
      <c r="C533">
        <v>6</v>
      </c>
      <c r="D533" t="str">
        <v>Poor</v>
      </c>
      <c r="E533" t="str">
        <v>No</v>
      </c>
      <c r="F533" t="str">
        <v>Rarely</v>
      </c>
      <c r="G533">
        <v>1</v>
      </c>
      <c r="H533">
        <v>5</v>
      </c>
      <c r="I533">
        <v>23.7</v>
      </c>
      <c r="J533">
        <v>98</v>
      </c>
      <c r="K533">
        <v>77</v>
      </c>
      <c r="L533">
        <v>8100</v>
      </c>
      <c r="M533" t="str" cm="1">
        <f t="array" ref="M533">_xlfn.IFS(C533&lt;6,"Poor",C533&lt;=8,"Normal",TRUE,"High")</f>
        <v>Normal</v>
      </c>
    </row>
    <row r="534" spans="1:13" x14ac:dyDescent="0.2">
      <c r="A534">
        <v>533</v>
      </c>
      <c r="B534" cm="1">
        <f t="array" ref="B534:L534">_xlfn.XLOOKUP($A534,Instagram_Usage_Lifestyle_Mini_!$A:$A,Instagram_Usage_Lifestyle_Mini_!$L:$V,"Not Found")</f>
        <v>5.7</v>
      </c>
      <c r="C534">
        <v>6.6</v>
      </c>
      <c r="D534" t="str">
        <v>Excellent</v>
      </c>
      <c r="E534" t="str">
        <v>No</v>
      </c>
      <c r="F534" t="str">
        <v>Rarely</v>
      </c>
      <c r="G534">
        <v>30</v>
      </c>
      <c r="H534">
        <v>2</v>
      </c>
      <c r="I534">
        <v>25.8</v>
      </c>
      <c r="J534">
        <v>148</v>
      </c>
      <c r="K534">
        <v>83</v>
      </c>
      <c r="L534">
        <v>7930</v>
      </c>
      <c r="M534" t="str" cm="1">
        <f t="array" ref="M534">_xlfn.IFS(C534&lt;6,"Poor",C534&lt;=8,"Normal",TRUE,"High")</f>
        <v>Normal</v>
      </c>
    </row>
    <row r="535" spans="1:13" x14ac:dyDescent="0.2">
      <c r="A535">
        <v>534</v>
      </c>
      <c r="B535" cm="1">
        <f t="array" ref="B535:L535">_xlfn.XLOOKUP($A535,Instagram_Usage_Lifestyle_Mini_!$A:$A,Instagram_Usage_Lifestyle_Mini_!$L:$V,"Not Found")</f>
        <v>4.9000000000000004</v>
      </c>
      <c r="C535">
        <v>7.5</v>
      </c>
      <c r="D535" t="str">
        <v>Excellent</v>
      </c>
      <c r="E535" t="str">
        <v>No</v>
      </c>
      <c r="F535" t="str">
        <v>Never</v>
      </c>
      <c r="G535">
        <v>2</v>
      </c>
      <c r="H535">
        <v>3</v>
      </c>
      <c r="I535">
        <v>27.6</v>
      </c>
      <c r="J535">
        <v>112</v>
      </c>
      <c r="K535">
        <v>96</v>
      </c>
      <c r="L535">
        <v>8137</v>
      </c>
      <c r="M535" t="str" cm="1">
        <f t="array" ref="M535">_xlfn.IFS(C535&lt;6,"Poor",C535&lt;=8,"Normal",TRUE,"High")</f>
        <v>Normal</v>
      </c>
    </row>
    <row r="536" spans="1:13" x14ac:dyDescent="0.2">
      <c r="A536">
        <v>535</v>
      </c>
      <c r="B536" cm="1">
        <f t="array" ref="B536:L536">_xlfn.XLOOKUP($A536,Instagram_Usage_Lifestyle_Mini_!$A:$A,Instagram_Usage_Lifestyle_Mini_!$L:$V,"Not Found")</f>
        <v>5.8</v>
      </c>
      <c r="C536">
        <v>6.2</v>
      </c>
      <c r="D536" t="str">
        <v>Very_poor</v>
      </c>
      <c r="E536" t="str">
        <v>Former</v>
      </c>
      <c r="F536" t="str">
        <v>Rarely</v>
      </c>
      <c r="G536">
        <v>23</v>
      </c>
      <c r="H536">
        <v>2</v>
      </c>
      <c r="I536">
        <v>25.4</v>
      </c>
      <c r="J536">
        <v>159</v>
      </c>
      <c r="K536">
        <v>92</v>
      </c>
      <c r="L536">
        <v>7994</v>
      </c>
      <c r="M536" t="str" cm="1">
        <f t="array" ref="M536">_xlfn.IFS(C536&lt;6,"Poor",C536&lt;=8,"Normal",TRUE,"High")</f>
        <v>Normal</v>
      </c>
    </row>
    <row r="537" spans="1:13" x14ac:dyDescent="0.2">
      <c r="A537">
        <v>536</v>
      </c>
      <c r="B537" cm="1">
        <f t="array" ref="B537:L537">_xlfn.XLOOKUP($A537,Instagram_Usage_Lifestyle_Mini_!$A:$A,Instagram_Usage_Lifestyle_Mini_!$L:$V,"Not Found")</f>
        <v>10.8</v>
      </c>
      <c r="C537">
        <v>6.6</v>
      </c>
      <c r="D537" t="str">
        <v>Poor</v>
      </c>
      <c r="E537" t="str">
        <v>No</v>
      </c>
      <c r="F537" t="str">
        <v>Never</v>
      </c>
      <c r="G537">
        <v>21</v>
      </c>
      <c r="H537">
        <v>3</v>
      </c>
      <c r="I537">
        <v>20.6</v>
      </c>
      <c r="J537">
        <v>120</v>
      </c>
      <c r="K537">
        <v>98</v>
      </c>
      <c r="L537">
        <v>8020</v>
      </c>
      <c r="M537" t="str" cm="1">
        <f t="array" ref="M537">_xlfn.IFS(C537&lt;6,"Poor",C537&lt;=8,"Normal",TRUE,"High")</f>
        <v>Normal</v>
      </c>
    </row>
    <row r="538" spans="1:13" x14ac:dyDescent="0.2">
      <c r="A538">
        <v>537</v>
      </c>
      <c r="B538" cm="1">
        <f t="array" ref="B538:L538">_xlfn.XLOOKUP($A538,Instagram_Usage_Lifestyle_Mini_!$A:$A,Instagram_Usage_Lifestyle_Mini_!$L:$V,"Not Found")</f>
        <v>12.8</v>
      </c>
      <c r="C538">
        <v>6.5</v>
      </c>
      <c r="D538" t="str">
        <v>Poor</v>
      </c>
      <c r="E538" t="str">
        <v>Former</v>
      </c>
      <c r="F538" t="str">
        <v>Rarely</v>
      </c>
      <c r="G538">
        <v>26</v>
      </c>
      <c r="H538">
        <v>1</v>
      </c>
      <c r="I538">
        <v>27.2</v>
      </c>
      <c r="J538">
        <v>159</v>
      </c>
      <c r="K538">
        <v>79</v>
      </c>
      <c r="L538">
        <v>8094</v>
      </c>
      <c r="M538" t="str" cm="1">
        <f t="array" ref="M538">_xlfn.IFS(C538&lt;6,"Poor",C538&lt;=8,"Normal",TRUE,"High")</f>
        <v>Normal</v>
      </c>
    </row>
    <row r="539" spans="1:13" x14ac:dyDescent="0.2">
      <c r="A539">
        <v>538</v>
      </c>
      <c r="B539" cm="1">
        <f t="array" ref="B539:L539">_xlfn.XLOOKUP($A539,Instagram_Usage_Lifestyle_Mini_!$A:$A,Instagram_Usage_Lifestyle_Mini_!$L:$V,"Not Found")</f>
        <v>9.1999999999999993</v>
      </c>
      <c r="C539">
        <v>5.5</v>
      </c>
      <c r="D539" t="str">
        <v>Excellent</v>
      </c>
      <c r="E539" t="str">
        <v>Yes</v>
      </c>
      <c r="F539" t="str">
        <v>Several_times_a_week</v>
      </c>
      <c r="G539">
        <v>10</v>
      </c>
      <c r="H539">
        <v>8</v>
      </c>
      <c r="I539">
        <v>25.5</v>
      </c>
      <c r="J539">
        <v>156</v>
      </c>
      <c r="K539">
        <v>65</v>
      </c>
      <c r="L539">
        <v>7934</v>
      </c>
      <c r="M539" t="str" cm="1">
        <f t="array" ref="M539">_xlfn.IFS(C539&lt;6,"Poor",C539&lt;=8,"Normal",TRUE,"High")</f>
        <v>Poor</v>
      </c>
    </row>
    <row r="540" spans="1:13" x14ac:dyDescent="0.2">
      <c r="A540">
        <v>539</v>
      </c>
      <c r="B540" cm="1">
        <f t="array" ref="B540:L540">_xlfn.XLOOKUP($A540,Instagram_Usage_Lifestyle_Mini_!$A:$A,Instagram_Usage_Lifestyle_Mini_!$L:$V,"Not Found")</f>
        <v>14.1</v>
      </c>
      <c r="C540">
        <v>6.3</v>
      </c>
      <c r="D540" t="str">
        <v>Average</v>
      </c>
      <c r="E540" t="str">
        <v>Former</v>
      </c>
      <c r="F540" t="str">
        <v>Never</v>
      </c>
      <c r="G540">
        <v>29</v>
      </c>
      <c r="H540">
        <v>3</v>
      </c>
      <c r="I540">
        <v>21.7</v>
      </c>
      <c r="J540">
        <v>135</v>
      </c>
      <c r="K540">
        <v>60</v>
      </c>
      <c r="L540">
        <v>7938</v>
      </c>
      <c r="M540" t="str" cm="1">
        <f t="array" ref="M540">_xlfn.IFS(C540&lt;6,"Poor",C540&lt;=8,"Normal",TRUE,"High")</f>
        <v>Normal</v>
      </c>
    </row>
    <row r="541" spans="1:13" x14ac:dyDescent="0.2">
      <c r="A541">
        <v>540</v>
      </c>
      <c r="B541" cm="1">
        <f t="array" ref="B541:L541">_xlfn.XLOOKUP($A541,Instagram_Usage_Lifestyle_Mini_!$A:$A,Instagram_Usage_Lifestyle_Mini_!$L:$V,"Not Found")</f>
        <v>12.5</v>
      </c>
      <c r="C541">
        <v>8</v>
      </c>
      <c r="D541" t="str">
        <v>Very_poor</v>
      </c>
      <c r="E541" t="str">
        <v>Yes</v>
      </c>
      <c r="F541" t="str">
        <v>Several_times_a_week</v>
      </c>
      <c r="G541">
        <v>17</v>
      </c>
      <c r="H541">
        <v>6</v>
      </c>
      <c r="I541">
        <v>27.9</v>
      </c>
      <c r="J541">
        <v>104</v>
      </c>
      <c r="K541">
        <v>95</v>
      </c>
      <c r="L541">
        <v>8019</v>
      </c>
      <c r="M541" t="str" cm="1">
        <f t="array" ref="M541">_xlfn.IFS(C541&lt;6,"Poor",C541&lt;=8,"Normal",TRUE,"High")</f>
        <v>Normal</v>
      </c>
    </row>
    <row r="542" spans="1:13" x14ac:dyDescent="0.2">
      <c r="A542">
        <v>541</v>
      </c>
      <c r="B542" cm="1">
        <f t="array" ref="B542:L542">_xlfn.XLOOKUP($A542,Instagram_Usage_Lifestyle_Mini_!$A:$A,Instagram_Usage_Lifestyle_Mini_!$L:$V,"Not Found")</f>
        <v>9.4</v>
      </c>
      <c r="C542">
        <v>9.4</v>
      </c>
      <c r="D542" t="str">
        <v>Excellent</v>
      </c>
      <c r="E542" t="str">
        <v>Former</v>
      </c>
      <c r="F542" t="str">
        <v>Rarely</v>
      </c>
      <c r="G542">
        <v>29</v>
      </c>
      <c r="H542">
        <v>6</v>
      </c>
      <c r="I542">
        <v>25.5</v>
      </c>
      <c r="J542">
        <v>119</v>
      </c>
      <c r="K542">
        <v>60</v>
      </c>
      <c r="L542">
        <v>8050</v>
      </c>
      <c r="M542" t="str" cm="1">
        <f t="array" ref="M542">_xlfn.IFS(C542&lt;6,"Poor",C542&lt;=8,"Normal",TRUE,"High")</f>
        <v>High</v>
      </c>
    </row>
    <row r="543" spans="1:13" x14ac:dyDescent="0.2">
      <c r="A543">
        <v>542</v>
      </c>
      <c r="B543" cm="1">
        <f t="array" ref="B543:L543">_xlfn.XLOOKUP($A543,Instagram_Usage_Lifestyle_Mini_!$A:$A,Instagram_Usage_Lifestyle_Mini_!$L:$V,"Not Found")</f>
        <v>11.3</v>
      </c>
      <c r="C543">
        <v>4.4000000000000004</v>
      </c>
      <c r="D543" t="str">
        <v>Very_poor</v>
      </c>
      <c r="E543" t="str">
        <v>Yes</v>
      </c>
      <c r="F543" t="str">
        <v>Rarely</v>
      </c>
      <c r="G543">
        <v>30</v>
      </c>
      <c r="H543">
        <v>7</v>
      </c>
      <c r="I543">
        <v>20.3</v>
      </c>
      <c r="J543">
        <v>130</v>
      </c>
      <c r="K543">
        <v>61</v>
      </c>
      <c r="L543">
        <v>7973</v>
      </c>
      <c r="M543" t="str" cm="1">
        <f t="array" ref="M543">_xlfn.IFS(C543&lt;6,"Poor",C543&lt;=8,"Normal",TRUE,"High")</f>
        <v>Poor</v>
      </c>
    </row>
    <row r="544" spans="1:13" x14ac:dyDescent="0.2">
      <c r="A544">
        <v>543</v>
      </c>
      <c r="B544" cm="1">
        <f t="array" ref="B544:L544">_xlfn.XLOOKUP($A544,Instagram_Usage_Lifestyle_Mini_!$A:$A,Instagram_Usage_Lifestyle_Mini_!$L:$V,"Not Found")</f>
        <v>8.6999999999999993</v>
      </c>
      <c r="C544">
        <v>6.9</v>
      </c>
      <c r="D544" t="str">
        <v>Poor</v>
      </c>
      <c r="E544" t="str">
        <v>No</v>
      </c>
      <c r="F544" t="str">
        <v>Rarely</v>
      </c>
      <c r="G544">
        <v>12</v>
      </c>
      <c r="H544">
        <v>6</v>
      </c>
      <c r="I544">
        <v>19.899999999999999</v>
      </c>
      <c r="J544">
        <v>154</v>
      </c>
      <c r="K544">
        <v>77</v>
      </c>
      <c r="L544">
        <v>7887</v>
      </c>
      <c r="M544" t="str" cm="1">
        <f t="array" ref="M544">_xlfn.IFS(C544&lt;6,"Poor",C544&lt;=8,"Normal",TRUE,"High")</f>
        <v>Normal</v>
      </c>
    </row>
    <row r="545" spans="1:13" x14ac:dyDescent="0.2">
      <c r="A545">
        <v>544</v>
      </c>
      <c r="B545" cm="1">
        <f t="array" ref="B545:L545">_xlfn.XLOOKUP($A545,Instagram_Usage_Lifestyle_Mini_!$A:$A,Instagram_Usage_Lifestyle_Mini_!$L:$V,"Not Found")</f>
        <v>5.4</v>
      </c>
      <c r="C545">
        <v>5.4</v>
      </c>
      <c r="D545" t="str">
        <v>Average</v>
      </c>
      <c r="E545" t="str">
        <v>No</v>
      </c>
      <c r="F545" t="str">
        <v>Rarely</v>
      </c>
      <c r="G545">
        <v>10</v>
      </c>
      <c r="H545">
        <v>6</v>
      </c>
      <c r="I545">
        <v>21.1</v>
      </c>
      <c r="J545">
        <v>136</v>
      </c>
      <c r="K545">
        <v>90</v>
      </c>
      <c r="L545">
        <v>8177</v>
      </c>
      <c r="M545" t="str" cm="1">
        <f t="array" ref="M545">_xlfn.IFS(C545&lt;6,"Poor",C545&lt;=8,"Normal",TRUE,"High")</f>
        <v>Poor</v>
      </c>
    </row>
    <row r="546" spans="1:13" x14ac:dyDescent="0.2">
      <c r="A546">
        <v>545</v>
      </c>
      <c r="B546" cm="1">
        <f t="array" ref="B546:L546">_xlfn.XLOOKUP($A546,Instagram_Usage_Lifestyle_Mini_!$A:$A,Instagram_Usage_Lifestyle_Mini_!$L:$V,"Not Found")</f>
        <v>5.8</v>
      </c>
      <c r="C546">
        <v>8.1</v>
      </c>
      <c r="D546" t="str">
        <v>Good</v>
      </c>
      <c r="E546" t="str">
        <v>Yes</v>
      </c>
      <c r="F546" t="str">
        <v>Daily</v>
      </c>
      <c r="G546">
        <v>33</v>
      </c>
      <c r="H546">
        <v>2</v>
      </c>
      <c r="I546">
        <v>20.7</v>
      </c>
      <c r="J546">
        <v>122</v>
      </c>
      <c r="K546">
        <v>74</v>
      </c>
      <c r="L546">
        <v>7943</v>
      </c>
      <c r="M546" t="str" cm="1">
        <f t="array" ref="M546">_xlfn.IFS(C546&lt;6,"Poor",C546&lt;=8,"Normal",TRUE,"High")</f>
        <v>High</v>
      </c>
    </row>
    <row r="547" spans="1:13" x14ac:dyDescent="0.2">
      <c r="A547">
        <v>546</v>
      </c>
      <c r="B547" cm="1">
        <f t="array" ref="B547:L547">_xlfn.XLOOKUP($A547,Instagram_Usage_Lifestyle_Mini_!$A:$A,Instagram_Usage_Lifestyle_Mini_!$L:$V,"Not Found")</f>
        <v>3.4</v>
      </c>
      <c r="C547">
        <v>9.1999999999999993</v>
      </c>
      <c r="D547" t="str">
        <v>Poor</v>
      </c>
      <c r="E547" t="str">
        <v>Former</v>
      </c>
      <c r="F547" t="str">
        <v>Daily</v>
      </c>
      <c r="G547">
        <v>37</v>
      </c>
      <c r="H547">
        <v>4</v>
      </c>
      <c r="I547">
        <v>20.6</v>
      </c>
      <c r="J547">
        <v>124</v>
      </c>
      <c r="K547">
        <v>91</v>
      </c>
      <c r="L547">
        <v>8133</v>
      </c>
      <c r="M547" t="str" cm="1">
        <f t="array" ref="M547">_xlfn.IFS(C547&lt;6,"Poor",C547&lt;=8,"Normal",TRUE,"High")</f>
        <v>High</v>
      </c>
    </row>
    <row r="548" spans="1:13" x14ac:dyDescent="0.2">
      <c r="A548">
        <v>547</v>
      </c>
      <c r="B548" cm="1">
        <f t="array" ref="B548:L548">_xlfn.XLOOKUP($A548,Instagram_Usage_Lifestyle_Mini_!$A:$A,Instagram_Usage_Lifestyle_Mini_!$L:$V,"Not Found")</f>
        <v>14</v>
      </c>
      <c r="C548">
        <v>6.9</v>
      </c>
      <c r="D548" t="str">
        <v>Good</v>
      </c>
      <c r="E548" t="str">
        <v>No</v>
      </c>
      <c r="F548" t="str">
        <v>Weekly</v>
      </c>
      <c r="G548">
        <v>20</v>
      </c>
      <c r="H548">
        <v>4</v>
      </c>
      <c r="I548">
        <v>28.8</v>
      </c>
      <c r="J548">
        <v>133</v>
      </c>
      <c r="K548">
        <v>80</v>
      </c>
      <c r="L548">
        <v>8089</v>
      </c>
      <c r="M548" t="str" cm="1">
        <f t="array" ref="M548">_xlfn.IFS(C548&lt;6,"Poor",C548&lt;=8,"Normal",TRUE,"High")</f>
        <v>Normal</v>
      </c>
    </row>
    <row r="549" spans="1:13" x14ac:dyDescent="0.2">
      <c r="A549">
        <v>548</v>
      </c>
      <c r="B549" cm="1">
        <f t="array" ref="B549:L549">_xlfn.XLOOKUP($A549,Instagram_Usage_Lifestyle_Mini_!$A:$A,Instagram_Usage_Lifestyle_Mini_!$L:$V,"Not Found")</f>
        <v>9.3000000000000007</v>
      </c>
      <c r="C549">
        <v>5.0999999999999996</v>
      </c>
      <c r="D549" t="str">
        <v>Good</v>
      </c>
      <c r="E549" t="str">
        <v>Former</v>
      </c>
      <c r="F549" t="str">
        <v>Rarely</v>
      </c>
      <c r="G549">
        <v>35</v>
      </c>
      <c r="H549">
        <v>7</v>
      </c>
      <c r="I549">
        <v>18.899999999999999</v>
      </c>
      <c r="J549">
        <v>114</v>
      </c>
      <c r="K549">
        <v>95</v>
      </c>
      <c r="L549">
        <v>7892</v>
      </c>
      <c r="M549" t="str" cm="1">
        <f t="array" ref="M549">_xlfn.IFS(C549&lt;6,"Poor",C549&lt;=8,"Normal",TRUE,"High")</f>
        <v>Poor</v>
      </c>
    </row>
    <row r="550" spans="1:13" x14ac:dyDescent="0.2">
      <c r="A550">
        <v>549</v>
      </c>
      <c r="B550" cm="1">
        <f t="array" ref="B550:L550">_xlfn.XLOOKUP($A550,Instagram_Usage_Lifestyle_Mini_!$A:$A,Instagram_Usage_Lifestyle_Mini_!$L:$V,"Not Found")</f>
        <v>12.2</v>
      </c>
      <c r="C550">
        <v>6.6</v>
      </c>
      <c r="D550" t="str">
        <v>Average</v>
      </c>
      <c r="E550" t="str">
        <v>No</v>
      </c>
      <c r="F550" t="str">
        <v>Daily</v>
      </c>
      <c r="G550">
        <v>34</v>
      </c>
      <c r="H550">
        <v>5</v>
      </c>
      <c r="I550">
        <v>28.9</v>
      </c>
      <c r="J550">
        <v>100</v>
      </c>
      <c r="K550">
        <v>72</v>
      </c>
      <c r="L550">
        <v>7991</v>
      </c>
      <c r="M550" t="str" cm="1">
        <f t="array" ref="M550">_xlfn.IFS(C550&lt;6,"Poor",C550&lt;=8,"Normal",TRUE,"High")</f>
        <v>Normal</v>
      </c>
    </row>
    <row r="551" spans="1:13" x14ac:dyDescent="0.2">
      <c r="A551">
        <v>550</v>
      </c>
      <c r="B551" cm="1">
        <f t="array" ref="B551:L551">_xlfn.XLOOKUP($A551,Instagram_Usage_Lifestyle_Mini_!$A:$A,Instagram_Usage_Lifestyle_Mini_!$L:$V,"Not Found")</f>
        <v>8.1999999999999993</v>
      </c>
      <c r="C551">
        <v>5.7</v>
      </c>
      <c r="D551" t="str">
        <v>Excellent</v>
      </c>
      <c r="E551" t="str">
        <v>Yes</v>
      </c>
      <c r="F551" t="str">
        <v>Several_times_a_week</v>
      </c>
      <c r="G551">
        <v>12</v>
      </c>
      <c r="H551">
        <v>9</v>
      </c>
      <c r="I551">
        <v>26.5</v>
      </c>
      <c r="J551">
        <v>149</v>
      </c>
      <c r="K551">
        <v>84</v>
      </c>
      <c r="L551">
        <v>7832</v>
      </c>
      <c r="M551" t="str" cm="1">
        <f t="array" ref="M551">_xlfn.IFS(C551&lt;6,"Poor",C551&lt;=8,"Normal",TRUE,"High")</f>
        <v>Poor</v>
      </c>
    </row>
    <row r="552" spans="1:13" x14ac:dyDescent="0.2">
      <c r="A552">
        <v>551</v>
      </c>
      <c r="B552" cm="1">
        <f t="array" ref="B552:L552">_xlfn.XLOOKUP($A552,Instagram_Usage_Lifestyle_Mini_!$A:$A,Instagram_Usage_Lifestyle_Mini_!$L:$V,"Not Found")</f>
        <v>15.1</v>
      </c>
      <c r="C552">
        <v>7.9</v>
      </c>
      <c r="D552" t="str">
        <v>Average</v>
      </c>
      <c r="E552" t="str">
        <v>No</v>
      </c>
      <c r="F552" t="str">
        <v>Weekly</v>
      </c>
      <c r="G552">
        <v>11</v>
      </c>
      <c r="H552">
        <v>2</v>
      </c>
      <c r="I552">
        <v>25.7</v>
      </c>
      <c r="J552">
        <v>114</v>
      </c>
      <c r="K552">
        <v>66</v>
      </c>
      <c r="L552">
        <v>8086</v>
      </c>
      <c r="M552" t="str" cm="1">
        <f t="array" ref="M552">_xlfn.IFS(C552&lt;6,"Poor",C552&lt;=8,"Normal",TRUE,"High")</f>
        <v>Normal</v>
      </c>
    </row>
    <row r="553" spans="1:13" x14ac:dyDescent="0.2">
      <c r="A553">
        <v>552</v>
      </c>
      <c r="B553" cm="1">
        <f t="array" ref="B553:L553">_xlfn.XLOOKUP($A553,Instagram_Usage_Lifestyle_Mini_!$A:$A,Instagram_Usage_Lifestyle_Mini_!$L:$V,"Not Found")</f>
        <v>7.5</v>
      </c>
      <c r="C553">
        <v>8</v>
      </c>
      <c r="D553" t="str">
        <v>Average</v>
      </c>
      <c r="E553" t="str">
        <v>No</v>
      </c>
      <c r="F553" t="str">
        <v>Rarely</v>
      </c>
      <c r="G553">
        <v>22</v>
      </c>
      <c r="H553">
        <v>9</v>
      </c>
      <c r="I553">
        <v>25</v>
      </c>
      <c r="J553">
        <v>127</v>
      </c>
      <c r="K553">
        <v>77</v>
      </c>
      <c r="L553">
        <v>7987</v>
      </c>
      <c r="M553" t="str" cm="1">
        <f t="array" ref="M553">_xlfn.IFS(C553&lt;6,"Poor",C553&lt;=8,"Normal",TRUE,"High")</f>
        <v>Normal</v>
      </c>
    </row>
    <row r="554" spans="1:13" x14ac:dyDescent="0.2">
      <c r="A554">
        <v>553</v>
      </c>
      <c r="B554" cm="1">
        <f t="array" ref="B554:L554">_xlfn.XLOOKUP($A554,Instagram_Usage_Lifestyle_Mini_!$A:$A,Instagram_Usage_Lifestyle_Mini_!$L:$V,"Not Found")</f>
        <v>6.5</v>
      </c>
      <c r="C554">
        <v>5.9</v>
      </c>
      <c r="D554" t="str">
        <v>Very_poor</v>
      </c>
      <c r="E554" t="str">
        <v>No</v>
      </c>
      <c r="F554" t="str">
        <v>Several_times_a_week</v>
      </c>
      <c r="G554">
        <v>23</v>
      </c>
      <c r="H554">
        <v>8</v>
      </c>
      <c r="I554">
        <v>27.4</v>
      </c>
      <c r="J554">
        <v>141</v>
      </c>
      <c r="K554">
        <v>62</v>
      </c>
      <c r="L554">
        <v>8103</v>
      </c>
      <c r="M554" t="str" cm="1">
        <f t="array" ref="M554">_xlfn.IFS(C554&lt;6,"Poor",C554&lt;=8,"Normal",TRUE,"High")</f>
        <v>Poor</v>
      </c>
    </row>
    <row r="555" spans="1:13" x14ac:dyDescent="0.2">
      <c r="A555">
        <v>554</v>
      </c>
      <c r="B555" cm="1">
        <f t="array" ref="B555:L555">_xlfn.XLOOKUP($A555,Instagram_Usage_Lifestyle_Mini_!$A:$A,Instagram_Usage_Lifestyle_Mini_!$L:$V,"Not Found")</f>
        <v>8.9</v>
      </c>
      <c r="C555">
        <v>6.9</v>
      </c>
      <c r="D555" t="str">
        <v>Poor</v>
      </c>
      <c r="E555" t="str">
        <v>No</v>
      </c>
      <c r="F555" t="str">
        <v>Never</v>
      </c>
      <c r="G555">
        <v>0</v>
      </c>
      <c r="H555">
        <v>5</v>
      </c>
      <c r="I555">
        <v>18.8</v>
      </c>
      <c r="J555">
        <v>138</v>
      </c>
      <c r="K555">
        <v>77</v>
      </c>
      <c r="L555">
        <v>7905</v>
      </c>
      <c r="M555" t="str" cm="1">
        <f t="array" ref="M555">_xlfn.IFS(C555&lt;6,"Poor",C555&lt;=8,"Normal",TRUE,"High")</f>
        <v>Normal</v>
      </c>
    </row>
    <row r="556" spans="1:13" x14ac:dyDescent="0.2">
      <c r="A556">
        <v>555</v>
      </c>
      <c r="B556" cm="1">
        <f t="array" ref="B556:L556">_xlfn.XLOOKUP($A556,Instagram_Usage_Lifestyle_Mini_!$A:$A,Instagram_Usage_Lifestyle_Mini_!$L:$V,"Not Found")</f>
        <v>3.2</v>
      </c>
      <c r="C556">
        <v>7.6</v>
      </c>
      <c r="D556" t="str">
        <v>Average</v>
      </c>
      <c r="E556" t="str">
        <v>No</v>
      </c>
      <c r="F556" t="str">
        <v>Rarely</v>
      </c>
      <c r="G556">
        <v>40</v>
      </c>
      <c r="H556">
        <v>2</v>
      </c>
      <c r="I556">
        <v>30.9</v>
      </c>
      <c r="J556">
        <v>117</v>
      </c>
      <c r="K556">
        <v>80</v>
      </c>
      <c r="L556">
        <v>7887</v>
      </c>
      <c r="M556" t="str" cm="1">
        <f t="array" ref="M556">_xlfn.IFS(C556&lt;6,"Poor",C556&lt;=8,"Normal",TRUE,"High")</f>
        <v>Normal</v>
      </c>
    </row>
    <row r="557" spans="1:13" x14ac:dyDescent="0.2">
      <c r="A557">
        <v>556</v>
      </c>
      <c r="B557" cm="1">
        <f t="array" ref="B557:L557">_xlfn.XLOOKUP($A557,Instagram_Usage_Lifestyle_Mini_!$A:$A,Instagram_Usage_Lifestyle_Mini_!$L:$V,"Not Found")</f>
        <v>0.1</v>
      </c>
      <c r="C557">
        <v>7.1</v>
      </c>
      <c r="D557" t="str">
        <v>Poor</v>
      </c>
      <c r="E557" t="str">
        <v>No</v>
      </c>
      <c r="F557" t="str">
        <v>Never</v>
      </c>
      <c r="G557">
        <v>20</v>
      </c>
      <c r="H557">
        <v>8</v>
      </c>
      <c r="I557">
        <v>28.5</v>
      </c>
      <c r="J557">
        <v>104</v>
      </c>
      <c r="K557">
        <v>97</v>
      </c>
      <c r="L557">
        <v>7934</v>
      </c>
      <c r="M557" t="str" cm="1">
        <f t="array" ref="M557">_xlfn.IFS(C557&lt;6,"Poor",C557&lt;=8,"Normal",TRUE,"High")</f>
        <v>Normal</v>
      </c>
    </row>
    <row r="558" spans="1:13" x14ac:dyDescent="0.2">
      <c r="A558">
        <v>557</v>
      </c>
      <c r="B558" cm="1">
        <f t="array" ref="B558:L558">_xlfn.XLOOKUP($A558,Instagram_Usage_Lifestyle_Mini_!$A:$A,Instagram_Usage_Lifestyle_Mini_!$L:$V,"Not Found")</f>
        <v>4.5999999999999996</v>
      </c>
      <c r="C558">
        <v>9</v>
      </c>
      <c r="D558" t="str">
        <v>Average</v>
      </c>
      <c r="E558" t="str">
        <v>Former</v>
      </c>
      <c r="F558" t="str">
        <v>Never</v>
      </c>
      <c r="G558">
        <v>38</v>
      </c>
      <c r="H558">
        <v>4</v>
      </c>
      <c r="I558">
        <v>20.8</v>
      </c>
      <c r="J558">
        <v>149</v>
      </c>
      <c r="K558">
        <v>70</v>
      </c>
      <c r="L558">
        <v>8091</v>
      </c>
      <c r="M558" t="str" cm="1">
        <f t="array" ref="M558">_xlfn.IFS(C558&lt;6,"Poor",C558&lt;=8,"Normal",TRUE,"High")</f>
        <v>High</v>
      </c>
    </row>
    <row r="559" spans="1:13" x14ac:dyDescent="0.2">
      <c r="A559">
        <v>558</v>
      </c>
      <c r="B559" cm="1">
        <f t="array" ref="B559:L559">_xlfn.XLOOKUP($A559,Instagram_Usage_Lifestyle_Mini_!$A:$A,Instagram_Usage_Lifestyle_Mini_!$L:$V,"Not Found")</f>
        <v>6.5</v>
      </c>
      <c r="C559">
        <v>6.2</v>
      </c>
      <c r="D559" t="str">
        <v>Excellent</v>
      </c>
      <c r="E559" t="str">
        <v>No</v>
      </c>
      <c r="F559" t="str">
        <v>Never</v>
      </c>
      <c r="G559">
        <v>11</v>
      </c>
      <c r="H559">
        <v>6</v>
      </c>
      <c r="I559">
        <v>28.5</v>
      </c>
      <c r="J559">
        <v>132</v>
      </c>
      <c r="K559">
        <v>70</v>
      </c>
      <c r="L559">
        <v>7944</v>
      </c>
      <c r="M559" t="str" cm="1">
        <f t="array" ref="M559">_xlfn.IFS(C559&lt;6,"Poor",C559&lt;=8,"Normal",TRUE,"High")</f>
        <v>Normal</v>
      </c>
    </row>
    <row r="560" spans="1:13" x14ac:dyDescent="0.2">
      <c r="A560">
        <v>559</v>
      </c>
      <c r="B560" cm="1">
        <f t="array" ref="B560:L560">_xlfn.XLOOKUP($A560,Instagram_Usage_Lifestyle_Mini_!$A:$A,Instagram_Usage_Lifestyle_Mini_!$L:$V,"Not Found")</f>
        <v>8.6</v>
      </c>
      <c r="C560">
        <v>6.4</v>
      </c>
      <c r="D560" t="str">
        <v>Poor</v>
      </c>
      <c r="E560" t="str">
        <v>Yes</v>
      </c>
      <c r="F560" t="str">
        <v>Never</v>
      </c>
      <c r="G560">
        <v>9</v>
      </c>
      <c r="H560">
        <v>7</v>
      </c>
      <c r="I560">
        <v>20.3</v>
      </c>
      <c r="J560">
        <v>148</v>
      </c>
      <c r="K560">
        <v>63</v>
      </c>
      <c r="L560">
        <v>7839</v>
      </c>
      <c r="M560" t="str" cm="1">
        <f t="array" ref="M560">_xlfn.IFS(C560&lt;6,"Poor",C560&lt;=8,"Normal",TRUE,"High")</f>
        <v>Normal</v>
      </c>
    </row>
    <row r="561" spans="1:13" x14ac:dyDescent="0.2">
      <c r="A561">
        <v>560</v>
      </c>
      <c r="B561" cm="1">
        <f t="array" ref="B561:L561">_xlfn.XLOOKUP($A561,Instagram_Usage_Lifestyle_Mini_!$A:$A,Instagram_Usage_Lifestyle_Mini_!$L:$V,"Not Found")</f>
        <v>4.8</v>
      </c>
      <c r="C561">
        <v>7.8</v>
      </c>
      <c r="D561" t="str">
        <v>Poor</v>
      </c>
      <c r="E561" t="str">
        <v>No</v>
      </c>
      <c r="F561" t="str">
        <v>Never</v>
      </c>
      <c r="G561">
        <v>40</v>
      </c>
      <c r="H561">
        <v>7</v>
      </c>
      <c r="I561">
        <v>24.2</v>
      </c>
      <c r="J561">
        <v>101</v>
      </c>
      <c r="K561">
        <v>84</v>
      </c>
      <c r="L561">
        <v>8045</v>
      </c>
      <c r="M561" t="str" cm="1">
        <f t="array" ref="M561">_xlfn.IFS(C561&lt;6,"Poor",C561&lt;=8,"Normal",TRUE,"High")</f>
        <v>Normal</v>
      </c>
    </row>
    <row r="562" spans="1:13" x14ac:dyDescent="0.2">
      <c r="A562">
        <v>561</v>
      </c>
      <c r="B562" cm="1">
        <f t="array" ref="B562:L562">_xlfn.XLOOKUP($A562,Instagram_Usage_Lifestyle_Mini_!$A:$A,Instagram_Usage_Lifestyle_Mini_!$L:$V,"Not Found")</f>
        <v>9.5</v>
      </c>
      <c r="C562">
        <v>5.8</v>
      </c>
      <c r="D562" t="str">
        <v>Excellent</v>
      </c>
      <c r="E562" t="str">
        <v>No</v>
      </c>
      <c r="F562" t="str">
        <v>Rarely</v>
      </c>
      <c r="G562">
        <v>39</v>
      </c>
      <c r="H562">
        <v>10</v>
      </c>
      <c r="I562">
        <v>21.3</v>
      </c>
      <c r="J562">
        <v>101</v>
      </c>
      <c r="K562">
        <v>77</v>
      </c>
      <c r="L562">
        <v>8077</v>
      </c>
      <c r="M562" t="str" cm="1">
        <f t="array" ref="M562">_xlfn.IFS(C562&lt;6,"Poor",C562&lt;=8,"Normal",TRUE,"High")</f>
        <v>Poor</v>
      </c>
    </row>
    <row r="563" spans="1:13" x14ac:dyDescent="0.2">
      <c r="A563">
        <v>562</v>
      </c>
      <c r="B563" cm="1">
        <f t="array" ref="B563:L563">_xlfn.XLOOKUP($A563,Instagram_Usage_Lifestyle_Mini_!$A:$A,Instagram_Usage_Lifestyle_Mini_!$L:$V,"Not Found")</f>
        <v>3.9</v>
      </c>
      <c r="C563">
        <v>9.1</v>
      </c>
      <c r="D563" t="str">
        <v>Good</v>
      </c>
      <c r="E563" t="str">
        <v>No</v>
      </c>
      <c r="F563" t="str">
        <v>Never</v>
      </c>
      <c r="G563">
        <v>33</v>
      </c>
      <c r="H563">
        <v>9</v>
      </c>
      <c r="I563">
        <v>20.9</v>
      </c>
      <c r="J563">
        <v>117</v>
      </c>
      <c r="K563">
        <v>90</v>
      </c>
      <c r="L563">
        <v>7974</v>
      </c>
      <c r="M563" t="str" cm="1">
        <f t="array" ref="M563">_xlfn.IFS(C563&lt;6,"Poor",C563&lt;=8,"Normal",TRUE,"High")</f>
        <v>High</v>
      </c>
    </row>
    <row r="564" spans="1:13" x14ac:dyDescent="0.2">
      <c r="A564">
        <v>563</v>
      </c>
      <c r="B564" cm="1">
        <f t="array" ref="B564:L564">_xlfn.XLOOKUP($A564,Instagram_Usage_Lifestyle_Mini_!$A:$A,Instagram_Usage_Lifestyle_Mini_!$L:$V,"Not Found")</f>
        <v>17.8</v>
      </c>
      <c r="C564">
        <v>7.1</v>
      </c>
      <c r="D564" t="str">
        <v>Good</v>
      </c>
      <c r="E564" t="str">
        <v>Former</v>
      </c>
      <c r="F564" t="str">
        <v>Rarely</v>
      </c>
      <c r="G564">
        <v>31</v>
      </c>
      <c r="H564">
        <v>7</v>
      </c>
      <c r="I564">
        <v>22.2</v>
      </c>
      <c r="J564">
        <v>119</v>
      </c>
      <c r="K564">
        <v>95</v>
      </c>
      <c r="L564">
        <v>7829</v>
      </c>
      <c r="M564" t="str" cm="1">
        <f t="array" ref="M564">_xlfn.IFS(C564&lt;6,"Poor",C564&lt;=8,"Normal",TRUE,"High")</f>
        <v>Normal</v>
      </c>
    </row>
    <row r="565" spans="1:13" x14ac:dyDescent="0.2">
      <c r="A565">
        <v>564</v>
      </c>
      <c r="B565" cm="1">
        <f t="array" ref="B565:L565">_xlfn.XLOOKUP($A565,Instagram_Usage_Lifestyle_Mini_!$A:$A,Instagram_Usage_Lifestyle_Mini_!$L:$V,"Not Found")</f>
        <v>8.4</v>
      </c>
      <c r="C565">
        <v>6.2</v>
      </c>
      <c r="D565" t="str">
        <v>Average</v>
      </c>
      <c r="E565" t="str">
        <v>No</v>
      </c>
      <c r="F565" t="str">
        <v>Rarely</v>
      </c>
      <c r="G565">
        <v>24</v>
      </c>
      <c r="H565">
        <v>9</v>
      </c>
      <c r="I565">
        <v>23</v>
      </c>
      <c r="J565">
        <v>123</v>
      </c>
      <c r="K565">
        <v>89</v>
      </c>
      <c r="L565">
        <v>7990</v>
      </c>
      <c r="M565" t="str" cm="1">
        <f t="array" ref="M565">_xlfn.IFS(C565&lt;6,"Poor",C565&lt;=8,"Normal",TRUE,"High")</f>
        <v>Normal</v>
      </c>
    </row>
    <row r="566" spans="1:13" x14ac:dyDescent="0.2">
      <c r="A566">
        <v>565</v>
      </c>
      <c r="B566" cm="1">
        <f t="array" ref="B566:L566">_xlfn.XLOOKUP($A566,Instagram_Usage_Lifestyle_Mini_!$A:$A,Instagram_Usage_Lifestyle_Mini_!$L:$V,"Not Found")</f>
        <v>10.9</v>
      </c>
      <c r="C566">
        <v>6.1</v>
      </c>
      <c r="D566" t="str">
        <v>Excellent</v>
      </c>
      <c r="E566" t="str">
        <v>No</v>
      </c>
      <c r="F566" t="str">
        <v>Rarely</v>
      </c>
      <c r="G566">
        <v>23</v>
      </c>
      <c r="H566">
        <v>9</v>
      </c>
      <c r="I566">
        <v>23.5</v>
      </c>
      <c r="J566">
        <v>112</v>
      </c>
      <c r="K566">
        <v>78</v>
      </c>
      <c r="L566">
        <v>7979</v>
      </c>
      <c r="M566" t="str" cm="1">
        <f t="array" ref="M566">_xlfn.IFS(C566&lt;6,"Poor",C566&lt;=8,"Normal",TRUE,"High")</f>
        <v>Normal</v>
      </c>
    </row>
    <row r="567" spans="1:13" x14ac:dyDescent="0.2">
      <c r="A567">
        <v>566</v>
      </c>
      <c r="B567" cm="1">
        <f t="array" ref="B567:L567">_xlfn.XLOOKUP($A567,Instagram_Usage_Lifestyle_Mini_!$A:$A,Instagram_Usage_Lifestyle_Mini_!$L:$V,"Not Found")</f>
        <v>4.7</v>
      </c>
      <c r="C567">
        <v>6.1</v>
      </c>
      <c r="D567" t="str">
        <v>Poor</v>
      </c>
      <c r="E567" t="str">
        <v>Yes</v>
      </c>
      <c r="F567" t="str">
        <v>Never</v>
      </c>
      <c r="G567">
        <v>36</v>
      </c>
      <c r="H567">
        <v>7</v>
      </c>
      <c r="I567">
        <v>25.3</v>
      </c>
      <c r="J567">
        <v>143</v>
      </c>
      <c r="K567">
        <v>88</v>
      </c>
      <c r="L567">
        <v>7842</v>
      </c>
      <c r="M567" t="str" cm="1">
        <f t="array" ref="M567">_xlfn.IFS(C567&lt;6,"Poor",C567&lt;=8,"Normal",TRUE,"High")</f>
        <v>Normal</v>
      </c>
    </row>
    <row r="568" spans="1:13" x14ac:dyDescent="0.2">
      <c r="A568">
        <v>567</v>
      </c>
      <c r="B568" cm="1">
        <f t="array" ref="B568:L568">_xlfn.XLOOKUP($A568,Instagram_Usage_Lifestyle_Mini_!$A:$A,Instagram_Usage_Lifestyle_Mini_!$L:$V,"Not Found")</f>
        <v>4.9000000000000004</v>
      </c>
      <c r="C568">
        <v>6.4</v>
      </c>
      <c r="D568" t="str">
        <v>Excellent</v>
      </c>
      <c r="E568" t="str">
        <v>No</v>
      </c>
      <c r="F568" t="str">
        <v>Rarely</v>
      </c>
      <c r="G568">
        <v>10</v>
      </c>
      <c r="H568">
        <v>2</v>
      </c>
      <c r="I568">
        <v>21.6</v>
      </c>
      <c r="J568">
        <v>99</v>
      </c>
      <c r="K568">
        <v>66</v>
      </c>
      <c r="L568">
        <v>7966</v>
      </c>
      <c r="M568" t="str" cm="1">
        <f t="array" ref="M568">_xlfn.IFS(C568&lt;6,"Poor",C568&lt;=8,"Normal",TRUE,"High")</f>
        <v>Normal</v>
      </c>
    </row>
    <row r="569" spans="1:13" x14ac:dyDescent="0.2">
      <c r="A569">
        <v>568</v>
      </c>
      <c r="B569" cm="1">
        <f t="array" ref="B569:L569">_xlfn.XLOOKUP($A569,Instagram_Usage_Lifestyle_Mini_!$A:$A,Instagram_Usage_Lifestyle_Mini_!$L:$V,"Not Found")</f>
        <v>6.3</v>
      </c>
      <c r="C569">
        <v>6.3</v>
      </c>
      <c r="D569" t="str">
        <v>Excellent</v>
      </c>
      <c r="E569" t="str">
        <v>No</v>
      </c>
      <c r="F569" t="str">
        <v>Daily</v>
      </c>
      <c r="G569">
        <v>21</v>
      </c>
      <c r="H569">
        <v>9</v>
      </c>
      <c r="I569">
        <v>22.8</v>
      </c>
      <c r="J569">
        <v>102</v>
      </c>
      <c r="K569">
        <v>66</v>
      </c>
      <c r="L569">
        <v>8018</v>
      </c>
      <c r="M569" t="str" cm="1">
        <f t="array" ref="M569">_xlfn.IFS(C569&lt;6,"Poor",C569&lt;=8,"Normal",TRUE,"High")</f>
        <v>Normal</v>
      </c>
    </row>
    <row r="570" spans="1:13" x14ac:dyDescent="0.2">
      <c r="A570">
        <v>569</v>
      </c>
      <c r="B570" cm="1">
        <f t="array" ref="B570:L570">_xlfn.XLOOKUP($A570,Instagram_Usage_Lifestyle_Mini_!$A:$A,Instagram_Usage_Lifestyle_Mini_!$L:$V,"Not Found")</f>
        <v>12.4</v>
      </c>
      <c r="C570">
        <v>5.7</v>
      </c>
      <c r="D570" t="str">
        <v>Excellent</v>
      </c>
      <c r="E570" t="str">
        <v>No</v>
      </c>
      <c r="F570" t="str">
        <v>Never</v>
      </c>
      <c r="G570">
        <v>22</v>
      </c>
      <c r="H570">
        <v>7</v>
      </c>
      <c r="I570">
        <v>29</v>
      </c>
      <c r="J570">
        <v>91</v>
      </c>
      <c r="K570">
        <v>60</v>
      </c>
      <c r="L570">
        <v>8036</v>
      </c>
      <c r="M570" t="str" cm="1">
        <f t="array" ref="M570">_xlfn.IFS(C570&lt;6,"Poor",C570&lt;=8,"Normal",TRUE,"High")</f>
        <v>Poor</v>
      </c>
    </row>
    <row r="571" spans="1:13" x14ac:dyDescent="0.2">
      <c r="A571">
        <v>570</v>
      </c>
      <c r="B571" cm="1">
        <f t="array" ref="B571:L571">_xlfn.XLOOKUP($A571,Instagram_Usage_Lifestyle_Mini_!$A:$A,Instagram_Usage_Lifestyle_Mini_!$L:$V,"Not Found")</f>
        <v>9</v>
      </c>
      <c r="C571">
        <v>8</v>
      </c>
      <c r="D571" t="str">
        <v>Average</v>
      </c>
      <c r="E571" t="str">
        <v>No</v>
      </c>
      <c r="F571" t="str">
        <v>Daily</v>
      </c>
      <c r="G571">
        <v>37</v>
      </c>
      <c r="H571">
        <v>8</v>
      </c>
      <c r="I571">
        <v>25.3</v>
      </c>
      <c r="J571">
        <v>155</v>
      </c>
      <c r="K571">
        <v>94</v>
      </c>
      <c r="L571">
        <v>8004</v>
      </c>
      <c r="M571" t="str" cm="1">
        <f t="array" ref="M571">_xlfn.IFS(C571&lt;6,"Poor",C571&lt;=8,"Normal",TRUE,"High")</f>
        <v>Normal</v>
      </c>
    </row>
    <row r="572" spans="1:13" x14ac:dyDescent="0.2">
      <c r="A572">
        <v>571</v>
      </c>
      <c r="B572" cm="1">
        <f t="array" ref="B572:L572">_xlfn.XLOOKUP($A572,Instagram_Usage_Lifestyle_Mini_!$A:$A,Instagram_Usage_Lifestyle_Mini_!$L:$V,"Not Found")</f>
        <v>12.7</v>
      </c>
      <c r="C572">
        <v>7.9</v>
      </c>
      <c r="D572" t="str">
        <v>Good</v>
      </c>
      <c r="E572" t="str">
        <v>Yes</v>
      </c>
      <c r="F572" t="str">
        <v>Never</v>
      </c>
      <c r="G572">
        <v>2</v>
      </c>
      <c r="H572">
        <v>10</v>
      </c>
      <c r="I572">
        <v>28.2</v>
      </c>
      <c r="J572">
        <v>127</v>
      </c>
      <c r="K572">
        <v>76</v>
      </c>
      <c r="L572">
        <v>7786</v>
      </c>
      <c r="M572" t="str" cm="1">
        <f t="array" ref="M572">_xlfn.IFS(C572&lt;6,"Poor",C572&lt;=8,"Normal",TRUE,"High")</f>
        <v>Normal</v>
      </c>
    </row>
    <row r="573" spans="1:13" x14ac:dyDescent="0.2">
      <c r="A573">
        <v>572</v>
      </c>
      <c r="B573" cm="1">
        <f t="array" ref="B573:L573">_xlfn.XLOOKUP($A573,Instagram_Usage_Lifestyle_Mini_!$A:$A,Instagram_Usage_Lifestyle_Mini_!$L:$V,"Not Found")</f>
        <v>4.4000000000000004</v>
      </c>
      <c r="C573">
        <v>5</v>
      </c>
      <c r="D573" t="str">
        <v>Poor</v>
      </c>
      <c r="E573" t="str">
        <v>No</v>
      </c>
      <c r="F573" t="str">
        <v>Weekly</v>
      </c>
      <c r="G573">
        <v>8</v>
      </c>
      <c r="H573">
        <v>10</v>
      </c>
      <c r="I573">
        <v>27.7</v>
      </c>
      <c r="J573">
        <v>143</v>
      </c>
      <c r="K573">
        <v>85</v>
      </c>
      <c r="L573">
        <v>8034</v>
      </c>
      <c r="M573" t="str" cm="1">
        <f t="array" ref="M573">_xlfn.IFS(C573&lt;6,"Poor",C573&lt;=8,"Normal",TRUE,"High")</f>
        <v>Poor</v>
      </c>
    </row>
    <row r="574" spans="1:13" x14ac:dyDescent="0.2">
      <c r="A574">
        <v>573</v>
      </c>
      <c r="B574" cm="1">
        <f t="array" ref="B574:L574">_xlfn.XLOOKUP($A574,Instagram_Usage_Lifestyle_Mini_!$A:$A,Instagram_Usage_Lifestyle_Mini_!$L:$V,"Not Found")</f>
        <v>15.6</v>
      </c>
      <c r="C574">
        <v>7.3</v>
      </c>
      <c r="D574" t="str">
        <v>Good</v>
      </c>
      <c r="E574" t="str">
        <v>No</v>
      </c>
      <c r="F574" t="str">
        <v>Weekly</v>
      </c>
      <c r="G574">
        <v>16</v>
      </c>
      <c r="H574">
        <v>3</v>
      </c>
      <c r="I574">
        <v>26.8</v>
      </c>
      <c r="J574">
        <v>106</v>
      </c>
      <c r="K574">
        <v>60</v>
      </c>
      <c r="L574">
        <v>8092</v>
      </c>
      <c r="M574" t="str" cm="1">
        <f t="array" ref="M574">_xlfn.IFS(C574&lt;6,"Poor",C574&lt;=8,"Normal",TRUE,"High")</f>
        <v>Normal</v>
      </c>
    </row>
    <row r="575" spans="1:13" x14ac:dyDescent="0.2">
      <c r="A575">
        <v>574</v>
      </c>
      <c r="B575" cm="1">
        <f t="array" ref="B575:L575">_xlfn.XLOOKUP($A575,Instagram_Usage_Lifestyle_Mini_!$A:$A,Instagram_Usage_Lifestyle_Mini_!$L:$V,"Not Found")</f>
        <v>5.8</v>
      </c>
      <c r="C575">
        <v>9.1</v>
      </c>
      <c r="D575" t="str">
        <v>Very_poor</v>
      </c>
      <c r="E575" t="str">
        <v>No</v>
      </c>
      <c r="F575" t="str">
        <v>Weekly</v>
      </c>
      <c r="G575">
        <v>31</v>
      </c>
      <c r="H575">
        <v>2</v>
      </c>
      <c r="I575">
        <v>25.5</v>
      </c>
      <c r="J575">
        <v>143</v>
      </c>
      <c r="K575">
        <v>72</v>
      </c>
      <c r="L575">
        <v>8073</v>
      </c>
      <c r="M575" t="str" cm="1">
        <f t="array" ref="M575">_xlfn.IFS(C575&lt;6,"Poor",C575&lt;=8,"Normal",TRUE,"High")</f>
        <v>High</v>
      </c>
    </row>
    <row r="576" spans="1:13" x14ac:dyDescent="0.2">
      <c r="A576">
        <v>575</v>
      </c>
      <c r="B576" cm="1">
        <f t="array" ref="B576:L576">_xlfn.XLOOKUP($A576,Instagram_Usage_Lifestyle_Mini_!$A:$A,Instagram_Usage_Lifestyle_Mini_!$L:$V,"Not Found")</f>
        <v>3.6</v>
      </c>
      <c r="C576">
        <v>7.4</v>
      </c>
      <c r="D576" t="str">
        <v>Poor</v>
      </c>
      <c r="E576" t="str">
        <v>No</v>
      </c>
      <c r="F576" t="str">
        <v>Rarely</v>
      </c>
      <c r="G576">
        <v>26</v>
      </c>
      <c r="H576">
        <v>2</v>
      </c>
      <c r="I576">
        <v>26.2</v>
      </c>
      <c r="J576">
        <v>114</v>
      </c>
      <c r="K576">
        <v>75</v>
      </c>
      <c r="L576">
        <v>7973</v>
      </c>
      <c r="M576" t="str" cm="1">
        <f t="array" ref="M576">_xlfn.IFS(C576&lt;6,"Poor",C576&lt;=8,"Normal",TRUE,"High")</f>
        <v>Normal</v>
      </c>
    </row>
    <row r="577" spans="1:13" x14ac:dyDescent="0.2">
      <c r="A577">
        <v>576</v>
      </c>
      <c r="B577" cm="1">
        <f t="array" ref="B577:L577">_xlfn.XLOOKUP($A577,Instagram_Usage_Lifestyle_Mini_!$A:$A,Instagram_Usage_Lifestyle_Mini_!$L:$V,"Not Found")</f>
        <v>3.6</v>
      </c>
      <c r="C577">
        <v>4.7</v>
      </c>
      <c r="D577" t="str">
        <v>Excellent</v>
      </c>
      <c r="E577" t="str">
        <v>No</v>
      </c>
      <c r="F577" t="str">
        <v>Never</v>
      </c>
      <c r="G577">
        <v>28</v>
      </c>
      <c r="H577">
        <v>1</v>
      </c>
      <c r="I577">
        <v>27.1</v>
      </c>
      <c r="J577">
        <v>156</v>
      </c>
      <c r="K577">
        <v>96</v>
      </c>
      <c r="L577">
        <v>8026</v>
      </c>
      <c r="M577" t="str" cm="1">
        <f t="array" ref="M577">_xlfn.IFS(C577&lt;6,"Poor",C577&lt;=8,"Normal",TRUE,"High")</f>
        <v>Poor</v>
      </c>
    </row>
    <row r="578" spans="1:13" x14ac:dyDescent="0.2">
      <c r="A578">
        <v>577</v>
      </c>
      <c r="B578" cm="1">
        <f t="array" ref="B578:L578">_xlfn.XLOOKUP($A578,Instagram_Usage_Lifestyle_Mini_!$A:$A,Instagram_Usage_Lifestyle_Mini_!$L:$V,"Not Found")</f>
        <v>5.8</v>
      </c>
      <c r="C578">
        <v>7.1</v>
      </c>
      <c r="D578" t="str">
        <v>Poor</v>
      </c>
      <c r="E578" t="str">
        <v>No</v>
      </c>
      <c r="F578" t="str">
        <v>Weekly</v>
      </c>
      <c r="G578">
        <v>18</v>
      </c>
      <c r="H578">
        <v>5</v>
      </c>
      <c r="I578">
        <v>27.1</v>
      </c>
      <c r="J578">
        <v>145</v>
      </c>
      <c r="K578">
        <v>78</v>
      </c>
      <c r="L578">
        <v>7951</v>
      </c>
      <c r="M578" t="str" cm="1">
        <f t="array" ref="M578">_xlfn.IFS(C578&lt;6,"Poor",C578&lt;=8,"Normal",TRUE,"High")</f>
        <v>Normal</v>
      </c>
    </row>
    <row r="579" spans="1:13" x14ac:dyDescent="0.2">
      <c r="A579">
        <v>578</v>
      </c>
      <c r="B579" cm="1">
        <f t="array" ref="B579:L579">_xlfn.XLOOKUP($A579,Instagram_Usage_Lifestyle_Mini_!$A:$A,Instagram_Usage_Lifestyle_Mini_!$L:$V,"Not Found")</f>
        <v>2.9</v>
      </c>
      <c r="C579">
        <v>6.8</v>
      </c>
      <c r="D579" t="str">
        <v>Average</v>
      </c>
      <c r="E579" t="str">
        <v>No</v>
      </c>
      <c r="F579" t="str">
        <v>Never</v>
      </c>
      <c r="G579">
        <v>7</v>
      </c>
      <c r="H579">
        <v>2</v>
      </c>
      <c r="I579">
        <v>23</v>
      </c>
      <c r="J579">
        <v>153</v>
      </c>
      <c r="K579">
        <v>70</v>
      </c>
      <c r="L579">
        <v>7930</v>
      </c>
      <c r="M579" t="str" cm="1">
        <f t="array" ref="M579">_xlfn.IFS(C579&lt;6,"Poor",C579&lt;=8,"Normal",TRUE,"High")</f>
        <v>Normal</v>
      </c>
    </row>
    <row r="580" spans="1:13" x14ac:dyDescent="0.2">
      <c r="A580">
        <v>579</v>
      </c>
      <c r="B580" cm="1">
        <f t="array" ref="B580:L580">_xlfn.XLOOKUP($A580,Instagram_Usage_Lifestyle_Mini_!$A:$A,Instagram_Usage_Lifestyle_Mini_!$L:$V,"Not Found")</f>
        <v>8.6999999999999993</v>
      </c>
      <c r="C580">
        <v>6.2</v>
      </c>
      <c r="D580" t="str">
        <v>Excellent</v>
      </c>
      <c r="E580" t="str">
        <v>No</v>
      </c>
      <c r="F580" t="str">
        <v>Never</v>
      </c>
      <c r="G580">
        <v>19</v>
      </c>
      <c r="H580">
        <v>9</v>
      </c>
      <c r="I580">
        <v>22.9</v>
      </c>
      <c r="J580">
        <v>143</v>
      </c>
      <c r="K580">
        <v>95</v>
      </c>
      <c r="L580">
        <v>8149</v>
      </c>
      <c r="M580" t="str" cm="1">
        <f t="array" ref="M580">_xlfn.IFS(C580&lt;6,"Poor",C580&lt;=8,"Normal",TRUE,"High")</f>
        <v>Normal</v>
      </c>
    </row>
    <row r="581" spans="1:13" x14ac:dyDescent="0.2">
      <c r="A581">
        <v>580</v>
      </c>
      <c r="B581" cm="1">
        <f t="array" ref="B581:L581">_xlfn.XLOOKUP($A581,Instagram_Usage_Lifestyle_Mini_!$A:$A,Instagram_Usage_Lifestyle_Mini_!$L:$V,"Not Found")</f>
        <v>9.8000000000000007</v>
      </c>
      <c r="C581">
        <v>6</v>
      </c>
      <c r="D581" t="str">
        <v>Good</v>
      </c>
      <c r="E581" t="str">
        <v>No</v>
      </c>
      <c r="F581" t="str">
        <v>Weekly</v>
      </c>
      <c r="G581">
        <v>31</v>
      </c>
      <c r="H581">
        <v>1</v>
      </c>
      <c r="I581">
        <v>36</v>
      </c>
      <c r="J581">
        <v>126</v>
      </c>
      <c r="K581">
        <v>85</v>
      </c>
      <c r="L581">
        <v>8057</v>
      </c>
      <c r="M581" t="str" cm="1">
        <f t="array" ref="M581">_xlfn.IFS(C581&lt;6,"Poor",C581&lt;=8,"Normal",TRUE,"High")</f>
        <v>Normal</v>
      </c>
    </row>
    <row r="582" spans="1:13" x14ac:dyDescent="0.2">
      <c r="A582">
        <v>581</v>
      </c>
      <c r="B582" cm="1">
        <f t="array" ref="B582:L582">_xlfn.XLOOKUP($A582,Instagram_Usage_Lifestyle_Mini_!$A:$A,Instagram_Usage_Lifestyle_Mini_!$L:$V,"Not Found")</f>
        <v>9.1</v>
      </c>
      <c r="C582">
        <v>5.6</v>
      </c>
      <c r="D582" t="str">
        <v>Average</v>
      </c>
      <c r="E582" t="str">
        <v>No</v>
      </c>
      <c r="F582" t="str">
        <v>Never</v>
      </c>
      <c r="G582">
        <v>33</v>
      </c>
      <c r="H582">
        <v>8</v>
      </c>
      <c r="I582">
        <v>29.5</v>
      </c>
      <c r="J582">
        <v>121</v>
      </c>
      <c r="K582">
        <v>84</v>
      </c>
      <c r="L582">
        <v>7814</v>
      </c>
      <c r="M582" t="str" cm="1">
        <f t="array" ref="M582">_xlfn.IFS(C582&lt;6,"Poor",C582&lt;=8,"Normal",TRUE,"High")</f>
        <v>Poor</v>
      </c>
    </row>
    <row r="583" spans="1:13" x14ac:dyDescent="0.2">
      <c r="A583">
        <v>582</v>
      </c>
      <c r="B583" cm="1">
        <f t="array" ref="B583:L583">_xlfn.XLOOKUP($A583,Instagram_Usage_Lifestyle_Mini_!$A:$A,Instagram_Usage_Lifestyle_Mini_!$L:$V,"Not Found")</f>
        <v>1</v>
      </c>
      <c r="C583">
        <v>6.1</v>
      </c>
      <c r="D583" t="str">
        <v>Excellent</v>
      </c>
      <c r="E583" t="str">
        <v>No</v>
      </c>
      <c r="F583" t="str">
        <v>Never</v>
      </c>
      <c r="G583">
        <v>35</v>
      </c>
      <c r="H583">
        <v>5</v>
      </c>
      <c r="I583">
        <v>28.5</v>
      </c>
      <c r="J583">
        <v>141</v>
      </c>
      <c r="K583">
        <v>98</v>
      </c>
      <c r="L583">
        <v>7954</v>
      </c>
      <c r="M583" t="str" cm="1">
        <f t="array" ref="M583">_xlfn.IFS(C583&lt;6,"Poor",C583&lt;=8,"Normal",TRUE,"High")</f>
        <v>Normal</v>
      </c>
    </row>
    <row r="584" spans="1:13" x14ac:dyDescent="0.2">
      <c r="A584">
        <v>583</v>
      </c>
      <c r="B584" cm="1">
        <f t="array" ref="B584:L584">_xlfn.XLOOKUP($A584,Instagram_Usage_Lifestyle_Mini_!$A:$A,Instagram_Usage_Lifestyle_Mini_!$L:$V,"Not Found")</f>
        <v>8.6</v>
      </c>
      <c r="C584">
        <v>7.7</v>
      </c>
      <c r="D584" t="str">
        <v>Average</v>
      </c>
      <c r="E584" t="str">
        <v>No</v>
      </c>
      <c r="F584" t="str">
        <v>Rarely</v>
      </c>
      <c r="G584">
        <v>13</v>
      </c>
      <c r="H584">
        <v>4</v>
      </c>
      <c r="I584">
        <v>27.5</v>
      </c>
      <c r="J584">
        <v>135</v>
      </c>
      <c r="K584">
        <v>82</v>
      </c>
      <c r="L584">
        <v>7966</v>
      </c>
      <c r="M584" t="str" cm="1">
        <f t="array" ref="M584">_xlfn.IFS(C584&lt;6,"Poor",C584&lt;=8,"Normal",TRUE,"High")</f>
        <v>Normal</v>
      </c>
    </row>
    <row r="585" spans="1:13" x14ac:dyDescent="0.2">
      <c r="A585">
        <v>584</v>
      </c>
      <c r="B585" cm="1">
        <f t="array" ref="B585:L585">_xlfn.XLOOKUP($A585,Instagram_Usage_Lifestyle_Mini_!$A:$A,Instagram_Usage_Lifestyle_Mini_!$L:$V,"Not Found")</f>
        <v>14.3</v>
      </c>
      <c r="C585">
        <v>4.3</v>
      </c>
      <c r="D585" t="str">
        <v>Average</v>
      </c>
      <c r="E585" t="str">
        <v>No</v>
      </c>
      <c r="F585" t="str">
        <v>Never</v>
      </c>
      <c r="G585">
        <v>28</v>
      </c>
      <c r="H585">
        <v>10</v>
      </c>
      <c r="I585">
        <v>23.9</v>
      </c>
      <c r="J585">
        <v>116</v>
      </c>
      <c r="K585">
        <v>93</v>
      </c>
      <c r="L585">
        <v>7959</v>
      </c>
      <c r="M585" t="str" cm="1">
        <f t="array" ref="M585">_xlfn.IFS(C585&lt;6,"Poor",C585&lt;=8,"Normal",TRUE,"High")</f>
        <v>Poor</v>
      </c>
    </row>
    <row r="586" spans="1:13" x14ac:dyDescent="0.2">
      <c r="A586">
        <v>585</v>
      </c>
      <c r="B586" cm="1">
        <f t="array" ref="B586:L586">_xlfn.XLOOKUP($A586,Instagram_Usage_Lifestyle_Mini_!$A:$A,Instagram_Usage_Lifestyle_Mini_!$L:$V,"Not Found")</f>
        <v>10</v>
      </c>
      <c r="C586">
        <v>7.9</v>
      </c>
      <c r="D586" t="str">
        <v>Very_poor</v>
      </c>
      <c r="E586" t="str">
        <v>No</v>
      </c>
      <c r="F586" t="str">
        <v>Never</v>
      </c>
      <c r="G586">
        <v>16</v>
      </c>
      <c r="H586">
        <v>2</v>
      </c>
      <c r="I586">
        <v>24.1</v>
      </c>
      <c r="J586">
        <v>117</v>
      </c>
      <c r="K586">
        <v>90</v>
      </c>
      <c r="L586">
        <v>8147</v>
      </c>
      <c r="M586" t="str" cm="1">
        <f t="array" ref="M586">_xlfn.IFS(C586&lt;6,"Poor",C586&lt;=8,"Normal",TRUE,"High")</f>
        <v>Normal</v>
      </c>
    </row>
    <row r="587" spans="1:13" x14ac:dyDescent="0.2">
      <c r="A587">
        <v>586</v>
      </c>
      <c r="B587" cm="1">
        <f t="array" ref="B587:L587">_xlfn.XLOOKUP($A587,Instagram_Usage_Lifestyle_Mini_!$A:$A,Instagram_Usage_Lifestyle_Mini_!$L:$V,"Not Found")</f>
        <v>8.1</v>
      </c>
      <c r="C587">
        <v>8.3000000000000007</v>
      </c>
      <c r="D587" t="str">
        <v>Excellent</v>
      </c>
      <c r="E587" t="str">
        <v>No</v>
      </c>
      <c r="F587" t="str">
        <v>Weekly</v>
      </c>
      <c r="G587">
        <v>27</v>
      </c>
      <c r="H587">
        <v>8</v>
      </c>
      <c r="I587">
        <v>18.3</v>
      </c>
      <c r="J587">
        <v>112</v>
      </c>
      <c r="K587">
        <v>78</v>
      </c>
      <c r="L587">
        <v>8052</v>
      </c>
      <c r="M587" t="str" cm="1">
        <f t="array" ref="M587">_xlfn.IFS(C587&lt;6,"Poor",C587&lt;=8,"Normal",TRUE,"High")</f>
        <v>High</v>
      </c>
    </row>
    <row r="588" spans="1:13" x14ac:dyDescent="0.2">
      <c r="A588">
        <v>587</v>
      </c>
      <c r="B588" cm="1">
        <f t="array" ref="B588:L588">_xlfn.XLOOKUP($A588,Instagram_Usage_Lifestyle_Mini_!$A:$A,Instagram_Usage_Lifestyle_Mini_!$L:$V,"Not Found")</f>
        <v>3.1</v>
      </c>
      <c r="C588">
        <v>6.3</v>
      </c>
      <c r="D588" t="str">
        <v>Poor</v>
      </c>
      <c r="E588" t="str">
        <v>No</v>
      </c>
      <c r="F588" t="str">
        <v>Rarely</v>
      </c>
      <c r="G588">
        <v>20</v>
      </c>
      <c r="H588">
        <v>2</v>
      </c>
      <c r="I588">
        <v>23</v>
      </c>
      <c r="J588">
        <v>114</v>
      </c>
      <c r="K588">
        <v>63</v>
      </c>
      <c r="L588">
        <v>7949</v>
      </c>
      <c r="M588" t="str" cm="1">
        <f t="array" ref="M588">_xlfn.IFS(C588&lt;6,"Poor",C588&lt;=8,"Normal",TRUE,"High")</f>
        <v>Normal</v>
      </c>
    </row>
    <row r="589" spans="1:13" x14ac:dyDescent="0.2">
      <c r="A589">
        <v>588</v>
      </c>
      <c r="B589" cm="1">
        <f t="array" ref="B589:L589">_xlfn.XLOOKUP($A589,Instagram_Usage_Lifestyle_Mini_!$A:$A,Instagram_Usage_Lifestyle_Mini_!$L:$V,"Not Found")</f>
        <v>1.1000000000000001</v>
      </c>
      <c r="C589">
        <v>6</v>
      </c>
      <c r="D589" t="str">
        <v>Good</v>
      </c>
      <c r="E589" t="str">
        <v>No</v>
      </c>
      <c r="F589" t="str">
        <v>Never</v>
      </c>
      <c r="G589">
        <v>5</v>
      </c>
      <c r="H589">
        <v>4</v>
      </c>
      <c r="I589">
        <v>25.8</v>
      </c>
      <c r="J589">
        <v>96</v>
      </c>
      <c r="K589">
        <v>61</v>
      </c>
      <c r="L589">
        <v>7975</v>
      </c>
      <c r="M589" t="str" cm="1">
        <f t="array" ref="M589">_xlfn.IFS(C589&lt;6,"Poor",C589&lt;=8,"Normal",TRUE,"High")</f>
        <v>Normal</v>
      </c>
    </row>
    <row r="590" spans="1:13" x14ac:dyDescent="0.2">
      <c r="A590">
        <v>589</v>
      </c>
      <c r="B590" cm="1">
        <f t="array" ref="B590:L590">_xlfn.XLOOKUP($A590,Instagram_Usage_Lifestyle_Mini_!$A:$A,Instagram_Usage_Lifestyle_Mini_!$L:$V,"Not Found")</f>
        <v>14.3</v>
      </c>
      <c r="C590">
        <v>7.2</v>
      </c>
      <c r="D590" t="str">
        <v>Very_poor</v>
      </c>
      <c r="E590" t="str">
        <v>No</v>
      </c>
      <c r="F590" t="str">
        <v>Never</v>
      </c>
      <c r="G590">
        <v>39</v>
      </c>
      <c r="H590">
        <v>1</v>
      </c>
      <c r="I590">
        <v>24.2</v>
      </c>
      <c r="J590">
        <v>102</v>
      </c>
      <c r="K590">
        <v>81</v>
      </c>
      <c r="L590">
        <v>8152</v>
      </c>
      <c r="M590" t="str" cm="1">
        <f t="array" ref="M590">_xlfn.IFS(C590&lt;6,"Poor",C590&lt;=8,"Normal",TRUE,"High")</f>
        <v>Normal</v>
      </c>
    </row>
    <row r="591" spans="1:13" x14ac:dyDescent="0.2">
      <c r="A591">
        <v>590</v>
      </c>
      <c r="B591" cm="1">
        <f t="array" ref="B591:L591">_xlfn.XLOOKUP($A591,Instagram_Usage_Lifestyle_Mini_!$A:$A,Instagram_Usage_Lifestyle_Mini_!$L:$V,"Not Found")</f>
        <v>10.5</v>
      </c>
      <c r="C591">
        <v>7.4</v>
      </c>
      <c r="D591" t="str">
        <v>Average</v>
      </c>
      <c r="E591" t="str">
        <v>No</v>
      </c>
      <c r="F591" t="str">
        <v>Weekly</v>
      </c>
      <c r="G591">
        <v>26</v>
      </c>
      <c r="H591">
        <v>2</v>
      </c>
      <c r="I591">
        <v>26.1</v>
      </c>
      <c r="J591">
        <v>128</v>
      </c>
      <c r="K591">
        <v>65</v>
      </c>
      <c r="L591">
        <v>7955</v>
      </c>
      <c r="M591" t="str" cm="1">
        <f t="array" ref="M591">_xlfn.IFS(C591&lt;6,"Poor",C591&lt;=8,"Normal",TRUE,"High")</f>
        <v>Normal</v>
      </c>
    </row>
    <row r="592" spans="1:13" x14ac:dyDescent="0.2">
      <c r="A592">
        <v>591</v>
      </c>
      <c r="B592" cm="1">
        <f t="array" ref="B592:L592">_xlfn.XLOOKUP($A592,Instagram_Usage_Lifestyle_Mini_!$A:$A,Instagram_Usage_Lifestyle_Mini_!$L:$V,"Not Found")</f>
        <v>2.8</v>
      </c>
      <c r="C592">
        <v>7.8</v>
      </c>
      <c r="D592" t="str">
        <v>Good</v>
      </c>
      <c r="E592" t="str">
        <v>No</v>
      </c>
      <c r="F592" t="str">
        <v>Rarely</v>
      </c>
      <c r="G592">
        <v>8</v>
      </c>
      <c r="H592">
        <v>5</v>
      </c>
      <c r="I592">
        <v>28.8</v>
      </c>
      <c r="J592">
        <v>117</v>
      </c>
      <c r="K592">
        <v>71</v>
      </c>
      <c r="L592">
        <v>8119</v>
      </c>
      <c r="M592" t="str" cm="1">
        <f t="array" ref="M592">_xlfn.IFS(C592&lt;6,"Poor",C592&lt;=8,"Normal",TRUE,"High")</f>
        <v>Normal</v>
      </c>
    </row>
    <row r="593" spans="1:13" x14ac:dyDescent="0.2">
      <c r="A593">
        <v>592</v>
      </c>
      <c r="B593" cm="1">
        <f t="array" ref="B593:L593">_xlfn.XLOOKUP($A593,Instagram_Usage_Lifestyle_Mini_!$A:$A,Instagram_Usage_Lifestyle_Mini_!$L:$V,"Not Found")</f>
        <v>4.7</v>
      </c>
      <c r="C593">
        <v>7.5</v>
      </c>
      <c r="D593" t="str">
        <v>Average</v>
      </c>
      <c r="E593" t="str">
        <v>No</v>
      </c>
      <c r="F593" t="str">
        <v>Rarely</v>
      </c>
      <c r="G593">
        <v>22</v>
      </c>
      <c r="H593">
        <v>2</v>
      </c>
      <c r="I593">
        <v>23.6</v>
      </c>
      <c r="J593">
        <v>114</v>
      </c>
      <c r="K593">
        <v>70</v>
      </c>
      <c r="L593">
        <v>7961</v>
      </c>
      <c r="M593" t="str" cm="1">
        <f t="array" ref="M593">_xlfn.IFS(C593&lt;6,"Poor",C593&lt;=8,"Normal",TRUE,"High")</f>
        <v>Normal</v>
      </c>
    </row>
    <row r="594" spans="1:13" x14ac:dyDescent="0.2">
      <c r="A594">
        <v>593</v>
      </c>
      <c r="B594" cm="1">
        <f t="array" ref="B594:L594">_xlfn.XLOOKUP($A594,Instagram_Usage_Lifestyle_Mini_!$A:$A,Instagram_Usage_Lifestyle_Mini_!$L:$V,"Not Found")</f>
        <v>6.6</v>
      </c>
      <c r="C594">
        <v>9</v>
      </c>
      <c r="D594" t="str">
        <v>Good</v>
      </c>
      <c r="E594" t="str">
        <v>Yes</v>
      </c>
      <c r="F594" t="str">
        <v>Never</v>
      </c>
      <c r="G594">
        <v>13</v>
      </c>
      <c r="H594">
        <v>10</v>
      </c>
      <c r="I594">
        <v>26.7</v>
      </c>
      <c r="J594">
        <v>115</v>
      </c>
      <c r="K594">
        <v>97</v>
      </c>
      <c r="L594">
        <v>7966</v>
      </c>
      <c r="M594" t="str" cm="1">
        <f t="array" ref="M594">_xlfn.IFS(C594&lt;6,"Poor",C594&lt;=8,"Normal",TRUE,"High")</f>
        <v>High</v>
      </c>
    </row>
    <row r="595" spans="1:13" x14ac:dyDescent="0.2">
      <c r="A595">
        <v>594</v>
      </c>
      <c r="B595" cm="1">
        <f t="array" ref="B595:L595">_xlfn.XLOOKUP($A595,Instagram_Usage_Lifestyle_Mini_!$A:$A,Instagram_Usage_Lifestyle_Mini_!$L:$V,"Not Found")</f>
        <v>4.2</v>
      </c>
      <c r="C595">
        <v>8.6999999999999993</v>
      </c>
      <c r="D595" t="str">
        <v>Good</v>
      </c>
      <c r="E595" t="str">
        <v>Former</v>
      </c>
      <c r="F595" t="str">
        <v>Weekly</v>
      </c>
      <c r="G595">
        <v>5</v>
      </c>
      <c r="H595">
        <v>3</v>
      </c>
      <c r="I595">
        <v>20</v>
      </c>
      <c r="J595">
        <v>109</v>
      </c>
      <c r="K595">
        <v>90</v>
      </c>
      <c r="L595">
        <v>8086</v>
      </c>
      <c r="M595" t="str" cm="1">
        <f t="array" ref="M595">_xlfn.IFS(C595&lt;6,"Poor",C595&lt;=8,"Normal",TRUE,"High")</f>
        <v>High</v>
      </c>
    </row>
    <row r="596" spans="1:13" x14ac:dyDescent="0.2">
      <c r="A596">
        <v>595</v>
      </c>
      <c r="B596" cm="1">
        <f t="array" ref="B596:L596">_xlfn.XLOOKUP($A596,Instagram_Usage_Lifestyle_Mini_!$A:$A,Instagram_Usage_Lifestyle_Mini_!$L:$V,"Not Found")</f>
        <v>10.6</v>
      </c>
      <c r="C596">
        <v>6.1</v>
      </c>
      <c r="D596" t="str">
        <v>Good</v>
      </c>
      <c r="E596" t="str">
        <v>No</v>
      </c>
      <c r="F596" t="str">
        <v>Weekly</v>
      </c>
      <c r="G596">
        <v>0</v>
      </c>
      <c r="H596">
        <v>9</v>
      </c>
      <c r="I596">
        <v>20.5</v>
      </c>
      <c r="J596">
        <v>98</v>
      </c>
      <c r="K596">
        <v>96</v>
      </c>
      <c r="L596">
        <v>7927</v>
      </c>
      <c r="M596" t="str" cm="1">
        <f t="array" ref="M596">_xlfn.IFS(C596&lt;6,"Poor",C596&lt;=8,"Normal",TRUE,"High")</f>
        <v>Normal</v>
      </c>
    </row>
    <row r="597" spans="1:13" x14ac:dyDescent="0.2">
      <c r="A597">
        <v>596</v>
      </c>
      <c r="B597" cm="1">
        <f t="array" ref="B597:L597">_xlfn.XLOOKUP($A597,Instagram_Usage_Lifestyle_Mini_!$A:$A,Instagram_Usage_Lifestyle_Mini_!$L:$V,"Not Found")</f>
        <v>4.7</v>
      </c>
      <c r="C597">
        <v>4.8</v>
      </c>
      <c r="D597" t="str">
        <v>Good</v>
      </c>
      <c r="E597" t="str">
        <v>No</v>
      </c>
      <c r="F597" t="str">
        <v>Several_times_a_week</v>
      </c>
      <c r="G597">
        <v>0</v>
      </c>
      <c r="H597">
        <v>5</v>
      </c>
      <c r="I597">
        <v>35.200000000000003</v>
      </c>
      <c r="J597">
        <v>138</v>
      </c>
      <c r="K597">
        <v>96</v>
      </c>
      <c r="L597">
        <v>7945</v>
      </c>
      <c r="M597" t="str" cm="1">
        <f t="array" ref="M597">_xlfn.IFS(C597&lt;6,"Poor",C597&lt;=8,"Normal",TRUE,"High")</f>
        <v>Poor</v>
      </c>
    </row>
    <row r="598" spans="1:13" x14ac:dyDescent="0.2">
      <c r="A598">
        <v>597</v>
      </c>
      <c r="B598" cm="1">
        <f t="array" ref="B598:L598">_xlfn.XLOOKUP($A598,Instagram_Usage_Lifestyle_Mini_!$A:$A,Instagram_Usage_Lifestyle_Mini_!$L:$V,"Not Found")</f>
        <v>10.9</v>
      </c>
      <c r="C598">
        <v>9.1</v>
      </c>
      <c r="D598" t="str">
        <v>Excellent</v>
      </c>
      <c r="E598" t="str">
        <v>No</v>
      </c>
      <c r="F598" t="str">
        <v>Never</v>
      </c>
      <c r="G598">
        <v>6</v>
      </c>
      <c r="H598">
        <v>9</v>
      </c>
      <c r="I598">
        <v>28.1</v>
      </c>
      <c r="J598">
        <v>105</v>
      </c>
      <c r="K598">
        <v>81</v>
      </c>
      <c r="L598">
        <v>7993</v>
      </c>
      <c r="M598" t="str" cm="1">
        <f t="array" ref="M598">_xlfn.IFS(C598&lt;6,"Poor",C598&lt;=8,"Normal",TRUE,"High")</f>
        <v>High</v>
      </c>
    </row>
    <row r="599" spans="1:13" x14ac:dyDescent="0.2">
      <c r="A599">
        <v>598</v>
      </c>
      <c r="B599" cm="1">
        <f t="array" ref="B599:L599">_xlfn.XLOOKUP($A599,Instagram_Usage_Lifestyle_Mini_!$A:$A,Instagram_Usage_Lifestyle_Mini_!$L:$V,"Not Found")</f>
        <v>6.9</v>
      </c>
      <c r="C599">
        <v>7.9</v>
      </c>
      <c r="D599" t="str">
        <v>Very_poor</v>
      </c>
      <c r="E599" t="str">
        <v>Former</v>
      </c>
      <c r="F599" t="str">
        <v>Weekly</v>
      </c>
      <c r="G599">
        <v>15</v>
      </c>
      <c r="H599">
        <v>8</v>
      </c>
      <c r="I599">
        <v>19.8</v>
      </c>
      <c r="J599">
        <v>111</v>
      </c>
      <c r="K599">
        <v>74</v>
      </c>
      <c r="L599">
        <v>8062</v>
      </c>
      <c r="M599" t="str" cm="1">
        <f t="array" ref="M599">_xlfn.IFS(C599&lt;6,"Poor",C599&lt;=8,"Normal",TRUE,"High")</f>
        <v>Normal</v>
      </c>
    </row>
    <row r="600" spans="1:13" x14ac:dyDescent="0.2">
      <c r="A600">
        <v>599</v>
      </c>
      <c r="B600" cm="1">
        <f t="array" ref="B600:L600">_xlfn.XLOOKUP($A600,Instagram_Usage_Lifestyle_Mini_!$A:$A,Instagram_Usage_Lifestyle_Mini_!$L:$V,"Not Found")</f>
        <v>3.3</v>
      </c>
      <c r="C600">
        <v>7.4</v>
      </c>
      <c r="D600" t="str">
        <v>Very_poor</v>
      </c>
      <c r="E600" t="str">
        <v>No</v>
      </c>
      <c r="F600" t="str">
        <v>Rarely</v>
      </c>
      <c r="G600">
        <v>21</v>
      </c>
      <c r="H600">
        <v>5</v>
      </c>
      <c r="I600">
        <v>27.7</v>
      </c>
      <c r="J600">
        <v>96</v>
      </c>
      <c r="K600">
        <v>94</v>
      </c>
      <c r="L600">
        <v>7913</v>
      </c>
      <c r="M600" t="str" cm="1">
        <f t="array" ref="M600">_xlfn.IFS(C600&lt;6,"Poor",C600&lt;=8,"Normal",TRUE,"High")</f>
        <v>Normal</v>
      </c>
    </row>
    <row r="601" spans="1:13" x14ac:dyDescent="0.2">
      <c r="A601">
        <v>600</v>
      </c>
      <c r="B601" cm="1">
        <f t="array" ref="B601:L601">_xlfn.XLOOKUP($A601,Instagram_Usage_Lifestyle_Mini_!$A:$A,Instagram_Usage_Lifestyle_Mini_!$L:$V,"Not Found")</f>
        <v>6.4</v>
      </c>
      <c r="C601">
        <v>6.9</v>
      </c>
      <c r="D601" t="str">
        <v>Excellent</v>
      </c>
      <c r="E601" t="str">
        <v>Former</v>
      </c>
      <c r="F601" t="str">
        <v>Rarely</v>
      </c>
      <c r="G601">
        <v>38</v>
      </c>
      <c r="H601">
        <v>4</v>
      </c>
      <c r="I601">
        <v>30.5</v>
      </c>
      <c r="J601">
        <v>103</v>
      </c>
      <c r="K601">
        <v>61</v>
      </c>
      <c r="L601">
        <v>7932</v>
      </c>
      <c r="M601" t="str" cm="1">
        <f t="array" ref="M601">_xlfn.IFS(C601&lt;6,"Poor",C601&lt;=8,"Normal",TRUE,"High")</f>
        <v>Normal</v>
      </c>
    </row>
    <row r="602" spans="1:13" x14ac:dyDescent="0.2">
      <c r="A602">
        <v>601</v>
      </c>
      <c r="B602" cm="1">
        <f t="array" ref="B602:L602">_xlfn.XLOOKUP($A602,Instagram_Usage_Lifestyle_Mini_!$A:$A,Instagram_Usage_Lifestyle_Mini_!$L:$V,"Not Found")</f>
        <v>0.3</v>
      </c>
      <c r="C602">
        <v>4.8</v>
      </c>
      <c r="D602" t="str">
        <v>Very_poor</v>
      </c>
      <c r="E602" t="str">
        <v>No</v>
      </c>
      <c r="F602" t="str">
        <v>Weekly</v>
      </c>
      <c r="G602">
        <v>26</v>
      </c>
      <c r="H602">
        <v>6</v>
      </c>
      <c r="I602">
        <v>25.2</v>
      </c>
      <c r="J602">
        <v>127</v>
      </c>
      <c r="K602">
        <v>72</v>
      </c>
      <c r="L602">
        <v>7766</v>
      </c>
      <c r="M602" t="str" cm="1">
        <f t="array" ref="M602">_xlfn.IFS(C602&lt;6,"Poor",C602&lt;=8,"Normal",TRUE,"High")</f>
        <v>Poor</v>
      </c>
    </row>
    <row r="603" spans="1:13" x14ac:dyDescent="0.2">
      <c r="A603">
        <v>602</v>
      </c>
      <c r="B603" cm="1">
        <f t="array" ref="B603:L603">_xlfn.XLOOKUP($A603,Instagram_Usage_Lifestyle_Mini_!$A:$A,Instagram_Usage_Lifestyle_Mini_!$L:$V,"Not Found")</f>
        <v>13.2</v>
      </c>
      <c r="C603">
        <v>10</v>
      </c>
      <c r="D603" t="str">
        <v>Poor</v>
      </c>
      <c r="E603" t="str">
        <v>No</v>
      </c>
      <c r="F603" t="str">
        <v>Rarely</v>
      </c>
      <c r="G603">
        <v>19</v>
      </c>
      <c r="H603">
        <v>1</v>
      </c>
      <c r="I603">
        <v>21.1</v>
      </c>
      <c r="J603">
        <v>155</v>
      </c>
      <c r="K603">
        <v>96</v>
      </c>
      <c r="L603">
        <v>7926</v>
      </c>
      <c r="M603" t="str" cm="1">
        <f t="array" ref="M603">_xlfn.IFS(C603&lt;6,"Poor",C603&lt;=8,"Normal",TRUE,"High")</f>
        <v>High</v>
      </c>
    </row>
    <row r="604" spans="1:13" x14ac:dyDescent="0.2">
      <c r="A604">
        <v>603</v>
      </c>
      <c r="B604" cm="1">
        <f t="array" ref="B604:L604">_xlfn.XLOOKUP($A604,Instagram_Usage_Lifestyle_Mini_!$A:$A,Instagram_Usage_Lifestyle_Mini_!$L:$V,"Not Found")</f>
        <v>8.6999999999999993</v>
      </c>
      <c r="C604">
        <v>7.3</v>
      </c>
      <c r="D604" t="str">
        <v>Poor</v>
      </c>
      <c r="E604" t="str">
        <v>No</v>
      </c>
      <c r="F604" t="str">
        <v>Rarely</v>
      </c>
      <c r="G604">
        <v>39</v>
      </c>
      <c r="H604">
        <v>4</v>
      </c>
      <c r="I604">
        <v>30.7</v>
      </c>
      <c r="J604">
        <v>128</v>
      </c>
      <c r="K604">
        <v>71</v>
      </c>
      <c r="L604">
        <v>7954</v>
      </c>
      <c r="M604" t="str" cm="1">
        <f t="array" ref="M604">_xlfn.IFS(C604&lt;6,"Poor",C604&lt;=8,"Normal",TRUE,"High")</f>
        <v>Normal</v>
      </c>
    </row>
    <row r="605" spans="1:13" x14ac:dyDescent="0.2">
      <c r="A605">
        <v>604</v>
      </c>
      <c r="B605" cm="1">
        <f t="array" ref="B605:L605">_xlfn.XLOOKUP($A605,Instagram_Usage_Lifestyle_Mini_!$A:$A,Instagram_Usage_Lifestyle_Mini_!$L:$V,"Not Found")</f>
        <v>15.8</v>
      </c>
      <c r="C605">
        <v>7.9</v>
      </c>
      <c r="D605" t="str">
        <v>Good</v>
      </c>
      <c r="E605" t="str">
        <v>Yes</v>
      </c>
      <c r="F605" t="str">
        <v>Daily</v>
      </c>
      <c r="G605">
        <v>15</v>
      </c>
      <c r="H605">
        <v>10</v>
      </c>
      <c r="I605">
        <v>25.5</v>
      </c>
      <c r="J605">
        <v>121</v>
      </c>
      <c r="K605">
        <v>95</v>
      </c>
      <c r="L605">
        <v>7976</v>
      </c>
      <c r="M605" t="str" cm="1">
        <f t="array" ref="M605">_xlfn.IFS(C605&lt;6,"Poor",C605&lt;=8,"Normal",TRUE,"High")</f>
        <v>Normal</v>
      </c>
    </row>
    <row r="606" spans="1:13" x14ac:dyDescent="0.2">
      <c r="A606">
        <v>605</v>
      </c>
      <c r="B606" cm="1">
        <f t="array" ref="B606:L606">_xlfn.XLOOKUP($A606,Instagram_Usage_Lifestyle_Mini_!$A:$A,Instagram_Usage_Lifestyle_Mini_!$L:$V,"Not Found")</f>
        <v>7.7</v>
      </c>
      <c r="C606">
        <v>8.4</v>
      </c>
      <c r="D606" t="str">
        <v>Very_poor</v>
      </c>
      <c r="E606" t="str">
        <v>No</v>
      </c>
      <c r="F606" t="str">
        <v>Rarely</v>
      </c>
      <c r="G606">
        <v>0</v>
      </c>
      <c r="H606">
        <v>7</v>
      </c>
      <c r="I606">
        <v>22.4</v>
      </c>
      <c r="J606">
        <v>157</v>
      </c>
      <c r="K606">
        <v>81</v>
      </c>
      <c r="L606">
        <v>8102</v>
      </c>
      <c r="M606" t="str" cm="1">
        <f t="array" ref="M606">_xlfn.IFS(C606&lt;6,"Poor",C606&lt;=8,"Normal",TRUE,"High")</f>
        <v>High</v>
      </c>
    </row>
    <row r="607" spans="1:13" x14ac:dyDescent="0.2">
      <c r="A607">
        <v>606</v>
      </c>
      <c r="B607" cm="1">
        <f t="array" ref="B607:L607">_xlfn.XLOOKUP($A607,Instagram_Usage_Lifestyle_Mini_!$A:$A,Instagram_Usage_Lifestyle_Mini_!$L:$V,"Not Found")</f>
        <v>4.2</v>
      </c>
      <c r="C607">
        <v>7.3</v>
      </c>
      <c r="D607" t="str">
        <v>Poor</v>
      </c>
      <c r="E607" t="str">
        <v>No</v>
      </c>
      <c r="F607" t="str">
        <v>Several_times_a_week</v>
      </c>
      <c r="G607">
        <v>32</v>
      </c>
      <c r="H607">
        <v>6</v>
      </c>
      <c r="I607">
        <v>18.8</v>
      </c>
      <c r="J607">
        <v>156</v>
      </c>
      <c r="K607">
        <v>80</v>
      </c>
      <c r="L607">
        <v>7890</v>
      </c>
      <c r="M607" t="str" cm="1">
        <f t="array" ref="M607">_xlfn.IFS(C607&lt;6,"Poor",C607&lt;=8,"Normal",TRUE,"High")</f>
        <v>Normal</v>
      </c>
    </row>
    <row r="608" spans="1:13" x14ac:dyDescent="0.2">
      <c r="A608">
        <v>607</v>
      </c>
      <c r="B608" cm="1">
        <f t="array" ref="B608:L608">_xlfn.XLOOKUP($A608,Instagram_Usage_Lifestyle_Mini_!$A:$A,Instagram_Usage_Lifestyle_Mini_!$L:$V,"Not Found")</f>
        <v>12.5</v>
      </c>
      <c r="C608">
        <v>7.3</v>
      </c>
      <c r="D608" t="str">
        <v>Good</v>
      </c>
      <c r="E608" t="str">
        <v>No</v>
      </c>
      <c r="F608" t="str">
        <v>Never</v>
      </c>
      <c r="G608">
        <v>7</v>
      </c>
      <c r="H608">
        <v>4</v>
      </c>
      <c r="I608">
        <v>20.9</v>
      </c>
      <c r="J608">
        <v>126</v>
      </c>
      <c r="K608">
        <v>87</v>
      </c>
      <c r="L608">
        <v>7933</v>
      </c>
      <c r="M608" t="str" cm="1">
        <f t="array" ref="M608">_xlfn.IFS(C608&lt;6,"Poor",C608&lt;=8,"Normal",TRUE,"High")</f>
        <v>Normal</v>
      </c>
    </row>
    <row r="609" spans="1:13" x14ac:dyDescent="0.2">
      <c r="A609">
        <v>608</v>
      </c>
      <c r="B609" cm="1">
        <f t="array" ref="B609:L609">_xlfn.XLOOKUP($A609,Instagram_Usage_Lifestyle_Mini_!$A:$A,Instagram_Usage_Lifestyle_Mini_!$L:$V,"Not Found")</f>
        <v>6.8</v>
      </c>
      <c r="C609">
        <v>7.1</v>
      </c>
      <c r="D609" t="str">
        <v>Average</v>
      </c>
      <c r="E609" t="str">
        <v>Yes</v>
      </c>
      <c r="F609" t="str">
        <v>Rarely</v>
      </c>
      <c r="G609">
        <v>29</v>
      </c>
      <c r="H609">
        <v>3</v>
      </c>
      <c r="I609">
        <v>15.7</v>
      </c>
      <c r="J609">
        <v>148</v>
      </c>
      <c r="K609">
        <v>64</v>
      </c>
      <c r="L609">
        <v>7993</v>
      </c>
      <c r="M609" t="str" cm="1">
        <f t="array" ref="M609">_xlfn.IFS(C609&lt;6,"Poor",C609&lt;=8,"Normal",TRUE,"High")</f>
        <v>Normal</v>
      </c>
    </row>
    <row r="610" spans="1:13" x14ac:dyDescent="0.2">
      <c r="A610">
        <v>609</v>
      </c>
      <c r="B610" cm="1">
        <f t="array" ref="B610:L610">_xlfn.XLOOKUP($A610,Instagram_Usage_Lifestyle_Mini_!$A:$A,Instagram_Usage_Lifestyle_Mini_!$L:$V,"Not Found")</f>
        <v>14.6</v>
      </c>
      <c r="C610">
        <v>8.1999999999999993</v>
      </c>
      <c r="D610" t="str">
        <v>Good</v>
      </c>
      <c r="E610" t="str">
        <v>No</v>
      </c>
      <c r="F610" t="str">
        <v>Never</v>
      </c>
      <c r="G610">
        <v>22</v>
      </c>
      <c r="H610">
        <v>10</v>
      </c>
      <c r="I610">
        <v>17.899999999999999</v>
      </c>
      <c r="J610">
        <v>116</v>
      </c>
      <c r="K610">
        <v>96</v>
      </c>
      <c r="L610">
        <v>8038</v>
      </c>
      <c r="M610" t="str" cm="1">
        <f t="array" ref="M610">_xlfn.IFS(C610&lt;6,"Poor",C610&lt;=8,"Normal",TRUE,"High")</f>
        <v>High</v>
      </c>
    </row>
    <row r="611" spans="1:13" x14ac:dyDescent="0.2">
      <c r="A611">
        <v>610</v>
      </c>
      <c r="B611" cm="1">
        <f t="array" ref="B611:L611">_xlfn.XLOOKUP($A611,Instagram_Usage_Lifestyle_Mini_!$A:$A,Instagram_Usage_Lifestyle_Mini_!$L:$V,"Not Found")</f>
        <v>9.9</v>
      </c>
      <c r="C611">
        <v>8.4</v>
      </c>
      <c r="D611" t="str">
        <v>Very_poor</v>
      </c>
      <c r="E611" t="str">
        <v>No</v>
      </c>
      <c r="F611" t="str">
        <v>Never</v>
      </c>
      <c r="G611">
        <v>7</v>
      </c>
      <c r="H611">
        <v>1</v>
      </c>
      <c r="I611">
        <v>27.7</v>
      </c>
      <c r="J611">
        <v>158</v>
      </c>
      <c r="K611">
        <v>68</v>
      </c>
      <c r="L611">
        <v>7993</v>
      </c>
      <c r="M611" t="str" cm="1">
        <f t="array" ref="M611">_xlfn.IFS(C611&lt;6,"Poor",C611&lt;=8,"Normal",TRUE,"High")</f>
        <v>High</v>
      </c>
    </row>
    <row r="612" spans="1:13" x14ac:dyDescent="0.2">
      <c r="A612">
        <v>611</v>
      </c>
      <c r="B612" cm="1">
        <f t="array" ref="B612:L612">_xlfn.XLOOKUP($A612,Instagram_Usage_Lifestyle_Mini_!$A:$A,Instagram_Usage_Lifestyle_Mini_!$L:$V,"Not Found")</f>
        <v>9.4</v>
      </c>
      <c r="C612">
        <v>6.2</v>
      </c>
      <c r="D612" t="str">
        <v>Average</v>
      </c>
      <c r="E612" t="str">
        <v>No</v>
      </c>
      <c r="F612" t="str">
        <v>Weekly</v>
      </c>
      <c r="G612">
        <v>37</v>
      </c>
      <c r="H612">
        <v>4</v>
      </c>
      <c r="I612">
        <v>28.6</v>
      </c>
      <c r="J612">
        <v>91</v>
      </c>
      <c r="K612">
        <v>64</v>
      </c>
      <c r="L612">
        <v>8059</v>
      </c>
      <c r="M612" t="str" cm="1">
        <f t="array" ref="M612">_xlfn.IFS(C612&lt;6,"Poor",C612&lt;=8,"Normal",TRUE,"High")</f>
        <v>Normal</v>
      </c>
    </row>
    <row r="613" spans="1:13" x14ac:dyDescent="0.2">
      <c r="A613">
        <v>612</v>
      </c>
      <c r="B613" cm="1">
        <f t="array" ref="B613:L613">_xlfn.XLOOKUP($A613,Instagram_Usage_Lifestyle_Mini_!$A:$A,Instagram_Usage_Lifestyle_Mini_!$L:$V,"Not Found")</f>
        <v>2.8</v>
      </c>
      <c r="C613">
        <v>5.9</v>
      </c>
      <c r="D613" t="str">
        <v>Average</v>
      </c>
      <c r="E613" t="str">
        <v>No</v>
      </c>
      <c r="F613" t="str">
        <v>Rarely</v>
      </c>
      <c r="G613">
        <v>16</v>
      </c>
      <c r="H613">
        <v>4</v>
      </c>
      <c r="I613">
        <v>21.9</v>
      </c>
      <c r="J613">
        <v>112</v>
      </c>
      <c r="K613">
        <v>76</v>
      </c>
      <c r="L613">
        <v>8010</v>
      </c>
      <c r="M613" t="str" cm="1">
        <f t="array" ref="M613">_xlfn.IFS(C613&lt;6,"Poor",C613&lt;=8,"Normal",TRUE,"High")</f>
        <v>Poor</v>
      </c>
    </row>
    <row r="614" spans="1:13" x14ac:dyDescent="0.2">
      <c r="A614">
        <v>613</v>
      </c>
      <c r="B614" cm="1">
        <f t="array" ref="B614:L614">_xlfn.XLOOKUP($A614,Instagram_Usage_Lifestyle_Mini_!$A:$A,Instagram_Usage_Lifestyle_Mini_!$L:$V,"Not Found")</f>
        <v>0.6</v>
      </c>
      <c r="C614">
        <v>6.3</v>
      </c>
      <c r="D614" t="str">
        <v>Good</v>
      </c>
      <c r="E614" t="str">
        <v>Yes</v>
      </c>
      <c r="F614" t="str">
        <v>Rarely</v>
      </c>
      <c r="G614">
        <v>38</v>
      </c>
      <c r="H614">
        <v>9</v>
      </c>
      <c r="I614">
        <v>26.1</v>
      </c>
      <c r="J614">
        <v>136</v>
      </c>
      <c r="K614">
        <v>85</v>
      </c>
      <c r="L614">
        <v>7910</v>
      </c>
      <c r="M614" t="str" cm="1">
        <f t="array" ref="M614">_xlfn.IFS(C614&lt;6,"Poor",C614&lt;=8,"Normal",TRUE,"High")</f>
        <v>Normal</v>
      </c>
    </row>
    <row r="615" spans="1:13" x14ac:dyDescent="0.2">
      <c r="A615">
        <v>614</v>
      </c>
      <c r="B615" cm="1">
        <f t="array" ref="B615:L615">_xlfn.XLOOKUP($A615,Instagram_Usage_Lifestyle_Mini_!$A:$A,Instagram_Usage_Lifestyle_Mini_!$L:$V,"Not Found")</f>
        <v>5.6</v>
      </c>
      <c r="C615">
        <v>7</v>
      </c>
      <c r="D615" t="str">
        <v>Average</v>
      </c>
      <c r="E615" t="str">
        <v>No</v>
      </c>
      <c r="F615" t="str">
        <v>Rarely</v>
      </c>
      <c r="G615">
        <v>11</v>
      </c>
      <c r="H615">
        <v>3</v>
      </c>
      <c r="I615">
        <v>28.6</v>
      </c>
      <c r="J615">
        <v>144</v>
      </c>
      <c r="K615">
        <v>90</v>
      </c>
      <c r="L615">
        <v>7961</v>
      </c>
      <c r="M615" t="str" cm="1">
        <f t="array" ref="M615">_xlfn.IFS(C615&lt;6,"Poor",C615&lt;=8,"Normal",TRUE,"High")</f>
        <v>Normal</v>
      </c>
    </row>
    <row r="616" spans="1:13" x14ac:dyDescent="0.2">
      <c r="A616">
        <v>615</v>
      </c>
      <c r="B616" cm="1">
        <f t="array" ref="B616:L616">_xlfn.XLOOKUP($A616,Instagram_Usage_Lifestyle_Mini_!$A:$A,Instagram_Usage_Lifestyle_Mini_!$L:$V,"Not Found")</f>
        <v>11.8</v>
      </c>
      <c r="C616">
        <v>5.6</v>
      </c>
      <c r="D616" t="str">
        <v>Very_poor</v>
      </c>
      <c r="E616" t="str">
        <v>No</v>
      </c>
      <c r="F616" t="str">
        <v>Never</v>
      </c>
      <c r="G616">
        <v>21</v>
      </c>
      <c r="H616">
        <v>7</v>
      </c>
      <c r="I616">
        <v>16.899999999999999</v>
      </c>
      <c r="J616">
        <v>91</v>
      </c>
      <c r="K616">
        <v>81</v>
      </c>
      <c r="L616">
        <v>7856</v>
      </c>
      <c r="M616" t="str" cm="1">
        <f t="array" ref="M616">_xlfn.IFS(C616&lt;6,"Poor",C616&lt;=8,"Normal",TRUE,"High")</f>
        <v>Poor</v>
      </c>
    </row>
    <row r="617" spans="1:13" x14ac:dyDescent="0.2">
      <c r="A617">
        <v>616</v>
      </c>
      <c r="B617" cm="1">
        <f t="array" ref="B617:L617">_xlfn.XLOOKUP($A617,Instagram_Usage_Lifestyle_Mini_!$A:$A,Instagram_Usage_Lifestyle_Mini_!$L:$V,"Not Found")</f>
        <v>6.6</v>
      </c>
      <c r="C617">
        <v>9.4</v>
      </c>
      <c r="D617" t="str">
        <v>Good</v>
      </c>
      <c r="E617" t="str">
        <v>No</v>
      </c>
      <c r="F617" t="str">
        <v>Rarely</v>
      </c>
      <c r="G617">
        <v>15</v>
      </c>
      <c r="H617">
        <v>5</v>
      </c>
      <c r="I617">
        <v>24.8</v>
      </c>
      <c r="J617">
        <v>139</v>
      </c>
      <c r="K617">
        <v>72</v>
      </c>
      <c r="L617">
        <v>7810</v>
      </c>
      <c r="M617" t="str" cm="1">
        <f t="array" ref="M617">_xlfn.IFS(C617&lt;6,"Poor",C617&lt;=8,"Normal",TRUE,"High")</f>
        <v>High</v>
      </c>
    </row>
    <row r="618" spans="1:13" x14ac:dyDescent="0.2">
      <c r="A618">
        <v>617</v>
      </c>
      <c r="B618" cm="1">
        <f t="array" ref="B618:L618">_xlfn.XLOOKUP($A618,Instagram_Usage_Lifestyle_Mini_!$A:$A,Instagram_Usage_Lifestyle_Mini_!$L:$V,"Not Found")</f>
        <v>8</v>
      </c>
      <c r="C618">
        <v>7.4</v>
      </c>
      <c r="D618" t="str">
        <v>Excellent</v>
      </c>
      <c r="E618" t="str">
        <v>No</v>
      </c>
      <c r="F618" t="str">
        <v>Several_times_a_week</v>
      </c>
      <c r="G618">
        <v>29</v>
      </c>
      <c r="H618">
        <v>4</v>
      </c>
      <c r="I618">
        <v>23.6</v>
      </c>
      <c r="J618">
        <v>143</v>
      </c>
      <c r="K618">
        <v>68</v>
      </c>
      <c r="L618">
        <v>8041</v>
      </c>
      <c r="M618" t="str" cm="1">
        <f t="array" ref="M618">_xlfn.IFS(C618&lt;6,"Poor",C618&lt;=8,"Normal",TRUE,"High")</f>
        <v>Normal</v>
      </c>
    </row>
    <row r="619" spans="1:13" x14ac:dyDescent="0.2">
      <c r="A619">
        <v>618</v>
      </c>
      <c r="B619" cm="1">
        <f t="array" ref="B619:L619">_xlfn.XLOOKUP($A619,Instagram_Usage_Lifestyle_Mini_!$A:$A,Instagram_Usage_Lifestyle_Mini_!$L:$V,"Not Found")</f>
        <v>2.9</v>
      </c>
      <c r="C619">
        <v>7.1</v>
      </c>
      <c r="D619" t="str">
        <v>Good</v>
      </c>
      <c r="E619" t="str">
        <v>No</v>
      </c>
      <c r="F619" t="str">
        <v>Weekly</v>
      </c>
      <c r="G619">
        <v>28</v>
      </c>
      <c r="H619">
        <v>9</v>
      </c>
      <c r="I619">
        <v>29.9</v>
      </c>
      <c r="J619">
        <v>103</v>
      </c>
      <c r="K619">
        <v>89</v>
      </c>
      <c r="L619">
        <v>8126</v>
      </c>
      <c r="M619" t="str" cm="1">
        <f t="array" ref="M619">_xlfn.IFS(C619&lt;6,"Poor",C619&lt;=8,"Normal",TRUE,"High")</f>
        <v>Normal</v>
      </c>
    </row>
    <row r="620" spans="1:13" x14ac:dyDescent="0.2">
      <c r="A620">
        <v>619</v>
      </c>
      <c r="B620" cm="1">
        <f t="array" ref="B620:L620">_xlfn.XLOOKUP($A620,Instagram_Usage_Lifestyle_Mini_!$A:$A,Instagram_Usage_Lifestyle_Mini_!$L:$V,"Not Found")</f>
        <v>2.5</v>
      </c>
      <c r="C620">
        <v>8.4</v>
      </c>
      <c r="D620" t="str">
        <v>Average</v>
      </c>
      <c r="E620" t="str">
        <v>No</v>
      </c>
      <c r="F620" t="str">
        <v>Rarely</v>
      </c>
      <c r="G620">
        <v>40</v>
      </c>
      <c r="H620">
        <v>2</v>
      </c>
      <c r="I620">
        <v>28.4</v>
      </c>
      <c r="J620">
        <v>128</v>
      </c>
      <c r="K620">
        <v>66</v>
      </c>
      <c r="L620">
        <v>7949</v>
      </c>
      <c r="M620" t="str" cm="1">
        <f t="array" ref="M620">_xlfn.IFS(C620&lt;6,"Poor",C620&lt;=8,"Normal",TRUE,"High")</f>
        <v>High</v>
      </c>
    </row>
    <row r="621" spans="1:13" x14ac:dyDescent="0.2">
      <c r="A621">
        <v>620</v>
      </c>
      <c r="B621" cm="1">
        <f t="array" ref="B621:L621">_xlfn.XLOOKUP($A621,Instagram_Usage_Lifestyle_Mini_!$A:$A,Instagram_Usage_Lifestyle_Mini_!$L:$V,"Not Found")</f>
        <v>10.1</v>
      </c>
      <c r="C621">
        <v>7.5</v>
      </c>
      <c r="D621" t="str">
        <v>Average</v>
      </c>
      <c r="E621" t="str">
        <v>No</v>
      </c>
      <c r="F621" t="str">
        <v>Rarely</v>
      </c>
      <c r="G621">
        <v>27</v>
      </c>
      <c r="H621">
        <v>6</v>
      </c>
      <c r="I621">
        <v>27.9</v>
      </c>
      <c r="J621">
        <v>156</v>
      </c>
      <c r="K621">
        <v>89</v>
      </c>
      <c r="L621">
        <v>8071</v>
      </c>
      <c r="M621" t="str" cm="1">
        <f t="array" ref="M621">_xlfn.IFS(C621&lt;6,"Poor",C621&lt;=8,"Normal",TRUE,"High")</f>
        <v>Normal</v>
      </c>
    </row>
    <row r="622" spans="1:13" x14ac:dyDescent="0.2">
      <c r="A622">
        <v>621</v>
      </c>
      <c r="B622" cm="1">
        <f t="array" ref="B622:L622">_xlfn.XLOOKUP($A622,Instagram_Usage_Lifestyle_Mini_!$A:$A,Instagram_Usage_Lifestyle_Mini_!$L:$V,"Not Found")</f>
        <v>4.5</v>
      </c>
      <c r="C622">
        <v>5.0999999999999996</v>
      </c>
      <c r="D622" t="str">
        <v>Poor</v>
      </c>
      <c r="E622" t="str">
        <v>No</v>
      </c>
      <c r="F622" t="str">
        <v>Never</v>
      </c>
      <c r="G622">
        <v>10</v>
      </c>
      <c r="H622">
        <v>6</v>
      </c>
      <c r="I622">
        <v>31.8</v>
      </c>
      <c r="J622">
        <v>140</v>
      </c>
      <c r="K622">
        <v>66</v>
      </c>
      <c r="L622">
        <v>7938</v>
      </c>
      <c r="M622" t="str" cm="1">
        <f t="array" ref="M622">_xlfn.IFS(C622&lt;6,"Poor",C622&lt;=8,"Normal",TRUE,"High")</f>
        <v>Poor</v>
      </c>
    </row>
    <row r="623" spans="1:13" x14ac:dyDescent="0.2">
      <c r="A623">
        <v>622</v>
      </c>
      <c r="B623" cm="1">
        <f t="array" ref="B623:L623">_xlfn.XLOOKUP($A623,Instagram_Usage_Lifestyle_Mini_!$A:$A,Instagram_Usage_Lifestyle_Mini_!$L:$V,"Not Found")</f>
        <v>3.6</v>
      </c>
      <c r="C623">
        <v>5</v>
      </c>
      <c r="D623" t="str">
        <v>Poor</v>
      </c>
      <c r="E623" t="str">
        <v>No</v>
      </c>
      <c r="F623" t="str">
        <v>Rarely</v>
      </c>
      <c r="G623">
        <v>36</v>
      </c>
      <c r="H623">
        <v>3</v>
      </c>
      <c r="I623">
        <v>26.7</v>
      </c>
      <c r="J623">
        <v>149</v>
      </c>
      <c r="K623">
        <v>83</v>
      </c>
      <c r="L623">
        <v>7887</v>
      </c>
      <c r="M623" t="str" cm="1">
        <f t="array" ref="M623">_xlfn.IFS(C623&lt;6,"Poor",C623&lt;=8,"Normal",TRUE,"High")</f>
        <v>Poor</v>
      </c>
    </row>
    <row r="624" spans="1:13" x14ac:dyDescent="0.2">
      <c r="A624">
        <v>623</v>
      </c>
      <c r="B624" cm="1">
        <f t="array" ref="B624:L624">_xlfn.XLOOKUP($A624,Instagram_Usage_Lifestyle_Mini_!$A:$A,Instagram_Usage_Lifestyle_Mini_!$L:$V,"Not Found")</f>
        <v>2.8</v>
      </c>
      <c r="C624">
        <v>8.6</v>
      </c>
      <c r="D624" t="str">
        <v>Good</v>
      </c>
      <c r="E624" t="str">
        <v>No</v>
      </c>
      <c r="F624" t="str">
        <v>Weekly</v>
      </c>
      <c r="G624">
        <v>14</v>
      </c>
      <c r="H624">
        <v>10</v>
      </c>
      <c r="I624">
        <v>25.6</v>
      </c>
      <c r="J624">
        <v>152</v>
      </c>
      <c r="K624">
        <v>66</v>
      </c>
      <c r="L624">
        <v>7941</v>
      </c>
      <c r="M624" t="str" cm="1">
        <f t="array" ref="M624">_xlfn.IFS(C624&lt;6,"Poor",C624&lt;=8,"Normal",TRUE,"High")</f>
        <v>High</v>
      </c>
    </row>
    <row r="625" spans="1:13" x14ac:dyDescent="0.2">
      <c r="A625">
        <v>624</v>
      </c>
      <c r="B625" cm="1">
        <f t="array" ref="B625:L625">_xlfn.XLOOKUP($A625,Instagram_Usage_Lifestyle_Mini_!$A:$A,Instagram_Usage_Lifestyle_Mini_!$L:$V,"Not Found")</f>
        <v>10.4</v>
      </c>
      <c r="C625">
        <v>6.4</v>
      </c>
      <c r="D625" t="str">
        <v>Good</v>
      </c>
      <c r="E625" t="str">
        <v>No</v>
      </c>
      <c r="F625" t="str">
        <v>Daily</v>
      </c>
      <c r="G625">
        <v>16</v>
      </c>
      <c r="H625">
        <v>1</v>
      </c>
      <c r="I625">
        <v>28.8</v>
      </c>
      <c r="J625">
        <v>154</v>
      </c>
      <c r="K625">
        <v>62</v>
      </c>
      <c r="L625">
        <v>8114</v>
      </c>
      <c r="M625" t="str" cm="1">
        <f t="array" ref="M625">_xlfn.IFS(C625&lt;6,"Poor",C625&lt;=8,"Normal",TRUE,"High")</f>
        <v>Normal</v>
      </c>
    </row>
    <row r="626" spans="1:13" x14ac:dyDescent="0.2">
      <c r="A626">
        <v>625</v>
      </c>
      <c r="B626" cm="1">
        <f t="array" ref="B626:L626">_xlfn.XLOOKUP($A626,Instagram_Usage_Lifestyle_Mini_!$A:$A,Instagram_Usage_Lifestyle_Mini_!$L:$V,"Not Found")</f>
        <v>15.4</v>
      </c>
      <c r="C626">
        <v>8.1</v>
      </c>
      <c r="D626" t="str">
        <v>Excellent</v>
      </c>
      <c r="E626" t="str">
        <v>No</v>
      </c>
      <c r="F626" t="str">
        <v>Never</v>
      </c>
      <c r="G626">
        <v>25</v>
      </c>
      <c r="H626">
        <v>7</v>
      </c>
      <c r="I626">
        <v>32</v>
      </c>
      <c r="J626">
        <v>103</v>
      </c>
      <c r="K626">
        <v>74</v>
      </c>
      <c r="L626">
        <v>7978</v>
      </c>
      <c r="M626" t="str" cm="1">
        <f t="array" ref="M626">_xlfn.IFS(C626&lt;6,"Poor",C626&lt;=8,"Normal",TRUE,"High")</f>
        <v>High</v>
      </c>
    </row>
    <row r="627" spans="1:13" x14ac:dyDescent="0.2">
      <c r="A627">
        <v>626</v>
      </c>
      <c r="B627" cm="1">
        <f t="array" ref="B627:L627">_xlfn.XLOOKUP($A627,Instagram_Usage_Lifestyle_Mini_!$A:$A,Instagram_Usage_Lifestyle_Mini_!$L:$V,"Not Found")</f>
        <v>7.8</v>
      </c>
      <c r="C627">
        <v>7.5</v>
      </c>
      <c r="D627" t="str">
        <v>Average</v>
      </c>
      <c r="E627" t="str">
        <v>No</v>
      </c>
      <c r="F627" t="str">
        <v>Never</v>
      </c>
      <c r="G627">
        <v>28</v>
      </c>
      <c r="H627">
        <v>8</v>
      </c>
      <c r="I627">
        <v>20.7</v>
      </c>
      <c r="J627">
        <v>100</v>
      </c>
      <c r="K627">
        <v>74</v>
      </c>
      <c r="L627">
        <v>7947</v>
      </c>
      <c r="M627" t="str" cm="1">
        <f t="array" ref="M627">_xlfn.IFS(C627&lt;6,"Poor",C627&lt;=8,"Normal",TRUE,"High")</f>
        <v>Normal</v>
      </c>
    </row>
    <row r="628" spans="1:13" x14ac:dyDescent="0.2">
      <c r="A628">
        <v>627</v>
      </c>
      <c r="B628" cm="1">
        <f t="array" ref="B628:L628">_xlfn.XLOOKUP($A628,Instagram_Usage_Lifestyle_Mini_!$A:$A,Instagram_Usage_Lifestyle_Mini_!$L:$V,"Not Found")</f>
        <v>1.9</v>
      </c>
      <c r="C628">
        <v>5.5</v>
      </c>
      <c r="D628" t="str">
        <v>Poor</v>
      </c>
      <c r="E628" t="str">
        <v>No</v>
      </c>
      <c r="F628" t="str">
        <v>Rarely</v>
      </c>
      <c r="G628">
        <v>5</v>
      </c>
      <c r="H628">
        <v>9</v>
      </c>
      <c r="I628">
        <v>24.4</v>
      </c>
      <c r="J628">
        <v>130</v>
      </c>
      <c r="K628">
        <v>88</v>
      </c>
      <c r="L628">
        <v>8063</v>
      </c>
      <c r="M628" t="str" cm="1">
        <f t="array" ref="M628">_xlfn.IFS(C628&lt;6,"Poor",C628&lt;=8,"Normal",TRUE,"High")</f>
        <v>Poor</v>
      </c>
    </row>
    <row r="629" spans="1:13" x14ac:dyDescent="0.2">
      <c r="A629">
        <v>628</v>
      </c>
      <c r="B629" cm="1">
        <f t="array" ref="B629:L629">_xlfn.XLOOKUP($A629,Instagram_Usage_Lifestyle_Mini_!$A:$A,Instagram_Usage_Lifestyle_Mini_!$L:$V,"Not Found")</f>
        <v>3.2</v>
      </c>
      <c r="C629">
        <v>6.4</v>
      </c>
      <c r="D629" t="str">
        <v>Good</v>
      </c>
      <c r="E629" t="str">
        <v>No</v>
      </c>
      <c r="F629" t="str">
        <v>Rarely</v>
      </c>
      <c r="G629">
        <v>40</v>
      </c>
      <c r="H629">
        <v>1</v>
      </c>
      <c r="I629">
        <v>26.8</v>
      </c>
      <c r="J629">
        <v>149</v>
      </c>
      <c r="K629">
        <v>60</v>
      </c>
      <c r="L629">
        <v>7906</v>
      </c>
      <c r="M629" t="str" cm="1">
        <f t="array" ref="M629">_xlfn.IFS(C629&lt;6,"Poor",C629&lt;=8,"Normal",TRUE,"High")</f>
        <v>Normal</v>
      </c>
    </row>
    <row r="630" spans="1:13" x14ac:dyDescent="0.2">
      <c r="A630">
        <v>629</v>
      </c>
      <c r="B630" cm="1">
        <f t="array" ref="B630:L630">_xlfn.XLOOKUP($A630,Instagram_Usage_Lifestyle_Mini_!$A:$A,Instagram_Usage_Lifestyle_Mini_!$L:$V,"Not Found")</f>
        <v>5.0999999999999996</v>
      </c>
      <c r="C630">
        <v>6.8</v>
      </c>
      <c r="D630" t="str">
        <v>Average</v>
      </c>
      <c r="E630" t="str">
        <v>Former</v>
      </c>
      <c r="F630" t="str">
        <v>Rarely</v>
      </c>
      <c r="G630">
        <v>12</v>
      </c>
      <c r="H630">
        <v>4</v>
      </c>
      <c r="I630">
        <v>25</v>
      </c>
      <c r="J630">
        <v>122</v>
      </c>
      <c r="K630">
        <v>89</v>
      </c>
      <c r="L630">
        <v>8073</v>
      </c>
      <c r="M630" t="str" cm="1">
        <f t="array" ref="M630">_xlfn.IFS(C630&lt;6,"Poor",C630&lt;=8,"Normal",TRUE,"High")</f>
        <v>Normal</v>
      </c>
    </row>
    <row r="631" spans="1:13" x14ac:dyDescent="0.2">
      <c r="A631">
        <v>630</v>
      </c>
      <c r="B631" cm="1">
        <f t="array" ref="B631:L631">_xlfn.XLOOKUP($A631,Instagram_Usage_Lifestyle_Mini_!$A:$A,Instagram_Usage_Lifestyle_Mini_!$L:$V,"Not Found")</f>
        <v>10.4</v>
      </c>
      <c r="C631">
        <v>6.2</v>
      </c>
      <c r="D631" t="str">
        <v>Very_poor</v>
      </c>
      <c r="E631" t="str">
        <v>No</v>
      </c>
      <c r="F631" t="str">
        <v>Never</v>
      </c>
      <c r="G631">
        <v>26</v>
      </c>
      <c r="H631">
        <v>10</v>
      </c>
      <c r="I631">
        <v>20.100000000000001</v>
      </c>
      <c r="J631">
        <v>102</v>
      </c>
      <c r="K631">
        <v>63</v>
      </c>
      <c r="L631">
        <v>7985</v>
      </c>
      <c r="M631" t="str" cm="1">
        <f t="array" ref="M631">_xlfn.IFS(C631&lt;6,"Poor",C631&lt;=8,"Normal",TRUE,"High")</f>
        <v>Normal</v>
      </c>
    </row>
    <row r="632" spans="1:13" x14ac:dyDescent="0.2">
      <c r="A632">
        <v>631</v>
      </c>
      <c r="B632" cm="1">
        <f t="array" ref="B632:L632">_xlfn.XLOOKUP($A632,Instagram_Usage_Lifestyle_Mini_!$A:$A,Instagram_Usage_Lifestyle_Mini_!$L:$V,"Not Found")</f>
        <v>2</v>
      </c>
      <c r="C632">
        <v>7.7</v>
      </c>
      <c r="D632" t="str">
        <v>Very_poor</v>
      </c>
      <c r="E632" t="str">
        <v>Yes</v>
      </c>
      <c r="F632" t="str">
        <v>Weekly</v>
      </c>
      <c r="G632">
        <v>24</v>
      </c>
      <c r="H632">
        <v>2</v>
      </c>
      <c r="I632">
        <v>27.2</v>
      </c>
      <c r="J632">
        <v>151</v>
      </c>
      <c r="K632">
        <v>81</v>
      </c>
      <c r="L632">
        <v>8030</v>
      </c>
      <c r="M632" t="str" cm="1">
        <f t="array" ref="M632">_xlfn.IFS(C632&lt;6,"Poor",C632&lt;=8,"Normal",TRUE,"High")</f>
        <v>Normal</v>
      </c>
    </row>
    <row r="633" spans="1:13" x14ac:dyDescent="0.2">
      <c r="A633">
        <v>632</v>
      </c>
      <c r="B633" cm="1">
        <f t="array" ref="B633:L633">_xlfn.XLOOKUP($A633,Instagram_Usage_Lifestyle_Mini_!$A:$A,Instagram_Usage_Lifestyle_Mini_!$L:$V,"Not Found")</f>
        <v>9.1</v>
      </c>
      <c r="C633">
        <v>6.9</v>
      </c>
      <c r="D633" t="str">
        <v>Average</v>
      </c>
      <c r="E633" t="str">
        <v>Yes</v>
      </c>
      <c r="F633" t="str">
        <v>Rarely</v>
      </c>
      <c r="G633">
        <v>37</v>
      </c>
      <c r="H633">
        <v>4</v>
      </c>
      <c r="I633">
        <v>23.7</v>
      </c>
      <c r="J633">
        <v>100</v>
      </c>
      <c r="K633">
        <v>94</v>
      </c>
      <c r="L633">
        <v>8071</v>
      </c>
      <c r="M633" t="str" cm="1">
        <f t="array" ref="M633">_xlfn.IFS(C633&lt;6,"Poor",C633&lt;=8,"Normal",TRUE,"High")</f>
        <v>Normal</v>
      </c>
    </row>
    <row r="634" spans="1:13" x14ac:dyDescent="0.2">
      <c r="A634">
        <v>633</v>
      </c>
      <c r="B634" cm="1">
        <f t="array" ref="B634:L634">_xlfn.XLOOKUP($A634,Instagram_Usage_Lifestyle_Mini_!$A:$A,Instagram_Usage_Lifestyle_Mini_!$L:$V,"Not Found")</f>
        <v>6.6</v>
      </c>
      <c r="C634">
        <v>7.4</v>
      </c>
      <c r="D634" t="str">
        <v>Good</v>
      </c>
      <c r="E634" t="str">
        <v>No</v>
      </c>
      <c r="F634" t="str">
        <v>Rarely</v>
      </c>
      <c r="G634">
        <v>35</v>
      </c>
      <c r="H634">
        <v>9</v>
      </c>
      <c r="I634">
        <v>28.7</v>
      </c>
      <c r="J634">
        <v>134</v>
      </c>
      <c r="K634">
        <v>98</v>
      </c>
      <c r="L634">
        <v>8107</v>
      </c>
      <c r="M634" t="str" cm="1">
        <f t="array" ref="M634">_xlfn.IFS(C634&lt;6,"Poor",C634&lt;=8,"Normal",TRUE,"High")</f>
        <v>Normal</v>
      </c>
    </row>
    <row r="635" spans="1:13" x14ac:dyDescent="0.2">
      <c r="A635">
        <v>634</v>
      </c>
      <c r="B635" cm="1">
        <f t="array" ref="B635:L635">_xlfn.XLOOKUP($A635,Instagram_Usage_Lifestyle_Mini_!$A:$A,Instagram_Usage_Lifestyle_Mini_!$L:$V,"Not Found")</f>
        <v>12.3</v>
      </c>
      <c r="C635">
        <v>6.6</v>
      </c>
      <c r="D635" t="str">
        <v>Average</v>
      </c>
      <c r="E635" t="str">
        <v>No</v>
      </c>
      <c r="F635" t="str">
        <v>Daily</v>
      </c>
      <c r="G635">
        <v>18</v>
      </c>
      <c r="H635">
        <v>3</v>
      </c>
      <c r="I635">
        <v>24.5</v>
      </c>
      <c r="J635">
        <v>128</v>
      </c>
      <c r="K635">
        <v>68</v>
      </c>
      <c r="L635">
        <v>8002</v>
      </c>
      <c r="M635" t="str" cm="1">
        <f t="array" ref="M635">_xlfn.IFS(C635&lt;6,"Poor",C635&lt;=8,"Normal",TRUE,"High")</f>
        <v>Normal</v>
      </c>
    </row>
    <row r="636" spans="1:13" x14ac:dyDescent="0.2">
      <c r="A636">
        <v>635</v>
      </c>
      <c r="B636" cm="1">
        <f t="array" ref="B636:L636">_xlfn.XLOOKUP($A636,Instagram_Usage_Lifestyle_Mini_!$A:$A,Instagram_Usage_Lifestyle_Mini_!$L:$V,"Not Found")</f>
        <v>6.4</v>
      </c>
      <c r="C636">
        <v>6.2</v>
      </c>
      <c r="D636" t="str">
        <v>Good</v>
      </c>
      <c r="E636" t="str">
        <v>Former</v>
      </c>
      <c r="F636" t="str">
        <v>Rarely</v>
      </c>
      <c r="G636">
        <v>2</v>
      </c>
      <c r="H636">
        <v>6</v>
      </c>
      <c r="I636">
        <v>27.7</v>
      </c>
      <c r="J636">
        <v>148</v>
      </c>
      <c r="K636">
        <v>89</v>
      </c>
      <c r="L636">
        <v>8221</v>
      </c>
      <c r="M636" t="str" cm="1">
        <f t="array" ref="M636">_xlfn.IFS(C636&lt;6,"Poor",C636&lt;=8,"Normal",TRUE,"High")</f>
        <v>Normal</v>
      </c>
    </row>
    <row r="637" spans="1:13" x14ac:dyDescent="0.2">
      <c r="A637">
        <v>636</v>
      </c>
      <c r="B637" cm="1">
        <f t="array" ref="B637:L637">_xlfn.XLOOKUP($A637,Instagram_Usage_Lifestyle_Mini_!$A:$A,Instagram_Usage_Lifestyle_Mini_!$L:$V,"Not Found")</f>
        <v>13.9</v>
      </c>
      <c r="C637">
        <v>6.5</v>
      </c>
      <c r="D637" t="str">
        <v>Very_poor</v>
      </c>
      <c r="E637" t="str">
        <v>No</v>
      </c>
      <c r="F637" t="str">
        <v>Rarely</v>
      </c>
      <c r="G637">
        <v>23</v>
      </c>
      <c r="H637">
        <v>6</v>
      </c>
      <c r="I637">
        <v>27.3</v>
      </c>
      <c r="J637">
        <v>129</v>
      </c>
      <c r="K637">
        <v>92</v>
      </c>
      <c r="L637">
        <v>8011</v>
      </c>
      <c r="M637" t="str" cm="1">
        <f t="array" ref="M637">_xlfn.IFS(C637&lt;6,"Poor",C637&lt;=8,"Normal",TRUE,"High")</f>
        <v>Normal</v>
      </c>
    </row>
    <row r="638" spans="1:13" x14ac:dyDescent="0.2">
      <c r="A638">
        <v>637</v>
      </c>
      <c r="B638" cm="1">
        <f t="array" ref="B638:L638">_xlfn.XLOOKUP($A638,Instagram_Usage_Lifestyle_Mini_!$A:$A,Instagram_Usage_Lifestyle_Mini_!$L:$V,"Not Found")</f>
        <v>5.4</v>
      </c>
      <c r="C638">
        <v>6.6</v>
      </c>
      <c r="D638" t="str">
        <v>Good</v>
      </c>
      <c r="E638" t="str">
        <v>No</v>
      </c>
      <c r="F638" t="str">
        <v>Never</v>
      </c>
      <c r="G638">
        <v>34</v>
      </c>
      <c r="H638">
        <v>3</v>
      </c>
      <c r="I638">
        <v>25.7</v>
      </c>
      <c r="J638">
        <v>98</v>
      </c>
      <c r="K638">
        <v>99</v>
      </c>
      <c r="L638">
        <v>8054</v>
      </c>
      <c r="M638" t="str" cm="1">
        <f t="array" ref="M638">_xlfn.IFS(C638&lt;6,"Poor",C638&lt;=8,"Normal",TRUE,"High")</f>
        <v>Normal</v>
      </c>
    </row>
    <row r="639" spans="1:13" x14ac:dyDescent="0.2">
      <c r="A639">
        <v>638</v>
      </c>
      <c r="B639" cm="1">
        <f t="array" ref="B639:L639">_xlfn.XLOOKUP($A639,Instagram_Usage_Lifestyle_Mini_!$A:$A,Instagram_Usage_Lifestyle_Mini_!$L:$V,"Not Found")</f>
        <v>9.1</v>
      </c>
      <c r="C639">
        <v>7</v>
      </c>
      <c r="D639" t="str">
        <v>Good</v>
      </c>
      <c r="E639" t="str">
        <v>No</v>
      </c>
      <c r="F639" t="str">
        <v>Rarely</v>
      </c>
      <c r="G639">
        <v>11</v>
      </c>
      <c r="H639">
        <v>3</v>
      </c>
      <c r="I639">
        <v>27.6</v>
      </c>
      <c r="J639">
        <v>101</v>
      </c>
      <c r="K639">
        <v>90</v>
      </c>
      <c r="L639">
        <v>8146</v>
      </c>
      <c r="M639" t="str" cm="1">
        <f t="array" ref="M639">_xlfn.IFS(C639&lt;6,"Poor",C639&lt;=8,"Normal",TRUE,"High")</f>
        <v>Normal</v>
      </c>
    </row>
    <row r="640" spans="1:13" x14ac:dyDescent="0.2">
      <c r="A640">
        <v>639</v>
      </c>
      <c r="B640" cm="1">
        <f t="array" ref="B640:L640">_xlfn.XLOOKUP($A640,Instagram_Usage_Lifestyle_Mini_!$A:$A,Instagram_Usage_Lifestyle_Mini_!$L:$V,"Not Found")</f>
        <v>8.8000000000000007</v>
      </c>
      <c r="C640">
        <v>6.9</v>
      </c>
      <c r="D640" t="str">
        <v>Good</v>
      </c>
      <c r="E640" t="str">
        <v>No</v>
      </c>
      <c r="F640" t="str">
        <v>Rarely</v>
      </c>
      <c r="G640">
        <v>28</v>
      </c>
      <c r="H640">
        <v>2</v>
      </c>
      <c r="I640">
        <v>23</v>
      </c>
      <c r="J640">
        <v>130</v>
      </c>
      <c r="K640">
        <v>85</v>
      </c>
      <c r="L640">
        <v>7973</v>
      </c>
      <c r="M640" t="str" cm="1">
        <f t="array" ref="M640">_xlfn.IFS(C640&lt;6,"Poor",C640&lt;=8,"Normal",TRUE,"High")</f>
        <v>Normal</v>
      </c>
    </row>
    <row r="641" spans="1:13" x14ac:dyDescent="0.2">
      <c r="A641">
        <v>640</v>
      </c>
      <c r="B641" cm="1">
        <f t="array" ref="B641:L641">_xlfn.XLOOKUP($A641,Instagram_Usage_Lifestyle_Mini_!$A:$A,Instagram_Usage_Lifestyle_Mini_!$L:$V,"Not Found")</f>
        <v>4.8</v>
      </c>
      <c r="C641">
        <v>6.8</v>
      </c>
      <c r="D641" t="str">
        <v>Average</v>
      </c>
      <c r="E641" t="str">
        <v>No</v>
      </c>
      <c r="F641" t="str">
        <v>Weekly</v>
      </c>
      <c r="G641">
        <v>35</v>
      </c>
      <c r="H641">
        <v>8</v>
      </c>
      <c r="I641">
        <v>16.100000000000001</v>
      </c>
      <c r="J641">
        <v>150</v>
      </c>
      <c r="K641">
        <v>73</v>
      </c>
      <c r="L641">
        <v>7862</v>
      </c>
      <c r="M641" t="str" cm="1">
        <f t="array" ref="M641">_xlfn.IFS(C641&lt;6,"Poor",C641&lt;=8,"Normal",TRUE,"High")</f>
        <v>Normal</v>
      </c>
    </row>
    <row r="642" spans="1:13" x14ac:dyDescent="0.2">
      <c r="A642">
        <v>641</v>
      </c>
      <c r="B642" cm="1">
        <f t="array" ref="B642:L642">_xlfn.XLOOKUP($A642,Instagram_Usage_Lifestyle_Mini_!$A:$A,Instagram_Usage_Lifestyle_Mini_!$L:$V,"Not Found")</f>
        <v>12.3</v>
      </c>
      <c r="C642">
        <v>4.2</v>
      </c>
      <c r="D642" t="str">
        <v>Average</v>
      </c>
      <c r="E642" t="str">
        <v>No</v>
      </c>
      <c r="F642" t="str">
        <v>Never</v>
      </c>
      <c r="G642">
        <v>2</v>
      </c>
      <c r="H642">
        <v>5</v>
      </c>
      <c r="I642">
        <v>28.7</v>
      </c>
      <c r="J642">
        <v>145</v>
      </c>
      <c r="K642">
        <v>73</v>
      </c>
      <c r="L642">
        <v>8126</v>
      </c>
      <c r="M642" t="str" cm="1">
        <f t="array" ref="M642">_xlfn.IFS(C642&lt;6,"Poor",C642&lt;=8,"Normal",TRUE,"High")</f>
        <v>Poor</v>
      </c>
    </row>
    <row r="643" spans="1:13" x14ac:dyDescent="0.2">
      <c r="A643">
        <v>642</v>
      </c>
      <c r="B643" cm="1">
        <f t="array" ref="B643:L643">_xlfn.XLOOKUP($A643,Instagram_Usage_Lifestyle_Mini_!$A:$A,Instagram_Usage_Lifestyle_Mini_!$L:$V,"Not Found")</f>
        <v>1.6</v>
      </c>
      <c r="C643">
        <v>7.9</v>
      </c>
      <c r="D643" t="str">
        <v>Average</v>
      </c>
      <c r="E643" t="str">
        <v>No</v>
      </c>
      <c r="F643" t="str">
        <v>Rarely</v>
      </c>
      <c r="G643">
        <v>9</v>
      </c>
      <c r="H643">
        <v>1</v>
      </c>
      <c r="I643">
        <v>27.1</v>
      </c>
      <c r="J643">
        <v>97</v>
      </c>
      <c r="K643">
        <v>93</v>
      </c>
      <c r="L643">
        <v>8011</v>
      </c>
      <c r="M643" t="str" cm="1">
        <f t="array" ref="M643">_xlfn.IFS(C643&lt;6,"Poor",C643&lt;=8,"Normal",TRUE,"High")</f>
        <v>Normal</v>
      </c>
    </row>
    <row r="644" spans="1:13" x14ac:dyDescent="0.2">
      <c r="A644">
        <v>643</v>
      </c>
      <c r="B644" cm="1">
        <f t="array" ref="B644:L644">_xlfn.XLOOKUP($A644,Instagram_Usage_Lifestyle_Mini_!$A:$A,Instagram_Usage_Lifestyle_Mini_!$L:$V,"Not Found")</f>
        <v>4.2</v>
      </c>
      <c r="C644">
        <v>8</v>
      </c>
      <c r="D644" t="str">
        <v>Very_poor</v>
      </c>
      <c r="E644" t="str">
        <v>No</v>
      </c>
      <c r="F644" t="str">
        <v>Weekly</v>
      </c>
      <c r="G644">
        <v>33</v>
      </c>
      <c r="H644">
        <v>4</v>
      </c>
      <c r="I644">
        <v>25.6</v>
      </c>
      <c r="J644">
        <v>144</v>
      </c>
      <c r="K644">
        <v>99</v>
      </c>
      <c r="L644">
        <v>8169</v>
      </c>
      <c r="M644" t="str" cm="1">
        <f t="array" ref="M644">_xlfn.IFS(C644&lt;6,"Poor",C644&lt;=8,"Normal",TRUE,"High")</f>
        <v>Normal</v>
      </c>
    </row>
    <row r="645" spans="1:13" x14ac:dyDescent="0.2">
      <c r="A645">
        <v>644</v>
      </c>
      <c r="B645" cm="1">
        <f t="array" ref="B645:L645">_xlfn.XLOOKUP($A645,Instagram_Usage_Lifestyle_Mini_!$A:$A,Instagram_Usage_Lifestyle_Mini_!$L:$V,"Not Found")</f>
        <v>9</v>
      </c>
      <c r="C645">
        <v>6</v>
      </c>
      <c r="D645" t="str">
        <v>Very_poor</v>
      </c>
      <c r="E645" t="str">
        <v>Yes</v>
      </c>
      <c r="F645" t="str">
        <v>Rarely</v>
      </c>
      <c r="G645">
        <v>16</v>
      </c>
      <c r="H645">
        <v>4</v>
      </c>
      <c r="I645">
        <v>21.1</v>
      </c>
      <c r="J645">
        <v>109</v>
      </c>
      <c r="K645">
        <v>62</v>
      </c>
      <c r="L645">
        <v>7978</v>
      </c>
      <c r="M645" t="str" cm="1">
        <f t="array" ref="M645">_xlfn.IFS(C645&lt;6,"Poor",C645&lt;=8,"Normal",TRUE,"High")</f>
        <v>Normal</v>
      </c>
    </row>
    <row r="646" spans="1:13" x14ac:dyDescent="0.2">
      <c r="A646">
        <v>645</v>
      </c>
      <c r="B646" cm="1">
        <f t="array" ref="B646:L646">_xlfn.XLOOKUP($A646,Instagram_Usage_Lifestyle_Mini_!$A:$A,Instagram_Usage_Lifestyle_Mini_!$L:$V,"Not Found")</f>
        <v>1.8</v>
      </c>
      <c r="C646">
        <v>7.2</v>
      </c>
      <c r="D646" t="str">
        <v>Good</v>
      </c>
      <c r="E646" t="str">
        <v>No</v>
      </c>
      <c r="F646" t="str">
        <v>Never</v>
      </c>
      <c r="G646">
        <v>1</v>
      </c>
      <c r="H646">
        <v>9</v>
      </c>
      <c r="I646">
        <v>21</v>
      </c>
      <c r="J646">
        <v>150</v>
      </c>
      <c r="K646">
        <v>86</v>
      </c>
      <c r="L646">
        <v>7870</v>
      </c>
      <c r="M646" t="str" cm="1">
        <f t="array" ref="M646">_xlfn.IFS(C646&lt;6,"Poor",C646&lt;=8,"Normal",TRUE,"High")</f>
        <v>Normal</v>
      </c>
    </row>
    <row r="647" spans="1:13" x14ac:dyDescent="0.2">
      <c r="A647">
        <v>646</v>
      </c>
      <c r="B647" cm="1">
        <f t="array" ref="B647:L647">_xlfn.XLOOKUP($A647,Instagram_Usage_Lifestyle_Mini_!$A:$A,Instagram_Usage_Lifestyle_Mini_!$L:$V,"Not Found")</f>
        <v>4.5999999999999996</v>
      </c>
      <c r="C647">
        <v>7.3</v>
      </c>
      <c r="D647" t="str">
        <v>Poor</v>
      </c>
      <c r="E647" t="str">
        <v>No</v>
      </c>
      <c r="F647" t="str">
        <v>Rarely</v>
      </c>
      <c r="G647">
        <v>36</v>
      </c>
      <c r="H647">
        <v>5</v>
      </c>
      <c r="I647">
        <v>30</v>
      </c>
      <c r="J647">
        <v>99</v>
      </c>
      <c r="K647">
        <v>61</v>
      </c>
      <c r="L647">
        <v>7877</v>
      </c>
      <c r="M647" t="str" cm="1">
        <f t="array" ref="M647">_xlfn.IFS(C647&lt;6,"Poor",C647&lt;=8,"Normal",TRUE,"High")</f>
        <v>Normal</v>
      </c>
    </row>
    <row r="648" spans="1:13" x14ac:dyDescent="0.2">
      <c r="A648">
        <v>647</v>
      </c>
      <c r="B648" cm="1">
        <f t="array" ref="B648:L648">_xlfn.XLOOKUP($A648,Instagram_Usage_Lifestyle_Mini_!$A:$A,Instagram_Usage_Lifestyle_Mini_!$L:$V,"Not Found")</f>
        <v>2.7</v>
      </c>
      <c r="C648">
        <v>4.9000000000000004</v>
      </c>
      <c r="D648" t="str">
        <v>Average</v>
      </c>
      <c r="E648" t="str">
        <v>No</v>
      </c>
      <c r="F648" t="str">
        <v>Never</v>
      </c>
      <c r="G648">
        <v>39</v>
      </c>
      <c r="H648">
        <v>9</v>
      </c>
      <c r="I648">
        <v>30.6</v>
      </c>
      <c r="J648">
        <v>104</v>
      </c>
      <c r="K648">
        <v>67</v>
      </c>
      <c r="L648">
        <v>8001</v>
      </c>
      <c r="M648" t="str" cm="1">
        <f t="array" ref="M648">_xlfn.IFS(C648&lt;6,"Poor",C648&lt;=8,"Normal",TRUE,"High")</f>
        <v>Poor</v>
      </c>
    </row>
    <row r="649" spans="1:13" x14ac:dyDescent="0.2">
      <c r="A649">
        <v>648</v>
      </c>
      <c r="B649" cm="1">
        <f t="array" ref="B649:L649">_xlfn.XLOOKUP($A649,Instagram_Usage_Lifestyle_Mini_!$A:$A,Instagram_Usage_Lifestyle_Mini_!$L:$V,"Not Found")</f>
        <v>4.4000000000000004</v>
      </c>
      <c r="C649">
        <v>5.8</v>
      </c>
      <c r="D649" t="str">
        <v>Average</v>
      </c>
      <c r="E649" t="str">
        <v>Yes</v>
      </c>
      <c r="F649" t="str">
        <v>Never</v>
      </c>
      <c r="G649">
        <v>31</v>
      </c>
      <c r="H649">
        <v>8</v>
      </c>
      <c r="I649">
        <v>25.7</v>
      </c>
      <c r="J649">
        <v>104</v>
      </c>
      <c r="K649">
        <v>93</v>
      </c>
      <c r="L649">
        <v>7915</v>
      </c>
      <c r="M649" t="str" cm="1">
        <f t="array" ref="M649">_xlfn.IFS(C649&lt;6,"Poor",C649&lt;=8,"Normal",TRUE,"High")</f>
        <v>Poor</v>
      </c>
    </row>
    <row r="650" spans="1:13" x14ac:dyDescent="0.2">
      <c r="A650">
        <v>649</v>
      </c>
      <c r="B650" cm="1">
        <f t="array" ref="B650:L650">_xlfn.XLOOKUP($A650,Instagram_Usage_Lifestyle_Mini_!$A:$A,Instagram_Usage_Lifestyle_Mini_!$L:$V,"Not Found")</f>
        <v>7.5</v>
      </c>
      <c r="C650">
        <v>6.2</v>
      </c>
      <c r="D650" t="str">
        <v>Good</v>
      </c>
      <c r="E650" t="str">
        <v>No</v>
      </c>
      <c r="F650" t="str">
        <v>Never</v>
      </c>
      <c r="G650">
        <v>10</v>
      </c>
      <c r="H650">
        <v>8</v>
      </c>
      <c r="I650">
        <v>26.9</v>
      </c>
      <c r="J650">
        <v>133</v>
      </c>
      <c r="K650">
        <v>88</v>
      </c>
      <c r="L650">
        <v>8048</v>
      </c>
      <c r="M650" t="str" cm="1">
        <f t="array" ref="M650">_xlfn.IFS(C650&lt;6,"Poor",C650&lt;=8,"Normal",TRUE,"High")</f>
        <v>Normal</v>
      </c>
    </row>
    <row r="651" spans="1:13" x14ac:dyDescent="0.2">
      <c r="A651">
        <v>650</v>
      </c>
      <c r="B651" cm="1">
        <f t="array" ref="B651:L651">_xlfn.XLOOKUP($A651,Instagram_Usage_Lifestyle_Mini_!$A:$A,Instagram_Usage_Lifestyle_Mini_!$L:$V,"Not Found")</f>
        <v>9.1</v>
      </c>
      <c r="C651">
        <v>7.8</v>
      </c>
      <c r="D651" t="str">
        <v>Poor</v>
      </c>
      <c r="E651" t="str">
        <v>No</v>
      </c>
      <c r="F651" t="str">
        <v>Rarely</v>
      </c>
      <c r="G651">
        <v>29</v>
      </c>
      <c r="H651">
        <v>7</v>
      </c>
      <c r="I651">
        <v>31.6</v>
      </c>
      <c r="J651">
        <v>95</v>
      </c>
      <c r="K651">
        <v>64</v>
      </c>
      <c r="L651">
        <v>7969</v>
      </c>
      <c r="M651" t="str" cm="1">
        <f t="array" ref="M651">_xlfn.IFS(C651&lt;6,"Poor",C651&lt;=8,"Normal",TRUE,"High")</f>
        <v>Normal</v>
      </c>
    </row>
    <row r="652" spans="1:13" x14ac:dyDescent="0.2">
      <c r="A652">
        <v>651</v>
      </c>
      <c r="B652" cm="1">
        <f t="array" ref="B652:L652">_xlfn.XLOOKUP($A652,Instagram_Usage_Lifestyle_Mini_!$A:$A,Instagram_Usage_Lifestyle_Mini_!$L:$V,"Not Found")</f>
        <v>3.1</v>
      </c>
      <c r="C652">
        <v>6.1</v>
      </c>
      <c r="D652" t="str">
        <v>Average</v>
      </c>
      <c r="E652" t="str">
        <v>Former</v>
      </c>
      <c r="F652" t="str">
        <v>Never</v>
      </c>
      <c r="G652">
        <v>20</v>
      </c>
      <c r="H652">
        <v>2</v>
      </c>
      <c r="I652">
        <v>26.1</v>
      </c>
      <c r="J652">
        <v>149</v>
      </c>
      <c r="K652">
        <v>89</v>
      </c>
      <c r="L652">
        <v>8034</v>
      </c>
      <c r="M652" t="str" cm="1">
        <f t="array" ref="M652">_xlfn.IFS(C652&lt;6,"Poor",C652&lt;=8,"Normal",TRUE,"High")</f>
        <v>Normal</v>
      </c>
    </row>
    <row r="653" spans="1:13" x14ac:dyDescent="0.2">
      <c r="A653">
        <v>652</v>
      </c>
      <c r="B653" cm="1">
        <f t="array" ref="B653:L653">_xlfn.XLOOKUP($A653,Instagram_Usage_Lifestyle_Mini_!$A:$A,Instagram_Usage_Lifestyle_Mini_!$L:$V,"Not Found")</f>
        <v>4.0999999999999996</v>
      </c>
      <c r="C653">
        <v>7.6</v>
      </c>
      <c r="D653" t="str">
        <v>Average</v>
      </c>
      <c r="E653" t="str">
        <v>No</v>
      </c>
      <c r="F653" t="str">
        <v>Daily</v>
      </c>
      <c r="G653">
        <v>12</v>
      </c>
      <c r="H653">
        <v>7</v>
      </c>
      <c r="I653">
        <v>20.6</v>
      </c>
      <c r="J653">
        <v>131</v>
      </c>
      <c r="K653">
        <v>85</v>
      </c>
      <c r="L653">
        <v>8074</v>
      </c>
      <c r="M653" t="str" cm="1">
        <f t="array" ref="M653">_xlfn.IFS(C653&lt;6,"Poor",C653&lt;=8,"Normal",TRUE,"High")</f>
        <v>Normal</v>
      </c>
    </row>
    <row r="654" spans="1:13" x14ac:dyDescent="0.2">
      <c r="A654">
        <v>653</v>
      </c>
      <c r="B654" cm="1">
        <f t="array" ref="B654:L654">_xlfn.XLOOKUP($A654,Instagram_Usage_Lifestyle_Mini_!$A:$A,Instagram_Usage_Lifestyle_Mini_!$L:$V,"Not Found")</f>
        <v>5.2</v>
      </c>
      <c r="C654">
        <v>6.1</v>
      </c>
      <c r="D654" t="str">
        <v>Good</v>
      </c>
      <c r="E654" t="str">
        <v>No</v>
      </c>
      <c r="F654" t="str">
        <v>Never</v>
      </c>
      <c r="G654">
        <v>17</v>
      </c>
      <c r="H654">
        <v>5</v>
      </c>
      <c r="I654">
        <v>29.2</v>
      </c>
      <c r="J654">
        <v>127</v>
      </c>
      <c r="K654">
        <v>70</v>
      </c>
      <c r="L654">
        <v>8025</v>
      </c>
      <c r="M654" t="str" cm="1">
        <f t="array" ref="M654">_xlfn.IFS(C654&lt;6,"Poor",C654&lt;=8,"Normal",TRUE,"High")</f>
        <v>Normal</v>
      </c>
    </row>
    <row r="655" spans="1:13" x14ac:dyDescent="0.2">
      <c r="A655">
        <v>654</v>
      </c>
      <c r="B655" cm="1">
        <f t="array" ref="B655:L655">_xlfn.XLOOKUP($A655,Instagram_Usage_Lifestyle_Mini_!$A:$A,Instagram_Usage_Lifestyle_Mini_!$L:$V,"Not Found")</f>
        <v>5.7</v>
      </c>
      <c r="C655">
        <v>5.7</v>
      </c>
      <c r="D655" t="str">
        <v>Poor</v>
      </c>
      <c r="E655" t="str">
        <v>Yes</v>
      </c>
      <c r="F655" t="str">
        <v>Never</v>
      </c>
      <c r="G655">
        <v>29</v>
      </c>
      <c r="H655">
        <v>5</v>
      </c>
      <c r="I655">
        <v>30.3</v>
      </c>
      <c r="J655">
        <v>134</v>
      </c>
      <c r="K655">
        <v>98</v>
      </c>
      <c r="L655">
        <v>8004</v>
      </c>
      <c r="M655" t="str" cm="1">
        <f t="array" ref="M655">_xlfn.IFS(C655&lt;6,"Poor",C655&lt;=8,"Normal",TRUE,"High")</f>
        <v>Poor</v>
      </c>
    </row>
    <row r="656" spans="1:13" x14ac:dyDescent="0.2">
      <c r="A656">
        <v>655</v>
      </c>
      <c r="B656" cm="1">
        <f t="array" ref="B656:L656">_xlfn.XLOOKUP($A656,Instagram_Usage_Lifestyle_Mini_!$A:$A,Instagram_Usage_Lifestyle_Mini_!$L:$V,"Not Found")</f>
        <v>1.6</v>
      </c>
      <c r="C656">
        <v>7.4</v>
      </c>
      <c r="D656" t="str">
        <v>Very_poor</v>
      </c>
      <c r="E656" t="str">
        <v>No</v>
      </c>
      <c r="F656" t="str">
        <v>Daily</v>
      </c>
      <c r="G656">
        <v>36</v>
      </c>
      <c r="H656">
        <v>5</v>
      </c>
      <c r="I656">
        <v>27.6</v>
      </c>
      <c r="J656">
        <v>99</v>
      </c>
      <c r="K656">
        <v>87</v>
      </c>
      <c r="L656">
        <v>7869</v>
      </c>
      <c r="M656" t="str" cm="1">
        <f t="array" ref="M656">_xlfn.IFS(C656&lt;6,"Poor",C656&lt;=8,"Normal",TRUE,"High")</f>
        <v>Normal</v>
      </c>
    </row>
    <row r="657" spans="1:13" x14ac:dyDescent="0.2">
      <c r="A657">
        <v>656</v>
      </c>
      <c r="B657" cm="1">
        <f t="array" ref="B657:L657">_xlfn.XLOOKUP($A657,Instagram_Usage_Lifestyle_Mini_!$A:$A,Instagram_Usage_Lifestyle_Mini_!$L:$V,"Not Found")</f>
        <v>1.7</v>
      </c>
      <c r="C657">
        <v>8.5</v>
      </c>
      <c r="D657" t="str">
        <v>Average</v>
      </c>
      <c r="E657" t="str">
        <v>No</v>
      </c>
      <c r="F657" t="str">
        <v>Rarely</v>
      </c>
      <c r="G657">
        <v>35</v>
      </c>
      <c r="H657">
        <v>1</v>
      </c>
      <c r="I657">
        <v>19.2</v>
      </c>
      <c r="J657">
        <v>112</v>
      </c>
      <c r="K657">
        <v>73</v>
      </c>
      <c r="L657">
        <v>8118</v>
      </c>
      <c r="M657" t="str" cm="1">
        <f t="array" ref="M657">_xlfn.IFS(C657&lt;6,"Poor",C657&lt;=8,"Normal",TRUE,"High")</f>
        <v>High</v>
      </c>
    </row>
    <row r="658" spans="1:13" x14ac:dyDescent="0.2">
      <c r="A658">
        <v>657</v>
      </c>
      <c r="B658" cm="1">
        <f t="array" ref="B658:L658">_xlfn.XLOOKUP($A658,Instagram_Usage_Lifestyle_Mini_!$A:$A,Instagram_Usage_Lifestyle_Mini_!$L:$V,"Not Found")</f>
        <v>8.3000000000000007</v>
      </c>
      <c r="C658">
        <v>9</v>
      </c>
      <c r="D658" t="str">
        <v>Good</v>
      </c>
      <c r="E658" t="str">
        <v>No</v>
      </c>
      <c r="F658" t="str">
        <v>Rarely</v>
      </c>
      <c r="G658">
        <v>22</v>
      </c>
      <c r="H658">
        <v>3</v>
      </c>
      <c r="I658">
        <v>21.2</v>
      </c>
      <c r="J658">
        <v>95</v>
      </c>
      <c r="K658">
        <v>62</v>
      </c>
      <c r="L658">
        <v>8112</v>
      </c>
      <c r="M658" t="str" cm="1">
        <f t="array" ref="M658">_xlfn.IFS(C658&lt;6,"Poor",C658&lt;=8,"Normal",TRUE,"High")</f>
        <v>High</v>
      </c>
    </row>
    <row r="659" spans="1:13" x14ac:dyDescent="0.2">
      <c r="A659">
        <v>658</v>
      </c>
      <c r="B659" cm="1">
        <f t="array" ref="B659:L659">_xlfn.XLOOKUP($A659,Instagram_Usage_Lifestyle_Mini_!$A:$A,Instagram_Usage_Lifestyle_Mini_!$L:$V,"Not Found")</f>
        <v>5.0999999999999996</v>
      </c>
      <c r="C659">
        <v>7.5</v>
      </c>
      <c r="D659" t="str">
        <v>Poor</v>
      </c>
      <c r="E659" t="str">
        <v>No</v>
      </c>
      <c r="F659" t="str">
        <v>Several_times_a_week</v>
      </c>
      <c r="G659">
        <v>38</v>
      </c>
      <c r="H659">
        <v>10</v>
      </c>
      <c r="I659">
        <v>35.6</v>
      </c>
      <c r="J659">
        <v>110</v>
      </c>
      <c r="K659">
        <v>78</v>
      </c>
      <c r="L659">
        <v>7978</v>
      </c>
      <c r="M659" t="str" cm="1">
        <f t="array" ref="M659">_xlfn.IFS(C659&lt;6,"Poor",C659&lt;=8,"Normal",TRUE,"High")</f>
        <v>Normal</v>
      </c>
    </row>
    <row r="660" spans="1:13" x14ac:dyDescent="0.2">
      <c r="A660">
        <v>659</v>
      </c>
      <c r="B660" cm="1">
        <f t="array" ref="B660:L660">_xlfn.XLOOKUP($A660,Instagram_Usage_Lifestyle_Mini_!$A:$A,Instagram_Usage_Lifestyle_Mini_!$L:$V,"Not Found")</f>
        <v>9.1999999999999993</v>
      </c>
      <c r="C660">
        <v>5.7</v>
      </c>
      <c r="D660" t="str">
        <v>Good</v>
      </c>
      <c r="E660" t="str">
        <v>No</v>
      </c>
      <c r="F660" t="str">
        <v>Rarely</v>
      </c>
      <c r="G660">
        <v>12</v>
      </c>
      <c r="H660">
        <v>1</v>
      </c>
      <c r="I660">
        <v>29.1</v>
      </c>
      <c r="J660">
        <v>100</v>
      </c>
      <c r="K660">
        <v>97</v>
      </c>
      <c r="L660">
        <v>7837</v>
      </c>
      <c r="M660" t="str" cm="1">
        <f t="array" ref="M660">_xlfn.IFS(C660&lt;6,"Poor",C660&lt;=8,"Normal",TRUE,"High")</f>
        <v>Poor</v>
      </c>
    </row>
    <row r="661" spans="1:13" x14ac:dyDescent="0.2">
      <c r="A661">
        <v>660</v>
      </c>
      <c r="B661" cm="1">
        <f t="array" ref="B661:L661">_xlfn.XLOOKUP($A661,Instagram_Usage_Lifestyle_Mini_!$A:$A,Instagram_Usage_Lifestyle_Mini_!$L:$V,"Not Found")</f>
        <v>10.5</v>
      </c>
      <c r="C661">
        <v>5.3</v>
      </c>
      <c r="D661" t="str">
        <v>Average</v>
      </c>
      <c r="E661" t="str">
        <v>No</v>
      </c>
      <c r="F661" t="str">
        <v>Never</v>
      </c>
      <c r="G661">
        <v>36</v>
      </c>
      <c r="H661">
        <v>7</v>
      </c>
      <c r="I661">
        <v>20.9</v>
      </c>
      <c r="J661">
        <v>100</v>
      </c>
      <c r="K661">
        <v>60</v>
      </c>
      <c r="L661">
        <v>8045</v>
      </c>
      <c r="M661" t="str" cm="1">
        <f t="array" ref="M661">_xlfn.IFS(C661&lt;6,"Poor",C661&lt;=8,"Normal",TRUE,"High")</f>
        <v>Poor</v>
      </c>
    </row>
    <row r="662" spans="1:13" x14ac:dyDescent="0.2">
      <c r="A662">
        <v>661</v>
      </c>
      <c r="B662" cm="1">
        <f t="array" ref="B662:L662">_xlfn.XLOOKUP($A662,Instagram_Usage_Lifestyle_Mini_!$A:$A,Instagram_Usage_Lifestyle_Mini_!$L:$V,"Not Found")</f>
        <v>2.7</v>
      </c>
      <c r="C662">
        <v>6.5</v>
      </c>
      <c r="D662" t="str">
        <v>Excellent</v>
      </c>
      <c r="E662" t="str">
        <v>No</v>
      </c>
      <c r="F662" t="str">
        <v>Rarely</v>
      </c>
      <c r="G662">
        <v>7</v>
      </c>
      <c r="H662">
        <v>3</v>
      </c>
      <c r="I662">
        <v>29.1</v>
      </c>
      <c r="J662">
        <v>116</v>
      </c>
      <c r="K662">
        <v>63</v>
      </c>
      <c r="L662">
        <v>8052</v>
      </c>
      <c r="M662" t="str" cm="1">
        <f t="array" ref="M662">_xlfn.IFS(C662&lt;6,"Poor",C662&lt;=8,"Normal",TRUE,"High")</f>
        <v>Normal</v>
      </c>
    </row>
    <row r="663" spans="1:13" x14ac:dyDescent="0.2">
      <c r="A663">
        <v>662</v>
      </c>
      <c r="B663" cm="1">
        <f t="array" ref="B663:L663">_xlfn.XLOOKUP($A663,Instagram_Usage_Lifestyle_Mini_!$A:$A,Instagram_Usage_Lifestyle_Mini_!$L:$V,"Not Found")</f>
        <v>2.5</v>
      </c>
      <c r="C663">
        <v>9.4</v>
      </c>
      <c r="D663" t="str">
        <v>Poor</v>
      </c>
      <c r="E663" t="str">
        <v>No</v>
      </c>
      <c r="F663" t="str">
        <v>Several_times_a_week</v>
      </c>
      <c r="G663">
        <v>40</v>
      </c>
      <c r="H663">
        <v>4</v>
      </c>
      <c r="I663">
        <v>24.9</v>
      </c>
      <c r="J663">
        <v>105</v>
      </c>
      <c r="K663">
        <v>68</v>
      </c>
      <c r="L663">
        <v>8057</v>
      </c>
      <c r="M663" t="str" cm="1">
        <f t="array" ref="M663">_xlfn.IFS(C663&lt;6,"Poor",C663&lt;=8,"Normal",TRUE,"High")</f>
        <v>High</v>
      </c>
    </row>
    <row r="664" spans="1:13" x14ac:dyDescent="0.2">
      <c r="A664">
        <v>663</v>
      </c>
      <c r="B664" cm="1">
        <f t="array" ref="B664:L664">_xlfn.XLOOKUP($A664,Instagram_Usage_Lifestyle_Mini_!$A:$A,Instagram_Usage_Lifestyle_Mini_!$L:$V,"Not Found")</f>
        <v>13.6</v>
      </c>
      <c r="C664">
        <v>6.8</v>
      </c>
      <c r="D664" t="str">
        <v>Very_poor</v>
      </c>
      <c r="E664" t="str">
        <v>No</v>
      </c>
      <c r="F664" t="str">
        <v>Never</v>
      </c>
      <c r="G664">
        <v>37</v>
      </c>
      <c r="H664">
        <v>2</v>
      </c>
      <c r="I664">
        <v>30.4</v>
      </c>
      <c r="J664">
        <v>157</v>
      </c>
      <c r="K664">
        <v>66</v>
      </c>
      <c r="L664">
        <v>8029</v>
      </c>
      <c r="M664" t="str" cm="1">
        <f t="array" ref="M664">_xlfn.IFS(C664&lt;6,"Poor",C664&lt;=8,"Normal",TRUE,"High")</f>
        <v>Normal</v>
      </c>
    </row>
    <row r="665" spans="1:13" x14ac:dyDescent="0.2">
      <c r="A665">
        <v>664</v>
      </c>
      <c r="B665" cm="1">
        <f t="array" ref="B665:L665">_xlfn.XLOOKUP($A665,Instagram_Usage_Lifestyle_Mini_!$A:$A,Instagram_Usage_Lifestyle_Mini_!$L:$V,"Not Found")</f>
        <v>9</v>
      </c>
      <c r="C665">
        <v>6.3</v>
      </c>
      <c r="D665" t="str">
        <v>Very_poor</v>
      </c>
      <c r="E665" t="str">
        <v>No</v>
      </c>
      <c r="F665" t="str">
        <v>Rarely</v>
      </c>
      <c r="G665">
        <v>1</v>
      </c>
      <c r="H665">
        <v>4</v>
      </c>
      <c r="I665">
        <v>18</v>
      </c>
      <c r="J665">
        <v>137</v>
      </c>
      <c r="K665">
        <v>97</v>
      </c>
      <c r="L665">
        <v>8120</v>
      </c>
      <c r="M665" t="str" cm="1">
        <f t="array" ref="M665">_xlfn.IFS(C665&lt;6,"Poor",C665&lt;=8,"Normal",TRUE,"High")</f>
        <v>Normal</v>
      </c>
    </row>
    <row r="666" spans="1:13" x14ac:dyDescent="0.2">
      <c r="A666">
        <v>665</v>
      </c>
      <c r="B666" cm="1">
        <f t="array" ref="B666:L666">_xlfn.XLOOKUP($A666,Instagram_Usage_Lifestyle_Mini_!$A:$A,Instagram_Usage_Lifestyle_Mini_!$L:$V,"Not Found")</f>
        <v>5</v>
      </c>
      <c r="C666">
        <v>7.4</v>
      </c>
      <c r="D666" t="str">
        <v>Average</v>
      </c>
      <c r="E666" t="str">
        <v>No</v>
      </c>
      <c r="F666" t="str">
        <v>Rarely</v>
      </c>
      <c r="G666">
        <v>25</v>
      </c>
      <c r="H666">
        <v>6</v>
      </c>
      <c r="I666">
        <v>25.1</v>
      </c>
      <c r="J666">
        <v>128</v>
      </c>
      <c r="K666">
        <v>68</v>
      </c>
      <c r="L666">
        <v>8323</v>
      </c>
      <c r="M666" t="str" cm="1">
        <f t="array" ref="M666">_xlfn.IFS(C666&lt;6,"Poor",C666&lt;=8,"Normal",TRUE,"High")</f>
        <v>Normal</v>
      </c>
    </row>
    <row r="667" spans="1:13" x14ac:dyDescent="0.2">
      <c r="A667">
        <v>666</v>
      </c>
      <c r="B667" cm="1">
        <f t="array" ref="B667:L667">_xlfn.XLOOKUP($A667,Instagram_Usage_Lifestyle_Mini_!$A:$A,Instagram_Usage_Lifestyle_Mini_!$L:$V,"Not Found")</f>
        <v>7</v>
      </c>
      <c r="C667">
        <v>7.6</v>
      </c>
      <c r="D667" t="str">
        <v>Excellent</v>
      </c>
      <c r="E667" t="str">
        <v>No</v>
      </c>
      <c r="F667" t="str">
        <v>Rarely</v>
      </c>
      <c r="G667">
        <v>3</v>
      </c>
      <c r="H667">
        <v>2</v>
      </c>
      <c r="I667">
        <v>30.2</v>
      </c>
      <c r="J667">
        <v>140</v>
      </c>
      <c r="K667">
        <v>63</v>
      </c>
      <c r="L667">
        <v>8037</v>
      </c>
      <c r="M667" t="str" cm="1">
        <f t="array" ref="M667">_xlfn.IFS(C667&lt;6,"Poor",C667&lt;=8,"Normal",TRUE,"High")</f>
        <v>Normal</v>
      </c>
    </row>
    <row r="668" spans="1:13" x14ac:dyDescent="0.2">
      <c r="A668">
        <v>667</v>
      </c>
      <c r="B668" cm="1">
        <f t="array" ref="B668:L668">_xlfn.XLOOKUP($A668,Instagram_Usage_Lifestyle_Mini_!$A:$A,Instagram_Usage_Lifestyle_Mini_!$L:$V,"Not Found")</f>
        <v>6.5</v>
      </c>
      <c r="C668">
        <v>7.8</v>
      </c>
      <c r="D668" t="str">
        <v>Good</v>
      </c>
      <c r="E668" t="str">
        <v>No</v>
      </c>
      <c r="F668" t="str">
        <v>Never</v>
      </c>
      <c r="G668">
        <v>13</v>
      </c>
      <c r="H668">
        <v>3</v>
      </c>
      <c r="I668">
        <v>35.799999999999997</v>
      </c>
      <c r="J668">
        <v>126</v>
      </c>
      <c r="K668">
        <v>68</v>
      </c>
      <c r="L668">
        <v>7881</v>
      </c>
      <c r="M668" t="str" cm="1">
        <f t="array" ref="M668">_xlfn.IFS(C668&lt;6,"Poor",C668&lt;=8,"Normal",TRUE,"High")</f>
        <v>Normal</v>
      </c>
    </row>
    <row r="669" spans="1:13" x14ac:dyDescent="0.2">
      <c r="A669">
        <v>668</v>
      </c>
      <c r="B669" cm="1">
        <f t="array" ref="B669:L669">_xlfn.XLOOKUP($A669,Instagram_Usage_Lifestyle_Mini_!$A:$A,Instagram_Usage_Lifestyle_Mini_!$L:$V,"Not Found")</f>
        <v>1.9</v>
      </c>
      <c r="C669">
        <v>8.6</v>
      </c>
      <c r="D669" t="str">
        <v>Average</v>
      </c>
      <c r="E669" t="str">
        <v>No</v>
      </c>
      <c r="F669" t="str">
        <v>Weekly</v>
      </c>
      <c r="G669">
        <v>2</v>
      </c>
      <c r="H669">
        <v>6</v>
      </c>
      <c r="I669">
        <v>29.7</v>
      </c>
      <c r="J669">
        <v>128</v>
      </c>
      <c r="K669">
        <v>67</v>
      </c>
      <c r="L669">
        <v>7908</v>
      </c>
      <c r="M669" t="str" cm="1">
        <f t="array" ref="M669">_xlfn.IFS(C669&lt;6,"Poor",C669&lt;=8,"Normal",TRUE,"High")</f>
        <v>High</v>
      </c>
    </row>
    <row r="670" spans="1:13" x14ac:dyDescent="0.2">
      <c r="A670">
        <v>669</v>
      </c>
      <c r="B670" cm="1">
        <f t="array" ref="B670:L670">_xlfn.XLOOKUP($A670,Instagram_Usage_Lifestyle_Mini_!$A:$A,Instagram_Usage_Lifestyle_Mini_!$L:$V,"Not Found")</f>
        <v>12.7</v>
      </c>
      <c r="C670">
        <v>6.6</v>
      </c>
      <c r="D670" t="str">
        <v>Average</v>
      </c>
      <c r="E670" t="str">
        <v>No</v>
      </c>
      <c r="F670" t="str">
        <v>Never</v>
      </c>
      <c r="G670">
        <v>21</v>
      </c>
      <c r="H670">
        <v>3</v>
      </c>
      <c r="I670">
        <v>28.2</v>
      </c>
      <c r="J670">
        <v>145</v>
      </c>
      <c r="K670">
        <v>79</v>
      </c>
      <c r="L670">
        <v>7961</v>
      </c>
      <c r="M670" t="str" cm="1">
        <f t="array" ref="M670">_xlfn.IFS(C670&lt;6,"Poor",C670&lt;=8,"Normal",TRUE,"High")</f>
        <v>Normal</v>
      </c>
    </row>
    <row r="671" spans="1:13" x14ac:dyDescent="0.2">
      <c r="A671">
        <v>670</v>
      </c>
      <c r="B671" cm="1">
        <f t="array" ref="B671:L671">_xlfn.XLOOKUP($A671,Instagram_Usage_Lifestyle_Mini_!$A:$A,Instagram_Usage_Lifestyle_Mini_!$L:$V,"Not Found")</f>
        <v>8.3000000000000007</v>
      </c>
      <c r="C671">
        <v>7.6</v>
      </c>
      <c r="D671" t="str">
        <v>Good</v>
      </c>
      <c r="E671" t="str">
        <v>No</v>
      </c>
      <c r="F671" t="str">
        <v>Rarely</v>
      </c>
      <c r="G671">
        <v>33</v>
      </c>
      <c r="H671">
        <v>6</v>
      </c>
      <c r="I671">
        <v>25.3</v>
      </c>
      <c r="J671">
        <v>133</v>
      </c>
      <c r="K671">
        <v>88</v>
      </c>
      <c r="L671">
        <v>8114</v>
      </c>
      <c r="M671" t="str" cm="1">
        <f t="array" ref="M671">_xlfn.IFS(C671&lt;6,"Poor",C671&lt;=8,"Normal",TRUE,"High")</f>
        <v>Normal</v>
      </c>
    </row>
    <row r="672" spans="1:13" x14ac:dyDescent="0.2">
      <c r="A672">
        <v>671</v>
      </c>
      <c r="B672" cm="1">
        <f t="array" ref="B672:L672">_xlfn.XLOOKUP($A672,Instagram_Usage_Lifestyle_Mini_!$A:$A,Instagram_Usage_Lifestyle_Mini_!$L:$V,"Not Found")</f>
        <v>4.0999999999999996</v>
      </c>
      <c r="C672">
        <v>7.7</v>
      </c>
      <c r="D672" t="str">
        <v>Average</v>
      </c>
      <c r="E672" t="str">
        <v>No</v>
      </c>
      <c r="F672" t="str">
        <v>Weekly</v>
      </c>
      <c r="G672">
        <v>11</v>
      </c>
      <c r="H672">
        <v>4</v>
      </c>
      <c r="I672">
        <v>24.7</v>
      </c>
      <c r="J672">
        <v>90</v>
      </c>
      <c r="K672">
        <v>97</v>
      </c>
      <c r="L672">
        <v>7895</v>
      </c>
      <c r="M672" t="str" cm="1">
        <f t="array" ref="M672">_xlfn.IFS(C672&lt;6,"Poor",C672&lt;=8,"Normal",TRUE,"High")</f>
        <v>Normal</v>
      </c>
    </row>
    <row r="673" spans="1:13" x14ac:dyDescent="0.2">
      <c r="A673">
        <v>672</v>
      </c>
      <c r="B673" cm="1">
        <f t="array" ref="B673:L673">_xlfn.XLOOKUP($A673,Instagram_Usage_Lifestyle_Mini_!$A:$A,Instagram_Usage_Lifestyle_Mini_!$L:$V,"Not Found")</f>
        <v>9.6</v>
      </c>
      <c r="C673">
        <v>7.8</v>
      </c>
      <c r="D673" t="str">
        <v>Excellent</v>
      </c>
      <c r="E673" t="str">
        <v>No</v>
      </c>
      <c r="F673" t="str">
        <v>Daily</v>
      </c>
      <c r="G673">
        <v>2</v>
      </c>
      <c r="H673">
        <v>1</v>
      </c>
      <c r="I673">
        <v>31.1</v>
      </c>
      <c r="J673">
        <v>103</v>
      </c>
      <c r="K673">
        <v>63</v>
      </c>
      <c r="L673">
        <v>8028</v>
      </c>
      <c r="M673" t="str" cm="1">
        <f t="array" ref="M673">_xlfn.IFS(C673&lt;6,"Poor",C673&lt;=8,"Normal",TRUE,"High")</f>
        <v>Normal</v>
      </c>
    </row>
    <row r="674" spans="1:13" x14ac:dyDescent="0.2">
      <c r="A674">
        <v>673</v>
      </c>
      <c r="B674" cm="1">
        <f t="array" ref="B674:L674">_xlfn.XLOOKUP($A674,Instagram_Usage_Lifestyle_Mini_!$A:$A,Instagram_Usage_Lifestyle_Mini_!$L:$V,"Not Found")</f>
        <v>2.1</v>
      </c>
      <c r="C674">
        <v>6.9</v>
      </c>
      <c r="D674" t="str">
        <v>Poor</v>
      </c>
      <c r="E674" t="str">
        <v>No</v>
      </c>
      <c r="F674" t="str">
        <v>Daily</v>
      </c>
      <c r="G674">
        <v>8</v>
      </c>
      <c r="H674">
        <v>1</v>
      </c>
      <c r="I674">
        <v>23.2</v>
      </c>
      <c r="J674">
        <v>153</v>
      </c>
      <c r="K674">
        <v>70</v>
      </c>
      <c r="L674">
        <v>7868</v>
      </c>
      <c r="M674" t="str" cm="1">
        <f t="array" ref="M674">_xlfn.IFS(C674&lt;6,"Poor",C674&lt;=8,"Normal",TRUE,"High")</f>
        <v>Normal</v>
      </c>
    </row>
    <row r="675" spans="1:13" x14ac:dyDescent="0.2">
      <c r="A675">
        <v>674</v>
      </c>
      <c r="B675" cm="1">
        <f t="array" ref="B675:L675">_xlfn.XLOOKUP($A675,Instagram_Usage_Lifestyle_Mini_!$A:$A,Instagram_Usage_Lifestyle_Mini_!$L:$V,"Not Found")</f>
        <v>6.2</v>
      </c>
      <c r="C675">
        <v>4.4000000000000004</v>
      </c>
      <c r="D675" t="str">
        <v>Average</v>
      </c>
      <c r="E675" t="str">
        <v>No</v>
      </c>
      <c r="F675" t="str">
        <v>Never</v>
      </c>
      <c r="G675">
        <v>8</v>
      </c>
      <c r="H675">
        <v>7</v>
      </c>
      <c r="I675">
        <v>18.5</v>
      </c>
      <c r="J675">
        <v>159</v>
      </c>
      <c r="K675">
        <v>82</v>
      </c>
      <c r="L675">
        <v>7742</v>
      </c>
      <c r="M675" t="str" cm="1">
        <f t="array" ref="M675">_xlfn.IFS(C675&lt;6,"Poor",C675&lt;=8,"Normal",TRUE,"High")</f>
        <v>Poor</v>
      </c>
    </row>
    <row r="676" spans="1:13" x14ac:dyDescent="0.2">
      <c r="A676">
        <v>675</v>
      </c>
      <c r="B676" cm="1">
        <f t="array" ref="B676:L676">_xlfn.XLOOKUP($A676,Instagram_Usage_Lifestyle_Mini_!$A:$A,Instagram_Usage_Lifestyle_Mini_!$L:$V,"Not Found")</f>
        <v>2.2000000000000002</v>
      </c>
      <c r="C676">
        <v>6.8</v>
      </c>
      <c r="D676" t="str">
        <v>Excellent</v>
      </c>
      <c r="E676" t="str">
        <v>No</v>
      </c>
      <c r="F676" t="str">
        <v>Several_times_a_week</v>
      </c>
      <c r="G676">
        <v>13</v>
      </c>
      <c r="H676">
        <v>2</v>
      </c>
      <c r="I676">
        <v>26.5</v>
      </c>
      <c r="J676">
        <v>137</v>
      </c>
      <c r="K676">
        <v>69</v>
      </c>
      <c r="L676">
        <v>8137</v>
      </c>
      <c r="M676" t="str" cm="1">
        <f t="array" ref="M676">_xlfn.IFS(C676&lt;6,"Poor",C676&lt;=8,"Normal",TRUE,"High")</f>
        <v>Normal</v>
      </c>
    </row>
    <row r="677" spans="1:13" x14ac:dyDescent="0.2">
      <c r="A677">
        <v>676</v>
      </c>
      <c r="B677" cm="1">
        <f t="array" ref="B677:L677">_xlfn.XLOOKUP($A677,Instagram_Usage_Lifestyle_Mini_!$A:$A,Instagram_Usage_Lifestyle_Mini_!$L:$V,"Not Found")</f>
        <v>3.2</v>
      </c>
      <c r="C677">
        <v>4.5999999999999996</v>
      </c>
      <c r="D677" t="str">
        <v>Excellent</v>
      </c>
      <c r="E677" t="str">
        <v>No</v>
      </c>
      <c r="F677" t="str">
        <v>Never</v>
      </c>
      <c r="G677">
        <v>2</v>
      </c>
      <c r="H677">
        <v>1</v>
      </c>
      <c r="I677">
        <v>27.2</v>
      </c>
      <c r="J677">
        <v>128</v>
      </c>
      <c r="K677">
        <v>84</v>
      </c>
      <c r="L677">
        <v>7911</v>
      </c>
      <c r="M677" t="str" cm="1">
        <f t="array" ref="M677">_xlfn.IFS(C677&lt;6,"Poor",C677&lt;=8,"Normal",TRUE,"High")</f>
        <v>Poor</v>
      </c>
    </row>
    <row r="678" spans="1:13" x14ac:dyDescent="0.2">
      <c r="A678">
        <v>677</v>
      </c>
      <c r="B678" cm="1">
        <f t="array" ref="B678:L678">_xlfn.XLOOKUP($A678,Instagram_Usage_Lifestyle_Mini_!$A:$A,Instagram_Usage_Lifestyle_Mini_!$L:$V,"Not Found")</f>
        <v>6.8</v>
      </c>
      <c r="C678">
        <v>7.4</v>
      </c>
      <c r="D678" t="str">
        <v>Poor</v>
      </c>
      <c r="E678" t="str">
        <v>No</v>
      </c>
      <c r="F678" t="str">
        <v>Never</v>
      </c>
      <c r="G678">
        <v>35</v>
      </c>
      <c r="H678">
        <v>9</v>
      </c>
      <c r="I678">
        <v>25.1</v>
      </c>
      <c r="J678">
        <v>94</v>
      </c>
      <c r="K678">
        <v>69</v>
      </c>
      <c r="L678">
        <v>7908</v>
      </c>
      <c r="M678" t="str" cm="1">
        <f t="array" ref="M678">_xlfn.IFS(C678&lt;6,"Poor",C678&lt;=8,"Normal",TRUE,"High")</f>
        <v>Normal</v>
      </c>
    </row>
    <row r="679" spans="1:13" x14ac:dyDescent="0.2">
      <c r="A679">
        <v>678</v>
      </c>
      <c r="B679" cm="1">
        <f t="array" ref="B679:L679">_xlfn.XLOOKUP($A679,Instagram_Usage_Lifestyle_Mini_!$A:$A,Instagram_Usage_Lifestyle_Mini_!$L:$V,"Not Found")</f>
        <v>16.3</v>
      </c>
      <c r="C679">
        <v>8.4</v>
      </c>
      <c r="D679" t="str">
        <v>Average</v>
      </c>
      <c r="E679" t="str">
        <v>Yes</v>
      </c>
      <c r="F679" t="str">
        <v>Never</v>
      </c>
      <c r="G679">
        <v>21</v>
      </c>
      <c r="H679">
        <v>2</v>
      </c>
      <c r="I679">
        <v>27.1</v>
      </c>
      <c r="J679">
        <v>151</v>
      </c>
      <c r="K679">
        <v>74</v>
      </c>
      <c r="L679">
        <v>8059</v>
      </c>
      <c r="M679" t="str" cm="1">
        <f t="array" ref="M679">_xlfn.IFS(C679&lt;6,"Poor",C679&lt;=8,"Normal",TRUE,"High")</f>
        <v>High</v>
      </c>
    </row>
    <row r="680" spans="1:13" x14ac:dyDescent="0.2">
      <c r="A680">
        <v>679</v>
      </c>
      <c r="B680" cm="1">
        <f t="array" ref="B680:L680">_xlfn.XLOOKUP($A680,Instagram_Usage_Lifestyle_Mini_!$A:$A,Instagram_Usage_Lifestyle_Mini_!$L:$V,"Not Found")</f>
        <v>8.8000000000000007</v>
      </c>
      <c r="C680">
        <v>6.9</v>
      </c>
      <c r="D680" t="str">
        <v>Good</v>
      </c>
      <c r="E680" t="str">
        <v>No</v>
      </c>
      <c r="F680" t="str">
        <v>Several_times_a_week</v>
      </c>
      <c r="G680">
        <v>5</v>
      </c>
      <c r="H680">
        <v>7</v>
      </c>
      <c r="I680">
        <v>29.9</v>
      </c>
      <c r="J680">
        <v>106</v>
      </c>
      <c r="K680">
        <v>81</v>
      </c>
      <c r="L680">
        <v>8018</v>
      </c>
      <c r="M680" t="str" cm="1">
        <f t="array" ref="M680">_xlfn.IFS(C680&lt;6,"Poor",C680&lt;=8,"Normal",TRUE,"High")</f>
        <v>Normal</v>
      </c>
    </row>
    <row r="681" spans="1:13" x14ac:dyDescent="0.2">
      <c r="A681">
        <v>680</v>
      </c>
      <c r="B681" cm="1">
        <f t="array" ref="B681:L681">_xlfn.XLOOKUP($A681,Instagram_Usage_Lifestyle_Mini_!$A:$A,Instagram_Usage_Lifestyle_Mini_!$L:$V,"Not Found")</f>
        <v>5.9</v>
      </c>
      <c r="C681">
        <v>7.6</v>
      </c>
      <c r="D681" t="str">
        <v>Very_poor</v>
      </c>
      <c r="E681" t="str">
        <v>No</v>
      </c>
      <c r="F681" t="str">
        <v>Rarely</v>
      </c>
      <c r="G681">
        <v>21</v>
      </c>
      <c r="H681">
        <v>4</v>
      </c>
      <c r="I681">
        <v>19.5</v>
      </c>
      <c r="J681">
        <v>113</v>
      </c>
      <c r="K681">
        <v>75</v>
      </c>
      <c r="L681">
        <v>8080</v>
      </c>
      <c r="M681" t="str" cm="1">
        <f t="array" ref="M681">_xlfn.IFS(C681&lt;6,"Poor",C681&lt;=8,"Normal",TRUE,"High")</f>
        <v>Normal</v>
      </c>
    </row>
    <row r="682" spans="1:13" x14ac:dyDescent="0.2">
      <c r="A682">
        <v>681</v>
      </c>
      <c r="B682" cm="1">
        <f t="array" ref="B682:L682">_xlfn.XLOOKUP($A682,Instagram_Usage_Lifestyle_Mini_!$A:$A,Instagram_Usage_Lifestyle_Mini_!$L:$V,"Not Found")</f>
        <v>6.5</v>
      </c>
      <c r="C682">
        <v>7.7</v>
      </c>
      <c r="D682" t="str">
        <v>Average</v>
      </c>
      <c r="E682" t="str">
        <v>No</v>
      </c>
      <c r="F682" t="str">
        <v>Rarely</v>
      </c>
      <c r="G682">
        <v>34</v>
      </c>
      <c r="H682">
        <v>4</v>
      </c>
      <c r="I682">
        <v>26.9</v>
      </c>
      <c r="J682">
        <v>155</v>
      </c>
      <c r="K682">
        <v>80</v>
      </c>
      <c r="L682">
        <v>7937</v>
      </c>
      <c r="M682" t="str" cm="1">
        <f t="array" ref="M682">_xlfn.IFS(C682&lt;6,"Poor",C682&lt;=8,"Normal",TRUE,"High")</f>
        <v>Normal</v>
      </c>
    </row>
    <row r="683" spans="1:13" x14ac:dyDescent="0.2">
      <c r="A683">
        <v>682</v>
      </c>
      <c r="B683" cm="1">
        <f t="array" ref="B683:L683">_xlfn.XLOOKUP($A683,Instagram_Usage_Lifestyle_Mini_!$A:$A,Instagram_Usage_Lifestyle_Mini_!$L:$V,"Not Found")</f>
        <v>9.3000000000000007</v>
      </c>
      <c r="C683">
        <v>7.5</v>
      </c>
      <c r="D683" t="str">
        <v>Poor</v>
      </c>
      <c r="E683" t="str">
        <v>No</v>
      </c>
      <c r="F683" t="str">
        <v>Daily</v>
      </c>
      <c r="G683">
        <v>36</v>
      </c>
      <c r="H683">
        <v>4</v>
      </c>
      <c r="I683">
        <v>27.7</v>
      </c>
      <c r="J683">
        <v>112</v>
      </c>
      <c r="K683">
        <v>76</v>
      </c>
      <c r="L683">
        <v>7910</v>
      </c>
      <c r="M683" t="str" cm="1">
        <f t="array" ref="M683">_xlfn.IFS(C683&lt;6,"Poor",C683&lt;=8,"Normal",TRUE,"High")</f>
        <v>Normal</v>
      </c>
    </row>
    <row r="684" spans="1:13" x14ac:dyDescent="0.2">
      <c r="A684">
        <v>683</v>
      </c>
      <c r="B684" cm="1">
        <f t="array" ref="B684:L684">_xlfn.XLOOKUP($A684,Instagram_Usage_Lifestyle_Mini_!$A:$A,Instagram_Usage_Lifestyle_Mini_!$L:$V,"Not Found")</f>
        <v>12</v>
      </c>
      <c r="C684">
        <v>8.3000000000000007</v>
      </c>
      <c r="D684" t="str">
        <v>Excellent</v>
      </c>
      <c r="E684" t="str">
        <v>No</v>
      </c>
      <c r="F684" t="str">
        <v>Rarely</v>
      </c>
      <c r="G684">
        <v>26</v>
      </c>
      <c r="H684">
        <v>2</v>
      </c>
      <c r="I684">
        <v>32.4</v>
      </c>
      <c r="J684">
        <v>155</v>
      </c>
      <c r="K684">
        <v>87</v>
      </c>
      <c r="L684">
        <v>8068</v>
      </c>
      <c r="M684" t="str" cm="1">
        <f t="array" ref="M684">_xlfn.IFS(C684&lt;6,"Poor",C684&lt;=8,"Normal",TRUE,"High")</f>
        <v>High</v>
      </c>
    </row>
    <row r="685" spans="1:13" x14ac:dyDescent="0.2">
      <c r="A685">
        <v>684</v>
      </c>
      <c r="B685" cm="1">
        <f t="array" ref="B685:L685">_xlfn.XLOOKUP($A685,Instagram_Usage_Lifestyle_Mini_!$A:$A,Instagram_Usage_Lifestyle_Mini_!$L:$V,"Not Found")</f>
        <v>13.7</v>
      </c>
      <c r="C685">
        <v>6</v>
      </c>
      <c r="D685" t="str">
        <v>Poor</v>
      </c>
      <c r="E685" t="str">
        <v>No</v>
      </c>
      <c r="F685" t="str">
        <v>Rarely</v>
      </c>
      <c r="G685">
        <v>32</v>
      </c>
      <c r="H685">
        <v>9</v>
      </c>
      <c r="I685">
        <v>26.6</v>
      </c>
      <c r="J685">
        <v>104</v>
      </c>
      <c r="K685">
        <v>94</v>
      </c>
      <c r="L685">
        <v>7919</v>
      </c>
      <c r="M685" t="str" cm="1">
        <f t="array" ref="M685">_xlfn.IFS(C685&lt;6,"Poor",C685&lt;=8,"Normal",TRUE,"High")</f>
        <v>Normal</v>
      </c>
    </row>
    <row r="686" spans="1:13" x14ac:dyDescent="0.2">
      <c r="A686">
        <v>685</v>
      </c>
      <c r="B686" cm="1">
        <f t="array" ref="B686:L686">_xlfn.XLOOKUP($A686,Instagram_Usage_Lifestyle_Mini_!$A:$A,Instagram_Usage_Lifestyle_Mini_!$L:$V,"Not Found")</f>
        <v>7.9</v>
      </c>
      <c r="C686">
        <v>6.8</v>
      </c>
      <c r="D686" t="str">
        <v>Poor</v>
      </c>
      <c r="E686" t="str">
        <v>No</v>
      </c>
      <c r="F686" t="str">
        <v>Weekly</v>
      </c>
      <c r="G686">
        <v>34</v>
      </c>
      <c r="H686">
        <v>10</v>
      </c>
      <c r="I686">
        <v>22.3</v>
      </c>
      <c r="J686">
        <v>158</v>
      </c>
      <c r="K686">
        <v>94</v>
      </c>
      <c r="L686">
        <v>8105</v>
      </c>
      <c r="M686" t="str" cm="1">
        <f t="array" ref="M686">_xlfn.IFS(C686&lt;6,"Poor",C686&lt;=8,"Normal",TRUE,"High")</f>
        <v>Normal</v>
      </c>
    </row>
    <row r="687" spans="1:13" x14ac:dyDescent="0.2">
      <c r="A687">
        <v>686</v>
      </c>
      <c r="B687" cm="1">
        <f t="array" ref="B687:L687">_xlfn.XLOOKUP($A687,Instagram_Usage_Lifestyle_Mini_!$A:$A,Instagram_Usage_Lifestyle_Mini_!$L:$V,"Not Found")</f>
        <v>11.4</v>
      </c>
      <c r="C687">
        <v>6.1</v>
      </c>
      <c r="D687" t="str">
        <v>Very_poor</v>
      </c>
      <c r="E687" t="str">
        <v>Yes</v>
      </c>
      <c r="F687" t="str">
        <v>Weekly</v>
      </c>
      <c r="G687">
        <v>8</v>
      </c>
      <c r="H687">
        <v>6</v>
      </c>
      <c r="I687">
        <v>17.600000000000001</v>
      </c>
      <c r="J687">
        <v>90</v>
      </c>
      <c r="K687">
        <v>72</v>
      </c>
      <c r="L687">
        <v>8093</v>
      </c>
      <c r="M687" t="str" cm="1">
        <f t="array" ref="M687">_xlfn.IFS(C687&lt;6,"Poor",C687&lt;=8,"Normal",TRUE,"High")</f>
        <v>Normal</v>
      </c>
    </row>
    <row r="688" spans="1:13" x14ac:dyDescent="0.2">
      <c r="A688">
        <v>687</v>
      </c>
      <c r="B688" cm="1">
        <f t="array" ref="B688:L688">_xlfn.XLOOKUP($A688,Instagram_Usage_Lifestyle_Mini_!$A:$A,Instagram_Usage_Lifestyle_Mini_!$L:$V,"Not Found")</f>
        <v>12.7</v>
      </c>
      <c r="C688">
        <v>8.9</v>
      </c>
      <c r="D688" t="str">
        <v>Average</v>
      </c>
      <c r="E688" t="str">
        <v>No</v>
      </c>
      <c r="F688" t="str">
        <v>Never</v>
      </c>
      <c r="G688">
        <v>37</v>
      </c>
      <c r="H688">
        <v>4</v>
      </c>
      <c r="I688">
        <v>26.1</v>
      </c>
      <c r="J688">
        <v>151</v>
      </c>
      <c r="K688">
        <v>71</v>
      </c>
      <c r="L688">
        <v>8151</v>
      </c>
      <c r="M688" t="str" cm="1">
        <f t="array" ref="M688">_xlfn.IFS(C688&lt;6,"Poor",C688&lt;=8,"Normal",TRUE,"High")</f>
        <v>High</v>
      </c>
    </row>
    <row r="689" spans="1:13" x14ac:dyDescent="0.2">
      <c r="A689">
        <v>688</v>
      </c>
      <c r="B689" cm="1">
        <f t="array" ref="B689:L689">_xlfn.XLOOKUP($A689,Instagram_Usage_Lifestyle_Mini_!$A:$A,Instagram_Usage_Lifestyle_Mini_!$L:$V,"Not Found")</f>
        <v>6</v>
      </c>
      <c r="C689">
        <v>5</v>
      </c>
      <c r="D689" t="str">
        <v>Good</v>
      </c>
      <c r="E689" t="str">
        <v>No</v>
      </c>
      <c r="F689" t="str">
        <v>Never</v>
      </c>
      <c r="G689">
        <v>5</v>
      </c>
      <c r="H689">
        <v>2</v>
      </c>
      <c r="I689">
        <v>29.3</v>
      </c>
      <c r="J689">
        <v>114</v>
      </c>
      <c r="K689">
        <v>83</v>
      </c>
      <c r="L689">
        <v>8050</v>
      </c>
      <c r="M689" t="str" cm="1">
        <f t="array" ref="M689">_xlfn.IFS(C689&lt;6,"Poor",C689&lt;=8,"Normal",TRUE,"High")</f>
        <v>Poor</v>
      </c>
    </row>
    <row r="690" spans="1:13" x14ac:dyDescent="0.2">
      <c r="A690">
        <v>689</v>
      </c>
      <c r="B690" cm="1">
        <f t="array" ref="B690:L690">_xlfn.XLOOKUP($A690,Instagram_Usage_Lifestyle_Mini_!$A:$A,Instagram_Usage_Lifestyle_Mini_!$L:$V,"Not Found")</f>
        <v>12</v>
      </c>
      <c r="C690">
        <v>7.7</v>
      </c>
      <c r="D690" t="str">
        <v>Average</v>
      </c>
      <c r="E690" t="str">
        <v>No</v>
      </c>
      <c r="F690" t="str">
        <v>Never</v>
      </c>
      <c r="G690">
        <v>23</v>
      </c>
      <c r="H690">
        <v>9</v>
      </c>
      <c r="I690">
        <v>27.2</v>
      </c>
      <c r="J690">
        <v>141</v>
      </c>
      <c r="K690">
        <v>97</v>
      </c>
      <c r="L690">
        <v>7993</v>
      </c>
      <c r="M690" t="str" cm="1">
        <f t="array" ref="M690">_xlfn.IFS(C690&lt;6,"Poor",C690&lt;=8,"Normal",TRUE,"High")</f>
        <v>Normal</v>
      </c>
    </row>
    <row r="691" spans="1:13" x14ac:dyDescent="0.2">
      <c r="A691">
        <v>690</v>
      </c>
      <c r="B691" cm="1">
        <f t="array" ref="B691:L691">_xlfn.XLOOKUP($A691,Instagram_Usage_Lifestyle_Mini_!$A:$A,Instagram_Usage_Lifestyle_Mini_!$L:$V,"Not Found")</f>
        <v>6</v>
      </c>
      <c r="C691">
        <v>8.3000000000000007</v>
      </c>
      <c r="D691" t="str">
        <v>Average</v>
      </c>
      <c r="E691" t="str">
        <v>No</v>
      </c>
      <c r="F691" t="str">
        <v>Rarely</v>
      </c>
      <c r="G691">
        <v>30</v>
      </c>
      <c r="H691">
        <v>9</v>
      </c>
      <c r="I691">
        <v>24</v>
      </c>
      <c r="J691">
        <v>99</v>
      </c>
      <c r="K691">
        <v>80</v>
      </c>
      <c r="L691">
        <v>7977</v>
      </c>
      <c r="M691" t="str" cm="1">
        <f t="array" ref="M691">_xlfn.IFS(C691&lt;6,"Poor",C691&lt;=8,"Normal",TRUE,"High")</f>
        <v>High</v>
      </c>
    </row>
    <row r="692" spans="1:13" x14ac:dyDescent="0.2">
      <c r="A692">
        <v>691</v>
      </c>
      <c r="B692" cm="1">
        <f t="array" ref="B692:L692">_xlfn.XLOOKUP($A692,Instagram_Usage_Lifestyle_Mini_!$A:$A,Instagram_Usage_Lifestyle_Mini_!$L:$V,"Not Found")</f>
        <v>2</v>
      </c>
      <c r="C692">
        <v>7.8</v>
      </c>
      <c r="D692" t="str">
        <v>Average</v>
      </c>
      <c r="E692" t="str">
        <v>No</v>
      </c>
      <c r="F692" t="str">
        <v>Rarely</v>
      </c>
      <c r="G692">
        <v>29</v>
      </c>
      <c r="H692">
        <v>2</v>
      </c>
      <c r="I692">
        <v>25</v>
      </c>
      <c r="J692">
        <v>155</v>
      </c>
      <c r="K692">
        <v>81</v>
      </c>
      <c r="L692">
        <v>7833</v>
      </c>
      <c r="M692" t="str" cm="1">
        <f t="array" ref="M692">_xlfn.IFS(C692&lt;6,"Poor",C692&lt;=8,"Normal",TRUE,"High")</f>
        <v>Normal</v>
      </c>
    </row>
    <row r="693" spans="1:13" x14ac:dyDescent="0.2">
      <c r="A693">
        <v>692</v>
      </c>
      <c r="B693" cm="1">
        <f t="array" ref="B693:L693">_xlfn.XLOOKUP($A693,Instagram_Usage_Lifestyle_Mini_!$A:$A,Instagram_Usage_Lifestyle_Mini_!$L:$V,"Not Found")</f>
        <v>3.1</v>
      </c>
      <c r="C693">
        <v>6.5</v>
      </c>
      <c r="D693" t="str">
        <v>Average</v>
      </c>
      <c r="E693" t="str">
        <v>No</v>
      </c>
      <c r="F693" t="str">
        <v>Never</v>
      </c>
      <c r="G693">
        <v>38</v>
      </c>
      <c r="H693">
        <v>9</v>
      </c>
      <c r="I693">
        <v>22.5</v>
      </c>
      <c r="J693">
        <v>150</v>
      </c>
      <c r="K693">
        <v>76</v>
      </c>
      <c r="L693">
        <v>7985</v>
      </c>
      <c r="M693" t="str" cm="1">
        <f t="array" ref="M693">_xlfn.IFS(C693&lt;6,"Poor",C693&lt;=8,"Normal",TRUE,"High")</f>
        <v>Normal</v>
      </c>
    </row>
    <row r="694" spans="1:13" x14ac:dyDescent="0.2">
      <c r="A694">
        <v>693</v>
      </c>
      <c r="B694" cm="1">
        <f t="array" ref="B694:L694">_xlfn.XLOOKUP($A694,Instagram_Usage_Lifestyle_Mini_!$A:$A,Instagram_Usage_Lifestyle_Mini_!$L:$V,"Not Found")</f>
        <v>7.8</v>
      </c>
      <c r="C694">
        <v>7.6</v>
      </c>
      <c r="D694" t="str">
        <v>Poor</v>
      </c>
      <c r="E694" t="str">
        <v>Yes</v>
      </c>
      <c r="F694" t="str">
        <v>Never</v>
      </c>
      <c r="G694">
        <v>14</v>
      </c>
      <c r="H694">
        <v>3</v>
      </c>
      <c r="I694">
        <v>18.2</v>
      </c>
      <c r="J694">
        <v>97</v>
      </c>
      <c r="K694">
        <v>69</v>
      </c>
      <c r="L694">
        <v>8153</v>
      </c>
      <c r="M694" t="str" cm="1">
        <f t="array" ref="M694">_xlfn.IFS(C694&lt;6,"Poor",C694&lt;=8,"Normal",TRUE,"High")</f>
        <v>Normal</v>
      </c>
    </row>
    <row r="695" spans="1:13" x14ac:dyDescent="0.2">
      <c r="A695">
        <v>694</v>
      </c>
      <c r="B695" cm="1">
        <f t="array" ref="B695:L695">_xlfn.XLOOKUP($A695,Instagram_Usage_Lifestyle_Mini_!$A:$A,Instagram_Usage_Lifestyle_Mini_!$L:$V,"Not Found")</f>
        <v>8.9</v>
      </c>
      <c r="C695">
        <v>6</v>
      </c>
      <c r="D695" t="str">
        <v>Good</v>
      </c>
      <c r="E695" t="str">
        <v>No</v>
      </c>
      <c r="F695" t="str">
        <v>Weekly</v>
      </c>
      <c r="G695">
        <v>31</v>
      </c>
      <c r="H695">
        <v>5</v>
      </c>
      <c r="I695">
        <v>27.7</v>
      </c>
      <c r="J695">
        <v>124</v>
      </c>
      <c r="K695">
        <v>83</v>
      </c>
      <c r="L695">
        <v>7913</v>
      </c>
      <c r="M695" t="str" cm="1">
        <f t="array" ref="M695">_xlfn.IFS(C695&lt;6,"Poor",C695&lt;=8,"Normal",TRUE,"High")</f>
        <v>Normal</v>
      </c>
    </row>
    <row r="696" spans="1:13" x14ac:dyDescent="0.2">
      <c r="A696">
        <v>695</v>
      </c>
      <c r="B696" cm="1">
        <f t="array" ref="B696:L696">_xlfn.XLOOKUP($A696,Instagram_Usage_Lifestyle_Mini_!$A:$A,Instagram_Usage_Lifestyle_Mini_!$L:$V,"Not Found")</f>
        <v>4.9000000000000004</v>
      </c>
      <c r="C696">
        <v>8</v>
      </c>
      <c r="D696" t="str">
        <v>Poor</v>
      </c>
      <c r="E696" t="str">
        <v>No</v>
      </c>
      <c r="F696" t="str">
        <v>Rarely</v>
      </c>
      <c r="G696">
        <v>17</v>
      </c>
      <c r="H696">
        <v>9</v>
      </c>
      <c r="I696">
        <v>24.7</v>
      </c>
      <c r="J696">
        <v>141</v>
      </c>
      <c r="K696">
        <v>65</v>
      </c>
      <c r="L696">
        <v>7875</v>
      </c>
      <c r="M696" t="str" cm="1">
        <f t="array" ref="M696">_xlfn.IFS(C696&lt;6,"Poor",C696&lt;=8,"Normal",TRUE,"High")</f>
        <v>Normal</v>
      </c>
    </row>
    <row r="697" spans="1:13" x14ac:dyDescent="0.2">
      <c r="A697">
        <v>696</v>
      </c>
      <c r="B697" cm="1">
        <f t="array" ref="B697:L697">_xlfn.XLOOKUP($A697,Instagram_Usage_Lifestyle_Mini_!$A:$A,Instagram_Usage_Lifestyle_Mini_!$L:$V,"Not Found")</f>
        <v>10.5</v>
      </c>
      <c r="C697">
        <v>7.4</v>
      </c>
      <c r="D697" t="str">
        <v>Very_poor</v>
      </c>
      <c r="E697" t="str">
        <v>No</v>
      </c>
      <c r="F697" t="str">
        <v>Rarely</v>
      </c>
      <c r="G697">
        <v>17</v>
      </c>
      <c r="H697">
        <v>3</v>
      </c>
      <c r="I697">
        <v>28.3</v>
      </c>
      <c r="J697">
        <v>95</v>
      </c>
      <c r="K697">
        <v>93</v>
      </c>
      <c r="L697">
        <v>8113</v>
      </c>
      <c r="M697" t="str" cm="1">
        <f t="array" ref="M697">_xlfn.IFS(C697&lt;6,"Poor",C697&lt;=8,"Normal",TRUE,"High")</f>
        <v>Normal</v>
      </c>
    </row>
    <row r="698" spans="1:13" x14ac:dyDescent="0.2">
      <c r="A698">
        <v>697</v>
      </c>
      <c r="B698" cm="1">
        <f t="array" ref="B698:L698">_xlfn.XLOOKUP($A698,Instagram_Usage_Lifestyle_Mini_!$A:$A,Instagram_Usage_Lifestyle_Mini_!$L:$V,"Not Found")</f>
        <v>3</v>
      </c>
      <c r="C698">
        <v>6.9</v>
      </c>
      <c r="D698" t="str">
        <v>Excellent</v>
      </c>
      <c r="E698" t="str">
        <v>No</v>
      </c>
      <c r="F698" t="str">
        <v>Never</v>
      </c>
      <c r="G698">
        <v>33</v>
      </c>
      <c r="H698">
        <v>7</v>
      </c>
      <c r="I698">
        <v>26.5</v>
      </c>
      <c r="J698">
        <v>107</v>
      </c>
      <c r="K698">
        <v>63</v>
      </c>
      <c r="L698">
        <v>7961</v>
      </c>
      <c r="M698" t="str" cm="1">
        <f t="array" ref="M698">_xlfn.IFS(C698&lt;6,"Poor",C698&lt;=8,"Normal",TRUE,"High")</f>
        <v>Normal</v>
      </c>
    </row>
    <row r="699" spans="1:13" x14ac:dyDescent="0.2">
      <c r="A699">
        <v>698</v>
      </c>
      <c r="B699" cm="1">
        <f t="array" ref="B699:L699">_xlfn.XLOOKUP($A699,Instagram_Usage_Lifestyle_Mini_!$A:$A,Instagram_Usage_Lifestyle_Mini_!$L:$V,"Not Found")</f>
        <v>4.0999999999999996</v>
      </c>
      <c r="C699">
        <v>5.4</v>
      </c>
      <c r="D699" t="str">
        <v>Very_poor</v>
      </c>
      <c r="E699" t="str">
        <v>No</v>
      </c>
      <c r="F699" t="str">
        <v>Weekly</v>
      </c>
      <c r="G699">
        <v>5</v>
      </c>
      <c r="H699">
        <v>9</v>
      </c>
      <c r="I699">
        <v>21.4</v>
      </c>
      <c r="J699">
        <v>104</v>
      </c>
      <c r="K699">
        <v>74</v>
      </c>
      <c r="L699">
        <v>7847</v>
      </c>
      <c r="M699" t="str" cm="1">
        <f t="array" ref="M699">_xlfn.IFS(C699&lt;6,"Poor",C699&lt;=8,"Normal",TRUE,"High")</f>
        <v>Poor</v>
      </c>
    </row>
    <row r="700" spans="1:13" x14ac:dyDescent="0.2">
      <c r="A700">
        <v>699</v>
      </c>
      <c r="B700" cm="1">
        <f t="array" ref="B700:L700">_xlfn.XLOOKUP($A700,Instagram_Usage_Lifestyle_Mini_!$A:$A,Instagram_Usage_Lifestyle_Mini_!$L:$V,"Not Found")</f>
        <v>4.5</v>
      </c>
      <c r="C700">
        <v>8.1</v>
      </c>
      <c r="D700" t="str">
        <v>Good</v>
      </c>
      <c r="E700" t="str">
        <v>No</v>
      </c>
      <c r="F700" t="str">
        <v>Never</v>
      </c>
      <c r="G700">
        <v>6</v>
      </c>
      <c r="H700">
        <v>5</v>
      </c>
      <c r="I700">
        <v>25</v>
      </c>
      <c r="J700">
        <v>155</v>
      </c>
      <c r="K700">
        <v>67</v>
      </c>
      <c r="L700">
        <v>8040</v>
      </c>
      <c r="M700" t="str" cm="1">
        <f t="array" ref="M700">_xlfn.IFS(C700&lt;6,"Poor",C700&lt;=8,"Normal",TRUE,"High")</f>
        <v>High</v>
      </c>
    </row>
    <row r="701" spans="1:13" x14ac:dyDescent="0.2">
      <c r="A701">
        <v>700</v>
      </c>
      <c r="B701" cm="1">
        <f t="array" ref="B701:L701">_xlfn.XLOOKUP($A701,Instagram_Usage_Lifestyle_Mini_!$A:$A,Instagram_Usage_Lifestyle_Mini_!$L:$V,"Not Found")</f>
        <v>3.9</v>
      </c>
      <c r="C701">
        <v>7.9</v>
      </c>
      <c r="D701" t="str">
        <v>Poor</v>
      </c>
      <c r="E701" t="str">
        <v>Former</v>
      </c>
      <c r="F701" t="str">
        <v>Rarely</v>
      </c>
      <c r="G701">
        <v>7</v>
      </c>
      <c r="H701">
        <v>9</v>
      </c>
      <c r="I701">
        <v>28.9</v>
      </c>
      <c r="J701">
        <v>147</v>
      </c>
      <c r="K701">
        <v>96</v>
      </c>
      <c r="L701">
        <v>7998</v>
      </c>
      <c r="M701" t="str" cm="1">
        <f t="array" ref="M701">_xlfn.IFS(C701&lt;6,"Poor",C701&lt;=8,"Normal",TRUE,"High")</f>
        <v>Normal</v>
      </c>
    </row>
    <row r="702" spans="1:13" x14ac:dyDescent="0.2">
      <c r="A702">
        <v>701</v>
      </c>
      <c r="B702" cm="1">
        <f t="array" ref="B702:L702">_xlfn.XLOOKUP($A702,Instagram_Usage_Lifestyle_Mini_!$A:$A,Instagram_Usage_Lifestyle_Mini_!$L:$V,"Not Found")</f>
        <v>3.8</v>
      </c>
      <c r="C702">
        <v>7.4</v>
      </c>
      <c r="D702" t="str">
        <v>Very_poor</v>
      </c>
      <c r="E702" t="str">
        <v>No</v>
      </c>
      <c r="F702" t="str">
        <v>Rarely</v>
      </c>
      <c r="G702">
        <v>28</v>
      </c>
      <c r="H702">
        <v>10</v>
      </c>
      <c r="I702">
        <v>29.9</v>
      </c>
      <c r="J702">
        <v>143</v>
      </c>
      <c r="K702">
        <v>88</v>
      </c>
      <c r="L702">
        <v>8133</v>
      </c>
      <c r="M702" t="str" cm="1">
        <f t="array" ref="M702">_xlfn.IFS(C702&lt;6,"Poor",C702&lt;=8,"Normal",TRUE,"High")</f>
        <v>Normal</v>
      </c>
    </row>
    <row r="703" spans="1:13" x14ac:dyDescent="0.2">
      <c r="A703">
        <v>702</v>
      </c>
      <c r="B703" cm="1">
        <f t="array" ref="B703:L703">_xlfn.XLOOKUP($A703,Instagram_Usage_Lifestyle_Mini_!$A:$A,Instagram_Usage_Lifestyle_Mini_!$L:$V,"Not Found")</f>
        <v>7.9</v>
      </c>
      <c r="C703">
        <v>8</v>
      </c>
      <c r="D703" t="str">
        <v>Very_poor</v>
      </c>
      <c r="E703" t="str">
        <v>No</v>
      </c>
      <c r="F703" t="str">
        <v>Weekly</v>
      </c>
      <c r="G703">
        <v>12</v>
      </c>
      <c r="H703">
        <v>1</v>
      </c>
      <c r="I703">
        <v>31.8</v>
      </c>
      <c r="J703">
        <v>103</v>
      </c>
      <c r="K703">
        <v>95</v>
      </c>
      <c r="L703">
        <v>7931</v>
      </c>
      <c r="M703" t="str" cm="1">
        <f t="array" ref="M703">_xlfn.IFS(C703&lt;6,"Poor",C703&lt;=8,"Normal",TRUE,"High")</f>
        <v>Normal</v>
      </c>
    </row>
    <row r="704" spans="1:13" x14ac:dyDescent="0.2">
      <c r="A704">
        <v>703</v>
      </c>
      <c r="B704" cm="1">
        <f t="array" ref="B704:L704">_xlfn.XLOOKUP($A704,Instagram_Usage_Lifestyle_Mini_!$A:$A,Instagram_Usage_Lifestyle_Mini_!$L:$V,"Not Found")</f>
        <v>2.6</v>
      </c>
      <c r="C704">
        <v>6.8</v>
      </c>
      <c r="D704" t="str">
        <v>Average</v>
      </c>
      <c r="E704" t="str">
        <v>No</v>
      </c>
      <c r="F704" t="str">
        <v>Several_times_a_week</v>
      </c>
      <c r="G704">
        <v>36</v>
      </c>
      <c r="H704">
        <v>4</v>
      </c>
      <c r="I704">
        <v>25.9</v>
      </c>
      <c r="J704">
        <v>128</v>
      </c>
      <c r="K704">
        <v>78</v>
      </c>
      <c r="L704">
        <v>8246</v>
      </c>
      <c r="M704" t="str" cm="1">
        <f t="array" ref="M704">_xlfn.IFS(C704&lt;6,"Poor",C704&lt;=8,"Normal",TRUE,"High")</f>
        <v>Normal</v>
      </c>
    </row>
    <row r="705" spans="1:13" x14ac:dyDescent="0.2">
      <c r="A705">
        <v>704</v>
      </c>
      <c r="B705" cm="1">
        <f t="array" ref="B705:L705">_xlfn.XLOOKUP($A705,Instagram_Usage_Lifestyle_Mini_!$A:$A,Instagram_Usage_Lifestyle_Mini_!$L:$V,"Not Found")</f>
        <v>4.2</v>
      </c>
      <c r="C705">
        <v>8.4</v>
      </c>
      <c r="D705" t="str">
        <v>Poor</v>
      </c>
      <c r="E705" t="str">
        <v>No</v>
      </c>
      <c r="F705" t="str">
        <v>Rarely</v>
      </c>
      <c r="G705">
        <v>40</v>
      </c>
      <c r="H705">
        <v>10</v>
      </c>
      <c r="I705">
        <v>26.5</v>
      </c>
      <c r="J705">
        <v>91</v>
      </c>
      <c r="K705">
        <v>69</v>
      </c>
      <c r="L705">
        <v>8046</v>
      </c>
      <c r="M705" t="str" cm="1">
        <f t="array" ref="M705">_xlfn.IFS(C705&lt;6,"Poor",C705&lt;=8,"Normal",TRUE,"High")</f>
        <v>High</v>
      </c>
    </row>
    <row r="706" spans="1:13" x14ac:dyDescent="0.2">
      <c r="A706">
        <v>705</v>
      </c>
      <c r="B706" cm="1">
        <f t="array" ref="B706:L706">_xlfn.XLOOKUP($A706,Instagram_Usage_Lifestyle_Mini_!$A:$A,Instagram_Usage_Lifestyle_Mini_!$L:$V,"Not Found")</f>
        <v>8.1</v>
      </c>
      <c r="C706">
        <v>6</v>
      </c>
      <c r="D706" t="str">
        <v>Good</v>
      </c>
      <c r="E706" t="str">
        <v>No</v>
      </c>
      <c r="F706" t="str">
        <v>Never</v>
      </c>
      <c r="G706">
        <v>32</v>
      </c>
      <c r="H706">
        <v>10</v>
      </c>
      <c r="I706">
        <v>22.7</v>
      </c>
      <c r="J706">
        <v>95</v>
      </c>
      <c r="K706">
        <v>74</v>
      </c>
      <c r="L706">
        <v>8011</v>
      </c>
      <c r="M706" t="str" cm="1">
        <f t="array" ref="M706">_xlfn.IFS(C706&lt;6,"Poor",C706&lt;=8,"Normal",TRUE,"High")</f>
        <v>Normal</v>
      </c>
    </row>
    <row r="707" spans="1:13" x14ac:dyDescent="0.2">
      <c r="A707">
        <v>706</v>
      </c>
      <c r="B707" cm="1">
        <f t="array" ref="B707:L707">_xlfn.XLOOKUP($A707,Instagram_Usage_Lifestyle_Mini_!$A:$A,Instagram_Usage_Lifestyle_Mini_!$L:$V,"Not Found")</f>
        <v>6</v>
      </c>
      <c r="C707">
        <v>9.4</v>
      </c>
      <c r="D707" t="str">
        <v>Good</v>
      </c>
      <c r="E707" t="str">
        <v>No</v>
      </c>
      <c r="F707" t="str">
        <v>Several_times_a_week</v>
      </c>
      <c r="G707">
        <v>25</v>
      </c>
      <c r="H707">
        <v>9</v>
      </c>
      <c r="I707">
        <v>23.6</v>
      </c>
      <c r="J707">
        <v>94</v>
      </c>
      <c r="K707">
        <v>62</v>
      </c>
      <c r="L707">
        <v>7988</v>
      </c>
      <c r="M707" t="str" cm="1">
        <f t="array" ref="M707">_xlfn.IFS(C707&lt;6,"Poor",C707&lt;=8,"Normal",TRUE,"High")</f>
        <v>High</v>
      </c>
    </row>
    <row r="708" spans="1:13" x14ac:dyDescent="0.2">
      <c r="A708">
        <v>707</v>
      </c>
      <c r="B708" cm="1">
        <f t="array" ref="B708:L708">_xlfn.XLOOKUP($A708,Instagram_Usage_Lifestyle_Mini_!$A:$A,Instagram_Usage_Lifestyle_Mini_!$L:$V,"Not Found")</f>
        <v>4.0999999999999996</v>
      </c>
      <c r="C708">
        <v>8.3000000000000007</v>
      </c>
      <c r="D708" t="str">
        <v>Good</v>
      </c>
      <c r="E708" t="str">
        <v>No</v>
      </c>
      <c r="F708" t="str">
        <v>Weekly</v>
      </c>
      <c r="G708">
        <v>22</v>
      </c>
      <c r="H708">
        <v>9</v>
      </c>
      <c r="I708">
        <v>24</v>
      </c>
      <c r="J708">
        <v>102</v>
      </c>
      <c r="K708">
        <v>99</v>
      </c>
      <c r="L708">
        <v>8000</v>
      </c>
      <c r="M708" t="str" cm="1">
        <f t="array" ref="M708">_xlfn.IFS(C708&lt;6,"Poor",C708&lt;=8,"Normal",TRUE,"High")</f>
        <v>High</v>
      </c>
    </row>
    <row r="709" spans="1:13" x14ac:dyDescent="0.2">
      <c r="A709">
        <v>708</v>
      </c>
      <c r="B709" cm="1">
        <f t="array" ref="B709:L709">_xlfn.XLOOKUP($A709,Instagram_Usage_Lifestyle_Mini_!$A:$A,Instagram_Usage_Lifestyle_Mini_!$L:$V,"Not Found")</f>
        <v>1.2</v>
      </c>
      <c r="C709">
        <v>6.3</v>
      </c>
      <c r="D709" t="str">
        <v>Good</v>
      </c>
      <c r="E709" t="str">
        <v>No</v>
      </c>
      <c r="F709" t="str">
        <v>Weekly</v>
      </c>
      <c r="G709">
        <v>32</v>
      </c>
      <c r="H709">
        <v>7</v>
      </c>
      <c r="I709">
        <v>21.9</v>
      </c>
      <c r="J709">
        <v>96</v>
      </c>
      <c r="K709">
        <v>67</v>
      </c>
      <c r="L709">
        <v>8039</v>
      </c>
      <c r="M709" t="str" cm="1">
        <f t="array" ref="M709">_xlfn.IFS(C709&lt;6,"Poor",C709&lt;=8,"Normal",TRUE,"High")</f>
        <v>Normal</v>
      </c>
    </row>
    <row r="710" spans="1:13" x14ac:dyDescent="0.2">
      <c r="A710">
        <v>709</v>
      </c>
      <c r="B710" cm="1">
        <f t="array" ref="B710:L710">_xlfn.XLOOKUP($A710,Instagram_Usage_Lifestyle_Mini_!$A:$A,Instagram_Usage_Lifestyle_Mini_!$L:$V,"Not Found")</f>
        <v>3.6</v>
      </c>
      <c r="C710">
        <v>7.8</v>
      </c>
      <c r="D710" t="str">
        <v>Average</v>
      </c>
      <c r="E710" t="str">
        <v>No</v>
      </c>
      <c r="F710" t="str">
        <v>Rarely</v>
      </c>
      <c r="G710">
        <v>1</v>
      </c>
      <c r="H710">
        <v>6</v>
      </c>
      <c r="I710">
        <v>25.5</v>
      </c>
      <c r="J710">
        <v>133</v>
      </c>
      <c r="K710">
        <v>71</v>
      </c>
      <c r="L710">
        <v>8085</v>
      </c>
      <c r="M710" t="str" cm="1">
        <f t="array" ref="M710">_xlfn.IFS(C710&lt;6,"Poor",C710&lt;=8,"Normal",TRUE,"High")</f>
        <v>Normal</v>
      </c>
    </row>
    <row r="711" spans="1:13" x14ac:dyDescent="0.2">
      <c r="A711">
        <v>710</v>
      </c>
      <c r="B711" cm="1">
        <f t="array" ref="B711:L711">_xlfn.XLOOKUP($A711,Instagram_Usage_Lifestyle_Mini_!$A:$A,Instagram_Usage_Lifestyle_Mini_!$L:$V,"Not Found")</f>
        <v>3.8</v>
      </c>
      <c r="C711">
        <v>6.4</v>
      </c>
      <c r="D711" t="str">
        <v>Average</v>
      </c>
      <c r="E711" t="str">
        <v>Former</v>
      </c>
      <c r="F711" t="str">
        <v>Weekly</v>
      </c>
      <c r="G711">
        <v>21</v>
      </c>
      <c r="H711">
        <v>7</v>
      </c>
      <c r="I711">
        <v>24.6</v>
      </c>
      <c r="J711">
        <v>154</v>
      </c>
      <c r="K711">
        <v>62</v>
      </c>
      <c r="L711">
        <v>7935</v>
      </c>
      <c r="M711" t="str" cm="1">
        <f t="array" ref="M711">_xlfn.IFS(C711&lt;6,"Poor",C711&lt;=8,"Normal",TRUE,"High")</f>
        <v>Normal</v>
      </c>
    </row>
    <row r="712" spans="1:13" x14ac:dyDescent="0.2">
      <c r="A712">
        <v>711</v>
      </c>
      <c r="B712" cm="1">
        <f t="array" ref="B712:L712">_xlfn.XLOOKUP($A712,Instagram_Usage_Lifestyle_Mini_!$A:$A,Instagram_Usage_Lifestyle_Mini_!$L:$V,"Not Found")</f>
        <v>14.5</v>
      </c>
      <c r="C712">
        <v>7.7</v>
      </c>
      <c r="D712" t="str">
        <v>Excellent</v>
      </c>
      <c r="E712" t="str">
        <v>No</v>
      </c>
      <c r="F712" t="str">
        <v>Never</v>
      </c>
      <c r="G712">
        <v>35</v>
      </c>
      <c r="H712">
        <v>2</v>
      </c>
      <c r="I712">
        <v>24</v>
      </c>
      <c r="J712">
        <v>110</v>
      </c>
      <c r="K712">
        <v>74</v>
      </c>
      <c r="L712">
        <v>8006</v>
      </c>
      <c r="M712" t="str" cm="1">
        <f t="array" ref="M712">_xlfn.IFS(C712&lt;6,"Poor",C712&lt;=8,"Normal",TRUE,"High")</f>
        <v>Normal</v>
      </c>
    </row>
    <row r="713" spans="1:13" x14ac:dyDescent="0.2">
      <c r="A713">
        <v>712</v>
      </c>
      <c r="B713" cm="1">
        <f t="array" ref="B713:L713">_xlfn.XLOOKUP($A713,Instagram_Usage_Lifestyle_Mini_!$A:$A,Instagram_Usage_Lifestyle_Mini_!$L:$V,"Not Found")</f>
        <v>12.8</v>
      </c>
      <c r="C713">
        <v>7.3</v>
      </c>
      <c r="D713" t="str">
        <v>Average</v>
      </c>
      <c r="E713" t="str">
        <v>No</v>
      </c>
      <c r="F713" t="str">
        <v>Never</v>
      </c>
      <c r="G713">
        <v>13</v>
      </c>
      <c r="H713">
        <v>10</v>
      </c>
      <c r="I713">
        <v>26.7</v>
      </c>
      <c r="J713">
        <v>93</v>
      </c>
      <c r="K713">
        <v>80</v>
      </c>
      <c r="L713">
        <v>7868</v>
      </c>
      <c r="M713" t="str" cm="1">
        <f t="array" ref="M713">_xlfn.IFS(C713&lt;6,"Poor",C713&lt;=8,"Normal",TRUE,"High")</f>
        <v>Normal</v>
      </c>
    </row>
    <row r="714" spans="1:13" x14ac:dyDescent="0.2">
      <c r="A714">
        <v>713</v>
      </c>
      <c r="B714" cm="1">
        <f t="array" ref="B714:L714">_xlfn.XLOOKUP($A714,Instagram_Usage_Lifestyle_Mini_!$A:$A,Instagram_Usage_Lifestyle_Mini_!$L:$V,"Not Found")</f>
        <v>4.9000000000000004</v>
      </c>
      <c r="C714">
        <v>6.9</v>
      </c>
      <c r="D714" t="str">
        <v>Excellent</v>
      </c>
      <c r="E714" t="str">
        <v>No</v>
      </c>
      <c r="F714" t="str">
        <v>Several_times_a_week</v>
      </c>
      <c r="G714">
        <v>40</v>
      </c>
      <c r="H714">
        <v>4</v>
      </c>
      <c r="I714">
        <v>24.1</v>
      </c>
      <c r="J714">
        <v>125</v>
      </c>
      <c r="K714">
        <v>80</v>
      </c>
      <c r="L714">
        <v>7932</v>
      </c>
      <c r="M714" t="str" cm="1">
        <f t="array" ref="M714">_xlfn.IFS(C714&lt;6,"Poor",C714&lt;=8,"Normal",TRUE,"High")</f>
        <v>Normal</v>
      </c>
    </row>
    <row r="715" spans="1:13" x14ac:dyDescent="0.2">
      <c r="A715">
        <v>714</v>
      </c>
      <c r="B715" cm="1">
        <f t="array" ref="B715:L715">_xlfn.XLOOKUP($A715,Instagram_Usage_Lifestyle_Mini_!$A:$A,Instagram_Usage_Lifestyle_Mini_!$L:$V,"Not Found")</f>
        <v>16.3</v>
      </c>
      <c r="C715">
        <v>7</v>
      </c>
      <c r="D715" t="str">
        <v>Average</v>
      </c>
      <c r="E715" t="str">
        <v>No</v>
      </c>
      <c r="F715" t="str">
        <v>Several_times_a_week</v>
      </c>
      <c r="G715">
        <v>3</v>
      </c>
      <c r="H715">
        <v>8</v>
      </c>
      <c r="I715">
        <v>25.2</v>
      </c>
      <c r="J715">
        <v>125</v>
      </c>
      <c r="K715">
        <v>97</v>
      </c>
      <c r="L715">
        <v>7896</v>
      </c>
      <c r="M715" t="str" cm="1">
        <f t="array" ref="M715">_xlfn.IFS(C715&lt;6,"Poor",C715&lt;=8,"Normal",TRUE,"High")</f>
        <v>Normal</v>
      </c>
    </row>
    <row r="716" spans="1:13" x14ac:dyDescent="0.2">
      <c r="A716">
        <v>715</v>
      </c>
      <c r="B716" cm="1">
        <f t="array" ref="B716:L716">_xlfn.XLOOKUP($A716,Instagram_Usage_Lifestyle_Mini_!$A:$A,Instagram_Usage_Lifestyle_Mini_!$L:$V,"Not Found")</f>
        <v>3.2</v>
      </c>
      <c r="C716">
        <v>7.8</v>
      </c>
      <c r="D716" t="str">
        <v>Average</v>
      </c>
      <c r="E716" t="str">
        <v>No</v>
      </c>
      <c r="F716" t="str">
        <v>Rarely</v>
      </c>
      <c r="G716">
        <v>17</v>
      </c>
      <c r="H716">
        <v>7</v>
      </c>
      <c r="I716">
        <v>23.2</v>
      </c>
      <c r="J716">
        <v>117</v>
      </c>
      <c r="K716">
        <v>84</v>
      </c>
      <c r="L716">
        <v>8040</v>
      </c>
      <c r="M716" t="str" cm="1">
        <f t="array" ref="M716">_xlfn.IFS(C716&lt;6,"Poor",C716&lt;=8,"Normal",TRUE,"High")</f>
        <v>Normal</v>
      </c>
    </row>
    <row r="717" spans="1:13" x14ac:dyDescent="0.2">
      <c r="A717">
        <v>716</v>
      </c>
      <c r="B717" cm="1">
        <f t="array" ref="B717:L717">_xlfn.XLOOKUP($A717,Instagram_Usage_Lifestyle_Mini_!$A:$A,Instagram_Usage_Lifestyle_Mini_!$L:$V,"Not Found")</f>
        <v>9.1</v>
      </c>
      <c r="C717">
        <v>5.8</v>
      </c>
      <c r="D717" t="str">
        <v>Average</v>
      </c>
      <c r="E717" t="str">
        <v>Yes</v>
      </c>
      <c r="F717" t="str">
        <v>Never</v>
      </c>
      <c r="G717">
        <v>1</v>
      </c>
      <c r="H717">
        <v>3</v>
      </c>
      <c r="I717">
        <v>23</v>
      </c>
      <c r="J717">
        <v>158</v>
      </c>
      <c r="K717">
        <v>69</v>
      </c>
      <c r="L717">
        <v>7881</v>
      </c>
      <c r="M717" t="str" cm="1">
        <f t="array" ref="M717">_xlfn.IFS(C717&lt;6,"Poor",C717&lt;=8,"Normal",TRUE,"High")</f>
        <v>Poor</v>
      </c>
    </row>
    <row r="718" spans="1:13" x14ac:dyDescent="0.2">
      <c r="A718">
        <v>717</v>
      </c>
      <c r="B718" cm="1">
        <f t="array" ref="B718:L718">_xlfn.XLOOKUP($A718,Instagram_Usage_Lifestyle_Mini_!$A:$A,Instagram_Usage_Lifestyle_Mini_!$L:$V,"Not Found")</f>
        <v>3.8</v>
      </c>
      <c r="C718">
        <v>7.4</v>
      </c>
      <c r="D718" t="str">
        <v>Excellent</v>
      </c>
      <c r="E718" t="str">
        <v>No</v>
      </c>
      <c r="F718" t="str">
        <v>Never</v>
      </c>
      <c r="G718">
        <v>8</v>
      </c>
      <c r="H718">
        <v>3</v>
      </c>
      <c r="I718">
        <v>21.2</v>
      </c>
      <c r="J718">
        <v>130</v>
      </c>
      <c r="K718">
        <v>92</v>
      </c>
      <c r="L718">
        <v>8128</v>
      </c>
      <c r="M718" t="str" cm="1">
        <f t="array" ref="M718">_xlfn.IFS(C718&lt;6,"Poor",C718&lt;=8,"Normal",TRUE,"High")</f>
        <v>Normal</v>
      </c>
    </row>
    <row r="719" spans="1:13" x14ac:dyDescent="0.2">
      <c r="A719">
        <v>718</v>
      </c>
      <c r="B719" cm="1">
        <f t="array" ref="B719:L719">_xlfn.XLOOKUP($A719,Instagram_Usage_Lifestyle_Mini_!$A:$A,Instagram_Usage_Lifestyle_Mini_!$L:$V,"Not Found")</f>
        <v>6.3</v>
      </c>
      <c r="C719">
        <v>7.5</v>
      </c>
      <c r="D719" t="str">
        <v>Average</v>
      </c>
      <c r="E719" t="str">
        <v>Yes</v>
      </c>
      <c r="F719" t="str">
        <v>Rarely</v>
      </c>
      <c r="G719">
        <v>5</v>
      </c>
      <c r="H719">
        <v>2</v>
      </c>
      <c r="I719">
        <v>27.5</v>
      </c>
      <c r="J719">
        <v>143</v>
      </c>
      <c r="K719">
        <v>81</v>
      </c>
      <c r="L719">
        <v>7947</v>
      </c>
      <c r="M719" t="str" cm="1">
        <f t="array" ref="M719">_xlfn.IFS(C719&lt;6,"Poor",C719&lt;=8,"Normal",TRUE,"High")</f>
        <v>Normal</v>
      </c>
    </row>
    <row r="720" spans="1:13" x14ac:dyDescent="0.2">
      <c r="A720">
        <v>719</v>
      </c>
      <c r="B720" cm="1">
        <f t="array" ref="B720:L720">_xlfn.XLOOKUP($A720,Instagram_Usage_Lifestyle_Mini_!$A:$A,Instagram_Usage_Lifestyle_Mini_!$L:$V,"Not Found")</f>
        <v>5.4</v>
      </c>
      <c r="C720">
        <v>6.1</v>
      </c>
      <c r="D720" t="str">
        <v>Good</v>
      </c>
      <c r="E720" t="str">
        <v>No</v>
      </c>
      <c r="F720" t="str">
        <v>Weekly</v>
      </c>
      <c r="G720">
        <v>15</v>
      </c>
      <c r="H720">
        <v>4</v>
      </c>
      <c r="I720">
        <v>22.3</v>
      </c>
      <c r="J720">
        <v>154</v>
      </c>
      <c r="K720">
        <v>98</v>
      </c>
      <c r="L720">
        <v>7918</v>
      </c>
      <c r="M720" t="str" cm="1">
        <f t="array" ref="M720">_xlfn.IFS(C720&lt;6,"Poor",C720&lt;=8,"Normal",TRUE,"High")</f>
        <v>Normal</v>
      </c>
    </row>
    <row r="721" spans="1:13" x14ac:dyDescent="0.2">
      <c r="A721">
        <v>720</v>
      </c>
      <c r="B721" cm="1">
        <f t="array" ref="B721:L721">_xlfn.XLOOKUP($A721,Instagram_Usage_Lifestyle_Mini_!$A:$A,Instagram_Usage_Lifestyle_Mini_!$L:$V,"Not Found")</f>
        <v>4.9000000000000004</v>
      </c>
      <c r="C721">
        <v>7.6</v>
      </c>
      <c r="D721" t="str">
        <v>Average</v>
      </c>
      <c r="E721" t="str">
        <v>Yes</v>
      </c>
      <c r="F721" t="str">
        <v>Weekly</v>
      </c>
      <c r="G721">
        <v>18</v>
      </c>
      <c r="H721">
        <v>8</v>
      </c>
      <c r="I721">
        <v>35</v>
      </c>
      <c r="J721">
        <v>117</v>
      </c>
      <c r="K721">
        <v>80</v>
      </c>
      <c r="L721">
        <v>8091</v>
      </c>
      <c r="M721" t="str" cm="1">
        <f t="array" ref="M721">_xlfn.IFS(C721&lt;6,"Poor",C721&lt;=8,"Normal",TRUE,"High")</f>
        <v>Normal</v>
      </c>
    </row>
    <row r="722" spans="1:13" x14ac:dyDescent="0.2">
      <c r="A722">
        <v>721</v>
      </c>
      <c r="B722" cm="1">
        <f t="array" ref="B722:L722">_xlfn.XLOOKUP($A722,Instagram_Usage_Lifestyle_Mini_!$A:$A,Instagram_Usage_Lifestyle_Mini_!$L:$V,"Not Found")</f>
        <v>6.4</v>
      </c>
      <c r="C722">
        <v>7.5</v>
      </c>
      <c r="D722" t="str">
        <v>Average</v>
      </c>
      <c r="E722" t="str">
        <v>No</v>
      </c>
      <c r="F722" t="str">
        <v>Rarely</v>
      </c>
      <c r="G722">
        <v>5</v>
      </c>
      <c r="H722">
        <v>7</v>
      </c>
      <c r="I722">
        <v>18.5</v>
      </c>
      <c r="J722">
        <v>92</v>
      </c>
      <c r="K722">
        <v>67</v>
      </c>
      <c r="L722">
        <v>7852</v>
      </c>
      <c r="M722" t="str" cm="1">
        <f t="array" ref="M722">_xlfn.IFS(C722&lt;6,"Poor",C722&lt;=8,"Normal",TRUE,"High")</f>
        <v>Normal</v>
      </c>
    </row>
    <row r="723" spans="1:13" x14ac:dyDescent="0.2">
      <c r="A723">
        <v>722</v>
      </c>
      <c r="B723" cm="1">
        <f t="array" ref="B723:L723">_xlfn.XLOOKUP($A723,Instagram_Usage_Lifestyle_Mini_!$A:$A,Instagram_Usage_Lifestyle_Mini_!$L:$V,"Not Found")</f>
        <v>12.9</v>
      </c>
      <c r="C723">
        <v>6.3</v>
      </c>
      <c r="D723" t="str">
        <v>Very_poor</v>
      </c>
      <c r="E723" t="str">
        <v>No</v>
      </c>
      <c r="F723" t="str">
        <v>Rarely</v>
      </c>
      <c r="G723">
        <v>17</v>
      </c>
      <c r="H723">
        <v>6</v>
      </c>
      <c r="I723">
        <v>25.2</v>
      </c>
      <c r="J723">
        <v>98</v>
      </c>
      <c r="K723">
        <v>67</v>
      </c>
      <c r="L723">
        <v>8058</v>
      </c>
      <c r="M723" t="str" cm="1">
        <f t="array" ref="M723">_xlfn.IFS(C723&lt;6,"Poor",C723&lt;=8,"Normal",TRUE,"High")</f>
        <v>Normal</v>
      </c>
    </row>
    <row r="724" spans="1:13" x14ac:dyDescent="0.2">
      <c r="A724">
        <v>723</v>
      </c>
      <c r="B724" cm="1">
        <f t="array" ref="B724:L724">_xlfn.XLOOKUP($A724,Instagram_Usage_Lifestyle_Mini_!$A:$A,Instagram_Usage_Lifestyle_Mini_!$L:$V,"Not Found")</f>
        <v>1.7</v>
      </c>
      <c r="C724">
        <v>5.0999999999999996</v>
      </c>
      <c r="D724" t="str">
        <v>Poor</v>
      </c>
      <c r="E724" t="str">
        <v>No</v>
      </c>
      <c r="F724" t="str">
        <v>Never</v>
      </c>
      <c r="G724">
        <v>23</v>
      </c>
      <c r="H724">
        <v>6</v>
      </c>
      <c r="I724">
        <v>30.1</v>
      </c>
      <c r="J724">
        <v>131</v>
      </c>
      <c r="K724">
        <v>97</v>
      </c>
      <c r="L724">
        <v>8024</v>
      </c>
      <c r="M724" t="str" cm="1">
        <f t="array" ref="M724">_xlfn.IFS(C724&lt;6,"Poor",C724&lt;=8,"Normal",TRUE,"High")</f>
        <v>Poor</v>
      </c>
    </row>
    <row r="725" spans="1:13" x14ac:dyDescent="0.2">
      <c r="A725">
        <v>724</v>
      </c>
      <c r="B725" cm="1">
        <f t="array" ref="B725:L725">_xlfn.XLOOKUP($A725,Instagram_Usage_Lifestyle_Mini_!$A:$A,Instagram_Usage_Lifestyle_Mini_!$L:$V,"Not Found")</f>
        <v>10.3</v>
      </c>
      <c r="C725">
        <v>6.4</v>
      </c>
      <c r="D725" t="str">
        <v>Very_poor</v>
      </c>
      <c r="E725" t="str">
        <v>No</v>
      </c>
      <c r="F725" t="str">
        <v>Several_times_a_week</v>
      </c>
      <c r="G725">
        <v>2</v>
      </c>
      <c r="H725">
        <v>2</v>
      </c>
      <c r="I725">
        <v>26.1</v>
      </c>
      <c r="J725">
        <v>159</v>
      </c>
      <c r="K725">
        <v>68</v>
      </c>
      <c r="L725">
        <v>7925</v>
      </c>
      <c r="M725" t="str" cm="1">
        <f t="array" ref="M725">_xlfn.IFS(C725&lt;6,"Poor",C725&lt;=8,"Normal",TRUE,"High")</f>
        <v>Normal</v>
      </c>
    </row>
    <row r="726" spans="1:13" x14ac:dyDescent="0.2">
      <c r="A726">
        <v>725</v>
      </c>
      <c r="B726" cm="1">
        <f t="array" ref="B726:L726">_xlfn.XLOOKUP($A726,Instagram_Usage_Lifestyle_Mini_!$A:$A,Instagram_Usage_Lifestyle_Mini_!$L:$V,"Not Found")</f>
        <v>9.3000000000000007</v>
      </c>
      <c r="C726">
        <v>6.8</v>
      </c>
      <c r="D726" t="str">
        <v>Average</v>
      </c>
      <c r="E726" t="str">
        <v>No</v>
      </c>
      <c r="F726" t="str">
        <v>Rarely</v>
      </c>
      <c r="G726">
        <v>22</v>
      </c>
      <c r="H726">
        <v>7</v>
      </c>
      <c r="I726">
        <v>28.4</v>
      </c>
      <c r="J726">
        <v>140</v>
      </c>
      <c r="K726">
        <v>86</v>
      </c>
      <c r="L726">
        <v>7980</v>
      </c>
      <c r="M726" t="str" cm="1">
        <f t="array" ref="M726">_xlfn.IFS(C726&lt;6,"Poor",C726&lt;=8,"Normal",TRUE,"High")</f>
        <v>Normal</v>
      </c>
    </row>
    <row r="727" spans="1:13" x14ac:dyDescent="0.2">
      <c r="A727">
        <v>726</v>
      </c>
      <c r="B727" cm="1">
        <f t="array" ref="B727:L727">_xlfn.XLOOKUP($A727,Instagram_Usage_Lifestyle_Mini_!$A:$A,Instagram_Usage_Lifestyle_Mini_!$L:$V,"Not Found")</f>
        <v>5.4</v>
      </c>
      <c r="C727">
        <v>5.4</v>
      </c>
      <c r="D727" t="str">
        <v>Good</v>
      </c>
      <c r="E727" t="str">
        <v>Former</v>
      </c>
      <c r="F727" t="str">
        <v>Rarely</v>
      </c>
      <c r="G727">
        <v>1</v>
      </c>
      <c r="H727">
        <v>5</v>
      </c>
      <c r="I727">
        <v>26.6</v>
      </c>
      <c r="J727">
        <v>125</v>
      </c>
      <c r="K727">
        <v>92</v>
      </c>
      <c r="L727">
        <v>7918</v>
      </c>
      <c r="M727" t="str" cm="1">
        <f t="array" ref="M727">_xlfn.IFS(C727&lt;6,"Poor",C727&lt;=8,"Normal",TRUE,"High")</f>
        <v>Poor</v>
      </c>
    </row>
    <row r="728" spans="1:13" x14ac:dyDescent="0.2">
      <c r="A728">
        <v>727</v>
      </c>
      <c r="B728" cm="1">
        <f t="array" ref="B728:L728">_xlfn.XLOOKUP($A728,Instagram_Usage_Lifestyle_Mini_!$A:$A,Instagram_Usage_Lifestyle_Mini_!$L:$V,"Not Found")</f>
        <v>11.4</v>
      </c>
      <c r="C728">
        <v>6.1</v>
      </c>
      <c r="D728" t="str">
        <v>Average</v>
      </c>
      <c r="E728" t="str">
        <v>No</v>
      </c>
      <c r="F728" t="str">
        <v>Weekly</v>
      </c>
      <c r="G728">
        <v>38</v>
      </c>
      <c r="H728">
        <v>8</v>
      </c>
      <c r="I728">
        <v>22.5</v>
      </c>
      <c r="J728">
        <v>135</v>
      </c>
      <c r="K728">
        <v>61</v>
      </c>
      <c r="L728">
        <v>7955</v>
      </c>
      <c r="M728" t="str" cm="1">
        <f t="array" ref="M728">_xlfn.IFS(C728&lt;6,"Poor",C728&lt;=8,"Normal",TRUE,"High")</f>
        <v>Normal</v>
      </c>
    </row>
    <row r="729" spans="1:13" x14ac:dyDescent="0.2">
      <c r="A729">
        <v>728</v>
      </c>
      <c r="B729" cm="1">
        <f t="array" ref="B729:L729">_xlfn.XLOOKUP($A729,Instagram_Usage_Lifestyle_Mini_!$A:$A,Instagram_Usage_Lifestyle_Mini_!$L:$V,"Not Found")</f>
        <v>12.3</v>
      </c>
      <c r="C729">
        <v>6.9</v>
      </c>
      <c r="D729" t="str">
        <v>Average</v>
      </c>
      <c r="E729" t="str">
        <v>No</v>
      </c>
      <c r="F729" t="str">
        <v>Rarely</v>
      </c>
      <c r="G729">
        <v>14</v>
      </c>
      <c r="H729">
        <v>10</v>
      </c>
      <c r="I729">
        <v>29.6</v>
      </c>
      <c r="J729">
        <v>135</v>
      </c>
      <c r="K729">
        <v>92</v>
      </c>
      <c r="L729">
        <v>8046</v>
      </c>
      <c r="M729" t="str" cm="1">
        <f t="array" ref="M729">_xlfn.IFS(C729&lt;6,"Poor",C729&lt;=8,"Normal",TRUE,"High")</f>
        <v>Normal</v>
      </c>
    </row>
    <row r="730" spans="1:13" x14ac:dyDescent="0.2">
      <c r="A730">
        <v>729</v>
      </c>
      <c r="B730" cm="1">
        <f t="array" ref="B730:L730">_xlfn.XLOOKUP($A730,Instagram_Usage_Lifestyle_Mini_!$A:$A,Instagram_Usage_Lifestyle_Mini_!$L:$V,"Not Found")</f>
        <v>7.6</v>
      </c>
      <c r="C730">
        <v>6.9</v>
      </c>
      <c r="D730" t="str">
        <v>Average</v>
      </c>
      <c r="E730" t="str">
        <v>No</v>
      </c>
      <c r="F730" t="str">
        <v>Never</v>
      </c>
      <c r="G730">
        <v>1</v>
      </c>
      <c r="H730">
        <v>10</v>
      </c>
      <c r="I730">
        <v>26.1</v>
      </c>
      <c r="J730">
        <v>143</v>
      </c>
      <c r="K730">
        <v>94</v>
      </c>
      <c r="L730">
        <v>7956</v>
      </c>
      <c r="M730" t="str" cm="1">
        <f t="array" ref="M730">_xlfn.IFS(C730&lt;6,"Poor",C730&lt;=8,"Normal",TRUE,"High")</f>
        <v>Normal</v>
      </c>
    </row>
    <row r="731" spans="1:13" x14ac:dyDescent="0.2">
      <c r="A731">
        <v>730</v>
      </c>
      <c r="B731" cm="1">
        <f t="array" ref="B731:L731">_xlfn.XLOOKUP($A731,Instagram_Usage_Lifestyle_Mini_!$A:$A,Instagram_Usage_Lifestyle_Mini_!$L:$V,"Not Found")</f>
        <v>0.9</v>
      </c>
      <c r="C731">
        <v>7.9</v>
      </c>
      <c r="D731" t="str">
        <v>Good</v>
      </c>
      <c r="E731" t="str">
        <v>No</v>
      </c>
      <c r="F731" t="str">
        <v>Rarely</v>
      </c>
      <c r="G731">
        <v>13</v>
      </c>
      <c r="H731">
        <v>9</v>
      </c>
      <c r="I731">
        <v>23.1</v>
      </c>
      <c r="J731">
        <v>119</v>
      </c>
      <c r="K731">
        <v>94</v>
      </c>
      <c r="L731">
        <v>7819</v>
      </c>
      <c r="M731" t="str" cm="1">
        <f t="array" ref="M731">_xlfn.IFS(C731&lt;6,"Poor",C731&lt;=8,"Normal",TRUE,"High")</f>
        <v>Normal</v>
      </c>
    </row>
    <row r="732" spans="1:13" x14ac:dyDescent="0.2">
      <c r="A732">
        <v>731</v>
      </c>
      <c r="B732" cm="1">
        <f t="array" ref="B732:L732">_xlfn.XLOOKUP($A732,Instagram_Usage_Lifestyle_Mini_!$A:$A,Instagram_Usage_Lifestyle_Mini_!$L:$V,"Not Found")</f>
        <v>7</v>
      </c>
      <c r="C732">
        <v>6.3</v>
      </c>
      <c r="D732" t="str">
        <v>Average</v>
      </c>
      <c r="E732" t="str">
        <v>No</v>
      </c>
      <c r="F732" t="str">
        <v>Weekly</v>
      </c>
      <c r="G732">
        <v>15</v>
      </c>
      <c r="H732">
        <v>4</v>
      </c>
      <c r="I732">
        <v>20.3</v>
      </c>
      <c r="J732">
        <v>90</v>
      </c>
      <c r="K732">
        <v>66</v>
      </c>
      <c r="L732">
        <v>8035</v>
      </c>
      <c r="M732" t="str" cm="1">
        <f t="array" ref="M732">_xlfn.IFS(C732&lt;6,"Poor",C732&lt;=8,"Normal",TRUE,"High")</f>
        <v>Normal</v>
      </c>
    </row>
    <row r="733" spans="1:13" x14ac:dyDescent="0.2">
      <c r="A733">
        <v>732</v>
      </c>
      <c r="B733" cm="1">
        <f t="array" ref="B733:L733">_xlfn.XLOOKUP($A733,Instagram_Usage_Lifestyle_Mini_!$A:$A,Instagram_Usage_Lifestyle_Mini_!$L:$V,"Not Found")</f>
        <v>3.7</v>
      </c>
      <c r="C733">
        <v>6.9</v>
      </c>
      <c r="D733" t="str">
        <v>Average</v>
      </c>
      <c r="E733" t="str">
        <v>Yes</v>
      </c>
      <c r="F733" t="str">
        <v>Never</v>
      </c>
      <c r="G733">
        <v>0</v>
      </c>
      <c r="H733">
        <v>5</v>
      </c>
      <c r="I733">
        <v>26.2</v>
      </c>
      <c r="J733">
        <v>113</v>
      </c>
      <c r="K733">
        <v>80</v>
      </c>
      <c r="L733">
        <v>8009</v>
      </c>
      <c r="M733" t="str" cm="1">
        <f t="array" ref="M733">_xlfn.IFS(C733&lt;6,"Poor",C733&lt;=8,"Normal",TRUE,"High")</f>
        <v>Normal</v>
      </c>
    </row>
    <row r="734" spans="1:13" x14ac:dyDescent="0.2">
      <c r="A734">
        <v>733</v>
      </c>
      <c r="B734" cm="1">
        <f t="array" ref="B734:L734">_xlfn.XLOOKUP($A734,Instagram_Usage_Lifestyle_Mini_!$A:$A,Instagram_Usage_Lifestyle_Mini_!$L:$V,"Not Found")</f>
        <v>4.2</v>
      </c>
      <c r="C734">
        <v>7.3</v>
      </c>
      <c r="D734" t="str">
        <v>Good</v>
      </c>
      <c r="E734" t="str">
        <v>No</v>
      </c>
      <c r="F734" t="str">
        <v>Weekly</v>
      </c>
      <c r="G734">
        <v>15</v>
      </c>
      <c r="H734">
        <v>8</v>
      </c>
      <c r="I734">
        <v>32.200000000000003</v>
      </c>
      <c r="J734">
        <v>153</v>
      </c>
      <c r="K734">
        <v>80</v>
      </c>
      <c r="L734">
        <v>8016</v>
      </c>
      <c r="M734" t="str" cm="1">
        <f t="array" ref="M734">_xlfn.IFS(C734&lt;6,"Poor",C734&lt;=8,"Normal",TRUE,"High")</f>
        <v>Normal</v>
      </c>
    </row>
    <row r="735" spans="1:13" x14ac:dyDescent="0.2">
      <c r="A735">
        <v>734</v>
      </c>
      <c r="B735" cm="1">
        <f t="array" ref="B735:L735">_xlfn.XLOOKUP($A735,Instagram_Usage_Lifestyle_Mini_!$A:$A,Instagram_Usage_Lifestyle_Mini_!$L:$V,"Not Found")</f>
        <v>4.3</v>
      </c>
      <c r="C735">
        <v>5</v>
      </c>
      <c r="D735" t="str">
        <v>Excellent</v>
      </c>
      <c r="E735" t="str">
        <v>No</v>
      </c>
      <c r="F735" t="str">
        <v>Several_times_a_week</v>
      </c>
      <c r="G735">
        <v>37</v>
      </c>
      <c r="H735">
        <v>7</v>
      </c>
      <c r="I735">
        <v>24.1</v>
      </c>
      <c r="J735">
        <v>124</v>
      </c>
      <c r="K735">
        <v>77</v>
      </c>
      <c r="L735">
        <v>8029</v>
      </c>
      <c r="M735" t="str" cm="1">
        <f t="array" ref="M735">_xlfn.IFS(C735&lt;6,"Poor",C735&lt;=8,"Normal",TRUE,"High")</f>
        <v>Poor</v>
      </c>
    </row>
    <row r="736" spans="1:13" x14ac:dyDescent="0.2">
      <c r="A736">
        <v>735</v>
      </c>
      <c r="B736" cm="1">
        <f t="array" ref="B736:L736">_xlfn.XLOOKUP($A736,Instagram_Usage_Lifestyle_Mini_!$A:$A,Instagram_Usage_Lifestyle_Mini_!$L:$V,"Not Found")</f>
        <v>6.3</v>
      </c>
      <c r="C736">
        <v>5.8</v>
      </c>
      <c r="D736" t="str">
        <v>Average</v>
      </c>
      <c r="E736" t="str">
        <v>Yes</v>
      </c>
      <c r="F736" t="str">
        <v>Rarely</v>
      </c>
      <c r="G736">
        <v>23</v>
      </c>
      <c r="H736">
        <v>7</v>
      </c>
      <c r="I736">
        <v>23.2</v>
      </c>
      <c r="J736">
        <v>143</v>
      </c>
      <c r="K736">
        <v>81</v>
      </c>
      <c r="L736">
        <v>8027</v>
      </c>
      <c r="M736" t="str" cm="1">
        <f t="array" ref="M736">_xlfn.IFS(C736&lt;6,"Poor",C736&lt;=8,"Normal",TRUE,"High")</f>
        <v>Poor</v>
      </c>
    </row>
    <row r="737" spans="1:13" x14ac:dyDescent="0.2">
      <c r="A737">
        <v>736</v>
      </c>
      <c r="B737" cm="1">
        <f t="array" ref="B737:L737">_xlfn.XLOOKUP($A737,Instagram_Usage_Lifestyle_Mini_!$A:$A,Instagram_Usage_Lifestyle_Mini_!$L:$V,"Not Found")</f>
        <v>6.6</v>
      </c>
      <c r="C737">
        <v>7.8</v>
      </c>
      <c r="D737" t="str">
        <v>Average</v>
      </c>
      <c r="E737" t="str">
        <v>No</v>
      </c>
      <c r="F737" t="str">
        <v>Never</v>
      </c>
      <c r="G737">
        <v>10</v>
      </c>
      <c r="H737">
        <v>6</v>
      </c>
      <c r="I737">
        <v>33.799999999999997</v>
      </c>
      <c r="J737">
        <v>95</v>
      </c>
      <c r="K737">
        <v>89</v>
      </c>
      <c r="L737">
        <v>8099</v>
      </c>
      <c r="M737" t="str" cm="1">
        <f t="array" ref="M737">_xlfn.IFS(C737&lt;6,"Poor",C737&lt;=8,"Normal",TRUE,"High")</f>
        <v>Normal</v>
      </c>
    </row>
    <row r="738" spans="1:13" x14ac:dyDescent="0.2">
      <c r="A738">
        <v>737</v>
      </c>
      <c r="B738" cm="1">
        <f t="array" ref="B738:L738">_xlfn.XLOOKUP($A738,Instagram_Usage_Lifestyle_Mini_!$A:$A,Instagram_Usage_Lifestyle_Mini_!$L:$V,"Not Found")</f>
        <v>9.1999999999999993</v>
      </c>
      <c r="C738">
        <v>7.5</v>
      </c>
      <c r="D738" t="str">
        <v>Average</v>
      </c>
      <c r="E738" t="str">
        <v>No</v>
      </c>
      <c r="F738" t="str">
        <v>Rarely</v>
      </c>
      <c r="G738">
        <v>1</v>
      </c>
      <c r="H738">
        <v>3</v>
      </c>
      <c r="I738">
        <v>24.2</v>
      </c>
      <c r="J738">
        <v>116</v>
      </c>
      <c r="K738">
        <v>83</v>
      </c>
      <c r="L738">
        <v>7969</v>
      </c>
      <c r="M738" t="str" cm="1">
        <f t="array" ref="M738">_xlfn.IFS(C738&lt;6,"Poor",C738&lt;=8,"Normal",TRUE,"High")</f>
        <v>Normal</v>
      </c>
    </row>
    <row r="739" spans="1:13" x14ac:dyDescent="0.2">
      <c r="A739">
        <v>738</v>
      </c>
      <c r="B739" cm="1">
        <f t="array" ref="B739:L739">_xlfn.XLOOKUP($A739,Instagram_Usage_Lifestyle_Mini_!$A:$A,Instagram_Usage_Lifestyle_Mini_!$L:$V,"Not Found")</f>
        <v>8.8000000000000007</v>
      </c>
      <c r="C739">
        <v>7.3</v>
      </c>
      <c r="D739" t="str">
        <v>Good</v>
      </c>
      <c r="E739" t="str">
        <v>No</v>
      </c>
      <c r="F739" t="str">
        <v>Several_times_a_week</v>
      </c>
      <c r="G739">
        <v>32</v>
      </c>
      <c r="H739">
        <v>9</v>
      </c>
      <c r="I739">
        <v>26</v>
      </c>
      <c r="J739">
        <v>130</v>
      </c>
      <c r="K739">
        <v>71</v>
      </c>
      <c r="L739">
        <v>8041</v>
      </c>
      <c r="M739" t="str" cm="1">
        <f t="array" ref="M739">_xlfn.IFS(C739&lt;6,"Poor",C739&lt;=8,"Normal",TRUE,"High")</f>
        <v>Normal</v>
      </c>
    </row>
    <row r="740" spans="1:13" x14ac:dyDescent="0.2">
      <c r="A740">
        <v>739</v>
      </c>
      <c r="B740" cm="1">
        <f t="array" ref="B740:L740">_xlfn.XLOOKUP($A740,Instagram_Usage_Lifestyle_Mini_!$A:$A,Instagram_Usage_Lifestyle_Mini_!$L:$V,"Not Found")</f>
        <v>7.5</v>
      </c>
      <c r="C740">
        <v>6.1</v>
      </c>
      <c r="D740" t="str">
        <v>Poor</v>
      </c>
      <c r="E740" t="str">
        <v>No</v>
      </c>
      <c r="F740" t="str">
        <v>Rarely</v>
      </c>
      <c r="G740">
        <v>25</v>
      </c>
      <c r="H740">
        <v>9</v>
      </c>
      <c r="I740">
        <v>17.100000000000001</v>
      </c>
      <c r="J740">
        <v>120</v>
      </c>
      <c r="K740">
        <v>65</v>
      </c>
      <c r="L740">
        <v>7946</v>
      </c>
      <c r="M740" t="str" cm="1">
        <f t="array" ref="M740">_xlfn.IFS(C740&lt;6,"Poor",C740&lt;=8,"Normal",TRUE,"High")</f>
        <v>Normal</v>
      </c>
    </row>
    <row r="741" spans="1:13" x14ac:dyDescent="0.2">
      <c r="A741">
        <v>740</v>
      </c>
      <c r="B741" cm="1">
        <f t="array" ref="B741:L741">_xlfn.XLOOKUP($A741,Instagram_Usage_Lifestyle_Mini_!$A:$A,Instagram_Usage_Lifestyle_Mini_!$L:$V,"Not Found")</f>
        <v>6.4</v>
      </c>
      <c r="C741">
        <v>8.1999999999999993</v>
      </c>
      <c r="D741" t="str">
        <v>Good</v>
      </c>
      <c r="E741" t="str">
        <v>Yes</v>
      </c>
      <c r="F741" t="str">
        <v>Weekly</v>
      </c>
      <c r="G741">
        <v>3</v>
      </c>
      <c r="H741">
        <v>1</v>
      </c>
      <c r="I741">
        <v>24</v>
      </c>
      <c r="J741">
        <v>134</v>
      </c>
      <c r="K741">
        <v>84</v>
      </c>
      <c r="L741">
        <v>7993</v>
      </c>
      <c r="M741" t="str" cm="1">
        <f t="array" ref="M741">_xlfn.IFS(C741&lt;6,"Poor",C741&lt;=8,"Normal",TRUE,"High")</f>
        <v>High</v>
      </c>
    </row>
    <row r="742" spans="1:13" x14ac:dyDescent="0.2">
      <c r="A742">
        <v>741</v>
      </c>
      <c r="B742" cm="1">
        <f t="array" ref="B742:L742">_xlfn.XLOOKUP($A742,Instagram_Usage_Lifestyle_Mini_!$A:$A,Instagram_Usage_Lifestyle_Mini_!$L:$V,"Not Found")</f>
        <v>16</v>
      </c>
      <c r="C742">
        <v>7.3</v>
      </c>
      <c r="D742" t="str">
        <v>Average</v>
      </c>
      <c r="E742" t="str">
        <v>No</v>
      </c>
      <c r="F742" t="str">
        <v>Never</v>
      </c>
      <c r="G742">
        <v>12</v>
      </c>
      <c r="H742">
        <v>6</v>
      </c>
      <c r="I742">
        <v>29.3</v>
      </c>
      <c r="J742">
        <v>120</v>
      </c>
      <c r="K742">
        <v>60</v>
      </c>
      <c r="L742">
        <v>7969</v>
      </c>
      <c r="M742" t="str" cm="1">
        <f t="array" ref="M742">_xlfn.IFS(C742&lt;6,"Poor",C742&lt;=8,"Normal",TRUE,"High")</f>
        <v>Normal</v>
      </c>
    </row>
    <row r="743" spans="1:13" x14ac:dyDescent="0.2">
      <c r="A743">
        <v>742</v>
      </c>
      <c r="B743" cm="1">
        <f t="array" ref="B743:L743">_xlfn.XLOOKUP($A743,Instagram_Usage_Lifestyle_Mini_!$A:$A,Instagram_Usage_Lifestyle_Mini_!$L:$V,"Not Found")</f>
        <v>8.4</v>
      </c>
      <c r="C743">
        <v>6.3</v>
      </c>
      <c r="D743" t="str">
        <v>Very_poor</v>
      </c>
      <c r="E743" t="str">
        <v>Yes</v>
      </c>
      <c r="F743" t="str">
        <v>Several_times_a_week</v>
      </c>
      <c r="G743">
        <v>30</v>
      </c>
      <c r="H743">
        <v>4</v>
      </c>
      <c r="I743">
        <v>32</v>
      </c>
      <c r="J743">
        <v>127</v>
      </c>
      <c r="K743">
        <v>84</v>
      </c>
      <c r="L743">
        <v>8084</v>
      </c>
      <c r="M743" t="str" cm="1">
        <f t="array" ref="M743">_xlfn.IFS(C743&lt;6,"Poor",C743&lt;=8,"Normal",TRUE,"High")</f>
        <v>Normal</v>
      </c>
    </row>
    <row r="744" spans="1:13" x14ac:dyDescent="0.2">
      <c r="A744">
        <v>743</v>
      </c>
      <c r="B744" cm="1">
        <f t="array" ref="B744:L744">_xlfn.XLOOKUP($A744,Instagram_Usage_Lifestyle_Mini_!$A:$A,Instagram_Usage_Lifestyle_Mini_!$L:$V,"Not Found")</f>
        <v>4.7</v>
      </c>
      <c r="C744">
        <v>7.3</v>
      </c>
      <c r="D744" t="str">
        <v>Average</v>
      </c>
      <c r="E744" t="str">
        <v>No</v>
      </c>
      <c r="F744" t="str">
        <v>Several_times_a_week</v>
      </c>
      <c r="G744">
        <v>19</v>
      </c>
      <c r="H744">
        <v>8</v>
      </c>
      <c r="I744">
        <v>23.9</v>
      </c>
      <c r="J744">
        <v>92</v>
      </c>
      <c r="K744">
        <v>90</v>
      </c>
      <c r="L744">
        <v>8158</v>
      </c>
      <c r="M744" t="str" cm="1">
        <f t="array" ref="M744">_xlfn.IFS(C744&lt;6,"Poor",C744&lt;=8,"Normal",TRUE,"High")</f>
        <v>Normal</v>
      </c>
    </row>
    <row r="745" spans="1:13" x14ac:dyDescent="0.2">
      <c r="A745">
        <v>744</v>
      </c>
      <c r="B745" cm="1">
        <f t="array" ref="B745:L745">_xlfn.XLOOKUP($A745,Instagram_Usage_Lifestyle_Mini_!$A:$A,Instagram_Usage_Lifestyle_Mini_!$L:$V,"Not Found")</f>
        <v>6.7</v>
      </c>
      <c r="C745">
        <v>9.6</v>
      </c>
      <c r="D745" t="str">
        <v>Good</v>
      </c>
      <c r="E745" t="str">
        <v>No</v>
      </c>
      <c r="F745" t="str">
        <v>Daily</v>
      </c>
      <c r="G745">
        <v>32</v>
      </c>
      <c r="H745">
        <v>2</v>
      </c>
      <c r="I745">
        <v>25.8</v>
      </c>
      <c r="J745">
        <v>138</v>
      </c>
      <c r="K745">
        <v>77</v>
      </c>
      <c r="L745">
        <v>7970</v>
      </c>
      <c r="M745" t="str" cm="1">
        <f t="array" ref="M745">_xlfn.IFS(C745&lt;6,"Poor",C745&lt;=8,"Normal",TRUE,"High")</f>
        <v>High</v>
      </c>
    </row>
    <row r="746" spans="1:13" x14ac:dyDescent="0.2">
      <c r="A746">
        <v>745</v>
      </c>
      <c r="B746" cm="1">
        <f t="array" ref="B746:L746">_xlfn.XLOOKUP($A746,Instagram_Usage_Lifestyle_Mini_!$A:$A,Instagram_Usage_Lifestyle_Mini_!$L:$V,"Not Found")</f>
        <v>9.3000000000000007</v>
      </c>
      <c r="C746">
        <v>8.1</v>
      </c>
      <c r="D746" t="str">
        <v>Good</v>
      </c>
      <c r="E746" t="str">
        <v>Former</v>
      </c>
      <c r="F746" t="str">
        <v>Weekly</v>
      </c>
      <c r="G746">
        <v>16</v>
      </c>
      <c r="H746">
        <v>9</v>
      </c>
      <c r="I746">
        <v>25.5</v>
      </c>
      <c r="J746">
        <v>140</v>
      </c>
      <c r="K746">
        <v>96</v>
      </c>
      <c r="L746">
        <v>8053</v>
      </c>
      <c r="M746" t="str" cm="1">
        <f t="array" ref="M746">_xlfn.IFS(C746&lt;6,"Poor",C746&lt;=8,"Normal",TRUE,"High")</f>
        <v>High</v>
      </c>
    </row>
    <row r="747" spans="1:13" x14ac:dyDescent="0.2">
      <c r="A747">
        <v>746</v>
      </c>
      <c r="B747" cm="1">
        <f t="array" ref="B747:L747">_xlfn.XLOOKUP($A747,Instagram_Usage_Lifestyle_Mini_!$A:$A,Instagram_Usage_Lifestyle_Mini_!$L:$V,"Not Found")</f>
        <v>1</v>
      </c>
      <c r="C747">
        <v>6.5</v>
      </c>
      <c r="D747" t="str">
        <v>Good</v>
      </c>
      <c r="E747" t="str">
        <v>No</v>
      </c>
      <c r="F747" t="str">
        <v>Daily</v>
      </c>
      <c r="G747">
        <v>12</v>
      </c>
      <c r="H747">
        <v>8</v>
      </c>
      <c r="I747">
        <v>22.4</v>
      </c>
      <c r="J747">
        <v>128</v>
      </c>
      <c r="K747">
        <v>61</v>
      </c>
      <c r="L747">
        <v>8091</v>
      </c>
      <c r="M747" t="str" cm="1">
        <f t="array" ref="M747">_xlfn.IFS(C747&lt;6,"Poor",C747&lt;=8,"Normal",TRUE,"High")</f>
        <v>Normal</v>
      </c>
    </row>
    <row r="748" spans="1:13" x14ac:dyDescent="0.2">
      <c r="A748">
        <v>747</v>
      </c>
      <c r="B748" cm="1">
        <f t="array" ref="B748:L748">_xlfn.XLOOKUP($A748,Instagram_Usage_Lifestyle_Mini_!$A:$A,Instagram_Usage_Lifestyle_Mini_!$L:$V,"Not Found")</f>
        <v>5.0999999999999996</v>
      </c>
      <c r="C748">
        <v>7.8</v>
      </c>
      <c r="D748" t="str">
        <v>Good</v>
      </c>
      <c r="E748" t="str">
        <v>Former</v>
      </c>
      <c r="F748" t="str">
        <v>Rarely</v>
      </c>
      <c r="G748">
        <v>13</v>
      </c>
      <c r="H748">
        <v>4</v>
      </c>
      <c r="I748">
        <v>29.6</v>
      </c>
      <c r="J748">
        <v>153</v>
      </c>
      <c r="K748">
        <v>73</v>
      </c>
      <c r="L748">
        <v>7967</v>
      </c>
      <c r="M748" t="str" cm="1">
        <f t="array" ref="M748">_xlfn.IFS(C748&lt;6,"Poor",C748&lt;=8,"Normal",TRUE,"High")</f>
        <v>Normal</v>
      </c>
    </row>
    <row r="749" spans="1:13" x14ac:dyDescent="0.2">
      <c r="A749">
        <v>748</v>
      </c>
      <c r="B749" cm="1">
        <f t="array" ref="B749:L749">_xlfn.XLOOKUP($A749,Instagram_Usage_Lifestyle_Mini_!$A:$A,Instagram_Usage_Lifestyle_Mini_!$L:$V,"Not Found")</f>
        <v>6.7</v>
      </c>
      <c r="C749">
        <v>6.6</v>
      </c>
      <c r="D749" t="str">
        <v>Poor</v>
      </c>
      <c r="E749" t="str">
        <v>No</v>
      </c>
      <c r="F749" t="str">
        <v>Rarely</v>
      </c>
      <c r="G749">
        <v>13</v>
      </c>
      <c r="H749">
        <v>5</v>
      </c>
      <c r="I749">
        <v>26.1</v>
      </c>
      <c r="J749">
        <v>115</v>
      </c>
      <c r="K749">
        <v>61</v>
      </c>
      <c r="L749">
        <v>7874</v>
      </c>
      <c r="M749" t="str" cm="1">
        <f t="array" ref="M749">_xlfn.IFS(C749&lt;6,"Poor",C749&lt;=8,"Normal",TRUE,"High")</f>
        <v>Normal</v>
      </c>
    </row>
    <row r="750" spans="1:13" x14ac:dyDescent="0.2">
      <c r="A750">
        <v>749</v>
      </c>
      <c r="B750" cm="1">
        <f t="array" ref="B750:L750">_xlfn.XLOOKUP($A750,Instagram_Usage_Lifestyle_Mini_!$A:$A,Instagram_Usage_Lifestyle_Mini_!$L:$V,"Not Found")</f>
        <v>2.9</v>
      </c>
      <c r="C750">
        <v>8.5</v>
      </c>
      <c r="D750" t="str">
        <v>Good</v>
      </c>
      <c r="E750" t="str">
        <v>No</v>
      </c>
      <c r="F750" t="str">
        <v>Never</v>
      </c>
      <c r="G750">
        <v>36</v>
      </c>
      <c r="H750">
        <v>1</v>
      </c>
      <c r="I750">
        <v>25</v>
      </c>
      <c r="J750">
        <v>131</v>
      </c>
      <c r="K750">
        <v>94</v>
      </c>
      <c r="L750">
        <v>7822</v>
      </c>
      <c r="M750" t="str" cm="1">
        <f t="array" ref="M750">_xlfn.IFS(C750&lt;6,"Poor",C750&lt;=8,"Normal",TRUE,"High")</f>
        <v>High</v>
      </c>
    </row>
    <row r="751" spans="1:13" x14ac:dyDescent="0.2">
      <c r="A751">
        <v>750</v>
      </c>
      <c r="B751" cm="1">
        <f t="array" ref="B751:L751">_xlfn.XLOOKUP($A751,Instagram_Usage_Lifestyle_Mini_!$A:$A,Instagram_Usage_Lifestyle_Mini_!$L:$V,"Not Found")</f>
        <v>3.6</v>
      </c>
      <c r="C751">
        <v>7.7</v>
      </c>
      <c r="D751" t="str">
        <v>Good</v>
      </c>
      <c r="E751" t="str">
        <v>No</v>
      </c>
      <c r="F751" t="str">
        <v>Rarely</v>
      </c>
      <c r="G751">
        <v>20</v>
      </c>
      <c r="H751">
        <v>10</v>
      </c>
      <c r="I751">
        <v>21.4</v>
      </c>
      <c r="J751">
        <v>158</v>
      </c>
      <c r="K751">
        <v>92</v>
      </c>
      <c r="L751">
        <v>8085</v>
      </c>
      <c r="M751" t="str" cm="1">
        <f t="array" ref="M751">_xlfn.IFS(C751&lt;6,"Poor",C751&lt;=8,"Normal",TRUE,"High")</f>
        <v>Normal</v>
      </c>
    </row>
    <row r="752" spans="1:13" x14ac:dyDescent="0.2">
      <c r="A752">
        <v>751</v>
      </c>
      <c r="B752" cm="1">
        <f t="array" ref="B752:L752">_xlfn.XLOOKUP($A752,Instagram_Usage_Lifestyle_Mini_!$A:$A,Instagram_Usage_Lifestyle_Mini_!$L:$V,"Not Found")</f>
        <v>8.1999999999999993</v>
      </c>
      <c r="C752">
        <v>8.1999999999999993</v>
      </c>
      <c r="D752" t="str">
        <v>Very_poor</v>
      </c>
      <c r="E752" t="str">
        <v>Yes</v>
      </c>
      <c r="F752" t="str">
        <v>Rarely</v>
      </c>
      <c r="G752">
        <v>36</v>
      </c>
      <c r="H752">
        <v>3</v>
      </c>
      <c r="I752">
        <v>21.6</v>
      </c>
      <c r="J752">
        <v>114</v>
      </c>
      <c r="K752">
        <v>92</v>
      </c>
      <c r="L752">
        <v>8040</v>
      </c>
      <c r="M752" t="str" cm="1">
        <f t="array" ref="M752">_xlfn.IFS(C752&lt;6,"Poor",C752&lt;=8,"Normal",TRUE,"High")</f>
        <v>High</v>
      </c>
    </row>
    <row r="753" spans="1:13" x14ac:dyDescent="0.2">
      <c r="A753">
        <v>752</v>
      </c>
      <c r="B753" cm="1">
        <f t="array" ref="B753:L753">_xlfn.XLOOKUP($A753,Instagram_Usage_Lifestyle_Mini_!$A:$A,Instagram_Usage_Lifestyle_Mini_!$L:$V,"Not Found")</f>
        <v>3.5</v>
      </c>
      <c r="C753">
        <v>7.3</v>
      </c>
      <c r="D753" t="str">
        <v>Good</v>
      </c>
      <c r="E753" t="str">
        <v>No</v>
      </c>
      <c r="F753" t="str">
        <v>Rarely</v>
      </c>
      <c r="G753">
        <v>5</v>
      </c>
      <c r="H753">
        <v>2</v>
      </c>
      <c r="I753">
        <v>24.2</v>
      </c>
      <c r="J753">
        <v>103</v>
      </c>
      <c r="K753">
        <v>86</v>
      </c>
      <c r="L753">
        <v>7883</v>
      </c>
      <c r="M753" t="str" cm="1">
        <f t="array" ref="M753">_xlfn.IFS(C753&lt;6,"Poor",C753&lt;=8,"Normal",TRUE,"High")</f>
        <v>Normal</v>
      </c>
    </row>
    <row r="754" spans="1:13" x14ac:dyDescent="0.2">
      <c r="A754">
        <v>753</v>
      </c>
      <c r="B754" cm="1">
        <f t="array" ref="B754:L754">_xlfn.XLOOKUP($A754,Instagram_Usage_Lifestyle_Mini_!$A:$A,Instagram_Usage_Lifestyle_Mini_!$L:$V,"Not Found")</f>
        <v>3</v>
      </c>
      <c r="C754">
        <v>7.7</v>
      </c>
      <c r="D754" t="str">
        <v>Poor</v>
      </c>
      <c r="E754" t="str">
        <v>No</v>
      </c>
      <c r="F754" t="str">
        <v>Daily</v>
      </c>
      <c r="G754">
        <v>30</v>
      </c>
      <c r="H754">
        <v>1</v>
      </c>
      <c r="I754">
        <v>26.5</v>
      </c>
      <c r="J754">
        <v>115</v>
      </c>
      <c r="K754">
        <v>94</v>
      </c>
      <c r="L754">
        <v>8118</v>
      </c>
      <c r="M754" t="str" cm="1">
        <f t="array" ref="M754">_xlfn.IFS(C754&lt;6,"Poor",C754&lt;=8,"Normal",TRUE,"High")</f>
        <v>Normal</v>
      </c>
    </row>
    <row r="755" spans="1:13" x14ac:dyDescent="0.2">
      <c r="A755">
        <v>754</v>
      </c>
      <c r="B755" cm="1">
        <f t="array" ref="B755:L755">_xlfn.XLOOKUP($A755,Instagram_Usage_Lifestyle_Mini_!$A:$A,Instagram_Usage_Lifestyle_Mini_!$L:$V,"Not Found")</f>
        <v>4.7</v>
      </c>
      <c r="C755">
        <v>9.9</v>
      </c>
      <c r="D755" t="str">
        <v>Good</v>
      </c>
      <c r="E755" t="str">
        <v>No</v>
      </c>
      <c r="F755" t="str">
        <v>Weekly</v>
      </c>
      <c r="G755">
        <v>34</v>
      </c>
      <c r="H755">
        <v>10</v>
      </c>
      <c r="I755">
        <v>25.8</v>
      </c>
      <c r="J755">
        <v>126</v>
      </c>
      <c r="K755">
        <v>74</v>
      </c>
      <c r="L755">
        <v>7916</v>
      </c>
      <c r="M755" t="str" cm="1">
        <f t="array" ref="M755">_xlfn.IFS(C755&lt;6,"Poor",C755&lt;=8,"Normal",TRUE,"High")</f>
        <v>High</v>
      </c>
    </row>
    <row r="756" spans="1:13" x14ac:dyDescent="0.2">
      <c r="A756">
        <v>755</v>
      </c>
      <c r="B756" cm="1">
        <f t="array" ref="B756:L756">_xlfn.XLOOKUP($A756,Instagram_Usage_Lifestyle_Mini_!$A:$A,Instagram_Usage_Lifestyle_Mini_!$L:$V,"Not Found")</f>
        <v>6.3</v>
      </c>
      <c r="C756">
        <v>7.5</v>
      </c>
      <c r="D756" t="str">
        <v>Very_poor</v>
      </c>
      <c r="E756" t="str">
        <v>Yes</v>
      </c>
      <c r="F756" t="str">
        <v>Never</v>
      </c>
      <c r="G756">
        <v>23</v>
      </c>
      <c r="H756">
        <v>4</v>
      </c>
      <c r="I756">
        <v>22.6</v>
      </c>
      <c r="J756">
        <v>99</v>
      </c>
      <c r="K756">
        <v>71</v>
      </c>
      <c r="L756">
        <v>8122</v>
      </c>
      <c r="M756" t="str" cm="1">
        <f t="array" ref="M756">_xlfn.IFS(C756&lt;6,"Poor",C756&lt;=8,"Normal",TRUE,"High")</f>
        <v>Normal</v>
      </c>
    </row>
    <row r="757" spans="1:13" x14ac:dyDescent="0.2">
      <c r="A757">
        <v>756</v>
      </c>
      <c r="B757" cm="1">
        <f t="array" ref="B757:L757">_xlfn.XLOOKUP($A757,Instagram_Usage_Lifestyle_Mini_!$A:$A,Instagram_Usage_Lifestyle_Mini_!$L:$V,"Not Found")</f>
        <v>4.9000000000000004</v>
      </c>
      <c r="C757">
        <v>6.1</v>
      </c>
      <c r="D757" t="str">
        <v>Average</v>
      </c>
      <c r="E757" t="str">
        <v>Yes</v>
      </c>
      <c r="F757" t="str">
        <v>Daily</v>
      </c>
      <c r="G757">
        <v>19</v>
      </c>
      <c r="H757">
        <v>5</v>
      </c>
      <c r="I757">
        <v>26.7</v>
      </c>
      <c r="J757">
        <v>99</v>
      </c>
      <c r="K757">
        <v>95</v>
      </c>
      <c r="L757">
        <v>7882</v>
      </c>
      <c r="M757" t="str" cm="1">
        <f t="array" ref="M757">_xlfn.IFS(C757&lt;6,"Poor",C757&lt;=8,"Normal",TRUE,"High")</f>
        <v>Normal</v>
      </c>
    </row>
    <row r="758" spans="1:13" x14ac:dyDescent="0.2">
      <c r="A758">
        <v>757</v>
      </c>
      <c r="B758" cm="1">
        <f t="array" ref="B758:L758">_xlfn.XLOOKUP($A758,Instagram_Usage_Lifestyle_Mini_!$A:$A,Instagram_Usage_Lifestyle_Mini_!$L:$V,"Not Found")</f>
        <v>8.3000000000000007</v>
      </c>
      <c r="C758">
        <v>7.1</v>
      </c>
      <c r="D758" t="str">
        <v>Very_poor</v>
      </c>
      <c r="E758" t="str">
        <v>Former</v>
      </c>
      <c r="F758" t="str">
        <v>Never</v>
      </c>
      <c r="G758">
        <v>10</v>
      </c>
      <c r="H758">
        <v>6</v>
      </c>
      <c r="I758">
        <v>28.6</v>
      </c>
      <c r="J758">
        <v>135</v>
      </c>
      <c r="K758">
        <v>62</v>
      </c>
      <c r="L758">
        <v>7908</v>
      </c>
      <c r="M758" t="str" cm="1">
        <f t="array" ref="M758">_xlfn.IFS(C758&lt;6,"Poor",C758&lt;=8,"Normal",TRUE,"High")</f>
        <v>Normal</v>
      </c>
    </row>
    <row r="759" spans="1:13" x14ac:dyDescent="0.2">
      <c r="A759">
        <v>758</v>
      </c>
      <c r="B759" cm="1">
        <f t="array" ref="B759:L759">_xlfn.XLOOKUP($A759,Instagram_Usage_Lifestyle_Mini_!$A:$A,Instagram_Usage_Lifestyle_Mini_!$L:$V,"Not Found")</f>
        <v>6.7</v>
      </c>
      <c r="C759">
        <v>9</v>
      </c>
      <c r="D759" t="str">
        <v>Good</v>
      </c>
      <c r="E759" t="str">
        <v>No</v>
      </c>
      <c r="F759" t="str">
        <v>Never</v>
      </c>
      <c r="G759">
        <v>20</v>
      </c>
      <c r="H759">
        <v>1</v>
      </c>
      <c r="I759">
        <v>31.7</v>
      </c>
      <c r="J759">
        <v>122</v>
      </c>
      <c r="K759">
        <v>71</v>
      </c>
      <c r="L759">
        <v>8185</v>
      </c>
      <c r="M759" t="str" cm="1">
        <f t="array" ref="M759">_xlfn.IFS(C759&lt;6,"Poor",C759&lt;=8,"Normal",TRUE,"High")</f>
        <v>High</v>
      </c>
    </row>
    <row r="760" spans="1:13" x14ac:dyDescent="0.2">
      <c r="A760">
        <v>759</v>
      </c>
      <c r="B760" cm="1">
        <f t="array" ref="B760:L760">_xlfn.XLOOKUP($A760,Instagram_Usage_Lifestyle_Mini_!$A:$A,Instagram_Usage_Lifestyle_Mini_!$L:$V,"Not Found")</f>
        <v>14</v>
      </c>
      <c r="C760">
        <v>9.3000000000000007</v>
      </c>
      <c r="D760" t="str">
        <v>Good</v>
      </c>
      <c r="E760" t="str">
        <v>No</v>
      </c>
      <c r="F760" t="str">
        <v>Weekly</v>
      </c>
      <c r="G760">
        <v>0</v>
      </c>
      <c r="H760">
        <v>9</v>
      </c>
      <c r="I760">
        <v>23</v>
      </c>
      <c r="J760">
        <v>122</v>
      </c>
      <c r="K760">
        <v>66</v>
      </c>
      <c r="L760">
        <v>7907</v>
      </c>
      <c r="M760" t="str" cm="1">
        <f t="array" ref="M760">_xlfn.IFS(C760&lt;6,"Poor",C760&lt;=8,"Normal",TRUE,"High")</f>
        <v>High</v>
      </c>
    </row>
    <row r="761" spans="1:13" x14ac:dyDescent="0.2">
      <c r="A761">
        <v>760</v>
      </c>
      <c r="B761" cm="1">
        <f t="array" ref="B761:L761">_xlfn.XLOOKUP($A761,Instagram_Usage_Lifestyle_Mini_!$A:$A,Instagram_Usage_Lifestyle_Mini_!$L:$V,"Not Found")</f>
        <v>4</v>
      </c>
      <c r="C761">
        <v>5.5</v>
      </c>
      <c r="D761" t="str">
        <v>Average</v>
      </c>
      <c r="E761" t="str">
        <v>No</v>
      </c>
      <c r="F761" t="str">
        <v>Daily</v>
      </c>
      <c r="G761">
        <v>38</v>
      </c>
      <c r="H761">
        <v>4</v>
      </c>
      <c r="I761">
        <v>22.2</v>
      </c>
      <c r="J761">
        <v>155</v>
      </c>
      <c r="K761">
        <v>65</v>
      </c>
      <c r="L761">
        <v>7897</v>
      </c>
      <c r="M761" t="str" cm="1">
        <f t="array" ref="M761">_xlfn.IFS(C761&lt;6,"Poor",C761&lt;=8,"Normal",TRUE,"High")</f>
        <v>Poor</v>
      </c>
    </row>
    <row r="762" spans="1:13" x14ac:dyDescent="0.2">
      <c r="A762">
        <v>761</v>
      </c>
      <c r="B762" cm="1">
        <f t="array" ref="B762:L762">_xlfn.XLOOKUP($A762,Instagram_Usage_Lifestyle_Mini_!$A:$A,Instagram_Usage_Lifestyle_Mini_!$L:$V,"Not Found")</f>
        <v>3.3</v>
      </c>
      <c r="C762">
        <v>7</v>
      </c>
      <c r="D762" t="str">
        <v>Poor</v>
      </c>
      <c r="E762" t="str">
        <v>No</v>
      </c>
      <c r="F762" t="str">
        <v>Never</v>
      </c>
      <c r="G762">
        <v>35</v>
      </c>
      <c r="H762">
        <v>9</v>
      </c>
      <c r="I762">
        <v>25.5</v>
      </c>
      <c r="J762">
        <v>136</v>
      </c>
      <c r="K762">
        <v>75</v>
      </c>
      <c r="L762">
        <v>7978</v>
      </c>
      <c r="M762" t="str" cm="1">
        <f t="array" ref="M762">_xlfn.IFS(C762&lt;6,"Poor",C762&lt;=8,"Normal",TRUE,"High")</f>
        <v>Normal</v>
      </c>
    </row>
    <row r="763" spans="1:13" x14ac:dyDescent="0.2">
      <c r="A763">
        <v>762</v>
      </c>
      <c r="B763" cm="1">
        <f t="array" ref="B763:L763">_xlfn.XLOOKUP($A763,Instagram_Usage_Lifestyle_Mini_!$A:$A,Instagram_Usage_Lifestyle_Mini_!$L:$V,"Not Found")</f>
        <v>5.4</v>
      </c>
      <c r="C763">
        <v>8</v>
      </c>
      <c r="D763" t="str">
        <v>Average</v>
      </c>
      <c r="E763" t="str">
        <v>No</v>
      </c>
      <c r="F763" t="str">
        <v>Never</v>
      </c>
      <c r="G763">
        <v>22</v>
      </c>
      <c r="H763">
        <v>8</v>
      </c>
      <c r="I763">
        <v>22.2</v>
      </c>
      <c r="J763">
        <v>135</v>
      </c>
      <c r="K763">
        <v>87</v>
      </c>
      <c r="L763">
        <v>8072</v>
      </c>
      <c r="M763" t="str" cm="1">
        <f t="array" ref="M763">_xlfn.IFS(C763&lt;6,"Poor",C763&lt;=8,"Normal",TRUE,"High")</f>
        <v>Normal</v>
      </c>
    </row>
    <row r="764" spans="1:13" x14ac:dyDescent="0.2">
      <c r="A764">
        <v>763</v>
      </c>
      <c r="B764" cm="1">
        <f t="array" ref="B764:L764">_xlfn.XLOOKUP($A764,Instagram_Usage_Lifestyle_Mini_!$A:$A,Instagram_Usage_Lifestyle_Mini_!$L:$V,"Not Found")</f>
        <v>5.7</v>
      </c>
      <c r="C764">
        <v>6.7</v>
      </c>
      <c r="D764" t="str">
        <v>Average</v>
      </c>
      <c r="E764" t="str">
        <v>No</v>
      </c>
      <c r="F764" t="str">
        <v>Never</v>
      </c>
      <c r="G764">
        <v>9</v>
      </c>
      <c r="H764">
        <v>8</v>
      </c>
      <c r="I764">
        <v>24.2</v>
      </c>
      <c r="J764">
        <v>150</v>
      </c>
      <c r="K764">
        <v>98</v>
      </c>
      <c r="L764">
        <v>8075</v>
      </c>
      <c r="M764" t="str" cm="1">
        <f t="array" ref="M764">_xlfn.IFS(C764&lt;6,"Poor",C764&lt;=8,"Normal",TRUE,"High")</f>
        <v>Normal</v>
      </c>
    </row>
    <row r="765" spans="1:13" x14ac:dyDescent="0.2">
      <c r="A765">
        <v>764</v>
      </c>
      <c r="B765" cm="1">
        <f t="array" ref="B765:L765">_xlfn.XLOOKUP($A765,Instagram_Usage_Lifestyle_Mini_!$A:$A,Instagram_Usage_Lifestyle_Mini_!$L:$V,"Not Found")</f>
        <v>6.4</v>
      </c>
      <c r="C765">
        <v>7.9</v>
      </c>
      <c r="D765" t="str">
        <v>Good</v>
      </c>
      <c r="E765" t="str">
        <v>No</v>
      </c>
      <c r="F765" t="str">
        <v>Weekly</v>
      </c>
      <c r="G765">
        <v>1</v>
      </c>
      <c r="H765">
        <v>2</v>
      </c>
      <c r="I765">
        <v>27.5</v>
      </c>
      <c r="J765">
        <v>134</v>
      </c>
      <c r="K765">
        <v>61</v>
      </c>
      <c r="L765">
        <v>8120</v>
      </c>
      <c r="M765" t="str" cm="1">
        <f t="array" ref="M765">_xlfn.IFS(C765&lt;6,"Poor",C765&lt;=8,"Normal",TRUE,"High")</f>
        <v>Normal</v>
      </c>
    </row>
    <row r="766" spans="1:13" x14ac:dyDescent="0.2">
      <c r="A766">
        <v>765</v>
      </c>
      <c r="B766" cm="1">
        <f t="array" ref="B766:L766">_xlfn.XLOOKUP($A766,Instagram_Usage_Lifestyle_Mini_!$A:$A,Instagram_Usage_Lifestyle_Mini_!$L:$V,"Not Found")</f>
        <v>14</v>
      </c>
      <c r="C766">
        <v>7.9</v>
      </c>
      <c r="D766" t="str">
        <v>Good</v>
      </c>
      <c r="E766" t="str">
        <v>No</v>
      </c>
      <c r="F766" t="str">
        <v>Daily</v>
      </c>
      <c r="G766">
        <v>24</v>
      </c>
      <c r="H766">
        <v>3</v>
      </c>
      <c r="I766">
        <v>33</v>
      </c>
      <c r="J766">
        <v>105</v>
      </c>
      <c r="K766">
        <v>98</v>
      </c>
      <c r="L766">
        <v>8088</v>
      </c>
      <c r="M766" t="str" cm="1">
        <f t="array" ref="M766">_xlfn.IFS(C766&lt;6,"Poor",C766&lt;=8,"Normal",TRUE,"High")</f>
        <v>Normal</v>
      </c>
    </row>
    <row r="767" spans="1:13" x14ac:dyDescent="0.2">
      <c r="A767">
        <v>766</v>
      </c>
      <c r="B767" cm="1">
        <f t="array" ref="B767:L767">_xlfn.XLOOKUP($A767,Instagram_Usage_Lifestyle_Mini_!$A:$A,Instagram_Usage_Lifestyle_Mini_!$L:$V,"Not Found")</f>
        <v>11.9</v>
      </c>
      <c r="C767">
        <v>5.3</v>
      </c>
      <c r="D767" t="str">
        <v>Average</v>
      </c>
      <c r="E767" t="str">
        <v>Yes</v>
      </c>
      <c r="F767" t="str">
        <v>Daily</v>
      </c>
      <c r="G767">
        <v>24</v>
      </c>
      <c r="H767">
        <v>1</v>
      </c>
      <c r="I767">
        <v>20.100000000000001</v>
      </c>
      <c r="J767">
        <v>151</v>
      </c>
      <c r="K767">
        <v>79</v>
      </c>
      <c r="L767">
        <v>7932</v>
      </c>
      <c r="M767" t="str" cm="1">
        <f t="array" ref="M767">_xlfn.IFS(C767&lt;6,"Poor",C767&lt;=8,"Normal",TRUE,"High")</f>
        <v>Poor</v>
      </c>
    </row>
    <row r="768" spans="1:13" x14ac:dyDescent="0.2">
      <c r="A768">
        <v>767</v>
      </c>
      <c r="B768" cm="1">
        <f t="array" ref="B768:L768">_xlfn.XLOOKUP($A768,Instagram_Usage_Lifestyle_Mini_!$A:$A,Instagram_Usage_Lifestyle_Mini_!$L:$V,"Not Found")</f>
        <v>14</v>
      </c>
      <c r="C768">
        <v>7.1</v>
      </c>
      <c r="D768" t="str">
        <v>Very_poor</v>
      </c>
      <c r="E768" t="str">
        <v>Former</v>
      </c>
      <c r="F768" t="str">
        <v>Rarely</v>
      </c>
      <c r="G768">
        <v>37</v>
      </c>
      <c r="H768">
        <v>4</v>
      </c>
      <c r="I768">
        <v>19.8</v>
      </c>
      <c r="J768">
        <v>130</v>
      </c>
      <c r="K768">
        <v>72</v>
      </c>
      <c r="L768">
        <v>7936</v>
      </c>
      <c r="M768" t="str" cm="1">
        <f t="array" ref="M768">_xlfn.IFS(C768&lt;6,"Poor",C768&lt;=8,"Normal",TRUE,"High")</f>
        <v>Normal</v>
      </c>
    </row>
    <row r="769" spans="1:13" x14ac:dyDescent="0.2">
      <c r="A769">
        <v>768</v>
      </c>
      <c r="B769" cm="1">
        <f t="array" ref="B769:L769">_xlfn.XLOOKUP($A769,Instagram_Usage_Lifestyle_Mini_!$A:$A,Instagram_Usage_Lifestyle_Mini_!$L:$V,"Not Found")</f>
        <v>4.4000000000000004</v>
      </c>
      <c r="C769">
        <v>8.5</v>
      </c>
      <c r="D769" t="str">
        <v>Average</v>
      </c>
      <c r="E769" t="str">
        <v>No</v>
      </c>
      <c r="F769" t="str">
        <v>Rarely</v>
      </c>
      <c r="G769">
        <v>35</v>
      </c>
      <c r="H769">
        <v>10</v>
      </c>
      <c r="I769">
        <v>21.8</v>
      </c>
      <c r="J769">
        <v>103</v>
      </c>
      <c r="K769">
        <v>89</v>
      </c>
      <c r="L769">
        <v>8037</v>
      </c>
      <c r="M769" t="str" cm="1">
        <f t="array" ref="M769">_xlfn.IFS(C769&lt;6,"Poor",C769&lt;=8,"Normal",TRUE,"High")</f>
        <v>High</v>
      </c>
    </row>
    <row r="770" spans="1:13" x14ac:dyDescent="0.2">
      <c r="A770">
        <v>769</v>
      </c>
      <c r="B770" cm="1">
        <f t="array" ref="B770:L770">_xlfn.XLOOKUP($A770,Instagram_Usage_Lifestyle_Mini_!$A:$A,Instagram_Usage_Lifestyle_Mini_!$L:$V,"Not Found")</f>
        <v>7.6</v>
      </c>
      <c r="C770">
        <v>7.5</v>
      </c>
      <c r="D770" t="str">
        <v>Good</v>
      </c>
      <c r="E770" t="str">
        <v>No</v>
      </c>
      <c r="F770" t="str">
        <v>Rarely</v>
      </c>
      <c r="G770">
        <v>20</v>
      </c>
      <c r="H770">
        <v>4</v>
      </c>
      <c r="I770">
        <v>29.7</v>
      </c>
      <c r="J770">
        <v>129</v>
      </c>
      <c r="K770">
        <v>86</v>
      </c>
      <c r="L770">
        <v>7930</v>
      </c>
      <c r="M770" t="str" cm="1">
        <f t="array" ref="M770">_xlfn.IFS(C770&lt;6,"Poor",C770&lt;=8,"Normal",TRUE,"High")</f>
        <v>Normal</v>
      </c>
    </row>
    <row r="771" spans="1:13" x14ac:dyDescent="0.2">
      <c r="A771">
        <v>770</v>
      </c>
      <c r="B771" cm="1">
        <f t="array" ref="B771:L771">_xlfn.XLOOKUP($A771,Instagram_Usage_Lifestyle_Mini_!$A:$A,Instagram_Usage_Lifestyle_Mini_!$L:$V,"Not Found")</f>
        <v>12.6</v>
      </c>
      <c r="C771">
        <v>7.4</v>
      </c>
      <c r="D771" t="str">
        <v>Poor</v>
      </c>
      <c r="E771" t="str">
        <v>No</v>
      </c>
      <c r="F771" t="str">
        <v>Rarely</v>
      </c>
      <c r="G771">
        <v>38</v>
      </c>
      <c r="H771">
        <v>3</v>
      </c>
      <c r="I771">
        <v>29.3</v>
      </c>
      <c r="J771">
        <v>139</v>
      </c>
      <c r="K771">
        <v>98</v>
      </c>
      <c r="L771">
        <v>7883</v>
      </c>
      <c r="M771" t="str" cm="1">
        <f t="array" ref="M771">_xlfn.IFS(C771&lt;6,"Poor",C771&lt;=8,"Normal",TRUE,"High")</f>
        <v>Normal</v>
      </c>
    </row>
    <row r="772" spans="1:13" x14ac:dyDescent="0.2">
      <c r="A772">
        <v>771</v>
      </c>
      <c r="B772" cm="1">
        <f t="array" ref="B772:L772">_xlfn.XLOOKUP($A772,Instagram_Usage_Lifestyle_Mini_!$A:$A,Instagram_Usage_Lifestyle_Mini_!$L:$V,"Not Found")</f>
        <v>4.3</v>
      </c>
      <c r="C772">
        <v>7.1</v>
      </c>
      <c r="D772" t="str">
        <v>Average</v>
      </c>
      <c r="E772" t="str">
        <v>No</v>
      </c>
      <c r="F772" t="str">
        <v>Weekly</v>
      </c>
      <c r="G772">
        <v>30</v>
      </c>
      <c r="H772">
        <v>4</v>
      </c>
      <c r="I772">
        <v>27.1</v>
      </c>
      <c r="J772">
        <v>123</v>
      </c>
      <c r="K772">
        <v>63</v>
      </c>
      <c r="L772">
        <v>7942</v>
      </c>
      <c r="M772" t="str" cm="1">
        <f t="array" ref="M772">_xlfn.IFS(C772&lt;6,"Poor",C772&lt;=8,"Normal",TRUE,"High")</f>
        <v>Normal</v>
      </c>
    </row>
    <row r="773" spans="1:13" x14ac:dyDescent="0.2">
      <c r="A773">
        <v>772</v>
      </c>
      <c r="B773" cm="1">
        <f t="array" ref="B773:L773">_xlfn.XLOOKUP($A773,Instagram_Usage_Lifestyle_Mini_!$A:$A,Instagram_Usage_Lifestyle_Mini_!$L:$V,"Not Found")</f>
        <v>9.5</v>
      </c>
      <c r="C773">
        <v>8</v>
      </c>
      <c r="D773" t="str">
        <v>Good</v>
      </c>
      <c r="E773" t="str">
        <v>No</v>
      </c>
      <c r="F773" t="str">
        <v>Rarely</v>
      </c>
      <c r="G773">
        <v>36</v>
      </c>
      <c r="H773">
        <v>2</v>
      </c>
      <c r="I773">
        <v>26.9</v>
      </c>
      <c r="J773">
        <v>118</v>
      </c>
      <c r="K773">
        <v>77</v>
      </c>
      <c r="L773">
        <v>8208</v>
      </c>
      <c r="M773" t="str" cm="1">
        <f t="array" ref="M773">_xlfn.IFS(C773&lt;6,"Poor",C773&lt;=8,"Normal",TRUE,"High")</f>
        <v>Normal</v>
      </c>
    </row>
    <row r="774" spans="1:13" x14ac:dyDescent="0.2">
      <c r="A774">
        <v>773</v>
      </c>
      <c r="B774" cm="1">
        <f t="array" ref="B774:L774">_xlfn.XLOOKUP($A774,Instagram_Usage_Lifestyle_Mini_!$A:$A,Instagram_Usage_Lifestyle_Mini_!$L:$V,"Not Found")</f>
        <v>12.4</v>
      </c>
      <c r="C774">
        <v>7.5</v>
      </c>
      <c r="D774" t="str">
        <v>Good</v>
      </c>
      <c r="E774" t="str">
        <v>No</v>
      </c>
      <c r="F774" t="str">
        <v>Rarely</v>
      </c>
      <c r="G774">
        <v>23</v>
      </c>
      <c r="H774">
        <v>9</v>
      </c>
      <c r="I774">
        <v>25.3</v>
      </c>
      <c r="J774">
        <v>117</v>
      </c>
      <c r="K774">
        <v>73</v>
      </c>
      <c r="L774">
        <v>7896</v>
      </c>
      <c r="M774" t="str" cm="1">
        <f t="array" ref="M774">_xlfn.IFS(C774&lt;6,"Poor",C774&lt;=8,"Normal",TRUE,"High")</f>
        <v>Normal</v>
      </c>
    </row>
    <row r="775" spans="1:13" x14ac:dyDescent="0.2">
      <c r="A775">
        <v>774</v>
      </c>
      <c r="B775" cm="1">
        <f t="array" ref="B775:L775">_xlfn.XLOOKUP($A775,Instagram_Usage_Lifestyle_Mini_!$A:$A,Instagram_Usage_Lifestyle_Mini_!$L:$V,"Not Found")</f>
        <v>7.3</v>
      </c>
      <c r="C775">
        <v>7.9</v>
      </c>
      <c r="D775" t="str">
        <v>Average</v>
      </c>
      <c r="E775" t="str">
        <v>Yes</v>
      </c>
      <c r="F775" t="str">
        <v>Daily</v>
      </c>
      <c r="G775">
        <v>0</v>
      </c>
      <c r="H775">
        <v>1</v>
      </c>
      <c r="I775">
        <v>24</v>
      </c>
      <c r="J775">
        <v>113</v>
      </c>
      <c r="K775">
        <v>60</v>
      </c>
      <c r="L775">
        <v>7941</v>
      </c>
      <c r="M775" t="str" cm="1">
        <f t="array" ref="M775">_xlfn.IFS(C775&lt;6,"Poor",C775&lt;=8,"Normal",TRUE,"High")</f>
        <v>Normal</v>
      </c>
    </row>
    <row r="776" spans="1:13" x14ac:dyDescent="0.2">
      <c r="A776">
        <v>775</v>
      </c>
      <c r="B776" cm="1">
        <f t="array" ref="B776:L776">_xlfn.XLOOKUP($A776,Instagram_Usage_Lifestyle_Mini_!$A:$A,Instagram_Usage_Lifestyle_Mini_!$L:$V,"Not Found")</f>
        <v>1.1000000000000001</v>
      </c>
      <c r="C776">
        <v>4.8</v>
      </c>
      <c r="D776" t="str">
        <v>Excellent</v>
      </c>
      <c r="E776" t="str">
        <v>Yes</v>
      </c>
      <c r="F776" t="str">
        <v>Several_times_a_week</v>
      </c>
      <c r="G776">
        <v>23</v>
      </c>
      <c r="H776">
        <v>8</v>
      </c>
      <c r="I776">
        <v>23.2</v>
      </c>
      <c r="J776">
        <v>109</v>
      </c>
      <c r="K776">
        <v>93</v>
      </c>
      <c r="L776">
        <v>7941</v>
      </c>
      <c r="M776" t="str" cm="1">
        <f t="array" ref="M776">_xlfn.IFS(C776&lt;6,"Poor",C776&lt;=8,"Normal",TRUE,"High")</f>
        <v>Poor</v>
      </c>
    </row>
    <row r="777" spans="1:13" x14ac:dyDescent="0.2">
      <c r="A777">
        <v>776</v>
      </c>
      <c r="B777" cm="1">
        <f t="array" ref="B777:L777">_xlfn.XLOOKUP($A777,Instagram_Usage_Lifestyle_Mini_!$A:$A,Instagram_Usage_Lifestyle_Mini_!$L:$V,"Not Found")</f>
        <v>3.5</v>
      </c>
      <c r="C777">
        <v>6</v>
      </c>
      <c r="D777" t="str">
        <v>Very_poor</v>
      </c>
      <c r="E777" t="str">
        <v>No</v>
      </c>
      <c r="F777" t="str">
        <v>Weekly</v>
      </c>
      <c r="G777">
        <v>23</v>
      </c>
      <c r="H777">
        <v>8</v>
      </c>
      <c r="I777">
        <v>30.6</v>
      </c>
      <c r="J777">
        <v>104</v>
      </c>
      <c r="K777">
        <v>85</v>
      </c>
      <c r="L777">
        <v>7975</v>
      </c>
      <c r="M777" t="str" cm="1">
        <f t="array" ref="M777">_xlfn.IFS(C777&lt;6,"Poor",C777&lt;=8,"Normal",TRUE,"High")</f>
        <v>Normal</v>
      </c>
    </row>
    <row r="778" spans="1:13" x14ac:dyDescent="0.2">
      <c r="A778">
        <v>777</v>
      </c>
      <c r="B778" cm="1">
        <f t="array" ref="B778:L778">_xlfn.XLOOKUP($A778,Instagram_Usage_Lifestyle_Mini_!$A:$A,Instagram_Usage_Lifestyle_Mini_!$L:$V,"Not Found")</f>
        <v>16.600000000000001</v>
      </c>
      <c r="C778">
        <v>5.2</v>
      </c>
      <c r="D778" t="str">
        <v>Good</v>
      </c>
      <c r="E778" t="str">
        <v>No</v>
      </c>
      <c r="F778" t="str">
        <v>Never</v>
      </c>
      <c r="G778">
        <v>3</v>
      </c>
      <c r="H778">
        <v>1</v>
      </c>
      <c r="I778">
        <v>31.4</v>
      </c>
      <c r="J778">
        <v>127</v>
      </c>
      <c r="K778">
        <v>65</v>
      </c>
      <c r="L778">
        <v>7844</v>
      </c>
      <c r="M778" t="str" cm="1">
        <f t="array" ref="M778">_xlfn.IFS(C778&lt;6,"Poor",C778&lt;=8,"Normal",TRUE,"High")</f>
        <v>Poor</v>
      </c>
    </row>
    <row r="779" spans="1:13" x14ac:dyDescent="0.2">
      <c r="A779">
        <v>778</v>
      </c>
      <c r="B779" cm="1">
        <f t="array" ref="B779:L779">_xlfn.XLOOKUP($A779,Instagram_Usage_Lifestyle_Mini_!$A:$A,Instagram_Usage_Lifestyle_Mini_!$L:$V,"Not Found")</f>
        <v>10.4</v>
      </c>
      <c r="C779">
        <v>7.8</v>
      </c>
      <c r="D779" t="str">
        <v>Average</v>
      </c>
      <c r="E779" t="str">
        <v>No</v>
      </c>
      <c r="F779" t="str">
        <v>Never</v>
      </c>
      <c r="G779">
        <v>10</v>
      </c>
      <c r="H779">
        <v>5</v>
      </c>
      <c r="I779">
        <v>30.2</v>
      </c>
      <c r="J779">
        <v>110</v>
      </c>
      <c r="K779">
        <v>94</v>
      </c>
      <c r="L779">
        <v>8117</v>
      </c>
      <c r="M779" t="str" cm="1">
        <f t="array" ref="M779">_xlfn.IFS(C779&lt;6,"Poor",C779&lt;=8,"Normal",TRUE,"High")</f>
        <v>Normal</v>
      </c>
    </row>
    <row r="780" spans="1:13" x14ac:dyDescent="0.2">
      <c r="A780">
        <v>779</v>
      </c>
      <c r="B780" cm="1">
        <f t="array" ref="B780:L780">_xlfn.XLOOKUP($A780,Instagram_Usage_Lifestyle_Mini_!$A:$A,Instagram_Usage_Lifestyle_Mini_!$L:$V,"Not Found")</f>
        <v>8.1999999999999993</v>
      </c>
      <c r="C780">
        <v>3.6</v>
      </c>
      <c r="D780" t="str">
        <v>Very_poor</v>
      </c>
      <c r="E780" t="str">
        <v>No</v>
      </c>
      <c r="F780" t="str">
        <v>Weekly</v>
      </c>
      <c r="G780">
        <v>7</v>
      </c>
      <c r="H780">
        <v>6</v>
      </c>
      <c r="I780">
        <v>31.8</v>
      </c>
      <c r="J780">
        <v>126</v>
      </c>
      <c r="K780">
        <v>86</v>
      </c>
      <c r="L780">
        <v>8078</v>
      </c>
      <c r="M780" t="str" cm="1">
        <f t="array" ref="M780">_xlfn.IFS(C780&lt;6,"Poor",C780&lt;=8,"Normal",TRUE,"High")</f>
        <v>Poor</v>
      </c>
    </row>
    <row r="781" spans="1:13" x14ac:dyDescent="0.2">
      <c r="A781">
        <v>780</v>
      </c>
      <c r="B781" cm="1">
        <f t="array" ref="B781:L781">_xlfn.XLOOKUP($A781,Instagram_Usage_Lifestyle_Mini_!$A:$A,Instagram_Usage_Lifestyle_Mini_!$L:$V,"Not Found")</f>
        <v>7.6</v>
      </c>
      <c r="C781">
        <v>6.9</v>
      </c>
      <c r="D781" t="str">
        <v>Average</v>
      </c>
      <c r="E781" t="str">
        <v>No</v>
      </c>
      <c r="F781" t="str">
        <v>Never</v>
      </c>
      <c r="G781">
        <v>9</v>
      </c>
      <c r="H781">
        <v>6</v>
      </c>
      <c r="I781">
        <v>28.7</v>
      </c>
      <c r="J781">
        <v>110</v>
      </c>
      <c r="K781">
        <v>83</v>
      </c>
      <c r="L781">
        <v>7904</v>
      </c>
      <c r="M781" t="str" cm="1">
        <f t="array" ref="M781">_xlfn.IFS(C781&lt;6,"Poor",C781&lt;=8,"Normal",TRUE,"High")</f>
        <v>Normal</v>
      </c>
    </row>
    <row r="782" spans="1:13" x14ac:dyDescent="0.2">
      <c r="A782">
        <v>781</v>
      </c>
      <c r="B782" cm="1">
        <f t="array" ref="B782:L782">_xlfn.XLOOKUP($A782,Instagram_Usage_Lifestyle_Mini_!$A:$A,Instagram_Usage_Lifestyle_Mini_!$L:$V,"Not Found")</f>
        <v>2.6</v>
      </c>
      <c r="C782">
        <v>6.7</v>
      </c>
      <c r="D782" t="str">
        <v>Average</v>
      </c>
      <c r="E782" t="str">
        <v>No</v>
      </c>
      <c r="F782" t="str">
        <v>Rarely</v>
      </c>
      <c r="G782">
        <v>17</v>
      </c>
      <c r="H782">
        <v>3</v>
      </c>
      <c r="I782">
        <v>28.5</v>
      </c>
      <c r="J782">
        <v>135</v>
      </c>
      <c r="K782">
        <v>78</v>
      </c>
      <c r="L782">
        <v>8004</v>
      </c>
      <c r="M782" t="str" cm="1">
        <f t="array" ref="M782">_xlfn.IFS(C782&lt;6,"Poor",C782&lt;=8,"Normal",TRUE,"High")</f>
        <v>Normal</v>
      </c>
    </row>
    <row r="783" spans="1:13" x14ac:dyDescent="0.2">
      <c r="A783">
        <v>782</v>
      </c>
      <c r="B783" cm="1">
        <f t="array" ref="B783:L783">_xlfn.XLOOKUP($A783,Instagram_Usage_Lifestyle_Mini_!$A:$A,Instagram_Usage_Lifestyle_Mini_!$L:$V,"Not Found")</f>
        <v>8.1</v>
      </c>
      <c r="C783">
        <v>7.5</v>
      </c>
      <c r="D783" t="str">
        <v>Very_poor</v>
      </c>
      <c r="E783" t="str">
        <v>No</v>
      </c>
      <c r="F783" t="str">
        <v>Weekly</v>
      </c>
      <c r="G783">
        <v>30</v>
      </c>
      <c r="H783">
        <v>3</v>
      </c>
      <c r="I783">
        <v>24.8</v>
      </c>
      <c r="J783">
        <v>156</v>
      </c>
      <c r="K783">
        <v>83</v>
      </c>
      <c r="L783">
        <v>7921</v>
      </c>
      <c r="M783" t="str" cm="1">
        <f t="array" ref="M783">_xlfn.IFS(C783&lt;6,"Poor",C783&lt;=8,"Normal",TRUE,"High")</f>
        <v>Normal</v>
      </c>
    </row>
    <row r="784" spans="1:13" x14ac:dyDescent="0.2">
      <c r="A784">
        <v>783</v>
      </c>
      <c r="B784" cm="1">
        <f t="array" ref="B784:L784">_xlfn.XLOOKUP($A784,Instagram_Usage_Lifestyle_Mini_!$A:$A,Instagram_Usage_Lifestyle_Mini_!$L:$V,"Not Found")</f>
        <v>3.4</v>
      </c>
      <c r="C784">
        <v>6.8</v>
      </c>
      <c r="D784" t="str">
        <v>Good</v>
      </c>
      <c r="E784" t="str">
        <v>No</v>
      </c>
      <c r="F784" t="str">
        <v>Weekly</v>
      </c>
      <c r="G784">
        <v>33</v>
      </c>
      <c r="H784">
        <v>7</v>
      </c>
      <c r="I784">
        <v>22.5</v>
      </c>
      <c r="J784">
        <v>101</v>
      </c>
      <c r="K784">
        <v>80</v>
      </c>
      <c r="L784">
        <v>7888</v>
      </c>
      <c r="M784" t="str" cm="1">
        <f t="array" ref="M784">_xlfn.IFS(C784&lt;6,"Poor",C784&lt;=8,"Normal",TRUE,"High")</f>
        <v>Normal</v>
      </c>
    </row>
    <row r="785" spans="1:13" x14ac:dyDescent="0.2">
      <c r="A785">
        <v>784</v>
      </c>
      <c r="B785" cm="1">
        <f t="array" ref="B785:L785">_xlfn.XLOOKUP($A785,Instagram_Usage_Lifestyle_Mini_!$A:$A,Instagram_Usage_Lifestyle_Mini_!$L:$V,"Not Found")</f>
        <v>4.5</v>
      </c>
      <c r="C785">
        <v>8.5</v>
      </c>
      <c r="D785" t="str">
        <v>Average</v>
      </c>
      <c r="E785" t="str">
        <v>No</v>
      </c>
      <c r="F785" t="str">
        <v>Rarely</v>
      </c>
      <c r="G785">
        <v>18</v>
      </c>
      <c r="H785">
        <v>10</v>
      </c>
      <c r="I785">
        <v>23.3</v>
      </c>
      <c r="J785">
        <v>139</v>
      </c>
      <c r="K785">
        <v>67</v>
      </c>
      <c r="L785">
        <v>7959</v>
      </c>
      <c r="M785" t="str" cm="1">
        <f t="array" ref="M785">_xlfn.IFS(C785&lt;6,"Poor",C785&lt;=8,"Normal",TRUE,"High")</f>
        <v>High</v>
      </c>
    </row>
    <row r="786" spans="1:13" x14ac:dyDescent="0.2">
      <c r="A786">
        <v>785</v>
      </c>
      <c r="B786" cm="1">
        <f t="array" ref="B786:L786">_xlfn.XLOOKUP($A786,Instagram_Usage_Lifestyle_Mini_!$A:$A,Instagram_Usage_Lifestyle_Mini_!$L:$V,"Not Found")</f>
        <v>8.3000000000000007</v>
      </c>
      <c r="C786">
        <v>5.6</v>
      </c>
      <c r="D786" t="str">
        <v>Excellent</v>
      </c>
      <c r="E786" t="str">
        <v>No</v>
      </c>
      <c r="F786" t="str">
        <v>Never</v>
      </c>
      <c r="G786">
        <v>12</v>
      </c>
      <c r="H786">
        <v>6</v>
      </c>
      <c r="I786">
        <v>27.2</v>
      </c>
      <c r="J786">
        <v>153</v>
      </c>
      <c r="K786">
        <v>93</v>
      </c>
      <c r="L786">
        <v>7976</v>
      </c>
      <c r="M786" t="str" cm="1">
        <f t="array" ref="M786">_xlfn.IFS(C786&lt;6,"Poor",C786&lt;=8,"Normal",TRUE,"High")</f>
        <v>Poor</v>
      </c>
    </row>
    <row r="787" spans="1:13" x14ac:dyDescent="0.2">
      <c r="A787">
        <v>786</v>
      </c>
      <c r="B787" cm="1">
        <f t="array" ref="B787:L787">_xlfn.XLOOKUP($A787,Instagram_Usage_Lifestyle_Mini_!$A:$A,Instagram_Usage_Lifestyle_Mini_!$L:$V,"Not Found")</f>
        <v>4.3</v>
      </c>
      <c r="C787">
        <v>4.8</v>
      </c>
      <c r="D787" t="str">
        <v>Good</v>
      </c>
      <c r="E787" t="str">
        <v>No</v>
      </c>
      <c r="F787" t="str">
        <v>Weekly</v>
      </c>
      <c r="G787">
        <v>22</v>
      </c>
      <c r="H787">
        <v>1</v>
      </c>
      <c r="I787">
        <v>21.9</v>
      </c>
      <c r="J787">
        <v>155</v>
      </c>
      <c r="K787">
        <v>94</v>
      </c>
      <c r="L787">
        <v>8002</v>
      </c>
      <c r="M787" t="str" cm="1">
        <f t="array" ref="M787">_xlfn.IFS(C787&lt;6,"Poor",C787&lt;=8,"Normal",TRUE,"High")</f>
        <v>Poor</v>
      </c>
    </row>
    <row r="788" spans="1:13" x14ac:dyDescent="0.2">
      <c r="A788">
        <v>787</v>
      </c>
      <c r="B788" cm="1">
        <f t="array" ref="B788:L788">_xlfn.XLOOKUP($A788,Instagram_Usage_Lifestyle_Mini_!$A:$A,Instagram_Usage_Lifestyle_Mini_!$L:$V,"Not Found")</f>
        <v>8.3000000000000007</v>
      </c>
      <c r="C788">
        <v>8</v>
      </c>
      <c r="D788" t="str">
        <v>Poor</v>
      </c>
      <c r="E788" t="str">
        <v>No</v>
      </c>
      <c r="F788" t="str">
        <v>Daily</v>
      </c>
      <c r="G788">
        <v>12</v>
      </c>
      <c r="H788">
        <v>4</v>
      </c>
      <c r="I788">
        <v>27.3</v>
      </c>
      <c r="J788">
        <v>119</v>
      </c>
      <c r="K788">
        <v>93</v>
      </c>
      <c r="L788">
        <v>7955</v>
      </c>
      <c r="M788" t="str" cm="1">
        <f t="array" ref="M788">_xlfn.IFS(C788&lt;6,"Poor",C788&lt;=8,"Normal",TRUE,"High")</f>
        <v>Normal</v>
      </c>
    </row>
    <row r="789" spans="1:13" x14ac:dyDescent="0.2">
      <c r="A789">
        <v>788</v>
      </c>
      <c r="B789" cm="1">
        <f t="array" ref="B789:L789">_xlfn.XLOOKUP($A789,Instagram_Usage_Lifestyle_Mini_!$A:$A,Instagram_Usage_Lifestyle_Mini_!$L:$V,"Not Found")</f>
        <v>3.7</v>
      </c>
      <c r="C789">
        <v>6.5</v>
      </c>
      <c r="D789" t="str">
        <v>Good</v>
      </c>
      <c r="E789" t="str">
        <v>No</v>
      </c>
      <c r="F789" t="str">
        <v>Rarely</v>
      </c>
      <c r="G789">
        <v>9</v>
      </c>
      <c r="H789">
        <v>9</v>
      </c>
      <c r="I789">
        <v>21.3</v>
      </c>
      <c r="J789">
        <v>110</v>
      </c>
      <c r="K789">
        <v>96</v>
      </c>
      <c r="L789">
        <v>7990</v>
      </c>
      <c r="M789" t="str" cm="1">
        <f t="array" ref="M789">_xlfn.IFS(C789&lt;6,"Poor",C789&lt;=8,"Normal",TRUE,"High")</f>
        <v>Normal</v>
      </c>
    </row>
    <row r="790" spans="1:13" x14ac:dyDescent="0.2">
      <c r="A790">
        <v>789</v>
      </c>
      <c r="B790" cm="1">
        <f t="array" ref="B790:L790">_xlfn.XLOOKUP($A790,Instagram_Usage_Lifestyle_Mini_!$A:$A,Instagram_Usage_Lifestyle_Mini_!$L:$V,"Not Found")</f>
        <v>2.2000000000000002</v>
      </c>
      <c r="C790">
        <v>5.2</v>
      </c>
      <c r="D790" t="str">
        <v>Good</v>
      </c>
      <c r="E790" t="str">
        <v>No</v>
      </c>
      <c r="F790" t="str">
        <v>Never</v>
      </c>
      <c r="G790">
        <v>35</v>
      </c>
      <c r="H790">
        <v>9</v>
      </c>
      <c r="I790">
        <v>27.8</v>
      </c>
      <c r="J790">
        <v>108</v>
      </c>
      <c r="K790">
        <v>62</v>
      </c>
      <c r="L790">
        <v>7974</v>
      </c>
      <c r="M790" t="str" cm="1">
        <f t="array" ref="M790">_xlfn.IFS(C790&lt;6,"Poor",C790&lt;=8,"Normal",TRUE,"High")</f>
        <v>Poor</v>
      </c>
    </row>
    <row r="791" spans="1:13" x14ac:dyDescent="0.2">
      <c r="A791">
        <v>790</v>
      </c>
      <c r="B791" cm="1">
        <f t="array" ref="B791:L791">_xlfn.XLOOKUP($A791,Instagram_Usage_Lifestyle_Mini_!$A:$A,Instagram_Usage_Lifestyle_Mini_!$L:$V,"Not Found")</f>
        <v>12.7</v>
      </c>
      <c r="C791">
        <v>7.4</v>
      </c>
      <c r="D791" t="str">
        <v>Good</v>
      </c>
      <c r="E791" t="str">
        <v>Yes</v>
      </c>
      <c r="F791" t="str">
        <v>Several_times_a_week</v>
      </c>
      <c r="G791">
        <v>8</v>
      </c>
      <c r="H791">
        <v>4</v>
      </c>
      <c r="I791">
        <v>24.8</v>
      </c>
      <c r="J791">
        <v>157</v>
      </c>
      <c r="K791">
        <v>73</v>
      </c>
      <c r="L791">
        <v>8050</v>
      </c>
      <c r="M791" t="str" cm="1">
        <f t="array" ref="M791">_xlfn.IFS(C791&lt;6,"Poor",C791&lt;=8,"Normal",TRUE,"High")</f>
        <v>Normal</v>
      </c>
    </row>
    <row r="792" spans="1:13" x14ac:dyDescent="0.2">
      <c r="A792">
        <v>791</v>
      </c>
      <c r="B792" cm="1">
        <f t="array" ref="B792:L792">_xlfn.XLOOKUP($A792,Instagram_Usage_Lifestyle_Mini_!$A:$A,Instagram_Usage_Lifestyle_Mini_!$L:$V,"Not Found")</f>
        <v>14.3</v>
      </c>
      <c r="C792">
        <v>7</v>
      </c>
      <c r="D792" t="str">
        <v>Average</v>
      </c>
      <c r="E792" t="str">
        <v>No</v>
      </c>
      <c r="F792" t="str">
        <v>Rarely</v>
      </c>
      <c r="G792">
        <v>5</v>
      </c>
      <c r="H792">
        <v>7</v>
      </c>
      <c r="I792">
        <v>28.2</v>
      </c>
      <c r="J792">
        <v>119</v>
      </c>
      <c r="K792">
        <v>98</v>
      </c>
      <c r="L792">
        <v>8050</v>
      </c>
      <c r="M792" t="str" cm="1">
        <f t="array" ref="M792">_xlfn.IFS(C792&lt;6,"Poor",C792&lt;=8,"Normal",TRUE,"High")</f>
        <v>Normal</v>
      </c>
    </row>
    <row r="793" spans="1:13" x14ac:dyDescent="0.2">
      <c r="A793">
        <v>792</v>
      </c>
      <c r="B793" cm="1">
        <f t="array" ref="B793:L793">_xlfn.XLOOKUP($A793,Instagram_Usage_Lifestyle_Mini_!$A:$A,Instagram_Usage_Lifestyle_Mini_!$L:$V,"Not Found")</f>
        <v>13.9</v>
      </c>
      <c r="C793">
        <v>7.2</v>
      </c>
      <c r="D793" t="str">
        <v>Average</v>
      </c>
      <c r="E793" t="str">
        <v>No</v>
      </c>
      <c r="F793" t="str">
        <v>Rarely</v>
      </c>
      <c r="G793">
        <v>26</v>
      </c>
      <c r="H793">
        <v>4</v>
      </c>
      <c r="I793">
        <v>28.2</v>
      </c>
      <c r="J793">
        <v>112</v>
      </c>
      <c r="K793">
        <v>99</v>
      </c>
      <c r="L793">
        <v>7868</v>
      </c>
      <c r="M793" t="str" cm="1">
        <f t="array" ref="M793">_xlfn.IFS(C793&lt;6,"Poor",C793&lt;=8,"Normal",TRUE,"High")</f>
        <v>Normal</v>
      </c>
    </row>
    <row r="794" spans="1:13" x14ac:dyDescent="0.2">
      <c r="A794">
        <v>793</v>
      </c>
      <c r="B794" cm="1">
        <f t="array" ref="B794:L794">_xlfn.XLOOKUP($A794,Instagram_Usage_Lifestyle_Mini_!$A:$A,Instagram_Usage_Lifestyle_Mini_!$L:$V,"Not Found")</f>
        <v>7.4</v>
      </c>
      <c r="C794">
        <v>6.6</v>
      </c>
      <c r="D794" t="str">
        <v>Good</v>
      </c>
      <c r="E794" t="str">
        <v>No</v>
      </c>
      <c r="F794" t="str">
        <v>Rarely</v>
      </c>
      <c r="G794">
        <v>6</v>
      </c>
      <c r="H794">
        <v>3</v>
      </c>
      <c r="I794">
        <v>29.2</v>
      </c>
      <c r="J794">
        <v>148</v>
      </c>
      <c r="K794">
        <v>65</v>
      </c>
      <c r="L794">
        <v>8060</v>
      </c>
      <c r="M794" t="str" cm="1">
        <f t="array" ref="M794">_xlfn.IFS(C794&lt;6,"Poor",C794&lt;=8,"Normal",TRUE,"High")</f>
        <v>Normal</v>
      </c>
    </row>
    <row r="795" spans="1:13" x14ac:dyDescent="0.2">
      <c r="A795">
        <v>794</v>
      </c>
      <c r="B795" cm="1">
        <f t="array" ref="B795:L795">_xlfn.XLOOKUP($A795,Instagram_Usage_Lifestyle_Mini_!$A:$A,Instagram_Usage_Lifestyle_Mini_!$L:$V,"Not Found")</f>
        <v>13.6</v>
      </c>
      <c r="C795">
        <v>8.3000000000000007</v>
      </c>
      <c r="D795" t="str">
        <v>Good</v>
      </c>
      <c r="E795" t="str">
        <v>No</v>
      </c>
      <c r="F795" t="str">
        <v>Several_times_a_week</v>
      </c>
      <c r="G795">
        <v>16</v>
      </c>
      <c r="H795">
        <v>5</v>
      </c>
      <c r="I795">
        <v>27.7</v>
      </c>
      <c r="J795">
        <v>123</v>
      </c>
      <c r="K795">
        <v>81</v>
      </c>
      <c r="L795">
        <v>7971</v>
      </c>
      <c r="M795" t="str" cm="1">
        <f t="array" ref="M795">_xlfn.IFS(C795&lt;6,"Poor",C795&lt;=8,"Normal",TRUE,"High")</f>
        <v>High</v>
      </c>
    </row>
    <row r="796" spans="1:13" x14ac:dyDescent="0.2">
      <c r="A796">
        <v>795</v>
      </c>
      <c r="B796" cm="1">
        <f t="array" ref="B796:L796">_xlfn.XLOOKUP($A796,Instagram_Usage_Lifestyle_Mini_!$A:$A,Instagram_Usage_Lifestyle_Mini_!$L:$V,"Not Found")</f>
        <v>4.5</v>
      </c>
      <c r="C796">
        <v>7.9</v>
      </c>
      <c r="D796" t="str">
        <v>Average</v>
      </c>
      <c r="E796" t="str">
        <v>No</v>
      </c>
      <c r="F796" t="str">
        <v>Weekly</v>
      </c>
      <c r="G796">
        <v>26</v>
      </c>
      <c r="H796">
        <v>1</v>
      </c>
      <c r="I796">
        <v>23.9</v>
      </c>
      <c r="J796">
        <v>98</v>
      </c>
      <c r="K796">
        <v>79</v>
      </c>
      <c r="L796">
        <v>7987</v>
      </c>
      <c r="M796" t="str" cm="1">
        <f t="array" ref="M796">_xlfn.IFS(C796&lt;6,"Poor",C796&lt;=8,"Normal",TRUE,"High")</f>
        <v>Normal</v>
      </c>
    </row>
    <row r="797" spans="1:13" x14ac:dyDescent="0.2">
      <c r="A797">
        <v>796</v>
      </c>
      <c r="B797" cm="1">
        <f t="array" ref="B797:L797">_xlfn.XLOOKUP($A797,Instagram_Usage_Lifestyle_Mini_!$A:$A,Instagram_Usage_Lifestyle_Mini_!$L:$V,"Not Found")</f>
        <v>11.5</v>
      </c>
      <c r="C797">
        <v>6.6</v>
      </c>
      <c r="D797" t="str">
        <v>Average</v>
      </c>
      <c r="E797" t="str">
        <v>No</v>
      </c>
      <c r="F797" t="str">
        <v>Daily</v>
      </c>
      <c r="G797">
        <v>21</v>
      </c>
      <c r="H797">
        <v>2</v>
      </c>
      <c r="I797">
        <v>22.9</v>
      </c>
      <c r="J797">
        <v>90</v>
      </c>
      <c r="K797">
        <v>79</v>
      </c>
      <c r="L797">
        <v>7970</v>
      </c>
      <c r="M797" t="str" cm="1">
        <f t="array" ref="M797">_xlfn.IFS(C797&lt;6,"Poor",C797&lt;=8,"Normal",TRUE,"High")</f>
        <v>Normal</v>
      </c>
    </row>
    <row r="798" spans="1:13" x14ac:dyDescent="0.2">
      <c r="A798">
        <v>797</v>
      </c>
      <c r="B798" cm="1">
        <f t="array" ref="B798:L798">_xlfn.XLOOKUP($A798,Instagram_Usage_Lifestyle_Mini_!$A:$A,Instagram_Usage_Lifestyle_Mini_!$L:$V,"Not Found")</f>
        <v>13.3</v>
      </c>
      <c r="C798">
        <v>8.1</v>
      </c>
      <c r="D798" t="str">
        <v>Average</v>
      </c>
      <c r="E798" t="str">
        <v>No</v>
      </c>
      <c r="F798" t="str">
        <v>Several_times_a_week</v>
      </c>
      <c r="G798">
        <v>3</v>
      </c>
      <c r="H798">
        <v>7</v>
      </c>
      <c r="I798">
        <v>25</v>
      </c>
      <c r="J798">
        <v>140</v>
      </c>
      <c r="K798">
        <v>60</v>
      </c>
      <c r="L798">
        <v>8007</v>
      </c>
      <c r="M798" t="str" cm="1">
        <f t="array" ref="M798">_xlfn.IFS(C798&lt;6,"Poor",C798&lt;=8,"Normal",TRUE,"High")</f>
        <v>High</v>
      </c>
    </row>
    <row r="799" spans="1:13" x14ac:dyDescent="0.2">
      <c r="A799">
        <v>798</v>
      </c>
      <c r="B799" cm="1">
        <f t="array" ref="B799:L799">_xlfn.XLOOKUP($A799,Instagram_Usage_Lifestyle_Mini_!$A:$A,Instagram_Usage_Lifestyle_Mini_!$L:$V,"Not Found")</f>
        <v>3.9</v>
      </c>
      <c r="C799">
        <v>7.3</v>
      </c>
      <c r="D799" t="str">
        <v>Average</v>
      </c>
      <c r="E799" t="str">
        <v>No</v>
      </c>
      <c r="F799" t="str">
        <v>Rarely</v>
      </c>
      <c r="G799">
        <v>11</v>
      </c>
      <c r="H799">
        <v>6</v>
      </c>
      <c r="I799">
        <v>22.9</v>
      </c>
      <c r="J799">
        <v>131</v>
      </c>
      <c r="K799">
        <v>78</v>
      </c>
      <c r="L799">
        <v>8069</v>
      </c>
      <c r="M799" t="str" cm="1">
        <f t="array" ref="M799">_xlfn.IFS(C799&lt;6,"Poor",C799&lt;=8,"Normal",TRUE,"High")</f>
        <v>Normal</v>
      </c>
    </row>
    <row r="800" spans="1:13" x14ac:dyDescent="0.2">
      <c r="A800">
        <v>799</v>
      </c>
      <c r="B800" cm="1">
        <f t="array" ref="B800:L800">_xlfn.XLOOKUP($A800,Instagram_Usage_Lifestyle_Mini_!$A:$A,Instagram_Usage_Lifestyle_Mini_!$L:$V,"Not Found")</f>
        <v>4.5999999999999996</v>
      </c>
      <c r="C800">
        <v>7.4</v>
      </c>
      <c r="D800" t="str">
        <v>Poor</v>
      </c>
      <c r="E800" t="str">
        <v>No</v>
      </c>
      <c r="F800" t="str">
        <v>Never</v>
      </c>
      <c r="G800">
        <v>12</v>
      </c>
      <c r="H800">
        <v>2</v>
      </c>
      <c r="I800">
        <v>20.3</v>
      </c>
      <c r="J800">
        <v>112</v>
      </c>
      <c r="K800">
        <v>90</v>
      </c>
      <c r="L800">
        <v>7862</v>
      </c>
      <c r="M800" t="str" cm="1">
        <f t="array" ref="M800">_xlfn.IFS(C800&lt;6,"Poor",C800&lt;=8,"Normal",TRUE,"High")</f>
        <v>Normal</v>
      </c>
    </row>
    <row r="801" spans="1:13" x14ac:dyDescent="0.2">
      <c r="A801">
        <v>800</v>
      </c>
      <c r="B801" cm="1">
        <f t="array" ref="B801:L801">_xlfn.XLOOKUP($A801,Instagram_Usage_Lifestyle_Mini_!$A:$A,Instagram_Usage_Lifestyle_Mini_!$L:$V,"Not Found")</f>
        <v>5.2</v>
      </c>
      <c r="C801">
        <v>5.4</v>
      </c>
      <c r="D801" t="str">
        <v>Poor</v>
      </c>
      <c r="E801" t="str">
        <v>Former</v>
      </c>
      <c r="F801" t="str">
        <v>Never</v>
      </c>
      <c r="G801">
        <v>3</v>
      </c>
      <c r="H801">
        <v>4</v>
      </c>
      <c r="I801">
        <v>22.1</v>
      </c>
      <c r="J801">
        <v>152</v>
      </c>
      <c r="K801">
        <v>60</v>
      </c>
      <c r="L801">
        <v>8112</v>
      </c>
      <c r="M801" t="str" cm="1">
        <f t="array" ref="M801">_xlfn.IFS(C801&lt;6,"Poor",C801&lt;=8,"Normal",TRUE,"High")</f>
        <v>Poor</v>
      </c>
    </row>
    <row r="802" spans="1:13" x14ac:dyDescent="0.2">
      <c r="A802">
        <v>801</v>
      </c>
      <c r="B802" cm="1">
        <f t="array" ref="B802:L802">_xlfn.XLOOKUP($A802,Instagram_Usage_Lifestyle_Mini_!$A:$A,Instagram_Usage_Lifestyle_Mini_!$L:$V,"Not Found")</f>
        <v>4.2</v>
      </c>
      <c r="C802">
        <v>7.3</v>
      </c>
      <c r="D802" t="str">
        <v>Very_poor</v>
      </c>
      <c r="E802" t="str">
        <v>No</v>
      </c>
      <c r="F802" t="str">
        <v>Rarely</v>
      </c>
      <c r="G802">
        <v>18</v>
      </c>
      <c r="H802">
        <v>4</v>
      </c>
      <c r="I802">
        <v>26.4</v>
      </c>
      <c r="J802">
        <v>90</v>
      </c>
      <c r="K802">
        <v>94</v>
      </c>
      <c r="L802">
        <v>8041</v>
      </c>
      <c r="M802" t="str" cm="1">
        <f t="array" ref="M802">_xlfn.IFS(C802&lt;6,"Poor",C802&lt;=8,"Normal",TRUE,"High")</f>
        <v>Normal</v>
      </c>
    </row>
    <row r="803" spans="1:13" x14ac:dyDescent="0.2">
      <c r="A803">
        <v>802</v>
      </c>
      <c r="B803" cm="1">
        <f t="array" ref="B803:L803">_xlfn.XLOOKUP($A803,Instagram_Usage_Lifestyle_Mini_!$A:$A,Instagram_Usage_Lifestyle_Mini_!$L:$V,"Not Found")</f>
        <v>1.8</v>
      </c>
      <c r="C803">
        <v>8.3000000000000007</v>
      </c>
      <c r="D803" t="str">
        <v>Average</v>
      </c>
      <c r="E803" t="str">
        <v>No</v>
      </c>
      <c r="F803" t="str">
        <v>Weekly</v>
      </c>
      <c r="G803">
        <v>7</v>
      </c>
      <c r="H803">
        <v>2</v>
      </c>
      <c r="I803">
        <v>30.8</v>
      </c>
      <c r="J803">
        <v>90</v>
      </c>
      <c r="K803">
        <v>96</v>
      </c>
      <c r="L803">
        <v>8010</v>
      </c>
      <c r="M803" t="str" cm="1">
        <f t="array" ref="M803">_xlfn.IFS(C803&lt;6,"Poor",C803&lt;=8,"Normal",TRUE,"High")</f>
        <v>High</v>
      </c>
    </row>
    <row r="804" spans="1:13" x14ac:dyDescent="0.2">
      <c r="A804">
        <v>803</v>
      </c>
      <c r="B804" cm="1">
        <f t="array" ref="B804:L804">_xlfn.XLOOKUP($A804,Instagram_Usage_Lifestyle_Mini_!$A:$A,Instagram_Usage_Lifestyle_Mini_!$L:$V,"Not Found")</f>
        <v>2.1</v>
      </c>
      <c r="C804">
        <v>8.6</v>
      </c>
      <c r="D804" t="str">
        <v>Good</v>
      </c>
      <c r="E804" t="str">
        <v>No</v>
      </c>
      <c r="F804" t="str">
        <v>Weekly</v>
      </c>
      <c r="G804">
        <v>29</v>
      </c>
      <c r="H804">
        <v>5</v>
      </c>
      <c r="I804">
        <v>32.9</v>
      </c>
      <c r="J804">
        <v>97</v>
      </c>
      <c r="K804">
        <v>67</v>
      </c>
      <c r="L804">
        <v>8111</v>
      </c>
      <c r="M804" t="str" cm="1">
        <f t="array" ref="M804">_xlfn.IFS(C804&lt;6,"Poor",C804&lt;=8,"Normal",TRUE,"High")</f>
        <v>High</v>
      </c>
    </row>
    <row r="805" spans="1:13" x14ac:dyDescent="0.2">
      <c r="A805">
        <v>804</v>
      </c>
      <c r="B805" cm="1">
        <f t="array" ref="B805:L805">_xlfn.XLOOKUP($A805,Instagram_Usage_Lifestyle_Mini_!$A:$A,Instagram_Usage_Lifestyle_Mini_!$L:$V,"Not Found")</f>
        <v>10.6</v>
      </c>
      <c r="C805">
        <v>7.5</v>
      </c>
      <c r="D805" t="str">
        <v>Average</v>
      </c>
      <c r="E805" t="str">
        <v>No</v>
      </c>
      <c r="F805" t="str">
        <v>Rarely</v>
      </c>
      <c r="G805">
        <v>38</v>
      </c>
      <c r="H805">
        <v>4</v>
      </c>
      <c r="I805">
        <v>20.5</v>
      </c>
      <c r="J805">
        <v>101</v>
      </c>
      <c r="K805">
        <v>71</v>
      </c>
      <c r="L805">
        <v>8168</v>
      </c>
      <c r="M805" t="str" cm="1">
        <f t="array" ref="M805">_xlfn.IFS(C805&lt;6,"Poor",C805&lt;=8,"Normal",TRUE,"High")</f>
        <v>Normal</v>
      </c>
    </row>
    <row r="806" spans="1:13" x14ac:dyDescent="0.2">
      <c r="A806">
        <v>805</v>
      </c>
      <c r="B806" cm="1">
        <f t="array" ref="B806:L806">_xlfn.XLOOKUP($A806,Instagram_Usage_Lifestyle_Mini_!$A:$A,Instagram_Usage_Lifestyle_Mini_!$L:$V,"Not Found")</f>
        <v>9.4</v>
      </c>
      <c r="C806">
        <v>7.3</v>
      </c>
      <c r="D806" t="str">
        <v>Excellent</v>
      </c>
      <c r="E806" t="str">
        <v>No</v>
      </c>
      <c r="F806" t="str">
        <v>Never</v>
      </c>
      <c r="G806">
        <v>35</v>
      </c>
      <c r="H806">
        <v>1</v>
      </c>
      <c r="I806">
        <v>34.6</v>
      </c>
      <c r="J806">
        <v>126</v>
      </c>
      <c r="K806">
        <v>65</v>
      </c>
      <c r="L806">
        <v>8019</v>
      </c>
      <c r="M806" t="str" cm="1">
        <f t="array" ref="M806">_xlfn.IFS(C806&lt;6,"Poor",C806&lt;=8,"Normal",TRUE,"High")</f>
        <v>Normal</v>
      </c>
    </row>
    <row r="807" spans="1:13" x14ac:dyDescent="0.2">
      <c r="A807">
        <v>806</v>
      </c>
      <c r="B807" cm="1">
        <f t="array" ref="B807:L807">_xlfn.XLOOKUP($A807,Instagram_Usage_Lifestyle_Mini_!$A:$A,Instagram_Usage_Lifestyle_Mini_!$L:$V,"Not Found")</f>
        <v>20.8</v>
      </c>
      <c r="C807">
        <v>6.9</v>
      </c>
      <c r="D807" t="str">
        <v>Average</v>
      </c>
      <c r="E807" t="str">
        <v>No</v>
      </c>
      <c r="F807" t="str">
        <v>Rarely</v>
      </c>
      <c r="G807">
        <v>7</v>
      </c>
      <c r="H807">
        <v>3</v>
      </c>
      <c r="I807">
        <v>26.5</v>
      </c>
      <c r="J807">
        <v>144</v>
      </c>
      <c r="K807">
        <v>82</v>
      </c>
      <c r="L807">
        <v>8029</v>
      </c>
      <c r="M807" t="str" cm="1">
        <f t="array" ref="M807">_xlfn.IFS(C807&lt;6,"Poor",C807&lt;=8,"Normal",TRUE,"High")</f>
        <v>Normal</v>
      </c>
    </row>
    <row r="808" spans="1:13" x14ac:dyDescent="0.2">
      <c r="A808">
        <v>807</v>
      </c>
      <c r="B808" cm="1">
        <f t="array" ref="B808:L808">_xlfn.XLOOKUP($A808,Instagram_Usage_Lifestyle_Mini_!$A:$A,Instagram_Usage_Lifestyle_Mini_!$L:$V,"Not Found")</f>
        <v>11</v>
      </c>
      <c r="C808">
        <v>6.7</v>
      </c>
      <c r="D808" t="str">
        <v>Good</v>
      </c>
      <c r="E808" t="str">
        <v>No</v>
      </c>
      <c r="F808" t="str">
        <v>Several_times_a_week</v>
      </c>
      <c r="G808">
        <v>0</v>
      </c>
      <c r="H808">
        <v>3</v>
      </c>
      <c r="I808">
        <v>23.3</v>
      </c>
      <c r="J808">
        <v>91</v>
      </c>
      <c r="K808">
        <v>89</v>
      </c>
      <c r="L808">
        <v>8061</v>
      </c>
      <c r="M808" t="str" cm="1">
        <f t="array" ref="M808">_xlfn.IFS(C808&lt;6,"Poor",C808&lt;=8,"Normal",TRUE,"High")</f>
        <v>Normal</v>
      </c>
    </row>
    <row r="809" spans="1:13" x14ac:dyDescent="0.2">
      <c r="A809">
        <v>808</v>
      </c>
      <c r="B809" cm="1">
        <f t="array" ref="B809:L809">_xlfn.XLOOKUP($A809,Instagram_Usage_Lifestyle_Mini_!$A:$A,Instagram_Usage_Lifestyle_Mini_!$L:$V,"Not Found")</f>
        <v>10.4</v>
      </c>
      <c r="C809">
        <v>4.7</v>
      </c>
      <c r="D809" t="str">
        <v>Good</v>
      </c>
      <c r="E809" t="str">
        <v>No</v>
      </c>
      <c r="F809" t="str">
        <v>Several_times_a_week</v>
      </c>
      <c r="G809">
        <v>12</v>
      </c>
      <c r="H809">
        <v>9</v>
      </c>
      <c r="I809">
        <v>28.2</v>
      </c>
      <c r="J809">
        <v>153</v>
      </c>
      <c r="K809">
        <v>79</v>
      </c>
      <c r="L809">
        <v>7945</v>
      </c>
      <c r="M809" t="str" cm="1">
        <f t="array" ref="M809">_xlfn.IFS(C809&lt;6,"Poor",C809&lt;=8,"Normal",TRUE,"High")</f>
        <v>Poor</v>
      </c>
    </row>
    <row r="810" spans="1:13" x14ac:dyDescent="0.2">
      <c r="A810">
        <v>809</v>
      </c>
      <c r="B810" cm="1">
        <f t="array" ref="B810:L810">_xlfn.XLOOKUP($A810,Instagram_Usage_Lifestyle_Mini_!$A:$A,Instagram_Usage_Lifestyle_Mini_!$L:$V,"Not Found")</f>
        <v>1</v>
      </c>
      <c r="C810">
        <v>7</v>
      </c>
      <c r="D810" t="str">
        <v>Average</v>
      </c>
      <c r="E810" t="str">
        <v>No</v>
      </c>
      <c r="F810" t="str">
        <v>Never</v>
      </c>
      <c r="G810">
        <v>18</v>
      </c>
      <c r="H810">
        <v>4</v>
      </c>
      <c r="I810">
        <v>28.7</v>
      </c>
      <c r="J810">
        <v>99</v>
      </c>
      <c r="K810">
        <v>75</v>
      </c>
      <c r="L810">
        <v>7848</v>
      </c>
      <c r="M810" t="str" cm="1">
        <f t="array" ref="M810">_xlfn.IFS(C810&lt;6,"Poor",C810&lt;=8,"Normal",TRUE,"High")</f>
        <v>Normal</v>
      </c>
    </row>
    <row r="811" spans="1:13" x14ac:dyDescent="0.2">
      <c r="A811">
        <v>810</v>
      </c>
      <c r="B811" cm="1">
        <f t="array" ref="B811:L811">_xlfn.XLOOKUP($A811,Instagram_Usage_Lifestyle_Mini_!$A:$A,Instagram_Usage_Lifestyle_Mini_!$L:$V,"Not Found")</f>
        <v>19.5</v>
      </c>
      <c r="C811">
        <v>6.7</v>
      </c>
      <c r="D811" t="str">
        <v>Poor</v>
      </c>
      <c r="E811" t="str">
        <v>No</v>
      </c>
      <c r="F811" t="str">
        <v>Weekly</v>
      </c>
      <c r="G811">
        <v>40</v>
      </c>
      <c r="H811">
        <v>6</v>
      </c>
      <c r="I811">
        <v>23.6</v>
      </c>
      <c r="J811">
        <v>119</v>
      </c>
      <c r="K811">
        <v>78</v>
      </c>
      <c r="L811">
        <v>7914</v>
      </c>
      <c r="M811" t="str" cm="1">
        <f t="array" ref="M811">_xlfn.IFS(C811&lt;6,"Poor",C811&lt;=8,"Normal",TRUE,"High")</f>
        <v>Normal</v>
      </c>
    </row>
    <row r="812" spans="1:13" x14ac:dyDescent="0.2">
      <c r="A812">
        <v>811</v>
      </c>
      <c r="B812" cm="1">
        <f t="array" ref="B812:L812">_xlfn.XLOOKUP($A812,Instagram_Usage_Lifestyle_Mini_!$A:$A,Instagram_Usage_Lifestyle_Mini_!$L:$V,"Not Found")</f>
        <v>4.5999999999999996</v>
      </c>
      <c r="C812">
        <v>6.8</v>
      </c>
      <c r="D812" t="str">
        <v>Average</v>
      </c>
      <c r="E812" t="str">
        <v>No</v>
      </c>
      <c r="F812" t="str">
        <v>Daily</v>
      </c>
      <c r="G812">
        <v>15</v>
      </c>
      <c r="H812">
        <v>3</v>
      </c>
      <c r="I812">
        <v>27.6</v>
      </c>
      <c r="J812">
        <v>139</v>
      </c>
      <c r="K812">
        <v>72</v>
      </c>
      <c r="L812">
        <v>7951</v>
      </c>
      <c r="M812" t="str" cm="1">
        <f t="array" ref="M812">_xlfn.IFS(C812&lt;6,"Poor",C812&lt;=8,"Normal",TRUE,"High")</f>
        <v>Normal</v>
      </c>
    </row>
    <row r="813" spans="1:13" x14ac:dyDescent="0.2">
      <c r="A813">
        <v>812</v>
      </c>
      <c r="B813" cm="1">
        <f t="array" ref="B813:L813">_xlfn.XLOOKUP($A813,Instagram_Usage_Lifestyle_Mini_!$A:$A,Instagram_Usage_Lifestyle_Mini_!$L:$V,"Not Found")</f>
        <v>1</v>
      </c>
      <c r="C813">
        <v>5.7</v>
      </c>
      <c r="D813" t="str">
        <v>Average</v>
      </c>
      <c r="E813" t="str">
        <v>No</v>
      </c>
      <c r="F813" t="str">
        <v>Weekly</v>
      </c>
      <c r="G813">
        <v>11</v>
      </c>
      <c r="H813">
        <v>5</v>
      </c>
      <c r="I813">
        <v>25.4</v>
      </c>
      <c r="J813">
        <v>128</v>
      </c>
      <c r="K813">
        <v>74</v>
      </c>
      <c r="L813">
        <v>8019</v>
      </c>
      <c r="M813" t="str" cm="1">
        <f t="array" ref="M813">_xlfn.IFS(C813&lt;6,"Poor",C813&lt;=8,"Normal",TRUE,"High")</f>
        <v>Poor</v>
      </c>
    </row>
    <row r="814" spans="1:13" x14ac:dyDescent="0.2">
      <c r="A814">
        <v>813</v>
      </c>
      <c r="B814" cm="1">
        <f t="array" ref="B814:L814">_xlfn.XLOOKUP($A814,Instagram_Usage_Lifestyle_Mini_!$A:$A,Instagram_Usage_Lifestyle_Mini_!$L:$V,"Not Found")</f>
        <v>3</v>
      </c>
      <c r="C814">
        <v>6.9</v>
      </c>
      <c r="D814" t="str">
        <v>Average</v>
      </c>
      <c r="E814" t="str">
        <v>Yes</v>
      </c>
      <c r="F814" t="str">
        <v>Rarely</v>
      </c>
      <c r="G814">
        <v>1</v>
      </c>
      <c r="H814">
        <v>7</v>
      </c>
      <c r="I814">
        <v>25.4</v>
      </c>
      <c r="J814">
        <v>106</v>
      </c>
      <c r="K814">
        <v>72</v>
      </c>
      <c r="L814">
        <v>8101</v>
      </c>
      <c r="M814" t="str" cm="1">
        <f t="array" ref="M814">_xlfn.IFS(C814&lt;6,"Poor",C814&lt;=8,"Normal",TRUE,"High")</f>
        <v>Normal</v>
      </c>
    </row>
    <row r="815" spans="1:13" x14ac:dyDescent="0.2">
      <c r="A815">
        <v>814</v>
      </c>
      <c r="B815" cm="1">
        <f t="array" ref="B815:L815">_xlfn.XLOOKUP($A815,Instagram_Usage_Lifestyle_Mini_!$A:$A,Instagram_Usage_Lifestyle_Mini_!$L:$V,"Not Found")</f>
        <v>2.1</v>
      </c>
      <c r="C815">
        <v>7.3</v>
      </c>
      <c r="D815" t="str">
        <v>Average</v>
      </c>
      <c r="E815" t="str">
        <v>No</v>
      </c>
      <c r="F815" t="str">
        <v>Rarely</v>
      </c>
      <c r="G815">
        <v>9</v>
      </c>
      <c r="H815">
        <v>5</v>
      </c>
      <c r="I815">
        <v>17</v>
      </c>
      <c r="J815">
        <v>98</v>
      </c>
      <c r="K815">
        <v>82</v>
      </c>
      <c r="L815">
        <v>7913</v>
      </c>
      <c r="M815" t="str" cm="1">
        <f t="array" ref="M815">_xlfn.IFS(C815&lt;6,"Poor",C815&lt;=8,"Normal",TRUE,"High")</f>
        <v>Normal</v>
      </c>
    </row>
    <row r="816" spans="1:13" x14ac:dyDescent="0.2">
      <c r="A816">
        <v>815</v>
      </c>
      <c r="B816" cm="1">
        <f t="array" ref="B816:L816">_xlfn.XLOOKUP($A816,Instagram_Usage_Lifestyle_Mini_!$A:$A,Instagram_Usage_Lifestyle_Mini_!$L:$V,"Not Found")</f>
        <v>6.9</v>
      </c>
      <c r="C816">
        <v>9.6</v>
      </c>
      <c r="D816" t="str">
        <v>Average</v>
      </c>
      <c r="E816" t="str">
        <v>No</v>
      </c>
      <c r="F816" t="str">
        <v>Daily</v>
      </c>
      <c r="G816">
        <v>14</v>
      </c>
      <c r="H816">
        <v>3</v>
      </c>
      <c r="I816">
        <v>25.3</v>
      </c>
      <c r="J816">
        <v>127</v>
      </c>
      <c r="K816">
        <v>62</v>
      </c>
      <c r="L816">
        <v>8164</v>
      </c>
      <c r="M816" t="str" cm="1">
        <f t="array" ref="M816">_xlfn.IFS(C816&lt;6,"Poor",C816&lt;=8,"Normal",TRUE,"High")</f>
        <v>High</v>
      </c>
    </row>
    <row r="817" spans="1:13" x14ac:dyDescent="0.2">
      <c r="A817">
        <v>816</v>
      </c>
      <c r="B817" cm="1">
        <f t="array" ref="B817:L817">_xlfn.XLOOKUP($A817,Instagram_Usage_Lifestyle_Mini_!$A:$A,Instagram_Usage_Lifestyle_Mini_!$L:$V,"Not Found")</f>
        <v>7.5</v>
      </c>
      <c r="C817">
        <v>8</v>
      </c>
      <c r="D817" t="str">
        <v>Average</v>
      </c>
      <c r="E817" t="str">
        <v>No</v>
      </c>
      <c r="F817" t="str">
        <v>Rarely</v>
      </c>
      <c r="G817">
        <v>39</v>
      </c>
      <c r="H817">
        <v>8</v>
      </c>
      <c r="I817">
        <v>29.3</v>
      </c>
      <c r="J817">
        <v>134</v>
      </c>
      <c r="K817">
        <v>65</v>
      </c>
      <c r="L817">
        <v>7892</v>
      </c>
      <c r="M817" t="str" cm="1">
        <f t="array" ref="M817">_xlfn.IFS(C817&lt;6,"Poor",C817&lt;=8,"Normal",TRUE,"High")</f>
        <v>Normal</v>
      </c>
    </row>
    <row r="818" spans="1:13" x14ac:dyDescent="0.2">
      <c r="A818">
        <v>817</v>
      </c>
      <c r="B818" cm="1">
        <f t="array" ref="B818:L818">_xlfn.XLOOKUP($A818,Instagram_Usage_Lifestyle_Mini_!$A:$A,Instagram_Usage_Lifestyle_Mini_!$L:$V,"Not Found")</f>
        <v>2.1</v>
      </c>
      <c r="C818">
        <v>8.8000000000000007</v>
      </c>
      <c r="D818" t="str">
        <v>Good</v>
      </c>
      <c r="E818" t="str">
        <v>No</v>
      </c>
      <c r="F818" t="str">
        <v>Rarely</v>
      </c>
      <c r="G818">
        <v>25</v>
      </c>
      <c r="H818">
        <v>9</v>
      </c>
      <c r="I818">
        <v>21.3</v>
      </c>
      <c r="J818">
        <v>116</v>
      </c>
      <c r="K818">
        <v>72</v>
      </c>
      <c r="L818">
        <v>8071</v>
      </c>
      <c r="M818" t="str" cm="1">
        <f t="array" ref="M818">_xlfn.IFS(C818&lt;6,"Poor",C818&lt;=8,"Normal",TRUE,"High")</f>
        <v>High</v>
      </c>
    </row>
    <row r="819" spans="1:13" x14ac:dyDescent="0.2">
      <c r="A819">
        <v>818</v>
      </c>
      <c r="B819" cm="1">
        <f t="array" ref="B819:L819">_xlfn.XLOOKUP($A819,Instagram_Usage_Lifestyle_Mini_!$A:$A,Instagram_Usage_Lifestyle_Mini_!$L:$V,"Not Found")</f>
        <v>11.8</v>
      </c>
      <c r="C819">
        <v>5.5</v>
      </c>
      <c r="D819" t="str">
        <v>Poor</v>
      </c>
      <c r="E819" t="str">
        <v>No</v>
      </c>
      <c r="F819" t="str">
        <v>Several_times_a_week</v>
      </c>
      <c r="G819">
        <v>0</v>
      </c>
      <c r="H819">
        <v>2</v>
      </c>
      <c r="I819">
        <v>18.2</v>
      </c>
      <c r="J819">
        <v>132</v>
      </c>
      <c r="K819">
        <v>72</v>
      </c>
      <c r="L819">
        <v>7903</v>
      </c>
      <c r="M819" t="str" cm="1">
        <f t="array" ref="M819">_xlfn.IFS(C819&lt;6,"Poor",C819&lt;=8,"Normal",TRUE,"High")</f>
        <v>Poor</v>
      </c>
    </row>
    <row r="820" spans="1:13" x14ac:dyDescent="0.2">
      <c r="A820">
        <v>819</v>
      </c>
      <c r="B820" cm="1">
        <f t="array" ref="B820:L820">_xlfn.XLOOKUP($A820,Instagram_Usage_Lifestyle_Mini_!$A:$A,Instagram_Usage_Lifestyle_Mini_!$L:$V,"Not Found")</f>
        <v>17.100000000000001</v>
      </c>
      <c r="C820">
        <v>6.6</v>
      </c>
      <c r="D820" t="str">
        <v>Poor</v>
      </c>
      <c r="E820" t="str">
        <v>No</v>
      </c>
      <c r="F820" t="str">
        <v>Rarely</v>
      </c>
      <c r="G820">
        <v>40</v>
      </c>
      <c r="H820">
        <v>9</v>
      </c>
      <c r="I820">
        <v>23</v>
      </c>
      <c r="J820">
        <v>104</v>
      </c>
      <c r="K820">
        <v>87</v>
      </c>
      <c r="L820">
        <v>8199</v>
      </c>
      <c r="M820" t="str" cm="1">
        <f t="array" ref="M820">_xlfn.IFS(C820&lt;6,"Poor",C820&lt;=8,"Normal",TRUE,"High")</f>
        <v>Normal</v>
      </c>
    </row>
    <row r="821" spans="1:13" x14ac:dyDescent="0.2">
      <c r="A821">
        <v>820</v>
      </c>
      <c r="B821" cm="1">
        <f t="array" ref="B821:L821">_xlfn.XLOOKUP($A821,Instagram_Usage_Lifestyle_Mini_!$A:$A,Instagram_Usage_Lifestyle_Mini_!$L:$V,"Not Found")</f>
        <v>2.4</v>
      </c>
      <c r="C821">
        <v>6.4</v>
      </c>
      <c r="D821" t="str">
        <v>Good</v>
      </c>
      <c r="E821" t="str">
        <v>No</v>
      </c>
      <c r="F821" t="str">
        <v>Weekly</v>
      </c>
      <c r="G821">
        <v>25</v>
      </c>
      <c r="H821">
        <v>2</v>
      </c>
      <c r="I821">
        <v>25.3</v>
      </c>
      <c r="J821">
        <v>126</v>
      </c>
      <c r="K821">
        <v>72</v>
      </c>
      <c r="L821">
        <v>8086</v>
      </c>
      <c r="M821" t="str" cm="1">
        <f t="array" ref="M821">_xlfn.IFS(C821&lt;6,"Poor",C821&lt;=8,"Normal",TRUE,"High")</f>
        <v>Normal</v>
      </c>
    </row>
    <row r="822" spans="1:13" x14ac:dyDescent="0.2">
      <c r="A822">
        <v>821</v>
      </c>
      <c r="B822" cm="1">
        <f t="array" ref="B822:L822">_xlfn.XLOOKUP($A822,Instagram_Usage_Lifestyle_Mini_!$A:$A,Instagram_Usage_Lifestyle_Mini_!$L:$V,"Not Found")</f>
        <v>12.8</v>
      </c>
      <c r="C822">
        <v>7.4</v>
      </c>
      <c r="D822" t="str">
        <v>Good</v>
      </c>
      <c r="E822" t="str">
        <v>No</v>
      </c>
      <c r="F822" t="str">
        <v>Weekly</v>
      </c>
      <c r="G822">
        <v>38</v>
      </c>
      <c r="H822">
        <v>3</v>
      </c>
      <c r="I822">
        <v>29.5</v>
      </c>
      <c r="J822">
        <v>113</v>
      </c>
      <c r="K822">
        <v>77</v>
      </c>
      <c r="L822">
        <v>7845</v>
      </c>
      <c r="M822" t="str" cm="1">
        <f t="array" ref="M822">_xlfn.IFS(C822&lt;6,"Poor",C822&lt;=8,"Normal",TRUE,"High")</f>
        <v>Normal</v>
      </c>
    </row>
    <row r="823" spans="1:13" x14ac:dyDescent="0.2">
      <c r="A823">
        <v>822</v>
      </c>
      <c r="B823" cm="1">
        <f t="array" ref="B823:L823">_xlfn.XLOOKUP($A823,Instagram_Usage_Lifestyle_Mini_!$A:$A,Instagram_Usage_Lifestyle_Mini_!$L:$V,"Not Found")</f>
        <v>0.6</v>
      </c>
      <c r="C823">
        <v>5.9</v>
      </c>
      <c r="D823" t="str">
        <v>Poor</v>
      </c>
      <c r="E823" t="str">
        <v>Yes</v>
      </c>
      <c r="F823" t="str">
        <v>Never</v>
      </c>
      <c r="G823">
        <v>10</v>
      </c>
      <c r="H823">
        <v>6</v>
      </c>
      <c r="I823">
        <v>23.7</v>
      </c>
      <c r="J823">
        <v>133</v>
      </c>
      <c r="K823">
        <v>79</v>
      </c>
      <c r="L823">
        <v>8108</v>
      </c>
      <c r="M823" t="str" cm="1">
        <f t="array" ref="M823">_xlfn.IFS(C823&lt;6,"Poor",C823&lt;=8,"Normal",TRUE,"High")</f>
        <v>Poor</v>
      </c>
    </row>
    <row r="824" spans="1:13" x14ac:dyDescent="0.2">
      <c r="A824">
        <v>823</v>
      </c>
      <c r="B824" cm="1">
        <f t="array" ref="B824:L824">_xlfn.XLOOKUP($A824,Instagram_Usage_Lifestyle_Mini_!$A:$A,Instagram_Usage_Lifestyle_Mini_!$L:$V,"Not Found")</f>
        <v>11</v>
      </c>
      <c r="C824">
        <v>7.5</v>
      </c>
      <c r="D824" t="str">
        <v>Good</v>
      </c>
      <c r="E824" t="str">
        <v>No</v>
      </c>
      <c r="F824" t="str">
        <v>Rarely</v>
      </c>
      <c r="G824">
        <v>4</v>
      </c>
      <c r="H824">
        <v>1</v>
      </c>
      <c r="I824">
        <v>29.5</v>
      </c>
      <c r="J824">
        <v>144</v>
      </c>
      <c r="K824">
        <v>99</v>
      </c>
      <c r="L824">
        <v>8095</v>
      </c>
      <c r="M824" t="str" cm="1">
        <f t="array" ref="M824">_xlfn.IFS(C824&lt;6,"Poor",C824&lt;=8,"Normal",TRUE,"High")</f>
        <v>Normal</v>
      </c>
    </row>
    <row r="825" spans="1:13" x14ac:dyDescent="0.2">
      <c r="A825">
        <v>824</v>
      </c>
      <c r="B825" cm="1">
        <f t="array" ref="B825:L825">_xlfn.XLOOKUP($A825,Instagram_Usage_Lifestyle_Mini_!$A:$A,Instagram_Usage_Lifestyle_Mini_!$L:$V,"Not Found")</f>
        <v>12.9</v>
      </c>
      <c r="C825">
        <v>6.8</v>
      </c>
      <c r="D825" t="str">
        <v>Average</v>
      </c>
      <c r="E825" t="str">
        <v>No</v>
      </c>
      <c r="F825" t="str">
        <v>Several_times_a_week</v>
      </c>
      <c r="G825">
        <v>2</v>
      </c>
      <c r="H825">
        <v>8</v>
      </c>
      <c r="I825">
        <v>27.9</v>
      </c>
      <c r="J825">
        <v>98</v>
      </c>
      <c r="K825">
        <v>96</v>
      </c>
      <c r="L825">
        <v>8123</v>
      </c>
      <c r="M825" t="str" cm="1">
        <f t="array" ref="M825">_xlfn.IFS(C825&lt;6,"Poor",C825&lt;=8,"Normal",TRUE,"High")</f>
        <v>Normal</v>
      </c>
    </row>
    <row r="826" spans="1:13" x14ac:dyDescent="0.2">
      <c r="A826">
        <v>825</v>
      </c>
      <c r="B826" cm="1">
        <f t="array" ref="B826:L826">_xlfn.XLOOKUP($A826,Instagram_Usage_Lifestyle_Mini_!$A:$A,Instagram_Usage_Lifestyle_Mini_!$L:$V,"Not Found")</f>
        <v>13.3</v>
      </c>
      <c r="C826">
        <v>6.6</v>
      </c>
      <c r="D826" t="str">
        <v>Average</v>
      </c>
      <c r="E826" t="str">
        <v>No</v>
      </c>
      <c r="F826" t="str">
        <v>Never</v>
      </c>
      <c r="G826">
        <v>4</v>
      </c>
      <c r="H826">
        <v>6</v>
      </c>
      <c r="I826">
        <v>23.3</v>
      </c>
      <c r="J826">
        <v>129</v>
      </c>
      <c r="K826">
        <v>75</v>
      </c>
      <c r="L826">
        <v>7976</v>
      </c>
      <c r="M826" t="str" cm="1">
        <f t="array" ref="M826">_xlfn.IFS(C826&lt;6,"Poor",C826&lt;=8,"Normal",TRUE,"High")</f>
        <v>Normal</v>
      </c>
    </row>
    <row r="827" spans="1:13" x14ac:dyDescent="0.2">
      <c r="A827">
        <v>826</v>
      </c>
      <c r="B827" cm="1">
        <f t="array" ref="B827:L827">_xlfn.XLOOKUP($A827,Instagram_Usage_Lifestyle_Mini_!$A:$A,Instagram_Usage_Lifestyle_Mini_!$L:$V,"Not Found")</f>
        <v>6.4</v>
      </c>
      <c r="C827">
        <v>7</v>
      </c>
      <c r="D827" t="str">
        <v>Good</v>
      </c>
      <c r="E827" t="str">
        <v>No</v>
      </c>
      <c r="F827" t="str">
        <v>Rarely</v>
      </c>
      <c r="G827">
        <v>15</v>
      </c>
      <c r="H827">
        <v>6</v>
      </c>
      <c r="I827">
        <v>17.100000000000001</v>
      </c>
      <c r="J827">
        <v>124</v>
      </c>
      <c r="K827">
        <v>61</v>
      </c>
      <c r="L827">
        <v>8125</v>
      </c>
      <c r="M827" t="str" cm="1">
        <f t="array" ref="M827">_xlfn.IFS(C827&lt;6,"Poor",C827&lt;=8,"Normal",TRUE,"High")</f>
        <v>Normal</v>
      </c>
    </row>
    <row r="828" spans="1:13" x14ac:dyDescent="0.2">
      <c r="A828">
        <v>827</v>
      </c>
      <c r="B828" cm="1">
        <f t="array" ref="B828:L828">_xlfn.XLOOKUP($A828,Instagram_Usage_Lifestyle_Mini_!$A:$A,Instagram_Usage_Lifestyle_Mini_!$L:$V,"Not Found")</f>
        <v>8.4</v>
      </c>
      <c r="C828">
        <v>4.9000000000000004</v>
      </c>
      <c r="D828" t="str">
        <v>Excellent</v>
      </c>
      <c r="E828" t="str">
        <v>Former</v>
      </c>
      <c r="F828" t="str">
        <v>Rarely</v>
      </c>
      <c r="G828">
        <v>39</v>
      </c>
      <c r="H828">
        <v>9</v>
      </c>
      <c r="I828">
        <v>23.1</v>
      </c>
      <c r="J828">
        <v>92</v>
      </c>
      <c r="K828">
        <v>79</v>
      </c>
      <c r="L828">
        <v>8164</v>
      </c>
      <c r="M828" t="str" cm="1">
        <f t="array" ref="M828">_xlfn.IFS(C828&lt;6,"Poor",C828&lt;=8,"Normal",TRUE,"High")</f>
        <v>Poor</v>
      </c>
    </row>
    <row r="829" spans="1:13" x14ac:dyDescent="0.2">
      <c r="A829">
        <v>828</v>
      </c>
      <c r="B829" cm="1">
        <f t="array" ref="B829:L829">_xlfn.XLOOKUP($A829,Instagram_Usage_Lifestyle_Mini_!$A:$A,Instagram_Usage_Lifestyle_Mini_!$L:$V,"Not Found")</f>
        <v>8.1999999999999993</v>
      </c>
      <c r="C829">
        <v>4.5</v>
      </c>
      <c r="D829" t="str">
        <v>Excellent</v>
      </c>
      <c r="E829" t="str">
        <v>No</v>
      </c>
      <c r="F829" t="str">
        <v>Rarely</v>
      </c>
      <c r="G829">
        <v>3</v>
      </c>
      <c r="H829">
        <v>2</v>
      </c>
      <c r="I829">
        <v>28.6</v>
      </c>
      <c r="J829">
        <v>98</v>
      </c>
      <c r="K829">
        <v>82</v>
      </c>
      <c r="L829">
        <v>8071</v>
      </c>
      <c r="M829" t="str" cm="1">
        <f t="array" ref="M829">_xlfn.IFS(C829&lt;6,"Poor",C829&lt;=8,"Normal",TRUE,"High")</f>
        <v>Poor</v>
      </c>
    </row>
    <row r="830" spans="1:13" x14ac:dyDescent="0.2">
      <c r="A830">
        <v>829</v>
      </c>
      <c r="B830" cm="1">
        <f t="array" ref="B830:L830">_xlfn.XLOOKUP($A830,Instagram_Usage_Lifestyle_Mini_!$A:$A,Instagram_Usage_Lifestyle_Mini_!$L:$V,"Not Found")</f>
        <v>12.6</v>
      </c>
      <c r="C830">
        <v>5.7</v>
      </c>
      <c r="D830" t="str">
        <v>Average</v>
      </c>
      <c r="E830" t="str">
        <v>No</v>
      </c>
      <c r="F830" t="str">
        <v>Weekly</v>
      </c>
      <c r="G830">
        <v>27</v>
      </c>
      <c r="H830">
        <v>8</v>
      </c>
      <c r="I830">
        <v>26.2</v>
      </c>
      <c r="J830">
        <v>137</v>
      </c>
      <c r="K830">
        <v>74</v>
      </c>
      <c r="L830">
        <v>7995</v>
      </c>
      <c r="M830" t="str" cm="1">
        <f t="array" ref="M830">_xlfn.IFS(C830&lt;6,"Poor",C830&lt;=8,"Normal",TRUE,"High")</f>
        <v>Poor</v>
      </c>
    </row>
    <row r="831" spans="1:13" x14ac:dyDescent="0.2">
      <c r="A831">
        <v>830</v>
      </c>
      <c r="B831" cm="1">
        <f t="array" ref="B831:L831">_xlfn.XLOOKUP($A831,Instagram_Usage_Lifestyle_Mini_!$A:$A,Instagram_Usage_Lifestyle_Mini_!$L:$V,"Not Found")</f>
        <v>11.9</v>
      </c>
      <c r="C831">
        <v>7.8</v>
      </c>
      <c r="D831" t="str">
        <v>Good</v>
      </c>
      <c r="E831" t="str">
        <v>No</v>
      </c>
      <c r="F831" t="str">
        <v>Weekly</v>
      </c>
      <c r="G831">
        <v>0</v>
      </c>
      <c r="H831">
        <v>9</v>
      </c>
      <c r="I831">
        <v>19.600000000000001</v>
      </c>
      <c r="J831">
        <v>132</v>
      </c>
      <c r="K831">
        <v>87</v>
      </c>
      <c r="L831">
        <v>8067</v>
      </c>
      <c r="M831" t="str" cm="1">
        <f t="array" ref="M831">_xlfn.IFS(C831&lt;6,"Poor",C831&lt;=8,"Normal",TRUE,"High")</f>
        <v>Normal</v>
      </c>
    </row>
    <row r="832" spans="1:13" x14ac:dyDescent="0.2">
      <c r="A832">
        <v>831</v>
      </c>
      <c r="B832" cm="1">
        <f t="array" ref="B832:L832">_xlfn.XLOOKUP($A832,Instagram_Usage_Lifestyle_Mini_!$A:$A,Instagram_Usage_Lifestyle_Mini_!$L:$V,"Not Found")</f>
        <v>4.4000000000000004</v>
      </c>
      <c r="C832">
        <v>6</v>
      </c>
      <c r="D832" t="str">
        <v>Average</v>
      </c>
      <c r="E832" t="str">
        <v>Former</v>
      </c>
      <c r="F832" t="str">
        <v>Weekly</v>
      </c>
      <c r="G832">
        <v>29</v>
      </c>
      <c r="H832">
        <v>6</v>
      </c>
      <c r="I832">
        <v>31.1</v>
      </c>
      <c r="J832">
        <v>139</v>
      </c>
      <c r="K832">
        <v>98</v>
      </c>
      <c r="L832">
        <v>8032</v>
      </c>
      <c r="M832" t="str" cm="1">
        <f t="array" ref="M832">_xlfn.IFS(C832&lt;6,"Poor",C832&lt;=8,"Normal",TRUE,"High")</f>
        <v>Normal</v>
      </c>
    </row>
    <row r="833" spans="1:13" x14ac:dyDescent="0.2">
      <c r="A833">
        <v>832</v>
      </c>
      <c r="B833" cm="1">
        <f t="array" ref="B833:L833">_xlfn.XLOOKUP($A833,Instagram_Usage_Lifestyle_Mini_!$A:$A,Instagram_Usage_Lifestyle_Mini_!$L:$V,"Not Found")</f>
        <v>3.5</v>
      </c>
      <c r="C833">
        <v>6.2</v>
      </c>
      <c r="D833" t="str">
        <v>Poor</v>
      </c>
      <c r="E833" t="str">
        <v>No</v>
      </c>
      <c r="F833" t="str">
        <v>Rarely</v>
      </c>
      <c r="G833">
        <v>22</v>
      </c>
      <c r="H833">
        <v>9</v>
      </c>
      <c r="I833">
        <v>29.1</v>
      </c>
      <c r="J833">
        <v>100</v>
      </c>
      <c r="K833">
        <v>76</v>
      </c>
      <c r="L833">
        <v>8089</v>
      </c>
      <c r="M833" t="str" cm="1">
        <f t="array" ref="M833">_xlfn.IFS(C833&lt;6,"Poor",C833&lt;=8,"Normal",TRUE,"High")</f>
        <v>Normal</v>
      </c>
    </row>
    <row r="834" spans="1:13" x14ac:dyDescent="0.2">
      <c r="A834">
        <v>833</v>
      </c>
      <c r="B834" cm="1">
        <f t="array" ref="B834:L834">_xlfn.XLOOKUP($A834,Instagram_Usage_Lifestyle_Mini_!$A:$A,Instagram_Usage_Lifestyle_Mini_!$L:$V,"Not Found")</f>
        <v>9.6</v>
      </c>
      <c r="C834">
        <v>6.2</v>
      </c>
      <c r="D834" t="str">
        <v>Poor</v>
      </c>
      <c r="E834" t="str">
        <v>No</v>
      </c>
      <c r="F834" t="str">
        <v>Never</v>
      </c>
      <c r="G834">
        <v>27</v>
      </c>
      <c r="H834">
        <v>8</v>
      </c>
      <c r="I834">
        <v>27.1</v>
      </c>
      <c r="J834">
        <v>96</v>
      </c>
      <c r="K834">
        <v>93</v>
      </c>
      <c r="L834">
        <v>7906</v>
      </c>
      <c r="M834" t="str" cm="1">
        <f t="array" ref="M834">_xlfn.IFS(C834&lt;6,"Poor",C834&lt;=8,"Normal",TRUE,"High")</f>
        <v>Normal</v>
      </c>
    </row>
    <row r="835" spans="1:13" x14ac:dyDescent="0.2">
      <c r="A835">
        <v>834</v>
      </c>
      <c r="B835" cm="1">
        <f t="array" ref="B835:L835">_xlfn.XLOOKUP($A835,Instagram_Usage_Lifestyle_Mini_!$A:$A,Instagram_Usage_Lifestyle_Mini_!$L:$V,"Not Found")</f>
        <v>16.899999999999999</v>
      </c>
      <c r="C835">
        <v>6.7</v>
      </c>
      <c r="D835" t="str">
        <v>Average</v>
      </c>
      <c r="E835" t="str">
        <v>Former</v>
      </c>
      <c r="F835" t="str">
        <v>Never</v>
      </c>
      <c r="G835">
        <v>2</v>
      </c>
      <c r="H835">
        <v>8</v>
      </c>
      <c r="I835">
        <v>24.3</v>
      </c>
      <c r="J835">
        <v>94</v>
      </c>
      <c r="K835">
        <v>72</v>
      </c>
      <c r="L835">
        <v>8160</v>
      </c>
      <c r="M835" t="str" cm="1">
        <f t="array" ref="M835">_xlfn.IFS(C835&lt;6,"Poor",C835&lt;=8,"Normal",TRUE,"High")</f>
        <v>Normal</v>
      </c>
    </row>
    <row r="836" spans="1:13" x14ac:dyDescent="0.2">
      <c r="A836">
        <v>835</v>
      </c>
      <c r="B836" cm="1">
        <f t="array" ref="B836:L836">_xlfn.XLOOKUP($A836,Instagram_Usage_Lifestyle_Mini_!$A:$A,Instagram_Usage_Lifestyle_Mini_!$L:$V,"Not Found")</f>
        <v>2.9</v>
      </c>
      <c r="C836">
        <v>7.6</v>
      </c>
      <c r="D836" t="str">
        <v>Excellent</v>
      </c>
      <c r="E836" t="str">
        <v>No</v>
      </c>
      <c r="F836" t="str">
        <v>Rarely</v>
      </c>
      <c r="G836">
        <v>21</v>
      </c>
      <c r="H836">
        <v>9</v>
      </c>
      <c r="I836">
        <v>31.6</v>
      </c>
      <c r="J836">
        <v>136</v>
      </c>
      <c r="K836">
        <v>83</v>
      </c>
      <c r="L836">
        <v>7974</v>
      </c>
      <c r="M836" t="str" cm="1">
        <f t="array" ref="M836">_xlfn.IFS(C836&lt;6,"Poor",C836&lt;=8,"Normal",TRUE,"High")</f>
        <v>Normal</v>
      </c>
    </row>
    <row r="837" spans="1:13" x14ac:dyDescent="0.2">
      <c r="A837">
        <v>836</v>
      </c>
      <c r="B837" cm="1">
        <f t="array" ref="B837:L837">_xlfn.XLOOKUP($A837,Instagram_Usage_Lifestyle_Mini_!$A:$A,Instagram_Usage_Lifestyle_Mini_!$L:$V,"Not Found")</f>
        <v>0.7</v>
      </c>
      <c r="C837">
        <v>6.8</v>
      </c>
      <c r="D837" t="str">
        <v>Good</v>
      </c>
      <c r="E837" t="str">
        <v>Yes</v>
      </c>
      <c r="F837" t="str">
        <v>Rarely</v>
      </c>
      <c r="G837">
        <v>25</v>
      </c>
      <c r="H837">
        <v>3</v>
      </c>
      <c r="I837">
        <v>23.6</v>
      </c>
      <c r="J837">
        <v>131</v>
      </c>
      <c r="K837">
        <v>87</v>
      </c>
      <c r="L837">
        <v>8066</v>
      </c>
      <c r="M837" t="str" cm="1">
        <f t="array" ref="M837">_xlfn.IFS(C837&lt;6,"Poor",C837&lt;=8,"Normal",TRUE,"High")</f>
        <v>Normal</v>
      </c>
    </row>
    <row r="838" spans="1:13" x14ac:dyDescent="0.2">
      <c r="A838">
        <v>837</v>
      </c>
      <c r="B838" cm="1">
        <f t="array" ref="B838:L838">_xlfn.XLOOKUP($A838,Instagram_Usage_Lifestyle_Mini_!$A:$A,Instagram_Usage_Lifestyle_Mini_!$L:$V,"Not Found")</f>
        <v>2</v>
      </c>
      <c r="C838">
        <v>7.9</v>
      </c>
      <c r="D838" t="str">
        <v>Good</v>
      </c>
      <c r="E838" t="str">
        <v>No</v>
      </c>
      <c r="F838" t="str">
        <v>Weekly</v>
      </c>
      <c r="G838">
        <v>31</v>
      </c>
      <c r="H838">
        <v>1</v>
      </c>
      <c r="I838">
        <v>29</v>
      </c>
      <c r="J838">
        <v>137</v>
      </c>
      <c r="K838">
        <v>69</v>
      </c>
      <c r="L838">
        <v>7895</v>
      </c>
      <c r="M838" t="str" cm="1">
        <f t="array" ref="M838">_xlfn.IFS(C838&lt;6,"Poor",C838&lt;=8,"Normal",TRUE,"High")</f>
        <v>Normal</v>
      </c>
    </row>
    <row r="839" spans="1:13" x14ac:dyDescent="0.2">
      <c r="A839">
        <v>838</v>
      </c>
      <c r="B839" cm="1">
        <f t="array" ref="B839:L839">_xlfn.XLOOKUP($A839,Instagram_Usage_Lifestyle_Mini_!$A:$A,Instagram_Usage_Lifestyle_Mini_!$L:$V,"Not Found")</f>
        <v>7.8</v>
      </c>
      <c r="C839">
        <v>5.3</v>
      </c>
      <c r="D839" t="str">
        <v>Average</v>
      </c>
      <c r="E839" t="str">
        <v>No</v>
      </c>
      <c r="F839" t="str">
        <v>Daily</v>
      </c>
      <c r="G839">
        <v>11</v>
      </c>
      <c r="H839">
        <v>10</v>
      </c>
      <c r="I839">
        <v>18.2</v>
      </c>
      <c r="J839">
        <v>146</v>
      </c>
      <c r="K839">
        <v>89</v>
      </c>
      <c r="L839">
        <v>7963</v>
      </c>
      <c r="M839" t="str" cm="1">
        <f t="array" ref="M839">_xlfn.IFS(C839&lt;6,"Poor",C839&lt;=8,"Normal",TRUE,"High")</f>
        <v>Poor</v>
      </c>
    </row>
    <row r="840" spans="1:13" x14ac:dyDescent="0.2">
      <c r="A840">
        <v>839</v>
      </c>
      <c r="B840" cm="1">
        <f t="array" ref="B840:L840">_xlfn.XLOOKUP($A840,Instagram_Usage_Lifestyle_Mini_!$A:$A,Instagram_Usage_Lifestyle_Mini_!$L:$V,"Not Found")</f>
        <v>13</v>
      </c>
      <c r="C840">
        <v>6.6</v>
      </c>
      <c r="D840" t="str">
        <v>Good</v>
      </c>
      <c r="E840" t="str">
        <v>No</v>
      </c>
      <c r="F840" t="str">
        <v>Rarely</v>
      </c>
      <c r="G840">
        <v>31</v>
      </c>
      <c r="H840">
        <v>9</v>
      </c>
      <c r="I840">
        <v>20.2</v>
      </c>
      <c r="J840">
        <v>142</v>
      </c>
      <c r="K840">
        <v>71</v>
      </c>
      <c r="L840">
        <v>7904</v>
      </c>
      <c r="M840" t="str" cm="1">
        <f t="array" ref="M840">_xlfn.IFS(C840&lt;6,"Poor",C840&lt;=8,"Normal",TRUE,"High")</f>
        <v>Normal</v>
      </c>
    </row>
    <row r="841" spans="1:13" x14ac:dyDescent="0.2">
      <c r="A841">
        <v>840</v>
      </c>
      <c r="B841" cm="1">
        <f t="array" ref="B841:L841">_xlfn.XLOOKUP($A841,Instagram_Usage_Lifestyle_Mini_!$A:$A,Instagram_Usage_Lifestyle_Mini_!$L:$V,"Not Found")</f>
        <v>11.9</v>
      </c>
      <c r="C841">
        <v>6.3</v>
      </c>
      <c r="D841" t="str">
        <v>Good</v>
      </c>
      <c r="E841" t="str">
        <v>No</v>
      </c>
      <c r="F841" t="str">
        <v>Never</v>
      </c>
      <c r="G841">
        <v>3</v>
      </c>
      <c r="H841">
        <v>4</v>
      </c>
      <c r="I841">
        <v>19.100000000000001</v>
      </c>
      <c r="J841">
        <v>117</v>
      </c>
      <c r="K841">
        <v>73</v>
      </c>
      <c r="L841">
        <v>8174</v>
      </c>
      <c r="M841" t="str" cm="1">
        <f t="array" ref="M841">_xlfn.IFS(C841&lt;6,"Poor",C841&lt;=8,"Normal",TRUE,"High")</f>
        <v>Normal</v>
      </c>
    </row>
    <row r="842" spans="1:13" x14ac:dyDescent="0.2">
      <c r="A842">
        <v>841</v>
      </c>
      <c r="B842" cm="1">
        <f t="array" ref="B842:L842">_xlfn.XLOOKUP($A842,Instagram_Usage_Lifestyle_Mini_!$A:$A,Instagram_Usage_Lifestyle_Mini_!$L:$V,"Not Found")</f>
        <v>7.4</v>
      </c>
      <c r="C842">
        <v>6.2</v>
      </c>
      <c r="D842" t="str">
        <v>Average</v>
      </c>
      <c r="E842" t="str">
        <v>No</v>
      </c>
      <c r="F842" t="str">
        <v>Never</v>
      </c>
      <c r="G842">
        <v>27</v>
      </c>
      <c r="H842">
        <v>4</v>
      </c>
      <c r="I842">
        <v>20.6</v>
      </c>
      <c r="J842">
        <v>151</v>
      </c>
      <c r="K842">
        <v>91</v>
      </c>
      <c r="L842">
        <v>7990</v>
      </c>
      <c r="M842" t="str" cm="1">
        <f t="array" ref="M842">_xlfn.IFS(C842&lt;6,"Poor",C842&lt;=8,"Normal",TRUE,"High")</f>
        <v>Normal</v>
      </c>
    </row>
    <row r="843" spans="1:13" x14ac:dyDescent="0.2">
      <c r="A843">
        <v>842</v>
      </c>
      <c r="B843" cm="1">
        <f t="array" ref="B843:L843">_xlfn.XLOOKUP($A843,Instagram_Usage_Lifestyle_Mini_!$A:$A,Instagram_Usage_Lifestyle_Mini_!$L:$V,"Not Found")</f>
        <v>7.2</v>
      </c>
      <c r="C843">
        <v>7.2</v>
      </c>
      <c r="D843" t="str">
        <v>Very_poor</v>
      </c>
      <c r="E843" t="str">
        <v>Former</v>
      </c>
      <c r="F843" t="str">
        <v>Weekly</v>
      </c>
      <c r="G843">
        <v>33</v>
      </c>
      <c r="H843">
        <v>8</v>
      </c>
      <c r="I843">
        <v>27.4</v>
      </c>
      <c r="J843">
        <v>100</v>
      </c>
      <c r="K843">
        <v>99</v>
      </c>
      <c r="L843">
        <v>8079</v>
      </c>
      <c r="M843" t="str" cm="1">
        <f t="array" ref="M843">_xlfn.IFS(C843&lt;6,"Poor",C843&lt;=8,"Normal",TRUE,"High")</f>
        <v>Normal</v>
      </c>
    </row>
    <row r="844" spans="1:13" x14ac:dyDescent="0.2">
      <c r="A844">
        <v>843</v>
      </c>
      <c r="B844" cm="1">
        <f t="array" ref="B844:L844">_xlfn.XLOOKUP($A844,Instagram_Usage_Lifestyle_Mini_!$A:$A,Instagram_Usage_Lifestyle_Mini_!$L:$V,"Not Found")</f>
        <v>10.5</v>
      </c>
      <c r="C844">
        <v>7.3</v>
      </c>
      <c r="D844" t="str">
        <v>Excellent</v>
      </c>
      <c r="E844" t="str">
        <v>No</v>
      </c>
      <c r="F844" t="str">
        <v>Never</v>
      </c>
      <c r="G844">
        <v>10</v>
      </c>
      <c r="H844">
        <v>4</v>
      </c>
      <c r="I844">
        <v>24.1</v>
      </c>
      <c r="J844">
        <v>151</v>
      </c>
      <c r="K844">
        <v>94</v>
      </c>
      <c r="L844">
        <v>7967</v>
      </c>
      <c r="M844" t="str" cm="1">
        <f t="array" ref="M844">_xlfn.IFS(C844&lt;6,"Poor",C844&lt;=8,"Normal",TRUE,"High")</f>
        <v>Normal</v>
      </c>
    </row>
    <row r="845" spans="1:13" x14ac:dyDescent="0.2">
      <c r="A845">
        <v>844</v>
      </c>
      <c r="B845" cm="1">
        <f t="array" ref="B845:L845">_xlfn.XLOOKUP($A845,Instagram_Usage_Lifestyle_Mini_!$A:$A,Instagram_Usage_Lifestyle_Mini_!$L:$V,"Not Found")</f>
        <v>0.5</v>
      </c>
      <c r="C845">
        <v>8.3000000000000007</v>
      </c>
      <c r="D845" t="str">
        <v>Average</v>
      </c>
      <c r="E845" t="str">
        <v>Yes</v>
      </c>
      <c r="F845" t="str">
        <v>Daily</v>
      </c>
      <c r="G845">
        <v>2</v>
      </c>
      <c r="H845">
        <v>1</v>
      </c>
      <c r="I845">
        <v>21.2</v>
      </c>
      <c r="J845">
        <v>91</v>
      </c>
      <c r="K845">
        <v>82</v>
      </c>
      <c r="L845">
        <v>8025</v>
      </c>
      <c r="M845" t="str" cm="1">
        <f t="array" ref="M845">_xlfn.IFS(C845&lt;6,"Poor",C845&lt;=8,"Normal",TRUE,"High")</f>
        <v>High</v>
      </c>
    </row>
    <row r="846" spans="1:13" x14ac:dyDescent="0.2">
      <c r="A846">
        <v>845</v>
      </c>
      <c r="B846" cm="1">
        <f t="array" ref="B846:L846">_xlfn.XLOOKUP($A846,Instagram_Usage_Lifestyle_Mini_!$A:$A,Instagram_Usage_Lifestyle_Mini_!$L:$V,"Not Found")</f>
        <v>0.5</v>
      </c>
      <c r="C846">
        <v>7.6</v>
      </c>
      <c r="D846" t="str">
        <v>Average</v>
      </c>
      <c r="E846" t="str">
        <v>No</v>
      </c>
      <c r="F846" t="str">
        <v>Weekly</v>
      </c>
      <c r="G846">
        <v>23</v>
      </c>
      <c r="H846">
        <v>3</v>
      </c>
      <c r="I846">
        <v>22.6</v>
      </c>
      <c r="J846">
        <v>122</v>
      </c>
      <c r="K846">
        <v>81</v>
      </c>
      <c r="L846">
        <v>7826</v>
      </c>
      <c r="M846" t="str" cm="1">
        <f t="array" ref="M846">_xlfn.IFS(C846&lt;6,"Poor",C846&lt;=8,"Normal",TRUE,"High")</f>
        <v>Normal</v>
      </c>
    </row>
    <row r="847" spans="1:13" x14ac:dyDescent="0.2">
      <c r="A847">
        <v>846</v>
      </c>
      <c r="B847" cm="1">
        <f t="array" ref="B847:L847">_xlfn.XLOOKUP($A847,Instagram_Usage_Lifestyle_Mini_!$A:$A,Instagram_Usage_Lifestyle_Mini_!$L:$V,"Not Found")</f>
        <v>16.399999999999999</v>
      </c>
      <c r="C847">
        <v>5.3</v>
      </c>
      <c r="D847" t="str">
        <v>Excellent</v>
      </c>
      <c r="E847" t="str">
        <v>No</v>
      </c>
      <c r="F847" t="str">
        <v>Rarely</v>
      </c>
      <c r="G847">
        <v>10</v>
      </c>
      <c r="H847">
        <v>4</v>
      </c>
      <c r="I847">
        <v>31.1</v>
      </c>
      <c r="J847">
        <v>93</v>
      </c>
      <c r="K847">
        <v>98</v>
      </c>
      <c r="L847">
        <v>7957</v>
      </c>
      <c r="M847" t="str" cm="1">
        <f t="array" ref="M847">_xlfn.IFS(C847&lt;6,"Poor",C847&lt;=8,"Normal",TRUE,"High")</f>
        <v>Poor</v>
      </c>
    </row>
    <row r="848" spans="1:13" x14ac:dyDescent="0.2">
      <c r="A848">
        <v>847</v>
      </c>
      <c r="B848" cm="1">
        <f t="array" ref="B848:L848">_xlfn.XLOOKUP($A848,Instagram_Usage_Lifestyle_Mini_!$A:$A,Instagram_Usage_Lifestyle_Mini_!$L:$V,"Not Found")</f>
        <v>9.1</v>
      </c>
      <c r="C848">
        <v>7.4</v>
      </c>
      <c r="D848" t="str">
        <v>Average</v>
      </c>
      <c r="E848" t="str">
        <v>No</v>
      </c>
      <c r="F848" t="str">
        <v>Never</v>
      </c>
      <c r="G848">
        <v>37</v>
      </c>
      <c r="H848">
        <v>2</v>
      </c>
      <c r="I848">
        <v>29.1</v>
      </c>
      <c r="J848">
        <v>95</v>
      </c>
      <c r="K848">
        <v>85</v>
      </c>
      <c r="L848">
        <v>7911</v>
      </c>
      <c r="M848" t="str" cm="1">
        <f t="array" ref="M848">_xlfn.IFS(C848&lt;6,"Poor",C848&lt;=8,"Normal",TRUE,"High")</f>
        <v>Normal</v>
      </c>
    </row>
    <row r="849" spans="1:13" x14ac:dyDescent="0.2">
      <c r="A849">
        <v>848</v>
      </c>
      <c r="B849" cm="1">
        <f t="array" ref="B849:L849">_xlfn.XLOOKUP($A849,Instagram_Usage_Lifestyle_Mini_!$A:$A,Instagram_Usage_Lifestyle_Mini_!$L:$V,"Not Found")</f>
        <v>2.2999999999999998</v>
      </c>
      <c r="C849">
        <v>6.5</v>
      </c>
      <c r="D849" t="str">
        <v>Excellent</v>
      </c>
      <c r="E849" t="str">
        <v>Former</v>
      </c>
      <c r="F849" t="str">
        <v>Weekly</v>
      </c>
      <c r="G849">
        <v>28</v>
      </c>
      <c r="H849">
        <v>4</v>
      </c>
      <c r="I849">
        <v>34.200000000000003</v>
      </c>
      <c r="J849">
        <v>144</v>
      </c>
      <c r="K849">
        <v>91</v>
      </c>
      <c r="L849">
        <v>8087</v>
      </c>
      <c r="M849" t="str" cm="1">
        <f t="array" ref="M849">_xlfn.IFS(C849&lt;6,"Poor",C849&lt;=8,"Normal",TRUE,"High")</f>
        <v>Normal</v>
      </c>
    </row>
    <row r="850" spans="1:13" x14ac:dyDescent="0.2">
      <c r="A850">
        <v>849</v>
      </c>
      <c r="B850" cm="1">
        <f t="array" ref="B850:L850">_xlfn.XLOOKUP($A850,Instagram_Usage_Lifestyle_Mini_!$A:$A,Instagram_Usage_Lifestyle_Mini_!$L:$V,"Not Found")</f>
        <v>11.7</v>
      </c>
      <c r="C850">
        <v>6.4</v>
      </c>
      <c r="D850" t="str">
        <v>Good</v>
      </c>
      <c r="E850" t="str">
        <v>No</v>
      </c>
      <c r="F850" t="str">
        <v>Weekly</v>
      </c>
      <c r="G850">
        <v>12</v>
      </c>
      <c r="H850">
        <v>3</v>
      </c>
      <c r="I850">
        <v>25.2</v>
      </c>
      <c r="J850">
        <v>132</v>
      </c>
      <c r="K850">
        <v>65</v>
      </c>
      <c r="L850">
        <v>8028</v>
      </c>
      <c r="M850" t="str" cm="1">
        <f t="array" ref="M850">_xlfn.IFS(C850&lt;6,"Poor",C850&lt;=8,"Normal",TRUE,"High")</f>
        <v>Normal</v>
      </c>
    </row>
    <row r="851" spans="1:13" x14ac:dyDescent="0.2">
      <c r="A851">
        <v>850</v>
      </c>
      <c r="B851" cm="1">
        <f t="array" ref="B851:L851">_xlfn.XLOOKUP($A851,Instagram_Usage_Lifestyle_Mini_!$A:$A,Instagram_Usage_Lifestyle_Mini_!$L:$V,"Not Found")</f>
        <v>3.2</v>
      </c>
      <c r="C851">
        <v>5.7</v>
      </c>
      <c r="D851" t="str">
        <v>Average</v>
      </c>
      <c r="E851" t="str">
        <v>No</v>
      </c>
      <c r="F851" t="str">
        <v>Never</v>
      </c>
      <c r="G851">
        <v>32</v>
      </c>
      <c r="H851">
        <v>9</v>
      </c>
      <c r="I851">
        <v>28</v>
      </c>
      <c r="J851">
        <v>136</v>
      </c>
      <c r="K851">
        <v>65</v>
      </c>
      <c r="L851">
        <v>7998</v>
      </c>
      <c r="M851" t="str" cm="1">
        <f t="array" ref="M851">_xlfn.IFS(C851&lt;6,"Poor",C851&lt;=8,"Normal",TRUE,"High")</f>
        <v>Poor</v>
      </c>
    </row>
    <row r="852" spans="1:13" x14ac:dyDescent="0.2">
      <c r="A852">
        <v>851</v>
      </c>
      <c r="B852" cm="1">
        <f t="array" ref="B852:L852">_xlfn.XLOOKUP($A852,Instagram_Usage_Lifestyle_Mini_!$A:$A,Instagram_Usage_Lifestyle_Mini_!$L:$V,"Not Found")</f>
        <v>11.1</v>
      </c>
      <c r="C852">
        <v>5.9</v>
      </c>
      <c r="D852" t="str">
        <v>Good</v>
      </c>
      <c r="E852" t="str">
        <v>No</v>
      </c>
      <c r="F852" t="str">
        <v>Rarely</v>
      </c>
      <c r="G852">
        <v>3</v>
      </c>
      <c r="H852">
        <v>10</v>
      </c>
      <c r="I852">
        <v>31.5</v>
      </c>
      <c r="J852">
        <v>152</v>
      </c>
      <c r="K852">
        <v>99</v>
      </c>
      <c r="L852">
        <v>7793</v>
      </c>
      <c r="M852" t="str" cm="1">
        <f t="array" ref="M852">_xlfn.IFS(C852&lt;6,"Poor",C852&lt;=8,"Normal",TRUE,"High")</f>
        <v>Poor</v>
      </c>
    </row>
    <row r="853" spans="1:13" x14ac:dyDescent="0.2">
      <c r="A853">
        <v>852</v>
      </c>
      <c r="B853" cm="1">
        <f t="array" ref="B853:L853">_xlfn.XLOOKUP($A853,Instagram_Usage_Lifestyle_Mini_!$A:$A,Instagram_Usage_Lifestyle_Mini_!$L:$V,"Not Found")</f>
        <v>8.5</v>
      </c>
      <c r="C853">
        <v>6.7</v>
      </c>
      <c r="D853" t="str">
        <v>Poor</v>
      </c>
      <c r="E853" t="str">
        <v>No</v>
      </c>
      <c r="F853" t="str">
        <v>Rarely</v>
      </c>
      <c r="G853">
        <v>7</v>
      </c>
      <c r="H853">
        <v>4</v>
      </c>
      <c r="I853">
        <v>22.2</v>
      </c>
      <c r="J853">
        <v>131</v>
      </c>
      <c r="K853">
        <v>98</v>
      </c>
      <c r="L853">
        <v>7985</v>
      </c>
      <c r="M853" t="str" cm="1">
        <f t="array" ref="M853">_xlfn.IFS(C853&lt;6,"Poor",C853&lt;=8,"Normal",TRUE,"High")</f>
        <v>Normal</v>
      </c>
    </row>
    <row r="854" spans="1:13" x14ac:dyDescent="0.2">
      <c r="A854">
        <v>853</v>
      </c>
      <c r="B854" cm="1">
        <f t="array" ref="B854:L854">_xlfn.XLOOKUP($A854,Instagram_Usage_Lifestyle_Mini_!$A:$A,Instagram_Usage_Lifestyle_Mini_!$L:$V,"Not Found")</f>
        <v>2.8</v>
      </c>
      <c r="C854">
        <v>6.8</v>
      </c>
      <c r="D854" t="str">
        <v>Average</v>
      </c>
      <c r="E854" t="str">
        <v>No</v>
      </c>
      <c r="F854" t="str">
        <v>Rarely</v>
      </c>
      <c r="G854">
        <v>0</v>
      </c>
      <c r="H854">
        <v>8</v>
      </c>
      <c r="I854">
        <v>29.8</v>
      </c>
      <c r="J854">
        <v>109</v>
      </c>
      <c r="K854">
        <v>75</v>
      </c>
      <c r="L854">
        <v>8000</v>
      </c>
      <c r="M854" t="str" cm="1">
        <f t="array" ref="M854">_xlfn.IFS(C854&lt;6,"Poor",C854&lt;=8,"Normal",TRUE,"High")</f>
        <v>Normal</v>
      </c>
    </row>
    <row r="855" spans="1:13" x14ac:dyDescent="0.2">
      <c r="A855">
        <v>854</v>
      </c>
      <c r="B855" cm="1">
        <f t="array" ref="B855:L855">_xlfn.XLOOKUP($A855,Instagram_Usage_Lifestyle_Mini_!$A:$A,Instagram_Usage_Lifestyle_Mini_!$L:$V,"Not Found")</f>
        <v>4.2</v>
      </c>
      <c r="C855">
        <v>6</v>
      </c>
      <c r="D855" t="str">
        <v>Average</v>
      </c>
      <c r="E855" t="str">
        <v>No</v>
      </c>
      <c r="F855" t="str">
        <v>Never</v>
      </c>
      <c r="G855">
        <v>26</v>
      </c>
      <c r="H855">
        <v>6</v>
      </c>
      <c r="I855">
        <v>26.4</v>
      </c>
      <c r="J855">
        <v>143</v>
      </c>
      <c r="K855">
        <v>60</v>
      </c>
      <c r="L855">
        <v>7929</v>
      </c>
      <c r="M855" t="str" cm="1">
        <f t="array" ref="M855">_xlfn.IFS(C855&lt;6,"Poor",C855&lt;=8,"Normal",TRUE,"High")</f>
        <v>Normal</v>
      </c>
    </row>
    <row r="856" spans="1:13" x14ac:dyDescent="0.2">
      <c r="A856">
        <v>855</v>
      </c>
      <c r="B856" cm="1">
        <f t="array" ref="B856:L856">_xlfn.XLOOKUP($A856,Instagram_Usage_Lifestyle_Mini_!$A:$A,Instagram_Usage_Lifestyle_Mini_!$L:$V,"Not Found")</f>
        <v>1.8</v>
      </c>
      <c r="C856">
        <v>8.3000000000000007</v>
      </c>
      <c r="D856" t="str">
        <v>Very_poor</v>
      </c>
      <c r="E856" t="str">
        <v>No</v>
      </c>
      <c r="F856" t="str">
        <v>Daily</v>
      </c>
      <c r="G856">
        <v>12</v>
      </c>
      <c r="H856">
        <v>8</v>
      </c>
      <c r="I856">
        <v>21.5</v>
      </c>
      <c r="J856">
        <v>120</v>
      </c>
      <c r="K856">
        <v>77</v>
      </c>
      <c r="L856">
        <v>7998</v>
      </c>
      <c r="M856" t="str" cm="1">
        <f t="array" ref="M856">_xlfn.IFS(C856&lt;6,"Poor",C856&lt;=8,"Normal",TRUE,"High")</f>
        <v>High</v>
      </c>
    </row>
    <row r="857" spans="1:13" x14ac:dyDescent="0.2">
      <c r="A857">
        <v>856</v>
      </c>
      <c r="B857" cm="1">
        <f t="array" ref="B857:L857">_xlfn.XLOOKUP($A857,Instagram_Usage_Lifestyle_Mini_!$A:$A,Instagram_Usage_Lifestyle_Mini_!$L:$V,"Not Found")</f>
        <v>5.3</v>
      </c>
      <c r="C857">
        <v>6.8</v>
      </c>
      <c r="D857" t="str">
        <v>Average</v>
      </c>
      <c r="E857" t="str">
        <v>No</v>
      </c>
      <c r="F857" t="str">
        <v>Daily</v>
      </c>
      <c r="G857">
        <v>10</v>
      </c>
      <c r="H857">
        <v>5</v>
      </c>
      <c r="I857">
        <v>23.5</v>
      </c>
      <c r="J857">
        <v>136</v>
      </c>
      <c r="K857">
        <v>79</v>
      </c>
      <c r="L857">
        <v>7962</v>
      </c>
      <c r="M857" t="str" cm="1">
        <f t="array" ref="M857">_xlfn.IFS(C857&lt;6,"Poor",C857&lt;=8,"Normal",TRUE,"High")</f>
        <v>Normal</v>
      </c>
    </row>
    <row r="858" spans="1:13" x14ac:dyDescent="0.2">
      <c r="A858">
        <v>857</v>
      </c>
      <c r="B858" cm="1">
        <f t="array" ref="B858:L858">_xlfn.XLOOKUP($A858,Instagram_Usage_Lifestyle_Mini_!$A:$A,Instagram_Usage_Lifestyle_Mini_!$L:$V,"Not Found")</f>
        <v>3.3</v>
      </c>
      <c r="C858">
        <v>6.7</v>
      </c>
      <c r="D858" t="str">
        <v>Very_poor</v>
      </c>
      <c r="E858" t="str">
        <v>No</v>
      </c>
      <c r="F858" t="str">
        <v>Never</v>
      </c>
      <c r="G858">
        <v>30</v>
      </c>
      <c r="H858">
        <v>6</v>
      </c>
      <c r="I858">
        <v>19.3</v>
      </c>
      <c r="J858">
        <v>155</v>
      </c>
      <c r="K858">
        <v>96</v>
      </c>
      <c r="L858">
        <v>8018</v>
      </c>
      <c r="M858" t="str" cm="1">
        <f t="array" ref="M858">_xlfn.IFS(C858&lt;6,"Poor",C858&lt;=8,"Normal",TRUE,"High")</f>
        <v>Normal</v>
      </c>
    </row>
    <row r="859" spans="1:13" x14ac:dyDescent="0.2">
      <c r="A859">
        <v>858</v>
      </c>
      <c r="B859" cm="1">
        <f t="array" ref="B859:L859">_xlfn.XLOOKUP($A859,Instagram_Usage_Lifestyle_Mini_!$A:$A,Instagram_Usage_Lifestyle_Mini_!$L:$V,"Not Found")</f>
        <v>14.2</v>
      </c>
      <c r="C859">
        <v>6.4</v>
      </c>
      <c r="D859" t="str">
        <v>Average</v>
      </c>
      <c r="E859" t="str">
        <v>No</v>
      </c>
      <c r="F859" t="str">
        <v>Rarely</v>
      </c>
      <c r="G859">
        <v>14</v>
      </c>
      <c r="H859">
        <v>5</v>
      </c>
      <c r="I859">
        <v>18.600000000000001</v>
      </c>
      <c r="J859">
        <v>127</v>
      </c>
      <c r="K859">
        <v>70</v>
      </c>
      <c r="L859">
        <v>8007</v>
      </c>
      <c r="M859" t="str" cm="1">
        <f t="array" ref="M859">_xlfn.IFS(C859&lt;6,"Poor",C859&lt;=8,"Normal",TRUE,"High")</f>
        <v>Normal</v>
      </c>
    </row>
    <row r="860" spans="1:13" x14ac:dyDescent="0.2">
      <c r="A860">
        <v>859</v>
      </c>
      <c r="B860" cm="1">
        <f t="array" ref="B860:L860">_xlfn.XLOOKUP($A860,Instagram_Usage_Lifestyle_Mini_!$A:$A,Instagram_Usage_Lifestyle_Mini_!$L:$V,"Not Found")</f>
        <v>6.1</v>
      </c>
      <c r="C860">
        <v>6.4</v>
      </c>
      <c r="D860" t="str">
        <v>Average</v>
      </c>
      <c r="E860" t="str">
        <v>No</v>
      </c>
      <c r="F860" t="str">
        <v>Weekly</v>
      </c>
      <c r="G860">
        <v>9</v>
      </c>
      <c r="H860">
        <v>10</v>
      </c>
      <c r="I860">
        <v>29.1</v>
      </c>
      <c r="J860">
        <v>96</v>
      </c>
      <c r="K860">
        <v>97</v>
      </c>
      <c r="L860">
        <v>8081</v>
      </c>
      <c r="M860" t="str" cm="1">
        <f t="array" ref="M860">_xlfn.IFS(C860&lt;6,"Poor",C860&lt;=8,"Normal",TRUE,"High")</f>
        <v>Normal</v>
      </c>
    </row>
    <row r="861" spans="1:13" x14ac:dyDescent="0.2">
      <c r="A861">
        <v>860</v>
      </c>
      <c r="B861" cm="1">
        <f t="array" ref="B861:L861">_xlfn.XLOOKUP($A861,Instagram_Usage_Lifestyle_Mini_!$A:$A,Instagram_Usage_Lifestyle_Mini_!$L:$V,"Not Found")</f>
        <v>11.6</v>
      </c>
      <c r="C861">
        <v>6.4</v>
      </c>
      <c r="D861" t="str">
        <v>Average</v>
      </c>
      <c r="E861" t="str">
        <v>Former</v>
      </c>
      <c r="F861" t="str">
        <v>Weekly</v>
      </c>
      <c r="G861">
        <v>12</v>
      </c>
      <c r="H861">
        <v>7</v>
      </c>
      <c r="I861">
        <v>25</v>
      </c>
      <c r="J861">
        <v>97</v>
      </c>
      <c r="K861">
        <v>71</v>
      </c>
      <c r="L861">
        <v>7910</v>
      </c>
      <c r="M861" t="str" cm="1">
        <f t="array" ref="M861">_xlfn.IFS(C861&lt;6,"Poor",C861&lt;=8,"Normal",TRUE,"High")</f>
        <v>Normal</v>
      </c>
    </row>
    <row r="862" spans="1:13" x14ac:dyDescent="0.2">
      <c r="A862">
        <v>861</v>
      </c>
      <c r="B862" cm="1">
        <f t="array" ref="B862:L862">_xlfn.XLOOKUP($A862,Instagram_Usage_Lifestyle_Mini_!$A:$A,Instagram_Usage_Lifestyle_Mini_!$L:$V,"Not Found")</f>
        <v>10</v>
      </c>
      <c r="C862">
        <v>7.2</v>
      </c>
      <c r="D862" t="str">
        <v>Very_poor</v>
      </c>
      <c r="E862" t="str">
        <v>No</v>
      </c>
      <c r="F862" t="str">
        <v>Rarely</v>
      </c>
      <c r="G862">
        <v>18</v>
      </c>
      <c r="H862">
        <v>2</v>
      </c>
      <c r="I862">
        <v>25.5</v>
      </c>
      <c r="J862">
        <v>112</v>
      </c>
      <c r="K862">
        <v>61</v>
      </c>
      <c r="L862">
        <v>8049</v>
      </c>
      <c r="M862" t="str" cm="1">
        <f t="array" ref="M862">_xlfn.IFS(C862&lt;6,"Poor",C862&lt;=8,"Normal",TRUE,"High")</f>
        <v>Normal</v>
      </c>
    </row>
    <row r="863" spans="1:13" x14ac:dyDescent="0.2">
      <c r="A863">
        <v>862</v>
      </c>
      <c r="B863" cm="1">
        <f t="array" ref="B863:L863">_xlfn.XLOOKUP($A863,Instagram_Usage_Lifestyle_Mini_!$A:$A,Instagram_Usage_Lifestyle_Mini_!$L:$V,"Not Found")</f>
        <v>5.4</v>
      </c>
      <c r="C863">
        <v>6.8</v>
      </c>
      <c r="D863" t="str">
        <v>Average</v>
      </c>
      <c r="E863" t="str">
        <v>No</v>
      </c>
      <c r="F863" t="str">
        <v>Weekly</v>
      </c>
      <c r="G863">
        <v>12</v>
      </c>
      <c r="H863">
        <v>1</v>
      </c>
      <c r="I863">
        <v>21.3</v>
      </c>
      <c r="J863">
        <v>119</v>
      </c>
      <c r="K863">
        <v>63</v>
      </c>
      <c r="L863">
        <v>8163</v>
      </c>
      <c r="M863" t="str" cm="1">
        <f t="array" ref="M863">_xlfn.IFS(C863&lt;6,"Poor",C863&lt;=8,"Normal",TRUE,"High")</f>
        <v>Normal</v>
      </c>
    </row>
    <row r="864" spans="1:13" x14ac:dyDescent="0.2">
      <c r="A864">
        <v>863</v>
      </c>
      <c r="B864" cm="1">
        <f t="array" ref="B864:L864">_xlfn.XLOOKUP($A864,Instagram_Usage_Lifestyle_Mini_!$A:$A,Instagram_Usage_Lifestyle_Mini_!$L:$V,"Not Found")</f>
        <v>3.6</v>
      </c>
      <c r="C864">
        <v>5.4</v>
      </c>
      <c r="D864" t="str">
        <v>Poor</v>
      </c>
      <c r="E864" t="str">
        <v>No</v>
      </c>
      <c r="F864" t="str">
        <v>Weekly</v>
      </c>
      <c r="G864">
        <v>37</v>
      </c>
      <c r="H864">
        <v>8</v>
      </c>
      <c r="I864">
        <v>26.8</v>
      </c>
      <c r="J864">
        <v>125</v>
      </c>
      <c r="K864">
        <v>62</v>
      </c>
      <c r="L864">
        <v>7999</v>
      </c>
      <c r="M864" t="str" cm="1">
        <f t="array" ref="M864">_xlfn.IFS(C864&lt;6,"Poor",C864&lt;=8,"Normal",TRUE,"High")</f>
        <v>Poor</v>
      </c>
    </row>
    <row r="865" spans="1:13" x14ac:dyDescent="0.2">
      <c r="A865">
        <v>864</v>
      </c>
      <c r="B865" cm="1">
        <f t="array" ref="B865:L865">_xlfn.XLOOKUP($A865,Instagram_Usage_Lifestyle_Mini_!$A:$A,Instagram_Usage_Lifestyle_Mini_!$L:$V,"Not Found")</f>
        <v>9.1</v>
      </c>
      <c r="C865">
        <v>6.6</v>
      </c>
      <c r="D865" t="str">
        <v>Good</v>
      </c>
      <c r="E865" t="str">
        <v>No</v>
      </c>
      <c r="F865" t="str">
        <v>Rarely</v>
      </c>
      <c r="G865">
        <v>34</v>
      </c>
      <c r="H865">
        <v>2</v>
      </c>
      <c r="I865">
        <v>28</v>
      </c>
      <c r="J865">
        <v>99</v>
      </c>
      <c r="K865">
        <v>91</v>
      </c>
      <c r="L865">
        <v>8059</v>
      </c>
      <c r="M865" t="str" cm="1">
        <f t="array" ref="M865">_xlfn.IFS(C865&lt;6,"Poor",C865&lt;=8,"Normal",TRUE,"High")</f>
        <v>Normal</v>
      </c>
    </row>
    <row r="866" spans="1:13" x14ac:dyDescent="0.2">
      <c r="A866">
        <v>865</v>
      </c>
      <c r="B866" cm="1">
        <f t="array" ref="B866:L866">_xlfn.XLOOKUP($A866,Instagram_Usage_Lifestyle_Mini_!$A:$A,Instagram_Usage_Lifestyle_Mini_!$L:$V,"Not Found")</f>
        <v>4.2</v>
      </c>
      <c r="C866">
        <v>5.6</v>
      </c>
      <c r="D866" t="str">
        <v>Average</v>
      </c>
      <c r="E866" t="str">
        <v>No</v>
      </c>
      <c r="F866" t="str">
        <v>Several_times_a_week</v>
      </c>
      <c r="G866">
        <v>11</v>
      </c>
      <c r="H866">
        <v>6</v>
      </c>
      <c r="I866">
        <v>26.6</v>
      </c>
      <c r="J866">
        <v>150</v>
      </c>
      <c r="K866">
        <v>90</v>
      </c>
      <c r="L866">
        <v>7847</v>
      </c>
      <c r="M866" t="str" cm="1">
        <f t="array" ref="M866">_xlfn.IFS(C866&lt;6,"Poor",C866&lt;=8,"Normal",TRUE,"High")</f>
        <v>Poor</v>
      </c>
    </row>
    <row r="867" spans="1:13" x14ac:dyDescent="0.2">
      <c r="A867">
        <v>866</v>
      </c>
      <c r="B867" cm="1">
        <f t="array" ref="B867:L867">_xlfn.XLOOKUP($A867,Instagram_Usage_Lifestyle_Mini_!$A:$A,Instagram_Usage_Lifestyle_Mini_!$L:$V,"Not Found")</f>
        <v>8.5</v>
      </c>
      <c r="C867">
        <v>7.8</v>
      </c>
      <c r="D867" t="str">
        <v>Excellent</v>
      </c>
      <c r="E867" t="str">
        <v>No</v>
      </c>
      <c r="F867" t="str">
        <v>Never</v>
      </c>
      <c r="G867">
        <v>23</v>
      </c>
      <c r="H867">
        <v>7</v>
      </c>
      <c r="I867">
        <v>19.5</v>
      </c>
      <c r="J867">
        <v>107</v>
      </c>
      <c r="K867">
        <v>67</v>
      </c>
      <c r="L867">
        <v>7967</v>
      </c>
      <c r="M867" t="str" cm="1">
        <f t="array" ref="M867">_xlfn.IFS(C867&lt;6,"Poor",C867&lt;=8,"Normal",TRUE,"High")</f>
        <v>Normal</v>
      </c>
    </row>
    <row r="868" spans="1:13" x14ac:dyDescent="0.2">
      <c r="A868">
        <v>867</v>
      </c>
      <c r="B868" cm="1">
        <f t="array" ref="B868:L868">_xlfn.XLOOKUP($A868,Instagram_Usage_Lifestyle_Mini_!$A:$A,Instagram_Usage_Lifestyle_Mini_!$L:$V,"Not Found")</f>
        <v>0.6</v>
      </c>
      <c r="C868">
        <v>7.4</v>
      </c>
      <c r="D868" t="str">
        <v>Good</v>
      </c>
      <c r="E868" t="str">
        <v>No</v>
      </c>
      <c r="F868" t="str">
        <v>Daily</v>
      </c>
      <c r="G868">
        <v>29</v>
      </c>
      <c r="H868">
        <v>8</v>
      </c>
      <c r="I868">
        <v>30.4</v>
      </c>
      <c r="J868">
        <v>142</v>
      </c>
      <c r="K868">
        <v>86</v>
      </c>
      <c r="L868">
        <v>8008</v>
      </c>
      <c r="M868" t="str" cm="1">
        <f t="array" ref="M868">_xlfn.IFS(C868&lt;6,"Poor",C868&lt;=8,"Normal",TRUE,"High")</f>
        <v>Normal</v>
      </c>
    </row>
    <row r="869" spans="1:13" x14ac:dyDescent="0.2">
      <c r="A869">
        <v>868</v>
      </c>
      <c r="B869" cm="1">
        <f t="array" ref="B869:L869">_xlfn.XLOOKUP($A869,Instagram_Usage_Lifestyle_Mini_!$A:$A,Instagram_Usage_Lifestyle_Mini_!$L:$V,"Not Found")</f>
        <v>6.8</v>
      </c>
      <c r="C869">
        <v>6.4</v>
      </c>
      <c r="D869" t="str">
        <v>Average</v>
      </c>
      <c r="E869" t="str">
        <v>No</v>
      </c>
      <c r="F869" t="str">
        <v>Weekly</v>
      </c>
      <c r="G869">
        <v>2</v>
      </c>
      <c r="H869">
        <v>8</v>
      </c>
      <c r="I869">
        <v>28.2</v>
      </c>
      <c r="J869">
        <v>100</v>
      </c>
      <c r="K869">
        <v>85</v>
      </c>
      <c r="L869">
        <v>7860</v>
      </c>
      <c r="M869" t="str" cm="1">
        <f t="array" ref="M869">_xlfn.IFS(C869&lt;6,"Poor",C869&lt;=8,"Normal",TRUE,"High")</f>
        <v>Normal</v>
      </c>
    </row>
    <row r="870" spans="1:13" x14ac:dyDescent="0.2">
      <c r="A870">
        <v>869</v>
      </c>
      <c r="B870" cm="1">
        <f t="array" ref="B870:L870">_xlfn.XLOOKUP($A870,Instagram_Usage_Lifestyle_Mini_!$A:$A,Instagram_Usage_Lifestyle_Mini_!$L:$V,"Not Found")</f>
        <v>9.1</v>
      </c>
      <c r="C870">
        <v>8.1</v>
      </c>
      <c r="D870" t="str">
        <v>Poor</v>
      </c>
      <c r="E870" t="str">
        <v>No</v>
      </c>
      <c r="F870" t="str">
        <v>Never</v>
      </c>
      <c r="G870">
        <v>31</v>
      </c>
      <c r="H870">
        <v>3</v>
      </c>
      <c r="I870">
        <v>28.7</v>
      </c>
      <c r="J870">
        <v>133</v>
      </c>
      <c r="K870">
        <v>94</v>
      </c>
      <c r="L870">
        <v>7974</v>
      </c>
      <c r="M870" t="str" cm="1">
        <f t="array" ref="M870">_xlfn.IFS(C870&lt;6,"Poor",C870&lt;=8,"Normal",TRUE,"High")</f>
        <v>High</v>
      </c>
    </row>
    <row r="871" spans="1:13" x14ac:dyDescent="0.2">
      <c r="A871">
        <v>870</v>
      </c>
      <c r="B871" cm="1">
        <f t="array" ref="B871:L871">_xlfn.XLOOKUP($A871,Instagram_Usage_Lifestyle_Mini_!$A:$A,Instagram_Usage_Lifestyle_Mini_!$L:$V,"Not Found")</f>
        <v>7</v>
      </c>
      <c r="C871">
        <v>7.7</v>
      </c>
      <c r="D871" t="str">
        <v>Very_poor</v>
      </c>
      <c r="E871" t="str">
        <v>Yes</v>
      </c>
      <c r="F871" t="str">
        <v>Rarely</v>
      </c>
      <c r="G871">
        <v>20</v>
      </c>
      <c r="H871">
        <v>1</v>
      </c>
      <c r="I871">
        <v>22.9</v>
      </c>
      <c r="J871">
        <v>146</v>
      </c>
      <c r="K871">
        <v>86</v>
      </c>
      <c r="L871">
        <v>7931</v>
      </c>
      <c r="M871" t="str" cm="1">
        <f t="array" ref="M871">_xlfn.IFS(C871&lt;6,"Poor",C871&lt;=8,"Normal",TRUE,"High")</f>
        <v>Normal</v>
      </c>
    </row>
    <row r="872" spans="1:13" x14ac:dyDescent="0.2">
      <c r="A872">
        <v>871</v>
      </c>
      <c r="B872" cm="1">
        <f t="array" ref="B872:L872">_xlfn.XLOOKUP($A872,Instagram_Usage_Lifestyle_Mini_!$A:$A,Instagram_Usage_Lifestyle_Mini_!$L:$V,"Not Found")</f>
        <v>11.2</v>
      </c>
      <c r="C872">
        <v>6.9</v>
      </c>
      <c r="D872" t="str">
        <v>Good</v>
      </c>
      <c r="E872" t="str">
        <v>No</v>
      </c>
      <c r="F872" t="str">
        <v>Rarely</v>
      </c>
      <c r="G872">
        <v>24</v>
      </c>
      <c r="H872">
        <v>1</v>
      </c>
      <c r="I872">
        <v>27.5</v>
      </c>
      <c r="J872">
        <v>91</v>
      </c>
      <c r="K872">
        <v>87</v>
      </c>
      <c r="L872">
        <v>8079</v>
      </c>
      <c r="M872" t="str" cm="1">
        <f t="array" ref="M872">_xlfn.IFS(C872&lt;6,"Poor",C872&lt;=8,"Normal",TRUE,"High")</f>
        <v>Normal</v>
      </c>
    </row>
    <row r="873" spans="1:13" x14ac:dyDescent="0.2">
      <c r="A873">
        <v>872</v>
      </c>
      <c r="B873" cm="1">
        <f t="array" ref="B873:L873">_xlfn.XLOOKUP($A873,Instagram_Usage_Lifestyle_Mini_!$A:$A,Instagram_Usage_Lifestyle_Mini_!$L:$V,"Not Found")</f>
        <v>10.9</v>
      </c>
      <c r="C873">
        <v>6.5</v>
      </c>
      <c r="D873" t="str">
        <v>Average</v>
      </c>
      <c r="E873" t="str">
        <v>No</v>
      </c>
      <c r="F873" t="str">
        <v>Rarely</v>
      </c>
      <c r="G873">
        <v>23</v>
      </c>
      <c r="H873">
        <v>2</v>
      </c>
      <c r="I873">
        <v>21.9</v>
      </c>
      <c r="J873">
        <v>104</v>
      </c>
      <c r="K873">
        <v>97</v>
      </c>
      <c r="L873">
        <v>7916</v>
      </c>
      <c r="M873" t="str" cm="1">
        <f t="array" ref="M873">_xlfn.IFS(C873&lt;6,"Poor",C873&lt;=8,"Normal",TRUE,"High")</f>
        <v>Normal</v>
      </c>
    </row>
    <row r="874" spans="1:13" x14ac:dyDescent="0.2">
      <c r="A874">
        <v>873</v>
      </c>
      <c r="B874" cm="1">
        <f t="array" ref="B874:L874">_xlfn.XLOOKUP($A874,Instagram_Usage_Lifestyle_Mini_!$A:$A,Instagram_Usage_Lifestyle_Mini_!$L:$V,"Not Found")</f>
        <v>1</v>
      </c>
      <c r="C874">
        <v>9</v>
      </c>
      <c r="D874" t="str">
        <v>Very_poor</v>
      </c>
      <c r="E874" t="str">
        <v>No</v>
      </c>
      <c r="F874" t="str">
        <v>Never</v>
      </c>
      <c r="G874">
        <v>32</v>
      </c>
      <c r="H874">
        <v>9</v>
      </c>
      <c r="I874">
        <v>26</v>
      </c>
      <c r="J874">
        <v>111</v>
      </c>
      <c r="K874">
        <v>61</v>
      </c>
      <c r="L874">
        <v>8010</v>
      </c>
      <c r="M874" t="str" cm="1">
        <f t="array" ref="M874">_xlfn.IFS(C874&lt;6,"Poor",C874&lt;=8,"Normal",TRUE,"High")</f>
        <v>High</v>
      </c>
    </row>
    <row r="875" spans="1:13" x14ac:dyDescent="0.2">
      <c r="A875">
        <v>874</v>
      </c>
      <c r="B875" cm="1">
        <f t="array" ref="B875:L875">_xlfn.XLOOKUP($A875,Instagram_Usage_Lifestyle_Mini_!$A:$A,Instagram_Usage_Lifestyle_Mini_!$L:$V,"Not Found")</f>
        <v>7.8</v>
      </c>
      <c r="C875">
        <v>5.8</v>
      </c>
      <c r="D875" t="str">
        <v>Excellent</v>
      </c>
      <c r="E875" t="str">
        <v>No</v>
      </c>
      <c r="F875" t="str">
        <v>Daily</v>
      </c>
      <c r="G875">
        <v>8</v>
      </c>
      <c r="H875">
        <v>1</v>
      </c>
      <c r="I875">
        <v>24</v>
      </c>
      <c r="J875">
        <v>139</v>
      </c>
      <c r="K875">
        <v>77</v>
      </c>
      <c r="L875">
        <v>7849</v>
      </c>
      <c r="M875" t="str" cm="1">
        <f t="array" ref="M875">_xlfn.IFS(C875&lt;6,"Poor",C875&lt;=8,"Normal",TRUE,"High")</f>
        <v>Poor</v>
      </c>
    </row>
    <row r="876" spans="1:13" x14ac:dyDescent="0.2">
      <c r="A876">
        <v>875</v>
      </c>
      <c r="B876" cm="1">
        <f t="array" ref="B876:L876">_xlfn.XLOOKUP($A876,Instagram_Usage_Lifestyle_Mini_!$A:$A,Instagram_Usage_Lifestyle_Mini_!$L:$V,"Not Found")</f>
        <v>5.7</v>
      </c>
      <c r="C876">
        <v>6.6</v>
      </c>
      <c r="D876" t="str">
        <v>Very_poor</v>
      </c>
      <c r="E876" t="str">
        <v>Former</v>
      </c>
      <c r="F876" t="str">
        <v>Never</v>
      </c>
      <c r="G876">
        <v>23</v>
      </c>
      <c r="H876">
        <v>10</v>
      </c>
      <c r="I876">
        <v>21</v>
      </c>
      <c r="J876">
        <v>100</v>
      </c>
      <c r="K876">
        <v>88</v>
      </c>
      <c r="L876">
        <v>8005</v>
      </c>
      <c r="M876" t="str" cm="1">
        <f t="array" ref="M876">_xlfn.IFS(C876&lt;6,"Poor",C876&lt;=8,"Normal",TRUE,"High")</f>
        <v>Normal</v>
      </c>
    </row>
    <row r="877" spans="1:13" x14ac:dyDescent="0.2">
      <c r="A877">
        <v>876</v>
      </c>
      <c r="B877" cm="1">
        <f t="array" ref="B877:L877">_xlfn.XLOOKUP($A877,Instagram_Usage_Lifestyle_Mini_!$A:$A,Instagram_Usage_Lifestyle_Mini_!$L:$V,"Not Found")</f>
        <v>3.6</v>
      </c>
      <c r="C877">
        <v>7.2</v>
      </c>
      <c r="D877" t="str">
        <v>Good</v>
      </c>
      <c r="E877" t="str">
        <v>No</v>
      </c>
      <c r="F877" t="str">
        <v>Never</v>
      </c>
      <c r="G877">
        <v>40</v>
      </c>
      <c r="H877">
        <v>3</v>
      </c>
      <c r="I877">
        <v>27.4</v>
      </c>
      <c r="J877">
        <v>141</v>
      </c>
      <c r="K877">
        <v>84</v>
      </c>
      <c r="L877">
        <v>8188</v>
      </c>
      <c r="M877" t="str" cm="1">
        <f t="array" ref="M877">_xlfn.IFS(C877&lt;6,"Poor",C877&lt;=8,"Normal",TRUE,"High")</f>
        <v>Normal</v>
      </c>
    </row>
    <row r="878" spans="1:13" x14ac:dyDescent="0.2">
      <c r="A878">
        <v>877</v>
      </c>
      <c r="B878" cm="1">
        <f t="array" ref="B878:L878">_xlfn.XLOOKUP($A878,Instagram_Usage_Lifestyle_Mini_!$A:$A,Instagram_Usage_Lifestyle_Mini_!$L:$V,"Not Found")</f>
        <v>4.0999999999999996</v>
      </c>
      <c r="C878">
        <v>7.8</v>
      </c>
      <c r="D878" t="str">
        <v>Good</v>
      </c>
      <c r="E878" t="str">
        <v>No</v>
      </c>
      <c r="F878" t="str">
        <v>Weekly</v>
      </c>
      <c r="G878">
        <v>17</v>
      </c>
      <c r="H878">
        <v>6</v>
      </c>
      <c r="I878">
        <v>34</v>
      </c>
      <c r="J878">
        <v>140</v>
      </c>
      <c r="K878">
        <v>72</v>
      </c>
      <c r="L878">
        <v>7947</v>
      </c>
      <c r="M878" t="str" cm="1">
        <f t="array" ref="M878">_xlfn.IFS(C878&lt;6,"Poor",C878&lt;=8,"Normal",TRUE,"High")</f>
        <v>Normal</v>
      </c>
    </row>
    <row r="879" spans="1:13" x14ac:dyDescent="0.2">
      <c r="A879">
        <v>878</v>
      </c>
      <c r="B879" cm="1">
        <f t="array" ref="B879:L879">_xlfn.XLOOKUP($A879,Instagram_Usage_Lifestyle_Mini_!$A:$A,Instagram_Usage_Lifestyle_Mini_!$L:$V,"Not Found")</f>
        <v>8.9</v>
      </c>
      <c r="C879">
        <v>6.2</v>
      </c>
      <c r="D879" t="str">
        <v>Good</v>
      </c>
      <c r="E879" t="str">
        <v>Yes</v>
      </c>
      <c r="F879" t="str">
        <v>Rarely</v>
      </c>
      <c r="G879">
        <v>39</v>
      </c>
      <c r="H879">
        <v>6</v>
      </c>
      <c r="I879">
        <v>29.3</v>
      </c>
      <c r="J879">
        <v>142</v>
      </c>
      <c r="K879">
        <v>81</v>
      </c>
      <c r="L879">
        <v>8047</v>
      </c>
      <c r="M879" t="str" cm="1">
        <f t="array" ref="M879">_xlfn.IFS(C879&lt;6,"Poor",C879&lt;=8,"Normal",TRUE,"High")</f>
        <v>Normal</v>
      </c>
    </row>
    <row r="880" spans="1:13" x14ac:dyDescent="0.2">
      <c r="A880">
        <v>879</v>
      </c>
      <c r="B880" cm="1">
        <f t="array" ref="B880:L880">_xlfn.XLOOKUP($A880,Instagram_Usage_Lifestyle_Mini_!$A:$A,Instagram_Usage_Lifestyle_Mini_!$L:$V,"Not Found")</f>
        <v>3.2</v>
      </c>
      <c r="C880">
        <v>5.7</v>
      </c>
      <c r="D880" t="str">
        <v>Average</v>
      </c>
      <c r="E880" t="str">
        <v>No</v>
      </c>
      <c r="F880" t="str">
        <v>Rarely</v>
      </c>
      <c r="G880">
        <v>1</v>
      </c>
      <c r="H880">
        <v>9</v>
      </c>
      <c r="I880">
        <v>25.6</v>
      </c>
      <c r="J880">
        <v>91</v>
      </c>
      <c r="K880">
        <v>92</v>
      </c>
      <c r="L880">
        <v>7972</v>
      </c>
      <c r="M880" t="str" cm="1">
        <f t="array" ref="M880">_xlfn.IFS(C880&lt;6,"Poor",C880&lt;=8,"Normal",TRUE,"High")</f>
        <v>Poor</v>
      </c>
    </row>
    <row r="881" spans="1:13" x14ac:dyDescent="0.2">
      <c r="A881">
        <v>880</v>
      </c>
      <c r="B881" cm="1">
        <f t="array" ref="B881:L881">_xlfn.XLOOKUP($A881,Instagram_Usage_Lifestyle_Mini_!$A:$A,Instagram_Usage_Lifestyle_Mini_!$L:$V,"Not Found")</f>
        <v>8.1999999999999993</v>
      </c>
      <c r="C881">
        <v>5.6</v>
      </c>
      <c r="D881" t="str">
        <v>Average</v>
      </c>
      <c r="E881" t="str">
        <v>No</v>
      </c>
      <c r="F881" t="str">
        <v>Weekly</v>
      </c>
      <c r="G881">
        <v>11</v>
      </c>
      <c r="H881">
        <v>7</v>
      </c>
      <c r="I881">
        <v>23.1</v>
      </c>
      <c r="J881">
        <v>141</v>
      </c>
      <c r="K881">
        <v>77</v>
      </c>
      <c r="L881">
        <v>7988</v>
      </c>
      <c r="M881" t="str" cm="1">
        <f t="array" ref="M881">_xlfn.IFS(C881&lt;6,"Poor",C881&lt;=8,"Normal",TRUE,"High")</f>
        <v>Poor</v>
      </c>
    </row>
    <row r="882" spans="1:13" x14ac:dyDescent="0.2">
      <c r="A882">
        <v>881</v>
      </c>
      <c r="B882" cm="1">
        <f t="array" ref="B882:L882">_xlfn.XLOOKUP($A882,Instagram_Usage_Lifestyle_Mini_!$A:$A,Instagram_Usage_Lifestyle_Mini_!$L:$V,"Not Found")</f>
        <v>5.4</v>
      </c>
      <c r="C882">
        <v>5.8</v>
      </c>
      <c r="D882" t="str">
        <v>Average</v>
      </c>
      <c r="E882" t="str">
        <v>Yes</v>
      </c>
      <c r="F882" t="str">
        <v>Rarely</v>
      </c>
      <c r="G882">
        <v>10</v>
      </c>
      <c r="H882">
        <v>7</v>
      </c>
      <c r="I882">
        <v>25.6</v>
      </c>
      <c r="J882">
        <v>135</v>
      </c>
      <c r="K882">
        <v>92</v>
      </c>
      <c r="L882">
        <v>8151</v>
      </c>
      <c r="M882" t="str" cm="1">
        <f t="array" ref="M882">_xlfn.IFS(C882&lt;6,"Poor",C882&lt;=8,"Normal",TRUE,"High")</f>
        <v>Poor</v>
      </c>
    </row>
    <row r="883" spans="1:13" x14ac:dyDescent="0.2">
      <c r="A883">
        <v>882</v>
      </c>
      <c r="B883" cm="1">
        <f t="array" ref="B883:L883">_xlfn.XLOOKUP($A883,Instagram_Usage_Lifestyle_Mini_!$A:$A,Instagram_Usage_Lifestyle_Mini_!$L:$V,"Not Found")</f>
        <v>4</v>
      </c>
      <c r="C883">
        <v>7.6</v>
      </c>
      <c r="D883" t="str">
        <v>Very_poor</v>
      </c>
      <c r="E883" t="str">
        <v>No</v>
      </c>
      <c r="F883" t="str">
        <v>Never</v>
      </c>
      <c r="G883">
        <v>19</v>
      </c>
      <c r="H883">
        <v>9</v>
      </c>
      <c r="I883">
        <v>18</v>
      </c>
      <c r="J883">
        <v>143</v>
      </c>
      <c r="K883">
        <v>67</v>
      </c>
      <c r="L883">
        <v>7977</v>
      </c>
      <c r="M883" t="str" cm="1">
        <f t="array" ref="M883">_xlfn.IFS(C883&lt;6,"Poor",C883&lt;=8,"Normal",TRUE,"High")</f>
        <v>Normal</v>
      </c>
    </row>
    <row r="884" spans="1:13" x14ac:dyDescent="0.2">
      <c r="A884">
        <v>883</v>
      </c>
      <c r="B884" cm="1">
        <f t="array" ref="B884:L884">_xlfn.XLOOKUP($A884,Instagram_Usage_Lifestyle_Mini_!$A:$A,Instagram_Usage_Lifestyle_Mini_!$L:$V,"Not Found")</f>
        <v>3.2</v>
      </c>
      <c r="C884">
        <v>6.3</v>
      </c>
      <c r="D884" t="str">
        <v>Poor</v>
      </c>
      <c r="E884" t="str">
        <v>No</v>
      </c>
      <c r="F884" t="str">
        <v>Several_times_a_week</v>
      </c>
      <c r="G884">
        <v>4</v>
      </c>
      <c r="H884">
        <v>7</v>
      </c>
      <c r="I884">
        <v>23.6</v>
      </c>
      <c r="J884">
        <v>123</v>
      </c>
      <c r="K884">
        <v>97</v>
      </c>
      <c r="L884">
        <v>8032</v>
      </c>
      <c r="M884" t="str" cm="1">
        <f t="array" ref="M884">_xlfn.IFS(C884&lt;6,"Poor",C884&lt;=8,"Normal",TRUE,"High")</f>
        <v>Normal</v>
      </c>
    </row>
    <row r="885" spans="1:13" x14ac:dyDescent="0.2">
      <c r="A885">
        <v>884</v>
      </c>
      <c r="B885" cm="1">
        <f t="array" ref="B885:L885">_xlfn.XLOOKUP($A885,Instagram_Usage_Lifestyle_Mini_!$A:$A,Instagram_Usage_Lifestyle_Mini_!$L:$V,"Not Found")</f>
        <v>6.2</v>
      </c>
      <c r="C885">
        <v>7</v>
      </c>
      <c r="D885" t="str">
        <v>Average</v>
      </c>
      <c r="E885" t="str">
        <v>No</v>
      </c>
      <c r="F885" t="str">
        <v>Rarely</v>
      </c>
      <c r="G885">
        <v>6</v>
      </c>
      <c r="H885">
        <v>9</v>
      </c>
      <c r="I885">
        <v>22.6</v>
      </c>
      <c r="J885">
        <v>97</v>
      </c>
      <c r="K885">
        <v>84</v>
      </c>
      <c r="L885">
        <v>8001</v>
      </c>
      <c r="M885" t="str" cm="1">
        <f t="array" ref="M885">_xlfn.IFS(C885&lt;6,"Poor",C885&lt;=8,"Normal",TRUE,"High")</f>
        <v>Normal</v>
      </c>
    </row>
    <row r="886" spans="1:13" x14ac:dyDescent="0.2">
      <c r="A886">
        <v>885</v>
      </c>
      <c r="B886" cm="1">
        <f t="array" ref="B886:L886">_xlfn.XLOOKUP($A886,Instagram_Usage_Lifestyle_Mini_!$A:$A,Instagram_Usage_Lifestyle_Mini_!$L:$V,"Not Found")</f>
        <v>9.5</v>
      </c>
      <c r="C886">
        <v>7.9</v>
      </c>
      <c r="D886" t="str">
        <v>Poor</v>
      </c>
      <c r="E886" t="str">
        <v>No</v>
      </c>
      <c r="F886" t="str">
        <v>Never</v>
      </c>
      <c r="G886">
        <v>24</v>
      </c>
      <c r="H886">
        <v>4</v>
      </c>
      <c r="I886">
        <v>29.2</v>
      </c>
      <c r="J886">
        <v>130</v>
      </c>
      <c r="K886">
        <v>97</v>
      </c>
      <c r="L886">
        <v>7998</v>
      </c>
      <c r="M886" t="str" cm="1">
        <f t="array" ref="M886">_xlfn.IFS(C886&lt;6,"Poor",C886&lt;=8,"Normal",TRUE,"High")</f>
        <v>Normal</v>
      </c>
    </row>
    <row r="887" spans="1:13" x14ac:dyDescent="0.2">
      <c r="A887">
        <v>886</v>
      </c>
      <c r="B887" cm="1">
        <f t="array" ref="B887:L887">_xlfn.XLOOKUP($A887,Instagram_Usage_Lifestyle_Mini_!$A:$A,Instagram_Usage_Lifestyle_Mini_!$L:$V,"Not Found")</f>
        <v>3.8</v>
      </c>
      <c r="C887">
        <v>6</v>
      </c>
      <c r="D887" t="str">
        <v>Average</v>
      </c>
      <c r="E887" t="str">
        <v>No</v>
      </c>
      <c r="F887" t="str">
        <v>Daily</v>
      </c>
      <c r="G887">
        <v>11</v>
      </c>
      <c r="H887">
        <v>4</v>
      </c>
      <c r="I887">
        <v>20.9</v>
      </c>
      <c r="J887">
        <v>112</v>
      </c>
      <c r="K887">
        <v>70</v>
      </c>
      <c r="L887">
        <v>8044</v>
      </c>
      <c r="M887" t="str" cm="1">
        <f t="array" ref="M887">_xlfn.IFS(C887&lt;6,"Poor",C887&lt;=8,"Normal",TRUE,"High")</f>
        <v>Normal</v>
      </c>
    </row>
    <row r="888" spans="1:13" x14ac:dyDescent="0.2">
      <c r="A888">
        <v>887</v>
      </c>
      <c r="B888" cm="1">
        <f t="array" ref="B888:L888">_xlfn.XLOOKUP($A888,Instagram_Usage_Lifestyle_Mini_!$A:$A,Instagram_Usage_Lifestyle_Mini_!$L:$V,"Not Found")</f>
        <v>5.7</v>
      </c>
      <c r="C888">
        <v>6.6</v>
      </c>
      <c r="D888" t="str">
        <v>Good</v>
      </c>
      <c r="E888" t="str">
        <v>No</v>
      </c>
      <c r="F888" t="str">
        <v>Rarely</v>
      </c>
      <c r="G888">
        <v>37</v>
      </c>
      <c r="H888">
        <v>4</v>
      </c>
      <c r="I888">
        <v>26.6</v>
      </c>
      <c r="J888">
        <v>103</v>
      </c>
      <c r="K888">
        <v>84</v>
      </c>
      <c r="L888">
        <v>7962</v>
      </c>
      <c r="M888" t="str" cm="1">
        <f t="array" ref="M888">_xlfn.IFS(C888&lt;6,"Poor",C888&lt;=8,"Normal",TRUE,"High")</f>
        <v>Normal</v>
      </c>
    </row>
    <row r="889" spans="1:13" x14ac:dyDescent="0.2">
      <c r="A889">
        <v>888</v>
      </c>
      <c r="B889" cm="1">
        <f t="array" ref="B889:L889">_xlfn.XLOOKUP($A889,Instagram_Usage_Lifestyle_Mini_!$A:$A,Instagram_Usage_Lifestyle_Mini_!$L:$V,"Not Found")</f>
        <v>2.9</v>
      </c>
      <c r="C889">
        <v>7.4</v>
      </c>
      <c r="D889" t="str">
        <v>Good</v>
      </c>
      <c r="E889" t="str">
        <v>No</v>
      </c>
      <c r="F889" t="str">
        <v>Never</v>
      </c>
      <c r="G889">
        <v>25</v>
      </c>
      <c r="H889">
        <v>8</v>
      </c>
      <c r="I889">
        <v>29</v>
      </c>
      <c r="J889">
        <v>104</v>
      </c>
      <c r="K889">
        <v>89</v>
      </c>
      <c r="L889">
        <v>7968</v>
      </c>
      <c r="M889" t="str" cm="1">
        <f t="array" ref="M889">_xlfn.IFS(C889&lt;6,"Poor",C889&lt;=8,"Normal",TRUE,"High")</f>
        <v>Normal</v>
      </c>
    </row>
    <row r="890" spans="1:13" x14ac:dyDescent="0.2">
      <c r="A890">
        <v>889</v>
      </c>
      <c r="B890" cm="1">
        <f t="array" ref="B890:L890">_xlfn.XLOOKUP($A890,Instagram_Usage_Lifestyle_Mini_!$A:$A,Instagram_Usage_Lifestyle_Mini_!$L:$V,"Not Found")</f>
        <v>13</v>
      </c>
      <c r="C890">
        <v>6.7</v>
      </c>
      <c r="D890" t="str">
        <v>Average</v>
      </c>
      <c r="E890" t="str">
        <v>No</v>
      </c>
      <c r="F890" t="str">
        <v>Rarely</v>
      </c>
      <c r="G890">
        <v>31</v>
      </c>
      <c r="H890">
        <v>10</v>
      </c>
      <c r="I890">
        <v>28.2</v>
      </c>
      <c r="J890">
        <v>122</v>
      </c>
      <c r="K890">
        <v>75</v>
      </c>
      <c r="L890">
        <v>7950</v>
      </c>
      <c r="M890" t="str" cm="1">
        <f t="array" ref="M890">_xlfn.IFS(C890&lt;6,"Poor",C890&lt;=8,"Normal",TRUE,"High")</f>
        <v>Normal</v>
      </c>
    </row>
    <row r="891" spans="1:13" x14ac:dyDescent="0.2">
      <c r="A891">
        <v>890</v>
      </c>
      <c r="B891" cm="1">
        <f t="array" ref="B891:L891">_xlfn.XLOOKUP($A891,Instagram_Usage_Lifestyle_Mini_!$A:$A,Instagram_Usage_Lifestyle_Mini_!$L:$V,"Not Found")</f>
        <v>1.9</v>
      </c>
      <c r="C891">
        <v>6.3</v>
      </c>
      <c r="D891" t="str">
        <v>Excellent</v>
      </c>
      <c r="E891" t="str">
        <v>No</v>
      </c>
      <c r="F891" t="str">
        <v>Weekly</v>
      </c>
      <c r="G891">
        <v>14</v>
      </c>
      <c r="H891">
        <v>1</v>
      </c>
      <c r="I891">
        <v>24.2</v>
      </c>
      <c r="J891">
        <v>113</v>
      </c>
      <c r="K891">
        <v>94</v>
      </c>
      <c r="L891">
        <v>7799</v>
      </c>
      <c r="M891" t="str" cm="1">
        <f t="array" ref="M891">_xlfn.IFS(C891&lt;6,"Poor",C891&lt;=8,"Normal",TRUE,"High")</f>
        <v>Normal</v>
      </c>
    </row>
    <row r="892" spans="1:13" x14ac:dyDescent="0.2">
      <c r="A892">
        <v>891</v>
      </c>
      <c r="B892" cm="1">
        <f t="array" ref="B892:L892">_xlfn.XLOOKUP($A892,Instagram_Usage_Lifestyle_Mini_!$A:$A,Instagram_Usage_Lifestyle_Mini_!$L:$V,"Not Found")</f>
        <v>3.1</v>
      </c>
      <c r="C892">
        <v>9.6</v>
      </c>
      <c r="D892" t="str">
        <v>Very_poor</v>
      </c>
      <c r="E892" t="str">
        <v>Yes</v>
      </c>
      <c r="F892" t="str">
        <v>Rarely</v>
      </c>
      <c r="G892">
        <v>28</v>
      </c>
      <c r="H892">
        <v>7</v>
      </c>
      <c r="I892">
        <v>27.3</v>
      </c>
      <c r="J892">
        <v>99</v>
      </c>
      <c r="K892">
        <v>67</v>
      </c>
      <c r="L892">
        <v>7914</v>
      </c>
      <c r="M892" t="str" cm="1">
        <f t="array" ref="M892">_xlfn.IFS(C892&lt;6,"Poor",C892&lt;=8,"Normal",TRUE,"High")</f>
        <v>High</v>
      </c>
    </row>
    <row r="893" spans="1:13" x14ac:dyDescent="0.2">
      <c r="A893">
        <v>892</v>
      </c>
      <c r="B893" cm="1">
        <f t="array" ref="B893:L893">_xlfn.XLOOKUP($A893,Instagram_Usage_Lifestyle_Mini_!$A:$A,Instagram_Usage_Lifestyle_Mini_!$L:$V,"Not Found")</f>
        <v>3.1</v>
      </c>
      <c r="C893">
        <v>7.5</v>
      </c>
      <c r="D893" t="str">
        <v>Average</v>
      </c>
      <c r="E893" t="str">
        <v>No</v>
      </c>
      <c r="F893" t="str">
        <v>Weekly</v>
      </c>
      <c r="G893">
        <v>36</v>
      </c>
      <c r="H893">
        <v>3</v>
      </c>
      <c r="I893">
        <v>27.2</v>
      </c>
      <c r="J893">
        <v>95</v>
      </c>
      <c r="K893">
        <v>94</v>
      </c>
      <c r="L893">
        <v>8023</v>
      </c>
      <c r="M893" t="str" cm="1">
        <f t="array" ref="M893">_xlfn.IFS(C893&lt;6,"Poor",C893&lt;=8,"Normal",TRUE,"High")</f>
        <v>Normal</v>
      </c>
    </row>
    <row r="894" spans="1:13" x14ac:dyDescent="0.2">
      <c r="A894">
        <v>893</v>
      </c>
      <c r="B894" cm="1">
        <f t="array" ref="B894:L894">_xlfn.XLOOKUP($A894,Instagram_Usage_Lifestyle_Mini_!$A:$A,Instagram_Usage_Lifestyle_Mini_!$L:$V,"Not Found")</f>
        <v>6</v>
      </c>
      <c r="C894">
        <v>7.2</v>
      </c>
      <c r="D894" t="str">
        <v>Good</v>
      </c>
      <c r="E894" t="str">
        <v>Yes</v>
      </c>
      <c r="F894" t="str">
        <v>Weekly</v>
      </c>
      <c r="G894">
        <v>32</v>
      </c>
      <c r="H894">
        <v>5</v>
      </c>
      <c r="I894">
        <v>21.7</v>
      </c>
      <c r="J894">
        <v>114</v>
      </c>
      <c r="K894">
        <v>70</v>
      </c>
      <c r="L894">
        <v>7977</v>
      </c>
      <c r="M894" t="str" cm="1">
        <f t="array" ref="M894">_xlfn.IFS(C894&lt;6,"Poor",C894&lt;=8,"Normal",TRUE,"High")</f>
        <v>Normal</v>
      </c>
    </row>
    <row r="895" spans="1:13" x14ac:dyDescent="0.2">
      <c r="A895">
        <v>894</v>
      </c>
      <c r="B895" cm="1">
        <f t="array" ref="B895:L895">_xlfn.XLOOKUP($A895,Instagram_Usage_Lifestyle_Mini_!$A:$A,Instagram_Usage_Lifestyle_Mini_!$L:$V,"Not Found")</f>
        <v>9.3000000000000007</v>
      </c>
      <c r="C895">
        <v>7.1</v>
      </c>
      <c r="D895" t="str">
        <v>Excellent</v>
      </c>
      <c r="E895" t="str">
        <v>No</v>
      </c>
      <c r="F895" t="str">
        <v>Weekly</v>
      </c>
      <c r="G895">
        <v>10</v>
      </c>
      <c r="H895">
        <v>9</v>
      </c>
      <c r="I895">
        <v>25.9</v>
      </c>
      <c r="J895">
        <v>153</v>
      </c>
      <c r="K895">
        <v>80</v>
      </c>
      <c r="L895">
        <v>8038</v>
      </c>
      <c r="M895" t="str" cm="1">
        <f t="array" ref="M895">_xlfn.IFS(C895&lt;6,"Poor",C895&lt;=8,"Normal",TRUE,"High")</f>
        <v>Normal</v>
      </c>
    </row>
    <row r="896" spans="1:13" x14ac:dyDescent="0.2">
      <c r="A896">
        <v>895</v>
      </c>
      <c r="B896" cm="1">
        <f t="array" ref="B896:L896">_xlfn.XLOOKUP($A896,Instagram_Usage_Lifestyle_Mini_!$A:$A,Instagram_Usage_Lifestyle_Mini_!$L:$V,"Not Found")</f>
        <v>11.8</v>
      </c>
      <c r="C896">
        <v>6.4</v>
      </c>
      <c r="D896" t="str">
        <v>Average</v>
      </c>
      <c r="E896" t="str">
        <v>No</v>
      </c>
      <c r="F896" t="str">
        <v>Weekly</v>
      </c>
      <c r="G896">
        <v>27</v>
      </c>
      <c r="H896">
        <v>9</v>
      </c>
      <c r="I896">
        <v>25.9</v>
      </c>
      <c r="J896">
        <v>129</v>
      </c>
      <c r="K896">
        <v>66</v>
      </c>
      <c r="L896">
        <v>8102</v>
      </c>
      <c r="M896" t="str" cm="1">
        <f t="array" ref="M896">_xlfn.IFS(C896&lt;6,"Poor",C896&lt;=8,"Normal",TRUE,"High")</f>
        <v>Normal</v>
      </c>
    </row>
    <row r="897" spans="1:13" x14ac:dyDescent="0.2">
      <c r="A897">
        <v>896</v>
      </c>
      <c r="B897" cm="1">
        <f t="array" ref="B897:L897">_xlfn.XLOOKUP($A897,Instagram_Usage_Lifestyle_Mini_!$A:$A,Instagram_Usage_Lifestyle_Mini_!$L:$V,"Not Found")</f>
        <v>14.9</v>
      </c>
      <c r="C897">
        <v>7.7</v>
      </c>
      <c r="D897" t="str">
        <v>Poor</v>
      </c>
      <c r="E897" t="str">
        <v>No</v>
      </c>
      <c r="F897" t="str">
        <v>Never</v>
      </c>
      <c r="G897">
        <v>28</v>
      </c>
      <c r="H897">
        <v>2</v>
      </c>
      <c r="I897">
        <v>24.9</v>
      </c>
      <c r="J897">
        <v>148</v>
      </c>
      <c r="K897">
        <v>69</v>
      </c>
      <c r="L897">
        <v>7975</v>
      </c>
      <c r="M897" t="str" cm="1">
        <f t="array" ref="M897">_xlfn.IFS(C897&lt;6,"Poor",C897&lt;=8,"Normal",TRUE,"High")</f>
        <v>Normal</v>
      </c>
    </row>
    <row r="898" spans="1:13" x14ac:dyDescent="0.2">
      <c r="A898">
        <v>897</v>
      </c>
      <c r="B898" cm="1">
        <f t="array" ref="B898:L898">_xlfn.XLOOKUP($A898,Instagram_Usage_Lifestyle_Mini_!$A:$A,Instagram_Usage_Lifestyle_Mini_!$L:$V,"Not Found")</f>
        <v>8.9</v>
      </c>
      <c r="C898">
        <v>6.9</v>
      </c>
      <c r="D898" t="str">
        <v>Average</v>
      </c>
      <c r="E898" t="str">
        <v>No</v>
      </c>
      <c r="F898" t="str">
        <v>Rarely</v>
      </c>
      <c r="G898">
        <v>19</v>
      </c>
      <c r="H898">
        <v>1</v>
      </c>
      <c r="I898">
        <v>29.7</v>
      </c>
      <c r="J898">
        <v>136</v>
      </c>
      <c r="K898">
        <v>89</v>
      </c>
      <c r="L898">
        <v>8059</v>
      </c>
      <c r="M898" t="str" cm="1">
        <f t="array" ref="M898">_xlfn.IFS(C898&lt;6,"Poor",C898&lt;=8,"Normal",TRUE,"High")</f>
        <v>Normal</v>
      </c>
    </row>
    <row r="899" spans="1:13" x14ac:dyDescent="0.2">
      <c r="A899">
        <v>898</v>
      </c>
      <c r="B899" cm="1">
        <f t="array" ref="B899:L899">_xlfn.XLOOKUP($A899,Instagram_Usage_Lifestyle_Mini_!$A:$A,Instagram_Usage_Lifestyle_Mini_!$L:$V,"Not Found")</f>
        <v>5.9</v>
      </c>
      <c r="C899">
        <v>5.9</v>
      </c>
      <c r="D899" t="str">
        <v>Good</v>
      </c>
      <c r="E899" t="str">
        <v>No</v>
      </c>
      <c r="F899" t="str">
        <v>Rarely</v>
      </c>
      <c r="G899">
        <v>36</v>
      </c>
      <c r="H899">
        <v>1</v>
      </c>
      <c r="I899">
        <v>27.2</v>
      </c>
      <c r="J899">
        <v>126</v>
      </c>
      <c r="K899">
        <v>82</v>
      </c>
      <c r="L899">
        <v>8055</v>
      </c>
      <c r="M899" t="str" cm="1">
        <f t="array" ref="M899">_xlfn.IFS(C899&lt;6,"Poor",C899&lt;=8,"Normal",TRUE,"High")</f>
        <v>Poor</v>
      </c>
    </row>
    <row r="900" spans="1:13" x14ac:dyDescent="0.2">
      <c r="A900">
        <v>899</v>
      </c>
      <c r="B900" cm="1">
        <f t="array" ref="B900:L900">_xlfn.XLOOKUP($A900,Instagram_Usage_Lifestyle_Mini_!$A:$A,Instagram_Usage_Lifestyle_Mini_!$L:$V,"Not Found")</f>
        <v>7.4</v>
      </c>
      <c r="C900">
        <v>4.0999999999999996</v>
      </c>
      <c r="D900" t="str">
        <v>Average</v>
      </c>
      <c r="E900" t="str">
        <v>No</v>
      </c>
      <c r="F900" t="str">
        <v>Rarely</v>
      </c>
      <c r="G900">
        <v>5</v>
      </c>
      <c r="H900">
        <v>9</v>
      </c>
      <c r="I900">
        <v>22.7</v>
      </c>
      <c r="J900">
        <v>138</v>
      </c>
      <c r="K900">
        <v>85</v>
      </c>
      <c r="L900">
        <v>8006</v>
      </c>
      <c r="M900" t="str" cm="1">
        <f t="array" ref="M900">_xlfn.IFS(C900&lt;6,"Poor",C900&lt;=8,"Normal",TRUE,"High")</f>
        <v>Poor</v>
      </c>
    </row>
    <row r="901" spans="1:13" x14ac:dyDescent="0.2">
      <c r="A901">
        <v>900</v>
      </c>
      <c r="B901" cm="1">
        <f t="array" ref="B901:L901">_xlfn.XLOOKUP($A901,Instagram_Usage_Lifestyle_Mini_!$A:$A,Instagram_Usage_Lifestyle_Mini_!$L:$V,"Not Found")</f>
        <v>16.100000000000001</v>
      </c>
      <c r="C901">
        <v>10</v>
      </c>
      <c r="D901" t="str">
        <v>Good</v>
      </c>
      <c r="E901" t="str">
        <v>No</v>
      </c>
      <c r="F901" t="str">
        <v>Weekly</v>
      </c>
      <c r="G901">
        <v>31</v>
      </c>
      <c r="H901">
        <v>3</v>
      </c>
      <c r="I901">
        <v>27.4</v>
      </c>
      <c r="J901">
        <v>139</v>
      </c>
      <c r="K901">
        <v>80</v>
      </c>
      <c r="L901">
        <v>7899</v>
      </c>
      <c r="M901" t="str" cm="1">
        <f t="array" ref="M901">_xlfn.IFS(C901&lt;6,"Poor",C901&lt;=8,"Normal",TRUE,"High")</f>
        <v>High</v>
      </c>
    </row>
    <row r="902" spans="1:13" x14ac:dyDescent="0.2">
      <c r="A902">
        <v>901</v>
      </c>
      <c r="B902" cm="1">
        <f t="array" ref="B902:L902">_xlfn.XLOOKUP($A902,Instagram_Usage_Lifestyle_Mini_!$A:$A,Instagram_Usage_Lifestyle_Mini_!$L:$V,"Not Found")</f>
        <v>10.5</v>
      </c>
      <c r="C902">
        <v>6.1</v>
      </c>
      <c r="D902" t="str">
        <v>Average</v>
      </c>
      <c r="E902" t="str">
        <v>No</v>
      </c>
      <c r="F902" t="str">
        <v>Rarely</v>
      </c>
      <c r="G902">
        <v>33</v>
      </c>
      <c r="H902">
        <v>1</v>
      </c>
      <c r="I902">
        <v>26.2</v>
      </c>
      <c r="J902">
        <v>106</v>
      </c>
      <c r="K902">
        <v>85</v>
      </c>
      <c r="L902">
        <v>8032</v>
      </c>
      <c r="M902" t="str" cm="1">
        <f t="array" ref="M902">_xlfn.IFS(C902&lt;6,"Poor",C902&lt;=8,"Normal",TRUE,"High")</f>
        <v>Normal</v>
      </c>
    </row>
    <row r="903" spans="1:13" x14ac:dyDescent="0.2">
      <c r="A903">
        <v>902</v>
      </c>
      <c r="B903" cm="1">
        <f t="array" ref="B903:L903">_xlfn.XLOOKUP($A903,Instagram_Usage_Lifestyle_Mini_!$A:$A,Instagram_Usage_Lifestyle_Mini_!$L:$V,"Not Found")</f>
        <v>10.7</v>
      </c>
      <c r="C903">
        <v>8.3000000000000007</v>
      </c>
      <c r="D903" t="str">
        <v>Very_poor</v>
      </c>
      <c r="E903" t="str">
        <v>No</v>
      </c>
      <c r="F903" t="str">
        <v>Rarely</v>
      </c>
      <c r="G903">
        <v>0</v>
      </c>
      <c r="H903">
        <v>3</v>
      </c>
      <c r="I903">
        <v>23.9</v>
      </c>
      <c r="J903">
        <v>119</v>
      </c>
      <c r="K903">
        <v>62</v>
      </c>
      <c r="L903">
        <v>7945</v>
      </c>
      <c r="M903" t="str" cm="1">
        <f t="array" ref="M903">_xlfn.IFS(C903&lt;6,"Poor",C903&lt;=8,"Normal",TRUE,"High")</f>
        <v>High</v>
      </c>
    </row>
    <row r="904" spans="1:13" x14ac:dyDescent="0.2">
      <c r="A904">
        <v>903</v>
      </c>
      <c r="B904" cm="1">
        <f t="array" ref="B904:L904">_xlfn.XLOOKUP($A904,Instagram_Usage_Lifestyle_Mini_!$A:$A,Instagram_Usage_Lifestyle_Mini_!$L:$V,"Not Found")</f>
        <v>1.6</v>
      </c>
      <c r="C904">
        <v>7.1</v>
      </c>
      <c r="D904" t="str">
        <v>Average</v>
      </c>
      <c r="E904" t="str">
        <v>No</v>
      </c>
      <c r="F904" t="str">
        <v>Rarely</v>
      </c>
      <c r="G904">
        <v>12</v>
      </c>
      <c r="H904">
        <v>7</v>
      </c>
      <c r="I904">
        <v>30.1</v>
      </c>
      <c r="J904">
        <v>129</v>
      </c>
      <c r="K904">
        <v>82</v>
      </c>
      <c r="L904">
        <v>8012</v>
      </c>
      <c r="M904" t="str" cm="1">
        <f t="array" ref="M904">_xlfn.IFS(C904&lt;6,"Poor",C904&lt;=8,"Normal",TRUE,"High")</f>
        <v>Normal</v>
      </c>
    </row>
    <row r="905" spans="1:13" x14ac:dyDescent="0.2">
      <c r="A905">
        <v>904</v>
      </c>
      <c r="B905" cm="1">
        <f t="array" ref="B905:L905">_xlfn.XLOOKUP($A905,Instagram_Usage_Lifestyle_Mini_!$A:$A,Instagram_Usage_Lifestyle_Mini_!$L:$V,"Not Found")</f>
        <v>6.5</v>
      </c>
      <c r="C905">
        <v>4.5</v>
      </c>
      <c r="D905" t="str">
        <v>Excellent</v>
      </c>
      <c r="E905" t="str">
        <v>Yes</v>
      </c>
      <c r="F905" t="str">
        <v>Never</v>
      </c>
      <c r="G905">
        <v>27</v>
      </c>
      <c r="H905">
        <v>1</v>
      </c>
      <c r="I905">
        <v>33.700000000000003</v>
      </c>
      <c r="J905">
        <v>110</v>
      </c>
      <c r="K905">
        <v>83</v>
      </c>
      <c r="L905">
        <v>7674</v>
      </c>
      <c r="M905" t="str" cm="1">
        <f t="array" ref="M905">_xlfn.IFS(C905&lt;6,"Poor",C905&lt;=8,"Normal",TRUE,"High")</f>
        <v>Poor</v>
      </c>
    </row>
    <row r="906" spans="1:13" x14ac:dyDescent="0.2">
      <c r="A906">
        <v>905</v>
      </c>
      <c r="B906" cm="1">
        <f t="array" ref="B906:L906">_xlfn.XLOOKUP($A906,Instagram_Usage_Lifestyle_Mini_!$A:$A,Instagram_Usage_Lifestyle_Mini_!$L:$V,"Not Found")</f>
        <v>3.5</v>
      </c>
      <c r="C906">
        <v>6.9</v>
      </c>
      <c r="D906" t="str">
        <v>Average</v>
      </c>
      <c r="E906" t="str">
        <v>No</v>
      </c>
      <c r="F906" t="str">
        <v>Weekly</v>
      </c>
      <c r="G906">
        <v>40</v>
      </c>
      <c r="H906">
        <v>9</v>
      </c>
      <c r="I906">
        <v>26.2</v>
      </c>
      <c r="J906">
        <v>103</v>
      </c>
      <c r="K906">
        <v>86</v>
      </c>
      <c r="L906">
        <v>8121</v>
      </c>
      <c r="M906" t="str" cm="1">
        <f t="array" ref="M906">_xlfn.IFS(C906&lt;6,"Poor",C906&lt;=8,"Normal",TRUE,"High")</f>
        <v>Normal</v>
      </c>
    </row>
    <row r="907" spans="1:13" x14ac:dyDescent="0.2">
      <c r="A907">
        <v>906</v>
      </c>
      <c r="B907" cm="1">
        <f t="array" ref="B907:L907">_xlfn.XLOOKUP($A907,Instagram_Usage_Lifestyle_Mini_!$A:$A,Instagram_Usage_Lifestyle_Mini_!$L:$V,"Not Found")</f>
        <v>15.7</v>
      </c>
      <c r="C907">
        <v>6</v>
      </c>
      <c r="D907" t="str">
        <v>Good</v>
      </c>
      <c r="E907" t="str">
        <v>No</v>
      </c>
      <c r="F907" t="str">
        <v>Never</v>
      </c>
      <c r="G907">
        <v>28</v>
      </c>
      <c r="H907">
        <v>6</v>
      </c>
      <c r="I907">
        <v>27.7</v>
      </c>
      <c r="J907">
        <v>129</v>
      </c>
      <c r="K907">
        <v>80</v>
      </c>
      <c r="L907">
        <v>7885</v>
      </c>
      <c r="M907" t="str" cm="1">
        <f t="array" ref="M907">_xlfn.IFS(C907&lt;6,"Poor",C907&lt;=8,"Normal",TRUE,"High")</f>
        <v>Normal</v>
      </c>
    </row>
    <row r="908" spans="1:13" x14ac:dyDescent="0.2">
      <c r="A908">
        <v>907</v>
      </c>
      <c r="B908" cm="1">
        <f t="array" ref="B908:L908">_xlfn.XLOOKUP($A908,Instagram_Usage_Lifestyle_Mini_!$A:$A,Instagram_Usage_Lifestyle_Mini_!$L:$V,"Not Found")</f>
        <v>8.1999999999999993</v>
      </c>
      <c r="C908">
        <v>8.1</v>
      </c>
      <c r="D908" t="str">
        <v>Good</v>
      </c>
      <c r="E908" t="str">
        <v>Former</v>
      </c>
      <c r="F908" t="str">
        <v>Rarely</v>
      </c>
      <c r="G908">
        <v>38</v>
      </c>
      <c r="H908">
        <v>10</v>
      </c>
      <c r="I908">
        <v>20.399999999999999</v>
      </c>
      <c r="J908">
        <v>159</v>
      </c>
      <c r="K908">
        <v>76</v>
      </c>
      <c r="L908">
        <v>8002</v>
      </c>
      <c r="M908" t="str" cm="1">
        <f t="array" ref="M908">_xlfn.IFS(C908&lt;6,"Poor",C908&lt;=8,"Normal",TRUE,"High")</f>
        <v>High</v>
      </c>
    </row>
    <row r="909" spans="1:13" x14ac:dyDescent="0.2">
      <c r="A909">
        <v>908</v>
      </c>
      <c r="B909" cm="1">
        <f t="array" ref="B909:L909">_xlfn.XLOOKUP($A909,Instagram_Usage_Lifestyle_Mini_!$A:$A,Instagram_Usage_Lifestyle_Mini_!$L:$V,"Not Found")</f>
        <v>1.4</v>
      </c>
      <c r="C909">
        <v>6.6</v>
      </c>
      <c r="D909" t="str">
        <v>Good</v>
      </c>
      <c r="E909" t="str">
        <v>No</v>
      </c>
      <c r="F909" t="str">
        <v>Several_times_a_week</v>
      </c>
      <c r="G909">
        <v>1</v>
      </c>
      <c r="H909">
        <v>7</v>
      </c>
      <c r="I909">
        <v>21.6</v>
      </c>
      <c r="J909">
        <v>130</v>
      </c>
      <c r="K909">
        <v>93</v>
      </c>
      <c r="L909">
        <v>8061</v>
      </c>
      <c r="M909" t="str" cm="1">
        <f t="array" ref="M909">_xlfn.IFS(C909&lt;6,"Poor",C909&lt;=8,"Normal",TRUE,"High")</f>
        <v>Normal</v>
      </c>
    </row>
    <row r="910" spans="1:13" x14ac:dyDescent="0.2">
      <c r="A910">
        <v>909</v>
      </c>
      <c r="B910" cm="1">
        <f t="array" ref="B910:L910">_xlfn.XLOOKUP($A910,Instagram_Usage_Lifestyle_Mini_!$A:$A,Instagram_Usage_Lifestyle_Mini_!$L:$V,"Not Found")</f>
        <v>4.2</v>
      </c>
      <c r="C910">
        <v>8.5</v>
      </c>
      <c r="D910" t="str">
        <v>Excellent</v>
      </c>
      <c r="E910" t="str">
        <v>Former</v>
      </c>
      <c r="F910" t="str">
        <v>Never</v>
      </c>
      <c r="G910">
        <v>6</v>
      </c>
      <c r="H910">
        <v>6</v>
      </c>
      <c r="I910">
        <v>29.8</v>
      </c>
      <c r="J910">
        <v>111</v>
      </c>
      <c r="K910">
        <v>91</v>
      </c>
      <c r="L910">
        <v>8062</v>
      </c>
      <c r="M910" t="str" cm="1">
        <f t="array" ref="M910">_xlfn.IFS(C910&lt;6,"Poor",C910&lt;=8,"Normal",TRUE,"High")</f>
        <v>High</v>
      </c>
    </row>
    <row r="911" spans="1:13" x14ac:dyDescent="0.2">
      <c r="A911">
        <v>910</v>
      </c>
      <c r="B911" cm="1">
        <f t="array" ref="B911:L911">_xlfn.XLOOKUP($A911,Instagram_Usage_Lifestyle_Mini_!$A:$A,Instagram_Usage_Lifestyle_Mini_!$L:$V,"Not Found")</f>
        <v>11.1</v>
      </c>
      <c r="C911">
        <v>7.4</v>
      </c>
      <c r="D911" t="str">
        <v>Good</v>
      </c>
      <c r="E911" t="str">
        <v>No</v>
      </c>
      <c r="F911" t="str">
        <v>Rarely</v>
      </c>
      <c r="G911">
        <v>1</v>
      </c>
      <c r="H911">
        <v>2</v>
      </c>
      <c r="I911">
        <v>27.1</v>
      </c>
      <c r="J911">
        <v>90</v>
      </c>
      <c r="K911">
        <v>77</v>
      </c>
      <c r="L911">
        <v>8063</v>
      </c>
      <c r="M911" t="str" cm="1">
        <f t="array" ref="M911">_xlfn.IFS(C911&lt;6,"Poor",C911&lt;=8,"Normal",TRUE,"High")</f>
        <v>Normal</v>
      </c>
    </row>
    <row r="912" spans="1:13" x14ac:dyDescent="0.2">
      <c r="A912">
        <v>911</v>
      </c>
      <c r="B912" cm="1">
        <f t="array" ref="B912:L912">_xlfn.XLOOKUP($A912,Instagram_Usage_Lifestyle_Mini_!$A:$A,Instagram_Usage_Lifestyle_Mini_!$L:$V,"Not Found")</f>
        <v>4.0999999999999996</v>
      </c>
      <c r="C912">
        <v>8.3000000000000007</v>
      </c>
      <c r="D912" t="str">
        <v>Average</v>
      </c>
      <c r="E912" t="str">
        <v>No</v>
      </c>
      <c r="F912" t="str">
        <v>Rarely</v>
      </c>
      <c r="G912">
        <v>18</v>
      </c>
      <c r="H912">
        <v>7</v>
      </c>
      <c r="I912">
        <v>24.8</v>
      </c>
      <c r="J912">
        <v>94</v>
      </c>
      <c r="K912">
        <v>98</v>
      </c>
      <c r="L912">
        <v>7937</v>
      </c>
      <c r="M912" t="str" cm="1">
        <f t="array" ref="M912">_xlfn.IFS(C912&lt;6,"Poor",C912&lt;=8,"Normal",TRUE,"High")</f>
        <v>High</v>
      </c>
    </row>
    <row r="913" spans="1:13" x14ac:dyDescent="0.2">
      <c r="A913">
        <v>912</v>
      </c>
      <c r="B913" cm="1">
        <f t="array" ref="B913:L913">_xlfn.XLOOKUP($A913,Instagram_Usage_Lifestyle_Mini_!$A:$A,Instagram_Usage_Lifestyle_Mini_!$L:$V,"Not Found")</f>
        <v>6.6</v>
      </c>
      <c r="C913">
        <v>6.4</v>
      </c>
      <c r="D913" t="str">
        <v>Excellent</v>
      </c>
      <c r="E913" t="str">
        <v>No</v>
      </c>
      <c r="F913" t="str">
        <v>Weekly</v>
      </c>
      <c r="G913">
        <v>38</v>
      </c>
      <c r="H913">
        <v>2</v>
      </c>
      <c r="I913">
        <v>33.299999999999997</v>
      </c>
      <c r="J913">
        <v>96</v>
      </c>
      <c r="K913">
        <v>92</v>
      </c>
      <c r="L913">
        <v>8034</v>
      </c>
      <c r="M913" t="str" cm="1">
        <f t="array" ref="M913">_xlfn.IFS(C913&lt;6,"Poor",C913&lt;=8,"Normal",TRUE,"High")</f>
        <v>Normal</v>
      </c>
    </row>
    <row r="914" spans="1:13" x14ac:dyDescent="0.2">
      <c r="A914">
        <v>913</v>
      </c>
      <c r="B914" cm="1">
        <f t="array" ref="B914:L914">_xlfn.XLOOKUP($A914,Instagram_Usage_Lifestyle_Mini_!$A:$A,Instagram_Usage_Lifestyle_Mini_!$L:$V,"Not Found")</f>
        <v>5.3</v>
      </c>
      <c r="C914">
        <v>7</v>
      </c>
      <c r="D914" t="str">
        <v>Good</v>
      </c>
      <c r="E914" t="str">
        <v>No</v>
      </c>
      <c r="F914" t="str">
        <v>Weekly</v>
      </c>
      <c r="G914">
        <v>20</v>
      </c>
      <c r="H914">
        <v>6</v>
      </c>
      <c r="I914">
        <v>25.7</v>
      </c>
      <c r="J914">
        <v>143</v>
      </c>
      <c r="K914">
        <v>67</v>
      </c>
      <c r="L914">
        <v>8032</v>
      </c>
      <c r="M914" t="str" cm="1">
        <f t="array" ref="M914">_xlfn.IFS(C914&lt;6,"Poor",C914&lt;=8,"Normal",TRUE,"High")</f>
        <v>Normal</v>
      </c>
    </row>
    <row r="915" spans="1:13" x14ac:dyDescent="0.2">
      <c r="A915">
        <v>914</v>
      </c>
      <c r="B915" cm="1">
        <f t="array" ref="B915:L915">_xlfn.XLOOKUP($A915,Instagram_Usage_Lifestyle_Mini_!$A:$A,Instagram_Usage_Lifestyle_Mini_!$L:$V,"Not Found")</f>
        <v>8.1999999999999993</v>
      </c>
      <c r="C915">
        <v>5.8</v>
      </c>
      <c r="D915" t="str">
        <v>Average</v>
      </c>
      <c r="E915" t="str">
        <v>No</v>
      </c>
      <c r="F915" t="str">
        <v>Rarely</v>
      </c>
      <c r="G915">
        <v>15</v>
      </c>
      <c r="H915">
        <v>4</v>
      </c>
      <c r="I915">
        <v>26.1</v>
      </c>
      <c r="J915">
        <v>112</v>
      </c>
      <c r="K915">
        <v>73</v>
      </c>
      <c r="L915">
        <v>8164</v>
      </c>
      <c r="M915" t="str" cm="1">
        <f t="array" ref="M915">_xlfn.IFS(C915&lt;6,"Poor",C915&lt;=8,"Normal",TRUE,"High")</f>
        <v>Poor</v>
      </c>
    </row>
    <row r="916" spans="1:13" x14ac:dyDescent="0.2">
      <c r="A916">
        <v>915</v>
      </c>
      <c r="B916" cm="1">
        <f t="array" ref="B916:L916">_xlfn.XLOOKUP($A916,Instagram_Usage_Lifestyle_Mini_!$A:$A,Instagram_Usage_Lifestyle_Mini_!$L:$V,"Not Found")</f>
        <v>15.9</v>
      </c>
      <c r="C916">
        <v>6.7</v>
      </c>
      <c r="D916" t="str">
        <v>Average</v>
      </c>
      <c r="E916" t="str">
        <v>No</v>
      </c>
      <c r="F916" t="str">
        <v>Rarely</v>
      </c>
      <c r="G916">
        <v>11</v>
      </c>
      <c r="H916">
        <v>1</v>
      </c>
      <c r="I916">
        <v>21.8</v>
      </c>
      <c r="J916">
        <v>119</v>
      </c>
      <c r="K916">
        <v>92</v>
      </c>
      <c r="L916">
        <v>8149</v>
      </c>
      <c r="M916" t="str" cm="1">
        <f t="array" ref="M916">_xlfn.IFS(C916&lt;6,"Poor",C916&lt;=8,"Normal",TRUE,"High")</f>
        <v>Normal</v>
      </c>
    </row>
    <row r="917" spans="1:13" x14ac:dyDescent="0.2">
      <c r="A917">
        <v>916</v>
      </c>
      <c r="B917" cm="1">
        <f t="array" ref="B917:L917">_xlfn.XLOOKUP($A917,Instagram_Usage_Lifestyle_Mini_!$A:$A,Instagram_Usage_Lifestyle_Mini_!$L:$V,"Not Found")</f>
        <v>8.9</v>
      </c>
      <c r="C917">
        <v>9</v>
      </c>
      <c r="D917" t="str">
        <v>Excellent</v>
      </c>
      <c r="E917" t="str">
        <v>No</v>
      </c>
      <c r="F917" t="str">
        <v>Rarely</v>
      </c>
      <c r="G917">
        <v>4</v>
      </c>
      <c r="H917">
        <v>8</v>
      </c>
      <c r="I917">
        <v>24.1</v>
      </c>
      <c r="J917">
        <v>141</v>
      </c>
      <c r="K917">
        <v>83</v>
      </c>
      <c r="L917">
        <v>7919</v>
      </c>
      <c r="M917" t="str" cm="1">
        <f t="array" ref="M917">_xlfn.IFS(C917&lt;6,"Poor",C917&lt;=8,"Normal",TRUE,"High")</f>
        <v>High</v>
      </c>
    </row>
    <row r="918" spans="1:13" x14ac:dyDescent="0.2">
      <c r="A918">
        <v>917</v>
      </c>
      <c r="B918" cm="1">
        <f t="array" ref="B918:L918">_xlfn.XLOOKUP($A918,Instagram_Usage_Lifestyle_Mini_!$A:$A,Instagram_Usage_Lifestyle_Mini_!$L:$V,"Not Found")</f>
        <v>12.1</v>
      </c>
      <c r="C918">
        <v>7.6</v>
      </c>
      <c r="D918" t="str">
        <v>Good</v>
      </c>
      <c r="E918" t="str">
        <v>No</v>
      </c>
      <c r="F918" t="str">
        <v>Daily</v>
      </c>
      <c r="G918">
        <v>29</v>
      </c>
      <c r="H918">
        <v>1</v>
      </c>
      <c r="I918">
        <v>16.5</v>
      </c>
      <c r="J918">
        <v>123</v>
      </c>
      <c r="K918">
        <v>68</v>
      </c>
      <c r="L918">
        <v>7800</v>
      </c>
      <c r="M918" t="str" cm="1">
        <f t="array" ref="M918">_xlfn.IFS(C918&lt;6,"Poor",C918&lt;=8,"Normal",TRUE,"High")</f>
        <v>Normal</v>
      </c>
    </row>
    <row r="919" spans="1:13" x14ac:dyDescent="0.2">
      <c r="A919">
        <v>918</v>
      </c>
      <c r="B919" cm="1">
        <f t="array" ref="B919:L919">_xlfn.XLOOKUP($A919,Instagram_Usage_Lifestyle_Mini_!$A:$A,Instagram_Usage_Lifestyle_Mini_!$L:$V,"Not Found")</f>
        <v>8.8000000000000007</v>
      </c>
      <c r="C919">
        <v>6.4</v>
      </c>
      <c r="D919" t="str">
        <v>Good</v>
      </c>
      <c r="E919" t="str">
        <v>No</v>
      </c>
      <c r="F919" t="str">
        <v>Rarely</v>
      </c>
      <c r="G919">
        <v>32</v>
      </c>
      <c r="H919">
        <v>9</v>
      </c>
      <c r="I919">
        <v>31.3</v>
      </c>
      <c r="J919">
        <v>136</v>
      </c>
      <c r="K919">
        <v>86</v>
      </c>
      <c r="L919">
        <v>8039</v>
      </c>
      <c r="M919" t="str" cm="1">
        <f t="array" ref="M919">_xlfn.IFS(C919&lt;6,"Poor",C919&lt;=8,"Normal",TRUE,"High")</f>
        <v>Normal</v>
      </c>
    </row>
    <row r="920" spans="1:13" x14ac:dyDescent="0.2">
      <c r="A920">
        <v>919</v>
      </c>
      <c r="B920" cm="1">
        <f t="array" ref="B920:L920">_xlfn.XLOOKUP($A920,Instagram_Usage_Lifestyle_Mini_!$A:$A,Instagram_Usage_Lifestyle_Mini_!$L:$V,"Not Found")</f>
        <v>13.4</v>
      </c>
      <c r="C920">
        <v>8.3000000000000007</v>
      </c>
      <c r="D920" t="str">
        <v>Poor</v>
      </c>
      <c r="E920" t="str">
        <v>Yes</v>
      </c>
      <c r="F920" t="str">
        <v>Several_times_a_week</v>
      </c>
      <c r="G920">
        <v>1</v>
      </c>
      <c r="H920">
        <v>7</v>
      </c>
      <c r="I920">
        <v>25.2</v>
      </c>
      <c r="J920">
        <v>144</v>
      </c>
      <c r="K920">
        <v>71</v>
      </c>
      <c r="L920">
        <v>7987</v>
      </c>
      <c r="M920" t="str" cm="1">
        <f t="array" ref="M920">_xlfn.IFS(C920&lt;6,"Poor",C920&lt;=8,"Normal",TRUE,"High")</f>
        <v>High</v>
      </c>
    </row>
    <row r="921" spans="1:13" x14ac:dyDescent="0.2">
      <c r="A921">
        <v>920</v>
      </c>
      <c r="B921" cm="1">
        <f t="array" ref="B921:L921">_xlfn.XLOOKUP($A921,Instagram_Usage_Lifestyle_Mini_!$A:$A,Instagram_Usage_Lifestyle_Mini_!$L:$V,"Not Found")</f>
        <v>8.1999999999999993</v>
      </c>
      <c r="C921">
        <v>8.5</v>
      </c>
      <c r="D921" t="str">
        <v>Good</v>
      </c>
      <c r="E921" t="str">
        <v>No</v>
      </c>
      <c r="F921" t="str">
        <v>Never</v>
      </c>
      <c r="G921">
        <v>17</v>
      </c>
      <c r="H921">
        <v>1</v>
      </c>
      <c r="I921">
        <v>23.8</v>
      </c>
      <c r="J921">
        <v>100</v>
      </c>
      <c r="K921">
        <v>85</v>
      </c>
      <c r="L921">
        <v>7888</v>
      </c>
      <c r="M921" t="str" cm="1">
        <f t="array" ref="M921">_xlfn.IFS(C921&lt;6,"Poor",C921&lt;=8,"Normal",TRUE,"High")</f>
        <v>High</v>
      </c>
    </row>
    <row r="922" spans="1:13" x14ac:dyDescent="0.2">
      <c r="A922">
        <v>921</v>
      </c>
      <c r="B922" cm="1">
        <f t="array" ref="B922:L922">_xlfn.XLOOKUP($A922,Instagram_Usage_Lifestyle_Mini_!$A:$A,Instagram_Usage_Lifestyle_Mini_!$L:$V,"Not Found")</f>
        <v>11.6</v>
      </c>
      <c r="C922">
        <v>8.4</v>
      </c>
      <c r="D922" t="str">
        <v>Excellent</v>
      </c>
      <c r="E922" t="str">
        <v>No</v>
      </c>
      <c r="F922" t="str">
        <v>Never</v>
      </c>
      <c r="G922">
        <v>35</v>
      </c>
      <c r="H922">
        <v>6</v>
      </c>
      <c r="I922">
        <v>26.7</v>
      </c>
      <c r="J922">
        <v>151</v>
      </c>
      <c r="K922">
        <v>90</v>
      </c>
      <c r="L922">
        <v>8007</v>
      </c>
      <c r="M922" t="str" cm="1">
        <f t="array" ref="M922">_xlfn.IFS(C922&lt;6,"Poor",C922&lt;=8,"Normal",TRUE,"High")</f>
        <v>High</v>
      </c>
    </row>
    <row r="923" spans="1:13" x14ac:dyDescent="0.2">
      <c r="A923">
        <v>922</v>
      </c>
      <c r="B923" cm="1">
        <f t="array" ref="B923:L923">_xlfn.XLOOKUP($A923,Instagram_Usage_Lifestyle_Mini_!$A:$A,Instagram_Usage_Lifestyle_Mini_!$L:$V,"Not Found")</f>
        <v>8.1</v>
      </c>
      <c r="C923">
        <v>5.3</v>
      </c>
      <c r="D923" t="str">
        <v>Good</v>
      </c>
      <c r="E923" t="str">
        <v>Yes</v>
      </c>
      <c r="F923" t="str">
        <v>Daily</v>
      </c>
      <c r="G923">
        <v>14</v>
      </c>
      <c r="H923">
        <v>2</v>
      </c>
      <c r="I923">
        <v>24.3</v>
      </c>
      <c r="J923">
        <v>153</v>
      </c>
      <c r="K923">
        <v>79</v>
      </c>
      <c r="L923">
        <v>7909</v>
      </c>
      <c r="M923" t="str" cm="1">
        <f t="array" ref="M923">_xlfn.IFS(C923&lt;6,"Poor",C923&lt;=8,"Normal",TRUE,"High")</f>
        <v>Poor</v>
      </c>
    </row>
    <row r="924" spans="1:13" x14ac:dyDescent="0.2">
      <c r="A924">
        <v>923</v>
      </c>
      <c r="B924" cm="1">
        <f t="array" ref="B924:L924">_xlfn.XLOOKUP($A924,Instagram_Usage_Lifestyle_Mini_!$A:$A,Instagram_Usage_Lifestyle_Mini_!$L:$V,"Not Found")</f>
        <v>5.0999999999999996</v>
      </c>
      <c r="C924">
        <v>7</v>
      </c>
      <c r="D924" t="str">
        <v>Good</v>
      </c>
      <c r="E924" t="str">
        <v>No</v>
      </c>
      <c r="F924" t="str">
        <v>Never</v>
      </c>
      <c r="G924">
        <v>6</v>
      </c>
      <c r="H924">
        <v>10</v>
      </c>
      <c r="I924">
        <v>26.1</v>
      </c>
      <c r="J924">
        <v>116</v>
      </c>
      <c r="K924">
        <v>75</v>
      </c>
      <c r="L924">
        <v>8094</v>
      </c>
      <c r="M924" t="str" cm="1">
        <f t="array" ref="M924">_xlfn.IFS(C924&lt;6,"Poor",C924&lt;=8,"Normal",TRUE,"High")</f>
        <v>Normal</v>
      </c>
    </row>
    <row r="925" spans="1:13" x14ac:dyDescent="0.2">
      <c r="A925">
        <v>924</v>
      </c>
      <c r="B925" cm="1">
        <f t="array" ref="B925:L925">_xlfn.XLOOKUP($A925,Instagram_Usage_Lifestyle_Mini_!$A:$A,Instagram_Usage_Lifestyle_Mini_!$L:$V,"Not Found")</f>
        <v>5.4</v>
      </c>
      <c r="C925">
        <v>6.8</v>
      </c>
      <c r="D925" t="str">
        <v>Average</v>
      </c>
      <c r="E925" t="str">
        <v>No</v>
      </c>
      <c r="F925" t="str">
        <v>Rarely</v>
      </c>
      <c r="G925">
        <v>34</v>
      </c>
      <c r="H925">
        <v>5</v>
      </c>
      <c r="I925">
        <v>24.1</v>
      </c>
      <c r="J925">
        <v>90</v>
      </c>
      <c r="K925">
        <v>79</v>
      </c>
      <c r="L925">
        <v>8078</v>
      </c>
      <c r="M925" t="str" cm="1">
        <f t="array" ref="M925">_xlfn.IFS(C925&lt;6,"Poor",C925&lt;=8,"Normal",TRUE,"High")</f>
        <v>Normal</v>
      </c>
    </row>
    <row r="926" spans="1:13" x14ac:dyDescent="0.2">
      <c r="A926">
        <v>925</v>
      </c>
      <c r="B926" cm="1">
        <f t="array" ref="B926:L926">_xlfn.XLOOKUP($A926,Instagram_Usage_Lifestyle_Mini_!$A:$A,Instagram_Usage_Lifestyle_Mini_!$L:$V,"Not Found")</f>
        <v>8.9</v>
      </c>
      <c r="C926">
        <v>6.9</v>
      </c>
      <c r="D926" t="str">
        <v>Good</v>
      </c>
      <c r="E926" t="str">
        <v>No</v>
      </c>
      <c r="F926" t="str">
        <v>Never</v>
      </c>
      <c r="G926">
        <v>40</v>
      </c>
      <c r="H926">
        <v>3</v>
      </c>
      <c r="I926">
        <v>25.1</v>
      </c>
      <c r="J926">
        <v>128</v>
      </c>
      <c r="K926">
        <v>75</v>
      </c>
      <c r="L926">
        <v>8129</v>
      </c>
      <c r="M926" t="str" cm="1">
        <f t="array" ref="M926">_xlfn.IFS(C926&lt;6,"Poor",C926&lt;=8,"Normal",TRUE,"High")</f>
        <v>Normal</v>
      </c>
    </row>
    <row r="927" spans="1:13" x14ac:dyDescent="0.2">
      <c r="A927">
        <v>926</v>
      </c>
      <c r="B927" cm="1">
        <f t="array" ref="B927:L927">_xlfn.XLOOKUP($A927,Instagram_Usage_Lifestyle_Mini_!$A:$A,Instagram_Usage_Lifestyle_Mini_!$L:$V,"Not Found")</f>
        <v>12.2</v>
      </c>
      <c r="C927">
        <v>6.9</v>
      </c>
      <c r="D927" t="str">
        <v>Poor</v>
      </c>
      <c r="E927" t="str">
        <v>No</v>
      </c>
      <c r="F927" t="str">
        <v>Rarely</v>
      </c>
      <c r="G927">
        <v>4</v>
      </c>
      <c r="H927">
        <v>8</v>
      </c>
      <c r="I927">
        <v>19</v>
      </c>
      <c r="J927">
        <v>156</v>
      </c>
      <c r="K927">
        <v>84</v>
      </c>
      <c r="L927">
        <v>8119</v>
      </c>
      <c r="M927" t="str" cm="1">
        <f t="array" ref="M927">_xlfn.IFS(C927&lt;6,"Poor",C927&lt;=8,"Normal",TRUE,"High")</f>
        <v>Normal</v>
      </c>
    </row>
    <row r="928" spans="1:13" x14ac:dyDescent="0.2">
      <c r="A928">
        <v>927</v>
      </c>
      <c r="B928" cm="1">
        <f t="array" ref="B928:L928">_xlfn.XLOOKUP($A928,Instagram_Usage_Lifestyle_Mini_!$A:$A,Instagram_Usage_Lifestyle_Mini_!$L:$V,"Not Found")</f>
        <v>6.5</v>
      </c>
      <c r="C928">
        <v>8.5</v>
      </c>
      <c r="D928" t="str">
        <v>Excellent</v>
      </c>
      <c r="E928" t="str">
        <v>No</v>
      </c>
      <c r="F928" t="str">
        <v>Weekly</v>
      </c>
      <c r="G928">
        <v>32</v>
      </c>
      <c r="H928">
        <v>10</v>
      </c>
      <c r="I928">
        <v>22.8</v>
      </c>
      <c r="J928">
        <v>93</v>
      </c>
      <c r="K928">
        <v>93</v>
      </c>
      <c r="L928">
        <v>7992</v>
      </c>
      <c r="M928" t="str" cm="1">
        <f t="array" ref="M928">_xlfn.IFS(C928&lt;6,"Poor",C928&lt;=8,"Normal",TRUE,"High")</f>
        <v>High</v>
      </c>
    </row>
    <row r="929" spans="1:13" x14ac:dyDescent="0.2">
      <c r="A929">
        <v>928</v>
      </c>
      <c r="B929" cm="1">
        <f t="array" ref="B929:L929">_xlfn.XLOOKUP($A929,Instagram_Usage_Lifestyle_Mini_!$A:$A,Instagram_Usage_Lifestyle_Mini_!$L:$V,"Not Found")</f>
        <v>2.4</v>
      </c>
      <c r="C929">
        <v>8.1</v>
      </c>
      <c r="D929" t="str">
        <v>Good</v>
      </c>
      <c r="E929" t="str">
        <v>No</v>
      </c>
      <c r="F929" t="str">
        <v>Rarely</v>
      </c>
      <c r="G929">
        <v>3</v>
      </c>
      <c r="H929">
        <v>3</v>
      </c>
      <c r="I929">
        <v>24</v>
      </c>
      <c r="J929">
        <v>120</v>
      </c>
      <c r="K929">
        <v>92</v>
      </c>
      <c r="L929">
        <v>8031</v>
      </c>
      <c r="M929" t="str" cm="1">
        <f t="array" ref="M929">_xlfn.IFS(C929&lt;6,"Poor",C929&lt;=8,"Normal",TRUE,"High")</f>
        <v>High</v>
      </c>
    </row>
    <row r="930" spans="1:13" x14ac:dyDescent="0.2">
      <c r="A930">
        <v>929</v>
      </c>
      <c r="B930" cm="1">
        <f t="array" ref="B930:L930">_xlfn.XLOOKUP($A930,Instagram_Usage_Lifestyle_Mini_!$A:$A,Instagram_Usage_Lifestyle_Mini_!$L:$V,"Not Found")</f>
        <v>7.3</v>
      </c>
      <c r="C930">
        <v>6.7</v>
      </c>
      <c r="D930" t="str">
        <v>Good</v>
      </c>
      <c r="E930" t="str">
        <v>Yes</v>
      </c>
      <c r="F930" t="str">
        <v>Several_times_a_week</v>
      </c>
      <c r="G930">
        <v>37</v>
      </c>
      <c r="H930">
        <v>7</v>
      </c>
      <c r="I930">
        <v>26.8</v>
      </c>
      <c r="J930">
        <v>119</v>
      </c>
      <c r="K930">
        <v>80</v>
      </c>
      <c r="L930">
        <v>8044</v>
      </c>
      <c r="M930" t="str" cm="1">
        <f t="array" ref="M930">_xlfn.IFS(C930&lt;6,"Poor",C930&lt;=8,"Normal",TRUE,"High")</f>
        <v>Normal</v>
      </c>
    </row>
    <row r="931" spans="1:13" x14ac:dyDescent="0.2">
      <c r="A931">
        <v>930</v>
      </c>
      <c r="B931" cm="1">
        <f t="array" ref="B931:L931">_xlfn.XLOOKUP($A931,Instagram_Usage_Lifestyle_Mini_!$A:$A,Instagram_Usage_Lifestyle_Mini_!$L:$V,"Not Found")</f>
        <v>10.5</v>
      </c>
      <c r="C931">
        <v>7.5</v>
      </c>
      <c r="D931" t="str">
        <v>Good</v>
      </c>
      <c r="E931" t="str">
        <v>No</v>
      </c>
      <c r="F931" t="str">
        <v>Rarely</v>
      </c>
      <c r="G931">
        <v>1</v>
      </c>
      <c r="H931">
        <v>7</v>
      </c>
      <c r="I931">
        <v>20.3</v>
      </c>
      <c r="J931">
        <v>112</v>
      </c>
      <c r="K931">
        <v>95</v>
      </c>
      <c r="L931">
        <v>8007</v>
      </c>
      <c r="M931" t="str" cm="1">
        <f t="array" ref="M931">_xlfn.IFS(C931&lt;6,"Poor",C931&lt;=8,"Normal",TRUE,"High")</f>
        <v>Normal</v>
      </c>
    </row>
    <row r="932" spans="1:13" x14ac:dyDescent="0.2">
      <c r="A932">
        <v>931</v>
      </c>
      <c r="B932" cm="1">
        <f t="array" ref="B932:L932">_xlfn.XLOOKUP($A932,Instagram_Usage_Lifestyle_Mini_!$A:$A,Instagram_Usage_Lifestyle_Mini_!$L:$V,"Not Found")</f>
        <v>6.2</v>
      </c>
      <c r="C932">
        <v>5</v>
      </c>
      <c r="D932" t="str">
        <v>Poor</v>
      </c>
      <c r="E932" t="str">
        <v>No</v>
      </c>
      <c r="F932" t="str">
        <v>Never</v>
      </c>
      <c r="G932">
        <v>12</v>
      </c>
      <c r="H932">
        <v>3</v>
      </c>
      <c r="I932">
        <v>16.600000000000001</v>
      </c>
      <c r="J932">
        <v>103</v>
      </c>
      <c r="K932">
        <v>81</v>
      </c>
      <c r="L932">
        <v>8020</v>
      </c>
      <c r="M932" t="str" cm="1">
        <f t="array" ref="M932">_xlfn.IFS(C932&lt;6,"Poor",C932&lt;=8,"Normal",TRUE,"High")</f>
        <v>Poor</v>
      </c>
    </row>
    <row r="933" spans="1:13" x14ac:dyDescent="0.2">
      <c r="A933">
        <v>932</v>
      </c>
      <c r="B933" cm="1">
        <f t="array" ref="B933:L933">_xlfn.XLOOKUP($A933,Instagram_Usage_Lifestyle_Mini_!$A:$A,Instagram_Usage_Lifestyle_Mini_!$L:$V,"Not Found")</f>
        <v>7.9</v>
      </c>
      <c r="C933">
        <v>7.2</v>
      </c>
      <c r="D933" t="str">
        <v>Average</v>
      </c>
      <c r="E933" t="str">
        <v>No</v>
      </c>
      <c r="F933" t="str">
        <v>Rarely</v>
      </c>
      <c r="G933">
        <v>20</v>
      </c>
      <c r="H933">
        <v>2</v>
      </c>
      <c r="I933">
        <v>16.899999999999999</v>
      </c>
      <c r="J933">
        <v>159</v>
      </c>
      <c r="K933">
        <v>88</v>
      </c>
      <c r="L933">
        <v>8078</v>
      </c>
      <c r="M933" t="str" cm="1">
        <f t="array" ref="M933">_xlfn.IFS(C933&lt;6,"Poor",C933&lt;=8,"Normal",TRUE,"High")</f>
        <v>Normal</v>
      </c>
    </row>
    <row r="934" spans="1:13" x14ac:dyDescent="0.2">
      <c r="A934">
        <v>933</v>
      </c>
      <c r="B934" cm="1">
        <f t="array" ref="B934:L934">_xlfn.XLOOKUP($A934,Instagram_Usage_Lifestyle_Mini_!$A:$A,Instagram_Usage_Lifestyle_Mini_!$L:$V,"Not Found")</f>
        <v>1.4</v>
      </c>
      <c r="C934">
        <v>7</v>
      </c>
      <c r="D934" t="str">
        <v>Very_poor</v>
      </c>
      <c r="E934" t="str">
        <v>No</v>
      </c>
      <c r="F934" t="str">
        <v>Several_times_a_week</v>
      </c>
      <c r="G934">
        <v>4</v>
      </c>
      <c r="H934">
        <v>8</v>
      </c>
      <c r="I934">
        <v>20.7</v>
      </c>
      <c r="J934">
        <v>149</v>
      </c>
      <c r="K934">
        <v>73</v>
      </c>
      <c r="L934">
        <v>8109</v>
      </c>
      <c r="M934" t="str" cm="1">
        <f t="array" ref="M934">_xlfn.IFS(C934&lt;6,"Poor",C934&lt;=8,"Normal",TRUE,"High")</f>
        <v>Normal</v>
      </c>
    </row>
    <row r="935" spans="1:13" x14ac:dyDescent="0.2">
      <c r="A935">
        <v>934</v>
      </c>
      <c r="B935" cm="1">
        <f t="array" ref="B935:L935">_xlfn.XLOOKUP($A935,Instagram_Usage_Lifestyle_Mini_!$A:$A,Instagram_Usage_Lifestyle_Mini_!$L:$V,"Not Found")</f>
        <v>9.6999999999999993</v>
      </c>
      <c r="C935">
        <v>6.1</v>
      </c>
      <c r="D935" t="str">
        <v>Good</v>
      </c>
      <c r="E935" t="str">
        <v>No</v>
      </c>
      <c r="F935" t="str">
        <v>Never</v>
      </c>
      <c r="G935">
        <v>20</v>
      </c>
      <c r="H935">
        <v>1</v>
      </c>
      <c r="I935">
        <v>25.1</v>
      </c>
      <c r="J935">
        <v>143</v>
      </c>
      <c r="K935">
        <v>64</v>
      </c>
      <c r="L935">
        <v>8139</v>
      </c>
      <c r="M935" t="str" cm="1">
        <f t="array" ref="M935">_xlfn.IFS(C935&lt;6,"Poor",C935&lt;=8,"Normal",TRUE,"High")</f>
        <v>Normal</v>
      </c>
    </row>
    <row r="936" spans="1:13" x14ac:dyDescent="0.2">
      <c r="A936">
        <v>935</v>
      </c>
      <c r="B936" cm="1">
        <f t="array" ref="B936:L936">_xlfn.XLOOKUP($A936,Instagram_Usage_Lifestyle_Mini_!$A:$A,Instagram_Usage_Lifestyle_Mini_!$L:$V,"Not Found")</f>
        <v>3.3</v>
      </c>
      <c r="C936">
        <v>7.7</v>
      </c>
      <c r="D936" t="str">
        <v>Good</v>
      </c>
      <c r="E936" t="str">
        <v>No</v>
      </c>
      <c r="F936" t="str">
        <v>Rarely</v>
      </c>
      <c r="G936">
        <v>19</v>
      </c>
      <c r="H936">
        <v>2</v>
      </c>
      <c r="I936">
        <v>29</v>
      </c>
      <c r="J936">
        <v>159</v>
      </c>
      <c r="K936">
        <v>92</v>
      </c>
      <c r="L936">
        <v>7969</v>
      </c>
      <c r="M936" t="str" cm="1">
        <f t="array" ref="M936">_xlfn.IFS(C936&lt;6,"Poor",C936&lt;=8,"Normal",TRUE,"High")</f>
        <v>Normal</v>
      </c>
    </row>
    <row r="937" spans="1:13" x14ac:dyDescent="0.2">
      <c r="A937">
        <v>936</v>
      </c>
      <c r="B937" cm="1">
        <f t="array" ref="B937:L937">_xlfn.XLOOKUP($A937,Instagram_Usage_Lifestyle_Mini_!$A:$A,Instagram_Usage_Lifestyle_Mini_!$L:$V,"Not Found")</f>
        <v>12.1</v>
      </c>
      <c r="C937">
        <v>8.6</v>
      </c>
      <c r="D937" t="str">
        <v>Poor</v>
      </c>
      <c r="E937" t="str">
        <v>No</v>
      </c>
      <c r="F937" t="str">
        <v>Rarely</v>
      </c>
      <c r="G937">
        <v>15</v>
      </c>
      <c r="H937">
        <v>4</v>
      </c>
      <c r="I937">
        <v>28.3</v>
      </c>
      <c r="J937">
        <v>127</v>
      </c>
      <c r="K937">
        <v>67</v>
      </c>
      <c r="L937">
        <v>7847</v>
      </c>
      <c r="M937" t="str" cm="1">
        <f t="array" ref="M937">_xlfn.IFS(C937&lt;6,"Poor",C937&lt;=8,"Normal",TRUE,"High")</f>
        <v>High</v>
      </c>
    </row>
    <row r="938" spans="1:13" x14ac:dyDescent="0.2">
      <c r="A938">
        <v>937</v>
      </c>
      <c r="B938" cm="1">
        <f t="array" ref="B938:L938">_xlfn.XLOOKUP($A938,Instagram_Usage_Lifestyle_Mini_!$A:$A,Instagram_Usage_Lifestyle_Mini_!$L:$V,"Not Found")</f>
        <v>8.6999999999999993</v>
      </c>
      <c r="C938">
        <v>7.8</v>
      </c>
      <c r="D938" t="str">
        <v>Poor</v>
      </c>
      <c r="E938" t="str">
        <v>Yes</v>
      </c>
      <c r="F938" t="str">
        <v>Weekly</v>
      </c>
      <c r="G938">
        <v>5</v>
      </c>
      <c r="H938">
        <v>1</v>
      </c>
      <c r="I938">
        <v>28.6</v>
      </c>
      <c r="J938">
        <v>123</v>
      </c>
      <c r="K938">
        <v>69</v>
      </c>
      <c r="L938">
        <v>8114</v>
      </c>
      <c r="M938" t="str" cm="1">
        <f t="array" ref="M938">_xlfn.IFS(C938&lt;6,"Poor",C938&lt;=8,"Normal",TRUE,"High")</f>
        <v>Normal</v>
      </c>
    </row>
    <row r="939" spans="1:13" x14ac:dyDescent="0.2">
      <c r="A939">
        <v>938</v>
      </c>
      <c r="B939" cm="1">
        <f t="array" ref="B939:L939">_xlfn.XLOOKUP($A939,Instagram_Usage_Lifestyle_Mini_!$A:$A,Instagram_Usage_Lifestyle_Mini_!$L:$V,"Not Found")</f>
        <v>6</v>
      </c>
      <c r="C939">
        <v>5.3</v>
      </c>
      <c r="D939" t="str">
        <v>Good</v>
      </c>
      <c r="E939" t="str">
        <v>Yes</v>
      </c>
      <c r="F939" t="str">
        <v>Never</v>
      </c>
      <c r="G939">
        <v>23</v>
      </c>
      <c r="H939">
        <v>3</v>
      </c>
      <c r="I939">
        <v>25.1</v>
      </c>
      <c r="J939">
        <v>145</v>
      </c>
      <c r="K939">
        <v>65</v>
      </c>
      <c r="L939">
        <v>7974</v>
      </c>
      <c r="M939" t="str" cm="1">
        <f t="array" ref="M939">_xlfn.IFS(C939&lt;6,"Poor",C939&lt;=8,"Normal",TRUE,"High")</f>
        <v>Poor</v>
      </c>
    </row>
    <row r="940" spans="1:13" x14ac:dyDescent="0.2">
      <c r="A940">
        <v>939</v>
      </c>
      <c r="B940" cm="1">
        <f t="array" ref="B940:L940">_xlfn.XLOOKUP($A940,Instagram_Usage_Lifestyle_Mini_!$A:$A,Instagram_Usage_Lifestyle_Mini_!$L:$V,"Not Found")</f>
        <v>7.2</v>
      </c>
      <c r="C940">
        <v>8</v>
      </c>
      <c r="D940" t="str">
        <v>Poor</v>
      </c>
      <c r="E940" t="str">
        <v>Yes</v>
      </c>
      <c r="F940" t="str">
        <v>Several_times_a_week</v>
      </c>
      <c r="G940">
        <v>20</v>
      </c>
      <c r="H940">
        <v>5</v>
      </c>
      <c r="I940">
        <v>29.6</v>
      </c>
      <c r="J940">
        <v>143</v>
      </c>
      <c r="K940">
        <v>74</v>
      </c>
      <c r="L940">
        <v>8072</v>
      </c>
      <c r="M940" t="str" cm="1">
        <f t="array" ref="M940">_xlfn.IFS(C940&lt;6,"Poor",C940&lt;=8,"Normal",TRUE,"High")</f>
        <v>Normal</v>
      </c>
    </row>
    <row r="941" spans="1:13" x14ac:dyDescent="0.2">
      <c r="A941">
        <v>940</v>
      </c>
      <c r="B941" cm="1">
        <f t="array" ref="B941:L941">_xlfn.XLOOKUP($A941,Instagram_Usage_Lifestyle_Mini_!$A:$A,Instagram_Usage_Lifestyle_Mini_!$L:$V,"Not Found")</f>
        <v>5.0999999999999996</v>
      </c>
      <c r="C941">
        <v>6.3</v>
      </c>
      <c r="D941" t="str">
        <v>Average</v>
      </c>
      <c r="E941" t="str">
        <v>No</v>
      </c>
      <c r="F941" t="str">
        <v>Rarely</v>
      </c>
      <c r="G941">
        <v>11</v>
      </c>
      <c r="H941">
        <v>2</v>
      </c>
      <c r="I941">
        <v>22.5</v>
      </c>
      <c r="J941">
        <v>94</v>
      </c>
      <c r="K941">
        <v>96</v>
      </c>
      <c r="L941">
        <v>7967</v>
      </c>
      <c r="M941" t="str" cm="1">
        <f t="array" ref="M941">_xlfn.IFS(C941&lt;6,"Poor",C941&lt;=8,"Normal",TRUE,"High")</f>
        <v>Normal</v>
      </c>
    </row>
    <row r="942" spans="1:13" x14ac:dyDescent="0.2">
      <c r="A942">
        <v>941</v>
      </c>
      <c r="B942" cm="1">
        <f t="array" ref="B942:L942">_xlfn.XLOOKUP($A942,Instagram_Usage_Lifestyle_Mini_!$A:$A,Instagram_Usage_Lifestyle_Mini_!$L:$V,"Not Found")</f>
        <v>11.6</v>
      </c>
      <c r="C942">
        <v>6</v>
      </c>
      <c r="D942" t="str">
        <v>Good</v>
      </c>
      <c r="E942" t="str">
        <v>No</v>
      </c>
      <c r="F942" t="str">
        <v>Daily</v>
      </c>
      <c r="G942">
        <v>25</v>
      </c>
      <c r="H942">
        <v>7</v>
      </c>
      <c r="I942">
        <v>25.2</v>
      </c>
      <c r="J942">
        <v>144</v>
      </c>
      <c r="K942">
        <v>99</v>
      </c>
      <c r="L942">
        <v>7961</v>
      </c>
      <c r="M942" t="str" cm="1">
        <f t="array" ref="M942">_xlfn.IFS(C942&lt;6,"Poor",C942&lt;=8,"Normal",TRUE,"High")</f>
        <v>Normal</v>
      </c>
    </row>
    <row r="943" spans="1:13" x14ac:dyDescent="0.2">
      <c r="A943">
        <v>942</v>
      </c>
      <c r="B943" cm="1">
        <f t="array" ref="B943:L943">_xlfn.XLOOKUP($A943,Instagram_Usage_Lifestyle_Mini_!$A:$A,Instagram_Usage_Lifestyle_Mini_!$L:$V,"Not Found")</f>
        <v>7.4</v>
      </c>
      <c r="C943">
        <v>7.6</v>
      </c>
      <c r="D943" t="str">
        <v>Excellent</v>
      </c>
      <c r="E943" t="str">
        <v>No</v>
      </c>
      <c r="F943" t="str">
        <v>Never</v>
      </c>
      <c r="G943">
        <v>34</v>
      </c>
      <c r="H943">
        <v>9</v>
      </c>
      <c r="I943">
        <v>19.600000000000001</v>
      </c>
      <c r="J943">
        <v>149</v>
      </c>
      <c r="K943">
        <v>68</v>
      </c>
      <c r="L943">
        <v>7958</v>
      </c>
      <c r="M943" t="str" cm="1">
        <f t="array" ref="M943">_xlfn.IFS(C943&lt;6,"Poor",C943&lt;=8,"Normal",TRUE,"High")</f>
        <v>Normal</v>
      </c>
    </row>
    <row r="944" spans="1:13" x14ac:dyDescent="0.2">
      <c r="A944">
        <v>943</v>
      </c>
      <c r="B944" cm="1">
        <f t="array" ref="B944:L944">_xlfn.XLOOKUP($A944,Instagram_Usage_Lifestyle_Mini_!$A:$A,Instagram_Usage_Lifestyle_Mini_!$L:$V,"Not Found")</f>
        <v>6.3</v>
      </c>
      <c r="C944">
        <v>6.8</v>
      </c>
      <c r="D944" t="str">
        <v>Poor</v>
      </c>
      <c r="E944" t="str">
        <v>No</v>
      </c>
      <c r="F944" t="str">
        <v>Never</v>
      </c>
      <c r="G944">
        <v>38</v>
      </c>
      <c r="H944">
        <v>7</v>
      </c>
      <c r="I944">
        <v>24.9</v>
      </c>
      <c r="J944">
        <v>157</v>
      </c>
      <c r="K944">
        <v>69</v>
      </c>
      <c r="L944">
        <v>8031</v>
      </c>
      <c r="M944" t="str" cm="1">
        <f t="array" ref="M944">_xlfn.IFS(C944&lt;6,"Poor",C944&lt;=8,"Normal",TRUE,"High")</f>
        <v>Normal</v>
      </c>
    </row>
    <row r="945" spans="1:13" x14ac:dyDescent="0.2">
      <c r="A945">
        <v>944</v>
      </c>
      <c r="B945" cm="1">
        <f t="array" ref="B945:L945">_xlfn.XLOOKUP($A945,Instagram_Usage_Lifestyle_Mini_!$A:$A,Instagram_Usage_Lifestyle_Mini_!$L:$V,"Not Found")</f>
        <v>6.4</v>
      </c>
      <c r="C945">
        <v>7.7</v>
      </c>
      <c r="D945" t="str">
        <v>Average</v>
      </c>
      <c r="E945" t="str">
        <v>No</v>
      </c>
      <c r="F945" t="str">
        <v>Never</v>
      </c>
      <c r="G945">
        <v>39</v>
      </c>
      <c r="H945">
        <v>1</v>
      </c>
      <c r="I945">
        <v>21.6</v>
      </c>
      <c r="J945">
        <v>139</v>
      </c>
      <c r="K945">
        <v>78</v>
      </c>
      <c r="L945">
        <v>8008</v>
      </c>
      <c r="M945" t="str" cm="1">
        <f t="array" ref="M945">_xlfn.IFS(C945&lt;6,"Poor",C945&lt;=8,"Normal",TRUE,"High")</f>
        <v>Normal</v>
      </c>
    </row>
    <row r="946" spans="1:13" x14ac:dyDescent="0.2">
      <c r="A946">
        <v>945</v>
      </c>
      <c r="B946" cm="1">
        <f t="array" ref="B946:L946">_xlfn.XLOOKUP($A946,Instagram_Usage_Lifestyle_Mini_!$A:$A,Instagram_Usage_Lifestyle_Mini_!$L:$V,"Not Found")</f>
        <v>11.6</v>
      </c>
      <c r="C946">
        <v>5.8</v>
      </c>
      <c r="D946" t="str">
        <v>Good</v>
      </c>
      <c r="E946" t="str">
        <v>Yes</v>
      </c>
      <c r="F946" t="str">
        <v>Weekly</v>
      </c>
      <c r="G946">
        <v>14</v>
      </c>
      <c r="H946">
        <v>6</v>
      </c>
      <c r="I946">
        <v>29.5</v>
      </c>
      <c r="J946">
        <v>134</v>
      </c>
      <c r="K946">
        <v>84</v>
      </c>
      <c r="L946">
        <v>7988</v>
      </c>
      <c r="M946" t="str" cm="1">
        <f t="array" ref="M946">_xlfn.IFS(C946&lt;6,"Poor",C946&lt;=8,"Normal",TRUE,"High")</f>
        <v>Poor</v>
      </c>
    </row>
    <row r="947" spans="1:13" x14ac:dyDescent="0.2">
      <c r="A947">
        <v>946</v>
      </c>
      <c r="B947" cm="1">
        <f t="array" ref="B947:L947">_xlfn.XLOOKUP($A947,Instagram_Usage_Lifestyle_Mini_!$A:$A,Instagram_Usage_Lifestyle_Mini_!$L:$V,"Not Found")</f>
        <v>5.9</v>
      </c>
      <c r="C947">
        <v>6.4</v>
      </c>
      <c r="D947" t="str">
        <v>Poor</v>
      </c>
      <c r="E947" t="str">
        <v>No</v>
      </c>
      <c r="F947" t="str">
        <v>Never</v>
      </c>
      <c r="G947">
        <v>16</v>
      </c>
      <c r="H947">
        <v>8</v>
      </c>
      <c r="I947">
        <v>29.6</v>
      </c>
      <c r="J947">
        <v>113</v>
      </c>
      <c r="K947">
        <v>96</v>
      </c>
      <c r="L947">
        <v>7930</v>
      </c>
      <c r="M947" t="str" cm="1">
        <f t="array" ref="M947">_xlfn.IFS(C947&lt;6,"Poor",C947&lt;=8,"Normal",TRUE,"High")</f>
        <v>Normal</v>
      </c>
    </row>
    <row r="948" spans="1:13" x14ac:dyDescent="0.2">
      <c r="A948">
        <v>947</v>
      </c>
      <c r="B948" cm="1">
        <f t="array" ref="B948:L948">_xlfn.XLOOKUP($A948,Instagram_Usage_Lifestyle_Mini_!$A:$A,Instagram_Usage_Lifestyle_Mini_!$L:$V,"Not Found")</f>
        <v>5.3</v>
      </c>
      <c r="C948">
        <v>7.6</v>
      </c>
      <c r="D948" t="str">
        <v>Good</v>
      </c>
      <c r="E948" t="str">
        <v>No</v>
      </c>
      <c r="F948" t="str">
        <v>Weekly</v>
      </c>
      <c r="G948">
        <v>12</v>
      </c>
      <c r="H948">
        <v>10</v>
      </c>
      <c r="I948">
        <v>21.3</v>
      </c>
      <c r="J948">
        <v>104</v>
      </c>
      <c r="K948">
        <v>63</v>
      </c>
      <c r="L948">
        <v>8046</v>
      </c>
      <c r="M948" t="str" cm="1">
        <f t="array" ref="M948">_xlfn.IFS(C948&lt;6,"Poor",C948&lt;=8,"Normal",TRUE,"High")</f>
        <v>Normal</v>
      </c>
    </row>
    <row r="949" spans="1:13" x14ac:dyDescent="0.2">
      <c r="A949">
        <v>948</v>
      </c>
      <c r="B949" cm="1">
        <f t="array" ref="B949:L949">_xlfn.XLOOKUP($A949,Instagram_Usage_Lifestyle_Mini_!$A:$A,Instagram_Usage_Lifestyle_Mini_!$L:$V,"Not Found")</f>
        <v>6.7</v>
      </c>
      <c r="C949">
        <v>7.2</v>
      </c>
      <c r="D949" t="str">
        <v>Average</v>
      </c>
      <c r="E949" t="str">
        <v>Yes</v>
      </c>
      <c r="F949" t="str">
        <v>Weekly</v>
      </c>
      <c r="G949">
        <v>8</v>
      </c>
      <c r="H949">
        <v>3</v>
      </c>
      <c r="I949">
        <v>25.3</v>
      </c>
      <c r="J949">
        <v>158</v>
      </c>
      <c r="K949">
        <v>98</v>
      </c>
      <c r="L949">
        <v>7880</v>
      </c>
      <c r="M949" t="str" cm="1">
        <f t="array" ref="M949">_xlfn.IFS(C949&lt;6,"Poor",C949&lt;=8,"Normal",TRUE,"High")</f>
        <v>Normal</v>
      </c>
    </row>
    <row r="950" spans="1:13" x14ac:dyDescent="0.2">
      <c r="A950">
        <v>949</v>
      </c>
      <c r="B950" cm="1">
        <f t="array" ref="B950:L950">_xlfn.XLOOKUP($A950,Instagram_Usage_Lifestyle_Mini_!$A:$A,Instagram_Usage_Lifestyle_Mini_!$L:$V,"Not Found")</f>
        <v>3</v>
      </c>
      <c r="C950">
        <v>6.7</v>
      </c>
      <c r="D950" t="str">
        <v>Excellent</v>
      </c>
      <c r="E950" t="str">
        <v>No</v>
      </c>
      <c r="F950" t="str">
        <v>Weekly</v>
      </c>
      <c r="G950">
        <v>13</v>
      </c>
      <c r="H950">
        <v>4</v>
      </c>
      <c r="I950">
        <v>25</v>
      </c>
      <c r="J950">
        <v>116</v>
      </c>
      <c r="K950">
        <v>93</v>
      </c>
      <c r="L950">
        <v>7980</v>
      </c>
      <c r="M950" t="str" cm="1">
        <f t="array" ref="M950">_xlfn.IFS(C950&lt;6,"Poor",C950&lt;=8,"Normal",TRUE,"High")</f>
        <v>Normal</v>
      </c>
    </row>
    <row r="951" spans="1:13" x14ac:dyDescent="0.2">
      <c r="A951">
        <v>950</v>
      </c>
      <c r="B951" cm="1">
        <f t="array" ref="B951:L951">_xlfn.XLOOKUP($A951,Instagram_Usage_Lifestyle_Mini_!$A:$A,Instagram_Usage_Lifestyle_Mini_!$L:$V,"Not Found")</f>
        <v>5.8</v>
      </c>
      <c r="C951">
        <v>6.1</v>
      </c>
      <c r="D951" t="str">
        <v>Average</v>
      </c>
      <c r="E951" t="str">
        <v>Former</v>
      </c>
      <c r="F951" t="str">
        <v>Rarely</v>
      </c>
      <c r="G951">
        <v>34</v>
      </c>
      <c r="H951">
        <v>8</v>
      </c>
      <c r="I951">
        <v>23</v>
      </c>
      <c r="J951">
        <v>117</v>
      </c>
      <c r="K951">
        <v>89</v>
      </c>
      <c r="L951">
        <v>8179</v>
      </c>
      <c r="M951" t="str" cm="1">
        <f t="array" ref="M951">_xlfn.IFS(C951&lt;6,"Poor",C951&lt;=8,"Normal",TRUE,"High")</f>
        <v>Normal</v>
      </c>
    </row>
    <row r="952" spans="1:13" x14ac:dyDescent="0.2">
      <c r="A952">
        <v>951</v>
      </c>
      <c r="B952" cm="1">
        <f t="array" ref="B952:L952">_xlfn.XLOOKUP($A952,Instagram_Usage_Lifestyle_Mini_!$A:$A,Instagram_Usage_Lifestyle_Mini_!$L:$V,"Not Found")</f>
        <v>10</v>
      </c>
      <c r="C952">
        <v>7.7</v>
      </c>
      <c r="D952" t="str">
        <v>Excellent</v>
      </c>
      <c r="E952" t="str">
        <v>No</v>
      </c>
      <c r="F952" t="str">
        <v>Rarely</v>
      </c>
      <c r="G952">
        <v>38</v>
      </c>
      <c r="H952">
        <v>2</v>
      </c>
      <c r="I952">
        <v>27.9</v>
      </c>
      <c r="J952">
        <v>139</v>
      </c>
      <c r="K952">
        <v>88</v>
      </c>
      <c r="L952">
        <v>7993</v>
      </c>
      <c r="M952" t="str" cm="1">
        <f t="array" ref="M952">_xlfn.IFS(C952&lt;6,"Poor",C952&lt;=8,"Normal",TRUE,"High")</f>
        <v>Normal</v>
      </c>
    </row>
    <row r="953" spans="1:13" x14ac:dyDescent="0.2">
      <c r="A953">
        <v>952</v>
      </c>
      <c r="B953" cm="1">
        <f t="array" ref="B953:L953">_xlfn.XLOOKUP($A953,Instagram_Usage_Lifestyle_Mini_!$A:$A,Instagram_Usage_Lifestyle_Mini_!$L:$V,"Not Found")</f>
        <v>7.7</v>
      </c>
      <c r="C953">
        <v>7.1</v>
      </c>
      <c r="D953" t="str">
        <v>Average</v>
      </c>
      <c r="E953" t="str">
        <v>No</v>
      </c>
      <c r="F953" t="str">
        <v>Never</v>
      </c>
      <c r="G953">
        <v>20</v>
      </c>
      <c r="H953">
        <v>9</v>
      </c>
      <c r="I953">
        <v>25</v>
      </c>
      <c r="J953">
        <v>108</v>
      </c>
      <c r="K953">
        <v>73</v>
      </c>
      <c r="L953">
        <v>8007</v>
      </c>
      <c r="M953" t="str" cm="1">
        <f t="array" ref="M953">_xlfn.IFS(C953&lt;6,"Poor",C953&lt;=8,"Normal",TRUE,"High")</f>
        <v>Normal</v>
      </c>
    </row>
    <row r="954" spans="1:13" x14ac:dyDescent="0.2">
      <c r="A954">
        <v>953</v>
      </c>
      <c r="B954" cm="1">
        <f t="array" ref="B954:L954">_xlfn.XLOOKUP($A954,Instagram_Usage_Lifestyle_Mini_!$A:$A,Instagram_Usage_Lifestyle_Mini_!$L:$V,"Not Found")</f>
        <v>1.3</v>
      </c>
      <c r="C954">
        <v>7.3</v>
      </c>
      <c r="D954" t="str">
        <v>Poor</v>
      </c>
      <c r="E954" t="str">
        <v>No</v>
      </c>
      <c r="F954" t="str">
        <v>Never</v>
      </c>
      <c r="G954">
        <v>2</v>
      </c>
      <c r="H954">
        <v>8</v>
      </c>
      <c r="I954">
        <v>19.8</v>
      </c>
      <c r="J954">
        <v>126</v>
      </c>
      <c r="K954">
        <v>65</v>
      </c>
      <c r="L954">
        <v>8002</v>
      </c>
      <c r="M954" t="str" cm="1">
        <f t="array" ref="M954">_xlfn.IFS(C954&lt;6,"Poor",C954&lt;=8,"Normal",TRUE,"High")</f>
        <v>Normal</v>
      </c>
    </row>
    <row r="955" spans="1:13" x14ac:dyDescent="0.2">
      <c r="A955">
        <v>954</v>
      </c>
      <c r="B955" cm="1">
        <f t="array" ref="B955:L955">_xlfn.XLOOKUP($A955,Instagram_Usage_Lifestyle_Mini_!$A:$A,Instagram_Usage_Lifestyle_Mini_!$L:$V,"Not Found")</f>
        <v>5.4</v>
      </c>
      <c r="C955">
        <v>7.1</v>
      </c>
      <c r="D955" t="str">
        <v>Poor</v>
      </c>
      <c r="E955" t="str">
        <v>No</v>
      </c>
      <c r="F955" t="str">
        <v>Weekly</v>
      </c>
      <c r="G955">
        <v>20</v>
      </c>
      <c r="H955">
        <v>2</v>
      </c>
      <c r="I955">
        <v>29.2</v>
      </c>
      <c r="J955">
        <v>98</v>
      </c>
      <c r="K955">
        <v>67</v>
      </c>
      <c r="L955">
        <v>8090</v>
      </c>
      <c r="M955" t="str" cm="1">
        <f t="array" ref="M955">_xlfn.IFS(C955&lt;6,"Poor",C955&lt;=8,"Normal",TRUE,"High")</f>
        <v>Normal</v>
      </c>
    </row>
    <row r="956" spans="1:13" x14ac:dyDescent="0.2">
      <c r="A956">
        <v>955</v>
      </c>
      <c r="B956" cm="1">
        <f t="array" ref="B956:L956">_xlfn.XLOOKUP($A956,Instagram_Usage_Lifestyle_Mini_!$A:$A,Instagram_Usage_Lifestyle_Mini_!$L:$V,"Not Found")</f>
        <v>7.7</v>
      </c>
      <c r="C956">
        <v>5.7</v>
      </c>
      <c r="D956" t="str">
        <v>Good</v>
      </c>
      <c r="E956" t="str">
        <v>No</v>
      </c>
      <c r="F956" t="str">
        <v>Weekly</v>
      </c>
      <c r="G956">
        <v>31</v>
      </c>
      <c r="H956">
        <v>6</v>
      </c>
      <c r="I956">
        <v>19.5</v>
      </c>
      <c r="J956">
        <v>144</v>
      </c>
      <c r="K956">
        <v>71</v>
      </c>
      <c r="L956">
        <v>8125</v>
      </c>
      <c r="M956" t="str" cm="1">
        <f t="array" ref="M956">_xlfn.IFS(C956&lt;6,"Poor",C956&lt;=8,"Normal",TRUE,"High")</f>
        <v>Poor</v>
      </c>
    </row>
    <row r="957" spans="1:13" x14ac:dyDescent="0.2">
      <c r="A957">
        <v>956</v>
      </c>
      <c r="B957" cm="1">
        <f t="array" ref="B957:L957">_xlfn.XLOOKUP($A957,Instagram_Usage_Lifestyle_Mini_!$A:$A,Instagram_Usage_Lifestyle_Mini_!$L:$V,"Not Found")</f>
        <v>7.2</v>
      </c>
      <c r="C957">
        <v>7.7</v>
      </c>
      <c r="D957" t="str">
        <v>Good</v>
      </c>
      <c r="E957" t="str">
        <v>No</v>
      </c>
      <c r="F957" t="str">
        <v>Never</v>
      </c>
      <c r="G957">
        <v>33</v>
      </c>
      <c r="H957">
        <v>4</v>
      </c>
      <c r="I957">
        <v>24.1</v>
      </c>
      <c r="J957">
        <v>119</v>
      </c>
      <c r="K957">
        <v>88</v>
      </c>
      <c r="L957">
        <v>7833</v>
      </c>
      <c r="M957" t="str" cm="1">
        <f t="array" ref="M957">_xlfn.IFS(C957&lt;6,"Poor",C957&lt;=8,"Normal",TRUE,"High")</f>
        <v>Normal</v>
      </c>
    </row>
    <row r="958" spans="1:13" x14ac:dyDescent="0.2">
      <c r="A958">
        <v>957</v>
      </c>
      <c r="B958" cm="1">
        <f t="array" ref="B958:L958">_xlfn.XLOOKUP($A958,Instagram_Usage_Lifestyle_Mini_!$A:$A,Instagram_Usage_Lifestyle_Mini_!$L:$V,"Not Found")</f>
        <v>13.9</v>
      </c>
      <c r="C958">
        <v>6.2</v>
      </c>
      <c r="D958" t="str">
        <v>Poor</v>
      </c>
      <c r="E958" t="str">
        <v>No</v>
      </c>
      <c r="F958" t="str">
        <v>Rarely</v>
      </c>
      <c r="G958">
        <v>12</v>
      </c>
      <c r="H958">
        <v>2</v>
      </c>
      <c r="I958">
        <v>31</v>
      </c>
      <c r="J958">
        <v>128</v>
      </c>
      <c r="K958">
        <v>82</v>
      </c>
      <c r="L958">
        <v>7980</v>
      </c>
      <c r="M958" t="str" cm="1">
        <f t="array" ref="M958">_xlfn.IFS(C958&lt;6,"Poor",C958&lt;=8,"Normal",TRUE,"High")</f>
        <v>Normal</v>
      </c>
    </row>
    <row r="959" spans="1:13" x14ac:dyDescent="0.2">
      <c r="A959">
        <v>958</v>
      </c>
      <c r="B959" cm="1">
        <f t="array" ref="B959:L959">_xlfn.XLOOKUP($A959,Instagram_Usage_Lifestyle_Mini_!$A:$A,Instagram_Usage_Lifestyle_Mini_!$L:$V,"Not Found")</f>
        <v>11.3</v>
      </c>
      <c r="C959">
        <v>8</v>
      </c>
      <c r="D959" t="str">
        <v>Good</v>
      </c>
      <c r="E959" t="str">
        <v>No</v>
      </c>
      <c r="F959" t="str">
        <v>Rarely</v>
      </c>
      <c r="G959">
        <v>21</v>
      </c>
      <c r="H959">
        <v>4</v>
      </c>
      <c r="I959">
        <v>26.3</v>
      </c>
      <c r="J959">
        <v>122</v>
      </c>
      <c r="K959">
        <v>83</v>
      </c>
      <c r="L959">
        <v>8060</v>
      </c>
      <c r="M959" t="str" cm="1">
        <f t="array" ref="M959">_xlfn.IFS(C959&lt;6,"Poor",C959&lt;=8,"Normal",TRUE,"High")</f>
        <v>Normal</v>
      </c>
    </row>
    <row r="960" spans="1:13" x14ac:dyDescent="0.2">
      <c r="A960">
        <v>959</v>
      </c>
      <c r="B960" cm="1">
        <f t="array" ref="B960:L960">_xlfn.XLOOKUP($A960,Instagram_Usage_Lifestyle_Mini_!$A:$A,Instagram_Usage_Lifestyle_Mini_!$L:$V,"Not Found")</f>
        <v>4.4000000000000004</v>
      </c>
      <c r="C960">
        <v>4.4000000000000004</v>
      </c>
      <c r="D960" t="str">
        <v>Average</v>
      </c>
      <c r="E960" t="str">
        <v>No</v>
      </c>
      <c r="F960" t="str">
        <v>Several_times_a_week</v>
      </c>
      <c r="G960">
        <v>35</v>
      </c>
      <c r="H960">
        <v>8</v>
      </c>
      <c r="I960">
        <v>31.9</v>
      </c>
      <c r="J960">
        <v>126</v>
      </c>
      <c r="K960">
        <v>64</v>
      </c>
      <c r="L960">
        <v>8003</v>
      </c>
      <c r="M960" t="str" cm="1">
        <f t="array" ref="M960">_xlfn.IFS(C960&lt;6,"Poor",C960&lt;=8,"Normal",TRUE,"High")</f>
        <v>Poor</v>
      </c>
    </row>
    <row r="961" spans="1:13" x14ac:dyDescent="0.2">
      <c r="A961">
        <v>960</v>
      </c>
      <c r="B961" cm="1">
        <f t="array" ref="B961:L961">_xlfn.XLOOKUP($A961,Instagram_Usage_Lifestyle_Mini_!$A:$A,Instagram_Usage_Lifestyle_Mini_!$L:$V,"Not Found")</f>
        <v>6.7</v>
      </c>
      <c r="C961">
        <v>7.3</v>
      </c>
      <c r="D961" t="str">
        <v>Good</v>
      </c>
      <c r="E961" t="str">
        <v>Yes</v>
      </c>
      <c r="F961" t="str">
        <v>Never</v>
      </c>
      <c r="G961">
        <v>7</v>
      </c>
      <c r="H961">
        <v>8</v>
      </c>
      <c r="I961">
        <v>19.899999999999999</v>
      </c>
      <c r="J961">
        <v>104</v>
      </c>
      <c r="K961">
        <v>80</v>
      </c>
      <c r="L961">
        <v>8042</v>
      </c>
      <c r="M961" t="str" cm="1">
        <f t="array" ref="M961">_xlfn.IFS(C961&lt;6,"Poor",C961&lt;=8,"Normal",TRUE,"High")</f>
        <v>Normal</v>
      </c>
    </row>
    <row r="962" spans="1:13" x14ac:dyDescent="0.2">
      <c r="A962">
        <v>961</v>
      </c>
      <c r="B962" cm="1">
        <f t="array" ref="B962:L962">_xlfn.XLOOKUP($A962,Instagram_Usage_Lifestyle_Mini_!$A:$A,Instagram_Usage_Lifestyle_Mini_!$L:$V,"Not Found")</f>
        <v>11.1</v>
      </c>
      <c r="C962">
        <v>5.6</v>
      </c>
      <c r="D962" t="str">
        <v>Poor</v>
      </c>
      <c r="E962" t="str">
        <v>No</v>
      </c>
      <c r="F962" t="str">
        <v>Weekly</v>
      </c>
      <c r="G962">
        <v>37</v>
      </c>
      <c r="H962">
        <v>4</v>
      </c>
      <c r="I962">
        <v>31.8</v>
      </c>
      <c r="J962">
        <v>102</v>
      </c>
      <c r="K962">
        <v>99</v>
      </c>
      <c r="L962">
        <v>7912</v>
      </c>
      <c r="M962" t="str" cm="1">
        <f t="array" ref="M962">_xlfn.IFS(C962&lt;6,"Poor",C962&lt;=8,"Normal",TRUE,"High")</f>
        <v>Poor</v>
      </c>
    </row>
    <row r="963" spans="1:13" x14ac:dyDescent="0.2">
      <c r="A963">
        <v>962</v>
      </c>
      <c r="B963" cm="1">
        <f t="array" ref="B963:L963">_xlfn.XLOOKUP($A963,Instagram_Usage_Lifestyle_Mini_!$A:$A,Instagram_Usage_Lifestyle_Mini_!$L:$V,"Not Found")</f>
        <v>11.1</v>
      </c>
      <c r="C963">
        <v>7.2</v>
      </c>
      <c r="D963" t="str">
        <v>Poor</v>
      </c>
      <c r="E963" t="str">
        <v>No</v>
      </c>
      <c r="F963" t="str">
        <v>Never</v>
      </c>
      <c r="G963">
        <v>17</v>
      </c>
      <c r="H963">
        <v>6</v>
      </c>
      <c r="I963">
        <v>27.5</v>
      </c>
      <c r="J963">
        <v>104</v>
      </c>
      <c r="K963">
        <v>69</v>
      </c>
      <c r="L963">
        <v>8096</v>
      </c>
      <c r="M963" t="str" cm="1">
        <f t="array" ref="M963">_xlfn.IFS(C963&lt;6,"Poor",C963&lt;=8,"Normal",TRUE,"High")</f>
        <v>Normal</v>
      </c>
    </row>
    <row r="964" spans="1:13" x14ac:dyDescent="0.2">
      <c r="A964">
        <v>963</v>
      </c>
      <c r="B964" cm="1">
        <f t="array" ref="B964:L964">_xlfn.XLOOKUP($A964,Instagram_Usage_Lifestyle_Mini_!$A:$A,Instagram_Usage_Lifestyle_Mini_!$L:$V,"Not Found")</f>
        <v>3.8</v>
      </c>
      <c r="C964">
        <v>7.6</v>
      </c>
      <c r="D964" t="str">
        <v>Good</v>
      </c>
      <c r="E964" t="str">
        <v>Former</v>
      </c>
      <c r="F964" t="str">
        <v>Weekly</v>
      </c>
      <c r="G964">
        <v>9</v>
      </c>
      <c r="H964">
        <v>2</v>
      </c>
      <c r="I964">
        <v>21.1</v>
      </c>
      <c r="J964">
        <v>92</v>
      </c>
      <c r="K964">
        <v>96</v>
      </c>
      <c r="L964">
        <v>7969</v>
      </c>
      <c r="M964" t="str" cm="1">
        <f t="array" ref="M964">_xlfn.IFS(C964&lt;6,"Poor",C964&lt;=8,"Normal",TRUE,"High")</f>
        <v>Normal</v>
      </c>
    </row>
    <row r="965" spans="1:13" x14ac:dyDescent="0.2">
      <c r="A965">
        <v>964</v>
      </c>
      <c r="B965" cm="1">
        <f t="array" ref="B965:L965">_xlfn.XLOOKUP($A965,Instagram_Usage_Lifestyle_Mini_!$A:$A,Instagram_Usage_Lifestyle_Mini_!$L:$V,"Not Found")</f>
        <v>9.5</v>
      </c>
      <c r="C965">
        <v>8.9</v>
      </c>
      <c r="D965" t="str">
        <v>Poor</v>
      </c>
      <c r="E965" t="str">
        <v>No</v>
      </c>
      <c r="F965" t="str">
        <v>Never</v>
      </c>
      <c r="G965">
        <v>11</v>
      </c>
      <c r="H965">
        <v>3</v>
      </c>
      <c r="I965">
        <v>23.3</v>
      </c>
      <c r="J965">
        <v>92</v>
      </c>
      <c r="K965">
        <v>63</v>
      </c>
      <c r="L965">
        <v>8041</v>
      </c>
      <c r="M965" t="str" cm="1">
        <f t="array" ref="M965">_xlfn.IFS(C965&lt;6,"Poor",C965&lt;=8,"Normal",TRUE,"High")</f>
        <v>High</v>
      </c>
    </row>
    <row r="966" spans="1:13" x14ac:dyDescent="0.2">
      <c r="A966">
        <v>965</v>
      </c>
      <c r="B966" cm="1">
        <f t="array" ref="B966:L966">_xlfn.XLOOKUP($A966,Instagram_Usage_Lifestyle_Mini_!$A:$A,Instagram_Usage_Lifestyle_Mini_!$L:$V,"Not Found")</f>
        <v>3.5</v>
      </c>
      <c r="C966">
        <v>7.6</v>
      </c>
      <c r="D966" t="str">
        <v>Good</v>
      </c>
      <c r="E966" t="str">
        <v>No</v>
      </c>
      <c r="F966" t="str">
        <v>Never</v>
      </c>
      <c r="G966">
        <v>14</v>
      </c>
      <c r="H966">
        <v>6</v>
      </c>
      <c r="I966">
        <v>27.2</v>
      </c>
      <c r="J966">
        <v>114</v>
      </c>
      <c r="K966">
        <v>61</v>
      </c>
      <c r="L966">
        <v>8015</v>
      </c>
      <c r="M966" t="str" cm="1">
        <f t="array" ref="M966">_xlfn.IFS(C966&lt;6,"Poor",C966&lt;=8,"Normal",TRUE,"High")</f>
        <v>Normal</v>
      </c>
    </row>
    <row r="967" spans="1:13" x14ac:dyDescent="0.2">
      <c r="A967">
        <v>966</v>
      </c>
      <c r="B967" cm="1">
        <f t="array" ref="B967:L967">_xlfn.XLOOKUP($A967,Instagram_Usage_Lifestyle_Mini_!$A:$A,Instagram_Usage_Lifestyle_Mini_!$L:$V,"Not Found")</f>
        <v>1</v>
      </c>
      <c r="C967">
        <v>6.8</v>
      </c>
      <c r="D967" t="str">
        <v>Poor</v>
      </c>
      <c r="E967" t="str">
        <v>No</v>
      </c>
      <c r="F967" t="str">
        <v>Rarely</v>
      </c>
      <c r="G967">
        <v>20</v>
      </c>
      <c r="H967">
        <v>2</v>
      </c>
      <c r="I967">
        <v>21</v>
      </c>
      <c r="J967">
        <v>91</v>
      </c>
      <c r="K967">
        <v>98</v>
      </c>
      <c r="L967">
        <v>7891</v>
      </c>
      <c r="M967" t="str" cm="1">
        <f t="array" ref="M967">_xlfn.IFS(C967&lt;6,"Poor",C967&lt;=8,"Normal",TRUE,"High")</f>
        <v>Normal</v>
      </c>
    </row>
    <row r="968" spans="1:13" x14ac:dyDescent="0.2">
      <c r="A968">
        <v>967</v>
      </c>
      <c r="B968" cm="1">
        <f t="array" ref="B968:L968">_xlfn.XLOOKUP($A968,Instagram_Usage_Lifestyle_Mini_!$A:$A,Instagram_Usage_Lifestyle_Mini_!$L:$V,"Not Found")</f>
        <v>16.2</v>
      </c>
      <c r="C968">
        <v>6.8</v>
      </c>
      <c r="D968" t="str">
        <v>Poor</v>
      </c>
      <c r="E968" t="str">
        <v>Former</v>
      </c>
      <c r="F968" t="str">
        <v>Weekly</v>
      </c>
      <c r="G968">
        <v>8</v>
      </c>
      <c r="H968">
        <v>3</v>
      </c>
      <c r="I968">
        <v>28.8</v>
      </c>
      <c r="J968">
        <v>113</v>
      </c>
      <c r="K968">
        <v>91</v>
      </c>
      <c r="L968">
        <v>7901</v>
      </c>
      <c r="M968" t="str" cm="1">
        <f t="array" ref="M968">_xlfn.IFS(C968&lt;6,"Poor",C968&lt;=8,"Normal",TRUE,"High")</f>
        <v>Normal</v>
      </c>
    </row>
    <row r="969" spans="1:13" x14ac:dyDescent="0.2">
      <c r="A969">
        <v>968</v>
      </c>
      <c r="B969" cm="1">
        <f t="array" ref="B969:L969">_xlfn.XLOOKUP($A969,Instagram_Usage_Lifestyle_Mini_!$A:$A,Instagram_Usage_Lifestyle_Mini_!$L:$V,"Not Found")</f>
        <v>11</v>
      </c>
      <c r="C969">
        <v>7.6</v>
      </c>
      <c r="D969" t="str">
        <v>Good</v>
      </c>
      <c r="E969" t="str">
        <v>No</v>
      </c>
      <c r="F969" t="str">
        <v>Never</v>
      </c>
      <c r="G969">
        <v>13</v>
      </c>
      <c r="H969">
        <v>9</v>
      </c>
      <c r="I969">
        <v>25.3</v>
      </c>
      <c r="J969">
        <v>138</v>
      </c>
      <c r="K969">
        <v>88</v>
      </c>
      <c r="L969">
        <v>8013</v>
      </c>
      <c r="M969" t="str" cm="1">
        <f t="array" ref="M969">_xlfn.IFS(C969&lt;6,"Poor",C969&lt;=8,"Normal",TRUE,"High")</f>
        <v>Normal</v>
      </c>
    </row>
    <row r="970" spans="1:13" x14ac:dyDescent="0.2">
      <c r="A970">
        <v>969</v>
      </c>
      <c r="B970" cm="1">
        <f t="array" ref="B970:L970">_xlfn.XLOOKUP($A970,Instagram_Usage_Lifestyle_Mini_!$A:$A,Instagram_Usage_Lifestyle_Mini_!$L:$V,"Not Found")</f>
        <v>4.5999999999999996</v>
      </c>
      <c r="C970">
        <v>7.8</v>
      </c>
      <c r="D970" t="str">
        <v>Good</v>
      </c>
      <c r="E970" t="str">
        <v>No</v>
      </c>
      <c r="F970" t="str">
        <v>Never</v>
      </c>
      <c r="G970">
        <v>2</v>
      </c>
      <c r="H970">
        <v>4</v>
      </c>
      <c r="I970">
        <v>28.2</v>
      </c>
      <c r="J970">
        <v>121</v>
      </c>
      <c r="K970">
        <v>72</v>
      </c>
      <c r="L970">
        <v>7940</v>
      </c>
      <c r="M970" t="str" cm="1">
        <f t="array" ref="M970">_xlfn.IFS(C970&lt;6,"Poor",C970&lt;=8,"Normal",TRUE,"High")</f>
        <v>Normal</v>
      </c>
    </row>
    <row r="971" spans="1:13" x14ac:dyDescent="0.2">
      <c r="A971">
        <v>970</v>
      </c>
      <c r="B971" cm="1">
        <f t="array" ref="B971:L971">_xlfn.XLOOKUP($A971,Instagram_Usage_Lifestyle_Mini_!$A:$A,Instagram_Usage_Lifestyle_Mini_!$L:$V,"Not Found")</f>
        <v>1.4</v>
      </c>
      <c r="C971">
        <v>6.9</v>
      </c>
      <c r="D971" t="str">
        <v>Good</v>
      </c>
      <c r="E971" t="str">
        <v>No</v>
      </c>
      <c r="F971" t="str">
        <v>Rarely</v>
      </c>
      <c r="G971">
        <v>21</v>
      </c>
      <c r="H971">
        <v>4</v>
      </c>
      <c r="I971">
        <v>26.4</v>
      </c>
      <c r="J971">
        <v>134</v>
      </c>
      <c r="K971">
        <v>72</v>
      </c>
      <c r="L971">
        <v>7855</v>
      </c>
      <c r="M971" t="str" cm="1">
        <f t="array" ref="M971">_xlfn.IFS(C971&lt;6,"Poor",C971&lt;=8,"Normal",TRUE,"High")</f>
        <v>Normal</v>
      </c>
    </row>
    <row r="972" spans="1:13" x14ac:dyDescent="0.2">
      <c r="A972">
        <v>971</v>
      </c>
      <c r="B972" cm="1">
        <f t="array" ref="B972:L972">_xlfn.XLOOKUP($A972,Instagram_Usage_Lifestyle_Mini_!$A:$A,Instagram_Usage_Lifestyle_Mini_!$L:$V,"Not Found")</f>
        <v>14.1</v>
      </c>
      <c r="C972">
        <v>8.1999999999999993</v>
      </c>
      <c r="D972" t="str">
        <v>Excellent</v>
      </c>
      <c r="E972" t="str">
        <v>Yes</v>
      </c>
      <c r="F972" t="str">
        <v>Never</v>
      </c>
      <c r="G972">
        <v>26</v>
      </c>
      <c r="H972">
        <v>6</v>
      </c>
      <c r="I972">
        <v>25.9</v>
      </c>
      <c r="J972">
        <v>129</v>
      </c>
      <c r="K972">
        <v>80</v>
      </c>
      <c r="L972">
        <v>8016</v>
      </c>
      <c r="M972" t="str" cm="1">
        <f t="array" ref="M972">_xlfn.IFS(C972&lt;6,"Poor",C972&lt;=8,"Normal",TRUE,"High")</f>
        <v>High</v>
      </c>
    </row>
    <row r="973" spans="1:13" x14ac:dyDescent="0.2">
      <c r="A973">
        <v>972</v>
      </c>
      <c r="B973" cm="1">
        <f t="array" ref="B973:L973">_xlfn.XLOOKUP($A973,Instagram_Usage_Lifestyle_Mini_!$A:$A,Instagram_Usage_Lifestyle_Mini_!$L:$V,"Not Found")</f>
        <v>1.9</v>
      </c>
      <c r="C973">
        <v>5.4</v>
      </c>
      <c r="D973" t="str">
        <v>Poor</v>
      </c>
      <c r="E973" t="str">
        <v>Former</v>
      </c>
      <c r="F973" t="str">
        <v>Rarely</v>
      </c>
      <c r="G973">
        <v>34</v>
      </c>
      <c r="H973">
        <v>4</v>
      </c>
      <c r="I973">
        <v>30.6</v>
      </c>
      <c r="J973">
        <v>115</v>
      </c>
      <c r="K973">
        <v>66</v>
      </c>
      <c r="L973">
        <v>8048</v>
      </c>
      <c r="M973" t="str" cm="1">
        <f t="array" ref="M973">_xlfn.IFS(C973&lt;6,"Poor",C973&lt;=8,"Normal",TRUE,"High")</f>
        <v>Poor</v>
      </c>
    </row>
    <row r="974" spans="1:13" x14ac:dyDescent="0.2">
      <c r="A974">
        <v>973</v>
      </c>
      <c r="B974" cm="1">
        <f t="array" ref="B974:L974">_xlfn.XLOOKUP($A974,Instagram_Usage_Lifestyle_Mini_!$A:$A,Instagram_Usage_Lifestyle_Mini_!$L:$V,"Not Found")</f>
        <v>7.7</v>
      </c>
      <c r="C974">
        <v>5.7</v>
      </c>
      <c r="D974" t="str">
        <v>Very_poor</v>
      </c>
      <c r="E974" t="str">
        <v>No</v>
      </c>
      <c r="F974" t="str">
        <v>Rarely</v>
      </c>
      <c r="G974">
        <v>14</v>
      </c>
      <c r="H974">
        <v>10</v>
      </c>
      <c r="I974">
        <v>32.299999999999997</v>
      </c>
      <c r="J974">
        <v>124</v>
      </c>
      <c r="K974">
        <v>74</v>
      </c>
      <c r="L974">
        <v>7936</v>
      </c>
      <c r="M974" t="str" cm="1">
        <f t="array" ref="M974">_xlfn.IFS(C974&lt;6,"Poor",C974&lt;=8,"Normal",TRUE,"High")</f>
        <v>Poor</v>
      </c>
    </row>
    <row r="975" spans="1:13" x14ac:dyDescent="0.2">
      <c r="A975">
        <v>974</v>
      </c>
      <c r="B975" cm="1">
        <f t="array" ref="B975:L975">_xlfn.XLOOKUP($A975,Instagram_Usage_Lifestyle_Mini_!$A:$A,Instagram_Usage_Lifestyle_Mini_!$L:$V,"Not Found")</f>
        <v>6.8</v>
      </c>
      <c r="C975">
        <v>6.7</v>
      </c>
      <c r="D975" t="str">
        <v>Poor</v>
      </c>
      <c r="E975" t="str">
        <v>No</v>
      </c>
      <c r="F975" t="str">
        <v>Weekly</v>
      </c>
      <c r="G975">
        <v>16</v>
      </c>
      <c r="H975">
        <v>8</v>
      </c>
      <c r="I975">
        <v>26.9</v>
      </c>
      <c r="J975">
        <v>131</v>
      </c>
      <c r="K975">
        <v>60</v>
      </c>
      <c r="L975">
        <v>8016</v>
      </c>
      <c r="M975" t="str" cm="1">
        <f t="array" ref="M975">_xlfn.IFS(C975&lt;6,"Poor",C975&lt;=8,"Normal",TRUE,"High")</f>
        <v>Normal</v>
      </c>
    </row>
    <row r="976" spans="1:13" x14ac:dyDescent="0.2">
      <c r="A976">
        <v>975</v>
      </c>
      <c r="B976" cm="1">
        <f t="array" ref="B976:L976">_xlfn.XLOOKUP($A976,Instagram_Usage_Lifestyle_Mini_!$A:$A,Instagram_Usage_Lifestyle_Mini_!$L:$V,"Not Found")</f>
        <v>20.6</v>
      </c>
      <c r="C976">
        <v>6.6</v>
      </c>
      <c r="D976" t="str">
        <v>Good</v>
      </c>
      <c r="E976" t="str">
        <v>No</v>
      </c>
      <c r="F976" t="str">
        <v>Never</v>
      </c>
      <c r="G976">
        <v>35</v>
      </c>
      <c r="H976">
        <v>3</v>
      </c>
      <c r="I976">
        <v>22.1</v>
      </c>
      <c r="J976">
        <v>147</v>
      </c>
      <c r="K976">
        <v>96</v>
      </c>
      <c r="L976">
        <v>7928</v>
      </c>
      <c r="M976" t="str" cm="1">
        <f t="array" ref="M976">_xlfn.IFS(C976&lt;6,"Poor",C976&lt;=8,"Normal",TRUE,"High")</f>
        <v>Normal</v>
      </c>
    </row>
    <row r="977" spans="1:13" x14ac:dyDescent="0.2">
      <c r="A977">
        <v>976</v>
      </c>
      <c r="B977" cm="1">
        <f t="array" ref="B977:L977">_xlfn.XLOOKUP($A977,Instagram_Usage_Lifestyle_Mini_!$A:$A,Instagram_Usage_Lifestyle_Mini_!$L:$V,"Not Found")</f>
        <v>2.8</v>
      </c>
      <c r="C977">
        <v>8</v>
      </c>
      <c r="D977" t="str">
        <v>Average</v>
      </c>
      <c r="E977" t="str">
        <v>Yes</v>
      </c>
      <c r="F977" t="str">
        <v>Several_times_a_week</v>
      </c>
      <c r="G977">
        <v>3</v>
      </c>
      <c r="H977">
        <v>2</v>
      </c>
      <c r="I977">
        <v>19.7</v>
      </c>
      <c r="J977">
        <v>101</v>
      </c>
      <c r="K977">
        <v>92</v>
      </c>
      <c r="L977">
        <v>8052</v>
      </c>
      <c r="M977" t="str" cm="1">
        <f t="array" ref="M977">_xlfn.IFS(C977&lt;6,"Poor",C977&lt;=8,"Normal",TRUE,"High")</f>
        <v>Normal</v>
      </c>
    </row>
    <row r="978" spans="1:13" x14ac:dyDescent="0.2">
      <c r="A978">
        <v>977</v>
      </c>
      <c r="B978" cm="1">
        <f t="array" ref="B978:L978">_xlfn.XLOOKUP($A978,Instagram_Usage_Lifestyle_Mini_!$A:$A,Instagram_Usage_Lifestyle_Mini_!$L:$V,"Not Found")</f>
        <v>15.2</v>
      </c>
      <c r="C978">
        <v>7.6</v>
      </c>
      <c r="D978" t="str">
        <v>Good</v>
      </c>
      <c r="E978" t="str">
        <v>No</v>
      </c>
      <c r="F978" t="str">
        <v>Weekly</v>
      </c>
      <c r="G978">
        <v>13</v>
      </c>
      <c r="H978">
        <v>8</v>
      </c>
      <c r="I978">
        <v>24.8</v>
      </c>
      <c r="J978">
        <v>119</v>
      </c>
      <c r="K978">
        <v>84</v>
      </c>
      <c r="L978">
        <v>7990</v>
      </c>
      <c r="M978" t="str" cm="1">
        <f t="array" ref="M978">_xlfn.IFS(C978&lt;6,"Poor",C978&lt;=8,"Normal",TRUE,"High")</f>
        <v>Normal</v>
      </c>
    </row>
    <row r="979" spans="1:13" x14ac:dyDescent="0.2">
      <c r="A979">
        <v>978</v>
      </c>
      <c r="B979" cm="1">
        <f t="array" ref="B979:L979">_xlfn.XLOOKUP($A979,Instagram_Usage_Lifestyle_Mini_!$A:$A,Instagram_Usage_Lifestyle_Mini_!$L:$V,"Not Found")</f>
        <v>3.6</v>
      </c>
      <c r="C979">
        <v>5.3</v>
      </c>
      <c r="D979" t="str">
        <v>Poor</v>
      </c>
      <c r="E979" t="str">
        <v>No</v>
      </c>
      <c r="F979" t="str">
        <v>Rarely</v>
      </c>
      <c r="G979">
        <v>0</v>
      </c>
      <c r="H979">
        <v>1</v>
      </c>
      <c r="I979">
        <v>24.3</v>
      </c>
      <c r="J979">
        <v>132</v>
      </c>
      <c r="K979">
        <v>87</v>
      </c>
      <c r="L979">
        <v>7952</v>
      </c>
      <c r="M979" t="str" cm="1">
        <f t="array" ref="M979">_xlfn.IFS(C979&lt;6,"Poor",C979&lt;=8,"Normal",TRUE,"High")</f>
        <v>Poor</v>
      </c>
    </row>
    <row r="980" spans="1:13" x14ac:dyDescent="0.2">
      <c r="A980">
        <v>979</v>
      </c>
      <c r="B980" cm="1">
        <f t="array" ref="B980:L980">_xlfn.XLOOKUP($A980,Instagram_Usage_Lifestyle_Mini_!$A:$A,Instagram_Usage_Lifestyle_Mini_!$L:$V,"Not Found")</f>
        <v>6.3</v>
      </c>
      <c r="C980">
        <v>7.1</v>
      </c>
      <c r="D980" t="str">
        <v>Good</v>
      </c>
      <c r="E980" t="str">
        <v>No</v>
      </c>
      <c r="F980" t="str">
        <v>Never</v>
      </c>
      <c r="G980">
        <v>39</v>
      </c>
      <c r="H980">
        <v>5</v>
      </c>
      <c r="I980">
        <v>21.4</v>
      </c>
      <c r="J980">
        <v>116</v>
      </c>
      <c r="K980">
        <v>91</v>
      </c>
      <c r="L980">
        <v>7959</v>
      </c>
      <c r="M980" t="str" cm="1">
        <f t="array" ref="M980">_xlfn.IFS(C980&lt;6,"Poor",C980&lt;=8,"Normal",TRUE,"High")</f>
        <v>Normal</v>
      </c>
    </row>
    <row r="981" spans="1:13" x14ac:dyDescent="0.2">
      <c r="A981">
        <v>980</v>
      </c>
      <c r="B981" cm="1">
        <f t="array" ref="B981:L981">_xlfn.XLOOKUP($A981,Instagram_Usage_Lifestyle_Mini_!$A:$A,Instagram_Usage_Lifestyle_Mini_!$L:$V,"Not Found")</f>
        <v>4</v>
      </c>
      <c r="C981">
        <v>5.9</v>
      </c>
      <c r="D981" t="str">
        <v>Average</v>
      </c>
      <c r="E981" t="str">
        <v>No</v>
      </c>
      <c r="F981" t="str">
        <v>Never</v>
      </c>
      <c r="G981">
        <v>23</v>
      </c>
      <c r="H981">
        <v>10</v>
      </c>
      <c r="I981">
        <v>20</v>
      </c>
      <c r="J981">
        <v>120</v>
      </c>
      <c r="K981">
        <v>90</v>
      </c>
      <c r="L981">
        <v>8018</v>
      </c>
      <c r="M981" t="str" cm="1">
        <f t="array" ref="M981">_xlfn.IFS(C981&lt;6,"Poor",C981&lt;=8,"Normal",TRUE,"High")</f>
        <v>Poor</v>
      </c>
    </row>
    <row r="982" spans="1:13" x14ac:dyDescent="0.2">
      <c r="A982">
        <v>981</v>
      </c>
      <c r="B982" cm="1">
        <f t="array" ref="B982:L982">_xlfn.XLOOKUP($A982,Instagram_Usage_Lifestyle_Mini_!$A:$A,Instagram_Usage_Lifestyle_Mini_!$L:$V,"Not Found")</f>
        <v>5</v>
      </c>
      <c r="C982">
        <v>8.8000000000000007</v>
      </c>
      <c r="D982" t="str">
        <v>Poor</v>
      </c>
      <c r="E982" t="str">
        <v>No</v>
      </c>
      <c r="F982" t="str">
        <v>Weekly</v>
      </c>
      <c r="G982">
        <v>14</v>
      </c>
      <c r="H982">
        <v>8</v>
      </c>
      <c r="I982">
        <v>28.7</v>
      </c>
      <c r="J982">
        <v>105</v>
      </c>
      <c r="K982">
        <v>88</v>
      </c>
      <c r="L982">
        <v>7911</v>
      </c>
      <c r="M982" t="str" cm="1">
        <f t="array" ref="M982">_xlfn.IFS(C982&lt;6,"Poor",C982&lt;=8,"Normal",TRUE,"High")</f>
        <v>High</v>
      </c>
    </row>
    <row r="983" spans="1:13" x14ac:dyDescent="0.2">
      <c r="A983">
        <v>982</v>
      </c>
      <c r="B983" cm="1">
        <f t="array" ref="B983:L983">_xlfn.XLOOKUP($A983,Instagram_Usage_Lifestyle_Mini_!$A:$A,Instagram_Usage_Lifestyle_Mini_!$L:$V,"Not Found")</f>
        <v>4.0999999999999996</v>
      </c>
      <c r="C983">
        <v>5.7</v>
      </c>
      <c r="D983" t="str">
        <v>Good</v>
      </c>
      <c r="E983" t="str">
        <v>No</v>
      </c>
      <c r="F983" t="str">
        <v>Never</v>
      </c>
      <c r="G983">
        <v>26</v>
      </c>
      <c r="H983">
        <v>2</v>
      </c>
      <c r="I983">
        <v>24.5</v>
      </c>
      <c r="J983">
        <v>151</v>
      </c>
      <c r="K983">
        <v>81</v>
      </c>
      <c r="L983">
        <v>7977</v>
      </c>
      <c r="M983" t="str" cm="1">
        <f t="array" ref="M983">_xlfn.IFS(C983&lt;6,"Poor",C983&lt;=8,"Normal",TRUE,"High")</f>
        <v>Poor</v>
      </c>
    </row>
    <row r="984" spans="1:13" x14ac:dyDescent="0.2">
      <c r="A984">
        <v>983</v>
      </c>
      <c r="B984" cm="1">
        <f t="array" ref="B984:L984">_xlfn.XLOOKUP($A984,Instagram_Usage_Lifestyle_Mini_!$A:$A,Instagram_Usage_Lifestyle_Mini_!$L:$V,"Not Found")</f>
        <v>2.6</v>
      </c>
      <c r="C984">
        <v>9</v>
      </c>
      <c r="D984" t="str">
        <v>Good</v>
      </c>
      <c r="E984" t="str">
        <v>No</v>
      </c>
      <c r="F984" t="str">
        <v>Never</v>
      </c>
      <c r="G984">
        <v>23</v>
      </c>
      <c r="H984">
        <v>5</v>
      </c>
      <c r="I984">
        <v>25.3</v>
      </c>
      <c r="J984">
        <v>151</v>
      </c>
      <c r="K984">
        <v>68</v>
      </c>
      <c r="L984">
        <v>8056</v>
      </c>
      <c r="M984" t="str" cm="1">
        <f t="array" ref="M984">_xlfn.IFS(C984&lt;6,"Poor",C984&lt;=8,"Normal",TRUE,"High")</f>
        <v>High</v>
      </c>
    </row>
    <row r="985" spans="1:13" x14ac:dyDescent="0.2">
      <c r="A985">
        <v>984</v>
      </c>
      <c r="B985" cm="1">
        <f t="array" ref="B985:L985">_xlfn.XLOOKUP($A985,Instagram_Usage_Lifestyle_Mini_!$A:$A,Instagram_Usage_Lifestyle_Mini_!$L:$V,"Not Found")</f>
        <v>3.9</v>
      </c>
      <c r="C985">
        <v>5.7</v>
      </c>
      <c r="D985" t="str">
        <v>Good</v>
      </c>
      <c r="E985" t="str">
        <v>No</v>
      </c>
      <c r="F985" t="str">
        <v>Rarely</v>
      </c>
      <c r="G985">
        <v>37</v>
      </c>
      <c r="H985">
        <v>9</v>
      </c>
      <c r="I985">
        <v>20.9</v>
      </c>
      <c r="J985">
        <v>143</v>
      </c>
      <c r="K985">
        <v>88</v>
      </c>
      <c r="L985">
        <v>7957</v>
      </c>
      <c r="M985" t="str" cm="1">
        <f t="array" ref="M985">_xlfn.IFS(C985&lt;6,"Poor",C985&lt;=8,"Normal",TRUE,"High")</f>
        <v>Poor</v>
      </c>
    </row>
    <row r="986" spans="1:13" x14ac:dyDescent="0.2">
      <c r="A986">
        <v>985</v>
      </c>
      <c r="B986" cm="1">
        <f t="array" ref="B986:L986">_xlfn.XLOOKUP($A986,Instagram_Usage_Lifestyle_Mini_!$A:$A,Instagram_Usage_Lifestyle_Mini_!$L:$V,"Not Found")</f>
        <v>4.0999999999999996</v>
      </c>
      <c r="C986">
        <v>6.6</v>
      </c>
      <c r="D986" t="str">
        <v>Excellent</v>
      </c>
      <c r="E986" t="str">
        <v>No</v>
      </c>
      <c r="F986" t="str">
        <v>Never</v>
      </c>
      <c r="G986">
        <v>4</v>
      </c>
      <c r="H986">
        <v>6</v>
      </c>
      <c r="I986">
        <v>25.2</v>
      </c>
      <c r="J986">
        <v>131</v>
      </c>
      <c r="K986">
        <v>86</v>
      </c>
      <c r="L986">
        <v>7897</v>
      </c>
      <c r="M986" t="str" cm="1">
        <f t="array" ref="M986">_xlfn.IFS(C986&lt;6,"Poor",C986&lt;=8,"Normal",TRUE,"High")</f>
        <v>Normal</v>
      </c>
    </row>
    <row r="987" spans="1:13" x14ac:dyDescent="0.2">
      <c r="A987">
        <v>986</v>
      </c>
      <c r="B987" cm="1">
        <f t="array" ref="B987:L987">_xlfn.XLOOKUP($A987,Instagram_Usage_Lifestyle_Mini_!$A:$A,Instagram_Usage_Lifestyle_Mini_!$L:$V,"Not Found")</f>
        <v>9.1999999999999993</v>
      </c>
      <c r="C987">
        <v>7.4</v>
      </c>
      <c r="D987" t="str">
        <v>Good</v>
      </c>
      <c r="E987" t="str">
        <v>No</v>
      </c>
      <c r="F987" t="str">
        <v>Rarely</v>
      </c>
      <c r="G987">
        <v>22</v>
      </c>
      <c r="H987">
        <v>4</v>
      </c>
      <c r="I987">
        <v>17.2</v>
      </c>
      <c r="J987">
        <v>156</v>
      </c>
      <c r="K987">
        <v>95</v>
      </c>
      <c r="L987">
        <v>8084</v>
      </c>
      <c r="M987" t="str" cm="1">
        <f t="array" ref="M987">_xlfn.IFS(C987&lt;6,"Poor",C987&lt;=8,"Normal",TRUE,"High")</f>
        <v>Normal</v>
      </c>
    </row>
    <row r="988" spans="1:13" x14ac:dyDescent="0.2">
      <c r="A988">
        <v>987</v>
      </c>
      <c r="B988" cm="1">
        <f t="array" ref="B988:L988">_xlfn.XLOOKUP($A988,Instagram_Usage_Lifestyle_Mini_!$A:$A,Instagram_Usage_Lifestyle_Mini_!$L:$V,"Not Found")</f>
        <v>8</v>
      </c>
      <c r="C988">
        <v>6.5</v>
      </c>
      <c r="D988" t="str">
        <v>Average</v>
      </c>
      <c r="E988" t="str">
        <v>Yes</v>
      </c>
      <c r="F988" t="str">
        <v>Never</v>
      </c>
      <c r="G988">
        <v>15</v>
      </c>
      <c r="H988">
        <v>5</v>
      </c>
      <c r="I988">
        <v>26.2</v>
      </c>
      <c r="J988">
        <v>133</v>
      </c>
      <c r="K988">
        <v>98</v>
      </c>
      <c r="L988">
        <v>7975</v>
      </c>
      <c r="M988" t="str" cm="1">
        <f t="array" ref="M988">_xlfn.IFS(C988&lt;6,"Poor",C988&lt;=8,"Normal",TRUE,"High")</f>
        <v>Normal</v>
      </c>
    </row>
    <row r="989" spans="1:13" x14ac:dyDescent="0.2">
      <c r="A989">
        <v>988</v>
      </c>
      <c r="B989" cm="1">
        <f t="array" ref="B989:L989">_xlfn.XLOOKUP($A989,Instagram_Usage_Lifestyle_Mini_!$A:$A,Instagram_Usage_Lifestyle_Mini_!$L:$V,"Not Found")</f>
        <v>11.4</v>
      </c>
      <c r="C989">
        <v>9.6</v>
      </c>
      <c r="D989" t="str">
        <v>Average</v>
      </c>
      <c r="E989" t="str">
        <v>Yes</v>
      </c>
      <c r="F989" t="str">
        <v>Never</v>
      </c>
      <c r="G989">
        <v>27</v>
      </c>
      <c r="H989">
        <v>7</v>
      </c>
      <c r="I989">
        <v>18.2</v>
      </c>
      <c r="J989">
        <v>126</v>
      </c>
      <c r="K989">
        <v>95</v>
      </c>
      <c r="L989">
        <v>8026</v>
      </c>
      <c r="M989" t="str" cm="1">
        <f t="array" ref="M989">_xlfn.IFS(C989&lt;6,"Poor",C989&lt;=8,"Normal",TRUE,"High")</f>
        <v>High</v>
      </c>
    </row>
    <row r="990" spans="1:13" x14ac:dyDescent="0.2">
      <c r="A990">
        <v>989</v>
      </c>
      <c r="B990" cm="1">
        <f t="array" ref="B990:L990">_xlfn.XLOOKUP($A990,Instagram_Usage_Lifestyle_Mini_!$A:$A,Instagram_Usage_Lifestyle_Mini_!$L:$V,"Not Found")</f>
        <v>11</v>
      </c>
      <c r="C990">
        <v>6.1</v>
      </c>
      <c r="D990" t="str">
        <v>Average</v>
      </c>
      <c r="E990" t="str">
        <v>No</v>
      </c>
      <c r="F990" t="str">
        <v>Rarely</v>
      </c>
      <c r="G990">
        <v>8</v>
      </c>
      <c r="H990">
        <v>1</v>
      </c>
      <c r="I990">
        <v>25.3</v>
      </c>
      <c r="J990">
        <v>121</v>
      </c>
      <c r="K990">
        <v>89</v>
      </c>
      <c r="L990">
        <v>8061</v>
      </c>
      <c r="M990" t="str" cm="1">
        <f t="array" ref="M990">_xlfn.IFS(C990&lt;6,"Poor",C990&lt;=8,"Normal",TRUE,"High")</f>
        <v>Normal</v>
      </c>
    </row>
    <row r="991" spans="1:13" x14ac:dyDescent="0.2">
      <c r="A991">
        <v>990</v>
      </c>
      <c r="B991" cm="1">
        <f t="array" ref="B991:L991">_xlfn.XLOOKUP($A991,Instagram_Usage_Lifestyle_Mini_!$A:$A,Instagram_Usage_Lifestyle_Mini_!$L:$V,"Not Found")</f>
        <v>4.2</v>
      </c>
      <c r="C991">
        <v>7.9</v>
      </c>
      <c r="D991" t="str">
        <v>Excellent</v>
      </c>
      <c r="E991" t="str">
        <v>No</v>
      </c>
      <c r="F991" t="str">
        <v>Rarely</v>
      </c>
      <c r="G991">
        <v>16</v>
      </c>
      <c r="H991">
        <v>5</v>
      </c>
      <c r="I991">
        <v>22.3</v>
      </c>
      <c r="J991">
        <v>107</v>
      </c>
      <c r="K991">
        <v>98</v>
      </c>
      <c r="L991">
        <v>7817</v>
      </c>
      <c r="M991" t="str" cm="1">
        <f t="array" ref="M991">_xlfn.IFS(C991&lt;6,"Poor",C991&lt;=8,"Normal",TRUE,"High")</f>
        <v>Normal</v>
      </c>
    </row>
    <row r="992" spans="1:13" x14ac:dyDescent="0.2">
      <c r="A992">
        <v>991</v>
      </c>
      <c r="B992" cm="1">
        <f t="array" ref="B992:L992">_xlfn.XLOOKUP($A992,Instagram_Usage_Lifestyle_Mini_!$A:$A,Instagram_Usage_Lifestyle_Mini_!$L:$V,"Not Found")</f>
        <v>10.8</v>
      </c>
      <c r="C992">
        <v>9.6</v>
      </c>
      <c r="D992" t="str">
        <v>Very_poor</v>
      </c>
      <c r="E992" t="str">
        <v>No</v>
      </c>
      <c r="F992" t="str">
        <v>Never</v>
      </c>
      <c r="G992">
        <v>36</v>
      </c>
      <c r="H992">
        <v>5</v>
      </c>
      <c r="I992">
        <v>18.100000000000001</v>
      </c>
      <c r="J992">
        <v>142</v>
      </c>
      <c r="K992">
        <v>68</v>
      </c>
      <c r="L992">
        <v>8194</v>
      </c>
      <c r="M992" t="str" cm="1">
        <f t="array" ref="M992">_xlfn.IFS(C992&lt;6,"Poor",C992&lt;=8,"Normal",TRUE,"High")</f>
        <v>High</v>
      </c>
    </row>
    <row r="993" spans="1:13" x14ac:dyDescent="0.2">
      <c r="A993">
        <v>992</v>
      </c>
      <c r="B993" cm="1">
        <f t="array" ref="B993:L993">_xlfn.XLOOKUP($A993,Instagram_Usage_Lifestyle_Mini_!$A:$A,Instagram_Usage_Lifestyle_Mini_!$L:$V,"Not Found")</f>
        <v>4.5</v>
      </c>
      <c r="C993">
        <v>7.5</v>
      </c>
      <c r="D993" t="str">
        <v>Very_poor</v>
      </c>
      <c r="E993" t="str">
        <v>No</v>
      </c>
      <c r="F993" t="str">
        <v>Rarely</v>
      </c>
      <c r="G993">
        <v>13</v>
      </c>
      <c r="H993">
        <v>10</v>
      </c>
      <c r="I993">
        <v>22</v>
      </c>
      <c r="J993">
        <v>157</v>
      </c>
      <c r="K993">
        <v>81</v>
      </c>
      <c r="L993">
        <v>8030</v>
      </c>
      <c r="M993" t="str" cm="1">
        <f t="array" ref="M993">_xlfn.IFS(C993&lt;6,"Poor",C993&lt;=8,"Normal",TRUE,"High")</f>
        <v>Normal</v>
      </c>
    </row>
    <row r="994" spans="1:13" x14ac:dyDescent="0.2">
      <c r="A994">
        <v>993</v>
      </c>
      <c r="B994" cm="1">
        <f t="array" ref="B994:L994">_xlfn.XLOOKUP($A994,Instagram_Usage_Lifestyle_Mini_!$A:$A,Instagram_Usage_Lifestyle_Mini_!$L:$V,"Not Found")</f>
        <v>11.3</v>
      </c>
      <c r="C994">
        <v>6.5</v>
      </c>
      <c r="D994" t="str">
        <v>Excellent</v>
      </c>
      <c r="E994" t="str">
        <v>No</v>
      </c>
      <c r="F994" t="str">
        <v>Never</v>
      </c>
      <c r="G994">
        <v>22</v>
      </c>
      <c r="H994">
        <v>6</v>
      </c>
      <c r="I994">
        <v>25.9</v>
      </c>
      <c r="J994">
        <v>141</v>
      </c>
      <c r="K994">
        <v>94</v>
      </c>
      <c r="L994">
        <v>7955</v>
      </c>
      <c r="M994" t="str" cm="1">
        <f t="array" ref="M994">_xlfn.IFS(C994&lt;6,"Poor",C994&lt;=8,"Normal",TRUE,"High")</f>
        <v>Normal</v>
      </c>
    </row>
    <row r="995" spans="1:13" x14ac:dyDescent="0.2">
      <c r="A995">
        <v>994</v>
      </c>
      <c r="B995" cm="1">
        <f t="array" ref="B995:L995">_xlfn.XLOOKUP($A995,Instagram_Usage_Lifestyle_Mini_!$A:$A,Instagram_Usage_Lifestyle_Mini_!$L:$V,"Not Found")</f>
        <v>5.5</v>
      </c>
      <c r="C995">
        <v>8.8000000000000007</v>
      </c>
      <c r="D995" t="str">
        <v>Average</v>
      </c>
      <c r="E995" t="str">
        <v>No</v>
      </c>
      <c r="F995" t="str">
        <v>Never</v>
      </c>
      <c r="G995">
        <v>3</v>
      </c>
      <c r="H995">
        <v>3</v>
      </c>
      <c r="I995">
        <v>25.7</v>
      </c>
      <c r="J995">
        <v>135</v>
      </c>
      <c r="K995">
        <v>80</v>
      </c>
      <c r="L995">
        <v>8040</v>
      </c>
      <c r="M995" t="str" cm="1">
        <f t="array" ref="M995">_xlfn.IFS(C995&lt;6,"Poor",C995&lt;=8,"Normal",TRUE,"High")</f>
        <v>High</v>
      </c>
    </row>
    <row r="996" spans="1:13" x14ac:dyDescent="0.2">
      <c r="A996">
        <v>995</v>
      </c>
      <c r="B996" cm="1">
        <f t="array" ref="B996:L996">_xlfn.XLOOKUP($A996,Instagram_Usage_Lifestyle_Mini_!$A:$A,Instagram_Usage_Lifestyle_Mini_!$L:$V,"Not Found")</f>
        <v>19.399999999999999</v>
      </c>
      <c r="C996">
        <v>7.6</v>
      </c>
      <c r="D996" t="str">
        <v>Average</v>
      </c>
      <c r="E996" t="str">
        <v>No</v>
      </c>
      <c r="F996" t="str">
        <v>Rarely</v>
      </c>
      <c r="G996">
        <v>23</v>
      </c>
      <c r="H996">
        <v>4</v>
      </c>
      <c r="I996">
        <v>18.8</v>
      </c>
      <c r="J996">
        <v>91</v>
      </c>
      <c r="K996">
        <v>62</v>
      </c>
      <c r="L996">
        <v>8001</v>
      </c>
      <c r="M996" t="str" cm="1">
        <f t="array" ref="M996">_xlfn.IFS(C996&lt;6,"Poor",C996&lt;=8,"Normal",TRUE,"High")</f>
        <v>Normal</v>
      </c>
    </row>
    <row r="997" spans="1:13" x14ac:dyDescent="0.2">
      <c r="A997">
        <v>996</v>
      </c>
      <c r="B997" cm="1">
        <f t="array" ref="B997:L997">_xlfn.XLOOKUP($A997,Instagram_Usage_Lifestyle_Mini_!$A:$A,Instagram_Usage_Lifestyle_Mini_!$L:$V,"Not Found")</f>
        <v>3.4</v>
      </c>
      <c r="C997">
        <v>7.2</v>
      </c>
      <c r="D997" t="str">
        <v>Excellent</v>
      </c>
      <c r="E997" t="str">
        <v>Yes</v>
      </c>
      <c r="F997" t="str">
        <v>Rarely</v>
      </c>
      <c r="G997">
        <v>36</v>
      </c>
      <c r="H997">
        <v>4</v>
      </c>
      <c r="I997">
        <v>27.7</v>
      </c>
      <c r="J997">
        <v>101</v>
      </c>
      <c r="K997">
        <v>97</v>
      </c>
      <c r="L997">
        <v>7944</v>
      </c>
      <c r="M997" t="str" cm="1">
        <f t="array" ref="M997">_xlfn.IFS(C997&lt;6,"Poor",C997&lt;=8,"Normal",TRUE,"High")</f>
        <v>Normal</v>
      </c>
    </row>
    <row r="998" spans="1:13" x14ac:dyDescent="0.2">
      <c r="A998">
        <v>997</v>
      </c>
      <c r="B998" cm="1">
        <f t="array" ref="B998:L998">_xlfn.XLOOKUP($A998,Instagram_Usage_Lifestyle_Mini_!$A:$A,Instagram_Usage_Lifestyle_Mini_!$L:$V,"Not Found")</f>
        <v>6.2</v>
      </c>
      <c r="C998">
        <v>8.9</v>
      </c>
      <c r="D998" t="str">
        <v>Average</v>
      </c>
      <c r="E998" t="str">
        <v>No</v>
      </c>
      <c r="F998" t="str">
        <v>Rarely</v>
      </c>
      <c r="G998">
        <v>0</v>
      </c>
      <c r="H998">
        <v>2</v>
      </c>
      <c r="I998">
        <v>24.6</v>
      </c>
      <c r="J998">
        <v>143</v>
      </c>
      <c r="K998">
        <v>69</v>
      </c>
      <c r="L998">
        <v>8050</v>
      </c>
      <c r="M998" t="str" cm="1">
        <f t="array" ref="M998">_xlfn.IFS(C998&lt;6,"Poor",C998&lt;=8,"Normal",TRUE,"High")</f>
        <v>High</v>
      </c>
    </row>
    <row r="999" spans="1:13" x14ac:dyDescent="0.2">
      <c r="A999">
        <v>998</v>
      </c>
      <c r="B999" cm="1">
        <f t="array" ref="B999:L999">_xlfn.XLOOKUP($A999,Instagram_Usage_Lifestyle_Mini_!$A:$A,Instagram_Usage_Lifestyle_Mini_!$L:$V,"Not Found")</f>
        <v>8.6</v>
      </c>
      <c r="C999">
        <v>5.8</v>
      </c>
      <c r="D999" t="str">
        <v>Poor</v>
      </c>
      <c r="E999" t="str">
        <v>No</v>
      </c>
      <c r="F999" t="str">
        <v>Weekly</v>
      </c>
      <c r="G999">
        <v>7</v>
      </c>
      <c r="H999">
        <v>4</v>
      </c>
      <c r="I999">
        <v>31.7</v>
      </c>
      <c r="J999">
        <v>118</v>
      </c>
      <c r="K999">
        <v>60</v>
      </c>
      <c r="L999">
        <v>8026</v>
      </c>
      <c r="M999" t="str" cm="1">
        <f t="array" ref="M999">_xlfn.IFS(C999&lt;6,"Poor",C999&lt;=8,"Normal",TRUE,"High")</f>
        <v>Poor</v>
      </c>
    </row>
    <row r="1000" spans="1:13" x14ac:dyDescent="0.2">
      <c r="A1000">
        <v>999</v>
      </c>
      <c r="B1000" cm="1">
        <f t="array" ref="B1000:L1000">_xlfn.XLOOKUP($A1000,Instagram_Usage_Lifestyle_Mini_!$A:$A,Instagram_Usage_Lifestyle_Mini_!$L:$V,"Not Found")</f>
        <v>11.5</v>
      </c>
      <c r="C1000">
        <v>5.7</v>
      </c>
      <c r="D1000" t="str">
        <v>Average</v>
      </c>
      <c r="E1000" t="str">
        <v>No</v>
      </c>
      <c r="F1000" t="str">
        <v>Never</v>
      </c>
      <c r="G1000">
        <v>21</v>
      </c>
      <c r="H1000">
        <v>1</v>
      </c>
      <c r="I1000">
        <v>22.4</v>
      </c>
      <c r="J1000">
        <v>125</v>
      </c>
      <c r="K1000">
        <v>67</v>
      </c>
      <c r="L1000">
        <v>8020</v>
      </c>
      <c r="M1000" t="str" cm="1">
        <f t="array" ref="M1000">_xlfn.IFS(C1000&lt;6,"Poor",C1000&lt;=8,"Normal",TRUE,"High")</f>
        <v>Poor</v>
      </c>
    </row>
    <row r="1001" spans="1:13" x14ac:dyDescent="0.2">
      <c r="A1001">
        <v>1000</v>
      </c>
      <c r="B1001" cm="1">
        <f t="array" ref="B1001:L1001">_xlfn.XLOOKUP($A1001,Instagram_Usage_Lifestyle_Mini_!$A:$A,Instagram_Usage_Lifestyle_Mini_!$L:$V,"Not Found")</f>
        <v>5.2</v>
      </c>
      <c r="C1001">
        <v>6.7</v>
      </c>
      <c r="D1001" t="str">
        <v>Average</v>
      </c>
      <c r="E1001" t="str">
        <v>No</v>
      </c>
      <c r="F1001" t="str">
        <v>Never</v>
      </c>
      <c r="G1001">
        <v>3</v>
      </c>
      <c r="H1001">
        <v>5</v>
      </c>
      <c r="I1001">
        <v>21.7</v>
      </c>
      <c r="J1001">
        <v>159</v>
      </c>
      <c r="K1001">
        <v>76</v>
      </c>
      <c r="L1001">
        <v>7983</v>
      </c>
      <c r="M1001" t="str" cm="1">
        <f t="array" ref="M1001">_xlfn.IFS(C1001&lt;6,"Poor",C1001&lt;=8,"Normal",TRUE,"High")</f>
        <v>Normal</v>
      </c>
    </row>
  </sheetData>
  <autoFilter ref="A1:M1001" xr:uid="{B928D077-9249-FC42-B1C6-D4088E9E0F5A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5B12F-4150-3347-9C47-C037B2B6379E}">
  <dimension ref="A3:B7"/>
  <sheetViews>
    <sheetView workbookViewId="0">
      <selection activeCell="A8" sqref="A8"/>
    </sheetView>
  </sheetViews>
  <sheetFormatPr baseColWidth="10" defaultRowHeight="16" x14ac:dyDescent="0.2"/>
  <cols>
    <col min="1" max="1" width="13" bestFit="1" customWidth="1"/>
    <col min="2" max="3" width="14.6640625" bestFit="1" customWidth="1"/>
    <col min="4" max="4" width="27" bestFit="1" customWidth="1"/>
  </cols>
  <sheetData>
    <row r="3" spans="1:2" x14ac:dyDescent="0.2">
      <c r="A3" s="11" t="s">
        <v>136</v>
      </c>
      <c r="B3" t="s">
        <v>143</v>
      </c>
    </row>
    <row r="4" spans="1:2" x14ac:dyDescent="0.2">
      <c r="A4" s="12" t="s">
        <v>4</v>
      </c>
      <c r="B4">
        <v>150</v>
      </c>
    </row>
    <row r="5" spans="1:2" x14ac:dyDescent="0.2">
      <c r="A5" s="12" t="s">
        <v>142</v>
      </c>
      <c r="B5">
        <v>692</v>
      </c>
    </row>
    <row r="6" spans="1:2" x14ac:dyDescent="0.2">
      <c r="A6" s="12" t="s">
        <v>25</v>
      </c>
      <c r="B6">
        <v>158</v>
      </c>
    </row>
    <row r="7" spans="1:2" x14ac:dyDescent="0.2">
      <c r="A7" s="12" t="s">
        <v>134</v>
      </c>
      <c r="B7">
        <v>1000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E31A3-DAE7-5140-98F1-3DA802F9214F}">
  <dimension ref="A1:H1001"/>
  <sheetViews>
    <sheetView workbookViewId="0">
      <selection activeCell="F1" sqref="F1"/>
    </sheetView>
  </sheetViews>
  <sheetFormatPr baseColWidth="10" defaultRowHeight="16" x14ac:dyDescent="0.2"/>
  <cols>
    <col min="1" max="1" width="11" bestFit="1" customWidth="1"/>
    <col min="2" max="2" width="24" bestFit="1" customWidth="1"/>
    <col min="3" max="3" width="18.1640625" bestFit="1" customWidth="1"/>
    <col min="4" max="4" width="28.5" bestFit="1" customWidth="1"/>
    <col min="5" max="5" width="25.33203125" bestFit="1" customWidth="1"/>
    <col min="6" max="6" width="31.33203125" bestFit="1" customWidth="1"/>
    <col min="7" max="7" width="30.6640625" bestFit="1" customWidth="1"/>
    <col min="8" max="8" width="31.1640625" bestFit="1" customWidth="1"/>
  </cols>
  <sheetData>
    <row r="1" spans="1:8" ht="19" x14ac:dyDescent="0.25">
      <c r="A1" s="9" t="s">
        <v>55</v>
      </c>
      <c r="B1" s="5" t="s">
        <v>76</v>
      </c>
      <c r="C1" s="3" t="s">
        <v>77</v>
      </c>
      <c r="D1" s="3" t="s">
        <v>78</v>
      </c>
      <c r="E1" s="3" t="s">
        <v>79</v>
      </c>
      <c r="F1" s="5" t="s">
        <v>80</v>
      </c>
      <c r="G1" s="3" t="s">
        <v>81</v>
      </c>
      <c r="H1" s="3" t="s">
        <v>140</v>
      </c>
    </row>
    <row r="2" spans="1:8" ht="17" x14ac:dyDescent="0.2">
      <c r="A2">
        <v>1</v>
      </c>
      <c r="B2" cm="1">
        <f t="array" ref="B2:G2">_xlfn.XLOOKUP($A2,Instagram_Usage_Lifestyle_Mini_!$A:$A,Instagram_Usage_Lifestyle_Mini_!$W:$AB,"Not Found")</f>
        <v>49.9</v>
      </c>
      <c r="C2">
        <v>3</v>
      </c>
      <c r="D2">
        <v>4</v>
      </c>
      <c r="E2">
        <v>7</v>
      </c>
      <c r="F2">
        <v>4.3</v>
      </c>
      <c r="G2">
        <v>0</v>
      </c>
      <c r="H2" s="13" t="str" cm="1">
        <f t="array" ref="H2">_xlfn.IFS(B2&lt;20,"Low",B2&lt;=40,"Moderate",B2&lt;=60,"High",TRUE,"Very High")</f>
        <v>High</v>
      </c>
    </row>
    <row r="3" spans="1:8" ht="17" x14ac:dyDescent="0.2">
      <c r="A3">
        <v>2</v>
      </c>
      <c r="B3" cm="1">
        <f t="array" ref="B3:G3">_xlfn.XLOOKUP($A3,Instagram_Usage_Lifestyle_Mini_!$A:$A,Instagram_Usage_Lifestyle_Mini_!$W:$AB,"Not Found")</f>
        <v>15.6</v>
      </c>
      <c r="C3">
        <v>0</v>
      </c>
      <c r="D3">
        <v>5</v>
      </c>
      <c r="E3">
        <v>10</v>
      </c>
      <c r="F3">
        <v>4.7</v>
      </c>
      <c r="G3">
        <v>2</v>
      </c>
      <c r="H3" s="13" t="str" cm="1">
        <f t="array" ref="H3">_xlfn.IFS(B3&lt;20,"Low",B3&lt;=40,"Moderate",B3&lt;=60,"High",TRUE,"Very High")</f>
        <v>Low</v>
      </c>
    </row>
    <row r="4" spans="1:8" ht="17" x14ac:dyDescent="0.2">
      <c r="A4">
        <v>3</v>
      </c>
      <c r="B4" cm="1">
        <f t="array" ref="B4:G4">_xlfn.XLOOKUP($A4,Instagram_Usage_Lifestyle_Mini_!$A:$A,Instagram_Usage_Lifestyle_Mini_!$W:$AB,"Not Found")</f>
        <v>31.8</v>
      </c>
      <c r="C4">
        <v>4</v>
      </c>
      <c r="D4">
        <v>5</v>
      </c>
      <c r="E4">
        <v>14</v>
      </c>
      <c r="F4">
        <v>1.5</v>
      </c>
      <c r="G4">
        <v>2</v>
      </c>
      <c r="H4" s="13" t="str" cm="1">
        <f t="array" ref="H4">_xlfn.IFS(B4&lt;20,"Low",B4&lt;=40,"Moderate",B4&lt;=60,"High",TRUE,"Very High")</f>
        <v>Moderate</v>
      </c>
    </row>
    <row r="5" spans="1:8" ht="17" x14ac:dyDescent="0.2">
      <c r="A5">
        <v>4</v>
      </c>
      <c r="B5" cm="1">
        <f t="array" ref="B5:G5">_xlfn.XLOOKUP($A5,Instagram_Usage_Lifestyle_Mini_!$A:$A,Instagram_Usage_Lifestyle_Mini_!$W:$AB,"Not Found")</f>
        <v>43.4</v>
      </c>
      <c r="C5">
        <v>2</v>
      </c>
      <c r="D5">
        <v>3</v>
      </c>
      <c r="E5">
        <v>13</v>
      </c>
      <c r="F5">
        <v>3.3</v>
      </c>
      <c r="G5">
        <v>4</v>
      </c>
      <c r="H5" s="13" t="str" cm="1">
        <f t="array" ref="H5">_xlfn.IFS(B5&lt;20,"Low",B5&lt;=40,"Moderate",B5&lt;=60,"High",TRUE,"Very High")</f>
        <v>High</v>
      </c>
    </row>
    <row r="6" spans="1:8" ht="17" x14ac:dyDescent="0.2">
      <c r="A6">
        <v>5</v>
      </c>
      <c r="B6" cm="1">
        <f t="array" ref="B6:G6">_xlfn.XLOOKUP($A6,Instagram_Usage_Lifestyle_Mini_!$A:$A,Instagram_Usage_Lifestyle_Mini_!$W:$AB,"Not Found")</f>
        <v>50.2</v>
      </c>
      <c r="C6">
        <v>2</v>
      </c>
      <c r="D6">
        <v>2</v>
      </c>
      <c r="E6">
        <v>12</v>
      </c>
      <c r="F6">
        <v>4.5</v>
      </c>
      <c r="G6">
        <v>3</v>
      </c>
      <c r="H6" s="13" t="str" cm="1">
        <f t="array" ref="H6">_xlfn.IFS(B6&lt;20,"Low",B6&lt;=40,"Moderate",B6&lt;=60,"High",TRUE,"Very High")</f>
        <v>High</v>
      </c>
    </row>
    <row r="7" spans="1:8" ht="17" x14ac:dyDescent="0.2">
      <c r="A7">
        <v>6</v>
      </c>
      <c r="B7" cm="1">
        <f t="array" ref="B7:G7">_xlfn.XLOOKUP($A7,Instagram_Usage_Lifestyle_Mini_!$A:$A,Instagram_Usage_Lifestyle_Mini_!$W:$AB,"Not Found")</f>
        <v>36.200000000000003</v>
      </c>
      <c r="C7">
        <v>4</v>
      </c>
      <c r="D7">
        <v>3</v>
      </c>
      <c r="E7">
        <v>7</v>
      </c>
      <c r="F7">
        <v>4.7</v>
      </c>
      <c r="G7">
        <v>1</v>
      </c>
      <c r="H7" s="13" t="str" cm="1">
        <f t="array" ref="H7">_xlfn.IFS(B7&lt;20,"Low",B7&lt;=40,"Moderate",B7&lt;=60,"High",TRUE,"Very High")</f>
        <v>Moderate</v>
      </c>
    </row>
    <row r="8" spans="1:8" ht="17" x14ac:dyDescent="0.2">
      <c r="A8">
        <v>7</v>
      </c>
      <c r="B8" cm="1">
        <f t="array" ref="B8:G8">_xlfn.XLOOKUP($A8,Instagram_Usage_Lifestyle_Mini_!$A:$A,Instagram_Usage_Lifestyle_Mini_!$W:$AB,"Not Found")</f>
        <v>38.5</v>
      </c>
      <c r="C8">
        <v>4</v>
      </c>
      <c r="D8">
        <v>6</v>
      </c>
      <c r="E8">
        <v>9</v>
      </c>
      <c r="F8">
        <v>1.9</v>
      </c>
      <c r="G8">
        <v>4</v>
      </c>
      <c r="H8" s="13" t="str" cm="1">
        <f t="array" ref="H8">_xlfn.IFS(B8&lt;20,"Low",B8&lt;=40,"Moderate",B8&lt;=60,"High",TRUE,"Very High")</f>
        <v>Moderate</v>
      </c>
    </row>
    <row r="9" spans="1:8" ht="17" x14ac:dyDescent="0.2">
      <c r="A9">
        <v>8</v>
      </c>
      <c r="B9" cm="1">
        <f t="array" ref="B9:G9">_xlfn.XLOOKUP($A9,Instagram_Usage_Lifestyle_Mini_!$A:$A,Instagram_Usage_Lifestyle_Mini_!$W:$AB,"Not Found")</f>
        <v>26</v>
      </c>
      <c r="C9">
        <v>1</v>
      </c>
      <c r="D9">
        <v>2</v>
      </c>
      <c r="E9">
        <v>11</v>
      </c>
      <c r="F9">
        <v>5.7</v>
      </c>
      <c r="G9">
        <v>3</v>
      </c>
      <c r="H9" s="13" t="str" cm="1">
        <f t="array" ref="H9">_xlfn.IFS(B9&lt;20,"Low",B9&lt;=40,"Moderate",B9&lt;=60,"High",TRUE,"Very High")</f>
        <v>Moderate</v>
      </c>
    </row>
    <row r="10" spans="1:8" ht="17" x14ac:dyDescent="0.2">
      <c r="A10">
        <v>9</v>
      </c>
      <c r="B10" cm="1">
        <f t="array" ref="B10:G10">_xlfn.XLOOKUP($A10,Instagram_Usage_Lifestyle_Mini_!$A:$A,Instagram_Usage_Lifestyle_Mini_!$W:$AB,"Not Found")</f>
        <v>27.4</v>
      </c>
      <c r="C10">
        <v>5</v>
      </c>
      <c r="D10">
        <v>3</v>
      </c>
      <c r="E10">
        <v>13</v>
      </c>
      <c r="F10">
        <v>2.2000000000000002</v>
      </c>
      <c r="G10">
        <v>4</v>
      </c>
      <c r="H10" s="13" t="str" cm="1">
        <f t="array" ref="H10">_xlfn.IFS(B10&lt;20,"Low",B10&lt;=40,"Moderate",B10&lt;=60,"High",TRUE,"Very High")</f>
        <v>Moderate</v>
      </c>
    </row>
    <row r="11" spans="1:8" ht="17" x14ac:dyDescent="0.2">
      <c r="A11">
        <v>10</v>
      </c>
      <c r="B11" cm="1">
        <f t="array" ref="B11:G11">_xlfn.XLOOKUP($A11,Instagram_Usage_Lifestyle_Mini_!$A:$A,Instagram_Usage_Lifestyle_Mini_!$W:$AB,"Not Found")</f>
        <v>37.700000000000003</v>
      </c>
      <c r="C11">
        <v>5</v>
      </c>
      <c r="D11">
        <v>3</v>
      </c>
      <c r="E11">
        <v>12</v>
      </c>
      <c r="F11">
        <v>7</v>
      </c>
      <c r="G11">
        <v>2</v>
      </c>
      <c r="H11" s="13" t="str" cm="1">
        <f t="array" ref="H11">_xlfn.IFS(B11&lt;20,"Low",B11&lt;=40,"Moderate",B11&lt;=60,"High",TRUE,"Very High")</f>
        <v>Moderate</v>
      </c>
    </row>
    <row r="12" spans="1:8" ht="17" x14ac:dyDescent="0.2">
      <c r="A12">
        <v>11</v>
      </c>
      <c r="B12" cm="1">
        <f t="array" ref="B12:G12">_xlfn.XLOOKUP($A12,Instagram_Usage_Lifestyle_Mini_!$A:$A,Instagram_Usage_Lifestyle_Mini_!$W:$AB,"Not Found")</f>
        <v>30.4</v>
      </c>
      <c r="C12">
        <v>2</v>
      </c>
      <c r="D12">
        <v>5</v>
      </c>
      <c r="E12">
        <v>8</v>
      </c>
      <c r="F12">
        <v>2.6</v>
      </c>
      <c r="G12">
        <v>2</v>
      </c>
      <c r="H12" s="13" t="str" cm="1">
        <f t="array" ref="H12">_xlfn.IFS(B12&lt;20,"Low",B12&lt;=40,"Moderate",B12&lt;=60,"High",TRUE,"Very High")</f>
        <v>Moderate</v>
      </c>
    </row>
    <row r="13" spans="1:8" ht="17" x14ac:dyDescent="0.2">
      <c r="A13">
        <v>12</v>
      </c>
      <c r="B13" cm="1">
        <f t="array" ref="B13:G13">_xlfn.XLOOKUP($A13,Instagram_Usage_Lifestyle_Mini_!$A:$A,Instagram_Usage_Lifestyle_Mini_!$W:$AB,"Not Found")</f>
        <v>57.2</v>
      </c>
      <c r="C13">
        <v>3</v>
      </c>
      <c r="D13">
        <v>2</v>
      </c>
      <c r="E13">
        <v>13</v>
      </c>
      <c r="F13">
        <v>1.2</v>
      </c>
      <c r="G13">
        <v>2</v>
      </c>
      <c r="H13" s="13" t="str" cm="1">
        <f t="array" ref="H13">_xlfn.IFS(B13&lt;20,"Low",B13&lt;=40,"Moderate",B13&lt;=60,"High",TRUE,"Very High")</f>
        <v>High</v>
      </c>
    </row>
    <row r="14" spans="1:8" ht="17" x14ac:dyDescent="0.2">
      <c r="A14">
        <v>13</v>
      </c>
      <c r="B14" cm="1">
        <f t="array" ref="B14:G14">_xlfn.XLOOKUP($A14,Instagram_Usage_Lifestyle_Mini_!$A:$A,Instagram_Usage_Lifestyle_Mini_!$W:$AB,"Not Found")</f>
        <v>34.700000000000003</v>
      </c>
      <c r="C14">
        <v>4</v>
      </c>
      <c r="D14">
        <v>3</v>
      </c>
      <c r="E14">
        <v>12</v>
      </c>
      <c r="F14">
        <v>1.8</v>
      </c>
      <c r="G14">
        <v>1</v>
      </c>
      <c r="H14" s="13" t="str" cm="1">
        <f t="array" ref="H14">_xlfn.IFS(B14&lt;20,"Low",B14&lt;=40,"Moderate",B14&lt;=60,"High",TRUE,"Very High")</f>
        <v>Moderate</v>
      </c>
    </row>
    <row r="15" spans="1:8" ht="17" x14ac:dyDescent="0.2">
      <c r="A15">
        <v>14</v>
      </c>
      <c r="B15" cm="1">
        <f t="array" ref="B15:G15">_xlfn.XLOOKUP($A15,Instagram_Usage_Lifestyle_Mini_!$A:$A,Instagram_Usage_Lifestyle_Mini_!$W:$AB,"Not Found")</f>
        <v>37.6</v>
      </c>
      <c r="C15">
        <v>3</v>
      </c>
      <c r="D15">
        <v>3</v>
      </c>
      <c r="E15">
        <v>10</v>
      </c>
      <c r="F15">
        <v>3.2</v>
      </c>
      <c r="G15">
        <v>2</v>
      </c>
      <c r="H15" s="13" t="str" cm="1">
        <f t="array" ref="H15">_xlfn.IFS(B15&lt;20,"Low",B15&lt;=40,"Moderate",B15&lt;=60,"High",TRUE,"Very High")</f>
        <v>Moderate</v>
      </c>
    </row>
    <row r="16" spans="1:8" ht="17" x14ac:dyDescent="0.2">
      <c r="A16">
        <v>15</v>
      </c>
      <c r="B16" cm="1">
        <f t="array" ref="B16:G16">_xlfn.XLOOKUP($A16,Instagram_Usage_Lifestyle_Mini_!$A:$A,Instagram_Usage_Lifestyle_Mini_!$W:$AB,"Not Found")</f>
        <v>45.6</v>
      </c>
      <c r="C16">
        <v>1</v>
      </c>
      <c r="D16">
        <v>3</v>
      </c>
      <c r="E16">
        <v>6</v>
      </c>
      <c r="F16">
        <v>3.5</v>
      </c>
      <c r="G16">
        <v>2</v>
      </c>
      <c r="H16" s="13" t="str" cm="1">
        <f t="array" ref="H16">_xlfn.IFS(B16&lt;20,"Low",B16&lt;=40,"Moderate",B16&lt;=60,"High",TRUE,"Very High")</f>
        <v>High</v>
      </c>
    </row>
    <row r="17" spans="1:8" ht="17" x14ac:dyDescent="0.2">
      <c r="A17">
        <v>16</v>
      </c>
      <c r="B17" cm="1">
        <f t="array" ref="B17:G17">_xlfn.XLOOKUP($A17,Instagram_Usage_Lifestyle_Mini_!$A:$A,Instagram_Usage_Lifestyle_Mini_!$W:$AB,"Not Found")</f>
        <v>38.799999999999997</v>
      </c>
      <c r="C17">
        <v>3</v>
      </c>
      <c r="D17">
        <v>2</v>
      </c>
      <c r="E17">
        <v>9</v>
      </c>
      <c r="F17">
        <v>2.7</v>
      </c>
      <c r="G17">
        <v>3</v>
      </c>
      <c r="H17" s="13" t="str" cm="1">
        <f t="array" ref="H17">_xlfn.IFS(B17&lt;20,"Low",B17&lt;=40,"Moderate",B17&lt;=60,"High",TRUE,"Very High")</f>
        <v>Moderate</v>
      </c>
    </row>
    <row r="18" spans="1:8" ht="17" x14ac:dyDescent="0.2">
      <c r="A18">
        <v>17</v>
      </c>
      <c r="B18" cm="1">
        <f t="array" ref="B18:G18">_xlfn.XLOOKUP($A18,Instagram_Usage_Lifestyle_Mini_!$A:$A,Instagram_Usage_Lifestyle_Mini_!$W:$AB,"Not Found")</f>
        <v>31.5</v>
      </c>
      <c r="C18">
        <v>5</v>
      </c>
      <c r="D18">
        <v>7</v>
      </c>
      <c r="E18">
        <v>12</v>
      </c>
      <c r="F18">
        <v>1.9</v>
      </c>
      <c r="G18">
        <v>2</v>
      </c>
      <c r="H18" s="13" t="str" cm="1">
        <f t="array" ref="H18">_xlfn.IFS(B18&lt;20,"Low",B18&lt;=40,"Moderate",B18&lt;=60,"High",TRUE,"Very High")</f>
        <v>Moderate</v>
      </c>
    </row>
    <row r="19" spans="1:8" ht="17" x14ac:dyDescent="0.2">
      <c r="A19">
        <v>18</v>
      </c>
      <c r="B19" cm="1">
        <f t="array" ref="B19:G19">_xlfn.XLOOKUP($A19,Instagram_Usage_Lifestyle_Mini_!$A:$A,Instagram_Usage_Lifestyle_Mini_!$W:$AB,"Not Found")</f>
        <v>58.9</v>
      </c>
      <c r="C19">
        <v>2</v>
      </c>
      <c r="D19">
        <v>2</v>
      </c>
      <c r="E19">
        <v>7</v>
      </c>
      <c r="F19">
        <v>6.2</v>
      </c>
      <c r="G19">
        <v>1</v>
      </c>
      <c r="H19" s="13" t="str" cm="1">
        <f t="array" ref="H19">_xlfn.IFS(B19&lt;20,"Low",B19&lt;=40,"Moderate",B19&lt;=60,"High",TRUE,"Very High")</f>
        <v>High</v>
      </c>
    </row>
    <row r="20" spans="1:8" ht="17" x14ac:dyDescent="0.2">
      <c r="A20">
        <v>19</v>
      </c>
      <c r="B20" cm="1">
        <f t="array" ref="B20:G20">_xlfn.XLOOKUP($A20,Instagram_Usage_Lifestyle_Mini_!$A:$A,Instagram_Usage_Lifestyle_Mini_!$W:$AB,"Not Found")</f>
        <v>53.9</v>
      </c>
      <c r="C20">
        <v>3</v>
      </c>
      <c r="D20">
        <v>2</v>
      </c>
      <c r="E20">
        <v>11</v>
      </c>
      <c r="F20">
        <v>1.8</v>
      </c>
      <c r="G20">
        <v>5</v>
      </c>
      <c r="H20" s="13" t="str" cm="1">
        <f t="array" ref="H20">_xlfn.IFS(B20&lt;20,"Low",B20&lt;=40,"Moderate",B20&lt;=60,"High",TRUE,"Very High")</f>
        <v>High</v>
      </c>
    </row>
    <row r="21" spans="1:8" ht="17" x14ac:dyDescent="0.2">
      <c r="A21">
        <v>20</v>
      </c>
      <c r="B21" cm="1">
        <f t="array" ref="B21:G21">_xlfn.XLOOKUP($A21,Instagram_Usage_Lifestyle_Mini_!$A:$A,Instagram_Usage_Lifestyle_Mini_!$W:$AB,"Not Found")</f>
        <v>40.299999999999997</v>
      </c>
      <c r="C21">
        <v>3</v>
      </c>
      <c r="D21">
        <v>0</v>
      </c>
      <c r="E21">
        <v>9</v>
      </c>
      <c r="F21">
        <v>0.3</v>
      </c>
      <c r="G21">
        <v>1</v>
      </c>
      <c r="H21" s="13" t="str" cm="1">
        <f t="array" ref="H21">_xlfn.IFS(B21&lt;20,"Low",B21&lt;=40,"Moderate",B21&lt;=60,"High",TRUE,"Very High")</f>
        <v>High</v>
      </c>
    </row>
    <row r="22" spans="1:8" ht="17" x14ac:dyDescent="0.2">
      <c r="A22">
        <v>21</v>
      </c>
      <c r="B22" cm="1">
        <f t="array" ref="B22:G22">_xlfn.XLOOKUP($A22,Instagram_Usage_Lifestyle_Mini_!$A:$A,Instagram_Usage_Lifestyle_Mini_!$W:$AB,"Not Found")</f>
        <v>26.9</v>
      </c>
      <c r="C22">
        <v>3</v>
      </c>
      <c r="D22">
        <v>4</v>
      </c>
      <c r="E22">
        <v>5</v>
      </c>
      <c r="F22">
        <v>2.9</v>
      </c>
      <c r="G22">
        <v>3</v>
      </c>
      <c r="H22" s="13" t="str" cm="1">
        <f t="array" ref="H22">_xlfn.IFS(B22&lt;20,"Low",B22&lt;=40,"Moderate",B22&lt;=60,"High",TRUE,"Very High")</f>
        <v>Moderate</v>
      </c>
    </row>
    <row r="23" spans="1:8" ht="17" x14ac:dyDescent="0.2">
      <c r="A23">
        <v>22</v>
      </c>
      <c r="B23" cm="1">
        <f t="array" ref="B23:G23">_xlfn.XLOOKUP($A23,Instagram_Usage_Lifestyle_Mini_!$A:$A,Instagram_Usage_Lifestyle_Mini_!$W:$AB,"Not Found")</f>
        <v>20</v>
      </c>
      <c r="C23">
        <v>3</v>
      </c>
      <c r="D23">
        <v>5</v>
      </c>
      <c r="E23">
        <v>10</v>
      </c>
      <c r="F23">
        <v>1.9</v>
      </c>
      <c r="G23">
        <v>5</v>
      </c>
      <c r="H23" s="13" t="str" cm="1">
        <f t="array" ref="H23">_xlfn.IFS(B23&lt;20,"Low",B23&lt;=40,"Moderate",B23&lt;=60,"High",TRUE,"Very High")</f>
        <v>Moderate</v>
      </c>
    </row>
    <row r="24" spans="1:8" ht="17" x14ac:dyDescent="0.2">
      <c r="A24">
        <v>23</v>
      </c>
      <c r="B24" cm="1">
        <f t="array" ref="B24:G24">_xlfn.XLOOKUP($A24,Instagram_Usage_Lifestyle_Mini_!$A:$A,Instagram_Usage_Lifestyle_Mini_!$W:$AB,"Not Found")</f>
        <v>43</v>
      </c>
      <c r="C24">
        <v>6</v>
      </c>
      <c r="D24">
        <v>3</v>
      </c>
      <c r="E24">
        <v>5</v>
      </c>
      <c r="F24">
        <v>1.2</v>
      </c>
      <c r="G24">
        <v>2</v>
      </c>
      <c r="H24" s="13" t="str" cm="1">
        <f t="array" ref="H24">_xlfn.IFS(B24&lt;20,"Low",B24&lt;=40,"Moderate",B24&lt;=60,"High",TRUE,"Very High")</f>
        <v>High</v>
      </c>
    </row>
    <row r="25" spans="1:8" ht="17" x14ac:dyDescent="0.2">
      <c r="A25">
        <v>24</v>
      </c>
      <c r="B25" cm="1">
        <f t="array" ref="B25:G25">_xlfn.XLOOKUP($A25,Instagram_Usage_Lifestyle_Mini_!$A:$A,Instagram_Usage_Lifestyle_Mini_!$W:$AB,"Not Found")</f>
        <v>37.5</v>
      </c>
      <c r="C25">
        <v>4</v>
      </c>
      <c r="D25">
        <v>5</v>
      </c>
      <c r="E25">
        <v>9</v>
      </c>
      <c r="F25">
        <v>1.6</v>
      </c>
      <c r="G25">
        <v>4</v>
      </c>
      <c r="H25" s="13" t="str" cm="1">
        <f t="array" ref="H25">_xlfn.IFS(B25&lt;20,"Low",B25&lt;=40,"Moderate",B25&lt;=60,"High",TRUE,"Very High")</f>
        <v>Moderate</v>
      </c>
    </row>
    <row r="26" spans="1:8" ht="17" x14ac:dyDescent="0.2">
      <c r="A26">
        <v>25</v>
      </c>
      <c r="B26" cm="1">
        <f t="array" ref="B26:G26">_xlfn.XLOOKUP($A26,Instagram_Usage_Lifestyle_Mini_!$A:$A,Instagram_Usage_Lifestyle_Mini_!$W:$AB,"Not Found")</f>
        <v>45.2</v>
      </c>
      <c r="C26">
        <v>2</v>
      </c>
      <c r="D26">
        <v>0</v>
      </c>
      <c r="E26">
        <v>12</v>
      </c>
      <c r="F26">
        <v>2.6</v>
      </c>
      <c r="G26">
        <v>0</v>
      </c>
      <c r="H26" s="13" t="str" cm="1">
        <f t="array" ref="H26">_xlfn.IFS(B26&lt;20,"Low",B26&lt;=40,"Moderate",B26&lt;=60,"High",TRUE,"Very High")</f>
        <v>High</v>
      </c>
    </row>
    <row r="27" spans="1:8" ht="17" x14ac:dyDescent="0.2">
      <c r="A27">
        <v>26</v>
      </c>
      <c r="B27" cm="1">
        <f t="array" ref="B27:G27">_xlfn.XLOOKUP($A27,Instagram_Usage_Lifestyle_Mini_!$A:$A,Instagram_Usage_Lifestyle_Mini_!$W:$AB,"Not Found")</f>
        <v>39</v>
      </c>
      <c r="C27">
        <v>3</v>
      </c>
      <c r="D27">
        <v>2</v>
      </c>
      <c r="E27">
        <v>14</v>
      </c>
      <c r="F27">
        <v>2.9</v>
      </c>
      <c r="G27">
        <v>0</v>
      </c>
      <c r="H27" s="13" t="str" cm="1">
        <f t="array" ref="H27">_xlfn.IFS(B27&lt;20,"Low",B27&lt;=40,"Moderate",B27&lt;=60,"High",TRUE,"Very High")</f>
        <v>Moderate</v>
      </c>
    </row>
    <row r="28" spans="1:8" ht="17" x14ac:dyDescent="0.2">
      <c r="A28">
        <v>27</v>
      </c>
      <c r="B28" cm="1">
        <f t="array" ref="B28:G28">_xlfn.XLOOKUP($A28,Instagram_Usage_Lifestyle_Mini_!$A:$A,Instagram_Usage_Lifestyle_Mini_!$W:$AB,"Not Found")</f>
        <v>39.4</v>
      </c>
      <c r="C28">
        <v>2</v>
      </c>
      <c r="D28">
        <v>6</v>
      </c>
      <c r="E28">
        <v>8</v>
      </c>
      <c r="F28">
        <v>1.1000000000000001</v>
      </c>
      <c r="G28">
        <v>5</v>
      </c>
      <c r="H28" s="13" t="str" cm="1">
        <f t="array" ref="H28">_xlfn.IFS(B28&lt;20,"Low",B28&lt;=40,"Moderate",B28&lt;=60,"High",TRUE,"Very High")</f>
        <v>Moderate</v>
      </c>
    </row>
    <row r="29" spans="1:8" ht="17" x14ac:dyDescent="0.2">
      <c r="A29">
        <v>28</v>
      </c>
      <c r="B29" cm="1">
        <f t="array" ref="B29:G29">_xlfn.XLOOKUP($A29,Instagram_Usage_Lifestyle_Mini_!$A:$A,Instagram_Usage_Lifestyle_Mini_!$W:$AB,"Not Found")</f>
        <v>41.5</v>
      </c>
      <c r="C29">
        <v>4</v>
      </c>
      <c r="D29">
        <v>4</v>
      </c>
      <c r="E29">
        <v>13</v>
      </c>
      <c r="F29">
        <v>4.8</v>
      </c>
      <c r="G29">
        <v>3</v>
      </c>
      <c r="H29" s="13" t="str" cm="1">
        <f t="array" ref="H29">_xlfn.IFS(B29&lt;20,"Low",B29&lt;=40,"Moderate",B29&lt;=60,"High",TRUE,"Very High")</f>
        <v>High</v>
      </c>
    </row>
    <row r="30" spans="1:8" ht="17" x14ac:dyDescent="0.2">
      <c r="A30">
        <v>29</v>
      </c>
      <c r="B30" cm="1">
        <f t="array" ref="B30:G30">_xlfn.XLOOKUP($A30,Instagram_Usage_Lifestyle_Mini_!$A:$A,Instagram_Usage_Lifestyle_Mini_!$W:$AB,"Not Found")</f>
        <v>44.5</v>
      </c>
      <c r="C30">
        <v>2</v>
      </c>
      <c r="D30">
        <v>1</v>
      </c>
      <c r="E30">
        <v>12</v>
      </c>
      <c r="F30">
        <v>5.0999999999999996</v>
      </c>
      <c r="G30">
        <v>5</v>
      </c>
      <c r="H30" s="13" t="str" cm="1">
        <f t="array" ref="H30">_xlfn.IFS(B30&lt;20,"Low",B30&lt;=40,"Moderate",B30&lt;=60,"High",TRUE,"Very High")</f>
        <v>High</v>
      </c>
    </row>
    <row r="31" spans="1:8" ht="17" x14ac:dyDescent="0.2">
      <c r="A31">
        <v>30</v>
      </c>
      <c r="B31" cm="1">
        <f t="array" ref="B31:G31">_xlfn.XLOOKUP($A31,Instagram_Usage_Lifestyle_Mini_!$A:$A,Instagram_Usage_Lifestyle_Mini_!$W:$AB,"Not Found")</f>
        <v>35.700000000000003</v>
      </c>
      <c r="C31">
        <v>6</v>
      </c>
      <c r="D31">
        <v>6</v>
      </c>
      <c r="E31">
        <v>14</v>
      </c>
      <c r="F31">
        <v>0.1</v>
      </c>
      <c r="G31">
        <v>1</v>
      </c>
      <c r="H31" s="13" t="str" cm="1">
        <f t="array" ref="H31">_xlfn.IFS(B31&lt;20,"Low",B31&lt;=40,"Moderate",B31&lt;=60,"High",TRUE,"Very High")</f>
        <v>Moderate</v>
      </c>
    </row>
    <row r="32" spans="1:8" ht="17" x14ac:dyDescent="0.2">
      <c r="A32">
        <v>31</v>
      </c>
      <c r="B32" cm="1">
        <f t="array" ref="B32:G32">_xlfn.XLOOKUP($A32,Instagram_Usage_Lifestyle_Mini_!$A:$A,Instagram_Usage_Lifestyle_Mini_!$W:$AB,"Not Found")</f>
        <v>23</v>
      </c>
      <c r="C32">
        <v>2</v>
      </c>
      <c r="D32">
        <v>2</v>
      </c>
      <c r="E32">
        <v>6</v>
      </c>
      <c r="F32">
        <v>3.7</v>
      </c>
      <c r="G32">
        <v>4</v>
      </c>
      <c r="H32" s="13" t="str" cm="1">
        <f t="array" ref="H32">_xlfn.IFS(B32&lt;20,"Low",B32&lt;=40,"Moderate",B32&lt;=60,"High",TRUE,"Very High")</f>
        <v>Moderate</v>
      </c>
    </row>
    <row r="33" spans="1:8" ht="17" x14ac:dyDescent="0.2">
      <c r="A33">
        <v>32</v>
      </c>
      <c r="B33" cm="1">
        <f t="array" ref="B33:G33">_xlfn.XLOOKUP($A33,Instagram_Usage_Lifestyle_Mini_!$A:$A,Instagram_Usage_Lifestyle_Mini_!$W:$AB,"Not Found")</f>
        <v>32.1</v>
      </c>
      <c r="C33">
        <v>3</v>
      </c>
      <c r="D33">
        <v>3</v>
      </c>
      <c r="E33">
        <v>6</v>
      </c>
      <c r="F33">
        <v>3.1</v>
      </c>
      <c r="G33">
        <v>4</v>
      </c>
      <c r="H33" s="13" t="str" cm="1">
        <f t="array" ref="H33">_xlfn.IFS(B33&lt;20,"Low",B33&lt;=40,"Moderate",B33&lt;=60,"High",TRUE,"Very High")</f>
        <v>Moderate</v>
      </c>
    </row>
    <row r="34" spans="1:8" ht="17" x14ac:dyDescent="0.2">
      <c r="A34">
        <v>33</v>
      </c>
      <c r="B34" cm="1">
        <f t="array" ref="B34:G34">_xlfn.XLOOKUP($A34,Instagram_Usage_Lifestyle_Mini_!$A:$A,Instagram_Usage_Lifestyle_Mini_!$W:$AB,"Not Found")</f>
        <v>58.3</v>
      </c>
      <c r="C34">
        <v>1</v>
      </c>
      <c r="D34">
        <v>5</v>
      </c>
      <c r="E34">
        <v>12</v>
      </c>
      <c r="F34">
        <v>4.0999999999999996</v>
      </c>
      <c r="G34">
        <v>3</v>
      </c>
      <c r="H34" s="13" t="str" cm="1">
        <f t="array" ref="H34">_xlfn.IFS(B34&lt;20,"Low",B34&lt;=40,"Moderate",B34&lt;=60,"High",TRUE,"Very High")</f>
        <v>High</v>
      </c>
    </row>
    <row r="35" spans="1:8" ht="17" x14ac:dyDescent="0.2">
      <c r="A35">
        <v>34</v>
      </c>
      <c r="B35" cm="1">
        <f t="array" ref="B35:G35">_xlfn.XLOOKUP($A35,Instagram_Usage_Lifestyle_Mini_!$A:$A,Instagram_Usage_Lifestyle_Mini_!$W:$AB,"Not Found")</f>
        <v>31.6</v>
      </c>
      <c r="C35">
        <v>5</v>
      </c>
      <c r="D35">
        <v>6</v>
      </c>
      <c r="E35">
        <v>14</v>
      </c>
      <c r="F35">
        <v>0.8</v>
      </c>
      <c r="G35">
        <v>3</v>
      </c>
      <c r="H35" s="13" t="str" cm="1">
        <f t="array" ref="H35">_xlfn.IFS(B35&lt;20,"Low",B35&lt;=40,"Moderate",B35&lt;=60,"High",TRUE,"Very High")</f>
        <v>Moderate</v>
      </c>
    </row>
    <row r="36" spans="1:8" ht="17" x14ac:dyDescent="0.2">
      <c r="A36">
        <v>35</v>
      </c>
      <c r="B36" cm="1">
        <f t="array" ref="B36:G36">_xlfn.XLOOKUP($A36,Instagram_Usage_Lifestyle_Mini_!$A:$A,Instagram_Usage_Lifestyle_Mini_!$W:$AB,"Not Found")</f>
        <v>44.9</v>
      </c>
      <c r="C36">
        <v>4</v>
      </c>
      <c r="D36">
        <v>4</v>
      </c>
      <c r="E36">
        <v>11</v>
      </c>
      <c r="F36">
        <v>2.2999999999999998</v>
      </c>
      <c r="G36">
        <v>1</v>
      </c>
      <c r="H36" s="13" t="str" cm="1">
        <f t="array" ref="H36">_xlfn.IFS(B36&lt;20,"Low",B36&lt;=40,"Moderate",B36&lt;=60,"High",TRUE,"Very High")</f>
        <v>High</v>
      </c>
    </row>
    <row r="37" spans="1:8" ht="17" x14ac:dyDescent="0.2">
      <c r="A37">
        <v>36</v>
      </c>
      <c r="B37" cm="1">
        <f t="array" ref="B37:G37">_xlfn.XLOOKUP($A37,Instagram_Usage_Lifestyle_Mini_!$A:$A,Instagram_Usage_Lifestyle_Mini_!$W:$AB,"Not Found")</f>
        <v>44.8</v>
      </c>
      <c r="C37">
        <v>4</v>
      </c>
      <c r="D37">
        <v>5</v>
      </c>
      <c r="E37">
        <v>10</v>
      </c>
      <c r="F37">
        <v>1.5</v>
      </c>
      <c r="G37">
        <v>2</v>
      </c>
      <c r="H37" s="13" t="str" cm="1">
        <f t="array" ref="H37">_xlfn.IFS(B37&lt;20,"Low",B37&lt;=40,"Moderate",B37&lt;=60,"High",TRUE,"Very High")</f>
        <v>High</v>
      </c>
    </row>
    <row r="38" spans="1:8" ht="17" x14ac:dyDescent="0.2">
      <c r="A38">
        <v>37</v>
      </c>
      <c r="B38" cm="1">
        <f t="array" ref="B38:G38">_xlfn.XLOOKUP($A38,Instagram_Usage_Lifestyle_Mini_!$A:$A,Instagram_Usage_Lifestyle_Mini_!$W:$AB,"Not Found")</f>
        <v>55.1</v>
      </c>
      <c r="C38">
        <v>3</v>
      </c>
      <c r="D38">
        <v>6</v>
      </c>
      <c r="E38">
        <v>5</v>
      </c>
      <c r="F38">
        <v>13</v>
      </c>
      <c r="G38">
        <v>3</v>
      </c>
      <c r="H38" s="13" t="str" cm="1">
        <f t="array" ref="H38">_xlfn.IFS(B38&lt;20,"Low",B38&lt;=40,"Moderate",B38&lt;=60,"High",TRUE,"Very High")</f>
        <v>High</v>
      </c>
    </row>
    <row r="39" spans="1:8" ht="17" x14ac:dyDescent="0.2">
      <c r="A39">
        <v>38</v>
      </c>
      <c r="B39" cm="1">
        <f t="array" ref="B39:G39">_xlfn.XLOOKUP($A39,Instagram_Usage_Lifestyle_Mini_!$A:$A,Instagram_Usage_Lifestyle_Mini_!$W:$AB,"Not Found")</f>
        <v>35.4</v>
      </c>
      <c r="C39">
        <v>3</v>
      </c>
      <c r="D39">
        <v>1</v>
      </c>
      <c r="E39">
        <v>10</v>
      </c>
      <c r="F39">
        <v>8</v>
      </c>
      <c r="G39">
        <v>3</v>
      </c>
      <c r="H39" s="13" t="str" cm="1">
        <f t="array" ref="H39">_xlfn.IFS(B39&lt;20,"Low",B39&lt;=40,"Moderate",B39&lt;=60,"High",TRUE,"Very High")</f>
        <v>Moderate</v>
      </c>
    </row>
    <row r="40" spans="1:8" ht="17" x14ac:dyDescent="0.2">
      <c r="A40">
        <v>39</v>
      </c>
      <c r="B40" cm="1">
        <f t="array" ref="B40:G40">_xlfn.XLOOKUP($A40,Instagram_Usage_Lifestyle_Mini_!$A:$A,Instagram_Usage_Lifestyle_Mini_!$W:$AB,"Not Found")</f>
        <v>32.6</v>
      </c>
      <c r="C40">
        <v>4</v>
      </c>
      <c r="D40">
        <v>2</v>
      </c>
      <c r="E40">
        <v>13</v>
      </c>
      <c r="F40">
        <v>4.4000000000000004</v>
      </c>
      <c r="G40">
        <v>4</v>
      </c>
      <c r="H40" s="13" t="str" cm="1">
        <f t="array" ref="H40">_xlfn.IFS(B40&lt;20,"Low",B40&lt;=40,"Moderate",B40&lt;=60,"High",TRUE,"Very High")</f>
        <v>Moderate</v>
      </c>
    </row>
    <row r="41" spans="1:8" ht="17" x14ac:dyDescent="0.2">
      <c r="A41">
        <v>40</v>
      </c>
      <c r="B41" cm="1">
        <f t="array" ref="B41:G41">_xlfn.XLOOKUP($A41,Instagram_Usage_Lifestyle_Mini_!$A:$A,Instagram_Usage_Lifestyle_Mini_!$W:$AB,"Not Found")</f>
        <v>48.6</v>
      </c>
      <c r="C41">
        <v>2</v>
      </c>
      <c r="D41">
        <v>1</v>
      </c>
      <c r="E41">
        <v>12</v>
      </c>
      <c r="F41">
        <v>5</v>
      </c>
      <c r="G41">
        <v>4</v>
      </c>
      <c r="H41" s="13" t="str" cm="1">
        <f t="array" ref="H41">_xlfn.IFS(B41&lt;20,"Low",B41&lt;=40,"Moderate",B41&lt;=60,"High",TRUE,"Very High")</f>
        <v>High</v>
      </c>
    </row>
    <row r="42" spans="1:8" ht="17" x14ac:dyDescent="0.2">
      <c r="A42">
        <v>41</v>
      </c>
      <c r="B42" cm="1">
        <f t="array" ref="B42:G42">_xlfn.XLOOKUP($A42,Instagram_Usage_Lifestyle_Mini_!$A:$A,Instagram_Usage_Lifestyle_Mini_!$W:$AB,"Not Found")</f>
        <v>19</v>
      </c>
      <c r="C42">
        <v>7</v>
      </c>
      <c r="D42">
        <v>1</v>
      </c>
      <c r="E42">
        <v>12</v>
      </c>
      <c r="F42">
        <v>8.5</v>
      </c>
      <c r="G42">
        <v>2</v>
      </c>
      <c r="H42" s="13" t="str" cm="1">
        <f t="array" ref="H42">_xlfn.IFS(B42&lt;20,"Low",B42&lt;=40,"Moderate",B42&lt;=60,"High",TRUE,"Very High")</f>
        <v>Low</v>
      </c>
    </row>
    <row r="43" spans="1:8" ht="17" x14ac:dyDescent="0.2">
      <c r="A43">
        <v>42</v>
      </c>
      <c r="B43" cm="1">
        <f t="array" ref="B43:G43">_xlfn.XLOOKUP($A43,Instagram_Usage_Lifestyle_Mini_!$A:$A,Instagram_Usage_Lifestyle_Mini_!$W:$AB,"Not Found")</f>
        <v>28.9</v>
      </c>
      <c r="C43">
        <v>3</v>
      </c>
      <c r="D43">
        <v>4</v>
      </c>
      <c r="E43">
        <v>12</v>
      </c>
      <c r="F43">
        <v>5.4</v>
      </c>
      <c r="G43">
        <v>0</v>
      </c>
      <c r="H43" s="13" t="str" cm="1">
        <f t="array" ref="H43">_xlfn.IFS(B43&lt;20,"Low",B43&lt;=40,"Moderate",B43&lt;=60,"High",TRUE,"Very High")</f>
        <v>Moderate</v>
      </c>
    </row>
    <row r="44" spans="1:8" ht="17" x14ac:dyDescent="0.2">
      <c r="A44">
        <v>43</v>
      </c>
      <c r="B44" cm="1">
        <f t="array" ref="B44:G44">_xlfn.XLOOKUP($A44,Instagram_Usage_Lifestyle_Mini_!$A:$A,Instagram_Usage_Lifestyle_Mini_!$W:$AB,"Not Found")</f>
        <v>33.4</v>
      </c>
      <c r="C44">
        <v>4</v>
      </c>
      <c r="D44">
        <v>2</v>
      </c>
      <c r="E44">
        <v>11</v>
      </c>
      <c r="F44">
        <v>12.5</v>
      </c>
      <c r="G44">
        <v>1</v>
      </c>
      <c r="H44" s="13" t="str" cm="1">
        <f t="array" ref="H44">_xlfn.IFS(B44&lt;20,"Low",B44&lt;=40,"Moderate",B44&lt;=60,"High",TRUE,"Very High")</f>
        <v>Moderate</v>
      </c>
    </row>
    <row r="45" spans="1:8" ht="17" x14ac:dyDescent="0.2">
      <c r="A45">
        <v>44</v>
      </c>
      <c r="B45" cm="1">
        <f t="array" ref="B45:G45">_xlfn.XLOOKUP($A45,Instagram_Usage_Lifestyle_Mini_!$A:$A,Instagram_Usage_Lifestyle_Mini_!$W:$AB,"Not Found")</f>
        <v>30.6</v>
      </c>
      <c r="C45">
        <v>3</v>
      </c>
      <c r="D45">
        <v>3</v>
      </c>
      <c r="E45">
        <v>12</v>
      </c>
      <c r="F45">
        <v>4.5999999999999996</v>
      </c>
      <c r="G45">
        <v>4</v>
      </c>
      <c r="H45" s="13" t="str" cm="1">
        <f t="array" ref="H45">_xlfn.IFS(B45&lt;20,"Low",B45&lt;=40,"Moderate",B45&lt;=60,"High",TRUE,"Very High")</f>
        <v>Moderate</v>
      </c>
    </row>
    <row r="46" spans="1:8" ht="17" x14ac:dyDescent="0.2">
      <c r="A46">
        <v>45</v>
      </c>
      <c r="B46" cm="1">
        <f t="array" ref="B46:G46">_xlfn.XLOOKUP($A46,Instagram_Usage_Lifestyle_Mini_!$A:$A,Instagram_Usage_Lifestyle_Mini_!$W:$AB,"Not Found")</f>
        <v>26</v>
      </c>
      <c r="C46">
        <v>3</v>
      </c>
      <c r="D46">
        <v>7</v>
      </c>
      <c r="E46">
        <v>8</v>
      </c>
      <c r="F46">
        <v>7.9</v>
      </c>
      <c r="G46">
        <v>4</v>
      </c>
      <c r="H46" s="13" t="str" cm="1">
        <f t="array" ref="H46">_xlfn.IFS(B46&lt;20,"Low",B46&lt;=40,"Moderate",B46&lt;=60,"High",TRUE,"Very High")</f>
        <v>Moderate</v>
      </c>
    </row>
    <row r="47" spans="1:8" ht="17" x14ac:dyDescent="0.2">
      <c r="A47">
        <v>46</v>
      </c>
      <c r="B47" cm="1">
        <f t="array" ref="B47:G47">_xlfn.XLOOKUP($A47,Instagram_Usage_Lifestyle_Mini_!$A:$A,Instagram_Usage_Lifestyle_Mini_!$W:$AB,"Not Found")</f>
        <v>48.5</v>
      </c>
      <c r="C47">
        <v>2</v>
      </c>
      <c r="D47">
        <v>7</v>
      </c>
      <c r="E47">
        <v>6</v>
      </c>
      <c r="F47">
        <v>1</v>
      </c>
      <c r="G47">
        <v>2</v>
      </c>
      <c r="H47" s="13" t="str" cm="1">
        <f t="array" ref="H47">_xlfn.IFS(B47&lt;20,"Low",B47&lt;=40,"Moderate",B47&lt;=60,"High",TRUE,"Very High")</f>
        <v>High</v>
      </c>
    </row>
    <row r="48" spans="1:8" ht="17" x14ac:dyDescent="0.2">
      <c r="A48">
        <v>47</v>
      </c>
      <c r="B48" cm="1">
        <f t="array" ref="B48:G48">_xlfn.XLOOKUP($A48,Instagram_Usage_Lifestyle_Mini_!$A:$A,Instagram_Usage_Lifestyle_Mini_!$W:$AB,"Not Found")</f>
        <v>22.6</v>
      </c>
      <c r="C48">
        <v>6</v>
      </c>
      <c r="D48">
        <v>3</v>
      </c>
      <c r="E48">
        <v>15</v>
      </c>
      <c r="F48">
        <v>5.0999999999999996</v>
      </c>
      <c r="G48">
        <v>3</v>
      </c>
      <c r="H48" s="13" t="str" cm="1">
        <f t="array" ref="H48">_xlfn.IFS(B48&lt;20,"Low",B48&lt;=40,"Moderate",B48&lt;=60,"High",TRUE,"Very High")</f>
        <v>Moderate</v>
      </c>
    </row>
    <row r="49" spans="1:8" ht="17" x14ac:dyDescent="0.2">
      <c r="A49">
        <v>48</v>
      </c>
      <c r="B49" cm="1">
        <f t="array" ref="B49:G49">_xlfn.XLOOKUP($A49,Instagram_Usage_Lifestyle_Mini_!$A:$A,Instagram_Usage_Lifestyle_Mini_!$W:$AB,"Not Found")</f>
        <v>36.6</v>
      </c>
      <c r="C49">
        <v>3</v>
      </c>
      <c r="D49">
        <v>5</v>
      </c>
      <c r="E49">
        <v>14</v>
      </c>
      <c r="F49">
        <v>4</v>
      </c>
      <c r="G49">
        <v>2</v>
      </c>
      <c r="H49" s="13" t="str" cm="1">
        <f t="array" ref="H49">_xlfn.IFS(B49&lt;20,"Low",B49&lt;=40,"Moderate",B49&lt;=60,"High",TRUE,"Very High")</f>
        <v>Moderate</v>
      </c>
    </row>
    <row r="50" spans="1:8" ht="17" x14ac:dyDescent="0.2">
      <c r="A50">
        <v>49</v>
      </c>
      <c r="B50" cm="1">
        <f t="array" ref="B50:G50">_xlfn.XLOOKUP($A50,Instagram_Usage_Lifestyle_Mini_!$A:$A,Instagram_Usage_Lifestyle_Mini_!$W:$AB,"Not Found")</f>
        <v>40.700000000000003</v>
      </c>
      <c r="C50">
        <v>5</v>
      </c>
      <c r="D50">
        <v>3</v>
      </c>
      <c r="E50">
        <v>6</v>
      </c>
      <c r="F50">
        <v>2</v>
      </c>
      <c r="G50">
        <v>2</v>
      </c>
      <c r="H50" s="13" t="str" cm="1">
        <f t="array" ref="H50">_xlfn.IFS(B50&lt;20,"Low",B50&lt;=40,"Moderate",B50&lt;=60,"High",TRUE,"Very High")</f>
        <v>High</v>
      </c>
    </row>
    <row r="51" spans="1:8" ht="17" x14ac:dyDescent="0.2">
      <c r="A51">
        <v>50</v>
      </c>
      <c r="B51" cm="1">
        <f t="array" ref="B51:G51">_xlfn.XLOOKUP($A51,Instagram_Usage_Lifestyle_Mini_!$A:$A,Instagram_Usage_Lifestyle_Mini_!$W:$AB,"Not Found")</f>
        <v>31.7</v>
      </c>
      <c r="C51">
        <v>2</v>
      </c>
      <c r="D51">
        <v>3</v>
      </c>
      <c r="E51">
        <v>10</v>
      </c>
      <c r="F51">
        <v>7.4</v>
      </c>
      <c r="G51">
        <v>4</v>
      </c>
      <c r="H51" s="13" t="str" cm="1">
        <f t="array" ref="H51">_xlfn.IFS(B51&lt;20,"Low",B51&lt;=40,"Moderate",B51&lt;=60,"High",TRUE,"Very High")</f>
        <v>Moderate</v>
      </c>
    </row>
    <row r="52" spans="1:8" ht="17" x14ac:dyDescent="0.2">
      <c r="A52">
        <v>51</v>
      </c>
      <c r="B52" cm="1">
        <f t="array" ref="B52:G52">_xlfn.XLOOKUP($A52,Instagram_Usage_Lifestyle_Mini_!$A:$A,Instagram_Usage_Lifestyle_Mini_!$W:$AB,"Not Found")</f>
        <v>30.5</v>
      </c>
      <c r="C52">
        <v>1</v>
      </c>
      <c r="D52">
        <v>3</v>
      </c>
      <c r="E52">
        <v>8</v>
      </c>
      <c r="F52">
        <v>2.5</v>
      </c>
      <c r="G52">
        <v>6</v>
      </c>
      <c r="H52" s="13" t="str" cm="1">
        <f t="array" ref="H52">_xlfn.IFS(B52&lt;20,"Low",B52&lt;=40,"Moderate",B52&lt;=60,"High",TRUE,"Very High")</f>
        <v>Moderate</v>
      </c>
    </row>
    <row r="53" spans="1:8" ht="17" x14ac:dyDescent="0.2">
      <c r="A53">
        <v>52</v>
      </c>
      <c r="B53" cm="1">
        <f t="array" ref="B53:G53">_xlfn.XLOOKUP($A53,Instagram_Usage_Lifestyle_Mini_!$A:$A,Instagram_Usage_Lifestyle_Mini_!$W:$AB,"Not Found")</f>
        <v>39.4</v>
      </c>
      <c r="C53">
        <v>2</v>
      </c>
      <c r="D53">
        <v>5</v>
      </c>
      <c r="E53">
        <v>11</v>
      </c>
      <c r="F53">
        <v>4.7</v>
      </c>
      <c r="G53">
        <v>4</v>
      </c>
      <c r="H53" s="13" t="str" cm="1">
        <f t="array" ref="H53">_xlfn.IFS(B53&lt;20,"Low",B53&lt;=40,"Moderate",B53&lt;=60,"High",TRUE,"Very High")</f>
        <v>Moderate</v>
      </c>
    </row>
    <row r="54" spans="1:8" ht="17" x14ac:dyDescent="0.2">
      <c r="A54">
        <v>53</v>
      </c>
      <c r="B54" cm="1">
        <f t="array" ref="B54:G54">_xlfn.XLOOKUP($A54,Instagram_Usage_Lifestyle_Mini_!$A:$A,Instagram_Usage_Lifestyle_Mini_!$W:$AB,"Not Found")</f>
        <v>54.5</v>
      </c>
      <c r="C54">
        <v>6</v>
      </c>
      <c r="D54">
        <v>4</v>
      </c>
      <c r="E54">
        <v>8</v>
      </c>
      <c r="F54">
        <v>2.2999999999999998</v>
      </c>
      <c r="G54">
        <v>4</v>
      </c>
      <c r="H54" s="13" t="str" cm="1">
        <f t="array" ref="H54">_xlfn.IFS(B54&lt;20,"Low",B54&lt;=40,"Moderate",B54&lt;=60,"High",TRUE,"Very High")</f>
        <v>High</v>
      </c>
    </row>
    <row r="55" spans="1:8" ht="17" x14ac:dyDescent="0.2">
      <c r="A55">
        <v>54</v>
      </c>
      <c r="B55" cm="1">
        <f t="array" ref="B55:G55">_xlfn.XLOOKUP($A55,Instagram_Usage_Lifestyle_Mini_!$A:$A,Instagram_Usage_Lifestyle_Mini_!$W:$AB,"Not Found")</f>
        <v>42.6</v>
      </c>
      <c r="C55">
        <v>3</v>
      </c>
      <c r="D55">
        <v>0</v>
      </c>
      <c r="E55">
        <v>8</v>
      </c>
      <c r="F55">
        <v>6.9</v>
      </c>
      <c r="G55">
        <v>2</v>
      </c>
      <c r="H55" s="13" t="str" cm="1">
        <f t="array" ref="H55">_xlfn.IFS(B55&lt;20,"Low",B55&lt;=40,"Moderate",B55&lt;=60,"High",TRUE,"Very High")</f>
        <v>High</v>
      </c>
    </row>
    <row r="56" spans="1:8" ht="17" x14ac:dyDescent="0.2">
      <c r="A56">
        <v>55</v>
      </c>
      <c r="B56" cm="1">
        <f t="array" ref="B56:G56">_xlfn.XLOOKUP($A56,Instagram_Usage_Lifestyle_Mini_!$A:$A,Instagram_Usage_Lifestyle_Mini_!$W:$AB,"Not Found")</f>
        <v>36.799999999999997</v>
      </c>
      <c r="C56">
        <v>2</v>
      </c>
      <c r="D56">
        <v>0</v>
      </c>
      <c r="E56">
        <v>15</v>
      </c>
      <c r="F56">
        <v>2.1</v>
      </c>
      <c r="G56">
        <v>3</v>
      </c>
      <c r="H56" s="13" t="str" cm="1">
        <f t="array" ref="H56">_xlfn.IFS(B56&lt;20,"Low",B56&lt;=40,"Moderate",B56&lt;=60,"High",TRUE,"Very High")</f>
        <v>Moderate</v>
      </c>
    </row>
    <row r="57" spans="1:8" ht="17" x14ac:dyDescent="0.2">
      <c r="A57">
        <v>56</v>
      </c>
      <c r="B57" cm="1">
        <f t="array" ref="B57:G57">_xlfn.XLOOKUP($A57,Instagram_Usage_Lifestyle_Mini_!$A:$A,Instagram_Usage_Lifestyle_Mini_!$W:$AB,"Not Found")</f>
        <v>37.700000000000003</v>
      </c>
      <c r="C57">
        <v>4</v>
      </c>
      <c r="D57">
        <v>2</v>
      </c>
      <c r="E57">
        <v>7</v>
      </c>
      <c r="F57">
        <v>3.5</v>
      </c>
      <c r="G57">
        <v>5</v>
      </c>
      <c r="H57" s="13" t="str" cm="1">
        <f t="array" ref="H57">_xlfn.IFS(B57&lt;20,"Low",B57&lt;=40,"Moderate",B57&lt;=60,"High",TRUE,"Very High")</f>
        <v>Moderate</v>
      </c>
    </row>
    <row r="58" spans="1:8" ht="17" x14ac:dyDescent="0.2">
      <c r="A58">
        <v>57</v>
      </c>
      <c r="B58" cm="1">
        <f t="array" ref="B58:G58">_xlfn.XLOOKUP($A58,Instagram_Usage_Lifestyle_Mini_!$A:$A,Instagram_Usage_Lifestyle_Mini_!$W:$AB,"Not Found")</f>
        <v>40.1</v>
      </c>
      <c r="C58">
        <v>1</v>
      </c>
      <c r="D58">
        <v>5</v>
      </c>
      <c r="E58">
        <v>13</v>
      </c>
      <c r="F58">
        <v>6.1</v>
      </c>
      <c r="G58">
        <v>4</v>
      </c>
      <c r="H58" s="13" t="str" cm="1">
        <f t="array" ref="H58">_xlfn.IFS(B58&lt;20,"Low",B58&lt;=40,"Moderate",B58&lt;=60,"High",TRUE,"Very High")</f>
        <v>High</v>
      </c>
    </row>
    <row r="59" spans="1:8" ht="17" x14ac:dyDescent="0.2">
      <c r="A59">
        <v>58</v>
      </c>
      <c r="B59" cm="1">
        <f t="array" ref="B59:G59">_xlfn.XLOOKUP($A59,Instagram_Usage_Lifestyle_Mini_!$A:$A,Instagram_Usage_Lifestyle_Mini_!$W:$AB,"Not Found")</f>
        <v>36</v>
      </c>
      <c r="C59">
        <v>1</v>
      </c>
      <c r="D59">
        <v>2</v>
      </c>
      <c r="E59">
        <v>8</v>
      </c>
      <c r="F59">
        <v>6.3</v>
      </c>
      <c r="G59">
        <v>4</v>
      </c>
      <c r="H59" s="13" t="str" cm="1">
        <f t="array" ref="H59">_xlfn.IFS(B59&lt;20,"Low",B59&lt;=40,"Moderate",B59&lt;=60,"High",TRUE,"Very High")</f>
        <v>Moderate</v>
      </c>
    </row>
    <row r="60" spans="1:8" ht="17" x14ac:dyDescent="0.2">
      <c r="A60">
        <v>59</v>
      </c>
      <c r="B60" cm="1">
        <f t="array" ref="B60:G60">_xlfn.XLOOKUP($A60,Instagram_Usage_Lifestyle_Mini_!$A:$A,Instagram_Usage_Lifestyle_Mini_!$W:$AB,"Not Found")</f>
        <v>52.6</v>
      </c>
      <c r="C60">
        <v>3</v>
      </c>
      <c r="D60">
        <v>5</v>
      </c>
      <c r="E60">
        <v>10</v>
      </c>
      <c r="F60">
        <v>9.9</v>
      </c>
      <c r="G60">
        <v>0</v>
      </c>
      <c r="H60" s="13" t="str" cm="1">
        <f t="array" ref="H60">_xlfn.IFS(B60&lt;20,"Low",B60&lt;=40,"Moderate",B60&lt;=60,"High",TRUE,"Very High")</f>
        <v>High</v>
      </c>
    </row>
    <row r="61" spans="1:8" ht="17" x14ac:dyDescent="0.2">
      <c r="A61">
        <v>60</v>
      </c>
      <c r="B61" cm="1">
        <f t="array" ref="B61:G61">_xlfn.XLOOKUP($A61,Instagram_Usage_Lifestyle_Mini_!$A:$A,Instagram_Usage_Lifestyle_Mini_!$W:$AB,"Not Found")</f>
        <v>44.9</v>
      </c>
      <c r="C61">
        <v>1</v>
      </c>
      <c r="D61">
        <v>9</v>
      </c>
      <c r="E61">
        <v>7</v>
      </c>
      <c r="F61">
        <v>1.6</v>
      </c>
      <c r="G61">
        <v>4</v>
      </c>
      <c r="H61" s="13" t="str" cm="1">
        <f t="array" ref="H61">_xlfn.IFS(B61&lt;20,"Low",B61&lt;=40,"Moderate",B61&lt;=60,"High",TRUE,"Very High")</f>
        <v>High</v>
      </c>
    </row>
    <row r="62" spans="1:8" ht="17" x14ac:dyDescent="0.2">
      <c r="A62">
        <v>61</v>
      </c>
      <c r="B62" cm="1">
        <f t="array" ref="B62:G62">_xlfn.XLOOKUP($A62,Instagram_Usage_Lifestyle_Mini_!$A:$A,Instagram_Usage_Lifestyle_Mini_!$W:$AB,"Not Found")</f>
        <v>42.5</v>
      </c>
      <c r="C62">
        <v>1</v>
      </c>
      <c r="D62">
        <v>3</v>
      </c>
      <c r="E62">
        <v>13</v>
      </c>
      <c r="F62">
        <v>3.7</v>
      </c>
      <c r="G62">
        <v>3</v>
      </c>
      <c r="H62" s="13" t="str" cm="1">
        <f t="array" ref="H62">_xlfn.IFS(B62&lt;20,"Low",B62&lt;=40,"Moderate",B62&lt;=60,"High",TRUE,"Very High")</f>
        <v>High</v>
      </c>
    </row>
    <row r="63" spans="1:8" ht="17" x14ac:dyDescent="0.2">
      <c r="A63">
        <v>62</v>
      </c>
      <c r="B63" cm="1">
        <f t="array" ref="B63:G63">_xlfn.XLOOKUP($A63,Instagram_Usage_Lifestyle_Mini_!$A:$A,Instagram_Usage_Lifestyle_Mini_!$W:$AB,"Not Found")</f>
        <v>54.9</v>
      </c>
      <c r="C63">
        <v>4</v>
      </c>
      <c r="D63">
        <v>6</v>
      </c>
      <c r="E63">
        <v>10</v>
      </c>
      <c r="F63">
        <v>5.0999999999999996</v>
      </c>
      <c r="G63">
        <v>2</v>
      </c>
      <c r="H63" s="13" t="str" cm="1">
        <f t="array" ref="H63">_xlfn.IFS(B63&lt;20,"Low",B63&lt;=40,"Moderate",B63&lt;=60,"High",TRUE,"Very High")</f>
        <v>High</v>
      </c>
    </row>
    <row r="64" spans="1:8" ht="17" x14ac:dyDescent="0.2">
      <c r="A64">
        <v>63</v>
      </c>
      <c r="B64" cm="1">
        <f t="array" ref="B64:G64">_xlfn.XLOOKUP($A64,Instagram_Usage_Lifestyle_Mini_!$A:$A,Instagram_Usage_Lifestyle_Mini_!$W:$AB,"Not Found")</f>
        <v>29.4</v>
      </c>
      <c r="C64">
        <v>5</v>
      </c>
      <c r="D64">
        <v>4</v>
      </c>
      <c r="E64">
        <v>10</v>
      </c>
      <c r="F64">
        <v>7.7</v>
      </c>
      <c r="G64">
        <v>6</v>
      </c>
      <c r="H64" s="13" t="str" cm="1">
        <f t="array" ref="H64">_xlfn.IFS(B64&lt;20,"Low",B64&lt;=40,"Moderate",B64&lt;=60,"High",TRUE,"Very High")</f>
        <v>Moderate</v>
      </c>
    </row>
    <row r="65" spans="1:8" ht="17" x14ac:dyDescent="0.2">
      <c r="A65">
        <v>64</v>
      </c>
      <c r="B65" cm="1">
        <f t="array" ref="B65:G65">_xlfn.XLOOKUP($A65,Instagram_Usage_Lifestyle_Mini_!$A:$A,Instagram_Usage_Lifestyle_Mini_!$W:$AB,"Not Found")</f>
        <v>44.9</v>
      </c>
      <c r="C65">
        <v>4</v>
      </c>
      <c r="D65">
        <v>3</v>
      </c>
      <c r="E65">
        <v>7</v>
      </c>
      <c r="F65">
        <v>6.2</v>
      </c>
      <c r="G65">
        <v>4</v>
      </c>
      <c r="H65" s="13" t="str" cm="1">
        <f t="array" ref="H65">_xlfn.IFS(B65&lt;20,"Low",B65&lt;=40,"Moderate",B65&lt;=60,"High",TRUE,"Very High")</f>
        <v>High</v>
      </c>
    </row>
    <row r="66" spans="1:8" ht="17" x14ac:dyDescent="0.2">
      <c r="A66">
        <v>65</v>
      </c>
      <c r="B66" cm="1">
        <f t="array" ref="B66:G66">_xlfn.XLOOKUP($A66,Instagram_Usage_Lifestyle_Mini_!$A:$A,Instagram_Usage_Lifestyle_Mini_!$W:$AB,"Not Found")</f>
        <v>42.9</v>
      </c>
      <c r="C66">
        <v>2</v>
      </c>
      <c r="D66">
        <v>5</v>
      </c>
      <c r="E66">
        <v>14</v>
      </c>
      <c r="F66">
        <v>1.8</v>
      </c>
      <c r="G66">
        <v>2</v>
      </c>
      <c r="H66" s="13" t="str" cm="1">
        <f t="array" ref="H66">_xlfn.IFS(B66&lt;20,"Low",B66&lt;=40,"Moderate",B66&lt;=60,"High",TRUE,"Very High")</f>
        <v>High</v>
      </c>
    </row>
    <row r="67" spans="1:8" ht="17" x14ac:dyDescent="0.2">
      <c r="A67">
        <v>66</v>
      </c>
      <c r="B67" cm="1">
        <f t="array" ref="B67:G67">_xlfn.XLOOKUP($A67,Instagram_Usage_Lifestyle_Mini_!$A:$A,Instagram_Usage_Lifestyle_Mini_!$W:$AB,"Not Found")</f>
        <v>41.1</v>
      </c>
      <c r="C67">
        <v>1</v>
      </c>
      <c r="D67">
        <v>2</v>
      </c>
      <c r="E67">
        <v>5</v>
      </c>
      <c r="F67">
        <v>1.5</v>
      </c>
      <c r="G67">
        <v>2</v>
      </c>
      <c r="H67" s="13" t="str" cm="1">
        <f t="array" ref="H67">_xlfn.IFS(B67&lt;20,"Low",B67&lt;=40,"Moderate",B67&lt;=60,"High",TRUE,"Very High")</f>
        <v>High</v>
      </c>
    </row>
    <row r="68" spans="1:8" ht="17" x14ac:dyDescent="0.2">
      <c r="A68">
        <v>67</v>
      </c>
      <c r="B68" cm="1">
        <f t="array" ref="B68:G68">_xlfn.XLOOKUP($A68,Instagram_Usage_Lifestyle_Mini_!$A:$A,Instagram_Usage_Lifestyle_Mini_!$W:$AB,"Not Found")</f>
        <v>54.2</v>
      </c>
      <c r="C68">
        <v>3</v>
      </c>
      <c r="D68">
        <v>3</v>
      </c>
      <c r="E68">
        <v>6</v>
      </c>
      <c r="F68">
        <v>3.2</v>
      </c>
      <c r="G68">
        <v>2</v>
      </c>
      <c r="H68" s="13" t="str" cm="1">
        <f t="array" ref="H68">_xlfn.IFS(B68&lt;20,"Low",B68&lt;=40,"Moderate",B68&lt;=60,"High",TRUE,"Very High")</f>
        <v>High</v>
      </c>
    </row>
    <row r="69" spans="1:8" ht="17" x14ac:dyDescent="0.2">
      <c r="A69">
        <v>68</v>
      </c>
      <c r="B69" cm="1">
        <f t="array" ref="B69:G69">_xlfn.XLOOKUP($A69,Instagram_Usage_Lifestyle_Mini_!$A:$A,Instagram_Usage_Lifestyle_Mini_!$W:$AB,"Not Found")</f>
        <v>22.4</v>
      </c>
      <c r="C69">
        <v>1</v>
      </c>
      <c r="D69">
        <v>2</v>
      </c>
      <c r="E69">
        <v>10</v>
      </c>
      <c r="F69">
        <v>3.7</v>
      </c>
      <c r="G69">
        <v>3</v>
      </c>
      <c r="H69" s="13" t="str" cm="1">
        <f t="array" ref="H69">_xlfn.IFS(B69&lt;20,"Low",B69&lt;=40,"Moderate",B69&lt;=60,"High",TRUE,"Very High")</f>
        <v>Moderate</v>
      </c>
    </row>
    <row r="70" spans="1:8" ht="17" x14ac:dyDescent="0.2">
      <c r="A70">
        <v>69</v>
      </c>
      <c r="B70" cm="1">
        <f t="array" ref="B70:G70">_xlfn.XLOOKUP($A70,Instagram_Usage_Lifestyle_Mini_!$A:$A,Instagram_Usage_Lifestyle_Mini_!$W:$AB,"Not Found")</f>
        <v>48.3</v>
      </c>
      <c r="C70">
        <v>5</v>
      </c>
      <c r="D70">
        <v>6</v>
      </c>
      <c r="E70">
        <v>12</v>
      </c>
      <c r="F70">
        <v>1.3</v>
      </c>
      <c r="G70">
        <v>2</v>
      </c>
      <c r="H70" s="13" t="str" cm="1">
        <f t="array" ref="H70">_xlfn.IFS(B70&lt;20,"Low",B70&lt;=40,"Moderate",B70&lt;=60,"High",TRUE,"Very High")</f>
        <v>High</v>
      </c>
    </row>
    <row r="71" spans="1:8" ht="17" x14ac:dyDescent="0.2">
      <c r="A71">
        <v>70</v>
      </c>
      <c r="B71" cm="1">
        <f t="array" ref="B71:G71">_xlfn.XLOOKUP($A71,Instagram_Usage_Lifestyle_Mini_!$A:$A,Instagram_Usage_Lifestyle_Mini_!$W:$AB,"Not Found")</f>
        <v>30.3</v>
      </c>
      <c r="C71">
        <v>5</v>
      </c>
      <c r="D71">
        <v>2</v>
      </c>
      <c r="E71">
        <v>12</v>
      </c>
      <c r="F71">
        <v>0.9</v>
      </c>
      <c r="G71">
        <v>6</v>
      </c>
      <c r="H71" s="13" t="str" cm="1">
        <f t="array" ref="H71">_xlfn.IFS(B71&lt;20,"Low",B71&lt;=40,"Moderate",B71&lt;=60,"High",TRUE,"Very High")</f>
        <v>Moderate</v>
      </c>
    </row>
    <row r="72" spans="1:8" ht="17" x14ac:dyDescent="0.2">
      <c r="A72">
        <v>71</v>
      </c>
      <c r="B72" cm="1">
        <f t="array" ref="B72:G72">_xlfn.XLOOKUP($A72,Instagram_Usage_Lifestyle_Mini_!$A:$A,Instagram_Usage_Lifestyle_Mini_!$W:$AB,"Not Found")</f>
        <v>51.4</v>
      </c>
      <c r="C72">
        <v>1</v>
      </c>
      <c r="D72">
        <v>8</v>
      </c>
      <c r="E72">
        <v>13</v>
      </c>
      <c r="F72">
        <v>7.7</v>
      </c>
      <c r="G72">
        <v>4</v>
      </c>
      <c r="H72" s="13" t="str" cm="1">
        <f t="array" ref="H72">_xlfn.IFS(B72&lt;20,"Low",B72&lt;=40,"Moderate",B72&lt;=60,"High",TRUE,"Very High")</f>
        <v>High</v>
      </c>
    </row>
    <row r="73" spans="1:8" ht="17" x14ac:dyDescent="0.2">
      <c r="A73">
        <v>72</v>
      </c>
      <c r="B73" cm="1">
        <f t="array" ref="B73:G73">_xlfn.XLOOKUP($A73,Instagram_Usage_Lifestyle_Mini_!$A:$A,Instagram_Usage_Lifestyle_Mini_!$W:$AB,"Not Found")</f>
        <v>46.9</v>
      </c>
      <c r="C73">
        <v>3</v>
      </c>
      <c r="D73">
        <v>3</v>
      </c>
      <c r="E73">
        <v>7</v>
      </c>
      <c r="F73">
        <v>3.1</v>
      </c>
      <c r="G73">
        <v>1</v>
      </c>
      <c r="H73" s="13" t="str" cm="1">
        <f t="array" ref="H73">_xlfn.IFS(B73&lt;20,"Low",B73&lt;=40,"Moderate",B73&lt;=60,"High",TRUE,"Very High")</f>
        <v>High</v>
      </c>
    </row>
    <row r="74" spans="1:8" ht="17" x14ac:dyDescent="0.2">
      <c r="A74">
        <v>73</v>
      </c>
      <c r="B74" cm="1">
        <f t="array" ref="B74:G74">_xlfn.XLOOKUP($A74,Instagram_Usage_Lifestyle_Mini_!$A:$A,Instagram_Usage_Lifestyle_Mini_!$W:$AB,"Not Found")</f>
        <v>41.9</v>
      </c>
      <c r="C74">
        <v>3</v>
      </c>
      <c r="D74">
        <v>6</v>
      </c>
      <c r="E74">
        <v>10</v>
      </c>
      <c r="F74">
        <v>5.0999999999999996</v>
      </c>
      <c r="G74">
        <v>3</v>
      </c>
      <c r="H74" s="13" t="str" cm="1">
        <f t="array" ref="H74">_xlfn.IFS(B74&lt;20,"Low",B74&lt;=40,"Moderate",B74&lt;=60,"High",TRUE,"Very High")</f>
        <v>High</v>
      </c>
    </row>
    <row r="75" spans="1:8" ht="17" x14ac:dyDescent="0.2">
      <c r="A75">
        <v>74</v>
      </c>
      <c r="B75" cm="1">
        <f t="array" ref="B75:G75">_xlfn.XLOOKUP($A75,Instagram_Usage_Lifestyle_Mini_!$A:$A,Instagram_Usage_Lifestyle_Mini_!$W:$AB,"Not Found")</f>
        <v>36.9</v>
      </c>
      <c r="C75">
        <v>2</v>
      </c>
      <c r="D75">
        <v>0</v>
      </c>
      <c r="E75">
        <v>9</v>
      </c>
      <c r="F75">
        <v>5.0999999999999996</v>
      </c>
      <c r="G75">
        <v>2</v>
      </c>
      <c r="H75" s="13" t="str" cm="1">
        <f t="array" ref="H75">_xlfn.IFS(B75&lt;20,"Low",B75&lt;=40,"Moderate",B75&lt;=60,"High",TRUE,"Very High")</f>
        <v>Moderate</v>
      </c>
    </row>
    <row r="76" spans="1:8" ht="17" x14ac:dyDescent="0.2">
      <c r="A76">
        <v>75</v>
      </c>
      <c r="B76" cm="1">
        <f t="array" ref="B76:G76">_xlfn.XLOOKUP($A76,Instagram_Usage_Lifestyle_Mini_!$A:$A,Instagram_Usage_Lifestyle_Mini_!$W:$AB,"Not Found")</f>
        <v>23.4</v>
      </c>
      <c r="C76">
        <v>3</v>
      </c>
      <c r="D76">
        <v>0</v>
      </c>
      <c r="E76">
        <v>11</v>
      </c>
      <c r="F76">
        <v>2.4</v>
      </c>
      <c r="G76">
        <v>2</v>
      </c>
      <c r="H76" s="13" t="str" cm="1">
        <f t="array" ref="H76">_xlfn.IFS(B76&lt;20,"Low",B76&lt;=40,"Moderate",B76&lt;=60,"High",TRUE,"Very High")</f>
        <v>Moderate</v>
      </c>
    </row>
    <row r="77" spans="1:8" ht="17" x14ac:dyDescent="0.2">
      <c r="A77">
        <v>76</v>
      </c>
      <c r="B77" cm="1">
        <f t="array" ref="B77:G77">_xlfn.XLOOKUP($A77,Instagram_Usage_Lifestyle_Mini_!$A:$A,Instagram_Usage_Lifestyle_Mini_!$W:$AB,"Not Found")</f>
        <v>44.8</v>
      </c>
      <c r="C77">
        <v>2</v>
      </c>
      <c r="D77">
        <v>4</v>
      </c>
      <c r="E77">
        <v>13</v>
      </c>
      <c r="F77">
        <v>0.3</v>
      </c>
      <c r="G77">
        <v>5</v>
      </c>
      <c r="H77" s="13" t="str" cm="1">
        <f t="array" ref="H77">_xlfn.IFS(B77&lt;20,"Low",B77&lt;=40,"Moderate",B77&lt;=60,"High",TRUE,"Very High")</f>
        <v>High</v>
      </c>
    </row>
    <row r="78" spans="1:8" ht="17" x14ac:dyDescent="0.2">
      <c r="A78">
        <v>77</v>
      </c>
      <c r="B78" cm="1">
        <f t="array" ref="B78:G78">_xlfn.XLOOKUP($A78,Instagram_Usage_Lifestyle_Mini_!$A:$A,Instagram_Usage_Lifestyle_Mini_!$W:$AB,"Not Found")</f>
        <v>54.5</v>
      </c>
      <c r="C78">
        <v>0</v>
      </c>
      <c r="D78">
        <v>5</v>
      </c>
      <c r="E78">
        <v>8</v>
      </c>
      <c r="F78">
        <v>1.6</v>
      </c>
      <c r="G78">
        <v>2</v>
      </c>
      <c r="H78" s="13" t="str" cm="1">
        <f t="array" ref="H78">_xlfn.IFS(B78&lt;20,"Low",B78&lt;=40,"Moderate",B78&lt;=60,"High",TRUE,"Very High")</f>
        <v>High</v>
      </c>
    </row>
    <row r="79" spans="1:8" ht="17" x14ac:dyDescent="0.2">
      <c r="A79">
        <v>78</v>
      </c>
      <c r="B79" cm="1">
        <f t="array" ref="B79:G79">_xlfn.XLOOKUP($A79,Instagram_Usage_Lifestyle_Mini_!$A:$A,Instagram_Usage_Lifestyle_Mini_!$W:$AB,"Not Found")</f>
        <v>49.9</v>
      </c>
      <c r="C79">
        <v>3</v>
      </c>
      <c r="D79">
        <v>3</v>
      </c>
      <c r="E79">
        <v>16</v>
      </c>
      <c r="F79">
        <v>5.3</v>
      </c>
      <c r="G79">
        <v>2</v>
      </c>
      <c r="H79" s="13" t="str" cm="1">
        <f t="array" ref="H79">_xlfn.IFS(B79&lt;20,"Low",B79&lt;=40,"Moderate",B79&lt;=60,"High",TRUE,"Very High")</f>
        <v>High</v>
      </c>
    </row>
    <row r="80" spans="1:8" ht="17" x14ac:dyDescent="0.2">
      <c r="A80">
        <v>79</v>
      </c>
      <c r="B80" cm="1">
        <f t="array" ref="B80:G80">_xlfn.XLOOKUP($A80,Instagram_Usage_Lifestyle_Mini_!$A:$A,Instagram_Usage_Lifestyle_Mini_!$W:$AB,"Not Found")</f>
        <v>47.3</v>
      </c>
      <c r="C80">
        <v>1</v>
      </c>
      <c r="D80">
        <v>10</v>
      </c>
      <c r="E80">
        <v>10</v>
      </c>
      <c r="F80">
        <v>1.1000000000000001</v>
      </c>
      <c r="G80">
        <v>1</v>
      </c>
      <c r="H80" s="13" t="str" cm="1">
        <f t="array" ref="H80">_xlfn.IFS(B80&lt;20,"Low",B80&lt;=40,"Moderate",B80&lt;=60,"High",TRUE,"Very High")</f>
        <v>High</v>
      </c>
    </row>
    <row r="81" spans="1:8" ht="17" x14ac:dyDescent="0.2">
      <c r="A81">
        <v>80</v>
      </c>
      <c r="B81" cm="1">
        <f t="array" ref="B81:G81">_xlfn.XLOOKUP($A81,Instagram_Usage_Lifestyle_Mini_!$A:$A,Instagram_Usage_Lifestyle_Mini_!$W:$AB,"Not Found")</f>
        <v>30.2</v>
      </c>
      <c r="C81">
        <v>2</v>
      </c>
      <c r="D81">
        <v>5</v>
      </c>
      <c r="E81">
        <v>7</v>
      </c>
      <c r="F81">
        <v>1.8</v>
      </c>
      <c r="G81">
        <v>4</v>
      </c>
      <c r="H81" s="13" t="str" cm="1">
        <f t="array" ref="H81">_xlfn.IFS(B81&lt;20,"Low",B81&lt;=40,"Moderate",B81&lt;=60,"High",TRUE,"Very High")</f>
        <v>Moderate</v>
      </c>
    </row>
    <row r="82" spans="1:8" ht="17" x14ac:dyDescent="0.2">
      <c r="A82">
        <v>81</v>
      </c>
      <c r="B82" cm="1">
        <f t="array" ref="B82:G82">_xlfn.XLOOKUP($A82,Instagram_Usage_Lifestyle_Mini_!$A:$A,Instagram_Usage_Lifestyle_Mini_!$W:$AB,"Not Found")</f>
        <v>28.3</v>
      </c>
      <c r="C82">
        <v>3</v>
      </c>
      <c r="D82">
        <v>5</v>
      </c>
      <c r="E82">
        <v>12</v>
      </c>
      <c r="F82">
        <v>2.7</v>
      </c>
      <c r="G82">
        <v>3</v>
      </c>
      <c r="H82" s="13" t="str" cm="1">
        <f t="array" ref="H82">_xlfn.IFS(B82&lt;20,"Low",B82&lt;=40,"Moderate",B82&lt;=60,"High",TRUE,"Very High")</f>
        <v>Moderate</v>
      </c>
    </row>
    <row r="83" spans="1:8" ht="17" x14ac:dyDescent="0.2">
      <c r="A83">
        <v>82</v>
      </c>
      <c r="B83" cm="1">
        <f t="array" ref="B83:G83">_xlfn.XLOOKUP($A83,Instagram_Usage_Lifestyle_Mini_!$A:$A,Instagram_Usage_Lifestyle_Mini_!$W:$AB,"Not Found")</f>
        <v>33.799999999999997</v>
      </c>
      <c r="C83">
        <v>0</v>
      </c>
      <c r="D83">
        <v>3</v>
      </c>
      <c r="E83">
        <v>8</v>
      </c>
      <c r="F83">
        <v>3.3</v>
      </c>
      <c r="G83">
        <v>1</v>
      </c>
      <c r="H83" s="13" t="str" cm="1">
        <f t="array" ref="H83">_xlfn.IFS(B83&lt;20,"Low",B83&lt;=40,"Moderate",B83&lt;=60,"High",TRUE,"Very High")</f>
        <v>Moderate</v>
      </c>
    </row>
    <row r="84" spans="1:8" ht="17" x14ac:dyDescent="0.2">
      <c r="A84">
        <v>83</v>
      </c>
      <c r="B84" cm="1">
        <f t="array" ref="B84:G84">_xlfn.XLOOKUP($A84,Instagram_Usage_Lifestyle_Mini_!$A:$A,Instagram_Usage_Lifestyle_Mini_!$W:$AB,"Not Found")</f>
        <v>41.9</v>
      </c>
      <c r="C84">
        <v>3</v>
      </c>
      <c r="D84">
        <v>6</v>
      </c>
      <c r="E84">
        <v>19</v>
      </c>
      <c r="F84">
        <v>4.0999999999999996</v>
      </c>
      <c r="G84">
        <v>5</v>
      </c>
      <c r="H84" s="13" t="str" cm="1">
        <f t="array" ref="H84">_xlfn.IFS(B84&lt;20,"Low",B84&lt;=40,"Moderate",B84&lt;=60,"High",TRUE,"Very High")</f>
        <v>High</v>
      </c>
    </row>
    <row r="85" spans="1:8" ht="17" x14ac:dyDescent="0.2">
      <c r="A85">
        <v>84</v>
      </c>
      <c r="B85" cm="1">
        <f t="array" ref="B85:G85">_xlfn.XLOOKUP($A85,Instagram_Usage_Lifestyle_Mini_!$A:$A,Instagram_Usage_Lifestyle_Mini_!$W:$AB,"Not Found")</f>
        <v>43.5</v>
      </c>
      <c r="C85">
        <v>2</v>
      </c>
      <c r="D85">
        <v>4</v>
      </c>
      <c r="E85">
        <v>10</v>
      </c>
      <c r="F85">
        <v>3.8</v>
      </c>
      <c r="G85">
        <v>1</v>
      </c>
      <c r="H85" s="13" t="str" cm="1">
        <f t="array" ref="H85">_xlfn.IFS(B85&lt;20,"Low",B85&lt;=40,"Moderate",B85&lt;=60,"High",TRUE,"Very High")</f>
        <v>High</v>
      </c>
    </row>
    <row r="86" spans="1:8" ht="17" x14ac:dyDescent="0.2">
      <c r="A86">
        <v>85</v>
      </c>
      <c r="B86" cm="1">
        <f t="array" ref="B86:G86">_xlfn.XLOOKUP($A86,Instagram_Usage_Lifestyle_Mini_!$A:$A,Instagram_Usage_Lifestyle_Mini_!$W:$AB,"Not Found")</f>
        <v>45.4</v>
      </c>
      <c r="C86">
        <v>1</v>
      </c>
      <c r="D86">
        <v>1</v>
      </c>
      <c r="E86">
        <v>18</v>
      </c>
      <c r="F86">
        <v>1.2</v>
      </c>
      <c r="G86">
        <v>3</v>
      </c>
      <c r="H86" s="13" t="str" cm="1">
        <f t="array" ref="H86">_xlfn.IFS(B86&lt;20,"Low",B86&lt;=40,"Moderate",B86&lt;=60,"High",TRUE,"Very High")</f>
        <v>High</v>
      </c>
    </row>
    <row r="87" spans="1:8" ht="17" x14ac:dyDescent="0.2">
      <c r="A87">
        <v>86</v>
      </c>
      <c r="B87" cm="1">
        <f t="array" ref="B87:G87">_xlfn.XLOOKUP($A87,Instagram_Usage_Lifestyle_Mini_!$A:$A,Instagram_Usage_Lifestyle_Mini_!$W:$AB,"Not Found")</f>
        <v>46.9</v>
      </c>
      <c r="C87">
        <v>2</v>
      </c>
      <c r="D87">
        <v>2</v>
      </c>
      <c r="E87">
        <v>5</v>
      </c>
      <c r="F87">
        <v>4.5999999999999996</v>
      </c>
      <c r="G87">
        <v>1</v>
      </c>
      <c r="H87" s="13" t="str" cm="1">
        <f t="array" ref="H87">_xlfn.IFS(B87&lt;20,"Low",B87&lt;=40,"Moderate",B87&lt;=60,"High",TRUE,"Very High")</f>
        <v>High</v>
      </c>
    </row>
    <row r="88" spans="1:8" ht="17" x14ac:dyDescent="0.2">
      <c r="A88">
        <v>87</v>
      </c>
      <c r="B88" cm="1">
        <f t="array" ref="B88:G88">_xlfn.XLOOKUP($A88,Instagram_Usage_Lifestyle_Mini_!$A:$A,Instagram_Usage_Lifestyle_Mini_!$W:$AB,"Not Found")</f>
        <v>37.299999999999997</v>
      </c>
      <c r="C88">
        <v>8</v>
      </c>
      <c r="D88">
        <v>3</v>
      </c>
      <c r="E88">
        <v>10</v>
      </c>
      <c r="F88">
        <v>2</v>
      </c>
      <c r="G88">
        <v>1</v>
      </c>
      <c r="H88" s="13" t="str" cm="1">
        <f t="array" ref="H88">_xlfn.IFS(B88&lt;20,"Low",B88&lt;=40,"Moderate",B88&lt;=60,"High",TRUE,"Very High")</f>
        <v>Moderate</v>
      </c>
    </row>
    <row r="89" spans="1:8" ht="17" x14ac:dyDescent="0.2">
      <c r="A89">
        <v>88</v>
      </c>
      <c r="B89" cm="1">
        <f t="array" ref="B89:G89">_xlfn.XLOOKUP($A89,Instagram_Usage_Lifestyle_Mini_!$A:$A,Instagram_Usage_Lifestyle_Mini_!$W:$AB,"Not Found")</f>
        <v>17.7</v>
      </c>
      <c r="C89">
        <v>3</v>
      </c>
      <c r="D89">
        <v>3</v>
      </c>
      <c r="E89">
        <v>7</v>
      </c>
      <c r="F89">
        <v>6.7</v>
      </c>
      <c r="G89">
        <v>1</v>
      </c>
      <c r="H89" s="13" t="str" cm="1">
        <f t="array" ref="H89">_xlfn.IFS(B89&lt;20,"Low",B89&lt;=40,"Moderate",B89&lt;=60,"High",TRUE,"Very High")</f>
        <v>Low</v>
      </c>
    </row>
    <row r="90" spans="1:8" ht="17" x14ac:dyDescent="0.2">
      <c r="A90">
        <v>89</v>
      </c>
      <c r="B90" cm="1">
        <f t="array" ref="B90:G90">_xlfn.XLOOKUP($A90,Instagram_Usage_Lifestyle_Mini_!$A:$A,Instagram_Usage_Lifestyle_Mini_!$W:$AB,"Not Found")</f>
        <v>37.4</v>
      </c>
      <c r="C90">
        <v>4</v>
      </c>
      <c r="D90">
        <v>4</v>
      </c>
      <c r="E90">
        <v>14</v>
      </c>
      <c r="F90">
        <v>3.9</v>
      </c>
      <c r="G90">
        <v>7</v>
      </c>
      <c r="H90" s="13" t="str" cm="1">
        <f t="array" ref="H90">_xlfn.IFS(B90&lt;20,"Low",B90&lt;=40,"Moderate",B90&lt;=60,"High",TRUE,"Very High")</f>
        <v>Moderate</v>
      </c>
    </row>
    <row r="91" spans="1:8" ht="17" x14ac:dyDescent="0.2">
      <c r="A91">
        <v>90</v>
      </c>
      <c r="B91" cm="1">
        <f t="array" ref="B91:G91">_xlfn.XLOOKUP($A91,Instagram_Usage_Lifestyle_Mini_!$A:$A,Instagram_Usage_Lifestyle_Mini_!$W:$AB,"Not Found")</f>
        <v>34.5</v>
      </c>
      <c r="C91">
        <v>3</v>
      </c>
      <c r="D91">
        <v>5</v>
      </c>
      <c r="E91">
        <v>7</v>
      </c>
      <c r="F91">
        <v>7.8</v>
      </c>
      <c r="G91">
        <v>5</v>
      </c>
      <c r="H91" s="13" t="str" cm="1">
        <f t="array" ref="H91">_xlfn.IFS(B91&lt;20,"Low",B91&lt;=40,"Moderate",B91&lt;=60,"High",TRUE,"Very High")</f>
        <v>Moderate</v>
      </c>
    </row>
    <row r="92" spans="1:8" ht="17" x14ac:dyDescent="0.2">
      <c r="A92">
        <v>91</v>
      </c>
      <c r="B92" cm="1">
        <f t="array" ref="B92:G92">_xlfn.XLOOKUP($A92,Instagram_Usage_Lifestyle_Mini_!$A:$A,Instagram_Usage_Lifestyle_Mini_!$W:$AB,"Not Found")</f>
        <v>40.6</v>
      </c>
      <c r="C92">
        <v>0</v>
      </c>
      <c r="D92">
        <v>3</v>
      </c>
      <c r="E92">
        <v>8</v>
      </c>
      <c r="F92">
        <v>2.2999999999999998</v>
      </c>
      <c r="G92">
        <v>3</v>
      </c>
      <c r="H92" s="13" t="str" cm="1">
        <f t="array" ref="H92">_xlfn.IFS(B92&lt;20,"Low",B92&lt;=40,"Moderate",B92&lt;=60,"High",TRUE,"Very High")</f>
        <v>High</v>
      </c>
    </row>
    <row r="93" spans="1:8" ht="17" x14ac:dyDescent="0.2">
      <c r="A93">
        <v>92</v>
      </c>
      <c r="B93" cm="1">
        <f t="array" ref="B93:G93">_xlfn.XLOOKUP($A93,Instagram_Usage_Lifestyle_Mini_!$A:$A,Instagram_Usage_Lifestyle_Mini_!$W:$AB,"Not Found")</f>
        <v>37.299999999999997</v>
      </c>
      <c r="C93">
        <v>3</v>
      </c>
      <c r="D93">
        <v>2</v>
      </c>
      <c r="E93">
        <v>12</v>
      </c>
      <c r="F93">
        <v>3.1</v>
      </c>
      <c r="G93">
        <v>3</v>
      </c>
      <c r="H93" s="13" t="str" cm="1">
        <f t="array" ref="H93">_xlfn.IFS(B93&lt;20,"Low",B93&lt;=40,"Moderate",B93&lt;=60,"High",TRUE,"Very High")</f>
        <v>Moderate</v>
      </c>
    </row>
    <row r="94" spans="1:8" ht="17" x14ac:dyDescent="0.2">
      <c r="A94">
        <v>93</v>
      </c>
      <c r="B94" cm="1">
        <f t="array" ref="B94:G94">_xlfn.XLOOKUP($A94,Instagram_Usage_Lifestyle_Mini_!$A:$A,Instagram_Usage_Lifestyle_Mini_!$W:$AB,"Not Found")</f>
        <v>18.2</v>
      </c>
      <c r="C94">
        <v>3</v>
      </c>
      <c r="D94">
        <v>5</v>
      </c>
      <c r="E94">
        <v>8</v>
      </c>
      <c r="F94">
        <v>8.3000000000000007</v>
      </c>
      <c r="G94">
        <v>3</v>
      </c>
      <c r="H94" s="13" t="str" cm="1">
        <f t="array" ref="H94">_xlfn.IFS(B94&lt;20,"Low",B94&lt;=40,"Moderate",B94&lt;=60,"High",TRUE,"Very High")</f>
        <v>Low</v>
      </c>
    </row>
    <row r="95" spans="1:8" ht="17" x14ac:dyDescent="0.2">
      <c r="A95">
        <v>94</v>
      </c>
      <c r="B95" cm="1">
        <f t="array" ref="B95:G95">_xlfn.XLOOKUP($A95,Instagram_Usage_Lifestyle_Mini_!$A:$A,Instagram_Usage_Lifestyle_Mini_!$W:$AB,"Not Found")</f>
        <v>50</v>
      </c>
      <c r="C95">
        <v>3</v>
      </c>
      <c r="D95">
        <v>6</v>
      </c>
      <c r="E95">
        <v>7</v>
      </c>
      <c r="F95">
        <v>2.2999999999999998</v>
      </c>
      <c r="G95">
        <v>1</v>
      </c>
      <c r="H95" s="13" t="str" cm="1">
        <f t="array" ref="H95">_xlfn.IFS(B95&lt;20,"Low",B95&lt;=40,"Moderate",B95&lt;=60,"High",TRUE,"Very High")</f>
        <v>High</v>
      </c>
    </row>
    <row r="96" spans="1:8" ht="17" x14ac:dyDescent="0.2">
      <c r="A96">
        <v>95</v>
      </c>
      <c r="B96" cm="1">
        <f t="array" ref="B96:G96">_xlfn.XLOOKUP($A96,Instagram_Usage_Lifestyle_Mini_!$A:$A,Instagram_Usage_Lifestyle_Mini_!$W:$AB,"Not Found")</f>
        <v>37.6</v>
      </c>
      <c r="C96">
        <v>6</v>
      </c>
      <c r="D96">
        <v>4</v>
      </c>
      <c r="E96">
        <v>8</v>
      </c>
      <c r="F96">
        <v>6.6</v>
      </c>
      <c r="G96">
        <v>4</v>
      </c>
      <c r="H96" s="13" t="str" cm="1">
        <f t="array" ref="H96">_xlfn.IFS(B96&lt;20,"Low",B96&lt;=40,"Moderate",B96&lt;=60,"High",TRUE,"Very High")</f>
        <v>Moderate</v>
      </c>
    </row>
    <row r="97" spans="1:8" ht="17" x14ac:dyDescent="0.2">
      <c r="A97">
        <v>96</v>
      </c>
      <c r="B97" cm="1">
        <f t="array" ref="B97:G97">_xlfn.XLOOKUP($A97,Instagram_Usage_Lifestyle_Mini_!$A:$A,Instagram_Usage_Lifestyle_Mini_!$W:$AB,"Not Found")</f>
        <v>42.1</v>
      </c>
      <c r="C97">
        <v>2</v>
      </c>
      <c r="D97">
        <v>1</v>
      </c>
      <c r="E97">
        <v>8</v>
      </c>
      <c r="F97">
        <v>4.3</v>
      </c>
      <c r="G97">
        <v>5</v>
      </c>
      <c r="H97" s="13" t="str" cm="1">
        <f t="array" ref="H97">_xlfn.IFS(B97&lt;20,"Low",B97&lt;=40,"Moderate",B97&lt;=60,"High",TRUE,"Very High")</f>
        <v>High</v>
      </c>
    </row>
    <row r="98" spans="1:8" ht="17" x14ac:dyDescent="0.2">
      <c r="A98">
        <v>97</v>
      </c>
      <c r="B98" cm="1">
        <f t="array" ref="B98:G98">_xlfn.XLOOKUP($A98,Instagram_Usage_Lifestyle_Mini_!$A:$A,Instagram_Usage_Lifestyle_Mini_!$W:$AB,"Not Found")</f>
        <v>50.7</v>
      </c>
      <c r="C98">
        <v>2</v>
      </c>
      <c r="D98">
        <v>3</v>
      </c>
      <c r="E98">
        <v>13</v>
      </c>
      <c r="F98">
        <v>4.7</v>
      </c>
      <c r="G98">
        <v>2</v>
      </c>
      <c r="H98" s="13" t="str" cm="1">
        <f t="array" ref="H98">_xlfn.IFS(B98&lt;20,"Low",B98&lt;=40,"Moderate",B98&lt;=60,"High",TRUE,"Very High")</f>
        <v>High</v>
      </c>
    </row>
    <row r="99" spans="1:8" ht="17" x14ac:dyDescent="0.2">
      <c r="A99">
        <v>98</v>
      </c>
      <c r="B99" cm="1">
        <f t="array" ref="B99:G99">_xlfn.XLOOKUP($A99,Instagram_Usage_Lifestyle_Mini_!$A:$A,Instagram_Usage_Lifestyle_Mini_!$W:$AB,"Not Found")</f>
        <v>35.4</v>
      </c>
      <c r="C99">
        <v>2</v>
      </c>
      <c r="D99">
        <v>4</v>
      </c>
      <c r="E99">
        <v>15</v>
      </c>
      <c r="F99">
        <v>2.9</v>
      </c>
      <c r="G99">
        <v>2</v>
      </c>
      <c r="H99" s="13" t="str" cm="1">
        <f t="array" ref="H99">_xlfn.IFS(B99&lt;20,"Low",B99&lt;=40,"Moderate",B99&lt;=60,"High",TRUE,"Very High")</f>
        <v>Moderate</v>
      </c>
    </row>
    <row r="100" spans="1:8" ht="17" x14ac:dyDescent="0.2">
      <c r="A100">
        <v>99</v>
      </c>
      <c r="B100" cm="1">
        <f t="array" ref="B100:G100">_xlfn.XLOOKUP($A100,Instagram_Usage_Lifestyle_Mini_!$A:$A,Instagram_Usage_Lifestyle_Mini_!$W:$AB,"Not Found")</f>
        <v>45.1</v>
      </c>
      <c r="C100">
        <v>6</v>
      </c>
      <c r="D100">
        <v>3</v>
      </c>
      <c r="E100">
        <v>6</v>
      </c>
      <c r="F100">
        <v>3.3</v>
      </c>
      <c r="G100">
        <v>5</v>
      </c>
      <c r="H100" s="13" t="str" cm="1">
        <f t="array" ref="H100">_xlfn.IFS(B100&lt;20,"Low",B100&lt;=40,"Moderate",B100&lt;=60,"High",TRUE,"Very High")</f>
        <v>High</v>
      </c>
    </row>
    <row r="101" spans="1:8" ht="17" x14ac:dyDescent="0.2">
      <c r="A101">
        <v>100</v>
      </c>
      <c r="B101" cm="1">
        <f t="array" ref="B101:G101">_xlfn.XLOOKUP($A101,Instagram_Usage_Lifestyle_Mini_!$A:$A,Instagram_Usage_Lifestyle_Mini_!$W:$AB,"Not Found")</f>
        <v>43.7</v>
      </c>
      <c r="C101">
        <v>2</v>
      </c>
      <c r="D101">
        <v>2</v>
      </c>
      <c r="E101">
        <v>10</v>
      </c>
      <c r="F101">
        <v>5.0999999999999996</v>
      </c>
      <c r="G101">
        <v>3</v>
      </c>
      <c r="H101" s="13" t="str" cm="1">
        <f t="array" ref="H101">_xlfn.IFS(B101&lt;20,"Low",B101&lt;=40,"Moderate",B101&lt;=60,"High",TRUE,"Very High")</f>
        <v>High</v>
      </c>
    </row>
    <row r="102" spans="1:8" ht="17" x14ac:dyDescent="0.2">
      <c r="A102">
        <v>101</v>
      </c>
      <c r="B102" cm="1">
        <f t="array" ref="B102:G102">_xlfn.XLOOKUP($A102,Instagram_Usage_Lifestyle_Mini_!$A:$A,Instagram_Usage_Lifestyle_Mini_!$W:$AB,"Not Found")</f>
        <v>12.7</v>
      </c>
      <c r="C102">
        <v>1</v>
      </c>
      <c r="D102">
        <v>3</v>
      </c>
      <c r="E102">
        <v>5</v>
      </c>
      <c r="F102">
        <v>1.4</v>
      </c>
      <c r="G102">
        <v>0</v>
      </c>
      <c r="H102" s="13" t="str" cm="1">
        <f t="array" ref="H102">_xlfn.IFS(B102&lt;20,"Low",B102&lt;=40,"Moderate",B102&lt;=60,"High",TRUE,"Very High")</f>
        <v>Low</v>
      </c>
    </row>
    <row r="103" spans="1:8" ht="17" x14ac:dyDescent="0.2">
      <c r="A103">
        <v>102</v>
      </c>
      <c r="B103" cm="1">
        <f t="array" ref="B103:G103">_xlfn.XLOOKUP($A103,Instagram_Usage_Lifestyle_Mini_!$A:$A,Instagram_Usage_Lifestyle_Mini_!$W:$AB,"Not Found")</f>
        <v>39.6</v>
      </c>
      <c r="C103">
        <v>4</v>
      </c>
      <c r="D103">
        <v>3</v>
      </c>
      <c r="E103">
        <v>12</v>
      </c>
      <c r="F103">
        <v>5.8</v>
      </c>
      <c r="G103">
        <v>0</v>
      </c>
      <c r="H103" s="13" t="str" cm="1">
        <f t="array" ref="H103">_xlfn.IFS(B103&lt;20,"Low",B103&lt;=40,"Moderate",B103&lt;=60,"High",TRUE,"Very High")</f>
        <v>Moderate</v>
      </c>
    </row>
    <row r="104" spans="1:8" ht="17" x14ac:dyDescent="0.2">
      <c r="A104">
        <v>103</v>
      </c>
      <c r="B104" cm="1">
        <f t="array" ref="B104:G104">_xlfn.XLOOKUP($A104,Instagram_Usage_Lifestyle_Mini_!$A:$A,Instagram_Usage_Lifestyle_Mini_!$W:$AB,"Not Found")</f>
        <v>43</v>
      </c>
      <c r="C104">
        <v>6</v>
      </c>
      <c r="D104">
        <v>4</v>
      </c>
      <c r="E104">
        <v>10</v>
      </c>
      <c r="F104">
        <v>3.1</v>
      </c>
      <c r="G104">
        <v>3</v>
      </c>
      <c r="H104" s="13" t="str" cm="1">
        <f t="array" ref="H104">_xlfn.IFS(B104&lt;20,"Low",B104&lt;=40,"Moderate",B104&lt;=60,"High",TRUE,"Very High")</f>
        <v>High</v>
      </c>
    </row>
    <row r="105" spans="1:8" ht="17" x14ac:dyDescent="0.2">
      <c r="A105">
        <v>104</v>
      </c>
      <c r="B105" cm="1">
        <f t="array" ref="B105:G105">_xlfn.XLOOKUP($A105,Instagram_Usage_Lifestyle_Mini_!$A:$A,Instagram_Usage_Lifestyle_Mini_!$W:$AB,"Not Found")</f>
        <v>48.8</v>
      </c>
      <c r="C105">
        <v>2</v>
      </c>
      <c r="D105">
        <v>5</v>
      </c>
      <c r="E105">
        <v>14</v>
      </c>
      <c r="F105">
        <v>2.7</v>
      </c>
      <c r="G105">
        <v>4</v>
      </c>
      <c r="H105" s="13" t="str" cm="1">
        <f t="array" ref="H105">_xlfn.IFS(B105&lt;20,"Low",B105&lt;=40,"Moderate",B105&lt;=60,"High",TRUE,"Very High")</f>
        <v>High</v>
      </c>
    </row>
    <row r="106" spans="1:8" ht="17" x14ac:dyDescent="0.2">
      <c r="A106">
        <v>105</v>
      </c>
      <c r="B106" cm="1">
        <f t="array" ref="B106:G106">_xlfn.XLOOKUP($A106,Instagram_Usage_Lifestyle_Mini_!$A:$A,Instagram_Usage_Lifestyle_Mini_!$W:$AB,"Not Found")</f>
        <v>47.8</v>
      </c>
      <c r="C106">
        <v>0</v>
      </c>
      <c r="D106">
        <v>4</v>
      </c>
      <c r="E106">
        <v>7</v>
      </c>
      <c r="F106">
        <v>3.6</v>
      </c>
      <c r="G106">
        <v>3</v>
      </c>
      <c r="H106" s="13" t="str" cm="1">
        <f t="array" ref="H106">_xlfn.IFS(B106&lt;20,"Low",B106&lt;=40,"Moderate",B106&lt;=60,"High",TRUE,"Very High")</f>
        <v>High</v>
      </c>
    </row>
    <row r="107" spans="1:8" ht="17" x14ac:dyDescent="0.2">
      <c r="A107">
        <v>106</v>
      </c>
      <c r="B107" cm="1">
        <f t="array" ref="B107:G107">_xlfn.XLOOKUP($A107,Instagram_Usage_Lifestyle_Mini_!$A:$A,Instagram_Usage_Lifestyle_Mini_!$W:$AB,"Not Found")</f>
        <v>34.700000000000003</v>
      </c>
      <c r="C107">
        <v>4</v>
      </c>
      <c r="D107">
        <v>4</v>
      </c>
      <c r="E107">
        <v>14</v>
      </c>
      <c r="F107">
        <v>3</v>
      </c>
      <c r="G107">
        <v>1</v>
      </c>
      <c r="H107" s="13" t="str" cm="1">
        <f t="array" ref="H107">_xlfn.IFS(B107&lt;20,"Low",B107&lt;=40,"Moderate",B107&lt;=60,"High",TRUE,"Very High")</f>
        <v>Moderate</v>
      </c>
    </row>
    <row r="108" spans="1:8" ht="17" x14ac:dyDescent="0.2">
      <c r="A108">
        <v>107</v>
      </c>
      <c r="B108" cm="1">
        <f t="array" ref="B108:G108">_xlfn.XLOOKUP($A108,Instagram_Usage_Lifestyle_Mini_!$A:$A,Instagram_Usage_Lifestyle_Mini_!$W:$AB,"Not Found")</f>
        <v>34</v>
      </c>
      <c r="C108">
        <v>2</v>
      </c>
      <c r="D108">
        <v>4</v>
      </c>
      <c r="E108">
        <v>12</v>
      </c>
      <c r="F108">
        <v>3</v>
      </c>
      <c r="G108">
        <v>5</v>
      </c>
      <c r="H108" s="13" t="str" cm="1">
        <f t="array" ref="H108">_xlfn.IFS(B108&lt;20,"Low",B108&lt;=40,"Moderate",B108&lt;=60,"High",TRUE,"Very High")</f>
        <v>Moderate</v>
      </c>
    </row>
    <row r="109" spans="1:8" ht="17" x14ac:dyDescent="0.2">
      <c r="A109">
        <v>108</v>
      </c>
      <c r="B109" cm="1">
        <f t="array" ref="B109:G109">_xlfn.XLOOKUP($A109,Instagram_Usage_Lifestyle_Mini_!$A:$A,Instagram_Usage_Lifestyle_Mini_!$W:$AB,"Not Found")</f>
        <v>55.4</v>
      </c>
      <c r="C109">
        <v>3</v>
      </c>
      <c r="D109">
        <v>4</v>
      </c>
      <c r="E109">
        <v>10</v>
      </c>
      <c r="F109">
        <v>2.1</v>
      </c>
      <c r="G109">
        <v>3</v>
      </c>
      <c r="H109" s="13" t="str" cm="1">
        <f t="array" ref="H109">_xlfn.IFS(B109&lt;20,"Low",B109&lt;=40,"Moderate",B109&lt;=60,"High",TRUE,"Very High")</f>
        <v>High</v>
      </c>
    </row>
    <row r="110" spans="1:8" ht="17" x14ac:dyDescent="0.2">
      <c r="A110">
        <v>109</v>
      </c>
      <c r="B110" cm="1">
        <f t="array" ref="B110:G110">_xlfn.XLOOKUP($A110,Instagram_Usage_Lifestyle_Mini_!$A:$A,Instagram_Usage_Lifestyle_Mini_!$W:$AB,"Not Found")</f>
        <v>31.6</v>
      </c>
      <c r="C110">
        <v>7</v>
      </c>
      <c r="D110">
        <v>4</v>
      </c>
      <c r="E110">
        <v>12</v>
      </c>
      <c r="F110">
        <v>1.2</v>
      </c>
      <c r="G110">
        <v>1</v>
      </c>
      <c r="H110" s="13" t="str" cm="1">
        <f t="array" ref="H110">_xlfn.IFS(B110&lt;20,"Low",B110&lt;=40,"Moderate",B110&lt;=60,"High",TRUE,"Very High")</f>
        <v>Moderate</v>
      </c>
    </row>
    <row r="111" spans="1:8" ht="17" x14ac:dyDescent="0.2">
      <c r="A111">
        <v>110</v>
      </c>
      <c r="B111" cm="1">
        <f t="array" ref="B111:G111">_xlfn.XLOOKUP($A111,Instagram_Usage_Lifestyle_Mini_!$A:$A,Instagram_Usage_Lifestyle_Mini_!$W:$AB,"Not Found")</f>
        <v>35.6</v>
      </c>
      <c r="C111">
        <v>0</v>
      </c>
      <c r="D111">
        <v>6</v>
      </c>
      <c r="E111">
        <v>8</v>
      </c>
      <c r="F111">
        <v>9.5</v>
      </c>
      <c r="G111">
        <v>4</v>
      </c>
      <c r="H111" s="13" t="str" cm="1">
        <f t="array" ref="H111">_xlfn.IFS(B111&lt;20,"Low",B111&lt;=40,"Moderate",B111&lt;=60,"High",TRUE,"Very High")</f>
        <v>Moderate</v>
      </c>
    </row>
    <row r="112" spans="1:8" ht="17" x14ac:dyDescent="0.2">
      <c r="A112">
        <v>111</v>
      </c>
      <c r="B112" cm="1">
        <f t="array" ref="B112:G112">_xlfn.XLOOKUP($A112,Instagram_Usage_Lifestyle_Mini_!$A:$A,Instagram_Usage_Lifestyle_Mini_!$W:$AB,"Not Found")</f>
        <v>30.1</v>
      </c>
      <c r="C112">
        <v>3</v>
      </c>
      <c r="D112">
        <v>5</v>
      </c>
      <c r="E112">
        <v>13</v>
      </c>
      <c r="F112">
        <v>4.3</v>
      </c>
      <c r="G112">
        <v>2</v>
      </c>
      <c r="H112" s="13" t="str" cm="1">
        <f t="array" ref="H112">_xlfn.IFS(B112&lt;20,"Low",B112&lt;=40,"Moderate",B112&lt;=60,"High",TRUE,"Very High")</f>
        <v>Moderate</v>
      </c>
    </row>
    <row r="113" spans="1:8" ht="17" x14ac:dyDescent="0.2">
      <c r="A113">
        <v>112</v>
      </c>
      <c r="B113" cm="1">
        <f t="array" ref="B113:G113">_xlfn.XLOOKUP($A113,Instagram_Usage_Lifestyle_Mini_!$A:$A,Instagram_Usage_Lifestyle_Mini_!$W:$AB,"Not Found")</f>
        <v>44.7</v>
      </c>
      <c r="C113">
        <v>2</v>
      </c>
      <c r="D113">
        <v>4</v>
      </c>
      <c r="E113">
        <v>9</v>
      </c>
      <c r="F113">
        <v>2.2999999999999998</v>
      </c>
      <c r="G113">
        <v>1</v>
      </c>
      <c r="H113" s="13" t="str" cm="1">
        <f t="array" ref="H113">_xlfn.IFS(B113&lt;20,"Low",B113&lt;=40,"Moderate",B113&lt;=60,"High",TRUE,"Very High")</f>
        <v>High</v>
      </c>
    </row>
    <row r="114" spans="1:8" ht="17" x14ac:dyDescent="0.2">
      <c r="A114">
        <v>113</v>
      </c>
      <c r="B114" cm="1">
        <f t="array" ref="B114:G114">_xlfn.XLOOKUP($A114,Instagram_Usage_Lifestyle_Mini_!$A:$A,Instagram_Usage_Lifestyle_Mini_!$W:$AB,"Not Found")</f>
        <v>34.799999999999997</v>
      </c>
      <c r="C114">
        <v>4</v>
      </c>
      <c r="D114">
        <v>4</v>
      </c>
      <c r="E114">
        <v>8</v>
      </c>
      <c r="F114">
        <v>5.6</v>
      </c>
      <c r="G114">
        <v>5</v>
      </c>
      <c r="H114" s="13" t="str" cm="1">
        <f t="array" ref="H114">_xlfn.IFS(B114&lt;20,"Low",B114&lt;=40,"Moderate",B114&lt;=60,"High",TRUE,"Very High")</f>
        <v>Moderate</v>
      </c>
    </row>
    <row r="115" spans="1:8" ht="17" x14ac:dyDescent="0.2">
      <c r="A115">
        <v>114</v>
      </c>
      <c r="B115" cm="1">
        <f t="array" ref="B115:G115">_xlfn.XLOOKUP($A115,Instagram_Usage_Lifestyle_Mini_!$A:$A,Instagram_Usage_Lifestyle_Mini_!$W:$AB,"Not Found")</f>
        <v>33.799999999999997</v>
      </c>
      <c r="C115">
        <v>2</v>
      </c>
      <c r="D115">
        <v>4</v>
      </c>
      <c r="E115">
        <v>10</v>
      </c>
      <c r="F115">
        <v>2</v>
      </c>
      <c r="G115">
        <v>4</v>
      </c>
      <c r="H115" s="13" t="str" cm="1">
        <f t="array" ref="H115">_xlfn.IFS(B115&lt;20,"Low",B115&lt;=40,"Moderate",B115&lt;=60,"High",TRUE,"Very High")</f>
        <v>Moderate</v>
      </c>
    </row>
    <row r="116" spans="1:8" ht="17" x14ac:dyDescent="0.2">
      <c r="A116">
        <v>115</v>
      </c>
      <c r="B116" cm="1">
        <f t="array" ref="B116:G116">_xlfn.XLOOKUP($A116,Instagram_Usage_Lifestyle_Mini_!$A:$A,Instagram_Usage_Lifestyle_Mini_!$W:$AB,"Not Found")</f>
        <v>38.299999999999997</v>
      </c>
      <c r="C116">
        <v>5</v>
      </c>
      <c r="D116">
        <v>4</v>
      </c>
      <c r="E116">
        <v>10</v>
      </c>
      <c r="F116">
        <v>1</v>
      </c>
      <c r="G116">
        <v>1</v>
      </c>
      <c r="H116" s="13" t="str" cm="1">
        <f t="array" ref="H116">_xlfn.IFS(B116&lt;20,"Low",B116&lt;=40,"Moderate",B116&lt;=60,"High",TRUE,"Very High")</f>
        <v>Moderate</v>
      </c>
    </row>
    <row r="117" spans="1:8" ht="17" x14ac:dyDescent="0.2">
      <c r="A117">
        <v>116</v>
      </c>
      <c r="B117" cm="1">
        <f t="array" ref="B117:G117">_xlfn.XLOOKUP($A117,Instagram_Usage_Lifestyle_Mini_!$A:$A,Instagram_Usage_Lifestyle_Mini_!$W:$AB,"Not Found")</f>
        <v>31.4</v>
      </c>
      <c r="C117">
        <v>1</v>
      </c>
      <c r="D117">
        <v>4</v>
      </c>
      <c r="E117">
        <v>10</v>
      </c>
      <c r="F117">
        <v>7.7</v>
      </c>
      <c r="G117">
        <v>3</v>
      </c>
      <c r="H117" s="13" t="str" cm="1">
        <f t="array" ref="H117">_xlfn.IFS(B117&lt;20,"Low",B117&lt;=40,"Moderate",B117&lt;=60,"High",TRUE,"Very High")</f>
        <v>Moderate</v>
      </c>
    </row>
    <row r="118" spans="1:8" ht="17" x14ac:dyDescent="0.2">
      <c r="A118">
        <v>117</v>
      </c>
      <c r="B118" cm="1">
        <f t="array" ref="B118:G118">_xlfn.XLOOKUP($A118,Instagram_Usage_Lifestyle_Mini_!$A:$A,Instagram_Usage_Lifestyle_Mini_!$W:$AB,"Not Found")</f>
        <v>26.5</v>
      </c>
      <c r="C118">
        <v>6</v>
      </c>
      <c r="D118">
        <v>6</v>
      </c>
      <c r="E118">
        <v>7</v>
      </c>
      <c r="F118">
        <v>6.5</v>
      </c>
      <c r="G118">
        <v>4</v>
      </c>
      <c r="H118" s="13" t="str" cm="1">
        <f t="array" ref="H118">_xlfn.IFS(B118&lt;20,"Low",B118&lt;=40,"Moderate",B118&lt;=60,"High",TRUE,"Very High")</f>
        <v>Moderate</v>
      </c>
    </row>
    <row r="119" spans="1:8" ht="17" x14ac:dyDescent="0.2">
      <c r="A119">
        <v>118</v>
      </c>
      <c r="B119" cm="1">
        <f t="array" ref="B119:G119">_xlfn.XLOOKUP($A119,Instagram_Usage_Lifestyle_Mini_!$A:$A,Instagram_Usage_Lifestyle_Mini_!$W:$AB,"Not Found")</f>
        <v>34.4</v>
      </c>
      <c r="C119">
        <v>2</v>
      </c>
      <c r="D119">
        <v>2</v>
      </c>
      <c r="E119">
        <v>4</v>
      </c>
      <c r="F119">
        <v>7.2</v>
      </c>
      <c r="G119">
        <v>3</v>
      </c>
      <c r="H119" s="13" t="str" cm="1">
        <f t="array" ref="H119">_xlfn.IFS(B119&lt;20,"Low",B119&lt;=40,"Moderate",B119&lt;=60,"High",TRUE,"Very High")</f>
        <v>Moderate</v>
      </c>
    </row>
    <row r="120" spans="1:8" ht="17" x14ac:dyDescent="0.2">
      <c r="A120">
        <v>119</v>
      </c>
      <c r="B120" cm="1">
        <f t="array" ref="B120:G120">_xlfn.XLOOKUP($A120,Instagram_Usage_Lifestyle_Mini_!$A:$A,Instagram_Usage_Lifestyle_Mini_!$W:$AB,"Not Found")</f>
        <v>53.3</v>
      </c>
      <c r="C120">
        <v>2</v>
      </c>
      <c r="D120">
        <v>1</v>
      </c>
      <c r="E120">
        <v>13</v>
      </c>
      <c r="F120">
        <v>2.2000000000000002</v>
      </c>
      <c r="G120">
        <v>5</v>
      </c>
      <c r="H120" s="13" t="str" cm="1">
        <f t="array" ref="H120">_xlfn.IFS(B120&lt;20,"Low",B120&lt;=40,"Moderate",B120&lt;=60,"High",TRUE,"Very High")</f>
        <v>High</v>
      </c>
    </row>
    <row r="121" spans="1:8" ht="17" x14ac:dyDescent="0.2">
      <c r="A121">
        <v>120</v>
      </c>
      <c r="B121" cm="1">
        <f t="array" ref="B121:G121">_xlfn.XLOOKUP($A121,Instagram_Usage_Lifestyle_Mini_!$A:$A,Instagram_Usage_Lifestyle_Mini_!$W:$AB,"Not Found")</f>
        <v>45</v>
      </c>
      <c r="C121">
        <v>4</v>
      </c>
      <c r="D121">
        <v>4</v>
      </c>
      <c r="E121">
        <v>14</v>
      </c>
      <c r="F121">
        <v>6.7</v>
      </c>
      <c r="G121">
        <v>4</v>
      </c>
      <c r="H121" s="13" t="str" cm="1">
        <f t="array" ref="H121">_xlfn.IFS(B121&lt;20,"Low",B121&lt;=40,"Moderate",B121&lt;=60,"High",TRUE,"Very High")</f>
        <v>High</v>
      </c>
    </row>
    <row r="122" spans="1:8" ht="17" x14ac:dyDescent="0.2">
      <c r="A122">
        <v>121</v>
      </c>
      <c r="B122" cm="1">
        <f t="array" ref="B122:G122">_xlfn.XLOOKUP($A122,Instagram_Usage_Lifestyle_Mini_!$A:$A,Instagram_Usage_Lifestyle_Mini_!$W:$AB,"Not Found")</f>
        <v>26.7</v>
      </c>
      <c r="C122">
        <v>4</v>
      </c>
      <c r="D122">
        <v>7</v>
      </c>
      <c r="E122">
        <v>8</v>
      </c>
      <c r="F122">
        <v>2.1</v>
      </c>
      <c r="G122">
        <v>3</v>
      </c>
      <c r="H122" s="13" t="str" cm="1">
        <f t="array" ref="H122">_xlfn.IFS(B122&lt;20,"Low",B122&lt;=40,"Moderate",B122&lt;=60,"High",TRUE,"Very High")</f>
        <v>Moderate</v>
      </c>
    </row>
    <row r="123" spans="1:8" ht="17" x14ac:dyDescent="0.2">
      <c r="A123">
        <v>122</v>
      </c>
      <c r="B123" cm="1">
        <f t="array" ref="B123:G123">_xlfn.XLOOKUP($A123,Instagram_Usage_Lifestyle_Mini_!$A:$A,Instagram_Usage_Lifestyle_Mini_!$W:$AB,"Not Found")</f>
        <v>45.7</v>
      </c>
      <c r="C123">
        <v>2</v>
      </c>
      <c r="D123">
        <v>4</v>
      </c>
      <c r="E123">
        <v>6</v>
      </c>
      <c r="F123">
        <v>0</v>
      </c>
      <c r="G123">
        <v>4</v>
      </c>
      <c r="H123" s="13" t="str" cm="1">
        <f t="array" ref="H123">_xlfn.IFS(B123&lt;20,"Low",B123&lt;=40,"Moderate",B123&lt;=60,"High",TRUE,"Very High")</f>
        <v>High</v>
      </c>
    </row>
    <row r="124" spans="1:8" ht="17" x14ac:dyDescent="0.2">
      <c r="A124">
        <v>123</v>
      </c>
      <c r="B124" cm="1">
        <f t="array" ref="B124:G124">_xlfn.XLOOKUP($A124,Instagram_Usage_Lifestyle_Mini_!$A:$A,Instagram_Usage_Lifestyle_Mini_!$W:$AB,"Not Found")</f>
        <v>32</v>
      </c>
      <c r="C124">
        <v>2</v>
      </c>
      <c r="D124">
        <v>4</v>
      </c>
      <c r="E124">
        <v>7</v>
      </c>
      <c r="F124">
        <v>0.7</v>
      </c>
      <c r="G124">
        <v>2</v>
      </c>
      <c r="H124" s="13" t="str" cm="1">
        <f t="array" ref="H124">_xlfn.IFS(B124&lt;20,"Low",B124&lt;=40,"Moderate",B124&lt;=60,"High",TRUE,"Very High")</f>
        <v>Moderate</v>
      </c>
    </row>
    <row r="125" spans="1:8" ht="17" x14ac:dyDescent="0.2">
      <c r="A125">
        <v>124</v>
      </c>
      <c r="B125" cm="1">
        <f t="array" ref="B125:G125">_xlfn.XLOOKUP($A125,Instagram_Usage_Lifestyle_Mini_!$A:$A,Instagram_Usage_Lifestyle_Mini_!$W:$AB,"Not Found")</f>
        <v>51.5</v>
      </c>
      <c r="C125">
        <v>3</v>
      </c>
      <c r="D125">
        <v>6</v>
      </c>
      <c r="E125">
        <v>12</v>
      </c>
      <c r="F125">
        <v>7.2</v>
      </c>
      <c r="G125">
        <v>0</v>
      </c>
      <c r="H125" s="13" t="str" cm="1">
        <f t="array" ref="H125">_xlfn.IFS(B125&lt;20,"Low",B125&lt;=40,"Moderate",B125&lt;=60,"High",TRUE,"Very High")</f>
        <v>High</v>
      </c>
    </row>
    <row r="126" spans="1:8" ht="17" x14ac:dyDescent="0.2">
      <c r="A126">
        <v>125</v>
      </c>
      <c r="B126" cm="1">
        <f t="array" ref="B126:G126">_xlfn.XLOOKUP($A126,Instagram_Usage_Lifestyle_Mini_!$A:$A,Instagram_Usage_Lifestyle_Mini_!$W:$AB,"Not Found")</f>
        <v>21.1</v>
      </c>
      <c r="C126">
        <v>1</v>
      </c>
      <c r="D126">
        <v>4</v>
      </c>
      <c r="E126">
        <v>9</v>
      </c>
      <c r="F126">
        <v>8.3000000000000007</v>
      </c>
      <c r="G126">
        <v>3</v>
      </c>
      <c r="H126" s="13" t="str" cm="1">
        <f t="array" ref="H126">_xlfn.IFS(B126&lt;20,"Low",B126&lt;=40,"Moderate",B126&lt;=60,"High",TRUE,"Very High")</f>
        <v>Moderate</v>
      </c>
    </row>
    <row r="127" spans="1:8" ht="17" x14ac:dyDescent="0.2">
      <c r="A127">
        <v>126</v>
      </c>
      <c r="B127" cm="1">
        <f t="array" ref="B127:G127">_xlfn.XLOOKUP($A127,Instagram_Usage_Lifestyle_Mini_!$A:$A,Instagram_Usage_Lifestyle_Mini_!$W:$AB,"Not Found")</f>
        <v>42.3</v>
      </c>
      <c r="C127">
        <v>3</v>
      </c>
      <c r="D127">
        <v>4</v>
      </c>
      <c r="E127">
        <v>7</v>
      </c>
      <c r="F127">
        <v>3.9</v>
      </c>
      <c r="G127">
        <v>4</v>
      </c>
      <c r="H127" s="13" t="str" cm="1">
        <f t="array" ref="H127">_xlfn.IFS(B127&lt;20,"Low",B127&lt;=40,"Moderate",B127&lt;=60,"High",TRUE,"Very High")</f>
        <v>High</v>
      </c>
    </row>
    <row r="128" spans="1:8" ht="17" x14ac:dyDescent="0.2">
      <c r="A128">
        <v>127</v>
      </c>
      <c r="B128" cm="1">
        <f t="array" ref="B128:G128">_xlfn.XLOOKUP($A128,Instagram_Usage_Lifestyle_Mini_!$A:$A,Instagram_Usage_Lifestyle_Mini_!$W:$AB,"Not Found")</f>
        <v>33.9</v>
      </c>
      <c r="C128">
        <v>3</v>
      </c>
      <c r="D128">
        <v>3</v>
      </c>
      <c r="E128">
        <v>9</v>
      </c>
      <c r="F128">
        <v>6.4</v>
      </c>
      <c r="G128">
        <v>5</v>
      </c>
      <c r="H128" s="13" t="str" cm="1">
        <f t="array" ref="H128">_xlfn.IFS(B128&lt;20,"Low",B128&lt;=40,"Moderate",B128&lt;=60,"High",TRUE,"Very High")</f>
        <v>Moderate</v>
      </c>
    </row>
    <row r="129" spans="1:8" ht="17" x14ac:dyDescent="0.2">
      <c r="A129">
        <v>128</v>
      </c>
      <c r="B129" cm="1">
        <f t="array" ref="B129:G129">_xlfn.XLOOKUP($A129,Instagram_Usage_Lifestyle_Mini_!$A:$A,Instagram_Usage_Lifestyle_Mini_!$W:$AB,"Not Found")</f>
        <v>38.299999999999997</v>
      </c>
      <c r="C129">
        <v>5</v>
      </c>
      <c r="D129">
        <v>3</v>
      </c>
      <c r="E129">
        <v>6</v>
      </c>
      <c r="F129">
        <v>0.9</v>
      </c>
      <c r="G129">
        <v>6</v>
      </c>
      <c r="H129" s="13" t="str" cm="1">
        <f t="array" ref="H129">_xlfn.IFS(B129&lt;20,"Low",B129&lt;=40,"Moderate",B129&lt;=60,"High",TRUE,"Very High")</f>
        <v>Moderate</v>
      </c>
    </row>
    <row r="130" spans="1:8" ht="17" x14ac:dyDescent="0.2">
      <c r="A130">
        <v>129</v>
      </c>
      <c r="B130" cm="1">
        <f t="array" ref="B130:G130">_xlfn.XLOOKUP($A130,Instagram_Usage_Lifestyle_Mini_!$A:$A,Instagram_Usage_Lifestyle_Mini_!$W:$AB,"Not Found")</f>
        <v>47.6</v>
      </c>
      <c r="C130">
        <v>8</v>
      </c>
      <c r="D130">
        <v>7</v>
      </c>
      <c r="E130">
        <v>9</v>
      </c>
      <c r="F130">
        <v>3.6</v>
      </c>
      <c r="G130">
        <v>4</v>
      </c>
      <c r="H130" s="13" t="str" cm="1">
        <f t="array" ref="H130">_xlfn.IFS(B130&lt;20,"Low",B130&lt;=40,"Moderate",B130&lt;=60,"High",TRUE,"Very High")</f>
        <v>High</v>
      </c>
    </row>
    <row r="131" spans="1:8" ht="17" x14ac:dyDescent="0.2">
      <c r="A131">
        <v>130</v>
      </c>
      <c r="B131" cm="1">
        <f t="array" ref="B131:G131">_xlfn.XLOOKUP($A131,Instagram_Usage_Lifestyle_Mini_!$A:$A,Instagram_Usage_Lifestyle_Mini_!$W:$AB,"Not Found")</f>
        <v>35.700000000000003</v>
      </c>
      <c r="C131">
        <v>3</v>
      </c>
      <c r="D131">
        <v>3</v>
      </c>
      <c r="E131">
        <v>20</v>
      </c>
      <c r="F131">
        <v>2.2999999999999998</v>
      </c>
      <c r="G131">
        <v>3</v>
      </c>
      <c r="H131" s="13" t="str" cm="1">
        <f t="array" ref="H131">_xlfn.IFS(B131&lt;20,"Low",B131&lt;=40,"Moderate",B131&lt;=60,"High",TRUE,"Very High")</f>
        <v>Moderate</v>
      </c>
    </row>
    <row r="132" spans="1:8" ht="17" x14ac:dyDescent="0.2">
      <c r="A132">
        <v>131</v>
      </c>
      <c r="B132" cm="1">
        <f t="array" ref="B132:G132">_xlfn.XLOOKUP($A132,Instagram_Usage_Lifestyle_Mini_!$A:$A,Instagram_Usage_Lifestyle_Mini_!$W:$AB,"Not Found")</f>
        <v>30.1</v>
      </c>
      <c r="C132">
        <v>3</v>
      </c>
      <c r="D132">
        <v>5</v>
      </c>
      <c r="E132">
        <v>9</v>
      </c>
      <c r="F132">
        <v>2.2999999999999998</v>
      </c>
      <c r="G132">
        <v>3</v>
      </c>
      <c r="H132" s="13" t="str" cm="1">
        <f t="array" ref="H132">_xlfn.IFS(B132&lt;20,"Low",B132&lt;=40,"Moderate",B132&lt;=60,"High",TRUE,"Very High")</f>
        <v>Moderate</v>
      </c>
    </row>
    <row r="133" spans="1:8" ht="17" x14ac:dyDescent="0.2">
      <c r="A133">
        <v>132</v>
      </c>
      <c r="B133" cm="1">
        <f t="array" ref="B133:G133">_xlfn.XLOOKUP($A133,Instagram_Usage_Lifestyle_Mini_!$A:$A,Instagram_Usage_Lifestyle_Mini_!$W:$AB,"Not Found")</f>
        <v>39.4</v>
      </c>
      <c r="C133">
        <v>3</v>
      </c>
      <c r="D133">
        <v>3</v>
      </c>
      <c r="E133">
        <v>4</v>
      </c>
      <c r="F133">
        <v>3.5</v>
      </c>
      <c r="G133">
        <v>0</v>
      </c>
      <c r="H133" s="13" t="str" cm="1">
        <f t="array" ref="H133">_xlfn.IFS(B133&lt;20,"Low",B133&lt;=40,"Moderate",B133&lt;=60,"High",TRUE,"Very High")</f>
        <v>Moderate</v>
      </c>
    </row>
    <row r="134" spans="1:8" ht="17" x14ac:dyDescent="0.2">
      <c r="A134">
        <v>133</v>
      </c>
      <c r="B134" cm="1">
        <f t="array" ref="B134:G134">_xlfn.XLOOKUP($A134,Instagram_Usage_Lifestyle_Mini_!$A:$A,Instagram_Usage_Lifestyle_Mini_!$W:$AB,"Not Found")</f>
        <v>55</v>
      </c>
      <c r="C134">
        <v>2</v>
      </c>
      <c r="D134">
        <v>3</v>
      </c>
      <c r="E134">
        <v>4</v>
      </c>
      <c r="F134">
        <v>4.9000000000000004</v>
      </c>
      <c r="G134">
        <v>3</v>
      </c>
      <c r="H134" s="13" t="str" cm="1">
        <f t="array" ref="H134">_xlfn.IFS(B134&lt;20,"Low",B134&lt;=40,"Moderate",B134&lt;=60,"High",TRUE,"Very High")</f>
        <v>High</v>
      </c>
    </row>
    <row r="135" spans="1:8" ht="17" x14ac:dyDescent="0.2">
      <c r="A135">
        <v>134</v>
      </c>
      <c r="B135" cm="1">
        <f t="array" ref="B135:G135">_xlfn.XLOOKUP($A135,Instagram_Usage_Lifestyle_Mini_!$A:$A,Instagram_Usage_Lifestyle_Mini_!$W:$AB,"Not Found")</f>
        <v>35.200000000000003</v>
      </c>
      <c r="C135">
        <v>3</v>
      </c>
      <c r="D135">
        <v>6</v>
      </c>
      <c r="E135">
        <v>11</v>
      </c>
      <c r="F135">
        <v>0.1</v>
      </c>
      <c r="G135">
        <v>2</v>
      </c>
      <c r="H135" s="13" t="str" cm="1">
        <f t="array" ref="H135">_xlfn.IFS(B135&lt;20,"Low",B135&lt;=40,"Moderate",B135&lt;=60,"High",TRUE,"Very High")</f>
        <v>Moderate</v>
      </c>
    </row>
    <row r="136" spans="1:8" ht="17" x14ac:dyDescent="0.2">
      <c r="A136">
        <v>135</v>
      </c>
      <c r="B136" cm="1">
        <f t="array" ref="B136:G136">_xlfn.XLOOKUP($A136,Instagram_Usage_Lifestyle_Mini_!$A:$A,Instagram_Usage_Lifestyle_Mini_!$W:$AB,"Not Found")</f>
        <v>20.8</v>
      </c>
      <c r="C136">
        <v>2</v>
      </c>
      <c r="D136">
        <v>7</v>
      </c>
      <c r="E136">
        <v>6</v>
      </c>
      <c r="F136">
        <v>2.4</v>
      </c>
      <c r="G136">
        <v>1</v>
      </c>
      <c r="H136" s="13" t="str" cm="1">
        <f t="array" ref="H136">_xlfn.IFS(B136&lt;20,"Low",B136&lt;=40,"Moderate",B136&lt;=60,"High",TRUE,"Very High")</f>
        <v>Moderate</v>
      </c>
    </row>
    <row r="137" spans="1:8" ht="17" x14ac:dyDescent="0.2">
      <c r="A137">
        <v>136</v>
      </c>
      <c r="B137" cm="1">
        <f t="array" ref="B137:G137">_xlfn.XLOOKUP($A137,Instagram_Usage_Lifestyle_Mini_!$A:$A,Instagram_Usage_Lifestyle_Mini_!$W:$AB,"Not Found")</f>
        <v>48.7</v>
      </c>
      <c r="C137">
        <v>3</v>
      </c>
      <c r="D137">
        <v>2</v>
      </c>
      <c r="E137">
        <v>9</v>
      </c>
      <c r="F137">
        <v>3.7</v>
      </c>
      <c r="G137">
        <v>3</v>
      </c>
      <c r="H137" s="13" t="str" cm="1">
        <f t="array" ref="H137">_xlfn.IFS(B137&lt;20,"Low",B137&lt;=40,"Moderate",B137&lt;=60,"High",TRUE,"Very High")</f>
        <v>High</v>
      </c>
    </row>
    <row r="138" spans="1:8" ht="17" x14ac:dyDescent="0.2">
      <c r="A138">
        <v>137</v>
      </c>
      <c r="B138" cm="1">
        <f t="array" ref="B138:G138">_xlfn.XLOOKUP($A138,Instagram_Usage_Lifestyle_Mini_!$A:$A,Instagram_Usage_Lifestyle_Mini_!$W:$AB,"Not Found")</f>
        <v>38.5</v>
      </c>
      <c r="C138">
        <v>2</v>
      </c>
      <c r="D138">
        <v>1</v>
      </c>
      <c r="E138">
        <v>8</v>
      </c>
      <c r="F138">
        <v>4.0999999999999996</v>
      </c>
      <c r="G138">
        <v>5</v>
      </c>
      <c r="H138" s="13" t="str" cm="1">
        <f t="array" ref="H138">_xlfn.IFS(B138&lt;20,"Low",B138&lt;=40,"Moderate",B138&lt;=60,"High",TRUE,"Very High")</f>
        <v>Moderate</v>
      </c>
    </row>
    <row r="139" spans="1:8" ht="17" x14ac:dyDescent="0.2">
      <c r="A139">
        <v>138</v>
      </c>
      <c r="B139" cm="1">
        <f t="array" ref="B139:G139">_xlfn.XLOOKUP($A139,Instagram_Usage_Lifestyle_Mini_!$A:$A,Instagram_Usage_Lifestyle_Mini_!$W:$AB,"Not Found")</f>
        <v>29.8</v>
      </c>
      <c r="C139">
        <v>4</v>
      </c>
      <c r="D139">
        <v>1</v>
      </c>
      <c r="E139">
        <v>13</v>
      </c>
      <c r="F139">
        <v>2.9</v>
      </c>
      <c r="G139">
        <v>2</v>
      </c>
      <c r="H139" s="13" t="str" cm="1">
        <f t="array" ref="H139">_xlfn.IFS(B139&lt;20,"Low",B139&lt;=40,"Moderate",B139&lt;=60,"High",TRUE,"Very High")</f>
        <v>Moderate</v>
      </c>
    </row>
    <row r="140" spans="1:8" ht="17" x14ac:dyDescent="0.2">
      <c r="A140">
        <v>139</v>
      </c>
      <c r="B140" cm="1">
        <f t="array" ref="B140:G140">_xlfn.XLOOKUP($A140,Instagram_Usage_Lifestyle_Mini_!$A:$A,Instagram_Usage_Lifestyle_Mini_!$W:$AB,"Not Found")</f>
        <v>36.4</v>
      </c>
      <c r="C140">
        <v>4</v>
      </c>
      <c r="D140">
        <v>8</v>
      </c>
      <c r="E140">
        <v>11</v>
      </c>
      <c r="F140">
        <v>4.5</v>
      </c>
      <c r="G140">
        <v>4</v>
      </c>
      <c r="H140" s="13" t="str" cm="1">
        <f t="array" ref="H140">_xlfn.IFS(B140&lt;20,"Low",B140&lt;=40,"Moderate",B140&lt;=60,"High",TRUE,"Very High")</f>
        <v>Moderate</v>
      </c>
    </row>
    <row r="141" spans="1:8" ht="17" x14ac:dyDescent="0.2">
      <c r="A141">
        <v>140</v>
      </c>
      <c r="B141" cm="1">
        <f t="array" ref="B141:G141">_xlfn.XLOOKUP($A141,Instagram_Usage_Lifestyle_Mini_!$A:$A,Instagram_Usage_Lifestyle_Mini_!$W:$AB,"Not Found")</f>
        <v>37.4</v>
      </c>
      <c r="C141">
        <v>4</v>
      </c>
      <c r="D141">
        <v>4</v>
      </c>
      <c r="E141">
        <v>11</v>
      </c>
      <c r="F141">
        <v>6.4</v>
      </c>
      <c r="G141">
        <v>2</v>
      </c>
      <c r="H141" s="13" t="str" cm="1">
        <f t="array" ref="H141">_xlfn.IFS(B141&lt;20,"Low",B141&lt;=40,"Moderate",B141&lt;=60,"High",TRUE,"Very High")</f>
        <v>Moderate</v>
      </c>
    </row>
    <row r="142" spans="1:8" ht="17" x14ac:dyDescent="0.2">
      <c r="A142">
        <v>141</v>
      </c>
      <c r="B142" cm="1">
        <f t="array" ref="B142:G142">_xlfn.XLOOKUP($A142,Instagram_Usage_Lifestyle_Mini_!$A:$A,Instagram_Usage_Lifestyle_Mini_!$W:$AB,"Not Found")</f>
        <v>38</v>
      </c>
      <c r="C142">
        <v>3</v>
      </c>
      <c r="D142">
        <v>3</v>
      </c>
      <c r="E142">
        <v>11</v>
      </c>
      <c r="F142">
        <v>2.2000000000000002</v>
      </c>
      <c r="G142">
        <v>3</v>
      </c>
      <c r="H142" s="13" t="str" cm="1">
        <f t="array" ref="H142">_xlfn.IFS(B142&lt;20,"Low",B142&lt;=40,"Moderate",B142&lt;=60,"High",TRUE,"Very High")</f>
        <v>Moderate</v>
      </c>
    </row>
    <row r="143" spans="1:8" ht="17" x14ac:dyDescent="0.2">
      <c r="A143">
        <v>142</v>
      </c>
      <c r="B143" cm="1">
        <f t="array" ref="B143:G143">_xlfn.XLOOKUP($A143,Instagram_Usage_Lifestyle_Mini_!$A:$A,Instagram_Usage_Lifestyle_Mini_!$W:$AB,"Not Found")</f>
        <v>57.3</v>
      </c>
      <c r="C143">
        <v>6</v>
      </c>
      <c r="D143">
        <v>9</v>
      </c>
      <c r="E143">
        <v>11</v>
      </c>
      <c r="F143">
        <v>8</v>
      </c>
      <c r="G143">
        <v>0</v>
      </c>
      <c r="H143" s="13" t="str" cm="1">
        <f t="array" ref="H143">_xlfn.IFS(B143&lt;20,"Low",B143&lt;=40,"Moderate",B143&lt;=60,"High",TRUE,"Very High")</f>
        <v>High</v>
      </c>
    </row>
    <row r="144" spans="1:8" ht="17" x14ac:dyDescent="0.2">
      <c r="A144">
        <v>143</v>
      </c>
      <c r="B144" cm="1">
        <f t="array" ref="B144:G144">_xlfn.XLOOKUP($A144,Instagram_Usage_Lifestyle_Mini_!$A:$A,Instagram_Usage_Lifestyle_Mini_!$W:$AB,"Not Found")</f>
        <v>54.5</v>
      </c>
      <c r="C144">
        <v>1</v>
      </c>
      <c r="D144">
        <v>4</v>
      </c>
      <c r="E144">
        <v>5</v>
      </c>
      <c r="F144">
        <v>1.4</v>
      </c>
      <c r="G144">
        <v>3</v>
      </c>
      <c r="H144" s="13" t="str" cm="1">
        <f t="array" ref="H144">_xlfn.IFS(B144&lt;20,"Low",B144&lt;=40,"Moderate",B144&lt;=60,"High",TRUE,"Very High")</f>
        <v>High</v>
      </c>
    </row>
    <row r="145" spans="1:8" ht="17" x14ac:dyDescent="0.2">
      <c r="A145">
        <v>144</v>
      </c>
      <c r="B145" cm="1">
        <f t="array" ref="B145:G145">_xlfn.XLOOKUP($A145,Instagram_Usage_Lifestyle_Mini_!$A:$A,Instagram_Usage_Lifestyle_Mini_!$W:$AB,"Not Found")</f>
        <v>46</v>
      </c>
      <c r="C145">
        <v>1</v>
      </c>
      <c r="D145">
        <v>3</v>
      </c>
      <c r="E145">
        <v>12</v>
      </c>
      <c r="F145">
        <v>0.5</v>
      </c>
      <c r="G145">
        <v>3</v>
      </c>
      <c r="H145" s="13" t="str" cm="1">
        <f t="array" ref="H145">_xlfn.IFS(B145&lt;20,"Low",B145&lt;=40,"Moderate",B145&lt;=60,"High",TRUE,"Very High")</f>
        <v>High</v>
      </c>
    </row>
    <row r="146" spans="1:8" ht="17" x14ac:dyDescent="0.2">
      <c r="A146">
        <v>145</v>
      </c>
      <c r="B146" cm="1">
        <f t="array" ref="B146:G146">_xlfn.XLOOKUP($A146,Instagram_Usage_Lifestyle_Mini_!$A:$A,Instagram_Usage_Lifestyle_Mini_!$W:$AB,"Not Found")</f>
        <v>31.7</v>
      </c>
      <c r="C146">
        <v>0</v>
      </c>
      <c r="D146">
        <v>8</v>
      </c>
      <c r="E146">
        <v>11</v>
      </c>
      <c r="F146">
        <v>3.6</v>
      </c>
      <c r="G146">
        <v>7</v>
      </c>
      <c r="H146" s="13" t="str" cm="1">
        <f t="array" ref="H146">_xlfn.IFS(B146&lt;20,"Low",B146&lt;=40,"Moderate",B146&lt;=60,"High",TRUE,"Very High")</f>
        <v>Moderate</v>
      </c>
    </row>
    <row r="147" spans="1:8" ht="17" x14ac:dyDescent="0.2">
      <c r="A147">
        <v>146</v>
      </c>
      <c r="B147" cm="1">
        <f t="array" ref="B147:G147">_xlfn.XLOOKUP($A147,Instagram_Usage_Lifestyle_Mini_!$A:$A,Instagram_Usage_Lifestyle_Mini_!$W:$AB,"Not Found")</f>
        <v>22.8</v>
      </c>
      <c r="C147">
        <v>3</v>
      </c>
      <c r="D147">
        <v>4</v>
      </c>
      <c r="E147">
        <v>6</v>
      </c>
      <c r="F147">
        <v>2.5</v>
      </c>
      <c r="G147">
        <v>2</v>
      </c>
      <c r="H147" s="13" t="str" cm="1">
        <f t="array" ref="H147">_xlfn.IFS(B147&lt;20,"Low",B147&lt;=40,"Moderate",B147&lt;=60,"High",TRUE,"Very High")</f>
        <v>Moderate</v>
      </c>
    </row>
    <row r="148" spans="1:8" ht="17" x14ac:dyDescent="0.2">
      <c r="A148">
        <v>147</v>
      </c>
      <c r="B148" cm="1">
        <f t="array" ref="B148:G148">_xlfn.XLOOKUP($A148,Instagram_Usage_Lifestyle_Mini_!$A:$A,Instagram_Usage_Lifestyle_Mini_!$W:$AB,"Not Found")</f>
        <v>33.200000000000003</v>
      </c>
      <c r="C148">
        <v>3</v>
      </c>
      <c r="D148">
        <v>2</v>
      </c>
      <c r="E148">
        <v>7</v>
      </c>
      <c r="F148">
        <v>6.8</v>
      </c>
      <c r="G148">
        <v>4</v>
      </c>
      <c r="H148" s="13" t="str" cm="1">
        <f t="array" ref="H148">_xlfn.IFS(B148&lt;20,"Low",B148&lt;=40,"Moderate",B148&lt;=60,"High",TRUE,"Very High")</f>
        <v>Moderate</v>
      </c>
    </row>
    <row r="149" spans="1:8" ht="17" x14ac:dyDescent="0.2">
      <c r="A149">
        <v>148</v>
      </c>
      <c r="B149" cm="1">
        <f t="array" ref="B149:G149">_xlfn.XLOOKUP($A149,Instagram_Usage_Lifestyle_Mini_!$A:$A,Instagram_Usage_Lifestyle_Mini_!$W:$AB,"Not Found")</f>
        <v>31.6</v>
      </c>
      <c r="C149">
        <v>1</v>
      </c>
      <c r="D149">
        <v>3</v>
      </c>
      <c r="E149">
        <v>11</v>
      </c>
      <c r="F149">
        <v>0.9</v>
      </c>
      <c r="G149">
        <v>2</v>
      </c>
      <c r="H149" s="13" t="str" cm="1">
        <f t="array" ref="H149">_xlfn.IFS(B149&lt;20,"Low",B149&lt;=40,"Moderate",B149&lt;=60,"High",TRUE,"Very High")</f>
        <v>Moderate</v>
      </c>
    </row>
    <row r="150" spans="1:8" ht="17" x14ac:dyDescent="0.2">
      <c r="A150">
        <v>149</v>
      </c>
      <c r="B150" cm="1">
        <f t="array" ref="B150:G150">_xlfn.XLOOKUP($A150,Instagram_Usage_Lifestyle_Mini_!$A:$A,Instagram_Usage_Lifestyle_Mini_!$W:$AB,"Not Found")</f>
        <v>26.4</v>
      </c>
      <c r="C150">
        <v>4</v>
      </c>
      <c r="D150">
        <v>3</v>
      </c>
      <c r="E150">
        <v>10</v>
      </c>
      <c r="F150">
        <v>2.7</v>
      </c>
      <c r="G150">
        <v>5</v>
      </c>
      <c r="H150" s="13" t="str" cm="1">
        <f t="array" ref="H150">_xlfn.IFS(B150&lt;20,"Low",B150&lt;=40,"Moderate",B150&lt;=60,"High",TRUE,"Very High")</f>
        <v>Moderate</v>
      </c>
    </row>
    <row r="151" spans="1:8" ht="17" x14ac:dyDescent="0.2">
      <c r="A151">
        <v>150</v>
      </c>
      <c r="B151" cm="1">
        <f t="array" ref="B151:G151">_xlfn.XLOOKUP($A151,Instagram_Usage_Lifestyle_Mini_!$A:$A,Instagram_Usage_Lifestyle_Mini_!$W:$AB,"Not Found")</f>
        <v>42.1</v>
      </c>
      <c r="C151">
        <v>1</v>
      </c>
      <c r="D151">
        <v>5</v>
      </c>
      <c r="E151">
        <v>10</v>
      </c>
      <c r="F151">
        <v>4.5</v>
      </c>
      <c r="G151">
        <v>0</v>
      </c>
      <c r="H151" s="13" t="str" cm="1">
        <f t="array" ref="H151">_xlfn.IFS(B151&lt;20,"Low",B151&lt;=40,"Moderate",B151&lt;=60,"High",TRUE,"Very High")</f>
        <v>High</v>
      </c>
    </row>
    <row r="152" spans="1:8" ht="17" x14ac:dyDescent="0.2">
      <c r="A152">
        <v>151</v>
      </c>
      <c r="B152" cm="1">
        <f t="array" ref="B152:G152">_xlfn.XLOOKUP($A152,Instagram_Usage_Lifestyle_Mini_!$A:$A,Instagram_Usage_Lifestyle_Mini_!$W:$AB,"Not Found")</f>
        <v>40.9</v>
      </c>
      <c r="C152">
        <v>4</v>
      </c>
      <c r="D152">
        <v>3</v>
      </c>
      <c r="E152">
        <v>13</v>
      </c>
      <c r="F152">
        <v>1.6</v>
      </c>
      <c r="G152">
        <v>4</v>
      </c>
      <c r="H152" s="13" t="str" cm="1">
        <f t="array" ref="H152">_xlfn.IFS(B152&lt;20,"Low",B152&lt;=40,"Moderate",B152&lt;=60,"High",TRUE,"Very High")</f>
        <v>High</v>
      </c>
    </row>
    <row r="153" spans="1:8" ht="17" x14ac:dyDescent="0.2">
      <c r="A153">
        <v>152</v>
      </c>
      <c r="B153" cm="1">
        <f t="array" ref="B153:G153">_xlfn.XLOOKUP($A153,Instagram_Usage_Lifestyle_Mini_!$A:$A,Instagram_Usage_Lifestyle_Mini_!$W:$AB,"Not Found")</f>
        <v>46.7</v>
      </c>
      <c r="C153">
        <v>2</v>
      </c>
      <c r="D153">
        <v>0</v>
      </c>
      <c r="E153">
        <v>8</v>
      </c>
      <c r="F153">
        <v>5.9</v>
      </c>
      <c r="G153">
        <v>3</v>
      </c>
      <c r="H153" s="13" t="str" cm="1">
        <f t="array" ref="H153">_xlfn.IFS(B153&lt;20,"Low",B153&lt;=40,"Moderate",B153&lt;=60,"High",TRUE,"Very High")</f>
        <v>High</v>
      </c>
    </row>
    <row r="154" spans="1:8" ht="17" x14ac:dyDescent="0.2">
      <c r="A154">
        <v>153</v>
      </c>
      <c r="B154" cm="1">
        <f t="array" ref="B154:G154">_xlfn.XLOOKUP($A154,Instagram_Usage_Lifestyle_Mini_!$A:$A,Instagram_Usage_Lifestyle_Mini_!$W:$AB,"Not Found")</f>
        <v>27</v>
      </c>
      <c r="C154">
        <v>1</v>
      </c>
      <c r="D154">
        <v>2</v>
      </c>
      <c r="E154">
        <v>14</v>
      </c>
      <c r="F154">
        <v>4</v>
      </c>
      <c r="G154">
        <v>3</v>
      </c>
      <c r="H154" s="13" t="str" cm="1">
        <f t="array" ref="H154">_xlfn.IFS(B154&lt;20,"Low",B154&lt;=40,"Moderate",B154&lt;=60,"High",TRUE,"Very High")</f>
        <v>Moderate</v>
      </c>
    </row>
    <row r="155" spans="1:8" ht="17" x14ac:dyDescent="0.2">
      <c r="A155">
        <v>154</v>
      </c>
      <c r="B155" cm="1">
        <f t="array" ref="B155:G155">_xlfn.XLOOKUP($A155,Instagram_Usage_Lifestyle_Mini_!$A:$A,Instagram_Usage_Lifestyle_Mini_!$W:$AB,"Not Found")</f>
        <v>37</v>
      </c>
      <c r="C155">
        <v>0</v>
      </c>
      <c r="D155">
        <v>5</v>
      </c>
      <c r="E155">
        <v>12</v>
      </c>
      <c r="F155">
        <v>6</v>
      </c>
      <c r="G155">
        <v>3</v>
      </c>
      <c r="H155" s="13" t="str" cm="1">
        <f t="array" ref="H155">_xlfn.IFS(B155&lt;20,"Low",B155&lt;=40,"Moderate",B155&lt;=60,"High",TRUE,"Very High")</f>
        <v>Moderate</v>
      </c>
    </row>
    <row r="156" spans="1:8" ht="17" x14ac:dyDescent="0.2">
      <c r="A156">
        <v>155</v>
      </c>
      <c r="B156" cm="1">
        <f t="array" ref="B156:G156">_xlfn.XLOOKUP($A156,Instagram_Usage_Lifestyle_Mini_!$A:$A,Instagram_Usage_Lifestyle_Mini_!$W:$AB,"Not Found")</f>
        <v>53.1</v>
      </c>
      <c r="C156">
        <v>6</v>
      </c>
      <c r="D156">
        <v>4</v>
      </c>
      <c r="E156">
        <v>13</v>
      </c>
      <c r="F156">
        <v>5.4</v>
      </c>
      <c r="G156">
        <v>0</v>
      </c>
      <c r="H156" s="13" t="str" cm="1">
        <f t="array" ref="H156">_xlfn.IFS(B156&lt;20,"Low",B156&lt;=40,"Moderate",B156&lt;=60,"High",TRUE,"Very High")</f>
        <v>High</v>
      </c>
    </row>
    <row r="157" spans="1:8" ht="17" x14ac:dyDescent="0.2">
      <c r="A157">
        <v>156</v>
      </c>
      <c r="B157" cm="1">
        <f t="array" ref="B157:G157">_xlfn.XLOOKUP($A157,Instagram_Usage_Lifestyle_Mini_!$A:$A,Instagram_Usage_Lifestyle_Mini_!$W:$AB,"Not Found")</f>
        <v>38.6</v>
      </c>
      <c r="C157">
        <v>0</v>
      </c>
      <c r="D157">
        <v>3</v>
      </c>
      <c r="E157">
        <v>8</v>
      </c>
      <c r="F157">
        <v>2.4</v>
      </c>
      <c r="G157">
        <v>4</v>
      </c>
      <c r="H157" s="13" t="str" cm="1">
        <f t="array" ref="H157">_xlfn.IFS(B157&lt;20,"Low",B157&lt;=40,"Moderate",B157&lt;=60,"High",TRUE,"Very High")</f>
        <v>Moderate</v>
      </c>
    </row>
    <row r="158" spans="1:8" ht="17" x14ac:dyDescent="0.2">
      <c r="A158">
        <v>157</v>
      </c>
      <c r="B158" cm="1">
        <f t="array" ref="B158:G158">_xlfn.XLOOKUP($A158,Instagram_Usage_Lifestyle_Mini_!$A:$A,Instagram_Usage_Lifestyle_Mini_!$W:$AB,"Not Found")</f>
        <v>51.5</v>
      </c>
      <c r="C158">
        <v>5</v>
      </c>
      <c r="D158">
        <v>6</v>
      </c>
      <c r="E158">
        <v>18</v>
      </c>
      <c r="F158">
        <v>2.7</v>
      </c>
      <c r="G158">
        <v>2</v>
      </c>
      <c r="H158" s="13" t="str" cm="1">
        <f t="array" ref="H158">_xlfn.IFS(B158&lt;20,"Low",B158&lt;=40,"Moderate",B158&lt;=60,"High",TRUE,"Very High")</f>
        <v>High</v>
      </c>
    </row>
    <row r="159" spans="1:8" ht="17" x14ac:dyDescent="0.2">
      <c r="A159">
        <v>158</v>
      </c>
      <c r="B159" cm="1">
        <f t="array" ref="B159:G159">_xlfn.XLOOKUP($A159,Instagram_Usage_Lifestyle_Mini_!$A:$A,Instagram_Usage_Lifestyle_Mini_!$W:$AB,"Not Found")</f>
        <v>36.200000000000003</v>
      </c>
      <c r="C159">
        <v>2</v>
      </c>
      <c r="D159">
        <v>5</v>
      </c>
      <c r="E159">
        <v>12</v>
      </c>
      <c r="F159">
        <v>2.6</v>
      </c>
      <c r="G159">
        <v>4</v>
      </c>
      <c r="H159" s="13" t="str" cm="1">
        <f t="array" ref="H159">_xlfn.IFS(B159&lt;20,"Low",B159&lt;=40,"Moderate",B159&lt;=60,"High",TRUE,"Very High")</f>
        <v>Moderate</v>
      </c>
    </row>
    <row r="160" spans="1:8" ht="17" x14ac:dyDescent="0.2">
      <c r="A160">
        <v>159</v>
      </c>
      <c r="B160" cm="1">
        <f t="array" ref="B160:G160">_xlfn.XLOOKUP($A160,Instagram_Usage_Lifestyle_Mini_!$A:$A,Instagram_Usage_Lifestyle_Mini_!$W:$AB,"Not Found")</f>
        <v>47.9</v>
      </c>
      <c r="C160">
        <v>4</v>
      </c>
      <c r="D160">
        <v>3</v>
      </c>
      <c r="E160">
        <v>10</v>
      </c>
      <c r="F160">
        <v>7.1</v>
      </c>
      <c r="G160">
        <v>3</v>
      </c>
      <c r="H160" s="13" t="str" cm="1">
        <f t="array" ref="H160">_xlfn.IFS(B160&lt;20,"Low",B160&lt;=40,"Moderate",B160&lt;=60,"High",TRUE,"Very High")</f>
        <v>High</v>
      </c>
    </row>
    <row r="161" spans="1:8" ht="17" x14ac:dyDescent="0.2">
      <c r="A161">
        <v>160</v>
      </c>
      <c r="B161" cm="1">
        <f t="array" ref="B161:G161">_xlfn.XLOOKUP($A161,Instagram_Usage_Lifestyle_Mini_!$A:$A,Instagram_Usage_Lifestyle_Mini_!$W:$AB,"Not Found")</f>
        <v>33.6</v>
      </c>
      <c r="C161">
        <v>5</v>
      </c>
      <c r="D161">
        <v>3</v>
      </c>
      <c r="E161">
        <v>6</v>
      </c>
      <c r="F161">
        <v>2.6</v>
      </c>
      <c r="G161">
        <v>3</v>
      </c>
      <c r="H161" s="13" t="str" cm="1">
        <f t="array" ref="H161">_xlfn.IFS(B161&lt;20,"Low",B161&lt;=40,"Moderate",B161&lt;=60,"High",TRUE,"Very High")</f>
        <v>Moderate</v>
      </c>
    </row>
    <row r="162" spans="1:8" ht="17" x14ac:dyDescent="0.2">
      <c r="A162">
        <v>161</v>
      </c>
      <c r="B162" cm="1">
        <f t="array" ref="B162:G162">_xlfn.XLOOKUP($A162,Instagram_Usage_Lifestyle_Mini_!$A:$A,Instagram_Usage_Lifestyle_Mini_!$W:$AB,"Not Found")</f>
        <v>34.5</v>
      </c>
      <c r="C162">
        <v>2</v>
      </c>
      <c r="D162">
        <v>2</v>
      </c>
      <c r="E162">
        <v>13</v>
      </c>
      <c r="F162">
        <v>5</v>
      </c>
      <c r="G162">
        <v>4</v>
      </c>
      <c r="H162" s="13" t="str" cm="1">
        <f t="array" ref="H162">_xlfn.IFS(B162&lt;20,"Low",B162&lt;=40,"Moderate",B162&lt;=60,"High",TRUE,"Very High")</f>
        <v>Moderate</v>
      </c>
    </row>
    <row r="163" spans="1:8" ht="17" x14ac:dyDescent="0.2">
      <c r="A163">
        <v>162</v>
      </c>
      <c r="B163" cm="1">
        <f t="array" ref="B163:G163">_xlfn.XLOOKUP($A163,Instagram_Usage_Lifestyle_Mini_!$A:$A,Instagram_Usage_Lifestyle_Mini_!$W:$AB,"Not Found")</f>
        <v>48.8</v>
      </c>
      <c r="C163">
        <v>4</v>
      </c>
      <c r="D163">
        <v>3</v>
      </c>
      <c r="E163">
        <v>8</v>
      </c>
      <c r="F163">
        <v>2.5</v>
      </c>
      <c r="G163">
        <v>4</v>
      </c>
      <c r="H163" s="13" t="str" cm="1">
        <f t="array" ref="H163">_xlfn.IFS(B163&lt;20,"Low",B163&lt;=40,"Moderate",B163&lt;=60,"High",TRUE,"Very High")</f>
        <v>High</v>
      </c>
    </row>
    <row r="164" spans="1:8" ht="17" x14ac:dyDescent="0.2">
      <c r="A164">
        <v>163</v>
      </c>
      <c r="B164" cm="1">
        <f t="array" ref="B164:G164">_xlfn.XLOOKUP($A164,Instagram_Usage_Lifestyle_Mini_!$A:$A,Instagram_Usage_Lifestyle_Mini_!$W:$AB,"Not Found")</f>
        <v>41.9</v>
      </c>
      <c r="C164">
        <v>1</v>
      </c>
      <c r="D164">
        <v>3</v>
      </c>
      <c r="E164">
        <v>11</v>
      </c>
      <c r="F164">
        <v>2.2000000000000002</v>
      </c>
      <c r="G164">
        <v>3</v>
      </c>
      <c r="H164" s="13" t="str" cm="1">
        <f t="array" ref="H164">_xlfn.IFS(B164&lt;20,"Low",B164&lt;=40,"Moderate",B164&lt;=60,"High",TRUE,"Very High")</f>
        <v>High</v>
      </c>
    </row>
    <row r="165" spans="1:8" ht="17" x14ac:dyDescent="0.2">
      <c r="A165">
        <v>164</v>
      </c>
      <c r="B165" cm="1">
        <f t="array" ref="B165:G165">_xlfn.XLOOKUP($A165,Instagram_Usage_Lifestyle_Mini_!$A:$A,Instagram_Usage_Lifestyle_Mini_!$W:$AB,"Not Found")</f>
        <v>49.4</v>
      </c>
      <c r="C165">
        <v>3</v>
      </c>
      <c r="D165">
        <v>6</v>
      </c>
      <c r="E165">
        <v>9</v>
      </c>
      <c r="F165">
        <v>0.5</v>
      </c>
      <c r="G165">
        <v>2</v>
      </c>
      <c r="H165" s="13" t="str" cm="1">
        <f t="array" ref="H165">_xlfn.IFS(B165&lt;20,"Low",B165&lt;=40,"Moderate",B165&lt;=60,"High",TRUE,"Very High")</f>
        <v>High</v>
      </c>
    </row>
    <row r="166" spans="1:8" ht="17" x14ac:dyDescent="0.2">
      <c r="A166">
        <v>165</v>
      </c>
      <c r="B166" cm="1">
        <f t="array" ref="B166:G166">_xlfn.XLOOKUP($A166,Instagram_Usage_Lifestyle_Mini_!$A:$A,Instagram_Usage_Lifestyle_Mini_!$W:$AB,"Not Found")</f>
        <v>36.5</v>
      </c>
      <c r="C166">
        <v>6</v>
      </c>
      <c r="D166">
        <v>5</v>
      </c>
      <c r="E166">
        <v>10</v>
      </c>
      <c r="F166">
        <v>1</v>
      </c>
      <c r="G166">
        <v>0</v>
      </c>
      <c r="H166" s="13" t="str" cm="1">
        <f t="array" ref="H166">_xlfn.IFS(B166&lt;20,"Low",B166&lt;=40,"Moderate",B166&lt;=60,"High",TRUE,"Very High")</f>
        <v>Moderate</v>
      </c>
    </row>
    <row r="167" spans="1:8" ht="17" x14ac:dyDescent="0.2">
      <c r="A167">
        <v>166</v>
      </c>
      <c r="B167" cm="1">
        <f t="array" ref="B167:G167">_xlfn.XLOOKUP($A167,Instagram_Usage_Lifestyle_Mini_!$A:$A,Instagram_Usage_Lifestyle_Mini_!$W:$AB,"Not Found")</f>
        <v>54.9</v>
      </c>
      <c r="C167">
        <v>4</v>
      </c>
      <c r="D167">
        <v>2</v>
      </c>
      <c r="E167">
        <v>13</v>
      </c>
      <c r="F167">
        <v>6.4</v>
      </c>
      <c r="G167">
        <v>5</v>
      </c>
      <c r="H167" s="13" t="str" cm="1">
        <f t="array" ref="H167">_xlfn.IFS(B167&lt;20,"Low",B167&lt;=40,"Moderate",B167&lt;=60,"High",TRUE,"Very High")</f>
        <v>High</v>
      </c>
    </row>
    <row r="168" spans="1:8" ht="17" x14ac:dyDescent="0.2">
      <c r="A168">
        <v>167</v>
      </c>
      <c r="B168" cm="1">
        <f t="array" ref="B168:G168">_xlfn.XLOOKUP($A168,Instagram_Usage_Lifestyle_Mini_!$A:$A,Instagram_Usage_Lifestyle_Mini_!$W:$AB,"Not Found")</f>
        <v>40.700000000000003</v>
      </c>
      <c r="C168">
        <v>3</v>
      </c>
      <c r="D168">
        <v>5</v>
      </c>
      <c r="E168">
        <v>9</v>
      </c>
      <c r="F168">
        <v>7.6</v>
      </c>
      <c r="G168">
        <v>0</v>
      </c>
      <c r="H168" s="13" t="str" cm="1">
        <f t="array" ref="H168">_xlfn.IFS(B168&lt;20,"Low",B168&lt;=40,"Moderate",B168&lt;=60,"High",TRUE,"Very High")</f>
        <v>High</v>
      </c>
    </row>
    <row r="169" spans="1:8" ht="17" x14ac:dyDescent="0.2">
      <c r="A169">
        <v>168</v>
      </c>
      <c r="B169" cm="1">
        <f t="array" ref="B169:G169">_xlfn.XLOOKUP($A169,Instagram_Usage_Lifestyle_Mini_!$A:$A,Instagram_Usage_Lifestyle_Mini_!$W:$AB,"Not Found")</f>
        <v>61.9</v>
      </c>
      <c r="C169">
        <v>4</v>
      </c>
      <c r="D169">
        <v>5</v>
      </c>
      <c r="E169">
        <v>7</v>
      </c>
      <c r="F169">
        <v>3.2</v>
      </c>
      <c r="G169">
        <v>7</v>
      </c>
      <c r="H169" s="13" t="str" cm="1">
        <f t="array" ref="H169">_xlfn.IFS(B169&lt;20,"Low",B169&lt;=40,"Moderate",B169&lt;=60,"High",TRUE,"Very High")</f>
        <v>Very High</v>
      </c>
    </row>
    <row r="170" spans="1:8" ht="17" x14ac:dyDescent="0.2">
      <c r="A170">
        <v>169</v>
      </c>
      <c r="B170" cm="1">
        <f t="array" ref="B170:G170">_xlfn.XLOOKUP($A170,Instagram_Usage_Lifestyle_Mini_!$A:$A,Instagram_Usage_Lifestyle_Mini_!$W:$AB,"Not Found")</f>
        <v>35.200000000000003</v>
      </c>
      <c r="C170">
        <v>2</v>
      </c>
      <c r="D170">
        <v>4</v>
      </c>
      <c r="E170">
        <v>8</v>
      </c>
      <c r="F170">
        <v>1.7</v>
      </c>
      <c r="G170">
        <v>2</v>
      </c>
      <c r="H170" s="13" t="str" cm="1">
        <f t="array" ref="H170">_xlfn.IFS(B170&lt;20,"Low",B170&lt;=40,"Moderate",B170&lt;=60,"High",TRUE,"Very High")</f>
        <v>Moderate</v>
      </c>
    </row>
    <row r="171" spans="1:8" ht="17" x14ac:dyDescent="0.2">
      <c r="A171">
        <v>170</v>
      </c>
      <c r="B171" cm="1">
        <f t="array" ref="B171:G171">_xlfn.XLOOKUP($A171,Instagram_Usage_Lifestyle_Mini_!$A:$A,Instagram_Usage_Lifestyle_Mini_!$W:$AB,"Not Found")</f>
        <v>41.4</v>
      </c>
      <c r="C171">
        <v>2</v>
      </c>
      <c r="D171">
        <v>1</v>
      </c>
      <c r="E171">
        <v>11</v>
      </c>
      <c r="F171">
        <v>4.2</v>
      </c>
      <c r="G171">
        <v>5</v>
      </c>
      <c r="H171" s="13" t="str" cm="1">
        <f t="array" ref="H171">_xlfn.IFS(B171&lt;20,"Low",B171&lt;=40,"Moderate",B171&lt;=60,"High",TRUE,"Very High")</f>
        <v>High</v>
      </c>
    </row>
    <row r="172" spans="1:8" ht="17" x14ac:dyDescent="0.2">
      <c r="A172">
        <v>171</v>
      </c>
      <c r="B172" cm="1">
        <f t="array" ref="B172:G172">_xlfn.XLOOKUP($A172,Instagram_Usage_Lifestyle_Mini_!$A:$A,Instagram_Usage_Lifestyle_Mini_!$W:$AB,"Not Found")</f>
        <v>28.7</v>
      </c>
      <c r="C172">
        <v>3</v>
      </c>
      <c r="D172">
        <v>5</v>
      </c>
      <c r="E172">
        <v>12</v>
      </c>
      <c r="F172">
        <v>7.6</v>
      </c>
      <c r="G172">
        <v>2</v>
      </c>
      <c r="H172" s="13" t="str" cm="1">
        <f t="array" ref="H172">_xlfn.IFS(B172&lt;20,"Low",B172&lt;=40,"Moderate",B172&lt;=60,"High",TRUE,"Very High")</f>
        <v>Moderate</v>
      </c>
    </row>
    <row r="173" spans="1:8" ht="17" x14ac:dyDescent="0.2">
      <c r="A173">
        <v>172</v>
      </c>
      <c r="B173" cm="1">
        <f t="array" ref="B173:G173">_xlfn.XLOOKUP($A173,Instagram_Usage_Lifestyle_Mini_!$A:$A,Instagram_Usage_Lifestyle_Mini_!$W:$AB,"Not Found")</f>
        <v>33.9</v>
      </c>
      <c r="C173">
        <v>2</v>
      </c>
      <c r="D173">
        <v>3</v>
      </c>
      <c r="E173">
        <v>8</v>
      </c>
      <c r="F173">
        <v>0.3</v>
      </c>
      <c r="G173">
        <v>1</v>
      </c>
      <c r="H173" s="13" t="str" cm="1">
        <f t="array" ref="H173">_xlfn.IFS(B173&lt;20,"Low",B173&lt;=40,"Moderate",B173&lt;=60,"High",TRUE,"Very High")</f>
        <v>Moderate</v>
      </c>
    </row>
    <row r="174" spans="1:8" ht="17" x14ac:dyDescent="0.2">
      <c r="A174">
        <v>173</v>
      </c>
      <c r="B174" cm="1">
        <f t="array" ref="B174:G174">_xlfn.XLOOKUP($A174,Instagram_Usage_Lifestyle_Mini_!$A:$A,Instagram_Usage_Lifestyle_Mini_!$W:$AB,"Not Found")</f>
        <v>40</v>
      </c>
      <c r="C174">
        <v>3</v>
      </c>
      <c r="D174">
        <v>4</v>
      </c>
      <c r="E174">
        <v>13</v>
      </c>
      <c r="F174">
        <v>4.0999999999999996</v>
      </c>
      <c r="G174">
        <v>4</v>
      </c>
      <c r="H174" s="13" t="str" cm="1">
        <f t="array" ref="H174">_xlfn.IFS(B174&lt;20,"Low",B174&lt;=40,"Moderate",B174&lt;=60,"High",TRUE,"Very High")</f>
        <v>Moderate</v>
      </c>
    </row>
    <row r="175" spans="1:8" ht="17" x14ac:dyDescent="0.2">
      <c r="A175">
        <v>174</v>
      </c>
      <c r="B175" cm="1">
        <f t="array" ref="B175:G175">_xlfn.XLOOKUP($A175,Instagram_Usage_Lifestyle_Mini_!$A:$A,Instagram_Usage_Lifestyle_Mini_!$W:$AB,"Not Found")</f>
        <v>16.100000000000001</v>
      </c>
      <c r="C175">
        <v>4</v>
      </c>
      <c r="D175">
        <v>4</v>
      </c>
      <c r="E175">
        <v>16</v>
      </c>
      <c r="F175">
        <v>6.6</v>
      </c>
      <c r="G175">
        <v>3</v>
      </c>
      <c r="H175" s="13" t="str" cm="1">
        <f t="array" ref="H175">_xlfn.IFS(B175&lt;20,"Low",B175&lt;=40,"Moderate",B175&lt;=60,"High",TRUE,"Very High")</f>
        <v>Low</v>
      </c>
    </row>
    <row r="176" spans="1:8" ht="17" x14ac:dyDescent="0.2">
      <c r="A176">
        <v>175</v>
      </c>
      <c r="B176" cm="1">
        <f t="array" ref="B176:G176">_xlfn.XLOOKUP($A176,Instagram_Usage_Lifestyle_Mini_!$A:$A,Instagram_Usage_Lifestyle_Mini_!$W:$AB,"Not Found")</f>
        <v>39</v>
      </c>
      <c r="C176">
        <v>2</v>
      </c>
      <c r="D176">
        <v>5</v>
      </c>
      <c r="E176">
        <v>7</v>
      </c>
      <c r="F176">
        <v>1.6</v>
      </c>
      <c r="G176">
        <v>1</v>
      </c>
      <c r="H176" s="13" t="str" cm="1">
        <f t="array" ref="H176">_xlfn.IFS(B176&lt;20,"Low",B176&lt;=40,"Moderate",B176&lt;=60,"High",TRUE,"Very High")</f>
        <v>Moderate</v>
      </c>
    </row>
    <row r="177" spans="1:8" ht="17" x14ac:dyDescent="0.2">
      <c r="A177">
        <v>176</v>
      </c>
      <c r="B177" cm="1">
        <f t="array" ref="B177:G177">_xlfn.XLOOKUP($A177,Instagram_Usage_Lifestyle_Mini_!$A:$A,Instagram_Usage_Lifestyle_Mini_!$W:$AB,"Not Found")</f>
        <v>33.299999999999997</v>
      </c>
      <c r="C177">
        <v>3</v>
      </c>
      <c r="D177">
        <v>5</v>
      </c>
      <c r="E177">
        <v>4</v>
      </c>
      <c r="F177">
        <v>1.2</v>
      </c>
      <c r="G177">
        <v>1</v>
      </c>
      <c r="H177" s="13" t="str" cm="1">
        <f t="array" ref="H177">_xlfn.IFS(B177&lt;20,"Low",B177&lt;=40,"Moderate",B177&lt;=60,"High",TRUE,"Very High")</f>
        <v>Moderate</v>
      </c>
    </row>
    <row r="178" spans="1:8" ht="17" x14ac:dyDescent="0.2">
      <c r="A178">
        <v>177</v>
      </c>
      <c r="B178" cm="1">
        <f t="array" ref="B178:G178">_xlfn.XLOOKUP($A178,Instagram_Usage_Lifestyle_Mini_!$A:$A,Instagram_Usage_Lifestyle_Mini_!$W:$AB,"Not Found")</f>
        <v>40.6</v>
      </c>
      <c r="C178">
        <v>0</v>
      </c>
      <c r="D178">
        <v>5</v>
      </c>
      <c r="E178">
        <v>11</v>
      </c>
      <c r="F178">
        <v>11.1</v>
      </c>
      <c r="G178">
        <v>1</v>
      </c>
      <c r="H178" s="13" t="str" cm="1">
        <f t="array" ref="H178">_xlfn.IFS(B178&lt;20,"Low",B178&lt;=40,"Moderate",B178&lt;=60,"High",TRUE,"Very High")</f>
        <v>High</v>
      </c>
    </row>
    <row r="179" spans="1:8" ht="17" x14ac:dyDescent="0.2">
      <c r="A179">
        <v>178</v>
      </c>
      <c r="B179" cm="1">
        <f t="array" ref="B179:G179">_xlfn.XLOOKUP($A179,Instagram_Usage_Lifestyle_Mini_!$A:$A,Instagram_Usage_Lifestyle_Mini_!$W:$AB,"Not Found")</f>
        <v>42.9</v>
      </c>
      <c r="C179">
        <v>0</v>
      </c>
      <c r="D179">
        <v>4</v>
      </c>
      <c r="E179">
        <v>6</v>
      </c>
      <c r="F179">
        <v>7.8</v>
      </c>
      <c r="G179">
        <v>0</v>
      </c>
      <c r="H179" s="13" t="str" cm="1">
        <f t="array" ref="H179">_xlfn.IFS(B179&lt;20,"Low",B179&lt;=40,"Moderate",B179&lt;=60,"High",TRUE,"Very High")</f>
        <v>High</v>
      </c>
    </row>
    <row r="180" spans="1:8" ht="17" x14ac:dyDescent="0.2">
      <c r="A180">
        <v>179</v>
      </c>
      <c r="B180" cm="1">
        <f t="array" ref="B180:G180">_xlfn.XLOOKUP($A180,Instagram_Usage_Lifestyle_Mini_!$A:$A,Instagram_Usage_Lifestyle_Mini_!$W:$AB,"Not Found")</f>
        <v>45.7</v>
      </c>
      <c r="C180">
        <v>4</v>
      </c>
      <c r="D180">
        <v>7</v>
      </c>
      <c r="E180">
        <v>9</v>
      </c>
      <c r="F180">
        <v>1.9</v>
      </c>
      <c r="G180">
        <v>3</v>
      </c>
      <c r="H180" s="13" t="str" cm="1">
        <f t="array" ref="H180">_xlfn.IFS(B180&lt;20,"Low",B180&lt;=40,"Moderate",B180&lt;=60,"High",TRUE,"Very High")</f>
        <v>High</v>
      </c>
    </row>
    <row r="181" spans="1:8" ht="17" x14ac:dyDescent="0.2">
      <c r="A181">
        <v>180</v>
      </c>
      <c r="B181" cm="1">
        <f t="array" ref="B181:G181">_xlfn.XLOOKUP($A181,Instagram_Usage_Lifestyle_Mini_!$A:$A,Instagram_Usage_Lifestyle_Mini_!$W:$AB,"Not Found")</f>
        <v>20</v>
      </c>
      <c r="C181">
        <v>4</v>
      </c>
      <c r="D181">
        <v>3</v>
      </c>
      <c r="E181">
        <v>9</v>
      </c>
      <c r="F181">
        <v>9.1</v>
      </c>
      <c r="G181">
        <v>2</v>
      </c>
      <c r="H181" s="13" t="str" cm="1">
        <f t="array" ref="H181">_xlfn.IFS(B181&lt;20,"Low",B181&lt;=40,"Moderate",B181&lt;=60,"High",TRUE,"Very High")</f>
        <v>Moderate</v>
      </c>
    </row>
    <row r="182" spans="1:8" ht="17" x14ac:dyDescent="0.2">
      <c r="A182">
        <v>181</v>
      </c>
      <c r="B182" cm="1">
        <f t="array" ref="B182:G182">_xlfn.XLOOKUP($A182,Instagram_Usage_Lifestyle_Mini_!$A:$A,Instagram_Usage_Lifestyle_Mini_!$W:$AB,"Not Found")</f>
        <v>37.6</v>
      </c>
      <c r="C182">
        <v>0</v>
      </c>
      <c r="D182">
        <v>7</v>
      </c>
      <c r="E182">
        <v>10</v>
      </c>
      <c r="F182">
        <v>6.5</v>
      </c>
      <c r="G182">
        <v>1</v>
      </c>
      <c r="H182" s="13" t="str" cm="1">
        <f t="array" ref="H182">_xlfn.IFS(B182&lt;20,"Low",B182&lt;=40,"Moderate",B182&lt;=60,"High",TRUE,"Very High")</f>
        <v>Moderate</v>
      </c>
    </row>
    <row r="183" spans="1:8" ht="17" x14ac:dyDescent="0.2">
      <c r="A183">
        <v>182</v>
      </c>
      <c r="B183" cm="1">
        <f t="array" ref="B183:G183">_xlfn.XLOOKUP($A183,Instagram_Usage_Lifestyle_Mini_!$A:$A,Instagram_Usage_Lifestyle_Mini_!$W:$AB,"Not Found")</f>
        <v>38.6</v>
      </c>
      <c r="C183">
        <v>3</v>
      </c>
      <c r="D183">
        <v>6</v>
      </c>
      <c r="E183">
        <v>10</v>
      </c>
      <c r="F183">
        <v>6.8</v>
      </c>
      <c r="G183">
        <v>2</v>
      </c>
      <c r="H183" s="13" t="str" cm="1">
        <f t="array" ref="H183">_xlfn.IFS(B183&lt;20,"Low",B183&lt;=40,"Moderate",B183&lt;=60,"High",TRUE,"Very High")</f>
        <v>Moderate</v>
      </c>
    </row>
    <row r="184" spans="1:8" ht="17" x14ac:dyDescent="0.2">
      <c r="A184">
        <v>183</v>
      </c>
      <c r="B184" cm="1">
        <f t="array" ref="B184:G184">_xlfn.XLOOKUP($A184,Instagram_Usage_Lifestyle_Mini_!$A:$A,Instagram_Usage_Lifestyle_Mini_!$W:$AB,"Not Found")</f>
        <v>39.700000000000003</v>
      </c>
      <c r="C184">
        <v>1</v>
      </c>
      <c r="D184">
        <v>9</v>
      </c>
      <c r="E184">
        <v>20</v>
      </c>
      <c r="F184">
        <v>0.7</v>
      </c>
      <c r="G184">
        <v>2</v>
      </c>
      <c r="H184" s="13" t="str" cm="1">
        <f t="array" ref="H184">_xlfn.IFS(B184&lt;20,"Low",B184&lt;=40,"Moderate",B184&lt;=60,"High",TRUE,"Very High")</f>
        <v>Moderate</v>
      </c>
    </row>
    <row r="185" spans="1:8" ht="17" x14ac:dyDescent="0.2">
      <c r="A185">
        <v>184</v>
      </c>
      <c r="B185" cm="1">
        <f t="array" ref="B185:G185">_xlfn.XLOOKUP($A185,Instagram_Usage_Lifestyle_Mini_!$A:$A,Instagram_Usage_Lifestyle_Mini_!$W:$AB,"Not Found")</f>
        <v>49.7</v>
      </c>
      <c r="C185">
        <v>4</v>
      </c>
      <c r="D185">
        <v>2</v>
      </c>
      <c r="E185">
        <v>11</v>
      </c>
      <c r="F185">
        <v>1.9</v>
      </c>
      <c r="G185">
        <v>2</v>
      </c>
      <c r="H185" s="13" t="str" cm="1">
        <f t="array" ref="H185">_xlfn.IFS(B185&lt;20,"Low",B185&lt;=40,"Moderate",B185&lt;=60,"High",TRUE,"Very High")</f>
        <v>High</v>
      </c>
    </row>
    <row r="186" spans="1:8" ht="17" x14ac:dyDescent="0.2">
      <c r="A186">
        <v>185</v>
      </c>
      <c r="B186" cm="1">
        <f t="array" ref="B186:G186">_xlfn.XLOOKUP($A186,Instagram_Usage_Lifestyle_Mini_!$A:$A,Instagram_Usage_Lifestyle_Mini_!$W:$AB,"Not Found")</f>
        <v>39.700000000000003</v>
      </c>
      <c r="C186">
        <v>2</v>
      </c>
      <c r="D186">
        <v>6</v>
      </c>
      <c r="E186">
        <v>10</v>
      </c>
      <c r="F186">
        <v>4.5</v>
      </c>
      <c r="G186">
        <v>3</v>
      </c>
      <c r="H186" s="13" t="str" cm="1">
        <f t="array" ref="H186">_xlfn.IFS(B186&lt;20,"Low",B186&lt;=40,"Moderate",B186&lt;=60,"High",TRUE,"Very High")</f>
        <v>Moderate</v>
      </c>
    </row>
    <row r="187" spans="1:8" ht="17" x14ac:dyDescent="0.2">
      <c r="A187">
        <v>186</v>
      </c>
      <c r="B187" cm="1">
        <f t="array" ref="B187:G187">_xlfn.XLOOKUP($A187,Instagram_Usage_Lifestyle_Mini_!$A:$A,Instagram_Usage_Lifestyle_Mini_!$W:$AB,"Not Found")</f>
        <v>44.2</v>
      </c>
      <c r="C187">
        <v>1</v>
      </c>
      <c r="D187">
        <v>8</v>
      </c>
      <c r="E187">
        <v>11</v>
      </c>
      <c r="F187">
        <v>7.6</v>
      </c>
      <c r="G187">
        <v>2</v>
      </c>
      <c r="H187" s="13" t="str" cm="1">
        <f t="array" ref="H187">_xlfn.IFS(B187&lt;20,"Low",B187&lt;=40,"Moderate",B187&lt;=60,"High",TRUE,"Very High")</f>
        <v>High</v>
      </c>
    </row>
    <row r="188" spans="1:8" ht="17" x14ac:dyDescent="0.2">
      <c r="A188">
        <v>187</v>
      </c>
      <c r="B188" cm="1">
        <f t="array" ref="B188:G188">_xlfn.XLOOKUP($A188,Instagram_Usage_Lifestyle_Mini_!$A:$A,Instagram_Usage_Lifestyle_Mini_!$W:$AB,"Not Found")</f>
        <v>53.9</v>
      </c>
      <c r="C188">
        <v>2</v>
      </c>
      <c r="D188">
        <v>4</v>
      </c>
      <c r="E188">
        <v>7</v>
      </c>
      <c r="F188">
        <v>10.5</v>
      </c>
      <c r="G188">
        <v>6</v>
      </c>
      <c r="H188" s="13" t="str" cm="1">
        <f t="array" ref="H188">_xlfn.IFS(B188&lt;20,"Low",B188&lt;=40,"Moderate",B188&lt;=60,"High",TRUE,"Very High")</f>
        <v>High</v>
      </c>
    </row>
    <row r="189" spans="1:8" ht="17" x14ac:dyDescent="0.2">
      <c r="A189">
        <v>188</v>
      </c>
      <c r="B189" cm="1">
        <f t="array" ref="B189:G189">_xlfn.XLOOKUP($A189,Instagram_Usage_Lifestyle_Mini_!$A:$A,Instagram_Usage_Lifestyle_Mini_!$W:$AB,"Not Found")</f>
        <v>40.5</v>
      </c>
      <c r="C189">
        <v>2</v>
      </c>
      <c r="D189">
        <v>5</v>
      </c>
      <c r="E189">
        <v>13</v>
      </c>
      <c r="F189">
        <v>1.5</v>
      </c>
      <c r="G189">
        <v>3</v>
      </c>
      <c r="H189" s="13" t="str" cm="1">
        <f t="array" ref="H189">_xlfn.IFS(B189&lt;20,"Low",B189&lt;=40,"Moderate",B189&lt;=60,"High",TRUE,"Very High")</f>
        <v>High</v>
      </c>
    </row>
    <row r="190" spans="1:8" ht="17" x14ac:dyDescent="0.2">
      <c r="A190">
        <v>189</v>
      </c>
      <c r="B190" cm="1">
        <f t="array" ref="B190:G190">_xlfn.XLOOKUP($A190,Instagram_Usage_Lifestyle_Mini_!$A:$A,Instagram_Usage_Lifestyle_Mini_!$W:$AB,"Not Found")</f>
        <v>37.299999999999997</v>
      </c>
      <c r="C190">
        <v>5</v>
      </c>
      <c r="D190">
        <v>2</v>
      </c>
      <c r="E190">
        <v>9</v>
      </c>
      <c r="F190">
        <v>4.7</v>
      </c>
      <c r="G190">
        <v>2</v>
      </c>
      <c r="H190" s="13" t="str" cm="1">
        <f t="array" ref="H190">_xlfn.IFS(B190&lt;20,"Low",B190&lt;=40,"Moderate",B190&lt;=60,"High",TRUE,"Very High")</f>
        <v>Moderate</v>
      </c>
    </row>
    <row r="191" spans="1:8" ht="17" x14ac:dyDescent="0.2">
      <c r="A191">
        <v>190</v>
      </c>
      <c r="B191" cm="1">
        <f t="array" ref="B191:G191">_xlfn.XLOOKUP($A191,Instagram_Usage_Lifestyle_Mini_!$A:$A,Instagram_Usage_Lifestyle_Mini_!$W:$AB,"Not Found")</f>
        <v>53.6</v>
      </c>
      <c r="C191">
        <v>4</v>
      </c>
      <c r="D191">
        <v>2</v>
      </c>
      <c r="E191">
        <v>12</v>
      </c>
      <c r="F191">
        <v>3.4</v>
      </c>
      <c r="G191">
        <v>2</v>
      </c>
      <c r="H191" s="13" t="str" cm="1">
        <f t="array" ref="H191">_xlfn.IFS(B191&lt;20,"Low",B191&lt;=40,"Moderate",B191&lt;=60,"High",TRUE,"Very High")</f>
        <v>High</v>
      </c>
    </row>
    <row r="192" spans="1:8" ht="17" x14ac:dyDescent="0.2">
      <c r="A192">
        <v>191</v>
      </c>
      <c r="B192" cm="1">
        <f t="array" ref="B192:G192">_xlfn.XLOOKUP($A192,Instagram_Usage_Lifestyle_Mini_!$A:$A,Instagram_Usage_Lifestyle_Mini_!$W:$AB,"Not Found")</f>
        <v>49.8</v>
      </c>
      <c r="C192">
        <v>2</v>
      </c>
      <c r="D192">
        <v>7</v>
      </c>
      <c r="E192">
        <v>15</v>
      </c>
      <c r="F192">
        <v>7.2</v>
      </c>
      <c r="G192">
        <v>4</v>
      </c>
      <c r="H192" s="13" t="str" cm="1">
        <f t="array" ref="H192">_xlfn.IFS(B192&lt;20,"Low",B192&lt;=40,"Moderate",B192&lt;=60,"High",TRUE,"Very High")</f>
        <v>High</v>
      </c>
    </row>
    <row r="193" spans="1:8" ht="17" x14ac:dyDescent="0.2">
      <c r="A193">
        <v>192</v>
      </c>
      <c r="B193" cm="1">
        <f t="array" ref="B193:G193">_xlfn.XLOOKUP($A193,Instagram_Usage_Lifestyle_Mini_!$A:$A,Instagram_Usage_Lifestyle_Mini_!$W:$AB,"Not Found")</f>
        <v>42.5</v>
      </c>
      <c r="C193">
        <v>5</v>
      </c>
      <c r="D193">
        <v>6</v>
      </c>
      <c r="E193">
        <v>9</v>
      </c>
      <c r="F193">
        <v>1.8</v>
      </c>
      <c r="G193">
        <v>2</v>
      </c>
      <c r="H193" s="13" t="str" cm="1">
        <f t="array" ref="H193">_xlfn.IFS(B193&lt;20,"Low",B193&lt;=40,"Moderate",B193&lt;=60,"High",TRUE,"Very High")</f>
        <v>High</v>
      </c>
    </row>
    <row r="194" spans="1:8" ht="17" x14ac:dyDescent="0.2">
      <c r="A194">
        <v>193</v>
      </c>
      <c r="B194" cm="1">
        <f t="array" ref="B194:G194">_xlfn.XLOOKUP($A194,Instagram_Usage_Lifestyle_Mini_!$A:$A,Instagram_Usage_Lifestyle_Mini_!$W:$AB,"Not Found")</f>
        <v>48.3</v>
      </c>
      <c r="C194">
        <v>4</v>
      </c>
      <c r="D194">
        <v>5</v>
      </c>
      <c r="E194">
        <v>7</v>
      </c>
      <c r="F194">
        <v>6.4</v>
      </c>
      <c r="G194">
        <v>4</v>
      </c>
      <c r="H194" s="13" t="str" cm="1">
        <f t="array" ref="H194">_xlfn.IFS(B194&lt;20,"Low",B194&lt;=40,"Moderate",B194&lt;=60,"High",TRUE,"Very High")</f>
        <v>High</v>
      </c>
    </row>
    <row r="195" spans="1:8" ht="17" x14ac:dyDescent="0.2">
      <c r="A195">
        <v>194</v>
      </c>
      <c r="B195" cm="1">
        <f t="array" ref="B195:G195">_xlfn.XLOOKUP($A195,Instagram_Usage_Lifestyle_Mini_!$A:$A,Instagram_Usage_Lifestyle_Mini_!$W:$AB,"Not Found")</f>
        <v>21.7</v>
      </c>
      <c r="C195">
        <v>3</v>
      </c>
      <c r="D195">
        <v>4</v>
      </c>
      <c r="E195">
        <v>8</v>
      </c>
      <c r="F195">
        <v>1</v>
      </c>
      <c r="G195">
        <v>1</v>
      </c>
      <c r="H195" s="13" t="str" cm="1">
        <f t="array" ref="H195">_xlfn.IFS(B195&lt;20,"Low",B195&lt;=40,"Moderate",B195&lt;=60,"High",TRUE,"Very High")</f>
        <v>Moderate</v>
      </c>
    </row>
    <row r="196" spans="1:8" ht="17" x14ac:dyDescent="0.2">
      <c r="A196">
        <v>195</v>
      </c>
      <c r="B196" cm="1">
        <f t="array" ref="B196:G196">_xlfn.XLOOKUP($A196,Instagram_Usage_Lifestyle_Mini_!$A:$A,Instagram_Usage_Lifestyle_Mini_!$W:$AB,"Not Found")</f>
        <v>45.2</v>
      </c>
      <c r="C196">
        <v>4</v>
      </c>
      <c r="D196">
        <v>6</v>
      </c>
      <c r="E196">
        <v>17</v>
      </c>
      <c r="F196">
        <v>2.8</v>
      </c>
      <c r="G196">
        <v>0</v>
      </c>
      <c r="H196" s="13" t="str" cm="1">
        <f t="array" ref="H196">_xlfn.IFS(B196&lt;20,"Low",B196&lt;=40,"Moderate",B196&lt;=60,"High",TRUE,"Very High")</f>
        <v>High</v>
      </c>
    </row>
    <row r="197" spans="1:8" ht="17" x14ac:dyDescent="0.2">
      <c r="A197">
        <v>196</v>
      </c>
      <c r="B197" cm="1">
        <f t="array" ref="B197:G197">_xlfn.XLOOKUP($A197,Instagram_Usage_Lifestyle_Mini_!$A:$A,Instagram_Usage_Lifestyle_Mini_!$W:$AB,"Not Found")</f>
        <v>41.4</v>
      </c>
      <c r="C197">
        <v>3</v>
      </c>
      <c r="D197">
        <v>1</v>
      </c>
      <c r="E197">
        <v>10</v>
      </c>
      <c r="F197">
        <v>3.4</v>
      </c>
      <c r="G197">
        <v>7</v>
      </c>
      <c r="H197" s="13" t="str" cm="1">
        <f t="array" ref="H197">_xlfn.IFS(B197&lt;20,"Low",B197&lt;=40,"Moderate",B197&lt;=60,"High",TRUE,"Very High")</f>
        <v>High</v>
      </c>
    </row>
    <row r="198" spans="1:8" ht="17" x14ac:dyDescent="0.2">
      <c r="A198">
        <v>197</v>
      </c>
      <c r="B198" cm="1">
        <f t="array" ref="B198:G198">_xlfn.XLOOKUP($A198,Instagram_Usage_Lifestyle_Mini_!$A:$A,Instagram_Usage_Lifestyle_Mini_!$W:$AB,"Not Found")</f>
        <v>47.5</v>
      </c>
      <c r="C198">
        <v>3</v>
      </c>
      <c r="D198">
        <v>6</v>
      </c>
      <c r="E198">
        <v>9</v>
      </c>
      <c r="F198">
        <v>2.7</v>
      </c>
      <c r="G198">
        <v>3</v>
      </c>
      <c r="H198" s="13" t="str" cm="1">
        <f t="array" ref="H198">_xlfn.IFS(B198&lt;20,"Low",B198&lt;=40,"Moderate",B198&lt;=60,"High",TRUE,"Very High")</f>
        <v>High</v>
      </c>
    </row>
    <row r="199" spans="1:8" ht="17" x14ac:dyDescent="0.2">
      <c r="A199">
        <v>198</v>
      </c>
      <c r="B199" cm="1">
        <f t="array" ref="B199:G199">_xlfn.XLOOKUP($A199,Instagram_Usage_Lifestyle_Mini_!$A:$A,Instagram_Usage_Lifestyle_Mini_!$W:$AB,"Not Found")</f>
        <v>36.4</v>
      </c>
      <c r="C199">
        <v>4</v>
      </c>
      <c r="D199">
        <v>3</v>
      </c>
      <c r="E199">
        <v>6</v>
      </c>
      <c r="F199">
        <v>5.4</v>
      </c>
      <c r="G199">
        <v>2</v>
      </c>
      <c r="H199" s="13" t="str" cm="1">
        <f t="array" ref="H199">_xlfn.IFS(B199&lt;20,"Low",B199&lt;=40,"Moderate",B199&lt;=60,"High",TRUE,"Very High")</f>
        <v>Moderate</v>
      </c>
    </row>
    <row r="200" spans="1:8" ht="17" x14ac:dyDescent="0.2">
      <c r="A200">
        <v>199</v>
      </c>
      <c r="B200" cm="1">
        <f t="array" ref="B200:G200">_xlfn.XLOOKUP($A200,Instagram_Usage_Lifestyle_Mini_!$A:$A,Instagram_Usage_Lifestyle_Mini_!$W:$AB,"Not Found")</f>
        <v>36</v>
      </c>
      <c r="C200">
        <v>5</v>
      </c>
      <c r="D200">
        <v>6</v>
      </c>
      <c r="E200">
        <v>10</v>
      </c>
      <c r="F200">
        <v>7.5</v>
      </c>
      <c r="G200">
        <v>3</v>
      </c>
      <c r="H200" s="13" t="str" cm="1">
        <f t="array" ref="H200">_xlfn.IFS(B200&lt;20,"Low",B200&lt;=40,"Moderate",B200&lt;=60,"High",TRUE,"Very High")</f>
        <v>Moderate</v>
      </c>
    </row>
    <row r="201" spans="1:8" ht="17" x14ac:dyDescent="0.2">
      <c r="A201">
        <v>200</v>
      </c>
      <c r="B201" cm="1">
        <f t="array" ref="B201:G201">_xlfn.XLOOKUP($A201,Instagram_Usage_Lifestyle_Mini_!$A:$A,Instagram_Usage_Lifestyle_Mini_!$W:$AB,"Not Found")</f>
        <v>49.5</v>
      </c>
      <c r="C201">
        <v>1</v>
      </c>
      <c r="D201">
        <v>8</v>
      </c>
      <c r="E201">
        <v>11</v>
      </c>
      <c r="F201">
        <v>7.3</v>
      </c>
      <c r="G201">
        <v>2</v>
      </c>
      <c r="H201" s="13" t="str" cm="1">
        <f t="array" ref="H201">_xlfn.IFS(B201&lt;20,"Low",B201&lt;=40,"Moderate",B201&lt;=60,"High",TRUE,"Very High")</f>
        <v>High</v>
      </c>
    </row>
    <row r="202" spans="1:8" ht="17" x14ac:dyDescent="0.2">
      <c r="A202">
        <v>201</v>
      </c>
      <c r="B202" cm="1">
        <f t="array" ref="B202:G202">_xlfn.XLOOKUP($A202,Instagram_Usage_Lifestyle_Mini_!$A:$A,Instagram_Usage_Lifestyle_Mini_!$W:$AB,"Not Found")</f>
        <v>31.5</v>
      </c>
      <c r="C202">
        <v>3</v>
      </c>
      <c r="D202">
        <v>2</v>
      </c>
      <c r="E202">
        <v>9</v>
      </c>
      <c r="F202">
        <v>2</v>
      </c>
      <c r="G202">
        <v>3</v>
      </c>
      <c r="H202" s="13" t="str" cm="1">
        <f t="array" ref="H202">_xlfn.IFS(B202&lt;20,"Low",B202&lt;=40,"Moderate",B202&lt;=60,"High",TRUE,"Very High")</f>
        <v>Moderate</v>
      </c>
    </row>
    <row r="203" spans="1:8" ht="17" x14ac:dyDescent="0.2">
      <c r="A203">
        <v>202</v>
      </c>
      <c r="B203" cm="1">
        <f t="array" ref="B203:G203">_xlfn.XLOOKUP($A203,Instagram_Usage_Lifestyle_Mini_!$A:$A,Instagram_Usage_Lifestyle_Mini_!$W:$AB,"Not Found")</f>
        <v>42.6</v>
      </c>
      <c r="C203">
        <v>1</v>
      </c>
      <c r="D203">
        <v>4</v>
      </c>
      <c r="E203">
        <v>10</v>
      </c>
      <c r="F203">
        <v>5.0999999999999996</v>
      </c>
      <c r="G203">
        <v>5</v>
      </c>
      <c r="H203" s="13" t="str" cm="1">
        <f t="array" ref="H203">_xlfn.IFS(B203&lt;20,"Low",B203&lt;=40,"Moderate",B203&lt;=60,"High",TRUE,"Very High")</f>
        <v>High</v>
      </c>
    </row>
    <row r="204" spans="1:8" ht="17" x14ac:dyDescent="0.2">
      <c r="A204">
        <v>203</v>
      </c>
      <c r="B204" cm="1">
        <f t="array" ref="B204:G204">_xlfn.XLOOKUP($A204,Instagram_Usage_Lifestyle_Mini_!$A:$A,Instagram_Usage_Lifestyle_Mini_!$W:$AB,"Not Found")</f>
        <v>36.200000000000003</v>
      </c>
      <c r="C204">
        <v>3</v>
      </c>
      <c r="D204">
        <v>4</v>
      </c>
      <c r="E204">
        <v>7</v>
      </c>
      <c r="F204">
        <v>3.8</v>
      </c>
      <c r="G204">
        <v>4</v>
      </c>
      <c r="H204" s="13" t="str" cm="1">
        <f t="array" ref="H204">_xlfn.IFS(B204&lt;20,"Low",B204&lt;=40,"Moderate",B204&lt;=60,"High",TRUE,"Very High")</f>
        <v>Moderate</v>
      </c>
    </row>
    <row r="205" spans="1:8" ht="17" x14ac:dyDescent="0.2">
      <c r="A205">
        <v>204</v>
      </c>
      <c r="B205" cm="1">
        <f t="array" ref="B205:G205">_xlfn.XLOOKUP($A205,Instagram_Usage_Lifestyle_Mini_!$A:$A,Instagram_Usage_Lifestyle_Mini_!$W:$AB,"Not Found")</f>
        <v>26.3</v>
      </c>
      <c r="C205">
        <v>3</v>
      </c>
      <c r="D205">
        <v>6</v>
      </c>
      <c r="E205">
        <v>13</v>
      </c>
      <c r="F205">
        <v>5.0999999999999996</v>
      </c>
      <c r="G205">
        <v>7</v>
      </c>
      <c r="H205" s="13" t="str" cm="1">
        <f t="array" ref="H205">_xlfn.IFS(B205&lt;20,"Low",B205&lt;=40,"Moderate",B205&lt;=60,"High",TRUE,"Very High")</f>
        <v>Moderate</v>
      </c>
    </row>
    <row r="206" spans="1:8" ht="17" x14ac:dyDescent="0.2">
      <c r="A206">
        <v>205</v>
      </c>
      <c r="B206" cm="1">
        <f t="array" ref="B206:G206">_xlfn.XLOOKUP($A206,Instagram_Usage_Lifestyle_Mini_!$A:$A,Instagram_Usage_Lifestyle_Mini_!$W:$AB,"Not Found")</f>
        <v>43.8</v>
      </c>
      <c r="C206">
        <v>1</v>
      </c>
      <c r="D206">
        <v>2</v>
      </c>
      <c r="E206">
        <v>11</v>
      </c>
      <c r="F206">
        <v>10.6</v>
      </c>
      <c r="G206">
        <v>4</v>
      </c>
      <c r="H206" s="13" t="str" cm="1">
        <f t="array" ref="H206">_xlfn.IFS(B206&lt;20,"Low",B206&lt;=40,"Moderate",B206&lt;=60,"High",TRUE,"Very High")</f>
        <v>High</v>
      </c>
    </row>
    <row r="207" spans="1:8" ht="17" x14ac:dyDescent="0.2">
      <c r="A207">
        <v>206</v>
      </c>
      <c r="B207" cm="1">
        <f t="array" ref="B207:G207">_xlfn.XLOOKUP($A207,Instagram_Usage_Lifestyle_Mini_!$A:$A,Instagram_Usage_Lifestyle_Mini_!$W:$AB,"Not Found")</f>
        <v>38.1</v>
      </c>
      <c r="C207">
        <v>0</v>
      </c>
      <c r="D207">
        <v>6</v>
      </c>
      <c r="E207">
        <v>21</v>
      </c>
      <c r="F207">
        <v>3.9</v>
      </c>
      <c r="G207">
        <v>2</v>
      </c>
      <c r="H207" s="13" t="str" cm="1">
        <f t="array" ref="H207">_xlfn.IFS(B207&lt;20,"Low",B207&lt;=40,"Moderate",B207&lt;=60,"High",TRUE,"Very High")</f>
        <v>Moderate</v>
      </c>
    </row>
    <row r="208" spans="1:8" ht="17" x14ac:dyDescent="0.2">
      <c r="A208">
        <v>207</v>
      </c>
      <c r="B208" cm="1">
        <f t="array" ref="B208:G208">_xlfn.XLOOKUP($A208,Instagram_Usage_Lifestyle_Mini_!$A:$A,Instagram_Usage_Lifestyle_Mini_!$W:$AB,"Not Found")</f>
        <v>38.799999999999997</v>
      </c>
      <c r="C208">
        <v>3</v>
      </c>
      <c r="D208">
        <v>3</v>
      </c>
      <c r="E208">
        <v>7</v>
      </c>
      <c r="F208">
        <v>2.2999999999999998</v>
      </c>
      <c r="G208">
        <v>2</v>
      </c>
      <c r="H208" s="13" t="str" cm="1">
        <f t="array" ref="H208">_xlfn.IFS(B208&lt;20,"Low",B208&lt;=40,"Moderate",B208&lt;=60,"High",TRUE,"Very High")</f>
        <v>Moderate</v>
      </c>
    </row>
    <row r="209" spans="1:8" ht="17" x14ac:dyDescent="0.2">
      <c r="A209">
        <v>208</v>
      </c>
      <c r="B209" cm="1">
        <f t="array" ref="B209:G209">_xlfn.XLOOKUP($A209,Instagram_Usage_Lifestyle_Mini_!$A:$A,Instagram_Usage_Lifestyle_Mini_!$W:$AB,"Not Found")</f>
        <v>60.2</v>
      </c>
      <c r="C209">
        <v>2</v>
      </c>
      <c r="D209">
        <v>2</v>
      </c>
      <c r="E209">
        <v>9</v>
      </c>
      <c r="F209">
        <v>3.4</v>
      </c>
      <c r="G209">
        <v>1</v>
      </c>
      <c r="H209" s="13" t="str" cm="1">
        <f t="array" ref="H209">_xlfn.IFS(B209&lt;20,"Low",B209&lt;=40,"Moderate",B209&lt;=60,"High",TRUE,"Very High")</f>
        <v>Very High</v>
      </c>
    </row>
    <row r="210" spans="1:8" ht="17" x14ac:dyDescent="0.2">
      <c r="A210">
        <v>209</v>
      </c>
      <c r="B210" cm="1">
        <f t="array" ref="B210:G210">_xlfn.XLOOKUP($A210,Instagram_Usage_Lifestyle_Mini_!$A:$A,Instagram_Usage_Lifestyle_Mini_!$W:$AB,"Not Found")</f>
        <v>44.4</v>
      </c>
      <c r="C210">
        <v>3</v>
      </c>
      <c r="D210">
        <v>3</v>
      </c>
      <c r="E210">
        <v>8</v>
      </c>
      <c r="F210">
        <v>4.2</v>
      </c>
      <c r="G210">
        <v>4</v>
      </c>
      <c r="H210" s="13" t="str" cm="1">
        <f t="array" ref="H210">_xlfn.IFS(B210&lt;20,"Low",B210&lt;=40,"Moderate",B210&lt;=60,"High",TRUE,"Very High")</f>
        <v>High</v>
      </c>
    </row>
    <row r="211" spans="1:8" ht="17" x14ac:dyDescent="0.2">
      <c r="A211">
        <v>210</v>
      </c>
      <c r="B211" cm="1">
        <f t="array" ref="B211:G211">_xlfn.XLOOKUP($A211,Instagram_Usage_Lifestyle_Mini_!$A:$A,Instagram_Usage_Lifestyle_Mini_!$W:$AB,"Not Found")</f>
        <v>41.2</v>
      </c>
      <c r="C211">
        <v>1</v>
      </c>
      <c r="D211">
        <v>6</v>
      </c>
      <c r="E211">
        <v>9</v>
      </c>
      <c r="F211">
        <v>2.8</v>
      </c>
      <c r="G211">
        <v>3</v>
      </c>
      <c r="H211" s="13" t="str" cm="1">
        <f t="array" ref="H211">_xlfn.IFS(B211&lt;20,"Low",B211&lt;=40,"Moderate",B211&lt;=60,"High",TRUE,"Very High")</f>
        <v>High</v>
      </c>
    </row>
    <row r="212" spans="1:8" ht="17" x14ac:dyDescent="0.2">
      <c r="A212">
        <v>211</v>
      </c>
      <c r="B212" cm="1">
        <f t="array" ref="B212:G212">_xlfn.XLOOKUP($A212,Instagram_Usage_Lifestyle_Mini_!$A:$A,Instagram_Usage_Lifestyle_Mini_!$W:$AB,"Not Found")</f>
        <v>52.2</v>
      </c>
      <c r="C212">
        <v>4</v>
      </c>
      <c r="D212">
        <v>4</v>
      </c>
      <c r="E212">
        <v>4</v>
      </c>
      <c r="F212">
        <v>1.4</v>
      </c>
      <c r="G212">
        <v>3</v>
      </c>
      <c r="H212" s="13" t="str" cm="1">
        <f t="array" ref="H212">_xlfn.IFS(B212&lt;20,"Low",B212&lt;=40,"Moderate",B212&lt;=60,"High",TRUE,"Very High")</f>
        <v>High</v>
      </c>
    </row>
    <row r="213" spans="1:8" ht="17" x14ac:dyDescent="0.2">
      <c r="A213">
        <v>212</v>
      </c>
      <c r="B213" cm="1">
        <f t="array" ref="B213:G213">_xlfn.XLOOKUP($A213,Instagram_Usage_Lifestyle_Mini_!$A:$A,Instagram_Usage_Lifestyle_Mini_!$W:$AB,"Not Found")</f>
        <v>27.3</v>
      </c>
      <c r="C213">
        <v>6</v>
      </c>
      <c r="D213">
        <v>2</v>
      </c>
      <c r="E213">
        <v>12</v>
      </c>
      <c r="F213">
        <v>5.7</v>
      </c>
      <c r="G213">
        <v>1</v>
      </c>
      <c r="H213" s="13" t="str" cm="1">
        <f t="array" ref="H213">_xlfn.IFS(B213&lt;20,"Low",B213&lt;=40,"Moderate",B213&lt;=60,"High",TRUE,"Very High")</f>
        <v>Moderate</v>
      </c>
    </row>
    <row r="214" spans="1:8" ht="17" x14ac:dyDescent="0.2">
      <c r="A214">
        <v>213</v>
      </c>
      <c r="B214" cm="1">
        <f t="array" ref="B214:G214">_xlfn.XLOOKUP($A214,Instagram_Usage_Lifestyle_Mini_!$A:$A,Instagram_Usage_Lifestyle_Mini_!$W:$AB,"Not Found")</f>
        <v>22.4</v>
      </c>
      <c r="C214">
        <v>3</v>
      </c>
      <c r="D214">
        <v>2</v>
      </c>
      <c r="E214">
        <v>7</v>
      </c>
      <c r="F214">
        <v>2.8</v>
      </c>
      <c r="G214">
        <v>5</v>
      </c>
      <c r="H214" s="13" t="str" cm="1">
        <f t="array" ref="H214">_xlfn.IFS(B214&lt;20,"Low",B214&lt;=40,"Moderate",B214&lt;=60,"High",TRUE,"Very High")</f>
        <v>Moderate</v>
      </c>
    </row>
    <row r="215" spans="1:8" ht="17" x14ac:dyDescent="0.2">
      <c r="A215">
        <v>214</v>
      </c>
      <c r="B215" cm="1">
        <f t="array" ref="B215:G215">_xlfn.XLOOKUP($A215,Instagram_Usage_Lifestyle_Mini_!$A:$A,Instagram_Usage_Lifestyle_Mini_!$W:$AB,"Not Found")</f>
        <v>50.3</v>
      </c>
      <c r="C215">
        <v>2</v>
      </c>
      <c r="D215">
        <v>1</v>
      </c>
      <c r="E215">
        <v>11</v>
      </c>
      <c r="F215">
        <v>3.9</v>
      </c>
      <c r="G215">
        <v>2</v>
      </c>
      <c r="H215" s="13" t="str" cm="1">
        <f t="array" ref="H215">_xlfn.IFS(B215&lt;20,"Low",B215&lt;=40,"Moderate",B215&lt;=60,"High",TRUE,"Very High")</f>
        <v>High</v>
      </c>
    </row>
    <row r="216" spans="1:8" ht="17" x14ac:dyDescent="0.2">
      <c r="A216">
        <v>215</v>
      </c>
      <c r="B216" cm="1">
        <f t="array" ref="B216:G216">_xlfn.XLOOKUP($A216,Instagram_Usage_Lifestyle_Mini_!$A:$A,Instagram_Usage_Lifestyle_Mini_!$W:$AB,"Not Found")</f>
        <v>26.9</v>
      </c>
      <c r="C216">
        <v>2</v>
      </c>
      <c r="D216">
        <v>4</v>
      </c>
      <c r="E216">
        <v>21</v>
      </c>
      <c r="F216">
        <v>4.3</v>
      </c>
      <c r="G216">
        <v>2</v>
      </c>
      <c r="H216" s="13" t="str" cm="1">
        <f t="array" ref="H216">_xlfn.IFS(B216&lt;20,"Low",B216&lt;=40,"Moderate",B216&lt;=60,"High",TRUE,"Very High")</f>
        <v>Moderate</v>
      </c>
    </row>
    <row r="217" spans="1:8" ht="17" x14ac:dyDescent="0.2">
      <c r="A217">
        <v>216</v>
      </c>
      <c r="B217" cm="1">
        <f t="array" ref="B217:G217">_xlfn.XLOOKUP($A217,Instagram_Usage_Lifestyle_Mini_!$A:$A,Instagram_Usage_Lifestyle_Mini_!$W:$AB,"Not Found")</f>
        <v>46.9</v>
      </c>
      <c r="C217">
        <v>1</v>
      </c>
      <c r="D217">
        <v>4</v>
      </c>
      <c r="E217">
        <v>9</v>
      </c>
      <c r="F217">
        <v>0.5</v>
      </c>
      <c r="G217">
        <v>3</v>
      </c>
      <c r="H217" s="13" t="str" cm="1">
        <f t="array" ref="H217">_xlfn.IFS(B217&lt;20,"Low",B217&lt;=40,"Moderate",B217&lt;=60,"High",TRUE,"Very High")</f>
        <v>High</v>
      </c>
    </row>
    <row r="218" spans="1:8" ht="17" x14ac:dyDescent="0.2">
      <c r="A218">
        <v>217</v>
      </c>
      <c r="B218" cm="1">
        <f t="array" ref="B218:G218">_xlfn.XLOOKUP($A218,Instagram_Usage_Lifestyle_Mini_!$A:$A,Instagram_Usage_Lifestyle_Mini_!$W:$AB,"Not Found")</f>
        <v>51.9</v>
      </c>
      <c r="C218">
        <v>4</v>
      </c>
      <c r="D218">
        <v>5</v>
      </c>
      <c r="E218">
        <v>11</v>
      </c>
      <c r="F218">
        <v>3.9</v>
      </c>
      <c r="G218">
        <v>1</v>
      </c>
      <c r="H218" s="13" t="str" cm="1">
        <f t="array" ref="H218">_xlfn.IFS(B218&lt;20,"Low",B218&lt;=40,"Moderate",B218&lt;=60,"High",TRUE,"Very High")</f>
        <v>High</v>
      </c>
    </row>
    <row r="219" spans="1:8" ht="17" x14ac:dyDescent="0.2">
      <c r="A219">
        <v>218</v>
      </c>
      <c r="B219" cm="1">
        <f t="array" ref="B219:G219">_xlfn.XLOOKUP($A219,Instagram_Usage_Lifestyle_Mini_!$A:$A,Instagram_Usage_Lifestyle_Mini_!$W:$AB,"Not Found")</f>
        <v>49.6</v>
      </c>
      <c r="C219">
        <v>2</v>
      </c>
      <c r="D219">
        <v>3</v>
      </c>
      <c r="E219">
        <v>7</v>
      </c>
      <c r="F219">
        <v>8.9</v>
      </c>
      <c r="G219">
        <v>1</v>
      </c>
      <c r="H219" s="13" t="str" cm="1">
        <f t="array" ref="H219">_xlfn.IFS(B219&lt;20,"Low",B219&lt;=40,"Moderate",B219&lt;=60,"High",TRUE,"Very High")</f>
        <v>High</v>
      </c>
    </row>
    <row r="220" spans="1:8" ht="17" x14ac:dyDescent="0.2">
      <c r="A220">
        <v>219</v>
      </c>
      <c r="B220" cm="1">
        <f t="array" ref="B220:G220">_xlfn.XLOOKUP($A220,Instagram_Usage_Lifestyle_Mini_!$A:$A,Instagram_Usage_Lifestyle_Mini_!$W:$AB,"Not Found")</f>
        <v>52.8</v>
      </c>
      <c r="C220">
        <v>4</v>
      </c>
      <c r="D220">
        <v>3</v>
      </c>
      <c r="E220">
        <v>8</v>
      </c>
      <c r="F220">
        <v>0.7</v>
      </c>
      <c r="G220">
        <v>3</v>
      </c>
      <c r="H220" s="13" t="str" cm="1">
        <f t="array" ref="H220">_xlfn.IFS(B220&lt;20,"Low",B220&lt;=40,"Moderate",B220&lt;=60,"High",TRUE,"Very High")</f>
        <v>High</v>
      </c>
    </row>
    <row r="221" spans="1:8" ht="17" x14ac:dyDescent="0.2">
      <c r="A221">
        <v>220</v>
      </c>
      <c r="B221" cm="1">
        <f t="array" ref="B221:G221">_xlfn.XLOOKUP($A221,Instagram_Usage_Lifestyle_Mini_!$A:$A,Instagram_Usage_Lifestyle_Mini_!$W:$AB,"Not Found")</f>
        <v>32.799999999999997</v>
      </c>
      <c r="C221">
        <v>5</v>
      </c>
      <c r="D221">
        <v>6</v>
      </c>
      <c r="E221">
        <v>12</v>
      </c>
      <c r="F221">
        <v>10.5</v>
      </c>
      <c r="G221">
        <v>1</v>
      </c>
      <c r="H221" s="13" t="str" cm="1">
        <f t="array" ref="H221">_xlfn.IFS(B221&lt;20,"Low",B221&lt;=40,"Moderate",B221&lt;=60,"High",TRUE,"Very High")</f>
        <v>Moderate</v>
      </c>
    </row>
    <row r="222" spans="1:8" ht="17" x14ac:dyDescent="0.2">
      <c r="A222">
        <v>221</v>
      </c>
      <c r="B222" cm="1">
        <f t="array" ref="B222:G222">_xlfn.XLOOKUP($A222,Instagram_Usage_Lifestyle_Mini_!$A:$A,Instagram_Usage_Lifestyle_Mini_!$W:$AB,"Not Found")</f>
        <v>41.8</v>
      </c>
      <c r="C222">
        <v>3</v>
      </c>
      <c r="D222">
        <v>2</v>
      </c>
      <c r="E222">
        <v>6</v>
      </c>
      <c r="F222">
        <v>4.0999999999999996</v>
      </c>
      <c r="G222">
        <v>5</v>
      </c>
      <c r="H222" s="13" t="str" cm="1">
        <f t="array" ref="H222">_xlfn.IFS(B222&lt;20,"Low",B222&lt;=40,"Moderate",B222&lt;=60,"High",TRUE,"Very High")</f>
        <v>High</v>
      </c>
    </row>
    <row r="223" spans="1:8" ht="17" x14ac:dyDescent="0.2">
      <c r="A223">
        <v>222</v>
      </c>
      <c r="B223" cm="1">
        <f t="array" ref="B223:G223">_xlfn.XLOOKUP($A223,Instagram_Usage_Lifestyle_Mini_!$A:$A,Instagram_Usage_Lifestyle_Mini_!$W:$AB,"Not Found")</f>
        <v>47</v>
      </c>
      <c r="C223">
        <v>4</v>
      </c>
      <c r="D223">
        <v>6</v>
      </c>
      <c r="E223">
        <v>15</v>
      </c>
      <c r="F223">
        <v>3</v>
      </c>
      <c r="G223">
        <v>7</v>
      </c>
      <c r="H223" s="13" t="str" cm="1">
        <f t="array" ref="H223">_xlfn.IFS(B223&lt;20,"Low",B223&lt;=40,"Moderate",B223&lt;=60,"High",TRUE,"Very High")</f>
        <v>High</v>
      </c>
    </row>
    <row r="224" spans="1:8" ht="17" x14ac:dyDescent="0.2">
      <c r="A224">
        <v>223</v>
      </c>
      <c r="B224" cm="1">
        <f t="array" ref="B224:G224">_xlfn.XLOOKUP($A224,Instagram_Usage_Lifestyle_Mini_!$A:$A,Instagram_Usage_Lifestyle_Mini_!$W:$AB,"Not Found")</f>
        <v>24.4</v>
      </c>
      <c r="C224">
        <v>0</v>
      </c>
      <c r="D224">
        <v>7</v>
      </c>
      <c r="E224">
        <v>12</v>
      </c>
      <c r="F224">
        <v>0.4</v>
      </c>
      <c r="G224">
        <v>2</v>
      </c>
      <c r="H224" s="13" t="str" cm="1">
        <f t="array" ref="H224">_xlfn.IFS(B224&lt;20,"Low",B224&lt;=40,"Moderate",B224&lt;=60,"High",TRUE,"Very High")</f>
        <v>Moderate</v>
      </c>
    </row>
    <row r="225" spans="1:8" ht="17" x14ac:dyDescent="0.2">
      <c r="A225">
        <v>224</v>
      </c>
      <c r="B225" cm="1">
        <f t="array" ref="B225:G225">_xlfn.XLOOKUP($A225,Instagram_Usage_Lifestyle_Mini_!$A:$A,Instagram_Usage_Lifestyle_Mini_!$W:$AB,"Not Found")</f>
        <v>17.3</v>
      </c>
      <c r="C225">
        <v>3</v>
      </c>
      <c r="D225">
        <v>5</v>
      </c>
      <c r="E225">
        <v>16</v>
      </c>
      <c r="F225">
        <v>1.7</v>
      </c>
      <c r="G225">
        <v>1</v>
      </c>
      <c r="H225" s="13" t="str" cm="1">
        <f t="array" ref="H225">_xlfn.IFS(B225&lt;20,"Low",B225&lt;=40,"Moderate",B225&lt;=60,"High",TRUE,"Very High")</f>
        <v>Low</v>
      </c>
    </row>
    <row r="226" spans="1:8" ht="17" x14ac:dyDescent="0.2">
      <c r="A226">
        <v>225</v>
      </c>
      <c r="B226" cm="1">
        <f t="array" ref="B226:G226">_xlfn.XLOOKUP($A226,Instagram_Usage_Lifestyle_Mini_!$A:$A,Instagram_Usage_Lifestyle_Mini_!$W:$AB,"Not Found")</f>
        <v>33.700000000000003</v>
      </c>
      <c r="C226">
        <v>3</v>
      </c>
      <c r="D226">
        <v>6</v>
      </c>
      <c r="E226">
        <v>16</v>
      </c>
      <c r="F226">
        <v>3.1</v>
      </c>
      <c r="G226">
        <v>4</v>
      </c>
      <c r="H226" s="13" t="str" cm="1">
        <f t="array" ref="H226">_xlfn.IFS(B226&lt;20,"Low",B226&lt;=40,"Moderate",B226&lt;=60,"High",TRUE,"Very High")</f>
        <v>Moderate</v>
      </c>
    </row>
    <row r="227" spans="1:8" ht="17" x14ac:dyDescent="0.2">
      <c r="A227">
        <v>226</v>
      </c>
      <c r="B227" cm="1">
        <f t="array" ref="B227:G227">_xlfn.XLOOKUP($A227,Instagram_Usage_Lifestyle_Mini_!$A:$A,Instagram_Usage_Lifestyle_Mini_!$W:$AB,"Not Found")</f>
        <v>32.799999999999997</v>
      </c>
      <c r="C227">
        <v>3</v>
      </c>
      <c r="D227">
        <v>3</v>
      </c>
      <c r="E227">
        <v>18</v>
      </c>
      <c r="F227">
        <v>7.2</v>
      </c>
      <c r="G227">
        <v>1</v>
      </c>
      <c r="H227" s="13" t="str" cm="1">
        <f t="array" ref="H227">_xlfn.IFS(B227&lt;20,"Low",B227&lt;=40,"Moderate",B227&lt;=60,"High",TRUE,"Very High")</f>
        <v>Moderate</v>
      </c>
    </row>
    <row r="228" spans="1:8" ht="17" x14ac:dyDescent="0.2">
      <c r="A228">
        <v>227</v>
      </c>
      <c r="B228" cm="1">
        <f t="array" ref="B228:G228">_xlfn.XLOOKUP($A228,Instagram_Usage_Lifestyle_Mini_!$A:$A,Instagram_Usage_Lifestyle_Mini_!$W:$AB,"Not Found")</f>
        <v>38</v>
      </c>
      <c r="C228">
        <v>4</v>
      </c>
      <c r="D228">
        <v>2</v>
      </c>
      <c r="E228">
        <v>12</v>
      </c>
      <c r="F228">
        <v>2.5</v>
      </c>
      <c r="G228">
        <v>3</v>
      </c>
      <c r="H228" s="13" t="str" cm="1">
        <f t="array" ref="H228">_xlfn.IFS(B228&lt;20,"Low",B228&lt;=40,"Moderate",B228&lt;=60,"High",TRUE,"Very High")</f>
        <v>Moderate</v>
      </c>
    </row>
    <row r="229" spans="1:8" ht="17" x14ac:dyDescent="0.2">
      <c r="A229">
        <v>228</v>
      </c>
      <c r="B229" cm="1">
        <f t="array" ref="B229:G229">_xlfn.XLOOKUP($A229,Instagram_Usage_Lifestyle_Mini_!$A:$A,Instagram_Usage_Lifestyle_Mini_!$W:$AB,"Not Found")</f>
        <v>42.3</v>
      </c>
      <c r="C229">
        <v>4</v>
      </c>
      <c r="D229">
        <v>4</v>
      </c>
      <c r="E229">
        <v>13</v>
      </c>
      <c r="F229">
        <v>4.3</v>
      </c>
      <c r="G229">
        <v>6</v>
      </c>
      <c r="H229" s="13" t="str" cm="1">
        <f t="array" ref="H229">_xlfn.IFS(B229&lt;20,"Low",B229&lt;=40,"Moderate",B229&lt;=60,"High",TRUE,"Very High")</f>
        <v>High</v>
      </c>
    </row>
    <row r="230" spans="1:8" ht="17" x14ac:dyDescent="0.2">
      <c r="A230">
        <v>229</v>
      </c>
      <c r="B230" cm="1">
        <f t="array" ref="B230:G230">_xlfn.XLOOKUP($A230,Instagram_Usage_Lifestyle_Mini_!$A:$A,Instagram_Usage_Lifestyle_Mini_!$W:$AB,"Not Found")</f>
        <v>30.5</v>
      </c>
      <c r="C230">
        <v>4</v>
      </c>
      <c r="D230">
        <v>2</v>
      </c>
      <c r="E230">
        <v>7</v>
      </c>
      <c r="F230">
        <v>4.5</v>
      </c>
      <c r="G230">
        <v>1</v>
      </c>
      <c r="H230" s="13" t="str" cm="1">
        <f t="array" ref="H230">_xlfn.IFS(B230&lt;20,"Low",B230&lt;=40,"Moderate",B230&lt;=60,"High",TRUE,"Very High")</f>
        <v>Moderate</v>
      </c>
    </row>
    <row r="231" spans="1:8" ht="17" x14ac:dyDescent="0.2">
      <c r="A231">
        <v>230</v>
      </c>
      <c r="B231" cm="1">
        <f t="array" ref="B231:G231">_xlfn.XLOOKUP($A231,Instagram_Usage_Lifestyle_Mini_!$A:$A,Instagram_Usage_Lifestyle_Mini_!$W:$AB,"Not Found")</f>
        <v>44.1</v>
      </c>
      <c r="C231">
        <v>3</v>
      </c>
      <c r="D231">
        <v>6</v>
      </c>
      <c r="E231">
        <v>4</v>
      </c>
      <c r="F231">
        <v>8.6999999999999993</v>
      </c>
      <c r="G231">
        <v>4</v>
      </c>
      <c r="H231" s="13" t="str" cm="1">
        <f t="array" ref="H231">_xlfn.IFS(B231&lt;20,"Low",B231&lt;=40,"Moderate",B231&lt;=60,"High",TRUE,"Very High")</f>
        <v>High</v>
      </c>
    </row>
    <row r="232" spans="1:8" ht="17" x14ac:dyDescent="0.2">
      <c r="A232">
        <v>231</v>
      </c>
      <c r="B232" cm="1">
        <f t="array" ref="B232:G232">_xlfn.XLOOKUP($A232,Instagram_Usage_Lifestyle_Mini_!$A:$A,Instagram_Usage_Lifestyle_Mini_!$W:$AB,"Not Found")</f>
        <v>46.8</v>
      </c>
      <c r="C232">
        <v>2</v>
      </c>
      <c r="D232">
        <v>7</v>
      </c>
      <c r="E232">
        <v>7</v>
      </c>
      <c r="F232">
        <v>1.4</v>
      </c>
      <c r="G232">
        <v>3</v>
      </c>
      <c r="H232" s="13" t="str" cm="1">
        <f t="array" ref="H232">_xlfn.IFS(B232&lt;20,"Low",B232&lt;=40,"Moderate",B232&lt;=60,"High",TRUE,"Very High")</f>
        <v>High</v>
      </c>
    </row>
    <row r="233" spans="1:8" ht="17" x14ac:dyDescent="0.2">
      <c r="A233">
        <v>232</v>
      </c>
      <c r="B233" cm="1">
        <f t="array" ref="B233:G233">_xlfn.XLOOKUP($A233,Instagram_Usage_Lifestyle_Mini_!$A:$A,Instagram_Usage_Lifestyle_Mini_!$W:$AB,"Not Found")</f>
        <v>30.3</v>
      </c>
      <c r="C233">
        <v>2</v>
      </c>
      <c r="D233">
        <v>2</v>
      </c>
      <c r="E233">
        <v>10</v>
      </c>
      <c r="F233">
        <v>0.5</v>
      </c>
      <c r="G233">
        <v>4</v>
      </c>
      <c r="H233" s="13" t="str" cm="1">
        <f t="array" ref="H233">_xlfn.IFS(B233&lt;20,"Low",B233&lt;=40,"Moderate",B233&lt;=60,"High",TRUE,"Very High")</f>
        <v>Moderate</v>
      </c>
    </row>
    <row r="234" spans="1:8" ht="17" x14ac:dyDescent="0.2">
      <c r="A234">
        <v>233</v>
      </c>
      <c r="B234" cm="1">
        <f t="array" ref="B234:G234">_xlfn.XLOOKUP($A234,Instagram_Usage_Lifestyle_Mini_!$A:$A,Instagram_Usage_Lifestyle_Mini_!$W:$AB,"Not Found")</f>
        <v>25.9</v>
      </c>
      <c r="C234">
        <v>3</v>
      </c>
      <c r="D234">
        <v>2</v>
      </c>
      <c r="E234">
        <v>12</v>
      </c>
      <c r="F234">
        <v>0.4</v>
      </c>
      <c r="G234">
        <v>2</v>
      </c>
      <c r="H234" s="13" t="str" cm="1">
        <f t="array" ref="H234">_xlfn.IFS(B234&lt;20,"Low",B234&lt;=40,"Moderate",B234&lt;=60,"High",TRUE,"Very High")</f>
        <v>Moderate</v>
      </c>
    </row>
    <row r="235" spans="1:8" ht="17" x14ac:dyDescent="0.2">
      <c r="A235">
        <v>234</v>
      </c>
      <c r="B235" cm="1">
        <f t="array" ref="B235:G235">_xlfn.XLOOKUP($A235,Instagram_Usage_Lifestyle_Mini_!$A:$A,Instagram_Usage_Lifestyle_Mini_!$W:$AB,"Not Found")</f>
        <v>39.299999999999997</v>
      </c>
      <c r="C235">
        <v>3</v>
      </c>
      <c r="D235">
        <v>4</v>
      </c>
      <c r="E235">
        <v>7</v>
      </c>
      <c r="F235">
        <v>4.5</v>
      </c>
      <c r="G235">
        <v>3</v>
      </c>
      <c r="H235" s="13" t="str" cm="1">
        <f t="array" ref="H235">_xlfn.IFS(B235&lt;20,"Low",B235&lt;=40,"Moderate",B235&lt;=60,"High",TRUE,"Very High")</f>
        <v>Moderate</v>
      </c>
    </row>
    <row r="236" spans="1:8" ht="17" x14ac:dyDescent="0.2">
      <c r="A236">
        <v>235</v>
      </c>
      <c r="B236" cm="1">
        <f t="array" ref="B236:G236">_xlfn.XLOOKUP($A236,Instagram_Usage_Lifestyle_Mini_!$A:$A,Instagram_Usage_Lifestyle_Mini_!$W:$AB,"Not Found")</f>
        <v>54.8</v>
      </c>
      <c r="C236">
        <v>4</v>
      </c>
      <c r="D236">
        <v>4</v>
      </c>
      <c r="E236">
        <v>14</v>
      </c>
      <c r="F236">
        <v>2.6</v>
      </c>
      <c r="G236">
        <v>2</v>
      </c>
      <c r="H236" s="13" t="str" cm="1">
        <f t="array" ref="H236">_xlfn.IFS(B236&lt;20,"Low",B236&lt;=40,"Moderate",B236&lt;=60,"High",TRUE,"Very High")</f>
        <v>High</v>
      </c>
    </row>
    <row r="237" spans="1:8" ht="17" x14ac:dyDescent="0.2">
      <c r="A237">
        <v>236</v>
      </c>
      <c r="B237" cm="1">
        <f t="array" ref="B237:G237">_xlfn.XLOOKUP($A237,Instagram_Usage_Lifestyle_Mini_!$A:$A,Instagram_Usage_Lifestyle_Mini_!$W:$AB,"Not Found")</f>
        <v>39.700000000000003</v>
      </c>
      <c r="C237">
        <v>3</v>
      </c>
      <c r="D237">
        <v>4</v>
      </c>
      <c r="E237">
        <v>9</v>
      </c>
      <c r="F237">
        <v>0.3</v>
      </c>
      <c r="G237">
        <v>0</v>
      </c>
      <c r="H237" s="13" t="str" cm="1">
        <f t="array" ref="H237">_xlfn.IFS(B237&lt;20,"Low",B237&lt;=40,"Moderate",B237&lt;=60,"High",TRUE,"Very High")</f>
        <v>Moderate</v>
      </c>
    </row>
    <row r="238" spans="1:8" ht="17" x14ac:dyDescent="0.2">
      <c r="A238">
        <v>237</v>
      </c>
      <c r="B238" cm="1">
        <f t="array" ref="B238:G238">_xlfn.XLOOKUP($A238,Instagram_Usage_Lifestyle_Mini_!$A:$A,Instagram_Usage_Lifestyle_Mini_!$W:$AB,"Not Found")</f>
        <v>53.4</v>
      </c>
      <c r="C238">
        <v>5</v>
      </c>
      <c r="D238">
        <v>6</v>
      </c>
      <c r="E238">
        <v>5</v>
      </c>
      <c r="F238">
        <v>5.5</v>
      </c>
      <c r="G238">
        <v>5</v>
      </c>
      <c r="H238" s="13" t="str" cm="1">
        <f t="array" ref="H238">_xlfn.IFS(B238&lt;20,"Low",B238&lt;=40,"Moderate",B238&lt;=60,"High",TRUE,"Very High")</f>
        <v>High</v>
      </c>
    </row>
    <row r="239" spans="1:8" ht="17" x14ac:dyDescent="0.2">
      <c r="A239">
        <v>238</v>
      </c>
      <c r="B239" cm="1">
        <f t="array" ref="B239:G239">_xlfn.XLOOKUP($A239,Instagram_Usage_Lifestyle_Mini_!$A:$A,Instagram_Usage_Lifestyle_Mini_!$W:$AB,"Not Found")</f>
        <v>31.8</v>
      </c>
      <c r="C239">
        <v>3</v>
      </c>
      <c r="D239">
        <v>3</v>
      </c>
      <c r="E239">
        <v>9</v>
      </c>
      <c r="F239">
        <v>4</v>
      </c>
      <c r="G239">
        <v>2</v>
      </c>
      <c r="H239" s="13" t="str" cm="1">
        <f t="array" ref="H239">_xlfn.IFS(B239&lt;20,"Low",B239&lt;=40,"Moderate",B239&lt;=60,"High",TRUE,"Very High")</f>
        <v>Moderate</v>
      </c>
    </row>
    <row r="240" spans="1:8" ht="17" x14ac:dyDescent="0.2">
      <c r="A240">
        <v>239</v>
      </c>
      <c r="B240" cm="1">
        <f t="array" ref="B240:G240">_xlfn.XLOOKUP($A240,Instagram_Usage_Lifestyle_Mini_!$A:$A,Instagram_Usage_Lifestyle_Mini_!$W:$AB,"Not Found")</f>
        <v>32.9</v>
      </c>
      <c r="C240">
        <v>4</v>
      </c>
      <c r="D240">
        <v>1</v>
      </c>
      <c r="E240">
        <v>10</v>
      </c>
      <c r="F240">
        <v>2.6</v>
      </c>
      <c r="G240">
        <v>1</v>
      </c>
      <c r="H240" s="13" t="str" cm="1">
        <f t="array" ref="H240">_xlfn.IFS(B240&lt;20,"Low",B240&lt;=40,"Moderate",B240&lt;=60,"High",TRUE,"Very High")</f>
        <v>Moderate</v>
      </c>
    </row>
    <row r="241" spans="1:8" ht="17" x14ac:dyDescent="0.2">
      <c r="A241">
        <v>240</v>
      </c>
      <c r="B241" cm="1">
        <f t="array" ref="B241:G241">_xlfn.XLOOKUP($A241,Instagram_Usage_Lifestyle_Mini_!$A:$A,Instagram_Usage_Lifestyle_Mini_!$W:$AB,"Not Found")</f>
        <v>39.4</v>
      </c>
      <c r="C241">
        <v>1</v>
      </c>
      <c r="D241">
        <v>7</v>
      </c>
      <c r="E241">
        <v>9</v>
      </c>
      <c r="F241">
        <v>1.5</v>
      </c>
      <c r="G241">
        <v>5</v>
      </c>
      <c r="H241" s="13" t="str" cm="1">
        <f t="array" ref="H241">_xlfn.IFS(B241&lt;20,"Low",B241&lt;=40,"Moderate",B241&lt;=60,"High",TRUE,"Very High")</f>
        <v>Moderate</v>
      </c>
    </row>
    <row r="242" spans="1:8" ht="17" x14ac:dyDescent="0.2">
      <c r="A242">
        <v>241</v>
      </c>
      <c r="B242" cm="1">
        <f t="array" ref="B242:G242">_xlfn.XLOOKUP($A242,Instagram_Usage_Lifestyle_Mini_!$A:$A,Instagram_Usage_Lifestyle_Mini_!$W:$AB,"Not Found")</f>
        <v>29.9</v>
      </c>
      <c r="C242">
        <v>2</v>
      </c>
      <c r="D242">
        <v>1</v>
      </c>
      <c r="E242">
        <v>12</v>
      </c>
      <c r="F242">
        <v>5.7</v>
      </c>
      <c r="G242">
        <v>6</v>
      </c>
      <c r="H242" s="13" t="str" cm="1">
        <f t="array" ref="H242">_xlfn.IFS(B242&lt;20,"Low",B242&lt;=40,"Moderate",B242&lt;=60,"High",TRUE,"Very High")</f>
        <v>Moderate</v>
      </c>
    </row>
    <row r="243" spans="1:8" ht="17" x14ac:dyDescent="0.2">
      <c r="A243">
        <v>242</v>
      </c>
      <c r="B243" cm="1">
        <f t="array" ref="B243:G243">_xlfn.XLOOKUP($A243,Instagram_Usage_Lifestyle_Mini_!$A:$A,Instagram_Usage_Lifestyle_Mini_!$W:$AB,"Not Found")</f>
        <v>23.8</v>
      </c>
      <c r="C243">
        <v>3</v>
      </c>
      <c r="D243">
        <v>3</v>
      </c>
      <c r="E243">
        <v>9</v>
      </c>
      <c r="F243">
        <v>2.1</v>
      </c>
      <c r="G243">
        <v>1</v>
      </c>
      <c r="H243" s="13" t="str" cm="1">
        <f t="array" ref="H243">_xlfn.IFS(B243&lt;20,"Low",B243&lt;=40,"Moderate",B243&lt;=60,"High",TRUE,"Very High")</f>
        <v>Moderate</v>
      </c>
    </row>
    <row r="244" spans="1:8" ht="17" x14ac:dyDescent="0.2">
      <c r="A244">
        <v>243</v>
      </c>
      <c r="B244" cm="1">
        <f t="array" ref="B244:G244">_xlfn.XLOOKUP($A244,Instagram_Usage_Lifestyle_Mini_!$A:$A,Instagram_Usage_Lifestyle_Mini_!$W:$AB,"Not Found")</f>
        <v>47.7</v>
      </c>
      <c r="C244">
        <v>2</v>
      </c>
      <c r="D244">
        <v>2</v>
      </c>
      <c r="E244">
        <v>7</v>
      </c>
      <c r="F244">
        <v>4</v>
      </c>
      <c r="G244">
        <v>2</v>
      </c>
      <c r="H244" s="13" t="str" cm="1">
        <f t="array" ref="H244">_xlfn.IFS(B244&lt;20,"Low",B244&lt;=40,"Moderate",B244&lt;=60,"High",TRUE,"Very High")</f>
        <v>High</v>
      </c>
    </row>
    <row r="245" spans="1:8" ht="17" x14ac:dyDescent="0.2">
      <c r="A245">
        <v>244</v>
      </c>
      <c r="B245" cm="1">
        <f t="array" ref="B245:G245">_xlfn.XLOOKUP($A245,Instagram_Usage_Lifestyle_Mini_!$A:$A,Instagram_Usage_Lifestyle_Mini_!$W:$AB,"Not Found")</f>
        <v>51.7</v>
      </c>
      <c r="C245">
        <v>2</v>
      </c>
      <c r="D245">
        <v>3</v>
      </c>
      <c r="E245">
        <v>12</v>
      </c>
      <c r="F245">
        <v>5.3</v>
      </c>
      <c r="G245">
        <v>1</v>
      </c>
      <c r="H245" s="13" t="str" cm="1">
        <f t="array" ref="H245">_xlfn.IFS(B245&lt;20,"Low",B245&lt;=40,"Moderate",B245&lt;=60,"High",TRUE,"Very High")</f>
        <v>High</v>
      </c>
    </row>
    <row r="246" spans="1:8" ht="17" x14ac:dyDescent="0.2">
      <c r="A246">
        <v>245</v>
      </c>
      <c r="B246" cm="1">
        <f t="array" ref="B246:G246">_xlfn.XLOOKUP($A246,Instagram_Usage_Lifestyle_Mini_!$A:$A,Instagram_Usage_Lifestyle_Mini_!$W:$AB,"Not Found")</f>
        <v>45.6</v>
      </c>
      <c r="C246">
        <v>1</v>
      </c>
      <c r="D246">
        <v>6</v>
      </c>
      <c r="E246">
        <v>8</v>
      </c>
      <c r="F246">
        <v>2.2999999999999998</v>
      </c>
      <c r="G246">
        <v>2</v>
      </c>
      <c r="H246" s="13" t="str" cm="1">
        <f t="array" ref="H246">_xlfn.IFS(B246&lt;20,"Low",B246&lt;=40,"Moderate",B246&lt;=60,"High",TRUE,"Very High")</f>
        <v>High</v>
      </c>
    </row>
    <row r="247" spans="1:8" ht="17" x14ac:dyDescent="0.2">
      <c r="A247">
        <v>246</v>
      </c>
      <c r="B247" cm="1">
        <f t="array" ref="B247:G247">_xlfn.XLOOKUP($A247,Instagram_Usage_Lifestyle_Mini_!$A:$A,Instagram_Usage_Lifestyle_Mini_!$W:$AB,"Not Found")</f>
        <v>44.4</v>
      </c>
      <c r="C247">
        <v>0</v>
      </c>
      <c r="D247">
        <v>1</v>
      </c>
      <c r="E247">
        <v>7</v>
      </c>
      <c r="F247">
        <v>5.5</v>
      </c>
      <c r="G247">
        <v>2</v>
      </c>
      <c r="H247" s="13" t="str" cm="1">
        <f t="array" ref="H247">_xlfn.IFS(B247&lt;20,"Low",B247&lt;=40,"Moderate",B247&lt;=60,"High",TRUE,"Very High")</f>
        <v>High</v>
      </c>
    </row>
    <row r="248" spans="1:8" ht="17" x14ac:dyDescent="0.2">
      <c r="A248">
        <v>247</v>
      </c>
      <c r="B248" cm="1">
        <f t="array" ref="B248:G248">_xlfn.XLOOKUP($A248,Instagram_Usage_Lifestyle_Mini_!$A:$A,Instagram_Usage_Lifestyle_Mini_!$W:$AB,"Not Found")</f>
        <v>49.1</v>
      </c>
      <c r="C248">
        <v>2</v>
      </c>
      <c r="D248">
        <v>1</v>
      </c>
      <c r="E248">
        <v>15</v>
      </c>
      <c r="F248">
        <v>6.7</v>
      </c>
      <c r="G248">
        <v>2</v>
      </c>
      <c r="H248" s="13" t="str" cm="1">
        <f t="array" ref="H248">_xlfn.IFS(B248&lt;20,"Low",B248&lt;=40,"Moderate",B248&lt;=60,"High",TRUE,"Very High")</f>
        <v>High</v>
      </c>
    </row>
    <row r="249" spans="1:8" ht="17" x14ac:dyDescent="0.2">
      <c r="A249">
        <v>248</v>
      </c>
      <c r="B249" cm="1">
        <f t="array" ref="B249:G249">_xlfn.XLOOKUP($A249,Instagram_Usage_Lifestyle_Mini_!$A:$A,Instagram_Usage_Lifestyle_Mini_!$W:$AB,"Not Found")</f>
        <v>32.200000000000003</v>
      </c>
      <c r="C249">
        <v>3</v>
      </c>
      <c r="D249">
        <v>4</v>
      </c>
      <c r="E249">
        <v>14</v>
      </c>
      <c r="F249">
        <v>5.0999999999999996</v>
      </c>
      <c r="G249">
        <v>2</v>
      </c>
      <c r="H249" s="13" t="str" cm="1">
        <f t="array" ref="H249">_xlfn.IFS(B249&lt;20,"Low",B249&lt;=40,"Moderate",B249&lt;=60,"High",TRUE,"Very High")</f>
        <v>Moderate</v>
      </c>
    </row>
    <row r="250" spans="1:8" ht="17" x14ac:dyDescent="0.2">
      <c r="A250">
        <v>249</v>
      </c>
      <c r="B250" cm="1">
        <f t="array" ref="B250:G250">_xlfn.XLOOKUP($A250,Instagram_Usage_Lifestyle_Mini_!$A:$A,Instagram_Usage_Lifestyle_Mini_!$W:$AB,"Not Found")</f>
        <v>40.799999999999997</v>
      </c>
      <c r="C250">
        <v>3</v>
      </c>
      <c r="D250">
        <v>5</v>
      </c>
      <c r="E250">
        <v>6</v>
      </c>
      <c r="F250">
        <v>4.7</v>
      </c>
      <c r="G250">
        <v>2</v>
      </c>
      <c r="H250" s="13" t="str" cm="1">
        <f t="array" ref="H250">_xlfn.IFS(B250&lt;20,"Low",B250&lt;=40,"Moderate",B250&lt;=60,"High",TRUE,"Very High")</f>
        <v>High</v>
      </c>
    </row>
    <row r="251" spans="1:8" ht="17" x14ac:dyDescent="0.2">
      <c r="A251">
        <v>250</v>
      </c>
      <c r="B251" cm="1">
        <f t="array" ref="B251:G251">_xlfn.XLOOKUP($A251,Instagram_Usage_Lifestyle_Mini_!$A:$A,Instagram_Usage_Lifestyle_Mini_!$W:$AB,"Not Found")</f>
        <v>42.1</v>
      </c>
      <c r="C251">
        <v>0</v>
      </c>
      <c r="D251">
        <v>6</v>
      </c>
      <c r="E251">
        <v>16</v>
      </c>
      <c r="F251">
        <v>6.5</v>
      </c>
      <c r="G251">
        <v>2</v>
      </c>
      <c r="H251" s="13" t="str" cm="1">
        <f t="array" ref="H251">_xlfn.IFS(B251&lt;20,"Low",B251&lt;=40,"Moderate",B251&lt;=60,"High",TRUE,"Very High")</f>
        <v>High</v>
      </c>
    </row>
    <row r="252" spans="1:8" ht="17" x14ac:dyDescent="0.2">
      <c r="A252">
        <v>251</v>
      </c>
      <c r="B252" cm="1">
        <f t="array" ref="B252:G252">_xlfn.XLOOKUP($A252,Instagram_Usage_Lifestyle_Mini_!$A:$A,Instagram_Usage_Lifestyle_Mini_!$W:$AB,"Not Found")</f>
        <v>26.5</v>
      </c>
      <c r="C252">
        <v>3</v>
      </c>
      <c r="D252">
        <v>4</v>
      </c>
      <c r="E252">
        <v>8</v>
      </c>
      <c r="F252">
        <v>3.5</v>
      </c>
      <c r="G252">
        <v>2</v>
      </c>
      <c r="H252" s="13" t="str" cm="1">
        <f t="array" ref="H252">_xlfn.IFS(B252&lt;20,"Low",B252&lt;=40,"Moderate",B252&lt;=60,"High",TRUE,"Very High")</f>
        <v>Moderate</v>
      </c>
    </row>
    <row r="253" spans="1:8" ht="17" x14ac:dyDescent="0.2">
      <c r="A253">
        <v>252</v>
      </c>
      <c r="B253" cm="1">
        <f t="array" ref="B253:G253">_xlfn.XLOOKUP($A253,Instagram_Usage_Lifestyle_Mini_!$A:$A,Instagram_Usage_Lifestyle_Mini_!$W:$AB,"Not Found")</f>
        <v>46.8</v>
      </c>
      <c r="C253">
        <v>2</v>
      </c>
      <c r="D253">
        <v>4</v>
      </c>
      <c r="E253">
        <v>5</v>
      </c>
      <c r="F253">
        <v>2</v>
      </c>
      <c r="G253">
        <v>5</v>
      </c>
      <c r="H253" s="13" t="str" cm="1">
        <f t="array" ref="H253">_xlfn.IFS(B253&lt;20,"Low",B253&lt;=40,"Moderate",B253&lt;=60,"High",TRUE,"Very High")</f>
        <v>High</v>
      </c>
    </row>
    <row r="254" spans="1:8" ht="17" x14ac:dyDescent="0.2">
      <c r="A254">
        <v>253</v>
      </c>
      <c r="B254" cm="1">
        <f t="array" ref="B254:G254">_xlfn.XLOOKUP($A254,Instagram_Usage_Lifestyle_Mini_!$A:$A,Instagram_Usage_Lifestyle_Mini_!$W:$AB,"Not Found")</f>
        <v>51.8</v>
      </c>
      <c r="C254">
        <v>5</v>
      </c>
      <c r="D254">
        <v>8</v>
      </c>
      <c r="E254">
        <v>11</v>
      </c>
      <c r="F254">
        <v>1.5</v>
      </c>
      <c r="G254">
        <v>3</v>
      </c>
      <c r="H254" s="13" t="str" cm="1">
        <f t="array" ref="H254">_xlfn.IFS(B254&lt;20,"Low",B254&lt;=40,"Moderate",B254&lt;=60,"High",TRUE,"Very High")</f>
        <v>High</v>
      </c>
    </row>
    <row r="255" spans="1:8" ht="17" x14ac:dyDescent="0.2">
      <c r="A255">
        <v>254</v>
      </c>
      <c r="B255" cm="1">
        <f t="array" ref="B255:G255">_xlfn.XLOOKUP($A255,Instagram_Usage_Lifestyle_Mini_!$A:$A,Instagram_Usage_Lifestyle_Mini_!$W:$AB,"Not Found")</f>
        <v>49.9</v>
      </c>
      <c r="C255">
        <v>2</v>
      </c>
      <c r="D255">
        <v>3</v>
      </c>
      <c r="E255">
        <v>5</v>
      </c>
      <c r="F255">
        <v>3.1</v>
      </c>
      <c r="G255">
        <v>3</v>
      </c>
      <c r="H255" s="13" t="str" cm="1">
        <f t="array" ref="H255">_xlfn.IFS(B255&lt;20,"Low",B255&lt;=40,"Moderate",B255&lt;=60,"High",TRUE,"Very High")</f>
        <v>High</v>
      </c>
    </row>
    <row r="256" spans="1:8" ht="17" x14ac:dyDescent="0.2">
      <c r="A256">
        <v>255</v>
      </c>
      <c r="B256" cm="1">
        <f t="array" ref="B256:G256">_xlfn.XLOOKUP($A256,Instagram_Usage_Lifestyle_Mini_!$A:$A,Instagram_Usage_Lifestyle_Mini_!$W:$AB,"Not Found")</f>
        <v>39.700000000000003</v>
      </c>
      <c r="C256">
        <v>1</v>
      </c>
      <c r="D256">
        <v>5</v>
      </c>
      <c r="E256">
        <v>11</v>
      </c>
      <c r="F256">
        <v>3.7</v>
      </c>
      <c r="G256">
        <v>3</v>
      </c>
      <c r="H256" s="13" t="str" cm="1">
        <f t="array" ref="H256">_xlfn.IFS(B256&lt;20,"Low",B256&lt;=40,"Moderate",B256&lt;=60,"High",TRUE,"Very High")</f>
        <v>Moderate</v>
      </c>
    </row>
    <row r="257" spans="1:8" ht="17" x14ac:dyDescent="0.2">
      <c r="A257">
        <v>256</v>
      </c>
      <c r="B257" cm="1">
        <f t="array" ref="B257:G257">_xlfn.XLOOKUP($A257,Instagram_Usage_Lifestyle_Mini_!$A:$A,Instagram_Usage_Lifestyle_Mini_!$W:$AB,"Not Found")</f>
        <v>49.1</v>
      </c>
      <c r="C257">
        <v>4</v>
      </c>
      <c r="D257">
        <v>1</v>
      </c>
      <c r="E257">
        <v>9</v>
      </c>
      <c r="F257">
        <v>6.5</v>
      </c>
      <c r="G257">
        <v>0</v>
      </c>
      <c r="H257" s="13" t="str" cm="1">
        <f t="array" ref="H257">_xlfn.IFS(B257&lt;20,"Low",B257&lt;=40,"Moderate",B257&lt;=60,"High",TRUE,"Very High")</f>
        <v>High</v>
      </c>
    </row>
    <row r="258" spans="1:8" ht="17" x14ac:dyDescent="0.2">
      <c r="A258">
        <v>257</v>
      </c>
      <c r="B258" cm="1">
        <f t="array" ref="B258:G258">_xlfn.XLOOKUP($A258,Instagram_Usage_Lifestyle_Mini_!$A:$A,Instagram_Usage_Lifestyle_Mini_!$W:$AB,"Not Found")</f>
        <v>28.1</v>
      </c>
      <c r="C258">
        <v>3</v>
      </c>
      <c r="D258">
        <v>0</v>
      </c>
      <c r="E258">
        <v>7</v>
      </c>
      <c r="F258">
        <v>0.4</v>
      </c>
      <c r="G258">
        <v>2</v>
      </c>
      <c r="H258" s="13" t="str" cm="1">
        <f t="array" ref="H258">_xlfn.IFS(B258&lt;20,"Low",B258&lt;=40,"Moderate",B258&lt;=60,"High",TRUE,"Very High")</f>
        <v>Moderate</v>
      </c>
    </row>
    <row r="259" spans="1:8" ht="17" x14ac:dyDescent="0.2">
      <c r="A259">
        <v>258</v>
      </c>
      <c r="B259" cm="1">
        <f t="array" ref="B259:G259">_xlfn.XLOOKUP($A259,Instagram_Usage_Lifestyle_Mini_!$A:$A,Instagram_Usage_Lifestyle_Mini_!$W:$AB,"Not Found")</f>
        <v>33.200000000000003</v>
      </c>
      <c r="C259">
        <v>1</v>
      </c>
      <c r="D259">
        <v>2</v>
      </c>
      <c r="E259">
        <v>8</v>
      </c>
      <c r="F259">
        <v>2.5</v>
      </c>
      <c r="G259">
        <v>1</v>
      </c>
      <c r="H259" s="13" t="str" cm="1">
        <f t="array" ref="H259">_xlfn.IFS(B259&lt;20,"Low",B259&lt;=40,"Moderate",B259&lt;=60,"High",TRUE,"Very High")</f>
        <v>Moderate</v>
      </c>
    </row>
    <row r="260" spans="1:8" ht="17" x14ac:dyDescent="0.2">
      <c r="A260">
        <v>259</v>
      </c>
      <c r="B260" cm="1">
        <f t="array" ref="B260:G260">_xlfn.XLOOKUP($A260,Instagram_Usage_Lifestyle_Mini_!$A:$A,Instagram_Usage_Lifestyle_Mini_!$W:$AB,"Not Found")</f>
        <v>39.6</v>
      </c>
      <c r="C260">
        <v>2</v>
      </c>
      <c r="D260">
        <v>3</v>
      </c>
      <c r="E260">
        <v>11</v>
      </c>
      <c r="F260">
        <v>3.2</v>
      </c>
      <c r="G260">
        <v>6</v>
      </c>
      <c r="H260" s="13" t="str" cm="1">
        <f t="array" ref="H260">_xlfn.IFS(B260&lt;20,"Low",B260&lt;=40,"Moderate",B260&lt;=60,"High",TRUE,"Very High")</f>
        <v>Moderate</v>
      </c>
    </row>
    <row r="261" spans="1:8" ht="17" x14ac:dyDescent="0.2">
      <c r="A261">
        <v>260</v>
      </c>
      <c r="B261" cm="1">
        <f t="array" ref="B261:G261">_xlfn.XLOOKUP($A261,Instagram_Usage_Lifestyle_Mini_!$A:$A,Instagram_Usage_Lifestyle_Mini_!$W:$AB,"Not Found")</f>
        <v>52.5</v>
      </c>
      <c r="C261">
        <v>2</v>
      </c>
      <c r="D261">
        <v>1</v>
      </c>
      <c r="E261">
        <v>19</v>
      </c>
      <c r="F261">
        <v>3.5</v>
      </c>
      <c r="G261">
        <v>5</v>
      </c>
      <c r="H261" s="13" t="str" cm="1">
        <f t="array" ref="H261">_xlfn.IFS(B261&lt;20,"Low",B261&lt;=40,"Moderate",B261&lt;=60,"High",TRUE,"Very High")</f>
        <v>High</v>
      </c>
    </row>
    <row r="262" spans="1:8" ht="17" x14ac:dyDescent="0.2">
      <c r="A262">
        <v>261</v>
      </c>
      <c r="B262" cm="1">
        <f t="array" ref="B262:G262">_xlfn.XLOOKUP($A262,Instagram_Usage_Lifestyle_Mini_!$A:$A,Instagram_Usage_Lifestyle_Mini_!$W:$AB,"Not Found")</f>
        <v>55</v>
      </c>
      <c r="C262">
        <v>3</v>
      </c>
      <c r="D262">
        <v>3</v>
      </c>
      <c r="E262">
        <v>11</v>
      </c>
      <c r="F262">
        <v>4.7</v>
      </c>
      <c r="G262">
        <v>4</v>
      </c>
      <c r="H262" s="13" t="str" cm="1">
        <f t="array" ref="H262">_xlfn.IFS(B262&lt;20,"Low",B262&lt;=40,"Moderate",B262&lt;=60,"High",TRUE,"Very High")</f>
        <v>High</v>
      </c>
    </row>
    <row r="263" spans="1:8" ht="17" x14ac:dyDescent="0.2">
      <c r="A263">
        <v>262</v>
      </c>
      <c r="B263" cm="1">
        <f t="array" ref="B263:G263">_xlfn.XLOOKUP($A263,Instagram_Usage_Lifestyle_Mini_!$A:$A,Instagram_Usage_Lifestyle_Mini_!$W:$AB,"Not Found")</f>
        <v>39.200000000000003</v>
      </c>
      <c r="C263">
        <v>4</v>
      </c>
      <c r="D263">
        <v>1</v>
      </c>
      <c r="E263">
        <v>16</v>
      </c>
      <c r="F263">
        <v>3</v>
      </c>
      <c r="G263">
        <v>5</v>
      </c>
      <c r="H263" s="13" t="str" cm="1">
        <f t="array" ref="H263">_xlfn.IFS(B263&lt;20,"Low",B263&lt;=40,"Moderate",B263&lt;=60,"High",TRUE,"Very High")</f>
        <v>Moderate</v>
      </c>
    </row>
    <row r="264" spans="1:8" ht="17" x14ac:dyDescent="0.2">
      <c r="A264">
        <v>263</v>
      </c>
      <c r="B264" cm="1">
        <f t="array" ref="B264:G264">_xlfn.XLOOKUP($A264,Instagram_Usage_Lifestyle_Mini_!$A:$A,Instagram_Usage_Lifestyle_Mini_!$W:$AB,"Not Found")</f>
        <v>36.4</v>
      </c>
      <c r="C264">
        <v>5</v>
      </c>
      <c r="D264">
        <v>6</v>
      </c>
      <c r="E264">
        <v>18</v>
      </c>
      <c r="F264">
        <v>3.1</v>
      </c>
      <c r="G264">
        <v>4</v>
      </c>
      <c r="H264" s="13" t="str" cm="1">
        <f t="array" ref="H264">_xlfn.IFS(B264&lt;20,"Low",B264&lt;=40,"Moderate",B264&lt;=60,"High",TRUE,"Very High")</f>
        <v>Moderate</v>
      </c>
    </row>
    <row r="265" spans="1:8" ht="17" x14ac:dyDescent="0.2">
      <c r="A265">
        <v>264</v>
      </c>
      <c r="B265" cm="1">
        <f t="array" ref="B265:G265">_xlfn.XLOOKUP($A265,Instagram_Usage_Lifestyle_Mini_!$A:$A,Instagram_Usage_Lifestyle_Mini_!$W:$AB,"Not Found")</f>
        <v>20.3</v>
      </c>
      <c r="C265">
        <v>1</v>
      </c>
      <c r="D265">
        <v>2</v>
      </c>
      <c r="E265">
        <v>5</v>
      </c>
      <c r="F265">
        <v>1.8</v>
      </c>
      <c r="G265">
        <v>4</v>
      </c>
      <c r="H265" s="13" t="str" cm="1">
        <f t="array" ref="H265">_xlfn.IFS(B265&lt;20,"Low",B265&lt;=40,"Moderate",B265&lt;=60,"High",TRUE,"Very High")</f>
        <v>Moderate</v>
      </c>
    </row>
    <row r="266" spans="1:8" ht="17" x14ac:dyDescent="0.2">
      <c r="A266">
        <v>265</v>
      </c>
      <c r="B266" cm="1">
        <f t="array" ref="B266:G266">_xlfn.XLOOKUP($A266,Instagram_Usage_Lifestyle_Mini_!$A:$A,Instagram_Usage_Lifestyle_Mini_!$W:$AB,"Not Found")</f>
        <v>48.2</v>
      </c>
      <c r="C266">
        <v>3</v>
      </c>
      <c r="D266">
        <v>2</v>
      </c>
      <c r="E266">
        <v>9</v>
      </c>
      <c r="F266">
        <v>4.5999999999999996</v>
      </c>
      <c r="G266">
        <v>4</v>
      </c>
      <c r="H266" s="13" t="str" cm="1">
        <f t="array" ref="H266">_xlfn.IFS(B266&lt;20,"Low",B266&lt;=40,"Moderate",B266&lt;=60,"High",TRUE,"Very High")</f>
        <v>High</v>
      </c>
    </row>
    <row r="267" spans="1:8" ht="17" x14ac:dyDescent="0.2">
      <c r="A267">
        <v>266</v>
      </c>
      <c r="B267" cm="1">
        <f t="array" ref="B267:G267">_xlfn.XLOOKUP($A267,Instagram_Usage_Lifestyle_Mini_!$A:$A,Instagram_Usage_Lifestyle_Mini_!$W:$AB,"Not Found")</f>
        <v>29</v>
      </c>
      <c r="C267">
        <v>4</v>
      </c>
      <c r="D267">
        <v>1</v>
      </c>
      <c r="E267">
        <v>14</v>
      </c>
      <c r="F267">
        <v>4.9000000000000004</v>
      </c>
      <c r="G267">
        <v>7</v>
      </c>
      <c r="H267" s="13" t="str" cm="1">
        <f t="array" ref="H267">_xlfn.IFS(B267&lt;20,"Low",B267&lt;=40,"Moderate",B267&lt;=60,"High",TRUE,"Very High")</f>
        <v>Moderate</v>
      </c>
    </row>
    <row r="268" spans="1:8" ht="17" x14ac:dyDescent="0.2">
      <c r="A268">
        <v>267</v>
      </c>
      <c r="B268" cm="1">
        <f t="array" ref="B268:G268">_xlfn.XLOOKUP($A268,Instagram_Usage_Lifestyle_Mini_!$A:$A,Instagram_Usage_Lifestyle_Mini_!$W:$AB,"Not Found")</f>
        <v>42</v>
      </c>
      <c r="C268">
        <v>3</v>
      </c>
      <c r="D268">
        <v>4</v>
      </c>
      <c r="E268">
        <v>17</v>
      </c>
      <c r="F268">
        <v>4.5999999999999996</v>
      </c>
      <c r="G268">
        <v>4</v>
      </c>
      <c r="H268" s="13" t="str" cm="1">
        <f t="array" ref="H268">_xlfn.IFS(B268&lt;20,"Low",B268&lt;=40,"Moderate",B268&lt;=60,"High",TRUE,"Very High")</f>
        <v>High</v>
      </c>
    </row>
    <row r="269" spans="1:8" ht="17" x14ac:dyDescent="0.2">
      <c r="A269">
        <v>268</v>
      </c>
      <c r="B269" cm="1">
        <f t="array" ref="B269:G269">_xlfn.XLOOKUP($A269,Instagram_Usage_Lifestyle_Mini_!$A:$A,Instagram_Usage_Lifestyle_Mini_!$W:$AB,"Not Found")</f>
        <v>30.8</v>
      </c>
      <c r="C269">
        <v>2</v>
      </c>
      <c r="D269">
        <v>5</v>
      </c>
      <c r="E269">
        <v>6</v>
      </c>
      <c r="F269">
        <v>5.8</v>
      </c>
      <c r="G269">
        <v>1</v>
      </c>
      <c r="H269" s="13" t="str" cm="1">
        <f t="array" ref="H269">_xlfn.IFS(B269&lt;20,"Low",B269&lt;=40,"Moderate",B269&lt;=60,"High",TRUE,"Very High")</f>
        <v>Moderate</v>
      </c>
    </row>
    <row r="270" spans="1:8" ht="17" x14ac:dyDescent="0.2">
      <c r="A270">
        <v>269</v>
      </c>
      <c r="B270" cm="1">
        <f t="array" ref="B270:G270">_xlfn.XLOOKUP($A270,Instagram_Usage_Lifestyle_Mini_!$A:$A,Instagram_Usage_Lifestyle_Mini_!$W:$AB,"Not Found")</f>
        <v>28.3</v>
      </c>
      <c r="C270">
        <v>8</v>
      </c>
      <c r="D270">
        <v>8</v>
      </c>
      <c r="E270">
        <v>9</v>
      </c>
      <c r="F270">
        <v>3.3</v>
      </c>
      <c r="G270">
        <v>3</v>
      </c>
      <c r="H270" s="13" t="str" cm="1">
        <f t="array" ref="H270">_xlfn.IFS(B270&lt;20,"Low",B270&lt;=40,"Moderate",B270&lt;=60,"High",TRUE,"Very High")</f>
        <v>Moderate</v>
      </c>
    </row>
    <row r="271" spans="1:8" ht="17" x14ac:dyDescent="0.2">
      <c r="A271">
        <v>270</v>
      </c>
      <c r="B271" cm="1">
        <f t="array" ref="B271:G271">_xlfn.XLOOKUP($A271,Instagram_Usage_Lifestyle_Mini_!$A:$A,Instagram_Usage_Lifestyle_Mini_!$W:$AB,"Not Found")</f>
        <v>48.4</v>
      </c>
      <c r="C271">
        <v>1</v>
      </c>
      <c r="D271">
        <v>1</v>
      </c>
      <c r="E271">
        <v>11</v>
      </c>
      <c r="F271">
        <v>4.0999999999999996</v>
      </c>
      <c r="G271">
        <v>3</v>
      </c>
      <c r="H271" s="13" t="str" cm="1">
        <f t="array" ref="H271">_xlfn.IFS(B271&lt;20,"Low",B271&lt;=40,"Moderate",B271&lt;=60,"High",TRUE,"Very High")</f>
        <v>High</v>
      </c>
    </row>
    <row r="272" spans="1:8" ht="17" x14ac:dyDescent="0.2">
      <c r="A272">
        <v>271</v>
      </c>
      <c r="B272" cm="1">
        <f t="array" ref="B272:G272">_xlfn.XLOOKUP($A272,Instagram_Usage_Lifestyle_Mini_!$A:$A,Instagram_Usage_Lifestyle_Mini_!$W:$AB,"Not Found")</f>
        <v>33.299999999999997</v>
      </c>
      <c r="C272">
        <v>4</v>
      </c>
      <c r="D272">
        <v>2</v>
      </c>
      <c r="E272">
        <v>14</v>
      </c>
      <c r="F272">
        <v>4.9000000000000004</v>
      </c>
      <c r="G272">
        <v>3</v>
      </c>
      <c r="H272" s="13" t="str" cm="1">
        <f t="array" ref="H272">_xlfn.IFS(B272&lt;20,"Low",B272&lt;=40,"Moderate",B272&lt;=60,"High",TRUE,"Very High")</f>
        <v>Moderate</v>
      </c>
    </row>
    <row r="273" spans="1:8" ht="17" x14ac:dyDescent="0.2">
      <c r="A273">
        <v>272</v>
      </c>
      <c r="B273" cm="1">
        <f t="array" ref="B273:G273">_xlfn.XLOOKUP($A273,Instagram_Usage_Lifestyle_Mini_!$A:$A,Instagram_Usage_Lifestyle_Mini_!$W:$AB,"Not Found")</f>
        <v>53.1</v>
      </c>
      <c r="C273">
        <v>2</v>
      </c>
      <c r="D273">
        <v>2</v>
      </c>
      <c r="E273">
        <v>12</v>
      </c>
      <c r="F273">
        <v>2.2000000000000002</v>
      </c>
      <c r="G273">
        <v>3</v>
      </c>
      <c r="H273" s="13" t="str" cm="1">
        <f t="array" ref="H273">_xlfn.IFS(B273&lt;20,"Low",B273&lt;=40,"Moderate",B273&lt;=60,"High",TRUE,"Very High")</f>
        <v>High</v>
      </c>
    </row>
    <row r="274" spans="1:8" ht="17" x14ac:dyDescent="0.2">
      <c r="A274">
        <v>273</v>
      </c>
      <c r="B274" cm="1">
        <f t="array" ref="B274:G274">_xlfn.XLOOKUP($A274,Instagram_Usage_Lifestyle_Mini_!$A:$A,Instagram_Usage_Lifestyle_Mini_!$W:$AB,"Not Found")</f>
        <v>22.2</v>
      </c>
      <c r="C274">
        <v>2</v>
      </c>
      <c r="D274">
        <v>4</v>
      </c>
      <c r="E274">
        <v>5</v>
      </c>
      <c r="F274">
        <v>3.7</v>
      </c>
      <c r="G274">
        <v>4</v>
      </c>
      <c r="H274" s="13" t="str" cm="1">
        <f t="array" ref="H274">_xlfn.IFS(B274&lt;20,"Low",B274&lt;=40,"Moderate",B274&lt;=60,"High",TRUE,"Very High")</f>
        <v>Moderate</v>
      </c>
    </row>
    <row r="275" spans="1:8" ht="17" x14ac:dyDescent="0.2">
      <c r="A275">
        <v>274</v>
      </c>
      <c r="B275" cm="1">
        <f t="array" ref="B275:G275">_xlfn.XLOOKUP($A275,Instagram_Usage_Lifestyle_Mini_!$A:$A,Instagram_Usage_Lifestyle_Mini_!$W:$AB,"Not Found")</f>
        <v>40.700000000000003</v>
      </c>
      <c r="C275">
        <v>3</v>
      </c>
      <c r="D275">
        <v>2</v>
      </c>
      <c r="E275">
        <v>13</v>
      </c>
      <c r="F275">
        <v>1</v>
      </c>
      <c r="G275">
        <v>1</v>
      </c>
      <c r="H275" s="13" t="str" cm="1">
        <f t="array" ref="H275">_xlfn.IFS(B275&lt;20,"Low",B275&lt;=40,"Moderate",B275&lt;=60,"High",TRUE,"Very High")</f>
        <v>High</v>
      </c>
    </row>
    <row r="276" spans="1:8" ht="17" x14ac:dyDescent="0.2">
      <c r="A276">
        <v>275</v>
      </c>
      <c r="B276" cm="1">
        <f t="array" ref="B276:G276">_xlfn.XLOOKUP($A276,Instagram_Usage_Lifestyle_Mini_!$A:$A,Instagram_Usage_Lifestyle_Mini_!$W:$AB,"Not Found")</f>
        <v>53.1</v>
      </c>
      <c r="C276">
        <v>2</v>
      </c>
      <c r="D276">
        <v>10</v>
      </c>
      <c r="E276">
        <v>10</v>
      </c>
      <c r="F276">
        <v>4.3</v>
      </c>
      <c r="G276">
        <v>4</v>
      </c>
      <c r="H276" s="13" t="str" cm="1">
        <f t="array" ref="H276">_xlfn.IFS(B276&lt;20,"Low",B276&lt;=40,"Moderate",B276&lt;=60,"High",TRUE,"Very High")</f>
        <v>High</v>
      </c>
    </row>
    <row r="277" spans="1:8" ht="17" x14ac:dyDescent="0.2">
      <c r="A277">
        <v>276</v>
      </c>
      <c r="B277" cm="1">
        <f t="array" ref="B277:G277">_xlfn.XLOOKUP($A277,Instagram_Usage_Lifestyle_Mini_!$A:$A,Instagram_Usage_Lifestyle_Mini_!$W:$AB,"Not Found")</f>
        <v>56.9</v>
      </c>
      <c r="C277">
        <v>2</v>
      </c>
      <c r="D277">
        <v>5</v>
      </c>
      <c r="E277">
        <v>11</v>
      </c>
      <c r="F277">
        <v>6.3</v>
      </c>
      <c r="G277">
        <v>3</v>
      </c>
      <c r="H277" s="13" t="str" cm="1">
        <f t="array" ref="H277">_xlfn.IFS(B277&lt;20,"Low",B277&lt;=40,"Moderate",B277&lt;=60,"High",TRUE,"Very High")</f>
        <v>High</v>
      </c>
    </row>
    <row r="278" spans="1:8" ht="17" x14ac:dyDescent="0.2">
      <c r="A278">
        <v>277</v>
      </c>
      <c r="B278" cm="1">
        <f t="array" ref="B278:G278">_xlfn.XLOOKUP($A278,Instagram_Usage_Lifestyle_Mini_!$A:$A,Instagram_Usage_Lifestyle_Mini_!$W:$AB,"Not Found")</f>
        <v>29.8</v>
      </c>
      <c r="C278">
        <v>4</v>
      </c>
      <c r="D278">
        <v>3</v>
      </c>
      <c r="E278">
        <v>9</v>
      </c>
      <c r="F278">
        <v>10.3</v>
      </c>
      <c r="G278">
        <v>3</v>
      </c>
      <c r="H278" s="13" t="str" cm="1">
        <f t="array" ref="H278">_xlfn.IFS(B278&lt;20,"Low",B278&lt;=40,"Moderate",B278&lt;=60,"High",TRUE,"Very High")</f>
        <v>Moderate</v>
      </c>
    </row>
    <row r="279" spans="1:8" ht="17" x14ac:dyDescent="0.2">
      <c r="A279">
        <v>278</v>
      </c>
      <c r="B279" cm="1">
        <f t="array" ref="B279:G279">_xlfn.XLOOKUP($A279,Instagram_Usage_Lifestyle_Mini_!$A:$A,Instagram_Usage_Lifestyle_Mini_!$W:$AB,"Not Found")</f>
        <v>29.1</v>
      </c>
      <c r="C279">
        <v>3</v>
      </c>
      <c r="D279">
        <v>5</v>
      </c>
      <c r="E279">
        <v>14</v>
      </c>
      <c r="F279">
        <v>9</v>
      </c>
      <c r="G279">
        <v>5</v>
      </c>
      <c r="H279" s="13" t="str" cm="1">
        <f t="array" ref="H279">_xlfn.IFS(B279&lt;20,"Low",B279&lt;=40,"Moderate",B279&lt;=60,"High",TRUE,"Very High")</f>
        <v>Moderate</v>
      </c>
    </row>
    <row r="280" spans="1:8" ht="17" x14ac:dyDescent="0.2">
      <c r="A280">
        <v>279</v>
      </c>
      <c r="B280" cm="1">
        <f t="array" ref="B280:G280">_xlfn.XLOOKUP($A280,Instagram_Usage_Lifestyle_Mini_!$A:$A,Instagram_Usage_Lifestyle_Mini_!$W:$AB,"Not Found")</f>
        <v>44.7</v>
      </c>
      <c r="C280">
        <v>3</v>
      </c>
      <c r="D280">
        <v>4</v>
      </c>
      <c r="E280">
        <v>12</v>
      </c>
      <c r="F280">
        <v>3.3</v>
      </c>
      <c r="G280">
        <v>3</v>
      </c>
      <c r="H280" s="13" t="str" cm="1">
        <f t="array" ref="H280">_xlfn.IFS(B280&lt;20,"Low",B280&lt;=40,"Moderate",B280&lt;=60,"High",TRUE,"Very High")</f>
        <v>High</v>
      </c>
    </row>
    <row r="281" spans="1:8" ht="17" x14ac:dyDescent="0.2">
      <c r="A281">
        <v>280</v>
      </c>
      <c r="B281" cm="1">
        <f t="array" ref="B281:G281">_xlfn.XLOOKUP($A281,Instagram_Usage_Lifestyle_Mini_!$A:$A,Instagram_Usage_Lifestyle_Mini_!$W:$AB,"Not Found")</f>
        <v>35.4</v>
      </c>
      <c r="C281">
        <v>4</v>
      </c>
      <c r="D281">
        <v>1</v>
      </c>
      <c r="E281">
        <v>10</v>
      </c>
      <c r="F281">
        <v>3.2</v>
      </c>
      <c r="G281">
        <v>5</v>
      </c>
      <c r="H281" s="13" t="str" cm="1">
        <f t="array" ref="H281">_xlfn.IFS(B281&lt;20,"Low",B281&lt;=40,"Moderate",B281&lt;=60,"High",TRUE,"Very High")</f>
        <v>Moderate</v>
      </c>
    </row>
    <row r="282" spans="1:8" ht="17" x14ac:dyDescent="0.2">
      <c r="A282">
        <v>281</v>
      </c>
      <c r="B282" cm="1">
        <f t="array" ref="B282:G282">_xlfn.XLOOKUP($A282,Instagram_Usage_Lifestyle_Mini_!$A:$A,Instagram_Usage_Lifestyle_Mini_!$W:$AB,"Not Found")</f>
        <v>25.5</v>
      </c>
      <c r="C282">
        <v>5</v>
      </c>
      <c r="D282">
        <v>6</v>
      </c>
      <c r="E282">
        <v>9</v>
      </c>
      <c r="F282">
        <v>1.6</v>
      </c>
      <c r="G282">
        <v>2</v>
      </c>
      <c r="H282" s="13" t="str" cm="1">
        <f t="array" ref="H282">_xlfn.IFS(B282&lt;20,"Low",B282&lt;=40,"Moderate",B282&lt;=60,"High",TRUE,"Very High")</f>
        <v>Moderate</v>
      </c>
    </row>
    <row r="283" spans="1:8" ht="17" x14ac:dyDescent="0.2">
      <c r="A283">
        <v>282</v>
      </c>
      <c r="B283" cm="1">
        <f t="array" ref="B283:G283">_xlfn.XLOOKUP($A283,Instagram_Usage_Lifestyle_Mini_!$A:$A,Instagram_Usage_Lifestyle_Mini_!$W:$AB,"Not Found")</f>
        <v>40</v>
      </c>
      <c r="C283">
        <v>5</v>
      </c>
      <c r="D283">
        <v>5</v>
      </c>
      <c r="E283">
        <v>7</v>
      </c>
      <c r="F283">
        <v>0.8</v>
      </c>
      <c r="G283">
        <v>4</v>
      </c>
      <c r="H283" s="13" t="str" cm="1">
        <f t="array" ref="H283">_xlfn.IFS(B283&lt;20,"Low",B283&lt;=40,"Moderate",B283&lt;=60,"High",TRUE,"Very High")</f>
        <v>Moderate</v>
      </c>
    </row>
    <row r="284" spans="1:8" ht="17" x14ac:dyDescent="0.2">
      <c r="A284">
        <v>283</v>
      </c>
      <c r="B284" cm="1">
        <f t="array" ref="B284:G284">_xlfn.XLOOKUP($A284,Instagram_Usage_Lifestyle_Mini_!$A:$A,Instagram_Usage_Lifestyle_Mini_!$W:$AB,"Not Found")</f>
        <v>38.799999999999997</v>
      </c>
      <c r="C284">
        <v>3</v>
      </c>
      <c r="D284">
        <v>6</v>
      </c>
      <c r="E284">
        <v>9</v>
      </c>
      <c r="F284">
        <v>5.2</v>
      </c>
      <c r="G284">
        <v>2</v>
      </c>
      <c r="H284" s="13" t="str" cm="1">
        <f t="array" ref="H284">_xlfn.IFS(B284&lt;20,"Low",B284&lt;=40,"Moderate",B284&lt;=60,"High",TRUE,"Very High")</f>
        <v>Moderate</v>
      </c>
    </row>
    <row r="285" spans="1:8" ht="17" x14ac:dyDescent="0.2">
      <c r="A285">
        <v>284</v>
      </c>
      <c r="B285" cm="1">
        <f t="array" ref="B285:G285">_xlfn.XLOOKUP($A285,Instagram_Usage_Lifestyle_Mini_!$A:$A,Instagram_Usage_Lifestyle_Mini_!$W:$AB,"Not Found")</f>
        <v>24.7</v>
      </c>
      <c r="C285">
        <v>2</v>
      </c>
      <c r="D285">
        <v>8</v>
      </c>
      <c r="E285">
        <v>11</v>
      </c>
      <c r="F285">
        <v>2.9</v>
      </c>
      <c r="G285">
        <v>1</v>
      </c>
      <c r="H285" s="13" t="str" cm="1">
        <f t="array" ref="H285">_xlfn.IFS(B285&lt;20,"Low",B285&lt;=40,"Moderate",B285&lt;=60,"High",TRUE,"Very High")</f>
        <v>Moderate</v>
      </c>
    </row>
    <row r="286" spans="1:8" ht="17" x14ac:dyDescent="0.2">
      <c r="A286">
        <v>285</v>
      </c>
      <c r="B286" cm="1">
        <f t="array" ref="B286:G286">_xlfn.XLOOKUP($A286,Instagram_Usage_Lifestyle_Mini_!$A:$A,Instagram_Usage_Lifestyle_Mini_!$W:$AB,"Not Found")</f>
        <v>25.9</v>
      </c>
      <c r="C286">
        <v>1</v>
      </c>
      <c r="D286">
        <v>6</v>
      </c>
      <c r="E286">
        <v>6</v>
      </c>
      <c r="F286">
        <v>1.2</v>
      </c>
      <c r="G286">
        <v>4</v>
      </c>
      <c r="H286" s="13" t="str" cm="1">
        <f t="array" ref="H286">_xlfn.IFS(B286&lt;20,"Low",B286&lt;=40,"Moderate",B286&lt;=60,"High",TRUE,"Very High")</f>
        <v>Moderate</v>
      </c>
    </row>
    <row r="287" spans="1:8" ht="17" x14ac:dyDescent="0.2">
      <c r="A287">
        <v>286</v>
      </c>
      <c r="B287" cm="1">
        <f t="array" ref="B287:G287">_xlfn.XLOOKUP($A287,Instagram_Usage_Lifestyle_Mini_!$A:$A,Instagram_Usage_Lifestyle_Mini_!$W:$AB,"Not Found")</f>
        <v>45.2</v>
      </c>
      <c r="C287">
        <v>3</v>
      </c>
      <c r="D287">
        <v>3</v>
      </c>
      <c r="E287">
        <v>8</v>
      </c>
      <c r="F287">
        <v>0.4</v>
      </c>
      <c r="G287">
        <v>2</v>
      </c>
      <c r="H287" s="13" t="str" cm="1">
        <f t="array" ref="H287">_xlfn.IFS(B287&lt;20,"Low",B287&lt;=40,"Moderate",B287&lt;=60,"High",TRUE,"Very High")</f>
        <v>High</v>
      </c>
    </row>
    <row r="288" spans="1:8" ht="17" x14ac:dyDescent="0.2">
      <c r="A288">
        <v>287</v>
      </c>
      <c r="B288" cm="1">
        <f t="array" ref="B288:G288">_xlfn.XLOOKUP($A288,Instagram_Usage_Lifestyle_Mini_!$A:$A,Instagram_Usage_Lifestyle_Mini_!$W:$AB,"Not Found")</f>
        <v>43.1</v>
      </c>
      <c r="C288">
        <v>3</v>
      </c>
      <c r="D288">
        <v>6</v>
      </c>
      <c r="E288">
        <v>10</v>
      </c>
      <c r="F288">
        <v>7.2</v>
      </c>
      <c r="G288">
        <v>4</v>
      </c>
      <c r="H288" s="13" t="str" cm="1">
        <f t="array" ref="H288">_xlfn.IFS(B288&lt;20,"Low",B288&lt;=40,"Moderate",B288&lt;=60,"High",TRUE,"Very High")</f>
        <v>High</v>
      </c>
    </row>
    <row r="289" spans="1:8" ht="17" x14ac:dyDescent="0.2">
      <c r="A289">
        <v>288</v>
      </c>
      <c r="B289" cm="1">
        <f t="array" ref="B289:G289">_xlfn.XLOOKUP($A289,Instagram_Usage_Lifestyle_Mini_!$A:$A,Instagram_Usage_Lifestyle_Mini_!$W:$AB,"Not Found")</f>
        <v>40.9</v>
      </c>
      <c r="C289">
        <v>3</v>
      </c>
      <c r="D289">
        <v>5</v>
      </c>
      <c r="E289">
        <v>6</v>
      </c>
      <c r="F289">
        <v>1.5</v>
      </c>
      <c r="G289">
        <v>1</v>
      </c>
      <c r="H289" s="13" t="str" cm="1">
        <f t="array" ref="H289">_xlfn.IFS(B289&lt;20,"Low",B289&lt;=40,"Moderate",B289&lt;=60,"High",TRUE,"Very High")</f>
        <v>High</v>
      </c>
    </row>
    <row r="290" spans="1:8" ht="17" x14ac:dyDescent="0.2">
      <c r="A290">
        <v>289</v>
      </c>
      <c r="B290" cm="1">
        <f t="array" ref="B290:G290">_xlfn.XLOOKUP($A290,Instagram_Usage_Lifestyle_Mini_!$A:$A,Instagram_Usage_Lifestyle_Mini_!$W:$AB,"Not Found")</f>
        <v>22.2</v>
      </c>
      <c r="C290">
        <v>0</v>
      </c>
      <c r="D290">
        <v>3</v>
      </c>
      <c r="E290">
        <v>15</v>
      </c>
      <c r="F290">
        <v>2.5</v>
      </c>
      <c r="G290">
        <v>6</v>
      </c>
      <c r="H290" s="13" t="str" cm="1">
        <f t="array" ref="H290">_xlfn.IFS(B290&lt;20,"Low",B290&lt;=40,"Moderate",B290&lt;=60,"High",TRUE,"Very High")</f>
        <v>Moderate</v>
      </c>
    </row>
    <row r="291" spans="1:8" ht="17" x14ac:dyDescent="0.2">
      <c r="A291">
        <v>290</v>
      </c>
      <c r="B291" cm="1">
        <f t="array" ref="B291:G291">_xlfn.XLOOKUP($A291,Instagram_Usage_Lifestyle_Mini_!$A:$A,Instagram_Usage_Lifestyle_Mini_!$W:$AB,"Not Found")</f>
        <v>31.6</v>
      </c>
      <c r="C291">
        <v>6</v>
      </c>
      <c r="D291">
        <v>3</v>
      </c>
      <c r="E291">
        <v>5</v>
      </c>
      <c r="F291">
        <v>4</v>
      </c>
      <c r="G291">
        <v>5</v>
      </c>
      <c r="H291" s="13" t="str" cm="1">
        <f t="array" ref="H291">_xlfn.IFS(B291&lt;20,"Low",B291&lt;=40,"Moderate",B291&lt;=60,"High",TRUE,"Very High")</f>
        <v>Moderate</v>
      </c>
    </row>
    <row r="292" spans="1:8" ht="17" x14ac:dyDescent="0.2">
      <c r="A292">
        <v>291</v>
      </c>
      <c r="B292" cm="1">
        <f t="array" ref="B292:G292">_xlfn.XLOOKUP($A292,Instagram_Usage_Lifestyle_Mini_!$A:$A,Instagram_Usage_Lifestyle_Mini_!$W:$AB,"Not Found")</f>
        <v>32.4</v>
      </c>
      <c r="C292">
        <v>2</v>
      </c>
      <c r="D292">
        <v>7</v>
      </c>
      <c r="E292">
        <v>12</v>
      </c>
      <c r="F292">
        <v>4.0999999999999996</v>
      </c>
      <c r="G292">
        <v>5</v>
      </c>
      <c r="H292" s="13" t="str" cm="1">
        <f t="array" ref="H292">_xlfn.IFS(B292&lt;20,"Low",B292&lt;=40,"Moderate",B292&lt;=60,"High",TRUE,"Very High")</f>
        <v>Moderate</v>
      </c>
    </row>
    <row r="293" spans="1:8" ht="17" x14ac:dyDescent="0.2">
      <c r="A293">
        <v>292</v>
      </c>
      <c r="B293" cm="1">
        <f t="array" ref="B293:G293">_xlfn.XLOOKUP($A293,Instagram_Usage_Lifestyle_Mini_!$A:$A,Instagram_Usage_Lifestyle_Mini_!$W:$AB,"Not Found")</f>
        <v>53.3</v>
      </c>
      <c r="C293">
        <v>3</v>
      </c>
      <c r="D293">
        <v>3</v>
      </c>
      <c r="E293">
        <v>9</v>
      </c>
      <c r="F293">
        <v>2.5</v>
      </c>
      <c r="G293">
        <v>1</v>
      </c>
      <c r="H293" s="13" t="str" cm="1">
        <f t="array" ref="H293">_xlfn.IFS(B293&lt;20,"Low",B293&lt;=40,"Moderate",B293&lt;=60,"High",TRUE,"Very High")</f>
        <v>High</v>
      </c>
    </row>
    <row r="294" spans="1:8" ht="17" x14ac:dyDescent="0.2">
      <c r="A294">
        <v>293</v>
      </c>
      <c r="B294" cm="1">
        <f t="array" ref="B294:G294">_xlfn.XLOOKUP($A294,Instagram_Usage_Lifestyle_Mini_!$A:$A,Instagram_Usage_Lifestyle_Mini_!$W:$AB,"Not Found")</f>
        <v>23.9</v>
      </c>
      <c r="C294">
        <v>5</v>
      </c>
      <c r="D294">
        <v>4</v>
      </c>
      <c r="E294">
        <v>20</v>
      </c>
      <c r="F294">
        <v>2.8</v>
      </c>
      <c r="G294">
        <v>4</v>
      </c>
      <c r="H294" s="13" t="str" cm="1">
        <f t="array" ref="H294">_xlfn.IFS(B294&lt;20,"Low",B294&lt;=40,"Moderate",B294&lt;=60,"High",TRUE,"Very High")</f>
        <v>Moderate</v>
      </c>
    </row>
    <row r="295" spans="1:8" ht="17" x14ac:dyDescent="0.2">
      <c r="A295">
        <v>294</v>
      </c>
      <c r="B295" cm="1">
        <f t="array" ref="B295:G295">_xlfn.XLOOKUP($A295,Instagram_Usage_Lifestyle_Mini_!$A:$A,Instagram_Usage_Lifestyle_Mini_!$W:$AB,"Not Found")</f>
        <v>43</v>
      </c>
      <c r="C295">
        <v>4</v>
      </c>
      <c r="D295">
        <v>4</v>
      </c>
      <c r="E295">
        <v>12</v>
      </c>
      <c r="F295">
        <v>1.2</v>
      </c>
      <c r="G295">
        <v>4</v>
      </c>
      <c r="H295" s="13" t="str" cm="1">
        <f t="array" ref="H295">_xlfn.IFS(B295&lt;20,"Low",B295&lt;=40,"Moderate",B295&lt;=60,"High",TRUE,"Very High")</f>
        <v>High</v>
      </c>
    </row>
    <row r="296" spans="1:8" ht="17" x14ac:dyDescent="0.2">
      <c r="A296">
        <v>295</v>
      </c>
      <c r="B296" cm="1">
        <f t="array" ref="B296:G296">_xlfn.XLOOKUP($A296,Instagram_Usage_Lifestyle_Mini_!$A:$A,Instagram_Usage_Lifestyle_Mini_!$W:$AB,"Not Found")</f>
        <v>37.200000000000003</v>
      </c>
      <c r="C296">
        <v>1</v>
      </c>
      <c r="D296">
        <v>7</v>
      </c>
      <c r="E296">
        <v>14</v>
      </c>
      <c r="F296">
        <v>3.7</v>
      </c>
      <c r="G296">
        <v>2</v>
      </c>
      <c r="H296" s="13" t="str" cm="1">
        <f t="array" ref="H296">_xlfn.IFS(B296&lt;20,"Low",B296&lt;=40,"Moderate",B296&lt;=60,"High",TRUE,"Very High")</f>
        <v>Moderate</v>
      </c>
    </row>
    <row r="297" spans="1:8" ht="17" x14ac:dyDescent="0.2">
      <c r="A297">
        <v>296</v>
      </c>
      <c r="B297" cm="1">
        <f t="array" ref="B297:G297">_xlfn.XLOOKUP($A297,Instagram_Usage_Lifestyle_Mini_!$A:$A,Instagram_Usage_Lifestyle_Mini_!$W:$AB,"Not Found")</f>
        <v>21.8</v>
      </c>
      <c r="C297">
        <v>8</v>
      </c>
      <c r="D297">
        <v>3</v>
      </c>
      <c r="E297">
        <v>13</v>
      </c>
      <c r="F297">
        <v>7.2</v>
      </c>
      <c r="G297">
        <v>3</v>
      </c>
      <c r="H297" s="13" t="str" cm="1">
        <f t="array" ref="H297">_xlfn.IFS(B297&lt;20,"Low",B297&lt;=40,"Moderate",B297&lt;=60,"High",TRUE,"Very High")</f>
        <v>Moderate</v>
      </c>
    </row>
    <row r="298" spans="1:8" ht="17" x14ac:dyDescent="0.2">
      <c r="A298">
        <v>297</v>
      </c>
      <c r="B298" cm="1">
        <f t="array" ref="B298:G298">_xlfn.XLOOKUP($A298,Instagram_Usage_Lifestyle_Mini_!$A:$A,Instagram_Usage_Lifestyle_Mini_!$W:$AB,"Not Found")</f>
        <v>63.4</v>
      </c>
      <c r="C298">
        <v>3</v>
      </c>
      <c r="D298">
        <v>6</v>
      </c>
      <c r="E298">
        <v>6</v>
      </c>
      <c r="F298">
        <v>0.4</v>
      </c>
      <c r="G298">
        <v>4</v>
      </c>
      <c r="H298" s="13" t="str" cm="1">
        <f t="array" ref="H298">_xlfn.IFS(B298&lt;20,"Low",B298&lt;=40,"Moderate",B298&lt;=60,"High",TRUE,"Very High")</f>
        <v>Very High</v>
      </c>
    </row>
    <row r="299" spans="1:8" ht="17" x14ac:dyDescent="0.2">
      <c r="A299">
        <v>298</v>
      </c>
      <c r="B299" cm="1">
        <f t="array" ref="B299:G299">_xlfn.XLOOKUP($A299,Instagram_Usage_Lifestyle_Mini_!$A:$A,Instagram_Usage_Lifestyle_Mini_!$W:$AB,"Not Found")</f>
        <v>47.9</v>
      </c>
      <c r="C299">
        <v>3</v>
      </c>
      <c r="D299">
        <v>4</v>
      </c>
      <c r="E299">
        <v>4</v>
      </c>
      <c r="F299">
        <v>6.8</v>
      </c>
      <c r="G299">
        <v>2</v>
      </c>
      <c r="H299" s="13" t="str" cm="1">
        <f t="array" ref="H299">_xlfn.IFS(B299&lt;20,"Low",B299&lt;=40,"Moderate",B299&lt;=60,"High",TRUE,"Very High")</f>
        <v>High</v>
      </c>
    </row>
    <row r="300" spans="1:8" ht="17" x14ac:dyDescent="0.2">
      <c r="A300">
        <v>299</v>
      </c>
      <c r="B300" cm="1">
        <f t="array" ref="B300:G300">_xlfn.XLOOKUP($A300,Instagram_Usage_Lifestyle_Mini_!$A:$A,Instagram_Usage_Lifestyle_Mini_!$W:$AB,"Not Found")</f>
        <v>51.2</v>
      </c>
      <c r="C300">
        <v>1</v>
      </c>
      <c r="D300">
        <v>1</v>
      </c>
      <c r="E300">
        <v>15</v>
      </c>
      <c r="F300">
        <v>6.9</v>
      </c>
      <c r="G300">
        <v>3</v>
      </c>
      <c r="H300" s="13" t="str" cm="1">
        <f t="array" ref="H300">_xlfn.IFS(B300&lt;20,"Low",B300&lt;=40,"Moderate",B300&lt;=60,"High",TRUE,"Very High")</f>
        <v>High</v>
      </c>
    </row>
    <row r="301" spans="1:8" ht="17" x14ac:dyDescent="0.2">
      <c r="A301">
        <v>300</v>
      </c>
      <c r="B301" cm="1">
        <f t="array" ref="B301:G301">_xlfn.XLOOKUP($A301,Instagram_Usage_Lifestyle_Mini_!$A:$A,Instagram_Usage_Lifestyle_Mini_!$W:$AB,"Not Found")</f>
        <v>35.6</v>
      </c>
      <c r="C301">
        <v>7</v>
      </c>
      <c r="D301">
        <v>3</v>
      </c>
      <c r="E301">
        <v>14</v>
      </c>
      <c r="F301">
        <v>1.5</v>
      </c>
      <c r="G301">
        <v>3</v>
      </c>
      <c r="H301" s="13" t="str" cm="1">
        <f t="array" ref="H301">_xlfn.IFS(B301&lt;20,"Low",B301&lt;=40,"Moderate",B301&lt;=60,"High",TRUE,"Very High")</f>
        <v>Moderate</v>
      </c>
    </row>
    <row r="302" spans="1:8" ht="17" x14ac:dyDescent="0.2">
      <c r="A302">
        <v>301</v>
      </c>
      <c r="B302" cm="1">
        <f t="array" ref="B302:G302">_xlfn.XLOOKUP($A302,Instagram_Usage_Lifestyle_Mini_!$A:$A,Instagram_Usage_Lifestyle_Mini_!$W:$AB,"Not Found")</f>
        <v>50.6</v>
      </c>
      <c r="C302">
        <v>1</v>
      </c>
      <c r="D302">
        <v>5</v>
      </c>
      <c r="E302">
        <v>10</v>
      </c>
      <c r="F302">
        <v>3.6</v>
      </c>
      <c r="G302">
        <v>2</v>
      </c>
      <c r="H302" s="13" t="str" cm="1">
        <f t="array" ref="H302">_xlfn.IFS(B302&lt;20,"Low",B302&lt;=40,"Moderate",B302&lt;=60,"High",TRUE,"Very High")</f>
        <v>High</v>
      </c>
    </row>
    <row r="303" spans="1:8" ht="17" x14ac:dyDescent="0.2">
      <c r="A303">
        <v>302</v>
      </c>
      <c r="B303" cm="1">
        <f t="array" ref="B303:G303">_xlfn.XLOOKUP($A303,Instagram_Usage_Lifestyle_Mini_!$A:$A,Instagram_Usage_Lifestyle_Mini_!$W:$AB,"Not Found")</f>
        <v>56.7</v>
      </c>
      <c r="C303">
        <v>2</v>
      </c>
      <c r="D303">
        <v>3</v>
      </c>
      <c r="E303">
        <v>8</v>
      </c>
      <c r="F303">
        <v>5.7</v>
      </c>
      <c r="G303">
        <v>3</v>
      </c>
      <c r="H303" s="13" t="str" cm="1">
        <f t="array" ref="H303">_xlfn.IFS(B303&lt;20,"Low",B303&lt;=40,"Moderate",B303&lt;=60,"High",TRUE,"Very High")</f>
        <v>High</v>
      </c>
    </row>
    <row r="304" spans="1:8" ht="17" x14ac:dyDescent="0.2">
      <c r="A304">
        <v>303</v>
      </c>
      <c r="B304" cm="1">
        <f t="array" ref="B304:G304">_xlfn.XLOOKUP($A304,Instagram_Usage_Lifestyle_Mini_!$A:$A,Instagram_Usage_Lifestyle_Mini_!$W:$AB,"Not Found")</f>
        <v>38.799999999999997</v>
      </c>
      <c r="C304">
        <v>4</v>
      </c>
      <c r="D304">
        <v>2</v>
      </c>
      <c r="E304">
        <v>6</v>
      </c>
      <c r="F304">
        <v>0.9</v>
      </c>
      <c r="G304">
        <v>3</v>
      </c>
      <c r="H304" s="13" t="str" cm="1">
        <f t="array" ref="H304">_xlfn.IFS(B304&lt;20,"Low",B304&lt;=40,"Moderate",B304&lt;=60,"High",TRUE,"Very High")</f>
        <v>Moderate</v>
      </c>
    </row>
    <row r="305" spans="1:8" ht="17" x14ac:dyDescent="0.2">
      <c r="A305">
        <v>304</v>
      </c>
      <c r="B305" cm="1">
        <f t="array" ref="B305:G305">_xlfn.XLOOKUP($A305,Instagram_Usage_Lifestyle_Mini_!$A:$A,Instagram_Usage_Lifestyle_Mini_!$W:$AB,"Not Found")</f>
        <v>47.4</v>
      </c>
      <c r="C305">
        <v>2</v>
      </c>
      <c r="D305">
        <v>1</v>
      </c>
      <c r="E305">
        <v>9</v>
      </c>
      <c r="F305">
        <v>9.6</v>
      </c>
      <c r="G305">
        <v>4</v>
      </c>
      <c r="H305" s="13" t="str" cm="1">
        <f t="array" ref="H305">_xlfn.IFS(B305&lt;20,"Low",B305&lt;=40,"Moderate",B305&lt;=60,"High",TRUE,"Very High")</f>
        <v>High</v>
      </c>
    </row>
    <row r="306" spans="1:8" ht="17" x14ac:dyDescent="0.2">
      <c r="A306">
        <v>305</v>
      </c>
      <c r="B306" cm="1">
        <f t="array" ref="B306:G306">_xlfn.XLOOKUP($A306,Instagram_Usage_Lifestyle_Mini_!$A:$A,Instagram_Usage_Lifestyle_Mini_!$W:$AB,"Not Found")</f>
        <v>26.4</v>
      </c>
      <c r="C306">
        <v>3</v>
      </c>
      <c r="D306">
        <v>3</v>
      </c>
      <c r="E306">
        <v>9</v>
      </c>
      <c r="F306">
        <v>8.9</v>
      </c>
      <c r="G306">
        <v>6</v>
      </c>
      <c r="H306" s="13" t="str" cm="1">
        <f t="array" ref="H306">_xlfn.IFS(B306&lt;20,"Low",B306&lt;=40,"Moderate",B306&lt;=60,"High",TRUE,"Very High")</f>
        <v>Moderate</v>
      </c>
    </row>
    <row r="307" spans="1:8" ht="17" x14ac:dyDescent="0.2">
      <c r="A307">
        <v>306</v>
      </c>
      <c r="B307" cm="1">
        <f t="array" ref="B307:G307">_xlfn.XLOOKUP($A307,Instagram_Usage_Lifestyle_Mini_!$A:$A,Instagram_Usage_Lifestyle_Mini_!$W:$AB,"Not Found")</f>
        <v>41</v>
      </c>
      <c r="C307">
        <v>2</v>
      </c>
      <c r="D307">
        <v>1</v>
      </c>
      <c r="E307">
        <v>13</v>
      </c>
      <c r="F307">
        <v>10.199999999999999</v>
      </c>
      <c r="G307">
        <v>2</v>
      </c>
      <c r="H307" s="13" t="str" cm="1">
        <f t="array" ref="H307">_xlfn.IFS(B307&lt;20,"Low",B307&lt;=40,"Moderate",B307&lt;=60,"High",TRUE,"Very High")</f>
        <v>High</v>
      </c>
    </row>
    <row r="308" spans="1:8" ht="17" x14ac:dyDescent="0.2">
      <c r="A308">
        <v>307</v>
      </c>
      <c r="B308" cm="1">
        <f t="array" ref="B308:G308">_xlfn.XLOOKUP($A308,Instagram_Usage_Lifestyle_Mini_!$A:$A,Instagram_Usage_Lifestyle_Mini_!$W:$AB,"Not Found")</f>
        <v>51.2</v>
      </c>
      <c r="C308">
        <v>4</v>
      </c>
      <c r="D308">
        <v>2</v>
      </c>
      <c r="E308">
        <v>8</v>
      </c>
      <c r="F308">
        <v>4.4000000000000004</v>
      </c>
      <c r="G308">
        <v>2</v>
      </c>
      <c r="H308" s="13" t="str" cm="1">
        <f t="array" ref="H308">_xlfn.IFS(B308&lt;20,"Low",B308&lt;=40,"Moderate",B308&lt;=60,"High",TRUE,"Very High")</f>
        <v>High</v>
      </c>
    </row>
    <row r="309" spans="1:8" ht="17" x14ac:dyDescent="0.2">
      <c r="A309">
        <v>308</v>
      </c>
      <c r="B309" cm="1">
        <f t="array" ref="B309:G309">_xlfn.XLOOKUP($A309,Instagram_Usage_Lifestyle_Mini_!$A:$A,Instagram_Usage_Lifestyle_Mini_!$W:$AB,"Not Found")</f>
        <v>44.8</v>
      </c>
      <c r="C309">
        <v>6</v>
      </c>
      <c r="D309">
        <v>3</v>
      </c>
      <c r="E309">
        <v>13</v>
      </c>
      <c r="F309">
        <v>1.9</v>
      </c>
      <c r="G309">
        <v>4</v>
      </c>
      <c r="H309" s="13" t="str" cm="1">
        <f t="array" ref="H309">_xlfn.IFS(B309&lt;20,"Low",B309&lt;=40,"Moderate",B309&lt;=60,"High",TRUE,"Very High")</f>
        <v>High</v>
      </c>
    </row>
    <row r="310" spans="1:8" ht="17" x14ac:dyDescent="0.2">
      <c r="A310">
        <v>309</v>
      </c>
      <c r="B310" cm="1">
        <f t="array" ref="B310:G310">_xlfn.XLOOKUP($A310,Instagram_Usage_Lifestyle_Mini_!$A:$A,Instagram_Usage_Lifestyle_Mini_!$W:$AB,"Not Found")</f>
        <v>52</v>
      </c>
      <c r="C310">
        <v>3</v>
      </c>
      <c r="D310">
        <v>11</v>
      </c>
      <c r="E310">
        <v>7</v>
      </c>
      <c r="F310">
        <v>2.9</v>
      </c>
      <c r="G310">
        <v>5</v>
      </c>
      <c r="H310" s="13" t="str" cm="1">
        <f t="array" ref="H310">_xlfn.IFS(B310&lt;20,"Low",B310&lt;=40,"Moderate",B310&lt;=60,"High",TRUE,"Very High")</f>
        <v>High</v>
      </c>
    </row>
    <row r="311" spans="1:8" ht="17" x14ac:dyDescent="0.2">
      <c r="A311">
        <v>310</v>
      </c>
      <c r="B311" cm="1">
        <f t="array" ref="B311:G311">_xlfn.XLOOKUP($A311,Instagram_Usage_Lifestyle_Mini_!$A:$A,Instagram_Usage_Lifestyle_Mini_!$W:$AB,"Not Found")</f>
        <v>56.1</v>
      </c>
      <c r="C311">
        <v>2</v>
      </c>
      <c r="D311">
        <v>8</v>
      </c>
      <c r="E311">
        <v>10</v>
      </c>
      <c r="F311">
        <v>5</v>
      </c>
      <c r="G311">
        <v>5</v>
      </c>
      <c r="H311" s="13" t="str" cm="1">
        <f t="array" ref="H311">_xlfn.IFS(B311&lt;20,"Low",B311&lt;=40,"Moderate",B311&lt;=60,"High",TRUE,"Very High")</f>
        <v>High</v>
      </c>
    </row>
    <row r="312" spans="1:8" ht="17" x14ac:dyDescent="0.2">
      <c r="A312">
        <v>311</v>
      </c>
      <c r="B312" cm="1">
        <f t="array" ref="B312:G312">_xlfn.XLOOKUP($A312,Instagram_Usage_Lifestyle_Mini_!$A:$A,Instagram_Usage_Lifestyle_Mini_!$W:$AB,"Not Found")</f>
        <v>23.2</v>
      </c>
      <c r="C312">
        <v>6</v>
      </c>
      <c r="D312">
        <v>3</v>
      </c>
      <c r="E312">
        <v>8</v>
      </c>
      <c r="F312">
        <v>4.8</v>
      </c>
      <c r="G312">
        <v>2</v>
      </c>
      <c r="H312" s="13" t="str" cm="1">
        <f t="array" ref="H312">_xlfn.IFS(B312&lt;20,"Low",B312&lt;=40,"Moderate",B312&lt;=60,"High",TRUE,"Very High")</f>
        <v>Moderate</v>
      </c>
    </row>
    <row r="313" spans="1:8" ht="17" x14ac:dyDescent="0.2">
      <c r="A313">
        <v>312</v>
      </c>
      <c r="B313" cm="1">
        <f t="array" ref="B313:G313">_xlfn.XLOOKUP($A313,Instagram_Usage_Lifestyle_Mini_!$A:$A,Instagram_Usage_Lifestyle_Mini_!$W:$AB,"Not Found")</f>
        <v>56.4</v>
      </c>
      <c r="C313">
        <v>2</v>
      </c>
      <c r="D313">
        <v>4</v>
      </c>
      <c r="E313">
        <v>10</v>
      </c>
      <c r="F313">
        <v>0.9</v>
      </c>
      <c r="G313">
        <v>0</v>
      </c>
      <c r="H313" s="13" t="str" cm="1">
        <f t="array" ref="H313">_xlfn.IFS(B313&lt;20,"Low",B313&lt;=40,"Moderate",B313&lt;=60,"High",TRUE,"Very High")</f>
        <v>High</v>
      </c>
    </row>
    <row r="314" spans="1:8" ht="17" x14ac:dyDescent="0.2">
      <c r="A314">
        <v>313</v>
      </c>
      <c r="B314" cm="1">
        <f t="array" ref="B314:G314">_xlfn.XLOOKUP($A314,Instagram_Usage_Lifestyle_Mini_!$A:$A,Instagram_Usage_Lifestyle_Mini_!$W:$AB,"Not Found")</f>
        <v>33.799999999999997</v>
      </c>
      <c r="C314">
        <v>2</v>
      </c>
      <c r="D314">
        <v>5</v>
      </c>
      <c r="E314">
        <v>7</v>
      </c>
      <c r="F314">
        <v>5.4</v>
      </c>
      <c r="G314">
        <v>1</v>
      </c>
      <c r="H314" s="13" t="str" cm="1">
        <f t="array" ref="H314">_xlfn.IFS(B314&lt;20,"Low",B314&lt;=40,"Moderate",B314&lt;=60,"High",TRUE,"Very High")</f>
        <v>Moderate</v>
      </c>
    </row>
    <row r="315" spans="1:8" ht="17" x14ac:dyDescent="0.2">
      <c r="A315">
        <v>314</v>
      </c>
      <c r="B315" cm="1">
        <f t="array" ref="B315:G315">_xlfn.XLOOKUP($A315,Instagram_Usage_Lifestyle_Mini_!$A:$A,Instagram_Usage_Lifestyle_Mini_!$W:$AB,"Not Found")</f>
        <v>30.4</v>
      </c>
      <c r="C315">
        <v>3</v>
      </c>
      <c r="D315">
        <v>8</v>
      </c>
      <c r="E315">
        <v>7</v>
      </c>
      <c r="F315">
        <v>3.8</v>
      </c>
      <c r="G315">
        <v>1</v>
      </c>
      <c r="H315" s="13" t="str" cm="1">
        <f t="array" ref="H315">_xlfn.IFS(B315&lt;20,"Low",B315&lt;=40,"Moderate",B315&lt;=60,"High",TRUE,"Very High")</f>
        <v>Moderate</v>
      </c>
    </row>
    <row r="316" spans="1:8" ht="17" x14ac:dyDescent="0.2">
      <c r="A316">
        <v>315</v>
      </c>
      <c r="B316" cm="1">
        <f t="array" ref="B316:G316">_xlfn.XLOOKUP($A316,Instagram_Usage_Lifestyle_Mini_!$A:$A,Instagram_Usage_Lifestyle_Mini_!$W:$AB,"Not Found")</f>
        <v>46.5</v>
      </c>
      <c r="C316">
        <v>1</v>
      </c>
      <c r="D316">
        <v>2</v>
      </c>
      <c r="E316">
        <v>5</v>
      </c>
      <c r="F316">
        <v>3.9</v>
      </c>
      <c r="G316">
        <v>2</v>
      </c>
      <c r="H316" s="13" t="str" cm="1">
        <f t="array" ref="H316">_xlfn.IFS(B316&lt;20,"Low",B316&lt;=40,"Moderate",B316&lt;=60,"High",TRUE,"Very High")</f>
        <v>High</v>
      </c>
    </row>
    <row r="317" spans="1:8" ht="17" x14ac:dyDescent="0.2">
      <c r="A317">
        <v>316</v>
      </c>
      <c r="B317" cm="1">
        <f t="array" ref="B317:G317">_xlfn.XLOOKUP($A317,Instagram_Usage_Lifestyle_Mini_!$A:$A,Instagram_Usage_Lifestyle_Mini_!$W:$AB,"Not Found")</f>
        <v>64.2</v>
      </c>
      <c r="C317">
        <v>4</v>
      </c>
      <c r="D317">
        <v>1</v>
      </c>
      <c r="E317">
        <v>11</v>
      </c>
      <c r="F317">
        <v>3.3</v>
      </c>
      <c r="G317">
        <v>1</v>
      </c>
      <c r="H317" s="13" t="str" cm="1">
        <f t="array" ref="H317">_xlfn.IFS(B317&lt;20,"Low",B317&lt;=40,"Moderate",B317&lt;=60,"High",TRUE,"Very High")</f>
        <v>Very High</v>
      </c>
    </row>
    <row r="318" spans="1:8" ht="17" x14ac:dyDescent="0.2">
      <c r="A318">
        <v>317</v>
      </c>
      <c r="B318" cm="1">
        <f t="array" ref="B318:G318">_xlfn.XLOOKUP($A318,Instagram_Usage_Lifestyle_Mini_!$A:$A,Instagram_Usage_Lifestyle_Mini_!$W:$AB,"Not Found")</f>
        <v>48.4</v>
      </c>
      <c r="C318">
        <v>3</v>
      </c>
      <c r="D318">
        <v>6</v>
      </c>
      <c r="E318">
        <v>18</v>
      </c>
      <c r="F318">
        <v>3.7</v>
      </c>
      <c r="G318">
        <v>3</v>
      </c>
      <c r="H318" s="13" t="str" cm="1">
        <f t="array" ref="H318">_xlfn.IFS(B318&lt;20,"Low",B318&lt;=40,"Moderate",B318&lt;=60,"High",TRUE,"Very High")</f>
        <v>High</v>
      </c>
    </row>
    <row r="319" spans="1:8" ht="17" x14ac:dyDescent="0.2">
      <c r="A319">
        <v>318</v>
      </c>
      <c r="B319" cm="1">
        <f t="array" ref="B319:G319">_xlfn.XLOOKUP($A319,Instagram_Usage_Lifestyle_Mini_!$A:$A,Instagram_Usage_Lifestyle_Mini_!$W:$AB,"Not Found")</f>
        <v>44.1</v>
      </c>
      <c r="C319">
        <v>6</v>
      </c>
      <c r="D319">
        <v>1</v>
      </c>
      <c r="E319">
        <v>6</v>
      </c>
      <c r="F319">
        <v>2.9</v>
      </c>
      <c r="G319">
        <v>6</v>
      </c>
      <c r="H319" s="13" t="str" cm="1">
        <f t="array" ref="H319">_xlfn.IFS(B319&lt;20,"Low",B319&lt;=40,"Moderate",B319&lt;=60,"High",TRUE,"Very High")</f>
        <v>High</v>
      </c>
    </row>
    <row r="320" spans="1:8" ht="17" x14ac:dyDescent="0.2">
      <c r="A320">
        <v>319</v>
      </c>
      <c r="B320" cm="1">
        <f t="array" ref="B320:G320">_xlfn.XLOOKUP($A320,Instagram_Usage_Lifestyle_Mini_!$A:$A,Instagram_Usage_Lifestyle_Mini_!$W:$AB,"Not Found")</f>
        <v>35.799999999999997</v>
      </c>
      <c r="C320">
        <v>4</v>
      </c>
      <c r="D320">
        <v>4</v>
      </c>
      <c r="E320">
        <v>14</v>
      </c>
      <c r="F320">
        <v>1.6</v>
      </c>
      <c r="G320">
        <v>3</v>
      </c>
      <c r="H320" s="13" t="str" cm="1">
        <f t="array" ref="H320">_xlfn.IFS(B320&lt;20,"Low",B320&lt;=40,"Moderate",B320&lt;=60,"High",TRUE,"Very High")</f>
        <v>Moderate</v>
      </c>
    </row>
    <row r="321" spans="1:8" ht="17" x14ac:dyDescent="0.2">
      <c r="A321">
        <v>320</v>
      </c>
      <c r="B321" cm="1">
        <f t="array" ref="B321:G321">_xlfn.XLOOKUP($A321,Instagram_Usage_Lifestyle_Mini_!$A:$A,Instagram_Usage_Lifestyle_Mini_!$W:$AB,"Not Found")</f>
        <v>44.6</v>
      </c>
      <c r="C321">
        <v>4</v>
      </c>
      <c r="D321">
        <v>0</v>
      </c>
      <c r="E321">
        <v>10</v>
      </c>
      <c r="F321">
        <v>1.7</v>
      </c>
      <c r="G321">
        <v>2</v>
      </c>
      <c r="H321" s="13" t="str" cm="1">
        <f t="array" ref="H321">_xlfn.IFS(B321&lt;20,"Low",B321&lt;=40,"Moderate",B321&lt;=60,"High",TRUE,"Very High")</f>
        <v>High</v>
      </c>
    </row>
    <row r="322" spans="1:8" ht="17" x14ac:dyDescent="0.2">
      <c r="A322">
        <v>321</v>
      </c>
      <c r="B322" cm="1">
        <f t="array" ref="B322:G322">_xlfn.XLOOKUP($A322,Instagram_Usage_Lifestyle_Mini_!$A:$A,Instagram_Usage_Lifestyle_Mini_!$W:$AB,"Not Found")</f>
        <v>55.5</v>
      </c>
      <c r="C322">
        <v>6</v>
      </c>
      <c r="D322">
        <v>3</v>
      </c>
      <c r="E322">
        <v>10</v>
      </c>
      <c r="F322">
        <v>2.9</v>
      </c>
      <c r="G322">
        <v>2</v>
      </c>
      <c r="H322" s="13" t="str" cm="1">
        <f t="array" ref="H322">_xlfn.IFS(B322&lt;20,"Low",B322&lt;=40,"Moderate",B322&lt;=60,"High",TRUE,"Very High")</f>
        <v>High</v>
      </c>
    </row>
    <row r="323" spans="1:8" ht="17" x14ac:dyDescent="0.2">
      <c r="A323">
        <v>322</v>
      </c>
      <c r="B323" cm="1">
        <f t="array" ref="B323:G323">_xlfn.XLOOKUP($A323,Instagram_Usage_Lifestyle_Mini_!$A:$A,Instagram_Usage_Lifestyle_Mini_!$W:$AB,"Not Found")</f>
        <v>60.7</v>
      </c>
      <c r="C323">
        <v>3</v>
      </c>
      <c r="D323">
        <v>5</v>
      </c>
      <c r="E323">
        <v>10</v>
      </c>
      <c r="F323">
        <v>2.4</v>
      </c>
      <c r="G323">
        <v>3</v>
      </c>
      <c r="H323" s="13" t="str" cm="1">
        <f t="array" ref="H323">_xlfn.IFS(B323&lt;20,"Low",B323&lt;=40,"Moderate",B323&lt;=60,"High",TRUE,"Very High")</f>
        <v>Very High</v>
      </c>
    </row>
    <row r="324" spans="1:8" ht="17" x14ac:dyDescent="0.2">
      <c r="A324">
        <v>323</v>
      </c>
      <c r="B324" cm="1">
        <f t="array" ref="B324:G324">_xlfn.XLOOKUP($A324,Instagram_Usage_Lifestyle_Mini_!$A:$A,Instagram_Usage_Lifestyle_Mini_!$W:$AB,"Not Found")</f>
        <v>60.5</v>
      </c>
      <c r="C324">
        <v>1</v>
      </c>
      <c r="D324">
        <v>4</v>
      </c>
      <c r="E324">
        <v>9</v>
      </c>
      <c r="F324">
        <v>4.0999999999999996</v>
      </c>
      <c r="G324">
        <v>5</v>
      </c>
      <c r="H324" s="13" t="str" cm="1">
        <f t="array" ref="H324">_xlfn.IFS(B324&lt;20,"Low",B324&lt;=40,"Moderate",B324&lt;=60,"High",TRUE,"Very High")</f>
        <v>Very High</v>
      </c>
    </row>
    <row r="325" spans="1:8" ht="17" x14ac:dyDescent="0.2">
      <c r="A325">
        <v>324</v>
      </c>
      <c r="B325" cm="1">
        <f t="array" ref="B325:G325">_xlfn.XLOOKUP($A325,Instagram_Usage_Lifestyle_Mini_!$A:$A,Instagram_Usage_Lifestyle_Mini_!$W:$AB,"Not Found")</f>
        <v>47.9</v>
      </c>
      <c r="C325">
        <v>0</v>
      </c>
      <c r="D325">
        <v>3</v>
      </c>
      <c r="E325">
        <v>12</v>
      </c>
      <c r="F325">
        <v>1.1000000000000001</v>
      </c>
      <c r="G325">
        <v>3</v>
      </c>
      <c r="H325" s="13" t="str" cm="1">
        <f t="array" ref="H325">_xlfn.IFS(B325&lt;20,"Low",B325&lt;=40,"Moderate",B325&lt;=60,"High",TRUE,"Very High")</f>
        <v>High</v>
      </c>
    </row>
    <row r="326" spans="1:8" ht="17" x14ac:dyDescent="0.2">
      <c r="A326">
        <v>325</v>
      </c>
      <c r="B326" cm="1">
        <f t="array" ref="B326:G326">_xlfn.XLOOKUP($A326,Instagram_Usage_Lifestyle_Mini_!$A:$A,Instagram_Usage_Lifestyle_Mini_!$W:$AB,"Not Found")</f>
        <v>42.6</v>
      </c>
      <c r="C326">
        <v>1</v>
      </c>
      <c r="D326">
        <v>4</v>
      </c>
      <c r="E326">
        <v>9</v>
      </c>
      <c r="F326">
        <v>2.4</v>
      </c>
      <c r="G326">
        <v>3</v>
      </c>
      <c r="H326" s="13" t="str" cm="1">
        <f t="array" ref="H326">_xlfn.IFS(B326&lt;20,"Low",B326&lt;=40,"Moderate",B326&lt;=60,"High",TRUE,"Very High")</f>
        <v>High</v>
      </c>
    </row>
    <row r="327" spans="1:8" ht="17" x14ac:dyDescent="0.2">
      <c r="A327">
        <v>326</v>
      </c>
      <c r="B327" cm="1">
        <f t="array" ref="B327:G327">_xlfn.XLOOKUP($A327,Instagram_Usage_Lifestyle_Mini_!$A:$A,Instagram_Usage_Lifestyle_Mini_!$W:$AB,"Not Found")</f>
        <v>38.799999999999997</v>
      </c>
      <c r="C327">
        <v>2</v>
      </c>
      <c r="D327">
        <v>3</v>
      </c>
      <c r="E327">
        <v>12</v>
      </c>
      <c r="F327">
        <v>0.6</v>
      </c>
      <c r="G327">
        <v>6</v>
      </c>
      <c r="H327" s="13" t="str" cm="1">
        <f t="array" ref="H327">_xlfn.IFS(B327&lt;20,"Low",B327&lt;=40,"Moderate",B327&lt;=60,"High",TRUE,"Very High")</f>
        <v>Moderate</v>
      </c>
    </row>
    <row r="328" spans="1:8" ht="17" x14ac:dyDescent="0.2">
      <c r="A328">
        <v>327</v>
      </c>
      <c r="B328" cm="1">
        <f t="array" ref="B328:G328">_xlfn.XLOOKUP($A328,Instagram_Usage_Lifestyle_Mini_!$A:$A,Instagram_Usage_Lifestyle_Mini_!$W:$AB,"Not Found")</f>
        <v>42.7</v>
      </c>
      <c r="C328">
        <v>7</v>
      </c>
      <c r="D328">
        <v>0</v>
      </c>
      <c r="E328">
        <v>12</v>
      </c>
      <c r="F328">
        <v>4.9000000000000004</v>
      </c>
      <c r="G328">
        <v>1</v>
      </c>
      <c r="H328" s="13" t="str" cm="1">
        <f t="array" ref="H328">_xlfn.IFS(B328&lt;20,"Low",B328&lt;=40,"Moderate",B328&lt;=60,"High",TRUE,"Very High")</f>
        <v>High</v>
      </c>
    </row>
    <row r="329" spans="1:8" ht="17" x14ac:dyDescent="0.2">
      <c r="A329">
        <v>328</v>
      </c>
      <c r="B329" cm="1">
        <f t="array" ref="B329:G329">_xlfn.XLOOKUP($A329,Instagram_Usage_Lifestyle_Mini_!$A:$A,Instagram_Usage_Lifestyle_Mini_!$W:$AB,"Not Found")</f>
        <v>30.7</v>
      </c>
      <c r="C329">
        <v>5</v>
      </c>
      <c r="D329">
        <v>7</v>
      </c>
      <c r="E329">
        <v>12</v>
      </c>
      <c r="F329">
        <v>3.5</v>
      </c>
      <c r="G329">
        <v>2</v>
      </c>
      <c r="H329" s="13" t="str" cm="1">
        <f t="array" ref="H329">_xlfn.IFS(B329&lt;20,"Low",B329&lt;=40,"Moderate",B329&lt;=60,"High",TRUE,"Very High")</f>
        <v>Moderate</v>
      </c>
    </row>
    <row r="330" spans="1:8" ht="17" x14ac:dyDescent="0.2">
      <c r="A330">
        <v>329</v>
      </c>
      <c r="B330" cm="1">
        <f t="array" ref="B330:G330">_xlfn.XLOOKUP($A330,Instagram_Usage_Lifestyle_Mini_!$A:$A,Instagram_Usage_Lifestyle_Mini_!$W:$AB,"Not Found")</f>
        <v>29.9</v>
      </c>
      <c r="C330">
        <v>3</v>
      </c>
      <c r="D330">
        <v>5</v>
      </c>
      <c r="E330">
        <v>11</v>
      </c>
      <c r="F330">
        <v>7.5</v>
      </c>
      <c r="G330">
        <v>4</v>
      </c>
      <c r="H330" s="13" t="str" cm="1">
        <f t="array" ref="H330">_xlfn.IFS(B330&lt;20,"Low",B330&lt;=40,"Moderate",B330&lt;=60,"High",TRUE,"Very High")</f>
        <v>Moderate</v>
      </c>
    </row>
    <row r="331" spans="1:8" ht="17" x14ac:dyDescent="0.2">
      <c r="A331">
        <v>330</v>
      </c>
      <c r="B331" cm="1">
        <f t="array" ref="B331:G331">_xlfn.XLOOKUP($A331,Instagram_Usage_Lifestyle_Mini_!$A:$A,Instagram_Usage_Lifestyle_Mini_!$W:$AB,"Not Found")</f>
        <v>27.9</v>
      </c>
      <c r="C331">
        <v>2</v>
      </c>
      <c r="D331">
        <v>7</v>
      </c>
      <c r="E331">
        <v>12</v>
      </c>
      <c r="F331">
        <v>4.7</v>
      </c>
      <c r="G331">
        <v>3</v>
      </c>
      <c r="H331" s="13" t="str" cm="1">
        <f t="array" ref="H331">_xlfn.IFS(B331&lt;20,"Low",B331&lt;=40,"Moderate",B331&lt;=60,"High",TRUE,"Very High")</f>
        <v>Moderate</v>
      </c>
    </row>
    <row r="332" spans="1:8" ht="17" x14ac:dyDescent="0.2">
      <c r="A332">
        <v>331</v>
      </c>
      <c r="B332" cm="1">
        <f t="array" ref="B332:G332">_xlfn.XLOOKUP($A332,Instagram_Usage_Lifestyle_Mini_!$A:$A,Instagram_Usage_Lifestyle_Mini_!$W:$AB,"Not Found")</f>
        <v>23.9</v>
      </c>
      <c r="C332">
        <v>3</v>
      </c>
      <c r="D332">
        <v>4</v>
      </c>
      <c r="E332">
        <v>8</v>
      </c>
      <c r="F332">
        <v>7.5</v>
      </c>
      <c r="G332">
        <v>3</v>
      </c>
      <c r="H332" s="13" t="str" cm="1">
        <f t="array" ref="H332">_xlfn.IFS(B332&lt;20,"Low",B332&lt;=40,"Moderate",B332&lt;=60,"High",TRUE,"Very High")</f>
        <v>Moderate</v>
      </c>
    </row>
    <row r="333" spans="1:8" ht="17" x14ac:dyDescent="0.2">
      <c r="A333">
        <v>332</v>
      </c>
      <c r="B333" cm="1">
        <f t="array" ref="B333:G333">_xlfn.XLOOKUP($A333,Instagram_Usage_Lifestyle_Mini_!$A:$A,Instagram_Usage_Lifestyle_Mini_!$W:$AB,"Not Found")</f>
        <v>51.8</v>
      </c>
      <c r="C333">
        <v>3</v>
      </c>
      <c r="D333">
        <v>8</v>
      </c>
      <c r="E333">
        <v>9</v>
      </c>
      <c r="F333">
        <v>6.7</v>
      </c>
      <c r="G333">
        <v>4</v>
      </c>
      <c r="H333" s="13" t="str" cm="1">
        <f t="array" ref="H333">_xlfn.IFS(B333&lt;20,"Low",B333&lt;=40,"Moderate",B333&lt;=60,"High",TRUE,"Very High")</f>
        <v>High</v>
      </c>
    </row>
    <row r="334" spans="1:8" ht="17" x14ac:dyDescent="0.2">
      <c r="A334">
        <v>333</v>
      </c>
      <c r="B334" cm="1">
        <f t="array" ref="B334:G334">_xlfn.XLOOKUP($A334,Instagram_Usage_Lifestyle_Mini_!$A:$A,Instagram_Usage_Lifestyle_Mini_!$W:$AB,"Not Found")</f>
        <v>31.9</v>
      </c>
      <c r="C334">
        <v>6</v>
      </c>
      <c r="D334">
        <v>4</v>
      </c>
      <c r="E334">
        <v>9</v>
      </c>
      <c r="F334">
        <v>1.4</v>
      </c>
      <c r="G334">
        <v>2</v>
      </c>
      <c r="H334" s="13" t="str" cm="1">
        <f t="array" ref="H334">_xlfn.IFS(B334&lt;20,"Low",B334&lt;=40,"Moderate",B334&lt;=60,"High",TRUE,"Very High")</f>
        <v>Moderate</v>
      </c>
    </row>
    <row r="335" spans="1:8" ht="17" x14ac:dyDescent="0.2">
      <c r="A335">
        <v>334</v>
      </c>
      <c r="B335" cm="1">
        <f t="array" ref="B335:G335">_xlfn.XLOOKUP($A335,Instagram_Usage_Lifestyle_Mini_!$A:$A,Instagram_Usage_Lifestyle_Mini_!$W:$AB,"Not Found")</f>
        <v>52.9</v>
      </c>
      <c r="C335">
        <v>3</v>
      </c>
      <c r="D335">
        <v>3</v>
      </c>
      <c r="E335">
        <v>4</v>
      </c>
      <c r="F335">
        <v>3</v>
      </c>
      <c r="G335">
        <v>2</v>
      </c>
      <c r="H335" s="13" t="str" cm="1">
        <f t="array" ref="H335">_xlfn.IFS(B335&lt;20,"Low",B335&lt;=40,"Moderate",B335&lt;=60,"High",TRUE,"Very High")</f>
        <v>High</v>
      </c>
    </row>
    <row r="336" spans="1:8" ht="17" x14ac:dyDescent="0.2">
      <c r="A336">
        <v>335</v>
      </c>
      <c r="B336" cm="1">
        <f t="array" ref="B336:G336">_xlfn.XLOOKUP($A336,Instagram_Usage_Lifestyle_Mini_!$A:$A,Instagram_Usage_Lifestyle_Mini_!$W:$AB,"Not Found")</f>
        <v>39.200000000000003</v>
      </c>
      <c r="C336">
        <v>4</v>
      </c>
      <c r="D336">
        <v>3</v>
      </c>
      <c r="E336">
        <v>17</v>
      </c>
      <c r="F336">
        <v>3.8</v>
      </c>
      <c r="G336">
        <v>2</v>
      </c>
      <c r="H336" s="13" t="str" cm="1">
        <f t="array" ref="H336">_xlfn.IFS(B336&lt;20,"Low",B336&lt;=40,"Moderate",B336&lt;=60,"High",TRUE,"Very High")</f>
        <v>Moderate</v>
      </c>
    </row>
    <row r="337" spans="1:8" ht="17" x14ac:dyDescent="0.2">
      <c r="A337">
        <v>336</v>
      </c>
      <c r="B337" cm="1">
        <f t="array" ref="B337:G337">_xlfn.XLOOKUP($A337,Instagram_Usage_Lifestyle_Mini_!$A:$A,Instagram_Usage_Lifestyle_Mini_!$W:$AB,"Not Found")</f>
        <v>41.9</v>
      </c>
      <c r="C337">
        <v>1</v>
      </c>
      <c r="D337">
        <v>1</v>
      </c>
      <c r="E337">
        <v>9</v>
      </c>
      <c r="F337">
        <v>5.0999999999999996</v>
      </c>
      <c r="G337">
        <v>7</v>
      </c>
      <c r="H337" s="13" t="str" cm="1">
        <f t="array" ref="H337">_xlfn.IFS(B337&lt;20,"Low",B337&lt;=40,"Moderate",B337&lt;=60,"High",TRUE,"Very High")</f>
        <v>High</v>
      </c>
    </row>
    <row r="338" spans="1:8" ht="17" x14ac:dyDescent="0.2">
      <c r="A338">
        <v>337</v>
      </c>
      <c r="B338" cm="1">
        <f t="array" ref="B338:G338">_xlfn.XLOOKUP($A338,Instagram_Usage_Lifestyle_Mini_!$A:$A,Instagram_Usage_Lifestyle_Mini_!$W:$AB,"Not Found")</f>
        <v>31.1</v>
      </c>
      <c r="C338">
        <v>3</v>
      </c>
      <c r="D338">
        <v>5</v>
      </c>
      <c r="E338">
        <v>10</v>
      </c>
      <c r="F338">
        <v>4.3</v>
      </c>
      <c r="G338">
        <v>8</v>
      </c>
      <c r="H338" s="13" t="str" cm="1">
        <f t="array" ref="H338">_xlfn.IFS(B338&lt;20,"Low",B338&lt;=40,"Moderate",B338&lt;=60,"High",TRUE,"Very High")</f>
        <v>Moderate</v>
      </c>
    </row>
    <row r="339" spans="1:8" ht="17" x14ac:dyDescent="0.2">
      <c r="A339">
        <v>338</v>
      </c>
      <c r="B339" cm="1">
        <f t="array" ref="B339:G339">_xlfn.XLOOKUP($A339,Instagram_Usage_Lifestyle_Mini_!$A:$A,Instagram_Usage_Lifestyle_Mini_!$W:$AB,"Not Found")</f>
        <v>37.9</v>
      </c>
      <c r="C339">
        <v>3</v>
      </c>
      <c r="D339">
        <v>5</v>
      </c>
      <c r="E339">
        <v>11</v>
      </c>
      <c r="F339">
        <v>1.6</v>
      </c>
      <c r="G339">
        <v>3</v>
      </c>
      <c r="H339" s="13" t="str" cm="1">
        <f t="array" ref="H339">_xlfn.IFS(B339&lt;20,"Low",B339&lt;=40,"Moderate",B339&lt;=60,"High",TRUE,"Very High")</f>
        <v>Moderate</v>
      </c>
    </row>
    <row r="340" spans="1:8" ht="17" x14ac:dyDescent="0.2">
      <c r="A340">
        <v>339</v>
      </c>
      <c r="B340" cm="1">
        <f t="array" ref="B340:G340">_xlfn.XLOOKUP($A340,Instagram_Usage_Lifestyle_Mini_!$A:$A,Instagram_Usage_Lifestyle_Mini_!$W:$AB,"Not Found")</f>
        <v>57.1</v>
      </c>
      <c r="C340">
        <v>3</v>
      </c>
      <c r="D340">
        <v>4</v>
      </c>
      <c r="E340">
        <v>9</v>
      </c>
      <c r="F340">
        <v>0.6</v>
      </c>
      <c r="G340">
        <v>3</v>
      </c>
      <c r="H340" s="13" t="str" cm="1">
        <f t="array" ref="H340">_xlfn.IFS(B340&lt;20,"Low",B340&lt;=40,"Moderate",B340&lt;=60,"High",TRUE,"Very High")</f>
        <v>High</v>
      </c>
    </row>
    <row r="341" spans="1:8" ht="17" x14ac:dyDescent="0.2">
      <c r="A341">
        <v>340</v>
      </c>
      <c r="B341" cm="1">
        <f t="array" ref="B341:G341">_xlfn.XLOOKUP($A341,Instagram_Usage_Lifestyle_Mini_!$A:$A,Instagram_Usage_Lifestyle_Mini_!$W:$AB,"Not Found")</f>
        <v>44.7</v>
      </c>
      <c r="C341">
        <v>3</v>
      </c>
      <c r="D341">
        <v>1</v>
      </c>
      <c r="E341">
        <v>14</v>
      </c>
      <c r="F341">
        <v>1</v>
      </c>
      <c r="G341">
        <v>4</v>
      </c>
      <c r="H341" s="13" t="str" cm="1">
        <f t="array" ref="H341">_xlfn.IFS(B341&lt;20,"Low",B341&lt;=40,"Moderate",B341&lt;=60,"High",TRUE,"Very High")</f>
        <v>High</v>
      </c>
    </row>
    <row r="342" spans="1:8" ht="17" x14ac:dyDescent="0.2">
      <c r="A342">
        <v>341</v>
      </c>
      <c r="B342" cm="1">
        <f t="array" ref="B342:G342">_xlfn.XLOOKUP($A342,Instagram_Usage_Lifestyle_Mini_!$A:$A,Instagram_Usage_Lifestyle_Mini_!$W:$AB,"Not Found")</f>
        <v>45.2</v>
      </c>
      <c r="C342">
        <v>2</v>
      </c>
      <c r="D342">
        <v>4</v>
      </c>
      <c r="E342">
        <v>9</v>
      </c>
      <c r="F342">
        <v>5.5</v>
      </c>
      <c r="G342">
        <v>2</v>
      </c>
      <c r="H342" s="13" t="str" cm="1">
        <f t="array" ref="H342">_xlfn.IFS(B342&lt;20,"Low",B342&lt;=40,"Moderate",B342&lt;=60,"High",TRUE,"Very High")</f>
        <v>High</v>
      </c>
    </row>
    <row r="343" spans="1:8" ht="17" x14ac:dyDescent="0.2">
      <c r="A343">
        <v>342</v>
      </c>
      <c r="B343" cm="1">
        <f t="array" ref="B343:G343">_xlfn.XLOOKUP($A343,Instagram_Usage_Lifestyle_Mini_!$A:$A,Instagram_Usage_Lifestyle_Mini_!$W:$AB,"Not Found")</f>
        <v>43.7</v>
      </c>
      <c r="C343">
        <v>0</v>
      </c>
      <c r="D343">
        <v>4</v>
      </c>
      <c r="E343">
        <v>17</v>
      </c>
      <c r="F343">
        <v>1.1000000000000001</v>
      </c>
      <c r="G343">
        <v>5</v>
      </c>
      <c r="H343" s="13" t="str" cm="1">
        <f t="array" ref="H343">_xlfn.IFS(B343&lt;20,"Low",B343&lt;=40,"Moderate",B343&lt;=60,"High",TRUE,"Very High")</f>
        <v>High</v>
      </c>
    </row>
    <row r="344" spans="1:8" ht="17" x14ac:dyDescent="0.2">
      <c r="A344">
        <v>343</v>
      </c>
      <c r="B344" cm="1">
        <f t="array" ref="B344:G344">_xlfn.XLOOKUP($A344,Instagram_Usage_Lifestyle_Mini_!$A:$A,Instagram_Usage_Lifestyle_Mini_!$W:$AB,"Not Found")</f>
        <v>32.1</v>
      </c>
      <c r="C344">
        <v>4</v>
      </c>
      <c r="D344">
        <v>5</v>
      </c>
      <c r="E344">
        <v>7</v>
      </c>
      <c r="F344">
        <v>3</v>
      </c>
      <c r="G344">
        <v>0</v>
      </c>
      <c r="H344" s="13" t="str" cm="1">
        <f t="array" ref="H344">_xlfn.IFS(B344&lt;20,"Low",B344&lt;=40,"Moderate",B344&lt;=60,"High",TRUE,"Very High")</f>
        <v>Moderate</v>
      </c>
    </row>
    <row r="345" spans="1:8" ht="17" x14ac:dyDescent="0.2">
      <c r="A345">
        <v>344</v>
      </c>
      <c r="B345" cm="1">
        <f t="array" ref="B345:G345">_xlfn.XLOOKUP($A345,Instagram_Usage_Lifestyle_Mini_!$A:$A,Instagram_Usage_Lifestyle_Mini_!$W:$AB,"Not Found")</f>
        <v>43</v>
      </c>
      <c r="C345">
        <v>3</v>
      </c>
      <c r="D345">
        <v>3</v>
      </c>
      <c r="E345">
        <v>15</v>
      </c>
      <c r="F345">
        <v>3.5</v>
      </c>
      <c r="G345">
        <v>3</v>
      </c>
      <c r="H345" s="13" t="str" cm="1">
        <f t="array" ref="H345">_xlfn.IFS(B345&lt;20,"Low",B345&lt;=40,"Moderate",B345&lt;=60,"High",TRUE,"Very High")</f>
        <v>High</v>
      </c>
    </row>
    <row r="346" spans="1:8" ht="17" x14ac:dyDescent="0.2">
      <c r="A346">
        <v>345</v>
      </c>
      <c r="B346" cm="1">
        <f t="array" ref="B346:G346">_xlfn.XLOOKUP($A346,Instagram_Usage_Lifestyle_Mini_!$A:$A,Instagram_Usage_Lifestyle_Mini_!$W:$AB,"Not Found")</f>
        <v>30.3</v>
      </c>
      <c r="C346">
        <v>5</v>
      </c>
      <c r="D346">
        <v>4</v>
      </c>
      <c r="E346">
        <v>10</v>
      </c>
      <c r="F346">
        <v>8.8000000000000007</v>
      </c>
      <c r="G346">
        <v>5</v>
      </c>
      <c r="H346" s="13" t="str" cm="1">
        <f t="array" ref="H346">_xlfn.IFS(B346&lt;20,"Low",B346&lt;=40,"Moderate",B346&lt;=60,"High",TRUE,"Very High")</f>
        <v>Moderate</v>
      </c>
    </row>
    <row r="347" spans="1:8" ht="17" x14ac:dyDescent="0.2">
      <c r="A347">
        <v>346</v>
      </c>
      <c r="B347" cm="1">
        <f t="array" ref="B347:G347">_xlfn.XLOOKUP($A347,Instagram_Usage_Lifestyle_Mini_!$A:$A,Instagram_Usage_Lifestyle_Mini_!$W:$AB,"Not Found")</f>
        <v>29.2</v>
      </c>
      <c r="C347">
        <v>5</v>
      </c>
      <c r="D347">
        <v>2</v>
      </c>
      <c r="E347">
        <v>10</v>
      </c>
      <c r="F347">
        <v>5.0999999999999996</v>
      </c>
      <c r="G347">
        <v>2</v>
      </c>
      <c r="H347" s="13" t="str" cm="1">
        <f t="array" ref="H347">_xlfn.IFS(B347&lt;20,"Low",B347&lt;=40,"Moderate",B347&lt;=60,"High",TRUE,"Very High")</f>
        <v>Moderate</v>
      </c>
    </row>
    <row r="348" spans="1:8" ht="17" x14ac:dyDescent="0.2">
      <c r="A348">
        <v>347</v>
      </c>
      <c r="B348" cm="1">
        <f t="array" ref="B348:G348">_xlfn.XLOOKUP($A348,Instagram_Usage_Lifestyle_Mini_!$A:$A,Instagram_Usage_Lifestyle_Mini_!$W:$AB,"Not Found")</f>
        <v>36</v>
      </c>
      <c r="C348">
        <v>0</v>
      </c>
      <c r="D348">
        <v>7</v>
      </c>
      <c r="E348">
        <v>3</v>
      </c>
      <c r="F348">
        <v>5.5</v>
      </c>
      <c r="G348">
        <v>6</v>
      </c>
      <c r="H348" s="13" t="str" cm="1">
        <f t="array" ref="H348">_xlfn.IFS(B348&lt;20,"Low",B348&lt;=40,"Moderate",B348&lt;=60,"High",TRUE,"Very High")</f>
        <v>Moderate</v>
      </c>
    </row>
    <row r="349" spans="1:8" ht="17" x14ac:dyDescent="0.2">
      <c r="A349">
        <v>348</v>
      </c>
      <c r="B349" cm="1">
        <f t="array" ref="B349:G349">_xlfn.XLOOKUP($A349,Instagram_Usage_Lifestyle_Mini_!$A:$A,Instagram_Usage_Lifestyle_Mini_!$W:$AB,"Not Found")</f>
        <v>31.1</v>
      </c>
      <c r="C349">
        <v>4</v>
      </c>
      <c r="D349">
        <v>5</v>
      </c>
      <c r="E349">
        <v>11</v>
      </c>
      <c r="F349">
        <v>5.0999999999999996</v>
      </c>
      <c r="G349">
        <v>2</v>
      </c>
      <c r="H349" s="13" t="str" cm="1">
        <f t="array" ref="H349">_xlfn.IFS(B349&lt;20,"Low",B349&lt;=40,"Moderate",B349&lt;=60,"High",TRUE,"Very High")</f>
        <v>Moderate</v>
      </c>
    </row>
    <row r="350" spans="1:8" ht="17" x14ac:dyDescent="0.2">
      <c r="A350">
        <v>349</v>
      </c>
      <c r="B350" cm="1">
        <f t="array" ref="B350:G350">_xlfn.XLOOKUP($A350,Instagram_Usage_Lifestyle_Mini_!$A:$A,Instagram_Usage_Lifestyle_Mini_!$W:$AB,"Not Found")</f>
        <v>40.700000000000003</v>
      </c>
      <c r="C350">
        <v>5</v>
      </c>
      <c r="D350">
        <v>2</v>
      </c>
      <c r="E350">
        <v>7</v>
      </c>
      <c r="F350">
        <v>4.5999999999999996</v>
      </c>
      <c r="G350">
        <v>5</v>
      </c>
      <c r="H350" s="13" t="str" cm="1">
        <f t="array" ref="H350">_xlfn.IFS(B350&lt;20,"Low",B350&lt;=40,"Moderate",B350&lt;=60,"High",TRUE,"Very High")</f>
        <v>High</v>
      </c>
    </row>
    <row r="351" spans="1:8" ht="17" x14ac:dyDescent="0.2">
      <c r="A351">
        <v>350</v>
      </c>
      <c r="B351" cm="1">
        <f t="array" ref="B351:G351">_xlfn.XLOOKUP($A351,Instagram_Usage_Lifestyle_Mini_!$A:$A,Instagram_Usage_Lifestyle_Mini_!$W:$AB,"Not Found")</f>
        <v>57.7</v>
      </c>
      <c r="C351">
        <v>1</v>
      </c>
      <c r="D351">
        <v>6</v>
      </c>
      <c r="E351">
        <v>15</v>
      </c>
      <c r="F351">
        <v>1.4</v>
      </c>
      <c r="G351">
        <v>2</v>
      </c>
      <c r="H351" s="13" t="str" cm="1">
        <f t="array" ref="H351">_xlfn.IFS(B351&lt;20,"Low",B351&lt;=40,"Moderate",B351&lt;=60,"High",TRUE,"Very High")</f>
        <v>High</v>
      </c>
    </row>
    <row r="352" spans="1:8" ht="17" x14ac:dyDescent="0.2">
      <c r="A352">
        <v>351</v>
      </c>
      <c r="B352" cm="1">
        <f t="array" ref="B352:G352">_xlfn.XLOOKUP($A352,Instagram_Usage_Lifestyle_Mini_!$A:$A,Instagram_Usage_Lifestyle_Mini_!$W:$AB,"Not Found")</f>
        <v>53.9</v>
      </c>
      <c r="C352">
        <v>1</v>
      </c>
      <c r="D352">
        <v>7</v>
      </c>
      <c r="E352">
        <v>16</v>
      </c>
      <c r="F352">
        <v>4.5</v>
      </c>
      <c r="G352">
        <v>4</v>
      </c>
      <c r="H352" s="13" t="str" cm="1">
        <f t="array" ref="H352">_xlfn.IFS(B352&lt;20,"Low",B352&lt;=40,"Moderate",B352&lt;=60,"High",TRUE,"Very High")</f>
        <v>High</v>
      </c>
    </row>
    <row r="353" spans="1:8" ht="17" x14ac:dyDescent="0.2">
      <c r="A353">
        <v>352</v>
      </c>
      <c r="B353" cm="1">
        <f t="array" ref="B353:G353">_xlfn.XLOOKUP($A353,Instagram_Usage_Lifestyle_Mini_!$A:$A,Instagram_Usage_Lifestyle_Mini_!$W:$AB,"Not Found")</f>
        <v>48</v>
      </c>
      <c r="C353">
        <v>0</v>
      </c>
      <c r="D353">
        <v>1</v>
      </c>
      <c r="E353">
        <v>7</v>
      </c>
      <c r="F353">
        <v>1</v>
      </c>
      <c r="G353">
        <v>2</v>
      </c>
      <c r="H353" s="13" t="str" cm="1">
        <f t="array" ref="H353">_xlfn.IFS(B353&lt;20,"Low",B353&lt;=40,"Moderate",B353&lt;=60,"High",TRUE,"Very High")</f>
        <v>High</v>
      </c>
    </row>
    <row r="354" spans="1:8" ht="17" x14ac:dyDescent="0.2">
      <c r="A354">
        <v>353</v>
      </c>
      <c r="B354" cm="1">
        <f t="array" ref="B354:G354">_xlfn.XLOOKUP($A354,Instagram_Usage_Lifestyle_Mini_!$A:$A,Instagram_Usage_Lifestyle_Mini_!$W:$AB,"Not Found")</f>
        <v>24.3</v>
      </c>
      <c r="C354">
        <v>5</v>
      </c>
      <c r="D354">
        <v>7</v>
      </c>
      <c r="E354">
        <v>9</v>
      </c>
      <c r="F354">
        <v>9.1999999999999993</v>
      </c>
      <c r="G354">
        <v>3</v>
      </c>
      <c r="H354" s="13" t="str" cm="1">
        <f t="array" ref="H354">_xlfn.IFS(B354&lt;20,"Low",B354&lt;=40,"Moderate",B354&lt;=60,"High",TRUE,"Very High")</f>
        <v>Moderate</v>
      </c>
    </row>
    <row r="355" spans="1:8" ht="17" x14ac:dyDescent="0.2">
      <c r="A355">
        <v>354</v>
      </c>
      <c r="B355" cm="1">
        <f t="array" ref="B355:G355">_xlfn.XLOOKUP($A355,Instagram_Usage_Lifestyle_Mini_!$A:$A,Instagram_Usage_Lifestyle_Mini_!$W:$AB,"Not Found")</f>
        <v>45.8</v>
      </c>
      <c r="C355">
        <v>3</v>
      </c>
      <c r="D355">
        <v>3</v>
      </c>
      <c r="E355">
        <v>10</v>
      </c>
      <c r="F355">
        <v>4.7</v>
      </c>
      <c r="G355">
        <v>1</v>
      </c>
      <c r="H355" s="13" t="str" cm="1">
        <f t="array" ref="H355">_xlfn.IFS(B355&lt;20,"Low",B355&lt;=40,"Moderate",B355&lt;=60,"High",TRUE,"Very High")</f>
        <v>High</v>
      </c>
    </row>
    <row r="356" spans="1:8" ht="17" x14ac:dyDescent="0.2">
      <c r="A356">
        <v>355</v>
      </c>
      <c r="B356" cm="1">
        <f t="array" ref="B356:G356">_xlfn.XLOOKUP($A356,Instagram_Usage_Lifestyle_Mini_!$A:$A,Instagram_Usage_Lifestyle_Mini_!$W:$AB,"Not Found")</f>
        <v>41.7</v>
      </c>
      <c r="C356">
        <v>2</v>
      </c>
      <c r="D356">
        <v>3</v>
      </c>
      <c r="E356">
        <v>12</v>
      </c>
      <c r="F356">
        <v>6.8</v>
      </c>
      <c r="G356">
        <v>4</v>
      </c>
      <c r="H356" s="13" t="str" cm="1">
        <f t="array" ref="H356">_xlfn.IFS(B356&lt;20,"Low",B356&lt;=40,"Moderate",B356&lt;=60,"High",TRUE,"Very High")</f>
        <v>High</v>
      </c>
    </row>
    <row r="357" spans="1:8" ht="17" x14ac:dyDescent="0.2">
      <c r="A357">
        <v>356</v>
      </c>
      <c r="B357" cm="1">
        <f t="array" ref="B357:G357">_xlfn.XLOOKUP($A357,Instagram_Usage_Lifestyle_Mini_!$A:$A,Instagram_Usage_Lifestyle_Mini_!$W:$AB,"Not Found")</f>
        <v>32.299999999999997</v>
      </c>
      <c r="C357">
        <v>4</v>
      </c>
      <c r="D357">
        <v>5</v>
      </c>
      <c r="E357">
        <v>10</v>
      </c>
      <c r="F357">
        <v>11</v>
      </c>
      <c r="G357">
        <v>1</v>
      </c>
      <c r="H357" s="13" t="str" cm="1">
        <f t="array" ref="H357">_xlfn.IFS(B357&lt;20,"Low",B357&lt;=40,"Moderate",B357&lt;=60,"High",TRUE,"Very High")</f>
        <v>Moderate</v>
      </c>
    </row>
    <row r="358" spans="1:8" ht="17" x14ac:dyDescent="0.2">
      <c r="A358">
        <v>357</v>
      </c>
      <c r="B358" cm="1">
        <f t="array" ref="B358:G358">_xlfn.XLOOKUP($A358,Instagram_Usage_Lifestyle_Mini_!$A:$A,Instagram_Usage_Lifestyle_Mini_!$W:$AB,"Not Found")</f>
        <v>42.8</v>
      </c>
      <c r="C358">
        <v>2</v>
      </c>
      <c r="D358">
        <v>7</v>
      </c>
      <c r="E358">
        <v>10</v>
      </c>
      <c r="F358">
        <v>11.2</v>
      </c>
      <c r="G358">
        <v>1</v>
      </c>
      <c r="H358" s="13" t="str" cm="1">
        <f t="array" ref="H358">_xlfn.IFS(B358&lt;20,"Low",B358&lt;=40,"Moderate",B358&lt;=60,"High",TRUE,"Very High")</f>
        <v>High</v>
      </c>
    </row>
    <row r="359" spans="1:8" ht="17" x14ac:dyDescent="0.2">
      <c r="A359">
        <v>358</v>
      </c>
      <c r="B359" cm="1">
        <f t="array" ref="B359:G359">_xlfn.XLOOKUP($A359,Instagram_Usage_Lifestyle_Mini_!$A:$A,Instagram_Usage_Lifestyle_Mini_!$W:$AB,"Not Found")</f>
        <v>42.4</v>
      </c>
      <c r="C359">
        <v>5</v>
      </c>
      <c r="D359">
        <v>1</v>
      </c>
      <c r="E359">
        <v>9</v>
      </c>
      <c r="F359">
        <v>5.0999999999999996</v>
      </c>
      <c r="G359">
        <v>3</v>
      </c>
      <c r="H359" s="13" t="str" cm="1">
        <f t="array" ref="H359">_xlfn.IFS(B359&lt;20,"Low",B359&lt;=40,"Moderate",B359&lt;=60,"High",TRUE,"Very High")</f>
        <v>High</v>
      </c>
    </row>
    <row r="360" spans="1:8" ht="17" x14ac:dyDescent="0.2">
      <c r="A360">
        <v>359</v>
      </c>
      <c r="B360" cm="1">
        <f t="array" ref="B360:G360">_xlfn.XLOOKUP($A360,Instagram_Usage_Lifestyle_Mini_!$A:$A,Instagram_Usage_Lifestyle_Mini_!$W:$AB,"Not Found")</f>
        <v>32.4</v>
      </c>
      <c r="C360">
        <v>3</v>
      </c>
      <c r="D360">
        <v>5</v>
      </c>
      <c r="E360">
        <v>11</v>
      </c>
      <c r="F360">
        <v>1.7</v>
      </c>
      <c r="G360">
        <v>3</v>
      </c>
      <c r="H360" s="13" t="str" cm="1">
        <f t="array" ref="H360">_xlfn.IFS(B360&lt;20,"Low",B360&lt;=40,"Moderate",B360&lt;=60,"High",TRUE,"Very High")</f>
        <v>Moderate</v>
      </c>
    </row>
    <row r="361" spans="1:8" ht="17" x14ac:dyDescent="0.2">
      <c r="A361">
        <v>360</v>
      </c>
      <c r="B361" cm="1">
        <f t="array" ref="B361:G361">_xlfn.XLOOKUP($A361,Instagram_Usage_Lifestyle_Mini_!$A:$A,Instagram_Usage_Lifestyle_Mini_!$W:$AB,"Not Found")</f>
        <v>42.2</v>
      </c>
      <c r="C361">
        <v>6</v>
      </c>
      <c r="D361">
        <v>1</v>
      </c>
      <c r="E361">
        <v>8</v>
      </c>
      <c r="F361">
        <v>4.7</v>
      </c>
      <c r="G361">
        <v>2</v>
      </c>
      <c r="H361" s="13" t="str" cm="1">
        <f t="array" ref="H361">_xlfn.IFS(B361&lt;20,"Low",B361&lt;=40,"Moderate",B361&lt;=60,"High",TRUE,"Very High")</f>
        <v>High</v>
      </c>
    </row>
    <row r="362" spans="1:8" ht="17" x14ac:dyDescent="0.2">
      <c r="A362">
        <v>361</v>
      </c>
      <c r="B362" cm="1">
        <f t="array" ref="B362:G362">_xlfn.XLOOKUP($A362,Instagram_Usage_Lifestyle_Mini_!$A:$A,Instagram_Usage_Lifestyle_Mini_!$W:$AB,"Not Found")</f>
        <v>35.299999999999997</v>
      </c>
      <c r="C362">
        <v>4</v>
      </c>
      <c r="D362">
        <v>11</v>
      </c>
      <c r="E362">
        <v>8</v>
      </c>
      <c r="F362">
        <v>3.6</v>
      </c>
      <c r="G362">
        <v>2</v>
      </c>
      <c r="H362" s="13" t="str" cm="1">
        <f t="array" ref="H362">_xlfn.IFS(B362&lt;20,"Low",B362&lt;=40,"Moderate",B362&lt;=60,"High",TRUE,"Very High")</f>
        <v>Moderate</v>
      </c>
    </row>
    <row r="363" spans="1:8" ht="17" x14ac:dyDescent="0.2">
      <c r="A363">
        <v>362</v>
      </c>
      <c r="B363" cm="1">
        <f t="array" ref="B363:G363">_xlfn.XLOOKUP($A363,Instagram_Usage_Lifestyle_Mini_!$A:$A,Instagram_Usage_Lifestyle_Mini_!$W:$AB,"Not Found")</f>
        <v>32.6</v>
      </c>
      <c r="C363">
        <v>3</v>
      </c>
      <c r="D363">
        <v>4</v>
      </c>
      <c r="E363">
        <v>11</v>
      </c>
      <c r="F363">
        <v>2.4</v>
      </c>
      <c r="G363">
        <v>4</v>
      </c>
      <c r="H363" s="13" t="str" cm="1">
        <f t="array" ref="H363">_xlfn.IFS(B363&lt;20,"Low",B363&lt;=40,"Moderate",B363&lt;=60,"High",TRUE,"Very High")</f>
        <v>Moderate</v>
      </c>
    </row>
    <row r="364" spans="1:8" ht="17" x14ac:dyDescent="0.2">
      <c r="A364">
        <v>363</v>
      </c>
      <c r="B364" cm="1">
        <f t="array" ref="B364:G364">_xlfn.XLOOKUP($A364,Instagram_Usage_Lifestyle_Mini_!$A:$A,Instagram_Usage_Lifestyle_Mini_!$W:$AB,"Not Found")</f>
        <v>50.1</v>
      </c>
      <c r="C364">
        <v>3</v>
      </c>
      <c r="D364">
        <v>3</v>
      </c>
      <c r="E364">
        <v>9</v>
      </c>
      <c r="F364">
        <v>2.7</v>
      </c>
      <c r="G364">
        <v>2</v>
      </c>
      <c r="H364" s="13" t="str" cm="1">
        <f t="array" ref="H364">_xlfn.IFS(B364&lt;20,"Low",B364&lt;=40,"Moderate",B364&lt;=60,"High",TRUE,"Very High")</f>
        <v>High</v>
      </c>
    </row>
    <row r="365" spans="1:8" ht="17" x14ac:dyDescent="0.2">
      <c r="A365">
        <v>364</v>
      </c>
      <c r="B365" cm="1">
        <f t="array" ref="B365:G365">_xlfn.XLOOKUP($A365,Instagram_Usage_Lifestyle_Mini_!$A:$A,Instagram_Usage_Lifestyle_Mini_!$W:$AB,"Not Found")</f>
        <v>48</v>
      </c>
      <c r="C365">
        <v>2</v>
      </c>
      <c r="D365">
        <v>3</v>
      </c>
      <c r="E365">
        <v>13</v>
      </c>
      <c r="F365">
        <v>1.2</v>
      </c>
      <c r="G365">
        <v>0</v>
      </c>
      <c r="H365" s="13" t="str" cm="1">
        <f t="array" ref="H365">_xlfn.IFS(B365&lt;20,"Low",B365&lt;=40,"Moderate",B365&lt;=60,"High",TRUE,"Very High")</f>
        <v>High</v>
      </c>
    </row>
    <row r="366" spans="1:8" ht="17" x14ac:dyDescent="0.2">
      <c r="A366">
        <v>365</v>
      </c>
      <c r="B366" cm="1">
        <f t="array" ref="B366:G366">_xlfn.XLOOKUP($A366,Instagram_Usage_Lifestyle_Mini_!$A:$A,Instagram_Usage_Lifestyle_Mini_!$W:$AB,"Not Found")</f>
        <v>47.6</v>
      </c>
      <c r="C366">
        <v>3</v>
      </c>
      <c r="D366">
        <v>3</v>
      </c>
      <c r="E366">
        <v>13</v>
      </c>
      <c r="F366">
        <v>2.6</v>
      </c>
      <c r="G366">
        <v>4</v>
      </c>
      <c r="H366" s="13" t="str" cm="1">
        <f t="array" ref="H366">_xlfn.IFS(B366&lt;20,"Low",B366&lt;=40,"Moderate",B366&lt;=60,"High",TRUE,"Very High")</f>
        <v>High</v>
      </c>
    </row>
    <row r="367" spans="1:8" ht="17" x14ac:dyDescent="0.2">
      <c r="A367">
        <v>366</v>
      </c>
      <c r="B367" cm="1">
        <f t="array" ref="B367:G367">_xlfn.XLOOKUP($A367,Instagram_Usage_Lifestyle_Mini_!$A:$A,Instagram_Usage_Lifestyle_Mini_!$W:$AB,"Not Found")</f>
        <v>41</v>
      </c>
      <c r="C367">
        <v>2</v>
      </c>
      <c r="D367">
        <v>2</v>
      </c>
      <c r="E367">
        <v>8</v>
      </c>
      <c r="F367">
        <v>6.9</v>
      </c>
      <c r="G367">
        <v>8</v>
      </c>
      <c r="H367" s="13" t="str" cm="1">
        <f t="array" ref="H367">_xlfn.IFS(B367&lt;20,"Low",B367&lt;=40,"Moderate",B367&lt;=60,"High",TRUE,"Very High")</f>
        <v>High</v>
      </c>
    </row>
    <row r="368" spans="1:8" ht="17" x14ac:dyDescent="0.2">
      <c r="A368">
        <v>367</v>
      </c>
      <c r="B368" cm="1">
        <f t="array" ref="B368:G368">_xlfn.XLOOKUP($A368,Instagram_Usage_Lifestyle_Mini_!$A:$A,Instagram_Usage_Lifestyle_Mini_!$W:$AB,"Not Found")</f>
        <v>40.299999999999997</v>
      </c>
      <c r="C368">
        <v>1</v>
      </c>
      <c r="D368">
        <v>3</v>
      </c>
      <c r="E368">
        <v>9</v>
      </c>
      <c r="F368">
        <v>2.9</v>
      </c>
      <c r="G368">
        <v>2</v>
      </c>
      <c r="H368" s="13" t="str" cm="1">
        <f t="array" ref="H368">_xlfn.IFS(B368&lt;20,"Low",B368&lt;=40,"Moderate",B368&lt;=60,"High",TRUE,"Very High")</f>
        <v>High</v>
      </c>
    </row>
    <row r="369" spans="1:8" ht="17" x14ac:dyDescent="0.2">
      <c r="A369">
        <v>368</v>
      </c>
      <c r="B369" cm="1">
        <f t="array" ref="B369:G369">_xlfn.XLOOKUP($A369,Instagram_Usage_Lifestyle_Mini_!$A:$A,Instagram_Usage_Lifestyle_Mini_!$W:$AB,"Not Found")</f>
        <v>37.200000000000003</v>
      </c>
      <c r="C369">
        <v>9</v>
      </c>
      <c r="D369">
        <v>5</v>
      </c>
      <c r="E369">
        <v>10</v>
      </c>
      <c r="F369">
        <v>3.8</v>
      </c>
      <c r="G369">
        <v>1</v>
      </c>
      <c r="H369" s="13" t="str" cm="1">
        <f t="array" ref="H369">_xlfn.IFS(B369&lt;20,"Low",B369&lt;=40,"Moderate",B369&lt;=60,"High",TRUE,"Very High")</f>
        <v>Moderate</v>
      </c>
    </row>
    <row r="370" spans="1:8" ht="17" x14ac:dyDescent="0.2">
      <c r="A370">
        <v>369</v>
      </c>
      <c r="B370" cm="1">
        <f t="array" ref="B370:G370">_xlfn.XLOOKUP($A370,Instagram_Usage_Lifestyle_Mini_!$A:$A,Instagram_Usage_Lifestyle_Mini_!$W:$AB,"Not Found")</f>
        <v>40.1</v>
      </c>
      <c r="C370">
        <v>3</v>
      </c>
      <c r="D370">
        <v>6</v>
      </c>
      <c r="E370">
        <v>8</v>
      </c>
      <c r="F370">
        <v>2</v>
      </c>
      <c r="G370">
        <v>3</v>
      </c>
      <c r="H370" s="13" t="str" cm="1">
        <f t="array" ref="H370">_xlfn.IFS(B370&lt;20,"Low",B370&lt;=40,"Moderate",B370&lt;=60,"High",TRUE,"Very High")</f>
        <v>High</v>
      </c>
    </row>
    <row r="371" spans="1:8" ht="17" x14ac:dyDescent="0.2">
      <c r="A371">
        <v>370</v>
      </c>
      <c r="B371" cm="1">
        <f t="array" ref="B371:G371">_xlfn.XLOOKUP($A371,Instagram_Usage_Lifestyle_Mini_!$A:$A,Instagram_Usage_Lifestyle_Mini_!$W:$AB,"Not Found")</f>
        <v>26.7</v>
      </c>
      <c r="C371">
        <v>4</v>
      </c>
      <c r="D371">
        <v>5</v>
      </c>
      <c r="E371">
        <v>6</v>
      </c>
      <c r="F371">
        <v>1.6</v>
      </c>
      <c r="G371">
        <v>0</v>
      </c>
      <c r="H371" s="13" t="str" cm="1">
        <f t="array" ref="H371">_xlfn.IFS(B371&lt;20,"Low",B371&lt;=40,"Moderate",B371&lt;=60,"High",TRUE,"Very High")</f>
        <v>Moderate</v>
      </c>
    </row>
    <row r="372" spans="1:8" ht="17" x14ac:dyDescent="0.2">
      <c r="A372">
        <v>371</v>
      </c>
      <c r="B372" cm="1">
        <f t="array" ref="B372:G372">_xlfn.XLOOKUP($A372,Instagram_Usage_Lifestyle_Mini_!$A:$A,Instagram_Usage_Lifestyle_Mini_!$W:$AB,"Not Found")</f>
        <v>47.6</v>
      </c>
      <c r="C372">
        <v>1</v>
      </c>
      <c r="D372">
        <v>4</v>
      </c>
      <c r="E372">
        <v>11</v>
      </c>
      <c r="F372">
        <v>4.7</v>
      </c>
      <c r="G372">
        <v>5</v>
      </c>
      <c r="H372" s="13" t="str" cm="1">
        <f t="array" ref="H372">_xlfn.IFS(B372&lt;20,"Low",B372&lt;=40,"Moderate",B372&lt;=60,"High",TRUE,"Very High")</f>
        <v>High</v>
      </c>
    </row>
    <row r="373" spans="1:8" ht="17" x14ac:dyDescent="0.2">
      <c r="A373">
        <v>372</v>
      </c>
      <c r="B373" cm="1">
        <f t="array" ref="B373:G373">_xlfn.XLOOKUP($A373,Instagram_Usage_Lifestyle_Mini_!$A:$A,Instagram_Usage_Lifestyle_Mini_!$W:$AB,"Not Found")</f>
        <v>56.4</v>
      </c>
      <c r="C373">
        <v>2</v>
      </c>
      <c r="D373">
        <v>5</v>
      </c>
      <c r="E373">
        <v>5</v>
      </c>
      <c r="F373">
        <v>3</v>
      </c>
      <c r="G373">
        <v>3</v>
      </c>
      <c r="H373" s="13" t="str" cm="1">
        <f t="array" ref="H373">_xlfn.IFS(B373&lt;20,"Low",B373&lt;=40,"Moderate",B373&lt;=60,"High",TRUE,"Very High")</f>
        <v>High</v>
      </c>
    </row>
    <row r="374" spans="1:8" ht="17" x14ac:dyDescent="0.2">
      <c r="A374">
        <v>373</v>
      </c>
      <c r="B374" cm="1">
        <f t="array" ref="B374:G374">_xlfn.XLOOKUP($A374,Instagram_Usage_Lifestyle_Mini_!$A:$A,Instagram_Usage_Lifestyle_Mini_!$W:$AB,"Not Found")</f>
        <v>51.1</v>
      </c>
      <c r="C374">
        <v>0</v>
      </c>
      <c r="D374">
        <v>4</v>
      </c>
      <c r="E374">
        <v>8</v>
      </c>
      <c r="F374">
        <v>4.5</v>
      </c>
      <c r="G374">
        <v>3</v>
      </c>
      <c r="H374" s="13" t="str" cm="1">
        <f t="array" ref="H374">_xlfn.IFS(B374&lt;20,"Low",B374&lt;=40,"Moderate",B374&lt;=60,"High",TRUE,"Very High")</f>
        <v>High</v>
      </c>
    </row>
    <row r="375" spans="1:8" ht="17" x14ac:dyDescent="0.2">
      <c r="A375">
        <v>374</v>
      </c>
      <c r="B375" cm="1">
        <f t="array" ref="B375:G375">_xlfn.XLOOKUP($A375,Instagram_Usage_Lifestyle_Mini_!$A:$A,Instagram_Usage_Lifestyle_Mini_!$W:$AB,"Not Found")</f>
        <v>29.7</v>
      </c>
      <c r="C375">
        <v>6</v>
      </c>
      <c r="D375">
        <v>6</v>
      </c>
      <c r="E375">
        <v>12</v>
      </c>
      <c r="F375">
        <v>4.3</v>
      </c>
      <c r="G375">
        <v>2</v>
      </c>
      <c r="H375" s="13" t="str" cm="1">
        <f t="array" ref="H375">_xlfn.IFS(B375&lt;20,"Low",B375&lt;=40,"Moderate",B375&lt;=60,"High",TRUE,"Very High")</f>
        <v>Moderate</v>
      </c>
    </row>
    <row r="376" spans="1:8" ht="17" x14ac:dyDescent="0.2">
      <c r="A376">
        <v>375</v>
      </c>
      <c r="B376" cm="1">
        <f t="array" ref="B376:G376">_xlfn.XLOOKUP($A376,Instagram_Usage_Lifestyle_Mini_!$A:$A,Instagram_Usage_Lifestyle_Mini_!$W:$AB,"Not Found")</f>
        <v>43.4</v>
      </c>
      <c r="C376">
        <v>5</v>
      </c>
      <c r="D376">
        <v>8</v>
      </c>
      <c r="E376">
        <v>10</v>
      </c>
      <c r="F376">
        <v>8</v>
      </c>
      <c r="G376">
        <v>2</v>
      </c>
      <c r="H376" s="13" t="str" cm="1">
        <f t="array" ref="H376">_xlfn.IFS(B376&lt;20,"Low",B376&lt;=40,"Moderate",B376&lt;=60,"High",TRUE,"Very High")</f>
        <v>High</v>
      </c>
    </row>
    <row r="377" spans="1:8" ht="17" x14ac:dyDescent="0.2">
      <c r="A377">
        <v>376</v>
      </c>
      <c r="B377" cm="1">
        <f t="array" ref="B377:G377">_xlfn.XLOOKUP($A377,Instagram_Usage_Lifestyle_Mini_!$A:$A,Instagram_Usage_Lifestyle_Mini_!$W:$AB,"Not Found")</f>
        <v>33.5</v>
      </c>
      <c r="C377">
        <v>1</v>
      </c>
      <c r="D377">
        <v>5</v>
      </c>
      <c r="E377">
        <v>10</v>
      </c>
      <c r="F377">
        <v>3.9</v>
      </c>
      <c r="G377">
        <v>2</v>
      </c>
      <c r="H377" s="13" t="str" cm="1">
        <f t="array" ref="H377">_xlfn.IFS(B377&lt;20,"Low",B377&lt;=40,"Moderate",B377&lt;=60,"High",TRUE,"Very High")</f>
        <v>Moderate</v>
      </c>
    </row>
    <row r="378" spans="1:8" ht="17" x14ac:dyDescent="0.2">
      <c r="A378">
        <v>377</v>
      </c>
      <c r="B378" cm="1">
        <f t="array" ref="B378:G378">_xlfn.XLOOKUP($A378,Instagram_Usage_Lifestyle_Mini_!$A:$A,Instagram_Usage_Lifestyle_Mini_!$W:$AB,"Not Found")</f>
        <v>49.7</v>
      </c>
      <c r="C378">
        <v>4</v>
      </c>
      <c r="D378">
        <v>1</v>
      </c>
      <c r="E378">
        <v>11</v>
      </c>
      <c r="F378">
        <v>1.1000000000000001</v>
      </c>
      <c r="G378">
        <v>1</v>
      </c>
      <c r="H378" s="13" t="str" cm="1">
        <f t="array" ref="H378">_xlfn.IFS(B378&lt;20,"Low",B378&lt;=40,"Moderate",B378&lt;=60,"High",TRUE,"Very High")</f>
        <v>High</v>
      </c>
    </row>
    <row r="379" spans="1:8" ht="17" x14ac:dyDescent="0.2">
      <c r="A379">
        <v>378</v>
      </c>
      <c r="B379" cm="1">
        <f t="array" ref="B379:G379">_xlfn.XLOOKUP($A379,Instagram_Usage_Lifestyle_Mini_!$A:$A,Instagram_Usage_Lifestyle_Mini_!$W:$AB,"Not Found")</f>
        <v>56</v>
      </c>
      <c r="C379">
        <v>0</v>
      </c>
      <c r="D379">
        <v>7</v>
      </c>
      <c r="E379">
        <v>5</v>
      </c>
      <c r="F379">
        <v>4.4000000000000004</v>
      </c>
      <c r="G379">
        <v>1</v>
      </c>
      <c r="H379" s="13" t="str" cm="1">
        <f t="array" ref="H379">_xlfn.IFS(B379&lt;20,"Low",B379&lt;=40,"Moderate",B379&lt;=60,"High",TRUE,"Very High")</f>
        <v>High</v>
      </c>
    </row>
    <row r="380" spans="1:8" ht="17" x14ac:dyDescent="0.2">
      <c r="A380">
        <v>379</v>
      </c>
      <c r="B380" cm="1">
        <f t="array" ref="B380:G380">_xlfn.XLOOKUP($A380,Instagram_Usage_Lifestyle_Mini_!$A:$A,Instagram_Usage_Lifestyle_Mini_!$W:$AB,"Not Found")</f>
        <v>50.1</v>
      </c>
      <c r="C380">
        <v>0</v>
      </c>
      <c r="D380">
        <v>6</v>
      </c>
      <c r="E380">
        <v>7</v>
      </c>
      <c r="F380">
        <v>6.2</v>
      </c>
      <c r="G380">
        <v>3</v>
      </c>
      <c r="H380" s="13" t="str" cm="1">
        <f t="array" ref="H380">_xlfn.IFS(B380&lt;20,"Low",B380&lt;=40,"Moderate",B380&lt;=60,"High",TRUE,"Very High")</f>
        <v>High</v>
      </c>
    </row>
    <row r="381" spans="1:8" ht="17" x14ac:dyDescent="0.2">
      <c r="A381">
        <v>380</v>
      </c>
      <c r="B381" cm="1">
        <f t="array" ref="B381:G381">_xlfn.XLOOKUP($A381,Instagram_Usage_Lifestyle_Mini_!$A:$A,Instagram_Usage_Lifestyle_Mini_!$W:$AB,"Not Found")</f>
        <v>41.9</v>
      </c>
      <c r="C381">
        <v>3</v>
      </c>
      <c r="D381">
        <v>4</v>
      </c>
      <c r="E381">
        <v>13</v>
      </c>
      <c r="F381">
        <v>8.5</v>
      </c>
      <c r="G381">
        <v>2</v>
      </c>
      <c r="H381" s="13" t="str" cm="1">
        <f t="array" ref="H381">_xlfn.IFS(B381&lt;20,"Low",B381&lt;=40,"Moderate",B381&lt;=60,"High",TRUE,"Very High")</f>
        <v>High</v>
      </c>
    </row>
    <row r="382" spans="1:8" ht="17" x14ac:dyDescent="0.2">
      <c r="A382">
        <v>381</v>
      </c>
      <c r="B382" cm="1">
        <f t="array" ref="B382:G382">_xlfn.XLOOKUP($A382,Instagram_Usage_Lifestyle_Mini_!$A:$A,Instagram_Usage_Lifestyle_Mini_!$W:$AB,"Not Found")</f>
        <v>46.6</v>
      </c>
      <c r="C382">
        <v>2</v>
      </c>
      <c r="D382">
        <v>5</v>
      </c>
      <c r="E382">
        <v>7</v>
      </c>
      <c r="F382">
        <v>2</v>
      </c>
      <c r="G382">
        <v>2</v>
      </c>
      <c r="H382" s="13" t="str" cm="1">
        <f t="array" ref="H382">_xlfn.IFS(B382&lt;20,"Low",B382&lt;=40,"Moderate",B382&lt;=60,"High",TRUE,"Very High")</f>
        <v>High</v>
      </c>
    </row>
    <row r="383" spans="1:8" ht="17" x14ac:dyDescent="0.2">
      <c r="A383">
        <v>382</v>
      </c>
      <c r="B383" cm="1">
        <f t="array" ref="B383:G383">_xlfn.XLOOKUP($A383,Instagram_Usage_Lifestyle_Mini_!$A:$A,Instagram_Usage_Lifestyle_Mini_!$W:$AB,"Not Found")</f>
        <v>37</v>
      </c>
      <c r="C383">
        <v>4</v>
      </c>
      <c r="D383">
        <v>2</v>
      </c>
      <c r="E383">
        <v>5</v>
      </c>
      <c r="F383">
        <v>3</v>
      </c>
      <c r="G383">
        <v>6</v>
      </c>
      <c r="H383" s="13" t="str" cm="1">
        <f t="array" ref="H383">_xlfn.IFS(B383&lt;20,"Low",B383&lt;=40,"Moderate",B383&lt;=60,"High",TRUE,"Very High")</f>
        <v>Moderate</v>
      </c>
    </row>
    <row r="384" spans="1:8" ht="17" x14ac:dyDescent="0.2">
      <c r="A384">
        <v>383</v>
      </c>
      <c r="B384" cm="1">
        <f t="array" ref="B384:G384">_xlfn.XLOOKUP($A384,Instagram_Usage_Lifestyle_Mini_!$A:$A,Instagram_Usage_Lifestyle_Mini_!$W:$AB,"Not Found")</f>
        <v>38.5</v>
      </c>
      <c r="C384">
        <v>2</v>
      </c>
      <c r="D384">
        <v>4</v>
      </c>
      <c r="E384">
        <v>6</v>
      </c>
      <c r="F384">
        <v>2</v>
      </c>
      <c r="G384">
        <v>4</v>
      </c>
      <c r="H384" s="13" t="str" cm="1">
        <f t="array" ref="H384">_xlfn.IFS(B384&lt;20,"Low",B384&lt;=40,"Moderate",B384&lt;=60,"High",TRUE,"Very High")</f>
        <v>Moderate</v>
      </c>
    </row>
    <row r="385" spans="1:8" ht="17" x14ac:dyDescent="0.2">
      <c r="A385">
        <v>384</v>
      </c>
      <c r="B385" cm="1">
        <f t="array" ref="B385:G385">_xlfn.XLOOKUP($A385,Instagram_Usage_Lifestyle_Mini_!$A:$A,Instagram_Usage_Lifestyle_Mini_!$W:$AB,"Not Found")</f>
        <v>44.8</v>
      </c>
      <c r="C385">
        <v>6</v>
      </c>
      <c r="D385">
        <v>1</v>
      </c>
      <c r="E385">
        <v>7</v>
      </c>
      <c r="F385">
        <v>6.1</v>
      </c>
      <c r="G385">
        <v>1</v>
      </c>
      <c r="H385" s="13" t="str" cm="1">
        <f t="array" ref="H385">_xlfn.IFS(B385&lt;20,"Low",B385&lt;=40,"Moderate",B385&lt;=60,"High",TRUE,"Very High")</f>
        <v>High</v>
      </c>
    </row>
    <row r="386" spans="1:8" ht="17" x14ac:dyDescent="0.2">
      <c r="A386">
        <v>385</v>
      </c>
      <c r="B386" cm="1">
        <f t="array" ref="B386:G386">_xlfn.XLOOKUP($A386,Instagram_Usage_Lifestyle_Mini_!$A:$A,Instagram_Usage_Lifestyle_Mini_!$W:$AB,"Not Found")</f>
        <v>41.7</v>
      </c>
      <c r="C386">
        <v>3</v>
      </c>
      <c r="D386">
        <v>7</v>
      </c>
      <c r="E386">
        <v>13</v>
      </c>
      <c r="F386">
        <v>4.8</v>
      </c>
      <c r="G386">
        <v>3</v>
      </c>
      <c r="H386" s="13" t="str" cm="1">
        <f t="array" ref="H386">_xlfn.IFS(B386&lt;20,"Low",B386&lt;=40,"Moderate",B386&lt;=60,"High",TRUE,"Very High")</f>
        <v>High</v>
      </c>
    </row>
    <row r="387" spans="1:8" ht="17" x14ac:dyDescent="0.2">
      <c r="A387">
        <v>386</v>
      </c>
      <c r="B387" cm="1">
        <f t="array" ref="B387:G387">_xlfn.XLOOKUP($A387,Instagram_Usage_Lifestyle_Mini_!$A:$A,Instagram_Usage_Lifestyle_Mini_!$W:$AB,"Not Found")</f>
        <v>44</v>
      </c>
      <c r="C387">
        <v>4</v>
      </c>
      <c r="D387">
        <v>3</v>
      </c>
      <c r="E387">
        <v>11</v>
      </c>
      <c r="F387">
        <v>6.4</v>
      </c>
      <c r="G387">
        <v>4</v>
      </c>
      <c r="H387" s="13" t="str" cm="1">
        <f t="array" ref="H387">_xlfn.IFS(B387&lt;20,"Low",B387&lt;=40,"Moderate",B387&lt;=60,"High",TRUE,"Very High")</f>
        <v>High</v>
      </c>
    </row>
    <row r="388" spans="1:8" ht="17" x14ac:dyDescent="0.2">
      <c r="A388">
        <v>387</v>
      </c>
      <c r="B388" cm="1">
        <f t="array" ref="B388:G388">_xlfn.XLOOKUP($A388,Instagram_Usage_Lifestyle_Mini_!$A:$A,Instagram_Usage_Lifestyle_Mini_!$W:$AB,"Not Found")</f>
        <v>66</v>
      </c>
      <c r="C388">
        <v>3</v>
      </c>
      <c r="D388">
        <v>3</v>
      </c>
      <c r="E388">
        <v>10</v>
      </c>
      <c r="F388">
        <v>2.4</v>
      </c>
      <c r="G388">
        <v>4</v>
      </c>
      <c r="H388" s="13" t="str" cm="1">
        <f t="array" ref="H388">_xlfn.IFS(B388&lt;20,"Low",B388&lt;=40,"Moderate",B388&lt;=60,"High",TRUE,"Very High")</f>
        <v>Very High</v>
      </c>
    </row>
    <row r="389" spans="1:8" ht="17" x14ac:dyDescent="0.2">
      <c r="A389">
        <v>388</v>
      </c>
      <c r="B389" cm="1">
        <f t="array" ref="B389:G389">_xlfn.XLOOKUP($A389,Instagram_Usage_Lifestyle_Mini_!$A:$A,Instagram_Usage_Lifestyle_Mini_!$W:$AB,"Not Found")</f>
        <v>31.1</v>
      </c>
      <c r="C389">
        <v>2</v>
      </c>
      <c r="D389">
        <v>5</v>
      </c>
      <c r="E389">
        <v>10</v>
      </c>
      <c r="F389">
        <v>7.9</v>
      </c>
      <c r="G389">
        <v>0</v>
      </c>
      <c r="H389" s="13" t="str" cm="1">
        <f t="array" ref="H389">_xlfn.IFS(B389&lt;20,"Low",B389&lt;=40,"Moderate",B389&lt;=60,"High",TRUE,"Very High")</f>
        <v>Moderate</v>
      </c>
    </row>
    <row r="390" spans="1:8" ht="17" x14ac:dyDescent="0.2">
      <c r="A390">
        <v>389</v>
      </c>
      <c r="B390" cm="1">
        <f t="array" ref="B390:G390">_xlfn.XLOOKUP($A390,Instagram_Usage_Lifestyle_Mini_!$A:$A,Instagram_Usage_Lifestyle_Mini_!$W:$AB,"Not Found")</f>
        <v>22.4</v>
      </c>
      <c r="C390">
        <v>6</v>
      </c>
      <c r="D390">
        <v>3</v>
      </c>
      <c r="E390">
        <v>10</v>
      </c>
      <c r="F390">
        <v>1.4</v>
      </c>
      <c r="G390">
        <v>4</v>
      </c>
      <c r="H390" s="13" t="str" cm="1">
        <f t="array" ref="H390">_xlfn.IFS(B390&lt;20,"Low",B390&lt;=40,"Moderate",B390&lt;=60,"High",TRUE,"Very High")</f>
        <v>Moderate</v>
      </c>
    </row>
    <row r="391" spans="1:8" ht="17" x14ac:dyDescent="0.2">
      <c r="A391">
        <v>390</v>
      </c>
      <c r="B391" cm="1">
        <f t="array" ref="B391:G391">_xlfn.XLOOKUP($A391,Instagram_Usage_Lifestyle_Mini_!$A:$A,Instagram_Usage_Lifestyle_Mini_!$W:$AB,"Not Found")</f>
        <v>40.6</v>
      </c>
      <c r="C391">
        <v>1</v>
      </c>
      <c r="D391">
        <v>1</v>
      </c>
      <c r="E391">
        <v>13</v>
      </c>
      <c r="F391">
        <v>1.1000000000000001</v>
      </c>
      <c r="G391">
        <v>4</v>
      </c>
      <c r="H391" s="13" t="str" cm="1">
        <f t="array" ref="H391">_xlfn.IFS(B391&lt;20,"Low",B391&lt;=40,"Moderate",B391&lt;=60,"High",TRUE,"Very High")</f>
        <v>High</v>
      </c>
    </row>
    <row r="392" spans="1:8" ht="17" x14ac:dyDescent="0.2">
      <c r="A392">
        <v>391</v>
      </c>
      <c r="B392" cm="1">
        <f t="array" ref="B392:G392">_xlfn.XLOOKUP($A392,Instagram_Usage_Lifestyle_Mini_!$A:$A,Instagram_Usage_Lifestyle_Mini_!$W:$AB,"Not Found")</f>
        <v>42.8</v>
      </c>
      <c r="C392">
        <v>0</v>
      </c>
      <c r="D392">
        <v>7</v>
      </c>
      <c r="E392">
        <v>12</v>
      </c>
      <c r="F392">
        <v>1.9</v>
      </c>
      <c r="G392">
        <v>1</v>
      </c>
      <c r="H392" s="13" t="str" cm="1">
        <f t="array" ref="H392">_xlfn.IFS(B392&lt;20,"Low",B392&lt;=40,"Moderate",B392&lt;=60,"High",TRUE,"Very High")</f>
        <v>High</v>
      </c>
    </row>
    <row r="393" spans="1:8" ht="17" x14ac:dyDescent="0.2">
      <c r="A393">
        <v>392</v>
      </c>
      <c r="B393" cm="1">
        <f t="array" ref="B393:G393">_xlfn.XLOOKUP($A393,Instagram_Usage_Lifestyle_Mini_!$A:$A,Instagram_Usage_Lifestyle_Mini_!$W:$AB,"Not Found")</f>
        <v>18.5</v>
      </c>
      <c r="C393">
        <v>2</v>
      </c>
      <c r="D393">
        <v>4</v>
      </c>
      <c r="E393">
        <v>8</v>
      </c>
      <c r="F393">
        <v>4.8</v>
      </c>
      <c r="G393">
        <v>2</v>
      </c>
      <c r="H393" s="13" t="str" cm="1">
        <f t="array" ref="H393">_xlfn.IFS(B393&lt;20,"Low",B393&lt;=40,"Moderate",B393&lt;=60,"High",TRUE,"Very High")</f>
        <v>Low</v>
      </c>
    </row>
    <row r="394" spans="1:8" ht="17" x14ac:dyDescent="0.2">
      <c r="A394">
        <v>393</v>
      </c>
      <c r="B394" cm="1">
        <f t="array" ref="B394:G394">_xlfn.XLOOKUP($A394,Instagram_Usage_Lifestyle_Mini_!$A:$A,Instagram_Usage_Lifestyle_Mini_!$W:$AB,"Not Found")</f>
        <v>38.6</v>
      </c>
      <c r="C394">
        <v>3</v>
      </c>
      <c r="D394">
        <v>1</v>
      </c>
      <c r="E394">
        <v>9</v>
      </c>
      <c r="F394">
        <v>7.7</v>
      </c>
      <c r="G394">
        <v>2</v>
      </c>
      <c r="H394" s="13" t="str" cm="1">
        <f t="array" ref="H394">_xlfn.IFS(B394&lt;20,"Low",B394&lt;=40,"Moderate",B394&lt;=60,"High",TRUE,"Very High")</f>
        <v>Moderate</v>
      </c>
    </row>
    <row r="395" spans="1:8" ht="17" x14ac:dyDescent="0.2">
      <c r="A395">
        <v>394</v>
      </c>
      <c r="B395" cm="1">
        <f t="array" ref="B395:G395">_xlfn.XLOOKUP($A395,Instagram_Usage_Lifestyle_Mini_!$A:$A,Instagram_Usage_Lifestyle_Mini_!$W:$AB,"Not Found")</f>
        <v>46.6</v>
      </c>
      <c r="C395">
        <v>3</v>
      </c>
      <c r="D395">
        <v>7</v>
      </c>
      <c r="E395">
        <v>2</v>
      </c>
      <c r="F395">
        <v>0.9</v>
      </c>
      <c r="G395">
        <v>7</v>
      </c>
      <c r="H395" s="13" t="str" cm="1">
        <f t="array" ref="H395">_xlfn.IFS(B395&lt;20,"Low",B395&lt;=40,"Moderate",B395&lt;=60,"High",TRUE,"Very High")</f>
        <v>High</v>
      </c>
    </row>
    <row r="396" spans="1:8" ht="17" x14ac:dyDescent="0.2">
      <c r="A396">
        <v>395</v>
      </c>
      <c r="B396" cm="1">
        <f t="array" ref="B396:G396">_xlfn.XLOOKUP($A396,Instagram_Usage_Lifestyle_Mini_!$A:$A,Instagram_Usage_Lifestyle_Mini_!$W:$AB,"Not Found")</f>
        <v>45</v>
      </c>
      <c r="C396">
        <v>2</v>
      </c>
      <c r="D396">
        <v>4</v>
      </c>
      <c r="E396">
        <v>7</v>
      </c>
      <c r="F396">
        <v>1.6</v>
      </c>
      <c r="G396">
        <v>2</v>
      </c>
      <c r="H396" s="13" t="str" cm="1">
        <f t="array" ref="H396">_xlfn.IFS(B396&lt;20,"Low",B396&lt;=40,"Moderate",B396&lt;=60,"High",TRUE,"Very High")</f>
        <v>High</v>
      </c>
    </row>
    <row r="397" spans="1:8" ht="17" x14ac:dyDescent="0.2">
      <c r="A397">
        <v>396</v>
      </c>
      <c r="B397" cm="1">
        <f t="array" ref="B397:G397">_xlfn.XLOOKUP($A397,Instagram_Usage_Lifestyle_Mini_!$A:$A,Instagram_Usage_Lifestyle_Mini_!$W:$AB,"Not Found")</f>
        <v>34.9</v>
      </c>
      <c r="C397">
        <v>7</v>
      </c>
      <c r="D397">
        <v>6</v>
      </c>
      <c r="E397">
        <v>9</v>
      </c>
      <c r="F397">
        <v>5.0999999999999996</v>
      </c>
      <c r="G397">
        <v>1</v>
      </c>
      <c r="H397" s="13" t="str" cm="1">
        <f t="array" ref="H397">_xlfn.IFS(B397&lt;20,"Low",B397&lt;=40,"Moderate",B397&lt;=60,"High",TRUE,"Very High")</f>
        <v>Moderate</v>
      </c>
    </row>
    <row r="398" spans="1:8" ht="17" x14ac:dyDescent="0.2">
      <c r="A398">
        <v>397</v>
      </c>
      <c r="B398" cm="1">
        <f t="array" ref="B398:G398">_xlfn.XLOOKUP($A398,Instagram_Usage_Lifestyle_Mini_!$A:$A,Instagram_Usage_Lifestyle_Mini_!$W:$AB,"Not Found")</f>
        <v>32.5</v>
      </c>
      <c r="C398">
        <v>4</v>
      </c>
      <c r="D398">
        <v>6</v>
      </c>
      <c r="E398">
        <v>12</v>
      </c>
      <c r="F398">
        <v>7.3</v>
      </c>
      <c r="G398">
        <v>5</v>
      </c>
      <c r="H398" s="13" t="str" cm="1">
        <f t="array" ref="H398">_xlfn.IFS(B398&lt;20,"Low",B398&lt;=40,"Moderate",B398&lt;=60,"High",TRUE,"Very High")</f>
        <v>Moderate</v>
      </c>
    </row>
    <row r="399" spans="1:8" ht="17" x14ac:dyDescent="0.2">
      <c r="A399">
        <v>398</v>
      </c>
      <c r="B399" cm="1">
        <f t="array" ref="B399:G399">_xlfn.XLOOKUP($A399,Instagram_Usage_Lifestyle_Mini_!$A:$A,Instagram_Usage_Lifestyle_Mini_!$W:$AB,"Not Found")</f>
        <v>58.7</v>
      </c>
      <c r="C399">
        <v>6</v>
      </c>
      <c r="D399">
        <v>2</v>
      </c>
      <c r="E399">
        <v>17</v>
      </c>
      <c r="F399">
        <v>5.0999999999999996</v>
      </c>
      <c r="G399">
        <v>3</v>
      </c>
      <c r="H399" s="13" t="str" cm="1">
        <f t="array" ref="H399">_xlfn.IFS(B399&lt;20,"Low",B399&lt;=40,"Moderate",B399&lt;=60,"High",TRUE,"Very High")</f>
        <v>High</v>
      </c>
    </row>
    <row r="400" spans="1:8" ht="17" x14ac:dyDescent="0.2">
      <c r="A400">
        <v>399</v>
      </c>
      <c r="B400" cm="1">
        <f t="array" ref="B400:G400">_xlfn.XLOOKUP($A400,Instagram_Usage_Lifestyle_Mini_!$A:$A,Instagram_Usage_Lifestyle_Mini_!$W:$AB,"Not Found")</f>
        <v>41.1</v>
      </c>
      <c r="C400">
        <v>1</v>
      </c>
      <c r="D400">
        <v>3</v>
      </c>
      <c r="E400">
        <v>9</v>
      </c>
      <c r="F400">
        <v>3.8</v>
      </c>
      <c r="G400">
        <v>2</v>
      </c>
      <c r="H400" s="13" t="str" cm="1">
        <f t="array" ref="H400">_xlfn.IFS(B400&lt;20,"Low",B400&lt;=40,"Moderate",B400&lt;=60,"High",TRUE,"Very High")</f>
        <v>High</v>
      </c>
    </row>
    <row r="401" spans="1:8" ht="17" x14ac:dyDescent="0.2">
      <c r="A401">
        <v>400</v>
      </c>
      <c r="B401" cm="1">
        <f t="array" ref="B401:G401">_xlfn.XLOOKUP($A401,Instagram_Usage_Lifestyle_Mini_!$A:$A,Instagram_Usage_Lifestyle_Mini_!$W:$AB,"Not Found")</f>
        <v>37.299999999999997</v>
      </c>
      <c r="C401">
        <v>2</v>
      </c>
      <c r="D401">
        <v>3</v>
      </c>
      <c r="E401">
        <v>6</v>
      </c>
      <c r="F401">
        <v>2.1</v>
      </c>
      <c r="G401">
        <v>2</v>
      </c>
      <c r="H401" s="13" t="str" cm="1">
        <f t="array" ref="H401">_xlfn.IFS(B401&lt;20,"Low",B401&lt;=40,"Moderate",B401&lt;=60,"High",TRUE,"Very High")</f>
        <v>Moderate</v>
      </c>
    </row>
    <row r="402" spans="1:8" ht="17" x14ac:dyDescent="0.2">
      <c r="A402">
        <v>401</v>
      </c>
      <c r="B402" cm="1">
        <f t="array" ref="B402:G402">_xlfn.XLOOKUP($A402,Instagram_Usage_Lifestyle_Mini_!$A:$A,Instagram_Usage_Lifestyle_Mini_!$W:$AB,"Not Found")</f>
        <v>33.5</v>
      </c>
      <c r="C402">
        <v>2</v>
      </c>
      <c r="D402">
        <v>5</v>
      </c>
      <c r="E402">
        <v>7</v>
      </c>
      <c r="F402">
        <v>2.2000000000000002</v>
      </c>
      <c r="G402">
        <v>2</v>
      </c>
      <c r="H402" s="13" t="str" cm="1">
        <f t="array" ref="H402">_xlfn.IFS(B402&lt;20,"Low",B402&lt;=40,"Moderate",B402&lt;=60,"High",TRUE,"Very High")</f>
        <v>Moderate</v>
      </c>
    </row>
    <row r="403" spans="1:8" ht="17" x14ac:dyDescent="0.2">
      <c r="A403">
        <v>402</v>
      </c>
      <c r="B403" cm="1">
        <f t="array" ref="B403:G403">_xlfn.XLOOKUP($A403,Instagram_Usage_Lifestyle_Mini_!$A:$A,Instagram_Usage_Lifestyle_Mini_!$W:$AB,"Not Found")</f>
        <v>48.1</v>
      </c>
      <c r="C403">
        <v>2</v>
      </c>
      <c r="D403">
        <v>2</v>
      </c>
      <c r="E403">
        <v>11</v>
      </c>
      <c r="F403">
        <v>1.4</v>
      </c>
      <c r="G403">
        <v>5</v>
      </c>
      <c r="H403" s="13" t="str" cm="1">
        <f t="array" ref="H403">_xlfn.IFS(B403&lt;20,"Low",B403&lt;=40,"Moderate",B403&lt;=60,"High",TRUE,"Very High")</f>
        <v>High</v>
      </c>
    </row>
    <row r="404" spans="1:8" ht="17" x14ac:dyDescent="0.2">
      <c r="A404">
        <v>403</v>
      </c>
      <c r="B404" cm="1">
        <f t="array" ref="B404:G404">_xlfn.XLOOKUP($A404,Instagram_Usage_Lifestyle_Mini_!$A:$A,Instagram_Usage_Lifestyle_Mini_!$W:$AB,"Not Found")</f>
        <v>40</v>
      </c>
      <c r="C404">
        <v>4</v>
      </c>
      <c r="D404">
        <v>2</v>
      </c>
      <c r="E404">
        <v>20</v>
      </c>
      <c r="F404">
        <v>3.9</v>
      </c>
      <c r="G404">
        <v>5</v>
      </c>
      <c r="H404" s="13" t="str" cm="1">
        <f t="array" ref="H404">_xlfn.IFS(B404&lt;20,"Low",B404&lt;=40,"Moderate",B404&lt;=60,"High",TRUE,"Very High")</f>
        <v>Moderate</v>
      </c>
    </row>
    <row r="405" spans="1:8" ht="17" x14ac:dyDescent="0.2">
      <c r="A405">
        <v>404</v>
      </c>
      <c r="B405" cm="1">
        <f t="array" ref="B405:G405">_xlfn.XLOOKUP($A405,Instagram_Usage_Lifestyle_Mini_!$A:$A,Instagram_Usage_Lifestyle_Mini_!$W:$AB,"Not Found")</f>
        <v>40.299999999999997</v>
      </c>
      <c r="C405">
        <v>3</v>
      </c>
      <c r="D405">
        <v>2</v>
      </c>
      <c r="E405">
        <v>11</v>
      </c>
      <c r="F405">
        <v>4.3</v>
      </c>
      <c r="G405">
        <v>2</v>
      </c>
      <c r="H405" s="13" t="str" cm="1">
        <f t="array" ref="H405">_xlfn.IFS(B405&lt;20,"Low",B405&lt;=40,"Moderate",B405&lt;=60,"High",TRUE,"Very High")</f>
        <v>High</v>
      </c>
    </row>
    <row r="406" spans="1:8" ht="17" x14ac:dyDescent="0.2">
      <c r="A406">
        <v>405</v>
      </c>
      <c r="B406" cm="1">
        <f t="array" ref="B406:G406">_xlfn.XLOOKUP($A406,Instagram_Usage_Lifestyle_Mini_!$A:$A,Instagram_Usage_Lifestyle_Mini_!$W:$AB,"Not Found")</f>
        <v>58.3</v>
      </c>
      <c r="C406">
        <v>1</v>
      </c>
      <c r="D406">
        <v>4</v>
      </c>
      <c r="E406">
        <v>14</v>
      </c>
      <c r="F406">
        <v>2.5</v>
      </c>
      <c r="G406">
        <v>2</v>
      </c>
      <c r="H406" s="13" t="str" cm="1">
        <f t="array" ref="H406">_xlfn.IFS(B406&lt;20,"Low",B406&lt;=40,"Moderate",B406&lt;=60,"High",TRUE,"Very High")</f>
        <v>High</v>
      </c>
    </row>
    <row r="407" spans="1:8" ht="17" x14ac:dyDescent="0.2">
      <c r="A407">
        <v>406</v>
      </c>
      <c r="B407" cm="1">
        <f t="array" ref="B407:G407">_xlfn.XLOOKUP($A407,Instagram_Usage_Lifestyle_Mini_!$A:$A,Instagram_Usage_Lifestyle_Mini_!$W:$AB,"Not Found")</f>
        <v>31.6</v>
      </c>
      <c r="C407">
        <v>1</v>
      </c>
      <c r="D407">
        <v>2</v>
      </c>
      <c r="E407">
        <v>12</v>
      </c>
      <c r="F407">
        <v>1.7</v>
      </c>
      <c r="G407">
        <v>3</v>
      </c>
      <c r="H407" s="13" t="str" cm="1">
        <f t="array" ref="H407">_xlfn.IFS(B407&lt;20,"Low",B407&lt;=40,"Moderate",B407&lt;=60,"High",TRUE,"Very High")</f>
        <v>Moderate</v>
      </c>
    </row>
    <row r="408" spans="1:8" ht="17" x14ac:dyDescent="0.2">
      <c r="A408">
        <v>407</v>
      </c>
      <c r="B408" cm="1">
        <f t="array" ref="B408:G408">_xlfn.XLOOKUP($A408,Instagram_Usage_Lifestyle_Mini_!$A:$A,Instagram_Usage_Lifestyle_Mini_!$W:$AB,"Not Found")</f>
        <v>41.6</v>
      </c>
      <c r="C408">
        <v>1</v>
      </c>
      <c r="D408">
        <v>8</v>
      </c>
      <c r="E408">
        <v>10</v>
      </c>
      <c r="F408">
        <v>5.2</v>
      </c>
      <c r="G408">
        <v>3</v>
      </c>
      <c r="H408" s="13" t="str" cm="1">
        <f t="array" ref="H408">_xlfn.IFS(B408&lt;20,"Low",B408&lt;=40,"Moderate",B408&lt;=60,"High",TRUE,"Very High")</f>
        <v>High</v>
      </c>
    </row>
    <row r="409" spans="1:8" ht="17" x14ac:dyDescent="0.2">
      <c r="A409">
        <v>408</v>
      </c>
      <c r="B409" cm="1">
        <f t="array" ref="B409:G409">_xlfn.XLOOKUP($A409,Instagram_Usage_Lifestyle_Mini_!$A:$A,Instagram_Usage_Lifestyle_Mini_!$W:$AB,"Not Found")</f>
        <v>33</v>
      </c>
      <c r="C409">
        <v>3</v>
      </c>
      <c r="D409">
        <v>6</v>
      </c>
      <c r="E409">
        <v>13</v>
      </c>
      <c r="F409">
        <v>3.9</v>
      </c>
      <c r="G409">
        <v>0</v>
      </c>
      <c r="H409" s="13" t="str" cm="1">
        <f t="array" ref="H409">_xlfn.IFS(B409&lt;20,"Low",B409&lt;=40,"Moderate",B409&lt;=60,"High",TRUE,"Very High")</f>
        <v>Moderate</v>
      </c>
    </row>
    <row r="410" spans="1:8" ht="17" x14ac:dyDescent="0.2">
      <c r="A410">
        <v>409</v>
      </c>
      <c r="B410" cm="1">
        <f t="array" ref="B410:G410">_xlfn.XLOOKUP($A410,Instagram_Usage_Lifestyle_Mini_!$A:$A,Instagram_Usage_Lifestyle_Mini_!$W:$AB,"Not Found")</f>
        <v>37</v>
      </c>
      <c r="C410">
        <v>3</v>
      </c>
      <c r="D410">
        <v>5</v>
      </c>
      <c r="E410">
        <v>5</v>
      </c>
      <c r="F410">
        <v>16.3</v>
      </c>
      <c r="G410">
        <v>0</v>
      </c>
      <c r="H410" s="13" t="str" cm="1">
        <f t="array" ref="H410">_xlfn.IFS(B410&lt;20,"Low",B410&lt;=40,"Moderate",B410&lt;=60,"High",TRUE,"Very High")</f>
        <v>Moderate</v>
      </c>
    </row>
    <row r="411" spans="1:8" ht="17" x14ac:dyDescent="0.2">
      <c r="A411">
        <v>410</v>
      </c>
      <c r="B411" cm="1">
        <f t="array" ref="B411:G411">_xlfn.XLOOKUP($A411,Instagram_Usage_Lifestyle_Mini_!$A:$A,Instagram_Usage_Lifestyle_Mini_!$W:$AB,"Not Found")</f>
        <v>33.1</v>
      </c>
      <c r="C411">
        <v>5</v>
      </c>
      <c r="D411">
        <v>2</v>
      </c>
      <c r="E411">
        <v>16</v>
      </c>
      <c r="F411">
        <v>4.4000000000000004</v>
      </c>
      <c r="G411">
        <v>1</v>
      </c>
      <c r="H411" s="13" t="str" cm="1">
        <f t="array" ref="H411">_xlfn.IFS(B411&lt;20,"Low",B411&lt;=40,"Moderate",B411&lt;=60,"High",TRUE,"Very High")</f>
        <v>Moderate</v>
      </c>
    </row>
    <row r="412" spans="1:8" ht="17" x14ac:dyDescent="0.2">
      <c r="A412">
        <v>411</v>
      </c>
      <c r="B412" cm="1">
        <f t="array" ref="B412:G412">_xlfn.XLOOKUP($A412,Instagram_Usage_Lifestyle_Mini_!$A:$A,Instagram_Usage_Lifestyle_Mini_!$W:$AB,"Not Found")</f>
        <v>38.299999999999997</v>
      </c>
      <c r="C412">
        <v>3</v>
      </c>
      <c r="D412">
        <v>5</v>
      </c>
      <c r="E412">
        <v>11</v>
      </c>
      <c r="F412">
        <v>3.6</v>
      </c>
      <c r="G412">
        <v>3</v>
      </c>
      <c r="H412" s="13" t="str" cm="1">
        <f t="array" ref="H412">_xlfn.IFS(B412&lt;20,"Low",B412&lt;=40,"Moderate",B412&lt;=60,"High",TRUE,"Very High")</f>
        <v>Moderate</v>
      </c>
    </row>
    <row r="413" spans="1:8" ht="17" x14ac:dyDescent="0.2">
      <c r="A413">
        <v>412</v>
      </c>
      <c r="B413" cm="1">
        <f t="array" ref="B413:G413">_xlfn.XLOOKUP($A413,Instagram_Usage_Lifestyle_Mini_!$A:$A,Instagram_Usage_Lifestyle_Mini_!$W:$AB,"Not Found")</f>
        <v>35.4</v>
      </c>
      <c r="C413">
        <v>5</v>
      </c>
      <c r="D413">
        <v>5</v>
      </c>
      <c r="E413">
        <v>16</v>
      </c>
      <c r="F413">
        <v>4.5</v>
      </c>
      <c r="G413">
        <v>2</v>
      </c>
      <c r="H413" s="13" t="str" cm="1">
        <f t="array" ref="H413">_xlfn.IFS(B413&lt;20,"Low",B413&lt;=40,"Moderate",B413&lt;=60,"High",TRUE,"Very High")</f>
        <v>Moderate</v>
      </c>
    </row>
    <row r="414" spans="1:8" ht="17" x14ac:dyDescent="0.2">
      <c r="A414">
        <v>413</v>
      </c>
      <c r="B414" cm="1">
        <f t="array" ref="B414:G414">_xlfn.XLOOKUP($A414,Instagram_Usage_Lifestyle_Mini_!$A:$A,Instagram_Usage_Lifestyle_Mini_!$W:$AB,"Not Found")</f>
        <v>46.4</v>
      </c>
      <c r="C414">
        <v>2</v>
      </c>
      <c r="D414">
        <v>8</v>
      </c>
      <c r="E414">
        <v>7</v>
      </c>
      <c r="F414">
        <v>4.2</v>
      </c>
      <c r="G414">
        <v>7</v>
      </c>
      <c r="H414" s="13" t="str" cm="1">
        <f t="array" ref="H414">_xlfn.IFS(B414&lt;20,"Low",B414&lt;=40,"Moderate",B414&lt;=60,"High",TRUE,"Very High")</f>
        <v>High</v>
      </c>
    </row>
    <row r="415" spans="1:8" ht="17" x14ac:dyDescent="0.2">
      <c r="A415">
        <v>414</v>
      </c>
      <c r="B415" cm="1">
        <f t="array" ref="B415:G415">_xlfn.XLOOKUP($A415,Instagram_Usage_Lifestyle_Mini_!$A:$A,Instagram_Usage_Lifestyle_Mini_!$W:$AB,"Not Found")</f>
        <v>36.5</v>
      </c>
      <c r="C415">
        <v>1</v>
      </c>
      <c r="D415">
        <v>6</v>
      </c>
      <c r="E415">
        <v>13</v>
      </c>
      <c r="F415">
        <v>3.6</v>
      </c>
      <c r="G415">
        <v>1</v>
      </c>
      <c r="H415" s="13" t="str" cm="1">
        <f t="array" ref="H415">_xlfn.IFS(B415&lt;20,"Low",B415&lt;=40,"Moderate",B415&lt;=60,"High",TRUE,"Very High")</f>
        <v>Moderate</v>
      </c>
    </row>
    <row r="416" spans="1:8" ht="17" x14ac:dyDescent="0.2">
      <c r="A416">
        <v>415</v>
      </c>
      <c r="B416" cm="1">
        <f t="array" ref="B416:G416">_xlfn.XLOOKUP($A416,Instagram_Usage_Lifestyle_Mini_!$A:$A,Instagram_Usage_Lifestyle_Mini_!$W:$AB,"Not Found")</f>
        <v>39.6</v>
      </c>
      <c r="C416">
        <v>3</v>
      </c>
      <c r="D416">
        <v>9</v>
      </c>
      <c r="E416">
        <v>11</v>
      </c>
      <c r="F416">
        <v>1.6</v>
      </c>
      <c r="G416">
        <v>9</v>
      </c>
      <c r="H416" s="13" t="str" cm="1">
        <f t="array" ref="H416">_xlfn.IFS(B416&lt;20,"Low",B416&lt;=40,"Moderate",B416&lt;=60,"High",TRUE,"Very High")</f>
        <v>Moderate</v>
      </c>
    </row>
    <row r="417" spans="1:8" ht="17" x14ac:dyDescent="0.2">
      <c r="A417">
        <v>416</v>
      </c>
      <c r="B417" cm="1">
        <f t="array" ref="B417:G417">_xlfn.XLOOKUP($A417,Instagram_Usage_Lifestyle_Mini_!$A:$A,Instagram_Usage_Lifestyle_Mini_!$W:$AB,"Not Found")</f>
        <v>44.8</v>
      </c>
      <c r="C417">
        <v>6</v>
      </c>
      <c r="D417">
        <v>8</v>
      </c>
      <c r="E417">
        <v>6</v>
      </c>
      <c r="F417">
        <v>9.1</v>
      </c>
      <c r="G417">
        <v>2</v>
      </c>
      <c r="H417" s="13" t="str" cm="1">
        <f t="array" ref="H417">_xlfn.IFS(B417&lt;20,"Low",B417&lt;=40,"Moderate",B417&lt;=60,"High",TRUE,"Very High")</f>
        <v>High</v>
      </c>
    </row>
    <row r="418" spans="1:8" ht="17" x14ac:dyDescent="0.2">
      <c r="A418">
        <v>417</v>
      </c>
      <c r="B418" cm="1">
        <f t="array" ref="B418:G418">_xlfn.XLOOKUP($A418,Instagram_Usage_Lifestyle_Mini_!$A:$A,Instagram_Usage_Lifestyle_Mini_!$W:$AB,"Not Found")</f>
        <v>31.1</v>
      </c>
      <c r="C418">
        <v>3</v>
      </c>
      <c r="D418">
        <v>0</v>
      </c>
      <c r="E418">
        <v>11</v>
      </c>
      <c r="F418">
        <v>3.3</v>
      </c>
      <c r="G418">
        <v>4</v>
      </c>
      <c r="H418" s="13" t="str" cm="1">
        <f t="array" ref="H418">_xlfn.IFS(B418&lt;20,"Low",B418&lt;=40,"Moderate",B418&lt;=60,"High",TRUE,"Very High")</f>
        <v>Moderate</v>
      </c>
    </row>
    <row r="419" spans="1:8" ht="17" x14ac:dyDescent="0.2">
      <c r="A419">
        <v>418</v>
      </c>
      <c r="B419" cm="1">
        <f t="array" ref="B419:G419">_xlfn.XLOOKUP($A419,Instagram_Usage_Lifestyle_Mini_!$A:$A,Instagram_Usage_Lifestyle_Mini_!$W:$AB,"Not Found")</f>
        <v>38.700000000000003</v>
      </c>
      <c r="C419">
        <v>5</v>
      </c>
      <c r="D419">
        <v>4</v>
      </c>
      <c r="E419">
        <v>10</v>
      </c>
      <c r="F419">
        <v>3.5</v>
      </c>
      <c r="G419">
        <v>4</v>
      </c>
      <c r="H419" s="13" t="str" cm="1">
        <f t="array" ref="H419">_xlfn.IFS(B419&lt;20,"Low",B419&lt;=40,"Moderate",B419&lt;=60,"High",TRUE,"Very High")</f>
        <v>Moderate</v>
      </c>
    </row>
    <row r="420" spans="1:8" ht="17" x14ac:dyDescent="0.2">
      <c r="A420">
        <v>419</v>
      </c>
      <c r="B420" cm="1">
        <f t="array" ref="B420:G420">_xlfn.XLOOKUP($A420,Instagram_Usage_Lifestyle_Mini_!$A:$A,Instagram_Usage_Lifestyle_Mini_!$W:$AB,"Not Found")</f>
        <v>40.5</v>
      </c>
      <c r="C420">
        <v>2</v>
      </c>
      <c r="D420">
        <v>4</v>
      </c>
      <c r="E420">
        <v>8</v>
      </c>
      <c r="F420">
        <v>5</v>
      </c>
      <c r="G420">
        <v>4</v>
      </c>
      <c r="H420" s="13" t="str" cm="1">
        <f t="array" ref="H420">_xlfn.IFS(B420&lt;20,"Low",B420&lt;=40,"Moderate",B420&lt;=60,"High",TRUE,"Very High")</f>
        <v>High</v>
      </c>
    </row>
    <row r="421" spans="1:8" ht="17" x14ac:dyDescent="0.2">
      <c r="A421">
        <v>420</v>
      </c>
      <c r="B421" cm="1">
        <f t="array" ref="B421:G421">_xlfn.XLOOKUP($A421,Instagram_Usage_Lifestyle_Mini_!$A:$A,Instagram_Usage_Lifestyle_Mini_!$W:$AB,"Not Found")</f>
        <v>37.6</v>
      </c>
      <c r="C421">
        <v>6</v>
      </c>
      <c r="D421">
        <v>7</v>
      </c>
      <c r="E421">
        <v>10</v>
      </c>
      <c r="F421">
        <v>1.8</v>
      </c>
      <c r="G421">
        <v>3</v>
      </c>
      <c r="H421" s="13" t="str" cm="1">
        <f t="array" ref="H421">_xlfn.IFS(B421&lt;20,"Low",B421&lt;=40,"Moderate",B421&lt;=60,"High",TRUE,"Very High")</f>
        <v>Moderate</v>
      </c>
    </row>
    <row r="422" spans="1:8" ht="17" x14ac:dyDescent="0.2">
      <c r="A422">
        <v>421</v>
      </c>
      <c r="B422" cm="1">
        <f t="array" ref="B422:G422">_xlfn.XLOOKUP($A422,Instagram_Usage_Lifestyle_Mini_!$A:$A,Instagram_Usage_Lifestyle_Mini_!$W:$AB,"Not Found")</f>
        <v>48.1</v>
      </c>
      <c r="C422">
        <v>6</v>
      </c>
      <c r="D422">
        <v>3</v>
      </c>
      <c r="E422">
        <v>7</v>
      </c>
      <c r="F422">
        <v>2.2000000000000002</v>
      </c>
      <c r="G422">
        <v>1</v>
      </c>
      <c r="H422" s="13" t="str" cm="1">
        <f t="array" ref="H422">_xlfn.IFS(B422&lt;20,"Low",B422&lt;=40,"Moderate",B422&lt;=60,"High",TRUE,"Very High")</f>
        <v>High</v>
      </c>
    </row>
    <row r="423" spans="1:8" ht="17" x14ac:dyDescent="0.2">
      <c r="A423">
        <v>422</v>
      </c>
      <c r="B423" cm="1">
        <f t="array" ref="B423:G423">_xlfn.XLOOKUP($A423,Instagram_Usage_Lifestyle_Mini_!$A:$A,Instagram_Usage_Lifestyle_Mini_!$W:$AB,"Not Found")</f>
        <v>33.200000000000003</v>
      </c>
      <c r="C423">
        <v>2</v>
      </c>
      <c r="D423">
        <v>2</v>
      </c>
      <c r="E423">
        <v>14</v>
      </c>
      <c r="F423">
        <v>11.1</v>
      </c>
      <c r="G423">
        <v>5</v>
      </c>
      <c r="H423" s="13" t="str" cm="1">
        <f t="array" ref="H423">_xlfn.IFS(B423&lt;20,"Low",B423&lt;=40,"Moderate",B423&lt;=60,"High",TRUE,"Very High")</f>
        <v>Moderate</v>
      </c>
    </row>
    <row r="424" spans="1:8" ht="17" x14ac:dyDescent="0.2">
      <c r="A424">
        <v>423</v>
      </c>
      <c r="B424" cm="1">
        <f t="array" ref="B424:G424">_xlfn.XLOOKUP($A424,Instagram_Usage_Lifestyle_Mini_!$A:$A,Instagram_Usage_Lifestyle_Mini_!$W:$AB,"Not Found")</f>
        <v>37.799999999999997</v>
      </c>
      <c r="C424">
        <v>4</v>
      </c>
      <c r="D424">
        <v>7</v>
      </c>
      <c r="E424">
        <v>12</v>
      </c>
      <c r="F424">
        <v>3.9</v>
      </c>
      <c r="G424">
        <v>4</v>
      </c>
      <c r="H424" s="13" t="str" cm="1">
        <f t="array" ref="H424">_xlfn.IFS(B424&lt;20,"Low",B424&lt;=40,"Moderate",B424&lt;=60,"High",TRUE,"Very High")</f>
        <v>Moderate</v>
      </c>
    </row>
    <row r="425" spans="1:8" ht="17" x14ac:dyDescent="0.2">
      <c r="A425">
        <v>424</v>
      </c>
      <c r="B425" cm="1">
        <f t="array" ref="B425:G425">_xlfn.XLOOKUP($A425,Instagram_Usage_Lifestyle_Mini_!$A:$A,Instagram_Usage_Lifestyle_Mini_!$W:$AB,"Not Found")</f>
        <v>39.700000000000003</v>
      </c>
      <c r="C425">
        <v>5</v>
      </c>
      <c r="D425">
        <v>4</v>
      </c>
      <c r="E425">
        <v>16</v>
      </c>
      <c r="F425">
        <v>1</v>
      </c>
      <c r="G425">
        <v>1</v>
      </c>
      <c r="H425" s="13" t="str" cm="1">
        <f t="array" ref="H425">_xlfn.IFS(B425&lt;20,"Low",B425&lt;=40,"Moderate",B425&lt;=60,"High",TRUE,"Very High")</f>
        <v>Moderate</v>
      </c>
    </row>
    <row r="426" spans="1:8" ht="17" x14ac:dyDescent="0.2">
      <c r="A426">
        <v>425</v>
      </c>
      <c r="B426" cm="1">
        <f t="array" ref="B426:G426">_xlfn.XLOOKUP($A426,Instagram_Usage_Lifestyle_Mini_!$A:$A,Instagram_Usage_Lifestyle_Mini_!$W:$AB,"Not Found")</f>
        <v>26.3</v>
      </c>
      <c r="C426">
        <v>2</v>
      </c>
      <c r="D426">
        <v>2</v>
      </c>
      <c r="E426">
        <v>11</v>
      </c>
      <c r="F426">
        <v>6.3</v>
      </c>
      <c r="G426">
        <v>3</v>
      </c>
      <c r="H426" s="13" t="str" cm="1">
        <f t="array" ref="H426">_xlfn.IFS(B426&lt;20,"Low",B426&lt;=40,"Moderate",B426&lt;=60,"High",TRUE,"Very High")</f>
        <v>Moderate</v>
      </c>
    </row>
    <row r="427" spans="1:8" ht="17" x14ac:dyDescent="0.2">
      <c r="A427">
        <v>426</v>
      </c>
      <c r="B427" cm="1">
        <f t="array" ref="B427:G427">_xlfn.XLOOKUP($A427,Instagram_Usage_Lifestyle_Mini_!$A:$A,Instagram_Usage_Lifestyle_Mini_!$W:$AB,"Not Found")</f>
        <v>17.399999999999999</v>
      </c>
      <c r="C427">
        <v>3</v>
      </c>
      <c r="D427">
        <v>2</v>
      </c>
      <c r="E427">
        <v>14</v>
      </c>
      <c r="F427">
        <v>2.2999999999999998</v>
      </c>
      <c r="G427">
        <v>6</v>
      </c>
      <c r="H427" s="13" t="str" cm="1">
        <f t="array" ref="H427">_xlfn.IFS(B427&lt;20,"Low",B427&lt;=40,"Moderate",B427&lt;=60,"High",TRUE,"Very High")</f>
        <v>Low</v>
      </c>
    </row>
    <row r="428" spans="1:8" ht="17" x14ac:dyDescent="0.2">
      <c r="A428">
        <v>427</v>
      </c>
      <c r="B428" cm="1">
        <f t="array" ref="B428:G428">_xlfn.XLOOKUP($A428,Instagram_Usage_Lifestyle_Mini_!$A:$A,Instagram_Usage_Lifestyle_Mini_!$W:$AB,"Not Found")</f>
        <v>21.9</v>
      </c>
      <c r="C428">
        <v>1</v>
      </c>
      <c r="D428">
        <v>4</v>
      </c>
      <c r="E428">
        <v>9</v>
      </c>
      <c r="F428">
        <v>3</v>
      </c>
      <c r="G428">
        <v>2</v>
      </c>
      <c r="H428" s="13" t="str" cm="1">
        <f t="array" ref="H428">_xlfn.IFS(B428&lt;20,"Low",B428&lt;=40,"Moderate",B428&lt;=60,"High",TRUE,"Very High")</f>
        <v>Moderate</v>
      </c>
    </row>
    <row r="429" spans="1:8" ht="17" x14ac:dyDescent="0.2">
      <c r="A429">
        <v>428</v>
      </c>
      <c r="B429" cm="1">
        <f t="array" ref="B429:G429">_xlfn.XLOOKUP($A429,Instagram_Usage_Lifestyle_Mini_!$A:$A,Instagram_Usage_Lifestyle_Mini_!$W:$AB,"Not Found")</f>
        <v>41</v>
      </c>
      <c r="C429">
        <v>6</v>
      </c>
      <c r="D429">
        <v>2</v>
      </c>
      <c r="E429">
        <v>9</v>
      </c>
      <c r="F429">
        <v>0.5</v>
      </c>
      <c r="G429">
        <v>3</v>
      </c>
      <c r="H429" s="13" t="str" cm="1">
        <f t="array" ref="H429">_xlfn.IFS(B429&lt;20,"Low",B429&lt;=40,"Moderate",B429&lt;=60,"High",TRUE,"Very High")</f>
        <v>High</v>
      </c>
    </row>
    <row r="430" spans="1:8" ht="17" x14ac:dyDescent="0.2">
      <c r="A430">
        <v>429</v>
      </c>
      <c r="B430" cm="1">
        <f t="array" ref="B430:G430">_xlfn.XLOOKUP($A430,Instagram_Usage_Lifestyle_Mini_!$A:$A,Instagram_Usage_Lifestyle_Mini_!$W:$AB,"Not Found")</f>
        <v>21.4</v>
      </c>
      <c r="C430">
        <v>3</v>
      </c>
      <c r="D430">
        <v>1</v>
      </c>
      <c r="E430">
        <v>17</v>
      </c>
      <c r="F430">
        <v>0.5</v>
      </c>
      <c r="G430">
        <v>4</v>
      </c>
      <c r="H430" s="13" t="str" cm="1">
        <f t="array" ref="H430">_xlfn.IFS(B430&lt;20,"Low",B430&lt;=40,"Moderate",B430&lt;=60,"High",TRUE,"Very High")</f>
        <v>Moderate</v>
      </c>
    </row>
    <row r="431" spans="1:8" ht="17" x14ac:dyDescent="0.2">
      <c r="A431">
        <v>430</v>
      </c>
      <c r="B431" cm="1">
        <f t="array" ref="B431:G431">_xlfn.XLOOKUP($A431,Instagram_Usage_Lifestyle_Mini_!$A:$A,Instagram_Usage_Lifestyle_Mini_!$W:$AB,"Not Found")</f>
        <v>49.2</v>
      </c>
      <c r="C431">
        <v>5</v>
      </c>
      <c r="D431">
        <v>2</v>
      </c>
      <c r="E431">
        <v>7</v>
      </c>
      <c r="F431">
        <v>5.3</v>
      </c>
      <c r="G431">
        <v>5</v>
      </c>
      <c r="H431" s="13" t="str" cm="1">
        <f t="array" ref="H431">_xlfn.IFS(B431&lt;20,"Low",B431&lt;=40,"Moderate",B431&lt;=60,"High",TRUE,"Very High")</f>
        <v>High</v>
      </c>
    </row>
    <row r="432" spans="1:8" ht="17" x14ac:dyDescent="0.2">
      <c r="A432">
        <v>431</v>
      </c>
      <c r="B432" cm="1">
        <f t="array" ref="B432:G432">_xlfn.XLOOKUP($A432,Instagram_Usage_Lifestyle_Mini_!$A:$A,Instagram_Usage_Lifestyle_Mini_!$W:$AB,"Not Found")</f>
        <v>19.5</v>
      </c>
      <c r="C432">
        <v>4</v>
      </c>
      <c r="D432">
        <v>12</v>
      </c>
      <c r="E432">
        <v>12</v>
      </c>
      <c r="F432">
        <v>4.4000000000000004</v>
      </c>
      <c r="G432">
        <v>5</v>
      </c>
      <c r="H432" s="13" t="str" cm="1">
        <f t="array" ref="H432">_xlfn.IFS(B432&lt;20,"Low",B432&lt;=40,"Moderate",B432&lt;=60,"High",TRUE,"Very High")</f>
        <v>Low</v>
      </c>
    </row>
    <row r="433" spans="1:8" ht="17" x14ac:dyDescent="0.2">
      <c r="A433">
        <v>432</v>
      </c>
      <c r="B433" cm="1">
        <f t="array" ref="B433:G433">_xlfn.XLOOKUP($A433,Instagram_Usage_Lifestyle_Mini_!$A:$A,Instagram_Usage_Lifestyle_Mini_!$W:$AB,"Not Found")</f>
        <v>27.9</v>
      </c>
      <c r="C433">
        <v>4</v>
      </c>
      <c r="D433">
        <v>5</v>
      </c>
      <c r="E433">
        <v>10</v>
      </c>
      <c r="F433">
        <v>5.2</v>
      </c>
      <c r="G433">
        <v>5</v>
      </c>
      <c r="H433" s="13" t="str" cm="1">
        <f t="array" ref="H433">_xlfn.IFS(B433&lt;20,"Low",B433&lt;=40,"Moderate",B433&lt;=60,"High",TRUE,"Very High")</f>
        <v>Moderate</v>
      </c>
    </row>
    <row r="434" spans="1:8" ht="17" x14ac:dyDescent="0.2">
      <c r="A434">
        <v>433</v>
      </c>
      <c r="B434" cm="1">
        <f t="array" ref="B434:G434">_xlfn.XLOOKUP($A434,Instagram_Usage_Lifestyle_Mini_!$A:$A,Instagram_Usage_Lifestyle_Mini_!$W:$AB,"Not Found")</f>
        <v>45.1</v>
      </c>
      <c r="C434">
        <v>1</v>
      </c>
      <c r="D434">
        <v>5</v>
      </c>
      <c r="E434">
        <v>16</v>
      </c>
      <c r="F434">
        <v>2.8</v>
      </c>
      <c r="G434">
        <v>6</v>
      </c>
      <c r="H434" s="13" t="str" cm="1">
        <f t="array" ref="H434">_xlfn.IFS(B434&lt;20,"Low",B434&lt;=40,"Moderate",B434&lt;=60,"High",TRUE,"Very High")</f>
        <v>High</v>
      </c>
    </row>
    <row r="435" spans="1:8" ht="17" x14ac:dyDescent="0.2">
      <c r="A435">
        <v>434</v>
      </c>
      <c r="B435" cm="1">
        <f t="array" ref="B435:G435">_xlfn.XLOOKUP($A435,Instagram_Usage_Lifestyle_Mini_!$A:$A,Instagram_Usage_Lifestyle_Mini_!$W:$AB,"Not Found")</f>
        <v>31.9</v>
      </c>
      <c r="C435">
        <v>3</v>
      </c>
      <c r="D435">
        <v>7</v>
      </c>
      <c r="E435">
        <v>14</v>
      </c>
      <c r="F435">
        <v>1.9</v>
      </c>
      <c r="G435">
        <v>2</v>
      </c>
      <c r="H435" s="13" t="str" cm="1">
        <f t="array" ref="H435">_xlfn.IFS(B435&lt;20,"Low",B435&lt;=40,"Moderate",B435&lt;=60,"High",TRUE,"Very High")</f>
        <v>Moderate</v>
      </c>
    </row>
    <row r="436" spans="1:8" ht="17" x14ac:dyDescent="0.2">
      <c r="A436">
        <v>435</v>
      </c>
      <c r="B436" cm="1">
        <f t="array" ref="B436:G436">_xlfn.XLOOKUP($A436,Instagram_Usage_Lifestyle_Mini_!$A:$A,Instagram_Usage_Lifestyle_Mini_!$W:$AB,"Not Found")</f>
        <v>40.9</v>
      </c>
      <c r="C436">
        <v>2</v>
      </c>
      <c r="D436">
        <v>2</v>
      </c>
      <c r="E436">
        <v>8</v>
      </c>
      <c r="F436">
        <v>3.5</v>
      </c>
      <c r="G436">
        <v>1</v>
      </c>
      <c r="H436" s="13" t="str" cm="1">
        <f t="array" ref="H436">_xlfn.IFS(B436&lt;20,"Low",B436&lt;=40,"Moderate",B436&lt;=60,"High",TRUE,"Very High")</f>
        <v>High</v>
      </c>
    </row>
    <row r="437" spans="1:8" ht="17" x14ac:dyDescent="0.2">
      <c r="A437">
        <v>436</v>
      </c>
      <c r="B437" cm="1">
        <f t="array" ref="B437:G437">_xlfn.XLOOKUP($A437,Instagram_Usage_Lifestyle_Mini_!$A:$A,Instagram_Usage_Lifestyle_Mini_!$W:$AB,"Not Found")</f>
        <v>30.5</v>
      </c>
      <c r="C437">
        <v>5</v>
      </c>
      <c r="D437">
        <v>5</v>
      </c>
      <c r="E437">
        <v>9</v>
      </c>
      <c r="F437">
        <v>3.2</v>
      </c>
      <c r="G437">
        <v>4</v>
      </c>
      <c r="H437" s="13" t="str" cm="1">
        <f t="array" ref="H437">_xlfn.IFS(B437&lt;20,"Low",B437&lt;=40,"Moderate",B437&lt;=60,"High",TRUE,"Very High")</f>
        <v>Moderate</v>
      </c>
    </row>
    <row r="438" spans="1:8" ht="17" x14ac:dyDescent="0.2">
      <c r="A438">
        <v>437</v>
      </c>
      <c r="B438" cm="1">
        <f t="array" ref="B438:G438">_xlfn.XLOOKUP($A438,Instagram_Usage_Lifestyle_Mini_!$A:$A,Instagram_Usage_Lifestyle_Mini_!$W:$AB,"Not Found")</f>
        <v>12.1</v>
      </c>
      <c r="C438">
        <v>2</v>
      </c>
      <c r="D438">
        <v>4</v>
      </c>
      <c r="E438">
        <v>16</v>
      </c>
      <c r="F438">
        <v>2.8</v>
      </c>
      <c r="G438">
        <v>4</v>
      </c>
      <c r="H438" s="13" t="str" cm="1">
        <f t="array" ref="H438">_xlfn.IFS(B438&lt;20,"Low",B438&lt;=40,"Moderate",B438&lt;=60,"High",TRUE,"Very High")</f>
        <v>Low</v>
      </c>
    </row>
    <row r="439" spans="1:8" ht="17" x14ac:dyDescent="0.2">
      <c r="A439">
        <v>438</v>
      </c>
      <c r="B439" cm="1">
        <f t="array" ref="B439:G439">_xlfn.XLOOKUP($A439,Instagram_Usage_Lifestyle_Mini_!$A:$A,Instagram_Usage_Lifestyle_Mini_!$W:$AB,"Not Found")</f>
        <v>50.1</v>
      </c>
      <c r="C439">
        <v>2</v>
      </c>
      <c r="D439">
        <v>5</v>
      </c>
      <c r="E439">
        <v>7</v>
      </c>
      <c r="F439">
        <v>5.6</v>
      </c>
      <c r="G439">
        <v>4</v>
      </c>
      <c r="H439" s="13" t="str" cm="1">
        <f t="array" ref="H439">_xlfn.IFS(B439&lt;20,"Low",B439&lt;=40,"Moderate",B439&lt;=60,"High",TRUE,"Very High")</f>
        <v>High</v>
      </c>
    </row>
    <row r="440" spans="1:8" ht="17" x14ac:dyDescent="0.2">
      <c r="A440">
        <v>439</v>
      </c>
      <c r="B440" cm="1">
        <f t="array" ref="B440:G440">_xlfn.XLOOKUP($A440,Instagram_Usage_Lifestyle_Mini_!$A:$A,Instagram_Usage_Lifestyle_Mini_!$W:$AB,"Not Found")</f>
        <v>53</v>
      </c>
      <c r="C440">
        <v>2</v>
      </c>
      <c r="D440">
        <v>3</v>
      </c>
      <c r="E440">
        <v>9</v>
      </c>
      <c r="F440">
        <v>4.5</v>
      </c>
      <c r="G440">
        <v>2</v>
      </c>
      <c r="H440" s="13" t="str" cm="1">
        <f t="array" ref="H440">_xlfn.IFS(B440&lt;20,"Low",B440&lt;=40,"Moderate",B440&lt;=60,"High",TRUE,"Very High")</f>
        <v>High</v>
      </c>
    </row>
    <row r="441" spans="1:8" ht="17" x14ac:dyDescent="0.2">
      <c r="A441">
        <v>440</v>
      </c>
      <c r="B441" cm="1">
        <f t="array" ref="B441:G441">_xlfn.XLOOKUP($A441,Instagram_Usage_Lifestyle_Mini_!$A:$A,Instagram_Usage_Lifestyle_Mini_!$W:$AB,"Not Found")</f>
        <v>27.5</v>
      </c>
      <c r="C441">
        <v>2</v>
      </c>
      <c r="D441">
        <v>2</v>
      </c>
      <c r="E441">
        <v>5</v>
      </c>
      <c r="F441">
        <v>4.3</v>
      </c>
      <c r="G441">
        <v>2</v>
      </c>
      <c r="H441" s="13" t="str" cm="1">
        <f t="array" ref="H441">_xlfn.IFS(B441&lt;20,"Low",B441&lt;=40,"Moderate",B441&lt;=60,"High",TRUE,"Very High")</f>
        <v>Moderate</v>
      </c>
    </row>
    <row r="442" spans="1:8" ht="17" x14ac:dyDescent="0.2">
      <c r="A442">
        <v>441</v>
      </c>
      <c r="B442" cm="1">
        <f t="array" ref="B442:G442">_xlfn.XLOOKUP($A442,Instagram_Usage_Lifestyle_Mini_!$A:$A,Instagram_Usage_Lifestyle_Mini_!$W:$AB,"Not Found")</f>
        <v>44.1</v>
      </c>
      <c r="C442">
        <v>2</v>
      </c>
      <c r="D442">
        <v>7</v>
      </c>
      <c r="E442">
        <v>6</v>
      </c>
      <c r="F442">
        <v>3.1</v>
      </c>
      <c r="G442">
        <v>4</v>
      </c>
      <c r="H442" s="13" t="str" cm="1">
        <f t="array" ref="H442">_xlfn.IFS(B442&lt;20,"Low",B442&lt;=40,"Moderate",B442&lt;=60,"High",TRUE,"Very High")</f>
        <v>High</v>
      </c>
    </row>
    <row r="443" spans="1:8" ht="17" x14ac:dyDescent="0.2">
      <c r="A443">
        <v>442</v>
      </c>
      <c r="B443" cm="1">
        <f t="array" ref="B443:G443">_xlfn.XLOOKUP($A443,Instagram_Usage_Lifestyle_Mini_!$A:$A,Instagram_Usage_Lifestyle_Mini_!$W:$AB,"Not Found")</f>
        <v>39</v>
      </c>
      <c r="C443">
        <v>2</v>
      </c>
      <c r="D443">
        <v>4</v>
      </c>
      <c r="E443">
        <v>9</v>
      </c>
      <c r="F443">
        <v>3.7</v>
      </c>
      <c r="G443">
        <v>1</v>
      </c>
      <c r="H443" s="13" t="str" cm="1">
        <f t="array" ref="H443">_xlfn.IFS(B443&lt;20,"Low",B443&lt;=40,"Moderate",B443&lt;=60,"High",TRUE,"Very High")</f>
        <v>Moderate</v>
      </c>
    </row>
    <row r="444" spans="1:8" ht="17" x14ac:dyDescent="0.2">
      <c r="A444">
        <v>443</v>
      </c>
      <c r="B444" cm="1">
        <f t="array" ref="B444:G444">_xlfn.XLOOKUP($A444,Instagram_Usage_Lifestyle_Mini_!$A:$A,Instagram_Usage_Lifestyle_Mini_!$W:$AB,"Not Found")</f>
        <v>49</v>
      </c>
      <c r="C444">
        <v>3</v>
      </c>
      <c r="D444">
        <v>5</v>
      </c>
      <c r="E444">
        <v>4</v>
      </c>
      <c r="F444">
        <v>9.6</v>
      </c>
      <c r="G444">
        <v>5</v>
      </c>
      <c r="H444" s="13" t="str" cm="1">
        <f t="array" ref="H444">_xlfn.IFS(B444&lt;20,"Low",B444&lt;=40,"Moderate",B444&lt;=60,"High",TRUE,"Very High")</f>
        <v>High</v>
      </c>
    </row>
    <row r="445" spans="1:8" ht="17" x14ac:dyDescent="0.2">
      <c r="A445">
        <v>444</v>
      </c>
      <c r="B445" cm="1">
        <f t="array" ref="B445:G445">_xlfn.XLOOKUP($A445,Instagram_Usage_Lifestyle_Mini_!$A:$A,Instagram_Usage_Lifestyle_Mini_!$W:$AB,"Not Found")</f>
        <v>59</v>
      </c>
      <c r="C445">
        <v>2</v>
      </c>
      <c r="D445">
        <v>10</v>
      </c>
      <c r="E445">
        <v>9</v>
      </c>
      <c r="F445">
        <v>2.2000000000000002</v>
      </c>
      <c r="G445">
        <v>1</v>
      </c>
      <c r="H445" s="13" t="str" cm="1">
        <f t="array" ref="H445">_xlfn.IFS(B445&lt;20,"Low",B445&lt;=40,"Moderate",B445&lt;=60,"High",TRUE,"Very High")</f>
        <v>High</v>
      </c>
    </row>
    <row r="446" spans="1:8" ht="17" x14ac:dyDescent="0.2">
      <c r="A446">
        <v>445</v>
      </c>
      <c r="B446" cm="1">
        <f t="array" ref="B446:G446">_xlfn.XLOOKUP($A446,Instagram_Usage_Lifestyle_Mini_!$A:$A,Instagram_Usage_Lifestyle_Mini_!$W:$AB,"Not Found")</f>
        <v>34</v>
      </c>
      <c r="C446">
        <v>1</v>
      </c>
      <c r="D446">
        <v>4</v>
      </c>
      <c r="E446">
        <v>11</v>
      </c>
      <c r="F446">
        <v>3.5</v>
      </c>
      <c r="G446">
        <v>2</v>
      </c>
      <c r="H446" s="13" t="str" cm="1">
        <f t="array" ref="H446">_xlfn.IFS(B446&lt;20,"Low",B446&lt;=40,"Moderate",B446&lt;=60,"High",TRUE,"Very High")</f>
        <v>Moderate</v>
      </c>
    </row>
    <row r="447" spans="1:8" ht="17" x14ac:dyDescent="0.2">
      <c r="A447">
        <v>446</v>
      </c>
      <c r="B447" cm="1">
        <f t="array" ref="B447:G447">_xlfn.XLOOKUP($A447,Instagram_Usage_Lifestyle_Mini_!$A:$A,Instagram_Usage_Lifestyle_Mini_!$W:$AB,"Not Found")</f>
        <v>59</v>
      </c>
      <c r="C447">
        <v>0</v>
      </c>
      <c r="D447">
        <v>5</v>
      </c>
      <c r="E447">
        <v>7</v>
      </c>
      <c r="F447">
        <v>3.2</v>
      </c>
      <c r="G447">
        <v>4</v>
      </c>
      <c r="H447" s="13" t="str" cm="1">
        <f t="array" ref="H447">_xlfn.IFS(B447&lt;20,"Low",B447&lt;=40,"Moderate",B447&lt;=60,"High",TRUE,"Very High")</f>
        <v>High</v>
      </c>
    </row>
    <row r="448" spans="1:8" ht="17" x14ac:dyDescent="0.2">
      <c r="A448">
        <v>447</v>
      </c>
      <c r="B448" cm="1">
        <f t="array" ref="B448:G448">_xlfn.XLOOKUP($A448,Instagram_Usage_Lifestyle_Mini_!$A:$A,Instagram_Usage_Lifestyle_Mini_!$W:$AB,"Not Found")</f>
        <v>54.1</v>
      </c>
      <c r="C448">
        <v>1</v>
      </c>
      <c r="D448">
        <v>7</v>
      </c>
      <c r="E448">
        <v>17</v>
      </c>
      <c r="F448">
        <v>9.5</v>
      </c>
      <c r="G448">
        <v>2</v>
      </c>
      <c r="H448" s="13" t="str" cm="1">
        <f t="array" ref="H448">_xlfn.IFS(B448&lt;20,"Low",B448&lt;=40,"Moderate",B448&lt;=60,"High",TRUE,"Very High")</f>
        <v>High</v>
      </c>
    </row>
    <row r="449" spans="1:8" ht="17" x14ac:dyDescent="0.2">
      <c r="A449">
        <v>448</v>
      </c>
      <c r="B449" cm="1">
        <f t="array" ref="B449:G449">_xlfn.XLOOKUP($A449,Instagram_Usage_Lifestyle_Mini_!$A:$A,Instagram_Usage_Lifestyle_Mini_!$W:$AB,"Not Found")</f>
        <v>40.4</v>
      </c>
      <c r="C449">
        <v>0</v>
      </c>
      <c r="D449">
        <v>8</v>
      </c>
      <c r="E449">
        <v>15</v>
      </c>
      <c r="F449">
        <v>2</v>
      </c>
      <c r="G449">
        <v>2</v>
      </c>
      <c r="H449" s="13" t="str" cm="1">
        <f t="array" ref="H449">_xlfn.IFS(B449&lt;20,"Low",B449&lt;=40,"Moderate",B449&lt;=60,"High",TRUE,"Very High")</f>
        <v>High</v>
      </c>
    </row>
    <row r="450" spans="1:8" ht="17" x14ac:dyDescent="0.2">
      <c r="A450">
        <v>449</v>
      </c>
      <c r="B450" cm="1">
        <f t="array" ref="B450:G450">_xlfn.XLOOKUP($A450,Instagram_Usage_Lifestyle_Mini_!$A:$A,Instagram_Usage_Lifestyle_Mini_!$W:$AB,"Not Found")</f>
        <v>51.9</v>
      </c>
      <c r="C450">
        <v>2</v>
      </c>
      <c r="D450">
        <v>11</v>
      </c>
      <c r="E450">
        <v>15</v>
      </c>
      <c r="F450">
        <v>6.4</v>
      </c>
      <c r="G450">
        <v>1</v>
      </c>
      <c r="H450" s="13" t="str" cm="1">
        <f t="array" ref="H450">_xlfn.IFS(B450&lt;20,"Low",B450&lt;=40,"Moderate",B450&lt;=60,"High",TRUE,"Very High")</f>
        <v>High</v>
      </c>
    </row>
    <row r="451" spans="1:8" ht="17" x14ac:dyDescent="0.2">
      <c r="A451">
        <v>450</v>
      </c>
      <c r="B451" cm="1">
        <f t="array" ref="B451:G451">_xlfn.XLOOKUP($A451,Instagram_Usage_Lifestyle_Mini_!$A:$A,Instagram_Usage_Lifestyle_Mini_!$W:$AB,"Not Found")</f>
        <v>37.799999999999997</v>
      </c>
      <c r="C451">
        <v>3</v>
      </c>
      <c r="D451">
        <v>9</v>
      </c>
      <c r="E451">
        <v>13</v>
      </c>
      <c r="F451">
        <v>3.9</v>
      </c>
      <c r="G451">
        <v>5</v>
      </c>
      <c r="H451" s="13" t="str" cm="1">
        <f t="array" ref="H451">_xlfn.IFS(B451&lt;20,"Low",B451&lt;=40,"Moderate",B451&lt;=60,"High",TRUE,"Very High")</f>
        <v>Moderate</v>
      </c>
    </row>
    <row r="452" spans="1:8" ht="17" x14ac:dyDescent="0.2">
      <c r="A452">
        <v>451</v>
      </c>
      <c r="B452" cm="1">
        <f t="array" ref="B452:G452">_xlfn.XLOOKUP($A452,Instagram_Usage_Lifestyle_Mini_!$A:$A,Instagram_Usage_Lifestyle_Mini_!$W:$AB,"Not Found")</f>
        <v>38.5</v>
      </c>
      <c r="C452">
        <v>3</v>
      </c>
      <c r="D452">
        <v>4</v>
      </c>
      <c r="E452">
        <v>10</v>
      </c>
      <c r="F452">
        <v>7.2</v>
      </c>
      <c r="G452">
        <v>1</v>
      </c>
      <c r="H452" s="13" t="str" cm="1">
        <f t="array" ref="H452">_xlfn.IFS(B452&lt;20,"Low",B452&lt;=40,"Moderate",B452&lt;=60,"High",TRUE,"Very High")</f>
        <v>Moderate</v>
      </c>
    </row>
    <row r="453" spans="1:8" ht="17" x14ac:dyDescent="0.2">
      <c r="A453">
        <v>452</v>
      </c>
      <c r="B453" cm="1">
        <f t="array" ref="B453:G453">_xlfn.XLOOKUP($A453,Instagram_Usage_Lifestyle_Mini_!$A:$A,Instagram_Usage_Lifestyle_Mini_!$W:$AB,"Not Found")</f>
        <v>54.7</v>
      </c>
      <c r="C453">
        <v>2</v>
      </c>
      <c r="D453">
        <v>4</v>
      </c>
      <c r="E453">
        <v>14</v>
      </c>
      <c r="F453">
        <v>0.8</v>
      </c>
      <c r="G453">
        <v>1</v>
      </c>
      <c r="H453" s="13" t="str" cm="1">
        <f t="array" ref="H453">_xlfn.IFS(B453&lt;20,"Low",B453&lt;=40,"Moderate",B453&lt;=60,"High",TRUE,"Very High")</f>
        <v>High</v>
      </c>
    </row>
    <row r="454" spans="1:8" ht="17" x14ac:dyDescent="0.2">
      <c r="A454">
        <v>453</v>
      </c>
      <c r="B454" cm="1">
        <f t="array" ref="B454:G454">_xlfn.XLOOKUP($A454,Instagram_Usage_Lifestyle_Mini_!$A:$A,Instagram_Usage_Lifestyle_Mini_!$W:$AB,"Not Found")</f>
        <v>53.9</v>
      </c>
      <c r="C454">
        <v>2</v>
      </c>
      <c r="D454">
        <v>7</v>
      </c>
      <c r="E454">
        <v>9</v>
      </c>
      <c r="F454">
        <v>0.3</v>
      </c>
      <c r="G454">
        <v>4</v>
      </c>
      <c r="H454" s="13" t="str" cm="1">
        <f t="array" ref="H454">_xlfn.IFS(B454&lt;20,"Low",B454&lt;=40,"Moderate",B454&lt;=60,"High",TRUE,"Very High")</f>
        <v>High</v>
      </c>
    </row>
    <row r="455" spans="1:8" ht="17" x14ac:dyDescent="0.2">
      <c r="A455">
        <v>454</v>
      </c>
      <c r="B455" cm="1">
        <f t="array" ref="B455:G455">_xlfn.XLOOKUP($A455,Instagram_Usage_Lifestyle_Mini_!$A:$A,Instagram_Usage_Lifestyle_Mini_!$W:$AB,"Not Found")</f>
        <v>18.600000000000001</v>
      </c>
      <c r="C455">
        <v>3</v>
      </c>
      <c r="D455">
        <v>2</v>
      </c>
      <c r="E455">
        <v>13</v>
      </c>
      <c r="F455">
        <v>4.7</v>
      </c>
      <c r="G455">
        <v>5</v>
      </c>
      <c r="H455" s="13" t="str" cm="1">
        <f t="array" ref="H455">_xlfn.IFS(B455&lt;20,"Low",B455&lt;=40,"Moderate",B455&lt;=60,"High",TRUE,"Very High")</f>
        <v>Low</v>
      </c>
    </row>
    <row r="456" spans="1:8" ht="17" x14ac:dyDescent="0.2">
      <c r="A456">
        <v>455</v>
      </c>
      <c r="B456" cm="1">
        <f t="array" ref="B456:G456">_xlfn.XLOOKUP($A456,Instagram_Usage_Lifestyle_Mini_!$A:$A,Instagram_Usage_Lifestyle_Mini_!$W:$AB,"Not Found")</f>
        <v>47.4</v>
      </c>
      <c r="C456">
        <v>2</v>
      </c>
      <c r="D456">
        <v>5</v>
      </c>
      <c r="E456">
        <v>6</v>
      </c>
      <c r="F456">
        <v>4.0999999999999996</v>
      </c>
      <c r="G456">
        <v>2</v>
      </c>
      <c r="H456" s="13" t="str" cm="1">
        <f t="array" ref="H456">_xlfn.IFS(B456&lt;20,"Low",B456&lt;=40,"Moderate",B456&lt;=60,"High",TRUE,"Very High")</f>
        <v>High</v>
      </c>
    </row>
    <row r="457" spans="1:8" ht="17" x14ac:dyDescent="0.2">
      <c r="A457">
        <v>456</v>
      </c>
      <c r="B457" cm="1">
        <f t="array" ref="B457:G457">_xlfn.XLOOKUP($A457,Instagram_Usage_Lifestyle_Mini_!$A:$A,Instagram_Usage_Lifestyle_Mini_!$W:$AB,"Not Found")</f>
        <v>37.5</v>
      </c>
      <c r="C457">
        <v>1</v>
      </c>
      <c r="D457">
        <v>6</v>
      </c>
      <c r="E457">
        <v>5</v>
      </c>
      <c r="F457">
        <v>2.2999999999999998</v>
      </c>
      <c r="G457">
        <v>4</v>
      </c>
      <c r="H457" s="13" t="str" cm="1">
        <f t="array" ref="H457">_xlfn.IFS(B457&lt;20,"Low",B457&lt;=40,"Moderate",B457&lt;=60,"High",TRUE,"Very High")</f>
        <v>Moderate</v>
      </c>
    </row>
    <row r="458" spans="1:8" ht="17" x14ac:dyDescent="0.2">
      <c r="A458">
        <v>457</v>
      </c>
      <c r="B458" cm="1">
        <f t="array" ref="B458:G458">_xlfn.XLOOKUP($A458,Instagram_Usage_Lifestyle_Mini_!$A:$A,Instagram_Usage_Lifestyle_Mini_!$W:$AB,"Not Found")</f>
        <v>45.9</v>
      </c>
      <c r="C458">
        <v>2</v>
      </c>
      <c r="D458">
        <v>4</v>
      </c>
      <c r="E458">
        <v>11</v>
      </c>
      <c r="F458">
        <v>5</v>
      </c>
      <c r="G458">
        <v>2</v>
      </c>
      <c r="H458" s="13" t="str" cm="1">
        <f t="array" ref="H458">_xlfn.IFS(B458&lt;20,"Low",B458&lt;=40,"Moderate",B458&lt;=60,"High",TRUE,"Very High")</f>
        <v>High</v>
      </c>
    </row>
    <row r="459" spans="1:8" ht="17" x14ac:dyDescent="0.2">
      <c r="A459">
        <v>458</v>
      </c>
      <c r="B459" cm="1">
        <f t="array" ref="B459:G459">_xlfn.XLOOKUP($A459,Instagram_Usage_Lifestyle_Mini_!$A:$A,Instagram_Usage_Lifestyle_Mini_!$W:$AB,"Not Found")</f>
        <v>50.1</v>
      </c>
      <c r="C459">
        <v>4</v>
      </c>
      <c r="D459">
        <v>6</v>
      </c>
      <c r="E459">
        <v>9</v>
      </c>
      <c r="F459">
        <v>5.5</v>
      </c>
      <c r="G459">
        <v>3</v>
      </c>
      <c r="H459" s="13" t="str" cm="1">
        <f t="array" ref="H459">_xlfn.IFS(B459&lt;20,"Low",B459&lt;=40,"Moderate",B459&lt;=60,"High",TRUE,"Very High")</f>
        <v>High</v>
      </c>
    </row>
    <row r="460" spans="1:8" ht="17" x14ac:dyDescent="0.2">
      <c r="A460">
        <v>459</v>
      </c>
      <c r="B460" cm="1">
        <f t="array" ref="B460:G460">_xlfn.XLOOKUP($A460,Instagram_Usage_Lifestyle_Mini_!$A:$A,Instagram_Usage_Lifestyle_Mini_!$W:$AB,"Not Found")</f>
        <v>47.2</v>
      </c>
      <c r="C460">
        <v>2</v>
      </c>
      <c r="D460">
        <v>8</v>
      </c>
      <c r="E460">
        <v>10</v>
      </c>
      <c r="F460">
        <v>6.4</v>
      </c>
      <c r="G460">
        <v>3</v>
      </c>
      <c r="H460" s="13" t="str" cm="1">
        <f t="array" ref="H460">_xlfn.IFS(B460&lt;20,"Low",B460&lt;=40,"Moderate",B460&lt;=60,"High",TRUE,"Very High")</f>
        <v>High</v>
      </c>
    </row>
    <row r="461" spans="1:8" ht="17" x14ac:dyDescent="0.2">
      <c r="A461">
        <v>460</v>
      </c>
      <c r="B461" cm="1">
        <f t="array" ref="B461:G461">_xlfn.XLOOKUP($A461,Instagram_Usage_Lifestyle_Mini_!$A:$A,Instagram_Usage_Lifestyle_Mini_!$W:$AB,"Not Found")</f>
        <v>27.4</v>
      </c>
      <c r="C461">
        <v>2</v>
      </c>
      <c r="D461">
        <v>4</v>
      </c>
      <c r="E461">
        <v>8</v>
      </c>
      <c r="F461">
        <v>2.7</v>
      </c>
      <c r="G461">
        <v>0</v>
      </c>
      <c r="H461" s="13" t="str" cm="1">
        <f t="array" ref="H461">_xlfn.IFS(B461&lt;20,"Low",B461&lt;=40,"Moderate",B461&lt;=60,"High",TRUE,"Very High")</f>
        <v>Moderate</v>
      </c>
    </row>
    <row r="462" spans="1:8" ht="17" x14ac:dyDescent="0.2">
      <c r="A462">
        <v>461</v>
      </c>
      <c r="B462" cm="1">
        <f t="array" ref="B462:G462">_xlfn.XLOOKUP($A462,Instagram_Usage_Lifestyle_Mini_!$A:$A,Instagram_Usage_Lifestyle_Mini_!$W:$AB,"Not Found")</f>
        <v>38.700000000000003</v>
      </c>
      <c r="C462">
        <v>2</v>
      </c>
      <c r="D462">
        <v>2</v>
      </c>
      <c r="E462">
        <v>7</v>
      </c>
      <c r="F462">
        <v>7.5</v>
      </c>
      <c r="G462">
        <v>2</v>
      </c>
      <c r="H462" s="13" t="str" cm="1">
        <f t="array" ref="H462">_xlfn.IFS(B462&lt;20,"Low",B462&lt;=40,"Moderate",B462&lt;=60,"High",TRUE,"Very High")</f>
        <v>Moderate</v>
      </c>
    </row>
    <row r="463" spans="1:8" ht="17" x14ac:dyDescent="0.2">
      <c r="A463">
        <v>462</v>
      </c>
      <c r="B463" cm="1">
        <f t="array" ref="B463:G463">_xlfn.XLOOKUP($A463,Instagram_Usage_Lifestyle_Mini_!$A:$A,Instagram_Usage_Lifestyle_Mini_!$W:$AB,"Not Found")</f>
        <v>50.9</v>
      </c>
      <c r="C463">
        <v>4</v>
      </c>
      <c r="D463">
        <v>2</v>
      </c>
      <c r="E463">
        <v>10</v>
      </c>
      <c r="F463">
        <v>5.6</v>
      </c>
      <c r="G463">
        <v>2</v>
      </c>
      <c r="H463" s="13" t="str" cm="1">
        <f t="array" ref="H463">_xlfn.IFS(B463&lt;20,"Low",B463&lt;=40,"Moderate",B463&lt;=60,"High",TRUE,"Very High")</f>
        <v>High</v>
      </c>
    </row>
    <row r="464" spans="1:8" ht="17" x14ac:dyDescent="0.2">
      <c r="A464">
        <v>463</v>
      </c>
      <c r="B464" cm="1">
        <f t="array" ref="B464:G464">_xlfn.XLOOKUP($A464,Instagram_Usage_Lifestyle_Mini_!$A:$A,Instagram_Usage_Lifestyle_Mini_!$W:$AB,"Not Found")</f>
        <v>43.8</v>
      </c>
      <c r="C464">
        <v>4</v>
      </c>
      <c r="D464">
        <v>6</v>
      </c>
      <c r="E464">
        <v>14</v>
      </c>
      <c r="F464">
        <v>5.8</v>
      </c>
      <c r="G464">
        <v>3</v>
      </c>
      <c r="H464" s="13" t="str" cm="1">
        <f t="array" ref="H464">_xlfn.IFS(B464&lt;20,"Low",B464&lt;=40,"Moderate",B464&lt;=60,"High",TRUE,"Very High")</f>
        <v>High</v>
      </c>
    </row>
    <row r="465" spans="1:8" ht="17" x14ac:dyDescent="0.2">
      <c r="A465">
        <v>464</v>
      </c>
      <c r="B465" cm="1">
        <f t="array" ref="B465:G465">_xlfn.XLOOKUP($A465,Instagram_Usage_Lifestyle_Mini_!$A:$A,Instagram_Usage_Lifestyle_Mini_!$W:$AB,"Not Found")</f>
        <v>41.3</v>
      </c>
      <c r="C465">
        <v>2</v>
      </c>
      <c r="D465">
        <v>6</v>
      </c>
      <c r="E465">
        <v>10</v>
      </c>
      <c r="F465">
        <v>1.7</v>
      </c>
      <c r="G465">
        <v>2</v>
      </c>
      <c r="H465" s="13" t="str" cm="1">
        <f t="array" ref="H465">_xlfn.IFS(B465&lt;20,"Low",B465&lt;=40,"Moderate",B465&lt;=60,"High",TRUE,"Very High")</f>
        <v>High</v>
      </c>
    </row>
    <row r="466" spans="1:8" ht="17" x14ac:dyDescent="0.2">
      <c r="A466">
        <v>465</v>
      </c>
      <c r="B466" cm="1">
        <f t="array" ref="B466:G466">_xlfn.XLOOKUP($A466,Instagram_Usage_Lifestyle_Mini_!$A:$A,Instagram_Usage_Lifestyle_Mini_!$W:$AB,"Not Found")</f>
        <v>28.6</v>
      </c>
      <c r="C466">
        <v>2</v>
      </c>
      <c r="D466">
        <v>3</v>
      </c>
      <c r="E466">
        <v>5</v>
      </c>
      <c r="F466">
        <v>1.7</v>
      </c>
      <c r="G466">
        <v>2</v>
      </c>
      <c r="H466" s="13" t="str" cm="1">
        <f t="array" ref="H466">_xlfn.IFS(B466&lt;20,"Low",B466&lt;=40,"Moderate",B466&lt;=60,"High",TRUE,"Very High")</f>
        <v>Moderate</v>
      </c>
    </row>
    <row r="467" spans="1:8" ht="17" x14ac:dyDescent="0.2">
      <c r="A467">
        <v>466</v>
      </c>
      <c r="B467" cm="1">
        <f t="array" ref="B467:G467">_xlfn.XLOOKUP($A467,Instagram_Usage_Lifestyle_Mini_!$A:$A,Instagram_Usage_Lifestyle_Mini_!$W:$AB,"Not Found")</f>
        <v>50.2</v>
      </c>
      <c r="C467">
        <v>2</v>
      </c>
      <c r="D467">
        <v>3</v>
      </c>
      <c r="E467">
        <v>9</v>
      </c>
      <c r="F467">
        <v>1.1000000000000001</v>
      </c>
      <c r="G467">
        <v>4</v>
      </c>
      <c r="H467" s="13" t="str" cm="1">
        <f t="array" ref="H467">_xlfn.IFS(B467&lt;20,"Low",B467&lt;=40,"Moderate",B467&lt;=60,"High",TRUE,"Very High")</f>
        <v>High</v>
      </c>
    </row>
    <row r="468" spans="1:8" ht="17" x14ac:dyDescent="0.2">
      <c r="A468">
        <v>467</v>
      </c>
      <c r="B468" cm="1">
        <f t="array" ref="B468:G468">_xlfn.XLOOKUP($A468,Instagram_Usage_Lifestyle_Mini_!$A:$A,Instagram_Usage_Lifestyle_Mini_!$W:$AB,"Not Found")</f>
        <v>63.2</v>
      </c>
      <c r="C468">
        <v>1</v>
      </c>
      <c r="D468">
        <v>3</v>
      </c>
      <c r="E468">
        <v>15</v>
      </c>
      <c r="F468">
        <v>5.0999999999999996</v>
      </c>
      <c r="G468">
        <v>3</v>
      </c>
      <c r="H468" s="13" t="str" cm="1">
        <f t="array" ref="H468">_xlfn.IFS(B468&lt;20,"Low",B468&lt;=40,"Moderate",B468&lt;=60,"High",TRUE,"Very High")</f>
        <v>Very High</v>
      </c>
    </row>
    <row r="469" spans="1:8" ht="17" x14ac:dyDescent="0.2">
      <c r="A469">
        <v>468</v>
      </c>
      <c r="B469" cm="1">
        <f t="array" ref="B469:G469">_xlfn.XLOOKUP($A469,Instagram_Usage_Lifestyle_Mini_!$A:$A,Instagram_Usage_Lifestyle_Mini_!$W:$AB,"Not Found")</f>
        <v>33</v>
      </c>
      <c r="C469">
        <v>1</v>
      </c>
      <c r="D469">
        <v>2</v>
      </c>
      <c r="E469">
        <v>7</v>
      </c>
      <c r="F469">
        <v>4.2</v>
      </c>
      <c r="G469">
        <v>5</v>
      </c>
      <c r="H469" s="13" t="str" cm="1">
        <f t="array" ref="H469">_xlfn.IFS(B469&lt;20,"Low",B469&lt;=40,"Moderate",B469&lt;=60,"High",TRUE,"Very High")</f>
        <v>Moderate</v>
      </c>
    </row>
    <row r="470" spans="1:8" ht="17" x14ac:dyDescent="0.2">
      <c r="A470">
        <v>469</v>
      </c>
      <c r="B470" cm="1">
        <f t="array" ref="B470:G470">_xlfn.XLOOKUP($A470,Instagram_Usage_Lifestyle_Mini_!$A:$A,Instagram_Usage_Lifestyle_Mini_!$W:$AB,"Not Found")</f>
        <v>40.299999999999997</v>
      </c>
      <c r="C470">
        <v>5</v>
      </c>
      <c r="D470">
        <v>5</v>
      </c>
      <c r="E470">
        <v>2</v>
      </c>
      <c r="F470">
        <v>7.7</v>
      </c>
      <c r="G470">
        <v>3</v>
      </c>
      <c r="H470" s="13" t="str" cm="1">
        <f t="array" ref="H470">_xlfn.IFS(B470&lt;20,"Low",B470&lt;=40,"Moderate",B470&lt;=60,"High",TRUE,"Very High")</f>
        <v>High</v>
      </c>
    </row>
    <row r="471" spans="1:8" ht="17" x14ac:dyDescent="0.2">
      <c r="A471">
        <v>470</v>
      </c>
      <c r="B471" cm="1">
        <f t="array" ref="B471:G471">_xlfn.XLOOKUP($A471,Instagram_Usage_Lifestyle_Mini_!$A:$A,Instagram_Usage_Lifestyle_Mini_!$W:$AB,"Not Found")</f>
        <v>45</v>
      </c>
      <c r="C471">
        <v>4</v>
      </c>
      <c r="D471">
        <v>8</v>
      </c>
      <c r="E471">
        <v>6</v>
      </c>
      <c r="F471">
        <v>3.2</v>
      </c>
      <c r="G471">
        <v>5</v>
      </c>
      <c r="H471" s="13" t="str" cm="1">
        <f t="array" ref="H471">_xlfn.IFS(B471&lt;20,"Low",B471&lt;=40,"Moderate",B471&lt;=60,"High",TRUE,"Very High")</f>
        <v>High</v>
      </c>
    </row>
    <row r="472" spans="1:8" ht="17" x14ac:dyDescent="0.2">
      <c r="A472">
        <v>471</v>
      </c>
      <c r="B472" cm="1">
        <f t="array" ref="B472:G472">_xlfn.XLOOKUP($A472,Instagram_Usage_Lifestyle_Mini_!$A:$A,Instagram_Usage_Lifestyle_Mini_!$W:$AB,"Not Found")</f>
        <v>47.4</v>
      </c>
      <c r="C472">
        <v>3</v>
      </c>
      <c r="D472">
        <v>5</v>
      </c>
      <c r="E472">
        <v>10</v>
      </c>
      <c r="F472">
        <v>0.7</v>
      </c>
      <c r="G472">
        <v>3</v>
      </c>
      <c r="H472" s="13" t="str" cm="1">
        <f t="array" ref="H472">_xlfn.IFS(B472&lt;20,"Low",B472&lt;=40,"Moderate",B472&lt;=60,"High",TRUE,"Very High")</f>
        <v>High</v>
      </c>
    </row>
    <row r="473" spans="1:8" ht="17" x14ac:dyDescent="0.2">
      <c r="A473">
        <v>472</v>
      </c>
      <c r="B473" cm="1">
        <f t="array" ref="B473:G473">_xlfn.XLOOKUP($A473,Instagram_Usage_Lifestyle_Mini_!$A:$A,Instagram_Usage_Lifestyle_Mini_!$W:$AB,"Not Found")</f>
        <v>38</v>
      </c>
      <c r="C473">
        <v>1</v>
      </c>
      <c r="D473">
        <v>2</v>
      </c>
      <c r="E473">
        <v>7</v>
      </c>
      <c r="F473">
        <v>7.8</v>
      </c>
      <c r="G473">
        <v>1</v>
      </c>
      <c r="H473" s="13" t="str" cm="1">
        <f t="array" ref="H473">_xlfn.IFS(B473&lt;20,"Low",B473&lt;=40,"Moderate",B473&lt;=60,"High",TRUE,"Very High")</f>
        <v>Moderate</v>
      </c>
    </row>
    <row r="474" spans="1:8" ht="17" x14ac:dyDescent="0.2">
      <c r="A474">
        <v>473</v>
      </c>
      <c r="B474" cm="1">
        <f t="array" ref="B474:G474">_xlfn.XLOOKUP($A474,Instagram_Usage_Lifestyle_Mini_!$A:$A,Instagram_Usage_Lifestyle_Mini_!$W:$AB,"Not Found")</f>
        <v>22.9</v>
      </c>
      <c r="C474">
        <v>3</v>
      </c>
      <c r="D474">
        <v>2</v>
      </c>
      <c r="E474">
        <v>8</v>
      </c>
      <c r="F474">
        <v>3.4</v>
      </c>
      <c r="G474">
        <v>4</v>
      </c>
      <c r="H474" s="13" t="str" cm="1">
        <f t="array" ref="H474">_xlfn.IFS(B474&lt;20,"Low",B474&lt;=40,"Moderate",B474&lt;=60,"High",TRUE,"Very High")</f>
        <v>Moderate</v>
      </c>
    </row>
    <row r="475" spans="1:8" ht="17" x14ac:dyDescent="0.2">
      <c r="A475">
        <v>474</v>
      </c>
      <c r="B475" cm="1">
        <f t="array" ref="B475:G475">_xlfn.XLOOKUP($A475,Instagram_Usage_Lifestyle_Mini_!$A:$A,Instagram_Usage_Lifestyle_Mini_!$W:$AB,"Not Found")</f>
        <v>28.7</v>
      </c>
      <c r="C475">
        <v>1</v>
      </c>
      <c r="D475">
        <v>2</v>
      </c>
      <c r="E475">
        <v>9</v>
      </c>
      <c r="F475">
        <v>8.1</v>
      </c>
      <c r="G475">
        <v>3</v>
      </c>
      <c r="H475" s="13" t="str" cm="1">
        <f t="array" ref="H475">_xlfn.IFS(B475&lt;20,"Low",B475&lt;=40,"Moderate",B475&lt;=60,"High",TRUE,"Very High")</f>
        <v>Moderate</v>
      </c>
    </row>
    <row r="476" spans="1:8" ht="17" x14ac:dyDescent="0.2">
      <c r="A476">
        <v>475</v>
      </c>
      <c r="B476" cm="1">
        <f t="array" ref="B476:G476">_xlfn.XLOOKUP($A476,Instagram_Usage_Lifestyle_Mini_!$A:$A,Instagram_Usage_Lifestyle_Mini_!$W:$AB,"Not Found")</f>
        <v>59.2</v>
      </c>
      <c r="C476">
        <v>4</v>
      </c>
      <c r="D476">
        <v>6</v>
      </c>
      <c r="E476">
        <v>16</v>
      </c>
      <c r="F476">
        <v>3.3</v>
      </c>
      <c r="G476">
        <v>4</v>
      </c>
      <c r="H476" s="13" t="str" cm="1">
        <f t="array" ref="H476">_xlfn.IFS(B476&lt;20,"Low",B476&lt;=40,"Moderate",B476&lt;=60,"High",TRUE,"Very High")</f>
        <v>High</v>
      </c>
    </row>
    <row r="477" spans="1:8" ht="17" x14ac:dyDescent="0.2">
      <c r="A477">
        <v>476</v>
      </c>
      <c r="B477" cm="1">
        <f t="array" ref="B477:G477">_xlfn.XLOOKUP($A477,Instagram_Usage_Lifestyle_Mini_!$A:$A,Instagram_Usage_Lifestyle_Mini_!$W:$AB,"Not Found")</f>
        <v>47.5</v>
      </c>
      <c r="C477">
        <v>1</v>
      </c>
      <c r="D477">
        <v>3</v>
      </c>
      <c r="E477">
        <v>10</v>
      </c>
      <c r="F477">
        <v>6.9</v>
      </c>
      <c r="G477">
        <v>1</v>
      </c>
      <c r="H477" s="13" t="str" cm="1">
        <f t="array" ref="H477">_xlfn.IFS(B477&lt;20,"Low",B477&lt;=40,"Moderate",B477&lt;=60,"High",TRUE,"Very High")</f>
        <v>High</v>
      </c>
    </row>
    <row r="478" spans="1:8" ht="17" x14ac:dyDescent="0.2">
      <c r="A478">
        <v>477</v>
      </c>
      <c r="B478" cm="1">
        <f t="array" ref="B478:G478">_xlfn.XLOOKUP($A478,Instagram_Usage_Lifestyle_Mini_!$A:$A,Instagram_Usage_Lifestyle_Mini_!$W:$AB,"Not Found")</f>
        <v>54.7</v>
      </c>
      <c r="C478">
        <v>4</v>
      </c>
      <c r="D478">
        <v>4</v>
      </c>
      <c r="E478">
        <v>15</v>
      </c>
      <c r="F478">
        <v>2.1</v>
      </c>
      <c r="G478">
        <v>7</v>
      </c>
      <c r="H478" s="13" t="str" cm="1">
        <f t="array" ref="H478">_xlfn.IFS(B478&lt;20,"Low",B478&lt;=40,"Moderate",B478&lt;=60,"High",TRUE,"Very High")</f>
        <v>High</v>
      </c>
    </row>
    <row r="479" spans="1:8" ht="17" x14ac:dyDescent="0.2">
      <c r="A479">
        <v>478</v>
      </c>
      <c r="B479" cm="1">
        <f t="array" ref="B479:G479">_xlfn.XLOOKUP($A479,Instagram_Usage_Lifestyle_Mini_!$A:$A,Instagram_Usage_Lifestyle_Mini_!$W:$AB,"Not Found")</f>
        <v>35.4</v>
      </c>
      <c r="C479">
        <v>3</v>
      </c>
      <c r="D479">
        <v>4</v>
      </c>
      <c r="E479">
        <v>10</v>
      </c>
      <c r="F479">
        <v>5.9</v>
      </c>
      <c r="G479">
        <v>6</v>
      </c>
      <c r="H479" s="13" t="str" cm="1">
        <f t="array" ref="H479">_xlfn.IFS(B479&lt;20,"Low",B479&lt;=40,"Moderate",B479&lt;=60,"High",TRUE,"Very High")</f>
        <v>Moderate</v>
      </c>
    </row>
    <row r="480" spans="1:8" ht="17" x14ac:dyDescent="0.2">
      <c r="A480">
        <v>479</v>
      </c>
      <c r="B480" cm="1">
        <f t="array" ref="B480:G480">_xlfn.XLOOKUP($A480,Instagram_Usage_Lifestyle_Mini_!$A:$A,Instagram_Usage_Lifestyle_Mini_!$W:$AB,"Not Found")</f>
        <v>40.1</v>
      </c>
      <c r="C480">
        <v>0</v>
      </c>
      <c r="D480">
        <v>4</v>
      </c>
      <c r="E480">
        <v>3</v>
      </c>
      <c r="F480">
        <v>4.2</v>
      </c>
      <c r="G480">
        <v>5</v>
      </c>
      <c r="H480" s="13" t="str" cm="1">
        <f t="array" ref="H480">_xlfn.IFS(B480&lt;20,"Low",B480&lt;=40,"Moderate",B480&lt;=60,"High",TRUE,"Very High")</f>
        <v>High</v>
      </c>
    </row>
    <row r="481" spans="1:8" ht="17" x14ac:dyDescent="0.2">
      <c r="A481">
        <v>480</v>
      </c>
      <c r="B481" cm="1">
        <f t="array" ref="B481:G481">_xlfn.XLOOKUP($A481,Instagram_Usage_Lifestyle_Mini_!$A:$A,Instagram_Usage_Lifestyle_Mini_!$W:$AB,"Not Found")</f>
        <v>39.700000000000003</v>
      </c>
      <c r="C481">
        <v>6</v>
      </c>
      <c r="D481">
        <v>6</v>
      </c>
      <c r="E481">
        <v>6</v>
      </c>
      <c r="F481">
        <v>1.9</v>
      </c>
      <c r="G481">
        <v>2</v>
      </c>
      <c r="H481" s="13" t="str" cm="1">
        <f t="array" ref="H481">_xlfn.IFS(B481&lt;20,"Low",B481&lt;=40,"Moderate",B481&lt;=60,"High",TRUE,"Very High")</f>
        <v>Moderate</v>
      </c>
    </row>
    <row r="482" spans="1:8" ht="17" x14ac:dyDescent="0.2">
      <c r="A482">
        <v>481</v>
      </c>
      <c r="B482" cm="1">
        <f t="array" ref="B482:G482">_xlfn.XLOOKUP($A482,Instagram_Usage_Lifestyle_Mini_!$A:$A,Instagram_Usage_Lifestyle_Mini_!$W:$AB,"Not Found")</f>
        <v>46.3</v>
      </c>
      <c r="C482">
        <v>3</v>
      </c>
      <c r="D482">
        <v>3</v>
      </c>
      <c r="E482">
        <v>7</v>
      </c>
      <c r="F482">
        <v>0.9</v>
      </c>
      <c r="G482">
        <v>2</v>
      </c>
      <c r="H482" s="13" t="str" cm="1">
        <f t="array" ref="H482">_xlfn.IFS(B482&lt;20,"Low",B482&lt;=40,"Moderate",B482&lt;=60,"High",TRUE,"Very High")</f>
        <v>High</v>
      </c>
    </row>
    <row r="483" spans="1:8" ht="17" x14ac:dyDescent="0.2">
      <c r="A483">
        <v>482</v>
      </c>
      <c r="B483" cm="1">
        <f t="array" ref="B483:G483">_xlfn.XLOOKUP($A483,Instagram_Usage_Lifestyle_Mini_!$A:$A,Instagram_Usage_Lifestyle_Mini_!$W:$AB,"Not Found")</f>
        <v>28.8</v>
      </c>
      <c r="C483">
        <v>5</v>
      </c>
      <c r="D483">
        <v>10</v>
      </c>
      <c r="E483">
        <v>8</v>
      </c>
      <c r="F483">
        <v>2.2999999999999998</v>
      </c>
      <c r="G483">
        <v>5</v>
      </c>
      <c r="H483" s="13" t="str" cm="1">
        <f t="array" ref="H483">_xlfn.IFS(B483&lt;20,"Low",B483&lt;=40,"Moderate",B483&lt;=60,"High",TRUE,"Very High")</f>
        <v>Moderate</v>
      </c>
    </row>
    <row r="484" spans="1:8" ht="17" x14ac:dyDescent="0.2">
      <c r="A484">
        <v>483</v>
      </c>
      <c r="B484" cm="1">
        <f t="array" ref="B484:G484">_xlfn.XLOOKUP($A484,Instagram_Usage_Lifestyle_Mini_!$A:$A,Instagram_Usage_Lifestyle_Mini_!$W:$AB,"Not Found")</f>
        <v>44.6</v>
      </c>
      <c r="C484">
        <v>2</v>
      </c>
      <c r="D484">
        <v>4</v>
      </c>
      <c r="E484">
        <v>10</v>
      </c>
      <c r="F484">
        <v>7.5</v>
      </c>
      <c r="G484">
        <v>5</v>
      </c>
      <c r="H484" s="13" t="str" cm="1">
        <f t="array" ref="H484">_xlfn.IFS(B484&lt;20,"Low",B484&lt;=40,"Moderate",B484&lt;=60,"High",TRUE,"Very High")</f>
        <v>High</v>
      </c>
    </row>
    <row r="485" spans="1:8" ht="17" x14ac:dyDescent="0.2">
      <c r="A485">
        <v>484</v>
      </c>
      <c r="B485" cm="1">
        <f t="array" ref="B485:G485">_xlfn.XLOOKUP($A485,Instagram_Usage_Lifestyle_Mini_!$A:$A,Instagram_Usage_Lifestyle_Mini_!$W:$AB,"Not Found")</f>
        <v>46.2</v>
      </c>
      <c r="C485">
        <v>2</v>
      </c>
      <c r="D485">
        <v>1</v>
      </c>
      <c r="E485">
        <v>7</v>
      </c>
      <c r="F485">
        <v>2.2999999999999998</v>
      </c>
      <c r="G485">
        <v>4</v>
      </c>
      <c r="H485" s="13" t="str" cm="1">
        <f t="array" ref="H485">_xlfn.IFS(B485&lt;20,"Low",B485&lt;=40,"Moderate",B485&lt;=60,"High",TRUE,"Very High")</f>
        <v>High</v>
      </c>
    </row>
    <row r="486" spans="1:8" ht="17" x14ac:dyDescent="0.2">
      <c r="A486">
        <v>485</v>
      </c>
      <c r="B486" cm="1">
        <f t="array" ref="B486:G486">_xlfn.XLOOKUP($A486,Instagram_Usage_Lifestyle_Mini_!$A:$A,Instagram_Usage_Lifestyle_Mini_!$W:$AB,"Not Found")</f>
        <v>31.7</v>
      </c>
      <c r="C486">
        <v>6</v>
      </c>
      <c r="D486">
        <v>5</v>
      </c>
      <c r="E486">
        <v>14</v>
      </c>
      <c r="F486">
        <v>7.9</v>
      </c>
      <c r="G486">
        <v>6</v>
      </c>
      <c r="H486" s="13" t="str" cm="1">
        <f t="array" ref="H486">_xlfn.IFS(B486&lt;20,"Low",B486&lt;=40,"Moderate",B486&lt;=60,"High",TRUE,"Very High")</f>
        <v>Moderate</v>
      </c>
    </row>
    <row r="487" spans="1:8" ht="17" x14ac:dyDescent="0.2">
      <c r="A487">
        <v>486</v>
      </c>
      <c r="B487" cm="1">
        <f t="array" ref="B487:G487">_xlfn.XLOOKUP($A487,Instagram_Usage_Lifestyle_Mini_!$A:$A,Instagram_Usage_Lifestyle_Mini_!$W:$AB,"Not Found")</f>
        <v>43.8</v>
      </c>
      <c r="C487">
        <v>4</v>
      </c>
      <c r="D487">
        <v>8</v>
      </c>
      <c r="E487">
        <v>9</v>
      </c>
      <c r="F487">
        <v>6.8</v>
      </c>
      <c r="G487">
        <v>5</v>
      </c>
      <c r="H487" s="13" t="str" cm="1">
        <f t="array" ref="H487">_xlfn.IFS(B487&lt;20,"Low",B487&lt;=40,"Moderate",B487&lt;=60,"High",TRUE,"Very High")</f>
        <v>High</v>
      </c>
    </row>
    <row r="488" spans="1:8" ht="17" x14ac:dyDescent="0.2">
      <c r="A488">
        <v>487</v>
      </c>
      <c r="B488" cm="1">
        <f t="array" ref="B488:G488">_xlfn.XLOOKUP($A488,Instagram_Usage_Lifestyle_Mini_!$A:$A,Instagram_Usage_Lifestyle_Mini_!$W:$AB,"Not Found")</f>
        <v>45.2</v>
      </c>
      <c r="C488">
        <v>1</v>
      </c>
      <c r="D488">
        <v>7</v>
      </c>
      <c r="E488">
        <v>6</v>
      </c>
      <c r="F488">
        <v>3.6</v>
      </c>
      <c r="G488">
        <v>2</v>
      </c>
      <c r="H488" s="13" t="str" cm="1">
        <f t="array" ref="H488">_xlfn.IFS(B488&lt;20,"Low",B488&lt;=40,"Moderate",B488&lt;=60,"High",TRUE,"Very High")</f>
        <v>High</v>
      </c>
    </row>
    <row r="489" spans="1:8" ht="17" x14ac:dyDescent="0.2">
      <c r="A489">
        <v>488</v>
      </c>
      <c r="B489" cm="1">
        <f t="array" ref="B489:G489">_xlfn.XLOOKUP($A489,Instagram_Usage_Lifestyle_Mini_!$A:$A,Instagram_Usage_Lifestyle_Mini_!$W:$AB,"Not Found")</f>
        <v>35.200000000000003</v>
      </c>
      <c r="C489">
        <v>7</v>
      </c>
      <c r="D489">
        <v>9</v>
      </c>
      <c r="E489">
        <v>10</v>
      </c>
      <c r="F489">
        <v>6.2</v>
      </c>
      <c r="G489">
        <v>4</v>
      </c>
      <c r="H489" s="13" t="str" cm="1">
        <f t="array" ref="H489">_xlfn.IFS(B489&lt;20,"Low",B489&lt;=40,"Moderate",B489&lt;=60,"High",TRUE,"Very High")</f>
        <v>Moderate</v>
      </c>
    </row>
    <row r="490" spans="1:8" ht="17" x14ac:dyDescent="0.2">
      <c r="A490">
        <v>489</v>
      </c>
      <c r="B490" cm="1">
        <f t="array" ref="B490:G490">_xlfn.XLOOKUP($A490,Instagram_Usage_Lifestyle_Mini_!$A:$A,Instagram_Usage_Lifestyle_Mini_!$W:$AB,"Not Found")</f>
        <v>43.2</v>
      </c>
      <c r="C490">
        <v>7</v>
      </c>
      <c r="D490">
        <v>3</v>
      </c>
      <c r="E490">
        <v>11</v>
      </c>
      <c r="F490">
        <v>1</v>
      </c>
      <c r="G490">
        <v>4</v>
      </c>
      <c r="H490" s="13" t="str" cm="1">
        <f t="array" ref="H490">_xlfn.IFS(B490&lt;20,"Low",B490&lt;=40,"Moderate",B490&lt;=60,"High",TRUE,"Very High")</f>
        <v>High</v>
      </c>
    </row>
    <row r="491" spans="1:8" ht="17" x14ac:dyDescent="0.2">
      <c r="A491">
        <v>490</v>
      </c>
      <c r="B491" cm="1">
        <f t="array" ref="B491:G491">_xlfn.XLOOKUP($A491,Instagram_Usage_Lifestyle_Mini_!$A:$A,Instagram_Usage_Lifestyle_Mini_!$W:$AB,"Not Found")</f>
        <v>31.2</v>
      </c>
      <c r="C491">
        <v>3</v>
      </c>
      <c r="D491">
        <v>7</v>
      </c>
      <c r="E491">
        <v>4</v>
      </c>
      <c r="F491">
        <v>3.7</v>
      </c>
      <c r="G491">
        <v>3</v>
      </c>
      <c r="H491" s="13" t="str" cm="1">
        <f t="array" ref="H491">_xlfn.IFS(B491&lt;20,"Low",B491&lt;=40,"Moderate",B491&lt;=60,"High",TRUE,"Very High")</f>
        <v>Moderate</v>
      </c>
    </row>
    <row r="492" spans="1:8" ht="17" x14ac:dyDescent="0.2">
      <c r="A492">
        <v>491</v>
      </c>
      <c r="B492" cm="1">
        <f t="array" ref="B492:G492">_xlfn.XLOOKUP($A492,Instagram_Usage_Lifestyle_Mini_!$A:$A,Instagram_Usage_Lifestyle_Mini_!$W:$AB,"Not Found")</f>
        <v>46</v>
      </c>
      <c r="C492">
        <v>2</v>
      </c>
      <c r="D492">
        <v>6</v>
      </c>
      <c r="E492">
        <v>12</v>
      </c>
      <c r="F492">
        <v>2.7</v>
      </c>
      <c r="G492">
        <v>6</v>
      </c>
      <c r="H492" s="13" t="str" cm="1">
        <f t="array" ref="H492">_xlfn.IFS(B492&lt;20,"Low",B492&lt;=40,"Moderate",B492&lt;=60,"High",TRUE,"Very High")</f>
        <v>High</v>
      </c>
    </row>
    <row r="493" spans="1:8" ht="17" x14ac:dyDescent="0.2">
      <c r="A493">
        <v>492</v>
      </c>
      <c r="B493" cm="1">
        <f t="array" ref="B493:G493">_xlfn.XLOOKUP($A493,Instagram_Usage_Lifestyle_Mini_!$A:$A,Instagram_Usage_Lifestyle_Mini_!$W:$AB,"Not Found")</f>
        <v>35</v>
      </c>
      <c r="C493">
        <v>2</v>
      </c>
      <c r="D493">
        <v>4</v>
      </c>
      <c r="E493">
        <v>10</v>
      </c>
      <c r="F493">
        <v>1.3</v>
      </c>
      <c r="G493">
        <v>4</v>
      </c>
      <c r="H493" s="13" t="str" cm="1">
        <f t="array" ref="H493">_xlfn.IFS(B493&lt;20,"Low",B493&lt;=40,"Moderate",B493&lt;=60,"High",TRUE,"Very High")</f>
        <v>Moderate</v>
      </c>
    </row>
    <row r="494" spans="1:8" ht="17" x14ac:dyDescent="0.2">
      <c r="A494">
        <v>493</v>
      </c>
      <c r="B494" cm="1">
        <f t="array" ref="B494:G494">_xlfn.XLOOKUP($A494,Instagram_Usage_Lifestyle_Mini_!$A:$A,Instagram_Usage_Lifestyle_Mini_!$W:$AB,"Not Found")</f>
        <v>43.9</v>
      </c>
      <c r="C494">
        <v>1</v>
      </c>
      <c r="D494">
        <v>3</v>
      </c>
      <c r="E494">
        <v>12</v>
      </c>
      <c r="F494">
        <v>5.6</v>
      </c>
      <c r="G494">
        <v>3</v>
      </c>
      <c r="H494" s="13" t="str" cm="1">
        <f t="array" ref="H494">_xlfn.IFS(B494&lt;20,"Low",B494&lt;=40,"Moderate",B494&lt;=60,"High",TRUE,"Very High")</f>
        <v>High</v>
      </c>
    </row>
    <row r="495" spans="1:8" ht="17" x14ac:dyDescent="0.2">
      <c r="A495">
        <v>494</v>
      </c>
      <c r="B495" cm="1">
        <f t="array" ref="B495:G495">_xlfn.XLOOKUP($A495,Instagram_Usage_Lifestyle_Mini_!$A:$A,Instagram_Usage_Lifestyle_Mini_!$W:$AB,"Not Found")</f>
        <v>42.8</v>
      </c>
      <c r="C495">
        <v>3</v>
      </c>
      <c r="D495">
        <v>6</v>
      </c>
      <c r="E495">
        <v>11</v>
      </c>
      <c r="F495">
        <v>6.4</v>
      </c>
      <c r="G495">
        <v>3</v>
      </c>
      <c r="H495" s="13" t="str" cm="1">
        <f t="array" ref="H495">_xlfn.IFS(B495&lt;20,"Low",B495&lt;=40,"Moderate",B495&lt;=60,"High",TRUE,"Very High")</f>
        <v>High</v>
      </c>
    </row>
    <row r="496" spans="1:8" ht="17" x14ac:dyDescent="0.2">
      <c r="A496">
        <v>495</v>
      </c>
      <c r="B496" cm="1">
        <f t="array" ref="B496:G496">_xlfn.XLOOKUP($A496,Instagram_Usage_Lifestyle_Mini_!$A:$A,Instagram_Usage_Lifestyle_Mini_!$W:$AB,"Not Found")</f>
        <v>40.1</v>
      </c>
      <c r="C496">
        <v>2</v>
      </c>
      <c r="D496">
        <v>2</v>
      </c>
      <c r="E496">
        <v>12</v>
      </c>
      <c r="F496">
        <v>1.2</v>
      </c>
      <c r="G496">
        <v>4</v>
      </c>
      <c r="H496" s="13" t="str" cm="1">
        <f t="array" ref="H496">_xlfn.IFS(B496&lt;20,"Low",B496&lt;=40,"Moderate",B496&lt;=60,"High",TRUE,"Very High")</f>
        <v>High</v>
      </c>
    </row>
    <row r="497" spans="1:8" ht="17" x14ac:dyDescent="0.2">
      <c r="A497">
        <v>496</v>
      </c>
      <c r="B497" cm="1">
        <f t="array" ref="B497:G497">_xlfn.XLOOKUP($A497,Instagram_Usage_Lifestyle_Mini_!$A:$A,Instagram_Usage_Lifestyle_Mini_!$W:$AB,"Not Found")</f>
        <v>44.5</v>
      </c>
      <c r="C497">
        <v>6</v>
      </c>
      <c r="D497">
        <v>3</v>
      </c>
      <c r="E497">
        <v>12</v>
      </c>
      <c r="F497">
        <v>2.8</v>
      </c>
      <c r="G497">
        <v>2</v>
      </c>
      <c r="H497" s="13" t="str" cm="1">
        <f t="array" ref="H497">_xlfn.IFS(B497&lt;20,"Low",B497&lt;=40,"Moderate",B497&lt;=60,"High",TRUE,"Very High")</f>
        <v>High</v>
      </c>
    </row>
    <row r="498" spans="1:8" ht="17" x14ac:dyDescent="0.2">
      <c r="A498">
        <v>497</v>
      </c>
      <c r="B498" cm="1">
        <f t="array" ref="B498:G498">_xlfn.XLOOKUP($A498,Instagram_Usage_Lifestyle_Mini_!$A:$A,Instagram_Usage_Lifestyle_Mini_!$W:$AB,"Not Found")</f>
        <v>42.3</v>
      </c>
      <c r="C498">
        <v>4</v>
      </c>
      <c r="D498">
        <v>6</v>
      </c>
      <c r="E498">
        <v>8</v>
      </c>
      <c r="F498">
        <v>3.3</v>
      </c>
      <c r="G498">
        <v>2</v>
      </c>
      <c r="H498" s="13" t="str" cm="1">
        <f t="array" ref="H498">_xlfn.IFS(B498&lt;20,"Low",B498&lt;=40,"Moderate",B498&lt;=60,"High",TRUE,"Very High")</f>
        <v>High</v>
      </c>
    </row>
    <row r="499" spans="1:8" ht="17" x14ac:dyDescent="0.2">
      <c r="A499">
        <v>498</v>
      </c>
      <c r="B499" cm="1">
        <f t="array" ref="B499:G499">_xlfn.XLOOKUP($A499,Instagram_Usage_Lifestyle_Mini_!$A:$A,Instagram_Usage_Lifestyle_Mini_!$W:$AB,"Not Found")</f>
        <v>50.5</v>
      </c>
      <c r="C499">
        <v>2</v>
      </c>
      <c r="D499">
        <v>2</v>
      </c>
      <c r="E499">
        <v>11</v>
      </c>
      <c r="F499">
        <v>4.5</v>
      </c>
      <c r="G499">
        <v>3</v>
      </c>
      <c r="H499" s="13" t="str" cm="1">
        <f t="array" ref="H499">_xlfn.IFS(B499&lt;20,"Low",B499&lt;=40,"Moderate",B499&lt;=60,"High",TRUE,"Very High")</f>
        <v>High</v>
      </c>
    </row>
    <row r="500" spans="1:8" ht="17" x14ac:dyDescent="0.2">
      <c r="A500">
        <v>499</v>
      </c>
      <c r="B500" cm="1">
        <f t="array" ref="B500:G500">_xlfn.XLOOKUP($A500,Instagram_Usage_Lifestyle_Mini_!$A:$A,Instagram_Usage_Lifestyle_Mini_!$W:$AB,"Not Found")</f>
        <v>54</v>
      </c>
      <c r="C500">
        <v>2</v>
      </c>
      <c r="D500">
        <v>6</v>
      </c>
      <c r="E500">
        <v>9</v>
      </c>
      <c r="F500">
        <v>5.4</v>
      </c>
      <c r="G500">
        <v>3</v>
      </c>
      <c r="H500" s="13" t="str" cm="1">
        <f t="array" ref="H500">_xlfn.IFS(B500&lt;20,"Low",B500&lt;=40,"Moderate",B500&lt;=60,"High",TRUE,"Very High")</f>
        <v>High</v>
      </c>
    </row>
    <row r="501" spans="1:8" ht="17" x14ac:dyDescent="0.2">
      <c r="A501">
        <v>500</v>
      </c>
      <c r="B501" cm="1">
        <f t="array" ref="B501:G501">_xlfn.XLOOKUP($A501,Instagram_Usage_Lifestyle_Mini_!$A:$A,Instagram_Usage_Lifestyle_Mini_!$W:$AB,"Not Found")</f>
        <v>31.4</v>
      </c>
      <c r="C501">
        <v>5</v>
      </c>
      <c r="D501">
        <v>5</v>
      </c>
      <c r="E501">
        <v>12</v>
      </c>
      <c r="F501">
        <v>3.1</v>
      </c>
      <c r="G501">
        <v>1</v>
      </c>
      <c r="H501" s="13" t="str" cm="1">
        <f t="array" ref="H501">_xlfn.IFS(B501&lt;20,"Low",B501&lt;=40,"Moderate",B501&lt;=60,"High",TRUE,"Very High")</f>
        <v>Moderate</v>
      </c>
    </row>
    <row r="502" spans="1:8" ht="17" x14ac:dyDescent="0.2">
      <c r="A502">
        <v>501</v>
      </c>
      <c r="B502" cm="1">
        <f t="array" ref="B502:G502">_xlfn.XLOOKUP($A502,Instagram_Usage_Lifestyle_Mini_!$A:$A,Instagram_Usage_Lifestyle_Mini_!$W:$AB,"Not Found")</f>
        <v>47.4</v>
      </c>
      <c r="C502">
        <v>6</v>
      </c>
      <c r="D502">
        <v>0</v>
      </c>
      <c r="E502">
        <v>6</v>
      </c>
      <c r="F502">
        <v>1.8</v>
      </c>
      <c r="G502">
        <v>1</v>
      </c>
      <c r="H502" s="13" t="str" cm="1">
        <f t="array" ref="H502">_xlfn.IFS(B502&lt;20,"Low",B502&lt;=40,"Moderate",B502&lt;=60,"High",TRUE,"Very High")</f>
        <v>High</v>
      </c>
    </row>
    <row r="503" spans="1:8" ht="17" x14ac:dyDescent="0.2">
      <c r="A503">
        <v>502</v>
      </c>
      <c r="B503" cm="1">
        <f t="array" ref="B503:G503">_xlfn.XLOOKUP($A503,Instagram_Usage_Lifestyle_Mini_!$A:$A,Instagram_Usage_Lifestyle_Mini_!$W:$AB,"Not Found")</f>
        <v>32.5</v>
      </c>
      <c r="C503">
        <v>3</v>
      </c>
      <c r="D503">
        <v>2</v>
      </c>
      <c r="E503">
        <v>11</v>
      </c>
      <c r="F503">
        <v>7.2</v>
      </c>
      <c r="G503">
        <v>5</v>
      </c>
      <c r="H503" s="13" t="str" cm="1">
        <f t="array" ref="H503">_xlfn.IFS(B503&lt;20,"Low",B503&lt;=40,"Moderate",B503&lt;=60,"High",TRUE,"Very High")</f>
        <v>Moderate</v>
      </c>
    </row>
    <row r="504" spans="1:8" ht="17" x14ac:dyDescent="0.2">
      <c r="A504">
        <v>503</v>
      </c>
      <c r="B504" cm="1">
        <f t="array" ref="B504:G504">_xlfn.XLOOKUP($A504,Instagram_Usage_Lifestyle_Mini_!$A:$A,Instagram_Usage_Lifestyle_Mini_!$W:$AB,"Not Found")</f>
        <v>35.200000000000003</v>
      </c>
      <c r="C504">
        <v>4</v>
      </c>
      <c r="D504">
        <v>6</v>
      </c>
      <c r="E504">
        <v>10</v>
      </c>
      <c r="F504">
        <v>3.7</v>
      </c>
      <c r="G504">
        <v>2</v>
      </c>
      <c r="H504" s="13" t="str" cm="1">
        <f t="array" ref="H504">_xlfn.IFS(B504&lt;20,"Low",B504&lt;=40,"Moderate",B504&lt;=60,"High",TRUE,"Very High")</f>
        <v>Moderate</v>
      </c>
    </row>
    <row r="505" spans="1:8" ht="17" x14ac:dyDescent="0.2">
      <c r="A505">
        <v>504</v>
      </c>
      <c r="B505" cm="1">
        <f t="array" ref="B505:G505">_xlfn.XLOOKUP($A505,Instagram_Usage_Lifestyle_Mini_!$A:$A,Instagram_Usage_Lifestyle_Mini_!$W:$AB,"Not Found")</f>
        <v>48.3</v>
      </c>
      <c r="C505">
        <v>5</v>
      </c>
      <c r="D505">
        <v>5</v>
      </c>
      <c r="E505">
        <v>5</v>
      </c>
      <c r="F505">
        <v>4.8</v>
      </c>
      <c r="G505">
        <v>2</v>
      </c>
      <c r="H505" s="13" t="str" cm="1">
        <f t="array" ref="H505">_xlfn.IFS(B505&lt;20,"Low",B505&lt;=40,"Moderate",B505&lt;=60,"High",TRUE,"Very High")</f>
        <v>High</v>
      </c>
    </row>
    <row r="506" spans="1:8" ht="17" x14ac:dyDescent="0.2">
      <c r="A506">
        <v>505</v>
      </c>
      <c r="B506" cm="1">
        <f t="array" ref="B506:G506">_xlfn.XLOOKUP($A506,Instagram_Usage_Lifestyle_Mini_!$A:$A,Instagram_Usage_Lifestyle_Mini_!$W:$AB,"Not Found")</f>
        <v>47.5</v>
      </c>
      <c r="C506">
        <v>3</v>
      </c>
      <c r="D506">
        <v>4</v>
      </c>
      <c r="E506">
        <v>8</v>
      </c>
      <c r="F506">
        <v>4</v>
      </c>
      <c r="G506">
        <v>4</v>
      </c>
      <c r="H506" s="13" t="str" cm="1">
        <f t="array" ref="H506">_xlfn.IFS(B506&lt;20,"Low",B506&lt;=40,"Moderate",B506&lt;=60,"High",TRUE,"Very High")</f>
        <v>High</v>
      </c>
    </row>
    <row r="507" spans="1:8" ht="17" x14ac:dyDescent="0.2">
      <c r="A507">
        <v>506</v>
      </c>
      <c r="B507" cm="1">
        <f t="array" ref="B507:G507">_xlfn.XLOOKUP($A507,Instagram_Usage_Lifestyle_Mini_!$A:$A,Instagram_Usage_Lifestyle_Mini_!$W:$AB,"Not Found")</f>
        <v>29</v>
      </c>
      <c r="C507">
        <v>2</v>
      </c>
      <c r="D507">
        <v>4</v>
      </c>
      <c r="E507">
        <v>6</v>
      </c>
      <c r="F507">
        <v>6.9</v>
      </c>
      <c r="G507">
        <v>4</v>
      </c>
      <c r="H507" s="13" t="str" cm="1">
        <f t="array" ref="H507">_xlfn.IFS(B507&lt;20,"Low",B507&lt;=40,"Moderate",B507&lt;=60,"High",TRUE,"Very High")</f>
        <v>Moderate</v>
      </c>
    </row>
    <row r="508" spans="1:8" ht="17" x14ac:dyDescent="0.2">
      <c r="A508">
        <v>507</v>
      </c>
      <c r="B508" cm="1">
        <f t="array" ref="B508:G508">_xlfn.XLOOKUP($A508,Instagram_Usage_Lifestyle_Mini_!$A:$A,Instagram_Usage_Lifestyle_Mini_!$W:$AB,"Not Found")</f>
        <v>47.7</v>
      </c>
      <c r="C508">
        <v>3</v>
      </c>
      <c r="D508">
        <v>3</v>
      </c>
      <c r="E508">
        <v>11</v>
      </c>
      <c r="F508">
        <v>1.8</v>
      </c>
      <c r="G508">
        <v>0</v>
      </c>
      <c r="H508" s="13" t="str" cm="1">
        <f t="array" ref="H508">_xlfn.IFS(B508&lt;20,"Low",B508&lt;=40,"Moderate",B508&lt;=60,"High",TRUE,"Very High")</f>
        <v>High</v>
      </c>
    </row>
    <row r="509" spans="1:8" ht="17" x14ac:dyDescent="0.2">
      <c r="A509">
        <v>508</v>
      </c>
      <c r="B509" cm="1">
        <f t="array" ref="B509:G509">_xlfn.XLOOKUP($A509,Instagram_Usage_Lifestyle_Mini_!$A:$A,Instagram_Usage_Lifestyle_Mini_!$W:$AB,"Not Found")</f>
        <v>31.1</v>
      </c>
      <c r="C509">
        <v>2</v>
      </c>
      <c r="D509">
        <v>4</v>
      </c>
      <c r="E509">
        <v>6</v>
      </c>
      <c r="F509">
        <v>3.5</v>
      </c>
      <c r="G509">
        <v>7</v>
      </c>
      <c r="H509" s="13" t="str" cm="1">
        <f t="array" ref="H509">_xlfn.IFS(B509&lt;20,"Low",B509&lt;=40,"Moderate",B509&lt;=60,"High",TRUE,"Very High")</f>
        <v>Moderate</v>
      </c>
    </row>
    <row r="510" spans="1:8" ht="17" x14ac:dyDescent="0.2">
      <c r="A510">
        <v>509</v>
      </c>
      <c r="B510" cm="1">
        <f t="array" ref="B510:G510">_xlfn.XLOOKUP($A510,Instagram_Usage_Lifestyle_Mini_!$A:$A,Instagram_Usage_Lifestyle_Mini_!$W:$AB,"Not Found")</f>
        <v>41.3</v>
      </c>
      <c r="C510">
        <v>5</v>
      </c>
      <c r="D510">
        <v>1</v>
      </c>
      <c r="E510">
        <v>5</v>
      </c>
      <c r="F510">
        <v>5.4</v>
      </c>
      <c r="G510">
        <v>5</v>
      </c>
      <c r="H510" s="13" t="str" cm="1">
        <f t="array" ref="H510">_xlfn.IFS(B510&lt;20,"Low",B510&lt;=40,"Moderate",B510&lt;=60,"High",TRUE,"Very High")</f>
        <v>High</v>
      </c>
    </row>
    <row r="511" spans="1:8" ht="17" x14ac:dyDescent="0.2">
      <c r="A511">
        <v>510</v>
      </c>
      <c r="B511" cm="1">
        <f t="array" ref="B511:G511">_xlfn.XLOOKUP($A511,Instagram_Usage_Lifestyle_Mini_!$A:$A,Instagram_Usage_Lifestyle_Mini_!$W:$AB,"Not Found")</f>
        <v>46.7</v>
      </c>
      <c r="C511">
        <v>4</v>
      </c>
      <c r="D511">
        <v>5</v>
      </c>
      <c r="E511">
        <v>9</v>
      </c>
      <c r="F511">
        <v>1.5</v>
      </c>
      <c r="G511">
        <v>4</v>
      </c>
      <c r="H511" s="13" t="str" cm="1">
        <f t="array" ref="H511">_xlfn.IFS(B511&lt;20,"Low",B511&lt;=40,"Moderate",B511&lt;=60,"High",TRUE,"Very High")</f>
        <v>High</v>
      </c>
    </row>
    <row r="512" spans="1:8" ht="17" x14ac:dyDescent="0.2">
      <c r="A512">
        <v>511</v>
      </c>
      <c r="B512" cm="1">
        <f t="array" ref="B512:G512">_xlfn.XLOOKUP($A512,Instagram_Usage_Lifestyle_Mini_!$A:$A,Instagram_Usage_Lifestyle_Mini_!$W:$AB,"Not Found")</f>
        <v>51</v>
      </c>
      <c r="C512">
        <v>4</v>
      </c>
      <c r="D512">
        <v>3</v>
      </c>
      <c r="E512">
        <v>10</v>
      </c>
      <c r="F512">
        <v>4.9000000000000004</v>
      </c>
      <c r="G512">
        <v>7</v>
      </c>
      <c r="H512" s="13" t="str" cm="1">
        <f t="array" ref="H512">_xlfn.IFS(B512&lt;20,"Low",B512&lt;=40,"Moderate",B512&lt;=60,"High",TRUE,"Very High")</f>
        <v>High</v>
      </c>
    </row>
    <row r="513" spans="1:8" ht="17" x14ac:dyDescent="0.2">
      <c r="A513">
        <v>512</v>
      </c>
      <c r="B513" cm="1">
        <f t="array" ref="B513:G513">_xlfn.XLOOKUP($A513,Instagram_Usage_Lifestyle_Mini_!$A:$A,Instagram_Usage_Lifestyle_Mini_!$W:$AB,"Not Found")</f>
        <v>50.9</v>
      </c>
      <c r="C513">
        <v>2</v>
      </c>
      <c r="D513">
        <v>2</v>
      </c>
      <c r="E513">
        <v>8</v>
      </c>
      <c r="F513">
        <v>2.7</v>
      </c>
      <c r="G513">
        <v>3</v>
      </c>
      <c r="H513" s="13" t="str" cm="1">
        <f t="array" ref="H513">_xlfn.IFS(B513&lt;20,"Low",B513&lt;=40,"Moderate",B513&lt;=60,"High",TRUE,"Very High")</f>
        <v>High</v>
      </c>
    </row>
    <row r="514" spans="1:8" ht="17" x14ac:dyDescent="0.2">
      <c r="A514">
        <v>513</v>
      </c>
      <c r="B514" cm="1">
        <f t="array" ref="B514:G514">_xlfn.XLOOKUP($A514,Instagram_Usage_Lifestyle_Mini_!$A:$A,Instagram_Usage_Lifestyle_Mini_!$W:$AB,"Not Found")</f>
        <v>41.2</v>
      </c>
      <c r="C514">
        <v>3</v>
      </c>
      <c r="D514">
        <v>6</v>
      </c>
      <c r="E514">
        <v>11</v>
      </c>
      <c r="F514">
        <v>3.9</v>
      </c>
      <c r="G514">
        <v>4</v>
      </c>
      <c r="H514" s="13" t="str" cm="1">
        <f t="array" ref="H514">_xlfn.IFS(B514&lt;20,"Low",B514&lt;=40,"Moderate",B514&lt;=60,"High",TRUE,"Very High")</f>
        <v>High</v>
      </c>
    </row>
    <row r="515" spans="1:8" ht="17" x14ac:dyDescent="0.2">
      <c r="A515">
        <v>514</v>
      </c>
      <c r="B515" cm="1">
        <f t="array" ref="B515:G515">_xlfn.XLOOKUP($A515,Instagram_Usage_Lifestyle_Mini_!$A:$A,Instagram_Usage_Lifestyle_Mini_!$W:$AB,"Not Found")</f>
        <v>40.799999999999997</v>
      </c>
      <c r="C515">
        <v>5</v>
      </c>
      <c r="D515">
        <v>6</v>
      </c>
      <c r="E515">
        <v>10</v>
      </c>
      <c r="F515">
        <v>7.3</v>
      </c>
      <c r="G515">
        <v>3</v>
      </c>
      <c r="H515" s="13" t="str" cm="1">
        <f t="array" ref="H515">_xlfn.IFS(B515&lt;20,"Low",B515&lt;=40,"Moderate",B515&lt;=60,"High",TRUE,"Very High")</f>
        <v>High</v>
      </c>
    </row>
    <row r="516" spans="1:8" ht="17" x14ac:dyDescent="0.2">
      <c r="A516">
        <v>515</v>
      </c>
      <c r="B516" cm="1">
        <f t="array" ref="B516:G516">_xlfn.XLOOKUP($A516,Instagram_Usage_Lifestyle_Mini_!$A:$A,Instagram_Usage_Lifestyle_Mini_!$W:$AB,"Not Found")</f>
        <v>35.1</v>
      </c>
      <c r="C516">
        <v>3</v>
      </c>
      <c r="D516">
        <v>0</v>
      </c>
      <c r="E516">
        <v>8</v>
      </c>
      <c r="F516">
        <v>6.6</v>
      </c>
      <c r="G516">
        <v>4</v>
      </c>
      <c r="H516" s="13" t="str" cm="1">
        <f t="array" ref="H516">_xlfn.IFS(B516&lt;20,"Low",B516&lt;=40,"Moderate",B516&lt;=60,"High",TRUE,"Very High")</f>
        <v>Moderate</v>
      </c>
    </row>
    <row r="517" spans="1:8" ht="17" x14ac:dyDescent="0.2">
      <c r="A517">
        <v>516</v>
      </c>
      <c r="B517" cm="1">
        <f t="array" ref="B517:G517">_xlfn.XLOOKUP($A517,Instagram_Usage_Lifestyle_Mini_!$A:$A,Instagram_Usage_Lifestyle_Mini_!$W:$AB,"Not Found")</f>
        <v>41.1</v>
      </c>
      <c r="C517">
        <v>1</v>
      </c>
      <c r="D517">
        <v>1</v>
      </c>
      <c r="E517">
        <v>11</v>
      </c>
      <c r="F517">
        <v>4.3</v>
      </c>
      <c r="G517">
        <v>1</v>
      </c>
      <c r="H517" s="13" t="str" cm="1">
        <f t="array" ref="H517">_xlfn.IFS(B517&lt;20,"Low",B517&lt;=40,"Moderate",B517&lt;=60,"High",TRUE,"Very High")</f>
        <v>High</v>
      </c>
    </row>
    <row r="518" spans="1:8" ht="17" x14ac:dyDescent="0.2">
      <c r="A518">
        <v>517</v>
      </c>
      <c r="B518" cm="1">
        <f t="array" ref="B518:G518">_xlfn.XLOOKUP($A518,Instagram_Usage_Lifestyle_Mini_!$A:$A,Instagram_Usage_Lifestyle_Mini_!$W:$AB,"Not Found")</f>
        <v>40.799999999999997</v>
      </c>
      <c r="C518">
        <v>5</v>
      </c>
      <c r="D518">
        <v>3</v>
      </c>
      <c r="E518">
        <v>11</v>
      </c>
      <c r="F518">
        <v>7.6</v>
      </c>
      <c r="G518">
        <v>2</v>
      </c>
      <c r="H518" s="13" t="str" cm="1">
        <f t="array" ref="H518">_xlfn.IFS(B518&lt;20,"Low",B518&lt;=40,"Moderate",B518&lt;=60,"High",TRUE,"Very High")</f>
        <v>High</v>
      </c>
    </row>
    <row r="519" spans="1:8" ht="17" x14ac:dyDescent="0.2">
      <c r="A519">
        <v>518</v>
      </c>
      <c r="B519" cm="1">
        <f t="array" ref="B519:G519">_xlfn.XLOOKUP($A519,Instagram_Usage_Lifestyle_Mini_!$A:$A,Instagram_Usage_Lifestyle_Mini_!$W:$AB,"Not Found")</f>
        <v>36</v>
      </c>
      <c r="C519">
        <v>2</v>
      </c>
      <c r="D519">
        <v>1</v>
      </c>
      <c r="E519">
        <v>11</v>
      </c>
      <c r="F519">
        <v>3.4</v>
      </c>
      <c r="G519">
        <v>3</v>
      </c>
      <c r="H519" s="13" t="str" cm="1">
        <f t="array" ref="H519">_xlfn.IFS(B519&lt;20,"Low",B519&lt;=40,"Moderate",B519&lt;=60,"High",TRUE,"Very High")</f>
        <v>Moderate</v>
      </c>
    </row>
    <row r="520" spans="1:8" ht="17" x14ac:dyDescent="0.2">
      <c r="A520">
        <v>519</v>
      </c>
      <c r="B520" cm="1">
        <f t="array" ref="B520:G520">_xlfn.XLOOKUP($A520,Instagram_Usage_Lifestyle_Mini_!$A:$A,Instagram_Usage_Lifestyle_Mini_!$W:$AB,"Not Found")</f>
        <v>49.6</v>
      </c>
      <c r="C520">
        <v>2</v>
      </c>
      <c r="D520">
        <v>0</v>
      </c>
      <c r="E520">
        <v>13</v>
      </c>
      <c r="F520">
        <v>4</v>
      </c>
      <c r="G520">
        <v>4</v>
      </c>
      <c r="H520" s="13" t="str" cm="1">
        <f t="array" ref="H520">_xlfn.IFS(B520&lt;20,"Low",B520&lt;=40,"Moderate",B520&lt;=60,"High",TRUE,"Very High")</f>
        <v>High</v>
      </c>
    </row>
    <row r="521" spans="1:8" ht="17" x14ac:dyDescent="0.2">
      <c r="A521">
        <v>520</v>
      </c>
      <c r="B521" cm="1">
        <f t="array" ref="B521:G521">_xlfn.XLOOKUP($A521,Instagram_Usage_Lifestyle_Mini_!$A:$A,Instagram_Usage_Lifestyle_Mini_!$W:$AB,"Not Found")</f>
        <v>53.7</v>
      </c>
      <c r="C521">
        <v>5</v>
      </c>
      <c r="D521">
        <v>5</v>
      </c>
      <c r="E521">
        <v>11</v>
      </c>
      <c r="F521">
        <v>8.6999999999999993</v>
      </c>
      <c r="G521">
        <v>3</v>
      </c>
      <c r="H521" s="13" t="str" cm="1">
        <f t="array" ref="H521">_xlfn.IFS(B521&lt;20,"Low",B521&lt;=40,"Moderate",B521&lt;=60,"High",TRUE,"Very High")</f>
        <v>High</v>
      </c>
    </row>
    <row r="522" spans="1:8" ht="17" x14ac:dyDescent="0.2">
      <c r="A522">
        <v>521</v>
      </c>
      <c r="B522" cm="1">
        <f t="array" ref="B522:G522">_xlfn.XLOOKUP($A522,Instagram_Usage_Lifestyle_Mini_!$A:$A,Instagram_Usage_Lifestyle_Mini_!$W:$AB,"Not Found")</f>
        <v>36.4</v>
      </c>
      <c r="C522">
        <v>2</v>
      </c>
      <c r="D522">
        <v>2</v>
      </c>
      <c r="E522">
        <v>6</v>
      </c>
      <c r="F522">
        <v>2.4</v>
      </c>
      <c r="G522">
        <v>5</v>
      </c>
      <c r="H522" s="13" t="str" cm="1">
        <f t="array" ref="H522">_xlfn.IFS(B522&lt;20,"Low",B522&lt;=40,"Moderate",B522&lt;=60,"High",TRUE,"Very High")</f>
        <v>Moderate</v>
      </c>
    </row>
    <row r="523" spans="1:8" ht="17" x14ac:dyDescent="0.2">
      <c r="A523">
        <v>522</v>
      </c>
      <c r="B523" cm="1">
        <f t="array" ref="B523:G523">_xlfn.XLOOKUP($A523,Instagram_Usage_Lifestyle_Mini_!$A:$A,Instagram_Usage_Lifestyle_Mini_!$W:$AB,"Not Found")</f>
        <v>41.9</v>
      </c>
      <c r="C523">
        <v>3</v>
      </c>
      <c r="D523">
        <v>6</v>
      </c>
      <c r="E523">
        <v>10</v>
      </c>
      <c r="F523">
        <v>5.3</v>
      </c>
      <c r="G523">
        <v>3</v>
      </c>
      <c r="H523" s="13" t="str" cm="1">
        <f t="array" ref="H523">_xlfn.IFS(B523&lt;20,"Low",B523&lt;=40,"Moderate",B523&lt;=60,"High",TRUE,"Very High")</f>
        <v>High</v>
      </c>
    </row>
    <row r="524" spans="1:8" ht="17" x14ac:dyDescent="0.2">
      <c r="A524">
        <v>523</v>
      </c>
      <c r="B524" cm="1">
        <f t="array" ref="B524:G524">_xlfn.XLOOKUP($A524,Instagram_Usage_Lifestyle_Mini_!$A:$A,Instagram_Usage_Lifestyle_Mini_!$W:$AB,"Not Found")</f>
        <v>24.1</v>
      </c>
      <c r="C524">
        <v>3</v>
      </c>
      <c r="D524">
        <v>5</v>
      </c>
      <c r="E524">
        <v>12</v>
      </c>
      <c r="F524">
        <v>4</v>
      </c>
      <c r="G524">
        <v>7</v>
      </c>
      <c r="H524" s="13" t="str" cm="1">
        <f t="array" ref="H524">_xlfn.IFS(B524&lt;20,"Low",B524&lt;=40,"Moderate",B524&lt;=60,"High",TRUE,"Very High")</f>
        <v>Moderate</v>
      </c>
    </row>
    <row r="525" spans="1:8" ht="17" x14ac:dyDescent="0.2">
      <c r="A525">
        <v>524</v>
      </c>
      <c r="B525" cm="1">
        <f t="array" ref="B525:G525">_xlfn.XLOOKUP($A525,Instagram_Usage_Lifestyle_Mini_!$A:$A,Instagram_Usage_Lifestyle_Mini_!$W:$AB,"Not Found")</f>
        <v>35.200000000000003</v>
      </c>
      <c r="C525">
        <v>2</v>
      </c>
      <c r="D525">
        <v>1</v>
      </c>
      <c r="E525">
        <v>11</v>
      </c>
      <c r="F525">
        <v>1.3</v>
      </c>
      <c r="G525">
        <v>2</v>
      </c>
      <c r="H525" s="13" t="str" cm="1">
        <f t="array" ref="H525">_xlfn.IFS(B525&lt;20,"Low",B525&lt;=40,"Moderate",B525&lt;=60,"High",TRUE,"Very High")</f>
        <v>Moderate</v>
      </c>
    </row>
    <row r="526" spans="1:8" ht="17" x14ac:dyDescent="0.2">
      <c r="A526">
        <v>525</v>
      </c>
      <c r="B526" cm="1">
        <f t="array" ref="B526:G526">_xlfn.XLOOKUP($A526,Instagram_Usage_Lifestyle_Mini_!$A:$A,Instagram_Usage_Lifestyle_Mini_!$W:$AB,"Not Found")</f>
        <v>39.1</v>
      </c>
      <c r="C526">
        <v>2</v>
      </c>
      <c r="D526">
        <v>5</v>
      </c>
      <c r="E526">
        <v>16</v>
      </c>
      <c r="F526">
        <v>7.4</v>
      </c>
      <c r="G526">
        <v>2</v>
      </c>
      <c r="H526" s="13" t="str" cm="1">
        <f t="array" ref="H526">_xlfn.IFS(B526&lt;20,"Low",B526&lt;=40,"Moderate",B526&lt;=60,"High",TRUE,"Very High")</f>
        <v>Moderate</v>
      </c>
    </row>
    <row r="527" spans="1:8" ht="17" x14ac:dyDescent="0.2">
      <c r="A527">
        <v>526</v>
      </c>
      <c r="B527" cm="1">
        <f t="array" ref="B527:G527">_xlfn.XLOOKUP($A527,Instagram_Usage_Lifestyle_Mini_!$A:$A,Instagram_Usage_Lifestyle_Mini_!$W:$AB,"Not Found")</f>
        <v>56.4</v>
      </c>
      <c r="C527">
        <v>5</v>
      </c>
      <c r="D527">
        <v>2</v>
      </c>
      <c r="E527">
        <v>8</v>
      </c>
      <c r="F527">
        <v>5.3</v>
      </c>
      <c r="G527">
        <v>2</v>
      </c>
      <c r="H527" s="13" t="str" cm="1">
        <f t="array" ref="H527">_xlfn.IFS(B527&lt;20,"Low",B527&lt;=40,"Moderate",B527&lt;=60,"High",TRUE,"Very High")</f>
        <v>High</v>
      </c>
    </row>
    <row r="528" spans="1:8" ht="17" x14ac:dyDescent="0.2">
      <c r="A528">
        <v>527</v>
      </c>
      <c r="B528" cm="1">
        <f t="array" ref="B528:G528">_xlfn.XLOOKUP($A528,Instagram_Usage_Lifestyle_Mini_!$A:$A,Instagram_Usage_Lifestyle_Mini_!$W:$AB,"Not Found")</f>
        <v>13.6</v>
      </c>
      <c r="C528">
        <v>1</v>
      </c>
      <c r="D528">
        <v>4</v>
      </c>
      <c r="E528">
        <v>12</v>
      </c>
      <c r="F528">
        <v>3.2</v>
      </c>
      <c r="G528">
        <v>2</v>
      </c>
      <c r="H528" s="13" t="str" cm="1">
        <f t="array" ref="H528">_xlfn.IFS(B528&lt;20,"Low",B528&lt;=40,"Moderate",B528&lt;=60,"High",TRUE,"Very High")</f>
        <v>Low</v>
      </c>
    </row>
    <row r="529" spans="1:8" ht="17" x14ac:dyDescent="0.2">
      <c r="A529">
        <v>528</v>
      </c>
      <c r="B529" cm="1">
        <f t="array" ref="B529:G529">_xlfn.XLOOKUP($A529,Instagram_Usage_Lifestyle_Mini_!$A:$A,Instagram_Usage_Lifestyle_Mini_!$W:$AB,"Not Found")</f>
        <v>22.8</v>
      </c>
      <c r="C529">
        <v>3</v>
      </c>
      <c r="D529">
        <v>2</v>
      </c>
      <c r="E529">
        <v>9</v>
      </c>
      <c r="F529">
        <v>2.5</v>
      </c>
      <c r="G529">
        <v>2</v>
      </c>
      <c r="H529" s="13" t="str" cm="1">
        <f t="array" ref="H529">_xlfn.IFS(B529&lt;20,"Low",B529&lt;=40,"Moderate",B529&lt;=60,"High",TRUE,"Very High")</f>
        <v>Moderate</v>
      </c>
    </row>
    <row r="530" spans="1:8" ht="17" x14ac:dyDescent="0.2">
      <c r="A530">
        <v>529</v>
      </c>
      <c r="B530" cm="1">
        <f t="array" ref="B530:G530">_xlfn.XLOOKUP($A530,Instagram_Usage_Lifestyle_Mini_!$A:$A,Instagram_Usage_Lifestyle_Mini_!$W:$AB,"Not Found")</f>
        <v>45.1</v>
      </c>
      <c r="C530">
        <v>3</v>
      </c>
      <c r="D530">
        <v>2</v>
      </c>
      <c r="E530">
        <v>14</v>
      </c>
      <c r="F530">
        <v>4.4000000000000004</v>
      </c>
      <c r="G530">
        <v>4</v>
      </c>
      <c r="H530" s="13" t="str" cm="1">
        <f t="array" ref="H530">_xlfn.IFS(B530&lt;20,"Low",B530&lt;=40,"Moderate",B530&lt;=60,"High",TRUE,"Very High")</f>
        <v>High</v>
      </c>
    </row>
    <row r="531" spans="1:8" ht="17" x14ac:dyDescent="0.2">
      <c r="A531">
        <v>530</v>
      </c>
      <c r="B531" cm="1">
        <f t="array" ref="B531:G531">_xlfn.XLOOKUP($A531,Instagram_Usage_Lifestyle_Mini_!$A:$A,Instagram_Usage_Lifestyle_Mini_!$W:$AB,"Not Found")</f>
        <v>40.5</v>
      </c>
      <c r="C531">
        <v>3</v>
      </c>
      <c r="D531">
        <v>4</v>
      </c>
      <c r="E531">
        <v>8</v>
      </c>
      <c r="F531">
        <v>2.1</v>
      </c>
      <c r="G531">
        <v>1</v>
      </c>
      <c r="H531" s="13" t="str" cm="1">
        <f t="array" ref="H531">_xlfn.IFS(B531&lt;20,"Low",B531&lt;=40,"Moderate",B531&lt;=60,"High",TRUE,"Very High")</f>
        <v>High</v>
      </c>
    </row>
    <row r="532" spans="1:8" ht="17" x14ac:dyDescent="0.2">
      <c r="A532">
        <v>531</v>
      </c>
      <c r="B532" cm="1">
        <f t="array" ref="B532:G532">_xlfn.XLOOKUP($A532,Instagram_Usage_Lifestyle_Mini_!$A:$A,Instagram_Usage_Lifestyle_Mini_!$W:$AB,"Not Found")</f>
        <v>29.5</v>
      </c>
      <c r="C532">
        <v>6</v>
      </c>
      <c r="D532">
        <v>4</v>
      </c>
      <c r="E532">
        <v>8</v>
      </c>
      <c r="F532">
        <v>0.7</v>
      </c>
      <c r="G532">
        <v>3</v>
      </c>
      <c r="H532" s="13" t="str" cm="1">
        <f t="array" ref="H532">_xlfn.IFS(B532&lt;20,"Low",B532&lt;=40,"Moderate",B532&lt;=60,"High",TRUE,"Very High")</f>
        <v>Moderate</v>
      </c>
    </row>
    <row r="533" spans="1:8" ht="17" x14ac:dyDescent="0.2">
      <c r="A533">
        <v>532</v>
      </c>
      <c r="B533" cm="1">
        <f t="array" ref="B533:G533">_xlfn.XLOOKUP($A533,Instagram_Usage_Lifestyle_Mini_!$A:$A,Instagram_Usage_Lifestyle_Mini_!$W:$AB,"Not Found")</f>
        <v>22.2</v>
      </c>
      <c r="C533">
        <v>4</v>
      </c>
      <c r="D533">
        <v>0</v>
      </c>
      <c r="E533">
        <v>13</v>
      </c>
      <c r="F533">
        <v>7.8</v>
      </c>
      <c r="G533">
        <v>1</v>
      </c>
      <c r="H533" s="13" t="str" cm="1">
        <f t="array" ref="H533">_xlfn.IFS(B533&lt;20,"Low",B533&lt;=40,"Moderate",B533&lt;=60,"High",TRUE,"Very High")</f>
        <v>Moderate</v>
      </c>
    </row>
    <row r="534" spans="1:8" ht="17" x14ac:dyDescent="0.2">
      <c r="A534">
        <v>533</v>
      </c>
      <c r="B534" cm="1">
        <f t="array" ref="B534:G534">_xlfn.XLOOKUP($A534,Instagram_Usage_Lifestyle_Mini_!$A:$A,Instagram_Usage_Lifestyle_Mini_!$W:$AB,"Not Found")</f>
        <v>36.5</v>
      </c>
      <c r="C534">
        <v>5</v>
      </c>
      <c r="D534">
        <v>3</v>
      </c>
      <c r="E534">
        <v>11</v>
      </c>
      <c r="F534">
        <v>4</v>
      </c>
      <c r="G534">
        <v>3</v>
      </c>
      <c r="H534" s="13" t="str" cm="1">
        <f t="array" ref="H534">_xlfn.IFS(B534&lt;20,"Low",B534&lt;=40,"Moderate",B534&lt;=60,"High",TRUE,"Very High")</f>
        <v>Moderate</v>
      </c>
    </row>
    <row r="535" spans="1:8" ht="17" x14ac:dyDescent="0.2">
      <c r="A535">
        <v>534</v>
      </c>
      <c r="B535" cm="1">
        <f t="array" ref="B535:G535">_xlfn.XLOOKUP($A535,Instagram_Usage_Lifestyle_Mini_!$A:$A,Instagram_Usage_Lifestyle_Mini_!$W:$AB,"Not Found")</f>
        <v>48</v>
      </c>
      <c r="C535">
        <v>4</v>
      </c>
      <c r="D535">
        <v>2</v>
      </c>
      <c r="E535">
        <v>10</v>
      </c>
      <c r="F535">
        <v>4.3</v>
      </c>
      <c r="G535">
        <v>4</v>
      </c>
      <c r="H535" s="13" t="str" cm="1">
        <f t="array" ref="H535">_xlfn.IFS(B535&lt;20,"Low",B535&lt;=40,"Moderate",B535&lt;=60,"High",TRUE,"Very High")</f>
        <v>High</v>
      </c>
    </row>
    <row r="536" spans="1:8" ht="17" x14ac:dyDescent="0.2">
      <c r="A536">
        <v>535</v>
      </c>
      <c r="B536" cm="1">
        <f t="array" ref="B536:G536">_xlfn.XLOOKUP($A536,Instagram_Usage_Lifestyle_Mini_!$A:$A,Instagram_Usage_Lifestyle_Mini_!$W:$AB,"Not Found")</f>
        <v>54.3</v>
      </c>
      <c r="C536">
        <v>2</v>
      </c>
      <c r="D536">
        <v>2</v>
      </c>
      <c r="E536">
        <v>2</v>
      </c>
      <c r="F536">
        <v>5.7</v>
      </c>
      <c r="G536">
        <v>6</v>
      </c>
      <c r="H536" s="13" t="str" cm="1">
        <f t="array" ref="H536">_xlfn.IFS(B536&lt;20,"Low",B536&lt;=40,"Moderate",B536&lt;=60,"High",TRUE,"Very High")</f>
        <v>High</v>
      </c>
    </row>
    <row r="537" spans="1:8" ht="17" x14ac:dyDescent="0.2">
      <c r="A537">
        <v>536</v>
      </c>
      <c r="B537" cm="1">
        <f t="array" ref="B537:G537">_xlfn.XLOOKUP($A537,Instagram_Usage_Lifestyle_Mini_!$A:$A,Instagram_Usage_Lifestyle_Mini_!$W:$AB,"Not Found")</f>
        <v>45.3</v>
      </c>
      <c r="C537">
        <v>3</v>
      </c>
      <c r="D537">
        <v>6</v>
      </c>
      <c r="E537">
        <v>14</v>
      </c>
      <c r="F537">
        <v>8.6999999999999993</v>
      </c>
      <c r="G537">
        <v>2</v>
      </c>
      <c r="H537" s="13" t="str" cm="1">
        <f t="array" ref="H537">_xlfn.IFS(B537&lt;20,"Low",B537&lt;=40,"Moderate",B537&lt;=60,"High",TRUE,"Very High")</f>
        <v>High</v>
      </c>
    </row>
    <row r="538" spans="1:8" ht="17" x14ac:dyDescent="0.2">
      <c r="A538">
        <v>537</v>
      </c>
      <c r="B538" cm="1">
        <f t="array" ref="B538:G538">_xlfn.XLOOKUP($A538,Instagram_Usage_Lifestyle_Mini_!$A:$A,Instagram_Usage_Lifestyle_Mini_!$W:$AB,"Not Found")</f>
        <v>34.5</v>
      </c>
      <c r="C538">
        <v>5</v>
      </c>
      <c r="D538">
        <v>4</v>
      </c>
      <c r="E538">
        <v>11</v>
      </c>
      <c r="F538">
        <v>7.2</v>
      </c>
      <c r="G538">
        <v>3</v>
      </c>
      <c r="H538" s="13" t="str" cm="1">
        <f t="array" ref="H538">_xlfn.IFS(B538&lt;20,"Low",B538&lt;=40,"Moderate",B538&lt;=60,"High",TRUE,"Very High")</f>
        <v>Moderate</v>
      </c>
    </row>
    <row r="539" spans="1:8" ht="17" x14ac:dyDescent="0.2">
      <c r="A539">
        <v>538</v>
      </c>
      <c r="B539" cm="1">
        <f t="array" ref="B539:G539">_xlfn.XLOOKUP($A539,Instagram_Usage_Lifestyle_Mini_!$A:$A,Instagram_Usage_Lifestyle_Mini_!$W:$AB,"Not Found")</f>
        <v>30.6</v>
      </c>
      <c r="C539">
        <v>2</v>
      </c>
      <c r="D539">
        <v>2</v>
      </c>
      <c r="E539">
        <v>9</v>
      </c>
      <c r="F539">
        <v>3.9</v>
      </c>
      <c r="G539">
        <v>3</v>
      </c>
      <c r="H539" s="13" t="str" cm="1">
        <f t="array" ref="H539">_xlfn.IFS(B539&lt;20,"Low",B539&lt;=40,"Moderate",B539&lt;=60,"High",TRUE,"Very High")</f>
        <v>Moderate</v>
      </c>
    </row>
    <row r="540" spans="1:8" ht="17" x14ac:dyDescent="0.2">
      <c r="A540">
        <v>539</v>
      </c>
      <c r="B540" cm="1">
        <f t="array" ref="B540:G540">_xlfn.XLOOKUP($A540,Instagram_Usage_Lifestyle_Mini_!$A:$A,Instagram_Usage_Lifestyle_Mini_!$W:$AB,"Not Found")</f>
        <v>41.9</v>
      </c>
      <c r="C540">
        <v>5</v>
      </c>
      <c r="D540">
        <v>7</v>
      </c>
      <c r="E540">
        <v>19</v>
      </c>
      <c r="F540">
        <v>4.5999999999999996</v>
      </c>
      <c r="G540">
        <v>2</v>
      </c>
      <c r="H540" s="13" t="str" cm="1">
        <f t="array" ref="H540">_xlfn.IFS(B540&lt;20,"Low",B540&lt;=40,"Moderate",B540&lt;=60,"High",TRUE,"Very High")</f>
        <v>High</v>
      </c>
    </row>
    <row r="541" spans="1:8" ht="17" x14ac:dyDescent="0.2">
      <c r="A541">
        <v>540</v>
      </c>
      <c r="B541" cm="1">
        <f t="array" ref="B541:G541">_xlfn.XLOOKUP($A541,Instagram_Usage_Lifestyle_Mini_!$A:$A,Instagram_Usage_Lifestyle_Mini_!$W:$AB,"Not Found")</f>
        <v>47.8</v>
      </c>
      <c r="C541">
        <v>0</v>
      </c>
      <c r="D541">
        <v>4</v>
      </c>
      <c r="E541">
        <v>11</v>
      </c>
      <c r="F541">
        <v>2.4</v>
      </c>
      <c r="G541">
        <v>2</v>
      </c>
      <c r="H541" s="13" t="str" cm="1">
        <f t="array" ref="H541">_xlfn.IFS(B541&lt;20,"Low",B541&lt;=40,"Moderate",B541&lt;=60,"High",TRUE,"Very High")</f>
        <v>High</v>
      </c>
    </row>
    <row r="542" spans="1:8" ht="17" x14ac:dyDescent="0.2">
      <c r="A542">
        <v>541</v>
      </c>
      <c r="B542" cm="1">
        <f t="array" ref="B542:G542">_xlfn.XLOOKUP($A542,Instagram_Usage_Lifestyle_Mini_!$A:$A,Instagram_Usage_Lifestyle_Mini_!$W:$AB,"Not Found")</f>
        <v>61.1</v>
      </c>
      <c r="C542">
        <v>6</v>
      </c>
      <c r="D542">
        <v>4</v>
      </c>
      <c r="E542">
        <v>8</v>
      </c>
      <c r="F542">
        <v>2.7</v>
      </c>
      <c r="G542">
        <v>4</v>
      </c>
      <c r="H542" s="13" t="str" cm="1">
        <f t="array" ref="H542">_xlfn.IFS(B542&lt;20,"Low",B542&lt;=40,"Moderate",B542&lt;=60,"High",TRUE,"Very High")</f>
        <v>Very High</v>
      </c>
    </row>
    <row r="543" spans="1:8" ht="17" x14ac:dyDescent="0.2">
      <c r="A543">
        <v>542</v>
      </c>
      <c r="B543" cm="1">
        <f t="array" ref="B543:G543">_xlfn.XLOOKUP($A543,Instagram_Usage_Lifestyle_Mini_!$A:$A,Instagram_Usage_Lifestyle_Mini_!$W:$AB,"Not Found")</f>
        <v>33.4</v>
      </c>
      <c r="C543">
        <v>2</v>
      </c>
      <c r="D543">
        <v>5</v>
      </c>
      <c r="E543">
        <v>9</v>
      </c>
      <c r="F543">
        <v>2.6</v>
      </c>
      <c r="G543">
        <v>2</v>
      </c>
      <c r="H543" s="13" t="str" cm="1">
        <f t="array" ref="H543">_xlfn.IFS(B543&lt;20,"Low",B543&lt;=40,"Moderate",B543&lt;=60,"High",TRUE,"Very High")</f>
        <v>Moderate</v>
      </c>
    </row>
    <row r="544" spans="1:8" ht="17" x14ac:dyDescent="0.2">
      <c r="A544">
        <v>543</v>
      </c>
      <c r="B544" cm="1">
        <f t="array" ref="B544:G544">_xlfn.XLOOKUP($A544,Instagram_Usage_Lifestyle_Mini_!$A:$A,Instagram_Usage_Lifestyle_Mini_!$W:$AB,"Not Found")</f>
        <v>42.2</v>
      </c>
      <c r="C544">
        <v>0</v>
      </c>
      <c r="D544">
        <v>2</v>
      </c>
      <c r="E544">
        <v>8</v>
      </c>
      <c r="F544">
        <v>5.0999999999999996</v>
      </c>
      <c r="G544">
        <v>4</v>
      </c>
      <c r="H544" s="13" t="str" cm="1">
        <f t="array" ref="H544">_xlfn.IFS(B544&lt;20,"Low",B544&lt;=40,"Moderate",B544&lt;=60,"High",TRUE,"Very High")</f>
        <v>High</v>
      </c>
    </row>
    <row r="545" spans="1:8" ht="17" x14ac:dyDescent="0.2">
      <c r="A545">
        <v>544</v>
      </c>
      <c r="B545" cm="1">
        <f t="array" ref="B545:G545">_xlfn.XLOOKUP($A545,Instagram_Usage_Lifestyle_Mini_!$A:$A,Instagram_Usage_Lifestyle_Mini_!$W:$AB,"Not Found")</f>
        <v>29.5</v>
      </c>
      <c r="C545">
        <v>1</v>
      </c>
      <c r="D545">
        <v>3</v>
      </c>
      <c r="E545">
        <v>7</v>
      </c>
      <c r="F545">
        <v>7.5</v>
      </c>
      <c r="G545">
        <v>6</v>
      </c>
      <c r="H545" s="13" t="str" cm="1">
        <f t="array" ref="H545">_xlfn.IFS(B545&lt;20,"Low",B545&lt;=40,"Moderate",B545&lt;=60,"High",TRUE,"Very High")</f>
        <v>Moderate</v>
      </c>
    </row>
    <row r="546" spans="1:8" ht="17" x14ac:dyDescent="0.2">
      <c r="A546">
        <v>545</v>
      </c>
      <c r="B546" cm="1">
        <f t="array" ref="B546:G546">_xlfn.XLOOKUP($A546,Instagram_Usage_Lifestyle_Mini_!$A:$A,Instagram_Usage_Lifestyle_Mini_!$W:$AB,"Not Found")</f>
        <v>43.6</v>
      </c>
      <c r="C546">
        <v>2</v>
      </c>
      <c r="D546">
        <v>3</v>
      </c>
      <c r="E546">
        <v>14</v>
      </c>
      <c r="F546">
        <v>7.3</v>
      </c>
      <c r="G546">
        <v>2</v>
      </c>
      <c r="H546" s="13" t="str" cm="1">
        <f t="array" ref="H546">_xlfn.IFS(B546&lt;20,"Low",B546&lt;=40,"Moderate",B546&lt;=60,"High",TRUE,"Very High")</f>
        <v>High</v>
      </c>
    </row>
    <row r="547" spans="1:8" ht="17" x14ac:dyDescent="0.2">
      <c r="A547">
        <v>546</v>
      </c>
      <c r="B547" cm="1">
        <f t="array" ref="B547:G547">_xlfn.XLOOKUP($A547,Instagram_Usage_Lifestyle_Mini_!$A:$A,Instagram_Usage_Lifestyle_Mini_!$W:$AB,"Not Found")</f>
        <v>37</v>
      </c>
      <c r="C547">
        <v>3</v>
      </c>
      <c r="D547">
        <v>4</v>
      </c>
      <c r="E547">
        <v>12</v>
      </c>
      <c r="F547">
        <v>5.7</v>
      </c>
      <c r="G547">
        <v>3</v>
      </c>
      <c r="H547" s="13" t="str" cm="1">
        <f t="array" ref="H547">_xlfn.IFS(B547&lt;20,"Low",B547&lt;=40,"Moderate",B547&lt;=60,"High",TRUE,"Very High")</f>
        <v>Moderate</v>
      </c>
    </row>
    <row r="548" spans="1:8" ht="17" x14ac:dyDescent="0.2">
      <c r="A548">
        <v>547</v>
      </c>
      <c r="B548" cm="1">
        <f t="array" ref="B548:G548">_xlfn.XLOOKUP($A548,Instagram_Usage_Lifestyle_Mini_!$A:$A,Instagram_Usage_Lifestyle_Mini_!$W:$AB,"Not Found")</f>
        <v>40.700000000000003</v>
      </c>
      <c r="C548">
        <v>3</v>
      </c>
      <c r="D548">
        <v>2</v>
      </c>
      <c r="E548">
        <v>9</v>
      </c>
      <c r="F548">
        <v>1.4</v>
      </c>
      <c r="G548">
        <v>2</v>
      </c>
      <c r="H548" s="13" t="str" cm="1">
        <f t="array" ref="H548">_xlfn.IFS(B548&lt;20,"Low",B548&lt;=40,"Moderate",B548&lt;=60,"High",TRUE,"Very High")</f>
        <v>High</v>
      </c>
    </row>
    <row r="549" spans="1:8" ht="17" x14ac:dyDescent="0.2">
      <c r="A549">
        <v>548</v>
      </c>
      <c r="B549" cm="1">
        <f t="array" ref="B549:G549">_xlfn.XLOOKUP($A549,Instagram_Usage_Lifestyle_Mini_!$A:$A,Instagram_Usage_Lifestyle_Mini_!$W:$AB,"Not Found")</f>
        <v>29</v>
      </c>
      <c r="C549">
        <v>2</v>
      </c>
      <c r="D549">
        <v>2</v>
      </c>
      <c r="E549">
        <v>7</v>
      </c>
      <c r="F549">
        <v>5.0999999999999996</v>
      </c>
      <c r="G549">
        <v>7</v>
      </c>
      <c r="H549" s="13" t="str" cm="1">
        <f t="array" ref="H549">_xlfn.IFS(B549&lt;20,"Low",B549&lt;=40,"Moderate",B549&lt;=60,"High",TRUE,"Very High")</f>
        <v>Moderate</v>
      </c>
    </row>
    <row r="550" spans="1:8" ht="17" x14ac:dyDescent="0.2">
      <c r="A550">
        <v>549</v>
      </c>
      <c r="B550" cm="1">
        <f t="array" ref="B550:G550">_xlfn.XLOOKUP($A550,Instagram_Usage_Lifestyle_Mini_!$A:$A,Instagram_Usage_Lifestyle_Mini_!$W:$AB,"Not Found")</f>
        <v>43.1</v>
      </c>
      <c r="C550">
        <v>3</v>
      </c>
      <c r="D550">
        <v>4</v>
      </c>
      <c r="E550">
        <v>8</v>
      </c>
      <c r="F550">
        <v>6.7</v>
      </c>
      <c r="G550">
        <v>2</v>
      </c>
      <c r="H550" s="13" t="str" cm="1">
        <f t="array" ref="H550">_xlfn.IFS(B550&lt;20,"Low",B550&lt;=40,"Moderate",B550&lt;=60,"High",TRUE,"Very High")</f>
        <v>High</v>
      </c>
    </row>
    <row r="551" spans="1:8" ht="17" x14ac:dyDescent="0.2">
      <c r="A551">
        <v>550</v>
      </c>
      <c r="B551" cm="1">
        <f t="array" ref="B551:G551">_xlfn.XLOOKUP($A551,Instagram_Usage_Lifestyle_Mini_!$A:$A,Instagram_Usage_Lifestyle_Mini_!$W:$AB,"Not Found")</f>
        <v>60.4</v>
      </c>
      <c r="C551">
        <v>4</v>
      </c>
      <c r="D551">
        <v>5</v>
      </c>
      <c r="E551">
        <v>10</v>
      </c>
      <c r="F551">
        <v>6.1</v>
      </c>
      <c r="G551">
        <v>5</v>
      </c>
      <c r="H551" s="13" t="str" cm="1">
        <f t="array" ref="H551">_xlfn.IFS(B551&lt;20,"Low",B551&lt;=40,"Moderate",B551&lt;=60,"High",TRUE,"Very High")</f>
        <v>Very High</v>
      </c>
    </row>
    <row r="552" spans="1:8" ht="17" x14ac:dyDescent="0.2">
      <c r="A552">
        <v>551</v>
      </c>
      <c r="B552" cm="1">
        <f t="array" ref="B552:G552">_xlfn.XLOOKUP($A552,Instagram_Usage_Lifestyle_Mini_!$A:$A,Instagram_Usage_Lifestyle_Mini_!$W:$AB,"Not Found")</f>
        <v>47.8</v>
      </c>
      <c r="C552">
        <v>4</v>
      </c>
      <c r="D552">
        <v>2</v>
      </c>
      <c r="E552">
        <v>8</v>
      </c>
      <c r="F552">
        <v>4.9000000000000004</v>
      </c>
      <c r="G552">
        <v>3</v>
      </c>
      <c r="H552" s="13" t="str" cm="1">
        <f t="array" ref="H552">_xlfn.IFS(B552&lt;20,"Low",B552&lt;=40,"Moderate",B552&lt;=60,"High",TRUE,"Very High")</f>
        <v>High</v>
      </c>
    </row>
    <row r="553" spans="1:8" ht="17" x14ac:dyDescent="0.2">
      <c r="A553">
        <v>552</v>
      </c>
      <c r="B553" cm="1">
        <f t="array" ref="B553:G553">_xlfn.XLOOKUP($A553,Instagram_Usage_Lifestyle_Mini_!$A:$A,Instagram_Usage_Lifestyle_Mini_!$W:$AB,"Not Found")</f>
        <v>41.7</v>
      </c>
      <c r="C553">
        <v>5</v>
      </c>
      <c r="D553">
        <v>8</v>
      </c>
      <c r="E553">
        <v>11</v>
      </c>
      <c r="F553">
        <v>2.7</v>
      </c>
      <c r="G553">
        <v>7</v>
      </c>
      <c r="H553" s="13" t="str" cm="1">
        <f t="array" ref="H553">_xlfn.IFS(B553&lt;20,"Low",B553&lt;=40,"Moderate",B553&lt;=60,"High",TRUE,"Very High")</f>
        <v>High</v>
      </c>
    </row>
    <row r="554" spans="1:8" ht="17" x14ac:dyDescent="0.2">
      <c r="A554">
        <v>553</v>
      </c>
      <c r="B554" cm="1">
        <f t="array" ref="B554:G554">_xlfn.XLOOKUP($A554,Instagram_Usage_Lifestyle_Mini_!$A:$A,Instagram_Usage_Lifestyle_Mini_!$W:$AB,"Not Found")</f>
        <v>39.799999999999997</v>
      </c>
      <c r="C554">
        <v>2</v>
      </c>
      <c r="D554">
        <v>7</v>
      </c>
      <c r="E554">
        <v>11</v>
      </c>
      <c r="F554">
        <v>1.1000000000000001</v>
      </c>
      <c r="G554">
        <v>1</v>
      </c>
      <c r="H554" s="13" t="str" cm="1">
        <f t="array" ref="H554">_xlfn.IFS(B554&lt;20,"Low",B554&lt;=40,"Moderate",B554&lt;=60,"High",TRUE,"Very High")</f>
        <v>Moderate</v>
      </c>
    </row>
    <row r="555" spans="1:8" ht="17" x14ac:dyDescent="0.2">
      <c r="A555">
        <v>554</v>
      </c>
      <c r="B555" cm="1">
        <f t="array" ref="B555:G555">_xlfn.XLOOKUP($A555,Instagram_Usage_Lifestyle_Mini_!$A:$A,Instagram_Usage_Lifestyle_Mini_!$W:$AB,"Not Found")</f>
        <v>37.9</v>
      </c>
      <c r="C555">
        <v>3</v>
      </c>
      <c r="D555">
        <v>3</v>
      </c>
      <c r="E555">
        <v>9</v>
      </c>
      <c r="F555">
        <v>4.4000000000000004</v>
      </c>
      <c r="G555">
        <v>3</v>
      </c>
      <c r="H555" s="13" t="str" cm="1">
        <f t="array" ref="H555">_xlfn.IFS(B555&lt;20,"Low",B555&lt;=40,"Moderate",B555&lt;=60,"High",TRUE,"Very High")</f>
        <v>Moderate</v>
      </c>
    </row>
    <row r="556" spans="1:8" ht="17" x14ac:dyDescent="0.2">
      <c r="A556">
        <v>555</v>
      </c>
      <c r="B556" cm="1">
        <f t="array" ref="B556:G556">_xlfn.XLOOKUP($A556,Instagram_Usage_Lifestyle_Mini_!$A:$A,Instagram_Usage_Lifestyle_Mini_!$W:$AB,"Not Found")</f>
        <v>47.8</v>
      </c>
      <c r="C556">
        <v>9</v>
      </c>
      <c r="D556">
        <v>6</v>
      </c>
      <c r="E556">
        <v>7</v>
      </c>
      <c r="F556">
        <v>3.5</v>
      </c>
      <c r="G556">
        <v>1</v>
      </c>
      <c r="H556" s="13" t="str" cm="1">
        <f t="array" ref="H556">_xlfn.IFS(B556&lt;20,"Low",B556&lt;=40,"Moderate",B556&lt;=60,"High",TRUE,"Very High")</f>
        <v>High</v>
      </c>
    </row>
    <row r="557" spans="1:8" ht="17" x14ac:dyDescent="0.2">
      <c r="A557">
        <v>556</v>
      </c>
      <c r="B557" cm="1">
        <f t="array" ref="B557:G557">_xlfn.XLOOKUP($A557,Instagram_Usage_Lifestyle_Mini_!$A:$A,Instagram_Usage_Lifestyle_Mini_!$W:$AB,"Not Found")</f>
        <v>25.8</v>
      </c>
      <c r="C557">
        <v>1</v>
      </c>
      <c r="D557">
        <v>3</v>
      </c>
      <c r="E557">
        <v>13</v>
      </c>
      <c r="F557">
        <v>1.2</v>
      </c>
      <c r="G557">
        <v>1</v>
      </c>
      <c r="H557" s="13" t="str" cm="1">
        <f t="array" ref="H557">_xlfn.IFS(B557&lt;20,"Low",B557&lt;=40,"Moderate",B557&lt;=60,"High",TRUE,"Very High")</f>
        <v>Moderate</v>
      </c>
    </row>
    <row r="558" spans="1:8" ht="17" x14ac:dyDescent="0.2">
      <c r="A558">
        <v>557</v>
      </c>
      <c r="B558" cm="1">
        <f t="array" ref="B558:G558">_xlfn.XLOOKUP($A558,Instagram_Usage_Lifestyle_Mini_!$A:$A,Instagram_Usage_Lifestyle_Mini_!$W:$AB,"Not Found")</f>
        <v>46.7</v>
      </c>
      <c r="C558">
        <v>4</v>
      </c>
      <c r="D558">
        <v>1</v>
      </c>
      <c r="E558">
        <v>11</v>
      </c>
      <c r="F558">
        <v>0.9</v>
      </c>
      <c r="G558">
        <v>1</v>
      </c>
      <c r="H558" s="13" t="str" cm="1">
        <f t="array" ref="H558">_xlfn.IFS(B558&lt;20,"Low",B558&lt;=40,"Moderate",B558&lt;=60,"High",TRUE,"Very High")</f>
        <v>High</v>
      </c>
    </row>
    <row r="559" spans="1:8" ht="17" x14ac:dyDescent="0.2">
      <c r="A559">
        <v>558</v>
      </c>
      <c r="B559" cm="1">
        <f t="array" ref="B559:G559">_xlfn.XLOOKUP($A559,Instagram_Usage_Lifestyle_Mini_!$A:$A,Instagram_Usage_Lifestyle_Mini_!$W:$AB,"Not Found")</f>
        <v>32.200000000000003</v>
      </c>
      <c r="C559">
        <v>3</v>
      </c>
      <c r="D559">
        <v>3</v>
      </c>
      <c r="E559">
        <v>10</v>
      </c>
      <c r="F559">
        <v>3.3</v>
      </c>
      <c r="G559">
        <v>3</v>
      </c>
      <c r="H559" s="13" t="str" cm="1">
        <f t="array" ref="H559">_xlfn.IFS(B559&lt;20,"Low",B559&lt;=40,"Moderate",B559&lt;=60,"High",TRUE,"Very High")</f>
        <v>Moderate</v>
      </c>
    </row>
    <row r="560" spans="1:8" ht="17" x14ac:dyDescent="0.2">
      <c r="A560">
        <v>559</v>
      </c>
      <c r="B560" cm="1">
        <f t="array" ref="B560:G560">_xlfn.XLOOKUP($A560,Instagram_Usage_Lifestyle_Mini_!$A:$A,Instagram_Usage_Lifestyle_Mini_!$W:$AB,"Not Found")</f>
        <v>37.799999999999997</v>
      </c>
      <c r="C560">
        <v>3</v>
      </c>
      <c r="D560">
        <v>7</v>
      </c>
      <c r="E560">
        <v>10</v>
      </c>
      <c r="F560">
        <v>2.1</v>
      </c>
      <c r="G560">
        <v>3</v>
      </c>
      <c r="H560" s="13" t="str" cm="1">
        <f t="array" ref="H560">_xlfn.IFS(B560&lt;20,"Low",B560&lt;=40,"Moderate",B560&lt;=60,"High",TRUE,"Very High")</f>
        <v>Moderate</v>
      </c>
    </row>
    <row r="561" spans="1:8" ht="17" x14ac:dyDescent="0.2">
      <c r="A561">
        <v>560</v>
      </c>
      <c r="B561" cm="1">
        <f t="array" ref="B561:G561">_xlfn.XLOOKUP($A561,Instagram_Usage_Lifestyle_Mini_!$A:$A,Instagram_Usage_Lifestyle_Mini_!$W:$AB,"Not Found")</f>
        <v>37.9</v>
      </c>
      <c r="C561">
        <v>2</v>
      </c>
      <c r="D561">
        <v>3</v>
      </c>
      <c r="E561">
        <v>9</v>
      </c>
      <c r="F561">
        <v>2.9</v>
      </c>
      <c r="G561">
        <v>1</v>
      </c>
      <c r="H561" s="13" t="str" cm="1">
        <f t="array" ref="H561">_xlfn.IFS(B561&lt;20,"Low",B561&lt;=40,"Moderate",B561&lt;=60,"High",TRUE,"Very High")</f>
        <v>Moderate</v>
      </c>
    </row>
    <row r="562" spans="1:8" ht="17" x14ac:dyDescent="0.2">
      <c r="A562">
        <v>561</v>
      </c>
      <c r="B562" cm="1">
        <f t="array" ref="B562:G562">_xlfn.XLOOKUP($A562,Instagram_Usage_Lifestyle_Mini_!$A:$A,Instagram_Usage_Lifestyle_Mini_!$W:$AB,"Not Found")</f>
        <v>33.9</v>
      </c>
      <c r="C562">
        <v>5</v>
      </c>
      <c r="D562">
        <v>1</v>
      </c>
      <c r="E562">
        <v>6</v>
      </c>
      <c r="F562">
        <v>4.9000000000000004</v>
      </c>
      <c r="G562">
        <v>3</v>
      </c>
      <c r="H562" s="13" t="str" cm="1">
        <f t="array" ref="H562">_xlfn.IFS(B562&lt;20,"Low",B562&lt;=40,"Moderate",B562&lt;=60,"High",TRUE,"Very High")</f>
        <v>Moderate</v>
      </c>
    </row>
    <row r="563" spans="1:8" ht="17" x14ac:dyDescent="0.2">
      <c r="A563">
        <v>562</v>
      </c>
      <c r="B563" cm="1">
        <f t="array" ref="B563:G563">_xlfn.XLOOKUP($A563,Instagram_Usage_Lifestyle_Mini_!$A:$A,Instagram_Usage_Lifestyle_Mini_!$W:$AB,"Not Found")</f>
        <v>30.1</v>
      </c>
      <c r="C563">
        <v>3</v>
      </c>
      <c r="D563">
        <v>1</v>
      </c>
      <c r="E563">
        <v>7</v>
      </c>
      <c r="F563">
        <v>3.8</v>
      </c>
      <c r="G563">
        <v>1</v>
      </c>
      <c r="H563" s="13" t="str" cm="1">
        <f t="array" ref="H563">_xlfn.IFS(B563&lt;20,"Low",B563&lt;=40,"Moderate",B563&lt;=60,"High",TRUE,"Very High")</f>
        <v>Moderate</v>
      </c>
    </row>
    <row r="564" spans="1:8" ht="17" x14ac:dyDescent="0.2">
      <c r="A564">
        <v>563</v>
      </c>
      <c r="B564" cm="1">
        <f t="array" ref="B564:G564">_xlfn.XLOOKUP($A564,Instagram_Usage_Lifestyle_Mini_!$A:$A,Instagram_Usage_Lifestyle_Mini_!$W:$AB,"Not Found")</f>
        <v>35.700000000000003</v>
      </c>
      <c r="C564">
        <v>3</v>
      </c>
      <c r="D564">
        <v>6</v>
      </c>
      <c r="E564">
        <v>6</v>
      </c>
      <c r="F564">
        <v>3</v>
      </c>
      <c r="G564">
        <v>4</v>
      </c>
      <c r="H564" s="13" t="str" cm="1">
        <f t="array" ref="H564">_xlfn.IFS(B564&lt;20,"Low",B564&lt;=40,"Moderate",B564&lt;=60,"High",TRUE,"Very High")</f>
        <v>Moderate</v>
      </c>
    </row>
    <row r="565" spans="1:8" ht="17" x14ac:dyDescent="0.2">
      <c r="A565">
        <v>564</v>
      </c>
      <c r="B565" cm="1">
        <f t="array" ref="B565:G565">_xlfn.XLOOKUP($A565,Instagram_Usage_Lifestyle_Mini_!$A:$A,Instagram_Usage_Lifestyle_Mini_!$W:$AB,"Not Found")</f>
        <v>53.2</v>
      </c>
      <c r="C565">
        <v>0</v>
      </c>
      <c r="D565">
        <v>5</v>
      </c>
      <c r="E565">
        <v>11</v>
      </c>
      <c r="F565">
        <v>3.8</v>
      </c>
      <c r="G565">
        <v>2</v>
      </c>
      <c r="H565" s="13" t="str" cm="1">
        <f t="array" ref="H565">_xlfn.IFS(B565&lt;20,"Low",B565&lt;=40,"Moderate",B565&lt;=60,"High",TRUE,"Very High")</f>
        <v>High</v>
      </c>
    </row>
    <row r="566" spans="1:8" ht="17" x14ac:dyDescent="0.2">
      <c r="A566">
        <v>565</v>
      </c>
      <c r="B566" cm="1">
        <f t="array" ref="B566:G566">_xlfn.XLOOKUP($A566,Instagram_Usage_Lifestyle_Mini_!$A:$A,Instagram_Usage_Lifestyle_Mini_!$W:$AB,"Not Found")</f>
        <v>45.2</v>
      </c>
      <c r="C566">
        <v>5</v>
      </c>
      <c r="D566">
        <v>1</v>
      </c>
      <c r="E566">
        <v>3</v>
      </c>
      <c r="F566">
        <v>8</v>
      </c>
      <c r="G566">
        <v>3</v>
      </c>
      <c r="H566" s="13" t="str" cm="1">
        <f t="array" ref="H566">_xlfn.IFS(B566&lt;20,"Low",B566&lt;=40,"Moderate",B566&lt;=60,"High",TRUE,"Very High")</f>
        <v>High</v>
      </c>
    </row>
    <row r="567" spans="1:8" ht="17" x14ac:dyDescent="0.2">
      <c r="A567">
        <v>566</v>
      </c>
      <c r="B567" cm="1">
        <f t="array" ref="B567:G567">_xlfn.XLOOKUP($A567,Instagram_Usage_Lifestyle_Mini_!$A:$A,Instagram_Usage_Lifestyle_Mini_!$W:$AB,"Not Found")</f>
        <v>41.1</v>
      </c>
      <c r="C567">
        <v>0</v>
      </c>
      <c r="D567">
        <v>5</v>
      </c>
      <c r="E567">
        <v>10</v>
      </c>
      <c r="F567">
        <v>4.5</v>
      </c>
      <c r="G567">
        <v>5</v>
      </c>
      <c r="H567" s="13" t="str" cm="1">
        <f t="array" ref="H567">_xlfn.IFS(B567&lt;20,"Low",B567&lt;=40,"Moderate",B567&lt;=60,"High",TRUE,"Very High")</f>
        <v>High</v>
      </c>
    </row>
    <row r="568" spans="1:8" ht="17" x14ac:dyDescent="0.2">
      <c r="A568">
        <v>567</v>
      </c>
      <c r="B568" cm="1">
        <f t="array" ref="B568:G568">_xlfn.XLOOKUP($A568,Instagram_Usage_Lifestyle_Mini_!$A:$A,Instagram_Usage_Lifestyle_Mini_!$W:$AB,"Not Found")</f>
        <v>18.600000000000001</v>
      </c>
      <c r="C568">
        <v>5</v>
      </c>
      <c r="D568">
        <v>6</v>
      </c>
      <c r="E568">
        <v>12</v>
      </c>
      <c r="F568">
        <v>4.2</v>
      </c>
      <c r="G568">
        <v>4</v>
      </c>
      <c r="H568" s="13" t="str" cm="1">
        <f t="array" ref="H568">_xlfn.IFS(B568&lt;20,"Low",B568&lt;=40,"Moderate",B568&lt;=60,"High",TRUE,"Very High")</f>
        <v>Low</v>
      </c>
    </row>
    <row r="569" spans="1:8" ht="17" x14ac:dyDescent="0.2">
      <c r="A569">
        <v>568</v>
      </c>
      <c r="B569" cm="1">
        <f t="array" ref="B569:G569">_xlfn.XLOOKUP($A569,Instagram_Usage_Lifestyle_Mini_!$A:$A,Instagram_Usage_Lifestyle_Mini_!$W:$AB,"Not Found")</f>
        <v>47.5</v>
      </c>
      <c r="C569">
        <v>1</v>
      </c>
      <c r="D569">
        <v>4</v>
      </c>
      <c r="E569">
        <v>16</v>
      </c>
      <c r="F569">
        <v>1</v>
      </c>
      <c r="G569">
        <v>5</v>
      </c>
      <c r="H569" s="13" t="str" cm="1">
        <f t="array" ref="H569">_xlfn.IFS(B569&lt;20,"Low",B569&lt;=40,"Moderate",B569&lt;=60,"High",TRUE,"Very High")</f>
        <v>High</v>
      </c>
    </row>
    <row r="570" spans="1:8" ht="17" x14ac:dyDescent="0.2">
      <c r="A570">
        <v>569</v>
      </c>
      <c r="B570" cm="1">
        <f t="array" ref="B570:G570">_xlfn.XLOOKUP($A570,Instagram_Usage_Lifestyle_Mini_!$A:$A,Instagram_Usage_Lifestyle_Mini_!$W:$AB,"Not Found")</f>
        <v>49.2</v>
      </c>
      <c r="C570">
        <v>2</v>
      </c>
      <c r="D570">
        <v>6</v>
      </c>
      <c r="E570">
        <v>11</v>
      </c>
      <c r="F570">
        <v>2.5</v>
      </c>
      <c r="G570">
        <v>2</v>
      </c>
      <c r="H570" s="13" t="str" cm="1">
        <f t="array" ref="H570">_xlfn.IFS(B570&lt;20,"Low",B570&lt;=40,"Moderate",B570&lt;=60,"High",TRUE,"Very High")</f>
        <v>High</v>
      </c>
    </row>
    <row r="571" spans="1:8" ht="17" x14ac:dyDescent="0.2">
      <c r="A571">
        <v>570</v>
      </c>
      <c r="B571" cm="1">
        <f t="array" ref="B571:G571">_xlfn.XLOOKUP($A571,Instagram_Usage_Lifestyle_Mini_!$A:$A,Instagram_Usage_Lifestyle_Mini_!$W:$AB,"Not Found")</f>
        <v>50.2</v>
      </c>
      <c r="C571">
        <v>2</v>
      </c>
      <c r="D571">
        <v>4</v>
      </c>
      <c r="E571">
        <v>4</v>
      </c>
      <c r="F571">
        <v>3.7</v>
      </c>
      <c r="G571">
        <v>3</v>
      </c>
      <c r="H571" s="13" t="str" cm="1">
        <f t="array" ref="H571">_xlfn.IFS(B571&lt;20,"Low",B571&lt;=40,"Moderate",B571&lt;=60,"High",TRUE,"Very High")</f>
        <v>High</v>
      </c>
    </row>
    <row r="572" spans="1:8" ht="17" x14ac:dyDescent="0.2">
      <c r="A572">
        <v>571</v>
      </c>
      <c r="B572" cm="1">
        <f t="array" ref="B572:G572">_xlfn.XLOOKUP($A572,Instagram_Usage_Lifestyle_Mini_!$A:$A,Instagram_Usage_Lifestyle_Mini_!$W:$AB,"Not Found")</f>
        <v>15.1</v>
      </c>
      <c r="C572">
        <v>4</v>
      </c>
      <c r="D572">
        <v>6</v>
      </c>
      <c r="E572">
        <v>12</v>
      </c>
      <c r="F572">
        <v>3.1</v>
      </c>
      <c r="G572">
        <v>8</v>
      </c>
      <c r="H572" s="13" t="str" cm="1">
        <f t="array" ref="H572">_xlfn.IFS(B572&lt;20,"Low",B572&lt;=40,"Moderate",B572&lt;=60,"High",TRUE,"Very High")</f>
        <v>Low</v>
      </c>
    </row>
    <row r="573" spans="1:8" ht="17" x14ac:dyDescent="0.2">
      <c r="A573">
        <v>572</v>
      </c>
      <c r="B573" cm="1">
        <f t="array" ref="B573:G573">_xlfn.XLOOKUP($A573,Instagram_Usage_Lifestyle_Mini_!$A:$A,Instagram_Usage_Lifestyle_Mini_!$W:$AB,"Not Found")</f>
        <v>53.2</v>
      </c>
      <c r="C573">
        <v>3</v>
      </c>
      <c r="D573">
        <v>5</v>
      </c>
      <c r="E573">
        <v>12</v>
      </c>
      <c r="F573">
        <v>4.0999999999999996</v>
      </c>
      <c r="G573">
        <v>4</v>
      </c>
      <c r="H573" s="13" t="str" cm="1">
        <f t="array" ref="H573">_xlfn.IFS(B573&lt;20,"Low",B573&lt;=40,"Moderate",B573&lt;=60,"High",TRUE,"Very High")</f>
        <v>High</v>
      </c>
    </row>
    <row r="574" spans="1:8" ht="17" x14ac:dyDescent="0.2">
      <c r="A574">
        <v>573</v>
      </c>
      <c r="B574" cm="1">
        <f t="array" ref="B574:G574">_xlfn.XLOOKUP($A574,Instagram_Usage_Lifestyle_Mini_!$A:$A,Instagram_Usage_Lifestyle_Mini_!$W:$AB,"Not Found")</f>
        <v>36.5</v>
      </c>
      <c r="C574">
        <v>5</v>
      </c>
      <c r="D574">
        <v>4</v>
      </c>
      <c r="E574">
        <v>7</v>
      </c>
      <c r="F574">
        <v>3.8</v>
      </c>
      <c r="G574">
        <v>2</v>
      </c>
      <c r="H574" s="13" t="str" cm="1">
        <f t="array" ref="H574">_xlfn.IFS(B574&lt;20,"Low",B574&lt;=40,"Moderate",B574&lt;=60,"High",TRUE,"Very High")</f>
        <v>Moderate</v>
      </c>
    </row>
    <row r="575" spans="1:8" ht="17" x14ac:dyDescent="0.2">
      <c r="A575">
        <v>574</v>
      </c>
      <c r="B575" cm="1">
        <f t="array" ref="B575:G575">_xlfn.XLOOKUP($A575,Instagram_Usage_Lifestyle_Mini_!$A:$A,Instagram_Usage_Lifestyle_Mini_!$W:$AB,"Not Found")</f>
        <v>61.8</v>
      </c>
      <c r="C575">
        <v>1</v>
      </c>
      <c r="D575">
        <v>4</v>
      </c>
      <c r="E575">
        <v>11</v>
      </c>
      <c r="F575">
        <v>5.5</v>
      </c>
      <c r="G575">
        <v>2</v>
      </c>
      <c r="H575" s="13" t="str" cm="1">
        <f t="array" ref="H575">_xlfn.IFS(B575&lt;20,"Low",B575&lt;=40,"Moderate",B575&lt;=60,"High",TRUE,"Very High")</f>
        <v>Very High</v>
      </c>
    </row>
    <row r="576" spans="1:8" ht="17" x14ac:dyDescent="0.2">
      <c r="A576">
        <v>575</v>
      </c>
      <c r="B576" cm="1">
        <f t="array" ref="B576:G576">_xlfn.XLOOKUP($A576,Instagram_Usage_Lifestyle_Mini_!$A:$A,Instagram_Usage_Lifestyle_Mini_!$W:$AB,"Not Found")</f>
        <v>35.1</v>
      </c>
      <c r="C576">
        <v>3</v>
      </c>
      <c r="D576">
        <v>5</v>
      </c>
      <c r="E576">
        <v>8</v>
      </c>
      <c r="F576">
        <v>1.7</v>
      </c>
      <c r="G576">
        <v>2</v>
      </c>
      <c r="H576" s="13" t="str" cm="1">
        <f t="array" ref="H576">_xlfn.IFS(B576&lt;20,"Low",B576&lt;=40,"Moderate",B576&lt;=60,"High",TRUE,"Very High")</f>
        <v>Moderate</v>
      </c>
    </row>
    <row r="577" spans="1:8" ht="17" x14ac:dyDescent="0.2">
      <c r="A577">
        <v>576</v>
      </c>
      <c r="B577" cm="1">
        <f t="array" ref="B577:G577">_xlfn.XLOOKUP($A577,Instagram_Usage_Lifestyle_Mini_!$A:$A,Instagram_Usage_Lifestyle_Mini_!$W:$AB,"Not Found")</f>
        <v>35</v>
      </c>
      <c r="C577">
        <v>4</v>
      </c>
      <c r="D577">
        <v>4</v>
      </c>
      <c r="E577">
        <v>8</v>
      </c>
      <c r="F577">
        <v>1.1000000000000001</v>
      </c>
      <c r="G577">
        <v>1</v>
      </c>
      <c r="H577" s="13" t="str" cm="1">
        <f t="array" ref="H577">_xlfn.IFS(B577&lt;20,"Low",B577&lt;=40,"Moderate",B577&lt;=60,"High",TRUE,"Very High")</f>
        <v>Moderate</v>
      </c>
    </row>
    <row r="578" spans="1:8" ht="17" x14ac:dyDescent="0.2">
      <c r="A578">
        <v>577</v>
      </c>
      <c r="B578" cm="1">
        <f t="array" ref="B578:G578">_xlfn.XLOOKUP($A578,Instagram_Usage_Lifestyle_Mini_!$A:$A,Instagram_Usage_Lifestyle_Mini_!$W:$AB,"Not Found")</f>
        <v>31.5</v>
      </c>
      <c r="C578">
        <v>2</v>
      </c>
      <c r="D578">
        <v>3</v>
      </c>
      <c r="E578">
        <v>10</v>
      </c>
      <c r="F578">
        <v>4.2</v>
      </c>
      <c r="G578">
        <v>3</v>
      </c>
      <c r="H578" s="13" t="str" cm="1">
        <f t="array" ref="H578">_xlfn.IFS(B578&lt;20,"Low",B578&lt;=40,"Moderate",B578&lt;=60,"High",TRUE,"Very High")</f>
        <v>Moderate</v>
      </c>
    </row>
    <row r="579" spans="1:8" ht="17" x14ac:dyDescent="0.2">
      <c r="A579">
        <v>578</v>
      </c>
      <c r="B579" cm="1">
        <f t="array" ref="B579:G579">_xlfn.XLOOKUP($A579,Instagram_Usage_Lifestyle_Mini_!$A:$A,Instagram_Usage_Lifestyle_Mini_!$W:$AB,"Not Found")</f>
        <v>60.6</v>
      </c>
      <c r="C579">
        <v>2</v>
      </c>
      <c r="D579">
        <v>7</v>
      </c>
      <c r="E579">
        <v>8</v>
      </c>
      <c r="F579">
        <v>3.9</v>
      </c>
      <c r="G579">
        <v>6</v>
      </c>
      <c r="H579" s="13" t="str" cm="1">
        <f t="array" ref="H579">_xlfn.IFS(B579&lt;20,"Low",B579&lt;=40,"Moderate",B579&lt;=60,"High",TRUE,"Very High")</f>
        <v>Very High</v>
      </c>
    </row>
    <row r="580" spans="1:8" ht="17" x14ac:dyDescent="0.2">
      <c r="A580">
        <v>579</v>
      </c>
      <c r="B580" cm="1">
        <f t="array" ref="B580:G580">_xlfn.XLOOKUP($A580,Instagram_Usage_Lifestyle_Mini_!$A:$A,Instagram_Usage_Lifestyle_Mini_!$W:$AB,"Not Found")</f>
        <v>59.7</v>
      </c>
      <c r="C580">
        <v>7</v>
      </c>
      <c r="D580">
        <v>5</v>
      </c>
      <c r="E580">
        <v>10</v>
      </c>
      <c r="F580">
        <v>2.4</v>
      </c>
      <c r="G580">
        <v>4</v>
      </c>
      <c r="H580" s="13" t="str" cm="1">
        <f t="array" ref="H580">_xlfn.IFS(B580&lt;20,"Low",B580&lt;=40,"Moderate",B580&lt;=60,"High",TRUE,"Very High")</f>
        <v>High</v>
      </c>
    </row>
    <row r="581" spans="1:8" ht="17" x14ac:dyDescent="0.2">
      <c r="A581">
        <v>580</v>
      </c>
      <c r="B581" cm="1">
        <f t="array" ref="B581:G581">_xlfn.XLOOKUP($A581,Instagram_Usage_Lifestyle_Mini_!$A:$A,Instagram_Usage_Lifestyle_Mini_!$W:$AB,"Not Found")</f>
        <v>42</v>
      </c>
      <c r="C581">
        <v>3</v>
      </c>
      <c r="D581">
        <v>3</v>
      </c>
      <c r="E581">
        <v>14</v>
      </c>
      <c r="F581">
        <v>1.7</v>
      </c>
      <c r="G581">
        <v>3</v>
      </c>
      <c r="H581" s="13" t="str" cm="1">
        <f t="array" ref="H581">_xlfn.IFS(B581&lt;20,"Low",B581&lt;=40,"Moderate",B581&lt;=60,"High",TRUE,"Very High")</f>
        <v>High</v>
      </c>
    </row>
    <row r="582" spans="1:8" ht="17" x14ac:dyDescent="0.2">
      <c r="A582">
        <v>581</v>
      </c>
      <c r="B582" cm="1">
        <f t="array" ref="B582:G582">_xlfn.XLOOKUP($A582,Instagram_Usage_Lifestyle_Mini_!$A:$A,Instagram_Usage_Lifestyle_Mini_!$W:$AB,"Not Found")</f>
        <v>36.5</v>
      </c>
      <c r="C582">
        <v>5</v>
      </c>
      <c r="D582">
        <v>3</v>
      </c>
      <c r="E582">
        <v>7</v>
      </c>
      <c r="F582">
        <v>3.8</v>
      </c>
      <c r="G582">
        <v>2</v>
      </c>
      <c r="H582" s="13" t="str" cm="1">
        <f t="array" ref="H582">_xlfn.IFS(B582&lt;20,"Low",B582&lt;=40,"Moderate",B582&lt;=60,"High",TRUE,"Very High")</f>
        <v>Moderate</v>
      </c>
    </row>
    <row r="583" spans="1:8" ht="17" x14ac:dyDescent="0.2">
      <c r="A583">
        <v>582</v>
      </c>
      <c r="B583" cm="1">
        <f t="array" ref="B583:G583">_xlfn.XLOOKUP($A583,Instagram_Usage_Lifestyle_Mini_!$A:$A,Instagram_Usage_Lifestyle_Mini_!$W:$AB,"Not Found")</f>
        <v>41</v>
      </c>
      <c r="C583">
        <v>3</v>
      </c>
      <c r="D583">
        <v>4</v>
      </c>
      <c r="E583">
        <v>12</v>
      </c>
      <c r="F583">
        <v>4.3</v>
      </c>
      <c r="G583">
        <v>3</v>
      </c>
      <c r="H583" s="13" t="str" cm="1">
        <f t="array" ref="H583">_xlfn.IFS(B583&lt;20,"Low",B583&lt;=40,"Moderate",B583&lt;=60,"High",TRUE,"Very High")</f>
        <v>High</v>
      </c>
    </row>
    <row r="584" spans="1:8" ht="17" x14ac:dyDescent="0.2">
      <c r="A584">
        <v>583</v>
      </c>
      <c r="B584" cm="1">
        <f t="array" ref="B584:G584">_xlfn.XLOOKUP($A584,Instagram_Usage_Lifestyle_Mini_!$A:$A,Instagram_Usage_Lifestyle_Mini_!$W:$AB,"Not Found")</f>
        <v>32.799999999999997</v>
      </c>
      <c r="C584">
        <v>1</v>
      </c>
      <c r="D584">
        <v>2</v>
      </c>
      <c r="E584">
        <v>12</v>
      </c>
      <c r="F584">
        <v>5</v>
      </c>
      <c r="G584">
        <v>1</v>
      </c>
      <c r="H584" s="13" t="str" cm="1">
        <f t="array" ref="H584">_xlfn.IFS(B584&lt;20,"Low",B584&lt;=40,"Moderate",B584&lt;=60,"High",TRUE,"Very High")</f>
        <v>Moderate</v>
      </c>
    </row>
    <row r="585" spans="1:8" ht="17" x14ac:dyDescent="0.2">
      <c r="A585">
        <v>584</v>
      </c>
      <c r="B585" cm="1">
        <f t="array" ref="B585:G585">_xlfn.XLOOKUP($A585,Instagram_Usage_Lifestyle_Mini_!$A:$A,Instagram_Usage_Lifestyle_Mini_!$W:$AB,"Not Found")</f>
        <v>36.1</v>
      </c>
      <c r="C585">
        <v>2</v>
      </c>
      <c r="D585">
        <v>3</v>
      </c>
      <c r="E585">
        <v>7</v>
      </c>
      <c r="F585">
        <v>3.2</v>
      </c>
      <c r="G585">
        <v>1</v>
      </c>
      <c r="H585" s="13" t="str" cm="1">
        <f t="array" ref="H585">_xlfn.IFS(B585&lt;20,"Low",B585&lt;=40,"Moderate",B585&lt;=60,"High",TRUE,"Very High")</f>
        <v>Moderate</v>
      </c>
    </row>
    <row r="586" spans="1:8" ht="17" x14ac:dyDescent="0.2">
      <c r="A586">
        <v>585</v>
      </c>
      <c r="B586" cm="1">
        <f t="array" ref="B586:G586">_xlfn.XLOOKUP($A586,Instagram_Usage_Lifestyle_Mini_!$A:$A,Instagram_Usage_Lifestyle_Mini_!$W:$AB,"Not Found")</f>
        <v>10.3</v>
      </c>
      <c r="C586">
        <v>6</v>
      </c>
      <c r="D586">
        <v>5</v>
      </c>
      <c r="E586">
        <v>14</v>
      </c>
      <c r="F586">
        <v>1.3</v>
      </c>
      <c r="G586">
        <v>6</v>
      </c>
      <c r="H586" s="13" t="str" cm="1">
        <f t="array" ref="H586">_xlfn.IFS(B586&lt;20,"Low",B586&lt;=40,"Moderate",B586&lt;=60,"High",TRUE,"Very High")</f>
        <v>Low</v>
      </c>
    </row>
    <row r="587" spans="1:8" ht="17" x14ac:dyDescent="0.2">
      <c r="A587">
        <v>586</v>
      </c>
      <c r="B587" cm="1">
        <f t="array" ref="B587:G587">_xlfn.XLOOKUP($A587,Instagram_Usage_Lifestyle_Mini_!$A:$A,Instagram_Usage_Lifestyle_Mini_!$W:$AB,"Not Found")</f>
        <v>35.700000000000003</v>
      </c>
      <c r="C587">
        <v>1</v>
      </c>
      <c r="D587">
        <v>1</v>
      </c>
      <c r="E587">
        <v>10</v>
      </c>
      <c r="F587">
        <v>0.7</v>
      </c>
      <c r="G587">
        <v>1</v>
      </c>
      <c r="H587" s="13" t="str" cm="1">
        <f t="array" ref="H587">_xlfn.IFS(B587&lt;20,"Low",B587&lt;=40,"Moderate",B587&lt;=60,"High",TRUE,"Very High")</f>
        <v>Moderate</v>
      </c>
    </row>
    <row r="588" spans="1:8" ht="17" x14ac:dyDescent="0.2">
      <c r="A588">
        <v>587</v>
      </c>
      <c r="B588" cm="1">
        <f t="array" ref="B588:G588">_xlfn.XLOOKUP($A588,Instagram_Usage_Lifestyle_Mini_!$A:$A,Instagram_Usage_Lifestyle_Mini_!$W:$AB,"Not Found")</f>
        <v>28.5</v>
      </c>
      <c r="C588">
        <v>2</v>
      </c>
      <c r="D588">
        <v>3</v>
      </c>
      <c r="E588">
        <v>12</v>
      </c>
      <c r="F588">
        <v>1.4</v>
      </c>
      <c r="G588">
        <v>3</v>
      </c>
      <c r="H588" s="13" t="str" cm="1">
        <f t="array" ref="H588">_xlfn.IFS(B588&lt;20,"Low",B588&lt;=40,"Moderate",B588&lt;=60,"High",TRUE,"Very High")</f>
        <v>Moderate</v>
      </c>
    </row>
    <row r="589" spans="1:8" ht="17" x14ac:dyDescent="0.2">
      <c r="A589">
        <v>588</v>
      </c>
      <c r="B589" cm="1">
        <f t="array" ref="B589:G589">_xlfn.XLOOKUP($A589,Instagram_Usage_Lifestyle_Mini_!$A:$A,Instagram_Usage_Lifestyle_Mini_!$W:$AB,"Not Found")</f>
        <v>24.5</v>
      </c>
      <c r="C589">
        <v>1</v>
      </c>
      <c r="D589">
        <v>4</v>
      </c>
      <c r="E589">
        <v>9</v>
      </c>
      <c r="F589">
        <v>6.8</v>
      </c>
      <c r="G589">
        <v>5</v>
      </c>
      <c r="H589" s="13" t="str" cm="1">
        <f t="array" ref="H589">_xlfn.IFS(B589&lt;20,"Low",B589&lt;=40,"Moderate",B589&lt;=60,"High",TRUE,"Very High")</f>
        <v>Moderate</v>
      </c>
    </row>
    <row r="590" spans="1:8" ht="17" x14ac:dyDescent="0.2">
      <c r="A590">
        <v>589</v>
      </c>
      <c r="B590" cm="1">
        <f t="array" ref="B590:G590">_xlfn.XLOOKUP($A590,Instagram_Usage_Lifestyle_Mini_!$A:$A,Instagram_Usage_Lifestyle_Mini_!$W:$AB,"Not Found")</f>
        <v>51.3</v>
      </c>
      <c r="C590">
        <v>2</v>
      </c>
      <c r="D590">
        <v>6</v>
      </c>
      <c r="E590">
        <v>6</v>
      </c>
      <c r="F590">
        <v>1.8</v>
      </c>
      <c r="G590">
        <v>4</v>
      </c>
      <c r="H590" s="13" t="str" cm="1">
        <f t="array" ref="H590">_xlfn.IFS(B590&lt;20,"Low",B590&lt;=40,"Moderate",B590&lt;=60,"High",TRUE,"Very High")</f>
        <v>High</v>
      </c>
    </row>
    <row r="591" spans="1:8" ht="17" x14ac:dyDescent="0.2">
      <c r="A591">
        <v>590</v>
      </c>
      <c r="B591" cm="1">
        <f t="array" ref="B591:G591">_xlfn.XLOOKUP($A591,Instagram_Usage_Lifestyle_Mini_!$A:$A,Instagram_Usage_Lifestyle_Mini_!$W:$AB,"Not Found")</f>
        <v>41.1</v>
      </c>
      <c r="C591">
        <v>0</v>
      </c>
      <c r="D591">
        <v>2</v>
      </c>
      <c r="E591">
        <v>8</v>
      </c>
      <c r="F591">
        <v>4.5999999999999996</v>
      </c>
      <c r="G591">
        <v>4</v>
      </c>
      <c r="H591" s="13" t="str" cm="1">
        <f t="array" ref="H591">_xlfn.IFS(B591&lt;20,"Low",B591&lt;=40,"Moderate",B591&lt;=60,"High",TRUE,"Very High")</f>
        <v>High</v>
      </c>
    </row>
    <row r="592" spans="1:8" ht="17" x14ac:dyDescent="0.2">
      <c r="A592">
        <v>591</v>
      </c>
      <c r="B592" cm="1">
        <f t="array" ref="B592:G592">_xlfn.XLOOKUP($A592,Instagram_Usage_Lifestyle_Mini_!$A:$A,Instagram_Usage_Lifestyle_Mini_!$W:$AB,"Not Found")</f>
        <v>53.6</v>
      </c>
      <c r="C592">
        <v>0</v>
      </c>
      <c r="D592">
        <v>5</v>
      </c>
      <c r="E592">
        <v>9</v>
      </c>
      <c r="F592">
        <v>3.1</v>
      </c>
      <c r="G592">
        <v>2</v>
      </c>
      <c r="H592" s="13" t="str" cm="1">
        <f t="array" ref="H592">_xlfn.IFS(B592&lt;20,"Low",B592&lt;=40,"Moderate",B592&lt;=60,"High",TRUE,"Very High")</f>
        <v>High</v>
      </c>
    </row>
    <row r="593" spans="1:8" ht="17" x14ac:dyDescent="0.2">
      <c r="A593">
        <v>592</v>
      </c>
      <c r="B593" cm="1">
        <f t="array" ref="B593:G593">_xlfn.XLOOKUP($A593,Instagram_Usage_Lifestyle_Mini_!$A:$A,Instagram_Usage_Lifestyle_Mini_!$W:$AB,"Not Found")</f>
        <v>30.4</v>
      </c>
      <c r="C593">
        <v>1</v>
      </c>
      <c r="D593">
        <v>1</v>
      </c>
      <c r="E593">
        <v>15</v>
      </c>
      <c r="F593">
        <v>5.5</v>
      </c>
      <c r="G593">
        <v>2</v>
      </c>
      <c r="H593" s="13" t="str" cm="1">
        <f t="array" ref="H593">_xlfn.IFS(B593&lt;20,"Low",B593&lt;=40,"Moderate",B593&lt;=60,"High",TRUE,"Very High")</f>
        <v>Moderate</v>
      </c>
    </row>
    <row r="594" spans="1:8" ht="17" x14ac:dyDescent="0.2">
      <c r="A594">
        <v>593</v>
      </c>
      <c r="B594" cm="1">
        <f t="array" ref="B594:G594">_xlfn.XLOOKUP($A594,Instagram_Usage_Lifestyle_Mini_!$A:$A,Instagram_Usage_Lifestyle_Mini_!$W:$AB,"Not Found")</f>
        <v>26.2</v>
      </c>
      <c r="C594">
        <v>2</v>
      </c>
      <c r="D594">
        <v>5</v>
      </c>
      <c r="E594">
        <v>11</v>
      </c>
      <c r="F594">
        <v>3.7</v>
      </c>
      <c r="G594">
        <v>1</v>
      </c>
      <c r="H594" s="13" t="str" cm="1">
        <f t="array" ref="H594">_xlfn.IFS(B594&lt;20,"Low",B594&lt;=40,"Moderate",B594&lt;=60,"High",TRUE,"Very High")</f>
        <v>Moderate</v>
      </c>
    </row>
    <row r="595" spans="1:8" ht="17" x14ac:dyDescent="0.2">
      <c r="A595">
        <v>594</v>
      </c>
      <c r="B595" cm="1">
        <f t="array" ref="B595:G595">_xlfn.XLOOKUP($A595,Instagram_Usage_Lifestyle_Mini_!$A:$A,Instagram_Usage_Lifestyle_Mini_!$W:$AB,"Not Found")</f>
        <v>60.7</v>
      </c>
      <c r="C595">
        <v>2</v>
      </c>
      <c r="D595">
        <v>4</v>
      </c>
      <c r="E595">
        <v>6</v>
      </c>
      <c r="F595">
        <v>3.3</v>
      </c>
      <c r="G595">
        <v>1</v>
      </c>
      <c r="H595" s="13" t="str" cm="1">
        <f t="array" ref="H595">_xlfn.IFS(B595&lt;20,"Low",B595&lt;=40,"Moderate",B595&lt;=60,"High",TRUE,"Very High")</f>
        <v>Very High</v>
      </c>
    </row>
    <row r="596" spans="1:8" ht="17" x14ac:dyDescent="0.2">
      <c r="A596">
        <v>595</v>
      </c>
      <c r="B596" cm="1">
        <f t="array" ref="B596:G596">_xlfn.XLOOKUP($A596,Instagram_Usage_Lifestyle_Mini_!$A:$A,Instagram_Usage_Lifestyle_Mini_!$W:$AB,"Not Found")</f>
        <v>25.9</v>
      </c>
      <c r="C596">
        <v>4</v>
      </c>
      <c r="D596">
        <v>2</v>
      </c>
      <c r="E596">
        <v>6</v>
      </c>
      <c r="F596">
        <v>4.0999999999999996</v>
      </c>
      <c r="G596">
        <v>2</v>
      </c>
      <c r="H596" s="13" t="str" cm="1">
        <f t="array" ref="H596">_xlfn.IFS(B596&lt;20,"Low",B596&lt;=40,"Moderate",B596&lt;=60,"High",TRUE,"Very High")</f>
        <v>Moderate</v>
      </c>
    </row>
    <row r="597" spans="1:8" ht="17" x14ac:dyDescent="0.2">
      <c r="A597">
        <v>596</v>
      </c>
      <c r="B597" cm="1">
        <f t="array" ref="B597:G597">_xlfn.XLOOKUP($A597,Instagram_Usage_Lifestyle_Mini_!$A:$A,Instagram_Usage_Lifestyle_Mini_!$W:$AB,"Not Found")</f>
        <v>39.5</v>
      </c>
      <c r="C597">
        <v>2</v>
      </c>
      <c r="D597">
        <v>5</v>
      </c>
      <c r="E597">
        <v>6</v>
      </c>
      <c r="F597">
        <v>5.4</v>
      </c>
      <c r="G597">
        <v>3</v>
      </c>
      <c r="H597" s="13" t="str" cm="1">
        <f t="array" ref="H597">_xlfn.IFS(B597&lt;20,"Low",B597&lt;=40,"Moderate",B597&lt;=60,"High",TRUE,"Very High")</f>
        <v>Moderate</v>
      </c>
    </row>
    <row r="598" spans="1:8" ht="17" x14ac:dyDescent="0.2">
      <c r="A598">
        <v>597</v>
      </c>
      <c r="B598" cm="1">
        <f t="array" ref="B598:G598">_xlfn.XLOOKUP($A598,Instagram_Usage_Lifestyle_Mini_!$A:$A,Instagram_Usage_Lifestyle_Mini_!$W:$AB,"Not Found")</f>
        <v>49.7</v>
      </c>
      <c r="C598">
        <v>3</v>
      </c>
      <c r="D598">
        <v>8</v>
      </c>
      <c r="E598">
        <v>7</v>
      </c>
      <c r="F598">
        <v>4.7</v>
      </c>
      <c r="G598">
        <v>3</v>
      </c>
      <c r="H598" s="13" t="str" cm="1">
        <f t="array" ref="H598">_xlfn.IFS(B598&lt;20,"Low",B598&lt;=40,"Moderate",B598&lt;=60,"High",TRUE,"Very High")</f>
        <v>High</v>
      </c>
    </row>
    <row r="599" spans="1:8" ht="17" x14ac:dyDescent="0.2">
      <c r="A599">
        <v>598</v>
      </c>
      <c r="B599" cm="1">
        <f t="array" ref="B599:G599">_xlfn.XLOOKUP($A599,Instagram_Usage_Lifestyle_Mini_!$A:$A,Instagram_Usage_Lifestyle_Mini_!$W:$AB,"Not Found")</f>
        <v>40.6</v>
      </c>
      <c r="C599">
        <v>0</v>
      </c>
      <c r="D599">
        <v>3</v>
      </c>
      <c r="E599">
        <v>10</v>
      </c>
      <c r="F599">
        <v>1.4</v>
      </c>
      <c r="G599">
        <v>4</v>
      </c>
      <c r="H599" s="13" t="str" cm="1">
        <f t="array" ref="H599">_xlfn.IFS(B599&lt;20,"Low",B599&lt;=40,"Moderate",B599&lt;=60,"High",TRUE,"Very High")</f>
        <v>High</v>
      </c>
    </row>
    <row r="600" spans="1:8" ht="17" x14ac:dyDescent="0.2">
      <c r="A600">
        <v>599</v>
      </c>
      <c r="B600" cm="1">
        <f t="array" ref="B600:G600">_xlfn.XLOOKUP($A600,Instagram_Usage_Lifestyle_Mini_!$A:$A,Instagram_Usage_Lifestyle_Mini_!$W:$AB,"Not Found")</f>
        <v>36.200000000000003</v>
      </c>
      <c r="C600">
        <v>2</v>
      </c>
      <c r="D600">
        <v>5</v>
      </c>
      <c r="E600">
        <v>8</v>
      </c>
      <c r="F600">
        <v>5.2</v>
      </c>
      <c r="G600">
        <v>1</v>
      </c>
      <c r="H600" s="13" t="str" cm="1">
        <f t="array" ref="H600">_xlfn.IFS(B600&lt;20,"Low",B600&lt;=40,"Moderate",B600&lt;=60,"High",TRUE,"Very High")</f>
        <v>Moderate</v>
      </c>
    </row>
    <row r="601" spans="1:8" ht="17" x14ac:dyDescent="0.2">
      <c r="A601">
        <v>600</v>
      </c>
      <c r="B601" cm="1">
        <f t="array" ref="B601:G601">_xlfn.XLOOKUP($A601,Instagram_Usage_Lifestyle_Mini_!$A:$A,Instagram_Usage_Lifestyle_Mini_!$W:$AB,"Not Found")</f>
        <v>31.7</v>
      </c>
      <c r="C601">
        <v>5</v>
      </c>
      <c r="D601">
        <v>5</v>
      </c>
      <c r="E601">
        <v>13</v>
      </c>
      <c r="F601">
        <v>5.4</v>
      </c>
      <c r="G601">
        <v>3</v>
      </c>
      <c r="H601" s="13" t="str" cm="1">
        <f t="array" ref="H601">_xlfn.IFS(B601&lt;20,"Low",B601&lt;=40,"Moderate",B601&lt;=60,"High",TRUE,"Very High")</f>
        <v>Moderate</v>
      </c>
    </row>
    <row r="602" spans="1:8" ht="17" x14ac:dyDescent="0.2">
      <c r="A602">
        <v>601</v>
      </c>
      <c r="B602" cm="1">
        <f t="array" ref="B602:G602">_xlfn.XLOOKUP($A602,Instagram_Usage_Lifestyle_Mini_!$A:$A,Instagram_Usage_Lifestyle_Mini_!$W:$AB,"Not Found")</f>
        <v>34.5</v>
      </c>
      <c r="C602">
        <v>0</v>
      </c>
      <c r="D602">
        <v>6</v>
      </c>
      <c r="E602">
        <v>9</v>
      </c>
      <c r="F602">
        <v>4.2</v>
      </c>
      <c r="G602">
        <v>3</v>
      </c>
      <c r="H602" s="13" t="str" cm="1">
        <f t="array" ref="H602">_xlfn.IFS(B602&lt;20,"Low",B602&lt;=40,"Moderate",B602&lt;=60,"High",TRUE,"Very High")</f>
        <v>Moderate</v>
      </c>
    </row>
    <row r="603" spans="1:8" ht="17" x14ac:dyDescent="0.2">
      <c r="A603">
        <v>602</v>
      </c>
      <c r="B603" cm="1">
        <f t="array" ref="B603:G603">_xlfn.XLOOKUP($A603,Instagram_Usage_Lifestyle_Mini_!$A:$A,Instagram_Usage_Lifestyle_Mini_!$W:$AB,"Not Found")</f>
        <v>36.9</v>
      </c>
      <c r="C603">
        <v>5</v>
      </c>
      <c r="D603">
        <v>3</v>
      </c>
      <c r="E603">
        <v>10</v>
      </c>
      <c r="F603">
        <v>7.7</v>
      </c>
      <c r="G603">
        <v>2</v>
      </c>
      <c r="H603" s="13" t="str" cm="1">
        <f t="array" ref="H603">_xlfn.IFS(B603&lt;20,"Low",B603&lt;=40,"Moderate",B603&lt;=60,"High",TRUE,"Very High")</f>
        <v>Moderate</v>
      </c>
    </row>
    <row r="604" spans="1:8" ht="17" x14ac:dyDescent="0.2">
      <c r="A604">
        <v>603</v>
      </c>
      <c r="B604" cm="1">
        <f t="array" ref="B604:G604">_xlfn.XLOOKUP($A604,Instagram_Usage_Lifestyle_Mini_!$A:$A,Instagram_Usage_Lifestyle_Mini_!$W:$AB,"Not Found")</f>
        <v>33.4</v>
      </c>
      <c r="C604">
        <v>1</v>
      </c>
      <c r="D604">
        <v>1</v>
      </c>
      <c r="E604">
        <v>4</v>
      </c>
      <c r="F604">
        <v>8</v>
      </c>
      <c r="G604">
        <v>5</v>
      </c>
      <c r="H604" s="13" t="str" cm="1">
        <f t="array" ref="H604">_xlfn.IFS(B604&lt;20,"Low",B604&lt;=40,"Moderate",B604&lt;=60,"High",TRUE,"Very High")</f>
        <v>Moderate</v>
      </c>
    </row>
    <row r="605" spans="1:8" ht="17" x14ac:dyDescent="0.2">
      <c r="A605">
        <v>604</v>
      </c>
      <c r="B605" cm="1">
        <f t="array" ref="B605:G605">_xlfn.XLOOKUP($A605,Instagram_Usage_Lifestyle_Mini_!$A:$A,Instagram_Usage_Lifestyle_Mini_!$W:$AB,"Not Found")</f>
        <v>53.4</v>
      </c>
      <c r="C605">
        <v>2</v>
      </c>
      <c r="D605">
        <v>2</v>
      </c>
      <c r="E605">
        <v>9</v>
      </c>
      <c r="F605">
        <v>7.8</v>
      </c>
      <c r="G605">
        <v>3</v>
      </c>
      <c r="H605" s="13" t="str" cm="1">
        <f t="array" ref="H605">_xlfn.IFS(B605&lt;20,"Low",B605&lt;=40,"Moderate",B605&lt;=60,"High",TRUE,"Very High")</f>
        <v>High</v>
      </c>
    </row>
    <row r="606" spans="1:8" ht="17" x14ac:dyDescent="0.2">
      <c r="A606">
        <v>605</v>
      </c>
      <c r="B606" cm="1">
        <f t="array" ref="B606:G606">_xlfn.XLOOKUP($A606,Instagram_Usage_Lifestyle_Mini_!$A:$A,Instagram_Usage_Lifestyle_Mini_!$W:$AB,"Not Found")</f>
        <v>48.1</v>
      </c>
      <c r="C606">
        <v>9</v>
      </c>
      <c r="D606">
        <v>4</v>
      </c>
      <c r="E606">
        <v>14</v>
      </c>
      <c r="F606">
        <v>1.7</v>
      </c>
      <c r="G606">
        <v>1</v>
      </c>
      <c r="H606" s="13" t="str" cm="1">
        <f t="array" ref="H606">_xlfn.IFS(B606&lt;20,"Low",B606&lt;=40,"Moderate",B606&lt;=60,"High",TRUE,"Very High")</f>
        <v>High</v>
      </c>
    </row>
    <row r="607" spans="1:8" ht="17" x14ac:dyDescent="0.2">
      <c r="A607">
        <v>606</v>
      </c>
      <c r="B607" cm="1">
        <f t="array" ref="B607:G607">_xlfn.XLOOKUP($A607,Instagram_Usage_Lifestyle_Mini_!$A:$A,Instagram_Usage_Lifestyle_Mini_!$W:$AB,"Not Found")</f>
        <v>41.4</v>
      </c>
      <c r="C607">
        <v>3</v>
      </c>
      <c r="D607">
        <v>1</v>
      </c>
      <c r="E607">
        <v>6</v>
      </c>
      <c r="F607">
        <v>6.3</v>
      </c>
      <c r="G607">
        <v>8</v>
      </c>
      <c r="H607" s="13" t="str" cm="1">
        <f t="array" ref="H607">_xlfn.IFS(B607&lt;20,"Low",B607&lt;=40,"Moderate",B607&lt;=60,"High",TRUE,"Very High")</f>
        <v>High</v>
      </c>
    </row>
    <row r="608" spans="1:8" ht="17" x14ac:dyDescent="0.2">
      <c r="A608">
        <v>607</v>
      </c>
      <c r="B608" cm="1">
        <f t="array" ref="B608:G608">_xlfn.XLOOKUP($A608,Instagram_Usage_Lifestyle_Mini_!$A:$A,Instagram_Usage_Lifestyle_Mini_!$W:$AB,"Not Found")</f>
        <v>49.2</v>
      </c>
      <c r="C608">
        <v>3</v>
      </c>
      <c r="D608">
        <v>4</v>
      </c>
      <c r="E608">
        <v>8</v>
      </c>
      <c r="F608">
        <v>4.4000000000000004</v>
      </c>
      <c r="G608">
        <v>4</v>
      </c>
      <c r="H608" s="13" t="str" cm="1">
        <f t="array" ref="H608">_xlfn.IFS(B608&lt;20,"Low",B608&lt;=40,"Moderate",B608&lt;=60,"High",TRUE,"Very High")</f>
        <v>High</v>
      </c>
    </row>
    <row r="609" spans="1:8" ht="17" x14ac:dyDescent="0.2">
      <c r="A609">
        <v>608</v>
      </c>
      <c r="B609" cm="1">
        <f t="array" ref="B609:G609">_xlfn.XLOOKUP($A609,Instagram_Usage_Lifestyle_Mini_!$A:$A,Instagram_Usage_Lifestyle_Mini_!$W:$AB,"Not Found")</f>
        <v>26.1</v>
      </c>
      <c r="C609">
        <v>4</v>
      </c>
      <c r="D609">
        <v>2</v>
      </c>
      <c r="E609">
        <v>10</v>
      </c>
      <c r="F609">
        <v>2.8</v>
      </c>
      <c r="G609">
        <v>6</v>
      </c>
      <c r="H609" s="13" t="str" cm="1">
        <f t="array" ref="H609">_xlfn.IFS(B609&lt;20,"Low",B609&lt;=40,"Moderate",B609&lt;=60,"High",TRUE,"Very High")</f>
        <v>Moderate</v>
      </c>
    </row>
    <row r="610" spans="1:8" ht="17" x14ac:dyDescent="0.2">
      <c r="A610">
        <v>609</v>
      </c>
      <c r="B610" cm="1">
        <f t="array" ref="B610:G610">_xlfn.XLOOKUP($A610,Instagram_Usage_Lifestyle_Mini_!$A:$A,Instagram_Usage_Lifestyle_Mini_!$W:$AB,"Not Found")</f>
        <v>53.4</v>
      </c>
      <c r="C610">
        <v>3</v>
      </c>
      <c r="D610">
        <v>7</v>
      </c>
      <c r="E610">
        <v>12</v>
      </c>
      <c r="F610">
        <v>1.3</v>
      </c>
      <c r="G610">
        <v>2</v>
      </c>
      <c r="H610" s="13" t="str" cm="1">
        <f t="array" ref="H610">_xlfn.IFS(B610&lt;20,"Low",B610&lt;=40,"Moderate",B610&lt;=60,"High",TRUE,"Very High")</f>
        <v>High</v>
      </c>
    </row>
    <row r="611" spans="1:8" ht="17" x14ac:dyDescent="0.2">
      <c r="A611">
        <v>610</v>
      </c>
      <c r="B611" cm="1">
        <f t="array" ref="B611:G611">_xlfn.XLOOKUP($A611,Instagram_Usage_Lifestyle_Mini_!$A:$A,Instagram_Usage_Lifestyle_Mini_!$W:$AB,"Not Found")</f>
        <v>41.6</v>
      </c>
      <c r="C611">
        <v>4</v>
      </c>
      <c r="D611">
        <v>5</v>
      </c>
      <c r="E611">
        <v>15</v>
      </c>
      <c r="F611">
        <v>1.3</v>
      </c>
      <c r="G611">
        <v>4</v>
      </c>
      <c r="H611" s="13" t="str" cm="1">
        <f t="array" ref="H611">_xlfn.IFS(B611&lt;20,"Low",B611&lt;=40,"Moderate",B611&lt;=60,"High",TRUE,"Very High")</f>
        <v>High</v>
      </c>
    </row>
    <row r="612" spans="1:8" ht="17" x14ac:dyDescent="0.2">
      <c r="A612">
        <v>611</v>
      </c>
      <c r="B612" cm="1">
        <f t="array" ref="B612:G612">_xlfn.XLOOKUP($A612,Instagram_Usage_Lifestyle_Mini_!$A:$A,Instagram_Usage_Lifestyle_Mini_!$W:$AB,"Not Found")</f>
        <v>38</v>
      </c>
      <c r="C612">
        <v>3</v>
      </c>
      <c r="D612">
        <v>4</v>
      </c>
      <c r="E612">
        <v>11</v>
      </c>
      <c r="F612">
        <v>2.4</v>
      </c>
      <c r="G612">
        <v>3</v>
      </c>
      <c r="H612" s="13" t="str" cm="1">
        <f t="array" ref="H612">_xlfn.IFS(B612&lt;20,"Low",B612&lt;=40,"Moderate",B612&lt;=60,"High",TRUE,"Very High")</f>
        <v>Moderate</v>
      </c>
    </row>
    <row r="613" spans="1:8" ht="17" x14ac:dyDescent="0.2">
      <c r="A613">
        <v>612</v>
      </c>
      <c r="B613" cm="1">
        <f t="array" ref="B613:G613">_xlfn.XLOOKUP($A613,Instagram_Usage_Lifestyle_Mini_!$A:$A,Instagram_Usage_Lifestyle_Mini_!$W:$AB,"Not Found")</f>
        <v>24.2</v>
      </c>
      <c r="C613">
        <v>2</v>
      </c>
      <c r="D613">
        <v>7</v>
      </c>
      <c r="E613">
        <v>7</v>
      </c>
      <c r="F613">
        <v>10.1</v>
      </c>
      <c r="G613">
        <v>4</v>
      </c>
      <c r="H613" s="13" t="str" cm="1">
        <f t="array" ref="H613">_xlfn.IFS(B613&lt;20,"Low",B613&lt;=40,"Moderate",B613&lt;=60,"High",TRUE,"Very High")</f>
        <v>Moderate</v>
      </c>
    </row>
    <row r="614" spans="1:8" ht="17" x14ac:dyDescent="0.2">
      <c r="A614">
        <v>613</v>
      </c>
      <c r="B614" cm="1">
        <f t="array" ref="B614:G614">_xlfn.XLOOKUP($A614,Instagram_Usage_Lifestyle_Mini_!$A:$A,Instagram_Usage_Lifestyle_Mini_!$W:$AB,"Not Found")</f>
        <v>56.2</v>
      </c>
      <c r="C614">
        <v>4</v>
      </c>
      <c r="D614">
        <v>1</v>
      </c>
      <c r="E614">
        <v>12</v>
      </c>
      <c r="F614">
        <v>0.4</v>
      </c>
      <c r="G614">
        <v>2</v>
      </c>
      <c r="H614" s="13" t="str" cm="1">
        <f t="array" ref="H614">_xlfn.IFS(B614&lt;20,"Low",B614&lt;=40,"Moderate",B614&lt;=60,"High",TRUE,"Very High")</f>
        <v>High</v>
      </c>
    </row>
    <row r="615" spans="1:8" ht="17" x14ac:dyDescent="0.2">
      <c r="A615">
        <v>614</v>
      </c>
      <c r="B615" cm="1">
        <f t="array" ref="B615:G615">_xlfn.XLOOKUP($A615,Instagram_Usage_Lifestyle_Mini_!$A:$A,Instagram_Usage_Lifestyle_Mini_!$W:$AB,"Not Found")</f>
        <v>52.5</v>
      </c>
      <c r="C615">
        <v>4</v>
      </c>
      <c r="D615">
        <v>4</v>
      </c>
      <c r="E615">
        <v>13</v>
      </c>
      <c r="F615">
        <v>0.6</v>
      </c>
      <c r="G615">
        <v>5</v>
      </c>
      <c r="H615" s="13" t="str" cm="1">
        <f t="array" ref="H615">_xlfn.IFS(B615&lt;20,"Low",B615&lt;=40,"Moderate",B615&lt;=60,"High",TRUE,"Very High")</f>
        <v>High</v>
      </c>
    </row>
    <row r="616" spans="1:8" ht="17" x14ac:dyDescent="0.2">
      <c r="A616">
        <v>615</v>
      </c>
      <c r="B616" cm="1">
        <f t="array" ref="B616:G616">_xlfn.XLOOKUP($A616,Instagram_Usage_Lifestyle_Mini_!$A:$A,Instagram_Usage_Lifestyle_Mini_!$W:$AB,"Not Found")</f>
        <v>34.799999999999997</v>
      </c>
      <c r="C616">
        <v>2</v>
      </c>
      <c r="D616">
        <v>3</v>
      </c>
      <c r="E616">
        <v>8</v>
      </c>
      <c r="F616">
        <v>5.3</v>
      </c>
      <c r="G616">
        <v>2</v>
      </c>
      <c r="H616" s="13" t="str" cm="1">
        <f t="array" ref="H616">_xlfn.IFS(B616&lt;20,"Low",B616&lt;=40,"Moderate",B616&lt;=60,"High",TRUE,"Very High")</f>
        <v>Moderate</v>
      </c>
    </row>
    <row r="617" spans="1:8" ht="17" x14ac:dyDescent="0.2">
      <c r="A617">
        <v>616</v>
      </c>
      <c r="B617" cm="1">
        <f t="array" ref="B617:G617">_xlfn.XLOOKUP($A617,Instagram_Usage_Lifestyle_Mini_!$A:$A,Instagram_Usage_Lifestyle_Mini_!$W:$AB,"Not Found")</f>
        <v>44.1</v>
      </c>
      <c r="C617">
        <v>1</v>
      </c>
      <c r="D617">
        <v>3</v>
      </c>
      <c r="E617">
        <v>11</v>
      </c>
      <c r="F617">
        <v>5.8</v>
      </c>
      <c r="G617">
        <v>2</v>
      </c>
      <c r="H617" s="13" t="str" cm="1">
        <f t="array" ref="H617">_xlfn.IFS(B617&lt;20,"Low",B617&lt;=40,"Moderate",B617&lt;=60,"High",TRUE,"Very High")</f>
        <v>High</v>
      </c>
    </row>
    <row r="618" spans="1:8" ht="17" x14ac:dyDescent="0.2">
      <c r="A618">
        <v>617</v>
      </c>
      <c r="B618" cm="1">
        <f t="array" ref="B618:G618">_xlfn.XLOOKUP($A618,Instagram_Usage_Lifestyle_Mini_!$A:$A,Instagram_Usage_Lifestyle_Mini_!$W:$AB,"Not Found")</f>
        <v>29.8</v>
      </c>
      <c r="C618">
        <v>3</v>
      </c>
      <c r="D618">
        <v>6</v>
      </c>
      <c r="E618">
        <v>10</v>
      </c>
      <c r="F618">
        <v>6.6</v>
      </c>
      <c r="G618">
        <v>2</v>
      </c>
      <c r="H618" s="13" t="str" cm="1">
        <f t="array" ref="H618">_xlfn.IFS(B618&lt;20,"Low",B618&lt;=40,"Moderate",B618&lt;=60,"High",TRUE,"Very High")</f>
        <v>Moderate</v>
      </c>
    </row>
    <row r="619" spans="1:8" ht="17" x14ac:dyDescent="0.2">
      <c r="A619">
        <v>618</v>
      </c>
      <c r="B619" cm="1">
        <f t="array" ref="B619:G619">_xlfn.XLOOKUP($A619,Instagram_Usage_Lifestyle_Mini_!$A:$A,Instagram_Usage_Lifestyle_Mini_!$W:$AB,"Not Found")</f>
        <v>60.9</v>
      </c>
      <c r="C619">
        <v>2</v>
      </c>
      <c r="D619">
        <v>3</v>
      </c>
      <c r="E619">
        <v>15</v>
      </c>
      <c r="F619">
        <v>4.0999999999999996</v>
      </c>
      <c r="G619">
        <v>4</v>
      </c>
      <c r="H619" s="13" t="str" cm="1">
        <f t="array" ref="H619">_xlfn.IFS(B619&lt;20,"Low",B619&lt;=40,"Moderate",B619&lt;=60,"High",TRUE,"Very High")</f>
        <v>Very High</v>
      </c>
    </row>
    <row r="620" spans="1:8" ht="17" x14ac:dyDescent="0.2">
      <c r="A620">
        <v>619</v>
      </c>
      <c r="B620" cm="1">
        <f t="array" ref="B620:G620">_xlfn.XLOOKUP($A620,Instagram_Usage_Lifestyle_Mini_!$A:$A,Instagram_Usage_Lifestyle_Mini_!$W:$AB,"Not Found")</f>
        <v>32.200000000000003</v>
      </c>
      <c r="C620">
        <v>3</v>
      </c>
      <c r="D620">
        <v>3</v>
      </c>
      <c r="E620">
        <v>10</v>
      </c>
      <c r="F620">
        <v>2.5</v>
      </c>
      <c r="G620">
        <v>3</v>
      </c>
      <c r="H620" s="13" t="str" cm="1">
        <f t="array" ref="H620">_xlfn.IFS(B620&lt;20,"Low",B620&lt;=40,"Moderate",B620&lt;=60,"High",TRUE,"Very High")</f>
        <v>Moderate</v>
      </c>
    </row>
    <row r="621" spans="1:8" ht="17" x14ac:dyDescent="0.2">
      <c r="A621">
        <v>620</v>
      </c>
      <c r="B621" cm="1">
        <f t="array" ref="B621:G621">_xlfn.XLOOKUP($A621,Instagram_Usage_Lifestyle_Mini_!$A:$A,Instagram_Usage_Lifestyle_Mini_!$W:$AB,"Not Found")</f>
        <v>37.700000000000003</v>
      </c>
      <c r="C621">
        <v>3</v>
      </c>
      <c r="D621">
        <v>7</v>
      </c>
      <c r="E621">
        <v>12</v>
      </c>
      <c r="F621">
        <v>1.3</v>
      </c>
      <c r="G621">
        <v>7</v>
      </c>
      <c r="H621" s="13" t="str" cm="1">
        <f t="array" ref="H621">_xlfn.IFS(B621&lt;20,"Low",B621&lt;=40,"Moderate",B621&lt;=60,"High",TRUE,"Very High")</f>
        <v>Moderate</v>
      </c>
    </row>
    <row r="622" spans="1:8" ht="17" x14ac:dyDescent="0.2">
      <c r="A622">
        <v>621</v>
      </c>
      <c r="B622" cm="1">
        <f t="array" ref="B622:G622">_xlfn.XLOOKUP($A622,Instagram_Usage_Lifestyle_Mini_!$A:$A,Instagram_Usage_Lifestyle_Mini_!$W:$AB,"Not Found")</f>
        <v>58</v>
      </c>
      <c r="C622">
        <v>5</v>
      </c>
      <c r="D622">
        <v>5</v>
      </c>
      <c r="E622">
        <v>9</v>
      </c>
      <c r="F622">
        <v>0.7</v>
      </c>
      <c r="G622">
        <v>2</v>
      </c>
      <c r="H622" s="13" t="str" cm="1">
        <f t="array" ref="H622">_xlfn.IFS(B622&lt;20,"Low",B622&lt;=40,"Moderate",B622&lt;=60,"High",TRUE,"Very High")</f>
        <v>High</v>
      </c>
    </row>
    <row r="623" spans="1:8" ht="17" x14ac:dyDescent="0.2">
      <c r="A623">
        <v>622</v>
      </c>
      <c r="B623" cm="1">
        <f t="array" ref="B623:G623">_xlfn.XLOOKUP($A623,Instagram_Usage_Lifestyle_Mini_!$A:$A,Instagram_Usage_Lifestyle_Mini_!$W:$AB,"Not Found")</f>
        <v>32.9</v>
      </c>
      <c r="C623">
        <v>1</v>
      </c>
      <c r="D623">
        <v>6</v>
      </c>
      <c r="E623">
        <v>11</v>
      </c>
      <c r="F623">
        <v>4.3</v>
      </c>
      <c r="G623">
        <v>3</v>
      </c>
      <c r="H623" s="13" t="str" cm="1">
        <f t="array" ref="H623">_xlfn.IFS(B623&lt;20,"Low",B623&lt;=40,"Moderate",B623&lt;=60,"High",TRUE,"Very High")</f>
        <v>Moderate</v>
      </c>
    </row>
    <row r="624" spans="1:8" ht="17" x14ac:dyDescent="0.2">
      <c r="A624">
        <v>623</v>
      </c>
      <c r="B624" cm="1">
        <f t="array" ref="B624:G624">_xlfn.XLOOKUP($A624,Instagram_Usage_Lifestyle_Mini_!$A:$A,Instagram_Usage_Lifestyle_Mini_!$W:$AB,"Not Found")</f>
        <v>23.7</v>
      </c>
      <c r="C624">
        <v>1</v>
      </c>
      <c r="D624">
        <v>4</v>
      </c>
      <c r="E624">
        <v>11</v>
      </c>
      <c r="F624">
        <v>0.6</v>
      </c>
      <c r="G624">
        <v>4</v>
      </c>
      <c r="H624" s="13" t="str" cm="1">
        <f t="array" ref="H624">_xlfn.IFS(B624&lt;20,"Low",B624&lt;=40,"Moderate",B624&lt;=60,"High",TRUE,"Very High")</f>
        <v>Moderate</v>
      </c>
    </row>
    <row r="625" spans="1:8" ht="17" x14ac:dyDescent="0.2">
      <c r="A625">
        <v>624</v>
      </c>
      <c r="B625" cm="1">
        <f t="array" ref="B625:G625">_xlfn.XLOOKUP($A625,Instagram_Usage_Lifestyle_Mini_!$A:$A,Instagram_Usage_Lifestyle_Mini_!$W:$AB,"Not Found")</f>
        <v>27.8</v>
      </c>
      <c r="C625">
        <v>2</v>
      </c>
      <c r="D625">
        <v>4</v>
      </c>
      <c r="E625">
        <v>12</v>
      </c>
      <c r="F625">
        <v>6.8</v>
      </c>
      <c r="G625">
        <v>2</v>
      </c>
      <c r="H625" s="13" t="str" cm="1">
        <f t="array" ref="H625">_xlfn.IFS(B625&lt;20,"Low",B625&lt;=40,"Moderate",B625&lt;=60,"High",TRUE,"Very High")</f>
        <v>Moderate</v>
      </c>
    </row>
    <row r="626" spans="1:8" ht="17" x14ac:dyDescent="0.2">
      <c r="A626">
        <v>625</v>
      </c>
      <c r="B626" cm="1">
        <f t="array" ref="B626:G626">_xlfn.XLOOKUP($A626,Instagram_Usage_Lifestyle_Mini_!$A:$A,Instagram_Usage_Lifestyle_Mini_!$W:$AB,"Not Found")</f>
        <v>58.3</v>
      </c>
      <c r="C626">
        <v>4</v>
      </c>
      <c r="D626">
        <v>9</v>
      </c>
      <c r="E626">
        <v>9</v>
      </c>
      <c r="F626">
        <v>4.0999999999999996</v>
      </c>
      <c r="G626">
        <v>6</v>
      </c>
      <c r="H626" s="13" t="str" cm="1">
        <f t="array" ref="H626">_xlfn.IFS(B626&lt;20,"Low",B626&lt;=40,"Moderate",B626&lt;=60,"High",TRUE,"Very High")</f>
        <v>High</v>
      </c>
    </row>
    <row r="627" spans="1:8" ht="17" x14ac:dyDescent="0.2">
      <c r="A627">
        <v>626</v>
      </c>
      <c r="B627" cm="1">
        <f t="array" ref="B627:G627">_xlfn.XLOOKUP($A627,Instagram_Usage_Lifestyle_Mini_!$A:$A,Instagram_Usage_Lifestyle_Mini_!$W:$AB,"Not Found")</f>
        <v>40.1</v>
      </c>
      <c r="C627">
        <v>3</v>
      </c>
      <c r="D627">
        <v>8</v>
      </c>
      <c r="E627">
        <v>6</v>
      </c>
      <c r="F627">
        <v>7.6</v>
      </c>
      <c r="G627">
        <v>5</v>
      </c>
      <c r="H627" s="13" t="str" cm="1">
        <f t="array" ref="H627">_xlfn.IFS(B627&lt;20,"Low",B627&lt;=40,"Moderate",B627&lt;=60,"High",TRUE,"Very High")</f>
        <v>High</v>
      </c>
    </row>
    <row r="628" spans="1:8" ht="17" x14ac:dyDescent="0.2">
      <c r="A628">
        <v>627</v>
      </c>
      <c r="B628" cm="1">
        <f t="array" ref="B628:G628">_xlfn.XLOOKUP($A628,Instagram_Usage_Lifestyle_Mini_!$A:$A,Instagram_Usage_Lifestyle_Mini_!$W:$AB,"Not Found")</f>
        <v>47.7</v>
      </c>
      <c r="C628">
        <v>3</v>
      </c>
      <c r="D628">
        <v>5</v>
      </c>
      <c r="E628">
        <v>10</v>
      </c>
      <c r="F628">
        <v>5.9</v>
      </c>
      <c r="G628">
        <v>3</v>
      </c>
      <c r="H628" s="13" t="str" cm="1">
        <f t="array" ref="H628">_xlfn.IFS(B628&lt;20,"Low",B628&lt;=40,"Moderate",B628&lt;=60,"High",TRUE,"Very High")</f>
        <v>High</v>
      </c>
    </row>
    <row r="629" spans="1:8" ht="17" x14ac:dyDescent="0.2">
      <c r="A629">
        <v>628</v>
      </c>
      <c r="B629" cm="1">
        <f t="array" ref="B629:G629">_xlfn.XLOOKUP($A629,Instagram_Usage_Lifestyle_Mini_!$A:$A,Instagram_Usage_Lifestyle_Mini_!$W:$AB,"Not Found")</f>
        <v>9.6999999999999993</v>
      </c>
      <c r="C629">
        <v>6</v>
      </c>
      <c r="D629">
        <v>5</v>
      </c>
      <c r="E629">
        <v>7</v>
      </c>
      <c r="F629">
        <v>6.2</v>
      </c>
      <c r="G629">
        <v>3</v>
      </c>
      <c r="H629" s="13" t="str" cm="1">
        <f t="array" ref="H629">_xlfn.IFS(B629&lt;20,"Low",B629&lt;=40,"Moderate",B629&lt;=60,"High",TRUE,"Very High")</f>
        <v>Low</v>
      </c>
    </row>
    <row r="630" spans="1:8" ht="17" x14ac:dyDescent="0.2">
      <c r="A630">
        <v>629</v>
      </c>
      <c r="B630" cm="1">
        <f t="array" ref="B630:G630">_xlfn.XLOOKUP($A630,Instagram_Usage_Lifestyle_Mini_!$A:$A,Instagram_Usage_Lifestyle_Mini_!$W:$AB,"Not Found")</f>
        <v>53.9</v>
      </c>
      <c r="C630">
        <v>0</v>
      </c>
      <c r="D630">
        <v>8</v>
      </c>
      <c r="E630">
        <v>8</v>
      </c>
      <c r="F630">
        <v>1.9</v>
      </c>
      <c r="G630">
        <v>5</v>
      </c>
      <c r="H630" s="13" t="str" cm="1">
        <f t="array" ref="H630">_xlfn.IFS(B630&lt;20,"Low",B630&lt;=40,"Moderate",B630&lt;=60,"High",TRUE,"Very High")</f>
        <v>High</v>
      </c>
    </row>
    <row r="631" spans="1:8" ht="17" x14ac:dyDescent="0.2">
      <c r="A631">
        <v>630</v>
      </c>
      <c r="B631" cm="1">
        <f t="array" ref="B631:G631">_xlfn.XLOOKUP($A631,Instagram_Usage_Lifestyle_Mini_!$A:$A,Instagram_Usage_Lifestyle_Mini_!$W:$AB,"Not Found")</f>
        <v>24.8</v>
      </c>
      <c r="C631">
        <v>2</v>
      </c>
      <c r="D631">
        <v>8</v>
      </c>
      <c r="E631">
        <v>5</v>
      </c>
      <c r="F631">
        <v>4.3</v>
      </c>
      <c r="G631">
        <v>3</v>
      </c>
      <c r="H631" s="13" t="str" cm="1">
        <f t="array" ref="H631">_xlfn.IFS(B631&lt;20,"Low",B631&lt;=40,"Moderate",B631&lt;=60,"High",TRUE,"Very High")</f>
        <v>Moderate</v>
      </c>
    </row>
    <row r="632" spans="1:8" ht="17" x14ac:dyDescent="0.2">
      <c r="A632">
        <v>631</v>
      </c>
      <c r="B632" cm="1">
        <f t="array" ref="B632:G632">_xlfn.XLOOKUP($A632,Instagram_Usage_Lifestyle_Mini_!$A:$A,Instagram_Usage_Lifestyle_Mini_!$W:$AB,"Not Found")</f>
        <v>30.4</v>
      </c>
      <c r="C632">
        <v>4</v>
      </c>
      <c r="D632">
        <v>3</v>
      </c>
      <c r="E632">
        <v>8</v>
      </c>
      <c r="F632">
        <v>4.3</v>
      </c>
      <c r="G632">
        <v>3</v>
      </c>
      <c r="H632" s="13" t="str" cm="1">
        <f t="array" ref="H632">_xlfn.IFS(B632&lt;20,"Low",B632&lt;=40,"Moderate",B632&lt;=60,"High",TRUE,"Very High")</f>
        <v>Moderate</v>
      </c>
    </row>
    <row r="633" spans="1:8" ht="17" x14ac:dyDescent="0.2">
      <c r="A633">
        <v>632</v>
      </c>
      <c r="B633" cm="1">
        <f t="array" ref="B633:G633">_xlfn.XLOOKUP($A633,Instagram_Usage_Lifestyle_Mini_!$A:$A,Instagram_Usage_Lifestyle_Mini_!$W:$AB,"Not Found")</f>
        <v>48.4</v>
      </c>
      <c r="C633">
        <v>4</v>
      </c>
      <c r="D633">
        <v>8</v>
      </c>
      <c r="E633">
        <v>9</v>
      </c>
      <c r="F633">
        <v>2</v>
      </c>
      <c r="G633">
        <v>1</v>
      </c>
      <c r="H633" s="13" t="str" cm="1">
        <f t="array" ref="H633">_xlfn.IFS(B633&lt;20,"Low",B633&lt;=40,"Moderate",B633&lt;=60,"High",TRUE,"Very High")</f>
        <v>High</v>
      </c>
    </row>
    <row r="634" spans="1:8" ht="17" x14ac:dyDescent="0.2">
      <c r="A634">
        <v>633</v>
      </c>
      <c r="B634" cm="1">
        <f t="array" ref="B634:G634">_xlfn.XLOOKUP($A634,Instagram_Usage_Lifestyle_Mini_!$A:$A,Instagram_Usage_Lifestyle_Mini_!$W:$AB,"Not Found")</f>
        <v>41.3</v>
      </c>
      <c r="C634">
        <v>3</v>
      </c>
      <c r="D634">
        <v>4</v>
      </c>
      <c r="E634">
        <v>12</v>
      </c>
      <c r="F634">
        <v>1.5</v>
      </c>
      <c r="G634">
        <v>1</v>
      </c>
      <c r="H634" s="13" t="str" cm="1">
        <f t="array" ref="H634">_xlfn.IFS(B634&lt;20,"Low",B634&lt;=40,"Moderate",B634&lt;=60,"High",TRUE,"Very High")</f>
        <v>High</v>
      </c>
    </row>
    <row r="635" spans="1:8" ht="17" x14ac:dyDescent="0.2">
      <c r="A635">
        <v>634</v>
      </c>
      <c r="B635" cm="1">
        <f t="array" ref="B635:G635">_xlfn.XLOOKUP($A635,Instagram_Usage_Lifestyle_Mini_!$A:$A,Instagram_Usage_Lifestyle_Mini_!$W:$AB,"Not Found")</f>
        <v>42.8</v>
      </c>
      <c r="C635">
        <v>3</v>
      </c>
      <c r="D635">
        <v>8</v>
      </c>
      <c r="E635">
        <v>11</v>
      </c>
      <c r="F635">
        <v>5.3</v>
      </c>
      <c r="G635">
        <v>3</v>
      </c>
      <c r="H635" s="13" t="str" cm="1">
        <f t="array" ref="H635">_xlfn.IFS(B635&lt;20,"Low",B635&lt;=40,"Moderate",B635&lt;=60,"High",TRUE,"Very High")</f>
        <v>High</v>
      </c>
    </row>
    <row r="636" spans="1:8" ht="17" x14ac:dyDescent="0.2">
      <c r="A636">
        <v>635</v>
      </c>
      <c r="B636" cm="1">
        <f t="array" ref="B636:G636">_xlfn.XLOOKUP($A636,Instagram_Usage_Lifestyle_Mini_!$A:$A,Instagram_Usage_Lifestyle_Mini_!$W:$AB,"Not Found")</f>
        <v>32</v>
      </c>
      <c r="C636">
        <v>2</v>
      </c>
      <c r="D636">
        <v>7</v>
      </c>
      <c r="E636">
        <v>14</v>
      </c>
      <c r="F636">
        <v>3</v>
      </c>
      <c r="G636">
        <v>3</v>
      </c>
      <c r="H636" s="13" t="str" cm="1">
        <f t="array" ref="H636">_xlfn.IFS(B636&lt;20,"Low",B636&lt;=40,"Moderate",B636&lt;=60,"High",TRUE,"Very High")</f>
        <v>Moderate</v>
      </c>
    </row>
    <row r="637" spans="1:8" ht="17" x14ac:dyDescent="0.2">
      <c r="A637">
        <v>636</v>
      </c>
      <c r="B637" cm="1">
        <f t="array" ref="B637:G637">_xlfn.XLOOKUP($A637,Instagram_Usage_Lifestyle_Mini_!$A:$A,Instagram_Usage_Lifestyle_Mini_!$W:$AB,"Not Found")</f>
        <v>38.5</v>
      </c>
      <c r="C637">
        <v>2</v>
      </c>
      <c r="D637">
        <v>4</v>
      </c>
      <c r="E637">
        <v>8</v>
      </c>
      <c r="F637">
        <v>0.9</v>
      </c>
      <c r="G637">
        <v>4</v>
      </c>
      <c r="H637" s="13" t="str" cm="1">
        <f t="array" ref="H637">_xlfn.IFS(B637&lt;20,"Low",B637&lt;=40,"Moderate",B637&lt;=60,"High",TRUE,"Very High")</f>
        <v>Moderate</v>
      </c>
    </row>
    <row r="638" spans="1:8" ht="17" x14ac:dyDescent="0.2">
      <c r="A638">
        <v>637</v>
      </c>
      <c r="B638" cm="1">
        <f t="array" ref="B638:G638">_xlfn.XLOOKUP($A638,Instagram_Usage_Lifestyle_Mini_!$A:$A,Instagram_Usage_Lifestyle_Mini_!$W:$AB,"Not Found")</f>
        <v>31.7</v>
      </c>
      <c r="C638">
        <v>1</v>
      </c>
      <c r="D638">
        <v>6</v>
      </c>
      <c r="E638">
        <v>16</v>
      </c>
      <c r="F638">
        <v>3.7</v>
      </c>
      <c r="G638">
        <v>2</v>
      </c>
      <c r="H638" s="13" t="str" cm="1">
        <f t="array" ref="H638">_xlfn.IFS(B638&lt;20,"Low",B638&lt;=40,"Moderate",B638&lt;=60,"High",TRUE,"Very High")</f>
        <v>Moderate</v>
      </c>
    </row>
    <row r="639" spans="1:8" ht="17" x14ac:dyDescent="0.2">
      <c r="A639">
        <v>638</v>
      </c>
      <c r="B639" cm="1">
        <f t="array" ref="B639:G639">_xlfn.XLOOKUP($A639,Instagram_Usage_Lifestyle_Mini_!$A:$A,Instagram_Usage_Lifestyle_Mini_!$W:$AB,"Not Found")</f>
        <v>42.9</v>
      </c>
      <c r="C639">
        <v>1</v>
      </c>
      <c r="D639">
        <v>1</v>
      </c>
      <c r="E639">
        <v>7</v>
      </c>
      <c r="F639">
        <v>8.8000000000000007</v>
      </c>
      <c r="G639">
        <v>3</v>
      </c>
      <c r="H639" s="13" t="str" cm="1">
        <f t="array" ref="H639">_xlfn.IFS(B639&lt;20,"Low",B639&lt;=40,"Moderate",B639&lt;=60,"High",TRUE,"Very High")</f>
        <v>High</v>
      </c>
    </row>
    <row r="640" spans="1:8" ht="17" x14ac:dyDescent="0.2">
      <c r="A640">
        <v>639</v>
      </c>
      <c r="B640" cm="1">
        <f t="array" ref="B640:G640">_xlfn.XLOOKUP($A640,Instagram_Usage_Lifestyle_Mini_!$A:$A,Instagram_Usage_Lifestyle_Mini_!$W:$AB,"Not Found")</f>
        <v>38.700000000000003</v>
      </c>
      <c r="C640">
        <v>1</v>
      </c>
      <c r="D640">
        <v>7</v>
      </c>
      <c r="E640">
        <v>9</v>
      </c>
      <c r="F640">
        <v>4.2</v>
      </c>
      <c r="G640">
        <v>0</v>
      </c>
      <c r="H640" s="13" t="str" cm="1">
        <f t="array" ref="H640">_xlfn.IFS(B640&lt;20,"Low",B640&lt;=40,"Moderate",B640&lt;=60,"High",TRUE,"Very High")</f>
        <v>Moderate</v>
      </c>
    </row>
    <row r="641" spans="1:8" ht="17" x14ac:dyDescent="0.2">
      <c r="A641">
        <v>640</v>
      </c>
      <c r="B641" cm="1">
        <f t="array" ref="B641:G641">_xlfn.XLOOKUP($A641,Instagram_Usage_Lifestyle_Mini_!$A:$A,Instagram_Usage_Lifestyle_Mini_!$W:$AB,"Not Found")</f>
        <v>45.3</v>
      </c>
      <c r="C641">
        <v>5</v>
      </c>
      <c r="D641">
        <v>3</v>
      </c>
      <c r="E641">
        <v>14</v>
      </c>
      <c r="F641">
        <v>4.5</v>
      </c>
      <c r="G641">
        <v>1</v>
      </c>
      <c r="H641" s="13" t="str" cm="1">
        <f t="array" ref="H641">_xlfn.IFS(B641&lt;20,"Low",B641&lt;=40,"Moderate",B641&lt;=60,"High",TRUE,"Very High")</f>
        <v>High</v>
      </c>
    </row>
    <row r="642" spans="1:8" ht="17" x14ac:dyDescent="0.2">
      <c r="A642">
        <v>641</v>
      </c>
      <c r="B642" cm="1">
        <f t="array" ref="B642:G642">_xlfn.XLOOKUP($A642,Instagram_Usage_Lifestyle_Mini_!$A:$A,Instagram_Usage_Lifestyle_Mini_!$W:$AB,"Not Found")</f>
        <v>46</v>
      </c>
      <c r="C642">
        <v>6</v>
      </c>
      <c r="D642">
        <v>2</v>
      </c>
      <c r="E642">
        <v>11</v>
      </c>
      <c r="F642">
        <v>2.5</v>
      </c>
      <c r="G642">
        <v>3</v>
      </c>
      <c r="H642" s="13" t="str" cm="1">
        <f t="array" ref="H642">_xlfn.IFS(B642&lt;20,"Low",B642&lt;=40,"Moderate",B642&lt;=60,"High",TRUE,"Very High")</f>
        <v>High</v>
      </c>
    </row>
    <row r="643" spans="1:8" ht="17" x14ac:dyDescent="0.2">
      <c r="A643">
        <v>642</v>
      </c>
      <c r="B643" cm="1">
        <f t="array" ref="B643:G643">_xlfn.XLOOKUP($A643,Instagram_Usage_Lifestyle_Mini_!$A:$A,Instagram_Usage_Lifestyle_Mini_!$W:$AB,"Not Found")</f>
        <v>45.5</v>
      </c>
      <c r="C643">
        <v>1</v>
      </c>
      <c r="D643">
        <v>8</v>
      </c>
      <c r="E643">
        <v>14</v>
      </c>
      <c r="F643">
        <v>0.6</v>
      </c>
      <c r="G643">
        <v>0</v>
      </c>
      <c r="H643" s="13" t="str" cm="1">
        <f t="array" ref="H643">_xlfn.IFS(B643&lt;20,"Low",B643&lt;=40,"Moderate",B643&lt;=60,"High",TRUE,"Very High")</f>
        <v>High</v>
      </c>
    </row>
    <row r="644" spans="1:8" ht="17" x14ac:dyDescent="0.2">
      <c r="A644">
        <v>643</v>
      </c>
      <c r="B644" cm="1">
        <f t="array" ref="B644:G644">_xlfn.XLOOKUP($A644,Instagram_Usage_Lifestyle_Mini_!$A:$A,Instagram_Usage_Lifestyle_Mini_!$W:$AB,"Not Found")</f>
        <v>37.5</v>
      </c>
      <c r="C644">
        <v>6</v>
      </c>
      <c r="D644">
        <v>1</v>
      </c>
      <c r="E644">
        <v>10</v>
      </c>
      <c r="F644">
        <v>3.2</v>
      </c>
      <c r="G644">
        <v>5</v>
      </c>
      <c r="H644" s="13" t="str" cm="1">
        <f t="array" ref="H644">_xlfn.IFS(B644&lt;20,"Low",B644&lt;=40,"Moderate",B644&lt;=60,"High",TRUE,"Very High")</f>
        <v>Moderate</v>
      </c>
    </row>
    <row r="645" spans="1:8" ht="17" x14ac:dyDescent="0.2">
      <c r="A645">
        <v>644</v>
      </c>
      <c r="B645" cm="1">
        <f t="array" ref="B645:G645">_xlfn.XLOOKUP($A645,Instagram_Usage_Lifestyle_Mini_!$A:$A,Instagram_Usage_Lifestyle_Mini_!$W:$AB,"Not Found")</f>
        <v>53.5</v>
      </c>
      <c r="C645">
        <v>4</v>
      </c>
      <c r="D645">
        <v>2</v>
      </c>
      <c r="E645">
        <v>10</v>
      </c>
      <c r="F645">
        <v>4</v>
      </c>
      <c r="G645">
        <v>1</v>
      </c>
      <c r="H645" s="13" t="str" cm="1">
        <f t="array" ref="H645">_xlfn.IFS(B645&lt;20,"Low",B645&lt;=40,"Moderate",B645&lt;=60,"High",TRUE,"Very High")</f>
        <v>High</v>
      </c>
    </row>
    <row r="646" spans="1:8" ht="17" x14ac:dyDescent="0.2">
      <c r="A646">
        <v>645</v>
      </c>
      <c r="B646" cm="1">
        <f t="array" ref="B646:G646">_xlfn.XLOOKUP($A646,Instagram_Usage_Lifestyle_Mini_!$A:$A,Instagram_Usage_Lifestyle_Mini_!$W:$AB,"Not Found")</f>
        <v>44.3</v>
      </c>
      <c r="C646">
        <v>1</v>
      </c>
      <c r="D646">
        <v>7</v>
      </c>
      <c r="E646">
        <v>12</v>
      </c>
      <c r="F646">
        <v>4.3</v>
      </c>
      <c r="G646">
        <v>1</v>
      </c>
      <c r="H646" s="13" t="str" cm="1">
        <f t="array" ref="H646">_xlfn.IFS(B646&lt;20,"Low",B646&lt;=40,"Moderate",B646&lt;=60,"High",TRUE,"Very High")</f>
        <v>High</v>
      </c>
    </row>
    <row r="647" spans="1:8" ht="17" x14ac:dyDescent="0.2">
      <c r="A647">
        <v>646</v>
      </c>
      <c r="B647" cm="1">
        <f t="array" ref="B647:G647">_xlfn.XLOOKUP($A647,Instagram_Usage_Lifestyle_Mini_!$A:$A,Instagram_Usage_Lifestyle_Mini_!$W:$AB,"Not Found")</f>
        <v>37.700000000000003</v>
      </c>
      <c r="C647">
        <v>2</v>
      </c>
      <c r="D647">
        <v>3</v>
      </c>
      <c r="E647">
        <v>11</v>
      </c>
      <c r="F647">
        <v>2.2999999999999998</v>
      </c>
      <c r="G647">
        <v>3</v>
      </c>
      <c r="H647" s="13" t="str" cm="1">
        <f t="array" ref="H647">_xlfn.IFS(B647&lt;20,"Low",B647&lt;=40,"Moderate",B647&lt;=60,"High",TRUE,"Very High")</f>
        <v>Moderate</v>
      </c>
    </row>
    <row r="648" spans="1:8" ht="17" x14ac:dyDescent="0.2">
      <c r="A648">
        <v>647</v>
      </c>
      <c r="B648" cm="1">
        <f t="array" ref="B648:G648">_xlfn.XLOOKUP($A648,Instagram_Usage_Lifestyle_Mini_!$A:$A,Instagram_Usage_Lifestyle_Mini_!$W:$AB,"Not Found")</f>
        <v>45.5</v>
      </c>
      <c r="C648">
        <v>3</v>
      </c>
      <c r="D648">
        <v>4</v>
      </c>
      <c r="E648">
        <v>7</v>
      </c>
      <c r="F648">
        <v>8.4</v>
      </c>
      <c r="G648">
        <v>2</v>
      </c>
      <c r="H648" s="13" t="str" cm="1">
        <f t="array" ref="H648">_xlfn.IFS(B648&lt;20,"Low",B648&lt;=40,"Moderate",B648&lt;=60,"High",TRUE,"Very High")</f>
        <v>High</v>
      </c>
    </row>
    <row r="649" spans="1:8" ht="17" x14ac:dyDescent="0.2">
      <c r="A649">
        <v>648</v>
      </c>
      <c r="B649" cm="1">
        <f t="array" ref="B649:G649">_xlfn.XLOOKUP($A649,Instagram_Usage_Lifestyle_Mini_!$A:$A,Instagram_Usage_Lifestyle_Mini_!$W:$AB,"Not Found")</f>
        <v>33.4</v>
      </c>
      <c r="C649">
        <v>4</v>
      </c>
      <c r="D649">
        <v>4</v>
      </c>
      <c r="E649">
        <v>8</v>
      </c>
      <c r="F649">
        <v>1.9</v>
      </c>
      <c r="G649">
        <v>3</v>
      </c>
      <c r="H649" s="13" t="str" cm="1">
        <f t="array" ref="H649">_xlfn.IFS(B649&lt;20,"Low",B649&lt;=40,"Moderate",B649&lt;=60,"High",TRUE,"Very High")</f>
        <v>Moderate</v>
      </c>
    </row>
    <row r="650" spans="1:8" ht="17" x14ac:dyDescent="0.2">
      <c r="A650">
        <v>649</v>
      </c>
      <c r="B650" cm="1">
        <f t="array" ref="B650:G650">_xlfn.XLOOKUP($A650,Instagram_Usage_Lifestyle_Mini_!$A:$A,Instagram_Usage_Lifestyle_Mini_!$W:$AB,"Not Found")</f>
        <v>43.5</v>
      </c>
      <c r="C650">
        <v>7</v>
      </c>
      <c r="D650">
        <v>4</v>
      </c>
      <c r="E650">
        <v>10</v>
      </c>
      <c r="F650">
        <v>3.6</v>
      </c>
      <c r="G650">
        <v>0</v>
      </c>
      <c r="H650" s="13" t="str" cm="1">
        <f t="array" ref="H650">_xlfn.IFS(B650&lt;20,"Low",B650&lt;=40,"Moderate",B650&lt;=60,"High",TRUE,"Very High")</f>
        <v>High</v>
      </c>
    </row>
    <row r="651" spans="1:8" ht="17" x14ac:dyDescent="0.2">
      <c r="A651">
        <v>650</v>
      </c>
      <c r="B651" cm="1">
        <f t="array" ref="B651:G651">_xlfn.XLOOKUP($A651,Instagram_Usage_Lifestyle_Mini_!$A:$A,Instagram_Usage_Lifestyle_Mini_!$W:$AB,"Not Found")</f>
        <v>39.4</v>
      </c>
      <c r="C651">
        <v>3</v>
      </c>
      <c r="D651">
        <v>4</v>
      </c>
      <c r="E651">
        <v>9</v>
      </c>
      <c r="F651">
        <v>5.4</v>
      </c>
      <c r="G651">
        <v>5</v>
      </c>
      <c r="H651" s="13" t="str" cm="1">
        <f t="array" ref="H651">_xlfn.IFS(B651&lt;20,"Low",B651&lt;=40,"Moderate",B651&lt;=60,"High",TRUE,"Very High")</f>
        <v>Moderate</v>
      </c>
    </row>
    <row r="652" spans="1:8" ht="17" x14ac:dyDescent="0.2">
      <c r="A652">
        <v>651</v>
      </c>
      <c r="B652" cm="1">
        <f t="array" ref="B652:G652">_xlfn.XLOOKUP($A652,Instagram_Usage_Lifestyle_Mini_!$A:$A,Instagram_Usage_Lifestyle_Mini_!$W:$AB,"Not Found")</f>
        <v>53.3</v>
      </c>
      <c r="C652">
        <v>3</v>
      </c>
      <c r="D652">
        <v>4</v>
      </c>
      <c r="E652">
        <v>12</v>
      </c>
      <c r="F652">
        <v>6.6</v>
      </c>
      <c r="G652">
        <v>6</v>
      </c>
      <c r="H652" s="13" t="str" cm="1">
        <f t="array" ref="H652">_xlfn.IFS(B652&lt;20,"Low",B652&lt;=40,"Moderate",B652&lt;=60,"High",TRUE,"Very High")</f>
        <v>High</v>
      </c>
    </row>
    <row r="653" spans="1:8" ht="17" x14ac:dyDescent="0.2">
      <c r="A653">
        <v>652</v>
      </c>
      <c r="B653" cm="1">
        <f t="array" ref="B653:G653">_xlfn.XLOOKUP($A653,Instagram_Usage_Lifestyle_Mini_!$A:$A,Instagram_Usage_Lifestyle_Mini_!$W:$AB,"Not Found")</f>
        <v>35.700000000000003</v>
      </c>
      <c r="C653">
        <v>2</v>
      </c>
      <c r="D653">
        <v>3</v>
      </c>
      <c r="E653">
        <v>14</v>
      </c>
      <c r="F653">
        <v>8.6999999999999993</v>
      </c>
      <c r="G653">
        <v>0</v>
      </c>
      <c r="H653" s="13" t="str" cm="1">
        <f t="array" ref="H653">_xlfn.IFS(B653&lt;20,"Low",B653&lt;=40,"Moderate",B653&lt;=60,"High",TRUE,"Very High")</f>
        <v>Moderate</v>
      </c>
    </row>
    <row r="654" spans="1:8" ht="17" x14ac:dyDescent="0.2">
      <c r="A654">
        <v>653</v>
      </c>
      <c r="B654" cm="1">
        <f t="array" ref="B654:G654">_xlfn.XLOOKUP($A654,Instagram_Usage_Lifestyle_Mini_!$A:$A,Instagram_Usage_Lifestyle_Mini_!$W:$AB,"Not Found")</f>
        <v>38.299999999999997</v>
      </c>
      <c r="C654">
        <v>4</v>
      </c>
      <c r="D654">
        <v>8</v>
      </c>
      <c r="E654">
        <v>11</v>
      </c>
      <c r="F654">
        <v>5.2</v>
      </c>
      <c r="G654">
        <v>6</v>
      </c>
      <c r="H654" s="13" t="str" cm="1">
        <f t="array" ref="H654">_xlfn.IFS(B654&lt;20,"Low",B654&lt;=40,"Moderate",B654&lt;=60,"High",TRUE,"Very High")</f>
        <v>Moderate</v>
      </c>
    </row>
    <row r="655" spans="1:8" ht="17" x14ac:dyDescent="0.2">
      <c r="A655">
        <v>654</v>
      </c>
      <c r="B655" cm="1">
        <f t="array" ref="B655:G655">_xlfn.XLOOKUP($A655,Instagram_Usage_Lifestyle_Mini_!$A:$A,Instagram_Usage_Lifestyle_Mini_!$W:$AB,"Not Found")</f>
        <v>48.3</v>
      </c>
      <c r="C655">
        <v>4</v>
      </c>
      <c r="D655">
        <v>5</v>
      </c>
      <c r="E655">
        <v>11</v>
      </c>
      <c r="F655">
        <v>4.5999999999999996</v>
      </c>
      <c r="G655">
        <v>1</v>
      </c>
      <c r="H655" s="13" t="str" cm="1">
        <f t="array" ref="H655">_xlfn.IFS(B655&lt;20,"Low",B655&lt;=40,"Moderate",B655&lt;=60,"High",TRUE,"Very High")</f>
        <v>High</v>
      </c>
    </row>
    <row r="656" spans="1:8" ht="17" x14ac:dyDescent="0.2">
      <c r="A656">
        <v>655</v>
      </c>
      <c r="B656" cm="1">
        <f t="array" ref="B656:G656">_xlfn.XLOOKUP($A656,Instagram_Usage_Lifestyle_Mini_!$A:$A,Instagram_Usage_Lifestyle_Mini_!$W:$AB,"Not Found")</f>
        <v>44.6</v>
      </c>
      <c r="C656">
        <v>5</v>
      </c>
      <c r="D656">
        <v>6</v>
      </c>
      <c r="E656">
        <v>11</v>
      </c>
      <c r="F656">
        <v>2.4</v>
      </c>
      <c r="G656">
        <v>4</v>
      </c>
      <c r="H656" s="13" t="str" cm="1">
        <f t="array" ref="H656">_xlfn.IFS(B656&lt;20,"Low",B656&lt;=40,"Moderate",B656&lt;=60,"High",TRUE,"Very High")</f>
        <v>High</v>
      </c>
    </row>
    <row r="657" spans="1:8" ht="17" x14ac:dyDescent="0.2">
      <c r="A657">
        <v>656</v>
      </c>
      <c r="B657" cm="1">
        <f t="array" ref="B657:G657">_xlfn.XLOOKUP($A657,Instagram_Usage_Lifestyle_Mini_!$A:$A,Instagram_Usage_Lifestyle_Mini_!$W:$AB,"Not Found")</f>
        <v>41.1</v>
      </c>
      <c r="C657">
        <v>3</v>
      </c>
      <c r="D657">
        <v>5</v>
      </c>
      <c r="E657">
        <v>9</v>
      </c>
      <c r="F657">
        <v>5</v>
      </c>
      <c r="G657">
        <v>1</v>
      </c>
      <c r="H657" s="13" t="str" cm="1">
        <f t="array" ref="H657">_xlfn.IFS(B657&lt;20,"Low",B657&lt;=40,"Moderate",B657&lt;=60,"High",TRUE,"Very High")</f>
        <v>High</v>
      </c>
    </row>
    <row r="658" spans="1:8" ht="17" x14ac:dyDescent="0.2">
      <c r="A658">
        <v>657</v>
      </c>
      <c r="B658" cm="1">
        <f t="array" ref="B658:G658">_xlfn.XLOOKUP($A658,Instagram_Usage_Lifestyle_Mini_!$A:$A,Instagram_Usage_Lifestyle_Mini_!$W:$AB,"Not Found")</f>
        <v>35.799999999999997</v>
      </c>
      <c r="C658">
        <v>1</v>
      </c>
      <c r="D658">
        <v>4</v>
      </c>
      <c r="E658">
        <v>14</v>
      </c>
      <c r="F658">
        <v>2.5</v>
      </c>
      <c r="G658">
        <v>3</v>
      </c>
      <c r="H658" s="13" t="str" cm="1">
        <f t="array" ref="H658">_xlfn.IFS(B658&lt;20,"Low",B658&lt;=40,"Moderate",B658&lt;=60,"High",TRUE,"Very High")</f>
        <v>Moderate</v>
      </c>
    </row>
    <row r="659" spans="1:8" ht="17" x14ac:dyDescent="0.2">
      <c r="A659">
        <v>658</v>
      </c>
      <c r="B659" cm="1">
        <f t="array" ref="B659:G659">_xlfn.XLOOKUP($A659,Instagram_Usage_Lifestyle_Mini_!$A:$A,Instagram_Usage_Lifestyle_Mini_!$W:$AB,"Not Found")</f>
        <v>37.4</v>
      </c>
      <c r="C659">
        <v>4</v>
      </c>
      <c r="D659">
        <v>8</v>
      </c>
      <c r="E659">
        <v>12</v>
      </c>
      <c r="F659">
        <v>1.2</v>
      </c>
      <c r="G659">
        <v>3</v>
      </c>
      <c r="H659" s="13" t="str" cm="1">
        <f t="array" ref="H659">_xlfn.IFS(B659&lt;20,"Low",B659&lt;=40,"Moderate",B659&lt;=60,"High",TRUE,"Very High")</f>
        <v>Moderate</v>
      </c>
    </row>
    <row r="660" spans="1:8" ht="17" x14ac:dyDescent="0.2">
      <c r="A660">
        <v>659</v>
      </c>
      <c r="B660" cm="1">
        <f t="array" ref="B660:G660">_xlfn.XLOOKUP($A660,Instagram_Usage_Lifestyle_Mini_!$A:$A,Instagram_Usage_Lifestyle_Mini_!$W:$AB,"Not Found")</f>
        <v>38.1</v>
      </c>
      <c r="C660">
        <v>3</v>
      </c>
      <c r="D660">
        <v>5</v>
      </c>
      <c r="E660">
        <v>8</v>
      </c>
      <c r="F660">
        <v>2.5</v>
      </c>
      <c r="G660">
        <v>5</v>
      </c>
      <c r="H660" s="13" t="str" cm="1">
        <f t="array" ref="H660">_xlfn.IFS(B660&lt;20,"Low",B660&lt;=40,"Moderate",B660&lt;=60,"High",TRUE,"Very High")</f>
        <v>Moderate</v>
      </c>
    </row>
    <row r="661" spans="1:8" ht="17" x14ac:dyDescent="0.2">
      <c r="A661">
        <v>660</v>
      </c>
      <c r="B661" cm="1">
        <f t="array" ref="B661:G661">_xlfn.XLOOKUP($A661,Instagram_Usage_Lifestyle_Mini_!$A:$A,Instagram_Usage_Lifestyle_Mini_!$W:$AB,"Not Found")</f>
        <v>42.9</v>
      </c>
      <c r="C661">
        <v>0</v>
      </c>
      <c r="D661">
        <v>2</v>
      </c>
      <c r="E661">
        <v>6</v>
      </c>
      <c r="F661">
        <v>0.7</v>
      </c>
      <c r="G661">
        <v>2</v>
      </c>
      <c r="H661" s="13" t="str" cm="1">
        <f t="array" ref="H661">_xlfn.IFS(B661&lt;20,"Low",B661&lt;=40,"Moderate",B661&lt;=60,"High",TRUE,"Very High")</f>
        <v>High</v>
      </c>
    </row>
    <row r="662" spans="1:8" ht="17" x14ac:dyDescent="0.2">
      <c r="A662">
        <v>661</v>
      </c>
      <c r="B662" cm="1">
        <f t="array" ref="B662:G662">_xlfn.XLOOKUP($A662,Instagram_Usage_Lifestyle_Mini_!$A:$A,Instagram_Usage_Lifestyle_Mini_!$W:$AB,"Not Found")</f>
        <v>50.6</v>
      </c>
      <c r="C662">
        <v>5</v>
      </c>
      <c r="D662">
        <v>4</v>
      </c>
      <c r="E662">
        <v>6</v>
      </c>
      <c r="F662">
        <v>2.8</v>
      </c>
      <c r="G662">
        <v>3</v>
      </c>
      <c r="H662" s="13" t="str" cm="1">
        <f t="array" ref="H662">_xlfn.IFS(B662&lt;20,"Low",B662&lt;=40,"Moderate",B662&lt;=60,"High",TRUE,"Very High")</f>
        <v>High</v>
      </c>
    </row>
    <row r="663" spans="1:8" ht="17" x14ac:dyDescent="0.2">
      <c r="A663">
        <v>662</v>
      </c>
      <c r="B663" cm="1">
        <f t="array" ref="B663:G663">_xlfn.XLOOKUP($A663,Instagram_Usage_Lifestyle_Mini_!$A:$A,Instagram_Usage_Lifestyle_Mini_!$W:$AB,"Not Found")</f>
        <v>48.1</v>
      </c>
      <c r="C663">
        <v>2</v>
      </c>
      <c r="D663">
        <v>4</v>
      </c>
      <c r="E663">
        <v>8</v>
      </c>
      <c r="F663">
        <v>4.7</v>
      </c>
      <c r="G663">
        <v>3</v>
      </c>
      <c r="H663" s="13" t="str" cm="1">
        <f t="array" ref="H663">_xlfn.IFS(B663&lt;20,"Low",B663&lt;=40,"Moderate",B663&lt;=60,"High",TRUE,"Very High")</f>
        <v>High</v>
      </c>
    </row>
    <row r="664" spans="1:8" ht="17" x14ac:dyDescent="0.2">
      <c r="A664">
        <v>663</v>
      </c>
      <c r="B664" cm="1">
        <f t="array" ref="B664:G664">_xlfn.XLOOKUP($A664,Instagram_Usage_Lifestyle_Mini_!$A:$A,Instagram_Usage_Lifestyle_Mini_!$W:$AB,"Not Found")</f>
        <v>37.9</v>
      </c>
      <c r="C664">
        <v>7</v>
      </c>
      <c r="D664">
        <v>3</v>
      </c>
      <c r="E664">
        <v>4</v>
      </c>
      <c r="F664">
        <v>2.2999999999999998</v>
      </c>
      <c r="G664">
        <v>5</v>
      </c>
      <c r="H664" s="13" t="str" cm="1">
        <f t="array" ref="H664">_xlfn.IFS(B664&lt;20,"Low",B664&lt;=40,"Moderate",B664&lt;=60,"High",TRUE,"Very High")</f>
        <v>Moderate</v>
      </c>
    </row>
    <row r="665" spans="1:8" ht="17" x14ac:dyDescent="0.2">
      <c r="A665">
        <v>664</v>
      </c>
      <c r="B665" cm="1">
        <f t="array" ref="B665:G665">_xlfn.XLOOKUP($A665,Instagram_Usage_Lifestyle_Mini_!$A:$A,Instagram_Usage_Lifestyle_Mini_!$W:$AB,"Not Found")</f>
        <v>35.6</v>
      </c>
      <c r="C665">
        <v>2</v>
      </c>
      <c r="D665">
        <v>1</v>
      </c>
      <c r="E665">
        <v>17</v>
      </c>
      <c r="F665">
        <v>2.4</v>
      </c>
      <c r="G665">
        <v>2</v>
      </c>
      <c r="H665" s="13" t="str" cm="1">
        <f t="array" ref="H665">_xlfn.IFS(B665&lt;20,"Low",B665&lt;=40,"Moderate",B665&lt;=60,"High",TRUE,"Very High")</f>
        <v>Moderate</v>
      </c>
    </row>
    <row r="666" spans="1:8" ht="17" x14ac:dyDescent="0.2">
      <c r="A666">
        <v>665</v>
      </c>
      <c r="B666" cm="1">
        <f t="array" ref="B666:G666">_xlfn.XLOOKUP($A666,Instagram_Usage_Lifestyle_Mini_!$A:$A,Instagram_Usage_Lifestyle_Mini_!$W:$AB,"Not Found")</f>
        <v>50</v>
      </c>
      <c r="C666">
        <v>0</v>
      </c>
      <c r="D666">
        <v>8</v>
      </c>
      <c r="E666">
        <v>14</v>
      </c>
      <c r="F666">
        <v>5.9</v>
      </c>
      <c r="G666">
        <v>4</v>
      </c>
      <c r="H666" s="13" t="str" cm="1">
        <f t="array" ref="H666">_xlfn.IFS(B666&lt;20,"Low",B666&lt;=40,"Moderate",B666&lt;=60,"High",TRUE,"Very High")</f>
        <v>High</v>
      </c>
    </row>
    <row r="667" spans="1:8" ht="17" x14ac:dyDescent="0.2">
      <c r="A667">
        <v>666</v>
      </c>
      <c r="B667" cm="1">
        <f t="array" ref="B667:G667">_xlfn.XLOOKUP($A667,Instagram_Usage_Lifestyle_Mini_!$A:$A,Instagram_Usage_Lifestyle_Mini_!$W:$AB,"Not Found")</f>
        <v>41.3</v>
      </c>
      <c r="C667">
        <v>5</v>
      </c>
      <c r="D667">
        <v>3</v>
      </c>
      <c r="E667">
        <v>8</v>
      </c>
      <c r="F667">
        <v>2.6</v>
      </c>
      <c r="G667">
        <v>2</v>
      </c>
      <c r="H667" s="13" t="str" cm="1">
        <f t="array" ref="H667">_xlfn.IFS(B667&lt;20,"Low",B667&lt;=40,"Moderate",B667&lt;=60,"High",TRUE,"Very High")</f>
        <v>High</v>
      </c>
    </row>
    <row r="668" spans="1:8" ht="17" x14ac:dyDescent="0.2">
      <c r="A668">
        <v>667</v>
      </c>
      <c r="B668" cm="1">
        <f t="array" ref="B668:G668">_xlfn.XLOOKUP($A668,Instagram_Usage_Lifestyle_Mini_!$A:$A,Instagram_Usage_Lifestyle_Mini_!$W:$AB,"Not Found")</f>
        <v>45.7</v>
      </c>
      <c r="C668">
        <v>2</v>
      </c>
      <c r="D668">
        <v>4</v>
      </c>
      <c r="E668">
        <v>14</v>
      </c>
      <c r="F668">
        <v>1.9</v>
      </c>
      <c r="G668">
        <v>0</v>
      </c>
      <c r="H668" s="13" t="str" cm="1">
        <f t="array" ref="H668">_xlfn.IFS(B668&lt;20,"Low",B668&lt;=40,"Moderate",B668&lt;=60,"High",TRUE,"Very High")</f>
        <v>High</v>
      </c>
    </row>
    <row r="669" spans="1:8" ht="17" x14ac:dyDescent="0.2">
      <c r="A669">
        <v>668</v>
      </c>
      <c r="B669" cm="1">
        <f t="array" ref="B669:G669">_xlfn.XLOOKUP($A669,Instagram_Usage_Lifestyle_Mini_!$A:$A,Instagram_Usage_Lifestyle_Mini_!$W:$AB,"Not Found")</f>
        <v>30.8</v>
      </c>
      <c r="C669">
        <v>2</v>
      </c>
      <c r="D669">
        <v>3</v>
      </c>
      <c r="E669">
        <v>13</v>
      </c>
      <c r="F669">
        <v>0.6</v>
      </c>
      <c r="G669">
        <v>1</v>
      </c>
      <c r="H669" s="13" t="str" cm="1">
        <f t="array" ref="H669">_xlfn.IFS(B669&lt;20,"Low",B669&lt;=40,"Moderate",B669&lt;=60,"High",TRUE,"Very High")</f>
        <v>Moderate</v>
      </c>
    </row>
    <row r="670" spans="1:8" ht="17" x14ac:dyDescent="0.2">
      <c r="A670">
        <v>669</v>
      </c>
      <c r="B670" cm="1">
        <f t="array" ref="B670:G670">_xlfn.XLOOKUP($A670,Instagram_Usage_Lifestyle_Mini_!$A:$A,Instagram_Usage_Lifestyle_Mini_!$W:$AB,"Not Found")</f>
        <v>32.6</v>
      </c>
      <c r="C670">
        <v>2</v>
      </c>
      <c r="D670">
        <v>3</v>
      </c>
      <c r="E670">
        <v>16</v>
      </c>
      <c r="F670">
        <v>5.3</v>
      </c>
      <c r="G670">
        <v>1</v>
      </c>
      <c r="H670" s="13" t="str" cm="1">
        <f t="array" ref="H670">_xlfn.IFS(B670&lt;20,"Low",B670&lt;=40,"Moderate",B670&lt;=60,"High",TRUE,"Very High")</f>
        <v>Moderate</v>
      </c>
    </row>
    <row r="671" spans="1:8" ht="17" x14ac:dyDescent="0.2">
      <c r="A671">
        <v>670</v>
      </c>
      <c r="B671" cm="1">
        <f t="array" ref="B671:G671">_xlfn.XLOOKUP($A671,Instagram_Usage_Lifestyle_Mini_!$A:$A,Instagram_Usage_Lifestyle_Mini_!$W:$AB,"Not Found")</f>
        <v>39</v>
      </c>
      <c r="C671">
        <v>5</v>
      </c>
      <c r="D671">
        <v>3</v>
      </c>
      <c r="E671">
        <v>14</v>
      </c>
      <c r="F671">
        <v>2</v>
      </c>
      <c r="G671">
        <v>5</v>
      </c>
      <c r="H671" s="13" t="str" cm="1">
        <f t="array" ref="H671">_xlfn.IFS(B671&lt;20,"Low",B671&lt;=40,"Moderate",B671&lt;=60,"High",TRUE,"Very High")</f>
        <v>Moderate</v>
      </c>
    </row>
    <row r="672" spans="1:8" ht="17" x14ac:dyDescent="0.2">
      <c r="A672">
        <v>671</v>
      </c>
      <c r="B672" cm="1">
        <f t="array" ref="B672:G672">_xlfn.XLOOKUP($A672,Instagram_Usage_Lifestyle_Mini_!$A:$A,Instagram_Usage_Lifestyle_Mini_!$W:$AB,"Not Found")</f>
        <v>35.1</v>
      </c>
      <c r="C672">
        <v>2</v>
      </c>
      <c r="D672">
        <v>8</v>
      </c>
      <c r="E672">
        <v>9</v>
      </c>
      <c r="F672">
        <v>6.2</v>
      </c>
      <c r="G672">
        <v>2</v>
      </c>
      <c r="H672" s="13" t="str" cm="1">
        <f t="array" ref="H672">_xlfn.IFS(B672&lt;20,"Low",B672&lt;=40,"Moderate",B672&lt;=60,"High",TRUE,"Very High")</f>
        <v>Moderate</v>
      </c>
    </row>
    <row r="673" spans="1:8" ht="17" x14ac:dyDescent="0.2">
      <c r="A673">
        <v>672</v>
      </c>
      <c r="B673" cm="1">
        <f t="array" ref="B673:G673">_xlfn.XLOOKUP($A673,Instagram_Usage_Lifestyle_Mini_!$A:$A,Instagram_Usage_Lifestyle_Mini_!$W:$AB,"Not Found")</f>
        <v>35</v>
      </c>
      <c r="C673">
        <v>2</v>
      </c>
      <c r="D673">
        <v>4</v>
      </c>
      <c r="E673">
        <v>13</v>
      </c>
      <c r="F673">
        <v>3</v>
      </c>
      <c r="G673">
        <v>2</v>
      </c>
      <c r="H673" s="13" t="str" cm="1">
        <f t="array" ref="H673">_xlfn.IFS(B673&lt;20,"Low",B673&lt;=40,"Moderate",B673&lt;=60,"High",TRUE,"Very High")</f>
        <v>Moderate</v>
      </c>
    </row>
    <row r="674" spans="1:8" ht="17" x14ac:dyDescent="0.2">
      <c r="A674">
        <v>673</v>
      </c>
      <c r="B674" cm="1">
        <f t="array" ref="B674:G674">_xlfn.XLOOKUP($A674,Instagram_Usage_Lifestyle_Mini_!$A:$A,Instagram_Usage_Lifestyle_Mini_!$W:$AB,"Not Found")</f>
        <v>53.3</v>
      </c>
      <c r="C674">
        <v>4</v>
      </c>
      <c r="D674">
        <v>2</v>
      </c>
      <c r="E674">
        <v>8</v>
      </c>
      <c r="F674">
        <v>6.3</v>
      </c>
      <c r="G674">
        <v>2</v>
      </c>
      <c r="H674" s="13" t="str" cm="1">
        <f t="array" ref="H674">_xlfn.IFS(B674&lt;20,"Low",B674&lt;=40,"Moderate",B674&lt;=60,"High",TRUE,"Very High")</f>
        <v>High</v>
      </c>
    </row>
    <row r="675" spans="1:8" ht="17" x14ac:dyDescent="0.2">
      <c r="A675">
        <v>674</v>
      </c>
      <c r="B675" cm="1">
        <f t="array" ref="B675:G675">_xlfn.XLOOKUP($A675,Instagram_Usage_Lifestyle_Mini_!$A:$A,Instagram_Usage_Lifestyle_Mini_!$W:$AB,"Not Found")</f>
        <v>45.7</v>
      </c>
      <c r="C675">
        <v>1</v>
      </c>
      <c r="D675">
        <v>3</v>
      </c>
      <c r="E675">
        <v>12</v>
      </c>
      <c r="F675">
        <v>5.4</v>
      </c>
      <c r="G675">
        <v>1</v>
      </c>
      <c r="H675" s="13" t="str" cm="1">
        <f t="array" ref="H675">_xlfn.IFS(B675&lt;20,"Low",B675&lt;=40,"Moderate",B675&lt;=60,"High",TRUE,"Very High")</f>
        <v>High</v>
      </c>
    </row>
    <row r="676" spans="1:8" ht="17" x14ac:dyDescent="0.2">
      <c r="A676">
        <v>675</v>
      </c>
      <c r="B676" cm="1">
        <f t="array" ref="B676:G676">_xlfn.XLOOKUP($A676,Instagram_Usage_Lifestyle_Mini_!$A:$A,Instagram_Usage_Lifestyle_Mini_!$W:$AB,"Not Found")</f>
        <v>41.9</v>
      </c>
      <c r="C676">
        <v>2</v>
      </c>
      <c r="D676">
        <v>6</v>
      </c>
      <c r="E676">
        <v>10</v>
      </c>
      <c r="F676">
        <v>4.9000000000000004</v>
      </c>
      <c r="G676">
        <v>3</v>
      </c>
      <c r="H676" s="13" t="str" cm="1">
        <f t="array" ref="H676">_xlfn.IFS(B676&lt;20,"Low",B676&lt;=40,"Moderate",B676&lt;=60,"High",TRUE,"Very High")</f>
        <v>High</v>
      </c>
    </row>
    <row r="677" spans="1:8" ht="17" x14ac:dyDescent="0.2">
      <c r="A677">
        <v>676</v>
      </c>
      <c r="B677" cm="1">
        <f t="array" ref="B677:G677">_xlfn.XLOOKUP($A677,Instagram_Usage_Lifestyle_Mini_!$A:$A,Instagram_Usage_Lifestyle_Mini_!$W:$AB,"Not Found")</f>
        <v>34.200000000000003</v>
      </c>
      <c r="C677">
        <v>1</v>
      </c>
      <c r="D677">
        <v>5</v>
      </c>
      <c r="E677">
        <v>10</v>
      </c>
      <c r="F677">
        <v>9.4</v>
      </c>
      <c r="G677">
        <v>7</v>
      </c>
      <c r="H677" s="13" t="str" cm="1">
        <f t="array" ref="H677">_xlfn.IFS(B677&lt;20,"Low",B677&lt;=40,"Moderate",B677&lt;=60,"High",TRUE,"Very High")</f>
        <v>Moderate</v>
      </c>
    </row>
    <row r="678" spans="1:8" ht="17" x14ac:dyDescent="0.2">
      <c r="A678">
        <v>677</v>
      </c>
      <c r="B678" cm="1">
        <f t="array" ref="B678:G678">_xlfn.XLOOKUP($A678,Instagram_Usage_Lifestyle_Mini_!$A:$A,Instagram_Usage_Lifestyle_Mini_!$W:$AB,"Not Found")</f>
        <v>27.7</v>
      </c>
      <c r="C678">
        <v>2</v>
      </c>
      <c r="D678">
        <v>2</v>
      </c>
      <c r="E678">
        <v>8</v>
      </c>
      <c r="F678">
        <v>2.6</v>
      </c>
      <c r="G678">
        <v>4</v>
      </c>
      <c r="H678" s="13" t="str" cm="1">
        <f t="array" ref="H678">_xlfn.IFS(B678&lt;20,"Low",B678&lt;=40,"Moderate",B678&lt;=60,"High",TRUE,"Very High")</f>
        <v>Moderate</v>
      </c>
    </row>
    <row r="679" spans="1:8" ht="17" x14ac:dyDescent="0.2">
      <c r="A679">
        <v>678</v>
      </c>
      <c r="B679" cm="1">
        <f t="array" ref="B679:G679">_xlfn.XLOOKUP($A679,Instagram_Usage_Lifestyle_Mini_!$A:$A,Instagram_Usage_Lifestyle_Mini_!$W:$AB,"Not Found")</f>
        <v>34.9</v>
      </c>
      <c r="C679">
        <v>3</v>
      </c>
      <c r="D679">
        <v>5</v>
      </c>
      <c r="E679">
        <v>8</v>
      </c>
      <c r="F679">
        <v>1.7</v>
      </c>
      <c r="G679">
        <v>4</v>
      </c>
      <c r="H679" s="13" t="str" cm="1">
        <f t="array" ref="H679">_xlfn.IFS(B679&lt;20,"Low",B679&lt;=40,"Moderate",B679&lt;=60,"High",TRUE,"Very High")</f>
        <v>Moderate</v>
      </c>
    </row>
    <row r="680" spans="1:8" ht="17" x14ac:dyDescent="0.2">
      <c r="A680">
        <v>679</v>
      </c>
      <c r="B680" cm="1">
        <f t="array" ref="B680:G680">_xlfn.XLOOKUP($A680,Instagram_Usage_Lifestyle_Mini_!$A:$A,Instagram_Usage_Lifestyle_Mini_!$W:$AB,"Not Found")</f>
        <v>32.1</v>
      </c>
      <c r="C680">
        <v>3</v>
      </c>
      <c r="D680">
        <v>6</v>
      </c>
      <c r="E680">
        <v>11</v>
      </c>
      <c r="F680">
        <v>6.3</v>
      </c>
      <c r="G680">
        <v>3</v>
      </c>
      <c r="H680" s="13" t="str" cm="1">
        <f t="array" ref="H680">_xlfn.IFS(B680&lt;20,"Low",B680&lt;=40,"Moderate",B680&lt;=60,"High",TRUE,"Very High")</f>
        <v>Moderate</v>
      </c>
    </row>
    <row r="681" spans="1:8" ht="17" x14ac:dyDescent="0.2">
      <c r="A681">
        <v>680</v>
      </c>
      <c r="B681" cm="1">
        <f t="array" ref="B681:G681">_xlfn.XLOOKUP($A681,Instagram_Usage_Lifestyle_Mini_!$A:$A,Instagram_Usage_Lifestyle_Mini_!$W:$AB,"Not Found")</f>
        <v>40.4</v>
      </c>
      <c r="C681">
        <v>2</v>
      </c>
      <c r="D681">
        <v>6</v>
      </c>
      <c r="E681">
        <v>14</v>
      </c>
      <c r="F681">
        <v>0.5</v>
      </c>
      <c r="G681">
        <v>4</v>
      </c>
      <c r="H681" s="13" t="str" cm="1">
        <f t="array" ref="H681">_xlfn.IFS(B681&lt;20,"Low",B681&lt;=40,"Moderate",B681&lt;=60,"High",TRUE,"Very High")</f>
        <v>High</v>
      </c>
    </row>
    <row r="682" spans="1:8" ht="17" x14ac:dyDescent="0.2">
      <c r="A682">
        <v>681</v>
      </c>
      <c r="B682" cm="1">
        <f t="array" ref="B682:G682">_xlfn.XLOOKUP($A682,Instagram_Usage_Lifestyle_Mini_!$A:$A,Instagram_Usage_Lifestyle_Mini_!$W:$AB,"Not Found")</f>
        <v>56</v>
      </c>
      <c r="C682">
        <v>2</v>
      </c>
      <c r="D682">
        <v>6</v>
      </c>
      <c r="E682">
        <v>9</v>
      </c>
      <c r="F682">
        <v>6</v>
      </c>
      <c r="G682">
        <v>3</v>
      </c>
      <c r="H682" s="13" t="str" cm="1">
        <f t="array" ref="H682">_xlfn.IFS(B682&lt;20,"Low",B682&lt;=40,"Moderate",B682&lt;=60,"High",TRUE,"Very High")</f>
        <v>High</v>
      </c>
    </row>
    <row r="683" spans="1:8" ht="17" x14ac:dyDescent="0.2">
      <c r="A683">
        <v>682</v>
      </c>
      <c r="B683" cm="1">
        <f t="array" ref="B683:G683">_xlfn.XLOOKUP($A683,Instagram_Usage_Lifestyle_Mini_!$A:$A,Instagram_Usage_Lifestyle_Mini_!$W:$AB,"Not Found")</f>
        <v>46.9</v>
      </c>
      <c r="C683">
        <v>3</v>
      </c>
      <c r="D683">
        <v>3</v>
      </c>
      <c r="E683">
        <v>8</v>
      </c>
      <c r="F683">
        <v>3.2</v>
      </c>
      <c r="G683">
        <v>3</v>
      </c>
      <c r="H683" s="13" t="str" cm="1">
        <f t="array" ref="H683">_xlfn.IFS(B683&lt;20,"Low",B683&lt;=40,"Moderate",B683&lt;=60,"High",TRUE,"Very High")</f>
        <v>High</v>
      </c>
    </row>
    <row r="684" spans="1:8" ht="17" x14ac:dyDescent="0.2">
      <c r="A684">
        <v>683</v>
      </c>
      <c r="B684" cm="1">
        <f t="array" ref="B684:G684">_xlfn.XLOOKUP($A684,Instagram_Usage_Lifestyle_Mini_!$A:$A,Instagram_Usage_Lifestyle_Mini_!$W:$AB,"Not Found")</f>
        <v>31.3</v>
      </c>
      <c r="C684">
        <v>4</v>
      </c>
      <c r="D684">
        <v>5</v>
      </c>
      <c r="E684">
        <v>10</v>
      </c>
      <c r="F684">
        <v>2.7</v>
      </c>
      <c r="G684">
        <v>4</v>
      </c>
      <c r="H684" s="13" t="str" cm="1">
        <f t="array" ref="H684">_xlfn.IFS(B684&lt;20,"Low",B684&lt;=40,"Moderate",B684&lt;=60,"High",TRUE,"Very High")</f>
        <v>Moderate</v>
      </c>
    </row>
    <row r="685" spans="1:8" ht="17" x14ac:dyDescent="0.2">
      <c r="A685">
        <v>684</v>
      </c>
      <c r="B685" cm="1">
        <f t="array" ref="B685:G685">_xlfn.XLOOKUP($A685,Instagram_Usage_Lifestyle_Mini_!$A:$A,Instagram_Usage_Lifestyle_Mini_!$W:$AB,"Not Found")</f>
        <v>45.5</v>
      </c>
      <c r="C685">
        <v>1</v>
      </c>
      <c r="D685">
        <v>1</v>
      </c>
      <c r="E685">
        <v>12</v>
      </c>
      <c r="F685">
        <v>0.7</v>
      </c>
      <c r="G685">
        <v>2</v>
      </c>
      <c r="H685" s="13" t="str" cm="1">
        <f t="array" ref="H685">_xlfn.IFS(B685&lt;20,"Low",B685&lt;=40,"Moderate",B685&lt;=60,"High",TRUE,"Very High")</f>
        <v>High</v>
      </c>
    </row>
    <row r="686" spans="1:8" ht="17" x14ac:dyDescent="0.2">
      <c r="A686">
        <v>685</v>
      </c>
      <c r="B686" cm="1">
        <f t="array" ref="B686:G686">_xlfn.XLOOKUP($A686,Instagram_Usage_Lifestyle_Mini_!$A:$A,Instagram_Usage_Lifestyle_Mini_!$W:$AB,"Not Found")</f>
        <v>68.8</v>
      </c>
      <c r="C686">
        <v>3</v>
      </c>
      <c r="D686">
        <v>3</v>
      </c>
      <c r="E686">
        <v>6</v>
      </c>
      <c r="F686">
        <v>3.9</v>
      </c>
      <c r="G686">
        <v>5</v>
      </c>
      <c r="H686" s="13" t="str" cm="1">
        <f t="array" ref="H686">_xlfn.IFS(B686&lt;20,"Low",B686&lt;=40,"Moderate",B686&lt;=60,"High",TRUE,"Very High")</f>
        <v>Very High</v>
      </c>
    </row>
    <row r="687" spans="1:8" ht="17" x14ac:dyDescent="0.2">
      <c r="A687">
        <v>686</v>
      </c>
      <c r="B687" cm="1">
        <f t="array" ref="B687:G687">_xlfn.XLOOKUP($A687,Instagram_Usage_Lifestyle_Mini_!$A:$A,Instagram_Usage_Lifestyle_Mini_!$W:$AB,"Not Found")</f>
        <v>21.4</v>
      </c>
      <c r="C687">
        <v>0</v>
      </c>
      <c r="D687">
        <v>1</v>
      </c>
      <c r="E687">
        <v>16</v>
      </c>
      <c r="F687">
        <v>9.9</v>
      </c>
      <c r="G687">
        <v>4</v>
      </c>
      <c r="H687" s="13" t="str" cm="1">
        <f t="array" ref="H687">_xlfn.IFS(B687&lt;20,"Low",B687&lt;=40,"Moderate",B687&lt;=60,"High",TRUE,"Very High")</f>
        <v>Moderate</v>
      </c>
    </row>
    <row r="688" spans="1:8" ht="17" x14ac:dyDescent="0.2">
      <c r="A688">
        <v>687</v>
      </c>
      <c r="B688" cm="1">
        <f t="array" ref="B688:G688">_xlfn.XLOOKUP($A688,Instagram_Usage_Lifestyle_Mini_!$A:$A,Instagram_Usage_Lifestyle_Mini_!$W:$AB,"Not Found")</f>
        <v>53</v>
      </c>
      <c r="C688">
        <v>5</v>
      </c>
      <c r="D688">
        <v>2</v>
      </c>
      <c r="E688">
        <v>7</v>
      </c>
      <c r="F688">
        <v>6.5</v>
      </c>
      <c r="G688">
        <v>4</v>
      </c>
      <c r="H688" s="13" t="str" cm="1">
        <f t="array" ref="H688">_xlfn.IFS(B688&lt;20,"Low",B688&lt;=40,"Moderate",B688&lt;=60,"High",TRUE,"Very High")</f>
        <v>High</v>
      </c>
    </row>
    <row r="689" spans="1:8" ht="17" x14ac:dyDescent="0.2">
      <c r="A689">
        <v>688</v>
      </c>
      <c r="B689" cm="1">
        <f t="array" ref="B689:G689">_xlfn.XLOOKUP($A689,Instagram_Usage_Lifestyle_Mini_!$A:$A,Instagram_Usage_Lifestyle_Mini_!$W:$AB,"Not Found")</f>
        <v>43</v>
      </c>
      <c r="C689">
        <v>6</v>
      </c>
      <c r="D689">
        <v>2</v>
      </c>
      <c r="E689">
        <v>13</v>
      </c>
      <c r="F689">
        <v>0.9</v>
      </c>
      <c r="G689">
        <v>1</v>
      </c>
      <c r="H689" s="13" t="str" cm="1">
        <f t="array" ref="H689">_xlfn.IFS(B689&lt;20,"Low",B689&lt;=40,"Moderate",B689&lt;=60,"High",TRUE,"Very High")</f>
        <v>High</v>
      </c>
    </row>
    <row r="690" spans="1:8" ht="17" x14ac:dyDescent="0.2">
      <c r="A690">
        <v>689</v>
      </c>
      <c r="B690" cm="1">
        <f t="array" ref="B690:G690">_xlfn.XLOOKUP($A690,Instagram_Usage_Lifestyle_Mini_!$A:$A,Instagram_Usage_Lifestyle_Mini_!$W:$AB,"Not Found")</f>
        <v>34.1</v>
      </c>
      <c r="C690">
        <v>2</v>
      </c>
      <c r="D690">
        <v>5</v>
      </c>
      <c r="E690">
        <v>11</v>
      </c>
      <c r="F690">
        <v>1.8</v>
      </c>
      <c r="G690">
        <v>2</v>
      </c>
      <c r="H690" s="13" t="str" cm="1">
        <f t="array" ref="H690">_xlfn.IFS(B690&lt;20,"Low",B690&lt;=40,"Moderate",B690&lt;=60,"High",TRUE,"Very High")</f>
        <v>Moderate</v>
      </c>
    </row>
    <row r="691" spans="1:8" ht="17" x14ac:dyDescent="0.2">
      <c r="A691">
        <v>690</v>
      </c>
      <c r="B691" cm="1">
        <f t="array" ref="B691:G691">_xlfn.XLOOKUP($A691,Instagram_Usage_Lifestyle_Mini_!$A:$A,Instagram_Usage_Lifestyle_Mini_!$W:$AB,"Not Found")</f>
        <v>21.5</v>
      </c>
      <c r="C691">
        <v>3</v>
      </c>
      <c r="D691">
        <v>5</v>
      </c>
      <c r="E691">
        <v>6</v>
      </c>
      <c r="F691">
        <v>0.8</v>
      </c>
      <c r="G691">
        <v>5</v>
      </c>
      <c r="H691" s="13" t="str" cm="1">
        <f t="array" ref="H691">_xlfn.IFS(B691&lt;20,"Low",B691&lt;=40,"Moderate",B691&lt;=60,"High",TRUE,"Very High")</f>
        <v>Moderate</v>
      </c>
    </row>
    <row r="692" spans="1:8" ht="17" x14ac:dyDescent="0.2">
      <c r="A692">
        <v>691</v>
      </c>
      <c r="B692" cm="1">
        <f t="array" ref="B692:G692">_xlfn.XLOOKUP($A692,Instagram_Usage_Lifestyle_Mini_!$A:$A,Instagram_Usage_Lifestyle_Mini_!$W:$AB,"Not Found")</f>
        <v>48.8</v>
      </c>
      <c r="C692">
        <v>3</v>
      </c>
      <c r="D692">
        <v>4</v>
      </c>
      <c r="E692">
        <v>8</v>
      </c>
      <c r="F692">
        <v>1.6</v>
      </c>
      <c r="G692">
        <v>4</v>
      </c>
      <c r="H692" s="13" t="str" cm="1">
        <f t="array" ref="H692">_xlfn.IFS(B692&lt;20,"Low",B692&lt;=40,"Moderate",B692&lt;=60,"High",TRUE,"Very High")</f>
        <v>High</v>
      </c>
    </row>
    <row r="693" spans="1:8" ht="17" x14ac:dyDescent="0.2">
      <c r="A693">
        <v>692</v>
      </c>
      <c r="B693" cm="1">
        <f t="array" ref="B693:G693">_xlfn.XLOOKUP($A693,Instagram_Usage_Lifestyle_Mini_!$A:$A,Instagram_Usage_Lifestyle_Mini_!$W:$AB,"Not Found")</f>
        <v>56.8</v>
      </c>
      <c r="C693">
        <v>2</v>
      </c>
      <c r="D693">
        <v>2</v>
      </c>
      <c r="E693">
        <v>8</v>
      </c>
      <c r="F693">
        <v>10.5</v>
      </c>
      <c r="G693">
        <v>3</v>
      </c>
      <c r="H693" s="13" t="str" cm="1">
        <f t="array" ref="H693">_xlfn.IFS(B693&lt;20,"Low",B693&lt;=40,"Moderate",B693&lt;=60,"High",TRUE,"Very High")</f>
        <v>High</v>
      </c>
    </row>
    <row r="694" spans="1:8" ht="17" x14ac:dyDescent="0.2">
      <c r="A694">
        <v>693</v>
      </c>
      <c r="B694" cm="1">
        <f t="array" ref="B694:G694">_xlfn.XLOOKUP($A694,Instagram_Usage_Lifestyle_Mini_!$A:$A,Instagram_Usage_Lifestyle_Mini_!$W:$AB,"Not Found")</f>
        <v>43.8</v>
      </c>
      <c r="C694">
        <v>4</v>
      </c>
      <c r="D694">
        <v>0</v>
      </c>
      <c r="E694">
        <v>15</v>
      </c>
      <c r="F694">
        <v>0.1</v>
      </c>
      <c r="G694">
        <v>5</v>
      </c>
      <c r="H694" s="13" t="str" cm="1">
        <f t="array" ref="H694">_xlfn.IFS(B694&lt;20,"Low",B694&lt;=40,"Moderate",B694&lt;=60,"High",TRUE,"Very High")</f>
        <v>High</v>
      </c>
    </row>
    <row r="695" spans="1:8" ht="17" x14ac:dyDescent="0.2">
      <c r="A695">
        <v>694</v>
      </c>
      <c r="B695" cm="1">
        <f t="array" ref="B695:G695">_xlfn.XLOOKUP($A695,Instagram_Usage_Lifestyle_Mini_!$A:$A,Instagram_Usage_Lifestyle_Mini_!$W:$AB,"Not Found")</f>
        <v>34.799999999999997</v>
      </c>
      <c r="C695">
        <v>3</v>
      </c>
      <c r="D695">
        <v>5</v>
      </c>
      <c r="E695">
        <v>9</v>
      </c>
      <c r="F695">
        <v>1.9</v>
      </c>
      <c r="G695">
        <v>3</v>
      </c>
      <c r="H695" s="13" t="str" cm="1">
        <f t="array" ref="H695">_xlfn.IFS(B695&lt;20,"Low",B695&lt;=40,"Moderate",B695&lt;=60,"High",TRUE,"Very High")</f>
        <v>Moderate</v>
      </c>
    </row>
    <row r="696" spans="1:8" ht="17" x14ac:dyDescent="0.2">
      <c r="A696">
        <v>695</v>
      </c>
      <c r="B696" cm="1">
        <f t="array" ref="B696:G696">_xlfn.XLOOKUP($A696,Instagram_Usage_Lifestyle_Mini_!$A:$A,Instagram_Usage_Lifestyle_Mini_!$W:$AB,"Not Found")</f>
        <v>37.700000000000003</v>
      </c>
      <c r="C696">
        <v>1</v>
      </c>
      <c r="D696">
        <v>3</v>
      </c>
      <c r="E696">
        <v>10</v>
      </c>
      <c r="F696">
        <v>1.9</v>
      </c>
      <c r="G696">
        <v>3</v>
      </c>
      <c r="H696" s="13" t="str" cm="1">
        <f t="array" ref="H696">_xlfn.IFS(B696&lt;20,"Low",B696&lt;=40,"Moderate",B696&lt;=60,"High",TRUE,"Very High")</f>
        <v>Moderate</v>
      </c>
    </row>
    <row r="697" spans="1:8" ht="17" x14ac:dyDescent="0.2">
      <c r="A697">
        <v>696</v>
      </c>
      <c r="B697" cm="1">
        <f t="array" ref="B697:G697">_xlfn.XLOOKUP($A697,Instagram_Usage_Lifestyle_Mini_!$A:$A,Instagram_Usage_Lifestyle_Mini_!$W:$AB,"Not Found")</f>
        <v>33.5</v>
      </c>
      <c r="C697">
        <v>4</v>
      </c>
      <c r="D697">
        <v>7</v>
      </c>
      <c r="E697">
        <v>11</v>
      </c>
      <c r="F697">
        <v>8.9</v>
      </c>
      <c r="G697">
        <v>3</v>
      </c>
      <c r="H697" s="13" t="str" cm="1">
        <f t="array" ref="H697">_xlfn.IFS(B697&lt;20,"Low",B697&lt;=40,"Moderate",B697&lt;=60,"High",TRUE,"Very High")</f>
        <v>Moderate</v>
      </c>
    </row>
    <row r="698" spans="1:8" ht="17" x14ac:dyDescent="0.2">
      <c r="A698">
        <v>697</v>
      </c>
      <c r="B698" cm="1">
        <f t="array" ref="B698:G698">_xlfn.XLOOKUP($A698,Instagram_Usage_Lifestyle_Mini_!$A:$A,Instagram_Usage_Lifestyle_Mini_!$W:$AB,"Not Found")</f>
        <v>23</v>
      </c>
      <c r="C698">
        <v>2</v>
      </c>
      <c r="D698">
        <v>1</v>
      </c>
      <c r="E698">
        <v>10</v>
      </c>
      <c r="F698">
        <v>3.8</v>
      </c>
      <c r="G698">
        <v>0</v>
      </c>
      <c r="H698" s="13" t="str" cm="1">
        <f t="array" ref="H698">_xlfn.IFS(B698&lt;20,"Low",B698&lt;=40,"Moderate",B698&lt;=60,"High",TRUE,"Very High")</f>
        <v>Moderate</v>
      </c>
    </row>
    <row r="699" spans="1:8" ht="17" x14ac:dyDescent="0.2">
      <c r="A699">
        <v>698</v>
      </c>
      <c r="B699" cm="1">
        <f t="array" ref="B699:G699">_xlfn.XLOOKUP($A699,Instagram_Usage_Lifestyle_Mini_!$A:$A,Instagram_Usage_Lifestyle_Mini_!$W:$AB,"Not Found")</f>
        <v>32.200000000000003</v>
      </c>
      <c r="C699">
        <v>0</v>
      </c>
      <c r="D699">
        <v>7</v>
      </c>
      <c r="E699">
        <v>10</v>
      </c>
      <c r="F699">
        <v>1</v>
      </c>
      <c r="G699">
        <v>1</v>
      </c>
      <c r="H699" s="13" t="str" cm="1">
        <f t="array" ref="H699">_xlfn.IFS(B699&lt;20,"Low",B699&lt;=40,"Moderate",B699&lt;=60,"High",TRUE,"Very High")</f>
        <v>Moderate</v>
      </c>
    </row>
    <row r="700" spans="1:8" ht="17" x14ac:dyDescent="0.2">
      <c r="A700">
        <v>699</v>
      </c>
      <c r="B700" cm="1">
        <f t="array" ref="B700:G700">_xlfn.XLOOKUP($A700,Instagram_Usage_Lifestyle_Mini_!$A:$A,Instagram_Usage_Lifestyle_Mini_!$W:$AB,"Not Found")</f>
        <v>37.700000000000003</v>
      </c>
      <c r="C700">
        <v>2</v>
      </c>
      <c r="D700">
        <v>8</v>
      </c>
      <c r="E700">
        <v>8</v>
      </c>
      <c r="F700">
        <v>8.4</v>
      </c>
      <c r="G700">
        <v>4</v>
      </c>
      <c r="H700" s="13" t="str" cm="1">
        <f t="array" ref="H700">_xlfn.IFS(B700&lt;20,"Low",B700&lt;=40,"Moderate",B700&lt;=60,"High",TRUE,"Very High")</f>
        <v>Moderate</v>
      </c>
    </row>
    <row r="701" spans="1:8" ht="17" x14ac:dyDescent="0.2">
      <c r="A701">
        <v>700</v>
      </c>
      <c r="B701" cm="1">
        <f t="array" ref="B701:G701">_xlfn.XLOOKUP($A701,Instagram_Usage_Lifestyle_Mini_!$A:$A,Instagram_Usage_Lifestyle_Mini_!$W:$AB,"Not Found")</f>
        <v>28.6</v>
      </c>
      <c r="C701">
        <v>2</v>
      </c>
      <c r="D701">
        <v>5</v>
      </c>
      <c r="E701">
        <v>6</v>
      </c>
      <c r="F701">
        <v>3.5</v>
      </c>
      <c r="G701">
        <v>6</v>
      </c>
      <c r="H701" s="13" t="str" cm="1">
        <f t="array" ref="H701">_xlfn.IFS(B701&lt;20,"Low",B701&lt;=40,"Moderate",B701&lt;=60,"High",TRUE,"Very High")</f>
        <v>Moderate</v>
      </c>
    </row>
    <row r="702" spans="1:8" ht="17" x14ac:dyDescent="0.2">
      <c r="A702">
        <v>701</v>
      </c>
      <c r="B702" cm="1">
        <f t="array" ref="B702:G702">_xlfn.XLOOKUP($A702,Instagram_Usage_Lifestyle_Mini_!$A:$A,Instagram_Usage_Lifestyle_Mini_!$W:$AB,"Not Found")</f>
        <v>38.4</v>
      </c>
      <c r="C702">
        <v>3</v>
      </c>
      <c r="D702">
        <v>3</v>
      </c>
      <c r="E702">
        <v>7</v>
      </c>
      <c r="F702">
        <v>3.3</v>
      </c>
      <c r="G702">
        <v>6</v>
      </c>
      <c r="H702" s="13" t="str" cm="1">
        <f t="array" ref="H702">_xlfn.IFS(B702&lt;20,"Low",B702&lt;=40,"Moderate",B702&lt;=60,"High",TRUE,"Very High")</f>
        <v>Moderate</v>
      </c>
    </row>
    <row r="703" spans="1:8" ht="17" x14ac:dyDescent="0.2">
      <c r="A703">
        <v>702</v>
      </c>
      <c r="B703" cm="1">
        <f t="array" ref="B703:G703">_xlfn.XLOOKUP($A703,Instagram_Usage_Lifestyle_Mini_!$A:$A,Instagram_Usage_Lifestyle_Mini_!$W:$AB,"Not Found")</f>
        <v>45.2</v>
      </c>
      <c r="C703">
        <v>6</v>
      </c>
      <c r="D703">
        <v>5</v>
      </c>
      <c r="E703">
        <v>24</v>
      </c>
      <c r="F703">
        <v>2.8</v>
      </c>
      <c r="G703">
        <v>5</v>
      </c>
      <c r="H703" s="13" t="str" cm="1">
        <f t="array" ref="H703">_xlfn.IFS(B703&lt;20,"Low",B703&lt;=40,"Moderate",B703&lt;=60,"High",TRUE,"Very High")</f>
        <v>High</v>
      </c>
    </row>
    <row r="704" spans="1:8" ht="17" x14ac:dyDescent="0.2">
      <c r="A704">
        <v>703</v>
      </c>
      <c r="B704" cm="1">
        <f t="array" ref="B704:G704">_xlfn.XLOOKUP($A704,Instagram_Usage_Lifestyle_Mini_!$A:$A,Instagram_Usage_Lifestyle_Mini_!$W:$AB,"Not Found")</f>
        <v>27.3</v>
      </c>
      <c r="C704">
        <v>4</v>
      </c>
      <c r="D704">
        <v>5</v>
      </c>
      <c r="E704">
        <v>8</v>
      </c>
      <c r="F704">
        <v>4.0999999999999996</v>
      </c>
      <c r="G704">
        <v>5</v>
      </c>
      <c r="H704" s="13" t="str" cm="1">
        <f t="array" ref="H704">_xlfn.IFS(B704&lt;20,"Low",B704&lt;=40,"Moderate",B704&lt;=60,"High",TRUE,"Very High")</f>
        <v>Moderate</v>
      </c>
    </row>
    <row r="705" spans="1:8" ht="17" x14ac:dyDescent="0.2">
      <c r="A705">
        <v>704</v>
      </c>
      <c r="B705" cm="1">
        <f t="array" ref="B705:G705">_xlfn.XLOOKUP($A705,Instagram_Usage_Lifestyle_Mini_!$A:$A,Instagram_Usage_Lifestyle_Mini_!$W:$AB,"Not Found")</f>
        <v>38.5</v>
      </c>
      <c r="C705">
        <v>2</v>
      </c>
      <c r="D705">
        <v>5</v>
      </c>
      <c r="E705">
        <v>6</v>
      </c>
      <c r="F705">
        <v>2.2999999999999998</v>
      </c>
      <c r="G705">
        <v>1</v>
      </c>
      <c r="H705" s="13" t="str" cm="1">
        <f t="array" ref="H705">_xlfn.IFS(B705&lt;20,"Low",B705&lt;=40,"Moderate",B705&lt;=60,"High",TRUE,"Very High")</f>
        <v>Moderate</v>
      </c>
    </row>
    <row r="706" spans="1:8" ht="17" x14ac:dyDescent="0.2">
      <c r="A706">
        <v>705</v>
      </c>
      <c r="B706" cm="1">
        <f t="array" ref="B706:G706">_xlfn.XLOOKUP($A706,Instagram_Usage_Lifestyle_Mini_!$A:$A,Instagram_Usage_Lifestyle_Mini_!$W:$AB,"Not Found")</f>
        <v>41.3</v>
      </c>
      <c r="C706">
        <v>3</v>
      </c>
      <c r="D706">
        <v>2</v>
      </c>
      <c r="E706">
        <v>10</v>
      </c>
      <c r="F706">
        <v>8.3000000000000007</v>
      </c>
      <c r="G706">
        <v>2</v>
      </c>
      <c r="H706" s="13" t="str" cm="1">
        <f t="array" ref="H706">_xlfn.IFS(B706&lt;20,"Low",B706&lt;=40,"Moderate",B706&lt;=60,"High",TRUE,"Very High")</f>
        <v>High</v>
      </c>
    </row>
    <row r="707" spans="1:8" ht="17" x14ac:dyDescent="0.2">
      <c r="A707">
        <v>706</v>
      </c>
      <c r="B707" cm="1">
        <f t="array" ref="B707:G707">_xlfn.XLOOKUP($A707,Instagram_Usage_Lifestyle_Mini_!$A:$A,Instagram_Usage_Lifestyle_Mini_!$W:$AB,"Not Found")</f>
        <v>61.9</v>
      </c>
      <c r="C707">
        <v>0</v>
      </c>
      <c r="D707">
        <v>4</v>
      </c>
      <c r="E707">
        <v>11</v>
      </c>
      <c r="F707">
        <v>3.7</v>
      </c>
      <c r="G707">
        <v>3</v>
      </c>
      <c r="H707" s="13" t="str" cm="1">
        <f t="array" ref="H707">_xlfn.IFS(B707&lt;20,"Low",B707&lt;=40,"Moderate",B707&lt;=60,"High",TRUE,"Very High")</f>
        <v>Very High</v>
      </c>
    </row>
    <row r="708" spans="1:8" ht="17" x14ac:dyDescent="0.2">
      <c r="A708">
        <v>707</v>
      </c>
      <c r="B708" cm="1">
        <f t="array" ref="B708:G708">_xlfn.XLOOKUP($A708,Instagram_Usage_Lifestyle_Mini_!$A:$A,Instagram_Usage_Lifestyle_Mini_!$W:$AB,"Not Found")</f>
        <v>45.2</v>
      </c>
      <c r="C708">
        <v>5</v>
      </c>
      <c r="D708">
        <v>3</v>
      </c>
      <c r="E708">
        <v>11</v>
      </c>
      <c r="F708">
        <v>2.4</v>
      </c>
      <c r="G708">
        <v>4</v>
      </c>
      <c r="H708" s="13" t="str" cm="1">
        <f t="array" ref="H708">_xlfn.IFS(B708&lt;20,"Low",B708&lt;=40,"Moderate",B708&lt;=60,"High",TRUE,"Very High")</f>
        <v>High</v>
      </c>
    </row>
    <row r="709" spans="1:8" ht="17" x14ac:dyDescent="0.2">
      <c r="A709">
        <v>708</v>
      </c>
      <c r="B709" cm="1">
        <f t="array" ref="B709:G709">_xlfn.XLOOKUP($A709,Instagram_Usage_Lifestyle_Mini_!$A:$A,Instagram_Usage_Lifestyle_Mini_!$W:$AB,"Not Found")</f>
        <v>22.8</v>
      </c>
      <c r="C709">
        <v>3</v>
      </c>
      <c r="D709">
        <v>1</v>
      </c>
      <c r="E709">
        <v>17</v>
      </c>
      <c r="F709">
        <v>2.4</v>
      </c>
      <c r="G709">
        <v>2</v>
      </c>
      <c r="H709" s="13" t="str" cm="1">
        <f t="array" ref="H709">_xlfn.IFS(B709&lt;20,"Low",B709&lt;=40,"Moderate",B709&lt;=60,"High",TRUE,"Very High")</f>
        <v>Moderate</v>
      </c>
    </row>
    <row r="710" spans="1:8" ht="17" x14ac:dyDescent="0.2">
      <c r="A710">
        <v>709</v>
      </c>
      <c r="B710" cm="1">
        <f t="array" ref="B710:G710">_xlfn.XLOOKUP($A710,Instagram_Usage_Lifestyle_Mini_!$A:$A,Instagram_Usage_Lifestyle_Mini_!$W:$AB,"Not Found")</f>
        <v>36.1</v>
      </c>
      <c r="C710">
        <v>1</v>
      </c>
      <c r="D710">
        <v>4</v>
      </c>
      <c r="E710">
        <v>9</v>
      </c>
      <c r="F710">
        <v>7</v>
      </c>
      <c r="G710">
        <v>5</v>
      </c>
      <c r="H710" s="13" t="str" cm="1">
        <f t="array" ref="H710">_xlfn.IFS(B710&lt;20,"Low",B710&lt;=40,"Moderate",B710&lt;=60,"High",TRUE,"Very High")</f>
        <v>Moderate</v>
      </c>
    </row>
    <row r="711" spans="1:8" ht="17" x14ac:dyDescent="0.2">
      <c r="A711">
        <v>710</v>
      </c>
      <c r="B711" cm="1">
        <f t="array" ref="B711:G711">_xlfn.XLOOKUP($A711,Instagram_Usage_Lifestyle_Mini_!$A:$A,Instagram_Usage_Lifestyle_Mini_!$W:$AB,"Not Found")</f>
        <v>43.1</v>
      </c>
      <c r="C711">
        <v>4</v>
      </c>
      <c r="D711">
        <v>5</v>
      </c>
      <c r="E711">
        <v>11</v>
      </c>
      <c r="F711">
        <v>6</v>
      </c>
      <c r="G711">
        <v>2</v>
      </c>
      <c r="H711" s="13" t="str" cm="1">
        <f t="array" ref="H711">_xlfn.IFS(B711&lt;20,"Low",B711&lt;=40,"Moderate",B711&lt;=60,"High",TRUE,"Very High")</f>
        <v>High</v>
      </c>
    </row>
    <row r="712" spans="1:8" ht="17" x14ac:dyDescent="0.2">
      <c r="A712">
        <v>711</v>
      </c>
      <c r="B712" cm="1">
        <f t="array" ref="B712:G712">_xlfn.XLOOKUP($A712,Instagram_Usage_Lifestyle_Mini_!$A:$A,Instagram_Usage_Lifestyle_Mini_!$W:$AB,"Not Found")</f>
        <v>35</v>
      </c>
      <c r="C712">
        <v>2</v>
      </c>
      <c r="D712">
        <v>5</v>
      </c>
      <c r="E712">
        <v>7</v>
      </c>
      <c r="F712">
        <v>1.1000000000000001</v>
      </c>
      <c r="G712">
        <v>1</v>
      </c>
      <c r="H712" s="13" t="str" cm="1">
        <f t="array" ref="H712">_xlfn.IFS(B712&lt;20,"Low",B712&lt;=40,"Moderate",B712&lt;=60,"High",TRUE,"Very High")</f>
        <v>Moderate</v>
      </c>
    </row>
    <row r="713" spans="1:8" ht="17" x14ac:dyDescent="0.2">
      <c r="A713">
        <v>712</v>
      </c>
      <c r="B713" cm="1">
        <f t="array" ref="B713:G713">_xlfn.XLOOKUP($A713,Instagram_Usage_Lifestyle_Mini_!$A:$A,Instagram_Usage_Lifestyle_Mini_!$W:$AB,"Not Found")</f>
        <v>38.4</v>
      </c>
      <c r="C713">
        <v>2</v>
      </c>
      <c r="D713">
        <v>4</v>
      </c>
      <c r="E713">
        <v>8</v>
      </c>
      <c r="F713">
        <v>2.7</v>
      </c>
      <c r="G713">
        <v>3</v>
      </c>
      <c r="H713" s="13" t="str" cm="1">
        <f t="array" ref="H713">_xlfn.IFS(B713&lt;20,"Low",B713&lt;=40,"Moderate",B713&lt;=60,"High",TRUE,"Very High")</f>
        <v>Moderate</v>
      </c>
    </row>
    <row r="714" spans="1:8" ht="17" x14ac:dyDescent="0.2">
      <c r="A714">
        <v>713</v>
      </c>
      <c r="B714" cm="1">
        <f t="array" ref="B714:G714">_xlfn.XLOOKUP($A714,Instagram_Usage_Lifestyle_Mini_!$A:$A,Instagram_Usage_Lifestyle_Mini_!$W:$AB,"Not Found")</f>
        <v>44.7</v>
      </c>
      <c r="C714">
        <v>5</v>
      </c>
      <c r="D714">
        <v>2</v>
      </c>
      <c r="E714">
        <v>11</v>
      </c>
      <c r="F714">
        <v>2.6</v>
      </c>
      <c r="G714">
        <v>3</v>
      </c>
      <c r="H714" s="13" t="str" cm="1">
        <f t="array" ref="H714">_xlfn.IFS(B714&lt;20,"Low",B714&lt;=40,"Moderate",B714&lt;=60,"High",TRUE,"Very High")</f>
        <v>High</v>
      </c>
    </row>
    <row r="715" spans="1:8" ht="17" x14ac:dyDescent="0.2">
      <c r="A715">
        <v>714</v>
      </c>
      <c r="B715" cm="1">
        <f t="array" ref="B715:G715">_xlfn.XLOOKUP($A715,Instagram_Usage_Lifestyle_Mini_!$A:$A,Instagram_Usage_Lifestyle_Mini_!$W:$AB,"Not Found")</f>
        <v>60.8</v>
      </c>
      <c r="C715">
        <v>2</v>
      </c>
      <c r="D715">
        <v>6</v>
      </c>
      <c r="E715">
        <v>10</v>
      </c>
      <c r="F715">
        <v>9.5</v>
      </c>
      <c r="G715">
        <v>2</v>
      </c>
      <c r="H715" s="13" t="str" cm="1">
        <f t="array" ref="H715">_xlfn.IFS(B715&lt;20,"Low",B715&lt;=40,"Moderate",B715&lt;=60,"High",TRUE,"Very High")</f>
        <v>Very High</v>
      </c>
    </row>
    <row r="716" spans="1:8" ht="17" x14ac:dyDescent="0.2">
      <c r="A716">
        <v>715</v>
      </c>
      <c r="B716" cm="1">
        <f t="array" ref="B716:G716">_xlfn.XLOOKUP($A716,Instagram_Usage_Lifestyle_Mini_!$A:$A,Instagram_Usage_Lifestyle_Mini_!$W:$AB,"Not Found")</f>
        <v>36.200000000000003</v>
      </c>
      <c r="C716">
        <v>3</v>
      </c>
      <c r="D716">
        <v>1</v>
      </c>
      <c r="E716">
        <v>6</v>
      </c>
      <c r="F716">
        <v>9.6</v>
      </c>
      <c r="G716">
        <v>3</v>
      </c>
      <c r="H716" s="13" t="str" cm="1">
        <f t="array" ref="H716">_xlfn.IFS(B716&lt;20,"Low",B716&lt;=40,"Moderate",B716&lt;=60,"High",TRUE,"Very High")</f>
        <v>Moderate</v>
      </c>
    </row>
    <row r="717" spans="1:8" ht="17" x14ac:dyDescent="0.2">
      <c r="A717">
        <v>716</v>
      </c>
      <c r="B717" cm="1">
        <f t="array" ref="B717:G717">_xlfn.XLOOKUP($A717,Instagram_Usage_Lifestyle_Mini_!$A:$A,Instagram_Usage_Lifestyle_Mini_!$W:$AB,"Not Found")</f>
        <v>14.3</v>
      </c>
      <c r="C717">
        <v>1</v>
      </c>
      <c r="D717">
        <v>7</v>
      </c>
      <c r="E717">
        <v>8</v>
      </c>
      <c r="F717">
        <v>2.8</v>
      </c>
      <c r="G717">
        <v>2</v>
      </c>
      <c r="H717" s="13" t="str" cm="1">
        <f t="array" ref="H717">_xlfn.IFS(B717&lt;20,"Low",B717&lt;=40,"Moderate",B717&lt;=60,"High",TRUE,"Very High")</f>
        <v>Low</v>
      </c>
    </row>
    <row r="718" spans="1:8" ht="17" x14ac:dyDescent="0.2">
      <c r="A718">
        <v>717</v>
      </c>
      <c r="B718" cm="1">
        <f t="array" ref="B718:G718">_xlfn.XLOOKUP($A718,Instagram_Usage_Lifestyle_Mini_!$A:$A,Instagram_Usage_Lifestyle_Mini_!$W:$AB,"Not Found")</f>
        <v>49.6</v>
      </c>
      <c r="C718">
        <v>0</v>
      </c>
      <c r="D718">
        <v>6</v>
      </c>
      <c r="E718">
        <v>13</v>
      </c>
      <c r="F718">
        <v>3.8</v>
      </c>
      <c r="G718">
        <v>2</v>
      </c>
      <c r="H718" s="13" t="str" cm="1">
        <f t="array" ref="H718">_xlfn.IFS(B718&lt;20,"Low",B718&lt;=40,"Moderate",B718&lt;=60,"High",TRUE,"Very High")</f>
        <v>High</v>
      </c>
    </row>
    <row r="719" spans="1:8" ht="17" x14ac:dyDescent="0.2">
      <c r="A719">
        <v>718</v>
      </c>
      <c r="B719" cm="1">
        <f t="array" ref="B719:G719">_xlfn.XLOOKUP($A719,Instagram_Usage_Lifestyle_Mini_!$A:$A,Instagram_Usage_Lifestyle_Mini_!$W:$AB,"Not Found")</f>
        <v>35.200000000000003</v>
      </c>
      <c r="C719">
        <v>6</v>
      </c>
      <c r="D719">
        <v>8</v>
      </c>
      <c r="E719">
        <v>10</v>
      </c>
      <c r="F719">
        <v>6.5</v>
      </c>
      <c r="G719">
        <v>6</v>
      </c>
      <c r="H719" s="13" t="str" cm="1">
        <f t="array" ref="H719">_xlfn.IFS(B719&lt;20,"Low",B719&lt;=40,"Moderate",B719&lt;=60,"High",TRUE,"Very High")</f>
        <v>Moderate</v>
      </c>
    </row>
    <row r="720" spans="1:8" ht="17" x14ac:dyDescent="0.2">
      <c r="A720">
        <v>719</v>
      </c>
      <c r="B720" cm="1">
        <f t="array" ref="B720:G720">_xlfn.XLOOKUP($A720,Instagram_Usage_Lifestyle_Mini_!$A:$A,Instagram_Usage_Lifestyle_Mini_!$W:$AB,"Not Found")</f>
        <v>28.9</v>
      </c>
      <c r="C720">
        <v>3</v>
      </c>
      <c r="D720">
        <v>5</v>
      </c>
      <c r="E720">
        <v>10</v>
      </c>
      <c r="F720">
        <v>4.5</v>
      </c>
      <c r="G720">
        <v>3</v>
      </c>
      <c r="H720" s="13" t="str" cm="1">
        <f t="array" ref="H720">_xlfn.IFS(B720&lt;20,"Low",B720&lt;=40,"Moderate",B720&lt;=60,"High",TRUE,"Very High")</f>
        <v>Moderate</v>
      </c>
    </row>
    <row r="721" spans="1:8" ht="17" x14ac:dyDescent="0.2">
      <c r="A721">
        <v>720</v>
      </c>
      <c r="B721" cm="1">
        <f t="array" ref="B721:G721">_xlfn.XLOOKUP($A721,Instagram_Usage_Lifestyle_Mini_!$A:$A,Instagram_Usage_Lifestyle_Mini_!$W:$AB,"Not Found")</f>
        <v>42.8</v>
      </c>
      <c r="C721">
        <v>3</v>
      </c>
      <c r="D721">
        <v>1</v>
      </c>
      <c r="E721">
        <v>6</v>
      </c>
      <c r="F721">
        <v>6.6</v>
      </c>
      <c r="G721">
        <v>6</v>
      </c>
      <c r="H721" s="13" t="str" cm="1">
        <f t="array" ref="H721">_xlfn.IFS(B721&lt;20,"Low",B721&lt;=40,"Moderate",B721&lt;=60,"High",TRUE,"Very High")</f>
        <v>High</v>
      </c>
    </row>
    <row r="722" spans="1:8" ht="17" x14ac:dyDescent="0.2">
      <c r="A722">
        <v>721</v>
      </c>
      <c r="B722" cm="1">
        <f t="array" ref="B722:G722">_xlfn.XLOOKUP($A722,Instagram_Usage_Lifestyle_Mini_!$A:$A,Instagram_Usage_Lifestyle_Mini_!$W:$AB,"Not Found")</f>
        <v>48</v>
      </c>
      <c r="C722">
        <v>2</v>
      </c>
      <c r="D722">
        <v>5</v>
      </c>
      <c r="E722">
        <v>6</v>
      </c>
      <c r="F722">
        <v>2.2999999999999998</v>
      </c>
      <c r="G722">
        <v>3</v>
      </c>
      <c r="H722" s="13" t="str" cm="1">
        <f t="array" ref="H722">_xlfn.IFS(B722&lt;20,"Low",B722&lt;=40,"Moderate",B722&lt;=60,"High",TRUE,"Very High")</f>
        <v>High</v>
      </c>
    </row>
    <row r="723" spans="1:8" ht="17" x14ac:dyDescent="0.2">
      <c r="A723">
        <v>722</v>
      </c>
      <c r="B723" cm="1">
        <f t="array" ref="B723:G723">_xlfn.XLOOKUP($A723,Instagram_Usage_Lifestyle_Mini_!$A:$A,Instagram_Usage_Lifestyle_Mini_!$W:$AB,"Not Found")</f>
        <v>31.7</v>
      </c>
      <c r="C723">
        <v>3</v>
      </c>
      <c r="D723">
        <v>3</v>
      </c>
      <c r="E723">
        <v>6</v>
      </c>
      <c r="F723">
        <v>2.5</v>
      </c>
      <c r="G723">
        <v>4</v>
      </c>
      <c r="H723" s="13" t="str" cm="1">
        <f t="array" ref="H723">_xlfn.IFS(B723&lt;20,"Low",B723&lt;=40,"Moderate",B723&lt;=60,"High",TRUE,"Very High")</f>
        <v>Moderate</v>
      </c>
    </row>
    <row r="724" spans="1:8" ht="17" x14ac:dyDescent="0.2">
      <c r="A724">
        <v>723</v>
      </c>
      <c r="B724" cm="1">
        <f t="array" ref="B724:G724">_xlfn.XLOOKUP($A724,Instagram_Usage_Lifestyle_Mini_!$A:$A,Instagram_Usage_Lifestyle_Mini_!$W:$AB,"Not Found")</f>
        <v>39</v>
      </c>
      <c r="C724">
        <v>3</v>
      </c>
      <c r="D724">
        <v>9</v>
      </c>
      <c r="E724">
        <v>5</v>
      </c>
      <c r="F724">
        <v>1.6</v>
      </c>
      <c r="G724">
        <v>5</v>
      </c>
      <c r="H724" s="13" t="str" cm="1">
        <f t="array" ref="H724">_xlfn.IFS(B724&lt;20,"Low",B724&lt;=40,"Moderate",B724&lt;=60,"High",TRUE,"Very High")</f>
        <v>Moderate</v>
      </c>
    </row>
    <row r="725" spans="1:8" ht="17" x14ac:dyDescent="0.2">
      <c r="A725">
        <v>724</v>
      </c>
      <c r="B725" cm="1">
        <f t="array" ref="B725:G725">_xlfn.XLOOKUP($A725,Instagram_Usage_Lifestyle_Mini_!$A:$A,Instagram_Usage_Lifestyle_Mini_!$W:$AB,"Not Found")</f>
        <v>40.5</v>
      </c>
      <c r="C725">
        <v>3</v>
      </c>
      <c r="D725">
        <v>3</v>
      </c>
      <c r="E725">
        <v>10</v>
      </c>
      <c r="F725">
        <v>2.6</v>
      </c>
      <c r="G725">
        <v>3</v>
      </c>
      <c r="H725" s="13" t="str" cm="1">
        <f t="array" ref="H725">_xlfn.IFS(B725&lt;20,"Low",B725&lt;=40,"Moderate",B725&lt;=60,"High",TRUE,"Very High")</f>
        <v>High</v>
      </c>
    </row>
    <row r="726" spans="1:8" ht="17" x14ac:dyDescent="0.2">
      <c r="A726">
        <v>725</v>
      </c>
      <c r="B726" cm="1">
        <f t="array" ref="B726:G726">_xlfn.XLOOKUP($A726,Instagram_Usage_Lifestyle_Mini_!$A:$A,Instagram_Usage_Lifestyle_Mini_!$W:$AB,"Not Found")</f>
        <v>39.1</v>
      </c>
      <c r="C726">
        <v>6</v>
      </c>
      <c r="D726">
        <v>3</v>
      </c>
      <c r="E726">
        <v>8</v>
      </c>
      <c r="F726">
        <v>2.2999999999999998</v>
      </c>
      <c r="G726">
        <v>4</v>
      </c>
      <c r="H726" s="13" t="str" cm="1">
        <f t="array" ref="H726">_xlfn.IFS(B726&lt;20,"Low",B726&lt;=40,"Moderate",B726&lt;=60,"High",TRUE,"Very High")</f>
        <v>Moderate</v>
      </c>
    </row>
    <row r="727" spans="1:8" ht="17" x14ac:dyDescent="0.2">
      <c r="A727">
        <v>726</v>
      </c>
      <c r="B727" cm="1">
        <f t="array" ref="B727:G727">_xlfn.XLOOKUP($A727,Instagram_Usage_Lifestyle_Mini_!$A:$A,Instagram_Usage_Lifestyle_Mini_!$W:$AB,"Not Found")</f>
        <v>43.9</v>
      </c>
      <c r="C727">
        <v>3</v>
      </c>
      <c r="D727">
        <v>5</v>
      </c>
      <c r="E727">
        <v>8</v>
      </c>
      <c r="F727">
        <v>3.3</v>
      </c>
      <c r="G727">
        <v>2</v>
      </c>
      <c r="H727" s="13" t="str" cm="1">
        <f t="array" ref="H727">_xlfn.IFS(B727&lt;20,"Low",B727&lt;=40,"Moderate",B727&lt;=60,"High",TRUE,"Very High")</f>
        <v>High</v>
      </c>
    </row>
    <row r="728" spans="1:8" ht="17" x14ac:dyDescent="0.2">
      <c r="A728">
        <v>727</v>
      </c>
      <c r="B728" cm="1">
        <f t="array" ref="B728:G728">_xlfn.XLOOKUP($A728,Instagram_Usage_Lifestyle_Mini_!$A:$A,Instagram_Usage_Lifestyle_Mini_!$W:$AB,"Not Found")</f>
        <v>26.1</v>
      </c>
      <c r="C728">
        <v>2</v>
      </c>
      <c r="D728">
        <v>4</v>
      </c>
      <c r="E728">
        <v>9</v>
      </c>
      <c r="F728">
        <v>3.9</v>
      </c>
      <c r="G728">
        <v>4</v>
      </c>
      <c r="H728" s="13" t="str" cm="1">
        <f t="array" ref="H728">_xlfn.IFS(B728&lt;20,"Low",B728&lt;=40,"Moderate",B728&lt;=60,"High",TRUE,"Very High")</f>
        <v>Moderate</v>
      </c>
    </row>
    <row r="729" spans="1:8" ht="17" x14ac:dyDescent="0.2">
      <c r="A729">
        <v>728</v>
      </c>
      <c r="B729" cm="1">
        <f t="array" ref="B729:G729">_xlfn.XLOOKUP($A729,Instagram_Usage_Lifestyle_Mini_!$A:$A,Instagram_Usage_Lifestyle_Mini_!$W:$AB,"Not Found")</f>
        <v>46.8</v>
      </c>
      <c r="C729">
        <v>4</v>
      </c>
      <c r="D729">
        <v>7</v>
      </c>
      <c r="E729">
        <v>15</v>
      </c>
      <c r="F729">
        <v>4.9000000000000004</v>
      </c>
      <c r="G729">
        <v>1</v>
      </c>
      <c r="H729" s="13" t="str" cm="1">
        <f t="array" ref="H729">_xlfn.IFS(B729&lt;20,"Low",B729&lt;=40,"Moderate",B729&lt;=60,"High",TRUE,"Very High")</f>
        <v>High</v>
      </c>
    </row>
    <row r="730" spans="1:8" ht="17" x14ac:dyDescent="0.2">
      <c r="A730">
        <v>729</v>
      </c>
      <c r="B730" cm="1">
        <f t="array" ref="B730:G730">_xlfn.XLOOKUP($A730,Instagram_Usage_Lifestyle_Mini_!$A:$A,Instagram_Usage_Lifestyle_Mini_!$W:$AB,"Not Found")</f>
        <v>28.6</v>
      </c>
      <c r="C730">
        <v>4</v>
      </c>
      <c r="D730">
        <v>4</v>
      </c>
      <c r="E730">
        <v>4</v>
      </c>
      <c r="F730">
        <v>1.7</v>
      </c>
      <c r="G730">
        <v>3</v>
      </c>
      <c r="H730" s="13" t="str" cm="1">
        <f t="array" ref="H730">_xlfn.IFS(B730&lt;20,"Low",B730&lt;=40,"Moderate",B730&lt;=60,"High",TRUE,"Very High")</f>
        <v>Moderate</v>
      </c>
    </row>
    <row r="731" spans="1:8" ht="17" x14ac:dyDescent="0.2">
      <c r="A731">
        <v>730</v>
      </c>
      <c r="B731" cm="1">
        <f t="array" ref="B731:G731">_xlfn.XLOOKUP($A731,Instagram_Usage_Lifestyle_Mini_!$A:$A,Instagram_Usage_Lifestyle_Mini_!$W:$AB,"Not Found")</f>
        <v>32.1</v>
      </c>
      <c r="C731">
        <v>0</v>
      </c>
      <c r="D731">
        <v>3</v>
      </c>
      <c r="E731">
        <v>17</v>
      </c>
      <c r="F731">
        <v>1.6</v>
      </c>
      <c r="G731">
        <v>3</v>
      </c>
      <c r="H731" s="13" t="str" cm="1">
        <f t="array" ref="H731">_xlfn.IFS(B731&lt;20,"Low",B731&lt;=40,"Moderate",B731&lt;=60,"High",TRUE,"Very High")</f>
        <v>Moderate</v>
      </c>
    </row>
    <row r="732" spans="1:8" ht="17" x14ac:dyDescent="0.2">
      <c r="A732">
        <v>731</v>
      </c>
      <c r="B732" cm="1">
        <f t="array" ref="B732:G732">_xlfn.XLOOKUP($A732,Instagram_Usage_Lifestyle_Mini_!$A:$A,Instagram_Usage_Lifestyle_Mini_!$W:$AB,"Not Found")</f>
        <v>31</v>
      </c>
      <c r="C732">
        <v>2</v>
      </c>
      <c r="D732">
        <v>6</v>
      </c>
      <c r="E732">
        <v>13</v>
      </c>
      <c r="F732">
        <v>3.7</v>
      </c>
      <c r="G732">
        <v>3</v>
      </c>
      <c r="H732" s="13" t="str" cm="1">
        <f t="array" ref="H732">_xlfn.IFS(B732&lt;20,"Low",B732&lt;=40,"Moderate",B732&lt;=60,"High",TRUE,"Very High")</f>
        <v>Moderate</v>
      </c>
    </row>
    <row r="733" spans="1:8" ht="17" x14ac:dyDescent="0.2">
      <c r="A733">
        <v>732</v>
      </c>
      <c r="B733" cm="1">
        <f t="array" ref="B733:G733">_xlfn.XLOOKUP($A733,Instagram_Usage_Lifestyle_Mini_!$A:$A,Instagram_Usage_Lifestyle_Mini_!$W:$AB,"Not Found")</f>
        <v>47.2</v>
      </c>
      <c r="C733">
        <v>6</v>
      </c>
      <c r="D733">
        <v>2</v>
      </c>
      <c r="E733">
        <v>13</v>
      </c>
      <c r="F733">
        <v>1.6</v>
      </c>
      <c r="G733">
        <v>1</v>
      </c>
      <c r="H733" s="13" t="str" cm="1">
        <f t="array" ref="H733">_xlfn.IFS(B733&lt;20,"Low",B733&lt;=40,"Moderate",B733&lt;=60,"High",TRUE,"Very High")</f>
        <v>High</v>
      </c>
    </row>
    <row r="734" spans="1:8" ht="17" x14ac:dyDescent="0.2">
      <c r="A734">
        <v>733</v>
      </c>
      <c r="B734" cm="1">
        <f t="array" ref="B734:G734">_xlfn.XLOOKUP($A734,Instagram_Usage_Lifestyle_Mini_!$A:$A,Instagram_Usage_Lifestyle_Mini_!$W:$AB,"Not Found")</f>
        <v>45.2</v>
      </c>
      <c r="C734">
        <v>2</v>
      </c>
      <c r="D734">
        <v>4</v>
      </c>
      <c r="E734">
        <v>10</v>
      </c>
      <c r="F734">
        <v>2.6</v>
      </c>
      <c r="G734">
        <v>2</v>
      </c>
      <c r="H734" s="13" t="str" cm="1">
        <f t="array" ref="H734">_xlfn.IFS(B734&lt;20,"Low",B734&lt;=40,"Moderate",B734&lt;=60,"High",TRUE,"Very High")</f>
        <v>High</v>
      </c>
    </row>
    <row r="735" spans="1:8" ht="17" x14ac:dyDescent="0.2">
      <c r="A735">
        <v>734</v>
      </c>
      <c r="B735" cm="1">
        <f t="array" ref="B735:G735">_xlfn.XLOOKUP($A735,Instagram_Usage_Lifestyle_Mini_!$A:$A,Instagram_Usage_Lifestyle_Mini_!$W:$AB,"Not Found")</f>
        <v>33.200000000000003</v>
      </c>
      <c r="C735">
        <v>6</v>
      </c>
      <c r="D735">
        <v>2</v>
      </c>
      <c r="E735">
        <v>11</v>
      </c>
      <c r="F735">
        <v>1.3</v>
      </c>
      <c r="G735">
        <v>3</v>
      </c>
      <c r="H735" s="13" t="str" cm="1">
        <f t="array" ref="H735">_xlfn.IFS(B735&lt;20,"Low",B735&lt;=40,"Moderate",B735&lt;=60,"High",TRUE,"Very High")</f>
        <v>Moderate</v>
      </c>
    </row>
    <row r="736" spans="1:8" ht="17" x14ac:dyDescent="0.2">
      <c r="A736">
        <v>735</v>
      </c>
      <c r="B736" cm="1">
        <f t="array" ref="B736:G736">_xlfn.XLOOKUP($A736,Instagram_Usage_Lifestyle_Mini_!$A:$A,Instagram_Usage_Lifestyle_Mini_!$W:$AB,"Not Found")</f>
        <v>45.8</v>
      </c>
      <c r="C736">
        <v>2</v>
      </c>
      <c r="D736">
        <v>3</v>
      </c>
      <c r="E736">
        <v>6</v>
      </c>
      <c r="F736">
        <v>5</v>
      </c>
      <c r="G736">
        <v>1</v>
      </c>
      <c r="H736" s="13" t="str" cm="1">
        <f t="array" ref="H736">_xlfn.IFS(B736&lt;20,"Low",B736&lt;=40,"Moderate",B736&lt;=60,"High",TRUE,"Very High")</f>
        <v>High</v>
      </c>
    </row>
    <row r="737" spans="1:8" ht="17" x14ac:dyDescent="0.2">
      <c r="A737">
        <v>736</v>
      </c>
      <c r="B737" cm="1">
        <f t="array" ref="B737:G737">_xlfn.XLOOKUP($A737,Instagram_Usage_Lifestyle_Mini_!$A:$A,Instagram_Usage_Lifestyle_Mini_!$W:$AB,"Not Found")</f>
        <v>37.4</v>
      </c>
      <c r="C737">
        <v>2</v>
      </c>
      <c r="D737">
        <v>2</v>
      </c>
      <c r="E737">
        <v>9</v>
      </c>
      <c r="F737">
        <v>2.2999999999999998</v>
      </c>
      <c r="G737">
        <v>4</v>
      </c>
      <c r="H737" s="13" t="str" cm="1">
        <f t="array" ref="H737">_xlfn.IFS(B737&lt;20,"Low",B737&lt;=40,"Moderate",B737&lt;=60,"High",TRUE,"Very High")</f>
        <v>Moderate</v>
      </c>
    </row>
    <row r="738" spans="1:8" ht="17" x14ac:dyDescent="0.2">
      <c r="A738">
        <v>737</v>
      </c>
      <c r="B738" cm="1">
        <f t="array" ref="B738:G738">_xlfn.XLOOKUP($A738,Instagram_Usage_Lifestyle_Mini_!$A:$A,Instagram_Usage_Lifestyle_Mini_!$W:$AB,"Not Found")</f>
        <v>33.1</v>
      </c>
      <c r="C738">
        <v>5</v>
      </c>
      <c r="D738">
        <v>4</v>
      </c>
      <c r="E738">
        <v>13</v>
      </c>
      <c r="F738">
        <v>0.9</v>
      </c>
      <c r="G738">
        <v>3</v>
      </c>
      <c r="H738" s="13" t="str" cm="1">
        <f t="array" ref="H738">_xlfn.IFS(B738&lt;20,"Low",B738&lt;=40,"Moderate",B738&lt;=60,"High",TRUE,"Very High")</f>
        <v>Moderate</v>
      </c>
    </row>
    <row r="739" spans="1:8" ht="17" x14ac:dyDescent="0.2">
      <c r="A739">
        <v>738</v>
      </c>
      <c r="B739" cm="1">
        <f t="array" ref="B739:G739">_xlfn.XLOOKUP($A739,Instagram_Usage_Lifestyle_Mini_!$A:$A,Instagram_Usage_Lifestyle_Mini_!$W:$AB,"Not Found")</f>
        <v>37</v>
      </c>
      <c r="C739">
        <v>2</v>
      </c>
      <c r="D739">
        <v>4</v>
      </c>
      <c r="E739">
        <v>10</v>
      </c>
      <c r="F739">
        <v>2.7</v>
      </c>
      <c r="G739">
        <v>2</v>
      </c>
      <c r="H739" s="13" t="str" cm="1">
        <f t="array" ref="H739">_xlfn.IFS(B739&lt;20,"Low",B739&lt;=40,"Moderate",B739&lt;=60,"High",TRUE,"Very High")</f>
        <v>Moderate</v>
      </c>
    </row>
    <row r="740" spans="1:8" ht="17" x14ac:dyDescent="0.2">
      <c r="A740">
        <v>739</v>
      </c>
      <c r="B740" cm="1">
        <f t="array" ref="B740:G740">_xlfn.XLOOKUP($A740,Instagram_Usage_Lifestyle_Mini_!$A:$A,Instagram_Usage_Lifestyle_Mini_!$W:$AB,"Not Found")</f>
        <v>51.9</v>
      </c>
      <c r="C740">
        <v>2</v>
      </c>
      <c r="D740">
        <v>2</v>
      </c>
      <c r="E740">
        <v>13</v>
      </c>
      <c r="F740">
        <v>3.4</v>
      </c>
      <c r="G740">
        <v>4</v>
      </c>
      <c r="H740" s="13" t="str" cm="1">
        <f t="array" ref="H740">_xlfn.IFS(B740&lt;20,"Low",B740&lt;=40,"Moderate",B740&lt;=60,"High",TRUE,"Very High")</f>
        <v>High</v>
      </c>
    </row>
    <row r="741" spans="1:8" ht="17" x14ac:dyDescent="0.2">
      <c r="A741">
        <v>740</v>
      </c>
      <c r="B741" cm="1">
        <f t="array" ref="B741:G741">_xlfn.XLOOKUP($A741,Instagram_Usage_Lifestyle_Mini_!$A:$A,Instagram_Usage_Lifestyle_Mini_!$W:$AB,"Not Found")</f>
        <v>44.4</v>
      </c>
      <c r="C741">
        <v>3</v>
      </c>
      <c r="D741">
        <v>3</v>
      </c>
      <c r="E741">
        <v>10</v>
      </c>
      <c r="F741">
        <v>2.2000000000000002</v>
      </c>
      <c r="G741">
        <v>2</v>
      </c>
      <c r="H741" s="13" t="str" cm="1">
        <f t="array" ref="H741">_xlfn.IFS(B741&lt;20,"Low",B741&lt;=40,"Moderate",B741&lt;=60,"High",TRUE,"Very High")</f>
        <v>High</v>
      </c>
    </row>
    <row r="742" spans="1:8" ht="17" x14ac:dyDescent="0.2">
      <c r="A742">
        <v>741</v>
      </c>
      <c r="B742" cm="1">
        <f t="array" ref="B742:G742">_xlfn.XLOOKUP($A742,Instagram_Usage_Lifestyle_Mini_!$A:$A,Instagram_Usage_Lifestyle_Mini_!$W:$AB,"Not Found")</f>
        <v>44.3</v>
      </c>
      <c r="C742">
        <v>2</v>
      </c>
      <c r="D742">
        <v>2</v>
      </c>
      <c r="E742">
        <v>6</v>
      </c>
      <c r="F742">
        <v>2.4</v>
      </c>
      <c r="G742">
        <v>2</v>
      </c>
      <c r="H742" s="13" t="str" cm="1">
        <f t="array" ref="H742">_xlfn.IFS(B742&lt;20,"Low",B742&lt;=40,"Moderate",B742&lt;=60,"High",TRUE,"Very High")</f>
        <v>High</v>
      </c>
    </row>
    <row r="743" spans="1:8" ht="17" x14ac:dyDescent="0.2">
      <c r="A743">
        <v>742</v>
      </c>
      <c r="B743" cm="1">
        <f t="array" ref="B743:G743">_xlfn.XLOOKUP($A743,Instagram_Usage_Lifestyle_Mini_!$A:$A,Instagram_Usage_Lifestyle_Mini_!$W:$AB,"Not Found")</f>
        <v>44.9</v>
      </c>
      <c r="C743">
        <v>3</v>
      </c>
      <c r="D743">
        <v>6</v>
      </c>
      <c r="E743">
        <v>17</v>
      </c>
      <c r="F743">
        <v>4.0999999999999996</v>
      </c>
      <c r="G743">
        <v>4</v>
      </c>
      <c r="H743" s="13" t="str" cm="1">
        <f t="array" ref="H743">_xlfn.IFS(B743&lt;20,"Low",B743&lt;=40,"Moderate",B743&lt;=60,"High",TRUE,"Very High")</f>
        <v>High</v>
      </c>
    </row>
    <row r="744" spans="1:8" ht="17" x14ac:dyDescent="0.2">
      <c r="A744">
        <v>743</v>
      </c>
      <c r="B744" cm="1">
        <f t="array" ref="B744:G744">_xlfn.XLOOKUP($A744,Instagram_Usage_Lifestyle_Mini_!$A:$A,Instagram_Usage_Lifestyle_Mini_!$W:$AB,"Not Found")</f>
        <v>60</v>
      </c>
      <c r="C744">
        <v>1</v>
      </c>
      <c r="D744">
        <v>1</v>
      </c>
      <c r="E744">
        <v>6</v>
      </c>
      <c r="F744">
        <v>0.7</v>
      </c>
      <c r="G744">
        <v>2</v>
      </c>
      <c r="H744" s="13" t="str" cm="1">
        <f t="array" ref="H744">_xlfn.IFS(B744&lt;20,"Low",B744&lt;=40,"Moderate",B744&lt;=60,"High",TRUE,"Very High")</f>
        <v>High</v>
      </c>
    </row>
    <row r="745" spans="1:8" ht="17" x14ac:dyDescent="0.2">
      <c r="A745">
        <v>744</v>
      </c>
      <c r="B745" cm="1">
        <f t="array" ref="B745:G745">_xlfn.XLOOKUP($A745,Instagram_Usage_Lifestyle_Mini_!$A:$A,Instagram_Usage_Lifestyle_Mini_!$W:$AB,"Not Found")</f>
        <v>33.299999999999997</v>
      </c>
      <c r="C745">
        <v>0</v>
      </c>
      <c r="D745">
        <v>7</v>
      </c>
      <c r="E745">
        <v>8</v>
      </c>
      <c r="F745">
        <v>3.5</v>
      </c>
      <c r="G745">
        <v>3</v>
      </c>
      <c r="H745" s="13" t="str" cm="1">
        <f t="array" ref="H745">_xlfn.IFS(B745&lt;20,"Low",B745&lt;=40,"Moderate",B745&lt;=60,"High",TRUE,"Very High")</f>
        <v>Moderate</v>
      </c>
    </row>
    <row r="746" spans="1:8" ht="17" x14ac:dyDescent="0.2">
      <c r="A746">
        <v>745</v>
      </c>
      <c r="B746" cm="1">
        <f t="array" ref="B746:G746">_xlfn.XLOOKUP($A746,Instagram_Usage_Lifestyle_Mini_!$A:$A,Instagram_Usage_Lifestyle_Mini_!$W:$AB,"Not Found")</f>
        <v>27.5</v>
      </c>
      <c r="C746">
        <v>3</v>
      </c>
      <c r="D746">
        <v>7</v>
      </c>
      <c r="E746">
        <v>8</v>
      </c>
      <c r="F746">
        <v>4.2</v>
      </c>
      <c r="G746">
        <v>2</v>
      </c>
      <c r="H746" s="13" t="str" cm="1">
        <f t="array" ref="H746">_xlfn.IFS(B746&lt;20,"Low",B746&lt;=40,"Moderate",B746&lt;=60,"High",TRUE,"Very High")</f>
        <v>Moderate</v>
      </c>
    </row>
    <row r="747" spans="1:8" ht="17" x14ac:dyDescent="0.2">
      <c r="A747">
        <v>746</v>
      </c>
      <c r="B747" cm="1">
        <f t="array" ref="B747:G747">_xlfn.XLOOKUP($A747,Instagram_Usage_Lifestyle_Mini_!$A:$A,Instagram_Usage_Lifestyle_Mini_!$W:$AB,"Not Found")</f>
        <v>56.7</v>
      </c>
      <c r="C747">
        <v>0</v>
      </c>
      <c r="D747">
        <v>6</v>
      </c>
      <c r="E747">
        <v>4</v>
      </c>
      <c r="F747">
        <v>1.7</v>
      </c>
      <c r="G747">
        <v>2</v>
      </c>
      <c r="H747" s="13" t="str" cm="1">
        <f t="array" ref="H747">_xlfn.IFS(B747&lt;20,"Low",B747&lt;=40,"Moderate",B747&lt;=60,"High",TRUE,"Very High")</f>
        <v>High</v>
      </c>
    </row>
    <row r="748" spans="1:8" ht="17" x14ac:dyDescent="0.2">
      <c r="A748">
        <v>747</v>
      </c>
      <c r="B748" cm="1">
        <f t="array" ref="B748:G748">_xlfn.XLOOKUP($A748,Instagram_Usage_Lifestyle_Mini_!$A:$A,Instagram_Usage_Lifestyle_Mini_!$W:$AB,"Not Found")</f>
        <v>34.5</v>
      </c>
      <c r="C748">
        <v>5</v>
      </c>
      <c r="D748">
        <v>2</v>
      </c>
      <c r="E748">
        <v>14</v>
      </c>
      <c r="F748">
        <v>3</v>
      </c>
      <c r="G748">
        <v>2</v>
      </c>
      <c r="H748" s="13" t="str" cm="1">
        <f t="array" ref="H748">_xlfn.IFS(B748&lt;20,"Low",B748&lt;=40,"Moderate",B748&lt;=60,"High",TRUE,"Very High")</f>
        <v>Moderate</v>
      </c>
    </row>
    <row r="749" spans="1:8" ht="17" x14ac:dyDescent="0.2">
      <c r="A749">
        <v>748</v>
      </c>
      <c r="B749" cm="1">
        <f t="array" ref="B749:G749">_xlfn.XLOOKUP($A749,Instagram_Usage_Lifestyle_Mini_!$A:$A,Instagram_Usage_Lifestyle_Mini_!$W:$AB,"Not Found")</f>
        <v>41.5</v>
      </c>
      <c r="C749">
        <v>7</v>
      </c>
      <c r="D749">
        <v>7</v>
      </c>
      <c r="E749">
        <v>9</v>
      </c>
      <c r="F749">
        <v>8.9</v>
      </c>
      <c r="G749">
        <v>2</v>
      </c>
      <c r="H749" s="13" t="str" cm="1">
        <f t="array" ref="H749">_xlfn.IFS(B749&lt;20,"Low",B749&lt;=40,"Moderate",B749&lt;=60,"High",TRUE,"Very High")</f>
        <v>High</v>
      </c>
    </row>
    <row r="750" spans="1:8" ht="17" x14ac:dyDescent="0.2">
      <c r="A750">
        <v>749</v>
      </c>
      <c r="B750" cm="1">
        <f t="array" ref="B750:G750">_xlfn.XLOOKUP($A750,Instagram_Usage_Lifestyle_Mini_!$A:$A,Instagram_Usage_Lifestyle_Mini_!$W:$AB,"Not Found")</f>
        <v>38.5</v>
      </c>
      <c r="C750">
        <v>4</v>
      </c>
      <c r="D750">
        <v>7</v>
      </c>
      <c r="E750">
        <v>6</v>
      </c>
      <c r="F750">
        <v>3</v>
      </c>
      <c r="G750">
        <v>4</v>
      </c>
      <c r="H750" s="13" t="str" cm="1">
        <f t="array" ref="H750">_xlfn.IFS(B750&lt;20,"Low",B750&lt;=40,"Moderate",B750&lt;=60,"High",TRUE,"Very High")</f>
        <v>Moderate</v>
      </c>
    </row>
    <row r="751" spans="1:8" ht="17" x14ac:dyDescent="0.2">
      <c r="A751">
        <v>750</v>
      </c>
      <c r="B751" cm="1">
        <f t="array" ref="B751:G751">_xlfn.XLOOKUP($A751,Instagram_Usage_Lifestyle_Mini_!$A:$A,Instagram_Usage_Lifestyle_Mini_!$W:$AB,"Not Found")</f>
        <v>30.1</v>
      </c>
      <c r="C751">
        <v>2</v>
      </c>
      <c r="D751">
        <v>2</v>
      </c>
      <c r="E751">
        <v>4</v>
      </c>
      <c r="F751">
        <v>2.9</v>
      </c>
      <c r="G751">
        <v>2</v>
      </c>
      <c r="H751" s="13" t="str" cm="1">
        <f t="array" ref="H751">_xlfn.IFS(B751&lt;20,"Low",B751&lt;=40,"Moderate",B751&lt;=60,"High",TRUE,"Very High")</f>
        <v>Moderate</v>
      </c>
    </row>
    <row r="752" spans="1:8" ht="17" x14ac:dyDescent="0.2">
      <c r="A752">
        <v>751</v>
      </c>
      <c r="B752" cm="1">
        <f t="array" ref="B752:G752">_xlfn.XLOOKUP($A752,Instagram_Usage_Lifestyle_Mini_!$A:$A,Instagram_Usage_Lifestyle_Mini_!$W:$AB,"Not Found")</f>
        <v>37.799999999999997</v>
      </c>
      <c r="C752">
        <v>1</v>
      </c>
      <c r="D752">
        <v>2</v>
      </c>
      <c r="E752">
        <v>16</v>
      </c>
      <c r="F752">
        <v>5.3</v>
      </c>
      <c r="G752">
        <v>6</v>
      </c>
      <c r="H752" s="13" t="str" cm="1">
        <f t="array" ref="H752">_xlfn.IFS(B752&lt;20,"Low",B752&lt;=40,"Moderate",B752&lt;=60,"High",TRUE,"Very High")</f>
        <v>Moderate</v>
      </c>
    </row>
    <row r="753" spans="1:8" ht="17" x14ac:dyDescent="0.2">
      <c r="A753">
        <v>752</v>
      </c>
      <c r="B753" cm="1">
        <f t="array" ref="B753:G753">_xlfn.XLOOKUP($A753,Instagram_Usage_Lifestyle_Mini_!$A:$A,Instagram_Usage_Lifestyle_Mini_!$W:$AB,"Not Found")</f>
        <v>57.1</v>
      </c>
      <c r="C753">
        <v>6</v>
      </c>
      <c r="D753">
        <v>7</v>
      </c>
      <c r="E753">
        <v>14</v>
      </c>
      <c r="F753">
        <v>8.4</v>
      </c>
      <c r="G753">
        <v>1</v>
      </c>
      <c r="H753" s="13" t="str" cm="1">
        <f t="array" ref="H753">_xlfn.IFS(B753&lt;20,"Low",B753&lt;=40,"Moderate",B753&lt;=60,"High",TRUE,"Very High")</f>
        <v>High</v>
      </c>
    </row>
    <row r="754" spans="1:8" ht="17" x14ac:dyDescent="0.2">
      <c r="A754">
        <v>753</v>
      </c>
      <c r="B754" cm="1">
        <f t="array" ref="B754:G754">_xlfn.XLOOKUP($A754,Instagram_Usage_Lifestyle_Mini_!$A:$A,Instagram_Usage_Lifestyle_Mini_!$W:$AB,"Not Found")</f>
        <v>52.8</v>
      </c>
      <c r="C754">
        <v>0</v>
      </c>
      <c r="D754">
        <v>1</v>
      </c>
      <c r="E754">
        <v>10</v>
      </c>
      <c r="F754">
        <v>2.4</v>
      </c>
      <c r="G754">
        <v>4</v>
      </c>
      <c r="H754" s="13" t="str" cm="1">
        <f t="array" ref="H754">_xlfn.IFS(B754&lt;20,"Low",B754&lt;=40,"Moderate",B754&lt;=60,"High",TRUE,"Very High")</f>
        <v>High</v>
      </c>
    </row>
    <row r="755" spans="1:8" ht="17" x14ac:dyDescent="0.2">
      <c r="A755">
        <v>754</v>
      </c>
      <c r="B755" cm="1">
        <f t="array" ref="B755:G755">_xlfn.XLOOKUP($A755,Instagram_Usage_Lifestyle_Mini_!$A:$A,Instagram_Usage_Lifestyle_Mini_!$W:$AB,"Not Found")</f>
        <v>38.9</v>
      </c>
      <c r="C755">
        <v>3</v>
      </c>
      <c r="D755">
        <v>5</v>
      </c>
      <c r="E755">
        <v>6</v>
      </c>
      <c r="F755">
        <v>7.2</v>
      </c>
      <c r="G755">
        <v>2</v>
      </c>
      <c r="H755" s="13" t="str" cm="1">
        <f t="array" ref="H755">_xlfn.IFS(B755&lt;20,"Low",B755&lt;=40,"Moderate",B755&lt;=60,"High",TRUE,"Very High")</f>
        <v>Moderate</v>
      </c>
    </row>
    <row r="756" spans="1:8" ht="17" x14ac:dyDescent="0.2">
      <c r="A756">
        <v>755</v>
      </c>
      <c r="B756" cm="1">
        <f t="array" ref="B756:G756">_xlfn.XLOOKUP($A756,Instagram_Usage_Lifestyle_Mini_!$A:$A,Instagram_Usage_Lifestyle_Mini_!$W:$AB,"Not Found")</f>
        <v>48.7</v>
      </c>
      <c r="C756">
        <v>3</v>
      </c>
      <c r="D756">
        <v>2</v>
      </c>
      <c r="E756">
        <v>8</v>
      </c>
      <c r="F756">
        <v>5.2</v>
      </c>
      <c r="G756">
        <v>1</v>
      </c>
      <c r="H756" s="13" t="str" cm="1">
        <f t="array" ref="H756">_xlfn.IFS(B756&lt;20,"Low",B756&lt;=40,"Moderate",B756&lt;=60,"High",TRUE,"Very High")</f>
        <v>High</v>
      </c>
    </row>
    <row r="757" spans="1:8" ht="17" x14ac:dyDescent="0.2">
      <c r="A757">
        <v>756</v>
      </c>
      <c r="B757" cm="1">
        <f t="array" ref="B757:G757">_xlfn.XLOOKUP($A757,Instagram_Usage_Lifestyle_Mini_!$A:$A,Instagram_Usage_Lifestyle_Mini_!$W:$AB,"Not Found")</f>
        <v>36</v>
      </c>
      <c r="C757">
        <v>3</v>
      </c>
      <c r="D757">
        <v>7</v>
      </c>
      <c r="E757">
        <v>16</v>
      </c>
      <c r="F757">
        <v>1.2</v>
      </c>
      <c r="G757">
        <v>5</v>
      </c>
      <c r="H757" s="13" t="str" cm="1">
        <f t="array" ref="H757">_xlfn.IFS(B757&lt;20,"Low",B757&lt;=40,"Moderate",B757&lt;=60,"High",TRUE,"Very High")</f>
        <v>Moderate</v>
      </c>
    </row>
    <row r="758" spans="1:8" ht="17" x14ac:dyDescent="0.2">
      <c r="A758">
        <v>757</v>
      </c>
      <c r="B758" cm="1">
        <f t="array" ref="B758:G758">_xlfn.XLOOKUP($A758,Instagram_Usage_Lifestyle_Mini_!$A:$A,Instagram_Usage_Lifestyle_Mini_!$W:$AB,"Not Found")</f>
        <v>26.7</v>
      </c>
      <c r="C758">
        <v>3</v>
      </c>
      <c r="D758">
        <v>10</v>
      </c>
      <c r="E758">
        <v>6</v>
      </c>
      <c r="F758">
        <v>5</v>
      </c>
      <c r="G758">
        <v>2</v>
      </c>
      <c r="H758" s="13" t="str" cm="1">
        <f t="array" ref="H758">_xlfn.IFS(B758&lt;20,"Low",B758&lt;=40,"Moderate",B758&lt;=60,"High",TRUE,"Very High")</f>
        <v>Moderate</v>
      </c>
    </row>
    <row r="759" spans="1:8" ht="17" x14ac:dyDescent="0.2">
      <c r="A759">
        <v>758</v>
      </c>
      <c r="B759" cm="1">
        <f t="array" ref="B759:G759">_xlfn.XLOOKUP($A759,Instagram_Usage_Lifestyle_Mini_!$A:$A,Instagram_Usage_Lifestyle_Mini_!$W:$AB,"Not Found")</f>
        <v>33.6</v>
      </c>
      <c r="C759">
        <v>0</v>
      </c>
      <c r="D759">
        <v>5</v>
      </c>
      <c r="E759">
        <v>11</v>
      </c>
      <c r="F759">
        <v>3.2</v>
      </c>
      <c r="G759">
        <v>5</v>
      </c>
      <c r="H759" s="13" t="str" cm="1">
        <f t="array" ref="H759">_xlfn.IFS(B759&lt;20,"Low",B759&lt;=40,"Moderate",B759&lt;=60,"High",TRUE,"Very High")</f>
        <v>Moderate</v>
      </c>
    </row>
    <row r="760" spans="1:8" ht="17" x14ac:dyDescent="0.2">
      <c r="A760">
        <v>759</v>
      </c>
      <c r="B760" cm="1">
        <f t="array" ref="B760:G760">_xlfn.XLOOKUP($A760,Instagram_Usage_Lifestyle_Mini_!$A:$A,Instagram_Usage_Lifestyle_Mini_!$W:$AB,"Not Found")</f>
        <v>36.5</v>
      </c>
      <c r="C760">
        <v>1</v>
      </c>
      <c r="D760">
        <v>5</v>
      </c>
      <c r="E760">
        <v>10</v>
      </c>
      <c r="F760">
        <v>2.9</v>
      </c>
      <c r="G760">
        <v>3</v>
      </c>
      <c r="H760" s="13" t="str" cm="1">
        <f t="array" ref="H760">_xlfn.IFS(B760&lt;20,"Low",B760&lt;=40,"Moderate",B760&lt;=60,"High",TRUE,"Very High")</f>
        <v>Moderate</v>
      </c>
    </row>
    <row r="761" spans="1:8" ht="17" x14ac:dyDescent="0.2">
      <c r="A761">
        <v>760</v>
      </c>
      <c r="B761" cm="1">
        <f t="array" ref="B761:G761">_xlfn.XLOOKUP($A761,Instagram_Usage_Lifestyle_Mini_!$A:$A,Instagram_Usage_Lifestyle_Mini_!$W:$AB,"Not Found")</f>
        <v>45.3</v>
      </c>
      <c r="C761">
        <v>1</v>
      </c>
      <c r="D761">
        <v>7</v>
      </c>
      <c r="E761">
        <v>6</v>
      </c>
      <c r="F761">
        <v>3.5</v>
      </c>
      <c r="G761">
        <v>4</v>
      </c>
      <c r="H761" s="13" t="str" cm="1">
        <f t="array" ref="H761">_xlfn.IFS(B761&lt;20,"Low",B761&lt;=40,"Moderate",B761&lt;=60,"High",TRUE,"Very High")</f>
        <v>High</v>
      </c>
    </row>
    <row r="762" spans="1:8" ht="17" x14ac:dyDescent="0.2">
      <c r="A762">
        <v>761</v>
      </c>
      <c r="B762" cm="1">
        <f t="array" ref="B762:G762">_xlfn.XLOOKUP($A762,Instagram_Usage_Lifestyle_Mini_!$A:$A,Instagram_Usage_Lifestyle_Mini_!$W:$AB,"Not Found")</f>
        <v>28.1</v>
      </c>
      <c r="C762">
        <v>4</v>
      </c>
      <c r="D762">
        <v>6</v>
      </c>
      <c r="E762">
        <v>7</v>
      </c>
      <c r="F762">
        <v>4.4000000000000004</v>
      </c>
      <c r="G762">
        <v>5</v>
      </c>
      <c r="H762" s="13" t="str" cm="1">
        <f t="array" ref="H762">_xlfn.IFS(B762&lt;20,"Low",B762&lt;=40,"Moderate",B762&lt;=60,"High",TRUE,"Very High")</f>
        <v>Moderate</v>
      </c>
    </row>
    <row r="763" spans="1:8" ht="17" x14ac:dyDescent="0.2">
      <c r="A763">
        <v>762</v>
      </c>
      <c r="B763" cm="1">
        <f t="array" ref="B763:G763">_xlfn.XLOOKUP($A763,Instagram_Usage_Lifestyle_Mini_!$A:$A,Instagram_Usage_Lifestyle_Mini_!$W:$AB,"Not Found")</f>
        <v>34.9</v>
      </c>
      <c r="C763">
        <v>3</v>
      </c>
      <c r="D763">
        <v>0</v>
      </c>
      <c r="E763">
        <v>9</v>
      </c>
      <c r="F763">
        <v>1.8</v>
      </c>
      <c r="G763">
        <v>4</v>
      </c>
      <c r="H763" s="13" t="str" cm="1">
        <f t="array" ref="H763">_xlfn.IFS(B763&lt;20,"Low",B763&lt;=40,"Moderate",B763&lt;=60,"High",TRUE,"Very High")</f>
        <v>Moderate</v>
      </c>
    </row>
    <row r="764" spans="1:8" ht="17" x14ac:dyDescent="0.2">
      <c r="A764">
        <v>763</v>
      </c>
      <c r="B764" cm="1">
        <f t="array" ref="B764:G764">_xlfn.XLOOKUP($A764,Instagram_Usage_Lifestyle_Mini_!$A:$A,Instagram_Usage_Lifestyle_Mini_!$W:$AB,"Not Found")</f>
        <v>27.7</v>
      </c>
      <c r="C764">
        <v>3</v>
      </c>
      <c r="D764">
        <v>5</v>
      </c>
      <c r="E764">
        <v>12</v>
      </c>
      <c r="F764">
        <v>2.9</v>
      </c>
      <c r="G764">
        <v>1</v>
      </c>
      <c r="H764" s="13" t="str" cm="1">
        <f t="array" ref="H764">_xlfn.IFS(B764&lt;20,"Low",B764&lt;=40,"Moderate",B764&lt;=60,"High",TRUE,"Very High")</f>
        <v>Moderate</v>
      </c>
    </row>
    <row r="765" spans="1:8" ht="17" x14ac:dyDescent="0.2">
      <c r="A765">
        <v>764</v>
      </c>
      <c r="B765" cm="1">
        <f t="array" ref="B765:G765">_xlfn.XLOOKUP($A765,Instagram_Usage_Lifestyle_Mini_!$A:$A,Instagram_Usage_Lifestyle_Mini_!$W:$AB,"Not Found")</f>
        <v>60.4</v>
      </c>
      <c r="C765">
        <v>5</v>
      </c>
      <c r="D765">
        <v>5</v>
      </c>
      <c r="E765">
        <v>8</v>
      </c>
      <c r="F765">
        <v>8.6999999999999993</v>
      </c>
      <c r="G765">
        <v>2</v>
      </c>
      <c r="H765" s="13" t="str" cm="1">
        <f t="array" ref="H765">_xlfn.IFS(B765&lt;20,"Low",B765&lt;=40,"Moderate",B765&lt;=60,"High",TRUE,"Very High")</f>
        <v>Very High</v>
      </c>
    </row>
    <row r="766" spans="1:8" ht="17" x14ac:dyDescent="0.2">
      <c r="A766">
        <v>765</v>
      </c>
      <c r="B766" cm="1">
        <f t="array" ref="B766:G766">_xlfn.XLOOKUP($A766,Instagram_Usage_Lifestyle_Mini_!$A:$A,Instagram_Usage_Lifestyle_Mini_!$W:$AB,"Not Found")</f>
        <v>36.5</v>
      </c>
      <c r="C766">
        <v>5</v>
      </c>
      <c r="D766">
        <v>4</v>
      </c>
      <c r="E766">
        <v>10</v>
      </c>
      <c r="F766">
        <v>5.3</v>
      </c>
      <c r="G766">
        <v>1</v>
      </c>
      <c r="H766" s="13" t="str" cm="1">
        <f t="array" ref="H766">_xlfn.IFS(B766&lt;20,"Low",B766&lt;=40,"Moderate",B766&lt;=60,"High",TRUE,"Very High")</f>
        <v>Moderate</v>
      </c>
    </row>
    <row r="767" spans="1:8" ht="17" x14ac:dyDescent="0.2">
      <c r="A767">
        <v>766</v>
      </c>
      <c r="B767" cm="1">
        <f t="array" ref="B767:G767">_xlfn.XLOOKUP($A767,Instagram_Usage_Lifestyle_Mini_!$A:$A,Instagram_Usage_Lifestyle_Mini_!$W:$AB,"Not Found")</f>
        <v>50.9</v>
      </c>
      <c r="C767">
        <v>5</v>
      </c>
      <c r="D767">
        <v>6</v>
      </c>
      <c r="E767">
        <v>6</v>
      </c>
      <c r="F767">
        <v>7.3</v>
      </c>
      <c r="G767">
        <v>1</v>
      </c>
      <c r="H767" s="13" t="str" cm="1">
        <f t="array" ref="H767">_xlfn.IFS(B767&lt;20,"Low",B767&lt;=40,"Moderate",B767&lt;=60,"High",TRUE,"Very High")</f>
        <v>High</v>
      </c>
    </row>
    <row r="768" spans="1:8" ht="17" x14ac:dyDescent="0.2">
      <c r="A768">
        <v>767</v>
      </c>
      <c r="B768" cm="1">
        <f t="array" ref="B768:G768">_xlfn.XLOOKUP($A768,Instagram_Usage_Lifestyle_Mini_!$A:$A,Instagram_Usage_Lifestyle_Mini_!$W:$AB,"Not Found")</f>
        <v>46.2</v>
      </c>
      <c r="C768">
        <v>6</v>
      </c>
      <c r="D768">
        <v>2</v>
      </c>
      <c r="E768">
        <v>12</v>
      </c>
      <c r="F768">
        <v>5</v>
      </c>
      <c r="G768">
        <v>2</v>
      </c>
      <c r="H768" s="13" t="str" cm="1">
        <f t="array" ref="H768">_xlfn.IFS(B768&lt;20,"Low",B768&lt;=40,"Moderate",B768&lt;=60,"High",TRUE,"Very High")</f>
        <v>High</v>
      </c>
    </row>
    <row r="769" spans="1:8" ht="17" x14ac:dyDescent="0.2">
      <c r="A769">
        <v>768</v>
      </c>
      <c r="B769" cm="1">
        <f t="array" ref="B769:G769">_xlfn.XLOOKUP($A769,Instagram_Usage_Lifestyle_Mini_!$A:$A,Instagram_Usage_Lifestyle_Mini_!$W:$AB,"Not Found")</f>
        <v>56.6</v>
      </c>
      <c r="C769">
        <v>2</v>
      </c>
      <c r="D769">
        <v>5</v>
      </c>
      <c r="E769">
        <v>9</v>
      </c>
      <c r="F769">
        <v>1.9</v>
      </c>
      <c r="G769">
        <v>6</v>
      </c>
      <c r="H769" s="13" t="str" cm="1">
        <f t="array" ref="H769">_xlfn.IFS(B769&lt;20,"Low",B769&lt;=40,"Moderate",B769&lt;=60,"High",TRUE,"Very High")</f>
        <v>High</v>
      </c>
    </row>
    <row r="770" spans="1:8" ht="17" x14ac:dyDescent="0.2">
      <c r="A770">
        <v>769</v>
      </c>
      <c r="B770" cm="1">
        <f t="array" ref="B770:G770">_xlfn.XLOOKUP($A770,Instagram_Usage_Lifestyle_Mini_!$A:$A,Instagram_Usage_Lifestyle_Mini_!$W:$AB,"Not Found")</f>
        <v>55</v>
      </c>
      <c r="C770">
        <v>1</v>
      </c>
      <c r="D770">
        <v>7</v>
      </c>
      <c r="E770">
        <v>9</v>
      </c>
      <c r="F770">
        <v>2.4</v>
      </c>
      <c r="G770">
        <v>3</v>
      </c>
      <c r="H770" s="13" t="str" cm="1">
        <f t="array" ref="H770">_xlfn.IFS(B770&lt;20,"Low",B770&lt;=40,"Moderate",B770&lt;=60,"High",TRUE,"Very High")</f>
        <v>High</v>
      </c>
    </row>
    <row r="771" spans="1:8" ht="17" x14ac:dyDescent="0.2">
      <c r="A771">
        <v>770</v>
      </c>
      <c r="B771" cm="1">
        <f t="array" ref="B771:G771">_xlfn.XLOOKUP($A771,Instagram_Usage_Lifestyle_Mini_!$A:$A,Instagram_Usage_Lifestyle_Mini_!$W:$AB,"Not Found")</f>
        <v>29.3</v>
      </c>
      <c r="C771">
        <v>5</v>
      </c>
      <c r="D771">
        <v>2</v>
      </c>
      <c r="E771">
        <v>13</v>
      </c>
      <c r="F771">
        <v>2.7</v>
      </c>
      <c r="G771">
        <v>1</v>
      </c>
      <c r="H771" s="13" t="str" cm="1">
        <f t="array" ref="H771">_xlfn.IFS(B771&lt;20,"Low",B771&lt;=40,"Moderate",B771&lt;=60,"High",TRUE,"Very High")</f>
        <v>Moderate</v>
      </c>
    </row>
    <row r="772" spans="1:8" ht="17" x14ac:dyDescent="0.2">
      <c r="A772">
        <v>771</v>
      </c>
      <c r="B772" cm="1">
        <f t="array" ref="B772:G772">_xlfn.XLOOKUP($A772,Instagram_Usage_Lifestyle_Mini_!$A:$A,Instagram_Usage_Lifestyle_Mini_!$W:$AB,"Not Found")</f>
        <v>43.5</v>
      </c>
      <c r="C772">
        <v>3</v>
      </c>
      <c r="D772">
        <v>3</v>
      </c>
      <c r="E772">
        <v>7</v>
      </c>
      <c r="F772">
        <v>3.5</v>
      </c>
      <c r="G772">
        <v>1</v>
      </c>
      <c r="H772" s="13" t="str" cm="1">
        <f t="array" ref="H772">_xlfn.IFS(B772&lt;20,"Low",B772&lt;=40,"Moderate",B772&lt;=60,"High",TRUE,"Very High")</f>
        <v>High</v>
      </c>
    </row>
    <row r="773" spans="1:8" ht="17" x14ac:dyDescent="0.2">
      <c r="A773">
        <v>772</v>
      </c>
      <c r="B773" cm="1">
        <f t="array" ref="B773:G773">_xlfn.XLOOKUP($A773,Instagram_Usage_Lifestyle_Mini_!$A:$A,Instagram_Usage_Lifestyle_Mini_!$W:$AB,"Not Found")</f>
        <v>26.3</v>
      </c>
      <c r="C773">
        <v>5</v>
      </c>
      <c r="D773">
        <v>4</v>
      </c>
      <c r="E773">
        <v>7</v>
      </c>
      <c r="F773">
        <v>7.1</v>
      </c>
      <c r="G773">
        <v>5</v>
      </c>
      <c r="H773" s="13" t="str" cm="1">
        <f t="array" ref="H773">_xlfn.IFS(B773&lt;20,"Low",B773&lt;=40,"Moderate",B773&lt;=60,"High",TRUE,"Very High")</f>
        <v>Moderate</v>
      </c>
    </row>
    <row r="774" spans="1:8" ht="17" x14ac:dyDescent="0.2">
      <c r="A774">
        <v>773</v>
      </c>
      <c r="B774" cm="1">
        <f t="array" ref="B774:G774">_xlfn.XLOOKUP($A774,Instagram_Usage_Lifestyle_Mini_!$A:$A,Instagram_Usage_Lifestyle_Mini_!$W:$AB,"Not Found")</f>
        <v>41.8</v>
      </c>
      <c r="C774">
        <v>4</v>
      </c>
      <c r="D774">
        <v>5</v>
      </c>
      <c r="E774">
        <v>8</v>
      </c>
      <c r="F774">
        <v>1.2</v>
      </c>
      <c r="G774">
        <v>6</v>
      </c>
      <c r="H774" s="13" t="str" cm="1">
        <f t="array" ref="H774">_xlfn.IFS(B774&lt;20,"Low",B774&lt;=40,"Moderate",B774&lt;=60,"High",TRUE,"Very High")</f>
        <v>High</v>
      </c>
    </row>
    <row r="775" spans="1:8" ht="17" x14ac:dyDescent="0.2">
      <c r="A775">
        <v>774</v>
      </c>
      <c r="B775" cm="1">
        <f t="array" ref="B775:G775">_xlfn.XLOOKUP($A775,Instagram_Usage_Lifestyle_Mini_!$A:$A,Instagram_Usage_Lifestyle_Mini_!$W:$AB,"Not Found")</f>
        <v>40.9</v>
      </c>
      <c r="C775">
        <v>1</v>
      </c>
      <c r="D775">
        <v>4</v>
      </c>
      <c r="E775">
        <v>11</v>
      </c>
      <c r="F775">
        <v>3.2</v>
      </c>
      <c r="G775">
        <v>1</v>
      </c>
      <c r="H775" s="13" t="str" cm="1">
        <f t="array" ref="H775">_xlfn.IFS(B775&lt;20,"Low",B775&lt;=40,"Moderate",B775&lt;=60,"High",TRUE,"Very High")</f>
        <v>High</v>
      </c>
    </row>
    <row r="776" spans="1:8" ht="17" x14ac:dyDescent="0.2">
      <c r="A776">
        <v>775</v>
      </c>
      <c r="B776" cm="1">
        <f t="array" ref="B776:G776">_xlfn.XLOOKUP($A776,Instagram_Usage_Lifestyle_Mini_!$A:$A,Instagram_Usage_Lifestyle_Mini_!$W:$AB,"Not Found")</f>
        <v>43</v>
      </c>
      <c r="C776">
        <v>2</v>
      </c>
      <c r="D776">
        <v>5</v>
      </c>
      <c r="E776">
        <v>15</v>
      </c>
      <c r="F776">
        <v>3</v>
      </c>
      <c r="G776">
        <v>5</v>
      </c>
      <c r="H776" s="13" t="str" cm="1">
        <f t="array" ref="H776">_xlfn.IFS(B776&lt;20,"Low",B776&lt;=40,"Moderate",B776&lt;=60,"High",TRUE,"Very High")</f>
        <v>High</v>
      </c>
    </row>
    <row r="777" spans="1:8" ht="17" x14ac:dyDescent="0.2">
      <c r="A777">
        <v>776</v>
      </c>
      <c r="B777" cm="1">
        <f t="array" ref="B777:G777">_xlfn.XLOOKUP($A777,Instagram_Usage_Lifestyle_Mini_!$A:$A,Instagram_Usage_Lifestyle_Mini_!$W:$AB,"Not Found")</f>
        <v>40.700000000000003</v>
      </c>
      <c r="C777">
        <v>2</v>
      </c>
      <c r="D777">
        <v>1</v>
      </c>
      <c r="E777">
        <v>16</v>
      </c>
      <c r="F777">
        <v>5.0999999999999996</v>
      </c>
      <c r="G777">
        <v>4</v>
      </c>
      <c r="H777" s="13" t="str" cm="1">
        <f t="array" ref="H777">_xlfn.IFS(B777&lt;20,"Low",B777&lt;=40,"Moderate",B777&lt;=60,"High",TRUE,"Very High")</f>
        <v>High</v>
      </c>
    </row>
    <row r="778" spans="1:8" ht="17" x14ac:dyDescent="0.2">
      <c r="A778">
        <v>777</v>
      </c>
      <c r="B778" cm="1">
        <f t="array" ref="B778:G778">_xlfn.XLOOKUP($A778,Instagram_Usage_Lifestyle_Mini_!$A:$A,Instagram_Usage_Lifestyle_Mini_!$W:$AB,"Not Found")</f>
        <v>45.8</v>
      </c>
      <c r="C778">
        <v>2</v>
      </c>
      <c r="D778">
        <v>6</v>
      </c>
      <c r="E778">
        <v>8</v>
      </c>
      <c r="F778">
        <v>8.9</v>
      </c>
      <c r="G778">
        <v>5</v>
      </c>
      <c r="H778" s="13" t="str" cm="1">
        <f t="array" ref="H778">_xlfn.IFS(B778&lt;20,"Low",B778&lt;=40,"Moderate",B778&lt;=60,"High",TRUE,"Very High")</f>
        <v>High</v>
      </c>
    </row>
    <row r="779" spans="1:8" ht="17" x14ac:dyDescent="0.2">
      <c r="A779">
        <v>778</v>
      </c>
      <c r="B779" cm="1">
        <f t="array" ref="B779:G779">_xlfn.XLOOKUP($A779,Instagram_Usage_Lifestyle_Mini_!$A:$A,Instagram_Usage_Lifestyle_Mini_!$W:$AB,"Not Found")</f>
        <v>29.2</v>
      </c>
      <c r="C779">
        <v>4</v>
      </c>
      <c r="D779">
        <v>2</v>
      </c>
      <c r="E779">
        <v>18</v>
      </c>
      <c r="F779">
        <v>0.8</v>
      </c>
      <c r="G779">
        <v>4</v>
      </c>
      <c r="H779" s="13" t="str" cm="1">
        <f t="array" ref="H779">_xlfn.IFS(B779&lt;20,"Low",B779&lt;=40,"Moderate",B779&lt;=60,"High",TRUE,"Very High")</f>
        <v>Moderate</v>
      </c>
    </row>
    <row r="780" spans="1:8" ht="17" x14ac:dyDescent="0.2">
      <c r="A780">
        <v>779</v>
      </c>
      <c r="B780" cm="1">
        <f t="array" ref="B780:G780">_xlfn.XLOOKUP($A780,Instagram_Usage_Lifestyle_Mini_!$A:$A,Instagram_Usage_Lifestyle_Mini_!$W:$AB,"Not Found")</f>
        <v>58</v>
      </c>
      <c r="C780">
        <v>5</v>
      </c>
      <c r="D780">
        <v>6</v>
      </c>
      <c r="E780">
        <v>8</v>
      </c>
      <c r="F780">
        <v>3.7</v>
      </c>
      <c r="G780">
        <v>3</v>
      </c>
      <c r="H780" s="13" t="str" cm="1">
        <f t="array" ref="H780">_xlfn.IFS(B780&lt;20,"Low",B780&lt;=40,"Moderate",B780&lt;=60,"High",TRUE,"Very High")</f>
        <v>High</v>
      </c>
    </row>
    <row r="781" spans="1:8" ht="17" x14ac:dyDescent="0.2">
      <c r="A781">
        <v>780</v>
      </c>
      <c r="B781" cm="1">
        <f t="array" ref="B781:G781">_xlfn.XLOOKUP($A781,Instagram_Usage_Lifestyle_Mini_!$A:$A,Instagram_Usage_Lifestyle_Mini_!$W:$AB,"Not Found")</f>
        <v>43.9</v>
      </c>
      <c r="C781">
        <v>3</v>
      </c>
      <c r="D781">
        <v>4</v>
      </c>
      <c r="E781">
        <v>8</v>
      </c>
      <c r="F781">
        <v>0.6</v>
      </c>
      <c r="G781">
        <v>6</v>
      </c>
      <c r="H781" s="13" t="str" cm="1">
        <f t="array" ref="H781">_xlfn.IFS(B781&lt;20,"Low",B781&lt;=40,"Moderate",B781&lt;=60,"High",TRUE,"Very High")</f>
        <v>High</v>
      </c>
    </row>
    <row r="782" spans="1:8" ht="17" x14ac:dyDescent="0.2">
      <c r="A782">
        <v>781</v>
      </c>
      <c r="B782" cm="1">
        <f t="array" ref="B782:G782">_xlfn.XLOOKUP($A782,Instagram_Usage_Lifestyle_Mini_!$A:$A,Instagram_Usage_Lifestyle_Mini_!$W:$AB,"Not Found")</f>
        <v>48.2</v>
      </c>
      <c r="C782">
        <v>1</v>
      </c>
      <c r="D782">
        <v>3</v>
      </c>
      <c r="E782">
        <v>9</v>
      </c>
      <c r="F782">
        <v>1.7</v>
      </c>
      <c r="G782">
        <v>4</v>
      </c>
      <c r="H782" s="13" t="str" cm="1">
        <f t="array" ref="H782">_xlfn.IFS(B782&lt;20,"Low",B782&lt;=40,"Moderate",B782&lt;=60,"High",TRUE,"Very High")</f>
        <v>High</v>
      </c>
    </row>
    <row r="783" spans="1:8" ht="17" x14ac:dyDescent="0.2">
      <c r="A783">
        <v>782</v>
      </c>
      <c r="B783" cm="1">
        <f t="array" ref="B783:G783">_xlfn.XLOOKUP($A783,Instagram_Usage_Lifestyle_Mini_!$A:$A,Instagram_Usage_Lifestyle_Mini_!$W:$AB,"Not Found")</f>
        <v>45.5</v>
      </c>
      <c r="C783">
        <v>6</v>
      </c>
      <c r="D783">
        <v>7</v>
      </c>
      <c r="E783">
        <v>15</v>
      </c>
      <c r="F783">
        <v>7.1</v>
      </c>
      <c r="G783">
        <v>3</v>
      </c>
      <c r="H783" s="13" t="str" cm="1">
        <f t="array" ref="H783">_xlfn.IFS(B783&lt;20,"Low",B783&lt;=40,"Moderate",B783&lt;=60,"High",TRUE,"Very High")</f>
        <v>High</v>
      </c>
    </row>
    <row r="784" spans="1:8" ht="17" x14ac:dyDescent="0.2">
      <c r="A784">
        <v>783</v>
      </c>
      <c r="B784" cm="1">
        <f t="array" ref="B784:G784">_xlfn.XLOOKUP($A784,Instagram_Usage_Lifestyle_Mini_!$A:$A,Instagram_Usage_Lifestyle_Mini_!$W:$AB,"Not Found")</f>
        <v>45.3</v>
      </c>
      <c r="C784">
        <v>0</v>
      </c>
      <c r="D784">
        <v>4</v>
      </c>
      <c r="E784">
        <v>11</v>
      </c>
      <c r="F784">
        <v>1.1000000000000001</v>
      </c>
      <c r="G784">
        <v>0</v>
      </c>
      <c r="H784" s="13" t="str" cm="1">
        <f t="array" ref="H784">_xlfn.IFS(B784&lt;20,"Low",B784&lt;=40,"Moderate",B784&lt;=60,"High",TRUE,"Very High")</f>
        <v>High</v>
      </c>
    </row>
    <row r="785" spans="1:8" ht="17" x14ac:dyDescent="0.2">
      <c r="A785">
        <v>784</v>
      </c>
      <c r="B785" cm="1">
        <f t="array" ref="B785:G785">_xlfn.XLOOKUP($A785,Instagram_Usage_Lifestyle_Mini_!$A:$A,Instagram_Usage_Lifestyle_Mini_!$W:$AB,"Not Found")</f>
        <v>34.200000000000003</v>
      </c>
      <c r="C785">
        <v>2</v>
      </c>
      <c r="D785">
        <v>6</v>
      </c>
      <c r="E785">
        <v>8</v>
      </c>
      <c r="F785">
        <v>5.2</v>
      </c>
      <c r="G785">
        <v>1</v>
      </c>
      <c r="H785" s="13" t="str" cm="1">
        <f t="array" ref="H785">_xlfn.IFS(B785&lt;20,"Low",B785&lt;=40,"Moderate",B785&lt;=60,"High",TRUE,"Very High")</f>
        <v>Moderate</v>
      </c>
    </row>
    <row r="786" spans="1:8" ht="17" x14ac:dyDescent="0.2">
      <c r="A786">
        <v>785</v>
      </c>
      <c r="B786" cm="1">
        <f t="array" ref="B786:G786">_xlfn.XLOOKUP($A786,Instagram_Usage_Lifestyle_Mini_!$A:$A,Instagram_Usage_Lifestyle_Mini_!$W:$AB,"Not Found")</f>
        <v>28.7</v>
      </c>
      <c r="C786">
        <v>1</v>
      </c>
      <c r="D786">
        <v>4</v>
      </c>
      <c r="E786">
        <v>12</v>
      </c>
      <c r="F786">
        <v>2.5</v>
      </c>
      <c r="G786">
        <v>2</v>
      </c>
      <c r="H786" s="13" t="str" cm="1">
        <f t="array" ref="H786">_xlfn.IFS(B786&lt;20,"Low",B786&lt;=40,"Moderate",B786&lt;=60,"High",TRUE,"Very High")</f>
        <v>Moderate</v>
      </c>
    </row>
    <row r="787" spans="1:8" ht="17" x14ac:dyDescent="0.2">
      <c r="A787">
        <v>786</v>
      </c>
      <c r="B787" cm="1">
        <f t="array" ref="B787:G787">_xlfn.XLOOKUP($A787,Instagram_Usage_Lifestyle_Mini_!$A:$A,Instagram_Usage_Lifestyle_Mini_!$W:$AB,"Not Found")</f>
        <v>32.1</v>
      </c>
      <c r="C787">
        <v>2</v>
      </c>
      <c r="D787">
        <v>3</v>
      </c>
      <c r="E787">
        <v>10</v>
      </c>
      <c r="F787">
        <v>3.9</v>
      </c>
      <c r="G787">
        <v>1</v>
      </c>
      <c r="H787" s="13" t="str" cm="1">
        <f t="array" ref="H787">_xlfn.IFS(B787&lt;20,"Low",B787&lt;=40,"Moderate",B787&lt;=60,"High",TRUE,"Very High")</f>
        <v>Moderate</v>
      </c>
    </row>
    <row r="788" spans="1:8" ht="17" x14ac:dyDescent="0.2">
      <c r="A788">
        <v>787</v>
      </c>
      <c r="B788" cm="1">
        <f t="array" ref="B788:G788">_xlfn.XLOOKUP($A788,Instagram_Usage_Lifestyle_Mini_!$A:$A,Instagram_Usage_Lifestyle_Mini_!$W:$AB,"Not Found")</f>
        <v>49.8</v>
      </c>
      <c r="C788">
        <v>1</v>
      </c>
      <c r="D788">
        <v>6</v>
      </c>
      <c r="E788">
        <v>13</v>
      </c>
      <c r="F788">
        <v>5.6</v>
      </c>
      <c r="G788">
        <v>6</v>
      </c>
      <c r="H788" s="13" t="str" cm="1">
        <f t="array" ref="H788">_xlfn.IFS(B788&lt;20,"Low",B788&lt;=40,"Moderate",B788&lt;=60,"High",TRUE,"Very High")</f>
        <v>High</v>
      </c>
    </row>
    <row r="789" spans="1:8" ht="17" x14ac:dyDescent="0.2">
      <c r="A789">
        <v>788</v>
      </c>
      <c r="B789" cm="1">
        <f t="array" ref="B789:G789">_xlfn.XLOOKUP($A789,Instagram_Usage_Lifestyle_Mini_!$A:$A,Instagram_Usage_Lifestyle_Mini_!$W:$AB,"Not Found")</f>
        <v>42.1</v>
      </c>
      <c r="C789">
        <v>7</v>
      </c>
      <c r="D789">
        <v>7</v>
      </c>
      <c r="E789">
        <v>15</v>
      </c>
      <c r="F789">
        <v>1.4</v>
      </c>
      <c r="G789">
        <v>3</v>
      </c>
      <c r="H789" s="13" t="str" cm="1">
        <f t="array" ref="H789">_xlfn.IFS(B789&lt;20,"Low",B789&lt;=40,"Moderate",B789&lt;=60,"High",TRUE,"Very High")</f>
        <v>High</v>
      </c>
    </row>
    <row r="790" spans="1:8" ht="17" x14ac:dyDescent="0.2">
      <c r="A790">
        <v>789</v>
      </c>
      <c r="B790" cm="1">
        <f t="array" ref="B790:G790">_xlfn.XLOOKUP($A790,Instagram_Usage_Lifestyle_Mini_!$A:$A,Instagram_Usage_Lifestyle_Mini_!$W:$AB,"Not Found")</f>
        <v>52.2</v>
      </c>
      <c r="C790">
        <v>4</v>
      </c>
      <c r="D790">
        <v>3</v>
      </c>
      <c r="E790">
        <v>16</v>
      </c>
      <c r="F790">
        <v>6.2</v>
      </c>
      <c r="G790">
        <v>7</v>
      </c>
      <c r="H790" s="13" t="str" cm="1">
        <f t="array" ref="H790">_xlfn.IFS(B790&lt;20,"Low",B790&lt;=40,"Moderate",B790&lt;=60,"High",TRUE,"Very High")</f>
        <v>High</v>
      </c>
    </row>
    <row r="791" spans="1:8" ht="17" x14ac:dyDescent="0.2">
      <c r="A791">
        <v>790</v>
      </c>
      <c r="B791" cm="1">
        <f t="array" ref="B791:G791">_xlfn.XLOOKUP($A791,Instagram_Usage_Lifestyle_Mini_!$A:$A,Instagram_Usage_Lifestyle_Mini_!$W:$AB,"Not Found")</f>
        <v>41.8</v>
      </c>
      <c r="C791">
        <v>1</v>
      </c>
      <c r="D791">
        <v>7</v>
      </c>
      <c r="E791">
        <v>10</v>
      </c>
      <c r="F791">
        <v>3.8</v>
      </c>
      <c r="G791">
        <v>4</v>
      </c>
      <c r="H791" s="13" t="str" cm="1">
        <f t="array" ref="H791">_xlfn.IFS(B791&lt;20,"Low",B791&lt;=40,"Moderate",B791&lt;=60,"High",TRUE,"Very High")</f>
        <v>High</v>
      </c>
    </row>
    <row r="792" spans="1:8" ht="17" x14ac:dyDescent="0.2">
      <c r="A792">
        <v>791</v>
      </c>
      <c r="B792" cm="1">
        <f t="array" ref="B792:G792">_xlfn.XLOOKUP($A792,Instagram_Usage_Lifestyle_Mini_!$A:$A,Instagram_Usage_Lifestyle_Mini_!$W:$AB,"Not Found")</f>
        <v>41.3</v>
      </c>
      <c r="C792">
        <v>3</v>
      </c>
      <c r="D792">
        <v>6</v>
      </c>
      <c r="E792">
        <v>6</v>
      </c>
      <c r="F792">
        <v>4.5</v>
      </c>
      <c r="G792">
        <v>1</v>
      </c>
      <c r="H792" s="13" t="str" cm="1">
        <f t="array" ref="H792">_xlfn.IFS(B792&lt;20,"Low",B792&lt;=40,"Moderate",B792&lt;=60,"High",TRUE,"Very High")</f>
        <v>High</v>
      </c>
    </row>
    <row r="793" spans="1:8" ht="17" x14ac:dyDescent="0.2">
      <c r="A793">
        <v>792</v>
      </c>
      <c r="B793" cm="1">
        <f t="array" ref="B793:G793">_xlfn.XLOOKUP($A793,Instagram_Usage_Lifestyle_Mini_!$A:$A,Instagram_Usage_Lifestyle_Mini_!$W:$AB,"Not Found")</f>
        <v>36.700000000000003</v>
      </c>
      <c r="C793">
        <v>6</v>
      </c>
      <c r="D793">
        <v>3</v>
      </c>
      <c r="E793">
        <v>11</v>
      </c>
      <c r="F793">
        <v>6</v>
      </c>
      <c r="G793">
        <v>3</v>
      </c>
      <c r="H793" s="13" t="str" cm="1">
        <f t="array" ref="H793">_xlfn.IFS(B793&lt;20,"Low",B793&lt;=40,"Moderate",B793&lt;=60,"High",TRUE,"Very High")</f>
        <v>Moderate</v>
      </c>
    </row>
    <row r="794" spans="1:8" ht="17" x14ac:dyDescent="0.2">
      <c r="A794">
        <v>793</v>
      </c>
      <c r="B794" cm="1">
        <f t="array" ref="B794:G794">_xlfn.XLOOKUP($A794,Instagram_Usage_Lifestyle_Mini_!$A:$A,Instagram_Usage_Lifestyle_Mini_!$W:$AB,"Not Found")</f>
        <v>22.5</v>
      </c>
      <c r="C794">
        <v>2</v>
      </c>
      <c r="D794">
        <v>7</v>
      </c>
      <c r="E794">
        <v>12</v>
      </c>
      <c r="F794">
        <v>4.7</v>
      </c>
      <c r="G794">
        <v>5</v>
      </c>
      <c r="H794" s="13" t="str" cm="1">
        <f t="array" ref="H794">_xlfn.IFS(B794&lt;20,"Low",B794&lt;=40,"Moderate",B794&lt;=60,"High",TRUE,"Very High")</f>
        <v>Moderate</v>
      </c>
    </row>
    <row r="795" spans="1:8" ht="17" x14ac:dyDescent="0.2">
      <c r="A795">
        <v>794</v>
      </c>
      <c r="B795" cm="1">
        <f t="array" ref="B795:G795">_xlfn.XLOOKUP($A795,Instagram_Usage_Lifestyle_Mini_!$A:$A,Instagram_Usage_Lifestyle_Mini_!$W:$AB,"Not Found")</f>
        <v>29.9</v>
      </c>
      <c r="C795">
        <v>5</v>
      </c>
      <c r="D795">
        <v>5</v>
      </c>
      <c r="E795">
        <v>18</v>
      </c>
      <c r="F795">
        <v>8.4</v>
      </c>
      <c r="G795">
        <v>3</v>
      </c>
      <c r="H795" s="13" t="str" cm="1">
        <f t="array" ref="H795">_xlfn.IFS(B795&lt;20,"Low",B795&lt;=40,"Moderate",B795&lt;=60,"High",TRUE,"Very High")</f>
        <v>Moderate</v>
      </c>
    </row>
    <row r="796" spans="1:8" ht="17" x14ac:dyDescent="0.2">
      <c r="A796">
        <v>795</v>
      </c>
      <c r="B796" cm="1">
        <f t="array" ref="B796:G796">_xlfn.XLOOKUP($A796,Instagram_Usage_Lifestyle_Mini_!$A:$A,Instagram_Usage_Lifestyle_Mini_!$W:$AB,"Not Found")</f>
        <v>34.6</v>
      </c>
      <c r="C796">
        <v>6</v>
      </c>
      <c r="D796">
        <v>8</v>
      </c>
      <c r="E796">
        <v>10</v>
      </c>
      <c r="F796">
        <v>1.6</v>
      </c>
      <c r="G796">
        <v>3</v>
      </c>
      <c r="H796" s="13" t="str" cm="1">
        <f t="array" ref="H796">_xlfn.IFS(B796&lt;20,"Low",B796&lt;=40,"Moderate",B796&lt;=60,"High",TRUE,"Very High")</f>
        <v>Moderate</v>
      </c>
    </row>
    <row r="797" spans="1:8" ht="17" x14ac:dyDescent="0.2">
      <c r="A797">
        <v>796</v>
      </c>
      <c r="B797" cm="1">
        <f t="array" ref="B797:G797">_xlfn.XLOOKUP($A797,Instagram_Usage_Lifestyle_Mini_!$A:$A,Instagram_Usage_Lifestyle_Mini_!$W:$AB,"Not Found")</f>
        <v>32.1</v>
      </c>
      <c r="C797">
        <v>3</v>
      </c>
      <c r="D797">
        <v>2</v>
      </c>
      <c r="E797">
        <v>12</v>
      </c>
      <c r="F797">
        <v>2.2999999999999998</v>
      </c>
      <c r="G797">
        <v>2</v>
      </c>
      <c r="H797" s="13" t="str" cm="1">
        <f t="array" ref="H797">_xlfn.IFS(B797&lt;20,"Low",B797&lt;=40,"Moderate",B797&lt;=60,"High",TRUE,"Very High")</f>
        <v>Moderate</v>
      </c>
    </row>
    <row r="798" spans="1:8" ht="17" x14ac:dyDescent="0.2">
      <c r="A798">
        <v>797</v>
      </c>
      <c r="B798" cm="1">
        <f t="array" ref="B798:G798">_xlfn.XLOOKUP($A798,Instagram_Usage_Lifestyle_Mini_!$A:$A,Instagram_Usage_Lifestyle_Mini_!$W:$AB,"Not Found")</f>
        <v>52.9</v>
      </c>
      <c r="C798">
        <v>7</v>
      </c>
      <c r="D798">
        <v>3</v>
      </c>
      <c r="E798">
        <v>11</v>
      </c>
      <c r="F798">
        <v>3.9</v>
      </c>
      <c r="G798">
        <v>7</v>
      </c>
      <c r="H798" s="13" t="str" cm="1">
        <f t="array" ref="H798">_xlfn.IFS(B798&lt;20,"Low",B798&lt;=40,"Moderate",B798&lt;=60,"High",TRUE,"Very High")</f>
        <v>High</v>
      </c>
    </row>
    <row r="799" spans="1:8" ht="17" x14ac:dyDescent="0.2">
      <c r="A799">
        <v>798</v>
      </c>
      <c r="B799" cm="1">
        <f t="array" ref="B799:G799">_xlfn.XLOOKUP($A799,Instagram_Usage_Lifestyle_Mini_!$A:$A,Instagram_Usage_Lifestyle_Mini_!$W:$AB,"Not Found")</f>
        <v>38.1</v>
      </c>
      <c r="C799">
        <v>4</v>
      </c>
      <c r="D799">
        <v>3</v>
      </c>
      <c r="E799">
        <v>12</v>
      </c>
      <c r="F799">
        <v>0.8</v>
      </c>
      <c r="G799">
        <v>1</v>
      </c>
      <c r="H799" s="13" t="str" cm="1">
        <f t="array" ref="H799">_xlfn.IFS(B799&lt;20,"Low",B799&lt;=40,"Moderate",B799&lt;=60,"High",TRUE,"Very High")</f>
        <v>Moderate</v>
      </c>
    </row>
    <row r="800" spans="1:8" ht="17" x14ac:dyDescent="0.2">
      <c r="A800">
        <v>799</v>
      </c>
      <c r="B800" cm="1">
        <f t="array" ref="B800:G800">_xlfn.XLOOKUP($A800,Instagram_Usage_Lifestyle_Mini_!$A:$A,Instagram_Usage_Lifestyle_Mini_!$W:$AB,"Not Found")</f>
        <v>52</v>
      </c>
      <c r="C800">
        <v>3</v>
      </c>
      <c r="D800">
        <v>0</v>
      </c>
      <c r="E800">
        <v>7</v>
      </c>
      <c r="F800">
        <v>4</v>
      </c>
      <c r="G800">
        <v>1</v>
      </c>
      <c r="H800" s="13" t="str" cm="1">
        <f t="array" ref="H800">_xlfn.IFS(B800&lt;20,"Low",B800&lt;=40,"Moderate",B800&lt;=60,"High",TRUE,"Very High")</f>
        <v>High</v>
      </c>
    </row>
    <row r="801" spans="1:8" ht="17" x14ac:dyDescent="0.2">
      <c r="A801">
        <v>800</v>
      </c>
      <c r="B801" cm="1">
        <f t="array" ref="B801:G801">_xlfn.XLOOKUP($A801,Instagram_Usage_Lifestyle_Mini_!$A:$A,Instagram_Usage_Lifestyle_Mini_!$W:$AB,"Not Found")</f>
        <v>37.6</v>
      </c>
      <c r="C801">
        <v>1</v>
      </c>
      <c r="D801">
        <v>3</v>
      </c>
      <c r="E801">
        <v>10</v>
      </c>
      <c r="F801">
        <v>2.4</v>
      </c>
      <c r="G801">
        <v>2</v>
      </c>
      <c r="H801" s="13" t="str" cm="1">
        <f t="array" ref="H801">_xlfn.IFS(B801&lt;20,"Low",B801&lt;=40,"Moderate",B801&lt;=60,"High",TRUE,"Very High")</f>
        <v>Moderate</v>
      </c>
    </row>
    <row r="802" spans="1:8" ht="17" x14ac:dyDescent="0.2">
      <c r="A802">
        <v>801</v>
      </c>
      <c r="B802" cm="1">
        <f t="array" ref="B802:G802">_xlfn.XLOOKUP($A802,Instagram_Usage_Lifestyle_Mini_!$A:$A,Instagram_Usage_Lifestyle_Mini_!$W:$AB,"Not Found")</f>
        <v>51.6</v>
      </c>
      <c r="C802">
        <v>4</v>
      </c>
      <c r="D802">
        <v>6</v>
      </c>
      <c r="E802">
        <v>4</v>
      </c>
      <c r="F802">
        <v>2.1</v>
      </c>
      <c r="G802">
        <v>4</v>
      </c>
      <c r="H802" s="13" t="str" cm="1">
        <f t="array" ref="H802">_xlfn.IFS(B802&lt;20,"Low",B802&lt;=40,"Moderate",B802&lt;=60,"High",TRUE,"Very High")</f>
        <v>High</v>
      </c>
    </row>
    <row r="803" spans="1:8" ht="17" x14ac:dyDescent="0.2">
      <c r="A803">
        <v>802</v>
      </c>
      <c r="B803" cm="1">
        <f t="array" ref="B803:G803">_xlfn.XLOOKUP($A803,Instagram_Usage_Lifestyle_Mini_!$A:$A,Instagram_Usage_Lifestyle_Mini_!$W:$AB,"Not Found")</f>
        <v>37.799999999999997</v>
      </c>
      <c r="C803">
        <v>3</v>
      </c>
      <c r="D803">
        <v>4</v>
      </c>
      <c r="E803">
        <v>10</v>
      </c>
      <c r="F803">
        <v>2.4</v>
      </c>
      <c r="G803">
        <v>0</v>
      </c>
      <c r="H803" s="13" t="str" cm="1">
        <f t="array" ref="H803">_xlfn.IFS(B803&lt;20,"Low",B803&lt;=40,"Moderate",B803&lt;=60,"High",TRUE,"Very High")</f>
        <v>Moderate</v>
      </c>
    </row>
    <row r="804" spans="1:8" ht="17" x14ac:dyDescent="0.2">
      <c r="A804">
        <v>803</v>
      </c>
      <c r="B804" cm="1">
        <f t="array" ref="B804:G804">_xlfn.XLOOKUP($A804,Instagram_Usage_Lifestyle_Mini_!$A:$A,Instagram_Usage_Lifestyle_Mini_!$W:$AB,"Not Found")</f>
        <v>32.700000000000003</v>
      </c>
      <c r="C804">
        <v>9</v>
      </c>
      <c r="D804">
        <v>2</v>
      </c>
      <c r="E804">
        <v>8</v>
      </c>
      <c r="F804">
        <v>3.3</v>
      </c>
      <c r="G804">
        <v>2</v>
      </c>
      <c r="H804" s="13" t="str" cm="1">
        <f t="array" ref="H804">_xlfn.IFS(B804&lt;20,"Low",B804&lt;=40,"Moderate",B804&lt;=60,"High",TRUE,"Very High")</f>
        <v>Moderate</v>
      </c>
    </row>
    <row r="805" spans="1:8" ht="17" x14ac:dyDescent="0.2">
      <c r="A805">
        <v>804</v>
      </c>
      <c r="B805" cm="1">
        <f t="array" ref="B805:G805">_xlfn.XLOOKUP($A805,Instagram_Usage_Lifestyle_Mini_!$A:$A,Instagram_Usage_Lifestyle_Mini_!$W:$AB,"Not Found")</f>
        <v>38.9</v>
      </c>
      <c r="C805">
        <v>1</v>
      </c>
      <c r="D805">
        <v>2</v>
      </c>
      <c r="E805">
        <v>10</v>
      </c>
      <c r="F805">
        <v>1.9</v>
      </c>
      <c r="G805">
        <v>2</v>
      </c>
      <c r="H805" s="13" t="str" cm="1">
        <f t="array" ref="H805">_xlfn.IFS(B805&lt;20,"Low",B805&lt;=40,"Moderate",B805&lt;=60,"High",TRUE,"Very High")</f>
        <v>Moderate</v>
      </c>
    </row>
    <row r="806" spans="1:8" ht="17" x14ac:dyDescent="0.2">
      <c r="A806">
        <v>805</v>
      </c>
      <c r="B806" cm="1">
        <f t="array" ref="B806:G806">_xlfn.XLOOKUP($A806,Instagram_Usage_Lifestyle_Mini_!$A:$A,Instagram_Usage_Lifestyle_Mini_!$W:$AB,"Not Found")</f>
        <v>39.299999999999997</v>
      </c>
      <c r="C806">
        <v>3</v>
      </c>
      <c r="D806">
        <v>0</v>
      </c>
      <c r="E806">
        <v>11</v>
      </c>
      <c r="F806">
        <v>2.2999999999999998</v>
      </c>
      <c r="G806">
        <v>3</v>
      </c>
      <c r="H806" s="13" t="str" cm="1">
        <f t="array" ref="H806">_xlfn.IFS(B806&lt;20,"Low",B806&lt;=40,"Moderate",B806&lt;=60,"High",TRUE,"Very High")</f>
        <v>Moderate</v>
      </c>
    </row>
    <row r="807" spans="1:8" ht="17" x14ac:dyDescent="0.2">
      <c r="A807">
        <v>806</v>
      </c>
      <c r="B807" cm="1">
        <f t="array" ref="B807:G807">_xlfn.XLOOKUP($A807,Instagram_Usage_Lifestyle_Mini_!$A:$A,Instagram_Usage_Lifestyle_Mini_!$W:$AB,"Not Found")</f>
        <v>39.299999999999997</v>
      </c>
      <c r="C807">
        <v>3</v>
      </c>
      <c r="D807">
        <v>4</v>
      </c>
      <c r="E807">
        <v>12</v>
      </c>
      <c r="F807">
        <v>2.2000000000000002</v>
      </c>
      <c r="G807">
        <v>2</v>
      </c>
      <c r="H807" s="13" t="str" cm="1">
        <f t="array" ref="H807">_xlfn.IFS(B807&lt;20,"Low",B807&lt;=40,"Moderate",B807&lt;=60,"High",TRUE,"Very High")</f>
        <v>Moderate</v>
      </c>
    </row>
    <row r="808" spans="1:8" ht="17" x14ac:dyDescent="0.2">
      <c r="A808">
        <v>807</v>
      </c>
      <c r="B808" cm="1">
        <f t="array" ref="B808:G808">_xlfn.XLOOKUP($A808,Instagram_Usage_Lifestyle_Mini_!$A:$A,Instagram_Usage_Lifestyle_Mini_!$W:$AB,"Not Found")</f>
        <v>43.7</v>
      </c>
      <c r="C808">
        <v>3</v>
      </c>
      <c r="D808">
        <v>1</v>
      </c>
      <c r="E808">
        <v>8</v>
      </c>
      <c r="F808">
        <v>3.1</v>
      </c>
      <c r="G808">
        <v>6</v>
      </c>
      <c r="H808" s="13" t="str" cm="1">
        <f t="array" ref="H808">_xlfn.IFS(B808&lt;20,"Low",B808&lt;=40,"Moderate",B808&lt;=60,"High",TRUE,"Very High")</f>
        <v>High</v>
      </c>
    </row>
    <row r="809" spans="1:8" ht="17" x14ac:dyDescent="0.2">
      <c r="A809">
        <v>808</v>
      </c>
      <c r="B809" cm="1">
        <f t="array" ref="B809:G809">_xlfn.XLOOKUP($A809,Instagram_Usage_Lifestyle_Mini_!$A:$A,Instagram_Usage_Lifestyle_Mini_!$W:$AB,"Not Found")</f>
        <v>56</v>
      </c>
      <c r="C809">
        <v>3</v>
      </c>
      <c r="D809">
        <v>4</v>
      </c>
      <c r="E809">
        <v>10</v>
      </c>
      <c r="F809">
        <v>7.3</v>
      </c>
      <c r="G809">
        <v>1</v>
      </c>
      <c r="H809" s="13" t="str" cm="1">
        <f t="array" ref="H809">_xlfn.IFS(B809&lt;20,"Low",B809&lt;=40,"Moderate",B809&lt;=60,"High",TRUE,"Very High")</f>
        <v>High</v>
      </c>
    </row>
    <row r="810" spans="1:8" ht="17" x14ac:dyDescent="0.2">
      <c r="A810">
        <v>809</v>
      </c>
      <c r="B810" cm="1">
        <f t="array" ref="B810:G810">_xlfn.XLOOKUP($A810,Instagram_Usage_Lifestyle_Mini_!$A:$A,Instagram_Usage_Lifestyle_Mini_!$W:$AB,"Not Found")</f>
        <v>28.7</v>
      </c>
      <c r="C810">
        <v>1</v>
      </c>
      <c r="D810">
        <v>3</v>
      </c>
      <c r="E810">
        <v>12</v>
      </c>
      <c r="F810">
        <v>0.5</v>
      </c>
      <c r="G810">
        <v>0</v>
      </c>
      <c r="H810" s="13" t="str" cm="1">
        <f t="array" ref="H810">_xlfn.IFS(B810&lt;20,"Low",B810&lt;=40,"Moderate",B810&lt;=60,"High",TRUE,"Very High")</f>
        <v>Moderate</v>
      </c>
    </row>
    <row r="811" spans="1:8" ht="17" x14ac:dyDescent="0.2">
      <c r="A811">
        <v>810</v>
      </c>
      <c r="B811" cm="1">
        <f t="array" ref="B811:G811">_xlfn.XLOOKUP($A811,Instagram_Usage_Lifestyle_Mini_!$A:$A,Instagram_Usage_Lifestyle_Mini_!$W:$AB,"Not Found")</f>
        <v>36.299999999999997</v>
      </c>
      <c r="C811">
        <v>7</v>
      </c>
      <c r="D811">
        <v>5</v>
      </c>
      <c r="E811">
        <v>5</v>
      </c>
      <c r="F811">
        <v>3.2</v>
      </c>
      <c r="G811">
        <v>2</v>
      </c>
      <c r="H811" s="13" t="str" cm="1">
        <f t="array" ref="H811">_xlfn.IFS(B811&lt;20,"Low",B811&lt;=40,"Moderate",B811&lt;=60,"High",TRUE,"Very High")</f>
        <v>Moderate</v>
      </c>
    </row>
    <row r="812" spans="1:8" ht="17" x14ac:dyDescent="0.2">
      <c r="A812">
        <v>811</v>
      </c>
      <c r="B812" cm="1">
        <f t="array" ref="B812:G812">_xlfn.XLOOKUP($A812,Instagram_Usage_Lifestyle_Mini_!$A:$A,Instagram_Usage_Lifestyle_Mini_!$W:$AB,"Not Found")</f>
        <v>19.600000000000001</v>
      </c>
      <c r="C812">
        <v>2</v>
      </c>
      <c r="D812">
        <v>3</v>
      </c>
      <c r="E812">
        <v>12</v>
      </c>
      <c r="F812">
        <v>1.6</v>
      </c>
      <c r="G812">
        <v>3</v>
      </c>
      <c r="H812" s="13" t="str" cm="1">
        <f t="array" ref="H812">_xlfn.IFS(B812&lt;20,"Low",B812&lt;=40,"Moderate",B812&lt;=60,"High",TRUE,"Very High")</f>
        <v>Low</v>
      </c>
    </row>
    <row r="813" spans="1:8" ht="17" x14ac:dyDescent="0.2">
      <c r="A813">
        <v>812</v>
      </c>
      <c r="B813" cm="1">
        <f t="array" ref="B813:G813">_xlfn.XLOOKUP($A813,Instagram_Usage_Lifestyle_Mini_!$A:$A,Instagram_Usage_Lifestyle_Mini_!$W:$AB,"Not Found")</f>
        <v>19.8</v>
      </c>
      <c r="C813">
        <v>4</v>
      </c>
      <c r="D813">
        <v>6</v>
      </c>
      <c r="E813">
        <v>12</v>
      </c>
      <c r="F813">
        <v>1.9</v>
      </c>
      <c r="G813">
        <v>4</v>
      </c>
      <c r="H813" s="13" t="str" cm="1">
        <f t="array" ref="H813">_xlfn.IFS(B813&lt;20,"Low",B813&lt;=40,"Moderate",B813&lt;=60,"High",TRUE,"Very High")</f>
        <v>Low</v>
      </c>
    </row>
    <row r="814" spans="1:8" ht="17" x14ac:dyDescent="0.2">
      <c r="A814">
        <v>813</v>
      </c>
      <c r="B814" cm="1">
        <f t="array" ref="B814:G814">_xlfn.XLOOKUP($A814,Instagram_Usage_Lifestyle_Mini_!$A:$A,Instagram_Usage_Lifestyle_Mini_!$W:$AB,"Not Found")</f>
        <v>50.6</v>
      </c>
      <c r="C814">
        <v>7</v>
      </c>
      <c r="D814">
        <v>3</v>
      </c>
      <c r="E814">
        <v>7</v>
      </c>
      <c r="F814">
        <v>0.9</v>
      </c>
      <c r="G814">
        <v>4</v>
      </c>
      <c r="H814" s="13" t="str" cm="1">
        <f t="array" ref="H814">_xlfn.IFS(B814&lt;20,"Low",B814&lt;=40,"Moderate",B814&lt;=60,"High",TRUE,"Very High")</f>
        <v>High</v>
      </c>
    </row>
    <row r="815" spans="1:8" ht="17" x14ac:dyDescent="0.2">
      <c r="A815">
        <v>814</v>
      </c>
      <c r="B815" cm="1">
        <f t="array" ref="B815:G815">_xlfn.XLOOKUP($A815,Instagram_Usage_Lifestyle_Mini_!$A:$A,Instagram_Usage_Lifestyle_Mini_!$W:$AB,"Not Found")</f>
        <v>33.4</v>
      </c>
      <c r="C815">
        <v>2</v>
      </c>
      <c r="D815">
        <v>3</v>
      </c>
      <c r="E815">
        <v>10</v>
      </c>
      <c r="F815">
        <v>0.3</v>
      </c>
      <c r="G815">
        <v>3</v>
      </c>
      <c r="H815" s="13" t="str" cm="1">
        <f t="array" ref="H815">_xlfn.IFS(B815&lt;20,"Low",B815&lt;=40,"Moderate",B815&lt;=60,"High",TRUE,"Very High")</f>
        <v>Moderate</v>
      </c>
    </row>
    <row r="816" spans="1:8" ht="17" x14ac:dyDescent="0.2">
      <c r="A816">
        <v>815</v>
      </c>
      <c r="B816" cm="1">
        <f t="array" ref="B816:G816">_xlfn.XLOOKUP($A816,Instagram_Usage_Lifestyle_Mini_!$A:$A,Instagram_Usage_Lifestyle_Mini_!$W:$AB,"Not Found")</f>
        <v>42.1</v>
      </c>
      <c r="C816">
        <v>3</v>
      </c>
      <c r="D816">
        <v>4</v>
      </c>
      <c r="E816">
        <v>10</v>
      </c>
      <c r="F816">
        <v>5.3</v>
      </c>
      <c r="G816">
        <v>6</v>
      </c>
      <c r="H816" s="13" t="str" cm="1">
        <f t="array" ref="H816">_xlfn.IFS(B816&lt;20,"Low",B816&lt;=40,"Moderate",B816&lt;=60,"High",TRUE,"Very High")</f>
        <v>High</v>
      </c>
    </row>
    <row r="817" spans="1:8" ht="17" x14ac:dyDescent="0.2">
      <c r="A817">
        <v>816</v>
      </c>
      <c r="B817" cm="1">
        <f t="array" ref="B817:G817">_xlfn.XLOOKUP($A817,Instagram_Usage_Lifestyle_Mini_!$A:$A,Instagram_Usage_Lifestyle_Mini_!$W:$AB,"Not Found")</f>
        <v>53.5</v>
      </c>
      <c r="C817">
        <v>3</v>
      </c>
      <c r="D817">
        <v>5</v>
      </c>
      <c r="E817">
        <v>11</v>
      </c>
      <c r="F817">
        <v>1</v>
      </c>
      <c r="G817">
        <v>2</v>
      </c>
      <c r="H817" s="13" t="str" cm="1">
        <f t="array" ref="H817">_xlfn.IFS(B817&lt;20,"Low",B817&lt;=40,"Moderate",B817&lt;=60,"High",TRUE,"Very High")</f>
        <v>High</v>
      </c>
    </row>
    <row r="818" spans="1:8" ht="17" x14ac:dyDescent="0.2">
      <c r="A818">
        <v>817</v>
      </c>
      <c r="B818" cm="1">
        <f t="array" ref="B818:G818">_xlfn.XLOOKUP($A818,Instagram_Usage_Lifestyle_Mini_!$A:$A,Instagram_Usage_Lifestyle_Mini_!$W:$AB,"Not Found")</f>
        <v>35.799999999999997</v>
      </c>
      <c r="C818">
        <v>3</v>
      </c>
      <c r="D818">
        <v>2</v>
      </c>
      <c r="E818">
        <v>12</v>
      </c>
      <c r="F818">
        <v>2.4</v>
      </c>
      <c r="G818">
        <v>1</v>
      </c>
      <c r="H818" s="13" t="str" cm="1">
        <f t="array" ref="H818">_xlfn.IFS(B818&lt;20,"Low",B818&lt;=40,"Moderate",B818&lt;=60,"High",TRUE,"Very High")</f>
        <v>Moderate</v>
      </c>
    </row>
    <row r="819" spans="1:8" ht="17" x14ac:dyDescent="0.2">
      <c r="A819">
        <v>818</v>
      </c>
      <c r="B819" cm="1">
        <f t="array" ref="B819:G819">_xlfn.XLOOKUP($A819,Instagram_Usage_Lifestyle_Mini_!$A:$A,Instagram_Usage_Lifestyle_Mini_!$W:$AB,"Not Found")</f>
        <v>52.7</v>
      </c>
      <c r="C819">
        <v>6</v>
      </c>
      <c r="D819">
        <v>3</v>
      </c>
      <c r="E819">
        <v>14</v>
      </c>
      <c r="F819">
        <v>3.3</v>
      </c>
      <c r="G819">
        <v>3</v>
      </c>
      <c r="H819" s="13" t="str" cm="1">
        <f t="array" ref="H819">_xlfn.IFS(B819&lt;20,"Low",B819&lt;=40,"Moderate",B819&lt;=60,"High",TRUE,"Very High")</f>
        <v>High</v>
      </c>
    </row>
    <row r="820" spans="1:8" ht="17" x14ac:dyDescent="0.2">
      <c r="A820">
        <v>819</v>
      </c>
      <c r="B820" cm="1">
        <f t="array" ref="B820:G820">_xlfn.XLOOKUP($A820,Instagram_Usage_Lifestyle_Mini_!$A:$A,Instagram_Usage_Lifestyle_Mini_!$W:$AB,"Not Found")</f>
        <v>49.9</v>
      </c>
      <c r="C820">
        <v>2</v>
      </c>
      <c r="D820">
        <v>3</v>
      </c>
      <c r="E820">
        <v>12</v>
      </c>
      <c r="F820">
        <v>7.8</v>
      </c>
      <c r="G820">
        <v>3</v>
      </c>
      <c r="H820" s="13" t="str" cm="1">
        <f t="array" ref="H820">_xlfn.IFS(B820&lt;20,"Low",B820&lt;=40,"Moderate",B820&lt;=60,"High",TRUE,"Very High")</f>
        <v>High</v>
      </c>
    </row>
    <row r="821" spans="1:8" ht="17" x14ac:dyDescent="0.2">
      <c r="A821">
        <v>820</v>
      </c>
      <c r="B821" cm="1">
        <f t="array" ref="B821:G821">_xlfn.XLOOKUP($A821,Instagram_Usage_Lifestyle_Mini_!$A:$A,Instagram_Usage_Lifestyle_Mini_!$W:$AB,"Not Found")</f>
        <v>27.4</v>
      </c>
      <c r="C821">
        <v>2</v>
      </c>
      <c r="D821">
        <v>2</v>
      </c>
      <c r="E821">
        <v>7</v>
      </c>
      <c r="F821">
        <v>2.9</v>
      </c>
      <c r="G821">
        <v>1</v>
      </c>
      <c r="H821" s="13" t="str" cm="1">
        <f t="array" ref="H821">_xlfn.IFS(B821&lt;20,"Low",B821&lt;=40,"Moderate",B821&lt;=60,"High",TRUE,"Very High")</f>
        <v>Moderate</v>
      </c>
    </row>
    <row r="822" spans="1:8" ht="17" x14ac:dyDescent="0.2">
      <c r="A822">
        <v>821</v>
      </c>
      <c r="B822" cm="1">
        <f t="array" ref="B822:G822">_xlfn.XLOOKUP($A822,Instagram_Usage_Lifestyle_Mini_!$A:$A,Instagram_Usage_Lifestyle_Mini_!$W:$AB,"Not Found")</f>
        <v>45.5</v>
      </c>
      <c r="C822">
        <v>0</v>
      </c>
      <c r="D822">
        <v>5</v>
      </c>
      <c r="E822">
        <v>16</v>
      </c>
      <c r="F822">
        <v>2.4</v>
      </c>
      <c r="G822">
        <v>3</v>
      </c>
      <c r="H822" s="13" t="str" cm="1">
        <f t="array" ref="H822">_xlfn.IFS(B822&lt;20,"Low",B822&lt;=40,"Moderate",B822&lt;=60,"High",TRUE,"Very High")</f>
        <v>High</v>
      </c>
    </row>
    <row r="823" spans="1:8" ht="17" x14ac:dyDescent="0.2">
      <c r="A823">
        <v>822</v>
      </c>
      <c r="B823" cm="1">
        <f t="array" ref="B823:G823">_xlfn.XLOOKUP($A823,Instagram_Usage_Lifestyle_Mini_!$A:$A,Instagram_Usage_Lifestyle_Mini_!$W:$AB,"Not Found")</f>
        <v>39.200000000000003</v>
      </c>
      <c r="C823">
        <v>1</v>
      </c>
      <c r="D823">
        <v>5</v>
      </c>
      <c r="E823">
        <v>12</v>
      </c>
      <c r="F823">
        <v>1.1000000000000001</v>
      </c>
      <c r="G823">
        <v>3</v>
      </c>
      <c r="H823" s="13" t="str" cm="1">
        <f t="array" ref="H823">_xlfn.IFS(B823&lt;20,"Low",B823&lt;=40,"Moderate",B823&lt;=60,"High",TRUE,"Very High")</f>
        <v>Moderate</v>
      </c>
    </row>
    <row r="824" spans="1:8" ht="17" x14ac:dyDescent="0.2">
      <c r="A824">
        <v>823</v>
      </c>
      <c r="B824" cm="1">
        <f t="array" ref="B824:G824">_xlfn.XLOOKUP($A824,Instagram_Usage_Lifestyle_Mini_!$A:$A,Instagram_Usage_Lifestyle_Mini_!$W:$AB,"Not Found")</f>
        <v>40.200000000000003</v>
      </c>
      <c r="C824">
        <v>2</v>
      </c>
      <c r="D824">
        <v>6</v>
      </c>
      <c r="E824">
        <v>10</v>
      </c>
      <c r="F824">
        <v>3.2</v>
      </c>
      <c r="G824">
        <v>3</v>
      </c>
      <c r="H824" s="13" t="str" cm="1">
        <f t="array" ref="H824">_xlfn.IFS(B824&lt;20,"Low",B824&lt;=40,"Moderate",B824&lt;=60,"High",TRUE,"Very High")</f>
        <v>High</v>
      </c>
    </row>
    <row r="825" spans="1:8" ht="17" x14ac:dyDescent="0.2">
      <c r="A825">
        <v>824</v>
      </c>
      <c r="B825" cm="1">
        <f t="array" ref="B825:G825">_xlfn.XLOOKUP($A825,Instagram_Usage_Lifestyle_Mini_!$A:$A,Instagram_Usage_Lifestyle_Mini_!$W:$AB,"Not Found")</f>
        <v>44.1</v>
      </c>
      <c r="C825">
        <v>2</v>
      </c>
      <c r="D825">
        <v>4</v>
      </c>
      <c r="E825">
        <v>10</v>
      </c>
      <c r="F825">
        <v>2.6</v>
      </c>
      <c r="G825">
        <v>4</v>
      </c>
      <c r="H825" s="13" t="str" cm="1">
        <f t="array" ref="H825">_xlfn.IFS(B825&lt;20,"Low",B825&lt;=40,"Moderate",B825&lt;=60,"High",TRUE,"Very High")</f>
        <v>High</v>
      </c>
    </row>
    <row r="826" spans="1:8" ht="17" x14ac:dyDescent="0.2">
      <c r="A826">
        <v>825</v>
      </c>
      <c r="B826" cm="1">
        <f t="array" ref="B826:G826">_xlfn.XLOOKUP($A826,Instagram_Usage_Lifestyle_Mini_!$A:$A,Instagram_Usage_Lifestyle_Mini_!$W:$AB,"Not Found")</f>
        <v>56</v>
      </c>
      <c r="C826">
        <v>0</v>
      </c>
      <c r="D826">
        <v>1</v>
      </c>
      <c r="E826">
        <v>10</v>
      </c>
      <c r="F826">
        <v>6</v>
      </c>
      <c r="G826">
        <v>3</v>
      </c>
      <c r="H826" s="13" t="str" cm="1">
        <f t="array" ref="H826">_xlfn.IFS(B826&lt;20,"Low",B826&lt;=40,"Moderate",B826&lt;=60,"High",TRUE,"Very High")</f>
        <v>High</v>
      </c>
    </row>
    <row r="827" spans="1:8" ht="17" x14ac:dyDescent="0.2">
      <c r="A827">
        <v>826</v>
      </c>
      <c r="B827" cm="1">
        <f t="array" ref="B827:G827">_xlfn.XLOOKUP($A827,Instagram_Usage_Lifestyle_Mini_!$A:$A,Instagram_Usage_Lifestyle_Mini_!$W:$AB,"Not Found")</f>
        <v>34.700000000000003</v>
      </c>
      <c r="C827">
        <v>4</v>
      </c>
      <c r="D827">
        <v>3</v>
      </c>
      <c r="E827">
        <v>15</v>
      </c>
      <c r="F827">
        <v>2.7</v>
      </c>
      <c r="G827">
        <v>3</v>
      </c>
      <c r="H827" s="13" t="str" cm="1">
        <f t="array" ref="H827">_xlfn.IFS(B827&lt;20,"Low",B827&lt;=40,"Moderate",B827&lt;=60,"High",TRUE,"Very High")</f>
        <v>Moderate</v>
      </c>
    </row>
    <row r="828" spans="1:8" ht="17" x14ac:dyDescent="0.2">
      <c r="A828">
        <v>827</v>
      </c>
      <c r="B828" cm="1">
        <f t="array" ref="B828:G828">_xlfn.XLOOKUP($A828,Instagram_Usage_Lifestyle_Mini_!$A:$A,Instagram_Usage_Lifestyle_Mini_!$W:$AB,"Not Found")</f>
        <v>44</v>
      </c>
      <c r="C828">
        <v>2</v>
      </c>
      <c r="D828">
        <v>4</v>
      </c>
      <c r="E828">
        <v>6</v>
      </c>
      <c r="F828">
        <v>4.2</v>
      </c>
      <c r="G828">
        <v>2</v>
      </c>
      <c r="H828" s="13" t="str" cm="1">
        <f t="array" ref="H828">_xlfn.IFS(B828&lt;20,"Low",B828&lt;=40,"Moderate",B828&lt;=60,"High",TRUE,"Very High")</f>
        <v>High</v>
      </c>
    </row>
    <row r="829" spans="1:8" ht="17" x14ac:dyDescent="0.2">
      <c r="A829">
        <v>828</v>
      </c>
      <c r="B829" cm="1">
        <f t="array" ref="B829:G829">_xlfn.XLOOKUP($A829,Instagram_Usage_Lifestyle_Mini_!$A:$A,Instagram_Usage_Lifestyle_Mini_!$W:$AB,"Not Found")</f>
        <v>40.4</v>
      </c>
      <c r="C829">
        <v>4</v>
      </c>
      <c r="D829">
        <v>9</v>
      </c>
      <c r="E829">
        <v>7</v>
      </c>
      <c r="F829">
        <v>3.1</v>
      </c>
      <c r="G829">
        <v>3</v>
      </c>
      <c r="H829" s="13" t="str" cm="1">
        <f t="array" ref="H829">_xlfn.IFS(B829&lt;20,"Low",B829&lt;=40,"Moderate",B829&lt;=60,"High",TRUE,"Very High")</f>
        <v>High</v>
      </c>
    </row>
    <row r="830" spans="1:8" ht="17" x14ac:dyDescent="0.2">
      <c r="A830">
        <v>829</v>
      </c>
      <c r="B830" cm="1">
        <f t="array" ref="B830:G830">_xlfn.XLOOKUP($A830,Instagram_Usage_Lifestyle_Mini_!$A:$A,Instagram_Usage_Lifestyle_Mini_!$W:$AB,"Not Found")</f>
        <v>43.7</v>
      </c>
      <c r="C830">
        <v>3</v>
      </c>
      <c r="D830">
        <v>7</v>
      </c>
      <c r="E830">
        <v>12</v>
      </c>
      <c r="F830">
        <v>6.1</v>
      </c>
      <c r="G830">
        <v>0</v>
      </c>
      <c r="H830" s="13" t="str" cm="1">
        <f t="array" ref="H830">_xlfn.IFS(B830&lt;20,"Low",B830&lt;=40,"Moderate",B830&lt;=60,"High",TRUE,"Very High")</f>
        <v>High</v>
      </c>
    </row>
    <row r="831" spans="1:8" ht="17" x14ac:dyDescent="0.2">
      <c r="A831">
        <v>830</v>
      </c>
      <c r="B831" cm="1">
        <f t="array" ref="B831:G831">_xlfn.XLOOKUP($A831,Instagram_Usage_Lifestyle_Mini_!$A:$A,Instagram_Usage_Lifestyle_Mini_!$W:$AB,"Not Found")</f>
        <v>48.3</v>
      </c>
      <c r="C831">
        <v>7</v>
      </c>
      <c r="D831">
        <v>7</v>
      </c>
      <c r="E831">
        <v>17</v>
      </c>
      <c r="F831">
        <v>4.5</v>
      </c>
      <c r="G831">
        <v>2</v>
      </c>
      <c r="H831" s="13" t="str" cm="1">
        <f t="array" ref="H831">_xlfn.IFS(B831&lt;20,"Low",B831&lt;=40,"Moderate",B831&lt;=60,"High",TRUE,"Very High")</f>
        <v>High</v>
      </c>
    </row>
    <row r="832" spans="1:8" ht="17" x14ac:dyDescent="0.2">
      <c r="A832">
        <v>831</v>
      </c>
      <c r="B832" cm="1">
        <f t="array" ref="B832:G832">_xlfn.XLOOKUP($A832,Instagram_Usage_Lifestyle_Mini_!$A:$A,Instagram_Usage_Lifestyle_Mini_!$W:$AB,"Not Found")</f>
        <v>30</v>
      </c>
      <c r="C832">
        <v>3</v>
      </c>
      <c r="D832">
        <v>2</v>
      </c>
      <c r="E832">
        <v>8</v>
      </c>
      <c r="F832">
        <v>2.7</v>
      </c>
      <c r="G832">
        <v>1</v>
      </c>
      <c r="H832" s="13" t="str" cm="1">
        <f t="array" ref="H832">_xlfn.IFS(B832&lt;20,"Low",B832&lt;=40,"Moderate",B832&lt;=60,"High",TRUE,"Very High")</f>
        <v>Moderate</v>
      </c>
    </row>
    <row r="833" spans="1:8" ht="17" x14ac:dyDescent="0.2">
      <c r="A833">
        <v>832</v>
      </c>
      <c r="B833" cm="1">
        <f t="array" ref="B833:G833">_xlfn.XLOOKUP($A833,Instagram_Usage_Lifestyle_Mini_!$A:$A,Instagram_Usage_Lifestyle_Mini_!$W:$AB,"Not Found")</f>
        <v>39.5</v>
      </c>
      <c r="C833">
        <v>1</v>
      </c>
      <c r="D833">
        <v>4</v>
      </c>
      <c r="E833">
        <v>8</v>
      </c>
      <c r="F833">
        <v>1.9</v>
      </c>
      <c r="G833">
        <v>3</v>
      </c>
      <c r="H833" s="13" t="str" cm="1">
        <f t="array" ref="H833">_xlfn.IFS(B833&lt;20,"Low",B833&lt;=40,"Moderate",B833&lt;=60,"High",TRUE,"Very High")</f>
        <v>Moderate</v>
      </c>
    </row>
    <row r="834" spans="1:8" ht="17" x14ac:dyDescent="0.2">
      <c r="A834">
        <v>833</v>
      </c>
      <c r="B834" cm="1">
        <f t="array" ref="B834:G834">_xlfn.XLOOKUP($A834,Instagram_Usage_Lifestyle_Mini_!$A:$A,Instagram_Usage_Lifestyle_Mini_!$W:$AB,"Not Found")</f>
        <v>43.6</v>
      </c>
      <c r="C834">
        <v>5</v>
      </c>
      <c r="D834">
        <v>3</v>
      </c>
      <c r="E834">
        <v>10</v>
      </c>
      <c r="F834">
        <v>2.9</v>
      </c>
      <c r="G834">
        <v>2</v>
      </c>
      <c r="H834" s="13" t="str" cm="1">
        <f t="array" ref="H834">_xlfn.IFS(B834&lt;20,"Low",B834&lt;=40,"Moderate",B834&lt;=60,"High",TRUE,"Very High")</f>
        <v>High</v>
      </c>
    </row>
    <row r="835" spans="1:8" ht="17" x14ac:dyDescent="0.2">
      <c r="A835">
        <v>834</v>
      </c>
      <c r="B835" cm="1">
        <f t="array" ref="B835:G835">_xlfn.XLOOKUP($A835,Instagram_Usage_Lifestyle_Mini_!$A:$A,Instagram_Usage_Lifestyle_Mini_!$W:$AB,"Not Found")</f>
        <v>38.5</v>
      </c>
      <c r="C835">
        <v>2</v>
      </c>
      <c r="D835">
        <v>10</v>
      </c>
      <c r="E835">
        <v>7</v>
      </c>
      <c r="F835">
        <v>2.2000000000000002</v>
      </c>
      <c r="G835">
        <v>2</v>
      </c>
      <c r="H835" s="13" t="str" cm="1">
        <f t="array" ref="H835">_xlfn.IFS(B835&lt;20,"Low",B835&lt;=40,"Moderate",B835&lt;=60,"High",TRUE,"Very High")</f>
        <v>Moderate</v>
      </c>
    </row>
    <row r="836" spans="1:8" ht="17" x14ac:dyDescent="0.2">
      <c r="A836">
        <v>835</v>
      </c>
      <c r="B836" cm="1">
        <f t="array" ref="B836:G836">_xlfn.XLOOKUP($A836,Instagram_Usage_Lifestyle_Mini_!$A:$A,Instagram_Usage_Lifestyle_Mini_!$W:$AB,"Not Found")</f>
        <v>59.7</v>
      </c>
      <c r="C836">
        <v>1</v>
      </c>
      <c r="D836">
        <v>3</v>
      </c>
      <c r="E836">
        <v>10</v>
      </c>
      <c r="F836">
        <v>5</v>
      </c>
      <c r="G836">
        <v>2</v>
      </c>
      <c r="H836" s="13" t="str" cm="1">
        <f t="array" ref="H836">_xlfn.IFS(B836&lt;20,"Low",B836&lt;=40,"Moderate",B836&lt;=60,"High",TRUE,"Very High")</f>
        <v>High</v>
      </c>
    </row>
    <row r="837" spans="1:8" ht="17" x14ac:dyDescent="0.2">
      <c r="A837">
        <v>836</v>
      </c>
      <c r="B837" cm="1">
        <f t="array" ref="B837:G837">_xlfn.XLOOKUP($A837,Instagram_Usage_Lifestyle_Mini_!$A:$A,Instagram_Usage_Lifestyle_Mini_!$W:$AB,"Not Found")</f>
        <v>49</v>
      </c>
      <c r="C837">
        <v>2</v>
      </c>
      <c r="D837">
        <v>5</v>
      </c>
      <c r="E837">
        <v>13</v>
      </c>
      <c r="F837">
        <v>5.4</v>
      </c>
      <c r="G837">
        <v>2</v>
      </c>
      <c r="H837" s="13" t="str" cm="1">
        <f t="array" ref="H837">_xlfn.IFS(B837&lt;20,"Low",B837&lt;=40,"Moderate",B837&lt;=60,"High",TRUE,"Very High")</f>
        <v>High</v>
      </c>
    </row>
    <row r="838" spans="1:8" ht="17" x14ac:dyDescent="0.2">
      <c r="A838">
        <v>837</v>
      </c>
      <c r="B838" cm="1">
        <f t="array" ref="B838:G838">_xlfn.XLOOKUP($A838,Instagram_Usage_Lifestyle_Mini_!$A:$A,Instagram_Usage_Lifestyle_Mini_!$W:$AB,"Not Found")</f>
        <v>46.8</v>
      </c>
      <c r="C838">
        <v>4</v>
      </c>
      <c r="D838">
        <v>7</v>
      </c>
      <c r="E838">
        <v>10</v>
      </c>
      <c r="F838">
        <v>1.4</v>
      </c>
      <c r="G838">
        <v>3</v>
      </c>
      <c r="H838" s="13" t="str" cm="1">
        <f t="array" ref="H838">_xlfn.IFS(B838&lt;20,"Low",B838&lt;=40,"Moderate",B838&lt;=60,"High",TRUE,"Very High")</f>
        <v>High</v>
      </c>
    </row>
    <row r="839" spans="1:8" ht="17" x14ac:dyDescent="0.2">
      <c r="A839">
        <v>838</v>
      </c>
      <c r="B839" cm="1">
        <f t="array" ref="B839:G839">_xlfn.XLOOKUP($A839,Instagram_Usage_Lifestyle_Mini_!$A:$A,Instagram_Usage_Lifestyle_Mini_!$W:$AB,"Not Found")</f>
        <v>33.1</v>
      </c>
      <c r="C839">
        <v>2</v>
      </c>
      <c r="D839">
        <v>1</v>
      </c>
      <c r="E839">
        <v>10</v>
      </c>
      <c r="F839">
        <v>8.3000000000000007</v>
      </c>
      <c r="G839">
        <v>4</v>
      </c>
      <c r="H839" s="13" t="str" cm="1">
        <f t="array" ref="H839">_xlfn.IFS(B839&lt;20,"Low",B839&lt;=40,"Moderate",B839&lt;=60,"High",TRUE,"Very High")</f>
        <v>Moderate</v>
      </c>
    </row>
    <row r="840" spans="1:8" ht="17" x14ac:dyDescent="0.2">
      <c r="A840">
        <v>839</v>
      </c>
      <c r="B840" cm="1">
        <f t="array" ref="B840:G840">_xlfn.XLOOKUP($A840,Instagram_Usage_Lifestyle_Mini_!$A:$A,Instagram_Usage_Lifestyle_Mini_!$W:$AB,"Not Found")</f>
        <v>44.5</v>
      </c>
      <c r="C840">
        <v>3</v>
      </c>
      <c r="D840">
        <v>5</v>
      </c>
      <c r="E840">
        <v>5</v>
      </c>
      <c r="F840">
        <v>6.8</v>
      </c>
      <c r="G840">
        <v>7</v>
      </c>
      <c r="H840" s="13" t="str" cm="1">
        <f t="array" ref="H840">_xlfn.IFS(B840&lt;20,"Low",B840&lt;=40,"Moderate",B840&lt;=60,"High",TRUE,"Very High")</f>
        <v>High</v>
      </c>
    </row>
    <row r="841" spans="1:8" ht="17" x14ac:dyDescent="0.2">
      <c r="A841">
        <v>840</v>
      </c>
      <c r="B841" cm="1">
        <f t="array" ref="B841:G841">_xlfn.XLOOKUP($A841,Instagram_Usage_Lifestyle_Mini_!$A:$A,Instagram_Usage_Lifestyle_Mini_!$W:$AB,"Not Found")</f>
        <v>34.1</v>
      </c>
      <c r="C841">
        <v>2</v>
      </c>
      <c r="D841">
        <v>4</v>
      </c>
      <c r="E841">
        <v>14</v>
      </c>
      <c r="F841">
        <v>2.7</v>
      </c>
      <c r="G841">
        <v>3</v>
      </c>
      <c r="H841" s="13" t="str" cm="1">
        <f t="array" ref="H841">_xlfn.IFS(B841&lt;20,"Low",B841&lt;=40,"Moderate",B841&lt;=60,"High",TRUE,"Very High")</f>
        <v>Moderate</v>
      </c>
    </row>
    <row r="842" spans="1:8" ht="17" x14ac:dyDescent="0.2">
      <c r="A842">
        <v>841</v>
      </c>
      <c r="B842" cm="1">
        <f t="array" ref="B842:G842">_xlfn.XLOOKUP($A842,Instagram_Usage_Lifestyle_Mini_!$A:$A,Instagram_Usage_Lifestyle_Mini_!$W:$AB,"Not Found")</f>
        <v>39.6</v>
      </c>
      <c r="C842">
        <v>1</v>
      </c>
      <c r="D842">
        <v>4</v>
      </c>
      <c r="E842">
        <v>9</v>
      </c>
      <c r="F842">
        <v>4</v>
      </c>
      <c r="G842">
        <v>1</v>
      </c>
      <c r="H842" s="13" t="str" cm="1">
        <f t="array" ref="H842">_xlfn.IFS(B842&lt;20,"Low",B842&lt;=40,"Moderate",B842&lt;=60,"High",TRUE,"Very High")</f>
        <v>Moderate</v>
      </c>
    </row>
    <row r="843" spans="1:8" ht="17" x14ac:dyDescent="0.2">
      <c r="A843">
        <v>842</v>
      </c>
      <c r="B843" cm="1">
        <f t="array" ref="B843:G843">_xlfn.XLOOKUP($A843,Instagram_Usage_Lifestyle_Mini_!$A:$A,Instagram_Usage_Lifestyle_Mini_!$W:$AB,"Not Found")</f>
        <v>27.4</v>
      </c>
      <c r="C843">
        <v>3</v>
      </c>
      <c r="D843">
        <v>5</v>
      </c>
      <c r="E843">
        <v>5</v>
      </c>
      <c r="F843">
        <v>2.1</v>
      </c>
      <c r="G843">
        <v>2</v>
      </c>
      <c r="H843" s="13" t="str" cm="1">
        <f t="array" ref="H843">_xlfn.IFS(B843&lt;20,"Low",B843&lt;=40,"Moderate",B843&lt;=60,"High",TRUE,"Very High")</f>
        <v>Moderate</v>
      </c>
    </row>
    <row r="844" spans="1:8" ht="17" x14ac:dyDescent="0.2">
      <c r="A844">
        <v>843</v>
      </c>
      <c r="B844" cm="1">
        <f t="array" ref="B844:G844">_xlfn.XLOOKUP($A844,Instagram_Usage_Lifestyle_Mini_!$A:$A,Instagram_Usage_Lifestyle_Mini_!$W:$AB,"Not Found")</f>
        <v>40.299999999999997</v>
      </c>
      <c r="C844">
        <v>3</v>
      </c>
      <c r="D844">
        <v>1</v>
      </c>
      <c r="E844">
        <v>16</v>
      </c>
      <c r="F844">
        <v>0.6</v>
      </c>
      <c r="G844">
        <v>1</v>
      </c>
      <c r="H844" s="13" t="str" cm="1">
        <f t="array" ref="H844">_xlfn.IFS(B844&lt;20,"Low",B844&lt;=40,"Moderate",B844&lt;=60,"High",TRUE,"Very High")</f>
        <v>High</v>
      </c>
    </row>
    <row r="845" spans="1:8" ht="17" x14ac:dyDescent="0.2">
      <c r="A845">
        <v>844</v>
      </c>
      <c r="B845" cm="1">
        <f t="array" ref="B845:G845">_xlfn.XLOOKUP($A845,Instagram_Usage_Lifestyle_Mini_!$A:$A,Instagram_Usage_Lifestyle_Mini_!$W:$AB,"Not Found")</f>
        <v>40.5</v>
      </c>
      <c r="C845">
        <v>0</v>
      </c>
      <c r="D845">
        <v>3</v>
      </c>
      <c r="E845">
        <v>8</v>
      </c>
      <c r="F845">
        <v>3.2</v>
      </c>
      <c r="G845">
        <v>5</v>
      </c>
      <c r="H845" s="13" t="str" cm="1">
        <f t="array" ref="H845">_xlfn.IFS(B845&lt;20,"Low",B845&lt;=40,"Moderate",B845&lt;=60,"High",TRUE,"Very High")</f>
        <v>High</v>
      </c>
    </row>
    <row r="846" spans="1:8" ht="17" x14ac:dyDescent="0.2">
      <c r="A846">
        <v>845</v>
      </c>
      <c r="B846" cm="1">
        <f t="array" ref="B846:G846">_xlfn.XLOOKUP($A846,Instagram_Usage_Lifestyle_Mini_!$A:$A,Instagram_Usage_Lifestyle_Mini_!$W:$AB,"Not Found")</f>
        <v>45.9</v>
      </c>
      <c r="C846">
        <v>6</v>
      </c>
      <c r="D846">
        <v>3</v>
      </c>
      <c r="E846">
        <v>9</v>
      </c>
      <c r="F846">
        <v>1.6</v>
      </c>
      <c r="G846">
        <v>2</v>
      </c>
      <c r="H846" s="13" t="str" cm="1">
        <f t="array" ref="H846">_xlfn.IFS(B846&lt;20,"Low",B846&lt;=40,"Moderate",B846&lt;=60,"High",TRUE,"Very High")</f>
        <v>High</v>
      </c>
    </row>
    <row r="847" spans="1:8" ht="17" x14ac:dyDescent="0.2">
      <c r="A847">
        <v>846</v>
      </c>
      <c r="B847" cm="1">
        <f t="array" ref="B847:G847">_xlfn.XLOOKUP($A847,Instagram_Usage_Lifestyle_Mini_!$A:$A,Instagram_Usage_Lifestyle_Mini_!$W:$AB,"Not Found")</f>
        <v>43.2</v>
      </c>
      <c r="C847">
        <v>2</v>
      </c>
      <c r="D847">
        <v>0</v>
      </c>
      <c r="E847">
        <v>9</v>
      </c>
      <c r="F847">
        <v>1.2</v>
      </c>
      <c r="G847">
        <v>1</v>
      </c>
      <c r="H847" s="13" t="str" cm="1">
        <f t="array" ref="H847">_xlfn.IFS(B847&lt;20,"Low",B847&lt;=40,"Moderate",B847&lt;=60,"High",TRUE,"Very High")</f>
        <v>High</v>
      </c>
    </row>
    <row r="848" spans="1:8" ht="17" x14ac:dyDescent="0.2">
      <c r="A848">
        <v>847</v>
      </c>
      <c r="B848" cm="1">
        <f t="array" ref="B848:G848">_xlfn.XLOOKUP($A848,Instagram_Usage_Lifestyle_Mini_!$A:$A,Instagram_Usage_Lifestyle_Mini_!$W:$AB,"Not Found")</f>
        <v>28.9</v>
      </c>
      <c r="C848">
        <v>1</v>
      </c>
      <c r="D848">
        <v>2</v>
      </c>
      <c r="E848">
        <v>14</v>
      </c>
      <c r="F848">
        <v>0.4</v>
      </c>
      <c r="G848">
        <v>5</v>
      </c>
      <c r="H848" s="13" t="str" cm="1">
        <f t="array" ref="H848">_xlfn.IFS(B848&lt;20,"Low",B848&lt;=40,"Moderate",B848&lt;=60,"High",TRUE,"Very High")</f>
        <v>Moderate</v>
      </c>
    </row>
    <row r="849" spans="1:8" ht="17" x14ac:dyDescent="0.2">
      <c r="A849">
        <v>848</v>
      </c>
      <c r="B849" cm="1">
        <f t="array" ref="B849:G849">_xlfn.XLOOKUP($A849,Instagram_Usage_Lifestyle_Mini_!$A:$A,Instagram_Usage_Lifestyle_Mini_!$W:$AB,"Not Found")</f>
        <v>30.9</v>
      </c>
      <c r="C849">
        <v>1</v>
      </c>
      <c r="D849">
        <v>4</v>
      </c>
      <c r="E849">
        <v>8</v>
      </c>
      <c r="F849">
        <v>3</v>
      </c>
      <c r="G849">
        <v>1</v>
      </c>
      <c r="H849" s="13" t="str" cm="1">
        <f t="array" ref="H849">_xlfn.IFS(B849&lt;20,"Low",B849&lt;=40,"Moderate",B849&lt;=60,"High",TRUE,"Very High")</f>
        <v>Moderate</v>
      </c>
    </row>
    <row r="850" spans="1:8" ht="17" x14ac:dyDescent="0.2">
      <c r="A850">
        <v>849</v>
      </c>
      <c r="B850" cm="1">
        <f t="array" ref="B850:G850">_xlfn.XLOOKUP($A850,Instagram_Usage_Lifestyle_Mini_!$A:$A,Instagram_Usage_Lifestyle_Mini_!$W:$AB,"Not Found")</f>
        <v>45.6</v>
      </c>
      <c r="C850">
        <v>2</v>
      </c>
      <c r="D850">
        <v>5</v>
      </c>
      <c r="E850">
        <v>10</v>
      </c>
      <c r="F850">
        <v>6.5</v>
      </c>
      <c r="G850">
        <v>6</v>
      </c>
      <c r="H850" s="13" t="str" cm="1">
        <f t="array" ref="H850">_xlfn.IFS(B850&lt;20,"Low",B850&lt;=40,"Moderate",B850&lt;=60,"High",TRUE,"Very High")</f>
        <v>High</v>
      </c>
    </row>
    <row r="851" spans="1:8" ht="17" x14ac:dyDescent="0.2">
      <c r="A851">
        <v>850</v>
      </c>
      <c r="B851" cm="1">
        <f t="array" ref="B851:G851">_xlfn.XLOOKUP($A851,Instagram_Usage_Lifestyle_Mini_!$A:$A,Instagram_Usage_Lifestyle_Mini_!$W:$AB,"Not Found")</f>
        <v>46.9</v>
      </c>
      <c r="C851">
        <v>2</v>
      </c>
      <c r="D851">
        <v>4</v>
      </c>
      <c r="E851">
        <v>6</v>
      </c>
      <c r="F851">
        <v>7.1</v>
      </c>
      <c r="G851">
        <v>5</v>
      </c>
      <c r="H851" s="13" t="str" cm="1">
        <f t="array" ref="H851">_xlfn.IFS(B851&lt;20,"Low",B851&lt;=40,"Moderate",B851&lt;=60,"High",TRUE,"Very High")</f>
        <v>High</v>
      </c>
    </row>
    <row r="852" spans="1:8" ht="17" x14ac:dyDescent="0.2">
      <c r="A852">
        <v>851</v>
      </c>
      <c r="B852" cm="1">
        <f t="array" ref="B852:G852">_xlfn.XLOOKUP($A852,Instagram_Usage_Lifestyle_Mini_!$A:$A,Instagram_Usage_Lifestyle_Mini_!$W:$AB,"Not Found")</f>
        <v>37.200000000000003</v>
      </c>
      <c r="C852">
        <v>5</v>
      </c>
      <c r="D852">
        <v>3</v>
      </c>
      <c r="E852">
        <v>13</v>
      </c>
      <c r="F852">
        <v>3.8</v>
      </c>
      <c r="G852">
        <v>1</v>
      </c>
      <c r="H852" s="13" t="str" cm="1">
        <f t="array" ref="H852">_xlfn.IFS(B852&lt;20,"Low",B852&lt;=40,"Moderate",B852&lt;=60,"High",TRUE,"Very High")</f>
        <v>Moderate</v>
      </c>
    </row>
    <row r="853" spans="1:8" ht="17" x14ac:dyDescent="0.2">
      <c r="A853">
        <v>852</v>
      </c>
      <c r="B853" cm="1">
        <f t="array" ref="B853:G853">_xlfn.XLOOKUP($A853,Instagram_Usage_Lifestyle_Mini_!$A:$A,Instagram_Usage_Lifestyle_Mini_!$W:$AB,"Not Found")</f>
        <v>27.4</v>
      </c>
      <c r="C853">
        <v>3</v>
      </c>
      <c r="D853">
        <v>6</v>
      </c>
      <c r="E853">
        <v>13</v>
      </c>
      <c r="F853">
        <v>2.7</v>
      </c>
      <c r="G853">
        <v>5</v>
      </c>
      <c r="H853" s="13" t="str" cm="1">
        <f t="array" ref="H853">_xlfn.IFS(B853&lt;20,"Low",B853&lt;=40,"Moderate",B853&lt;=60,"High",TRUE,"Very High")</f>
        <v>Moderate</v>
      </c>
    </row>
    <row r="854" spans="1:8" ht="17" x14ac:dyDescent="0.2">
      <c r="A854">
        <v>853</v>
      </c>
      <c r="B854" cm="1">
        <f t="array" ref="B854:G854">_xlfn.XLOOKUP($A854,Instagram_Usage_Lifestyle_Mini_!$A:$A,Instagram_Usage_Lifestyle_Mini_!$W:$AB,"Not Found")</f>
        <v>49.1</v>
      </c>
      <c r="C854">
        <v>3</v>
      </c>
      <c r="D854">
        <v>2</v>
      </c>
      <c r="E854">
        <v>6</v>
      </c>
      <c r="F854">
        <v>3.8</v>
      </c>
      <c r="G854">
        <v>4</v>
      </c>
      <c r="H854" s="13" t="str" cm="1">
        <f t="array" ref="H854">_xlfn.IFS(B854&lt;20,"Low",B854&lt;=40,"Moderate",B854&lt;=60,"High",TRUE,"Very High")</f>
        <v>High</v>
      </c>
    </row>
    <row r="855" spans="1:8" ht="17" x14ac:dyDescent="0.2">
      <c r="A855">
        <v>854</v>
      </c>
      <c r="B855" cm="1">
        <f t="array" ref="B855:G855">_xlfn.XLOOKUP($A855,Instagram_Usage_Lifestyle_Mini_!$A:$A,Instagram_Usage_Lifestyle_Mini_!$W:$AB,"Not Found")</f>
        <v>16.2</v>
      </c>
      <c r="C855">
        <v>1</v>
      </c>
      <c r="D855">
        <v>1</v>
      </c>
      <c r="E855">
        <v>13</v>
      </c>
      <c r="F855">
        <v>2.2000000000000002</v>
      </c>
      <c r="G855">
        <v>4</v>
      </c>
      <c r="H855" s="13" t="str" cm="1">
        <f t="array" ref="H855">_xlfn.IFS(B855&lt;20,"Low",B855&lt;=40,"Moderate",B855&lt;=60,"High",TRUE,"Very High")</f>
        <v>Low</v>
      </c>
    </row>
    <row r="856" spans="1:8" ht="17" x14ac:dyDescent="0.2">
      <c r="A856">
        <v>855</v>
      </c>
      <c r="B856" cm="1">
        <f t="array" ref="B856:G856">_xlfn.XLOOKUP($A856,Instagram_Usage_Lifestyle_Mini_!$A:$A,Instagram_Usage_Lifestyle_Mini_!$W:$AB,"Not Found")</f>
        <v>51.7</v>
      </c>
      <c r="C856">
        <v>3</v>
      </c>
      <c r="D856">
        <v>3</v>
      </c>
      <c r="E856">
        <v>13</v>
      </c>
      <c r="F856">
        <v>2.6</v>
      </c>
      <c r="G856">
        <v>1</v>
      </c>
      <c r="H856" s="13" t="str" cm="1">
        <f t="array" ref="H856">_xlfn.IFS(B856&lt;20,"Low",B856&lt;=40,"Moderate",B856&lt;=60,"High",TRUE,"Very High")</f>
        <v>High</v>
      </c>
    </row>
    <row r="857" spans="1:8" ht="17" x14ac:dyDescent="0.2">
      <c r="A857">
        <v>856</v>
      </c>
      <c r="B857" cm="1">
        <f t="array" ref="B857:G857">_xlfn.XLOOKUP($A857,Instagram_Usage_Lifestyle_Mini_!$A:$A,Instagram_Usage_Lifestyle_Mini_!$W:$AB,"Not Found")</f>
        <v>49.3</v>
      </c>
      <c r="C857">
        <v>6</v>
      </c>
      <c r="D857">
        <v>5</v>
      </c>
      <c r="E857">
        <v>6</v>
      </c>
      <c r="F857">
        <v>4</v>
      </c>
      <c r="G857">
        <v>3</v>
      </c>
      <c r="H857" s="13" t="str" cm="1">
        <f t="array" ref="H857">_xlfn.IFS(B857&lt;20,"Low",B857&lt;=40,"Moderate",B857&lt;=60,"High",TRUE,"Very High")</f>
        <v>High</v>
      </c>
    </row>
    <row r="858" spans="1:8" ht="17" x14ac:dyDescent="0.2">
      <c r="A858">
        <v>857</v>
      </c>
      <c r="B858" cm="1">
        <f t="array" ref="B858:G858">_xlfn.XLOOKUP($A858,Instagram_Usage_Lifestyle_Mini_!$A:$A,Instagram_Usage_Lifestyle_Mini_!$W:$AB,"Not Found")</f>
        <v>32.9</v>
      </c>
      <c r="C858">
        <v>1</v>
      </c>
      <c r="D858">
        <v>9</v>
      </c>
      <c r="E858">
        <v>13</v>
      </c>
      <c r="F858">
        <v>2.5</v>
      </c>
      <c r="G858">
        <v>5</v>
      </c>
      <c r="H858" s="13" t="str" cm="1">
        <f t="array" ref="H858">_xlfn.IFS(B858&lt;20,"Low",B858&lt;=40,"Moderate",B858&lt;=60,"High",TRUE,"Very High")</f>
        <v>Moderate</v>
      </c>
    </row>
    <row r="859" spans="1:8" ht="17" x14ac:dyDescent="0.2">
      <c r="A859">
        <v>858</v>
      </c>
      <c r="B859" cm="1">
        <f t="array" ref="B859:G859">_xlfn.XLOOKUP($A859,Instagram_Usage_Lifestyle_Mini_!$A:$A,Instagram_Usage_Lifestyle_Mini_!$W:$AB,"Not Found")</f>
        <v>49.7</v>
      </c>
      <c r="C859">
        <v>2</v>
      </c>
      <c r="D859">
        <v>4</v>
      </c>
      <c r="E859">
        <v>11</v>
      </c>
      <c r="F859">
        <v>3</v>
      </c>
      <c r="G859">
        <v>1</v>
      </c>
      <c r="H859" s="13" t="str" cm="1">
        <f t="array" ref="H859">_xlfn.IFS(B859&lt;20,"Low",B859&lt;=40,"Moderate",B859&lt;=60,"High",TRUE,"Very High")</f>
        <v>High</v>
      </c>
    </row>
    <row r="860" spans="1:8" ht="17" x14ac:dyDescent="0.2">
      <c r="A860">
        <v>859</v>
      </c>
      <c r="B860" cm="1">
        <f t="array" ref="B860:G860">_xlfn.XLOOKUP($A860,Instagram_Usage_Lifestyle_Mini_!$A:$A,Instagram_Usage_Lifestyle_Mini_!$W:$AB,"Not Found")</f>
        <v>43.2</v>
      </c>
      <c r="C860">
        <v>3</v>
      </c>
      <c r="D860">
        <v>2</v>
      </c>
      <c r="E860">
        <v>12</v>
      </c>
      <c r="F860">
        <v>11.8</v>
      </c>
      <c r="G860">
        <v>2</v>
      </c>
      <c r="H860" s="13" t="str" cm="1">
        <f t="array" ref="H860">_xlfn.IFS(B860&lt;20,"Low",B860&lt;=40,"Moderate",B860&lt;=60,"High",TRUE,"Very High")</f>
        <v>High</v>
      </c>
    </row>
    <row r="861" spans="1:8" ht="17" x14ac:dyDescent="0.2">
      <c r="A861">
        <v>860</v>
      </c>
      <c r="B861" cm="1">
        <f t="array" ref="B861:G861">_xlfn.XLOOKUP($A861,Instagram_Usage_Lifestyle_Mini_!$A:$A,Instagram_Usage_Lifestyle_Mini_!$W:$AB,"Not Found")</f>
        <v>43.9</v>
      </c>
      <c r="C861">
        <v>2</v>
      </c>
      <c r="D861">
        <v>8</v>
      </c>
      <c r="E861">
        <v>10</v>
      </c>
      <c r="F861">
        <v>4.9000000000000004</v>
      </c>
      <c r="G861">
        <v>1</v>
      </c>
      <c r="H861" s="13" t="str" cm="1">
        <f t="array" ref="H861">_xlfn.IFS(B861&lt;20,"Low",B861&lt;=40,"Moderate",B861&lt;=60,"High",TRUE,"Very High")</f>
        <v>High</v>
      </c>
    </row>
    <row r="862" spans="1:8" ht="17" x14ac:dyDescent="0.2">
      <c r="A862">
        <v>861</v>
      </c>
      <c r="B862" cm="1">
        <f t="array" ref="B862:G862">_xlfn.XLOOKUP($A862,Instagram_Usage_Lifestyle_Mini_!$A:$A,Instagram_Usage_Lifestyle_Mini_!$W:$AB,"Not Found")</f>
        <v>33</v>
      </c>
      <c r="C862">
        <v>5</v>
      </c>
      <c r="D862">
        <v>5</v>
      </c>
      <c r="E862">
        <v>9</v>
      </c>
      <c r="F862">
        <v>3</v>
      </c>
      <c r="G862">
        <v>3</v>
      </c>
      <c r="H862" s="13" t="str" cm="1">
        <f t="array" ref="H862">_xlfn.IFS(B862&lt;20,"Low",B862&lt;=40,"Moderate",B862&lt;=60,"High",TRUE,"Very High")</f>
        <v>Moderate</v>
      </c>
    </row>
    <row r="863" spans="1:8" ht="17" x14ac:dyDescent="0.2">
      <c r="A863">
        <v>862</v>
      </c>
      <c r="B863" cm="1">
        <f t="array" ref="B863:G863">_xlfn.XLOOKUP($A863,Instagram_Usage_Lifestyle_Mini_!$A:$A,Instagram_Usage_Lifestyle_Mini_!$W:$AB,"Not Found")</f>
        <v>33.4</v>
      </c>
      <c r="C863">
        <v>1</v>
      </c>
      <c r="D863">
        <v>2</v>
      </c>
      <c r="E863">
        <v>6</v>
      </c>
      <c r="F863">
        <v>3.2</v>
      </c>
      <c r="G863">
        <v>4</v>
      </c>
      <c r="H863" s="13" t="str" cm="1">
        <f t="array" ref="H863">_xlfn.IFS(B863&lt;20,"Low",B863&lt;=40,"Moderate",B863&lt;=60,"High",TRUE,"Very High")</f>
        <v>Moderate</v>
      </c>
    </row>
    <row r="864" spans="1:8" ht="17" x14ac:dyDescent="0.2">
      <c r="A864">
        <v>863</v>
      </c>
      <c r="B864" cm="1">
        <f t="array" ref="B864:G864">_xlfn.XLOOKUP($A864,Instagram_Usage_Lifestyle_Mini_!$A:$A,Instagram_Usage_Lifestyle_Mini_!$W:$AB,"Not Found")</f>
        <v>38</v>
      </c>
      <c r="C864">
        <v>2</v>
      </c>
      <c r="D864">
        <v>6</v>
      </c>
      <c r="E864">
        <v>6</v>
      </c>
      <c r="F864">
        <v>1.4</v>
      </c>
      <c r="G864">
        <v>4</v>
      </c>
      <c r="H864" s="13" t="str" cm="1">
        <f t="array" ref="H864">_xlfn.IFS(B864&lt;20,"Low",B864&lt;=40,"Moderate",B864&lt;=60,"High",TRUE,"Very High")</f>
        <v>Moderate</v>
      </c>
    </row>
    <row r="865" spans="1:8" ht="17" x14ac:dyDescent="0.2">
      <c r="A865">
        <v>864</v>
      </c>
      <c r="B865" cm="1">
        <f t="array" ref="B865:G865">_xlfn.XLOOKUP($A865,Instagram_Usage_Lifestyle_Mini_!$A:$A,Instagram_Usage_Lifestyle_Mini_!$W:$AB,"Not Found")</f>
        <v>23.6</v>
      </c>
      <c r="C865">
        <v>4</v>
      </c>
      <c r="D865">
        <v>6</v>
      </c>
      <c r="E865">
        <v>14</v>
      </c>
      <c r="F865">
        <v>2.4</v>
      </c>
      <c r="G865">
        <v>4</v>
      </c>
      <c r="H865" s="13" t="str" cm="1">
        <f t="array" ref="H865">_xlfn.IFS(B865&lt;20,"Low",B865&lt;=40,"Moderate",B865&lt;=60,"High",TRUE,"Very High")</f>
        <v>Moderate</v>
      </c>
    </row>
    <row r="866" spans="1:8" ht="17" x14ac:dyDescent="0.2">
      <c r="A866">
        <v>865</v>
      </c>
      <c r="B866" cm="1">
        <f t="array" ref="B866:G866">_xlfn.XLOOKUP($A866,Instagram_Usage_Lifestyle_Mini_!$A:$A,Instagram_Usage_Lifestyle_Mini_!$W:$AB,"Not Found")</f>
        <v>52.2</v>
      </c>
      <c r="C866">
        <v>2</v>
      </c>
      <c r="D866">
        <v>2</v>
      </c>
      <c r="E866">
        <v>9</v>
      </c>
      <c r="F866">
        <v>5.2</v>
      </c>
      <c r="G866">
        <v>5</v>
      </c>
      <c r="H866" s="13" t="str" cm="1">
        <f t="array" ref="H866">_xlfn.IFS(B866&lt;20,"Low",B866&lt;=40,"Moderate",B866&lt;=60,"High",TRUE,"Very High")</f>
        <v>High</v>
      </c>
    </row>
    <row r="867" spans="1:8" ht="17" x14ac:dyDescent="0.2">
      <c r="A867">
        <v>866</v>
      </c>
      <c r="B867" cm="1">
        <f t="array" ref="B867:G867">_xlfn.XLOOKUP($A867,Instagram_Usage_Lifestyle_Mini_!$A:$A,Instagram_Usage_Lifestyle_Mini_!$W:$AB,"Not Found")</f>
        <v>33.4</v>
      </c>
      <c r="C867">
        <v>0</v>
      </c>
      <c r="D867">
        <v>5</v>
      </c>
      <c r="E867">
        <v>9</v>
      </c>
      <c r="F867">
        <v>2</v>
      </c>
      <c r="G867">
        <v>3</v>
      </c>
      <c r="H867" s="13" t="str" cm="1">
        <f t="array" ref="H867">_xlfn.IFS(B867&lt;20,"Low",B867&lt;=40,"Moderate",B867&lt;=60,"High",TRUE,"Very High")</f>
        <v>Moderate</v>
      </c>
    </row>
    <row r="868" spans="1:8" ht="17" x14ac:dyDescent="0.2">
      <c r="A868">
        <v>867</v>
      </c>
      <c r="B868" cm="1">
        <f t="array" ref="B868:G868">_xlfn.XLOOKUP($A868,Instagram_Usage_Lifestyle_Mini_!$A:$A,Instagram_Usage_Lifestyle_Mini_!$W:$AB,"Not Found")</f>
        <v>39.4</v>
      </c>
      <c r="C868">
        <v>6</v>
      </c>
      <c r="D868">
        <v>3</v>
      </c>
      <c r="E868">
        <v>7</v>
      </c>
      <c r="F868">
        <v>6.2</v>
      </c>
      <c r="G868">
        <v>1</v>
      </c>
      <c r="H868" s="13" t="str" cm="1">
        <f t="array" ref="H868">_xlfn.IFS(B868&lt;20,"Low",B868&lt;=40,"Moderate",B868&lt;=60,"High",TRUE,"Very High")</f>
        <v>Moderate</v>
      </c>
    </row>
    <row r="869" spans="1:8" ht="17" x14ac:dyDescent="0.2">
      <c r="A869">
        <v>868</v>
      </c>
      <c r="B869" cm="1">
        <f t="array" ref="B869:G869">_xlfn.XLOOKUP($A869,Instagram_Usage_Lifestyle_Mini_!$A:$A,Instagram_Usage_Lifestyle_Mini_!$W:$AB,"Not Found")</f>
        <v>45.7</v>
      </c>
      <c r="C869">
        <v>5</v>
      </c>
      <c r="D869">
        <v>5</v>
      </c>
      <c r="E869">
        <v>10</v>
      </c>
      <c r="F869">
        <v>1.4</v>
      </c>
      <c r="G869">
        <v>3</v>
      </c>
      <c r="H869" s="13" t="str" cm="1">
        <f t="array" ref="H869">_xlfn.IFS(B869&lt;20,"Low",B869&lt;=40,"Moderate",B869&lt;=60,"High",TRUE,"Very High")</f>
        <v>High</v>
      </c>
    </row>
    <row r="870" spans="1:8" ht="17" x14ac:dyDescent="0.2">
      <c r="A870">
        <v>869</v>
      </c>
      <c r="B870" cm="1">
        <f t="array" ref="B870:G870">_xlfn.XLOOKUP($A870,Instagram_Usage_Lifestyle_Mini_!$A:$A,Instagram_Usage_Lifestyle_Mini_!$W:$AB,"Not Found")</f>
        <v>38.5</v>
      </c>
      <c r="C870">
        <v>2</v>
      </c>
      <c r="D870">
        <v>2</v>
      </c>
      <c r="E870">
        <v>10</v>
      </c>
      <c r="F870">
        <v>5.8</v>
      </c>
      <c r="G870">
        <v>4</v>
      </c>
      <c r="H870" s="13" t="str" cm="1">
        <f t="array" ref="H870">_xlfn.IFS(B870&lt;20,"Low",B870&lt;=40,"Moderate",B870&lt;=60,"High",TRUE,"Very High")</f>
        <v>Moderate</v>
      </c>
    </row>
    <row r="871" spans="1:8" ht="17" x14ac:dyDescent="0.2">
      <c r="A871">
        <v>870</v>
      </c>
      <c r="B871" cm="1">
        <f t="array" ref="B871:G871">_xlfn.XLOOKUP($A871,Instagram_Usage_Lifestyle_Mini_!$A:$A,Instagram_Usage_Lifestyle_Mini_!$W:$AB,"Not Found")</f>
        <v>45.8</v>
      </c>
      <c r="C871">
        <v>2</v>
      </c>
      <c r="D871">
        <v>6</v>
      </c>
      <c r="E871">
        <v>12</v>
      </c>
      <c r="F871">
        <v>3.8</v>
      </c>
      <c r="G871">
        <v>3</v>
      </c>
      <c r="H871" s="13" t="str" cm="1">
        <f t="array" ref="H871">_xlfn.IFS(B871&lt;20,"Low",B871&lt;=40,"Moderate",B871&lt;=60,"High",TRUE,"Very High")</f>
        <v>High</v>
      </c>
    </row>
    <row r="872" spans="1:8" ht="17" x14ac:dyDescent="0.2">
      <c r="A872">
        <v>871</v>
      </c>
      <c r="B872" cm="1">
        <f t="array" ref="B872:G872">_xlfn.XLOOKUP($A872,Instagram_Usage_Lifestyle_Mini_!$A:$A,Instagram_Usage_Lifestyle_Mini_!$W:$AB,"Not Found")</f>
        <v>47.1</v>
      </c>
      <c r="C872">
        <v>0</v>
      </c>
      <c r="D872">
        <v>3</v>
      </c>
      <c r="E872">
        <v>5</v>
      </c>
      <c r="F872">
        <v>2.2999999999999998</v>
      </c>
      <c r="G872">
        <v>3</v>
      </c>
      <c r="H872" s="13" t="str" cm="1">
        <f t="array" ref="H872">_xlfn.IFS(B872&lt;20,"Low",B872&lt;=40,"Moderate",B872&lt;=60,"High",TRUE,"Very High")</f>
        <v>High</v>
      </c>
    </row>
    <row r="873" spans="1:8" ht="17" x14ac:dyDescent="0.2">
      <c r="A873">
        <v>872</v>
      </c>
      <c r="B873" cm="1">
        <f t="array" ref="B873:G873">_xlfn.XLOOKUP($A873,Instagram_Usage_Lifestyle_Mini_!$A:$A,Instagram_Usage_Lifestyle_Mini_!$W:$AB,"Not Found")</f>
        <v>24.3</v>
      </c>
      <c r="C873">
        <v>1</v>
      </c>
      <c r="D873">
        <v>4</v>
      </c>
      <c r="E873">
        <v>9</v>
      </c>
      <c r="F873">
        <v>5.7</v>
      </c>
      <c r="G873">
        <v>3</v>
      </c>
      <c r="H873" s="13" t="str" cm="1">
        <f t="array" ref="H873">_xlfn.IFS(B873&lt;20,"Low",B873&lt;=40,"Moderate",B873&lt;=60,"High",TRUE,"Very High")</f>
        <v>Moderate</v>
      </c>
    </row>
    <row r="874" spans="1:8" ht="17" x14ac:dyDescent="0.2">
      <c r="A874">
        <v>873</v>
      </c>
      <c r="B874" cm="1">
        <f t="array" ref="B874:G874">_xlfn.XLOOKUP($A874,Instagram_Usage_Lifestyle_Mini_!$A:$A,Instagram_Usage_Lifestyle_Mini_!$W:$AB,"Not Found")</f>
        <v>63.2</v>
      </c>
      <c r="C874">
        <v>2</v>
      </c>
      <c r="D874">
        <v>3</v>
      </c>
      <c r="E874">
        <v>8</v>
      </c>
      <c r="F874">
        <v>3.8</v>
      </c>
      <c r="G874">
        <v>6</v>
      </c>
      <c r="H874" s="13" t="str" cm="1">
        <f t="array" ref="H874">_xlfn.IFS(B874&lt;20,"Low",B874&lt;=40,"Moderate",B874&lt;=60,"High",TRUE,"Very High")</f>
        <v>Very High</v>
      </c>
    </row>
    <row r="875" spans="1:8" ht="17" x14ac:dyDescent="0.2">
      <c r="A875">
        <v>874</v>
      </c>
      <c r="B875" cm="1">
        <f t="array" ref="B875:G875">_xlfn.XLOOKUP($A875,Instagram_Usage_Lifestyle_Mini_!$A:$A,Instagram_Usage_Lifestyle_Mini_!$W:$AB,"Not Found")</f>
        <v>34.299999999999997</v>
      </c>
      <c r="C875">
        <v>2</v>
      </c>
      <c r="D875">
        <v>2</v>
      </c>
      <c r="E875">
        <v>16</v>
      </c>
      <c r="F875">
        <v>5.2</v>
      </c>
      <c r="G875">
        <v>4</v>
      </c>
      <c r="H875" s="13" t="str" cm="1">
        <f t="array" ref="H875">_xlfn.IFS(B875&lt;20,"Low",B875&lt;=40,"Moderate",B875&lt;=60,"High",TRUE,"Very High")</f>
        <v>Moderate</v>
      </c>
    </row>
    <row r="876" spans="1:8" ht="17" x14ac:dyDescent="0.2">
      <c r="A876">
        <v>875</v>
      </c>
      <c r="B876" cm="1">
        <f t="array" ref="B876:G876">_xlfn.XLOOKUP($A876,Instagram_Usage_Lifestyle_Mini_!$A:$A,Instagram_Usage_Lifestyle_Mini_!$W:$AB,"Not Found")</f>
        <v>32.9</v>
      </c>
      <c r="C876">
        <v>1</v>
      </c>
      <c r="D876">
        <v>1</v>
      </c>
      <c r="E876">
        <v>15</v>
      </c>
      <c r="F876">
        <v>2</v>
      </c>
      <c r="G876">
        <v>6</v>
      </c>
      <c r="H876" s="13" t="str" cm="1">
        <f t="array" ref="H876">_xlfn.IFS(B876&lt;20,"Low",B876&lt;=40,"Moderate",B876&lt;=60,"High",TRUE,"Very High")</f>
        <v>Moderate</v>
      </c>
    </row>
    <row r="877" spans="1:8" ht="17" x14ac:dyDescent="0.2">
      <c r="A877">
        <v>876</v>
      </c>
      <c r="B877" cm="1">
        <f t="array" ref="B877:G877">_xlfn.XLOOKUP($A877,Instagram_Usage_Lifestyle_Mini_!$A:$A,Instagram_Usage_Lifestyle_Mini_!$W:$AB,"Not Found")</f>
        <v>38.799999999999997</v>
      </c>
      <c r="C877">
        <v>3</v>
      </c>
      <c r="D877">
        <v>1</v>
      </c>
      <c r="E877">
        <v>12</v>
      </c>
      <c r="F877">
        <v>3.6</v>
      </c>
      <c r="G877">
        <v>2</v>
      </c>
      <c r="H877" s="13" t="str" cm="1">
        <f t="array" ref="H877">_xlfn.IFS(B877&lt;20,"Low",B877&lt;=40,"Moderate",B877&lt;=60,"High",TRUE,"Very High")</f>
        <v>Moderate</v>
      </c>
    </row>
    <row r="878" spans="1:8" ht="17" x14ac:dyDescent="0.2">
      <c r="A878">
        <v>877</v>
      </c>
      <c r="B878" cm="1">
        <f t="array" ref="B878:G878">_xlfn.XLOOKUP($A878,Instagram_Usage_Lifestyle_Mini_!$A:$A,Instagram_Usage_Lifestyle_Mini_!$W:$AB,"Not Found")</f>
        <v>32.4</v>
      </c>
      <c r="C878">
        <v>1</v>
      </c>
      <c r="D878">
        <v>3</v>
      </c>
      <c r="E878">
        <v>8</v>
      </c>
      <c r="F878">
        <v>2.6</v>
      </c>
      <c r="G878">
        <v>3</v>
      </c>
      <c r="H878" s="13" t="str" cm="1">
        <f t="array" ref="H878">_xlfn.IFS(B878&lt;20,"Low",B878&lt;=40,"Moderate",B878&lt;=60,"High",TRUE,"Very High")</f>
        <v>Moderate</v>
      </c>
    </row>
    <row r="879" spans="1:8" ht="17" x14ac:dyDescent="0.2">
      <c r="A879">
        <v>878</v>
      </c>
      <c r="B879" cm="1">
        <f t="array" ref="B879:G879">_xlfn.XLOOKUP($A879,Instagram_Usage_Lifestyle_Mini_!$A:$A,Instagram_Usage_Lifestyle_Mini_!$W:$AB,"Not Found")</f>
        <v>39.799999999999997</v>
      </c>
      <c r="C879">
        <v>6</v>
      </c>
      <c r="D879">
        <v>3</v>
      </c>
      <c r="E879">
        <v>11</v>
      </c>
      <c r="F879">
        <v>5.6</v>
      </c>
      <c r="G879">
        <v>7</v>
      </c>
      <c r="H879" s="13" t="str" cm="1">
        <f t="array" ref="H879">_xlfn.IFS(B879&lt;20,"Low",B879&lt;=40,"Moderate",B879&lt;=60,"High",TRUE,"Very High")</f>
        <v>Moderate</v>
      </c>
    </row>
    <row r="880" spans="1:8" ht="17" x14ac:dyDescent="0.2">
      <c r="A880">
        <v>879</v>
      </c>
      <c r="B880" cm="1">
        <f t="array" ref="B880:G880">_xlfn.XLOOKUP($A880,Instagram_Usage_Lifestyle_Mini_!$A:$A,Instagram_Usage_Lifestyle_Mini_!$W:$AB,"Not Found")</f>
        <v>53.1</v>
      </c>
      <c r="C880">
        <v>3</v>
      </c>
      <c r="D880">
        <v>2</v>
      </c>
      <c r="E880">
        <v>8</v>
      </c>
      <c r="F880">
        <v>2.6</v>
      </c>
      <c r="G880">
        <v>2</v>
      </c>
      <c r="H880" s="13" t="str" cm="1">
        <f t="array" ref="H880">_xlfn.IFS(B880&lt;20,"Low",B880&lt;=40,"Moderate",B880&lt;=60,"High",TRUE,"Very High")</f>
        <v>High</v>
      </c>
    </row>
    <row r="881" spans="1:8" ht="17" x14ac:dyDescent="0.2">
      <c r="A881">
        <v>880</v>
      </c>
      <c r="B881" cm="1">
        <f t="array" ref="B881:G881">_xlfn.XLOOKUP($A881,Instagram_Usage_Lifestyle_Mini_!$A:$A,Instagram_Usage_Lifestyle_Mini_!$W:$AB,"Not Found")</f>
        <v>31.3</v>
      </c>
      <c r="C881">
        <v>5</v>
      </c>
      <c r="D881">
        <v>4</v>
      </c>
      <c r="E881">
        <v>11</v>
      </c>
      <c r="F881">
        <v>0.3</v>
      </c>
      <c r="G881">
        <v>5</v>
      </c>
      <c r="H881" s="13" t="str" cm="1">
        <f t="array" ref="H881">_xlfn.IFS(B881&lt;20,"Low",B881&lt;=40,"Moderate",B881&lt;=60,"High",TRUE,"Very High")</f>
        <v>Moderate</v>
      </c>
    </row>
    <row r="882" spans="1:8" ht="17" x14ac:dyDescent="0.2">
      <c r="A882">
        <v>881</v>
      </c>
      <c r="B882" cm="1">
        <f t="array" ref="B882:G882">_xlfn.XLOOKUP($A882,Instagram_Usage_Lifestyle_Mini_!$A:$A,Instagram_Usage_Lifestyle_Mini_!$W:$AB,"Not Found")</f>
        <v>49.9</v>
      </c>
      <c r="C882">
        <v>3</v>
      </c>
      <c r="D882">
        <v>3</v>
      </c>
      <c r="E882">
        <v>11</v>
      </c>
      <c r="F882">
        <v>2.8</v>
      </c>
      <c r="G882">
        <v>3</v>
      </c>
      <c r="H882" s="13" t="str" cm="1">
        <f t="array" ref="H882">_xlfn.IFS(B882&lt;20,"Low",B882&lt;=40,"Moderate",B882&lt;=60,"High",TRUE,"Very High")</f>
        <v>High</v>
      </c>
    </row>
    <row r="883" spans="1:8" ht="17" x14ac:dyDescent="0.2">
      <c r="A883">
        <v>882</v>
      </c>
      <c r="B883" cm="1">
        <f t="array" ref="B883:G883">_xlfn.XLOOKUP($A883,Instagram_Usage_Lifestyle_Mini_!$A:$A,Instagram_Usage_Lifestyle_Mini_!$W:$AB,"Not Found")</f>
        <v>37.200000000000003</v>
      </c>
      <c r="C883">
        <v>4</v>
      </c>
      <c r="D883">
        <v>6</v>
      </c>
      <c r="E883">
        <v>7</v>
      </c>
      <c r="F883">
        <v>4.0999999999999996</v>
      </c>
      <c r="G883">
        <v>2</v>
      </c>
      <c r="H883" s="13" t="str" cm="1">
        <f t="array" ref="H883">_xlfn.IFS(B883&lt;20,"Low",B883&lt;=40,"Moderate",B883&lt;=60,"High",TRUE,"Very High")</f>
        <v>Moderate</v>
      </c>
    </row>
    <row r="884" spans="1:8" ht="17" x14ac:dyDescent="0.2">
      <c r="A884">
        <v>883</v>
      </c>
      <c r="B884" cm="1">
        <f t="array" ref="B884:G884">_xlfn.XLOOKUP($A884,Instagram_Usage_Lifestyle_Mini_!$A:$A,Instagram_Usage_Lifestyle_Mini_!$W:$AB,"Not Found")</f>
        <v>38.1</v>
      </c>
      <c r="C884">
        <v>1</v>
      </c>
      <c r="D884">
        <v>4</v>
      </c>
      <c r="E884">
        <v>4</v>
      </c>
      <c r="F884">
        <v>2.2000000000000002</v>
      </c>
      <c r="G884">
        <v>3</v>
      </c>
      <c r="H884" s="13" t="str" cm="1">
        <f t="array" ref="H884">_xlfn.IFS(B884&lt;20,"Low",B884&lt;=40,"Moderate",B884&lt;=60,"High",TRUE,"Very High")</f>
        <v>Moderate</v>
      </c>
    </row>
    <row r="885" spans="1:8" ht="17" x14ac:dyDescent="0.2">
      <c r="A885">
        <v>884</v>
      </c>
      <c r="B885" cm="1">
        <f t="array" ref="B885:G885">_xlfn.XLOOKUP($A885,Instagram_Usage_Lifestyle_Mini_!$A:$A,Instagram_Usage_Lifestyle_Mini_!$W:$AB,"Not Found")</f>
        <v>46</v>
      </c>
      <c r="C885">
        <v>2</v>
      </c>
      <c r="D885">
        <v>2</v>
      </c>
      <c r="E885">
        <v>14</v>
      </c>
      <c r="F885">
        <v>4.5</v>
      </c>
      <c r="G885">
        <v>2</v>
      </c>
      <c r="H885" s="13" t="str" cm="1">
        <f t="array" ref="H885">_xlfn.IFS(B885&lt;20,"Low",B885&lt;=40,"Moderate",B885&lt;=60,"High",TRUE,"Very High")</f>
        <v>High</v>
      </c>
    </row>
    <row r="886" spans="1:8" ht="17" x14ac:dyDescent="0.2">
      <c r="A886">
        <v>885</v>
      </c>
      <c r="B886" cm="1">
        <f t="array" ref="B886:G886">_xlfn.XLOOKUP($A886,Instagram_Usage_Lifestyle_Mini_!$A:$A,Instagram_Usage_Lifestyle_Mini_!$W:$AB,"Not Found")</f>
        <v>24.8</v>
      </c>
      <c r="C886">
        <v>1</v>
      </c>
      <c r="D886">
        <v>2</v>
      </c>
      <c r="E886">
        <v>10</v>
      </c>
      <c r="F886">
        <v>1.8</v>
      </c>
      <c r="G886">
        <v>8</v>
      </c>
      <c r="H886" s="13" t="str" cm="1">
        <f t="array" ref="H886">_xlfn.IFS(B886&lt;20,"Low",B886&lt;=40,"Moderate",B886&lt;=60,"High",TRUE,"Very High")</f>
        <v>Moderate</v>
      </c>
    </row>
    <row r="887" spans="1:8" ht="17" x14ac:dyDescent="0.2">
      <c r="A887">
        <v>886</v>
      </c>
      <c r="B887" cm="1">
        <f t="array" ref="B887:G887">_xlfn.XLOOKUP($A887,Instagram_Usage_Lifestyle_Mini_!$A:$A,Instagram_Usage_Lifestyle_Mini_!$W:$AB,"Not Found")</f>
        <v>31.6</v>
      </c>
      <c r="C887">
        <v>5</v>
      </c>
      <c r="D887">
        <v>9</v>
      </c>
      <c r="E887">
        <v>12</v>
      </c>
      <c r="F887">
        <v>7.5</v>
      </c>
      <c r="G887">
        <v>3</v>
      </c>
      <c r="H887" s="13" t="str" cm="1">
        <f t="array" ref="H887">_xlfn.IFS(B887&lt;20,"Low",B887&lt;=40,"Moderate",B887&lt;=60,"High",TRUE,"Very High")</f>
        <v>Moderate</v>
      </c>
    </row>
    <row r="888" spans="1:8" ht="17" x14ac:dyDescent="0.2">
      <c r="A888">
        <v>887</v>
      </c>
      <c r="B888" cm="1">
        <f t="array" ref="B888:G888">_xlfn.XLOOKUP($A888,Instagram_Usage_Lifestyle_Mini_!$A:$A,Instagram_Usage_Lifestyle_Mini_!$W:$AB,"Not Found")</f>
        <v>50.9</v>
      </c>
      <c r="C888">
        <v>0</v>
      </c>
      <c r="D888">
        <v>4</v>
      </c>
      <c r="E888">
        <v>13</v>
      </c>
      <c r="F888">
        <v>5.7</v>
      </c>
      <c r="G888">
        <v>3</v>
      </c>
      <c r="H888" s="13" t="str" cm="1">
        <f t="array" ref="H888">_xlfn.IFS(B888&lt;20,"Low",B888&lt;=40,"Moderate",B888&lt;=60,"High",TRUE,"Very High")</f>
        <v>High</v>
      </c>
    </row>
    <row r="889" spans="1:8" ht="17" x14ac:dyDescent="0.2">
      <c r="A889">
        <v>888</v>
      </c>
      <c r="B889" cm="1">
        <f t="array" ref="B889:G889">_xlfn.XLOOKUP($A889,Instagram_Usage_Lifestyle_Mini_!$A:$A,Instagram_Usage_Lifestyle_Mini_!$W:$AB,"Not Found")</f>
        <v>49.6</v>
      </c>
      <c r="C889">
        <v>2</v>
      </c>
      <c r="D889">
        <v>4</v>
      </c>
      <c r="E889">
        <v>8</v>
      </c>
      <c r="F889">
        <v>1.3</v>
      </c>
      <c r="G889">
        <v>3</v>
      </c>
      <c r="H889" s="13" t="str" cm="1">
        <f t="array" ref="H889">_xlfn.IFS(B889&lt;20,"Low",B889&lt;=40,"Moderate",B889&lt;=60,"High",TRUE,"Very High")</f>
        <v>High</v>
      </c>
    </row>
    <row r="890" spans="1:8" ht="17" x14ac:dyDescent="0.2">
      <c r="A890">
        <v>889</v>
      </c>
      <c r="B890" cm="1">
        <f t="array" ref="B890:G890">_xlfn.XLOOKUP($A890,Instagram_Usage_Lifestyle_Mini_!$A:$A,Instagram_Usage_Lifestyle_Mini_!$W:$AB,"Not Found")</f>
        <v>47.4</v>
      </c>
      <c r="C890">
        <v>4</v>
      </c>
      <c r="D890">
        <v>2</v>
      </c>
      <c r="E890">
        <v>10</v>
      </c>
      <c r="F890">
        <v>1.1000000000000001</v>
      </c>
      <c r="G890">
        <v>4</v>
      </c>
      <c r="H890" s="13" t="str" cm="1">
        <f t="array" ref="H890">_xlfn.IFS(B890&lt;20,"Low",B890&lt;=40,"Moderate",B890&lt;=60,"High",TRUE,"Very High")</f>
        <v>High</v>
      </c>
    </row>
    <row r="891" spans="1:8" ht="17" x14ac:dyDescent="0.2">
      <c r="A891">
        <v>890</v>
      </c>
      <c r="B891" cm="1">
        <f t="array" ref="B891:G891">_xlfn.XLOOKUP($A891,Instagram_Usage_Lifestyle_Mini_!$A:$A,Instagram_Usage_Lifestyle_Mini_!$W:$AB,"Not Found")</f>
        <v>49.7</v>
      </c>
      <c r="C891">
        <v>5</v>
      </c>
      <c r="D891">
        <v>7</v>
      </c>
      <c r="E891">
        <v>6</v>
      </c>
      <c r="F891">
        <v>2.6</v>
      </c>
      <c r="G891">
        <v>5</v>
      </c>
      <c r="H891" s="13" t="str" cm="1">
        <f t="array" ref="H891">_xlfn.IFS(B891&lt;20,"Low",B891&lt;=40,"Moderate",B891&lt;=60,"High",TRUE,"Very High")</f>
        <v>High</v>
      </c>
    </row>
    <row r="892" spans="1:8" ht="17" x14ac:dyDescent="0.2">
      <c r="A892">
        <v>891</v>
      </c>
      <c r="B892" cm="1">
        <f t="array" ref="B892:G892">_xlfn.XLOOKUP($A892,Instagram_Usage_Lifestyle_Mini_!$A:$A,Instagram_Usage_Lifestyle_Mini_!$W:$AB,"Not Found")</f>
        <v>40.700000000000003</v>
      </c>
      <c r="C892">
        <v>3</v>
      </c>
      <c r="D892">
        <v>4</v>
      </c>
      <c r="E892">
        <v>13</v>
      </c>
      <c r="F892">
        <v>1.7</v>
      </c>
      <c r="G892">
        <v>3</v>
      </c>
      <c r="H892" s="13" t="str" cm="1">
        <f t="array" ref="H892">_xlfn.IFS(B892&lt;20,"Low",B892&lt;=40,"Moderate",B892&lt;=60,"High",TRUE,"Very High")</f>
        <v>High</v>
      </c>
    </row>
    <row r="893" spans="1:8" ht="17" x14ac:dyDescent="0.2">
      <c r="A893">
        <v>892</v>
      </c>
      <c r="B893" cm="1">
        <f t="array" ref="B893:G893">_xlfn.XLOOKUP($A893,Instagram_Usage_Lifestyle_Mini_!$A:$A,Instagram_Usage_Lifestyle_Mini_!$W:$AB,"Not Found")</f>
        <v>31.8</v>
      </c>
      <c r="C893">
        <v>5</v>
      </c>
      <c r="D893">
        <v>5</v>
      </c>
      <c r="E893">
        <v>10</v>
      </c>
      <c r="F893">
        <v>5</v>
      </c>
      <c r="G893">
        <v>2</v>
      </c>
      <c r="H893" s="13" t="str" cm="1">
        <f t="array" ref="H893">_xlfn.IFS(B893&lt;20,"Low",B893&lt;=40,"Moderate",B893&lt;=60,"High",TRUE,"Very High")</f>
        <v>Moderate</v>
      </c>
    </row>
    <row r="894" spans="1:8" ht="17" x14ac:dyDescent="0.2">
      <c r="A894">
        <v>893</v>
      </c>
      <c r="B894" cm="1">
        <f t="array" ref="B894:G894">_xlfn.XLOOKUP($A894,Instagram_Usage_Lifestyle_Mini_!$A:$A,Instagram_Usage_Lifestyle_Mini_!$W:$AB,"Not Found")</f>
        <v>50.1</v>
      </c>
      <c r="C894">
        <v>2</v>
      </c>
      <c r="D894">
        <v>6</v>
      </c>
      <c r="E894">
        <v>12</v>
      </c>
      <c r="F894">
        <v>8.5</v>
      </c>
      <c r="G894">
        <v>4</v>
      </c>
      <c r="H894" s="13" t="str" cm="1">
        <f t="array" ref="H894">_xlfn.IFS(B894&lt;20,"Low",B894&lt;=40,"Moderate",B894&lt;=60,"High",TRUE,"Very High")</f>
        <v>High</v>
      </c>
    </row>
    <row r="895" spans="1:8" ht="17" x14ac:dyDescent="0.2">
      <c r="A895">
        <v>894</v>
      </c>
      <c r="B895" cm="1">
        <f t="array" ref="B895:G895">_xlfn.XLOOKUP($A895,Instagram_Usage_Lifestyle_Mini_!$A:$A,Instagram_Usage_Lifestyle_Mini_!$W:$AB,"Not Found")</f>
        <v>20.3</v>
      </c>
      <c r="C895">
        <v>2</v>
      </c>
      <c r="D895">
        <v>6</v>
      </c>
      <c r="E895">
        <v>9</v>
      </c>
      <c r="F895">
        <v>3.7</v>
      </c>
      <c r="G895">
        <v>3</v>
      </c>
      <c r="H895" s="13" t="str" cm="1">
        <f t="array" ref="H895">_xlfn.IFS(B895&lt;20,"Low",B895&lt;=40,"Moderate",B895&lt;=60,"High",TRUE,"Very High")</f>
        <v>Moderate</v>
      </c>
    </row>
    <row r="896" spans="1:8" ht="17" x14ac:dyDescent="0.2">
      <c r="A896">
        <v>895</v>
      </c>
      <c r="B896" cm="1">
        <f t="array" ref="B896:G896">_xlfn.XLOOKUP($A896,Instagram_Usage_Lifestyle_Mini_!$A:$A,Instagram_Usage_Lifestyle_Mini_!$W:$AB,"Not Found")</f>
        <v>42.7</v>
      </c>
      <c r="C896">
        <v>2</v>
      </c>
      <c r="D896">
        <v>5</v>
      </c>
      <c r="E896">
        <v>11</v>
      </c>
      <c r="F896">
        <v>7</v>
      </c>
      <c r="G896">
        <v>5</v>
      </c>
      <c r="H896" s="13" t="str" cm="1">
        <f t="array" ref="H896">_xlfn.IFS(B896&lt;20,"Low",B896&lt;=40,"Moderate",B896&lt;=60,"High",TRUE,"Very High")</f>
        <v>High</v>
      </c>
    </row>
    <row r="897" spans="1:8" ht="17" x14ac:dyDescent="0.2">
      <c r="A897">
        <v>896</v>
      </c>
      <c r="B897" cm="1">
        <f t="array" ref="B897:G897">_xlfn.XLOOKUP($A897,Instagram_Usage_Lifestyle_Mini_!$A:$A,Instagram_Usage_Lifestyle_Mini_!$W:$AB,"Not Found")</f>
        <v>25.7</v>
      </c>
      <c r="C897">
        <v>3</v>
      </c>
      <c r="D897">
        <v>3</v>
      </c>
      <c r="E897">
        <v>14</v>
      </c>
      <c r="F897">
        <v>5.4</v>
      </c>
      <c r="G897">
        <v>6</v>
      </c>
      <c r="H897" s="13" t="str" cm="1">
        <f t="array" ref="H897">_xlfn.IFS(B897&lt;20,"Low",B897&lt;=40,"Moderate",B897&lt;=60,"High",TRUE,"Very High")</f>
        <v>Moderate</v>
      </c>
    </row>
    <row r="898" spans="1:8" ht="17" x14ac:dyDescent="0.2">
      <c r="A898">
        <v>897</v>
      </c>
      <c r="B898" cm="1">
        <f t="array" ref="B898:G898">_xlfn.XLOOKUP($A898,Instagram_Usage_Lifestyle_Mini_!$A:$A,Instagram_Usage_Lifestyle_Mini_!$W:$AB,"Not Found")</f>
        <v>44</v>
      </c>
      <c r="C898">
        <v>5</v>
      </c>
      <c r="D898">
        <v>7</v>
      </c>
      <c r="E898">
        <v>7</v>
      </c>
      <c r="F898">
        <v>0.7</v>
      </c>
      <c r="G898">
        <v>3</v>
      </c>
      <c r="H898" s="13" t="str" cm="1">
        <f t="array" ref="H898">_xlfn.IFS(B898&lt;20,"Low",B898&lt;=40,"Moderate",B898&lt;=60,"High",TRUE,"Very High")</f>
        <v>High</v>
      </c>
    </row>
    <row r="899" spans="1:8" ht="17" x14ac:dyDescent="0.2">
      <c r="A899">
        <v>898</v>
      </c>
      <c r="B899" cm="1">
        <f t="array" ref="B899:G899">_xlfn.XLOOKUP($A899,Instagram_Usage_Lifestyle_Mini_!$A:$A,Instagram_Usage_Lifestyle_Mini_!$W:$AB,"Not Found")</f>
        <v>58.4</v>
      </c>
      <c r="C899">
        <v>1</v>
      </c>
      <c r="D899">
        <v>4</v>
      </c>
      <c r="E899">
        <v>13</v>
      </c>
      <c r="F899">
        <v>0.8</v>
      </c>
      <c r="G899">
        <v>2</v>
      </c>
      <c r="H899" s="13" t="str" cm="1">
        <f t="array" ref="H899">_xlfn.IFS(B899&lt;20,"Low",B899&lt;=40,"Moderate",B899&lt;=60,"High",TRUE,"Very High")</f>
        <v>High</v>
      </c>
    </row>
    <row r="900" spans="1:8" ht="17" x14ac:dyDescent="0.2">
      <c r="A900">
        <v>899</v>
      </c>
      <c r="B900" cm="1">
        <f t="array" ref="B900:G900">_xlfn.XLOOKUP($A900,Instagram_Usage_Lifestyle_Mini_!$A:$A,Instagram_Usage_Lifestyle_Mini_!$W:$AB,"Not Found")</f>
        <v>43.3</v>
      </c>
      <c r="C900">
        <v>2</v>
      </c>
      <c r="D900">
        <v>4</v>
      </c>
      <c r="E900">
        <v>10</v>
      </c>
      <c r="F900">
        <v>2.9</v>
      </c>
      <c r="G900">
        <v>1</v>
      </c>
      <c r="H900" s="13" t="str" cm="1">
        <f t="array" ref="H900">_xlfn.IFS(B900&lt;20,"Low",B900&lt;=40,"Moderate",B900&lt;=60,"High",TRUE,"Very High")</f>
        <v>High</v>
      </c>
    </row>
    <row r="901" spans="1:8" ht="17" x14ac:dyDescent="0.2">
      <c r="A901">
        <v>900</v>
      </c>
      <c r="B901" cm="1">
        <f t="array" ref="B901:G901">_xlfn.XLOOKUP($A901,Instagram_Usage_Lifestyle_Mini_!$A:$A,Instagram_Usage_Lifestyle_Mini_!$W:$AB,"Not Found")</f>
        <v>39.9</v>
      </c>
      <c r="C901">
        <v>3</v>
      </c>
      <c r="D901">
        <v>2</v>
      </c>
      <c r="E901">
        <v>11</v>
      </c>
      <c r="F901">
        <v>1.1000000000000001</v>
      </c>
      <c r="G901">
        <v>2</v>
      </c>
      <c r="H901" s="13" t="str" cm="1">
        <f t="array" ref="H901">_xlfn.IFS(B901&lt;20,"Low",B901&lt;=40,"Moderate",B901&lt;=60,"High",TRUE,"Very High")</f>
        <v>Moderate</v>
      </c>
    </row>
    <row r="902" spans="1:8" ht="17" x14ac:dyDescent="0.2">
      <c r="A902">
        <v>901</v>
      </c>
      <c r="B902" cm="1">
        <f t="array" ref="B902:G902">_xlfn.XLOOKUP($A902,Instagram_Usage_Lifestyle_Mini_!$A:$A,Instagram_Usage_Lifestyle_Mini_!$W:$AB,"Not Found")</f>
        <v>35.9</v>
      </c>
      <c r="C902">
        <v>3</v>
      </c>
      <c r="D902">
        <v>5</v>
      </c>
      <c r="E902">
        <v>11</v>
      </c>
      <c r="F902">
        <v>5.2</v>
      </c>
      <c r="G902">
        <v>5</v>
      </c>
      <c r="H902" s="13" t="str" cm="1">
        <f t="array" ref="H902">_xlfn.IFS(B902&lt;20,"Low",B902&lt;=40,"Moderate",B902&lt;=60,"High",TRUE,"Very High")</f>
        <v>Moderate</v>
      </c>
    </row>
    <row r="903" spans="1:8" ht="17" x14ac:dyDescent="0.2">
      <c r="A903">
        <v>902</v>
      </c>
      <c r="B903" cm="1">
        <f t="array" ref="B903:G903">_xlfn.XLOOKUP($A903,Instagram_Usage_Lifestyle_Mini_!$A:$A,Instagram_Usage_Lifestyle_Mini_!$W:$AB,"Not Found")</f>
        <v>41</v>
      </c>
      <c r="C903">
        <v>2</v>
      </c>
      <c r="D903">
        <v>4</v>
      </c>
      <c r="E903">
        <v>6</v>
      </c>
      <c r="F903">
        <v>0.9</v>
      </c>
      <c r="G903">
        <v>2</v>
      </c>
      <c r="H903" s="13" t="str" cm="1">
        <f t="array" ref="H903">_xlfn.IFS(B903&lt;20,"Low",B903&lt;=40,"Moderate",B903&lt;=60,"High",TRUE,"Very High")</f>
        <v>High</v>
      </c>
    </row>
    <row r="904" spans="1:8" ht="17" x14ac:dyDescent="0.2">
      <c r="A904">
        <v>903</v>
      </c>
      <c r="B904" cm="1">
        <f t="array" ref="B904:G904">_xlfn.XLOOKUP($A904,Instagram_Usage_Lifestyle_Mini_!$A:$A,Instagram_Usage_Lifestyle_Mini_!$W:$AB,"Not Found")</f>
        <v>38.4</v>
      </c>
      <c r="C904">
        <v>0</v>
      </c>
      <c r="D904">
        <v>3</v>
      </c>
      <c r="E904">
        <v>11</v>
      </c>
      <c r="F904">
        <v>5.7</v>
      </c>
      <c r="G904">
        <v>3</v>
      </c>
      <c r="H904" s="13" t="str" cm="1">
        <f t="array" ref="H904">_xlfn.IFS(B904&lt;20,"Low",B904&lt;=40,"Moderate",B904&lt;=60,"High",TRUE,"Very High")</f>
        <v>Moderate</v>
      </c>
    </row>
    <row r="905" spans="1:8" ht="17" x14ac:dyDescent="0.2">
      <c r="A905">
        <v>904</v>
      </c>
      <c r="B905" cm="1">
        <f t="array" ref="B905:G905">_xlfn.XLOOKUP($A905,Instagram_Usage_Lifestyle_Mini_!$A:$A,Instagram_Usage_Lifestyle_Mini_!$W:$AB,"Not Found")</f>
        <v>38.9</v>
      </c>
      <c r="C905">
        <v>3</v>
      </c>
      <c r="D905">
        <v>5</v>
      </c>
      <c r="E905">
        <v>10</v>
      </c>
      <c r="F905">
        <v>11.4</v>
      </c>
      <c r="G905">
        <v>1</v>
      </c>
      <c r="H905" s="13" t="str" cm="1">
        <f t="array" ref="H905">_xlfn.IFS(B905&lt;20,"Low",B905&lt;=40,"Moderate",B905&lt;=60,"High",TRUE,"Very High")</f>
        <v>Moderate</v>
      </c>
    </row>
    <row r="906" spans="1:8" ht="17" x14ac:dyDescent="0.2">
      <c r="A906">
        <v>905</v>
      </c>
      <c r="B906" cm="1">
        <f t="array" ref="B906:G906">_xlfn.XLOOKUP($A906,Instagram_Usage_Lifestyle_Mini_!$A:$A,Instagram_Usage_Lifestyle_Mini_!$W:$AB,"Not Found")</f>
        <v>30.8</v>
      </c>
      <c r="C906">
        <v>1</v>
      </c>
      <c r="D906">
        <v>7</v>
      </c>
      <c r="E906">
        <v>8</v>
      </c>
      <c r="F906">
        <v>4.5999999999999996</v>
      </c>
      <c r="G906">
        <v>4</v>
      </c>
      <c r="H906" s="13" t="str" cm="1">
        <f t="array" ref="H906">_xlfn.IFS(B906&lt;20,"Low",B906&lt;=40,"Moderate",B906&lt;=60,"High",TRUE,"Very High")</f>
        <v>Moderate</v>
      </c>
    </row>
    <row r="907" spans="1:8" ht="17" x14ac:dyDescent="0.2">
      <c r="A907">
        <v>906</v>
      </c>
      <c r="B907" cm="1">
        <f t="array" ref="B907:G907">_xlfn.XLOOKUP($A907,Instagram_Usage_Lifestyle_Mini_!$A:$A,Instagram_Usage_Lifestyle_Mini_!$W:$AB,"Not Found")</f>
        <v>28.8</v>
      </c>
      <c r="C907">
        <v>2</v>
      </c>
      <c r="D907">
        <v>5</v>
      </c>
      <c r="E907">
        <v>14</v>
      </c>
      <c r="F907">
        <v>2.8</v>
      </c>
      <c r="G907">
        <v>6</v>
      </c>
      <c r="H907" s="13" t="str" cm="1">
        <f t="array" ref="H907">_xlfn.IFS(B907&lt;20,"Low",B907&lt;=40,"Moderate",B907&lt;=60,"High",TRUE,"Very High")</f>
        <v>Moderate</v>
      </c>
    </row>
    <row r="908" spans="1:8" ht="17" x14ac:dyDescent="0.2">
      <c r="A908">
        <v>907</v>
      </c>
      <c r="B908" cm="1">
        <f t="array" ref="B908:G908">_xlfn.XLOOKUP($A908,Instagram_Usage_Lifestyle_Mini_!$A:$A,Instagram_Usage_Lifestyle_Mini_!$W:$AB,"Not Found")</f>
        <v>41.4</v>
      </c>
      <c r="C908">
        <v>2</v>
      </c>
      <c r="D908">
        <v>2</v>
      </c>
      <c r="E908">
        <v>9</v>
      </c>
      <c r="F908">
        <v>5.7</v>
      </c>
      <c r="G908">
        <v>4</v>
      </c>
      <c r="H908" s="13" t="str" cm="1">
        <f t="array" ref="H908">_xlfn.IFS(B908&lt;20,"Low",B908&lt;=40,"Moderate",B908&lt;=60,"High",TRUE,"Very High")</f>
        <v>High</v>
      </c>
    </row>
    <row r="909" spans="1:8" ht="17" x14ac:dyDescent="0.2">
      <c r="A909">
        <v>908</v>
      </c>
      <c r="B909" cm="1">
        <f t="array" ref="B909:G909">_xlfn.XLOOKUP($A909,Instagram_Usage_Lifestyle_Mini_!$A:$A,Instagram_Usage_Lifestyle_Mini_!$W:$AB,"Not Found")</f>
        <v>40.700000000000003</v>
      </c>
      <c r="C909">
        <v>2</v>
      </c>
      <c r="D909">
        <v>2</v>
      </c>
      <c r="E909">
        <v>8</v>
      </c>
      <c r="F909">
        <v>5.0999999999999996</v>
      </c>
      <c r="G909">
        <v>5</v>
      </c>
      <c r="H909" s="13" t="str" cm="1">
        <f t="array" ref="H909">_xlfn.IFS(B909&lt;20,"Low",B909&lt;=40,"Moderate",B909&lt;=60,"High",TRUE,"Very High")</f>
        <v>High</v>
      </c>
    </row>
    <row r="910" spans="1:8" ht="17" x14ac:dyDescent="0.2">
      <c r="A910">
        <v>909</v>
      </c>
      <c r="B910" cm="1">
        <f t="array" ref="B910:G910">_xlfn.XLOOKUP($A910,Instagram_Usage_Lifestyle_Mini_!$A:$A,Instagram_Usage_Lifestyle_Mini_!$W:$AB,"Not Found")</f>
        <v>45.1</v>
      </c>
      <c r="C910">
        <v>5</v>
      </c>
      <c r="D910">
        <v>7</v>
      </c>
      <c r="E910">
        <v>12</v>
      </c>
      <c r="F910">
        <v>1.5</v>
      </c>
      <c r="G910">
        <v>1</v>
      </c>
      <c r="H910" s="13" t="str" cm="1">
        <f t="array" ref="H910">_xlfn.IFS(B910&lt;20,"Low",B910&lt;=40,"Moderate",B910&lt;=60,"High",TRUE,"Very High")</f>
        <v>High</v>
      </c>
    </row>
    <row r="911" spans="1:8" ht="17" x14ac:dyDescent="0.2">
      <c r="A911">
        <v>910</v>
      </c>
      <c r="B911" cm="1">
        <f t="array" ref="B911:G911">_xlfn.XLOOKUP($A911,Instagram_Usage_Lifestyle_Mini_!$A:$A,Instagram_Usage_Lifestyle_Mini_!$W:$AB,"Not Found")</f>
        <v>38</v>
      </c>
      <c r="C911">
        <v>4</v>
      </c>
      <c r="D911">
        <v>5</v>
      </c>
      <c r="E911">
        <v>3</v>
      </c>
      <c r="F911">
        <v>3.4</v>
      </c>
      <c r="G911">
        <v>4</v>
      </c>
      <c r="H911" s="13" t="str" cm="1">
        <f t="array" ref="H911">_xlfn.IFS(B911&lt;20,"Low",B911&lt;=40,"Moderate",B911&lt;=60,"High",TRUE,"Very High")</f>
        <v>Moderate</v>
      </c>
    </row>
    <row r="912" spans="1:8" ht="17" x14ac:dyDescent="0.2">
      <c r="A912">
        <v>911</v>
      </c>
      <c r="B912" cm="1">
        <f t="array" ref="B912:G912">_xlfn.XLOOKUP($A912,Instagram_Usage_Lifestyle_Mini_!$A:$A,Instagram_Usage_Lifestyle_Mini_!$W:$AB,"Not Found")</f>
        <v>44.8</v>
      </c>
      <c r="C912">
        <v>6</v>
      </c>
      <c r="D912">
        <v>4</v>
      </c>
      <c r="E912">
        <v>9</v>
      </c>
      <c r="F912">
        <v>7.4</v>
      </c>
      <c r="G912">
        <v>3</v>
      </c>
      <c r="H912" s="13" t="str" cm="1">
        <f t="array" ref="H912">_xlfn.IFS(B912&lt;20,"Low",B912&lt;=40,"Moderate",B912&lt;=60,"High",TRUE,"Very High")</f>
        <v>High</v>
      </c>
    </row>
    <row r="913" spans="1:8" ht="17" x14ac:dyDescent="0.2">
      <c r="A913">
        <v>912</v>
      </c>
      <c r="B913" cm="1">
        <f t="array" ref="B913:G913">_xlfn.XLOOKUP($A913,Instagram_Usage_Lifestyle_Mini_!$A:$A,Instagram_Usage_Lifestyle_Mini_!$W:$AB,"Not Found")</f>
        <v>21.9</v>
      </c>
      <c r="C913">
        <v>5</v>
      </c>
      <c r="D913">
        <v>1</v>
      </c>
      <c r="E913">
        <v>7</v>
      </c>
      <c r="F913">
        <v>9.4</v>
      </c>
      <c r="G913">
        <v>2</v>
      </c>
      <c r="H913" s="13" t="str" cm="1">
        <f t="array" ref="H913">_xlfn.IFS(B913&lt;20,"Low",B913&lt;=40,"Moderate",B913&lt;=60,"High",TRUE,"Very High")</f>
        <v>Moderate</v>
      </c>
    </row>
    <row r="914" spans="1:8" ht="17" x14ac:dyDescent="0.2">
      <c r="A914">
        <v>913</v>
      </c>
      <c r="B914" cm="1">
        <f t="array" ref="B914:G914">_xlfn.XLOOKUP($A914,Instagram_Usage_Lifestyle_Mini_!$A:$A,Instagram_Usage_Lifestyle_Mini_!$W:$AB,"Not Found")</f>
        <v>38.5</v>
      </c>
      <c r="C914">
        <v>1</v>
      </c>
      <c r="D914">
        <v>3</v>
      </c>
      <c r="E914">
        <v>6</v>
      </c>
      <c r="F914">
        <v>3.4</v>
      </c>
      <c r="G914">
        <v>1</v>
      </c>
      <c r="H914" s="13" t="str" cm="1">
        <f t="array" ref="H914">_xlfn.IFS(B914&lt;20,"Low",B914&lt;=40,"Moderate",B914&lt;=60,"High",TRUE,"Very High")</f>
        <v>Moderate</v>
      </c>
    </row>
    <row r="915" spans="1:8" ht="17" x14ac:dyDescent="0.2">
      <c r="A915">
        <v>914</v>
      </c>
      <c r="B915" cm="1">
        <f t="array" ref="B915:G915">_xlfn.XLOOKUP($A915,Instagram_Usage_Lifestyle_Mini_!$A:$A,Instagram_Usage_Lifestyle_Mini_!$W:$AB,"Not Found")</f>
        <v>36.4</v>
      </c>
      <c r="C915">
        <v>4</v>
      </c>
      <c r="D915">
        <v>5</v>
      </c>
      <c r="E915">
        <v>10</v>
      </c>
      <c r="F915">
        <v>7.4</v>
      </c>
      <c r="G915">
        <v>1</v>
      </c>
      <c r="H915" s="13" t="str" cm="1">
        <f t="array" ref="H915">_xlfn.IFS(B915&lt;20,"Low",B915&lt;=40,"Moderate",B915&lt;=60,"High",TRUE,"Very High")</f>
        <v>Moderate</v>
      </c>
    </row>
    <row r="916" spans="1:8" ht="17" x14ac:dyDescent="0.2">
      <c r="A916">
        <v>915</v>
      </c>
      <c r="B916" cm="1">
        <f t="array" ref="B916:G916">_xlfn.XLOOKUP($A916,Instagram_Usage_Lifestyle_Mini_!$A:$A,Instagram_Usage_Lifestyle_Mini_!$W:$AB,"Not Found")</f>
        <v>41.2</v>
      </c>
      <c r="C916">
        <v>3</v>
      </c>
      <c r="D916">
        <v>5</v>
      </c>
      <c r="E916">
        <v>8</v>
      </c>
      <c r="F916">
        <v>4.5999999999999996</v>
      </c>
      <c r="G916">
        <v>3</v>
      </c>
      <c r="H916" s="13" t="str" cm="1">
        <f t="array" ref="H916">_xlfn.IFS(B916&lt;20,"Low",B916&lt;=40,"Moderate",B916&lt;=60,"High",TRUE,"Very High")</f>
        <v>High</v>
      </c>
    </row>
    <row r="917" spans="1:8" ht="17" x14ac:dyDescent="0.2">
      <c r="A917">
        <v>916</v>
      </c>
      <c r="B917" cm="1">
        <f t="array" ref="B917:G917">_xlfn.XLOOKUP($A917,Instagram_Usage_Lifestyle_Mini_!$A:$A,Instagram_Usage_Lifestyle_Mini_!$W:$AB,"Not Found")</f>
        <v>29.1</v>
      </c>
      <c r="C917">
        <v>5</v>
      </c>
      <c r="D917">
        <v>2</v>
      </c>
      <c r="E917">
        <v>7</v>
      </c>
      <c r="F917">
        <v>2.4</v>
      </c>
      <c r="G917">
        <v>2</v>
      </c>
      <c r="H917" s="13" t="str" cm="1">
        <f t="array" ref="H917">_xlfn.IFS(B917&lt;20,"Low",B917&lt;=40,"Moderate",B917&lt;=60,"High",TRUE,"Very High")</f>
        <v>Moderate</v>
      </c>
    </row>
    <row r="918" spans="1:8" ht="17" x14ac:dyDescent="0.2">
      <c r="A918">
        <v>917</v>
      </c>
      <c r="B918" cm="1">
        <f t="array" ref="B918:G918">_xlfn.XLOOKUP($A918,Instagram_Usage_Lifestyle_Mini_!$A:$A,Instagram_Usage_Lifestyle_Mini_!$W:$AB,"Not Found")</f>
        <v>42</v>
      </c>
      <c r="C918">
        <v>5</v>
      </c>
      <c r="D918">
        <v>3</v>
      </c>
      <c r="E918">
        <v>8</v>
      </c>
      <c r="F918">
        <v>3.6</v>
      </c>
      <c r="G918">
        <v>4</v>
      </c>
      <c r="H918" s="13" t="str" cm="1">
        <f t="array" ref="H918">_xlfn.IFS(B918&lt;20,"Low",B918&lt;=40,"Moderate",B918&lt;=60,"High",TRUE,"Very High")</f>
        <v>High</v>
      </c>
    </row>
    <row r="919" spans="1:8" ht="17" x14ac:dyDescent="0.2">
      <c r="A919">
        <v>918</v>
      </c>
      <c r="B919" cm="1">
        <f t="array" ref="B919:G919">_xlfn.XLOOKUP($A919,Instagram_Usage_Lifestyle_Mini_!$A:$A,Instagram_Usage_Lifestyle_Mini_!$W:$AB,"Not Found")</f>
        <v>38.1</v>
      </c>
      <c r="C919">
        <v>4</v>
      </c>
      <c r="D919">
        <v>4</v>
      </c>
      <c r="E919">
        <v>6</v>
      </c>
      <c r="F919">
        <v>1.8</v>
      </c>
      <c r="G919">
        <v>3</v>
      </c>
      <c r="H919" s="13" t="str" cm="1">
        <f t="array" ref="H919">_xlfn.IFS(B919&lt;20,"Low",B919&lt;=40,"Moderate",B919&lt;=60,"High",TRUE,"Very High")</f>
        <v>Moderate</v>
      </c>
    </row>
    <row r="920" spans="1:8" ht="17" x14ac:dyDescent="0.2">
      <c r="A920">
        <v>919</v>
      </c>
      <c r="B920" cm="1">
        <f t="array" ref="B920:G920">_xlfn.XLOOKUP($A920,Instagram_Usage_Lifestyle_Mini_!$A:$A,Instagram_Usage_Lifestyle_Mini_!$W:$AB,"Not Found")</f>
        <v>39.6</v>
      </c>
      <c r="C920">
        <v>4</v>
      </c>
      <c r="D920">
        <v>6</v>
      </c>
      <c r="E920">
        <v>10</v>
      </c>
      <c r="F920">
        <v>3.4</v>
      </c>
      <c r="G920">
        <v>2</v>
      </c>
      <c r="H920" s="13" t="str" cm="1">
        <f t="array" ref="H920">_xlfn.IFS(B920&lt;20,"Low",B920&lt;=40,"Moderate",B920&lt;=60,"High",TRUE,"Very High")</f>
        <v>Moderate</v>
      </c>
    </row>
    <row r="921" spans="1:8" ht="17" x14ac:dyDescent="0.2">
      <c r="A921">
        <v>920</v>
      </c>
      <c r="B921" cm="1">
        <f t="array" ref="B921:G921">_xlfn.XLOOKUP($A921,Instagram_Usage_Lifestyle_Mini_!$A:$A,Instagram_Usage_Lifestyle_Mini_!$W:$AB,"Not Found")</f>
        <v>50</v>
      </c>
      <c r="C921">
        <v>1</v>
      </c>
      <c r="D921">
        <v>0</v>
      </c>
      <c r="E921">
        <v>5</v>
      </c>
      <c r="F921">
        <v>1.6</v>
      </c>
      <c r="G921">
        <v>1</v>
      </c>
      <c r="H921" s="13" t="str" cm="1">
        <f t="array" ref="H921">_xlfn.IFS(B921&lt;20,"Low",B921&lt;=40,"Moderate",B921&lt;=60,"High",TRUE,"Very High")</f>
        <v>High</v>
      </c>
    </row>
    <row r="922" spans="1:8" ht="17" x14ac:dyDescent="0.2">
      <c r="A922">
        <v>921</v>
      </c>
      <c r="B922" cm="1">
        <f t="array" ref="B922:G922">_xlfn.XLOOKUP($A922,Instagram_Usage_Lifestyle_Mini_!$A:$A,Instagram_Usage_Lifestyle_Mini_!$W:$AB,"Not Found")</f>
        <v>35</v>
      </c>
      <c r="C922">
        <v>5</v>
      </c>
      <c r="D922">
        <v>2</v>
      </c>
      <c r="E922">
        <v>7</v>
      </c>
      <c r="F922">
        <v>7.8</v>
      </c>
      <c r="G922">
        <v>2</v>
      </c>
      <c r="H922" s="13" t="str" cm="1">
        <f t="array" ref="H922">_xlfn.IFS(B922&lt;20,"Low",B922&lt;=40,"Moderate",B922&lt;=60,"High",TRUE,"Very High")</f>
        <v>Moderate</v>
      </c>
    </row>
    <row r="923" spans="1:8" ht="17" x14ac:dyDescent="0.2">
      <c r="A923">
        <v>922</v>
      </c>
      <c r="B923" cm="1">
        <f t="array" ref="B923:G923">_xlfn.XLOOKUP($A923,Instagram_Usage_Lifestyle_Mini_!$A:$A,Instagram_Usage_Lifestyle_Mini_!$W:$AB,"Not Found")</f>
        <v>30.2</v>
      </c>
      <c r="C923">
        <v>5</v>
      </c>
      <c r="D923">
        <v>4</v>
      </c>
      <c r="E923">
        <v>15</v>
      </c>
      <c r="F923">
        <v>6.9</v>
      </c>
      <c r="G923">
        <v>5</v>
      </c>
      <c r="H923" s="13" t="str" cm="1">
        <f t="array" ref="H923">_xlfn.IFS(B923&lt;20,"Low",B923&lt;=40,"Moderate",B923&lt;=60,"High",TRUE,"Very High")</f>
        <v>Moderate</v>
      </c>
    </row>
    <row r="924" spans="1:8" ht="17" x14ac:dyDescent="0.2">
      <c r="A924">
        <v>923</v>
      </c>
      <c r="B924" cm="1">
        <f t="array" ref="B924:G924">_xlfn.XLOOKUP($A924,Instagram_Usage_Lifestyle_Mini_!$A:$A,Instagram_Usage_Lifestyle_Mini_!$W:$AB,"Not Found")</f>
        <v>41.1</v>
      </c>
      <c r="C924">
        <v>0</v>
      </c>
      <c r="D924">
        <v>4</v>
      </c>
      <c r="E924">
        <v>10</v>
      </c>
      <c r="F924">
        <v>3.3</v>
      </c>
      <c r="G924">
        <v>5</v>
      </c>
      <c r="H924" s="13" t="str" cm="1">
        <f t="array" ref="H924">_xlfn.IFS(B924&lt;20,"Low",B924&lt;=40,"Moderate",B924&lt;=60,"High",TRUE,"Very High")</f>
        <v>High</v>
      </c>
    </row>
    <row r="925" spans="1:8" ht="17" x14ac:dyDescent="0.2">
      <c r="A925">
        <v>924</v>
      </c>
      <c r="B925" cm="1">
        <f t="array" ref="B925:G925">_xlfn.XLOOKUP($A925,Instagram_Usage_Lifestyle_Mini_!$A:$A,Instagram_Usage_Lifestyle_Mini_!$W:$AB,"Not Found")</f>
        <v>41.5</v>
      </c>
      <c r="C925">
        <v>4</v>
      </c>
      <c r="D925">
        <v>1</v>
      </c>
      <c r="E925">
        <v>10</v>
      </c>
      <c r="F925">
        <v>3.6</v>
      </c>
      <c r="G925">
        <v>3</v>
      </c>
      <c r="H925" s="13" t="str" cm="1">
        <f t="array" ref="H925">_xlfn.IFS(B925&lt;20,"Low",B925&lt;=40,"Moderate",B925&lt;=60,"High",TRUE,"Very High")</f>
        <v>High</v>
      </c>
    </row>
    <row r="926" spans="1:8" ht="17" x14ac:dyDescent="0.2">
      <c r="A926">
        <v>925</v>
      </c>
      <c r="B926" cm="1">
        <f t="array" ref="B926:G926">_xlfn.XLOOKUP($A926,Instagram_Usage_Lifestyle_Mini_!$A:$A,Instagram_Usage_Lifestyle_Mini_!$W:$AB,"Not Found")</f>
        <v>52.8</v>
      </c>
      <c r="C926">
        <v>4</v>
      </c>
      <c r="D926">
        <v>7</v>
      </c>
      <c r="E926">
        <v>6</v>
      </c>
      <c r="F926">
        <v>9.6999999999999993</v>
      </c>
      <c r="G926">
        <v>4</v>
      </c>
      <c r="H926" s="13" t="str" cm="1">
        <f t="array" ref="H926">_xlfn.IFS(B926&lt;20,"Low",B926&lt;=40,"Moderate",B926&lt;=60,"High",TRUE,"Very High")</f>
        <v>High</v>
      </c>
    </row>
    <row r="927" spans="1:8" ht="17" x14ac:dyDescent="0.2">
      <c r="A927">
        <v>926</v>
      </c>
      <c r="B927" cm="1">
        <f t="array" ref="B927:G927">_xlfn.XLOOKUP($A927,Instagram_Usage_Lifestyle_Mini_!$A:$A,Instagram_Usage_Lifestyle_Mini_!$W:$AB,"Not Found")</f>
        <v>52.3</v>
      </c>
      <c r="C927">
        <v>2</v>
      </c>
      <c r="D927">
        <v>2</v>
      </c>
      <c r="E927">
        <v>10</v>
      </c>
      <c r="F927">
        <v>4.2</v>
      </c>
      <c r="G927">
        <v>1</v>
      </c>
      <c r="H927" s="13" t="str" cm="1">
        <f t="array" ref="H927">_xlfn.IFS(B927&lt;20,"Low",B927&lt;=40,"Moderate",B927&lt;=60,"High",TRUE,"Very High")</f>
        <v>High</v>
      </c>
    </row>
    <row r="928" spans="1:8" ht="17" x14ac:dyDescent="0.2">
      <c r="A928">
        <v>927</v>
      </c>
      <c r="B928" cm="1">
        <f t="array" ref="B928:G928">_xlfn.XLOOKUP($A928,Instagram_Usage_Lifestyle_Mini_!$A:$A,Instagram_Usage_Lifestyle_Mini_!$W:$AB,"Not Found")</f>
        <v>43.4</v>
      </c>
      <c r="C928">
        <v>2</v>
      </c>
      <c r="D928">
        <v>4</v>
      </c>
      <c r="E928">
        <v>9</v>
      </c>
      <c r="F928">
        <v>2.5</v>
      </c>
      <c r="G928">
        <v>3</v>
      </c>
      <c r="H928" s="13" t="str" cm="1">
        <f t="array" ref="H928">_xlfn.IFS(B928&lt;20,"Low",B928&lt;=40,"Moderate",B928&lt;=60,"High",TRUE,"Very High")</f>
        <v>High</v>
      </c>
    </row>
    <row r="929" spans="1:8" ht="17" x14ac:dyDescent="0.2">
      <c r="A929">
        <v>928</v>
      </c>
      <c r="B929" cm="1">
        <f t="array" ref="B929:G929">_xlfn.XLOOKUP($A929,Instagram_Usage_Lifestyle_Mini_!$A:$A,Instagram_Usage_Lifestyle_Mini_!$W:$AB,"Not Found")</f>
        <v>30.1</v>
      </c>
      <c r="C929">
        <v>2</v>
      </c>
      <c r="D929">
        <v>1</v>
      </c>
      <c r="E929">
        <v>8</v>
      </c>
      <c r="F929">
        <v>1</v>
      </c>
      <c r="G929">
        <v>2</v>
      </c>
      <c r="H929" s="13" t="str" cm="1">
        <f t="array" ref="H929">_xlfn.IFS(B929&lt;20,"Low",B929&lt;=40,"Moderate",B929&lt;=60,"High",TRUE,"Very High")</f>
        <v>Moderate</v>
      </c>
    </row>
    <row r="930" spans="1:8" ht="17" x14ac:dyDescent="0.2">
      <c r="A930">
        <v>929</v>
      </c>
      <c r="B930" cm="1">
        <f t="array" ref="B930:G930">_xlfn.XLOOKUP($A930,Instagram_Usage_Lifestyle_Mini_!$A:$A,Instagram_Usage_Lifestyle_Mini_!$W:$AB,"Not Found")</f>
        <v>27.7</v>
      </c>
      <c r="C930">
        <v>2</v>
      </c>
      <c r="D930">
        <v>2</v>
      </c>
      <c r="E930">
        <v>11</v>
      </c>
      <c r="F930">
        <v>1.1000000000000001</v>
      </c>
      <c r="G930">
        <v>4</v>
      </c>
      <c r="H930" s="13" t="str" cm="1">
        <f t="array" ref="H930">_xlfn.IFS(B930&lt;20,"Low",B930&lt;=40,"Moderate",B930&lt;=60,"High",TRUE,"Very High")</f>
        <v>Moderate</v>
      </c>
    </row>
    <row r="931" spans="1:8" ht="17" x14ac:dyDescent="0.2">
      <c r="A931">
        <v>930</v>
      </c>
      <c r="B931" cm="1">
        <f t="array" ref="B931:G931">_xlfn.XLOOKUP($A931,Instagram_Usage_Lifestyle_Mini_!$A:$A,Instagram_Usage_Lifestyle_Mini_!$W:$AB,"Not Found")</f>
        <v>20.6</v>
      </c>
      <c r="C931">
        <v>2</v>
      </c>
      <c r="D931">
        <v>5</v>
      </c>
      <c r="E931">
        <v>10</v>
      </c>
      <c r="F931">
        <v>4.5</v>
      </c>
      <c r="G931">
        <v>3</v>
      </c>
      <c r="H931" s="13" t="str" cm="1">
        <f t="array" ref="H931">_xlfn.IFS(B931&lt;20,"Low",B931&lt;=40,"Moderate",B931&lt;=60,"High",TRUE,"Very High")</f>
        <v>Moderate</v>
      </c>
    </row>
    <row r="932" spans="1:8" ht="17" x14ac:dyDescent="0.2">
      <c r="A932">
        <v>931</v>
      </c>
      <c r="B932" cm="1">
        <f t="array" ref="B932:G932">_xlfn.XLOOKUP($A932,Instagram_Usage_Lifestyle_Mini_!$A:$A,Instagram_Usage_Lifestyle_Mini_!$W:$AB,"Not Found")</f>
        <v>45.7</v>
      </c>
      <c r="C932">
        <v>9</v>
      </c>
      <c r="D932">
        <v>6</v>
      </c>
      <c r="E932">
        <v>12</v>
      </c>
      <c r="F932">
        <v>3.2</v>
      </c>
      <c r="G932">
        <v>2</v>
      </c>
      <c r="H932" s="13" t="str" cm="1">
        <f t="array" ref="H932">_xlfn.IFS(B932&lt;20,"Low",B932&lt;=40,"Moderate",B932&lt;=60,"High",TRUE,"Very High")</f>
        <v>High</v>
      </c>
    </row>
    <row r="933" spans="1:8" ht="17" x14ac:dyDescent="0.2">
      <c r="A933">
        <v>932</v>
      </c>
      <c r="B933" cm="1">
        <f t="array" ref="B933:G933">_xlfn.XLOOKUP($A933,Instagram_Usage_Lifestyle_Mini_!$A:$A,Instagram_Usage_Lifestyle_Mini_!$W:$AB,"Not Found")</f>
        <v>33.4</v>
      </c>
      <c r="C933">
        <v>4</v>
      </c>
      <c r="D933">
        <v>7</v>
      </c>
      <c r="E933">
        <v>10</v>
      </c>
      <c r="F933">
        <v>4.5999999999999996</v>
      </c>
      <c r="G933">
        <v>1</v>
      </c>
      <c r="H933" s="13" t="str" cm="1">
        <f t="array" ref="H933">_xlfn.IFS(B933&lt;20,"Low",B933&lt;=40,"Moderate",B933&lt;=60,"High",TRUE,"Very High")</f>
        <v>Moderate</v>
      </c>
    </row>
    <row r="934" spans="1:8" ht="17" x14ac:dyDescent="0.2">
      <c r="A934">
        <v>933</v>
      </c>
      <c r="B934" cm="1">
        <f t="array" ref="B934:G934">_xlfn.XLOOKUP($A934,Instagram_Usage_Lifestyle_Mini_!$A:$A,Instagram_Usage_Lifestyle_Mini_!$W:$AB,"Not Found")</f>
        <v>34.6</v>
      </c>
      <c r="C934">
        <v>2</v>
      </c>
      <c r="D934">
        <v>2</v>
      </c>
      <c r="E934">
        <v>9</v>
      </c>
      <c r="F934">
        <v>1.4</v>
      </c>
      <c r="G934">
        <v>3</v>
      </c>
      <c r="H934" s="13" t="str" cm="1">
        <f t="array" ref="H934">_xlfn.IFS(B934&lt;20,"Low",B934&lt;=40,"Moderate",B934&lt;=60,"High",TRUE,"Very High")</f>
        <v>Moderate</v>
      </c>
    </row>
    <row r="935" spans="1:8" ht="17" x14ac:dyDescent="0.2">
      <c r="A935">
        <v>934</v>
      </c>
      <c r="B935" cm="1">
        <f t="array" ref="B935:G935">_xlfn.XLOOKUP($A935,Instagram_Usage_Lifestyle_Mini_!$A:$A,Instagram_Usage_Lifestyle_Mini_!$W:$AB,"Not Found")</f>
        <v>50.1</v>
      </c>
      <c r="C935">
        <v>6</v>
      </c>
      <c r="D935">
        <v>3</v>
      </c>
      <c r="E935">
        <v>10</v>
      </c>
      <c r="F935">
        <v>8.6</v>
      </c>
      <c r="G935">
        <v>3</v>
      </c>
      <c r="H935" s="13" t="str" cm="1">
        <f t="array" ref="H935">_xlfn.IFS(B935&lt;20,"Low",B935&lt;=40,"Moderate",B935&lt;=60,"High",TRUE,"Very High")</f>
        <v>High</v>
      </c>
    </row>
    <row r="936" spans="1:8" ht="17" x14ac:dyDescent="0.2">
      <c r="A936">
        <v>935</v>
      </c>
      <c r="B936" cm="1">
        <f t="array" ref="B936:G936">_xlfn.XLOOKUP($A936,Instagram_Usage_Lifestyle_Mini_!$A:$A,Instagram_Usage_Lifestyle_Mini_!$W:$AB,"Not Found")</f>
        <v>39.1</v>
      </c>
      <c r="C936">
        <v>2</v>
      </c>
      <c r="D936">
        <v>4</v>
      </c>
      <c r="E936">
        <v>14</v>
      </c>
      <c r="F936">
        <v>2.7</v>
      </c>
      <c r="G936">
        <v>3</v>
      </c>
      <c r="H936" s="13" t="str" cm="1">
        <f t="array" ref="H936">_xlfn.IFS(B936&lt;20,"Low",B936&lt;=40,"Moderate",B936&lt;=60,"High",TRUE,"Very High")</f>
        <v>Moderate</v>
      </c>
    </row>
    <row r="937" spans="1:8" ht="17" x14ac:dyDescent="0.2">
      <c r="A937">
        <v>936</v>
      </c>
      <c r="B937" cm="1">
        <f t="array" ref="B937:G937">_xlfn.XLOOKUP($A937,Instagram_Usage_Lifestyle_Mini_!$A:$A,Instagram_Usage_Lifestyle_Mini_!$W:$AB,"Not Found")</f>
        <v>50.1</v>
      </c>
      <c r="C937">
        <v>5</v>
      </c>
      <c r="D937">
        <v>7</v>
      </c>
      <c r="E937">
        <v>13</v>
      </c>
      <c r="F937">
        <v>4.5</v>
      </c>
      <c r="G937">
        <v>4</v>
      </c>
      <c r="H937" s="13" t="str" cm="1">
        <f t="array" ref="H937">_xlfn.IFS(B937&lt;20,"Low",B937&lt;=40,"Moderate",B937&lt;=60,"High",TRUE,"Very High")</f>
        <v>High</v>
      </c>
    </row>
    <row r="938" spans="1:8" ht="17" x14ac:dyDescent="0.2">
      <c r="A938">
        <v>937</v>
      </c>
      <c r="B938" cm="1">
        <f t="array" ref="B938:G938">_xlfn.XLOOKUP($A938,Instagram_Usage_Lifestyle_Mini_!$A:$A,Instagram_Usage_Lifestyle_Mini_!$W:$AB,"Not Found")</f>
        <v>31.1</v>
      </c>
      <c r="C938">
        <v>1</v>
      </c>
      <c r="D938">
        <v>2</v>
      </c>
      <c r="E938">
        <v>7</v>
      </c>
      <c r="F938">
        <v>5.7</v>
      </c>
      <c r="G938">
        <v>2</v>
      </c>
      <c r="H938" s="13" t="str" cm="1">
        <f t="array" ref="H938">_xlfn.IFS(B938&lt;20,"Low",B938&lt;=40,"Moderate",B938&lt;=60,"High",TRUE,"Very High")</f>
        <v>Moderate</v>
      </c>
    </row>
    <row r="939" spans="1:8" ht="17" x14ac:dyDescent="0.2">
      <c r="A939">
        <v>938</v>
      </c>
      <c r="B939" cm="1">
        <f t="array" ref="B939:G939">_xlfn.XLOOKUP($A939,Instagram_Usage_Lifestyle_Mini_!$A:$A,Instagram_Usage_Lifestyle_Mini_!$W:$AB,"Not Found")</f>
        <v>40.5</v>
      </c>
      <c r="C939">
        <v>4</v>
      </c>
      <c r="D939">
        <v>5</v>
      </c>
      <c r="E939">
        <v>8</v>
      </c>
      <c r="F939">
        <v>6.5</v>
      </c>
      <c r="G939">
        <v>3</v>
      </c>
      <c r="H939" s="13" t="str" cm="1">
        <f t="array" ref="H939">_xlfn.IFS(B939&lt;20,"Low",B939&lt;=40,"Moderate",B939&lt;=60,"High",TRUE,"Very High")</f>
        <v>High</v>
      </c>
    </row>
    <row r="940" spans="1:8" ht="17" x14ac:dyDescent="0.2">
      <c r="A940">
        <v>939</v>
      </c>
      <c r="B940" cm="1">
        <f t="array" ref="B940:G940">_xlfn.XLOOKUP($A940,Instagram_Usage_Lifestyle_Mini_!$A:$A,Instagram_Usage_Lifestyle_Mini_!$W:$AB,"Not Found")</f>
        <v>47.2</v>
      </c>
      <c r="C940">
        <v>2</v>
      </c>
      <c r="D940">
        <v>5</v>
      </c>
      <c r="E940">
        <v>10</v>
      </c>
      <c r="F940">
        <v>5.2</v>
      </c>
      <c r="G940">
        <v>2</v>
      </c>
      <c r="H940" s="13" t="str" cm="1">
        <f t="array" ref="H940">_xlfn.IFS(B940&lt;20,"Low",B940&lt;=40,"Moderate",B940&lt;=60,"High",TRUE,"Very High")</f>
        <v>High</v>
      </c>
    </row>
    <row r="941" spans="1:8" ht="17" x14ac:dyDescent="0.2">
      <c r="A941">
        <v>940</v>
      </c>
      <c r="B941" cm="1">
        <f t="array" ref="B941:G941">_xlfn.XLOOKUP($A941,Instagram_Usage_Lifestyle_Mini_!$A:$A,Instagram_Usage_Lifestyle_Mini_!$W:$AB,"Not Found")</f>
        <v>51.4</v>
      </c>
      <c r="C941">
        <v>3</v>
      </c>
      <c r="D941">
        <v>3</v>
      </c>
      <c r="E941">
        <v>8</v>
      </c>
      <c r="F941">
        <v>2</v>
      </c>
      <c r="G941">
        <v>7</v>
      </c>
      <c r="H941" s="13" t="str" cm="1">
        <f t="array" ref="H941">_xlfn.IFS(B941&lt;20,"Low",B941&lt;=40,"Moderate",B941&lt;=60,"High",TRUE,"Very High")</f>
        <v>High</v>
      </c>
    </row>
    <row r="942" spans="1:8" ht="17" x14ac:dyDescent="0.2">
      <c r="A942">
        <v>941</v>
      </c>
      <c r="B942" cm="1">
        <f t="array" ref="B942:G942">_xlfn.XLOOKUP($A942,Instagram_Usage_Lifestyle_Mini_!$A:$A,Instagram_Usage_Lifestyle_Mini_!$W:$AB,"Not Found")</f>
        <v>37.1</v>
      </c>
      <c r="C942">
        <v>3</v>
      </c>
      <c r="D942">
        <v>3</v>
      </c>
      <c r="E942">
        <v>7</v>
      </c>
      <c r="F942">
        <v>5.0999999999999996</v>
      </c>
      <c r="G942">
        <v>1</v>
      </c>
      <c r="H942" s="13" t="str" cm="1">
        <f t="array" ref="H942">_xlfn.IFS(B942&lt;20,"Low",B942&lt;=40,"Moderate",B942&lt;=60,"High",TRUE,"Very High")</f>
        <v>Moderate</v>
      </c>
    </row>
    <row r="943" spans="1:8" ht="17" x14ac:dyDescent="0.2">
      <c r="A943">
        <v>942</v>
      </c>
      <c r="B943" cm="1">
        <f t="array" ref="B943:G943">_xlfn.XLOOKUP($A943,Instagram_Usage_Lifestyle_Mini_!$A:$A,Instagram_Usage_Lifestyle_Mini_!$W:$AB,"Not Found")</f>
        <v>48.7</v>
      </c>
      <c r="C943">
        <v>4</v>
      </c>
      <c r="D943">
        <v>2</v>
      </c>
      <c r="E943">
        <v>6</v>
      </c>
      <c r="F943">
        <v>4.7</v>
      </c>
      <c r="G943">
        <v>2</v>
      </c>
      <c r="H943" s="13" t="str" cm="1">
        <f t="array" ref="H943">_xlfn.IFS(B943&lt;20,"Low",B943&lt;=40,"Moderate",B943&lt;=60,"High",TRUE,"Very High")</f>
        <v>High</v>
      </c>
    </row>
    <row r="944" spans="1:8" ht="17" x14ac:dyDescent="0.2">
      <c r="A944">
        <v>943</v>
      </c>
      <c r="B944" cm="1">
        <f t="array" ref="B944:G944">_xlfn.XLOOKUP($A944,Instagram_Usage_Lifestyle_Mini_!$A:$A,Instagram_Usage_Lifestyle_Mini_!$W:$AB,"Not Found")</f>
        <v>29.8</v>
      </c>
      <c r="C944">
        <v>2</v>
      </c>
      <c r="D944">
        <v>5</v>
      </c>
      <c r="E944">
        <v>10</v>
      </c>
      <c r="F944">
        <v>8.1999999999999993</v>
      </c>
      <c r="G944">
        <v>5</v>
      </c>
      <c r="H944" s="13" t="str" cm="1">
        <f t="array" ref="H944">_xlfn.IFS(B944&lt;20,"Low",B944&lt;=40,"Moderate",B944&lt;=60,"High",TRUE,"Very High")</f>
        <v>Moderate</v>
      </c>
    </row>
    <row r="945" spans="1:8" ht="17" x14ac:dyDescent="0.2">
      <c r="A945">
        <v>944</v>
      </c>
      <c r="B945" cm="1">
        <f t="array" ref="B945:G945">_xlfn.XLOOKUP($A945,Instagram_Usage_Lifestyle_Mini_!$A:$A,Instagram_Usage_Lifestyle_Mini_!$W:$AB,"Not Found")</f>
        <v>32.200000000000003</v>
      </c>
      <c r="C945">
        <v>3</v>
      </c>
      <c r="D945">
        <v>2</v>
      </c>
      <c r="E945">
        <v>7</v>
      </c>
      <c r="F945">
        <v>6</v>
      </c>
      <c r="G945">
        <v>4</v>
      </c>
      <c r="H945" s="13" t="str" cm="1">
        <f t="array" ref="H945">_xlfn.IFS(B945&lt;20,"Low",B945&lt;=40,"Moderate",B945&lt;=60,"High",TRUE,"Very High")</f>
        <v>Moderate</v>
      </c>
    </row>
    <row r="946" spans="1:8" ht="17" x14ac:dyDescent="0.2">
      <c r="A946">
        <v>945</v>
      </c>
      <c r="B946" cm="1">
        <f t="array" ref="B946:G946">_xlfn.XLOOKUP($A946,Instagram_Usage_Lifestyle_Mini_!$A:$A,Instagram_Usage_Lifestyle_Mini_!$W:$AB,"Not Found")</f>
        <v>37.5</v>
      </c>
      <c r="C946">
        <v>1</v>
      </c>
      <c r="D946">
        <v>10</v>
      </c>
      <c r="E946">
        <v>7</v>
      </c>
      <c r="F946">
        <v>1.2</v>
      </c>
      <c r="G946">
        <v>4</v>
      </c>
      <c r="H946" s="13" t="str" cm="1">
        <f t="array" ref="H946">_xlfn.IFS(B946&lt;20,"Low",B946&lt;=40,"Moderate",B946&lt;=60,"High",TRUE,"Very High")</f>
        <v>Moderate</v>
      </c>
    </row>
    <row r="947" spans="1:8" ht="17" x14ac:dyDescent="0.2">
      <c r="A947">
        <v>946</v>
      </c>
      <c r="B947" cm="1">
        <f t="array" ref="B947:G947">_xlfn.XLOOKUP($A947,Instagram_Usage_Lifestyle_Mini_!$A:$A,Instagram_Usage_Lifestyle_Mini_!$W:$AB,"Not Found")</f>
        <v>48.1</v>
      </c>
      <c r="C947">
        <v>1</v>
      </c>
      <c r="D947">
        <v>3</v>
      </c>
      <c r="E947">
        <v>11</v>
      </c>
      <c r="F947">
        <v>6.6</v>
      </c>
      <c r="G947">
        <v>3</v>
      </c>
      <c r="H947" s="13" t="str" cm="1">
        <f t="array" ref="H947">_xlfn.IFS(B947&lt;20,"Low",B947&lt;=40,"Moderate",B947&lt;=60,"High",TRUE,"Very High")</f>
        <v>High</v>
      </c>
    </row>
    <row r="948" spans="1:8" ht="17" x14ac:dyDescent="0.2">
      <c r="A948">
        <v>947</v>
      </c>
      <c r="B948" cm="1">
        <f t="array" ref="B948:G948">_xlfn.XLOOKUP($A948,Instagram_Usage_Lifestyle_Mini_!$A:$A,Instagram_Usage_Lifestyle_Mini_!$W:$AB,"Not Found")</f>
        <v>29.5</v>
      </c>
      <c r="C948">
        <v>3</v>
      </c>
      <c r="D948">
        <v>6</v>
      </c>
      <c r="E948">
        <v>7</v>
      </c>
      <c r="F948">
        <v>5.7</v>
      </c>
      <c r="G948">
        <v>4</v>
      </c>
      <c r="H948" s="13" t="str" cm="1">
        <f t="array" ref="H948">_xlfn.IFS(B948&lt;20,"Low",B948&lt;=40,"Moderate",B948&lt;=60,"High",TRUE,"Very High")</f>
        <v>Moderate</v>
      </c>
    </row>
    <row r="949" spans="1:8" ht="17" x14ac:dyDescent="0.2">
      <c r="A949">
        <v>948</v>
      </c>
      <c r="B949" cm="1">
        <f t="array" ref="B949:G949">_xlfn.XLOOKUP($A949,Instagram_Usage_Lifestyle_Mini_!$A:$A,Instagram_Usage_Lifestyle_Mini_!$W:$AB,"Not Found")</f>
        <v>38.700000000000003</v>
      </c>
      <c r="C949">
        <v>5</v>
      </c>
      <c r="D949">
        <v>2</v>
      </c>
      <c r="E949">
        <v>10</v>
      </c>
      <c r="F949">
        <v>9.1999999999999993</v>
      </c>
      <c r="G949">
        <v>3</v>
      </c>
      <c r="H949" s="13" t="str" cm="1">
        <f t="array" ref="H949">_xlfn.IFS(B949&lt;20,"Low",B949&lt;=40,"Moderate",B949&lt;=60,"High",TRUE,"Very High")</f>
        <v>Moderate</v>
      </c>
    </row>
    <row r="950" spans="1:8" ht="17" x14ac:dyDescent="0.2">
      <c r="A950">
        <v>949</v>
      </c>
      <c r="B950" cm="1">
        <f t="array" ref="B950:G950">_xlfn.XLOOKUP($A950,Instagram_Usage_Lifestyle_Mini_!$A:$A,Instagram_Usage_Lifestyle_Mini_!$W:$AB,"Not Found")</f>
        <v>29.4</v>
      </c>
      <c r="C950">
        <v>3</v>
      </c>
      <c r="D950">
        <v>4</v>
      </c>
      <c r="E950">
        <v>17</v>
      </c>
      <c r="F950">
        <v>6.6</v>
      </c>
      <c r="G950">
        <v>1</v>
      </c>
      <c r="H950" s="13" t="str" cm="1">
        <f t="array" ref="H950">_xlfn.IFS(B950&lt;20,"Low",B950&lt;=40,"Moderate",B950&lt;=60,"High",TRUE,"Very High")</f>
        <v>Moderate</v>
      </c>
    </row>
    <row r="951" spans="1:8" ht="17" x14ac:dyDescent="0.2">
      <c r="A951">
        <v>950</v>
      </c>
      <c r="B951" cm="1">
        <f t="array" ref="B951:G951">_xlfn.XLOOKUP($A951,Instagram_Usage_Lifestyle_Mini_!$A:$A,Instagram_Usage_Lifestyle_Mini_!$W:$AB,"Not Found")</f>
        <v>27.8</v>
      </c>
      <c r="C951">
        <v>0</v>
      </c>
      <c r="D951">
        <v>3</v>
      </c>
      <c r="E951">
        <v>14</v>
      </c>
      <c r="F951">
        <v>5</v>
      </c>
      <c r="G951">
        <v>2</v>
      </c>
      <c r="H951" s="13" t="str" cm="1">
        <f t="array" ref="H951">_xlfn.IFS(B951&lt;20,"Low",B951&lt;=40,"Moderate",B951&lt;=60,"High",TRUE,"Very High")</f>
        <v>Moderate</v>
      </c>
    </row>
    <row r="952" spans="1:8" ht="17" x14ac:dyDescent="0.2">
      <c r="A952">
        <v>951</v>
      </c>
      <c r="B952" cm="1">
        <f t="array" ref="B952:G952">_xlfn.XLOOKUP($A952,Instagram_Usage_Lifestyle_Mini_!$A:$A,Instagram_Usage_Lifestyle_Mini_!$W:$AB,"Not Found")</f>
        <v>36.799999999999997</v>
      </c>
      <c r="C952">
        <v>8</v>
      </c>
      <c r="D952">
        <v>3</v>
      </c>
      <c r="E952">
        <v>8</v>
      </c>
      <c r="F952">
        <v>7.9</v>
      </c>
      <c r="G952">
        <v>6</v>
      </c>
      <c r="H952" s="13" t="str" cm="1">
        <f t="array" ref="H952">_xlfn.IFS(B952&lt;20,"Low",B952&lt;=40,"Moderate",B952&lt;=60,"High",TRUE,"Very High")</f>
        <v>Moderate</v>
      </c>
    </row>
    <row r="953" spans="1:8" ht="17" x14ac:dyDescent="0.2">
      <c r="A953">
        <v>952</v>
      </c>
      <c r="B953" cm="1">
        <f t="array" ref="B953:G953">_xlfn.XLOOKUP($A953,Instagram_Usage_Lifestyle_Mini_!$A:$A,Instagram_Usage_Lifestyle_Mini_!$W:$AB,"Not Found")</f>
        <v>45.2</v>
      </c>
      <c r="C953">
        <v>3</v>
      </c>
      <c r="D953">
        <v>3</v>
      </c>
      <c r="E953">
        <v>6</v>
      </c>
      <c r="F953">
        <v>11.8</v>
      </c>
      <c r="G953">
        <v>7</v>
      </c>
      <c r="H953" s="13" t="str" cm="1">
        <f t="array" ref="H953">_xlfn.IFS(B953&lt;20,"Low",B953&lt;=40,"Moderate",B953&lt;=60,"High",TRUE,"Very High")</f>
        <v>High</v>
      </c>
    </row>
    <row r="954" spans="1:8" ht="17" x14ac:dyDescent="0.2">
      <c r="A954">
        <v>953</v>
      </c>
      <c r="B954" cm="1">
        <f t="array" ref="B954:G954">_xlfn.XLOOKUP($A954,Instagram_Usage_Lifestyle_Mini_!$A:$A,Instagram_Usage_Lifestyle_Mini_!$W:$AB,"Not Found")</f>
        <v>35.9</v>
      </c>
      <c r="C954">
        <v>1</v>
      </c>
      <c r="D954">
        <v>5</v>
      </c>
      <c r="E954">
        <v>14</v>
      </c>
      <c r="F954">
        <v>2.2999999999999998</v>
      </c>
      <c r="G954">
        <v>0</v>
      </c>
      <c r="H954" s="13" t="str" cm="1">
        <f t="array" ref="H954">_xlfn.IFS(B954&lt;20,"Low",B954&lt;=40,"Moderate",B954&lt;=60,"High",TRUE,"Very High")</f>
        <v>Moderate</v>
      </c>
    </row>
    <row r="955" spans="1:8" ht="17" x14ac:dyDescent="0.2">
      <c r="A955">
        <v>954</v>
      </c>
      <c r="B955" cm="1">
        <f t="array" ref="B955:G955">_xlfn.XLOOKUP($A955,Instagram_Usage_Lifestyle_Mini_!$A:$A,Instagram_Usage_Lifestyle_Mini_!$W:$AB,"Not Found")</f>
        <v>20.8</v>
      </c>
      <c r="C955">
        <v>3</v>
      </c>
      <c r="D955">
        <v>4</v>
      </c>
      <c r="E955">
        <v>7</v>
      </c>
      <c r="F955">
        <v>4.2</v>
      </c>
      <c r="G955">
        <v>1</v>
      </c>
      <c r="H955" s="13" t="str" cm="1">
        <f t="array" ref="H955">_xlfn.IFS(B955&lt;20,"Low",B955&lt;=40,"Moderate",B955&lt;=60,"High",TRUE,"Very High")</f>
        <v>Moderate</v>
      </c>
    </row>
    <row r="956" spans="1:8" ht="17" x14ac:dyDescent="0.2">
      <c r="A956">
        <v>955</v>
      </c>
      <c r="B956" cm="1">
        <f t="array" ref="B956:G956">_xlfn.XLOOKUP($A956,Instagram_Usage_Lifestyle_Mini_!$A:$A,Instagram_Usage_Lifestyle_Mini_!$W:$AB,"Not Found")</f>
        <v>43.5</v>
      </c>
      <c r="C956">
        <v>5</v>
      </c>
      <c r="D956">
        <v>5</v>
      </c>
      <c r="E956">
        <v>12</v>
      </c>
      <c r="F956">
        <v>5.2</v>
      </c>
      <c r="G956">
        <v>5</v>
      </c>
      <c r="H956" s="13" t="str" cm="1">
        <f t="array" ref="H956">_xlfn.IFS(B956&lt;20,"Low",B956&lt;=40,"Moderate",B956&lt;=60,"High",TRUE,"Very High")</f>
        <v>High</v>
      </c>
    </row>
    <row r="957" spans="1:8" ht="17" x14ac:dyDescent="0.2">
      <c r="A957">
        <v>956</v>
      </c>
      <c r="B957" cm="1">
        <f t="array" ref="B957:G957">_xlfn.XLOOKUP($A957,Instagram_Usage_Lifestyle_Mini_!$A:$A,Instagram_Usage_Lifestyle_Mini_!$W:$AB,"Not Found")</f>
        <v>44.3</v>
      </c>
      <c r="C957">
        <v>4</v>
      </c>
      <c r="D957">
        <v>3</v>
      </c>
      <c r="E957">
        <v>13</v>
      </c>
      <c r="F957">
        <v>4</v>
      </c>
      <c r="G957">
        <v>3</v>
      </c>
      <c r="H957" s="13" t="str" cm="1">
        <f t="array" ref="H957">_xlfn.IFS(B957&lt;20,"Low",B957&lt;=40,"Moderate",B957&lt;=60,"High",TRUE,"Very High")</f>
        <v>High</v>
      </c>
    </row>
    <row r="958" spans="1:8" ht="17" x14ac:dyDescent="0.2">
      <c r="A958">
        <v>957</v>
      </c>
      <c r="B958" cm="1">
        <f t="array" ref="B958:G958">_xlfn.XLOOKUP($A958,Instagram_Usage_Lifestyle_Mini_!$A:$A,Instagram_Usage_Lifestyle_Mini_!$W:$AB,"Not Found")</f>
        <v>21.9</v>
      </c>
      <c r="C958">
        <v>3</v>
      </c>
      <c r="D958">
        <v>3</v>
      </c>
      <c r="E958">
        <v>11</v>
      </c>
      <c r="F958">
        <v>6.7</v>
      </c>
      <c r="G958">
        <v>6</v>
      </c>
      <c r="H958" s="13" t="str" cm="1">
        <f t="array" ref="H958">_xlfn.IFS(B958&lt;20,"Low",B958&lt;=40,"Moderate",B958&lt;=60,"High",TRUE,"Very High")</f>
        <v>Moderate</v>
      </c>
    </row>
    <row r="959" spans="1:8" ht="17" x14ac:dyDescent="0.2">
      <c r="A959">
        <v>958</v>
      </c>
      <c r="B959" cm="1">
        <f t="array" ref="B959:G959">_xlfn.XLOOKUP($A959,Instagram_Usage_Lifestyle_Mini_!$A:$A,Instagram_Usage_Lifestyle_Mini_!$W:$AB,"Not Found")</f>
        <v>22.6</v>
      </c>
      <c r="C959">
        <v>3</v>
      </c>
      <c r="D959">
        <v>1</v>
      </c>
      <c r="E959">
        <v>8</v>
      </c>
      <c r="F959">
        <v>4.5999999999999996</v>
      </c>
      <c r="G959">
        <v>2</v>
      </c>
      <c r="H959" s="13" t="str" cm="1">
        <f t="array" ref="H959">_xlfn.IFS(B959&lt;20,"Low",B959&lt;=40,"Moderate",B959&lt;=60,"High",TRUE,"Very High")</f>
        <v>Moderate</v>
      </c>
    </row>
    <row r="960" spans="1:8" ht="17" x14ac:dyDescent="0.2">
      <c r="A960">
        <v>959</v>
      </c>
      <c r="B960" cm="1">
        <f t="array" ref="B960:G960">_xlfn.XLOOKUP($A960,Instagram_Usage_Lifestyle_Mini_!$A:$A,Instagram_Usage_Lifestyle_Mini_!$W:$AB,"Not Found")</f>
        <v>27.4</v>
      </c>
      <c r="C960">
        <v>6</v>
      </c>
      <c r="D960">
        <v>5</v>
      </c>
      <c r="E960">
        <v>8</v>
      </c>
      <c r="F960">
        <v>2.6</v>
      </c>
      <c r="G960">
        <v>5</v>
      </c>
      <c r="H960" s="13" t="str" cm="1">
        <f t="array" ref="H960">_xlfn.IFS(B960&lt;20,"Low",B960&lt;=40,"Moderate",B960&lt;=60,"High",TRUE,"Very High")</f>
        <v>Moderate</v>
      </c>
    </row>
    <row r="961" spans="1:8" ht="17" x14ac:dyDescent="0.2">
      <c r="A961">
        <v>960</v>
      </c>
      <c r="B961" cm="1">
        <f t="array" ref="B961:G961">_xlfn.XLOOKUP($A961,Instagram_Usage_Lifestyle_Mini_!$A:$A,Instagram_Usage_Lifestyle_Mini_!$W:$AB,"Not Found")</f>
        <v>53.3</v>
      </c>
      <c r="C961">
        <v>4</v>
      </c>
      <c r="D961">
        <v>3</v>
      </c>
      <c r="E961">
        <v>10</v>
      </c>
      <c r="F961">
        <v>5.6</v>
      </c>
      <c r="G961">
        <v>6</v>
      </c>
      <c r="H961" s="13" t="str" cm="1">
        <f t="array" ref="H961">_xlfn.IFS(B961&lt;20,"Low",B961&lt;=40,"Moderate",B961&lt;=60,"High",TRUE,"Very High")</f>
        <v>High</v>
      </c>
    </row>
    <row r="962" spans="1:8" ht="17" x14ac:dyDescent="0.2">
      <c r="A962">
        <v>961</v>
      </c>
      <c r="B962" cm="1">
        <f t="array" ref="B962:G962">_xlfn.XLOOKUP($A962,Instagram_Usage_Lifestyle_Mini_!$A:$A,Instagram_Usage_Lifestyle_Mini_!$W:$AB,"Not Found")</f>
        <v>24.7</v>
      </c>
      <c r="C962">
        <v>4</v>
      </c>
      <c r="D962">
        <v>4</v>
      </c>
      <c r="E962">
        <v>9</v>
      </c>
      <c r="F962">
        <v>3.6</v>
      </c>
      <c r="G962">
        <v>3</v>
      </c>
      <c r="H962" s="13" t="str" cm="1">
        <f t="array" ref="H962">_xlfn.IFS(B962&lt;20,"Low",B962&lt;=40,"Moderate",B962&lt;=60,"High",TRUE,"Very High")</f>
        <v>Moderate</v>
      </c>
    </row>
    <row r="963" spans="1:8" ht="17" x14ac:dyDescent="0.2">
      <c r="A963">
        <v>962</v>
      </c>
      <c r="B963" cm="1">
        <f t="array" ref="B963:G963">_xlfn.XLOOKUP($A963,Instagram_Usage_Lifestyle_Mini_!$A:$A,Instagram_Usage_Lifestyle_Mini_!$W:$AB,"Not Found")</f>
        <v>51.6</v>
      </c>
      <c r="C963">
        <v>3</v>
      </c>
      <c r="D963">
        <v>2</v>
      </c>
      <c r="E963">
        <v>9</v>
      </c>
      <c r="F963">
        <v>8.9</v>
      </c>
      <c r="G963">
        <v>0</v>
      </c>
      <c r="H963" s="13" t="str" cm="1">
        <f t="array" ref="H963">_xlfn.IFS(B963&lt;20,"Low",B963&lt;=40,"Moderate",B963&lt;=60,"High",TRUE,"Very High")</f>
        <v>High</v>
      </c>
    </row>
    <row r="964" spans="1:8" ht="17" x14ac:dyDescent="0.2">
      <c r="A964">
        <v>963</v>
      </c>
      <c r="B964" cm="1">
        <f t="array" ref="B964:G964">_xlfn.XLOOKUP($A964,Instagram_Usage_Lifestyle_Mini_!$A:$A,Instagram_Usage_Lifestyle_Mini_!$W:$AB,"Not Found")</f>
        <v>23.5</v>
      </c>
      <c r="C964">
        <v>6</v>
      </c>
      <c r="D964">
        <v>4</v>
      </c>
      <c r="E964">
        <v>8</v>
      </c>
      <c r="F964">
        <v>2.4</v>
      </c>
      <c r="G964">
        <v>6</v>
      </c>
      <c r="H964" s="13" t="str" cm="1">
        <f t="array" ref="H964">_xlfn.IFS(B964&lt;20,"Low",B964&lt;=40,"Moderate",B964&lt;=60,"High",TRUE,"Very High")</f>
        <v>Moderate</v>
      </c>
    </row>
    <row r="965" spans="1:8" ht="17" x14ac:dyDescent="0.2">
      <c r="A965">
        <v>964</v>
      </c>
      <c r="B965" cm="1">
        <f t="array" ref="B965:G965">_xlfn.XLOOKUP($A965,Instagram_Usage_Lifestyle_Mini_!$A:$A,Instagram_Usage_Lifestyle_Mini_!$W:$AB,"Not Found")</f>
        <v>47.2</v>
      </c>
      <c r="C965">
        <v>2</v>
      </c>
      <c r="D965">
        <v>6</v>
      </c>
      <c r="E965">
        <v>9</v>
      </c>
      <c r="F965">
        <v>2.2000000000000002</v>
      </c>
      <c r="G965">
        <v>3</v>
      </c>
      <c r="H965" s="13" t="str" cm="1">
        <f t="array" ref="H965">_xlfn.IFS(B965&lt;20,"Low",B965&lt;=40,"Moderate",B965&lt;=60,"High",TRUE,"Very High")</f>
        <v>High</v>
      </c>
    </row>
    <row r="966" spans="1:8" ht="17" x14ac:dyDescent="0.2">
      <c r="A966">
        <v>965</v>
      </c>
      <c r="B966" cm="1">
        <f t="array" ref="B966:G966">_xlfn.XLOOKUP($A966,Instagram_Usage_Lifestyle_Mini_!$A:$A,Instagram_Usage_Lifestyle_Mini_!$W:$AB,"Not Found")</f>
        <v>29.6</v>
      </c>
      <c r="C966">
        <v>5</v>
      </c>
      <c r="D966">
        <v>6</v>
      </c>
      <c r="E966">
        <v>10</v>
      </c>
      <c r="F966">
        <v>7.7</v>
      </c>
      <c r="G966">
        <v>2</v>
      </c>
      <c r="H966" s="13" t="str" cm="1">
        <f t="array" ref="H966">_xlfn.IFS(B966&lt;20,"Low",B966&lt;=40,"Moderate",B966&lt;=60,"High",TRUE,"Very High")</f>
        <v>Moderate</v>
      </c>
    </row>
    <row r="967" spans="1:8" ht="17" x14ac:dyDescent="0.2">
      <c r="A967">
        <v>966</v>
      </c>
      <c r="B967" cm="1">
        <f t="array" ref="B967:G967">_xlfn.XLOOKUP($A967,Instagram_Usage_Lifestyle_Mini_!$A:$A,Instagram_Usage_Lifestyle_Mini_!$W:$AB,"Not Found")</f>
        <v>41.7</v>
      </c>
      <c r="C967">
        <v>4</v>
      </c>
      <c r="D967">
        <v>2</v>
      </c>
      <c r="E967">
        <v>12</v>
      </c>
      <c r="F967">
        <v>4.5999999999999996</v>
      </c>
      <c r="G967">
        <v>4</v>
      </c>
      <c r="H967" s="13" t="str" cm="1">
        <f t="array" ref="H967">_xlfn.IFS(B967&lt;20,"Low",B967&lt;=40,"Moderate",B967&lt;=60,"High",TRUE,"Very High")</f>
        <v>High</v>
      </c>
    </row>
    <row r="968" spans="1:8" ht="17" x14ac:dyDescent="0.2">
      <c r="A968">
        <v>967</v>
      </c>
      <c r="B968" cm="1">
        <f t="array" ref="B968:G968">_xlfn.XLOOKUP($A968,Instagram_Usage_Lifestyle_Mini_!$A:$A,Instagram_Usage_Lifestyle_Mini_!$W:$AB,"Not Found")</f>
        <v>39.6</v>
      </c>
      <c r="C968">
        <v>4</v>
      </c>
      <c r="D968">
        <v>3</v>
      </c>
      <c r="E968">
        <v>15</v>
      </c>
      <c r="F968">
        <v>1.1000000000000001</v>
      </c>
      <c r="G968">
        <v>3</v>
      </c>
      <c r="H968" s="13" t="str" cm="1">
        <f t="array" ref="H968">_xlfn.IFS(B968&lt;20,"Low",B968&lt;=40,"Moderate",B968&lt;=60,"High",TRUE,"Very High")</f>
        <v>Moderate</v>
      </c>
    </row>
    <row r="969" spans="1:8" ht="17" x14ac:dyDescent="0.2">
      <c r="A969">
        <v>968</v>
      </c>
      <c r="B969" cm="1">
        <f t="array" ref="B969:G969">_xlfn.XLOOKUP($A969,Instagram_Usage_Lifestyle_Mini_!$A:$A,Instagram_Usage_Lifestyle_Mini_!$W:$AB,"Not Found")</f>
        <v>53</v>
      </c>
      <c r="C969">
        <v>6</v>
      </c>
      <c r="D969">
        <v>3</v>
      </c>
      <c r="E969">
        <v>9</v>
      </c>
      <c r="F969">
        <v>11.6</v>
      </c>
      <c r="G969">
        <v>5</v>
      </c>
      <c r="H969" s="13" t="str" cm="1">
        <f t="array" ref="H969">_xlfn.IFS(B969&lt;20,"Low",B969&lt;=40,"Moderate",B969&lt;=60,"High",TRUE,"Very High")</f>
        <v>High</v>
      </c>
    </row>
    <row r="970" spans="1:8" ht="17" x14ac:dyDescent="0.2">
      <c r="A970">
        <v>969</v>
      </c>
      <c r="B970" cm="1">
        <f t="array" ref="B970:G970">_xlfn.XLOOKUP($A970,Instagram_Usage_Lifestyle_Mini_!$A:$A,Instagram_Usage_Lifestyle_Mini_!$W:$AB,"Not Found")</f>
        <v>22.9</v>
      </c>
      <c r="C970">
        <v>2</v>
      </c>
      <c r="D970">
        <v>4</v>
      </c>
      <c r="E970">
        <v>15</v>
      </c>
      <c r="F970">
        <v>3</v>
      </c>
      <c r="G970">
        <v>2</v>
      </c>
      <c r="H970" s="13" t="str" cm="1">
        <f t="array" ref="H970">_xlfn.IFS(B970&lt;20,"Low",B970&lt;=40,"Moderate",B970&lt;=60,"High",TRUE,"Very High")</f>
        <v>Moderate</v>
      </c>
    </row>
    <row r="971" spans="1:8" ht="17" x14ac:dyDescent="0.2">
      <c r="A971">
        <v>970</v>
      </c>
      <c r="B971" cm="1">
        <f t="array" ref="B971:G971">_xlfn.XLOOKUP($A971,Instagram_Usage_Lifestyle_Mini_!$A:$A,Instagram_Usage_Lifestyle_Mini_!$W:$AB,"Not Found")</f>
        <v>17.3</v>
      </c>
      <c r="C971">
        <v>1</v>
      </c>
      <c r="D971">
        <v>4</v>
      </c>
      <c r="E971">
        <v>10</v>
      </c>
      <c r="F971">
        <v>9.3000000000000007</v>
      </c>
      <c r="G971">
        <v>3</v>
      </c>
      <c r="H971" s="13" t="str" cm="1">
        <f t="array" ref="H971">_xlfn.IFS(B971&lt;20,"Low",B971&lt;=40,"Moderate",B971&lt;=60,"High",TRUE,"Very High")</f>
        <v>Low</v>
      </c>
    </row>
    <row r="972" spans="1:8" ht="17" x14ac:dyDescent="0.2">
      <c r="A972">
        <v>971</v>
      </c>
      <c r="B972" cm="1">
        <f t="array" ref="B972:G972">_xlfn.XLOOKUP($A972,Instagram_Usage_Lifestyle_Mini_!$A:$A,Instagram_Usage_Lifestyle_Mini_!$W:$AB,"Not Found")</f>
        <v>56.9</v>
      </c>
      <c r="C972">
        <v>2</v>
      </c>
      <c r="D972">
        <v>0</v>
      </c>
      <c r="E972">
        <v>14</v>
      </c>
      <c r="F972">
        <v>2.2000000000000002</v>
      </c>
      <c r="G972">
        <v>3</v>
      </c>
      <c r="H972" s="13" t="str" cm="1">
        <f t="array" ref="H972">_xlfn.IFS(B972&lt;20,"Low",B972&lt;=40,"Moderate",B972&lt;=60,"High",TRUE,"Very High")</f>
        <v>High</v>
      </c>
    </row>
    <row r="973" spans="1:8" ht="17" x14ac:dyDescent="0.2">
      <c r="A973">
        <v>972</v>
      </c>
      <c r="B973" cm="1">
        <f t="array" ref="B973:G973">_xlfn.XLOOKUP($A973,Instagram_Usage_Lifestyle_Mini_!$A:$A,Instagram_Usage_Lifestyle_Mini_!$W:$AB,"Not Found")</f>
        <v>30.7</v>
      </c>
      <c r="C973">
        <v>2</v>
      </c>
      <c r="D973">
        <v>3</v>
      </c>
      <c r="E973">
        <v>8</v>
      </c>
      <c r="F973">
        <v>0.2</v>
      </c>
      <c r="G973">
        <v>3</v>
      </c>
      <c r="H973" s="13" t="str" cm="1">
        <f t="array" ref="H973">_xlfn.IFS(B973&lt;20,"Low",B973&lt;=40,"Moderate",B973&lt;=60,"High",TRUE,"Very High")</f>
        <v>Moderate</v>
      </c>
    </row>
    <row r="974" spans="1:8" ht="17" x14ac:dyDescent="0.2">
      <c r="A974">
        <v>973</v>
      </c>
      <c r="B974" cm="1">
        <f t="array" ref="B974:G974">_xlfn.XLOOKUP($A974,Instagram_Usage_Lifestyle_Mini_!$A:$A,Instagram_Usage_Lifestyle_Mini_!$W:$AB,"Not Found")</f>
        <v>40.200000000000003</v>
      </c>
      <c r="C974">
        <v>5</v>
      </c>
      <c r="D974">
        <v>12</v>
      </c>
      <c r="E974">
        <v>12</v>
      </c>
      <c r="F974">
        <v>8.3000000000000007</v>
      </c>
      <c r="G974">
        <v>4</v>
      </c>
      <c r="H974" s="13" t="str" cm="1">
        <f t="array" ref="H974">_xlfn.IFS(B974&lt;20,"Low",B974&lt;=40,"Moderate",B974&lt;=60,"High",TRUE,"Very High")</f>
        <v>High</v>
      </c>
    </row>
    <row r="975" spans="1:8" ht="17" x14ac:dyDescent="0.2">
      <c r="A975">
        <v>974</v>
      </c>
      <c r="B975" cm="1">
        <f t="array" ref="B975:G975">_xlfn.XLOOKUP($A975,Instagram_Usage_Lifestyle_Mini_!$A:$A,Instagram_Usage_Lifestyle_Mini_!$W:$AB,"Not Found")</f>
        <v>31.4</v>
      </c>
      <c r="C975">
        <v>1</v>
      </c>
      <c r="D975">
        <v>5</v>
      </c>
      <c r="E975">
        <v>9</v>
      </c>
      <c r="F975">
        <v>0.3</v>
      </c>
      <c r="G975">
        <v>1</v>
      </c>
      <c r="H975" s="13" t="str" cm="1">
        <f t="array" ref="H975">_xlfn.IFS(B975&lt;20,"Low",B975&lt;=40,"Moderate",B975&lt;=60,"High",TRUE,"Very High")</f>
        <v>Moderate</v>
      </c>
    </row>
    <row r="976" spans="1:8" ht="17" x14ac:dyDescent="0.2">
      <c r="A976">
        <v>975</v>
      </c>
      <c r="B976" cm="1">
        <f t="array" ref="B976:G976">_xlfn.XLOOKUP($A976,Instagram_Usage_Lifestyle_Mini_!$A:$A,Instagram_Usage_Lifestyle_Mini_!$W:$AB,"Not Found")</f>
        <v>28.3</v>
      </c>
      <c r="C976">
        <v>6</v>
      </c>
      <c r="D976">
        <v>4</v>
      </c>
      <c r="E976">
        <v>14</v>
      </c>
      <c r="F976">
        <v>5.2</v>
      </c>
      <c r="G976">
        <v>4</v>
      </c>
      <c r="H976" s="13" t="str" cm="1">
        <f t="array" ref="H976">_xlfn.IFS(B976&lt;20,"Low",B976&lt;=40,"Moderate",B976&lt;=60,"High",TRUE,"Very High")</f>
        <v>Moderate</v>
      </c>
    </row>
    <row r="977" spans="1:8" ht="17" x14ac:dyDescent="0.2">
      <c r="A977">
        <v>976</v>
      </c>
      <c r="B977" cm="1">
        <f t="array" ref="B977:G977">_xlfn.XLOOKUP($A977,Instagram_Usage_Lifestyle_Mini_!$A:$A,Instagram_Usage_Lifestyle_Mini_!$W:$AB,"Not Found")</f>
        <v>27.3</v>
      </c>
      <c r="C977">
        <v>1</v>
      </c>
      <c r="D977">
        <v>6</v>
      </c>
      <c r="E977">
        <v>5</v>
      </c>
      <c r="F977">
        <v>4</v>
      </c>
      <c r="G977">
        <v>0</v>
      </c>
      <c r="H977" s="13" t="str" cm="1">
        <f t="array" ref="H977">_xlfn.IFS(B977&lt;20,"Low",B977&lt;=40,"Moderate",B977&lt;=60,"High",TRUE,"Very High")</f>
        <v>Moderate</v>
      </c>
    </row>
    <row r="978" spans="1:8" ht="17" x14ac:dyDescent="0.2">
      <c r="A978">
        <v>977</v>
      </c>
      <c r="B978" cm="1">
        <f t="array" ref="B978:G978">_xlfn.XLOOKUP($A978,Instagram_Usage_Lifestyle_Mini_!$A:$A,Instagram_Usage_Lifestyle_Mini_!$W:$AB,"Not Found")</f>
        <v>42.8</v>
      </c>
      <c r="C978">
        <v>3</v>
      </c>
      <c r="D978">
        <v>4</v>
      </c>
      <c r="E978">
        <v>11</v>
      </c>
      <c r="F978">
        <v>5.6</v>
      </c>
      <c r="G978">
        <v>3</v>
      </c>
      <c r="H978" s="13" t="str" cm="1">
        <f t="array" ref="H978">_xlfn.IFS(B978&lt;20,"Low",B978&lt;=40,"Moderate",B978&lt;=60,"High",TRUE,"Very High")</f>
        <v>High</v>
      </c>
    </row>
    <row r="979" spans="1:8" ht="17" x14ac:dyDescent="0.2">
      <c r="A979">
        <v>978</v>
      </c>
      <c r="B979" cm="1">
        <f t="array" ref="B979:G979">_xlfn.XLOOKUP($A979,Instagram_Usage_Lifestyle_Mini_!$A:$A,Instagram_Usage_Lifestyle_Mini_!$W:$AB,"Not Found")</f>
        <v>27.9</v>
      </c>
      <c r="C979">
        <v>3</v>
      </c>
      <c r="D979">
        <v>2</v>
      </c>
      <c r="E979">
        <v>8</v>
      </c>
      <c r="F979">
        <v>6.3</v>
      </c>
      <c r="G979">
        <v>3</v>
      </c>
      <c r="H979" s="13" t="str" cm="1">
        <f t="array" ref="H979">_xlfn.IFS(B979&lt;20,"Low",B979&lt;=40,"Moderate",B979&lt;=60,"High",TRUE,"Very High")</f>
        <v>Moderate</v>
      </c>
    </row>
    <row r="980" spans="1:8" ht="17" x14ac:dyDescent="0.2">
      <c r="A980">
        <v>979</v>
      </c>
      <c r="B980" cm="1">
        <f t="array" ref="B980:G980">_xlfn.XLOOKUP($A980,Instagram_Usage_Lifestyle_Mini_!$A:$A,Instagram_Usage_Lifestyle_Mini_!$W:$AB,"Not Found")</f>
        <v>29.1</v>
      </c>
      <c r="C980">
        <v>4</v>
      </c>
      <c r="D980">
        <v>3</v>
      </c>
      <c r="E980">
        <v>11</v>
      </c>
      <c r="F980">
        <v>4.9000000000000004</v>
      </c>
      <c r="G980">
        <v>1</v>
      </c>
      <c r="H980" s="13" t="str" cm="1">
        <f t="array" ref="H980">_xlfn.IFS(B980&lt;20,"Low",B980&lt;=40,"Moderate",B980&lt;=60,"High",TRUE,"Very High")</f>
        <v>Moderate</v>
      </c>
    </row>
    <row r="981" spans="1:8" ht="17" x14ac:dyDescent="0.2">
      <c r="A981">
        <v>980</v>
      </c>
      <c r="B981" cm="1">
        <f t="array" ref="B981:G981">_xlfn.XLOOKUP($A981,Instagram_Usage_Lifestyle_Mini_!$A:$A,Instagram_Usage_Lifestyle_Mini_!$W:$AB,"Not Found")</f>
        <v>35</v>
      </c>
      <c r="C981">
        <v>0</v>
      </c>
      <c r="D981">
        <v>3</v>
      </c>
      <c r="E981">
        <v>12</v>
      </c>
      <c r="F981">
        <v>2.7</v>
      </c>
      <c r="G981">
        <v>1</v>
      </c>
      <c r="H981" s="13" t="str" cm="1">
        <f t="array" ref="H981">_xlfn.IFS(B981&lt;20,"Low",B981&lt;=40,"Moderate",B981&lt;=60,"High",TRUE,"Very High")</f>
        <v>Moderate</v>
      </c>
    </row>
    <row r="982" spans="1:8" ht="17" x14ac:dyDescent="0.2">
      <c r="A982">
        <v>981</v>
      </c>
      <c r="B982" cm="1">
        <f t="array" ref="B982:G982">_xlfn.XLOOKUP($A982,Instagram_Usage_Lifestyle_Mini_!$A:$A,Instagram_Usage_Lifestyle_Mini_!$W:$AB,"Not Found")</f>
        <v>32.200000000000003</v>
      </c>
      <c r="C982">
        <v>2</v>
      </c>
      <c r="D982">
        <v>5</v>
      </c>
      <c r="E982">
        <v>10</v>
      </c>
      <c r="F982">
        <v>3.1</v>
      </c>
      <c r="G982">
        <v>4</v>
      </c>
      <c r="H982" s="13" t="str" cm="1">
        <f t="array" ref="H982">_xlfn.IFS(B982&lt;20,"Low",B982&lt;=40,"Moderate",B982&lt;=60,"High",TRUE,"Very High")</f>
        <v>Moderate</v>
      </c>
    </row>
    <row r="983" spans="1:8" ht="17" x14ac:dyDescent="0.2">
      <c r="A983">
        <v>982</v>
      </c>
      <c r="B983" cm="1">
        <f t="array" ref="B983:G983">_xlfn.XLOOKUP($A983,Instagram_Usage_Lifestyle_Mini_!$A:$A,Instagram_Usage_Lifestyle_Mini_!$W:$AB,"Not Found")</f>
        <v>33.700000000000003</v>
      </c>
      <c r="C983">
        <v>3</v>
      </c>
      <c r="D983">
        <v>3</v>
      </c>
      <c r="E983">
        <v>6</v>
      </c>
      <c r="F983">
        <v>4.0999999999999996</v>
      </c>
      <c r="G983">
        <v>1</v>
      </c>
      <c r="H983" s="13" t="str" cm="1">
        <f t="array" ref="H983">_xlfn.IFS(B983&lt;20,"Low",B983&lt;=40,"Moderate",B983&lt;=60,"High",TRUE,"Very High")</f>
        <v>Moderate</v>
      </c>
    </row>
    <row r="984" spans="1:8" ht="17" x14ac:dyDescent="0.2">
      <c r="A984">
        <v>983</v>
      </c>
      <c r="B984" cm="1">
        <f t="array" ref="B984:G984">_xlfn.XLOOKUP($A984,Instagram_Usage_Lifestyle_Mini_!$A:$A,Instagram_Usage_Lifestyle_Mini_!$W:$AB,"Not Found")</f>
        <v>43.7</v>
      </c>
      <c r="C984">
        <v>4</v>
      </c>
      <c r="D984">
        <v>2</v>
      </c>
      <c r="E984">
        <v>10</v>
      </c>
      <c r="F984">
        <v>6</v>
      </c>
      <c r="G984">
        <v>4</v>
      </c>
      <c r="H984" s="13" t="str" cm="1">
        <f t="array" ref="H984">_xlfn.IFS(B984&lt;20,"Low",B984&lt;=40,"Moderate",B984&lt;=60,"High",TRUE,"Very High")</f>
        <v>High</v>
      </c>
    </row>
    <row r="985" spans="1:8" ht="17" x14ac:dyDescent="0.2">
      <c r="A985">
        <v>984</v>
      </c>
      <c r="B985" cm="1">
        <f t="array" ref="B985:G985">_xlfn.XLOOKUP($A985,Instagram_Usage_Lifestyle_Mini_!$A:$A,Instagram_Usage_Lifestyle_Mini_!$W:$AB,"Not Found")</f>
        <v>36.6</v>
      </c>
      <c r="C985">
        <v>2</v>
      </c>
      <c r="D985">
        <v>2</v>
      </c>
      <c r="E985">
        <v>5</v>
      </c>
      <c r="F985">
        <v>2.9</v>
      </c>
      <c r="G985">
        <v>3</v>
      </c>
      <c r="H985" s="13" t="str" cm="1">
        <f t="array" ref="H985">_xlfn.IFS(B985&lt;20,"Low",B985&lt;=40,"Moderate",B985&lt;=60,"High",TRUE,"Very High")</f>
        <v>Moderate</v>
      </c>
    </row>
    <row r="986" spans="1:8" ht="17" x14ac:dyDescent="0.2">
      <c r="A986">
        <v>985</v>
      </c>
      <c r="B986" cm="1">
        <f t="array" ref="B986:G986">_xlfn.XLOOKUP($A986,Instagram_Usage_Lifestyle_Mini_!$A:$A,Instagram_Usage_Lifestyle_Mini_!$W:$AB,"Not Found")</f>
        <v>27.5</v>
      </c>
      <c r="C986">
        <v>2</v>
      </c>
      <c r="D986">
        <v>3</v>
      </c>
      <c r="E986">
        <v>15</v>
      </c>
      <c r="F986">
        <v>4.0999999999999996</v>
      </c>
      <c r="G986">
        <v>2</v>
      </c>
      <c r="H986" s="13" t="str" cm="1">
        <f t="array" ref="H986">_xlfn.IFS(B986&lt;20,"Low",B986&lt;=40,"Moderate",B986&lt;=60,"High",TRUE,"Very High")</f>
        <v>Moderate</v>
      </c>
    </row>
    <row r="987" spans="1:8" ht="17" x14ac:dyDescent="0.2">
      <c r="A987">
        <v>986</v>
      </c>
      <c r="B987" cm="1">
        <f t="array" ref="B987:G987">_xlfn.XLOOKUP($A987,Instagram_Usage_Lifestyle_Mini_!$A:$A,Instagram_Usage_Lifestyle_Mini_!$W:$AB,"Not Found")</f>
        <v>29.7</v>
      </c>
      <c r="C987">
        <v>2</v>
      </c>
      <c r="D987">
        <v>4</v>
      </c>
      <c r="E987">
        <v>10</v>
      </c>
      <c r="F987">
        <v>2.8</v>
      </c>
      <c r="G987">
        <v>4</v>
      </c>
      <c r="H987" s="13" t="str" cm="1">
        <f t="array" ref="H987">_xlfn.IFS(B987&lt;20,"Low",B987&lt;=40,"Moderate",B987&lt;=60,"High",TRUE,"Very High")</f>
        <v>Moderate</v>
      </c>
    </row>
    <row r="988" spans="1:8" ht="17" x14ac:dyDescent="0.2">
      <c r="A988">
        <v>987</v>
      </c>
      <c r="B988" cm="1">
        <f t="array" ref="B988:G988">_xlfn.XLOOKUP($A988,Instagram_Usage_Lifestyle_Mini_!$A:$A,Instagram_Usage_Lifestyle_Mini_!$W:$AB,"Not Found")</f>
        <v>55.7</v>
      </c>
      <c r="C988">
        <v>4</v>
      </c>
      <c r="D988">
        <v>4</v>
      </c>
      <c r="E988">
        <v>19</v>
      </c>
      <c r="F988">
        <v>0.4</v>
      </c>
      <c r="G988">
        <v>3</v>
      </c>
      <c r="H988" s="13" t="str" cm="1">
        <f t="array" ref="H988">_xlfn.IFS(B988&lt;20,"Low",B988&lt;=40,"Moderate",B988&lt;=60,"High",TRUE,"Very High")</f>
        <v>High</v>
      </c>
    </row>
    <row r="989" spans="1:8" ht="17" x14ac:dyDescent="0.2">
      <c r="A989">
        <v>988</v>
      </c>
      <c r="B989" cm="1">
        <f t="array" ref="B989:G989">_xlfn.XLOOKUP($A989,Instagram_Usage_Lifestyle_Mini_!$A:$A,Instagram_Usage_Lifestyle_Mini_!$W:$AB,"Not Found")</f>
        <v>46.7</v>
      </c>
      <c r="C989">
        <v>3</v>
      </c>
      <c r="D989">
        <v>4</v>
      </c>
      <c r="E989">
        <v>9</v>
      </c>
      <c r="F989">
        <v>2.2999999999999998</v>
      </c>
      <c r="G989">
        <v>5</v>
      </c>
      <c r="H989" s="13" t="str" cm="1">
        <f t="array" ref="H989">_xlfn.IFS(B989&lt;20,"Low",B989&lt;=40,"Moderate",B989&lt;=60,"High",TRUE,"Very High")</f>
        <v>High</v>
      </c>
    </row>
    <row r="990" spans="1:8" ht="17" x14ac:dyDescent="0.2">
      <c r="A990">
        <v>989</v>
      </c>
      <c r="B990" cm="1">
        <f t="array" ref="B990:G990">_xlfn.XLOOKUP($A990,Instagram_Usage_Lifestyle_Mini_!$A:$A,Instagram_Usage_Lifestyle_Mini_!$W:$AB,"Not Found")</f>
        <v>40.700000000000003</v>
      </c>
      <c r="C990">
        <v>3</v>
      </c>
      <c r="D990">
        <v>3</v>
      </c>
      <c r="E990">
        <v>17</v>
      </c>
      <c r="F990">
        <v>3.8</v>
      </c>
      <c r="G990">
        <v>2</v>
      </c>
      <c r="H990" s="13" t="str" cm="1">
        <f t="array" ref="H990">_xlfn.IFS(B990&lt;20,"Low",B990&lt;=40,"Moderate",B990&lt;=60,"High",TRUE,"Very High")</f>
        <v>High</v>
      </c>
    </row>
    <row r="991" spans="1:8" ht="17" x14ac:dyDescent="0.2">
      <c r="A991">
        <v>990</v>
      </c>
      <c r="B991" cm="1">
        <f t="array" ref="B991:G991">_xlfn.XLOOKUP($A991,Instagram_Usage_Lifestyle_Mini_!$A:$A,Instagram_Usage_Lifestyle_Mini_!$W:$AB,"Not Found")</f>
        <v>54.4</v>
      </c>
      <c r="C991">
        <v>4</v>
      </c>
      <c r="D991">
        <v>3</v>
      </c>
      <c r="E991">
        <v>10</v>
      </c>
      <c r="F991">
        <v>2.5</v>
      </c>
      <c r="G991">
        <v>1</v>
      </c>
      <c r="H991" s="13" t="str" cm="1">
        <f t="array" ref="H991">_xlfn.IFS(B991&lt;20,"Low",B991&lt;=40,"Moderate",B991&lt;=60,"High",TRUE,"Very High")</f>
        <v>High</v>
      </c>
    </row>
    <row r="992" spans="1:8" ht="17" x14ac:dyDescent="0.2">
      <c r="A992">
        <v>991</v>
      </c>
      <c r="B992" cm="1">
        <f t="array" ref="B992:G992">_xlfn.XLOOKUP($A992,Instagram_Usage_Lifestyle_Mini_!$A:$A,Instagram_Usage_Lifestyle_Mini_!$W:$AB,"Not Found")</f>
        <v>33.9</v>
      </c>
      <c r="C992">
        <v>2</v>
      </c>
      <c r="D992">
        <v>4</v>
      </c>
      <c r="E992">
        <v>10</v>
      </c>
      <c r="F992">
        <v>6.6</v>
      </c>
      <c r="G992">
        <v>5</v>
      </c>
      <c r="H992" s="13" t="str" cm="1">
        <f t="array" ref="H992">_xlfn.IFS(B992&lt;20,"Low",B992&lt;=40,"Moderate",B992&lt;=60,"High",TRUE,"Very High")</f>
        <v>Moderate</v>
      </c>
    </row>
    <row r="993" spans="1:8" ht="17" x14ac:dyDescent="0.2">
      <c r="A993">
        <v>992</v>
      </c>
      <c r="B993" cm="1">
        <f t="array" ref="B993:G993">_xlfn.XLOOKUP($A993,Instagram_Usage_Lifestyle_Mini_!$A:$A,Instagram_Usage_Lifestyle_Mini_!$W:$AB,"Not Found")</f>
        <v>31.6</v>
      </c>
      <c r="C993">
        <v>0</v>
      </c>
      <c r="D993">
        <v>3</v>
      </c>
      <c r="E993">
        <v>6</v>
      </c>
      <c r="F993">
        <v>3.8</v>
      </c>
      <c r="G993">
        <v>5</v>
      </c>
      <c r="H993" s="13" t="str" cm="1">
        <f t="array" ref="H993">_xlfn.IFS(B993&lt;20,"Low",B993&lt;=40,"Moderate",B993&lt;=60,"High",TRUE,"Very High")</f>
        <v>Moderate</v>
      </c>
    </row>
    <row r="994" spans="1:8" ht="17" x14ac:dyDescent="0.2">
      <c r="A994">
        <v>993</v>
      </c>
      <c r="B994" cm="1">
        <f t="array" ref="B994:G994">_xlfn.XLOOKUP($A994,Instagram_Usage_Lifestyle_Mini_!$A:$A,Instagram_Usage_Lifestyle_Mini_!$W:$AB,"Not Found")</f>
        <v>31.2</v>
      </c>
      <c r="C994">
        <v>4</v>
      </c>
      <c r="D994">
        <v>4</v>
      </c>
      <c r="E994">
        <v>7</v>
      </c>
      <c r="F994">
        <v>4.7</v>
      </c>
      <c r="G994">
        <v>3</v>
      </c>
      <c r="H994" s="13" t="str" cm="1">
        <f t="array" ref="H994">_xlfn.IFS(B994&lt;20,"Low",B994&lt;=40,"Moderate",B994&lt;=60,"High",TRUE,"Very High")</f>
        <v>Moderate</v>
      </c>
    </row>
    <row r="995" spans="1:8" ht="17" x14ac:dyDescent="0.2">
      <c r="A995">
        <v>994</v>
      </c>
      <c r="B995" cm="1">
        <f t="array" ref="B995:G995">_xlfn.XLOOKUP($A995,Instagram_Usage_Lifestyle_Mini_!$A:$A,Instagram_Usage_Lifestyle_Mini_!$W:$AB,"Not Found")</f>
        <v>60</v>
      </c>
      <c r="C995">
        <v>0</v>
      </c>
      <c r="D995">
        <v>7</v>
      </c>
      <c r="E995">
        <v>6</v>
      </c>
      <c r="F995">
        <v>6.5</v>
      </c>
      <c r="G995">
        <v>3</v>
      </c>
      <c r="H995" s="13" t="str" cm="1">
        <f t="array" ref="H995">_xlfn.IFS(B995&lt;20,"Low",B995&lt;=40,"Moderate",B995&lt;=60,"High",TRUE,"Very High")</f>
        <v>High</v>
      </c>
    </row>
    <row r="996" spans="1:8" ht="17" x14ac:dyDescent="0.2">
      <c r="A996">
        <v>995</v>
      </c>
      <c r="B996" cm="1">
        <f t="array" ref="B996:G996">_xlfn.XLOOKUP($A996,Instagram_Usage_Lifestyle_Mini_!$A:$A,Instagram_Usage_Lifestyle_Mini_!$W:$AB,"Not Found")</f>
        <v>20.2</v>
      </c>
      <c r="C996">
        <v>6</v>
      </c>
      <c r="D996">
        <v>5</v>
      </c>
      <c r="E996">
        <v>10</v>
      </c>
      <c r="F996">
        <v>4.5</v>
      </c>
      <c r="G996">
        <v>2</v>
      </c>
      <c r="H996" s="13" t="str" cm="1">
        <f t="array" ref="H996">_xlfn.IFS(B996&lt;20,"Low",B996&lt;=40,"Moderate",B996&lt;=60,"High",TRUE,"Very High")</f>
        <v>Moderate</v>
      </c>
    </row>
    <row r="997" spans="1:8" ht="17" x14ac:dyDescent="0.2">
      <c r="A997">
        <v>996</v>
      </c>
      <c r="B997" cm="1">
        <f t="array" ref="B997:G997">_xlfn.XLOOKUP($A997,Instagram_Usage_Lifestyle_Mini_!$A:$A,Instagram_Usage_Lifestyle_Mini_!$W:$AB,"Not Found")</f>
        <v>41.5</v>
      </c>
      <c r="C997">
        <v>2</v>
      </c>
      <c r="D997">
        <v>3</v>
      </c>
      <c r="E997">
        <v>10</v>
      </c>
      <c r="F997">
        <v>1.6</v>
      </c>
      <c r="G997">
        <v>1</v>
      </c>
      <c r="H997" s="13" t="str" cm="1">
        <f t="array" ref="H997">_xlfn.IFS(B997&lt;20,"Low",B997&lt;=40,"Moderate",B997&lt;=60,"High",TRUE,"Very High")</f>
        <v>High</v>
      </c>
    </row>
    <row r="998" spans="1:8" ht="17" x14ac:dyDescent="0.2">
      <c r="A998">
        <v>997</v>
      </c>
      <c r="B998" cm="1">
        <f t="array" ref="B998:G998">_xlfn.XLOOKUP($A998,Instagram_Usage_Lifestyle_Mini_!$A:$A,Instagram_Usage_Lifestyle_Mini_!$W:$AB,"Not Found")</f>
        <v>31.7</v>
      </c>
      <c r="C998">
        <v>8</v>
      </c>
      <c r="D998">
        <v>3</v>
      </c>
      <c r="E998">
        <v>8</v>
      </c>
      <c r="F998">
        <v>4.4000000000000004</v>
      </c>
      <c r="G998">
        <v>1</v>
      </c>
      <c r="H998" s="13" t="str" cm="1">
        <f t="array" ref="H998">_xlfn.IFS(B998&lt;20,"Low",B998&lt;=40,"Moderate",B998&lt;=60,"High",TRUE,"Very High")</f>
        <v>Moderate</v>
      </c>
    </row>
    <row r="999" spans="1:8" ht="17" x14ac:dyDescent="0.2">
      <c r="A999">
        <v>998</v>
      </c>
      <c r="B999" cm="1">
        <f t="array" ref="B999:G999">_xlfn.XLOOKUP($A999,Instagram_Usage_Lifestyle_Mini_!$A:$A,Instagram_Usage_Lifestyle_Mini_!$W:$AB,"Not Found")</f>
        <v>48.2</v>
      </c>
      <c r="C999">
        <v>2</v>
      </c>
      <c r="D999">
        <v>0</v>
      </c>
      <c r="E999">
        <v>6</v>
      </c>
      <c r="F999">
        <v>1.3</v>
      </c>
      <c r="G999">
        <v>3</v>
      </c>
      <c r="H999" s="13" t="str" cm="1">
        <f t="array" ref="H999">_xlfn.IFS(B999&lt;20,"Low",B999&lt;=40,"Moderate",B999&lt;=60,"High",TRUE,"Very High")</f>
        <v>High</v>
      </c>
    </row>
    <row r="1000" spans="1:8" ht="17" x14ac:dyDescent="0.2">
      <c r="A1000">
        <v>999</v>
      </c>
      <c r="B1000" cm="1">
        <f t="array" ref="B1000:G1000">_xlfn.XLOOKUP($A1000,Instagram_Usage_Lifestyle_Mini_!$A:$A,Instagram_Usage_Lifestyle_Mini_!$W:$AB,"Not Found")</f>
        <v>48.3</v>
      </c>
      <c r="C1000">
        <v>1</v>
      </c>
      <c r="D1000">
        <v>2</v>
      </c>
      <c r="E1000">
        <v>12</v>
      </c>
      <c r="F1000">
        <v>2.1</v>
      </c>
      <c r="G1000">
        <v>3</v>
      </c>
      <c r="H1000" s="13" t="str" cm="1">
        <f t="array" ref="H1000">_xlfn.IFS(B1000&lt;20,"Low",B1000&lt;=40,"Moderate",B1000&lt;=60,"High",TRUE,"Very High")</f>
        <v>High</v>
      </c>
    </row>
    <row r="1001" spans="1:8" ht="17" x14ac:dyDescent="0.2">
      <c r="A1001">
        <v>1000</v>
      </c>
      <c r="B1001" cm="1">
        <f t="array" ref="B1001:G1001">_xlfn.XLOOKUP($A1001,Instagram_Usage_Lifestyle_Mini_!$A:$A,Instagram_Usage_Lifestyle_Mini_!$W:$AB,"Not Found")</f>
        <v>42.1</v>
      </c>
      <c r="C1001">
        <v>3</v>
      </c>
      <c r="D1001">
        <v>7</v>
      </c>
      <c r="E1001">
        <v>11</v>
      </c>
      <c r="F1001">
        <v>3.4</v>
      </c>
      <c r="G1001">
        <v>4</v>
      </c>
      <c r="H1001" s="13" t="str" cm="1">
        <f t="array" ref="H1001">_xlfn.IFS(B1001&lt;20,"Low",B1001&lt;=40,"Moderate",B1001&lt;=60,"High",TRUE,"Very High")</f>
        <v>High</v>
      </c>
    </row>
  </sheetData>
  <autoFilter ref="A1:H1" xr:uid="{20CE31A3-DAE7-5140-98F1-3DA802F9214F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A4183-873F-6D4D-8F78-C0B7BC7177EE}">
  <dimension ref="A3:B8"/>
  <sheetViews>
    <sheetView workbookViewId="0">
      <selection activeCell="N34" sqref="N34"/>
    </sheetView>
  </sheetViews>
  <sheetFormatPr baseColWidth="10" defaultRowHeight="16" x14ac:dyDescent="0.2"/>
  <cols>
    <col min="1" max="1" width="13" bestFit="1" customWidth="1"/>
    <col min="2" max="2" width="14.6640625" bestFit="1" customWidth="1"/>
  </cols>
  <sheetData>
    <row r="3" spans="1:2" x14ac:dyDescent="0.2">
      <c r="A3" s="11" t="s">
        <v>136</v>
      </c>
      <c r="B3" t="s">
        <v>143</v>
      </c>
    </row>
    <row r="4" spans="1:2" x14ac:dyDescent="0.2">
      <c r="A4" s="12" t="s">
        <v>4</v>
      </c>
      <c r="B4">
        <v>478</v>
      </c>
    </row>
    <row r="5" spans="1:2" x14ac:dyDescent="0.2">
      <c r="A5" s="12" t="s">
        <v>38</v>
      </c>
      <c r="B5">
        <v>22</v>
      </c>
    </row>
    <row r="6" spans="1:2" x14ac:dyDescent="0.2">
      <c r="A6" s="12" t="s">
        <v>144</v>
      </c>
      <c r="B6">
        <v>481</v>
      </c>
    </row>
    <row r="7" spans="1:2" x14ac:dyDescent="0.2">
      <c r="A7" s="12" t="s">
        <v>145</v>
      </c>
      <c r="B7">
        <v>19</v>
      </c>
    </row>
    <row r="8" spans="1:2" x14ac:dyDescent="0.2">
      <c r="A8" s="12" t="s">
        <v>134</v>
      </c>
      <c r="B8">
        <v>1000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5AC17-25D1-0C45-8D2B-18103CD45F18}">
  <dimension ref="A1:AF1001"/>
  <sheetViews>
    <sheetView tabSelected="1" workbookViewId="0"/>
  </sheetViews>
  <sheetFormatPr baseColWidth="10" defaultRowHeight="16" x14ac:dyDescent="0.2"/>
  <cols>
    <col min="1" max="1" width="11" bestFit="1" customWidth="1"/>
    <col min="2" max="2" width="35.33203125" bestFit="1" customWidth="1"/>
    <col min="3" max="3" width="21.33203125" bestFit="1" customWidth="1"/>
    <col min="4" max="4" width="28.6640625" bestFit="1" customWidth="1"/>
    <col min="5" max="6" width="27.83203125" bestFit="1" customWidth="1"/>
    <col min="7" max="7" width="24.5" bestFit="1" customWidth="1"/>
    <col min="8" max="8" width="31.6640625" bestFit="1" customWidth="1"/>
    <col min="9" max="9" width="24.5" bestFit="1" customWidth="1"/>
    <col min="10" max="10" width="29.1640625" bestFit="1" customWidth="1"/>
    <col min="11" max="11" width="24.5" bestFit="1" customWidth="1"/>
    <col min="12" max="12" width="25" bestFit="1" customWidth="1"/>
    <col min="13" max="13" width="27" bestFit="1" customWidth="1"/>
    <col min="14" max="14" width="29.6640625" bestFit="1" customWidth="1"/>
    <col min="15" max="15" width="31.6640625" bestFit="1" customWidth="1"/>
    <col min="16" max="16" width="27.6640625" bestFit="1" customWidth="1"/>
    <col min="17" max="17" width="19.83203125" bestFit="1" customWidth="1"/>
    <col min="18" max="18" width="19.6640625" bestFit="1" customWidth="1"/>
    <col min="19" max="19" width="27.83203125" bestFit="1" customWidth="1"/>
    <col min="20" max="20" width="31" bestFit="1" customWidth="1"/>
    <col min="21" max="21" width="26.5" bestFit="1" customWidth="1"/>
    <col min="22" max="22" width="19.1640625" bestFit="1" customWidth="1"/>
    <col min="23" max="23" width="36.1640625" bestFit="1" customWidth="1"/>
    <col min="24" max="24" width="28.5" bestFit="1" customWidth="1"/>
    <col min="25" max="25" width="29.1640625" bestFit="1" customWidth="1"/>
    <col min="26" max="26" width="24.83203125" bestFit="1" customWidth="1"/>
    <col min="27" max="27" width="28.83203125" bestFit="1" customWidth="1"/>
    <col min="28" max="28" width="25.33203125" bestFit="1" customWidth="1"/>
    <col min="29" max="29" width="26.83203125" bestFit="1" customWidth="1"/>
    <col min="30" max="30" width="23" bestFit="1" customWidth="1"/>
    <col min="31" max="31" width="27.6640625" bestFit="1" customWidth="1"/>
    <col min="32" max="32" width="33.33203125" bestFit="1" customWidth="1"/>
  </cols>
  <sheetData>
    <row r="1" spans="1:32" ht="19" x14ac:dyDescent="0.25">
      <c r="A1" s="3" t="s">
        <v>55</v>
      </c>
      <c r="B1" s="3" t="s">
        <v>82</v>
      </c>
      <c r="C1" s="3" t="s">
        <v>83</v>
      </c>
      <c r="D1" s="3" t="s">
        <v>84</v>
      </c>
      <c r="E1" s="3" t="s">
        <v>85</v>
      </c>
      <c r="F1" s="3" t="s">
        <v>86</v>
      </c>
      <c r="G1" s="3" t="s">
        <v>87</v>
      </c>
      <c r="H1" s="3" t="s">
        <v>88</v>
      </c>
      <c r="I1" s="3" t="s">
        <v>89</v>
      </c>
      <c r="J1" s="3" t="s">
        <v>90</v>
      </c>
      <c r="K1" s="3" t="s">
        <v>91</v>
      </c>
      <c r="L1" s="3" t="s">
        <v>92</v>
      </c>
      <c r="M1" s="3" t="s">
        <v>93</v>
      </c>
      <c r="N1" s="3" t="s">
        <v>95</v>
      </c>
      <c r="O1" s="3" t="s">
        <v>94</v>
      </c>
      <c r="P1" s="3" t="s">
        <v>96</v>
      </c>
      <c r="Q1" s="3" t="s">
        <v>97</v>
      </c>
      <c r="R1" s="3" t="s">
        <v>98</v>
      </c>
      <c r="S1" s="2" t="s">
        <v>99</v>
      </c>
      <c r="T1" s="2" t="s">
        <v>100</v>
      </c>
      <c r="U1" s="2" t="s">
        <v>101</v>
      </c>
      <c r="V1" s="2" t="s">
        <v>102</v>
      </c>
      <c r="W1" s="2" t="s">
        <v>103</v>
      </c>
      <c r="X1" s="2" t="s">
        <v>104</v>
      </c>
      <c r="Y1" s="2" t="s">
        <v>105</v>
      </c>
      <c r="Z1" s="2" t="s">
        <v>106</v>
      </c>
      <c r="AA1" s="2" t="s">
        <v>107</v>
      </c>
      <c r="AB1" s="2" t="s">
        <v>108</v>
      </c>
      <c r="AC1" s="2" t="s">
        <v>109</v>
      </c>
      <c r="AD1" s="2" t="s">
        <v>110</v>
      </c>
      <c r="AE1" s="2" t="s">
        <v>111</v>
      </c>
      <c r="AF1" s="2" t="s">
        <v>141</v>
      </c>
    </row>
    <row r="2" spans="1:32" x14ac:dyDescent="0.2">
      <c r="A2">
        <v>1</v>
      </c>
      <c r="B2" cm="1">
        <f t="array" ref="B2:AE2">_xlfn.XLOOKUP($A2,Instagram_Usage_Lifestyle_Mini_!$A:$A,Instagram_Usage_Lifestyle_Mini_!$AC:$BF)</f>
        <v>5</v>
      </c>
      <c r="C2">
        <v>1</v>
      </c>
      <c r="D2">
        <v>3</v>
      </c>
      <c r="E2">
        <v>42</v>
      </c>
      <c r="F2">
        <v>28</v>
      </c>
      <c r="G2">
        <v>28</v>
      </c>
      <c r="H2">
        <v>5</v>
      </c>
      <c r="I2">
        <v>12</v>
      </c>
      <c r="J2">
        <v>12</v>
      </c>
      <c r="K2">
        <v>4</v>
      </c>
      <c r="L2">
        <v>1</v>
      </c>
      <c r="M2">
        <v>2</v>
      </c>
      <c r="N2">
        <v>1</v>
      </c>
      <c r="O2">
        <v>1</v>
      </c>
      <c r="P2">
        <v>2</v>
      </c>
      <c r="Q2">
        <v>374</v>
      </c>
      <c r="R2">
        <v>647</v>
      </c>
      <c r="S2" t="str">
        <v>No</v>
      </c>
      <c r="T2">
        <v>0.34</v>
      </c>
      <c r="U2">
        <v>2015</v>
      </c>
      <c r="V2">
        <v>45963</v>
      </c>
      <c r="W2">
        <v>5</v>
      </c>
      <c r="X2" t="str">
        <v>Mixed</v>
      </c>
      <c r="Y2" t="str">
        <v>Tech</v>
      </c>
      <c r="Z2" t="str">
        <v>Private</v>
      </c>
      <c r="AA2" t="str">
        <v>Yes</v>
      </c>
      <c r="AB2" t="str">
        <v>No</v>
      </c>
      <c r="AC2">
        <v>0</v>
      </c>
      <c r="AD2" t="str">
        <v>Free</v>
      </c>
      <c r="AE2">
        <v>7.83</v>
      </c>
      <c r="AF2" s="14">
        <f>IF(R2=0,0,Q2/R2)</f>
        <v>0.57805255023183921</v>
      </c>
    </row>
    <row r="3" spans="1:32" x14ac:dyDescent="0.2">
      <c r="A3">
        <v>2</v>
      </c>
      <c r="B3" cm="1">
        <f t="array" ref="B3:AE3">_xlfn.XLOOKUP($A3,Instagram_Usage_Lifestyle_Mini_!$A:$A,Instagram_Usage_Lifestyle_Mini_!$AC:$BF)</f>
        <v>74</v>
      </c>
      <c r="C3">
        <v>5</v>
      </c>
      <c r="D3">
        <v>3</v>
      </c>
      <c r="E3">
        <v>78</v>
      </c>
      <c r="F3">
        <v>54</v>
      </c>
      <c r="G3">
        <v>68</v>
      </c>
      <c r="H3">
        <v>15</v>
      </c>
      <c r="I3">
        <v>18</v>
      </c>
      <c r="J3">
        <v>10</v>
      </c>
      <c r="K3">
        <v>11</v>
      </c>
      <c r="L3">
        <v>1</v>
      </c>
      <c r="M3">
        <v>31</v>
      </c>
      <c r="N3">
        <v>19</v>
      </c>
      <c r="O3">
        <v>16</v>
      </c>
      <c r="P3">
        <v>19</v>
      </c>
      <c r="Q3">
        <v>2585</v>
      </c>
      <c r="R3">
        <v>3511</v>
      </c>
      <c r="S3" t="str">
        <v>No</v>
      </c>
      <c r="T3">
        <v>0.56000000000000005</v>
      </c>
      <c r="U3">
        <v>2018</v>
      </c>
      <c r="V3">
        <v>45738</v>
      </c>
      <c r="W3">
        <v>14.8</v>
      </c>
      <c r="X3" t="str">
        <v>Photos</v>
      </c>
      <c r="Y3" t="str">
        <v>Fashion</v>
      </c>
      <c r="Z3" t="str">
        <v>Public</v>
      </c>
      <c r="AA3" t="str">
        <v>No</v>
      </c>
      <c r="AB3" t="str">
        <v>No</v>
      </c>
      <c r="AC3">
        <v>3</v>
      </c>
      <c r="AD3" t="str">
        <v>Free</v>
      </c>
      <c r="AE3">
        <v>1.43</v>
      </c>
      <c r="AF3" s="14">
        <f t="shared" ref="AF3:AF66" si="0">IF(R3=0,0,Q3/R3)</f>
        <v>0.73625747650242102</v>
      </c>
    </row>
    <row r="4" spans="1:32" x14ac:dyDescent="0.2">
      <c r="A4">
        <v>3</v>
      </c>
      <c r="B4" cm="1">
        <f t="array" ref="B4:AE4">_xlfn.XLOOKUP($A4,Instagram_Usage_Lifestyle_Mini_!$A:$A,Instagram_Usage_Lifestyle_Mini_!$AC:$BF)</f>
        <v>5</v>
      </c>
      <c r="C4">
        <v>1</v>
      </c>
      <c r="D4">
        <v>7</v>
      </c>
      <c r="E4">
        <v>29</v>
      </c>
      <c r="F4">
        <v>26</v>
      </c>
      <c r="G4">
        <v>25</v>
      </c>
      <c r="H4">
        <v>6</v>
      </c>
      <c r="I4">
        <v>12</v>
      </c>
      <c r="J4">
        <v>13</v>
      </c>
      <c r="K4">
        <v>4</v>
      </c>
      <c r="L4">
        <v>0</v>
      </c>
      <c r="M4">
        <v>3</v>
      </c>
      <c r="N4">
        <v>1</v>
      </c>
      <c r="O4">
        <v>1</v>
      </c>
      <c r="P4">
        <v>1</v>
      </c>
      <c r="Q4">
        <v>3414</v>
      </c>
      <c r="R4">
        <v>6761</v>
      </c>
      <c r="S4" t="str">
        <v>No</v>
      </c>
      <c r="T4">
        <v>0.73</v>
      </c>
      <c r="U4">
        <v>2011</v>
      </c>
      <c r="V4">
        <v>45879</v>
      </c>
      <c r="W4">
        <v>5</v>
      </c>
      <c r="X4" t="str">
        <v>Mixed</v>
      </c>
      <c r="Y4" t="str">
        <v>Other</v>
      </c>
      <c r="Z4" t="str">
        <v>Public</v>
      </c>
      <c r="AA4" t="str">
        <v>Yes</v>
      </c>
      <c r="AB4" t="str">
        <v>Yes</v>
      </c>
      <c r="AC4">
        <v>1</v>
      </c>
      <c r="AD4" t="str">
        <v>Free</v>
      </c>
      <c r="AE4">
        <v>9.67</v>
      </c>
      <c r="AF4" s="14">
        <f t="shared" si="0"/>
        <v>0.50495488833012869</v>
      </c>
    </row>
    <row r="5" spans="1:32" x14ac:dyDescent="0.2">
      <c r="A5">
        <v>4</v>
      </c>
      <c r="B5" cm="1">
        <f t="array" ref="B5:AE5">_xlfn.XLOOKUP($A5,Instagram_Usage_Lifestyle_Mini_!$A:$A,Instagram_Usage_Lifestyle_Mini_!$AC:$BF)</f>
        <v>233</v>
      </c>
      <c r="C5">
        <v>9</v>
      </c>
      <c r="D5">
        <v>5</v>
      </c>
      <c r="E5">
        <v>241</v>
      </c>
      <c r="F5">
        <v>109</v>
      </c>
      <c r="G5">
        <v>132</v>
      </c>
      <c r="H5">
        <v>36</v>
      </c>
      <c r="I5">
        <v>31</v>
      </c>
      <c r="J5">
        <v>32</v>
      </c>
      <c r="K5">
        <v>33</v>
      </c>
      <c r="L5">
        <v>3</v>
      </c>
      <c r="M5">
        <v>108</v>
      </c>
      <c r="N5">
        <v>64</v>
      </c>
      <c r="O5">
        <v>52</v>
      </c>
      <c r="P5">
        <v>64</v>
      </c>
      <c r="Q5">
        <v>617</v>
      </c>
      <c r="R5">
        <v>1193</v>
      </c>
      <c r="S5" t="str">
        <v>No</v>
      </c>
      <c r="T5">
        <v>0.73</v>
      </c>
      <c r="U5">
        <v>2019</v>
      </c>
      <c r="V5">
        <v>45747</v>
      </c>
      <c r="W5">
        <v>25.9</v>
      </c>
      <c r="X5" t="str">
        <v>Stories</v>
      </c>
      <c r="Y5" t="str">
        <v>Tech</v>
      </c>
      <c r="Z5" t="str">
        <v>Private</v>
      </c>
      <c r="AA5" t="str">
        <v>No</v>
      </c>
      <c r="AB5" t="str">
        <v>No</v>
      </c>
      <c r="AC5">
        <v>1</v>
      </c>
      <c r="AD5" t="str">
        <v>Free</v>
      </c>
      <c r="AE5">
        <v>0.94</v>
      </c>
      <c r="AF5" s="14">
        <f t="shared" si="0"/>
        <v>0.51718357082984079</v>
      </c>
    </row>
    <row r="6" spans="1:32" x14ac:dyDescent="0.2">
      <c r="A6">
        <v>5</v>
      </c>
      <c r="B6" cm="1">
        <f t="array" ref="B6:AE6">_xlfn.XLOOKUP($A6,Instagram_Usage_Lifestyle_Mini_!$A:$A,Instagram_Usage_Lifestyle_Mini_!$AC:$BF)</f>
        <v>184</v>
      </c>
      <c r="C6">
        <v>14</v>
      </c>
      <c r="D6">
        <v>5</v>
      </c>
      <c r="E6">
        <v>146</v>
      </c>
      <c r="F6">
        <v>113</v>
      </c>
      <c r="G6">
        <v>103</v>
      </c>
      <c r="H6">
        <v>36</v>
      </c>
      <c r="I6">
        <v>29</v>
      </c>
      <c r="J6">
        <v>37</v>
      </c>
      <c r="K6">
        <v>20</v>
      </c>
      <c r="L6">
        <v>5</v>
      </c>
      <c r="M6">
        <v>78</v>
      </c>
      <c r="N6">
        <v>55</v>
      </c>
      <c r="O6">
        <v>22</v>
      </c>
      <c r="P6">
        <v>55</v>
      </c>
      <c r="Q6">
        <v>1157</v>
      </c>
      <c r="R6">
        <v>1072</v>
      </c>
      <c r="S6" t="str">
        <v>Yes</v>
      </c>
      <c r="T6">
        <v>0.65</v>
      </c>
      <c r="U6">
        <v>2017</v>
      </c>
      <c r="V6">
        <v>45735</v>
      </c>
      <c r="W6">
        <v>13.1</v>
      </c>
      <c r="X6" t="str">
        <v>Videos</v>
      </c>
      <c r="Y6" t="str">
        <v>Food</v>
      </c>
      <c r="Z6" t="str">
        <v>Public</v>
      </c>
      <c r="AA6" t="str">
        <v>Yes</v>
      </c>
      <c r="AB6" t="str">
        <v>No</v>
      </c>
      <c r="AC6">
        <v>0</v>
      </c>
      <c r="AD6" t="str">
        <v>Free</v>
      </c>
      <c r="AE6">
        <v>1.03</v>
      </c>
      <c r="AF6" s="14">
        <f t="shared" si="0"/>
        <v>1.0792910447761195</v>
      </c>
    </row>
    <row r="7" spans="1:32" x14ac:dyDescent="0.2">
      <c r="A7">
        <v>6</v>
      </c>
      <c r="B7" cm="1">
        <f t="array" ref="B7:AE7">_xlfn.XLOOKUP($A7,Instagram_Usage_Lifestyle_Mini_!$A:$A,Instagram_Usage_Lifestyle_Mini_!$AC:$BF)</f>
        <v>49</v>
      </c>
      <c r="C7">
        <v>3</v>
      </c>
      <c r="D7">
        <v>3</v>
      </c>
      <c r="E7">
        <v>150</v>
      </c>
      <c r="F7">
        <v>41</v>
      </c>
      <c r="G7">
        <v>55</v>
      </c>
      <c r="H7">
        <v>9</v>
      </c>
      <c r="I7">
        <v>13</v>
      </c>
      <c r="J7">
        <v>13</v>
      </c>
      <c r="K7">
        <v>16</v>
      </c>
      <c r="L7">
        <v>3</v>
      </c>
      <c r="M7">
        <v>29</v>
      </c>
      <c r="N7">
        <v>6</v>
      </c>
      <c r="O7">
        <v>12</v>
      </c>
      <c r="P7">
        <v>13</v>
      </c>
      <c r="Q7">
        <v>259</v>
      </c>
      <c r="R7">
        <v>534</v>
      </c>
      <c r="S7" t="str">
        <v>No</v>
      </c>
      <c r="T7">
        <v>0.13</v>
      </c>
      <c r="U7">
        <v>2013</v>
      </c>
      <c r="V7">
        <v>45697</v>
      </c>
      <c r="W7">
        <v>16.3</v>
      </c>
      <c r="X7" t="str">
        <v>Photos</v>
      </c>
      <c r="Y7" t="str">
        <v>Food</v>
      </c>
      <c r="Z7" t="str">
        <v>Friends_only</v>
      </c>
      <c r="AA7" t="str">
        <v>Yes</v>
      </c>
      <c r="AB7" t="str">
        <v>Yes</v>
      </c>
      <c r="AC7">
        <v>1</v>
      </c>
      <c r="AD7" t="str">
        <v>Free</v>
      </c>
      <c r="AE7">
        <v>1.64</v>
      </c>
      <c r="AF7" s="14">
        <f t="shared" si="0"/>
        <v>0.48501872659176032</v>
      </c>
    </row>
    <row r="8" spans="1:32" x14ac:dyDescent="0.2">
      <c r="A8">
        <v>7</v>
      </c>
      <c r="B8" cm="1">
        <f t="array" ref="B8:AE8">_xlfn.XLOOKUP($A8,Instagram_Usage_Lifestyle_Mini_!$A:$A,Instagram_Usage_Lifestyle_Mini_!$AC:$BF)</f>
        <v>125</v>
      </c>
      <c r="C8">
        <v>4</v>
      </c>
      <c r="D8">
        <v>7</v>
      </c>
      <c r="E8">
        <v>112</v>
      </c>
      <c r="F8">
        <v>79</v>
      </c>
      <c r="G8">
        <v>80</v>
      </c>
      <c r="H8">
        <v>20</v>
      </c>
      <c r="I8">
        <v>18</v>
      </c>
      <c r="J8">
        <v>34</v>
      </c>
      <c r="K8">
        <v>14</v>
      </c>
      <c r="L8">
        <v>5</v>
      </c>
      <c r="M8">
        <v>64</v>
      </c>
      <c r="N8">
        <v>21</v>
      </c>
      <c r="O8">
        <v>26</v>
      </c>
      <c r="P8">
        <v>44</v>
      </c>
      <c r="Q8">
        <v>4373</v>
      </c>
      <c r="R8">
        <v>8085</v>
      </c>
      <c r="S8" t="str">
        <v>No</v>
      </c>
      <c r="T8">
        <v>0.79</v>
      </c>
      <c r="U8">
        <v>2012</v>
      </c>
      <c r="V8">
        <v>45783</v>
      </c>
      <c r="W8">
        <v>31.2</v>
      </c>
      <c r="X8" t="str">
        <v>Photos</v>
      </c>
      <c r="Y8" t="str">
        <v>Tech</v>
      </c>
      <c r="Z8" t="str">
        <v>Friends_only</v>
      </c>
      <c r="AA8" t="str">
        <v>Yes</v>
      </c>
      <c r="AB8" t="str">
        <v>No</v>
      </c>
      <c r="AC8">
        <v>3</v>
      </c>
      <c r="AD8" t="str">
        <v>Free</v>
      </c>
      <c r="AE8">
        <v>1.1200000000000001</v>
      </c>
      <c r="AF8" s="14">
        <f t="shared" si="0"/>
        <v>0.54087816944959799</v>
      </c>
    </row>
    <row r="9" spans="1:32" x14ac:dyDescent="0.2">
      <c r="A9">
        <v>8</v>
      </c>
      <c r="B9" cm="1">
        <f t="array" ref="B9:AE9">_xlfn.XLOOKUP($A9,Instagram_Usage_Lifestyle_Mini_!$A:$A,Instagram_Usage_Lifestyle_Mini_!$AC:$BF)</f>
        <v>282</v>
      </c>
      <c r="C9">
        <v>14</v>
      </c>
      <c r="D9">
        <v>5</v>
      </c>
      <c r="E9">
        <v>227</v>
      </c>
      <c r="F9">
        <v>144</v>
      </c>
      <c r="G9">
        <v>158</v>
      </c>
      <c r="H9">
        <v>50</v>
      </c>
      <c r="I9">
        <v>26</v>
      </c>
      <c r="J9">
        <v>37</v>
      </c>
      <c r="K9">
        <v>20</v>
      </c>
      <c r="L9">
        <v>9</v>
      </c>
      <c r="M9">
        <v>167</v>
      </c>
      <c r="N9">
        <v>49</v>
      </c>
      <c r="O9">
        <v>50</v>
      </c>
      <c r="P9">
        <v>87</v>
      </c>
      <c r="Q9">
        <v>190</v>
      </c>
      <c r="R9">
        <v>77</v>
      </c>
      <c r="S9" t="str">
        <v>No</v>
      </c>
      <c r="T9">
        <v>0.22</v>
      </c>
      <c r="U9">
        <v>2014</v>
      </c>
      <c r="V9">
        <v>45978</v>
      </c>
      <c r="W9">
        <v>20.100000000000001</v>
      </c>
      <c r="X9" t="str">
        <v>Videos</v>
      </c>
      <c r="Y9" t="str">
        <v>Travel</v>
      </c>
      <c r="Z9" t="str">
        <v>Public</v>
      </c>
      <c r="AA9" t="str">
        <v>No</v>
      </c>
      <c r="AB9" t="str">
        <v>No</v>
      </c>
      <c r="AC9">
        <v>2</v>
      </c>
      <c r="AD9" t="str">
        <v>Free</v>
      </c>
      <c r="AE9">
        <v>0.96</v>
      </c>
      <c r="AF9" s="14">
        <f t="shared" si="0"/>
        <v>2.4675324675324677</v>
      </c>
    </row>
    <row r="10" spans="1:32" x14ac:dyDescent="0.2">
      <c r="A10">
        <v>9</v>
      </c>
      <c r="B10" cm="1">
        <f t="array" ref="B10:AE10">_xlfn.XLOOKUP($A10,Instagram_Usage_Lifestyle_Mini_!$A:$A,Instagram_Usage_Lifestyle_Mini_!$AC:$BF)</f>
        <v>128</v>
      </c>
      <c r="C10">
        <v>10</v>
      </c>
      <c r="D10">
        <v>2</v>
      </c>
      <c r="E10">
        <v>118</v>
      </c>
      <c r="F10">
        <v>90</v>
      </c>
      <c r="G10">
        <v>90</v>
      </c>
      <c r="H10">
        <v>16</v>
      </c>
      <c r="I10">
        <v>20</v>
      </c>
      <c r="J10">
        <v>18</v>
      </c>
      <c r="K10">
        <v>23</v>
      </c>
      <c r="L10">
        <v>2</v>
      </c>
      <c r="M10">
        <v>64</v>
      </c>
      <c r="N10">
        <v>38</v>
      </c>
      <c r="O10">
        <v>31</v>
      </c>
      <c r="P10">
        <v>50</v>
      </c>
      <c r="Q10">
        <v>904</v>
      </c>
      <c r="R10">
        <v>1129</v>
      </c>
      <c r="S10" t="str">
        <v>No</v>
      </c>
      <c r="T10">
        <v>0.98</v>
      </c>
      <c r="U10">
        <v>2011</v>
      </c>
      <c r="V10">
        <v>45787</v>
      </c>
      <c r="W10">
        <v>12.8</v>
      </c>
      <c r="X10" t="str">
        <v>Reels</v>
      </c>
      <c r="Y10" t="str">
        <v>Art</v>
      </c>
      <c r="Z10" t="str">
        <v>Public</v>
      </c>
      <c r="AA10" t="str">
        <v>Yes</v>
      </c>
      <c r="AB10" t="str">
        <v>Yes</v>
      </c>
      <c r="AC10">
        <v>2</v>
      </c>
      <c r="AD10" t="str">
        <v>Free</v>
      </c>
      <c r="AE10">
        <v>0.99</v>
      </c>
      <c r="AF10" s="14">
        <f t="shared" si="0"/>
        <v>0.80070859167404784</v>
      </c>
    </row>
    <row r="11" spans="1:32" x14ac:dyDescent="0.2">
      <c r="A11">
        <v>10</v>
      </c>
      <c r="B11" cm="1">
        <f t="array" ref="B11:AE11">_xlfn.XLOOKUP($A11,Instagram_Usage_Lifestyle_Mini_!$A:$A,Instagram_Usage_Lifestyle_Mini_!$AC:$BF)</f>
        <v>196</v>
      </c>
      <c r="C11">
        <v>13</v>
      </c>
      <c r="D11">
        <v>5</v>
      </c>
      <c r="E11">
        <v>176</v>
      </c>
      <c r="F11">
        <v>93</v>
      </c>
      <c r="G11">
        <v>131</v>
      </c>
      <c r="H11">
        <v>27</v>
      </c>
      <c r="I11">
        <v>22</v>
      </c>
      <c r="J11">
        <v>30</v>
      </c>
      <c r="K11">
        <v>24</v>
      </c>
      <c r="L11">
        <v>1</v>
      </c>
      <c r="M11">
        <v>115</v>
      </c>
      <c r="N11">
        <v>34</v>
      </c>
      <c r="O11">
        <v>27</v>
      </c>
      <c r="P11">
        <v>58</v>
      </c>
      <c r="Q11">
        <v>170</v>
      </c>
      <c r="R11">
        <v>247</v>
      </c>
      <c r="S11" t="str">
        <v>No</v>
      </c>
      <c r="T11">
        <v>0.6</v>
      </c>
      <c r="U11">
        <v>2011</v>
      </c>
      <c r="V11">
        <v>45913</v>
      </c>
      <c r="W11">
        <v>15.1</v>
      </c>
      <c r="X11" t="str">
        <v>Reels</v>
      </c>
      <c r="Y11" t="str">
        <v>Tech</v>
      </c>
      <c r="Z11" t="str">
        <v>Friends_only</v>
      </c>
      <c r="AA11" t="str">
        <v>Yes</v>
      </c>
      <c r="AB11" t="str">
        <v>No</v>
      </c>
      <c r="AC11">
        <v>1</v>
      </c>
      <c r="AD11" t="str">
        <v>Free</v>
      </c>
      <c r="AE11">
        <v>1.02</v>
      </c>
      <c r="AF11" s="14">
        <f t="shared" si="0"/>
        <v>0.68825910931174084</v>
      </c>
    </row>
    <row r="12" spans="1:32" x14ac:dyDescent="0.2">
      <c r="A12">
        <v>11</v>
      </c>
      <c r="B12" cm="1">
        <f t="array" ref="B12:AE12">_xlfn.XLOOKUP($A12,Instagram_Usage_Lifestyle_Mini_!$A:$A,Instagram_Usage_Lifestyle_Mini_!$AC:$BF)</f>
        <v>240</v>
      </c>
      <c r="C12">
        <v>9</v>
      </c>
      <c r="D12">
        <v>13</v>
      </c>
      <c r="E12">
        <v>265</v>
      </c>
      <c r="F12">
        <v>138</v>
      </c>
      <c r="G12">
        <v>139</v>
      </c>
      <c r="H12">
        <v>39</v>
      </c>
      <c r="I12">
        <v>28</v>
      </c>
      <c r="J12">
        <v>33</v>
      </c>
      <c r="K12">
        <v>21</v>
      </c>
      <c r="L12">
        <v>5</v>
      </c>
      <c r="M12">
        <v>113</v>
      </c>
      <c r="N12">
        <v>56</v>
      </c>
      <c r="O12">
        <v>28</v>
      </c>
      <c r="P12">
        <v>61</v>
      </c>
      <c r="Q12">
        <v>946</v>
      </c>
      <c r="R12">
        <v>551</v>
      </c>
      <c r="S12" t="str">
        <v>No</v>
      </c>
      <c r="T12">
        <v>0.69</v>
      </c>
      <c r="U12">
        <v>2016</v>
      </c>
      <c r="V12">
        <v>45972</v>
      </c>
      <c r="W12">
        <v>26.7</v>
      </c>
      <c r="X12" t="str">
        <v>Videos</v>
      </c>
      <c r="Y12" t="str">
        <v>Tech</v>
      </c>
      <c r="Z12" t="str">
        <v>Public</v>
      </c>
      <c r="AA12" t="str">
        <v>Yes</v>
      </c>
      <c r="AB12" t="str">
        <v>No</v>
      </c>
      <c r="AC12">
        <v>2</v>
      </c>
      <c r="AD12" t="str">
        <v>Free</v>
      </c>
      <c r="AE12">
        <v>1.06</v>
      </c>
      <c r="AF12" s="14">
        <f t="shared" si="0"/>
        <v>1.7168784029038113</v>
      </c>
    </row>
    <row r="13" spans="1:32" x14ac:dyDescent="0.2">
      <c r="A13">
        <v>12</v>
      </c>
      <c r="B13" cm="1">
        <f t="array" ref="B13:AE13">_xlfn.XLOOKUP($A13,Instagram_Usage_Lifestyle_Mini_!$A:$A,Instagram_Usage_Lifestyle_Mini_!$AC:$BF)</f>
        <v>123</v>
      </c>
      <c r="C13">
        <v>5</v>
      </c>
      <c r="D13">
        <v>9</v>
      </c>
      <c r="E13">
        <v>161</v>
      </c>
      <c r="F13">
        <v>74</v>
      </c>
      <c r="G13">
        <v>78</v>
      </c>
      <c r="H13">
        <v>22</v>
      </c>
      <c r="I13">
        <v>22</v>
      </c>
      <c r="J13">
        <v>18</v>
      </c>
      <c r="K13">
        <v>11</v>
      </c>
      <c r="L13">
        <v>3</v>
      </c>
      <c r="M13">
        <v>68</v>
      </c>
      <c r="N13">
        <v>23</v>
      </c>
      <c r="O13">
        <v>17</v>
      </c>
      <c r="P13">
        <v>48</v>
      </c>
      <c r="Q13">
        <v>944</v>
      </c>
      <c r="R13">
        <v>1488</v>
      </c>
      <c r="S13" t="str">
        <v>No</v>
      </c>
      <c r="T13">
        <v>0.41</v>
      </c>
      <c r="U13">
        <v>2012</v>
      </c>
      <c r="V13">
        <v>45772</v>
      </c>
      <c r="W13">
        <v>24.6</v>
      </c>
      <c r="X13" t="str">
        <v>Mixed</v>
      </c>
      <c r="Y13" t="str">
        <v>Art</v>
      </c>
      <c r="Z13" t="str">
        <v>Friends_only</v>
      </c>
      <c r="AA13" t="str">
        <v>Yes</v>
      </c>
      <c r="AB13" t="str">
        <v>Yes</v>
      </c>
      <c r="AC13">
        <v>0</v>
      </c>
      <c r="AD13" t="str">
        <v>Free</v>
      </c>
      <c r="AE13">
        <v>1.2</v>
      </c>
      <c r="AF13" s="14">
        <f t="shared" si="0"/>
        <v>0.63440860215053763</v>
      </c>
    </row>
    <row r="14" spans="1:32" x14ac:dyDescent="0.2">
      <c r="A14">
        <v>13</v>
      </c>
      <c r="B14" cm="1">
        <f t="array" ref="B14:AE14">_xlfn.XLOOKUP($A14,Instagram_Usage_Lifestyle_Mini_!$A:$A,Instagram_Usage_Lifestyle_Mini_!$AC:$BF)</f>
        <v>5</v>
      </c>
      <c r="C14">
        <v>1</v>
      </c>
      <c r="D14">
        <v>3</v>
      </c>
      <c r="E14">
        <v>50</v>
      </c>
      <c r="F14">
        <v>23</v>
      </c>
      <c r="G14">
        <v>18</v>
      </c>
      <c r="H14">
        <v>8</v>
      </c>
      <c r="I14">
        <v>13</v>
      </c>
      <c r="J14">
        <v>12</v>
      </c>
      <c r="K14">
        <v>3</v>
      </c>
      <c r="L14">
        <v>2</v>
      </c>
      <c r="M14">
        <v>3</v>
      </c>
      <c r="N14">
        <v>1</v>
      </c>
      <c r="O14">
        <v>1</v>
      </c>
      <c r="P14">
        <v>2</v>
      </c>
      <c r="Q14">
        <v>386</v>
      </c>
      <c r="R14">
        <v>792</v>
      </c>
      <c r="S14" t="str">
        <v>No</v>
      </c>
      <c r="T14">
        <v>0.89</v>
      </c>
      <c r="U14">
        <v>2021</v>
      </c>
      <c r="V14">
        <v>45680</v>
      </c>
      <c r="W14">
        <v>5</v>
      </c>
      <c r="X14" t="str">
        <v>Mixed</v>
      </c>
      <c r="Y14" t="str">
        <v>Fashion</v>
      </c>
      <c r="Z14" t="str">
        <v>Public</v>
      </c>
      <c r="AA14" t="str">
        <v>No</v>
      </c>
      <c r="AB14" t="str">
        <v>Yes</v>
      </c>
      <c r="AC14">
        <v>2</v>
      </c>
      <c r="AD14" t="str">
        <v>Premium</v>
      </c>
      <c r="AE14">
        <v>7.17</v>
      </c>
      <c r="AF14" s="14">
        <f t="shared" si="0"/>
        <v>0.48737373737373735</v>
      </c>
    </row>
    <row r="15" spans="1:32" x14ac:dyDescent="0.2">
      <c r="A15">
        <v>14</v>
      </c>
      <c r="B15" cm="1">
        <f t="array" ref="B15:AE15">_xlfn.XLOOKUP($A15,Instagram_Usage_Lifestyle_Mini_!$A:$A,Instagram_Usage_Lifestyle_Mini_!$AC:$BF)</f>
        <v>5</v>
      </c>
      <c r="C15">
        <v>1</v>
      </c>
      <c r="D15">
        <v>1</v>
      </c>
      <c r="E15">
        <v>50</v>
      </c>
      <c r="F15">
        <v>26</v>
      </c>
      <c r="G15">
        <v>32</v>
      </c>
      <c r="H15">
        <v>8</v>
      </c>
      <c r="I15">
        <v>8</v>
      </c>
      <c r="J15">
        <v>8</v>
      </c>
      <c r="K15">
        <v>11</v>
      </c>
      <c r="L15">
        <v>0</v>
      </c>
      <c r="M15">
        <v>2</v>
      </c>
      <c r="N15">
        <v>1</v>
      </c>
      <c r="O15">
        <v>1</v>
      </c>
      <c r="P15">
        <v>1</v>
      </c>
      <c r="Q15">
        <v>802</v>
      </c>
      <c r="R15">
        <v>1670</v>
      </c>
      <c r="S15" t="str">
        <v>Yes</v>
      </c>
      <c r="T15">
        <v>0.35</v>
      </c>
      <c r="U15">
        <v>2018</v>
      </c>
      <c r="V15">
        <v>45808</v>
      </c>
      <c r="W15">
        <v>5</v>
      </c>
      <c r="X15" t="str">
        <v>Live</v>
      </c>
      <c r="Y15" t="str">
        <v>Travel</v>
      </c>
      <c r="Z15" t="str">
        <v>Friends_only</v>
      </c>
      <c r="AA15" t="str">
        <v>Yes</v>
      </c>
      <c r="AB15" t="str">
        <v>Yes</v>
      </c>
      <c r="AC15">
        <v>2</v>
      </c>
      <c r="AD15" t="str">
        <v>Free</v>
      </c>
      <c r="AE15">
        <v>8.5</v>
      </c>
      <c r="AF15" s="14">
        <f t="shared" si="0"/>
        <v>0.48023952095808381</v>
      </c>
    </row>
    <row r="16" spans="1:32" x14ac:dyDescent="0.2">
      <c r="A16">
        <v>15</v>
      </c>
      <c r="B16" cm="1">
        <f t="array" ref="B16:AE16">_xlfn.XLOOKUP($A16,Instagram_Usage_Lifestyle_Mini_!$A:$A,Instagram_Usage_Lifestyle_Mini_!$AC:$BF)</f>
        <v>363</v>
      </c>
      <c r="C16">
        <v>45</v>
      </c>
      <c r="D16">
        <v>10</v>
      </c>
      <c r="E16">
        <v>260</v>
      </c>
      <c r="F16">
        <v>150</v>
      </c>
      <c r="G16">
        <v>184</v>
      </c>
      <c r="H16">
        <v>68</v>
      </c>
      <c r="I16">
        <v>42</v>
      </c>
      <c r="J16">
        <v>59</v>
      </c>
      <c r="K16">
        <v>34</v>
      </c>
      <c r="L16">
        <v>18</v>
      </c>
      <c r="M16">
        <v>172</v>
      </c>
      <c r="N16">
        <v>85</v>
      </c>
      <c r="O16">
        <v>88</v>
      </c>
      <c r="P16">
        <v>93</v>
      </c>
      <c r="Q16">
        <v>14566</v>
      </c>
      <c r="R16">
        <v>10000</v>
      </c>
      <c r="S16" t="str">
        <v>No</v>
      </c>
      <c r="T16">
        <v>0.11</v>
      </c>
      <c r="U16">
        <v>2022</v>
      </c>
      <c r="V16">
        <v>45826</v>
      </c>
      <c r="W16">
        <v>8.1</v>
      </c>
      <c r="X16" t="str">
        <v>Reels</v>
      </c>
      <c r="Y16" t="str">
        <v>Fashion</v>
      </c>
      <c r="Z16" t="str">
        <v>Private</v>
      </c>
      <c r="AA16" t="str">
        <v>No</v>
      </c>
      <c r="AB16" t="str">
        <v>No</v>
      </c>
      <c r="AC16">
        <v>0</v>
      </c>
      <c r="AD16" t="str">
        <v>Free</v>
      </c>
      <c r="AE16">
        <v>0.96</v>
      </c>
      <c r="AF16" s="14">
        <f t="shared" si="0"/>
        <v>1.4565999999999999</v>
      </c>
    </row>
    <row r="17" spans="1:32" x14ac:dyDescent="0.2">
      <c r="A17">
        <v>16</v>
      </c>
      <c r="B17" cm="1">
        <f t="array" ref="B17:AE17">_xlfn.XLOOKUP($A17,Instagram_Usage_Lifestyle_Mini_!$A:$A,Instagram_Usage_Lifestyle_Mini_!$AC:$BF)</f>
        <v>5</v>
      </c>
      <c r="C17">
        <v>1</v>
      </c>
      <c r="D17">
        <v>3</v>
      </c>
      <c r="E17">
        <v>39</v>
      </c>
      <c r="F17">
        <v>31</v>
      </c>
      <c r="G17">
        <v>31</v>
      </c>
      <c r="H17">
        <v>6</v>
      </c>
      <c r="I17">
        <v>15</v>
      </c>
      <c r="J17">
        <v>10</v>
      </c>
      <c r="K17">
        <v>8</v>
      </c>
      <c r="L17">
        <v>1</v>
      </c>
      <c r="M17">
        <v>3</v>
      </c>
      <c r="N17">
        <v>1</v>
      </c>
      <c r="O17">
        <v>1</v>
      </c>
      <c r="P17">
        <v>1</v>
      </c>
      <c r="Q17">
        <v>10965</v>
      </c>
      <c r="R17">
        <v>10000</v>
      </c>
      <c r="S17" t="str">
        <v>No</v>
      </c>
      <c r="T17">
        <v>0.9</v>
      </c>
      <c r="U17">
        <v>2021</v>
      </c>
      <c r="V17">
        <v>45836</v>
      </c>
      <c r="W17">
        <v>5</v>
      </c>
      <c r="X17" t="str">
        <v>Photos</v>
      </c>
      <c r="Y17" t="str">
        <v>Other</v>
      </c>
      <c r="Z17" t="str">
        <v>Private</v>
      </c>
      <c r="AA17" t="str">
        <v>Yes</v>
      </c>
      <c r="AB17" t="str">
        <v>No</v>
      </c>
      <c r="AC17">
        <v>2</v>
      </c>
      <c r="AD17" t="str">
        <v>Free</v>
      </c>
      <c r="AE17">
        <v>8.67</v>
      </c>
      <c r="AF17" s="14">
        <f t="shared" si="0"/>
        <v>1.0965</v>
      </c>
    </row>
    <row r="18" spans="1:32" x14ac:dyDescent="0.2">
      <c r="A18">
        <v>17</v>
      </c>
      <c r="B18" cm="1">
        <f t="array" ref="B18:AE18">_xlfn.XLOOKUP($A18,Instagram_Usage_Lifestyle_Mini_!$A:$A,Instagram_Usage_Lifestyle_Mini_!$AC:$BF)</f>
        <v>273</v>
      </c>
      <c r="C18">
        <v>25</v>
      </c>
      <c r="D18">
        <v>8</v>
      </c>
      <c r="E18">
        <v>225</v>
      </c>
      <c r="F18">
        <v>150</v>
      </c>
      <c r="G18">
        <v>145</v>
      </c>
      <c r="H18">
        <v>48</v>
      </c>
      <c r="I18">
        <v>36</v>
      </c>
      <c r="J18">
        <v>44</v>
      </c>
      <c r="K18">
        <v>17</v>
      </c>
      <c r="L18">
        <v>7</v>
      </c>
      <c r="M18">
        <v>157</v>
      </c>
      <c r="N18">
        <v>44</v>
      </c>
      <c r="O18">
        <v>29</v>
      </c>
      <c r="P18">
        <v>74</v>
      </c>
      <c r="Q18">
        <v>414</v>
      </c>
      <c r="R18">
        <v>482</v>
      </c>
      <c r="S18" t="str">
        <v>No</v>
      </c>
      <c r="T18">
        <v>0.52</v>
      </c>
      <c r="U18">
        <v>2021</v>
      </c>
      <c r="V18">
        <v>45800</v>
      </c>
      <c r="W18">
        <v>10.9</v>
      </c>
      <c r="X18" t="str">
        <v>Photos</v>
      </c>
      <c r="Y18" t="str">
        <v>Music</v>
      </c>
      <c r="Z18" t="str">
        <v>Public</v>
      </c>
      <c r="AA18" t="str">
        <v>Yes</v>
      </c>
      <c r="AB18" t="str">
        <v>No</v>
      </c>
      <c r="AC18">
        <v>2</v>
      </c>
      <c r="AD18" t="str">
        <v>Business</v>
      </c>
      <c r="AE18">
        <v>0.97</v>
      </c>
      <c r="AF18" s="14">
        <f t="shared" si="0"/>
        <v>0.85892116182572609</v>
      </c>
    </row>
    <row r="19" spans="1:32" x14ac:dyDescent="0.2">
      <c r="A19">
        <v>18</v>
      </c>
      <c r="B19" cm="1">
        <f t="array" ref="B19:AE19">_xlfn.XLOOKUP($A19,Instagram_Usage_Lifestyle_Mini_!$A:$A,Instagram_Usage_Lifestyle_Mini_!$AC:$BF)</f>
        <v>473</v>
      </c>
      <c r="C19">
        <v>21</v>
      </c>
      <c r="D19">
        <v>16</v>
      </c>
      <c r="E19">
        <v>300</v>
      </c>
      <c r="F19">
        <v>150</v>
      </c>
      <c r="G19">
        <v>271</v>
      </c>
      <c r="H19">
        <v>80</v>
      </c>
      <c r="I19">
        <v>60</v>
      </c>
      <c r="J19">
        <v>65</v>
      </c>
      <c r="K19">
        <v>39</v>
      </c>
      <c r="L19">
        <v>10</v>
      </c>
      <c r="M19">
        <v>256</v>
      </c>
      <c r="N19">
        <v>122</v>
      </c>
      <c r="O19">
        <v>74</v>
      </c>
      <c r="P19">
        <v>143</v>
      </c>
      <c r="Q19">
        <v>595</v>
      </c>
      <c r="R19">
        <v>1334</v>
      </c>
      <c r="S19" t="str">
        <v>No</v>
      </c>
      <c r="T19">
        <v>0.59</v>
      </c>
      <c r="U19">
        <v>2013</v>
      </c>
      <c r="V19">
        <v>45980</v>
      </c>
      <c r="W19">
        <v>22.5</v>
      </c>
      <c r="X19" t="str">
        <v>Live</v>
      </c>
      <c r="Y19" t="str">
        <v>Other</v>
      </c>
      <c r="Z19" t="str">
        <v>Public</v>
      </c>
      <c r="AA19" t="str">
        <v>No</v>
      </c>
      <c r="AB19" t="str">
        <v>No</v>
      </c>
      <c r="AC19">
        <v>2</v>
      </c>
      <c r="AD19" t="str">
        <v>Premium</v>
      </c>
      <c r="AE19">
        <v>1.01</v>
      </c>
      <c r="AF19" s="14">
        <f t="shared" si="0"/>
        <v>0.4460269865067466</v>
      </c>
    </row>
    <row r="20" spans="1:32" x14ac:dyDescent="0.2">
      <c r="A20">
        <v>19</v>
      </c>
      <c r="B20" cm="1">
        <f t="array" ref="B20:AE20">_xlfn.XLOOKUP($A20,Instagram_Usage_Lifestyle_Mini_!$A:$A,Instagram_Usage_Lifestyle_Mini_!$AC:$BF)</f>
        <v>224</v>
      </c>
      <c r="C20">
        <v>8</v>
      </c>
      <c r="D20">
        <v>6</v>
      </c>
      <c r="E20">
        <v>176</v>
      </c>
      <c r="F20">
        <v>115</v>
      </c>
      <c r="G20">
        <v>150</v>
      </c>
      <c r="H20">
        <v>29</v>
      </c>
      <c r="I20">
        <v>29</v>
      </c>
      <c r="J20">
        <v>34</v>
      </c>
      <c r="K20">
        <v>20</v>
      </c>
      <c r="L20">
        <v>5</v>
      </c>
      <c r="M20">
        <v>102</v>
      </c>
      <c r="N20">
        <v>32</v>
      </c>
      <c r="O20">
        <v>35</v>
      </c>
      <c r="P20">
        <v>65</v>
      </c>
      <c r="Q20">
        <v>812</v>
      </c>
      <c r="R20">
        <v>1307</v>
      </c>
      <c r="S20" t="str">
        <v>No</v>
      </c>
      <c r="T20">
        <v>0.61</v>
      </c>
      <c r="U20">
        <v>2016</v>
      </c>
      <c r="V20">
        <v>45838</v>
      </c>
      <c r="W20">
        <v>28</v>
      </c>
      <c r="X20" t="str">
        <v>Reels</v>
      </c>
      <c r="Y20" t="str">
        <v>Art</v>
      </c>
      <c r="Z20" t="str">
        <v>Friends_only</v>
      </c>
      <c r="AA20" t="str">
        <v>Yes</v>
      </c>
      <c r="AB20" t="str">
        <v>Yes</v>
      </c>
      <c r="AC20">
        <v>3</v>
      </c>
      <c r="AD20" t="str">
        <v>Free</v>
      </c>
      <c r="AE20">
        <v>1</v>
      </c>
      <c r="AF20" s="14">
        <f t="shared" si="0"/>
        <v>0.62127008416220353</v>
      </c>
    </row>
    <row r="21" spans="1:32" x14ac:dyDescent="0.2">
      <c r="A21">
        <v>20</v>
      </c>
      <c r="B21" cm="1">
        <f t="array" ref="B21:AE21">_xlfn.XLOOKUP($A21,Instagram_Usage_Lifestyle_Mini_!$A:$A,Instagram_Usage_Lifestyle_Mini_!$AC:$BF)</f>
        <v>96</v>
      </c>
      <c r="C21">
        <v>4</v>
      </c>
      <c r="D21">
        <v>3</v>
      </c>
      <c r="E21">
        <v>95</v>
      </c>
      <c r="F21">
        <v>68</v>
      </c>
      <c r="G21">
        <v>70</v>
      </c>
      <c r="H21">
        <v>21</v>
      </c>
      <c r="I21">
        <v>20</v>
      </c>
      <c r="J21">
        <v>16</v>
      </c>
      <c r="K21">
        <v>14</v>
      </c>
      <c r="L21">
        <v>1</v>
      </c>
      <c r="M21">
        <v>43</v>
      </c>
      <c r="N21">
        <v>14</v>
      </c>
      <c r="O21">
        <v>19</v>
      </c>
      <c r="P21">
        <v>32</v>
      </c>
      <c r="Q21">
        <v>1499</v>
      </c>
      <c r="R21">
        <v>3463</v>
      </c>
      <c r="S21" t="str">
        <v>No</v>
      </c>
      <c r="T21">
        <v>0.05</v>
      </c>
      <c r="U21">
        <v>2025</v>
      </c>
      <c r="V21">
        <v>45908</v>
      </c>
      <c r="W21">
        <v>24</v>
      </c>
      <c r="X21" t="str">
        <v>Stories</v>
      </c>
      <c r="Y21" t="str">
        <v>Travel</v>
      </c>
      <c r="Z21" t="str">
        <v>Private</v>
      </c>
      <c r="AA21" t="str">
        <v>No</v>
      </c>
      <c r="AB21" t="str">
        <v>Yes</v>
      </c>
      <c r="AC21">
        <v>1</v>
      </c>
      <c r="AD21" t="str">
        <v>Free</v>
      </c>
      <c r="AE21">
        <v>1.25</v>
      </c>
      <c r="AF21" s="14">
        <f t="shared" si="0"/>
        <v>0.43286168062373664</v>
      </c>
    </row>
    <row r="22" spans="1:32" x14ac:dyDescent="0.2">
      <c r="A22">
        <v>21</v>
      </c>
      <c r="B22" cm="1">
        <f t="array" ref="B22:AE22">_xlfn.XLOOKUP($A22,Instagram_Usage_Lifestyle_Mini_!$A:$A,Instagram_Usage_Lifestyle_Mini_!$AC:$BF)</f>
        <v>141</v>
      </c>
      <c r="C22">
        <v>5</v>
      </c>
      <c r="D22">
        <v>9</v>
      </c>
      <c r="E22">
        <v>209</v>
      </c>
      <c r="F22">
        <v>78</v>
      </c>
      <c r="G22">
        <v>99</v>
      </c>
      <c r="H22">
        <v>30</v>
      </c>
      <c r="I22">
        <v>23</v>
      </c>
      <c r="J22">
        <v>24</v>
      </c>
      <c r="K22">
        <v>16</v>
      </c>
      <c r="L22">
        <v>2</v>
      </c>
      <c r="M22">
        <v>83</v>
      </c>
      <c r="N22">
        <v>28</v>
      </c>
      <c r="O22">
        <v>23</v>
      </c>
      <c r="P22">
        <v>37</v>
      </c>
      <c r="Q22">
        <v>1334</v>
      </c>
      <c r="R22">
        <v>1930</v>
      </c>
      <c r="S22" t="str">
        <v>No</v>
      </c>
      <c r="T22">
        <v>0.24</v>
      </c>
      <c r="U22">
        <v>2023</v>
      </c>
      <c r="V22">
        <v>45825</v>
      </c>
      <c r="W22">
        <v>28.2</v>
      </c>
      <c r="X22" t="str">
        <v>Videos</v>
      </c>
      <c r="Y22" t="str">
        <v>Food</v>
      </c>
      <c r="Z22" t="str">
        <v>Public</v>
      </c>
      <c r="AA22" t="str">
        <v>No</v>
      </c>
      <c r="AB22" t="str">
        <v>Yes</v>
      </c>
      <c r="AC22">
        <v>2</v>
      </c>
      <c r="AD22" t="str">
        <v>Free</v>
      </c>
      <c r="AE22">
        <v>1.31</v>
      </c>
      <c r="AF22" s="14">
        <f t="shared" si="0"/>
        <v>0.69119170984455958</v>
      </c>
    </row>
    <row r="23" spans="1:32" x14ac:dyDescent="0.2">
      <c r="A23">
        <v>22</v>
      </c>
      <c r="B23" cm="1">
        <f t="array" ref="B23:AE23">_xlfn.XLOOKUP($A23,Instagram_Usage_Lifestyle_Mini_!$A:$A,Instagram_Usage_Lifestyle_Mini_!$AC:$BF)</f>
        <v>5</v>
      </c>
      <c r="C23">
        <v>1</v>
      </c>
      <c r="D23">
        <v>1</v>
      </c>
      <c r="E23">
        <v>33</v>
      </c>
      <c r="F23">
        <v>40</v>
      </c>
      <c r="G23">
        <v>29</v>
      </c>
      <c r="H23">
        <v>6</v>
      </c>
      <c r="I23">
        <v>6</v>
      </c>
      <c r="J23">
        <v>5</v>
      </c>
      <c r="K23">
        <v>4</v>
      </c>
      <c r="L23">
        <v>3</v>
      </c>
      <c r="M23">
        <v>2</v>
      </c>
      <c r="N23">
        <v>1</v>
      </c>
      <c r="O23">
        <v>1</v>
      </c>
      <c r="P23">
        <v>1</v>
      </c>
      <c r="Q23">
        <v>4391</v>
      </c>
      <c r="R23">
        <v>3451</v>
      </c>
      <c r="S23" t="str">
        <v>No</v>
      </c>
      <c r="T23">
        <v>0.33</v>
      </c>
      <c r="U23">
        <v>2011</v>
      </c>
      <c r="V23">
        <v>45849</v>
      </c>
      <c r="W23">
        <v>5</v>
      </c>
      <c r="X23" t="str">
        <v>Live</v>
      </c>
      <c r="Y23" t="str">
        <v>Travel</v>
      </c>
      <c r="Z23" t="str">
        <v>Private</v>
      </c>
      <c r="AA23" t="str">
        <v>Yes</v>
      </c>
      <c r="AB23" t="str">
        <v>Yes</v>
      </c>
      <c r="AC23">
        <v>3</v>
      </c>
      <c r="AD23" t="str">
        <v>Premium</v>
      </c>
      <c r="AE23">
        <v>7.33</v>
      </c>
      <c r="AF23" s="14">
        <f t="shared" si="0"/>
        <v>1.2723848159953637</v>
      </c>
    </row>
    <row r="24" spans="1:32" x14ac:dyDescent="0.2">
      <c r="A24">
        <v>23</v>
      </c>
      <c r="B24" cm="1">
        <f t="array" ref="B24:AE24">_xlfn.XLOOKUP($A24,Instagram_Usage_Lifestyle_Mini_!$A:$A,Instagram_Usage_Lifestyle_Mini_!$AC:$BF)</f>
        <v>187</v>
      </c>
      <c r="C24">
        <v>11</v>
      </c>
      <c r="D24">
        <v>0</v>
      </c>
      <c r="E24">
        <v>171</v>
      </c>
      <c r="F24">
        <v>100</v>
      </c>
      <c r="G24">
        <v>102</v>
      </c>
      <c r="H24">
        <v>47</v>
      </c>
      <c r="I24">
        <v>21</v>
      </c>
      <c r="J24">
        <v>29</v>
      </c>
      <c r="K24">
        <v>27</v>
      </c>
      <c r="L24">
        <v>8</v>
      </c>
      <c r="M24">
        <v>81</v>
      </c>
      <c r="N24">
        <v>35</v>
      </c>
      <c r="O24">
        <v>36</v>
      </c>
      <c r="P24">
        <v>37</v>
      </c>
      <c r="Q24">
        <v>2238</v>
      </c>
      <c r="R24">
        <v>1279</v>
      </c>
      <c r="S24" t="str">
        <v>No</v>
      </c>
      <c r="T24">
        <v>0.08</v>
      </c>
      <c r="U24">
        <v>2014</v>
      </c>
      <c r="V24">
        <v>45689</v>
      </c>
      <c r="W24">
        <v>17</v>
      </c>
      <c r="X24" t="str">
        <v>Reels</v>
      </c>
      <c r="Y24" t="str">
        <v>Travel</v>
      </c>
      <c r="Z24" t="str">
        <v>Friends_only</v>
      </c>
      <c r="AA24" t="str">
        <v>No</v>
      </c>
      <c r="AB24" t="str">
        <v>No</v>
      </c>
      <c r="AC24">
        <v>1</v>
      </c>
      <c r="AD24" t="str">
        <v>Free</v>
      </c>
      <c r="AE24">
        <v>1.04</v>
      </c>
      <c r="AF24" s="14">
        <f t="shared" si="0"/>
        <v>1.7498045347928068</v>
      </c>
    </row>
    <row r="25" spans="1:32" x14ac:dyDescent="0.2">
      <c r="A25">
        <v>24</v>
      </c>
      <c r="B25" cm="1">
        <f t="array" ref="B25:AE25">_xlfn.XLOOKUP($A25,Instagram_Usage_Lifestyle_Mini_!$A:$A,Instagram_Usage_Lifestyle_Mini_!$AC:$BF)</f>
        <v>221</v>
      </c>
      <c r="C25">
        <v>8</v>
      </c>
      <c r="D25">
        <v>5</v>
      </c>
      <c r="E25">
        <v>152</v>
      </c>
      <c r="F25">
        <v>108</v>
      </c>
      <c r="G25">
        <v>134</v>
      </c>
      <c r="H25">
        <v>51</v>
      </c>
      <c r="I25">
        <v>25</v>
      </c>
      <c r="J25">
        <v>43</v>
      </c>
      <c r="K25">
        <v>27</v>
      </c>
      <c r="L25">
        <v>7</v>
      </c>
      <c r="M25">
        <v>107</v>
      </c>
      <c r="N25">
        <v>33</v>
      </c>
      <c r="O25">
        <v>46</v>
      </c>
      <c r="P25">
        <v>50</v>
      </c>
      <c r="Q25">
        <v>7667</v>
      </c>
      <c r="R25">
        <v>10000</v>
      </c>
      <c r="S25" t="str">
        <v>No</v>
      </c>
      <c r="T25">
        <v>0.56000000000000005</v>
      </c>
      <c r="U25">
        <v>2020</v>
      </c>
      <c r="V25">
        <v>46015</v>
      </c>
      <c r="W25">
        <v>27.6</v>
      </c>
      <c r="X25" t="str">
        <v>Live</v>
      </c>
      <c r="Y25" t="str">
        <v>Other</v>
      </c>
      <c r="Z25" t="str">
        <v>Public</v>
      </c>
      <c r="AA25" t="str">
        <v>Yes</v>
      </c>
      <c r="AB25" t="str">
        <v>No</v>
      </c>
      <c r="AC25">
        <v>4</v>
      </c>
      <c r="AD25" t="str">
        <v>Free</v>
      </c>
      <c r="AE25">
        <v>1.1299999999999999</v>
      </c>
      <c r="AF25" s="14">
        <f t="shared" si="0"/>
        <v>0.76670000000000005</v>
      </c>
    </row>
    <row r="26" spans="1:32" x14ac:dyDescent="0.2">
      <c r="A26">
        <v>25</v>
      </c>
      <c r="B26" cm="1">
        <f t="array" ref="B26:AE26">_xlfn.XLOOKUP($A26,Instagram_Usage_Lifestyle_Mini_!$A:$A,Instagram_Usage_Lifestyle_Mini_!$AC:$BF)</f>
        <v>59</v>
      </c>
      <c r="C26">
        <v>3</v>
      </c>
      <c r="D26">
        <v>2</v>
      </c>
      <c r="E26">
        <v>74</v>
      </c>
      <c r="F26">
        <v>54</v>
      </c>
      <c r="G26">
        <v>59</v>
      </c>
      <c r="H26">
        <v>10</v>
      </c>
      <c r="I26">
        <v>10</v>
      </c>
      <c r="J26">
        <v>17</v>
      </c>
      <c r="K26">
        <v>10</v>
      </c>
      <c r="L26">
        <v>1</v>
      </c>
      <c r="M26">
        <v>26</v>
      </c>
      <c r="N26">
        <v>9</v>
      </c>
      <c r="O26">
        <v>11</v>
      </c>
      <c r="P26">
        <v>18</v>
      </c>
      <c r="Q26">
        <v>847</v>
      </c>
      <c r="R26">
        <v>1015</v>
      </c>
      <c r="S26" t="str">
        <v>No</v>
      </c>
      <c r="T26">
        <v>0.79</v>
      </c>
      <c r="U26">
        <v>2021</v>
      </c>
      <c r="V26">
        <v>45836</v>
      </c>
      <c r="W26">
        <v>19.7</v>
      </c>
      <c r="X26" t="str">
        <v>Mixed</v>
      </c>
      <c r="Y26" t="str">
        <v>Art</v>
      </c>
      <c r="Z26" t="str">
        <v>Friends_only</v>
      </c>
      <c r="AA26" t="str">
        <v>No</v>
      </c>
      <c r="AB26" t="str">
        <v>No</v>
      </c>
      <c r="AC26">
        <v>3</v>
      </c>
      <c r="AD26" t="str">
        <v>Free</v>
      </c>
      <c r="AE26">
        <v>1.42</v>
      </c>
      <c r="AF26" s="14">
        <f t="shared" si="0"/>
        <v>0.83448275862068966</v>
      </c>
    </row>
    <row r="27" spans="1:32" x14ac:dyDescent="0.2">
      <c r="A27">
        <v>26</v>
      </c>
      <c r="B27" cm="1">
        <f t="array" ref="B27:AE27">_xlfn.XLOOKUP($A27,Instagram_Usage_Lifestyle_Mini_!$A:$A,Instagram_Usage_Lifestyle_Mini_!$AC:$BF)</f>
        <v>213</v>
      </c>
      <c r="C27">
        <v>8</v>
      </c>
      <c r="D27">
        <v>11</v>
      </c>
      <c r="E27">
        <v>272</v>
      </c>
      <c r="F27">
        <v>115</v>
      </c>
      <c r="G27">
        <v>137</v>
      </c>
      <c r="H27">
        <v>46</v>
      </c>
      <c r="I27">
        <v>28</v>
      </c>
      <c r="J27">
        <v>36</v>
      </c>
      <c r="K27">
        <v>23</v>
      </c>
      <c r="L27">
        <v>3</v>
      </c>
      <c r="M27">
        <v>121</v>
      </c>
      <c r="N27">
        <v>54</v>
      </c>
      <c r="O27">
        <v>44</v>
      </c>
      <c r="P27">
        <v>69</v>
      </c>
      <c r="Q27">
        <v>1135</v>
      </c>
      <c r="R27">
        <v>950</v>
      </c>
      <c r="S27" t="str">
        <v>No</v>
      </c>
      <c r="T27">
        <v>0.45</v>
      </c>
      <c r="U27">
        <v>2024</v>
      </c>
      <c r="V27">
        <v>45874</v>
      </c>
      <c r="W27">
        <v>26.6</v>
      </c>
      <c r="X27" t="str">
        <v>Reels</v>
      </c>
      <c r="Y27" t="str">
        <v>Food</v>
      </c>
      <c r="Z27" t="str">
        <v>Private</v>
      </c>
      <c r="AA27" t="str">
        <v>Yes</v>
      </c>
      <c r="AB27" t="str">
        <v>No</v>
      </c>
      <c r="AC27">
        <v>3</v>
      </c>
      <c r="AD27" t="str">
        <v>Free</v>
      </c>
      <c r="AE27">
        <v>1.22</v>
      </c>
      <c r="AF27" s="14">
        <f t="shared" si="0"/>
        <v>1.1947368421052631</v>
      </c>
    </row>
    <row r="28" spans="1:32" x14ac:dyDescent="0.2">
      <c r="A28">
        <v>27</v>
      </c>
      <c r="B28" cm="1">
        <f t="array" ref="B28:AE28">_xlfn.XLOOKUP($A28,Instagram_Usage_Lifestyle_Mini_!$A:$A,Instagram_Usage_Lifestyle_Mini_!$AC:$BF)</f>
        <v>224</v>
      </c>
      <c r="C28">
        <v>14</v>
      </c>
      <c r="D28">
        <v>5</v>
      </c>
      <c r="E28">
        <v>189</v>
      </c>
      <c r="F28">
        <v>104</v>
      </c>
      <c r="G28">
        <v>148</v>
      </c>
      <c r="H28">
        <v>37</v>
      </c>
      <c r="I28">
        <v>29</v>
      </c>
      <c r="J28">
        <v>32</v>
      </c>
      <c r="K28">
        <v>21</v>
      </c>
      <c r="L28">
        <v>4</v>
      </c>
      <c r="M28">
        <v>132</v>
      </c>
      <c r="N28">
        <v>63</v>
      </c>
      <c r="O28">
        <v>45</v>
      </c>
      <c r="P28">
        <v>72</v>
      </c>
      <c r="Q28">
        <v>125</v>
      </c>
      <c r="R28">
        <v>306</v>
      </c>
      <c r="S28" t="str">
        <v>No</v>
      </c>
      <c r="T28">
        <v>0.88</v>
      </c>
      <c r="U28">
        <v>2011</v>
      </c>
      <c r="V28">
        <v>45914</v>
      </c>
      <c r="W28">
        <v>16</v>
      </c>
      <c r="X28" t="str">
        <v>Mixed</v>
      </c>
      <c r="Y28" t="str">
        <v>Food</v>
      </c>
      <c r="Z28" t="str">
        <v>Friends_only</v>
      </c>
      <c r="AA28" t="str">
        <v>Yes</v>
      </c>
      <c r="AB28" t="str">
        <v>No</v>
      </c>
      <c r="AC28">
        <v>2</v>
      </c>
      <c r="AD28" t="str">
        <v>Free</v>
      </c>
      <c r="AE28">
        <v>1.05</v>
      </c>
      <c r="AF28" s="14">
        <f t="shared" si="0"/>
        <v>0.40849673202614378</v>
      </c>
    </row>
    <row r="29" spans="1:32" x14ac:dyDescent="0.2">
      <c r="A29">
        <v>28</v>
      </c>
      <c r="B29" cm="1">
        <f t="array" ref="B29:AE29">_xlfn.XLOOKUP($A29,Instagram_Usage_Lifestyle_Mini_!$A:$A,Instagram_Usage_Lifestyle_Mini_!$AC:$BF)</f>
        <v>5</v>
      </c>
      <c r="C29">
        <v>1</v>
      </c>
      <c r="D29">
        <v>3</v>
      </c>
      <c r="E29">
        <v>34</v>
      </c>
      <c r="F29">
        <v>28</v>
      </c>
      <c r="G29">
        <v>32</v>
      </c>
      <c r="H29">
        <v>3</v>
      </c>
      <c r="I29">
        <v>7</v>
      </c>
      <c r="J29">
        <v>5</v>
      </c>
      <c r="K29">
        <v>5</v>
      </c>
      <c r="L29">
        <v>4</v>
      </c>
      <c r="M29">
        <v>3</v>
      </c>
      <c r="N29">
        <v>1</v>
      </c>
      <c r="O29">
        <v>1</v>
      </c>
      <c r="P29">
        <v>1</v>
      </c>
      <c r="Q29">
        <v>988</v>
      </c>
      <c r="R29">
        <v>1324</v>
      </c>
      <c r="S29" t="str">
        <v>No</v>
      </c>
      <c r="T29">
        <v>0.68</v>
      </c>
      <c r="U29">
        <v>2022</v>
      </c>
      <c r="V29">
        <v>45900</v>
      </c>
      <c r="W29">
        <v>5</v>
      </c>
      <c r="X29" t="str">
        <v>Reels</v>
      </c>
      <c r="Y29" t="str">
        <v>Tech</v>
      </c>
      <c r="Z29" t="str">
        <v>Public</v>
      </c>
      <c r="AA29" t="str">
        <v>Yes</v>
      </c>
      <c r="AB29" t="str">
        <v>Yes</v>
      </c>
      <c r="AC29">
        <v>0</v>
      </c>
      <c r="AD29" t="str">
        <v>Free</v>
      </c>
      <c r="AE29">
        <v>7.83</v>
      </c>
      <c r="AF29" s="14">
        <f t="shared" si="0"/>
        <v>0.74622356495468278</v>
      </c>
    </row>
    <row r="30" spans="1:32" x14ac:dyDescent="0.2">
      <c r="A30">
        <v>29</v>
      </c>
      <c r="B30" cm="1">
        <f t="array" ref="B30:AE30">_xlfn.XLOOKUP($A30,Instagram_Usage_Lifestyle_Mini_!$A:$A,Instagram_Usage_Lifestyle_Mini_!$AC:$BF)</f>
        <v>329</v>
      </c>
      <c r="C30">
        <v>16</v>
      </c>
      <c r="D30">
        <v>16</v>
      </c>
      <c r="E30">
        <v>300</v>
      </c>
      <c r="F30">
        <v>150</v>
      </c>
      <c r="G30">
        <v>188</v>
      </c>
      <c r="H30">
        <v>60</v>
      </c>
      <c r="I30">
        <v>39</v>
      </c>
      <c r="J30">
        <v>45</v>
      </c>
      <c r="K30">
        <v>34</v>
      </c>
      <c r="L30">
        <v>8</v>
      </c>
      <c r="M30">
        <v>160</v>
      </c>
      <c r="N30">
        <v>92</v>
      </c>
      <c r="O30">
        <v>46</v>
      </c>
      <c r="P30">
        <v>119</v>
      </c>
      <c r="Q30">
        <v>244</v>
      </c>
      <c r="R30">
        <v>471</v>
      </c>
      <c r="S30" t="str">
        <v>No</v>
      </c>
      <c r="T30">
        <v>0.11</v>
      </c>
      <c r="U30">
        <v>2015</v>
      </c>
      <c r="V30">
        <v>45920</v>
      </c>
      <c r="W30">
        <v>20.6</v>
      </c>
      <c r="X30" t="str">
        <v>Reels</v>
      </c>
      <c r="Y30" t="str">
        <v>Fashion</v>
      </c>
      <c r="Z30" t="str">
        <v>Private</v>
      </c>
      <c r="AA30" t="str">
        <v>No</v>
      </c>
      <c r="AB30" t="str">
        <v>No</v>
      </c>
      <c r="AC30">
        <v>3</v>
      </c>
      <c r="AD30" t="str">
        <v>Free</v>
      </c>
      <c r="AE30">
        <v>1.08</v>
      </c>
      <c r="AF30" s="14">
        <f t="shared" si="0"/>
        <v>0.51804670912951167</v>
      </c>
    </row>
    <row r="31" spans="1:32" x14ac:dyDescent="0.2">
      <c r="A31">
        <v>30</v>
      </c>
      <c r="B31" cm="1">
        <f t="array" ref="B31:AE31">_xlfn.XLOOKUP($A31,Instagram_Usage_Lifestyle_Mini_!$A:$A,Instagram_Usage_Lifestyle_Mini_!$AC:$BF)</f>
        <v>241</v>
      </c>
      <c r="C31">
        <v>11</v>
      </c>
      <c r="D31">
        <v>11</v>
      </c>
      <c r="E31">
        <v>183</v>
      </c>
      <c r="F31">
        <v>137</v>
      </c>
      <c r="G31">
        <v>130</v>
      </c>
      <c r="H31">
        <v>33</v>
      </c>
      <c r="I31">
        <v>26</v>
      </c>
      <c r="J31">
        <v>26</v>
      </c>
      <c r="K31">
        <v>30</v>
      </c>
      <c r="L31">
        <v>5</v>
      </c>
      <c r="M31">
        <v>112</v>
      </c>
      <c r="N31">
        <v>27</v>
      </c>
      <c r="O31">
        <v>40</v>
      </c>
      <c r="P31">
        <v>88</v>
      </c>
      <c r="Q31">
        <v>1945</v>
      </c>
      <c r="R31">
        <v>3236</v>
      </c>
      <c r="S31" t="str">
        <v>Yes</v>
      </c>
      <c r="T31">
        <v>0.15</v>
      </c>
      <c r="U31">
        <v>2023</v>
      </c>
      <c r="V31">
        <v>46017</v>
      </c>
      <c r="W31">
        <v>21.9</v>
      </c>
      <c r="X31" t="str">
        <v>Photos</v>
      </c>
      <c r="Y31" t="str">
        <v>Fashion</v>
      </c>
      <c r="Z31" t="str">
        <v>Public</v>
      </c>
      <c r="AA31" t="str">
        <v>No</v>
      </c>
      <c r="AB31" t="str">
        <v>No</v>
      </c>
      <c r="AC31">
        <v>1</v>
      </c>
      <c r="AD31" t="str">
        <v>Free</v>
      </c>
      <c r="AE31">
        <v>0.95</v>
      </c>
      <c r="AF31" s="14">
        <f t="shared" si="0"/>
        <v>0.60105067985166871</v>
      </c>
    </row>
    <row r="32" spans="1:32" x14ac:dyDescent="0.2">
      <c r="A32">
        <v>31</v>
      </c>
      <c r="B32" cm="1">
        <f t="array" ref="B32:AE32">_xlfn.XLOOKUP($A32,Instagram_Usage_Lifestyle_Mini_!$A:$A,Instagram_Usage_Lifestyle_Mini_!$AC:$BF)</f>
        <v>67</v>
      </c>
      <c r="C32">
        <v>3</v>
      </c>
      <c r="D32">
        <v>2</v>
      </c>
      <c r="E32">
        <v>93</v>
      </c>
      <c r="F32">
        <v>57</v>
      </c>
      <c r="G32">
        <v>46</v>
      </c>
      <c r="H32">
        <v>15</v>
      </c>
      <c r="I32">
        <v>15</v>
      </c>
      <c r="J32">
        <v>19</v>
      </c>
      <c r="K32">
        <v>14</v>
      </c>
      <c r="L32">
        <v>2</v>
      </c>
      <c r="M32">
        <v>36</v>
      </c>
      <c r="N32">
        <v>8</v>
      </c>
      <c r="O32">
        <v>16</v>
      </c>
      <c r="P32">
        <v>25</v>
      </c>
      <c r="Q32">
        <v>729</v>
      </c>
      <c r="R32">
        <v>637</v>
      </c>
      <c r="S32" t="str">
        <v>Yes</v>
      </c>
      <c r="T32">
        <v>0.8</v>
      </c>
      <c r="U32">
        <v>2022</v>
      </c>
      <c r="V32">
        <v>45915</v>
      </c>
      <c r="W32">
        <v>22.3</v>
      </c>
      <c r="X32" t="str">
        <v>Photos</v>
      </c>
      <c r="Y32" t="str">
        <v>Art</v>
      </c>
      <c r="Z32" t="str">
        <v>Public</v>
      </c>
      <c r="AA32" t="str">
        <v>Yes</v>
      </c>
      <c r="AB32" t="str">
        <v>No</v>
      </c>
      <c r="AC32">
        <v>2</v>
      </c>
      <c r="AD32" t="str">
        <v>Free</v>
      </c>
      <c r="AE32">
        <v>1.21</v>
      </c>
      <c r="AF32" s="14">
        <f t="shared" si="0"/>
        <v>1.1444270015698588</v>
      </c>
    </row>
    <row r="33" spans="1:32" x14ac:dyDescent="0.2">
      <c r="A33">
        <v>32</v>
      </c>
      <c r="B33" cm="1">
        <f t="array" ref="B33:AE33">_xlfn.XLOOKUP($A33,Instagram_Usage_Lifestyle_Mini_!$A:$A,Instagram_Usage_Lifestyle_Mini_!$AC:$BF)</f>
        <v>263</v>
      </c>
      <c r="C33">
        <v>24</v>
      </c>
      <c r="D33">
        <v>14</v>
      </c>
      <c r="E33">
        <v>206</v>
      </c>
      <c r="F33">
        <v>146</v>
      </c>
      <c r="G33">
        <v>136</v>
      </c>
      <c r="H33">
        <v>39</v>
      </c>
      <c r="I33">
        <v>29</v>
      </c>
      <c r="J33">
        <v>46</v>
      </c>
      <c r="K33">
        <v>21</v>
      </c>
      <c r="L33">
        <v>6</v>
      </c>
      <c r="M33">
        <v>140</v>
      </c>
      <c r="N33">
        <v>66</v>
      </c>
      <c r="O33">
        <v>52</v>
      </c>
      <c r="P33">
        <v>83</v>
      </c>
      <c r="Q33">
        <v>1790</v>
      </c>
      <c r="R33">
        <v>3556</v>
      </c>
      <c r="S33" t="str">
        <v>No</v>
      </c>
      <c r="T33">
        <v>0.02</v>
      </c>
      <c r="U33">
        <v>2015</v>
      </c>
      <c r="V33">
        <v>45796</v>
      </c>
      <c r="W33">
        <v>11</v>
      </c>
      <c r="X33" t="str">
        <v>Live</v>
      </c>
      <c r="Y33" t="str">
        <v>Food</v>
      </c>
      <c r="Z33" t="str">
        <v>Public</v>
      </c>
      <c r="AA33" t="str">
        <v>Yes</v>
      </c>
      <c r="AB33" t="str">
        <v>No</v>
      </c>
      <c r="AC33">
        <v>2</v>
      </c>
      <c r="AD33" t="str">
        <v>Free</v>
      </c>
      <c r="AE33">
        <v>0.97</v>
      </c>
      <c r="AF33" s="14">
        <f t="shared" si="0"/>
        <v>0.50337457817772779</v>
      </c>
    </row>
    <row r="34" spans="1:32" x14ac:dyDescent="0.2">
      <c r="A34">
        <v>33</v>
      </c>
      <c r="B34" cm="1">
        <f t="array" ref="B34:AE34">_xlfn.XLOOKUP($A34,Instagram_Usage_Lifestyle_Mini_!$A:$A,Instagram_Usage_Lifestyle_Mini_!$AC:$BF)</f>
        <v>107</v>
      </c>
      <c r="C34">
        <v>4</v>
      </c>
      <c r="D34">
        <v>3</v>
      </c>
      <c r="E34">
        <v>107</v>
      </c>
      <c r="F34">
        <v>66</v>
      </c>
      <c r="G34">
        <v>88</v>
      </c>
      <c r="H34">
        <v>20</v>
      </c>
      <c r="I34">
        <v>28</v>
      </c>
      <c r="J34">
        <v>16</v>
      </c>
      <c r="K34">
        <v>13</v>
      </c>
      <c r="L34">
        <v>3</v>
      </c>
      <c r="M34">
        <v>47</v>
      </c>
      <c r="N34">
        <v>31</v>
      </c>
      <c r="O34">
        <v>24</v>
      </c>
      <c r="P34">
        <v>31</v>
      </c>
      <c r="Q34">
        <v>1492</v>
      </c>
      <c r="R34">
        <v>1006</v>
      </c>
      <c r="S34" t="str">
        <v>No</v>
      </c>
      <c r="T34">
        <v>0.97</v>
      </c>
      <c r="U34">
        <v>2014</v>
      </c>
      <c r="V34">
        <v>45706</v>
      </c>
      <c r="W34">
        <v>26.8</v>
      </c>
      <c r="X34" t="str">
        <v>Photos</v>
      </c>
      <c r="Y34" t="str">
        <v>Tech</v>
      </c>
      <c r="Z34" t="str">
        <v>Private</v>
      </c>
      <c r="AA34" t="str">
        <v>No</v>
      </c>
      <c r="AB34" t="str">
        <v>No</v>
      </c>
      <c r="AC34">
        <v>1</v>
      </c>
      <c r="AD34" t="str">
        <v>Business</v>
      </c>
      <c r="AE34">
        <v>1.27</v>
      </c>
      <c r="AF34" s="14">
        <f t="shared" si="0"/>
        <v>1.4831013916500995</v>
      </c>
    </row>
    <row r="35" spans="1:32" x14ac:dyDescent="0.2">
      <c r="A35">
        <v>34</v>
      </c>
      <c r="B35" cm="1">
        <f t="array" ref="B35:AE35">_xlfn.XLOOKUP($A35,Instagram_Usage_Lifestyle_Mini_!$A:$A,Instagram_Usage_Lifestyle_Mini_!$AC:$BF)</f>
        <v>185</v>
      </c>
      <c r="C35">
        <v>12</v>
      </c>
      <c r="D35">
        <v>3</v>
      </c>
      <c r="E35">
        <v>169</v>
      </c>
      <c r="F35">
        <v>89</v>
      </c>
      <c r="G35">
        <v>105</v>
      </c>
      <c r="H35">
        <v>33</v>
      </c>
      <c r="I35">
        <v>28</v>
      </c>
      <c r="J35">
        <v>31</v>
      </c>
      <c r="K35">
        <v>24</v>
      </c>
      <c r="L35">
        <v>4</v>
      </c>
      <c r="M35">
        <v>81</v>
      </c>
      <c r="N35">
        <v>28</v>
      </c>
      <c r="O35">
        <v>41</v>
      </c>
      <c r="P35">
        <v>51</v>
      </c>
      <c r="Q35">
        <v>3885</v>
      </c>
      <c r="R35">
        <v>6249</v>
      </c>
      <c r="S35" t="str">
        <v>No</v>
      </c>
      <c r="T35">
        <v>0.77</v>
      </c>
      <c r="U35">
        <v>2017</v>
      </c>
      <c r="V35">
        <v>45957</v>
      </c>
      <c r="W35">
        <v>15.4</v>
      </c>
      <c r="X35" t="str">
        <v>Live</v>
      </c>
      <c r="Y35" t="str">
        <v>Fashion</v>
      </c>
      <c r="Z35" t="str">
        <v>Public</v>
      </c>
      <c r="AA35" t="str">
        <v>Yes</v>
      </c>
      <c r="AB35" t="str">
        <v>Yes</v>
      </c>
      <c r="AC35">
        <v>2</v>
      </c>
      <c r="AD35" t="str">
        <v>Free</v>
      </c>
      <c r="AE35">
        <v>0.97</v>
      </c>
      <c r="AF35" s="14">
        <f t="shared" si="0"/>
        <v>0.62169947191550645</v>
      </c>
    </row>
    <row r="36" spans="1:32" x14ac:dyDescent="0.2">
      <c r="A36">
        <v>35</v>
      </c>
      <c r="B36" cm="1">
        <f t="array" ref="B36:AE36">_xlfn.XLOOKUP($A36,Instagram_Usage_Lifestyle_Mini_!$A:$A,Instagram_Usage_Lifestyle_Mini_!$AC:$BF)</f>
        <v>67</v>
      </c>
      <c r="C36">
        <v>8</v>
      </c>
      <c r="D36">
        <v>9</v>
      </c>
      <c r="E36">
        <v>86</v>
      </c>
      <c r="F36">
        <v>50</v>
      </c>
      <c r="G36">
        <v>53</v>
      </c>
      <c r="H36">
        <v>18</v>
      </c>
      <c r="I36">
        <v>19</v>
      </c>
      <c r="J36">
        <v>16</v>
      </c>
      <c r="K36">
        <v>9</v>
      </c>
      <c r="L36">
        <v>3</v>
      </c>
      <c r="M36">
        <v>39</v>
      </c>
      <c r="N36">
        <v>12</v>
      </c>
      <c r="O36">
        <v>8</v>
      </c>
      <c r="P36">
        <v>17</v>
      </c>
      <c r="Q36">
        <v>766</v>
      </c>
      <c r="R36">
        <v>1202</v>
      </c>
      <c r="S36" t="str">
        <v>Yes</v>
      </c>
      <c r="T36">
        <v>0.89</v>
      </c>
      <c r="U36">
        <v>2012</v>
      </c>
      <c r="V36">
        <v>45815</v>
      </c>
      <c r="W36">
        <v>8.4</v>
      </c>
      <c r="X36" t="str">
        <v>Videos</v>
      </c>
      <c r="Y36" t="str">
        <v>Travel</v>
      </c>
      <c r="Z36" t="str">
        <v>Public</v>
      </c>
      <c r="AA36" t="str">
        <v>Yes</v>
      </c>
      <c r="AB36" t="str">
        <v>Yes</v>
      </c>
      <c r="AC36">
        <v>1</v>
      </c>
      <c r="AD36" t="str">
        <v>Free</v>
      </c>
      <c r="AE36">
        <v>1.71</v>
      </c>
      <c r="AF36" s="14">
        <f t="shared" si="0"/>
        <v>0.63727121464226288</v>
      </c>
    </row>
    <row r="37" spans="1:32" x14ac:dyDescent="0.2">
      <c r="A37">
        <v>36</v>
      </c>
      <c r="B37" cm="1">
        <f t="array" ref="B37:AE37">_xlfn.XLOOKUP($A37,Instagram_Usage_Lifestyle_Mini_!$A:$A,Instagram_Usage_Lifestyle_Mini_!$AC:$BF)</f>
        <v>180</v>
      </c>
      <c r="C37">
        <v>10</v>
      </c>
      <c r="D37">
        <v>2</v>
      </c>
      <c r="E37">
        <v>144</v>
      </c>
      <c r="F37">
        <v>103</v>
      </c>
      <c r="G37">
        <v>137</v>
      </c>
      <c r="H37">
        <v>34</v>
      </c>
      <c r="I37">
        <v>23</v>
      </c>
      <c r="J37">
        <v>28</v>
      </c>
      <c r="K37">
        <v>23</v>
      </c>
      <c r="L37">
        <v>3</v>
      </c>
      <c r="M37">
        <v>73</v>
      </c>
      <c r="N37">
        <v>43</v>
      </c>
      <c r="O37">
        <v>21</v>
      </c>
      <c r="P37">
        <v>51</v>
      </c>
      <c r="Q37">
        <v>111</v>
      </c>
      <c r="R37">
        <v>276</v>
      </c>
      <c r="S37" t="str">
        <v>Yes</v>
      </c>
      <c r="T37">
        <v>0.27</v>
      </c>
      <c r="U37">
        <v>2011</v>
      </c>
      <c r="V37">
        <v>45953</v>
      </c>
      <c r="W37">
        <v>18</v>
      </c>
      <c r="X37" t="str">
        <v>Mixed</v>
      </c>
      <c r="Y37" t="str">
        <v>Fitness</v>
      </c>
      <c r="Z37" t="str">
        <v>Friends_only</v>
      </c>
      <c r="AA37" t="str">
        <v>Yes</v>
      </c>
      <c r="AB37" t="str">
        <v>No</v>
      </c>
      <c r="AC37">
        <v>0</v>
      </c>
      <c r="AD37" t="str">
        <v>Free</v>
      </c>
      <c r="AE37">
        <v>1.17</v>
      </c>
      <c r="AF37" s="14">
        <f t="shared" si="0"/>
        <v>0.40217391304347827</v>
      </c>
    </row>
    <row r="38" spans="1:32" x14ac:dyDescent="0.2">
      <c r="A38">
        <v>37</v>
      </c>
      <c r="B38" cm="1">
        <f t="array" ref="B38:AE38">_xlfn.XLOOKUP($A38,Instagram_Usage_Lifestyle_Mini_!$A:$A,Instagram_Usage_Lifestyle_Mini_!$AC:$BF)</f>
        <v>37</v>
      </c>
      <c r="C38">
        <v>1</v>
      </c>
      <c r="D38">
        <v>3</v>
      </c>
      <c r="E38">
        <v>163</v>
      </c>
      <c r="F38">
        <v>48</v>
      </c>
      <c r="G38">
        <v>51</v>
      </c>
      <c r="H38">
        <v>16</v>
      </c>
      <c r="I38">
        <v>18</v>
      </c>
      <c r="J38">
        <v>13</v>
      </c>
      <c r="K38">
        <v>12</v>
      </c>
      <c r="L38">
        <v>3</v>
      </c>
      <c r="M38">
        <v>16</v>
      </c>
      <c r="N38">
        <v>7</v>
      </c>
      <c r="O38">
        <v>8</v>
      </c>
      <c r="P38">
        <v>9</v>
      </c>
      <c r="Q38">
        <v>248</v>
      </c>
      <c r="R38">
        <v>102</v>
      </c>
      <c r="S38" t="str">
        <v>No</v>
      </c>
      <c r="T38">
        <v>0.9</v>
      </c>
      <c r="U38">
        <v>2011</v>
      </c>
      <c r="V38">
        <v>45855</v>
      </c>
      <c r="W38">
        <v>37</v>
      </c>
      <c r="X38" t="str">
        <v>Reels</v>
      </c>
      <c r="Y38" t="str">
        <v>Food</v>
      </c>
      <c r="Z38" t="str">
        <v>Friends_only</v>
      </c>
      <c r="AA38" t="str">
        <v>No</v>
      </c>
      <c r="AB38" t="str">
        <v>Yes</v>
      </c>
      <c r="AC38">
        <v>2</v>
      </c>
      <c r="AD38" t="str">
        <v>Free</v>
      </c>
      <c r="AE38">
        <v>2.42</v>
      </c>
      <c r="AF38" s="14">
        <f t="shared" si="0"/>
        <v>2.4313725490196076</v>
      </c>
    </row>
    <row r="39" spans="1:32" x14ac:dyDescent="0.2">
      <c r="A39">
        <v>38</v>
      </c>
      <c r="B39" cm="1">
        <f t="array" ref="B39:AE39">_xlfn.XLOOKUP($A39,Instagram_Usage_Lifestyle_Mini_!$A:$A,Instagram_Usage_Lifestyle_Mini_!$AC:$BF)</f>
        <v>145</v>
      </c>
      <c r="C39">
        <v>11</v>
      </c>
      <c r="D39">
        <v>2</v>
      </c>
      <c r="E39">
        <v>190</v>
      </c>
      <c r="F39">
        <v>83</v>
      </c>
      <c r="G39">
        <v>84</v>
      </c>
      <c r="H39">
        <v>25</v>
      </c>
      <c r="I39">
        <v>21</v>
      </c>
      <c r="J39">
        <v>28</v>
      </c>
      <c r="K39">
        <v>14</v>
      </c>
      <c r="L39">
        <v>3</v>
      </c>
      <c r="M39">
        <v>87</v>
      </c>
      <c r="N39">
        <v>24</v>
      </c>
      <c r="O39">
        <v>20</v>
      </c>
      <c r="P39">
        <v>57</v>
      </c>
      <c r="Q39">
        <v>667</v>
      </c>
      <c r="R39">
        <v>875</v>
      </c>
      <c r="S39" t="str">
        <v>No</v>
      </c>
      <c r="T39">
        <v>0.24</v>
      </c>
      <c r="U39">
        <v>2016</v>
      </c>
      <c r="V39">
        <v>45725</v>
      </c>
      <c r="W39">
        <v>13.2</v>
      </c>
      <c r="X39" t="str">
        <v>Photos</v>
      </c>
      <c r="Y39" t="str">
        <v>Art</v>
      </c>
      <c r="Z39" t="str">
        <v>Public</v>
      </c>
      <c r="AA39" t="str">
        <v>Yes</v>
      </c>
      <c r="AB39" t="str">
        <v>No</v>
      </c>
      <c r="AC39">
        <v>4</v>
      </c>
      <c r="AD39" t="str">
        <v>Free</v>
      </c>
      <c r="AE39">
        <v>0.96</v>
      </c>
      <c r="AF39" s="14">
        <f t="shared" si="0"/>
        <v>0.76228571428571423</v>
      </c>
    </row>
    <row r="40" spans="1:32" x14ac:dyDescent="0.2">
      <c r="A40">
        <v>39</v>
      </c>
      <c r="B40" cm="1">
        <f t="array" ref="B40:AE40">_xlfn.XLOOKUP($A40,Instagram_Usage_Lifestyle_Mini_!$A:$A,Instagram_Usage_Lifestyle_Mini_!$AC:$BF)</f>
        <v>41</v>
      </c>
      <c r="C40">
        <v>3</v>
      </c>
      <c r="D40">
        <v>5</v>
      </c>
      <c r="E40">
        <v>73</v>
      </c>
      <c r="F40">
        <v>45</v>
      </c>
      <c r="G40">
        <v>42</v>
      </c>
      <c r="H40">
        <v>14</v>
      </c>
      <c r="I40">
        <v>13</v>
      </c>
      <c r="J40">
        <v>15</v>
      </c>
      <c r="K40">
        <v>9</v>
      </c>
      <c r="L40">
        <v>4</v>
      </c>
      <c r="M40">
        <v>19</v>
      </c>
      <c r="N40">
        <v>11</v>
      </c>
      <c r="O40">
        <v>6</v>
      </c>
      <c r="P40">
        <v>9</v>
      </c>
      <c r="Q40">
        <v>601</v>
      </c>
      <c r="R40">
        <v>267</v>
      </c>
      <c r="S40" t="str">
        <v>Yes</v>
      </c>
      <c r="T40">
        <v>0.87</v>
      </c>
      <c r="U40">
        <v>2010</v>
      </c>
      <c r="V40">
        <v>45806</v>
      </c>
      <c r="W40">
        <v>13.7</v>
      </c>
      <c r="X40" t="str">
        <v>Stories</v>
      </c>
      <c r="Y40" t="str">
        <v>Tech</v>
      </c>
      <c r="Z40" t="str">
        <v>Private</v>
      </c>
      <c r="AA40" t="str">
        <v>Yes</v>
      </c>
      <c r="AB40" t="str">
        <v>No</v>
      </c>
      <c r="AC40">
        <v>2</v>
      </c>
      <c r="AD40" t="str">
        <v>Free</v>
      </c>
      <c r="AE40">
        <v>2.02</v>
      </c>
      <c r="AF40" s="14">
        <f t="shared" si="0"/>
        <v>2.2509363295880149</v>
      </c>
    </row>
    <row r="41" spans="1:32" x14ac:dyDescent="0.2">
      <c r="A41">
        <v>40</v>
      </c>
      <c r="B41" cm="1">
        <f t="array" ref="B41:AE41">_xlfn.XLOOKUP($A41,Instagram_Usage_Lifestyle_Mini_!$A:$A,Instagram_Usage_Lifestyle_Mini_!$AC:$BF)</f>
        <v>5</v>
      </c>
      <c r="C41">
        <v>1</v>
      </c>
      <c r="D41">
        <v>5</v>
      </c>
      <c r="E41">
        <v>41</v>
      </c>
      <c r="F41">
        <v>25</v>
      </c>
      <c r="G41">
        <v>22</v>
      </c>
      <c r="H41">
        <v>8</v>
      </c>
      <c r="I41">
        <v>10</v>
      </c>
      <c r="J41">
        <v>5</v>
      </c>
      <c r="K41">
        <v>9</v>
      </c>
      <c r="L41">
        <v>1</v>
      </c>
      <c r="M41">
        <v>3</v>
      </c>
      <c r="N41">
        <v>1</v>
      </c>
      <c r="O41">
        <v>1</v>
      </c>
      <c r="P41">
        <v>1</v>
      </c>
      <c r="Q41">
        <v>1010</v>
      </c>
      <c r="R41">
        <v>1416</v>
      </c>
      <c r="S41" t="str">
        <v>No</v>
      </c>
      <c r="T41">
        <v>0.99</v>
      </c>
      <c r="U41">
        <v>2012</v>
      </c>
      <c r="V41">
        <v>45697</v>
      </c>
      <c r="W41">
        <v>5</v>
      </c>
      <c r="X41" t="str">
        <v>Live</v>
      </c>
      <c r="Y41" t="str">
        <v>Other</v>
      </c>
      <c r="Z41" t="str">
        <v>Public</v>
      </c>
      <c r="AA41" t="str">
        <v>Yes</v>
      </c>
      <c r="AB41" t="str">
        <v>No</v>
      </c>
      <c r="AC41">
        <v>3</v>
      </c>
      <c r="AD41" t="str">
        <v>Free</v>
      </c>
      <c r="AE41">
        <v>8.83</v>
      </c>
      <c r="AF41" s="14">
        <f t="shared" si="0"/>
        <v>0.71327683615819204</v>
      </c>
    </row>
    <row r="42" spans="1:32" x14ac:dyDescent="0.2">
      <c r="A42">
        <v>41</v>
      </c>
      <c r="B42" cm="1">
        <f t="array" ref="B42:AE42">_xlfn.XLOOKUP($A42,Instagram_Usage_Lifestyle_Mini_!$A:$A,Instagram_Usage_Lifestyle_Mini_!$AC:$BF)</f>
        <v>187</v>
      </c>
      <c r="C42">
        <v>7</v>
      </c>
      <c r="D42">
        <v>6</v>
      </c>
      <c r="E42">
        <v>141</v>
      </c>
      <c r="F42">
        <v>93</v>
      </c>
      <c r="G42">
        <v>105</v>
      </c>
      <c r="H42">
        <v>24</v>
      </c>
      <c r="I42">
        <v>23</v>
      </c>
      <c r="J42">
        <v>31</v>
      </c>
      <c r="K42">
        <v>24</v>
      </c>
      <c r="L42">
        <v>4</v>
      </c>
      <c r="M42">
        <v>102</v>
      </c>
      <c r="N42">
        <v>51</v>
      </c>
      <c r="O42">
        <v>44</v>
      </c>
      <c r="P42">
        <v>54</v>
      </c>
      <c r="Q42">
        <v>1585</v>
      </c>
      <c r="R42">
        <v>1677</v>
      </c>
      <c r="S42" t="str">
        <v>No</v>
      </c>
      <c r="T42">
        <v>0.42</v>
      </c>
      <c r="U42">
        <v>2023</v>
      </c>
      <c r="V42">
        <v>46012</v>
      </c>
      <c r="W42">
        <v>26.7</v>
      </c>
      <c r="X42" t="str">
        <v>Photos</v>
      </c>
      <c r="Y42" t="str">
        <v>Fashion</v>
      </c>
      <c r="Z42" t="str">
        <v>Private</v>
      </c>
      <c r="AA42" t="str">
        <v>Yes</v>
      </c>
      <c r="AB42" t="str">
        <v>No</v>
      </c>
      <c r="AC42">
        <v>3</v>
      </c>
      <c r="AD42" t="str">
        <v>Free</v>
      </c>
      <c r="AE42">
        <v>0.91</v>
      </c>
      <c r="AF42" s="14">
        <f t="shared" si="0"/>
        <v>0.94514013118664286</v>
      </c>
    </row>
    <row r="43" spans="1:32" x14ac:dyDescent="0.2">
      <c r="A43">
        <v>42</v>
      </c>
      <c r="B43" cm="1">
        <f t="array" ref="B43:AE43">_xlfn.XLOOKUP($A43,Instagram_Usage_Lifestyle_Mini_!$A:$A,Instagram_Usage_Lifestyle_Mini_!$AC:$BF)</f>
        <v>84</v>
      </c>
      <c r="C43">
        <v>5</v>
      </c>
      <c r="D43">
        <v>4</v>
      </c>
      <c r="E43">
        <v>91</v>
      </c>
      <c r="F43">
        <v>71</v>
      </c>
      <c r="G43">
        <v>68</v>
      </c>
      <c r="H43">
        <v>21</v>
      </c>
      <c r="I43">
        <v>23</v>
      </c>
      <c r="J43">
        <v>19</v>
      </c>
      <c r="K43">
        <v>12</v>
      </c>
      <c r="L43">
        <v>3</v>
      </c>
      <c r="M43">
        <v>39</v>
      </c>
      <c r="N43">
        <v>22</v>
      </c>
      <c r="O43">
        <v>16</v>
      </c>
      <c r="P43">
        <v>27</v>
      </c>
      <c r="Q43">
        <v>394</v>
      </c>
      <c r="R43">
        <v>625</v>
      </c>
      <c r="S43" t="str">
        <v>Yes</v>
      </c>
      <c r="T43">
        <v>0.74</v>
      </c>
      <c r="U43">
        <v>2010</v>
      </c>
      <c r="V43">
        <v>45716</v>
      </c>
      <c r="W43">
        <v>16.8</v>
      </c>
      <c r="X43" t="str">
        <v>Mixed</v>
      </c>
      <c r="Y43" t="str">
        <v>Fashion</v>
      </c>
      <c r="Z43" t="str">
        <v>Private</v>
      </c>
      <c r="AA43" t="str">
        <v>Yes</v>
      </c>
      <c r="AB43" t="str">
        <v>No</v>
      </c>
      <c r="AC43">
        <v>4</v>
      </c>
      <c r="AD43" t="str">
        <v>Free</v>
      </c>
      <c r="AE43">
        <v>1.44</v>
      </c>
      <c r="AF43" s="14">
        <f t="shared" si="0"/>
        <v>0.63039999999999996</v>
      </c>
    </row>
    <row r="44" spans="1:32" x14ac:dyDescent="0.2">
      <c r="A44">
        <v>43</v>
      </c>
      <c r="B44" cm="1">
        <f t="array" ref="B44:AE44">_xlfn.XLOOKUP($A44,Instagram_Usage_Lifestyle_Mini_!$A:$A,Instagram_Usage_Lifestyle_Mini_!$AC:$BF)</f>
        <v>237</v>
      </c>
      <c r="C44">
        <v>15</v>
      </c>
      <c r="D44">
        <v>15</v>
      </c>
      <c r="E44">
        <v>260</v>
      </c>
      <c r="F44">
        <v>138</v>
      </c>
      <c r="G44">
        <v>144</v>
      </c>
      <c r="H44">
        <v>46</v>
      </c>
      <c r="I44">
        <v>41</v>
      </c>
      <c r="J44">
        <v>29</v>
      </c>
      <c r="K44">
        <v>28</v>
      </c>
      <c r="L44">
        <v>13</v>
      </c>
      <c r="M44">
        <v>140</v>
      </c>
      <c r="N44">
        <v>56</v>
      </c>
      <c r="O44">
        <v>35</v>
      </c>
      <c r="P44">
        <v>84</v>
      </c>
      <c r="Q44">
        <v>1754</v>
      </c>
      <c r="R44">
        <v>2018</v>
      </c>
      <c r="S44" t="str">
        <v>No</v>
      </c>
      <c r="T44">
        <v>0.73</v>
      </c>
      <c r="U44">
        <v>2015</v>
      </c>
      <c r="V44">
        <v>45889</v>
      </c>
      <c r="W44">
        <v>15.8</v>
      </c>
      <c r="X44" t="str">
        <v>Mixed</v>
      </c>
      <c r="Y44" t="str">
        <v>Travel</v>
      </c>
      <c r="Z44" t="str">
        <v>Private</v>
      </c>
      <c r="AA44" t="str">
        <v>No</v>
      </c>
      <c r="AB44" t="str">
        <v>Yes</v>
      </c>
      <c r="AC44">
        <v>2</v>
      </c>
      <c r="AD44" t="str">
        <v>Business</v>
      </c>
      <c r="AE44">
        <v>1.18</v>
      </c>
      <c r="AF44" s="14">
        <f t="shared" si="0"/>
        <v>0.86917740336967297</v>
      </c>
    </row>
    <row r="45" spans="1:32" x14ac:dyDescent="0.2">
      <c r="A45">
        <v>44</v>
      </c>
      <c r="B45" cm="1">
        <f t="array" ref="B45:AE45">_xlfn.XLOOKUP($A45,Instagram_Usage_Lifestyle_Mini_!$A:$A,Instagram_Usage_Lifestyle_Mini_!$AC:$BF)</f>
        <v>260</v>
      </c>
      <c r="C45">
        <v>18</v>
      </c>
      <c r="D45">
        <v>9</v>
      </c>
      <c r="E45">
        <v>203</v>
      </c>
      <c r="F45">
        <v>119</v>
      </c>
      <c r="G45">
        <v>157</v>
      </c>
      <c r="H45">
        <v>46</v>
      </c>
      <c r="I45">
        <v>29</v>
      </c>
      <c r="J45">
        <v>36</v>
      </c>
      <c r="K45">
        <v>25</v>
      </c>
      <c r="L45">
        <v>7</v>
      </c>
      <c r="M45">
        <v>108</v>
      </c>
      <c r="N45">
        <v>35</v>
      </c>
      <c r="O45">
        <v>48</v>
      </c>
      <c r="P45">
        <v>92</v>
      </c>
      <c r="Q45">
        <v>4919</v>
      </c>
      <c r="R45">
        <v>10000</v>
      </c>
      <c r="S45" t="str">
        <v>No</v>
      </c>
      <c r="T45">
        <v>0.66</v>
      </c>
      <c r="U45">
        <v>2022</v>
      </c>
      <c r="V45">
        <v>45992</v>
      </c>
      <c r="W45">
        <v>14.4</v>
      </c>
      <c r="X45" t="str">
        <v>Stories</v>
      </c>
      <c r="Y45" t="str">
        <v>Tech</v>
      </c>
      <c r="Z45" t="str">
        <v>Friends_only</v>
      </c>
      <c r="AA45" t="str">
        <v>No</v>
      </c>
      <c r="AB45" t="str">
        <v>Yes</v>
      </c>
      <c r="AC45">
        <v>3</v>
      </c>
      <c r="AD45" t="str">
        <v>Free</v>
      </c>
      <c r="AE45">
        <v>1.06</v>
      </c>
      <c r="AF45" s="14">
        <f t="shared" si="0"/>
        <v>0.4919</v>
      </c>
    </row>
    <row r="46" spans="1:32" x14ac:dyDescent="0.2">
      <c r="A46">
        <v>45</v>
      </c>
      <c r="B46" cm="1">
        <f t="array" ref="B46:AE46">_xlfn.XLOOKUP($A46,Instagram_Usage_Lifestyle_Mini_!$A:$A,Instagram_Usage_Lifestyle_Mini_!$AC:$BF)</f>
        <v>5</v>
      </c>
      <c r="C46">
        <v>1</v>
      </c>
      <c r="D46">
        <v>2</v>
      </c>
      <c r="E46">
        <v>45</v>
      </c>
      <c r="F46">
        <v>29</v>
      </c>
      <c r="G46">
        <v>29</v>
      </c>
      <c r="H46">
        <v>10</v>
      </c>
      <c r="I46">
        <v>11</v>
      </c>
      <c r="J46">
        <v>3</v>
      </c>
      <c r="K46">
        <v>10</v>
      </c>
      <c r="L46">
        <v>1</v>
      </c>
      <c r="M46">
        <v>3</v>
      </c>
      <c r="N46">
        <v>1</v>
      </c>
      <c r="O46">
        <v>1</v>
      </c>
      <c r="P46">
        <v>1</v>
      </c>
      <c r="Q46">
        <v>136</v>
      </c>
      <c r="R46">
        <v>280</v>
      </c>
      <c r="S46" t="str">
        <v>No</v>
      </c>
      <c r="T46">
        <v>0.14000000000000001</v>
      </c>
      <c r="U46">
        <v>2018</v>
      </c>
      <c r="V46">
        <v>45984</v>
      </c>
      <c r="W46">
        <v>5</v>
      </c>
      <c r="X46" t="str">
        <v>Mixed</v>
      </c>
      <c r="Y46" t="str">
        <v>Art</v>
      </c>
      <c r="Z46" t="str">
        <v>Private</v>
      </c>
      <c r="AA46" t="str">
        <v>No</v>
      </c>
      <c r="AB46" t="str">
        <v>No</v>
      </c>
      <c r="AC46">
        <v>4</v>
      </c>
      <c r="AD46" t="str">
        <v>Free</v>
      </c>
      <c r="AE46">
        <v>9.17</v>
      </c>
      <c r="AF46" s="14">
        <f t="shared" si="0"/>
        <v>0.48571428571428571</v>
      </c>
    </row>
    <row r="47" spans="1:32" x14ac:dyDescent="0.2">
      <c r="A47">
        <v>46</v>
      </c>
      <c r="B47" cm="1">
        <f t="array" ref="B47:AE47">_xlfn.XLOOKUP($A47,Instagram_Usage_Lifestyle_Mini_!$A:$A,Instagram_Usage_Lifestyle_Mini_!$AC:$BF)</f>
        <v>302</v>
      </c>
      <c r="C47">
        <v>11</v>
      </c>
      <c r="D47">
        <v>13</v>
      </c>
      <c r="E47">
        <v>300</v>
      </c>
      <c r="F47">
        <v>144</v>
      </c>
      <c r="G47">
        <v>187</v>
      </c>
      <c r="H47">
        <v>43</v>
      </c>
      <c r="I47">
        <v>27</v>
      </c>
      <c r="J47">
        <v>46</v>
      </c>
      <c r="K47">
        <v>23</v>
      </c>
      <c r="L47">
        <v>6</v>
      </c>
      <c r="M47">
        <v>176</v>
      </c>
      <c r="N47">
        <v>37</v>
      </c>
      <c r="O47">
        <v>60</v>
      </c>
      <c r="P47">
        <v>101</v>
      </c>
      <c r="Q47">
        <v>1686</v>
      </c>
      <c r="R47">
        <v>3518</v>
      </c>
      <c r="S47" t="str">
        <v>Yes</v>
      </c>
      <c r="T47">
        <v>0.05</v>
      </c>
      <c r="U47">
        <v>2025</v>
      </c>
      <c r="V47">
        <v>46001</v>
      </c>
      <c r="W47">
        <v>27.5</v>
      </c>
      <c r="X47" t="str">
        <v>Live</v>
      </c>
      <c r="Y47" t="str">
        <v>Food</v>
      </c>
      <c r="Z47" t="str">
        <v>Friends_only</v>
      </c>
      <c r="AA47" t="str">
        <v>Yes</v>
      </c>
      <c r="AB47" t="str">
        <v>No</v>
      </c>
      <c r="AC47">
        <v>3</v>
      </c>
      <c r="AD47" t="str">
        <v>Free</v>
      </c>
      <c r="AE47">
        <v>1.03</v>
      </c>
      <c r="AF47" s="14">
        <f t="shared" si="0"/>
        <v>0.47924957362137577</v>
      </c>
    </row>
    <row r="48" spans="1:32" x14ac:dyDescent="0.2">
      <c r="A48">
        <v>47</v>
      </c>
      <c r="B48" cm="1">
        <f t="array" ref="B48:AE48">_xlfn.XLOOKUP($A48,Instagram_Usage_Lifestyle_Mini_!$A:$A,Instagram_Usage_Lifestyle_Mini_!$AC:$BF)</f>
        <v>158</v>
      </c>
      <c r="C48">
        <v>5</v>
      </c>
      <c r="D48">
        <v>3</v>
      </c>
      <c r="E48">
        <v>144</v>
      </c>
      <c r="F48">
        <v>95</v>
      </c>
      <c r="G48">
        <v>104</v>
      </c>
      <c r="H48">
        <v>24</v>
      </c>
      <c r="I48">
        <v>25</v>
      </c>
      <c r="J48">
        <v>28</v>
      </c>
      <c r="K48">
        <v>19</v>
      </c>
      <c r="L48">
        <v>2</v>
      </c>
      <c r="M48">
        <v>77</v>
      </c>
      <c r="N48">
        <v>43</v>
      </c>
      <c r="O48">
        <v>35</v>
      </c>
      <c r="P48">
        <v>62</v>
      </c>
      <c r="Q48">
        <v>890</v>
      </c>
      <c r="R48">
        <v>1354</v>
      </c>
      <c r="S48" t="str">
        <v>No</v>
      </c>
      <c r="T48">
        <v>0.35</v>
      </c>
      <c r="U48">
        <v>2013</v>
      </c>
      <c r="V48">
        <v>45936</v>
      </c>
      <c r="W48">
        <v>31.6</v>
      </c>
      <c r="X48" t="str">
        <v>Videos</v>
      </c>
      <c r="Y48" t="str">
        <v>Other</v>
      </c>
      <c r="Z48" t="str">
        <v>Friends_only</v>
      </c>
      <c r="AA48" t="str">
        <v>Yes</v>
      </c>
      <c r="AB48" t="str">
        <v>Yes</v>
      </c>
      <c r="AC48">
        <v>1</v>
      </c>
      <c r="AD48" t="str">
        <v>Free</v>
      </c>
      <c r="AE48">
        <v>1.01</v>
      </c>
      <c r="AF48" s="14">
        <f t="shared" si="0"/>
        <v>0.65731166912850814</v>
      </c>
    </row>
    <row r="49" spans="1:32" x14ac:dyDescent="0.2">
      <c r="A49">
        <v>48</v>
      </c>
      <c r="B49" cm="1">
        <f t="array" ref="B49:AE49">_xlfn.XLOOKUP($A49,Instagram_Usage_Lifestyle_Mini_!$A:$A,Instagram_Usage_Lifestyle_Mini_!$AC:$BF)</f>
        <v>27</v>
      </c>
      <c r="C49">
        <v>1</v>
      </c>
      <c r="D49">
        <v>11</v>
      </c>
      <c r="E49">
        <v>125</v>
      </c>
      <c r="F49">
        <v>32</v>
      </c>
      <c r="G49">
        <v>39</v>
      </c>
      <c r="H49">
        <v>9</v>
      </c>
      <c r="I49">
        <v>19</v>
      </c>
      <c r="J49">
        <v>8</v>
      </c>
      <c r="K49">
        <v>6</v>
      </c>
      <c r="L49">
        <v>0</v>
      </c>
      <c r="M49">
        <v>13</v>
      </c>
      <c r="N49">
        <v>3</v>
      </c>
      <c r="O49">
        <v>3</v>
      </c>
      <c r="P49">
        <v>9</v>
      </c>
      <c r="Q49">
        <v>1200</v>
      </c>
      <c r="R49">
        <v>2272</v>
      </c>
      <c r="S49" t="str">
        <v>No</v>
      </c>
      <c r="T49">
        <v>0.26</v>
      </c>
      <c r="U49">
        <v>2021</v>
      </c>
      <c r="V49">
        <v>45660</v>
      </c>
      <c r="W49">
        <v>27</v>
      </c>
      <c r="X49" t="str">
        <v>Mixed</v>
      </c>
      <c r="Y49" t="str">
        <v>Music</v>
      </c>
      <c r="Z49" t="str">
        <v>Private</v>
      </c>
      <c r="AA49" t="str">
        <v>Yes</v>
      </c>
      <c r="AB49" t="str">
        <v>Yes</v>
      </c>
      <c r="AC49">
        <v>2</v>
      </c>
      <c r="AD49" t="str">
        <v>Free</v>
      </c>
      <c r="AE49">
        <v>3.21</v>
      </c>
      <c r="AF49" s="14">
        <f t="shared" si="0"/>
        <v>0.528169014084507</v>
      </c>
    </row>
    <row r="50" spans="1:32" x14ac:dyDescent="0.2">
      <c r="A50">
        <v>49</v>
      </c>
      <c r="B50" cm="1">
        <f t="array" ref="B50:AE50">_xlfn.XLOOKUP($A50,Instagram_Usage_Lifestyle_Mini_!$A:$A,Instagram_Usage_Lifestyle_Mini_!$AC:$BF)</f>
        <v>225</v>
      </c>
      <c r="C50">
        <v>15</v>
      </c>
      <c r="D50">
        <v>5</v>
      </c>
      <c r="E50">
        <v>179</v>
      </c>
      <c r="F50">
        <v>113</v>
      </c>
      <c r="G50">
        <v>162</v>
      </c>
      <c r="H50">
        <v>34</v>
      </c>
      <c r="I50">
        <v>27</v>
      </c>
      <c r="J50">
        <v>36</v>
      </c>
      <c r="K50">
        <v>26</v>
      </c>
      <c r="L50">
        <v>6</v>
      </c>
      <c r="M50">
        <v>102</v>
      </c>
      <c r="N50">
        <v>63</v>
      </c>
      <c r="O50">
        <v>52</v>
      </c>
      <c r="P50">
        <v>85</v>
      </c>
      <c r="Q50">
        <v>356</v>
      </c>
      <c r="R50">
        <v>406</v>
      </c>
      <c r="S50" t="str">
        <v>No</v>
      </c>
      <c r="T50">
        <v>0.18</v>
      </c>
      <c r="U50">
        <v>2011</v>
      </c>
      <c r="V50">
        <v>45808</v>
      </c>
      <c r="W50">
        <v>15</v>
      </c>
      <c r="X50" t="str">
        <v>Videos</v>
      </c>
      <c r="Y50" t="str">
        <v>Food</v>
      </c>
      <c r="Z50" t="str">
        <v>Public</v>
      </c>
      <c r="AA50" t="str">
        <v>Yes</v>
      </c>
      <c r="AB50" t="str">
        <v>Yes</v>
      </c>
      <c r="AC50">
        <v>4</v>
      </c>
      <c r="AD50" t="str">
        <v>Free</v>
      </c>
      <c r="AE50">
        <v>1.08</v>
      </c>
      <c r="AF50" s="14">
        <f t="shared" si="0"/>
        <v>0.87684729064039413</v>
      </c>
    </row>
    <row r="51" spans="1:32" x14ac:dyDescent="0.2">
      <c r="A51">
        <v>50</v>
      </c>
      <c r="B51" cm="1">
        <f t="array" ref="B51:AE51">_xlfn.XLOOKUP($A51,Instagram_Usage_Lifestyle_Mini_!$A:$A,Instagram_Usage_Lifestyle_Mini_!$AC:$BF)</f>
        <v>405</v>
      </c>
      <c r="C51">
        <v>13</v>
      </c>
      <c r="D51">
        <v>12</v>
      </c>
      <c r="E51">
        <v>300</v>
      </c>
      <c r="F51">
        <v>150</v>
      </c>
      <c r="G51">
        <v>222</v>
      </c>
      <c r="H51">
        <v>61</v>
      </c>
      <c r="I51">
        <v>63</v>
      </c>
      <c r="J51">
        <v>49</v>
      </c>
      <c r="K51">
        <v>38</v>
      </c>
      <c r="L51">
        <v>7</v>
      </c>
      <c r="M51">
        <v>243</v>
      </c>
      <c r="N51">
        <v>104</v>
      </c>
      <c r="O51">
        <v>72</v>
      </c>
      <c r="P51">
        <v>123</v>
      </c>
      <c r="Q51">
        <v>1404</v>
      </c>
      <c r="R51">
        <v>630</v>
      </c>
      <c r="S51" t="str">
        <v>No</v>
      </c>
      <c r="T51">
        <v>0.8</v>
      </c>
      <c r="U51">
        <v>2020</v>
      </c>
      <c r="V51">
        <v>45810</v>
      </c>
      <c r="W51">
        <v>31.2</v>
      </c>
      <c r="X51" t="str">
        <v>Reels</v>
      </c>
      <c r="Y51" t="str">
        <v>Music</v>
      </c>
      <c r="Z51" t="str">
        <v>Public</v>
      </c>
      <c r="AA51" t="str">
        <v>Yes</v>
      </c>
      <c r="AB51" t="str">
        <v>No</v>
      </c>
      <c r="AC51">
        <v>1</v>
      </c>
      <c r="AD51" t="str">
        <v>Free</v>
      </c>
      <c r="AE51">
        <v>0.94</v>
      </c>
      <c r="AF51" s="14">
        <f t="shared" si="0"/>
        <v>2.2285714285714286</v>
      </c>
    </row>
    <row r="52" spans="1:32" x14ac:dyDescent="0.2">
      <c r="A52">
        <v>51</v>
      </c>
      <c r="B52" cm="1">
        <f t="array" ref="B52:AE52">_xlfn.XLOOKUP($A52,Instagram_Usage_Lifestyle_Mini_!$A:$A,Instagram_Usage_Lifestyle_Mini_!$AC:$BF)</f>
        <v>239</v>
      </c>
      <c r="C52">
        <v>8</v>
      </c>
      <c r="D52">
        <v>14</v>
      </c>
      <c r="E52">
        <v>273</v>
      </c>
      <c r="F52">
        <v>116</v>
      </c>
      <c r="G52">
        <v>141</v>
      </c>
      <c r="H52">
        <v>44</v>
      </c>
      <c r="I52">
        <v>42</v>
      </c>
      <c r="J52">
        <v>33</v>
      </c>
      <c r="K52">
        <v>16</v>
      </c>
      <c r="L52">
        <v>8</v>
      </c>
      <c r="M52">
        <v>121</v>
      </c>
      <c r="N52">
        <v>25</v>
      </c>
      <c r="O52">
        <v>29</v>
      </c>
      <c r="P52">
        <v>71</v>
      </c>
      <c r="Q52">
        <v>4237</v>
      </c>
      <c r="R52">
        <v>4438</v>
      </c>
      <c r="S52" t="str">
        <v>Yes</v>
      </c>
      <c r="T52">
        <v>0.82</v>
      </c>
      <c r="U52">
        <v>2018</v>
      </c>
      <c r="V52">
        <v>45784</v>
      </c>
      <c r="W52">
        <v>29.9</v>
      </c>
      <c r="X52" t="str">
        <v>Reels</v>
      </c>
      <c r="Y52" t="str">
        <v>Travel</v>
      </c>
      <c r="Z52" t="str">
        <v>Public</v>
      </c>
      <c r="AA52" t="str">
        <v>Yes</v>
      </c>
      <c r="AB52" t="str">
        <v>Yes</v>
      </c>
      <c r="AC52">
        <v>0</v>
      </c>
      <c r="AD52" t="str">
        <v>Free</v>
      </c>
      <c r="AE52">
        <v>1.1299999999999999</v>
      </c>
      <c r="AF52" s="14">
        <f t="shared" si="0"/>
        <v>0.95470932852636325</v>
      </c>
    </row>
    <row r="53" spans="1:32" x14ac:dyDescent="0.2">
      <c r="A53">
        <v>52</v>
      </c>
      <c r="B53" cm="1">
        <f t="array" ref="B53:AE53">_xlfn.XLOOKUP($A53,Instagram_Usage_Lifestyle_Mini_!$A:$A,Instagram_Usage_Lifestyle_Mini_!$AC:$BF)</f>
        <v>296</v>
      </c>
      <c r="C53">
        <v>18</v>
      </c>
      <c r="D53">
        <v>7</v>
      </c>
      <c r="E53">
        <v>237</v>
      </c>
      <c r="F53">
        <v>134</v>
      </c>
      <c r="G53">
        <v>185</v>
      </c>
      <c r="H53">
        <v>40</v>
      </c>
      <c r="I53">
        <v>38</v>
      </c>
      <c r="J53">
        <v>43</v>
      </c>
      <c r="K53">
        <v>24</v>
      </c>
      <c r="L53">
        <v>13</v>
      </c>
      <c r="M53">
        <v>174</v>
      </c>
      <c r="N53">
        <v>84</v>
      </c>
      <c r="O53">
        <v>54</v>
      </c>
      <c r="P53">
        <v>114</v>
      </c>
      <c r="Q53">
        <v>408</v>
      </c>
      <c r="R53">
        <v>513</v>
      </c>
      <c r="S53" t="str">
        <v>Yes</v>
      </c>
      <c r="T53">
        <v>0.95</v>
      </c>
      <c r="U53">
        <v>2015</v>
      </c>
      <c r="V53">
        <v>45728</v>
      </c>
      <c r="W53">
        <v>16.399999999999999</v>
      </c>
      <c r="X53" t="str">
        <v>Mixed</v>
      </c>
      <c r="Y53" t="str">
        <v>Other</v>
      </c>
      <c r="Z53" t="str">
        <v>Public</v>
      </c>
      <c r="AA53" t="str">
        <v>Yes</v>
      </c>
      <c r="AB53" t="str">
        <v>No</v>
      </c>
      <c r="AC53">
        <v>1</v>
      </c>
      <c r="AD53" t="str">
        <v>Free</v>
      </c>
      <c r="AE53">
        <v>0.96</v>
      </c>
      <c r="AF53" s="14">
        <f t="shared" si="0"/>
        <v>0.79532163742690054</v>
      </c>
    </row>
    <row r="54" spans="1:32" x14ac:dyDescent="0.2">
      <c r="A54">
        <v>53</v>
      </c>
      <c r="B54" cm="1">
        <f t="array" ref="B54:AE54">_xlfn.XLOOKUP($A54,Instagram_Usage_Lifestyle_Mini_!$A:$A,Instagram_Usage_Lifestyle_Mini_!$AC:$BF)</f>
        <v>323</v>
      </c>
      <c r="C54">
        <v>17</v>
      </c>
      <c r="D54">
        <v>5</v>
      </c>
      <c r="E54">
        <v>300</v>
      </c>
      <c r="F54">
        <v>150</v>
      </c>
      <c r="G54">
        <v>188</v>
      </c>
      <c r="H54">
        <v>56</v>
      </c>
      <c r="I54">
        <v>47</v>
      </c>
      <c r="J54">
        <v>41</v>
      </c>
      <c r="K54">
        <v>22</v>
      </c>
      <c r="L54">
        <v>6</v>
      </c>
      <c r="M54">
        <v>148</v>
      </c>
      <c r="N54">
        <v>48</v>
      </c>
      <c r="O54">
        <v>43</v>
      </c>
      <c r="P54">
        <v>123</v>
      </c>
      <c r="Q54">
        <v>278</v>
      </c>
      <c r="R54">
        <v>205</v>
      </c>
      <c r="S54" t="str">
        <v>No</v>
      </c>
      <c r="T54">
        <v>0.68</v>
      </c>
      <c r="U54">
        <v>2018</v>
      </c>
      <c r="V54">
        <v>45823</v>
      </c>
      <c r="W54">
        <v>19</v>
      </c>
      <c r="X54" t="str">
        <v>Reels</v>
      </c>
      <c r="Y54" t="str">
        <v>Travel</v>
      </c>
      <c r="Z54" t="str">
        <v>Friends_only</v>
      </c>
      <c r="AA54" t="str">
        <v>Yes</v>
      </c>
      <c r="AB54" t="str">
        <v>No</v>
      </c>
      <c r="AC54">
        <v>3</v>
      </c>
      <c r="AD54" t="str">
        <v>Free</v>
      </c>
      <c r="AE54">
        <v>0.97</v>
      </c>
      <c r="AF54" s="14">
        <f t="shared" si="0"/>
        <v>1.3560975609756099</v>
      </c>
    </row>
    <row r="55" spans="1:32" x14ac:dyDescent="0.2">
      <c r="A55">
        <v>54</v>
      </c>
      <c r="B55" cm="1">
        <f t="array" ref="B55:AE55">_xlfn.XLOOKUP($A55,Instagram_Usage_Lifestyle_Mini_!$A:$A,Instagram_Usage_Lifestyle_Mini_!$AC:$BF)</f>
        <v>207</v>
      </c>
      <c r="C55">
        <v>10</v>
      </c>
      <c r="D55">
        <v>7</v>
      </c>
      <c r="E55">
        <v>149</v>
      </c>
      <c r="F55">
        <v>103</v>
      </c>
      <c r="G55">
        <v>114</v>
      </c>
      <c r="H55">
        <v>43</v>
      </c>
      <c r="I55">
        <v>31</v>
      </c>
      <c r="J55">
        <v>40</v>
      </c>
      <c r="K55">
        <v>15</v>
      </c>
      <c r="L55">
        <v>6</v>
      </c>
      <c r="M55">
        <v>97</v>
      </c>
      <c r="N55">
        <v>39</v>
      </c>
      <c r="O55">
        <v>45</v>
      </c>
      <c r="P55">
        <v>54</v>
      </c>
      <c r="Q55">
        <v>442</v>
      </c>
      <c r="R55">
        <v>662</v>
      </c>
      <c r="S55" t="str">
        <v>No</v>
      </c>
      <c r="T55">
        <v>0.09</v>
      </c>
      <c r="U55">
        <v>2021</v>
      </c>
      <c r="V55">
        <v>45782</v>
      </c>
      <c r="W55">
        <v>20.7</v>
      </c>
      <c r="X55" t="str">
        <v>Live</v>
      </c>
      <c r="Y55" t="str">
        <v>Food</v>
      </c>
      <c r="Z55" t="str">
        <v>Private</v>
      </c>
      <c r="AA55" t="str">
        <v>Yes</v>
      </c>
      <c r="AB55" t="str">
        <v>Yes</v>
      </c>
      <c r="AC55">
        <v>0</v>
      </c>
      <c r="AD55" t="str">
        <v>Free</v>
      </c>
      <c r="AE55">
        <v>1.06</v>
      </c>
      <c r="AF55" s="14">
        <f t="shared" si="0"/>
        <v>0.66767371601208458</v>
      </c>
    </row>
    <row r="56" spans="1:32" x14ac:dyDescent="0.2">
      <c r="A56">
        <v>55</v>
      </c>
      <c r="B56" cm="1">
        <f t="array" ref="B56:AE56">_xlfn.XLOOKUP($A56,Instagram_Usage_Lifestyle_Mini_!$A:$A,Instagram_Usage_Lifestyle_Mini_!$AC:$BF)</f>
        <v>329</v>
      </c>
      <c r="C56">
        <v>16</v>
      </c>
      <c r="D56">
        <v>8</v>
      </c>
      <c r="E56">
        <v>300</v>
      </c>
      <c r="F56">
        <v>150</v>
      </c>
      <c r="G56">
        <v>164</v>
      </c>
      <c r="H56">
        <v>53</v>
      </c>
      <c r="I56">
        <v>37</v>
      </c>
      <c r="J56">
        <v>61</v>
      </c>
      <c r="K56">
        <v>44</v>
      </c>
      <c r="L56">
        <v>6</v>
      </c>
      <c r="M56">
        <v>143</v>
      </c>
      <c r="N56">
        <v>49</v>
      </c>
      <c r="O56">
        <v>66</v>
      </c>
      <c r="P56">
        <v>116</v>
      </c>
      <c r="Q56">
        <v>11441</v>
      </c>
      <c r="R56">
        <v>9950</v>
      </c>
      <c r="S56" t="str">
        <v>No</v>
      </c>
      <c r="T56">
        <v>0.95</v>
      </c>
      <c r="U56">
        <v>2012</v>
      </c>
      <c r="V56">
        <v>45686</v>
      </c>
      <c r="W56">
        <v>20.6</v>
      </c>
      <c r="X56" t="str">
        <v>Videos</v>
      </c>
      <c r="Y56" t="str">
        <v>Tech</v>
      </c>
      <c r="Z56" t="str">
        <v>Private</v>
      </c>
      <c r="AA56" t="str">
        <v>Yes</v>
      </c>
      <c r="AB56" t="str">
        <v>Yes</v>
      </c>
      <c r="AC56">
        <v>1</v>
      </c>
      <c r="AD56" t="str">
        <v>Free</v>
      </c>
      <c r="AE56">
        <v>0.89</v>
      </c>
      <c r="AF56" s="14">
        <f t="shared" si="0"/>
        <v>1.1498492462311558</v>
      </c>
    </row>
    <row r="57" spans="1:32" x14ac:dyDescent="0.2">
      <c r="A57">
        <v>56</v>
      </c>
      <c r="B57" cm="1">
        <f t="array" ref="B57:AE57">_xlfn.XLOOKUP($A57,Instagram_Usage_Lifestyle_Mini_!$A:$A,Instagram_Usage_Lifestyle_Mini_!$AC:$BF)</f>
        <v>217</v>
      </c>
      <c r="C57">
        <v>9</v>
      </c>
      <c r="D57">
        <v>6</v>
      </c>
      <c r="E57">
        <v>160</v>
      </c>
      <c r="F57">
        <v>117</v>
      </c>
      <c r="G57">
        <v>115</v>
      </c>
      <c r="H57">
        <v>39</v>
      </c>
      <c r="I57">
        <v>25</v>
      </c>
      <c r="J57">
        <v>37</v>
      </c>
      <c r="K57">
        <v>19</v>
      </c>
      <c r="L57">
        <v>9</v>
      </c>
      <c r="M57">
        <v>98</v>
      </c>
      <c r="N57">
        <v>36</v>
      </c>
      <c r="O57">
        <v>35</v>
      </c>
      <c r="P57">
        <v>46</v>
      </c>
      <c r="Q57">
        <v>146</v>
      </c>
      <c r="R57">
        <v>177</v>
      </c>
      <c r="S57" t="str">
        <v>No</v>
      </c>
      <c r="T57">
        <v>0.37</v>
      </c>
      <c r="U57">
        <v>2019</v>
      </c>
      <c r="V57">
        <v>46024</v>
      </c>
      <c r="W57">
        <v>24.1</v>
      </c>
      <c r="X57" t="str">
        <v>Mixed</v>
      </c>
      <c r="Y57" t="str">
        <v>Art</v>
      </c>
      <c r="Z57" t="str">
        <v>Friends_only</v>
      </c>
      <c r="AA57" t="str">
        <v>Yes</v>
      </c>
      <c r="AB57" t="str">
        <v>No</v>
      </c>
      <c r="AC57">
        <v>1</v>
      </c>
      <c r="AD57" t="str">
        <v>Free</v>
      </c>
      <c r="AE57">
        <v>0.97</v>
      </c>
      <c r="AF57" s="14">
        <f t="shared" si="0"/>
        <v>0.82485875706214684</v>
      </c>
    </row>
    <row r="58" spans="1:32" x14ac:dyDescent="0.2">
      <c r="A58">
        <v>57</v>
      </c>
      <c r="B58" cm="1">
        <f t="array" ref="B58:AE58">_xlfn.XLOOKUP($A58,Instagram_Usage_Lifestyle_Mini_!$A:$A,Instagram_Usage_Lifestyle_Mini_!$AC:$BF)</f>
        <v>123</v>
      </c>
      <c r="C58">
        <v>5</v>
      </c>
      <c r="D58">
        <v>3</v>
      </c>
      <c r="E58">
        <v>126</v>
      </c>
      <c r="F58">
        <v>79</v>
      </c>
      <c r="G58">
        <v>96</v>
      </c>
      <c r="H58">
        <v>26</v>
      </c>
      <c r="I58">
        <v>21</v>
      </c>
      <c r="J58">
        <v>22</v>
      </c>
      <c r="K58">
        <v>10</v>
      </c>
      <c r="L58">
        <v>0</v>
      </c>
      <c r="M58">
        <v>50</v>
      </c>
      <c r="N58">
        <v>32</v>
      </c>
      <c r="O58">
        <v>29</v>
      </c>
      <c r="P58">
        <v>38</v>
      </c>
      <c r="Q58">
        <v>526</v>
      </c>
      <c r="R58">
        <v>617</v>
      </c>
      <c r="S58" t="str">
        <v>Yes</v>
      </c>
      <c r="T58">
        <v>0.98</v>
      </c>
      <c r="U58">
        <v>2018</v>
      </c>
      <c r="V58">
        <v>45842</v>
      </c>
      <c r="W58">
        <v>24.6</v>
      </c>
      <c r="X58" t="str">
        <v>Live</v>
      </c>
      <c r="Y58" t="str">
        <v>Tech</v>
      </c>
      <c r="Z58" t="str">
        <v>Friends_only</v>
      </c>
      <c r="AA58" t="str">
        <v>Yes</v>
      </c>
      <c r="AB58" t="str">
        <v>No</v>
      </c>
      <c r="AC58">
        <v>3</v>
      </c>
      <c r="AD58" t="str">
        <v>Free</v>
      </c>
      <c r="AE58">
        <v>1.27</v>
      </c>
      <c r="AF58" s="14">
        <f t="shared" si="0"/>
        <v>0.85251215559157212</v>
      </c>
    </row>
    <row r="59" spans="1:32" x14ac:dyDescent="0.2">
      <c r="A59">
        <v>58</v>
      </c>
      <c r="B59" cm="1">
        <f t="array" ref="B59:AE59">_xlfn.XLOOKUP($A59,Instagram_Usage_Lifestyle_Mini_!$A:$A,Instagram_Usage_Lifestyle_Mini_!$AC:$BF)</f>
        <v>28</v>
      </c>
      <c r="C59">
        <v>1</v>
      </c>
      <c r="D59">
        <v>7</v>
      </c>
      <c r="E59">
        <v>141</v>
      </c>
      <c r="F59">
        <v>44</v>
      </c>
      <c r="G59">
        <v>29</v>
      </c>
      <c r="H59">
        <v>10</v>
      </c>
      <c r="I59">
        <v>14</v>
      </c>
      <c r="J59">
        <v>10</v>
      </c>
      <c r="K59">
        <v>3</v>
      </c>
      <c r="L59">
        <v>3</v>
      </c>
      <c r="M59">
        <v>12</v>
      </c>
      <c r="N59">
        <v>6</v>
      </c>
      <c r="O59">
        <v>5</v>
      </c>
      <c r="P59">
        <v>7</v>
      </c>
      <c r="Q59">
        <v>561</v>
      </c>
      <c r="R59">
        <v>431</v>
      </c>
      <c r="S59" t="str">
        <v>Yes</v>
      </c>
      <c r="T59">
        <v>0.81</v>
      </c>
      <c r="U59">
        <v>2022</v>
      </c>
      <c r="V59">
        <v>45738</v>
      </c>
      <c r="W59">
        <v>28</v>
      </c>
      <c r="X59" t="str">
        <v>Reels</v>
      </c>
      <c r="Y59" t="str">
        <v>Art</v>
      </c>
      <c r="Z59" t="str">
        <v>Public</v>
      </c>
      <c r="AA59" t="str">
        <v>No</v>
      </c>
      <c r="AB59" t="str">
        <v>Yes</v>
      </c>
      <c r="AC59">
        <v>4</v>
      </c>
      <c r="AD59" t="str">
        <v>Free</v>
      </c>
      <c r="AE59">
        <v>2.41</v>
      </c>
      <c r="AF59" s="14">
        <f t="shared" si="0"/>
        <v>1.3016241299303943</v>
      </c>
    </row>
    <row r="60" spans="1:32" x14ac:dyDescent="0.2">
      <c r="A60">
        <v>59</v>
      </c>
      <c r="B60" cm="1">
        <f t="array" ref="B60:AE60">_xlfn.XLOOKUP($A60,Instagram_Usage_Lifestyle_Mini_!$A:$A,Instagram_Usage_Lifestyle_Mini_!$AC:$BF)</f>
        <v>251</v>
      </c>
      <c r="C60">
        <v>18</v>
      </c>
      <c r="D60">
        <v>4</v>
      </c>
      <c r="E60">
        <v>179</v>
      </c>
      <c r="F60">
        <v>121</v>
      </c>
      <c r="G60">
        <v>137</v>
      </c>
      <c r="H60">
        <v>43</v>
      </c>
      <c r="I60">
        <v>37</v>
      </c>
      <c r="J60">
        <v>26</v>
      </c>
      <c r="K60">
        <v>26</v>
      </c>
      <c r="L60">
        <v>7</v>
      </c>
      <c r="M60">
        <v>102</v>
      </c>
      <c r="N60">
        <v>64</v>
      </c>
      <c r="O60">
        <v>38</v>
      </c>
      <c r="P60">
        <v>79</v>
      </c>
      <c r="Q60">
        <v>5588</v>
      </c>
      <c r="R60">
        <v>10000</v>
      </c>
      <c r="S60" t="str">
        <v>Yes</v>
      </c>
      <c r="T60">
        <v>0.27</v>
      </c>
      <c r="U60">
        <v>2011</v>
      </c>
      <c r="V60">
        <v>46018</v>
      </c>
      <c r="W60">
        <v>13.9</v>
      </c>
      <c r="X60" t="str">
        <v>Stories</v>
      </c>
      <c r="Y60" t="str">
        <v>Music</v>
      </c>
      <c r="Z60" t="str">
        <v>Private</v>
      </c>
      <c r="AA60" t="str">
        <v>No</v>
      </c>
      <c r="AB60" t="str">
        <v>Yes</v>
      </c>
      <c r="AC60">
        <v>2</v>
      </c>
      <c r="AD60" t="str">
        <v>Free</v>
      </c>
      <c r="AE60">
        <v>0.93</v>
      </c>
      <c r="AF60" s="14">
        <f t="shared" si="0"/>
        <v>0.55879999999999996</v>
      </c>
    </row>
    <row r="61" spans="1:32" x14ac:dyDescent="0.2">
      <c r="A61">
        <v>60</v>
      </c>
      <c r="B61" cm="1">
        <f t="array" ref="B61:AE61">_xlfn.XLOOKUP($A61,Instagram_Usage_Lifestyle_Mini_!$A:$A,Instagram_Usage_Lifestyle_Mini_!$AC:$BF)</f>
        <v>94</v>
      </c>
      <c r="C61">
        <v>11</v>
      </c>
      <c r="D61">
        <v>4</v>
      </c>
      <c r="E61">
        <v>92</v>
      </c>
      <c r="F61">
        <v>60</v>
      </c>
      <c r="G61">
        <v>67</v>
      </c>
      <c r="H61">
        <v>21</v>
      </c>
      <c r="I61">
        <v>21</v>
      </c>
      <c r="J61">
        <v>17</v>
      </c>
      <c r="K61">
        <v>15</v>
      </c>
      <c r="L61">
        <v>3</v>
      </c>
      <c r="M61">
        <v>44</v>
      </c>
      <c r="N61">
        <v>23</v>
      </c>
      <c r="O61">
        <v>21</v>
      </c>
      <c r="P61">
        <v>27</v>
      </c>
      <c r="Q61">
        <v>1680</v>
      </c>
      <c r="R61">
        <v>2399</v>
      </c>
      <c r="S61" t="str">
        <v>Yes</v>
      </c>
      <c r="T61">
        <v>0.02</v>
      </c>
      <c r="U61">
        <v>2025</v>
      </c>
      <c r="V61">
        <v>45856</v>
      </c>
      <c r="W61">
        <v>8.5</v>
      </c>
      <c r="X61" t="str">
        <v>Stories</v>
      </c>
      <c r="Y61" t="str">
        <v>Other</v>
      </c>
      <c r="Z61" t="str">
        <v>Public</v>
      </c>
      <c r="AA61" t="str">
        <v>Yes</v>
      </c>
      <c r="AB61" t="str">
        <v>No</v>
      </c>
      <c r="AC61">
        <v>0</v>
      </c>
      <c r="AD61" t="str">
        <v>Free</v>
      </c>
      <c r="AE61">
        <v>1.27</v>
      </c>
      <c r="AF61" s="14">
        <f t="shared" si="0"/>
        <v>0.70029178824510208</v>
      </c>
    </row>
    <row r="62" spans="1:32" x14ac:dyDescent="0.2">
      <c r="A62">
        <v>61</v>
      </c>
      <c r="B62" cm="1">
        <f t="array" ref="B62:AE62">_xlfn.XLOOKUP($A62,Instagram_Usage_Lifestyle_Mini_!$A:$A,Instagram_Usage_Lifestyle_Mini_!$AC:$BF)</f>
        <v>195</v>
      </c>
      <c r="C62">
        <v>23</v>
      </c>
      <c r="D62">
        <v>4</v>
      </c>
      <c r="E62">
        <v>169</v>
      </c>
      <c r="F62">
        <v>99</v>
      </c>
      <c r="G62">
        <v>107</v>
      </c>
      <c r="H62">
        <v>35</v>
      </c>
      <c r="I62">
        <v>35</v>
      </c>
      <c r="J62">
        <v>29</v>
      </c>
      <c r="K62">
        <v>19</v>
      </c>
      <c r="L62">
        <v>8</v>
      </c>
      <c r="M62">
        <v>96</v>
      </c>
      <c r="N62">
        <v>29</v>
      </c>
      <c r="O62">
        <v>29</v>
      </c>
      <c r="P62">
        <v>49</v>
      </c>
      <c r="Q62">
        <v>1011</v>
      </c>
      <c r="R62">
        <v>2419</v>
      </c>
      <c r="S62" t="str">
        <v>No</v>
      </c>
      <c r="T62">
        <v>0.56000000000000005</v>
      </c>
      <c r="U62">
        <v>2015</v>
      </c>
      <c r="V62">
        <v>45913</v>
      </c>
      <c r="W62">
        <v>8.5</v>
      </c>
      <c r="X62" t="str">
        <v>Reels</v>
      </c>
      <c r="Y62" t="str">
        <v>Tech</v>
      </c>
      <c r="Z62" t="str">
        <v>Private</v>
      </c>
      <c r="AA62" t="str">
        <v>Yes</v>
      </c>
      <c r="AB62" t="str">
        <v>Yes</v>
      </c>
      <c r="AC62">
        <v>3</v>
      </c>
      <c r="AD62" t="str">
        <v>Free</v>
      </c>
      <c r="AE62">
        <v>0.96</v>
      </c>
      <c r="AF62" s="14">
        <f t="shared" si="0"/>
        <v>0.41794129805704838</v>
      </c>
    </row>
    <row r="63" spans="1:32" x14ac:dyDescent="0.2">
      <c r="A63">
        <v>62</v>
      </c>
      <c r="B63" cm="1">
        <f t="array" ref="B63:AE63">_xlfn.XLOOKUP($A63,Instagram_Usage_Lifestyle_Mini_!$A:$A,Instagram_Usage_Lifestyle_Mini_!$AC:$BF)</f>
        <v>273</v>
      </c>
      <c r="C63">
        <v>13</v>
      </c>
      <c r="D63">
        <v>7</v>
      </c>
      <c r="E63">
        <v>277</v>
      </c>
      <c r="F63">
        <v>135</v>
      </c>
      <c r="G63">
        <v>169</v>
      </c>
      <c r="H63">
        <v>49</v>
      </c>
      <c r="I63">
        <v>29</v>
      </c>
      <c r="J63">
        <v>38</v>
      </c>
      <c r="K63">
        <v>20</v>
      </c>
      <c r="L63">
        <v>5</v>
      </c>
      <c r="M63">
        <v>161</v>
      </c>
      <c r="N63">
        <v>42</v>
      </c>
      <c r="O63">
        <v>38</v>
      </c>
      <c r="P63">
        <v>88</v>
      </c>
      <c r="Q63">
        <v>162</v>
      </c>
      <c r="R63">
        <v>232</v>
      </c>
      <c r="S63" t="str">
        <v>No</v>
      </c>
      <c r="T63">
        <v>0.77</v>
      </c>
      <c r="U63">
        <v>2020</v>
      </c>
      <c r="V63">
        <v>45926</v>
      </c>
      <c r="W63">
        <v>21</v>
      </c>
      <c r="X63" t="str">
        <v>Photos</v>
      </c>
      <c r="Y63" t="str">
        <v>Tech</v>
      </c>
      <c r="Z63" t="str">
        <v>Public</v>
      </c>
      <c r="AA63" t="str">
        <v>Yes</v>
      </c>
      <c r="AB63" t="str">
        <v>No</v>
      </c>
      <c r="AC63">
        <v>1</v>
      </c>
      <c r="AD63" t="str">
        <v>Free</v>
      </c>
      <c r="AE63">
        <v>1.05</v>
      </c>
      <c r="AF63" s="14">
        <f t="shared" si="0"/>
        <v>0.69827586206896552</v>
      </c>
    </row>
    <row r="64" spans="1:32" x14ac:dyDescent="0.2">
      <c r="A64">
        <v>63</v>
      </c>
      <c r="B64" cm="1">
        <f t="array" ref="B64:AE64">_xlfn.XLOOKUP($A64,Instagram_Usage_Lifestyle_Mini_!$A:$A,Instagram_Usage_Lifestyle_Mini_!$AC:$BF)</f>
        <v>258</v>
      </c>
      <c r="C64">
        <v>13</v>
      </c>
      <c r="D64">
        <v>2</v>
      </c>
      <c r="E64">
        <v>202</v>
      </c>
      <c r="F64">
        <v>135</v>
      </c>
      <c r="G64">
        <v>157</v>
      </c>
      <c r="H64">
        <v>46</v>
      </c>
      <c r="I64">
        <v>27</v>
      </c>
      <c r="J64">
        <v>22</v>
      </c>
      <c r="K64">
        <v>26</v>
      </c>
      <c r="L64">
        <v>7</v>
      </c>
      <c r="M64">
        <v>118</v>
      </c>
      <c r="N64">
        <v>58</v>
      </c>
      <c r="O64">
        <v>52</v>
      </c>
      <c r="P64">
        <v>71</v>
      </c>
      <c r="Q64">
        <v>1427</v>
      </c>
      <c r="R64">
        <v>1707</v>
      </c>
      <c r="S64" t="str">
        <v>No</v>
      </c>
      <c r="T64">
        <v>0.91</v>
      </c>
      <c r="U64">
        <v>2014</v>
      </c>
      <c r="V64">
        <v>45787</v>
      </c>
      <c r="W64">
        <v>19.8</v>
      </c>
      <c r="X64" t="str">
        <v>Live</v>
      </c>
      <c r="Y64" t="str">
        <v>Music</v>
      </c>
      <c r="Z64" t="str">
        <v>Public</v>
      </c>
      <c r="AA64" t="str">
        <v>Yes</v>
      </c>
      <c r="AB64" t="str">
        <v>No</v>
      </c>
      <c r="AC64">
        <v>0</v>
      </c>
      <c r="AD64" t="str">
        <v>Business</v>
      </c>
      <c r="AE64">
        <v>0.98</v>
      </c>
      <c r="AF64" s="14">
        <f t="shared" si="0"/>
        <v>0.83596953719976563</v>
      </c>
    </row>
    <row r="65" spans="1:32" x14ac:dyDescent="0.2">
      <c r="A65">
        <v>64</v>
      </c>
      <c r="B65" cm="1">
        <f t="array" ref="B65:AE65">_xlfn.XLOOKUP($A65,Instagram_Usage_Lifestyle_Mini_!$A:$A,Instagram_Usage_Lifestyle_Mini_!$AC:$BF)</f>
        <v>147</v>
      </c>
      <c r="C65">
        <v>8</v>
      </c>
      <c r="D65">
        <v>5</v>
      </c>
      <c r="E65">
        <v>208</v>
      </c>
      <c r="F65">
        <v>100</v>
      </c>
      <c r="G65">
        <v>109</v>
      </c>
      <c r="H65">
        <v>25</v>
      </c>
      <c r="I65">
        <v>26</v>
      </c>
      <c r="J65">
        <v>31</v>
      </c>
      <c r="K65">
        <v>20</v>
      </c>
      <c r="L65">
        <v>3</v>
      </c>
      <c r="M65">
        <v>69</v>
      </c>
      <c r="N65">
        <v>24</v>
      </c>
      <c r="O65">
        <v>36</v>
      </c>
      <c r="P65">
        <v>37</v>
      </c>
      <c r="Q65">
        <v>708</v>
      </c>
      <c r="R65">
        <v>1548</v>
      </c>
      <c r="S65" t="str">
        <v>No</v>
      </c>
      <c r="T65">
        <v>0.17</v>
      </c>
      <c r="U65">
        <v>2024</v>
      </c>
      <c r="V65">
        <v>46014</v>
      </c>
      <c r="W65">
        <v>18.399999999999999</v>
      </c>
      <c r="X65" t="str">
        <v>Stories</v>
      </c>
      <c r="Y65" t="str">
        <v>Food</v>
      </c>
      <c r="Z65" t="str">
        <v>Private</v>
      </c>
      <c r="AA65" t="str">
        <v>No</v>
      </c>
      <c r="AB65" t="str">
        <v>No</v>
      </c>
      <c r="AC65">
        <v>2</v>
      </c>
      <c r="AD65" t="str">
        <v>Business</v>
      </c>
      <c r="AE65">
        <v>1.18</v>
      </c>
      <c r="AF65" s="14">
        <f t="shared" si="0"/>
        <v>0.4573643410852713</v>
      </c>
    </row>
    <row r="66" spans="1:32" x14ac:dyDescent="0.2">
      <c r="A66">
        <v>65</v>
      </c>
      <c r="B66" cm="1">
        <f t="array" ref="B66:AE66">_xlfn.XLOOKUP($A66,Instagram_Usage_Lifestyle_Mini_!$A:$A,Instagram_Usage_Lifestyle_Mini_!$AC:$BF)</f>
        <v>66</v>
      </c>
      <c r="C66">
        <v>2</v>
      </c>
      <c r="D66">
        <v>2</v>
      </c>
      <c r="E66">
        <v>73</v>
      </c>
      <c r="F66">
        <v>55</v>
      </c>
      <c r="G66">
        <v>68</v>
      </c>
      <c r="H66">
        <v>17</v>
      </c>
      <c r="I66">
        <v>14</v>
      </c>
      <c r="J66">
        <v>10</v>
      </c>
      <c r="K66">
        <v>17</v>
      </c>
      <c r="L66">
        <v>1</v>
      </c>
      <c r="M66">
        <v>37</v>
      </c>
      <c r="N66">
        <v>14</v>
      </c>
      <c r="O66">
        <v>11</v>
      </c>
      <c r="P66">
        <v>22</v>
      </c>
      <c r="Q66">
        <v>2189</v>
      </c>
      <c r="R66">
        <v>3680</v>
      </c>
      <c r="S66" t="str">
        <v>No</v>
      </c>
      <c r="T66">
        <v>0.68</v>
      </c>
      <c r="U66">
        <v>2025</v>
      </c>
      <c r="V66">
        <v>45847</v>
      </c>
      <c r="W66">
        <v>33</v>
      </c>
      <c r="X66" t="str">
        <v>Reels</v>
      </c>
      <c r="Y66" t="str">
        <v>Tech</v>
      </c>
      <c r="Z66" t="str">
        <v>Private</v>
      </c>
      <c r="AA66" t="str">
        <v>No</v>
      </c>
      <c r="AB66" t="str">
        <v>Yes</v>
      </c>
      <c r="AC66">
        <v>2</v>
      </c>
      <c r="AD66" t="str">
        <v>Free</v>
      </c>
      <c r="AE66">
        <v>1.61</v>
      </c>
      <c r="AF66" s="14">
        <f t="shared" si="0"/>
        <v>0.59483695652173918</v>
      </c>
    </row>
    <row r="67" spans="1:32" x14ac:dyDescent="0.2">
      <c r="A67">
        <v>66</v>
      </c>
      <c r="B67" cm="1">
        <f t="array" ref="B67:AE67">_xlfn.XLOOKUP($A67,Instagram_Usage_Lifestyle_Mini_!$A:$A,Instagram_Usage_Lifestyle_Mini_!$AC:$BF)</f>
        <v>5</v>
      </c>
      <c r="C67">
        <v>1</v>
      </c>
      <c r="D67">
        <v>7</v>
      </c>
      <c r="E67">
        <v>47</v>
      </c>
      <c r="F67">
        <v>34</v>
      </c>
      <c r="G67">
        <v>30</v>
      </c>
      <c r="H67">
        <v>9</v>
      </c>
      <c r="I67">
        <v>8</v>
      </c>
      <c r="J67">
        <v>5</v>
      </c>
      <c r="K67">
        <v>7</v>
      </c>
      <c r="L67">
        <v>1</v>
      </c>
      <c r="M67">
        <v>2</v>
      </c>
      <c r="N67">
        <v>1</v>
      </c>
      <c r="O67">
        <v>1</v>
      </c>
      <c r="P67">
        <v>2</v>
      </c>
      <c r="Q67">
        <v>3126</v>
      </c>
      <c r="R67">
        <v>6378</v>
      </c>
      <c r="S67" t="str">
        <v>No</v>
      </c>
      <c r="T67">
        <v>0.95</v>
      </c>
      <c r="U67">
        <v>2018</v>
      </c>
      <c r="V67">
        <v>45819</v>
      </c>
      <c r="W67">
        <v>5</v>
      </c>
      <c r="X67" t="str">
        <v>Live</v>
      </c>
      <c r="Y67" t="str">
        <v>Food</v>
      </c>
      <c r="Z67" t="str">
        <v>Private</v>
      </c>
      <c r="AA67" t="str">
        <v>Yes</v>
      </c>
      <c r="AB67" t="str">
        <v>Yes</v>
      </c>
      <c r="AC67">
        <v>2</v>
      </c>
      <c r="AD67" t="str">
        <v>Premium</v>
      </c>
      <c r="AE67">
        <v>11.5</v>
      </c>
      <c r="AF67" s="14">
        <f t="shared" ref="AF67:AF130" si="1">IF(R67=0,0,Q67/R67)</f>
        <v>0.49012229539040453</v>
      </c>
    </row>
    <row r="68" spans="1:32" x14ac:dyDescent="0.2">
      <c r="A68">
        <v>67</v>
      </c>
      <c r="B68" cm="1">
        <f t="array" ref="B68:AE68">_xlfn.XLOOKUP($A68,Instagram_Usage_Lifestyle_Mini_!$A:$A,Instagram_Usage_Lifestyle_Mini_!$AC:$BF)</f>
        <v>304</v>
      </c>
      <c r="C68">
        <v>21</v>
      </c>
      <c r="D68">
        <v>9</v>
      </c>
      <c r="E68">
        <v>285</v>
      </c>
      <c r="F68">
        <v>150</v>
      </c>
      <c r="G68">
        <v>189</v>
      </c>
      <c r="H68">
        <v>44</v>
      </c>
      <c r="I68">
        <v>33</v>
      </c>
      <c r="J68">
        <v>51</v>
      </c>
      <c r="K68">
        <v>29</v>
      </c>
      <c r="L68">
        <v>4</v>
      </c>
      <c r="M68">
        <v>130</v>
      </c>
      <c r="N68">
        <v>70</v>
      </c>
      <c r="O68">
        <v>58</v>
      </c>
      <c r="P68">
        <v>72</v>
      </c>
      <c r="Q68">
        <v>763</v>
      </c>
      <c r="R68">
        <v>343</v>
      </c>
      <c r="S68" t="str">
        <v>No</v>
      </c>
      <c r="T68">
        <v>0.05</v>
      </c>
      <c r="U68">
        <v>2013</v>
      </c>
      <c r="V68">
        <v>45888</v>
      </c>
      <c r="W68">
        <v>14.5</v>
      </c>
      <c r="X68" t="str">
        <v>Live</v>
      </c>
      <c r="Y68" t="str">
        <v>Music</v>
      </c>
      <c r="Z68" t="str">
        <v>Private</v>
      </c>
      <c r="AA68" t="str">
        <v>Yes</v>
      </c>
      <c r="AB68" t="str">
        <v>Yes</v>
      </c>
      <c r="AC68">
        <v>3</v>
      </c>
      <c r="AD68" t="str">
        <v>Business</v>
      </c>
      <c r="AE68">
        <v>1</v>
      </c>
      <c r="AF68" s="14">
        <f t="shared" si="1"/>
        <v>2.2244897959183674</v>
      </c>
    </row>
    <row r="69" spans="1:32" x14ac:dyDescent="0.2">
      <c r="A69">
        <v>68</v>
      </c>
      <c r="B69" cm="1">
        <f t="array" ref="B69:AE69">_xlfn.XLOOKUP($A69,Instagram_Usage_Lifestyle_Mini_!$A:$A,Instagram_Usage_Lifestyle_Mini_!$AC:$BF)</f>
        <v>281</v>
      </c>
      <c r="C69">
        <v>10</v>
      </c>
      <c r="D69">
        <v>4</v>
      </c>
      <c r="E69">
        <v>294</v>
      </c>
      <c r="F69">
        <v>150</v>
      </c>
      <c r="G69">
        <v>155</v>
      </c>
      <c r="H69">
        <v>39</v>
      </c>
      <c r="I69">
        <v>36</v>
      </c>
      <c r="J69">
        <v>44</v>
      </c>
      <c r="K69">
        <v>22</v>
      </c>
      <c r="L69">
        <v>10</v>
      </c>
      <c r="M69">
        <v>120</v>
      </c>
      <c r="N69">
        <v>77</v>
      </c>
      <c r="O69">
        <v>64</v>
      </c>
      <c r="P69">
        <v>106</v>
      </c>
      <c r="Q69">
        <v>4829</v>
      </c>
      <c r="R69">
        <v>10000</v>
      </c>
      <c r="S69" t="str">
        <v>No</v>
      </c>
      <c r="T69">
        <v>0.56000000000000005</v>
      </c>
      <c r="U69">
        <v>2010</v>
      </c>
      <c r="V69">
        <v>45706</v>
      </c>
      <c r="W69">
        <v>28.1</v>
      </c>
      <c r="X69" t="str">
        <v>Photos</v>
      </c>
      <c r="Y69" t="str">
        <v>Tech</v>
      </c>
      <c r="Z69" t="str">
        <v>Public</v>
      </c>
      <c r="AA69" t="str">
        <v>Yes</v>
      </c>
      <c r="AB69" t="str">
        <v>No</v>
      </c>
      <c r="AC69">
        <v>5</v>
      </c>
      <c r="AD69" t="str">
        <v>Free</v>
      </c>
      <c r="AE69">
        <v>0.87</v>
      </c>
      <c r="AF69" s="14">
        <f t="shared" si="1"/>
        <v>0.4829</v>
      </c>
    </row>
    <row r="70" spans="1:32" x14ac:dyDescent="0.2">
      <c r="A70">
        <v>69</v>
      </c>
      <c r="B70" cm="1">
        <f t="array" ref="B70:AE70">_xlfn.XLOOKUP($A70,Instagram_Usage_Lifestyle_Mini_!$A:$A,Instagram_Usage_Lifestyle_Mini_!$AC:$BF)</f>
        <v>270</v>
      </c>
      <c r="C70">
        <v>11</v>
      </c>
      <c r="D70">
        <v>5</v>
      </c>
      <c r="E70">
        <v>207</v>
      </c>
      <c r="F70">
        <v>139</v>
      </c>
      <c r="G70">
        <v>150</v>
      </c>
      <c r="H70">
        <v>40</v>
      </c>
      <c r="I70">
        <v>35</v>
      </c>
      <c r="J70">
        <v>47</v>
      </c>
      <c r="K70">
        <v>25</v>
      </c>
      <c r="L70">
        <v>5</v>
      </c>
      <c r="M70">
        <v>119</v>
      </c>
      <c r="N70">
        <v>44</v>
      </c>
      <c r="O70">
        <v>58</v>
      </c>
      <c r="P70">
        <v>106</v>
      </c>
      <c r="Q70">
        <v>1323</v>
      </c>
      <c r="R70">
        <v>2018</v>
      </c>
      <c r="S70" t="str">
        <v>Yes</v>
      </c>
      <c r="T70">
        <v>0.3</v>
      </c>
      <c r="U70">
        <v>2023</v>
      </c>
      <c r="V70">
        <v>45802</v>
      </c>
      <c r="W70">
        <v>24.5</v>
      </c>
      <c r="X70" t="str">
        <v>Mixed</v>
      </c>
      <c r="Y70" t="str">
        <v>Music</v>
      </c>
      <c r="Z70" t="str">
        <v>Private</v>
      </c>
      <c r="AA70" t="str">
        <v>Yes</v>
      </c>
      <c r="AB70" t="str">
        <v>Yes</v>
      </c>
      <c r="AC70">
        <v>0</v>
      </c>
      <c r="AD70" t="str">
        <v>Business</v>
      </c>
      <c r="AE70">
        <v>0.9</v>
      </c>
      <c r="AF70" s="14">
        <f t="shared" si="1"/>
        <v>0.65559960356788904</v>
      </c>
    </row>
    <row r="71" spans="1:32" x14ac:dyDescent="0.2">
      <c r="A71">
        <v>70</v>
      </c>
      <c r="B71" cm="1">
        <f t="array" ref="B71:AE71">_xlfn.XLOOKUP($A71,Instagram_Usage_Lifestyle_Mini_!$A:$A,Instagram_Usage_Lifestyle_Mini_!$AC:$BF)</f>
        <v>83</v>
      </c>
      <c r="C71">
        <v>4</v>
      </c>
      <c r="D71">
        <v>5</v>
      </c>
      <c r="E71">
        <v>82</v>
      </c>
      <c r="F71">
        <v>57</v>
      </c>
      <c r="G71">
        <v>68</v>
      </c>
      <c r="H71">
        <v>21</v>
      </c>
      <c r="I71">
        <v>22</v>
      </c>
      <c r="J71">
        <v>11</v>
      </c>
      <c r="K71">
        <v>10</v>
      </c>
      <c r="L71">
        <v>3</v>
      </c>
      <c r="M71">
        <v>48</v>
      </c>
      <c r="N71">
        <v>10</v>
      </c>
      <c r="O71">
        <v>9</v>
      </c>
      <c r="P71">
        <v>23</v>
      </c>
      <c r="Q71">
        <v>288</v>
      </c>
      <c r="R71">
        <v>698</v>
      </c>
      <c r="S71" t="str">
        <v>Yes</v>
      </c>
      <c r="T71">
        <v>0.85</v>
      </c>
      <c r="U71">
        <v>2022</v>
      </c>
      <c r="V71">
        <v>45774</v>
      </c>
      <c r="W71">
        <v>20.8</v>
      </c>
      <c r="X71" t="str">
        <v>Live</v>
      </c>
      <c r="Y71" t="str">
        <v>Food</v>
      </c>
      <c r="Z71" t="str">
        <v>Private</v>
      </c>
      <c r="AA71" t="str">
        <v>Yes</v>
      </c>
      <c r="AB71" t="str">
        <v>No</v>
      </c>
      <c r="AC71">
        <v>2</v>
      </c>
      <c r="AD71" t="str">
        <v>Business</v>
      </c>
      <c r="AE71">
        <v>1.49</v>
      </c>
      <c r="AF71" s="14">
        <f t="shared" si="1"/>
        <v>0.41260744985673353</v>
      </c>
    </row>
    <row r="72" spans="1:32" x14ac:dyDescent="0.2">
      <c r="A72">
        <v>71</v>
      </c>
      <c r="B72" cm="1">
        <f t="array" ref="B72:AE72">_xlfn.XLOOKUP($A72,Instagram_Usage_Lifestyle_Mini_!$A:$A,Instagram_Usage_Lifestyle_Mini_!$AC:$BF)</f>
        <v>169</v>
      </c>
      <c r="C72">
        <v>5</v>
      </c>
      <c r="D72">
        <v>3</v>
      </c>
      <c r="E72">
        <v>146</v>
      </c>
      <c r="F72">
        <v>115</v>
      </c>
      <c r="G72">
        <v>72</v>
      </c>
      <c r="H72">
        <v>29</v>
      </c>
      <c r="I72">
        <v>27</v>
      </c>
      <c r="J72">
        <v>21</v>
      </c>
      <c r="K72">
        <v>16</v>
      </c>
      <c r="L72">
        <v>4</v>
      </c>
      <c r="M72">
        <v>91</v>
      </c>
      <c r="N72">
        <v>32</v>
      </c>
      <c r="O72">
        <v>17</v>
      </c>
      <c r="P72">
        <v>65</v>
      </c>
      <c r="Q72">
        <v>3026</v>
      </c>
      <c r="R72">
        <v>6005</v>
      </c>
      <c r="S72" t="str">
        <v>No</v>
      </c>
      <c r="T72">
        <v>0.22</v>
      </c>
      <c r="U72">
        <v>2022</v>
      </c>
      <c r="V72">
        <v>45868</v>
      </c>
      <c r="W72">
        <v>33.799999999999997</v>
      </c>
      <c r="X72" t="str">
        <v>Photos</v>
      </c>
      <c r="Y72" t="str">
        <v>Art</v>
      </c>
      <c r="Z72" t="str">
        <v>Friends_only</v>
      </c>
      <c r="AA72" t="str">
        <v>No</v>
      </c>
      <c r="AB72" t="str">
        <v>No</v>
      </c>
      <c r="AC72">
        <v>1</v>
      </c>
      <c r="AD72" t="str">
        <v>Business</v>
      </c>
      <c r="AE72">
        <v>0.82</v>
      </c>
      <c r="AF72" s="14">
        <f t="shared" si="1"/>
        <v>0.50391340549542052</v>
      </c>
    </row>
    <row r="73" spans="1:32" x14ac:dyDescent="0.2">
      <c r="A73">
        <v>72</v>
      </c>
      <c r="B73" cm="1">
        <f t="array" ref="B73:AE73">_xlfn.XLOOKUP($A73,Instagram_Usage_Lifestyle_Mini_!$A:$A,Instagram_Usage_Lifestyle_Mini_!$AC:$BF)</f>
        <v>148</v>
      </c>
      <c r="C73">
        <v>6</v>
      </c>
      <c r="D73">
        <v>9</v>
      </c>
      <c r="E73">
        <v>198</v>
      </c>
      <c r="F73">
        <v>89</v>
      </c>
      <c r="G73">
        <v>87</v>
      </c>
      <c r="H73">
        <v>30</v>
      </c>
      <c r="I73">
        <v>24</v>
      </c>
      <c r="J73">
        <v>21</v>
      </c>
      <c r="K73">
        <v>20</v>
      </c>
      <c r="L73">
        <v>5</v>
      </c>
      <c r="M73">
        <v>67</v>
      </c>
      <c r="N73">
        <v>27</v>
      </c>
      <c r="O73">
        <v>22</v>
      </c>
      <c r="P73">
        <v>38</v>
      </c>
      <c r="Q73">
        <v>2395</v>
      </c>
      <c r="R73">
        <v>3066</v>
      </c>
      <c r="S73" t="str">
        <v>No</v>
      </c>
      <c r="T73">
        <v>0.48</v>
      </c>
      <c r="U73">
        <v>2020</v>
      </c>
      <c r="V73">
        <v>46013</v>
      </c>
      <c r="W73">
        <v>24.7</v>
      </c>
      <c r="X73" t="str">
        <v>Stories</v>
      </c>
      <c r="Y73" t="str">
        <v>Art</v>
      </c>
      <c r="Z73" t="str">
        <v>Friends_only</v>
      </c>
      <c r="AA73" t="str">
        <v>No</v>
      </c>
      <c r="AB73" t="str">
        <v>No</v>
      </c>
      <c r="AC73">
        <v>1</v>
      </c>
      <c r="AD73" t="str">
        <v>Free</v>
      </c>
      <c r="AE73">
        <v>1.17</v>
      </c>
      <c r="AF73" s="14">
        <f t="shared" si="1"/>
        <v>0.78114807566862365</v>
      </c>
    </row>
    <row r="74" spans="1:32" x14ac:dyDescent="0.2">
      <c r="A74">
        <v>73</v>
      </c>
      <c r="B74" cm="1">
        <f t="array" ref="B74:AE74">_xlfn.XLOOKUP($A74,Instagram_Usage_Lifestyle_Mini_!$A:$A,Instagram_Usage_Lifestyle_Mini_!$AC:$BF)</f>
        <v>269</v>
      </c>
      <c r="C74">
        <v>10</v>
      </c>
      <c r="D74">
        <v>3</v>
      </c>
      <c r="E74">
        <v>300</v>
      </c>
      <c r="F74">
        <v>146</v>
      </c>
      <c r="G74">
        <v>129</v>
      </c>
      <c r="H74">
        <v>38</v>
      </c>
      <c r="I74">
        <v>32</v>
      </c>
      <c r="J74">
        <v>34</v>
      </c>
      <c r="K74">
        <v>24</v>
      </c>
      <c r="L74">
        <v>6</v>
      </c>
      <c r="M74">
        <v>155</v>
      </c>
      <c r="N74">
        <v>64</v>
      </c>
      <c r="O74">
        <v>54</v>
      </c>
      <c r="P74">
        <v>86</v>
      </c>
      <c r="Q74">
        <v>492</v>
      </c>
      <c r="R74">
        <v>1086</v>
      </c>
      <c r="S74" t="str">
        <v>No</v>
      </c>
      <c r="T74">
        <v>0.22</v>
      </c>
      <c r="U74">
        <v>2014</v>
      </c>
      <c r="V74">
        <v>45879</v>
      </c>
      <c r="W74">
        <v>26.9</v>
      </c>
      <c r="X74" t="str">
        <v>Photos</v>
      </c>
      <c r="Y74" t="str">
        <v>Other</v>
      </c>
      <c r="Z74" t="str">
        <v>Friends_only</v>
      </c>
      <c r="AA74" t="str">
        <v>No</v>
      </c>
      <c r="AB74" t="str">
        <v>Yes</v>
      </c>
      <c r="AC74">
        <v>1</v>
      </c>
      <c r="AD74" t="str">
        <v>Business</v>
      </c>
      <c r="AE74">
        <v>0.79</v>
      </c>
      <c r="AF74" s="14">
        <f t="shared" si="1"/>
        <v>0.45303867403314918</v>
      </c>
    </row>
    <row r="75" spans="1:32" x14ac:dyDescent="0.2">
      <c r="A75">
        <v>74</v>
      </c>
      <c r="B75" cm="1">
        <f t="array" ref="B75:AE75">_xlfn.XLOOKUP($A75,Instagram_Usage_Lifestyle_Mini_!$A:$A,Instagram_Usage_Lifestyle_Mini_!$AC:$BF)</f>
        <v>364</v>
      </c>
      <c r="C75">
        <v>15</v>
      </c>
      <c r="D75">
        <v>11</v>
      </c>
      <c r="E75">
        <v>300</v>
      </c>
      <c r="F75">
        <v>150</v>
      </c>
      <c r="G75">
        <v>213</v>
      </c>
      <c r="H75">
        <v>57</v>
      </c>
      <c r="I75">
        <v>46</v>
      </c>
      <c r="J75">
        <v>55</v>
      </c>
      <c r="K75">
        <v>35</v>
      </c>
      <c r="L75">
        <v>7</v>
      </c>
      <c r="M75">
        <v>175</v>
      </c>
      <c r="N75">
        <v>73</v>
      </c>
      <c r="O75">
        <v>83</v>
      </c>
      <c r="P75">
        <v>120</v>
      </c>
      <c r="Q75">
        <v>14502</v>
      </c>
      <c r="R75">
        <v>10000</v>
      </c>
      <c r="S75" t="str">
        <v>No</v>
      </c>
      <c r="T75">
        <v>0.66</v>
      </c>
      <c r="U75">
        <v>2013</v>
      </c>
      <c r="V75">
        <v>45733</v>
      </c>
      <c r="W75">
        <v>24.3</v>
      </c>
      <c r="X75" t="str">
        <v>Reels</v>
      </c>
      <c r="Y75" t="str">
        <v>Travel</v>
      </c>
      <c r="Z75" t="str">
        <v>Private</v>
      </c>
      <c r="AA75" t="str">
        <v>No</v>
      </c>
      <c r="AB75" t="str">
        <v>Yes</v>
      </c>
      <c r="AC75">
        <v>3</v>
      </c>
      <c r="AD75" t="str">
        <v>Free</v>
      </c>
      <c r="AE75">
        <v>0.99</v>
      </c>
      <c r="AF75" s="14">
        <f t="shared" si="1"/>
        <v>1.4501999999999999</v>
      </c>
    </row>
    <row r="76" spans="1:32" x14ac:dyDescent="0.2">
      <c r="A76">
        <v>75</v>
      </c>
      <c r="B76" cm="1">
        <f t="array" ref="B76:AE76">_xlfn.XLOOKUP($A76,Instagram_Usage_Lifestyle_Mini_!$A:$A,Instagram_Usage_Lifestyle_Mini_!$AC:$BF)</f>
        <v>216</v>
      </c>
      <c r="C76">
        <v>9</v>
      </c>
      <c r="D76">
        <v>6</v>
      </c>
      <c r="E76">
        <v>178</v>
      </c>
      <c r="F76">
        <v>112</v>
      </c>
      <c r="G76">
        <v>132</v>
      </c>
      <c r="H76">
        <v>39</v>
      </c>
      <c r="I76">
        <v>21</v>
      </c>
      <c r="J76">
        <v>23</v>
      </c>
      <c r="K76">
        <v>36</v>
      </c>
      <c r="L76">
        <v>6</v>
      </c>
      <c r="M76">
        <v>94</v>
      </c>
      <c r="N76">
        <v>28</v>
      </c>
      <c r="O76">
        <v>34</v>
      </c>
      <c r="P76">
        <v>66</v>
      </c>
      <c r="Q76">
        <v>361</v>
      </c>
      <c r="R76">
        <v>801</v>
      </c>
      <c r="S76" t="str">
        <v>No</v>
      </c>
      <c r="T76">
        <v>0.12</v>
      </c>
      <c r="U76">
        <v>2016</v>
      </c>
      <c r="V76">
        <v>45696</v>
      </c>
      <c r="W76">
        <v>24</v>
      </c>
      <c r="X76" t="str">
        <v>Reels</v>
      </c>
      <c r="Y76" t="str">
        <v>Food</v>
      </c>
      <c r="Z76" t="str">
        <v>Public</v>
      </c>
      <c r="AA76" t="str">
        <v>Yes</v>
      </c>
      <c r="AB76" t="str">
        <v>Yes</v>
      </c>
      <c r="AC76">
        <v>3</v>
      </c>
      <c r="AD76" t="str">
        <v>Free</v>
      </c>
      <c r="AE76">
        <v>1.05</v>
      </c>
      <c r="AF76" s="14">
        <f t="shared" si="1"/>
        <v>0.45068664169787764</v>
      </c>
    </row>
    <row r="77" spans="1:32" x14ac:dyDescent="0.2">
      <c r="A77">
        <v>76</v>
      </c>
      <c r="B77" cm="1">
        <f t="array" ref="B77:AE77">_xlfn.XLOOKUP($A77,Instagram_Usage_Lifestyle_Mini_!$A:$A,Instagram_Usage_Lifestyle_Mini_!$AC:$BF)</f>
        <v>167</v>
      </c>
      <c r="C77">
        <v>8</v>
      </c>
      <c r="D77">
        <v>9</v>
      </c>
      <c r="E77">
        <v>221</v>
      </c>
      <c r="F77">
        <v>99</v>
      </c>
      <c r="G77">
        <v>103</v>
      </c>
      <c r="H77">
        <v>27</v>
      </c>
      <c r="I77">
        <v>29</v>
      </c>
      <c r="J77">
        <v>26</v>
      </c>
      <c r="K77">
        <v>31</v>
      </c>
      <c r="L77">
        <v>3</v>
      </c>
      <c r="M77">
        <v>68</v>
      </c>
      <c r="N77">
        <v>39</v>
      </c>
      <c r="O77">
        <v>30</v>
      </c>
      <c r="P77">
        <v>64</v>
      </c>
      <c r="Q77">
        <v>292</v>
      </c>
      <c r="R77">
        <v>572</v>
      </c>
      <c r="S77" t="str">
        <v>No</v>
      </c>
      <c r="T77">
        <v>0.39</v>
      </c>
      <c r="U77">
        <v>2018</v>
      </c>
      <c r="V77">
        <v>45879</v>
      </c>
      <c r="W77">
        <v>20.9</v>
      </c>
      <c r="X77" t="str">
        <v>Photos</v>
      </c>
      <c r="Y77" t="str">
        <v>Art</v>
      </c>
      <c r="Z77" t="str">
        <v>Public</v>
      </c>
      <c r="AA77" t="str">
        <v>Yes</v>
      </c>
      <c r="AB77" t="str">
        <v>No</v>
      </c>
      <c r="AC77">
        <v>0</v>
      </c>
      <c r="AD77" t="str">
        <v>Free</v>
      </c>
      <c r="AE77">
        <v>1.1000000000000001</v>
      </c>
      <c r="AF77" s="14">
        <f t="shared" si="1"/>
        <v>0.51048951048951052</v>
      </c>
    </row>
    <row r="78" spans="1:32" x14ac:dyDescent="0.2">
      <c r="A78">
        <v>77</v>
      </c>
      <c r="B78" cm="1">
        <f t="array" ref="B78:AE78">_xlfn.XLOOKUP($A78,Instagram_Usage_Lifestyle_Mini_!$A:$A,Instagram_Usage_Lifestyle_Mini_!$AC:$BF)</f>
        <v>322</v>
      </c>
      <c r="C78">
        <v>21</v>
      </c>
      <c r="D78">
        <v>7</v>
      </c>
      <c r="E78">
        <v>272</v>
      </c>
      <c r="F78">
        <v>150</v>
      </c>
      <c r="G78">
        <v>179</v>
      </c>
      <c r="H78">
        <v>60</v>
      </c>
      <c r="I78">
        <v>43</v>
      </c>
      <c r="J78">
        <v>44</v>
      </c>
      <c r="K78">
        <v>26</v>
      </c>
      <c r="L78">
        <v>8</v>
      </c>
      <c r="M78">
        <v>167</v>
      </c>
      <c r="N78">
        <v>79</v>
      </c>
      <c r="O78">
        <v>49</v>
      </c>
      <c r="P78">
        <v>104</v>
      </c>
      <c r="Q78">
        <v>104</v>
      </c>
      <c r="R78">
        <v>122</v>
      </c>
      <c r="S78" t="str">
        <v>No</v>
      </c>
      <c r="T78">
        <v>0.23</v>
      </c>
      <c r="U78">
        <v>2025</v>
      </c>
      <c r="V78">
        <v>45669</v>
      </c>
      <c r="W78">
        <v>15.3</v>
      </c>
      <c r="X78" t="str">
        <v>Live</v>
      </c>
      <c r="Y78" t="str">
        <v>Music</v>
      </c>
      <c r="Z78" t="str">
        <v>Friends_only</v>
      </c>
      <c r="AA78" t="str">
        <v>No</v>
      </c>
      <c r="AB78" t="str">
        <v>Yes</v>
      </c>
      <c r="AC78">
        <v>2</v>
      </c>
      <c r="AD78" t="str">
        <v>Free</v>
      </c>
      <c r="AE78">
        <v>0.99</v>
      </c>
      <c r="AF78" s="14">
        <f t="shared" si="1"/>
        <v>0.85245901639344257</v>
      </c>
    </row>
    <row r="79" spans="1:32" x14ac:dyDescent="0.2">
      <c r="A79">
        <v>78</v>
      </c>
      <c r="B79" cm="1">
        <f t="array" ref="B79:AE79">_xlfn.XLOOKUP($A79,Instagram_Usage_Lifestyle_Mini_!$A:$A,Instagram_Usage_Lifestyle_Mini_!$AC:$BF)</f>
        <v>316</v>
      </c>
      <c r="C79">
        <v>17</v>
      </c>
      <c r="D79">
        <v>10</v>
      </c>
      <c r="E79">
        <v>229</v>
      </c>
      <c r="F79">
        <v>150</v>
      </c>
      <c r="G79">
        <v>209</v>
      </c>
      <c r="H79">
        <v>57</v>
      </c>
      <c r="I79">
        <v>34</v>
      </c>
      <c r="J79">
        <v>50</v>
      </c>
      <c r="K79">
        <v>33</v>
      </c>
      <c r="L79">
        <v>10</v>
      </c>
      <c r="M79">
        <v>128</v>
      </c>
      <c r="N79">
        <v>35</v>
      </c>
      <c r="O79">
        <v>57</v>
      </c>
      <c r="P79">
        <v>105</v>
      </c>
      <c r="Q79">
        <v>5883</v>
      </c>
      <c r="R79">
        <v>10000</v>
      </c>
      <c r="S79" t="str">
        <v>No</v>
      </c>
      <c r="T79">
        <v>0.86</v>
      </c>
      <c r="U79">
        <v>2014</v>
      </c>
      <c r="V79">
        <v>45866</v>
      </c>
      <c r="W79">
        <v>18.600000000000001</v>
      </c>
      <c r="X79" t="str">
        <v>Reels</v>
      </c>
      <c r="Y79" t="str">
        <v>Other</v>
      </c>
      <c r="Z79" t="str">
        <v>Friends_only</v>
      </c>
      <c r="AA79" t="str">
        <v>No</v>
      </c>
      <c r="AB79" t="str">
        <v>No</v>
      </c>
      <c r="AC79">
        <v>1</v>
      </c>
      <c r="AD79" t="str">
        <v>Free</v>
      </c>
      <c r="AE79">
        <v>1.1100000000000001</v>
      </c>
      <c r="AF79" s="14">
        <f t="shared" si="1"/>
        <v>0.58830000000000005</v>
      </c>
    </row>
    <row r="80" spans="1:32" x14ac:dyDescent="0.2">
      <c r="A80">
        <v>79</v>
      </c>
      <c r="B80" cm="1">
        <f t="array" ref="B80:AE80">_xlfn.XLOOKUP($A80,Instagram_Usage_Lifestyle_Mini_!$A:$A,Instagram_Usage_Lifestyle_Mini_!$AC:$BF)</f>
        <v>388</v>
      </c>
      <c r="C80">
        <v>15</v>
      </c>
      <c r="D80">
        <v>12</v>
      </c>
      <c r="E80">
        <v>280</v>
      </c>
      <c r="F80">
        <v>150</v>
      </c>
      <c r="G80">
        <v>260</v>
      </c>
      <c r="H80">
        <v>74</v>
      </c>
      <c r="I80">
        <v>49</v>
      </c>
      <c r="J80">
        <v>51</v>
      </c>
      <c r="K80">
        <v>30</v>
      </c>
      <c r="L80">
        <v>10</v>
      </c>
      <c r="M80">
        <v>192</v>
      </c>
      <c r="N80">
        <v>45</v>
      </c>
      <c r="O80">
        <v>82</v>
      </c>
      <c r="P80">
        <v>137</v>
      </c>
      <c r="Q80">
        <v>4271</v>
      </c>
      <c r="R80">
        <v>4232</v>
      </c>
      <c r="S80" t="str">
        <v>No</v>
      </c>
      <c r="T80">
        <v>0.67</v>
      </c>
      <c r="U80">
        <v>2014</v>
      </c>
      <c r="V80">
        <v>45682</v>
      </c>
      <c r="W80">
        <v>25.9</v>
      </c>
      <c r="X80" t="str">
        <v>Videos</v>
      </c>
      <c r="Y80" t="str">
        <v>Tech</v>
      </c>
      <c r="Z80" t="str">
        <v>Friends_only</v>
      </c>
      <c r="AA80" t="str">
        <v>Yes</v>
      </c>
      <c r="AB80" t="str">
        <v>No</v>
      </c>
      <c r="AC80">
        <v>3</v>
      </c>
      <c r="AD80" t="str">
        <v>Free</v>
      </c>
      <c r="AE80">
        <v>1.1399999999999999</v>
      </c>
      <c r="AF80" s="14">
        <f t="shared" si="1"/>
        <v>1.0092155009451795</v>
      </c>
    </row>
    <row r="81" spans="1:32" x14ac:dyDescent="0.2">
      <c r="A81">
        <v>80</v>
      </c>
      <c r="B81" cm="1">
        <f t="array" ref="B81:AE81">_xlfn.XLOOKUP($A81,Instagram_Usage_Lifestyle_Mini_!$A:$A,Instagram_Usage_Lifestyle_Mini_!$AC:$BF)</f>
        <v>100</v>
      </c>
      <c r="C81">
        <v>9</v>
      </c>
      <c r="D81">
        <v>2</v>
      </c>
      <c r="E81">
        <v>91</v>
      </c>
      <c r="F81">
        <v>67</v>
      </c>
      <c r="G81">
        <v>71</v>
      </c>
      <c r="H81">
        <v>20</v>
      </c>
      <c r="I81">
        <v>17</v>
      </c>
      <c r="J81">
        <v>24</v>
      </c>
      <c r="K81">
        <v>15</v>
      </c>
      <c r="L81">
        <v>3</v>
      </c>
      <c r="M81">
        <v>45</v>
      </c>
      <c r="N81">
        <v>15</v>
      </c>
      <c r="O81">
        <v>23</v>
      </c>
      <c r="P81">
        <v>34</v>
      </c>
      <c r="Q81">
        <v>534</v>
      </c>
      <c r="R81">
        <v>1317</v>
      </c>
      <c r="S81" t="str">
        <v>No</v>
      </c>
      <c r="T81">
        <v>0.86</v>
      </c>
      <c r="U81">
        <v>2022</v>
      </c>
      <c r="V81">
        <v>45820</v>
      </c>
      <c r="W81">
        <v>11.1</v>
      </c>
      <c r="X81" t="str">
        <v>Stories</v>
      </c>
      <c r="Y81" t="str">
        <v>Music</v>
      </c>
      <c r="Z81" t="str">
        <v>Private</v>
      </c>
      <c r="AA81" t="str">
        <v>No</v>
      </c>
      <c r="AB81" t="str">
        <v>No</v>
      </c>
      <c r="AC81">
        <v>0</v>
      </c>
      <c r="AD81" t="str">
        <v>Free</v>
      </c>
      <c r="AE81">
        <v>1.1599999999999999</v>
      </c>
      <c r="AF81" s="14">
        <f t="shared" si="1"/>
        <v>0.40546697038724372</v>
      </c>
    </row>
    <row r="82" spans="1:32" x14ac:dyDescent="0.2">
      <c r="A82">
        <v>81</v>
      </c>
      <c r="B82" cm="1">
        <f t="array" ref="B82:AE82">_xlfn.XLOOKUP($A82,Instagram_Usage_Lifestyle_Mini_!$A:$A,Instagram_Usage_Lifestyle_Mini_!$AC:$BF)</f>
        <v>361</v>
      </c>
      <c r="C82">
        <v>17</v>
      </c>
      <c r="D82">
        <v>12</v>
      </c>
      <c r="E82">
        <v>234</v>
      </c>
      <c r="F82">
        <v>146</v>
      </c>
      <c r="G82">
        <v>195</v>
      </c>
      <c r="H82">
        <v>68</v>
      </c>
      <c r="I82">
        <v>50</v>
      </c>
      <c r="J82">
        <v>54</v>
      </c>
      <c r="K82">
        <v>29</v>
      </c>
      <c r="L82">
        <v>10</v>
      </c>
      <c r="M82">
        <v>175</v>
      </c>
      <c r="N82">
        <v>93</v>
      </c>
      <c r="O82">
        <v>45</v>
      </c>
      <c r="P82">
        <v>138</v>
      </c>
      <c r="Q82">
        <v>366</v>
      </c>
      <c r="R82">
        <v>748</v>
      </c>
      <c r="S82" t="str">
        <v>No</v>
      </c>
      <c r="T82">
        <v>0.42</v>
      </c>
      <c r="U82">
        <v>2025</v>
      </c>
      <c r="V82">
        <v>45843</v>
      </c>
      <c r="W82">
        <v>21.2</v>
      </c>
      <c r="X82" t="str">
        <v>Live</v>
      </c>
      <c r="Y82" t="str">
        <v>Music</v>
      </c>
      <c r="Z82" t="str">
        <v>Public</v>
      </c>
      <c r="AA82" t="str">
        <v>Yes</v>
      </c>
      <c r="AB82" t="str">
        <v>Yes</v>
      </c>
      <c r="AC82">
        <v>0</v>
      </c>
      <c r="AD82" t="str">
        <v>Free</v>
      </c>
      <c r="AE82">
        <v>1.01</v>
      </c>
      <c r="AF82" s="14">
        <f t="shared" si="1"/>
        <v>0.48930481283422461</v>
      </c>
    </row>
    <row r="83" spans="1:32" x14ac:dyDescent="0.2">
      <c r="A83">
        <v>82</v>
      </c>
      <c r="B83" cm="1">
        <f t="array" ref="B83:AE83">_xlfn.XLOOKUP($A83,Instagram_Usage_Lifestyle_Mini_!$A:$A,Instagram_Usage_Lifestyle_Mini_!$AC:$BF)</f>
        <v>100</v>
      </c>
      <c r="C83">
        <v>5</v>
      </c>
      <c r="D83">
        <v>5</v>
      </c>
      <c r="E83">
        <v>181</v>
      </c>
      <c r="F83">
        <v>69</v>
      </c>
      <c r="G83">
        <v>75</v>
      </c>
      <c r="H83">
        <v>20</v>
      </c>
      <c r="I83">
        <v>27</v>
      </c>
      <c r="J83">
        <v>15</v>
      </c>
      <c r="K83">
        <v>16</v>
      </c>
      <c r="L83">
        <v>5</v>
      </c>
      <c r="M83">
        <v>55</v>
      </c>
      <c r="N83">
        <v>15</v>
      </c>
      <c r="O83">
        <v>14</v>
      </c>
      <c r="P83">
        <v>38</v>
      </c>
      <c r="Q83">
        <v>601</v>
      </c>
      <c r="R83">
        <v>379</v>
      </c>
      <c r="S83" t="str">
        <v>Yes</v>
      </c>
      <c r="T83">
        <v>0.45</v>
      </c>
      <c r="U83">
        <v>2015</v>
      </c>
      <c r="V83">
        <v>45823</v>
      </c>
      <c r="W83">
        <v>20</v>
      </c>
      <c r="X83" t="str">
        <v>Live</v>
      </c>
      <c r="Y83" t="str">
        <v>Art</v>
      </c>
      <c r="Z83" t="str">
        <v>Private</v>
      </c>
      <c r="AA83" t="str">
        <v>No</v>
      </c>
      <c r="AB83" t="str">
        <v>No</v>
      </c>
      <c r="AC83">
        <v>4</v>
      </c>
      <c r="AD83" t="str">
        <v>Free</v>
      </c>
      <c r="AE83">
        <v>1.29</v>
      </c>
      <c r="AF83" s="14">
        <f t="shared" si="1"/>
        <v>1.5857519788918206</v>
      </c>
    </row>
    <row r="84" spans="1:32" x14ac:dyDescent="0.2">
      <c r="A84">
        <v>83</v>
      </c>
      <c r="B84" cm="1">
        <f t="array" ref="B84:AE84">_xlfn.XLOOKUP($A84,Instagram_Usage_Lifestyle_Mini_!$A:$A,Instagram_Usage_Lifestyle_Mini_!$AC:$BF)</f>
        <v>391</v>
      </c>
      <c r="C84">
        <v>43</v>
      </c>
      <c r="D84">
        <v>6</v>
      </c>
      <c r="E84">
        <v>292</v>
      </c>
      <c r="F84">
        <v>150</v>
      </c>
      <c r="G84">
        <v>215</v>
      </c>
      <c r="H84">
        <v>58</v>
      </c>
      <c r="I84">
        <v>44</v>
      </c>
      <c r="J84">
        <v>66</v>
      </c>
      <c r="K84">
        <v>36</v>
      </c>
      <c r="L84">
        <v>6</v>
      </c>
      <c r="M84">
        <v>225</v>
      </c>
      <c r="N84">
        <v>59</v>
      </c>
      <c r="O84">
        <v>59</v>
      </c>
      <c r="P84">
        <v>107</v>
      </c>
      <c r="Q84">
        <v>1071</v>
      </c>
      <c r="R84">
        <v>1134</v>
      </c>
      <c r="S84" t="str">
        <v>No</v>
      </c>
      <c r="T84">
        <v>0.97</v>
      </c>
      <c r="U84">
        <v>2015</v>
      </c>
      <c r="V84">
        <v>45717</v>
      </c>
      <c r="W84">
        <v>9.1</v>
      </c>
      <c r="X84" t="str">
        <v>Photos</v>
      </c>
      <c r="Y84" t="str">
        <v>Art</v>
      </c>
      <c r="Z84" t="str">
        <v>Private</v>
      </c>
      <c r="AA84" t="str">
        <v>Yes</v>
      </c>
      <c r="AB84" t="str">
        <v>No</v>
      </c>
      <c r="AC84">
        <v>2</v>
      </c>
      <c r="AD84" t="str">
        <v>Free</v>
      </c>
      <c r="AE84">
        <v>0.89</v>
      </c>
      <c r="AF84" s="14">
        <f t="shared" si="1"/>
        <v>0.94444444444444442</v>
      </c>
    </row>
    <row r="85" spans="1:32" x14ac:dyDescent="0.2">
      <c r="A85">
        <v>84</v>
      </c>
      <c r="B85" cm="1">
        <f t="array" ref="B85:AE85">_xlfn.XLOOKUP($A85,Instagram_Usage_Lifestyle_Mini_!$A:$A,Instagram_Usage_Lifestyle_Mini_!$AC:$BF)</f>
        <v>5</v>
      </c>
      <c r="C85">
        <v>1</v>
      </c>
      <c r="D85">
        <v>2</v>
      </c>
      <c r="E85">
        <v>108</v>
      </c>
      <c r="F85">
        <v>23</v>
      </c>
      <c r="G85">
        <v>37</v>
      </c>
      <c r="H85">
        <v>6</v>
      </c>
      <c r="I85">
        <v>11</v>
      </c>
      <c r="J85">
        <v>9</v>
      </c>
      <c r="K85">
        <v>4</v>
      </c>
      <c r="L85">
        <v>3</v>
      </c>
      <c r="M85">
        <v>2</v>
      </c>
      <c r="N85">
        <v>1</v>
      </c>
      <c r="O85">
        <v>1</v>
      </c>
      <c r="P85">
        <v>2</v>
      </c>
      <c r="Q85">
        <v>13665</v>
      </c>
      <c r="R85">
        <v>10000</v>
      </c>
      <c r="S85" t="str">
        <v>No</v>
      </c>
      <c r="T85">
        <v>0</v>
      </c>
      <c r="U85">
        <v>2010</v>
      </c>
      <c r="V85">
        <v>45910</v>
      </c>
      <c r="W85">
        <v>5</v>
      </c>
      <c r="X85" t="str">
        <v>Photos</v>
      </c>
      <c r="Y85" t="str">
        <v>Travel</v>
      </c>
      <c r="Z85" t="str">
        <v>Public</v>
      </c>
      <c r="AA85" t="str">
        <v>No</v>
      </c>
      <c r="AB85" t="str">
        <v>Yes</v>
      </c>
      <c r="AC85">
        <v>0</v>
      </c>
      <c r="AD85" t="str">
        <v>Business</v>
      </c>
      <c r="AE85">
        <v>9.17</v>
      </c>
      <c r="AF85" s="14">
        <f t="shared" si="1"/>
        <v>1.3665</v>
      </c>
    </row>
    <row r="86" spans="1:32" x14ac:dyDescent="0.2">
      <c r="A86">
        <v>85</v>
      </c>
      <c r="B86" cm="1">
        <f t="array" ref="B86:AE86">_xlfn.XLOOKUP($A86,Instagram_Usage_Lifestyle_Mini_!$A:$A,Instagram_Usage_Lifestyle_Mini_!$AC:$BF)</f>
        <v>97</v>
      </c>
      <c r="C86">
        <v>3</v>
      </c>
      <c r="D86">
        <v>7</v>
      </c>
      <c r="E86">
        <v>107</v>
      </c>
      <c r="F86">
        <v>61</v>
      </c>
      <c r="G86">
        <v>72</v>
      </c>
      <c r="H86">
        <v>23</v>
      </c>
      <c r="I86">
        <v>20</v>
      </c>
      <c r="J86">
        <v>31</v>
      </c>
      <c r="K86">
        <v>15</v>
      </c>
      <c r="L86">
        <v>3</v>
      </c>
      <c r="M86">
        <v>42</v>
      </c>
      <c r="N86">
        <v>13</v>
      </c>
      <c r="O86">
        <v>21</v>
      </c>
      <c r="P86">
        <v>38</v>
      </c>
      <c r="Q86">
        <v>5138</v>
      </c>
      <c r="R86">
        <v>7894</v>
      </c>
      <c r="S86" t="str">
        <v>No</v>
      </c>
      <c r="T86">
        <v>0.24</v>
      </c>
      <c r="U86">
        <v>2010</v>
      </c>
      <c r="V86">
        <v>45711</v>
      </c>
      <c r="W86">
        <v>32.299999999999997</v>
      </c>
      <c r="X86" t="str">
        <v>Photos</v>
      </c>
      <c r="Y86" t="str">
        <v>Fashion</v>
      </c>
      <c r="Z86" t="str">
        <v>Private</v>
      </c>
      <c r="AA86" t="str">
        <v>Yes</v>
      </c>
      <c r="AB86" t="str">
        <v>Yes</v>
      </c>
      <c r="AC86">
        <v>4</v>
      </c>
      <c r="AD86" t="str">
        <v>Premium</v>
      </c>
      <c r="AE86">
        <v>1.42</v>
      </c>
      <c r="AF86" s="14">
        <f t="shared" si="1"/>
        <v>0.65087408158094751</v>
      </c>
    </row>
    <row r="87" spans="1:32" x14ac:dyDescent="0.2">
      <c r="A87">
        <v>86</v>
      </c>
      <c r="B87" cm="1">
        <f t="array" ref="B87:AE87">_xlfn.XLOOKUP($A87,Instagram_Usage_Lifestyle_Mini_!$A:$A,Instagram_Usage_Lifestyle_Mini_!$AC:$BF)</f>
        <v>245</v>
      </c>
      <c r="C87">
        <v>12</v>
      </c>
      <c r="D87">
        <v>6</v>
      </c>
      <c r="E87">
        <v>200</v>
      </c>
      <c r="F87">
        <v>117</v>
      </c>
      <c r="G87">
        <v>127</v>
      </c>
      <c r="H87">
        <v>42</v>
      </c>
      <c r="I87">
        <v>33</v>
      </c>
      <c r="J87">
        <v>47</v>
      </c>
      <c r="K87">
        <v>31</v>
      </c>
      <c r="L87">
        <v>11</v>
      </c>
      <c r="M87">
        <v>102</v>
      </c>
      <c r="N87">
        <v>71</v>
      </c>
      <c r="O87">
        <v>41</v>
      </c>
      <c r="P87">
        <v>54</v>
      </c>
      <c r="Q87">
        <v>361</v>
      </c>
      <c r="R87">
        <v>460</v>
      </c>
      <c r="S87" t="str">
        <v>No</v>
      </c>
      <c r="T87">
        <v>0.72</v>
      </c>
      <c r="U87">
        <v>2025</v>
      </c>
      <c r="V87">
        <v>45868</v>
      </c>
      <c r="W87">
        <v>20.399999999999999</v>
      </c>
      <c r="X87" t="str">
        <v>Mixed</v>
      </c>
      <c r="Y87" t="str">
        <v>Tech</v>
      </c>
      <c r="Z87" t="str">
        <v>Friends_only</v>
      </c>
      <c r="AA87" t="str">
        <v>Yes</v>
      </c>
      <c r="AB87" t="str">
        <v>Yes</v>
      </c>
      <c r="AC87">
        <v>2</v>
      </c>
      <c r="AD87" t="str">
        <v>Free</v>
      </c>
      <c r="AE87">
        <v>0.93</v>
      </c>
      <c r="AF87" s="14">
        <f t="shared" si="1"/>
        <v>0.7847826086956522</v>
      </c>
    </row>
    <row r="88" spans="1:32" x14ac:dyDescent="0.2">
      <c r="A88">
        <v>87</v>
      </c>
      <c r="B88" cm="1">
        <f t="array" ref="B88:AE88">_xlfn.XLOOKUP($A88,Instagram_Usage_Lifestyle_Mini_!$A:$A,Instagram_Usage_Lifestyle_Mini_!$AC:$BF)</f>
        <v>16</v>
      </c>
      <c r="C88">
        <v>1</v>
      </c>
      <c r="D88">
        <v>2</v>
      </c>
      <c r="E88">
        <v>135</v>
      </c>
      <c r="F88">
        <v>32</v>
      </c>
      <c r="G88">
        <v>23</v>
      </c>
      <c r="H88">
        <v>6</v>
      </c>
      <c r="I88">
        <v>10</v>
      </c>
      <c r="J88">
        <v>12</v>
      </c>
      <c r="K88">
        <v>3</v>
      </c>
      <c r="L88">
        <v>2</v>
      </c>
      <c r="M88">
        <v>9</v>
      </c>
      <c r="N88">
        <v>3</v>
      </c>
      <c r="O88">
        <v>2</v>
      </c>
      <c r="P88">
        <v>4</v>
      </c>
      <c r="Q88">
        <v>4208</v>
      </c>
      <c r="R88">
        <v>4738</v>
      </c>
      <c r="S88" t="str">
        <v>Yes</v>
      </c>
      <c r="T88">
        <v>0.95</v>
      </c>
      <c r="U88">
        <v>2022</v>
      </c>
      <c r="V88">
        <v>45837</v>
      </c>
      <c r="W88">
        <v>16</v>
      </c>
      <c r="X88" t="str">
        <v>Photos</v>
      </c>
      <c r="Y88" t="str">
        <v>Music</v>
      </c>
      <c r="Z88" t="str">
        <v>Public</v>
      </c>
      <c r="AA88" t="str">
        <v>Yes</v>
      </c>
      <c r="AB88" t="str">
        <v>Yes</v>
      </c>
      <c r="AC88">
        <v>0</v>
      </c>
      <c r="AD88" t="str">
        <v>Free</v>
      </c>
      <c r="AE88">
        <v>2.41</v>
      </c>
      <c r="AF88" s="14">
        <f t="shared" si="1"/>
        <v>0.88813845504432254</v>
      </c>
    </row>
    <row r="89" spans="1:32" x14ac:dyDescent="0.2">
      <c r="A89">
        <v>88</v>
      </c>
      <c r="B89" cm="1">
        <f t="array" ref="B89:AE89">_xlfn.XLOOKUP($A89,Instagram_Usage_Lifestyle_Mini_!$A:$A,Instagram_Usage_Lifestyle_Mini_!$AC:$BF)</f>
        <v>33</v>
      </c>
      <c r="C89">
        <v>1</v>
      </c>
      <c r="D89">
        <v>12</v>
      </c>
      <c r="E89">
        <v>136</v>
      </c>
      <c r="F89">
        <v>44</v>
      </c>
      <c r="G89">
        <v>43</v>
      </c>
      <c r="H89">
        <v>13</v>
      </c>
      <c r="I89">
        <v>11</v>
      </c>
      <c r="J89">
        <v>10</v>
      </c>
      <c r="K89">
        <v>4</v>
      </c>
      <c r="L89">
        <v>2</v>
      </c>
      <c r="M89">
        <v>19</v>
      </c>
      <c r="N89">
        <v>6</v>
      </c>
      <c r="O89">
        <v>5</v>
      </c>
      <c r="P89">
        <v>10</v>
      </c>
      <c r="Q89">
        <v>1073</v>
      </c>
      <c r="R89">
        <v>1918</v>
      </c>
      <c r="S89" t="str">
        <v>Yes</v>
      </c>
      <c r="T89">
        <v>0.41</v>
      </c>
      <c r="U89">
        <v>2025</v>
      </c>
      <c r="V89">
        <v>45831</v>
      </c>
      <c r="W89">
        <v>33</v>
      </c>
      <c r="X89" t="str">
        <v>Stories</v>
      </c>
      <c r="Y89" t="str">
        <v>Travel</v>
      </c>
      <c r="Z89" t="str">
        <v>Public</v>
      </c>
      <c r="AA89" t="str">
        <v>Yes</v>
      </c>
      <c r="AB89" t="str">
        <v>No</v>
      </c>
      <c r="AC89">
        <v>1</v>
      </c>
      <c r="AD89" t="str">
        <v>Free</v>
      </c>
      <c r="AE89">
        <v>3.09</v>
      </c>
      <c r="AF89" s="14">
        <f t="shared" si="1"/>
        <v>0.55943691345151203</v>
      </c>
    </row>
    <row r="90" spans="1:32" x14ac:dyDescent="0.2">
      <c r="A90">
        <v>89</v>
      </c>
      <c r="B90" cm="1">
        <f t="array" ref="B90:AE90">_xlfn.XLOOKUP($A90,Instagram_Usage_Lifestyle_Mini_!$A:$A,Instagram_Usage_Lifestyle_Mini_!$AC:$BF)</f>
        <v>273</v>
      </c>
      <c r="C90">
        <v>8</v>
      </c>
      <c r="D90">
        <v>10</v>
      </c>
      <c r="E90">
        <v>272</v>
      </c>
      <c r="F90">
        <v>134</v>
      </c>
      <c r="G90">
        <v>153</v>
      </c>
      <c r="H90">
        <v>52</v>
      </c>
      <c r="I90">
        <v>37</v>
      </c>
      <c r="J90">
        <v>48</v>
      </c>
      <c r="K90">
        <v>24</v>
      </c>
      <c r="L90">
        <v>3</v>
      </c>
      <c r="M90">
        <v>123</v>
      </c>
      <c r="N90">
        <v>69</v>
      </c>
      <c r="O90">
        <v>64</v>
      </c>
      <c r="P90">
        <v>77</v>
      </c>
      <c r="Q90">
        <v>796</v>
      </c>
      <c r="R90">
        <v>799</v>
      </c>
      <c r="S90" t="str">
        <v>No</v>
      </c>
      <c r="T90">
        <v>0.32</v>
      </c>
      <c r="U90">
        <v>2020</v>
      </c>
      <c r="V90">
        <v>45704</v>
      </c>
      <c r="W90">
        <v>34.1</v>
      </c>
      <c r="X90" t="str">
        <v>Videos</v>
      </c>
      <c r="Y90" t="str">
        <v>Fitness</v>
      </c>
      <c r="Z90" t="str">
        <v>Public</v>
      </c>
      <c r="AA90" t="str">
        <v>Yes</v>
      </c>
      <c r="AB90" t="str">
        <v>No</v>
      </c>
      <c r="AC90">
        <v>4</v>
      </c>
      <c r="AD90" t="str">
        <v>Free</v>
      </c>
      <c r="AE90">
        <v>1.05</v>
      </c>
      <c r="AF90" s="14">
        <f t="shared" si="1"/>
        <v>0.99624530663329158</v>
      </c>
    </row>
    <row r="91" spans="1:32" x14ac:dyDescent="0.2">
      <c r="A91">
        <v>90</v>
      </c>
      <c r="B91" cm="1">
        <f t="array" ref="B91:AE91">_xlfn.XLOOKUP($A91,Instagram_Usage_Lifestyle_Mini_!$A:$A,Instagram_Usage_Lifestyle_Mini_!$AC:$BF)</f>
        <v>42</v>
      </c>
      <c r="C91">
        <v>3</v>
      </c>
      <c r="D91">
        <v>1</v>
      </c>
      <c r="E91">
        <v>66</v>
      </c>
      <c r="F91">
        <v>42</v>
      </c>
      <c r="G91">
        <v>45</v>
      </c>
      <c r="H91">
        <v>18</v>
      </c>
      <c r="I91">
        <v>16</v>
      </c>
      <c r="J91">
        <v>12</v>
      </c>
      <c r="K91">
        <v>10</v>
      </c>
      <c r="L91">
        <v>1</v>
      </c>
      <c r="M91">
        <v>19</v>
      </c>
      <c r="N91">
        <v>12</v>
      </c>
      <c r="O91">
        <v>10</v>
      </c>
      <c r="P91">
        <v>10</v>
      </c>
      <c r="Q91">
        <v>292</v>
      </c>
      <c r="R91">
        <v>605</v>
      </c>
      <c r="S91" t="str">
        <v>No</v>
      </c>
      <c r="T91">
        <v>0.59</v>
      </c>
      <c r="U91">
        <v>2023</v>
      </c>
      <c r="V91">
        <v>46011</v>
      </c>
      <c r="W91">
        <v>14</v>
      </c>
      <c r="X91" t="str">
        <v>Live</v>
      </c>
      <c r="Y91" t="str">
        <v>Travel</v>
      </c>
      <c r="Z91" t="str">
        <v>Public</v>
      </c>
      <c r="AA91" t="str">
        <v>No</v>
      </c>
      <c r="AB91" t="str">
        <v>Yes</v>
      </c>
      <c r="AC91">
        <v>1</v>
      </c>
      <c r="AD91" t="str">
        <v>Free</v>
      </c>
      <c r="AE91">
        <v>1.95</v>
      </c>
      <c r="AF91" s="14">
        <f t="shared" si="1"/>
        <v>0.48264462809917358</v>
      </c>
    </row>
    <row r="92" spans="1:32" x14ac:dyDescent="0.2">
      <c r="A92">
        <v>91</v>
      </c>
      <c r="B92" cm="1">
        <f t="array" ref="B92:AE92">_xlfn.XLOOKUP($A92,Instagram_Usage_Lifestyle_Mini_!$A:$A,Instagram_Usage_Lifestyle_Mini_!$AC:$BF)</f>
        <v>154</v>
      </c>
      <c r="C92">
        <v>18</v>
      </c>
      <c r="D92">
        <v>3</v>
      </c>
      <c r="E92">
        <v>135</v>
      </c>
      <c r="F92">
        <v>105</v>
      </c>
      <c r="G92">
        <v>113</v>
      </c>
      <c r="H92">
        <v>27</v>
      </c>
      <c r="I92">
        <v>23</v>
      </c>
      <c r="J92">
        <v>28</v>
      </c>
      <c r="K92">
        <v>17</v>
      </c>
      <c r="L92">
        <v>1</v>
      </c>
      <c r="M92">
        <v>78</v>
      </c>
      <c r="N92">
        <v>28</v>
      </c>
      <c r="O92">
        <v>24</v>
      </c>
      <c r="P92">
        <v>55</v>
      </c>
      <c r="Q92">
        <v>3963</v>
      </c>
      <c r="R92">
        <v>8943</v>
      </c>
      <c r="S92" t="str">
        <v>Yes</v>
      </c>
      <c r="T92">
        <v>0.46</v>
      </c>
      <c r="U92">
        <v>2011</v>
      </c>
      <c r="V92">
        <v>45825</v>
      </c>
      <c r="W92">
        <v>8.6</v>
      </c>
      <c r="X92" t="str">
        <v>Mixed</v>
      </c>
      <c r="Y92" t="str">
        <v>Other</v>
      </c>
      <c r="Z92" t="str">
        <v>Friends_only</v>
      </c>
      <c r="AA92" t="str">
        <v>No</v>
      </c>
      <c r="AB92" t="str">
        <v>No</v>
      </c>
      <c r="AC92">
        <v>3</v>
      </c>
      <c r="AD92" t="str">
        <v>Free</v>
      </c>
      <c r="AE92">
        <v>1.1399999999999999</v>
      </c>
      <c r="AF92" s="14">
        <f t="shared" si="1"/>
        <v>0.44313988594431397</v>
      </c>
    </row>
    <row r="93" spans="1:32" x14ac:dyDescent="0.2">
      <c r="A93">
        <v>92</v>
      </c>
      <c r="B93" cm="1">
        <f t="array" ref="B93:AE93">_xlfn.XLOOKUP($A93,Instagram_Usage_Lifestyle_Mini_!$A:$A,Instagram_Usage_Lifestyle_Mini_!$AC:$BF)</f>
        <v>258</v>
      </c>
      <c r="C93">
        <v>9</v>
      </c>
      <c r="D93">
        <v>3</v>
      </c>
      <c r="E93">
        <v>192</v>
      </c>
      <c r="F93">
        <v>126</v>
      </c>
      <c r="G93">
        <v>146</v>
      </c>
      <c r="H93">
        <v>47</v>
      </c>
      <c r="I93">
        <v>38</v>
      </c>
      <c r="J93">
        <v>35</v>
      </c>
      <c r="K93">
        <v>29</v>
      </c>
      <c r="L93">
        <v>9</v>
      </c>
      <c r="M93">
        <v>142</v>
      </c>
      <c r="N93">
        <v>68</v>
      </c>
      <c r="O93">
        <v>42</v>
      </c>
      <c r="P93">
        <v>70</v>
      </c>
      <c r="Q93">
        <v>1786</v>
      </c>
      <c r="R93">
        <v>2967</v>
      </c>
      <c r="S93" t="str">
        <v>No</v>
      </c>
      <c r="T93">
        <v>0.63</v>
      </c>
      <c r="U93">
        <v>2020</v>
      </c>
      <c r="V93">
        <v>45854</v>
      </c>
      <c r="W93">
        <v>28.7</v>
      </c>
      <c r="X93" t="str">
        <v>Live</v>
      </c>
      <c r="Y93" t="str">
        <v>Food</v>
      </c>
      <c r="Z93" t="str">
        <v>Public</v>
      </c>
      <c r="AA93" t="str">
        <v>Yes</v>
      </c>
      <c r="AB93" t="str">
        <v>Yes</v>
      </c>
      <c r="AC93">
        <v>2</v>
      </c>
      <c r="AD93" t="str">
        <v>Business</v>
      </c>
      <c r="AE93">
        <v>0.96</v>
      </c>
      <c r="AF93" s="14">
        <f t="shared" si="1"/>
        <v>0.60195483653522075</v>
      </c>
    </row>
    <row r="94" spans="1:32" x14ac:dyDescent="0.2">
      <c r="A94">
        <v>93</v>
      </c>
      <c r="B94" cm="1">
        <f t="array" ref="B94:AE94">_xlfn.XLOOKUP($A94,Instagram_Usage_Lifestyle_Mini_!$A:$A,Instagram_Usage_Lifestyle_Mini_!$AC:$BF)</f>
        <v>181</v>
      </c>
      <c r="C94">
        <v>7</v>
      </c>
      <c r="D94">
        <v>2</v>
      </c>
      <c r="E94">
        <v>233</v>
      </c>
      <c r="F94">
        <v>82</v>
      </c>
      <c r="G94">
        <v>105</v>
      </c>
      <c r="H94">
        <v>21</v>
      </c>
      <c r="I94">
        <v>32</v>
      </c>
      <c r="J94">
        <v>23</v>
      </c>
      <c r="K94">
        <v>14</v>
      </c>
      <c r="L94">
        <v>3</v>
      </c>
      <c r="M94">
        <v>90</v>
      </c>
      <c r="N94">
        <v>43</v>
      </c>
      <c r="O94">
        <v>24</v>
      </c>
      <c r="P94">
        <v>55</v>
      </c>
      <c r="Q94">
        <v>189</v>
      </c>
      <c r="R94">
        <v>192</v>
      </c>
      <c r="S94" t="str">
        <v>Yes</v>
      </c>
      <c r="T94">
        <v>0.45</v>
      </c>
      <c r="U94">
        <v>2012</v>
      </c>
      <c r="V94">
        <v>45732</v>
      </c>
      <c r="W94">
        <v>25.9</v>
      </c>
      <c r="X94" t="str">
        <v>Videos</v>
      </c>
      <c r="Y94" t="str">
        <v>Other</v>
      </c>
      <c r="Z94" t="str">
        <v>Private</v>
      </c>
      <c r="AA94" t="str">
        <v>No</v>
      </c>
      <c r="AB94" t="str">
        <v>No</v>
      </c>
      <c r="AC94">
        <v>1</v>
      </c>
      <c r="AD94" t="str">
        <v>Free</v>
      </c>
      <c r="AE94">
        <v>0.84</v>
      </c>
      <c r="AF94" s="14">
        <f t="shared" si="1"/>
        <v>0.984375</v>
      </c>
    </row>
    <row r="95" spans="1:32" x14ac:dyDescent="0.2">
      <c r="A95">
        <v>94</v>
      </c>
      <c r="B95" cm="1">
        <f t="array" ref="B95:AE95">_xlfn.XLOOKUP($A95,Instagram_Usage_Lifestyle_Mini_!$A:$A,Instagram_Usage_Lifestyle_Mini_!$AC:$BF)</f>
        <v>5</v>
      </c>
      <c r="C95">
        <v>1</v>
      </c>
      <c r="D95">
        <v>4</v>
      </c>
      <c r="E95">
        <v>45</v>
      </c>
      <c r="F95">
        <v>33</v>
      </c>
      <c r="G95">
        <v>26</v>
      </c>
      <c r="H95">
        <v>5</v>
      </c>
      <c r="I95">
        <v>16</v>
      </c>
      <c r="J95">
        <v>9</v>
      </c>
      <c r="K95">
        <v>3</v>
      </c>
      <c r="L95">
        <v>2</v>
      </c>
      <c r="M95">
        <v>2</v>
      </c>
      <c r="N95">
        <v>1</v>
      </c>
      <c r="O95">
        <v>1</v>
      </c>
      <c r="P95">
        <v>1</v>
      </c>
      <c r="Q95">
        <v>5983</v>
      </c>
      <c r="R95">
        <v>8155</v>
      </c>
      <c r="S95" t="str">
        <v>No</v>
      </c>
      <c r="T95">
        <v>0.27</v>
      </c>
      <c r="U95">
        <v>2010</v>
      </c>
      <c r="V95">
        <v>45779</v>
      </c>
      <c r="W95">
        <v>5</v>
      </c>
      <c r="X95" t="str">
        <v>Reels</v>
      </c>
      <c r="Y95" t="str">
        <v>Fitness</v>
      </c>
      <c r="Z95" t="str">
        <v>Public</v>
      </c>
      <c r="AA95" t="str">
        <v>Yes</v>
      </c>
      <c r="AB95" t="str">
        <v>No</v>
      </c>
      <c r="AC95">
        <v>0</v>
      </c>
      <c r="AD95" t="str">
        <v>Free</v>
      </c>
      <c r="AE95">
        <v>8</v>
      </c>
      <c r="AF95" s="14">
        <f t="shared" si="1"/>
        <v>0.73366033108522377</v>
      </c>
    </row>
    <row r="96" spans="1:32" x14ac:dyDescent="0.2">
      <c r="A96">
        <v>95</v>
      </c>
      <c r="B96" cm="1">
        <f t="array" ref="B96:AE96">_xlfn.XLOOKUP($A96,Instagram_Usage_Lifestyle_Mini_!$A:$A,Instagram_Usage_Lifestyle_Mini_!$AC:$BF)</f>
        <v>191</v>
      </c>
      <c r="C96">
        <v>7</v>
      </c>
      <c r="D96">
        <v>4</v>
      </c>
      <c r="E96">
        <v>176</v>
      </c>
      <c r="F96">
        <v>94</v>
      </c>
      <c r="G96">
        <v>123</v>
      </c>
      <c r="H96">
        <v>44</v>
      </c>
      <c r="I96">
        <v>31</v>
      </c>
      <c r="J96">
        <v>28</v>
      </c>
      <c r="K96">
        <v>19</v>
      </c>
      <c r="L96">
        <v>3</v>
      </c>
      <c r="M96">
        <v>82</v>
      </c>
      <c r="N96">
        <v>35</v>
      </c>
      <c r="O96">
        <v>27</v>
      </c>
      <c r="P96">
        <v>75</v>
      </c>
      <c r="Q96">
        <v>450</v>
      </c>
      <c r="R96">
        <v>577</v>
      </c>
      <c r="S96" t="str">
        <v>No</v>
      </c>
      <c r="T96">
        <v>0.99</v>
      </c>
      <c r="U96">
        <v>2015</v>
      </c>
      <c r="V96">
        <v>45810</v>
      </c>
      <c r="W96">
        <v>27.3</v>
      </c>
      <c r="X96" t="str">
        <v>Photos</v>
      </c>
      <c r="Y96" t="str">
        <v>Fitness</v>
      </c>
      <c r="Z96" t="str">
        <v>Private</v>
      </c>
      <c r="AA96" t="str">
        <v>Yes</v>
      </c>
      <c r="AB96" t="str">
        <v>No</v>
      </c>
      <c r="AC96">
        <v>2</v>
      </c>
      <c r="AD96" t="str">
        <v>Free</v>
      </c>
      <c r="AE96">
        <v>1.1599999999999999</v>
      </c>
      <c r="AF96" s="14">
        <f t="shared" si="1"/>
        <v>0.77989601386481799</v>
      </c>
    </row>
    <row r="97" spans="1:32" x14ac:dyDescent="0.2">
      <c r="A97">
        <v>96</v>
      </c>
      <c r="B97" cm="1">
        <f t="array" ref="B97:AE97">_xlfn.XLOOKUP($A97,Instagram_Usage_Lifestyle_Mini_!$A:$A,Instagram_Usage_Lifestyle_Mini_!$AC:$BF)</f>
        <v>259</v>
      </c>
      <c r="C97">
        <v>26</v>
      </c>
      <c r="D97">
        <v>6</v>
      </c>
      <c r="E97">
        <v>185</v>
      </c>
      <c r="F97">
        <v>144</v>
      </c>
      <c r="G97">
        <v>158</v>
      </c>
      <c r="H97">
        <v>55</v>
      </c>
      <c r="I97">
        <v>37</v>
      </c>
      <c r="J97">
        <v>43</v>
      </c>
      <c r="K97">
        <v>26</v>
      </c>
      <c r="L97">
        <v>5</v>
      </c>
      <c r="M97">
        <v>109</v>
      </c>
      <c r="N97">
        <v>47</v>
      </c>
      <c r="O97">
        <v>30</v>
      </c>
      <c r="P97">
        <v>66</v>
      </c>
      <c r="Q97">
        <v>726</v>
      </c>
      <c r="R97">
        <v>1036</v>
      </c>
      <c r="S97" t="str">
        <v>No</v>
      </c>
      <c r="T97">
        <v>0.95</v>
      </c>
      <c r="U97">
        <v>2020</v>
      </c>
      <c r="V97">
        <v>45771</v>
      </c>
      <c r="W97">
        <v>10</v>
      </c>
      <c r="X97" t="str">
        <v>Live</v>
      </c>
      <c r="Y97" t="str">
        <v>Fitness</v>
      </c>
      <c r="Z97" t="str">
        <v>Private</v>
      </c>
      <c r="AA97" t="str">
        <v>No</v>
      </c>
      <c r="AB97" t="str">
        <v>No</v>
      </c>
      <c r="AC97">
        <v>0</v>
      </c>
      <c r="AD97" t="str">
        <v>Free</v>
      </c>
      <c r="AE97">
        <v>1.1000000000000001</v>
      </c>
      <c r="AF97" s="14">
        <f t="shared" si="1"/>
        <v>0.70077220077220082</v>
      </c>
    </row>
    <row r="98" spans="1:32" x14ac:dyDescent="0.2">
      <c r="A98">
        <v>97</v>
      </c>
      <c r="B98" cm="1">
        <f t="array" ref="B98:AE98">_xlfn.XLOOKUP($A98,Instagram_Usage_Lifestyle_Mini_!$A:$A,Instagram_Usage_Lifestyle_Mini_!$AC:$BF)</f>
        <v>5</v>
      </c>
      <c r="C98">
        <v>1</v>
      </c>
      <c r="D98">
        <v>2</v>
      </c>
      <c r="E98">
        <v>47</v>
      </c>
      <c r="F98">
        <v>42</v>
      </c>
      <c r="G98">
        <v>27</v>
      </c>
      <c r="H98">
        <v>4</v>
      </c>
      <c r="I98">
        <v>10</v>
      </c>
      <c r="J98">
        <v>9</v>
      </c>
      <c r="K98">
        <v>4</v>
      </c>
      <c r="L98">
        <v>2</v>
      </c>
      <c r="M98">
        <v>3</v>
      </c>
      <c r="N98">
        <v>1</v>
      </c>
      <c r="O98">
        <v>1</v>
      </c>
      <c r="P98">
        <v>2</v>
      </c>
      <c r="Q98">
        <v>4773</v>
      </c>
      <c r="R98">
        <v>10000</v>
      </c>
      <c r="S98" t="str">
        <v>No</v>
      </c>
      <c r="T98">
        <v>0.75</v>
      </c>
      <c r="U98">
        <v>2024</v>
      </c>
      <c r="V98">
        <v>45826</v>
      </c>
      <c r="W98">
        <v>5</v>
      </c>
      <c r="X98" t="str">
        <v>Reels</v>
      </c>
      <c r="Y98" t="str">
        <v>Music</v>
      </c>
      <c r="Z98" t="str">
        <v>Public</v>
      </c>
      <c r="AA98" t="str">
        <v>Yes</v>
      </c>
      <c r="AB98" t="str">
        <v>Yes</v>
      </c>
      <c r="AC98">
        <v>0</v>
      </c>
      <c r="AD98" t="str">
        <v>Premium</v>
      </c>
      <c r="AE98">
        <v>6.83</v>
      </c>
      <c r="AF98" s="14">
        <f t="shared" si="1"/>
        <v>0.4773</v>
      </c>
    </row>
    <row r="99" spans="1:32" x14ac:dyDescent="0.2">
      <c r="A99">
        <v>98</v>
      </c>
      <c r="B99" cm="1">
        <f t="array" ref="B99:AE99">_xlfn.XLOOKUP($A99,Instagram_Usage_Lifestyle_Mini_!$A:$A,Instagram_Usage_Lifestyle_Mini_!$AC:$BF)</f>
        <v>204</v>
      </c>
      <c r="C99">
        <v>12</v>
      </c>
      <c r="D99">
        <v>6</v>
      </c>
      <c r="E99">
        <v>153</v>
      </c>
      <c r="F99">
        <v>101</v>
      </c>
      <c r="G99">
        <v>120</v>
      </c>
      <c r="H99">
        <v>32</v>
      </c>
      <c r="I99">
        <v>33</v>
      </c>
      <c r="J99">
        <v>28</v>
      </c>
      <c r="K99">
        <v>21</v>
      </c>
      <c r="L99">
        <v>5</v>
      </c>
      <c r="M99">
        <v>122</v>
      </c>
      <c r="N99">
        <v>52</v>
      </c>
      <c r="O99">
        <v>32</v>
      </c>
      <c r="P99">
        <v>68</v>
      </c>
      <c r="Q99">
        <v>364</v>
      </c>
      <c r="R99">
        <v>518</v>
      </c>
      <c r="S99" t="str">
        <v>Yes</v>
      </c>
      <c r="T99">
        <v>0.27</v>
      </c>
      <c r="U99">
        <v>2017</v>
      </c>
      <c r="V99">
        <v>45797</v>
      </c>
      <c r="W99">
        <v>17</v>
      </c>
      <c r="X99" t="str">
        <v>Stories</v>
      </c>
      <c r="Y99" t="str">
        <v>Music</v>
      </c>
      <c r="Z99" t="str">
        <v>Friends_only</v>
      </c>
      <c r="AA99" t="str">
        <v>No</v>
      </c>
      <c r="AB99" t="str">
        <v>Yes</v>
      </c>
      <c r="AC99">
        <v>2</v>
      </c>
      <c r="AD99" t="str">
        <v>Free</v>
      </c>
      <c r="AE99">
        <v>0.99</v>
      </c>
      <c r="AF99" s="14">
        <f t="shared" si="1"/>
        <v>0.70270270270270274</v>
      </c>
    </row>
    <row r="100" spans="1:32" x14ac:dyDescent="0.2">
      <c r="A100">
        <v>99</v>
      </c>
      <c r="B100" cm="1">
        <f t="array" ref="B100:AE100">_xlfn.XLOOKUP($A100,Instagram_Usage_Lifestyle_Mini_!$A:$A,Instagram_Usage_Lifestyle_Mini_!$AC:$BF)</f>
        <v>126</v>
      </c>
      <c r="C100">
        <v>6</v>
      </c>
      <c r="D100">
        <v>1</v>
      </c>
      <c r="E100">
        <v>118</v>
      </c>
      <c r="F100">
        <v>68</v>
      </c>
      <c r="G100">
        <v>85</v>
      </c>
      <c r="H100">
        <v>18</v>
      </c>
      <c r="I100">
        <v>25</v>
      </c>
      <c r="J100">
        <v>18</v>
      </c>
      <c r="K100">
        <v>18</v>
      </c>
      <c r="L100">
        <v>5</v>
      </c>
      <c r="M100">
        <v>57</v>
      </c>
      <c r="N100">
        <v>38</v>
      </c>
      <c r="O100">
        <v>29</v>
      </c>
      <c r="P100">
        <v>50</v>
      </c>
      <c r="Q100">
        <v>2918</v>
      </c>
      <c r="R100">
        <v>4602</v>
      </c>
      <c r="S100" t="str">
        <v>No</v>
      </c>
      <c r="T100">
        <v>0.41</v>
      </c>
      <c r="U100">
        <v>2020</v>
      </c>
      <c r="V100">
        <v>45788</v>
      </c>
      <c r="W100">
        <v>21</v>
      </c>
      <c r="X100" t="str">
        <v>Live</v>
      </c>
      <c r="Y100" t="str">
        <v>Other</v>
      </c>
      <c r="Z100" t="str">
        <v>Friends_only</v>
      </c>
      <c r="AA100" t="str">
        <v>Yes</v>
      </c>
      <c r="AB100" t="str">
        <v>No</v>
      </c>
      <c r="AC100">
        <v>0</v>
      </c>
      <c r="AD100" t="str">
        <v>Free</v>
      </c>
      <c r="AE100">
        <v>0.98</v>
      </c>
      <c r="AF100" s="14">
        <f t="shared" si="1"/>
        <v>0.63407214254671884</v>
      </c>
    </row>
    <row r="101" spans="1:32" x14ac:dyDescent="0.2">
      <c r="A101">
        <v>100</v>
      </c>
      <c r="B101" cm="1">
        <f t="array" ref="B101:AE101">_xlfn.XLOOKUP($A101,Instagram_Usage_Lifestyle_Mini_!$A:$A,Instagram_Usage_Lifestyle_Mini_!$AC:$BF)</f>
        <v>170</v>
      </c>
      <c r="C101">
        <v>8</v>
      </c>
      <c r="D101">
        <v>2</v>
      </c>
      <c r="E101">
        <v>142</v>
      </c>
      <c r="F101">
        <v>92</v>
      </c>
      <c r="G101">
        <v>114</v>
      </c>
      <c r="H101">
        <v>29</v>
      </c>
      <c r="I101">
        <v>21</v>
      </c>
      <c r="J101">
        <v>24</v>
      </c>
      <c r="K101">
        <v>11</v>
      </c>
      <c r="L101">
        <v>3</v>
      </c>
      <c r="M101">
        <v>100</v>
      </c>
      <c r="N101">
        <v>22</v>
      </c>
      <c r="O101">
        <v>25</v>
      </c>
      <c r="P101">
        <v>54</v>
      </c>
      <c r="Q101">
        <v>172</v>
      </c>
      <c r="R101">
        <v>76</v>
      </c>
      <c r="S101" t="str">
        <v>No</v>
      </c>
      <c r="T101">
        <v>0.73</v>
      </c>
      <c r="U101">
        <v>2015</v>
      </c>
      <c r="V101">
        <v>45760</v>
      </c>
      <c r="W101">
        <v>21.2</v>
      </c>
      <c r="X101" t="str">
        <v>Photos</v>
      </c>
      <c r="Y101" t="str">
        <v>Food</v>
      </c>
      <c r="Z101" t="str">
        <v>Public</v>
      </c>
      <c r="AA101" t="str">
        <v>No</v>
      </c>
      <c r="AB101" t="str">
        <v>Yes</v>
      </c>
      <c r="AC101">
        <v>1</v>
      </c>
      <c r="AD101" t="str">
        <v>Business</v>
      </c>
      <c r="AE101">
        <v>1.04</v>
      </c>
      <c r="AF101" s="14">
        <f t="shared" si="1"/>
        <v>2.263157894736842</v>
      </c>
    </row>
    <row r="102" spans="1:32" x14ac:dyDescent="0.2">
      <c r="A102">
        <v>101</v>
      </c>
      <c r="B102" cm="1">
        <f t="array" ref="B102:AE102">_xlfn.XLOOKUP($A102,Instagram_Usage_Lifestyle_Mini_!$A:$A,Instagram_Usage_Lifestyle_Mini_!$AC:$BF)</f>
        <v>211</v>
      </c>
      <c r="C102">
        <v>10</v>
      </c>
      <c r="D102">
        <v>5</v>
      </c>
      <c r="E102">
        <v>177</v>
      </c>
      <c r="F102">
        <v>126</v>
      </c>
      <c r="G102">
        <v>122</v>
      </c>
      <c r="H102">
        <v>36</v>
      </c>
      <c r="I102">
        <v>27</v>
      </c>
      <c r="J102">
        <v>30</v>
      </c>
      <c r="K102">
        <v>22</v>
      </c>
      <c r="L102">
        <v>3</v>
      </c>
      <c r="M102">
        <v>124</v>
      </c>
      <c r="N102">
        <v>62</v>
      </c>
      <c r="O102">
        <v>29</v>
      </c>
      <c r="P102">
        <v>67</v>
      </c>
      <c r="Q102">
        <v>777</v>
      </c>
      <c r="R102">
        <v>1686</v>
      </c>
      <c r="S102" t="str">
        <v>No</v>
      </c>
      <c r="T102">
        <v>0.44</v>
      </c>
      <c r="U102">
        <v>2017</v>
      </c>
      <c r="V102">
        <v>45989</v>
      </c>
      <c r="W102">
        <v>21.1</v>
      </c>
      <c r="X102" t="str">
        <v>Videos</v>
      </c>
      <c r="Y102" t="str">
        <v>Fitness</v>
      </c>
      <c r="Z102" t="str">
        <v>Public</v>
      </c>
      <c r="AA102" t="str">
        <v>Yes</v>
      </c>
      <c r="AB102" t="str">
        <v>Yes</v>
      </c>
      <c r="AC102">
        <v>4</v>
      </c>
      <c r="AD102" t="str">
        <v>Business</v>
      </c>
      <c r="AE102">
        <v>0.99</v>
      </c>
      <c r="AF102" s="14">
        <f t="shared" si="1"/>
        <v>0.46085409252669041</v>
      </c>
    </row>
    <row r="103" spans="1:32" x14ac:dyDescent="0.2">
      <c r="A103">
        <v>102</v>
      </c>
      <c r="B103" cm="1">
        <f t="array" ref="B103:AE103">_xlfn.XLOOKUP($A103,Instagram_Usage_Lifestyle_Mini_!$A:$A,Instagram_Usage_Lifestyle_Mini_!$AC:$BF)</f>
        <v>329</v>
      </c>
      <c r="C103">
        <v>16</v>
      </c>
      <c r="D103">
        <v>7</v>
      </c>
      <c r="E103">
        <v>230</v>
      </c>
      <c r="F103">
        <v>150</v>
      </c>
      <c r="G103">
        <v>191</v>
      </c>
      <c r="H103">
        <v>53</v>
      </c>
      <c r="I103">
        <v>42</v>
      </c>
      <c r="J103">
        <v>45</v>
      </c>
      <c r="K103">
        <v>32</v>
      </c>
      <c r="L103">
        <v>11</v>
      </c>
      <c r="M103">
        <v>170</v>
      </c>
      <c r="N103">
        <v>86</v>
      </c>
      <c r="O103">
        <v>35</v>
      </c>
      <c r="P103">
        <v>75</v>
      </c>
      <c r="Q103">
        <v>14397</v>
      </c>
      <c r="R103">
        <v>10000</v>
      </c>
      <c r="S103" t="str">
        <v>No</v>
      </c>
      <c r="T103">
        <v>0.87</v>
      </c>
      <c r="U103">
        <v>2017</v>
      </c>
      <c r="V103">
        <v>45896</v>
      </c>
      <c r="W103">
        <v>20.6</v>
      </c>
      <c r="X103" t="str">
        <v>Reels</v>
      </c>
      <c r="Y103" t="str">
        <v>Art</v>
      </c>
      <c r="Z103" t="str">
        <v>Private</v>
      </c>
      <c r="AA103" t="str">
        <v>Yes</v>
      </c>
      <c r="AB103" t="str">
        <v>No</v>
      </c>
      <c r="AC103">
        <v>1</v>
      </c>
      <c r="AD103" t="str">
        <v>Premium</v>
      </c>
      <c r="AE103">
        <v>0.96</v>
      </c>
      <c r="AF103" s="14">
        <f t="shared" si="1"/>
        <v>1.4397</v>
      </c>
    </row>
    <row r="104" spans="1:32" x14ac:dyDescent="0.2">
      <c r="A104">
        <v>103</v>
      </c>
      <c r="B104" cm="1">
        <f t="array" ref="B104:AE104">_xlfn.XLOOKUP($A104,Instagram_Usage_Lifestyle_Mini_!$A:$A,Instagram_Usage_Lifestyle_Mini_!$AC:$BF)</f>
        <v>201</v>
      </c>
      <c r="C104">
        <v>22</v>
      </c>
      <c r="D104">
        <v>4</v>
      </c>
      <c r="E104">
        <v>163</v>
      </c>
      <c r="F104">
        <v>136</v>
      </c>
      <c r="G104">
        <v>112</v>
      </c>
      <c r="H104">
        <v>48</v>
      </c>
      <c r="I104">
        <v>29</v>
      </c>
      <c r="J104">
        <v>40</v>
      </c>
      <c r="K104">
        <v>19</v>
      </c>
      <c r="L104">
        <v>4</v>
      </c>
      <c r="M104">
        <v>87</v>
      </c>
      <c r="N104">
        <v>59</v>
      </c>
      <c r="O104">
        <v>40</v>
      </c>
      <c r="P104">
        <v>46</v>
      </c>
      <c r="Q104">
        <v>366</v>
      </c>
      <c r="R104">
        <v>547</v>
      </c>
      <c r="S104" t="str">
        <v>No</v>
      </c>
      <c r="T104">
        <v>0.99</v>
      </c>
      <c r="U104">
        <v>2025</v>
      </c>
      <c r="V104">
        <v>46011</v>
      </c>
      <c r="W104">
        <v>9.1</v>
      </c>
      <c r="X104" t="str">
        <v>Mixed</v>
      </c>
      <c r="Y104" t="str">
        <v>Fitness</v>
      </c>
      <c r="Z104" t="str">
        <v>Friends_only</v>
      </c>
      <c r="AA104" t="str">
        <v>No</v>
      </c>
      <c r="AB104" t="str">
        <v>No</v>
      </c>
      <c r="AC104">
        <v>0</v>
      </c>
      <c r="AD104" t="str">
        <v>Free</v>
      </c>
      <c r="AE104">
        <v>1.0900000000000001</v>
      </c>
      <c r="AF104" s="14">
        <f t="shared" si="1"/>
        <v>0.66910420475319932</v>
      </c>
    </row>
    <row r="105" spans="1:32" x14ac:dyDescent="0.2">
      <c r="A105">
        <v>104</v>
      </c>
      <c r="B105" cm="1">
        <f t="array" ref="B105:AE105">_xlfn.XLOOKUP($A105,Instagram_Usage_Lifestyle_Mini_!$A:$A,Instagram_Usage_Lifestyle_Mini_!$AC:$BF)</f>
        <v>366</v>
      </c>
      <c r="C105">
        <v>13</v>
      </c>
      <c r="D105">
        <v>3</v>
      </c>
      <c r="E105">
        <v>300</v>
      </c>
      <c r="F105">
        <v>150</v>
      </c>
      <c r="G105">
        <v>209</v>
      </c>
      <c r="H105">
        <v>52</v>
      </c>
      <c r="I105">
        <v>43</v>
      </c>
      <c r="J105">
        <v>63</v>
      </c>
      <c r="K105">
        <v>38</v>
      </c>
      <c r="L105">
        <v>10</v>
      </c>
      <c r="M105">
        <v>215</v>
      </c>
      <c r="N105">
        <v>84</v>
      </c>
      <c r="O105">
        <v>82</v>
      </c>
      <c r="P105">
        <v>129</v>
      </c>
      <c r="Q105">
        <v>1986</v>
      </c>
      <c r="R105">
        <v>3526</v>
      </c>
      <c r="S105" t="str">
        <v>No</v>
      </c>
      <c r="T105">
        <v>0.79</v>
      </c>
      <c r="U105">
        <v>2022</v>
      </c>
      <c r="V105">
        <v>45939</v>
      </c>
      <c r="W105">
        <v>28.2</v>
      </c>
      <c r="X105" t="str">
        <v>Stories</v>
      </c>
      <c r="Y105" t="str">
        <v>Travel</v>
      </c>
      <c r="Z105" t="str">
        <v>Public</v>
      </c>
      <c r="AA105" t="str">
        <v>Yes</v>
      </c>
      <c r="AB105" t="str">
        <v>Yes</v>
      </c>
      <c r="AC105">
        <v>3</v>
      </c>
      <c r="AD105" t="str">
        <v>Free</v>
      </c>
      <c r="AE105">
        <v>0.88</v>
      </c>
      <c r="AF105" s="14">
        <f t="shared" si="1"/>
        <v>0.56324446965399888</v>
      </c>
    </row>
    <row r="106" spans="1:32" x14ac:dyDescent="0.2">
      <c r="A106">
        <v>105</v>
      </c>
      <c r="B106" cm="1">
        <f t="array" ref="B106:AE106">_xlfn.XLOOKUP($A106,Instagram_Usage_Lifestyle_Mini_!$A:$A,Instagram_Usage_Lifestyle_Mini_!$AC:$BF)</f>
        <v>259</v>
      </c>
      <c r="C106">
        <v>10</v>
      </c>
      <c r="D106">
        <v>6</v>
      </c>
      <c r="E106">
        <v>201</v>
      </c>
      <c r="F106">
        <v>142</v>
      </c>
      <c r="G106">
        <v>155</v>
      </c>
      <c r="H106">
        <v>50</v>
      </c>
      <c r="I106">
        <v>41</v>
      </c>
      <c r="J106">
        <v>44</v>
      </c>
      <c r="K106">
        <v>24</v>
      </c>
      <c r="L106">
        <v>5</v>
      </c>
      <c r="M106">
        <v>140</v>
      </c>
      <c r="N106">
        <v>66</v>
      </c>
      <c r="O106">
        <v>48</v>
      </c>
      <c r="P106">
        <v>56</v>
      </c>
      <c r="Q106">
        <v>1570</v>
      </c>
      <c r="R106">
        <v>1222</v>
      </c>
      <c r="S106" t="str">
        <v>No</v>
      </c>
      <c r="T106">
        <v>0.37</v>
      </c>
      <c r="U106">
        <v>2012</v>
      </c>
      <c r="V106">
        <v>45768</v>
      </c>
      <c r="W106">
        <v>25.9</v>
      </c>
      <c r="X106" t="str">
        <v>Photos</v>
      </c>
      <c r="Y106" t="str">
        <v>Other</v>
      </c>
      <c r="Z106" t="str">
        <v>Private</v>
      </c>
      <c r="AA106" t="str">
        <v>No</v>
      </c>
      <c r="AB106" t="str">
        <v>Yes</v>
      </c>
      <c r="AC106">
        <v>1</v>
      </c>
      <c r="AD106" t="str">
        <v>Free</v>
      </c>
      <c r="AE106">
        <v>1.05</v>
      </c>
      <c r="AF106" s="14">
        <f t="shared" si="1"/>
        <v>1.2847790507364976</v>
      </c>
    </row>
    <row r="107" spans="1:32" x14ac:dyDescent="0.2">
      <c r="A107">
        <v>106</v>
      </c>
      <c r="B107" cm="1">
        <f t="array" ref="B107:AE107">_xlfn.XLOOKUP($A107,Instagram_Usage_Lifestyle_Mini_!$A:$A,Instagram_Usage_Lifestyle_Mini_!$AC:$BF)</f>
        <v>240</v>
      </c>
      <c r="C107">
        <v>18</v>
      </c>
      <c r="D107">
        <v>14</v>
      </c>
      <c r="E107">
        <v>265</v>
      </c>
      <c r="F107">
        <v>115</v>
      </c>
      <c r="G107">
        <v>153</v>
      </c>
      <c r="H107">
        <v>45</v>
      </c>
      <c r="I107">
        <v>26</v>
      </c>
      <c r="J107">
        <v>20</v>
      </c>
      <c r="K107">
        <v>32</v>
      </c>
      <c r="L107">
        <v>4</v>
      </c>
      <c r="M107">
        <v>108</v>
      </c>
      <c r="N107">
        <v>30</v>
      </c>
      <c r="O107">
        <v>59</v>
      </c>
      <c r="P107">
        <v>63</v>
      </c>
      <c r="Q107">
        <v>321</v>
      </c>
      <c r="R107">
        <v>408</v>
      </c>
      <c r="S107" t="str">
        <v>No</v>
      </c>
      <c r="T107">
        <v>0.72</v>
      </c>
      <c r="U107">
        <v>2018</v>
      </c>
      <c r="V107">
        <v>45945</v>
      </c>
      <c r="W107">
        <v>13.3</v>
      </c>
      <c r="X107" t="str">
        <v>Videos</v>
      </c>
      <c r="Y107" t="str">
        <v>Fashion</v>
      </c>
      <c r="Z107" t="str">
        <v>Friends_only</v>
      </c>
      <c r="AA107" t="str">
        <v>Yes</v>
      </c>
      <c r="AB107" t="str">
        <v>Yes</v>
      </c>
      <c r="AC107">
        <v>1</v>
      </c>
      <c r="AD107" t="str">
        <v>Free</v>
      </c>
      <c r="AE107">
        <v>1.18</v>
      </c>
      <c r="AF107" s="14">
        <f t="shared" si="1"/>
        <v>0.78676470588235292</v>
      </c>
    </row>
    <row r="108" spans="1:32" x14ac:dyDescent="0.2">
      <c r="A108">
        <v>107</v>
      </c>
      <c r="B108" cm="1">
        <f t="array" ref="B108:AE108">_xlfn.XLOOKUP($A108,Instagram_Usage_Lifestyle_Mini_!$A:$A,Instagram_Usage_Lifestyle_Mini_!$AC:$BF)</f>
        <v>24</v>
      </c>
      <c r="C108">
        <v>1</v>
      </c>
      <c r="D108">
        <v>4</v>
      </c>
      <c r="E108">
        <v>57</v>
      </c>
      <c r="F108">
        <v>37</v>
      </c>
      <c r="G108">
        <v>27</v>
      </c>
      <c r="H108">
        <v>6</v>
      </c>
      <c r="I108">
        <v>12</v>
      </c>
      <c r="J108">
        <v>13</v>
      </c>
      <c r="K108">
        <v>5</v>
      </c>
      <c r="L108">
        <v>0</v>
      </c>
      <c r="M108">
        <v>14</v>
      </c>
      <c r="N108">
        <v>3</v>
      </c>
      <c r="O108">
        <v>3</v>
      </c>
      <c r="P108">
        <v>7</v>
      </c>
      <c r="Q108">
        <v>430</v>
      </c>
      <c r="R108">
        <v>418</v>
      </c>
      <c r="S108" t="str">
        <v>No</v>
      </c>
      <c r="T108">
        <v>0.86</v>
      </c>
      <c r="U108">
        <v>2014</v>
      </c>
      <c r="V108">
        <v>45838</v>
      </c>
      <c r="W108">
        <v>24</v>
      </c>
      <c r="X108" t="str">
        <v>Stories</v>
      </c>
      <c r="Y108" t="str">
        <v>Tech</v>
      </c>
      <c r="Z108" t="str">
        <v>Private</v>
      </c>
      <c r="AA108" t="str">
        <v>Yes</v>
      </c>
      <c r="AB108" t="str">
        <v>No</v>
      </c>
      <c r="AC108">
        <v>1</v>
      </c>
      <c r="AD108" t="str">
        <v>Free</v>
      </c>
      <c r="AE108">
        <v>2.04</v>
      </c>
      <c r="AF108" s="14">
        <f t="shared" si="1"/>
        <v>1.0287081339712918</v>
      </c>
    </row>
    <row r="109" spans="1:32" x14ac:dyDescent="0.2">
      <c r="A109">
        <v>108</v>
      </c>
      <c r="B109" cm="1">
        <f t="array" ref="B109:AE109">_xlfn.XLOOKUP($A109,Instagram_Usage_Lifestyle_Mini_!$A:$A,Instagram_Usage_Lifestyle_Mini_!$AC:$BF)</f>
        <v>89</v>
      </c>
      <c r="C109">
        <v>3</v>
      </c>
      <c r="D109">
        <v>5</v>
      </c>
      <c r="E109">
        <v>195</v>
      </c>
      <c r="F109">
        <v>75</v>
      </c>
      <c r="G109">
        <v>76</v>
      </c>
      <c r="H109">
        <v>15</v>
      </c>
      <c r="I109">
        <v>22</v>
      </c>
      <c r="J109">
        <v>19</v>
      </c>
      <c r="K109">
        <v>16</v>
      </c>
      <c r="L109">
        <v>3</v>
      </c>
      <c r="M109">
        <v>38</v>
      </c>
      <c r="N109">
        <v>14</v>
      </c>
      <c r="O109">
        <v>22</v>
      </c>
      <c r="P109">
        <v>21</v>
      </c>
      <c r="Q109">
        <v>1221</v>
      </c>
      <c r="R109">
        <v>2874</v>
      </c>
      <c r="S109" t="str">
        <v>No</v>
      </c>
      <c r="T109">
        <v>0.39</v>
      </c>
      <c r="U109">
        <v>2020</v>
      </c>
      <c r="V109">
        <v>45903</v>
      </c>
      <c r="W109">
        <v>29.7</v>
      </c>
      <c r="X109" t="str">
        <v>Videos</v>
      </c>
      <c r="Y109" t="str">
        <v>Art</v>
      </c>
      <c r="Z109" t="str">
        <v>Private</v>
      </c>
      <c r="AA109" t="str">
        <v>Yes</v>
      </c>
      <c r="AB109" t="str">
        <v>No</v>
      </c>
      <c r="AC109">
        <v>2</v>
      </c>
      <c r="AD109" t="str">
        <v>Free</v>
      </c>
      <c r="AE109">
        <v>1.34</v>
      </c>
      <c r="AF109" s="14">
        <f t="shared" si="1"/>
        <v>0.42484342379958245</v>
      </c>
    </row>
    <row r="110" spans="1:32" x14ac:dyDescent="0.2">
      <c r="A110">
        <v>109</v>
      </c>
      <c r="B110" cm="1">
        <f t="array" ref="B110:AE110">_xlfn.XLOOKUP($A110,Instagram_Usage_Lifestyle_Mini_!$A:$A,Instagram_Usage_Lifestyle_Mini_!$AC:$BF)</f>
        <v>270</v>
      </c>
      <c r="C110">
        <v>13</v>
      </c>
      <c r="D110">
        <v>15</v>
      </c>
      <c r="E110">
        <v>269</v>
      </c>
      <c r="F110">
        <v>123</v>
      </c>
      <c r="G110">
        <v>173</v>
      </c>
      <c r="H110">
        <v>55</v>
      </c>
      <c r="I110">
        <v>34</v>
      </c>
      <c r="J110">
        <v>34</v>
      </c>
      <c r="K110">
        <v>26</v>
      </c>
      <c r="L110">
        <v>9</v>
      </c>
      <c r="M110">
        <v>161</v>
      </c>
      <c r="N110">
        <v>72</v>
      </c>
      <c r="O110">
        <v>32</v>
      </c>
      <c r="P110">
        <v>72</v>
      </c>
      <c r="Q110">
        <v>10405</v>
      </c>
      <c r="R110">
        <v>6903</v>
      </c>
      <c r="S110" t="str">
        <v>No</v>
      </c>
      <c r="T110">
        <v>0.99</v>
      </c>
      <c r="U110">
        <v>2015</v>
      </c>
      <c r="V110">
        <v>45732</v>
      </c>
      <c r="W110">
        <v>20.8</v>
      </c>
      <c r="X110" t="str">
        <v>Mixed</v>
      </c>
      <c r="Y110" t="str">
        <v>Travel</v>
      </c>
      <c r="Z110" t="str">
        <v>Public</v>
      </c>
      <c r="AA110" t="str">
        <v>Yes</v>
      </c>
      <c r="AB110" t="str">
        <v>Yes</v>
      </c>
      <c r="AC110">
        <v>0</v>
      </c>
      <c r="AD110" t="str">
        <v>Free</v>
      </c>
      <c r="AE110">
        <v>1.21</v>
      </c>
      <c r="AF110" s="14">
        <f t="shared" si="1"/>
        <v>1.5073156598580328</v>
      </c>
    </row>
    <row r="111" spans="1:32" x14ac:dyDescent="0.2">
      <c r="A111">
        <v>110</v>
      </c>
      <c r="B111" cm="1">
        <f t="array" ref="B111:AE111">_xlfn.XLOOKUP($A111,Instagram_Usage_Lifestyle_Mini_!$A:$A,Instagram_Usage_Lifestyle_Mini_!$AC:$BF)</f>
        <v>247</v>
      </c>
      <c r="C111">
        <v>9</v>
      </c>
      <c r="D111">
        <v>16</v>
      </c>
      <c r="E111">
        <v>187</v>
      </c>
      <c r="F111">
        <v>123</v>
      </c>
      <c r="G111">
        <v>129</v>
      </c>
      <c r="H111">
        <v>46</v>
      </c>
      <c r="I111">
        <v>36</v>
      </c>
      <c r="J111">
        <v>45</v>
      </c>
      <c r="K111">
        <v>20</v>
      </c>
      <c r="L111">
        <v>8</v>
      </c>
      <c r="M111">
        <v>107</v>
      </c>
      <c r="N111">
        <v>46</v>
      </c>
      <c r="O111">
        <v>27</v>
      </c>
      <c r="P111">
        <v>59</v>
      </c>
      <c r="Q111">
        <v>930</v>
      </c>
      <c r="R111">
        <v>1767</v>
      </c>
      <c r="S111" t="str">
        <v>No</v>
      </c>
      <c r="T111">
        <v>0.06</v>
      </c>
      <c r="U111">
        <v>2015</v>
      </c>
      <c r="V111">
        <v>45932</v>
      </c>
      <c r="W111">
        <v>27.4</v>
      </c>
      <c r="X111" t="str">
        <v>Reels</v>
      </c>
      <c r="Y111" t="str">
        <v>Other</v>
      </c>
      <c r="Z111" t="str">
        <v>Public</v>
      </c>
      <c r="AA111" t="str">
        <v>Yes</v>
      </c>
      <c r="AB111" t="str">
        <v>Yes</v>
      </c>
      <c r="AC111">
        <v>5</v>
      </c>
      <c r="AD111" t="str">
        <v>Free</v>
      </c>
      <c r="AE111">
        <v>1.08</v>
      </c>
      <c r="AF111" s="14">
        <f t="shared" si="1"/>
        <v>0.52631578947368418</v>
      </c>
    </row>
    <row r="112" spans="1:32" x14ac:dyDescent="0.2">
      <c r="A112">
        <v>111</v>
      </c>
      <c r="B112" cm="1">
        <f t="array" ref="B112:AE112">_xlfn.XLOOKUP($A112,Instagram_Usage_Lifestyle_Mini_!$A:$A,Instagram_Usage_Lifestyle_Mini_!$AC:$BF)</f>
        <v>156</v>
      </c>
      <c r="C112">
        <v>7</v>
      </c>
      <c r="D112">
        <v>10</v>
      </c>
      <c r="E112">
        <v>206</v>
      </c>
      <c r="F112">
        <v>103</v>
      </c>
      <c r="G112">
        <v>120</v>
      </c>
      <c r="H112">
        <v>35</v>
      </c>
      <c r="I112">
        <v>32</v>
      </c>
      <c r="J112">
        <v>16</v>
      </c>
      <c r="K112">
        <v>22</v>
      </c>
      <c r="L112">
        <v>2</v>
      </c>
      <c r="M112">
        <v>68</v>
      </c>
      <c r="N112">
        <v>27</v>
      </c>
      <c r="O112">
        <v>31</v>
      </c>
      <c r="P112">
        <v>37</v>
      </c>
      <c r="Q112">
        <v>477</v>
      </c>
      <c r="R112">
        <v>298</v>
      </c>
      <c r="S112" t="str">
        <v>No</v>
      </c>
      <c r="T112">
        <v>0</v>
      </c>
      <c r="U112">
        <v>2017</v>
      </c>
      <c r="V112">
        <v>45957</v>
      </c>
      <c r="W112">
        <v>22.3</v>
      </c>
      <c r="X112" t="str">
        <v>Live</v>
      </c>
      <c r="Y112" t="str">
        <v>Food</v>
      </c>
      <c r="Z112" t="str">
        <v>Friends_only</v>
      </c>
      <c r="AA112" t="str">
        <v>No</v>
      </c>
      <c r="AB112" t="str">
        <v>Yes</v>
      </c>
      <c r="AC112">
        <v>1</v>
      </c>
      <c r="AD112" t="str">
        <v>Free</v>
      </c>
      <c r="AE112">
        <v>1.4</v>
      </c>
      <c r="AF112" s="14">
        <f t="shared" si="1"/>
        <v>1.6006711409395973</v>
      </c>
    </row>
    <row r="113" spans="1:32" x14ac:dyDescent="0.2">
      <c r="A113">
        <v>112</v>
      </c>
      <c r="B113" cm="1">
        <f t="array" ref="B113:AE113">_xlfn.XLOOKUP($A113,Instagram_Usage_Lifestyle_Mini_!$A:$A,Instagram_Usage_Lifestyle_Mini_!$AC:$BF)</f>
        <v>210</v>
      </c>
      <c r="C113">
        <v>7</v>
      </c>
      <c r="D113">
        <v>5</v>
      </c>
      <c r="E113">
        <v>172</v>
      </c>
      <c r="F113">
        <v>110</v>
      </c>
      <c r="G113">
        <v>108</v>
      </c>
      <c r="H113">
        <v>38</v>
      </c>
      <c r="I113">
        <v>31</v>
      </c>
      <c r="J113">
        <v>32</v>
      </c>
      <c r="K113">
        <v>20</v>
      </c>
      <c r="L113">
        <v>3</v>
      </c>
      <c r="M113">
        <v>119</v>
      </c>
      <c r="N113">
        <v>38</v>
      </c>
      <c r="O113">
        <v>36</v>
      </c>
      <c r="P113">
        <v>72</v>
      </c>
      <c r="Q113">
        <v>181</v>
      </c>
      <c r="R113">
        <v>185</v>
      </c>
      <c r="S113" t="str">
        <v>No</v>
      </c>
      <c r="T113">
        <v>0.46</v>
      </c>
      <c r="U113">
        <v>2024</v>
      </c>
      <c r="V113">
        <v>45986</v>
      </c>
      <c r="W113">
        <v>30</v>
      </c>
      <c r="X113" t="str">
        <v>Photos</v>
      </c>
      <c r="Y113" t="str">
        <v>Food</v>
      </c>
      <c r="Z113" t="str">
        <v>Private</v>
      </c>
      <c r="AA113" t="str">
        <v>Yes</v>
      </c>
      <c r="AB113" t="str">
        <v>No</v>
      </c>
      <c r="AC113">
        <v>5</v>
      </c>
      <c r="AD113" t="str">
        <v>Free</v>
      </c>
      <c r="AE113">
        <v>0.94</v>
      </c>
      <c r="AF113" s="14">
        <f t="shared" si="1"/>
        <v>0.97837837837837838</v>
      </c>
    </row>
    <row r="114" spans="1:32" x14ac:dyDescent="0.2">
      <c r="A114">
        <v>113</v>
      </c>
      <c r="B114" cm="1">
        <f t="array" ref="B114:AE114">_xlfn.XLOOKUP($A114,Instagram_Usage_Lifestyle_Mini_!$A:$A,Instagram_Usage_Lifestyle_Mini_!$AC:$BF)</f>
        <v>321</v>
      </c>
      <c r="C114">
        <v>13</v>
      </c>
      <c r="D114">
        <v>10</v>
      </c>
      <c r="E114">
        <v>300</v>
      </c>
      <c r="F114">
        <v>150</v>
      </c>
      <c r="G114">
        <v>169</v>
      </c>
      <c r="H114">
        <v>55</v>
      </c>
      <c r="I114">
        <v>36</v>
      </c>
      <c r="J114">
        <v>42</v>
      </c>
      <c r="K114">
        <v>28</v>
      </c>
      <c r="L114">
        <v>9</v>
      </c>
      <c r="M114">
        <v>153</v>
      </c>
      <c r="N114">
        <v>93</v>
      </c>
      <c r="O114">
        <v>54</v>
      </c>
      <c r="P114">
        <v>125</v>
      </c>
      <c r="Q114">
        <v>5320</v>
      </c>
      <c r="R114">
        <v>10000</v>
      </c>
      <c r="S114" t="str">
        <v>No</v>
      </c>
      <c r="T114">
        <v>0.46</v>
      </c>
      <c r="U114">
        <v>2020</v>
      </c>
      <c r="V114">
        <v>45741</v>
      </c>
      <c r="W114">
        <v>24.7</v>
      </c>
      <c r="X114" t="str">
        <v>Live</v>
      </c>
      <c r="Y114" t="str">
        <v>Tech</v>
      </c>
      <c r="Z114" t="str">
        <v>Public</v>
      </c>
      <c r="AA114" t="str">
        <v>Yes</v>
      </c>
      <c r="AB114" t="str">
        <v>No</v>
      </c>
      <c r="AC114">
        <v>3</v>
      </c>
      <c r="AD114" t="str">
        <v>Free</v>
      </c>
      <c r="AE114">
        <v>0.96</v>
      </c>
      <c r="AF114" s="14">
        <f t="shared" si="1"/>
        <v>0.53200000000000003</v>
      </c>
    </row>
    <row r="115" spans="1:32" x14ac:dyDescent="0.2">
      <c r="A115">
        <v>114</v>
      </c>
      <c r="B115" cm="1">
        <f t="array" ref="B115:AE115">_xlfn.XLOOKUP($A115,Instagram_Usage_Lifestyle_Mini_!$A:$A,Instagram_Usage_Lifestyle_Mini_!$AC:$BF)</f>
        <v>303</v>
      </c>
      <c r="C115">
        <v>10</v>
      </c>
      <c r="D115">
        <v>5</v>
      </c>
      <c r="E115">
        <v>217</v>
      </c>
      <c r="F115">
        <v>150</v>
      </c>
      <c r="G115">
        <v>184</v>
      </c>
      <c r="H115">
        <v>49</v>
      </c>
      <c r="I115">
        <v>40</v>
      </c>
      <c r="J115">
        <v>38</v>
      </c>
      <c r="K115">
        <v>26</v>
      </c>
      <c r="L115">
        <v>9</v>
      </c>
      <c r="M115">
        <v>171</v>
      </c>
      <c r="N115">
        <v>46</v>
      </c>
      <c r="O115">
        <v>37</v>
      </c>
      <c r="P115">
        <v>71</v>
      </c>
      <c r="Q115">
        <v>988</v>
      </c>
      <c r="R115">
        <v>1741</v>
      </c>
      <c r="S115" t="str">
        <v>No</v>
      </c>
      <c r="T115">
        <v>0.54</v>
      </c>
      <c r="U115">
        <v>2025</v>
      </c>
      <c r="V115">
        <v>45958</v>
      </c>
      <c r="W115">
        <v>30.3</v>
      </c>
      <c r="X115" t="str">
        <v>Photos</v>
      </c>
      <c r="Y115" t="str">
        <v>Tech</v>
      </c>
      <c r="Z115" t="str">
        <v>Friends_only</v>
      </c>
      <c r="AA115" t="str">
        <v>Yes</v>
      </c>
      <c r="AB115" t="str">
        <v>Yes</v>
      </c>
      <c r="AC115">
        <v>4</v>
      </c>
      <c r="AD115" t="str">
        <v>Free</v>
      </c>
      <c r="AE115">
        <v>0.98</v>
      </c>
      <c r="AF115" s="14">
        <f t="shared" si="1"/>
        <v>0.56748994830557153</v>
      </c>
    </row>
    <row r="116" spans="1:32" x14ac:dyDescent="0.2">
      <c r="A116">
        <v>115</v>
      </c>
      <c r="B116" cm="1">
        <f t="array" ref="B116:AE116">_xlfn.XLOOKUP($A116,Instagram_Usage_Lifestyle_Mini_!$A:$A,Instagram_Usage_Lifestyle_Mini_!$AC:$BF)</f>
        <v>256</v>
      </c>
      <c r="C116">
        <v>10</v>
      </c>
      <c r="D116">
        <v>10</v>
      </c>
      <c r="E116">
        <v>275</v>
      </c>
      <c r="F116">
        <v>124</v>
      </c>
      <c r="G116">
        <v>180</v>
      </c>
      <c r="H116">
        <v>39</v>
      </c>
      <c r="I116">
        <v>35</v>
      </c>
      <c r="J116">
        <v>43</v>
      </c>
      <c r="K116">
        <v>28</v>
      </c>
      <c r="L116">
        <v>6</v>
      </c>
      <c r="M116">
        <v>124</v>
      </c>
      <c r="N116">
        <v>45</v>
      </c>
      <c r="O116">
        <v>55</v>
      </c>
      <c r="P116">
        <v>94</v>
      </c>
      <c r="Q116">
        <v>8099</v>
      </c>
      <c r="R116">
        <v>10000</v>
      </c>
      <c r="S116" t="str">
        <v>No</v>
      </c>
      <c r="T116">
        <v>7.0000000000000007E-2</v>
      </c>
      <c r="U116">
        <v>2012</v>
      </c>
      <c r="V116">
        <v>45885</v>
      </c>
      <c r="W116">
        <v>25.6</v>
      </c>
      <c r="X116" t="str">
        <v>Videos</v>
      </c>
      <c r="Y116" t="str">
        <v>Food</v>
      </c>
      <c r="Z116" t="str">
        <v>Public</v>
      </c>
      <c r="AA116" t="str">
        <v>Yes</v>
      </c>
      <c r="AB116" t="str">
        <v>Yes</v>
      </c>
      <c r="AC116">
        <v>1</v>
      </c>
      <c r="AD116" t="str">
        <v>Free</v>
      </c>
      <c r="AE116">
        <v>1.1200000000000001</v>
      </c>
      <c r="AF116" s="14">
        <f t="shared" si="1"/>
        <v>0.80989999999999995</v>
      </c>
    </row>
    <row r="117" spans="1:32" x14ac:dyDescent="0.2">
      <c r="A117">
        <v>116</v>
      </c>
      <c r="B117" cm="1">
        <f t="array" ref="B117:AE117">_xlfn.XLOOKUP($A117,Instagram_Usage_Lifestyle_Mini_!$A:$A,Instagram_Usage_Lifestyle_Mini_!$AC:$BF)</f>
        <v>354</v>
      </c>
      <c r="C117">
        <v>27</v>
      </c>
      <c r="D117">
        <v>11</v>
      </c>
      <c r="E117">
        <v>249</v>
      </c>
      <c r="F117">
        <v>150</v>
      </c>
      <c r="G117">
        <v>174</v>
      </c>
      <c r="H117">
        <v>50</v>
      </c>
      <c r="I117">
        <v>51</v>
      </c>
      <c r="J117">
        <v>53</v>
      </c>
      <c r="K117">
        <v>32</v>
      </c>
      <c r="L117">
        <v>9</v>
      </c>
      <c r="M117">
        <v>195</v>
      </c>
      <c r="N117">
        <v>65</v>
      </c>
      <c r="O117">
        <v>59</v>
      </c>
      <c r="P117">
        <v>78</v>
      </c>
      <c r="Q117">
        <v>523</v>
      </c>
      <c r="R117">
        <v>253</v>
      </c>
      <c r="S117" t="str">
        <v>Yes</v>
      </c>
      <c r="T117">
        <v>0.09</v>
      </c>
      <c r="U117">
        <v>2021</v>
      </c>
      <c r="V117">
        <v>45785</v>
      </c>
      <c r="W117">
        <v>13.1</v>
      </c>
      <c r="X117" t="str">
        <v>Live</v>
      </c>
      <c r="Y117" t="str">
        <v>Food</v>
      </c>
      <c r="Z117" t="str">
        <v>Friends_only</v>
      </c>
      <c r="AA117" t="str">
        <v>Yes</v>
      </c>
      <c r="AB117" t="str">
        <v>No</v>
      </c>
      <c r="AC117">
        <v>0</v>
      </c>
      <c r="AD117" t="str">
        <v>Free</v>
      </c>
      <c r="AE117">
        <v>0.86</v>
      </c>
      <c r="AF117" s="14">
        <f t="shared" si="1"/>
        <v>2.0671936758893281</v>
      </c>
    </row>
    <row r="118" spans="1:32" x14ac:dyDescent="0.2">
      <c r="A118">
        <v>117</v>
      </c>
      <c r="B118" cm="1">
        <f t="array" ref="B118:AE118">_xlfn.XLOOKUP($A118,Instagram_Usage_Lifestyle_Mini_!$A:$A,Instagram_Usage_Lifestyle_Mini_!$AC:$BF)</f>
        <v>179</v>
      </c>
      <c r="C118">
        <v>13</v>
      </c>
      <c r="D118">
        <v>3</v>
      </c>
      <c r="E118">
        <v>238</v>
      </c>
      <c r="F118">
        <v>109</v>
      </c>
      <c r="G118">
        <v>111</v>
      </c>
      <c r="H118">
        <v>32</v>
      </c>
      <c r="I118">
        <v>23</v>
      </c>
      <c r="J118">
        <v>19</v>
      </c>
      <c r="K118">
        <v>17</v>
      </c>
      <c r="L118">
        <v>4</v>
      </c>
      <c r="M118">
        <v>78</v>
      </c>
      <c r="N118">
        <v>46</v>
      </c>
      <c r="O118">
        <v>21</v>
      </c>
      <c r="P118">
        <v>61</v>
      </c>
      <c r="Q118">
        <v>979</v>
      </c>
      <c r="R118">
        <v>1091</v>
      </c>
      <c r="S118" t="str">
        <v>No</v>
      </c>
      <c r="T118">
        <v>0.23</v>
      </c>
      <c r="U118">
        <v>2021</v>
      </c>
      <c r="V118">
        <v>45998</v>
      </c>
      <c r="W118">
        <v>13.8</v>
      </c>
      <c r="X118" t="str">
        <v>Mixed</v>
      </c>
      <c r="Y118" t="str">
        <v>Fashion</v>
      </c>
      <c r="Z118" t="str">
        <v>Private</v>
      </c>
      <c r="AA118" t="str">
        <v>Yes</v>
      </c>
      <c r="AB118" t="str">
        <v>No</v>
      </c>
      <c r="AC118">
        <v>1</v>
      </c>
      <c r="AD118" t="str">
        <v>Free</v>
      </c>
      <c r="AE118">
        <v>1.02</v>
      </c>
      <c r="AF118" s="14">
        <f t="shared" si="1"/>
        <v>0.89734188817598537</v>
      </c>
    </row>
    <row r="119" spans="1:32" x14ac:dyDescent="0.2">
      <c r="A119">
        <v>118</v>
      </c>
      <c r="B119" cm="1">
        <f t="array" ref="B119:AE119">_xlfn.XLOOKUP($A119,Instagram_Usage_Lifestyle_Mini_!$A:$A,Instagram_Usage_Lifestyle_Mini_!$AC:$BF)</f>
        <v>199</v>
      </c>
      <c r="C119">
        <v>17</v>
      </c>
      <c r="D119">
        <v>8</v>
      </c>
      <c r="E119">
        <v>246</v>
      </c>
      <c r="F119">
        <v>100</v>
      </c>
      <c r="G119">
        <v>116</v>
      </c>
      <c r="H119">
        <v>42</v>
      </c>
      <c r="I119">
        <v>29</v>
      </c>
      <c r="J119">
        <v>44</v>
      </c>
      <c r="K119">
        <v>34</v>
      </c>
      <c r="L119">
        <v>6</v>
      </c>
      <c r="M119">
        <v>105</v>
      </c>
      <c r="N119">
        <v>39</v>
      </c>
      <c r="O119">
        <v>37</v>
      </c>
      <c r="P119">
        <v>62</v>
      </c>
      <c r="Q119">
        <v>381</v>
      </c>
      <c r="R119">
        <v>741</v>
      </c>
      <c r="S119" t="str">
        <v>No</v>
      </c>
      <c r="T119">
        <v>0.75</v>
      </c>
      <c r="U119">
        <v>2018</v>
      </c>
      <c r="V119">
        <v>45939</v>
      </c>
      <c r="W119">
        <v>11.7</v>
      </c>
      <c r="X119" t="str">
        <v>Videos</v>
      </c>
      <c r="Y119" t="str">
        <v>Food</v>
      </c>
      <c r="Z119" t="str">
        <v>Public</v>
      </c>
      <c r="AA119" t="str">
        <v>No</v>
      </c>
      <c r="AB119" t="str">
        <v>No</v>
      </c>
      <c r="AC119">
        <v>1</v>
      </c>
      <c r="AD119" t="str">
        <v>Premium</v>
      </c>
      <c r="AE119">
        <v>1.1200000000000001</v>
      </c>
      <c r="AF119" s="14">
        <f t="shared" si="1"/>
        <v>0.51417004048582993</v>
      </c>
    </row>
    <row r="120" spans="1:32" x14ac:dyDescent="0.2">
      <c r="A120">
        <v>119</v>
      </c>
      <c r="B120" cm="1">
        <f t="array" ref="B120:AE120">_xlfn.XLOOKUP($A120,Instagram_Usage_Lifestyle_Mini_!$A:$A,Instagram_Usage_Lifestyle_Mini_!$AC:$BF)</f>
        <v>136</v>
      </c>
      <c r="C120">
        <v>5</v>
      </c>
      <c r="D120">
        <v>4</v>
      </c>
      <c r="E120">
        <v>120</v>
      </c>
      <c r="F120">
        <v>85</v>
      </c>
      <c r="G120">
        <v>99</v>
      </c>
      <c r="H120">
        <v>30</v>
      </c>
      <c r="I120">
        <v>19</v>
      </c>
      <c r="J120">
        <v>19</v>
      </c>
      <c r="K120">
        <v>20</v>
      </c>
      <c r="L120">
        <v>4</v>
      </c>
      <c r="M120">
        <v>55</v>
      </c>
      <c r="N120">
        <v>24</v>
      </c>
      <c r="O120">
        <v>28</v>
      </c>
      <c r="P120">
        <v>37</v>
      </c>
      <c r="Q120">
        <v>414</v>
      </c>
      <c r="R120">
        <v>219</v>
      </c>
      <c r="S120" t="str">
        <v>No</v>
      </c>
      <c r="T120">
        <v>0.9</v>
      </c>
      <c r="U120">
        <v>2022</v>
      </c>
      <c r="V120">
        <v>45728</v>
      </c>
      <c r="W120">
        <v>27.2</v>
      </c>
      <c r="X120" t="str">
        <v>Live</v>
      </c>
      <c r="Y120" t="str">
        <v>Travel</v>
      </c>
      <c r="Z120" t="str">
        <v>Private</v>
      </c>
      <c r="AA120" t="str">
        <v>Yes</v>
      </c>
      <c r="AB120" t="str">
        <v>No</v>
      </c>
      <c r="AC120">
        <v>3</v>
      </c>
      <c r="AD120" t="str">
        <v>Free</v>
      </c>
      <c r="AE120">
        <v>1.25</v>
      </c>
      <c r="AF120" s="14">
        <f t="shared" si="1"/>
        <v>1.8904109589041096</v>
      </c>
    </row>
    <row r="121" spans="1:32" x14ac:dyDescent="0.2">
      <c r="A121">
        <v>120</v>
      </c>
      <c r="B121" cm="1">
        <f t="array" ref="B121:AE121">_xlfn.XLOOKUP($A121,Instagram_Usage_Lifestyle_Mini_!$A:$A,Instagram_Usage_Lifestyle_Mini_!$AC:$BF)</f>
        <v>151</v>
      </c>
      <c r="C121">
        <v>11</v>
      </c>
      <c r="D121">
        <v>9</v>
      </c>
      <c r="E121">
        <v>139</v>
      </c>
      <c r="F121">
        <v>89</v>
      </c>
      <c r="G121">
        <v>95</v>
      </c>
      <c r="H121">
        <v>30</v>
      </c>
      <c r="I121">
        <v>22</v>
      </c>
      <c r="J121">
        <v>26</v>
      </c>
      <c r="K121">
        <v>18</v>
      </c>
      <c r="L121">
        <v>4</v>
      </c>
      <c r="M121">
        <v>63</v>
      </c>
      <c r="N121">
        <v>37</v>
      </c>
      <c r="O121">
        <v>31</v>
      </c>
      <c r="P121">
        <v>31</v>
      </c>
      <c r="Q121">
        <v>933</v>
      </c>
      <c r="R121">
        <v>2146</v>
      </c>
      <c r="S121" t="str">
        <v>No</v>
      </c>
      <c r="T121">
        <v>0.05</v>
      </c>
      <c r="U121">
        <v>2020</v>
      </c>
      <c r="V121">
        <v>45727</v>
      </c>
      <c r="W121">
        <v>13.7</v>
      </c>
      <c r="X121" t="str">
        <v>Reels</v>
      </c>
      <c r="Y121" t="str">
        <v>Travel</v>
      </c>
      <c r="Z121" t="str">
        <v>Friends_only</v>
      </c>
      <c r="AA121" t="str">
        <v>Yes</v>
      </c>
      <c r="AB121" t="str">
        <v>Yes</v>
      </c>
      <c r="AC121">
        <v>2</v>
      </c>
      <c r="AD121" t="str">
        <v>Free</v>
      </c>
      <c r="AE121">
        <v>1.2</v>
      </c>
      <c r="AF121" s="14">
        <f t="shared" si="1"/>
        <v>0.43476234855545198</v>
      </c>
    </row>
    <row r="122" spans="1:32" x14ac:dyDescent="0.2">
      <c r="A122">
        <v>121</v>
      </c>
      <c r="B122" cm="1">
        <f t="array" ref="B122:AE122">_xlfn.XLOOKUP($A122,Instagram_Usage_Lifestyle_Mini_!$A:$A,Instagram_Usage_Lifestyle_Mini_!$AC:$BF)</f>
        <v>338</v>
      </c>
      <c r="C122">
        <v>10</v>
      </c>
      <c r="D122">
        <v>5</v>
      </c>
      <c r="E122">
        <v>212</v>
      </c>
      <c r="F122">
        <v>150</v>
      </c>
      <c r="G122">
        <v>207</v>
      </c>
      <c r="H122">
        <v>51</v>
      </c>
      <c r="I122">
        <v>43</v>
      </c>
      <c r="J122">
        <v>45</v>
      </c>
      <c r="K122">
        <v>33</v>
      </c>
      <c r="L122">
        <v>8</v>
      </c>
      <c r="M122">
        <v>163</v>
      </c>
      <c r="N122">
        <v>47</v>
      </c>
      <c r="O122">
        <v>54</v>
      </c>
      <c r="P122">
        <v>72</v>
      </c>
      <c r="Q122">
        <v>1930</v>
      </c>
      <c r="R122">
        <v>3643</v>
      </c>
      <c r="S122" t="str">
        <v>Yes</v>
      </c>
      <c r="T122">
        <v>0.97</v>
      </c>
      <c r="U122">
        <v>2018</v>
      </c>
      <c r="V122">
        <v>45673</v>
      </c>
      <c r="W122">
        <v>33.799999999999997</v>
      </c>
      <c r="X122" t="str">
        <v>Stories</v>
      </c>
      <c r="Y122" t="str">
        <v>Fashion</v>
      </c>
      <c r="Z122" t="str">
        <v>Private</v>
      </c>
      <c r="AA122" t="str">
        <v>Yes</v>
      </c>
      <c r="AB122" t="str">
        <v>No</v>
      </c>
      <c r="AC122">
        <v>2</v>
      </c>
      <c r="AD122" t="str">
        <v>Free</v>
      </c>
      <c r="AE122">
        <v>0.96</v>
      </c>
      <c r="AF122" s="14">
        <f t="shared" si="1"/>
        <v>0.52978314575898988</v>
      </c>
    </row>
    <row r="123" spans="1:32" x14ac:dyDescent="0.2">
      <c r="A123">
        <v>122</v>
      </c>
      <c r="B123" cm="1">
        <f t="array" ref="B123:AE123">_xlfn.XLOOKUP($A123,Instagram_Usage_Lifestyle_Mini_!$A:$A,Instagram_Usage_Lifestyle_Mini_!$AC:$BF)</f>
        <v>305</v>
      </c>
      <c r="C123">
        <v>17</v>
      </c>
      <c r="D123">
        <v>13</v>
      </c>
      <c r="E123">
        <v>275</v>
      </c>
      <c r="F123">
        <v>150</v>
      </c>
      <c r="G123">
        <v>163</v>
      </c>
      <c r="H123">
        <v>50</v>
      </c>
      <c r="I123">
        <v>43</v>
      </c>
      <c r="J123">
        <v>44</v>
      </c>
      <c r="K123">
        <v>26</v>
      </c>
      <c r="L123">
        <v>4</v>
      </c>
      <c r="M123">
        <v>124</v>
      </c>
      <c r="N123">
        <v>88</v>
      </c>
      <c r="O123">
        <v>38</v>
      </c>
      <c r="P123">
        <v>95</v>
      </c>
      <c r="Q123">
        <v>1970</v>
      </c>
      <c r="R123">
        <v>2950</v>
      </c>
      <c r="S123" t="str">
        <v>Yes</v>
      </c>
      <c r="T123">
        <v>0.75</v>
      </c>
      <c r="U123">
        <v>2018</v>
      </c>
      <c r="V123">
        <v>45892</v>
      </c>
      <c r="W123">
        <v>17.899999999999999</v>
      </c>
      <c r="X123" t="str">
        <v>Live</v>
      </c>
      <c r="Y123" t="str">
        <v>Music</v>
      </c>
      <c r="Z123" t="str">
        <v>Public</v>
      </c>
      <c r="AA123" t="str">
        <v>Yes</v>
      </c>
      <c r="AB123" t="str">
        <v>No</v>
      </c>
      <c r="AC123">
        <v>1</v>
      </c>
      <c r="AD123" t="str">
        <v>Premium</v>
      </c>
      <c r="AE123">
        <v>0.99</v>
      </c>
      <c r="AF123" s="14">
        <f t="shared" si="1"/>
        <v>0.66779661016949154</v>
      </c>
    </row>
    <row r="124" spans="1:32" x14ac:dyDescent="0.2">
      <c r="A124">
        <v>123</v>
      </c>
      <c r="B124" cm="1">
        <f t="array" ref="B124:AE124">_xlfn.XLOOKUP($A124,Instagram_Usage_Lifestyle_Mini_!$A:$A,Instagram_Usage_Lifestyle_Mini_!$AC:$BF)</f>
        <v>103</v>
      </c>
      <c r="C124">
        <v>3</v>
      </c>
      <c r="D124">
        <v>1</v>
      </c>
      <c r="E124">
        <v>97</v>
      </c>
      <c r="F124">
        <v>73</v>
      </c>
      <c r="G124">
        <v>78</v>
      </c>
      <c r="H124">
        <v>24</v>
      </c>
      <c r="I124">
        <v>25</v>
      </c>
      <c r="J124">
        <v>30</v>
      </c>
      <c r="K124">
        <v>17</v>
      </c>
      <c r="L124">
        <v>2</v>
      </c>
      <c r="M124">
        <v>51</v>
      </c>
      <c r="N124">
        <v>16</v>
      </c>
      <c r="O124">
        <v>10</v>
      </c>
      <c r="P124">
        <v>28</v>
      </c>
      <c r="Q124">
        <v>578</v>
      </c>
      <c r="R124">
        <v>232</v>
      </c>
      <c r="S124" t="str">
        <v>No</v>
      </c>
      <c r="T124">
        <v>0.69</v>
      </c>
      <c r="U124">
        <v>2025</v>
      </c>
      <c r="V124">
        <v>45829</v>
      </c>
      <c r="W124">
        <v>34.299999999999997</v>
      </c>
      <c r="X124" t="str">
        <v>Stories</v>
      </c>
      <c r="Y124" t="str">
        <v>Tech</v>
      </c>
      <c r="Z124" t="str">
        <v>Public</v>
      </c>
      <c r="AA124" t="str">
        <v>No</v>
      </c>
      <c r="AB124" t="str">
        <v>No</v>
      </c>
      <c r="AC124">
        <v>0</v>
      </c>
      <c r="AD124" t="str">
        <v>Premium</v>
      </c>
      <c r="AE124">
        <v>1.24</v>
      </c>
      <c r="AF124" s="14">
        <f t="shared" si="1"/>
        <v>2.4913793103448274</v>
      </c>
    </row>
    <row r="125" spans="1:32" x14ac:dyDescent="0.2">
      <c r="A125">
        <v>124</v>
      </c>
      <c r="B125" cm="1">
        <f t="array" ref="B125:AE125">_xlfn.XLOOKUP($A125,Instagram_Usage_Lifestyle_Mini_!$A:$A,Instagram_Usage_Lifestyle_Mini_!$AC:$BF)</f>
        <v>65</v>
      </c>
      <c r="C125">
        <v>2</v>
      </c>
      <c r="D125">
        <v>2</v>
      </c>
      <c r="E125">
        <v>76</v>
      </c>
      <c r="F125">
        <v>56</v>
      </c>
      <c r="G125">
        <v>68</v>
      </c>
      <c r="H125">
        <v>18</v>
      </c>
      <c r="I125">
        <v>19</v>
      </c>
      <c r="J125">
        <v>10</v>
      </c>
      <c r="K125">
        <v>12</v>
      </c>
      <c r="L125">
        <v>2</v>
      </c>
      <c r="M125">
        <v>32</v>
      </c>
      <c r="N125">
        <v>15</v>
      </c>
      <c r="O125">
        <v>7</v>
      </c>
      <c r="P125">
        <v>23</v>
      </c>
      <c r="Q125">
        <v>955</v>
      </c>
      <c r="R125">
        <v>1009</v>
      </c>
      <c r="S125" t="str">
        <v>No</v>
      </c>
      <c r="T125">
        <v>0.89</v>
      </c>
      <c r="U125">
        <v>2024</v>
      </c>
      <c r="V125">
        <v>45996</v>
      </c>
      <c r="W125">
        <v>32.5</v>
      </c>
      <c r="X125" t="str">
        <v>Stories</v>
      </c>
      <c r="Y125" t="str">
        <v>Fashion</v>
      </c>
      <c r="Z125" t="str">
        <v>Public</v>
      </c>
      <c r="AA125" t="str">
        <v>Yes</v>
      </c>
      <c r="AB125" t="str">
        <v>No</v>
      </c>
      <c r="AC125">
        <v>1</v>
      </c>
      <c r="AD125" t="str">
        <v>Business</v>
      </c>
      <c r="AE125">
        <v>1.67</v>
      </c>
      <c r="AF125" s="14">
        <f t="shared" si="1"/>
        <v>0.94648166501486619</v>
      </c>
    </row>
    <row r="126" spans="1:32" x14ac:dyDescent="0.2">
      <c r="A126">
        <v>125</v>
      </c>
      <c r="B126" cm="1">
        <f t="array" ref="B126:AE126">_xlfn.XLOOKUP($A126,Instagram_Usage_Lifestyle_Mini_!$A:$A,Instagram_Usage_Lifestyle_Mini_!$AC:$BF)</f>
        <v>168</v>
      </c>
      <c r="C126">
        <v>11</v>
      </c>
      <c r="D126">
        <v>2</v>
      </c>
      <c r="E126">
        <v>162</v>
      </c>
      <c r="F126">
        <v>82</v>
      </c>
      <c r="G126">
        <v>126</v>
      </c>
      <c r="H126">
        <v>39</v>
      </c>
      <c r="I126">
        <v>18</v>
      </c>
      <c r="J126">
        <v>22</v>
      </c>
      <c r="K126">
        <v>16</v>
      </c>
      <c r="L126">
        <v>6</v>
      </c>
      <c r="M126">
        <v>72</v>
      </c>
      <c r="N126">
        <v>36</v>
      </c>
      <c r="O126">
        <v>27</v>
      </c>
      <c r="P126">
        <v>57</v>
      </c>
      <c r="Q126">
        <v>1053</v>
      </c>
      <c r="R126">
        <v>718</v>
      </c>
      <c r="S126" t="str">
        <v>No</v>
      </c>
      <c r="T126">
        <v>0.39</v>
      </c>
      <c r="U126">
        <v>2016</v>
      </c>
      <c r="V126">
        <v>45742</v>
      </c>
      <c r="W126">
        <v>15.3</v>
      </c>
      <c r="X126" t="str">
        <v>Photos</v>
      </c>
      <c r="Y126" t="str">
        <v>Tech</v>
      </c>
      <c r="Z126" t="str">
        <v>Public</v>
      </c>
      <c r="AA126" t="str">
        <v>Yes</v>
      </c>
      <c r="AB126" t="str">
        <v>No</v>
      </c>
      <c r="AC126">
        <v>1</v>
      </c>
      <c r="AD126" t="str">
        <v>Free</v>
      </c>
      <c r="AE126">
        <v>1.24</v>
      </c>
      <c r="AF126" s="14">
        <f t="shared" si="1"/>
        <v>1.4665738161559889</v>
      </c>
    </row>
    <row r="127" spans="1:32" x14ac:dyDescent="0.2">
      <c r="A127">
        <v>126</v>
      </c>
      <c r="B127" cm="1">
        <f t="array" ref="B127:AE127">_xlfn.XLOOKUP($A127,Instagram_Usage_Lifestyle_Mini_!$A:$A,Instagram_Usage_Lifestyle_Mini_!$AC:$BF)</f>
        <v>137</v>
      </c>
      <c r="C127">
        <v>11</v>
      </c>
      <c r="D127">
        <v>2</v>
      </c>
      <c r="E127">
        <v>118</v>
      </c>
      <c r="F127">
        <v>80</v>
      </c>
      <c r="G127">
        <v>102</v>
      </c>
      <c r="H127">
        <v>30</v>
      </c>
      <c r="I127">
        <v>26</v>
      </c>
      <c r="J127">
        <v>20</v>
      </c>
      <c r="K127">
        <v>16</v>
      </c>
      <c r="L127">
        <v>2</v>
      </c>
      <c r="M127">
        <v>64</v>
      </c>
      <c r="N127">
        <v>23</v>
      </c>
      <c r="O127">
        <v>16</v>
      </c>
      <c r="P127">
        <v>48</v>
      </c>
      <c r="Q127">
        <v>904</v>
      </c>
      <c r="R127">
        <v>617</v>
      </c>
      <c r="S127" t="str">
        <v>Yes</v>
      </c>
      <c r="T127">
        <v>0.61</v>
      </c>
      <c r="U127">
        <v>2011</v>
      </c>
      <c r="V127">
        <v>45876</v>
      </c>
      <c r="W127">
        <v>12.5</v>
      </c>
      <c r="X127" t="str">
        <v>Mixed</v>
      </c>
      <c r="Y127" t="str">
        <v>Fashion</v>
      </c>
      <c r="Z127" t="str">
        <v>Public</v>
      </c>
      <c r="AA127" t="str">
        <v>Yes</v>
      </c>
      <c r="AB127" t="str">
        <v>No</v>
      </c>
      <c r="AC127">
        <v>1</v>
      </c>
      <c r="AD127" t="str">
        <v>Free</v>
      </c>
      <c r="AE127">
        <v>1.22</v>
      </c>
      <c r="AF127" s="14">
        <f t="shared" si="1"/>
        <v>1.4651539708265802</v>
      </c>
    </row>
    <row r="128" spans="1:32" x14ac:dyDescent="0.2">
      <c r="A128">
        <v>127</v>
      </c>
      <c r="B128" cm="1">
        <f t="array" ref="B128:AE128">_xlfn.XLOOKUP($A128,Instagram_Usage_Lifestyle_Mini_!$A:$A,Instagram_Usage_Lifestyle_Mini_!$AC:$BF)</f>
        <v>120</v>
      </c>
      <c r="C128">
        <v>4</v>
      </c>
      <c r="D128">
        <v>5</v>
      </c>
      <c r="E128">
        <v>187</v>
      </c>
      <c r="F128">
        <v>78</v>
      </c>
      <c r="G128">
        <v>85</v>
      </c>
      <c r="H128">
        <v>31</v>
      </c>
      <c r="I128">
        <v>29</v>
      </c>
      <c r="J128">
        <v>19</v>
      </c>
      <c r="K128">
        <v>17</v>
      </c>
      <c r="L128">
        <v>2</v>
      </c>
      <c r="M128">
        <v>60</v>
      </c>
      <c r="N128">
        <v>31</v>
      </c>
      <c r="O128">
        <v>12</v>
      </c>
      <c r="P128">
        <v>31</v>
      </c>
      <c r="Q128">
        <v>266</v>
      </c>
      <c r="R128">
        <v>169</v>
      </c>
      <c r="S128" t="str">
        <v>No</v>
      </c>
      <c r="T128">
        <v>0.43</v>
      </c>
      <c r="U128">
        <v>2021</v>
      </c>
      <c r="V128">
        <v>45808</v>
      </c>
      <c r="W128">
        <v>30</v>
      </c>
      <c r="X128" t="str">
        <v>Reels</v>
      </c>
      <c r="Y128" t="str">
        <v>Tech</v>
      </c>
      <c r="Z128" t="str">
        <v>Friends_only</v>
      </c>
      <c r="AA128" t="str">
        <v>Yes</v>
      </c>
      <c r="AB128" t="str">
        <v>No</v>
      </c>
      <c r="AC128">
        <v>5</v>
      </c>
      <c r="AD128" t="str">
        <v>Business</v>
      </c>
      <c r="AE128">
        <v>1.34</v>
      </c>
      <c r="AF128" s="14">
        <f t="shared" si="1"/>
        <v>1.5739644970414202</v>
      </c>
    </row>
    <row r="129" spans="1:32" x14ac:dyDescent="0.2">
      <c r="A129">
        <v>128</v>
      </c>
      <c r="B129" cm="1">
        <f t="array" ref="B129:AE129">_xlfn.XLOOKUP($A129,Instagram_Usage_Lifestyle_Mini_!$A:$A,Instagram_Usage_Lifestyle_Mini_!$AC:$BF)</f>
        <v>315</v>
      </c>
      <c r="C129">
        <v>18</v>
      </c>
      <c r="D129">
        <v>12</v>
      </c>
      <c r="E129">
        <v>300</v>
      </c>
      <c r="F129">
        <v>150</v>
      </c>
      <c r="G129">
        <v>183</v>
      </c>
      <c r="H129">
        <v>51</v>
      </c>
      <c r="I129">
        <v>30</v>
      </c>
      <c r="J129">
        <v>49</v>
      </c>
      <c r="K129">
        <v>33</v>
      </c>
      <c r="L129">
        <v>8</v>
      </c>
      <c r="M129">
        <v>127</v>
      </c>
      <c r="N129">
        <v>73</v>
      </c>
      <c r="O129">
        <v>69</v>
      </c>
      <c r="P129">
        <v>77</v>
      </c>
      <c r="Q129">
        <v>2026</v>
      </c>
      <c r="R129">
        <v>1377</v>
      </c>
      <c r="S129" t="str">
        <v>Yes</v>
      </c>
      <c r="T129">
        <v>0.46</v>
      </c>
      <c r="U129">
        <v>2016</v>
      </c>
      <c r="V129">
        <v>45724</v>
      </c>
      <c r="W129">
        <v>17.5</v>
      </c>
      <c r="X129" t="str">
        <v>Mixed</v>
      </c>
      <c r="Y129" t="str">
        <v>Other</v>
      </c>
      <c r="Z129" t="str">
        <v>Private</v>
      </c>
      <c r="AA129" t="str">
        <v>No</v>
      </c>
      <c r="AB129" t="str">
        <v>No</v>
      </c>
      <c r="AC129">
        <v>4</v>
      </c>
      <c r="AD129" t="str">
        <v>Free</v>
      </c>
      <c r="AE129">
        <v>1.02</v>
      </c>
      <c r="AF129" s="14">
        <f t="shared" si="1"/>
        <v>1.4713144517066086</v>
      </c>
    </row>
    <row r="130" spans="1:32" x14ac:dyDescent="0.2">
      <c r="A130">
        <v>129</v>
      </c>
      <c r="B130" cm="1">
        <f t="array" ref="B130:AE130">_xlfn.XLOOKUP($A130,Instagram_Usage_Lifestyle_Mini_!$A:$A,Instagram_Usage_Lifestyle_Mini_!$AC:$BF)</f>
        <v>214</v>
      </c>
      <c r="C130">
        <v>7</v>
      </c>
      <c r="D130">
        <v>12</v>
      </c>
      <c r="E130">
        <v>281</v>
      </c>
      <c r="F130">
        <v>112</v>
      </c>
      <c r="G130">
        <v>132</v>
      </c>
      <c r="H130">
        <v>41</v>
      </c>
      <c r="I130">
        <v>35</v>
      </c>
      <c r="J130">
        <v>30</v>
      </c>
      <c r="K130">
        <v>28</v>
      </c>
      <c r="L130">
        <v>9</v>
      </c>
      <c r="M130">
        <v>126</v>
      </c>
      <c r="N130">
        <v>22</v>
      </c>
      <c r="O130">
        <v>22</v>
      </c>
      <c r="P130">
        <v>46</v>
      </c>
      <c r="Q130">
        <v>224</v>
      </c>
      <c r="R130">
        <v>147</v>
      </c>
      <c r="S130" t="str">
        <v>No</v>
      </c>
      <c r="T130">
        <v>0.49</v>
      </c>
      <c r="U130">
        <v>2021</v>
      </c>
      <c r="V130">
        <v>45794</v>
      </c>
      <c r="W130">
        <v>30.6</v>
      </c>
      <c r="X130" t="str">
        <v>Photos</v>
      </c>
      <c r="Y130" t="str">
        <v>Food</v>
      </c>
      <c r="Z130" t="str">
        <v>Private</v>
      </c>
      <c r="AA130" t="str">
        <v>No</v>
      </c>
      <c r="AB130" t="str">
        <v>No</v>
      </c>
      <c r="AC130">
        <v>5</v>
      </c>
      <c r="AD130" t="str">
        <v>Free</v>
      </c>
      <c r="AE130">
        <v>1.1599999999999999</v>
      </c>
      <c r="AF130" s="14">
        <f t="shared" si="1"/>
        <v>1.5238095238095237</v>
      </c>
    </row>
    <row r="131" spans="1:32" x14ac:dyDescent="0.2">
      <c r="A131">
        <v>130</v>
      </c>
      <c r="B131" cm="1">
        <f t="array" ref="B131:AE131">_xlfn.XLOOKUP($A131,Instagram_Usage_Lifestyle_Mini_!$A:$A,Instagram_Usage_Lifestyle_Mini_!$AC:$BF)</f>
        <v>61</v>
      </c>
      <c r="C131">
        <v>4</v>
      </c>
      <c r="D131">
        <v>5</v>
      </c>
      <c r="E131">
        <v>156</v>
      </c>
      <c r="F131">
        <v>55</v>
      </c>
      <c r="G131">
        <v>65</v>
      </c>
      <c r="H131">
        <v>12</v>
      </c>
      <c r="I131">
        <v>12</v>
      </c>
      <c r="J131">
        <v>11</v>
      </c>
      <c r="K131">
        <v>9</v>
      </c>
      <c r="L131">
        <v>1</v>
      </c>
      <c r="M131">
        <v>29</v>
      </c>
      <c r="N131">
        <v>14</v>
      </c>
      <c r="O131">
        <v>10</v>
      </c>
      <c r="P131">
        <v>22</v>
      </c>
      <c r="Q131">
        <v>1607</v>
      </c>
      <c r="R131">
        <v>2776</v>
      </c>
      <c r="S131" t="str">
        <v>No</v>
      </c>
      <c r="T131">
        <v>0.63</v>
      </c>
      <c r="U131">
        <v>2013</v>
      </c>
      <c r="V131">
        <v>45940</v>
      </c>
      <c r="W131">
        <v>15.2</v>
      </c>
      <c r="X131" t="str">
        <v>Mixed</v>
      </c>
      <c r="Y131" t="str">
        <v>Other</v>
      </c>
      <c r="Z131" t="str">
        <v>Friends_only</v>
      </c>
      <c r="AA131" t="str">
        <v>No</v>
      </c>
      <c r="AB131" t="str">
        <v>No</v>
      </c>
      <c r="AC131">
        <v>1</v>
      </c>
      <c r="AD131" t="str">
        <v>Business</v>
      </c>
      <c r="AE131">
        <v>1.68</v>
      </c>
      <c r="AF131" s="14">
        <f t="shared" ref="AF131:AF194" si="2">IF(R131=0,0,Q131/R131)</f>
        <v>0.57889048991354464</v>
      </c>
    </row>
    <row r="132" spans="1:32" x14ac:dyDescent="0.2">
      <c r="A132">
        <v>131</v>
      </c>
      <c r="B132" cm="1">
        <f t="array" ref="B132:AE132">_xlfn.XLOOKUP($A132,Instagram_Usage_Lifestyle_Mini_!$A:$A,Instagram_Usage_Lifestyle_Mini_!$AC:$BF)</f>
        <v>263</v>
      </c>
      <c r="C132">
        <v>8</v>
      </c>
      <c r="D132">
        <v>6</v>
      </c>
      <c r="E132">
        <v>224</v>
      </c>
      <c r="F132">
        <v>132</v>
      </c>
      <c r="G132">
        <v>161</v>
      </c>
      <c r="H132">
        <v>51</v>
      </c>
      <c r="I132">
        <v>31</v>
      </c>
      <c r="J132">
        <v>37</v>
      </c>
      <c r="K132">
        <v>24</v>
      </c>
      <c r="L132">
        <v>3</v>
      </c>
      <c r="M132">
        <v>137</v>
      </c>
      <c r="N132">
        <v>30</v>
      </c>
      <c r="O132">
        <v>37</v>
      </c>
      <c r="P132">
        <v>101</v>
      </c>
      <c r="Q132">
        <v>242</v>
      </c>
      <c r="R132">
        <v>291</v>
      </c>
      <c r="S132" t="str">
        <v>Yes</v>
      </c>
      <c r="T132">
        <v>0.54</v>
      </c>
      <c r="U132">
        <v>2016</v>
      </c>
      <c r="V132">
        <v>45691</v>
      </c>
      <c r="W132">
        <v>32.9</v>
      </c>
      <c r="X132" t="str">
        <v>Videos</v>
      </c>
      <c r="Y132" t="str">
        <v>Tech</v>
      </c>
      <c r="Z132" t="str">
        <v>Private</v>
      </c>
      <c r="AA132" t="str">
        <v>Yes</v>
      </c>
      <c r="AB132" t="str">
        <v>No</v>
      </c>
      <c r="AC132">
        <v>3</v>
      </c>
      <c r="AD132" t="str">
        <v>Free</v>
      </c>
      <c r="AE132">
        <v>1.06</v>
      </c>
      <c r="AF132" s="14">
        <f t="shared" si="2"/>
        <v>0.83161512027491413</v>
      </c>
    </row>
    <row r="133" spans="1:32" x14ac:dyDescent="0.2">
      <c r="A133">
        <v>132</v>
      </c>
      <c r="B133" cm="1">
        <f t="array" ref="B133:AE133">_xlfn.XLOOKUP($A133,Instagram_Usage_Lifestyle_Mini_!$A:$A,Instagram_Usage_Lifestyle_Mini_!$AC:$BF)</f>
        <v>278</v>
      </c>
      <c r="C133">
        <v>11</v>
      </c>
      <c r="D133">
        <v>9</v>
      </c>
      <c r="E133">
        <v>212</v>
      </c>
      <c r="F133">
        <v>128</v>
      </c>
      <c r="G133">
        <v>168</v>
      </c>
      <c r="H133">
        <v>40</v>
      </c>
      <c r="I133">
        <v>31</v>
      </c>
      <c r="J133">
        <v>44</v>
      </c>
      <c r="K133">
        <v>28</v>
      </c>
      <c r="L133">
        <v>4</v>
      </c>
      <c r="M133">
        <v>124</v>
      </c>
      <c r="N133">
        <v>78</v>
      </c>
      <c r="O133">
        <v>44</v>
      </c>
      <c r="P133">
        <v>94</v>
      </c>
      <c r="Q133">
        <v>1702</v>
      </c>
      <c r="R133">
        <v>2745</v>
      </c>
      <c r="S133" t="str">
        <v>No</v>
      </c>
      <c r="T133">
        <v>0.03</v>
      </c>
      <c r="U133">
        <v>2011</v>
      </c>
      <c r="V133">
        <v>45867</v>
      </c>
      <c r="W133">
        <v>25.3</v>
      </c>
      <c r="X133" t="str">
        <v>Stories</v>
      </c>
      <c r="Y133" t="str">
        <v>Art</v>
      </c>
      <c r="Z133" t="str">
        <v>Public</v>
      </c>
      <c r="AA133" t="str">
        <v>Yes</v>
      </c>
      <c r="AB133" t="str">
        <v>No</v>
      </c>
      <c r="AC133">
        <v>0</v>
      </c>
      <c r="AD133" t="str">
        <v>Free</v>
      </c>
      <c r="AE133">
        <v>0.99</v>
      </c>
      <c r="AF133" s="14">
        <f t="shared" si="2"/>
        <v>0.62003642987249541</v>
      </c>
    </row>
    <row r="134" spans="1:32" x14ac:dyDescent="0.2">
      <c r="A134">
        <v>133</v>
      </c>
      <c r="B134" cm="1">
        <f t="array" ref="B134:AE134">_xlfn.XLOOKUP($A134,Instagram_Usage_Lifestyle_Mini_!$A:$A,Instagram_Usage_Lifestyle_Mini_!$AC:$BF)</f>
        <v>319</v>
      </c>
      <c r="C134">
        <v>11</v>
      </c>
      <c r="D134">
        <v>6</v>
      </c>
      <c r="E134">
        <v>257</v>
      </c>
      <c r="F134">
        <v>149</v>
      </c>
      <c r="G134">
        <v>177</v>
      </c>
      <c r="H134">
        <v>65</v>
      </c>
      <c r="I134">
        <v>37</v>
      </c>
      <c r="J134">
        <v>44</v>
      </c>
      <c r="K134">
        <v>25</v>
      </c>
      <c r="L134">
        <v>8</v>
      </c>
      <c r="M134">
        <v>129</v>
      </c>
      <c r="N134">
        <v>39</v>
      </c>
      <c r="O134">
        <v>51</v>
      </c>
      <c r="P134">
        <v>101</v>
      </c>
      <c r="Q134">
        <v>401</v>
      </c>
      <c r="R134">
        <v>168</v>
      </c>
      <c r="S134" t="str">
        <v>No</v>
      </c>
      <c r="T134">
        <v>0.49</v>
      </c>
      <c r="U134">
        <v>2022</v>
      </c>
      <c r="V134">
        <v>45921</v>
      </c>
      <c r="W134">
        <v>29</v>
      </c>
      <c r="X134" t="str">
        <v>Reels</v>
      </c>
      <c r="Y134" t="str">
        <v>Food</v>
      </c>
      <c r="Z134" t="str">
        <v>Private</v>
      </c>
      <c r="AA134" t="str">
        <v>Yes</v>
      </c>
      <c r="AB134" t="str">
        <v>No</v>
      </c>
      <c r="AC134">
        <v>3</v>
      </c>
      <c r="AD134" t="str">
        <v>Free</v>
      </c>
      <c r="AE134">
        <v>1.02</v>
      </c>
      <c r="AF134" s="14">
        <f t="shared" si="2"/>
        <v>2.3869047619047619</v>
      </c>
    </row>
    <row r="135" spans="1:32" x14ac:dyDescent="0.2">
      <c r="A135">
        <v>134</v>
      </c>
      <c r="B135" cm="1">
        <f t="array" ref="B135:AE135">_xlfn.XLOOKUP($A135,Instagram_Usage_Lifestyle_Mini_!$A:$A,Instagram_Usage_Lifestyle_Mini_!$AC:$BF)</f>
        <v>339</v>
      </c>
      <c r="C135">
        <v>28</v>
      </c>
      <c r="D135">
        <v>5</v>
      </c>
      <c r="E135">
        <v>252</v>
      </c>
      <c r="F135">
        <v>128</v>
      </c>
      <c r="G135">
        <v>177</v>
      </c>
      <c r="H135">
        <v>65</v>
      </c>
      <c r="I135">
        <v>44</v>
      </c>
      <c r="J135">
        <v>60</v>
      </c>
      <c r="K135">
        <v>41</v>
      </c>
      <c r="L135">
        <v>6</v>
      </c>
      <c r="M135">
        <v>188</v>
      </c>
      <c r="N135">
        <v>48</v>
      </c>
      <c r="O135">
        <v>53</v>
      </c>
      <c r="P135">
        <v>78</v>
      </c>
      <c r="Q135">
        <v>123</v>
      </c>
      <c r="R135">
        <v>251</v>
      </c>
      <c r="S135" t="str">
        <v>No</v>
      </c>
      <c r="T135">
        <v>0.34</v>
      </c>
      <c r="U135">
        <v>2019</v>
      </c>
      <c r="V135">
        <v>45686</v>
      </c>
      <c r="W135">
        <v>12.1</v>
      </c>
      <c r="X135" t="str">
        <v>Mixed</v>
      </c>
      <c r="Y135" t="str">
        <v>Travel</v>
      </c>
      <c r="Z135" t="str">
        <v>Friends_only</v>
      </c>
      <c r="AA135" t="str">
        <v>Yes</v>
      </c>
      <c r="AB135" t="str">
        <v>No</v>
      </c>
      <c r="AC135">
        <v>0</v>
      </c>
      <c r="AD135" t="str">
        <v>Free</v>
      </c>
      <c r="AE135">
        <v>0.95</v>
      </c>
      <c r="AF135" s="14">
        <f t="shared" si="2"/>
        <v>0.49003984063745021</v>
      </c>
    </row>
    <row r="136" spans="1:32" x14ac:dyDescent="0.2">
      <c r="A136">
        <v>135</v>
      </c>
      <c r="B136" cm="1">
        <f t="array" ref="B136:AE136">_xlfn.XLOOKUP($A136,Instagram_Usage_Lifestyle_Mini_!$A:$A,Instagram_Usage_Lifestyle_Mini_!$AC:$BF)</f>
        <v>140</v>
      </c>
      <c r="C136">
        <v>14</v>
      </c>
      <c r="D136">
        <v>3</v>
      </c>
      <c r="E136">
        <v>105</v>
      </c>
      <c r="F136">
        <v>82</v>
      </c>
      <c r="G136">
        <v>100</v>
      </c>
      <c r="H136">
        <v>23</v>
      </c>
      <c r="I136">
        <v>21</v>
      </c>
      <c r="J136">
        <v>32</v>
      </c>
      <c r="K136">
        <v>20</v>
      </c>
      <c r="L136">
        <v>2</v>
      </c>
      <c r="M136">
        <v>64</v>
      </c>
      <c r="N136">
        <v>27</v>
      </c>
      <c r="O136">
        <v>28</v>
      </c>
      <c r="P136">
        <v>36</v>
      </c>
      <c r="Q136">
        <v>151</v>
      </c>
      <c r="R136">
        <v>67</v>
      </c>
      <c r="S136" t="str">
        <v>No</v>
      </c>
      <c r="T136">
        <v>0.09</v>
      </c>
      <c r="U136">
        <v>2022</v>
      </c>
      <c r="V136">
        <v>45933</v>
      </c>
      <c r="W136">
        <v>10</v>
      </c>
      <c r="X136" t="str">
        <v>Videos</v>
      </c>
      <c r="Y136" t="str">
        <v>Music</v>
      </c>
      <c r="Z136" t="str">
        <v>Public</v>
      </c>
      <c r="AA136" t="str">
        <v>Yes</v>
      </c>
      <c r="AB136" t="str">
        <v>No</v>
      </c>
      <c r="AC136">
        <v>2</v>
      </c>
      <c r="AD136" t="str">
        <v>Premium</v>
      </c>
      <c r="AE136">
        <v>1.1000000000000001</v>
      </c>
      <c r="AF136" s="14">
        <f t="shared" si="2"/>
        <v>2.2537313432835822</v>
      </c>
    </row>
    <row r="137" spans="1:32" x14ac:dyDescent="0.2">
      <c r="A137">
        <v>136</v>
      </c>
      <c r="B137" cm="1">
        <f t="array" ref="B137:AE137">_xlfn.XLOOKUP($A137,Instagram_Usage_Lifestyle_Mini_!$A:$A,Instagram_Usage_Lifestyle_Mini_!$AC:$BF)</f>
        <v>225</v>
      </c>
      <c r="C137">
        <v>9</v>
      </c>
      <c r="D137">
        <v>3</v>
      </c>
      <c r="E137">
        <v>190</v>
      </c>
      <c r="F137">
        <v>132</v>
      </c>
      <c r="G137">
        <v>135</v>
      </c>
      <c r="H137">
        <v>38</v>
      </c>
      <c r="I137">
        <v>23</v>
      </c>
      <c r="J137">
        <v>39</v>
      </c>
      <c r="K137">
        <v>21</v>
      </c>
      <c r="L137">
        <v>4</v>
      </c>
      <c r="M137">
        <v>131</v>
      </c>
      <c r="N137">
        <v>46</v>
      </c>
      <c r="O137">
        <v>36</v>
      </c>
      <c r="P137">
        <v>78</v>
      </c>
      <c r="Q137">
        <v>1072</v>
      </c>
      <c r="R137">
        <v>1159</v>
      </c>
      <c r="S137" t="str">
        <v>No</v>
      </c>
      <c r="T137">
        <v>0.13</v>
      </c>
      <c r="U137">
        <v>2025</v>
      </c>
      <c r="V137">
        <v>45791</v>
      </c>
      <c r="W137">
        <v>25</v>
      </c>
      <c r="X137" t="str">
        <v>Videos</v>
      </c>
      <c r="Y137" t="str">
        <v>Art</v>
      </c>
      <c r="Z137" t="str">
        <v>Friends_only</v>
      </c>
      <c r="AA137" t="str">
        <v>Yes</v>
      </c>
      <c r="AB137" t="str">
        <v>Yes</v>
      </c>
      <c r="AC137">
        <v>1</v>
      </c>
      <c r="AD137" t="str">
        <v>Premium</v>
      </c>
      <c r="AE137">
        <v>0.97</v>
      </c>
      <c r="AF137" s="14">
        <f t="shared" si="2"/>
        <v>0.92493528904227784</v>
      </c>
    </row>
    <row r="138" spans="1:32" x14ac:dyDescent="0.2">
      <c r="A138">
        <v>137</v>
      </c>
      <c r="B138" cm="1">
        <f t="array" ref="B138:AE138">_xlfn.XLOOKUP($A138,Instagram_Usage_Lifestyle_Mini_!$A:$A,Instagram_Usage_Lifestyle_Mini_!$AC:$BF)</f>
        <v>341</v>
      </c>
      <c r="C138">
        <v>15</v>
      </c>
      <c r="D138">
        <v>7</v>
      </c>
      <c r="E138">
        <v>218</v>
      </c>
      <c r="F138">
        <v>150</v>
      </c>
      <c r="G138">
        <v>196</v>
      </c>
      <c r="H138">
        <v>59</v>
      </c>
      <c r="I138">
        <v>43</v>
      </c>
      <c r="J138">
        <v>45</v>
      </c>
      <c r="K138">
        <v>45</v>
      </c>
      <c r="L138">
        <v>1</v>
      </c>
      <c r="M138">
        <v>148</v>
      </c>
      <c r="N138">
        <v>47</v>
      </c>
      <c r="O138">
        <v>52</v>
      </c>
      <c r="P138">
        <v>112</v>
      </c>
      <c r="Q138">
        <v>5154</v>
      </c>
      <c r="R138">
        <v>7926</v>
      </c>
      <c r="S138" t="str">
        <v>No</v>
      </c>
      <c r="T138">
        <v>0.7</v>
      </c>
      <c r="U138">
        <v>2010</v>
      </c>
      <c r="V138">
        <v>45910</v>
      </c>
      <c r="W138">
        <v>22.7</v>
      </c>
      <c r="X138" t="str">
        <v>Videos</v>
      </c>
      <c r="Y138" t="str">
        <v>Tech</v>
      </c>
      <c r="Z138" t="str">
        <v>Public</v>
      </c>
      <c r="AA138" t="str">
        <v>No</v>
      </c>
      <c r="AB138" t="str">
        <v>Yes</v>
      </c>
      <c r="AC138">
        <v>4</v>
      </c>
      <c r="AD138" t="str">
        <v>Premium</v>
      </c>
      <c r="AE138">
        <v>0.98</v>
      </c>
      <c r="AF138" s="14">
        <f t="shared" si="2"/>
        <v>0.65026495079485236</v>
      </c>
    </row>
    <row r="139" spans="1:32" x14ac:dyDescent="0.2">
      <c r="A139">
        <v>138</v>
      </c>
      <c r="B139" cm="1">
        <f t="array" ref="B139:AE139">_xlfn.XLOOKUP($A139,Instagram_Usage_Lifestyle_Mini_!$A:$A,Instagram_Usage_Lifestyle_Mini_!$AC:$BF)</f>
        <v>341</v>
      </c>
      <c r="C139">
        <v>11</v>
      </c>
      <c r="D139">
        <v>6</v>
      </c>
      <c r="E139">
        <v>251</v>
      </c>
      <c r="F139">
        <v>150</v>
      </c>
      <c r="G139">
        <v>207</v>
      </c>
      <c r="H139">
        <v>60</v>
      </c>
      <c r="I139">
        <v>42</v>
      </c>
      <c r="J139">
        <v>42</v>
      </c>
      <c r="K139">
        <v>30</v>
      </c>
      <c r="L139">
        <v>6</v>
      </c>
      <c r="M139">
        <v>184</v>
      </c>
      <c r="N139">
        <v>89</v>
      </c>
      <c r="O139">
        <v>71</v>
      </c>
      <c r="P139">
        <v>84</v>
      </c>
      <c r="Q139">
        <v>1411</v>
      </c>
      <c r="R139">
        <v>1672</v>
      </c>
      <c r="S139" t="str">
        <v>No</v>
      </c>
      <c r="T139">
        <v>0.43</v>
      </c>
      <c r="U139">
        <v>2022</v>
      </c>
      <c r="V139">
        <v>45662</v>
      </c>
      <c r="W139">
        <v>31</v>
      </c>
      <c r="X139" t="str">
        <v>Videos</v>
      </c>
      <c r="Y139" t="str">
        <v>Tech</v>
      </c>
      <c r="Z139" t="str">
        <v>Private</v>
      </c>
      <c r="AA139" t="str">
        <v>Yes</v>
      </c>
      <c r="AB139" t="str">
        <v>Yes</v>
      </c>
      <c r="AC139">
        <v>2</v>
      </c>
      <c r="AD139" t="str">
        <v>Free</v>
      </c>
      <c r="AE139">
        <v>1.01</v>
      </c>
      <c r="AF139" s="14">
        <f t="shared" si="2"/>
        <v>0.84389952153110048</v>
      </c>
    </row>
    <row r="140" spans="1:32" x14ac:dyDescent="0.2">
      <c r="A140">
        <v>139</v>
      </c>
      <c r="B140" cm="1">
        <f t="array" ref="B140:AE140">_xlfn.XLOOKUP($A140,Instagram_Usage_Lifestyle_Mini_!$A:$A,Instagram_Usage_Lifestyle_Mini_!$AC:$BF)</f>
        <v>149</v>
      </c>
      <c r="C140">
        <v>5</v>
      </c>
      <c r="D140">
        <v>2</v>
      </c>
      <c r="E140">
        <v>138</v>
      </c>
      <c r="F140">
        <v>92</v>
      </c>
      <c r="G140">
        <v>97</v>
      </c>
      <c r="H140">
        <v>23</v>
      </c>
      <c r="I140">
        <v>23</v>
      </c>
      <c r="J140">
        <v>19</v>
      </c>
      <c r="K140">
        <v>17</v>
      </c>
      <c r="L140">
        <v>4</v>
      </c>
      <c r="M140">
        <v>66</v>
      </c>
      <c r="N140">
        <v>23</v>
      </c>
      <c r="O140">
        <v>19</v>
      </c>
      <c r="P140">
        <v>40</v>
      </c>
      <c r="Q140">
        <v>1234</v>
      </c>
      <c r="R140">
        <v>2278</v>
      </c>
      <c r="S140" t="str">
        <v>No</v>
      </c>
      <c r="T140">
        <v>0.37</v>
      </c>
      <c r="U140">
        <v>2016</v>
      </c>
      <c r="V140">
        <v>45705</v>
      </c>
      <c r="W140">
        <v>29.8</v>
      </c>
      <c r="X140" t="str">
        <v>Videos</v>
      </c>
      <c r="Y140" t="str">
        <v>Fitness</v>
      </c>
      <c r="Z140" t="str">
        <v>Friends_only</v>
      </c>
      <c r="AA140" t="str">
        <v>Yes</v>
      </c>
      <c r="AB140" t="str">
        <v>No</v>
      </c>
      <c r="AC140">
        <v>0</v>
      </c>
      <c r="AD140" t="str">
        <v>Free</v>
      </c>
      <c r="AE140">
        <v>0.99</v>
      </c>
      <c r="AF140" s="14">
        <f t="shared" si="2"/>
        <v>0.54170324846356455</v>
      </c>
    </row>
    <row r="141" spans="1:32" x14ac:dyDescent="0.2">
      <c r="A141">
        <v>140</v>
      </c>
      <c r="B141" cm="1">
        <f t="array" ref="B141:AE141">_xlfn.XLOOKUP($A141,Instagram_Usage_Lifestyle_Mini_!$A:$A,Instagram_Usage_Lifestyle_Mini_!$AC:$BF)</f>
        <v>124</v>
      </c>
      <c r="C141">
        <v>5</v>
      </c>
      <c r="D141">
        <v>2</v>
      </c>
      <c r="E141">
        <v>129</v>
      </c>
      <c r="F141">
        <v>93</v>
      </c>
      <c r="G141">
        <v>85</v>
      </c>
      <c r="H141">
        <v>20</v>
      </c>
      <c r="I141">
        <v>23</v>
      </c>
      <c r="J141">
        <v>21</v>
      </c>
      <c r="K141">
        <v>13</v>
      </c>
      <c r="L141">
        <v>1</v>
      </c>
      <c r="M141">
        <v>55</v>
      </c>
      <c r="N141">
        <v>34</v>
      </c>
      <c r="O141">
        <v>14</v>
      </c>
      <c r="P141">
        <v>45</v>
      </c>
      <c r="Q141">
        <v>6935</v>
      </c>
      <c r="R141">
        <v>10000</v>
      </c>
      <c r="S141" t="str">
        <v>No</v>
      </c>
      <c r="T141">
        <v>0.99</v>
      </c>
      <c r="U141">
        <v>2010</v>
      </c>
      <c r="V141">
        <v>45987</v>
      </c>
      <c r="W141">
        <v>24.8</v>
      </c>
      <c r="X141" t="str">
        <v>Stories</v>
      </c>
      <c r="Y141" t="str">
        <v>Fashion</v>
      </c>
      <c r="Z141" t="str">
        <v>Friends_only</v>
      </c>
      <c r="AA141" t="str">
        <v>Yes</v>
      </c>
      <c r="AB141" t="str">
        <v>No</v>
      </c>
      <c r="AC141">
        <v>2</v>
      </c>
      <c r="AD141" t="str">
        <v>Free</v>
      </c>
      <c r="AE141">
        <v>1.05</v>
      </c>
      <c r="AF141" s="14">
        <f t="shared" si="2"/>
        <v>0.69350000000000001</v>
      </c>
    </row>
    <row r="142" spans="1:32" x14ac:dyDescent="0.2">
      <c r="A142">
        <v>141</v>
      </c>
      <c r="B142" cm="1">
        <f t="array" ref="B142:AE142">_xlfn.XLOOKUP($A142,Instagram_Usage_Lifestyle_Mini_!$A:$A,Instagram_Usage_Lifestyle_Mini_!$AC:$BF)</f>
        <v>72</v>
      </c>
      <c r="C142">
        <v>3</v>
      </c>
      <c r="D142">
        <v>2</v>
      </c>
      <c r="E142">
        <v>73</v>
      </c>
      <c r="F142">
        <v>58</v>
      </c>
      <c r="G142">
        <v>48</v>
      </c>
      <c r="H142">
        <v>23</v>
      </c>
      <c r="I142">
        <v>21</v>
      </c>
      <c r="J142">
        <v>13</v>
      </c>
      <c r="K142">
        <v>8</v>
      </c>
      <c r="L142">
        <v>5</v>
      </c>
      <c r="M142">
        <v>35</v>
      </c>
      <c r="N142">
        <v>10</v>
      </c>
      <c r="O142">
        <v>17</v>
      </c>
      <c r="P142">
        <v>21</v>
      </c>
      <c r="Q142">
        <v>1323</v>
      </c>
      <c r="R142">
        <v>1167</v>
      </c>
      <c r="S142" t="str">
        <v>No</v>
      </c>
      <c r="T142">
        <v>0.82</v>
      </c>
      <c r="U142">
        <v>2012</v>
      </c>
      <c r="V142">
        <v>45774</v>
      </c>
      <c r="W142">
        <v>24</v>
      </c>
      <c r="X142" t="str">
        <v>Mixed</v>
      </c>
      <c r="Y142" t="str">
        <v>Food</v>
      </c>
      <c r="Z142" t="str">
        <v>Public</v>
      </c>
      <c r="AA142" t="str">
        <v>Yes</v>
      </c>
      <c r="AB142" t="str">
        <v>Yes</v>
      </c>
      <c r="AC142">
        <v>1</v>
      </c>
      <c r="AD142" t="str">
        <v>Free</v>
      </c>
      <c r="AE142">
        <v>1.37</v>
      </c>
      <c r="AF142" s="14">
        <f t="shared" si="2"/>
        <v>1.1336760925449871</v>
      </c>
    </row>
    <row r="143" spans="1:32" x14ac:dyDescent="0.2">
      <c r="A143">
        <v>142</v>
      </c>
      <c r="B143" cm="1">
        <f t="array" ref="B143:AE143">_xlfn.XLOOKUP($A143,Instagram_Usage_Lifestyle_Mini_!$A:$A,Instagram_Usage_Lifestyle_Mini_!$AC:$BF)</f>
        <v>280</v>
      </c>
      <c r="C143">
        <v>13</v>
      </c>
      <c r="D143">
        <v>4</v>
      </c>
      <c r="E143">
        <v>193</v>
      </c>
      <c r="F143">
        <v>134</v>
      </c>
      <c r="G143">
        <v>163</v>
      </c>
      <c r="H143">
        <v>33</v>
      </c>
      <c r="I143">
        <v>45</v>
      </c>
      <c r="J143">
        <v>51</v>
      </c>
      <c r="K143">
        <v>23</v>
      </c>
      <c r="L143">
        <v>9</v>
      </c>
      <c r="M143">
        <v>132</v>
      </c>
      <c r="N143">
        <v>58</v>
      </c>
      <c r="O143">
        <v>45</v>
      </c>
      <c r="P143">
        <v>102</v>
      </c>
      <c r="Q143">
        <v>1151</v>
      </c>
      <c r="R143">
        <v>1369</v>
      </c>
      <c r="S143" t="str">
        <v>No</v>
      </c>
      <c r="T143">
        <v>0.68</v>
      </c>
      <c r="U143">
        <v>2023</v>
      </c>
      <c r="V143">
        <v>45768</v>
      </c>
      <c r="W143">
        <v>21.5</v>
      </c>
      <c r="X143" t="str">
        <v>Videos</v>
      </c>
      <c r="Y143" t="str">
        <v>Music</v>
      </c>
      <c r="Z143" t="str">
        <v>Friends_only</v>
      </c>
      <c r="AA143" t="str">
        <v>No</v>
      </c>
      <c r="AB143" t="str">
        <v>No</v>
      </c>
      <c r="AC143">
        <v>1</v>
      </c>
      <c r="AD143" t="str">
        <v>Free</v>
      </c>
      <c r="AE143">
        <v>0.86</v>
      </c>
      <c r="AF143" s="14">
        <f t="shared" si="2"/>
        <v>0.84075967859751644</v>
      </c>
    </row>
    <row r="144" spans="1:32" x14ac:dyDescent="0.2">
      <c r="A144">
        <v>143</v>
      </c>
      <c r="B144" cm="1">
        <f t="array" ref="B144:AE144">_xlfn.XLOOKUP($A144,Instagram_Usage_Lifestyle_Mini_!$A:$A,Instagram_Usage_Lifestyle_Mini_!$AC:$BF)</f>
        <v>175</v>
      </c>
      <c r="C144">
        <v>12</v>
      </c>
      <c r="D144">
        <v>9</v>
      </c>
      <c r="E144">
        <v>223</v>
      </c>
      <c r="F144">
        <v>105</v>
      </c>
      <c r="G144">
        <v>115</v>
      </c>
      <c r="H144">
        <v>46</v>
      </c>
      <c r="I144">
        <v>34</v>
      </c>
      <c r="J144">
        <v>27</v>
      </c>
      <c r="K144">
        <v>23</v>
      </c>
      <c r="L144">
        <v>4</v>
      </c>
      <c r="M144">
        <v>72</v>
      </c>
      <c r="N144">
        <v>21</v>
      </c>
      <c r="O144">
        <v>32</v>
      </c>
      <c r="P144">
        <v>43</v>
      </c>
      <c r="Q144">
        <v>976</v>
      </c>
      <c r="R144">
        <v>1439</v>
      </c>
      <c r="S144" t="str">
        <v>No</v>
      </c>
      <c r="T144">
        <v>0.02</v>
      </c>
      <c r="U144">
        <v>2020</v>
      </c>
      <c r="V144">
        <v>45818</v>
      </c>
      <c r="W144">
        <v>14.6</v>
      </c>
      <c r="X144" t="str">
        <v>Photos</v>
      </c>
      <c r="Y144" t="str">
        <v>Art</v>
      </c>
      <c r="Z144" t="str">
        <v>Friends_only</v>
      </c>
      <c r="AA144" t="str">
        <v>Yes</v>
      </c>
      <c r="AB144" t="str">
        <v>Yes</v>
      </c>
      <c r="AC144">
        <v>3</v>
      </c>
      <c r="AD144" t="str">
        <v>Free</v>
      </c>
      <c r="AE144">
        <v>1.33</v>
      </c>
      <c r="AF144" s="14">
        <f t="shared" si="2"/>
        <v>0.67824878387769283</v>
      </c>
    </row>
    <row r="145" spans="1:32" x14ac:dyDescent="0.2">
      <c r="A145">
        <v>144</v>
      </c>
      <c r="B145" cm="1">
        <f t="array" ref="B145:AE145">_xlfn.XLOOKUP($A145,Instagram_Usage_Lifestyle_Mini_!$A:$A,Instagram_Usage_Lifestyle_Mini_!$AC:$BF)</f>
        <v>158</v>
      </c>
      <c r="C145">
        <v>7</v>
      </c>
      <c r="D145">
        <v>4</v>
      </c>
      <c r="E145">
        <v>134</v>
      </c>
      <c r="F145">
        <v>97</v>
      </c>
      <c r="G145">
        <v>102</v>
      </c>
      <c r="H145">
        <v>27</v>
      </c>
      <c r="I145">
        <v>32</v>
      </c>
      <c r="J145">
        <v>25</v>
      </c>
      <c r="K145">
        <v>21</v>
      </c>
      <c r="L145">
        <v>5</v>
      </c>
      <c r="M145">
        <v>89</v>
      </c>
      <c r="N145">
        <v>21</v>
      </c>
      <c r="O145">
        <v>37</v>
      </c>
      <c r="P145">
        <v>46</v>
      </c>
      <c r="Q145">
        <v>970</v>
      </c>
      <c r="R145">
        <v>1807</v>
      </c>
      <c r="S145" t="str">
        <v>Yes</v>
      </c>
      <c r="T145">
        <v>0.52</v>
      </c>
      <c r="U145">
        <v>2025</v>
      </c>
      <c r="V145">
        <v>45794</v>
      </c>
      <c r="W145">
        <v>22.6</v>
      </c>
      <c r="X145" t="str">
        <v>Live</v>
      </c>
      <c r="Y145" t="str">
        <v>Other</v>
      </c>
      <c r="Z145" t="str">
        <v>Friends_only</v>
      </c>
      <c r="AA145" t="str">
        <v>Yes</v>
      </c>
      <c r="AB145" t="str">
        <v>No</v>
      </c>
      <c r="AC145">
        <v>4</v>
      </c>
      <c r="AD145" t="str">
        <v>Free</v>
      </c>
      <c r="AE145">
        <v>1.06</v>
      </c>
      <c r="AF145" s="14">
        <f t="shared" si="2"/>
        <v>0.53680132816823467</v>
      </c>
    </row>
    <row r="146" spans="1:32" x14ac:dyDescent="0.2">
      <c r="A146">
        <v>145</v>
      </c>
      <c r="B146" cm="1">
        <f t="array" ref="B146:AE146">_xlfn.XLOOKUP($A146,Instagram_Usage_Lifestyle_Mini_!$A:$A,Instagram_Usage_Lifestyle_Mini_!$AC:$BF)</f>
        <v>193</v>
      </c>
      <c r="C146">
        <v>7</v>
      </c>
      <c r="D146">
        <v>1</v>
      </c>
      <c r="E146">
        <v>157</v>
      </c>
      <c r="F146">
        <v>100</v>
      </c>
      <c r="G146">
        <v>115</v>
      </c>
      <c r="H146">
        <v>34</v>
      </c>
      <c r="I146">
        <v>28</v>
      </c>
      <c r="J146">
        <v>34</v>
      </c>
      <c r="K146">
        <v>18</v>
      </c>
      <c r="L146">
        <v>3</v>
      </c>
      <c r="M146">
        <v>103</v>
      </c>
      <c r="N146">
        <v>58</v>
      </c>
      <c r="O146">
        <v>48</v>
      </c>
      <c r="P146">
        <v>66</v>
      </c>
      <c r="Q146">
        <v>909</v>
      </c>
      <c r="R146">
        <v>1744</v>
      </c>
      <c r="S146" t="str">
        <v>No</v>
      </c>
      <c r="T146">
        <v>0.04</v>
      </c>
      <c r="U146">
        <v>2018</v>
      </c>
      <c r="V146">
        <v>45753</v>
      </c>
      <c r="W146">
        <v>27.6</v>
      </c>
      <c r="X146" t="str">
        <v>Mixed</v>
      </c>
      <c r="Y146" t="str">
        <v>Food</v>
      </c>
      <c r="Z146" t="str">
        <v>Private</v>
      </c>
      <c r="AA146" t="str">
        <v>No</v>
      </c>
      <c r="AB146" t="str">
        <v>No</v>
      </c>
      <c r="AC146">
        <v>3</v>
      </c>
      <c r="AD146" t="str">
        <v>Free</v>
      </c>
      <c r="AE146">
        <v>0.96</v>
      </c>
      <c r="AF146" s="14">
        <f t="shared" si="2"/>
        <v>0.52121559633027525</v>
      </c>
    </row>
    <row r="147" spans="1:32" x14ac:dyDescent="0.2">
      <c r="A147">
        <v>146</v>
      </c>
      <c r="B147" cm="1">
        <f t="array" ref="B147:AE147">_xlfn.XLOOKUP($A147,Instagram_Usage_Lifestyle_Mini_!$A:$A,Instagram_Usage_Lifestyle_Mini_!$AC:$BF)</f>
        <v>52</v>
      </c>
      <c r="C147">
        <v>4</v>
      </c>
      <c r="D147">
        <v>8</v>
      </c>
      <c r="E147">
        <v>70</v>
      </c>
      <c r="F147">
        <v>51</v>
      </c>
      <c r="G147">
        <v>55</v>
      </c>
      <c r="H147">
        <v>11</v>
      </c>
      <c r="I147">
        <v>16</v>
      </c>
      <c r="J147">
        <v>17</v>
      </c>
      <c r="K147">
        <v>10</v>
      </c>
      <c r="L147">
        <v>1</v>
      </c>
      <c r="M147">
        <v>24</v>
      </c>
      <c r="N147">
        <v>7</v>
      </c>
      <c r="O147">
        <v>7</v>
      </c>
      <c r="P147">
        <v>19</v>
      </c>
      <c r="Q147">
        <v>818</v>
      </c>
      <c r="R147">
        <v>805</v>
      </c>
      <c r="S147" t="str">
        <v>No</v>
      </c>
      <c r="T147">
        <v>0.82</v>
      </c>
      <c r="U147">
        <v>2014</v>
      </c>
      <c r="V147">
        <v>45788</v>
      </c>
      <c r="W147">
        <v>13</v>
      </c>
      <c r="X147" t="str">
        <v>Stories</v>
      </c>
      <c r="Y147" t="str">
        <v>Fashion</v>
      </c>
      <c r="Z147" t="str">
        <v>Private</v>
      </c>
      <c r="AA147" t="str">
        <v>No</v>
      </c>
      <c r="AB147" t="str">
        <v>No</v>
      </c>
      <c r="AC147">
        <v>1</v>
      </c>
      <c r="AD147" t="str">
        <v>Business</v>
      </c>
      <c r="AE147">
        <v>1.91</v>
      </c>
      <c r="AF147" s="14">
        <f t="shared" si="2"/>
        <v>1.0161490683229815</v>
      </c>
    </row>
    <row r="148" spans="1:32" x14ac:dyDescent="0.2">
      <c r="A148">
        <v>147</v>
      </c>
      <c r="B148" cm="1">
        <f t="array" ref="B148:AE148">_xlfn.XLOOKUP($A148,Instagram_Usage_Lifestyle_Mini_!$A:$A,Instagram_Usage_Lifestyle_Mini_!$AC:$BF)</f>
        <v>247</v>
      </c>
      <c r="C148">
        <v>8</v>
      </c>
      <c r="D148">
        <v>7</v>
      </c>
      <c r="E148">
        <v>235</v>
      </c>
      <c r="F148">
        <v>105</v>
      </c>
      <c r="G148">
        <v>148</v>
      </c>
      <c r="H148">
        <v>52</v>
      </c>
      <c r="I148">
        <v>29</v>
      </c>
      <c r="J148">
        <v>40</v>
      </c>
      <c r="K148">
        <v>18</v>
      </c>
      <c r="L148">
        <v>5</v>
      </c>
      <c r="M148">
        <v>99</v>
      </c>
      <c r="N148">
        <v>39</v>
      </c>
      <c r="O148">
        <v>42</v>
      </c>
      <c r="P148">
        <v>86</v>
      </c>
      <c r="Q148">
        <v>1000</v>
      </c>
      <c r="R148">
        <v>401</v>
      </c>
      <c r="S148" t="str">
        <v>No</v>
      </c>
      <c r="T148">
        <v>0.23</v>
      </c>
      <c r="U148">
        <v>2022</v>
      </c>
      <c r="V148">
        <v>45740</v>
      </c>
      <c r="W148">
        <v>30.9</v>
      </c>
      <c r="X148" t="str">
        <v>Reels</v>
      </c>
      <c r="Y148" t="str">
        <v>Fitness</v>
      </c>
      <c r="Z148" t="str">
        <v>Public</v>
      </c>
      <c r="AA148" t="str">
        <v>Yes</v>
      </c>
      <c r="AB148" t="str">
        <v>Yes</v>
      </c>
      <c r="AC148">
        <v>4</v>
      </c>
      <c r="AD148" t="str">
        <v>Free</v>
      </c>
      <c r="AE148">
        <v>1.1000000000000001</v>
      </c>
      <c r="AF148" s="14">
        <f t="shared" si="2"/>
        <v>2.4937655860349128</v>
      </c>
    </row>
    <row r="149" spans="1:32" x14ac:dyDescent="0.2">
      <c r="A149">
        <v>148</v>
      </c>
      <c r="B149" cm="1">
        <f t="array" ref="B149:AE149">_xlfn.XLOOKUP($A149,Instagram_Usage_Lifestyle_Mini_!$A:$A,Instagram_Usage_Lifestyle_Mini_!$AC:$BF)</f>
        <v>162</v>
      </c>
      <c r="C149">
        <v>18</v>
      </c>
      <c r="D149">
        <v>11</v>
      </c>
      <c r="E149">
        <v>228</v>
      </c>
      <c r="F149">
        <v>87</v>
      </c>
      <c r="G149">
        <v>98</v>
      </c>
      <c r="H149">
        <v>39</v>
      </c>
      <c r="I149">
        <v>29</v>
      </c>
      <c r="J149">
        <v>36</v>
      </c>
      <c r="K149">
        <v>18</v>
      </c>
      <c r="L149">
        <v>6</v>
      </c>
      <c r="M149">
        <v>82</v>
      </c>
      <c r="N149">
        <v>37</v>
      </c>
      <c r="O149">
        <v>20</v>
      </c>
      <c r="P149">
        <v>36</v>
      </c>
      <c r="Q149">
        <v>559</v>
      </c>
      <c r="R149">
        <v>957</v>
      </c>
      <c r="S149" t="str">
        <v>No</v>
      </c>
      <c r="T149">
        <v>0.33</v>
      </c>
      <c r="U149">
        <v>2024</v>
      </c>
      <c r="V149">
        <v>45665</v>
      </c>
      <c r="W149">
        <v>9</v>
      </c>
      <c r="X149" t="str">
        <v>Stories</v>
      </c>
      <c r="Y149" t="str">
        <v>Food</v>
      </c>
      <c r="Z149" t="str">
        <v>Public</v>
      </c>
      <c r="AA149" t="str">
        <v>Yes</v>
      </c>
      <c r="AB149" t="str">
        <v>Yes</v>
      </c>
      <c r="AC149">
        <v>2</v>
      </c>
      <c r="AD149" t="str">
        <v>Premium</v>
      </c>
      <c r="AE149">
        <v>1.28</v>
      </c>
      <c r="AF149" s="14">
        <f t="shared" si="2"/>
        <v>0.58411703239289448</v>
      </c>
    </row>
    <row r="150" spans="1:32" x14ac:dyDescent="0.2">
      <c r="A150">
        <v>149</v>
      </c>
      <c r="B150" cm="1">
        <f t="array" ref="B150:AE150">_xlfn.XLOOKUP($A150,Instagram_Usage_Lifestyle_Mini_!$A:$A,Instagram_Usage_Lifestyle_Mini_!$AC:$BF)</f>
        <v>246</v>
      </c>
      <c r="C150">
        <v>15</v>
      </c>
      <c r="D150">
        <v>15</v>
      </c>
      <c r="E150">
        <v>271</v>
      </c>
      <c r="F150">
        <v>133</v>
      </c>
      <c r="G150">
        <v>144</v>
      </c>
      <c r="H150">
        <v>37</v>
      </c>
      <c r="I150">
        <v>38</v>
      </c>
      <c r="J150">
        <v>34</v>
      </c>
      <c r="K150">
        <v>23</v>
      </c>
      <c r="L150">
        <v>7</v>
      </c>
      <c r="M150">
        <v>132</v>
      </c>
      <c r="N150">
        <v>66</v>
      </c>
      <c r="O150">
        <v>28</v>
      </c>
      <c r="P150">
        <v>66</v>
      </c>
      <c r="Q150">
        <v>3442</v>
      </c>
      <c r="R150">
        <v>6685</v>
      </c>
      <c r="S150" t="str">
        <v>No</v>
      </c>
      <c r="T150">
        <v>0.53</v>
      </c>
      <c r="U150">
        <v>2021</v>
      </c>
      <c r="V150">
        <v>45702</v>
      </c>
      <c r="W150">
        <v>16.399999999999999</v>
      </c>
      <c r="X150" t="str">
        <v>Videos</v>
      </c>
      <c r="Y150" t="str">
        <v>Art</v>
      </c>
      <c r="Z150" t="str">
        <v>Public</v>
      </c>
      <c r="AA150" t="str">
        <v>No</v>
      </c>
      <c r="AB150" t="str">
        <v>Yes</v>
      </c>
      <c r="AC150">
        <v>3</v>
      </c>
      <c r="AD150" t="str">
        <v>Free</v>
      </c>
      <c r="AE150">
        <v>1.06</v>
      </c>
      <c r="AF150" s="14">
        <f t="shared" si="2"/>
        <v>0.51488406881077042</v>
      </c>
    </row>
    <row r="151" spans="1:32" x14ac:dyDescent="0.2">
      <c r="A151">
        <v>150</v>
      </c>
      <c r="B151" cm="1">
        <f t="array" ref="B151:AE151">_xlfn.XLOOKUP($A151,Instagram_Usage_Lifestyle_Mini_!$A:$A,Instagram_Usage_Lifestyle_Mini_!$AC:$BF)</f>
        <v>155</v>
      </c>
      <c r="C151">
        <v>7</v>
      </c>
      <c r="D151">
        <v>8</v>
      </c>
      <c r="E151">
        <v>218</v>
      </c>
      <c r="F151">
        <v>98</v>
      </c>
      <c r="G151">
        <v>108</v>
      </c>
      <c r="H151">
        <v>38</v>
      </c>
      <c r="I151">
        <v>26</v>
      </c>
      <c r="J151">
        <v>28</v>
      </c>
      <c r="K151">
        <v>22</v>
      </c>
      <c r="L151">
        <v>1</v>
      </c>
      <c r="M151">
        <v>67</v>
      </c>
      <c r="N151">
        <v>20</v>
      </c>
      <c r="O151">
        <v>17</v>
      </c>
      <c r="P151">
        <v>38</v>
      </c>
      <c r="Q151">
        <v>1243</v>
      </c>
      <c r="R151">
        <v>1069</v>
      </c>
      <c r="S151" t="str">
        <v>Yes</v>
      </c>
      <c r="T151">
        <v>0.17</v>
      </c>
      <c r="U151">
        <v>2017</v>
      </c>
      <c r="V151">
        <v>45885</v>
      </c>
      <c r="W151">
        <v>22.1</v>
      </c>
      <c r="X151" t="str">
        <v>Reels</v>
      </c>
      <c r="Y151" t="str">
        <v>Tech</v>
      </c>
      <c r="Z151" t="str">
        <v>Friends_only</v>
      </c>
      <c r="AA151" t="str">
        <v>No</v>
      </c>
      <c r="AB151" t="str">
        <v>No</v>
      </c>
      <c r="AC151">
        <v>1</v>
      </c>
      <c r="AD151" t="str">
        <v>Free</v>
      </c>
      <c r="AE151">
        <v>1.33</v>
      </c>
      <c r="AF151" s="14">
        <f t="shared" si="2"/>
        <v>1.1627689429373247</v>
      </c>
    </row>
    <row r="152" spans="1:32" x14ac:dyDescent="0.2">
      <c r="A152">
        <v>151</v>
      </c>
      <c r="B152" cm="1">
        <f t="array" ref="B152:AE152">_xlfn.XLOOKUP($A152,Instagram_Usage_Lifestyle_Mini_!$A:$A,Instagram_Usage_Lifestyle_Mini_!$AC:$BF)</f>
        <v>294</v>
      </c>
      <c r="C152">
        <v>12</v>
      </c>
      <c r="D152">
        <v>6</v>
      </c>
      <c r="E152">
        <v>209</v>
      </c>
      <c r="F152">
        <v>140</v>
      </c>
      <c r="G152">
        <v>182</v>
      </c>
      <c r="H152">
        <v>56</v>
      </c>
      <c r="I152">
        <v>38</v>
      </c>
      <c r="J152">
        <v>46</v>
      </c>
      <c r="K152">
        <v>30</v>
      </c>
      <c r="L152">
        <v>10</v>
      </c>
      <c r="M152">
        <v>124</v>
      </c>
      <c r="N152">
        <v>74</v>
      </c>
      <c r="O152">
        <v>64</v>
      </c>
      <c r="P152">
        <v>74</v>
      </c>
      <c r="Q152">
        <v>9843</v>
      </c>
      <c r="R152">
        <v>10000</v>
      </c>
      <c r="S152" t="str">
        <v>No</v>
      </c>
      <c r="T152">
        <v>0.1</v>
      </c>
      <c r="U152">
        <v>2023</v>
      </c>
      <c r="V152">
        <v>45805</v>
      </c>
      <c r="W152">
        <v>24.5</v>
      </c>
      <c r="X152" t="str">
        <v>Live</v>
      </c>
      <c r="Y152" t="str">
        <v>Travel</v>
      </c>
      <c r="Z152" t="str">
        <v>Friends_only</v>
      </c>
      <c r="AA152" t="str">
        <v>Yes</v>
      </c>
      <c r="AB152" t="str">
        <v>Yes</v>
      </c>
      <c r="AC152">
        <v>1</v>
      </c>
      <c r="AD152" t="str">
        <v>Free</v>
      </c>
      <c r="AE152">
        <v>1.06</v>
      </c>
      <c r="AF152" s="14">
        <f t="shared" si="2"/>
        <v>0.98429999999999995</v>
      </c>
    </row>
    <row r="153" spans="1:32" x14ac:dyDescent="0.2">
      <c r="A153">
        <v>152</v>
      </c>
      <c r="B153" cm="1">
        <f t="array" ref="B153:AE153">_xlfn.XLOOKUP($A153,Instagram_Usage_Lifestyle_Mini_!$A:$A,Instagram_Usage_Lifestyle_Mini_!$AC:$BF)</f>
        <v>246</v>
      </c>
      <c r="C153">
        <v>8</v>
      </c>
      <c r="D153">
        <v>4</v>
      </c>
      <c r="E153">
        <v>269</v>
      </c>
      <c r="F153">
        <v>141</v>
      </c>
      <c r="G153">
        <v>145</v>
      </c>
      <c r="H153">
        <v>42</v>
      </c>
      <c r="I153">
        <v>35</v>
      </c>
      <c r="J153">
        <v>32</v>
      </c>
      <c r="K153">
        <v>34</v>
      </c>
      <c r="L153">
        <v>4</v>
      </c>
      <c r="M153">
        <v>135</v>
      </c>
      <c r="N153">
        <v>62</v>
      </c>
      <c r="O153">
        <v>61</v>
      </c>
      <c r="P153">
        <v>67</v>
      </c>
      <c r="Q153">
        <v>3513</v>
      </c>
      <c r="R153">
        <v>5040</v>
      </c>
      <c r="S153" t="str">
        <v>No</v>
      </c>
      <c r="T153">
        <v>0.05</v>
      </c>
      <c r="U153">
        <v>2023</v>
      </c>
      <c r="V153">
        <v>45986</v>
      </c>
      <c r="W153">
        <v>30.8</v>
      </c>
      <c r="X153" t="str">
        <v>Videos</v>
      </c>
      <c r="Y153" t="str">
        <v>Travel</v>
      </c>
      <c r="Z153" t="str">
        <v>Public</v>
      </c>
      <c r="AA153" t="str">
        <v>No</v>
      </c>
      <c r="AB153" t="str">
        <v>Yes</v>
      </c>
      <c r="AC153">
        <v>3</v>
      </c>
      <c r="AD153" t="str">
        <v>Free</v>
      </c>
      <c r="AE153">
        <v>0.98</v>
      </c>
      <c r="AF153" s="14">
        <f t="shared" si="2"/>
        <v>0.69702380952380949</v>
      </c>
    </row>
    <row r="154" spans="1:32" x14ac:dyDescent="0.2">
      <c r="A154">
        <v>153</v>
      </c>
      <c r="B154" cm="1">
        <f t="array" ref="B154:AE154">_xlfn.XLOOKUP($A154,Instagram_Usage_Lifestyle_Mini_!$A:$A,Instagram_Usage_Lifestyle_Mini_!$AC:$BF)</f>
        <v>219</v>
      </c>
      <c r="C154">
        <v>23</v>
      </c>
      <c r="D154">
        <v>5</v>
      </c>
      <c r="E154">
        <v>165</v>
      </c>
      <c r="F154">
        <v>127</v>
      </c>
      <c r="G154">
        <v>133</v>
      </c>
      <c r="H154">
        <v>26</v>
      </c>
      <c r="I154">
        <v>32</v>
      </c>
      <c r="J154">
        <v>30</v>
      </c>
      <c r="K154">
        <v>21</v>
      </c>
      <c r="L154">
        <v>8</v>
      </c>
      <c r="M154">
        <v>105</v>
      </c>
      <c r="N154">
        <v>34</v>
      </c>
      <c r="O154">
        <v>45</v>
      </c>
      <c r="P154">
        <v>61</v>
      </c>
      <c r="Q154">
        <v>746</v>
      </c>
      <c r="R154">
        <v>542</v>
      </c>
      <c r="S154" t="str">
        <v>No</v>
      </c>
      <c r="T154">
        <v>0.77</v>
      </c>
      <c r="U154">
        <v>2018</v>
      </c>
      <c r="V154">
        <v>45681</v>
      </c>
      <c r="W154">
        <v>9.5</v>
      </c>
      <c r="X154" t="str">
        <v>Stories</v>
      </c>
      <c r="Y154" t="str">
        <v>Travel</v>
      </c>
      <c r="Z154" t="str">
        <v>Public</v>
      </c>
      <c r="AA154" t="str">
        <v>Yes</v>
      </c>
      <c r="AB154" t="str">
        <v>Yes</v>
      </c>
      <c r="AC154">
        <v>1</v>
      </c>
      <c r="AD154" t="str">
        <v>Premium</v>
      </c>
      <c r="AE154">
        <v>0.91</v>
      </c>
      <c r="AF154" s="14">
        <f t="shared" si="2"/>
        <v>1.3763837638376384</v>
      </c>
    </row>
    <row r="155" spans="1:32" x14ac:dyDescent="0.2">
      <c r="A155">
        <v>154</v>
      </c>
      <c r="B155" cm="1">
        <f t="array" ref="B155:AE155">_xlfn.XLOOKUP($A155,Instagram_Usage_Lifestyle_Mini_!$A:$A,Instagram_Usage_Lifestyle_Mini_!$AC:$BF)</f>
        <v>302</v>
      </c>
      <c r="C155">
        <v>24</v>
      </c>
      <c r="D155">
        <v>9</v>
      </c>
      <c r="E155">
        <v>195</v>
      </c>
      <c r="F155">
        <v>150</v>
      </c>
      <c r="G155">
        <v>147</v>
      </c>
      <c r="H155">
        <v>53</v>
      </c>
      <c r="I155">
        <v>32</v>
      </c>
      <c r="J155">
        <v>45</v>
      </c>
      <c r="K155">
        <v>36</v>
      </c>
      <c r="L155">
        <v>5</v>
      </c>
      <c r="M155">
        <v>161</v>
      </c>
      <c r="N155">
        <v>67</v>
      </c>
      <c r="O155">
        <v>56</v>
      </c>
      <c r="P155">
        <v>110</v>
      </c>
      <c r="Q155">
        <v>4544</v>
      </c>
      <c r="R155">
        <v>1908</v>
      </c>
      <c r="S155" t="str">
        <v>No</v>
      </c>
      <c r="T155">
        <v>0.26</v>
      </c>
      <c r="U155">
        <v>2025</v>
      </c>
      <c r="V155">
        <v>45979</v>
      </c>
      <c r="W155">
        <v>12.6</v>
      </c>
      <c r="X155" t="str">
        <v>Stories</v>
      </c>
      <c r="Y155" t="str">
        <v>Music</v>
      </c>
      <c r="Z155" t="str">
        <v>Friends_only</v>
      </c>
      <c r="AA155" t="str">
        <v>Yes</v>
      </c>
      <c r="AB155" t="str">
        <v>No</v>
      </c>
      <c r="AC155">
        <v>3</v>
      </c>
      <c r="AD155" t="str">
        <v>Free</v>
      </c>
      <c r="AE155">
        <v>0.92</v>
      </c>
      <c r="AF155" s="14">
        <f t="shared" si="2"/>
        <v>2.3815513626834384</v>
      </c>
    </row>
    <row r="156" spans="1:32" x14ac:dyDescent="0.2">
      <c r="A156">
        <v>155</v>
      </c>
      <c r="B156" cm="1">
        <f t="array" ref="B156:AE156">_xlfn.XLOOKUP($A156,Instagram_Usage_Lifestyle_Mini_!$A:$A,Instagram_Usage_Lifestyle_Mini_!$AC:$BF)</f>
        <v>324</v>
      </c>
      <c r="C156">
        <v>15</v>
      </c>
      <c r="D156">
        <v>9</v>
      </c>
      <c r="E156">
        <v>300</v>
      </c>
      <c r="F156">
        <v>150</v>
      </c>
      <c r="G156">
        <v>194</v>
      </c>
      <c r="H156">
        <v>53</v>
      </c>
      <c r="I156">
        <v>43</v>
      </c>
      <c r="J156">
        <v>44</v>
      </c>
      <c r="K156">
        <v>41</v>
      </c>
      <c r="L156">
        <v>5</v>
      </c>
      <c r="M156">
        <v>173</v>
      </c>
      <c r="N156">
        <v>64</v>
      </c>
      <c r="O156">
        <v>65</v>
      </c>
      <c r="P156">
        <v>101</v>
      </c>
      <c r="Q156">
        <v>358</v>
      </c>
      <c r="R156">
        <v>247</v>
      </c>
      <c r="S156" t="str">
        <v>No</v>
      </c>
      <c r="T156">
        <v>0.65</v>
      </c>
      <c r="U156">
        <v>2025</v>
      </c>
      <c r="V156">
        <v>45885</v>
      </c>
      <c r="W156">
        <v>21.6</v>
      </c>
      <c r="X156" t="str">
        <v>Photos</v>
      </c>
      <c r="Y156" t="str">
        <v>Art</v>
      </c>
      <c r="Z156" t="str">
        <v>Public</v>
      </c>
      <c r="AA156" t="str">
        <v>No</v>
      </c>
      <c r="AB156" t="str">
        <v>No</v>
      </c>
      <c r="AC156">
        <v>1</v>
      </c>
      <c r="AD156" t="str">
        <v>Free</v>
      </c>
      <c r="AE156">
        <v>1.01</v>
      </c>
      <c r="AF156" s="14">
        <f t="shared" si="2"/>
        <v>1.4493927125506072</v>
      </c>
    </row>
    <row r="157" spans="1:32" x14ac:dyDescent="0.2">
      <c r="A157">
        <v>156</v>
      </c>
      <c r="B157" cm="1">
        <f t="array" ref="B157:AE157">_xlfn.XLOOKUP($A157,Instagram_Usage_Lifestyle_Mini_!$A:$A,Instagram_Usage_Lifestyle_Mini_!$AC:$BF)</f>
        <v>197</v>
      </c>
      <c r="C157">
        <v>24</v>
      </c>
      <c r="D157">
        <v>2</v>
      </c>
      <c r="E157">
        <v>219</v>
      </c>
      <c r="F157">
        <v>79</v>
      </c>
      <c r="G157">
        <v>125</v>
      </c>
      <c r="H157">
        <v>33</v>
      </c>
      <c r="I157">
        <v>29</v>
      </c>
      <c r="J157">
        <v>43</v>
      </c>
      <c r="K157">
        <v>25</v>
      </c>
      <c r="L157">
        <v>1</v>
      </c>
      <c r="M157">
        <v>115</v>
      </c>
      <c r="N157">
        <v>42</v>
      </c>
      <c r="O157">
        <v>35</v>
      </c>
      <c r="P157">
        <v>77</v>
      </c>
      <c r="Q157">
        <v>2162</v>
      </c>
      <c r="R157">
        <v>3302</v>
      </c>
      <c r="S157" t="str">
        <v>No</v>
      </c>
      <c r="T157">
        <v>0.59</v>
      </c>
      <c r="U157">
        <v>2017</v>
      </c>
      <c r="V157">
        <v>46001</v>
      </c>
      <c r="W157">
        <v>8.1999999999999993</v>
      </c>
      <c r="X157" t="str">
        <v>Mixed</v>
      </c>
      <c r="Y157" t="str">
        <v>Music</v>
      </c>
      <c r="Z157" t="str">
        <v>Private</v>
      </c>
      <c r="AA157" t="str">
        <v>Yes</v>
      </c>
      <c r="AB157" t="str">
        <v>Yes</v>
      </c>
      <c r="AC157">
        <v>2</v>
      </c>
      <c r="AD157" t="str">
        <v>Premium</v>
      </c>
      <c r="AE157">
        <v>0.99</v>
      </c>
      <c r="AF157" s="14">
        <f t="shared" si="2"/>
        <v>0.65475469412477283</v>
      </c>
    </row>
    <row r="158" spans="1:32" x14ac:dyDescent="0.2">
      <c r="A158">
        <v>157</v>
      </c>
      <c r="B158" cm="1">
        <f t="array" ref="B158:AE158">_xlfn.XLOOKUP($A158,Instagram_Usage_Lifestyle_Mini_!$A:$A,Instagram_Usage_Lifestyle_Mini_!$AC:$BF)</f>
        <v>273</v>
      </c>
      <c r="C158">
        <v>9</v>
      </c>
      <c r="D158">
        <v>6</v>
      </c>
      <c r="E158">
        <v>300</v>
      </c>
      <c r="F158">
        <v>119</v>
      </c>
      <c r="G158">
        <v>162</v>
      </c>
      <c r="H158">
        <v>41</v>
      </c>
      <c r="I158">
        <v>40</v>
      </c>
      <c r="J158">
        <v>38</v>
      </c>
      <c r="K158">
        <v>30</v>
      </c>
      <c r="L158">
        <v>5</v>
      </c>
      <c r="M158">
        <v>121</v>
      </c>
      <c r="N158">
        <v>49</v>
      </c>
      <c r="O158">
        <v>53</v>
      </c>
      <c r="P158">
        <v>94</v>
      </c>
      <c r="Q158">
        <v>1054</v>
      </c>
      <c r="R158">
        <v>1849</v>
      </c>
      <c r="S158" t="str">
        <v>No</v>
      </c>
      <c r="T158">
        <v>0.47</v>
      </c>
      <c r="U158">
        <v>2021</v>
      </c>
      <c r="V158">
        <v>45887</v>
      </c>
      <c r="W158">
        <v>30.3</v>
      </c>
      <c r="X158" t="str">
        <v>Stories</v>
      </c>
      <c r="Y158" t="str">
        <v>Travel</v>
      </c>
      <c r="Z158" t="str">
        <v>Public</v>
      </c>
      <c r="AA158" t="str">
        <v>Yes</v>
      </c>
      <c r="AB158" t="str">
        <v>No</v>
      </c>
      <c r="AC158">
        <v>2</v>
      </c>
      <c r="AD158" t="str">
        <v>Premium</v>
      </c>
      <c r="AE158">
        <v>0.96</v>
      </c>
      <c r="AF158" s="14">
        <f t="shared" si="2"/>
        <v>0.57003785830178477</v>
      </c>
    </row>
    <row r="159" spans="1:32" x14ac:dyDescent="0.2">
      <c r="A159">
        <v>158</v>
      </c>
      <c r="B159" cm="1">
        <f t="array" ref="B159:AE159">_xlfn.XLOOKUP($A159,Instagram_Usage_Lifestyle_Mini_!$A:$A,Instagram_Usage_Lifestyle_Mini_!$AC:$BF)</f>
        <v>173</v>
      </c>
      <c r="C159">
        <v>6</v>
      </c>
      <c r="D159">
        <v>3</v>
      </c>
      <c r="E159">
        <v>148</v>
      </c>
      <c r="F159">
        <v>95</v>
      </c>
      <c r="G159">
        <v>115</v>
      </c>
      <c r="H159">
        <v>36</v>
      </c>
      <c r="I159">
        <v>28</v>
      </c>
      <c r="J159">
        <v>35</v>
      </c>
      <c r="K159">
        <v>24</v>
      </c>
      <c r="L159">
        <v>5</v>
      </c>
      <c r="M159">
        <v>70</v>
      </c>
      <c r="N159">
        <v>19</v>
      </c>
      <c r="O159">
        <v>25</v>
      </c>
      <c r="P159">
        <v>67</v>
      </c>
      <c r="Q159">
        <v>5321</v>
      </c>
      <c r="R159">
        <v>9639</v>
      </c>
      <c r="S159" t="str">
        <v>No</v>
      </c>
      <c r="T159">
        <v>0.23</v>
      </c>
      <c r="U159">
        <v>2013</v>
      </c>
      <c r="V159">
        <v>45665</v>
      </c>
      <c r="W159">
        <v>28.8</v>
      </c>
      <c r="X159" t="str">
        <v>Mixed</v>
      </c>
      <c r="Y159" t="str">
        <v>Art</v>
      </c>
      <c r="Z159" t="str">
        <v>Private</v>
      </c>
      <c r="AA159" t="str">
        <v>Yes</v>
      </c>
      <c r="AB159" t="str">
        <v>Yes</v>
      </c>
      <c r="AC159">
        <v>3</v>
      </c>
      <c r="AD159" t="str">
        <v>Premium</v>
      </c>
      <c r="AE159">
        <v>1.1299999999999999</v>
      </c>
      <c r="AF159" s="14">
        <f t="shared" si="2"/>
        <v>0.55202821869488539</v>
      </c>
    </row>
    <row r="160" spans="1:32" x14ac:dyDescent="0.2">
      <c r="A160">
        <v>159</v>
      </c>
      <c r="B160" cm="1">
        <f t="array" ref="B160:AE160">_xlfn.XLOOKUP($A160,Instagram_Usage_Lifestyle_Mini_!$A:$A,Instagram_Usage_Lifestyle_Mini_!$AC:$BF)</f>
        <v>10</v>
      </c>
      <c r="C160">
        <v>1</v>
      </c>
      <c r="D160">
        <v>2</v>
      </c>
      <c r="E160">
        <v>50</v>
      </c>
      <c r="F160">
        <v>34</v>
      </c>
      <c r="G160">
        <v>22</v>
      </c>
      <c r="H160">
        <v>8</v>
      </c>
      <c r="I160">
        <v>12</v>
      </c>
      <c r="J160">
        <v>10</v>
      </c>
      <c r="K160">
        <v>5</v>
      </c>
      <c r="L160">
        <v>2</v>
      </c>
      <c r="M160">
        <v>6</v>
      </c>
      <c r="N160">
        <v>2</v>
      </c>
      <c r="O160">
        <v>2</v>
      </c>
      <c r="P160">
        <v>3</v>
      </c>
      <c r="Q160">
        <v>1148</v>
      </c>
      <c r="R160">
        <v>2455</v>
      </c>
      <c r="S160" t="str">
        <v>No</v>
      </c>
      <c r="T160">
        <v>0.43</v>
      </c>
      <c r="U160">
        <v>2022</v>
      </c>
      <c r="V160">
        <v>45848</v>
      </c>
      <c r="W160">
        <v>10</v>
      </c>
      <c r="X160" t="str">
        <v>Photos</v>
      </c>
      <c r="Y160" t="str">
        <v>Art</v>
      </c>
      <c r="Z160" t="str">
        <v>Private</v>
      </c>
      <c r="AA160" t="str">
        <v>Yes</v>
      </c>
      <c r="AB160" t="str">
        <v>No</v>
      </c>
      <c r="AC160">
        <v>4</v>
      </c>
      <c r="AD160" t="str">
        <v>Premium</v>
      </c>
      <c r="AE160">
        <v>4</v>
      </c>
      <c r="AF160" s="14">
        <f t="shared" si="2"/>
        <v>0.46761710794297351</v>
      </c>
    </row>
    <row r="161" spans="1:32" x14ac:dyDescent="0.2">
      <c r="A161">
        <v>160</v>
      </c>
      <c r="B161" cm="1">
        <f t="array" ref="B161:AE161">_xlfn.XLOOKUP($A161,Instagram_Usage_Lifestyle_Mini_!$A:$A,Instagram_Usage_Lifestyle_Mini_!$AC:$BF)</f>
        <v>301</v>
      </c>
      <c r="C161">
        <v>14</v>
      </c>
      <c r="D161">
        <v>9</v>
      </c>
      <c r="E161">
        <v>300</v>
      </c>
      <c r="F161">
        <v>146</v>
      </c>
      <c r="G161">
        <v>183</v>
      </c>
      <c r="H161">
        <v>58</v>
      </c>
      <c r="I161">
        <v>50</v>
      </c>
      <c r="J161">
        <v>58</v>
      </c>
      <c r="K161">
        <v>36</v>
      </c>
      <c r="L161">
        <v>5</v>
      </c>
      <c r="M161">
        <v>142</v>
      </c>
      <c r="N161">
        <v>83</v>
      </c>
      <c r="O161">
        <v>71</v>
      </c>
      <c r="P161">
        <v>62</v>
      </c>
      <c r="Q161">
        <v>3282</v>
      </c>
      <c r="R161">
        <v>8074</v>
      </c>
      <c r="S161" t="str">
        <v>No</v>
      </c>
      <c r="T161">
        <v>0.6</v>
      </c>
      <c r="U161">
        <v>2023</v>
      </c>
      <c r="V161">
        <v>45923</v>
      </c>
      <c r="W161">
        <v>21.5</v>
      </c>
      <c r="X161" t="str">
        <v>Mixed</v>
      </c>
      <c r="Y161" t="str">
        <v>Art</v>
      </c>
      <c r="Z161" t="str">
        <v>Private</v>
      </c>
      <c r="AA161" t="str">
        <v>No</v>
      </c>
      <c r="AB161" t="str">
        <v>Yes</v>
      </c>
      <c r="AC161">
        <v>2</v>
      </c>
      <c r="AD161" t="str">
        <v>Free</v>
      </c>
      <c r="AE161">
        <v>1.08</v>
      </c>
      <c r="AF161" s="14">
        <f t="shared" si="2"/>
        <v>0.40648996779786972</v>
      </c>
    </row>
    <row r="162" spans="1:32" x14ac:dyDescent="0.2">
      <c r="A162">
        <v>161</v>
      </c>
      <c r="B162" cm="1">
        <f t="array" ref="B162:AE162">_xlfn.XLOOKUP($A162,Instagram_Usage_Lifestyle_Mini_!$A:$A,Instagram_Usage_Lifestyle_Mini_!$AC:$BF)</f>
        <v>53</v>
      </c>
      <c r="C162">
        <v>7</v>
      </c>
      <c r="D162">
        <v>1</v>
      </c>
      <c r="E162">
        <v>80</v>
      </c>
      <c r="F162">
        <v>50</v>
      </c>
      <c r="G162">
        <v>63</v>
      </c>
      <c r="H162">
        <v>15</v>
      </c>
      <c r="I162">
        <v>13</v>
      </c>
      <c r="J162">
        <v>13</v>
      </c>
      <c r="K162">
        <v>9</v>
      </c>
      <c r="L162">
        <v>3</v>
      </c>
      <c r="M162">
        <v>27</v>
      </c>
      <c r="N162">
        <v>13</v>
      </c>
      <c r="O162">
        <v>6</v>
      </c>
      <c r="P162">
        <v>15</v>
      </c>
      <c r="Q162">
        <v>421</v>
      </c>
      <c r="R162">
        <v>219</v>
      </c>
      <c r="S162" t="str">
        <v>Yes</v>
      </c>
      <c r="T162">
        <v>0.41</v>
      </c>
      <c r="U162">
        <v>2017</v>
      </c>
      <c r="V162">
        <v>45905</v>
      </c>
      <c r="W162">
        <v>7.6</v>
      </c>
      <c r="X162" t="str">
        <v>Mixed</v>
      </c>
      <c r="Y162" t="str">
        <v>Other</v>
      </c>
      <c r="Z162" t="str">
        <v>Friends_only</v>
      </c>
      <c r="AA162" t="str">
        <v>No</v>
      </c>
      <c r="AB162" t="str">
        <v>Yes</v>
      </c>
      <c r="AC162">
        <v>2</v>
      </c>
      <c r="AD162" t="str">
        <v>Free</v>
      </c>
      <c r="AE162">
        <v>1.78</v>
      </c>
      <c r="AF162" s="14">
        <f t="shared" si="2"/>
        <v>1.9223744292237444</v>
      </c>
    </row>
    <row r="163" spans="1:32" x14ac:dyDescent="0.2">
      <c r="A163">
        <v>162</v>
      </c>
      <c r="B163" cm="1">
        <f t="array" ref="B163:AE163">_xlfn.XLOOKUP($A163,Instagram_Usage_Lifestyle_Mini_!$A:$A,Instagram_Usage_Lifestyle_Mini_!$AC:$BF)</f>
        <v>13</v>
      </c>
      <c r="C163">
        <v>1</v>
      </c>
      <c r="D163">
        <v>2</v>
      </c>
      <c r="E163">
        <v>56</v>
      </c>
      <c r="F163">
        <v>38</v>
      </c>
      <c r="G163">
        <v>40</v>
      </c>
      <c r="H163">
        <v>4</v>
      </c>
      <c r="I163">
        <v>7</v>
      </c>
      <c r="J163">
        <v>13</v>
      </c>
      <c r="K163">
        <v>7</v>
      </c>
      <c r="L163">
        <v>1</v>
      </c>
      <c r="M163">
        <v>7</v>
      </c>
      <c r="N163">
        <v>2</v>
      </c>
      <c r="O163">
        <v>2</v>
      </c>
      <c r="P163">
        <v>3</v>
      </c>
      <c r="Q163">
        <v>364</v>
      </c>
      <c r="R163">
        <v>151</v>
      </c>
      <c r="S163" t="str">
        <v>No</v>
      </c>
      <c r="T163">
        <v>0.17</v>
      </c>
      <c r="U163">
        <v>2016</v>
      </c>
      <c r="V163">
        <v>45831</v>
      </c>
      <c r="W163">
        <v>13</v>
      </c>
      <c r="X163" t="str">
        <v>Stories</v>
      </c>
      <c r="Y163" t="str">
        <v>Other</v>
      </c>
      <c r="Z163" t="str">
        <v>Private</v>
      </c>
      <c r="AA163" t="str">
        <v>Yes</v>
      </c>
      <c r="AB163" t="str">
        <v>No</v>
      </c>
      <c r="AC163">
        <v>0</v>
      </c>
      <c r="AD163" t="str">
        <v>Business</v>
      </c>
      <c r="AE163">
        <v>3.86</v>
      </c>
      <c r="AF163" s="14">
        <f t="shared" si="2"/>
        <v>2.4105960264900661</v>
      </c>
    </row>
    <row r="164" spans="1:32" x14ac:dyDescent="0.2">
      <c r="A164">
        <v>163</v>
      </c>
      <c r="B164" cm="1">
        <f t="array" ref="B164:AE164">_xlfn.XLOOKUP($A164,Instagram_Usage_Lifestyle_Mini_!$A:$A,Instagram_Usage_Lifestyle_Mini_!$AC:$BF)</f>
        <v>157</v>
      </c>
      <c r="C164">
        <v>7</v>
      </c>
      <c r="D164">
        <v>4</v>
      </c>
      <c r="E164">
        <v>116</v>
      </c>
      <c r="F164">
        <v>82</v>
      </c>
      <c r="G164">
        <v>87</v>
      </c>
      <c r="H164">
        <v>33</v>
      </c>
      <c r="I164">
        <v>26</v>
      </c>
      <c r="J164">
        <v>24</v>
      </c>
      <c r="K164">
        <v>17</v>
      </c>
      <c r="L164">
        <v>6</v>
      </c>
      <c r="M164">
        <v>77</v>
      </c>
      <c r="N164">
        <v>25</v>
      </c>
      <c r="O164">
        <v>31</v>
      </c>
      <c r="P164">
        <v>61</v>
      </c>
      <c r="Q164">
        <v>3792</v>
      </c>
      <c r="R164">
        <v>3815</v>
      </c>
      <c r="S164" t="str">
        <v>No</v>
      </c>
      <c r="T164">
        <v>0.52</v>
      </c>
      <c r="U164">
        <v>2025</v>
      </c>
      <c r="V164">
        <v>45805</v>
      </c>
      <c r="W164">
        <v>22.4</v>
      </c>
      <c r="X164" t="str">
        <v>Photos</v>
      </c>
      <c r="Y164" t="str">
        <v>Fashion</v>
      </c>
      <c r="Z164" t="str">
        <v>Public</v>
      </c>
      <c r="AA164" t="str">
        <v>Yes</v>
      </c>
      <c r="AB164" t="str">
        <v>Yes</v>
      </c>
      <c r="AC164">
        <v>3</v>
      </c>
      <c r="AD164" t="str">
        <v>Free</v>
      </c>
      <c r="AE164">
        <v>1.04</v>
      </c>
      <c r="AF164" s="14">
        <f t="shared" si="2"/>
        <v>0.99397116644823069</v>
      </c>
    </row>
    <row r="165" spans="1:32" x14ac:dyDescent="0.2">
      <c r="A165">
        <v>164</v>
      </c>
      <c r="B165" cm="1">
        <f t="array" ref="B165:AE165">_xlfn.XLOOKUP($A165,Instagram_Usage_Lifestyle_Mini_!$A:$A,Instagram_Usage_Lifestyle_Mini_!$AC:$BF)</f>
        <v>351</v>
      </c>
      <c r="C165">
        <v>12</v>
      </c>
      <c r="D165">
        <v>7</v>
      </c>
      <c r="E165">
        <v>224</v>
      </c>
      <c r="F165">
        <v>140</v>
      </c>
      <c r="G165">
        <v>196</v>
      </c>
      <c r="H165">
        <v>52</v>
      </c>
      <c r="I165">
        <v>32</v>
      </c>
      <c r="J165">
        <v>50</v>
      </c>
      <c r="K165">
        <v>31</v>
      </c>
      <c r="L165">
        <v>5</v>
      </c>
      <c r="M165">
        <v>147</v>
      </c>
      <c r="N165">
        <v>51</v>
      </c>
      <c r="O165">
        <v>61</v>
      </c>
      <c r="P165">
        <v>98</v>
      </c>
      <c r="Q165">
        <v>521</v>
      </c>
      <c r="R165">
        <v>1174</v>
      </c>
      <c r="S165" t="str">
        <v>No</v>
      </c>
      <c r="T165">
        <v>0.83</v>
      </c>
      <c r="U165">
        <v>2014</v>
      </c>
      <c r="V165">
        <v>45943</v>
      </c>
      <c r="W165">
        <v>29.2</v>
      </c>
      <c r="X165" t="str">
        <v>Stories</v>
      </c>
      <c r="Y165" t="str">
        <v>Fitness</v>
      </c>
      <c r="Z165" t="str">
        <v>Private</v>
      </c>
      <c r="AA165" t="str">
        <v>Yes</v>
      </c>
      <c r="AB165" t="str">
        <v>Yes</v>
      </c>
      <c r="AC165">
        <v>1</v>
      </c>
      <c r="AD165" t="str">
        <v>Free</v>
      </c>
      <c r="AE165">
        <v>0.91</v>
      </c>
      <c r="AF165" s="14">
        <f t="shared" si="2"/>
        <v>0.44378194207836458</v>
      </c>
    </row>
    <row r="166" spans="1:32" x14ac:dyDescent="0.2">
      <c r="A166">
        <v>165</v>
      </c>
      <c r="B166" cm="1">
        <f t="array" ref="B166:AE166">_xlfn.XLOOKUP($A166,Instagram_Usage_Lifestyle_Mini_!$A:$A,Instagram_Usage_Lifestyle_Mini_!$AC:$BF)</f>
        <v>163</v>
      </c>
      <c r="C166">
        <v>6</v>
      </c>
      <c r="D166">
        <v>5</v>
      </c>
      <c r="E166">
        <v>140</v>
      </c>
      <c r="F166">
        <v>94</v>
      </c>
      <c r="G166">
        <v>107</v>
      </c>
      <c r="H166">
        <v>29</v>
      </c>
      <c r="I166">
        <v>26</v>
      </c>
      <c r="J166">
        <v>34</v>
      </c>
      <c r="K166">
        <v>19</v>
      </c>
      <c r="L166">
        <v>3</v>
      </c>
      <c r="M166">
        <v>86</v>
      </c>
      <c r="N166">
        <v>32</v>
      </c>
      <c r="O166">
        <v>39</v>
      </c>
      <c r="P166">
        <v>62</v>
      </c>
      <c r="Q166">
        <v>4643</v>
      </c>
      <c r="R166">
        <v>5591</v>
      </c>
      <c r="S166" t="str">
        <v>No</v>
      </c>
      <c r="T166">
        <v>0.42</v>
      </c>
      <c r="U166">
        <v>2012</v>
      </c>
      <c r="V166">
        <v>45856</v>
      </c>
      <c r="W166">
        <v>27.2</v>
      </c>
      <c r="X166" t="str">
        <v>Photos</v>
      </c>
      <c r="Y166" t="str">
        <v>Music</v>
      </c>
      <c r="Z166" t="str">
        <v>Public</v>
      </c>
      <c r="AA166" t="str">
        <v>Yes</v>
      </c>
      <c r="AB166" t="str">
        <v>No</v>
      </c>
      <c r="AC166">
        <v>0</v>
      </c>
      <c r="AD166" t="str">
        <v>Free</v>
      </c>
      <c r="AE166">
        <v>1.1000000000000001</v>
      </c>
      <c r="AF166" s="14">
        <f t="shared" si="2"/>
        <v>0.83044178143444825</v>
      </c>
    </row>
    <row r="167" spans="1:32" x14ac:dyDescent="0.2">
      <c r="A167">
        <v>166</v>
      </c>
      <c r="B167" cm="1">
        <f t="array" ref="B167:AE167">_xlfn.XLOOKUP($A167,Instagram_Usage_Lifestyle_Mini_!$A:$A,Instagram_Usage_Lifestyle_Mini_!$AC:$BF)</f>
        <v>130</v>
      </c>
      <c r="C167">
        <v>8</v>
      </c>
      <c r="D167">
        <v>1</v>
      </c>
      <c r="E167">
        <v>108</v>
      </c>
      <c r="F167">
        <v>90</v>
      </c>
      <c r="G167">
        <v>71</v>
      </c>
      <c r="H167">
        <v>32</v>
      </c>
      <c r="I167">
        <v>25</v>
      </c>
      <c r="J167">
        <v>21</v>
      </c>
      <c r="K167">
        <v>19</v>
      </c>
      <c r="L167">
        <v>4</v>
      </c>
      <c r="M167">
        <v>59</v>
      </c>
      <c r="N167">
        <v>17</v>
      </c>
      <c r="O167">
        <v>19</v>
      </c>
      <c r="P167">
        <v>28</v>
      </c>
      <c r="Q167">
        <v>507</v>
      </c>
      <c r="R167">
        <v>834</v>
      </c>
      <c r="S167" t="str">
        <v>Yes</v>
      </c>
      <c r="T167">
        <v>0.06</v>
      </c>
      <c r="U167">
        <v>2016</v>
      </c>
      <c r="V167">
        <v>45983</v>
      </c>
      <c r="W167">
        <v>16.2</v>
      </c>
      <c r="X167" t="str">
        <v>Live</v>
      </c>
      <c r="Y167" t="str">
        <v>Food</v>
      </c>
      <c r="Z167" t="str">
        <v>Friends_only</v>
      </c>
      <c r="AA167" t="str">
        <v>Yes</v>
      </c>
      <c r="AB167" t="str">
        <v>No</v>
      </c>
      <c r="AC167">
        <v>1</v>
      </c>
      <c r="AD167" t="str">
        <v>Free</v>
      </c>
      <c r="AE167">
        <v>1.05</v>
      </c>
      <c r="AF167" s="14">
        <f t="shared" si="2"/>
        <v>0.6079136690647482</v>
      </c>
    </row>
    <row r="168" spans="1:32" x14ac:dyDescent="0.2">
      <c r="A168">
        <v>167</v>
      </c>
      <c r="B168" cm="1">
        <f t="array" ref="B168:AE168">_xlfn.XLOOKUP($A168,Instagram_Usage_Lifestyle_Mini_!$A:$A,Instagram_Usage_Lifestyle_Mini_!$AC:$BF)</f>
        <v>136</v>
      </c>
      <c r="C168">
        <v>9</v>
      </c>
      <c r="D168">
        <v>7</v>
      </c>
      <c r="E168">
        <v>200</v>
      </c>
      <c r="F168">
        <v>85</v>
      </c>
      <c r="G168">
        <v>105</v>
      </c>
      <c r="H168">
        <v>28</v>
      </c>
      <c r="I168">
        <v>19</v>
      </c>
      <c r="J168">
        <v>17</v>
      </c>
      <c r="K168">
        <v>16</v>
      </c>
      <c r="L168">
        <v>3</v>
      </c>
      <c r="M168">
        <v>56</v>
      </c>
      <c r="N168">
        <v>41</v>
      </c>
      <c r="O168">
        <v>26</v>
      </c>
      <c r="P168">
        <v>31</v>
      </c>
      <c r="Q168">
        <v>2294</v>
      </c>
      <c r="R168">
        <v>1540</v>
      </c>
      <c r="S168" t="str">
        <v>No</v>
      </c>
      <c r="T168">
        <v>0.94</v>
      </c>
      <c r="U168">
        <v>2016</v>
      </c>
      <c r="V168">
        <v>45781</v>
      </c>
      <c r="W168">
        <v>15.1</v>
      </c>
      <c r="X168" t="str">
        <v>Reels</v>
      </c>
      <c r="Y168" t="str">
        <v>Fashion</v>
      </c>
      <c r="Z168" t="str">
        <v>Public</v>
      </c>
      <c r="AA168" t="str">
        <v>No</v>
      </c>
      <c r="AB168" t="str">
        <v>No</v>
      </c>
      <c r="AC168">
        <v>1</v>
      </c>
      <c r="AD168" t="str">
        <v>Free</v>
      </c>
      <c r="AE168">
        <v>1.33</v>
      </c>
      <c r="AF168" s="14">
        <f t="shared" si="2"/>
        <v>1.4896103896103896</v>
      </c>
    </row>
    <row r="169" spans="1:32" x14ac:dyDescent="0.2">
      <c r="A169">
        <v>168</v>
      </c>
      <c r="B169" cm="1">
        <f t="array" ref="B169:AE169">_xlfn.XLOOKUP($A169,Instagram_Usage_Lifestyle_Mini_!$A:$A,Instagram_Usage_Lifestyle_Mini_!$AC:$BF)</f>
        <v>326</v>
      </c>
      <c r="C169">
        <v>23</v>
      </c>
      <c r="D169">
        <v>10</v>
      </c>
      <c r="E169">
        <v>240</v>
      </c>
      <c r="F169">
        <v>150</v>
      </c>
      <c r="G169">
        <v>190</v>
      </c>
      <c r="H169">
        <v>54</v>
      </c>
      <c r="I169">
        <v>42</v>
      </c>
      <c r="J169">
        <v>48</v>
      </c>
      <c r="K169">
        <v>38</v>
      </c>
      <c r="L169">
        <v>6</v>
      </c>
      <c r="M169">
        <v>154</v>
      </c>
      <c r="N169">
        <v>95</v>
      </c>
      <c r="O169">
        <v>38</v>
      </c>
      <c r="P169">
        <v>76</v>
      </c>
      <c r="Q169">
        <v>709</v>
      </c>
      <c r="R169">
        <v>1006</v>
      </c>
      <c r="S169" t="str">
        <v>No</v>
      </c>
      <c r="T169">
        <v>0.42</v>
      </c>
      <c r="U169">
        <v>2023</v>
      </c>
      <c r="V169">
        <v>45823</v>
      </c>
      <c r="W169">
        <v>14.2</v>
      </c>
      <c r="X169" t="str">
        <v>Stories</v>
      </c>
      <c r="Y169" t="str">
        <v>Other</v>
      </c>
      <c r="Z169" t="str">
        <v>Friends_only</v>
      </c>
      <c r="AA169" t="str">
        <v>Yes</v>
      </c>
      <c r="AB169" t="str">
        <v>Yes</v>
      </c>
      <c r="AC169">
        <v>1</v>
      </c>
      <c r="AD169" t="str">
        <v>Free</v>
      </c>
      <c r="AE169">
        <v>1</v>
      </c>
      <c r="AF169" s="14">
        <f t="shared" si="2"/>
        <v>0.70477137176938365</v>
      </c>
    </row>
    <row r="170" spans="1:32" x14ac:dyDescent="0.2">
      <c r="A170">
        <v>169</v>
      </c>
      <c r="B170" cm="1">
        <f t="array" ref="B170:AE170">_xlfn.XLOOKUP($A170,Instagram_Usage_Lifestyle_Mini_!$A:$A,Instagram_Usage_Lifestyle_Mini_!$AC:$BF)</f>
        <v>207</v>
      </c>
      <c r="C170">
        <v>6</v>
      </c>
      <c r="D170">
        <v>13</v>
      </c>
      <c r="E170">
        <v>155</v>
      </c>
      <c r="F170">
        <v>105</v>
      </c>
      <c r="G170">
        <v>136</v>
      </c>
      <c r="H170">
        <v>32</v>
      </c>
      <c r="I170">
        <v>42</v>
      </c>
      <c r="J170">
        <v>34</v>
      </c>
      <c r="K170">
        <v>15</v>
      </c>
      <c r="L170">
        <v>6</v>
      </c>
      <c r="M170">
        <v>94</v>
      </c>
      <c r="N170">
        <v>58</v>
      </c>
      <c r="O170">
        <v>32</v>
      </c>
      <c r="P170">
        <v>56</v>
      </c>
      <c r="Q170">
        <v>10372</v>
      </c>
      <c r="R170">
        <v>10000</v>
      </c>
      <c r="S170" t="str">
        <v>No</v>
      </c>
      <c r="T170">
        <v>0.7</v>
      </c>
      <c r="U170">
        <v>2011</v>
      </c>
      <c r="V170">
        <v>45906</v>
      </c>
      <c r="W170">
        <v>34.5</v>
      </c>
      <c r="X170" t="str">
        <v>Reels</v>
      </c>
      <c r="Y170" t="str">
        <v>Other</v>
      </c>
      <c r="Z170" t="str">
        <v>Private</v>
      </c>
      <c r="AA170" t="str">
        <v>No</v>
      </c>
      <c r="AB170" t="str">
        <v>No</v>
      </c>
      <c r="AC170">
        <v>4</v>
      </c>
      <c r="AD170" t="str">
        <v>Free</v>
      </c>
      <c r="AE170">
        <v>1.1499999999999999</v>
      </c>
      <c r="AF170" s="14">
        <f t="shared" si="2"/>
        <v>1.0371999999999999</v>
      </c>
    </row>
    <row r="171" spans="1:32" x14ac:dyDescent="0.2">
      <c r="A171">
        <v>170</v>
      </c>
      <c r="B171" cm="1">
        <f t="array" ref="B171:AE171">_xlfn.XLOOKUP($A171,Instagram_Usage_Lifestyle_Mini_!$A:$A,Instagram_Usage_Lifestyle_Mini_!$AC:$BF)</f>
        <v>41</v>
      </c>
      <c r="C171">
        <v>1</v>
      </c>
      <c r="D171">
        <v>5</v>
      </c>
      <c r="E171">
        <v>54</v>
      </c>
      <c r="F171">
        <v>52</v>
      </c>
      <c r="G171">
        <v>46</v>
      </c>
      <c r="H171">
        <v>15</v>
      </c>
      <c r="I171">
        <v>12</v>
      </c>
      <c r="J171">
        <v>13</v>
      </c>
      <c r="K171">
        <v>13</v>
      </c>
      <c r="L171">
        <v>0</v>
      </c>
      <c r="M171">
        <v>17</v>
      </c>
      <c r="N171">
        <v>10</v>
      </c>
      <c r="O171">
        <v>10</v>
      </c>
      <c r="P171">
        <v>11</v>
      </c>
      <c r="Q171">
        <v>1514</v>
      </c>
      <c r="R171">
        <v>2064</v>
      </c>
      <c r="S171" t="str">
        <v>Yes</v>
      </c>
      <c r="T171">
        <v>0.48</v>
      </c>
      <c r="U171">
        <v>2010</v>
      </c>
      <c r="V171">
        <v>45660</v>
      </c>
      <c r="W171">
        <v>41</v>
      </c>
      <c r="X171" t="str">
        <v>Live</v>
      </c>
      <c r="Y171" t="str">
        <v>Tech</v>
      </c>
      <c r="Z171" t="str">
        <v>Friends_only</v>
      </c>
      <c r="AA171" t="str">
        <v>No</v>
      </c>
      <c r="AB171" t="str">
        <v>No</v>
      </c>
      <c r="AC171">
        <v>2</v>
      </c>
      <c r="AD171" t="str">
        <v>Premium</v>
      </c>
      <c r="AE171">
        <v>2.17</v>
      </c>
      <c r="AF171" s="14">
        <f t="shared" si="2"/>
        <v>0.73352713178294571</v>
      </c>
    </row>
    <row r="172" spans="1:32" x14ac:dyDescent="0.2">
      <c r="A172">
        <v>171</v>
      </c>
      <c r="B172" cm="1">
        <f t="array" ref="B172:AE172">_xlfn.XLOOKUP($A172,Instagram_Usage_Lifestyle_Mini_!$A:$A,Instagram_Usage_Lifestyle_Mini_!$AC:$BF)</f>
        <v>181</v>
      </c>
      <c r="C172">
        <v>13</v>
      </c>
      <c r="D172">
        <v>1</v>
      </c>
      <c r="E172">
        <v>165</v>
      </c>
      <c r="F172">
        <v>97</v>
      </c>
      <c r="G172">
        <v>131</v>
      </c>
      <c r="H172">
        <v>27</v>
      </c>
      <c r="I172">
        <v>24</v>
      </c>
      <c r="J172">
        <v>38</v>
      </c>
      <c r="K172">
        <v>17</v>
      </c>
      <c r="L172">
        <v>7</v>
      </c>
      <c r="M172">
        <v>100</v>
      </c>
      <c r="N172">
        <v>34</v>
      </c>
      <c r="O172">
        <v>28</v>
      </c>
      <c r="P172">
        <v>72</v>
      </c>
      <c r="Q172">
        <v>307</v>
      </c>
      <c r="R172">
        <v>344</v>
      </c>
      <c r="S172" t="str">
        <v>No</v>
      </c>
      <c r="T172">
        <v>0.48</v>
      </c>
      <c r="U172">
        <v>2018</v>
      </c>
      <c r="V172">
        <v>45956</v>
      </c>
      <c r="W172">
        <v>13.9</v>
      </c>
      <c r="X172" t="str">
        <v>Photos</v>
      </c>
      <c r="Y172" t="str">
        <v>Fitness</v>
      </c>
      <c r="Z172" t="str">
        <v>Friends_only</v>
      </c>
      <c r="AA172" t="str">
        <v>Yes</v>
      </c>
      <c r="AB172" t="str">
        <v>No</v>
      </c>
      <c r="AC172">
        <v>2</v>
      </c>
      <c r="AD172" t="str">
        <v>Premium</v>
      </c>
      <c r="AE172">
        <v>1.03</v>
      </c>
      <c r="AF172" s="14">
        <f t="shared" si="2"/>
        <v>0.89244186046511631</v>
      </c>
    </row>
    <row r="173" spans="1:32" x14ac:dyDescent="0.2">
      <c r="A173">
        <v>172</v>
      </c>
      <c r="B173" cm="1">
        <f t="array" ref="B173:AE173">_xlfn.XLOOKUP($A173,Instagram_Usage_Lifestyle_Mini_!$A:$A,Instagram_Usage_Lifestyle_Mini_!$AC:$BF)</f>
        <v>317</v>
      </c>
      <c r="C173">
        <v>11</v>
      </c>
      <c r="D173">
        <v>11</v>
      </c>
      <c r="E173">
        <v>259</v>
      </c>
      <c r="F173">
        <v>150</v>
      </c>
      <c r="G173">
        <v>191</v>
      </c>
      <c r="H173">
        <v>44</v>
      </c>
      <c r="I173">
        <v>45</v>
      </c>
      <c r="J173">
        <v>54</v>
      </c>
      <c r="K173">
        <v>32</v>
      </c>
      <c r="L173">
        <v>11</v>
      </c>
      <c r="M173">
        <v>164</v>
      </c>
      <c r="N173">
        <v>33</v>
      </c>
      <c r="O173">
        <v>70</v>
      </c>
      <c r="P173">
        <v>116</v>
      </c>
      <c r="Q173">
        <v>806</v>
      </c>
      <c r="R173">
        <v>1500</v>
      </c>
      <c r="S173" t="str">
        <v>No</v>
      </c>
      <c r="T173">
        <v>0.64</v>
      </c>
      <c r="U173">
        <v>2023</v>
      </c>
      <c r="V173">
        <v>45837</v>
      </c>
      <c r="W173">
        <v>28.8</v>
      </c>
      <c r="X173" t="str">
        <v>Stories</v>
      </c>
      <c r="Y173" t="str">
        <v>Tech</v>
      </c>
      <c r="Z173" t="str">
        <v>Private</v>
      </c>
      <c r="AA173" t="str">
        <v>No</v>
      </c>
      <c r="AB173" t="str">
        <v>No</v>
      </c>
      <c r="AC173">
        <v>3</v>
      </c>
      <c r="AD173" t="str">
        <v>Business</v>
      </c>
      <c r="AE173">
        <v>0.98</v>
      </c>
      <c r="AF173" s="14">
        <f t="shared" si="2"/>
        <v>0.53733333333333333</v>
      </c>
    </row>
    <row r="174" spans="1:32" x14ac:dyDescent="0.2">
      <c r="A174">
        <v>173</v>
      </c>
      <c r="B174" cm="1">
        <f t="array" ref="B174:AE174">_xlfn.XLOOKUP($A174,Instagram_Usage_Lifestyle_Mini_!$A:$A,Instagram_Usage_Lifestyle_Mini_!$AC:$BF)</f>
        <v>186</v>
      </c>
      <c r="C174">
        <v>11</v>
      </c>
      <c r="D174">
        <v>2</v>
      </c>
      <c r="E174">
        <v>219</v>
      </c>
      <c r="F174">
        <v>102</v>
      </c>
      <c r="G174">
        <v>134</v>
      </c>
      <c r="H174">
        <v>36</v>
      </c>
      <c r="I174">
        <v>36</v>
      </c>
      <c r="J174">
        <v>32</v>
      </c>
      <c r="K174">
        <v>24</v>
      </c>
      <c r="L174">
        <v>4</v>
      </c>
      <c r="M174">
        <v>107</v>
      </c>
      <c r="N174">
        <v>38</v>
      </c>
      <c r="O174">
        <v>33</v>
      </c>
      <c r="P174">
        <v>46</v>
      </c>
      <c r="Q174">
        <v>3102</v>
      </c>
      <c r="R174">
        <v>2602</v>
      </c>
      <c r="S174" t="str">
        <v>No</v>
      </c>
      <c r="T174">
        <v>0.26</v>
      </c>
      <c r="U174">
        <v>2020</v>
      </c>
      <c r="V174">
        <v>46008</v>
      </c>
      <c r="W174">
        <v>16.899999999999999</v>
      </c>
      <c r="X174" t="str">
        <v>Photos</v>
      </c>
      <c r="Y174" t="str">
        <v>Fashion</v>
      </c>
      <c r="Z174" t="str">
        <v>Friends_only</v>
      </c>
      <c r="AA174" t="str">
        <v>Yes</v>
      </c>
      <c r="AB174" t="str">
        <v>Yes</v>
      </c>
      <c r="AC174">
        <v>1</v>
      </c>
      <c r="AD174" t="str">
        <v>Premium</v>
      </c>
      <c r="AE174">
        <v>1.1299999999999999</v>
      </c>
      <c r="AF174" s="14">
        <f t="shared" si="2"/>
        <v>1.1921598770176787</v>
      </c>
    </row>
    <row r="175" spans="1:32" x14ac:dyDescent="0.2">
      <c r="A175">
        <v>174</v>
      </c>
      <c r="B175" cm="1">
        <f t="array" ref="B175:AE175">_xlfn.XLOOKUP($A175,Instagram_Usage_Lifestyle_Mini_!$A:$A,Instagram_Usage_Lifestyle_Mini_!$AC:$BF)</f>
        <v>80</v>
      </c>
      <c r="C175">
        <v>8</v>
      </c>
      <c r="D175">
        <v>2</v>
      </c>
      <c r="E175">
        <v>75</v>
      </c>
      <c r="F175">
        <v>59</v>
      </c>
      <c r="G175">
        <v>47</v>
      </c>
      <c r="H175">
        <v>21</v>
      </c>
      <c r="I175">
        <v>17</v>
      </c>
      <c r="J175">
        <v>14</v>
      </c>
      <c r="K175">
        <v>15</v>
      </c>
      <c r="L175">
        <v>5</v>
      </c>
      <c r="M175">
        <v>45</v>
      </c>
      <c r="N175">
        <v>10</v>
      </c>
      <c r="O175">
        <v>12</v>
      </c>
      <c r="P175">
        <v>22</v>
      </c>
      <c r="Q175">
        <v>353</v>
      </c>
      <c r="R175">
        <v>591</v>
      </c>
      <c r="S175" t="str">
        <v>No</v>
      </c>
      <c r="T175">
        <v>0.73</v>
      </c>
      <c r="U175">
        <v>2012</v>
      </c>
      <c r="V175">
        <v>45997</v>
      </c>
      <c r="W175">
        <v>10</v>
      </c>
      <c r="X175" t="str">
        <v>Reels</v>
      </c>
      <c r="Y175" t="str">
        <v>Art</v>
      </c>
      <c r="Z175" t="str">
        <v>Private</v>
      </c>
      <c r="AA175" t="str">
        <v>No</v>
      </c>
      <c r="AB175" t="str">
        <v>No</v>
      </c>
      <c r="AC175">
        <v>2</v>
      </c>
      <c r="AD175" t="str">
        <v>Free</v>
      </c>
      <c r="AE175">
        <v>1.17</v>
      </c>
      <c r="AF175" s="14">
        <f t="shared" si="2"/>
        <v>0.59729272419627755</v>
      </c>
    </row>
    <row r="176" spans="1:32" x14ac:dyDescent="0.2">
      <c r="A176">
        <v>175</v>
      </c>
      <c r="B176" cm="1">
        <f t="array" ref="B176:AE176">_xlfn.XLOOKUP($A176,Instagram_Usage_Lifestyle_Mini_!$A:$A,Instagram_Usage_Lifestyle_Mini_!$AC:$BF)</f>
        <v>102</v>
      </c>
      <c r="C176">
        <v>6</v>
      </c>
      <c r="D176">
        <v>4</v>
      </c>
      <c r="E176">
        <v>110</v>
      </c>
      <c r="F176">
        <v>76</v>
      </c>
      <c r="G176">
        <v>84</v>
      </c>
      <c r="H176">
        <v>23</v>
      </c>
      <c r="I176">
        <v>9</v>
      </c>
      <c r="J176">
        <v>21</v>
      </c>
      <c r="K176">
        <v>12</v>
      </c>
      <c r="L176">
        <v>5</v>
      </c>
      <c r="M176">
        <v>43</v>
      </c>
      <c r="N176">
        <v>30</v>
      </c>
      <c r="O176">
        <v>20</v>
      </c>
      <c r="P176">
        <v>23</v>
      </c>
      <c r="Q176">
        <v>5576</v>
      </c>
      <c r="R176">
        <v>5396</v>
      </c>
      <c r="S176" t="str">
        <v>Yes</v>
      </c>
      <c r="T176">
        <v>0.95</v>
      </c>
      <c r="U176">
        <v>2012</v>
      </c>
      <c r="V176">
        <v>45874</v>
      </c>
      <c r="W176">
        <v>17</v>
      </c>
      <c r="X176" t="str">
        <v>Live</v>
      </c>
      <c r="Y176" t="str">
        <v>Fashion</v>
      </c>
      <c r="Z176" t="str">
        <v>Private</v>
      </c>
      <c r="AA176" t="str">
        <v>Yes</v>
      </c>
      <c r="AB176" t="str">
        <v>Yes</v>
      </c>
      <c r="AC176">
        <v>1</v>
      </c>
      <c r="AD176" t="str">
        <v>Free</v>
      </c>
      <c r="AE176">
        <v>1.38</v>
      </c>
      <c r="AF176" s="14">
        <f t="shared" si="2"/>
        <v>1.033358042994811</v>
      </c>
    </row>
    <row r="177" spans="1:32" x14ac:dyDescent="0.2">
      <c r="A177">
        <v>176</v>
      </c>
      <c r="B177" cm="1">
        <f t="array" ref="B177:AE177">_xlfn.XLOOKUP($A177,Instagram_Usage_Lifestyle_Mini_!$A:$A,Instagram_Usage_Lifestyle_Mini_!$AC:$BF)</f>
        <v>5</v>
      </c>
      <c r="C177">
        <v>1</v>
      </c>
      <c r="D177">
        <v>0</v>
      </c>
      <c r="E177">
        <v>45</v>
      </c>
      <c r="F177">
        <v>25</v>
      </c>
      <c r="G177">
        <v>27</v>
      </c>
      <c r="H177">
        <v>10</v>
      </c>
      <c r="I177">
        <v>13</v>
      </c>
      <c r="J177">
        <v>13</v>
      </c>
      <c r="K177">
        <v>8</v>
      </c>
      <c r="L177">
        <v>1</v>
      </c>
      <c r="M177">
        <v>2</v>
      </c>
      <c r="N177">
        <v>1</v>
      </c>
      <c r="O177">
        <v>1</v>
      </c>
      <c r="P177">
        <v>1</v>
      </c>
      <c r="Q177">
        <v>2770</v>
      </c>
      <c r="R177">
        <v>4951</v>
      </c>
      <c r="S177" t="str">
        <v>Yes</v>
      </c>
      <c r="T177">
        <v>0.62</v>
      </c>
      <c r="U177">
        <v>2013</v>
      </c>
      <c r="V177">
        <v>45680</v>
      </c>
      <c r="W177">
        <v>5</v>
      </c>
      <c r="X177" t="str">
        <v>Stories</v>
      </c>
      <c r="Y177" t="str">
        <v>Music</v>
      </c>
      <c r="Z177" t="str">
        <v>Public</v>
      </c>
      <c r="AA177" t="str">
        <v>No</v>
      </c>
      <c r="AB177" t="str">
        <v>Yes</v>
      </c>
      <c r="AC177">
        <v>1</v>
      </c>
      <c r="AD177" t="str">
        <v>Free</v>
      </c>
      <c r="AE177">
        <v>7.83</v>
      </c>
      <c r="AF177" s="14">
        <f t="shared" si="2"/>
        <v>0.55948293274086047</v>
      </c>
    </row>
    <row r="178" spans="1:32" x14ac:dyDescent="0.2">
      <c r="A178">
        <v>177</v>
      </c>
      <c r="B178" cm="1">
        <f t="array" ref="B178:AE178">_xlfn.XLOOKUP($A178,Instagram_Usage_Lifestyle_Mini_!$A:$A,Instagram_Usage_Lifestyle_Mini_!$AC:$BF)</f>
        <v>274</v>
      </c>
      <c r="C178">
        <v>8</v>
      </c>
      <c r="D178">
        <v>8</v>
      </c>
      <c r="E178">
        <v>297</v>
      </c>
      <c r="F178">
        <v>141</v>
      </c>
      <c r="G178">
        <v>161</v>
      </c>
      <c r="H178">
        <v>42</v>
      </c>
      <c r="I178">
        <v>34</v>
      </c>
      <c r="J178">
        <v>40</v>
      </c>
      <c r="K178">
        <v>18</v>
      </c>
      <c r="L178">
        <v>5</v>
      </c>
      <c r="M178">
        <v>123</v>
      </c>
      <c r="N178">
        <v>78</v>
      </c>
      <c r="O178">
        <v>42</v>
      </c>
      <c r="P178">
        <v>92</v>
      </c>
      <c r="Q178">
        <v>329</v>
      </c>
      <c r="R178">
        <v>482</v>
      </c>
      <c r="S178" t="str">
        <v>No</v>
      </c>
      <c r="T178">
        <v>0.27</v>
      </c>
      <c r="U178">
        <v>2017</v>
      </c>
      <c r="V178">
        <v>45894</v>
      </c>
      <c r="W178">
        <v>34.200000000000003</v>
      </c>
      <c r="X178" t="str">
        <v>Reels</v>
      </c>
      <c r="Y178" t="str">
        <v>Fashion</v>
      </c>
      <c r="Z178" t="str">
        <v>Friends_only</v>
      </c>
      <c r="AA178" t="str">
        <v>Yes</v>
      </c>
      <c r="AB178" t="str">
        <v>No</v>
      </c>
      <c r="AC178">
        <v>4</v>
      </c>
      <c r="AD178" t="str">
        <v>Premium</v>
      </c>
      <c r="AE178">
        <v>0.98</v>
      </c>
      <c r="AF178" s="14">
        <f t="shared" si="2"/>
        <v>0.68257261410788383</v>
      </c>
    </row>
    <row r="179" spans="1:32" x14ac:dyDescent="0.2">
      <c r="A179">
        <v>178</v>
      </c>
      <c r="B179" cm="1">
        <f t="array" ref="B179:AE179">_xlfn.XLOOKUP($A179,Instagram_Usage_Lifestyle_Mini_!$A:$A,Instagram_Usage_Lifestyle_Mini_!$AC:$BF)</f>
        <v>119</v>
      </c>
      <c r="C179">
        <v>4</v>
      </c>
      <c r="D179">
        <v>4</v>
      </c>
      <c r="E179">
        <v>148</v>
      </c>
      <c r="F179">
        <v>70</v>
      </c>
      <c r="G179">
        <v>75</v>
      </c>
      <c r="H179">
        <v>25</v>
      </c>
      <c r="I179">
        <v>26</v>
      </c>
      <c r="J179">
        <v>28</v>
      </c>
      <c r="K179">
        <v>14</v>
      </c>
      <c r="L179">
        <v>2</v>
      </c>
      <c r="M179">
        <v>69</v>
      </c>
      <c r="N179">
        <v>33</v>
      </c>
      <c r="O179">
        <v>12</v>
      </c>
      <c r="P179">
        <v>36</v>
      </c>
      <c r="Q179">
        <v>253</v>
      </c>
      <c r="R179">
        <v>430</v>
      </c>
      <c r="S179" t="str">
        <v>No</v>
      </c>
      <c r="T179">
        <v>1</v>
      </c>
      <c r="U179">
        <v>2017</v>
      </c>
      <c r="V179">
        <v>45664</v>
      </c>
      <c r="W179">
        <v>29.8</v>
      </c>
      <c r="X179" t="str">
        <v>Live</v>
      </c>
      <c r="Y179" t="str">
        <v>Fitness</v>
      </c>
      <c r="Z179" t="str">
        <v>Public</v>
      </c>
      <c r="AA179" t="str">
        <v>Yes</v>
      </c>
      <c r="AB179" t="str">
        <v>No</v>
      </c>
      <c r="AC179">
        <v>2</v>
      </c>
      <c r="AD179" t="str">
        <v>Free</v>
      </c>
      <c r="AE179">
        <v>1.1399999999999999</v>
      </c>
      <c r="AF179" s="14">
        <f t="shared" si="2"/>
        <v>0.58837209302325577</v>
      </c>
    </row>
    <row r="180" spans="1:32" x14ac:dyDescent="0.2">
      <c r="A180">
        <v>179</v>
      </c>
      <c r="B180" cm="1">
        <f t="array" ref="B180:AE180">_xlfn.XLOOKUP($A180,Instagram_Usage_Lifestyle_Mini_!$A:$A,Instagram_Usage_Lifestyle_Mini_!$AC:$BF)</f>
        <v>339</v>
      </c>
      <c r="C180">
        <v>22</v>
      </c>
      <c r="D180">
        <v>11</v>
      </c>
      <c r="E180">
        <v>300</v>
      </c>
      <c r="F180">
        <v>150</v>
      </c>
      <c r="G180">
        <v>186</v>
      </c>
      <c r="H180">
        <v>56</v>
      </c>
      <c r="I180">
        <v>32</v>
      </c>
      <c r="J180">
        <v>58</v>
      </c>
      <c r="K180">
        <v>30</v>
      </c>
      <c r="L180">
        <v>7</v>
      </c>
      <c r="M180">
        <v>143</v>
      </c>
      <c r="N180">
        <v>75</v>
      </c>
      <c r="O180">
        <v>77</v>
      </c>
      <c r="P180">
        <v>90</v>
      </c>
      <c r="Q180">
        <v>248</v>
      </c>
      <c r="R180">
        <v>111</v>
      </c>
      <c r="S180" t="str">
        <v>No</v>
      </c>
      <c r="T180">
        <v>0.28999999999999998</v>
      </c>
      <c r="U180">
        <v>2014</v>
      </c>
      <c r="V180">
        <v>45931</v>
      </c>
      <c r="W180">
        <v>15.4</v>
      </c>
      <c r="X180" t="str">
        <v>Reels</v>
      </c>
      <c r="Y180" t="str">
        <v>Music</v>
      </c>
      <c r="Z180" t="str">
        <v>Public</v>
      </c>
      <c r="AA180" t="str">
        <v>Yes</v>
      </c>
      <c r="AB180" t="str">
        <v>No</v>
      </c>
      <c r="AC180">
        <v>3</v>
      </c>
      <c r="AD180" t="str">
        <v>Free</v>
      </c>
      <c r="AE180">
        <v>0.97</v>
      </c>
      <c r="AF180" s="14">
        <f t="shared" si="2"/>
        <v>2.2342342342342341</v>
      </c>
    </row>
    <row r="181" spans="1:32" x14ac:dyDescent="0.2">
      <c r="A181">
        <v>180</v>
      </c>
      <c r="B181" cm="1">
        <f t="array" ref="B181:AE181">_xlfn.XLOOKUP($A181,Instagram_Usage_Lifestyle_Mini_!$A:$A,Instagram_Usage_Lifestyle_Mini_!$AC:$BF)</f>
        <v>101</v>
      </c>
      <c r="C181">
        <v>3</v>
      </c>
      <c r="D181">
        <v>8</v>
      </c>
      <c r="E181">
        <v>106</v>
      </c>
      <c r="F181">
        <v>61</v>
      </c>
      <c r="G181">
        <v>87</v>
      </c>
      <c r="H181">
        <v>17</v>
      </c>
      <c r="I181">
        <v>21</v>
      </c>
      <c r="J181">
        <v>24</v>
      </c>
      <c r="K181">
        <v>13</v>
      </c>
      <c r="L181">
        <v>1</v>
      </c>
      <c r="M181">
        <v>50</v>
      </c>
      <c r="N181">
        <v>20</v>
      </c>
      <c r="O181">
        <v>11</v>
      </c>
      <c r="P181">
        <v>37</v>
      </c>
      <c r="Q181">
        <v>3927</v>
      </c>
      <c r="R181">
        <v>1851</v>
      </c>
      <c r="S181" t="str">
        <v>No</v>
      </c>
      <c r="T181">
        <v>0.12</v>
      </c>
      <c r="U181">
        <v>2015</v>
      </c>
      <c r="V181">
        <v>46002</v>
      </c>
      <c r="W181">
        <v>33.700000000000003</v>
      </c>
      <c r="X181" t="str">
        <v>Live</v>
      </c>
      <c r="Y181" t="str">
        <v>Food</v>
      </c>
      <c r="Z181" t="str">
        <v>Private</v>
      </c>
      <c r="AA181" t="str">
        <v>Yes</v>
      </c>
      <c r="AB181" t="str">
        <v>No</v>
      </c>
      <c r="AC181">
        <v>1</v>
      </c>
      <c r="AD181" t="str">
        <v>Business</v>
      </c>
      <c r="AE181">
        <v>1.42</v>
      </c>
      <c r="AF181" s="14">
        <f t="shared" si="2"/>
        <v>2.1215559157212316</v>
      </c>
    </row>
    <row r="182" spans="1:32" x14ac:dyDescent="0.2">
      <c r="A182">
        <v>181</v>
      </c>
      <c r="B182" cm="1">
        <f t="array" ref="B182:AE182">_xlfn.XLOOKUP($A182,Instagram_Usage_Lifestyle_Mini_!$A:$A,Instagram_Usage_Lifestyle_Mini_!$AC:$BF)</f>
        <v>192</v>
      </c>
      <c r="C182">
        <v>21</v>
      </c>
      <c r="D182">
        <v>1</v>
      </c>
      <c r="E182">
        <v>152</v>
      </c>
      <c r="F182">
        <v>123</v>
      </c>
      <c r="G182">
        <v>113</v>
      </c>
      <c r="H182">
        <v>34</v>
      </c>
      <c r="I182">
        <v>25</v>
      </c>
      <c r="J182">
        <v>20</v>
      </c>
      <c r="K182">
        <v>21</v>
      </c>
      <c r="L182">
        <v>3</v>
      </c>
      <c r="M182">
        <v>87</v>
      </c>
      <c r="N182">
        <v>53</v>
      </c>
      <c r="O182">
        <v>27</v>
      </c>
      <c r="P182">
        <v>66</v>
      </c>
      <c r="Q182">
        <v>103</v>
      </c>
      <c r="R182">
        <v>117</v>
      </c>
      <c r="S182" t="str">
        <v>No</v>
      </c>
      <c r="T182">
        <v>0.12</v>
      </c>
      <c r="U182">
        <v>2025</v>
      </c>
      <c r="V182">
        <v>45964</v>
      </c>
      <c r="W182">
        <v>9.1</v>
      </c>
      <c r="X182" t="str">
        <v>Live</v>
      </c>
      <c r="Y182" t="str">
        <v>Art</v>
      </c>
      <c r="Z182" t="str">
        <v>Public</v>
      </c>
      <c r="AA182" t="str">
        <v>No</v>
      </c>
      <c r="AB182" t="str">
        <v>No</v>
      </c>
      <c r="AC182">
        <v>3</v>
      </c>
      <c r="AD182" t="str">
        <v>Free</v>
      </c>
      <c r="AE182">
        <v>0.95</v>
      </c>
      <c r="AF182" s="14">
        <f t="shared" si="2"/>
        <v>0.88034188034188032</v>
      </c>
    </row>
    <row r="183" spans="1:32" x14ac:dyDescent="0.2">
      <c r="A183">
        <v>182</v>
      </c>
      <c r="B183" cm="1">
        <f t="array" ref="B183:AE183">_xlfn.XLOOKUP($A183,Instagram_Usage_Lifestyle_Mini_!$A:$A,Instagram_Usage_Lifestyle_Mini_!$AC:$BF)</f>
        <v>279</v>
      </c>
      <c r="C183">
        <v>9</v>
      </c>
      <c r="D183">
        <v>8</v>
      </c>
      <c r="E183">
        <v>211</v>
      </c>
      <c r="F183">
        <v>128</v>
      </c>
      <c r="G183">
        <v>155</v>
      </c>
      <c r="H183">
        <v>48</v>
      </c>
      <c r="I183">
        <v>37</v>
      </c>
      <c r="J183">
        <v>41</v>
      </c>
      <c r="K183">
        <v>31</v>
      </c>
      <c r="L183">
        <v>1</v>
      </c>
      <c r="M183">
        <v>136</v>
      </c>
      <c r="N183">
        <v>61</v>
      </c>
      <c r="O183">
        <v>68</v>
      </c>
      <c r="P183">
        <v>95</v>
      </c>
      <c r="Q183">
        <v>1036</v>
      </c>
      <c r="R183">
        <v>1471</v>
      </c>
      <c r="S183" t="str">
        <v>No</v>
      </c>
      <c r="T183">
        <v>0.69</v>
      </c>
      <c r="U183">
        <v>2012</v>
      </c>
      <c r="V183">
        <v>45796</v>
      </c>
      <c r="W183">
        <v>31</v>
      </c>
      <c r="X183" t="str">
        <v>Videos</v>
      </c>
      <c r="Y183" t="str">
        <v>Tech</v>
      </c>
      <c r="Z183" t="str">
        <v>Public</v>
      </c>
      <c r="AA183" t="str">
        <v>Yes</v>
      </c>
      <c r="AB183" t="str">
        <v>Yes</v>
      </c>
      <c r="AC183">
        <v>1</v>
      </c>
      <c r="AD183" t="str">
        <v>Premium</v>
      </c>
      <c r="AE183">
        <v>0.98</v>
      </c>
      <c r="AF183" s="14">
        <f t="shared" si="2"/>
        <v>0.70428280081577155</v>
      </c>
    </row>
    <row r="184" spans="1:32" x14ac:dyDescent="0.2">
      <c r="A184">
        <v>183</v>
      </c>
      <c r="B184" cm="1">
        <f t="array" ref="B184:AE184">_xlfn.XLOOKUP($A184,Instagram_Usage_Lifestyle_Mini_!$A:$A,Instagram_Usage_Lifestyle_Mini_!$AC:$BF)</f>
        <v>387</v>
      </c>
      <c r="C184">
        <v>16</v>
      </c>
      <c r="D184">
        <v>14</v>
      </c>
      <c r="E184">
        <v>300</v>
      </c>
      <c r="F184">
        <v>150</v>
      </c>
      <c r="G184">
        <v>215</v>
      </c>
      <c r="H184">
        <v>63</v>
      </c>
      <c r="I184">
        <v>56</v>
      </c>
      <c r="J184">
        <v>67</v>
      </c>
      <c r="K184">
        <v>47</v>
      </c>
      <c r="L184">
        <v>13</v>
      </c>
      <c r="M184">
        <v>187</v>
      </c>
      <c r="N184">
        <v>61</v>
      </c>
      <c r="O184">
        <v>92</v>
      </c>
      <c r="P184">
        <v>139</v>
      </c>
      <c r="Q184">
        <v>2407</v>
      </c>
      <c r="R184">
        <v>2178</v>
      </c>
      <c r="S184" t="str">
        <v>No</v>
      </c>
      <c r="T184">
        <v>0.85</v>
      </c>
      <c r="U184">
        <v>2021</v>
      </c>
      <c r="V184">
        <v>45817</v>
      </c>
      <c r="W184">
        <v>24.2</v>
      </c>
      <c r="X184" t="str">
        <v>Reels</v>
      </c>
      <c r="Y184" t="str">
        <v>Fashion</v>
      </c>
      <c r="Z184" t="str">
        <v>Friends_only</v>
      </c>
      <c r="AA184" t="str">
        <v>Yes</v>
      </c>
      <c r="AB184" t="str">
        <v>Yes</v>
      </c>
      <c r="AC184">
        <v>0</v>
      </c>
      <c r="AD184" t="str">
        <v>Free</v>
      </c>
      <c r="AE184">
        <v>0.99</v>
      </c>
      <c r="AF184" s="14">
        <f t="shared" si="2"/>
        <v>1.1051423324150598</v>
      </c>
    </row>
    <row r="185" spans="1:32" x14ac:dyDescent="0.2">
      <c r="A185">
        <v>184</v>
      </c>
      <c r="B185" cm="1">
        <f t="array" ref="B185:AE185">_xlfn.XLOOKUP($A185,Instagram_Usage_Lifestyle_Mini_!$A:$A,Instagram_Usage_Lifestyle_Mini_!$AC:$BF)</f>
        <v>311</v>
      </c>
      <c r="C185">
        <v>9</v>
      </c>
      <c r="D185">
        <v>10</v>
      </c>
      <c r="E185">
        <v>209</v>
      </c>
      <c r="F185">
        <v>130</v>
      </c>
      <c r="G185">
        <v>187</v>
      </c>
      <c r="H185">
        <v>43</v>
      </c>
      <c r="I185">
        <v>39</v>
      </c>
      <c r="J185">
        <v>48</v>
      </c>
      <c r="K185">
        <v>32</v>
      </c>
      <c r="L185">
        <v>7</v>
      </c>
      <c r="M185">
        <v>177</v>
      </c>
      <c r="N185">
        <v>40</v>
      </c>
      <c r="O185">
        <v>60</v>
      </c>
      <c r="P185">
        <v>102</v>
      </c>
      <c r="Q185">
        <v>2786</v>
      </c>
      <c r="R185">
        <v>2511</v>
      </c>
      <c r="S185" t="str">
        <v>No</v>
      </c>
      <c r="T185">
        <v>0.38</v>
      </c>
      <c r="U185">
        <v>2021</v>
      </c>
      <c r="V185">
        <v>45690</v>
      </c>
      <c r="W185">
        <v>34.6</v>
      </c>
      <c r="X185" t="str">
        <v>Photos</v>
      </c>
      <c r="Y185" t="str">
        <v>Travel</v>
      </c>
      <c r="Z185" t="str">
        <v>Friends_only</v>
      </c>
      <c r="AA185" t="str">
        <v>Yes</v>
      </c>
      <c r="AB185" t="str">
        <v>Yes</v>
      </c>
      <c r="AC185">
        <v>0</v>
      </c>
      <c r="AD185" t="str">
        <v>Free</v>
      </c>
      <c r="AE185">
        <v>0.97</v>
      </c>
      <c r="AF185" s="14">
        <f t="shared" si="2"/>
        <v>1.1095181202708084</v>
      </c>
    </row>
    <row r="186" spans="1:32" x14ac:dyDescent="0.2">
      <c r="A186">
        <v>185</v>
      </c>
      <c r="B186" cm="1">
        <f t="array" ref="B186:AE186">_xlfn.XLOOKUP($A186,Instagram_Usage_Lifestyle_Mini_!$A:$A,Instagram_Usage_Lifestyle_Mini_!$AC:$BF)</f>
        <v>5</v>
      </c>
      <c r="C186">
        <v>1</v>
      </c>
      <c r="D186">
        <v>2</v>
      </c>
      <c r="E186">
        <v>39</v>
      </c>
      <c r="F186">
        <v>31</v>
      </c>
      <c r="G186">
        <v>24</v>
      </c>
      <c r="H186">
        <v>6</v>
      </c>
      <c r="I186">
        <v>12</v>
      </c>
      <c r="J186">
        <v>1</v>
      </c>
      <c r="K186">
        <v>6</v>
      </c>
      <c r="L186">
        <v>1</v>
      </c>
      <c r="M186">
        <v>3</v>
      </c>
      <c r="N186">
        <v>1</v>
      </c>
      <c r="O186">
        <v>1</v>
      </c>
      <c r="P186">
        <v>2</v>
      </c>
      <c r="Q186">
        <v>815</v>
      </c>
      <c r="R186">
        <v>1711</v>
      </c>
      <c r="S186" t="str">
        <v>Yes</v>
      </c>
      <c r="T186">
        <v>0.13</v>
      </c>
      <c r="U186">
        <v>2018</v>
      </c>
      <c r="V186">
        <v>45821</v>
      </c>
      <c r="W186">
        <v>5</v>
      </c>
      <c r="X186" t="str">
        <v>Photos</v>
      </c>
      <c r="Y186" t="str">
        <v>Music</v>
      </c>
      <c r="Z186" t="str">
        <v>Private</v>
      </c>
      <c r="AA186" t="str">
        <v>No</v>
      </c>
      <c r="AB186" t="str">
        <v>Yes</v>
      </c>
      <c r="AC186">
        <v>5</v>
      </c>
      <c r="AD186" t="str">
        <v>Premium</v>
      </c>
      <c r="AE186">
        <v>7</v>
      </c>
      <c r="AF186" s="14">
        <f t="shared" si="2"/>
        <v>0.47632963179427235</v>
      </c>
    </row>
    <row r="187" spans="1:32" x14ac:dyDescent="0.2">
      <c r="A187">
        <v>186</v>
      </c>
      <c r="B187" cm="1">
        <f t="array" ref="B187:AE187">_xlfn.XLOOKUP($A187,Instagram_Usage_Lifestyle_Mini_!$A:$A,Instagram_Usage_Lifestyle_Mini_!$AC:$BF)</f>
        <v>46</v>
      </c>
      <c r="C187">
        <v>3</v>
      </c>
      <c r="D187">
        <v>2</v>
      </c>
      <c r="E187">
        <v>67</v>
      </c>
      <c r="F187">
        <v>40</v>
      </c>
      <c r="G187">
        <v>52</v>
      </c>
      <c r="H187">
        <v>11</v>
      </c>
      <c r="I187">
        <v>19</v>
      </c>
      <c r="J187">
        <v>10</v>
      </c>
      <c r="K187">
        <v>7</v>
      </c>
      <c r="L187">
        <v>4</v>
      </c>
      <c r="M187">
        <v>27</v>
      </c>
      <c r="N187">
        <v>7</v>
      </c>
      <c r="O187">
        <v>6</v>
      </c>
      <c r="P187">
        <v>17</v>
      </c>
      <c r="Q187">
        <v>108</v>
      </c>
      <c r="R187">
        <v>236</v>
      </c>
      <c r="S187" t="str">
        <v>No</v>
      </c>
      <c r="T187">
        <v>0.79</v>
      </c>
      <c r="U187">
        <v>2011</v>
      </c>
      <c r="V187">
        <v>45957</v>
      </c>
      <c r="W187">
        <v>15.3</v>
      </c>
      <c r="X187" t="str">
        <v>Live</v>
      </c>
      <c r="Y187" t="str">
        <v>Fashion</v>
      </c>
      <c r="Z187" t="str">
        <v>Private</v>
      </c>
      <c r="AA187" t="str">
        <v>No</v>
      </c>
      <c r="AB187" t="str">
        <v>Yes</v>
      </c>
      <c r="AC187">
        <v>4</v>
      </c>
      <c r="AD187" t="str">
        <v>Free</v>
      </c>
      <c r="AE187">
        <v>1.7</v>
      </c>
      <c r="AF187" s="14">
        <f t="shared" si="2"/>
        <v>0.4576271186440678</v>
      </c>
    </row>
    <row r="188" spans="1:32" x14ac:dyDescent="0.2">
      <c r="A188">
        <v>187</v>
      </c>
      <c r="B188" cm="1">
        <f t="array" ref="B188:AE188">_xlfn.XLOOKUP($A188,Instagram_Usage_Lifestyle_Mini_!$A:$A,Instagram_Usage_Lifestyle_Mini_!$AC:$BF)</f>
        <v>66</v>
      </c>
      <c r="C188">
        <v>6</v>
      </c>
      <c r="D188">
        <v>11</v>
      </c>
      <c r="E188">
        <v>153</v>
      </c>
      <c r="F188">
        <v>62</v>
      </c>
      <c r="G188">
        <v>57</v>
      </c>
      <c r="H188">
        <v>18</v>
      </c>
      <c r="I188">
        <v>13</v>
      </c>
      <c r="J188">
        <v>13</v>
      </c>
      <c r="K188">
        <v>10</v>
      </c>
      <c r="L188">
        <v>3</v>
      </c>
      <c r="M188">
        <v>38</v>
      </c>
      <c r="N188">
        <v>18</v>
      </c>
      <c r="O188">
        <v>14</v>
      </c>
      <c r="P188">
        <v>20</v>
      </c>
      <c r="Q188">
        <v>5182</v>
      </c>
      <c r="R188">
        <v>10000</v>
      </c>
      <c r="S188" t="str">
        <v>No</v>
      </c>
      <c r="T188">
        <v>0.85</v>
      </c>
      <c r="U188">
        <v>2011</v>
      </c>
      <c r="V188">
        <v>45823</v>
      </c>
      <c r="W188">
        <v>11</v>
      </c>
      <c r="X188" t="str">
        <v>Reels</v>
      </c>
      <c r="Y188" t="str">
        <v>Music</v>
      </c>
      <c r="Z188" t="str">
        <v>Private</v>
      </c>
      <c r="AA188" t="str">
        <v>Yes</v>
      </c>
      <c r="AB188" t="str">
        <v>Yes</v>
      </c>
      <c r="AC188">
        <v>3</v>
      </c>
      <c r="AD188" t="str">
        <v>Business</v>
      </c>
      <c r="AE188">
        <v>1.88</v>
      </c>
      <c r="AF188" s="14">
        <f t="shared" si="2"/>
        <v>0.51819999999999999</v>
      </c>
    </row>
    <row r="189" spans="1:32" x14ac:dyDescent="0.2">
      <c r="A189">
        <v>188</v>
      </c>
      <c r="B189" cm="1">
        <f t="array" ref="B189:AE189">_xlfn.XLOOKUP($A189,Instagram_Usage_Lifestyle_Mini_!$A:$A,Instagram_Usage_Lifestyle_Mini_!$AC:$BF)</f>
        <v>335</v>
      </c>
      <c r="C189">
        <v>31</v>
      </c>
      <c r="D189">
        <v>6</v>
      </c>
      <c r="E189">
        <v>208</v>
      </c>
      <c r="F189">
        <v>150</v>
      </c>
      <c r="G189">
        <v>201</v>
      </c>
      <c r="H189">
        <v>46</v>
      </c>
      <c r="I189">
        <v>39</v>
      </c>
      <c r="J189">
        <v>51</v>
      </c>
      <c r="K189">
        <v>34</v>
      </c>
      <c r="L189">
        <v>10</v>
      </c>
      <c r="M189">
        <v>160</v>
      </c>
      <c r="N189">
        <v>62</v>
      </c>
      <c r="O189">
        <v>46</v>
      </c>
      <c r="P189">
        <v>115</v>
      </c>
      <c r="Q189">
        <v>1974</v>
      </c>
      <c r="R189">
        <v>2434</v>
      </c>
      <c r="S189" t="str">
        <v>Yes</v>
      </c>
      <c r="T189">
        <v>0.94</v>
      </c>
      <c r="U189">
        <v>2018</v>
      </c>
      <c r="V189">
        <v>45779</v>
      </c>
      <c r="W189">
        <v>10.8</v>
      </c>
      <c r="X189" t="str">
        <v>Live</v>
      </c>
      <c r="Y189" t="str">
        <v>Fashion</v>
      </c>
      <c r="Z189" t="str">
        <v>Public</v>
      </c>
      <c r="AA189" t="str">
        <v>Yes</v>
      </c>
      <c r="AB189" t="str">
        <v>Yes</v>
      </c>
      <c r="AC189">
        <v>5</v>
      </c>
      <c r="AD189" t="str">
        <v>Business</v>
      </c>
      <c r="AE189">
        <v>0.93</v>
      </c>
      <c r="AF189" s="14">
        <f t="shared" si="2"/>
        <v>0.81101068200493021</v>
      </c>
    </row>
    <row r="190" spans="1:32" x14ac:dyDescent="0.2">
      <c r="A190">
        <v>189</v>
      </c>
      <c r="B190" cm="1">
        <f t="array" ref="B190:AE190">_xlfn.XLOOKUP($A190,Instagram_Usage_Lifestyle_Mini_!$A:$A,Instagram_Usage_Lifestyle_Mini_!$AC:$BF)</f>
        <v>145</v>
      </c>
      <c r="C190">
        <v>11</v>
      </c>
      <c r="D190">
        <v>5</v>
      </c>
      <c r="E190">
        <v>132</v>
      </c>
      <c r="F190">
        <v>96</v>
      </c>
      <c r="G190">
        <v>110</v>
      </c>
      <c r="H190">
        <v>23</v>
      </c>
      <c r="I190">
        <v>21</v>
      </c>
      <c r="J190">
        <v>24</v>
      </c>
      <c r="K190">
        <v>18</v>
      </c>
      <c r="L190">
        <v>0</v>
      </c>
      <c r="M190">
        <v>73</v>
      </c>
      <c r="N190">
        <v>31</v>
      </c>
      <c r="O190">
        <v>17</v>
      </c>
      <c r="P190">
        <v>57</v>
      </c>
      <c r="Q190">
        <v>12275</v>
      </c>
      <c r="R190">
        <v>10000</v>
      </c>
      <c r="S190" t="str">
        <v>Yes</v>
      </c>
      <c r="T190">
        <v>0.96</v>
      </c>
      <c r="U190">
        <v>2016</v>
      </c>
      <c r="V190">
        <v>45763</v>
      </c>
      <c r="W190">
        <v>13.2</v>
      </c>
      <c r="X190" t="str">
        <v>Reels</v>
      </c>
      <c r="Y190" t="str">
        <v>Art</v>
      </c>
      <c r="Z190" t="str">
        <v>Public</v>
      </c>
      <c r="AA190" t="str">
        <v>No</v>
      </c>
      <c r="AB190" t="str">
        <v>Yes</v>
      </c>
      <c r="AC190">
        <v>2</v>
      </c>
      <c r="AD190" t="str">
        <v>Free</v>
      </c>
      <c r="AE190">
        <v>1.17</v>
      </c>
      <c r="AF190" s="14">
        <f t="shared" si="2"/>
        <v>1.2275</v>
      </c>
    </row>
    <row r="191" spans="1:32" x14ac:dyDescent="0.2">
      <c r="A191">
        <v>190</v>
      </c>
      <c r="B191" cm="1">
        <f t="array" ref="B191:AE191">_xlfn.XLOOKUP($A191,Instagram_Usage_Lifestyle_Mini_!$A:$A,Instagram_Usage_Lifestyle_Mini_!$AC:$BF)</f>
        <v>153</v>
      </c>
      <c r="C191">
        <v>6</v>
      </c>
      <c r="D191">
        <v>4</v>
      </c>
      <c r="E191">
        <v>127</v>
      </c>
      <c r="F191">
        <v>97</v>
      </c>
      <c r="G191">
        <v>90</v>
      </c>
      <c r="H191">
        <v>15</v>
      </c>
      <c r="I191">
        <v>20</v>
      </c>
      <c r="J191">
        <v>24</v>
      </c>
      <c r="K191">
        <v>19</v>
      </c>
      <c r="L191">
        <v>4</v>
      </c>
      <c r="M191">
        <v>75</v>
      </c>
      <c r="N191">
        <v>24</v>
      </c>
      <c r="O191">
        <v>26</v>
      </c>
      <c r="P191">
        <v>31</v>
      </c>
      <c r="Q191">
        <v>1421</v>
      </c>
      <c r="R191">
        <v>1755</v>
      </c>
      <c r="S191" t="str">
        <v>Yes</v>
      </c>
      <c r="T191">
        <v>0.55000000000000004</v>
      </c>
      <c r="U191">
        <v>2011</v>
      </c>
      <c r="V191">
        <v>45965</v>
      </c>
      <c r="W191">
        <v>25.5</v>
      </c>
      <c r="X191" t="str">
        <v>Live</v>
      </c>
      <c r="Y191" t="str">
        <v>Other</v>
      </c>
      <c r="Z191" t="str">
        <v>Private</v>
      </c>
      <c r="AA191" t="str">
        <v>Yes</v>
      </c>
      <c r="AB191" t="str">
        <v>No</v>
      </c>
      <c r="AC191">
        <v>0</v>
      </c>
      <c r="AD191" t="str">
        <v>Premium</v>
      </c>
      <c r="AE191">
        <v>0.86</v>
      </c>
      <c r="AF191" s="14">
        <f t="shared" si="2"/>
        <v>0.80968660968660966</v>
      </c>
    </row>
    <row r="192" spans="1:32" x14ac:dyDescent="0.2">
      <c r="A192">
        <v>191</v>
      </c>
      <c r="B192" cm="1">
        <f t="array" ref="B192:AE192">_xlfn.XLOOKUP($A192,Instagram_Usage_Lifestyle_Mini_!$A:$A,Instagram_Usage_Lifestyle_Mini_!$AC:$BF)</f>
        <v>156</v>
      </c>
      <c r="C192">
        <v>10</v>
      </c>
      <c r="D192">
        <v>3</v>
      </c>
      <c r="E192">
        <v>138</v>
      </c>
      <c r="F192">
        <v>108</v>
      </c>
      <c r="G192">
        <v>89</v>
      </c>
      <c r="H192">
        <v>27</v>
      </c>
      <c r="I192">
        <v>26</v>
      </c>
      <c r="J192">
        <v>28</v>
      </c>
      <c r="K192">
        <v>14</v>
      </c>
      <c r="L192">
        <v>6</v>
      </c>
      <c r="M192">
        <v>75</v>
      </c>
      <c r="N192">
        <v>33</v>
      </c>
      <c r="O192">
        <v>28</v>
      </c>
      <c r="P192">
        <v>55</v>
      </c>
      <c r="Q192">
        <v>2169</v>
      </c>
      <c r="R192">
        <v>1220</v>
      </c>
      <c r="S192" t="str">
        <v>No</v>
      </c>
      <c r="T192">
        <v>0.61</v>
      </c>
      <c r="U192">
        <v>2021</v>
      </c>
      <c r="V192">
        <v>45858</v>
      </c>
      <c r="W192">
        <v>15.6</v>
      </c>
      <c r="X192" t="str">
        <v>Photos</v>
      </c>
      <c r="Y192" t="str">
        <v>Food</v>
      </c>
      <c r="Z192" t="str">
        <v>Private</v>
      </c>
      <c r="AA192" t="str">
        <v>No</v>
      </c>
      <c r="AB192" t="str">
        <v>No</v>
      </c>
      <c r="AC192">
        <v>3</v>
      </c>
      <c r="AD192" t="str">
        <v>Free</v>
      </c>
      <c r="AE192">
        <v>0.97</v>
      </c>
      <c r="AF192" s="14">
        <f t="shared" si="2"/>
        <v>1.7778688524590165</v>
      </c>
    </row>
    <row r="193" spans="1:32" x14ac:dyDescent="0.2">
      <c r="A193">
        <v>192</v>
      </c>
      <c r="B193" cm="1">
        <f t="array" ref="B193:AE193">_xlfn.XLOOKUP($A193,Instagram_Usage_Lifestyle_Mini_!$A:$A,Instagram_Usage_Lifestyle_Mini_!$AC:$BF)</f>
        <v>120</v>
      </c>
      <c r="C193">
        <v>3</v>
      </c>
      <c r="D193">
        <v>3</v>
      </c>
      <c r="E193">
        <v>115</v>
      </c>
      <c r="F193">
        <v>75</v>
      </c>
      <c r="G193">
        <v>77</v>
      </c>
      <c r="H193">
        <v>26</v>
      </c>
      <c r="I193">
        <v>20</v>
      </c>
      <c r="J193">
        <v>24</v>
      </c>
      <c r="K193">
        <v>16</v>
      </c>
      <c r="L193">
        <v>6</v>
      </c>
      <c r="M193">
        <v>63</v>
      </c>
      <c r="N193">
        <v>28</v>
      </c>
      <c r="O193">
        <v>27</v>
      </c>
      <c r="P193">
        <v>25</v>
      </c>
      <c r="Q193">
        <v>4308</v>
      </c>
      <c r="R193">
        <v>2179</v>
      </c>
      <c r="S193" t="str">
        <v>No</v>
      </c>
      <c r="T193">
        <v>0.16</v>
      </c>
      <c r="U193">
        <v>2020</v>
      </c>
      <c r="V193">
        <v>45839</v>
      </c>
      <c r="W193">
        <v>40</v>
      </c>
      <c r="X193" t="str">
        <v>Stories</v>
      </c>
      <c r="Y193" t="str">
        <v>Art</v>
      </c>
      <c r="Z193" t="str">
        <v>Public</v>
      </c>
      <c r="AA193" t="str">
        <v>Yes</v>
      </c>
      <c r="AB193" t="str">
        <v>Yes</v>
      </c>
      <c r="AC193">
        <v>4</v>
      </c>
      <c r="AD193" t="str">
        <v>Free</v>
      </c>
      <c r="AE193">
        <v>1.1399999999999999</v>
      </c>
      <c r="AF193" s="14">
        <f t="shared" si="2"/>
        <v>1.9770536943552088</v>
      </c>
    </row>
    <row r="194" spans="1:32" x14ac:dyDescent="0.2">
      <c r="A194">
        <v>193</v>
      </c>
      <c r="B194" cm="1">
        <f t="array" ref="B194:AE194">_xlfn.XLOOKUP($A194,Instagram_Usage_Lifestyle_Mini_!$A:$A,Instagram_Usage_Lifestyle_Mini_!$AC:$BF)</f>
        <v>288</v>
      </c>
      <c r="C194">
        <v>12</v>
      </c>
      <c r="D194">
        <v>9</v>
      </c>
      <c r="E194">
        <v>217</v>
      </c>
      <c r="F194">
        <v>143</v>
      </c>
      <c r="G194">
        <v>165</v>
      </c>
      <c r="H194">
        <v>48</v>
      </c>
      <c r="I194">
        <v>40</v>
      </c>
      <c r="J194">
        <v>42</v>
      </c>
      <c r="K194">
        <v>23</v>
      </c>
      <c r="L194">
        <v>7</v>
      </c>
      <c r="M194">
        <v>126</v>
      </c>
      <c r="N194">
        <v>67</v>
      </c>
      <c r="O194">
        <v>44</v>
      </c>
      <c r="P194">
        <v>80</v>
      </c>
      <c r="Q194">
        <v>1176</v>
      </c>
      <c r="R194">
        <v>2765</v>
      </c>
      <c r="S194" t="str">
        <v>Yes</v>
      </c>
      <c r="T194">
        <v>0.57999999999999996</v>
      </c>
      <c r="U194">
        <v>2022</v>
      </c>
      <c r="V194">
        <v>45712</v>
      </c>
      <c r="W194">
        <v>24</v>
      </c>
      <c r="X194" t="str">
        <v>Live</v>
      </c>
      <c r="Y194" t="str">
        <v>Art</v>
      </c>
      <c r="Z194" t="str">
        <v>Friends_only</v>
      </c>
      <c r="AA194" t="str">
        <v>Yes</v>
      </c>
      <c r="AB194" t="str">
        <v>Yes</v>
      </c>
      <c r="AC194">
        <v>1</v>
      </c>
      <c r="AD194" t="str">
        <v>Business</v>
      </c>
      <c r="AE194">
        <v>1</v>
      </c>
      <c r="AF194" s="14">
        <f t="shared" si="2"/>
        <v>0.42531645569620252</v>
      </c>
    </row>
    <row r="195" spans="1:32" x14ac:dyDescent="0.2">
      <c r="A195">
        <v>194</v>
      </c>
      <c r="B195" cm="1">
        <f t="array" ref="B195:AE195">_xlfn.XLOOKUP($A195,Instagram_Usage_Lifestyle_Mini_!$A:$A,Instagram_Usage_Lifestyle_Mini_!$AC:$BF)</f>
        <v>275</v>
      </c>
      <c r="C195">
        <v>15</v>
      </c>
      <c r="D195">
        <v>4</v>
      </c>
      <c r="E195">
        <v>300</v>
      </c>
      <c r="F195">
        <v>140</v>
      </c>
      <c r="G195">
        <v>159</v>
      </c>
      <c r="H195">
        <v>41</v>
      </c>
      <c r="I195">
        <v>32</v>
      </c>
      <c r="J195">
        <v>45</v>
      </c>
      <c r="K195">
        <v>23</v>
      </c>
      <c r="L195">
        <v>5</v>
      </c>
      <c r="M195">
        <v>155</v>
      </c>
      <c r="N195">
        <v>66</v>
      </c>
      <c r="O195">
        <v>67</v>
      </c>
      <c r="P195">
        <v>59</v>
      </c>
      <c r="Q195">
        <v>298</v>
      </c>
      <c r="R195">
        <v>301</v>
      </c>
      <c r="S195" t="str">
        <v>Yes</v>
      </c>
      <c r="T195">
        <v>0</v>
      </c>
      <c r="U195">
        <v>2013</v>
      </c>
      <c r="V195">
        <v>45783</v>
      </c>
      <c r="W195">
        <v>18.3</v>
      </c>
      <c r="X195" t="str">
        <v>Mixed</v>
      </c>
      <c r="Y195" t="str">
        <v>Other</v>
      </c>
      <c r="Z195" t="str">
        <v>Public</v>
      </c>
      <c r="AA195" t="str">
        <v>Yes</v>
      </c>
      <c r="AB195" t="str">
        <v>No</v>
      </c>
      <c r="AC195">
        <v>2</v>
      </c>
      <c r="AD195" t="str">
        <v>Free</v>
      </c>
      <c r="AE195">
        <v>0.92</v>
      </c>
      <c r="AF195" s="14">
        <f t="shared" ref="AF195:AF258" si="3">IF(R195=0,0,Q195/R195)</f>
        <v>0.99003322259136217</v>
      </c>
    </row>
    <row r="196" spans="1:32" x14ac:dyDescent="0.2">
      <c r="A196">
        <v>195</v>
      </c>
      <c r="B196" cm="1">
        <f t="array" ref="B196:AE196">_xlfn.XLOOKUP($A196,Instagram_Usage_Lifestyle_Mini_!$A:$A,Instagram_Usage_Lifestyle_Mini_!$AC:$BF)</f>
        <v>310</v>
      </c>
      <c r="C196">
        <v>9</v>
      </c>
      <c r="D196">
        <v>9</v>
      </c>
      <c r="E196">
        <v>229</v>
      </c>
      <c r="F196">
        <v>150</v>
      </c>
      <c r="G196">
        <v>193</v>
      </c>
      <c r="H196">
        <v>60</v>
      </c>
      <c r="I196">
        <v>40</v>
      </c>
      <c r="J196">
        <v>39</v>
      </c>
      <c r="K196">
        <v>37</v>
      </c>
      <c r="L196">
        <v>7</v>
      </c>
      <c r="M196">
        <v>182</v>
      </c>
      <c r="N196">
        <v>78</v>
      </c>
      <c r="O196">
        <v>74</v>
      </c>
      <c r="P196">
        <v>96</v>
      </c>
      <c r="Q196">
        <v>14109</v>
      </c>
      <c r="R196">
        <v>10000</v>
      </c>
      <c r="S196" t="str">
        <v>No</v>
      </c>
      <c r="T196">
        <v>0.1</v>
      </c>
      <c r="U196">
        <v>2010</v>
      </c>
      <c r="V196">
        <v>45886</v>
      </c>
      <c r="W196">
        <v>34.4</v>
      </c>
      <c r="X196" t="str">
        <v>Live</v>
      </c>
      <c r="Y196" t="str">
        <v>Travel</v>
      </c>
      <c r="Z196" t="str">
        <v>Public</v>
      </c>
      <c r="AA196" t="str">
        <v>No</v>
      </c>
      <c r="AB196" t="str">
        <v>Yes</v>
      </c>
      <c r="AC196">
        <v>1</v>
      </c>
      <c r="AD196" t="str">
        <v>Free</v>
      </c>
      <c r="AE196">
        <v>1.0900000000000001</v>
      </c>
      <c r="AF196" s="14">
        <f t="shared" si="3"/>
        <v>1.4109</v>
      </c>
    </row>
    <row r="197" spans="1:32" x14ac:dyDescent="0.2">
      <c r="A197">
        <v>196</v>
      </c>
      <c r="B197" cm="1">
        <f t="array" ref="B197:AE197">_xlfn.XLOOKUP($A197,Instagram_Usage_Lifestyle_Mini_!$A:$A,Instagram_Usage_Lifestyle_Mini_!$AC:$BF)</f>
        <v>253</v>
      </c>
      <c r="C197">
        <v>14</v>
      </c>
      <c r="D197">
        <v>4</v>
      </c>
      <c r="E197">
        <v>192</v>
      </c>
      <c r="F197">
        <v>139</v>
      </c>
      <c r="G197">
        <v>156</v>
      </c>
      <c r="H197">
        <v>41</v>
      </c>
      <c r="I197">
        <v>46</v>
      </c>
      <c r="J197">
        <v>46</v>
      </c>
      <c r="K197">
        <v>24</v>
      </c>
      <c r="L197">
        <v>8</v>
      </c>
      <c r="M197">
        <v>127</v>
      </c>
      <c r="N197">
        <v>29</v>
      </c>
      <c r="O197">
        <v>50</v>
      </c>
      <c r="P197">
        <v>92</v>
      </c>
      <c r="Q197">
        <v>4014</v>
      </c>
      <c r="R197">
        <v>7571</v>
      </c>
      <c r="S197" t="str">
        <v>Yes</v>
      </c>
      <c r="T197">
        <v>0.71</v>
      </c>
      <c r="U197">
        <v>2019</v>
      </c>
      <c r="V197">
        <v>45730</v>
      </c>
      <c r="W197">
        <v>18.100000000000001</v>
      </c>
      <c r="X197" t="str">
        <v>Reels</v>
      </c>
      <c r="Y197" t="str">
        <v>Music</v>
      </c>
      <c r="Z197" t="str">
        <v>Public</v>
      </c>
      <c r="AA197" t="str">
        <v>Yes</v>
      </c>
      <c r="AB197" t="str">
        <v>Yes</v>
      </c>
      <c r="AC197">
        <v>1</v>
      </c>
      <c r="AD197" t="str">
        <v>Premium</v>
      </c>
      <c r="AE197">
        <v>0.98</v>
      </c>
      <c r="AF197" s="14">
        <f t="shared" si="3"/>
        <v>0.53018095363888518</v>
      </c>
    </row>
    <row r="198" spans="1:32" x14ac:dyDescent="0.2">
      <c r="A198">
        <v>197</v>
      </c>
      <c r="B198" cm="1">
        <f t="array" ref="B198:AE198">_xlfn.XLOOKUP($A198,Instagram_Usage_Lifestyle_Mini_!$A:$A,Instagram_Usage_Lifestyle_Mini_!$AC:$BF)</f>
        <v>103</v>
      </c>
      <c r="C198">
        <v>6</v>
      </c>
      <c r="D198">
        <v>7</v>
      </c>
      <c r="E198">
        <v>77</v>
      </c>
      <c r="F198">
        <v>78</v>
      </c>
      <c r="G198">
        <v>72</v>
      </c>
      <c r="H198">
        <v>24</v>
      </c>
      <c r="I198">
        <v>26</v>
      </c>
      <c r="J198">
        <v>23</v>
      </c>
      <c r="K198">
        <v>13</v>
      </c>
      <c r="L198">
        <v>3</v>
      </c>
      <c r="M198">
        <v>46</v>
      </c>
      <c r="N198">
        <v>20</v>
      </c>
      <c r="O198">
        <v>22</v>
      </c>
      <c r="P198">
        <v>31</v>
      </c>
      <c r="Q198">
        <v>1246</v>
      </c>
      <c r="R198">
        <v>999</v>
      </c>
      <c r="S198" t="str">
        <v>No</v>
      </c>
      <c r="T198">
        <v>0.96</v>
      </c>
      <c r="U198">
        <v>2023</v>
      </c>
      <c r="V198">
        <v>45862</v>
      </c>
      <c r="W198">
        <v>17.2</v>
      </c>
      <c r="X198" t="str">
        <v>Videos</v>
      </c>
      <c r="Y198" t="str">
        <v>Fashion</v>
      </c>
      <c r="Z198" t="str">
        <v>Private</v>
      </c>
      <c r="AA198" t="str">
        <v>No</v>
      </c>
      <c r="AB198" t="str">
        <v>Yes</v>
      </c>
      <c r="AC198">
        <v>1</v>
      </c>
      <c r="AD198" t="str">
        <v>Free</v>
      </c>
      <c r="AE198">
        <v>1.36</v>
      </c>
      <c r="AF198" s="14">
        <f t="shared" si="3"/>
        <v>1.2472472472472473</v>
      </c>
    </row>
    <row r="199" spans="1:32" x14ac:dyDescent="0.2">
      <c r="A199">
        <v>198</v>
      </c>
      <c r="B199" cm="1">
        <f t="array" ref="B199:AE199">_xlfn.XLOOKUP($A199,Instagram_Usage_Lifestyle_Mini_!$A:$A,Instagram_Usage_Lifestyle_Mini_!$AC:$BF)</f>
        <v>275</v>
      </c>
      <c r="C199">
        <v>27</v>
      </c>
      <c r="D199">
        <v>7</v>
      </c>
      <c r="E199">
        <v>213</v>
      </c>
      <c r="F199">
        <v>124</v>
      </c>
      <c r="G199">
        <v>149</v>
      </c>
      <c r="H199">
        <v>59</v>
      </c>
      <c r="I199">
        <v>38</v>
      </c>
      <c r="J199">
        <v>31</v>
      </c>
      <c r="K199">
        <v>29</v>
      </c>
      <c r="L199">
        <v>6</v>
      </c>
      <c r="M199">
        <v>136</v>
      </c>
      <c r="N199">
        <v>80</v>
      </c>
      <c r="O199">
        <v>49</v>
      </c>
      <c r="P199">
        <v>81</v>
      </c>
      <c r="Q199">
        <v>74</v>
      </c>
      <c r="R199">
        <v>60</v>
      </c>
      <c r="S199" t="str">
        <v>No</v>
      </c>
      <c r="T199">
        <v>0.69</v>
      </c>
      <c r="U199">
        <v>2018</v>
      </c>
      <c r="V199">
        <v>46020</v>
      </c>
      <c r="W199">
        <v>10.199999999999999</v>
      </c>
      <c r="X199" t="str">
        <v>Mixed</v>
      </c>
      <c r="Y199" t="str">
        <v>Art</v>
      </c>
      <c r="Z199" t="str">
        <v>Private</v>
      </c>
      <c r="AA199" t="str">
        <v>No</v>
      </c>
      <c r="AB199" t="str">
        <v>Yes</v>
      </c>
      <c r="AC199">
        <v>1</v>
      </c>
      <c r="AD199" t="str">
        <v>Premium</v>
      </c>
      <c r="AE199">
        <v>1.04</v>
      </c>
      <c r="AF199" s="14">
        <f t="shared" si="3"/>
        <v>1.2333333333333334</v>
      </c>
    </row>
    <row r="200" spans="1:32" x14ac:dyDescent="0.2">
      <c r="A200">
        <v>199</v>
      </c>
      <c r="B200" cm="1">
        <f t="array" ref="B200:AE200">_xlfn.XLOOKUP($A200,Instagram_Usage_Lifestyle_Mini_!$A:$A,Instagram_Usage_Lifestyle_Mini_!$AC:$BF)</f>
        <v>5</v>
      </c>
      <c r="C200">
        <v>1</v>
      </c>
      <c r="D200">
        <v>11</v>
      </c>
      <c r="E200">
        <v>111</v>
      </c>
      <c r="F200">
        <v>36</v>
      </c>
      <c r="G200">
        <v>22</v>
      </c>
      <c r="H200">
        <v>1</v>
      </c>
      <c r="I200">
        <v>13</v>
      </c>
      <c r="J200">
        <v>15</v>
      </c>
      <c r="K200">
        <v>6</v>
      </c>
      <c r="L200">
        <v>0</v>
      </c>
      <c r="M200">
        <v>3</v>
      </c>
      <c r="N200">
        <v>1</v>
      </c>
      <c r="O200">
        <v>1</v>
      </c>
      <c r="P200">
        <v>1</v>
      </c>
      <c r="Q200">
        <v>2542</v>
      </c>
      <c r="R200">
        <v>4423</v>
      </c>
      <c r="S200" t="str">
        <v>No</v>
      </c>
      <c r="T200">
        <v>0.66</v>
      </c>
      <c r="U200">
        <v>2014</v>
      </c>
      <c r="V200">
        <v>45690</v>
      </c>
      <c r="W200">
        <v>5</v>
      </c>
      <c r="X200" t="str">
        <v>Photos</v>
      </c>
      <c r="Y200" t="str">
        <v>Fitness</v>
      </c>
      <c r="Z200" t="str">
        <v>Friends_only</v>
      </c>
      <c r="AA200" t="str">
        <v>Yes</v>
      </c>
      <c r="AB200" t="str">
        <v>No</v>
      </c>
      <c r="AC200">
        <v>4</v>
      </c>
      <c r="AD200" t="str">
        <v>Business</v>
      </c>
      <c r="AE200">
        <v>9.5</v>
      </c>
      <c r="AF200" s="14">
        <f t="shared" si="3"/>
        <v>0.57472303866154195</v>
      </c>
    </row>
    <row r="201" spans="1:32" x14ac:dyDescent="0.2">
      <c r="A201">
        <v>200</v>
      </c>
      <c r="B201" cm="1">
        <f t="array" ref="B201:AE201">_xlfn.XLOOKUP($A201,Instagram_Usage_Lifestyle_Mini_!$A:$A,Instagram_Usage_Lifestyle_Mini_!$AC:$BF)</f>
        <v>104</v>
      </c>
      <c r="C201">
        <v>5</v>
      </c>
      <c r="D201">
        <v>1</v>
      </c>
      <c r="E201">
        <v>107</v>
      </c>
      <c r="F201">
        <v>76</v>
      </c>
      <c r="G201">
        <v>70</v>
      </c>
      <c r="H201">
        <v>21</v>
      </c>
      <c r="I201">
        <v>18</v>
      </c>
      <c r="J201">
        <v>23</v>
      </c>
      <c r="K201">
        <v>13</v>
      </c>
      <c r="L201">
        <v>2</v>
      </c>
      <c r="M201">
        <v>61</v>
      </c>
      <c r="N201">
        <v>23</v>
      </c>
      <c r="O201">
        <v>17</v>
      </c>
      <c r="P201">
        <v>29</v>
      </c>
      <c r="Q201">
        <v>3057</v>
      </c>
      <c r="R201">
        <v>5935</v>
      </c>
      <c r="S201" t="str">
        <v>No</v>
      </c>
      <c r="T201">
        <v>0.79</v>
      </c>
      <c r="U201">
        <v>2022</v>
      </c>
      <c r="V201">
        <v>46012</v>
      </c>
      <c r="W201">
        <v>20.8</v>
      </c>
      <c r="X201" t="str">
        <v>Videos</v>
      </c>
      <c r="Y201" t="str">
        <v>Food</v>
      </c>
      <c r="Z201" t="str">
        <v>Public</v>
      </c>
      <c r="AA201" t="str">
        <v>Yes</v>
      </c>
      <c r="AB201" t="str">
        <v>Yes</v>
      </c>
      <c r="AC201">
        <v>1</v>
      </c>
      <c r="AD201" t="str">
        <v>Free</v>
      </c>
      <c r="AE201">
        <v>1.1000000000000001</v>
      </c>
      <c r="AF201" s="14">
        <f t="shared" si="3"/>
        <v>0.51508003369839928</v>
      </c>
    </row>
    <row r="202" spans="1:32" x14ac:dyDescent="0.2">
      <c r="A202">
        <v>201</v>
      </c>
      <c r="B202" cm="1">
        <f t="array" ref="B202:AE202">_xlfn.XLOOKUP($A202,Instagram_Usage_Lifestyle_Mini_!$A:$A,Instagram_Usage_Lifestyle_Mini_!$AC:$BF)</f>
        <v>188</v>
      </c>
      <c r="C202">
        <v>6</v>
      </c>
      <c r="D202">
        <v>6</v>
      </c>
      <c r="E202">
        <v>142</v>
      </c>
      <c r="F202">
        <v>105</v>
      </c>
      <c r="G202">
        <v>117</v>
      </c>
      <c r="H202">
        <v>39</v>
      </c>
      <c r="I202">
        <v>24</v>
      </c>
      <c r="J202">
        <v>26</v>
      </c>
      <c r="K202">
        <v>24</v>
      </c>
      <c r="L202">
        <v>5</v>
      </c>
      <c r="M202">
        <v>110</v>
      </c>
      <c r="N202">
        <v>49</v>
      </c>
      <c r="O202">
        <v>34</v>
      </c>
      <c r="P202">
        <v>42</v>
      </c>
      <c r="Q202">
        <v>844</v>
      </c>
      <c r="R202">
        <v>458</v>
      </c>
      <c r="S202" t="str">
        <v>No</v>
      </c>
      <c r="T202">
        <v>0.28999999999999998</v>
      </c>
      <c r="U202">
        <v>2023</v>
      </c>
      <c r="V202">
        <v>46019</v>
      </c>
      <c r="W202">
        <v>31.3</v>
      </c>
      <c r="X202" t="str">
        <v>Stories</v>
      </c>
      <c r="Y202" t="str">
        <v>Other</v>
      </c>
      <c r="Z202" t="str">
        <v>Public</v>
      </c>
      <c r="AA202" t="str">
        <v>Yes</v>
      </c>
      <c r="AB202" t="str">
        <v>Yes</v>
      </c>
      <c r="AC202">
        <v>1</v>
      </c>
      <c r="AD202" t="str">
        <v>Free</v>
      </c>
      <c r="AE202">
        <v>1.1299999999999999</v>
      </c>
      <c r="AF202" s="14">
        <f t="shared" si="3"/>
        <v>1.8427947598253276</v>
      </c>
    </row>
    <row r="203" spans="1:32" x14ac:dyDescent="0.2">
      <c r="A203">
        <v>202</v>
      </c>
      <c r="B203" cm="1">
        <f t="array" ref="B203:AE203">_xlfn.XLOOKUP($A203,Instagram_Usage_Lifestyle_Mini_!$A:$A,Instagram_Usage_Lifestyle_Mini_!$AC:$BF)</f>
        <v>234</v>
      </c>
      <c r="C203">
        <v>8</v>
      </c>
      <c r="D203">
        <v>10</v>
      </c>
      <c r="E203">
        <v>248</v>
      </c>
      <c r="F203">
        <v>123</v>
      </c>
      <c r="G203">
        <v>123</v>
      </c>
      <c r="H203">
        <v>40</v>
      </c>
      <c r="I203">
        <v>34</v>
      </c>
      <c r="J203">
        <v>34</v>
      </c>
      <c r="K203">
        <v>22</v>
      </c>
      <c r="L203">
        <v>4</v>
      </c>
      <c r="M203">
        <v>111</v>
      </c>
      <c r="N203">
        <v>53</v>
      </c>
      <c r="O203">
        <v>34</v>
      </c>
      <c r="P203">
        <v>56</v>
      </c>
      <c r="Q203">
        <v>588</v>
      </c>
      <c r="R203">
        <v>1380</v>
      </c>
      <c r="S203" t="str">
        <v>No</v>
      </c>
      <c r="T203">
        <v>0.32</v>
      </c>
      <c r="U203">
        <v>2025</v>
      </c>
      <c r="V203">
        <v>45889</v>
      </c>
      <c r="W203">
        <v>29.2</v>
      </c>
      <c r="X203" t="str">
        <v>Live</v>
      </c>
      <c r="Y203" t="str">
        <v>Food</v>
      </c>
      <c r="Z203" t="str">
        <v>Private</v>
      </c>
      <c r="AA203" t="str">
        <v>Yes</v>
      </c>
      <c r="AB203" t="str">
        <v>No</v>
      </c>
      <c r="AC203">
        <v>3</v>
      </c>
      <c r="AD203" t="str">
        <v>Premium</v>
      </c>
      <c r="AE203">
        <v>0.99</v>
      </c>
      <c r="AF203" s="14">
        <f t="shared" si="3"/>
        <v>0.42608695652173911</v>
      </c>
    </row>
    <row r="204" spans="1:32" x14ac:dyDescent="0.2">
      <c r="A204">
        <v>203</v>
      </c>
      <c r="B204" cm="1">
        <f t="array" ref="B204:AE204">_xlfn.XLOOKUP($A204,Instagram_Usage_Lifestyle_Mini_!$A:$A,Instagram_Usage_Lifestyle_Mini_!$AC:$BF)</f>
        <v>411</v>
      </c>
      <c r="C204">
        <v>15</v>
      </c>
      <c r="D204">
        <v>7</v>
      </c>
      <c r="E204">
        <v>289</v>
      </c>
      <c r="F204">
        <v>150</v>
      </c>
      <c r="G204">
        <v>228</v>
      </c>
      <c r="H204">
        <v>62</v>
      </c>
      <c r="I204">
        <v>39</v>
      </c>
      <c r="J204">
        <v>60</v>
      </c>
      <c r="K204">
        <v>38</v>
      </c>
      <c r="L204">
        <v>12</v>
      </c>
      <c r="M204">
        <v>241</v>
      </c>
      <c r="N204">
        <v>70</v>
      </c>
      <c r="O204">
        <v>85</v>
      </c>
      <c r="P204">
        <v>96</v>
      </c>
      <c r="Q204">
        <v>3395</v>
      </c>
      <c r="R204">
        <v>8002</v>
      </c>
      <c r="S204" t="str">
        <v>No</v>
      </c>
      <c r="T204">
        <v>0.14000000000000001</v>
      </c>
      <c r="U204">
        <v>2016</v>
      </c>
      <c r="V204">
        <v>45894</v>
      </c>
      <c r="W204">
        <v>27.4</v>
      </c>
      <c r="X204" t="str">
        <v>Live</v>
      </c>
      <c r="Y204" t="str">
        <v>Fashion</v>
      </c>
      <c r="Z204" t="str">
        <v>Friends_only</v>
      </c>
      <c r="AA204" t="str">
        <v>No</v>
      </c>
      <c r="AB204" t="str">
        <v>No</v>
      </c>
      <c r="AC204">
        <v>1</v>
      </c>
      <c r="AD204" t="str">
        <v>Free</v>
      </c>
      <c r="AE204">
        <v>0.91</v>
      </c>
      <c r="AF204" s="14">
        <f t="shared" si="3"/>
        <v>0.42426893276680827</v>
      </c>
    </row>
    <row r="205" spans="1:32" x14ac:dyDescent="0.2">
      <c r="A205">
        <v>204</v>
      </c>
      <c r="B205" cm="1">
        <f t="array" ref="B205:AE205">_xlfn.XLOOKUP($A205,Instagram_Usage_Lifestyle_Mini_!$A:$A,Instagram_Usage_Lifestyle_Mini_!$AC:$BF)</f>
        <v>77</v>
      </c>
      <c r="C205">
        <v>8</v>
      </c>
      <c r="D205">
        <v>12</v>
      </c>
      <c r="E205">
        <v>173</v>
      </c>
      <c r="F205">
        <v>57</v>
      </c>
      <c r="G205">
        <v>56</v>
      </c>
      <c r="H205">
        <v>19</v>
      </c>
      <c r="I205">
        <v>14</v>
      </c>
      <c r="J205">
        <v>14</v>
      </c>
      <c r="K205">
        <v>11</v>
      </c>
      <c r="L205">
        <v>4</v>
      </c>
      <c r="M205">
        <v>37</v>
      </c>
      <c r="N205">
        <v>11</v>
      </c>
      <c r="O205">
        <v>9</v>
      </c>
      <c r="P205">
        <v>25</v>
      </c>
      <c r="Q205">
        <v>1869</v>
      </c>
      <c r="R205">
        <v>1752</v>
      </c>
      <c r="S205" t="str">
        <v>No</v>
      </c>
      <c r="T205">
        <v>0.49</v>
      </c>
      <c r="U205">
        <v>2025</v>
      </c>
      <c r="V205">
        <v>46003</v>
      </c>
      <c r="W205">
        <v>9.6</v>
      </c>
      <c r="X205" t="str">
        <v>Videos</v>
      </c>
      <c r="Y205" t="str">
        <v>Fitness</v>
      </c>
      <c r="Z205" t="str">
        <v>Public</v>
      </c>
      <c r="AA205" t="str">
        <v>No</v>
      </c>
      <c r="AB205" t="str">
        <v>No</v>
      </c>
      <c r="AC205">
        <v>3</v>
      </c>
      <c r="AD205" t="str">
        <v>Free</v>
      </c>
      <c r="AE205">
        <v>1.67</v>
      </c>
      <c r="AF205" s="14">
        <f t="shared" si="3"/>
        <v>1.0667808219178083</v>
      </c>
    </row>
    <row r="206" spans="1:32" x14ac:dyDescent="0.2">
      <c r="A206">
        <v>205</v>
      </c>
      <c r="B206" cm="1">
        <f t="array" ref="B206:AE206">_xlfn.XLOOKUP($A206,Instagram_Usage_Lifestyle_Mini_!$A:$A,Instagram_Usage_Lifestyle_Mini_!$AC:$BF)</f>
        <v>230</v>
      </c>
      <c r="C206">
        <v>7</v>
      </c>
      <c r="D206">
        <v>6</v>
      </c>
      <c r="E206">
        <v>155</v>
      </c>
      <c r="F206">
        <v>139</v>
      </c>
      <c r="G206">
        <v>139</v>
      </c>
      <c r="H206">
        <v>46</v>
      </c>
      <c r="I206">
        <v>28</v>
      </c>
      <c r="J206">
        <v>32</v>
      </c>
      <c r="K206">
        <v>28</v>
      </c>
      <c r="L206">
        <v>1</v>
      </c>
      <c r="M206">
        <v>101</v>
      </c>
      <c r="N206">
        <v>32</v>
      </c>
      <c r="O206">
        <v>30</v>
      </c>
      <c r="P206">
        <v>70</v>
      </c>
      <c r="Q206">
        <v>846</v>
      </c>
      <c r="R206">
        <v>1660</v>
      </c>
      <c r="S206" t="str">
        <v>No</v>
      </c>
      <c r="T206">
        <v>0.48</v>
      </c>
      <c r="U206">
        <v>2017</v>
      </c>
      <c r="V206">
        <v>46022</v>
      </c>
      <c r="W206">
        <v>32.9</v>
      </c>
      <c r="X206" t="str">
        <v>Reels</v>
      </c>
      <c r="Y206" t="str">
        <v>Fitness</v>
      </c>
      <c r="Z206" t="str">
        <v>Private</v>
      </c>
      <c r="AA206" t="str">
        <v>No</v>
      </c>
      <c r="AB206" t="str">
        <v>No</v>
      </c>
      <c r="AC206">
        <v>1</v>
      </c>
      <c r="AD206" t="str">
        <v>Free</v>
      </c>
      <c r="AE206">
        <v>1.08</v>
      </c>
      <c r="AF206" s="14">
        <f t="shared" si="3"/>
        <v>0.50963855421686743</v>
      </c>
    </row>
    <row r="207" spans="1:32" x14ac:dyDescent="0.2">
      <c r="A207">
        <v>206</v>
      </c>
      <c r="B207" cm="1">
        <f t="array" ref="B207:AE207">_xlfn.XLOOKUP($A207,Instagram_Usage_Lifestyle_Mini_!$A:$A,Instagram_Usage_Lifestyle_Mini_!$AC:$BF)</f>
        <v>228</v>
      </c>
      <c r="C207">
        <v>9</v>
      </c>
      <c r="D207">
        <v>15</v>
      </c>
      <c r="E207">
        <v>259</v>
      </c>
      <c r="F207">
        <v>127</v>
      </c>
      <c r="G207">
        <v>153</v>
      </c>
      <c r="H207">
        <v>37</v>
      </c>
      <c r="I207">
        <v>34</v>
      </c>
      <c r="J207">
        <v>33</v>
      </c>
      <c r="K207">
        <v>24</v>
      </c>
      <c r="L207">
        <v>5</v>
      </c>
      <c r="M207">
        <v>124</v>
      </c>
      <c r="N207">
        <v>47</v>
      </c>
      <c r="O207">
        <v>27</v>
      </c>
      <c r="P207">
        <v>52</v>
      </c>
      <c r="Q207">
        <v>20581</v>
      </c>
      <c r="R207">
        <v>10000</v>
      </c>
      <c r="S207" t="str">
        <v>No</v>
      </c>
      <c r="T207">
        <v>0.6</v>
      </c>
      <c r="U207">
        <v>2020</v>
      </c>
      <c r="V207">
        <v>45733</v>
      </c>
      <c r="W207">
        <v>25.3</v>
      </c>
      <c r="X207" t="str">
        <v>Videos</v>
      </c>
      <c r="Y207" t="str">
        <v>Travel</v>
      </c>
      <c r="Z207" t="str">
        <v>Private</v>
      </c>
      <c r="AA207" t="str">
        <v>Yes</v>
      </c>
      <c r="AB207" t="str">
        <v>No</v>
      </c>
      <c r="AC207">
        <v>1</v>
      </c>
      <c r="AD207" t="str">
        <v>Free</v>
      </c>
      <c r="AE207">
        <v>1.19</v>
      </c>
      <c r="AF207" s="14">
        <f t="shared" si="3"/>
        <v>2.0581</v>
      </c>
    </row>
    <row r="208" spans="1:32" x14ac:dyDescent="0.2">
      <c r="A208">
        <v>207</v>
      </c>
      <c r="B208" cm="1">
        <f t="array" ref="B208:AE208">_xlfn.XLOOKUP($A208,Instagram_Usage_Lifestyle_Mini_!$A:$A,Instagram_Usage_Lifestyle_Mini_!$AC:$BF)</f>
        <v>396</v>
      </c>
      <c r="C208">
        <v>18</v>
      </c>
      <c r="D208">
        <v>19</v>
      </c>
      <c r="E208">
        <v>300</v>
      </c>
      <c r="F208">
        <v>150</v>
      </c>
      <c r="G208">
        <v>231</v>
      </c>
      <c r="H208">
        <v>57</v>
      </c>
      <c r="I208">
        <v>40</v>
      </c>
      <c r="J208">
        <v>57</v>
      </c>
      <c r="K208">
        <v>43</v>
      </c>
      <c r="L208">
        <v>9</v>
      </c>
      <c r="M208">
        <v>192</v>
      </c>
      <c r="N208">
        <v>81</v>
      </c>
      <c r="O208">
        <v>67</v>
      </c>
      <c r="P208">
        <v>138</v>
      </c>
      <c r="Q208">
        <v>1799</v>
      </c>
      <c r="R208">
        <v>2346</v>
      </c>
      <c r="S208" t="str">
        <v>Yes</v>
      </c>
      <c r="T208">
        <v>0.14000000000000001</v>
      </c>
      <c r="U208">
        <v>2014</v>
      </c>
      <c r="V208">
        <v>45907</v>
      </c>
      <c r="W208">
        <v>22</v>
      </c>
      <c r="X208" t="str">
        <v>Live</v>
      </c>
      <c r="Y208" t="str">
        <v>Music</v>
      </c>
      <c r="Z208" t="str">
        <v>Public</v>
      </c>
      <c r="AA208" t="str">
        <v>Yes</v>
      </c>
      <c r="AB208" t="str">
        <v>Yes</v>
      </c>
      <c r="AC208">
        <v>1</v>
      </c>
      <c r="AD208" t="str">
        <v>Free</v>
      </c>
      <c r="AE208">
        <v>1.01</v>
      </c>
      <c r="AF208" s="14">
        <f t="shared" si="3"/>
        <v>0.76683716965046889</v>
      </c>
    </row>
    <row r="209" spans="1:32" x14ac:dyDescent="0.2">
      <c r="A209">
        <v>208</v>
      </c>
      <c r="B209" cm="1">
        <f t="array" ref="B209:AE209">_xlfn.XLOOKUP($A209,Instagram_Usage_Lifestyle_Mini_!$A:$A,Instagram_Usage_Lifestyle_Mini_!$AC:$BF)</f>
        <v>353</v>
      </c>
      <c r="C209">
        <v>34</v>
      </c>
      <c r="D209">
        <v>2</v>
      </c>
      <c r="E209">
        <v>244</v>
      </c>
      <c r="F209">
        <v>150</v>
      </c>
      <c r="G209">
        <v>203</v>
      </c>
      <c r="H209">
        <v>65</v>
      </c>
      <c r="I209">
        <v>54</v>
      </c>
      <c r="J209">
        <v>49</v>
      </c>
      <c r="K209">
        <v>26</v>
      </c>
      <c r="L209">
        <v>11</v>
      </c>
      <c r="M209">
        <v>153</v>
      </c>
      <c r="N209">
        <v>71</v>
      </c>
      <c r="O209">
        <v>68</v>
      </c>
      <c r="P209">
        <v>133</v>
      </c>
      <c r="Q209">
        <v>1001</v>
      </c>
      <c r="R209">
        <v>2164</v>
      </c>
      <c r="S209" t="str">
        <v>Yes</v>
      </c>
      <c r="T209">
        <v>0.22</v>
      </c>
      <c r="U209">
        <v>2018</v>
      </c>
      <c r="V209">
        <v>45964</v>
      </c>
      <c r="W209">
        <v>10.4</v>
      </c>
      <c r="X209" t="str">
        <v>Photos</v>
      </c>
      <c r="Y209" t="str">
        <v>Food</v>
      </c>
      <c r="Z209" t="str">
        <v>Public</v>
      </c>
      <c r="AA209" t="str">
        <v>Yes</v>
      </c>
      <c r="AB209" t="str">
        <v>Yes</v>
      </c>
      <c r="AC209">
        <v>1</v>
      </c>
      <c r="AD209" t="str">
        <v>Free</v>
      </c>
      <c r="AE209">
        <v>0.96</v>
      </c>
      <c r="AF209" s="14">
        <f t="shared" si="3"/>
        <v>0.46256931608133089</v>
      </c>
    </row>
    <row r="210" spans="1:32" x14ac:dyDescent="0.2">
      <c r="A210">
        <v>209</v>
      </c>
      <c r="B210" cm="1">
        <f t="array" ref="B210:AE210">_xlfn.XLOOKUP($A210,Instagram_Usage_Lifestyle_Mini_!$A:$A,Instagram_Usage_Lifestyle_Mini_!$AC:$BF)</f>
        <v>257</v>
      </c>
      <c r="C210">
        <v>9</v>
      </c>
      <c r="D210">
        <v>9</v>
      </c>
      <c r="E210">
        <v>286</v>
      </c>
      <c r="F210">
        <v>115</v>
      </c>
      <c r="G210">
        <v>144</v>
      </c>
      <c r="H210">
        <v>37</v>
      </c>
      <c r="I210">
        <v>45</v>
      </c>
      <c r="J210">
        <v>35</v>
      </c>
      <c r="K210">
        <v>38</v>
      </c>
      <c r="L210">
        <v>8</v>
      </c>
      <c r="M210">
        <v>151</v>
      </c>
      <c r="N210">
        <v>29</v>
      </c>
      <c r="O210">
        <v>39</v>
      </c>
      <c r="P210">
        <v>73</v>
      </c>
      <c r="Q210">
        <v>351</v>
      </c>
      <c r="R210">
        <v>682</v>
      </c>
      <c r="S210" t="str">
        <v>No</v>
      </c>
      <c r="T210">
        <v>0.5</v>
      </c>
      <c r="U210">
        <v>2025</v>
      </c>
      <c r="V210">
        <v>45735</v>
      </c>
      <c r="W210">
        <v>28.6</v>
      </c>
      <c r="X210" t="str">
        <v>Photos</v>
      </c>
      <c r="Y210" t="str">
        <v>Other</v>
      </c>
      <c r="Z210" t="str">
        <v>Friends_only</v>
      </c>
      <c r="AA210" t="str">
        <v>Yes</v>
      </c>
      <c r="AB210" t="str">
        <v>No</v>
      </c>
      <c r="AC210">
        <v>5</v>
      </c>
      <c r="AD210" t="str">
        <v>Free</v>
      </c>
      <c r="AE210">
        <v>0.95</v>
      </c>
      <c r="AF210" s="14">
        <f t="shared" si="3"/>
        <v>0.51466275659824046</v>
      </c>
    </row>
    <row r="211" spans="1:32" x14ac:dyDescent="0.2">
      <c r="A211">
        <v>210</v>
      </c>
      <c r="B211" cm="1">
        <f t="array" ref="B211:AE211">_xlfn.XLOOKUP($A211,Instagram_Usage_Lifestyle_Mini_!$A:$A,Instagram_Usage_Lifestyle_Mini_!$AC:$BF)</f>
        <v>115</v>
      </c>
      <c r="C211">
        <v>4</v>
      </c>
      <c r="D211">
        <v>3</v>
      </c>
      <c r="E211">
        <v>113</v>
      </c>
      <c r="F211">
        <v>78</v>
      </c>
      <c r="G211">
        <v>102</v>
      </c>
      <c r="H211">
        <v>27</v>
      </c>
      <c r="I211">
        <v>18</v>
      </c>
      <c r="J211">
        <v>24</v>
      </c>
      <c r="K211">
        <v>15</v>
      </c>
      <c r="L211">
        <v>7</v>
      </c>
      <c r="M211">
        <v>48</v>
      </c>
      <c r="N211">
        <v>30</v>
      </c>
      <c r="O211">
        <v>12</v>
      </c>
      <c r="P211">
        <v>27</v>
      </c>
      <c r="Q211">
        <v>1426</v>
      </c>
      <c r="R211">
        <v>785</v>
      </c>
      <c r="S211" t="str">
        <v>No</v>
      </c>
      <c r="T211">
        <v>0.19</v>
      </c>
      <c r="U211">
        <v>2017</v>
      </c>
      <c r="V211">
        <v>45796</v>
      </c>
      <c r="W211">
        <v>28.8</v>
      </c>
      <c r="X211" t="str">
        <v>Photos</v>
      </c>
      <c r="Y211" t="str">
        <v>Other</v>
      </c>
      <c r="Z211" t="str">
        <v>Friends_only</v>
      </c>
      <c r="AA211" t="str">
        <v>Yes</v>
      </c>
      <c r="AB211" t="str">
        <v>Yes</v>
      </c>
      <c r="AC211">
        <v>4</v>
      </c>
      <c r="AD211" t="str">
        <v>Business</v>
      </c>
      <c r="AE211">
        <v>1.42</v>
      </c>
      <c r="AF211" s="14">
        <f t="shared" si="3"/>
        <v>1.8165605095541402</v>
      </c>
    </row>
    <row r="212" spans="1:32" x14ac:dyDescent="0.2">
      <c r="A212">
        <v>211</v>
      </c>
      <c r="B212" cm="1">
        <f t="array" ref="B212:AE212">_xlfn.XLOOKUP($A212,Instagram_Usage_Lifestyle_Mini_!$A:$A,Instagram_Usage_Lifestyle_Mini_!$AC:$BF)</f>
        <v>169</v>
      </c>
      <c r="C212">
        <v>10</v>
      </c>
      <c r="D212">
        <v>5</v>
      </c>
      <c r="E212">
        <v>142</v>
      </c>
      <c r="F212">
        <v>87</v>
      </c>
      <c r="G212">
        <v>111</v>
      </c>
      <c r="H212">
        <v>30</v>
      </c>
      <c r="I212">
        <v>22</v>
      </c>
      <c r="J212">
        <v>24</v>
      </c>
      <c r="K212">
        <v>17</v>
      </c>
      <c r="L212">
        <v>6</v>
      </c>
      <c r="M212">
        <v>98</v>
      </c>
      <c r="N212">
        <v>29</v>
      </c>
      <c r="O212">
        <v>42</v>
      </c>
      <c r="P212">
        <v>38</v>
      </c>
      <c r="Q212">
        <v>1367</v>
      </c>
      <c r="R212">
        <v>2719</v>
      </c>
      <c r="S212" t="str">
        <v>No</v>
      </c>
      <c r="T212">
        <v>0.88</v>
      </c>
      <c r="U212">
        <v>2013</v>
      </c>
      <c r="V212">
        <v>45812</v>
      </c>
      <c r="W212">
        <v>16.899999999999999</v>
      </c>
      <c r="X212" t="str">
        <v>Stories</v>
      </c>
      <c r="Y212" t="str">
        <v>Food</v>
      </c>
      <c r="Z212" t="str">
        <v>Private</v>
      </c>
      <c r="AA212" t="str">
        <v>No</v>
      </c>
      <c r="AB212" t="str">
        <v>No</v>
      </c>
      <c r="AC212">
        <v>4</v>
      </c>
      <c r="AD212" t="str">
        <v>Free</v>
      </c>
      <c r="AE212">
        <v>1.0900000000000001</v>
      </c>
      <c r="AF212" s="14">
        <f t="shared" si="3"/>
        <v>0.5027583670467084</v>
      </c>
    </row>
    <row r="213" spans="1:32" x14ac:dyDescent="0.2">
      <c r="A213">
        <v>212</v>
      </c>
      <c r="B213" cm="1">
        <f t="array" ref="B213:AE213">_xlfn.XLOOKUP($A213,Instagram_Usage_Lifestyle_Mini_!$A:$A,Instagram_Usage_Lifestyle_Mini_!$AC:$BF)</f>
        <v>143</v>
      </c>
      <c r="C213">
        <v>6</v>
      </c>
      <c r="D213">
        <v>5</v>
      </c>
      <c r="E213">
        <v>134</v>
      </c>
      <c r="F213">
        <v>94</v>
      </c>
      <c r="G213">
        <v>101</v>
      </c>
      <c r="H213">
        <v>23</v>
      </c>
      <c r="I213">
        <v>32</v>
      </c>
      <c r="J213">
        <v>18</v>
      </c>
      <c r="K213">
        <v>15</v>
      </c>
      <c r="L213">
        <v>7</v>
      </c>
      <c r="M213">
        <v>82</v>
      </c>
      <c r="N213">
        <v>31</v>
      </c>
      <c r="O213">
        <v>22</v>
      </c>
      <c r="P213">
        <v>49</v>
      </c>
      <c r="Q213">
        <v>1148</v>
      </c>
      <c r="R213">
        <v>580</v>
      </c>
      <c r="S213" t="str">
        <v>No</v>
      </c>
      <c r="T213">
        <v>0.49</v>
      </c>
      <c r="U213">
        <v>2023</v>
      </c>
      <c r="V213">
        <v>45833</v>
      </c>
      <c r="W213">
        <v>23.8</v>
      </c>
      <c r="X213" t="str">
        <v>Stories</v>
      </c>
      <c r="Y213" t="str">
        <v>Travel</v>
      </c>
      <c r="Z213" t="str">
        <v>Private</v>
      </c>
      <c r="AA213" t="str">
        <v>Yes</v>
      </c>
      <c r="AB213" t="str">
        <v>No</v>
      </c>
      <c r="AC213">
        <v>1</v>
      </c>
      <c r="AD213" t="str">
        <v>Free</v>
      </c>
      <c r="AE213">
        <v>1.1200000000000001</v>
      </c>
      <c r="AF213" s="14">
        <f t="shared" si="3"/>
        <v>1.9793103448275862</v>
      </c>
    </row>
    <row r="214" spans="1:32" x14ac:dyDescent="0.2">
      <c r="A214">
        <v>213</v>
      </c>
      <c r="B214" cm="1">
        <f t="array" ref="B214:AE214">_xlfn.XLOOKUP($A214,Instagram_Usage_Lifestyle_Mini_!$A:$A,Instagram_Usage_Lifestyle_Mini_!$AC:$BF)</f>
        <v>21</v>
      </c>
      <c r="C214">
        <v>1</v>
      </c>
      <c r="D214">
        <v>1</v>
      </c>
      <c r="E214">
        <v>42</v>
      </c>
      <c r="F214">
        <v>44</v>
      </c>
      <c r="G214">
        <v>26</v>
      </c>
      <c r="H214">
        <v>10</v>
      </c>
      <c r="I214">
        <v>12</v>
      </c>
      <c r="J214">
        <v>8</v>
      </c>
      <c r="K214">
        <v>9</v>
      </c>
      <c r="L214">
        <v>2</v>
      </c>
      <c r="M214">
        <v>10</v>
      </c>
      <c r="N214">
        <v>4</v>
      </c>
      <c r="O214">
        <v>5</v>
      </c>
      <c r="P214">
        <v>4</v>
      </c>
      <c r="Q214">
        <v>569</v>
      </c>
      <c r="R214">
        <v>557</v>
      </c>
      <c r="S214" t="str">
        <v>No</v>
      </c>
      <c r="T214">
        <v>0.05</v>
      </c>
      <c r="U214">
        <v>2018</v>
      </c>
      <c r="V214">
        <v>45892</v>
      </c>
      <c r="W214">
        <v>21</v>
      </c>
      <c r="X214" t="str">
        <v>Videos</v>
      </c>
      <c r="Y214" t="str">
        <v>Art</v>
      </c>
      <c r="Z214" t="str">
        <v>Private</v>
      </c>
      <c r="AA214" t="str">
        <v>Yes</v>
      </c>
      <c r="AB214" t="str">
        <v>No</v>
      </c>
      <c r="AC214">
        <v>3</v>
      </c>
      <c r="AD214" t="str">
        <v>Free</v>
      </c>
      <c r="AE214">
        <v>2.23</v>
      </c>
      <c r="AF214" s="14">
        <f t="shared" si="3"/>
        <v>1.0215439856373429</v>
      </c>
    </row>
    <row r="215" spans="1:32" x14ac:dyDescent="0.2">
      <c r="A215">
        <v>214</v>
      </c>
      <c r="B215" cm="1">
        <f t="array" ref="B215:AE215">_xlfn.XLOOKUP($A215,Instagram_Usage_Lifestyle_Mini_!$A:$A,Instagram_Usage_Lifestyle_Mini_!$AC:$BF)</f>
        <v>248</v>
      </c>
      <c r="C215">
        <v>8</v>
      </c>
      <c r="D215">
        <v>5</v>
      </c>
      <c r="E215">
        <v>192</v>
      </c>
      <c r="F215">
        <v>135</v>
      </c>
      <c r="G215">
        <v>143</v>
      </c>
      <c r="H215">
        <v>38</v>
      </c>
      <c r="I215">
        <v>40</v>
      </c>
      <c r="J215">
        <v>32</v>
      </c>
      <c r="K215">
        <v>27</v>
      </c>
      <c r="L215">
        <v>7</v>
      </c>
      <c r="M215">
        <v>135</v>
      </c>
      <c r="N215">
        <v>52</v>
      </c>
      <c r="O215">
        <v>59</v>
      </c>
      <c r="P215">
        <v>74</v>
      </c>
      <c r="Q215">
        <v>5173</v>
      </c>
      <c r="R215">
        <v>4869</v>
      </c>
      <c r="S215" t="str">
        <v>No</v>
      </c>
      <c r="T215">
        <v>0.5</v>
      </c>
      <c r="U215">
        <v>2019</v>
      </c>
      <c r="V215">
        <v>45770</v>
      </c>
      <c r="W215">
        <v>31</v>
      </c>
      <c r="X215" t="str">
        <v>Photos</v>
      </c>
      <c r="Y215" t="str">
        <v>Other</v>
      </c>
      <c r="Z215" t="str">
        <v>Friends_only</v>
      </c>
      <c r="AA215" t="str">
        <v>Yes</v>
      </c>
      <c r="AB215" t="str">
        <v>Yes</v>
      </c>
      <c r="AC215">
        <v>2</v>
      </c>
      <c r="AD215" t="str">
        <v>Premium</v>
      </c>
      <c r="AE215">
        <v>0.94</v>
      </c>
      <c r="AF215" s="14">
        <f t="shared" si="3"/>
        <v>1.0624358184432121</v>
      </c>
    </row>
    <row r="216" spans="1:32" x14ac:dyDescent="0.2">
      <c r="A216">
        <v>215</v>
      </c>
      <c r="B216" cm="1">
        <f t="array" ref="B216:AE216">_xlfn.XLOOKUP($A216,Instagram_Usage_Lifestyle_Mini_!$A:$A,Instagram_Usage_Lifestyle_Mini_!$AC:$BF)</f>
        <v>256</v>
      </c>
      <c r="C216">
        <v>8</v>
      </c>
      <c r="D216">
        <v>10</v>
      </c>
      <c r="E216">
        <v>208</v>
      </c>
      <c r="F216">
        <v>130</v>
      </c>
      <c r="G216">
        <v>153</v>
      </c>
      <c r="H216">
        <v>35</v>
      </c>
      <c r="I216">
        <v>34</v>
      </c>
      <c r="J216">
        <v>32</v>
      </c>
      <c r="K216">
        <v>26</v>
      </c>
      <c r="L216">
        <v>5</v>
      </c>
      <c r="M216">
        <v>140</v>
      </c>
      <c r="N216">
        <v>68</v>
      </c>
      <c r="O216">
        <v>49</v>
      </c>
      <c r="P216">
        <v>79</v>
      </c>
      <c r="Q216">
        <v>9152</v>
      </c>
      <c r="R216">
        <v>10000</v>
      </c>
      <c r="S216" t="str">
        <v>No</v>
      </c>
      <c r="T216">
        <v>0.45</v>
      </c>
      <c r="U216">
        <v>2016</v>
      </c>
      <c r="V216">
        <v>46016</v>
      </c>
      <c r="W216">
        <v>32</v>
      </c>
      <c r="X216" t="str">
        <v>Reels</v>
      </c>
      <c r="Y216" t="str">
        <v>Music</v>
      </c>
      <c r="Z216" t="str">
        <v>Private</v>
      </c>
      <c r="AA216" t="str">
        <v>No</v>
      </c>
      <c r="AB216" t="str">
        <v>Yes</v>
      </c>
      <c r="AC216">
        <v>3</v>
      </c>
      <c r="AD216" t="str">
        <v>Free</v>
      </c>
      <c r="AE216">
        <v>0.98</v>
      </c>
      <c r="AF216" s="14">
        <f t="shared" si="3"/>
        <v>0.91520000000000001</v>
      </c>
    </row>
    <row r="217" spans="1:32" x14ac:dyDescent="0.2">
      <c r="A217">
        <v>216</v>
      </c>
      <c r="B217" cm="1">
        <f t="array" ref="B217:AE217">_xlfn.XLOOKUP($A217,Instagram_Usage_Lifestyle_Mini_!$A:$A,Instagram_Usage_Lifestyle_Mini_!$AC:$BF)</f>
        <v>249</v>
      </c>
      <c r="C217">
        <v>11</v>
      </c>
      <c r="D217">
        <v>7</v>
      </c>
      <c r="E217">
        <v>296</v>
      </c>
      <c r="F217">
        <v>135</v>
      </c>
      <c r="G217">
        <v>148</v>
      </c>
      <c r="H217">
        <v>38</v>
      </c>
      <c r="I217">
        <v>44</v>
      </c>
      <c r="J217">
        <v>38</v>
      </c>
      <c r="K217">
        <v>27</v>
      </c>
      <c r="L217">
        <v>4</v>
      </c>
      <c r="M217">
        <v>108</v>
      </c>
      <c r="N217">
        <v>63</v>
      </c>
      <c r="O217">
        <v>45</v>
      </c>
      <c r="P217">
        <v>91</v>
      </c>
      <c r="Q217">
        <v>117</v>
      </c>
      <c r="R217">
        <v>234</v>
      </c>
      <c r="S217" t="str">
        <v>No</v>
      </c>
      <c r="T217">
        <v>0.55000000000000004</v>
      </c>
      <c r="U217">
        <v>2015</v>
      </c>
      <c r="V217">
        <v>45789</v>
      </c>
      <c r="W217">
        <v>22.6</v>
      </c>
      <c r="X217" t="str">
        <v>Videos</v>
      </c>
      <c r="Y217" t="str">
        <v>Music</v>
      </c>
      <c r="Z217" t="str">
        <v>Public</v>
      </c>
      <c r="AA217" t="str">
        <v>Yes</v>
      </c>
      <c r="AB217" t="str">
        <v>Yes</v>
      </c>
      <c r="AC217">
        <v>3</v>
      </c>
      <c r="AD217" t="str">
        <v>Free</v>
      </c>
      <c r="AE217">
        <v>0.98</v>
      </c>
      <c r="AF217" s="14">
        <f t="shared" si="3"/>
        <v>0.5</v>
      </c>
    </row>
    <row r="218" spans="1:32" x14ac:dyDescent="0.2">
      <c r="A218">
        <v>217</v>
      </c>
      <c r="B218" cm="1">
        <f t="array" ref="B218:AE218">_xlfn.XLOOKUP($A218,Instagram_Usage_Lifestyle_Mini_!$A:$A,Instagram_Usage_Lifestyle_Mini_!$AC:$BF)</f>
        <v>247</v>
      </c>
      <c r="C218">
        <v>8</v>
      </c>
      <c r="D218">
        <v>5</v>
      </c>
      <c r="E218">
        <v>183</v>
      </c>
      <c r="F218">
        <v>122</v>
      </c>
      <c r="G218">
        <v>139</v>
      </c>
      <c r="H218">
        <v>40</v>
      </c>
      <c r="I218">
        <v>27</v>
      </c>
      <c r="J218">
        <v>30</v>
      </c>
      <c r="K218">
        <v>32</v>
      </c>
      <c r="L218">
        <v>3</v>
      </c>
      <c r="M218">
        <v>121</v>
      </c>
      <c r="N218">
        <v>65</v>
      </c>
      <c r="O218">
        <v>34</v>
      </c>
      <c r="P218">
        <v>77</v>
      </c>
      <c r="Q218">
        <v>424</v>
      </c>
      <c r="R218">
        <v>380</v>
      </c>
      <c r="S218" t="str">
        <v>No</v>
      </c>
      <c r="T218">
        <v>0.01</v>
      </c>
      <c r="U218">
        <v>2022</v>
      </c>
      <c r="V218">
        <v>45669</v>
      </c>
      <c r="W218">
        <v>30.9</v>
      </c>
      <c r="X218" t="str">
        <v>Live</v>
      </c>
      <c r="Y218" t="str">
        <v>Fashion</v>
      </c>
      <c r="Z218" t="str">
        <v>Public</v>
      </c>
      <c r="AA218" t="str">
        <v>Yes</v>
      </c>
      <c r="AB218" t="str">
        <v>Yes</v>
      </c>
      <c r="AC218">
        <v>3</v>
      </c>
      <c r="AD218" t="str">
        <v>Free</v>
      </c>
      <c r="AE218">
        <v>0.94</v>
      </c>
      <c r="AF218" s="14">
        <f t="shared" si="3"/>
        <v>1.1157894736842104</v>
      </c>
    </row>
    <row r="219" spans="1:32" x14ac:dyDescent="0.2">
      <c r="A219">
        <v>218</v>
      </c>
      <c r="B219" cm="1">
        <f t="array" ref="B219:AE219">_xlfn.XLOOKUP($A219,Instagram_Usage_Lifestyle_Mini_!$A:$A,Instagram_Usage_Lifestyle_Mini_!$AC:$BF)</f>
        <v>366</v>
      </c>
      <c r="C219">
        <v>11</v>
      </c>
      <c r="D219">
        <v>10</v>
      </c>
      <c r="E219">
        <v>271</v>
      </c>
      <c r="F219">
        <v>150</v>
      </c>
      <c r="G219">
        <v>215</v>
      </c>
      <c r="H219">
        <v>55</v>
      </c>
      <c r="I219">
        <v>56</v>
      </c>
      <c r="J219">
        <v>66</v>
      </c>
      <c r="K219">
        <v>38</v>
      </c>
      <c r="L219">
        <v>11</v>
      </c>
      <c r="M219">
        <v>187</v>
      </c>
      <c r="N219">
        <v>42</v>
      </c>
      <c r="O219">
        <v>54</v>
      </c>
      <c r="P219">
        <v>82</v>
      </c>
      <c r="Q219">
        <v>3420</v>
      </c>
      <c r="R219">
        <v>6315</v>
      </c>
      <c r="S219" t="str">
        <v>No</v>
      </c>
      <c r="T219">
        <v>0.08</v>
      </c>
      <c r="U219">
        <v>2010</v>
      </c>
      <c r="V219">
        <v>45673</v>
      </c>
      <c r="W219">
        <v>33.299999999999997</v>
      </c>
      <c r="X219" t="str">
        <v>Mixed</v>
      </c>
      <c r="Y219" t="str">
        <v>Art</v>
      </c>
      <c r="Z219" t="str">
        <v>Private</v>
      </c>
      <c r="AA219" t="str">
        <v>Yes</v>
      </c>
      <c r="AB219" t="str">
        <v>No</v>
      </c>
      <c r="AC219">
        <v>1</v>
      </c>
      <c r="AD219" t="str">
        <v>Free</v>
      </c>
      <c r="AE219">
        <v>0.97</v>
      </c>
      <c r="AF219" s="14">
        <f t="shared" si="3"/>
        <v>0.54156769596199528</v>
      </c>
    </row>
    <row r="220" spans="1:32" x14ac:dyDescent="0.2">
      <c r="A220">
        <v>219</v>
      </c>
      <c r="B220" cm="1">
        <f t="array" ref="B220:AE220">_xlfn.XLOOKUP($A220,Instagram_Usage_Lifestyle_Mini_!$A:$A,Instagram_Usage_Lifestyle_Mini_!$AC:$BF)</f>
        <v>337</v>
      </c>
      <c r="C220">
        <v>18</v>
      </c>
      <c r="D220">
        <v>7</v>
      </c>
      <c r="E220">
        <v>226</v>
      </c>
      <c r="F220">
        <v>150</v>
      </c>
      <c r="G220">
        <v>176</v>
      </c>
      <c r="H220">
        <v>66</v>
      </c>
      <c r="I220">
        <v>32</v>
      </c>
      <c r="J220">
        <v>61</v>
      </c>
      <c r="K220">
        <v>36</v>
      </c>
      <c r="L220">
        <v>7</v>
      </c>
      <c r="M220">
        <v>164</v>
      </c>
      <c r="N220">
        <v>57</v>
      </c>
      <c r="O220">
        <v>44</v>
      </c>
      <c r="P220">
        <v>70</v>
      </c>
      <c r="Q220">
        <v>3651</v>
      </c>
      <c r="R220">
        <v>4139</v>
      </c>
      <c r="S220" t="str">
        <v>No</v>
      </c>
      <c r="T220">
        <v>0.65</v>
      </c>
      <c r="U220">
        <v>2017</v>
      </c>
      <c r="V220">
        <v>45957</v>
      </c>
      <c r="W220">
        <v>18.7</v>
      </c>
      <c r="X220" t="str">
        <v>Photos</v>
      </c>
      <c r="Y220" t="str">
        <v>Fashion</v>
      </c>
      <c r="Z220" t="str">
        <v>Private</v>
      </c>
      <c r="AA220" t="str">
        <v>Yes</v>
      </c>
      <c r="AB220" t="str">
        <v>No</v>
      </c>
      <c r="AC220">
        <v>2</v>
      </c>
      <c r="AD220" t="str">
        <v>Free</v>
      </c>
      <c r="AE220">
        <v>0.97</v>
      </c>
      <c r="AF220" s="14">
        <f t="shared" si="3"/>
        <v>0.8820971249093984</v>
      </c>
    </row>
    <row r="221" spans="1:32" x14ac:dyDescent="0.2">
      <c r="A221">
        <v>220</v>
      </c>
      <c r="B221" cm="1">
        <f t="array" ref="B221:AE221">_xlfn.XLOOKUP($A221,Instagram_Usage_Lifestyle_Mini_!$A:$A,Instagram_Usage_Lifestyle_Mini_!$AC:$BF)</f>
        <v>263</v>
      </c>
      <c r="C221">
        <v>11</v>
      </c>
      <c r="D221">
        <v>9</v>
      </c>
      <c r="E221">
        <v>217</v>
      </c>
      <c r="F221">
        <v>137</v>
      </c>
      <c r="G221">
        <v>150</v>
      </c>
      <c r="H221">
        <v>35</v>
      </c>
      <c r="I221">
        <v>40</v>
      </c>
      <c r="J221">
        <v>45</v>
      </c>
      <c r="K221">
        <v>19</v>
      </c>
      <c r="L221">
        <v>9</v>
      </c>
      <c r="M221">
        <v>133</v>
      </c>
      <c r="N221">
        <v>48</v>
      </c>
      <c r="O221">
        <v>40</v>
      </c>
      <c r="P221">
        <v>78</v>
      </c>
      <c r="Q221">
        <v>1435</v>
      </c>
      <c r="R221">
        <v>975</v>
      </c>
      <c r="S221" t="str">
        <v>Yes</v>
      </c>
      <c r="T221">
        <v>0.6</v>
      </c>
      <c r="U221">
        <v>2020</v>
      </c>
      <c r="V221">
        <v>45715</v>
      </c>
      <c r="W221">
        <v>23.9</v>
      </c>
      <c r="X221" t="str">
        <v>Mixed</v>
      </c>
      <c r="Y221" t="str">
        <v>Food</v>
      </c>
      <c r="Z221" t="str">
        <v>Private</v>
      </c>
      <c r="AA221" t="str">
        <v>Yes</v>
      </c>
      <c r="AB221" t="str">
        <v>Yes</v>
      </c>
      <c r="AC221">
        <v>2</v>
      </c>
      <c r="AD221" t="str">
        <v>Free</v>
      </c>
      <c r="AE221">
        <v>0.94</v>
      </c>
      <c r="AF221" s="14">
        <f t="shared" si="3"/>
        <v>1.4717948717948719</v>
      </c>
    </row>
    <row r="222" spans="1:32" x14ac:dyDescent="0.2">
      <c r="A222">
        <v>221</v>
      </c>
      <c r="B222" cm="1">
        <f t="array" ref="B222:AE222">_xlfn.XLOOKUP($A222,Instagram_Usage_Lifestyle_Mini_!$A:$A,Instagram_Usage_Lifestyle_Mini_!$AC:$BF)</f>
        <v>5</v>
      </c>
      <c r="C222">
        <v>1</v>
      </c>
      <c r="D222">
        <v>3</v>
      </c>
      <c r="E222">
        <v>55</v>
      </c>
      <c r="F222">
        <v>21</v>
      </c>
      <c r="G222">
        <v>25</v>
      </c>
      <c r="H222">
        <v>6</v>
      </c>
      <c r="I222">
        <v>13</v>
      </c>
      <c r="J222">
        <v>11</v>
      </c>
      <c r="K222">
        <v>4</v>
      </c>
      <c r="L222">
        <v>0</v>
      </c>
      <c r="M222">
        <v>2</v>
      </c>
      <c r="N222">
        <v>1</v>
      </c>
      <c r="O222">
        <v>1</v>
      </c>
      <c r="P222">
        <v>1</v>
      </c>
      <c r="Q222">
        <v>5037</v>
      </c>
      <c r="R222">
        <v>4535</v>
      </c>
      <c r="S222" t="str">
        <v>No</v>
      </c>
      <c r="T222">
        <v>0.73</v>
      </c>
      <c r="U222">
        <v>2011</v>
      </c>
      <c r="V222">
        <v>45935</v>
      </c>
      <c r="W222">
        <v>5</v>
      </c>
      <c r="X222" t="str">
        <v>Photos</v>
      </c>
      <c r="Y222" t="str">
        <v>Tech</v>
      </c>
      <c r="Z222" t="str">
        <v>Private</v>
      </c>
      <c r="AA222" t="str">
        <v>No</v>
      </c>
      <c r="AB222" t="str">
        <v>No</v>
      </c>
      <c r="AC222">
        <v>3</v>
      </c>
      <c r="AD222" t="str">
        <v>Free</v>
      </c>
      <c r="AE222">
        <v>7.67</v>
      </c>
      <c r="AF222" s="14">
        <f t="shared" si="3"/>
        <v>1.1106945975744211</v>
      </c>
    </row>
    <row r="223" spans="1:32" x14ac:dyDescent="0.2">
      <c r="A223">
        <v>222</v>
      </c>
      <c r="B223" cm="1">
        <f t="array" ref="B223:AE223">_xlfn.XLOOKUP($A223,Instagram_Usage_Lifestyle_Mini_!$A:$A,Instagram_Usage_Lifestyle_Mini_!$AC:$BF)</f>
        <v>177</v>
      </c>
      <c r="C223">
        <v>6</v>
      </c>
      <c r="D223">
        <v>5</v>
      </c>
      <c r="E223">
        <v>155</v>
      </c>
      <c r="F223">
        <v>103</v>
      </c>
      <c r="G223">
        <v>133</v>
      </c>
      <c r="H223">
        <v>34</v>
      </c>
      <c r="I223">
        <v>39</v>
      </c>
      <c r="J223">
        <v>25</v>
      </c>
      <c r="K223">
        <v>21</v>
      </c>
      <c r="L223">
        <v>4</v>
      </c>
      <c r="M223">
        <v>81</v>
      </c>
      <c r="N223">
        <v>25</v>
      </c>
      <c r="O223">
        <v>43</v>
      </c>
      <c r="P223">
        <v>50</v>
      </c>
      <c r="Q223">
        <v>3036</v>
      </c>
      <c r="R223">
        <v>2484</v>
      </c>
      <c r="S223" t="str">
        <v>No</v>
      </c>
      <c r="T223">
        <v>0.73</v>
      </c>
      <c r="U223">
        <v>2024</v>
      </c>
      <c r="V223">
        <v>45977</v>
      </c>
      <c r="W223">
        <v>29.5</v>
      </c>
      <c r="X223" t="str">
        <v>Photos</v>
      </c>
      <c r="Y223" t="str">
        <v>Music</v>
      </c>
      <c r="Z223" t="str">
        <v>Private</v>
      </c>
      <c r="AA223" t="str">
        <v>Yes</v>
      </c>
      <c r="AB223" t="str">
        <v>No</v>
      </c>
      <c r="AC223">
        <v>0</v>
      </c>
      <c r="AD223" t="str">
        <v>Premium</v>
      </c>
      <c r="AE223">
        <v>1.21</v>
      </c>
      <c r="AF223" s="14">
        <f t="shared" si="3"/>
        <v>1.2222222222222223</v>
      </c>
    </row>
    <row r="224" spans="1:32" x14ac:dyDescent="0.2">
      <c r="A224">
        <v>223</v>
      </c>
      <c r="B224" cm="1">
        <f t="array" ref="B224:AE224">_xlfn.XLOOKUP($A224,Instagram_Usage_Lifestyle_Mini_!$A:$A,Instagram_Usage_Lifestyle_Mini_!$AC:$BF)</f>
        <v>244</v>
      </c>
      <c r="C224">
        <v>24</v>
      </c>
      <c r="D224">
        <v>8</v>
      </c>
      <c r="E224">
        <v>161</v>
      </c>
      <c r="F224">
        <v>122</v>
      </c>
      <c r="G224">
        <v>147</v>
      </c>
      <c r="H224">
        <v>48</v>
      </c>
      <c r="I224">
        <v>37</v>
      </c>
      <c r="J224">
        <v>34</v>
      </c>
      <c r="K224">
        <v>24</v>
      </c>
      <c r="L224">
        <v>6</v>
      </c>
      <c r="M224">
        <v>101</v>
      </c>
      <c r="N224">
        <v>62</v>
      </c>
      <c r="O224">
        <v>61</v>
      </c>
      <c r="P224">
        <v>86</v>
      </c>
      <c r="Q224">
        <v>1700</v>
      </c>
      <c r="R224">
        <v>1266</v>
      </c>
      <c r="S224" t="str">
        <v>No</v>
      </c>
      <c r="T224">
        <v>0.7</v>
      </c>
      <c r="U224">
        <v>2024</v>
      </c>
      <c r="V224">
        <v>45813</v>
      </c>
      <c r="W224">
        <v>10.199999999999999</v>
      </c>
      <c r="X224" t="str">
        <v>Reels</v>
      </c>
      <c r="Y224" t="str">
        <v>Art</v>
      </c>
      <c r="Z224" t="str">
        <v>Friends_only</v>
      </c>
      <c r="AA224" t="str">
        <v>No</v>
      </c>
      <c r="AB224" t="str">
        <v>Yes</v>
      </c>
      <c r="AC224">
        <v>0</v>
      </c>
      <c r="AD224" t="str">
        <v>Free</v>
      </c>
      <c r="AE224">
        <v>1.0900000000000001</v>
      </c>
      <c r="AF224" s="14">
        <f t="shared" si="3"/>
        <v>1.3428120063191153</v>
      </c>
    </row>
    <row r="225" spans="1:32" x14ac:dyDescent="0.2">
      <c r="A225">
        <v>224</v>
      </c>
      <c r="B225" cm="1">
        <f t="array" ref="B225:AE225">_xlfn.XLOOKUP($A225,Instagram_Usage_Lifestyle_Mini_!$A:$A,Instagram_Usage_Lifestyle_Mini_!$AC:$BF)</f>
        <v>5</v>
      </c>
      <c r="C225">
        <v>1</v>
      </c>
      <c r="D225">
        <v>4</v>
      </c>
      <c r="E225">
        <v>45</v>
      </c>
      <c r="F225">
        <v>27</v>
      </c>
      <c r="G225">
        <v>26</v>
      </c>
      <c r="H225">
        <v>8</v>
      </c>
      <c r="I225">
        <v>15</v>
      </c>
      <c r="J225">
        <v>16</v>
      </c>
      <c r="K225">
        <v>5</v>
      </c>
      <c r="L225">
        <v>0</v>
      </c>
      <c r="M225">
        <v>3</v>
      </c>
      <c r="N225">
        <v>1</v>
      </c>
      <c r="O225">
        <v>1</v>
      </c>
      <c r="P225">
        <v>1</v>
      </c>
      <c r="Q225">
        <v>9896</v>
      </c>
      <c r="R225">
        <v>10000</v>
      </c>
      <c r="S225" t="str">
        <v>Yes</v>
      </c>
      <c r="T225">
        <v>0.38</v>
      </c>
      <c r="U225">
        <v>2024</v>
      </c>
      <c r="V225">
        <v>45867</v>
      </c>
      <c r="W225">
        <v>5</v>
      </c>
      <c r="X225" t="str">
        <v>Stories</v>
      </c>
      <c r="Y225" t="str">
        <v>Art</v>
      </c>
      <c r="Z225" t="str">
        <v>Public</v>
      </c>
      <c r="AA225" t="str">
        <v>Yes</v>
      </c>
      <c r="AB225" t="str">
        <v>Yes</v>
      </c>
      <c r="AC225">
        <v>1</v>
      </c>
      <c r="AD225" t="str">
        <v>Free</v>
      </c>
      <c r="AE225">
        <v>9</v>
      </c>
      <c r="AF225" s="14">
        <f t="shared" si="3"/>
        <v>0.98960000000000004</v>
      </c>
    </row>
    <row r="226" spans="1:32" x14ac:dyDescent="0.2">
      <c r="A226">
        <v>225</v>
      </c>
      <c r="B226" cm="1">
        <f t="array" ref="B226:AE226">_xlfn.XLOOKUP($A226,Instagram_Usage_Lifestyle_Mini_!$A:$A,Instagram_Usage_Lifestyle_Mini_!$AC:$BF)</f>
        <v>130</v>
      </c>
      <c r="C226">
        <v>9</v>
      </c>
      <c r="D226">
        <v>5</v>
      </c>
      <c r="E226">
        <v>191</v>
      </c>
      <c r="F226">
        <v>79</v>
      </c>
      <c r="G226">
        <v>97</v>
      </c>
      <c r="H226">
        <v>13</v>
      </c>
      <c r="I226">
        <v>31</v>
      </c>
      <c r="J226">
        <v>26</v>
      </c>
      <c r="K226">
        <v>14</v>
      </c>
      <c r="L226">
        <v>0</v>
      </c>
      <c r="M226">
        <v>64</v>
      </c>
      <c r="N226">
        <v>28</v>
      </c>
      <c r="O226">
        <v>16</v>
      </c>
      <c r="P226">
        <v>39</v>
      </c>
      <c r="Q226">
        <v>11685</v>
      </c>
      <c r="R226">
        <v>8034</v>
      </c>
      <c r="S226" t="str">
        <v>No</v>
      </c>
      <c r="T226">
        <v>0.3</v>
      </c>
      <c r="U226">
        <v>2011</v>
      </c>
      <c r="V226">
        <v>45970</v>
      </c>
      <c r="W226">
        <v>14.4</v>
      </c>
      <c r="X226" t="str">
        <v>Stories</v>
      </c>
      <c r="Y226" t="str">
        <v>Fitness</v>
      </c>
      <c r="Z226" t="str">
        <v>Public</v>
      </c>
      <c r="AA226" t="str">
        <v>Yes</v>
      </c>
      <c r="AB226" t="str">
        <v>No</v>
      </c>
      <c r="AC226">
        <v>4</v>
      </c>
      <c r="AD226" t="str">
        <v>Free</v>
      </c>
      <c r="AE226">
        <v>1.05</v>
      </c>
      <c r="AF226" s="14">
        <f t="shared" si="3"/>
        <v>1.4544436146377895</v>
      </c>
    </row>
    <row r="227" spans="1:32" x14ac:dyDescent="0.2">
      <c r="A227">
        <v>226</v>
      </c>
      <c r="B227" cm="1">
        <f t="array" ref="B227:AE227">_xlfn.XLOOKUP($A227,Instagram_Usage_Lifestyle_Mini_!$A:$A,Instagram_Usage_Lifestyle_Mini_!$AC:$BF)</f>
        <v>338</v>
      </c>
      <c r="C227">
        <v>10</v>
      </c>
      <c r="D227">
        <v>9</v>
      </c>
      <c r="E227">
        <v>248</v>
      </c>
      <c r="F227">
        <v>150</v>
      </c>
      <c r="G227">
        <v>207</v>
      </c>
      <c r="H227">
        <v>50</v>
      </c>
      <c r="I227">
        <v>69</v>
      </c>
      <c r="J227">
        <v>47</v>
      </c>
      <c r="K227">
        <v>31</v>
      </c>
      <c r="L227">
        <v>11</v>
      </c>
      <c r="M227">
        <v>139</v>
      </c>
      <c r="N227">
        <v>37</v>
      </c>
      <c r="O227">
        <v>60</v>
      </c>
      <c r="P227">
        <v>71</v>
      </c>
      <c r="Q227">
        <v>7890</v>
      </c>
      <c r="R227">
        <v>10000</v>
      </c>
      <c r="S227" t="str">
        <v>No</v>
      </c>
      <c r="T227">
        <v>0.72</v>
      </c>
      <c r="U227">
        <v>2014</v>
      </c>
      <c r="V227">
        <v>45693</v>
      </c>
      <c r="W227">
        <v>33.799999999999997</v>
      </c>
      <c r="X227" t="str">
        <v>Mixed</v>
      </c>
      <c r="Y227" t="str">
        <v>Fitness</v>
      </c>
      <c r="Z227" t="str">
        <v>Friends_only</v>
      </c>
      <c r="AA227" t="str">
        <v>Yes</v>
      </c>
      <c r="AB227" t="str">
        <v>Yes</v>
      </c>
      <c r="AC227">
        <v>1</v>
      </c>
      <c r="AD227" t="str">
        <v>Business</v>
      </c>
      <c r="AE227">
        <v>0.99</v>
      </c>
      <c r="AF227" s="14">
        <f t="shared" si="3"/>
        <v>0.78900000000000003</v>
      </c>
    </row>
    <row r="228" spans="1:32" x14ac:dyDescent="0.2">
      <c r="A228">
        <v>227</v>
      </c>
      <c r="B228" cm="1">
        <f t="array" ref="B228:AE228">_xlfn.XLOOKUP($A228,Instagram_Usage_Lifestyle_Mini_!$A:$A,Instagram_Usage_Lifestyle_Mini_!$AC:$BF)</f>
        <v>143</v>
      </c>
      <c r="C228">
        <v>16</v>
      </c>
      <c r="D228">
        <v>8</v>
      </c>
      <c r="E228">
        <v>220</v>
      </c>
      <c r="F228">
        <v>80</v>
      </c>
      <c r="G228">
        <v>90</v>
      </c>
      <c r="H228">
        <v>22</v>
      </c>
      <c r="I228">
        <v>27</v>
      </c>
      <c r="J228">
        <v>28</v>
      </c>
      <c r="K228">
        <v>21</v>
      </c>
      <c r="L228">
        <v>1</v>
      </c>
      <c r="M228">
        <v>68</v>
      </c>
      <c r="N228">
        <v>37</v>
      </c>
      <c r="O228">
        <v>35</v>
      </c>
      <c r="P228">
        <v>39</v>
      </c>
      <c r="Q228">
        <v>1841</v>
      </c>
      <c r="R228">
        <v>3989</v>
      </c>
      <c r="S228" t="str">
        <v>No</v>
      </c>
      <c r="T228">
        <v>0.39</v>
      </c>
      <c r="U228">
        <v>2014</v>
      </c>
      <c r="V228">
        <v>45672</v>
      </c>
      <c r="W228">
        <v>8.9</v>
      </c>
      <c r="X228" t="str">
        <v>Live</v>
      </c>
      <c r="Y228" t="str">
        <v>Fashion</v>
      </c>
      <c r="Z228" t="str">
        <v>Friends_only</v>
      </c>
      <c r="AA228" t="str">
        <v>No</v>
      </c>
      <c r="AB228" t="str">
        <v>No</v>
      </c>
      <c r="AC228">
        <v>1</v>
      </c>
      <c r="AD228" t="str">
        <v>Free</v>
      </c>
      <c r="AE228">
        <v>1.1000000000000001</v>
      </c>
      <c r="AF228" s="14">
        <f t="shared" si="3"/>
        <v>0.46151917773878165</v>
      </c>
    </row>
    <row r="229" spans="1:32" x14ac:dyDescent="0.2">
      <c r="A229">
        <v>228</v>
      </c>
      <c r="B229" cm="1">
        <f t="array" ref="B229:AE229">_xlfn.XLOOKUP($A229,Instagram_Usage_Lifestyle_Mini_!$A:$A,Instagram_Usage_Lifestyle_Mini_!$AC:$BF)</f>
        <v>328</v>
      </c>
      <c r="C229">
        <v>10</v>
      </c>
      <c r="D229">
        <v>13</v>
      </c>
      <c r="E229">
        <v>300</v>
      </c>
      <c r="F229">
        <v>150</v>
      </c>
      <c r="G229">
        <v>215</v>
      </c>
      <c r="H229">
        <v>48</v>
      </c>
      <c r="I229">
        <v>36</v>
      </c>
      <c r="J229">
        <v>52</v>
      </c>
      <c r="K229">
        <v>34</v>
      </c>
      <c r="L229">
        <v>7</v>
      </c>
      <c r="M229">
        <v>173</v>
      </c>
      <c r="N229">
        <v>49</v>
      </c>
      <c r="O229">
        <v>50</v>
      </c>
      <c r="P229">
        <v>105</v>
      </c>
      <c r="Q229">
        <v>689</v>
      </c>
      <c r="R229">
        <v>576</v>
      </c>
      <c r="S229" t="str">
        <v>No</v>
      </c>
      <c r="T229">
        <v>0.62</v>
      </c>
      <c r="U229">
        <v>2022</v>
      </c>
      <c r="V229">
        <v>45709</v>
      </c>
      <c r="W229">
        <v>32.799999999999997</v>
      </c>
      <c r="X229" t="str">
        <v>Reels</v>
      </c>
      <c r="Y229" t="str">
        <v>Fashion</v>
      </c>
      <c r="Z229" t="str">
        <v>Friends_only</v>
      </c>
      <c r="AA229" t="str">
        <v>Yes</v>
      </c>
      <c r="AB229" t="str">
        <v>No</v>
      </c>
      <c r="AC229">
        <v>1</v>
      </c>
      <c r="AD229" t="str">
        <v>Free</v>
      </c>
      <c r="AE229">
        <v>1.06</v>
      </c>
      <c r="AF229" s="14">
        <f t="shared" si="3"/>
        <v>1.1961805555555556</v>
      </c>
    </row>
    <row r="230" spans="1:32" x14ac:dyDescent="0.2">
      <c r="A230">
        <v>229</v>
      </c>
      <c r="B230" cm="1">
        <f t="array" ref="B230:AE230">_xlfn.XLOOKUP($A230,Instagram_Usage_Lifestyle_Mini_!$A:$A,Instagram_Usage_Lifestyle_Mini_!$AC:$BF)</f>
        <v>198</v>
      </c>
      <c r="C230">
        <v>6</v>
      </c>
      <c r="D230">
        <v>4</v>
      </c>
      <c r="E230">
        <v>164</v>
      </c>
      <c r="F230">
        <v>109</v>
      </c>
      <c r="G230">
        <v>118</v>
      </c>
      <c r="H230">
        <v>29</v>
      </c>
      <c r="I230">
        <v>35</v>
      </c>
      <c r="J230">
        <v>41</v>
      </c>
      <c r="K230">
        <v>22</v>
      </c>
      <c r="L230">
        <v>6</v>
      </c>
      <c r="M230">
        <v>103</v>
      </c>
      <c r="N230">
        <v>51</v>
      </c>
      <c r="O230">
        <v>44</v>
      </c>
      <c r="P230">
        <v>79</v>
      </c>
      <c r="Q230">
        <v>5557</v>
      </c>
      <c r="R230">
        <v>5203</v>
      </c>
      <c r="S230" t="str">
        <v>Yes</v>
      </c>
      <c r="T230">
        <v>0.82</v>
      </c>
      <c r="U230">
        <v>2011</v>
      </c>
      <c r="V230">
        <v>45876</v>
      </c>
      <c r="W230">
        <v>33</v>
      </c>
      <c r="X230" t="str">
        <v>Mixed</v>
      </c>
      <c r="Y230" t="str">
        <v>Tech</v>
      </c>
      <c r="Z230" t="str">
        <v>Public</v>
      </c>
      <c r="AA230" t="str">
        <v>Yes</v>
      </c>
      <c r="AB230" t="str">
        <v>No</v>
      </c>
      <c r="AC230">
        <v>4</v>
      </c>
      <c r="AD230" t="str">
        <v>Premium</v>
      </c>
      <c r="AE230">
        <v>0.94</v>
      </c>
      <c r="AF230" s="14">
        <f t="shared" si="3"/>
        <v>1.0680376705746684</v>
      </c>
    </row>
    <row r="231" spans="1:32" x14ac:dyDescent="0.2">
      <c r="A231">
        <v>230</v>
      </c>
      <c r="B231" cm="1">
        <f t="array" ref="B231:AE231">_xlfn.XLOOKUP($A231,Instagram_Usage_Lifestyle_Mini_!$A:$A,Instagram_Usage_Lifestyle_Mini_!$AC:$BF)</f>
        <v>49</v>
      </c>
      <c r="C231">
        <v>3</v>
      </c>
      <c r="D231">
        <v>2</v>
      </c>
      <c r="E231">
        <v>72</v>
      </c>
      <c r="F231">
        <v>64</v>
      </c>
      <c r="G231">
        <v>48</v>
      </c>
      <c r="H231">
        <v>13</v>
      </c>
      <c r="I231">
        <v>15</v>
      </c>
      <c r="J231">
        <v>12</v>
      </c>
      <c r="K231">
        <v>10</v>
      </c>
      <c r="L231">
        <v>2</v>
      </c>
      <c r="M231">
        <v>22</v>
      </c>
      <c r="N231">
        <v>9</v>
      </c>
      <c r="O231">
        <v>11</v>
      </c>
      <c r="P231">
        <v>14</v>
      </c>
      <c r="Q231">
        <v>440</v>
      </c>
      <c r="R231">
        <v>402</v>
      </c>
      <c r="S231" t="str">
        <v>No</v>
      </c>
      <c r="T231">
        <v>0.71</v>
      </c>
      <c r="U231">
        <v>2024</v>
      </c>
      <c r="V231">
        <v>45907</v>
      </c>
      <c r="W231">
        <v>16.3</v>
      </c>
      <c r="X231" t="str">
        <v>Live</v>
      </c>
      <c r="Y231" t="str">
        <v>Travel</v>
      </c>
      <c r="Z231" t="str">
        <v>Friends_only</v>
      </c>
      <c r="AA231" t="str">
        <v>Yes</v>
      </c>
      <c r="AB231" t="str">
        <v>Yes</v>
      </c>
      <c r="AC231">
        <v>1</v>
      </c>
      <c r="AD231" t="str">
        <v>Free</v>
      </c>
      <c r="AE231">
        <v>1.6</v>
      </c>
      <c r="AF231" s="14">
        <f t="shared" si="3"/>
        <v>1.0945273631840795</v>
      </c>
    </row>
    <row r="232" spans="1:32" x14ac:dyDescent="0.2">
      <c r="A232">
        <v>231</v>
      </c>
      <c r="B232" cm="1">
        <f t="array" ref="B232:AE232">_xlfn.XLOOKUP($A232,Instagram_Usage_Lifestyle_Mini_!$A:$A,Instagram_Usage_Lifestyle_Mini_!$AC:$BF)</f>
        <v>150</v>
      </c>
      <c r="C232">
        <v>9</v>
      </c>
      <c r="D232">
        <v>4</v>
      </c>
      <c r="E232">
        <v>125</v>
      </c>
      <c r="F232">
        <v>97</v>
      </c>
      <c r="G232">
        <v>94</v>
      </c>
      <c r="H232">
        <v>35</v>
      </c>
      <c r="I232">
        <v>22</v>
      </c>
      <c r="J232">
        <v>23</v>
      </c>
      <c r="K232">
        <v>18</v>
      </c>
      <c r="L232">
        <v>4</v>
      </c>
      <c r="M232">
        <v>75</v>
      </c>
      <c r="N232">
        <v>30</v>
      </c>
      <c r="O232">
        <v>32</v>
      </c>
      <c r="P232">
        <v>50</v>
      </c>
      <c r="Q232">
        <v>306</v>
      </c>
      <c r="R232">
        <v>312</v>
      </c>
      <c r="S232" t="str">
        <v>No</v>
      </c>
      <c r="T232">
        <v>0.66</v>
      </c>
      <c r="U232">
        <v>2018</v>
      </c>
      <c r="V232">
        <v>45995</v>
      </c>
      <c r="W232">
        <v>16.7</v>
      </c>
      <c r="X232" t="str">
        <v>Stories</v>
      </c>
      <c r="Y232" t="str">
        <v>Fitness</v>
      </c>
      <c r="Z232" t="str">
        <v>Private</v>
      </c>
      <c r="AA232" t="str">
        <v>Yes</v>
      </c>
      <c r="AB232" t="str">
        <v>No</v>
      </c>
      <c r="AC232">
        <v>2</v>
      </c>
      <c r="AD232" t="str">
        <v>Premium</v>
      </c>
      <c r="AE232">
        <v>1.17</v>
      </c>
      <c r="AF232" s="14">
        <f t="shared" si="3"/>
        <v>0.98076923076923073</v>
      </c>
    </row>
    <row r="233" spans="1:32" x14ac:dyDescent="0.2">
      <c r="A233">
        <v>232</v>
      </c>
      <c r="B233" cm="1">
        <f t="array" ref="B233:AE233">_xlfn.XLOOKUP($A233,Instagram_Usage_Lifestyle_Mini_!$A:$A,Instagram_Usage_Lifestyle_Mini_!$AC:$BF)</f>
        <v>244</v>
      </c>
      <c r="C233">
        <v>9</v>
      </c>
      <c r="D233">
        <v>9</v>
      </c>
      <c r="E233">
        <v>243</v>
      </c>
      <c r="F233">
        <v>140</v>
      </c>
      <c r="G233">
        <v>154</v>
      </c>
      <c r="H233">
        <v>45</v>
      </c>
      <c r="I233">
        <v>32</v>
      </c>
      <c r="J233">
        <v>39</v>
      </c>
      <c r="K233">
        <v>26</v>
      </c>
      <c r="L233">
        <v>3</v>
      </c>
      <c r="M233">
        <v>110</v>
      </c>
      <c r="N233">
        <v>48</v>
      </c>
      <c r="O233">
        <v>33</v>
      </c>
      <c r="P233">
        <v>90</v>
      </c>
      <c r="Q233">
        <v>2448</v>
      </c>
      <c r="R233">
        <v>3278</v>
      </c>
      <c r="S233" t="str">
        <v>No</v>
      </c>
      <c r="T233">
        <v>0.28000000000000003</v>
      </c>
      <c r="U233">
        <v>2018</v>
      </c>
      <c r="V233">
        <v>45738</v>
      </c>
      <c r="W233">
        <v>27.1</v>
      </c>
      <c r="X233" t="str">
        <v>Mixed</v>
      </c>
      <c r="Y233" t="str">
        <v>Fitness</v>
      </c>
      <c r="Z233" t="str">
        <v>Friends_only</v>
      </c>
      <c r="AA233" t="str">
        <v>Yes</v>
      </c>
      <c r="AB233" t="str">
        <v>No</v>
      </c>
      <c r="AC233">
        <v>3</v>
      </c>
      <c r="AD233" t="str">
        <v>Free</v>
      </c>
      <c r="AE233">
        <v>1.1100000000000001</v>
      </c>
      <c r="AF233" s="14">
        <f t="shared" si="3"/>
        <v>0.74679682733374009</v>
      </c>
    </row>
    <row r="234" spans="1:32" x14ac:dyDescent="0.2">
      <c r="A234">
        <v>233</v>
      </c>
      <c r="B234" cm="1">
        <f t="array" ref="B234:AE234">_xlfn.XLOOKUP($A234,Instagram_Usage_Lifestyle_Mini_!$A:$A,Instagram_Usage_Lifestyle_Mini_!$AC:$BF)</f>
        <v>5</v>
      </c>
      <c r="C234">
        <v>1</v>
      </c>
      <c r="D234">
        <v>1</v>
      </c>
      <c r="E234">
        <v>42</v>
      </c>
      <c r="F234">
        <v>36</v>
      </c>
      <c r="G234">
        <v>23</v>
      </c>
      <c r="H234">
        <v>6</v>
      </c>
      <c r="I234">
        <v>8</v>
      </c>
      <c r="J234">
        <v>10</v>
      </c>
      <c r="K234">
        <v>4</v>
      </c>
      <c r="L234">
        <v>1</v>
      </c>
      <c r="M234">
        <v>2</v>
      </c>
      <c r="N234">
        <v>1</v>
      </c>
      <c r="O234">
        <v>1</v>
      </c>
      <c r="P234">
        <v>2</v>
      </c>
      <c r="Q234">
        <v>735</v>
      </c>
      <c r="R234">
        <v>1657</v>
      </c>
      <c r="S234" t="str">
        <v>No</v>
      </c>
      <c r="T234">
        <v>0.67</v>
      </c>
      <c r="U234">
        <v>2016</v>
      </c>
      <c r="V234">
        <v>45755</v>
      </c>
      <c r="W234">
        <v>5</v>
      </c>
      <c r="X234" t="str">
        <v>Videos</v>
      </c>
      <c r="Y234" t="str">
        <v>Fitness</v>
      </c>
      <c r="Z234" t="str">
        <v>Private</v>
      </c>
      <c r="AA234" t="str">
        <v>Yes</v>
      </c>
      <c r="AB234" t="str">
        <v>No</v>
      </c>
      <c r="AC234">
        <v>0</v>
      </c>
      <c r="AD234" t="str">
        <v>Free</v>
      </c>
      <c r="AE234">
        <v>6.33</v>
      </c>
      <c r="AF234" s="14">
        <f t="shared" si="3"/>
        <v>0.44357272178636087</v>
      </c>
    </row>
    <row r="235" spans="1:32" x14ac:dyDescent="0.2">
      <c r="A235">
        <v>234</v>
      </c>
      <c r="B235" cm="1">
        <f t="array" ref="B235:AE235">_xlfn.XLOOKUP($A235,Instagram_Usage_Lifestyle_Mini_!$A:$A,Instagram_Usage_Lifestyle_Mini_!$AC:$BF)</f>
        <v>73</v>
      </c>
      <c r="C235">
        <v>2</v>
      </c>
      <c r="D235">
        <v>7</v>
      </c>
      <c r="E235">
        <v>141</v>
      </c>
      <c r="F235">
        <v>68</v>
      </c>
      <c r="G235">
        <v>57</v>
      </c>
      <c r="H235">
        <v>18</v>
      </c>
      <c r="I235">
        <v>18</v>
      </c>
      <c r="J235">
        <v>23</v>
      </c>
      <c r="K235">
        <v>15</v>
      </c>
      <c r="L235">
        <v>6</v>
      </c>
      <c r="M235">
        <v>39</v>
      </c>
      <c r="N235">
        <v>13</v>
      </c>
      <c r="O235">
        <v>11</v>
      </c>
      <c r="P235">
        <v>19</v>
      </c>
      <c r="Q235">
        <v>2152</v>
      </c>
      <c r="R235">
        <v>5212</v>
      </c>
      <c r="S235" t="str">
        <v>No</v>
      </c>
      <c r="T235">
        <v>0.5</v>
      </c>
      <c r="U235">
        <v>2016</v>
      </c>
      <c r="V235">
        <v>45919</v>
      </c>
      <c r="W235">
        <v>36.5</v>
      </c>
      <c r="X235" t="str">
        <v>Reels</v>
      </c>
      <c r="Y235" t="str">
        <v>Art</v>
      </c>
      <c r="Z235" t="str">
        <v>Friends_only</v>
      </c>
      <c r="AA235" t="str">
        <v>Yes</v>
      </c>
      <c r="AB235" t="str">
        <v>Yes</v>
      </c>
      <c r="AC235">
        <v>0</v>
      </c>
      <c r="AD235" t="str">
        <v>Free</v>
      </c>
      <c r="AE235">
        <v>1.54</v>
      </c>
      <c r="AF235" s="14">
        <f t="shared" si="3"/>
        <v>0.41289332310053722</v>
      </c>
    </row>
    <row r="236" spans="1:32" x14ac:dyDescent="0.2">
      <c r="A236">
        <v>235</v>
      </c>
      <c r="B236" cm="1">
        <f t="array" ref="B236:AE236">_xlfn.XLOOKUP($A236,Instagram_Usage_Lifestyle_Mini_!$A:$A,Instagram_Usage_Lifestyle_Mini_!$AC:$BF)</f>
        <v>256</v>
      </c>
      <c r="C236">
        <v>20</v>
      </c>
      <c r="D236">
        <v>7</v>
      </c>
      <c r="E236">
        <v>288</v>
      </c>
      <c r="F236">
        <v>106</v>
      </c>
      <c r="G236">
        <v>169</v>
      </c>
      <c r="H236">
        <v>51</v>
      </c>
      <c r="I236">
        <v>31</v>
      </c>
      <c r="J236">
        <v>38</v>
      </c>
      <c r="K236">
        <v>15</v>
      </c>
      <c r="L236">
        <v>8</v>
      </c>
      <c r="M236">
        <v>126</v>
      </c>
      <c r="N236">
        <v>52</v>
      </c>
      <c r="O236">
        <v>46</v>
      </c>
      <c r="P236">
        <v>86</v>
      </c>
      <c r="Q236">
        <v>1099</v>
      </c>
      <c r="R236">
        <v>2708</v>
      </c>
      <c r="S236" t="str">
        <v>No</v>
      </c>
      <c r="T236">
        <v>0.81</v>
      </c>
      <c r="U236">
        <v>2025</v>
      </c>
      <c r="V236">
        <v>45931</v>
      </c>
      <c r="W236">
        <v>12.8</v>
      </c>
      <c r="X236" t="str">
        <v>Videos</v>
      </c>
      <c r="Y236" t="str">
        <v>Fashion</v>
      </c>
      <c r="Z236" t="str">
        <v>Private</v>
      </c>
      <c r="AA236" t="str">
        <v>Yes</v>
      </c>
      <c r="AB236" t="str">
        <v>No</v>
      </c>
      <c r="AC236">
        <v>2</v>
      </c>
      <c r="AD236" t="str">
        <v>Free</v>
      </c>
      <c r="AE236">
        <v>1.1399999999999999</v>
      </c>
      <c r="AF236" s="14">
        <f t="shared" si="3"/>
        <v>0.40583456425406206</v>
      </c>
    </row>
    <row r="237" spans="1:32" x14ac:dyDescent="0.2">
      <c r="A237">
        <v>236</v>
      </c>
      <c r="B237" cm="1">
        <f t="array" ref="B237:AE237">_xlfn.XLOOKUP($A237,Instagram_Usage_Lifestyle_Mini_!$A:$A,Instagram_Usage_Lifestyle_Mini_!$AC:$BF)</f>
        <v>346</v>
      </c>
      <c r="C237">
        <v>31</v>
      </c>
      <c r="D237">
        <v>6</v>
      </c>
      <c r="E237">
        <v>261</v>
      </c>
      <c r="F237">
        <v>150</v>
      </c>
      <c r="G237">
        <v>194</v>
      </c>
      <c r="H237">
        <v>53</v>
      </c>
      <c r="I237">
        <v>38</v>
      </c>
      <c r="J237">
        <v>54</v>
      </c>
      <c r="K237">
        <v>39</v>
      </c>
      <c r="L237">
        <v>8</v>
      </c>
      <c r="M237">
        <v>207</v>
      </c>
      <c r="N237">
        <v>94</v>
      </c>
      <c r="O237">
        <v>60</v>
      </c>
      <c r="P237">
        <v>78</v>
      </c>
      <c r="Q237">
        <v>13344</v>
      </c>
      <c r="R237">
        <v>10000</v>
      </c>
      <c r="S237" t="str">
        <v>No</v>
      </c>
      <c r="T237">
        <v>0.55000000000000004</v>
      </c>
      <c r="U237">
        <v>2023</v>
      </c>
      <c r="V237">
        <v>45996</v>
      </c>
      <c r="W237">
        <v>11.2</v>
      </c>
      <c r="X237" t="str">
        <v>Videos</v>
      </c>
      <c r="Y237" t="str">
        <v>Art</v>
      </c>
      <c r="Z237" t="str">
        <v>Public</v>
      </c>
      <c r="AA237" t="str">
        <v>No</v>
      </c>
      <c r="AB237" t="str">
        <v>No</v>
      </c>
      <c r="AC237">
        <v>1</v>
      </c>
      <c r="AD237" t="str">
        <v>Free</v>
      </c>
      <c r="AE237">
        <v>0.92</v>
      </c>
      <c r="AF237" s="14">
        <f t="shared" si="3"/>
        <v>1.3344</v>
      </c>
    </row>
    <row r="238" spans="1:32" x14ac:dyDescent="0.2">
      <c r="A238">
        <v>237</v>
      </c>
      <c r="B238" cm="1">
        <f t="array" ref="B238:AE238">_xlfn.XLOOKUP($A238,Instagram_Usage_Lifestyle_Mini_!$A:$A,Instagram_Usage_Lifestyle_Mini_!$AC:$BF)</f>
        <v>214</v>
      </c>
      <c r="C238">
        <v>18</v>
      </c>
      <c r="D238">
        <v>7</v>
      </c>
      <c r="E238">
        <v>172</v>
      </c>
      <c r="F238">
        <v>122</v>
      </c>
      <c r="G238">
        <v>132</v>
      </c>
      <c r="H238">
        <v>38</v>
      </c>
      <c r="I238">
        <v>41</v>
      </c>
      <c r="J238">
        <v>37</v>
      </c>
      <c r="K238">
        <v>25</v>
      </c>
      <c r="L238">
        <v>3</v>
      </c>
      <c r="M238">
        <v>113</v>
      </c>
      <c r="N238">
        <v>47</v>
      </c>
      <c r="O238">
        <v>39</v>
      </c>
      <c r="P238">
        <v>43</v>
      </c>
      <c r="Q238">
        <v>4979</v>
      </c>
      <c r="R238">
        <v>9574</v>
      </c>
      <c r="S238" t="str">
        <v>Yes</v>
      </c>
      <c r="T238">
        <v>0.31</v>
      </c>
      <c r="U238">
        <v>2018</v>
      </c>
      <c r="V238">
        <v>45978</v>
      </c>
      <c r="W238">
        <v>11.9</v>
      </c>
      <c r="X238" t="str">
        <v>Live</v>
      </c>
      <c r="Y238" t="str">
        <v>Travel</v>
      </c>
      <c r="Z238" t="str">
        <v>Public</v>
      </c>
      <c r="AA238" t="str">
        <v>No</v>
      </c>
      <c r="AB238" t="str">
        <v>Yes</v>
      </c>
      <c r="AC238">
        <v>1</v>
      </c>
      <c r="AD238" t="str">
        <v>Premium</v>
      </c>
      <c r="AE238">
        <v>1.07</v>
      </c>
      <c r="AF238" s="14">
        <f t="shared" si="3"/>
        <v>0.52005431376645084</v>
      </c>
    </row>
    <row r="239" spans="1:32" x14ac:dyDescent="0.2">
      <c r="A239">
        <v>238</v>
      </c>
      <c r="B239" cm="1">
        <f t="array" ref="B239:AE239">_xlfn.XLOOKUP($A239,Instagram_Usage_Lifestyle_Mini_!$A:$A,Instagram_Usage_Lifestyle_Mini_!$AC:$BF)</f>
        <v>5</v>
      </c>
      <c r="C239">
        <v>1</v>
      </c>
      <c r="D239">
        <v>3</v>
      </c>
      <c r="E239">
        <v>39</v>
      </c>
      <c r="F239">
        <v>32</v>
      </c>
      <c r="G239">
        <v>10</v>
      </c>
      <c r="H239">
        <v>5</v>
      </c>
      <c r="I239">
        <v>9</v>
      </c>
      <c r="J239">
        <v>5</v>
      </c>
      <c r="K239">
        <v>5</v>
      </c>
      <c r="L239">
        <v>1</v>
      </c>
      <c r="M239">
        <v>2</v>
      </c>
      <c r="N239">
        <v>1</v>
      </c>
      <c r="O239">
        <v>1</v>
      </c>
      <c r="P239">
        <v>2</v>
      </c>
      <c r="Q239">
        <v>976</v>
      </c>
      <c r="R239">
        <v>2414</v>
      </c>
      <c r="S239" t="str">
        <v>No</v>
      </c>
      <c r="T239">
        <v>0.77</v>
      </c>
      <c r="U239">
        <v>2022</v>
      </c>
      <c r="V239">
        <v>45933</v>
      </c>
      <c r="W239">
        <v>5</v>
      </c>
      <c r="X239" t="str">
        <v>Stories</v>
      </c>
      <c r="Y239" t="str">
        <v>Art</v>
      </c>
      <c r="Z239" t="str">
        <v>Friends_only</v>
      </c>
      <c r="AA239" t="str">
        <v>Yes</v>
      </c>
      <c r="AB239" t="str">
        <v>No</v>
      </c>
      <c r="AC239">
        <v>1</v>
      </c>
      <c r="AD239" t="str">
        <v>Free</v>
      </c>
      <c r="AE239">
        <v>4.83</v>
      </c>
      <c r="AF239" s="14">
        <f t="shared" si="3"/>
        <v>0.40430820215410107</v>
      </c>
    </row>
    <row r="240" spans="1:32" x14ac:dyDescent="0.2">
      <c r="A240">
        <v>239</v>
      </c>
      <c r="B240" cm="1">
        <f t="array" ref="B240:AE240">_xlfn.XLOOKUP($A240,Instagram_Usage_Lifestyle_Mini_!$A:$A,Instagram_Usage_Lifestyle_Mini_!$AC:$BF)</f>
        <v>321</v>
      </c>
      <c r="C240">
        <v>11</v>
      </c>
      <c r="D240">
        <v>14</v>
      </c>
      <c r="E240">
        <v>233</v>
      </c>
      <c r="F240">
        <v>147</v>
      </c>
      <c r="G240">
        <v>170</v>
      </c>
      <c r="H240">
        <v>53</v>
      </c>
      <c r="I240">
        <v>34</v>
      </c>
      <c r="J240">
        <v>48</v>
      </c>
      <c r="K240">
        <v>38</v>
      </c>
      <c r="L240">
        <v>8</v>
      </c>
      <c r="M240">
        <v>166</v>
      </c>
      <c r="N240">
        <v>83</v>
      </c>
      <c r="O240">
        <v>55</v>
      </c>
      <c r="P240">
        <v>108</v>
      </c>
      <c r="Q240">
        <v>4052</v>
      </c>
      <c r="R240">
        <v>8241</v>
      </c>
      <c r="S240" t="str">
        <v>No</v>
      </c>
      <c r="T240">
        <v>0.1</v>
      </c>
      <c r="U240">
        <v>2015</v>
      </c>
      <c r="V240">
        <v>45704</v>
      </c>
      <c r="W240">
        <v>29.2</v>
      </c>
      <c r="X240" t="str">
        <v>Mixed</v>
      </c>
      <c r="Y240" t="str">
        <v>Tech</v>
      </c>
      <c r="Z240" t="str">
        <v>Private</v>
      </c>
      <c r="AA240" t="str">
        <v>No</v>
      </c>
      <c r="AB240" t="str">
        <v>Yes</v>
      </c>
      <c r="AC240">
        <v>1</v>
      </c>
      <c r="AD240" t="str">
        <v>Free</v>
      </c>
      <c r="AE240">
        <v>0.99</v>
      </c>
      <c r="AF240" s="14">
        <f t="shared" si="3"/>
        <v>0.49168790195364642</v>
      </c>
    </row>
    <row r="241" spans="1:32" x14ac:dyDescent="0.2">
      <c r="A241">
        <v>240</v>
      </c>
      <c r="B241" cm="1">
        <f t="array" ref="B241:AE241">_xlfn.XLOOKUP($A241,Instagram_Usage_Lifestyle_Mini_!$A:$A,Instagram_Usage_Lifestyle_Mini_!$AC:$BF)</f>
        <v>155</v>
      </c>
      <c r="C241">
        <v>13</v>
      </c>
      <c r="D241">
        <v>4</v>
      </c>
      <c r="E241">
        <v>129</v>
      </c>
      <c r="F241">
        <v>81</v>
      </c>
      <c r="G241">
        <v>108</v>
      </c>
      <c r="H241">
        <v>37</v>
      </c>
      <c r="I241">
        <v>27</v>
      </c>
      <c r="J241">
        <v>25</v>
      </c>
      <c r="K241">
        <v>28</v>
      </c>
      <c r="L241">
        <v>3</v>
      </c>
      <c r="M241">
        <v>84</v>
      </c>
      <c r="N241">
        <v>40</v>
      </c>
      <c r="O241">
        <v>26</v>
      </c>
      <c r="P241">
        <v>54</v>
      </c>
      <c r="Q241">
        <v>814</v>
      </c>
      <c r="R241">
        <v>1962</v>
      </c>
      <c r="S241" t="str">
        <v>No</v>
      </c>
      <c r="T241">
        <v>0.47</v>
      </c>
      <c r="U241">
        <v>2015</v>
      </c>
      <c r="V241">
        <v>45973</v>
      </c>
      <c r="W241">
        <v>11.9</v>
      </c>
      <c r="X241" t="str">
        <v>Photos</v>
      </c>
      <c r="Y241" t="str">
        <v>Food</v>
      </c>
      <c r="Z241" t="str">
        <v>Private</v>
      </c>
      <c r="AA241" t="str">
        <v>Yes</v>
      </c>
      <c r="AB241" t="str">
        <v>Yes</v>
      </c>
      <c r="AC241">
        <v>0</v>
      </c>
      <c r="AD241" t="str">
        <v>Free</v>
      </c>
      <c r="AE241">
        <v>1.24</v>
      </c>
      <c r="AF241" s="14">
        <f t="shared" si="3"/>
        <v>0.41488277268093782</v>
      </c>
    </row>
    <row r="242" spans="1:32" x14ac:dyDescent="0.2">
      <c r="A242">
        <v>241</v>
      </c>
      <c r="B242" cm="1">
        <f t="array" ref="B242:AE242">_xlfn.XLOOKUP($A242,Instagram_Usage_Lifestyle_Mini_!$A:$A,Instagram_Usage_Lifestyle_Mini_!$AC:$BF)</f>
        <v>292</v>
      </c>
      <c r="C242">
        <v>12</v>
      </c>
      <c r="D242">
        <v>6</v>
      </c>
      <c r="E242">
        <v>300</v>
      </c>
      <c r="F242">
        <v>134</v>
      </c>
      <c r="G242">
        <v>177</v>
      </c>
      <c r="H242">
        <v>44</v>
      </c>
      <c r="I242">
        <v>36</v>
      </c>
      <c r="J242">
        <v>42</v>
      </c>
      <c r="K242">
        <v>33</v>
      </c>
      <c r="L242">
        <v>8</v>
      </c>
      <c r="M242">
        <v>167</v>
      </c>
      <c r="N242">
        <v>44</v>
      </c>
      <c r="O242">
        <v>56</v>
      </c>
      <c r="P242">
        <v>71</v>
      </c>
      <c r="Q242">
        <v>8153</v>
      </c>
      <c r="R242">
        <v>3473</v>
      </c>
      <c r="S242" t="str">
        <v>No</v>
      </c>
      <c r="T242">
        <v>0.89</v>
      </c>
      <c r="U242">
        <v>2018</v>
      </c>
      <c r="V242">
        <v>45695</v>
      </c>
      <c r="W242">
        <v>24.3</v>
      </c>
      <c r="X242" t="str">
        <v>Videos</v>
      </c>
      <c r="Y242" t="str">
        <v>Tech</v>
      </c>
      <c r="Z242" t="str">
        <v>Public</v>
      </c>
      <c r="AA242" t="str">
        <v>Yes</v>
      </c>
      <c r="AB242" t="str">
        <v>No</v>
      </c>
      <c r="AC242">
        <v>2</v>
      </c>
      <c r="AD242" t="str">
        <v>Free</v>
      </c>
      <c r="AE242">
        <v>0.97</v>
      </c>
      <c r="AF242" s="14">
        <f t="shared" si="3"/>
        <v>2.3475381514540743</v>
      </c>
    </row>
    <row r="243" spans="1:32" x14ac:dyDescent="0.2">
      <c r="A243">
        <v>242</v>
      </c>
      <c r="B243" cm="1">
        <f t="array" ref="B243:AE243">_xlfn.XLOOKUP($A243,Instagram_Usage_Lifestyle_Mini_!$A:$A,Instagram_Usage_Lifestyle_Mini_!$AC:$BF)</f>
        <v>61</v>
      </c>
      <c r="C243">
        <v>3</v>
      </c>
      <c r="D243">
        <v>3</v>
      </c>
      <c r="E243">
        <v>54</v>
      </c>
      <c r="F243">
        <v>59</v>
      </c>
      <c r="G243">
        <v>51</v>
      </c>
      <c r="H243">
        <v>19</v>
      </c>
      <c r="I243">
        <v>16</v>
      </c>
      <c r="J243">
        <v>20</v>
      </c>
      <c r="K243">
        <v>10</v>
      </c>
      <c r="L243">
        <v>2</v>
      </c>
      <c r="M243">
        <v>26</v>
      </c>
      <c r="N243">
        <v>16</v>
      </c>
      <c r="O243">
        <v>7</v>
      </c>
      <c r="P243">
        <v>18</v>
      </c>
      <c r="Q243">
        <v>675</v>
      </c>
      <c r="R243">
        <v>502</v>
      </c>
      <c r="S243" t="str">
        <v>No</v>
      </c>
      <c r="T243">
        <v>0.81</v>
      </c>
      <c r="U243">
        <v>2025</v>
      </c>
      <c r="V243">
        <v>45685</v>
      </c>
      <c r="W243">
        <v>20.3</v>
      </c>
      <c r="X243" t="str">
        <v>Mixed</v>
      </c>
      <c r="Y243" t="str">
        <v>Food</v>
      </c>
      <c r="Z243" t="str">
        <v>Friends_only</v>
      </c>
      <c r="AA243" t="str">
        <v>Yes</v>
      </c>
      <c r="AB243" t="str">
        <v>No</v>
      </c>
      <c r="AC243">
        <v>3</v>
      </c>
      <c r="AD243" t="str">
        <v>Free</v>
      </c>
      <c r="AE243">
        <v>1.58</v>
      </c>
      <c r="AF243" s="14">
        <f t="shared" si="3"/>
        <v>1.344621513944223</v>
      </c>
    </row>
    <row r="244" spans="1:32" x14ac:dyDescent="0.2">
      <c r="A244">
        <v>243</v>
      </c>
      <c r="B244" cm="1">
        <f t="array" ref="B244:AE244">_xlfn.XLOOKUP($A244,Instagram_Usage_Lifestyle_Mini_!$A:$A,Instagram_Usage_Lifestyle_Mini_!$AC:$BF)</f>
        <v>323</v>
      </c>
      <c r="C244">
        <v>10</v>
      </c>
      <c r="D244">
        <v>13</v>
      </c>
      <c r="E244">
        <v>300</v>
      </c>
      <c r="F244">
        <v>146</v>
      </c>
      <c r="G244">
        <v>186</v>
      </c>
      <c r="H244">
        <v>48</v>
      </c>
      <c r="I244">
        <v>40</v>
      </c>
      <c r="J244">
        <v>46</v>
      </c>
      <c r="K244">
        <v>31</v>
      </c>
      <c r="L244">
        <v>12</v>
      </c>
      <c r="M244">
        <v>179</v>
      </c>
      <c r="N244">
        <v>78</v>
      </c>
      <c r="O244">
        <v>74</v>
      </c>
      <c r="P244">
        <v>106</v>
      </c>
      <c r="Q244">
        <v>415</v>
      </c>
      <c r="R244">
        <v>402</v>
      </c>
      <c r="S244" t="str">
        <v>No</v>
      </c>
      <c r="T244">
        <v>0.3</v>
      </c>
      <c r="U244">
        <v>2024</v>
      </c>
      <c r="V244">
        <v>45814</v>
      </c>
      <c r="W244">
        <v>32.299999999999997</v>
      </c>
      <c r="X244" t="str">
        <v>Live</v>
      </c>
      <c r="Y244" t="str">
        <v>Art</v>
      </c>
      <c r="Z244" t="str">
        <v>Private</v>
      </c>
      <c r="AA244" t="str">
        <v>No</v>
      </c>
      <c r="AB244" t="str">
        <v>No</v>
      </c>
      <c r="AC244">
        <v>1</v>
      </c>
      <c r="AD244" t="str">
        <v>Free</v>
      </c>
      <c r="AE244">
        <v>0.99</v>
      </c>
      <c r="AF244" s="14">
        <f t="shared" si="3"/>
        <v>1.0323383084577114</v>
      </c>
    </row>
    <row r="245" spans="1:32" x14ac:dyDescent="0.2">
      <c r="A245">
        <v>244</v>
      </c>
      <c r="B245" cm="1">
        <f t="array" ref="B245:AE245">_xlfn.XLOOKUP($A245,Instagram_Usage_Lifestyle_Mini_!$A:$A,Instagram_Usage_Lifestyle_Mini_!$AC:$BF)</f>
        <v>37</v>
      </c>
      <c r="C245">
        <v>4</v>
      </c>
      <c r="D245">
        <v>6</v>
      </c>
      <c r="E245">
        <v>61</v>
      </c>
      <c r="F245">
        <v>26</v>
      </c>
      <c r="G245">
        <v>52</v>
      </c>
      <c r="H245">
        <v>5</v>
      </c>
      <c r="I245">
        <v>11</v>
      </c>
      <c r="J245">
        <v>19</v>
      </c>
      <c r="K245">
        <v>11</v>
      </c>
      <c r="L245">
        <v>0</v>
      </c>
      <c r="M245">
        <v>22</v>
      </c>
      <c r="N245">
        <v>7</v>
      </c>
      <c r="O245">
        <v>8</v>
      </c>
      <c r="P245">
        <v>15</v>
      </c>
      <c r="Q245">
        <v>1902</v>
      </c>
      <c r="R245">
        <v>3116</v>
      </c>
      <c r="S245" t="str">
        <v>No</v>
      </c>
      <c r="T245">
        <v>0.24</v>
      </c>
      <c r="U245">
        <v>2016</v>
      </c>
      <c r="V245">
        <v>45669</v>
      </c>
      <c r="W245">
        <v>9.1999999999999993</v>
      </c>
      <c r="X245" t="str">
        <v>Mixed</v>
      </c>
      <c r="Y245" t="str">
        <v>Music</v>
      </c>
      <c r="Z245" t="str">
        <v>Private</v>
      </c>
      <c r="AA245" t="str">
        <v>Yes</v>
      </c>
      <c r="AB245" t="str">
        <v>Yes</v>
      </c>
      <c r="AC245">
        <v>1</v>
      </c>
      <c r="AD245" t="str">
        <v>Free</v>
      </c>
      <c r="AE245">
        <v>2.11</v>
      </c>
      <c r="AF245" s="14">
        <f t="shared" si="3"/>
        <v>0.61039794608472397</v>
      </c>
    </row>
    <row r="246" spans="1:32" x14ac:dyDescent="0.2">
      <c r="A246">
        <v>245</v>
      </c>
      <c r="B246" cm="1">
        <f t="array" ref="B246:AE246">_xlfn.XLOOKUP($A246,Instagram_Usage_Lifestyle_Mini_!$A:$A,Instagram_Usage_Lifestyle_Mini_!$AC:$BF)</f>
        <v>5</v>
      </c>
      <c r="C246">
        <v>1</v>
      </c>
      <c r="D246">
        <v>1</v>
      </c>
      <c r="E246">
        <v>37</v>
      </c>
      <c r="F246">
        <v>43</v>
      </c>
      <c r="G246">
        <v>25</v>
      </c>
      <c r="H246">
        <v>5</v>
      </c>
      <c r="I246">
        <v>17</v>
      </c>
      <c r="J246">
        <v>8</v>
      </c>
      <c r="K246">
        <v>5</v>
      </c>
      <c r="L246">
        <v>1</v>
      </c>
      <c r="M246">
        <v>3</v>
      </c>
      <c r="N246">
        <v>1</v>
      </c>
      <c r="O246">
        <v>1</v>
      </c>
      <c r="P246">
        <v>1</v>
      </c>
      <c r="Q246">
        <v>1548</v>
      </c>
      <c r="R246">
        <v>2464</v>
      </c>
      <c r="S246" t="str">
        <v>No</v>
      </c>
      <c r="T246">
        <v>0.7</v>
      </c>
      <c r="U246">
        <v>2016</v>
      </c>
      <c r="V246">
        <v>45689</v>
      </c>
      <c r="W246">
        <v>5</v>
      </c>
      <c r="X246" t="str">
        <v>Live</v>
      </c>
      <c r="Y246" t="str">
        <v>Food</v>
      </c>
      <c r="Z246" t="str">
        <v>Private</v>
      </c>
      <c r="AA246" t="str">
        <v>Yes</v>
      </c>
      <c r="AB246" t="str">
        <v>Yes</v>
      </c>
      <c r="AC246">
        <v>3</v>
      </c>
      <c r="AD246" t="str">
        <v>Free</v>
      </c>
      <c r="AE246">
        <v>6.33</v>
      </c>
      <c r="AF246" s="14">
        <f t="shared" si="3"/>
        <v>0.62824675324675328</v>
      </c>
    </row>
    <row r="247" spans="1:32" x14ac:dyDescent="0.2">
      <c r="A247">
        <v>246</v>
      </c>
      <c r="B247" cm="1">
        <f t="array" ref="B247:AE247">_xlfn.XLOOKUP($A247,Instagram_Usage_Lifestyle_Mini_!$A:$A,Instagram_Usage_Lifestyle_Mini_!$AC:$BF)</f>
        <v>192</v>
      </c>
      <c r="C247">
        <v>7</v>
      </c>
      <c r="D247">
        <v>2</v>
      </c>
      <c r="E247">
        <v>154</v>
      </c>
      <c r="F247">
        <v>106</v>
      </c>
      <c r="G247">
        <v>122</v>
      </c>
      <c r="H247">
        <v>40</v>
      </c>
      <c r="I247">
        <v>23</v>
      </c>
      <c r="J247">
        <v>37</v>
      </c>
      <c r="K247">
        <v>27</v>
      </c>
      <c r="L247">
        <v>6</v>
      </c>
      <c r="M247">
        <v>92</v>
      </c>
      <c r="N247">
        <v>37</v>
      </c>
      <c r="O247">
        <v>36</v>
      </c>
      <c r="P247">
        <v>67</v>
      </c>
      <c r="Q247">
        <v>4942</v>
      </c>
      <c r="R247">
        <v>10000</v>
      </c>
      <c r="S247" t="str">
        <v>No</v>
      </c>
      <c r="T247">
        <v>0.21</v>
      </c>
      <c r="U247">
        <v>2012</v>
      </c>
      <c r="V247">
        <v>45703</v>
      </c>
      <c r="W247">
        <v>27.4</v>
      </c>
      <c r="X247" t="str">
        <v>Photos</v>
      </c>
      <c r="Y247" t="str">
        <v>Food</v>
      </c>
      <c r="Z247" t="str">
        <v>Private</v>
      </c>
      <c r="AA247" t="str">
        <v>No</v>
      </c>
      <c r="AB247" t="str">
        <v>No</v>
      </c>
      <c r="AC247">
        <v>1</v>
      </c>
      <c r="AD247" t="str">
        <v>Free</v>
      </c>
      <c r="AE247">
        <v>1.08</v>
      </c>
      <c r="AF247" s="14">
        <f t="shared" si="3"/>
        <v>0.49419999999999997</v>
      </c>
    </row>
    <row r="248" spans="1:32" x14ac:dyDescent="0.2">
      <c r="A248">
        <v>247</v>
      </c>
      <c r="B248" cm="1">
        <f t="array" ref="B248:AE248">_xlfn.XLOOKUP($A248,Instagram_Usage_Lifestyle_Mini_!$A:$A,Instagram_Usage_Lifestyle_Mini_!$AC:$BF)</f>
        <v>318</v>
      </c>
      <c r="C248">
        <v>12</v>
      </c>
      <c r="D248">
        <v>12</v>
      </c>
      <c r="E248">
        <v>250</v>
      </c>
      <c r="F248">
        <v>150</v>
      </c>
      <c r="G248">
        <v>199</v>
      </c>
      <c r="H248">
        <v>50</v>
      </c>
      <c r="I248">
        <v>34</v>
      </c>
      <c r="J248">
        <v>48</v>
      </c>
      <c r="K248">
        <v>33</v>
      </c>
      <c r="L248">
        <v>1</v>
      </c>
      <c r="M248">
        <v>163</v>
      </c>
      <c r="N248">
        <v>78</v>
      </c>
      <c r="O248">
        <v>71</v>
      </c>
      <c r="P248">
        <v>120</v>
      </c>
      <c r="Q248">
        <v>3055</v>
      </c>
      <c r="R248">
        <v>5857</v>
      </c>
      <c r="S248" t="str">
        <v>No</v>
      </c>
      <c r="T248">
        <v>0.79</v>
      </c>
      <c r="U248">
        <v>2025</v>
      </c>
      <c r="V248">
        <v>45833</v>
      </c>
      <c r="W248">
        <v>26.5</v>
      </c>
      <c r="X248" t="str">
        <v>Reels</v>
      </c>
      <c r="Y248" t="str">
        <v>Food</v>
      </c>
      <c r="Z248" t="str">
        <v>Public</v>
      </c>
      <c r="AA248" t="str">
        <v>No</v>
      </c>
      <c r="AB248" t="str">
        <v>No</v>
      </c>
      <c r="AC248">
        <v>3</v>
      </c>
      <c r="AD248" t="str">
        <v>Free</v>
      </c>
      <c r="AE248">
        <v>1.05</v>
      </c>
      <c r="AF248" s="14">
        <f t="shared" si="3"/>
        <v>0.52159808775823802</v>
      </c>
    </row>
    <row r="249" spans="1:32" x14ac:dyDescent="0.2">
      <c r="A249">
        <v>248</v>
      </c>
      <c r="B249" cm="1">
        <f t="array" ref="B249:AE249">_xlfn.XLOOKUP($A249,Instagram_Usage_Lifestyle_Mini_!$A:$A,Instagram_Usage_Lifestyle_Mini_!$AC:$BF)</f>
        <v>146</v>
      </c>
      <c r="C249">
        <v>4</v>
      </c>
      <c r="D249">
        <v>12</v>
      </c>
      <c r="E249">
        <v>205</v>
      </c>
      <c r="F249">
        <v>112</v>
      </c>
      <c r="G249">
        <v>99</v>
      </c>
      <c r="H249">
        <v>21</v>
      </c>
      <c r="I249">
        <v>25</v>
      </c>
      <c r="J249">
        <v>31</v>
      </c>
      <c r="K249">
        <v>18</v>
      </c>
      <c r="L249">
        <v>3</v>
      </c>
      <c r="M249">
        <v>76</v>
      </c>
      <c r="N249">
        <v>36</v>
      </c>
      <c r="O249">
        <v>24</v>
      </c>
      <c r="P249">
        <v>57</v>
      </c>
      <c r="Q249">
        <v>383</v>
      </c>
      <c r="R249">
        <v>604</v>
      </c>
      <c r="S249" t="str">
        <v>No</v>
      </c>
      <c r="T249">
        <v>0.22</v>
      </c>
      <c r="U249">
        <v>2021</v>
      </c>
      <c r="V249">
        <v>46021</v>
      </c>
      <c r="W249">
        <v>36.5</v>
      </c>
      <c r="X249" t="str">
        <v>Videos</v>
      </c>
      <c r="Y249" t="str">
        <v>Music</v>
      </c>
      <c r="Z249" t="str">
        <v>Public</v>
      </c>
      <c r="AA249" t="str">
        <v>Yes</v>
      </c>
      <c r="AB249" t="str">
        <v>No</v>
      </c>
      <c r="AC249">
        <v>0</v>
      </c>
      <c r="AD249" t="str">
        <v>Premium</v>
      </c>
      <c r="AE249">
        <v>1.2</v>
      </c>
      <c r="AF249" s="14">
        <f t="shared" si="3"/>
        <v>0.63410596026490063</v>
      </c>
    </row>
    <row r="250" spans="1:32" x14ac:dyDescent="0.2">
      <c r="A250">
        <v>249</v>
      </c>
      <c r="B250" cm="1">
        <f t="array" ref="B250:AE250">_xlfn.XLOOKUP($A250,Instagram_Usage_Lifestyle_Mini_!$A:$A,Instagram_Usage_Lifestyle_Mini_!$AC:$BF)</f>
        <v>339</v>
      </c>
      <c r="C250">
        <v>12</v>
      </c>
      <c r="D250">
        <v>7</v>
      </c>
      <c r="E250">
        <v>238</v>
      </c>
      <c r="F250">
        <v>138</v>
      </c>
      <c r="G250">
        <v>220</v>
      </c>
      <c r="H250">
        <v>53</v>
      </c>
      <c r="I250">
        <v>38</v>
      </c>
      <c r="J250">
        <v>46</v>
      </c>
      <c r="K250">
        <v>35</v>
      </c>
      <c r="L250">
        <v>11</v>
      </c>
      <c r="M250">
        <v>139</v>
      </c>
      <c r="N250">
        <v>90</v>
      </c>
      <c r="O250">
        <v>76</v>
      </c>
      <c r="P250">
        <v>111</v>
      </c>
      <c r="Q250">
        <v>4614</v>
      </c>
      <c r="R250">
        <v>5116</v>
      </c>
      <c r="S250" t="str">
        <v>No</v>
      </c>
      <c r="T250">
        <v>0.98</v>
      </c>
      <c r="U250">
        <v>2013</v>
      </c>
      <c r="V250">
        <v>45813</v>
      </c>
      <c r="W250">
        <v>28.2</v>
      </c>
      <c r="X250" t="str">
        <v>Stories</v>
      </c>
      <c r="Y250" t="str">
        <v>Music</v>
      </c>
      <c r="Z250" t="str">
        <v>Public</v>
      </c>
      <c r="AA250" t="str">
        <v>Yes</v>
      </c>
      <c r="AB250" t="str">
        <v>Yes</v>
      </c>
      <c r="AC250">
        <v>2</v>
      </c>
      <c r="AD250" t="str">
        <v>Free</v>
      </c>
      <c r="AE250">
        <v>1.02</v>
      </c>
      <c r="AF250" s="14">
        <f t="shared" si="3"/>
        <v>0.90187646598905391</v>
      </c>
    </row>
    <row r="251" spans="1:32" x14ac:dyDescent="0.2">
      <c r="A251">
        <v>250</v>
      </c>
      <c r="B251" cm="1">
        <f t="array" ref="B251:AE251">_xlfn.XLOOKUP($A251,Instagram_Usage_Lifestyle_Mini_!$A:$A,Instagram_Usage_Lifestyle_Mini_!$AC:$BF)</f>
        <v>275</v>
      </c>
      <c r="C251">
        <v>15</v>
      </c>
      <c r="D251">
        <v>11</v>
      </c>
      <c r="E251">
        <v>265</v>
      </c>
      <c r="F251">
        <v>150</v>
      </c>
      <c r="G251">
        <v>179</v>
      </c>
      <c r="H251">
        <v>55</v>
      </c>
      <c r="I251">
        <v>39</v>
      </c>
      <c r="J251">
        <v>40</v>
      </c>
      <c r="K251">
        <v>26</v>
      </c>
      <c r="L251">
        <v>7</v>
      </c>
      <c r="M251">
        <v>143</v>
      </c>
      <c r="N251">
        <v>35</v>
      </c>
      <c r="O251">
        <v>63</v>
      </c>
      <c r="P251">
        <v>79</v>
      </c>
      <c r="Q251">
        <v>2325</v>
      </c>
      <c r="R251">
        <v>4011</v>
      </c>
      <c r="S251" t="str">
        <v>No</v>
      </c>
      <c r="T251">
        <v>0.14000000000000001</v>
      </c>
      <c r="U251">
        <v>2018</v>
      </c>
      <c r="V251">
        <v>45763</v>
      </c>
      <c r="W251">
        <v>18.3</v>
      </c>
      <c r="X251" t="str">
        <v>Live</v>
      </c>
      <c r="Y251" t="str">
        <v>Fitness</v>
      </c>
      <c r="Z251" t="str">
        <v>Public</v>
      </c>
      <c r="AA251" t="str">
        <v>Yes</v>
      </c>
      <c r="AB251" t="str">
        <v>Yes</v>
      </c>
      <c r="AC251">
        <v>2</v>
      </c>
      <c r="AD251" t="str">
        <v>Free</v>
      </c>
      <c r="AE251">
        <v>1.17</v>
      </c>
      <c r="AF251" s="14">
        <f t="shared" si="3"/>
        <v>0.57965594614809279</v>
      </c>
    </row>
    <row r="252" spans="1:32" x14ac:dyDescent="0.2">
      <c r="A252">
        <v>251</v>
      </c>
      <c r="B252" cm="1">
        <f t="array" ref="B252:AE252">_xlfn.XLOOKUP($A252,Instagram_Usage_Lifestyle_Mini_!$A:$A,Instagram_Usage_Lifestyle_Mini_!$AC:$BF)</f>
        <v>162</v>
      </c>
      <c r="C252">
        <v>6</v>
      </c>
      <c r="D252">
        <v>5</v>
      </c>
      <c r="E252">
        <v>229</v>
      </c>
      <c r="F252">
        <v>87</v>
      </c>
      <c r="G252">
        <v>110</v>
      </c>
      <c r="H252">
        <v>37</v>
      </c>
      <c r="I252">
        <v>26</v>
      </c>
      <c r="J252">
        <v>26</v>
      </c>
      <c r="K252">
        <v>20</v>
      </c>
      <c r="L252">
        <v>4</v>
      </c>
      <c r="M252">
        <v>90</v>
      </c>
      <c r="N252">
        <v>47</v>
      </c>
      <c r="O252">
        <v>30</v>
      </c>
      <c r="P252">
        <v>51</v>
      </c>
      <c r="Q252">
        <v>1236</v>
      </c>
      <c r="R252">
        <v>1823</v>
      </c>
      <c r="S252" t="str">
        <v>No</v>
      </c>
      <c r="T252">
        <v>0.15</v>
      </c>
      <c r="U252">
        <v>2010</v>
      </c>
      <c r="V252">
        <v>45879</v>
      </c>
      <c r="W252">
        <v>27</v>
      </c>
      <c r="X252" t="str">
        <v>Photos</v>
      </c>
      <c r="Y252" t="str">
        <v>Tech</v>
      </c>
      <c r="Z252" t="str">
        <v>Private</v>
      </c>
      <c r="AA252" t="str">
        <v>No</v>
      </c>
      <c r="AB252" t="str">
        <v>No</v>
      </c>
      <c r="AC252">
        <v>3</v>
      </c>
      <c r="AD252" t="str">
        <v>Free</v>
      </c>
      <c r="AE252">
        <v>1.22</v>
      </c>
      <c r="AF252" s="14">
        <f t="shared" si="3"/>
        <v>0.67800329127811299</v>
      </c>
    </row>
    <row r="253" spans="1:32" x14ac:dyDescent="0.2">
      <c r="A253">
        <v>252</v>
      </c>
      <c r="B253" cm="1">
        <f t="array" ref="B253:AE253">_xlfn.XLOOKUP($A253,Instagram_Usage_Lifestyle_Mini_!$A:$A,Instagram_Usage_Lifestyle_Mini_!$AC:$BF)</f>
        <v>87</v>
      </c>
      <c r="C253">
        <v>5</v>
      </c>
      <c r="D253">
        <v>2</v>
      </c>
      <c r="E253">
        <v>176</v>
      </c>
      <c r="F253">
        <v>56</v>
      </c>
      <c r="G253">
        <v>55</v>
      </c>
      <c r="H253">
        <v>21</v>
      </c>
      <c r="I253">
        <v>19</v>
      </c>
      <c r="J253">
        <v>19</v>
      </c>
      <c r="K253">
        <v>9</v>
      </c>
      <c r="L253">
        <v>2</v>
      </c>
      <c r="M253">
        <v>45</v>
      </c>
      <c r="N253">
        <v>17</v>
      </c>
      <c r="O253">
        <v>9</v>
      </c>
      <c r="P253">
        <v>24</v>
      </c>
      <c r="Q253">
        <v>237</v>
      </c>
      <c r="R253">
        <v>128</v>
      </c>
      <c r="S253" t="str">
        <v>No</v>
      </c>
      <c r="T253">
        <v>0.88</v>
      </c>
      <c r="U253">
        <v>2012</v>
      </c>
      <c r="V253">
        <v>45686</v>
      </c>
      <c r="W253">
        <v>17.399999999999999</v>
      </c>
      <c r="X253" t="str">
        <v>Stories</v>
      </c>
      <c r="Y253" t="str">
        <v>Food</v>
      </c>
      <c r="Z253" t="str">
        <v>Public</v>
      </c>
      <c r="AA253" t="str">
        <v>No</v>
      </c>
      <c r="AB253" t="str">
        <v>No</v>
      </c>
      <c r="AC253">
        <v>2</v>
      </c>
      <c r="AD253" t="str">
        <v>Free</v>
      </c>
      <c r="AE253">
        <v>1.17</v>
      </c>
      <c r="AF253" s="14">
        <f t="shared" si="3"/>
        <v>1.8515625</v>
      </c>
    </row>
    <row r="254" spans="1:32" x14ac:dyDescent="0.2">
      <c r="A254">
        <v>253</v>
      </c>
      <c r="B254" cm="1">
        <f t="array" ref="B254:AE254">_xlfn.XLOOKUP($A254,Instagram_Usage_Lifestyle_Mini_!$A:$A,Instagram_Usage_Lifestyle_Mini_!$AC:$BF)</f>
        <v>33</v>
      </c>
      <c r="C254">
        <v>2</v>
      </c>
      <c r="D254">
        <v>2</v>
      </c>
      <c r="E254">
        <v>53</v>
      </c>
      <c r="F254">
        <v>36</v>
      </c>
      <c r="G254">
        <v>43</v>
      </c>
      <c r="H254">
        <v>13</v>
      </c>
      <c r="I254">
        <v>16</v>
      </c>
      <c r="J254">
        <v>5</v>
      </c>
      <c r="K254">
        <v>7</v>
      </c>
      <c r="L254">
        <v>2</v>
      </c>
      <c r="M254">
        <v>19</v>
      </c>
      <c r="N254">
        <v>8</v>
      </c>
      <c r="O254">
        <v>5</v>
      </c>
      <c r="P254">
        <v>7</v>
      </c>
      <c r="Q254">
        <v>115</v>
      </c>
      <c r="R254">
        <v>248</v>
      </c>
      <c r="S254" t="str">
        <v>No</v>
      </c>
      <c r="T254">
        <v>0.15</v>
      </c>
      <c r="U254">
        <v>2022</v>
      </c>
      <c r="V254">
        <v>45749</v>
      </c>
      <c r="W254">
        <v>16.5</v>
      </c>
      <c r="X254" t="str">
        <v>Stories</v>
      </c>
      <c r="Y254" t="str">
        <v>Music</v>
      </c>
      <c r="Z254" t="str">
        <v>Friends_only</v>
      </c>
      <c r="AA254" t="str">
        <v>Yes</v>
      </c>
      <c r="AB254" t="str">
        <v>No</v>
      </c>
      <c r="AC254">
        <v>2</v>
      </c>
      <c r="AD254" t="str">
        <v>Free</v>
      </c>
      <c r="AE254">
        <v>2.21</v>
      </c>
      <c r="AF254" s="14">
        <f t="shared" si="3"/>
        <v>0.46370967741935482</v>
      </c>
    </row>
    <row r="255" spans="1:32" x14ac:dyDescent="0.2">
      <c r="A255">
        <v>254</v>
      </c>
      <c r="B255" cm="1">
        <f t="array" ref="B255:AE255">_xlfn.XLOOKUP($A255,Instagram_Usage_Lifestyle_Mini_!$A:$A,Instagram_Usage_Lifestyle_Mini_!$AC:$BF)</f>
        <v>160</v>
      </c>
      <c r="C255">
        <v>14</v>
      </c>
      <c r="D255">
        <v>3</v>
      </c>
      <c r="E255">
        <v>135</v>
      </c>
      <c r="F255">
        <v>78</v>
      </c>
      <c r="G255">
        <v>102</v>
      </c>
      <c r="H255">
        <v>41</v>
      </c>
      <c r="I255">
        <v>35</v>
      </c>
      <c r="J255">
        <v>21</v>
      </c>
      <c r="K255">
        <v>14</v>
      </c>
      <c r="L255">
        <v>6</v>
      </c>
      <c r="M255">
        <v>88</v>
      </c>
      <c r="N255">
        <v>43</v>
      </c>
      <c r="O255">
        <v>27</v>
      </c>
      <c r="P255">
        <v>53</v>
      </c>
      <c r="Q255">
        <v>279</v>
      </c>
      <c r="R255">
        <v>358</v>
      </c>
      <c r="S255" t="str">
        <v>No</v>
      </c>
      <c r="T255">
        <v>0.4</v>
      </c>
      <c r="U255">
        <v>2025</v>
      </c>
      <c r="V255">
        <v>45882</v>
      </c>
      <c r="W255">
        <v>11.4</v>
      </c>
      <c r="X255" t="str">
        <v>Photos</v>
      </c>
      <c r="Y255" t="str">
        <v>Tech</v>
      </c>
      <c r="Z255" t="str">
        <v>Friends_only</v>
      </c>
      <c r="AA255" t="str">
        <v>No</v>
      </c>
      <c r="AB255" t="str">
        <v>No</v>
      </c>
      <c r="AC255">
        <v>4</v>
      </c>
      <c r="AD255" t="str">
        <v>Free</v>
      </c>
      <c r="AE255">
        <v>1.2</v>
      </c>
      <c r="AF255" s="14">
        <f t="shared" si="3"/>
        <v>0.77932960893854752</v>
      </c>
    </row>
    <row r="256" spans="1:32" x14ac:dyDescent="0.2">
      <c r="A256">
        <v>255</v>
      </c>
      <c r="B256" cm="1">
        <f t="array" ref="B256:AE256">_xlfn.XLOOKUP($A256,Instagram_Usage_Lifestyle_Mini_!$A:$A,Instagram_Usage_Lifestyle_Mini_!$AC:$BF)</f>
        <v>8</v>
      </c>
      <c r="C256">
        <v>1</v>
      </c>
      <c r="D256">
        <v>7</v>
      </c>
      <c r="E256">
        <v>118</v>
      </c>
      <c r="F256">
        <v>27</v>
      </c>
      <c r="G256">
        <v>28</v>
      </c>
      <c r="H256">
        <v>2</v>
      </c>
      <c r="I256">
        <v>10</v>
      </c>
      <c r="J256">
        <v>10</v>
      </c>
      <c r="K256">
        <v>7</v>
      </c>
      <c r="L256">
        <v>1</v>
      </c>
      <c r="M256">
        <v>4</v>
      </c>
      <c r="N256">
        <v>1</v>
      </c>
      <c r="O256">
        <v>2</v>
      </c>
      <c r="P256">
        <v>2</v>
      </c>
      <c r="Q256">
        <v>147</v>
      </c>
      <c r="R256">
        <v>229</v>
      </c>
      <c r="S256" t="str">
        <v>Yes</v>
      </c>
      <c r="T256">
        <v>0.5</v>
      </c>
      <c r="U256">
        <v>2019</v>
      </c>
      <c r="V256">
        <v>45953</v>
      </c>
      <c r="W256">
        <v>8</v>
      </c>
      <c r="X256" t="str">
        <v>Mixed</v>
      </c>
      <c r="Y256" t="str">
        <v>Travel</v>
      </c>
      <c r="Z256" t="str">
        <v>Friends_only</v>
      </c>
      <c r="AA256" t="str">
        <v>Yes</v>
      </c>
      <c r="AB256" t="str">
        <v>No</v>
      </c>
      <c r="AC256">
        <v>2</v>
      </c>
      <c r="AD256" t="str">
        <v>Premium</v>
      </c>
      <c r="AE256">
        <v>5.89</v>
      </c>
      <c r="AF256" s="14">
        <f t="shared" si="3"/>
        <v>0.64192139737991272</v>
      </c>
    </row>
    <row r="257" spans="1:32" x14ac:dyDescent="0.2">
      <c r="A257">
        <v>256</v>
      </c>
      <c r="B257" cm="1">
        <f t="array" ref="B257:AE257">_xlfn.XLOOKUP($A257,Instagram_Usage_Lifestyle_Mini_!$A:$A,Instagram_Usage_Lifestyle_Mini_!$AC:$BF)</f>
        <v>254</v>
      </c>
      <c r="C257">
        <v>9</v>
      </c>
      <c r="D257">
        <v>5</v>
      </c>
      <c r="E257">
        <v>198</v>
      </c>
      <c r="F257">
        <v>136</v>
      </c>
      <c r="G257">
        <v>161</v>
      </c>
      <c r="H257">
        <v>50</v>
      </c>
      <c r="I257">
        <v>33</v>
      </c>
      <c r="J257">
        <v>31</v>
      </c>
      <c r="K257">
        <v>23</v>
      </c>
      <c r="L257">
        <v>9</v>
      </c>
      <c r="M257">
        <v>106</v>
      </c>
      <c r="N257">
        <v>59</v>
      </c>
      <c r="O257">
        <v>33</v>
      </c>
      <c r="P257">
        <v>69</v>
      </c>
      <c r="Q257">
        <v>539</v>
      </c>
      <c r="R257">
        <v>410</v>
      </c>
      <c r="S257" t="str">
        <v>No</v>
      </c>
      <c r="T257">
        <v>0.28999999999999998</v>
      </c>
      <c r="U257">
        <v>2022</v>
      </c>
      <c r="V257">
        <v>45869</v>
      </c>
      <c r="W257">
        <v>28.2</v>
      </c>
      <c r="X257" t="str">
        <v>Stories</v>
      </c>
      <c r="Y257" t="str">
        <v>Other</v>
      </c>
      <c r="Z257" t="str">
        <v>Friends_only</v>
      </c>
      <c r="AA257" t="str">
        <v>Yes</v>
      </c>
      <c r="AB257" t="str">
        <v>No</v>
      </c>
      <c r="AC257">
        <v>1</v>
      </c>
      <c r="AD257" t="str">
        <v>Free</v>
      </c>
      <c r="AE257">
        <v>1.08</v>
      </c>
      <c r="AF257" s="14">
        <f t="shared" si="3"/>
        <v>1.3146341463414635</v>
      </c>
    </row>
    <row r="258" spans="1:32" x14ac:dyDescent="0.2">
      <c r="A258">
        <v>257</v>
      </c>
      <c r="B258" cm="1">
        <f t="array" ref="B258:AE258">_xlfn.XLOOKUP($A258,Instagram_Usage_Lifestyle_Mini_!$A:$A,Instagram_Usage_Lifestyle_Mini_!$AC:$BF)</f>
        <v>229</v>
      </c>
      <c r="C258">
        <v>12</v>
      </c>
      <c r="D258">
        <v>4</v>
      </c>
      <c r="E258">
        <v>179</v>
      </c>
      <c r="F258">
        <v>107</v>
      </c>
      <c r="G258">
        <v>144</v>
      </c>
      <c r="H258">
        <v>36</v>
      </c>
      <c r="I258">
        <v>41</v>
      </c>
      <c r="J258">
        <v>40</v>
      </c>
      <c r="K258">
        <v>23</v>
      </c>
      <c r="L258">
        <v>5</v>
      </c>
      <c r="M258">
        <v>137</v>
      </c>
      <c r="N258">
        <v>34</v>
      </c>
      <c r="O258">
        <v>36</v>
      </c>
      <c r="P258">
        <v>88</v>
      </c>
      <c r="Q258">
        <v>2267</v>
      </c>
      <c r="R258">
        <v>3853</v>
      </c>
      <c r="S258" t="str">
        <v>No</v>
      </c>
      <c r="T258">
        <v>0.67</v>
      </c>
      <c r="U258">
        <v>2016</v>
      </c>
      <c r="V258">
        <v>45814</v>
      </c>
      <c r="W258">
        <v>19.100000000000001</v>
      </c>
      <c r="X258" t="str">
        <v>Live</v>
      </c>
      <c r="Y258" t="str">
        <v>Art</v>
      </c>
      <c r="Z258" t="str">
        <v>Friends_only</v>
      </c>
      <c r="AA258" t="str">
        <v>Yes</v>
      </c>
      <c r="AB258" t="str">
        <v>No</v>
      </c>
      <c r="AC258">
        <v>3</v>
      </c>
      <c r="AD258" t="str">
        <v>Free</v>
      </c>
      <c r="AE258">
        <v>0.99</v>
      </c>
      <c r="AF258" s="14">
        <f t="shared" si="3"/>
        <v>0.58837269660005187</v>
      </c>
    </row>
    <row r="259" spans="1:32" x14ac:dyDescent="0.2">
      <c r="A259">
        <v>258</v>
      </c>
      <c r="B259" cm="1">
        <f t="array" ref="B259:AE259">_xlfn.XLOOKUP($A259,Instagram_Usage_Lifestyle_Mini_!$A:$A,Instagram_Usage_Lifestyle_Mini_!$AC:$BF)</f>
        <v>328</v>
      </c>
      <c r="C259">
        <v>13</v>
      </c>
      <c r="D259">
        <v>11</v>
      </c>
      <c r="E259">
        <v>300</v>
      </c>
      <c r="F259">
        <v>143</v>
      </c>
      <c r="G259">
        <v>193</v>
      </c>
      <c r="H259">
        <v>65</v>
      </c>
      <c r="I259">
        <v>38</v>
      </c>
      <c r="J259">
        <v>54</v>
      </c>
      <c r="K259">
        <v>37</v>
      </c>
      <c r="L259">
        <v>8</v>
      </c>
      <c r="M259">
        <v>155</v>
      </c>
      <c r="N259">
        <v>44</v>
      </c>
      <c r="O259">
        <v>78</v>
      </c>
      <c r="P259">
        <v>116</v>
      </c>
      <c r="Q259">
        <v>7559</v>
      </c>
      <c r="R259">
        <v>10000</v>
      </c>
      <c r="S259" t="str">
        <v>Yes</v>
      </c>
      <c r="T259">
        <v>0.74</v>
      </c>
      <c r="U259">
        <v>2013</v>
      </c>
      <c r="V259">
        <v>45830</v>
      </c>
      <c r="W259">
        <v>25.2</v>
      </c>
      <c r="X259" t="str">
        <v>Mixed</v>
      </c>
      <c r="Y259" t="str">
        <v>Fashion</v>
      </c>
      <c r="Z259" t="str">
        <v>Public</v>
      </c>
      <c r="AA259" t="str">
        <v>Yes</v>
      </c>
      <c r="AB259" t="str">
        <v>No</v>
      </c>
      <c r="AC259">
        <v>3</v>
      </c>
      <c r="AD259" t="str">
        <v>Free</v>
      </c>
      <c r="AE259">
        <v>1.08</v>
      </c>
      <c r="AF259" s="14">
        <f t="shared" ref="AF259:AF322" si="4">IF(R259=0,0,Q259/R259)</f>
        <v>0.75590000000000002</v>
      </c>
    </row>
    <row r="260" spans="1:32" x14ac:dyDescent="0.2">
      <c r="A260">
        <v>259</v>
      </c>
      <c r="B260" cm="1">
        <f t="array" ref="B260:AE260">_xlfn.XLOOKUP($A260,Instagram_Usage_Lifestyle_Mini_!$A:$A,Instagram_Usage_Lifestyle_Mini_!$AC:$BF)</f>
        <v>148</v>
      </c>
      <c r="C260">
        <v>13</v>
      </c>
      <c r="D260">
        <v>3</v>
      </c>
      <c r="E260">
        <v>133</v>
      </c>
      <c r="F260">
        <v>98</v>
      </c>
      <c r="G260">
        <v>96</v>
      </c>
      <c r="H260">
        <v>27</v>
      </c>
      <c r="I260">
        <v>23</v>
      </c>
      <c r="J260">
        <v>27</v>
      </c>
      <c r="K260">
        <v>23</v>
      </c>
      <c r="L260">
        <v>2</v>
      </c>
      <c r="M260">
        <v>67</v>
      </c>
      <c r="N260">
        <v>37</v>
      </c>
      <c r="O260">
        <v>31</v>
      </c>
      <c r="P260">
        <v>49</v>
      </c>
      <c r="Q260">
        <v>1102</v>
      </c>
      <c r="R260">
        <v>1644</v>
      </c>
      <c r="S260" t="str">
        <v>No</v>
      </c>
      <c r="T260">
        <v>1</v>
      </c>
      <c r="U260">
        <v>2025</v>
      </c>
      <c r="V260">
        <v>45857</v>
      </c>
      <c r="W260">
        <v>11.4</v>
      </c>
      <c r="X260" t="str">
        <v>Live</v>
      </c>
      <c r="Y260" t="str">
        <v>Other</v>
      </c>
      <c r="Z260" t="str">
        <v>Private</v>
      </c>
      <c r="AA260" t="str">
        <v>No</v>
      </c>
      <c r="AB260" t="str">
        <v>No</v>
      </c>
      <c r="AC260">
        <v>1</v>
      </c>
      <c r="AD260" t="str">
        <v>Free</v>
      </c>
      <c r="AE260">
        <v>1.07</v>
      </c>
      <c r="AF260" s="14">
        <f t="shared" si="4"/>
        <v>0.67031630170316303</v>
      </c>
    </row>
    <row r="261" spans="1:32" x14ac:dyDescent="0.2">
      <c r="A261">
        <v>260</v>
      </c>
      <c r="B261" cm="1">
        <f t="array" ref="B261:AE261">_xlfn.XLOOKUP($A261,Instagram_Usage_Lifestyle_Mini_!$A:$A,Instagram_Usage_Lifestyle_Mini_!$AC:$BF)</f>
        <v>184</v>
      </c>
      <c r="C261">
        <v>10</v>
      </c>
      <c r="D261">
        <v>6</v>
      </c>
      <c r="E261">
        <v>213</v>
      </c>
      <c r="F261">
        <v>117</v>
      </c>
      <c r="G261">
        <v>89</v>
      </c>
      <c r="H261">
        <v>36</v>
      </c>
      <c r="I261">
        <v>15</v>
      </c>
      <c r="J261">
        <v>29</v>
      </c>
      <c r="K261">
        <v>21</v>
      </c>
      <c r="L261">
        <v>6</v>
      </c>
      <c r="M261">
        <v>97</v>
      </c>
      <c r="N261">
        <v>29</v>
      </c>
      <c r="O261">
        <v>36</v>
      </c>
      <c r="P261">
        <v>51</v>
      </c>
      <c r="Q261">
        <v>391</v>
      </c>
      <c r="R261">
        <v>439</v>
      </c>
      <c r="S261" t="str">
        <v>No</v>
      </c>
      <c r="T261">
        <v>0.04</v>
      </c>
      <c r="U261">
        <v>2011</v>
      </c>
      <c r="V261">
        <v>45709</v>
      </c>
      <c r="W261">
        <v>18.399999999999999</v>
      </c>
      <c r="X261" t="str">
        <v>Mixed</v>
      </c>
      <c r="Y261" t="str">
        <v>Tech</v>
      </c>
      <c r="Z261" t="str">
        <v>Private</v>
      </c>
      <c r="AA261" t="str">
        <v>No</v>
      </c>
      <c r="AB261" t="str">
        <v>Yes</v>
      </c>
      <c r="AC261">
        <v>2</v>
      </c>
      <c r="AD261" t="str">
        <v>Free</v>
      </c>
      <c r="AE261">
        <v>0.97</v>
      </c>
      <c r="AF261" s="14">
        <f t="shared" si="4"/>
        <v>0.89066059225512528</v>
      </c>
    </row>
    <row r="262" spans="1:32" x14ac:dyDescent="0.2">
      <c r="A262">
        <v>261</v>
      </c>
      <c r="B262" cm="1">
        <f t="array" ref="B262:AE262">_xlfn.XLOOKUP($A262,Instagram_Usage_Lifestyle_Mini_!$A:$A,Instagram_Usage_Lifestyle_Mini_!$AC:$BF)</f>
        <v>341</v>
      </c>
      <c r="C262">
        <v>33</v>
      </c>
      <c r="D262">
        <v>4</v>
      </c>
      <c r="E262">
        <v>271</v>
      </c>
      <c r="F262">
        <v>150</v>
      </c>
      <c r="G262">
        <v>208</v>
      </c>
      <c r="H262">
        <v>52</v>
      </c>
      <c r="I262">
        <v>54</v>
      </c>
      <c r="J262">
        <v>41</v>
      </c>
      <c r="K262">
        <v>31</v>
      </c>
      <c r="L262">
        <v>5</v>
      </c>
      <c r="M262">
        <v>196</v>
      </c>
      <c r="N262">
        <v>71</v>
      </c>
      <c r="O262">
        <v>35</v>
      </c>
      <c r="P262">
        <v>134</v>
      </c>
      <c r="Q262">
        <v>450</v>
      </c>
      <c r="R262">
        <v>585</v>
      </c>
      <c r="S262" t="str">
        <v>No</v>
      </c>
      <c r="T262">
        <v>0.59</v>
      </c>
      <c r="U262">
        <v>2016</v>
      </c>
      <c r="V262">
        <v>45861</v>
      </c>
      <c r="W262">
        <v>10.3</v>
      </c>
      <c r="X262" t="str">
        <v>Stories</v>
      </c>
      <c r="Y262" t="str">
        <v>Art</v>
      </c>
      <c r="Z262" t="str">
        <v>Public</v>
      </c>
      <c r="AA262" t="str">
        <v>Yes</v>
      </c>
      <c r="AB262" t="str">
        <v>No</v>
      </c>
      <c r="AC262">
        <v>2</v>
      </c>
      <c r="AD262" t="str">
        <v>Free</v>
      </c>
      <c r="AE262">
        <v>0.95</v>
      </c>
      <c r="AF262" s="14">
        <f t="shared" si="4"/>
        <v>0.76923076923076927</v>
      </c>
    </row>
    <row r="263" spans="1:32" x14ac:dyDescent="0.2">
      <c r="A263">
        <v>262</v>
      </c>
      <c r="B263" cm="1">
        <f t="array" ref="B263:AE263">_xlfn.XLOOKUP($A263,Instagram_Usage_Lifestyle_Mini_!$A:$A,Instagram_Usage_Lifestyle_Mini_!$AC:$BF)</f>
        <v>168</v>
      </c>
      <c r="C263">
        <v>18</v>
      </c>
      <c r="D263">
        <v>6</v>
      </c>
      <c r="E263">
        <v>211</v>
      </c>
      <c r="F263">
        <v>93</v>
      </c>
      <c r="G263">
        <v>120</v>
      </c>
      <c r="H263">
        <v>28</v>
      </c>
      <c r="I263">
        <v>34</v>
      </c>
      <c r="J263">
        <v>33</v>
      </c>
      <c r="K263">
        <v>23</v>
      </c>
      <c r="L263">
        <v>5</v>
      </c>
      <c r="M263">
        <v>90</v>
      </c>
      <c r="N263">
        <v>28</v>
      </c>
      <c r="O263">
        <v>38</v>
      </c>
      <c r="P263">
        <v>37</v>
      </c>
      <c r="Q263">
        <v>307</v>
      </c>
      <c r="R263">
        <v>349</v>
      </c>
      <c r="S263" t="str">
        <v>No</v>
      </c>
      <c r="T263">
        <v>0.12</v>
      </c>
      <c r="U263">
        <v>2024</v>
      </c>
      <c r="V263">
        <v>45950</v>
      </c>
      <c r="W263">
        <v>9.3000000000000007</v>
      </c>
      <c r="X263" t="str">
        <v>Videos</v>
      </c>
      <c r="Y263" t="str">
        <v>Fitness</v>
      </c>
      <c r="Z263" t="str">
        <v>Public</v>
      </c>
      <c r="AA263" t="str">
        <v>Yes</v>
      </c>
      <c r="AB263" t="str">
        <v>No</v>
      </c>
      <c r="AC263">
        <v>2</v>
      </c>
      <c r="AD263" t="str">
        <v>Free</v>
      </c>
      <c r="AE263">
        <v>1.1499999999999999</v>
      </c>
      <c r="AF263" s="14">
        <f t="shared" si="4"/>
        <v>0.87965616045845274</v>
      </c>
    </row>
    <row r="264" spans="1:32" x14ac:dyDescent="0.2">
      <c r="A264">
        <v>263</v>
      </c>
      <c r="B264" cm="1">
        <f t="array" ref="B264:AE264">_xlfn.XLOOKUP($A264,Instagram_Usage_Lifestyle_Mini_!$A:$A,Instagram_Usage_Lifestyle_Mini_!$AC:$BF)</f>
        <v>224</v>
      </c>
      <c r="C264">
        <v>8</v>
      </c>
      <c r="D264">
        <v>9</v>
      </c>
      <c r="E264">
        <v>167</v>
      </c>
      <c r="F264">
        <v>111</v>
      </c>
      <c r="G264">
        <v>131</v>
      </c>
      <c r="H264">
        <v>41</v>
      </c>
      <c r="I264">
        <v>25</v>
      </c>
      <c r="J264">
        <v>41</v>
      </c>
      <c r="K264">
        <v>19</v>
      </c>
      <c r="L264">
        <v>5</v>
      </c>
      <c r="M264">
        <v>107</v>
      </c>
      <c r="N264">
        <v>63</v>
      </c>
      <c r="O264">
        <v>43</v>
      </c>
      <c r="P264">
        <v>49</v>
      </c>
      <c r="Q264">
        <v>1879</v>
      </c>
      <c r="R264">
        <v>1721</v>
      </c>
      <c r="S264" t="str">
        <v>No</v>
      </c>
      <c r="T264">
        <v>0.75</v>
      </c>
      <c r="U264">
        <v>2016</v>
      </c>
      <c r="V264">
        <v>45746</v>
      </c>
      <c r="W264">
        <v>28</v>
      </c>
      <c r="X264" t="str">
        <v>Videos</v>
      </c>
      <c r="Y264" t="str">
        <v>Music</v>
      </c>
      <c r="Z264" t="str">
        <v>Friends_only</v>
      </c>
      <c r="AA264" t="str">
        <v>Yes</v>
      </c>
      <c r="AB264" t="str">
        <v>No</v>
      </c>
      <c r="AC264">
        <v>2</v>
      </c>
      <c r="AD264" t="str">
        <v>Free</v>
      </c>
      <c r="AE264">
        <v>1.07</v>
      </c>
      <c r="AF264" s="14">
        <f t="shared" si="4"/>
        <v>1.0918070889018012</v>
      </c>
    </row>
    <row r="265" spans="1:32" x14ac:dyDescent="0.2">
      <c r="A265">
        <v>264</v>
      </c>
      <c r="B265" cm="1">
        <f t="array" ref="B265:AE265">_xlfn.XLOOKUP($A265,Instagram_Usage_Lifestyle_Mini_!$A:$A,Instagram_Usage_Lifestyle_Mini_!$AC:$BF)</f>
        <v>80</v>
      </c>
      <c r="C265">
        <v>4</v>
      </c>
      <c r="D265">
        <v>7</v>
      </c>
      <c r="E265">
        <v>173</v>
      </c>
      <c r="F265">
        <v>56</v>
      </c>
      <c r="G265">
        <v>57</v>
      </c>
      <c r="H265">
        <v>15</v>
      </c>
      <c r="I265">
        <v>15</v>
      </c>
      <c r="J265">
        <v>21</v>
      </c>
      <c r="K265">
        <v>8</v>
      </c>
      <c r="L265">
        <v>4</v>
      </c>
      <c r="M265">
        <v>43</v>
      </c>
      <c r="N265">
        <v>23</v>
      </c>
      <c r="O265">
        <v>16</v>
      </c>
      <c r="P265">
        <v>19</v>
      </c>
      <c r="Q265">
        <v>619</v>
      </c>
      <c r="R265">
        <v>626</v>
      </c>
      <c r="S265" t="str">
        <v>No</v>
      </c>
      <c r="T265">
        <v>0.93</v>
      </c>
      <c r="U265">
        <v>2024</v>
      </c>
      <c r="V265">
        <v>45819</v>
      </c>
      <c r="W265">
        <v>20</v>
      </c>
      <c r="X265" t="str">
        <v>Stories</v>
      </c>
      <c r="Y265" t="str">
        <v>Tech</v>
      </c>
      <c r="Z265" t="str">
        <v>Private</v>
      </c>
      <c r="AA265" t="str">
        <v>Yes</v>
      </c>
      <c r="AB265" t="str">
        <v>No</v>
      </c>
      <c r="AC265">
        <v>1</v>
      </c>
      <c r="AD265" t="str">
        <v>Free</v>
      </c>
      <c r="AE265">
        <v>1.33</v>
      </c>
      <c r="AF265" s="14">
        <f t="shared" si="4"/>
        <v>0.98881789137380194</v>
      </c>
    </row>
    <row r="266" spans="1:32" x14ac:dyDescent="0.2">
      <c r="A266">
        <v>265</v>
      </c>
      <c r="B266" cm="1">
        <f t="array" ref="B266:AE266">_xlfn.XLOOKUP($A266,Instagram_Usage_Lifestyle_Mini_!$A:$A,Instagram_Usage_Lifestyle_Mini_!$AC:$BF)</f>
        <v>126</v>
      </c>
      <c r="C266">
        <v>4</v>
      </c>
      <c r="D266">
        <v>4</v>
      </c>
      <c r="E266">
        <v>197</v>
      </c>
      <c r="F266">
        <v>83</v>
      </c>
      <c r="G266">
        <v>85</v>
      </c>
      <c r="H266">
        <v>22</v>
      </c>
      <c r="I266">
        <v>23</v>
      </c>
      <c r="J266">
        <v>26</v>
      </c>
      <c r="K266">
        <v>14</v>
      </c>
      <c r="L266">
        <v>1</v>
      </c>
      <c r="M266">
        <v>69</v>
      </c>
      <c r="N266">
        <v>34</v>
      </c>
      <c r="O266">
        <v>30</v>
      </c>
      <c r="P266">
        <v>46</v>
      </c>
      <c r="Q266">
        <v>952</v>
      </c>
      <c r="R266">
        <v>2307</v>
      </c>
      <c r="S266" t="str">
        <v>No</v>
      </c>
      <c r="T266">
        <v>0.94</v>
      </c>
      <c r="U266">
        <v>2023</v>
      </c>
      <c r="V266">
        <v>45839</v>
      </c>
      <c r="W266">
        <v>31.5</v>
      </c>
      <c r="X266" t="str">
        <v>Reels</v>
      </c>
      <c r="Y266" t="str">
        <v>Tech</v>
      </c>
      <c r="Z266" t="str">
        <v>Friends_only</v>
      </c>
      <c r="AA266" t="str">
        <v>Yes</v>
      </c>
      <c r="AB266" t="str">
        <v>No</v>
      </c>
      <c r="AC266">
        <v>1</v>
      </c>
      <c r="AD266" t="str">
        <v>Premium</v>
      </c>
      <c r="AE266">
        <v>1.1100000000000001</v>
      </c>
      <c r="AF266" s="14">
        <f t="shared" si="4"/>
        <v>0.4126571304724751</v>
      </c>
    </row>
    <row r="267" spans="1:32" x14ac:dyDescent="0.2">
      <c r="A267">
        <v>266</v>
      </c>
      <c r="B267" cm="1">
        <f t="array" ref="B267:AE267">_xlfn.XLOOKUP($A267,Instagram_Usage_Lifestyle_Mini_!$A:$A,Instagram_Usage_Lifestyle_Mini_!$AC:$BF)</f>
        <v>86</v>
      </c>
      <c r="C267">
        <v>3</v>
      </c>
      <c r="D267">
        <v>0</v>
      </c>
      <c r="E267">
        <v>192</v>
      </c>
      <c r="F267">
        <v>65</v>
      </c>
      <c r="G267">
        <v>83</v>
      </c>
      <c r="H267">
        <v>21</v>
      </c>
      <c r="I267">
        <v>17</v>
      </c>
      <c r="J267">
        <v>25</v>
      </c>
      <c r="K267">
        <v>13</v>
      </c>
      <c r="L267">
        <v>2</v>
      </c>
      <c r="M267">
        <v>36</v>
      </c>
      <c r="N267">
        <v>18</v>
      </c>
      <c r="O267">
        <v>14</v>
      </c>
      <c r="P267">
        <v>21</v>
      </c>
      <c r="Q267">
        <v>2318</v>
      </c>
      <c r="R267">
        <v>5260</v>
      </c>
      <c r="S267" t="str">
        <v>No</v>
      </c>
      <c r="T267">
        <v>0.62</v>
      </c>
      <c r="U267">
        <v>2017</v>
      </c>
      <c r="V267">
        <v>45750</v>
      </c>
      <c r="W267">
        <v>28.7</v>
      </c>
      <c r="X267" t="str">
        <v>Live</v>
      </c>
      <c r="Y267" t="str">
        <v>Fitness</v>
      </c>
      <c r="Z267" t="str">
        <v>Friends_only</v>
      </c>
      <c r="AA267" t="str">
        <v>Yes</v>
      </c>
      <c r="AB267" t="str">
        <v>No</v>
      </c>
      <c r="AC267">
        <v>0</v>
      </c>
      <c r="AD267" t="str">
        <v>Business</v>
      </c>
      <c r="AE267">
        <v>1.44</v>
      </c>
      <c r="AF267" s="14">
        <f t="shared" si="4"/>
        <v>0.44068441064638786</v>
      </c>
    </row>
    <row r="268" spans="1:32" x14ac:dyDescent="0.2">
      <c r="A268">
        <v>267</v>
      </c>
      <c r="B268" cm="1">
        <f t="array" ref="B268:AE268">_xlfn.XLOOKUP($A268,Instagram_Usage_Lifestyle_Mini_!$A:$A,Instagram_Usage_Lifestyle_Mini_!$AC:$BF)</f>
        <v>42</v>
      </c>
      <c r="C268">
        <v>1</v>
      </c>
      <c r="D268">
        <v>3</v>
      </c>
      <c r="E268">
        <v>58</v>
      </c>
      <c r="F268">
        <v>38</v>
      </c>
      <c r="G268">
        <v>46</v>
      </c>
      <c r="H268">
        <v>14</v>
      </c>
      <c r="I268">
        <v>12</v>
      </c>
      <c r="J268">
        <v>14</v>
      </c>
      <c r="K268">
        <v>15</v>
      </c>
      <c r="L268">
        <v>4</v>
      </c>
      <c r="M268">
        <v>21</v>
      </c>
      <c r="N268">
        <v>11</v>
      </c>
      <c r="O268">
        <v>5</v>
      </c>
      <c r="P268">
        <v>12</v>
      </c>
      <c r="Q268">
        <v>2480</v>
      </c>
      <c r="R268">
        <v>4886</v>
      </c>
      <c r="S268" t="str">
        <v>No</v>
      </c>
      <c r="T268">
        <v>0.25</v>
      </c>
      <c r="U268">
        <v>2019</v>
      </c>
      <c r="V268">
        <v>45995</v>
      </c>
      <c r="W268">
        <v>42</v>
      </c>
      <c r="X268" t="str">
        <v>Videos</v>
      </c>
      <c r="Y268" t="str">
        <v>Tech</v>
      </c>
      <c r="Z268" t="str">
        <v>Public</v>
      </c>
      <c r="AA268" t="str">
        <v>No</v>
      </c>
      <c r="AB268" t="str">
        <v>Yes</v>
      </c>
      <c r="AC268">
        <v>3</v>
      </c>
      <c r="AD268" t="str">
        <v>Premium</v>
      </c>
      <c r="AE268">
        <v>1.93</v>
      </c>
      <c r="AF268" s="14">
        <f t="shared" si="4"/>
        <v>0.50757265656979123</v>
      </c>
    </row>
    <row r="269" spans="1:32" x14ac:dyDescent="0.2">
      <c r="A269">
        <v>268</v>
      </c>
      <c r="B269" cm="1">
        <f t="array" ref="B269:AE269">_xlfn.XLOOKUP($A269,Instagram_Usage_Lifestyle_Mini_!$A:$A,Instagram_Usage_Lifestyle_Mini_!$AC:$BF)</f>
        <v>271</v>
      </c>
      <c r="C269">
        <v>13</v>
      </c>
      <c r="D269">
        <v>12</v>
      </c>
      <c r="E269">
        <v>263</v>
      </c>
      <c r="F269">
        <v>125</v>
      </c>
      <c r="G269">
        <v>159</v>
      </c>
      <c r="H269">
        <v>48</v>
      </c>
      <c r="I269">
        <v>41</v>
      </c>
      <c r="J269">
        <v>47</v>
      </c>
      <c r="K269">
        <v>35</v>
      </c>
      <c r="L269">
        <v>2</v>
      </c>
      <c r="M269">
        <v>122</v>
      </c>
      <c r="N269">
        <v>77</v>
      </c>
      <c r="O269">
        <v>56</v>
      </c>
      <c r="P269">
        <v>79</v>
      </c>
      <c r="Q269">
        <v>1282</v>
      </c>
      <c r="R269">
        <v>2995</v>
      </c>
      <c r="S269" t="str">
        <v>No</v>
      </c>
      <c r="T269">
        <v>0.5</v>
      </c>
      <c r="U269">
        <v>2023</v>
      </c>
      <c r="V269">
        <v>46005</v>
      </c>
      <c r="W269">
        <v>20.8</v>
      </c>
      <c r="X269" t="str">
        <v>Videos</v>
      </c>
      <c r="Y269" t="str">
        <v>Fashion</v>
      </c>
      <c r="Z269" t="str">
        <v>Private</v>
      </c>
      <c r="AA269" t="str">
        <v>Yes</v>
      </c>
      <c r="AB269" t="str">
        <v>No</v>
      </c>
      <c r="AC269">
        <v>3</v>
      </c>
      <c r="AD269" t="str">
        <v>Business</v>
      </c>
      <c r="AE269">
        <v>1.07</v>
      </c>
      <c r="AF269" s="14">
        <f t="shared" si="4"/>
        <v>0.42804674457429048</v>
      </c>
    </row>
    <row r="270" spans="1:32" x14ac:dyDescent="0.2">
      <c r="A270">
        <v>269</v>
      </c>
      <c r="B270" cm="1">
        <f t="array" ref="B270:AE270">_xlfn.XLOOKUP($A270,Instagram_Usage_Lifestyle_Mini_!$A:$A,Instagram_Usage_Lifestyle_Mini_!$AC:$BF)</f>
        <v>127</v>
      </c>
      <c r="C270">
        <v>10</v>
      </c>
      <c r="D270">
        <v>4</v>
      </c>
      <c r="E270">
        <v>129</v>
      </c>
      <c r="F270">
        <v>89</v>
      </c>
      <c r="G270">
        <v>99</v>
      </c>
      <c r="H270">
        <v>27</v>
      </c>
      <c r="I270">
        <v>27</v>
      </c>
      <c r="J270">
        <v>14</v>
      </c>
      <c r="K270">
        <v>15</v>
      </c>
      <c r="L270">
        <v>4</v>
      </c>
      <c r="M270">
        <v>74</v>
      </c>
      <c r="N270">
        <v>30</v>
      </c>
      <c r="O270">
        <v>18</v>
      </c>
      <c r="P270">
        <v>46</v>
      </c>
      <c r="Q270">
        <v>799</v>
      </c>
      <c r="R270">
        <v>554</v>
      </c>
      <c r="S270" t="str">
        <v>No</v>
      </c>
      <c r="T270">
        <v>0.75</v>
      </c>
      <c r="U270">
        <v>2010</v>
      </c>
      <c r="V270">
        <v>45692</v>
      </c>
      <c r="W270">
        <v>12.7</v>
      </c>
      <c r="X270" t="str">
        <v>Stories</v>
      </c>
      <c r="Y270" t="str">
        <v>Food</v>
      </c>
      <c r="Z270" t="str">
        <v>Friends_only</v>
      </c>
      <c r="AA270" t="str">
        <v>Yes</v>
      </c>
      <c r="AB270" t="str">
        <v>Yes</v>
      </c>
      <c r="AC270">
        <v>5</v>
      </c>
      <c r="AD270" t="str">
        <v>Free</v>
      </c>
      <c r="AE270">
        <v>1.29</v>
      </c>
      <c r="AF270" s="14">
        <f t="shared" si="4"/>
        <v>1.4422382671480145</v>
      </c>
    </row>
    <row r="271" spans="1:32" x14ac:dyDescent="0.2">
      <c r="A271">
        <v>270</v>
      </c>
      <c r="B271" cm="1">
        <f t="array" ref="B271:AE271">_xlfn.XLOOKUP($A271,Instagram_Usage_Lifestyle_Mini_!$A:$A,Instagram_Usage_Lifestyle_Mini_!$AC:$BF)</f>
        <v>315</v>
      </c>
      <c r="C271">
        <v>12</v>
      </c>
      <c r="D271">
        <v>1</v>
      </c>
      <c r="E271">
        <v>224</v>
      </c>
      <c r="F271">
        <v>150</v>
      </c>
      <c r="G271">
        <v>194</v>
      </c>
      <c r="H271">
        <v>51</v>
      </c>
      <c r="I271">
        <v>28</v>
      </c>
      <c r="J271">
        <v>46</v>
      </c>
      <c r="K271">
        <v>30</v>
      </c>
      <c r="L271">
        <v>8</v>
      </c>
      <c r="M271">
        <v>135</v>
      </c>
      <c r="N271">
        <v>46</v>
      </c>
      <c r="O271">
        <v>35</v>
      </c>
      <c r="P271">
        <v>99</v>
      </c>
      <c r="Q271">
        <v>8670</v>
      </c>
      <c r="R271">
        <v>6152</v>
      </c>
      <c r="S271" t="str">
        <v>No</v>
      </c>
      <c r="T271">
        <v>0.39</v>
      </c>
      <c r="U271">
        <v>2011</v>
      </c>
      <c r="V271">
        <v>45931</v>
      </c>
      <c r="W271">
        <v>26.2</v>
      </c>
      <c r="X271" t="str">
        <v>Mixed</v>
      </c>
      <c r="Y271" t="str">
        <v>Other</v>
      </c>
      <c r="Z271" t="str">
        <v>Friends_only</v>
      </c>
      <c r="AA271" t="str">
        <v>Yes</v>
      </c>
      <c r="AB271" t="str">
        <v>Yes</v>
      </c>
      <c r="AC271">
        <v>5</v>
      </c>
      <c r="AD271" t="str">
        <v>Free</v>
      </c>
      <c r="AE271">
        <v>0.95</v>
      </c>
      <c r="AF271" s="14">
        <f t="shared" si="4"/>
        <v>1.4092977893368011</v>
      </c>
    </row>
    <row r="272" spans="1:32" x14ac:dyDescent="0.2">
      <c r="A272">
        <v>271</v>
      </c>
      <c r="B272" cm="1">
        <f t="array" ref="B272:AE272">_xlfn.XLOOKUP($A272,Instagram_Usage_Lifestyle_Mini_!$A:$A,Instagram_Usage_Lifestyle_Mini_!$AC:$BF)</f>
        <v>300</v>
      </c>
      <c r="C272">
        <v>18</v>
      </c>
      <c r="D272">
        <v>9</v>
      </c>
      <c r="E272">
        <v>234</v>
      </c>
      <c r="F272">
        <v>150</v>
      </c>
      <c r="G272">
        <v>166</v>
      </c>
      <c r="H272">
        <v>70</v>
      </c>
      <c r="I272">
        <v>45</v>
      </c>
      <c r="J272">
        <v>44</v>
      </c>
      <c r="K272">
        <v>24</v>
      </c>
      <c r="L272">
        <v>9</v>
      </c>
      <c r="M272">
        <v>167</v>
      </c>
      <c r="N272">
        <v>49</v>
      </c>
      <c r="O272">
        <v>70</v>
      </c>
      <c r="P272">
        <v>92</v>
      </c>
      <c r="Q272">
        <v>1145</v>
      </c>
      <c r="R272">
        <v>719</v>
      </c>
      <c r="S272" t="str">
        <v>Yes</v>
      </c>
      <c r="T272">
        <v>0.21</v>
      </c>
      <c r="U272">
        <v>2024</v>
      </c>
      <c r="V272">
        <v>45828</v>
      </c>
      <c r="W272">
        <v>16.7</v>
      </c>
      <c r="X272" t="str">
        <v>Live</v>
      </c>
      <c r="Y272" t="str">
        <v>Travel</v>
      </c>
      <c r="Z272" t="str">
        <v>Friends_only</v>
      </c>
      <c r="AA272" t="str">
        <v>Yes</v>
      </c>
      <c r="AB272" t="str">
        <v>No</v>
      </c>
      <c r="AC272">
        <v>1</v>
      </c>
      <c r="AD272" t="str">
        <v>Business</v>
      </c>
      <c r="AE272">
        <v>1.1100000000000001</v>
      </c>
      <c r="AF272" s="14">
        <f t="shared" si="4"/>
        <v>1.5924895688456189</v>
      </c>
    </row>
    <row r="273" spans="1:32" x14ac:dyDescent="0.2">
      <c r="A273">
        <v>272</v>
      </c>
      <c r="B273" cm="1">
        <f t="array" ref="B273:AE273">_xlfn.XLOOKUP($A273,Instagram_Usage_Lifestyle_Mini_!$A:$A,Instagram_Usage_Lifestyle_Mini_!$AC:$BF)</f>
        <v>352</v>
      </c>
      <c r="C273">
        <v>38</v>
      </c>
      <c r="D273">
        <v>5</v>
      </c>
      <c r="E273">
        <v>248</v>
      </c>
      <c r="F273">
        <v>150</v>
      </c>
      <c r="G273">
        <v>191</v>
      </c>
      <c r="H273">
        <v>58</v>
      </c>
      <c r="I273">
        <v>31</v>
      </c>
      <c r="J273">
        <v>53</v>
      </c>
      <c r="K273">
        <v>40</v>
      </c>
      <c r="L273">
        <v>5</v>
      </c>
      <c r="M273">
        <v>192</v>
      </c>
      <c r="N273">
        <v>98</v>
      </c>
      <c r="O273">
        <v>67</v>
      </c>
      <c r="P273">
        <v>126</v>
      </c>
      <c r="Q273">
        <v>4200</v>
      </c>
      <c r="R273">
        <v>9390</v>
      </c>
      <c r="S273" t="str">
        <v>No</v>
      </c>
      <c r="T273">
        <v>0.53</v>
      </c>
      <c r="U273">
        <v>2017</v>
      </c>
      <c r="V273">
        <v>45908</v>
      </c>
      <c r="W273">
        <v>9.3000000000000007</v>
      </c>
      <c r="X273" t="str">
        <v>Photos</v>
      </c>
      <c r="Y273" t="str">
        <v>Food</v>
      </c>
      <c r="Z273" t="str">
        <v>Private</v>
      </c>
      <c r="AA273" t="str">
        <v>Yes</v>
      </c>
      <c r="AB273" t="str">
        <v>No</v>
      </c>
      <c r="AC273">
        <v>2</v>
      </c>
      <c r="AD273" t="str">
        <v>Free</v>
      </c>
      <c r="AE273">
        <v>0.91</v>
      </c>
      <c r="AF273" s="14">
        <f t="shared" si="4"/>
        <v>0.4472843450479233</v>
      </c>
    </row>
    <row r="274" spans="1:32" x14ac:dyDescent="0.2">
      <c r="A274">
        <v>273</v>
      </c>
      <c r="B274" cm="1">
        <f t="array" ref="B274:AE274">_xlfn.XLOOKUP($A274,Instagram_Usage_Lifestyle_Mini_!$A:$A,Instagram_Usage_Lifestyle_Mini_!$AC:$BF)</f>
        <v>163</v>
      </c>
      <c r="C274">
        <v>18</v>
      </c>
      <c r="D274">
        <v>7</v>
      </c>
      <c r="E274">
        <v>231</v>
      </c>
      <c r="F274">
        <v>100</v>
      </c>
      <c r="G274">
        <v>102</v>
      </c>
      <c r="H274">
        <v>36</v>
      </c>
      <c r="I274">
        <v>24</v>
      </c>
      <c r="J274">
        <v>23</v>
      </c>
      <c r="K274">
        <v>20</v>
      </c>
      <c r="L274">
        <v>1</v>
      </c>
      <c r="M274">
        <v>73</v>
      </c>
      <c r="N274">
        <v>26</v>
      </c>
      <c r="O274">
        <v>38</v>
      </c>
      <c r="P274">
        <v>58</v>
      </c>
      <c r="Q274">
        <v>1615</v>
      </c>
      <c r="R274">
        <v>3308</v>
      </c>
      <c r="S274" t="str">
        <v>No</v>
      </c>
      <c r="T274">
        <v>0.28999999999999998</v>
      </c>
      <c r="U274">
        <v>2017</v>
      </c>
      <c r="V274">
        <v>45817</v>
      </c>
      <c r="W274">
        <v>9.1</v>
      </c>
      <c r="X274" t="str">
        <v>Live</v>
      </c>
      <c r="Y274" t="str">
        <v>Tech</v>
      </c>
      <c r="Z274" t="str">
        <v>Private</v>
      </c>
      <c r="AA274" t="str">
        <v>Yes</v>
      </c>
      <c r="AB274" t="str">
        <v>No</v>
      </c>
      <c r="AC274">
        <v>4</v>
      </c>
      <c r="AD274" t="str">
        <v>Free</v>
      </c>
      <c r="AE274">
        <v>1.19</v>
      </c>
      <c r="AF274" s="14">
        <f t="shared" si="4"/>
        <v>0.48821039903264812</v>
      </c>
    </row>
    <row r="275" spans="1:32" x14ac:dyDescent="0.2">
      <c r="A275">
        <v>274</v>
      </c>
      <c r="B275" cm="1">
        <f t="array" ref="B275:AE275">_xlfn.XLOOKUP($A275,Instagram_Usage_Lifestyle_Mini_!$A:$A,Instagram_Usage_Lifestyle_Mini_!$AC:$BF)</f>
        <v>355</v>
      </c>
      <c r="C275">
        <v>16</v>
      </c>
      <c r="D275">
        <v>10</v>
      </c>
      <c r="E275">
        <v>232</v>
      </c>
      <c r="F275">
        <v>150</v>
      </c>
      <c r="G275">
        <v>183</v>
      </c>
      <c r="H275">
        <v>62</v>
      </c>
      <c r="I275">
        <v>49</v>
      </c>
      <c r="J275">
        <v>44</v>
      </c>
      <c r="K275">
        <v>38</v>
      </c>
      <c r="L275">
        <v>9</v>
      </c>
      <c r="M275">
        <v>179</v>
      </c>
      <c r="N275">
        <v>100</v>
      </c>
      <c r="O275">
        <v>43</v>
      </c>
      <c r="P275">
        <v>121</v>
      </c>
      <c r="Q275">
        <v>318</v>
      </c>
      <c r="R275">
        <v>424</v>
      </c>
      <c r="S275" t="str">
        <v>Yes</v>
      </c>
      <c r="T275">
        <v>0.16</v>
      </c>
      <c r="U275">
        <v>2016</v>
      </c>
      <c r="V275">
        <v>45968</v>
      </c>
      <c r="W275">
        <v>22.2</v>
      </c>
      <c r="X275" t="str">
        <v>Photos</v>
      </c>
      <c r="Y275" t="str">
        <v>Food</v>
      </c>
      <c r="Z275" t="str">
        <v>Public</v>
      </c>
      <c r="AA275" t="str">
        <v>Yes</v>
      </c>
      <c r="AB275" t="str">
        <v>No</v>
      </c>
      <c r="AC275">
        <v>1</v>
      </c>
      <c r="AD275" t="str">
        <v>Free</v>
      </c>
      <c r="AE275">
        <v>0.95</v>
      </c>
      <c r="AF275" s="14">
        <f t="shared" si="4"/>
        <v>0.75</v>
      </c>
    </row>
    <row r="276" spans="1:32" x14ac:dyDescent="0.2">
      <c r="A276">
        <v>275</v>
      </c>
      <c r="B276" cm="1">
        <f t="array" ref="B276:AE276">_xlfn.XLOOKUP($A276,Instagram_Usage_Lifestyle_Mini_!$A:$A,Instagram_Usage_Lifestyle_Mini_!$AC:$BF)</f>
        <v>152</v>
      </c>
      <c r="C276">
        <v>6</v>
      </c>
      <c r="D276">
        <v>3</v>
      </c>
      <c r="E276">
        <v>115</v>
      </c>
      <c r="F276">
        <v>98</v>
      </c>
      <c r="G276">
        <v>112</v>
      </c>
      <c r="H276">
        <v>17</v>
      </c>
      <c r="I276">
        <v>20</v>
      </c>
      <c r="J276">
        <v>31</v>
      </c>
      <c r="K276">
        <v>19</v>
      </c>
      <c r="L276">
        <v>2</v>
      </c>
      <c r="M276">
        <v>87</v>
      </c>
      <c r="N276">
        <v>24</v>
      </c>
      <c r="O276">
        <v>24</v>
      </c>
      <c r="P276">
        <v>43</v>
      </c>
      <c r="Q276">
        <v>4567</v>
      </c>
      <c r="R276">
        <v>5905</v>
      </c>
      <c r="S276" t="str">
        <v>Yes</v>
      </c>
      <c r="T276">
        <v>0.53</v>
      </c>
      <c r="U276">
        <v>2015</v>
      </c>
      <c r="V276">
        <v>46024</v>
      </c>
      <c r="W276">
        <v>25.3</v>
      </c>
      <c r="X276" t="str">
        <v>Photos</v>
      </c>
      <c r="Y276" t="str">
        <v>Art</v>
      </c>
      <c r="Z276" t="str">
        <v>Friends_only</v>
      </c>
      <c r="AA276" t="str">
        <v>Yes</v>
      </c>
      <c r="AB276" t="str">
        <v>No</v>
      </c>
      <c r="AC276">
        <v>2</v>
      </c>
      <c r="AD276" t="str">
        <v>Free</v>
      </c>
      <c r="AE276">
        <v>1.01</v>
      </c>
      <c r="AF276" s="14">
        <f t="shared" si="4"/>
        <v>0.77341236240474176</v>
      </c>
    </row>
    <row r="277" spans="1:32" x14ac:dyDescent="0.2">
      <c r="A277">
        <v>276</v>
      </c>
      <c r="B277" cm="1">
        <f t="array" ref="B277:AE277">_xlfn.XLOOKUP($A277,Instagram_Usage_Lifestyle_Mini_!$A:$A,Instagram_Usage_Lifestyle_Mini_!$AC:$BF)</f>
        <v>214</v>
      </c>
      <c r="C277">
        <v>8</v>
      </c>
      <c r="D277">
        <v>6</v>
      </c>
      <c r="E277">
        <v>176</v>
      </c>
      <c r="F277">
        <v>114</v>
      </c>
      <c r="G277">
        <v>134</v>
      </c>
      <c r="H277">
        <v>33</v>
      </c>
      <c r="I277">
        <v>28</v>
      </c>
      <c r="J277">
        <v>35</v>
      </c>
      <c r="K277">
        <v>22</v>
      </c>
      <c r="L277">
        <v>6</v>
      </c>
      <c r="M277">
        <v>93</v>
      </c>
      <c r="N277">
        <v>38</v>
      </c>
      <c r="O277">
        <v>26</v>
      </c>
      <c r="P277">
        <v>80</v>
      </c>
      <c r="Q277">
        <v>2673</v>
      </c>
      <c r="R277">
        <v>1318</v>
      </c>
      <c r="S277" t="str">
        <v>No</v>
      </c>
      <c r="T277">
        <v>0.17</v>
      </c>
      <c r="U277">
        <v>2013</v>
      </c>
      <c r="V277">
        <v>45702</v>
      </c>
      <c r="W277">
        <v>26.8</v>
      </c>
      <c r="X277" t="str">
        <v>Live</v>
      </c>
      <c r="Y277" t="str">
        <v>Fitness</v>
      </c>
      <c r="Z277" t="str">
        <v>Private</v>
      </c>
      <c r="AA277" t="str">
        <v>Yes</v>
      </c>
      <c r="AB277" t="str">
        <v>No</v>
      </c>
      <c r="AC277">
        <v>2</v>
      </c>
      <c r="AD277" t="str">
        <v>Business</v>
      </c>
      <c r="AE277">
        <v>1.01</v>
      </c>
      <c r="AF277" s="14">
        <f t="shared" si="4"/>
        <v>2.0280728376327768</v>
      </c>
    </row>
    <row r="278" spans="1:32" x14ac:dyDescent="0.2">
      <c r="A278">
        <v>277</v>
      </c>
      <c r="B278" cm="1">
        <f t="array" ref="B278:AE278">_xlfn.XLOOKUP($A278,Instagram_Usage_Lifestyle_Mini_!$A:$A,Instagram_Usage_Lifestyle_Mini_!$AC:$BF)</f>
        <v>275</v>
      </c>
      <c r="C278">
        <v>13</v>
      </c>
      <c r="D278">
        <v>12</v>
      </c>
      <c r="E278">
        <v>261</v>
      </c>
      <c r="F278">
        <v>124</v>
      </c>
      <c r="G278">
        <v>146</v>
      </c>
      <c r="H278">
        <v>54</v>
      </c>
      <c r="I278">
        <v>31</v>
      </c>
      <c r="J278">
        <v>44</v>
      </c>
      <c r="K278">
        <v>26</v>
      </c>
      <c r="L278">
        <v>8</v>
      </c>
      <c r="M278">
        <v>163</v>
      </c>
      <c r="N278">
        <v>69</v>
      </c>
      <c r="O278">
        <v>57</v>
      </c>
      <c r="P278">
        <v>108</v>
      </c>
      <c r="Q278">
        <v>2255</v>
      </c>
      <c r="R278">
        <v>2854</v>
      </c>
      <c r="S278" t="str">
        <v>Yes</v>
      </c>
      <c r="T278">
        <v>0.28000000000000003</v>
      </c>
      <c r="U278">
        <v>2017</v>
      </c>
      <c r="V278">
        <v>45863</v>
      </c>
      <c r="W278">
        <v>21.2</v>
      </c>
      <c r="X278" t="str">
        <v>Videos</v>
      </c>
      <c r="Y278" t="str">
        <v>Other</v>
      </c>
      <c r="Z278" t="str">
        <v>Public</v>
      </c>
      <c r="AA278" t="str">
        <v>Yes</v>
      </c>
      <c r="AB278" t="str">
        <v>No</v>
      </c>
      <c r="AC278">
        <v>0</v>
      </c>
      <c r="AD278" t="str">
        <v>Premium</v>
      </c>
      <c r="AE278">
        <v>1.05</v>
      </c>
      <c r="AF278" s="14">
        <f t="shared" si="4"/>
        <v>0.79011913104414855</v>
      </c>
    </row>
    <row r="279" spans="1:32" x14ac:dyDescent="0.2">
      <c r="A279">
        <v>278</v>
      </c>
      <c r="B279" cm="1">
        <f t="array" ref="B279:AE279">_xlfn.XLOOKUP($A279,Instagram_Usage_Lifestyle_Mini_!$A:$A,Instagram_Usage_Lifestyle_Mini_!$AC:$BF)</f>
        <v>325</v>
      </c>
      <c r="C279">
        <v>30</v>
      </c>
      <c r="D279">
        <v>5</v>
      </c>
      <c r="E279">
        <v>258</v>
      </c>
      <c r="F279">
        <v>150</v>
      </c>
      <c r="G279">
        <v>203</v>
      </c>
      <c r="H279">
        <v>47</v>
      </c>
      <c r="I279">
        <v>43</v>
      </c>
      <c r="J279">
        <v>43</v>
      </c>
      <c r="K279">
        <v>23</v>
      </c>
      <c r="L279">
        <v>4</v>
      </c>
      <c r="M279">
        <v>130</v>
      </c>
      <c r="N279">
        <v>73</v>
      </c>
      <c r="O279">
        <v>57</v>
      </c>
      <c r="P279">
        <v>70</v>
      </c>
      <c r="Q279">
        <v>6023</v>
      </c>
      <c r="R279">
        <v>10000</v>
      </c>
      <c r="S279" t="str">
        <v>Yes</v>
      </c>
      <c r="T279">
        <v>0.28000000000000003</v>
      </c>
      <c r="U279">
        <v>2015</v>
      </c>
      <c r="V279">
        <v>45708</v>
      </c>
      <c r="W279">
        <v>10.8</v>
      </c>
      <c r="X279" t="str">
        <v>Stories</v>
      </c>
      <c r="Y279" t="str">
        <v>Art</v>
      </c>
      <c r="Z279" t="str">
        <v>Friends_only</v>
      </c>
      <c r="AA279" t="str">
        <v>Yes</v>
      </c>
      <c r="AB279" t="str">
        <v>No</v>
      </c>
      <c r="AC279">
        <v>2</v>
      </c>
      <c r="AD279" t="str">
        <v>Business</v>
      </c>
      <c r="AE279">
        <v>0.96</v>
      </c>
      <c r="AF279" s="14">
        <f t="shared" si="4"/>
        <v>0.60229999999999995</v>
      </c>
    </row>
    <row r="280" spans="1:32" x14ac:dyDescent="0.2">
      <c r="A280">
        <v>279</v>
      </c>
      <c r="B280" cm="1">
        <f t="array" ref="B280:AE280">_xlfn.XLOOKUP($A280,Instagram_Usage_Lifestyle_Mini_!$A:$A,Instagram_Usage_Lifestyle_Mini_!$AC:$BF)</f>
        <v>370</v>
      </c>
      <c r="C280">
        <v>25</v>
      </c>
      <c r="D280">
        <v>13</v>
      </c>
      <c r="E280">
        <v>258</v>
      </c>
      <c r="F280">
        <v>150</v>
      </c>
      <c r="G280">
        <v>207</v>
      </c>
      <c r="H280">
        <v>69</v>
      </c>
      <c r="I280">
        <v>54</v>
      </c>
      <c r="J280">
        <v>52</v>
      </c>
      <c r="K280">
        <v>32</v>
      </c>
      <c r="L280">
        <v>7</v>
      </c>
      <c r="M280">
        <v>168</v>
      </c>
      <c r="N280">
        <v>105</v>
      </c>
      <c r="O280">
        <v>61</v>
      </c>
      <c r="P280">
        <v>75</v>
      </c>
      <c r="Q280">
        <v>11776</v>
      </c>
      <c r="R280">
        <v>10000</v>
      </c>
      <c r="S280" t="str">
        <v>No</v>
      </c>
      <c r="T280">
        <v>0.69</v>
      </c>
      <c r="U280">
        <v>2013</v>
      </c>
      <c r="V280">
        <v>45933</v>
      </c>
      <c r="W280">
        <v>14.8</v>
      </c>
      <c r="X280" t="str">
        <v>Videos</v>
      </c>
      <c r="Y280" t="str">
        <v>Other</v>
      </c>
      <c r="Z280" t="str">
        <v>Private</v>
      </c>
      <c r="AA280" t="str">
        <v>No</v>
      </c>
      <c r="AB280" t="str">
        <v>Yes</v>
      </c>
      <c r="AC280">
        <v>5</v>
      </c>
      <c r="AD280" t="str">
        <v>Free</v>
      </c>
      <c r="AE280">
        <v>1.04</v>
      </c>
      <c r="AF280" s="14">
        <f t="shared" si="4"/>
        <v>1.1776</v>
      </c>
    </row>
    <row r="281" spans="1:32" x14ac:dyDescent="0.2">
      <c r="A281">
        <v>280</v>
      </c>
      <c r="B281" cm="1">
        <f t="array" ref="B281:AE281">_xlfn.XLOOKUP($A281,Instagram_Usage_Lifestyle_Mini_!$A:$A,Instagram_Usage_Lifestyle_Mini_!$AC:$BF)</f>
        <v>5</v>
      </c>
      <c r="C281">
        <v>1</v>
      </c>
      <c r="D281">
        <v>2</v>
      </c>
      <c r="E281">
        <v>32</v>
      </c>
      <c r="F281">
        <v>31</v>
      </c>
      <c r="G281">
        <v>24</v>
      </c>
      <c r="H281">
        <v>7</v>
      </c>
      <c r="I281">
        <v>7</v>
      </c>
      <c r="J281">
        <v>4</v>
      </c>
      <c r="K281">
        <v>5</v>
      </c>
      <c r="L281">
        <v>1</v>
      </c>
      <c r="M281">
        <v>3</v>
      </c>
      <c r="N281">
        <v>1</v>
      </c>
      <c r="O281">
        <v>1</v>
      </c>
      <c r="P281">
        <v>2</v>
      </c>
      <c r="Q281">
        <v>2273</v>
      </c>
      <c r="R281">
        <v>3922</v>
      </c>
      <c r="S281" t="str">
        <v>No</v>
      </c>
      <c r="T281">
        <v>0.18</v>
      </c>
      <c r="U281">
        <v>2025</v>
      </c>
      <c r="V281">
        <v>45918</v>
      </c>
      <c r="W281">
        <v>5</v>
      </c>
      <c r="X281" t="str">
        <v>Reels</v>
      </c>
      <c r="Y281" t="str">
        <v>Other</v>
      </c>
      <c r="Z281" t="str">
        <v>Public</v>
      </c>
      <c r="AA281" t="str">
        <v>Yes</v>
      </c>
      <c r="AB281" t="str">
        <v>Yes</v>
      </c>
      <c r="AC281">
        <v>3</v>
      </c>
      <c r="AD281" t="str">
        <v>Free</v>
      </c>
      <c r="AE281">
        <v>7.33</v>
      </c>
      <c r="AF281" s="14">
        <f t="shared" si="4"/>
        <v>0.57955124936257008</v>
      </c>
    </row>
    <row r="282" spans="1:32" x14ac:dyDescent="0.2">
      <c r="A282">
        <v>281</v>
      </c>
      <c r="B282" cm="1">
        <f t="array" ref="B282:AE282">_xlfn.XLOOKUP($A282,Instagram_Usage_Lifestyle_Mini_!$A:$A,Instagram_Usage_Lifestyle_Mini_!$AC:$BF)</f>
        <v>214</v>
      </c>
      <c r="C282">
        <v>7</v>
      </c>
      <c r="D282">
        <v>11</v>
      </c>
      <c r="E282">
        <v>160</v>
      </c>
      <c r="F282">
        <v>116</v>
      </c>
      <c r="G282">
        <v>154</v>
      </c>
      <c r="H282">
        <v>36</v>
      </c>
      <c r="I282">
        <v>38</v>
      </c>
      <c r="J282">
        <v>45</v>
      </c>
      <c r="K282">
        <v>17</v>
      </c>
      <c r="L282">
        <v>5</v>
      </c>
      <c r="M282">
        <v>123</v>
      </c>
      <c r="N282">
        <v>34</v>
      </c>
      <c r="O282">
        <v>33</v>
      </c>
      <c r="P282">
        <v>49</v>
      </c>
      <c r="Q282">
        <v>17563</v>
      </c>
      <c r="R282">
        <v>10000</v>
      </c>
      <c r="S282" t="str">
        <v>Yes</v>
      </c>
      <c r="T282">
        <v>0.04</v>
      </c>
      <c r="U282">
        <v>2021</v>
      </c>
      <c r="V282">
        <v>45712</v>
      </c>
      <c r="W282">
        <v>30.6</v>
      </c>
      <c r="X282" t="str">
        <v>Stories</v>
      </c>
      <c r="Y282" t="str">
        <v>Fashion</v>
      </c>
      <c r="Z282" t="str">
        <v>Friends_only</v>
      </c>
      <c r="AA282" t="str">
        <v>Yes</v>
      </c>
      <c r="AB282" t="str">
        <v>No</v>
      </c>
      <c r="AC282">
        <v>1</v>
      </c>
      <c r="AD282" t="str">
        <v>Free</v>
      </c>
      <c r="AE282">
        <v>1.2</v>
      </c>
      <c r="AF282" s="14">
        <f t="shared" si="4"/>
        <v>1.7563</v>
      </c>
    </row>
    <row r="283" spans="1:32" x14ac:dyDescent="0.2">
      <c r="A283">
        <v>282</v>
      </c>
      <c r="B283" cm="1">
        <f t="array" ref="B283:AE283">_xlfn.XLOOKUP($A283,Instagram_Usage_Lifestyle_Mini_!$A:$A,Instagram_Usage_Lifestyle_Mini_!$AC:$BF)</f>
        <v>319</v>
      </c>
      <c r="C283">
        <v>11</v>
      </c>
      <c r="D283">
        <v>5</v>
      </c>
      <c r="E283">
        <v>228</v>
      </c>
      <c r="F283">
        <v>150</v>
      </c>
      <c r="G283">
        <v>171</v>
      </c>
      <c r="H283">
        <v>68</v>
      </c>
      <c r="I283">
        <v>44</v>
      </c>
      <c r="J283">
        <v>43</v>
      </c>
      <c r="K283">
        <v>26</v>
      </c>
      <c r="L283">
        <v>5</v>
      </c>
      <c r="M283">
        <v>149</v>
      </c>
      <c r="N283">
        <v>68</v>
      </c>
      <c r="O283">
        <v>56</v>
      </c>
      <c r="P283">
        <v>118</v>
      </c>
      <c r="Q283">
        <v>86</v>
      </c>
      <c r="R283">
        <v>185</v>
      </c>
      <c r="S283" t="str">
        <v>Yes</v>
      </c>
      <c r="T283">
        <v>0.86</v>
      </c>
      <c r="U283">
        <v>2023</v>
      </c>
      <c r="V283">
        <v>45779</v>
      </c>
      <c r="W283">
        <v>29</v>
      </c>
      <c r="X283" t="str">
        <v>Live</v>
      </c>
      <c r="Y283" t="str">
        <v>Fitness</v>
      </c>
      <c r="Z283" t="str">
        <v>Public</v>
      </c>
      <c r="AA283" t="str">
        <v>No</v>
      </c>
      <c r="AB283" t="str">
        <v>No</v>
      </c>
      <c r="AC283">
        <v>0</v>
      </c>
      <c r="AD283" t="str">
        <v>Free</v>
      </c>
      <c r="AE283">
        <v>1.01</v>
      </c>
      <c r="AF283" s="14">
        <f t="shared" si="4"/>
        <v>0.46486486486486489</v>
      </c>
    </row>
    <row r="284" spans="1:32" x14ac:dyDescent="0.2">
      <c r="A284">
        <v>283</v>
      </c>
      <c r="B284" cm="1">
        <f t="array" ref="B284:AE284">_xlfn.XLOOKUP($A284,Instagram_Usage_Lifestyle_Mini_!$A:$A,Instagram_Usage_Lifestyle_Mini_!$AC:$BF)</f>
        <v>390</v>
      </c>
      <c r="C284">
        <v>33</v>
      </c>
      <c r="D284">
        <v>10</v>
      </c>
      <c r="E284">
        <v>276</v>
      </c>
      <c r="F284">
        <v>150</v>
      </c>
      <c r="G284">
        <v>225</v>
      </c>
      <c r="H284">
        <v>59</v>
      </c>
      <c r="I284">
        <v>41</v>
      </c>
      <c r="J284">
        <v>47</v>
      </c>
      <c r="K284">
        <v>30</v>
      </c>
      <c r="L284">
        <v>15</v>
      </c>
      <c r="M284">
        <v>181</v>
      </c>
      <c r="N284">
        <v>115</v>
      </c>
      <c r="O284">
        <v>89</v>
      </c>
      <c r="P284">
        <v>115</v>
      </c>
      <c r="Q284">
        <v>3177</v>
      </c>
      <c r="R284">
        <v>4678</v>
      </c>
      <c r="S284" t="str">
        <v>No</v>
      </c>
      <c r="T284">
        <v>0.92</v>
      </c>
      <c r="U284">
        <v>2016</v>
      </c>
      <c r="V284">
        <v>45947</v>
      </c>
      <c r="W284">
        <v>11.8</v>
      </c>
      <c r="X284" t="str">
        <v>Live</v>
      </c>
      <c r="Y284" t="str">
        <v>Other</v>
      </c>
      <c r="Z284" t="str">
        <v>Friends_only</v>
      </c>
      <c r="AA284" t="str">
        <v>Yes</v>
      </c>
      <c r="AB284" t="str">
        <v>No</v>
      </c>
      <c r="AC284">
        <v>0</v>
      </c>
      <c r="AD284" t="str">
        <v>Free</v>
      </c>
      <c r="AE284">
        <v>0.95</v>
      </c>
      <c r="AF284" s="14">
        <f t="shared" si="4"/>
        <v>0.67913638306968793</v>
      </c>
    </row>
    <row r="285" spans="1:32" x14ac:dyDescent="0.2">
      <c r="A285">
        <v>284</v>
      </c>
      <c r="B285" cm="1">
        <f t="array" ref="B285:AE285">_xlfn.XLOOKUP($A285,Instagram_Usage_Lifestyle_Mini_!$A:$A,Instagram_Usage_Lifestyle_Mini_!$AC:$BF)</f>
        <v>228</v>
      </c>
      <c r="C285">
        <v>11</v>
      </c>
      <c r="D285">
        <v>8</v>
      </c>
      <c r="E285">
        <v>172</v>
      </c>
      <c r="F285">
        <v>112</v>
      </c>
      <c r="G285">
        <v>150</v>
      </c>
      <c r="H285">
        <v>34</v>
      </c>
      <c r="I285">
        <v>36</v>
      </c>
      <c r="J285">
        <v>29</v>
      </c>
      <c r="K285">
        <v>27</v>
      </c>
      <c r="L285">
        <v>5</v>
      </c>
      <c r="M285">
        <v>107</v>
      </c>
      <c r="N285">
        <v>31</v>
      </c>
      <c r="O285">
        <v>55</v>
      </c>
      <c r="P285">
        <v>63</v>
      </c>
      <c r="Q285">
        <v>124</v>
      </c>
      <c r="R285">
        <v>100</v>
      </c>
      <c r="S285" t="str">
        <v>Yes</v>
      </c>
      <c r="T285">
        <v>0.7</v>
      </c>
      <c r="U285">
        <v>2018</v>
      </c>
      <c r="V285">
        <v>45787</v>
      </c>
      <c r="W285">
        <v>20.7</v>
      </c>
      <c r="X285" t="str">
        <v>Videos</v>
      </c>
      <c r="Y285" t="str">
        <v>Fitness</v>
      </c>
      <c r="Z285" t="str">
        <v>Friends_only</v>
      </c>
      <c r="AA285" t="str">
        <v>No</v>
      </c>
      <c r="AB285" t="str">
        <v>No</v>
      </c>
      <c r="AC285">
        <v>3</v>
      </c>
      <c r="AD285" t="str">
        <v>Free</v>
      </c>
      <c r="AE285">
        <v>1.06</v>
      </c>
      <c r="AF285" s="14">
        <f t="shared" si="4"/>
        <v>1.24</v>
      </c>
    </row>
    <row r="286" spans="1:32" x14ac:dyDescent="0.2">
      <c r="A286">
        <v>285</v>
      </c>
      <c r="B286" cm="1">
        <f t="array" ref="B286:AE286">_xlfn.XLOOKUP($A286,Instagram_Usage_Lifestyle_Mini_!$A:$A,Instagram_Usage_Lifestyle_Mini_!$AC:$BF)</f>
        <v>299</v>
      </c>
      <c r="C286">
        <v>10</v>
      </c>
      <c r="D286">
        <v>12</v>
      </c>
      <c r="E286">
        <v>291</v>
      </c>
      <c r="F286">
        <v>134</v>
      </c>
      <c r="G286">
        <v>171</v>
      </c>
      <c r="H286">
        <v>47</v>
      </c>
      <c r="I286">
        <v>41</v>
      </c>
      <c r="J286">
        <v>45</v>
      </c>
      <c r="K286">
        <v>31</v>
      </c>
      <c r="L286">
        <v>8</v>
      </c>
      <c r="M286">
        <v>152</v>
      </c>
      <c r="N286">
        <v>52</v>
      </c>
      <c r="O286">
        <v>35</v>
      </c>
      <c r="P286">
        <v>114</v>
      </c>
      <c r="Q286">
        <v>408</v>
      </c>
      <c r="R286">
        <v>677</v>
      </c>
      <c r="S286" t="str">
        <v>No</v>
      </c>
      <c r="T286">
        <v>0.27</v>
      </c>
      <c r="U286">
        <v>2022</v>
      </c>
      <c r="V286">
        <v>45979</v>
      </c>
      <c r="W286">
        <v>29.9</v>
      </c>
      <c r="X286" t="str">
        <v>Stories</v>
      </c>
      <c r="Y286" t="str">
        <v>Travel</v>
      </c>
      <c r="Z286" t="str">
        <v>Public</v>
      </c>
      <c r="AA286" t="str">
        <v>No</v>
      </c>
      <c r="AB286" t="str">
        <v>Yes</v>
      </c>
      <c r="AC286">
        <v>0</v>
      </c>
      <c r="AD286" t="str">
        <v>Free</v>
      </c>
      <c r="AE286">
        <v>1</v>
      </c>
      <c r="AF286" s="14">
        <f t="shared" si="4"/>
        <v>0.60265878877400292</v>
      </c>
    </row>
    <row r="287" spans="1:32" x14ac:dyDescent="0.2">
      <c r="A287">
        <v>286</v>
      </c>
      <c r="B287" cm="1">
        <f t="array" ref="B287:AE287">_xlfn.XLOOKUP($A287,Instagram_Usage_Lifestyle_Mini_!$A:$A,Instagram_Usage_Lifestyle_Mini_!$AC:$BF)</f>
        <v>90</v>
      </c>
      <c r="C287">
        <v>4</v>
      </c>
      <c r="D287">
        <v>8</v>
      </c>
      <c r="E287">
        <v>177</v>
      </c>
      <c r="F287">
        <v>65</v>
      </c>
      <c r="G287">
        <v>62</v>
      </c>
      <c r="H287">
        <v>18</v>
      </c>
      <c r="I287">
        <v>17</v>
      </c>
      <c r="J287">
        <v>18</v>
      </c>
      <c r="K287">
        <v>20</v>
      </c>
      <c r="L287">
        <v>2</v>
      </c>
      <c r="M287">
        <v>39</v>
      </c>
      <c r="N287">
        <v>23</v>
      </c>
      <c r="O287">
        <v>17</v>
      </c>
      <c r="P287">
        <v>22</v>
      </c>
      <c r="Q287">
        <v>719</v>
      </c>
      <c r="R287">
        <v>708</v>
      </c>
      <c r="S287" t="str">
        <v>No</v>
      </c>
      <c r="T287">
        <v>0.26</v>
      </c>
      <c r="U287">
        <v>2013</v>
      </c>
      <c r="V287">
        <v>45905</v>
      </c>
      <c r="W287">
        <v>22.5</v>
      </c>
      <c r="X287" t="str">
        <v>Videos</v>
      </c>
      <c r="Y287" t="str">
        <v>Travel</v>
      </c>
      <c r="Z287" t="str">
        <v>Public</v>
      </c>
      <c r="AA287" t="str">
        <v>Yes</v>
      </c>
      <c r="AB287" t="str">
        <v>Yes</v>
      </c>
      <c r="AC287">
        <v>5</v>
      </c>
      <c r="AD287" t="str">
        <v>Free</v>
      </c>
      <c r="AE287">
        <v>1.34</v>
      </c>
      <c r="AF287" s="14">
        <f t="shared" si="4"/>
        <v>1.0155367231638419</v>
      </c>
    </row>
    <row r="288" spans="1:32" x14ac:dyDescent="0.2">
      <c r="A288">
        <v>287</v>
      </c>
      <c r="B288" cm="1">
        <f t="array" ref="B288:AE288">_xlfn.XLOOKUP($A288,Instagram_Usage_Lifestyle_Mini_!$A:$A,Instagram_Usage_Lifestyle_Mini_!$AC:$BF)</f>
        <v>293</v>
      </c>
      <c r="C288">
        <v>9</v>
      </c>
      <c r="D288">
        <v>9</v>
      </c>
      <c r="E288">
        <v>221</v>
      </c>
      <c r="F288">
        <v>142</v>
      </c>
      <c r="G288">
        <v>167</v>
      </c>
      <c r="H288">
        <v>47</v>
      </c>
      <c r="I288">
        <v>29</v>
      </c>
      <c r="J288">
        <v>49</v>
      </c>
      <c r="K288">
        <v>25</v>
      </c>
      <c r="L288">
        <v>6</v>
      </c>
      <c r="M288">
        <v>156</v>
      </c>
      <c r="N288">
        <v>57</v>
      </c>
      <c r="O288">
        <v>34</v>
      </c>
      <c r="P288">
        <v>115</v>
      </c>
      <c r="Q288">
        <v>2671</v>
      </c>
      <c r="R288">
        <v>5535</v>
      </c>
      <c r="S288" t="str">
        <v>No</v>
      </c>
      <c r="T288">
        <v>0.72</v>
      </c>
      <c r="U288">
        <v>2017</v>
      </c>
      <c r="V288">
        <v>45874</v>
      </c>
      <c r="W288">
        <v>32.6</v>
      </c>
      <c r="X288" t="str">
        <v>Photos</v>
      </c>
      <c r="Y288" t="str">
        <v>Music</v>
      </c>
      <c r="Z288" t="str">
        <v>Public</v>
      </c>
      <c r="AA288" t="str">
        <v>Yes</v>
      </c>
      <c r="AB288" t="str">
        <v>Yes</v>
      </c>
      <c r="AC288">
        <v>2</v>
      </c>
      <c r="AD288" t="str">
        <v>Free</v>
      </c>
      <c r="AE288">
        <v>0.98</v>
      </c>
      <c r="AF288" s="14">
        <f t="shared" si="4"/>
        <v>0.48256549232158991</v>
      </c>
    </row>
    <row r="289" spans="1:32" x14ac:dyDescent="0.2">
      <c r="A289">
        <v>288</v>
      </c>
      <c r="B289" cm="1">
        <f t="array" ref="B289:AE289">_xlfn.XLOOKUP($A289,Instagram_Usage_Lifestyle_Mini_!$A:$A,Instagram_Usage_Lifestyle_Mini_!$AC:$BF)</f>
        <v>33</v>
      </c>
      <c r="C289">
        <v>3</v>
      </c>
      <c r="D289">
        <v>2</v>
      </c>
      <c r="E289">
        <v>61</v>
      </c>
      <c r="F289">
        <v>49</v>
      </c>
      <c r="G289">
        <v>47</v>
      </c>
      <c r="H289">
        <v>5</v>
      </c>
      <c r="I289">
        <v>19</v>
      </c>
      <c r="J289">
        <v>12</v>
      </c>
      <c r="K289">
        <v>6</v>
      </c>
      <c r="L289">
        <v>0</v>
      </c>
      <c r="M289">
        <v>18</v>
      </c>
      <c r="N289">
        <v>4</v>
      </c>
      <c r="O289">
        <v>3</v>
      </c>
      <c r="P289">
        <v>12</v>
      </c>
      <c r="Q289">
        <v>1863</v>
      </c>
      <c r="R289">
        <v>4004</v>
      </c>
      <c r="S289" t="str">
        <v>No</v>
      </c>
      <c r="T289">
        <v>0.28999999999999998</v>
      </c>
      <c r="U289">
        <v>2015</v>
      </c>
      <c r="V289">
        <v>45658</v>
      </c>
      <c r="W289">
        <v>11</v>
      </c>
      <c r="X289" t="str">
        <v>Stories</v>
      </c>
      <c r="Y289" t="str">
        <v>Music</v>
      </c>
      <c r="Z289" t="str">
        <v>Private</v>
      </c>
      <c r="AA289" t="str">
        <v>No</v>
      </c>
      <c r="AB289" t="str">
        <v>Yes</v>
      </c>
      <c r="AC289">
        <v>3</v>
      </c>
      <c r="AD289" t="str">
        <v>Free</v>
      </c>
      <c r="AE289">
        <v>1.85</v>
      </c>
      <c r="AF289" s="14">
        <f t="shared" si="4"/>
        <v>0.46528471528471527</v>
      </c>
    </row>
    <row r="290" spans="1:32" x14ac:dyDescent="0.2">
      <c r="A290">
        <v>289</v>
      </c>
      <c r="B290" cm="1">
        <f t="array" ref="B290:AE290">_xlfn.XLOOKUP($A290,Instagram_Usage_Lifestyle_Mini_!$A:$A,Instagram_Usage_Lifestyle_Mini_!$AC:$BF)</f>
        <v>5</v>
      </c>
      <c r="C290">
        <v>1</v>
      </c>
      <c r="D290">
        <v>2</v>
      </c>
      <c r="E290">
        <v>45</v>
      </c>
      <c r="F290">
        <v>25</v>
      </c>
      <c r="G290">
        <v>27</v>
      </c>
      <c r="H290">
        <v>7</v>
      </c>
      <c r="I290">
        <v>9</v>
      </c>
      <c r="J290">
        <v>8</v>
      </c>
      <c r="K290">
        <v>2</v>
      </c>
      <c r="L290">
        <v>1</v>
      </c>
      <c r="M290">
        <v>3</v>
      </c>
      <c r="N290">
        <v>1</v>
      </c>
      <c r="O290">
        <v>1</v>
      </c>
      <c r="P290">
        <v>2</v>
      </c>
      <c r="Q290">
        <v>1695</v>
      </c>
      <c r="R290">
        <v>4224</v>
      </c>
      <c r="S290" t="str">
        <v>No</v>
      </c>
      <c r="T290">
        <v>0.55000000000000004</v>
      </c>
      <c r="U290">
        <v>2023</v>
      </c>
      <c r="V290">
        <v>45728</v>
      </c>
      <c r="W290">
        <v>5</v>
      </c>
      <c r="X290" t="str">
        <v>Photos</v>
      </c>
      <c r="Y290" t="str">
        <v>Music</v>
      </c>
      <c r="Z290" t="str">
        <v>Public</v>
      </c>
      <c r="AA290" t="str">
        <v>No</v>
      </c>
      <c r="AB290" t="str">
        <v>No</v>
      </c>
      <c r="AC290">
        <v>1</v>
      </c>
      <c r="AD290" t="str">
        <v>Free</v>
      </c>
      <c r="AE290">
        <v>7.83</v>
      </c>
      <c r="AF290" s="14">
        <f t="shared" si="4"/>
        <v>0.40127840909090912</v>
      </c>
    </row>
    <row r="291" spans="1:32" x14ac:dyDescent="0.2">
      <c r="A291">
        <v>290</v>
      </c>
      <c r="B291" cm="1">
        <f t="array" ref="B291:AE291">_xlfn.XLOOKUP($A291,Instagram_Usage_Lifestyle_Mini_!$A:$A,Instagram_Usage_Lifestyle_Mini_!$AC:$BF)</f>
        <v>65</v>
      </c>
      <c r="C291">
        <v>3</v>
      </c>
      <c r="D291">
        <v>3</v>
      </c>
      <c r="E291">
        <v>70</v>
      </c>
      <c r="F291">
        <v>58</v>
      </c>
      <c r="G291">
        <v>59</v>
      </c>
      <c r="H291">
        <v>18</v>
      </c>
      <c r="I291">
        <v>17</v>
      </c>
      <c r="J291">
        <v>23</v>
      </c>
      <c r="K291">
        <v>9</v>
      </c>
      <c r="L291">
        <v>2</v>
      </c>
      <c r="M291">
        <v>30</v>
      </c>
      <c r="N291">
        <v>11</v>
      </c>
      <c r="O291">
        <v>10</v>
      </c>
      <c r="P291">
        <v>16</v>
      </c>
      <c r="Q291">
        <v>5846</v>
      </c>
      <c r="R291">
        <v>8159</v>
      </c>
      <c r="S291" t="str">
        <v>No</v>
      </c>
      <c r="T291">
        <v>0.34</v>
      </c>
      <c r="U291">
        <v>2018</v>
      </c>
      <c r="V291">
        <v>45976</v>
      </c>
      <c r="W291">
        <v>21.7</v>
      </c>
      <c r="X291" t="str">
        <v>Mixed</v>
      </c>
      <c r="Y291" t="str">
        <v>Fitness</v>
      </c>
      <c r="Z291" t="str">
        <v>Private</v>
      </c>
      <c r="AA291" t="str">
        <v>No</v>
      </c>
      <c r="AB291" t="str">
        <v>Yes</v>
      </c>
      <c r="AC291">
        <v>1</v>
      </c>
      <c r="AD291" t="str">
        <v>Free</v>
      </c>
      <c r="AE291">
        <v>1.58</v>
      </c>
      <c r="AF291" s="14">
        <f t="shared" si="4"/>
        <v>0.71650937614903787</v>
      </c>
    </row>
    <row r="292" spans="1:32" x14ac:dyDescent="0.2">
      <c r="A292">
        <v>291</v>
      </c>
      <c r="B292" cm="1">
        <f t="array" ref="B292:AE292">_xlfn.XLOOKUP($A292,Instagram_Usage_Lifestyle_Mini_!$A:$A,Instagram_Usage_Lifestyle_Mini_!$AC:$BF)</f>
        <v>99</v>
      </c>
      <c r="C292">
        <v>6</v>
      </c>
      <c r="D292">
        <v>2</v>
      </c>
      <c r="E292">
        <v>94</v>
      </c>
      <c r="F292">
        <v>63</v>
      </c>
      <c r="G292">
        <v>77</v>
      </c>
      <c r="H292">
        <v>21</v>
      </c>
      <c r="I292">
        <v>23</v>
      </c>
      <c r="J292">
        <v>25</v>
      </c>
      <c r="K292">
        <v>19</v>
      </c>
      <c r="L292">
        <v>1</v>
      </c>
      <c r="M292">
        <v>51</v>
      </c>
      <c r="N292">
        <v>15</v>
      </c>
      <c r="O292">
        <v>17</v>
      </c>
      <c r="P292">
        <v>32</v>
      </c>
      <c r="Q292">
        <v>458</v>
      </c>
      <c r="R292">
        <v>858</v>
      </c>
      <c r="S292" t="str">
        <v>Yes</v>
      </c>
      <c r="T292">
        <v>0.88</v>
      </c>
      <c r="U292">
        <v>2020</v>
      </c>
      <c r="V292">
        <v>45804</v>
      </c>
      <c r="W292">
        <v>16.5</v>
      </c>
      <c r="X292" t="str">
        <v>Mixed</v>
      </c>
      <c r="Y292" t="str">
        <v>Food</v>
      </c>
      <c r="Z292" t="str">
        <v>Public</v>
      </c>
      <c r="AA292" t="str">
        <v>Yes</v>
      </c>
      <c r="AB292" t="str">
        <v>No</v>
      </c>
      <c r="AC292">
        <v>5</v>
      </c>
      <c r="AD292" t="str">
        <v>Free</v>
      </c>
      <c r="AE292">
        <v>1.25</v>
      </c>
      <c r="AF292" s="14">
        <f t="shared" si="4"/>
        <v>0.53379953379953382</v>
      </c>
    </row>
    <row r="293" spans="1:32" x14ac:dyDescent="0.2">
      <c r="A293">
        <v>292</v>
      </c>
      <c r="B293" cm="1">
        <f t="array" ref="B293:AE293">_xlfn.XLOOKUP($A293,Instagram_Usage_Lifestyle_Mini_!$A:$A,Instagram_Usage_Lifestyle_Mini_!$AC:$BF)</f>
        <v>252</v>
      </c>
      <c r="C293">
        <v>18</v>
      </c>
      <c r="D293">
        <v>5</v>
      </c>
      <c r="E293">
        <v>172</v>
      </c>
      <c r="F293">
        <v>138</v>
      </c>
      <c r="G293">
        <v>140</v>
      </c>
      <c r="H293">
        <v>33</v>
      </c>
      <c r="I293">
        <v>35</v>
      </c>
      <c r="J293">
        <v>40</v>
      </c>
      <c r="K293">
        <v>29</v>
      </c>
      <c r="L293">
        <v>7</v>
      </c>
      <c r="M293">
        <v>118</v>
      </c>
      <c r="N293">
        <v>63</v>
      </c>
      <c r="O293">
        <v>43</v>
      </c>
      <c r="P293">
        <v>87</v>
      </c>
      <c r="Q293">
        <v>656</v>
      </c>
      <c r="R293">
        <v>905</v>
      </c>
      <c r="S293" t="str">
        <v>No</v>
      </c>
      <c r="T293">
        <v>0.45</v>
      </c>
      <c r="U293">
        <v>2011</v>
      </c>
      <c r="V293">
        <v>45975</v>
      </c>
      <c r="W293">
        <v>14</v>
      </c>
      <c r="X293" t="str">
        <v>Photos</v>
      </c>
      <c r="Y293" t="str">
        <v>Art</v>
      </c>
      <c r="Z293" t="str">
        <v>Friends_only</v>
      </c>
      <c r="AA293" t="str">
        <v>Yes</v>
      </c>
      <c r="AB293" t="str">
        <v>Yes</v>
      </c>
      <c r="AC293">
        <v>1</v>
      </c>
      <c r="AD293" t="str">
        <v>Free</v>
      </c>
      <c r="AE293">
        <v>0.87</v>
      </c>
      <c r="AF293" s="14">
        <f t="shared" si="4"/>
        <v>0.72486187845303862</v>
      </c>
    </row>
    <row r="294" spans="1:32" x14ac:dyDescent="0.2">
      <c r="A294">
        <v>293</v>
      </c>
      <c r="B294" cm="1">
        <f t="array" ref="B294:AE294">_xlfn.XLOOKUP($A294,Instagram_Usage_Lifestyle_Mini_!$A:$A,Instagram_Usage_Lifestyle_Mini_!$AC:$BF)</f>
        <v>73</v>
      </c>
      <c r="C294">
        <v>3</v>
      </c>
      <c r="D294">
        <v>3</v>
      </c>
      <c r="E294">
        <v>76</v>
      </c>
      <c r="F294">
        <v>53</v>
      </c>
      <c r="G294">
        <v>69</v>
      </c>
      <c r="H294">
        <v>18</v>
      </c>
      <c r="I294">
        <v>15</v>
      </c>
      <c r="J294">
        <v>17</v>
      </c>
      <c r="K294">
        <v>12</v>
      </c>
      <c r="L294">
        <v>3</v>
      </c>
      <c r="M294">
        <v>32</v>
      </c>
      <c r="N294">
        <v>18</v>
      </c>
      <c r="O294">
        <v>12</v>
      </c>
      <c r="P294">
        <v>24</v>
      </c>
      <c r="Q294">
        <v>1209</v>
      </c>
      <c r="R294">
        <v>1078</v>
      </c>
      <c r="S294" t="str">
        <v>No</v>
      </c>
      <c r="T294">
        <v>0.83</v>
      </c>
      <c r="U294">
        <v>2019</v>
      </c>
      <c r="V294">
        <v>46020</v>
      </c>
      <c r="W294">
        <v>24.3</v>
      </c>
      <c r="X294" t="str">
        <v>Mixed</v>
      </c>
      <c r="Y294" t="str">
        <v>Food</v>
      </c>
      <c r="Z294" t="str">
        <v>Private</v>
      </c>
      <c r="AA294" t="str">
        <v>Yes</v>
      </c>
      <c r="AB294" t="str">
        <v>Yes</v>
      </c>
      <c r="AC294">
        <v>2</v>
      </c>
      <c r="AD294" t="str">
        <v>Free</v>
      </c>
      <c r="AE294">
        <v>1.54</v>
      </c>
      <c r="AF294" s="14">
        <f t="shared" si="4"/>
        <v>1.1215213358070502</v>
      </c>
    </row>
    <row r="295" spans="1:32" x14ac:dyDescent="0.2">
      <c r="A295">
        <v>294</v>
      </c>
      <c r="B295" cm="1">
        <f t="array" ref="B295:AE295">_xlfn.XLOOKUP($A295,Instagram_Usage_Lifestyle_Mini_!$A:$A,Instagram_Usage_Lifestyle_Mini_!$AC:$BF)</f>
        <v>193</v>
      </c>
      <c r="C295">
        <v>7</v>
      </c>
      <c r="D295">
        <v>1</v>
      </c>
      <c r="E295">
        <v>161</v>
      </c>
      <c r="F295">
        <v>103</v>
      </c>
      <c r="G295">
        <v>112</v>
      </c>
      <c r="H295">
        <v>29</v>
      </c>
      <c r="I295">
        <v>32</v>
      </c>
      <c r="J295">
        <v>42</v>
      </c>
      <c r="K295">
        <v>21</v>
      </c>
      <c r="L295">
        <v>5</v>
      </c>
      <c r="M295">
        <v>86</v>
      </c>
      <c r="N295">
        <v>36</v>
      </c>
      <c r="O295">
        <v>20</v>
      </c>
      <c r="P295">
        <v>52</v>
      </c>
      <c r="Q295">
        <v>737</v>
      </c>
      <c r="R295">
        <v>554</v>
      </c>
      <c r="S295" t="str">
        <v>No</v>
      </c>
      <c r="T295">
        <v>0.27</v>
      </c>
      <c r="U295">
        <v>2020</v>
      </c>
      <c r="V295">
        <v>45697</v>
      </c>
      <c r="W295">
        <v>27.6</v>
      </c>
      <c r="X295" t="str">
        <v>Reels</v>
      </c>
      <c r="Y295" t="str">
        <v>Art</v>
      </c>
      <c r="Z295" t="str">
        <v>Friends_only</v>
      </c>
      <c r="AA295" t="str">
        <v>Yes</v>
      </c>
      <c r="AB295" t="str">
        <v>Yes</v>
      </c>
      <c r="AC295">
        <v>4</v>
      </c>
      <c r="AD295" t="str">
        <v>Free</v>
      </c>
      <c r="AE295">
        <v>0.89</v>
      </c>
      <c r="AF295" s="14">
        <f t="shared" si="4"/>
        <v>1.3303249097472925</v>
      </c>
    </row>
    <row r="296" spans="1:32" x14ac:dyDescent="0.2">
      <c r="A296">
        <v>295</v>
      </c>
      <c r="B296" cm="1">
        <f t="array" ref="B296:AE296">_xlfn.XLOOKUP($A296,Instagram_Usage_Lifestyle_Mini_!$A:$A,Instagram_Usage_Lifestyle_Mini_!$AC:$BF)</f>
        <v>158</v>
      </c>
      <c r="C296">
        <v>5</v>
      </c>
      <c r="D296">
        <v>8</v>
      </c>
      <c r="E296">
        <v>217</v>
      </c>
      <c r="F296">
        <v>90</v>
      </c>
      <c r="G296">
        <v>97</v>
      </c>
      <c r="H296">
        <v>32</v>
      </c>
      <c r="I296">
        <v>26</v>
      </c>
      <c r="J296">
        <v>33</v>
      </c>
      <c r="K296">
        <v>15</v>
      </c>
      <c r="L296">
        <v>4</v>
      </c>
      <c r="M296">
        <v>89</v>
      </c>
      <c r="N296">
        <v>47</v>
      </c>
      <c r="O296">
        <v>26</v>
      </c>
      <c r="P296">
        <v>32</v>
      </c>
      <c r="Q296">
        <v>3303</v>
      </c>
      <c r="R296">
        <v>7221</v>
      </c>
      <c r="S296" t="str">
        <v>No</v>
      </c>
      <c r="T296">
        <v>0.49</v>
      </c>
      <c r="U296">
        <v>2011</v>
      </c>
      <c r="V296">
        <v>45944</v>
      </c>
      <c r="W296">
        <v>31.6</v>
      </c>
      <c r="X296" t="str">
        <v>Live</v>
      </c>
      <c r="Y296" t="str">
        <v>Other</v>
      </c>
      <c r="Z296" t="str">
        <v>Friends_only</v>
      </c>
      <c r="AA296" t="str">
        <v>Yes</v>
      </c>
      <c r="AB296" t="str">
        <v>No</v>
      </c>
      <c r="AC296">
        <v>3</v>
      </c>
      <c r="AD296" t="str">
        <v>Free</v>
      </c>
      <c r="AE296">
        <v>1.1599999999999999</v>
      </c>
      <c r="AF296" s="14">
        <f t="shared" si="4"/>
        <v>0.45741587037806397</v>
      </c>
    </row>
    <row r="297" spans="1:32" x14ac:dyDescent="0.2">
      <c r="A297">
        <v>296</v>
      </c>
      <c r="B297" cm="1">
        <f t="array" ref="B297:AE297">_xlfn.XLOOKUP($A297,Instagram_Usage_Lifestyle_Mini_!$A:$A,Instagram_Usage_Lifestyle_Mini_!$AC:$BF)</f>
        <v>173</v>
      </c>
      <c r="C297">
        <v>21</v>
      </c>
      <c r="D297">
        <v>2</v>
      </c>
      <c r="E297">
        <v>227</v>
      </c>
      <c r="F297">
        <v>85</v>
      </c>
      <c r="G297">
        <v>97</v>
      </c>
      <c r="H297">
        <v>33</v>
      </c>
      <c r="I297">
        <v>16</v>
      </c>
      <c r="J297">
        <v>22</v>
      </c>
      <c r="K297">
        <v>27</v>
      </c>
      <c r="L297">
        <v>3</v>
      </c>
      <c r="M297">
        <v>92</v>
      </c>
      <c r="N297">
        <v>26</v>
      </c>
      <c r="O297">
        <v>43</v>
      </c>
      <c r="P297">
        <v>55</v>
      </c>
      <c r="Q297">
        <v>199</v>
      </c>
      <c r="R297">
        <v>376</v>
      </c>
      <c r="S297" t="str">
        <v>No</v>
      </c>
      <c r="T297">
        <v>0.41</v>
      </c>
      <c r="U297">
        <v>2017</v>
      </c>
      <c r="V297">
        <v>45830</v>
      </c>
      <c r="W297">
        <v>8.1999999999999993</v>
      </c>
      <c r="X297" t="str">
        <v>Mixed</v>
      </c>
      <c r="Y297" t="str">
        <v>Fitness</v>
      </c>
      <c r="Z297" t="str">
        <v>Private</v>
      </c>
      <c r="AA297" t="str">
        <v>Yes</v>
      </c>
      <c r="AB297" t="str">
        <v>No</v>
      </c>
      <c r="AC297">
        <v>3</v>
      </c>
      <c r="AD297" t="str">
        <v>Free</v>
      </c>
      <c r="AE297">
        <v>0.97</v>
      </c>
      <c r="AF297" s="14">
        <f t="shared" si="4"/>
        <v>0.5292553191489362</v>
      </c>
    </row>
    <row r="298" spans="1:32" x14ac:dyDescent="0.2">
      <c r="A298">
        <v>297</v>
      </c>
      <c r="B298" cm="1">
        <f t="array" ref="B298:AE298">_xlfn.XLOOKUP($A298,Instagram_Usage_Lifestyle_Mini_!$A:$A,Instagram_Usage_Lifestyle_Mini_!$AC:$BF)</f>
        <v>209</v>
      </c>
      <c r="C298">
        <v>8</v>
      </c>
      <c r="D298">
        <v>6</v>
      </c>
      <c r="E298">
        <v>182</v>
      </c>
      <c r="F298">
        <v>112</v>
      </c>
      <c r="G298">
        <v>129</v>
      </c>
      <c r="H298">
        <v>30</v>
      </c>
      <c r="I298">
        <v>28</v>
      </c>
      <c r="J298">
        <v>37</v>
      </c>
      <c r="K298">
        <v>27</v>
      </c>
      <c r="L298">
        <v>3</v>
      </c>
      <c r="M298">
        <v>89</v>
      </c>
      <c r="N298">
        <v>53</v>
      </c>
      <c r="O298">
        <v>34</v>
      </c>
      <c r="P298">
        <v>59</v>
      </c>
      <c r="Q298">
        <v>573</v>
      </c>
      <c r="R298">
        <v>1300</v>
      </c>
      <c r="S298" t="str">
        <v>No</v>
      </c>
      <c r="T298">
        <v>0.81</v>
      </c>
      <c r="U298">
        <v>2018</v>
      </c>
      <c r="V298">
        <v>45909</v>
      </c>
      <c r="W298">
        <v>26.1</v>
      </c>
      <c r="X298" t="str">
        <v>Videos</v>
      </c>
      <c r="Y298" t="str">
        <v>Fitness</v>
      </c>
      <c r="Z298" t="str">
        <v>Friends_only</v>
      </c>
      <c r="AA298" t="str">
        <v>Yes</v>
      </c>
      <c r="AB298" t="str">
        <v>Yes</v>
      </c>
      <c r="AC298">
        <v>2</v>
      </c>
      <c r="AD298" t="str">
        <v>Free</v>
      </c>
      <c r="AE298">
        <v>0.99</v>
      </c>
      <c r="AF298" s="14">
        <f t="shared" si="4"/>
        <v>0.44076923076923075</v>
      </c>
    </row>
    <row r="299" spans="1:32" x14ac:dyDescent="0.2">
      <c r="A299">
        <v>298</v>
      </c>
      <c r="B299" cm="1">
        <f t="array" ref="B299:AE299">_xlfn.XLOOKUP($A299,Instagram_Usage_Lifestyle_Mini_!$A:$A,Instagram_Usage_Lifestyle_Mini_!$AC:$BF)</f>
        <v>157</v>
      </c>
      <c r="C299">
        <v>5</v>
      </c>
      <c r="D299">
        <v>1</v>
      </c>
      <c r="E299">
        <v>128</v>
      </c>
      <c r="F299">
        <v>78</v>
      </c>
      <c r="G299">
        <v>97</v>
      </c>
      <c r="H299">
        <v>32</v>
      </c>
      <c r="I299">
        <v>31</v>
      </c>
      <c r="J299">
        <v>14</v>
      </c>
      <c r="K299">
        <v>18</v>
      </c>
      <c r="L299">
        <v>5</v>
      </c>
      <c r="M299">
        <v>83</v>
      </c>
      <c r="N299">
        <v>29</v>
      </c>
      <c r="O299">
        <v>23</v>
      </c>
      <c r="P299">
        <v>54</v>
      </c>
      <c r="Q299">
        <v>812</v>
      </c>
      <c r="R299">
        <v>1085</v>
      </c>
      <c r="S299" t="str">
        <v>No</v>
      </c>
      <c r="T299">
        <v>0.35</v>
      </c>
      <c r="U299">
        <v>2020</v>
      </c>
      <c r="V299">
        <v>45809</v>
      </c>
      <c r="W299">
        <v>31.4</v>
      </c>
      <c r="X299" t="str">
        <v>Mixed</v>
      </c>
      <c r="Y299" t="str">
        <v>Fitness</v>
      </c>
      <c r="Z299" t="str">
        <v>Friends_only</v>
      </c>
      <c r="AA299" t="str">
        <v>No</v>
      </c>
      <c r="AB299" t="str">
        <v>No</v>
      </c>
      <c r="AC299">
        <v>4</v>
      </c>
      <c r="AD299" t="str">
        <v>Premium</v>
      </c>
      <c r="AE299">
        <v>1.04</v>
      </c>
      <c r="AF299" s="14">
        <f t="shared" si="4"/>
        <v>0.74838709677419357</v>
      </c>
    </row>
    <row r="300" spans="1:32" x14ac:dyDescent="0.2">
      <c r="A300">
        <v>299</v>
      </c>
      <c r="B300" cm="1">
        <f t="array" ref="B300:AE300">_xlfn.XLOOKUP($A300,Instagram_Usage_Lifestyle_Mini_!$A:$A,Instagram_Usage_Lifestyle_Mini_!$AC:$BF)</f>
        <v>273</v>
      </c>
      <c r="C300">
        <v>15</v>
      </c>
      <c r="D300">
        <v>8</v>
      </c>
      <c r="E300">
        <v>191</v>
      </c>
      <c r="F300">
        <v>137</v>
      </c>
      <c r="G300">
        <v>156</v>
      </c>
      <c r="H300">
        <v>55</v>
      </c>
      <c r="I300">
        <v>30</v>
      </c>
      <c r="J300">
        <v>37</v>
      </c>
      <c r="K300">
        <v>32</v>
      </c>
      <c r="L300">
        <v>8</v>
      </c>
      <c r="M300">
        <v>150</v>
      </c>
      <c r="N300">
        <v>48</v>
      </c>
      <c r="O300">
        <v>54</v>
      </c>
      <c r="P300">
        <v>100</v>
      </c>
      <c r="Q300">
        <v>364</v>
      </c>
      <c r="R300">
        <v>829</v>
      </c>
      <c r="S300" t="str">
        <v>Yes</v>
      </c>
      <c r="T300">
        <v>0.67</v>
      </c>
      <c r="U300">
        <v>2013</v>
      </c>
      <c r="V300">
        <v>45898</v>
      </c>
      <c r="W300">
        <v>18.2</v>
      </c>
      <c r="X300" t="str">
        <v>Reels</v>
      </c>
      <c r="Y300" t="str">
        <v>Fitness</v>
      </c>
      <c r="Z300" t="str">
        <v>Public</v>
      </c>
      <c r="AA300" t="str">
        <v>No</v>
      </c>
      <c r="AB300" t="str">
        <v>Yes</v>
      </c>
      <c r="AC300">
        <v>1</v>
      </c>
      <c r="AD300" t="str">
        <v>Premium</v>
      </c>
      <c r="AE300">
        <v>1.06</v>
      </c>
      <c r="AF300" s="14">
        <f t="shared" si="4"/>
        <v>0.43908323281061518</v>
      </c>
    </row>
    <row r="301" spans="1:32" x14ac:dyDescent="0.2">
      <c r="A301">
        <v>300</v>
      </c>
      <c r="B301" cm="1">
        <f t="array" ref="B301:AE301">_xlfn.XLOOKUP($A301,Instagram_Usage_Lifestyle_Mini_!$A:$A,Instagram_Usage_Lifestyle_Mini_!$AC:$BF)</f>
        <v>5</v>
      </c>
      <c r="C301">
        <v>1</v>
      </c>
      <c r="D301">
        <v>2</v>
      </c>
      <c r="E301">
        <v>51</v>
      </c>
      <c r="F301">
        <v>41</v>
      </c>
      <c r="G301">
        <v>39</v>
      </c>
      <c r="H301">
        <v>6</v>
      </c>
      <c r="I301">
        <v>9</v>
      </c>
      <c r="J301">
        <v>7</v>
      </c>
      <c r="K301">
        <v>7</v>
      </c>
      <c r="L301">
        <v>1</v>
      </c>
      <c r="M301">
        <v>3</v>
      </c>
      <c r="N301">
        <v>1</v>
      </c>
      <c r="O301">
        <v>1</v>
      </c>
      <c r="P301">
        <v>1</v>
      </c>
      <c r="Q301">
        <v>1518</v>
      </c>
      <c r="R301">
        <v>1158</v>
      </c>
      <c r="S301" t="str">
        <v>No</v>
      </c>
      <c r="T301">
        <v>0.53</v>
      </c>
      <c r="U301">
        <v>2021</v>
      </c>
      <c r="V301">
        <v>45674</v>
      </c>
      <c r="W301">
        <v>5</v>
      </c>
      <c r="X301" t="str">
        <v>Reels</v>
      </c>
      <c r="Y301" t="str">
        <v>Tech</v>
      </c>
      <c r="Z301" t="str">
        <v>Public</v>
      </c>
      <c r="AA301" t="str">
        <v>Yes</v>
      </c>
      <c r="AB301" t="str">
        <v>No</v>
      </c>
      <c r="AC301">
        <v>2</v>
      </c>
      <c r="AD301" t="str">
        <v>Business</v>
      </c>
      <c r="AE301">
        <v>9.5</v>
      </c>
      <c r="AF301" s="14">
        <f t="shared" si="4"/>
        <v>1.310880829015544</v>
      </c>
    </row>
    <row r="302" spans="1:32" x14ac:dyDescent="0.2">
      <c r="A302">
        <v>301</v>
      </c>
      <c r="B302" cm="1">
        <f t="array" ref="B302:AE302">_xlfn.XLOOKUP($A302,Instagram_Usage_Lifestyle_Mini_!$A:$A,Instagram_Usage_Lifestyle_Mini_!$AC:$BF)</f>
        <v>192</v>
      </c>
      <c r="C302">
        <v>11</v>
      </c>
      <c r="D302">
        <v>5</v>
      </c>
      <c r="E302">
        <v>258</v>
      </c>
      <c r="F302">
        <v>104</v>
      </c>
      <c r="G302">
        <v>126</v>
      </c>
      <c r="H302">
        <v>38</v>
      </c>
      <c r="I302">
        <v>20</v>
      </c>
      <c r="J302">
        <v>30</v>
      </c>
      <c r="K302">
        <v>25</v>
      </c>
      <c r="L302">
        <v>5</v>
      </c>
      <c r="M302">
        <v>99</v>
      </c>
      <c r="N302">
        <v>54</v>
      </c>
      <c r="O302">
        <v>34</v>
      </c>
      <c r="P302">
        <v>41</v>
      </c>
      <c r="Q302">
        <v>509</v>
      </c>
      <c r="R302">
        <v>604</v>
      </c>
      <c r="S302" t="str">
        <v>No</v>
      </c>
      <c r="T302">
        <v>0.14000000000000001</v>
      </c>
      <c r="U302">
        <v>2017</v>
      </c>
      <c r="V302">
        <v>45769</v>
      </c>
      <c r="W302">
        <v>17.5</v>
      </c>
      <c r="X302" t="str">
        <v>Mixed</v>
      </c>
      <c r="Y302" t="str">
        <v>Other</v>
      </c>
      <c r="Z302" t="str">
        <v>Friends_only</v>
      </c>
      <c r="AA302" t="str">
        <v>Yes</v>
      </c>
      <c r="AB302" t="str">
        <v>No</v>
      </c>
      <c r="AC302">
        <v>1</v>
      </c>
      <c r="AD302" t="str">
        <v>Free</v>
      </c>
      <c r="AE302">
        <v>1.1200000000000001</v>
      </c>
      <c r="AF302" s="14">
        <f t="shared" si="4"/>
        <v>0.8427152317880795</v>
      </c>
    </row>
    <row r="303" spans="1:32" x14ac:dyDescent="0.2">
      <c r="A303">
        <v>302</v>
      </c>
      <c r="B303" cm="1">
        <f t="array" ref="B303:AE303">_xlfn.XLOOKUP($A303,Instagram_Usage_Lifestyle_Mini_!$A:$A,Instagram_Usage_Lifestyle_Mini_!$AC:$BF)</f>
        <v>358</v>
      </c>
      <c r="C303">
        <v>22</v>
      </c>
      <c r="D303">
        <v>13</v>
      </c>
      <c r="E303">
        <v>300</v>
      </c>
      <c r="F303">
        <v>144</v>
      </c>
      <c r="G303">
        <v>219</v>
      </c>
      <c r="H303">
        <v>59</v>
      </c>
      <c r="I303">
        <v>40</v>
      </c>
      <c r="J303">
        <v>51</v>
      </c>
      <c r="K303">
        <v>26</v>
      </c>
      <c r="L303">
        <v>8</v>
      </c>
      <c r="M303">
        <v>147</v>
      </c>
      <c r="N303">
        <v>48</v>
      </c>
      <c r="O303">
        <v>52</v>
      </c>
      <c r="P303">
        <v>98</v>
      </c>
      <c r="Q303">
        <v>639</v>
      </c>
      <c r="R303">
        <v>1162</v>
      </c>
      <c r="S303" t="str">
        <v>No</v>
      </c>
      <c r="T303">
        <v>0.85</v>
      </c>
      <c r="U303">
        <v>2018</v>
      </c>
      <c r="V303">
        <v>45949</v>
      </c>
      <c r="W303">
        <v>16.3</v>
      </c>
      <c r="X303" t="str">
        <v>Stories</v>
      </c>
      <c r="Y303" t="str">
        <v>Food</v>
      </c>
      <c r="Z303" t="str">
        <v>Friends_only</v>
      </c>
      <c r="AA303" t="str">
        <v>Yes</v>
      </c>
      <c r="AB303" t="str">
        <v>No</v>
      </c>
      <c r="AC303">
        <v>1</v>
      </c>
      <c r="AD303" t="str">
        <v>Free</v>
      </c>
      <c r="AE303">
        <v>1.05</v>
      </c>
      <c r="AF303" s="14">
        <f t="shared" si="4"/>
        <v>0.54991394148020656</v>
      </c>
    </row>
    <row r="304" spans="1:32" x14ac:dyDescent="0.2">
      <c r="A304">
        <v>303</v>
      </c>
      <c r="B304" cm="1">
        <f t="array" ref="B304:AE304">_xlfn.XLOOKUP($A304,Instagram_Usage_Lifestyle_Mini_!$A:$A,Instagram_Usage_Lifestyle_Mini_!$AC:$BF)</f>
        <v>5</v>
      </c>
      <c r="C304">
        <v>1</v>
      </c>
      <c r="D304">
        <v>5</v>
      </c>
      <c r="E304">
        <v>51</v>
      </c>
      <c r="F304">
        <v>34</v>
      </c>
      <c r="G304">
        <v>27</v>
      </c>
      <c r="H304">
        <v>7</v>
      </c>
      <c r="I304">
        <v>8</v>
      </c>
      <c r="J304">
        <v>7</v>
      </c>
      <c r="K304">
        <v>7</v>
      </c>
      <c r="L304">
        <v>2</v>
      </c>
      <c r="M304">
        <v>3</v>
      </c>
      <c r="N304">
        <v>1</v>
      </c>
      <c r="O304">
        <v>1</v>
      </c>
      <c r="P304">
        <v>1</v>
      </c>
      <c r="Q304">
        <v>1828</v>
      </c>
      <c r="R304">
        <v>3665</v>
      </c>
      <c r="S304" t="str">
        <v>No</v>
      </c>
      <c r="T304">
        <v>0.56999999999999995</v>
      </c>
      <c r="U304">
        <v>2010</v>
      </c>
      <c r="V304">
        <v>45868</v>
      </c>
      <c r="W304">
        <v>5</v>
      </c>
      <c r="X304" t="str">
        <v>Live</v>
      </c>
      <c r="Y304" t="str">
        <v>Other</v>
      </c>
      <c r="Z304" t="str">
        <v>Private</v>
      </c>
      <c r="AA304" t="str">
        <v>Yes</v>
      </c>
      <c r="AB304" t="str">
        <v>Yes</v>
      </c>
      <c r="AC304">
        <v>1</v>
      </c>
      <c r="AD304" t="str">
        <v>Free</v>
      </c>
      <c r="AE304">
        <v>9.33</v>
      </c>
      <c r="AF304" s="14">
        <f t="shared" si="4"/>
        <v>0.49877216916780354</v>
      </c>
    </row>
    <row r="305" spans="1:32" x14ac:dyDescent="0.2">
      <c r="A305">
        <v>304</v>
      </c>
      <c r="B305" cm="1">
        <f t="array" ref="B305:AE305">_xlfn.XLOOKUP($A305,Instagram_Usage_Lifestyle_Mini_!$A:$A,Instagram_Usage_Lifestyle_Mini_!$AC:$BF)</f>
        <v>5</v>
      </c>
      <c r="C305">
        <v>1</v>
      </c>
      <c r="D305">
        <v>10</v>
      </c>
      <c r="E305">
        <v>95</v>
      </c>
      <c r="F305">
        <v>29</v>
      </c>
      <c r="G305">
        <v>21</v>
      </c>
      <c r="H305">
        <v>1</v>
      </c>
      <c r="I305">
        <v>18</v>
      </c>
      <c r="J305">
        <v>11</v>
      </c>
      <c r="K305">
        <v>7</v>
      </c>
      <c r="L305">
        <v>3</v>
      </c>
      <c r="M305">
        <v>3</v>
      </c>
      <c r="N305">
        <v>1</v>
      </c>
      <c r="O305">
        <v>1</v>
      </c>
      <c r="P305">
        <v>2</v>
      </c>
      <c r="Q305">
        <v>1272</v>
      </c>
      <c r="R305">
        <v>1734</v>
      </c>
      <c r="S305" t="str">
        <v>No</v>
      </c>
      <c r="T305">
        <v>0.05</v>
      </c>
      <c r="U305">
        <v>2022</v>
      </c>
      <c r="V305">
        <v>45982</v>
      </c>
      <c r="W305">
        <v>5</v>
      </c>
      <c r="X305" t="str">
        <v>Reels</v>
      </c>
      <c r="Y305" t="str">
        <v>Other</v>
      </c>
      <c r="Z305" t="str">
        <v>Private</v>
      </c>
      <c r="AA305" t="str">
        <v>Yes</v>
      </c>
      <c r="AB305" t="str">
        <v>No</v>
      </c>
      <c r="AC305">
        <v>1</v>
      </c>
      <c r="AD305" t="str">
        <v>Free</v>
      </c>
      <c r="AE305">
        <v>8.83</v>
      </c>
      <c r="AF305" s="14">
        <f t="shared" si="4"/>
        <v>0.73356401384083048</v>
      </c>
    </row>
    <row r="306" spans="1:32" x14ac:dyDescent="0.2">
      <c r="A306">
        <v>305</v>
      </c>
      <c r="B306" cm="1">
        <f t="array" ref="B306:AE306">_xlfn.XLOOKUP($A306,Instagram_Usage_Lifestyle_Mini_!$A:$A,Instagram_Usage_Lifestyle_Mini_!$AC:$BF)</f>
        <v>143</v>
      </c>
      <c r="C306">
        <v>4</v>
      </c>
      <c r="D306">
        <v>10</v>
      </c>
      <c r="E306">
        <v>221</v>
      </c>
      <c r="F306">
        <v>76</v>
      </c>
      <c r="G306">
        <v>101</v>
      </c>
      <c r="H306">
        <v>35</v>
      </c>
      <c r="I306">
        <v>25</v>
      </c>
      <c r="J306">
        <v>31</v>
      </c>
      <c r="K306">
        <v>12</v>
      </c>
      <c r="L306">
        <v>8</v>
      </c>
      <c r="M306">
        <v>65</v>
      </c>
      <c r="N306">
        <v>29</v>
      </c>
      <c r="O306">
        <v>17</v>
      </c>
      <c r="P306">
        <v>39</v>
      </c>
      <c r="Q306">
        <v>1072</v>
      </c>
      <c r="R306">
        <v>862</v>
      </c>
      <c r="S306" t="str">
        <v>No</v>
      </c>
      <c r="T306">
        <v>0.8</v>
      </c>
      <c r="U306">
        <v>2017</v>
      </c>
      <c r="V306">
        <v>45674</v>
      </c>
      <c r="W306">
        <v>35.799999999999997</v>
      </c>
      <c r="X306" t="str">
        <v>Mixed</v>
      </c>
      <c r="Y306" t="str">
        <v>Music</v>
      </c>
      <c r="Z306" t="str">
        <v>Private</v>
      </c>
      <c r="AA306" t="str">
        <v>Yes</v>
      </c>
      <c r="AB306" t="str">
        <v>No</v>
      </c>
      <c r="AC306">
        <v>3</v>
      </c>
      <c r="AD306" t="str">
        <v>Free</v>
      </c>
      <c r="AE306">
        <v>1.4</v>
      </c>
      <c r="AF306" s="14">
        <f t="shared" si="4"/>
        <v>1.2436194895591648</v>
      </c>
    </row>
    <row r="307" spans="1:32" x14ac:dyDescent="0.2">
      <c r="A307">
        <v>306</v>
      </c>
      <c r="B307" cm="1">
        <f t="array" ref="B307:AE307">_xlfn.XLOOKUP($A307,Instagram_Usage_Lifestyle_Mini_!$A:$A,Instagram_Usage_Lifestyle_Mini_!$AC:$BF)</f>
        <v>77</v>
      </c>
      <c r="C307">
        <v>3</v>
      </c>
      <c r="D307">
        <v>6</v>
      </c>
      <c r="E307">
        <v>82</v>
      </c>
      <c r="F307">
        <v>49</v>
      </c>
      <c r="G307">
        <v>74</v>
      </c>
      <c r="H307">
        <v>15</v>
      </c>
      <c r="I307">
        <v>22</v>
      </c>
      <c r="J307">
        <v>12</v>
      </c>
      <c r="K307">
        <v>14</v>
      </c>
      <c r="L307">
        <v>2</v>
      </c>
      <c r="M307">
        <v>33</v>
      </c>
      <c r="N307">
        <v>18</v>
      </c>
      <c r="O307">
        <v>17</v>
      </c>
      <c r="P307">
        <v>29</v>
      </c>
      <c r="Q307">
        <v>2191</v>
      </c>
      <c r="R307">
        <v>1315</v>
      </c>
      <c r="S307" t="str">
        <v>No</v>
      </c>
      <c r="T307">
        <v>0.24</v>
      </c>
      <c r="U307">
        <v>2017</v>
      </c>
      <c r="V307">
        <v>45722</v>
      </c>
      <c r="W307">
        <v>25.7</v>
      </c>
      <c r="X307" t="str">
        <v>Live</v>
      </c>
      <c r="Y307" t="str">
        <v>Art</v>
      </c>
      <c r="Z307" t="str">
        <v>Private</v>
      </c>
      <c r="AA307" t="str">
        <v>Yes</v>
      </c>
      <c r="AB307" t="str">
        <v>No</v>
      </c>
      <c r="AC307">
        <v>2</v>
      </c>
      <c r="AD307" t="str">
        <v>Free</v>
      </c>
      <c r="AE307">
        <v>1.56</v>
      </c>
      <c r="AF307" s="14">
        <f t="shared" si="4"/>
        <v>1.6661596958174905</v>
      </c>
    </row>
    <row r="308" spans="1:32" x14ac:dyDescent="0.2">
      <c r="A308">
        <v>307</v>
      </c>
      <c r="B308" cm="1">
        <f t="array" ref="B308:AE308">_xlfn.XLOOKUP($A308,Instagram_Usage_Lifestyle_Mini_!$A:$A,Instagram_Usage_Lifestyle_Mini_!$AC:$BF)</f>
        <v>355</v>
      </c>
      <c r="C308">
        <v>26</v>
      </c>
      <c r="D308">
        <v>7</v>
      </c>
      <c r="E308">
        <v>247</v>
      </c>
      <c r="F308">
        <v>150</v>
      </c>
      <c r="G308">
        <v>192</v>
      </c>
      <c r="H308">
        <v>68</v>
      </c>
      <c r="I308">
        <v>33</v>
      </c>
      <c r="J308">
        <v>46</v>
      </c>
      <c r="K308">
        <v>31</v>
      </c>
      <c r="L308">
        <v>9</v>
      </c>
      <c r="M308">
        <v>187</v>
      </c>
      <c r="N308">
        <v>67</v>
      </c>
      <c r="O308">
        <v>61</v>
      </c>
      <c r="P308">
        <v>112</v>
      </c>
      <c r="Q308">
        <v>2657</v>
      </c>
      <c r="R308">
        <v>4847</v>
      </c>
      <c r="S308" t="str">
        <v>No</v>
      </c>
      <c r="T308">
        <v>0.83</v>
      </c>
      <c r="U308">
        <v>2023</v>
      </c>
      <c r="V308">
        <v>45902</v>
      </c>
      <c r="W308">
        <v>13.7</v>
      </c>
      <c r="X308" t="str">
        <v>Reels</v>
      </c>
      <c r="Y308" t="str">
        <v>Fitness</v>
      </c>
      <c r="Z308" t="str">
        <v>Friends_only</v>
      </c>
      <c r="AA308" t="str">
        <v>No</v>
      </c>
      <c r="AB308" t="str">
        <v>No</v>
      </c>
      <c r="AC308">
        <v>1</v>
      </c>
      <c r="AD308" t="str">
        <v>Premium</v>
      </c>
      <c r="AE308">
        <v>0.98</v>
      </c>
      <c r="AF308" s="14">
        <f t="shared" si="4"/>
        <v>0.54817412832680013</v>
      </c>
    </row>
    <row r="309" spans="1:32" x14ac:dyDescent="0.2">
      <c r="A309">
        <v>308</v>
      </c>
      <c r="B309" cm="1">
        <f t="array" ref="B309:AE309">_xlfn.XLOOKUP($A309,Instagram_Usage_Lifestyle_Mini_!$A:$A,Instagram_Usage_Lifestyle_Mini_!$AC:$BF)</f>
        <v>305</v>
      </c>
      <c r="C309">
        <v>11</v>
      </c>
      <c r="D309">
        <v>14</v>
      </c>
      <c r="E309">
        <v>293</v>
      </c>
      <c r="F309">
        <v>144</v>
      </c>
      <c r="G309">
        <v>195</v>
      </c>
      <c r="H309">
        <v>50</v>
      </c>
      <c r="I309">
        <v>48</v>
      </c>
      <c r="J309">
        <v>42</v>
      </c>
      <c r="K309">
        <v>23</v>
      </c>
      <c r="L309">
        <v>11</v>
      </c>
      <c r="M309">
        <v>150</v>
      </c>
      <c r="N309">
        <v>67</v>
      </c>
      <c r="O309">
        <v>74</v>
      </c>
      <c r="P309">
        <v>111</v>
      </c>
      <c r="Q309">
        <v>6341</v>
      </c>
      <c r="R309">
        <v>10000</v>
      </c>
      <c r="S309" t="str">
        <v>No</v>
      </c>
      <c r="T309">
        <v>0.97</v>
      </c>
      <c r="U309">
        <v>2018</v>
      </c>
      <c r="V309">
        <v>45931</v>
      </c>
      <c r="W309">
        <v>27.7</v>
      </c>
      <c r="X309" t="str">
        <v>Videos</v>
      </c>
      <c r="Y309" t="str">
        <v>Fitness</v>
      </c>
      <c r="Z309" t="str">
        <v>Public</v>
      </c>
      <c r="AA309" t="str">
        <v>Yes</v>
      </c>
      <c r="AB309" t="str">
        <v>No</v>
      </c>
      <c r="AC309">
        <v>3</v>
      </c>
      <c r="AD309" t="str">
        <v>Free</v>
      </c>
      <c r="AE309">
        <v>1.1000000000000001</v>
      </c>
      <c r="AF309" s="14">
        <f t="shared" si="4"/>
        <v>0.6341</v>
      </c>
    </row>
    <row r="310" spans="1:32" x14ac:dyDescent="0.2">
      <c r="A310">
        <v>309</v>
      </c>
      <c r="B310" cm="1">
        <f t="array" ref="B310:AE310">_xlfn.XLOOKUP($A310,Instagram_Usage_Lifestyle_Mini_!$A:$A,Instagram_Usage_Lifestyle_Mini_!$AC:$BF)</f>
        <v>5</v>
      </c>
      <c r="C310">
        <v>1</v>
      </c>
      <c r="D310">
        <v>1</v>
      </c>
      <c r="E310">
        <v>39</v>
      </c>
      <c r="F310">
        <v>34</v>
      </c>
      <c r="G310">
        <v>33</v>
      </c>
      <c r="H310">
        <v>4</v>
      </c>
      <c r="I310">
        <v>8</v>
      </c>
      <c r="J310">
        <v>7</v>
      </c>
      <c r="K310">
        <v>4</v>
      </c>
      <c r="L310">
        <v>2</v>
      </c>
      <c r="M310">
        <v>2</v>
      </c>
      <c r="N310">
        <v>1</v>
      </c>
      <c r="O310">
        <v>1</v>
      </c>
      <c r="P310">
        <v>1</v>
      </c>
      <c r="Q310">
        <v>2482</v>
      </c>
      <c r="R310">
        <v>5794</v>
      </c>
      <c r="S310" t="str">
        <v>No</v>
      </c>
      <c r="T310">
        <v>0.52</v>
      </c>
      <c r="U310">
        <v>2015</v>
      </c>
      <c r="V310">
        <v>45719</v>
      </c>
      <c r="W310">
        <v>5</v>
      </c>
      <c r="X310" t="str">
        <v>Stories</v>
      </c>
      <c r="Y310" t="str">
        <v>Food</v>
      </c>
      <c r="Z310" t="str">
        <v>Friends_only</v>
      </c>
      <c r="AA310" t="str">
        <v>Yes</v>
      </c>
      <c r="AB310" t="str">
        <v>No</v>
      </c>
      <c r="AC310">
        <v>2</v>
      </c>
      <c r="AD310" t="str">
        <v>Premium</v>
      </c>
      <c r="AE310">
        <v>7.33</v>
      </c>
      <c r="AF310" s="14">
        <f t="shared" si="4"/>
        <v>0.42837418018639972</v>
      </c>
    </row>
    <row r="311" spans="1:32" x14ac:dyDescent="0.2">
      <c r="A311">
        <v>310</v>
      </c>
      <c r="B311" cm="1">
        <f t="array" ref="B311:AE311">_xlfn.XLOOKUP($A311,Instagram_Usage_Lifestyle_Mini_!$A:$A,Instagram_Usage_Lifestyle_Mini_!$AC:$BF)</f>
        <v>203</v>
      </c>
      <c r="C311">
        <v>20</v>
      </c>
      <c r="D311">
        <v>3</v>
      </c>
      <c r="E311">
        <v>173</v>
      </c>
      <c r="F311">
        <v>104</v>
      </c>
      <c r="G311">
        <v>135</v>
      </c>
      <c r="H311">
        <v>36</v>
      </c>
      <c r="I311">
        <v>35</v>
      </c>
      <c r="J311">
        <v>30</v>
      </c>
      <c r="K311">
        <v>17</v>
      </c>
      <c r="L311">
        <v>4</v>
      </c>
      <c r="M311">
        <v>112</v>
      </c>
      <c r="N311">
        <v>22</v>
      </c>
      <c r="O311">
        <v>28</v>
      </c>
      <c r="P311">
        <v>42</v>
      </c>
      <c r="Q311">
        <v>1149</v>
      </c>
      <c r="R311">
        <v>502</v>
      </c>
      <c r="S311" t="str">
        <v>No</v>
      </c>
      <c r="T311">
        <v>0.78</v>
      </c>
      <c r="U311">
        <v>2014</v>
      </c>
      <c r="V311">
        <v>45766</v>
      </c>
      <c r="W311">
        <v>10.199999999999999</v>
      </c>
      <c r="X311" t="str">
        <v>Photos</v>
      </c>
      <c r="Y311" t="str">
        <v>Art</v>
      </c>
      <c r="Z311" t="str">
        <v>Public</v>
      </c>
      <c r="AA311" t="str">
        <v>Yes</v>
      </c>
      <c r="AB311" t="str">
        <v>No</v>
      </c>
      <c r="AC311">
        <v>2</v>
      </c>
      <c r="AD311" t="str">
        <v>Free</v>
      </c>
      <c r="AE311">
        <v>1.06</v>
      </c>
      <c r="AF311" s="14">
        <f t="shared" si="4"/>
        <v>2.2888446215139444</v>
      </c>
    </row>
    <row r="312" spans="1:32" x14ac:dyDescent="0.2">
      <c r="A312">
        <v>311</v>
      </c>
      <c r="B312" cm="1">
        <f t="array" ref="B312:AE312">_xlfn.XLOOKUP($A312,Instagram_Usage_Lifestyle_Mini_!$A:$A,Instagram_Usage_Lifestyle_Mini_!$AC:$BF)</f>
        <v>221</v>
      </c>
      <c r="C312">
        <v>15</v>
      </c>
      <c r="D312">
        <v>5</v>
      </c>
      <c r="E312">
        <v>186</v>
      </c>
      <c r="F312">
        <v>113</v>
      </c>
      <c r="G312">
        <v>151</v>
      </c>
      <c r="H312">
        <v>43</v>
      </c>
      <c r="I312">
        <v>34</v>
      </c>
      <c r="J312">
        <v>37</v>
      </c>
      <c r="K312">
        <v>21</v>
      </c>
      <c r="L312">
        <v>8</v>
      </c>
      <c r="M312">
        <v>104</v>
      </c>
      <c r="N312">
        <v>28</v>
      </c>
      <c r="O312">
        <v>48</v>
      </c>
      <c r="P312">
        <v>82</v>
      </c>
      <c r="Q312">
        <v>901</v>
      </c>
      <c r="R312">
        <v>450</v>
      </c>
      <c r="S312" t="str">
        <v>No</v>
      </c>
      <c r="T312">
        <v>0.84</v>
      </c>
      <c r="U312">
        <v>2025</v>
      </c>
      <c r="V312">
        <v>45978</v>
      </c>
      <c r="W312">
        <v>14.7</v>
      </c>
      <c r="X312" t="str">
        <v>Videos</v>
      </c>
      <c r="Y312" t="str">
        <v>Food</v>
      </c>
      <c r="Z312" t="str">
        <v>Private</v>
      </c>
      <c r="AA312" t="str">
        <v>Yes</v>
      </c>
      <c r="AB312" t="str">
        <v>No</v>
      </c>
      <c r="AC312">
        <v>1</v>
      </c>
      <c r="AD312" t="str">
        <v>Free</v>
      </c>
      <c r="AE312">
        <v>1.1399999999999999</v>
      </c>
      <c r="AF312" s="14">
        <f t="shared" si="4"/>
        <v>2.0022222222222221</v>
      </c>
    </row>
    <row r="313" spans="1:32" x14ac:dyDescent="0.2">
      <c r="A313">
        <v>312</v>
      </c>
      <c r="B313" cm="1">
        <f t="array" ref="B313:AE313">_xlfn.XLOOKUP($A313,Instagram_Usage_Lifestyle_Mini_!$A:$A,Instagram_Usage_Lifestyle_Mini_!$AC:$BF)</f>
        <v>118</v>
      </c>
      <c r="C313">
        <v>6</v>
      </c>
      <c r="D313">
        <v>4</v>
      </c>
      <c r="E313">
        <v>123</v>
      </c>
      <c r="F313">
        <v>83</v>
      </c>
      <c r="G313">
        <v>91</v>
      </c>
      <c r="H313">
        <v>23</v>
      </c>
      <c r="I313">
        <v>25</v>
      </c>
      <c r="J313">
        <v>22</v>
      </c>
      <c r="K313">
        <v>10</v>
      </c>
      <c r="L313">
        <v>6</v>
      </c>
      <c r="M313">
        <v>63</v>
      </c>
      <c r="N313">
        <v>30</v>
      </c>
      <c r="O313">
        <v>24</v>
      </c>
      <c r="P313">
        <v>26</v>
      </c>
      <c r="Q313">
        <v>14627</v>
      </c>
      <c r="R313">
        <v>10000</v>
      </c>
      <c r="S313" t="str">
        <v>Yes</v>
      </c>
      <c r="T313">
        <v>0.71</v>
      </c>
      <c r="U313">
        <v>2024</v>
      </c>
      <c r="V313">
        <v>45725</v>
      </c>
      <c r="W313">
        <v>19.7</v>
      </c>
      <c r="X313" t="str">
        <v>Stories</v>
      </c>
      <c r="Y313" t="str">
        <v>Fashion</v>
      </c>
      <c r="Z313" t="str">
        <v>Private</v>
      </c>
      <c r="AA313" t="str">
        <v>No</v>
      </c>
      <c r="AB313" t="str">
        <v>Yes</v>
      </c>
      <c r="AC313">
        <v>1</v>
      </c>
      <c r="AD313" t="str">
        <v>Premium</v>
      </c>
      <c r="AE313">
        <v>1.25</v>
      </c>
      <c r="AF313" s="14">
        <f t="shared" si="4"/>
        <v>1.4626999999999999</v>
      </c>
    </row>
    <row r="314" spans="1:32" x14ac:dyDescent="0.2">
      <c r="A314">
        <v>313</v>
      </c>
      <c r="B314" cm="1">
        <f t="array" ref="B314:AE314">_xlfn.XLOOKUP($A314,Instagram_Usage_Lifestyle_Mini_!$A:$A,Instagram_Usage_Lifestyle_Mini_!$AC:$BF)</f>
        <v>124</v>
      </c>
      <c r="C314">
        <v>7</v>
      </c>
      <c r="D314">
        <v>4</v>
      </c>
      <c r="E314">
        <v>166</v>
      </c>
      <c r="F314">
        <v>75</v>
      </c>
      <c r="G314">
        <v>99</v>
      </c>
      <c r="H314">
        <v>30</v>
      </c>
      <c r="I314">
        <v>25</v>
      </c>
      <c r="J314">
        <v>21</v>
      </c>
      <c r="K314">
        <v>12</v>
      </c>
      <c r="L314">
        <v>2</v>
      </c>
      <c r="M314">
        <v>64</v>
      </c>
      <c r="N314">
        <v>14</v>
      </c>
      <c r="O314">
        <v>24</v>
      </c>
      <c r="P314">
        <v>41</v>
      </c>
      <c r="Q314">
        <v>93</v>
      </c>
      <c r="R314">
        <v>138</v>
      </c>
      <c r="S314" t="str">
        <v>No</v>
      </c>
      <c r="T314">
        <v>0.91</v>
      </c>
      <c r="U314">
        <v>2015</v>
      </c>
      <c r="V314">
        <v>45792</v>
      </c>
      <c r="W314">
        <v>17.7</v>
      </c>
      <c r="X314" t="str">
        <v>Reels</v>
      </c>
      <c r="Y314" t="str">
        <v>Tech</v>
      </c>
      <c r="Z314" t="str">
        <v>Friends_only</v>
      </c>
      <c r="AA314" t="str">
        <v>Yes</v>
      </c>
      <c r="AB314" t="str">
        <v>No</v>
      </c>
      <c r="AC314">
        <v>2</v>
      </c>
      <c r="AD314" t="str">
        <v>Free</v>
      </c>
      <c r="AE314">
        <v>1.37</v>
      </c>
      <c r="AF314" s="14">
        <f t="shared" si="4"/>
        <v>0.67391304347826086</v>
      </c>
    </row>
    <row r="315" spans="1:32" x14ac:dyDescent="0.2">
      <c r="A315">
        <v>314</v>
      </c>
      <c r="B315" cm="1">
        <f t="array" ref="B315:AE315">_xlfn.XLOOKUP($A315,Instagram_Usage_Lifestyle_Mini_!$A:$A,Instagram_Usage_Lifestyle_Mini_!$AC:$BF)</f>
        <v>255</v>
      </c>
      <c r="C315">
        <v>7</v>
      </c>
      <c r="D315">
        <v>12</v>
      </c>
      <c r="E315">
        <v>265</v>
      </c>
      <c r="F315">
        <v>132</v>
      </c>
      <c r="G315">
        <v>184</v>
      </c>
      <c r="H315">
        <v>40</v>
      </c>
      <c r="I315">
        <v>38</v>
      </c>
      <c r="J315">
        <v>44</v>
      </c>
      <c r="K315">
        <v>25</v>
      </c>
      <c r="L315">
        <v>3</v>
      </c>
      <c r="M315">
        <v>121</v>
      </c>
      <c r="N315">
        <v>47</v>
      </c>
      <c r="O315">
        <v>55</v>
      </c>
      <c r="P315">
        <v>91</v>
      </c>
      <c r="Q315">
        <v>6318</v>
      </c>
      <c r="R315">
        <v>2661</v>
      </c>
      <c r="S315" t="str">
        <v>No</v>
      </c>
      <c r="T315">
        <v>0.14000000000000001</v>
      </c>
      <c r="U315">
        <v>2012</v>
      </c>
      <c r="V315">
        <v>45682</v>
      </c>
      <c r="W315">
        <v>36.4</v>
      </c>
      <c r="X315" t="str">
        <v>Videos</v>
      </c>
      <c r="Y315" t="str">
        <v>Other</v>
      </c>
      <c r="Z315" t="str">
        <v>Private</v>
      </c>
      <c r="AA315" t="str">
        <v>Yes</v>
      </c>
      <c r="AB315" t="str">
        <v>No</v>
      </c>
      <c r="AC315">
        <v>0</v>
      </c>
      <c r="AD315" t="str">
        <v>Free</v>
      </c>
      <c r="AE315">
        <v>1.17</v>
      </c>
      <c r="AF315" s="14">
        <f t="shared" si="4"/>
        <v>2.3742953776775648</v>
      </c>
    </row>
    <row r="316" spans="1:32" x14ac:dyDescent="0.2">
      <c r="A316">
        <v>315</v>
      </c>
      <c r="B316" cm="1">
        <f t="array" ref="B316:AE316">_xlfn.XLOOKUP($A316,Instagram_Usage_Lifestyle_Mini_!$A:$A,Instagram_Usage_Lifestyle_Mini_!$AC:$BF)</f>
        <v>125</v>
      </c>
      <c r="C316">
        <v>4</v>
      </c>
      <c r="D316">
        <v>6</v>
      </c>
      <c r="E316">
        <v>107</v>
      </c>
      <c r="F316">
        <v>84</v>
      </c>
      <c r="G316">
        <v>87</v>
      </c>
      <c r="H316">
        <v>31</v>
      </c>
      <c r="I316">
        <v>28</v>
      </c>
      <c r="J316">
        <v>25</v>
      </c>
      <c r="K316">
        <v>12</v>
      </c>
      <c r="L316">
        <v>2</v>
      </c>
      <c r="M316">
        <v>58</v>
      </c>
      <c r="N316">
        <v>37</v>
      </c>
      <c r="O316">
        <v>21</v>
      </c>
      <c r="P316">
        <v>28</v>
      </c>
      <c r="Q316">
        <v>1172</v>
      </c>
      <c r="R316">
        <v>2478</v>
      </c>
      <c r="S316" t="str">
        <v>Yes</v>
      </c>
      <c r="T316">
        <v>0.82</v>
      </c>
      <c r="U316">
        <v>2013</v>
      </c>
      <c r="V316">
        <v>45837</v>
      </c>
      <c r="W316">
        <v>31.2</v>
      </c>
      <c r="X316" t="str">
        <v>Reels</v>
      </c>
      <c r="Y316" t="str">
        <v>Fitness</v>
      </c>
      <c r="Z316" t="str">
        <v>Friends_only</v>
      </c>
      <c r="AA316" t="str">
        <v>Yes</v>
      </c>
      <c r="AB316" t="str">
        <v>Yes</v>
      </c>
      <c r="AC316">
        <v>1</v>
      </c>
      <c r="AD316" t="str">
        <v>Free</v>
      </c>
      <c r="AE316">
        <v>1.33</v>
      </c>
      <c r="AF316" s="14">
        <f t="shared" si="4"/>
        <v>0.47296206618240516</v>
      </c>
    </row>
    <row r="317" spans="1:32" x14ac:dyDescent="0.2">
      <c r="A317">
        <v>316</v>
      </c>
      <c r="B317" cm="1">
        <f t="array" ref="B317:AE317">_xlfn.XLOOKUP($A317,Instagram_Usage_Lifestyle_Mini_!$A:$A,Instagram_Usage_Lifestyle_Mini_!$AC:$BF)</f>
        <v>18</v>
      </c>
      <c r="C317">
        <v>1</v>
      </c>
      <c r="D317">
        <v>1</v>
      </c>
      <c r="E317">
        <v>44</v>
      </c>
      <c r="F317">
        <v>34</v>
      </c>
      <c r="G317">
        <v>30</v>
      </c>
      <c r="H317">
        <v>13</v>
      </c>
      <c r="I317">
        <v>17</v>
      </c>
      <c r="J317">
        <v>9</v>
      </c>
      <c r="K317">
        <v>5</v>
      </c>
      <c r="L317">
        <v>0</v>
      </c>
      <c r="M317">
        <v>11</v>
      </c>
      <c r="N317">
        <v>4</v>
      </c>
      <c r="O317">
        <v>3</v>
      </c>
      <c r="P317">
        <v>7</v>
      </c>
      <c r="Q317">
        <v>733</v>
      </c>
      <c r="R317">
        <v>1372</v>
      </c>
      <c r="S317" t="str">
        <v>No</v>
      </c>
      <c r="T317">
        <v>0.88</v>
      </c>
      <c r="U317">
        <v>2024</v>
      </c>
      <c r="V317">
        <v>45710</v>
      </c>
      <c r="W317">
        <v>18</v>
      </c>
      <c r="X317" t="str">
        <v>Photos</v>
      </c>
      <c r="Y317" t="str">
        <v>Tech</v>
      </c>
      <c r="Z317" t="str">
        <v>Public</v>
      </c>
      <c r="AA317" t="str">
        <v>Yes</v>
      </c>
      <c r="AB317" t="str">
        <v>No</v>
      </c>
      <c r="AC317">
        <v>2</v>
      </c>
      <c r="AD317" t="str">
        <v>Free</v>
      </c>
      <c r="AE317">
        <v>3.11</v>
      </c>
      <c r="AF317" s="14">
        <f t="shared" si="4"/>
        <v>0.53425655976676389</v>
      </c>
    </row>
    <row r="318" spans="1:32" x14ac:dyDescent="0.2">
      <c r="A318">
        <v>317</v>
      </c>
      <c r="B318" cm="1">
        <f t="array" ref="B318:AE318">_xlfn.XLOOKUP($A318,Instagram_Usage_Lifestyle_Mini_!$A:$A,Instagram_Usage_Lifestyle_Mini_!$AC:$BF)</f>
        <v>115</v>
      </c>
      <c r="C318">
        <v>5</v>
      </c>
      <c r="D318">
        <v>2</v>
      </c>
      <c r="E318">
        <v>108</v>
      </c>
      <c r="F318">
        <v>79</v>
      </c>
      <c r="G318">
        <v>84</v>
      </c>
      <c r="H318">
        <v>27</v>
      </c>
      <c r="I318">
        <v>30</v>
      </c>
      <c r="J318">
        <v>22</v>
      </c>
      <c r="K318">
        <v>9</v>
      </c>
      <c r="L318">
        <v>4</v>
      </c>
      <c r="M318">
        <v>57</v>
      </c>
      <c r="N318">
        <v>34</v>
      </c>
      <c r="O318">
        <v>25</v>
      </c>
      <c r="P318">
        <v>38</v>
      </c>
      <c r="Q318">
        <v>328</v>
      </c>
      <c r="R318">
        <v>634</v>
      </c>
      <c r="S318" t="str">
        <v>No</v>
      </c>
      <c r="T318">
        <v>0.65</v>
      </c>
      <c r="U318">
        <v>2010</v>
      </c>
      <c r="V318">
        <v>45832</v>
      </c>
      <c r="W318">
        <v>23</v>
      </c>
      <c r="X318" t="str">
        <v>Live</v>
      </c>
      <c r="Y318" t="str">
        <v>Travel</v>
      </c>
      <c r="Z318" t="str">
        <v>Friends_only</v>
      </c>
      <c r="AA318" t="str">
        <v>No</v>
      </c>
      <c r="AB318" t="str">
        <v>No</v>
      </c>
      <c r="AC318">
        <v>1</v>
      </c>
      <c r="AD318" t="str">
        <v>Free</v>
      </c>
      <c r="AE318">
        <v>1.24</v>
      </c>
      <c r="AF318" s="14">
        <f t="shared" si="4"/>
        <v>0.51735015772870663</v>
      </c>
    </row>
    <row r="319" spans="1:32" x14ac:dyDescent="0.2">
      <c r="A319">
        <v>318</v>
      </c>
      <c r="B319" cm="1">
        <f t="array" ref="B319:AE319">_xlfn.XLOOKUP($A319,Instagram_Usage_Lifestyle_Mini_!$A:$A,Instagram_Usage_Lifestyle_Mini_!$AC:$BF)</f>
        <v>262</v>
      </c>
      <c r="C319">
        <v>26</v>
      </c>
      <c r="D319">
        <v>4</v>
      </c>
      <c r="E319">
        <v>179</v>
      </c>
      <c r="F319">
        <v>140</v>
      </c>
      <c r="G319">
        <v>143</v>
      </c>
      <c r="H319">
        <v>44</v>
      </c>
      <c r="I319">
        <v>47</v>
      </c>
      <c r="J319">
        <v>37</v>
      </c>
      <c r="K319">
        <v>24</v>
      </c>
      <c r="L319">
        <v>7</v>
      </c>
      <c r="M319">
        <v>112</v>
      </c>
      <c r="N319">
        <v>34</v>
      </c>
      <c r="O319">
        <v>58</v>
      </c>
      <c r="P319">
        <v>99</v>
      </c>
      <c r="Q319">
        <v>403</v>
      </c>
      <c r="R319">
        <v>936</v>
      </c>
      <c r="S319" t="str">
        <v>No</v>
      </c>
      <c r="T319">
        <v>0.41</v>
      </c>
      <c r="U319">
        <v>2010</v>
      </c>
      <c r="V319">
        <v>45685</v>
      </c>
      <c r="W319">
        <v>10.1</v>
      </c>
      <c r="X319" t="str">
        <v>Mixed</v>
      </c>
      <c r="Y319" t="str">
        <v>Tech</v>
      </c>
      <c r="Z319" t="str">
        <v>Public</v>
      </c>
      <c r="AA319" t="str">
        <v>Yes</v>
      </c>
      <c r="AB319" t="str">
        <v>Yes</v>
      </c>
      <c r="AC319">
        <v>1</v>
      </c>
      <c r="AD319" t="str">
        <v>Free</v>
      </c>
      <c r="AE319">
        <v>0.92</v>
      </c>
      <c r="AF319" s="14">
        <f t="shared" si="4"/>
        <v>0.43055555555555558</v>
      </c>
    </row>
    <row r="320" spans="1:32" x14ac:dyDescent="0.2">
      <c r="A320">
        <v>319</v>
      </c>
      <c r="B320" cm="1">
        <f t="array" ref="B320:AE320">_xlfn.XLOOKUP($A320,Instagram_Usage_Lifestyle_Mini_!$A:$A,Instagram_Usage_Lifestyle_Mini_!$AC:$BF)</f>
        <v>101</v>
      </c>
      <c r="C320">
        <v>3</v>
      </c>
      <c r="D320">
        <v>3</v>
      </c>
      <c r="E320">
        <v>104</v>
      </c>
      <c r="F320">
        <v>74</v>
      </c>
      <c r="G320">
        <v>73</v>
      </c>
      <c r="H320">
        <v>16</v>
      </c>
      <c r="I320">
        <v>26</v>
      </c>
      <c r="J320">
        <v>18</v>
      </c>
      <c r="K320">
        <v>6</v>
      </c>
      <c r="L320">
        <v>2</v>
      </c>
      <c r="M320">
        <v>61</v>
      </c>
      <c r="N320">
        <v>16</v>
      </c>
      <c r="O320">
        <v>20</v>
      </c>
      <c r="P320">
        <v>37</v>
      </c>
      <c r="Q320">
        <v>1024</v>
      </c>
      <c r="R320">
        <v>2503</v>
      </c>
      <c r="S320" t="str">
        <v>No</v>
      </c>
      <c r="T320">
        <v>0.32</v>
      </c>
      <c r="U320">
        <v>2011</v>
      </c>
      <c r="V320">
        <v>45743</v>
      </c>
      <c r="W320">
        <v>33.700000000000003</v>
      </c>
      <c r="X320" t="str">
        <v>Mixed</v>
      </c>
      <c r="Y320" t="str">
        <v>Music</v>
      </c>
      <c r="Z320" t="str">
        <v>Public</v>
      </c>
      <c r="AA320" t="str">
        <v>Yes</v>
      </c>
      <c r="AB320" t="str">
        <v>Yes</v>
      </c>
      <c r="AC320">
        <v>1</v>
      </c>
      <c r="AD320" t="str">
        <v>Free</v>
      </c>
      <c r="AE320">
        <v>1.1200000000000001</v>
      </c>
      <c r="AF320" s="14">
        <f t="shared" si="4"/>
        <v>0.40910906911705952</v>
      </c>
    </row>
    <row r="321" spans="1:32" x14ac:dyDescent="0.2">
      <c r="A321">
        <v>320</v>
      </c>
      <c r="B321" cm="1">
        <f t="array" ref="B321:AE321">_xlfn.XLOOKUP($A321,Instagram_Usage_Lifestyle_Mini_!$A:$A,Instagram_Usage_Lifestyle_Mini_!$AC:$BF)</f>
        <v>206</v>
      </c>
      <c r="C321">
        <v>12</v>
      </c>
      <c r="D321">
        <v>11</v>
      </c>
      <c r="E321">
        <v>233</v>
      </c>
      <c r="F321">
        <v>110</v>
      </c>
      <c r="G321">
        <v>128</v>
      </c>
      <c r="H321">
        <v>32</v>
      </c>
      <c r="I321">
        <v>40</v>
      </c>
      <c r="J321">
        <v>32</v>
      </c>
      <c r="K321">
        <v>26</v>
      </c>
      <c r="L321">
        <v>5</v>
      </c>
      <c r="M321">
        <v>121</v>
      </c>
      <c r="N321">
        <v>41</v>
      </c>
      <c r="O321">
        <v>22</v>
      </c>
      <c r="P321">
        <v>56</v>
      </c>
      <c r="Q321">
        <v>417</v>
      </c>
      <c r="R321">
        <v>294</v>
      </c>
      <c r="S321" t="str">
        <v>No</v>
      </c>
      <c r="T321">
        <v>0.11</v>
      </c>
      <c r="U321">
        <v>2022</v>
      </c>
      <c r="V321">
        <v>45964</v>
      </c>
      <c r="W321">
        <v>17.2</v>
      </c>
      <c r="X321" t="str">
        <v>Stories</v>
      </c>
      <c r="Y321" t="str">
        <v>Fashion</v>
      </c>
      <c r="Z321" t="str">
        <v>Friends_only</v>
      </c>
      <c r="AA321" t="str">
        <v>Yes</v>
      </c>
      <c r="AB321" t="str">
        <v>No</v>
      </c>
      <c r="AC321">
        <v>3</v>
      </c>
      <c r="AD321" t="str">
        <v>Free</v>
      </c>
      <c r="AE321">
        <v>1.0900000000000001</v>
      </c>
      <c r="AF321" s="14">
        <f t="shared" si="4"/>
        <v>1.4183673469387754</v>
      </c>
    </row>
    <row r="322" spans="1:32" x14ac:dyDescent="0.2">
      <c r="A322">
        <v>321</v>
      </c>
      <c r="B322" cm="1">
        <f t="array" ref="B322:AE322">_xlfn.XLOOKUP($A322,Instagram_Usage_Lifestyle_Mini_!$A:$A,Instagram_Usage_Lifestyle_Mini_!$AC:$BF)</f>
        <v>107</v>
      </c>
      <c r="C322">
        <v>5</v>
      </c>
      <c r="D322">
        <v>1</v>
      </c>
      <c r="E322">
        <v>105</v>
      </c>
      <c r="F322">
        <v>65</v>
      </c>
      <c r="G322">
        <v>86</v>
      </c>
      <c r="H322">
        <v>30</v>
      </c>
      <c r="I322">
        <v>22</v>
      </c>
      <c r="J322">
        <v>19</v>
      </c>
      <c r="K322">
        <v>14</v>
      </c>
      <c r="L322">
        <v>2</v>
      </c>
      <c r="M322">
        <v>59</v>
      </c>
      <c r="N322">
        <v>28</v>
      </c>
      <c r="O322">
        <v>17</v>
      </c>
      <c r="P322">
        <v>26</v>
      </c>
      <c r="Q322">
        <v>1349</v>
      </c>
      <c r="R322">
        <v>835</v>
      </c>
      <c r="S322" t="str">
        <v>No</v>
      </c>
      <c r="T322">
        <v>0.86</v>
      </c>
      <c r="U322">
        <v>2013</v>
      </c>
      <c r="V322">
        <v>45866</v>
      </c>
      <c r="W322">
        <v>21.4</v>
      </c>
      <c r="X322" t="str">
        <v>Reels</v>
      </c>
      <c r="Y322" t="str">
        <v>Music</v>
      </c>
      <c r="Z322" t="str">
        <v>Public</v>
      </c>
      <c r="AA322" t="str">
        <v>Yes</v>
      </c>
      <c r="AB322" t="str">
        <v>Yes</v>
      </c>
      <c r="AC322">
        <v>1</v>
      </c>
      <c r="AD322" t="str">
        <v>Business</v>
      </c>
      <c r="AE322">
        <v>1.38</v>
      </c>
      <c r="AF322" s="14">
        <f t="shared" si="4"/>
        <v>1.6155688622754492</v>
      </c>
    </row>
    <row r="323" spans="1:32" x14ac:dyDescent="0.2">
      <c r="A323">
        <v>322</v>
      </c>
      <c r="B323" cm="1">
        <f t="array" ref="B323:AE323">_xlfn.XLOOKUP($A323,Instagram_Usage_Lifestyle_Mini_!$A:$A,Instagram_Usage_Lifestyle_Mini_!$AC:$BF)</f>
        <v>226</v>
      </c>
      <c r="C323">
        <v>18</v>
      </c>
      <c r="D323">
        <v>19</v>
      </c>
      <c r="E323">
        <v>256</v>
      </c>
      <c r="F323">
        <v>126</v>
      </c>
      <c r="G323">
        <v>134</v>
      </c>
      <c r="H323">
        <v>44</v>
      </c>
      <c r="I323">
        <v>36</v>
      </c>
      <c r="J323">
        <v>35</v>
      </c>
      <c r="K323">
        <v>25</v>
      </c>
      <c r="L323">
        <v>4</v>
      </c>
      <c r="M323">
        <v>98</v>
      </c>
      <c r="N323">
        <v>51</v>
      </c>
      <c r="O323">
        <v>37</v>
      </c>
      <c r="P323">
        <v>50</v>
      </c>
      <c r="Q323">
        <v>885</v>
      </c>
      <c r="R323">
        <v>469</v>
      </c>
      <c r="S323" t="str">
        <v>Yes</v>
      </c>
      <c r="T323">
        <v>0.81</v>
      </c>
      <c r="U323">
        <v>2017</v>
      </c>
      <c r="V323">
        <v>45788</v>
      </c>
      <c r="W323">
        <v>12.6</v>
      </c>
      <c r="X323" t="str">
        <v>Videos</v>
      </c>
      <c r="Y323" t="str">
        <v>Other</v>
      </c>
      <c r="Z323" t="str">
        <v>Public</v>
      </c>
      <c r="AA323" t="str">
        <v>Yes</v>
      </c>
      <c r="AB323" t="str">
        <v>Yes</v>
      </c>
      <c r="AC323">
        <v>3</v>
      </c>
      <c r="AD323" t="str">
        <v>Premium</v>
      </c>
      <c r="AE323">
        <v>1.23</v>
      </c>
      <c r="AF323" s="14">
        <f t="shared" ref="AF323:AF386" si="5">IF(R323=0,0,Q323/R323)</f>
        <v>1.8869936034115138</v>
      </c>
    </row>
    <row r="324" spans="1:32" x14ac:dyDescent="0.2">
      <c r="A324">
        <v>323</v>
      </c>
      <c r="B324" cm="1">
        <f t="array" ref="B324:AE324">_xlfn.XLOOKUP($A324,Instagram_Usage_Lifestyle_Mini_!$A:$A,Instagram_Usage_Lifestyle_Mini_!$AC:$BF)</f>
        <v>189</v>
      </c>
      <c r="C324">
        <v>11</v>
      </c>
      <c r="D324">
        <v>6</v>
      </c>
      <c r="E324">
        <v>169</v>
      </c>
      <c r="F324">
        <v>110</v>
      </c>
      <c r="G324">
        <v>119</v>
      </c>
      <c r="H324">
        <v>39</v>
      </c>
      <c r="I324">
        <v>32</v>
      </c>
      <c r="J324">
        <v>22</v>
      </c>
      <c r="K324">
        <v>26</v>
      </c>
      <c r="L324">
        <v>3</v>
      </c>
      <c r="M324">
        <v>78</v>
      </c>
      <c r="N324">
        <v>48</v>
      </c>
      <c r="O324">
        <v>32</v>
      </c>
      <c r="P324">
        <v>64</v>
      </c>
      <c r="Q324">
        <v>866</v>
      </c>
      <c r="R324">
        <v>777</v>
      </c>
      <c r="S324" t="str">
        <v>Yes</v>
      </c>
      <c r="T324">
        <v>0.59</v>
      </c>
      <c r="U324">
        <v>2012</v>
      </c>
      <c r="V324">
        <v>45757</v>
      </c>
      <c r="W324">
        <v>17.2</v>
      </c>
      <c r="X324" t="str">
        <v>Photos</v>
      </c>
      <c r="Y324" t="str">
        <v>Art</v>
      </c>
      <c r="Z324" t="str">
        <v>Private</v>
      </c>
      <c r="AA324" t="str">
        <v>Yes</v>
      </c>
      <c r="AB324" t="str">
        <v>No</v>
      </c>
      <c r="AC324">
        <v>2</v>
      </c>
      <c r="AD324" t="str">
        <v>Free</v>
      </c>
      <c r="AE324">
        <v>1.1299999999999999</v>
      </c>
      <c r="AF324" s="14">
        <f t="shared" si="5"/>
        <v>1.1145431145431146</v>
      </c>
    </row>
    <row r="325" spans="1:32" x14ac:dyDescent="0.2">
      <c r="A325">
        <v>324</v>
      </c>
      <c r="B325" cm="1">
        <f t="array" ref="B325:AE325">_xlfn.XLOOKUP($A325,Instagram_Usage_Lifestyle_Mini_!$A:$A,Instagram_Usage_Lifestyle_Mini_!$AC:$BF)</f>
        <v>69</v>
      </c>
      <c r="C325">
        <v>3</v>
      </c>
      <c r="D325">
        <v>3</v>
      </c>
      <c r="E325">
        <v>97</v>
      </c>
      <c r="F325">
        <v>53</v>
      </c>
      <c r="G325">
        <v>54</v>
      </c>
      <c r="H325">
        <v>17</v>
      </c>
      <c r="I325">
        <v>16</v>
      </c>
      <c r="J325">
        <v>11</v>
      </c>
      <c r="K325">
        <v>10</v>
      </c>
      <c r="L325">
        <v>0</v>
      </c>
      <c r="M325">
        <v>32</v>
      </c>
      <c r="N325">
        <v>8</v>
      </c>
      <c r="O325">
        <v>8</v>
      </c>
      <c r="P325">
        <v>14</v>
      </c>
      <c r="Q325">
        <v>3520</v>
      </c>
      <c r="R325">
        <v>7966</v>
      </c>
      <c r="S325" t="str">
        <v>No</v>
      </c>
      <c r="T325">
        <v>0.55000000000000004</v>
      </c>
      <c r="U325">
        <v>2020</v>
      </c>
      <c r="V325">
        <v>45907</v>
      </c>
      <c r="W325">
        <v>23</v>
      </c>
      <c r="X325" t="str">
        <v>Videos</v>
      </c>
      <c r="Y325" t="str">
        <v>Music</v>
      </c>
      <c r="Z325" t="str">
        <v>Friends_only</v>
      </c>
      <c r="AA325" t="str">
        <v>No</v>
      </c>
      <c r="AB325" t="str">
        <v>No</v>
      </c>
      <c r="AC325">
        <v>5</v>
      </c>
      <c r="AD325" t="str">
        <v>Free</v>
      </c>
      <c r="AE325">
        <v>1.39</v>
      </c>
      <c r="AF325" s="14">
        <f t="shared" si="5"/>
        <v>0.4418779814210394</v>
      </c>
    </row>
    <row r="326" spans="1:32" x14ac:dyDescent="0.2">
      <c r="A326">
        <v>325</v>
      </c>
      <c r="B326" cm="1">
        <f t="array" ref="B326:AE326">_xlfn.XLOOKUP($A326,Instagram_Usage_Lifestyle_Mini_!$A:$A,Instagram_Usage_Lifestyle_Mini_!$AC:$BF)</f>
        <v>41</v>
      </c>
      <c r="C326">
        <v>2</v>
      </c>
      <c r="D326">
        <v>3</v>
      </c>
      <c r="E326">
        <v>68</v>
      </c>
      <c r="F326">
        <v>54</v>
      </c>
      <c r="G326">
        <v>36</v>
      </c>
      <c r="H326">
        <v>13</v>
      </c>
      <c r="I326">
        <v>16</v>
      </c>
      <c r="J326">
        <v>11</v>
      </c>
      <c r="K326">
        <v>9</v>
      </c>
      <c r="L326">
        <v>4</v>
      </c>
      <c r="M326">
        <v>24</v>
      </c>
      <c r="N326">
        <v>6</v>
      </c>
      <c r="O326">
        <v>8</v>
      </c>
      <c r="P326">
        <v>13</v>
      </c>
      <c r="Q326">
        <v>2199</v>
      </c>
      <c r="R326">
        <v>3641</v>
      </c>
      <c r="S326" t="str">
        <v>No</v>
      </c>
      <c r="T326">
        <v>0.11</v>
      </c>
      <c r="U326">
        <v>2015</v>
      </c>
      <c r="V326">
        <v>45689</v>
      </c>
      <c r="W326">
        <v>20.5</v>
      </c>
      <c r="X326" t="str">
        <v>Reels</v>
      </c>
      <c r="Y326" t="str">
        <v>Art</v>
      </c>
      <c r="Z326" t="str">
        <v>Friends_only</v>
      </c>
      <c r="AA326" t="str">
        <v>Yes</v>
      </c>
      <c r="AB326" t="str">
        <v>Yes</v>
      </c>
      <c r="AC326">
        <v>3</v>
      </c>
      <c r="AD326" t="str">
        <v>Free</v>
      </c>
      <c r="AE326">
        <v>1.69</v>
      </c>
      <c r="AF326" s="14">
        <f t="shared" si="5"/>
        <v>0.60395495742927763</v>
      </c>
    </row>
    <row r="327" spans="1:32" x14ac:dyDescent="0.2">
      <c r="A327">
        <v>326</v>
      </c>
      <c r="B327" cm="1">
        <f t="array" ref="B327:AE327">_xlfn.XLOOKUP($A327,Instagram_Usage_Lifestyle_Mini_!$A:$A,Instagram_Usage_Lifestyle_Mini_!$AC:$BF)</f>
        <v>188</v>
      </c>
      <c r="C327">
        <v>6</v>
      </c>
      <c r="D327">
        <v>1</v>
      </c>
      <c r="E327">
        <v>160</v>
      </c>
      <c r="F327">
        <v>120</v>
      </c>
      <c r="G327">
        <v>96</v>
      </c>
      <c r="H327">
        <v>26</v>
      </c>
      <c r="I327">
        <v>33</v>
      </c>
      <c r="J327">
        <v>21</v>
      </c>
      <c r="K327">
        <v>15</v>
      </c>
      <c r="L327">
        <v>4</v>
      </c>
      <c r="M327">
        <v>81</v>
      </c>
      <c r="N327">
        <v>22</v>
      </c>
      <c r="O327">
        <v>43</v>
      </c>
      <c r="P327">
        <v>74</v>
      </c>
      <c r="Q327">
        <v>102</v>
      </c>
      <c r="R327">
        <v>177</v>
      </c>
      <c r="S327" t="str">
        <v>Yes</v>
      </c>
      <c r="T327">
        <v>0.45</v>
      </c>
      <c r="U327">
        <v>2015</v>
      </c>
      <c r="V327">
        <v>45986</v>
      </c>
      <c r="W327">
        <v>31.3</v>
      </c>
      <c r="X327" t="str">
        <v>Stories</v>
      </c>
      <c r="Y327" t="str">
        <v>Fitness</v>
      </c>
      <c r="Z327" t="str">
        <v>Private</v>
      </c>
      <c r="AA327" t="str">
        <v>Yes</v>
      </c>
      <c r="AB327" t="str">
        <v>Yes</v>
      </c>
      <c r="AC327">
        <v>5</v>
      </c>
      <c r="AD327" t="str">
        <v>Free</v>
      </c>
      <c r="AE327">
        <v>0.8</v>
      </c>
      <c r="AF327" s="14">
        <f t="shared" si="5"/>
        <v>0.57627118644067798</v>
      </c>
    </row>
    <row r="328" spans="1:32" x14ac:dyDescent="0.2">
      <c r="A328">
        <v>327</v>
      </c>
      <c r="B328" cm="1">
        <f t="array" ref="B328:AE328">_xlfn.XLOOKUP($A328,Instagram_Usage_Lifestyle_Mini_!$A:$A,Instagram_Usage_Lifestyle_Mini_!$AC:$BF)</f>
        <v>222</v>
      </c>
      <c r="C328">
        <v>16</v>
      </c>
      <c r="D328">
        <v>13</v>
      </c>
      <c r="E328">
        <v>206</v>
      </c>
      <c r="F328">
        <v>112</v>
      </c>
      <c r="G328">
        <v>132</v>
      </c>
      <c r="H328">
        <v>36</v>
      </c>
      <c r="I328">
        <v>32</v>
      </c>
      <c r="J328">
        <v>24</v>
      </c>
      <c r="K328">
        <v>25</v>
      </c>
      <c r="L328">
        <v>8</v>
      </c>
      <c r="M328">
        <v>106</v>
      </c>
      <c r="N328">
        <v>32</v>
      </c>
      <c r="O328">
        <v>52</v>
      </c>
      <c r="P328">
        <v>51</v>
      </c>
      <c r="Q328">
        <v>2579</v>
      </c>
      <c r="R328">
        <v>4572</v>
      </c>
      <c r="S328" t="str">
        <v>No</v>
      </c>
      <c r="T328">
        <v>0.73</v>
      </c>
      <c r="U328">
        <v>2012</v>
      </c>
      <c r="V328">
        <v>45680</v>
      </c>
      <c r="W328">
        <v>13.9</v>
      </c>
      <c r="X328" t="str">
        <v>Stories</v>
      </c>
      <c r="Y328" t="str">
        <v>Travel</v>
      </c>
      <c r="Z328" t="str">
        <v>Friends_only</v>
      </c>
      <c r="AA328" t="str">
        <v>Yes</v>
      </c>
      <c r="AB328" t="str">
        <v>No</v>
      </c>
      <c r="AC328">
        <v>4</v>
      </c>
      <c r="AD328" t="str">
        <v>Free</v>
      </c>
      <c r="AE328">
        <v>1.0900000000000001</v>
      </c>
      <c r="AF328" s="14">
        <f t="shared" si="5"/>
        <v>0.56408573928258965</v>
      </c>
    </row>
    <row r="329" spans="1:32" x14ac:dyDescent="0.2">
      <c r="A329">
        <v>328</v>
      </c>
      <c r="B329" cm="1">
        <f t="array" ref="B329:AE329">_xlfn.XLOOKUP($A329,Instagram_Usage_Lifestyle_Mini_!$A:$A,Instagram_Usage_Lifestyle_Mini_!$AC:$BF)</f>
        <v>172</v>
      </c>
      <c r="C329">
        <v>13</v>
      </c>
      <c r="D329">
        <v>3</v>
      </c>
      <c r="E329">
        <v>139</v>
      </c>
      <c r="F329">
        <v>102</v>
      </c>
      <c r="G329">
        <v>112</v>
      </c>
      <c r="H329">
        <v>33</v>
      </c>
      <c r="I329">
        <v>32</v>
      </c>
      <c r="J329">
        <v>38</v>
      </c>
      <c r="K329">
        <v>25</v>
      </c>
      <c r="L329">
        <v>4</v>
      </c>
      <c r="M329">
        <v>81</v>
      </c>
      <c r="N329">
        <v>30</v>
      </c>
      <c r="O329">
        <v>40</v>
      </c>
      <c r="P329">
        <v>41</v>
      </c>
      <c r="Q329">
        <v>2458</v>
      </c>
      <c r="R329">
        <v>1831</v>
      </c>
      <c r="S329" t="str">
        <v>No</v>
      </c>
      <c r="T329">
        <v>0.01</v>
      </c>
      <c r="U329">
        <v>2024</v>
      </c>
      <c r="V329">
        <v>45844</v>
      </c>
      <c r="W329">
        <v>13.2</v>
      </c>
      <c r="X329" t="str">
        <v>Photos</v>
      </c>
      <c r="Y329" t="str">
        <v>Fashion</v>
      </c>
      <c r="Z329" t="str">
        <v>Private</v>
      </c>
      <c r="AA329" t="str">
        <v>No</v>
      </c>
      <c r="AB329" t="str">
        <v>Yes</v>
      </c>
      <c r="AC329">
        <v>3</v>
      </c>
      <c r="AD329" t="str">
        <v>Free</v>
      </c>
      <c r="AE329">
        <v>1.08</v>
      </c>
      <c r="AF329" s="14">
        <f t="shared" si="5"/>
        <v>1.3424358274167121</v>
      </c>
    </row>
    <row r="330" spans="1:32" x14ac:dyDescent="0.2">
      <c r="A330">
        <v>329</v>
      </c>
      <c r="B330" cm="1">
        <f t="array" ref="B330:AE330">_xlfn.XLOOKUP($A330,Instagram_Usage_Lifestyle_Mini_!$A:$A,Instagram_Usage_Lifestyle_Mini_!$AC:$BF)</f>
        <v>351</v>
      </c>
      <c r="C330">
        <v>14</v>
      </c>
      <c r="D330">
        <v>4</v>
      </c>
      <c r="E330">
        <v>237</v>
      </c>
      <c r="F330">
        <v>150</v>
      </c>
      <c r="G330">
        <v>197</v>
      </c>
      <c r="H330">
        <v>53</v>
      </c>
      <c r="I330">
        <v>38</v>
      </c>
      <c r="J330">
        <v>61</v>
      </c>
      <c r="K330">
        <v>30</v>
      </c>
      <c r="L330">
        <v>8</v>
      </c>
      <c r="M330">
        <v>205</v>
      </c>
      <c r="N330">
        <v>44</v>
      </c>
      <c r="O330">
        <v>70</v>
      </c>
      <c r="P330">
        <v>91</v>
      </c>
      <c r="Q330">
        <v>197</v>
      </c>
      <c r="R330">
        <v>370</v>
      </c>
      <c r="S330" t="str">
        <v>No</v>
      </c>
      <c r="T330">
        <v>0.93</v>
      </c>
      <c r="U330">
        <v>2017</v>
      </c>
      <c r="V330">
        <v>45750</v>
      </c>
      <c r="W330">
        <v>25.1</v>
      </c>
      <c r="X330" t="str">
        <v>Reels</v>
      </c>
      <c r="Y330" t="str">
        <v>Art</v>
      </c>
      <c r="Z330" t="str">
        <v>Private</v>
      </c>
      <c r="AA330" t="str">
        <v>Yes</v>
      </c>
      <c r="AB330" t="str">
        <v>No</v>
      </c>
      <c r="AC330">
        <v>1</v>
      </c>
      <c r="AD330" t="str">
        <v>Premium</v>
      </c>
      <c r="AE330">
        <v>0.89</v>
      </c>
      <c r="AF330" s="14">
        <f t="shared" si="5"/>
        <v>0.53243243243243243</v>
      </c>
    </row>
    <row r="331" spans="1:32" x14ac:dyDescent="0.2">
      <c r="A331">
        <v>330</v>
      </c>
      <c r="B331" cm="1">
        <f t="array" ref="B331:AE331">_xlfn.XLOOKUP($A331,Instagram_Usage_Lifestyle_Mini_!$A:$A,Instagram_Usage_Lifestyle_Mini_!$AC:$BF)</f>
        <v>105</v>
      </c>
      <c r="C331">
        <v>12</v>
      </c>
      <c r="D331">
        <v>4</v>
      </c>
      <c r="E331">
        <v>118</v>
      </c>
      <c r="F331">
        <v>90</v>
      </c>
      <c r="G331">
        <v>63</v>
      </c>
      <c r="H331">
        <v>18</v>
      </c>
      <c r="I331">
        <v>29</v>
      </c>
      <c r="J331">
        <v>21</v>
      </c>
      <c r="K331">
        <v>19</v>
      </c>
      <c r="L331">
        <v>3</v>
      </c>
      <c r="M331">
        <v>59</v>
      </c>
      <c r="N331">
        <v>18</v>
      </c>
      <c r="O331">
        <v>15</v>
      </c>
      <c r="P331">
        <v>41</v>
      </c>
      <c r="Q331">
        <v>2750</v>
      </c>
      <c r="R331">
        <v>5829</v>
      </c>
      <c r="S331" t="str">
        <v>Yes</v>
      </c>
      <c r="T331">
        <v>0.11</v>
      </c>
      <c r="U331">
        <v>2024</v>
      </c>
      <c r="V331">
        <v>45917</v>
      </c>
      <c r="W331">
        <v>8.8000000000000007</v>
      </c>
      <c r="X331" t="str">
        <v>Photos</v>
      </c>
      <c r="Y331" t="str">
        <v>Tech</v>
      </c>
      <c r="Z331" t="str">
        <v>Friends_only</v>
      </c>
      <c r="AA331" t="str">
        <v>Yes</v>
      </c>
      <c r="AB331" t="str">
        <v>Yes</v>
      </c>
      <c r="AC331">
        <v>0</v>
      </c>
      <c r="AD331" t="str">
        <v>Free</v>
      </c>
      <c r="AE331">
        <v>1.05</v>
      </c>
      <c r="AF331" s="14">
        <f t="shared" si="5"/>
        <v>0.47177903585520675</v>
      </c>
    </row>
    <row r="332" spans="1:32" x14ac:dyDescent="0.2">
      <c r="A332">
        <v>331</v>
      </c>
      <c r="B332" cm="1">
        <f t="array" ref="B332:AE332">_xlfn.XLOOKUP($A332,Instagram_Usage_Lifestyle_Mini_!$A:$A,Instagram_Usage_Lifestyle_Mini_!$AC:$BF)</f>
        <v>259</v>
      </c>
      <c r="C332">
        <v>24</v>
      </c>
      <c r="D332">
        <v>8</v>
      </c>
      <c r="E332">
        <v>216</v>
      </c>
      <c r="F332">
        <v>131</v>
      </c>
      <c r="G332">
        <v>165</v>
      </c>
      <c r="H332">
        <v>44</v>
      </c>
      <c r="I332">
        <v>33</v>
      </c>
      <c r="J332">
        <v>30</v>
      </c>
      <c r="K332">
        <v>24</v>
      </c>
      <c r="L332">
        <v>9</v>
      </c>
      <c r="M332">
        <v>127</v>
      </c>
      <c r="N332">
        <v>39</v>
      </c>
      <c r="O332">
        <v>41</v>
      </c>
      <c r="P332">
        <v>84</v>
      </c>
      <c r="Q332">
        <v>937</v>
      </c>
      <c r="R332">
        <v>892</v>
      </c>
      <c r="S332" t="str">
        <v>Yes</v>
      </c>
      <c r="T332">
        <v>0.03</v>
      </c>
      <c r="U332">
        <v>2015</v>
      </c>
      <c r="V332">
        <v>45678</v>
      </c>
      <c r="W332">
        <v>10.8</v>
      </c>
      <c r="X332" t="str">
        <v>Stories</v>
      </c>
      <c r="Y332" t="str">
        <v>Music</v>
      </c>
      <c r="Z332" t="str">
        <v>Private</v>
      </c>
      <c r="AA332" t="str">
        <v>No</v>
      </c>
      <c r="AB332" t="str">
        <v>Yes</v>
      </c>
      <c r="AC332">
        <v>0</v>
      </c>
      <c r="AD332" t="str">
        <v>Premium</v>
      </c>
      <c r="AE332">
        <v>1.07</v>
      </c>
      <c r="AF332" s="14">
        <f t="shared" si="5"/>
        <v>1.0504484304932735</v>
      </c>
    </row>
    <row r="333" spans="1:32" x14ac:dyDescent="0.2">
      <c r="A333">
        <v>332</v>
      </c>
      <c r="B333" cm="1">
        <f t="array" ref="B333:AE333">_xlfn.XLOOKUP($A333,Instagram_Usage_Lifestyle_Mini_!$A:$A,Instagram_Usage_Lifestyle_Mini_!$AC:$BF)</f>
        <v>5</v>
      </c>
      <c r="C333">
        <v>1</v>
      </c>
      <c r="D333">
        <v>2</v>
      </c>
      <c r="E333">
        <v>63</v>
      </c>
      <c r="F333">
        <v>40</v>
      </c>
      <c r="G333">
        <v>30</v>
      </c>
      <c r="H333">
        <v>7</v>
      </c>
      <c r="I333">
        <v>14</v>
      </c>
      <c r="J333">
        <v>9</v>
      </c>
      <c r="K333">
        <v>6</v>
      </c>
      <c r="L333">
        <v>0</v>
      </c>
      <c r="M333">
        <v>2</v>
      </c>
      <c r="N333">
        <v>1</v>
      </c>
      <c r="O333">
        <v>1</v>
      </c>
      <c r="P333">
        <v>2</v>
      </c>
      <c r="Q333">
        <v>430</v>
      </c>
      <c r="R333">
        <v>343</v>
      </c>
      <c r="S333" t="str">
        <v>No</v>
      </c>
      <c r="T333">
        <v>0.87</v>
      </c>
      <c r="U333">
        <v>2016</v>
      </c>
      <c r="V333">
        <v>45996</v>
      </c>
      <c r="W333">
        <v>5</v>
      </c>
      <c r="X333" t="str">
        <v>Live</v>
      </c>
      <c r="Y333" t="str">
        <v>Art</v>
      </c>
      <c r="Z333" t="str">
        <v>Friends_only</v>
      </c>
      <c r="AA333" t="str">
        <v>Yes</v>
      </c>
      <c r="AB333" t="str">
        <v>Yes</v>
      </c>
      <c r="AC333">
        <v>5</v>
      </c>
      <c r="AD333" t="str">
        <v>Free</v>
      </c>
      <c r="AE333">
        <v>8.33</v>
      </c>
      <c r="AF333" s="14">
        <f t="shared" si="5"/>
        <v>1.2536443148688046</v>
      </c>
    </row>
    <row r="334" spans="1:32" x14ac:dyDescent="0.2">
      <c r="A334">
        <v>333</v>
      </c>
      <c r="B334" cm="1">
        <f t="array" ref="B334:AE334">_xlfn.XLOOKUP($A334,Instagram_Usage_Lifestyle_Mini_!$A:$A,Instagram_Usage_Lifestyle_Mini_!$AC:$BF)</f>
        <v>171</v>
      </c>
      <c r="C334">
        <v>5</v>
      </c>
      <c r="D334">
        <v>1</v>
      </c>
      <c r="E334">
        <v>134</v>
      </c>
      <c r="F334">
        <v>92</v>
      </c>
      <c r="G334">
        <v>116</v>
      </c>
      <c r="H334">
        <v>35</v>
      </c>
      <c r="I334">
        <v>29</v>
      </c>
      <c r="J334">
        <v>41</v>
      </c>
      <c r="K334">
        <v>17</v>
      </c>
      <c r="L334">
        <v>4</v>
      </c>
      <c r="M334">
        <v>89</v>
      </c>
      <c r="N334">
        <v>20</v>
      </c>
      <c r="O334">
        <v>39</v>
      </c>
      <c r="P334">
        <v>54</v>
      </c>
      <c r="Q334">
        <v>458</v>
      </c>
      <c r="R334">
        <v>187</v>
      </c>
      <c r="S334" t="str">
        <v>No</v>
      </c>
      <c r="T334">
        <v>0.19</v>
      </c>
      <c r="U334">
        <v>2024</v>
      </c>
      <c r="V334">
        <v>45676</v>
      </c>
      <c r="W334">
        <v>34.200000000000003</v>
      </c>
      <c r="X334" t="str">
        <v>Photos</v>
      </c>
      <c r="Y334" t="str">
        <v>Fashion</v>
      </c>
      <c r="Z334" t="str">
        <v>Private</v>
      </c>
      <c r="AA334" t="str">
        <v>Yes</v>
      </c>
      <c r="AB334" t="str">
        <v>Yes</v>
      </c>
      <c r="AC334">
        <v>3</v>
      </c>
      <c r="AD334" t="str">
        <v>Free</v>
      </c>
      <c r="AE334">
        <v>1.1000000000000001</v>
      </c>
      <c r="AF334" s="14">
        <f t="shared" si="5"/>
        <v>2.4491978609625669</v>
      </c>
    </row>
    <row r="335" spans="1:32" x14ac:dyDescent="0.2">
      <c r="A335">
        <v>334</v>
      </c>
      <c r="B335" cm="1">
        <f t="array" ref="B335:AE335">_xlfn.XLOOKUP($A335,Instagram_Usage_Lifestyle_Mini_!$A:$A,Instagram_Usage_Lifestyle_Mini_!$AC:$BF)</f>
        <v>91</v>
      </c>
      <c r="C335">
        <v>4</v>
      </c>
      <c r="D335">
        <v>3</v>
      </c>
      <c r="E335">
        <v>108</v>
      </c>
      <c r="F335">
        <v>51</v>
      </c>
      <c r="G335">
        <v>70</v>
      </c>
      <c r="H335">
        <v>23</v>
      </c>
      <c r="I335">
        <v>20</v>
      </c>
      <c r="J335">
        <v>18</v>
      </c>
      <c r="K335">
        <v>7</v>
      </c>
      <c r="L335">
        <v>3</v>
      </c>
      <c r="M335">
        <v>54</v>
      </c>
      <c r="N335">
        <v>18</v>
      </c>
      <c r="O335">
        <v>17</v>
      </c>
      <c r="P335">
        <v>35</v>
      </c>
      <c r="Q335">
        <v>1268</v>
      </c>
      <c r="R335">
        <v>2426</v>
      </c>
      <c r="S335" t="str">
        <v>No</v>
      </c>
      <c r="T335">
        <v>0.93</v>
      </c>
      <c r="U335">
        <v>2022</v>
      </c>
      <c r="V335">
        <v>45805</v>
      </c>
      <c r="W335">
        <v>22.8</v>
      </c>
      <c r="X335" t="str">
        <v>Photos</v>
      </c>
      <c r="Y335" t="str">
        <v>Tech</v>
      </c>
      <c r="Z335" t="str">
        <v>Friends_only</v>
      </c>
      <c r="AA335" t="str">
        <v>Yes</v>
      </c>
      <c r="AB335" t="str">
        <v>Yes</v>
      </c>
      <c r="AC335">
        <v>4</v>
      </c>
      <c r="AD335" t="str">
        <v>Free</v>
      </c>
      <c r="AE335">
        <v>1.36</v>
      </c>
      <c r="AF335" s="14">
        <f t="shared" si="5"/>
        <v>0.52267106347897774</v>
      </c>
    </row>
    <row r="336" spans="1:32" x14ac:dyDescent="0.2">
      <c r="A336">
        <v>335</v>
      </c>
      <c r="B336" cm="1">
        <f t="array" ref="B336:AE336">_xlfn.XLOOKUP($A336,Instagram_Usage_Lifestyle_Mini_!$A:$A,Instagram_Usage_Lifestyle_Mini_!$AC:$BF)</f>
        <v>197</v>
      </c>
      <c r="C336">
        <v>7</v>
      </c>
      <c r="D336">
        <v>3</v>
      </c>
      <c r="E336">
        <v>145</v>
      </c>
      <c r="F336">
        <v>111</v>
      </c>
      <c r="G336">
        <v>118</v>
      </c>
      <c r="H336">
        <v>38</v>
      </c>
      <c r="I336">
        <v>32</v>
      </c>
      <c r="J336">
        <v>33</v>
      </c>
      <c r="K336">
        <v>23</v>
      </c>
      <c r="L336">
        <v>6</v>
      </c>
      <c r="M336">
        <v>89</v>
      </c>
      <c r="N336">
        <v>46</v>
      </c>
      <c r="O336">
        <v>39</v>
      </c>
      <c r="P336">
        <v>43</v>
      </c>
      <c r="Q336">
        <v>1920</v>
      </c>
      <c r="R336">
        <v>4628</v>
      </c>
      <c r="S336" t="str">
        <v>No</v>
      </c>
      <c r="T336">
        <v>0.04</v>
      </c>
      <c r="U336">
        <v>2014</v>
      </c>
      <c r="V336">
        <v>45882</v>
      </c>
      <c r="W336">
        <v>28.1</v>
      </c>
      <c r="X336" t="str">
        <v>Live</v>
      </c>
      <c r="Y336" t="str">
        <v>Food</v>
      </c>
      <c r="Z336" t="str">
        <v>Private</v>
      </c>
      <c r="AA336" t="str">
        <v>No</v>
      </c>
      <c r="AB336" t="str">
        <v>No</v>
      </c>
      <c r="AC336">
        <v>3</v>
      </c>
      <c r="AD336" t="str">
        <v>Free</v>
      </c>
      <c r="AE336">
        <v>1.03</v>
      </c>
      <c r="AF336" s="14">
        <f t="shared" si="5"/>
        <v>0.41486603284356094</v>
      </c>
    </row>
    <row r="337" spans="1:32" x14ac:dyDescent="0.2">
      <c r="A337">
        <v>336</v>
      </c>
      <c r="B337" cm="1">
        <f t="array" ref="B337:AE337">_xlfn.XLOOKUP($A337,Instagram_Usage_Lifestyle_Mini_!$A:$A,Instagram_Usage_Lifestyle_Mini_!$AC:$BF)</f>
        <v>238</v>
      </c>
      <c r="C337">
        <v>22</v>
      </c>
      <c r="D337">
        <v>8</v>
      </c>
      <c r="E337">
        <v>266</v>
      </c>
      <c r="F337">
        <v>118</v>
      </c>
      <c r="G337">
        <v>140</v>
      </c>
      <c r="H337">
        <v>40</v>
      </c>
      <c r="I337">
        <v>37</v>
      </c>
      <c r="J337">
        <v>26</v>
      </c>
      <c r="K337">
        <v>19</v>
      </c>
      <c r="L337">
        <v>4</v>
      </c>
      <c r="M337">
        <v>133</v>
      </c>
      <c r="N337">
        <v>44</v>
      </c>
      <c r="O337">
        <v>32</v>
      </c>
      <c r="P337">
        <v>78</v>
      </c>
      <c r="Q337">
        <v>757</v>
      </c>
      <c r="R337">
        <v>1244</v>
      </c>
      <c r="S337" t="str">
        <v>No</v>
      </c>
      <c r="T337">
        <v>0.31</v>
      </c>
      <c r="U337">
        <v>2024</v>
      </c>
      <c r="V337">
        <v>45973</v>
      </c>
      <c r="W337">
        <v>10.8</v>
      </c>
      <c r="X337" t="str">
        <v>Mixed</v>
      </c>
      <c r="Y337" t="str">
        <v>Fashion</v>
      </c>
      <c r="Z337" t="str">
        <v>Friends_only</v>
      </c>
      <c r="AA337" t="str">
        <v>Yes</v>
      </c>
      <c r="AB337" t="str">
        <v>Yes</v>
      </c>
      <c r="AC337">
        <v>1</v>
      </c>
      <c r="AD337" t="str">
        <v>Free</v>
      </c>
      <c r="AE337">
        <v>1.02</v>
      </c>
      <c r="AF337" s="14">
        <f t="shared" si="5"/>
        <v>0.60852090032154338</v>
      </c>
    </row>
    <row r="338" spans="1:32" x14ac:dyDescent="0.2">
      <c r="A338">
        <v>337</v>
      </c>
      <c r="B338" cm="1">
        <f t="array" ref="B338:AE338">_xlfn.XLOOKUP($A338,Instagram_Usage_Lifestyle_Mini_!$A:$A,Instagram_Usage_Lifestyle_Mini_!$AC:$BF)</f>
        <v>87</v>
      </c>
      <c r="C338">
        <v>4</v>
      </c>
      <c r="D338">
        <v>2</v>
      </c>
      <c r="E338">
        <v>93</v>
      </c>
      <c r="F338">
        <v>72</v>
      </c>
      <c r="G338">
        <v>67</v>
      </c>
      <c r="H338">
        <v>21</v>
      </c>
      <c r="I338">
        <v>23</v>
      </c>
      <c r="J338">
        <v>15</v>
      </c>
      <c r="K338">
        <v>10</v>
      </c>
      <c r="L338">
        <v>1</v>
      </c>
      <c r="M338">
        <v>44</v>
      </c>
      <c r="N338">
        <v>22</v>
      </c>
      <c r="O338">
        <v>15</v>
      </c>
      <c r="P338">
        <v>26</v>
      </c>
      <c r="Q338">
        <v>3388</v>
      </c>
      <c r="R338">
        <v>6629</v>
      </c>
      <c r="S338" t="str">
        <v>Yes</v>
      </c>
      <c r="T338">
        <v>0.76</v>
      </c>
      <c r="U338">
        <v>2010</v>
      </c>
      <c r="V338">
        <v>45908</v>
      </c>
      <c r="W338">
        <v>21.8</v>
      </c>
      <c r="X338" t="str">
        <v>Live</v>
      </c>
      <c r="Y338" t="str">
        <v>Food</v>
      </c>
      <c r="Z338" t="str">
        <v>Private</v>
      </c>
      <c r="AA338" t="str">
        <v>No</v>
      </c>
      <c r="AB338" t="str">
        <v>Yes</v>
      </c>
      <c r="AC338">
        <v>1</v>
      </c>
      <c r="AD338" t="str">
        <v>Free</v>
      </c>
      <c r="AE338">
        <v>1.31</v>
      </c>
      <c r="AF338" s="14">
        <f t="shared" si="5"/>
        <v>0.51108764519535377</v>
      </c>
    </row>
    <row r="339" spans="1:32" x14ac:dyDescent="0.2">
      <c r="A339">
        <v>338</v>
      </c>
      <c r="B339" cm="1">
        <f t="array" ref="B339:AE339">_xlfn.XLOOKUP($A339,Instagram_Usage_Lifestyle_Mini_!$A:$A,Instagram_Usage_Lifestyle_Mini_!$AC:$BF)</f>
        <v>364</v>
      </c>
      <c r="C339">
        <v>13</v>
      </c>
      <c r="D339">
        <v>8</v>
      </c>
      <c r="E339">
        <v>300</v>
      </c>
      <c r="F339">
        <v>150</v>
      </c>
      <c r="G339">
        <v>204</v>
      </c>
      <c r="H339">
        <v>60</v>
      </c>
      <c r="I339">
        <v>56</v>
      </c>
      <c r="J339">
        <v>42</v>
      </c>
      <c r="K339">
        <v>29</v>
      </c>
      <c r="L339">
        <v>5</v>
      </c>
      <c r="M339">
        <v>173</v>
      </c>
      <c r="N339">
        <v>79</v>
      </c>
      <c r="O339">
        <v>76</v>
      </c>
      <c r="P339">
        <v>118</v>
      </c>
      <c r="Q339">
        <v>1622</v>
      </c>
      <c r="R339">
        <v>2113</v>
      </c>
      <c r="S339" t="str">
        <v>Yes</v>
      </c>
      <c r="T339">
        <v>0.92</v>
      </c>
      <c r="U339">
        <v>2016</v>
      </c>
      <c r="V339">
        <v>45867</v>
      </c>
      <c r="W339">
        <v>28</v>
      </c>
      <c r="X339" t="str">
        <v>Reels</v>
      </c>
      <c r="Y339" t="str">
        <v>Tech</v>
      </c>
      <c r="Z339" t="str">
        <v>Friends_only</v>
      </c>
      <c r="AA339" t="str">
        <v>No</v>
      </c>
      <c r="AB339" t="str">
        <v>No</v>
      </c>
      <c r="AC339">
        <v>3</v>
      </c>
      <c r="AD339" t="str">
        <v>Free</v>
      </c>
      <c r="AE339">
        <v>0.95</v>
      </c>
      <c r="AF339" s="14">
        <f t="shared" si="5"/>
        <v>0.76762896355892096</v>
      </c>
    </row>
    <row r="340" spans="1:32" x14ac:dyDescent="0.2">
      <c r="A340">
        <v>339</v>
      </c>
      <c r="B340" cm="1">
        <f t="array" ref="B340:AE340">_xlfn.XLOOKUP($A340,Instagram_Usage_Lifestyle_Mini_!$A:$A,Instagram_Usage_Lifestyle_Mini_!$AC:$BF)</f>
        <v>421</v>
      </c>
      <c r="C340">
        <v>22</v>
      </c>
      <c r="D340">
        <v>10</v>
      </c>
      <c r="E340">
        <v>300</v>
      </c>
      <c r="F340">
        <v>150</v>
      </c>
      <c r="G340">
        <v>230</v>
      </c>
      <c r="H340">
        <v>56</v>
      </c>
      <c r="I340">
        <v>53</v>
      </c>
      <c r="J340">
        <v>55</v>
      </c>
      <c r="K340">
        <v>48</v>
      </c>
      <c r="L340">
        <v>15</v>
      </c>
      <c r="M340">
        <v>248</v>
      </c>
      <c r="N340">
        <v>54</v>
      </c>
      <c r="O340">
        <v>83</v>
      </c>
      <c r="P340">
        <v>146</v>
      </c>
      <c r="Q340">
        <v>603</v>
      </c>
      <c r="R340">
        <v>927</v>
      </c>
      <c r="S340" t="str">
        <v>Yes</v>
      </c>
      <c r="T340">
        <v>0.2</v>
      </c>
      <c r="U340">
        <v>2013</v>
      </c>
      <c r="V340">
        <v>45969</v>
      </c>
      <c r="W340">
        <v>19.100000000000001</v>
      </c>
      <c r="X340" t="str">
        <v>Photos</v>
      </c>
      <c r="Y340" t="str">
        <v>Other</v>
      </c>
      <c r="Z340" t="str">
        <v>Public</v>
      </c>
      <c r="AA340" t="str">
        <v>No</v>
      </c>
      <c r="AB340" t="str">
        <v>No</v>
      </c>
      <c r="AC340">
        <v>1</v>
      </c>
      <c r="AD340" t="str">
        <v>Free</v>
      </c>
      <c r="AE340">
        <v>0.88</v>
      </c>
      <c r="AF340" s="14">
        <f t="shared" si="5"/>
        <v>0.65048543689320393</v>
      </c>
    </row>
    <row r="341" spans="1:32" x14ac:dyDescent="0.2">
      <c r="A341">
        <v>340</v>
      </c>
      <c r="B341" cm="1">
        <f t="array" ref="B341:AE341">_xlfn.XLOOKUP($A341,Instagram_Usage_Lifestyle_Mini_!$A:$A,Instagram_Usage_Lifestyle_Mini_!$AC:$BF)</f>
        <v>301</v>
      </c>
      <c r="C341">
        <v>9</v>
      </c>
      <c r="D341">
        <v>9</v>
      </c>
      <c r="E341">
        <v>222</v>
      </c>
      <c r="F341">
        <v>141</v>
      </c>
      <c r="G341">
        <v>181</v>
      </c>
      <c r="H341">
        <v>44</v>
      </c>
      <c r="I341">
        <v>55</v>
      </c>
      <c r="J341">
        <v>43</v>
      </c>
      <c r="K341">
        <v>29</v>
      </c>
      <c r="L341">
        <v>7</v>
      </c>
      <c r="M341">
        <v>149</v>
      </c>
      <c r="N341">
        <v>57</v>
      </c>
      <c r="O341">
        <v>48</v>
      </c>
      <c r="P341">
        <v>107</v>
      </c>
      <c r="Q341">
        <v>3107</v>
      </c>
      <c r="R341">
        <v>3750</v>
      </c>
      <c r="S341" t="str">
        <v>No</v>
      </c>
      <c r="T341">
        <v>0.24</v>
      </c>
      <c r="U341">
        <v>2015</v>
      </c>
      <c r="V341">
        <v>45863</v>
      </c>
      <c r="W341">
        <v>33.4</v>
      </c>
      <c r="X341" t="str">
        <v>Photos</v>
      </c>
      <c r="Y341" t="str">
        <v>Travel</v>
      </c>
      <c r="Z341" t="str">
        <v>Private</v>
      </c>
      <c r="AA341" t="str">
        <v>Yes</v>
      </c>
      <c r="AB341" t="str">
        <v>No</v>
      </c>
      <c r="AC341">
        <v>0</v>
      </c>
      <c r="AD341" t="str">
        <v>Free</v>
      </c>
      <c r="AE341">
        <v>0.98</v>
      </c>
      <c r="AF341" s="14">
        <f t="shared" si="5"/>
        <v>0.82853333333333334</v>
      </c>
    </row>
    <row r="342" spans="1:32" x14ac:dyDescent="0.2">
      <c r="A342">
        <v>341</v>
      </c>
      <c r="B342" cm="1">
        <f t="array" ref="B342:AE342">_xlfn.XLOOKUP($A342,Instagram_Usage_Lifestyle_Mini_!$A:$A,Instagram_Usage_Lifestyle_Mini_!$AC:$BF)</f>
        <v>110</v>
      </c>
      <c r="C342">
        <v>10</v>
      </c>
      <c r="D342">
        <v>2</v>
      </c>
      <c r="E342">
        <v>94</v>
      </c>
      <c r="F342">
        <v>70</v>
      </c>
      <c r="G342">
        <v>88</v>
      </c>
      <c r="H342">
        <v>16</v>
      </c>
      <c r="I342">
        <v>23</v>
      </c>
      <c r="J342">
        <v>23</v>
      </c>
      <c r="K342">
        <v>12</v>
      </c>
      <c r="L342">
        <v>5</v>
      </c>
      <c r="M342">
        <v>50</v>
      </c>
      <c r="N342">
        <v>31</v>
      </c>
      <c r="O342">
        <v>11</v>
      </c>
      <c r="P342">
        <v>24</v>
      </c>
      <c r="Q342">
        <v>608</v>
      </c>
      <c r="R342">
        <v>851</v>
      </c>
      <c r="S342" t="str">
        <v>No</v>
      </c>
      <c r="T342">
        <v>0.8</v>
      </c>
      <c r="U342">
        <v>2021</v>
      </c>
      <c r="V342">
        <v>45969</v>
      </c>
      <c r="W342">
        <v>11</v>
      </c>
      <c r="X342" t="str">
        <v>Videos</v>
      </c>
      <c r="Y342" t="str">
        <v>Fashion</v>
      </c>
      <c r="Z342" t="str">
        <v>Public</v>
      </c>
      <c r="AA342" t="str">
        <v>No</v>
      </c>
      <c r="AB342" t="str">
        <v>No</v>
      </c>
      <c r="AC342">
        <v>1</v>
      </c>
      <c r="AD342" t="str">
        <v>Free</v>
      </c>
      <c r="AE342">
        <v>1.1399999999999999</v>
      </c>
      <c r="AF342" s="14">
        <f t="shared" si="5"/>
        <v>0.71445358401880144</v>
      </c>
    </row>
    <row r="343" spans="1:32" x14ac:dyDescent="0.2">
      <c r="A343">
        <v>342</v>
      </c>
      <c r="B343" cm="1">
        <f t="array" ref="B343:AE343">_xlfn.XLOOKUP($A343,Instagram_Usage_Lifestyle_Mini_!$A:$A,Instagram_Usage_Lifestyle_Mini_!$AC:$BF)</f>
        <v>87</v>
      </c>
      <c r="C343">
        <v>8</v>
      </c>
      <c r="D343">
        <v>3</v>
      </c>
      <c r="E343">
        <v>174</v>
      </c>
      <c r="F343">
        <v>57</v>
      </c>
      <c r="G343">
        <v>75</v>
      </c>
      <c r="H343">
        <v>17</v>
      </c>
      <c r="I343">
        <v>22</v>
      </c>
      <c r="J343">
        <v>20</v>
      </c>
      <c r="K343">
        <v>6</v>
      </c>
      <c r="L343">
        <v>2</v>
      </c>
      <c r="M343">
        <v>52</v>
      </c>
      <c r="N343">
        <v>16</v>
      </c>
      <c r="O343">
        <v>9</v>
      </c>
      <c r="P343">
        <v>20</v>
      </c>
      <c r="Q343">
        <v>5144</v>
      </c>
      <c r="R343">
        <v>6287</v>
      </c>
      <c r="S343" t="str">
        <v>Yes</v>
      </c>
      <c r="T343">
        <v>0.13</v>
      </c>
      <c r="U343">
        <v>2016</v>
      </c>
      <c r="V343">
        <v>45961</v>
      </c>
      <c r="W343">
        <v>10.9</v>
      </c>
      <c r="X343" t="str">
        <v>Mixed</v>
      </c>
      <c r="Y343" t="str">
        <v>Other</v>
      </c>
      <c r="Z343" t="str">
        <v>Private</v>
      </c>
      <c r="AA343" t="str">
        <v>No</v>
      </c>
      <c r="AB343" t="str">
        <v>Yes</v>
      </c>
      <c r="AC343">
        <v>4</v>
      </c>
      <c r="AD343" t="str">
        <v>Premium</v>
      </c>
      <c r="AE343">
        <v>1.34</v>
      </c>
      <c r="AF343" s="14">
        <f t="shared" si="5"/>
        <v>0.81819627803403849</v>
      </c>
    </row>
    <row r="344" spans="1:32" x14ac:dyDescent="0.2">
      <c r="A344">
        <v>343</v>
      </c>
      <c r="B344" cm="1">
        <f t="array" ref="B344:AE344">_xlfn.XLOOKUP($A344,Instagram_Usage_Lifestyle_Mini_!$A:$A,Instagram_Usage_Lifestyle_Mini_!$AC:$BF)</f>
        <v>143</v>
      </c>
      <c r="C344">
        <v>8</v>
      </c>
      <c r="D344">
        <v>3</v>
      </c>
      <c r="E344">
        <v>115</v>
      </c>
      <c r="F344">
        <v>87</v>
      </c>
      <c r="G344">
        <v>89</v>
      </c>
      <c r="H344">
        <v>33</v>
      </c>
      <c r="I344">
        <v>21</v>
      </c>
      <c r="J344">
        <v>22</v>
      </c>
      <c r="K344">
        <v>12</v>
      </c>
      <c r="L344">
        <v>6</v>
      </c>
      <c r="M344">
        <v>68</v>
      </c>
      <c r="N344">
        <v>22</v>
      </c>
      <c r="O344">
        <v>33</v>
      </c>
      <c r="P344">
        <v>29</v>
      </c>
      <c r="Q344">
        <v>943</v>
      </c>
      <c r="R344">
        <v>735</v>
      </c>
      <c r="S344" t="str">
        <v>Yes</v>
      </c>
      <c r="T344">
        <v>0.2</v>
      </c>
      <c r="U344">
        <v>2016</v>
      </c>
      <c r="V344">
        <v>45945</v>
      </c>
      <c r="W344">
        <v>17.899999999999999</v>
      </c>
      <c r="X344" t="str">
        <v>Mixed</v>
      </c>
      <c r="Y344" t="str">
        <v>Food</v>
      </c>
      <c r="Z344" t="str">
        <v>Friends_only</v>
      </c>
      <c r="AA344" t="str">
        <v>No</v>
      </c>
      <c r="AB344" t="str">
        <v>No</v>
      </c>
      <c r="AC344">
        <v>2</v>
      </c>
      <c r="AD344" t="str">
        <v>Free</v>
      </c>
      <c r="AE344">
        <v>1.1399999999999999</v>
      </c>
      <c r="AF344" s="14">
        <f t="shared" si="5"/>
        <v>1.2829931972789115</v>
      </c>
    </row>
    <row r="345" spans="1:32" x14ac:dyDescent="0.2">
      <c r="A345">
        <v>344</v>
      </c>
      <c r="B345" cm="1">
        <f t="array" ref="B345:AE345">_xlfn.XLOOKUP($A345,Instagram_Usage_Lifestyle_Mini_!$A:$A,Instagram_Usage_Lifestyle_Mini_!$AC:$BF)</f>
        <v>285</v>
      </c>
      <c r="C345">
        <v>9</v>
      </c>
      <c r="D345">
        <v>5</v>
      </c>
      <c r="E345">
        <v>286</v>
      </c>
      <c r="F345">
        <v>146</v>
      </c>
      <c r="G345">
        <v>179</v>
      </c>
      <c r="H345">
        <v>47</v>
      </c>
      <c r="I345">
        <v>34</v>
      </c>
      <c r="J345">
        <v>42</v>
      </c>
      <c r="K345">
        <v>32</v>
      </c>
      <c r="L345">
        <v>5</v>
      </c>
      <c r="M345">
        <v>124</v>
      </c>
      <c r="N345">
        <v>68</v>
      </c>
      <c r="O345">
        <v>49</v>
      </c>
      <c r="P345">
        <v>61</v>
      </c>
      <c r="Q345">
        <v>1299</v>
      </c>
      <c r="R345">
        <v>2782</v>
      </c>
      <c r="S345" t="str">
        <v>No</v>
      </c>
      <c r="T345">
        <v>0.62</v>
      </c>
      <c r="U345">
        <v>2012</v>
      </c>
      <c r="V345">
        <v>45864</v>
      </c>
      <c r="W345">
        <v>31.7</v>
      </c>
      <c r="X345" t="str">
        <v>Photos</v>
      </c>
      <c r="Y345" t="str">
        <v>Fitness</v>
      </c>
      <c r="Z345" t="str">
        <v>Private</v>
      </c>
      <c r="AA345" t="str">
        <v>Yes</v>
      </c>
      <c r="AB345" t="str">
        <v>No</v>
      </c>
      <c r="AC345">
        <v>3</v>
      </c>
      <c r="AD345" t="str">
        <v>Business</v>
      </c>
      <c r="AE345">
        <v>1.01</v>
      </c>
      <c r="AF345" s="14">
        <f t="shared" si="5"/>
        <v>0.46693026599568654</v>
      </c>
    </row>
    <row r="346" spans="1:32" x14ac:dyDescent="0.2">
      <c r="A346">
        <v>345</v>
      </c>
      <c r="B346" cm="1">
        <f t="array" ref="B346:AE346">_xlfn.XLOOKUP($A346,Instagram_Usage_Lifestyle_Mini_!$A:$A,Instagram_Usage_Lifestyle_Mini_!$AC:$BF)</f>
        <v>48</v>
      </c>
      <c r="C346">
        <v>3</v>
      </c>
      <c r="D346">
        <v>7</v>
      </c>
      <c r="E346">
        <v>64</v>
      </c>
      <c r="F346">
        <v>58</v>
      </c>
      <c r="G346">
        <v>38</v>
      </c>
      <c r="H346">
        <v>16</v>
      </c>
      <c r="I346">
        <v>16</v>
      </c>
      <c r="J346">
        <v>17</v>
      </c>
      <c r="K346">
        <v>12</v>
      </c>
      <c r="L346">
        <v>2</v>
      </c>
      <c r="M346">
        <v>24</v>
      </c>
      <c r="N346">
        <v>11</v>
      </c>
      <c r="O346">
        <v>8</v>
      </c>
      <c r="P346">
        <v>12</v>
      </c>
      <c r="Q346">
        <v>5732</v>
      </c>
      <c r="R346">
        <v>8819</v>
      </c>
      <c r="S346" t="str">
        <v>No</v>
      </c>
      <c r="T346">
        <v>0.19</v>
      </c>
      <c r="U346">
        <v>2018</v>
      </c>
      <c r="V346">
        <v>45860</v>
      </c>
      <c r="W346">
        <v>16</v>
      </c>
      <c r="X346" t="str">
        <v>Videos</v>
      </c>
      <c r="Y346" t="str">
        <v>Art</v>
      </c>
      <c r="Z346" t="str">
        <v>Friends_only</v>
      </c>
      <c r="AA346" t="str">
        <v>No</v>
      </c>
      <c r="AB346" t="str">
        <v>Yes</v>
      </c>
      <c r="AC346">
        <v>3</v>
      </c>
      <c r="AD346" t="str">
        <v>Premium</v>
      </c>
      <c r="AE346">
        <v>1.86</v>
      </c>
      <c r="AF346" s="14">
        <f t="shared" si="5"/>
        <v>0.64996031296065315</v>
      </c>
    </row>
    <row r="347" spans="1:32" x14ac:dyDescent="0.2">
      <c r="A347">
        <v>346</v>
      </c>
      <c r="B347" cm="1">
        <f t="array" ref="B347:AE347">_xlfn.XLOOKUP($A347,Instagram_Usage_Lifestyle_Mini_!$A:$A,Instagram_Usage_Lifestyle_Mini_!$AC:$BF)</f>
        <v>5</v>
      </c>
      <c r="C347">
        <v>1</v>
      </c>
      <c r="D347">
        <v>2</v>
      </c>
      <c r="E347">
        <v>50</v>
      </c>
      <c r="F347">
        <v>26</v>
      </c>
      <c r="G347">
        <v>22</v>
      </c>
      <c r="H347">
        <v>7</v>
      </c>
      <c r="I347">
        <v>9</v>
      </c>
      <c r="J347">
        <v>7</v>
      </c>
      <c r="K347">
        <v>7</v>
      </c>
      <c r="L347">
        <v>2</v>
      </c>
      <c r="M347">
        <v>3</v>
      </c>
      <c r="N347">
        <v>1</v>
      </c>
      <c r="O347">
        <v>1</v>
      </c>
      <c r="P347">
        <v>1</v>
      </c>
      <c r="Q347">
        <v>819</v>
      </c>
      <c r="R347">
        <v>832</v>
      </c>
      <c r="S347" t="str">
        <v>No</v>
      </c>
      <c r="T347">
        <v>0.99</v>
      </c>
      <c r="U347">
        <v>2012</v>
      </c>
      <c r="V347">
        <v>45981</v>
      </c>
      <c r="W347">
        <v>5</v>
      </c>
      <c r="X347" t="str">
        <v>Stories</v>
      </c>
      <c r="Y347" t="str">
        <v>Music</v>
      </c>
      <c r="Z347" t="str">
        <v>Private</v>
      </c>
      <c r="AA347" t="str">
        <v>Yes</v>
      </c>
      <c r="AB347" t="str">
        <v>Yes</v>
      </c>
      <c r="AC347">
        <v>1</v>
      </c>
      <c r="AD347" t="str">
        <v>Free</v>
      </c>
      <c r="AE347">
        <v>7</v>
      </c>
      <c r="AF347" s="14">
        <f t="shared" si="5"/>
        <v>0.984375</v>
      </c>
    </row>
    <row r="348" spans="1:32" x14ac:dyDescent="0.2">
      <c r="A348">
        <v>347</v>
      </c>
      <c r="B348" cm="1">
        <f t="array" ref="B348:AE348">_xlfn.XLOOKUP($A348,Instagram_Usage_Lifestyle_Mini_!$A:$A,Instagram_Usage_Lifestyle_Mini_!$AC:$BF)</f>
        <v>418</v>
      </c>
      <c r="C348">
        <v>14</v>
      </c>
      <c r="D348">
        <v>8</v>
      </c>
      <c r="E348">
        <v>289</v>
      </c>
      <c r="F348">
        <v>150</v>
      </c>
      <c r="G348">
        <v>240</v>
      </c>
      <c r="H348">
        <v>75</v>
      </c>
      <c r="I348">
        <v>67</v>
      </c>
      <c r="J348">
        <v>61</v>
      </c>
      <c r="K348">
        <v>36</v>
      </c>
      <c r="L348">
        <v>14</v>
      </c>
      <c r="M348">
        <v>210</v>
      </c>
      <c r="N348">
        <v>46</v>
      </c>
      <c r="O348">
        <v>58</v>
      </c>
      <c r="P348">
        <v>145</v>
      </c>
      <c r="Q348">
        <v>1806</v>
      </c>
      <c r="R348">
        <v>3475</v>
      </c>
      <c r="S348" t="str">
        <v>No</v>
      </c>
      <c r="T348">
        <v>0.16</v>
      </c>
      <c r="U348">
        <v>2012</v>
      </c>
      <c r="V348">
        <v>45863</v>
      </c>
      <c r="W348">
        <v>29.9</v>
      </c>
      <c r="X348" t="str">
        <v>Mixed</v>
      </c>
      <c r="Y348" t="str">
        <v>Art</v>
      </c>
      <c r="Z348" t="str">
        <v>Public</v>
      </c>
      <c r="AA348" t="str">
        <v>Yes</v>
      </c>
      <c r="AB348" t="str">
        <v>No</v>
      </c>
      <c r="AC348">
        <v>1</v>
      </c>
      <c r="AD348" t="str">
        <v>Free</v>
      </c>
      <c r="AE348">
        <v>0.99</v>
      </c>
      <c r="AF348" s="14">
        <f t="shared" si="5"/>
        <v>0.51971223021582735</v>
      </c>
    </row>
    <row r="349" spans="1:32" x14ac:dyDescent="0.2">
      <c r="A349">
        <v>348</v>
      </c>
      <c r="B349" cm="1">
        <f t="array" ref="B349:AE349">_xlfn.XLOOKUP($A349,Instagram_Usage_Lifestyle_Mini_!$A:$A,Instagram_Usage_Lifestyle_Mini_!$AC:$BF)</f>
        <v>295</v>
      </c>
      <c r="C349">
        <v>16</v>
      </c>
      <c r="D349">
        <v>10</v>
      </c>
      <c r="E349">
        <v>281</v>
      </c>
      <c r="F349">
        <v>149</v>
      </c>
      <c r="G349">
        <v>169</v>
      </c>
      <c r="H349">
        <v>62</v>
      </c>
      <c r="I349">
        <v>32</v>
      </c>
      <c r="J349">
        <v>51</v>
      </c>
      <c r="K349">
        <v>34</v>
      </c>
      <c r="L349">
        <v>3</v>
      </c>
      <c r="M349">
        <v>153</v>
      </c>
      <c r="N349">
        <v>40</v>
      </c>
      <c r="O349">
        <v>34</v>
      </c>
      <c r="P349">
        <v>102</v>
      </c>
      <c r="Q349">
        <v>4482</v>
      </c>
      <c r="R349">
        <v>10000</v>
      </c>
      <c r="S349" t="str">
        <v>Yes</v>
      </c>
      <c r="T349">
        <v>0.39</v>
      </c>
      <c r="U349">
        <v>2021</v>
      </c>
      <c r="V349">
        <v>45772</v>
      </c>
      <c r="W349">
        <v>18.399999999999999</v>
      </c>
      <c r="X349" t="str">
        <v>Mixed</v>
      </c>
      <c r="Y349" t="str">
        <v>Tech</v>
      </c>
      <c r="Z349" t="str">
        <v>Public</v>
      </c>
      <c r="AA349" t="str">
        <v>No</v>
      </c>
      <c r="AB349" t="str">
        <v>No</v>
      </c>
      <c r="AC349">
        <v>1</v>
      </c>
      <c r="AD349" t="str">
        <v>Free</v>
      </c>
      <c r="AE349">
        <v>1.0900000000000001</v>
      </c>
      <c r="AF349" s="14">
        <f t="shared" si="5"/>
        <v>0.44819999999999999</v>
      </c>
    </row>
    <row r="350" spans="1:32" x14ac:dyDescent="0.2">
      <c r="A350">
        <v>349</v>
      </c>
      <c r="B350" cm="1">
        <f t="array" ref="B350:AE350">_xlfn.XLOOKUP($A350,Instagram_Usage_Lifestyle_Mini_!$A:$A,Instagram_Usage_Lifestyle_Mini_!$AC:$BF)</f>
        <v>152</v>
      </c>
      <c r="C350">
        <v>7</v>
      </c>
      <c r="D350">
        <v>8</v>
      </c>
      <c r="E350">
        <v>215</v>
      </c>
      <c r="F350">
        <v>107</v>
      </c>
      <c r="G350">
        <v>94</v>
      </c>
      <c r="H350">
        <v>39</v>
      </c>
      <c r="I350">
        <v>18</v>
      </c>
      <c r="J350">
        <v>20</v>
      </c>
      <c r="K350">
        <v>14</v>
      </c>
      <c r="L350">
        <v>2</v>
      </c>
      <c r="M350">
        <v>74</v>
      </c>
      <c r="N350">
        <v>40</v>
      </c>
      <c r="O350">
        <v>28</v>
      </c>
      <c r="P350">
        <v>42</v>
      </c>
      <c r="Q350">
        <v>745</v>
      </c>
      <c r="R350">
        <v>1266</v>
      </c>
      <c r="S350" t="str">
        <v>Yes</v>
      </c>
      <c r="T350">
        <v>0.47</v>
      </c>
      <c r="U350">
        <v>2017</v>
      </c>
      <c r="V350">
        <v>45699</v>
      </c>
      <c r="W350">
        <v>21.7</v>
      </c>
      <c r="X350" t="str">
        <v>Videos</v>
      </c>
      <c r="Y350" t="str">
        <v>Food</v>
      </c>
      <c r="Z350" t="str">
        <v>Private</v>
      </c>
      <c r="AA350" t="str">
        <v>Yes</v>
      </c>
      <c r="AB350" t="str">
        <v>Yes</v>
      </c>
      <c r="AC350">
        <v>2</v>
      </c>
      <c r="AD350" t="str">
        <v>Free</v>
      </c>
      <c r="AE350">
        <v>1.28</v>
      </c>
      <c r="AF350" s="14">
        <f t="shared" si="5"/>
        <v>0.58846761453396523</v>
      </c>
    </row>
    <row r="351" spans="1:32" x14ac:dyDescent="0.2">
      <c r="A351">
        <v>350</v>
      </c>
      <c r="B351" cm="1">
        <f t="array" ref="B351:AE351">_xlfn.XLOOKUP($A351,Instagram_Usage_Lifestyle_Mini_!$A:$A,Instagram_Usage_Lifestyle_Mini_!$AC:$BF)</f>
        <v>317</v>
      </c>
      <c r="C351">
        <v>12</v>
      </c>
      <c r="D351">
        <v>16</v>
      </c>
      <c r="E351">
        <v>300</v>
      </c>
      <c r="F351">
        <v>141</v>
      </c>
      <c r="G351">
        <v>190</v>
      </c>
      <c r="H351">
        <v>66</v>
      </c>
      <c r="I351">
        <v>41</v>
      </c>
      <c r="J351">
        <v>52</v>
      </c>
      <c r="K351">
        <v>29</v>
      </c>
      <c r="L351">
        <v>6</v>
      </c>
      <c r="M351">
        <v>134</v>
      </c>
      <c r="N351">
        <v>36</v>
      </c>
      <c r="O351">
        <v>60</v>
      </c>
      <c r="P351">
        <v>80</v>
      </c>
      <c r="Q351">
        <v>6169</v>
      </c>
      <c r="R351">
        <v>8736</v>
      </c>
      <c r="S351" t="str">
        <v>Yes</v>
      </c>
      <c r="T351">
        <v>0.82</v>
      </c>
      <c r="U351">
        <v>2020</v>
      </c>
      <c r="V351">
        <v>45970</v>
      </c>
      <c r="W351">
        <v>26.4</v>
      </c>
      <c r="X351" t="str">
        <v>Stories</v>
      </c>
      <c r="Y351" t="str">
        <v>Other</v>
      </c>
      <c r="Z351" t="str">
        <v>Public</v>
      </c>
      <c r="AA351" t="str">
        <v>Yes</v>
      </c>
      <c r="AB351" t="str">
        <v>Yes</v>
      </c>
      <c r="AC351">
        <v>2</v>
      </c>
      <c r="AD351" t="str">
        <v>Premium</v>
      </c>
      <c r="AE351">
        <v>1.1599999999999999</v>
      </c>
      <c r="AF351" s="14">
        <f t="shared" si="5"/>
        <v>0.70615842490842495</v>
      </c>
    </row>
    <row r="352" spans="1:32" x14ac:dyDescent="0.2">
      <c r="A352">
        <v>351</v>
      </c>
      <c r="B352" cm="1">
        <f t="array" ref="B352:AE352">_xlfn.XLOOKUP($A352,Instagram_Usage_Lifestyle_Mini_!$A:$A,Instagram_Usage_Lifestyle_Mini_!$AC:$BF)</f>
        <v>456</v>
      </c>
      <c r="C352">
        <v>21</v>
      </c>
      <c r="D352">
        <v>10</v>
      </c>
      <c r="E352">
        <v>300</v>
      </c>
      <c r="F352">
        <v>150</v>
      </c>
      <c r="G352">
        <v>274</v>
      </c>
      <c r="H352">
        <v>69</v>
      </c>
      <c r="I352">
        <v>40</v>
      </c>
      <c r="J352">
        <v>58</v>
      </c>
      <c r="K352">
        <v>35</v>
      </c>
      <c r="L352">
        <v>9</v>
      </c>
      <c r="M352">
        <v>255</v>
      </c>
      <c r="N352">
        <v>134</v>
      </c>
      <c r="O352">
        <v>105</v>
      </c>
      <c r="P352">
        <v>154</v>
      </c>
      <c r="Q352">
        <v>1158</v>
      </c>
      <c r="R352">
        <v>1962</v>
      </c>
      <c r="S352" t="str">
        <v>No</v>
      </c>
      <c r="T352">
        <v>0.15</v>
      </c>
      <c r="U352">
        <v>2012</v>
      </c>
      <c r="V352">
        <v>45993</v>
      </c>
      <c r="W352">
        <v>21.7</v>
      </c>
      <c r="X352" t="str">
        <v>Mixed</v>
      </c>
      <c r="Y352" t="str">
        <v>Other</v>
      </c>
      <c r="Z352" t="str">
        <v>Private</v>
      </c>
      <c r="AA352" t="str">
        <v>No</v>
      </c>
      <c r="AB352" t="str">
        <v>Yes</v>
      </c>
      <c r="AC352">
        <v>1</v>
      </c>
      <c r="AD352" t="str">
        <v>Free</v>
      </c>
      <c r="AE352">
        <v>0.97</v>
      </c>
      <c r="AF352" s="14">
        <f t="shared" si="5"/>
        <v>0.59021406727828751</v>
      </c>
    </row>
    <row r="353" spans="1:32" x14ac:dyDescent="0.2">
      <c r="A353">
        <v>352</v>
      </c>
      <c r="B353" cm="1">
        <f t="array" ref="B353:AE353">_xlfn.XLOOKUP($A353,Instagram_Usage_Lifestyle_Mini_!$A:$A,Instagram_Usage_Lifestyle_Mini_!$AC:$BF)</f>
        <v>90</v>
      </c>
      <c r="C353">
        <v>3</v>
      </c>
      <c r="D353">
        <v>1</v>
      </c>
      <c r="E353">
        <v>88</v>
      </c>
      <c r="F353">
        <v>55</v>
      </c>
      <c r="G353">
        <v>51</v>
      </c>
      <c r="H353">
        <v>18</v>
      </c>
      <c r="I353">
        <v>19</v>
      </c>
      <c r="J353">
        <v>10</v>
      </c>
      <c r="K353">
        <v>10</v>
      </c>
      <c r="L353">
        <v>4</v>
      </c>
      <c r="M353">
        <v>50</v>
      </c>
      <c r="N353">
        <v>25</v>
      </c>
      <c r="O353">
        <v>9</v>
      </c>
      <c r="P353">
        <v>29</v>
      </c>
      <c r="Q353">
        <v>300</v>
      </c>
      <c r="R353">
        <v>427</v>
      </c>
      <c r="S353" t="str">
        <v>No</v>
      </c>
      <c r="T353">
        <v>0.34</v>
      </c>
      <c r="U353">
        <v>2010</v>
      </c>
      <c r="V353">
        <v>45858</v>
      </c>
      <c r="W353">
        <v>30</v>
      </c>
      <c r="X353" t="str">
        <v>Stories</v>
      </c>
      <c r="Y353" t="str">
        <v>Food</v>
      </c>
      <c r="Z353" t="str">
        <v>Friends_only</v>
      </c>
      <c r="AA353" t="str">
        <v>No</v>
      </c>
      <c r="AB353" t="str">
        <v>No</v>
      </c>
      <c r="AC353">
        <v>5</v>
      </c>
      <c r="AD353" t="str">
        <v>Free</v>
      </c>
      <c r="AE353">
        <v>0.99</v>
      </c>
      <c r="AF353" s="14">
        <f t="shared" si="5"/>
        <v>0.70257611241217799</v>
      </c>
    </row>
    <row r="354" spans="1:32" x14ac:dyDescent="0.2">
      <c r="A354">
        <v>353</v>
      </c>
      <c r="B354" cm="1">
        <f t="array" ref="B354:AE354">_xlfn.XLOOKUP($A354,Instagram_Usage_Lifestyle_Mini_!$A:$A,Instagram_Usage_Lifestyle_Mini_!$AC:$BF)</f>
        <v>138</v>
      </c>
      <c r="C354">
        <v>16</v>
      </c>
      <c r="D354">
        <v>1</v>
      </c>
      <c r="E354">
        <v>103</v>
      </c>
      <c r="F354">
        <v>90</v>
      </c>
      <c r="G354">
        <v>109</v>
      </c>
      <c r="H354">
        <v>27</v>
      </c>
      <c r="I354">
        <v>15</v>
      </c>
      <c r="J354">
        <v>25</v>
      </c>
      <c r="K354">
        <v>7</v>
      </c>
      <c r="L354">
        <v>9</v>
      </c>
      <c r="M354">
        <v>70</v>
      </c>
      <c r="N354">
        <v>33</v>
      </c>
      <c r="O354">
        <v>22</v>
      </c>
      <c r="P354">
        <v>40</v>
      </c>
      <c r="Q354">
        <v>2697</v>
      </c>
      <c r="R354">
        <v>1461</v>
      </c>
      <c r="S354" t="str">
        <v>No</v>
      </c>
      <c r="T354">
        <v>0.17</v>
      </c>
      <c r="U354">
        <v>2023</v>
      </c>
      <c r="V354">
        <v>45905</v>
      </c>
      <c r="W354">
        <v>8.6</v>
      </c>
      <c r="X354" t="str">
        <v>Stories</v>
      </c>
      <c r="Y354" t="str">
        <v>Travel</v>
      </c>
      <c r="Z354" t="str">
        <v>Public</v>
      </c>
      <c r="AA354" t="str">
        <v>No</v>
      </c>
      <c r="AB354" t="str">
        <v>Yes</v>
      </c>
      <c r="AC354">
        <v>0</v>
      </c>
      <c r="AD354" t="str">
        <v>Free</v>
      </c>
      <c r="AE354">
        <v>1.19</v>
      </c>
      <c r="AF354" s="14">
        <f t="shared" si="5"/>
        <v>1.8459958932238194</v>
      </c>
    </row>
    <row r="355" spans="1:32" x14ac:dyDescent="0.2">
      <c r="A355">
        <v>354</v>
      </c>
      <c r="B355" cm="1">
        <f t="array" ref="B355:AE355">_xlfn.XLOOKUP($A355,Instagram_Usage_Lifestyle_Mini_!$A:$A,Instagram_Usage_Lifestyle_Mini_!$AC:$BF)</f>
        <v>92</v>
      </c>
      <c r="C355">
        <v>4</v>
      </c>
      <c r="D355">
        <v>9</v>
      </c>
      <c r="E355">
        <v>186</v>
      </c>
      <c r="F355">
        <v>70</v>
      </c>
      <c r="G355">
        <v>83</v>
      </c>
      <c r="H355">
        <v>18</v>
      </c>
      <c r="I355">
        <v>31</v>
      </c>
      <c r="J355">
        <v>15</v>
      </c>
      <c r="K355">
        <v>15</v>
      </c>
      <c r="L355">
        <v>1</v>
      </c>
      <c r="M355">
        <v>50</v>
      </c>
      <c r="N355">
        <v>19</v>
      </c>
      <c r="O355">
        <v>21</v>
      </c>
      <c r="P355">
        <v>20</v>
      </c>
      <c r="Q355">
        <v>2736</v>
      </c>
      <c r="R355">
        <v>1932</v>
      </c>
      <c r="S355" t="str">
        <v>No</v>
      </c>
      <c r="T355">
        <v>0.05</v>
      </c>
      <c r="U355">
        <v>2019</v>
      </c>
      <c r="V355">
        <v>45683</v>
      </c>
      <c r="W355">
        <v>23</v>
      </c>
      <c r="X355" t="str">
        <v>Reels</v>
      </c>
      <c r="Y355" t="str">
        <v>Tech</v>
      </c>
      <c r="Z355" t="str">
        <v>Private</v>
      </c>
      <c r="AA355" t="str">
        <v>Yes</v>
      </c>
      <c r="AB355" t="str">
        <v>No</v>
      </c>
      <c r="AC355">
        <v>5</v>
      </c>
      <c r="AD355" t="str">
        <v>Free</v>
      </c>
      <c r="AE355">
        <v>1.57</v>
      </c>
      <c r="AF355" s="14">
        <f t="shared" si="5"/>
        <v>1.4161490683229814</v>
      </c>
    </row>
    <row r="356" spans="1:32" x14ac:dyDescent="0.2">
      <c r="A356">
        <v>355</v>
      </c>
      <c r="B356" cm="1">
        <f t="array" ref="B356:AE356">_xlfn.XLOOKUP($A356,Instagram_Usage_Lifestyle_Mini_!$A:$A,Instagram_Usage_Lifestyle_Mini_!$AC:$BF)</f>
        <v>168</v>
      </c>
      <c r="C356">
        <v>7</v>
      </c>
      <c r="D356">
        <v>3</v>
      </c>
      <c r="E356">
        <v>155</v>
      </c>
      <c r="F356">
        <v>111</v>
      </c>
      <c r="G356">
        <v>103</v>
      </c>
      <c r="H356">
        <v>34</v>
      </c>
      <c r="I356">
        <v>31</v>
      </c>
      <c r="J356">
        <v>29</v>
      </c>
      <c r="K356">
        <v>18</v>
      </c>
      <c r="L356">
        <v>6</v>
      </c>
      <c r="M356">
        <v>82</v>
      </c>
      <c r="N356">
        <v>28</v>
      </c>
      <c r="O356">
        <v>18</v>
      </c>
      <c r="P356">
        <v>53</v>
      </c>
      <c r="Q356">
        <v>327</v>
      </c>
      <c r="R356">
        <v>445</v>
      </c>
      <c r="S356" t="str">
        <v>No</v>
      </c>
      <c r="T356">
        <v>0.91</v>
      </c>
      <c r="U356">
        <v>2011</v>
      </c>
      <c r="V356">
        <v>45662</v>
      </c>
      <c r="W356">
        <v>24</v>
      </c>
      <c r="X356" t="str">
        <v>Stories</v>
      </c>
      <c r="Y356" t="str">
        <v>Fitness</v>
      </c>
      <c r="Z356" t="str">
        <v>Friends_only</v>
      </c>
      <c r="AA356" t="str">
        <v>Yes</v>
      </c>
      <c r="AB356" t="str">
        <v>No</v>
      </c>
      <c r="AC356">
        <v>1</v>
      </c>
      <c r="AD356" t="str">
        <v>Premium</v>
      </c>
      <c r="AE356">
        <v>1.07</v>
      </c>
      <c r="AF356" s="14">
        <f t="shared" si="5"/>
        <v>0.73483146067415728</v>
      </c>
    </row>
    <row r="357" spans="1:32" x14ac:dyDescent="0.2">
      <c r="A357">
        <v>356</v>
      </c>
      <c r="B357" cm="1">
        <f t="array" ref="B357:AE357">_xlfn.XLOOKUP($A357,Instagram_Usage_Lifestyle_Mini_!$A:$A,Instagram_Usage_Lifestyle_Mini_!$AC:$BF)</f>
        <v>66</v>
      </c>
      <c r="C357">
        <v>3</v>
      </c>
      <c r="D357">
        <v>2</v>
      </c>
      <c r="E357">
        <v>92</v>
      </c>
      <c r="F357">
        <v>57</v>
      </c>
      <c r="G357">
        <v>69</v>
      </c>
      <c r="H357">
        <v>23</v>
      </c>
      <c r="I357">
        <v>21</v>
      </c>
      <c r="J357">
        <v>15</v>
      </c>
      <c r="K357">
        <v>9</v>
      </c>
      <c r="L357">
        <v>2</v>
      </c>
      <c r="M357">
        <v>32</v>
      </c>
      <c r="N357">
        <v>19</v>
      </c>
      <c r="O357">
        <v>16</v>
      </c>
      <c r="P357">
        <v>14</v>
      </c>
      <c r="Q357">
        <v>804</v>
      </c>
      <c r="R357">
        <v>396</v>
      </c>
      <c r="S357" t="str">
        <v>No</v>
      </c>
      <c r="T357">
        <v>0.36</v>
      </c>
      <c r="U357">
        <v>2016</v>
      </c>
      <c r="V357">
        <v>45880</v>
      </c>
      <c r="W357">
        <v>22</v>
      </c>
      <c r="X357" t="str">
        <v>Photos</v>
      </c>
      <c r="Y357" t="str">
        <v>Tech</v>
      </c>
      <c r="Z357" t="str">
        <v>Friends_only</v>
      </c>
      <c r="AA357" t="str">
        <v>Yes</v>
      </c>
      <c r="AB357" t="str">
        <v>No</v>
      </c>
      <c r="AC357">
        <v>1</v>
      </c>
      <c r="AD357" t="str">
        <v>Free</v>
      </c>
      <c r="AE357">
        <v>1.81</v>
      </c>
      <c r="AF357" s="14">
        <f t="shared" si="5"/>
        <v>2.0303030303030303</v>
      </c>
    </row>
    <row r="358" spans="1:32" x14ac:dyDescent="0.2">
      <c r="A358">
        <v>357</v>
      </c>
      <c r="B358" cm="1">
        <f t="array" ref="B358:AE358">_xlfn.XLOOKUP($A358,Instagram_Usage_Lifestyle_Mini_!$A:$A,Instagram_Usage_Lifestyle_Mini_!$AC:$BF)</f>
        <v>330</v>
      </c>
      <c r="C358">
        <v>10</v>
      </c>
      <c r="D358">
        <v>7</v>
      </c>
      <c r="E358">
        <v>246</v>
      </c>
      <c r="F358">
        <v>149</v>
      </c>
      <c r="G358">
        <v>196</v>
      </c>
      <c r="H358">
        <v>55</v>
      </c>
      <c r="I358">
        <v>39</v>
      </c>
      <c r="J358">
        <v>48</v>
      </c>
      <c r="K358">
        <v>39</v>
      </c>
      <c r="L358">
        <v>8</v>
      </c>
      <c r="M358">
        <v>197</v>
      </c>
      <c r="N358">
        <v>56</v>
      </c>
      <c r="O358">
        <v>36</v>
      </c>
      <c r="P358">
        <v>122</v>
      </c>
      <c r="Q358">
        <v>636</v>
      </c>
      <c r="R358">
        <v>1406</v>
      </c>
      <c r="S358" t="str">
        <v>No</v>
      </c>
      <c r="T358">
        <v>0.75</v>
      </c>
      <c r="U358">
        <v>2023</v>
      </c>
      <c r="V358">
        <v>45851</v>
      </c>
      <c r="W358">
        <v>33</v>
      </c>
      <c r="X358" t="str">
        <v>Mixed</v>
      </c>
      <c r="Y358" t="str">
        <v>Tech</v>
      </c>
      <c r="Z358" t="str">
        <v>Public</v>
      </c>
      <c r="AA358" t="str">
        <v>Yes</v>
      </c>
      <c r="AB358" t="str">
        <v>Yes</v>
      </c>
      <c r="AC358">
        <v>0</v>
      </c>
      <c r="AD358" t="str">
        <v>Free</v>
      </c>
      <c r="AE358">
        <v>0.99</v>
      </c>
      <c r="AF358" s="14">
        <f t="shared" si="5"/>
        <v>0.45234708392603129</v>
      </c>
    </row>
    <row r="359" spans="1:32" x14ac:dyDescent="0.2">
      <c r="A359">
        <v>358</v>
      </c>
      <c r="B359" cm="1">
        <f t="array" ref="B359:AE359">_xlfn.XLOOKUP($A359,Instagram_Usage_Lifestyle_Mini_!$A:$A,Instagram_Usage_Lifestyle_Mini_!$AC:$BF)</f>
        <v>163</v>
      </c>
      <c r="C359">
        <v>12</v>
      </c>
      <c r="D359">
        <v>3</v>
      </c>
      <c r="E359">
        <v>138</v>
      </c>
      <c r="F359">
        <v>82</v>
      </c>
      <c r="G359">
        <v>85</v>
      </c>
      <c r="H359">
        <v>24</v>
      </c>
      <c r="I359">
        <v>22</v>
      </c>
      <c r="J359">
        <v>25</v>
      </c>
      <c r="K359">
        <v>19</v>
      </c>
      <c r="L359">
        <v>4</v>
      </c>
      <c r="M359">
        <v>83</v>
      </c>
      <c r="N359">
        <v>37</v>
      </c>
      <c r="O359">
        <v>34</v>
      </c>
      <c r="P359">
        <v>36</v>
      </c>
      <c r="Q359">
        <v>395</v>
      </c>
      <c r="R359">
        <v>331</v>
      </c>
      <c r="S359" t="str">
        <v>No</v>
      </c>
      <c r="T359">
        <v>0.44</v>
      </c>
      <c r="U359">
        <v>2011</v>
      </c>
      <c r="V359">
        <v>45821</v>
      </c>
      <c r="W359">
        <v>13.6</v>
      </c>
      <c r="X359" t="str">
        <v>Videos</v>
      </c>
      <c r="Y359" t="str">
        <v>Music</v>
      </c>
      <c r="Z359" t="str">
        <v>Private</v>
      </c>
      <c r="AA359" t="str">
        <v>No</v>
      </c>
      <c r="AB359" t="str">
        <v>No</v>
      </c>
      <c r="AC359">
        <v>3</v>
      </c>
      <c r="AD359" t="str">
        <v>Free</v>
      </c>
      <c r="AE359">
        <v>0.87</v>
      </c>
      <c r="AF359" s="14">
        <f t="shared" si="5"/>
        <v>1.1933534743202416</v>
      </c>
    </row>
    <row r="360" spans="1:32" x14ac:dyDescent="0.2">
      <c r="A360">
        <v>359</v>
      </c>
      <c r="B360" cm="1">
        <f t="array" ref="B360:AE360">_xlfn.XLOOKUP($A360,Instagram_Usage_Lifestyle_Mini_!$A:$A,Instagram_Usage_Lifestyle_Mini_!$AC:$BF)</f>
        <v>317</v>
      </c>
      <c r="C360">
        <v>11</v>
      </c>
      <c r="D360">
        <v>10</v>
      </c>
      <c r="E360">
        <v>255</v>
      </c>
      <c r="F360">
        <v>150</v>
      </c>
      <c r="G360">
        <v>180</v>
      </c>
      <c r="H360">
        <v>48</v>
      </c>
      <c r="I360">
        <v>42</v>
      </c>
      <c r="J360">
        <v>62</v>
      </c>
      <c r="K360">
        <v>36</v>
      </c>
      <c r="L360">
        <v>7</v>
      </c>
      <c r="M360">
        <v>188</v>
      </c>
      <c r="N360">
        <v>78</v>
      </c>
      <c r="O360">
        <v>35</v>
      </c>
      <c r="P360">
        <v>78</v>
      </c>
      <c r="Q360">
        <v>5030</v>
      </c>
      <c r="R360">
        <v>2077</v>
      </c>
      <c r="S360" t="str">
        <v>Yes</v>
      </c>
      <c r="T360">
        <v>0.86</v>
      </c>
      <c r="U360">
        <v>2024</v>
      </c>
      <c r="V360">
        <v>45775</v>
      </c>
      <c r="W360">
        <v>28.8</v>
      </c>
      <c r="X360" t="str">
        <v>Mixed</v>
      </c>
      <c r="Y360" t="str">
        <v>Fitness</v>
      </c>
      <c r="Z360" t="str">
        <v>Public</v>
      </c>
      <c r="AA360" t="str">
        <v>Yes</v>
      </c>
      <c r="AB360" t="str">
        <v>No</v>
      </c>
      <c r="AC360">
        <v>2</v>
      </c>
      <c r="AD360" t="str">
        <v>Free</v>
      </c>
      <c r="AE360">
        <v>0.96</v>
      </c>
      <c r="AF360" s="14">
        <f t="shared" si="5"/>
        <v>2.4217621569571497</v>
      </c>
    </row>
    <row r="361" spans="1:32" x14ac:dyDescent="0.2">
      <c r="A361">
        <v>360</v>
      </c>
      <c r="B361" cm="1">
        <f t="array" ref="B361:AE361">_xlfn.XLOOKUP($A361,Instagram_Usage_Lifestyle_Mini_!$A:$A,Instagram_Usage_Lifestyle_Mini_!$AC:$BF)</f>
        <v>5</v>
      </c>
      <c r="C361">
        <v>1</v>
      </c>
      <c r="D361">
        <v>4</v>
      </c>
      <c r="E361">
        <v>55</v>
      </c>
      <c r="F361">
        <v>31</v>
      </c>
      <c r="G361">
        <v>26</v>
      </c>
      <c r="H361">
        <v>8</v>
      </c>
      <c r="I361">
        <v>9</v>
      </c>
      <c r="J361">
        <v>6</v>
      </c>
      <c r="K361">
        <v>5</v>
      </c>
      <c r="L361">
        <v>0</v>
      </c>
      <c r="M361">
        <v>2</v>
      </c>
      <c r="N361">
        <v>1</v>
      </c>
      <c r="O361">
        <v>1</v>
      </c>
      <c r="P361">
        <v>1</v>
      </c>
      <c r="Q361">
        <v>3211</v>
      </c>
      <c r="R361">
        <v>7588</v>
      </c>
      <c r="S361" t="str">
        <v>No</v>
      </c>
      <c r="T361">
        <v>0.35</v>
      </c>
      <c r="U361">
        <v>2013</v>
      </c>
      <c r="V361">
        <v>45887</v>
      </c>
      <c r="W361">
        <v>5</v>
      </c>
      <c r="X361" t="str">
        <v>Stories</v>
      </c>
      <c r="Y361" t="str">
        <v>Fashion</v>
      </c>
      <c r="Z361" t="str">
        <v>Friends_only</v>
      </c>
      <c r="AA361" t="str">
        <v>Yes</v>
      </c>
      <c r="AB361" t="str">
        <v>No</v>
      </c>
      <c r="AC361">
        <v>1</v>
      </c>
      <c r="AD361" t="str">
        <v>Business</v>
      </c>
      <c r="AE361">
        <v>9</v>
      </c>
      <c r="AF361" s="14">
        <f t="shared" si="5"/>
        <v>0.42316816025303111</v>
      </c>
    </row>
    <row r="362" spans="1:32" x14ac:dyDescent="0.2">
      <c r="A362">
        <v>361</v>
      </c>
      <c r="B362" cm="1">
        <f t="array" ref="B362:AE362">_xlfn.XLOOKUP($A362,Instagram_Usage_Lifestyle_Mini_!$A:$A,Instagram_Usage_Lifestyle_Mini_!$AC:$BF)</f>
        <v>157</v>
      </c>
      <c r="C362">
        <v>6</v>
      </c>
      <c r="D362">
        <v>0</v>
      </c>
      <c r="E362">
        <v>134</v>
      </c>
      <c r="F362">
        <v>78</v>
      </c>
      <c r="G362">
        <v>104</v>
      </c>
      <c r="H362">
        <v>32</v>
      </c>
      <c r="I362">
        <v>23</v>
      </c>
      <c r="J362">
        <v>32</v>
      </c>
      <c r="K362">
        <v>25</v>
      </c>
      <c r="L362">
        <v>7</v>
      </c>
      <c r="M362">
        <v>68</v>
      </c>
      <c r="N362">
        <v>39</v>
      </c>
      <c r="O362">
        <v>30</v>
      </c>
      <c r="P362">
        <v>51</v>
      </c>
      <c r="Q362">
        <v>924</v>
      </c>
      <c r="R362">
        <v>2190</v>
      </c>
      <c r="S362" t="str">
        <v>No</v>
      </c>
      <c r="T362">
        <v>0.64</v>
      </c>
      <c r="U362">
        <v>2019</v>
      </c>
      <c r="V362">
        <v>45754</v>
      </c>
      <c r="W362">
        <v>26.2</v>
      </c>
      <c r="X362" t="str">
        <v>Live</v>
      </c>
      <c r="Y362" t="str">
        <v>Travel</v>
      </c>
      <c r="Z362" t="str">
        <v>Private</v>
      </c>
      <c r="AA362" t="str">
        <v>Yes</v>
      </c>
      <c r="AB362" t="str">
        <v>No</v>
      </c>
      <c r="AC362">
        <v>3</v>
      </c>
      <c r="AD362" t="str">
        <v>Free</v>
      </c>
      <c r="AE362">
        <v>1.06</v>
      </c>
      <c r="AF362" s="14">
        <f t="shared" si="5"/>
        <v>0.42191780821917807</v>
      </c>
    </row>
    <row r="363" spans="1:32" x14ac:dyDescent="0.2">
      <c r="A363">
        <v>362</v>
      </c>
      <c r="B363" cm="1">
        <f t="array" ref="B363:AE363">_xlfn.XLOOKUP($A363,Instagram_Usage_Lifestyle_Mini_!$A:$A,Instagram_Usage_Lifestyle_Mini_!$AC:$BF)</f>
        <v>67</v>
      </c>
      <c r="C363">
        <v>4</v>
      </c>
      <c r="D363">
        <v>2</v>
      </c>
      <c r="E363">
        <v>85</v>
      </c>
      <c r="F363">
        <v>56</v>
      </c>
      <c r="G363">
        <v>55</v>
      </c>
      <c r="H363">
        <v>12</v>
      </c>
      <c r="I363">
        <v>16</v>
      </c>
      <c r="J363">
        <v>16</v>
      </c>
      <c r="K363">
        <v>12</v>
      </c>
      <c r="L363">
        <v>2</v>
      </c>
      <c r="M363">
        <v>35</v>
      </c>
      <c r="N363">
        <v>12</v>
      </c>
      <c r="O363">
        <v>11</v>
      </c>
      <c r="P363">
        <v>17</v>
      </c>
      <c r="Q363">
        <v>5710</v>
      </c>
      <c r="R363">
        <v>10000</v>
      </c>
      <c r="S363" t="str">
        <v>No</v>
      </c>
      <c r="T363">
        <v>0.6</v>
      </c>
      <c r="U363">
        <v>2017</v>
      </c>
      <c r="V363">
        <v>45715</v>
      </c>
      <c r="W363">
        <v>16.8</v>
      </c>
      <c r="X363" t="str">
        <v>Photos</v>
      </c>
      <c r="Y363" t="str">
        <v>Music</v>
      </c>
      <c r="Z363" t="str">
        <v>Private</v>
      </c>
      <c r="AA363" t="str">
        <v>Yes</v>
      </c>
      <c r="AB363" t="str">
        <v>No</v>
      </c>
      <c r="AC363">
        <v>1</v>
      </c>
      <c r="AD363" t="str">
        <v>Free</v>
      </c>
      <c r="AE363">
        <v>1.25</v>
      </c>
      <c r="AF363" s="14">
        <f t="shared" si="5"/>
        <v>0.57099999999999995</v>
      </c>
    </row>
    <row r="364" spans="1:32" x14ac:dyDescent="0.2">
      <c r="A364">
        <v>363</v>
      </c>
      <c r="B364" cm="1">
        <f t="array" ref="B364:AE364">_xlfn.XLOOKUP($A364,Instagram_Usage_Lifestyle_Mini_!$A:$A,Instagram_Usage_Lifestyle_Mini_!$AC:$BF)</f>
        <v>47</v>
      </c>
      <c r="C364">
        <v>2</v>
      </c>
      <c r="D364">
        <v>2</v>
      </c>
      <c r="E364">
        <v>59</v>
      </c>
      <c r="F364">
        <v>50</v>
      </c>
      <c r="G364">
        <v>54</v>
      </c>
      <c r="H364">
        <v>13</v>
      </c>
      <c r="I364">
        <v>7</v>
      </c>
      <c r="J364">
        <v>16</v>
      </c>
      <c r="K364">
        <v>11</v>
      </c>
      <c r="L364">
        <v>3</v>
      </c>
      <c r="M364">
        <v>25</v>
      </c>
      <c r="N364">
        <v>9</v>
      </c>
      <c r="O364">
        <v>5</v>
      </c>
      <c r="P364">
        <v>12</v>
      </c>
      <c r="Q364">
        <v>314</v>
      </c>
      <c r="R364">
        <v>253</v>
      </c>
      <c r="S364" t="str">
        <v>No</v>
      </c>
      <c r="T364">
        <v>0.13</v>
      </c>
      <c r="U364">
        <v>2019</v>
      </c>
      <c r="V364">
        <v>45968</v>
      </c>
      <c r="W364">
        <v>23.5</v>
      </c>
      <c r="X364" t="str">
        <v>Stories</v>
      </c>
      <c r="Y364" t="str">
        <v>Fitness</v>
      </c>
      <c r="Z364" t="str">
        <v>Private</v>
      </c>
      <c r="AA364" t="str">
        <v>Yes</v>
      </c>
      <c r="AB364" t="str">
        <v>Yes</v>
      </c>
      <c r="AC364">
        <v>1</v>
      </c>
      <c r="AD364" t="str">
        <v>Free</v>
      </c>
      <c r="AE364">
        <v>1.79</v>
      </c>
      <c r="AF364" s="14">
        <f t="shared" si="5"/>
        <v>1.2411067193675889</v>
      </c>
    </row>
    <row r="365" spans="1:32" x14ac:dyDescent="0.2">
      <c r="A365">
        <v>364</v>
      </c>
      <c r="B365" cm="1">
        <f t="array" ref="B365:AE365">_xlfn.XLOOKUP($A365,Instagram_Usage_Lifestyle_Mini_!$A:$A,Instagram_Usage_Lifestyle_Mini_!$AC:$BF)</f>
        <v>260</v>
      </c>
      <c r="C365">
        <v>10</v>
      </c>
      <c r="D365">
        <v>8</v>
      </c>
      <c r="E365">
        <v>259</v>
      </c>
      <c r="F365">
        <v>140</v>
      </c>
      <c r="G365">
        <v>153</v>
      </c>
      <c r="H365">
        <v>42</v>
      </c>
      <c r="I365">
        <v>43</v>
      </c>
      <c r="J365">
        <v>38</v>
      </c>
      <c r="K365">
        <v>31</v>
      </c>
      <c r="L365">
        <v>6</v>
      </c>
      <c r="M365">
        <v>107</v>
      </c>
      <c r="N365">
        <v>41</v>
      </c>
      <c r="O365">
        <v>46</v>
      </c>
      <c r="P365">
        <v>73</v>
      </c>
      <c r="Q365">
        <v>2267</v>
      </c>
      <c r="R365">
        <v>2296</v>
      </c>
      <c r="S365" t="str">
        <v>No</v>
      </c>
      <c r="T365">
        <v>0.76</v>
      </c>
      <c r="U365">
        <v>2015</v>
      </c>
      <c r="V365">
        <v>45955</v>
      </c>
      <c r="W365">
        <v>26</v>
      </c>
      <c r="X365" t="str">
        <v>Live</v>
      </c>
      <c r="Y365" t="str">
        <v>Food</v>
      </c>
      <c r="Z365" t="str">
        <v>Public</v>
      </c>
      <c r="AA365" t="str">
        <v>No</v>
      </c>
      <c r="AB365" t="str">
        <v>No</v>
      </c>
      <c r="AC365">
        <v>2</v>
      </c>
      <c r="AD365" t="str">
        <v>Free</v>
      </c>
      <c r="AE365">
        <v>1</v>
      </c>
      <c r="AF365" s="14">
        <f t="shared" si="5"/>
        <v>0.9873693379790941</v>
      </c>
    </row>
    <row r="366" spans="1:32" x14ac:dyDescent="0.2">
      <c r="A366">
        <v>365</v>
      </c>
      <c r="B366" cm="1">
        <f t="array" ref="B366:AE366">_xlfn.XLOOKUP($A366,Instagram_Usage_Lifestyle_Mini_!$A:$A,Instagram_Usage_Lifestyle_Mini_!$AC:$BF)</f>
        <v>19</v>
      </c>
      <c r="C366">
        <v>1</v>
      </c>
      <c r="D366">
        <v>5</v>
      </c>
      <c r="E366">
        <v>41</v>
      </c>
      <c r="F366">
        <v>37</v>
      </c>
      <c r="G366">
        <v>32</v>
      </c>
      <c r="H366">
        <v>12</v>
      </c>
      <c r="I366">
        <v>8</v>
      </c>
      <c r="J366">
        <v>8</v>
      </c>
      <c r="K366">
        <v>4</v>
      </c>
      <c r="L366">
        <v>1</v>
      </c>
      <c r="M366">
        <v>11</v>
      </c>
      <c r="N366">
        <v>4</v>
      </c>
      <c r="O366">
        <v>3</v>
      </c>
      <c r="P366">
        <v>6</v>
      </c>
      <c r="Q366">
        <v>717</v>
      </c>
      <c r="R366">
        <v>700</v>
      </c>
      <c r="S366" t="str">
        <v>No</v>
      </c>
      <c r="T366">
        <v>0.02</v>
      </c>
      <c r="U366">
        <v>2019</v>
      </c>
      <c r="V366">
        <v>45924</v>
      </c>
      <c r="W366">
        <v>19</v>
      </c>
      <c r="X366" t="str">
        <v>Mixed</v>
      </c>
      <c r="Y366" t="str">
        <v>Music</v>
      </c>
      <c r="Z366" t="str">
        <v>Private</v>
      </c>
      <c r="AA366" t="str">
        <v>Yes</v>
      </c>
      <c r="AB366" t="str">
        <v>No</v>
      </c>
      <c r="AC366">
        <v>2</v>
      </c>
      <c r="AD366" t="str">
        <v>Premium</v>
      </c>
      <c r="AE366">
        <v>3.55</v>
      </c>
      <c r="AF366" s="14">
        <f t="shared" si="5"/>
        <v>1.0242857142857142</v>
      </c>
    </row>
    <row r="367" spans="1:32" x14ac:dyDescent="0.2">
      <c r="A367">
        <v>366</v>
      </c>
      <c r="B367" cm="1">
        <f t="array" ref="B367:AE367">_xlfn.XLOOKUP($A367,Instagram_Usage_Lifestyle_Mini_!$A:$A,Instagram_Usage_Lifestyle_Mini_!$AC:$BF)</f>
        <v>150</v>
      </c>
      <c r="C367">
        <v>5</v>
      </c>
      <c r="D367">
        <v>1</v>
      </c>
      <c r="E367">
        <v>124</v>
      </c>
      <c r="F367">
        <v>83</v>
      </c>
      <c r="G367">
        <v>119</v>
      </c>
      <c r="H367">
        <v>18</v>
      </c>
      <c r="I367">
        <v>24</v>
      </c>
      <c r="J367">
        <v>22</v>
      </c>
      <c r="K367">
        <v>27</v>
      </c>
      <c r="L367">
        <v>2</v>
      </c>
      <c r="M367">
        <v>89</v>
      </c>
      <c r="N367">
        <v>43</v>
      </c>
      <c r="O367">
        <v>22</v>
      </c>
      <c r="P367">
        <v>45</v>
      </c>
      <c r="Q367">
        <v>157</v>
      </c>
      <c r="R367">
        <v>334</v>
      </c>
      <c r="S367" t="str">
        <v>No</v>
      </c>
      <c r="T367">
        <v>0.93</v>
      </c>
      <c r="U367">
        <v>2012</v>
      </c>
      <c r="V367">
        <v>45874</v>
      </c>
      <c r="W367">
        <v>30</v>
      </c>
      <c r="X367" t="str">
        <v>Videos</v>
      </c>
      <c r="Y367" t="str">
        <v>Travel</v>
      </c>
      <c r="Z367" t="str">
        <v>Friends_only</v>
      </c>
      <c r="AA367" t="str">
        <v>Yes</v>
      </c>
      <c r="AB367" t="str">
        <v>No</v>
      </c>
      <c r="AC367">
        <v>2</v>
      </c>
      <c r="AD367" t="str">
        <v>Free</v>
      </c>
      <c r="AE367">
        <v>1.05</v>
      </c>
      <c r="AF367" s="14">
        <f t="shared" si="5"/>
        <v>0.47005988023952094</v>
      </c>
    </row>
    <row r="368" spans="1:32" x14ac:dyDescent="0.2">
      <c r="A368">
        <v>367</v>
      </c>
      <c r="B368" cm="1">
        <f t="array" ref="B368:AE368">_xlfn.XLOOKUP($A368,Instagram_Usage_Lifestyle_Mini_!$A:$A,Instagram_Usage_Lifestyle_Mini_!$AC:$BF)</f>
        <v>241</v>
      </c>
      <c r="C368">
        <v>12</v>
      </c>
      <c r="D368">
        <v>9</v>
      </c>
      <c r="E368">
        <v>200</v>
      </c>
      <c r="F368">
        <v>106</v>
      </c>
      <c r="G368">
        <v>144</v>
      </c>
      <c r="H368">
        <v>38</v>
      </c>
      <c r="I368">
        <v>45</v>
      </c>
      <c r="J368">
        <v>40</v>
      </c>
      <c r="K368">
        <v>18</v>
      </c>
      <c r="L368">
        <v>5</v>
      </c>
      <c r="M368">
        <v>140</v>
      </c>
      <c r="N368">
        <v>53</v>
      </c>
      <c r="O368">
        <v>43</v>
      </c>
      <c r="P368">
        <v>92</v>
      </c>
      <c r="Q368">
        <v>1009</v>
      </c>
      <c r="R368">
        <v>1858</v>
      </c>
      <c r="S368" t="str">
        <v>Yes</v>
      </c>
      <c r="T368">
        <v>0.23</v>
      </c>
      <c r="U368">
        <v>2023</v>
      </c>
      <c r="V368">
        <v>45673</v>
      </c>
      <c r="W368">
        <v>20.100000000000001</v>
      </c>
      <c r="X368" t="str">
        <v>Photos</v>
      </c>
      <c r="Y368" t="str">
        <v>Food</v>
      </c>
      <c r="Z368" t="str">
        <v>Friends_only</v>
      </c>
      <c r="AA368" t="str">
        <v>Yes</v>
      </c>
      <c r="AB368" t="str">
        <v>No</v>
      </c>
      <c r="AC368">
        <v>4</v>
      </c>
      <c r="AD368" t="str">
        <v>Free</v>
      </c>
      <c r="AE368">
        <v>1.02</v>
      </c>
      <c r="AF368" s="14">
        <f t="shared" si="5"/>
        <v>0.54305705059203446</v>
      </c>
    </row>
    <row r="369" spans="1:32" x14ac:dyDescent="0.2">
      <c r="A369">
        <v>368</v>
      </c>
      <c r="B369" cm="1">
        <f t="array" ref="B369:AE369">_xlfn.XLOOKUP($A369,Instagram_Usage_Lifestyle_Mini_!$A:$A,Instagram_Usage_Lifestyle_Mini_!$AC:$BF)</f>
        <v>264</v>
      </c>
      <c r="C369">
        <v>26</v>
      </c>
      <c r="D369">
        <v>11</v>
      </c>
      <c r="E369">
        <v>186</v>
      </c>
      <c r="F369">
        <v>129</v>
      </c>
      <c r="G369">
        <v>150</v>
      </c>
      <c r="H369">
        <v>53</v>
      </c>
      <c r="I369">
        <v>38</v>
      </c>
      <c r="J369">
        <v>31</v>
      </c>
      <c r="K369">
        <v>32</v>
      </c>
      <c r="L369">
        <v>5</v>
      </c>
      <c r="M369">
        <v>131</v>
      </c>
      <c r="N369">
        <v>38</v>
      </c>
      <c r="O369">
        <v>64</v>
      </c>
      <c r="P369">
        <v>84</v>
      </c>
      <c r="Q369">
        <v>2196</v>
      </c>
      <c r="R369">
        <v>2294</v>
      </c>
      <c r="S369" t="str">
        <v>No</v>
      </c>
      <c r="T369">
        <v>0.66</v>
      </c>
      <c r="U369">
        <v>2010</v>
      </c>
      <c r="V369">
        <v>45938</v>
      </c>
      <c r="W369">
        <v>10.199999999999999</v>
      </c>
      <c r="X369" t="str">
        <v>Videos</v>
      </c>
      <c r="Y369" t="str">
        <v>Music</v>
      </c>
      <c r="Z369" t="str">
        <v>Friends_only</v>
      </c>
      <c r="AA369" t="str">
        <v>Yes</v>
      </c>
      <c r="AB369" t="str">
        <v>No</v>
      </c>
      <c r="AC369">
        <v>1</v>
      </c>
      <c r="AD369" t="str">
        <v>Free</v>
      </c>
      <c r="AE369">
        <v>1.0900000000000001</v>
      </c>
      <c r="AF369" s="14">
        <f t="shared" si="5"/>
        <v>0.95727986050566694</v>
      </c>
    </row>
    <row r="370" spans="1:32" x14ac:dyDescent="0.2">
      <c r="A370">
        <v>369</v>
      </c>
      <c r="B370" cm="1">
        <f t="array" ref="B370:AE370">_xlfn.XLOOKUP($A370,Instagram_Usage_Lifestyle_Mini_!$A:$A,Instagram_Usage_Lifestyle_Mini_!$AC:$BF)</f>
        <v>270</v>
      </c>
      <c r="C370">
        <v>10</v>
      </c>
      <c r="D370">
        <v>6</v>
      </c>
      <c r="E370">
        <v>217</v>
      </c>
      <c r="F370">
        <v>150</v>
      </c>
      <c r="G370">
        <v>142</v>
      </c>
      <c r="H370">
        <v>39</v>
      </c>
      <c r="I370">
        <v>55</v>
      </c>
      <c r="J370">
        <v>38</v>
      </c>
      <c r="K370">
        <v>21</v>
      </c>
      <c r="L370">
        <v>13</v>
      </c>
      <c r="M370">
        <v>156</v>
      </c>
      <c r="N370">
        <v>32</v>
      </c>
      <c r="O370">
        <v>48</v>
      </c>
      <c r="P370">
        <v>93</v>
      </c>
      <c r="Q370">
        <v>289</v>
      </c>
      <c r="R370">
        <v>322</v>
      </c>
      <c r="S370" t="str">
        <v>No</v>
      </c>
      <c r="T370">
        <v>0.72</v>
      </c>
      <c r="U370">
        <v>2011</v>
      </c>
      <c r="V370">
        <v>45711</v>
      </c>
      <c r="W370">
        <v>27</v>
      </c>
      <c r="X370" t="str">
        <v>Photos</v>
      </c>
      <c r="Y370" t="str">
        <v>Travel</v>
      </c>
      <c r="Z370" t="str">
        <v>Private</v>
      </c>
      <c r="AA370" t="str">
        <v>No</v>
      </c>
      <c r="AB370" t="str">
        <v>Yes</v>
      </c>
      <c r="AC370">
        <v>2</v>
      </c>
      <c r="AD370" t="str">
        <v>Premium</v>
      </c>
      <c r="AE370">
        <v>0.88</v>
      </c>
      <c r="AF370" s="14">
        <f t="shared" si="5"/>
        <v>0.89751552795031053</v>
      </c>
    </row>
    <row r="371" spans="1:32" x14ac:dyDescent="0.2">
      <c r="A371">
        <v>370</v>
      </c>
      <c r="B371" cm="1">
        <f t="array" ref="B371:AE371">_xlfn.XLOOKUP($A371,Instagram_Usage_Lifestyle_Mini_!$A:$A,Instagram_Usage_Lifestyle_Mini_!$AC:$BF)</f>
        <v>50</v>
      </c>
      <c r="C371">
        <v>2</v>
      </c>
      <c r="D371">
        <v>4</v>
      </c>
      <c r="E371">
        <v>66</v>
      </c>
      <c r="F371">
        <v>58</v>
      </c>
      <c r="G371">
        <v>41</v>
      </c>
      <c r="H371">
        <v>14</v>
      </c>
      <c r="I371">
        <v>15</v>
      </c>
      <c r="J371">
        <v>14</v>
      </c>
      <c r="K371">
        <v>9</v>
      </c>
      <c r="L371">
        <v>5</v>
      </c>
      <c r="M371">
        <v>27</v>
      </c>
      <c r="N371">
        <v>9</v>
      </c>
      <c r="O371">
        <v>9</v>
      </c>
      <c r="P371">
        <v>14</v>
      </c>
      <c r="Q371">
        <v>493</v>
      </c>
      <c r="R371">
        <v>394</v>
      </c>
      <c r="S371" t="str">
        <v>No</v>
      </c>
      <c r="T371">
        <v>0.87</v>
      </c>
      <c r="U371">
        <v>2014</v>
      </c>
      <c r="V371">
        <v>45943</v>
      </c>
      <c r="W371">
        <v>25</v>
      </c>
      <c r="X371" t="str">
        <v>Live</v>
      </c>
      <c r="Y371" t="str">
        <v>Food</v>
      </c>
      <c r="Z371" t="str">
        <v>Private</v>
      </c>
      <c r="AA371" t="str">
        <v>Yes</v>
      </c>
      <c r="AB371" t="str">
        <v>No</v>
      </c>
      <c r="AC371">
        <v>2</v>
      </c>
      <c r="AD371" t="str">
        <v>Premium</v>
      </c>
      <c r="AE371">
        <v>1.59</v>
      </c>
      <c r="AF371" s="14">
        <f t="shared" si="5"/>
        <v>1.251269035532995</v>
      </c>
    </row>
    <row r="372" spans="1:32" x14ac:dyDescent="0.2">
      <c r="A372">
        <v>371</v>
      </c>
      <c r="B372" cm="1">
        <f t="array" ref="B372:AE372">_xlfn.XLOOKUP($A372,Instagram_Usage_Lifestyle_Mini_!$A:$A,Instagram_Usage_Lifestyle_Mini_!$AC:$BF)</f>
        <v>240</v>
      </c>
      <c r="C372">
        <v>18</v>
      </c>
      <c r="D372">
        <v>7</v>
      </c>
      <c r="E372">
        <v>183</v>
      </c>
      <c r="F372">
        <v>119</v>
      </c>
      <c r="G372">
        <v>158</v>
      </c>
      <c r="H372">
        <v>32</v>
      </c>
      <c r="I372">
        <v>39</v>
      </c>
      <c r="J372">
        <v>30</v>
      </c>
      <c r="K372">
        <v>21</v>
      </c>
      <c r="L372">
        <v>3</v>
      </c>
      <c r="M372">
        <v>141</v>
      </c>
      <c r="N372">
        <v>49</v>
      </c>
      <c r="O372">
        <v>26</v>
      </c>
      <c r="P372">
        <v>85</v>
      </c>
      <c r="Q372">
        <v>715</v>
      </c>
      <c r="R372">
        <v>1581</v>
      </c>
      <c r="S372" t="str">
        <v>No</v>
      </c>
      <c r="T372">
        <v>0.3</v>
      </c>
      <c r="U372">
        <v>2011</v>
      </c>
      <c r="V372">
        <v>45848</v>
      </c>
      <c r="W372">
        <v>13.3</v>
      </c>
      <c r="X372" t="str">
        <v>Mixed</v>
      </c>
      <c r="Y372" t="str">
        <v>Fashion</v>
      </c>
      <c r="Z372" t="str">
        <v>Friends_only</v>
      </c>
      <c r="AA372" t="str">
        <v>Yes</v>
      </c>
      <c r="AB372" t="str">
        <v>No</v>
      </c>
      <c r="AC372">
        <v>0</v>
      </c>
      <c r="AD372" t="str">
        <v>Free</v>
      </c>
      <c r="AE372">
        <v>1.01</v>
      </c>
      <c r="AF372" s="14">
        <f t="shared" si="5"/>
        <v>0.45224541429475018</v>
      </c>
    </row>
    <row r="373" spans="1:32" x14ac:dyDescent="0.2">
      <c r="A373">
        <v>372</v>
      </c>
      <c r="B373" cm="1">
        <f t="array" ref="B373:AE373">_xlfn.XLOOKUP($A373,Instagram_Usage_Lifestyle_Mini_!$A:$A,Instagram_Usage_Lifestyle_Mini_!$AC:$BF)</f>
        <v>214</v>
      </c>
      <c r="C373">
        <v>10</v>
      </c>
      <c r="D373">
        <v>7</v>
      </c>
      <c r="E373">
        <v>166</v>
      </c>
      <c r="F373">
        <v>129</v>
      </c>
      <c r="G373">
        <v>148</v>
      </c>
      <c r="H373">
        <v>37</v>
      </c>
      <c r="I373">
        <v>22</v>
      </c>
      <c r="J373">
        <v>25</v>
      </c>
      <c r="K373">
        <v>31</v>
      </c>
      <c r="L373">
        <v>4</v>
      </c>
      <c r="M373">
        <v>89</v>
      </c>
      <c r="N373">
        <v>50</v>
      </c>
      <c r="O373">
        <v>41</v>
      </c>
      <c r="P373">
        <v>62</v>
      </c>
      <c r="Q373">
        <v>785</v>
      </c>
      <c r="R373">
        <v>851</v>
      </c>
      <c r="S373" t="str">
        <v>Yes</v>
      </c>
      <c r="T373">
        <v>0.87</v>
      </c>
      <c r="U373">
        <v>2019</v>
      </c>
      <c r="V373">
        <v>45713</v>
      </c>
      <c r="W373">
        <v>21.4</v>
      </c>
      <c r="X373" t="str">
        <v>Videos</v>
      </c>
      <c r="Y373" t="str">
        <v>Music</v>
      </c>
      <c r="Z373" t="str">
        <v>Public</v>
      </c>
      <c r="AA373" t="str">
        <v>No</v>
      </c>
      <c r="AB373" t="str">
        <v>Yes</v>
      </c>
      <c r="AC373">
        <v>1</v>
      </c>
      <c r="AD373" t="str">
        <v>Premium</v>
      </c>
      <c r="AE373">
        <v>1.1299999999999999</v>
      </c>
      <c r="AF373" s="14">
        <f t="shared" si="5"/>
        <v>0.92244418331374856</v>
      </c>
    </row>
    <row r="374" spans="1:32" x14ac:dyDescent="0.2">
      <c r="A374">
        <v>373</v>
      </c>
      <c r="B374" cm="1">
        <f t="array" ref="B374:AE374">_xlfn.XLOOKUP($A374,Instagram_Usage_Lifestyle_Mini_!$A:$A,Instagram_Usage_Lifestyle_Mini_!$AC:$BF)</f>
        <v>130</v>
      </c>
      <c r="C374">
        <v>4</v>
      </c>
      <c r="D374">
        <v>6</v>
      </c>
      <c r="E374">
        <v>121</v>
      </c>
      <c r="F374">
        <v>90</v>
      </c>
      <c r="G374">
        <v>103</v>
      </c>
      <c r="H374">
        <v>20</v>
      </c>
      <c r="I374">
        <v>21</v>
      </c>
      <c r="J374">
        <v>19</v>
      </c>
      <c r="K374">
        <v>14</v>
      </c>
      <c r="L374">
        <v>3</v>
      </c>
      <c r="M374">
        <v>59</v>
      </c>
      <c r="N374">
        <v>34</v>
      </c>
      <c r="O374">
        <v>15</v>
      </c>
      <c r="P374">
        <v>44</v>
      </c>
      <c r="Q374">
        <v>6514</v>
      </c>
      <c r="R374">
        <v>10000</v>
      </c>
      <c r="S374" t="str">
        <v>No</v>
      </c>
      <c r="T374">
        <v>0.28000000000000003</v>
      </c>
      <c r="U374">
        <v>2015</v>
      </c>
      <c r="V374">
        <v>45734</v>
      </c>
      <c r="W374">
        <v>32.5</v>
      </c>
      <c r="X374" t="str">
        <v>Live</v>
      </c>
      <c r="Y374" t="str">
        <v>Fitness</v>
      </c>
      <c r="Z374" t="str">
        <v>Private</v>
      </c>
      <c r="AA374" t="str">
        <v>No</v>
      </c>
      <c r="AB374" t="str">
        <v>No</v>
      </c>
      <c r="AC374">
        <v>2</v>
      </c>
      <c r="AD374" t="str">
        <v>Free</v>
      </c>
      <c r="AE374">
        <v>1.23</v>
      </c>
      <c r="AF374" s="14">
        <f t="shared" si="5"/>
        <v>0.65139999999999998</v>
      </c>
    </row>
    <row r="375" spans="1:32" x14ac:dyDescent="0.2">
      <c r="A375">
        <v>374</v>
      </c>
      <c r="B375" cm="1">
        <f t="array" ref="B375:AE375">_xlfn.XLOOKUP($A375,Instagram_Usage_Lifestyle_Mini_!$A:$A,Instagram_Usage_Lifestyle_Mini_!$AC:$BF)</f>
        <v>322</v>
      </c>
      <c r="C375">
        <v>15</v>
      </c>
      <c r="D375">
        <v>18</v>
      </c>
      <c r="E375">
        <v>299</v>
      </c>
      <c r="F375">
        <v>138</v>
      </c>
      <c r="G375">
        <v>180</v>
      </c>
      <c r="H375">
        <v>58</v>
      </c>
      <c r="I375">
        <v>48</v>
      </c>
      <c r="J375">
        <v>48</v>
      </c>
      <c r="K375">
        <v>39</v>
      </c>
      <c r="L375">
        <v>6</v>
      </c>
      <c r="M375">
        <v>147</v>
      </c>
      <c r="N375">
        <v>49</v>
      </c>
      <c r="O375">
        <v>32</v>
      </c>
      <c r="P375">
        <v>104</v>
      </c>
      <c r="Q375">
        <v>6403</v>
      </c>
      <c r="R375">
        <v>5441</v>
      </c>
      <c r="S375" t="str">
        <v>No</v>
      </c>
      <c r="T375">
        <v>0.49</v>
      </c>
      <c r="U375">
        <v>2014</v>
      </c>
      <c r="V375">
        <v>45748</v>
      </c>
      <c r="W375">
        <v>21.5</v>
      </c>
      <c r="X375" t="str">
        <v>Reels</v>
      </c>
      <c r="Y375" t="str">
        <v>Music</v>
      </c>
      <c r="Z375" t="str">
        <v>Private</v>
      </c>
      <c r="AA375" t="str">
        <v>Yes</v>
      </c>
      <c r="AB375" t="str">
        <v>No</v>
      </c>
      <c r="AC375">
        <v>2</v>
      </c>
      <c r="AD375" t="str">
        <v>Free</v>
      </c>
      <c r="AE375">
        <v>1.08</v>
      </c>
      <c r="AF375" s="14">
        <f t="shared" si="5"/>
        <v>1.1768057342400293</v>
      </c>
    </row>
    <row r="376" spans="1:32" x14ac:dyDescent="0.2">
      <c r="A376">
        <v>375</v>
      </c>
      <c r="B376" cm="1">
        <f t="array" ref="B376:AE376">_xlfn.XLOOKUP($A376,Instagram_Usage_Lifestyle_Mini_!$A:$A,Instagram_Usage_Lifestyle_Mini_!$AC:$BF)</f>
        <v>342</v>
      </c>
      <c r="C376">
        <v>39</v>
      </c>
      <c r="D376">
        <v>8</v>
      </c>
      <c r="E376">
        <v>256</v>
      </c>
      <c r="F376">
        <v>150</v>
      </c>
      <c r="G376">
        <v>199</v>
      </c>
      <c r="H376">
        <v>56</v>
      </c>
      <c r="I376">
        <v>43</v>
      </c>
      <c r="J376">
        <v>59</v>
      </c>
      <c r="K376">
        <v>28</v>
      </c>
      <c r="L376">
        <v>8</v>
      </c>
      <c r="M376">
        <v>143</v>
      </c>
      <c r="N376">
        <v>88</v>
      </c>
      <c r="O376">
        <v>52</v>
      </c>
      <c r="P376">
        <v>84</v>
      </c>
      <c r="Q376">
        <v>207</v>
      </c>
      <c r="R376">
        <v>175</v>
      </c>
      <c r="S376" t="str">
        <v>Yes</v>
      </c>
      <c r="T376">
        <v>0.2</v>
      </c>
      <c r="U376">
        <v>2011</v>
      </c>
      <c r="V376">
        <v>45684</v>
      </c>
      <c r="W376">
        <v>8.8000000000000007</v>
      </c>
      <c r="X376" t="str">
        <v>Mixed</v>
      </c>
      <c r="Y376" t="str">
        <v>Fitness</v>
      </c>
      <c r="Z376" t="str">
        <v>Public</v>
      </c>
      <c r="AA376" t="str">
        <v>Yes</v>
      </c>
      <c r="AB376" t="str">
        <v>Yes</v>
      </c>
      <c r="AC376">
        <v>1</v>
      </c>
      <c r="AD376" t="str">
        <v>Free</v>
      </c>
      <c r="AE376">
        <v>0.98</v>
      </c>
      <c r="AF376" s="14">
        <f t="shared" si="5"/>
        <v>1.1828571428571428</v>
      </c>
    </row>
    <row r="377" spans="1:32" x14ac:dyDescent="0.2">
      <c r="A377">
        <v>376</v>
      </c>
      <c r="B377" cm="1">
        <f t="array" ref="B377:AE377">_xlfn.XLOOKUP($A377,Instagram_Usage_Lifestyle_Mini_!$A:$A,Instagram_Usage_Lifestyle_Mini_!$AC:$BF)</f>
        <v>58</v>
      </c>
      <c r="C377">
        <v>4</v>
      </c>
      <c r="D377">
        <v>6</v>
      </c>
      <c r="E377">
        <v>77</v>
      </c>
      <c r="F377">
        <v>49</v>
      </c>
      <c r="G377">
        <v>62</v>
      </c>
      <c r="H377">
        <v>12</v>
      </c>
      <c r="I377">
        <v>17</v>
      </c>
      <c r="J377">
        <v>13</v>
      </c>
      <c r="K377">
        <v>10</v>
      </c>
      <c r="L377">
        <v>3</v>
      </c>
      <c r="M377">
        <v>28</v>
      </c>
      <c r="N377">
        <v>8</v>
      </c>
      <c r="O377">
        <v>10</v>
      </c>
      <c r="P377">
        <v>20</v>
      </c>
      <c r="Q377">
        <v>1075</v>
      </c>
      <c r="R377">
        <v>1861</v>
      </c>
      <c r="S377" t="str">
        <v>No</v>
      </c>
      <c r="T377">
        <v>0.11</v>
      </c>
      <c r="U377">
        <v>2014</v>
      </c>
      <c r="V377">
        <v>45895</v>
      </c>
      <c r="W377">
        <v>14.5</v>
      </c>
      <c r="X377" t="str">
        <v>Videos</v>
      </c>
      <c r="Y377" t="str">
        <v>Fashion</v>
      </c>
      <c r="Z377" t="str">
        <v>Private</v>
      </c>
      <c r="AA377" t="str">
        <v>Yes</v>
      </c>
      <c r="AB377" t="str">
        <v>No</v>
      </c>
      <c r="AC377">
        <v>3</v>
      </c>
      <c r="AD377" t="str">
        <v>Free</v>
      </c>
      <c r="AE377">
        <v>1.76</v>
      </c>
      <c r="AF377" s="14">
        <f t="shared" si="5"/>
        <v>0.57764642665233745</v>
      </c>
    </row>
    <row r="378" spans="1:32" x14ac:dyDescent="0.2">
      <c r="A378">
        <v>377</v>
      </c>
      <c r="B378" cm="1">
        <f t="array" ref="B378:AE378">_xlfn.XLOOKUP($A378,Instagram_Usage_Lifestyle_Mini_!$A:$A,Instagram_Usage_Lifestyle_Mini_!$AC:$BF)</f>
        <v>216</v>
      </c>
      <c r="C378">
        <v>8</v>
      </c>
      <c r="D378">
        <v>7</v>
      </c>
      <c r="E378">
        <v>247</v>
      </c>
      <c r="F378">
        <v>110</v>
      </c>
      <c r="G378">
        <v>136</v>
      </c>
      <c r="H378">
        <v>38</v>
      </c>
      <c r="I378">
        <v>21</v>
      </c>
      <c r="J378">
        <v>31</v>
      </c>
      <c r="K378">
        <v>26</v>
      </c>
      <c r="L378">
        <v>4</v>
      </c>
      <c r="M378">
        <v>100</v>
      </c>
      <c r="N378">
        <v>58</v>
      </c>
      <c r="O378">
        <v>38</v>
      </c>
      <c r="P378">
        <v>73</v>
      </c>
      <c r="Q378">
        <v>849</v>
      </c>
      <c r="R378">
        <v>1221</v>
      </c>
      <c r="S378" t="str">
        <v>Yes</v>
      </c>
      <c r="T378">
        <v>0.89</v>
      </c>
      <c r="U378">
        <v>2015</v>
      </c>
      <c r="V378">
        <v>45664</v>
      </c>
      <c r="W378">
        <v>27</v>
      </c>
      <c r="X378" t="str">
        <v>Reels</v>
      </c>
      <c r="Y378" t="str">
        <v>Art</v>
      </c>
      <c r="Z378" t="str">
        <v>Private</v>
      </c>
      <c r="AA378" t="str">
        <v>Yes</v>
      </c>
      <c r="AB378" t="str">
        <v>No</v>
      </c>
      <c r="AC378">
        <v>1</v>
      </c>
      <c r="AD378" t="str">
        <v>Free</v>
      </c>
      <c r="AE378">
        <v>1.07</v>
      </c>
      <c r="AF378" s="14">
        <f t="shared" si="5"/>
        <v>0.69533169533169537</v>
      </c>
    </row>
    <row r="379" spans="1:32" x14ac:dyDescent="0.2">
      <c r="A379">
        <v>378</v>
      </c>
      <c r="B379" cm="1">
        <f t="array" ref="B379:AE379">_xlfn.XLOOKUP($A379,Instagram_Usage_Lifestyle_Mini_!$A:$A,Instagram_Usage_Lifestyle_Mini_!$AC:$BF)</f>
        <v>159</v>
      </c>
      <c r="C379">
        <v>14</v>
      </c>
      <c r="D379">
        <v>4</v>
      </c>
      <c r="E379">
        <v>157</v>
      </c>
      <c r="F379">
        <v>84</v>
      </c>
      <c r="G379">
        <v>124</v>
      </c>
      <c r="H379">
        <v>29</v>
      </c>
      <c r="I379">
        <v>24</v>
      </c>
      <c r="J379">
        <v>28</v>
      </c>
      <c r="K379">
        <v>16</v>
      </c>
      <c r="L379">
        <v>9</v>
      </c>
      <c r="M379">
        <v>71</v>
      </c>
      <c r="N379">
        <v>26</v>
      </c>
      <c r="O379">
        <v>22</v>
      </c>
      <c r="P379">
        <v>43</v>
      </c>
      <c r="Q379">
        <v>804</v>
      </c>
      <c r="R379">
        <v>1551</v>
      </c>
      <c r="S379" t="str">
        <v>No</v>
      </c>
      <c r="T379">
        <v>0</v>
      </c>
      <c r="U379">
        <v>2013</v>
      </c>
      <c r="V379">
        <v>45858</v>
      </c>
      <c r="W379">
        <v>11.4</v>
      </c>
      <c r="X379" t="str">
        <v>Stories</v>
      </c>
      <c r="Y379" t="str">
        <v>Music</v>
      </c>
      <c r="Z379" t="str">
        <v>Private</v>
      </c>
      <c r="AA379" t="str">
        <v>Yes</v>
      </c>
      <c r="AB379" t="str">
        <v>No</v>
      </c>
      <c r="AC379">
        <v>4</v>
      </c>
      <c r="AD379" t="str">
        <v>Free</v>
      </c>
      <c r="AE379">
        <v>1.21</v>
      </c>
      <c r="AF379" s="14">
        <f t="shared" si="5"/>
        <v>0.51837524177949712</v>
      </c>
    </row>
    <row r="380" spans="1:32" x14ac:dyDescent="0.2">
      <c r="A380">
        <v>379</v>
      </c>
      <c r="B380" cm="1">
        <f t="array" ref="B380:AE380">_xlfn.XLOOKUP($A380,Instagram_Usage_Lifestyle_Mini_!$A:$A,Instagram_Usage_Lifestyle_Mini_!$AC:$BF)</f>
        <v>310</v>
      </c>
      <c r="C380">
        <v>11</v>
      </c>
      <c r="D380">
        <v>11</v>
      </c>
      <c r="E380">
        <v>256</v>
      </c>
      <c r="F380">
        <v>150</v>
      </c>
      <c r="G380">
        <v>167</v>
      </c>
      <c r="H380">
        <v>60</v>
      </c>
      <c r="I380">
        <v>35</v>
      </c>
      <c r="J380">
        <v>47</v>
      </c>
      <c r="K380">
        <v>34</v>
      </c>
      <c r="L380">
        <v>7</v>
      </c>
      <c r="M380">
        <v>128</v>
      </c>
      <c r="N380">
        <v>56</v>
      </c>
      <c r="O380">
        <v>49</v>
      </c>
      <c r="P380">
        <v>104</v>
      </c>
      <c r="Q380">
        <v>6241</v>
      </c>
      <c r="R380">
        <v>7087</v>
      </c>
      <c r="S380" t="str">
        <v>No</v>
      </c>
      <c r="T380">
        <v>0.13</v>
      </c>
      <c r="U380">
        <v>2017</v>
      </c>
      <c r="V380">
        <v>45805</v>
      </c>
      <c r="W380">
        <v>28.2</v>
      </c>
      <c r="X380" t="str">
        <v>Videos</v>
      </c>
      <c r="Y380" t="str">
        <v>Art</v>
      </c>
      <c r="Z380" t="str">
        <v>Private</v>
      </c>
      <c r="AA380" t="str">
        <v>No</v>
      </c>
      <c r="AB380" t="str">
        <v>No</v>
      </c>
      <c r="AC380">
        <v>1</v>
      </c>
      <c r="AD380" t="str">
        <v>Free</v>
      </c>
      <c r="AE380">
        <v>1.03</v>
      </c>
      <c r="AF380" s="14">
        <f t="shared" si="5"/>
        <v>0.8806264992239311</v>
      </c>
    </row>
    <row r="381" spans="1:32" x14ac:dyDescent="0.2">
      <c r="A381">
        <v>380</v>
      </c>
      <c r="B381" cm="1">
        <f t="array" ref="B381:AE381">_xlfn.XLOOKUP($A381,Instagram_Usage_Lifestyle_Mini_!$A:$A,Instagram_Usage_Lifestyle_Mini_!$AC:$BF)</f>
        <v>38</v>
      </c>
      <c r="C381">
        <v>1</v>
      </c>
      <c r="D381">
        <v>1</v>
      </c>
      <c r="E381">
        <v>156</v>
      </c>
      <c r="F381">
        <v>48</v>
      </c>
      <c r="G381">
        <v>37</v>
      </c>
      <c r="H381">
        <v>14</v>
      </c>
      <c r="I381">
        <v>6</v>
      </c>
      <c r="J381">
        <v>19</v>
      </c>
      <c r="K381">
        <v>11</v>
      </c>
      <c r="L381">
        <v>3</v>
      </c>
      <c r="M381">
        <v>22</v>
      </c>
      <c r="N381">
        <v>6</v>
      </c>
      <c r="O381">
        <v>9</v>
      </c>
      <c r="P381">
        <v>11</v>
      </c>
      <c r="Q381">
        <v>387</v>
      </c>
      <c r="R381">
        <v>526</v>
      </c>
      <c r="S381" t="str">
        <v>No</v>
      </c>
      <c r="T381">
        <v>0.33</v>
      </c>
      <c r="U381">
        <v>2023</v>
      </c>
      <c r="V381">
        <v>45912</v>
      </c>
      <c r="W381">
        <v>38</v>
      </c>
      <c r="X381" t="str">
        <v>Mixed</v>
      </c>
      <c r="Y381" t="str">
        <v>Travel</v>
      </c>
      <c r="Z381" t="str">
        <v>Public</v>
      </c>
      <c r="AA381" t="str">
        <v>Yes</v>
      </c>
      <c r="AB381" t="str">
        <v>No</v>
      </c>
      <c r="AC381">
        <v>4</v>
      </c>
      <c r="AD381" t="str">
        <v>Free</v>
      </c>
      <c r="AE381">
        <v>1.74</v>
      </c>
      <c r="AF381" s="14">
        <f t="shared" si="5"/>
        <v>0.73574144486692017</v>
      </c>
    </row>
    <row r="382" spans="1:32" x14ac:dyDescent="0.2">
      <c r="A382">
        <v>381</v>
      </c>
      <c r="B382" cm="1">
        <f t="array" ref="B382:AE382">_xlfn.XLOOKUP($A382,Instagram_Usage_Lifestyle_Mini_!$A:$A,Instagram_Usage_Lifestyle_Mini_!$AC:$BF)</f>
        <v>95</v>
      </c>
      <c r="C382">
        <v>6</v>
      </c>
      <c r="D382">
        <v>3</v>
      </c>
      <c r="E382">
        <v>112</v>
      </c>
      <c r="F382">
        <v>67</v>
      </c>
      <c r="G382">
        <v>75</v>
      </c>
      <c r="H382">
        <v>18</v>
      </c>
      <c r="I382">
        <v>13</v>
      </c>
      <c r="J382">
        <v>14</v>
      </c>
      <c r="K382">
        <v>13</v>
      </c>
      <c r="L382">
        <v>1</v>
      </c>
      <c r="M382">
        <v>48</v>
      </c>
      <c r="N382">
        <v>14</v>
      </c>
      <c r="O382">
        <v>10</v>
      </c>
      <c r="P382">
        <v>19</v>
      </c>
      <c r="Q382">
        <v>155</v>
      </c>
      <c r="R382">
        <v>322</v>
      </c>
      <c r="S382" t="str">
        <v>No</v>
      </c>
      <c r="T382">
        <v>7.0000000000000007E-2</v>
      </c>
      <c r="U382">
        <v>2022</v>
      </c>
      <c r="V382">
        <v>45717</v>
      </c>
      <c r="W382">
        <v>15.8</v>
      </c>
      <c r="X382" t="str">
        <v>Stories</v>
      </c>
      <c r="Y382" t="str">
        <v>Food</v>
      </c>
      <c r="Z382" t="str">
        <v>Public</v>
      </c>
      <c r="AA382" t="str">
        <v>Yes</v>
      </c>
      <c r="AB382" t="str">
        <v>Yes</v>
      </c>
      <c r="AC382">
        <v>1</v>
      </c>
      <c r="AD382" t="str">
        <v>Business</v>
      </c>
      <c r="AE382">
        <v>1.25</v>
      </c>
      <c r="AF382" s="14">
        <f t="shared" si="5"/>
        <v>0.48136645962732921</v>
      </c>
    </row>
    <row r="383" spans="1:32" x14ac:dyDescent="0.2">
      <c r="A383">
        <v>382</v>
      </c>
      <c r="B383" cm="1">
        <f t="array" ref="B383:AE383">_xlfn.XLOOKUP($A383,Instagram_Usage_Lifestyle_Mini_!$A:$A,Instagram_Usage_Lifestyle_Mini_!$AC:$BF)</f>
        <v>189</v>
      </c>
      <c r="C383">
        <v>19</v>
      </c>
      <c r="D383">
        <v>2</v>
      </c>
      <c r="E383">
        <v>170</v>
      </c>
      <c r="F383">
        <v>109</v>
      </c>
      <c r="G383">
        <v>118</v>
      </c>
      <c r="H383">
        <v>39</v>
      </c>
      <c r="I383">
        <v>25</v>
      </c>
      <c r="J383">
        <v>37</v>
      </c>
      <c r="K383">
        <v>14</v>
      </c>
      <c r="L383">
        <v>2</v>
      </c>
      <c r="M383">
        <v>86</v>
      </c>
      <c r="N383">
        <v>21</v>
      </c>
      <c r="O383">
        <v>36</v>
      </c>
      <c r="P383">
        <v>45</v>
      </c>
      <c r="Q383">
        <v>492</v>
      </c>
      <c r="R383">
        <v>593</v>
      </c>
      <c r="S383" t="str">
        <v>Yes</v>
      </c>
      <c r="T383">
        <v>0.77</v>
      </c>
      <c r="U383">
        <v>2011</v>
      </c>
      <c r="V383">
        <v>45792</v>
      </c>
      <c r="W383">
        <v>9.9</v>
      </c>
      <c r="X383" t="str">
        <v>Videos</v>
      </c>
      <c r="Y383" t="str">
        <v>Travel</v>
      </c>
      <c r="Z383" t="str">
        <v>Public</v>
      </c>
      <c r="AA383" t="str">
        <v>Yes</v>
      </c>
      <c r="AB383" t="str">
        <v>Yes</v>
      </c>
      <c r="AC383">
        <v>3</v>
      </c>
      <c r="AD383" t="str">
        <v>Business</v>
      </c>
      <c r="AE383">
        <v>1.06</v>
      </c>
      <c r="AF383" s="14">
        <f t="shared" si="5"/>
        <v>0.8296795952782462</v>
      </c>
    </row>
    <row r="384" spans="1:32" x14ac:dyDescent="0.2">
      <c r="A384">
        <v>383</v>
      </c>
      <c r="B384" cm="1">
        <f t="array" ref="B384:AE384">_xlfn.XLOOKUP($A384,Instagram_Usage_Lifestyle_Mini_!$A:$A,Instagram_Usage_Lifestyle_Mini_!$AC:$BF)</f>
        <v>74</v>
      </c>
      <c r="C384">
        <v>2</v>
      </c>
      <c r="D384">
        <v>5</v>
      </c>
      <c r="E384">
        <v>73</v>
      </c>
      <c r="F384">
        <v>51</v>
      </c>
      <c r="G384">
        <v>65</v>
      </c>
      <c r="H384">
        <v>19</v>
      </c>
      <c r="I384">
        <v>11</v>
      </c>
      <c r="J384">
        <v>14</v>
      </c>
      <c r="K384">
        <v>16</v>
      </c>
      <c r="L384">
        <v>1</v>
      </c>
      <c r="M384">
        <v>33</v>
      </c>
      <c r="N384">
        <v>20</v>
      </c>
      <c r="O384">
        <v>12</v>
      </c>
      <c r="P384">
        <v>21</v>
      </c>
      <c r="Q384">
        <v>606</v>
      </c>
      <c r="R384">
        <v>470</v>
      </c>
      <c r="S384" t="str">
        <v>No</v>
      </c>
      <c r="T384">
        <v>0.91</v>
      </c>
      <c r="U384">
        <v>2022</v>
      </c>
      <c r="V384">
        <v>45874</v>
      </c>
      <c r="W384">
        <v>37</v>
      </c>
      <c r="X384" t="str">
        <v>Videos</v>
      </c>
      <c r="Y384" t="str">
        <v>Fitness</v>
      </c>
      <c r="Z384" t="str">
        <v>Friends_only</v>
      </c>
      <c r="AA384" t="str">
        <v>Yes</v>
      </c>
      <c r="AB384" t="str">
        <v>No</v>
      </c>
      <c r="AC384">
        <v>0</v>
      </c>
      <c r="AD384" t="str">
        <v>Premium</v>
      </c>
      <c r="AE384">
        <v>1.57</v>
      </c>
      <c r="AF384" s="14">
        <f t="shared" si="5"/>
        <v>1.2893617021276595</v>
      </c>
    </row>
    <row r="385" spans="1:32" x14ac:dyDescent="0.2">
      <c r="A385">
        <v>384</v>
      </c>
      <c r="B385" cm="1">
        <f t="array" ref="B385:AE385">_xlfn.XLOOKUP($A385,Instagram_Usage_Lifestyle_Mini_!$A:$A,Instagram_Usage_Lifestyle_Mini_!$AC:$BF)</f>
        <v>377</v>
      </c>
      <c r="C385">
        <v>13</v>
      </c>
      <c r="D385">
        <v>5</v>
      </c>
      <c r="E385">
        <v>268</v>
      </c>
      <c r="F385">
        <v>150</v>
      </c>
      <c r="G385">
        <v>215</v>
      </c>
      <c r="H385">
        <v>53</v>
      </c>
      <c r="I385">
        <v>47</v>
      </c>
      <c r="J385">
        <v>59</v>
      </c>
      <c r="K385">
        <v>34</v>
      </c>
      <c r="L385">
        <v>8</v>
      </c>
      <c r="M385">
        <v>224</v>
      </c>
      <c r="N385">
        <v>50</v>
      </c>
      <c r="O385">
        <v>51</v>
      </c>
      <c r="P385">
        <v>86</v>
      </c>
      <c r="Q385">
        <v>748</v>
      </c>
      <c r="R385">
        <v>1787</v>
      </c>
      <c r="S385" t="str">
        <v>No</v>
      </c>
      <c r="T385">
        <v>7.0000000000000007E-2</v>
      </c>
      <c r="U385">
        <v>2017</v>
      </c>
      <c r="V385">
        <v>46018</v>
      </c>
      <c r="W385">
        <v>29</v>
      </c>
      <c r="X385" t="str">
        <v>Live</v>
      </c>
      <c r="Y385" t="str">
        <v>Food</v>
      </c>
      <c r="Z385" t="str">
        <v>Public</v>
      </c>
      <c r="AA385" t="str">
        <v>Yes</v>
      </c>
      <c r="AB385" t="str">
        <v>No</v>
      </c>
      <c r="AC385">
        <v>2</v>
      </c>
      <c r="AD385" t="str">
        <v>Free</v>
      </c>
      <c r="AE385">
        <v>0.89</v>
      </c>
      <c r="AF385" s="14">
        <f t="shared" si="5"/>
        <v>0.41857862339115837</v>
      </c>
    </row>
    <row r="386" spans="1:32" x14ac:dyDescent="0.2">
      <c r="A386">
        <v>385</v>
      </c>
      <c r="B386" cm="1">
        <f t="array" ref="B386:AE386">_xlfn.XLOOKUP($A386,Instagram_Usage_Lifestyle_Mini_!$A:$A,Instagram_Usage_Lifestyle_Mini_!$AC:$BF)</f>
        <v>31</v>
      </c>
      <c r="C386">
        <v>1</v>
      </c>
      <c r="D386">
        <v>4</v>
      </c>
      <c r="E386">
        <v>62</v>
      </c>
      <c r="F386">
        <v>28</v>
      </c>
      <c r="G386">
        <v>40</v>
      </c>
      <c r="H386">
        <v>9</v>
      </c>
      <c r="I386">
        <v>17</v>
      </c>
      <c r="J386">
        <v>9</v>
      </c>
      <c r="K386">
        <v>10</v>
      </c>
      <c r="L386">
        <v>1</v>
      </c>
      <c r="M386">
        <v>17</v>
      </c>
      <c r="N386">
        <v>6</v>
      </c>
      <c r="O386">
        <v>4</v>
      </c>
      <c r="P386">
        <v>6</v>
      </c>
      <c r="Q386">
        <v>533</v>
      </c>
      <c r="R386">
        <v>934</v>
      </c>
      <c r="S386" t="str">
        <v>No</v>
      </c>
      <c r="T386">
        <v>0.99</v>
      </c>
      <c r="U386">
        <v>2013</v>
      </c>
      <c r="V386">
        <v>45899</v>
      </c>
      <c r="W386">
        <v>31</v>
      </c>
      <c r="X386" t="str">
        <v>Stories</v>
      </c>
      <c r="Y386" t="str">
        <v>Art</v>
      </c>
      <c r="Z386" t="str">
        <v>Private</v>
      </c>
      <c r="AA386" t="str">
        <v>Yes</v>
      </c>
      <c r="AB386" t="str">
        <v>No</v>
      </c>
      <c r="AC386">
        <v>2</v>
      </c>
      <c r="AD386" t="str">
        <v>Premium</v>
      </c>
      <c r="AE386">
        <v>2.19</v>
      </c>
      <c r="AF386" s="14">
        <f t="shared" si="5"/>
        <v>0.57066381156316914</v>
      </c>
    </row>
    <row r="387" spans="1:32" x14ac:dyDescent="0.2">
      <c r="A387">
        <v>386</v>
      </c>
      <c r="B387" cm="1">
        <f t="array" ref="B387:AE387">_xlfn.XLOOKUP($A387,Instagram_Usage_Lifestyle_Mini_!$A:$A,Instagram_Usage_Lifestyle_Mini_!$AC:$BF)</f>
        <v>98</v>
      </c>
      <c r="C387">
        <v>8</v>
      </c>
      <c r="D387">
        <v>3</v>
      </c>
      <c r="E387">
        <v>97</v>
      </c>
      <c r="F387">
        <v>64</v>
      </c>
      <c r="G387">
        <v>86</v>
      </c>
      <c r="H387">
        <v>21</v>
      </c>
      <c r="I387">
        <v>16</v>
      </c>
      <c r="J387">
        <v>22</v>
      </c>
      <c r="K387">
        <v>15</v>
      </c>
      <c r="L387">
        <v>2</v>
      </c>
      <c r="M387">
        <v>46</v>
      </c>
      <c r="N387">
        <v>10</v>
      </c>
      <c r="O387">
        <v>18</v>
      </c>
      <c r="P387">
        <v>36</v>
      </c>
      <c r="Q387">
        <v>1281</v>
      </c>
      <c r="R387">
        <v>2444</v>
      </c>
      <c r="S387" t="str">
        <v>No</v>
      </c>
      <c r="T387">
        <v>0.75</v>
      </c>
      <c r="U387">
        <v>2013</v>
      </c>
      <c r="V387">
        <v>45748</v>
      </c>
      <c r="W387">
        <v>12.2</v>
      </c>
      <c r="X387" t="str">
        <v>Reels</v>
      </c>
      <c r="Y387" t="str">
        <v>Tech</v>
      </c>
      <c r="Z387" t="str">
        <v>Private</v>
      </c>
      <c r="AA387" t="str">
        <v>Yes</v>
      </c>
      <c r="AB387" t="str">
        <v>No</v>
      </c>
      <c r="AC387">
        <v>0</v>
      </c>
      <c r="AD387" t="str">
        <v>Free</v>
      </c>
      <c r="AE387">
        <v>1.38</v>
      </c>
      <c r="AF387" s="14">
        <f t="shared" ref="AF387:AF450" si="6">IF(R387=0,0,Q387/R387)</f>
        <v>0.52414075286415707</v>
      </c>
    </row>
    <row r="388" spans="1:32" x14ac:dyDescent="0.2">
      <c r="A388">
        <v>387</v>
      </c>
      <c r="B388" cm="1">
        <f t="array" ref="B388:AE388">_xlfn.XLOOKUP($A388,Instagram_Usage_Lifestyle_Mini_!$A:$A,Instagram_Usage_Lifestyle_Mini_!$AC:$BF)</f>
        <v>413</v>
      </c>
      <c r="C388">
        <v>12</v>
      </c>
      <c r="D388">
        <v>12</v>
      </c>
      <c r="E388">
        <v>300</v>
      </c>
      <c r="F388">
        <v>150</v>
      </c>
      <c r="G388">
        <v>226</v>
      </c>
      <c r="H388">
        <v>80</v>
      </c>
      <c r="I388">
        <v>56</v>
      </c>
      <c r="J388">
        <v>60</v>
      </c>
      <c r="K388">
        <v>34</v>
      </c>
      <c r="L388">
        <v>9</v>
      </c>
      <c r="M388">
        <v>166</v>
      </c>
      <c r="N388">
        <v>68</v>
      </c>
      <c r="O388">
        <v>98</v>
      </c>
      <c r="P388">
        <v>160</v>
      </c>
      <c r="Q388">
        <v>2700</v>
      </c>
      <c r="R388">
        <v>4107</v>
      </c>
      <c r="S388" t="str">
        <v>No</v>
      </c>
      <c r="T388">
        <v>0.95</v>
      </c>
      <c r="U388">
        <v>2025</v>
      </c>
      <c r="V388">
        <v>46013</v>
      </c>
      <c r="W388">
        <v>34.4</v>
      </c>
      <c r="X388" t="str">
        <v>Photos</v>
      </c>
      <c r="Y388" t="str">
        <v>Fitness</v>
      </c>
      <c r="Z388" t="str">
        <v>Public</v>
      </c>
      <c r="AA388" t="str">
        <v>Yes</v>
      </c>
      <c r="AB388" t="str">
        <v>No</v>
      </c>
      <c r="AC388">
        <v>4</v>
      </c>
      <c r="AD388" t="str">
        <v>Free</v>
      </c>
      <c r="AE388">
        <v>1.02</v>
      </c>
      <c r="AF388" s="14">
        <f t="shared" si="6"/>
        <v>0.65741417092768439</v>
      </c>
    </row>
    <row r="389" spans="1:32" x14ac:dyDescent="0.2">
      <c r="A389">
        <v>388</v>
      </c>
      <c r="B389" cm="1">
        <f t="array" ref="B389:AE389">_xlfn.XLOOKUP($A389,Instagram_Usage_Lifestyle_Mini_!$A:$A,Instagram_Usage_Lifestyle_Mini_!$AC:$BF)</f>
        <v>5</v>
      </c>
      <c r="C389">
        <v>1</v>
      </c>
      <c r="D389">
        <v>5</v>
      </c>
      <c r="E389">
        <v>41</v>
      </c>
      <c r="F389">
        <v>35</v>
      </c>
      <c r="G389">
        <v>30</v>
      </c>
      <c r="H389">
        <v>5</v>
      </c>
      <c r="I389">
        <v>7</v>
      </c>
      <c r="J389">
        <v>11</v>
      </c>
      <c r="K389">
        <v>10</v>
      </c>
      <c r="L389">
        <v>2</v>
      </c>
      <c r="M389">
        <v>2</v>
      </c>
      <c r="N389">
        <v>1</v>
      </c>
      <c r="O389">
        <v>1</v>
      </c>
      <c r="P389">
        <v>1</v>
      </c>
      <c r="Q389">
        <v>1362</v>
      </c>
      <c r="R389">
        <v>2335</v>
      </c>
      <c r="S389" t="str">
        <v>No</v>
      </c>
      <c r="T389">
        <v>0.97</v>
      </c>
      <c r="U389">
        <v>2022</v>
      </c>
      <c r="V389">
        <v>45788</v>
      </c>
      <c r="W389">
        <v>5</v>
      </c>
      <c r="X389" t="str">
        <v>Live</v>
      </c>
      <c r="Y389" t="str">
        <v>Fitness</v>
      </c>
      <c r="Z389" t="str">
        <v>Private</v>
      </c>
      <c r="AA389" t="str">
        <v>No</v>
      </c>
      <c r="AB389" t="str">
        <v>No</v>
      </c>
      <c r="AC389">
        <v>4</v>
      </c>
      <c r="AD389" t="str">
        <v>Free</v>
      </c>
      <c r="AE389">
        <v>9.17</v>
      </c>
      <c r="AF389" s="14">
        <f t="shared" si="6"/>
        <v>0.58329764453961452</v>
      </c>
    </row>
    <row r="390" spans="1:32" x14ac:dyDescent="0.2">
      <c r="A390">
        <v>389</v>
      </c>
      <c r="B390" cm="1">
        <f t="array" ref="B390:AE390">_xlfn.XLOOKUP($A390,Instagram_Usage_Lifestyle_Mini_!$A:$A,Instagram_Usage_Lifestyle_Mini_!$AC:$BF)</f>
        <v>248</v>
      </c>
      <c r="C390">
        <v>19</v>
      </c>
      <c r="D390">
        <v>11</v>
      </c>
      <c r="E390">
        <v>159</v>
      </c>
      <c r="F390">
        <v>117</v>
      </c>
      <c r="G390">
        <v>152</v>
      </c>
      <c r="H390">
        <v>44</v>
      </c>
      <c r="I390">
        <v>31</v>
      </c>
      <c r="J390">
        <v>47</v>
      </c>
      <c r="K390">
        <v>19</v>
      </c>
      <c r="L390">
        <v>7</v>
      </c>
      <c r="M390">
        <v>104</v>
      </c>
      <c r="N390">
        <v>65</v>
      </c>
      <c r="O390">
        <v>27</v>
      </c>
      <c r="P390">
        <v>93</v>
      </c>
      <c r="Q390">
        <v>805</v>
      </c>
      <c r="R390">
        <v>1754</v>
      </c>
      <c r="S390" t="str">
        <v>No</v>
      </c>
      <c r="T390">
        <v>0.48</v>
      </c>
      <c r="U390">
        <v>2016</v>
      </c>
      <c r="V390">
        <v>45917</v>
      </c>
      <c r="W390">
        <v>13.1</v>
      </c>
      <c r="X390" t="str">
        <v>Photos</v>
      </c>
      <c r="Y390" t="str">
        <v>Tech</v>
      </c>
      <c r="Z390" t="str">
        <v>Private</v>
      </c>
      <c r="AA390" t="str">
        <v>Yes</v>
      </c>
      <c r="AB390" t="str">
        <v>Yes</v>
      </c>
      <c r="AC390">
        <v>2</v>
      </c>
      <c r="AD390" t="str">
        <v>Free</v>
      </c>
      <c r="AE390">
        <v>1.1000000000000001</v>
      </c>
      <c r="AF390" s="14">
        <f t="shared" si="6"/>
        <v>0.45895096921322692</v>
      </c>
    </row>
    <row r="391" spans="1:32" x14ac:dyDescent="0.2">
      <c r="A391">
        <v>390</v>
      </c>
      <c r="B391" cm="1">
        <f t="array" ref="B391:AE391">_xlfn.XLOOKUP($A391,Instagram_Usage_Lifestyle_Mini_!$A:$A,Instagram_Usage_Lifestyle_Mini_!$AC:$BF)</f>
        <v>286</v>
      </c>
      <c r="C391">
        <v>15</v>
      </c>
      <c r="D391">
        <v>7</v>
      </c>
      <c r="E391">
        <v>225</v>
      </c>
      <c r="F391">
        <v>138</v>
      </c>
      <c r="G391">
        <v>178</v>
      </c>
      <c r="H391">
        <v>55</v>
      </c>
      <c r="I391">
        <v>39</v>
      </c>
      <c r="J391">
        <v>41</v>
      </c>
      <c r="K391">
        <v>32</v>
      </c>
      <c r="L391">
        <v>8</v>
      </c>
      <c r="M391">
        <v>145</v>
      </c>
      <c r="N391">
        <v>58</v>
      </c>
      <c r="O391">
        <v>65</v>
      </c>
      <c r="P391">
        <v>65</v>
      </c>
      <c r="Q391">
        <v>610</v>
      </c>
      <c r="R391">
        <v>855</v>
      </c>
      <c r="S391" t="str">
        <v>No</v>
      </c>
      <c r="T391">
        <v>0.26</v>
      </c>
      <c r="U391">
        <v>2021</v>
      </c>
      <c r="V391">
        <v>45687</v>
      </c>
      <c r="W391">
        <v>19.100000000000001</v>
      </c>
      <c r="X391" t="str">
        <v>Mixed</v>
      </c>
      <c r="Y391" t="str">
        <v>Food</v>
      </c>
      <c r="Z391" t="str">
        <v>Friends_only</v>
      </c>
      <c r="AA391" t="str">
        <v>Yes</v>
      </c>
      <c r="AB391" t="str">
        <v>Yes</v>
      </c>
      <c r="AC391">
        <v>0</v>
      </c>
      <c r="AD391" t="str">
        <v>Free</v>
      </c>
      <c r="AE391">
        <v>1.08</v>
      </c>
      <c r="AF391" s="14">
        <f t="shared" si="6"/>
        <v>0.71345029239766078</v>
      </c>
    </row>
    <row r="392" spans="1:32" x14ac:dyDescent="0.2">
      <c r="A392">
        <v>391</v>
      </c>
      <c r="B392" cm="1">
        <f t="array" ref="B392:AE392">_xlfn.XLOOKUP($A392,Instagram_Usage_Lifestyle_Mini_!$A:$A,Instagram_Usage_Lifestyle_Mini_!$AC:$BF)</f>
        <v>282</v>
      </c>
      <c r="C392">
        <v>8</v>
      </c>
      <c r="D392">
        <v>7</v>
      </c>
      <c r="E392">
        <v>218</v>
      </c>
      <c r="F392">
        <v>125</v>
      </c>
      <c r="G392">
        <v>170</v>
      </c>
      <c r="H392">
        <v>45</v>
      </c>
      <c r="I392">
        <v>48</v>
      </c>
      <c r="J392">
        <v>31</v>
      </c>
      <c r="K392">
        <v>25</v>
      </c>
      <c r="L392">
        <v>7</v>
      </c>
      <c r="M392">
        <v>148</v>
      </c>
      <c r="N392">
        <v>79</v>
      </c>
      <c r="O392">
        <v>45</v>
      </c>
      <c r="P392">
        <v>82</v>
      </c>
      <c r="Q392">
        <v>694</v>
      </c>
      <c r="R392">
        <v>1687</v>
      </c>
      <c r="S392" t="str">
        <v>No</v>
      </c>
      <c r="T392">
        <v>0.32</v>
      </c>
      <c r="U392">
        <v>2021</v>
      </c>
      <c r="V392">
        <v>45671</v>
      </c>
      <c r="W392">
        <v>35.200000000000003</v>
      </c>
      <c r="X392" t="str">
        <v>Videos</v>
      </c>
      <c r="Y392" t="str">
        <v>Other</v>
      </c>
      <c r="Z392" t="str">
        <v>Public</v>
      </c>
      <c r="AA392" t="str">
        <v>Yes</v>
      </c>
      <c r="AB392" t="str">
        <v>No</v>
      </c>
      <c r="AC392">
        <v>0</v>
      </c>
      <c r="AD392" t="str">
        <v>Free</v>
      </c>
      <c r="AE392">
        <v>0.99</v>
      </c>
      <c r="AF392" s="14">
        <f t="shared" si="6"/>
        <v>0.41138114997036157</v>
      </c>
    </row>
    <row r="393" spans="1:32" x14ac:dyDescent="0.2">
      <c r="A393">
        <v>392</v>
      </c>
      <c r="B393" cm="1">
        <f t="array" ref="B393:AE393">_xlfn.XLOOKUP($A393,Instagram_Usage_Lifestyle_Mini_!$A:$A,Instagram_Usage_Lifestyle_Mini_!$AC:$BF)</f>
        <v>158</v>
      </c>
      <c r="C393">
        <v>5</v>
      </c>
      <c r="D393">
        <v>2</v>
      </c>
      <c r="E393">
        <v>152</v>
      </c>
      <c r="F393">
        <v>109</v>
      </c>
      <c r="G393">
        <v>100</v>
      </c>
      <c r="H393">
        <v>32</v>
      </c>
      <c r="I393">
        <v>28</v>
      </c>
      <c r="J393">
        <v>25</v>
      </c>
      <c r="K393">
        <v>13</v>
      </c>
      <c r="L393">
        <v>4</v>
      </c>
      <c r="M393">
        <v>78</v>
      </c>
      <c r="N393">
        <v>22</v>
      </c>
      <c r="O393">
        <v>27</v>
      </c>
      <c r="P393">
        <v>36</v>
      </c>
      <c r="Q393">
        <v>914</v>
      </c>
      <c r="R393">
        <v>708</v>
      </c>
      <c r="S393" t="str">
        <v>No</v>
      </c>
      <c r="T393">
        <v>0.23</v>
      </c>
      <c r="U393">
        <v>2022</v>
      </c>
      <c r="V393">
        <v>46024</v>
      </c>
      <c r="W393">
        <v>31.6</v>
      </c>
      <c r="X393" t="str">
        <v>Mixed</v>
      </c>
      <c r="Y393" t="str">
        <v>Fitness</v>
      </c>
      <c r="Z393" t="str">
        <v>Private</v>
      </c>
      <c r="AA393" t="str">
        <v>No</v>
      </c>
      <c r="AB393" t="str">
        <v>Yes</v>
      </c>
      <c r="AC393">
        <v>2</v>
      </c>
      <c r="AD393" t="str">
        <v>Free</v>
      </c>
      <c r="AE393">
        <v>1.07</v>
      </c>
      <c r="AF393" s="14">
        <f t="shared" si="6"/>
        <v>1.2909604519774012</v>
      </c>
    </row>
    <row r="394" spans="1:32" x14ac:dyDescent="0.2">
      <c r="A394">
        <v>393</v>
      </c>
      <c r="B394" cm="1">
        <f t="array" ref="B394:AE394">_xlfn.XLOOKUP($A394,Instagram_Usage_Lifestyle_Mini_!$A:$A,Instagram_Usage_Lifestyle_Mini_!$AC:$BF)</f>
        <v>386</v>
      </c>
      <c r="C394">
        <v>21</v>
      </c>
      <c r="D394">
        <v>3</v>
      </c>
      <c r="E394">
        <v>264</v>
      </c>
      <c r="F394">
        <v>150</v>
      </c>
      <c r="G394">
        <v>201</v>
      </c>
      <c r="H394">
        <v>60</v>
      </c>
      <c r="I394">
        <v>41</v>
      </c>
      <c r="J394">
        <v>59</v>
      </c>
      <c r="K394">
        <v>31</v>
      </c>
      <c r="L394">
        <v>5</v>
      </c>
      <c r="M394">
        <v>217</v>
      </c>
      <c r="N394">
        <v>54</v>
      </c>
      <c r="O394">
        <v>42</v>
      </c>
      <c r="P394">
        <v>122</v>
      </c>
      <c r="Q394">
        <v>978</v>
      </c>
      <c r="R394">
        <v>1261</v>
      </c>
      <c r="S394" t="str">
        <v>No</v>
      </c>
      <c r="T394">
        <v>0.46</v>
      </c>
      <c r="U394">
        <v>2015</v>
      </c>
      <c r="V394">
        <v>45962</v>
      </c>
      <c r="W394">
        <v>18.399999999999999</v>
      </c>
      <c r="X394" t="str">
        <v>Mixed</v>
      </c>
      <c r="Y394" t="str">
        <v>Tech</v>
      </c>
      <c r="Z394" t="str">
        <v>Public</v>
      </c>
      <c r="AA394" t="str">
        <v>Yes</v>
      </c>
      <c r="AB394" t="str">
        <v>No</v>
      </c>
      <c r="AC394">
        <v>2</v>
      </c>
      <c r="AD394" t="str">
        <v>Premium</v>
      </c>
      <c r="AE394">
        <v>0.85</v>
      </c>
      <c r="AF394" s="14">
        <f t="shared" si="6"/>
        <v>0.77557494052339415</v>
      </c>
    </row>
    <row r="395" spans="1:32" x14ac:dyDescent="0.2">
      <c r="A395">
        <v>394</v>
      </c>
      <c r="B395" cm="1">
        <f t="array" ref="B395:AE395">_xlfn.XLOOKUP($A395,Instagram_Usage_Lifestyle_Mini_!$A:$A,Instagram_Usage_Lifestyle_Mini_!$AC:$BF)</f>
        <v>351</v>
      </c>
      <c r="C395">
        <v>12</v>
      </c>
      <c r="D395">
        <v>8</v>
      </c>
      <c r="E395">
        <v>246</v>
      </c>
      <c r="F395">
        <v>150</v>
      </c>
      <c r="G395">
        <v>203</v>
      </c>
      <c r="H395">
        <v>51</v>
      </c>
      <c r="I395">
        <v>47</v>
      </c>
      <c r="J395">
        <v>46</v>
      </c>
      <c r="K395">
        <v>28</v>
      </c>
      <c r="L395">
        <v>13</v>
      </c>
      <c r="M395">
        <v>169</v>
      </c>
      <c r="N395">
        <v>84</v>
      </c>
      <c r="O395">
        <v>76</v>
      </c>
      <c r="P395">
        <v>113</v>
      </c>
      <c r="Q395">
        <v>7807</v>
      </c>
      <c r="R395">
        <v>4846</v>
      </c>
      <c r="S395" t="str">
        <v>No</v>
      </c>
      <c r="T395">
        <v>0.13</v>
      </c>
      <c r="U395">
        <v>2020</v>
      </c>
      <c r="V395">
        <v>45677</v>
      </c>
      <c r="W395">
        <v>29.2</v>
      </c>
      <c r="X395" t="str">
        <v>Stories</v>
      </c>
      <c r="Y395" t="str">
        <v>Food</v>
      </c>
      <c r="Z395" t="str">
        <v>Public</v>
      </c>
      <c r="AA395" t="str">
        <v>Yes</v>
      </c>
      <c r="AB395" t="str">
        <v>No</v>
      </c>
      <c r="AC395">
        <v>3</v>
      </c>
      <c r="AD395" t="str">
        <v>Free</v>
      </c>
      <c r="AE395">
        <v>0.93</v>
      </c>
      <c r="AF395" s="14">
        <f t="shared" si="6"/>
        <v>1.6110193974411886</v>
      </c>
    </row>
    <row r="396" spans="1:32" x14ac:dyDescent="0.2">
      <c r="A396">
        <v>395</v>
      </c>
      <c r="B396" cm="1">
        <f t="array" ref="B396:AE396">_xlfn.XLOOKUP($A396,Instagram_Usage_Lifestyle_Mini_!$A:$A,Instagram_Usage_Lifestyle_Mini_!$AC:$BF)</f>
        <v>317</v>
      </c>
      <c r="C396">
        <v>15</v>
      </c>
      <c r="D396">
        <v>8</v>
      </c>
      <c r="E396">
        <v>215</v>
      </c>
      <c r="F396">
        <v>135</v>
      </c>
      <c r="G396">
        <v>171</v>
      </c>
      <c r="H396">
        <v>55</v>
      </c>
      <c r="I396">
        <v>44</v>
      </c>
      <c r="J396">
        <v>46</v>
      </c>
      <c r="K396">
        <v>22</v>
      </c>
      <c r="L396">
        <v>7</v>
      </c>
      <c r="M396">
        <v>171</v>
      </c>
      <c r="N396">
        <v>52</v>
      </c>
      <c r="O396">
        <v>67</v>
      </c>
      <c r="P396">
        <v>84</v>
      </c>
      <c r="Q396">
        <v>803</v>
      </c>
      <c r="R396">
        <v>1683</v>
      </c>
      <c r="S396" t="str">
        <v>No</v>
      </c>
      <c r="T396">
        <v>0.28000000000000003</v>
      </c>
      <c r="U396">
        <v>2011</v>
      </c>
      <c r="V396">
        <v>45784</v>
      </c>
      <c r="W396">
        <v>21.1</v>
      </c>
      <c r="X396" t="str">
        <v>Videos</v>
      </c>
      <c r="Y396" t="str">
        <v>Art</v>
      </c>
      <c r="Z396" t="str">
        <v>Private</v>
      </c>
      <c r="AA396" t="str">
        <v>Yes</v>
      </c>
      <c r="AB396" t="str">
        <v>Yes</v>
      </c>
      <c r="AC396">
        <v>1</v>
      </c>
      <c r="AD396" t="str">
        <v>Free</v>
      </c>
      <c r="AE396">
        <v>0.96</v>
      </c>
      <c r="AF396" s="14">
        <f t="shared" si="6"/>
        <v>0.47712418300653597</v>
      </c>
    </row>
    <row r="397" spans="1:32" x14ac:dyDescent="0.2">
      <c r="A397">
        <v>396</v>
      </c>
      <c r="B397" cm="1">
        <f t="array" ref="B397:AE397">_xlfn.XLOOKUP($A397,Instagram_Usage_Lifestyle_Mini_!$A:$A,Instagram_Usage_Lifestyle_Mini_!$AC:$BF)</f>
        <v>151</v>
      </c>
      <c r="C397">
        <v>6</v>
      </c>
      <c r="D397">
        <v>3</v>
      </c>
      <c r="E397">
        <v>129</v>
      </c>
      <c r="F397">
        <v>82</v>
      </c>
      <c r="G397">
        <v>111</v>
      </c>
      <c r="H397">
        <v>25</v>
      </c>
      <c r="I397">
        <v>29</v>
      </c>
      <c r="J397">
        <v>24</v>
      </c>
      <c r="K397">
        <v>20</v>
      </c>
      <c r="L397">
        <v>9</v>
      </c>
      <c r="M397">
        <v>66</v>
      </c>
      <c r="N397">
        <v>44</v>
      </c>
      <c r="O397">
        <v>32</v>
      </c>
      <c r="P397">
        <v>55</v>
      </c>
      <c r="Q397">
        <v>4681</v>
      </c>
      <c r="R397">
        <v>5389</v>
      </c>
      <c r="S397" t="str">
        <v>Yes</v>
      </c>
      <c r="T397">
        <v>1</v>
      </c>
      <c r="U397">
        <v>2016</v>
      </c>
      <c r="V397">
        <v>45947</v>
      </c>
      <c r="W397">
        <v>25.2</v>
      </c>
      <c r="X397" t="str">
        <v>Live</v>
      </c>
      <c r="Y397" t="str">
        <v>Fitness</v>
      </c>
      <c r="Z397" t="str">
        <v>Private</v>
      </c>
      <c r="AA397" t="str">
        <v>Yes</v>
      </c>
      <c r="AB397" t="str">
        <v>No</v>
      </c>
      <c r="AC397">
        <v>3</v>
      </c>
      <c r="AD397" t="str">
        <v>Free</v>
      </c>
      <c r="AE397">
        <v>1.1200000000000001</v>
      </c>
      <c r="AF397" s="14">
        <f t="shared" si="6"/>
        <v>0.86862126554091668</v>
      </c>
    </row>
    <row r="398" spans="1:32" x14ac:dyDescent="0.2">
      <c r="A398">
        <v>397</v>
      </c>
      <c r="B398" cm="1">
        <f t="array" ref="B398:AE398">_xlfn.XLOOKUP($A398,Instagram_Usage_Lifestyle_Mini_!$A:$A,Instagram_Usage_Lifestyle_Mini_!$AC:$BF)</f>
        <v>69</v>
      </c>
      <c r="C398">
        <v>3</v>
      </c>
      <c r="D398">
        <v>3</v>
      </c>
      <c r="E398">
        <v>79</v>
      </c>
      <c r="F398">
        <v>47</v>
      </c>
      <c r="G398">
        <v>54</v>
      </c>
      <c r="H398">
        <v>23</v>
      </c>
      <c r="I398">
        <v>14</v>
      </c>
      <c r="J398">
        <v>17</v>
      </c>
      <c r="K398">
        <v>14</v>
      </c>
      <c r="L398">
        <v>2</v>
      </c>
      <c r="M398">
        <v>32</v>
      </c>
      <c r="N398">
        <v>17</v>
      </c>
      <c r="O398">
        <v>8</v>
      </c>
      <c r="P398">
        <v>22</v>
      </c>
      <c r="Q398">
        <v>917</v>
      </c>
      <c r="R398">
        <v>1127</v>
      </c>
      <c r="S398" t="str">
        <v>No</v>
      </c>
      <c r="T398">
        <v>0.32</v>
      </c>
      <c r="U398">
        <v>2015</v>
      </c>
      <c r="V398">
        <v>45694</v>
      </c>
      <c r="W398">
        <v>23</v>
      </c>
      <c r="X398" t="str">
        <v>Mixed</v>
      </c>
      <c r="Y398" t="str">
        <v>Fitness</v>
      </c>
      <c r="Z398" t="str">
        <v>Friends_only</v>
      </c>
      <c r="AA398" t="str">
        <v>No</v>
      </c>
      <c r="AB398" t="str">
        <v>Yes</v>
      </c>
      <c r="AC398">
        <v>4</v>
      </c>
      <c r="AD398" t="str">
        <v>Premium</v>
      </c>
      <c r="AE398">
        <v>1.56</v>
      </c>
      <c r="AF398" s="14">
        <f t="shared" si="6"/>
        <v>0.81366459627329191</v>
      </c>
    </row>
    <row r="399" spans="1:32" x14ac:dyDescent="0.2">
      <c r="A399">
        <v>398</v>
      </c>
      <c r="B399" cm="1">
        <f t="array" ref="B399:AE399">_xlfn.XLOOKUP($A399,Instagram_Usage_Lifestyle_Mini_!$A:$A,Instagram_Usage_Lifestyle_Mini_!$AC:$BF)</f>
        <v>344</v>
      </c>
      <c r="C399">
        <v>39</v>
      </c>
      <c r="D399">
        <v>2</v>
      </c>
      <c r="E399">
        <v>238</v>
      </c>
      <c r="F399">
        <v>150</v>
      </c>
      <c r="G399">
        <v>205</v>
      </c>
      <c r="H399">
        <v>48</v>
      </c>
      <c r="I399">
        <v>47</v>
      </c>
      <c r="J399">
        <v>38</v>
      </c>
      <c r="K399">
        <v>34</v>
      </c>
      <c r="L399">
        <v>11</v>
      </c>
      <c r="M399">
        <v>140</v>
      </c>
      <c r="N399">
        <v>94</v>
      </c>
      <c r="O399">
        <v>40</v>
      </c>
      <c r="P399">
        <v>88</v>
      </c>
      <c r="Q399">
        <v>1122</v>
      </c>
      <c r="R399">
        <v>2384</v>
      </c>
      <c r="S399" t="str">
        <v>No</v>
      </c>
      <c r="T399">
        <v>0.13</v>
      </c>
      <c r="U399">
        <v>2016</v>
      </c>
      <c r="V399">
        <v>45814</v>
      </c>
      <c r="W399">
        <v>8.8000000000000007</v>
      </c>
      <c r="X399" t="str">
        <v>Reels</v>
      </c>
      <c r="Y399" t="str">
        <v>Travel</v>
      </c>
      <c r="Z399" t="str">
        <v>Friends_only</v>
      </c>
      <c r="AA399" t="str">
        <v>Yes</v>
      </c>
      <c r="AB399" t="str">
        <v>Yes</v>
      </c>
      <c r="AC399">
        <v>1</v>
      </c>
      <c r="AD399" t="str">
        <v>Free</v>
      </c>
      <c r="AE399">
        <v>0.89</v>
      </c>
      <c r="AF399" s="14">
        <f t="shared" si="6"/>
        <v>0.47063758389261745</v>
      </c>
    </row>
    <row r="400" spans="1:32" x14ac:dyDescent="0.2">
      <c r="A400">
        <v>399</v>
      </c>
      <c r="B400" cm="1">
        <f t="array" ref="B400:AE400">_xlfn.XLOOKUP($A400,Instagram_Usage_Lifestyle_Mini_!$A:$A,Instagram_Usage_Lifestyle_Mini_!$AC:$BF)</f>
        <v>214</v>
      </c>
      <c r="C400">
        <v>8</v>
      </c>
      <c r="D400">
        <v>7</v>
      </c>
      <c r="E400">
        <v>167</v>
      </c>
      <c r="F400">
        <v>120</v>
      </c>
      <c r="G400">
        <v>137</v>
      </c>
      <c r="H400">
        <v>42</v>
      </c>
      <c r="I400">
        <v>20</v>
      </c>
      <c r="J400">
        <v>32</v>
      </c>
      <c r="K400">
        <v>22</v>
      </c>
      <c r="L400">
        <v>4</v>
      </c>
      <c r="M400">
        <v>123</v>
      </c>
      <c r="N400">
        <v>46</v>
      </c>
      <c r="O400">
        <v>48</v>
      </c>
      <c r="P400">
        <v>81</v>
      </c>
      <c r="Q400">
        <v>815</v>
      </c>
      <c r="R400">
        <v>443</v>
      </c>
      <c r="S400" t="str">
        <v>No</v>
      </c>
      <c r="T400">
        <v>0.99</v>
      </c>
      <c r="U400">
        <v>2011</v>
      </c>
      <c r="V400">
        <v>45711</v>
      </c>
      <c r="W400">
        <v>26.8</v>
      </c>
      <c r="X400" t="str">
        <v>Stories</v>
      </c>
      <c r="Y400" t="str">
        <v>Tech</v>
      </c>
      <c r="Z400" t="str">
        <v>Private</v>
      </c>
      <c r="AA400" t="str">
        <v>No</v>
      </c>
      <c r="AB400" t="str">
        <v>Yes</v>
      </c>
      <c r="AC400">
        <v>2</v>
      </c>
      <c r="AD400" t="str">
        <v>Free</v>
      </c>
      <c r="AE400">
        <v>1.1299999999999999</v>
      </c>
      <c r="AF400" s="14">
        <f t="shared" si="6"/>
        <v>1.8397291196388261</v>
      </c>
    </row>
    <row r="401" spans="1:32" x14ac:dyDescent="0.2">
      <c r="A401">
        <v>400</v>
      </c>
      <c r="B401" cm="1">
        <f t="array" ref="B401:AE401">_xlfn.XLOOKUP($A401,Instagram_Usage_Lifestyle_Mini_!$A:$A,Instagram_Usage_Lifestyle_Mini_!$AC:$BF)</f>
        <v>195</v>
      </c>
      <c r="C401">
        <v>12</v>
      </c>
      <c r="D401">
        <v>2</v>
      </c>
      <c r="E401">
        <v>147</v>
      </c>
      <c r="F401">
        <v>108</v>
      </c>
      <c r="G401">
        <v>122</v>
      </c>
      <c r="H401">
        <v>35</v>
      </c>
      <c r="I401">
        <v>24</v>
      </c>
      <c r="J401">
        <v>37</v>
      </c>
      <c r="K401">
        <v>17</v>
      </c>
      <c r="L401">
        <v>8</v>
      </c>
      <c r="M401">
        <v>109</v>
      </c>
      <c r="N401">
        <v>23</v>
      </c>
      <c r="O401">
        <v>39</v>
      </c>
      <c r="P401">
        <v>52</v>
      </c>
      <c r="Q401">
        <v>458</v>
      </c>
      <c r="R401">
        <v>721</v>
      </c>
      <c r="S401" t="str">
        <v>No</v>
      </c>
      <c r="T401">
        <v>0.75</v>
      </c>
      <c r="U401">
        <v>2019</v>
      </c>
      <c r="V401">
        <v>46008</v>
      </c>
      <c r="W401">
        <v>16.2</v>
      </c>
      <c r="X401" t="str">
        <v>Live</v>
      </c>
      <c r="Y401" t="str">
        <v>Music</v>
      </c>
      <c r="Z401" t="str">
        <v>Private</v>
      </c>
      <c r="AA401" t="str">
        <v>No</v>
      </c>
      <c r="AB401" t="str">
        <v>Yes</v>
      </c>
      <c r="AC401">
        <v>2</v>
      </c>
      <c r="AD401" t="str">
        <v>Free</v>
      </c>
      <c r="AE401">
        <v>1.01</v>
      </c>
      <c r="AF401" s="14">
        <f t="shared" si="6"/>
        <v>0.63522884882108188</v>
      </c>
    </row>
    <row r="402" spans="1:32" x14ac:dyDescent="0.2">
      <c r="A402">
        <v>401</v>
      </c>
      <c r="B402" cm="1">
        <f t="array" ref="B402:AE402">_xlfn.XLOOKUP($A402,Instagram_Usage_Lifestyle_Mini_!$A:$A,Instagram_Usage_Lifestyle_Mini_!$AC:$BF)</f>
        <v>310</v>
      </c>
      <c r="C402">
        <v>10</v>
      </c>
      <c r="D402">
        <v>7</v>
      </c>
      <c r="E402">
        <v>236</v>
      </c>
      <c r="F402">
        <v>143</v>
      </c>
      <c r="G402">
        <v>204</v>
      </c>
      <c r="H402">
        <v>43</v>
      </c>
      <c r="I402">
        <v>56</v>
      </c>
      <c r="J402">
        <v>51</v>
      </c>
      <c r="K402">
        <v>34</v>
      </c>
      <c r="L402">
        <v>3</v>
      </c>
      <c r="M402">
        <v>155</v>
      </c>
      <c r="N402">
        <v>77</v>
      </c>
      <c r="O402">
        <v>39</v>
      </c>
      <c r="P402">
        <v>105</v>
      </c>
      <c r="Q402">
        <v>1830</v>
      </c>
      <c r="R402">
        <v>3049</v>
      </c>
      <c r="S402" t="str">
        <v>No</v>
      </c>
      <c r="T402">
        <v>0.02</v>
      </c>
      <c r="U402">
        <v>2023</v>
      </c>
      <c r="V402">
        <v>45734</v>
      </c>
      <c r="W402">
        <v>31</v>
      </c>
      <c r="X402" t="str">
        <v>Videos</v>
      </c>
      <c r="Y402" t="str">
        <v>Fashion</v>
      </c>
      <c r="Z402" t="str">
        <v>Private</v>
      </c>
      <c r="AA402" t="str">
        <v>No</v>
      </c>
      <c r="AB402" t="str">
        <v>No</v>
      </c>
      <c r="AC402">
        <v>3</v>
      </c>
      <c r="AD402" t="str">
        <v>Free</v>
      </c>
      <c r="AE402">
        <v>1</v>
      </c>
      <c r="AF402" s="14">
        <f t="shared" si="6"/>
        <v>0.60019678583142011</v>
      </c>
    </row>
    <row r="403" spans="1:32" x14ac:dyDescent="0.2">
      <c r="A403">
        <v>402</v>
      </c>
      <c r="B403" cm="1">
        <f t="array" ref="B403:AE403">_xlfn.XLOOKUP($A403,Instagram_Usage_Lifestyle_Mini_!$A:$A,Instagram_Usage_Lifestyle_Mini_!$AC:$BF)</f>
        <v>5</v>
      </c>
      <c r="C403">
        <v>1</v>
      </c>
      <c r="D403">
        <v>7</v>
      </c>
      <c r="E403">
        <v>42</v>
      </c>
      <c r="F403">
        <v>25</v>
      </c>
      <c r="G403">
        <v>29</v>
      </c>
      <c r="H403">
        <v>14</v>
      </c>
      <c r="I403">
        <v>9</v>
      </c>
      <c r="J403">
        <v>8</v>
      </c>
      <c r="K403">
        <v>5</v>
      </c>
      <c r="L403">
        <v>5</v>
      </c>
      <c r="M403">
        <v>2</v>
      </c>
      <c r="N403">
        <v>1</v>
      </c>
      <c r="O403">
        <v>1</v>
      </c>
      <c r="P403">
        <v>2</v>
      </c>
      <c r="Q403">
        <v>828</v>
      </c>
      <c r="R403">
        <v>743</v>
      </c>
      <c r="S403" t="str">
        <v>Yes</v>
      </c>
      <c r="T403">
        <v>0.45</v>
      </c>
      <c r="U403">
        <v>2017</v>
      </c>
      <c r="V403">
        <v>45959</v>
      </c>
      <c r="W403">
        <v>5</v>
      </c>
      <c r="X403" t="str">
        <v>Reels</v>
      </c>
      <c r="Y403" t="str">
        <v>Fashion</v>
      </c>
      <c r="Z403" t="str">
        <v>Private</v>
      </c>
      <c r="AA403" t="str">
        <v>Yes</v>
      </c>
      <c r="AB403" t="str">
        <v>Yes</v>
      </c>
      <c r="AC403">
        <v>2</v>
      </c>
      <c r="AD403" t="str">
        <v>Free</v>
      </c>
      <c r="AE403">
        <v>13</v>
      </c>
      <c r="AF403" s="14">
        <f t="shared" si="6"/>
        <v>1.1144010767160162</v>
      </c>
    </row>
    <row r="404" spans="1:32" x14ac:dyDescent="0.2">
      <c r="A404">
        <v>403</v>
      </c>
      <c r="B404" cm="1">
        <f t="array" ref="B404:AE404">_xlfn.XLOOKUP($A404,Instagram_Usage_Lifestyle_Mini_!$A:$A,Instagram_Usage_Lifestyle_Mini_!$AC:$BF)</f>
        <v>206</v>
      </c>
      <c r="C404">
        <v>20</v>
      </c>
      <c r="D404">
        <v>4</v>
      </c>
      <c r="E404">
        <v>163</v>
      </c>
      <c r="F404">
        <v>124</v>
      </c>
      <c r="G404">
        <v>140</v>
      </c>
      <c r="H404">
        <v>31</v>
      </c>
      <c r="I404">
        <v>20</v>
      </c>
      <c r="J404">
        <v>26</v>
      </c>
      <c r="K404">
        <v>26</v>
      </c>
      <c r="L404">
        <v>2</v>
      </c>
      <c r="M404">
        <v>85</v>
      </c>
      <c r="N404">
        <v>32</v>
      </c>
      <c r="O404">
        <v>41</v>
      </c>
      <c r="P404">
        <v>42</v>
      </c>
      <c r="Q404">
        <v>1707</v>
      </c>
      <c r="R404">
        <v>3089</v>
      </c>
      <c r="S404" t="str">
        <v>No</v>
      </c>
      <c r="T404">
        <v>0.79</v>
      </c>
      <c r="U404">
        <v>2013</v>
      </c>
      <c r="V404">
        <v>45728</v>
      </c>
      <c r="W404">
        <v>10.3</v>
      </c>
      <c r="X404" t="str">
        <v>Reels</v>
      </c>
      <c r="Y404" t="str">
        <v>Travel</v>
      </c>
      <c r="Z404" t="str">
        <v>Private</v>
      </c>
      <c r="AA404" t="str">
        <v>Yes</v>
      </c>
      <c r="AB404" t="str">
        <v>Yes</v>
      </c>
      <c r="AC404">
        <v>3</v>
      </c>
      <c r="AD404" t="str">
        <v>Free</v>
      </c>
      <c r="AE404">
        <v>1.03</v>
      </c>
      <c r="AF404" s="14">
        <f t="shared" si="6"/>
        <v>0.5526060213661379</v>
      </c>
    </row>
    <row r="405" spans="1:32" x14ac:dyDescent="0.2">
      <c r="A405">
        <v>404</v>
      </c>
      <c r="B405" cm="1">
        <f t="array" ref="B405:AE405">_xlfn.XLOOKUP($A405,Instagram_Usage_Lifestyle_Mini_!$A:$A,Instagram_Usage_Lifestyle_Mini_!$AC:$BF)</f>
        <v>347</v>
      </c>
      <c r="C405">
        <v>18</v>
      </c>
      <c r="D405">
        <v>10</v>
      </c>
      <c r="E405">
        <v>300</v>
      </c>
      <c r="F405">
        <v>150</v>
      </c>
      <c r="G405">
        <v>199</v>
      </c>
      <c r="H405">
        <v>67</v>
      </c>
      <c r="I405">
        <v>48</v>
      </c>
      <c r="J405">
        <v>58</v>
      </c>
      <c r="K405">
        <v>33</v>
      </c>
      <c r="L405">
        <v>7</v>
      </c>
      <c r="M405">
        <v>203</v>
      </c>
      <c r="N405">
        <v>69</v>
      </c>
      <c r="O405">
        <v>73</v>
      </c>
      <c r="P405">
        <v>86</v>
      </c>
      <c r="Q405">
        <v>10235</v>
      </c>
      <c r="R405">
        <v>4628</v>
      </c>
      <c r="S405" t="str">
        <v>Yes</v>
      </c>
      <c r="T405">
        <v>0.86</v>
      </c>
      <c r="U405">
        <v>2024</v>
      </c>
      <c r="V405">
        <v>45985</v>
      </c>
      <c r="W405">
        <v>19.3</v>
      </c>
      <c r="X405" t="str">
        <v>Videos</v>
      </c>
      <c r="Y405" t="str">
        <v>Food</v>
      </c>
      <c r="Z405" t="str">
        <v>Public</v>
      </c>
      <c r="AA405" t="str">
        <v>No</v>
      </c>
      <c r="AB405" t="str">
        <v>Yes</v>
      </c>
      <c r="AC405">
        <v>0</v>
      </c>
      <c r="AD405" t="str">
        <v>Free</v>
      </c>
      <c r="AE405">
        <v>1.04</v>
      </c>
      <c r="AF405" s="14">
        <f t="shared" si="6"/>
        <v>2.2115384615384617</v>
      </c>
    </row>
    <row r="406" spans="1:32" x14ac:dyDescent="0.2">
      <c r="A406">
        <v>405</v>
      </c>
      <c r="B406" cm="1">
        <f t="array" ref="B406:AE406">_xlfn.XLOOKUP($A406,Instagram_Usage_Lifestyle_Mini_!$A:$A,Instagram_Usage_Lifestyle_Mini_!$AC:$BF)</f>
        <v>329</v>
      </c>
      <c r="C406">
        <v>11</v>
      </c>
      <c r="D406">
        <v>8</v>
      </c>
      <c r="E406">
        <v>264</v>
      </c>
      <c r="F406">
        <v>150</v>
      </c>
      <c r="G406">
        <v>197</v>
      </c>
      <c r="H406">
        <v>49</v>
      </c>
      <c r="I406">
        <v>51</v>
      </c>
      <c r="J406">
        <v>55</v>
      </c>
      <c r="K406">
        <v>44</v>
      </c>
      <c r="L406">
        <v>10</v>
      </c>
      <c r="M406">
        <v>194</v>
      </c>
      <c r="N406">
        <v>51</v>
      </c>
      <c r="O406">
        <v>63</v>
      </c>
      <c r="P406">
        <v>71</v>
      </c>
      <c r="Q406">
        <v>2870</v>
      </c>
      <c r="R406">
        <v>4861</v>
      </c>
      <c r="S406" t="str">
        <v>No</v>
      </c>
      <c r="T406">
        <v>0.88</v>
      </c>
      <c r="U406">
        <v>2012</v>
      </c>
      <c r="V406">
        <v>45864</v>
      </c>
      <c r="W406">
        <v>29.9</v>
      </c>
      <c r="X406" t="str">
        <v>Videos</v>
      </c>
      <c r="Y406" t="str">
        <v>Food</v>
      </c>
      <c r="Z406" t="str">
        <v>Private</v>
      </c>
      <c r="AA406" t="str">
        <v>Yes</v>
      </c>
      <c r="AB406" t="str">
        <v>Yes</v>
      </c>
      <c r="AC406">
        <v>1</v>
      </c>
      <c r="AD406" t="str">
        <v>Free</v>
      </c>
      <c r="AE406">
        <v>0.97</v>
      </c>
      <c r="AF406" s="14">
        <f t="shared" si="6"/>
        <v>0.59041349516560382</v>
      </c>
    </row>
    <row r="407" spans="1:32" x14ac:dyDescent="0.2">
      <c r="A407">
        <v>406</v>
      </c>
      <c r="B407" cm="1">
        <f t="array" ref="B407:AE407">_xlfn.XLOOKUP($A407,Instagram_Usage_Lifestyle_Mini_!$A:$A,Instagram_Usage_Lifestyle_Mini_!$AC:$BF)</f>
        <v>12</v>
      </c>
      <c r="C407">
        <v>1</v>
      </c>
      <c r="D407">
        <v>4</v>
      </c>
      <c r="E407">
        <v>44</v>
      </c>
      <c r="F407">
        <v>24</v>
      </c>
      <c r="G407">
        <v>35</v>
      </c>
      <c r="H407">
        <v>8</v>
      </c>
      <c r="I407">
        <v>10</v>
      </c>
      <c r="J407">
        <v>7</v>
      </c>
      <c r="K407">
        <v>1</v>
      </c>
      <c r="L407">
        <v>0</v>
      </c>
      <c r="M407">
        <v>7</v>
      </c>
      <c r="N407">
        <v>3</v>
      </c>
      <c r="O407">
        <v>2</v>
      </c>
      <c r="P407">
        <v>3</v>
      </c>
      <c r="Q407">
        <v>4018</v>
      </c>
      <c r="R407">
        <v>3287</v>
      </c>
      <c r="S407" t="str">
        <v>No</v>
      </c>
      <c r="T407">
        <v>0.27</v>
      </c>
      <c r="U407">
        <v>2025</v>
      </c>
      <c r="V407">
        <v>45846</v>
      </c>
      <c r="W407">
        <v>12</v>
      </c>
      <c r="X407" t="str">
        <v>Stories</v>
      </c>
      <c r="Y407" t="str">
        <v>Art</v>
      </c>
      <c r="Z407" t="str">
        <v>Friends_only</v>
      </c>
      <c r="AA407" t="str">
        <v>Yes</v>
      </c>
      <c r="AB407" t="str">
        <v>No</v>
      </c>
      <c r="AC407">
        <v>2</v>
      </c>
      <c r="AD407" t="str">
        <v>Free</v>
      </c>
      <c r="AE407">
        <v>4.8499999999999996</v>
      </c>
      <c r="AF407" s="14">
        <f t="shared" si="6"/>
        <v>1.2223912382111348</v>
      </c>
    </row>
    <row r="408" spans="1:32" x14ac:dyDescent="0.2">
      <c r="A408">
        <v>407</v>
      </c>
      <c r="B408" cm="1">
        <f t="array" ref="B408:AE408">_xlfn.XLOOKUP($A408,Instagram_Usage_Lifestyle_Mini_!$A:$A,Instagram_Usage_Lifestyle_Mini_!$AC:$BF)</f>
        <v>184</v>
      </c>
      <c r="C408">
        <v>6</v>
      </c>
      <c r="D408">
        <v>3</v>
      </c>
      <c r="E408">
        <v>153</v>
      </c>
      <c r="F408">
        <v>108</v>
      </c>
      <c r="G408">
        <v>101</v>
      </c>
      <c r="H408">
        <v>29</v>
      </c>
      <c r="I408">
        <v>26</v>
      </c>
      <c r="J408">
        <v>23</v>
      </c>
      <c r="K408">
        <v>14</v>
      </c>
      <c r="L408">
        <v>8</v>
      </c>
      <c r="M408">
        <v>100</v>
      </c>
      <c r="N408">
        <v>51</v>
      </c>
      <c r="O408">
        <v>25</v>
      </c>
      <c r="P408">
        <v>47</v>
      </c>
      <c r="Q408">
        <v>280</v>
      </c>
      <c r="R408">
        <v>522</v>
      </c>
      <c r="S408" t="str">
        <v>No</v>
      </c>
      <c r="T408">
        <v>0.14000000000000001</v>
      </c>
      <c r="U408">
        <v>2014</v>
      </c>
      <c r="V408">
        <v>45951</v>
      </c>
      <c r="W408">
        <v>30.7</v>
      </c>
      <c r="X408" t="str">
        <v>Mixed</v>
      </c>
      <c r="Y408" t="str">
        <v>Fashion</v>
      </c>
      <c r="Z408" t="str">
        <v>Private</v>
      </c>
      <c r="AA408" t="str">
        <v>No</v>
      </c>
      <c r="AB408" t="str">
        <v>Yes</v>
      </c>
      <c r="AC408">
        <v>4</v>
      </c>
      <c r="AD408" t="str">
        <v>Free</v>
      </c>
      <c r="AE408">
        <v>0.91</v>
      </c>
      <c r="AF408" s="14">
        <f t="shared" si="6"/>
        <v>0.53639846743295017</v>
      </c>
    </row>
    <row r="409" spans="1:32" x14ac:dyDescent="0.2">
      <c r="A409">
        <v>408</v>
      </c>
      <c r="B409" cm="1">
        <f t="array" ref="B409:AE409">_xlfn.XLOOKUP($A409,Instagram_Usage_Lifestyle_Mini_!$A:$A,Instagram_Usage_Lifestyle_Mini_!$AC:$BF)</f>
        <v>18</v>
      </c>
      <c r="C409">
        <v>1</v>
      </c>
      <c r="D409">
        <v>3</v>
      </c>
      <c r="E409">
        <v>52</v>
      </c>
      <c r="F409">
        <v>40</v>
      </c>
      <c r="G409">
        <v>30</v>
      </c>
      <c r="H409">
        <v>8</v>
      </c>
      <c r="I409">
        <v>8</v>
      </c>
      <c r="J409">
        <v>15</v>
      </c>
      <c r="K409">
        <v>9</v>
      </c>
      <c r="L409">
        <v>2</v>
      </c>
      <c r="M409">
        <v>8</v>
      </c>
      <c r="N409">
        <v>4</v>
      </c>
      <c r="O409">
        <v>3</v>
      </c>
      <c r="P409">
        <v>5</v>
      </c>
      <c r="Q409">
        <v>804</v>
      </c>
      <c r="R409">
        <v>1038</v>
      </c>
      <c r="S409" t="str">
        <v>No</v>
      </c>
      <c r="T409">
        <v>0.59</v>
      </c>
      <c r="U409">
        <v>2010</v>
      </c>
      <c r="V409">
        <v>45984</v>
      </c>
      <c r="W409">
        <v>18</v>
      </c>
      <c r="X409" t="str">
        <v>Reels</v>
      </c>
      <c r="Y409" t="str">
        <v>Art</v>
      </c>
      <c r="Z409" t="str">
        <v>Friends_only</v>
      </c>
      <c r="AA409" t="str">
        <v>Yes</v>
      </c>
      <c r="AB409" t="str">
        <v>No</v>
      </c>
      <c r="AC409">
        <v>3</v>
      </c>
      <c r="AD409" t="str">
        <v>Free</v>
      </c>
      <c r="AE409">
        <v>2.89</v>
      </c>
      <c r="AF409" s="14">
        <f t="shared" si="6"/>
        <v>0.77456647398843925</v>
      </c>
    </row>
    <row r="410" spans="1:32" x14ac:dyDescent="0.2">
      <c r="A410">
        <v>409</v>
      </c>
      <c r="B410" cm="1">
        <f t="array" ref="B410:AE410">_xlfn.XLOOKUP($A410,Instagram_Usage_Lifestyle_Mini_!$A:$A,Instagram_Usage_Lifestyle_Mini_!$AC:$BF)</f>
        <v>259</v>
      </c>
      <c r="C410">
        <v>15</v>
      </c>
      <c r="D410">
        <v>13</v>
      </c>
      <c r="E410">
        <v>280</v>
      </c>
      <c r="F410">
        <v>131</v>
      </c>
      <c r="G410">
        <v>151</v>
      </c>
      <c r="H410">
        <v>51</v>
      </c>
      <c r="I410">
        <v>32</v>
      </c>
      <c r="J410">
        <v>43</v>
      </c>
      <c r="K410">
        <v>19</v>
      </c>
      <c r="L410">
        <v>6</v>
      </c>
      <c r="M410">
        <v>120</v>
      </c>
      <c r="N410">
        <v>44</v>
      </c>
      <c r="O410">
        <v>29</v>
      </c>
      <c r="P410">
        <v>78</v>
      </c>
      <c r="Q410">
        <v>547</v>
      </c>
      <c r="R410">
        <v>694</v>
      </c>
      <c r="S410" t="str">
        <v>No</v>
      </c>
      <c r="T410">
        <v>0.13</v>
      </c>
      <c r="U410">
        <v>2025</v>
      </c>
      <c r="V410">
        <v>45722</v>
      </c>
      <c r="W410">
        <v>17.3</v>
      </c>
      <c r="X410" t="str">
        <v>Live</v>
      </c>
      <c r="Y410" t="str">
        <v>Tech</v>
      </c>
      <c r="Z410" t="str">
        <v>Public</v>
      </c>
      <c r="AA410" t="str">
        <v>Yes</v>
      </c>
      <c r="AB410" t="str">
        <v>Yes</v>
      </c>
      <c r="AC410">
        <v>2</v>
      </c>
      <c r="AD410" t="str">
        <v>Free</v>
      </c>
      <c r="AE410">
        <v>1.1200000000000001</v>
      </c>
      <c r="AF410" s="14">
        <f t="shared" si="6"/>
        <v>0.78818443804034577</v>
      </c>
    </row>
    <row r="411" spans="1:32" x14ac:dyDescent="0.2">
      <c r="A411">
        <v>410</v>
      </c>
      <c r="B411" cm="1">
        <f t="array" ref="B411:AE411">_xlfn.XLOOKUP($A411,Instagram_Usage_Lifestyle_Mini_!$A:$A,Instagram_Usage_Lifestyle_Mini_!$AC:$BF)</f>
        <v>198</v>
      </c>
      <c r="C411">
        <v>6</v>
      </c>
      <c r="D411">
        <v>3</v>
      </c>
      <c r="E411">
        <v>149</v>
      </c>
      <c r="F411">
        <v>97</v>
      </c>
      <c r="G411">
        <v>131</v>
      </c>
      <c r="H411">
        <v>33</v>
      </c>
      <c r="I411">
        <v>31</v>
      </c>
      <c r="J411">
        <v>24</v>
      </c>
      <c r="K411">
        <v>26</v>
      </c>
      <c r="L411">
        <v>4</v>
      </c>
      <c r="M411">
        <v>111</v>
      </c>
      <c r="N411">
        <v>22</v>
      </c>
      <c r="O411">
        <v>35</v>
      </c>
      <c r="P411">
        <v>45</v>
      </c>
      <c r="Q411">
        <v>1541</v>
      </c>
      <c r="R411">
        <v>2037</v>
      </c>
      <c r="S411" t="str">
        <v>No</v>
      </c>
      <c r="T411">
        <v>0.36</v>
      </c>
      <c r="U411">
        <v>2012</v>
      </c>
      <c r="V411">
        <v>45788</v>
      </c>
      <c r="W411">
        <v>33</v>
      </c>
      <c r="X411" t="str">
        <v>Live</v>
      </c>
      <c r="Y411" t="str">
        <v>Travel</v>
      </c>
      <c r="Z411" t="str">
        <v>Public</v>
      </c>
      <c r="AA411" t="str">
        <v>No</v>
      </c>
      <c r="AB411" t="str">
        <v>No</v>
      </c>
      <c r="AC411">
        <v>1</v>
      </c>
      <c r="AD411" t="str">
        <v>Free</v>
      </c>
      <c r="AE411">
        <v>1.04</v>
      </c>
      <c r="AF411" s="14">
        <f t="shared" si="6"/>
        <v>0.75650466372115854</v>
      </c>
    </row>
    <row r="412" spans="1:32" x14ac:dyDescent="0.2">
      <c r="A412">
        <v>411</v>
      </c>
      <c r="B412" cm="1">
        <f t="array" ref="B412:AE412">_xlfn.XLOOKUP($A412,Instagram_Usage_Lifestyle_Mini_!$A:$A,Instagram_Usage_Lifestyle_Mini_!$AC:$BF)</f>
        <v>52</v>
      </c>
      <c r="C412">
        <v>2</v>
      </c>
      <c r="D412">
        <v>3</v>
      </c>
      <c r="E412">
        <v>79</v>
      </c>
      <c r="F412">
        <v>58</v>
      </c>
      <c r="G412">
        <v>52</v>
      </c>
      <c r="H412">
        <v>11</v>
      </c>
      <c r="I412">
        <v>15</v>
      </c>
      <c r="J412">
        <v>11</v>
      </c>
      <c r="K412">
        <v>12</v>
      </c>
      <c r="L412">
        <v>2</v>
      </c>
      <c r="M412">
        <v>29</v>
      </c>
      <c r="N412">
        <v>10</v>
      </c>
      <c r="O412">
        <v>8</v>
      </c>
      <c r="P412">
        <v>11</v>
      </c>
      <c r="Q412">
        <v>1107</v>
      </c>
      <c r="R412">
        <v>1898</v>
      </c>
      <c r="S412" t="str">
        <v>No</v>
      </c>
      <c r="T412">
        <v>0.9</v>
      </c>
      <c r="U412">
        <v>2018</v>
      </c>
      <c r="V412">
        <v>45955</v>
      </c>
      <c r="W412">
        <v>26</v>
      </c>
      <c r="X412" t="str">
        <v>Stories</v>
      </c>
      <c r="Y412" t="str">
        <v>Music</v>
      </c>
      <c r="Z412" t="str">
        <v>Friends_only</v>
      </c>
      <c r="AA412" t="str">
        <v>Yes</v>
      </c>
      <c r="AB412" t="str">
        <v>No</v>
      </c>
      <c r="AC412">
        <v>3</v>
      </c>
      <c r="AD412" t="str">
        <v>Premium</v>
      </c>
      <c r="AE412">
        <v>1.57</v>
      </c>
      <c r="AF412" s="14">
        <f t="shared" si="6"/>
        <v>0.58324552160168597</v>
      </c>
    </row>
    <row r="413" spans="1:32" x14ac:dyDescent="0.2">
      <c r="A413">
        <v>412</v>
      </c>
      <c r="B413" cm="1">
        <f t="array" ref="B413:AE413">_xlfn.XLOOKUP($A413,Instagram_Usage_Lifestyle_Mini_!$A:$A,Instagram_Usage_Lifestyle_Mini_!$AC:$BF)</f>
        <v>77</v>
      </c>
      <c r="C413">
        <v>9</v>
      </c>
      <c r="D413">
        <v>4</v>
      </c>
      <c r="E413">
        <v>80</v>
      </c>
      <c r="F413">
        <v>66</v>
      </c>
      <c r="G413">
        <v>70</v>
      </c>
      <c r="H413">
        <v>17</v>
      </c>
      <c r="I413">
        <v>16</v>
      </c>
      <c r="J413">
        <v>21</v>
      </c>
      <c r="K413">
        <v>14</v>
      </c>
      <c r="L413">
        <v>2</v>
      </c>
      <c r="M413">
        <v>32</v>
      </c>
      <c r="N413">
        <v>19</v>
      </c>
      <c r="O413">
        <v>17</v>
      </c>
      <c r="P413">
        <v>18</v>
      </c>
      <c r="Q413">
        <v>1311</v>
      </c>
      <c r="R413">
        <v>1707</v>
      </c>
      <c r="S413" t="str">
        <v>No</v>
      </c>
      <c r="T413">
        <v>0.42</v>
      </c>
      <c r="U413">
        <v>2015</v>
      </c>
      <c r="V413">
        <v>45658</v>
      </c>
      <c r="W413">
        <v>8.6</v>
      </c>
      <c r="X413" t="str">
        <v>Reels</v>
      </c>
      <c r="Y413" t="str">
        <v>Other</v>
      </c>
      <c r="Z413" t="str">
        <v>Friends_only</v>
      </c>
      <c r="AA413" t="str">
        <v>No</v>
      </c>
      <c r="AB413" t="str">
        <v>No</v>
      </c>
      <c r="AC413">
        <v>1</v>
      </c>
      <c r="AD413" t="str">
        <v>Free</v>
      </c>
      <c r="AE413">
        <v>1.49</v>
      </c>
      <c r="AF413" s="14">
        <f t="shared" si="6"/>
        <v>0.76801405975395431</v>
      </c>
    </row>
    <row r="414" spans="1:32" x14ac:dyDescent="0.2">
      <c r="A414">
        <v>413</v>
      </c>
      <c r="B414" cm="1">
        <f t="array" ref="B414:AE414">_xlfn.XLOOKUP($A414,Instagram_Usage_Lifestyle_Mini_!$A:$A,Instagram_Usage_Lifestyle_Mini_!$AC:$BF)</f>
        <v>209</v>
      </c>
      <c r="C414">
        <v>9</v>
      </c>
      <c r="D414">
        <v>10</v>
      </c>
      <c r="E414">
        <v>164</v>
      </c>
      <c r="F414">
        <v>126</v>
      </c>
      <c r="G414">
        <v>114</v>
      </c>
      <c r="H414">
        <v>36</v>
      </c>
      <c r="I414">
        <v>31</v>
      </c>
      <c r="J414">
        <v>38</v>
      </c>
      <c r="K414">
        <v>20</v>
      </c>
      <c r="L414">
        <v>4</v>
      </c>
      <c r="M414">
        <v>108</v>
      </c>
      <c r="N414">
        <v>27</v>
      </c>
      <c r="O414">
        <v>42</v>
      </c>
      <c r="P414">
        <v>47</v>
      </c>
      <c r="Q414">
        <v>2852</v>
      </c>
      <c r="R414">
        <v>3829</v>
      </c>
      <c r="S414" t="str">
        <v>Yes</v>
      </c>
      <c r="T414">
        <v>0.56000000000000005</v>
      </c>
      <c r="U414">
        <v>2018</v>
      </c>
      <c r="V414">
        <v>45965</v>
      </c>
      <c r="W414">
        <v>23.2</v>
      </c>
      <c r="X414" t="str">
        <v>Mixed</v>
      </c>
      <c r="Y414" t="str">
        <v>Other</v>
      </c>
      <c r="Z414" t="str">
        <v>Friends_only</v>
      </c>
      <c r="AA414" t="str">
        <v>No</v>
      </c>
      <c r="AB414" t="str">
        <v>No</v>
      </c>
      <c r="AC414">
        <v>3</v>
      </c>
      <c r="AD414" t="str">
        <v>Free</v>
      </c>
      <c r="AE414">
        <v>1.03</v>
      </c>
      <c r="AF414" s="14">
        <f t="shared" si="6"/>
        <v>0.74484199529903372</v>
      </c>
    </row>
    <row r="415" spans="1:32" x14ac:dyDescent="0.2">
      <c r="A415">
        <v>414</v>
      </c>
      <c r="B415" cm="1">
        <f t="array" ref="B415:AE415">_xlfn.XLOOKUP($A415,Instagram_Usage_Lifestyle_Mini_!$A:$A,Instagram_Usage_Lifestyle_Mini_!$AC:$BF)</f>
        <v>69</v>
      </c>
      <c r="C415">
        <v>7</v>
      </c>
      <c r="D415">
        <v>2</v>
      </c>
      <c r="E415">
        <v>63</v>
      </c>
      <c r="F415">
        <v>52</v>
      </c>
      <c r="G415">
        <v>64</v>
      </c>
      <c r="H415">
        <v>16</v>
      </c>
      <c r="I415">
        <v>15</v>
      </c>
      <c r="J415">
        <v>14</v>
      </c>
      <c r="K415">
        <v>10</v>
      </c>
      <c r="L415">
        <v>2</v>
      </c>
      <c r="M415">
        <v>30</v>
      </c>
      <c r="N415">
        <v>18</v>
      </c>
      <c r="O415">
        <v>12</v>
      </c>
      <c r="P415">
        <v>16</v>
      </c>
      <c r="Q415">
        <v>4792</v>
      </c>
      <c r="R415">
        <v>10000</v>
      </c>
      <c r="S415" t="str">
        <v>No</v>
      </c>
      <c r="T415">
        <v>0.47</v>
      </c>
      <c r="U415">
        <v>2012</v>
      </c>
      <c r="V415">
        <v>45994</v>
      </c>
      <c r="W415">
        <v>9.9</v>
      </c>
      <c r="X415" t="str">
        <v>Live</v>
      </c>
      <c r="Y415" t="str">
        <v>Art</v>
      </c>
      <c r="Z415" t="str">
        <v>Friends_only</v>
      </c>
      <c r="AA415" t="str">
        <v>No</v>
      </c>
      <c r="AB415" t="str">
        <v>No</v>
      </c>
      <c r="AC415">
        <v>0</v>
      </c>
      <c r="AD415" t="str">
        <v>Free</v>
      </c>
      <c r="AE415">
        <v>1.46</v>
      </c>
      <c r="AF415" s="14">
        <f t="shared" si="6"/>
        <v>0.47920000000000001</v>
      </c>
    </row>
    <row r="416" spans="1:32" x14ac:dyDescent="0.2">
      <c r="A416">
        <v>415</v>
      </c>
      <c r="B416" cm="1">
        <f t="array" ref="B416:AE416">_xlfn.XLOOKUP($A416,Instagram_Usage_Lifestyle_Mini_!$A:$A,Instagram_Usage_Lifestyle_Mini_!$AC:$BF)</f>
        <v>286</v>
      </c>
      <c r="C416">
        <v>10</v>
      </c>
      <c r="D416">
        <v>8</v>
      </c>
      <c r="E416">
        <v>231</v>
      </c>
      <c r="F416">
        <v>136</v>
      </c>
      <c r="G416">
        <v>173</v>
      </c>
      <c r="H416">
        <v>46</v>
      </c>
      <c r="I416">
        <v>38</v>
      </c>
      <c r="J416">
        <v>45</v>
      </c>
      <c r="K416">
        <v>22</v>
      </c>
      <c r="L416">
        <v>3</v>
      </c>
      <c r="M416">
        <v>130</v>
      </c>
      <c r="N416">
        <v>83</v>
      </c>
      <c r="O416">
        <v>64</v>
      </c>
      <c r="P416">
        <v>107</v>
      </c>
      <c r="Q416">
        <v>2733</v>
      </c>
      <c r="R416">
        <v>1759</v>
      </c>
      <c r="S416" t="str">
        <v>No</v>
      </c>
      <c r="T416">
        <v>0.71</v>
      </c>
      <c r="U416">
        <v>2016</v>
      </c>
      <c r="V416">
        <v>45904</v>
      </c>
      <c r="W416">
        <v>28.6</v>
      </c>
      <c r="X416" t="str">
        <v>Videos</v>
      </c>
      <c r="Y416" t="str">
        <v>Art</v>
      </c>
      <c r="Z416" t="str">
        <v>Public</v>
      </c>
      <c r="AA416" t="str">
        <v>Yes</v>
      </c>
      <c r="AB416" t="str">
        <v>No</v>
      </c>
      <c r="AC416">
        <v>2</v>
      </c>
      <c r="AD416" t="str">
        <v>Free</v>
      </c>
      <c r="AE416">
        <v>1.01</v>
      </c>
      <c r="AF416" s="14">
        <f t="shared" si="6"/>
        <v>1.5537237066515066</v>
      </c>
    </row>
    <row r="417" spans="1:32" x14ac:dyDescent="0.2">
      <c r="A417">
        <v>416</v>
      </c>
      <c r="B417" cm="1">
        <f t="array" ref="B417:AE417">_xlfn.XLOOKUP($A417,Instagram_Usage_Lifestyle_Mini_!$A:$A,Instagram_Usage_Lifestyle_Mini_!$AC:$BF)</f>
        <v>145</v>
      </c>
      <c r="C417">
        <v>4</v>
      </c>
      <c r="D417">
        <v>2</v>
      </c>
      <c r="E417">
        <v>139</v>
      </c>
      <c r="F417">
        <v>86</v>
      </c>
      <c r="G417">
        <v>101</v>
      </c>
      <c r="H417">
        <v>27</v>
      </c>
      <c r="I417">
        <v>30</v>
      </c>
      <c r="J417">
        <v>22</v>
      </c>
      <c r="K417">
        <v>16</v>
      </c>
      <c r="L417">
        <v>6</v>
      </c>
      <c r="M417">
        <v>72</v>
      </c>
      <c r="N417">
        <v>25</v>
      </c>
      <c r="O417">
        <v>21</v>
      </c>
      <c r="P417">
        <v>45</v>
      </c>
      <c r="Q417">
        <v>2667</v>
      </c>
      <c r="R417">
        <v>5712</v>
      </c>
      <c r="S417" t="str">
        <v>No</v>
      </c>
      <c r="T417">
        <v>0.86</v>
      </c>
      <c r="U417">
        <v>2016</v>
      </c>
      <c r="V417">
        <v>45862</v>
      </c>
      <c r="W417">
        <v>36.200000000000003</v>
      </c>
      <c r="X417" t="str">
        <v>Stories</v>
      </c>
      <c r="Y417" t="str">
        <v>Other</v>
      </c>
      <c r="Z417" t="str">
        <v>Public</v>
      </c>
      <c r="AA417" t="str">
        <v>Yes</v>
      </c>
      <c r="AB417" t="str">
        <v>No</v>
      </c>
      <c r="AC417">
        <v>4</v>
      </c>
      <c r="AD417" t="str">
        <v>Free</v>
      </c>
      <c r="AE417">
        <v>1.1000000000000001</v>
      </c>
      <c r="AF417" s="14">
        <f t="shared" si="6"/>
        <v>0.46691176470588236</v>
      </c>
    </row>
    <row r="418" spans="1:32" x14ac:dyDescent="0.2">
      <c r="A418">
        <v>417</v>
      </c>
      <c r="B418" cm="1">
        <f t="array" ref="B418:AE418">_xlfn.XLOOKUP($A418,Instagram_Usage_Lifestyle_Mini_!$A:$A,Instagram_Usage_Lifestyle_Mini_!$AC:$BF)</f>
        <v>312</v>
      </c>
      <c r="C418">
        <v>12</v>
      </c>
      <c r="D418">
        <v>8</v>
      </c>
      <c r="E418">
        <v>235</v>
      </c>
      <c r="F418">
        <v>150</v>
      </c>
      <c r="G418">
        <v>183</v>
      </c>
      <c r="H418">
        <v>49</v>
      </c>
      <c r="I418">
        <v>51</v>
      </c>
      <c r="J418">
        <v>51</v>
      </c>
      <c r="K418">
        <v>27</v>
      </c>
      <c r="L418">
        <v>8</v>
      </c>
      <c r="M418">
        <v>147</v>
      </c>
      <c r="N418">
        <v>44</v>
      </c>
      <c r="O418">
        <v>43</v>
      </c>
      <c r="P418">
        <v>111</v>
      </c>
      <c r="Q418">
        <v>3538</v>
      </c>
      <c r="R418">
        <v>1436</v>
      </c>
      <c r="S418" t="str">
        <v>No</v>
      </c>
      <c r="T418">
        <v>0.42</v>
      </c>
      <c r="U418">
        <v>2014</v>
      </c>
      <c r="V418">
        <v>45910</v>
      </c>
      <c r="W418">
        <v>26</v>
      </c>
      <c r="X418" t="str">
        <v>Stories</v>
      </c>
      <c r="Y418" t="str">
        <v>Tech</v>
      </c>
      <c r="Z418" t="str">
        <v>Friends_only</v>
      </c>
      <c r="AA418" t="str">
        <v>No</v>
      </c>
      <c r="AB418" t="str">
        <v>Yes</v>
      </c>
      <c r="AC418">
        <v>2</v>
      </c>
      <c r="AD418" t="str">
        <v>Free</v>
      </c>
      <c r="AE418">
        <v>0.97</v>
      </c>
      <c r="AF418" s="14">
        <f t="shared" si="6"/>
        <v>2.4637883008356547</v>
      </c>
    </row>
    <row r="419" spans="1:32" x14ac:dyDescent="0.2">
      <c r="A419">
        <v>418</v>
      </c>
      <c r="B419" cm="1">
        <f t="array" ref="B419:AE419">_xlfn.XLOOKUP($A419,Instagram_Usage_Lifestyle_Mini_!$A:$A,Instagram_Usage_Lifestyle_Mini_!$AC:$BF)</f>
        <v>183</v>
      </c>
      <c r="C419">
        <v>15</v>
      </c>
      <c r="D419">
        <v>13</v>
      </c>
      <c r="E419">
        <v>222</v>
      </c>
      <c r="F419">
        <v>108</v>
      </c>
      <c r="G419">
        <v>120</v>
      </c>
      <c r="H419">
        <v>31</v>
      </c>
      <c r="I419">
        <v>26</v>
      </c>
      <c r="J419">
        <v>30</v>
      </c>
      <c r="K419">
        <v>16</v>
      </c>
      <c r="L419">
        <v>10</v>
      </c>
      <c r="M419">
        <v>107</v>
      </c>
      <c r="N419">
        <v>46</v>
      </c>
      <c r="O419">
        <v>35</v>
      </c>
      <c r="P419">
        <v>49</v>
      </c>
      <c r="Q419">
        <v>1520</v>
      </c>
      <c r="R419">
        <v>1249</v>
      </c>
      <c r="S419" t="str">
        <v>No</v>
      </c>
      <c r="T419">
        <v>0.19</v>
      </c>
      <c r="U419">
        <v>2020</v>
      </c>
      <c r="V419">
        <v>45939</v>
      </c>
      <c r="W419">
        <v>12.2</v>
      </c>
      <c r="X419" t="str">
        <v>Mixed</v>
      </c>
      <c r="Y419" t="str">
        <v>Fitness</v>
      </c>
      <c r="Z419" t="str">
        <v>Public</v>
      </c>
      <c r="AA419" t="str">
        <v>No</v>
      </c>
      <c r="AB419" t="str">
        <v>No</v>
      </c>
      <c r="AC419">
        <v>3</v>
      </c>
      <c r="AD419" t="str">
        <v>Free</v>
      </c>
      <c r="AE419">
        <v>1.2</v>
      </c>
      <c r="AF419" s="14">
        <f t="shared" si="6"/>
        <v>1.2169735788630904</v>
      </c>
    </row>
    <row r="420" spans="1:32" x14ac:dyDescent="0.2">
      <c r="A420">
        <v>419</v>
      </c>
      <c r="B420" cm="1">
        <f t="array" ref="B420:AE420">_xlfn.XLOOKUP($A420,Instagram_Usage_Lifestyle_Mini_!$A:$A,Instagram_Usage_Lifestyle_Mini_!$AC:$BF)</f>
        <v>300</v>
      </c>
      <c r="C420">
        <v>13</v>
      </c>
      <c r="D420">
        <v>6</v>
      </c>
      <c r="E420">
        <v>226</v>
      </c>
      <c r="F420">
        <v>132</v>
      </c>
      <c r="G420">
        <v>171</v>
      </c>
      <c r="H420">
        <v>46</v>
      </c>
      <c r="I420">
        <v>49</v>
      </c>
      <c r="J420">
        <v>48</v>
      </c>
      <c r="K420">
        <v>24</v>
      </c>
      <c r="L420">
        <v>7</v>
      </c>
      <c r="M420">
        <v>170</v>
      </c>
      <c r="N420">
        <v>81</v>
      </c>
      <c r="O420">
        <v>64</v>
      </c>
      <c r="P420">
        <v>104</v>
      </c>
      <c r="Q420">
        <v>1309</v>
      </c>
      <c r="R420">
        <v>1686</v>
      </c>
      <c r="S420" t="str">
        <v>No</v>
      </c>
      <c r="T420">
        <v>0.82</v>
      </c>
      <c r="U420">
        <v>2020</v>
      </c>
      <c r="V420">
        <v>45795</v>
      </c>
      <c r="W420">
        <v>23.1</v>
      </c>
      <c r="X420" t="str">
        <v>Reels</v>
      </c>
      <c r="Y420" t="str">
        <v>Food</v>
      </c>
      <c r="Z420" t="str">
        <v>Private</v>
      </c>
      <c r="AA420" t="str">
        <v>Yes</v>
      </c>
      <c r="AB420" t="str">
        <v>No</v>
      </c>
      <c r="AC420">
        <v>0</v>
      </c>
      <c r="AD420" t="str">
        <v>Free</v>
      </c>
      <c r="AE420">
        <v>0.93</v>
      </c>
      <c r="AF420" s="14">
        <f t="shared" si="6"/>
        <v>0.7763938315539739</v>
      </c>
    </row>
    <row r="421" spans="1:32" x14ac:dyDescent="0.2">
      <c r="A421">
        <v>420</v>
      </c>
      <c r="B421" cm="1">
        <f t="array" ref="B421:AE421">_xlfn.XLOOKUP($A421,Instagram_Usage_Lifestyle_Mini_!$A:$A,Instagram_Usage_Lifestyle_Mini_!$AC:$BF)</f>
        <v>5</v>
      </c>
      <c r="C421">
        <v>1</v>
      </c>
      <c r="D421">
        <v>6</v>
      </c>
      <c r="E421">
        <v>43</v>
      </c>
      <c r="F421">
        <v>37</v>
      </c>
      <c r="G421">
        <v>24</v>
      </c>
      <c r="H421">
        <v>8</v>
      </c>
      <c r="I421">
        <v>11</v>
      </c>
      <c r="J421">
        <v>6</v>
      </c>
      <c r="K421">
        <v>4</v>
      </c>
      <c r="L421">
        <v>0</v>
      </c>
      <c r="M421">
        <v>3</v>
      </c>
      <c r="N421">
        <v>1</v>
      </c>
      <c r="O421">
        <v>1</v>
      </c>
      <c r="P421">
        <v>2</v>
      </c>
      <c r="Q421">
        <v>1445</v>
      </c>
      <c r="R421">
        <v>1823</v>
      </c>
      <c r="S421" t="str">
        <v>No</v>
      </c>
      <c r="T421">
        <v>0.89</v>
      </c>
      <c r="U421">
        <v>2023</v>
      </c>
      <c r="V421">
        <v>45821</v>
      </c>
      <c r="W421">
        <v>5</v>
      </c>
      <c r="X421" t="str">
        <v>Videos</v>
      </c>
      <c r="Y421" t="str">
        <v>Music</v>
      </c>
      <c r="Z421" t="str">
        <v>Friends_only</v>
      </c>
      <c r="AA421" t="str">
        <v>Yes</v>
      </c>
      <c r="AB421" t="str">
        <v>No</v>
      </c>
      <c r="AC421">
        <v>2</v>
      </c>
      <c r="AD421" t="str">
        <v>Free</v>
      </c>
      <c r="AE421">
        <v>9.67</v>
      </c>
      <c r="AF421" s="14">
        <f t="shared" si="6"/>
        <v>0.79264947888096549</v>
      </c>
    </row>
    <row r="422" spans="1:32" x14ac:dyDescent="0.2">
      <c r="A422">
        <v>421</v>
      </c>
      <c r="B422" cm="1">
        <f t="array" ref="B422:AE422">_xlfn.XLOOKUP($A422,Instagram_Usage_Lifestyle_Mini_!$A:$A,Instagram_Usage_Lifestyle_Mini_!$AC:$BF)</f>
        <v>284</v>
      </c>
      <c r="C422">
        <v>21</v>
      </c>
      <c r="D422">
        <v>8</v>
      </c>
      <c r="E422">
        <v>275</v>
      </c>
      <c r="F422">
        <v>129</v>
      </c>
      <c r="G422">
        <v>156</v>
      </c>
      <c r="H422">
        <v>49</v>
      </c>
      <c r="I422">
        <v>43</v>
      </c>
      <c r="J422">
        <v>45</v>
      </c>
      <c r="K422">
        <v>34</v>
      </c>
      <c r="L422">
        <v>5</v>
      </c>
      <c r="M422">
        <v>116</v>
      </c>
      <c r="N422">
        <v>74</v>
      </c>
      <c r="O422">
        <v>38</v>
      </c>
      <c r="P422">
        <v>81</v>
      </c>
      <c r="Q422">
        <v>933</v>
      </c>
      <c r="R422">
        <v>1614</v>
      </c>
      <c r="S422" t="str">
        <v>No</v>
      </c>
      <c r="T422">
        <v>0.61</v>
      </c>
      <c r="U422">
        <v>2019</v>
      </c>
      <c r="V422">
        <v>45745</v>
      </c>
      <c r="W422">
        <v>13.5</v>
      </c>
      <c r="X422" t="str">
        <v>Photos</v>
      </c>
      <c r="Y422" t="str">
        <v>Fitness</v>
      </c>
      <c r="Z422" t="str">
        <v>Friends_only</v>
      </c>
      <c r="AA422" t="str">
        <v>Yes</v>
      </c>
      <c r="AB422" t="str">
        <v>No</v>
      </c>
      <c r="AC422">
        <v>4</v>
      </c>
      <c r="AD422" t="str">
        <v>Free</v>
      </c>
      <c r="AE422">
        <v>0.98</v>
      </c>
      <c r="AF422" s="14">
        <f t="shared" si="6"/>
        <v>0.57806691449814129</v>
      </c>
    </row>
    <row r="423" spans="1:32" x14ac:dyDescent="0.2">
      <c r="A423">
        <v>422</v>
      </c>
      <c r="B423" cm="1">
        <f t="array" ref="B423:AE423">_xlfn.XLOOKUP($A423,Instagram_Usage_Lifestyle_Mini_!$A:$A,Instagram_Usage_Lifestyle_Mini_!$AC:$BF)</f>
        <v>282</v>
      </c>
      <c r="C423">
        <v>16</v>
      </c>
      <c r="D423">
        <v>8</v>
      </c>
      <c r="E423">
        <v>210</v>
      </c>
      <c r="F423">
        <v>138</v>
      </c>
      <c r="G423">
        <v>159</v>
      </c>
      <c r="H423">
        <v>40</v>
      </c>
      <c r="I423">
        <v>32</v>
      </c>
      <c r="J423">
        <v>32</v>
      </c>
      <c r="K423">
        <v>32</v>
      </c>
      <c r="L423">
        <v>9</v>
      </c>
      <c r="M423">
        <v>133</v>
      </c>
      <c r="N423">
        <v>80</v>
      </c>
      <c r="O423">
        <v>49</v>
      </c>
      <c r="P423">
        <v>106</v>
      </c>
      <c r="Q423">
        <v>1652</v>
      </c>
      <c r="R423">
        <v>1978</v>
      </c>
      <c r="S423" t="str">
        <v>Yes</v>
      </c>
      <c r="T423">
        <v>0.25</v>
      </c>
      <c r="U423">
        <v>2012</v>
      </c>
      <c r="V423">
        <v>45903</v>
      </c>
      <c r="W423">
        <v>17.600000000000001</v>
      </c>
      <c r="X423" t="str">
        <v>Videos</v>
      </c>
      <c r="Y423" t="str">
        <v>Art</v>
      </c>
      <c r="Z423" t="str">
        <v>Public</v>
      </c>
      <c r="AA423" t="str">
        <v>Yes</v>
      </c>
      <c r="AB423" t="str">
        <v>Yes</v>
      </c>
      <c r="AC423">
        <v>2</v>
      </c>
      <c r="AD423" t="str">
        <v>Free</v>
      </c>
      <c r="AE423">
        <v>0.93</v>
      </c>
      <c r="AF423" s="14">
        <f t="shared" si="6"/>
        <v>0.83518705763397372</v>
      </c>
    </row>
    <row r="424" spans="1:32" x14ac:dyDescent="0.2">
      <c r="A424">
        <v>423</v>
      </c>
      <c r="B424" cm="1">
        <f t="array" ref="B424:AE424">_xlfn.XLOOKUP($A424,Instagram_Usage_Lifestyle_Mini_!$A:$A,Instagram_Usage_Lifestyle_Mini_!$AC:$BF)</f>
        <v>235</v>
      </c>
      <c r="C424">
        <v>7</v>
      </c>
      <c r="D424">
        <v>9</v>
      </c>
      <c r="E424">
        <v>268</v>
      </c>
      <c r="F424">
        <v>120</v>
      </c>
      <c r="G424">
        <v>134</v>
      </c>
      <c r="H424">
        <v>44</v>
      </c>
      <c r="I424">
        <v>30</v>
      </c>
      <c r="J424">
        <v>41</v>
      </c>
      <c r="K424">
        <v>24</v>
      </c>
      <c r="L424">
        <v>6</v>
      </c>
      <c r="M424">
        <v>139</v>
      </c>
      <c r="N424">
        <v>36</v>
      </c>
      <c r="O424">
        <v>25</v>
      </c>
      <c r="P424">
        <v>58</v>
      </c>
      <c r="Q424">
        <v>2060</v>
      </c>
      <c r="R424">
        <v>4032</v>
      </c>
      <c r="S424" t="str">
        <v>No</v>
      </c>
      <c r="T424">
        <v>0.51</v>
      </c>
      <c r="U424">
        <v>2022</v>
      </c>
      <c r="V424">
        <v>45665</v>
      </c>
      <c r="W424">
        <v>33.6</v>
      </c>
      <c r="X424" t="str">
        <v>Reels</v>
      </c>
      <c r="Y424" t="str">
        <v>Fitness</v>
      </c>
      <c r="Z424" t="str">
        <v>Public</v>
      </c>
      <c r="AA424" t="str">
        <v>Yes</v>
      </c>
      <c r="AB424" t="str">
        <v>No</v>
      </c>
      <c r="AC424">
        <v>2</v>
      </c>
      <c r="AD424" t="str">
        <v>Free</v>
      </c>
      <c r="AE424">
        <v>1.06</v>
      </c>
      <c r="AF424" s="14">
        <f t="shared" si="6"/>
        <v>0.51091269841269837</v>
      </c>
    </row>
    <row r="425" spans="1:32" x14ac:dyDescent="0.2">
      <c r="A425">
        <v>424</v>
      </c>
      <c r="B425" cm="1">
        <f t="array" ref="B425:AE425">_xlfn.XLOOKUP($A425,Instagram_Usage_Lifestyle_Mini_!$A:$A,Instagram_Usage_Lifestyle_Mini_!$AC:$BF)</f>
        <v>319</v>
      </c>
      <c r="C425">
        <v>26</v>
      </c>
      <c r="D425">
        <v>10</v>
      </c>
      <c r="E425">
        <v>231</v>
      </c>
      <c r="F425">
        <v>148</v>
      </c>
      <c r="G425">
        <v>169</v>
      </c>
      <c r="H425">
        <v>45</v>
      </c>
      <c r="I425">
        <v>34</v>
      </c>
      <c r="J425">
        <v>49</v>
      </c>
      <c r="K425">
        <v>38</v>
      </c>
      <c r="L425">
        <v>7</v>
      </c>
      <c r="M425">
        <v>158</v>
      </c>
      <c r="N425">
        <v>52</v>
      </c>
      <c r="O425">
        <v>35</v>
      </c>
      <c r="P425">
        <v>75</v>
      </c>
      <c r="Q425">
        <v>1024</v>
      </c>
      <c r="R425">
        <v>1853</v>
      </c>
      <c r="S425" t="str">
        <v>Yes</v>
      </c>
      <c r="T425">
        <v>0.51</v>
      </c>
      <c r="U425">
        <v>2021</v>
      </c>
      <c r="V425">
        <v>45735</v>
      </c>
      <c r="W425">
        <v>12.3</v>
      </c>
      <c r="X425" t="str">
        <v>Mixed</v>
      </c>
      <c r="Y425" t="str">
        <v>Fitness</v>
      </c>
      <c r="Z425" t="str">
        <v>Public</v>
      </c>
      <c r="AA425" t="str">
        <v>Yes</v>
      </c>
      <c r="AB425" t="str">
        <v>Yes</v>
      </c>
      <c r="AC425">
        <v>1</v>
      </c>
      <c r="AD425" t="str">
        <v>Business</v>
      </c>
      <c r="AE425">
        <v>0.9</v>
      </c>
      <c r="AF425" s="14">
        <f t="shared" si="6"/>
        <v>0.55261737722611981</v>
      </c>
    </row>
    <row r="426" spans="1:32" x14ac:dyDescent="0.2">
      <c r="A426">
        <v>425</v>
      </c>
      <c r="B426" cm="1">
        <f t="array" ref="B426:AE426">_xlfn.XLOOKUP($A426,Instagram_Usage_Lifestyle_Mini_!$A:$A,Instagram_Usage_Lifestyle_Mini_!$AC:$BF)</f>
        <v>161</v>
      </c>
      <c r="C426">
        <v>6</v>
      </c>
      <c r="D426">
        <v>3</v>
      </c>
      <c r="E426">
        <v>132</v>
      </c>
      <c r="F426">
        <v>72</v>
      </c>
      <c r="G426">
        <v>103</v>
      </c>
      <c r="H426">
        <v>21</v>
      </c>
      <c r="I426">
        <v>24</v>
      </c>
      <c r="J426">
        <v>32</v>
      </c>
      <c r="K426">
        <v>18</v>
      </c>
      <c r="L426">
        <v>3</v>
      </c>
      <c r="M426">
        <v>78</v>
      </c>
      <c r="N426">
        <v>34</v>
      </c>
      <c r="O426">
        <v>27</v>
      </c>
      <c r="P426">
        <v>52</v>
      </c>
      <c r="Q426">
        <v>2119</v>
      </c>
      <c r="R426">
        <v>1538</v>
      </c>
      <c r="S426" t="str">
        <v>No</v>
      </c>
      <c r="T426">
        <v>0.25</v>
      </c>
      <c r="U426">
        <v>2014</v>
      </c>
      <c r="V426">
        <v>46005</v>
      </c>
      <c r="W426">
        <v>26.8</v>
      </c>
      <c r="X426" t="str">
        <v>Mixed</v>
      </c>
      <c r="Y426" t="str">
        <v>Fitness</v>
      </c>
      <c r="Z426" t="str">
        <v>Friends_only</v>
      </c>
      <c r="AA426" t="str">
        <v>Yes</v>
      </c>
      <c r="AB426" t="str">
        <v>Yes</v>
      </c>
      <c r="AC426">
        <v>1</v>
      </c>
      <c r="AD426" t="str">
        <v>Free</v>
      </c>
      <c r="AE426">
        <v>0.95</v>
      </c>
      <c r="AF426" s="14">
        <f t="shared" si="6"/>
        <v>1.3777633289986997</v>
      </c>
    </row>
    <row r="427" spans="1:32" x14ac:dyDescent="0.2">
      <c r="A427">
        <v>426</v>
      </c>
      <c r="B427" cm="1">
        <f t="array" ref="B427:AE427">_xlfn.XLOOKUP($A427,Instagram_Usage_Lifestyle_Mini_!$A:$A,Instagram_Usage_Lifestyle_Mini_!$AC:$BF)</f>
        <v>57</v>
      </c>
      <c r="C427">
        <v>3</v>
      </c>
      <c r="D427">
        <v>12</v>
      </c>
      <c r="E427">
        <v>146</v>
      </c>
      <c r="F427">
        <v>49</v>
      </c>
      <c r="G427">
        <v>53</v>
      </c>
      <c r="H427">
        <v>18</v>
      </c>
      <c r="I427">
        <v>22</v>
      </c>
      <c r="J427">
        <v>14</v>
      </c>
      <c r="K427">
        <v>16</v>
      </c>
      <c r="L427">
        <v>3</v>
      </c>
      <c r="M427">
        <v>24</v>
      </c>
      <c r="N427">
        <v>9</v>
      </c>
      <c r="O427">
        <v>8</v>
      </c>
      <c r="P427">
        <v>16</v>
      </c>
      <c r="Q427">
        <v>744</v>
      </c>
      <c r="R427">
        <v>1547</v>
      </c>
      <c r="S427" t="str">
        <v>No</v>
      </c>
      <c r="T427">
        <v>0.46</v>
      </c>
      <c r="U427">
        <v>2024</v>
      </c>
      <c r="V427">
        <v>45790</v>
      </c>
      <c r="W427">
        <v>19</v>
      </c>
      <c r="X427" t="str">
        <v>Reels</v>
      </c>
      <c r="Y427" t="str">
        <v>Fashion</v>
      </c>
      <c r="Z427" t="str">
        <v>Friends_only</v>
      </c>
      <c r="AA427" t="str">
        <v>Yes</v>
      </c>
      <c r="AB427" t="str">
        <v>Yes</v>
      </c>
      <c r="AC427">
        <v>2</v>
      </c>
      <c r="AD427" t="str">
        <v>Free</v>
      </c>
      <c r="AE427">
        <v>2.16</v>
      </c>
      <c r="AF427" s="14">
        <f t="shared" si="6"/>
        <v>0.48093083387201035</v>
      </c>
    </row>
    <row r="428" spans="1:32" x14ac:dyDescent="0.2">
      <c r="A428">
        <v>427</v>
      </c>
      <c r="B428" cm="1">
        <f t="array" ref="B428:AE428">_xlfn.XLOOKUP($A428,Instagram_Usage_Lifestyle_Mini_!$A:$A,Instagram_Usage_Lifestyle_Mini_!$AC:$BF)</f>
        <v>127</v>
      </c>
      <c r="C428">
        <v>4</v>
      </c>
      <c r="D428">
        <v>3</v>
      </c>
      <c r="E428">
        <v>107</v>
      </c>
      <c r="F428">
        <v>84</v>
      </c>
      <c r="G428">
        <v>91</v>
      </c>
      <c r="H428">
        <v>30</v>
      </c>
      <c r="I428">
        <v>29</v>
      </c>
      <c r="J428">
        <v>19</v>
      </c>
      <c r="K428">
        <v>10</v>
      </c>
      <c r="L428">
        <v>8</v>
      </c>
      <c r="M428">
        <v>71</v>
      </c>
      <c r="N428">
        <v>32</v>
      </c>
      <c r="O428">
        <v>15</v>
      </c>
      <c r="P428">
        <v>50</v>
      </c>
      <c r="Q428">
        <v>834</v>
      </c>
      <c r="R428">
        <v>1826</v>
      </c>
      <c r="S428" t="str">
        <v>No</v>
      </c>
      <c r="T428">
        <v>0.66</v>
      </c>
      <c r="U428">
        <v>2014</v>
      </c>
      <c r="V428">
        <v>45789</v>
      </c>
      <c r="W428">
        <v>31.8</v>
      </c>
      <c r="X428" t="str">
        <v>Mixed</v>
      </c>
      <c r="Y428" t="str">
        <v>Food</v>
      </c>
      <c r="Z428" t="str">
        <v>Private</v>
      </c>
      <c r="AA428" t="str">
        <v>Yes</v>
      </c>
      <c r="AB428" t="str">
        <v>Yes</v>
      </c>
      <c r="AC428">
        <v>0</v>
      </c>
      <c r="AD428" t="str">
        <v>Free</v>
      </c>
      <c r="AE428">
        <v>1.25</v>
      </c>
      <c r="AF428" s="14">
        <f t="shared" si="6"/>
        <v>0.45673603504928806</v>
      </c>
    </row>
    <row r="429" spans="1:32" x14ac:dyDescent="0.2">
      <c r="A429">
        <v>428</v>
      </c>
      <c r="B429" cm="1">
        <f t="array" ref="B429:AE429">_xlfn.XLOOKUP($A429,Instagram_Usage_Lifestyle_Mini_!$A:$A,Instagram_Usage_Lifestyle_Mini_!$AC:$BF)</f>
        <v>134</v>
      </c>
      <c r="C429">
        <v>7</v>
      </c>
      <c r="D429">
        <v>2</v>
      </c>
      <c r="E429">
        <v>133</v>
      </c>
      <c r="F429">
        <v>103</v>
      </c>
      <c r="G429">
        <v>104</v>
      </c>
      <c r="H429">
        <v>28</v>
      </c>
      <c r="I429">
        <v>22</v>
      </c>
      <c r="J429">
        <v>29</v>
      </c>
      <c r="K429">
        <v>13</v>
      </c>
      <c r="L429">
        <v>4</v>
      </c>
      <c r="M429">
        <v>73</v>
      </c>
      <c r="N429">
        <v>18</v>
      </c>
      <c r="O429">
        <v>26</v>
      </c>
      <c r="P429">
        <v>47</v>
      </c>
      <c r="Q429">
        <v>1649</v>
      </c>
      <c r="R429">
        <v>1915</v>
      </c>
      <c r="S429" t="str">
        <v>No</v>
      </c>
      <c r="T429">
        <v>0.89</v>
      </c>
      <c r="U429">
        <v>2021</v>
      </c>
      <c r="V429">
        <v>45922</v>
      </c>
      <c r="W429">
        <v>19.100000000000001</v>
      </c>
      <c r="X429" t="str">
        <v>Mixed</v>
      </c>
      <c r="Y429" t="str">
        <v>Fashion</v>
      </c>
      <c r="Z429" t="str">
        <v>Private</v>
      </c>
      <c r="AA429" t="str">
        <v>Yes</v>
      </c>
      <c r="AB429" t="str">
        <v>No</v>
      </c>
      <c r="AC429">
        <v>5</v>
      </c>
      <c r="AD429" t="str">
        <v>Free</v>
      </c>
      <c r="AE429">
        <v>1.23</v>
      </c>
      <c r="AF429" s="14">
        <f t="shared" si="6"/>
        <v>0.86109660574412528</v>
      </c>
    </row>
    <row r="430" spans="1:32" x14ac:dyDescent="0.2">
      <c r="A430">
        <v>429</v>
      </c>
      <c r="B430" cm="1">
        <f t="array" ref="B430:AE430">_xlfn.XLOOKUP($A430,Instagram_Usage_Lifestyle_Mini_!$A:$A,Instagram_Usage_Lifestyle_Mini_!$AC:$BF)</f>
        <v>281</v>
      </c>
      <c r="C430">
        <v>11</v>
      </c>
      <c r="D430">
        <v>4</v>
      </c>
      <c r="E430">
        <v>212</v>
      </c>
      <c r="F430">
        <v>137</v>
      </c>
      <c r="G430">
        <v>158</v>
      </c>
      <c r="H430">
        <v>53</v>
      </c>
      <c r="I430">
        <v>43</v>
      </c>
      <c r="J430">
        <v>38</v>
      </c>
      <c r="K430">
        <v>25</v>
      </c>
      <c r="L430">
        <v>9</v>
      </c>
      <c r="M430">
        <v>134</v>
      </c>
      <c r="N430">
        <v>81</v>
      </c>
      <c r="O430">
        <v>46</v>
      </c>
      <c r="P430">
        <v>112</v>
      </c>
      <c r="Q430">
        <v>1210</v>
      </c>
      <c r="R430">
        <v>2018</v>
      </c>
      <c r="S430" t="str">
        <v>No</v>
      </c>
      <c r="T430">
        <v>0.37</v>
      </c>
      <c r="U430">
        <v>2016</v>
      </c>
      <c r="V430">
        <v>45919</v>
      </c>
      <c r="W430">
        <v>25.5</v>
      </c>
      <c r="X430" t="str">
        <v>Live</v>
      </c>
      <c r="Y430" t="str">
        <v>Travel</v>
      </c>
      <c r="Z430" t="str">
        <v>Friends_only</v>
      </c>
      <c r="AA430" t="str">
        <v>Yes</v>
      </c>
      <c r="AB430" t="str">
        <v>Yes</v>
      </c>
      <c r="AC430">
        <v>2</v>
      </c>
      <c r="AD430" t="str">
        <v>Free</v>
      </c>
      <c r="AE430">
        <v>0.98</v>
      </c>
      <c r="AF430" s="14">
        <f t="shared" si="6"/>
        <v>0.59960356788899905</v>
      </c>
    </row>
    <row r="431" spans="1:32" x14ac:dyDescent="0.2">
      <c r="A431">
        <v>430</v>
      </c>
      <c r="B431" cm="1">
        <f t="array" ref="B431:AE431">_xlfn.XLOOKUP($A431,Instagram_Usage_Lifestyle_Mini_!$A:$A,Instagram_Usage_Lifestyle_Mini_!$AC:$BF)</f>
        <v>297</v>
      </c>
      <c r="C431">
        <v>9</v>
      </c>
      <c r="D431">
        <v>5</v>
      </c>
      <c r="E431">
        <v>242</v>
      </c>
      <c r="F431">
        <v>150</v>
      </c>
      <c r="G431">
        <v>174</v>
      </c>
      <c r="H431">
        <v>40</v>
      </c>
      <c r="I431">
        <v>44</v>
      </c>
      <c r="J431">
        <v>40</v>
      </c>
      <c r="K431">
        <v>36</v>
      </c>
      <c r="L431">
        <v>3</v>
      </c>
      <c r="M431">
        <v>171</v>
      </c>
      <c r="N431">
        <v>73</v>
      </c>
      <c r="O431">
        <v>73</v>
      </c>
      <c r="P431">
        <v>81</v>
      </c>
      <c r="Q431">
        <v>1755</v>
      </c>
      <c r="R431">
        <v>3634</v>
      </c>
      <c r="S431" t="str">
        <v>Yes</v>
      </c>
      <c r="T431">
        <v>0.23</v>
      </c>
      <c r="U431">
        <v>2011</v>
      </c>
      <c r="V431">
        <v>45927</v>
      </c>
      <c r="W431">
        <v>33</v>
      </c>
      <c r="X431" t="str">
        <v>Mixed</v>
      </c>
      <c r="Y431" t="str">
        <v>Tech</v>
      </c>
      <c r="Z431" t="str">
        <v>Public</v>
      </c>
      <c r="AA431" t="str">
        <v>No</v>
      </c>
      <c r="AB431" t="str">
        <v>Yes</v>
      </c>
      <c r="AC431">
        <v>0</v>
      </c>
      <c r="AD431" t="str">
        <v>Free</v>
      </c>
      <c r="AE431">
        <v>0.9</v>
      </c>
      <c r="AF431" s="14">
        <f t="shared" si="6"/>
        <v>0.48293891029168962</v>
      </c>
    </row>
    <row r="432" spans="1:32" x14ac:dyDescent="0.2">
      <c r="A432">
        <v>431</v>
      </c>
      <c r="B432" cm="1">
        <f t="array" ref="B432:AE432">_xlfn.XLOOKUP($A432,Instagram_Usage_Lifestyle_Mini_!$A:$A,Instagram_Usage_Lifestyle_Mini_!$AC:$BF)</f>
        <v>110</v>
      </c>
      <c r="C432">
        <v>4</v>
      </c>
      <c r="D432">
        <v>6</v>
      </c>
      <c r="E432">
        <v>110</v>
      </c>
      <c r="F432">
        <v>77</v>
      </c>
      <c r="G432">
        <v>90</v>
      </c>
      <c r="H432">
        <v>24</v>
      </c>
      <c r="I432">
        <v>19</v>
      </c>
      <c r="J432">
        <v>18</v>
      </c>
      <c r="K432">
        <v>13</v>
      </c>
      <c r="L432">
        <v>1</v>
      </c>
      <c r="M432">
        <v>54</v>
      </c>
      <c r="N432">
        <v>12</v>
      </c>
      <c r="O432">
        <v>21</v>
      </c>
      <c r="P432">
        <v>33</v>
      </c>
      <c r="Q432">
        <v>3399</v>
      </c>
      <c r="R432">
        <v>8014</v>
      </c>
      <c r="S432" t="str">
        <v>Yes</v>
      </c>
      <c r="T432">
        <v>0.15</v>
      </c>
      <c r="U432">
        <v>2012</v>
      </c>
      <c r="V432">
        <v>45916</v>
      </c>
      <c r="W432">
        <v>27.5</v>
      </c>
      <c r="X432" t="str">
        <v>Live</v>
      </c>
      <c r="Y432" t="str">
        <v>Other</v>
      </c>
      <c r="Z432" t="str">
        <v>Public</v>
      </c>
      <c r="AA432" t="str">
        <v>No</v>
      </c>
      <c r="AB432" t="str">
        <v>No</v>
      </c>
      <c r="AC432">
        <v>2</v>
      </c>
      <c r="AD432" t="str">
        <v>Free</v>
      </c>
      <c r="AE432">
        <v>1.41</v>
      </c>
      <c r="AF432" s="14">
        <f t="shared" si="6"/>
        <v>0.42413276765660096</v>
      </c>
    </row>
    <row r="433" spans="1:32" x14ac:dyDescent="0.2">
      <c r="A433">
        <v>432</v>
      </c>
      <c r="B433" cm="1">
        <f t="array" ref="B433:AE433">_xlfn.XLOOKUP($A433,Instagram_Usage_Lifestyle_Mini_!$A:$A,Instagram_Usage_Lifestyle_Mini_!$AC:$BF)</f>
        <v>30</v>
      </c>
      <c r="C433">
        <v>1</v>
      </c>
      <c r="D433">
        <v>0</v>
      </c>
      <c r="E433">
        <v>56</v>
      </c>
      <c r="F433">
        <v>30</v>
      </c>
      <c r="G433">
        <v>40</v>
      </c>
      <c r="H433">
        <v>9</v>
      </c>
      <c r="I433">
        <v>12</v>
      </c>
      <c r="J433">
        <v>9</v>
      </c>
      <c r="K433">
        <v>5</v>
      </c>
      <c r="L433">
        <v>1</v>
      </c>
      <c r="M433">
        <v>14</v>
      </c>
      <c r="N433">
        <v>5</v>
      </c>
      <c r="O433">
        <v>4</v>
      </c>
      <c r="P433">
        <v>11</v>
      </c>
      <c r="Q433">
        <v>2656</v>
      </c>
      <c r="R433">
        <v>3079</v>
      </c>
      <c r="S433" t="str">
        <v>No</v>
      </c>
      <c r="T433">
        <v>0.13</v>
      </c>
      <c r="U433">
        <v>2011</v>
      </c>
      <c r="V433">
        <v>45831</v>
      </c>
      <c r="W433">
        <v>30</v>
      </c>
      <c r="X433" t="str">
        <v>Reels</v>
      </c>
      <c r="Y433" t="str">
        <v>Tech</v>
      </c>
      <c r="Z433" t="str">
        <v>Private</v>
      </c>
      <c r="AA433" t="str">
        <v>Yes</v>
      </c>
      <c r="AB433" t="str">
        <v>Yes</v>
      </c>
      <c r="AC433">
        <v>1</v>
      </c>
      <c r="AD433" t="str">
        <v>Free</v>
      </c>
      <c r="AE433">
        <v>1.87</v>
      </c>
      <c r="AF433" s="14">
        <f t="shared" si="6"/>
        <v>0.86261773303020461</v>
      </c>
    </row>
    <row r="434" spans="1:32" x14ac:dyDescent="0.2">
      <c r="A434">
        <v>433</v>
      </c>
      <c r="B434" cm="1">
        <f t="array" ref="B434:AE434">_xlfn.XLOOKUP($A434,Instagram_Usage_Lifestyle_Mini_!$A:$A,Instagram_Usage_Lifestyle_Mini_!$AC:$BF)</f>
        <v>324</v>
      </c>
      <c r="C434">
        <v>14</v>
      </c>
      <c r="D434">
        <v>13</v>
      </c>
      <c r="E434">
        <v>224</v>
      </c>
      <c r="F434">
        <v>150</v>
      </c>
      <c r="G434">
        <v>179</v>
      </c>
      <c r="H434">
        <v>61</v>
      </c>
      <c r="I434">
        <v>37</v>
      </c>
      <c r="J434">
        <v>54</v>
      </c>
      <c r="K434">
        <v>35</v>
      </c>
      <c r="L434">
        <v>7</v>
      </c>
      <c r="M434">
        <v>148</v>
      </c>
      <c r="N434">
        <v>65</v>
      </c>
      <c r="O434">
        <v>38</v>
      </c>
      <c r="P434">
        <v>74</v>
      </c>
      <c r="Q434">
        <v>1737</v>
      </c>
      <c r="R434">
        <v>1961</v>
      </c>
      <c r="S434" t="str">
        <v>Yes</v>
      </c>
      <c r="T434">
        <v>0.57999999999999996</v>
      </c>
      <c r="U434">
        <v>2013</v>
      </c>
      <c r="V434">
        <v>45970</v>
      </c>
      <c r="W434">
        <v>23.1</v>
      </c>
      <c r="X434" t="str">
        <v>Reels</v>
      </c>
      <c r="Y434" t="str">
        <v>Fitness</v>
      </c>
      <c r="Z434" t="str">
        <v>Private</v>
      </c>
      <c r="AA434" t="str">
        <v>No</v>
      </c>
      <c r="AB434" t="str">
        <v>Yes</v>
      </c>
      <c r="AC434">
        <v>3</v>
      </c>
      <c r="AD434" t="str">
        <v>Free</v>
      </c>
      <c r="AE434">
        <v>1.05</v>
      </c>
      <c r="AF434" s="14">
        <f t="shared" si="6"/>
        <v>0.88577256501784807</v>
      </c>
    </row>
    <row r="435" spans="1:32" x14ac:dyDescent="0.2">
      <c r="A435">
        <v>434</v>
      </c>
      <c r="B435" cm="1">
        <f t="array" ref="B435:AE435">_xlfn.XLOOKUP($A435,Instagram_Usage_Lifestyle_Mini_!$A:$A,Instagram_Usage_Lifestyle_Mini_!$AC:$BF)</f>
        <v>59</v>
      </c>
      <c r="C435">
        <v>2</v>
      </c>
      <c r="D435">
        <v>3</v>
      </c>
      <c r="E435">
        <v>64</v>
      </c>
      <c r="F435">
        <v>66</v>
      </c>
      <c r="G435">
        <v>48</v>
      </c>
      <c r="H435">
        <v>13</v>
      </c>
      <c r="I435">
        <v>11</v>
      </c>
      <c r="J435">
        <v>12</v>
      </c>
      <c r="K435">
        <v>7</v>
      </c>
      <c r="L435">
        <v>2</v>
      </c>
      <c r="M435">
        <v>32</v>
      </c>
      <c r="N435">
        <v>16</v>
      </c>
      <c r="O435">
        <v>14</v>
      </c>
      <c r="P435">
        <v>18</v>
      </c>
      <c r="Q435">
        <v>983</v>
      </c>
      <c r="R435">
        <v>1276</v>
      </c>
      <c r="S435" t="str">
        <v>No</v>
      </c>
      <c r="T435">
        <v>0.77</v>
      </c>
      <c r="U435">
        <v>2013</v>
      </c>
      <c r="V435">
        <v>45753</v>
      </c>
      <c r="W435">
        <v>29.5</v>
      </c>
      <c r="X435" t="str">
        <v>Live</v>
      </c>
      <c r="Y435" t="str">
        <v>Other</v>
      </c>
      <c r="Z435" t="str">
        <v>Friends_only</v>
      </c>
      <c r="AA435" t="str">
        <v>No</v>
      </c>
      <c r="AB435" t="str">
        <v>Yes</v>
      </c>
      <c r="AC435">
        <v>4</v>
      </c>
      <c r="AD435" t="str">
        <v>Free</v>
      </c>
      <c r="AE435">
        <v>1.38</v>
      </c>
      <c r="AF435" s="14">
        <f t="shared" si="6"/>
        <v>0.77037617554858939</v>
      </c>
    </row>
    <row r="436" spans="1:32" x14ac:dyDescent="0.2">
      <c r="A436">
        <v>435</v>
      </c>
      <c r="B436" cm="1">
        <f t="array" ref="B436:AE436">_xlfn.XLOOKUP($A436,Instagram_Usage_Lifestyle_Mini_!$A:$A,Instagram_Usage_Lifestyle_Mini_!$AC:$BF)</f>
        <v>259</v>
      </c>
      <c r="C436">
        <v>23</v>
      </c>
      <c r="D436">
        <v>6</v>
      </c>
      <c r="E436">
        <v>199</v>
      </c>
      <c r="F436">
        <v>150</v>
      </c>
      <c r="G436">
        <v>138</v>
      </c>
      <c r="H436">
        <v>39</v>
      </c>
      <c r="I436">
        <v>32</v>
      </c>
      <c r="J436">
        <v>32</v>
      </c>
      <c r="K436">
        <v>34</v>
      </c>
      <c r="L436">
        <v>10</v>
      </c>
      <c r="M436">
        <v>146</v>
      </c>
      <c r="N436">
        <v>62</v>
      </c>
      <c r="O436">
        <v>59</v>
      </c>
      <c r="P436">
        <v>55</v>
      </c>
      <c r="Q436">
        <v>2021</v>
      </c>
      <c r="R436">
        <v>1972</v>
      </c>
      <c r="S436" t="str">
        <v>Yes</v>
      </c>
      <c r="T436">
        <v>0.19</v>
      </c>
      <c r="U436">
        <v>2012</v>
      </c>
      <c r="V436">
        <v>45728</v>
      </c>
      <c r="W436">
        <v>11.3</v>
      </c>
      <c r="X436" t="str">
        <v>Stories</v>
      </c>
      <c r="Y436" t="str">
        <v>Food</v>
      </c>
      <c r="Z436" t="str">
        <v>Private</v>
      </c>
      <c r="AA436" t="str">
        <v>Yes</v>
      </c>
      <c r="AB436" t="str">
        <v>No</v>
      </c>
      <c r="AC436">
        <v>1</v>
      </c>
      <c r="AD436" t="str">
        <v>Business</v>
      </c>
      <c r="AE436">
        <v>0.9</v>
      </c>
      <c r="AF436" s="14">
        <f t="shared" si="6"/>
        <v>1.0248478701825559</v>
      </c>
    </row>
    <row r="437" spans="1:32" x14ac:dyDescent="0.2">
      <c r="A437">
        <v>436</v>
      </c>
      <c r="B437" cm="1">
        <f t="array" ref="B437:AE437">_xlfn.XLOOKUP($A437,Instagram_Usage_Lifestyle_Mini_!$A:$A,Instagram_Usage_Lifestyle_Mini_!$AC:$BF)</f>
        <v>289</v>
      </c>
      <c r="C437">
        <v>23</v>
      </c>
      <c r="D437">
        <v>7</v>
      </c>
      <c r="E437">
        <v>221</v>
      </c>
      <c r="F437">
        <v>150</v>
      </c>
      <c r="G437">
        <v>170</v>
      </c>
      <c r="H437">
        <v>58</v>
      </c>
      <c r="I437">
        <v>51</v>
      </c>
      <c r="J437">
        <v>40</v>
      </c>
      <c r="K437">
        <v>28</v>
      </c>
      <c r="L437">
        <v>9</v>
      </c>
      <c r="M437">
        <v>118</v>
      </c>
      <c r="N437">
        <v>73</v>
      </c>
      <c r="O437">
        <v>60</v>
      </c>
      <c r="P437">
        <v>77</v>
      </c>
      <c r="Q437">
        <v>195</v>
      </c>
      <c r="R437">
        <v>265</v>
      </c>
      <c r="S437" t="str">
        <v>No</v>
      </c>
      <c r="T437">
        <v>0.42</v>
      </c>
      <c r="U437">
        <v>2017</v>
      </c>
      <c r="V437">
        <v>45943</v>
      </c>
      <c r="W437">
        <v>12.6</v>
      </c>
      <c r="X437" t="str">
        <v>Mixed</v>
      </c>
      <c r="Y437" t="str">
        <v>Music</v>
      </c>
      <c r="Z437" t="str">
        <v>Friends_only</v>
      </c>
      <c r="AA437" t="str">
        <v>Yes</v>
      </c>
      <c r="AB437" t="str">
        <v>No</v>
      </c>
      <c r="AC437">
        <v>4</v>
      </c>
      <c r="AD437" t="str">
        <v>Premium</v>
      </c>
      <c r="AE437">
        <v>1.06</v>
      </c>
      <c r="AF437" s="14">
        <f t="shared" si="6"/>
        <v>0.73584905660377353</v>
      </c>
    </row>
    <row r="438" spans="1:32" x14ac:dyDescent="0.2">
      <c r="A438">
        <v>437</v>
      </c>
      <c r="B438" cm="1">
        <f t="array" ref="B438:AE438">_xlfn.XLOOKUP($A438,Instagram_Usage_Lifestyle_Mini_!$A:$A,Instagram_Usage_Lifestyle_Mini_!$AC:$BF)</f>
        <v>273</v>
      </c>
      <c r="C438">
        <v>20</v>
      </c>
      <c r="D438">
        <v>7</v>
      </c>
      <c r="E438">
        <v>278</v>
      </c>
      <c r="F438">
        <v>150</v>
      </c>
      <c r="G438">
        <v>155</v>
      </c>
      <c r="H438">
        <v>55</v>
      </c>
      <c r="I438">
        <v>30</v>
      </c>
      <c r="J438">
        <v>37</v>
      </c>
      <c r="K438">
        <v>25</v>
      </c>
      <c r="L438">
        <v>4</v>
      </c>
      <c r="M438">
        <v>126</v>
      </c>
      <c r="N438">
        <v>61</v>
      </c>
      <c r="O438">
        <v>31</v>
      </c>
      <c r="P438">
        <v>102</v>
      </c>
      <c r="Q438">
        <v>1095</v>
      </c>
      <c r="R438">
        <v>2298</v>
      </c>
      <c r="S438" t="str">
        <v>Yes</v>
      </c>
      <c r="T438">
        <v>0.7</v>
      </c>
      <c r="U438">
        <v>2021</v>
      </c>
      <c r="V438">
        <v>45893</v>
      </c>
      <c r="W438">
        <v>13.6</v>
      </c>
      <c r="X438" t="str">
        <v>Stories</v>
      </c>
      <c r="Y438" t="str">
        <v>Art</v>
      </c>
      <c r="Z438" t="str">
        <v>Friends_only</v>
      </c>
      <c r="AA438" t="str">
        <v>Yes</v>
      </c>
      <c r="AB438" t="str">
        <v>No</v>
      </c>
      <c r="AC438">
        <v>0</v>
      </c>
      <c r="AD438" t="str">
        <v>Free</v>
      </c>
      <c r="AE438">
        <v>1.04</v>
      </c>
      <c r="AF438" s="14">
        <f t="shared" si="6"/>
        <v>0.47650130548302871</v>
      </c>
    </row>
    <row r="439" spans="1:32" x14ac:dyDescent="0.2">
      <c r="A439">
        <v>438</v>
      </c>
      <c r="B439" cm="1">
        <f t="array" ref="B439:AE439">_xlfn.XLOOKUP($A439,Instagram_Usage_Lifestyle_Mini_!$A:$A,Instagram_Usage_Lifestyle_Mini_!$AC:$BF)</f>
        <v>5</v>
      </c>
      <c r="C439">
        <v>1</v>
      </c>
      <c r="D439">
        <v>5</v>
      </c>
      <c r="E439">
        <v>120</v>
      </c>
      <c r="F439">
        <v>23</v>
      </c>
      <c r="G439">
        <v>31</v>
      </c>
      <c r="H439">
        <v>3</v>
      </c>
      <c r="I439">
        <v>10</v>
      </c>
      <c r="J439">
        <v>9</v>
      </c>
      <c r="K439">
        <v>3</v>
      </c>
      <c r="L439">
        <v>0</v>
      </c>
      <c r="M439">
        <v>2</v>
      </c>
      <c r="N439">
        <v>1</v>
      </c>
      <c r="O439">
        <v>1</v>
      </c>
      <c r="P439">
        <v>2</v>
      </c>
      <c r="Q439">
        <v>3749</v>
      </c>
      <c r="R439">
        <v>4187</v>
      </c>
      <c r="S439" t="str">
        <v>No</v>
      </c>
      <c r="T439">
        <v>0.34</v>
      </c>
      <c r="U439">
        <v>2021</v>
      </c>
      <c r="V439">
        <v>45773</v>
      </c>
      <c r="W439">
        <v>5</v>
      </c>
      <c r="X439" t="str">
        <v>Photos</v>
      </c>
      <c r="Y439" t="str">
        <v>Tech</v>
      </c>
      <c r="Z439" t="str">
        <v>Private</v>
      </c>
      <c r="AA439" t="str">
        <v>No</v>
      </c>
      <c r="AB439" t="str">
        <v>Yes</v>
      </c>
      <c r="AC439">
        <v>1</v>
      </c>
      <c r="AD439" t="str">
        <v>Business</v>
      </c>
      <c r="AE439">
        <v>8.67</v>
      </c>
      <c r="AF439" s="14">
        <f t="shared" si="6"/>
        <v>0.89539049438738949</v>
      </c>
    </row>
    <row r="440" spans="1:32" x14ac:dyDescent="0.2">
      <c r="A440">
        <v>439</v>
      </c>
      <c r="B440" cm="1">
        <f t="array" ref="B440:AE440">_xlfn.XLOOKUP($A440,Instagram_Usage_Lifestyle_Mini_!$A:$A,Instagram_Usage_Lifestyle_Mini_!$AC:$BF)</f>
        <v>133</v>
      </c>
      <c r="C440">
        <v>4</v>
      </c>
      <c r="D440">
        <v>4</v>
      </c>
      <c r="E440">
        <v>131</v>
      </c>
      <c r="F440">
        <v>78</v>
      </c>
      <c r="G440">
        <v>85</v>
      </c>
      <c r="H440">
        <v>18</v>
      </c>
      <c r="I440">
        <v>28</v>
      </c>
      <c r="J440">
        <v>27</v>
      </c>
      <c r="K440">
        <v>19</v>
      </c>
      <c r="L440">
        <v>3</v>
      </c>
      <c r="M440">
        <v>60</v>
      </c>
      <c r="N440">
        <v>27</v>
      </c>
      <c r="O440">
        <v>13</v>
      </c>
      <c r="P440">
        <v>44</v>
      </c>
      <c r="Q440">
        <v>5070</v>
      </c>
      <c r="R440">
        <v>7336</v>
      </c>
      <c r="S440" t="str">
        <v>No</v>
      </c>
      <c r="T440">
        <v>0.25</v>
      </c>
      <c r="U440">
        <v>2021</v>
      </c>
      <c r="V440">
        <v>45906</v>
      </c>
      <c r="W440">
        <v>33.200000000000003</v>
      </c>
      <c r="X440" t="str">
        <v>Mixed</v>
      </c>
      <c r="Y440" t="str">
        <v>Fitness</v>
      </c>
      <c r="Z440" t="str">
        <v>Private</v>
      </c>
      <c r="AA440" t="str">
        <v>No</v>
      </c>
      <c r="AB440" t="str">
        <v>No</v>
      </c>
      <c r="AC440">
        <v>2</v>
      </c>
      <c r="AD440" t="str">
        <v>Free</v>
      </c>
      <c r="AE440">
        <v>0.99</v>
      </c>
      <c r="AF440" s="14">
        <f t="shared" si="6"/>
        <v>0.69111232279171209</v>
      </c>
    </row>
    <row r="441" spans="1:32" x14ac:dyDescent="0.2">
      <c r="A441">
        <v>440</v>
      </c>
      <c r="B441" cm="1">
        <f t="array" ref="B441:AE441">_xlfn.XLOOKUP($A441,Instagram_Usage_Lifestyle_Mini_!$A:$A,Instagram_Usage_Lifestyle_Mini_!$AC:$BF)</f>
        <v>97</v>
      </c>
      <c r="C441">
        <v>11</v>
      </c>
      <c r="D441">
        <v>2</v>
      </c>
      <c r="E441">
        <v>105</v>
      </c>
      <c r="F441">
        <v>72</v>
      </c>
      <c r="G441">
        <v>76</v>
      </c>
      <c r="H441">
        <v>19</v>
      </c>
      <c r="I441">
        <v>16</v>
      </c>
      <c r="J441">
        <v>15</v>
      </c>
      <c r="K441">
        <v>13</v>
      </c>
      <c r="L441">
        <v>3</v>
      </c>
      <c r="M441">
        <v>54</v>
      </c>
      <c r="N441">
        <v>17</v>
      </c>
      <c r="O441">
        <v>21</v>
      </c>
      <c r="P441">
        <v>38</v>
      </c>
      <c r="Q441">
        <v>744</v>
      </c>
      <c r="R441">
        <v>1170</v>
      </c>
      <c r="S441" t="str">
        <v>Yes</v>
      </c>
      <c r="T441">
        <v>0.02</v>
      </c>
      <c r="U441">
        <v>2016</v>
      </c>
      <c r="V441">
        <v>45706</v>
      </c>
      <c r="W441">
        <v>8.8000000000000007</v>
      </c>
      <c r="X441" t="str">
        <v>Stories</v>
      </c>
      <c r="Y441" t="str">
        <v>Fashion</v>
      </c>
      <c r="Z441" t="str">
        <v>Private</v>
      </c>
      <c r="AA441" t="str">
        <v>No</v>
      </c>
      <c r="AB441" t="str">
        <v>Yes</v>
      </c>
      <c r="AC441">
        <v>1</v>
      </c>
      <c r="AD441" t="str">
        <v>Free</v>
      </c>
      <c r="AE441">
        <v>1.22</v>
      </c>
      <c r="AF441" s="14">
        <f t="shared" si="6"/>
        <v>0.63589743589743586</v>
      </c>
    </row>
    <row r="442" spans="1:32" x14ac:dyDescent="0.2">
      <c r="A442">
        <v>441</v>
      </c>
      <c r="B442" cm="1">
        <f t="array" ref="B442:AE442">_xlfn.XLOOKUP($A442,Instagram_Usage_Lifestyle_Mini_!$A:$A,Instagram_Usage_Lifestyle_Mini_!$AC:$BF)</f>
        <v>377</v>
      </c>
      <c r="C442">
        <v>15</v>
      </c>
      <c r="D442">
        <v>7</v>
      </c>
      <c r="E442">
        <v>298</v>
      </c>
      <c r="F442">
        <v>150</v>
      </c>
      <c r="G442">
        <v>216</v>
      </c>
      <c r="H442">
        <v>65</v>
      </c>
      <c r="I442">
        <v>43</v>
      </c>
      <c r="J442">
        <v>57</v>
      </c>
      <c r="K442">
        <v>33</v>
      </c>
      <c r="L442">
        <v>8</v>
      </c>
      <c r="M442">
        <v>160</v>
      </c>
      <c r="N442">
        <v>84</v>
      </c>
      <c r="O442">
        <v>46</v>
      </c>
      <c r="P442">
        <v>135</v>
      </c>
      <c r="Q442">
        <v>648</v>
      </c>
      <c r="R442">
        <v>893</v>
      </c>
      <c r="S442" t="str">
        <v>No</v>
      </c>
      <c r="T442">
        <v>0.46</v>
      </c>
      <c r="U442">
        <v>2024</v>
      </c>
      <c r="V442">
        <v>45890</v>
      </c>
      <c r="W442">
        <v>25.1</v>
      </c>
      <c r="X442" t="str">
        <v>Mixed</v>
      </c>
      <c r="Y442" t="str">
        <v>Food</v>
      </c>
      <c r="Z442" t="str">
        <v>Private</v>
      </c>
      <c r="AA442" t="str">
        <v>No</v>
      </c>
      <c r="AB442" t="str">
        <v>No</v>
      </c>
      <c r="AC442">
        <v>2</v>
      </c>
      <c r="AD442" t="str">
        <v>Free</v>
      </c>
      <c r="AE442">
        <v>0.97</v>
      </c>
      <c r="AF442" s="14">
        <f t="shared" si="6"/>
        <v>0.72564389697648379</v>
      </c>
    </row>
    <row r="443" spans="1:32" x14ac:dyDescent="0.2">
      <c r="A443">
        <v>442</v>
      </c>
      <c r="B443" cm="1">
        <f t="array" ref="B443:AE443">_xlfn.XLOOKUP($A443,Instagram_Usage_Lifestyle_Mini_!$A:$A,Instagram_Usage_Lifestyle_Mini_!$AC:$BF)</f>
        <v>269</v>
      </c>
      <c r="C443">
        <v>10</v>
      </c>
      <c r="D443">
        <v>12</v>
      </c>
      <c r="E443">
        <v>278</v>
      </c>
      <c r="F443">
        <v>110</v>
      </c>
      <c r="G443">
        <v>183</v>
      </c>
      <c r="H443">
        <v>49</v>
      </c>
      <c r="I443">
        <v>23</v>
      </c>
      <c r="J443">
        <v>42</v>
      </c>
      <c r="K443">
        <v>22</v>
      </c>
      <c r="L443">
        <v>5</v>
      </c>
      <c r="M443">
        <v>126</v>
      </c>
      <c r="N443">
        <v>67</v>
      </c>
      <c r="O443">
        <v>59</v>
      </c>
      <c r="P443">
        <v>83</v>
      </c>
      <c r="Q443">
        <v>3705</v>
      </c>
      <c r="R443">
        <v>6860</v>
      </c>
      <c r="S443" t="str">
        <v>No</v>
      </c>
      <c r="T443">
        <v>0.55000000000000004</v>
      </c>
      <c r="U443">
        <v>2021</v>
      </c>
      <c r="V443">
        <v>45861</v>
      </c>
      <c r="W443">
        <v>26.9</v>
      </c>
      <c r="X443" t="str">
        <v>Videos</v>
      </c>
      <c r="Y443" t="str">
        <v>Food</v>
      </c>
      <c r="Z443" t="str">
        <v>Public</v>
      </c>
      <c r="AA443" t="str">
        <v>No</v>
      </c>
      <c r="AB443" t="str">
        <v>No</v>
      </c>
      <c r="AC443">
        <v>1</v>
      </c>
      <c r="AD443" t="str">
        <v>Free</v>
      </c>
      <c r="AE443">
        <v>1.17</v>
      </c>
      <c r="AF443" s="14">
        <f t="shared" si="6"/>
        <v>0.54008746355685133</v>
      </c>
    </row>
    <row r="444" spans="1:32" x14ac:dyDescent="0.2">
      <c r="A444">
        <v>443</v>
      </c>
      <c r="B444" cm="1">
        <f t="array" ref="B444:AE444">_xlfn.XLOOKUP($A444,Instagram_Usage_Lifestyle_Mini_!$A:$A,Instagram_Usage_Lifestyle_Mini_!$AC:$BF)</f>
        <v>180</v>
      </c>
      <c r="C444">
        <v>6</v>
      </c>
      <c r="D444">
        <v>8</v>
      </c>
      <c r="E444">
        <v>240</v>
      </c>
      <c r="F444">
        <v>102</v>
      </c>
      <c r="G444">
        <v>125</v>
      </c>
      <c r="H444">
        <v>29</v>
      </c>
      <c r="I444">
        <v>23</v>
      </c>
      <c r="J444">
        <v>27</v>
      </c>
      <c r="K444">
        <v>26</v>
      </c>
      <c r="L444">
        <v>9</v>
      </c>
      <c r="M444">
        <v>101</v>
      </c>
      <c r="N444">
        <v>39</v>
      </c>
      <c r="O444">
        <v>36</v>
      </c>
      <c r="P444">
        <v>55</v>
      </c>
      <c r="Q444">
        <v>556</v>
      </c>
      <c r="R444">
        <v>632</v>
      </c>
      <c r="S444" t="str">
        <v>No</v>
      </c>
      <c r="T444">
        <v>0.71</v>
      </c>
      <c r="U444">
        <v>2014</v>
      </c>
      <c r="V444">
        <v>45699</v>
      </c>
      <c r="W444">
        <v>30</v>
      </c>
      <c r="X444" t="str">
        <v>Photos</v>
      </c>
      <c r="Y444" t="str">
        <v>Travel</v>
      </c>
      <c r="Z444" t="str">
        <v>Private</v>
      </c>
      <c r="AA444" t="str">
        <v>No</v>
      </c>
      <c r="AB444" t="str">
        <v>Yes</v>
      </c>
      <c r="AC444">
        <v>0</v>
      </c>
      <c r="AD444" t="str">
        <v>Business</v>
      </c>
      <c r="AE444">
        <v>1.1399999999999999</v>
      </c>
      <c r="AF444" s="14">
        <f t="shared" si="6"/>
        <v>0.879746835443038</v>
      </c>
    </row>
    <row r="445" spans="1:32" x14ac:dyDescent="0.2">
      <c r="A445">
        <v>444</v>
      </c>
      <c r="B445" cm="1">
        <f t="array" ref="B445:AE445">_xlfn.XLOOKUP($A445,Instagram_Usage_Lifestyle_Mini_!$A:$A,Instagram_Usage_Lifestyle_Mini_!$AC:$BF)</f>
        <v>260</v>
      </c>
      <c r="C445">
        <v>8</v>
      </c>
      <c r="D445">
        <v>6</v>
      </c>
      <c r="E445">
        <v>174</v>
      </c>
      <c r="F445">
        <v>140</v>
      </c>
      <c r="G445">
        <v>182</v>
      </c>
      <c r="H445">
        <v>44</v>
      </c>
      <c r="I445">
        <v>41</v>
      </c>
      <c r="J445">
        <v>45</v>
      </c>
      <c r="K445">
        <v>29</v>
      </c>
      <c r="L445">
        <v>5</v>
      </c>
      <c r="M445">
        <v>137</v>
      </c>
      <c r="N445">
        <v>73</v>
      </c>
      <c r="O445">
        <v>47</v>
      </c>
      <c r="P445">
        <v>101</v>
      </c>
      <c r="Q445">
        <v>180</v>
      </c>
      <c r="R445">
        <v>250</v>
      </c>
      <c r="S445" t="str">
        <v>Yes</v>
      </c>
      <c r="T445">
        <v>0.36</v>
      </c>
      <c r="U445">
        <v>2015</v>
      </c>
      <c r="V445">
        <v>45871</v>
      </c>
      <c r="W445">
        <v>32.5</v>
      </c>
      <c r="X445" t="str">
        <v>Live</v>
      </c>
      <c r="Y445" t="str">
        <v>Travel</v>
      </c>
      <c r="Z445" t="str">
        <v>Public</v>
      </c>
      <c r="AA445" t="str">
        <v>No</v>
      </c>
      <c r="AB445" t="str">
        <v>No</v>
      </c>
      <c r="AC445">
        <v>5</v>
      </c>
      <c r="AD445" t="str">
        <v>Free</v>
      </c>
      <c r="AE445">
        <v>1.1000000000000001</v>
      </c>
      <c r="AF445" s="14">
        <f t="shared" si="6"/>
        <v>0.72</v>
      </c>
    </row>
    <row r="446" spans="1:32" x14ac:dyDescent="0.2">
      <c r="A446">
        <v>445</v>
      </c>
      <c r="B446" cm="1">
        <f t="array" ref="B446:AE446">_xlfn.XLOOKUP($A446,Instagram_Usage_Lifestyle_Mini_!$A:$A,Instagram_Usage_Lifestyle_Mini_!$AC:$BF)</f>
        <v>159</v>
      </c>
      <c r="C446">
        <v>5</v>
      </c>
      <c r="D446">
        <v>4</v>
      </c>
      <c r="E446">
        <v>204</v>
      </c>
      <c r="F446">
        <v>85</v>
      </c>
      <c r="G446">
        <v>109</v>
      </c>
      <c r="H446">
        <v>30</v>
      </c>
      <c r="I446">
        <v>31</v>
      </c>
      <c r="J446">
        <v>35</v>
      </c>
      <c r="K446">
        <v>18</v>
      </c>
      <c r="L446">
        <v>4</v>
      </c>
      <c r="M446">
        <v>78</v>
      </c>
      <c r="N446">
        <v>29</v>
      </c>
      <c r="O446">
        <v>34</v>
      </c>
      <c r="P446">
        <v>53</v>
      </c>
      <c r="Q446">
        <v>317</v>
      </c>
      <c r="R446">
        <v>639</v>
      </c>
      <c r="S446" t="str">
        <v>No</v>
      </c>
      <c r="T446">
        <v>0.01</v>
      </c>
      <c r="U446">
        <v>2023</v>
      </c>
      <c r="V446">
        <v>45680</v>
      </c>
      <c r="W446">
        <v>31.8</v>
      </c>
      <c r="X446" t="str">
        <v>Stories</v>
      </c>
      <c r="Y446" t="str">
        <v>Tech</v>
      </c>
      <c r="Z446" t="str">
        <v>Public</v>
      </c>
      <c r="AA446" t="str">
        <v>No</v>
      </c>
      <c r="AB446" t="str">
        <v>No</v>
      </c>
      <c r="AC446">
        <v>2</v>
      </c>
      <c r="AD446" t="str">
        <v>Free</v>
      </c>
      <c r="AE446">
        <v>1.1299999999999999</v>
      </c>
      <c r="AF446" s="14">
        <f t="shared" si="6"/>
        <v>0.49608763693270735</v>
      </c>
    </row>
    <row r="447" spans="1:32" x14ac:dyDescent="0.2">
      <c r="A447">
        <v>446</v>
      </c>
      <c r="B447" cm="1">
        <f t="array" ref="B447:AE447">_xlfn.XLOOKUP($A447,Instagram_Usage_Lifestyle_Mini_!$A:$A,Instagram_Usage_Lifestyle_Mini_!$AC:$BF)</f>
        <v>181</v>
      </c>
      <c r="C447">
        <v>8</v>
      </c>
      <c r="D447">
        <v>4</v>
      </c>
      <c r="E447">
        <v>229</v>
      </c>
      <c r="F447">
        <v>102</v>
      </c>
      <c r="G447">
        <v>133</v>
      </c>
      <c r="H447">
        <v>32</v>
      </c>
      <c r="I447">
        <v>37</v>
      </c>
      <c r="J447">
        <v>32</v>
      </c>
      <c r="K447">
        <v>28</v>
      </c>
      <c r="L447">
        <v>5</v>
      </c>
      <c r="M447">
        <v>107</v>
      </c>
      <c r="N447">
        <v>36</v>
      </c>
      <c r="O447">
        <v>33</v>
      </c>
      <c r="P447">
        <v>70</v>
      </c>
      <c r="Q447">
        <v>1400</v>
      </c>
      <c r="R447">
        <v>1619</v>
      </c>
      <c r="S447" t="str">
        <v>No</v>
      </c>
      <c r="T447">
        <v>0.62</v>
      </c>
      <c r="U447">
        <v>2011</v>
      </c>
      <c r="V447">
        <v>45721</v>
      </c>
      <c r="W447">
        <v>22.6</v>
      </c>
      <c r="X447" t="str">
        <v>Reels</v>
      </c>
      <c r="Y447" t="str">
        <v>Music</v>
      </c>
      <c r="Z447" t="str">
        <v>Public</v>
      </c>
      <c r="AA447" t="str">
        <v>Yes</v>
      </c>
      <c r="AB447" t="str">
        <v>No</v>
      </c>
      <c r="AC447">
        <v>4</v>
      </c>
      <c r="AD447" t="str">
        <v>Business</v>
      </c>
      <c r="AE447">
        <v>1.1499999999999999</v>
      </c>
      <c r="AF447" s="14">
        <f t="shared" si="6"/>
        <v>0.86473131562693017</v>
      </c>
    </row>
    <row r="448" spans="1:32" x14ac:dyDescent="0.2">
      <c r="A448">
        <v>447</v>
      </c>
      <c r="B448" cm="1">
        <f t="array" ref="B448:AE448">_xlfn.XLOOKUP($A448,Instagram_Usage_Lifestyle_Mini_!$A:$A,Instagram_Usage_Lifestyle_Mini_!$AC:$BF)</f>
        <v>85</v>
      </c>
      <c r="C448">
        <v>6</v>
      </c>
      <c r="D448">
        <v>6</v>
      </c>
      <c r="E448">
        <v>185</v>
      </c>
      <c r="F448">
        <v>68</v>
      </c>
      <c r="G448">
        <v>54</v>
      </c>
      <c r="H448">
        <v>23</v>
      </c>
      <c r="I448">
        <v>15</v>
      </c>
      <c r="J448">
        <v>21</v>
      </c>
      <c r="K448">
        <v>5</v>
      </c>
      <c r="L448">
        <v>3</v>
      </c>
      <c r="M448">
        <v>37</v>
      </c>
      <c r="N448">
        <v>10</v>
      </c>
      <c r="O448">
        <v>10</v>
      </c>
      <c r="P448">
        <v>26</v>
      </c>
      <c r="Q448">
        <v>5037</v>
      </c>
      <c r="R448">
        <v>4695</v>
      </c>
      <c r="S448" t="str">
        <v>No</v>
      </c>
      <c r="T448">
        <v>0.49</v>
      </c>
      <c r="U448">
        <v>2010</v>
      </c>
      <c r="V448">
        <v>45694</v>
      </c>
      <c r="W448">
        <v>14.2</v>
      </c>
      <c r="X448" t="str">
        <v>Photos</v>
      </c>
      <c r="Y448" t="str">
        <v>Travel</v>
      </c>
      <c r="Z448" t="str">
        <v>Public</v>
      </c>
      <c r="AA448" t="str">
        <v>No</v>
      </c>
      <c r="AB448" t="str">
        <v>Yes</v>
      </c>
      <c r="AC448">
        <v>2</v>
      </c>
      <c r="AD448" t="str">
        <v>Free</v>
      </c>
      <c r="AE448">
        <v>1.37</v>
      </c>
      <c r="AF448" s="14">
        <f t="shared" si="6"/>
        <v>1.0728434504792332</v>
      </c>
    </row>
    <row r="449" spans="1:32" x14ac:dyDescent="0.2">
      <c r="A449">
        <v>448</v>
      </c>
      <c r="B449" cm="1">
        <f t="array" ref="B449:AE449">_xlfn.XLOOKUP($A449,Instagram_Usage_Lifestyle_Mini_!$A:$A,Instagram_Usage_Lifestyle_Mini_!$AC:$BF)</f>
        <v>5</v>
      </c>
      <c r="C449">
        <v>1</v>
      </c>
      <c r="D449">
        <v>2</v>
      </c>
      <c r="E449">
        <v>61</v>
      </c>
      <c r="F449">
        <v>32</v>
      </c>
      <c r="G449">
        <v>26</v>
      </c>
      <c r="H449">
        <v>8</v>
      </c>
      <c r="I449">
        <v>11</v>
      </c>
      <c r="J449">
        <v>11</v>
      </c>
      <c r="K449">
        <v>6</v>
      </c>
      <c r="L449">
        <v>3</v>
      </c>
      <c r="M449">
        <v>3</v>
      </c>
      <c r="N449">
        <v>1</v>
      </c>
      <c r="O449">
        <v>1</v>
      </c>
      <c r="P449">
        <v>2</v>
      </c>
      <c r="Q449">
        <v>151</v>
      </c>
      <c r="R449">
        <v>362</v>
      </c>
      <c r="S449" t="str">
        <v>No</v>
      </c>
      <c r="T449">
        <v>0.54</v>
      </c>
      <c r="U449">
        <v>2018</v>
      </c>
      <c r="V449">
        <v>45738</v>
      </c>
      <c r="W449">
        <v>5</v>
      </c>
      <c r="X449" t="str">
        <v>Mixed</v>
      </c>
      <c r="Y449" t="str">
        <v>Food</v>
      </c>
      <c r="Z449" t="str">
        <v>Private</v>
      </c>
      <c r="AA449" t="str">
        <v>Yes</v>
      </c>
      <c r="AB449" t="str">
        <v>Yes</v>
      </c>
      <c r="AC449">
        <v>2</v>
      </c>
      <c r="AD449" t="str">
        <v>Free</v>
      </c>
      <c r="AE449">
        <v>8</v>
      </c>
      <c r="AF449" s="14">
        <f t="shared" si="6"/>
        <v>0.41712707182320441</v>
      </c>
    </row>
    <row r="450" spans="1:32" x14ac:dyDescent="0.2">
      <c r="A450">
        <v>449</v>
      </c>
      <c r="B450" cm="1">
        <f t="array" ref="B450:AE450">_xlfn.XLOOKUP($A450,Instagram_Usage_Lifestyle_Mini_!$A:$A,Instagram_Usage_Lifestyle_Mini_!$AC:$BF)</f>
        <v>193</v>
      </c>
      <c r="C450">
        <v>17</v>
      </c>
      <c r="D450">
        <v>2</v>
      </c>
      <c r="E450">
        <v>171</v>
      </c>
      <c r="F450">
        <v>108</v>
      </c>
      <c r="G450">
        <v>119</v>
      </c>
      <c r="H450">
        <v>37</v>
      </c>
      <c r="I450">
        <v>23</v>
      </c>
      <c r="J450">
        <v>28</v>
      </c>
      <c r="K450">
        <v>14</v>
      </c>
      <c r="L450">
        <v>3</v>
      </c>
      <c r="M450">
        <v>92</v>
      </c>
      <c r="N450">
        <v>24</v>
      </c>
      <c r="O450">
        <v>32</v>
      </c>
      <c r="P450">
        <v>67</v>
      </c>
      <c r="Q450">
        <v>204</v>
      </c>
      <c r="R450">
        <v>392</v>
      </c>
      <c r="S450" t="str">
        <v>Yes</v>
      </c>
      <c r="T450">
        <v>0.35</v>
      </c>
      <c r="U450">
        <v>2025</v>
      </c>
      <c r="V450">
        <v>45844</v>
      </c>
      <c r="W450">
        <v>11.4</v>
      </c>
      <c r="X450" t="str">
        <v>Videos</v>
      </c>
      <c r="Y450" t="str">
        <v>Travel</v>
      </c>
      <c r="Z450" t="str">
        <v>Public</v>
      </c>
      <c r="AA450" t="str">
        <v>Yes</v>
      </c>
      <c r="AB450" t="str">
        <v>No</v>
      </c>
      <c r="AC450">
        <v>4</v>
      </c>
      <c r="AD450" t="str">
        <v>Business</v>
      </c>
      <c r="AE450">
        <v>1.03</v>
      </c>
      <c r="AF450" s="14">
        <f t="shared" si="6"/>
        <v>0.52040816326530615</v>
      </c>
    </row>
    <row r="451" spans="1:32" x14ac:dyDescent="0.2">
      <c r="A451">
        <v>450</v>
      </c>
      <c r="B451" cm="1">
        <f t="array" ref="B451:AE451">_xlfn.XLOOKUP($A451,Instagram_Usage_Lifestyle_Mini_!$A:$A,Instagram_Usage_Lifestyle_Mini_!$AC:$BF)</f>
        <v>163</v>
      </c>
      <c r="C451">
        <v>16</v>
      </c>
      <c r="D451">
        <v>0</v>
      </c>
      <c r="E451">
        <v>219</v>
      </c>
      <c r="F451">
        <v>89</v>
      </c>
      <c r="G451">
        <v>107</v>
      </c>
      <c r="H451">
        <v>37</v>
      </c>
      <c r="I451">
        <v>21</v>
      </c>
      <c r="J451">
        <v>28</v>
      </c>
      <c r="K451">
        <v>17</v>
      </c>
      <c r="L451">
        <v>4</v>
      </c>
      <c r="M451">
        <v>96</v>
      </c>
      <c r="N451">
        <v>23</v>
      </c>
      <c r="O451">
        <v>31</v>
      </c>
      <c r="P451">
        <v>47</v>
      </c>
      <c r="Q451">
        <v>292</v>
      </c>
      <c r="R451">
        <v>531</v>
      </c>
      <c r="S451" t="str">
        <v>No</v>
      </c>
      <c r="T451">
        <v>0.1</v>
      </c>
      <c r="U451">
        <v>2011</v>
      </c>
      <c r="V451">
        <v>45735</v>
      </c>
      <c r="W451">
        <v>10.199999999999999</v>
      </c>
      <c r="X451" t="str">
        <v>Live</v>
      </c>
      <c r="Y451" t="str">
        <v>Fitness</v>
      </c>
      <c r="Z451" t="str">
        <v>Public</v>
      </c>
      <c r="AA451" t="str">
        <v>No</v>
      </c>
      <c r="AB451" t="str">
        <v>No</v>
      </c>
      <c r="AC451">
        <v>2</v>
      </c>
      <c r="AD451" t="str">
        <v>Free</v>
      </c>
      <c r="AE451">
        <v>1.1000000000000001</v>
      </c>
      <c r="AF451" s="14">
        <f t="shared" ref="AF451:AF514" si="7">IF(R451=0,0,Q451/R451)</f>
        <v>0.54990583804143123</v>
      </c>
    </row>
    <row r="452" spans="1:32" x14ac:dyDescent="0.2">
      <c r="A452">
        <v>451</v>
      </c>
      <c r="B452" cm="1">
        <f t="array" ref="B452:AE452">_xlfn.XLOOKUP($A452,Instagram_Usage_Lifestyle_Mini_!$A:$A,Instagram_Usage_Lifestyle_Mini_!$AC:$BF)</f>
        <v>118</v>
      </c>
      <c r="C452">
        <v>14</v>
      </c>
      <c r="D452">
        <v>9</v>
      </c>
      <c r="E452">
        <v>115</v>
      </c>
      <c r="F452">
        <v>82</v>
      </c>
      <c r="G452">
        <v>66</v>
      </c>
      <c r="H452">
        <v>19</v>
      </c>
      <c r="I452">
        <v>22</v>
      </c>
      <c r="J452">
        <v>20</v>
      </c>
      <c r="K452">
        <v>13</v>
      </c>
      <c r="L452">
        <v>4</v>
      </c>
      <c r="M452">
        <v>53</v>
      </c>
      <c r="N452">
        <v>33</v>
      </c>
      <c r="O452">
        <v>14</v>
      </c>
      <c r="P452">
        <v>32</v>
      </c>
      <c r="Q452">
        <v>2040</v>
      </c>
      <c r="R452">
        <v>4356</v>
      </c>
      <c r="S452" t="str">
        <v>No</v>
      </c>
      <c r="T452">
        <v>0.77</v>
      </c>
      <c r="U452">
        <v>2020</v>
      </c>
      <c r="V452">
        <v>45765</v>
      </c>
      <c r="W452">
        <v>8.4</v>
      </c>
      <c r="X452" t="str">
        <v>Live</v>
      </c>
      <c r="Y452" t="str">
        <v>Other</v>
      </c>
      <c r="Z452" t="str">
        <v>Public</v>
      </c>
      <c r="AA452" t="str">
        <v>Yes</v>
      </c>
      <c r="AB452" t="str">
        <v>Yes</v>
      </c>
      <c r="AC452">
        <v>2</v>
      </c>
      <c r="AD452" t="str">
        <v>Free</v>
      </c>
      <c r="AE452">
        <v>1.1000000000000001</v>
      </c>
      <c r="AF452" s="14">
        <f t="shared" si="7"/>
        <v>0.46831955922865015</v>
      </c>
    </row>
    <row r="453" spans="1:32" x14ac:dyDescent="0.2">
      <c r="A453">
        <v>452</v>
      </c>
      <c r="B453" cm="1">
        <f t="array" ref="B453:AE453">_xlfn.XLOOKUP($A453,Instagram_Usage_Lifestyle_Mini_!$A:$A,Instagram_Usage_Lifestyle_Mini_!$AC:$BF)</f>
        <v>89</v>
      </c>
      <c r="C453">
        <v>3</v>
      </c>
      <c r="D453">
        <v>0</v>
      </c>
      <c r="E453">
        <v>103</v>
      </c>
      <c r="F453">
        <v>52</v>
      </c>
      <c r="G453">
        <v>81</v>
      </c>
      <c r="H453">
        <v>20</v>
      </c>
      <c r="I453">
        <v>19</v>
      </c>
      <c r="J453">
        <v>18</v>
      </c>
      <c r="K453">
        <v>13</v>
      </c>
      <c r="L453">
        <v>3</v>
      </c>
      <c r="M453">
        <v>53</v>
      </c>
      <c r="N453">
        <v>15</v>
      </c>
      <c r="O453">
        <v>12</v>
      </c>
      <c r="P453">
        <v>36</v>
      </c>
      <c r="Q453">
        <v>155</v>
      </c>
      <c r="R453">
        <v>364</v>
      </c>
      <c r="S453" t="str">
        <v>No</v>
      </c>
      <c r="T453">
        <v>0.63</v>
      </c>
      <c r="U453">
        <v>2010</v>
      </c>
      <c r="V453">
        <v>45755</v>
      </c>
      <c r="W453">
        <v>29.7</v>
      </c>
      <c r="X453" t="str">
        <v>Reels</v>
      </c>
      <c r="Y453" t="str">
        <v>Art</v>
      </c>
      <c r="Z453" t="str">
        <v>Private</v>
      </c>
      <c r="AA453" t="str">
        <v>No</v>
      </c>
      <c r="AB453" t="str">
        <v>No</v>
      </c>
      <c r="AC453">
        <v>2</v>
      </c>
      <c r="AD453" t="str">
        <v>Free</v>
      </c>
      <c r="AE453">
        <v>1.34</v>
      </c>
      <c r="AF453" s="14">
        <f t="shared" si="7"/>
        <v>0.42582417582417581</v>
      </c>
    </row>
    <row r="454" spans="1:32" x14ac:dyDescent="0.2">
      <c r="A454">
        <v>453</v>
      </c>
      <c r="B454" cm="1">
        <f t="array" ref="B454:AE454">_xlfn.XLOOKUP($A454,Instagram_Usage_Lifestyle_Mini_!$A:$A,Instagram_Usage_Lifestyle_Mini_!$AC:$BF)</f>
        <v>357</v>
      </c>
      <c r="C454">
        <v>15</v>
      </c>
      <c r="D454">
        <v>11</v>
      </c>
      <c r="E454">
        <v>300</v>
      </c>
      <c r="F454">
        <v>150</v>
      </c>
      <c r="G454">
        <v>242</v>
      </c>
      <c r="H454">
        <v>72</v>
      </c>
      <c r="I454">
        <v>57</v>
      </c>
      <c r="J454">
        <v>44</v>
      </c>
      <c r="K454">
        <v>31</v>
      </c>
      <c r="L454">
        <v>12</v>
      </c>
      <c r="M454">
        <v>198</v>
      </c>
      <c r="N454">
        <v>88</v>
      </c>
      <c r="O454">
        <v>78</v>
      </c>
      <c r="P454">
        <v>116</v>
      </c>
      <c r="Q454">
        <v>1040</v>
      </c>
      <c r="R454">
        <v>2126</v>
      </c>
      <c r="S454" t="str">
        <v>No</v>
      </c>
      <c r="T454">
        <v>0.04</v>
      </c>
      <c r="U454">
        <v>2017</v>
      </c>
      <c r="V454">
        <v>45782</v>
      </c>
      <c r="W454">
        <v>23.8</v>
      </c>
      <c r="X454" t="str">
        <v>Photos</v>
      </c>
      <c r="Y454" t="str">
        <v>Other</v>
      </c>
      <c r="Z454" t="str">
        <v>Friends_only</v>
      </c>
      <c r="AA454" t="str">
        <v>No</v>
      </c>
      <c r="AB454" t="str">
        <v>Yes</v>
      </c>
      <c r="AC454">
        <v>3</v>
      </c>
      <c r="AD454" t="str">
        <v>Free</v>
      </c>
      <c r="AE454">
        <v>1.17</v>
      </c>
      <c r="AF454" s="14">
        <f t="shared" si="7"/>
        <v>0.48918156161806209</v>
      </c>
    </row>
    <row r="455" spans="1:32" x14ac:dyDescent="0.2">
      <c r="A455">
        <v>454</v>
      </c>
      <c r="B455" cm="1">
        <f t="array" ref="B455:AE455">_xlfn.XLOOKUP($A455,Instagram_Usage_Lifestyle_Mini_!$A:$A,Instagram_Usage_Lifestyle_Mini_!$AC:$BF)</f>
        <v>256</v>
      </c>
      <c r="C455">
        <v>8</v>
      </c>
      <c r="D455">
        <v>10</v>
      </c>
      <c r="E455">
        <v>176</v>
      </c>
      <c r="F455">
        <v>122</v>
      </c>
      <c r="G455">
        <v>156</v>
      </c>
      <c r="H455">
        <v>32</v>
      </c>
      <c r="I455">
        <v>26</v>
      </c>
      <c r="J455">
        <v>34</v>
      </c>
      <c r="K455">
        <v>24</v>
      </c>
      <c r="L455">
        <v>9</v>
      </c>
      <c r="M455">
        <v>123</v>
      </c>
      <c r="N455">
        <v>58</v>
      </c>
      <c r="O455">
        <v>38</v>
      </c>
      <c r="P455">
        <v>61</v>
      </c>
      <c r="Q455">
        <v>458</v>
      </c>
      <c r="R455">
        <v>801</v>
      </c>
      <c r="S455" t="str">
        <v>No</v>
      </c>
      <c r="T455">
        <v>0.37</v>
      </c>
      <c r="U455">
        <v>2019</v>
      </c>
      <c r="V455">
        <v>45963</v>
      </c>
      <c r="W455">
        <v>32</v>
      </c>
      <c r="X455" t="str">
        <v>Videos</v>
      </c>
      <c r="Y455" t="str">
        <v>Art</v>
      </c>
      <c r="Z455" t="str">
        <v>Private</v>
      </c>
      <c r="AA455" t="str">
        <v>Yes</v>
      </c>
      <c r="AB455" t="str">
        <v>Yes</v>
      </c>
      <c r="AC455">
        <v>3</v>
      </c>
      <c r="AD455" t="str">
        <v>Free</v>
      </c>
      <c r="AE455">
        <v>0.97</v>
      </c>
      <c r="AF455" s="14">
        <f t="shared" si="7"/>
        <v>0.57178526841448185</v>
      </c>
    </row>
    <row r="456" spans="1:32" x14ac:dyDescent="0.2">
      <c r="A456">
        <v>455</v>
      </c>
      <c r="B456" cm="1">
        <f t="array" ref="B456:AE456">_xlfn.XLOOKUP($A456,Instagram_Usage_Lifestyle_Mini_!$A:$A,Instagram_Usage_Lifestyle_Mini_!$AC:$BF)</f>
        <v>112</v>
      </c>
      <c r="C456">
        <v>4</v>
      </c>
      <c r="D456">
        <v>0</v>
      </c>
      <c r="E456">
        <v>96</v>
      </c>
      <c r="F456">
        <v>77</v>
      </c>
      <c r="G456">
        <v>87</v>
      </c>
      <c r="H456">
        <v>19</v>
      </c>
      <c r="I456">
        <v>22</v>
      </c>
      <c r="J456">
        <v>24</v>
      </c>
      <c r="K456">
        <v>13</v>
      </c>
      <c r="L456">
        <v>0</v>
      </c>
      <c r="M456">
        <v>47</v>
      </c>
      <c r="N456">
        <v>32</v>
      </c>
      <c r="O456">
        <v>20</v>
      </c>
      <c r="P456">
        <v>41</v>
      </c>
      <c r="Q456">
        <v>415</v>
      </c>
      <c r="R456">
        <v>485</v>
      </c>
      <c r="S456" t="str">
        <v>Yes</v>
      </c>
      <c r="T456">
        <v>0.5</v>
      </c>
      <c r="U456">
        <v>2016</v>
      </c>
      <c r="V456">
        <v>45855</v>
      </c>
      <c r="W456">
        <v>28</v>
      </c>
      <c r="X456" t="str">
        <v>Reels</v>
      </c>
      <c r="Y456" t="str">
        <v>Food</v>
      </c>
      <c r="Z456" t="str">
        <v>Private</v>
      </c>
      <c r="AA456" t="str">
        <v>Yes</v>
      </c>
      <c r="AB456" t="str">
        <v>Yes</v>
      </c>
      <c r="AC456">
        <v>3</v>
      </c>
      <c r="AD456" t="str">
        <v>Premium</v>
      </c>
      <c r="AE456">
        <v>1.1100000000000001</v>
      </c>
      <c r="AF456" s="14">
        <f t="shared" si="7"/>
        <v>0.85567010309278346</v>
      </c>
    </row>
    <row r="457" spans="1:32" x14ac:dyDescent="0.2">
      <c r="A457">
        <v>456</v>
      </c>
      <c r="B457" cm="1">
        <f t="array" ref="B457:AE457">_xlfn.XLOOKUP($A457,Instagram_Usage_Lifestyle_Mini_!$A:$A,Instagram_Usage_Lifestyle_Mini_!$AC:$BF)</f>
        <v>105</v>
      </c>
      <c r="C457">
        <v>3</v>
      </c>
      <c r="D457">
        <v>2</v>
      </c>
      <c r="E457">
        <v>109</v>
      </c>
      <c r="F457">
        <v>64</v>
      </c>
      <c r="G457">
        <v>71</v>
      </c>
      <c r="H457">
        <v>23</v>
      </c>
      <c r="I457">
        <v>18</v>
      </c>
      <c r="J457">
        <v>23</v>
      </c>
      <c r="K457">
        <v>15</v>
      </c>
      <c r="L457">
        <v>8</v>
      </c>
      <c r="M457">
        <v>47</v>
      </c>
      <c r="N457">
        <v>18</v>
      </c>
      <c r="O457">
        <v>11</v>
      </c>
      <c r="P457">
        <v>41</v>
      </c>
      <c r="Q457">
        <v>666</v>
      </c>
      <c r="R457">
        <v>1586</v>
      </c>
      <c r="S457" t="str">
        <v>Yes</v>
      </c>
      <c r="T457">
        <v>0.55000000000000004</v>
      </c>
      <c r="U457">
        <v>2012</v>
      </c>
      <c r="V457">
        <v>45873</v>
      </c>
      <c r="W457">
        <v>35</v>
      </c>
      <c r="X457" t="str">
        <v>Reels</v>
      </c>
      <c r="Y457" t="str">
        <v>Food</v>
      </c>
      <c r="Z457" t="str">
        <v>Private</v>
      </c>
      <c r="AA457" t="str">
        <v>No</v>
      </c>
      <c r="AB457" t="str">
        <v>No</v>
      </c>
      <c r="AC457">
        <v>3</v>
      </c>
      <c r="AD457" t="str">
        <v>Free</v>
      </c>
      <c r="AE457">
        <v>1.1599999999999999</v>
      </c>
      <c r="AF457" s="14">
        <f t="shared" si="7"/>
        <v>0.41992433795712486</v>
      </c>
    </row>
    <row r="458" spans="1:32" x14ac:dyDescent="0.2">
      <c r="A458">
        <v>457</v>
      </c>
      <c r="B458" cm="1">
        <f t="array" ref="B458:AE458">_xlfn.XLOOKUP($A458,Instagram_Usage_Lifestyle_Mini_!$A:$A,Instagram_Usage_Lifestyle_Mini_!$AC:$BF)</f>
        <v>31</v>
      </c>
      <c r="C458">
        <v>2</v>
      </c>
      <c r="D458">
        <v>2</v>
      </c>
      <c r="E458">
        <v>61</v>
      </c>
      <c r="F458">
        <v>41</v>
      </c>
      <c r="G458">
        <v>48</v>
      </c>
      <c r="H458">
        <v>11</v>
      </c>
      <c r="I458">
        <v>12</v>
      </c>
      <c r="J458">
        <v>7</v>
      </c>
      <c r="K458">
        <v>11</v>
      </c>
      <c r="L458">
        <v>2</v>
      </c>
      <c r="M458">
        <v>18</v>
      </c>
      <c r="N458">
        <v>4</v>
      </c>
      <c r="O458">
        <v>3</v>
      </c>
      <c r="P458">
        <v>9</v>
      </c>
      <c r="Q458">
        <v>2854</v>
      </c>
      <c r="R458">
        <v>2759</v>
      </c>
      <c r="S458" t="str">
        <v>No</v>
      </c>
      <c r="T458">
        <v>0.66</v>
      </c>
      <c r="U458">
        <v>2017</v>
      </c>
      <c r="V458">
        <v>45782</v>
      </c>
      <c r="W458">
        <v>15.5</v>
      </c>
      <c r="X458" t="str">
        <v>Videos</v>
      </c>
      <c r="Y458" t="str">
        <v>Fashion</v>
      </c>
      <c r="Z458" t="str">
        <v>Public</v>
      </c>
      <c r="AA458" t="str">
        <v>Yes</v>
      </c>
      <c r="AB458" t="str">
        <v>Yes</v>
      </c>
      <c r="AC458">
        <v>3</v>
      </c>
      <c r="AD458" t="str">
        <v>Free</v>
      </c>
      <c r="AE458">
        <v>2.38</v>
      </c>
      <c r="AF458" s="14">
        <f t="shared" si="7"/>
        <v>1.0344327654947445</v>
      </c>
    </row>
    <row r="459" spans="1:32" x14ac:dyDescent="0.2">
      <c r="A459">
        <v>458</v>
      </c>
      <c r="B459" cm="1">
        <f t="array" ref="B459:AE459">_xlfn.XLOOKUP($A459,Instagram_Usage_Lifestyle_Mini_!$A:$A,Instagram_Usage_Lifestyle_Mini_!$AC:$BF)</f>
        <v>151</v>
      </c>
      <c r="C459">
        <v>11</v>
      </c>
      <c r="D459">
        <v>1</v>
      </c>
      <c r="E459">
        <v>118</v>
      </c>
      <c r="F459">
        <v>75</v>
      </c>
      <c r="G459">
        <v>87</v>
      </c>
      <c r="H459">
        <v>30</v>
      </c>
      <c r="I459">
        <v>34</v>
      </c>
      <c r="J459">
        <v>24</v>
      </c>
      <c r="K459">
        <v>13</v>
      </c>
      <c r="L459">
        <v>9</v>
      </c>
      <c r="M459">
        <v>87</v>
      </c>
      <c r="N459">
        <v>28</v>
      </c>
      <c r="O459">
        <v>34</v>
      </c>
      <c r="P459">
        <v>57</v>
      </c>
      <c r="Q459">
        <v>532</v>
      </c>
      <c r="R459">
        <v>974</v>
      </c>
      <c r="S459" t="str">
        <v>No</v>
      </c>
      <c r="T459">
        <v>0.78</v>
      </c>
      <c r="U459">
        <v>2018</v>
      </c>
      <c r="V459">
        <v>45681</v>
      </c>
      <c r="W459">
        <v>13.7</v>
      </c>
      <c r="X459" t="str">
        <v>Stories</v>
      </c>
      <c r="Y459" t="str">
        <v>Music</v>
      </c>
      <c r="Z459" t="str">
        <v>Friends_only</v>
      </c>
      <c r="AA459" t="str">
        <v>No</v>
      </c>
      <c r="AB459" t="str">
        <v>No</v>
      </c>
      <c r="AC459">
        <v>1</v>
      </c>
      <c r="AD459" t="str">
        <v>Free</v>
      </c>
      <c r="AE459">
        <v>0.99</v>
      </c>
      <c r="AF459" s="14">
        <f t="shared" si="7"/>
        <v>0.5462012320328542</v>
      </c>
    </row>
    <row r="460" spans="1:32" x14ac:dyDescent="0.2">
      <c r="A460">
        <v>459</v>
      </c>
      <c r="B460" cm="1">
        <f t="array" ref="B460:AE460">_xlfn.XLOOKUP($A460,Instagram_Usage_Lifestyle_Mini_!$A:$A,Instagram_Usage_Lifestyle_Mini_!$AC:$BF)</f>
        <v>311</v>
      </c>
      <c r="C460">
        <v>10</v>
      </c>
      <c r="D460">
        <v>6</v>
      </c>
      <c r="E460">
        <v>221</v>
      </c>
      <c r="F460">
        <v>150</v>
      </c>
      <c r="G460">
        <v>167</v>
      </c>
      <c r="H460">
        <v>58</v>
      </c>
      <c r="I460">
        <v>43</v>
      </c>
      <c r="J460">
        <v>42</v>
      </c>
      <c r="K460">
        <v>33</v>
      </c>
      <c r="L460">
        <v>6</v>
      </c>
      <c r="M460">
        <v>148</v>
      </c>
      <c r="N460">
        <v>51</v>
      </c>
      <c r="O460">
        <v>60</v>
      </c>
      <c r="P460">
        <v>78</v>
      </c>
      <c r="Q460">
        <v>1471</v>
      </c>
      <c r="R460">
        <v>971</v>
      </c>
      <c r="S460" t="str">
        <v>No</v>
      </c>
      <c r="T460">
        <v>0.48</v>
      </c>
      <c r="U460">
        <v>2015</v>
      </c>
      <c r="V460">
        <v>45831</v>
      </c>
      <c r="W460">
        <v>31.1</v>
      </c>
      <c r="X460" t="str">
        <v>Reels</v>
      </c>
      <c r="Y460" t="str">
        <v>Other</v>
      </c>
      <c r="Z460" t="str">
        <v>Private</v>
      </c>
      <c r="AA460" t="str">
        <v>No</v>
      </c>
      <c r="AB460" t="str">
        <v>No</v>
      </c>
      <c r="AC460">
        <v>2</v>
      </c>
      <c r="AD460" t="str">
        <v>Free</v>
      </c>
      <c r="AE460">
        <v>0.96</v>
      </c>
      <c r="AF460" s="14">
        <f t="shared" si="7"/>
        <v>1.5149330587023686</v>
      </c>
    </row>
    <row r="461" spans="1:32" x14ac:dyDescent="0.2">
      <c r="A461">
        <v>460</v>
      </c>
      <c r="B461" cm="1">
        <f t="array" ref="B461:AE461">_xlfn.XLOOKUP($A461,Instagram_Usage_Lifestyle_Mini_!$A:$A,Instagram_Usage_Lifestyle_Mini_!$AC:$BF)</f>
        <v>110</v>
      </c>
      <c r="C461">
        <v>10</v>
      </c>
      <c r="D461">
        <v>1</v>
      </c>
      <c r="E461">
        <v>117</v>
      </c>
      <c r="F461">
        <v>70</v>
      </c>
      <c r="G461">
        <v>75</v>
      </c>
      <c r="H461">
        <v>23</v>
      </c>
      <c r="I461">
        <v>18</v>
      </c>
      <c r="J461">
        <v>20</v>
      </c>
      <c r="K461">
        <v>13</v>
      </c>
      <c r="L461">
        <v>2</v>
      </c>
      <c r="M461">
        <v>57</v>
      </c>
      <c r="N461">
        <v>25</v>
      </c>
      <c r="O461">
        <v>11</v>
      </c>
      <c r="P461">
        <v>28</v>
      </c>
      <c r="Q461">
        <v>11353</v>
      </c>
      <c r="R461">
        <v>9757</v>
      </c>
      <c r="S461" t="str">
        <v>No</v>
      </c>
      <c r="T461">
        <v>0.38</v>
      </c>
      <c r="U461">
        <v>2021</v>
      </c>
      <c r="V461">
        <v>45940</v>
      </c>
      <c r="W461">
        <v>11</v>
      </c>
      <c r="X461" t="str">
        <v>Live</v>
      </c>
      <c r="Y461" t="str">
        <v>Other</v>
      </c>
      <c r="Z461" t="str">
        <v>Public</v>
      </c>
      <c r="AA461" t="str">
        <v>Yes</v>
      </c>
      <c r="AB461" t="str">
        <v>No</v>
      </c>
      <c r="AC461">
        <v>4</v>
      </c>
      <c r="AD461" t="str">
        <v>Free</v>
      </c>
      <c r="AE461">
        <v>1.1200000000000001</v>
      </c>
      <c r="AF461" s="14">
        <f t="shared" si="7"/>
        <v>1.1635748693245875</v>
      </c>
    </row>
    <row r="462" spans="1:32" x14ac:dyDescent="0.2">
      <c r="A462">
        <v>461</v>
      </c>
      <c r="B462" cm="1">
        <f t="array" ref="B462:AE462">_xlfn.XLOOKUP($A462,Instagram_Usage_Lifestyle_Mini_!$A:$A,Instagram_Usage_Lifestyle_Mini_!$AC:$BF)</f>
        <v>135</v>
      </c>
      <c r="C462">
        <v>4</v>
      </c>
      <c r="D462">
        <v>5</v>
      </c>
      <c r="E462">
        <v>121</v>
      </c>
      <c r="F462">
        <v>95</v>
      </c>
      <c r="G462">
        <v>93</v>
      </c>
      <c r="H462">
        <v>32</v>
      </c>
      <c r="I462">
        <v>24</v>
      </c>
      <c r="J462">
        <v>16</v>
      </c>
      <c r="K462">
        <v>13</v>
      </c>
      <c r="L462">
        <v>3</v>
      </c>
      <c r="M462">
        <v>65</v>
      </c>
      <c r="N462">
        <v>22</v>
      </c>
      <c r="O462">
        <v>17</v>
      </c>
      <c r="P462">
        <v>29</v>
      </c>
      <c r="Q462">
        <v>207</v>
      </c>
      <c r="R462">
        <v>432</v>
      </c>
      <c r="S462" t="str">
        <v>No</v>
      </c>
      <c r="T462">
        <v>0.2</v>
      </c>
      <c r="U462">
        <v>2010</v>
      </c>
      <c r="V462">
        <v>45774</v>
      </c>
      <c r="W462">
        <v>33.799999999999997</v>
      </c>
      <c r="X462" t="str">
        <v>Live</v>
      </c>
      <c r="Y462" t="str">
        <v>Fitness</v>
      </c>
      <c r="Z462" t="str">
        <v>Public</v>
      </c>
      <c r="AA462" t="str">
        <v>Yes</v>
      </c>
      <c r="AB462" t="str">
        <v>No</v>
      </c>
      <c r="AC462">
        <v>3</v>
      </c>
      <c r="AD462" t="str">
        <v>Free</v>
      </c>
      <c r="AE462">
        <v>1.26</v>
      </c>
      <c r="AF462" s="14">
        <f t="shared" si="7"/>
        <v>0.47916666666666669</v>
      </c>
    </row>
    <row r="463" spans="1:32" x14ac:dyDescent="0.2">
      <c r="A463">
        <v>462</v>
      </c>
      <c r="B463" cm="1">
        <f t="array" ref="B463:AE463">_xlfn.XLOOKUP($A463,Instagram_Usage_Lifestyle_Mini_!$A:$A,Instagram_Usage_Lifestyle_Mini_!$AC:$BF)</f>
        <v>241</v>
      </c>
      <c r="C463">
        <v>7</v>
      </c>
      <c r="D463">
        <v>9</v>
      </c>
      <c r="E463">
        <v>203</v>
      </c>
      <c r="F463">
        <v>130</v>
      </c>
      <c r="G463">
        <v>161</v>
      </c>
      <c r="H463">
        <v>44</v>
      </c>
      <c r="I463">
        <v>32</v>
      </c>
      <c r="J463">
        <v>41</v>
      </c>
      <c r="K463">
        <v>24</v>
      </c>
      <c r="L463">
        <v>4</v>
      </c>
      <c r="M463">
        <v>138</v>
      </c>
      <c r="N463">
        <v>62</v>
      </c>
      <c r="O463">
        <v>57</v>
      </c>
      <c r="P463">
        <v>86</v>
      </c>
      <c r="Q463">
        <v>1833</v>
      </c>
      <c r="R463">
        <v>1792</v>
      </c>
      <c r="S463" t="str">
        <v>No</v>
      </c>
      <c r="T463">
        <v>0.63</v>
      </c>
      <c r="U463">
        <v>2013</v>
      </c>
      <c r="V463">
        <v>45884</v>
      </c>
      <c r="W463">
        <v>34.4</v>
      </c>
      <c r="X463" t="str">
        <v>Reels</v>
      </c>
      <c r="Y463" t="str">
        <v>Music</v>
      </c>
      <c r="Z463" t="str">
        <v>Private</v>
      </c>
      <c r="AA463" t="str">
        <v>Yes</v>
      </c>
      <c r="AB463" t="str">
        <v>No</v>
      </c>
      <c r="AC463">
        <v>1</v>
      </c>
      <c r="AD463" t="str">
        <v>Free</v>
      </c>
      <c r="AE463">
        <v>1.1399999999999999</v>
      </c>
      <c r="AF463" s="14">
        <f t="shared" si="7"/>
        <v>1.0228794642857142</v>
      </c>
    </row>
    <row r="464" spans="1:32" x14ac:dyDescent="0.2">
      <c r="A464">
        <v>463</v>
      </c>
      <c r="B464" cm="1">
        <f t="array" ref="B464:AE464">_xlfn.XLOOKUP($A464,Instagram_Usage_Lifestyle_Mini_!$A:$A,Instagram_Usage_Lifestyle_Mini_!$AC:$BF)</f>
        <v>301</v>
      </c>
      <c r="C464">
        <v>10</v>
      </c>
      <c r="D464">
        <v>4</v>
      </c>
      <c r="E464">
        <v>223</v>
      </c>
      <c r="F464">
        <v>150</v>
      </c>
      <c r="G464">
        <v>169</v>
      </c>
      <c r="H464">
        <v>44</v>
      </c>
      <c r="I464">
        <v>48</v>
      </c>
      <c r="J464">
        <v>45</v>
      </c>
      <c r="K464">
        <v>31</v>
      </c>
      <c r="L464">
        <v>5</v>
      </c>
      <c r="M464">
        <v>124</v>
      </c>
      <c r="N464">
        <v>61</v>
      </c>
      <c r="O464">
        <v>59</v>
      </c>
      <c r="P464">
        <v>61</v>
      </c>
      <c r="Q464">
        <v>154</v>
      </c>
      <c r="R464">
        <v>200</v>
      </c>
      <c r="S464" t="str">
        <v>No</v>
      </c>
      <c r="T464">
        <v>0.2</v>
      </c>
      <c r="U464">
        <v>2024</v>
      </c>
      <c r="V464">
        <v>45916</v>
      </c>
      <c r="W464">
        <v>30.1</v>
      </c>
      <c r="X464" t="str">
        <v>Videos</v>
      </c>
      <c r="Y464" t="str">
        <v>Tech</v>
      </c>
      <c r="Z464" t="str">
        <v>Public</v>
      </c>
      <c r="AA464" t="str">
        <v>No</v>
      </c>
      <c r="AB464" t="str">
        <v>Yes</v>
      </c>
      <c r="AC464">
        <v>1</v>
      </c>
      <c r="AD464" t="str">
        <v>Business</v>
      </c>
      <c r="AE464">
        <v>0.89</v>
      </c>
      <c r="AF464" s="14">
        <f t="shared" si="7"/>
        <v>0.77</v>
      </c>
    </row>
    <row r="465" spans="1:32" x14ac:dyDescent="0.2">
      <c r="A465">
        <v>464</v>
      </c>
      <c r="B465" cm="1">
        <f t="array" ref="B465:AE465">_xlfn.XLOOKUP($A465,Instagram_Usage_Lifestyle_Mini_!$A:$A,Instagram_Usage_Lifestyle_Mini_!$AC:$BF)</f>
        <v>37</v>
      </c>
      <c r="C465">
        <v>1</v>
      </c>
      <c r="D465">
        <v>13</v>
      </c>
      <c r="E465">
        <v>146</v>
      </c>
      <c r="F465">
        <v>51</v>
      </c>
      <c r="G465">
        <v>38</v>
      </c>
      <c r="H465">
        <v>16</v>
      </c>
      <c r="I465">
        <v>11</v>
      </c>
      <c r="J465">
        <v>12</v>
      </c>
      <c r="K465">
        <v>11</v>
      </c>
      <c r="L465">
        <v>0</v>
      </c>
      <c r="M465">
        <v>18</v>
      </c>
      <c r="N465">
        <v>11</v>
      </c>
      <c r="O465">
        <v>6</v>
      </c>
      <c r="P465">
        <v>9</v>
      </c>
      <c r="Q465">
        <v>476</v>
      </c>
      <c r="R465">
        <v>226</v>
      </c>
      <c r="S465" t="str">
        <v>No</v>
      </c>
      <c r="T465">
        <v>0.54</v>
      </c>
      <c r="U465">
        <v>2012</v>
      </c>
      <c r="V465">
        <v>45780</v>
      </c>
      <c r="W465">
        <v>37</v>
      </c>
      <c r="X465" t="str">
        <v>Mixed</v>
      </c>
      <c r="Y465" t="str">
        <v>Food</v>
      </c>
      <c r="Z465" t="str">
        <v>Private</v>
      </c>
      <c r="AA465" t="str">
        <v>No</v>
      </c>
      <c r="AB465" t="str">
        <v>No</v>
      </c>
      <c r="AC465">
        <v>2</v>
      </c>
      <c r="AD465" t="str">
        <v>Free</v>
      </c>
      <c r="AE465">
        <v>2.87</v>
      </c>
      <c r="AF465" s="14">
        <f t="shared" si="7"/>
        <v>2.1061946902654869</v>
      </c>
    </row>
    <row r="466" spans="1:32" x14ac:dyDescent="0.2">
      <c r="A466">
        <v>465</v>
      </c>
      <c r="B466" cm="1">
        <f t="array" ref="B466:AE466">_xlfn.XLOOKUP($A466,Instagram_Usage_Lifestyle_Mini_!$A:$A,Instagram_Usage_Lifestyle_Mini_!$AC:$BF)</f>
        <v>93</v>
      </c>
      <c r="C466">
        <v>3</v>
      </c>
      <c r="D466">
        <v>4</v>
      </c>
      <c r="E466">
        <v>158</v>
      </c>
      <c r="F466">
        <v>61</v>
      </c>
      <c r="G466">
        <v>91</v>
      </c>
      <c r="H466">
        <v>25</v>
      </c>
      <c r="I466">
        <v>17</v>
      </c>
      <c r="J466">
        <v>17</v>
      </c>
      <c r="K466">
        <v>22</v>
      </c>
      <c r="L466">
        <v>5</v>
      </c>
      <c r="M466">
        <v>55</v>
      </c>
      <c r="N466">
        <v>14</v>
      </c>
      <c r="O466">
        <v>18</v>
      </c>
      <c r="P466">
        <v>22</v>
      </c>
      <c r="Q466">
        <v>394</v>
      </c>
      <c r="R466">
        <v>870</v>
      </c>
      <c r="S466" t="str">
        <v>Yes</v>
      </c>
      <c r="T466">
        <v>0.08</v>
      </c>
      <c r="U466">
        <v>2024</v>
      </c>
      <c r="V466">
        <v>45840</v>
      </c>
      <c r="W466">
        <v>31</v>
      </c>
      <c r="X466" t="str">
        <v>Videos</v>
      </c>
      <c r="Y466" t="str">
        <v>Fashion</v>
      </c>
      <c r="Z466" t="str">
        <v>Private</v>
      </c>
      <c r="AA466" t="str">
        <v>No</v>
      </c>
      <c r="AB466" t="str">
        <v>No</v>
      </c>
      <c r="AC466">
        <v>1</v>
      </c>
      <c r="AD466" t="str">
        <v>Free</v>
      </c>
      <c r="AE466">
        <v>1.63</v>
      </c>
      <c r="AF466" s="14">
        <f t="shared" si="7"/>
        <v>0.45287356321839078</v>
      </c>
    </row>
    <row r="467" spans="1:32" x14ac:dyDescent="0.2">
      <c r="A467">
        <v>466</v>
      </c>
      <c r="B467" cm="1">
        <f t="array" ref="B467:AE467">_xlfn.XLOOKUP($A467,Instagram_Usage_Lifestyle_Mini_!$A:$A,Instagram_Usage_Lifestyle_Mini_!$AC:$BF)</f>
        <v>210</v>
      </c>
      <c r="C467">
        <v>15</v>
      </c>
      <c r="D467">
        <v>9</v>
      </c>
      <c r="E467">
        <v>154</v>
      </c>
      <c r="F467">
        <v>115</v>
      </c>
      <c r="G467">
        <v>149</v>
      </c>
      <c r="H467">
        <v>49</v>
      </c>
      <c r="I467">
        <v>26</v>
      </c>
      <c r="J467">
        <v>26</v>
      </c>
      <c r="K467">
        <v>17</v>
      </c>
      <c r="L467">
        <v>8</v>
      </c>
      <c r="M467">
        <v>116</v>
      </c>
      <c r="N467">
        <v>51</v>
      </c>
      <c r="O467">
        <v>39</v>
      </c>
      <c r="P467">
        <v>52</v>
      </c>
      <c r="Q467">
        <v>600</v>
      </c>
      <c r="R467">
        <v>440</v>
      </c>
      <c r="S467" t="str">
        <v>No</v>
      </c>
      <c r="T467">
        <v>0.66</v>
      </c>
      <c r="U467">
        <v>2025</v>
      </c>
      <c r="V467">
        <v>45826</v>
      </c>
      <c r="W467">
        <v>14</v>
      </c>
      <c r="X467" t="str">
        <v>Reels</v>
      </c>
      <c r="Y467" t="str">
        <v>Fitness</v>
      </c>
      <c r="Z467" t="str">
        <v>Friends_only</v>
      </c>
      <c r="AA467" t="str">
        <v>No</v>
      </c>
      <c r="AB467" t="str">
        <v>No</v>
      </c>
      <c r="AC467">
        <v>0</v>
      </c>
      <c r="AD467" t="str">
        <v>Free</v>
      </c>
      <c r="AE467">
        <v>1.3</v>
      </c>
      <c r="AF467" s="14">
        <f t="shared" si="7"/>
        <v>1.3636363636363635</v>
      </c>
    </row>
    <row r="468" spans="1:32" x14ac:dyDescent="0.2">
      <c r="A468">
        <v>467</v>
      </c>
      <c r="B468" cm="1">
        <f t="array" ref="B468:AE468">_xlfn.XLOOKUP($A468,Instagram_Usage_Lifestyle_Mini_!$A:$A,Instagram_Usage_Lifestyle_Mini_!$AC:$BF)</f>
        <v>203</v>
      </c>
      <c r="C468">
        <v>20</v>
      </c>
      <c r="D468">
        <v>11</v>
      </c>
      <c r="E468">
        <v>151</v>
      </c>
      <c r="F468">
        <v>120</v>
      </c>
      <c r="G468">
        <v>130</v>
      </c>
      <c r="H468">
        <v>42</v>
      </c>
      <c r="I468">
        <v>33</v>
      </c>
      <c r="J468">
        <v>30</v>
      </c>
      <c r="K468">
        <v>24</v>
      </c>
      <c r="L468">
        <v>3</v>
      </c>
      <c r="M468">
        <v>108</v>
      </c>
      <c r="N468">
        <v>47</v>
      </c>
      <c r="O468">
        <v>36</v>
      </c>
      <c r="P468">
        <v>57</v>
      </c>
      <c r="Q468">
        <v>6478</v>
      </c>
      <c r="R468">
        <v>10000</v>
      </c>
      <c r="S468" t="str">
        <v>No</v>
      </c>
      <c r="T468">
        <v>0.01</v>
      </c>
      <c r="U468">
        <v>2021</v>
      </c>
      <c r="V468">
        <v>45778</v>
      </c>
      <c r="W468">
        <v>10.199999999999999</v>
      </c>
      <c r="X468" t="str">
        <v>Stories</v>
      </c>
      <c r="Y468" t="str">
        <v>Food</v>
      </c>
      <c r="Z468" t="str">
        <v>Friends_only</v>
      </c>
      <c r="AA468" t="str">
        <v>Yes</v>
      </c>
      <c r="AB468" t="str">
        <v>No</v>
      </c>
      <c r="AC468">
        <v>2</v>
      </c>
      <c r="AD468" t="str">
        <v>Free</v>
      </c>
      <c r="AE468">
        <v>1.21</v>
      </c>
      <c r="AF468" s="14">
        <f t="shared" si="7"/>
        <v>0.64780000000000004</v>
      </c>
    </row>
    <row r="469" spans="1:32" x14ac:dyDescent="0.2">
      <c r="A469">
        <v>468</v>
      </c>
      <c r="B469" cm="1">
        <f t="array" ref="B469:AE469">_xlfn.XLOOKUP($A469,Instagram_Usage_Lifestyle_Mini_!$A:$A,Instagram_Usage_Lifestyle_Mini_!$AC:$BF)</f>
        <v>298</v>
      </c>
      <c r="C469">
        <v>10</v>
      </c>
      <c r="D469">
        <v>6</v>
      </c>
      <c r="E469">
        <v>218</v>
      </c>
      <c r="F469">
        <v>150</v>
      </c>
      <c r="G469">
        <v>192</v>
      </c>
      <c r="H469">
        <v>45</v>
      </c>
      <c r="I469">
        <v>39</v>
      </c>
      <c r="J469">
        <v>53</v>
      </c>
      <c r="K469">
        <v>31</v>
      </c>
      <c r="L469">
        <v>8</v>
      </c>
      <c r="M469">
        <v>170</v>
      </c>
      <c r="N469">
        <v>53</v>
      </c>
      <c r="O469">
        <v>74</v>
      </c>
      <c r="P469">
        <v>91</v>
      </c>
      <c r="Q469">
        <v>2877</v>
      </c>
      <c r="R469">
        <v>1160</v>
      </c>
      <c r="S469" t="str">
        <v>No</v>
      </c>
      <c r="T469">
        <v>0.26</v>
      </c>
      <c r="U469">
        <v>2010</v>
      </c>
      <c r="V469">
        <v>46002</v>
      </c>
      <c r="W469">
        <v>29.8</v>
      </c>
      <c r="X469" t="str">
        <v>Stories</v>
      </c>
      <c r="Y469" t="str">
        <v>Music</v>
      </c>
      <c r="Z469" t="str">
        <v>Private</v>
      </c>
      <c r="AA469" t="str">
        <v>Yes</v>
      </c>
      <c r="AB469" t="str">
        <v>Yes</v>
      </c>
      <c r="AC469">
        <v>0</v>
      </c>
      <c r="AD469" t="str">
        <v>Free</v>
      </c>
      <c r="AE469">
        <v>1</v>
      </c>
      <c r="AF469" s="14">
        <f t="shared" si="7"/>
        <v>2.4801724137931034</v>
      </c>
    </row>
    <row r="470" spans="1:32" x14ac:dyDescent="0.2">
      <c r="A470">
        <v>469</v>
      </c>
      <c r="B470" cm="1">
        <f t="array" ref="B470:AE470">_xlfn.XLOOKUP($A470,Instagram_Usage_Lifestyle_Mini_!$A:$A,Instagram_Usage_Lifestyle_Mini_!$AC:$BF)</f>
        <v>458</v>
      </c>
      <c r="C470">
        <v>50</v>
      </c>
      <c r="D470">
        <v>12</v>
      </c>
      <c r="E470">
        <v>300</v>
      </c>
      <c r="F470">
        <v>150</v>
      </c>
      <c r="G470">
        <v>241</v>
      </c>
      <c r="H470">
        <v>72</v>
      </c>
      <c r="I470">
        <v>47</v>
      </c>
      <c r="J470">
        <v>54</v>
      </c>
      <c r="K470">
        <v>40</v>
      </c>
      <c r="L470">
        <v>9</v>
      </c>
      <c r="M470">
        <v>236</v>
      </c>
      <c r="N470">
        <v>114</v>
      </c>
      <c r="O470">
        <v>77</v>
      </c>
      <c r="P470">
        <v>176</v>
      </c>
      <c r="Q470">
        <v>1352</v>
      </c>
      <c r="R470">
        <v>1118</v>
      </c>
      <c r="S470" t="str">
        <v>No</v>
      </c>
      <c r="T470">
        <v>0.91</v>
      </c>
      <c r="U470">
        <v>2012</v>
      </c>
      <c r="V470">
        <v>46011</v>
      </c>
      <c r="W470">
        <v>9.1999999999999993</v>
      </c>
      <c r="X470" t="str">
        <v>Photos</v>
      </c>
      <c r="Y470" t="str">
        <v>Travel</v>
      </c>
      <c r="Z470" t="str">
        <v>Public</v>
      </c>
      <c r="AA470" t="str">
        <v>Yes</v>
      </c>
      <c r="AB470" t="str">
        <v>No</v>
      </c>
      <c r="AC470">
        <v>1</v>
      </c>
      <c r="AD470" t="str">
        <v>Free</v>
      </c>
      <c r="AE470">
        <v>0.92</v>
      </c>
      <c r="AF470" s="14">
        <f t="shared" si="7"/>
        <v>1.2093023255813953</v>
      </c>
    </row>
    <row r="471" spans="1:32" x14ac:dyDescent="0.2">
      <c r="A471">
        <v>470</v>
      </c>
      <c r="B471" cm="1">
        <f t="array" ref="B471:AE471">_xlfn.XLOOKUP($A471,Instagram_Usage_Lifestyle_Mini_!$A:$A,Instagram_Usage_Lifestyle_Mini_!$AC:$BF)</f>
        <v>124</v>
      </c>
      <c r="C471">
        <v>10</v>
      </c>
      <c r="D471">
        <v>5</v>
      </c>
      <c r="E471">
        <v>110</v>
      </c>
      <c r="F471">
        <v>92</v>
      </c>
      <c r="G471">
        <v>103</v>
      </c>
      <c r="H471">
        <v>17</v>
      </c>
      <c r="I471">
        <v>33</v>
      </c>
      <c r="J471">
        <v>20</v>
      </c>
      <c r="K471">
        <v>16</v>
      </c>
      <c r="L471">
        <v>3</v>
      </c>
      <c r="M471">
        <v>62</v>
      </c>
      <c r="N471">
        <v>25</v>
      </c>
      <c r="O471">
        <v>23</v>
      </c>
      <c r="P471">
        <v>31</v>
      </c>
      <c r="Q471">
        <v>367</v>
      </c>
      <c r="R471">
        <v>237</v>
      </c>
      <c r="S471" t="str">
        <v>No</v>
      </c>
      <c r="T471">
        <v>0.53</v>
      </c>
      <c r="U471">
        <v>2017</v>
      </c>
      <c r="V471">
        <v>45887</v>
      </c>
      <c r="W471">
        <v>12.4</v>
      </c>
      <c r="X471" t="str">
        <v>Videos</v>
      </c>
      <c r="Y471" t="str">
        <v>Music</v>
      </c>
      <c r="Z471" t="str">
        <v>Friends_only</v>
      </c>
      <c r="AA471" t="str">
        <v>No</v>
      </c>
      <c r="AB471" t="str">
        <v>No</v>
      </c>
      <c r="AC471">
        <v>1</v>
      </c>
      <c r="AD471" t="str">
        <v>Business</v>
      </c>
      <c r="AE471">
        <v>1.22</v>
      </c>
      <c r="AF471" s="14">
        <f t="shared" si="7"/>
        <v>1.5485232067510548</v>
      </c>
    </row>
    <row r="472" spans="1:32" x14ac:dyDescent="0.2">
      <c r="A472">
        <v>471</v>
      </c>
      <c r="B472" cm="1">
        <f t="array" ref="B472:AE472">_xlfn.XLOOKUP($A472,Instagram_Usage_Lifestyle_Mini_!$A:$A,Instagram_Usage_Lifestyle_Mini_!$AC:$BF)</f>
        <v>5</v>
      </c>
      <c r="C472">
        <v>1</v>
      </c>
      <c r="D472">
        <v>1</v>
      </c>
      <c r="E472">
        <v>52</v>
      </c>
      <c r="F472">
        <v>31</v>
      </c>
      <c r="G472">
        <v>24</v>
      </c>
      <c r="H472">
        <v>2</v>
      </c>
      <c r="I472">
        <v>6</v>
      </c>
      <c r="J472">
        <v>7</v>
      </c>
      <c r="K472">
        <v>3</v>
      </c>
      <c r="L472">
        <v>0</v>
      </c>
      <c r="M472">
        <v>2</v>
      </c>
      <c r="N472">
        <v>1</v>
      </c>
      <c r="O472">
        <v>1</v>
      </c>
      <c r="P472">
        <v>2</v>
      </c>
      <c r="Q472">
        <v>1765</v>
      </c>
      <c r="R472">
        <v>955</v>
      </c>
      <c r="S472" t="str">
        <v>No</v>
      </c>
      <c r="T472">
        <v>0.48</v>
      </c>
      <c r="U472">
        <v>2017</v>
      </c>
      <c r="V472">
        <v>45791</v>
      </c>
      <c r="W472">
        <v>5</v>
      </c>
      <c r="X472" t="str">
        <v>Photos</v>
      </c>
      <c r="Y472" t="str">
        <v>Travel</v>
      </c>
      <c r="Z472" t="str">
        <v>Public</v>
      </c>
      <c r="AA472" t="str">
        <v>Yes</v>
      </c>
      <c r="AB472" t="str">
        <v>No</v>
      </c>
      <c r="AC472">
        <v>2</v>
      </c>
      <c r="AD472" t="str">
        <v>Premium</v>
      </c>
      <c r="AE472">
        <v>5.17</v>
      </c>
      <c r="AF472" s="14">
        <f t="shared" si="7"/>
        <v>1.8481675392670156</v>
      </c>
    </row>
    <row r="473" spans="1:32" x14ac:dyDescent="0.2">
      <c r="A473">
        <v>472</v>
      </c>
      <c r="B473" cm="1">
        <f t="array" ref="B473:AE473">_xlfn.XLOOKUP($A473,Instagram_Usage_Lifestyle_Mini_!$A:$A,Instagram_Usage_Lifestyle_Mini_!$AC:$BF)</f>
        <v>384</v>
      </c>
      <c r="C473">
        <v>21</v>
      </c>
      <c r="D473">
        <v>7</v>
      </c>
      <c r="E473">
        <v>282</v>
      </c>
      <c r="F473">
        <v>150</v>
      </c>
      <c r="G473">
        <v>213</v>
      </c>
      <c r="H473">
        <v>62</v>
      </c>
      <c r="I473">
        <v>59</v>
      </c>
      <c r="J473">
        <v>41</v>
      </c>
      <c r="K473">
        <v>42</v>
      </c>
      <c r="L473">
        <v>11</v>
      </c>
      <c r="M473">
        <v>185</v>
      </c>
      <c r="N473">
        <v>101</v>
      </c>
      <c r="O473">
        <v>66</v>
      </c>
      <c r="P473">
        <v>143</v>
      </c>
      <c r="Q473">
        <v>7326</v>
      </c>
      <c r="R473">
        <v>8763</v>
      </c>
      <c r="S473" t="str">
        <v>No</v>
      </c>
      <c r="T473">
        <v>0.09</v>
      </c>
      <c r="U473">
        <v>2014</v>
      </c>
      <c r="V473">
        <v>45769</v>
      </c>
      <c r="W473">
        <v>18.3</v>
      </c>
      <c r="X473" t="str">
        <v>Reels</v>
      </c>
      <c r="Y473" t="str">
        <v>Other</v>
      </c>
      <c r="Z473" t="str">
        <v>Public</v>
      </c>
      <c r="AA473" t="str">
        <v>Yes</v>
      </c>
      <c r="AB473" t="str">
        <v>No</v>
      </c>
      <c r="AC473">
        <v>1</v>
      </c>
      <c r="AD473" t="str">
        <v>Free</v>
      </c>
      <c r="AE473">
        <v>0.93</v>
      </c>
      <c r="AF473" s="14">
        <f t="shared" si="7"/>
        <v>0.83601506333447451</v>
      </c>
    </row>
    <row r="474" spans="1:32" x14ac:dyDescent="0.2">
      <c r="A474">
        <v>473</v>
      </c>
      <c r="B474" cm="1">
        <f t="array" ref="B474:AE474">_xlfn.XLOOKUP($A474,Instagram_Usage_Lifestyle_Mini_!$A:$A,Instagram_Usage_Lifestyle_Mini_!$AC:$BF)</f>
        <v>200</v>
      </c>
      <c r="C474">
        <v>11</v>
      </c>
      <c r="D474">
        <v>8</v>
      </c>
      <c r="E474">
        <v>217</v>
      </c>
      <c r="F474">
        <v>110</v>
      </c>
      <c r="G474">
        <v>121</v>
      </c>
      <c r="H474">
        <v>31</v>
      </c>
      <c r="I474">
        <v>25</v>
      </c>
      <c r="J474">
        <v>30</v>
      </c>
      <c r="K474">
        <v>30</v>
      </c>
      <c r="L474">
        <v>3</v>
      </c>
      <c r="M474">
        <v>99</v>
      </c>
      <c r="N474">
        <v>35</v>
      </c>
      <c r="O474">
        <v>22</v>
      </c>
      <c r="P474">
        <v>48</v>
      </c>
      <c r="Q474">
        <v>2974</v>
      </c>
      <c r="R474">
        <v>3680</v>
      </c>
      <c r="S474" t="str">
        <v>No</v>
      </c>
      <c r="T474">
        <v>0.52</v>
      </c>
      <c r="U474">
        <v>2016</v>
      </c>
      <c r="V474">
        <v>45942</v>
      </c>
      <c r="W474">
        <v>18.2</v>
      </c>
      <c r="X474" t="str">
        <v>Stories</v>
      </c>
      <c r="Y474" t="str">
        <v>Food</v>
      </c>
      <c r="Z474" t="str">
        <v>Public</v>
      </c>
      <c r="AA474" t="str">
        <v>No</v>
      </c>
      <c r="AB474" t="str">
        <v>No</v>
      </c>
      <c r="AC474">
        <v>3</v>
      </c>
      <c r="AD474" t="str">
        <v>Free</v>
      </c>
      <c r="AE474">
        <v>1.03</v>
      </c>
      <c r="AF474" s="14">
        <f t="shared" si="7"/>
        <v>0.8081521739130435</v>
      </c>
    </row>
    <row r="475" spans="1:32" x14ac:dyDescent="0.2">
      <c r="A475">
        <v>474</v>
      </c>
      <c r="B475" cm="1">
        <f t="array" ref="B475:AE475">_xlfn.XLOOKUP($A475,Instagram_Usage_Lifestyle_Mini_!$A:$A,Instagram_Usage_Lifestyle_Mini_!$AC:$BF)</f>
        <v>49</v>
      </c>
      <c r="C475">
        <v>3</v>
      </c>
      <c r="D475">
        <v>2</v>
      </c>
      <c r="E475">
        <v>66</v>
      </c>
      <c r="F475">
        <v>51</v>
      </c>
      <c r="G475">
        <v>43</v>
      </c>
      <c r="H475">
        <v>16</v>
      </c>
      <c r="I475">
        <v>25</v>
      </c>
      <c r="J475">
        <v>12</v>
      </c>
      <c r="K475">
        <v>7</v>
      </c>
      <c r="L475">
        <v>3</v>
      </c>
      <c r="M475">
        <v>24</v>
      </c>
      <c r="N475">
        <v>9</v>
      </c>
      <c r="O475">
        <v>11</v>
      </c>
      <c r="P475">
        <v>16</v>
      </c>
      <c r="Q475">
        <v>292</v>
      </c>
      <c r="R475">
        <v>411</v>
      </c>
      <c r="S475" t="str">
        <v>Yes</v>
      </c>
      <c r="T475">
        <v>0.47</v>
      </c>
      <c r="U475">
        <v>2020</v>
      </c>
      <c r="V475">
        <v>45716</v>
      </c>
      <c r="W475">
        <v>16.3</v>
      </c>
      <c r="X475" t="str">
        <v>Mixed</v>
      </c>
      <c r="Y475" t="str">
        <v>Food</v>
      </c>
      <c r="Z475" t="str">
        <v>Public</v>
      </c>
      <c r="AA475" t="str">
        <v>Yes</v>
      </c>
      <c r="AB475" t="str">
        <v>No</v>
      </c>
      <c r="AC475">
        <v>2</v>
      </c>
      <c r="AD475" t="str">
        <v>Free</v>
      </c>
      <c r="AE475">
        <v>1.62</v>
      </c>
      <c r="AF475" s="14">
        <f t="shared" si="7"/>
        <v>0.71046228710462289</v>
      </c>
    </row>
    <row r="476" spans="1:32" x14ac:dyDescent="0.2">
      <c r="A476">
        <v>475</v>
      </c>
      <c r="B476" cm="1">
        <f t="array" ref="B476:AE476">_xlfn.XLOOKUP($A476,Instagram_Usage_Lifestyle_Mini_!$A:$A,Instagram_Usage_Lifestyle_Mini_!$AC:$BF)</f>
        <v>204</v>
      </c>
      <c r="C476">
        <v>11</v>
      </c>
      <c r="D476">
        <v>13</v>
      </c>
      <c r="E476">
        <v>219</v>
      </c>
      <c r="F476">
        <v>105</v>
      </c>
      <c r="G476">
        <v>135</v>
      </c>
      <c r="H476">
        <v>39</v>
      </c>
      <c r="I476">
        <v>27</v>
      </c>
      <c r="J476">
        <v>34</v>
      </c>
      <c r="K476">
        <v>15</v>
      </c>
      <c r="L476">
        <v>9</v>
      </c>
      <c r="M476">
        <v>109</v>
      </c>
      <c r="N476">
        <v>50</v>
      </c>
      <c r="O476">
        <v>27</v>
      </c>
      <c r="P476">
        <v>52</v>
      </c>
      <c r="Q476">
        <v>1209</v>
      </c>
      <c r="R476">
        <v>551</v>
      </c>
      <c r="S476" t="str">
        <v>No</v>
      </c>
      <c r="T476">
        <v>0.9</v>
      </c>
      <c r="U476">
        <v>2017</v>
      </c>
      <c r="V476">
        <v>45717</v>
      </c>
      <c r="W476">
        <v>18.5</v>
      </c>
      <c r="X476" t="str">
        <v>Live</v>
      </c>
      <c r="Y476" t="str">
        <v>Travel</v>
      </c>
      <c r="Z476" t="str">
        <v>Public</v>
      </c>
      <c r="AA476" t="str">
        <v>Yes</v>
      </c>
      <c r="AB476" t="str">
        <v>No</v>
      </c>
      <c r="AC476">
        <v>3</v>
      </c>
      <c r="AD476" t="str">
        <v>Free</v>
      </c>
      <c r="AE476">
        <v>1.23</v>
      </c>
      <c r="AF476" s="14">
        <f t="shared" si="7"/>
        <v>2.1941923774954626</v>
      </c>
    </row>
    <row r="477" spans="1:32" x14ac:dyDescent="0.2">
      <c r="A477">
        <v>476</v>
      </c>
      <c r="B477" cm="1">
        <f t="array" ref="B477:AE477">_xlfn.XLOOKUP($A477,Instagram_Usage_Lifestyle_Mini_!$A:$A,Instagram_Usage_Lifestyle_Mini_!$AC:$BF)</f>
        <v>121</v>
      </c>
      <c r="C477">
        <v>10</v>
      </c>
      <c r="D477">
        <v>7</v>
      </c>
      <c r="E477">
        <v>183</v>
      </c>
      <c r="F477">
        <v>79</v>
      </c>
      <c r="G477">
        <v>87</v>
      </c>
      <c r="H477">
        <v>16</v>
      </c>
      <c r="I477">
        <v>16</v>
      </c>
      <c r="J477">
        <v>18</v>
      </c>
      <c r="K477">
        <v>15</v>
      </c>
      <c r="L477">
        <v>3</v>
      </c>
      <c r="M477">
        <v>57</v>
      </c>
      <c r="N477">
        <v>33</v>
      </c>
      <c r="O477">
        <v>25</v>
      </c>
      <c r="P477">
        <v>48</v>
      </c>
      <c r="Q477">
        <v>812</v>
      </c>
      <c r="R477">
        <v>655</v>
      </c>
      <c r="S477" t="str">
        <v>No</v>
      </c>
      <c r="T477">
        <v>0.39</v>
      </c>
      <c r="U477">
        <v>2014</v>
      </c>
      <c r="V477">
        <v>45978</v>
      </c>
      <c r="W477">
        <v>12.1</v>
      </c>
      <c r="X477" t="str">
        <v>Photos</v>
      </c>
      <c r="Y477" t="str">
        <v>Fitness</v>
      </c>
      <c r="Z477" t="str">
        <v>Public</v>
      </c>
      <c r="AA477" t="str">
        <v>No</v>
      </c>
      <c r="AB477" t="str">
        <v>Yes</v>
      </c>
      <c r="AC477">
        <v>4</v>
      </c>
      <c r="AD477" t="str">
        <v>Free</v>
      </c>
      <c r="AE477">
        <v>1.1499999999999999</v>
      </c>
      <c r="AF477" s="14">
        <f t="shared" si="7"/>
        <v>1.2396946564885496</v>
      </c>
    </row>
    <row r="478" spans="1:32" x14ac:dyDescent="0.2">
      <c r="A478">
        <v>477</v>
      </c>
      <c r="B478" cm="1">
        <f t="array" ref="B478:AE478">_xlfn.XLOOKUP($A478,Instagram_Usage_Lifestyle_Mini_!$A:$A,Instagram_Usage_Lifestyle_Mini_!$AC:$BF)</f>
        <v>112</v>
      </c>
      <c r="C478">
        <v>6</v>
      </c>
      <c r="D478">
        <v>6</v>
      </c>
      <c r="E478">
        <v>107</v>
      </c>
      <c r="F478">
        <v>80</v>
      </c>
      <c r="G478">
        <v>86</v>
      </c>
      <c r="H478">
        <v>24</v>
      </c>
      <c r="I478">
        <v>25</v>
      </c>
      <c r="J478">
        <v>25</v>
      </c>
      <c r="K478">
        <v>3</v>
      </c>
      <c r="L478">
        <v>8</v>
      </c>
      <c r="M478">
        <v>66</v>
      </c>
      <c r="N478">
        <v>27</v>
      </c>
      <c r="O478">
        <v>24</v>
      </c>
      <c r="P478">
        <v>24</v>
      </c>
      <c r="Q478">
        <v>1108</v>
      </c>
      <c r="R478">
        <v>1234</v>
      </c>
      <c r="S478" t="str">
        <v>No</v>
      </c>
      <c r="T478">
        <v>0.84</v>
      </c>
      <c r="U478">
        <v>2020</v>
      </c>
      <c r="V478">
        <v>45827</v>
      </c>
      <c r="W478">
        <v>18.7</v>
      </c>
      <c r="X478" t="str">
        <v>Photos</v>
      </c>
      <c r="Y478" t="str">
        <v>Other</v>
      </c>
      <c r="Z478" t="str">
        <v>Private</v>
      </c>
      <c r="AA478" t="str">
        <v>Yes</v>
      </c>
      <c r="AB478" t="str">
        <v>Yes</v>
      </c>
      <c r="AC478">
        <v>0</v>
      </c>
      <c r="AD478" t="str">
        <v>Free</v>
      </c>
      <c r="AE478">
        <v>1.35</v>
      </c>
      <c r="AF478" s="14">
        <f t="shared" si="7"/>
        <v>0.89789303079416527</v>
      </c>
    </row>
    <row r="479" spans="1:32" x14ac:dyDescent="0.2">
      <c r="A479">
        <v>478</v>
      </c>
      <c r="B479" cm="1">
        <f t="array" ref="B479:AE479">_xlfn.XLOOKUP($A479,Instagram_Usage_Lifestyle_Mini_!$A:$A,Instagram_Usage_Lifestyle_Mini_!$AC:$BF)</f>
        <v>163</v>
      </c>
      <c r="C479">
        <v>8</v>
      </c>
      <c r="D479">
        <v>3</v>
      </c>
      <c r="E479">
        <v>139</v>
      </c>
      <c r="F479">
        <v>84</v>
      </c>
      <c r="G479">
        <v>104</v>
      </c>
      <c r="H479">
        <v>30</v>
      </c>
      <c r="I479">
        <v>34</v>
      </c>
      <c r="J479">
        <v>26</v>
      </c>
      <c r="K479">
        <v>15</v>
      </c>
      <c r="L479">
        <v>3</v>
      </c>
      <c r="M479">
        <v>66</v>
      </c>
      <c r="N479">
        <v>29</v>
      </c>
      <c r="O479">
        <v>17</v>
      </c>
      <c r="P479">
        <v>62</v>
      </c>
      <c r="Q479">
        <v>255</v>
      </c>
      <c r="R479">
        <v>535</v>
      </c>
      <c r="S479" t="str">
        <v>No</v>
      </c>
      <c r="T479">
        <v>0.85</v>
      </c>
      <c r="U479">
        <v>2017</v>
      </c>
      <c r="V479">
        <v>45970</v>
      </c>
      <c r="W479">
        <v>20.399999999999999</v>
      </c>
      <c r="X479" t="str">
        <v>Reels</v>
      </c>
      <c r="Y479" t="str">
        <v>Food</v>
      </c>
      <c r="Z479" t="str">
        <v>Private</v>
      </c>
      <c r="AA479" t="str">
        <v>Yes</v>
      </c>
      <c r="AB479" t="str">
        <v>Yes</v>
      </c>
      <c r="AC479">
        <v>5</v>
      </c>
      <c r="AD479" t="str">
        <v>Premium</v>
      </c>
      <c r="AE479">
        <v>1.05</v>
      </c>
      <c r="AF479" s="14">
        <f t="shared" si="7"/>
        <v>0.47663551401869159</v>
      </c>
    </row>
    <row r="480" spans="1:32" x14ac:dyDescent="0.2">
      <c r="A480">
        <v>479</v>
      </c>
      <c r="B480" cm="1">
        <f t="array" ref="B480:AE480">_xlfn.XLOOKUP($A480,Instagram_Usage_Lifestyle_Mini_!$A:$A,Instagram_Usage_Lifestyle_Mini_!$AC:$BF)</f>
        <v>272</v>
      </c>
      <c r="C480">
        <v>20</v>
      </c>
      <c r="D480">
        <v>6</v>
      </c>
      <c r="E480">
        <v>215</v>
      </c>
      <c r="F480">
        <v>138</v>
      </c>
      <c r="G480">
        <v>163</v>
      </c>
      <c r="H480">
        <v>43</v>
      </c>
      <c r="I480">
        <v>36</v>
      </c>
      <c r="J480">
        <v>38</v>
      </c>
      <c r="K480">
        <v>21</v>
      </c>
      <c r="L480">
        <v>10</v>
      </c>
      <c r="M480">
        <v>146</v>
      </c>
      <c r="N480">
        <v>61</v>
      </c>
      <c r="O480">
        <v>31</v>
      </c>
      <c r="P480">
        <v>82</v>
      </c>
      <c r="Q480">
        <v>3105</v>
      </c>
      <c r="R480">
        <v>5828</v>
      </c>
      <c r="S480" t="str">
        <v>No</v>
      </c>
      <c r="T480">
        <v>0.81</v>
      </c>
      <c r="U480">
        <v>2010</v>
      </c>
      <c r="V480">
        <v>45795</v>
      </c>
      <c r="W480">
        <v>13.6</v>
      </c>
      <c r="X480" t="str">
        <v>Reels</v>
      </c>
      <c r="Y480" t="str">
        <v>Music</v>
      </c>
      <c r="Z480" t="str">
        <v>Friends_only</v>
      </c>
      <c r="AA480" t="str">
        <v>Yes</v>
      </c>
      <c r="AB480" t="str">
        <v>Yes</v>
      </c>
      <c r="AC480">
        <v>2</v>
      </c>
      <c r="AD480" t="str">
        <v>Free</v>
      </c>
      <c r="AE480">
        <v>0.98</v>
      </c>
      <c r="AF480" s="14">
        <f t="shared" si="7"/>
        <v>0.53277282086479072</v>
      </c>
    </row>
    <row r="481" spans="1:32" x14ac:dyDescent="0.2">
      <c r="A481">
        <v>480</v>
      </c>
      <c r="B481" cm="1">
        <f t="array" ref="B481:AE481">_xlfn.XLOOKUP($A481,Instagram_Usage_Lifestyle_Mini_!$A:$A,Instagram_Usage_Lifestyle_Mini_!$AC:$BF)</f>
        <v>125</v>
      </c>
      <c r="C481">
        <v>5</v>
      </c>
      <c r="D481">
        <v>3</v>
      </c>
      <c r="E481">
        <v>117</v>
      </c>
      <c r="F481">
        <v>76</v>
      </c>
      <c r="G481">
        <v>83</v>
      </c>
      <c r="H481">
        <v>29</v>
      </c>
      <c r="I481">
        <v>21</v>
      </c>
      <c r="J481">
        <v>15</v>
      </c>
      <c r="K481">
        <v>11</v>
      </c>
      <c r="L481">
        <v>5</v>
      </c>
      <c r="M481">
        <v>75</v>
      </c>
      <c r="N481">
        <v>26</v>
      </c>
      <c r="O481">
        <v>15</v>
      </c>
      <c r="P481">
        <v>45</v>
      </c>
      <c r="Q481">
        <v>2255</v>
      </c>
      <c r="R481">
        <v>2307</v>
      </c>
      <c r="S481" t="str">
        <v>Yes</v>
      </c>
      <c r="T481">
        <v>0.51</v>
      </c>
      <c r="U481">
        <v>2012</v>
      </c>
      <c r="V481">
        <v>45710</v>
      </c>
      <c r="W481">
        <v>25</v>
      </c>
      <c r="X481" t="str">
        <v>Stories</v>
      </c>
      <c r="Y481" t="str">
        <v>Food</v>
      </c>
      <c r="Z481" t="str">
        <v>Private</v>
      </c>
      <c r="AA481" t="str">
        <v>No</v>
      </c>
      <c r="AB481" t="str">
        <v>Yes</v>
      </c>
      <c r="AC481">
        <v>1</v>
      </c>
      <c r="AD481" t="str">
        <v>Free</v>
      </c>
      <c r="AE481">
        <v>1.19</v>
      </c>
      <c r="AF481" s="14">
        <f t="shared" si="7"/>
        <v>0.9774599046380581</v>
      </c>
    </row>
    <row r="482" spans="1:32" x14ac:dyDescent="0.2">
      <c r="A482">
        <v>481</v>
      </c>
      <c r="B482" cm="1">
        <f t="array" ref="B482:AE482">_xlfn.XLOOKUP($A482,Instagram_Usage_Lifestyle_Mini_!$A:$A,Instagram_Usage_Lifestyle_Mini_!$AC:$BF)</f>
        <v>94</v>
      </c>
      <c r="C482">
        <v>3</v>
      </c>
      <c r="D482">
        <v>1</v>
      </c>
      <c r="E482">
        <v>87</v>
      </c>
      <c r="F482">
        <v>72</v>
      </c>
      <c r="G482">
        <v>85</v>
      </c>
      <c r="H482">
        <v>16</v>
      </c>
      <c r="I482">
        <v>18</v>
      </c>
      <c r="J482">
        <v>15</v>
      </c>
      <c r="K482">
        <v>5</v>
      </c>
      <c r="L482">
        <v>2</v>
      </c>
      <c r="M482">
        <v>45</v>
      </c>
      <c r="N482">
        <v>17</v>
      </c>
      <c r="O482">
        <v>11</v>
      </c>
      <c r="P482">
        <v>28</v>
      </c>
      <c r="Q482">
        <v>4393</v>
      </c>
      <c r="R482">
        <v>5900</v>
      </c>
      <c r="S482" t="str">
        <v>No</v>
      </c>
      <c r="T482">
        <v>0.66</v>
      </c>
      <c r="U482">
        <v>2016</v>
      </c>
      <c r="V482">
        <v>45882</v>
      </c>
      <c r="W482">
        <v>31.3</v>
      </c>
      <c r="X482" t="str">
        <v>Mixed</v>
      </c>
      <c r="Y482" t="str">
        <v>Fashion</v>
      </c>
      <c r="Z482" t="str">
        <v>Public</v>
      </c>
      <c r="AA482" t="str">
        <v>No</v>
      </c>
      <c r="AB482" t="str">
        <v>No</v>
      </c>
      <c r="AC482">
        <v>1</v>
      </c>
      <c r="AD482" t="str">
        <v>Free</v>
      </c>
      <c r="AE482">
        <v>1.26</v>
      </c>
      <c r="AF482" s="14">
        <f t="shared" si="7"/>
        <v>0.74457627118644065</v>
      </c>
    </row>
    <row r="483" spans="1:32" x14ac:dyDescent="0.2">
      <c r="A483">
        <v>482</v>
      </c>
      <c r="B483" cm="1">
        <f t="array" ref="B483:AE483">_xlfn.XLOOKUP($A483,Instagram_Usage_Lifestyle_Mini_!$A:$A,Instagram_Usage_Lifestyle_Mini_!$AC:$BF)</f>
        <v>38</v>
      </c>
      <c r="C483">
        <v>4</v>
      </c>
      <c r="D483">
        <v>4</v>
      </c>
      <c r="E483">
        <v>64</v>
      </c>
      <c r="F483">
        <v>35</v>
      </c>
      <c r="G483">
        <v>46</v>
      </c>
      <c r="H483">
        <v>17</v>
      </c>
      <c r="I483">
        <v>12</v>
      </c>
      <c r="J483">
        <v>10</v>
      </c>
      <c r="K483">
        <v>12</v>
      </c>
      <c r="L483">
        <v>5</v>
      </c>
      <c r="M483">
        <v>22</v>
      </c>
      <c r="N483">
        <v>5</v>
      </c>
      <c r="O483">
        <v>9</v>
      </c>
      <c r="P483">
        <v>14</v>
      </c>
      <c r="Q483">
        <v>671</v>
      </c>
      <c r="R483">
        <v>1600</v>
      </c>
      <c r="S483" t="str">
        <v>No</v>
      </c>
      <c r="T483">
        <v>0.03</v>
      </c>
      <c r="U483">
        <v>2016</v>
      </c>
      <c r="V483">
        <v>45666</v>
      </c>
      <c r="W483">
        <v>9.5</v>
      </c>
      <c r="X483" t="str">
        <v>Live</v>
      </c>
      <c r="Y483" t="str">
        <v>Fashion</v>
      </c>
      <c r="Z483" t="str">
        <v>Friends_only</v>
      </c>
      <c r="AA483" t="str">
        <v>No</v>
      </c>
      <c r="AB483" t="str">
        <v>No</v>
      </c>
      <c r="AC483">
        <v>1</v>
      </c>
      <c r="AD483" t="str">
        <v>Free</v>
      </c>
      <c r="AE483">
        <v>2.36</v>
      </c>
      <c r="AF483" s="14">
        <f t="shared" si="7"/>
        <v>0.419375</v>
      </c>
    </row>
    <row r="484" spans="1:32" x14ac:dyDescent="0.2">
      <c r="A484">
        <v>483</v>
      </c>
      <c r="B484" cm="1">
        <f t="array" ref="B484:AE484">_xlfn.XLOOKUP($A484,Instagram_Usage_Lifestyle_Mini_!$A:$A,Instagram_Usage_Lifestyle_Mini_!$AC:$BF)</f>
        <v>247</v>
      </c>
      <c r="C484">
        <v>7</v>
      </c>
      <c r="D484">
        <v>3</v>
      </c>
      <c r="E484">
        <v>159</v>
      </c>
      <c r="F484">
        <v>113</v>
      </c>
      <c r="G484">
        <v>163</v>
      </c>
      <c r="H484">
        <v>63</v>
      </c>
      <c r="I484">
        <v>31</v>
      </c>
      <c r="J484">
        <v>47</v>
      </c>
      <c r="K484">
        <v>20</v>
      </c>
      <c r="L484">
        <v>8</v>
      </c>
      <c r="M484">
        <v>135</v>
      </c>
      <c r="N484">
        <v>30</v>
      </c>
      <c r="O484">
        <v>47</v>
      </c>
      <c r="P484">
        <v>68</v>
      </c>
      <c r="Q484">
        <v>5155</v>
      </c>
      <c r="R484">
        <v>5521</v>
      </c>
      <c r="S484" t="str">
        <v>No</v>
      </c>
      <c r="T484">
        <v>0.8</v>
      </c>
      <c r="U484">
        <v>2020</v>
      </c>
      <c r="V484">
        <v>45764</v>
      </c>
      <c r="W484">
        <v>35.299999999999997</v>
      </c>
      <c r="X484" t="str">
        <v>Videos</v>
      </c>
      <c r="Y484" t="str">
        <v>Other</v>
      </c>
      <c r="Z484" t="str">
        <v>Private</v>
      </c>
      <c r="AA484" t="str">
        <v>Yes</v>
      </c>
      <c r="AB484" t="str">
        <v>No</v>
      </c>
      <c r="AC484">
        <v>0</v>
      </c>
      <c r="AD484" t="str">
        <v>Free</v>
      </c>
      <c r="AE484">
        <v>1.2</v>
      </c>
      <c r="AF484" s="14">
        <f t="shared" si="7"/>
        <v>0.93370766165549723</v>
      </c>
    </row>
    <row r="485" spans="1:32" x14ac:dyDescent="0.2">
      <c r="A485">
        <v>484</v>
      </c>
      <c r="B485" cm="1">
        <f t="array" ref="B485:AE485">_xlfn.XLOOKUP($A485,Instagram_Usage_Lifestyle_Mini_!$A:$A,Instagram_Usage_Lifestyle_Mini_!$AC:$BF)</f>
        <v>249</v>
      </c>
      <c r="C485">
        <v>15</v>
      </c>
      <c r="D485">
        <v>6</v>
      </c>
      <c r="E485">
        <v>193</v>
      </c>
      <c r="F485">
        <v>133</v>
      </c>
      <c r="G485">
        <v>157</v>
      </c>
      <c r="H485">
        <v>36</v>
      </c>
      <c r="I485">
        <v>35</v>
      </c>
      <c r="J485">
        <v>34</v>
      </c>
      <c r="K485">
        <v>30</v>
      </c>
      <c r="L485">
        <v>5</v>
      </c>
      <c r="M485">
        <v>140</v>
      </c>
      <c r="N485">
        <v>39</v>
      </c>
      <c r="O485">
        <v>40</v>
      </c>
      <c r="P485">
        <v>96</v>
      </c>
      <c r="Q485">
        <v>408</v>
      </c>
      <c r="R485">
        <v>247</v>
      </c>
      <c r="S485" t="str">
        <v>No</v>
      </c>
      <c r="T485">
        <v>0.3</v>
      </c>
      <c r="U485">
        <v>2010</v>
      </c>
      <c r="V485">
        <v>45756</v>
      </c>
      <c r="W485">
        <v>16.600000000000001</v>
      </c>
      <c r="X485" t="str">
        <v>Mixed</v>
      </c>
      <c r="Y485" t="str">
        <v>Food</v>
      </c>
      <c r="Z485" t="str">
        <v>Public</v>
      </c>
      <c r="AA485" t="str">
        <v>Yes</v>
      </c>
      <c r="AB485" t="str">
        <v>Yes</v>
      </c>
      <c r="AC485">
        <v>2</v>
      </c>
      <c r="AD485" t="str">
        <v>Business</v>
      </c>
      <c r="AE485">
        <v>0.99</v>
      </c>
      <c r="AF485" s="14">
        <f t="shared" si="7"/>
        <v>1.6518218623481782</v>
      </c>
    </row>
    <row r="486" spans="1:32" x14ac:dyDescent="0.2">
      <c r="A486">
        <v>485</v>
      </c>
      <c r="B486" cm="1">
        <f t="array" ref="B486:AE486">_xlfn.XLOOKUP($A486,Instagram_Usage_Lifestyle_Mini_!$A:$A,Instagram_Usage_Lifestyle_Mini_!$AC:$BF)</f>
        <v>286</v>
      </c>
      <c r="C486">
        <v>13</v>
      </c>
      <c r="D486">
        <v>9</v>
      </c>
      <c r="E486">
        <v>276</v>
      </c>
      <c r="F486">
        <v>118</v>
      </c>
      <c r="G486">
        <v>150</v>
      </c>
      <c r="H486">
        <v>49</v>
      </c>
      <c r="I486">
        <v>39</v>
      </c>
      <c r="J486">
        <v>59</v>
      </c>
      <c r="K486">
        <v>33</v>
      </c>
      <c r="L486">
        <v>9</v>
      </c>
      <c r="M486">
        <v>161</v>
      </c>
      <c r="N486">
        <v>67</v>
      </c>
      <c r="O486">
        <v>53</v>
      </c>
      <c r="P486">
        <v>102</v>
      </c>
      <c r="Q486">
        <v>1612</v>
      </c>
      <c r="R486">
        <v>1791</v>
      </c>
      <c r="S486" t="str">
        <v>No</v>
      </c>
      <c r="T486">
        <v>0.94</v>
      </c>
      <c r="U486">
        <v>2018</v>
      </c>
      <c r="V486">
        <v>45886</v>
      </c>
      <c r="W486">
        <v>22</v>
      </c>
      <c r="X486" t="str">
        <v>Stories</v>
      </c>
      <c r="Y486" t="str">
        <v>Music</v>
      </c>
      <c r="Z486" t="str">
        <v>Friends_only</v>
      </c>
      <c r="AA486" t="str">
        <v>Yes</v>
      </c>
      <c r="AB486" t="str">
        <v>No</v>
      </c>
      <c r="AC486">
        <v>1</v>
      </c>
      <c r="AD486" t="str">
        <v>Premium</v>
      </c>
      <c r="AE486">
        <v>0.96</v>
      </c>
      <c r="AF486" s="14">
        <f t="shared" si="7"/>
        <v>0.90005583472920159</v>
      </c>
    </row>
    <row r="487" spans="1:32" x14ac:dyDescent="0.2">
      <c r="A487">
        <v>486</v>
      </c>
      <c r="B487" cm="1">
        <f t="array" ref="B487:AE487">_xlfn.XLOOKUP($A487,Instagram_Usage_Lifestyle_Mini_!$A:$A,Instagram_Usage_Lifestyle_Mini_!$AC:$BF)</f>
        <v>264</v>
      </c>
      <c r="C487">
        <v>8</v>
      </c>
      <c r="D487">
        <v>11</v>
      </c>
      <c r="E487">
        <v>283</v>
      </c>
      <c r="F487">
        <v>143</v>
      </c>
      <c r="G487">
        <v>163</v>
      </c>
      <c r="H487">
        <v>45</v>
      </c>
      <c r="I487">
        <v>40</v>
      </c>
      <c r="J487">
        <v>37</v>
      </c>
      <c r="K487">
        <v>35</v>
      </c>
      <c r="L487">
        <v>8</v>
      </c>
      <c r="M487">
        <v>154</v>
      </c>
      <c r="N487">
        <v>37</v>
      </c>
      <c r="O487">
        <v>42</v>
      </c>
      <c r="P487">
        <v>81</v>
      </c>
      <c r="Q487">
        <v>6326</v>
      </c>
      <c r="R487">
        <v>10000</v>
      </c>
      <c r="S487" t="str">
        <v>No</v>
      </c>
      <c r="T487">
        <v>0.67</v>
      </c>
      <c r="U487">
        <v>2025</v>
      </c>
      <c r="V487">
        <v>45706</v>
      </c>
      <c r="W487">
        <v>33</v>
      </c>
      <c r="X487" t="str">
        <v>Mixed</v>
      </c>
      <c r="Y487" t="str">
        <v>Travel</v>
      </c>
      <c r="Z487" t="str">
        <v>Public</v>
      </c>
      <c r="AA487" t="str">
        <v>Yes</v>
      </c>
      <c r="AB487" t="str">
        <v>No</v>
      </c>
      <c r="AC487">
        <v>2</v>
      </c>
      <c r="AD487" t="str">
        <v>Free</v>
      </c>
      <c r="AE487">
        <v>1.08</v>
      </c>
      <c r="AF487" s="14">
        <f t="shared" si="7"/>
        <v>0.63260000000000005</v>
      </c>
    </row>
    <row r="488" spans="1:32" x14ac:dyDescent="0.2">
      <c r="A488">
        <v>487</v>
      </c>
      <c r="B488" cm="1">
        <f t="array" ref="B488:AE488">_xlfn.XLOOKUP($A488,Instagram_Usage_Lifestyle_Mini_!$A:$A,Instagram_Usage_Lifestyle_Mini_!$AC:$BF)</f>
        <v>30</v>
      </c>
      <c r="C488">
        <v>2</v>
      </c>
      <c r="D488">
        <v>3</v>
      </c>
      <c r="E488">
        <v>52</v>
      </c>
      <c r="F488">
        <v>43</v>
      </c>
      <c r="G488">
        <v>38</v>
      </c>
      <c r="H488">
        <v>1</v>
      </c>
      <c r="I488">
        <v>18</v>
      </c>
      <c r="J488">
        <v>8</v>
      </c>
      <c r="K488">
        <v>9</v>
      </c>
      <c r="L488">
        <v>0</v>
      </c>
      <c r="M488">
        <v>16</v>
      </c>
      <c r="N488">
        <v>8</v>
      </c>
      <c r="O488">
        <v>5</v>
      </c>
      <c r="P488">
        <v>7</v>
      </c>
      <c r="Q488">
        <v>274</v>
      </c>
      <c r="R488">
        <v>592</v>
      </c>
      <c r="S488" t="str">
        <v>No</v>
      </c>
      <c r="T488">
        <v>0.84</v>
      </c>
      <c r="U488">
        <v>2024</v>
      </c>
      <c r="V488">
        <v>45963</v>
      </c>
      <c r="W488">
        <v>15</v>
      </c>
      <c r="X488" t="str">
        <v>Videos</v>
      </c>
      <c r="Y488" t="str">
        <v>Tech</v>
      </c>
      <c r="Z488" t="str">
        <v>Private</v>
      </c>
      <c r="AA488" t="str">
        <v>Yes</v>
      </c>
      <c r="AB488" t="str">
        <v>Yes</v>
      </c>
      <c r="AC488">
        <v>5</v>
      </c>
      <c r="AD488" t="str">
        <v>Free</v>
      </c>
      <c r="AE488">
        <v>1.58</v>
      </c>
      <c r="AF488" s="14">
        <f t="shared" si="7"/>
        <v>0.46283783783783783</v>
      </c>
    </row>
    <row r="489" spans="1:32" x14ac:dyDescent="0.2">
      <c r="A489">
        <v>488</v>
      </c>
      <c r="B489" cm="1">
        <f t="array" ref="B489:AE489">_xlfn.XLOOKUP($A489,Instagram_Usage_Lifestyle_Mini_!$A:$A,Instagram_Usage_Lifestyle_Mini_!$AC:$BF)</f>
        <v>219</v>
      </c>
      <c r="C489">
        <v>7</v>
      </c>
      <c r="D489">
        <v>4</v>
      </c>
      <c r="E489">
        <v>174</v>
      </c>
      <c r="F489">
        <v>133</v>
      </c>
      <c r="G489">
        <v>133</v>
      </c>
      <c r="H489">
        <v>43</v>
      </c>
      <c r="I489">
        <v>44</v>
      </c>
      <c r="J489">
        <v>34</v>
      </c>
      <c r="K489">
        <v>27</v>
      </c>
      <c r="L489">
        <v>4</v>
      </c>
      <c r="M489">
        <v>88</v>
      </c>
      <c r="N489">
        <v>54</v>
      </c>
      <c r="O489">
        <v>23</v>
      </c>
      <c r="P489">
        <v>45</v>
      </c>
      <c r="Q489">
        <v>12427</v>
      </c>
      <c r="R489">
        <v>10000</v>
      </c>
      <c r="S489" t="str">
        <v>No</v>
      </c>
      <c r="T489">
        <v>0.76</v>
      </c>
      <c r="U489">
        <v>2021</v>
      </c>
      <c r="V489">
        <v>45904</v>
      </c>
      <c r="W489">
        <v>31.3</v>
      </c>
      <c r="X489" t="str">
        <v>Stories</v>
      </c>
      <c r="Y489" t="str">
        <v>Other</v>
      </c>
      <c r="Z489" t="str">
        <v>Private</v>
      </c>
      <c r="AA489" t="str">
        <v>No</v>
      </c>
      <c r="AB489" t="str">
        <v>Yes</v>
      </c>
      <c r="AC489">
        <v>1</v>
      </c>
      <c r="AD489" t="str">
        <v>Free</v>
      </c>
      <c r="AE489">
        <v>1.05</v>
      </c>
      <c r="AF489" s="14">
        <f t="shared" si="7"/>
        <v>1.2426999999999999</v>
      </c>
    </row>
    <row r="490" spans="1:32" x14ac:dyDescent="0.2">
      <c r="A490">
        <v>489</v>
      </c>
      <c r="B490" cm="1">
        <f t="array" ref="B490:AE490">_xlfn.XLOOKUP($A490,Instagram_Usage_Lifestyle_Mini_!$A:$A,Instagram_Usage_Lifestyle_Mini_!$AC:$BF)</f>
        <v>299</v>
      </c>
      <c r="C490">
        <v>26</v>
      </c>
      <c r="D490">
        <v>4</v>
      </c>
      <c r="E490">
        <v>208</v>
      </c>
      <c r="F490">
        <v>150</v>
      </c>
      <c r="G490">
        <v>173</v>
      </c>
      <c r="H490">
        <v>62</v>
      </c>
      <c r="I490">
        <v>32</v>
      </c>
      <c r="J490">
        <v>31</v>
      </c>
      <c r="K490">
        <v>26</v>
      </c>
      <c r="L490">
        <v>6</v>
      </c>
      <c r="M490">
        <v>127</v>
      </c>
      <c r="N490">
        <v>45</v>
      </c>
      <c r="O490">
        <v>47</v>
      </c>
      <c r="P490">
        <v>107</v>
      </c>
      <c r="Q490">
        <v>1145</v>
      </c>
      <c r="R490">
        <v>1319</v>
      </c>
      <c r="S490" t="str">
        <v>No</v>
      </c>
      <c r="T490">
        <v>0.01</v>
      </c>
      <c r="U490">
        <v>2024</v>
      </c>
      <c r="V490">
        <v>45741</v>
      </c>
      <c r="W490">
        <v>11.5</v>
      </c>
      <c r="X490" t="str">
        <v>Live</v>
      </c>
      <c r="Y490" t="str">
        <v>Other</v>
      </c>
      <c r="Z490" t="str">
        <v>Friends_only</v>
      </c>
      <c r="AA490" t="str">
        <v>Yes</v>
      </c>
      <c r="AB490" t="str">
        <v>Yes</v>
      </c>
      <c r="AC490">
        <v>2</v>
      </c>
      <c r="AD490" t="str">
        <v>Free</v>
      </c>
      <c r="AE490">
        <v>1.03</v>
      </c>
      <c r="AF490" s="14">
        <f t="shared" si="7"/>
        <v>0.86808188021228205</v>
      </c>
    </row>
    <row r="491" spans="1:32" x14ac:dyDescent="0.2">
      <c r="A491">
        <v>490</v>
      </c>
      <c r="B491" cm="1">
        <f t="array" ref="B491:AE491">_xlfn.XLOOKUP($A491,Instagram_Usage_Lifestyle_Mini_!$A:$A,Instagram_Usage_Lifestyle_Mini_!$AC:$BF)</f>
        <v>112</v>
      </c>
      <c r="C491">
        <v>3</v>
      </c>
      <c r="D491">
        <v>2</v>
      </c>
      <c r="E491">
        <v>110</v>
      </c>
      <c r="F491">
        <v>86</v>
      </c>
      <c r="G491">
        <v>83</v>
      </c>
      <c r="H491">
        <v>18</v>
      </c>
      <c r="I491">
        <v>19</v>
      </c>
      <c r="J491">
        <v>20</v>
      </c>
      <c r="K491">
        <v>11</v>
      </c>
      <c r="L491">
        <v>2</v>
      </c>
      <c r="M491">
        <v>60</v>
      </c>
      <c r="N491">
        <v>16</v>
      </c>
      <c r="O491">
        <v>19</v>
      </c>
      <c r="P491">
        <v>40</v>
      </c>
      <c r="Q491">
        <v>1038</v>
      </c>
      <c r="R491">
        <v>556</v>
      </c>
      <c r="S491" t="str">
        <v>No</v>
      </c>
      <c r="T491">
        <v>0.03</v>
      </c>
      <c r="U491">
        <v>2010</v>
      </c>
      <c r="V491">
        <v>46004</v>
      </c>
      <c r="W491">
        <v>37.299999999999997</v>
      </c>
      <c r="X491" t="str">
        <v>Videos</v>
      </c>
      <c r="Y491" t="str">
        <v>Food</v>
      </c>
      <c r="Z491" t="str">
        <v>Public</v>
      </c>
      <c r="AA491" t="str">
        <v>No</v>
      </c>
      <c r="AB491" t="str">
        <v>No</v>
      </c>
      <c r="AC491">
        <v>1</v>
      </c>
      <c r="AD491" t="str">
        <v>Premium</v>
      </c>
      <c r="AE491">
        <v>1.1100000000000001</v>
      </c>
      <c r="AF491" s="14">
        <f t="shared" si="7"/>
        <v>1.8669064748201438</v>
      </c>
    </row>
    <row r="492" spans="1:32" x14ac:dyDescent="0.2">
      <c r="A492">
        <v>491</v>
      </c>
      <c r="B492" cm="1">
        <f t="array" ref="B492:AE492">_xlfn.XLOOKUP($A492,Instagram_Usage_Lifestyle_Mini_!$A:$A,Instagram_Usage_Lifestyle_Mini_!$AC:$BF)</f>
        <v>5</v>
      </c>
      <c r="C492">
        <v>1</v>
      </c>
      <c r="D492">
        <v>3</v>
      </c>
      <c r="E492">
        <v>132</v>
      </c>
      <c r="F492">
        <v>30</v>
      </c>
      <c r="G492">
        <v>24</v>
      </c>
      <c r="H492">
        <v>11</v>
      </c>
      <c r="I492">
        <v>12</v>
      </c>
      <c r="J492">
        <v>10</v>
      </c>
      <c r="K492">
        <v>4</v>
      </c>
      <c r="L492">
        <v>0</v>
      </c>
      <c r="M492">
        <v>3</v>
      </c>
      <c r="N492">
        <v>1</v>
      </c>
      <c r="O492">
        <v>1</v>
      </c>
      <c r="P492">
        <v>2</v>
      </c>
      <c r="Q492">
        <v>1192</v>
      </c>
      <c r="R492">
        <v>1147</v>
      </c>
      <c r="S492" t="str">
        <v>No</v>
      </c>
      <c r="T492">
        <v>0.69</v>
      </c>
      <c r="U492">
        <v>2019</v>
      </c>
      <c r="V492">
        <v>45973</v>
      </c>
      <c r="W492">
        <v>5</v>
      </c>
      <c r="X492" t="str">
        <v>Mixed</v>
      </c>
      <c r="Y492" t="str">
        <v>Travel</v>
      </c>
      <c r="Z492" t="str">
        <v>Private</v>
      </c>
      <c r="AA492" t="str">
        <v>Yes</v>
      </c>
      <c r="AB492" t="str">
        <v>Yes</v>
      </c>
      <c r="AC492">
        <v>1</v>
      </c>
      <c r="AD492" t="str">
        <v>Premium</v>
      </c>
      <c r="AE492">
        <v>9.17</v>
      </c>
      <c r="AF492" s="14">
        <f t="shared" si="7"/>
        <v>1.0392327811682651</v>
      </c>
    </row>
    <row r="493" spans="1:32" x14ac:dyDescent="0.2">
      <c r="A493">
        <v>492</v>
      </c>
      <c r="B493" cm="1">
        <f t="array" ref="B493:AE493">_xlfn.XLOOKUP($A493,Instagram_Usage_Lifestyle_Mini_!$A:$A,Instagram_Usage_Lifestyle_Mini_!$AC:$BF)</f>
        <v>126</v>
      </c>
      <c r="C493">
        <v>4</v>
      </c>
      <c r="D493">
        <v>2</v>
      </c>
      <c r="E493">
        <v>108</v>
      </c>
      <c r="F493">
        <v>85</v>
      </c>
      <c r="G493">
        <v>87</v>
      </c>
      <c r="H493">
        <v>24</v>
      </c>
      <c r="I493">
        <v>21</v>
      </c>
      <c r="J493">
        <v>17</v>
      </c>
      <c r="K493">
        <v>17</v>
      </c>
      <c r="L493">
        <v>2</v>
      </c>
      <c r="M493">
        <v>59</v>
      </c>
      <c r="N493">
        <v>28</v>
      </c>
      <c r="O493">
        <v>30</v>
      </c>
      <c r="P493">
        <v>50</v>
      </c>
      <c r="Q493">
        <v>1518</v>
      </c>
      <c r="R493">
        <v>2455</v>
      </c>
      <c r="S493" t="str">
        <v>No</v>
      </c>
      <c r="T493">
        <v>0.02</v>
      </c>
      <c r="U493">
        <v>2023</v>
      </c>
      <c r="V493">
        <v>45909</v>
      </c>
      <c r="W493">
        <v>31.5</v>
      </c>
      <c r="X493" t="str">
        <v>Live</v>
      </c>
      <c r="Y493" t="str">
        <v>Tech</v>
      </c>
      <c r="Z493" t="str">
        <v>Friends_only</v>
      </c>
      <c r="AA493" t="str">
        <v>Yes</v>
      </c>
      <c r="AB493" t="str">
        <v>Yes</v>
      </c>
      <c r="AC493">
        <v>2</v>
      </c>
      <c r="AD493" t="str">
        <v>Free</v>
      </c>
      <c r="AE493">
        <v>1.1100000000000001</v>
      </c>
      <c r="AF493" s="14">
        <f t="shared" si="7"/>
        <v>0.61832993890020371</v>
      </c>
    </row>
    <row r="494" spans="1:32" x14ac:dyDescent="0.2">
      <c r="A494">
        <v>493</v>
      </c>
      <c r="B494" cm="1">
        <f t="array" ref="B494:AE494">_xlfn.XLOOKUP($A494,Instagram_Usage_Lifestyle_Mini_!$A:$A,Instagram_Usage_Lifestyle_Mini_!$AC:$BF)</f>
        <v>94</v>
      </c>
      <c r="C494">
        <v>8</v>
      </c>
      <c r="D494">
        <v>3</v>
      </c>
      <c r="E494">
        <v>87</v>
      </c>
      <c r="F494">
        <v>71</v>
      </c>
      <c r="G494">
        <v>76</v>
      </c>
      <c r="H494">
        <v>18</v>
      </c>
      <c r="I494">
        <v>22</v>
      </c>
      <c r="J494">
        <v>18</v>
      </c>
      <c r="K494">
        <v>14</v>
      </c>
      <c r="L494">
        <v>6</v>
      </c>
      <c r="M494">
        <v>51</v>
      </c>
      <c r="N494">
        <v>23</v>
      </c>
      <c r="O494">
        <v>19</v>
      </c>
      <c r="P494">
        <v>23</v>
      </c>
      <c r="Q494">
        <v>988</v>
      </c>
      <c r="R494">
        <v>1858</v>
      </c>
      <c r="S494" t="str">
        <v>No</v>
      </c>
      <c r="T494">
        <v>0.4</v>
      </c>
      <c r="U494">
        <v>2021</v>
      </c>
      <c r="V494">
        <v>45802</v>
      </c>
      <c r="W494">
        <v>11.8</v>
      </c>
      <c r="X494" t="str">
        <v>Live</v>
      </c>
      <c r="Y494" t="str">
        <v>Tech</v>
      </c>
      <c r="Z494" t="str">
        <v>Friends_only</v>
      </c>
      <c r="AA494" t="str">
        <v>No</v>
      </c>
      <c r="AB494" t="str">
        <v>No</v>
      </c>
      <c r="AC494">
        <v>0</v>
      </c>
      <c r="AD494" t="str">
        <v>Free</v>
      </c>
      <c r="AE494">
        <v>1.27</v>
      </c>
      <c r="AF494" s="14">
        <f t="shared" si="7"/>
        <v>0.53175457481162536</v>
      </c>
    </row>
    <row r="495" spans="1:32" x14ac:dyDescent="0.2">
      <c r="A495">
        <v>494</v>
      </c>
      <c r="B495" cm="1">
        <f t="array" ref="B495:AE495">_xlfn.XLOOKUP($A495,Instagram_Usage_Lifestyle_Mini_!$A:$A,Instagram_Usage_Lifestyle_Mini_!$AC:$BF)</f>
        <v>69</v>
      </c>
      <c r="C495">
        <v>3</v>
      </c>
      <c r="D495">
        <v>3</v>
      </c>
      <c r="E495">
        <v>94</v>
      </c>
      <c r="F495">
        <v>58</v>
      </c>
      <c r="G495">
        <v>64</v>
      </c>
      <c r="H495">
        <v>19</v>
      </c>
      <c r="I495">
        <v>14</v>
      </c>
      <c r="J495">
        <v>16</v>
      </c>
      <c r="K495">
        <v>11</v>
      </c>
      <c r="L495">
        <v>3</v>
      </c>
      <c r="M495">
        <v>29</v>
      </c>
      <c r="N495">
        <v>14</v>
      </c>
      <c r="O495">
        <v>17</v>
      </c>
      <c r="P495">
        <v>28</v>
      </c>
      <c r="Q495">
        <v>1329</v>
      </c>
      <c r="R495">
        <v>3227</v>
      </c>
      <c r="S495" t="str">
        <v>No</v>
      </c>
      <c r="T495">
        <v>0.38</v>
      </c>
      <c r="U495">
        <v>2020</v>
      </c>
      <c r="V495">
        <v>45756</v>
      </c>
      <c r="W495">
        <v>23</v>
      </c>
      <c r="X495" t="str">
        <v>Live</v>
      </c>
      <c r="Y495" t="str">
        <v>Other</v>
      </c>
      <c r="Z495" t="str">
        <v>Private</v>
      </c>
      <c r="AA495" t="str">
        <v>Yes</v>
      </c>
      <c r="AB495" t="str">
        <v>No</v>
      </c>
      <c r="AC495">
        <v>2</v>
      </c>
      <c r="AD495" t="str">
        <v>Free</v>
      </c>
      <c r="AE495">
        <v>1.59</v>
      </c>
      <c r="AF495" s="14">
        <f t="shared" si="7"/>
        <v>0.41183762008057018</v>
      </c>
    </row>
    <row r="496" spans="1:32" x14ac:dyDescent="0.2">
      <c r="A496">
        <v>495</v>
      </c>
      <c r="B496" cm="1">
        <f t="array" ref="B496:AE496">_xlfn.XLOOKUP($A496,Instagram_Usage_Lifestyle_Mini_!$A:$A,Instagram_Usage_Lifestyle_Mini_!$AC:$BF)</f>
        <v>399</v>
      </c>
      <c r="C496">
        <v>34</v>
      </c>
      <c r="D496">
        <v>9</v>
      </c>
      <c r="E496">
        <v>300</v>
      </c>
      <c r="F496">
        <v>150</v>
      </c>
      <c r="G496">
        <v>235</v>
      </c>
      <c r="H496">
        <v>65</v>
      </c>
      <c r="I496">
        <v>50</v>
      </c>
      <c r="J496">
        <v>53</v>
      </c>
      <c r="K496">
        <v>23</v>
      </c>
      <c r="L496">
        <v>8</v>
      </c>
      <c r="M496">
        <v>171</v>
      </c>
      <c r="N496">
        <v>45</v>
      </c>
      <c r="O496">
        <v>65</v>
      </c>
      <c r="P496">
        <v>100</v>
      </c>
      <c r="Q496">
        <v>353</v>
      </c>
      <c r="R496">
        <v>442</v>
      </c>
      <c r="S496" t="str">
        <v>Yes</v>
      </c>
      <c r="T496">
        <v>0.76</v>
      </c>
      <c r="U496">
        <v>2019</v>
      </c>
      <c r="V496">
        <v>45697</v>
      </c>
      <c r="W496">
        <v>11.7</v>
      </c>
      <c r="X496" t="str">
        <v>Photos</v>
      </c>
      <c r="Y496" t="str">
        <v>Art</v>
      </c>
      <c r="Z496" t="str">
        <v>Private</v>
      </c>
      <c r="AA496" t="str">
        <v>Yes</v>
      </c>
      <c r="AB496" t="str">
        <v>No</v>
      </c>
      <c r="AC496">
        <v>2</v>
      </c>
      <c r="AD496" t="str">
        <v>Free</v>
      </c>
      <c r="AE496">
        <v>0.98</v>
      </c>
      <c r="AF496" s="14">
        <f t="shared" si="7"/>
        <v>0.79864253393665163</v>
      </c>
    </row>
    <row r="497" spans="1:32" x14ac:dyDescent="0.2">
      <c r="A497">
        <v>496</v>
      </c>
      <c r="B497" cm="1">
        <f t="array" ref="B497:AE497">_xlfn.XLOOKUP($A497,Instagram_Usage_Lifestyle_Mini_!$A:$A,Instagram_Usage_Lifestyle_Mini_!$AC:$BF)</f>
        <v>206</v>
      </c>
      <c r="C497">
        <v>6</v>
      </c>
      <c r="D497">
        <v>8</v>
      </c>
      <c r="E497">
        <v>166</v>
      </c>
      <c r="F497">
        <v>114</v>
      </c>
      <c r="G497">
        <v>145</v>
      </c>
      <c r="H497">
        <v>33</v>
      </c>
      <c r="I497">
        <v>33</v>
      </c>
      <c r="J497">
        <v>33</v>
      </c>
      <c r="K497">
        <v>23</v>
      </c>
      <c r="L497">
        <v>2</v>
      </c>
      <c r="M497">
        <v>85</v>
      </c>
      <c r="N497">
        <v>35</v>
      </c>
      <c r="O497">
        <v>26</v>
      </c>
      <c r="P497">
        <v>81</v>
      </c>
      <c r="Q497">
        <v>858</v>
      </c>
      <c r="R497">
        <v>378</v>
      </c>
      <c r="S497" t="str">
        <v>No</v>
      </c>
      <c r="T497">
        <v>0.09</v>
      </c>
      <c r="U497">
        <v>2018</v>
      </c>
      <c r="V497">
        <v>45872</v>
      </c>
      <c r="W497">
        <v>34.299999999999997</v>
      </c>
      <c r="X497" t="str">
        <v>Mixed</v>
      </c>
      <c r="Y497" t="str">
        <v>Travel</v>
      </c>
      <c r="Z497" t="str">
        <v>Private</v>
      </c>
      <c r="AA497" t="str">
        <v>Yes</v>
      </c>
      <c r="AB497" t="str">
        <v>No</v>
      </c>
      <c r="AC497">
        <v>4</v>
      </c>
      <c r="AD497" t="str">
        <v>Business</v>
      </c>
      <c r="AE497">
        <v>1.1399999999999999</v>
      </c>
      <c r="AF497" s="14">
        <f t="shared" si="7"/>
        <v>2.2698412698412698</v>
      </c>
    </row>
    <row r="498" spans="1:32" x14ac:dyDescent="0.2">
      <c r="A498">
        <v>497</v>
      </c>
      <c r="B498" cm="1">
        <f t="array" ref="B498:AE498">_xlfn.XLOOKUP($A498,Instagram_Usage_Lifestyle_Mini_!$A:$A,Instagram_Usage_Lifestyle_Mini_!$AC:$BF)</f>
        <v>53</v>
      </c>
      <c r="C498">
        <v>4</v>
      </c>
      <c r="D498">
        <v>0</v>
      </c>
      <c r="E498">
        <v>77</v>
      </c>
      <c r="F498">
        <v>60</v>
      </c>
      <c r="G498">
        <v>58</v>
      </c>
      <c r="H498">
        <v>11</v>
      </c>
      <c r="I498">
        <v>7</v>
      </c>
      <c r="J498">
        <v>11</v>
      </c>
      <c r="K498">
        <v>12</v>
      </c>
      <c r="L498">
        <v>1</v>
      </c>
      <c r="M498">
        <v>21</v>
      </c>
      <c r="N498">
        <v>15</v>
      </c>
      <c r="O498">
        <v>11</v>
      </c>
      <c r="P498">
        <v>19</v>
      </c>
      <c r="Q498">
        <v>3842</v>
      </c>
      <c r="R498">
        <v>3373</v>
      </c>
      <c r="S498" t="str">
        <v>No</v>
      </c>
      <c r="T498">
        <v>0.3</v>
      </c>
      <c r="U498">
        <v>2022</v>
      </c>
      <c r="V498">
        <v>45855</v>
      </c>
      <c r="W498">
        <v>13.2</v>
      </c>
      <c r="X498" t="str">
        <v>Stories</v>
      </c>
      <c r="Y498" t="str">
        <v>Food</v>
      </c>
      <c r="Z498" t="str">
        <v>Public</v>
      </c>
      <c r="AA498" t="str">
        <v>Yes</v>
      </c>
      <c r="AB498" t="str">
        <v>No</v>
      </c>
      <c r="AC498">
        <v>2</v>
      </c>
      <c r="AD498" t="str">
        <v>Premium</v>
      </c>
      <c r="AE498">
        <v>1.48</v>
      </c>
      <c r="AF498" s="14">
        <f t="shared" si="7"/>
        <v>1.1390453602134598</v>
      </c>
    </row>
    <row r="499" spans="1:32" x14ac:dyDescent="0.2">
      <c r="A499">
        <v>498</v>
      </c>
      <c r="B499" cm="1">
        <f t="array" ref="B499:AE499">_xlfn.XLOOKUP($A499,Instagram_Usage_Lifestyle_Mini_!$A:$A,Instagram_Usage_Lifestyle_Mini_!$AC:$BF)</f>
        <v>519</v>
      </c>
      <c r="C499">
        <v>17</v>
      </c>
      <c r="D499">
        <v>14</v>
      </c>
      <c r="E499">
        <v>300</v>
      </c>
      <c r="F499">
        <v>150</v>
      </c>
      <c r="G499">
        <v>294</v>
      </c>
      <c r="H499">
        <v>72</v>
      </c>
      <c r="I499">
        <v>59</v>
      </c>
      <c r="J499">
        <v>80</v>
      </c>
      <c r="K499">
        <v>50</v>
      </c>
      <c r="L499">
        <v>14</v>
      </c>
      <c r="M499">
        <v>268</v>
      </c>
      <c r="N499">
        <v>91</v>
      </c>
      <c r="O499">
        <v>66</v>
      </c>
      <c r="P499">
        <v>182</v>
      </c>
      <c r="Q499">
        <v>1793</v>
      </c>
      <c r="R499">
        <v>2191</v>
      </c>
      <c r="S499" t="str">
        <v>Yes</v>
      </c>
      <c r="T499">
        <v>0.46</v>
      </c>
      <c r="U499">
        <v>2017</v>
      </c>
      <c r="V499">
        <v>45803</v>
      </c>
      <c r="W499">
        <v>30.5</v>
      </c>
      <c r="X499" t="str">
        <v>Live</v>
      </c>
      <c r="Y499" t="str">
        <v>Other</v>
      </c>
      <c r="Z499" t="str">
        <v>Public</v>
      </c>
      <c r="AA499" t="str">
        <v>Yes</v>
      </c>
      <c r="AB499" t="str">
        <v>No</v>
      </c>
      <c r="AC499">
        <v>0</v>
      </c>
      <c r="AD499" t="str">
        <v>Premium</v>
      </c>
      <c r="AE499">
        <v>0.92</v>
      </c>
      <c r="AF499" s="14">
        <f t="shared" si="7"/>
        <v>0.8183477863989046</v>
      </c>
    </row>
    <row r="500" spans="1:32" x14ac:dyDescent="0.2">
      <c r="A500">
        <v>499</v>
      </c>
      <c r="B500" cm="1">
        <f t="array" ref="B500:AE500">_xlfn.XLOOKUP($A500,Instagram_Usage_Lifestyle_Mini_!$A:$A,Instagram_Usage_Lifestyle_Mini_!$AC:$BF)</f>
        <v>344</v>
      </c>
      <c r="C500">
        <v>23</v>
      </c>
      <c r="D500">
        <v>16</v>
      </c>
      <c r="E500">
        <v>300</v>
      </c>
      <c r="F500">
        <v>150</v>
      </c>
      <c r="G500">
        <v>206</v>
      </c>
      <c r="H500">
        <v>72</v>
      </c>
      <c r="I500">
        <v>43</v>
      </c>
      <c r="J500">
        <v>43</v>
      </c>
      <c r="K500">
        <v>38</v>
      </c>
      <c r="L500">
        <v>6</v>
      </c>
      <c r="M500">
        <v>139</v>
      </c>
      <c r="N500">
        <v>99</v>
      </c>
      <c r="O500">
        <v>59</v>
      </c>
      <c r="P500">
        <v>108</v>
      </c>
      <c r="Q500">
        <v>1782</v>
      </c>
      <c r="R500">
        <v>1950</v>
      </c>
      <c r="S500" t="str">
        <v>Yes</v>
      </c>
      <c r="T500">
        <v>0.16</v>
      </c>
      <c r="U500">
        <v>2020</v>
      </c>
      <c r="V500">
        <v>45714</v>
      </c>
      <c r="W500">
        <v>15</v>
      </c>
      <c r="X500" t="str">
        <v>Videos</v>
      </c>
      <c r="Y500" t="str">
        <v>Fashion</v>
      </c>
      <c r="Z500" t="str">
        <v>Public</v>
      </c>
      <c r="AA500" t="str">
        <v>No</v>
      </c>
      <c r="AB500" t="str">
        <v>No</v>
      </c>
      <c r="AC500">
        <v>2</v>
      </c>
      <c r="AD500" t="str">
        <v>Free</v>
      </c>
      <c r="AE500">
        <v>1.1499999999999999</v>
      </c>
      <c r="AF500" s="14">
        <f t="shared" si="7"/>
        <v>0.91384615384615386</v>
      </c>
    </row>
    <row r="501" spans="1:32" x14ac:dyDescent="0.2">
      <c r="A501">
        <v>500</v>
      </c>
      <c r="B501" cm="1">
        <f t="array" ref="B501:AE501">_xlfn.XLOOKUP($A501,Instagram_Usage_Lifestyle_Mini_!$A:$A,Instagram_Usage_Lifestyle_Mini_!$AC:$BF)</f>
        <v>307</v>
      </c>
      <c r="C501">
        <v>26</v>
      </c>
      <c r="D501">
        <v>9</v>
      </c>
      <c r="E501">
        <v>300</v>
      </c>
      <c r="F501">
        <v>150</v>
      </c>
      <c r="G501">
        <v>164</v>
      </c>
      <c r="H501">
        <v>44</v>
      </c>
      <c r="I501">
        <v>43</v>
      </c>
      <c r="J501">
        <v>42</v>
      </c>
      <c r="K501">
        <v>35</v>
      </c>
      <c r="L501">
        <v>9</v>
      </c>
      <c r="M501">
        <v>158</v>
      </c>
      <c r="N501">
        <v>64</v>
      </c>
      <c r="O501">
        <v>75</v>
      </c>
      <c r="P501">
        <v>74</v>
      </c>
      <c r="Q501">
        <v>202</v>
      </c>
      <c r="R501">
        <v>472</v>
      </c>
      <c r="S501" t="str">
        <v>No</v>
      </c>
      <c r="T501">
        <v>0.27</v>
      </c>
      <c r="U501">
        <v>2015</v>
      </c>
      <c r="V501">
        <v>45803</v>
      </c>
      <c r="W501">
        <v>11.8</v>
      </c>
      <c r="X501" t="str">
        <v>Stories</v>
      </c>
      <c r="Y501" t="str">
        <v>Food</v>
      </c>
      <c r="Z501" t="str">
        <v>Public</v>
      </c>
      <c r="AA501" t="str">
        <v>No</v>
      </c>
      <c r="AB501" t="str">
        <v>No</v>
      </c>
      <c r="AC501">
        <v>1</v>
      </c>
      <c r="AD501" t="str">
        <v>Free</v>
      </c>
      <c r="AE501">
        <v>0.91</v>
      </c>
      <c r="AF501" s="14">
        <f t="shared" si="7"/>
        <v>0.42796610169491528</v>
      </c>
    </row>
    <row r="502" spans="1:32" x14ac:dyDescent="0.2">
      <c r="A502">
        <v>501</v>
      </c>
      <c r="B502" cm="1">
        <f t="array" ref="B502:AE502">_xlfn.XLOOKUP($A502,Instagram_Usage_Lifestyle_Mini_!$A:$A,Instagram_Usage_Lifestyle_Mini_!$AC:$BF)</f>
        <v>89</v>
      </c>
      <c r="C502">
        <v>3</v>
      </c>
      <c r="D502">
        <v>1</v>
      </c>
      <c r="E502">
        <v>90</v>
      </c>
      <c r="F502">
        <v>71</v>
      </c>
      <c r="G502">
        <v>65</v>
      </c>
      <c r="H502">
        <v>23</v>
      </c>
      <c r="I502">
        <v>15</v>
      </c>
      <c r="J502">
        <v>17</v>
      </c>
      <c r="K502">
        <v>11</v>
      </c>
      <c r="L502">
        <v>3</v>
      </c>
      <c r="M502">
        <v>43</v>
      </c>
      <c r="N502">
        <v>18</v>
      </c>
      <c r="O502">
        <v>17</v>
      </c>
      <c r="P502">
        <v>19</v>
      </c>
      <c r="Q502">
        <v>112</v>
      </c>
      <c r="R502">
        <v>266</v>
      </c>
      <c r="S502" t="str">
        <v>Yes</v>
      </c>
      <c r="T502">
        <v>0.81</v>
      </c>
      <c r="U502">
        <v>2013</v>
      </c>
      <c r="V502">
        <v>46006</v>
      </c>
      <c r="W502">
        <v>29.7</v>
      </c>
      <c r="X502" t="str">
        <v>Mixed</v>
      </c>
      <c r="Y502" t="str">
        <v>Fitness</v>
      </c>
      <c r="Z502" t="str">
        <v>Friends_only</v>
      </c>
      <c r="AA502" t="str">
        <v>No</v>
      </c>
      <c r="AB502" t="str">
        <v>No</v>
      </c>
      <c r="AC502">
        <v>1</v>
      </c>
      <c r="AD502" t="str">
        <v>Free</v>
      </c>
      <c r="AE502">
        <v>1.27</v>
      </c>
      <c r="AF502" s="14">
        <f t="shared" si="7"/>
        <v>0.42105263157894735</v>
      </c>
    </row>
    <row r="503" spans="1:32" x14ac:dyDescent="0.2">
      <c r="A503">
        <v>502</v>
      </c>
      <c r="B503" cm="1">
        <f t="array" ref="B503:AE503">_xlfn.XLOOKUP($A503,Instagram_Usage_Lifestyle_Mini_!$A:$A,Instagram_Usage_Lifestyle_Mini_!$AC:$BF)</f>
        <v>192</v>
      </c>
      <c r="C503">
        <v>8</v>
      </c>
      <c r="D503">
        <v>9</v>
      </c>
      <c r="E503">
        <v>236</v>
      </c>
      <c r="F503">
        <v>121</v>
      </c>
      <c r="G503">
        <v>140</v>
      </c>
      <c r="H503">
        <v>35</v>
      </c>
      <c r="I503">
        <v>38</v>
      </c>
      <c r="J503">
        <v>34</v>
      </c>
      <c r="K503">
        <v>12</v>
      </c>
      <c r="L503">
        <v>3</v>
      </c>
      <c r="M503">
        <v>95</v>
      </c>
      <c r="N503">
        <v>19</v>
      </c>
      <c r="O503">
        <v>41</v>
      </c>
      <c r="P503">
        <v>77</v>
      </c>
      <c r="Q503">
        <v>7769</v>
      </c>
      <c r="R503">
        <v>8594</v>
      </c>
      <c r="S503" t="str">
        <v>No</v>
      </c>
      <c r="T503">
        <v>0.22</v>
      </c>
      <c r="U503">
        <v>2019</v>
      </c>
      <c r="V503">
        <v>45839</v>
      </c>
      <c r="W503">
        <v>24</v>
      </c>
      <c r="X503" t="str">
        <v>Videos</v>
      </c>
      <c r="Y503" t="str">
        <v>Other</v>
      </c>
      <c r="Z503" t="str">
        <v>Friends_only</v>
      </c>
      <c r="AA503" t="str">
        <v>Yes</v>
      </c>
      <c r="AB503" t="str">
        <v>Yes</v>
      </c>
      <c r="AC503">
        <v>1</v>
      </c>
      <c r="AD503" t="str">
        <v>Free</v>
      </c>
      <c r="AE503">
        <v>1.23</v>
      </c>
      <c r="AF503" s="14">
        <f t="shared" si="7"/>
        <v>0.90400279264603212</v>
      </c>
    </row>
    <row r="504" spans="1:32" x14ac:dyDescent="0.2">
      <c r="A504">
        <v>503</v>
      </c>
      <c r="B504" cm="1">
        <f t="array" ref="B504:AE504">_xlfn.XLOOKUP($A504,Instagram_Usage_Lifestyle_Mini_!$A:$A,Instagram_Usage_Lifestyle_Mini_!$AC:$BF)</f>
        <v>5</v>
      </c>
      <c r="C504">
        <v>1</v>
      </c>
      <c r="D504">
        <v>4</v>
      </c>
      <c r="E504">
        <v>134</v>
      </c>
      <c r="F504">
        <v>34</v>
      </c>
      <c r="G504">
        <v>28</v>
      </c>
      <c r="H504">
        <v>7</v>
      </c>
      <c r="I504">
        <v>10</v>
      </c>
      <c r="J504">
        <v>6</v>
      </c>
      <c r="K504">
        <v>5</v>
      </c>
      <c r="L504">
        <v>0</v>
      </c>
      <c r="M504">
        <v>3</v>
      </c>
      <c r="N504">
        <v>1</v>
      </c>
      <c r="O504">
        <v>1</v>
      </c>
      <c r="P504">
        <v>2</v>
      </c>
      <c r="Q504">
        <v>736</v>
      </c>
      <c r="R504">
        <v>526</v>
      </c>
      <c r="S504" t="str">
        <v>No</v>
      </c>
      <c r="T504">
        <v>0.47</v>
      </c>
      <c r="U504">
        <v>2014</v>
      </c>
      <c r="V504">
        <v>46001</v>
      </c>
      <c r="W504">
        <v>5</v>
      </c>
      <c r="X504" t="str">
        <v>Live</v>
      </c>
      <c r="Y504" t="str">
        <v>Music</v>
      </c>
      <c r="Z504" t="str">
        <v>Friends_only</v>
      </c>
      <c r="AA504" t="str">
        <v>No</v>
      </c>
      <c r="AB504" t="str">
        <v>No</v>
      </c>
      <c r="AC504">
        <v>0</v>
      </c>
      <c r="AD504" t="str">
        <v>Premium</v>
      </c>
      <c r="AE504">
        <v>9</v>
      </c>
      <c r="AF504" s="14">
        <f t="shared" si="7"/>
        <v>1.3992395437262357</v>
      </c>
    </row>
    <row r="505" spans="1:32" x14ac:dyDescent="0.2">
      <c r="A505">
        <v>504</v>
      </c>
      <c r="B505" cm="1">
        <f t="array" ref="B505:AE505">_xlfn.XLOOKUP($A505,Instagram_Usage_Lifestyle_Mini_!$A:$A,Instagram_Usage_Lifestyle_Mini_!$AC:$BF)</f>
        <v>254</v>
      </c>
      <c r="C505">
        <v>9</v>
      </c>
      <c r="D505">
        <v>8</v>
      </c>
      <c r="E505">
        <v>223</v>
      </c>
      <c r="F505">
        <v>121</v>
      </c>
      <c r="G505">
        <v>145</v>
      </c>
      <c r="H505">
        <v>37</v>
      </c>
      <c r="I505">
        <v>41</v>
      </c>
      <c r="J505">
        <v>32</v>
      </c>
      <c r="K505">
        <v>23</v>
      </c>
      <c r="L505">
        <v>4</v>
      </c>
      <c r="M505">
        <v>115</v>
      </c>
      <c r="N505">
        <v>47</v>
      </c>
      <c r="O505">
        <v>36</v>
      </c>
      <c r="P505">
        <v>75</v>
      </c>
      <c r="Q505">
        <v>451</v>
      </c>
      <c r="R505">
        <v>859</v>
      </c>
      <c r="S505" t="str">
        <v>Yes</v>
      </c>
      <c r="T505">
        <v>0.75</v>
      </c>
      <c r="U505">
        <v>2018</v>
      </c>
      <c r="V505">
        <v>45720</v>
      </c>
      <c r="W505">
        <v>28.2</v>
      </c>
      <c r="X505" t="str">
        <v>Mixed</v>
      </c>
      <c r="Y505" t="str">
        <v>Fashion</v>
      </c>
      <c r="Z505" t="str">
        <v>Friends_only</v>
      </c>
      <c r="AA505" t="str">
        <v>Yes</v>
      </c>
      <c r="AB505" t="str">
        <v>Yes</v>
      </c>
      <c r="AC505">
        <v>1</v>
      </c>
      <c r="AD505" t="str">
        <v>Free</v>
      </c>
      <c r="AE505">
        <v>0.95</v>
      </c>
      <c r="AF505" s="14">
        <f t="shared" si="7"/>
        <v>0.52502910360884747</v>
      </c>
    </row>
    <row r="506" spans="1:32" x14ac:dyDescent="0.2">
      <c r="A506">
        <v>505</v>
      </c>
      <c r="B506" cm="1">
        <f t="array" ref="B506:AE506">_xlfn.XLOOKUP($A506,Instagram_Usage_Lifestyle_Mini_!$A:$A,Instagram_Usage_Lifestyle_Mini_!$AC:$BF)</f>
        <v>102</v>
      </c>
      <c r="C506">
        <v>4</v>
      </c>
      <c r="D506">
        <v>2</v>
      </c>
      <c r="E506">
        <v>95</v>
      </c>
      <c r="F506">
        <v>70</v>
      </c>
      <c r="G506">
        <v>76</v>
      </c>
      <c r="H506">
        <v>26</v>
      </c>
      <c r="I506">
        <v>16</v>
      </c>
      <c r="J506">
        <v>23</v>
      </c>
      <c r="K506">
        <v>18</v>
      </c>
      <c r="L506">
        <v>1</v>
      </c>
      <c r="M506">
        <v>49</v>
      </c>
      <c r="N506">
        <v>21</v>
      </c>
      <c r="O506">
        <v>21</v>
      </c>
      <c r="P506">
        <v>23</v>
      </c>
      <c r="Q506">
        <v>574</v>
      </c>
      <c r="R506">
        <v>1228</v>
      </c>
      <c r="S506" t="str">
        <v>No</v>
      </c>
      <c r="T506">
        <v>0.41</v>
      </c>
      <c r="U506">
        <v>2012</v>
      </c>
      <c r="V506">
        <v>45727</v>
      </c>
      <c r="W506">
        <v>25.5</v>
      </c>
      <c r="X506" t="str">
        <v>Mixed</v>
      </c>
      <c r="Y506" t="str">
        <v>Art</v>
      </c>
      <c r="Z506" t="str">
        <v>Friends_only</v>
      </c>
      <c r="AA506" t="str">
        <v>Yes</v>
      </c>
      <c r="AB506" t="str">
        <v>No</v>
      </c>
      <c r="AC506">
        <v>1</v>
      </c>
      <c r="AD506" t="str">
        <v>Premium</v>
      </c>
      <c r="AE506">
        <v>1.3</v>
      </c>
      <c r="AF506" s="14">
        <f t="shared" si="7"/>
        <v>0.46742671009771986</v>
      </c>
    </row>
    <row r="507" spans="1:32" x14ac:dyDescent="0.2">
      <c r="A507">
        <v>506</v>
      </c>
      <c r="B507" cm="1">
        <f t="array" ref="B507:AE507">_xlfn.XLOOKUP($A507,Instagram_Usage_Lifestyle_Mini_!$A:$A,Instagram_Usage_Lifestyle_Mini_!$AC:$BF)</f>
        <v>32</v>
      </c>
      <c r="C507">
        <v>1</v>
      </c>
      <c r="D507">
        <v>2</v>
      </c>
      <c r="E507">
        <v>58</v>
      </c>
      <c r="F507">
        <v>46</v>
      </c>
      <c r="G507">
        <v>40</v>
      </c>
      <c r="H507">
        <v>9</v>
      </c>
      <c r="I507">
        <v>17</v>
      </c>
      <c r="J507">
        <v>16</v>
      </c>
      <c r="K507">
        <v>8</v>
      </c>
      <c r="L507">
        <v>1</v>
      </c>
      <c r="M507">
        <v>14</v>
      </c>
      <c r="N507">
        <v>4</v>
      </c>
      <c r="O507">
        <v>4</v>
      </c>
      <c r="P507">
        <v>8</v>
      </c>
      <c r="Q507">
        <v>4842</v>
      </c>
      <c r="R507">
        <v>10000</v>
      </c>
      <c r="S507" t="str">
        <v>No</v>
      </c>
      <c r="T507">
        <v>0.46</v>
      </c>
      <c r="U507">
        <v>2010</v>
      </c>
      <c r="V507">
        <v>45908</v>
      </c>
      <c r="W507">
        <v>32</v>
      </c>
      <c r="X507" t="str">
        <v>Photos</v>
      </c>
      <c r="Y507" t="str">
        <v>Other</v>
      </c>
      <c r="Z507" t="str">
        <v>Private</v>
      </c>
      <c r="AA507" t="str">
        <v>Yes</v>
      </c>
      <c r="AB507" t="str">
        <v>Yes</v>
      </c>
      <c r="AC507">
        <v>2</v>
      </c>
      <c r="AD507" t="str">
        <v>Free</v>
      </c>
      <c r="AE507">
        <v>1.94</v>
      </c>
      <c r="AF507" s="14">
        <f t="shared" si="7"/>
        <v>0.48420000000000002</v>
      </c>
    </row>
    <row r="508" spans="1:32" x14ac:dyDescent="0.2">
      <c r="A508">
        <v>507</v>
      </c>
      <c r="B508" cm="1">
        <f t="array" ref="B508:AE508">_xlfn.XLOOKUP($A508,Instagram_Usage_Lifestyle_Mini_!$A:$A,Instagram_Usage_Lifestyle_Mini_!$AC:$BF)</f>
        <v>5</v>
      </c>
      <c r="C508">
        <v>1</v>
      </c>
      <c r="D508">
        <v>5</v>
      </c>
      <c r="E508">
        <v>46</v>
      </c>
      <c r="F508">
        <v>40</v>
      </c>
      <c r="G508">
        <v>25</v>
      </c>
      <c r="H508">
        <v>6</v>
      </c>
      <c r="I508">
        <v>12</v>
      </c>
      <c r="J508">
        <v>7</v>
      </c>
      <c r="K508">
        <v>5</v>
      </c>
      <c r="L508">
        <v>0</v>
      </c>
      <c r="M508">
        <v>3</v>
      </c>
      <c r="N508">
        <v>1</v>
      </c>
      <c r="O508">
        <v>1</v>
      </c>
      <c r="P508">
        <v>2</v>
      </c>
      <c r="Q508">
        <v>584</v>
      </c>
      <c r="R508">
        <v>722</v>
      </c>
      <c r="S508" t="str">
        <v>Yes</v>
      </c>
      <c r="T508">
        <v>0.41</v>
      </c>
      <c r="U508">
        <v>2015</v>
      </c>
      <c r="V508">
        <v>45876</v>
      </c>
      <c r="W508">
        <v>5</v>
      </c>
      <c r="X508" t="str">
        <v>Videos</v>
      </c>
      <c r="Y508" t="str">
        <v>Art</v>
      </c>
      <c r="Z508" t="str">
        <v>Friends_only</v>
      </c>
      <c r="AA508" t="str">
        <v>Yes</v>
      </c>
      <c r="AB508" t="str">
        <v>No</v>
      </c>
      <c r="AC508">
        <v>2</v>
      </c>
      <c r="AD508" t="str">
        <v>Free</v>
      </c>
      <c r="AE508">
        <v>8.67</v>
      </c>
      <c r="AF508" s="14">
        <f t="shared" si="7"/>
        <v>0.80886426592797789</v>
      </c>
    </row>
    <row r="509" spans="1:32" x14ac:dyDescent="0.2">
      <c r="A509">
        <v>508</v>
      </c>
      <c r="B509" cm="1">
        <f t="array" ref="B509:AE509">_xlfn.XLOOKUP($A509,Instagram_Usage_Lifestyle_Mini_!$A:$A,Instagram_Usage_Lifestyle_Mini_!$AC:$BF)</f>
        <v>346</v>
      </c>
      <c r="C509">
        <v>27</v>
      </c>
      <c r="D509">
        <v>12</v>
      </c>
      <c r="E509">
        <v>245</v>
      </c>
      <c r="F509">
        <v>150</v>
      </c>
      <c r="G509">
        <v>198</v>
      </c>
      <c r="H509">
        <v>63</v>
      </c>
      <c r="I509">
        <v>41</v>
      </c>
      <c r="J509">
        <v>64</v>
      </c>
      <c r="K509">
        <v>33</v>
      </c>
      <c r="L509">
        <v>11</v>
      </c>
      <c r="M509">
        <v>186</v>
      </c>
      <c r="N509">
        <v>102</v>
      </c>
      <c r="O509">
        <v>73</v>
      </c>
      <c r="P509">
        <v>103</v>
      </c>
      <c r="Q509">
        <v>1792</v>
      </c>
      <c r="R509">
        <v>2371</v>
      </c>
      <c r="S509" t="str">
        <v>No</v>
      </c>
      <c r="T509">
        <v>0.13</v>
      </c>
      <c r="U509">
        <v>2020</v>
      </c>
      <c r="V509">
        <v>45987</v>
      </c>
      <c r="W509">
        <v>12.8</v>
      </c>
      <c r="X509" t="str">
        <v>Stories</v>
      </c>
      <c r="Y509" t="str">
        <v>Fitness</v>
      </c>
      <c r="Z509" t="str">
        <v>Friends_only</v>
      </c>
      <c r="AA509" t="str">
        <v>Yes</v>
      </c>
      <c r="AB509" t="str">
        <v>Yes</v>
      </c>
      <c r="AC509">
        <v>0</v>
      </c>
      <c r="AD509" t="str">
        <v>Free</v>
      </c>
      <c r="AE509">
        <v>1.04</v>
      </c>
      <c r="AF509" s="14">
        <f t="shared" si="7"/>
        <v>0.75579924082665539</v>
      </c>
    </row>
    <row r="510" spans="1:32" x14ac:dyDescent="0.2">
      <c r="A510">
        <v>509</v>
      </c>
      <c r="B510" cm="1">
        <f t="array" ref="B510:AE510">_xlfn.XLOOKUP($A510,Instagram_Usage_Lifestyle_Mini_!$A:$A,Instagram_Usage_Lifestyle_Mini_!$AC:$BF)</f>
        <v>120</v>
      </c>
      <c r="C510">
        <v>5</v>
      </c>
      <c r="D510">
        <v>6</v>
      </c>
      <c r="E510">
        <v>97</v>
      </c>
      <c r="F510">
        <v>69</v>
      </c>
      <c r="G510">
        <v>81</v>
      </c>
      <c r="H510">
        <v>20</v>
      </c>
      <c r="I510">
        <v>34</v>
      </c>
      <c r="J510">
        <v>23</v>
      </c>
      <c r="K510">
        <v>13</v>
      </c>
      <c r="L510">
        <v>4</v>
      </c>
      <c r="M510">
        <v>52</v>
      </c>
      <c r="N510">
        <v>27</v>
      </c>
      <c r="O510">
        <v>17</v>
      </c>
      <c r="P510">
        <v>38</v>
      </c>
      <c r="Q510">
        <v>1605</v>
      </c>
      <c r="R510">
        <v>3774</v>
      </c>
      <c r="S510" t="str">
        <v>Yes</v>
      </c>
      <c r="T510">
        <v>0.02</v>
      </c>
      <c r="U510">
        <v>2019</v>
      </c>
      <c r="V510">
        <v>45845</v>
      </c>
      <c r="W510">
        <v>24</v>
      </c>
      <c r="X510" t="str">
        <v>Live</v>
      </c>
      <c r="Y510" t="str">
        <v>Tech</v>
      </c>
      <c r="Z510" t="str">
        <v>Public</v>
      </c>
      <c r="AA510" t="str">
        <v>Yes</v>
      </c>
      <c r="AB510" t="str">
        <v>Yes</v>
      </c>
      <c r="AC510">
        <v>3</v>
      </c>
      <c r="AD510" t="str">
        <v>Free</v>
      </c>
      <c r="AE510">
        <v>1.1499999999999999</v>
      </c>
      <c r="AF510" s="14">
        <f t="shared" si="7"/>
        <v>0.42527821939586646</v>
      </c>
    </row>
    <row r="511" spans="1:32" x14ac:dyDescent="0.2">
      <c r="A511">
        <v>510</v>
      </c>
      <c r="B511" cm="1">
        <f t="array" ref="B511:AE511">_xlfn.XLOOKUP($A511,Instagram_Usage_Lifestyle_Mini_!$A:$A,Instagram_Usage_Lifestyle_Mini_!$AC:$BF)</f>
        <v>132</v>
      </c>
      <c r="C511">
        <v>13</v>
      </c>
      <c r="D511">
        <v>3</v>
      </c>
      <c r="E511">
        <v>100</v>
      </c>
      <c r="F511">
        <v>87</v>
      </c>
      <c r="G511">
        <v>78</v>
      </c>
      <c r="H511">
        <v>34</v>
      </c>
      <c r="I511">
        <v>24</v>
      </c>
      <c r="J511">
        <v>31</v>
      </c>
      <c r="K511">
        <v>12</v>
      </c>
      <c r="L511">
        <v>5</v>
      </c>
      <c r="M511">
        <v>65</v>
      </c>
      <c r="N511">
        <v>14</v>
      </c>
      <c r="O511">
        <v>16</v>
      </c>
      <c r="P511">
        <v>41</v>
      </c>
      <c r="Q511">
        <v>1653</v>
      </c>
      <c r="R511">
        <v>1488</v>
      </c>
      <c r="S511" t="str">
        <v>No</v>
      </c>
      <c r="T511">
        <v>0.34</v>
      </c>
      <c r="U511">
        <v>2019</v>
      </c>
      <c r="V511">
        <v>45793</v>
      </c>
      <c r="W511">
        <v>10.199999999999999</v>
      </c>
      <c r="X511" t="str">
        <v>Reels</v>
      </c>
      <c r="Y511" t="str">
        <v>Fitness</v>
      </c>
      <c r="Z511" t="str">
        <v>Public</v>
      </c>
      <c r="AA511" t="str">
        <v>Yes</v>
      </c>
      <c r="AB511" t="str">
        <v>No</v>
      </c>
      <c r="AC511">
        <v>5</v>
      </c>
      <c r="AD511" t="str">
        <v>Free</v>
      </c>
      <c r="AE511">
        <v>1.17</v>
      </c>
      <c r="AF511" s="14">
        <f t="shared" si="7"/>
        <v>1.1108870967741935</v>
      </c>
    </row>
    <row r="512" spans="1:32" x14ac:dyDescent="0.2">
      <c r="A512">
        <v>511</v>
      </c>
      <c r="B512" cm="1">
        <f t="array" ref="B512:AE512">_xlfn.XLOOKUP($A512,Instagram_Usage_Lifestyle_Mini_!$A:$A,Instagram_Usage_Lifestyle_Mini_!$AC:$BF)</f>
        <v>5</v>
      </c>
      <c r="C512">
        <v>1</v>
      </c>
      <c r="D512">
        <v>0</v>
      </c>
      <c r="E512">
        <v>57</v>
      </c>
      <c r="F512">
        <v>28</v>
      </c>
      <c r="G512">
        <v>24</v>
      </c>
      <c r="H512">
        <v>6</v>
      </c>
      <c r="I512">
        <v>13</v>
      </c>
      <c r="J512">
        <v>7</v>
      </c>
      <c r="K512">
        <v>1</v>
      </c>
      <c r="L512">
        <v>1</v>
      </c>
      <c r="M512">
        <v>2</v>
      </c>
      <c r="N512">
        <v>1</v>
      </c>
      <c r="O512">
        <v>1</v>
      </c>
      <c r="P512">
        <v>1</v>
      </c>
      <c r="Q512">
        <v>671</v>
      </c>
      <c r="R512">
        <v>1570</v>
      </c>
      <c r="S512" t="str">
        <v>No</v>
      </c>
      <c r="T512">
        <v>0.69</v>
      </c>
      <c r="U512">
        <v>2025</v>
      </c>
      <c r="V512">
        <v>45669</v>
      </c>
      <c r="W512">
        <v>5</v>
      </c>
      <c r="X512" t="str">
        <v>Videos</v>
      </c>
      <c r="Y512" t="str">
        <v>Fashion</v>
      </c>
      <c r="Z512" t="str">
        <v>Public</v>
      </c>
      <c r="AA512" t="str">
        <v>Yes</v>
      </c>
      <c r="AB512" t="str">
        <v>No</v>
      </c>
      <c r="AC512">
        <v>1</v>
      </c>
      <c r="AD512" t="str">
        <v>Free</v>
      </c>
      <c r="AE512">
        <v>6</v>
      </c>
      <c r="AF512" s="14">
        <f t="shared" si="7"/>
        <v>0.42738853503184715</v>
      </c>
    </row>
    <row r="513" spans="1:32" x14ac:dyDescent="0.2">
      <c r="A513">
        <v>512</v>
      </c>
      <c r="B513" cm="1">
        <f t="array" ref="B513:AE513">_xlfn.XLOOKUP($A513,Instagram_Usage_Lifestyle_Mini_!$A:$A,Instagram_Usage_Lifestyle_Mini_!$AC:$BF)</f>
        <v>174</v>
      </c>
      <c r="C513">
        <v>5</v>
      </c>
      <c r="D513">
        <v>7</v>
      </c>
      <c r="E513">
        <v>250</v>
      </c>
      <c r="F513">
        <v>101</v>
      </c>
      <c r="G513">
        <v>116</v>
      </c>
      <c r="H513">
        <v>28</v>
      </c>
      <c r="I513">
        <v>26</v>
      </c>
      <c r="J513">
        <v>24</v>
      </c>
      <c r="K513">
        <v>19</v>
      </c>
      <c r="L513">
        <v>2</v>
      </c>
      <c r="M513">
        <v>78</v>
      </c>
      <c r="N513">
        <v>36</v>
      </c>
      <c r="O513">
        <v>27</v>
      </c>
      <c r="P513">
        <v>42</v>
      </c>
      <c r="Q513">
        <v>1142</v>
      </c>
      <c r="R513">
        <v>1214</v>
      </c>
      <c r="S513" t="str">
        <v>Yes</v>
      </c>
      <c r="T513">
        <v>0</v>
      </c>
      <c r="U513">
        <v>2022</v>
      </c>
      <c r="V513">
        <v>45772</v>
      </c>
      <c r="W513">
        <v>34.799999999999997</v>
      </c>
      <c r="X513" t="str">
        <v>Videos</v>
      </c>
      <c r="Y513" t="str">
        <v>Food</v>
      </c>
      <c r="Z513" t="str">
        <v>Private</v>
      </c>
      <c r="AA513" t="str">
        <v>Yes</v>
      </c>
      <c r="AB513" t="str">
        <v>Yes</v>
      </c>
      <c r="AC513">
        <v>3</v>
      </c>
      <c r="AD513" t="str">
        <v>Free</v>
      </c>
      <c r="AE513">
        <v>1.1000000000000001</v>
      </c>
      <c r="AF513" s="14">
        <f t="shared" si="7"/>
        <v>0.94069192751235586</v>
      </c>
    </row>
    <row r="514" spans="1:32" x14ac:dyDescent="0.2">
      <c r="A514">
        <v>513</v>
      </c>
      <c r="B514" cm="1">
        <f t="array" ref="B514:AE514">_xlfn.XLOOKUP($A514,Instagram_Usage_Lifestyle_Mini_!$A:$A,Instagram_Usage_Lifestyle_Mini_!$AC:$BF)</f>
        <v>151</v>
      </c>
      <c r="C514">
        <v>13</v>
      </c>
      <c r="D514">
        <v>4</v>
      </c>
      <c r="E514">
        <v>201</v>
      </c>
      <c r="F514">
        <v>78</v>
      </c>
      <c r="G514">
        <v>99</v>
      </c>
      <c r="H514">
        <v>23</v>
      </c>
      <c r="I514">
        <v>21</v>
      </c>
      <c r="J514">
        <v>27</v>
      </c>
      <c r="K514">
        <v>13</v>
      </c>
      <c r="L514">
        <v>3</v>
      </c>
      <c r="M514">
        <v>84</v>
      </c>
      <c r="N514">
        <v>25</v>
      </c>
      <c r="O514">
        <v>33</v>
      </c>
      <c r="P514">
        <v>56</v>
      </c>
      <c r="Q514">
        <v>765</v>
      </c>
      <c r="R514">
        <v>799</v>
      </c>
      <c r="S514" t="str">
        <v>No</v>
      </c>
      <c r="T514">
        <v>0.71</v>
      </c>
      <c r="U514">
        <v>2014</v>
      </c>
      <c r="V514">
        <v>45753</v>
      </c>
      <c r="W514">
        <v>11.6</v>
      </c>
      <c r="X514" t="str">
        <v>Videos</v>
      </c>
      <c r="Y514" t="str">
        <v>Other</v>
      </c>
      <c r="Z514" t="str">
        <v>Friends_only</v>
      </c>
      <c r="AA514" t="str">
        <v>Yes</v>
      </c>
      <c r="AB514" t="str">
        <v>Yes</v>
      </c>
      <c r="AC514">
        <v>1</v>
      </c>
      <c r="AD514" t="str">
        <v>Premium</v>
      </c>
      <c r="AE514">
        <v>1.03</v>
      </c>
      <c r="AF514" s="14">
        <f t="shared" si="7"/>
        <v>0.95744680851063835</v>
      </c>
    </row>
    <row r="515" spans="1:32" x14ac:dyDescent="0.2">
      <c r="A515">
        <v>514</v>
      </c>
      <c r="B515" cm="1">
        <f t="array" ref="B515:AE515">_xlfn.XLOOKUP($A515,Instagram_Usage_Lifestyle_Mini_!$A:$A,Instagram_Usage_Lifestyle_Mini_!$AC:$BF)</f>
        <v>159</v>
      </c>
      <c r="C515">
        <v>5</v>
      </c>
      <c r="D515">
        <v>4</v>
      </c>
      <c r="E515">
        <v>132</v>
      </c>
      <c r="F515">
        <v>102</v>
      </c>
      <c r="G515">
        <v>94</v>
      </c>
      <c r="H515">
        <v>34</v>
      </c>
      <c r="I515">
        <v>23</v>
      </c>
      <c r="J515">
        <v>40</v>
      </c>
      <c r="K515">
        <v>16</v>
      </c>
      <c r="L515">
        <v>4</v>
      </c>
      <c r="M515">
        <v>79</v>
      </c>
      <c r="N515">
        <v>19</v>
      </c>
      <c r="O515">
        <v>34</v>
      </c>
      <c r="P515">
        <v>43</v>
      </c>
      <c r="Q515">
        <v>1427</v>
      </c>
      <c r="R515">
        <v>676</v>
      </c>
      <c r="S515" t="str">
        <v>Yes</v>
      </c>
      <c r="T515">
        <v>0.25</v>
      </c>
      <c r="U515">
        <v>2013</v>
      </c>
      <c r="V515">
        <v>45987</v>
      </c>
      <c r="W515">
        <v>31.8</v>
      </c>
      <c r="X515" t="str">
        <v>Reels</v>
      </c>
      <c r="Y515" t="str">
        <v>Fashion</v>
      </c>
      <c r="Z515" t="str">
        <v>Private</v>
      </c>
      <c r="AA515" t="str">
        <v>Yes</v>
      </c>
      <c r="AB515" t="str">
        <v>No</v>
      </c>
      <c r="AC515">
        <v>1</v>
      </c>
      <c r="AD515" t="str">
        <v>Free</v>
      </c>
      <c r="AE515">
        <v>1.0900000000000001</v>
      </c>
      <c r="AF515" s="14">
        <f t="shared" ref="AF515:AF578" si="8">IF(R515=0,0,Q515/R515)</f>
        <v>2.11094674556213</v>
      </c>
    </row>
    <row r="516" spans="1:32" x14ac:dyDescent="0.2">
      <c r="A516">
        <v>515</v>
      </c>
      <c r="B516" cm="1">
        <f t="array" ref="B516:AE516">_xlfn.XLOOKUP($A516,Instagram_Usage_Lifestyle_Mini_!$A:$A,Instagram_Usage_Lifestyle_Mini_!$AC:$BF)</f>
        <v>282</v>
      </c>
      <c r="C516">
        <v>12</v>
      </c>
      <c r="D516">
        <v>7</v>
      </c>
      <c r="E516">
        <v>279</v>
      </c>
      <c r="F516">
        <v>123</v>
      </c>
      <c r="G516">
        <v>147</v>
      </c>
      <c r="H516">
        <v>46</v>
      </c>
      <c r="I516">
        <v>38</v>
      </c>
      <c r="J516">
        <v>34</v>
      </c>
      <c r="K516">
        <v>25</v>
      </c>
      <c r="L516">
        <v>9</v>
      </c>
      <c r="M516">
        <v>127</v>
      </c>
      <c r="N516">
        <v>74</v>
      </c>
      <c r="O516">
        <v>56</v>
      </c>
      <c r="P516">
        <v>88</v>
      </c>
      <c r="Q516">
        <v>1260</v>
      </c>
      <c r="R516">
        <v>1957</v>
      </c>
      <c r="S516" t="str">
        <v>No</v>
      </c>
      <c r="T516">
        <v>0.21</v>
      </c>
      <c r="U516">
        <v>2019</v>
      </c>
      <c r="V516">
        <v>45801</v>
      </c>
      <c r="W516">
        <v>23.5</v>
      </c>
      <c r="X516" t="str">
        <v>Reels</v>
      </c>
      <c r="Y516" t="str">
        <v>Travel</v>
      </c>
      <c r="Z516" t="str">
        <v>Friends_only</v>
      </c>
      <c r="AA516" t="str">
        <v>No</v>
      </c>
      <c r="AB516" t="str">
        <v>No</v>
      </c>
      <c r="AC516">
        <v>1</v>
      </c>
      <c r="AD516" t="str">
        <v>Free</v>
      </c>
      <c r="AE516">
        <v>0.92</v>
      </c>
      <c r="AF516" s="14">
        <f t="shared" si="8"/>
        <v>0.64384261624936123</v>
      </c>
    </row>
    <row r="517" spans="1:32" x14ac:dyDescent="0.2">
      <c r="A517">
        <v>516</v>
      </c>
      <c r="B517" cm="1">
        <f t="array" ref="B517:AE517">_xlfn.XLOOKUP($A517,Instagram_Usage_Lifestyle_Mini_!$A:$A,Instagram_Usage_Lifestyle_Mini_!$AC:$BF)</f>
        <v>174</v>
      </c>
      <c r="C517">
        <v>8</v>
      </c>
      <c r="D517">
        <v>4</v>
      </c>
      <c r="E517">
        <v>145</v>
      </c>
      <c r="F517">
        <v>78</v>
      </c>
      <c r="G517">
        <v>115</v>
      </c>
      <c r="H517">
        <v>34</v>
      </c>
      <c r="I517">
        <v>29</v>
      </c>
      <c r="J517">
        <v>27</v>
      </c>
      <c r="K517">
        <v>17</v>
      </c>
      <c r="L517">
        <v>4</v>
      </c>
      <c r="M517">
        <v>104</v>
      </c>
      <c r="N517">
        <v>20</v>
      </c>
      <c r="O517">
        <v>41</v>
      </c>
      <c r="P517">
        <v>37</v>
      </c>
      <c r="Q517">
        <v>1000</v>
      </c>
      <c r="R517">
        <v>1917</v>
      </c>
      <c r="S517" t="str">
        <v>Yes</v>
      </c>
      <c r="T517">
        <v>0.99</v>
      </c>
      <c r="U517">
        <v>2016</v>
      </c>
      <c r="V517">
        <v>45722</v>
      </c>
      <c r="W517">
        <v>21.8</v>
      </c>
      <c r="X517" t="str">
        <v>Photos</v>
      </c>
      <c r="Y517" t="str">
        <v>Music</v>
      </c>
      <c r="Z517" t="str">
        <v>Private</v>
      </c>
      <c r="AA517" t="str">
        <v>Yes</v>
      </c>
      <c r="AB517" t="str">
        <v>No</v>
      </c>
      <c r="AC517">
        <v>5</v>
      </c>
      <c r="AD517" t="str">
        <v>Free</v>
      </c>
      <c r="AE517">
        <v>1.1100000000000001</v>
      </c>
      <c r="AF517" s="14">
        <f t="shared" si="8"/>
        <v>0.52164840897235265</v>
      </c>
    </row>
    <row r="518" spans="1:32" x14ac:dyDescent="0.2">
      <c r="A518">
        <v>517</v>
      </c>
      <c r="B518" cm="1">
        <f t="array" ref="B518:AE518">_xlfn.XLOOKUP($A518,Instagram_Usage_Lifestyle_Mini_!$A:$A,Instagram_Usage_Lifestyle_Mini_!$AC:$BF)</f>
        <v>236</v>
      </c>
      <c r="C518">
        <v>11</v>
      </c>
      <c r="D518">
        <v>7</v>
      </c>
      <c r="E518">
        <v>170</v>
      </c>
      <c r="F518">
        <v>140</v>
      </c>
      <c r="G518">
        <v>158</v>
      </c>
      <c r="H518">
        <v>34</v>
      </c>
      <c r="I518">
        <v>42</v>
      </c>
      <c r="J518">
        <v>31</v>
      </c>
      <c r="K518">
        <v>29</v>
      </c>
      <c r="L518">
        <v>6</v>
      </c>
      <c r="M518">
        <v>103</v>
      </c>
      <c r="N518">
        <v>25</v>
      </c>
      <c r="O518">
        <v>42</v>
      </c>
      <c r="P518">
        <v>88</v>
      </c>
      <c r="Q518">
        <v>1397</v>
      </c>
      <c r="R518">
        <v>1062</v>
      </c>
      <c r="S518" t="str">
        <v>No</v>
      </c>
      <c r="T518">
        <v>0.28000000000000003</v>
      </c>
      <c r="U518">
        <v>2020</v>
      </c>
      <c r="V518">
        <v>46018</v>
      </c>
      <c r="W518">
        <v>21.5</v>
      </c>
      <c r="X518" t="str">
        <v>Photos</v>
      </c>
      <c r="Y518" t="str">
        <v>Music</v>
      </c>
      <c r="Z518" t="str">
        <v>Private</v>
      </c>
      <c r="AA518" t="str">
        <v>Yes</v>
      </c>
      <c r="AB518" t="str">
        <v>No</v>
      </c>
      <c r="AC518">
        <v>1</v>
      </c>
      <c r="AD518" t="str">
        <v>Free</v>
      </c>
      <c r="AE518">
        <v>1.04</v>
      </c>
      <c r="AF518" s="14">
        <f t="shared" si="8"/>
        <v>1.3154425612052731</v>
      </c>
    </row>
    <row r="519" spans="1:32" x14ac:dyDescent="0.2">
      <c r="A519">
        <v>518</v>
      </c>
      <c r="B519" cm="1">
        <f t="array" ref="B519:AE519">_xlfn.XLOOKUP($A519,Instagram_Usage_Lifestyle_Mini_!$A:$A,Instagram_Usage_Lifestyle_Mini_!$AC:$BF)</f>
        <v>205</v>
      </c>
      <c r="C519">
        <v>7</v>
      </c>
      <c r="D519">
        <v>19</v>
      </c>
      <c r="E519">
        <v>237</v>
      </c>
      <c r="F519">
        <v>100</v>
      </c>
      <c r="G519">
        <v>124</v>
      </c>
      <c r="H519">
        <v>31</v>
      </c>
      <c r="I519">
        <v>25</v>
      </c>
      <c r="J519">
        <v>39</v>
      </c>
      <c r="K519">
        <v>25</v>
      </c>
      <c r="L519">
        <v>4</v>
      </c>
      <c r="M519">
        <v>88</v>
      </c>
      <c r="N519">
        <v>42</v>
      </c>
      <c r="O519">
        <v>40</v>
      </c>
      <c r="P519">
        <v>68</v>
      </c>
      <c r="Q519">
        <v>8321</v>
      </c>
      <c r="R519">
        <v>8456</v>
      </c>
      <c r="S519" t="str">
        <v>Yes</v>
      </c>
      <c r="T519">
        <v>0.42</v>
      </c>
      <c r="U519">
        <v>2014</v>
      </c>
      <c r="V519">
        <v>45929</v>
      </c>
      <c r="W519">
        <v>29.3</v>
      </c>
      <c r="X519" t="str">
        <v>Mixed</v>
      </c>
      <c r="Y519" t="str">
        <v>Travel</v>
      </c>
      <c r="Z519" t="str">
        <v>Public</v>
      </c>
      <c r="AA519" t="str">
        <v>No</v>
      </c>
      <c r="AB519" t="str">
        <v>Yes</v>
      </c>
      <c r="AC519">
        <v>3</v>
      </c>
      <c r="AD519" t="str">
        <v>Business</v>
      </c>
      <c r="AE519">
        <v>1.18</v>
      </c>
      <c r="AF519" s="14">
        <f t="shared" si="8"/>
        <v>0.98403500473036898</v>
      </c>
    </row>
    <row r="520" spans="1:32" x14ac:dyDescent="0.2">
      <c r="A520">
        <v>519</v>
      </c>
      <c r="B520" cm="1">
        <f t="array" ref="B520:AE520">_xlfn.XLOOKUP($A520,Instagram_Usage_Lifestyle_Mini_!$A:$A,Instagram_Usage_Lifestyle_Mini_!$AC:$BF)</f>
        <v>5</v>
      </c>
      <c r="C520">
        <v>1</v>
      </c>
      <c r="D520">
        <v>7</v>
      </c>
      <c r="E520">
        <v>120</v>
      </c>
      <c r="F520">
        <v>24</v>
      </c>
      <c r="G520">
        <v>28</v>
      </c>
      <c r="H520">
        <v>6</v>
      </c>
      <c r="I520">
        <v>12</v>
      </c>
      <c r="J520">
        <v>15</v>
      </c>
      <c r="K520">
        <v>4</v>
      </c>
      <c r="L520">
        <v>3</v>
      </c>
      <c r="M520">
        <v>2</v>
      </c>
      <c r="N520">
        <v>1</v>
      </c>
      <c r="O520">
        <v>1</v>
      </c>
      <c r="P520">
        <v>2</v>
      </c>
      <c r="Q520">
        <v>768</v>
      </c>
      <c r="R520">
        <v>1717</v>
      </c>
      <c r="S520" t="str">
        <v>No</v>
      </c>
      <c r="T520">
        <v>0.56999999999999995</v>
      </c>
      <c r="U520">
        <v>2023</v>
      </c>
      <c r="V520">
        <v>45883</v>
      </c>
      <c r="W520">
        <v>5</v>
      </c>
      <c r="X520" t="str">
        <v>Reels</v>
      </c>
      <c r="Y520" t="str">
        <v>Tech</v>
      </c>
      <c r="Z520" t="str">
        <v>Public</v>
      </c>
      <c r="AA520" t="str">
        <v>Yes</v>
      </c>
      <c r="AB520" t="str">
        <v>No</v>
      </c>
      <c r="AC520">
        <v>3</v>
      </c>
      <c r="AD520" t="str">
        <v>Free</v>
      </c>
      <c r="AE520">
        <v>10.17</v>
      </c>
      <c r="AF520" s="14">
        <f t="shared" si="8"/>
        <v>0.44729178800232966</v>
      </c>
    </row>
    <row r="521" spans="1:32" x14ac:dyDescent="0.2">
      <c r="A521">
        <v>520</v>
      </c>
      <c r="B521" cm="1">
        <f t="array" ref="B521:AE521">_xlfn.XLOOKUP($A521,Instagram_Usage_Lifestyle_Mini_!$A:$A,Instagram_Usage_Lifestyle_Mini_!$AC:$BF)</f>
        <v>273</v>
      </c>
      <c r="C521">
        <v>8</v>
      </c>
      <c r="D521">
        <v>10</v>
      </c>
      <c r="E521">
        <v>200</v>
      </c>
      <c r="F521">
        <v>127</v>
      </c>
      <c r="G521">
        <v>160</v>
      </c>
      <c r="H521">
        <v>54</v>
      </c>
      <c r="I521">
        <v>36</v>
      </c>
      <c r="J521">
        <v>28</v>
      </c>
      <c r="K521">
        <v>33</v>
      </c>
      <c r="L521">
        <v>4</v>
      </c>
      <c r="M521">
        <v>152</v>
      </c>
      <c r="N521">
        <v>49</v>
      </c>
      <c r="O521">
        <v>64</v>
      </c>
      <c r="P521">
        <v>57</v>
      </c>
      <c r="Q521">
        <v>902</v>
      </c>
      <c r="R521">
        <v>1453</v>
      </c>
      <c r="S521" t="str">
        <v>No</v>
      </c>
      <c r="T521">
        <v>0.96</v>
      </c>
      <c r="U521">
        <v>2017</v>
      </c>
      <c r="V521">
        <v>45880</v>
      </c>
      <c r="W521">
        <v>34.1</v>
      </c>
      <c r="X521" t="str">
        <v>Mixed</v>
      </c>
      <c r="Y521" t="str">
        <v>Other</v>
      </c>
      <c r="Z521" t="str">
        <v>Friends_only</v>
      </c>
      <c r="AA521" t="str">
        <v>Yes</v>
      </c>
      <c r="AB521" t="str">
        <v>Yes</v>
      </c>
      <c r="AC521">
        <v>3</v>
      </c>
      <c r="AD521" t="str">
        <v>Premium</v>
      </c>
      <c r="AE521">
        <v>1.0900000000000001</v>
      </c>
      <c r="AF521" s="14">
        <f t="shared" si="8"/>
        <v>0.62078458362009636</v>
      </c>
    </row>
    <row r="522" spans="1:32" x14ac:dyDescent="0.2">
      <c r="A522">
        <v>521</v>
      </c>
      <c r="B522" cm="1">
        <f t="array" ref="B522:AE522">_xlfn.XLOOKUP($A522,Instagram_Usage_Lifestyle_Mini_!$A:$A,Instagram_Usage_Lifestyle_Mini_!$AC:$BF)</f>
        <v>258</v>
      </c>
      <c r="C522">
        <v>21</v>
      </c>
      <c r="D522">
        <v>8</v>
      </c>
      <c r="E522">
        <v>266</v>
      </c>
      <c r="F522">
        <v>122</v>
      </c>
      <c r="G522">
        <v>161</v>
      </c>
      <c r="H522">
        <v>45</v>
      </c>
      <c r="I522">
        <v>35</v>
      </c>
      <c r="J522">
        <v>38</v>
      </c>
      <c r="K522">
        <v>34</v>
      </c>
      <c r="L522">
        <v>7</v>
      </c>
      <c r="M522">
        <v>149</v>
      </c>
      <c r="N522">
        <v>73</v>
      </c>
      <c r="O522">
        <v>35</v>
      </c>
      <c r="P522">
        <v>93</v>
      </c>
      <c r="Q522">
        <v>375</v>
      </c>
      <c r="R522">
        <v>161</v>
      </c>
      <c r="S522" t="str">
        <v>No</v>
      </c>
      <c r="T522">
        <v>0.61</v>
      </c>
      <c r="U522">
        <v>2013</v>
      </c>
      <c r="V522">
        <v>45678</v>
      </c>
      <c r="W522">
        <v>12.3</v>
      </c>
      <c r="X522" t="str">
        <v>Mixed</v>
      </c>
      <c r="Y522" t="str">
        <v>Tech</v>
      </c>
      <c r="Z522" t="str">
        <v>Friends_only</v>
      </c>
      <c r="AA522" t="str">
        <v>Yes</v>
      </c>
      <c r="AB522" t="str">
        <v>No</v>
      </c>
      <c r="AC522">
        <v>3</v>
      </c>
      <c r="AD522" t="str">
        <v>Free</v>
      </c>
      <c r="AE522">
        <v>1.06</v>
      </c>
      <c r="AF522" s="14">
        <f t="shared" si="8"/>
        <v>2.329192546583851</v>
      </c>
    </row>
    <row r="523" spans="1:32" x14ac:dyDescent="0.2">
      <c r="A523">
        <v>522</v>
      </c>
      <c r="B523" cm="1">
        <f t="array" ref="B523:AE523">_xlfn.XLOOKUP($A523,Instagram_Usage_Lifestyle_Mini_!$A:$A,Instagram_Usage_Lifestyle_Mini_!$AC:$BF)</f>
        <v>216</v>
      </c>
      <c r="C523">
        <v>22</v>
      </c>
      <c r="D523">
        <v>9</v>
      </c>
      <c r="E523">
        <v>179</v>
      </c>
      <c r="F523">
        <v>101</v>
      </c>
      <c r="G523">
        <v>139</v>
      </c>
      <c r="H523">
        <v>30</v>
      </c>
      <c r="I523">
        <v>29</v>
      </c>
      <c r="J523">
        <v>31</v>
      </c>
      <c r="K523">
        <v>18</v>
      </c>
      <c r="L523">
        <v>9</v>
      </c>
      <c r="M523">
        <v>108</v>
      </c>
      <c r="N523">
        <v>31</v>
      </c>
      <c r="O523">
        <v>43</v>
      </c>
      <c r="P523">
        <v>46</v>
      </c>
      <c r="Q523">
        <v>431</v>
      </c>
      <c r="R523">
        <v>542</v>
      </c>
      <c r="S523" t="str">
        <v>No</v>
      </c>
      <c r="T523">
        <v>0.3</v>
      </c>
      <c r="U523">
        <v>2020</v>
      </c>
      <c r="V523">
        <v>46025</v>
      </c>
      <c r="W523">
        <v>9.8000000000000007</v>
      </c>
      <c r="X523" t="str">
        <v>Mixed</v>
      </c>
      <c r="Y523" t="str">
        <v>Music</v>
      </c>
      <c r="Z523" t="str">
        <v>Private</v>
      </c>
      <c r="AA523" t="str">
        <v>No</v>
      </c>
      <c r="AB523" t="str">
        <v>Yes</v>
      </c>
      <c r="AC523">
        <v>1</v>
      </c>
      <c r="AD523" t="str">
        <v>Free</v>
      </c>
      <c r="AE523">
        <v>1.04</v>
      </c>
      <c r="AF523" s="14">
        <f t="shared" si="8"/>
        <v>0.79520295202952029</v>
      </c>
    </row>
    <row r="524" spans="1:32" x14ac:dyDescent="0.2">
      <c r="A524">
        <v>523</v>
      </c>
      <c r="B524" cm="1">
        <f t="array" ref="B524:AE524">_xlfn.XLOOKUP($A524,Instagram_Usage_Lifestyle_Mini_!$A:$A,Instagram_Usage_Lifestyle_Mini_!$AC:$BF)</f>
        <v>367</v>
      </c>
      <c r="C524">
        <v>30</v>
      </c>
      <c r="D524">
        <v>8</v>
      </c>
      <c r="E524">
        <v>258</v>
      </c>
      <c r="F524">
        <v>150</v>
      </c>
      <c r="G524">
        <v>228</v>
      </c>
      <c r="H524">
        <v>59</v>
      </c>
      <c r="I524">
        <v>48</v>
      </c>
      <c r="J524">
        <v>62</v>
      </c>
      <c r="K524">
        <v>34</v>
      </c>
      <c r="L524">
        <v>9</v>
      </c>
      <c r="M524">
        <v>167</v>
      </c>
      <c r="N524">
        <v>88</v>
      </c>
      <c r="O524">
        <v>79</v>
      </c>
      <c r="P524">
        <v>103</v>
      </c>
      <c r="Q524">
        <v>488</v>
      </c>
      <c r="R524">
        <v>717</v>
      </c>
      <c r="S524" t="str">
        <v>No</v>
      </c>
      <c r="T524">
        <v>0.51</v>
      </c>
      <c r="U524">
        <v>2016</v>
      </c>
      <c r="V524">
        <v>45753</v>
      </c>
      <c r="W524">
        <v>12.2</v>
      </c>
      <c r="X524" t="str">
        <v>Stories</v>
      </c>
      <c r="Y524" t="str">
        <v>Food</v>
      </c>
      <c r="Z524" t="str">
        <v>Private</v>
      </c>
      <c r="AA524" t="str">
        <v>Yes</v>
      </c>
      <c r="AB524" t="str">
        <v>No</v>
      </c>
      <c r="AC524">
        <v>0</v>
      </c>
      <c r="AD524" t="str">
        <v>Free</v>
      </c>
      <c r="AE524">
        <v>1.01</v>
      </c>
      <c r="AF524" s="14">
        <f t="shared" si="8"/>
        <v>0.68061366806136681</v>
      </c>
    </row>
    <row r="525" spans="1:32" x14ac:dyDescent="0.2">
      <c r="A525">
        <v>524</v>
      </c>
      <c r="B525" cm="1">
        <f t="array" ref="B525:AE525">_xlfn.XLOOKUP($A525,Instagram_Usage_Lifestyle_Mini_!$A:$A,Instagram_Usage_Lifestyle_Mini_!$AC:$BF)</f>
        <v>394</v>
      </c>
      <c r="C525">
        <v>25</v>
      </c>
      <c r="D525">
        <v>11</v>
      </c>
      <c r="E525">
        <v>254</v>
      </c>
      <c r="F525">
        <v>150</v>
      </c>
      <c r="G525">
        <v>242</v>
      </c>
      <c r="H525">
        <v>77</v>
      </c>
      <c r="I525">
        <v>48</v>
      </c>
      <c r="J525">
        <v>44</v>
      </c>
      <c r="K525">
        <v>39</v>
      </c>
      <c r="L525">
        <v>10</v>
      </c>
      <c r="M525">
        <v>228</v>
      </c>
      <c r="N525">
        <v>50</v>
      </c>
      <c r="O525">
        <v>88</v>
      </c>
      <c r="P525">
        <v>130</v>
      </c>
      <c r="Q525">
        <v>900</v>
      </c>
      <c r="R525">
        <v>459</v>
      </c>
      <c r="S525" t="str">
        <v>No</v>
      </c>
      <c r="T525">
        <v>0.92</v>
      </c>
      <c r="U525">
        <v>2012</v>
      </c>
      <c r="V525">
        <v>45920</v>
      </c>
      <c r="W525">
        <v>15.8</v>
      </c>
      <c r="X525" t="str">
        <v>Reels</v>
      </c>
      <c r="Y525" t="str">
        <v>Art</v>
      </c>
      <c r="Z525" t="str">
        <v>Friends_only</v>
      </c>
      <c r="AA525" t="str">
        <v>Yes</v>
      </c>
      <c r="AB525" t="str">
        <v>Yes</v>
      </c>
      <c r="AC525">
        <v>2</v>
      </c>
      <c r="AD525" t="str">
        <v>Free</v>
      </c>
      <c r="AE525">
        <v>1.0900000000000001</v>
      </c>
      <c r="AF525" s="14">
        <f t="shared" si="8"/>
        <v>1.9607843137254901</v>
      </c>
    </row>
    <row r="526" spans="1:32" x14ac:dyDescent="0.2">
      <c r="A526">
        <v>525</v>
      </c>
      <c r="B526" cm="1">
        <f t="array" ref="B526:AE526">_xlfn.XLOOKUP($A526,Instagram_Usage_Lifestyle_Mini_!$A:$A,Instagram_Usage_Lifestyle_Mini_!$AC:$BF)</f>
        <v>341</v>
      </c>
      <c r="C526">
        <v>11</v>
      </c>
      <c r="D526">
        <v>6</v>
      </c>
      <c r="E526">
        <v>242</v>
      </c>
      <c r="F526">
        <v>150</v>
      </c>
      <c r="G526">
        <v>179</v>
      </c>
      <c r="H526">
        <v>60</v>
      </c>
      <c r="I526">
        <v>40</v>
      </c>
      <c r="J526">
        <v>40</v>
      </c>
      <c r="K526">
        <v>35</v>
      </c>
      <c r="L526">
        <v>10</v>
      </c>
      <c r="M526">
        <v>197</v>
      </c>
      <c r="N526">
        <v>58</v>
      </c>
      <c r="O526">
        <v>69</v>
      </c>
      <c r="P526">
        <v>130</v>
      </c>
      <c r="Q526">
        <v>1525</v>
      </c>
      <c r="R526">
        <v>2808</v>
      </c>
      <c r="S526" t="str">
        <v>Yes</v>
      </c>
      <c r="T526">
        <v>0.75</v>
      </c>
      <c r="U526">
        <v>2020</v>
      </c>
      <c r="V526">
        <v>45963</v>
      </c>
      <c r="W526">
        <v>31</v>
      </c>
      <c r="X526" t="str">
        <v>Mixed</v>
      </c>
      <c r="Y526" t="str">
        <v>Music</v>
      </c>
      <c r="Z526" t="str">
        <v>Public</v>
      </c>
      <c r="AA526" t="str">
        <v>No</v>
      </c>
      <c r="AB526" t="str">
        <v>No</v>
      </c>
      <c r="AC526">
        <v>2</v>
      </c>
      <c r="AD526" t="str">
        <v>Free</v>
      </c>
      <c r="AE526">
        <v>0.93</v>
      </c>
      <c r="AF526" s="14">
        <f t="shared" si="8"/>
        <v>0.54309116809116809</v>
      </c>
    </row>
    <row r="527" spans="1:32" x14ac:dyDescent="0.2">
      <c r="A527">
        <v>526</v>
      </c>
      <c r="B527" cm="1">
        <f t="array" ref="B527:AE527">_xlfn.XLOOKUP($A527,Instagram_Usage_Lifestyle_Mini_!$A:$A,Instagram_Usage_Lifestyle_Mini_!$AC:$BF)</f>
        <v>145</v>
      </c>
      <c r="C527">
        <v>9</v>
      </c>
      <c r="D527">
        <v>4</v>
      </c>
      <c r="E527">
        <v>205</v>
      </c>
      <c r="F527">
        <v>101</v>
      </c>
      <c r="G527">
        <v>105</v>
      </c>
      <c r="H527">
        <v>21</v>
      </c>
      <c r="I527">
        <v>16</v>
      </c>
      <c r="J527">
        <v>26</v>
      </c>
      <c r="K527">
        <v>17</v>
      </c>
      <c r="L527">
        <v>5</v>
      </c>
      <c r="M527">
        <v>63</v>
      </c>
      <c r="N527">
        <v>26</v>
      </c>
      <c r="O527">
        <v>26</v>
      </c>
      <c r="P527">
        <v>54</v>
      </c>
      <c r="Q527">
        <v>1953</v>
      </c>
      <c r="R527">
        <v>3647</v>
      </c>
      <c r="S527" t="str">
        <v>No</v>
      </c>
      <c r="T527">
        <v>0.47</v>
      </c>
      <c r="U527">
        <v>2018</v>
      </c>
      <c r="V527">
        <v>45885</v>
      </c>
      <c r="W527">
        <v>16.100000000000001</v>
      </c>
      <c r="X527" t="str">
        <v>Photos</v>
      </c>
      <c r="Y527" t="str">
        <v>Art</v>
      </c>
      <c r="Z527" t="str">
        <v>Friends_only</v>
      </c>
      <c r="AA527" t="str">
        <v>Yes</v>
      </c>
      <c r="AB527" t="str">
        <v>Yes</v>
      </c>
      <c r="AC527">
        <v>4</v>
      </c>
      <c r="AD527" t="str">
        <v>Free</v>
      </c>
      <c r="AE527">
        <v>1.0900000000000001</v>
      </c>
      <c r="AF527" s="14">
        <f t="shared" si="8"/>
        <v>0.53550863723608444</v>
      </c>
    </row>
    <row r="528" spans="1:32" x14ac:dyDescent="0.2">
      <c r="A528">
        <v>527</v>
      </c>
      <c r="B528" cm="1">
        <f t="array" ref="B528:AE528">_xlfn.XLOOKUP($A528,Instagram_Usage_Lifestyle_Mini_!$A:$A,Instagram_Usage_Lifestyle_Mini_!$AC:$BF)</f>
        <v>191</v>
      </c>
      <c r="C528">
        <v>23</v>
      </c>
      <c r="D528">
        <v>3</v>
      </c>
      <c r="E528">
        <v>178</v>
      </c>
      <c r="F528">
        <v>115</v>
      </c>
      <c r="G528">
        <v>120</v>
      </c>
      <c r="H528">
        <v>24</v>
      </c>
      <c r="I528">
        <v>29</v>
      </c>
      <c r="J528">
        <v>20</v>
      </c>
      <c r="K528">
        <v>15</v>
      </c>
      <c r="L528">
        <v>7</v>
      </c>
      <c r="M528">
        <v>102</v>
      </c>
      <c r="N528">
        <v>45</v>
      </c>
      <c r="O528">
        <v>33</v>
      </c>
      <c r="P528">
        <v>72</v>
      </c>
      <c r="Q528">
        <v>184</v>
      </c>
      <c r="R528">
        <v>248</v>
      </c>
      <c r="S528" t="str">
        <v>No</v>
      </c>
      <c r="T528">
        <v>0.27</v>
      </c>
      <c r="U528">
        <v>2016</v>
      </c>
      <c r="V528">
        <v>45673</v>
      </c>
      <c r="W528">
        <v>8.3000000000000007</v>
      </c>
      <c r="X528" t="str">
        <v>Videos</v>
      </c>
      <c r="Y528" t="str">
        <v>Other</v>
      </c>
      <c r="Z528" t="str">
        <v>Friends_only</v>
      </c>
      <c r="AA528" t="str">
        <v>No</v>
      </c>
      <c r="AB528" t="str">
        <v>Yes</v>
      </c>
      <c r="AC528">
        <v>2</v>
      </c>
      <c r="AD528" t="str">
        <v>Free</v>
      </c>
      <c r="AE528">
        <v>0.92</v>
      </c>
      <c r="AF528" s="14">
        <f t="shared" si="8"/>
        <v>0.74193548387096775</v>
      </c>
    </row>
    <row r="529" spans="1:32" x14ac:dyDescent="0.2">
      <c r="A529">
        <v>528</v>
      </c>
      <c r="B529" cm="1">
        <f t="array" ref="B529:AE529">_xlfn.XLOOKUP($A529,Instagram_Usage_Lifestyle_Mini_!$A:$A,Instagram_Usage_Lifestyle_Mini_!$AC:$BF)</f>
        <v>287</v>
      </c>
      <c r="C529">
        <v>19</v>
      </c>
      <c r="D529">
        <v>10</v>
      </c>
      <c r="E529">
        <v>279</v>
      </c>
      <c r="F529">
        <v>150</v>
      </c>
      <c r="G529">
        <v>185</v>
      </c>
      <c r="H529">
        <v>49</v>
      </c>
      <c r="I529">
        <v>33</v>
      </c>
      <c r="J529">
        <v>52</v>
      </c>
      <c r="K529">
        <v>19</v>
      </c>
      <c r="L529">
        <v>13</v>
      </c>
      <c r="M529">
        <v>156</v>
      </c>
      <c r="N529">
        <v>66</v>
      </c>
      <c r="O529">
        <v>57</v>
      </c>
      <c r="P529">
        <v>83</v>
      </c>
      <c r="Q529">
        <v>715</v>
      </c>
      <c r="R529">
        <v>1420</v>
      </c>
      <c r="S529" t="str">
        <v>No</v>
      </c>
      <c r="T529">
        <v>0.25</v>
      </c>
      <c r="U529">
        <v>2021</v>
      </c>
      <c r="V529">
        <v>45667</v>
      </c>
      <c r="W529">
        <v>15.1</v>
      </c>
      <c r="X529" t="str">
        <v>Stories</v>
      </c>
      <c r="Y529" t="str">
        <v>Art</v>
      </c>
      <c r="Z529" t="str">
        <v>Friends_only</v>
      </c>
      <c r="AA529" t="str">
        <v>Yes</v>
      </c>
      <c r="AB529" t="str">
        <v>No</v>
      </c>
      <c r="AC529">
        <v>0</v>
      </c>
      <c r="AD529" t="str">
        <v>Free</v>
      </c>
      <c r="AE529">
        <v>1.0900000000000001</v>
      </c>
      <c r="AF529" s="14">
        <f t="shared" si="8"/>
        <v>0.50352112676056338</v>
      </c>
    </row>
    <row r="530" spans="1:32" x14ac:dyDescent="0.2">
      <c r="A530">
        <v>529</v>
      </c>
      <c r="B530" cm="1">
        <f t="array" ref="B530:AE530">_xlfn.XLOOKUP($A530,Instagram_Usage_Lifestyle_Mini_!$A:$A,Instagram_Usage_Lifestyle_Mini_!$AC:$BF)</f>
        <v>159</v>
      </c>
      <c r="C530">
        <v>5</v>
      </c>
      <c r="D530">
        <v>2</v>
      </c>
      <c r="E530">
        <v>133</v>
      </c>
      <c r="F530">
        <v>89</v>
      </c>
      <c r="G530">
        <v>96</v>
      </c>
      <c r="H530">
        <v>30</v>
      </c>
      <c r="I530">
        <v>31</v>
      </c>
      <c r="J530">
        <v>30</v>
      </c>
      <c r="K530">
        <v>16</v>
      </c>
      <c r="L530">
        <v>1</v>
      </c>
      <c r="M530">
        <v>84</v>
      </c>
      <c r="N530">
        <v>32</v>
      </c>
      <c r="O530">
        <v>31</v>
      </c>
      <c r="P530">
        <v>55</v>
      </c>
      <c r="Q530">
        <v>2358</v>
      </c>
      <c r="R530">
        <v>1120</v>
      </c>
      <c r="S530" t="str">
        <v>No</v>
      </c>
      <c r="T530">
        <v>0.9</v>
      </c>
      <c r="U530">
        <v>2016</v>
      </c>
      <c r="V530">
        <v>45675</v>
      </c>
      <c r="W530">
        <v>31.8</v>
      </c>
      <c r="X530" t="str">
        <v>Live</v>
      </c>
      <c r="Y530" t="str">
        <v>Music</v>
      </c>
      <c r="Z530" t="str">
        <v>Friends_only</v>
      </c>
      <c r="AA530" t="str">
        <v>No</v>
      </c>
      <c r="AB530" t="str">
        <v>Yes</v>
      </c>
      <c r="AC530">
        <v>0</v>
      </c>
      <c r="AD530" t="str">
        <v>Business</v>
      </c>
      <c r="AE530">
        <v>1.01</v>
      </c>
      <c r="AF530" s="14">
        <f t="shared" si="8"/>
        <v>2.1053571428571427</v>
      </c>
    </row>
    <row r="531" spans="1:32" x14ac:dyDescent="0.2">
      <c r="A531">
        <v>530</v>
      </c>
      <c r="B531" cm="1">
        <f t="array" ref="B531:AE531">_xlfn.XLOOKUP($A531,Instagram_Usage_Lifestyle_Mini_!$A:$A,Instagram_Usage_Lifestyle_Mini_!$AC:$BF)</f>
        <v>155</v>
      </c>
      <c r="C531">
        <v>5</v>
      </c>
      <c r="D531">
        <v>4</v>
      </c>
      <c r="E531">
        <v>128</v>
      </c>
      <c r="F531">
        <v>106</v>
      </c>
      <c r="G531">
        <v>95</v>
      </c>
      <c r="H531">
        <v>25</v>
      </c>
      <c r="I531">
        <v>17</v>
      </c>
      <c r="J531">
        <v>16</v>
      </c>
      <c r="K531">
        <v>21</v>
      </c>
      <c r="L531">
        <v>6</v>
      </c>
      <c r="M531">
        <v>87</v>
      </c>
      <c r="N531">
        <v>20</v>
      </c>
      <c r="O531">
        <v>22</v>
      </c>
      <c r="P531">
        <v>59</v>
      </c>
      <c r="Q531">
        <v>3405</v>
      </c>
      <c r="R531">
        <v>2632</v>
      </c>
      <c r="S531" t="str">
        <v>Yes</v>
      </c>
      <c r="T531">
        <v>0.03</v>
      </c>
      <c r="U531">
        <v>2015</v>
      </c>
      <c r="V531">
        <v>45970</v>
      </c>
      <c r="W531">
        <v>31</v>
      </c>
      <c r="X531" t="str">
        <v>Live</v>
      </c>
      <c r="Y531" t="str">
        <v>Fitness</v>
      </c>
      <c r="Z531" t="str">
        <v>Private</v>
      </c>
      <c r="AA531" t="str">
        <v>No</v>
      </c>
      <c r="AB531" t="str">
        <v>No</v>
      </c>
      <c r="AC531">
        <v>1</v>
      </c>
      <c r="AD531" t="str">
        <v>Free</v>
      </c>
      <c r="AE531">
        <v>1.01</v>
      </c>
      <c r="AF531" s="14">
        <f t="shared" si="8"/>
        <v>1.293693009118541</v>
      </c>
    </row>
    <row r="532" spans="1:32" x14ac:dyDescent="0.2">
      <c r="A532">
        <v>531</v>
      </c>
      <c r="B532" cm="1">
        <f t="array" ref="B532:AE532">_xlfn.XLOOKUP($A532,Instagram_Usage_Lifestyle_Mini_!$A:$A,Instagram_Usage_Lifestyle_Mini_!$AC:$BF)</f>
        <v>330</v>
      </c>
      <c r="C532">
        <v>26</v>
      </c>
      <c r="D532">
        <v>8</v>
      </c>
      <c r="E532">
        <v>242</v>
      </c>
      <c r="F532">
        <v>150</v>
      </c>
      <c r="G532">
        <v>190</v>
      </c>
      <c r="H532">
        <v>52</v>
      </c>
      <c r="I532">
        <v>34</v>
      </c>
      <c r="J532">
        <v>40</v>
      </c>
      <c r="K532">
        <v>27</v>
      </c>
      <c r="L532">
        <v>7</v>
      </c>
      <c r="M532">
        <v>172</v>
      </c>
      <c r="N532">
        <v>42</v>
      </c>
      <c r="O532">
        <v>35</v>
      </c>
      <c r="P532">
        <v>121</v>
      </c>
      <c r="Q532">
        <v>280</v>
      </c>
      <c r="R532">
        <v>447</v>
      </c>
      <c r="S532" t="str">
        <v>No</v>
      </c>
      <c r="T532">
        <v>0.56000000000000005</v>
      </c>
      <c r="U532">
        <v>2018</v>
      </c>
      <c r="V532">
        <v>45928</v>
      </c>
      <c r="W532">
        <v>12.7</v>
      </c>
      <c r="X532" t="str">
        <v>Live</v>
      </c>
      <c r="Y532" t="str">
        <v>Music</v>
      </c>
      <c r="Z532" t="str">
        <v>Public</v>
      </c>
      <c r="AA532" t="str">
        <v>Yes</v>
      </c>
      <c r="AB532" t="str">
        <v>Yes</v>
      </c>
      <c r="AC532">
        <v>3</v>
      </c>
      <c r="AD532" t="str">
        <v>Free</v>
      </c>
      <c r="AE532">
        <v>0.96</v>
      </c>
      <c r="AF532" s="14">
        <f t="shared" si="8"/>
        <v>0.62639821029082776</v>
      </c>
    </row>
    <row r="533" spans="1:32" x14ac:dyDescent="0.2">
      <c r="A533">
        <v>532</v>
      </c>
      <c r="B533" cm="1">
        <f t="array" ref="B533:AE533">_xlfn.XLOOKUP($A533,Instagram_Usage_Lifestyle_Mini_!$A:$A,Instagram_Usage_Lifestyle_Mini_!$AC:$BF)</f>
        <v>53</v>
      </c>
      <c r="C533">
        <v>2</v>
      </c>
      <c r="D533">
        <v>0</v>
      </c>
      <c r="E533">
        <v>66</v>
      </c>
      <c r="F533">
        <v>53</v>
      </c>
      <c r="G533">
        <v>47</v>
      </c>
      <c r="H533">
        <v>12</v>
      </c>
      <c r="I533">
        <v>22</v>
      </c>
      <c r="J533">
        <v>12</v>
      </c>
      <c r="K533">
        <v>13</v>
      </c>
      <c r="L533">
        <v>2</v>
      </c>
      <c r="M533">
        <v>25</v>
      </c>
      <c r="N533">
        <v>15</v>
      </c>
      <c r="O533">
        <v>7</v>
      </c>
      <c r="P533">
        <v>19</v>
      </c>
      <c r="Q533">
        <v>1491</v>
      </c>
      <c r="R533">
        <v>3231</v>
      </c>
      <c r="S533" t="str">
        <v>No</v>
      </c>
      <c r="T533">
        <v>0.54</v>
      </c>
      <c r="U533">
        <v>2019</v>
      </c>
      <c r="V533">
        <v>45808</v>
      </c>
      <c r="W533">
        <v>26.5</v>
      </c>
      <c r="X533" t="str">
        <v>Photos</v>
      </c>
      <c r="Y533" t="str">
        <v>Other</v>
      </c>
      <c r="Z533" t="str">
        <v>Public</v>
      </c>
      <c r="AA533" t="str">
        <v>Yes</v>
      </c>
      <c r="AB533" t="str">
        <v>No</v>
      </c>
      <c r="AC533">
        <v>1</v>
      </c>
      <c r="AD533" t="str">
        <v>Premium</v>
      </c>
      <c r="AE533">
        <v>1.31</v>
      </c>
      <c r="AF533" s="14">
        <f t="shared" si="8"/>
        <v>0.46146703806870937</v>
      </c>
    </row>
    <row r="534" spans="1:32" x14ac:dyDescent="0.2">
      <c r="A534">
        <v>533</v>
      </c>
      <c r="B534" cm="1">
        <f t="array" ref="B534:AE534">_xlfn.XLOOKUP($A534,Instagram_Usage_Lifestyle_Mini_!$A:$A,Instagram_Usage_Lifestyle_Mini_!$AC:$BF)</f>
        <v>301</v>
      </c>
      <c r="C534">
        <v>9</v>
      </c>
      <c r="D534">
        <v>4</v>
      </c>
      <c r="E534">
        <v>207</v>
      </c>
      <c r="F534">
        <v>150</v>
      </c>
      <c r="G534">
        <v>191</v>
      </c>
      <c r="H534">
        <v>44</v>
      </c>
      <c r="I534">
        <v>42</v>
      </c>
      <c r="J534">
        <v>46</v>
      </c>
      <c r="K534">
        <v>34</v>
      </c>
      <c r="L534">
        <v>2</v>
      </c>
      <c r="M534">
        <v>157</v>
      </c>
      <c r="N534">
        <v>49</v>
      </c>
      <c r="O534">
        <v>34</v>
      </c>
      <c r="P534">
        <v>81</v>
      </c>
      <c r="Q534">
        <v>489</v>
      </c>
      <c r="R534">
        <v>1115</v>
      </c>
      <c r="S534" t="str">
        <v>No</v>
      </c>
      <c r="T534">
        <v>0.85</v>
      </c>
      <c r="U534">
        <v>2019</v>
      </c>
      <c r="V534">
        <v>45837</v>
      </c>
      <c r="W534">
        <v>33.4</v>
      </c>
      <c r="X534" t="str">
        <v>Photos</v>
      </c>
      <c r="Y534" t="str">
        <v>Travel</v>
      </c>
      <c r="Z534" t="str">
        <v>Friends_only</v>
      </c>
      <c r="AA534" t="str">
        <v>No</v>
      </c>
      <c r="AB534" t="str">
        <v>No</v>
      </c>
      <c r="AC534">
        <v>2</v>
      </c>
      <c r="AD534" t="str">
        <v>Free</v>
      </c>
      <c r="AE534">
        <v>0.96</v>
      </c>
      <c r="AF534" s="14">
        <f t="shared" si="8"/>
        <v>0.43856502242152468</v>
      </c>
    </row>
    <row r="535" spans="1:32" x14ac:dyDescent="0.2">
      <c r="A535">
        <v>534</v>
      </c>
      <c r="B535" cm="1">
        <f t="array" ref="B535:AE535">_xlfn.XLOOKUP($A535,Instagram_Usage_Lifestyle_Mini_!$A:$A,Instagram_Usage_Lifestyle_Mini_!$AC:$BF)</f>
        <v>92</v>
      </c>
      <c r="C535">
        <v>3</v>
      </c>
      <c r="D535">
        <v>10</v>
      </c>
      <c r="E535">
        <v>180</v>
      </c>
      <c r="F535">
        <v>66</v>
      </c>
      <c r="G535">
        <v>76</v>
      </c>
      <c r="H535">
        <v>22</v>
      </c>
      <c r="I535">
        <v>13</v>
      </c>
      <c r="J535">
        <v>19</v>
      </c>
      <c r="K535">
        <v>9</v>
      </c>
      <c r="L535">
        <v>4</v>
      </c>
      <c r="M535">
        <v>46</v>
      </c>
      <c r="N535">
        <v>26</v>
      </c>
      <c r="O535">
        <v>11</v>
      </c>
      <c r="P535">
        <v>29</v>
      </c>
      <c r="Q535">
        <v>3082</v>
      </c>
      <c r="R535">
        <v>6570</v>
      </c>
      <c r="S535" t="str">
        <v>No</v>
      </c>
      <c r="T535">
        <v>0.02</v>
      </c>
      <c r="U535">
        <v>2015</v>
      </c>
      <c r="V535">
        <v>45870</v>
      </c>
      <c r="W535">
        <v>30.7</v>
      </c>
      <c r="X535" t="str">
        <v>Live</v>
      </c>
      <c r="Y535" t="str">
        <v>Fitness</v>
      </c>
      <c r="Z535" t="str">
        <v>Friends_only</v>
      </c>
      <c r="AA535" t="str">
        <v>Yes</v>
      </c>
      <c r="AB535" t="str">
        <v>Yes</v>
      </c>
      <c r="AC535">
        <v>2</v>
      </c>
      <c r="AD535" t="str">
        <v>Premium</v>
      </c>
      <c r="AE535">
        <v>1.61</v>
      </c>
      <c r="AF535" s="14">
        <f t="shared" si="8"/>
        <v>0.46910197869101977</v>
      </c>
    </row>
    <row r="536" spans="1:32" x14ac:dyDescent="0.2">
      <c r="A536">
        <v>535</v>
      </c>
      <c r="B536" cm="1">
        <f t="array" ref="B536:AE536">_xlfn.XLOOKUP($A536,Instagram_Usage_Lifestyle_Mini_!$A:$A,Instagram_Usage_Lifestyle_Mini_!$AC:$BF)</f>
        <v>304</v>
      </c>
      <c r="C536">
        <v>33</v>
      </c>
      <c r="D536">
        <v>13</v>
      </c>
      <c r="E536">
        <v>300</v>
      </c>
      <c r="F536">
        <v>150</v>
      </c>
      <c r="G536">
        <v>195</v>
      </c>
      <c r="H536">
        <v>46</v>
      </c>
      <c r="I536">
        <v>36</v>
      </c>
      <c r="J536">
        <v>53</v>
      </c>
      <c r="K536">
        <v>37</v>
      </c>
      <c r="L536">
        <v>8</v>
      </c>
      <c r="M536">
        <v>162</v>
      </c>
      <c r="N536">
        <v>58</v>
      </c>
      <c r="O536">
        <v>48</v>
      </c>
      <c r="P536">
        <v>91</v>
      </c>
      <c r="Q536">
        <v>337</v>
      </c>
      <c r="R536">
        <v>346</v>
      </c>
      <c r="S536" t="str">
        <v>No</v>
      </c>
      <c r="T536">
        <v>0.97</v>
      </c>
      <c r="U536">
        <v>2010</v>
      </c>
      <c r="V536">
        <v>45667</v>
      </c>
      <c r="W536">
        <v>9.1999999999999993</v>
      </c>
      <c r="X536" t="str">
        <v>Stories</v>
      </c>
      <c r="Y536" t="str">
        <v>Tech</v>
      </c>
      <c r="Z536" t="str">
        <v>Private</v>
      </c>
      <c r="AA536" t="str">
        <v>Yes</v>
      </c>
      <c r="AB536" t="str">
        <v>No</v>
      </c>
      <c r="AC536">
        <v>1</v>
      </c>
      <c r="AD536" t="str">
        <v>Premium</v>
      </c>
      <c r="AE536">
        <v>1.07</v>
      </c>
      <c r="AF536" s="14">
        <f t="shared" si="8"/>
        <v>0.97398843930635837</v>
      </c>
    </row>
    <row r="537" spans="1:32" x14ac:dyDescent="0.2">
      <c r="A537">
        <v>536</v>
      </c>
      <c r="B537" cm="1">
        <f t="array" ref="B537:AE537">_xlfn.XLOOKUP($A537,Instagram_Usage_Lifestyle_Mini_!$A:$A,Instagram_Usage_Lifestyle_Mini_!$AC:$BF)</f>
        <v>205</v>
      </c>
      <c r="C537">
        <v>9</v>
      </c>
      <c r="D537">
        <v>10</v>
      </c>
      <c r="E537">
        <v>235</v>
      </c>
      <c r="F537">
        <v>106</v>
      </c>
      <c r="G537">
        <v>138</v>
      </c>
      <c r="H537">
        <v>26</v>
      </c>
      <c r="I537">
        <v>24</v>
      </c>
      <c r="J537">
        <v>38</v>
      </c>
      <c r="K537">
        <v>15</v>
      </c>
      <c r="L537">
        <v>7</v>
      </c>
      <c r="M537">
        <v>115</v>
      </c>
      <c r="N537">
        <v>61</v>
      </c>
      <c r="O537">
        <v>22</v>
      </c>
      <c r="P537">
        <v>73</v>
      </c>
      <c r="Q537">
        <v>1944</v>
      </c>
      <c r="R537">
        <v>4097</v>
      </c>
      <c r="S537" t="str">
        <v>No</v>
      </c>
      <c r="T537">
        <v>0.13</v>
      </c>
      <c r="U537">
        <v>2010</v>
      </c>
      <c r="V537">
        <v>45733</v>
      </c>
      <c r="W537">
        <v>22.8</v>
      </c>
      <c r="X537" t="str">
        <v>Mixed</v>
      </c>
      <c r="Y537" t="str">
        <v>Art</v>
      </c>
      <c r="Z537" t="str">
        <v>Friends_only</v>
      </c>
      <c r="AA537" t="str">
        <v>No</v>
      </c>
      <c r="AB537" t="str">
        <v>Yes</v>
      </c>
      <c r="AC537">
        <v>4</v>
      </c>
      <c r="AD537" t="str">
        <v>Free</v>
      </c>
      <c r="AE537">
        <v>1.07</v>
      </c>
      <c r="AF537" s="14">
        <f t="shared" si="8"/>
        <v>0.47449353185257503</v>
      </c>
    </row>
    <row r="538" spans="1:32" x14ac:dyDescent="0.2">
      <c r="A538">
        <v>537</v>
      </c>
      <c r="B538" cm="1">
        <f t="array" ref="B538:AE538">_xlfn.XLOOKUP($A538,Instagram_Usage_Lifestyle_Mini_!$A:$A,Instagram_Usage_Lifestyle_Mini_!$AC:$BF)</f>
        <v>256</v>
      </c>
      <c r="C538">
        <v>18</v>
      </c>
      <c r="D538">
        <v>9</v>
      </c>
      <c r="E538">
        <v>209</v>
      </c>
      <c r="F538">
        <v>124</v>
      </c>
      <c r="G538">
        <v>132</v>
      </c>
      <c r="H538">
        <v>52</v>
      </c>
      <c r="I538">
        <v>44</v>
      </c>
      <c r="J538">
        <v>46</v>
      </c>
      <c r="K538">
        <v>19</v>
      </c>
      <c r="L538">
        <v>8</v>
      </c>
      <c r="M538">
        <v>107</v>
      </c>
      <c r="N538">
        <v>46</v>
      </c>
      <c r="O538">
        <v>42</v>
      </c>
      <c r="P538">
        <v>75</v>
      </c>
      <c r="Q538">
        <v>175</v>
      </c>
      <c r="R538">
        <v>181</v>
      </c>
      <c r="S538" t="str">
        <v>No</v>
      </c>
      <c r="T538">
        <v>0.46</v>
      </c>
      <c r="U538">
        <v>2015</v>
      </c>
      <c r="V538">
        <v>45844</v>
      </c>
      <c r="W538">
        <v>14.2</v>
      </c>
      <c r="X538" t="str">
        <v>Live</v>
      </c>
      <c r="Y538" t="str">
        <v>Fitness</v>
      </c>
      <c r="Z538" t="str">
        <v>Private</v>
      </c>
      <c r="AA538" t="str">
        <v>No</v>
      </c>
      <c r="AB538" t="str">
        <v>Yes</v>
      </c>
      <c r="AC538">
        <v>1</v>
      </c>
      <c r="AD538" t="str">
        <v>Premium</v>
      </c>
      <c r="AE538">
        <v>1.02</v>
      </c>
      <c r="AF538" s="14">
        <f t="shared" si="8"/>
        <v>0.96685082872928174</v>
      </c>
    </row>
    <row r="539" spans="1:32" x14ac:dyDescent="0.2">
      <c r="A539">
        <v>538</v>
      </c>
      <c r="B539" cm="1">
        <f t="array" ref="B539:AE539">_xlfn.XLOOKUP($A539,Instagram_Usage_Lifestyle_Mini_!$A:$A,Instagram_Usage_Lifestyle_Mini_!$AC:$BF)</f>
        <v>50</v>
      </c>
      <c r="C539">
        <v>3</v>
      </c>
      <c r="D539">
        <v>6</v>
      </c>
      <c r="E539">
        <v>72</v>
      </c>
      <c r="F539">
        <v>51</v>
      </c>
      <c r="G539">
        <v>64</v>
      </c>
      <c r="H539">
        <v>13</v>
      </c>
      <c r="I539">
        <v>18</v>
      </c>
      <c r="J539">
        <v>10</v>
      </c>
      <c r="K539">
        <v>7</v>
      </c>
      <c r="L539">
        <v>1</v>
      </c>
      <c r="M539">
        <v>21</v>
      </c>
      <c r="N539">
        <v>9</v>
      </c>
      <c r="O539">
        <v>12</v>
      </c>
      <c r="P539">
        <v>19</v>
      </c>
      <c r="Q539">
        <v>1043</v>
      </c>
      <c r="R539">
        <v>2184</v>
      </c>
      <c r="S539" t="str">
        <v>No</v>
      </c>
      <c r="T539">
        <v>0.69</v>
      </c>
      <c r="U539">
        <v>2023</v>
      </c>
      <c r="V539">
        <v>45738</v>
      </c>
      <c r="W539">
        <v>16.7</v>
      </c>
      <c r="X539" t="str">
        <v>Reels</v>
      </c>
      <c r="Y539" t="str">
        <v>Travel</v>
      </c>
      <c r="Z539" t="str">
        <v>Friends_only</v>
      </c>
      <c r="AA539" t="str">
        <v>Yes</v>
      </c>
      <c r="AB539" t="str">
        <v>No</v>
      </c>
      <c r="AC539">
        <v>1</v>
      </c>
      <c r="AD539" t="str">
        <v>Free</v>
      </c>
      <c r="AE539">
        <v>2.12</v>
      </c>
      <c r="AF539" s="14">
        <f t="shared" si="8"/>
        <v>0.47756410256410259</v>
      </c>
    </row>
    <row r="540" spans="1:32" x14ac:dyDescent="0.2">
      <c r="A540">
        <v>539</v>
      </c>
      <c r="B540" cm="1">
        <f t="array" ref="B540:AE540">_xlfn.XLOOKUP($A540,Instagram_Usage_Lifestyle_Mini_!$A:$A,Instagram_Usage_Lifestyle_Mini_!$AC:$BF)</f>
        <v>224</v>
      </c>
      <c r="C540">
        <v>23</v>
      </c>
      <c r="D540">
        <v>11</v>
      </c>
      <c r="E540">
        <v>171</v>
      </c>
      <c r="F540">
        <v>121</v>
      </c>
      <c r="G540">
        <v>150</v>
      </c>
      <c r="H540">
        <v>40</v>
      </c>
      <c r="I540">
        <v>34</v>
      </c>
      <c r="J540">
        <v>16</v>
      </c>
      <c r="K540">
        <v>24</v>
      </c>
      <c r="L540">
        <v>2</v>
      </c>
      <c r="M540">
        <v>104</v>
      </c>
      <c r="N540">
        <v>61</v>
      </c>
      <c r="O540">
        <v>24</v>
      </c>
      <c r="P540">
        <v>80</v>
      </c>
      <c r="Q540">
        <v>741</v>
      </c>
      <c r="R540">
        <v>593</v>
      </c>
      <c r="S540" t="str">
        <v>No</v>
      </c>
      <c r="T540">
        <v>0.55000000000000004</v>
      </c>
      <c r="U540">
        <v>2024</v>
      </c>
      <c r="V540">
        <v>45924</v>
      </c>
      <c r="W540">
        <v>9.6999999999999993</v>
      </c>
      <c r="X540" t="str">
        <v>Reels</v>
      </c>
      <c r="Y540" t="str">
        <v>Food</v>
      </c>
      <c r="Z540" t="str">
        <v>Public</v>
      </c>
      <c r="AA540" t="str">
        <v>Yes</v>
      </c>
      <c r="AB540" t="str">
        <v>No</v>
      </c>
      <c r="AC540">
        <v>4</v>
      </c>
      <c r="AD540" t="str">
        <v>Free</v>
      </c>
      <c r="AE540">
        <v>1.17</v>
      </c>
      <c r="AF540" s="14">
        <f t="shared" si="8"/>
        <v>1.2495784148397977</v>
      </c>
    </row>
    <row r="541" spans="1:32" x14ac:dyDescent="0.2">
      <c r="A541">
        <v>540</v>
      </c>
      <c r="B541" cm="1">
        <f t="array" ref="B541:AE541">_xlfn.XLOOKUP($A541,Instagram_Usage_Lifestyle_Mini_!$A:$A,Instagram_Usage_Lifestyle_Mini_!$AC:$BF)</f>
        <v>109</v>
      </c>
      <c r="C541">
        <v>4</v>
      </c>
      <c r="D541">
        <v>6</v>
      </c>
      <c r="E541">
        <v>107</v>
      </c>
      <c r="F541">
        <v>82</v>
      </c>
      <c r="G541">
        <v>65</v>
      </c>
      <c r="H541">
        <v>16</v>
      </c>
      <c r="I541">
        <v>24</v>
      </c>
      <c r="J541">
        <v>22</v>
      </c>
      <c r="K541">
        <v>11</v>
      </c>
      <c r="L541">
        <v>3</v>
      </c>
      <c r="M541">
        <v>56</v>
      </c>
      <c r="N541">
        <v>30</v>
      </c>
      <c r="O541">
        <v>18</v>
      </c>
      <c r="P541">
        <v>24</v>
      </c>
      <c r="Q541">
        <v>431</v>
      </c>
      <c r="R541">
        <v>304</v>
      </c>
      <c r="S541" t="str">
        <v>Yes</v>
      </c>
      <c r="T541">
        <v>0.76</v>
      </c>
      <c r="U541">
        <v>2012</v>
      </c>
      <c r="V541">
        <v>45963</v>
      </c>
      <c r="W541">
        <v>27.2</v>
      </c>
      <c r="X541" t="str">
        <v>Mixed</v>
      </c>
      <c r="Y541" t="str">
        <v>Fashion</v>
      </c>
      <c r="Z541" t="str">
        <v>Friends_only</v>
      </c>
      <c r="AA541" t="str">
        <v>No</v>
      </c>
      <c r="AB541" t="str">
        <v>No</v>
      </c>
      <c r="AC541">
        <v>1</v>
      </c>
      <c r="AD541" t="str">
        <v>Free</v>
      </c>
      <c r="AE541">
        <v>1.05</v>
      </c>
      <c r="AF541" s="14">
        <f t="shared" si="8"/>
        <v>1.4177631578947369</v>
      </c>
    </row>
    <row r="542" spans="1:32" x14ac:dyDescent="0.2">
      <c r="A542">
        <v>541</v>
      </c>
      <c r="B542" cm="1">
        <f t="array" ref="B542:AE542">_xlfn.XLOOKUP($A542,Instagram_Usage_Lifestyle_Mini_!$A:$A,Instagram_Usage_Lifestyle_Mini_!$AC:$BF)</f>
        <v>236</v>
      </c>
      <c r="C542">
        <v>28</v>
      </c>
      <c r="D542">
        <v>8</v>
      </c>
      <c r="E542">
        <v>186</v>
      </c>
      <c r="F542">
        <v>123</v>
      </c>
      <c r="G542">
        <v>140</v>
      </c>
      <c r="H542">
        <v>48</v>
      </c>
      <c r="I542">
        <v>18</v>
      </c>
      <c r="J542">
        <v>36</v>
      </c>
      <c r="K542">
        <v>26</v>
      </c>
      <c r="L542">
        <v>4</v>
      </c>
      <c r="M542">
        <v>101</v>
      </c>
      <c r="N542">
        <v>52</v>
      </c>
      <c r="O542">
        <v>33</v>
      </c>
      <c r="P542">
        <v>87</v>
      </c>
      <c r="Q542">
        <v>933</v>
      </c>
      <c r="R542">
        <v>1382</v>
      </c>
      <c r="S542" t="str">
        <v>Yes</v>
      </c>
      <c r="T542">
        <v>0.81</v>
      </c>
      <c r="U542">
        <v>2018</v>
      </c>
      <c r="V542">
        <v>45935</v>
      </c>
      <c r="W542">
        <v>8.4</v>
      </c>
      <c r="X542" t="str">
        <v>Live</v>
      </c>
      <c r="Y542" t="str">
        <v>Tech</v>
      </c>
      <c r="Z542" t="str">
        <v>Private</v>
      </c>
      <c r="AA542" t="str">
        <v>Yes</v>
      </c>
      <c r="AB542" t="str">
        <v>No</v>
      </c>
      <c r="AC542">
        <v>5</v>
      </c>
      <c r="AD542" t="str">
        <v>Free</v>
      </c>
      <c r="AE542">
        <v>1.1000000000000001</v>
      </c>
      <c r="AF542" s="14">
        <f t="shared" si="8"/>
        <v>0.67510853835021711</v>
      </c>
    </row>
    <row r="543" spans="1:32" x14ac:dyDescent="0.2">
      <c r="A543">
        <v>542</v>
      </c>
      <c r="B543" cm="1">
        <f t="array" ref="B543:AE543">_xlfn.XLOOKUP($A543,Instagram_Usage_Lifestyle_Mini_!$A:$A,Instagram_Usage_Lifestyle_Mini_!$AC:$BF)</f>
        <v>241</v>
      </c>
      <c r="C543">
        <v>17</v>
      </c>
      <c r="D543">
        <v>8</v>
      </c>
      <c r="E543">
        <v>183</v>
      </c>
      <c r="F543">
        <v>124</v>
      </c>
      <c r="G543">
        <v>163</v>
      </c>
      <c r="H543">
        <v>38</v>
      </c>
      <c r="I543">
        <v>33</v>
      </c>
      <c r="J543">
        <v>33</v>
      </c>
      <c r="K543">
        <v>22</v>
      </c>
      <c r="L543">
        <v>7</v>
      </c>
      <c r="M543">
        <v>113</v>
      </c>
      <c r="N543">
        <v>71</v>
      </c>
      <c r="O543">
        <v>38</v>
      </c>
      <c r="P543">
        <v>52</v>
      </c>
      <c r="Q543">
        <v>1051</v>
      </c>
      <c r="R543">
        <v>1520</v>
      </c>
      <c r="S543" t="str">
        <v>No</v>
      </c>
      <c r="T543">
        <v>0.28000000000000003</v>
      </c>
      <c r="U543">
        <v>2011</v>
      </c>
      <c r="V543">
        <v>45890</v>
      </c>
      <c r="W543">
        <v>14.2</v>
      </c>
      <c r="X543" t="str">
        <v>Reels</v>
      </c>
      <c r="Y543" t="str">
        <v>Art</v>
      </c>
      <c r="Z543" t="str">
        <v>Friends_only</v>
      </c>
      <c r="AA543" t="str">
        <v>Yes</v>
      </c>
      <c r="AB543" t="str">
        <v>No</v>
      </c>
      <c r="AC543">
        <v>2</v>
      </c>
      <c r="AD543" t="str">
        <v>Free</v>
      </c>
      <c r="AE543">
        <v>1.0900000000000001</v>
      </c>
      <c r="AF543" s="14">
        <f t="shared" si="8"/>
        <v>0.69144736842105259</v>
      </c>
    </row>
    <row r="544" spans="1:32" x14ac:dyDescent="0.2">
      <c r="A544">
        <v>543</v>
      </c>
      <c r="B544" cm="1">
        <f t="array" ref="B544:AE544">_xlfn.XLOOKUP($A544,Instagram_Usage_Lifestyle_Mini_!$A:$A,Instagram_Usage_Lifestyle_Mini_!$AC:$BF)</f>
        <v>124</v>
      </c>
      <c r="C544">
        <v>9</v>
      </c>
      <c r="D544">
        <v>1</v>
      </c>
      <c r="E544">
        <v>109</v>
      </c>
      <c r="F544">
        <v>73</v>
      </c>
      <c r="G544">
        <v>94</v>
      </c>
      <c r="H544">
        <v>28</v>
      </c>
      <c r="I544">
        <v>16</v>
      </c>
      <c r="J544">
        <v>28</v>
      </c>
      <c r="K544">
        <v>17</v>
      </c>
      <c r="L544">
        <v>3</v>
      </c>
      <c r="M544">
        <v>72</v>
      </c>
      <c r="N544">
        <v>26</v>
      </c>
      <c r="O544">
        <v>29</v>
      </c>
      <c r="P544">
        <v>46</v>
      </c>
      <c r="Q544">
        <v>3256</v>
      </c>
      <c r="R544">
        <v>7618</v>
      </c>
      <c r="S544" t="str">
        <v>No</v>
      </c>
      <c r="T544">
        <v>0.61</v>
      </c>
      <c r="U544">
        <v>2019</v>
      </c>
      <c r="V544">
        <v>45743</v>
      </c>
      <c r="W544">
        <v>13.8</v>
      </c>
      <c r="X544" t="str">
        <v>Videos</v>
      </c>
      <c r="Y544" t="str">
        <v>Travel</v>
      </c>
      <c r="Z544" t="str">
        <v>Public</v>
      </c>
      <c r="AA544" t="str">
        <v>Yes</v>
      </c>
      <c r="AB544" t="str">
        <v>Yes</v>
      </c>
      <c r="AC544">
        <v>2</v>
      </c>
      <c r="AD544" t="str">
        <v>Premium</v>
      </c>
      <c r="AE544">
        <v>1.22</v>
      </c>
      <c r="AF544" s="14">
        <f t="shared" si="8"/>
        <v>0.42740876870569705</v>
      </c>
    </row>
    <row r="545" spans="1:32" x14ac:dyDescent="0.2">
      <c r="A545">
        <v>544</v>
      </c>
      <c r="B545" cm="1">
        <f t="array" ref="B545:AE545">_xlfn.XLOOKUP($A545,Instagram_Usage_Lifestyle_Mini_!$A:$A,Instagram_Usage_Lifestyle_Mini_!$AC:$BF)</f>
        <v>52</v>
      </c>
      <c r="C545">
        <v>4</v>
      </c>
      <c r="D545">
        <v>7</v>
      </c>
      <c r="E545">
        <v>66</v>
      </c>
      <c r="F545">
        <v>59</v>
      </c>
      <c r="G545">
        <v>53</v>
      </c>
      <c r="H545">
        <v>13</v>
      </c>
      <c r="I545">
        <v>13</v>
      </c>
      <c r="J545">
        <v>17</v>
      </c>
      <c r="K545">
        <v>10</v>
      </c>
      <c r="L545">
        <v>1</v>
      </c>
      <c r="M545">
        <v>29</v>
      </c>
      <c r="N545">
        <v>13</v>
      </c>
      <c r="O545">
        <v>8</v>
      </c>
      <c r="P545">
        <v>12</v>
      </c>
      <c r="Q545">
        <v>837</v>
      </c>
      <c r="R545">
        <v>374</v>
      </c>
      <c r="S545" t="str">
        <v>Yes</v>
      </c>
      <c r="T545">
        <v>0.68</v>
      </c>
      <c r="U545">
        <v>2019</v>
      </c>
      <c r="V545">
        <v>45781</v>
      </c>
      <c r="W545">
        <v>13</v>
      </c>
      <c r="X545" t="str">
        <v>Reels</v>
      </c>
      <c r="Y545" t="str">
        <v>Food</v>
      </c>
      <c r="Z545" t="str">
        <v>Private</v>
      </c>
      <c r="AA545" t="str">
        <v>Yes</v>
      </c>
      <c r="AB545" t="str">
        <v>Yes</v>
      </c>
      <c r="AC545">
        <v>4</v>
      </c>
      <c r="AD545" t="str">
        <v>Free</v>
      </c>
      <c r="AE545">
        <v>1.89</v>
      </c>
      <c r="AF545" s="14">
        <f t="shared" si="8"/>
        <v>2.2379679144385025</v>
      </c>
    </row>
    <row r="546" spans="1:32" x14ac:dyDescent="0.2">
      <c r="A546">
        <v>545</v>
      </c>
      <c r="B546" cm="1">
        <f t="array" ref="B546:AE546">_xlfn.XLOOKUP($A546,Instagram_Usage_Lifestyle_Mini_!$A:$A,Instagram_Usage_Lifestyle_Mini_!$AC:$BF)</f>
        <v>309</v>
      </c>
      <c r="C546">
        <v>14</v>
      </c>
      <c r="D546">
        <v>5</v>
      </c>
      <c r="E546">
        <v>249</v>
      </c>
      <c r="F546">
        <v>150</v>
      </c>
      <c r="G546">
        <v>193</v>
      </c>
      <c r="H546">
        <v>48</v>
      </c>
      <c r="I546">
        <v>41</v>
      </c>
      <c r="J546">
        <v>45</v>
      </c>
      <c r="K546">
        <v>34</v>
      </c>
      <c r="L546">
        <v>6</v>
      </c>
      <c r="M546">
        <v>130</v>
      </c>
      <c r="N546">
        <v>52</v>
      </c>
      <c r="O546">
        <v>66</v>
      </c>
      <c r="P546">
        <v>98</v>
      </c>
      <c r="Q546">
        <v>627</v>
      </c>
      <c r="R546">
        <v>929</v>
      </c>
      <c r="S546" t="str">
        <v>No</v>
      </c>
      <c r="T546">
        <v>7.0000000000000007E-2</v>
      </c>
      <c r="U546">
        <v>2018</v>
      </c>
      <c r="V546">
        <v>45933</v>
      </c>
      <c r="W546">
        <v>22.1</v>
      </c>
      <c r="X546" t="str">
        <v>Live</v>
      </c>
      <c r="Y546" t="str">
        <v>Fashion</v>
      </c>
      <c r="Z546" t="str">
        <v>Private</v>
      </c>
      <c r="AA546" t="str">
        <v>No</v>
      </c>
      <c r="AB546" t="str">
        <v>No</v>
      </c>
      <c r="AC546">
        <v>4</v>
      </c>
      <c r="AD546" t="str">
        <v>Free</v>
      </c>
      <c r="AE546">
        <v>0.98</v>
      </c>
      <c r="AF546" s="14">
        <f t="shared" si="8"/>
        <v>0.67491926803013991</v>
      </c>
    </row>
    <row r="547" spans="1:32" x14ac:dyDescent="0.2">
      <c r="A547">
        <v>546</v>
      </c>
      <c r="B547" cm="1">
        <f t="array" ref="B547:AE547">_xlfn.XLOOKUP($A547,Instagram_Usage_Lifestyle_Mini_!$A:$A,Instagram_Usage_Lifestyle_Mini_!$AC:$BF)</f>
        <v>435</v>
      </c>
      <c r="C547">
        <v>24</v>
      </c>
      <c r="D547">
        <v>14</v>
      </c>
      <c r="E547">
        <v>300</v>
      </c>
      <c r="F547">
        <v>150</v>
      </c>
      <c r="G547">
        <v>244</v>
      </c>
      <c r="H547">
        <v>67</v>
      </c>
      <c r="I547">
        <v>52</v>
      </c>
      <c r="J547">
        <v>56</v>
      </c>
      <c r="K547">
        <v>39</v>
      </c>
      <c r="L547">
        <v>5</v>
      </c>
      <c r="M547">
        <v>209</v>
      </c>
      <c r="N547">
        <v>59</v>
      </c>
      <c r="O547">
        <v>82</v>
      </c>
      <c r="P547">
        <v>149</v>
      </c>
      <c r="Q547">
        <v>4767</v>
      </c>
      <c r="R547">
        <v>10000</v>
      </c>
      <c r="S547" t="str">
        <v>No</v>
      </c>
      <c r="T547">
        <v>0.25</v>
      </c>
      <c r="U547">
        <v>2010</v>
      </c>
      <c r="V547">
        <v>45982</v>
      </c>
      <c r="W547">
        <v>18.100000000000001</v>
      </c>
      <c r="X547" t="str">
        <v>Reels</v>
      </c>
      <c r="Y547" t="str">
        <v>Travel</v>
      </c>
      <c r="Z547" t="str">
        <v>Friends_only</v>
      </c>
      <c r="AA547" t="str">
        <v>No</v>
      </c>
      <c r="AB547" t="str">
        <v>Yes</v>
      </c>
      <c r="AC547">
        <v>1</v>
      </c>
      <c r="AD547" t="str">
        <v>Free</v>
      </c>
      <c r="AE547">
        <v>0.96</v>
      </c>
      <c r="AF547" s="14">
        <f t="shared" si="8"/>
        <v>0.47670000000000001</v>
      </c>
    </row>
    <row r="548" spans="1:32" x14ac:dyDescent="0.2">
      <c r="A548">
        <v>547</v>
      </c>
      <c r="B548" cm="1">
        <f t="array" ref="B548:AE548">_xlfn.XLOOKUP($A548,Instagram_Usage_Lifestyle_Mini_!$A:$A,Instagram_Usage_Lifestyle_Mini_!$AC:$BF)</f>
        <v>315</v>
      </c>
      <c r="C548">
        <v>16</v>
      </c>
      <c r="D548">
        <v>11</v>
      </c>
      <c r="E548">
        <v>300</v>
      </c>
      <c r="F548">
        <v>144</v>
      </c>
      <c r="G548">
        <v>177</v>
      </c>
      <c r="H548">
        <v>53</v>
      </c>
      <c r="I548">
        <v>41</v>
      </c>
      <c r="J548">
        <v>49</v>
      </c>
      <c r="K548">
        <v>24</v>
      </c>
      <c r="L548">
        <v>7</v>
      </c>
      <c r="M548">
        <v>171</v>
      </c>
      <c r="N548">
        <v>65</v>
      </c>
      <c r="O548">
        <v>39</v>
      </c>
      <c r="P548">
        <v>119</v>
      </c>
      <c r="Q548">
        <v>9566</v>
      </c>
      <c r="R548">
        <v>10000</v>
      </c>
      <c r="S548" t="str">
        <v>Yes</v>
      </c>
      <c r="T548">
        <v>0.69</v>
      </c>
      <c r="U548">
        <v>2024</v>
      </c>
      <c r="V548">
        <v>45899</v>
      </c>
      <c r="W548">
        <v>19.7</v>
      </c>
      <c r="X548" t="str">
        <v>Photos</v>
      </c>
      <c r="Y548" t="str">
        <v>Other</v>
      </c>
      <c r="Z548" t="str">
        <v>Public</v>
      </c>
      <c r="AA548" t="str">
        <v>Yes</v>
      </c>
      <c r="AB548" t="str">
        <v>No</v>
      </c>
      <c r="AC548">
        <v>5</v>
      </c>
      <c r="AD548" t="str">
        <v>Business</v>
      </c>
      <c r="AE548">
        <v>1</v>
      </c>
      <c r="AF548" s="14">
        <f t="shared" si="8"/>
        <v>0.95660000000000001</v>
      </c>
    </row>
    <row r="549" spans="1:32" x14ac:dyDescent="0.2">
      <c r="A549">
        <v>548</v>
      </c>
      <c r="B549" cm="1">
        <f t="array" ref="B549:AE549">_xlfn.XLOOKUP($A549,Instagram_Usage_Lifestyle_Mini_!$A:$A,Instagram_Usage_Lifestyle_Mini_!$AC:$BF)</f>
        <v>266</v>
      </c>
      <c r="C549">
        <v>10</v>
      </c>
      <c r="D549">
        <v>12</v>
      </c>
      <c r="E549">
        <v>265</v>
      </c>
      <c r="F549">
        <v>112</v>
      </c>
      <c r="G549">
        <v>175</v>
      </c>
      <c r="H549">
        <v>37</v>
      </c>
      <c r="I549">
        <v>35</v>
      </c>
      <c r="J549">
        <v>26</v>
      </c>
      <c r="K549">
        <v>28</v>
      </c>
      <c r="L549">
        <v>6</v>
      </c>
      <c r="M549">
        <v>120</v>
      </c>
      <c r="N549">
        <v>41</v>
      </c>
      <c r="O549">
        <v>34</v>
      </c>
      <c r="P549">
        <v>90</v>
      </c>
      <c r="Q549">
        <v>861</v>
      </c>
      <c r="R549">
        <v>2029</v>
      </c>
      <c r="S549" t="str">
        <v>Yes</v>
      </c>
      <c r="T549">
        <v>0.97</v>
      </c>
      <c r="U549">
        <v>2016</v>
      </c>
      <c r="V549">
        <v>45801</v>
      </c>
      <c r="W549">
        <v>26.6</v>
      </c>
      <c r="X549" t="str">
        <v>Live</v>
      </c>
      <c r="Y549" t="str">
        <v>Fitness</v>
      </c>
      <c r="Z549" t="str">
        <v>Friends_only</v>
      </c>
      <c r="AA549" t="str">
        <v>No</v>
      </c>
      <c r="AB549" t="str">
        <v>No</v>
      </c>
      <c r="AC549">
        <v>3</v>
      </c>
      <c r="AD549" t="str">
        <v>Business</v>
      </c>
      <c r="AE549">
        <v>1.07</v>
      </c>
      <c r="AF549" s="14">
        <f t="shared" si="8"/>
        <v>0.42434696895022178</v>
      </c>
    </row>
    <row r="550" spans="1:32" x14ac:dyDescent="0.2">
      <c r="A550">
        <v>549</v>
      </c>
      <c r="B550" cm="1">
        <f t="array" ref="B550:AE550">_xlfn.XLOOKUP($A550,Instagram_Usage_Lifestyle_Mini_!$A:$A,Instagram_Usage_Lifestyle_Mini_!$AC:$BF)</f>
        <v>305</v>
      </c>
      <c r="C550">
        <v>24</v>
      </c>
      <c r="D550">
        <v>9</v>
      </c>
      <c r="E550">
        <v>201</v>
      </c>
      <c r="F550">
        <v>150</v>
      </c>
      <c r="G550">
        <v>197</v>
      </c>
      <c r="H550">
        <v>45</v>
      </c>
      <c r="I550">
        <v>32</v>
      </c>
      <c r="J550">
        <v>51</v>
      </c>
      <c r="K550">
        <v>38</v>
      </c>
      <c r="L550">
        <v>5</v>
      </c>
      <c r="M550">
        <v>142</v>
      </c>
      <c r="N550">
        <v>84</v>
      </c>
      <c r="O550">
        <v>34</v>
      </c>
      <c r="P550">
        <v>116</v>
      </c>
      <c r="Q550">
        <v>222</v>
      </c>
      <c r="R550">
        <v>455</v>
      </c>
      <c r="S550" t="str">
        <v>Yes</v>
      </c>
      <c r="T550">
        <v>0.15</v>
      </c>
      <c r="U550">
        <v>2016</v>
      </c>
      <c r="V550">
        <v>45884</v>
      </c>
      <c r="W550">
        <v>12.7</v>
      </c>
      <c r="X550" t="str">
        <v>Stories</v>
      </c>
      <c r="Y550" t="str">
        <v>Travel</v>
      </c>
      <c r="Z550" t="str">
        <v>Private</v>
      </c>
      <c r="AA550" t="str">
        <v>No</v>
      </c>
      <c r="AB550" t="str">
        <v>Yes</v>
      </c>
      <c r="AC550">
        <v>1</v>
      </c>
      <c r="AD550" t="str">
        <v>Free</v>
      </c>
      <c r="AE550">
        <v>1.03</v>
      </c>
      <c r="AF550" s="14">
        <f t="shared" si="8"/>
        <v>0.4879120879120879</v>
      </c>
    </row>
    <row r="551" spans="1:32" x14ac:dyDescent="0.2">
      <c r="A551">
        <v>550</v>
      </c>
      <c r="B551" cm="1">
        <f t="array" ref="B551:AE551">_xlfn.XLOOKUP($A551,Instagram_Usage_Lifestyle_Mini_!$A:$A,Instagram_Usage_Lifestyle_Mini_!$AC:$BF)</f>
        <v>41</v>
      </c>
      <c r="C551">
        <v>4</v>
      </c>
      <c r="D551">
        <v>1</v>
      </c>
      <c r="E551">
        <v>68</v>
      </c>
      <c r="F551">
        <v>55</v>
      </c>
      <c r="G551">
        <v>43</v>
      </c>
      <c r="H551">
        <v>7</v>
      </c>
      <c r="I551">
        <v>10</v>
      </c>
      <c r="J551">
        <v>16</v>
      </c>
      <c r="K551">
        <v>9</v>
      </c>
      <c r="L551">
        <v>0</v>
      </c>
      <c r="M551">
        <v>19</v>
      </c>
      <c r="N551">
        <v>8</v>
      </c>
      <c r="O551">
        <v>4</v>
      </c>
      <c r="P551">
        <v>16</v>
      </c>
      <c r="Q551">
        <v>2593</v>
      </c>
      <c r="R551">
        <v>3544</v>
      </c>
      <c r="S551" t="str">
        <v>No</v>
      </c>
      <c r="T551">
        <v>0.55000000000000004</v>
      </c>
      <c r="U551">
        <v>2022</v>
      </c>
      <c r="V551">
        <v>45746</v>
      </c>
      <c r="W551">
        <v>10.199999999999999</v>
      </c>
      <c r="X551" t="str">
        <v>Videos</v>
      </c>
      <c r="Y551" t="str">
        <v>Travel</v>
      </c>
      <c r="Z551" t="str">
        <v>Private</v>
      </c>
      <c r="AA551" t="str">
        <v>Yes</v>
      </c>
      <c r="AB551" t="str">
        <v>No</v>
      </c>
      <c r="AC551">
        <v>2</v>
      </c>
      <c r="AD551" t="str">
        <v>Premium</v>
      </c>
      <c r="AE551">
        <v>1.43</v>
      </c>
      <c r="AF551" s="14">
        <f t="shared" si="8"/>
        <v>0.73165914221218964</v>
      </c>
    </row>
    <row r="552" spans="1:32" x14ac:dyDescent="0.2">
      <c r="A552">
        <v>551</v>
      </c>
      <c r="B552" cm="1">
        <f t="array" ref="B552:AE552">_xlfn.XLOOKUP($A552,Instagram_Usage_Lifestyle_Mini_!$A:$A,Instagram_Usage_Lifestyle_Mini_!$AC:$BF)</f>
        <v>111</v>
      </c>
      <c r="C552">
        <v>6</v>
      </c>
      <c r="D552">
        <v>5</v>
      </c>
      <c r="E552">
        <v>111</v>
      </c>
      <c r="F552">
        <v>97</v>
      </c>
      <c r="G552">
        <v>71</v>
      </c>
      <c r="H552">
        <v>14</v>
      </c>
      <c r="I552">
        <v>21</v>
      </c>
      <c r="J552">
        <v>22</v>
      </c>
      <c r="K552">
        <v>13</v>
      </c>
      <c r="L552">
        <v>4</v>
      </c>
      <c r="M552">
        <v>49</v>
      </c>
      <c r="N552">
        <v>25</v>
      </c>
      <c r="O552">
        <v>12</v>
      </c>
      <c r="P552">
        <v>25</v>
      </c>
      <c r="Q552">
        <v>222</v>
      </c>
      <c r="R552">
        <v>342</v>
      </c>
      <c r="S552" t="str">
        <v>No</v>
      </c>
      <c r="T552">
        <v>0.44</v>
      </c>
      <c r="U552">
        <v>2011</v>
      </c>
      <c r="V552">
        <v>45956</v>
      </c>
      <c r="W552">
        <v>18.5</v>
      </c>
      <c r="X552" t="str">
        <v>Photos</v>
      </c>
      <c r="Y552" t="str">
        <v>Other</v>
      </c>
      <c r="Z552" t="str">
        <v>Public</v>
      </c>
      <c r="AA552" t="str">
        <v>No</v>
      </c>
      <c r="AB552" t="str">
        <v>No</v>
      </c>
      <c r="AC552">
        <v>0</v>
      </c>
      <c r="AD552" t="str">
        <v>Free</v>
      </c>
      <c r="AE552">
        <v>1.02</v>
      </c>
      <c r="AF552" s="14">
        <f t="shared" si="8"/>
        <v>0.64912280701754388</v>
      </c>
    </row>
    <row r="553" spans="1:32" x14ac:dyDescent="0.2">
      <c r="A553">
        <v>552</v>
      </c>
      <c r="B553" cm="1">
        <f t="array" ref="B553:AE553">_xlfn.XLOOKUP($A553,Instagram_Usage_Lifestyle_Mini_!$A:$A,Instagram_Usage_Lifestyle_Mini_!$AC:$BF)</f>
        <v>144</v>
      </c>
      <c r="C553">
        <v>14</v>
      </c>
      <c r="D553">
        <v>3</v>
      </c>
      <c r="E553">
        <v>134</v>
      </c>
      <c r="F553">
        <v>73</v>
      </c>
      <c r="G553">
        <v>107</v>
      </c>
      <c r="H553">
        <v>29</v>
      </c>
      <c r="I553">
        <v>28</v>
      </c>
      <c r="J553">
        <v>25</v>
      </c>
      <c r="K553">
        <v>14</v>
      </c>
      <c r="L553">
        <v>9</v>
      </c>
      <c r="M553">
        <v>72</v>
      </c>
      <c r="N553">
        <v>39</v>
      </c>
      <c r="O553">
        <v>29</v>
      </c>
      <c r="P553">
        <v>49</v>
      </c>
      <c r="Q553">
        <v>1582</v>
      </c>
      <c r="R553">
        <v>3286</v>
      </c>
      <c r="S553" t="str">
        <v>Yes</v>
      </c>
      <c r="T553">
        <v>0.76</v>
      </c>
      <c r="U553">
        <v>2019</v>
      </c>
      <c r="V553">
        <v>46012</v>
      </c>
      <c r="W553">
        <v>10.3</v>
      </c>
      <c r="X553" t="str">
        <v>Live</v>
      </c>
      <c r="Y553" t="str">
        <v>Food</v>
      </c>
      <c r="Z553" t="str">
        <v>Private</v>
      </c>
      <c r="AA553" t="str">
        <v>Yes</v>
      </c>
      <c r="AB553" t="str">
        <v>Yes</v>
      </c>
      <c r="AC553">
        <v>4</v>
      </c>
      <c r="AD553" t="str">
        <v>Free</v>
      </c>
      <c r="AE553">
        <v>1.2</v>
      </c>
      <c r="AF553" s="14">
        <f t="shared" si="8"/>
        <v>0.48143639683505784</v>
      </c>
    </row>
    <row r="554" spans="1:32" x14ac:dyDescent="0.2">
      <c r="A554">
        <v>553</v>
      </c>
      <c r="B554" cm="1">
        <f t="array" ref="B554:AE554">_xlfn.XLOOKUP($A554,Instagram_Usage_Lifestyle_Mini_!$A:$A,Instagram_Usage_Lifestyle_Mini_!$AC:$BF)</f>
        <v>142</v>
      </c>
      <c r="C554">
        <v>4</v>
      </c>
      <c r="D554">
        <v>8</v>
      </c>
      <c r="E554">
        <v>213</v>
      </c>
      <c r="F554">
        <v>92</v>
      </c>
      <c r="G554">
        <v>84</v>
      </c>
      <c r="H554">
        <v>26</v>
      </c>
      <c r="I554">
        <v>28</v>
      </c>
      <c r="J554">
        <v>20</v>
      </c>
      <c r="K554">
        <v>20</v>
      </c>
      <c r="L554">
        <v>1</v>
      </c>
      <c r="M554">
        <v>60</v>
      </c>
      <c r="N554">
        <v>28</v>
      </c>
      <c r="O554">
        <v>27</v>
      </c>
      <c r="P554">
        <v>46</v>
      </c>
      <c r="Q554">
        <v>3037</v>
      </c>
      <c r="R554">
        <v>1639</v>
      </c>
      <c r="S554" t="str">
        <v>Yes</v>
      </c>
      <c r="T554">
        <v>0.75</v>
      </c>
      <c r="U554">
        <v>2017</v>
      </c>
      <c r="V554">
        <v>45874</v>
      </c>
      <c r="W554">
        <v>35.5</v>
      </c>
      <c r="X554" t="str">
        <v>Reels</v>
      </c>
      <c r="Y554" t="str">
        <v>Tech</v>
      </c>
      <c r="Z554" t="str">
        <v>Public</v>
      </c>
      <c r="AA554" t="str">
        <v>Yes</v>
      </c>
      <c r="AB554" t="str">
        <v>No</v>
      </c>
      <c r="AC554">
        <v>0</v>
      </c>
      <c r="AD554" t="str">
        <v>Free</v>
      </c>
      <c r="AE554">
        <v>1.1200000000000001</v>
      </c>
      <c r="AF554" s="14">
        <f t="shared" si="8"/>
        <v>1.8529591214154972</v>
      </c>
    </row>
    <row r="555" spans="1:32" x14ac:dyDescent="0.2">
      <c r="A555">
        <v>554</v>
      </c>
      <c r="B555" cm="1">
        <f t="array" ref="B555:AE555">_xlfn.XLOOKUP($A555,Instagram_Usage_Lifestyle_Mini_!$A:$A,Instagram_Usage_Lifestyle_Mini_!$AC:$BF)</f>
        <v>27</v>
      </c>
      <c r="C555">
        <v>1</v>
      </c>
      <c r="D555">
        <v>3</v>
      </c>
      <c r="E555">
        <v>60</v>
      </c>
      <c r="F555">
        <v>41</v>
      </c>
      <c r="G555">
        <v>40</v>
      </c>
      <c r="H555">
        <v>9</v>
      </c>
      <c r="I555">
        <v>9</v>
      </c>
      <c r="J555">
        <v>15</v>
      </c>
      <c r="K555">
        <v>7</v>
      </c>
      <c r="L555">
        <v>5</v>
      </c>
      <c r="M555">
        <v>12</v>
      </c>
      <c r="N555">
        <v>8</v>
      </c>
      <c r="O555">
        <v>5</v>
      </c>
      <c r="P555">
        <v>10</v>
      </c>
      <c r="Q555">
        <v>614</v>
      </c>
      <c r="R555">
        <v>391</v>
      </c>
      <c r="S555" t="str">
        <v>No</v>
      </c>
      <c r="T555">
        <v>0.93</v>
      </c>
      <c r="U555">
        <v>2025</v>
      </c>
      <c r="V555">
        <v>45740</v>
      </c>
      <c r="W555">
        <v>27</v>
      </c>
      <c r="X555" t="str">
        <v>Photos</v>
      </c>
      <c r="Y555" t="str">
        <v>Fashion</v>
      </c>
      <c r="Z555" t="str">
        <v>Friends_only</v>
      </c>
      <c r="AA555" t="str">
        <v>Yes</v>
      </c>
      <c r="AB555" t="str">
        <v>No</v>
      </c>
      <c r="AC555">
        <v>2</v>
      </c>
      <c r="AD555" t="str">
        <v>Premium</v>
      </c>
      <c r="AE555">
        <v>2.39</v>
      </c>
      <c r="AF555" s="14">
        <f t="shared" si="8"/>
        <v>1.5703324808184143</v>
      </c>
    </row>
    <row r="556" spans="1:32" x14ac:dyDescent="0.2">
      <c r="A556">
        <v>555</v>
      </c>
      <c r="B556" cm="1">
        <f t="array" ref="B556:AE556">_xlfn.XLOOKUP($A556,Instagram_Usage_Lifestyle_Mini_!$A:$A,Instagram_Usage_Lifestyle_Mini_!$AC:$BF)</f>
        <v>403</v>
      </c>
      <c r="C556">
        <v>14</v>
      </c>
      <c r="D556">
        <v>13</v>
      </c>
      <c r="E556">
        <v>295</v>
      </c>
      <c r="F556">
        <v>150</v>
      </c>
      <c r="G556">
        <v>197</v>
      </c>
      <c r="H556">
        <v>73</v>
      </c>
      <c r="I556">
        <v>65</v>
      </c>
      <c r="J556">
        <v>64</v>
      </c>
      <c r="K556">
        <v>34</v>
      </c>
      <c r="L556">
        <v>8</v>
      </c>
      <c r="M556">
        <v>176</v>
      </c>
      <c r="N556">
        <v>55</v>
      </c>
      <c r="O556">
        <v>99</v>
      </c>
      <c r="P556">
        <v>130</v>
      </c>
      <c r="Q556">
        <v>646</v>
      </c>
      <c r="R556">
        <v>1475</v>
      </c>
      <c r="S556" t="str">
        <v>Yes</v>
      </c>
      <c r="T556">
        <v>0.43</v>
      </c>
      <c r="U556">
        <v>2011</v>
      </c>
      <c r="V556">
        <v>45725</v>
      </c>
      <c r="W556">
        <v>28.8</v>
      </c>
      <c r="X556" t="str">
        <v>Videos</v>
      </c>
      <c r="Y556" t="str">
        <v>Art</v>
      </c>
      <c r="Z556" t="str">
        <v>Public</v>
      </c>
      <c r="AA556" t="str">
        <v>Yes</v>
      </c>
      <c r="AB556" t="str">
        <v>No</v>
      </c>
      <c r="AC556">
        <v>0</v>
      </c>
      <c r="AD556" t="str">
        <v>Free</v>
      </c>
      <c r="AE556">
        <v>0.95</v>
      </c>
      <c r="AF556" s="14">
        <f t="shared" si="8"/>
        <v>0.43796610169491523</v>
      </c>
    </row>
    <row r="557" spans="1:32" x14ac:dyDescent="0.2">
      <c r="A557">
        <v>556</v>
      </c>
      <c r="B557" cm="1">
        <f t="array" ref="B557:AE557">_xlfn.XLOOKUP($A557,Instagram_Usage_Lifestyle_Mini_!$A:$A,Instagram_Usage_Lifestyle_Mini_!$AC:$BF)</f>
        <v>71</v>
      </c>
      <c r="C557">
        <v>6</v>
      </c>
      <c r="D557">
        <v>7</v>
      </c>
      <c r="E557">
        <v>155</v>
      </c>
      <c r="F557">
        <v>54</v>
      </c>
      <c r="G557">
        <v>57</v>
      </c>
      <c r="H557">
        <v>19</v>
      </c>
      <c r="I557">
        <v>12</v>
      </c>
      <c r="J557">
        <v>19</v>
      </c>
      <c r="K557">
        <v>8</v>
      </c>
      <c r="L557">
        <v>3</v>
      </c>
      <c r="M557">
        <v>35</v>
      </c>
      <c r="N557">
        <v>16</v>
      </c>
      <c r="O557">
        <v>9</v>
      </c>
      <c r="P557">
        <v>16</v>
      </c>
      <c r="Q557">
        <v>4238</v>
      </c>
      <c r="R557">
        <v>2769</v>
      </c>
      <c r="S557" t="str">
        <v>Yes</v>
      </c>
      <c r="T557">
        <v>0.15</v>
      </c>
      <c r="U557">
        <v>2020</v>
      </c>
      <c r="V557">
        <v>45909</v>
      </c>
      <c r="W557">
        <v>11.8</v>
      </c>
      <c r="X557" t="str">
        <v>Videos</v>
      </c>
      <c r="Y557" t="str">
        <v>Travel</v>
      </c>
      <c r="Z557" t="str">
        <v>Friends_only</v>
      </c>
      <c r="AA557" t="str">
        <v>Yes</v>
      </c>
      <c r="AB557" t="str">
        <v>No</v>
      </c>
      <c r="AC557">
        <v>2</v>
      </c>
      <c r="AD557" t="str">
        <v>Free</v>
      </c>
      <c r="AE557">
        <v>1.61</v>
      </c>
      <c r="AF557" s="14">
        <f t="shared" si="8"/>
        <v>1.5305164319248827</v>
      </c>
    </row>
    <row r="558" spans="1:32" x14ac:dyDescent="0.2">
      <c r="A558">
        <v>557</v>
      </c>
      <c r="B558" cm="1">
        <f t="array" ref="B558:AE558">_xlfn.XLOOKUP($A558,Instagram_Usage_Lifestyle_Mini_!$A:$A,Instagram_Usage_Lifestyle_Mini_!$AC:$BF)</f>
        <v>412</v>
      </c>
      <c r="C558">
        <v>20</v>
      </c>
      <c r="D558">
        <v>18</v>
      </c>
      <c r="E558">
        <v>300</v>
      </c>
      <c r="F558">
        <v>150</v>
      </c>
      <c r="G558">
        <v>220</v>
      </c>
      <c r="H558">
        <v>67</v>
      </c>
      <c r="I558">
        <v>65</v>
      </c>
      <c r="J558">
        <v>47</v>
      </c>
      <c r="K558">
        <v>30</v>
      </c>
      <c r="L558">
        <v>6</v>
      </c>
      <c r="M558">
        <v>176</v>
      </c>
      <c r="N558">
        <v>90</v>
      </c>
      <c r="O558">
        <v>96</v>
      </c>
      <c r="P558">
        <v>83</v>
      </c>
      <c r="Q558">
        <v>343</v>
      </c>
      <c r="R558">
        <v>638</v>
      </c>
      <c r="S558" t="str">
        <v>No</v>
      </c>
      <c r="T558">
        <v>0.19</v>
      </c>
      <c r="U558">
        <v>2021</v>
      </c>
      <c r="V558">
        <v>45858</v>
      </c>
      <c r="W558">
        <v>20.6</v>
      </c>
      <c r="X558" t="str">
        <v>Stories</v>
      </c>
      <c r="Y558" t="str">
        <v>Art</v>
      </c>
      <c r="Z558" t="str">
        <v>Private</v>
      </c>
      <c r="AA558" t="str">
        <v>Yes</v>
      </c>
      <c r="AB558" t="str">
        <v>No</v>
      </c>
      <c r="AC558">
        <v>2</v>
      </c>
      <c r="AD558" t="str">
        <v>Business</v>
      </c>
      <c r="AE558">
        <v>0.99</v>
      </c>
      <c r="AF558" s="14">
        <f t="shared" si="8"/>
        <v>0.53761755485893414</v>
      </c>
    </row>
    <row r="559" spans="1:32" x14ac:dyDescent="0.2">
      <c r="A559">
        <v>558</v>
      </c>
      <c r="B559" cm="1">
        <f t="array" ref="B559:AE559">_xlfn.XLOOKUP($A559,Instagram_Usage_Lifestyle_Mini_!$A:$A,Instagram_Usage_Lifestyle_Mini_!$AC:$BF)</f>
        <v>87</v>
      </c>
      <c r="C559">
        <v>6</v>
      </c>
      <c r="D559">
        <v>0</v>
      </c>
      <c r="E559">
        <v>99</v>
      </c>
      <c r="F559">
        <v>62</v>
      </c>
      <c r="G559">
        <v>70</v>
      </c>
      <c r="H559">
        <v>16</v>
      </c>
      <c r="I559">
        <v>15</v>
      </c>
      <c r="J559">
        <v>13</v>
      </c>
      <c r="K559">
        <v>16</v>
      </c>
      <c r="L559">
        <v>5</v>
      </c>
      <c r="M559">
        <v>39</v>
      </c>
      <c r="N559">
        <v>21</v>
      </c>
      <c r="O559">
        <v>10</v>
      </c>
      <c r="P559">
        <v>34</v>
      </c>
      <c r="Q559">
        <v>1897</v>
      </c>
      <c r="R559">
        <v>1434</v>
      </c>
      <c r="S559" t="str">
        <v>No</v>
      </c>
      <c r="T559">
        <v>0.43</v>
      </c>
      <c r="U559">
        <v>2021</v>
      </c>
      <c r="V559">
        <v>45848</v>
      </c>
      <c r="W559">
        <v>14.5</v>
      </c>
      <c r="X559" t="str">
        <v>Reels</v>
      </c>
      <c r="Y559" t="str">
        <v>Other</v>
      </c>
      <c r="Z559" t="str">
        <v>Private</v>
      </c>
      <c r="AA559" t="str">
        <v>Yes</v>
      </c>
      <c r="AB559" t="str">
        <v>No</v>
      </c>
      <c r="AC559">
        <v>2</v>
      </c>
      <c r="AD559" t="str">
        <v>Free</v>
      </c>
      <c r="AE559">
        <v>1.1599999999999999</v>
      </c>
      <c r="AF559" s="14">
        <f t="shared" si="8"/>
        <v>1.3228730822873083</v>
      </c>
    </row>
    <row r="560" spans="1:32" x14ac:dyDescent="0.2">
      <c r="A560">
        <v>559</v>
      </c>
      <c r="B560" cm="1">
        <f t="array" ref="B560:AE560">_xlfn.XLOOKUP($A560,Instagram_Usage_Lifestyle_Mini_!$A:$A,Instagram_Usage_Lifestyle_Mini_!$AC:$BF)</f>
        <v>174</v>
      </c>
      <c r="C560">
        <v>7</v>
      </c>
      <c r="D560">
        <v>15</v>
      </c>
      <c r="E560">
        <v>219</v>
      </c>
      <c r="F560">
        <v>100</v>
      </c>
      <c r="G560">
        <v>110</v>
      </c>
      <c r="H560">
        <v>46</v>
      </c>
      <c r="I560">
        <v>20</v>
      </c>
      <c r="J560">
        <v>33</v>
      </c>
      <c r="K560">
        <v>13</v>
      </c>
      <c r="L560">
        <v>3</v>
      </c>
      <c r="M560">
        <v>71</v>
      </c>
      <c r="N560">
        <v>30</v>
      </c>
      <c r="O560">
        <v>27</v>
      </c>
      <c r="P560">
        <v>54</v>
      </c>
      <c r="Q560">
        <v>194</v>
      </c>
      <c r="R560">
        <v>114</v>
      </c>
      <c r="S560" t="str">
        <v>Yes</v>
      </c>
      <c r="T560">
        <v>0.3</v>
      </c>
      <c r="U560">
        <v>2014</v>
      </c>
      <c r="V560">
        <v>45793</v>
      </c>
      <c r="W560">
        <v>24.9</v>
      </c>
      <c r="X560" t="str">
        <v>Reels</v>
      </c>
      <c r="Y560" t="str">
        <v>Music</v>
      </c>
      <c r="Z560" t="str">
        <v>Public</v>
      </c>
      <c r="AA560" t="str">
        <v>No</v>
      </c>
      <c r="AB560" t="str">
        <v>No</v>
      </c>
      <c r="AC560">
        <v>2</v>
      </c>
      <c r="AD560" t="str">
        <v>Free</v>
      </c>
      <c r="AE560">
        <v>1.41</v>
      </c>
      <c r="AF560" s="14">
        <f t="shared" si="8"/>
        <v>1.7017543859649122</v>
      </c>
    </row>
    <row r="561" spans="1:32" x14ac:dyDescent="0.2">
      <c r="A561">
        <v>560</v>
      </c>
      <c r="B561" cm="1">
        <f t="array" ref="B561:AE561">_xlfn.XLOOKUP($A561,Instagram_Usage_Lifestyle_Mini_!$A:$A,Instagram_Usage_Lifestyle_Mini_!$AC:$BF)</f>
        <v>323</v>
      </c>
      <c r="C561">
        <v>10</v>
      </c>
      <c r="D561">
        <v>9</v>
      </c>
      <c r="E561">
        <v>286</v>
      </c>
      <c r="F561">
        <v>150</v>
      </c>
      <c r="G561">
        <v>189</v>
      </c>
      <c r="H561">
        <v>55</v>
      </c>
      <c r="I561">
        <v>47</v>
      </c>
      <c r="J561">
        <v>47</v>
      </c>
      <c r="K561">
        <v>33</v>
      </c>
      <c r="L561">
        <v>6</v>
      </c>
      <c r="M561">
        <v>129</v>
      </c>
      <c r="N561">
        <v>62</v>
      </c>
      <c r="O561">
        <v>65</v>
      </c>
      <c r="P561">
        <v>127</v>
      </c>
      <c r="Q561">
        <v>1023</v>
      </c>
      <c r="R561">
        <v>1065</v>
      </c>
      <c r="S561" t="str">
        <v>No</v>
      </c>
      <c r="T561">
        <v>0.33</v>
      </c>
      <c r="U561">
        <v>2023</v>
      </c>
      <c r="V561">
        <v>45835</v>
      </c>
      <c r="W561">
        <v>32.299999999999997</v>
      </c>
      <c r="X561" t="str">
        <v>Photos</v>
      </c>
      <c r="Y561" t="str">
        <v>Tech</v>
      </c>
      <c r="Z561" t="str">
        <v>Private</v>
      </c>
      <c r="AA561" t="str">
        <v>Yes</v>
      </c>
      <c r="AB561" t="str">
        <v>No</v>
      </c>
      <c r="AC561">
        <v>1</v>
      </c>
      <c r="AD561" t="str">
        <v>Free</v>
      </c>
      <c r="AE561">
        <v>1.01</v>
      </c>
      <c r="AF561" s="14">
        <f t="shared" si="8"/>
        <v>0.96056338028169019</v>
      </c>
    </row>
    <row r="562" spans="1:32" x14ac:dyDescent="0.2">
      <c r="A562">
        <v>561</v>
      </c>
      <c r="B562" cm="1">
        <f t="array" ref="B562:AE562">_xlfn.XLOOKUP($A562,Instagram_Usage_Lifestyle_Mini_!$A:$A,Instagram_Usage_Lifestyle_Mini_!$AC:$BF)</f>
        <v>354</v>
      </c>
      <c r="C562">
        <v>39</v>
      </c>
      <c r="D562">
        <v>9</v>
      </c>
      <c r="E562">
        <v>262</v>
      </c>
      <c r="F562">
        <v>150</v>
      </c>
      <c r="G562">
        <v>222</v>
      </c>
      <c r="H562">
        <v>60</v>
      </c>
      <c r="I562">
        <v>41</v>
      </c>
      <c r="J562">
        <v>51</v>
      </c>
      <c r="K562">
        <v>32</v>
      </c>
      <c r="L562">
        <v>11</v>
      </c>
      <c r="M562">
        <v>160</v>
      </c>
      <c r="N562">
        <v>101</v>
      </c>
      <c r="O562">
        <v>42</v>
      </c>
      <c r="P562">
        <v>128</v>
      </c>
      <c r="Q562">
        <v>799</v>
      </c>
      <c r="R562">
        <v>818</v>
      </c>
      <c r="S562" t="str">
        <v>No</v>
      </c>
      <c r="T562">
        <v>0.47</v>
      </c>
      <c r="U562">
        <v>2017</v>
      </c>
      <c r="V562">
        <v>45894</v>
      </c>
      <c r="W562">
        <v>9.1</v>
      </c>
      <c r="X562" t="str">
        <v>Videos</v>
      </c>
      <c r="Y562" t="str">
        <v>Travel</v>
      </c>
      <c r="Z562" t="str">
        <v>Private</v>
      </c>
      <c r="AA562" t="str">
        <v>Yes</v>
      </c>
      <c r="AB562" t="str">
        <v>No</v>
      </c>
      <c r="AC562">
        <v>2</v>
      </c>
      <c r="AD562" t="str">
        <v>Free</v>
      </c>
      <c r="AE562">
        <v>1.04</v>
      </c>
      <c r="AF562" s="14">
        <f t="shared" si="8"/>
        <v>0.97677261613691935</v>
      </c>
    </row>
    <row r="563" spans="1:32" x14ac:dyDescent="0.2">
      <c r="A563">
        <v>562</v>
      </c>
      <c r="B563" cm="1">
        <f t="array" ref="B563:AE563">_xlfn.XLOOKUP($A563,Instagram_Usage_Lifestyle_Mini_!$A:$A,Instagram_Usage_Lifestyle_Mini_!$AC:$BF)</f>
        <v>273</v>
      </c>
      <c r="C563">
        <v>11</v>
      </c>
      <c r="D563">
        <v>7</v>
      </c>
      <c r="E563">
        <v>267</v>
      </c>
      <c r="F563">
        <v>150</v>
      </c>
      <c r="G563">
        <v>158</v>
      </c>
      <c r="H563">
        <v>43</v>
      </c>
      <c r="I563">
        <v>30</v>
      </c>
      <c r="J563">
        <v>56</v>
      </c>
      <c r="K563">
        <v>22</v>
      </c>
      <c r="L563">
        <v>7</v>
      </c>
      <c r="M563">
        <v>162</v>
      </c>
      <c r="N563">
        <v>52</v>
      </c>
      <c r="O563">
        <v>37</v>
      </c>
      <c r="P563">
        <v>64</v>
      </c>
      <c r="Q563">
        <v>1076</v>
      </c>
      <c r="R563">
        <v>2264</v>
      </c>
      <c r="S563" t="str">
        <v>No</v>
      </c>
      <c r="T563">
        <v>0.33</v>
      </c>
      <c r="U563">
        <v>2013</v>
      </c>
      <c r="V563">
        <v>45714</v>
      </c>
      <c r="W563">
        <v>24.8</v>
      </c>
      <c r="X563" t="str">
        <v>Photos</v>
      </c>
      <c r="Y563" t="str">
        <v>Food</v>
      </c>
      <c r="Z563" t="str">
        <v>Public</v>
      </c>
      <c r="AA563" t="str">
        <v>No</v>
      </c>
      <c r="AB563" t="str">
        <v>No</v>
      </c>
      <c r="AC563">
        <v>4</v>
      </c>
      <c r="AD563" t="str">
        <v>Free</v>
      </c>
      <c r="AE563">
        <v>0.97</v>
      </c>
      <c r="AF563" s="14">
        <f t="shared" si="8"/>
        <v>0.47526501766784451</v>
      </c>
    </row>
    <row r="564" spans="1:32" x14ac:dyDescent="0.2">
      <c r="A564">
        <v>563</v>
      </c>
      <c r="B564" cm="1">
        <f t="array" ref="B564:AE564">_xlfn.XLOOKUP($A564,Instagram_Usage_Lifestyle_Mini_!$A:$A,Instagram_Usage_Lifestyle_Mini_!$AC:$BF)</f>
        <v>292</v>
      </c>
      <c r="C564">
        <v>13</v>
      </c>
      <c r="D564">
        <v>11</v>
      </c>
      <c r="E564">
        <v>300</v>
      </c>
      <c r="F564">
        <v>143</v>
      </c>
      <c r="G564">
        <v>172</v>
      </c>
      <c r="H564">
        <v>50</v>
      </c>
      <c r="I564">
        <v>44</v>
      </c>
      <c r="J564">
        <v>50</v>
      </c>
      <c r="K564">
        <v>27</v>
      </c>
      <c r="L564">
        <v>13</v>
      </c>
      <c r="M564">
        <v>122</v>
      </c>
      <c r="N564">
        <v>77</v>
      </c>
      <c r="O564">
        <v>37</v>
      </c>
      <c r="P564">
        <v>94</v>
      </c>
      <c r="Q564">
        <v>3790</v>
      </c>
      <c r="R564">
        <v>7399</v>
      </c>
      <c r="S564" t="str">
        <v>Yes</v>
      </c>
      <c r="T564">
        <v>0.04</v>
      </c>
      <c r="U564">
        <v>2020</v>
      </c>
      <c r="V564">
        <v>45976</v>
      </c>
      <c r="W564">
        <v>22.5</v>
      </c>
      <c r="X564" t="str">
        <v>Videos</v>
      </c>
      <c r="Y564" t="str">
        <v>Art</v>
      </c>
      <c r="Z564" t="str">
        <v>Friends_only</v>
      </c>
      <c r="AA564" t="str">
        <v>Yes</v>
      </c>
      <c r="AB564" t="str">
        <v>Yes</v>
      </c>
      <c r="AC564">
        <v>1</v>
      </c>
      <c r="AD564" t="str">
        <v>Free</v>
      </c>
      <c r="AE564">
        <v>1.04</v>
      </c>
      <c r="AF564" s="14">
        <f t="shared" si="8"/>
        <v>0.51223138261927292</v>
      </c>
    </row>
    <row r="565" spans="1:32" x14ac:dyDescent="0.2">
      <c r="A565">
        <v>564</v>
      </c>
      <c r="B565" cm="1">
        <f t="array" ref="B565:AE565">_xlfn.XLOOKUP($A565,Instagram_Usage_Lifestyle_Mini_!$A:$A,Instagram_Usage_Lifestyle_Mini_!$AC:$BF)</f>
        <v>114</v>
      </c>
      <c r="C565">
        <v>4</v>
      </c>
      <c r="D565">
        <v>6</v>
      </c>
      <c r="E565">
        <v>104</v>
      </c>
      <c r="F565">
        <v>69</v>
      </c>
      <c r="G565">
        <v>83</v>
      </c>
      <c r="H565">
        <v>20</v>
      </c>
      <c r="I565">
        <v>17</v>
      </c>
      <c r="J565">
        <v>22</v>
      </c>
      <c r="K565">
        <v>8</v>
      </c>
      <c r="L565">
        <v>4</v>
      </c>
      <c r="M565">
        <v>66</v>
      </c>
      <c r="N565">
        <v>26</v>
      </c>
      <c r="O565">
        <v>19</v>
      </c>
      <c r="P565">
        <v>24</v>
      </c>
      <c r="Q565">
        <v>1092</v>
      </c>
      <c r="R565">
        <v>1174</v>
      </c>
      <c r="S565" t="str">
        <v>Yes</v>
      </c>
      <c r="T565">
        <v>0.5</v>
      </c>
      <c r="U565">
        <v>2023</v>
      </c>
      <c r="V565">
        <v>45873</v>
      </c>
      <c r="W565">
        <v>28.5</v>
      </c>
      <c r="X565" t="str">
        <v>Videos</v>
      </c>
      <c r="Y565" t="str">
        <v>Music</v>
      </c>
      <c r="Z565" t="str">
        <v>Private</v>
      </c>
      <c r="AA565" t="str">
        <v>Yes</v>
      </c>
      <c r="AB565" t="str">
        <v>No</v>
      </c>
      <c r="AC565">
        <v>1</v>
      </c>
      <c r="AD565" t="str">
        <v>Free</v>
      </c>
      <c r="AE565">
        <v>1.23</v>
      </c>
      <c r="AF565" s="14">
        <f t="shared" si="8"/>
        <v>0.93015332197614986</v>
      </c>
    </row>
    <row r="566" spans="1:32" x14ac:dyDescent="0.2">
      <c r="A566">
        <v>565</v>
      </c>
      <c r="B566" cm="1">
        <f t="array" ref="B566:AE566">_xlfn.XLOOKUP($A566,Instagram_Usage_Lifestyle_Mini_!$A:$A,Instagram_Usage_Lifestyle_Mini_!$AC:$BF)</f>
        <v>185</v>
      </c>
      <c r="C566">
        <v>15</v>
      </c>
      <c r="D566">
        <v>1</v>
      </c>
      <c r="E566">
        <v>145</v>
      </c>
      <c r="F566">
        <v>114</v>
      </c>
      <c r="G566">
        <v>106</v>
      </c>
      <c r="H566">
        <v>30</v>
      </c>
      <c r="I566">
        <v>33</v>
      </c>
      <c r="J566">
        <v>27</v>
      </c>
      <c r="K566">
        <v>24</v>
      </c>
      <c r="L566">
        <v>6</v>
      </c>
      <c r="M566">
        <v>87</v>
      </c>
      <c r="N566">
        <v>35</v>
      </c>
      <c r="O566">
        <v>28</v>
      </c>
      <c r="P566">
        <v>59</v>
      </c>
      <c r="Q566">
        <v>440</v>
      </c>
      <c r="R566">
        <v>534</v>
      </c>
      <c r="S566" t="str">
        <v>No</v>
      </c>
      <c r="T566">
        <v>0.88</v>
      </c>
      <c r="U566">
        <v>2019</v>
      </c>
      <c r="V566">
        <v>45701</v>
      </c>
      <c r="W566">
        <v>12.3</v>
      </c>
      <c r="X566" t="str">
        <v>Mixed</v>
      </c>
      <c r="Y566" t="str">
        <v>Travel</v>
      </c>
      <c r="Z566" t="str">
        <v>Public</v>
      </c>
      <c r="AA566" t="str">
        <v>Yes</v>
      </c>
      <c r="AB566" t="str">
        <v>No</v>
      </c>
      <c r="AC566">
        <v>1</v>
      </c>
      <c r="AD566" t="str">
        <v>Free</v>
      </c>
      <c r="AE566">
        <v>0.91</v>
      </c>
      <c r="AF566" s="14">
        <f t="shared" si="8"/>
        <v>0.82397003745318353</v>
      </c>
    </row>
    <row r="567" spans="1:32" x14ac:dyDescent="0.2">
      <c r="A567">
        <v>566</v>
      </c>
      <c r="B567" cm="1">
        <f t="array" ref="B567:AE567">_xlfn.XLOOKUP($A567,Instagram_Usage_Lifestyle_Mini_!$A:$A,Instagram_Usage_Lifestyle_Mini_!$AC:$BF)</f>
        <v>257</v>
      </c>
      <c r="C567">
        <v>16</v>
      </c>
      <c r="D567">
        <v>2</v>
      </c>
      <c r="E567">
        <v>199</v>
      </c>
      <c r="F567">
        <v>128</v>
      </c>
      <c r="G567">
        <v>152</v>
      </c>
      <c r="H567">
        <v>47</v>
      </c>
      <c r="I567">
        <v>42</v>
      </c>
      <c r="J567">
        <v>56</v>
      </c>
      <c r="K567">
        <v>28</v>
      </c>
      <c r="L567">
        <v>14</v>
      </c>
      <c r="M567">
        <v>106</v>
      </c>
      <c r="N567">
        <v>38</v>
      </c>
      <c r="O567">
        <v>44</v>
      </c>
      <c r="P567">
        <v>102</v>
      </c>
      <c r="Q567">
        <v>822</v>
      </c>
      <c r="R567">
        <v>1367</v>
      </c>
      <c r="S567" t="str">
        <v>No</v>
      </c>
      <c r="T567">
        <v>0.49</v>
      </c>
      <c r="U567">
        <v>2014</v>
      </c>
      <c r="V567">
        <v>45821</v>
      </c>
      <c r="W567">
        <v>16.100000000000001</v>
      </c>
      <c r="X567" t="str">
        <v>Videos</v>
      </c>
      <c r="Y567" t="str">
        <v>Art</v>
      </c>
      <c r="Z567" t="str">
        <v>Friends_only</v>
      </c>
      <c r="AA567" t="str">
        <v>No</v>
      </c>
      <c r="AB567" t="str">
        <v>No</v>
      </c>
      <c r="AC567">
        <v>2</v>
      </c>
      <c r="AD567" t="str">
        <v>Free</v>
      </c>
      <c r="AE567">
        <v>0.98</v>
      </c>
      <c r="AF567" s="14">
        <f t="shared" si="8"/>
        <v>0.60131675201170443</v>
      </c>
    </row>
    <row r="568" spans="1:32" x14ac:dyDescent="0.2">
      <c r="A568">
        <v>567</v>
      </c>
      <c r="B568" cm="1">
        <f t="array" ref="B568:AE568">_xlfn.XLOOKUP($A568,Instagram_Usage_Lifestyle_Mini_!$A:$A,Instagram_Usage_Lifestyle_Mini_!$AC:$BF)</f>
        <v>173</v>
      </c>
      <c r="C568">
        <v>17</v>
      </c>
      <c r="D568">
        <v>3</v>
      </c>
      <c r="E568">
        <v>152</v>
      </c>
      <c r="F568">
        <v>100</v>
      </c>
      <c r="G568">
        <v>124</v>
      </c>
      <c r="H568">
        <v>29</v>
      </c>
      <c r="I568">
        <v>22</v>
      </c>
      <c r="J568">
        <v>15</v>
      </c>
      <c r="K568">
        <v>15</v>
      </c>
      <c r="L568">
        <v>7</v>
      </c>
      <c r="M568">
        <v>96</v>
      </c>
      <c r="N568">
        <v>48</v>
      </c>
      <c r="O568">
        <v>35</v>
      </c>
      <c r="P568">
        <v>60</v>
      </c>
      <c r="Q568">
        <v>1809</v>
      </c>
      <c r="R568">
        <v>4291</v>
      </c>
      <c r="S568" t="str">
        <v>Yes</v>
      </c>
      <c r="T568">
        <v>0.94</v>
      </c>
      <c r="U568">
        <v>2017</v>
      </c>
      <c r="V568">
        <v>45909</v>
      </c>
      <c r="W568">
        <v>10.199999999999999</v>
      </c>
      <c r="X568" t="str">
        <v>Stories</v>
      </c>
      <c r="Y568" t="str">
        <v>Fashion</v>
      </c>
      <c r="Z568" t="str">
        <v>Friends_only</v>
      </c>
      <c r="AA568" t="str">
        <v>No</v>
      </c>
      <c r="AB568" t="str">
        <v>No</v>
      </c>
      <c r="AC568">
        <v>1</v>
      </c>
      <c r="AD568" t="str">
        <v>Free</v>
      </c>
      <c r="AE568">
        <v>1.1000000000000001</v>
      </c>
      <c r="AF568" s="14">
        <f t="shared" si="8"/>
        <v>0.42158005127010023</v>
      </c>
    </row>
    <row r="569" spans="1:32" x14ac:dyDescent="0.2">
      <c r="A569">
        <v>568</v>
      </c>
      <c r="B569" cm="1">
        <f t="array" ref="B569:AE569">_xlfn.XLOOKUP($A569,Instagram_Usage_Lifestyle_Mini_!$A:$A,Instagram_Usage_Lifestyle_Mini_!$AC:$BF)</f>
        <v>123</v>
      </c>
      <c r="C569">
        <v>10</v>
      </c>
      <c r="D569">
        <v>1</v>
      </c>
      <c r="E569">
        <v>110</v>
      </c>
      <c r="F569">
        <v>75</v>
      </c>
      <c r="G569">
        <v>75</v>
      </c>
      <c r="H569">
        <v>25</v>
      </c>
      <c r="I569">
        <v>16</v>
      </c>
      <c r="J569">
        <v>28</v>
      </c>
      <c r="K569">
        <v>13</v>
      </c>
      <c r="L569">
        <v>5</v>
      </c>
      <c r="M569">
        <v>50</v>
      </c>
      <c r="N569">
        <v>27</v>
      </c>
      <c r="O569">
        <v>17</v>
      </c>
      <c r="P569">
        <v>36</v>
      </c>
      <c r="Q569">
        <v>2056</v>
      </c>
      <c r="R569">
        <v>2546</v>
      </c>
      <c r="S569" t="str">
        <v>Yes</v>
      </c>
      <c r="T569">
        <v>0.03</v>
      </c>
      <c r="U569">
        <v>2014</v>
      </c>
      <c r="V569">
        <v>45689</v>
      </c>
      <c r="W569">
        <v>12.3</v>
      </c>
      <c r="X569" t="str">
        <v>Live</v>
      </c>
      <c r="Y569" t="str">
        <v>Other</v>
      </c>
      <c r="Z569" t="str">
        <v>Friends_only</v>
      </c>
      <c r="AA569" t="str">
        <v>No</v>
      </c>
      <c r="AB569" t="str">
        <v>No</v>
      </c>
      <c r="AC569">
        <v>2</v>
      </c>
      <c r="AD569" t="str">
        <v>Premium</v>
      </c>
      <c r="AE569">
        <v>1.03</v>
      </c>
      <c r="AF569" s="14">
        <f t="shared" si="8"/>
        <v>0.80754124116260806</v>
      </c>
    </row>
    <row r="570" spans="1:32" x14ac:dyDescent="0.2">
      <c r="A570">
        <v>569</v>
      </c>
      <c r="B570" cm="1">
        <f t="array" ref="B570:AE570">_xlfn.XLOOKUP($A570,Instagram_Usage_Lifestyle_Mini_!$A:$A,Instagram_Usage_Lifestyle_Mini_!$AC:$BF)</f>
        <v>209</v>
      </c>
      <c r="C570">
        <v>6</v>
      </c>
      <c r="D570">
        <v>11</v>
      </c>
      <c r="E570">
        <v>169</v>
      </c>
      <c r="F570">
        <v>129</v>
      </c>
      <c r="G570">
        <v>115</v>
      </c>
      <c r="H570">
        <v>39</v>
      </c>
      <c r="I570">
        <v>34</v>
      </c>
      <c r="J570">
        <v>34</v>
      </c>
      <c r="K570">
        <v>16</v>
      </c>
      <c r="L570">
        <v>7</v>
      </c>
      <c r="M570">
        <v>108</v>
      </c>
      <c r="N570">
        <v>53</v>
      </c>
      <c r="O570">
        <v>26</v>
      </c>
      <c r="P570">
        <v>75</v>
      </c>
      <c r="Q570">
        <v>4610</v>
      </c>
      <c r="R570">
        <v>5885</v>
      </c>
      <c r="S570" t="str">
        <v>No</v>
      </c>
      <c r="T570">
        <v>0</v>
      </c>
      <c r="U570">
        <v>2019</v>
      </c>
      <c r="V570">
        <v>45660</v>
      </c>
      <c r="W570">
        <v>34.799999999999997</v>
      </c>
      <c r="X570" t="str">
        <v>Mixed</v>
      </c>
      <c r="Y570" t="str">
        <v>Music</v>
      </c>
      <c r="Z570" t="str">
        <v>Public</v>
      </c>
      <c r="AA570" t="str">
        <v>Yes</v>
      </c>
      <c r="AB570" t="str">
        <v>Yes</v>
      </c>
      <c r="AC570">
        <v>0</v>
      </c>
      <c r="AD570" t="str">
        <v>Free</v>
      </c>
      <c r="AE570">
        <v>1.08</v>
      </c>
      <c r="AF570" s="14">
        <f t="shared" si="8"/>
        <v>0.78334749362786749</v>
      </c>
    </row>
    <row r="571" spans="1:32" x14ac:dyDescent="0.2">
      <c r="A571">
        <v>570</v>
      </c>
      <c r="B571" cm="1">
        <f t="array" ref="B571:AE571">_xlfn.XLOOKUP($A571,Instagram_Usage_Lifestyle_Mini_!$A:$A,Instagram_Usage_Lifestyle_Mini_!$AC:$BF)</f>
        <v>313</v>
      </c>
      <c r="C571">
        <v>15</v>
      </c>
      <c r="D571">
        <v>11</v>
      </c>
      <c r="E571">
        <v>300</v>
      </c>
      <c r="F571">
        <v>150</v>
      </c>
      <c r="G571">
        <v>197</v>
      </c>
      <c r="H571">
        <v>68</v>
      </c>
      <c r="I571">
        <v>30</v>
      </c>
      <c r="J571">
        <v>48</v>
      </c>
      <c r="K571">
        <v>28</v>
      </c>
      <c r="L571">
        <v>7</v>
      </c>
      <c r="M571">
        <v>126</v>
      </c>
      <c r="N571">
        <v>46</v>
      </c>
      <c r="O571">
        <v>55</v>
      </c>
      <c r="P571">
        <v>72</v>
      </c>
      <c r="Q571">
        <v>3070</v>
      </c>
      <c r="R571">
        <v>1996</v>
      </c>
      <c r="S571" t="str">
        <v>No</v>
      </c>
      <c r="T571">
        <v>0.23</v>
      </c>
      <c r="U571">
        <v>2014</v>
      </c>
      <c r="V571">
        <v>45905</v>
      </c>
      <c r="W571">
        <v>20.9</v>
      </c>
      <c r="X571" t="str">
        <v>Live</v>
      </c>
      <c r="Y571" t="str">
        <v>Music</v>
      </c>
      <c r="Z571" t="str">
        <v>Public</v>
      </c>
      <c r="AA571" t="str">
        <v>Yes</v>
      </c>
      <c r="AB571" t="str">
        <v>No</v>
      </c>
      <c r="AC571">
        <v>3</v>
      </c>
      <c r="AD571" t="str">
        <v>Free</v>
      </c>
      <c r="AE571">
        <v>1.17</v>
      </c>
      <c r="AF571" s="14">
        <f t="shared" si="8"/>
        <v>1.5380761523046091</v>
      </c>
    </row>
    <row r="572" spans="1:32" x14ac:dyDescent="0.2">
      <c r="A572">
        <v>571</v>
      </c>
      <c r="B572" cm="1">
        <f t="array" ref="B572:AE572">_xlfn.XLOOKUP($A572,Instagram_Usage_Lifestyle_Mini_!$A:$A,Instagram_Usage_Lifestyle_Mini_!$AC:$BF)</f>
        <v>5</v>
      </c>
      <c r="C572">
        <v>1</v>
      </c>
      <c r="D572">
        <v>1</v>
      </c>
      <c r="E572">
        <v>35</v>
      </c>
      <c r="F572">
        <v>26</v>
      </c>
      <c r="G572">
        <v>25</v>
      </c>
      <c r="H572">
        <v>7</v>
      </c>
      <c r="I572">
        <v>11</v>
      </c>
      <c r="J572">
        <v>7</v>
      </c>
      <c r="K572">
        <v>7</v>
      </c>
      <c r="L572">
        <v>2</v>
      </c>
      <c r="M572">
        <v>3</v>
      </c>
      <c r="N572">
        <v>1</v>
      </c>
      <c r="O572">
        <v>1</v>
      </c>
      <c r="P572">
        <v>2</v>
      </c>
      <c r="Q572">
        <v>1949</v>
      </c>
      <c r="R572">
        <v>3394</v>
      </c>
      <c r="S572" t="str">
        <v>No</v>
      </c>
      <c r="T572">
        <v>0.51</v>
      </c>
      <c r="U572">
        <v>2025</v>
      </c>
      <c r="V572">
        <v>45834</v>
      </c>
      <c r="W572">
        <v>5</v>
      </c>
      <c r="X572" t="str">
        <v>Photos</v>
      </c>
      <c r="Y572" t="str">
        <v>Other</v>
      </c>
      <c r="Z572" t="str">
        <v>Public</v>
      </c>
      <c r="AA572" t="str">
        <v>Yes</v>
      </c>
      <c r="AB572" t="str">
        <v>Yes</v>
      </c>
      <c r="AC572">
        <v>2</v>
      </c>
      <c r="AD572" t="str">
        <v>Free</v>
      </c>
      <c r="AE572">
        <v>7</v>
      </c>
      <c r="AF572" s="14">
        <f t="shared" si="8"/>
        <v>0.57424867413081915</v>
      </c>
    </row>
    <row r="573" spans="1:32" x14ac:dyDescent="0.2">
      <c r="A573">
        <v>572</v>
      </c>
      <c r="B573" cm="1">
        <f t="array" ref="B573:AE573">_xlfn.XLOOKUP($A573,Instagram_Usage_Lifestyle_Mini_!$A:$A,Instagram_Usage_Lifestyle_Mini_!$AC:$BF)</f>
        <v>42</v>
      </c>
      <c r="C573">
        <v>1</v>
      </c>
      <c r="D573">
        <v>2</v>
      </c>
      <c r="E573">
        <v>74</v>
      </c>
      <c r="F573">
        <v>31</v>
      </c>
      <c r="G573">
        <v>36</v>
      </c>
      <c r="H573">
        <v>14</v>
      </c>
      <c r="I573">
        <v>14</v>
      </c>
      <c r="J573">
        <v>15</v>
      </c>
      <c r="K573">
        <v>4</v>
      </c>
      <c r="L573">
        <v>2</v>
      </c>
      <c r="M573">
        <v>23</v>
      </c>
      <c r="N573">
        <v>13</v>
      </c>
      <c r="O573">
        <v>8</v>
      </c>
      <c r="P573">
        <v>14</v>
      </c>
      <c r="Q573">
        <v>90</v>
      </c>
      <c r="R573">
        <v>71</v>
      </c>
      <c r="S573" t="str">
        <v>No</v>
      </c>
      <c r="T573">
        <v>0.3</v>
      </c>
      <c r="U573">
        <v>2021</v>
      </c>
      <c r="V573">
        <v>45668</v>
      </c>
      <c r="W573">
        <v>42</v>
      </c>
      <c r="X573" t="str">
        <v>Live</v>
      </c>
      <c r="Y573" t="str">
        <v>Other</v>
      </c>
      <c r="Z573" t="str">
        <v>Private</v>
      </c>
      <c r="AA573" t="str">
        <v>No</v>
      </c>
      <c r="AB573" t="str">
        <v>Yes</v>
      </c>
      <c r="AC573">
        <v>3</v>
      </c>
      <c r="AD573" t="str">
        <v>Free</v>
      </c>
      <c r="AE573">
        <v>1.63</v>
      </c>
      <c r="AF573" s="14">
        <f t="shared" si="8"/>
        <v>1.267605633802817</v>
      </c>
    </row>
    <row r="574" spans="1:32" x14ac:dyDescent="0.2">
      <c r="A574">
        <v>573</v>
      </c>
      <c r="B574" cm="1">
        <f t="array" ref="B574:AE574">_xlfn.XLOOKUP($A574,Instagram_Usage_Lifestyle_Mini_!$A:$A,Instagram_Usage_Lifestyle_Mini_!$AC:$BF)</f>
        <v>177</v>
      </c>
      <c r="C574">
        <v>17</v>
      </c>
      <c r="D574">
        <v>4</v>
      </c>
      <c r="E574">
        <v>162</v>
      </c>
      <c r="F574">
        <v>89</v>
      </c>
      <c r="G574">
        <v>114</v>
      </c>
      <c r="H574">
        <v>38</v>
      </c>
      <c r="I574">
        <v>26</v>
      </c>
      <c r="J574">
        <v>33</v>
      </c>
      <c r="K574">
        <v>20</v>
      </c>
      <c r="L574">
        <v>3</v>
      </c>
      <c r="M574">
        <v>78</v>
      </c>
      <c r="N574">
        <v>51</v>
      </c>
      <c r="O574">
        <v>40</v>
      </c>
      <c r="P574">
        <v>70</v>
      </c>
      <c r="Q574">
        <v>4639</v>
      </c>
      <c r="R574">
        <v>2163</v>
      </c>
      <c r="S574" t="str">
        <v>No</v>
      </c>
      <c r="T574">
        <v>0.3</v>
      </c>
      <c r="U574">
        <v>2018</v>
      </c>
      <c r="V574">
        <v>45806</v>
      </c>
      <c r="W574">
        <v>10.4</v>
      </c>
      <c r="X574" t="str">
        <v>Mixed</v>
      </c>
      <c r="Y574" t="str">
        <v>Art</v>
      </c>
      <c r="Z574" t="str">
        <v>Friends_only</v>
      </c>
      <c r="AA574" t="str">
        <v>Yes</v>
      </c>
      <c r="AB574" t="str">
        <v>No</v>
      </c>
      <c r="AC574">
        <v>1</v>
      </c>
      <c r="AD574" t="str">
        <v>Free</v>
      </c>
      <c r="AE574">
        <v>1.1299999999999999</v>
      </c>
      <c r="AF574" s="14">
        <f t="shared" si="8"/>
        <v>2.1447064262598241</v>
      </c>
    </row>
    <row r="575" spans="1:32" x14ac:dyDescent="0.2">
      <c r="A575">
        <v>574</v>
      </c>
      <c r="B575" cm="1">
        <f t="array" ref="B575:AE575">_xlfn.XLOOKUP($A575,Instagram_Usage_Lifestyle_Mini_!$A:$A,Instagram_Usage_Lifestyle_Mini_!$AC:$BF)</f>
        <v>292</v>
      </c>
      <c r="C575">
        <v>36</v>
      </c>
      <c r="D575">
        <v>9</v>
      </c>
      <c r="E575">
        <v>231</v>
      </c>
      <c r="F575">
        <v>133</v>
      </c>
      <c r="G575">
        <v>168</v>
      </c>
      <c r="H575">
        <v>53</v>
      </c>
      <c r="I575">
        <v>44</v>
      </c>
      <c r="J575">
        <v>33</v>
      </c>
      <c r="K575">
        <v>36</v>
      </c>
      <c r="L575">
        <v>7</v>
      </c>
      <c r="M575">
        <v>131</v>
      </c>
      <c r="N575">
        <v>63</v>
      </c>
      <c r="O575">
        <v>43</v>
      </c>
      <c r="P575">
        <v>76</v>
      </c>
      <c r="Q575">
        <v>1505</v>
      </c>
      <c r="R575">
        <v>2549</v>
      </c>
      <c r="S575" t="str">
        <v>No</v>
      </c>
      <c r="T575">
        <v>0.38</v>
      </c>
      <c r="U575">
        <v>2024</v>
      </c>
      <c r="V575">
        <v>45795</v>
      </c>
      <c r="W575">
        <v>8.1</v>
      </c>
      <c r="X575" t="str">
        <v>Reels</v>
      </c>
      <c r="Y575" t="str">
        <v>Travel</v>
      </c>
      <c r="Z575" t="str">
        <v>Private</v>
      </c>
      <c r="AA575" t="str">
        <v>Yes</v>
      </c>
      <c r="AB575" t="str">
        <v>Yes</v>
      </c>
      <c r="AC575">
        <v>0</v>
      </c>
      <c r="AD575" t="str">
        <v>Free</v>
      </c>
      <c r="AE575">
        <v>1.03</v>
      </c>
      <c r="AF575" s="14">
        <f t="shared" si="8"/>
        <v>0.59042761867398985</v>
      </c>
    </row>
    <row r="576" spans="1:32" x14ac:dyDescent="0.2">
      <c r="A576">
        <v>575</v>
      </c>
      <c r="B576" cm="1">
        <f t="array" ref="B576:AE576">_xlfn.XLOOKUP($A576,Instagram_Usage_Lifestyle_Mini_!$A:$A,Instagram_Usage_Lifestyle_Mini_!$AC:$BF)</f>
        <v>222</v>
      </c>
      <c r="C576">
        <v>7</v>
      </c>
      <c r="D576">
        <v>5</v>
      </c>
      <c r="E576">
        <v>164</v>
      </c>
      <c r="F576">
        <v>120</v>
      </c>
      <c r="G576">
        <v>134</v>
      </c>
      <c r="H576">
        <v>33</v>
      </c>
      <c r="I576">
        <v>36</v>
      </c>
      <c r="J576">
        <v>39</v>
      </c>
      <c r="K576">
        <v>24</v>
      </c>
      <c r="L576">
        <v>4</v>
      </c>
      <c r="M576">
        <v>130</v>
      </c>
      <c r="N576">
        <v>49</v>
      </c>
      <c r="O576">
        <v>36</v>
      </c>
      <c r="P576">
        <v>67</v>
      </c>
      <c r="Q576">
        <v>967</v>
      </c>
      <c r="R576">
        <v>1473</v>
      </c>
      <c r="S576" t="str">
        <v>No</v>
      </c>
      <c r="T576">
        <v>0.72</v>
      </c>
      <c r="U576">
        <v>2018</v>
      </c>
      <c r="V576">
        <v>45966</v>
      </c>
      <c r="W576">
        <v>31.7</v>
      </c>
      <c r="X576" t="str">
        <v>Photos</v>
      </c>
      <c r="Y576" t="str">
        <v>Other</v>
      </c>
      <c r="Z576" t="str">
        <v>Friends_only</v>
      </c>
      <c r="AA576" t="str">
        <v>Yes</v>
      </c>
      <c r="AB576" t="str">
        <v>No</v>
      </c>
      <c r="AC576">
        <v>3</v>
      </c>
      <c r="AD576" t="str">
        <v>Premium</v>
      </c>
      <c r="AE576">
        <v>0.96</v>
      </c>
      <c r="AF576" s="14">
        <f t="shared" si="8"/>
        <v>0.65648336727766465</v>
      </c>
    </row>
    <row r="577" spans="1:32" x14ac:dyDescent="0.2">
      <c r="A577">
        <v>576</v>
      </c>
      <c r="B577" cm="1">
        <f t="array" ref="B577:AE577">_xlfn.XLOOKUP($A577,Instagram_Usage_Lifestyle_Mini_!$A:$A,Instagram_Usage_Lifestyle_Mini_!$AC:$BF)</f>
        <v>350</v>
      </c>
      <c r="C577">
        <v>27</v>
      </c>
      <c r="D577">
        <v>6</v>
      </c>
      <c r="E577">
        <v>250</v>
      </c>
      <c r="F577">
        <v>150</v>
      </c>
      <c r="G577">
        <v>187</v>
      </c>
      <c r="H577">
        <v>61</v>
      </c>
      <c r="I577">
        <v>57</v>
      </c>
      <c r="J577">
        <v>54</v>
      </c>
      <c r="K577">
        <v>29</v>
      </c>
      <c r="L577">
        <v>6</v>
      </c>
      <c r="M577">
        <v>198</v>
      </c>
      <c r="N577">
        <v>58</v>
      </c>
      <c r="O577">
        <v>52</v>
      </c>
      <c r="P577">
        <v>88</v>
      </c>
      <c r="Q577">
        <v>3434</v>
      </c>
      <c r="R577">
        <v>1641</v>
      </c>
      <c r="S577" t="str">
        <v>No</v>
      </c>
      <c r="T577">
        <v>0.64</v>
      </c>
      <c r="U577">
        <v>2011</v>
      </c>
      <c r="V577">
        <v>45919</v>
      </c>
      <c r="W577">
        <v>13</v>
      </c>
      <c r="X577" t="str">
        <v>Live</v>
      </c>
      <c r="Y577" t="str">
        <v>Music</v>
      </c>
      <c r="Z577" t="str">
        <v>Public</v>
      </c>
      <c r="AA577" t="str">
        <v>Yes</v>
      </c>
      <c r="AB577" t="str">
        <v>No</v>
      </c>
      <c r="AC577">
        <v>2</v>
      </c>
      <c r="AD577" t="str">
        <v>Free</v>
      </c>
      <c r="AE577">
        <v>0.93</v>
      </c>
      <c r="AF577" s="14">
        <f t="shared" si="8"/>
        <v>2.092626447288239</v>
      </c>
    </row>
    <row r="578" spans="1:32" x14ac:dyDescent="0.2">
      <c r="A578">
        <v>577</v>
      </c>
      <c r="B578" cm="1">
        <f t="array" ref="B578:AE578">_xlfn.XLOOKUP($A578,Instagram_Usage_Lifestyle_Mini_!$A:$A,Instagram_Usage_Lifestyle_Mini_!$AC:$BF)</f>
        <v>137</v>
      </c>
      <c r="C578">
        <v>7</v>
      </c>
      <c r="D578">
        <v>3</v>
      </c>
      <c r="E578">
        <v>123</v>
      </c>
      <c r="F578">
        <v>77</v>
      </c>
      <c r="G578">
        <v>97</v>
      </c>
      <c r="H578">
        <v>34</v>
      </c>
      <c r="I578">
        <v>33</v>
      </c>
      <c r="J578">
        <v>31</v>
      </c>
      <c r="K578">
        <v>12</v>
      </c>
      <c r="L578">
        <v>2</v>
      </c>
      <c r="M578">
        <v>60</v>
      </c>
      <c r="N578">
        <v>23</v>
      </c>
      <c r="O578">
        <v>26</v>
      </c>
      <c r="P578">
        <v>38</v>
      </c>
      <c r="Q578">
        <v>470</v>
      </c>
      <c r="R578">
        <v>458</v>
      </c>
      <c r="S578" t="str">
        <v>Yes</v>
      </c>
      <c r="T578">
        <v>0.14000000000000001</v>
      </c>
      <c r="U578">
        <v>2022</v>
      </c>
      <c r="V578">
        <v>45694</v>
      </c>
      <c r="W578">
        <v>19.600000000000001</v>
      </c>
      <c r="X578" t="str">
        <v>Reels</v>
      </c>
      <c r="Y578" t="str">
        <v>Fitness</v>
      </c>
      <c r="Z578" t="str">
        <v>Private</v>
      </c>
      <c r="AA578" t="str">
        <v>Yes</v>
      </c>
      <c r="AB578" t="str">
        <v>No</v>
      </c>
      <c r="AC578">
        <v>3</v>
      </c>
      <c r="AD578" t="str">
        <v>Premium</v>
      </c>
      <c r="AE578">
        <v>1.26</v>
      </c>
      <c r="AF578" s="14">
        <f t="shared" si="8"/>
        <v>1.0262008733624455</v>
      </c>
    </row>
    <row r="579" spans="1:32" x14ac:dyDescent="0.2">
      <c r="A579">
        <v>578</v>
      </c>
      <c r="B579" cm="1">
        <f t="array" ref="B579:AE579">_xlfn.XLOOKUP($A579,Instagram_Usage_Lifestyle_Mini_!$A:$A,Instagram_Usage_Lifestyle_Mini_!$AC:$BF)</f>
        <v>195</v>
      </c>
      <c r="C579">
        <v>12</v>
      </c>
      <c r="D579">
        <v>9</v>
      </c>
      <c r="E579">
        <v>249</v>
      </c>
      <c r="F579">
        <v>119</v>
      </c>
      <c r="G579">
        <v>129</v>
      </c>
      <c r="H579">
        <v>35</v>
      </c>
      <c r="I579">
        <v>26</v>
      </c>
      <c r="J579">
        <v>44</v>
      </c>
      <c r="K579">
        <v>16</v>
      </c>
      <c r="L579">
        <v>6</v>
      </c>
      <c r="M579">
        <v>96</v>
      </c>
      <c r="N579">
        <v>24</v>
      </c>
      <c r="O579">
        <v>42</v>
      </c>
      <c r="P579">
        <v>50</v>
      </c>
      <c r="Q579">
        <v>267</v>
      </c>
      <c r="R579">
        <v>467</v>
      </c>
      <c r="S579" t="str">
        <v>No</v>
      </c>
      <c r="T579">
        <v>0.74</v>
      </c>
      <c r="U579">
        <v>2025</v>
      </c>
      <c r="V579">
        <v>45947</v>
      </c>
      <c r="W579">
        <v>16.2</v>
      </c>
      <c r="X579" t="str">
        <v>Photos</v>
      </c>
      <c r="Y579" t="str">
        <v>Fashion</v>
      </c>
      <c r="Z579" t="str">
        <v>Private</v>
      </c>
      <c r="AA579" t="str">
        <v>Yes</v>
      </c>
      <c r="AB579" t="str">
        <v>Yes</v>
      </c>
      <c r="AC579">
        <v>3</v>
      </c>
      <c r="AD579" t="str">
        <v>Business</v>
      </c>
      <c r="AE579">
        <v>1.1499999999999999</v>
      </c>
      <c r="AF579" s="14">
        <f t="shared" ref="AF579:AF642" si="9">IF(R579=0,0,Q579/R579)</f>
        <v>0.57173447537473232</v>
      </c>
    </row>
    <row r="580" spans="1:32" x14ac:dyDescent="0.2">
      <c r="A580">
        <v>579</v>
      </c>
      <c r="B580" cm="1">
        <f t="array" ref="B580:AE580">_xlfn.XLOOKUP($A580,Instagram_Usage_Lifestyle_Mini_!$A:$A,Instagram_Usage_Lifestyle_Mini_!$AC:$BF)</f>
        <v>223</v>
      </c>
      <c r="C580">
        <v>7</v>
      </c>
      <c r="D580">
        <v>9</v>
      </c>
      <c r="E580">
        <v>257</v>
      </c>
      <c r="F580">
        <v>125</v>
      </c>
      <c r="G580">
        <v>122</v>
      </c>
      <c r="H580">
        <v>36</v>
      </c>
      <c r="I580">
        <v>36</v>
      </c>
      <c r="J580">
        <v>33</v>
      </c>
      <c r="K580">
        <v>27</v>
      </c>
      <c r="L580">
        <v>7</v>
      </c>
      <c r="M580">
        <v>100</v>
      </c>
      <c r="N580">
        <v>38</v>
      </c>
      <c r="O580">
        <v>49</v>
      </c>
      <c r="P580">
        <v>77</v>
      </c>
      <c r="Q580">
        <v>1909</v>
      </c>
      <c r="R580">
        <v>1045</v>
      </c>
      <c r="S580" t="str">
        <v>No</v>
      </c>
      <c r="T580">
        <v>0.3</v>
      </c>
      <c r="U580">
        <v>2025</v>
      </c>
      <c r="V580">
        <v>45828</v>
      </c>
      <c r="W580">
        <v>31.9</v>
      </c>
      <c r="X580" t="str">
        <v>Live</v>
      </c>
      <c r="Y580" t="str">
        <v>Tech</v>
      </c>
      <c r="Z580" t="str">
        <v>Public</v>
      </c>
      <c r="AA580" t="str">
        <v>Yes</v>
      </c>
      <c r="AB580" t="str">
        <v>No</v>
      </c>
      <c r="AC580">
        <v>0</v>
      </c>
      <c r="AD580" t="str">
        <v>Free</v>
      </c>
      <c r="AE580">
        <v>0.99</v>
      </c>
      <c r="AF580" s="14">
        <f t="shared" si="9"/>
        <v>1.8267942583732057</v>
      </c>
    </row>
    <row r="581" spans="1:32" x14ac:dyDescent="0.2">
      <c r="A581">
        <v>580</v>
      </c>
      <c r="B581" cm="1">
        <f t="array" ref="B581:AE581">_xlfn.XLOOKUP($A581,Instagram_Usage_Lifestyle_Mini_!$A:$A,Instagram_Usage_Lifestyle_Mini_!$AC:$BF)</f>
        <v>381</v>
      </c>
      <c r="C581">
        <v>20</v>
      </c>
      <c r="D581">
        <v>12</v>
      </c>
      <c r="E581">
        <v>300</v>
      </c>
      <c r="F581">
        <v>150</v>
      </c>
      <c r="G581">
        <v>221</v>
      </c>
      <c r="H581">
        <v>73</v>
      </c>
      <c r="I581">
        <v>44</v>
      </c>
      <c r="J581">
        <v>42</v>
      </c>
      <c r="K581">
        <v>34</v>
      </c>
      <c r="L581">
        <v>6</v>
      </c>
      <c r="M581">
        <v>183</v>
      </c>
      <c r="N581">
        <v>73</v>
      </c>
      <c r="O581">
        <v>47</v>
      </c>
      <c r="P581">
        <v>86</v>
      </c>
      <c r="Q581">
        <v>1299</v>
      </c>
      <c r="R581">
        <v>2097</v>
      </c>
      <c r="S581" t="str">
        <v>No</v>
      </c>
      <c r="T581">
        <v>0.85</v>
      </c>
      <c r="U581">
        <v>2010</v>
      </c>
      <c r="V581">
        <v>45998</v>
      </c>
      <c r="W581">
        <v>19</v>
      </c>
      <c r="X581" t="str">
        <v>Photos</v>
      </c>
      <c r="Y581" t="str">
        <v>Art</v>
      </c>
      <c r="Z581" t="str">
        <v>Public</v>
      </c>
      <c r="AA581" t="str">
        <v>Yes</v>
      </c>
      <c r="AB581" t="str">
        <v>Yes</v>
      </c>
      <c r="AC581">
        <v>3</v>
      </c>
      <c r="AD581" t="str">
        <v>Free</v>
      </c>
      <c r="AE581">
        <v>1.05</v>
      </c>
      <c r="AF581" s="14">
        <f t="shared" si="9"/>
        <v>0.61945636623748213</v>
      </c>
    </row>
    <row r="582" spans="1:32" x14ac:dyDescent="0.2">
      <c r="A582">
        <v>581</v>
      </c>
      <c r="B582" cm="1">
        <f t="array" ref="B582:AE582">_xlfn.XLOOKUP($A582,Instagram_Usage_Lifestyle_Mini_!$A:$A,Instagram_Usage_Lifestyle_Mini_!$AC:$BF)</f>
        <v>246</v>
      </c>
      <c r="C582">
        <v>25</v>
      </c>
      <c r="D582">
        <v>7</v>
      </c>
      <c r="E582">
        <v>198</v>
      </c>
      <c r="F582">
        <v>120</v>
      </c>
      <c r="G582">
        <v>120</v>
      </c>
      <c r="H582">
        <v>43</v>
      </c>
      <c r="I582">
        <v>41</v>
      </c>
      <c r="J582">
        <v>44</v>
      </c>
      <c r="K582">
        <v>27</v>
      </c>
      <c r="L582">
        <v>4</v>
      </c>
      <c r="M582">
        <v>120</v>
      </c>
      <c r="N582">
        <v>49</v>
      </c>
      <c r="O582">
        <v>61</v>
      </c>
      <c r="P582">
        <v>79</v>
      </c>
      <c r="Q582">
        <v>403</v>
      </c>
      <c r="R582">
        <v>233</v>
      </c>
      <c r="S582" t="str">
        <v>No</v>
      </c>
      <c r="T582">
        <v>0.9</v>
      </c>
      <c r="U582">
        <v>2014</v>
      </c>
      <c r="V582">
        <v>45702</v>
      </c>
      <c r="W582">
        <v>9.8000000000000007</v>
      </c>
      <c r="X582" t="str">
        <v>Stories</v>
      </c>
      <c r="Y582" t="str">
        <v>Music</v>
      </c>
      <c r="Z582" t="str">
        <v>Private</v>
      </c>
      <c r="AA582" t="str">
        <v>Yes</v>
      </c>
      <c r="AB582" t="str">
        <v>Yes</v>
      </c>
      <c r="AC582">
        <v>1</v>
      </c>
      <c r="AD582" t="str">
        <v>Premium</v>
      </c>
      <c r="AE582">
        <v>0.92</v>
      </c>
      <c r="AF582" s="14">
        <f t="shared" si="9"/>
        <v>1.7296137339055795</v>
      </c>
    </row>
    <row r="583" spans="1:32" x14ac:dyDescent="0.2">
      <c r="A583">
        <v>582</v>
      </c>
      <c r="B583" cm="1">
        <f t="array" ref="B583:AE583">_xlfn.XLOOKUP($A583,Instagram_Usage_Lifestyle_Mini_!$A:$A,Instagram_Usage_Lifestyle_Mini_!$AC:$BF)</f>
        <v>327</v>
      </c>
      <c r="C583">
        <v>10</v>
      </c>
      <c r="D583">
        <v>4</v>
      </c>
      <c r="E583">
        <v>249</v>
      </c>
      <c r="F583">
        <v>150</v>
      </c>
      <c r="G583">
        <v>233</v>
      </c>
      <c r="H583">
        <v>74</v>
      </c>
      <c r="I583">
        <v>40</v>
      </c>
      <c r="J583">
        <v>45</v>
      </c>
      <c r="K583">
        <v>37</v>
      </c>
      <c r="L583">
        <v>5</v>
      </c>
      <c r="M583">
        <v>176</v>
      </c>
      <c r="N583">
        <v>83</v>
      </c>
      <c r="O583">
        <v>72</v>
      </c>
      <c r="P583">
        <v>72</v>
      </c>
      <c r="Q583">
        <v>1652</v>
      </c>
      <c r="R583">
        <v>3283</v>
      </c>
      <c r="S583" t="str">
        <v>No</v>
      </c>
      <c r="T583">
        <v>0.25</v>
      </c>
      <c r="U583">
        <v>2021</v>
      </c>
      <c r="V583">
        <v>45751</v>
      </c>
      <c r="W583">
        <v>32.700000000000003</v>
      </c>
      <c r="X583" t="str">
        <v>Reels</v>
      </c>
      <c r="Y583" t="str">
        <v>Tech</v>
      </c>
      <c r="Z583" t="str">
        <v>Private</v>
      </c>
      <c r="AA583" t="str">
        <v>No</v>
      </c>
      <c r="AB583" t="str">
        <v>Yes</v>
      </c>
      <c r="AC583">
        <v>2</v>
      </c>
      <c r="AD583" t="str">
        <v>Free</v>
      </c>
      <c r="AE583">
        <v>1.2</v>
      </c>
      <c r="AF583" s="14">
        <f t="shared" si="9"/>
        <v>0.50319829424307039</v>
      </c>
    </row>
    <row r="584" spans="1:32" x14ac:dyDescent="0.2">
      <c r="A584">
        <v>583</v>
      </c>
      <c r="B584" cm="1">
        <f t="array" ref="B584:AE584">_xlfn.XLOOKUP($A584,Instagram_Usage_Lifestyle_Mini_!$A:$A,Instagram_Usage_Lifestyle_Mini_!$AC:$BF)</f>
        <v>187</v>
      </c>
      <c r="C584">
        <v>6</v>
      </c>
      <c r="D584">
        <v>5</v>
      </c>
      <c r="E584">
        <v>246</v>
      </c>
      <c r="F584">
        <v>110</v>
      </c>
      <c r="G584">
        <v>120</v>
      </c>
      <c r="H584">
        <v>33</v>
      </c>
      <c r="I584">
        <v>29</v>
      </c>
      <c r="J584">
        <v>33</v>
      </c>
      <c r="K584">
        <v>23</v>
      </c>
      <c r="L584">
        <v>6</v>
      </c>
      <c r="M584">
        <v>82</v>
      </c>
      <c r="N584">
        <v>51</v>
      </c>
      <c r="O584">
        <v>43</v>
      </c>
      <c r="P584">
        <v>51</v>
      </c>
      <c r="Q584">
        <v>189</v>
      </c>
      <c r="R584">
        <v>103</v>
      </c>
      <c r="S584" t="str">
        <v>No</v>
      </c>
      <c r="T584">
        <v>0.16</v>
      </c>
      <c r="U584">
        <v>2019</v>
      </c>
      <c r="V584">
        <v>45744</v>
      </c>
      <c r="W584">
        <v>31.2</v>
      </c>
      <c r="X584" t="str">
        <v>Reels</v>
      </c>
      <c r="Y584" t="str">
        <v>Art</v>
      </c>
      <c r="Z584" t="str">
        <v>Friends_only</v>
      </c>
      <c r="AA584" t="str">
        <v>Yes</v>
      </c>
      <c r="AB584" t="str">
        <v>No</v>
      </c>
      <c r="AC584">
        <v>3</v>
      </c>
      <c r="AD584" t="str">
        <v>Free</v>
      </c>
      <c r="AE584">
        <v>1.07</v>
      </c>
      <c r="AF584" s="14">
        <f t="shared" si="9"/>
        <v>1.8349514563106797</v>
      </c>
    </row>
    <row r="585" spans="1:32" x14ac:dyDescent="0.2">
      <c r="A585">
        <v>584</v>
      </c>
      <c r="B585" cm="1">
        <f t="array" ref="B585:AE585">_xlfn.XLOOKUP($A585,Instagram_Usage_Lifestyle_Mini_!$A:$A,Instagram_Usage_Lifestyle_Mini_!$AC:$BF)</f>
        <v>195</v>
      </c>
      <c r="C585">
        <v>7</v>
      </c>
      <c r="D585">
        <v>6</v>
      </c>
      <c r="E585">
        <v>160</v>
      </c>
      <c r="F585">
        <v>95</v>
      </c>
      <c r="G585">
        <v>142</v>
      </c>
      <c r="H585">
        <v>35</v>
      </c>
      <c r="I585">
        <v>29</v>
      </c>
      <c r="J585">
        <v>29</v>
      </c>
      <c r="K585">
        <v>22</v>
      </c>
      <c r="L585">
        <v>5</v>
      </c>
      <c r="M585">
        <v>98</v>
      </c>
      <c r="N585">
        <v>58</v>
      </c>
      <c r="O585">
        <v>33</v>
      </c>
      <c r="P585">
        <v>52</v>
      </c>
      <c r="Q585">
        <v>398</v>
      </c>
      <c r="R585">
        <v>898</v>
      </c>
      <c r="S585" t="str">
        <v>Yes</v>
      </c>
      <c r="T585">
        <v>0.95</v>
      </c>
      <c r="U585">
        <v>2019</v>
      </c>
      <c r="V585">
        <v>45752</v>
      </c>
      <c r="W585">
        <v>27.9</v>
      </c>
      <c r="X585" t="str">
        <v>Videos</v>
      </c>
      <c r="Y585" t="str">
        <v>Music</v>
      </c>
      <c r="Z585" t="str">
        <v>Private</v>
      </c>
      <c r="AA585" t="str">
        <v>Yes</v>
      </c>
      <c r="AB585" t="str">
        <v>No</v>
      </c>
      <c r="AC585">
        <v>0</v>
      </c>
      <c r="AD585" t="str">
        <v>Premium</v>
      </c>
      <c r="AE585">
        <v>1.17</v>
      </c>
      <c r="AF585" s="14">
        <f t="shared" si="9"/>
        <v>0.44320712694877507</v>
      </c>
    </row>
    <row r="586" spans="1:32" x14ac:dyDescent="0.2">
      <c r="A586">
        <v>585</v>
      </c>
      <c r="B586" cm="1">
        <f t="array" ref="B586:AE586">_xlfn.XLOOKUP($A586,Instagram_Usage_Lifestyle_Mini_!$A:$A,Instagram_Usage_Lifestyle_Mini_!$AC:$BF)</f>
        <v>178</v>
      </c>
      <c r="C586">
        <v>18</v>
      </c>
      <c r="D586">
        <v>1</v>
      </c>
      <c r="E586">
        <v>149</v>
      </c>
      <c r="F586">
        <v>93</v>
      </c>
      <c r="G586">
        <v>117</v>
      </c>
      <c r="H586">
        <v>29</v>
      </c>
      <c r="I586">
        <v>35</v>
      </c>
      <c r="J586">
        <v>42</v>
      </c>
      <c r="K586">
        <v>19</v>
      </c>
      <c r="L586">
        <v>3</v>
      </c>
      <c r="M586">
        <v>100</v>
      </c>
      <c r="N586">
        <v>19</v>
      </c>
      <c r="O586">
        <v>20</v>
      </c>
      <c r="P586">
        <v>58</v>
      </c>
      <c r="Q586">
        <v>1041</v>
      </c>
      <c r="R586">
        <v>1841</v>
      </c>
      <c r="S586" t="str">
        <v>Yes</v>
      </c>
      <c r="T586">
        <v>0.24</v>
      </c>
      <c r="U586">
        <v>2015</v>
      </c>
      <c r="V586">
        <v>45979</v>
      </c>
      <c r="W586">
        <v>9.9</v>
      </c>
      <c r="X586" t="str">
        <v>Reels</v>
      </c>
      <c r="Y586" t="str">
        <v>Other</v>
      </c>
      <c r="Z586" t="str">
        <v>Public</v>
      </c>
      <c r="AA586" t="str">
        <v>No</v>
      </c>
      <c r="AB586" t="str">
        <v>No</v>
      </c>
      <c r="AC586">
        <v>0</v>
      </c>
      <c r="AD586" t="str">
        <v>Free</v>
      </c>
      <c r="AE586">
        <v>0.99</v>
      </c>
      <c r="AF586" s="14">
        <f t="shared" si="9"/>
        <v>0.56545355784899509</v>
      </c>
    </row>
    <row r="587" spans="1:32" x14ac:dyDescent="0.2">
      <c r="A587">
        <v>586</v>
      </c>
      <c r="B587" cm="1">
        <f t="array" ref="B587:AE587">_xlfn.XLOOKUP($A587,Instagram_Usage_Lifestyle_Mini_!$A:$A,Instagram_Usage_Lifestyle_Mini_!$AC:$BF)</f>
        <v>156</v>
      </c>
      <c r="C587">
        <v>8</v>
      </c>
      <c r="D587">
        <v>0</v>
      </c>
      <c r="E587">
        <v>133</v>
      </c>
      <c r="F587">
        <v>87</v>
      </c>
      <c r="G587">
        <v>94</v>
      </c>
      <c r="H587">
        <v>21</v>
      </c>
      <c r="I587">
        <v>24</v>
      </c>
      <c r="J587">
        <v>34</v>
      </c>
      <c r="K587">
        <v>17</v>
      </c>
      <c r="L587">
        <v>1</v>
      </c>
      <c r="M587">
        <v>84</v>
      </c>
      <c r="N587">
        <v>28</v>
      </c>
      <c r="O587">
        <v>35</v>
      </c>
      <c r="P587">
        <v>59</v>
      </c>
      <c r="Q587">
        <v>303</v>
      </c>
      <c r="R587">
        <v>199</v>
      </c>
      <c r="S587" t="str">
        <v>No</v>
      </c>
      <c r="T587">
        <v>0.99</v>
      </c>
      <c r="U587">
        <v>2021</v>
      </c>
      <c r="V587">
        <v>45676</v>
      </c>
      <c r="W587">
        <v>19.5</v>
      </c>
      <c r="X587" t="str">
        <v>Reels</v>
      </c>
      <c r="Y587" t="str">
        <v>Travel</v>
      </c>
      <c r="Z587" t="str">
        <v>Friends_only</v>
      </c>
      <c r="AA587" t="str">
        <v>Yes</v>
      </c>
      <c r="AB587" t="str">
        <v>No</v>
      </c>
      <c r="AC587">
        <v>1</v>
      </c>
      <c r="AD587" t="str">
        <v>Free</v>
      </c>
      <c r="AE587">
        <v>0.87</v>
      </c>
      <c r="AF587" s="14">
        <f t="shared" si="9"/>
        <v>1.5226130653266332</v>
      </c>
    </row>
    <row r="588" spans="1:32" x14ac:dyDescent="0.2">
      <c r="A588">
        <v>587</v>
      </c>
      <c r="B588" cm="1">
        <f t="array" ref="B588:AE588">_xlfn.XLOOKUP($A588,Instagram_Usage_Lifestyle_Mini_!$A:$A,Instagram_Usage_Lifestyle_Mini_!$AC:$BF)</f>
        <v>278</v>
      </c>
      <c r="C588">
        <v>23</v>
      </c>
      <c r="D588">
        <v>5</v>
      </c>
      <c r="E588">
        <v>279</v>
      </c>
      <c r="F588">
        <v>129</v>
      </c>
      <c r="G588">
        <v>147</v>
      </c>
      <c r="H588">
        <v>25</v>
      </c>
      <c r="I588">
        <v>39</v>
      </c>
      <c r="J588">
        <v>36</v>
      </c>
      <c r="K588">
        <v>22</v>
      </c>
      <c r="L588">
        <v>6</v>
      </c>
      <c r="M588">
        <v>116</v>
      </c>
      <c r="N588">
        <v>56</v>
      </c>
      <c r="O588">
        <v>28</v>
      </c>
      <c r="P588">
        <v>72</v>
      </c>
      <c r="Q588">
        <v>4755</v>
      </c>
      <c r="R588">
        <v>2724</v>
      </c>
      <c r="S588" t="str">
        <v>No</v>
      </c>
      <c r="T588">
        <v>0.88</v>
      </c>
      <c r="U588">
        <v>2013</v>
      </c>
      <c r="V588">
        <v>45704</v>
      </c>
      <c r="W588">
        <v>12.1</v>
      </c>
      <c r="X588" t="str">
        <v>Photos</v>
      </c>
      <c r="Y588" t="str">
        <v>Art</v>
      </c>
      <c r="Z588" t="str">
        <v>Private</v>
      </c>
      <c r="AA588" t="str">
        <v>Yes</v>
      </c>
      <c r="AB588" t="str">
        <v>No</v>
      </c>
      <c r="AC588">
        <v>2</v>
      </c>
      <c r="AD588" t="str">
        <v>Premium</v>
      </c>
      <c r="AE588">
        <v>0.76</v>
      </c>
      <c r="AF588" s="14">
        <f t="shared" si="9"/>
        <v>1.7455947136563876</v>
      </c>
    </row>
    <row r="589" spans="1:32" x14ac:dyDescent="0.2">
      <c r="A589">
        <v>588</v>
      </c>
      <c r="B589" cm="1">
        <f t="array" ref="B589:AE589">_xlfn.XLOOKUP($A589,Instagram_Usage_Lifestyle_Mini_!$A:$A,Instagram_Usage_Lifestyle_Mini_!$AC:$BF)</f>
        <v>188</v>
      </c>
      <c r="C589">
        <v>12</v>
      </c>
      <c r="D589">
        <v>5</v>
      </c>
      <c r="E589">
        <v>234</v>
      </c>
      <c r="F589">
        <v>91</v>
      </c>
      <c r="G589">
        <v>114</v>
      </c>
      <c r="H589">
        <v>20</v>
      </c>
      <c r="I589">
        <v>24</v>
      </c>
      <c r="J589">
        <v>29</v>
      </c>
      <c r="K589">
        <v>20</v>
      </c>
      <c r="L589">
        <v>6</v>
      </c>
      <c r="M589">
        <v>89</v>
      </c>
      <c r="N589">
        <v>24</v>
      </c>
      <c r="O589">
        <v>19</v>
      </c>
      <c r="P589">
        <v>60</v>
      </c>
      <c r="Q589">
        <v>808</v>
      </c>
      <c r="R589">
        <v>430</v>
      </c>
      <c r="S589" t="str">
        <v>Yes</v>
      </c>
      <c r="T589">
        <v>0.43</v>
      </c>
      <c r="U589">
        <v>2016</v>
      </c>
      <c r="V589">
        <v>45895</v>
      </c>
      <c r="W589">
        <v>15.7</v>
      </c>
      <c r="X589" t="str">
        <v>Stories</v>
      </c>
      <c r="Y589" t="str">
        <v>Travel</v>
      </c>
      <c r="Z589" t="str">
        <v>Public</v>
      </c>
      <c r="AA589" t="str">
        <v>No</v>
      </c>
      <c r="AB589" t="str">
        <v>No</v>
      </c>
      <c r="AC589">
        <v>1</v>
      </c>
      <c r="AD589" t="str">
        <v>Free</v>
      </c>
      <c r="AE589">
        <v>0.89</v>
      </c>
      <c r="AF589" s="14">
        <f t="shared" si="9"/>
        <v>1.8790697674418604</v>
      </c>
    </row>
    <row r="590" spans="1:32" x14ac:dyDescent="0.2">
      <c r="A590">
        <v>589</v>
      </c>
      <c r="B590" cm="1">
        <f t="array" ref="B590:AE590">_xlfn.XLOOKUP($A590,Instagram_Usage_Lifestyle_Mini_!$A:$A,Instagram_Usage_Lifestyle_Mini_!$AC:$BF)</f>
        <v>352</v>
      </c>
      <c r="C590">
        <v>29</v>
      </c>
      <c r="D590">
        <v>5</v>
      </c>
      <c r="E590">
        <v>255</v>
      </c>
      <c r="F590">
        <v>150</v>
      </c>
      <c r="G590">
        <v>198</v>
      </c>
      <c r="H590">
        <v>71</v>
      </c>
      <c r="I590">
        <v>50</v>
      </c>
      <c r="J590">
        <v>45</v>
      </c>
      <c r="K590">
        <v>33</v>
      </c>
      <c r="L590">
        <v>7</v>
      </c>
      <c r="M590">
        <v>154</v>
      </c>
      <c r="N590">
        <v>60</v>
      </c>
      <c r="O590">
        <v>63</v>
      </c>
      <c r="P590">
        <v>140</v>
      </c>
      <c r="Q590">
        <v>1316</v>
      </c>
      <c r="R590">
        <v>1773</v>
      </c>
      <c r="S590" t="str">
        <v>No</v>
      </c>
      <c r="T590">
        <v>0.64</v>
      </c>
      <c r="U590">
        <v>2013</v>
      </c>
      <c r="V590">
        <v>45717</v>
      </c>
      <c r="W590">
        <v>12.1</v>
      </c>
      <c r="X590" t="str">
        <v>Videos</v>
      </c>
      <c r="Y590" t="str">
        <v>Music</v>
      </c>
      <c r="Z590" t="str">
        <v>Public</v>
      </c>
      <c r="AA590" t="str">
        <v>No</v>
      </c>
      <c r="AB590" t="str">
        <v>Yes</v>
      </c>
      <c r="AC590">
        <v>2</v>
      </c>
      <c r="AD590" t="str">
        <v>Free</v>
      </c>
      <c r="AE590">
        <v>1.01</v>
      </c>
      <c r="AF590" s="14">
        <f t="shared" si="9"/>
        <v>0.74224478285391993</v>
      </c>
    </row>
    <row r="591" spans="1:32" x14ac:dyDescent="0.2">
      <c r="A591">
        <v>590</v>
      </c>
      <c r="B591" cm="1">
        <f t="array" ref="B591:AE591">_xlfn.XLOOKUP($A591,Instagram_Usage_Lifestyle_Mini_!$A:$A,Instagram_Usage_Lifestyle_Mini_!$AC:$BF)</f>
        <v>321</v>
      </c>
      <c r="C591">
        <v>14</v>
      </c>
      <c r="D591">
        <v>3</v>
      </c>
      <c r="E591">
        <v>233</v>
      </c>
      <c r="F591">
        <v>148</v>
      </c>
      <c r="G591">
        <v>187</v>
      </c>
      <c r="H591">
        <v>56</v>
      </c>
      <c r="I591">
        <v>38</v>
      </c>
      <c r="J591">
        <v>55</v>
      </c>
      <c r="K591">
        <v>26</v>
      </c>
      <c r="L591">
        <v>13</v>
      </c>
      <c r="M591">
        <v>129</v>
      </c>
      <c r="N591">
        <v>56</v>
      </c>
      <c r="O591">
        <v>62</v>
      </c>
      <c r="P591">
        <v>71</v>
      </c>
      <c r="Q591">
        <v>807</v>
      </c>
      <c r="R591">
        <v>1507</v>
      </c>
      <c r="S591" t="str">
        <v>No</v>
      </c>
      <c r="T591">
        <v>0.69</v>
      </c>
      <c r="U591">
        <v>2018</v>
      </c>
      <c r="V591">
        <v>45997</v>
      </c>
      <c r="W591">
        <v>22.9</v>
      </c>
      <c r="X591" t="str">
        <v>Videos</v>
      </c>
      <c r="Y591" t="str">
        <v>Tech</v>
      </c>
      <c r="Z591" t="str">
        <v>Private</v>
      </c>
      <c r="AA591" t="str">
        <v>No</v>
      </c>
      <c r="AB591" t="str">
        <v>No</v>
      </c>
      <c r="AC591">
        <v>3</v>
      </c>
      <c r="AD591" t="str">
        <v>Free</v>
      </c>
      <c r="AE591">
        <v>0.96</v>
      </c>
      <c r="AF591" s="14">
        <f t="shared" si="9"/>
        <v>0.53550099535500995</v>
      </c>
    </row>
    <row r="592" spans="1:32" x14ac:dyDescent="0.2">
      <c r="A592">
        <v>591</v>
      </c>
      <c r="B592" cm="1">
        <f t="array" ref="B592:AE592">_xlfn.XLOOKUP($A592,Instagram_Usage_Lifestyle_Mini_!$A:$A,Instagram_Usage_Lifestyle_Mini_!$AC:$BF)</f>
        <v>127</v>
      </c>
      <c r="C592">
        <v>4</v>
      </c>
      <c r="D592">
        <v>7</v>
      </c>
      <c r="E592">
        <v>175</v>
      </c>
      <c r="F592">
        <v>82</v>
      </c>
      <c r="G592">
        <v>96</v>
      </c>
      <c r="H592">
        <v>24</v>
      </c>
      <c r="I592">
        <v>25</v>
      </c>
      <c r="J592">
        <v>25</v>
      </c>
      <c r="K592">
        <v>8</v>
      </c>
      <c r="L592">
        <v>2</v>
      </c>
      <c r="M592">
        <v>56</v>
      </c>
      <c r="N592">
        <v>18</v>
      </c>
      <c r="O592">
        <v>19</v>
      </c>
      <c r="P592">
        <v>40</v>
      </c>
      <c r="Q592">
        <v>11084</v>
      </c>
      <c r="R592">
        <v>10000</v>
      </c>
      <c r="S592" t="str">
        <v>No</v>
      </c>
      <c r="T592">
        <v>0.51</v>
      </c>
      <c r="U592">
        <v>2017</v>
      </c>
      <c r="V592">
        <v>45991</v>
      </c>
      <c r="W592">
        <v>31.8</v>
      </c>
      <c r="X592" t="str">
        <v>Stories</v>
      </c>
      <c r="Y592" t="str">
        <v>Food</v>
      </c>
      <c r="Z592" t="str">
        <v>Public</v>
      </c>
      <c r="AA592" t="str">
        <v>No</v>
      </c>
      <c r="AB592" t="str">
        <v>No</v>
      </c>
      <c r="AC592">
        <v>4</v>
      </c>
      <c r="AD592" t="str">
        <v>Free</v>
      </c>
      <c r="AE592">
        <v>1.29</v>
      </c>
      <c r="AF592" s="14">
        <f t="shared" si="9"/>
        <v>1.1084000000000001</v>
      </c>
    </row>
    <row r="593" spans="1:32" x14ac:dyDescent="0.2">
      <c r="A593">
        <v>592</v>
      </c>
      <c r="B593" cm="1">
        <f t="array" ref="B593:AE593">_xlfn.XLOOKUP($A593,Instagram_Usage_Lifestyle_Mini_!$A:$A,Instagram_Usage_Lifestyle_Mini_!$AC:$BF)</f>
        <v>277</v>
      </c>
      <c r="C593">
        <v>22</v>
      </c>
      <c r="D593">
        <v>6</v>
      </c>
      <c r="E593">
        <v>201</v>
      </c>
      <c r="F593">
        <v>150</v>
      </c>
      <c r="G593">
        <v>153</v>
      </c>
      <c r="H593">
        <v>52</v>
      </c>
      <c r="I593">
        <v>28</v>
      </c>
      <c r="J593">
        <v>53</v>
      </c>
      <c r="K593">
        <v>25</v>
      </c>
      <c r="L593">
        <v>5</v>
      </c>
      <c r="M593">
        <v>150</v>
      </c>
      <c r="N593">
        <v>31</v>
      </c>
      <c r="O593">
        <v>54</v>
      </c>
      <c r="P593">
        <v>61</v>
      </c>
      <c r="Q593">
        <v>2902</v>
      </c>
      <c r="R593">
        <v>2793</v>
      </c>
      <c r="S593" t="str">
        <v>No</v>
      </c>
      <c r="T593">
        <v>0.8</v>
      </c>
      <c r="U593">
        <v>2018</v>
      </c>
      <c r="V593">
        <v>45768</v>
      </c>
      <c r="W593">
        <v>12.6</v>
      </c>
      <c r="X593" t="str">
        <v>Reels</v>
      </c>
      <c r="Y593" t="str">
        <v>Food</v>
      </c>
      <c r="Z593" t="str">
        <v>Friends_only</v>
      </c>
      <c r="AA593" t="str">
        <v>Yes</v>
      </c>
      <c r="AB593" t="str">
        <v>Yes</v>
      </c>
      <c r="AC593">
        <v>2</v>
      </c>
      <c r="AD593" t="str">
        <v>Free</v>
      </c>
      <c r="AE593">
        <v>0.99</v>
      </c>
      <c r="AF593" s="14">
        <f t="shared" si="9"/>
        <v>1.0390261367704976</v>
      </c>
    </row>
    <row r="594" spans="1:32" x14ac:dyDescent="0.2">
      <c r="A594">
        <v>593</v>
      </c>
      <c r="B594" cm="1">
        <f t="array" ref="B594:AE594">_xlfn.XLOOKUP($A594,Instagram_Usage_Lifestyle_Mini_!$A:$A,Instagram_Usage_Lifestyle_Mini_!$AC:$BF)</f>
        <v>47</v>
      </c>
      <c r="C594">
        <v>6</v>
      </c>
      <c r="D594">
        <v>3</v>
      </c>
      <c r="E594">
        <v>66</v>
      </c>
      <c r="F594">
        <v>45</v>
      </c>
      <c r="G594">
        <v>60</v>
      </c>
      <c r="H594">
        <v>10</v>
      </c>
      <c r="I594">
        <v>16</v>
      </c>
      <c r="J594">
        <v>20</v>
      </c>
      <c r="K594">
        <v>7</v>
      </c>
      <c r="L594">
        <v>3</v>
      </c>
      <c r="M594">
        <v>25</v>
      </c>
      <c r="N594">
        <v>10</v>
      </c>
      <c r="O594">
        <v>7</v>
      </c>
      <c r="P594">
        <v>11</v>
      </c>
      <c r="Q594">
        <v>3036</v>
      </c>
      <c r="R594">
        <v>4955</v>
      </c>
      <c r="S594" t="str">
        <v>No</v>
      </c>
      <c r="T594">
        <v>0.74</v>
      </c>
      <c r="U594">
        <v>2017</v>
      </c>
      <c r="V594">
        <v>45959</v>
      </c>
      <c r="W594">
        <v>7.8</v>
      </c>
      <c r="X594" t="str">
        <v>Reels</v>
      </c>
      <c r="Y594" t="str">
        <v>Music</v>
      </c>
      <c r="Z594" t="str">
        <v>Friends_only</v>
      </c>
      <c r="AA594" t="str">
        <v>Yes</v>
      </c>
      <c r="AB594" t="str">
        <v>Yes</v>
      </c>
      <c r="AC594">
        <v>2</v>
      </c>
      <c r="AD594" t="str">
        <v>Free</v>
      </c>
      <c r="AE594">
        <v>1.85</v>
      </c>
      <c r="AF594" s="14">
        <f t="shared" si="9"/>
        <v>0.61271442986881941</v>
      </c>
    </row>
    <row r="595" spans="1:32" x14ac:dyDescent="0.2">
      <c r="A595">
        <v>594</v>
      </c>
      <c r="B595" cm="1">
        <f t="array" ref="B595:AE595">_xlfn.XLOOKUP($A595,Instagram_Usage_Lifestyle_Mini_!$A:$A,Instagram_Usage_Lifestyle_Mini_!$AC:$BF)</f>
        <v>95</v>
      </c>
      <c r="C595">
        <v>6</v>
      </c>
      <c r="D595">
        <v>2</v>
      </c>
      <c r="E595">
        <v>86</v>
      </c>
      <c r="F595">
        <v>61</v>
      </c>
      <c r="G595">
        <v>78</v>
      </c>
      <c r="H595">
        <v>8</v>
      </c>
      <c r="I595">
        <v>15</v>
      </c>
      <c r="J595">
        <v>17</v>
      </c>
      <c r="K595">
        <v>10</v>
      </c>
      <c r="L595">
        <v>4</v>
      </c>
      <c r="M595">
        <v>55</v>
      </c>
      <c r="N595">
        <v>20</v>
      </c>
      <c r="O595">
        <v>12</v>
      </c>
      <c r="P595">
        <v>21</v>
      </c>
      <c r="Q595">
        <v>3528</v>
      </c>
      <c r="R595">
        <v>2000</v>
      </c>
      <c r="S595" t="str">
        <v>Yes</v>
      </c>
      <c r="T595">
        <v>0.76</v>
      </c>
      <c r="U595">
        <v>2025</v>
      </c>
      <c r="V595">
        <v>45765</v>
      </c>
      <c r="W595">
        <v>15.8</v>
      </c>
      <c r="X595" t="str">
        <v>Mixed</v>
      </c>
      <c r="Y595" t="str">
        <v>Art</v>
      </c>
      <c r="Z595" t="str">
        <v>Public</v>
      </c>
      <c r="AA595" t="str">
        <v>Yes</v>
      </c>
      <c r="AB595" t="str">
        <v>No</v>
      </c>
      <c r="AC595">
        <v>3</v>
      </c>
      <c r="AD595" t="str">
        <v>Free</v>
      </c>
      <c r="AE595">
        <v>1.04</v>
      </c>
      <c r="AF595" s="14">
        <f t="shared" si="9"/>
        <v>1.764</v>
      </c>
    </row>
    <row r="596" spans="1:32" x14ac:dyDescent="0.2">
      <c r="A596">
        <v>595</v>
      </c>
      <c r="B596" cm="1">
        <f t="array" ref="B596:AE596">_xlfn.XLOOKUP($A596,Instagram_Usage_Lifestyle_Mini_!$A:$A,Instagram_Usage_Lifestyle_Mini_!$AC:$BF)</f>
        <v>5</v>
      </c>
      <c r="C596">
        <v>1</v>
      </c>
      <c r="D596">
        <v>3</v>
      </c>
      <c r="E596">
        <v>36</v>
      </c>
      <c r="F596">
        <v>39</v>
      </c>
      <c r="G596">
        <v>34</v>
      </c>
      <c r="H596">
        <v>3</v>
      </c>
      <c r="I596">
        <v>12</v>
      </c>
      <c r="J596">
        <v>5</v>
      </c>
      <c r="K596">
        <v>5</v>
      </c>
      <c r="L596">
        <v>1</v>
      </c>
      <c r="M596">
        <v>3</v>
      </c>
      <c r="N596">
        <v>1</v>
      </c>
      <c r="O596">
        <v>1</v>
      </c>
      <c r="P596">
        <v>1</v>
      </c>
      <c r="Q596">
        <v>2751</v>
      </c>
      <c r="R596">
        <v>6121</v>
      </c>
      <c r="S596" t="str">
        <v>No</v>
      </c>
      <c r="T596">
        <v>0.1</v>
      </c>
      <c r="U596">
        <v>2011</v>
      </c>
      <c r="V596">
        <v>45856</v>
      </c>
      <c r="W596">
        <v>5</v>
      </c>
      <c r="X596" t="str">
        <v>Photos</v>
      </c>
      <c r="Y596" t="str">
        <v>Other</v>
      </c>
      <c r="Z596" t="str">
        <v>Public</v>
      </c>
      <c r="AA596" t="str">
        <v>Yes</v>
      </c>
      <c r="AB596" t="str">
        <v>No</v>
      </c>
      <c r="AC596">
        <v>1</v>
      </c>
      <c r="AD596" t="str">
        <v>Free</v>
      </c>
      <c r="AE596">
        <v>8.17</v>
      </c>
      <c r="AF596" s="14">
        <f t="shared" si="9"/>
        <v>0.44943636660676362</v>
      </c>
    </row>
    <row r="597" spans="1:32" x14ac:dyDescent="0.2">
      <c r="A597">
        <v>596</v>
      </c>
      <c r="B597" cm="1">
        <f t="array" ref="B597:AE597">_xlfn.XLOOKUP($A597,Instagram_Usage_Lifestyle_Mini_!$A:$A,Instagram_Usage_Lifestyle_Mini_!$AC:$BF)</f>
        <v>91</v>
      </c>
      <c r="C597">
        <v>9</v>
      </c>
      <c r="D597">
        <v>2</v>
      </c>
      <c r="E597">
        <v>195</v>
      </c>
      <c r="F597">
        <v>73</v>
      </c>
      <c r="G597">
        <v>65</v>
      </c>
      <c r="H597">
        <v>16</v>
      </c>
      <c r="I597">
        <v>17</v>
      </c>
      <c r="J597">
        <v>15</v>
      </c>
      <c r="K597">
        <v>14</v>
      </c>
      <c r="L597">
        <v>5</v>
      </c>
      <c r="M597">
        <v>43</v>
      </c>
      <c r="N597">
        <v>25</v>
      </c>
      <c r="O597">
        <v>21</v>
      </c>
      <c r="P597">
        <v>20</v>
      </c>
      <c r="Q597">
        <v>992</v>
      </c>
      <c r="R597">
        <v>1561</v>
      </c>
      <c r="S597" t="str">
        <v>Yes</v>
      </c>
      <c r="T597">
        <v>0.62</v>
      </c>
      <c r="U597">
        <v>2022</v>
      </c>
      <c r="V597">
        <v>45991</v>
      </c>
      <c r="W597">
        <v>10.1</v>
      </c>
      <c r="X597" t="str">
        <v>Mixed</v>
      </c>
      <c r="Y597" t="str">
        <v>Fashion</v>
      </c>
      <c r="Z597" t="str">
        <v>Private</v>
      </c>
      <c r="AA597" t="str">
        <v>No</v>
      </c>
      <c r="AB597" t="str">
        <v>Yes</v>
      </c>
      <c r="AC597">
        <v>2</v>
      </c>
      <c r="AD597" t="str">
        <v>Premium</v>
      </c>
      <c r="AE597">
        <v>1.1200000000000001</v>
      </c>
      <c r="AF597" s="14">
        <f t="shared" si="9"/>
        <v>0.63549007046764894</v>
      </c>
    </row>
    <row r="598" spans="1:32" x14ac:dyDescent="0.2">
      <c r="A598">
        <v>597</v>
      </c>
      <c r="B598" cm="1">
        <f t="array" ref="B598:AE598">_xlfn.XLOOKUP($A598,Instagram_Usage_Lifestyle_Mini_!$A:$A,Instagram_Usage_Lifestyle_Mini_!$AC:$BF)</f>
        <v>25</v>
      </c>
      <c r="C598">
        <v>1</v>
      </c>
      <c r="D598">
        <v>4</v>
      </c>
      <c r="E598">
        <v>50</v>
      </c>
      <c r="F598">
        <v>34</v>
      </c>
      <c r="G598">
        <v>30</v>
      </c>
      <c r="H598">
        <v>9</v>
      </c>
      <c r="I598">
        <v>12</v>
      </c>
      <c r="J598">
        <v>18</v>
      </c>
      <c r="K598">
        <v>8</v>
      </c>
      <c r="L598">
        <v>3</v>
      </c>
      <c r="M598">
        <v>11</v>
      </c>
      <c r="N598">
        <v>4</v>
      </c>
      <c r="O598">
        <v>3</v>
      </c>
      <c r="P598">
        <v>9</v>
      </c>
      <c r="Q598">
        <v>999</v>
      </c>
      <c r="R598">
        <v>1671</v>
      </c>
      <c r="S598" t="str">
        <v>No</v>
      </c>
      <c r="T598">
        <v>0.48</v>
      </c>
      <c r="U598">
        <v>2014</v>
      </c>
      <c r="V598">
        <v>45776</v>
      </c>
      <c r="W598">
        <v>25</v>
      </c>
      <c r="X598" t="str">
        <v>Reels</v>
      </c>
      <c r="Y598" t="str">
        <v>Tech</v>
      </c>
      <c r="Z598" t="str">
        <v>Friends_only</v>
      </c>
      <c r="AA598" t="str">
        <v>No</v>
      </c>
      <c r="AB598" t="str">
        <v>No</v>
      </c>
      <c r="AC598">
        <v>2</v>
      </c>
      <c r="AD598" t="str">
        <v>Free</v>
      </c>
      <c r="AE598">
        <v>2.31</v>
      </c>
      <c r="AF598" s="14">
        <f t="shared" si="9"/>
        <v>0.59784560143626575</v>
      </c>
    </row>
    <row r="599" spans="1:32" x14ac:dyDescent="0.2">
      <c r="A599">
        <v>598</v>
      </c>
      <c r="B599" cm="1">
        <f t="array" ref="B599:AE599">_xlfn.XLOOKUP($A599,Instagram_Usage_Lifestyle_Mini_!$A:$A,Instagram_Usage_Lifestyle_Mini_!$AC:$BF)</f>
        <v>157</v>
      </c>
      <c r="C599">
        <v>9</v>
      </c>
      <c r="D599">
        <v>5</v>
      </c>
      <c r="E599">
        <v>210</v>
      </c>
      <c r="F599">
        <v>86</v>
      </c>
      <c r="G599">
        <v>89</v>
      </c>
      <c r="H599">
        <v>24</v>
      </c>
      <c r="I599">
        <v>24</v>
      </c>
      <c r="J599">
        <v>27</v>
      </c>
      <c r="K599">
        <v>14</v>
      </c>
      <c r="L599">
        <v>3</v>
      </c>
      <c r="M599">
        <v>86</v>
      </c>
      <c r="N599">
        <v>27</v>
      </c>
      <c r="O599">
        <v>39</v>
      </c>
      <c r="P599">
        <v>36</v>
      </c>
      <c r="Q599">
        <v>1032</v>
      </c>
      <c r="R599">
        <v>1811</v>
      </c>
      <c r="S599" t="str">
        <v>No</v>
      </c>
      <c r="T599">
        <v>0.86</v>
      </c>
      <c r="U599">
        <v>2025</v>
      </c>
      <c r="V599">
        <v>45769</v>
      </c>
      <c r="W599">
        <v>17.399999999999999</v>
      </c>
      <c r="X599" t="str">
        <v>Videos</v>
      </c>
      <c r="Y599" t="str">
        <v>Music</v>
      </c>
      <c r="Z599" t="str">
        <v>Public</v>
      </c>
      <c r="AA599" t="str">
        <v>Yes</v>
      </c>
      <c r="AB599" t="str">
        <v>No</v>
      </c>
      <c r="AC599">
        <v>1</v>
      </c>
      <c r="AD599" t="str">
        <v>Free</v>
      </c>
      <c r="AE599">
        <v>0.96</v>
      </c>
      <c r="AF599" s="14">
        <f t="shared" si="9"/>
        <v>0.56985091109884045</v>
      </c>
    </row>
    <row r="600" spans="1:32" x14ac:dyDescent="0.2">
      <c r="A600">
        <v>599</v>
      </c>
      <c r="B600" cm="1">
        <f t="array" ref="B600:AE600">_xlfn.XLOOKUP($A600,Instagram_Usage_Lifestyle_Mini_!$A:$A,Instagram_Usage_Lifestyle_Mini_!$AC:$BF)</f>
        <v>205</v>
      </c>
      <c r="C600">
        <v>14</v>
      </c>
      <c r="D600">
        <v>8</v>
      </c>
      <c r="E600">
        <v>181</v>
      </c>
      <c r="F600">
        <v>107</v>
      </c>
      <c r="G600">
        <v>107</v>
      </c>
      <c r="H600">
        <v>22</v>
      </c>
      <c r="I600">
        <v>31</v>
      </c>
      <c r="J600">
        <v>39</v>
      </c>
      <c r="K600">
        <v>14</v>
      </c>
      <c r="L600">
        <v>7</v>
      </c>
      <c r="M600">
        <v>91</v>
      </c>
      <c r="N600">
        <v>55</v>
      </c>
      <c r="O600">
        <v>40</v>
      </c>
      <c r="P600">
        <v>56</v>
      </c>
      <c r="Q600">
        <v>1006</v>
      </c>
      <c r="R600">
        <v>2161</v>
      </c>
      <c r="S600" t="str">
        <v>No</v>
      </c>
      <c r="T600">
        <v>0.09</v>
      </c>
      <c r="U600">
        <v>2015</v>
      </c>
      <c r="V600">
        <v>45885</v>
      </c>
      <c r="W600">
        <v>14.6</v>
      </c>
      <c r="X600" t="str">
        <v>Photos</v>
      </c>
      <c r="Y600" t="str">
        <v>Fitness</v>
      </c>
      <c r="Z600" t="str">
        <v>Friends_only</v>
      </c>
      <c r="AA600" t="str">
        <v>Yes</v>
      </c>
      <c r="AB600" t="str">
        <v>Yes</v>
      </c>
      <c r="AC600">
        <v>0</v>
      </c>
      <c r="AD600" t="str">
        <v>Free</v>
      </c>
      <c r="AE600">
        <v>0.85</v>
      </c>
      <c r="AF600" s="14">
        <f t="shared" si="9"/>
        <v>0.46552521980564554</v>
      </c>
    </row>
    <row r="601" spans="1:32" x14ac:dyDescent="0.2">
      <c r="A601">
        <v>600</v>
      </c>
      <c r="B601" cm="1">
        <f t="array" ref="B601:AE601">_xlfn.XLOOKUP($A601,Instagram_Usage_Lifestyle_Mini_!$A:$A,Instagram_Usage_Lifestyle_Mini_!$AC:$BF)</f>
        <v>398</v>
      </c>
      <c r="C601">
        <v>26</v>
      </c>
      <c r="D601">
        <v>9</v>
      </c>
      <c r="E601">
        <v>291</v>
      </c>
      <c r="F601">
        <v>150</v>
      </c>
      <c r="G601">
        <v>250</v>
      </c>
      <c r="H601">
        <v>65</v>
      </c>
      <c r="I601">
        <v>49</v>
      </c>
      <c r="J601">
        <v>52</v>
      </c>
      <c r="K601">
        <v>37</v>
      </c>
      <c r="L601">
        <v>14</v>
      </c>
      <c r="M601">
        <v>174</v>
      </c>
      <c r="N601">
        <v>115</v>
      </c>
      <c r="O601">
        <v>87</v>
      </c>
      <c r="P601">
        <v>121</v>
      </c>
      <c r="Q601">
        <v>1049</v>
      </c>
      <c r="R601">
        <v>1997</v>
      </c>
      <c r="S601" t="str">
        <v>No</v>
      </c>
      <c r="T601">
        <v>0.75</v>
      </c>
      <c r="U601">
        <v>2025</v>
      </c>
      <c r="V601">
        <v>46015</v>
      </c>
      <c r="W601">
        <v>15.3</v>
      </c>
      <c r="X601" t="str">
        <v>Photos</v>
      </c>
      <c r="Y601" t="str">
        <v>Music</v>
      </c>
      <c r="Z601" t="str">
        <v>Public</v>
      </c>
      <c r="AA601" t="str">
        <v>Yes</v>
      </c>
      <c r="AB601" t="str">
        <v>No</v>
      </c>
      <c r="AC601">
        <v>1</v>
      </c>
      <c r="AD601" t="str">
        <v>Premium</v>
      </c>
      <c r="AE601">
        <v>1.02</v>
      </c>
      <c r="AF601" s="14">
        <f t="shared" si="9"/>
        <v>0.52528793189784673</v>
      </c>
    </row>
    <row r="602" spans="1:32" x14ac:dyDescent="0.2">
      <c r="A602">
        <v>601</v>
      </c>
      <c r="B602" cm="1">
        <f t="array" ref="B602:AE602">_xlfn.XLOOKUP($A602,Instagram_Usage_Lifestyle_Mini_!$A:$A,Instagram_Usage_Lifestyle_Mini_!$AC:$BF)</f>
        <v>199</v>
      </c>
      <c r="C602">
        <v>14</v>
      </c>
      <c r="D602">
        <v>10</v>
      </c>
      <c r="E602">
        <v>253</v>
      </c>
      <c r="F602">
        <v>83</v>
      </c>
      <c r="G602">
        <v>124</v>
      </c>
      <c r="H602">
        <v>25</v>
      </c>
      <c r="I602">
        <v>34</v>
      </c>
      <c r="J602">
        <v>25</v>
      </c>
      <c r="K602">
        <v>17</v>
      </c>
      <c r="L602">
        <v>4</v>
      </c>
      <c r="M602">
        <v>111</v>
      </c>
      <c r="N602">
        <v>52</v>
      </c>
      <c r="O602">
        <v>22</v>
      </c>
      <c r="P602">
        <v>59</v>
      </c>
      <c r="Q602">
        <v>374</v>
      </c>
      <c r="R602">
        <v>244</v>
      </c>
      <c r="S602" t="str">
        <v>Yes</v>
      </c>
      <c r="T602">
        <v>0.19</v>
      </c>
      <c r="U602">
        <v>2013</v>
      </c>
      <c r="V602">
        <v>45869</v>
      </c>
      <c r="W602">
        <v>14.2</v>
      </c>
      <c r="X602" t="str">
        <v>Reels</v>
      </c>
      <c r="Y602" t="str">
        <v>Fashion</v>
      </c>
      <c r="Z602" t="str">
        <v>Private</v>
      </c>
      <c r="AA602" t="str">
        <v>No</v>
      </c>
      <c r="AB602" t="str">
        <v>Yes</v>
      </c>
      <c r="AC602">
        <v>5</v>
      </c>
      <c r="AD602" t="str">
        <v>Business</v>
      </c>
      <c r="AE602">
        <v>1.02</v>
      </c>
      <c r="AF602" s="14">
        <f t="shared" si="9"/>
        <v>1.5327868852459017</v>
      </c>
    </row>
    <row r="603" spans="1:32" x14ac:dyDescent="0.2">
      <c r="A603">
        <v>602</v>
      </c>
      <c r="B603" cm="1">
        <f t="array" ref="B603:AE603">_xlfn.XLOOKUP($A603,Instagram_Usage_Lifestyle_Mini_!$A:$A,Instagram_Usage_Lifestyle_Mini_!$AC:$BF)</f>
        <v>265</v>
      </c>
      <c r="C603">
        <v>19</v>
      </c>
      <c r="D603">
        <v>5</v>
      </c>
      <c r="E603">
        <v>184</v>
      </c>
      <c r="F603">
        <v>117</v>
      </c>
      <c r="G603">
        <v>145</v>
      </c>
      <c r="H603">
        <v>36</v>
      </c>
      <c r="I603">
        <v>43</v>
      </c>
      <c r="J603">
        <v>39</v>
      </c>
      <c r="K603">
        <v>30</v>
      </c>
      <c r="L603">
        <v>5</v>
      </c>
      <c r="M603">
        <v>154</v>
      </c>
      <c r="N603">
        <v>44</v>
      </c>
      <c r="O603">
        <v>35</v>
      </c>
      <c r="P603">
        <v>87</v>
      </c>
      <c r="Q603">
        <v>846</v>
      </c>
      <c r="R603">
        <v>1863</v>
      </c>
      <c r="S603" t="str">
        <v>No</v>
      </c>
      <c r="T603">
        <v>0.5</v>
      </c>
      <c r="U603">
        <v>2018</v>
      </c>
      <c r="V603">
        <v>46014</v>
      </c>
      <c r="W603">
        <v>13.9</v>
      </c>
      <c r="X603" t="str">
        <v>Photos</v>
      </c>
      <c r="Y603" t="str">
        <v>Music</v>
      </c>
      <c r="Z603" t="str">
        <v>Public</v>
      </c>
      <c r="AA603" t="str">
        <v>Yes</v>
      </c>
      <c r="AB603" t="str">
        <v>No</v>
      </c>
      <c r="AC603">
        <v>4</v>
      </c>
      <c r="AD603" t="str">
        <v>Free</v>
      </c>
      <c r="AE603">
        <v>0.87</v>
      </c>
      <c r="AF603" s="14">
        <f t="shared" si="9"/>
        <v>0.45410628019323673</v>
      </c>
    </row>
    <row r="604" spans="1:32" x14ac:dyDescent="0.2">
      <c r="A604">
        <v>603</v>
      </c>
      <c r="B604" cm="1">
        <f t="array" ref="B604:AE604">_xlfn.XLOOKUP($A604,Instagram_Usage_Lifestyle_Mini_!$A:$A,Instagram_Usage_Lifestyle_Mini_!$AC:$BF)</f>
        <v>292</v>
      </c>
      <c r="C604">
        <v>15</v>
      </c>
      <c r="D604">
        <v>6</v>
      </c>
      <c r="E604">
        <v>210</v>
      </c>
      <c r="F604">
        <v>150</v>
      </c>
      <c r="G604">
        <v>163</v>
      </c>
      <c r="H604">
        <v>50</v>
      </c>
      <c r="I604">
        <v>42</v>
      </c>
      <c r="J604">
        <v>44</v>
      </c>
      <c r="K604">
        <v>22</v>
      </c>
      <c r="L604">
        <v>4</v>
      </c>
      <c r="M604">
        <v>165</v>
      </c>
      <c r="N604">
        <v>85</v>
      </c>
      <c r="O604">
        <v>55</v>
      </c>
      <c r="P604">
        <v>79</v>
      </c>
      <c r="Q604">
        <v>38</v>
      </c>
      <c r="R604">
        <v>80</v>
      </c>
      <c r="S604" t="str">
        <v>No</v>
      </c>
      <c r="T604">
        <v>0.22</v>
      </c>
      <c r="U604">
        <v>2025</v>
      </c>
      <c r="V604">
        <v>45789</v>
      </c>
      <c r="W604">
        <v>19.5</v>
      </c>
      <c r="X604" t="str">
        <v>Videos</v>
      </c>
      <c r="Y604" t="str">
        <v>Travel</v>
      </c>
      <c r="Z604" t="str">
        <v>Friends_only</v>
      </c>
      <c r="AA604" t="str">
        <v>Yes</v>
      </c>
      <c r="AB604" t="str">
        <v>Yes</v>
      </c>
      <c r="AC604">
        <v>2</v>
      </c>
      <c r="AD604" t="str">
        <v>Free</v>
      </c>
      <c r="AE604">
        <v>0.96</v>
      </c>
      <c r="AF604" s="14">
        <f t="shared" si="9"/>
        <v>0.47499999999999998</v>
      </c>
    </row>
    <row r="605" spans="1:32" x14ac:dyDescent="0.2">
      <c r="A605">
        <v>604</v>
      </c>
      <c r="B605" cm="1">
        <f t="array" ref="B605:AE605">_xlfn.XLOOKUP($A605,Instagram_Usage_Lifestyle_Mini_!$A:$A,Instagram_Usage_Lifestyle_Mini_!$AC:$BF)</f>
        <v>35</v>
      </c>
      <c r="C605">
        <v>1</v>
      </c>
      <c r="D605">
        <v>3</v>
      </c>
      <c r="E605">
        <v>57</v>
      </c>
      <c r="F605">
        <v>38</v>
      </c>
      <c r="G605">
        <v>47</v>
      </c>
      <c r="H605">
        <v>12</v>
      </c>
      <c r="I605">
        <v>20</v>
      </c>
      <c r="J605">
        <v>13</v>
      </c>
      <c r="K605">
        <v>11</v>
      </c>
      <c r="L605">
        <v>1</v>
      </c>
      <c r="M605">
        <v>21</v>
      </c>
      <c r="N605">
        <v>4</v>
      </c>
      <c r="O605">
        <v>5</v>
      </c>
      <c r="P605">
        <v>13</v>
      </c>
      <c r="Q605">
        <v>4613</v>
      </c>
      <c r="R605">
        <v>3104</v>
      </c>
      <c r="S605" t="str">
        <v>No</v>
      </c>
      <c r="T605">
        <v>0.28000000000000003</v>
      </c>
      <c r="U605">
        <v>2020</v>
      </c>
      <c r="V605">
        <v>45672</v>
      </c>
      <c r="W605">
        <v>35</v>
      </c>
      <c r="X605" t="str">
        <v>Photos</v>
      </c>
      <c r="Y605" t="str">
        <v>Music</v>
      </c>
      <c r="Z605" t="str">
        <v>Private</v>
      </c>
      <c r="AA605" t="str">
        <v>No</v>
      </c>
      <c r="AB605" t="str">
        <v>No</v>
      </c>
      <c r="AC605">
        <v>3</v>
      </c>
      <c r="AD605" t="str">
        <v>Free</v>
      </c>
      <c r="AE605">
        <v>2.2200000000000002</v>
      </c>
      <c r="AF605" s="14">
        <f t="shared" si="9"/>
        <v>1.4861469072164948</v>
      </c>
    </row>
    <row r="606" spans="1:32" x14ac:dyDescent="0.2">
      <c r="A606">
        <v>605</v>
      </c>
      <c r="B606" cm="1">
        <f t="array" ref="B606:AE606">_xlfn.XLOOKUP($A606,Instagram_Usage_Lifestyle_Mini_!$A:$A,Instagram_Usage_Lifestyle_Mini_!$AC:$BF)</f>
        <v>73</v>
      </c>
      <c r="C606">
        <v>3</v>
      </c>
      <c r="D606">
        <v>3</v>
      </c>
      <c r="E606">
        <v>100</v>
      </c>
      <c r="F606">
        <v>58</v>
      </c>
      <c r="G606">
        <v>53</v>
      </c>
      <c r="H606">
        <v>24</v>
      </c>
      <c r="I606">
        <v>11</v>
      </c>
      <c r="J606">
        <v>11</v>
      </c>
      <c r="K606">
        <v>7</v>
      </c>
      <c r="L606">
        <v>3</v>
      </c>
      <c r="M606">
        <v>38</v>
      </c>
      <c r="N606">
        <v>8</v>
      </c>
      <c r="O606">
        <v>10</v>
      </c>
      <c r="P606">
        <v>24</v>
      </c>
      <c r="Q606">
        <v>220</v>
      </c>
      <c r="R606">
        <v>345</v>
      </c>
      <c r="S606" t="str">
        <v>No</v>
      </c>
      <c r="T606">
        <v>0.83</v>
      </c>
      <c r="U606">
        <v>2015</v>
      </c>
      <c r="V606">
        <v>45665</v>
      </c>
      <c r="W606">
        <v>24.3</v>
      </c>
      <c r="X606" t="str">
        <v>Stories</v>
      </c>
      <c r="Y606" t="str">
        <v>Art</v>
      </c>
      <c r="Z606" t="str">
        <v>Public</v>
      </c>
      <c r="AA606" t="str">
        <v>No</v>
      </c>
      <c r="AB606" t="str">
        <v>Yes</v>
      </c>
      <c r="AC606">
        <v>2</v>
      </c>
      <c r="AD606" t="str">
        <v>Free</v>
      </c>
      <c r="AE606">
        <v>1.49</v>
      </c>
      <c r="AF606" s="14">
        <f t="shared" si="9"/>
        <v>0.6376811594202898</v>
      </c>
    </row>
    <row r="607" spans="1:32" x14ac:dyDescent="0.2">
      <c r="A607">
        <v>606</v>
      </c>
      <c r="B607" cm="1">
        <f t="array" ref="B607:AE607">_xlfn.XLOOKUP($A607,Instagram_Usage_Lifestyle_Mini_!$A:$A,Instagram_Usage_Lifestyle_Mini_!$AC:$BF)</f>
        <v>328</v>
      </c>
      <c r="C607">
        <v>10</v>
      </c>
      <c r="D607">
        <v>14</v>
      </c>
      <c r="E607">
        <v>295</v>
      </c>
      <c r="F607">
        <v>150</v>
      </c>
      <c r="G607">
        <v>201</v>
      </c>
      <c r="H607">
        <v>51</v>
      </c>
      <c r="I607">
        <v>40</v>
      </c>
      <c r="J607">
        <v>44</v>
      </c>
      <c r="K607">
        <v>30</v>
      </c>
      <c r="L607">
        <v>8</v>
      </c>
      <c r="M607">
        <v>177</v>
      </c>
      <c r="N607">
        <v>96</v>
      </c>
      <c r="O607">
        <v>62</v>
      </c>
      <c r="P607">
        <v>92</v>
      </c>
      <c r="Q607">
        <v>5300</v>
      </c>
      <c r="R607">
        <v>2820</v>
      </c>
      <c r="S607" t="str">
        <v>No</v>
      </c>
      <c r="T607">
        <v>0.79</v>
      </c>
      <c r="U607">
        <v>2017</v>
      </c>
      <c r="V607">
        <v>45759</v>
      </c>
      <c r="W607">
        <v>32.799999999999997</v>
      </c>
      <c r="X607" t="str">
        <v>Photos</v>
      </c>
      <c r="Y607" t="str">
        <v>Fashion</v>
      </c>
      <c r="Z607" t="str">
        <v>Private</v>
      </c>
      <c r="AA607" t="str">
        <v>No</v>
      </c>
      <c r="AB607" t="str">
        <v>No</v>
      </c>
      <c r="AC607">
        <v>2</v>
      </c>
      <c r="AD607" t="str">
        <v>Premium</v>
      </c>
      <c r="AE607">
        <v>1.05</v>
      </c>
      <c r="AF607" s="14">
        <f t="shared" si="9"/>
        <v>1.8794326241134751</v>
      </c>
    </row>
    <row r="608" spans="1:32" x14ac:dyDescent="0.2">
      <c r="A608">
        <v>607</v>
      </c>
      <c r="B608" cm="1">
        <f t="array" ref="B608:AE608">_xlfn.XLOOKUP($A608,Instagram_Usage_Lifestyle_Mini_!$A:$A,Instagram_Usage_Lifestyle_Mini_!$AC:$BF)</f>
        <v>123</v>
      </c>
      <c r="C608">
        <v>4</v>
      </c>
      <c r="D608">
        <v>4</v>
      </c>
      <c r="E608">
        <v>219</v>
      </c>
      <c r="F608">
        <v>84</v>
      </c>
      <c r="G608">
        <v>76</v>
      </c>
      <c r="H608">
        <v>24</v>
      </c>
      <c r="I608">
        <v>33</v>
      </c>
      <c r="J608">
        <v>26</v>
      </c>
      <c r="K608">
        <v>14</v>
      </c>
      <c r="L608">
        <v>0</v>
      </c>
      <c r="M608">
        <v>50</v>
      </c>
      <c r="N608">
        <v>24</v>
      </c>
      <c r="O608">
        <v>26</v>
      </c>
      <c r="P608">
        <v>27</v>
      </c>
      <c r="Q608">
        <v>18638</v>
      </c>
      <c r="R608">
        <v>10000</v>
      </c>
      <c r="S608" t="str">
        <v>Yes</v>
      </c>
      <c r="T608">
        <v>0.01</v>
      </c>
      <c r="U608">
        <v>2019</v>
      </c>
      <c r="V608">
        <v>45936</v>
      </c>
      <c r="W608">
        <v>30.8</v>
      </c>
      <c r="X608" t="str">
        <v>Stories</v>
      </c>
      <c r="Y608" t="str">
        <v>Tech</v>
      </c>
      <c r="Z608" t="str">
        <v>Public</v>
      </c>
      <c r="AA608" t="str">
        <v>Yes</v>
      </c>
      <c r="AB608" t="str">
        <v>Yes</v>
      </c>
      <c r="AC608">
        <v>1</v>
      </c>
      <c r="AD608" t="str">
        <v>Premium</v>
      </c>
      <c r="AE608">
        <v>1.1000000000000001</v>
      </c>
      <c r="AF608" s="14">
        <f t="shared" si="9"/>
        <v>1.8637999999999999</v>
      </c>
    </row>
    <row r="609" spans="1:32" x14ac:dyDescent="0.2">
      <c r="A609">
        <v>608</v>
      </c>
      <c r="B609" cm="1">
        <f t="array" ref="B609:AE609">_xlfn.XLOOKUP($A609,Instagram_Usage_Lifestyle_Mini_!$A:$A,Instagram_Usage_Lifestyle_Mini_!$AC:$BF)</f>
        <v>249</v>
      </c>
      <c r="C609">
        <v>25</v>
      </c>
      <c r="D609">
        <v>8</v>
      </c>
      <c r="E609">
        <v>196</v>
      </c>
      <c r="F609">
        <v>139</v>
      </c>
      <c r="G609">
        <v>148</v>
      </c>
      <c r="H609">
        <v>46</v>
      </c>
      <c r="I609">
        <v>37</v>
      </c>
      <c r="J609">
        <v>37</v>
      </c>
      <c r="K609">
        <v>26</v>
      </c>
      <c r="L609">
        <v>8</v>
      </c>
      <c r="M609">
        <v>111</v>
      </c>
      <c r="N609">
        <v>74</v>
      </c>
      <c r="O609">
        <v>32</v>
      </c>
      <c r="P609">
        <v>63</v>
      </c>
      <c r="Q609">
        <v>1497</v>
      </c>
      <c r="R609">
        <v>3253</v>
      </c>
      <c r="S609" t="str">
        <v>No</v>
      </c>
      <c r="T609">
        <v>0.54</v>
      </c>
      <c r="U609">
        <v>2018</v>
      </c>
      <c r="V609">
        <v>45662</v>
      </c>
      <c r="W609">
        <v>10</v>
      </c>
      <c r="X609" t="str">
        <v>Reels</v>
      </c>
      <c r="Y609" t="str">
        <v>Travel</v>
      </c>
      <c r="Z609" t="str">
        <v>Friends_only</v>
      </c>
      <c r="AA609" t="str">
        <v>Yes</v>
      </c>
      <c r="AB609" t="str">
        <v>No</v>
      </c>
      <c r="AC609">
        <v>2</v>
      </c>
      <c r="AD609" t="str">
        <v>Free</v>
      </c>
      <c r="AE609">
        <v>1.06</v>
      </c>
      <c r="AF609" s="14">
        <f t="shared" si="9"/>
        <v>0.46019059329849371</v>
      </c>
    </row>
    <row r="610" spans="1:32" x14ac:dyDescent="0.2">
      <c r="A610">
        <v>609</v>
      </c>
      <c r="B610" cm="1">
        <f t="array" ref="B610:AE610">_xlfn.XLOOKUP($A610,Instagram_Usage_Lifestyle_Mini_!$A:$A,Instagram_Usage_Lifestyle_Mini_!$AC:$BF)</f>
        <v>58</v>
      </c>
      <c r="C610">
        <v>3</v>
      </c>
      <c r="D610">
        <v>1</v>
      </c>
      <c r="E610">
        <v>64</v>
      </c>
      <c r="F610">
        <v>77</v>
      </c>
      <c r="G610">
        <v>49</v>
      </c>
      <c r="H610">
        <v>15</v>
      </c>
      <c r="I610">
        <v>16</v>
      </c>
      <c r="J610">
        <v>19</v>
      </c>
      <c r="K610">
        <v>12</v>
      </c>
      <c r="L610">
        <v>1</v>
      </c>
      <c r="M610">
        <v>26</v>
      </c>
      <c r="N610">
        <v>10</v>
      </c>
      <c r="O610">
        <v>8</v>
      </c>
      <c r="P610">
        <v>21</v>
      </c>
      <c r="Q610">
        <v>3713</v>
      </c>
      <c r="R610">
        <v>4904</v>
      </c>
      <c r="S610" t="str">
        <v>No</v>
      </c>
      <c r="T610">
        <v>0.77</v>
      </c>
      <c r="U610">
        <v>2022</v>
      </c>
      <c r="V610">
        <v>45846</v>
      </c>
      <c r="W610">
        <v>19.3</v>
      </c>
      <c r="X610" t="str">
        <v>Stories</v>
      </c>
      <c r="Y610" t="str">
        <v>Tech</v>
      </c>
      <c r="Z610" t="str">
        <v>Friends_only</v>
      </c>
      <c r="AA610" t="str">
        <v>Yes</v>
      </c>
      <c r="AB610" t="str">
        <v>Yes</v>
      </c>
      <c r="AC610">
        <v>3</v>
      </c>
      <c r="AD610" t="str">
        <v>Free</v>
      </c>
      <c r="AE610">
        <v>1.39</v>
      </c>
      <c r="AF610" s="14">
        <f t="shared" si="9"/>
        <v>0.75713703099510599</v>
      </c>
    </row>
    <row r="611" spans="1:32" x14ac:dyDescent="0.2">
      <c r="A611">
        <v>610</v>
      </c>
      <c r="B611" cm="1">
        <f t="array" ref="B611:AE611">_xlfn.XLOOKUP($A611,Instagram_Usage_Lifestyle_Mini_!$A:$A,Instagram_Usage_Lifestyle_Mini_!$AC:$BF)</f>
        <v>114</v>
      </c>
      <c r="C611">
        <v>3</v>
      </c>
      <c r="D611">
        <v>5</v>
      </c>
      <c r="E611">
        <v>111</v>
      </c>
      <c r="F611">
        <v>75</v>
      </c>
      <c r="G611">
        <v>78</v>
      </c>
      <c r="H611">
        <v>22</v>
      </c>
      <c r="I611">
        <v>19</v>
      </c>
      <c r="J611">
        <v>18</v>
      </c>
      <c r="K611">
        <v>14</v>
      </c>
      <c r="L611">
        <v>0</v>
      </c>
      <c r="M611">
        <v>59</v>
      </c>
      <c r="N611">
        <v>28</v>
      </c>
      <c r="O611">
        <v>24</v>
      </c>
      <c r="P611">
        <v>40</v>
      </c>
      <c r="Q611">
        <v>708</v>
      </c>
      <c r="R611">
        <v>1566</v>
      </c>
      <c r="S611" t="str">
        <v>No</v>
      </c>
      <c r="T611">
        <v>0.94</v>
      </c>
      <c r="U611">
        <v>2011</v>
      </c>
      <c r="V611">
        <v>45753</v>
      </c>
      <c r="W611">
        <v>38</v>
      </c>
      <c r="X611" t="str">
        <v>Reels</v>
      </c>
      <c r="Y611" t="str">
        <v>Art</v>
      </c>
      <c r="Z611" t="str">
        <v>Public</v>
      </c>
      <c r="AA611" t="str">
        <v>No</v>
      </c>
      <c r="AB611" t="str">
        <v>No</v>
      </c>
      <c r="AC611">
        <v>0</v>
      </c>
      <c r="AD611" t="str">
        <v>Business</v>
      </c>
      <c r="AE611">
        <v>1.19</v>
      </c>
      <c r="AF611" s="14">
        <f t="shared" si="9"/>
        <v>0.45210727969348657</v>
      </c>
    </row>
    <row r="612" spans="1:32" x14ac:dyDescent="0.2">
      <c r="A612">
        <v>611</v>
      </c>
      <c r="B612" cm="1">
        <f t="array" ref="B612:AE612">_xlfn.XLOOKUP($A612,Instagram_Usage_Lifestyle_Mini_!$A:$A,Instagram_Usage_Lifestyle_Mini_!$AC:$BF)</f>
        <v>333</v>
      </c>
      <c r="C612">
        <v>31</v>
      </c>
      <c r="D612">
        <v>13</v>
      </c>
      <c r="E612">
        <v>300</v>
      </c>
      <c r="F612">
        <v>150</v>
      </c>
      <c r="G612">
        <v>162</v>
      </c>
      <c r="H612">
        <v>50</v>
      </c>
      <c r="I612">
        <v>42</v>
      </c>
      <c r="J612">
        <v>60</v>
      </c>
      <c r="K612">
        <v>38</v>
      </c>
      <c r="L612">
        <v>9</v>
      </c>
      <c r="M612">
        <v>184</v>
      </c>
      <c r="N612">
        <v>48</v>
      </c>
      <c r="O612">
        <v>74</v>
      </c>
      <c r="P612">
        <v>67</v>
      </c>
      <c r="Q612">
        <v>8036</v>
      </c>
      <c r="R612">
        <v>7683</v>
      </c>
      <c r="S612" t="str">
        <v>No</v>
      </c>
      <c r="T612">
        <v>0.28999999999999998</v>
      </c>
      <c r="U612">
        <v>2019</v>
      </c>
      <c r="V612">
        <v>45673</v>
      </c>
      <c r="W612">
        <v>10.7</v>
      </c>
      <c r="X612" t="str">
        <v>Live</v>
      </c>
      <c r="Y612" t="str">
        <v>Art</v>
      </c>
      <c r="Z612" t="str">
        <v>Friends_only</v>
      </c>
      <c r="AA612" t="str">
        <v>No</v>
      </c>
      <c r="AB612" t="str">
        <v>Yes</v>
      </c>
      <c r="AC612">
        <v>3</v>
      </c>
      <c r="AD612" t="str">
        <v>Business</v>
      </c>
      <c r="AE612">
        <v>0.9</v>
      </c>
      <c r="AF612" s="14">
        <f t="shared" si="9"/>
        <v>1.0459455941689444</v>
      </c>
    </row>
    <row r="613" spans="1:32" x14ac:dyDescent="0.2">
      <c r="A613">
        <v>612</v>
      </c>
      <c r="B613" cm="1">
        <f t="array" ref="B613:AE613">_xlfn.XLOOKUP($A613,Instagram_Usage_Lifestyle_Mini_!$A:$A,Instagram_Usage_Lifestyle_Mini_!$AC:$BF)</f>
        <v>216</v>
      </c>
      <c r="C613">
        <v>18</v>
      </c>
      <c r="D613">
        <v>3</v>
      </c>
      <c r="E613">
        <v>165</v>
      </c>
      <c r="F613">
        <v>127</v>
      </c>
      <c r="G613">
        <v>116</v>
      </c>
      <c r="H613">
        <v>39</v>
      </c>
      <c r="I613">
        <v>30</v>
      </c>
      <c r="J613">
        <v>31</v>
      </c>
      <c r="K613">
        <v>24</v>
      </c>
      <c r="L613">
        <v>3</v>
      </c>
      <c r="M613">
        <v>114</v>
      </c>
      <c r="N613">
        <v>40</v>
      </c>
      <c r="O613">
        <v>23</v>
      </c>
      <c r="P613">
        <v>56</v>
      </c>
      <c r="Q613">
        <v>492</v>
      </c>
      <c r="R613">
        <v>1119</v>
      </c>
      <c r="S613" t="str">
        <v>No</v>
      </c>
      <c r="T613">
        <v>0.04</v>
      </c>
      <c r="U613">
        <v>2018</v>
      </c>
      <c r="V613">
        <v>45698</v>
      </c>
      <c r="W613">
        <v>12</v>
      </c>
      <c r="X613" t="str">
        <v>Videos</v>
      </c>
      <c r="Y613" t="str">
        <v>Travel</v>
      </c>
      <c r="Z613" t="str">
        <v>Friends_only</v>
      </c>
      <c r="AA613" t="str">
        <v>Yes</v>
      </c>
      <c r="AB613" t="str">
        <v>No</v>
      </c>
      <c r="AC613">
        <v>5</v>
      </c>
      <c r="AD613" t="str">
        <v>Free</v>
      </c>
      <c r="AE613">
        <v>0.94</v>
      </c>
      <c r="AF613" s="14">
        <f t="shared" si="9"/>
        <v>0.43967828418230565</v>
      </c>
    </row>
    <row r="614" spans="1:32" x14ac:dyDescent="0.2">
      <c r="A614">
        <v>613</v>
      </c>
      <c r="B614" cm="1">
        <f t="array" ref="B614:AE614">_xlfn.XLOOKUP($A614,Instagram_Usage_Lifestyle_Mini_!$A:$A,Instagram_Usage_Lifestyle_Mini_!$AC:$BF)</f>
        <v>267</v>
      </c>
      <c r="C614">
        <v>29</v>
      </c>
      <c r="D614">
        <v>4</v>
      </c>
      <c r="E614">
        <v>201</v>
      </c>
      <c r="F614">
        <v>145</v>
      </c>
      <c r="G614">
        <v>162</v>
      </c>
      <c r="H614">
        <v>52</v>
      </c>
      <c r="I614">
        <v>46</v>
      </c>
      <c r="J614">
        <v>44</v>
      </c>
      <c r="K614">
        <v>30</v>
      </c>
      <c r="L614">
        <v>7</v>
      </c>
      <c r="M614">
        <v>140</v>
      </c>
      <c r="N614">
        <v>37</v>
      </c>
      <c r="O614">
        <v>31</v>
      </c>
      <c r="P614">
        <v>105</v>
      </c>
      <c r="Q614">
        <v>1449</v>
      </c>
      <c r="R614">
        <v>2145</v>
      </c>
      <c r="S614" t="str">
        <v>No</v>
      </c>
      <c r="T614">
        <v>0.03</v>
      </c>
      <c r="U614">
        <v>2024</v>
      </c>
      <c r="V614">
        <v>45950</v>
      </c>
      <c r="W614">
        <v>9.1999999999999993</v>
      </c>
      <c r="X614" t="str">
        <v>Live</v>
      </c>
      <c r="Y614" t="str">
        <v>Fashion</v>
      </c>
      <c r="Z614" t="str">
        <v>Friends_only</v>
      </c>
      <c r="AA614" t="str">
        <v>Yes</v>
      </c>
      <c r="AB614" t="str">
        <v>Yes</v>
      </c>
      <c r="AC614">
        <v>2</v>
      </c>
      <c r="AD614" t="str">
        <v>Free</v>
      </c>
      <c r="AE614">
        <v>1.04</v>
      </c>
      <c r="AF614" s="14">
        <f t="shared" si="9"/>
        <v>0.67552447552447548</v>
      </c>
    </row>
    <row r="615" spans="1:32" x14ac:dyDescent="0.2">
      <c r="A615">
        <v>614</v>
      </c>
      <c r="B615" cm="1">
        <f t="array" ref="B615:AE615">_xlfn.XLOOKUP($A615,Instagram_Usage_Lifestyle_Mini_!$A:$A,Instagram_Usage_Lifestyle_Mini_!$AC:$BF)</f>
        <v>191</v>
      </c>
      <c r="C615">
        <v>11</v>
      </c>
      <c r="D615">
        <v>2</v>
      </c>
      <c r="E615">
        <v>146</v>
      </c>
      <c r="F615">
        <v>111</v>
      </c>
      <c r="G615">
        <v>127</v>
      </c>
      <c r="H615">
        <v>35</v>
      </c>
      <c r="I615">
        <v>28</v>
      </c>
      <c r="J615">
        <v>25</v>
      </c>
      <c r="K615">
        <v>20</v>
      </c>
      <c r="L615">
        <v>6</v>
      </c>
      <c r="M615">
        <v>92</v>
      </c>
      <c r="N615">
        <v>28</v>
      </c>
      <c r="O615">
        <v>33</v>
      </c>
      <c r="P615">
        <v>53</v>
      </c>
      <c r="Q615">
        <v>994</v>
      </c>
      <c r="R615">
        <v>2122</v>
      </c>
      <c r="S615" t="str">
        <v>No</v>
      </c>
      <c r="T615">
        <v>0.33</v>
      </c>
      <c r="U615">
        <v>2016</v>
      </c>
      <c r="V615">
        <v>45709</v>
      </c>
      <c r="W615">
        <v>17.399999999999999</v>
      </c>
      <c r="X615" t="str">
        <v>Mixed</v>
      </c>
      <c r="Y615" t="str">
        <v>Music</v>
      </c>
      <c r="Z615" t="str">
        <v>Public</v>
      </c>
      <c r="AA615" t="str">
        <v>No</v>
      </c>
      <c r="AB615" t="str">
        <v>Yes</v>
      </c>
      <c r="AC615">
        <v>3</v>
      </c>
      <c r="AD615" t="str">
        <v>Free</v>
      </c>
      <c r="AE615">
        <v>1.06</v>
      </c>
      <c r="AF615" s="14">
        <f t="shared" si="9"/>
        <v>0.46842601319509897</v>
      </c>
    </row>
    <row r="616" spans="1:32" x14ac:dyDescent="0.2">
      <c r="A616">
        <v>615</v>
      </c>
      <c r="B616" cm="1">
        <f t="array" ref="B616:AE616">_xlfn.XLOOKUP($A616,Instagram_Usage_Lifestyle_Mini_!$A:$A,Instagram_Usage_Lifestyle_Mini_!$AC:$BF)</f>
        <v>243</v>
      </c>
      <c r="C616">
        <v>11</v>
      </c>
      <c r="D616">
        <v>7</v>
      </c>
      <c r="E616">
        <v>177</v>
      </c>
      <c r="F616">
        <v>117</v>
      </c>
      <c r="G616">
        <v>143</v>
      </c>
      <c r="H616">
        <v>47</v>
      </c>
      <c r="I616">
        <v>35</v>
      </c>
      <c r="J616">
        <v>31</v>
      </c>
      <c r="K616">
        <v>27</v>
      </c>
      <c r="L616">
        <v>3</v>
      </c>
      <c r="M616">
        <v>128</v>
      </c>
      <c r="N616">
        <v>43</v>
      </c>
      <c r="O616">
        <v>43</v>
      </c>
      <c r="P616">
        <v>58</v>
      </c>
      <c r="Q616">
        <v>637</v>
      </c>
      <c r="R616">
        <v>712</v>
      </c>
      <c r="S616" t="str">
        <v>No</v>
      </c>
      <c r="T616">
        <v>7.0000000000000007E-2</v>
      </c>
      <c r="U616">
        <v>2015</v>
      </c>
      <c r="V616">
        <v>45810</v>
      </c>
      <c r="W616">
        <v>22.1</v>
      </c>
      <c r="X616" t="str">
        <v>Live</v>
      </c>
      <c r="Y616" t="str">
        <v>Food</v>
      </c>
      <c r="Z616" t="str">
        <v>Private</v>
      </c>
      <c r="AA616" t="str">
        <v>Yes</v>
      </c>
      <c r="AB616" t="str">
        <v>Yes</v>
      </c>
      <c r="AC616">
        <v>3</v>
      </c>
      <c r="AD616" t="str">
        <v>Free</v>
      </c>
      <c r="AE616">
        <v>1.06</v>
      </c>
      <c r="AF616" s="14">
        <f t="shared" si="9"/>
        <v>0.8946629213483146</v>
      </c>
    </row>
    <row r="617" spans="1:32" x14ac:dyDescent="0.2">
      <c r="A617">
        <v>616</v>
      </c>
      <c r="B617" cm="1">
        <f t="array" ref="B617:AE617">_xlfn.XLOOKUP($A617,Instagram_Usage_Lifestyle_Mini_!$A:$A,Instagram_Usage_Lifestyle_Mini_!$AC:$BF)</f>
        <v>104</v>
      </c>
      <c r="C617">
        <v>4</v>
      </c>
      <c r="D617">
        <v>3</v>
      </c>
      <c r="E617">
        <v>109</v>
      </c>
      <c r="F617">
        <v>81</v>
      </c>
      <c r="G617">
        <v>101</v>
      </c>
      <c r="H617">
        <v>16</v>
      </c>
      <c r="I617">
        <v>14</v>
      </c>
      <c r="J617">
        <v>18</v>
      </c>
      <c r="K617">
        <v>10</v>
      </c>
      <c r="L617">
        <v>5</v>
      </c>
      <c r="M617">
        <v>53</v>
      </c>
      <c r="N617">
        <v>23</v>
      </c>
      <c r="O617">
        <v>12</v>
      </c>
      <c r="P617">
        <v>31</v>
      </c>
      <c r="Q617">
        <v>435</v>
      </c>
      <c r="R617">
        <v>1016</v>
      </c>
      <c r="S617" t="str">
        <v>No</v>
      </c>
      <c r="T617">
        <v>0.35</v>
      </c>
      <c r="U617">
        <v>2017</v>
      </c>
      <c r="V617">
        <v>45956</v>
      </c>
      <c r="W617">
        <v>26</v>
      </c>
      <c r="X617" t="str">
        <v>Reels</v>
      </c>
      <c r="Y617" t="str">
        <v>Fashion</v>
      </c>
      <c r="Z617" t="str">
        <v>Public</v>
      </c>
      <c r="AA617" t="str">
        <v>Yes</v>
      </c>
      <c r="AB617" t="str">
        <v>Yes</v>
      </c>
      <c r="AC617">
        <v>1</v>
      </c>
      <c r="AD617" t="str">
        <v>Free</v>
      </c>
      <c r="AE617">
        <v>1.35</v>
      </c>
      <c r="AF617" s="14">
        <f t="shared" si="9"/>
        <v>0.42814960629921262</v>
      </c>
    </row>
    <row r="618" spans="1:32" x14ac:dyDescent="0.2">
      <c r="A618">
        <v>617</v>
      </c>
      <c r="B618" cm="1">
        <f t="array" ref="B618:AE618">_xlfn.XLOOKUP($A618,Instagram_Usage_Lifestyle_Mini_!$A:$A,Instagram_Usage_Lifestyle_Mini_!$AC:$BF)</f>
        <v>328</v>
      </c>
      <c r="C618">
        <v>10</v>
      </c>
      <c r="D618">
        <v>14</v>
      </c>
      <c r="E618">
        <v>282</v>
      </c>
      <c r="F618">
        <v>150</v>
      </c>
      <c r="G618">
        <v>168</v>
      </c>
      <c r="H618">
        <v>60</v>
      </c>
      <c r="I618">
        <v>40</v>
      </c>
      <c r="J618">
        <v>41</v>
      </c>
      <c r="K618">
        <v>28</v>
      </c>
      <c r="L618">
        <v>5</v>
      </c>
      <c r="M618">
        <v>139</v>
      </c>
      <c r="N618">
        <v>96</v>
      </c>
      <c r="O618">
        <v>57</v>
      </c>
      <c r="P618">
        <v>114</v>
      </c>
      <c r="Q618">
        <v>1467</v>
      </c>
      <c r="R618">
        <v>1221</v>
      </c>
      <c r="S618" t="str">
        <v>No</v>
      </c>
      <c r="T618">
        <v>0</v>
      </c>
      <c r="U618">
        <v>2024</v>
      </c>
      <c r="V618">
        <v>45784</v>
      </c>
      <c r="W618">
        <v>32.799999999999997</v>
      </c>
      <c r="X618" t="str">
        <v>Photos</v>
      </c>
      <c r="Y618" t="str">
        <v>Food</v>
      </c>
      <c r="Z618" t="str">
        <v>Friends_only</v>
      </c>
      <c r="AA618" t="str">
        <v>Yes</v>
      </c>
      <c r="AB618" t="str">
        <v>Yes</v>
      </c>
      <c r="AC618">
        <v>2</v>
      </c>
      <c r="AD618" t="str">
        <v>Free</v>
      </c>
      <c r="AE618">
        <v>1</v>
      </c>
      <c r="AF618" s="14">
        <f t="shared" si="9"/>
        <v>1.2014742014742015</v>
      </c>
    </row>
    <row r="619" spans="1:32" x14ac:dyDescent="0.2">
      <c r="A619">
        <v>618</v>
      </c>
      <c r="B619" cm="1">
        <f t="array" ref="B619:AE619">_xlfn.XLOOKUP($A619,Instagram_Usage_Lifestyle_Mini_!$A:$A,Instagram_Usage_Lifestyle_Mini_!$AC:$BF)</f>
        <v>182</v>
      </c>
      <c r="C619">
        <v>18</v>
      </c>
      <c r="D619">
        <v>3</v>
      </c>
      <c r="E619">
        <v>147</v>
      </c>
      <c r="F619">
        <v>118</v>
      </c>
      <c r="G619">
        <v>119</v>
      </c>
      <c r="H619">
        <v>23</v>
      </c>
      <c r="I619">
        <v>28</v>
      </c>
      <c r="J619">
        <v>26</v>
      </c>
      <c r="K619">
        <v>16</v>
      </c>
      <c r="L619">
        <v>4</v>
      </c>
      <c r="M619">
        <v>79</v>
      </c>
      <c r="N619">
        <v>48</v>
      </c>
      <c r="O619">
        <v>35</v>
      </c>
      <c r="P619">
        <v>38</v>
      </c>
      <c r="Q619">
        <v>1995</v>
      </c>
      <c r="R619">
        <v>4344</v>
      </c>
      <c r="S619" t="str">
        <v>No</v>
      </c>
      <c r="T619">
        <v>0.84</v>
      </c>
      <c r="U619">
        <v>2015</v>
      </c>
      <c r="V619">
        <v>45735</v>
      </c>
      <c r="W619">
        <v>10.1</v>
      </c>
      <c r="X619" t="str">
        <v>Stories</v>
      </c>
      <c r="Y619" t="str">
        <v>Tech</v>
      </c>
      <c r="Z619" t="str">
        <v>Friends_only</v>
      </c>
      <c r="AA619" t="str">
        <v>No</v>
      </c>
      <c r="AB619" t="str">
        <v>No</v>
      </c>
      <c r="AC619">
        <v>1</v>
      </c>
      <c r="AD619" t="str">
        <v>Free</v>
      </c>
      <c r="AE619">
        <v>0.95</v>
      </c>
      <c r="AF619" s="14">
        <f t="shared" si="9"/>
        <v>0.45925414364640882</v>
      </c>
    </row>
    <row r="620" spans="1:32" x14ac:dyDescent="0.2">
      <c r="A620">
        <v>619</v>
      </c>
      <c r="B620" cm="1">
        <f t="array" ref="B620:AE620">_xlfn.XLOOKUP($A620,Instagram_Usage_Lifestyle_Mini_!$A:$A,Instagram_Usage_Lifestyle_Mini_!$AC:$BF)</f>
        <v>443</v>
      </c>
      <c r="C620">
        <v>15</v>
      </c>
      <c r="D620">
        <v>16</v>
      </c>
      <c r="E620">
        <v>300</v>
      </c>
      <c r="F620">
        <v>150</v>
      </c>
      <c r="G620">
        <v>257</v>
      </c>
      <c r="H620">
        <v>63</v>
      </c>
      <c r="I620">
        <v>45</v>
      </c>
      <c r="J620">
        <v>50</v>
      </c>
      <c r="K620">
        <v>33</v>
      </c>
      <c r="L620">
        <v>10</v>
      </c>
      <c r="M620">
        <v>265</v>
      </c>
      <c r="N620">
        <v>129</v>
      </c>
      <c r="O620">
        <v>72</v>
      </c>
      <c r="P620">
        <v>139</v>
      </c>
      <c r="Q620">
        <v>5527</v>
      </c>
      <c r="R620">
        <v>8706</v>
      </c>
      <c r="S620" t="str">
        <v>No</v>
      </c>
      <c r="T620">
        <v>0.41</v>
      </c>
      <c r="U620">
        <v>2018</v>
      </c>
      <c r="V620">
        <v>45965</v>
      </c>
      <c r="W620">
        <v>29.5</v>
      </c>
      <c r="X620" t="str">
        <v>Reels</v>
      </c>
      <c r="Y620" t="str">
        <v>Travel</v>
      </c>
      <c r="Z620" t="str">
        <v>Public</v>
      </c>
      <c r="AA620" t="str">
        <v>No</v>
      </c>
      <c r="AB620" t="str">
        <v>Yes</v>
      </c>
      <c r="AC620">
        <v>2</v>
      </c>
      <c r="AD620" t="str">
        <v>Premium</v>
      </c>
      <c r="AE620">
        <v>0.97</v>
      </c>
      <c r="AF620" s="14">
        <f t="shared" si="9"/>
        <v>0.63484952906041814</v>
      </c>
    </row>
    <row r="621" spans="1:32" x14ac:dyDescent="0.2">
      <c r="A621">
        <v>620</v>
      </c>
      <c r="B621" cm="1">
        <f t="array" ref="B621:AE621">_xlfn.XLOOKUP($A621,Instagram_Usage_Lifestyle_Mini_!$A:$A,Instagram_Usage_Lifestyle_Mini_!$AC:$BF)</f>
        <v>178</v>
      </c>
      <c r="C621">
        <v>13</v>
      </c>
      <c r="D621">
        <v>4</v>
      </c>
      <c r="E621">
        <v>160</v>
      </c>
      <c r="F621">
        <v>101</v>
      </c>
      <c r="G621">
        <v>113</v>
      </c>
      <c r="H621">
        <v>41</v>
      </c>
      <c r="I621">
        <v>30</v>
      </c>
      <c r="J621">
        <v>33</v>
      </c>
      <c r="K621">
        <v>15</v>
      </c>
      <c r="L621">
        <v>4</v>
      </c>
      <c r="M621">
        <v>93</v>
      </c>
      <c r="N621">
        <v>35</v>
      </c>
      <c r="O621">
        <v>24</v>
      </c>
      <c r="P621">
        <v>70</v>
      </c>
      <c r="Q621">
        <v>2832</v>
      </c>
      <c r="R621">
        <v>2421</v>
      </c>
      <c r="S621" t="str">
        <v>No</v>
      </c>
      <c r="T621">
        <v>0.79</v>
      </c>
      <c r="U621">
        <v>2014</v>
      </c>
      <c r="V621">
        <v>45750</v>
      </c>
      <c r="W621">
        <v>13.7</v>
      </c>
      <c r="X621" t="str">
        <v>Reels</v>
      </c>
      <c r="Y621" t="str">
        <v>Tech</v>
      </c>
      <c r="Z621" t="str">
        <v>Friends_only</v>
      </c>
      <c r="AA621" t="str">
        <v>Yes</v>
      </c>
      <c r="AB621" t="str">
        <v>No</v>
      </c>
      <c r="AC621">
        <v>4</v>
      </c>
      <c r="AD621" t="str">
        <v>Premium</v>
      </c>
      <c r="AE621">
        <v>1.1599999999999999</v>
      </c>
      <c r="AF621" s="14">
        <f t="shared" si="9"/>
        <v>1.1697645600991327</v>
      </c>
    </row>
    <row r="622" spans="1:32" x14ac:dyDescent="0.2">
      <c r="A622">
        <v>621</v>
      </c>
      <c r="B622" cm="1">
        <f t="array" ref="B622:AE622">_xlfn.XLOOKUP($A622,Instagram_Usage_Lifestyle_Mini_!$A:$A,Instagram_Usage_Lifestyle_Mini_!$AC:$BF)</f>
        <v>46</v>
      </c>
      <c r="C622">
        <v>1</v>
      </c>
      <c r="D622">
        <v>2</v>
      </c>
      <c r="E622">
        <v>68</v>
      </c>
      <c r="F622">
        <v>63</v>
      </c>
      <c r="G622">
        <v>50</v>
      </c>
      <c r="H622">
        <v>12</v>
      </c>
      <c r="I622">
        <v>16</v>
      </c>
      <c r="J622">
        <v>10</v>
      </c>
      <c r="K622">
        <v>10</v>
      </c>
      <c r="L622">
        <v>1</v>
      </c>
      <c r="M622">
        <v>20</v>
      </c>
      <c r="N622">
        <v>12</v>
      </c>
      <c r="O622">
        <v>6</v>
      </c>
      <c r="P622">
        <v>12</v>
      </c>
      <c r="Q622">
        <v>217</v>
      </c>
      <c r="R622">
        <v>228</v>
      </c>
      <c r="S622" t="str">
        <v>No</v>
      </c>
      <c r="T622">
        <v>0.87</v>
      </c>
      <c r="U622">
        <v>2014</v>
      </c>
      <c r="V622">
        <v>45881</v>
      </c>
      <c r="W622">
        <v>46</v>
      </c>
      <c r="X622" t="str">
        <v>Live</v>
      </c>
      <c r="Y622" t="str">
        <v>Travel</v>
      </c>
      <c r="Z622" t="str">
        <v>Public</v>
      </c>
      <c r="AA622" t="str">
        <v>Yes</v>
      </c>
      <c r="AB622" t="str">
        <v>No</v>
      </c>
      <c r="AC622">
        <v>3</v>
      </c>
      <c r="AD622" t="str">
        <v>Business</v>
      </c>
      <c r="AE622">
        <v>1.7</v>
      </c>
      <c r="AF622" s="14">
        <f t="shared" si="9"/>
        <v>0.95175438596491224</v>
      </c>
    </row>
    <row r="623" spans="1:32" x14ac:dyDescent="0.2">
      <c r="A623">
        <v>622</v>
      </c>
      <c r="B623" cm="1">
        <f t="array" ref="B623:AE623">_xlfn.XLOOKUP($A623,Instagram_Usage_Lifestyle_Mini_!$A:$A,Instagram_Usage_Lifestyle_Mini_!$AC:$BF)</f>
        <v>355</v>
      </c>
      <c r="C623">
        <v>11</v>
      </c>
      <c r="D623">
        <v>10</v>
      </c>
      <c r="E623">
        <v>239</v>
      </c>
      <c r="F623">
        <v>150</v>
      </c>
      <c r="G623">
        <v>186</v>
      </c>
      <c r="H623">
        <v>54</v>
      </c>
      <c r="I623">
        <v>53</v>
      </c>
      <c r="J623">
        <v>57</v>
      </c>
      <c r="K623">
        <v>37</v>
      </c>
      <c r="L623">
        <v>10</v>
      </c>
      <c r="M623">
        <v>184</v>
      </c>
      <c r="N623">
        <v>40</v>
      </c>
      <c r="O623">
        <v>78</v>
      </c>
      <c r="P623">
        <v>96</v>
      </c>
      <c r="Q623">
        <v>3093</v>
      </c>
      <c r="R623">
        <v>7013</v>
      </c>
      <c r="S623" t="str">
        <v>No</v>
      </c>
      <c r="T623">
        <v>0.95</v>
      </c>
      <c r="U623">
        <v>2018</v>
      </c>
      <c r="V623">
        <v>45751</v>
      </c>
      <c r="W623">
        <v>32.299999999999997</v>
      </c>
      <c r="X623" t="str">
        <v>Photos</v>
      </c>
      <c r="Y623" t="str">
        <v>Fitness</v>
      </c>
      <c r="Z623" t="str">
        <v>Private</v>
      </c>
      <c r="AA623" t="str">
        <v>No</v>
      </c>
      <c r="AB623" t="str">
        <v>No</v>
      </c>
      <c r="AC623">
        <v>2</v>
      </c>
      <c r="AD623" t="str">
        <v>Free</v>
      </c>
      <c r="AE623">
        <v>0.91</v>
      </c>
      <c r="AF623" s="14">
        <f t="shared" si="9"/>
        <v>0.44103807215171825</v>
      </c>
    </row>
    <row r="624" spans="1:32" x14ac:dyDescent="0.2">
      <c r="A624">
        <v>623</v>
      </c>
      <c r="B624" cm="1">
        <f t="array" ref="B624:AE624">_xlfn.XLOOKUP($A624,Instagram_Usage_Lifestyle_Mini_!$A:$A,Instagram_Usage_Lifestyle_Mini_!$AC:$BF)</f>
        <v>40</v>
      </c>
      <c r="C624">
        <v>3</v>
      </c>
      <c r="D624">
        <v>3</v>
      </c>
      <c r="E624">
        <v>81</v>
      </c>
      <c r="F624">
        <v>31</v>
      </c>
      <c r="G624">
        <v>38</v>
      </c>
      <c r="H624">
        <v>17</v>
      </c>
      <c r="I624">
        <v>8</v>
      </c>
      <c r="J624">
        <v>19</v>
      </c>
      <c r="K624">
        <v>6</v>
      </c>
      <c r="L624">
        <v>3</v>
      </c>
      <c r="M624">
        <v>21</v>
      </c>
      <c r="N624">
        <v>10</v>
      </c>
      <c r="O624">
        <v>8</v>
      </c>
      <c r="P624">
        <v>15</v>
      </c>
      <c r="Q624">
        <v>4002</v>
      </c>
      <c r="R624">
        <v>5533</v>
      </c>
      <c r="S624" t="str">
        <v>No</v>
      </c>
      <c r="T624">
        <v>1</v>
      </c>
      <c r="U624">
        <v>2020</v>
      </c>
      <c r="V624">
        <v>45740</v>
      </c>
      <c r="W624">
        <v>13.3</v>
      </c>
      <c r="X624" t="str">
        <v>Reels</v>
      </c>
      <c r="Y624" t="str">
        <v>Fashion</v>
      </c>
      <c r="Z624" t="str">
        <v>Private</v>
      </c>
      <c r="AA624" t="str">
        <v>Yes</v>
      </c>
      <c r="AB624" t="str">
        <v>No</v>
      </c>
      <c r="AC624">
        <v>4</v>
      </c>
      <c r="AD624" t="str">
        <v>Business</v>
      </c>
      <c r="AE624">
        <v>1.98</v>
      </c>
      <c r="AF624" s="14">
        <f t="shared" si="9"/>
        <v>0.72329658413157416</v>
      </c>
    </row>
    <row r="625" spans="1:32" x14ac:dyDescent="0.2">
      <c r="A625">
        <v>624</v>
      </c>
      <c r="B625" cm="1">
        <f t="array" ref="B625:AE625">_xlfn.XLOOKUP($A625,Instagram_Usage_Lifestyle_Mini_!$A:$A,Instagram_Usage_Lifestyle_Mini_!$AC:$BF)</f>
        <v>120</v>
      </c>
      <c r="C625">
        <v>6</v>
      </c>
      <c r="D625">
        <v>2</v>
      </c>
      <c r="E625">
        <v>106</v>
      </c>
      <c r="F625">
        <v>76</v>
      </c>
      <c r="G625">
        <v>86</v>
      </c>
      <c r="H625">
        <v>27</v>
      </c>
      <c r="I625">
        <v>21</v>
      </c>
      <c r="J625">
        <v>21</v>
      </c>
      <c r="K625">
        <v>15</v>
      </c>
      <c r="L625">
        <v>2</v>
      </c>
      <c r="M625">
        <v>60</v>
      </c>
      <c r="N625">
        <v>17</v>
      </c>
      <c r="O625">
        <v>20</v>
      </c>
      <c r="P625">
        <v>29</v>
      </c>
      <c r="Q625">
        <v>436</v>
      </c>
      <c r="R625">
        <v>297</v>
      </c>
      <c r="S625" t="str">
        <v>Yes</v>
      </c>
      <c r="T625">
        <v>0.73</v>
      </c>
      <c r="U625">
        <v>2019</v>
      </c>
      <c r="V625">
        <v>45989</v>
      </c>
      <c r="W625">
        <v>20</v>
      </c>
      <c r="X625" t="str">
        <v>Photos</v>
      </c>
      <c r="Y625" t="str">
        <v>Food</v>
      </c>
      <c r="Z625" t="str">
        <v>Friends_only</v>
      </c>
      <c r="AA625" t="str">
        <v>Yes</v>
      </c>
      <c r="AB625" t="str">
        <v>Yes</v>
      </c>
      <c r="AC625">
        <v>0</v>
      </c>
      <c r="AD625" t="str">
        <v>Premium</v>
      </c>
      <c r="AE625">
        <v>1.21</v>
      </c>
      <c r="AF625" s="14">
        <f t="shared" si="9"/>
        <v>1.468013468013468</v>
      </c>
    </row>
    <row r="626" spans="1:32" x14ac:dyDescent="0.2">
      <c r="A626">
        <v>625</v>
      </c>
      <c r="B626" cm="1">
        <f t="array" ref="B626:AE626">_xlfn.XLOOKUP($A626,Instagram_Usage_Lifestyle_Mini_!$A:$A,Instagram_Usage_Lifestyle_Mini_!$AC:$BF)</f>
        <v>274</v>
      </c>
      <c r="C626">
        <v>9</v>
      </c>
      <c r="D626">
        <v>8</v>
      </c>
      <c r="E626">
        <v>218</v>
      </c>
      <c r="F626">
        <v>122</v>
      </c>
      <c r="G626">
        <v>165</v>
      </c>
      <c r="H626">
        <v>55</v>
      </c>
      <c r="I626">
        <v>38</v>
      </c>
      <c r="J626">
        <v>30</v>
      </c>
      <c r="K626">
        <v>28</v>
      </c>
      <c r="L626">
        <v>5</v>
      </c>
      <c r="M626">
        <v>121</v>
      </c>
      <c r="N626">
        <v>29</v>
      </c>
      <c r="O626">
        <v>65</v>
      </c>
      <c r="P626">
        <v>103</v>
      </c>
      <c r="Q626">
        <v>253</v>
      </c>
      <c r="R626">
        <v>156</v>
      </c>
      <c r="S626" t="str">
        <v>No</v>
      </c>
      <c r="T626">
        <v>0.46</v>
      </c>
      <c r="U626">
        <v>2010</v>
      </c>
      <c r="V626">
        <v>45987</v>
      </c>
      <c r="W626">
        <v>30.4</v>
      </c>
      <c r="X626" t="str">
        <v>Stories</v>
      </c>
      <c r="Y626" t="str">
        <v>Tech</v>
      </c>
      <c r="Z626" t="str">
        <v>Public</v>
      </c>
      <c r="AA626" t="str">
        <v>Yes</v>
      </c>
      <c r="AB626" t="str">
        <v>No</v>
      </c>
      <c r="AC626">
        <v>2</v>
      </c>
      <c r="AD626" t="str">
        <v>Free</v>
      </c>
      <c r="AE626">
        <v>1.0900000000000001</v>
      </c>
      <c r="AF626" s="14">
        <f t="shared" si="9"/>
        <v>1.6217948717948718</v>
      </c>
    </row>
    <row r="627" spans="1:32" x14ac:dyDescent="0.2">
      <c r="A627">
        <v>626</v>
      </c>
      <c r="B627" cm="1">
        <f t="array" ref="B627:AE627">_xlfn.XLOOKUP($A627,Instagram_Usage_Lifestyle_Mini_!$A:$A,Instagram_Usage_Lifestyle_Mini_!$AC:$BF)</f>
        <v>149</v>
      </c>
      <c r="C627">
        <v>13</v>
      </c>
      <c r="D627">
        <v>3</v>
      </c>
      <c r="E627">
        <v>145</v>
      </c>
      <c r="F627">
        <v>91</v>
      </c>
      <c r="G627">
        <v>91</v>
      </c>
      <c r="H627">
        <v>35</v>
      </c>
      <c r="I627">
        <v>31</v>
      </c>
      <c r="J627">
        <v>26</v>
      </c>
      <c r="K627">
        <v>15</v>
      </c>
      <c r="L627">
        <v>5</v>
      </c>
      <c r="M627">
        <v>81</v>
      </c>
      <c r="N627">
        <v>33</v>
      </c>
      <c r="O627">
        <v>27</v>
      </c>
      <c r="P627">
        <v>50</v>
      </c>
      <c r="Q627">
        <v>627</v>
      </c>
      <c r="R627">
        <v>1075</v>
      </c>
      <c r="S627" t="str">
        <v>Yes</v>
      </c>
      <c r="T627">
        <v>0.15</v>
      </c>
      <c r="U627">
        <v>2020</v>
      </c>
      <c r="V627">
        <v>45789</v>
      </c>
      <c r="W627">
        <v>11.5</v>
      </c>
      <c r="X627" t="str">
        <v>Videos</v>
      </c>
      <c r="Y627" t="str">
        <v>Travel</v>
      </c>
      <c r="Z627" t="str">
        <v>Friends_only</v>
      </c>
      <c r="AA627" t="str">
        <v>Yes</v>
      </c>
      <c r="AB627" t="str">
        <v>Yes</v>
      </c>
      <c r="AC627">
        <v>0</v>
      </c>
      <c r="AD627" t="str">
        <v>Premium</v>
      </c>
      <c r="AE627">
        <v>1.1299999999999999</v>
      </c>
      <c r="AF627" s="14">
        <f t="shared" si="9"/>
        <v>0.58325581395348836</v>
      </c>
    </row>
    <row r="628" spans="1:32" x14ac:dyDescent="0.2">
      <c r="A628">
        <v>627</v>
      </c>
      <c r="B628" cm="1">
        <f t="array" ref="B628:AE628">_xlfn.XLOOKUP($A628,Instagram_Usage_Lifestyle_Mini_!$A:$A,Instagram_Usage_Lifestyle_Mini_!$AC:$BF)</f>
        <v>5</v>
      </c>
      <c r="C628">
        <v>1</v>
      </c>
      <c r="D628">
        <v>1</v>
      </c>
      <c r="E628">
        <v>45</v>
      </c>
      <c r="F628">
        <v>24</v>
      </c>
      <c r="G628">
        <v>31</v>
      </c>
      <c r="H628">
        <v>7</v>
      </c>
      <c r="I628">
        <v>8</v>
      </c>
      <c r="J628">
        <v>6</v>
      </c>
      <c r="K628">
        <v>1</v>
      </c>
      <c r="L628">
        <v>0</v>
      </c>
      <c r="M628">
        <v>2</v>
      </c>
      <c r="N628">
        <v>1</v>
      </c>
      <c r="O628">
        <v>1</v>
      </c>
      <c r="P628">
        <v>1</v>
      </c>
      <c r="Q628">
        <v>524</v>
      </c>
      <c r="R628">
        <v>561</v>
      </c>
      <c r="S628" t="str">
        <v>No</v>
      </c>
      <c r="T628">
        <v>0.57999999999999996</v>
      </c>
      <c r="U628">
        <v>2012</v>
      </c>
      <c r="V628">
        <v>45844</v>
      </c>
      <c r="W628">
        <v>5</v>
      </c>
      <c r="X628" t="str">
        <v>Reels</v>
      </c>
      <c r="Y628" t="str">
        <v>Fitness</v>
      </c>
      <c r="Z628" t="str">
        <v>Private</v>
      </c>
      <c r="AA628" t="str">
        <v>No</v>
      </c>
      <c r="AB628" t="str">
        <v>Yes</v>
      </c>
      <c r="AC628">
        <v>3</v>
      </c>
      <c r="AD628" t="str">
        <v>Business</v>
      </c>
      <c r="AE628">
        <v>8</v>
      </c>
      <c r="AF628" s="14">
        <f t="shared" si="9"/>
        <v>0.93404634581105173</v>
      </c>
    </row>
    <row r="629" spans="1:32" x14ac:dyDescent="0.2">
      <c r="A629">
        <v>628</v>
      </c>
      <c r="B629" cm="1">
        <f t="array" ref="B629:AE629">_xlfn.XLOOKUP($A629,Instagram_Usage_Lifestyle_Mini_!$A:$A,Instagram_Usage_Lifestyle_Mini_!$AC:$BF)</f>
        <v>428</v>
      </c>
      <c r="C629">
        <v>17</v>
      </c>
      <c r="D629">
        <v>11</v>
      </c>
      <c r="E629">
        <v>292</v>
      </c>
      <c r="F629">
        <v>150</v>
      </c>
      <c r="G629">
        <v>224</v>
      </c>
      <c r="H629">
        <v>66</v>
      </c>
      <c r="I629">
        <v>43</v>
      </c>
      <c r="J629">
        <v>70</v>
      </c>
      <c r="K629">
        <v>38</v>
      </c>
      <c r="L629">
        <v>14</v>
      </c>
      <c r="M629">
        <v>241</v>
      </c>
      <c r="N629">
        <v>118</v>
      </c>
      <c r="O629">
        <v>95</v>
      </c>
      <c r="P629">
        <v>135</v>
      </c>
      <c r="Q629">
        <v>2524</v>
      </c>
      <c r="R629">
        <v>1216</v>
      </c>
      <c r="S629" t="str">
        <v>No</v>
      </c>
      <c r="T629">
        <v>0.51</v>
      </c>
      <c r="U629">
        <v>2020</v>
      </c>
      <c r="V629">
        <v>45682</v>
      </c>
      <c r="W629">
        <v>25.2</v>
      </c>
      <c r="X629" t="str">
        <v>Reels</v>
      </c>
      <c r="Y629" t="str">
        <v>Fashion</v>
      </c>
      <c r="Z629" t="str">
        <v>Friends_only</v>
      </c>
      <c r="AA629" t="str">
        <v>No</v>
      </c>
      <c r="AB629" t="str">
        <v>Yes</v>
      </c>
      <c r="AC629">
        <v>2</v>
      </c>
      <c r="AD629" t="str">
        <v>Business</v>
      </c>
      <c r="AE629">
        <v>0.91</v>
      </c>
      <c r="AF629" s="14">
        <f t="shared" si="9"/>
        <v>2.075657894736842</v>
      </c>
    </row>
    <row r="630" spans="1:32" x14ac:dyDescent="0.2">
      <c r="A630">
        <v>629</v>
      </c>
      <c r="B630" cm="1">
        <f t="array" ref="B630:AE630">_xlfn.XLOOKUP($A630,Instagram_Usage_Lifestyle_Mini_!$A:$A,Instagram_Usage_Lifestyle_Mini_!$AC:$BF)</f>
        <v>192</v>
      </c>
      <c r="C630">
        <v>7</v>
      </c>
      <c r="D630">
        <v>3</v>
      </c>
      <c r="E630">
        <v>153</v>
      </c>
      <c r="F630">
        <v>87</v>
      </c>
      <c r="G630">
        <v>132</v>
      </c>
      <c r="H630">
        <v>45</v>
      </c>
      <c r="I630">
        <v>28</v>
      </c>
      <c r="J630">
        <v>24</v>
      </c>
      <c r="K630">
        <v>10</v>
      </c>
      <c r="L630">
        <v>5</v>
      </c>
      <c r="M630">
        <v>100</v>
      </c>
      <c r="N630">
        <v>22</v>
      </c>
      <c r="O630">
        <v>25</v>
      </c>
      <c r="P630">
        <v>61</v>
      </c>
      <c r="Q630">
        <v>875</v>
      </c>
      <c r="R630">
        <v>704</v>
      </c>
      <c r="S630" t="str">
        <v>No</v>
      </c>
      <c r="T630">
        <v>0.6</v>
      </c>
      <c r="U630">
        <v>2018</v>
      </c>
      <c r="V630">
        <v>45947</v>
      </c>
      <c r="W630">
        <v>27.4</v>
      </c>
      <c r="X630" t="str">
        <v>Photos</v>
      </c>
      <c r="Y630" t="str">
        <v>Fitness</v>
      </c>
      <c r="Z630" t="str">
        <v>Friends_only</v>
      </c>
      <c r="AA630" t="str">
        <v>No</v>
      </c>
      <c r="AB630" t="str">
        <v>No</v>
      </c>
      <c r="AC630">
        <v>1</v>
      </c>
      <c r="AD630" t="str">
        <v>Free</v>
      </c>
      <c r="AE630">
        <v>1.2</v>
      </c>
      <c r="AF630" s="14">
        <f t="shared" si="9"/>
        <v>1.2428977272727273</v>
      </c>
    </row>
    <row r="631" spans="1:32" x14ac:dyDescent="0.2">
      <c r="A631">
        <v>630</v>
      </c>
      <c r="B631" cm="1">
        <f t="array" ref="B631:AE631">_xlfn.XLOOKUP($A631,Instagram_Usage_Lifestyle_Mini_!$A:$A,Instagram_Usage_Lifestyle_Mini_!$AC:$BF)</f>
        <v>165</v>
      </c>
      <c r="C631">
        <v>12</v>
      </c>
      <c r="D631">
        <v>2</v>
      </c>
      <c r="E631">
        <v>143</v>
      </c>
      <c r="F631">
        <v>100</v>
      </c>
      <c r="G631">
        <v>128</v>
      </c>
      <c r="H631">
        <v>35</v>
      </c>
      <c r="I631">
        <v>30</v>
      </c>
      <c r="J631">
        <v>27</v>
      </c>
      <c r="K631">
        <v>20</v>
      </c>
      <c r="L631">
        <v>3</v>
      </c>
      <c r="M631">
        <v>91</v>
      </c>
      <c r="N631">
        <v>28</v>
      </c>
      <c r="O631">
        <v>20</v>
      </c>
      <c r="P631">
        <v>44</v>
      </c>
      <c r="Q631">
        <v>2657</v>
      </c>
      <c r="R631">
        <v>5280</v>
      </c>
      <c r="S631" t="str">
        <v>No</v>
      </c>
      <c r="T631">
        <v>0.81</v>
      </c>
      <c r="U631">
        <v>2017</v>
      </c>
      <c r="V631">
        <v>45766</v>
      </c>
      <c r="W631">
        <v>13.8</v>
      </c>
      <c r="X631" t="str">
        <v>Videos</v>
      </c>
      <c r="Y631" t="str">
        <v>Other</v>
      </c>
      <c r="Z631" t="str">
        <v>Friends_only</v>
      </c>
      <c r="AA631" t="str">
        <v>Yes</v>
      </c>
      <c r="AB631" t="str">
        <v>Yes</v>
      </c>
      <c r="AC631">
        <v>2</v>
      </c>
      <c r="AD631" t="str">
        <v>Free</v>
      </c>
      <c r="AE631">
        <v>1.23</v>
      </c>
      <c r="AF631" s="14">
        <f t="shared" si="9"/>
        <v>0.50321969696969693</v>
      </c>
    </row>
    <row r="632" spans="1:32" x14ac:dyDescent="0.2">
      <c r="A632">
        <v>631</v>
      </c>
      <c r="B632" cm="1">
        <f t="array" ref="B632:AE632">_xlfn.XLOOKUP($A632,Instagram_Usage_Lifestyle_Mini_!$A:$A,Instagram_Usage_Lifestyle_Mini_!$AC:$BF)</f>
        <v>250</v>
      </c>
      <c r="C632">
        <v>19</v>
      </c>
      <c r="D632">
        <v>8</v>
      </c>
      <c r="E632">
        <v>172</v>
      </c>
      <c r="F632">
        <v>136</v>
      </c>
      <c r="G632">
        <v>151</v>
      </c>
      <c r="H632">
        <v>50</v>
      </c>
      <c r="I632">
        <v>42</v>
      </c>
      <c r="J632">
        <v>35</v>
      </c>
      <c r="K632">
        <v>34</v>
      </c>
      <c r="L632">
        <v>7</v>
      </c>
      <c r="M632">
        <v>120</v>
      </c>
      <c r="N632">
        <v>70</v>
      </c>
      <c r="O632">
        <v>38</v>
      </c>
      <c r="P632">
        <v>77</v>
      </c>
      <c r="Q632">
        <v>642</v>
      </c>
      <c r="R632">
        <v>749</v>
      </c>
      <c r="S632" t="str">
        <v>No</v>
      </c>
      <c r="T632">
        <v>0.54</v>
      </c>
      <c r="U632">
        <v>2014</v>
      </c>
      <c r="V632">
        <v>45699</v>
      </c>
      <c r="W632">
        <v>13.2</v>
      </c>
      <c r="X632" t="str">
        <v>Live</v>
      </c>
      <c r="Y632" t="str">
        <v>Travel</v>
      </c>
      <c r="Z632" t="str">
        <v>Friends_only</v>
      </c>
      <c r="AA632" t="str">
        <v>Yes</v>
      </c>
      <c r="AB632" t="str">
        <v>Yes</v>
      </c>
      <c r="AC632">
        <v>3</v>
      </c>
      <c r="AD632" t="str">
        <v>Free</v>
      </c>
      <c r="AE632">
        <v>1.1000000000000001</v>
      </c>
      <c r="AF632" s="14">
        <f t="shared" si="9"/>
        <v>0.8571428571428571</v>
      </c>
    </row>
    <row r="633" spans="1:32" x14ac:dyDescent="0.2">
      <c r="A633">
        <v>632</v>
      </c>
      <c r="B633" cm="1">
        <f t="array" ref="B633:AE633">_xlfn.XLOOKUP($A633,Instagram_Usage_Lifestyle_Mini_!$A:$A,Instagram_Usage_Lifestyle_Mini_!$AC:$BF)</f>
        <v>376</v>
      </c>
      <c r="C633">
        <v>22</v>
      </c>
      <c r="D633">
        <v>6</v>
      </c>
      <c r="E633">
        <v>239</v>
      </c>
      <c r="F633">
        <v>150</v>
      </c>
      <c r="G633">
        <v>229</v>
      </c>
      <c r="H633">
        <v>52</v>
      </c>
      <c r="I633">
        <v>42</v>
      </c>
      <c r="J633">
        <v>52</v>
      </c>
      <c r="K633">
        <v>38</v>
      </c>
      <c r="L633">
        <v>16</v>
      </c>
      <c r="M633">
        <v>213</v>
      </c>
      <c r="N633">
        <v>104</v>
      </c>
      <c r="O633">
        <v>51</v>
      </c>
      <c r="P633">
        <v>144</v>
      </c>
      <c r="Q633">
        <v>668</v>
      </c>
      <c r="R633">
        <v>424</v>
      </c>
      <c r="S633" t="str">
        <v>No</v>
      </c>
      <c r="T633">
        <v>0.41</v>
      </c>
      <c r="U633">
        <v>2019</v>
      </c>
      <c r="V633">
        <v>45839</v>
      </c>
      <c r="W633">
        <v>17.100000000000001</v>
      </c>
      <c r="X633" t="str">
        <v>Photos</v>
      </c>
      <c r="Y633" t="str">
        <v>Fashion</v>
      </c>
      <c r="Z633" t="str">
        <v>Private</v>
      </c>
      <c r="AA633" t="str">
        <v>Yes</v>
      </c>
      <c r="AB633" t="str">
        <v>Yes</v>
      </c>
      <c r="AC633">
        <v>1</v>
      </c>
      <c r="AD633" t="str">
        <v>Free</v>
      </c>
      <c r="AE633">
        <v>0.93</v>
      </c>
      <c r="AF633" s="14">
        <f t="shared" si="9"/>
        <v>1.5754716981132075</v>
      </c>
    </row>
    <row r="634" spans="1:32" x14ac:dyDescent="0.2">
      <c r="A634">
        <v>633</v>
      </c>
      <c r="B634" cm="1">
        <f t="array" ref="B634:AE634">_xlfn.XLOOKUP($A634,Instagram_Usage_Lifestyle_Mini_!$A:$A,Instagram_Usage_Lifestyle_Mini_!$AC:$BF)</f>
        <v>166</v>
      </c>
      <c r="C634">
        <v>5</v>
      </c>
      <c r="D634">
        <v>1</v>
      </c>
      <c r="E634">
        <v>136</v>
      </c>
      <c r="F634">
        <v>104</v>
      </c>
      <c r="G634">
        <v>95</v>
      </c>
      <c r="H634">
        <v>33</v>
      </c>
      <c r="I634">
        <v>28</v>
      </c>
      <c r="J634">
        <v>30</v>
      </c>
      <c r="K634">
        <v>14</v>
      </c>
      <c r="L634">
        <v>4</v>
      </c>
      <c r="M634">
        <v>87</v>
      </c>
      <c r="N634">
        <v>49</v>
      </c>
      <c r="O634">
        <v>36</v>
      </c>
      <c r="P634">
        <v>56</v>
      </c>
      <c r="Q634">
        <v>1176</v>
      </c>
      <c r="R634">
        <v>2632</v>
      </c>
      <c r="S634" t="str">
        <v>Yes</v>
      </c>
      <c r="T634">
        <v>0.49</v>
      </c>
      <c r="U634">
        <v>2013</v>
      </c>
      <c r="V634">
        <v>45693</v>
      </c>
      <c r="W634">
        <v>33.200000000000003</v>
      </c>
      <c r="X634" t="str">
        <v>Photos</v>
      </c>
      <c r="Y634" t="str">
        <v>Music</v>
      </c>
      <c r="Z634" t="str">
        <v>Private</v>
      </c>
      <c r="AA634" t="str">
        <v>No</v>
      </c>
      <c r="AB634" t="str">
        <v>Yes</v>
      </c>
      <c r="AC634">
        <v>1</v>
      </c>
      <c r="AD634" t="str">
        <v>Premium</v>
      </c>
      <c r="AE634">
        <v>0.98</v>
      </c>
      <c r="AF634" s="14">
        <f t="shared" si="9"/>
        <v>0.44680851063829785</v>
      </c>
    </row>
    <row r="635" spans="1:32" x14ac:dyDescent="0.2">
      <c r="A635">
        <v>634</v>
      </c>
      <c r="B635" cm="1">
        <f t="array" ref="B635:AE635">_xlfn.XLOOKUP($A635,Instagram_Usage_Lifestyle_Mini_!$A:$A,Instagram_Usage_Lifestyle_Mini_!$AC:$BF)</f>
        <v>272</v>
      </c>
      <c r="C635">
        <v>15</v>
      </c>
      <c r="D635">
        <v>8</v>
      </c>
      <c r="E635">
        <v>289</v>
      </c>
      <c r="F635">
        <v>141</v>
      </c>
      <c r="G635">
        <v>194</v>
      </c>
      <c r="H635">
        <v>43</v>
      </c>
      <c r="I635">
        <v>36</v>
      </c>
      <c r="J635">
        <v>41</v>
      </c>
      <c r="K635">
        <v>29</v>
      </c>
      <c r="L635">
        <v>3</v>
      </c>
      <c r="M635">
        <v>121</v>
      </c>
      <c r="N635">
        <v>31</v>
      </c>
      <c r="O635">
        <v>60</v>
      </c>
      <c r="P635">
        <v>93</v>
      </c>
      <c r="Q635">
        <v>1717</v>
      </c>
      <c r="R635">
        <v>3901</v>
      </c>
      <c r="S635" t="str">
        <v>No</v>
      </c>
      <c r="T635">
        <v>0.33</v>
      </c>
      <c r="U635">
        <v>2014</v>
      </c>
      <c r="V635">
        <v>45743</v>
      </c>
      <c r="W635">
        <v>18.100000000000001</v>
      </c>
      <c r="X635" t="str">
        <v>Reels</v>
      </c>
      <c r="Y635" t="str">
        <v>Tech</v>
      </c>
      <c r="Z635" t="str">
        <v>Private</v>
      </c>
      <c r="AA635" t="str">
        <v>Yes</v>
      </c>
      <c r="AB635" t="str">
        <v>No</v>
      </c>
      <c r="AC635">
        <v>4</v>
      </c>
      <c r="AD635" t="str">
        <v>Business</v>
      </c>
      <c r="AE635">
        <v>1.1100000000000001</v>
      </c>
      <c r="AF635" s="14">
        <f t="shared" si="9"/>
        <v>0.44014355293514484</v>
      </c>
    </row>
    <row r="636" spans="1:32" x14ac:dyDescent="0.2">
      <c r="A636">
        <v>635</v>
      </c>
      <c r="B636" cm="1">
        <f t="array" ref="B636:AE636">_xlfn.XLOOKUP($A636,Instagram_Usage_Lifestyle_Mini_!$A:$A,Instagram_Usage_Lifestyle_Mini_!$AC:$BF)</f>
        <v>5</v>
      </c>
      <c r="C636">
        <v>1</v>
      </c>
      <c r="D636">
        <v>1</v>
      </c>
      <c r="E636">
        <v>51</v>
      </c>
      <c r="F636">
        <v>40</v>
      </c>
      <c r="G636">
        <v>24</v>
      </c>
      <c r="H636">
        <v>2</v>
      </c>
      <c r="I636">
        <v>10</v>
      </c>
      <c r="J636">
        <v>7</v>
      </c>
      <c r="K636">
        <v>6</v>
      </c>
      <c r="L636">
        <v>3</v>
      </c>
      <c r="M636">
        <v>3</v>
      </c>
      <c r="N636">
        <v>1</v>
      </c>
      <c r="O636">
        <v>1</v>
      </c>
      <c r="P636">
        <v>1</v>
      </c>
      <c r="Q636">
        <v>6264</v>
      </c>
      <c r="R636">
        <v>5889</v>
      </c>
      <c r="S636" t="str">
        <v>Yes</v>
      </c>
      <c r="T636">
        <v>0.53</v>
      </c>
      <c r="U636">
        <v>2019</v>
      </c>
      <c r="V636">
        <v>45741</v>
      </c>
      <c r="W636">
        <v>5</v>
      </c>
      <c r="X636" t="str">
        <v>Photos</v>
      </c>
      <c r="Y636" t="str">
        <v>Travel</v>
      </c>
      <c r="Z636" t="str">
        <v>Private</v>
      </c>
      <c r="AA636" t="str">
        <v>Yes</v>
      </c>
      <c r="AB636" t="str">
        <v>No</v>
      </c>
      <c r="AC636">
        <v>2</v>
      </c>
      <c r="AD636" t="str">
        <v>Premium</v>
      </c>
      <c r="AE636">
        <v>5.17</v>
      </c>
      <c r="AF636" s="14">
        <f t="shared" si="9"/>
        <v>1.0636780438104942</v>
      </c>
    </row>
    <row r="637" spans="1:32" x14ac:dyDescent="0.2">
      <c r="A637">
        <v>636</v>
      </c>
      <c r="B637" cm="1">
        <f t="array" ref="B637:AE637">_xlfn.XLOOKUP($A637,Instagram_Usage_Lifestyle_Mini_!$A:$A,Instagram_Usage_Lifestyle_Mini_!$AC:$BF)</f>
        <v>184</v>
      </c>
      <c r="C637">
        <v>8</v>
      </c>
      <c r="D637">
        <v>2</v>
      </c>
      <c r="E637">
        <v>237</v>
      </c>
      <c r="F637">
        <v>101</v>
      </c>
      <c r="G637">
        <v>118</v>
      </c>
      <c r="H637">
        <v>37</v>
      </c>
      <c r="I637">
        <v>31</v>
      </c>
      <c r="J637">
        <v>40</v>
      </c>
      <c r="K637">
        <v>27</v>
      </c>
      <c r="L637">
        <v>4</v>
      </c>
      <c r="M637">
        <v>97</v>
      </c>
      <c r="N637">
        <v>41</v>
      </c>
      <c r="O637">
        <v>38</v>
      </c>
      <c r="P637">
        <v>41</v>
      </c>
      <c r="Q637">
        <v>753</v>
      </c>
      <c r="R637">
        <v>1800</v>
      </c>
      <c r="S637" t="str">
        <v>Yes</v>
      </c>
      <c r="T637">
        <v>0.39</v>
      </c>
      <c r="U637">
        <v>2024</v>
      </c>
      <c r="V637">
        <v>45680</v>
      </c>
      <c r="W637">
        <v>23</v>
      </c>
      <c r="X637" t="str">
        <v>Stories</v>
      </c>
      <c r="Y637" t="str">
        <v>Tech</v>
      </c>
      <c r="Z637" t="str">
        <v>Private</v>
      </c>
      <c r="AA637" t="str">
        <v>Yes</v>
      </c>
      <c r="AB637" t="str">
        <v>Yes</v>
      </c>
      <c r="AC637">
        <v>0</v>
      </c>
      <c r="AD637" t="str">
        <v>Free</v>
      </c>
      <c r="AE637">
        <v>1.07</v>
      </c>
      <c r="AF637" s="14">
        <f t="shared" si="9"/>
        <v>0.41833333333333333</v>
      </c>
    </row>
    <row r="638" spans="1:32" x14ac:dyDescent="0.2">
      <c r="A638">
        <v>637</v>
      </c>
      <c r="B638" cm="1">
        <f t="array" ref="B638:AE638">_xlfn.XLOOKUP($A638,Instagram_Usage_Lifestyle_Mini_!$A:$A,Instagram_Usage_Lifestyle_Mini_!$AC:$BF)</f>
        <v>272</v>
      </c>
      <c r="C638">
        <v>10</v>
      </c>
      <c r="D638">
        <v>8</v>
      </c>
      <c r="E638">
        <v>201</v>
      </c>
      <c r="F638">
        <v>150</v>
      </c>
      <c r="G638">
        <v>172</v>
      </c>
      <c r="H638">
        <v>44</v>
      </c>
      <c r="I638">
        <v>43</v>
      </c>
      <c r="J638">
        <v>46</v>
      </c>
      <c r="K638">
        <v>30</v>
      </c>
      <c r="L638">
        <v>10</v>
      </c>
      <c r="M638">
        <v>137</v>
      </c>
      <c r="N638">
        <v>33</v>
      </c>
      <c r="O638">
        <v>30</v>
      </c>
      <c r="P638">
        <v>75</v>
      </c>
      <c r="Q638">
        <v>352</v>
      </c>
      <c r="R638">
        <v>689</v>
      </c>
      <c r="S638" t="str">
        <v>No</v>
      </c>
      <c r="T638">
        <v>0.91</v>
      </c>
      <c r="U638">
        <v>2023</v>
      </c>
      <c r="V638">
        <v>45709</v>
      </c>
      <c r="W638">
        <v>27.2</v>
      </c>
      <c r="X638" t="str">
        <v>Mixed</v>
      </c>
      <c r="Y638" t="str">
        <v>Travel</v>
      </c>
      <c r="Z638" t="str">
        <v>Public</v>
      </c>
      <c r="AA638" t="str">
        <v>Yes</v>
      </c>
      <c r="AB638" t="str">
        <v>Yes</v>
      </c>
      <c r="AC638">
        <v>2</v>
      </c>
      <c r="AD638" t="str">
        <v>Free</v>
      </c>
      <c r="AE638">
        <v>1.04</v>
      </c>
      <c r="AF638" s="14">
        <f t="shared" si="9"/>
        <v>0.51088534107402028</v>
      </c>
    </row>
    <row r="639" spans="1:32" x14ac:dyDescent="0.2">
      <c r="A639">
        <v>638</v>
      </c>
      <c r="B639" cm="1">
        <f t="array" ref="B639:AE639">_xlfn.XLOOKUP($A639,Instagram_Usage_Lifestyle_Mini_!$A:$A,Instagram_Usage_Lifestyle_Mini_!$AC:$BF)</f>
        <v>228</v>
      </c>
      <c r="C639">
        <v>28</v>
      </c>
      <c r="D639">
        <v>13</v>
      </c>
      <c r="E639">
        <v>165</v>
      </c>
      <c r="F639">
        <v>114</v>
      </c>
      <c r="G639">
        <v>134</v>
      </c>
      <c r="H639">
        <v>40</v>
      </c>
      <c r="I639">
        <v>28</v>
      </c>
      <c r="J639">
        <v>42</v>
      </c>
      <c r="K639">
        <v>22</v>
      </c>
      <c r="L639">
        <v>1</v>
      </c>
      <c r="M639">
        <v>132</v>
      </c>
      <c r="N639">
        <v>63</v>
      </c>
      <c r="O639">
        <v>24</v>
      </c>
      <c r="P639">
        <v>78</v>
      </c>
      <c r="Q639">
        <v>4346</v>
      </c>
      <c r="R639">
        <v>10000</v>
      </c>
      <c r="S639" t="str">
        <v>No</v>
      </c>
      <c r="T639">
        <v>0.79</v>
      </c>
      <c r="U639">
        <v>2025</v>
      </c>
      <c r="V639">
        <v>45970</v>
      </c>
      <c r="W639">
        <v>8.1</v>
      </c>
      <c r="X639" t="str">
        <v>Live</v>
      </c>
      <c r="Y639" t="str">
        <v>Fitness</v>
      </c>
      <c r="Z639" t="str">
        <v>Public</v>
      </c>
      <c r="AA639" t="str">
        <v>Yes</v>
      </c>
      <c r="AB639" t="str">
        <v>Yes</v>
      </c>
      <c r="AC639">
        <v>4</v>
      </c>
      <c r="AD639" t="str">
        <v>Free</v>
      </c>
      <c r="AE639">
        <v>1.1000000000000001</v>
      </c>
      <c r="AF639" s="14">
        <f t="shared" si="9"/>
        <v>0.43459999999999999</v>
      </c>
    </row>
    <row r="640" spans="1:32" x14ac:dyDescent="0.2">
      <c r="A640">
        <v>639</v>
      </c>
      <c r="B640" cm="1">
        <f t="array" ref="B640:AE640">_xlfn.XLOOKUP($A640,Instagram_Usage_Lifestyle_Mini_!$A:$A,Instagram_Usage_Lifestyle_Mini_!$AC:$BF)</f>
        <v>295</v>
      </c>
      <c r="C640">
        <v>9</v>
      </c>
      <c r="D640">
        <v>6</v>
      </c>
      <c r="E640">
        <v>205</v>
      </c>
      <c r="F640">
        <v>134</v>
      </c>
      <c r="G640">
        <v>167</v>
      </c>
      <c r="H640">
        <v>48</v>
      </c>
      <c r="I640">
        <v>40</v>
      </c>
      <c r="J640">
        <v>51</v>
      </c>
      <c r="K640">
        <v>32</v>
      </c>
      <c r="L640">
        <v>7</v>
      </c>
      <c r="M640">
        <v>143</v>
      </c>
      <c r="N640">
        <v>88</v>
      </c>
      <c r="O640">
        <v>71</v>
      </c>
      <c r="P640">
        <v>112</v>
      </c>
      <c r="Q640">
        <v>846</v>
      </c>
      <c r="R640">
        <v>1833</v>
      </c>
      <c r="S640" t="str">
        <v>No</v>
      </c>
      <c r="T640">
        <v>0.79</v>
      </c>
      <c r="U640">
        <v>2011</v>
      </c>
      <c r="V640">
        <v>45756</v>
      </c>
      <c r="W640">
        <v>32.799999999999997</v>
      </c>
      <c r="X640" t="str">
        <v>Live</v>
      </c>
      <c r="Y640" t="str">
        <v>Other</v>
      </c>
      <c r="Z640" t="str">
        <v>Private</v>
      </c>
      <c r="AA640" t="str">
        <v>Yes</v>
      </c>
      <c r="AB640" t="str">
        <v>No</v>
      </c>
      <c r="AC640">
        <v>2</v>
      </c>
      <c r="AD640" t="str">
        <v>Free</v>
      </c>
      <c r="AE640">
        <v>0.95</v>
      </c>
      <c r="AF640" s="14">
        <f t="shared" si="9"/>
        <v>0.46153846153846156</v>
      </c>
    </row>
    <row r="641" spans="1:32" x14ac:dyDescent="0.2">
      <c r="A641">
        <v>640</v>
      </c>
      <c r="B641" cm="1">
        <f t="array" ref="B641:AE641">_xlfn.XLOOKUP($A641,Instagram_Usage_Lifestyle_Mini_!$A:$A,Instagram_Usage_Lifestyle_Mini_!$AC:$BF)</f>
        <v>284</v>
      </c>
      <c r="C641">
        <v>24</v>
      </c>
      <c r="D641">
        <v>8</v>
      </c>
      <c r="E641">
        <v>215</v>
      </c>
      <c r="F641">
        <v>150</v>
      </c>
      <c r="G641">
        <v>168</v>
      </c>
      <c r="H641">
        <v>54</v>
      </c>
      <c r="I641">
        <v>29</v>
      </c>
      <c r="J641">
        <v>41</v>
      </c>
      <c r="K641">
        <v>36</v>
      </c>
      <c r="L641">
        <v>9</v>
      </c>
      <c r="M641">
        <v>168</v>
      </c>
      <c r="N641">
        <v>58</v>
      </c>
      <c r="O641">
        <v>46</v>
      </c>
      <c r="P641">
        <v>67</v>
      </c>
      <c r="Q641">
        <v>1388</v>
      </c>
      <c r="R641">
        <v>1354</v>
      </c>
      <c r="S641" t="str">
        <v>No</v>
      </c>
      <c r="T641">
        <v>0.02</v>
      </c>
      <c r="U641">
        <v>2011</v>
      </c>
      <c r="V641">
        <v>45873</v>
      </c>
      <c r="W641">
        <v>11.8</v>
      </c>
      <c r="X641" t="str">
        <v>Reels</v>
      </c>
      <c r="Y641" t="str">
        <v>Art</v>
      </c>
      <c r="Z641" t="str">
        <v>Private</v>
      </c>
      <c r="AA641" t="str">
        <v>Yes</v>
      </c>
      <c r="AB641" t="str">
        <v>No</v>
      </c>
      <c r="AC641">
        <v>3</v>
      </c>
      <c r="AD641" t="str">
        <v>Premium</v>
      </c>
      <c r="AE641">
        <v>1.05</v>
      </c>
      <c r="AF641" s="14">
        <f t="shared" si="9"/>
        <v>1.0251107828655834</v>
      </c>
    </row>
    <row r="642" spans="1:32" x14ac:dyDescent="0.2">
      <c r="A642">
        <v>641</v>
      </c>
      <c r="B642" cm="1">
        <f t="array" ref="B642:AE642">_xlfn.XLOOKUP($A642,Instagram_Usage_Lifestyle_Mini_!$A:$A,Instagram_Usage_Lifestyle_Mini_!$AC:$BF)</f>
        <v>42</v>
      </c>
      <c r="C642">
        <v>3</v>
      </c>
      <c r="D642">
        <v>2</v>
      </c>
      <c r="E642">
        <v>70</v>
      </c>
      <c r="F642">
        <v>51</v>
      </c>
      <c r="G642">
        <v>61</v>
      </c>
      <c r="H642">
        <v>10</v>
      </c>
      <c r="I642">
        <v>17</v>
      </c>
      <c r="J642">
        <v>10</v>
      </c>
      <c r="K642">
        <v>7</v>
      </c>
      <c r="L642">
        <v>0</v>
      </c>
      <c r="M642">
        <v>25</v>
      </c>
      <c r="N642">
        <v>9</v>
      </c>
      <c r="O642">
        <v>6</v>
      </c>
      <c r="P642">
        <v>10</v>
      </c>
      <c r="Q642">
        <v>699</v>
      </c>
      <c r="R642">
        <v>1548</v>
      </c>
      <c r="S642" t="str">
        <v>No</v>
      </c>
      <c r="T642">
        <v>0.23</v>
      </c>
      <c r="U642">
        <v>2025</v>
      </c>
      <c r="V642">
        <v>45731</v>
      </c>
      <c r="W642">
        <v>14</v>
      </c>
      <c r="X642" t="str">
        <v>Live</v>
      </c>
      <c r="Y642" t="str">
        <v>Travel</v>
      </c>
      <c r="Z642" t="str">
        <v>Public</v>
      </c>
      <c r="AA642" t="str">
        <v>No</v>
      </c>
      <c r="AB642" t="str">
        <v>Yes</v>
      </c>
      <c r="AC642">
        <v>1</v>
      </c>
      <c r="AD642" t="str">
        <v>Free</v>
      </c>
      <c r="AE642">
        <v>2.02</v>
      </c>
      <c r="AF642" s="14">
        <f t="shared" si="9"/>
        <v>0.45155038759689925</v>
      </c>
    </row>
    <row r="643" spans="1:32" x14ac:dyDescent="0.2">
      <c r="A643">
        <v>642</v>
      </c>
      <c r="B643" cm="1">
        <f t="array" ref="B643:AE643">_xlfn.XLOOKUP($A643,Instagram_Usage_Lifestyle_Mini_!$A:$A,Instagram_Usage_Lifestyle_Mini_!$AC:$BF)</f>
        <v>180</v>
      </c>
      <c r="C643">
        <v>14</v>
      </c>
      <c r="D643">
        <v>1</v>
      </c>
      <c r="E643">
        <v>200</v>
      </c>
      <c r="F643">
        <v>106</v>
      </c>
      <c r="G643">
        <v>105</v>
      </c>
      <c r="H643">
        <v>41</v>
      </c>
      <c r="I643">
        <v>31</v>
      </c>
      <c r="J643">
        <v>46</v>
      </c>
      <c r="K643">
        <v>16</v>
      </c>
      <c r="L643">
        <v>2</v>
      </c>
      <c r="M643">
        <v>78</v>
      </c>
      <c r="N643">
        <v>53</v>
      </c>
      <c r="O643">
        <v>23</v>
      </c>
      <c r="P643">
        <v>69</v>
      </c>
      <c r="Q643">
        <v>4402</v>
      </c>
      <c r="R643">
        <v>5286</v>
      </c>
      <c r="S643" t="str">
        <v>No</v>
      </c>
      <c r="T643">
        <v>0.15</v>
      </c>
      <c r="U643">
        <v>2011</v>
      </c>
      <c r="V643">
        <v>45703</v>
      </c>
      <c r="W643">
        <v>12.9</v>
      </c>
      <c r="X643" t="str">
        <v>Reels</v>
      </c>
      <c r="Y643" t="str">
        <v>Fashion</v>
      </c>
      <c r="Z643" t="str">
        <v>Private</v>
      </c>
      <c r="AA643" t="str">
        <v>Yes</v>
      </c>
      <c r="AB643" t="str">
        <v>Yes</v>
      </c>
      <c r="AC643">
        <v>4</v>
      </c>
      <c r="AD643" t="str">
        <v>Free</v>
      </c>
      <c r="AE643">
        <v>1.05</v>
      </c>
      <c r="AF643" s="14">
        <f t="shared" ref="AF643:AF706" si="10">IF(R643=0,0,Q643/R643)</f>
        <v>0.83276579644343551</v>
      </c>
    </row>
    <row r="644" spans="1:32" x14ac:dyDescent="0.2">
      <c r="A644">
        <v>643</v>
      </c>
      <c r="B644" cm="1">
        <f t="array" ref="B644:AE644">_xlfn.XLOOKUP($A644,Instagram_Usage_Lifestyle_Mini_!$A:$A,Instagram_Usage_Lifestyle_Mini_!$AC:$BF)</f>
        <v>297</v>
      </c>
      <c r="C644">
        <v>10</v>
      </c>
      <c r="D644">
        <v>6</v>
      </c>
      <c r="E644">
        <v>219</v>
      </c>
      <c r="F644">
        <v>140</v>
      </c>
      <c r="G644">
        <v>177</v>
      </c>
      <c r="H644">
        <v>50</v>
      </c>
      <c r="I644">
        <v>45</v>
      </c>
      <c r="J644">
        <v>36</v>
      </c>
      <c r="K644">
        <v>31</v>
      </c>
      <c r="L644">
        <v>8</v>
      </c>
      <c r="M644">
        <v>149</v>
      </c>
      <c r="N644">
        <v>87</v>
      </c>
      <c r="O644">
        <v>44</v>
      </c>
      <c r="P644">
        <v>90</v>
      </c>
      <c r="Q644">
        <v>1965</v>
      </c>
      <c r="R644">
        <v>3609</v>
      </c>
      <c r="S644" t="str">
        <v>No</v>
      </c>
      <c r="T644">
        <v>0.3</v>
      </c>
      <c r="U644">
        <v>2025</v>
      </c>
      <c r="V644">
        <v>45929</v>
      </c>
      <c r="W644">
        <v>29.7</v>
      </c>
      <c r="X644" t="str">
        <v>Live</v>
      </c>
      <c r="Y644" t="str">
        <v>Other</v>
      </c>
      <c r="Z644" t="str">
        <v>Friends_only</v>
      </c>
      <c r="AA644" t="str">
        <v>Yes</v>
      </c>
      <c r="AB644" t="str">
        <v>No</v>
      </c>
      <c r="AC644">
        <v>3</v>
      </c>
      <c r="AD644" t="str">
        <v>Free</v>
      </c>
      <c r="AE644">
        <v>0.99</v>
      </c>
      <c r="AF644" s="14">
        <f t="shared" si="10"/>
        <v>0.54447215295095597</v>
      </c>
    </row>
    <row r="645" spans="1:32" x14ac:dyDescent="0.2">
      <c r="A645">
        <v>644</v>
      </c>
      <c r="B645" cm="1">
        <f t="array" ref="B645:AE645">_xlfn.XLOOKUP($A645,Instagram_Usage_Lifestyle_Mini_!$A:$A,Instagram_Usage_Lifestyle_Mini_!$AC:$BF)</f>
        <v>252</v>
      </c>
      <c r="C645">
        <v>15</v>
      </c>
      <c r="D645">
        <v>5</v>
      </c>
      <c r="E645">
        <v>191</v>
      </c>
      <c r="F645">
        <v>125</v>
      </c>
      <c r="G645">
        <v>163</v>
      </c>
      <c r="H645">
        <v>54</v>
      </c>
      <c r="I645">
        <v>39</v>
      </c>
      <c r="J645">
        <v>34</v>
      </c>
      <c r="K645">
        <v>24</v>
      </c>
      <c r="L645">
        <v>9</v>
      </c>
      <c r="M645">
        <v>135</v>
      </c>
      <c r="N645">
        <v>48</v>
      </c>
      <c r="O645">
        <v>28</v>
      </c>
      <c r="P645">
        <v>85</v>
      </c>
      <c r="Q645">
        <v>627</v>
      </c>
      <c r="R645">
        <v>1090</v>
      </c>
      <c r="S645" t="str">
        <v>No</v>
      </c>
      <c r="T645">
        <v>0.82</v>
      </c>
      <c r="U645">
        <v>2021</v>
      </c>
      <c r="V645">
        <v>45662</v>
      </c>
      <c r="W645">
        <v>16.8</v>
      </c>
      <c r="X645" t="str">
        <v>Videos</v>
      </c>
      <c r="Y645" t="str">
        <v>Art</v>
      </c>
      <c r="Z645" t="str">
        <v>Public</v>
      </c>
      <c r="AA645" t="str">
        <v>Yes</v>
      </c>
      <c r="AB645" t="str">
        <v>No</v>
      </c>
      <c r="AC645">
        <v>3</v>
      </c>
      <c r="AD645" t="str">
        <v>Free</v>
      </c>
      <c r="AE645">
        <v>1.1299999999999999</v>
      </c>
      <c r="AF645" s="14">
        <f t="shared" si="10"/>
        <v>0.57522935779816509</v>
      </c>
    </row>
    <row r="646" spans="1:32" x14ac:dyDescent="0.2">
      <c r="A646">
        <v>645</v>
      </c>
      <c r="B646" cm="1">
        <f t="array" ref="B646:AE646">_xlfn.XLOOKUP($A646,Instagram_Usage_Lifestyle_Mini_!$A:$A,Instagram_Usage_Lifestyle_Mini_!$AC:$BF)</f>
        <v>5</v>
      </c>
      <c r="C646">
        <v>1</v>
      </c>
      <c r="D646">
        <v>3</v>
      </c>
      <c r="E646">
        <v>41</v>
      </c>
      <c r="F646">
        <v>45</v>
      </c>
      <c r="G646">
        <v>20</v>
      </c>
      <c r="H646">
        <v>7</v>
      </c>
      <c r="I646">
        <v>12</v>
      </c>
      <c r="J646">
        <v>4</v>
      </c>
      <c r="K646">
        <v>6</v>
      </c>
      <c r="L646">
        <v>0</v>
      </c>
      <c r="M646">
        <v>3</v>
      </c>
      <c r="N646">
        <v>1</v>
      </c>
      <c r="O646">
        <v>1</v>
      </c>
      <c r="P646">
        <v>2</v>
      </c>
      <c r="Q646">
        <v>161</v>
      </c>
      <c r="R646">
        <v>394</v>
      </c>
      <c r="S646" t="str">
        <v>Yes</v>
      </c>
      <c r="T646">
        <v>0.21</v>
      </c>
      <c r="U646">
        <v>2013</v>
      </c>
      <c r="V646">
        <v>45783</v>
      </c>
      <c r="W646">
        <v>5</v>
      </c>
      <c r="X646" t="str">
        <v>Reels</v>
      </c>
      <c r="Y646" t="str">
        <v>Fitness</v>
      </c>
      <c r="Z646" t="str">
        <v>Private</v>
      </c>
      <c r="AA646" t="str">
        <v>Yes</v>
      </c>
      <c r="AB646" t="str">
        <v>Yes</v>
      </c>
      <c r="AC646">
        <v>0</v>
      </c>
      <c r="AD646" t="str">
        <v>Premium</v>
      </c>
      <c r="AE646">
        <v>7.17</v>
      </c>
      <c r="AF646" s="14">
        <f t="shared" si="10"/>
        <v>0.40862944162436549</v>
      </c>
    </row>
    <row r="647" spans="1:32" x14ac:dyDescent="0.2">
      <c r="A647">
        <v>646</v>
      </c>
      <c r="B647" cm="1">
        <f t="array" ref="B647:AE647">_xlfn.XLOOKUP($A647,Instagram_Usage_Lifestyle_Mini_!$A:$A,Instagram_Usage_Lifestyle_Mini_!$AC:$BF)</f>
        <v>411</v>
      </c>
      <c r="C647">
        <v>47</v>
      </c>
      <c r="D647">
        <v>4</v>
      </c>
      <c r="E647">
        <v>266</v>
      </c>
      <c r="F647">
        <v>150</v>
      </c>
      <c r="G647">
        <v>226</v>
      </c>
      <c r="H647">
        <v>74</v>
      </c>
      <c r="I647">
        <v>62</v>
      </c>
      <c r="J647">
        <v>48</v>
      </c>
      <c r="K647">
        <v>47</v>
      </c>
      <c r="L647">
        <v>8</v>
      </c>
      <c r="M647">
        <v>185</v>
      </c>
      <c r="N647">
        <v>60</v>
      </c>
      <c r="O647">
        <v>84</v>
      </c>
      <c r="P647">
        <v>132</v>
      </c>
      <c r="Q647">
        <v>542</v>
      </c>
      <c r="R647">
        <v>957</v>
      </c>
      <c r="S647" t="str">
        <v>No</v>
      </c>
      <c r="T647">
        <v>0.52</v>
      </c>
      <c r="U647">
        <v>2012</v>
      </c>
      <c r="V647">
        <v>45701</v>
      </c>
      <c r="W647">
        <v>8.6999999999999993</v>
      </c>
      <c r="X647" t="str">
        <v>Mixed</v>
      </c>
      <c r="Y647" t="str">
        <v>Music</v>
      </c>
      <c r="Z647" t="str">
        <v>Private</v>
      </c>
      <c r="AA647" t="str">
        <v>No</v>
      </c>
      <c r="AB647" t="str">
        <v>Yes</v>
      </c>
      <c r="AC647">
        <v>0</v>
      </c>
      <c r="AD647" t="str">
        <v>Free</v>
      </c>
      <c r="AE647">
        <v>0.94</v>
      </c>
      <c r="AF647" s="14">
        <f t="shared" si="10"/>
        <v>0.56635318704284221</v>
      </c>
    </row>
    <row r="648" spans="1:32" x14ac:dyDescent="0.2">
      <c r="A648">
        <v>647</v>
      </c>
      <c r="B648" cm="1">
        <f t="array" ref="B648:AE648">_xlfn.XLOOKUP($A648,Instagram_Usage_Lifestyle_Mini_!$A:$A,Instagram_Usage_Lifestyle_Mini_!$AC:$BF)</f>
        <v>295</v>
      </c>
      <c r="C648">
        <v>14</v>
      </c>
      <c r="D648">
        <v>6</v>
      </c>
      <c r="E648">
        <v>210</v>
      </c>
      <c r="F648">
        <v>128</v>
      </c>
      <c r="G648">
        <v>156</v>
      </c>
      <c r="H648">
        <v>47</v>
      </c>
      <c r="I648">
        <v>26</v>
      </c>
      <c r="J648">
        <v>51</v>
      </c>
      <c r="K648">
        <v>28</v>
      </c>
      <c r="L648">
        <v>7</v>
      </c>
      <c r="M648">
        <v>158</v>
      </c>
      <c r="N648">
        <v>76</v>
      </c>
      <c r="O648">
        <v>63</v>
      </c>
      <c r="P648">
        <v>93</v>
      </c>
      <c r="Q648">
        <v>1241</v>
      </c>
      <c r="R648">
        <v>2136</v>
      </c>
      <c r="S648" t="str">
        <v>Yes</v>
      </c>
      <c r="T648">
        <v>0.4</v>
      </c>
      <c r="U648">
        <v>2019</v>
      </c>
      <c r="V648">
        <v>45784</v>
      </c>
      <c r="W648">
        <v>21.1</v>
      </c>
      <c r="X648" t="str">
        <v>Stories</v>
      </c>
      <c r="Y648" t="str">
        <v>Fitness</v>
      </c>
      <c r="Z648" t="str">
        <v>Friends_only</v>
      </c>
      <c r="AA648" t="str">
        <v>Yes</v>
      </c>
      <c r="AB648" t="str">
        <v>No</v>
      </c>
      <c r="AC648">
        <v>2</v>
      </c>
      <c r="AD648" t="str">
        <v>Free</v>
      </c>
      <c r="AE648">
        <v>0.91</v>
      </c>
      <c r="AF648" s="14">
        <f t="shared" si="10"/>
        <v>0.58099250936329583</v>
      </c>
    </row>
    <row r="649" spans="1:32" x14ac:dyDescent="0.2">
      <c r="A649">
        <v>648</v>
      </c>
      <c r="B649" cm="1">
        <f t="array" ref="B649:AE649">_xlfn.XLOOKUP($A649,Instagram_Usage_Lifestyle_Mini_!$A:$A,Instagram_Usage_Lifestyle_Mini_!$AC:$BF)</f>
        <v>274</v>
      </c>
      <c r="C649">
        <v>11</v>
      </c>
      <c r="D649">
        <v>7</v>
      </c>
      <c r="E649">
        <v>291</v>
      </c>
      <c r="F649">
        <v>126</v>
      </c>
      <c r="G649">
        <v>160</v>
      </c>
      <c r="H649">
        <v>44</v>
      </c>
      <c r="I649">
        <v>34</v>
      </c>
      <c r="J649">
        <v>41</v>
      </c>
      <c r="K649">
        <v>27</v>
      </c>
      <c r="L649">
        <v>4</v>
      </c>
      <c r="M649">
        <v>135</v>
      </c>
      <c r="N649">
        <v>35</v>
      </c>
      <c r="O649">
        <v>50</v>
      </c>
      <c r="P649">
        <v>85</v>
      </c>
      <c r="Q649">
        <v>1094</v>
      </c>
      <c r="R649">
        <v>860</v>
      </c>
      <c r="S649" t="str">
        <v>No</v>
      </c>
      <c r="T649">
        <v>0.95</v>
      </c>
      <c r="U649">
        <v>2011</v>
      </c>
      <c r="V649">
        <v>45977</v>
      </c>
      <c r="W649">
        <v>24.9</v>
      </c>
      <c r="X649" t="str">
        <v>Mixed</v>
      </c>
      <c r="Y649" t="str">
        <v>Other</v>
      </c>
      <c r="Z649" t="str">
        <v>Public</v>
      </c>
      <c r="AA649" t="str">
        <v>No</v>
      </c>
      <c r="AB649" t="str">
        <v>Yes</v>
      </c>
      <c r="AC649">
        <v>3</v>
      </c>
      <c r="AD649" t="str">
        <v>Free</v>
      </c>
      <c r="AE649">
        <v>0.98</v>
      </c>
      <c r="AF649" s="14">
        <f t="shared" si="10"/>
        <v>1.2720930232558139</v>
      </c>
    </row>
    <row r="650" spans="1:32" x14ac:dyDescent="0.2">
      <c r="A650">
        <v>649</v>
      </c>
      <c r="B650" cm="1">
        <f t="array" ref="B650:AE650">_xlfn.XLOOKUP($A650,Instagram_Usage_Lifestyle_Mini_!$A:$A,Instagram_Usage_Lifestyle_Mini_!$AC:$BF)</f>
        <v>59</v>
      </c>
      <c r="C650">
        <v>2</v>
      </c>
      <c r="D650">
        <v>4</v>
      </c>
      <c r="E650">
        <v>75</v>
      </c>
      <c r="F650">
        <v>55</v>
      </c>
      <c r="G650">
        <v>58</v>
      </c>
      <c r="H650">
        <v>20</v>
      </c>
      <c r="I650">
        <v>14</v>
      </c>
      <c r="J650">
        <v>19</v>
      </c>
      <c r="K650">
        <v>6</v>
      </c>
      <c r="L650">
        <v>1</v>
      </c>
      <c r="M650">
        <v>30</v>
      </c>
      <c r="N650">
        <v>8</v>
      </c>
      <c r="O650">
        <v>14</v>
      </c>
      <c r="P650">
        <v>12</v>
      </c>
      <c r="Q650">
        <v>515</v>
      </c>
      <c r="R650">
        <v>526</v>
      </c>
      <c r="S650" t="str">
        <v>No</v>
      </c>
      <c r="T650">
        <v>0.7</v>
      </c>
      <c r="U650">
        <v>2010</v>
      </c>
      <c r="V650">
        <v>45779</v>
      </c>
      <c r="W650">
        <v>29.5</v>
      </c>
      <c r="X650" t="str">
        <v>Mixed</v>
      </c>
      <c r="Y650" t="str">
        <v>Fashion</v>
      </c>
      <c r="Z650" t="str">
        <v>Private</v>
      </c>
      <c r="AA650" t="str">
        <v>No</v>
      </c>
      <c r="AB650" t="str">
        <v>Yes</v>
      </c>
      <c r="AC650">
        <v>3</v>
      </c>
      <c r="AD650" t="str">
        <v>Premium</v>
      </c>
      <c r="AE650">
        <v>1.83</v>
      </c>
      <c r="AF650" s="14">
        <f t="shared" si="10"/>
        <v>0.97908745247148288</v>
      </c>
    </row>
    <row r="651" spans="1:32" x14ac:dyDescent="0.2">
      <c r="A651">
        <v>650</v>
      </c>
      <c r="B651" cm="1">
        <f t="array" ref="B651:AE651">_xlfn.XLOOKUP($A651,Instagram_Usage_Lifestyle_Mini_!$A:$A,Instagram_Usage_Lifestyle_Mini_!$AC:$BF)</f>
        <v>141</v>
      </c>
      <c r="C651">
        <v>5</v>
      </c>
      <c r="D651">
        <v>5</v>
      </c>
      <c r="E651">
        <v>135</v>
      </c>
      <c r="F651">
        <v>112</v>
      </c>
      <c r="G651">
        <v>103</v>
      </c>
      <c r="H651">
        <v>24</v>
      </c>
      <c r="I651">
        <v>23</v>
      </c>
      <c r="J651">
        <v>27</v>
      </c>
      <c r="K651">
        <v>25</v>
      </c>
      <c r="L651">
        <v>3</v>
      </c>
      <c r="M651">
        <v>84</v>
      </c>
      <c r="N651">
        <v>41</v>
      </c>
      <c r="O651">
        <v>21</v>
      </c>
      <c r="P651">
        <v>55</v>
      </c>
      <c r="Q651">
        <v>363</v>
      </c>
      <c r="R651">
        <v>544</v>
      </c>
      <c r="S651" t="str">
        <v>No</v>
      </c>
      <c r="T651">
        <v>0.61</v>
      </c>
      <c r="U651">
        <v>2011</v>
      </c>
      <c r="V651">
        <v>45829</v>
      </c>
      <c r="W651">
        <v>28.2</v>
      </c>
      <c r="X651" t="str">
        <v>Mixed</v>
      </c>
      <c r="Y651" t="str">
        <v>Art</v>
      </c>
      <c r="Z651" t="str">
        <v>Public</v>
      </c>
      <c r="AA651" t="str">
        <v>No</v>
      </c>
      <c r="AB651" t="str">
        <v>No</v>
      </c>
      <c r="AC651">
        <v>1</v>
      </c>
      <c r="AD651" t="str">
        <v>Free</v>
      </c>
      <c r="AE651">
        <v>1.17</v>
      </c>
      <c r="AF651" s="14">
        <f t="shared" si="10"/>
        <v>0.66727941176470584</v>
      </c>
    </row>
    <row r="652" spans="1:32" x14ac:dyDescent="0.2">
      <c r="A652">
        <v>651</v>
      </c>
      <c r="B652" cm="1">
        <f t="array" ref="B652:AE652">_xlfn.XLOOKUP($A652,Instagram_Usage_Lifestyle_Mini_!$A:$A,Instagram_Usage_Lifestyle_Mini_!$AC:$BF)</f>
        <v>232</v>
      </c>
      <c r="C652">
        <v>7</v>
      </c>
      <c r="D652">
        <v>4</v>
      </c>
      <c r="E652">
        <v>169</v>
      </c>
      <c r="F652">
        <v>120</v>
      </c>
      <c r="G652">
        <v>129</v>
      </c>
      <c r="H652">
        <v>42</v>
      </c>
      <c r="I652">
        <v>35</v>
      </c>
      <c r="J652">
        <v>32</v>
      </c>
      <c r="K652">
        <v>20</v>
      </c>
      <c r="L652">
        <v>4</v>
      </c>
      <c r="M652">
        <v>96</v>
      </c>
      <c r="N652">
        <v>49</v>
      </c>
      <c r="O652">
        <v>40</v>
      </c>
      <c r="P652">
        <v>79</v>
      </c>
      <c r="Q652">
        <v>6394</v>
      </c>
      <c r="R652">
        <v>10000</v>
      </c>
      <c r="S652" t="str">
        <v>No</v>
      </c>
      <c r="T652">
        <v>0.67</v>
      </c>
      <c r="U652">
        <v>2011</v>
      </c>
      <c r="V652">
        <v>45952</v>
      </c>
      <c r="W652">
        <v>33.1</v>
      </c>
      <c r="X652" t="str">
        <v>Mixed</v>
      </c>
      <c r="Y652" t="str">
        <v>Tech</v>
      </c>
      <c r="Z652" t="str">
        <v>Public</v>
      </c>
      <c r="AA652" t="str">
        <v>Yes</v>
      </c>
      <c r="AB652" t="str">
        <v>No</v>
      </c>
      <c r="AC652">
        <v>3</v>
      </c>
      <c r="AD652" t="str">
        <v>Free</v>
      </c>
      <c r="AE652">
        <v>0.97</v>
      </c>
      <c r="AF652" s="14">
        <f t="shared" si="10"/>
        <v>0.63939999999999997</v>
      </c>
    </row>
    <row r="653" spans="1:32" x14ac:dyDescent="0.2">
      <c r="A653">
        <v>652</v>
      </c>
      <c r="B653" cm="1">
        <f t="array" ref="B653:AE653">_xlfn.XLOOKUP($A653,Instagram_Usage_Lifestyle_Mini_!$A:$A,Instagram_Usage_Lifestyle_Mini_!$AC:$BF)</f>
        <v>117</v>
      </c>
      <c r="C653">
        <v>6</v>
      </c>
      <c r="D653">
        <v>12</v>
      </c>
      <c r="E653">
        <v>202</v>
      </c>
      <c r="F653">
        <v>72</v>
      </c>
      <c r="G653">
        <v>84</v>
      </c>
      <c r="H653">
        <v>27</v>
      </c>
      <c r="I653">
        <v>22</v>
      </c>
      <c r="J653">
        <v>22</v>
      </c>
      <c r="K653">
        <v>12</v>
      </c>
      <c r="L653">
        <v>3</v>
      </c>
      <c r="M653">
        <v>56</v>
      </c>
      <c r="N653">
        <v>26</v>
      </c>
      <c r="O653">
        <v>19</v>
      </c>
      <c r="P653">
        <v>35</v>
      </c>
      <c r="Q653">
        <v>2663</v>
      </c>
      <c r="R653">
        <v>4822</v>
      </c>
      <c r="S653" t="str">
        <v>Yes</v>
      </c>
      <c r="T653">
        <v>0.83</v>
      </c>
      <c r="U653">
        <v>2016</v>
      </c>
      <c r="V653">
        <v>45769</v>
      </c>
      <c r="W653">
        <v>19.5</v>
      </c>
      <c r="X653" t="str">
        <v>Reels</v>
      </c>
      <c r="Y653" t="str">
        <v>Food</v>
      </c>
      <c r="Z653" t="str">
        <v>Private</v>
      </c>
      <c r="AA653" t="str">
        <v>Yes</v>
      </c>
      <c r="AB653" t="str">
        <v>No</v>
      </c>
      <c r="AC653">
        <v>5</v>
      </c>
      <c r="AD653" t="str">
        <v>Free</v>
      </c>
      <c r="AE653">
        <v>1.47</v>
      </c>
      <c r="AF653" s="14">
        <f t="shared" si="10"/>
        <v>0.5522604728328494</v>
      </c>
    </row>
    <row r="654" spans="1:32" x14ac:dyDescent="0.2">
      <c r="A654">
        <v>653</v>
      </c>
      <c r="B654" cm="1">
        <f t="array" ref="B654:AE654">_xlfn.XLOOKUP($A654,Instagram_Usage_Lifestyle_Mini_!$A:$A,Instagram_Usage_Lifestyle_Mini_!$AC:$BF)</f>
        <v>96</v>
      </c>
      <c r="C654">
        <v>6</v>
      </c>
      <c r="D654">
        <v>1</v>
      </c>
      <c r="E654">
        <v>98</v>
      </c>
      <c r="F654">
        <v>74</v>
      </c>
      <c r="G654">
        <v>65</v>
      </c>
      <c r="H654">
        <v>19</v>
      </c>
      <c r="I654">
        <v>32</v>
      </c>
      <c r="J654">
        <v>22</v>
      </c>
      <c r="K654">
        <v>17</v>
      </c>
      <c r="L654">
        <v>3</v>
      </c>
      <c r="M654">
        <v>46</v>
      </c>
      <c r="N654">
        <v>27</v>
      </c>
      <c r="O654">
        <v>19</v>
      </c>
      <c r="P654">
        <v>33</v>
      </c>
      <c r="Q654">
        <v>205</v>
      </c>
      <c r="R654">
        <v>317</v>
      </c>
      <c r="S654" t="str">
        <v>No</v>
      </c>
      <c r="T654">
        <v>0.42</v>
      </c>
      <c r="U654">
        <v>2024</v>
      </c>
      <c r="V654">
        <v>45689</v>
      </c>
      <c r="W654">
        <v>16</v>
      </c>
      <c r="X654" t="str">
        <v>Stories</v>
      </c>
      <c r="Y654" t="str">
        <v>Tech</v>
      </c>
      <c r="Z654" t="str">
        <v>Friends_only</v>
      </c>
      <c r="AA654" t="str">
        <v>No</v>
      </c>
      <c r="AB654" t="str">
        <v>Yes</v>
      </c>
      <c r="AC654">
        <v>5</v>
      </c>
      <c r="AD654" t="str">
        <v>Free</v>
      </c>
      <c r="AE654">
        <v>1.0900000000000001</v>
      </c>
      <c r="AF654" s="14">
        <f t="shared" si="10"/>
        <v>0.64668769716088326</v>
      </c>
    </row>
    <row r="655" spans="1:32" x14ac:dyDescent="0.2">
      <c r="A655">
        <v>654</v>
      </c>
      <c r="B655" cm="1">
        <f t="array" ref="B655:AE655">_xlfn.XLOOKUP($A655,Instagram_Usage_Lifestyle_Mini_!$A:$A,Instagram_Usage_Lifestyle_Mini_!$AC:$BF)</f>
        <v>318</v>
      </c>
      <c r="C655">
        <v>38</v>
      </c>
      <c r="D655">
        <v>6</v>
      </c>
      <c r="E655">
        <v>231</v>
      </c>
      <c r="F655">
        <v>150</v>
      </c>
      <c r="G655">
        <v>187</v>
      </c>
      <c r="H655">
        <v>64</v>
      </c>
      <c r="I655">
        <v>45</v>
      </c>
      <c r="J655">
        <v>43</v>
      </c>
      <c r="K655">
        <v>21</v>
      </c>
      <c r="L655">
        <v>6</v>
      </c>
      <c r="M655">
        <v>189</v>
      </c>
      <c r="N655">
        <v>85</v>
      </c>
      <c r="O655">
        <v>38</v>
      </c>
      <c r="P655">
        <v>119</v>
      </c>
      <c r="Q655">
        <v>3233</v>
      </c>
      <c r="R655">
        <v>7627</v>
      </c>
      <c r="S655" t="str">
        <v>No</v>
      </c>
      <c r="T655">
        <v>0.51</v>
      </c>
      <c r="U655">
        <v>2014</v>
      </c>
      <c r="V655">
        <v>45797</v>
      </c>
      <c r="W655">
        <v>8.4</v>
      </c>
      <c r="X655" t="str">
        <v>Photos</v>
      </c>
      <c r="Y655" t="str">
        <v>Fitness</v>
      </c>
      <c r="Z655" t="str">
        <v>Public</v>
      </c>
      <c r="AA655" t="str">
        <v>No</v>
      </c>
      <c r="AB655" t="str">
        <v>Yes</v>
      </c>
      <c r="AC655">
        <v>0</v>
      </c>
      <c r="AD655" t="str">
        <v>Premium</v>
      </c>
      <c r="AE655">
        <v>1.04</v>
      </c>
      <c r="AF655" s="14">
        <f t="shared" si="10"/>
        <v>0.42388881604824963</v>
      </c>
    </row>
    <row r="656" spans="1:32" x14ac:dyDescent="0.2">
      <c r="A656">
        <v>655</v>
      </c>
      <c r="B656" cm="1">
        <f t="array" ref="B656:AE656">_xlfn.XLOOKUP($A656,Instagram_Usage_Lifestyle_Mini_!$A:$A,Instagram_Usage_Lifestyle_Mini_!$AC:$BF)</f>
        <v>323</v>
      </c>
      <c r="C656">
        <v>12</v>
      </c>
      <c r="D656">
        <v>11</v>
      </c>
      <c r="E656">
        <v>300</v>
      </c>
      <c r="F656">
        <v>150</v>
      </c>
      <c r="G656">
        <v>198</v>
      </c>
      <c r="H656">
        <v>35</v>
      </c>
      <c r="I656">
        <v>37</v>
      </c>
      <c r="J656">
        <v>46</v>
      </c>
      <c r="K656">
        <v>26</v>
      </c>
      <c r="L656">
        <v>10</v>
      </c>
      <c r="M656">
        <v>190</v>
      </c>
      <c r="N656">
        <v>33</v>
      </c>
      <c r="O656">
        <v>61</v>
      </c>
      <c r="P656">
        <v>106</v>
      </c>
      <c r="Q656">
        <v>1895</v>
      </c>
      <c r="R656">
        <v>4020</v>
      </c>
      <c r="S656" t="str">
        <v>No</v>
      </c>
      <c r="T656">
        <v>0.97</v>
      </c>
      <c r="U656">
        <v>2019</v>
      </c>
      <c r="V656">
        <v>45714</v>
      </c>
      <c r="W656">
        <v>26.9</v>
      </c>
      <c r="X656" t="str">
        <v>Reels</v>
      </c>
      <c r="Y656" t="str">
        <v>Fitness</v>
      </c>
      <c r="Z656" t="str">
        <v>Public</v>
      </c>
      <c r="AA656" t="str">
        <v>Yes</v>
      </c>
      <c r="AB656" t="str">
        <v>No</v>
      </c>
      <c r="AC656">
        <v>3</v>
      </c>
      <c r="AD656" t="str">
        <v>Free</v>
      </c>
      <c r="AE656">
        <v>0.93</v>
      </c>
      <c r="AF656" s="14">
        <f t="shared" si="10"/>
        <v>0.47139303482587064</v>
      </c>
    </row>
    <row r="657" spans="1:32" x14ac:dyDescent="0.2">
      <c r="A657">
        <v>656</v>
      </c>
      <c r="B657" cm="1">
        <f t="array" ref="B657:AE657">_xlfn.XLOOKUP($A657,Instagram_Usage_Lifestyle_Mini_!$A:$A,Instagram_Usage_Lifestyle_Mini_!$AC:$BF)</f>
        <v>369</v>
      </c>
      <c r="C657">
        <v>32</v>
      </c>
      <c r="D657">
        <v>15</v>
      </c>
      <c r="E657">
        <v>300</v>
      </c>
      <c r="F657">
        <v>150</v>
      </c>
      <c r="G657">
        <v>189</v>
      </c>
      <c r="H657">
        <v>59</v>
      </c>
      <c r="I657">
        <v>49</v>
      </c>
      <c r="J657">
        <v>52</v>
      </c>
      <c r="K657">
        <v>24</v>
      </c>
      <c r="L657">
        <v>8</v>
      </c>
      <c r="M657">
        <v>204</v>
      </c>
      <c r="N657">
        <v>100</v>
      </c>
      <c r="O657">
        <v>86</v>
      </c>
      <c r="P657">
        <v>95</v>
      </c>
      <c r="Q657">
        <v>1303</v>
      </c>
      <c r="R657">
        <v>3175</v>
      </c>
      <c r="S657" t="str">
        <v>No</v>
      </c>
      <c r="T657">
        <v>0.18</v>
      </c>
      <c r="U657">
        <v>2024</v>
      </c>
      <c r="V657">
        <v>45882</v>
      </c>
      <c r="W657">
        <v>11.5</v>
      </c>
      <c r="X657" t="str">
        <v>Reels</v>
      </c>
      <c r="Y657" t="str">
        <v>Fashion</v>
      </c>
      <c r="Z657" t="str">
        <v>Friends_only</v>
      </c>
      <c r="AA657" t="str">
        <v>Yes</v>
      </c>
      <c r="AB657" t="str">
        <v>No</v>
      </c>
      <c r="AC657">
        <v>4</v>
      </c>
      <c r="AD657" t="str">
        <v>Free</v>
      </c>
      <c r="AE657">
        <v>0.95</v>
      </c>
      <c r="AF657" s="14">
        <f t="shared" si="10"/>
        <v>0.41039370078740156</v>
      </c>
    </row>
    <row r="658" spans="1:32" x14ac:dyDescent="0.2">
      <c r="A658">
        <v>657</v>
      </c>
      <c r="B658" cm="1">
        <f t="array" ref="B658:AE658">_xlfn.XLOOKUP($A658,Instagram_Usage_Lifestyle_Mini_!$A:$A,Instagram_Usage_Lifestyle_Mini_!$AC:$BF)</f>
        <v>298</v>
      </c>
      <c r="C658">
        <v>12</v>
      </c>
      <c r="D658">
        <v>7</v>
      </c>
      <c r="E658">
        <v>300</v>
      </c>
      <c r="F658">
        <v>150</v>
      </c>
      <c r="G658">
        <v>173</v>
      </c>
      <c r="H658">
        <v>60</v>
      </c>
      <c r="I658">
        <v>32</v>
      </c>
      <c r="J658">
        <v>45</v>
      </c>
      <c r="K658">
        <v>40</v>
      </c>
      <c r="L658">
        <v>5</v>
      </c>
      <c r="M658">
        <v>138</v>
      </c>
      <c r="N658">
        <v>66</v>
      </c>
      <c r="O658">
        <v>36</v>
      </c>
      <c r="P658">
        <v>103</v>
      </c>
      <c r="Q658">
        <v>528</v>
      </c>
      <c r="R658">
        <v>300</v>
      </c>
      <c r="S658" t="str">
        <v>No</v>
      </c>
      <c r="T658">
        <v>0.6</v>
      </c>
      <c r="U658">
        <v>2019</v>
      </c>
      <c r="V658">
        <v>45886</v>
      </c>
      <c r="W658">
        <v>24.8</v>
      </c>
      <c r="X658" t="str">
        <v>Live</v>
      </c>
      <c r="Y658" t="str">
        <v>Other</v>
      </c>
      <c r="Z658" t="str">
        <v>Public</v>
      </c>
      <c r="AA658" t="str">
        <v>No</v>
      </c>
      <c r="AB658" t="str">
        <v>No</v>
      </c>
      <c r="AC658">
        <v>1</v>
      </c>
      <c r="AD658" t="str">
        <v>Free</v>
      </c>
      <c r="AE658">
        <v>1.05</v>
      </c>
      <c r="AF658" s="14">
        <f t="shared" si="10"/>
        <v>1.76</v>
      </c>
    </row>
    <row r="659" spans="1:32" x14ac:dyDescent="0.2">
      <c r="A659">
        <v>658</v>
      </c>
      <c r="B659" cm="1">
        <f t="array" ref="B659:AE659">_xlfn.XLOOKUP($A659,Instagram_Usage_Lifestyle_Mini_!$A:$A,Instagram_Usage_Lifestyle_Mini_!$AC:$BF)</f>
        <v>236</v>
      </c>
      <c r="C659">
        <v>13</v>
      </c>
      <c r="D659">
        <v>10</v>
      </c>
      <c r="E659">
        <v>169</v>
      </c>
      <c r="F659">
        <v>127</v>
      </c>
      <c r="G659">
        <v>144</v>
      </c>
      <c r="H659">
        <v>37</v>
      </c>
      <c r="I659">
        <v>37</v>
      </c>
      <c r="J659">
        <v>33</v>
      </c>
      <c r="K659">
        <v>35</v>
      </c>
      <c r="L659">
        <v>8</v>
      </c>
      <c r="M659">
        <v>134</v>
      </c>
      <c r="N659">
        <v>35</v>
      </c>
      <c r="O659">
        <v>56</v>
      </c>
      <c r="P659">
        <v>58</v>
      </c>
      <c r="Q659">
        <v>4356</v>
      </c>
      <c r="R659">
        <v>7344</v>
      </c>
      <c r="S659" t="str">
        <v>No</v>
      </c>
      <c r="T659">
        <v>0.46</v>
      </c>
      <c r="U659">
        <v>2011</v>
      </c>
      <c r="V659">
        <v>46009</v>
      </c>
      <c r="W659">
        <v>18.2</v>
      </c>
      <c r="X659" t="str">
        <v>Videos</v>
      </c>
      <c r="Y659" t="str">
        <v>Travel</v>
      </c>
      <c r="Z659" t="str">
        <v>Friends_only</v>
      </c>
      <c r="AA659" t="str">
        <v>Yes</v>
      </c>
      <c r="AB659" t="str">
        <v>Yes</v>
      </c>
      <c r="AC659">
        <v>5</v>
      </c>
      <c r="AD659" t="str">
        <v>Free</v>
      </c>
      <c r="AE659">
        <v>1.05</v>
      </c>
      <c r="AF659" s="14">
        <f t="shared" si="10"/>
        <v>0.59313725490196079</v>
      </c>
    </row>
    <row r="660" spans="1:32" x14ac:dyDescent="0.2">
      <c r="A660">
        <v>659</v>
      </c>
      <c r="B660" cm="1">
        <f t="array" ref="B660:AE660">_xlfn.XLOOKUP($A660,Instagram_Usage_Lifestyle_Mini_!$A:$A,Instagram_Usage_Lifestyle_Mini_!$AC:$BF)</f>
        <v>185</v>
      </c>
      <c r="C660">
        <v>12</v>
      </c>
      <c r="D660">
        <v>3</v>
      </c>
      <c r="E660">
        <v>241</v>
      </c>
      <c r="F660">
        <v>105</v>
      </c>
      <c r="G660">
        <v>123</v>
      </c>
      <c r="H660">
        <v>34</v>
      </c>
      <c r="I660">
        <v>24</v>
      </c>
      <c r="J660">
        <v>26</v>
      </c>
      <c r="K660">
        <v>25</v>
      </c>
      <c r="L660">
        <v>3</v>
      </c>
      <c r="M660">
        <v>95</v>
      </c>
      <c r="N660">
        <v>51</v>
      </c>
      <c r="O660">
        <v>23</v>
      </c>
      <c r="P660">
        <v>60</v>
      </c>
      <c r="Q660">
        <v>2553</v>
      </c>
      <c r="R660">
        <v>2547</v>
      </c>
      <c r="S660" t="str">
        <v>Yes</v>
      </c>
      <c r="T660">
        <v>0.35</v>
      </c>
      <c r="U660">
        <v>2014</v>
      </c>
      <c r="V660">
        <v>45951</v>
      </c>
      <c r="W660">
        <v>15.4</v>
      </c>
      <c r="X660" t="str">
        <v>Videos</v>
      </c>
      <c r="Y660" t="str">
        <v>Travel</v>
      </c>
      <c r="Z660" t="str">
        <v>Private</v>
      </c>
      <c r="AA660" t="str">
        <v>No</v>
      </c>
      <c r="AB660" t="str">
        <v>No</v>
      </c>
      <c r="AC660">
        <v>2</v>
      </c>
      <c r="AD660" t="str">
        <v>Free</v>
      </c>
      <c r="AE660">
        <v>1.08</v>
      </c>
      <c r="AF660" s="14">
        <f t="shared" si="10"/>
        <v>1.0023557126030624</v>
      </c>
    </row>
    <row r="661" spans="1:32" x14ac:dyDescent="0.2">
      <c r="A661">
        <v>660</v>
      </c>
      <c r="B661" cm="1">
        <f t="array" ref="B661:AE661">_xlfn.XLOOKUP($A661,Instagram_Usage_Lifestyle_Mini_!$A:$A,Instagram_Usage_Lifestyle_Mini_!$AC:$BF)</f>
        <v>292</v>
      </c>
      <c r="C661">
        <v>9</v>
      </c>
      <c r="D661">
        <v>5</v>
      </c>
      <c r="E661">
        <v>204</v>
      </c>
      <c r="F661">
        <v>150</v>
      </c>
      <c r="G661">
        <v>180</v>
      </c>
      <c r="H661">
        <v>62</v>
      </c>
      <c r="I661">
        <v>37</v>
      </c>
      <c r="J661">
        <v>38</v>
      </c>
      <c r="K661">
        <v>29</v>
      </c>
      <c r="L661">
        <v>6</v>
      </c>
      <c r="M661">
        <v>169</v>
      </c>
      <c r="N661">
        <v>51</v>
      </c>
      <c r="O661">
        <v>49</v>
      </c>
      <c r="P661">
        <v>91</v>
      </c>
      <c r="Q661">
        <v>2998</v>
      </c>
      <c r="R661">
        <v>5626</v>
      </c>
      <c r="S661" t="str">
        <v>No</v>
      </c>
      <c r="T661">
        <v>0.54</v>
      </c>
      <c r="U661">
        <v>2016</v>
      </c>
      <c r="V661">
        <v>45701</v>
      </c>
      <c r="W661">
        <v>32.4</v>
      </c>
      <c r="X661" t="str">
        <v>Videos</v>
      </c>
      <c r="Y661" t="str">
        <v>Other</v>
      </c>
      <c r="Z661" t="str">
        <v>Friends_only</v>
      </c>
      <c r="AA661" t="str">
        <v>Yes</v>
      </c>
      <c r="AB661" t="str">
        <v>No</v>
      </c>
      <c r="AC661">
        <v>1</v>
      </c>
      <c r="AD661" t="str">
        <v>Free</v>
      </c>
      <c r="AE661">
        <v>1.0900000000000001</v>
      </c>
      <c r="AF661" s="14">
        <f t="shared" si="10"/>
        <v>0.53288304301457523</v>
      </c>
    </row>
    <row r="662" spans="1:32" x14ac:dyDescent="0.2">
      <c r="A662">
        <v>661</v>
      </c>
      <c r="B662" cm="1">
        <f t="array" ref="B662:AE662">_xlfn.XLOOKUP($A662,Instagram_Usage_Lifestyle_Mini_!$A:$A,Instagram_Usage_Lifestyle_Mini_!$AC:$BF)</f>
        <v>161</v>
      </c>
      <c r="C662">
        <v>14</v>
      </c>
      <c r="D662">
        <v>5</v>
      </c>
      <c r="E662">
        <v>140</v>
      </c>
      <c r="F662">
        <v>86</v>
      </c>
      <c r="G662">
        <v>104</v>
      </c>
      <c r="H662">
        <v>37</v>
      </c>
      <c r="I662">
        <v>27</v>
      </c>
      <c r="J662">
        <v>34</v>
      </c>
      <c r="K662">
        <v>18</v>
      </c>
      <c r="L662">
        <v>3</v>
      </c>
      <c r="M662">
        <v>74</v>
      </c>
      <c r="N662">
        <v>31</v>
      </c>
      <c r="O662">
        <v>40</v>
      </c>
      <c r="P662">
        <v>44</v>
      </c>
      <c r="Q662">
        <v>1401</v>
      </c>
      <c r="R662">
        <v>1578</v>
      </c>
      <c r="S662" t="str">
        <v>No</v>
      </c>
      <c r="T662">
        <v>0.93</v>
      </c>
      <c r="U662">
        <v>2025</v>
      </c>
      <c r="V662">
        <v>45700</v>
      </c>
      <c r="W662">
        <v>11.5</v>
      </c>
      <c r="X662" t="str">
        <v>Photos</v>
      </c>
      <c r="Y662" t="str">
        <v>Fashion</v>
      </c>
      <c r="Z662" t="str">
        <v>Private</v>
      </c>
      <c r="AA662" t="str">
        <v>Yes</v>
      </c>
      <c r="AB662" t="str">
        <v>No</v>
      </c>
      <c r="AC662">
        <v>1</v>
      </c>
      <c r="AD662" t="str">
        <v>Free</v>
      </c>
      <c r="AE662">
        <v>1.19</v>
      </c>
      <c r="AF662" s="14">
        <f t="shared" si="10"/>
        <v>0.88783269961977185</v>
      </c>
    </row>
    <row r="663" spans="1:32" x14ac:dyDescent="0.2">
      <c r="A663">
        <v>662</v>
      </c>
      <c r="B663" cm="1">
        <f t="array" ref="B663:AE663">_xlfn.XLOOKUP($A663,Instagram_Usage_Lifestyle_Mini_!$A:$A,Instagram_Usage_Lifestyle_Mini_!$AC:$BF)</f>
        <v>415</v>
      </c>
      <c r="C663">
        <v>34</v>
      </c>
      <c r="D663">
        <v>4</v>
      </c>
      <c r="E663">
        <v>264</v>
      </c>
      <c r="F663">
        <v>150</v>
      </c>
      <c r="G663">
        <v>259</v>
      </c>
      <c r="H663">
        <v>72</v>
      </c>
      <c r="I663">
        <v>55</v>
      </c>
      <c r="J663">
        <v>62</v>
      </c>
      <c r="K663">
        <v>46</v>
      </c>
      <c r="L663">
        <v>10</v>
      </c>
      <c r="M663">
        <v>174</v>
      </c>
      <c r="N663">
        <v>120</v>
      </c>
      <c r="O663">
        <v>100</v>
      </c>
      <c r="P663">
        <v>87</v>
      </c>
      <c r="Q663">
        <v>97</v>
      </c>
      <c r="R663">
        <v>242</v>
      </c>
      <c r="S663" t="str">
        <v>No</v>
      </c>
      <c r="T663">
        <v>0.7</v>
      </c>
      <c r="U663">
        <v>2016</v>
      </c>
      <c r="V663">
        <v>45747</v>
      </c>
      <c r="W663">
        <v>12.2</v>
      </c>
      <c r="X663" t="str">
        <v>Photos</v>
      </c>
      <c r="Y663" t="str">
        <v>Fitness</v>
      </c>
      <c r="Z663" t="str">
        <v>Private</v>
      </c>
      <c r="AA663" t="str">
        <v>Yes</v>
      </c>
      <c r="AB663" t="str">
        <v>Yes</v>
      </c>
      <c r="AC663">
        <v>5</v>
      </c>
      <c r="AD663" t="str">
        <v>Free</v>
      </c>
      <c r="AE663">
        <v>1</v>
      </c>
      <c r="AF663" s="14">
        <f t="shared" si="10"/>
        <v>0.40082644628099173</v>
      </c>
    </row>
    <row r="664" spans="1:32" x14ac:dyDescent="0.2">
      <c r="A664">
        <v>663</v>
      </c>
      <c r="B664" cm="1">
        <f t="array" ref="B664:AE664">_xlfn.XLOOKUP($A664,Instagram_Usage_Lifestyle_Mini_!$A:$A,Instagram_Usage_Lifestyle_Mini_!$AC:$BF)</f>
        <v>333</v>
      </c>
      <c r="C664">
        <v>16</v>
      </c>
      <c r="D664">
        <v>4</v>
      </c>
      <c r="E664">
        <v>265</v>
      </c>
      <c r="F664">
        <v>150</v>
      </c>
      <c r="G664">
        <v>200</v>
      </c>
      <c r="H664">
        <v>55</v>
      </c>
      <c r="I664">
        <v>42</v>
      </c>
      <c r="J664">
        <v>40</v>
      </c>
      <c r="K664">
        <v>32</v>
      </c>
      <c r="L664">
        <v>8</v>
      </c>
      <c r="M664">
        <v>139</v>
      </c>
      <c r="N664">
        <v>83</v>
      </c>
      <c r="O664">
        <v>46</v>
      </c>
      <c r="P664">
        <v>120</v>
      </c>
      <c r="Q664">
        <v>2844</v>
      </c>
      <c r="R664">
        <v>5105</v>
      </c>
      <c r="S664" t="str">
        <v>No</v>
      </c>
      <c r="T664">
        <v>0.27</v>
      </c>
      <c r="U664">
        <v>2018</v>
      </c>
      <c r="V664">
        <v>46016</v>
      </c>
      <c r="W664">
        <v>20.8</v>
      </c>
      <c r="X664" t="str">
        <v>Stories</v>
      </c>
      <c r="Y664" t="str">
        <v>Other</v>
      </c>
      <c r="Z664" t="str">
        <v>Private</v>
      </c>
      <c r="AA664" t="str">
        <v>Yes</v>
      </c>
      <c r="AB664" t="str">
        <v>No</v>
      </c>
      <c r="AC664">
        <v>1</v>
      </c>
      <c r="AD664" t="str">
        <v>Free</v>
      </c>
      <c r="AE664">
        <v>0.96</v>
      </c>
      <c r="AF664" s="14">
        <f t="shared" si="10"/>
        <v>0.55710088148873649</v>
      </c>
    </row>
    <row r="665" spans="1:32" x14ac:dyDescent="0.2">
      <c r="A665">
        <v>664</v>
      </c>
      <c r="B665" cm="1">
        <f t="array" ref="B665:AE665">_xlfn.XLOOKUP($A665,Instagram_Usage_Lifestyle_Mini_!$A:$A,Instagram_Usage_Lifestyle_Mini_!$AC:$BF)</f>
        <v>66</v>
      </c>
      <c r="C665">
        <v>3</v>
      </c>
      <c r="D665">
        <v>3</v>
      </c>
      <c r="E665">
        <v>191</v>
      </c>
      <c r="F665">
        <v>47</v>
      </c>
      <c r="G665">
        <v>58</v>
      </c>
      <c r="H665">
        <v>18</v>
      </c>
      <c r="I665">
        <v>15</v>
      </c>
      <c r="J665">
        <v>15</v>
      </c>
      <c r="K665">
        <v>9</v>
      </c>
      <c r="L665">
        <v>0</v>
      </c>
      <c r="M665">
        <v>34</v>
      </c>
      <c r="N665">
        <v>8</v>
      </c>
      <c r="O665">
        <v>15</v>
      </c>
      <c r="P665">
        <v>20</v>
      </c>
      <c r="Q665">
        <v>586</v>
      </c>
      <c r="R665">
        <v>1072</v>
      </c>
      <c r="S665" t="str">
        <v>No</v>
      </c>
      <c r="T665">
        <v>0.32</v>
      </c>
      <c r="U665">
        <v>2014</v>
      </c>
      <c r="V665">
        <v>45721</v>
      </c>
      <c r="W665">
        <v>22</v>
      </c>
      <c r="X665" t="str">
        <v>Videos</v>
      </c>
      <c r="Y665" t="str">
        <v>Travel</v>
      </c>
      <c r="Z665" t="str">
        <v>Public</v>
      </c>
      <c r="AA665" t="str">
        <v>Yes</v>
      </c>
      <c r="AB665" t="str">
        <v>No</v>
      </c>
      <c r="AC665">
        <v>0</v>
      </c>
      <c r="AD665" t="str">
        <v>Free</v>
      </c>
      <c r="AE665">
        <v>1.54</v>
      </c>
      <c r="AF665" s="14">
        <f t="shared" si="10"/>
        <v>0.54664179104477617</v>
      </c>
    </row>
    <row r="666" spans="1:32" x14ac:dyDescent="0.2">
      <c r="A666">
        <v>665</v>
      </c>
      <c r="B666" cm="1">
        <f t="array" ref="B666:AE666">_xlfn.XLOOKUP($A666,Instagram_Usage_Lifestyle_Mini_!$A:$A,Instagram_Usage_Lifestyle_Mini_!$AC:$BF)</f>
        <v>157</v>
      </c>
      <c r="C666">
        <v>5</v>
      </c>
      <c r="D666">
        <v>4</v>
      </c>
      <c r="E666">
        <v>140</v>
      </c>
      <c r="F666">
        <v>85</v>
      </c>
      <c r="G666">
        <v>97</v>
      </c>
      <c r="H666">
        <v>29</v>
      </c>
      <c r="I666">
        <v>25</v>
      </c>
      <c r="J666">
        <v>21</v>
      </c>
      <c r="K666">
        <v>21</v>
      </c>
      <c r="L666">
        <v>7</v>
      </c>
      <c r="M666">
        <v>76</v>
      </c>
      <c r="N666">
        <v>42</v>
      </c>
      <c r="O666">
        <v>25</v>
      </c>
      <c r="P666">
        <v>36</v>
      </c>
      <c r="Q666">
        <v>158</v>
      </c>
      <c r="R666">
        <v>93</v>
      </c>
      <c r="S666" t="str">
        <v>No</v>
      </c>
      <c r="T666">
        <v>0.9</v>
      </c>
      <c r="U666">
        <v>2025</v>
      </c>
      <c r="V666">
        <v>45664</v>
      </c>
      <c r="W666">
        <v>31.4</v>
      </c>
      <c r="X666" t="str">
        <v>Mixed</v>
      </c>
      <c r="Y666" t="str">
        <v>Fitness</v>
      </c>
      <c r="Z666" t="str">
        <v>Private</v>
      </c>
      <c r="AA666" t="str">
        <v>Yes</v>
      </c>
      <c r="AB666" t="str">
        <v>No</v>
      </c>
      <c r="AC666">
        <v>4</v>
      </c>
      <c r="AD666" t="str">
        <v>Free</v>
      </c>
      <c r="AE666">
        <v>1.06</v>
      </c>
      <c r="AF666" s="14">
        <f t="shared" si="10"/>
        <v>1.6989247311827957</v>
      </c>
    </row>
    <row r="667" spans="1:32" x14ac:dyDescent="0.2">
      <c r="A667">
        <v>666</v>
      </c>
      <c r="B667" cm="1">
        <f t="array" ref="B667:AE667">_xlfn.XLOOKUP($A667,Instagram_Usage_Lifestyle_Mini_!$A:$A,Instagram_Usage_Lifestyle_Mini_!$AC:$BF)</f>
        <v>142</v>
      </c>
      <c r="C667">
        <v>7</v>
      </c>
      <c r="D667">
        <v>7</v>
      </c>
      <c r="E667">
        <v>181</v>
      </c>
      <c r="F667">
        <v>89</v>
      </c>
      <c r="G667">
        <v>91</v>
      </c>
      <c r="H667">
        <v>21</v>
      </c>
      <c r="I667">
        <v>24</v>
      </c>
      <c r="J667">
        <v>22</v>
      </c>
      <c r="K667">
        <v>14</v>
      </c>
      <c r="L667">
        <v>5</v>
      </c>
      <c r="M667">
        <v>72</v>
      </c>
      <c r="N667">
        <v>17</v>
      </c>
      <c r="O667">
        <v>17</v>
      </c>
      <c r="P667">
        <v>35</v>
      </c>
      <c r="Q667">
        <v>308</v>
      </c>
      <c r="R667">
        <v>340</v>
      </c>
      <c r="S667" t="str">
        <v>No</v>
      </c>
      <c r="T667">
        <v>0.97</v>
      </c>
      <c r="U667">
        <v>2013</v>
      </c>
      <c r="V667">
        <v>45753</v>
      </c>
      <c r="W667">
        <v>20.3</v>
      </c>
      <c r="X667" t="str">
        <v>Stories</v>
      </c>
      <c r="Y667" t="str">
        <v>Music</v>
      </c>
      <c r="Z667" t="str">
        <v>Public</v>
      </c>
      <c r="AA667" t="str">
        <v>Yes</v>
      </c>
      <c r="AB667" t="str">
        <v>No</v>
      </c>
      <c r="AC667">
        <v>3</v>
      </c>
      <c r="AD667" t="str">
        <v>Premium</v>
      </c>
      <c r="AE667">
        <v>1.08</v>
      </c>
      <c r="AF667" s="14">
        <f t="shared" si="10"/>
        <v>0.90588235294117647</v>
      </c>
    </row>
    <row r="668" spans="1:32" x14ac:dyDescent="0.2">
      <c r="A668">
        <v>667</v>
      </c>
      <c r="B668" cm="1">
        <f t="array" ref="B668:AE668">_xlfn.XLOOKUP($A668,Instagram_Usage_Lifestyle_Mini_!$A:$A,Instagram_Usage_Lifestyle_Mini_!$AC:$BF)</f>
        <v>121</v>
      </c>
      <c r="C668">
        <v>9</v>
      </c>
      <c r="D668">
        <v>3</v>
      </c>
      <c r="E668">
        <v>123</v>
      </c>
      <c r="F668">
        <v>77</v>
      </c>
      <c r="G668">
        <v>88</v>
      </c>
      <c r="H668">
        <v>24</v>
      </c>
      <c r="I668">
        <v>20</v>
      </c>
      <c r="J668">
        <v>18</v>
      </c>
      <c r="K668">
        <v>17</v>
      </c>
      <c r="L668">
        <v>7</v>
      </c>
      <c r="M668">
        <v>60</v>
      </c>
      <c r="N668">
        <v>18</v>
      </c>
      <c r="O668">
        <v>19</v>
      </c>
      <c r="P668">
        <v>26</v>
      </c>
      <c r="Q668">
        <v>2842</v>
      </c>
      <c r="R668">
        <v>3835</v>
      </c>
      <c r="S668" t="str">
        <v>No</v>
      </c>
      <c r="T668">
        <v>0.2</v>
      </c>
      <c r="U668">
        <v>2024</v>
      </c>
      <c r="V668">
        <v>45661</v>
      </c>
      <c r="W668">
        <v>13.4</v>
      </c>
      <c r="X668" t="str">
        <v>Videos</v>
      </c>
      <c r="Y668" t="str">
        <v>Tech</v>
      </c>
      <c r="Z668" t="str">
        <v>Public</v>
      </c>
      <c r="AA668" t="str">
        <v>Yes</v>
      </c>
      <c r="AB668" t="str">
        <v>No</v>
      </c>
      <c r="AC668">
        <v>2</v>
      </c>
      <c r="AD668" t="str">
        <v>Premium</v>
      </c>
      <c r="AE668">
        <v>1.19</v>
      </c>
      <c r="AF668" s="14">
        <f t="shared" si="10"/>
        <v>0.74106910039113427</v>
      </c>
    </row>
    <row r="669" spans="1:32" x14ac:dyDescent="0.2">
      <c r="A669">
        <v>668</v>
      </c>
      <c r="B669" cm="1">
        <f t="array" ref="B669:AE669">_xlfn.XLOOKUP($A669,Instagram_Usage_Lifestyle_Mini_!$A:$A,Instagram_Usage_Lifestyle_Mini_!$AC:$BF)</f>
        <v>46</v>
      </c>
      <c r="C669">
        <v>5</v>
      </c>
      <c r="D669">
        <v>7</v>
      </c>
      <c r="E669">
        <v>151</v>
      </c>
      <c r="F669">
        <v>60</v>
      </c>
      <c r="G669">
        <v>60</v>
      </c>
      <c r="H669">
        <v>11</v>
      </c>
      <c r="I669">
        <v>5</v>
      </c>
      <c r="J669">
        <v>15</v>
      </c>
      <c r="K669">
        <v>13</v>
      </c>
      <c r="L669">
        <v>1</v>
      </c>
      <c r="M669">
        <v>20</v>
      </c>
      <c r="N669">
        <v>9</v>
      </c>
      <c r="O669">
        <v>11</v>
      </c>
      <c r="P669">
        <v>11</v>
      </c>
      <c r="Q669">
        <v>280</v>
      </c>
      <c r="R669">
        <v>637</v>
      </c>
      <c r="S669" t="str">
        <v>No</v>
      </c>
      <c r="T669">
        <v>0.36</v>
      </c>
      <c r="U669">
        <v>2019</v>
      </c>
      <c r="V669">
        <v>45670</v>
      </c>
      <c r="W669">
        <v>9.1999999999999993</v>
      </c>
      <c r="X669" t="str">
        <v>Stories</v>
      </c>
      <c r="Y669" t="str">
        <v>Art</v>
      </c>
      <c r="Z669" t="str">
        <v>Public</v>
      </c>
      <c r="AA669" t="str">
        <v>Yes</v>
      </c>
      <c r="AB669" t="str">
        <v>Yes</v>
      </c>
      <c r="AC669">
        <v>3</v>
      </c>
      <c r="AD669" t="str">
        <v>Premium</v>
      </c>
      <c r="AE669">
        <v>2.19</v>
      </c>
      <c r="AF669" s="14">
        <f t="shared" si="10"/>
        <v>0.43956043956043955</v>
      </c>
    </row>
    <row r="670" spans="1:32" x14ac:dyDescent="0.2">
      <c r="A670">
        <v>669</v>
      </c>
      <c r="B670" cm="1">
        <f t="array" ref="B670:AE670">_xlfn.XLOOKUP($A670,Instagram_Usage_Lifestyle_Mini_!$A:$A,Instagram_Usage_Lifestyle_Mini_!$AC:$BF)</f>
        <v>272</v>
      </c>
      <c r="C670">
        <v>11</v>
      </c>
      <c r="D670">
        <v>7</v>
      </c>
      <c r="E670">
        <v>206</v>
      </c>
      <c r="F670">
        <v>139</v>
      </c>
      <c r="G670">
        <v>156</v>
      </c>
      <c r="H670">
        <v>56</v>
      </c>
      <c r="I670">
        <v>35</v>
      </c>
      <c r="J670">
        <v>43</v>
      </c>
      <c r="K670">
        <v>30</v>
      </c>
      <c r="L670">
        <v>6</v>
      </c>
      <c r="M670">
        <v>127</v>
      </c>
      <c r="N670">
        <v>35</v>
      </c>
      <c r="O670">
        <v>65</v>
      </c>
      <c r="P670">
        <v>101</v>
      </c>
      <c r="Q670">
        <v>1435</v>
      </c>
      <c r="R670">
        <v>1834</v>
      </c>
      <c r="S670" t="str">
        <v>No</v>
      </c>
      <c r="T670">
        <v>0.28999999999999998</v>
      </c>
      <c r="U670">
        <v>2011</v>
      </c>
      <c r="V670">
        <v>45824</v>
      </c>
      <c r="W670">
        <v>24.7</v>
      </c>
      <c r="X670" t="str">
        <v>Videos</v>
      </c>
      <c r="Y670" t="str">
        <v>Fashion</v>
      </c>
      <c r="Z670" t="str">
        <v>Friends_only</v>
      </c>
      <c r="AA670" t="str">
        <v>Yes</v>
      </c>
      <c r="AB670" t="str">
        <v>Yes</v>
      </c>
      <c r="AC670">
        <v>2</v>
      </c>
      <c r="AD670" t="str">
        <v>Free</v>
      </c>
      <c r="AE670">
        <v>1.06</v>
      </c>
      <c r="AF670" s="14">
        <f t="shared" si="10"/>
        <v>0.78244274809160308</v>
      </c>
    </row>
    <row r="671" spans="1:32" x14ac:dyDescent="0.2">
      <c r="A671">
        <v>670</v>
      </c>
      <c r="B671" cm="1">
        <f t="array" ref="B671:AE671">_xlfn.XLOOKUP($A671,Instagram_Usage_Lifestyle_Mini_!$A:$A,Instagram_Usage_Lifestyle_Mini_!$AC:$BF)</f>
        <v>242</v>
      </c>
      <c r="C671">
        <v>22</v>
      </c>
      <c r="D671">
        <v>9</v>
      </c>
      <c r="E671">
        <v>179</v>
      </c>
      <c r="F671">
        <v>143</v>
      </c>
      <c r="G671">
        <v>144</v>
      </c>
      <c r="H671">
        <v>40</v>
      </c>
      <c r="I671">
        <v>42</v>
      </c>
      <c r="J671">
        <v>31</v>
      </c>
      <c r="K671">
        <v>26</v>
      </c>
      <c r="L671">
        <v>6</v>
      </c>
      <c r="M671">
        <v>140</v>
      </c>
      <c r="N671">
        <v>45</v>
      </c>
      <c r="O671">
        <v>26</v>
      </c>
      <c r="P671">
        <v>70</v>
      </c>
      <c r="Q671">
        <v>880</v>
      </c>
      <c r="R671">
        <v>449</v>
      </c>
      <c r="S671" t="str">
        <v>Yes</v>
      </c>
      <c r="T671">
        <v>0.52</v>
      </c>
      <c r="U671">
        <v>2010</v>
      </c>
      <c r="V671">
        <v>45779</v>
      </c>
      <c r="W671">
        <v>11</v>
      </c>
      <c r="X671" t="str">
        <v>Videos</v>
      </c>
      <c r="Y671" t="str">
        <v>Art</v>
      </c>
      <c r="Z671" t="str">
        <v>Public</v>
      </c>
      <c r="AA671" t="str">
        <v>Yes</v>
      </c>
      <c r="AB671" t="str">
        <v>No</v>
      </c>
      <c r="AC671">
        <v>1</v>
      </c>
      <c r="AD671" t="str">
        <v>Free</v>
      </c>
      <c r="AE671">
        <v>1.03</v>
      </c>
      <c r="AF671" s="14">
        <f t="shared" si="10"/>
        <v>1.9599109131403119</v>
      </c>
    </row>
    <row r="672" spans="1:32" x14ac:dyDescent="0.2">
      <c r="A672">
        <v>671</v>
      </c>
      <c r="B672" cm="1">
        <f t="array" ref="B672:AE672">_xlfn.XLOOKUP($A672,Instagram_Usage_Lifestyle_Mini_!$A:$A,Instagram_Usage_Lifestyle_Mini_!$AC:$BF)</f>
        <v>181</v>
      </c>
      <c r="C672">
        <v>10</v>
      </c>
      <c r="D672">
        <v>4</v>
      </c>
      <c r="E672">
        <v>143</v>
      </c>
      <c r="F672">
        <v>118</v>
      </c>
      <c r="G672">
        <v>108</v>
      </c>
      <c r="H672">
        <v>27</v>
      </c>
      <c r="I672">
        <v>30</v>
      </c>
      <c r="J672">
        <v>27</v>
      </c>
      <c r="K672">
        <v>15</v>
      </c>
      <c r="L672">
        <v>8</v>
      </c>
      <c r="M672">
        <v>92</v>
      </c>
      <c r="N672">
        <v>44</v>
      </c>
      <c r="O672">
        <v>36</v>
      </c>
      <c r="P672">
        <v>69</v>
      </c>
      <c r="Q672">
        <v>1848</v>
      </c>
      <c r="R672">
        <v>2691</v>
      </c>
      <c r="S672" t="str">
        <v>No</v>
      </c>
      <c r="T672">
        <v>0.46</v>
      </c>
      <c r="U672">
        <v>2014</v>
      </c>
      <c r="V672">
        <v>45689</v>
      </c>
      <c r="W672">
        <v>18.100000000000001</v>
      </c>
      <c r="X672" t="str">
        <v>Live</v>
      </c>
      <c r="Y672" t="str">
        <v>Tech</v>
      </c>
      <c r="Z672" t="str">
        <v>Public</v>
      </c>
      <c r="AA672" t="str">
        <v>No</v>
      </c>
      <c r="AB672" t="str">
        <v>Yes</v>
      </c>
      <c r="AC672">
        <v>3</v>
      </c>
      <c r="AD672" t="str">
        <v>Free</v>
      </c>
      <c r="AE672">
        <v>0.96</v>
      </c>
      <c r="AF672" s="14">
        <f t="shared" si="10"/>
        <v>0.68673355629877364</v>
      </c>
    </row>
    <row r="673" spans="1:32" x14ac:dyDescent="0.2">
      <c r="A673">
        <v>672</v>
      </c>
      <c r="B673" cm="1">
        <f t="array" ref="B673:AE673">_xlfn.XLOOKUP($A673,Instagram_Usage_Lifestyle_Mini_!$A:$A,Instagram_Usage_Lifestyle_Mini_!$AC:$BF)</f>
        <v>106</v>
      </c>
      <c r="C673">
        <v>4</v>
      </c>
      <c r="D673">
        <v>6</v>
      </c>
      <c r="E673">
        <v>99</v>
      </c>
      <c r="F673">
        <v>70</v>
      </c>
      <c r="G673">
        <v>66</v>
      </c>
      <c r="H673">
        <v>19</v>
      </c>
      <c r="I673">
        <v>12</v>
      </c>
      <c r="J673">
        <v>29</v>
      </c>
      <c r="K673">
        <v>8</v>
      </c>
      <c r="L673">
        <v>0</v>
      </c>
      <c r="M673">
        <v>50</v>
      </c>
      <c r="N673">
        <v>17</v>
      </c>
      <c r="O673">
        <v>24</v>
      </c>
      <c r="P673">
        <v>33</v>
      </c>
      <c r="Q673">
        <v>4105</v>
      </c>
      <c r="R673">
        <v>5443</v>
      </c>
      <c r="S673" t="str">
        <v>No</v>
      </c>
      <c r="T673">
        <v>0.99</v>
      </c>
      <c r="U673">
        <v>2019</v>
      </c>
      <c r="V673">
        <v>45767</v>
      </c>
      <c r="W673">
        <v>26.5</v>
      </c>
      <c r="X673" t="str">
        <v>Mixed</v>
      </c>
      <c r="Y673" t="str">
        <v>Travel</v>
      </c>
      <c r="Z673" t="str">
        <v>Public</v>
      </c>
      <c r="AA673" t="str">
        <v>Yes</v>
      </c>
      <c r="AB673" t="str">
        <v>No</v>
      </c>
      <c r="AC673">
        <v>1</v>
      </c>
      <c r="AD673" t="str">
        <v>Free</v>
      </c>
      <c r="AE673">
        <v>1.1399999999999999</v>
      </c>
      <c r="AF673" s="14">
        <f t="shared" si="10"/>
        <v>0.75417968032335114</v>
      </c>
    </row>
    <row r="674" spans="1:32" x14ac:dyDescent="0.2">
      <c r="A674">
        <v>673</v>
      </c>
      <c r="B674" cm="1">
        <f t="array" ref="B674:AE674">_xlfn.XLOOKUP($A674,Instagram_Usage_Lifestyle_Mini_!$A:$A,Instagram_Usage_Lifestyle_Mini_!$AC:$BF)</f>
        <v>79</v>
      </c>
      <c r="C674">
        <v>3</v>
      </c>
      <c r="D674">
        <v>3</v>
      </c>
      <c r="E674">
        <v>85</v>
      </c>
      <c r="F674">
        <v>50</v>
      </c>
      <c r="G674">
        <v>61</v>
      </c>
      <c r="H674">
        <v>11</v>
      </c>
      <c r="I674">
        <v>21</v>
      </c>
      <c r="J674">
        <v>18</v>
      </c>
      <c r="K674">
        <v>13</v>
      </c>
      <c r="L674">
        <v>3</v>
      </c>
      <c r="M674">
        <v>45</v>
      </c>
      <c r="N674">
        <v>18</v>
      </c>
      <c r="O674">
        <v>13</v>
      </c>
      <c r="P674">
        <v>31</v>
      </c>
      <c r="Q674">
        <v>1966</v>
      </c>
      <c r="R674">
        <v>4229</v>
      </c>
      <c r="S674" t="str">
        <v>No</v>
      </c>
      <c r="T674">
        <v>0.75</v>
      </c>
      <c r="U674">
        <v>2020</v>
      </c>
      <c r="V674">
        <v>45676</v>
      </c>
      <c r="W674">
        <v>26.3</v>
      </c>
      <c r="X674" t="str">
        <v>Reels</v>
      </c>
      <c r="Y674" t="str">
        <v>Music</v>
      </c>
      <c r="Z674" t="str">
        <v>Private</v>
      </c>
      <c r="AA674" t="str">
        <v>Yes</v>
      </c>
      <c r="AB674" t="str">
        <v>No</v>
      </c>
      <c r="AC674">
        <v>2</v>
      </c>
      <c r="AD674" t="str">
        <v>Business</v>
      </c>
      <c r="AE674">
        <v>1.1499999999999999</v>
      </c>
      <c r="AF674" s="14">
        <f t="shared" si="10"/>
        <v>0.46488531567746511</v>
      </c>
    </row>
    <row r="675" spans="1:32" x14ac:dyDescent="0.2">
      <c r="A675">
        <v>674</v>
      </c>
      <c r="B675" cm="1">
        <f t="array" ref="B675:AE675">_xlfn.XLOOKUP($A675,Instagram_Usage_Lifestyle_Mini_!$A:$A,Instagram_Usage_Lifestyle_Mini_!$AC:$BF)</f>
        <v>41</v>
      </c>
      <c r="C675">
        <v>2</v>
      </c>
      <c r="D675">
        <v>5</v>
      </c>
      <c r="E675">
        <v>53</v>
      </c>
      <c r="F675">
        <v>51</v>
      </c>
      <c r="G675">
        <v>50</v>
      </c>
      <c r="H675">
        <v>13</v>
      </c>
      <c r="I675">
        <v>12</v>
      </c>
      <c r="J675">
        <v>13</v>
      </c>
      <c r="K675">
        <v>12</v>
      </c>
      <c r="L675">
        <v>1</v>
      </c>
      <c r="M675">
        <v>23</v>
      </c>
      <c r="N675">
        <v>6</v>
      </c>
      <c r="O675">
        <v>5</v>
      </c>
      <c r="P675">
        <v>11</v>
      </c>
      <c r="Q675">
        <v>243</v>
      </c>
      <c r="R675">
        <v>174</v>
      </c>
      <c r="S675" t="str">
        <v>No</v>
      </c>
      <c r="T675">
        <v>0.95</v>
      </c>
      <c r="U675">
        <v>2024</v>
      </c>
      <c r="V675">
        <v>45929</v>
      </c>
      <c r="W675">
        <v>20.5</v>
      </c>
      <c r="X675" t="str">
        <v>Stories</v>
      </c>
      <c r="Y675" t="str">
        <v>Music</v>
      </c>
      <c r="Z675" t="str">
        <v>Public</v>
      </c>
      <c r="AA675" t="str">
        <v>Yes</v>
      </c>
      <c r="AB675" t="str">
        <v>Yes</v>
      </c>
      <c r="AC675">
        <v>1</v>
      </c>
      <c r="AD675" t="str">
        <v>Free</v>
      </c>
      <c r="AE675">
        <v>2.17</v>
      </c>
      <c r="AF675" s="14">
        <f t="shared" si="10"/>
        <v>1.396551724137931</v>
      </c>
    </row>
    <row r="676" spans="1:32" x14ac:dyDescent="0.2">
      <c r="A676">
        <v>675</v>
      </c>
      <c r="B676" cm="1">
        <f t="array" ref="B676:AE676">_xlfn.XLOOKUP($A676,Instagram_Usage_Lifestyle_Mini_!$A:$A,Instagram_Usage_Lifestyle_Mini_!$AC:$BF)</f>
        <v>228</v>
      </c>
      <c r="C676">
        <v>7</v>
      </c>
      <c r="D676">
        <v>9</v>
      </c>
      <c r="E676">
        <v>250</v>
      </c>
      <c r="F676">
        <v>129</v>
      </c>
      <c r="G676">
        <v>133</v>
      </c>
      <c r="H676">
        <v>53</v>
      </c>
      <c r="I676">
        <v>36</v>
      </c>
      <c r="J676">
        <v>37</v>
      </c>
      <c r="K676">
        <v>16</v>
      </c>
      <c r="L676">
        <v>5</v>
      </c>
      <c r="M676">
        <v>133</v>
      </c>
      <c r="N676">
        <v>45</v>
      </c>
      <c r="O676">
        <v>51</v>
      </c>
      <c r="P676">
        <v>75</v>
      </c>
      <c r="Q676">
        <v>1721</v>
      </c>
      <c r="R676">
        <v>4276</v>
      </c>
      <c r="S676" t="str">
        <v>Yes</v>
      </c>
      <c r="T676">
        <v>0.96</v>
      </c>
      <c r="U676">
        <v>2024</v>
      </c>
      <c r="V676">
        <v>45815</v>
      </c>
      <c r="W676">
        <v>32.6</v>
      </c>
      <c r="X676" t="str">
        <v>Live</v>
      </c>
      <c r="Y676" t="str">
        <v>Fashion</v>
      </c>
      <c r="Z676" t="str">
        <v>Private</v>
      </c>
      <c r="AA676" t="str">
        <v>Yes</v>
      </c>
      <c r="AB676" t="str">
        <v>No</v>
      </c>
      <c r="AC676">
        <v>3</v>
      </c>
      <c r="AD676" t="str">
        <v>Free</v>
      </c>
      <c r="AE676">
        <v>1.1599999999999999</v>
      </c>
      <c r="AF676" s="14">
        <f t="shared" si="10"/>
        <v>0.40247895229186154</v>
      </c>
    </row>
    <row r="677" spans="1:32" x14ac:dyDescent="0.2">
      <c r="A677">
        <v>676</v>
      </c>
      <c r="B677" cm="1">
        <f t="array" ref="B677:AE677">_xlfn.XLOOKUP($A677,Instagram_Usage_Lifestyle_Mini_!$A:$A,Instagram_Usage_Lifestyle_Mini_!$AC:$BF)</f>
        <v>96</v>
      </c>
      <c r="C677">
        <v>9</v>
      </c>
      <c r="D677">
        <v>5</v>
      </c>
      <c r="E677">
        <v>82</v>
      </c>
      <c r="F677">
        <v>56</v>
      </c>
      <c r="G677">
        <v>70</v>
      </c>
      <c r="H677">
        <v>19</v>
      </c>
      <c r="I677">
        <v>19</v>
      </c>
      <c r="J677">
        <v>22</v>
      </c>
      <c r="K677">
        <v>13</v>
      </c>
      <c r="L677">
        <v>3</v>
      </c>
      <c r="M677">
        <v>46</v>
      </c>
      <c r="N677">
        <v>22</v>
      </c>
      <c r="O677">
        <v>24</v>
      </c>
      <c r="P677">
        <v>25</v>
      </c>
      <c r="Q677">
        <v>2766</v>
      </c>
      <c r="R677">
        <v>6317</v>
      </c>
      <c r="S677" t="str">
        <v>Yes</v>
      </c>
      <c r="T677">
        <v>0.99</v>
      </c>
      <c r="U677">
        <v>2015</v>
      </c>
      <c r="V677">
        <v>45716</v>
      </c>
      <c r="W677">
        <v>10.7</v>
      </c>
      <c r="X677" t="str">
        <v>Stories</v>
      </c>
      <c r="Y677" t="str">
        <v>Music</v>
      </c>
      <c r="Z677" t="str">
        <v>Public</v>
      </c>
      <c r="AA677" t="str">
        <v>Yes</v>
      </c>
      <c r="AB677" t="str">
        <v>No</v>
      </c>
      <c r="AC677">
        <v>2</v>
      </c>
      <c r="AD677" t="str">
        <v>Business</v>
      </c>
      <c r="AE677">
        <v>1.27</v>
      </c>
      <c r="AF677" s="14">
        <f t="shared" si="10"/>
        <v>0.43786607566883012</v>
      </c>
    </row>
    <row r="678" spans="1:32" x14ac:dyDescent="0.2">
      <c r="A678">
        <v>677</v>
      </c>
      <c r="B678" cm="1">
        <f t="array" ref="B678:AE678">_xlfn.XLOOKUP($A678,Instagram_Usage_Lifestyle_Mini_!$A:$A,Instagram_Usage_Lifestyle_Mini_!$AC:$BF)</f>
        <v>247</v>
      </c>
      <c r="C678">
        <v>8</v>
      </c>
      <c r="D678">
        <v>6</v>
      </c>
      <c r="E678">
        <v>189</v>
      </c>
      <c r="F678">
        <v>121</v>
      </c>
      <c r="G678">
        <v>163</v>
      </c>
      <c r="H678">
        <v>51</v>
      </c>
      <c r="I678">
        <v>25</v>
      </c>
      <c r="J678">
        <v>40</v>
      </c>
      <c r="K678">
        <v>36</v>
      </c>
      <c r="L678">
        <v>2</v>
      </c>
      <c r="M678">
        <v>132</v>
      </c>
      <c r="N678">
        <v>61</v>
      </c>
      <c r="O678">
        <v>54</v>
      </c>
      <c r="P678">
        <v>97</v>
      </c>
      <c r="Q678">
        <v>59</v>
      </c>
      <c r="R678">
        <v>130</v>
      </c>
      <c r="S678" t="str">
        <v>No</v>
      </c>
      <c r="T678">
        <v>0.21</v>
      </c>
      <c r="U678">
        <v>2018</v>
      </c>
      <c r="V678">
        <v>45761</v>
      </c>
      <c r="W678">
        <v>30.9</v>
      </c>
      <c r="X678" t="str">
        <v>Reels</v>
      </c>
      <c r="Y678" t="str">
        <v>Other</v>
      </c>
      <c r="Z678" t="str">
        <v>Public</v>
      </c>
      <c r="AA678" t="str">
        <v>Yes</v>
      </c>
      <c r="AB678" t="str">
        <v>Yes</v>
      </c>
      <c r="AC678">
        <v>2</v>
      </c>
      <c r="AD678" t="str">
        <v>Free</v>
      </c>
      <c r="AE678">
        <v>1.1399999999999999</v>
      </c>
      <c r="AF678" s="14">
        <f t="shared" si="10"/>
        <v>0.45384615384615384</v>
      </c>
    </row>
    <row r="679" spans="1:32" x14ac:dyDescent="0.2">
      <c r="A679">
        <v>678</v>
      </c>
      <c r="B679" cm="1">
        <f t="array" ref="B679:AE679">_xlfn.XLOOKUP($A679,Instagram_Usage_Lifestyle_Mini_!$A:$A,Instagram_Usage_Lifestyle_Mini_!$AC:$BF)</f>
        <v>231</v>
      </c>
      <c r="C679">
        <v>19</v>
      </c>
      <c r="D679">
        <v>10</v>
      </c>
      <c r="E679">
        <v>154</v>
      </c>
      <c r="F679">
        <v>123</v>
      </c>
      <c r="G679">
        <v>147</v>
      </c>
      <c r="H679">
        <v>46</v>
      </c>
      <c r="I679">
        <v>27</v>
      </c>
      <c r="J679">
        <v>43</v>
      </c>
      <c r="K679">
        <v>30</v>
      </c>
      <c r="L679">
        <v>7</v>
      </c>
      <c r="M679">
        <v>118</v>
      </c>
      <c r="N679">
        <v>53</v>
      </c>
      <c r="O679">
        <v>42</v>
      </c>
      <c r="P679">
        <v>67</v>
      </c>
      <c r="Q679">
        <v>1212</v>
      </c>
      <c r="R679">
        <v>1039</v>
      </c>
      <c r="S679" t="str">
        <v>Yes</v>
      </c>
      <c r="T679">
        <v>0.78</v>
      </c>
      <c r="U679">
        <v>2016</v>
      </c>
      <c r="V679">
        <v>45736</v>
      </c>
      <c r="W679">
        <v>12.2</v>
      </c>
      <c r="X679" t="str">
        <v>Videos</v>
      </c>
      <c r="Y679" t="str">
        <v>Music</v>
      </c>
      <c r="Z679" t="str">
        <v>Friends_only</v>
      </c>
      <c r="AA679" t="str">
        <v>No</v>
      </c>
      <c r="AB679" t="str">
        <v>No</v>
      </c>
      <c r="AC679">
        <v>2</v>
      </c>
      <c r="AD679" t="str">
        <v>Free</v>
      </c>
      <c r="AE679">
        <v>1.1599999999999999</v>
      </c>
      <c r="AF679" s="14">
        <f t="shared" si="10"/>
        <v>1.1665062560153994</v>
      </c>
    </row>
    <row r="680" spans="1:32" x14ac:dyDescent="0.2">
      <c r="A680">
        <v>679</v>
      </c>
      <c r="B680" cm="1">
        <f t="array" ref="B680:AE680">_xlfn.XLOOKUP($A680,Instagram_Usage_Lifestyle_Mini_!$A:$A,Instagram_Usage_Lifestyle_Mini_!$AC:$BF)</f>
        <v>90</v>
      </c>
      <c r="C680">
        <v>5</v>
      </c>
      <c r="D680">
        <v>5</v>
      </c>
      <c r="E680">
        <v>96</v>
      </c>
      <c r="F680">
        <v>57</v>
      </c>
      <c r="G680">
        <v>66</v>
      </c>
      <c r="H680">
        <v>17</v>
      </c>
      <c r="I680">
        <v>18</v>
      </c>
      <c r="J680">
        <v>27</v>
      </c>
      <c r="K680">
        <v>15</v>
      </c>
      <c r="L680">
        <v>3</v>
      </c>
      <c r="M680">
        <v>50</v>
      </c>
      <c r="N680">
        <v>24</v>
      </c>
      <c r="O680">
        <v>18</v>
      </c>
      <c r="P680">
        <v>32</v>
      </c>
      <c r="Q680">
        <v>790</v>
      </c>
      <c r="R680">
        <v>1590</v>
      </c>
      <c r="S680" t="str">
        <v>No</v>
      </c>
      <c r="T680">
        <v>0.27</v>
      </c>
      <c r="U680">
        <v>2025</v>
      </c>
      <c r="V680">
        <v>45700</v>
      </c>
      <c r="W680">
        <v>18</v>
      </c>
      <c r="X680" t="str">
        <v>Mixed</v>
      </c>
      <c r="Y680" t="str">
        <v>Tech</v>
      </c>
      <c r="Z680" t="str">
        <v>Private</v>
      </c>
      <c r="AA680" t="str">
        <v>Yes</v>
      </c>
      <c r="AB680" t="str">
        <v>No</v>
      </c>
      <c r="AC680">
        <v>0</v>
      </c>
      <c r="AD680" t="str">
        <v>Free</v>
      </c>
      <c r="AE680">
        <v>1.26</v>
      </c>
      <c r="AF680" s="14">
        <f t="shared" si="10"/>
        <v>0.49685534591194969</v>
      </c>
    </row>
    <row r="681" spans="1:32" x14ac:dyDescent="0.2">
      <c r="A681">
        <v>680</v>
      </c>
      <c r="B681" cm="1">
        <f t="array" ref="B681:AE681">_xlfn.XLOOKUP($A681,Instagram_Usage_Lifestyle_Mini_!$A:$A,Instagram_Usage_Lifestyle_Mini_!$AC:$BF)</f>
        <v>136</v>
      </c>
      <c r="C681">
        <v>11</v>
      </c>
      <c r="D681">
        <v>2</v>
      </c>
      <c r="E681">
        <v>127</v>
      </c>
      <c r="F681">
        <v>82</v>
      </c>
      <c r="G681">
        <v>85</v>
      </c>
      <c r="H681">
        <v>10</v>
      </c>
      <c r="I681">
        <v>14</v>
      </c>
      <c r="J681">
        <v>17</v>
      </c>
      <c r="K681">
        <v>15</v>
      </c>
      <c r="L681">
        <v>2</v>
      </c>
      <c r="M681">
        <v>69</v>
      </c>
      <c r="N681">
        <v>14</v>
      </c>
      <c r="O681">
        <v>26</v>
      </c>
      <c r="P681">
        <v>46</v>
      </c>
      <c r="Q681">
        <v>274</v>
      </c>
      <c r="R681">
        <v>442</v>
      </c>
      <c r="S681" t="str">
        <v>No</v>
      </c>
      <c r="T681">
        <v>0.1</v>
      </c>
      <c r="U681">
        <v>2014</v>
      </c>
      <c r="V681">
        <v>45864</v>
      </c>
      <c r="W681">
        <v>12.4</v>
      </c>
      <c r="X681" t="str">
        <v>Reels</v>
      </c>
      <c r="Y681" t="str">
        <v>Fashion</v>
      </c>
      <c r="Z681" t="str">
        <v>Private</v>
      </c>
      <c r="AA681" t="str">
        <v>Yes</v>
      </c>
      <c r="AB681" t="str">
        <v>No</v>
      </c>
      <c r="AC681">
        <v>0</v>
      </c>
      <c r="AD681" t="str">
        <v>Free</v>
      </c>
      <c r="AE681">
        <v>0.81</v>
      </c>
      <c r="AF681" s="14">
        <f t="shared" si="10"/>
        <v>0.61990950226244346</v>
      </c>
    </row>
    <row r="682" spans="1:32" x14ac:dyDescent="0.2">
      <c r="A682">
        <v>681</v>
      </c>
      <c r="B682" cm="1">
        <f t="array" ref="B682:AE682">_xlfn.XLOOKUP($A682,Instagram_Usage_Lifestyle_Mini_!$A:$A,Instagram_Usage_Lifestyle_Mini_!$AC:$BF)</f>
        <v>338</v>
      </c>
      <c r="C682">
        <v>23</v>
      </c>
      <c r="D682">
        <v>7</v>
      </c>
      <c r="E682">
        <v>300</v>
      </c>
      <c r="F682">
        <v>150</v>
      </c>
      <c r="G682">
        <v>173</v>
      </c>
      <c r="H682">
        <v>60</v>
      </c>
      <c r="I682">
        <v>46</v>
      </c>
      <c r="J682">
        <v>36</v>
      </c>
      <c r="K682">
        <v>38</v>
      </c>
      <c r="L682">
        <v>8</v>
      </c>
      <c r="M682">
        <v>148</v>
      </c>
      <c r="N682">
        <v>37</v>
      </c>
      <c r="O682">
        <v>52</v>
      </c>
      <c r="P682">
        <v>110</v>
      </c>
      <c r="Q682">
        <v>2235</v>
      </c>
      <c r="R682">
        <v>4924</v>
      </c>
      <c r="S682" t="str">
        <v>No</v>
      </c>
      <c r="T682">
        <v>0.24</v>
      </c>
      <c r="U682">
        <v>2017</v>
      </c>
      <c r="V682">
        <v>45842</v>
      </c>
      <c r="W682">
        <v>14.7</v>
      </c>
      <c r="X682" t="str">
        <v>Videos</v>
      </c>
      <c r="Y682" t="str">
        <v>Art</v>
      </c>
      <c r="Z682" t="str">
        <v>Public</v>
      </c>
      <c r="AA682" t="str">
        <v>No</v>
      </c>
      <c r="AB682" t="str">
        <v>Yes</v>
      </c>
      <c r="AC682">
        <v>0</v>
      </c>
      <c r="AD682" t="str">
        <v>Free</v>
      </c>
      <c r="AE682">
        <v>0.93</v>
      </c>
      <c r="AF682" s="14">
        <f t="shared" si="10"/>
        <v>0.45389926888708365</v>
      </c>
    </row>
    <row r="683" spans="1:32" x14ac:dyDescent="0.2">
      <c r="A683">
        <v>682</v>
      </c>
      <c r="B683" cm="1">
        <f t="array" ref="B683:AE683">_xlfn.XLOOKUP($A683,Instagram_Usage_Lifestyle_Mini_!$A:$A,Instagram_Usage_Lifestyle_Mini_!$AC:$BF)</f>
        <v>413</v>
      </c>
      <c r="C683">
        <v>15</v>
      </c>
      <c r="D683">
        <v>9</v>
      </c>
      <c r="E683">
        <v>300</v>
      </c>
      <c r="F683">
        <v>150</v>
      </c>
      <c r="G683">
        <v>241</v>
      </c>
      <c r="H683">
        <v>80</v>
      </c>
      <c r="I683">
        <v>53</v>
      </c>
      <c r="J683">
        <v>64</v>
      </c>
      <c r="K683">
        <v>34</v>
      </c>
      <c r="L683">
        <v>10</v>
      </c>
      <c r="M683">
        <v>173</v>
      </c>
      <c r="N683">
        <v>106</v>
      </c>
      <c r="O683">
        <v>69</v>
      </c>
      <c r="P683">
        <v>88</v>
      </c>
      <c r="Q683">
        <v>3589</v>
      </c>
      <c r="R683">
        <v>6798</v>
      </c>
      <c r="S683" t="str">
        <v>No</v>
      </c>
      <c r="T683">
        <v>0.12</v>
      </c>
      <c r="U683">
        <v>2024</v>
      </c>
      <c r="V683">
        <v>45681</v>
      </c>
      <c r="W683">
        <v>27.5</v>
      </c>
      <c r="X683" t="str">
        <v>Photos</v>
      </c>
      <c r="Y683" t="str">
        <v>Music</v>
      </c>
      <c r="Z683" t="str">
        <v>Friends_only</v>
      </c>
      <c r="AA683" t="str">
        <v>Yes</v>
      </c>
      <c r="AB683" t="str">
        <v>No</v>
      </c>
      <c r="AC683">
        <v>0</v>
      </c>
      <c r="AD683" t="str">
        <v>Free</v>
      </c>
      <c r="AE683">
        <v>1.03</v>
      </c>
      <c r="AF683" s="14">
        <f t="shared" si="10"/>
        <v>0.52794939688143572</v>
      </c>
    </row>
    <row r="684" spans="1:32" x14ac:dyDescent="0.2">
      <c r="A684">
        <v>683</v>
      </c>
      <c r="B684" cm="1">
        <f t="array" ref="B684:AE684">_xlfn.XLOOKUP($A684,Instagram_Usage_Lifestyle_Mini_!$A:$A,Instagram_Usage_Lifestyle_Mini_!$AC:$BF)</f>
        <v>287</v>
      </c>
      <c r="C684">
        <v>9</v>
      </c>
      <c r="D684">
        <v>11</v>
      </c>
      <c r="E684">
        <v>300</v>
      </c>
      <c r="F684">
        <v>133</v>
      </c>
      <c r="G684">
        <v>170</v>
      </c>
      <c r="H684">
        <v>37</v>
      </c>
      <c r="I684">
        <v>45</v>
      </c>
      <c r="J684">
        <v>39</v>
      </c>
      <c r="K684">
        <v>27</v>
      </c>
      <c r="L684">
        <v>11</v>
      </c>
      <c r="M684">
        <v>133</v>
      </c>
      <c r="N684">
        <v>70</v>
      </c>
      <c r="O684">
        <v>46</v>
      </c>
      <c r="P684">
        <v>104</v>
      </c>
      <c r="Q684">
        <v>505</v>
      </c>
      <c r="R684">
        <v>662</v>
      </c>
      <c r="S684" t="str">
        <v>No</v>
      </c>
      <c r="T684">
        <v>0.13</v>
      </c>
      <c r="U684">
        <v>2021</v>
      </c>
      <c r="V684">
        <v>45838</v>
      </c>
      <c r="W684">
        <v>31.9</v>
      </c>
      <c r="X684" t="str">
        <v>Stories</v>
      </c>
      <c r="Y684" t="str">
        <v>Tech</v>
      </c>
      <c r="Z684" t="str">
        <v>Public</v>
      </c>
      <c r="AA684" t="str">
        <v>No</v>
      </c>
      <c r="AB684" t="str">
        <v>Yes</v>
      </c>
      <c r="AC684">
        <v>2</v>
      </c>
      <c r="AD684" t="str">
        <v>Free</v>
      </c>
      <c r="AE684">
        <v>0.96</v>
      </c>
      <c r="AF684" s="14">
        <f t="shared" si="10"/>
        <v>0.76283987915407858</v>
      </c>
    </row>
    <row r="685" spans="1:32" x14ac:dyDescent="0.2">
      <c r="A685">
        <v>684</v>
      </c>
      <c r="B685" cm="1">
        <f t="array" ref="B685:AE685">_xlfn.XLOOKUP($A685,Instagram_Usage_Lifestyle_Mini_!$A:$A,Instagram_Usage_Lifestyle_Mini_!$AC:$BF)</f>
        <v>214</v>
      </c>
      <c r="C685">
        <v>7</v>
      </c>
      <c r="D685">
        <v>7</v>
      </c>
      <c r="E685">
        <v>164</v>
      </c>
      <c r="F685">
        <v>105</v>
      </c>
      <c r="G685">
        <v>136</v>
      </c>
      <c r="H685">
        <v>41</v>
      </c>
      <c r="I685">
        <v>24</v>
      </c>
      <c r="J685">
        <v>38</v>
      </c>
      <c r="K685">
        <v>16</v>
      </c>
      <c r="L685">
        <v>3</v>
      </c>
      <c r="M685">
        <v>126</v>
      </c>
      <c r="N685">
        <v>26</v>
      </c>
      <c r="O685">
        <v>27</v>
      </c>
      <c r="P685">
        <v>54</v>
      </c>
      <c r="Q685">
        <v>589</v>
      </c>
      <c r="R685">
        <v>762</v>
      </c>
      <c r="S685" t="str">
        <v>No</v>
      </c>
      <c r="T685">
        <v>0.21</v>
      </c>
      <c r="U685">
        <v>2015</v>
      </c>
      <c r="V685">
        <v>45820</v>
      </c>
      <c r="W685">
        <v>30.6</v>
      </c>
      <c r="X685" t="str">
        <v>Videos</v>
      </c>
      <c r="Y685" t="str">
        <v>Fitness</v>
      </c>
      <c r="Z685" t="str">
        <v>Public</v>
      </c>
      <c r="AA685" t="str">
        <v>Yes</v>
      </c>
      <c r="AB685" t="str">
        <v>No</v>
      </c>
      <c r="AC685">
        <v>1</v>
      </c>
      <c r="AD685" t="str">
        <v>Free</v>
      </c>
      <c r="AE685">
        <v>1.1100000000000001</v>
      </c>
      <c r="AF685" s="14">
        <f t="shared" si="10"/>
        <v>0.77296587926509186</v>
      </c>
    </row>
    <row r="686" spans="1:32" x14ac:dyDescent="0.2">
      <c r="A686">
        <v>685</v>
      </c>
      <c r="B686" cm="1">
        <f t="array" ref="B686:AE686">_xlfn.XLOOKUP($A686,Instagram_Usage_Lifestyle_Mini_!$A:$A,Instagram_Usage_Lifestyle_Mini_!$AC:$BF)</f>
        <v>289</v>
      </c>
      <c r="C686">
        <v>15</v>
      </c>
      <c r="D686">
        <v>4</v>
      </c>
      <c r="E686">
        <v>199</v>
      </c>
      <c r="F686">
        <v>150</v>
      </c>
      <c r="G686">
        <v>169</v>
      </c>
      <c r="H686">
        <v>41</v>
      </c>
      <c r="I686">
        <v>44</v>
      </c>
      <c r="J686">
        <v>55</v>
      </c>
      <c r="K686">
        <v>25</v>
      </c>
      <c r="L686">
        <v>9</v>
      </c>
      <c r="M686">
        <v>140</v>
      </c>
      <c r="N686">
        <v>73</v>
      </c>
      <c r="O686">
        <v>51</v>
      </c>
      <c r="P686">
        <v>66</v>
      </c>
      <c r="Q686">
        <v>1096</v>
      </c>
      <c r="R686">
        <v>1095</v>
      </c>
      <c r="S686" t="str">
        <v>No</v>
      </c>
      <c r="T686">
        <v>0.38</v>
      </c>
      <c r="U686">
        <v>2022</v>
      </c>
      <c r="V686">
        <v>45976</v>
      </c>
      <c r="W686">
        <v>19.3</v>
      </c>
      <c r="X686" t="str">
        <v>Mixed</v>
      </c>
      <c r="Y686" t="str">
        <v>Tech</v>
      </c>
      <c r="Z686" t="str">
        <v>Public</v>
      </c>
      <c r="AA686" t="str">
        <v>Yes</v>
      </c>
      <c r="AB686" t="str">
        <v>Yes</v>
      </c>
      <c r="AC686">
        <v>3</v>
      </c>
      <c r="AD686" t="str">
        <v>Free</v>
      </c>
      <c r="AE686">
        <v>0.91</v>
      </c>
      <c r="AF686" s="14">
        <f t="shared" si="10"/>
        <v>1.0009132420091325</v>
      </c>
    </row>
    <row r="687" spans="1:32" x14ac:dyDescent="0.2">
      <c r="A687">
        <v>686</v>
      </c>
      <c r="B687" cm="1">
        <f t="array" ref="B687:AE687">_xlfn.XLOOKUP($A687,Instagram_Usage_Lifestyle_Mini_!$A:$A,Instagram_Usage_Lifestyle_Mini_!$AC:$BF)</f>
        <v>82</v>
      </c>
      <c r="C687">
        <v>3</v>
      </c>
      <c r="D687">
        <v>2</v>
      </c>
      <c r="E687">
        <v>88</v>
      </c>
      <c r="F687">
        <v>72</v>
      </c>
      <c r="G687">
        <v>66</v>
      </c>
      <c r="H687">
        <v>17</v>
      </c>
      <c r="I687">
        <v>9</v>
      </c>
      <c r="J687">
        <v>19</v>
      </c>
      <c r="K687">
        <v>17</v>
      </c>
      <c r="L687">
        <v>1</v>
      </c>
      <c r="M687">
        <v>36</v>
      </c>
      <c r="N687">
        <v>15</v>
      </c>
      <c r="O687">
        <v>14</v>
      </c>
      <c r="P687">
        <v>27</v>
      </c>
      <c r="Q687">
        <v>1060</v>
      </c>
      <c r="R687">
        <v>1444</v>
      </c>
      <c r="S687" t="str">
        <v>Yes</v>
      </c>
      <c r="T687">
        <v>0.19</v>
      </c>
      <c r="U687">
        <v>2011</v>
      </c>
      <c r="V687">
        <v>45841</v>
      </c>
      <c r="W687">
        <v>27.3</v>
      </c>
      <c r="X687" t="str">
        <v>Videos</v>
      </c>
      <c r="Y687" t="str">
        <v>Fitness</v>
      </c>
      <c r="Z687" t="str">
        <v>Private</v>
      </c>
      <c r="AA687" t="str">
        <v>Yes</v>
      </c>
      <c r="AB687" t="str">
        <v>No</v>
      </c>
      <c r="AC687">
        <v>3</v>
      </c>
      <c r="AD687" t="str">
        <v>Free</v>
      </c>
      <c r="AE687">
        <v>1.28</v>
      </c>
      <c r="AF687" s="14">
        <f t="shared" si="10"/>
        <v>0.73407202216066481</v>
      </c>
    </row>
    <row r="688" spans="1:32" x14ac:dyDescent="0.2">
      <c r="A688">
        <v>687</v>
      </c>
      <c r="B688" cm="1">
        <f t="array" ref="B688:AE688">_xlfn.XLOOKUP($A688,Instagram_Usage_Lifestyle_Mini_!$A:$A,Instagram_Usage_Lifestyle_Mini_!$AC:$BF)</f>
        <v>361</v>
      </c>
      <c r="C688">
        <v>14</v>
      </c>
      <c r="D688">
        <v>7</v>
      </c>
      <c r="E688">
        <v>270</v>
      </c>
      <c r="F688">
        <v>149</v>
      </c>
      <c r="G688">
        <v>175</v>
      </c>
      <c r="H688">
        <v>63</v>
      </c>
      <c r="I688">
        <v>41</v>
      </c>
      <c r="J688">
        <v>62</v>
      </c>
      <c r="K688">
        <v>45</v>
      </c>
      <c r="L688">
        <v>5</v>
      </c>
      <c r="M688">
        <v>148</v>
      </c>
      <c r="N688">
        <v>82</v>
      </c>
      <c r="O688">
        <v>48</v>
      </c>
      <c r="P688">
        <v>113</v>
      </c>
      <c r="Q688">
        <v>1752</v>
      </c>
      <c r="R688">
        <v>3727</v>
      </c>
      <c r="S688" t="str">
        <v>No</v>
      </c>
      <c r="T688">
        <v>0.75</v>
      </c>
      <c r="U688">
        <v>2022</v>
      </c>
      <c r="V688">
        <v>46006</v>
      </c>
      <c r="W688">
        <v>25.8</v>
      </c>
      <c r="X688" t="str">
        <v>Live</v>
      </c>
      <c r="Y688" t="str">
        <v>Travel</v>
      </c>
      <c r="Z688" t="str">
        <v>Friends_only</v>
      </c>
      <c r="AA688" t="str">
        <v>Yes</v>
      </c>
      <c r="AB688" t="str">
        <v>No</v>
      </c>
      <c r="AC688">
        <v>5</v>
      </c>
      <c r="AD688" t="str">
        <v>Business</v>
      </c>
      <c r="AE688">
        <v>0.89</v>
      </c>
      <c r="AF688" s="14">
        <f t="shared" si="10"/>
        <v>0.47008317681781592</v>
      </c>
    </row>
    <row r="689" spans="1:32" x14ac:dyDescent="0.2">
      <c r="A689">
        <v>688</v>
      </c>
      <c r="B689" cm="1">
        <f t="array" ref="B689:AE689">_xlfn.XLOOKUP($A689,Instagram_Usage_Lifestyle_Mini_!$A:$A,Instagram_Usage_Lifestyle_Mini_!$AC:$BF)</f>
        <v>178</v>
      </c>
      <c r="C689">
        <v>18</v>
      </c>
      <c r="D689">
        <v>5</v>
      </c>
      <c r="E689">
        <v>226</v>
      </c>
      <c r="F689">
        <v>115</v>
      </c>
      <c r="G689">
        <v>118</v>
      </c>
      <c r="H689">
        <v>31</v>
      </c>
      <c r="I689">
        <v>25</v>
      </c>
      <c r="J689">
        <v>29</v>
      </c>
      <c r="K689">
        <v>14</v>
      </c>
      <c r="L689">
        <v>3</v>
      </c>
      <c r="M689">
        <v>78</v>
      </c>
      <c r="N689">
        <v>21</v>
      </c>
      <c r="O689">
        <v>30</v>
      </c>
      <c r="P689">
        <v>36</v>
      </c>
      <c r="Q689">
        <v>3337</v>
      </c>
      <c r="R689">
        <v>6011</v>
      </c>
      <c r="S689" t="str">
        <v>No</v>
      </c>
      <c r="T689">
        <v>0.28999999999999998</v>
      </c>
      <c r="U689">
        <v>2019</v>
      </c>
      <c r="V689">
        <v>45774</v>
      </c>
      <c r="W689">
        <v>9.9</v>
      </c>
      <c r="X689" t="str">
        <v>Live</v>
      </c>
      <c r="Y689" t="str">
        <v>Fashion</v>
      </c>
      <c r="Z689" t="str">
        <v>Private</v>
      </c>
      <c r="AA689" t="str">
        <v>Yes</v>
      </c>
      <c r="AB689" t="str">
        <v>No</v>
      </c>
      <c r="AC689">
        <v>0</v>
      </c>
      <c r="AD689" t="str">
        <v>Free</v>
      </c>
      <c r="AE689">
        <v>1.0900000000000001</v>
      </c>
      <c r="AF689" s="14">
        <f t="shared" si="10"/>
        <v>0.55514889369489273</v>
      </c>
    </row>
    <row r="690" spans="1:32" x14ac:dyDescent="0.2">
      <c r="A690">
        <v>689</v>
      </c>
      <c r="B690" cm="1">
        <f t="array" ref="B690:AE690">_xlfn.XLOOKUP($A690,Instagram_Usage_Lifestyle_Mini_!$A:$A,Instagram_Usage_Lifestyle_Mini_!$AC:$BF)</f>
        <v>143</v>
      </c>
      <c r="C690">
        <v>6</v>
      </c>
      <c r="D690">
        <v>1</v>
      </c>
      <c r="E690">
        <v>124</v>
      </c>
      <c r="F690">
        <v>90</v>
      </c>
      <c r="G690">
        <v>118</v>
      </c>
      <c r="H690">
        <v>30</v>
      </c>
      <c r="I690">
        <v>24</v>
      </c>
      <c r="J690">
        <v>24</v>
      </c>
      <c r="K690">
        <v>12</v>
      </c>
      <c r="L690">
        <v>6</v>
      </c>
      <c r="M690">
        <v>63</v>
      </c>
      <c r="N690">
        <v>15</v>
      </c>
      <c r="O690">
        <v>24</v>
      </c>
      <c r="P690">
        <v>41</v>
      </c>
      <c r="Q690">
        <v>2630</v>
      </c>
      <c r="R690">
        <v>5595</v>
      </c>
      <c r="S690" t="str">
        <v>Yes</v>
      </c>
      <c r="T690">
        <v>0.77</v>
      </c>
      <c r="U690">
        <v>2023</v>
      </c>
      <c r="V690">
        <v>45670</v>
      </c>
      <c r="W690">
        <v>23.8</v>
      </c>
      <c r="X690" t="str">
        <v>Live</v>
      </c>
      <c r="Y690" t="str">
        <v>Fitness</v>
      </c>
      <c r="Z690" t="str">
        <v>Public</v>
      </c>
      <c r="AA690" t="str">
        <v>Yes</v>
      </c>
      <c r="AB690" t="str">
        <v>Yes</v>
      </c>
      <c r="AC690">
        <v>3</v>
      </c>
      <c r="AD690" t="str">
        <v>Free</v>
      </c>
      <c r="AE690">
        <v>1.26</v>
      </c>
      <c r="AF690" s="14">
        <f t="shared" si="10"/>
        <v>0.47006255585344059</v>
      </c>
    </row>
    <row r="691" spans="1:32" x14ac:dyDescent="0.2">
      <c r="A691">
        <v>690</v>
      </c>
      <c r="B691" cm="1">
        <f t="array" ref="B691:AE691">_xlfn.XLOOKUP($A691,Instagram_Usage_Lifestyle_Mini_!$A:$A,Instagram_Usage_Lifestyle_Mini_!$AC:$BF)</f>
        <v>123</v>
      </c>
      <c r="C691">
        <v>15</v>
      </c>
      <c r="D691">
        <v>4</v>
      </c>
      <c r="E691">
        <v>105</v>
      </c>
      <c r="F691">
        <v>81</v>
      </c>
      <c r="G691">
        <v>71</v>
      </c>
      <c r="H691">
        <v>28</v>
      </c>
      <c r="I691">
        <v>20</v>
      </c>
      <c r="J691">
        <v>27</v>
      </c>
      <c r="K691">
        <v>18</v>
      </c>
      <c r="L691">
        <v>0</v>
      </c>
      <c r="M691">
        <v>60</v>
      </c>
      <c r="N691">
        <v>29</v>
      </c>
      <c r="O691">
        <v>18</v>
      </c>
      <c r="P691">
        <v>25</v>
      </c>
      <c r="Q691">
        <v>1203</v>
      </c>
      <c r="R691">
        <v>489</v>
      </c>
      <c r="S691" t="str">
        <v>Yes</v>
      </c>
      <c r="T691">
        <v>0.21</v>
      </c>
      <c r="U691">
        <v>2012</v>
      </c>
      <c r="V691">
        <v>45751</v>
      </c>
      <c r="W691">
        <v>8.1999999999999993</v>
      </c>
      <c r="X691" t="str">
        <v>Reels</v>
      </c>
      <c r="Y691" t="str">
        <v>Food</v>
      </c>
      <c r="Z691" t="str">
        <v>Friends_only</v>
      </c>
      <c r="AA691" t="str">
        <v>No</v>
      </c>
      <c r="AB691" t="str">
        <v>Yes</v>
      </c>
      <c r="AC691">
        <v>3</v>
      </c>
      <c r="AD691" t="str">
        <v>Premium</v>
      </c>
      <c r="AE691">
        <v>1.1200000000000001</v>
      </c>
      <c r="AF691" s="14">
        <f t="shared" si="10"/>
        <v>2.4601226993865031</v>
      </c>
    </row>
    <row r="692" spans="1:32" x14ac:dyDescent="0.2">
      <c r="A692">
        <v>691</v>
      </c>
      <c r="B692" cm="1">
        <f t="array" ref="B692:AE692">_xlfn.XLOOKUP($A692,Instagram_Usage_Lifestyle_Mini_!$A:$A,Instagram_Usage_Lifestyle_Mini_!$AC:$BF)</f>
        <v>310</v>
      </c>
      <c r="C692">
        <v>27</v>
      </c>
      <c r="D692">
        <v>8</v>
      </c>
      <c r="E692">
        <v>300</v>
      </c>
      <c r="F692">
        <v>150</v>
      </c>
      <c r="G692">
        <v>161</v>
      </c>
      <c r="H692">
        <v>73</v>
      </c>
      <c r="I692">
        <v>43</v>
      </c>
      <c r="J692">
        <v>52</v>
      </c>
      <c r="K692">
        <v>30</v>
      </c>
      <c r="L692">
        <v>6</v>
      </c>
      <c r="M692">
        <v>126</v>
      </c>
      <c r="N692">
        <v>56</v>
      </c>
      <c r="O692">
        <v>61</v>
      </c>
      <c r="P692">
        <v>95</v>
      </c>
      <c r="Q692">
        <v>491</v>
      </c>
      <c r="R692">
        <v>1058</v>
      </c>
      <c r="S692" t="str">
        <v>No</v>
      </c>
      <c r="T692">
        <v>0.1</v>
      </c>
      <c r="U692">
        <v>2015</v>
      </c>
      <c r="V692">
        <v>46002</v>
      </c>
      <c r="W692">
        <v>11.5</v>
      </c>
      <c r="X692" t="str">
        <v>Reels</v>
      </c>
      <c r="Y692" t="str">
        <v>Music</v>
      </c>
      <c r="Z692" t="str">
        <v>Friends_only</v>
      </c>
      <c r="AA692" t="str">
        <v>Yes</v>
      </c>
      <c r="AB692" t="str">
        <v>Yes</v>
      </c>
      <c r="AC692">
        <v>3</v>
      </c>
      <c r="AD692" t="str">
        <v>Premium</v>
      </c>
      <c r="AE692">
        <v>1.06</v>
      </c>
      <c r="AF692" s="14">
        <f t="shared" si="10"/>
        <v>0.46408317580340264</v>
      </c>
    </row>
    <row r="693" spans="1:32" x14ac:dyDescent="0.2">
      <c r="A693">
        <v>692</v>
      </c>
      <c r="B693" cm="1">
        <f t="array" ref="B693:AE693">_xlfn.XLOOKUP($A693,Instagram_Usage_Lifestyle_Mini_!$A:$A,Instagram_Usage_Lifestyle_Mini_!$AC:$BF)</f>
        <v>306</v>
      </c>
      <c r="C693">
        <v>24</v>
      </c>
      <c r="D693">
        <v>14</v>
      </c>
      <c r="E693">
        <v>300</v>
      </c>
      <c r="F693">
        <v>123</v>
      </c>
      <c r="G693">
        <v>143</v>
      </c>
      <c r="H693">
        <v>42</v>
      </c>
      <c r="I693">
        <v>37</v>
      </c>
      <c r="J693">
        <v>43</v>
      </c>
      <c r="K693">
        <v>13</v>
      </c>
      <c r="L693">
        <v>10</v>
      </c>
      <c r="M693">
        <v>177</v>
      </c>
      <c r="N693">
        <v>91</v>
      </c>
      <c r="O693">
        <v>67</v>
      </c>
      <c r="P693">
        <v>79</v>
      </c>
      <c r="Q693">
        <v>1526</v>
      </c>
      <c r="R693">
        <v>1464</v>
      </c>
      <c r="S693" t="str">
        <v>No</v>
      </c>
      <c r="T693">
        <v>0.99</v>
      </c>
      <c r="U693">
        <v>2016</v>
      </c>
      <c r="V693">
        <v>45782</v>
      </c>
      <c r="W693">
        <v>12.8</v>
      </c>
      <c r="X693" t="str">
        <v>Videos</v>
      </c>
      <c r="Y693" t="str">
        <v>Food</v>
      </c>
      <c r="Z693" t="str">
        <v>Friends_only</v>
      </c>
      <c r="AA693" t="str">
        <v>No</v>
      </c>
      <c r="AB693" t="str">
        <v>No</v>
      </c>
      <c r="AC693">
        <v>2</v>
      </c>
      <c r="AD693" t="str">
        <v>Free</v>
      </c>
      <c r="AE693">
        <v>0.88</v>
      </c>
      <c r="AF693" s="14">
        <f t="shared" si="10"/>
        <v>1.0423497267759563</v>
      </c>
    </row>
    <row r="694" spans="1:32" x14ac:dyDescent="0.2">
      <c r="A694">
        <v>693</v>
      </c>
      <c r="B694" cm="1">
        <f t="array" ref="B694:AE694">_xlfn.XLOOKUP($A694,Instagram_Usage_Lifestyle_Mini_!$A:$A,Instagram_Usage_Lifestyle_Mini_!$AC:$BF)</f>
        <v>174</v>
      </c>
      <c r="C694">
        <v>6</v>
      </c>
      <c r="D694">
        <v>3</v>
      </c>
      <c r="E694">
        <v>220</v>
      </c>
      <c r="F694">
        <v>125</v>
      </c>
      <c r="G694">
        <v>115</v>
      </c>
      <c r="H694">
        <v>38</v>
      </c>
      <c r="I694">
        <v>32</v>
      </c>
      <c r="J694">
        <v>31</v>
      </c>
      <c r="K694">
        <v>14</v>
      </c>
      <c r="L694">
        <v>2</v>
      </c>
      <c r="M694">
        <v>103</v>
      </c>
      <c r="N694">
        <v>34</v>
      </c>
      <c r="O694">
        <v>18</v>
      </c>
      <c r="P694">
        <v>44</v>
      </c>
      <c r="Q694">
        <v>892</v>
      </c>
      <c r="R694">
        <v>1801</v>
      </c>
      <c r="S694" t="str">
        <v>Yes</v>
      </c>
      <c r="T694">
        <v>0.57999999999999996</v>
      </c>
      <c r="U694">
        <v>2012</v>
      </c>
      <c r="V694">
        <v>45872</v>
      </c>
      <c r="W694">
        <v>29</v>
      </c>
      <c r="X694" t="str">
        <v>Live</v>
      </c>
      <c r="Y694" t="str">
        <v>Art</v>
      </c>
      <c r="Z694" t="str">
        <v>Friends_only</v>
      </c>
      <c r="AA694" t="str">
        <v>Yes</v>
      </c>
      <c r="AB694" t="str">
        <v>No</v>
      </c>
      <c r="AC694">
        <v>0</v>
      </c>
      <c r="AD694" t="str">
        <v>Free</v>
      </c>
      <c r="AE694">
        <v>1.1399999999999999</v>
      </c>
      <c r="AF694" s="14">
        <f t="shared" si="10"/>
        <v>0.49528039977790117</v>
      </c>
    </row>
    <row r="695" spans="1:32" x14ac:dyDescent="0.2">
      <c r="A695">
        <v>694</v>
      </c>
      <c r="B695" cm="1">
        <f t="array" ref="B695:AE695">_xlfn.XLOOKUP($A695,Instagram_Usage_Lifestyle_Mini_!$A:$A,Instagram_Usage_Lifestyle_Mini_!$AC:$BF)</f>
        <v>327</v>
      </c>
      <c r="C695">
        <v>22</v>
      </c>
      <c r="D695">
        <v>4</v>
      </c>
      <c r="E695">
        <v>255</v>
      </c>
      <c r="F695">
        <v>150</v>
      </c>
      <c r="G695">
        <v>181</v>
      </c>
      <c r="H695">
        <v>59</v>
      </c>
      <c r="I695">
        <v>44</v>
      </c>
      <c r="J695">
        <v>44</v>
      </c>
      <c r="K695">
        <v>29</v>
      </c>
      <c r="L695">
        <v>2</v>
      </c>
      <c r="M695">
        <v>181</v>
      </c>
      <c r="N695">
        <v>44</v>
      </c>
      <c r="O695">
        <v>59</v>
      </c>
      <c r="P695">
        <v>120</v>
      </c>
      <c r="Q695">
        <v>3469</v>
      </c>
      <c r="R695">
        <v>7351</v>
      </c>
      <c r="S695" t="str">
        <v>Yes</v>
      </c>
      <c r="T695">
        <v>0.26</v>
      </c>
      <c r="U695">
        <v>2024</v>
      </c>
      <c r="V695">
        <v>45705</v>
      </c>
      <c r="W695">
        <v>14.9</v>
      </c>
      <c r="X695" t="str">
        <v>Stories</v>
      </c>
      <c r="Y695" t="str">
        <v>Tech</v>
      </c>
      <c r="Z695" t="str">
        <v>Private</v>
      </c>
      <c r="AA695" t="str">
        <v>Yes</v>
      </c>
      <c r="AB695" t="str">
        <v>Yes</v>
      </c>
      <c r="AC695">
        <v>2</v>
      </c>
      <c r="AD695" t="str">
        <v>Free</v>
      </c>
      <c r="AE695">
        <v>0.95</v>
      </c>
      <c r="AF695" s="14">
        <f t="shared" si="10"/>
        <v>0.47190858386614065</v>
      </c>
    </row>
    <row r="696" spans="1:32" x14ac:dyDescent="0.2">
      <c r="A696">
        <v>695</v>
      </c>
      <c r="B696" cm="1">
        <f t="array" ref="B696:AE696">_xlfn.XLOOKUP($A696,Instagram_Usage_Lifestyle_Mini_!$A:$A,Instagram_Usage_Lifestyle_Mini_!$AC:$BF)</f>
        <v>88</v>
      </c>
      <c r="C696">
        <v>3</v>
      </c>
      <c r="D696">
        <v>2</v>
      </c>
      <c r="E696">
        <v>191</v>
      </c>
      <c r="F696">
        <v>55</v>
      </c>
      <c r="G696">
        <v>73</v>
      </c>
      <c r="H696">
        <v>19</v>
      </c>
      <c r="I696">
        <v>10</v>
      </c>
      <c r="J696">
        <v>16</v>
      </c>
      <c r="K696">
        <v>16</v>
      </c>
      <c r="L696">
        <v>2</v>
      </c>
      <c r="M696">
        <v>51</v>
      </c>
      <c r="N696">
        <v>18</v>
      </c>
      <c r="O696">
        <v>21</v>
      </c>
      <c r="P696">
        <v>27</v>
      </c>
      <c r="Q696">
        <v>90</v>
      </c>
      <c r="R696">
        <v>84</v>
      </c>
      <c r="S696" t="str">
        <v>No</v>
      </c>
      <c r="T696">
        <v>0.1</v>
      </c>
      <c r="U696">
        <v>2023</v>
      </c>
      <c r="V696">
        <v>46004</v>
      </c>
      <c r="W696">
        <v>29.3</v>
      </c>
      <c r="X696" t="str">
        <v>Live</v>
      </c>
      <c r="Y696" t="str">
        <v>Music</v>
      </c>
      <c r="Z696" t="str">
        <v>Private</v>
      </c>
      <c r="AA696" t="str">
        <v>Yes</v>
      </c>
      <c r="AB696" t="str">
        <v>Yes</v>
      </c>
      <c r="AC696">
        <v>1</v>
      </c>
      <c r="AD696" t="str">
        <v>Free</v>
      </c>
      <c r="AE696">
        <v>1.31</v>
      </c>
      <c r="AF696" s="14">
        <f t="shared" si="10"/>
        <v>1.0714285714285714</v>
      </c>
    </row>
    <row r="697" spans="1:32" x14ac:dyDescent="0.2">
      <c r="A697">
        <v>696</v>
      </c>
      <c r="B697" cm="1">
        <f t="array" ref="B697:AE697">_xlfn.XLOOKUP($A697,Instagram_Usage_Lifestyle_Mini_!$A:$A,Instagram_Usage_Lifestyle_Mini_!$AC:$BF)</f>
        <v>238</v>
      </c>
      <c r="C697">
        <v>8</v>
      </c>
      <c r="D697">
        <v>11</v>
      </c>
      <c r="E697">
        <v>174</v>
      </c>
      <c r="F697">
        <v>125</v>
      </c>
      <c r="G697">
        <v>129</v>
      </c>
      <c r="H697">
        <v>43</v>
      </c>
      <c r="I697">
        <v>27</v>
      </c>
      <c r="J697">
        <v>49</v>
      </c>
      <c r="K697">
        <v>24</v>
      </c>
      <c r="L697">
        <v>4</v>
      </c>
      <c r="M697">
        <v>139</v>
      </c>
      <c r="N697">
        <v>45</v>
      </c>
      <c r="O697">
        <v>46</v>
      </c>
      <c r="P697">
        <v>92</v>
      </c>
      <c r="Q697">
        <v>1042</v>
      </c>
      <c r="R697">
        <v>2395</v>
      </c>
      <c r="S697" t="str">
        <v>No</v>
      </c>
      <c r="T697">
        <v>0.34</v>
      </c>
      <c r="U697">
        <v>2011</v>
      </c>
      <c r="V697">
        <v>45885</v>
      </c>
      <c r="W697">
        <v>29.8</v>
      </c>
      <c r="X697" t="str">
        <v>Stories</v>
      </c>
      <c r="Y697" t="str">
        <v>Tech</v>
      </c>
      <c r="Z697" t="str">
        <v>Private</v>
      </c>
      <c r="AA697" t="str">
        <v>No</v>
      </c>
      <c r="AB697" t="str">
        <v>No</v>
      </c>
      <c r="AC697">
        <v>1</v>
      </c>
      <c r="AD697" t="str">
        <v>Free</v>
      </c>
      <c r="AE697">
        <v>1.04</v>
      </c>
      <c r="AF697" s="14">
        <f t="shared" si="10"/>
        <v>0.4350730688935282</v>
      </c>
    </row>
    <row r="698" spans="1:32" x14ac:dyDescent="0.2">
      <c r="A698">
        <v>697</v>
      </c>
      <c r="B698" cm="1">
        <f t="array" ref="B698:AE698">_xlfn.XLOOKUP($A698,Instagram_Usage_Lifestyle_Mini_!$A:$A,Instagram_Usage_Lifestyle_Mini_!$AC:$BF)</f>
        <v>293</v>
      </c>
      <c r="C698">
        <v>26</v>
      </c>
      <c r="D698">
        <v>18</v>
      </c>
      <c r="E698">
        <v>300</v>
      </c>
      <c r="F698">
        <v>146</v>
      </c>
      <c r="G698">
        <v>176</v>
      </c>
      <c r="H698">
        <v>58</v>
      </c>
      <c r="I698">
        <v>32</v>
      </c>
      <c r="J698">
        <v>50</v>
      </c>
      <c r="K698">
        <v>35</v>
      </c>
      <c r="L698">
        <v>6</v>
      </c>
      <c r="M698">
        <v>151</v>
      </c>
      <c r="N698">
        <v>32</v>
      </c>
      <c r="O698">
        <v>31</v>
      </c>
      <c r="P698">
        <v>76</v>
      </c>
      <c r="Q698">
        <v>253</v>
      </c>
      <c r="R698">
        <v>348</v>
      </c>
      <c r="S698" t="str">
        <v>No</v>
      </c>
      <c r="T698">
        <v>0.22</v>
      </c>
      <c r="U698">
        <v>2025</v>
      </c>
      <c r="V698">
        <v>45930</v>
      </c>
      <c r="W698">
        <v>11.3</v>
      </c>
      <c r="X698" t="str">
        <v>Stories</v>
      </c>
      <c r="Y698" t="str">
        <v>Tech</v>
      </c>
      <c r="Z698" t="str">
        <v>Friends_only</v>
      </c>
      <c r="AA698" t="str">
        <v>No</v>
      </c>
      <c r="AB698" t="str">
        <v>No</v>
      </c>
      <c r="AC698">
        <v>1</v>
      </c>
      <c r="AD698" t="str">
        <v>Free</v>
      </c>
      <c r="AE698">
        <v>1.18</v>
      </c>
      <c r="AF698" s="14">
        <f t="shared" si="10"/>
        <v>0.72701149425287359</v>
      </c>
    </row>
    <row r="699" spans="1:32" x14ac:dyDescent="0.2">
      <c r="A699">
        <v>698</v>
      </c>
      <c r="B699" cm="1">
        <f t="array" ref="B699:AE699">_xlfn.XLOOKUP($A699,Instagram_Usage_Lifestyle_Mini_!$A:$A,Instagram_Usage_Lifestyle_Mini_!$AC:$BF)</f>
        <v>8</v>
      </c>
      <c r="C699">
        <v>1</v>
      </c>
      <c r="D699">
        <v>5</v>
      </c>
      <c r="E699">
        <v>57</v>
      </c>
      <c r="F699">
        <v>26</v>
      </c>
      <c r="G699">
        <v>27</v>
      </c>
      <c r="H699">
        <v>4</v>
      </c>
      <c r="I699">
        <v>10</v>
      </c>
      <c r="J699">
        <v>13</v>
      </c>
      <c r="K699">
        <v>8</v>
      </c>
      <c r="L699">
        <v>0</v>
      </c>
      <c r="M699">
        <v>3</v>
      </c>
      <c r="N699">
        <v>1</v>
      </c>
      <c r="O699">
        <v>1</v>
      </c>
      <c r="P699">
        <v>3</v>
      </c>
      <c r="Q699">
        <v>1804</v>
      </c>
      <c r="R699">
        <v>3071</v>
      </c>
      <c r="S699" t="str">
        <v>No</v>
      </c>
      <c r="T699">
        <v>0.52</v>
      </c>
      <c r="U699">
        <v>2010</v>
      </c>
      <c r="V699">
        <v>45880</v>
      </c>
      <c r="W699">
        <v>8</v>
      </c>
      <c r="X699" t="str">
        <v>Photos</v>
      </c>
      <c r="Y699" t="str">
        <v>Fashion</v>
      </c>
      <c r="Z699" t="str">
        <v>Private</v>
      </c>
      <c r="AA699" t="str">
        <v>Yes</v>
      </c>
      <c r="AB699" t="str">
        <v>No</v>
      </c>
      <c r="AC699">
        <v>2</v>
      </c>
      <c r="AD699" t="str">
        <v>Free</v>
      </c>
      <c r="AE699">
        <v>5.56</v>
      </c>
      <c r="AF699" s="14">
        <f t="shared" si="10"/>
        <v>0.58743080429827421</v>
      </c>
    </row>
    <row r="700" spans="1:32" x14ac:dyDescent="0.2">
      <c r="A700">
        <v>699</v>
      </c>
      <c r="B700" cm="1">
        <f t="array" ref="B700:AE700">_xlfn.XLOOKUP($A700,Instagram_Usage_Lifestyle_Mini_!$A:$A,Instagram_Usage_Lifestyle_Mini_!$AC:$BF)</f>
        <v>12</v>
      </c>
      <c r="C700">
        <v>1</v>
      </c>
      <c r="D700">
        <v>4</v>
      </c>
      <c r="E700">
        <v>124</v>
      </c>
      <c r="F700">
        <v>30</v>
      </c>
      <c r="G700">
        <v>31</v>
      </c>
      <c r="H700">
        <v>7</v>
      </c>
      <c r="I700">
        <v>13</v>
      </c>
      <c r="J700">
        <v>7</v>
      </c>
      <c r="K700">
        <v>6</v>
      </c>
      <c r="L700">
        <v>1</v>
      </c>
      <c r="M700">
        <v>6</v>
      </c>
      <c r="N700">
        <v>3</v>
      </c>
      <c r="O700">
        <v>2</v>
      </c>
      <c r="P700">
        <v>4</v>
      </c>
      <c r="Q700">
        <v>163</v>
      </c>
      <c r="R700">
        <v>327</v>
      </c>
      <c r="S700" t="str">
        <v>No</v>
      </c>
      <c r="T700">
        <v>0.24</v>
      </c>
      <c r="U700">
        <v>2012</v>
      </c>
      <c r="V700">
        <v>45722</v>
      </c>
      <c r="W700">
        <v>12</v>
      </c>
      <c r="X700" t="str">
        <v>Videos</v>
      </c>
      <c r="Y700" t="str">
        <v>Other</v>
      </c>
      <c r="Z700" t="str">
        <v>Public</v>
      </c>
      <c r="AA700" t="str">
        <v>Yes</v>
      </c>
      <c r="AB700" t="str">
        <v>No</v>
      </c>
      <c r="AC700">
        <v>5</v>
      </c>
      <c r="AD700" t="str">
        <v>Free</v>
      </c>
      <c r="AE700">
        <v>4.38</v>
      </c>
      <c r="AF700" s="14">
        <f t="shared" si="10"/>
        <v>0.49847094801223241</v>
      </c>
    </row>
    <row r="701" spans="1:32" x14ac:dyDescent="0.2">
      <c r="A701">
        <v>700</v>
      </c>
      <c r="B701" cm="1">
        <f t="array" ref="B701:AE701">_xlfn.XLOOKUP($A701,Instagram_Usage_Lifestyle_Mini_!$A:$A,Instagram_Usage_Lifestyle_Mini_!$AC:$BF)</f>
        <v>5</v>
      </c>
      <c r="C701">
        <v>1</v>
      </c>
      <c r="D701">
        <v>2</v>
      </c>
      <c r="E701">
        <v>39</v>
      </c>
      <c r="F701">
        <v>34</v>
      </c>
      <c r="G701">
        <v>27</v>
      </c>
      <c r="H701">
        <v>6</v>
      </c>
      <c r="I701">
        <v>13</v>
      </c>
      <c r="J701">
        <v>6</v>
      </c>
      <c r="K701">
        <v>4</v>
      </c>
      <c r="L701">
        <v>1</v>
      </c>
      <c r="M701">
        <v>2</v>
      </c>
      <c r="N701">
        <v>1</v>
      </c>
      <c r="O701">
        <v>1</v>
      </c>
      <c r="P701">
        <v>2</v>
      </c>
      <c r="Q701">
        <v>632</v>
      </c>
      <c r="R701">
        <v>1292</v>
      </c>
      <c r="S701" t="str">
        <v>Yes</v>
      </c>
      <c r="T701">
        <v>0.47</v>
      </c>
      <c r="U701">
        <v>2019</v>
      </c>
      <c r="V701">
        <v>45755</v>
      </c>
      <c r="W701">
        <v>5</v>
      </c>
      <c r="X701" t="str">
        <v>Stories</v>
      </c>
      <c r="Y701" t="str">
        <v>Fitness</v>
      </c>
      <c r="Z701" t="str">
        <v>Friends_only</v>
      </c>
      <c r="AA701" t="str">
        <v>No</v>
      </c>
      <c r="AB701" t="str">
        <v>Yes</v>
      </c>
      <c r="AC701">
        <v>1</v>
      </c>
      <c r="AD701" t="str">
        <v>Free</v>
      </c>
      <c r="AE701">
        <v>7.5</v>
      </c>
      <c r="AF701" s="14">
        <f t="shared" si="10"/>
        <v>0.48916408668730649</v>
      </c>
    </row>
    <row r="702" spans="1:32" x14ac:dyDescent="0.2">
      <c r="A702">
        <v>701</v>
      </c>
      <c r="B702" cm="1">
        <f t="array" ref="B702:AE702">_xlfn.XLOOKUP($A702,Instagram_Usage_Lifestyle_Mini_!$A:$A,Instagram_Usage_Lifestyle_Mini_!$AC:$BF)</f>
        <v>225</v>
      </c>
      <c r="C702">
        <v>13</v>
      </c>
      <c r="D702">
        <v>13</v>
      </c>
      <c r="E702">
        <v>171</v>
      </c>
      <c r="F702">
        <v>128</v>
      </c>
      <c r="G702">
        <v>125</v>
      </c>
      <c r="H702">
        <v>38</v>
      </c>
      <c r="I702">
        <v>35</v>
      </c>
      <c r="J702">
        <v>31</v>
      </c>
      <c r="K702">
        <v>21</v>
      </c>
      <c r="L702">
        <v>5</v>
      </c>
      <c r="M702">
        <v>104</v>
      </c>
      <c r="N702">
        <v>63</v>
      </c>
      <c r="O702">
        <v>49</v>
      </c>
      <c r="P702">
        <v>50</v>
      </c>
      <c r="Q702">
        <v>389</v>
      </c>
      <c r="R702">
        <v>208</v>
      </c>
      <c r="S702" t="str">
        <v>No</v>
      </c>
      <c r="T702">
        <v>0.16</v>
      </c>
      <c r="U702">
        <v>2022</v>
      </c>
      <c r="V702">
        <v>45692</v>
      </c>
      <c r="W702">
        <v>17.3</v>
      </c>
      <c r="X702" t="str">
        <v>Stories</v>
      </c>
      <c r="Y702" t="str">
        <v>Other</v>
      </c>
      <c r="Z702" t="str">
        <v>Public</v>
      </c>
      <c r="AA702" t="str">
        <v>Yes</v>
      </c>
      <c r="AB702" t="str">
        <v>No</v>
      </c>
      <c r="AC702">
        <v>2</v>
      </c>
      <c r="AD702" t="str">
        <v>Premium</v>
      </c>
      <c r="AE702">
        <v>1.06</v>
      </c>
      <c r="AF702" s="14">
        <f t="shared" si="10"/>
        <v>1.8701923076923077</v>
      </c>
    </row>
    <row r="703" spans="1:32" x14ac:dyDescent="0.2">
      <c r="A703">
        <v>702</v>
      </c>
      <c r="B703" cm="1">
        <f t="array" ref="B703:AE703">_xlfn.XLOOKUP($A703,Instagram_Usage_Lifestyle_Mini_!$A:$A,Instagram_Usage_Lifestyle_Mini_!$AC:$BF)</f>
        <v>317</v>
      </c>
      <c r="C703">
        <v>10</v>
      </c>
      <c r="D703">
        <v>15</v>
      </c>
      <c r="E703">
        <v>300</v>
      </c>
      <c r="F703">
        <v>140</v>
      </c>
      <c r="G703">
        <v>171</v>
      </c>
      <c r="H703">
        <v>50</v>
      </c>
      <c r="I703">
        <v>54</v>
      </c>
      <c r="J703">
        <v>45</v>
      </c>
      <c r="K703">
        <v>26</v>
      </c>
      <c r="L703">
        <v>1</v>
      </c>
      <c r="M703">
        <v>153</v>
      </c>
      <c r="N703">
        <v>36</v>
      </c>
      <c r="O703">
        <v>42</v>
      </c>
      <c r="P703">
        <v>106</v>
      </c>
      <c r="Q703">
        <v>673</v>
      </c>
      <c r="R703">
        <v>868</v>
      </c>
      <c r="S703" t="str">
        <v>No</v>
      </c>
      <c r="T703">
        <v>0.39</v>
      </c>
      <c r="U703">
        <v>2025</v>
      </c>
      <c r="V703">
        <v>45688</v>
      </c>
      <c r="W703">
        <v>31.7</v>
      </c>
      <c r="X703" t="str">
        <v>Videos</v>
      </c>
      <c r="Y703" t="str">
        <v>Other</v>
      </c>
      <c r="Z703" t="str">
        <v>Private</v>
      </c>
      <c r="AA703" t="str">
        <v>Yes</v>
      </c>
      <c r="AB703" t="str">
        <v>Yes</v>
      </c>
      <c r="AC703">
        <v>4</v>
      </c>
      <c r="AD703" t="str">
        <v>Business</v>
      </c>
      <c r="AE703">
        <v>0.99</v>
      </c>
      <c r="AF703" s="14">
        <f t="shared" si="10"/>
        <v>0.77534562211981561</v>
      </c>
    </row>
    <row r="704" spans="1:32" x14ac:dyDescent="0.2">
      <c r="A704">
        <v>703</v>
      </c>
      <c r="B704" cm="1">
        <f t="array" ref="B704:AE704">_xlfn.XLOOKUP($A704,Instagram_Usage_Lifestyle_Mini_!$A:$A,Instagram_Usage_Lifestyle_Mini_!$AC:$BF)</f>
        <v>301</v>
      </c>
      <c r="C704">
        <v>9</v>
      </c>
      <c r="D704">
        <v>9</v>
      </c>
      <c r="E704">
        <v>246</v>
      </c>
      <c r="F704">
        <v>143</v>
      </c>
      <c r="G704">
        <v>183</v>
      </c>
      <c r="H704">
        <v>50</v>
      </c>
      <c r="I704">
        <v>43</v>
      </c>
      <c r="J704">
        <v>40</v>
      </c>
      <c r="K704">
        <v>34</v>
      </c>
      <c r="L704">
        <v>6</v>
      </c>
      <c r="M704">
        <v>139</v>
      </c>
      <c r="N704">
        <v>85</v>
      </c>
      <c r="O704">
        <v>69</v>
      </c>
      <c r="P704">
        <v>90</v>
      </c>
      <c r="Q704">
        <v>21450</v>
      </c>
      <c r="R704">
        <v>10000</v>
      </c>
      <c r="S704" t="str">
        <v>No</v>
      </c>
      <c r="T704">
        <v>0.48</v>
      </c>
      <c r="U704">
        <v>2011</v>
      </c>
      <c r="V704">
        <v>45883</v>
      </c>
      <c r="W704">
        <v>33.4</v>
      </c>
      <c r="X704" t="str">
        <v>Photos</v>
      </c>
      <c r="Y704" t="str">
        <v>Fitness</v>
      </c>
      <c r="Z704" t="str">
        <v>Public</v>
      </c>
      <c r="AA704" t="str">
        <v>Yes</v>
      </c>
      <c r="AB704" t="str">
        <v>No</v>
      </c>
      <c r="AC704">
        <v>2</v>
      </c>
      <c r="AD704" t="str">
        <v>Free</v>
      </c>
      <c r="AE704">
        <v>1.03</v>
      </c>
      <c r="AF704" s="14">
        <f t="shared" si="10"/>
        <v>2.145</v>
      </c>
    </row>
    <row r="705" spans="1:32" x14ac:dyDescent="0.2">
      <c r="A705">
        <v>704</v>
      </c>
      <c r="B705" cm="1">
        <f t="array" ref="B705:AE705">_xlfn.XLOOKUP($A705,Instagram_Usage_Lifestyle_Mini_!$A:$A,Instagram_Usage_Lifestyle_Mini_!$AC:$BF)</f>
        <v>278</v>
      </c>
      <c r="C705">
        <v>10</v>
      </c>
      <c r="D705">
        <v>4</v>
      </c>
      <c r="E705">
        <v>223</v>
      </c>
      <c r="F705">
        <v>135</v>
      </c>
      <c r="G705">
        <v>173</v>
      </c>
      <c r="H705">
        <v>46</v>
      </c>
      <c r="I705">
        <v>29</v>
      </c>
      <c r="J705">
        <v>39</v>
      </c>
      <c r="K705">
        <v>39</v>
      </c>
      <c r="L705">
        <v>6</v>
      </c>
      <c r="M705">
        <v>113</v>
      </c>
      <c r="N705">
        <v>39</v>
      </c>
      <c r="O705">
        <v>64</v>
      </c>
      <c r="P705">
        <v>88</v>
      </c>
      <c r="Q705">
        <v>433</v>
      </c>
      <c r="R705">
        <v>288</v>
      </c>
      <c r="S705" t="str">
        <v>No</v>
      </c>
      <c r="T705">
        <v>0.85</v>
      </c>
      <c r="U705">
        <v>2017</v>
      </c>
      <c r="V705">
        <v>45859</v>
      </c>
      <c r="W705">
        <v>27.8</v>
      </c>
      <c r="X705" t="str">
        <v>Videos</v>
      </c>
      <c r="Y705" t="str">
        <v>Art</v>
      </c>
      <c r="Z705" t="str">
        <v>Public</v>
      </c>
      <c r="AA705" t="str">
        <v>Yes</v>
      </c>
      <c r="AB705" t="str">
        <v>No</v>
      </c>
      <c r="AC705">
        <v>3</v>
      </c>
      <c r="AD705" t="str">
        <v>Free</v>
      </c>
      <c r="AE705">
        <v>0.99</v>
      </c>
      <c r="AF705" s="14">
        <f t="shared" si="10"/>
        <v>1.5034722222222223</v>
      </c>
    </row>
    <row r="706" spans="1:32" x14ac:dyDescent="0.2">
      <c r="A706">
        <v>705</v>
      </c>
      <c r="B706" cm="1">
        <f t="array" ref="B706:AE706">_xlfn.XLOOKUP($A706,Instagram_Usage_Lifestyle_Mini_!$A:$A,Instagram_Usage_Lifestyle_Mini_!$AC:$BF)</f>
        <v>293</v>
      </c>
      <c r="C706">
        <v>11</v>
      </c>
      <c r="D706">
        <v>11</v>
      </c>
      <c r="E706">
        <v>274</v>
      </c>
      <c r="F706">
        <v>149</v>
      </c>
      <c r="G706">
        <v>167</v>
      </c>
      <c r="H706">
        <v>51</v>
      </c>
      <c r="I706">
        <v>33</v>
      </c>
      <c r="J706">
        <v>35</v>
      </c>
      <c r="K706">
        <v>29</v>
      </c>
      <c r="L706">
        <v>11</v>
      </c>
      <c r="M706">
        <v>140</v>
      </c>
      <c r="N706">
        <v>63</v>
      </c>
      <c r="O706">
        <v>47</v>
      </c>
      <c r="P706">
        <v>114</v>
      </c>
      <c r="Q706">
        <v>2647</v>
      </c>
      <c r="R706">
        <v>1432</v>
      </c>
      <c r="S706" t="str">
        <v>No</v>
      </c>
      <c r="T706">
        <v>0.83</v>
      </c>
      <c r="U706">
        <v>2012</v>
      </c>
      <c r="V706">
        <v>45909</v>
      </c>
      <c r="W706">
        <v>26.6</v>
      </c>
      <c r="X706" t="str">
        <v>Videos</v>
      </c>
      <c r="Y706" t="str">
        <v>Fitness</v>
      </c>
      <c r="Z706" t="str">
        <v>Friends_only</v>
      </c>
      <c r="AA706" t="str">
        <v>Yes</v>
      </c>
      <c r="AB706" t="str">
        <v>No</v>
      </c>
      <c r="AC706">
        <v>2</v>
      </c>
      <c r="AD706" t="str">
        <v>Free</v>
      </c>
      <c r="AE706">
        <v>1.03</v>
      </c>
      <c r="AF706" s="14">
        <f t="shared" si="10"/>
        <v>1.848463687150838</v>
      </c>
    </row>
    <row r="707" spans="1:32" x14ac:dyDescent="0.2">
      <c r="A707">
        <v>706</v>
      </c>
      <c r="B707" cm="1">
        <f t="array" ref="B707:AE707">_xlfn.XLOOKUP($A707,Instagram_Usage_Lifestyle_Mini_!$A:$A,Instagram_Usage_Lifestyle_Mini_!$AC:$BF)</f>
        <v>257</v>
      </c>
      <c r="C707">
        <v>9</v>
      </c>
      <c r="D707">
        <v>12</v>
      </c>
      <c r="E707">
        <v>282</v>
      </c>
      <c r="F707">
        <v>125</v>
      </c>
      <c r="G707">
        <v>121</v>
      </c>
      <c r="H707">
        <v>46</v>
      </c>
      <c r="I707">
        <v>37</v>
      </c>
      <c r="J707">
        <v>39</v>
      </c>
      <c r="K707">
        <v>23</v>
      </c>
      <c r="L707">
        <v>5</v>
      </c>
      <c r="M707">
        <v>130</v>
      </c>
      <c r="N707">
        <v>60</v>
      </c>
      <c r="O707">
        <v>39</v>
      </c>
      <c r="P707">
        <v>89</v>
      </c>
      <c r="Q707">
        <v>2843</v>
      </c>
      <c r="R707">
        <v>4127</v>
      </c>
      <c r="S707" t="str">
        <v>No</v>
      </c>
      <c r="T707">
        <v>0.97</v>
      </c>
      <c r="U707">
        <v>2013</v>
      </c>
      <c r="V707">
        <v>45858</v>
      </c>
      <c r="W707">
        <v>28.6</v>
      </c>
      <c r="X707" t="str">
        <v>Photos</v>
      </c>
      <c r="Y707" t="str">
        <v>Tech</v>
      </c>
      <c r="Z707" t="str">
        <v>Private</v>
      </c>
      <c r="AA707" t="str">
        <v>Yes</v>
      </c>
      <c r="AB707" t="str">
        <v>No</v>
      </c>
      <c r="AC707">
        <v>0</v>
      </c>
      <c r="AD707" t="str">
        <v>Free</v>
      </c>
      <c r="AE707">
        <v>0.97</v>
      </c>
      <c r="AF707" s="14">
        <f t="shared" ref="AF707:AF770" si="11">IF(R707=0,0,Q707/R707)</f>
        <v>0.6888781196995396</v>
      </c>
    </row>
    <row r="708" spans="1:32" x14ac:dyDescent="0.2">
      <c r="A708">
        <v>707</v>
      </c>
      <c r="B708" cm="1">
        <f t="array" ref="B708:AE708">_xlfn.XLOOKUP($A708,Instagram_Usage_Lifestyle_Mini_!$A:$A,Instagram_Usage_Lifestyle_Mini_!$AC:$BF)</f>
        <v>151</v>
      </c>
      <c r="C708">
        <v>19</v>
      </c>
      <c r="D708">
        <v>1</v>
      </c>
      <c r="E708">
        <v>140</v>
      </c>
      <c r="F708">
        <v>88</v>
      </c>
      <c r="G708">
        <v>101</v>
      </c>
      <c r="H708">
        <v>31</v>
      </c>
      <c r="I708">
        <v>25</v>
      </c>
      <c r="J708">
        <v>21</v>
      </c>
      <c r="K708">
        <v>17</v>
      </c>
      <c r="L708">
        <v>8</v>
      </c>
      <c r="M708">
        <v>74</v>
      </c>
      <c r="N708">
        <v>24</v>
      </c>
      <c r="O708">
        <v>31</v>
      </c>
      <c r="P708">
        <v>57</v>
      </c>
      <c r="Q708">
        <v>686</v>
      </c>
      <c r="R708">
        <v>1595</v>
      </c>
      <c r="S708" t="str">
        <v>Yes</v>
      </c>
      <c r="T708">
        <v>0.79</v>
      </c>
      <c r="U708">
        <v>2015</v>
      </c>
      <c r="V708">
        <v>45981</v>
      </c>
      <c r="W708">
        <v>7.9</v>
      </c>
      <c r="X708" t="str">
        <v>Live</v>
      </c>
      <c r="Y708" t="str">
        <v>Travel</v>
      </c>
      <c r="Z708" t="str">
        <v>Friends_only</v>
      </c>
      <c r="AA708" t="str">
        <v>Yes</v>
      </c>
      <c r="AB708" t="str">
        <v>No</v>
      </c>
      <c r="AC708">
        <v>2</v>
      </c>
      <c r="AD708" t="str">
        <v>Premium</v>
      </c>
      <c r="AE708">
        <v>1.0900000000000001</v>
      </c>
      <c r="AF708" s="14">
        <f t="shared" si="11"/>
        <v>0.43009404388714734</v>
      </c>
    </row>
    <row r="709" spans="1:32" x14ac:dyDescent="0.2">
      <c r="A709">
        <v>708</v>
      </c>
      <c r="B709" cm="1">
        <f t="array" ref="B709:AE709">_xlfn.XLOOKUP($A709,Instagram_Usage_Lifestyle_Mini_!$A:$A,Instagram_Usage_Lifestyle_Mini_!$AC:$BF)</f>
        <v>254</v>
      </c>
      <c r="C709">
        <v>14</v>
      </c>
      <c r="D709">
        <v>8</v>
      </c>
      <c r="E709">
        <v>188</v>
      </c>
      <c r="F709">
        <v>141</v>
      </c>
      <c r="G709">
        <v>156</v>
      </c>
      <c r="H709">
        <v>55</v>
      </c>
      <c r="I709">
        <v>29</v>
      </c>
      <c r="J709">
        <v>50</v>
      </c>
      <c r="K709">
        <v>26</v>
      </c>
      <c r="L709">
        <v>5</v>
      </c>
      <c r="M709">
        <v>110</v>
      </c>
      <c r="N709">
        <v>68</v>
      </c>
      <c r="O709">
        <v>51</v>
      </c>
      <c r="P709">
        <v>93</v>
      </c>
      <c r="Q709">
        <v>1377</v>
      </c>
      <c r="R709">
        <v>3048</v>
      </c>
      <c r="S709" t="str">
        <v>No</v>
      </c>
      <c r="T709">
        <v>0.2</v>
      </c>
      <c r="U709">
        <v>2020</v>
      </c>
      <c r="V709">
        <v>45771</v>
      </c>
      <c r="W709">
        <v>18.100000000000001</v>
      </c>
      <c r="X709" t="str">
        <v>Photos</v>
      </c>
      <c r="Y709" t="str">
        <v>Other</v>
      </c>
      <c r="Z709" t="str">
        <v>Public</v>
      </c>
      <c r="AA709" t="str">
        <v>Yes</v>
      </c>
      <c r="AB709" t="str">
        <v>Yes</v>
      </c>
      <c r="AC709">
        <v>3</v>
      </c>
      <c r="AD709" t="str">
        <v>Free</v>
      </c>
      <c r="AE709">
        <v>1.1399999999999999</v>
      </c>
      <c r="AF709" s="14">
        <f t="shared" si="11"/>
        <v>0.45177165354330706</v>
      </c>
    </row>
    <row r="710" spans="1:32" x14ac:dyDescent="0.2">
      <c r="A710">
        <v>709</v>
      </c>
      <c r="B710" cm="1">
        <f t="array" ref="B710:AE710">_xlfn.XLOOKUP($A710,Instagram_Usage_Lifestyle_Mini_!$A:$A,Instagram_Usage_Lifestyle_Mini_!$AC:$BF)</f>
        <v>5</v>
      </c>
      <c r="C710">
        <v>1</v>
      </c>
      <c r="D710">
        <v>2</v>
      </c>
      <c r="E710">
        <v>47</v>
      </c>
      <c r="F710">
        <v>33</v>
      </c>
      <c r="G710">
        <v>26</v>
      </c>
      <c r="H710">
        <v>7</v>
      </c>
      <c r="I710">
        <v>16</v>
      </c>
      <c r="J710">
        <v>8</v>
      </c>
      <c r="K710">
        <v>5</v>
      </c>
      <c r="L710">
        <v>2</v>
      </c>
      <c r="M710">
        <v>2</v>
      </c>
      <c r="N710">
        <v>1</v>
      </c>
      <c r="O710">
        <v>1</v>
      </c>
      <c r="P710">
        <v>2</v>
      </c>
      <c r="Q710">
        <v>3505</v>
      </c>
      <c r="R710">
        <v>1723</v>
      </c>
      <c r="S710" t="str">
        <v>No</v>
      </c>
      <c r="T710">
        <v>0.19</v>
      </c>
      <c r="U710">
        <v>2018</v>
      </c>
      <c r="V710">
        <v>45890</v>
      </c>
      <c r="W710">
        <v>5</v>
      </c>
      <c r="X710" t="str">
        <v>Stories</v>
      </c>
      <c r="Y710" t="str">
        <v>Fitness</v>
      </c>
      <c r="Z710" t="str">
        <v>Private</v>
      </c>
      <c r="AA710" t="str">
        <v>Yes</v>
      </c>
      <c r="AB710" t="str">
        <v>Yes</v>
      </c>
      <c r="AC710">
        <v>3</v>
      </c>
      <c r="AD710" t="str">
        <v>Free</v>
      </c>
      <c r="AE710">
        <v>7.67</v>
      </c>
      <c r="AF710" s="14">
        <f t="shared" si="11"/>
        <v>2.0342426001160767</v>
      </c>
    </row>
    <row r="711" spans="1:32" x14ac:dyDescent="0.2">
      <c r="A711">
        <v>710</v>
      </c>
      <c r="B711" cm="1">
        <f t="array" ref="B711:AE711">_xlfn.XLOOKUP($A711,Instagram_Usage_Lifestyle_Mini_!$A:$A,Instagram_Usage_Lifestyle_Mini_!$AC:$BF)</f>
        <v>232</v>
      </c>
      <c r="C711">
        <v>8</v>
      </c>
      <c r="D711">
        <v>5</v>
      </c>
      <c r="E711">
        <v>162</v>
      </c>
      <c r="F711">
        <v>115</v>
      </c>
      <c r="G711">
        <v>133</v>
      </c>
      <c r="H711">
        <v>37</v>
      </c>
      <c r="I711">
        <v>22</v>
      </c>
      <c r="J711">
        <v>26</v>
      </c>
      <c r="K711">
        <v>23</v>
      </c>
      <c r="L711">
        <v>5</v>
      </c>
      <c r="M711">
        <v>134</v>
      </c>
      <c r="N711">
        <v>46</v>
      </c>
      <c r="O711">
        <v>46</v>
      </c>
      <c r="P711">
        <v>73</v>
      </c>
      <c r="Q711">
        <v>348</v>
      </c>
      <c r="R711">
        <v>837</v>
      </c>
      <c r="S711" t="str">
        <v>No</v>
      </c>
      <c r="T711">
        <v>0.6</v>
      </c>
      <c r="U711">
        <v>2020</v>
      </c>
      <c r="V711">
        <v>45735</v>
      </c>
      <c r="W711">
        <v>29</v>
      </c>
      <c r="X711" t="str">
        <v>Photos</v>
      </c>
      <c r="Y711" t="str">
        <v>Other</v>
      </c>
      <c r="Z711" t="str">
        <v>Private</v>
      </c>
      <c r="AA711" t="str">
        <v>No</v>
      </c>
      <c r="AB711" t="str">
        <v>Yes</v>
      </c>
      <c r="AC711">
        <v>3</v>
      </c>
      <c r="AD711" t="str">
        <v>Business</v>
      </c>
      <c r="AE711">
        <v>0.95</v>
      </c>
      <c r="AF711" s="14">
        <f t="shared" si="11"/>
        <v>0.4157706093189964</v>
      </c>
    </row>
    <row r="712" spans="1:32" x14ac:dyDescent="0.2">
      <c r="A712">
        <v>711</v>
      </c>
      <c r="B712" cm="1">
        <f t="array" ref="B712:AE712">_xlfn.XLOOKUP($A712,Instagram_Usage_Lifestyle_Mini_!$A:$A,Instagram_Usage_Lifestyle_Mini_!$AC:$BF)</f>
        <v>410</v>
      </c>
      <c r="C712">
        <v>14</v>
      </c>
      <c r="D712">
        <v>14</v>
      </c>
      <c r="E712">
        <v>300</v>
      </c>
      <c r="F712">
        <v>150</v>
      </c>
      <c r="G712">
        <v>251</v>
      </c>
      <c r="H712">
        <v>72</v>
      </c>
      <c r="I712">
        <v>57</v>
      </c>
      <c r="J712">
        <v>57</v>
      </c>
      <c r="K712">
        <v>38</v>
      </c>
      <c r="L712">
        <v>11</v>
      </c>
      <c r="M712">
        <v>215</v>
      </c>
      <c r="N712">
        <v>72</v>
      </c>
      <c r="O712">
        <v>52</v>
      </c>
      <c r="P712">
        <v>85</v>
      </c>
      <c r="Q712">
        <v>4578</v>
      </c>
      <c r="R712">
        <v>2894</v>
      </c>
      <c r="S712" t="str">
        <v>No</v>
      </c>
      <c r="T712">
        <v>0.33</v>
      </c>
      <c r="U712">
        <v>2015</v>
      </c>
      <c r="V712">
        <v>45762</v>
      </c>
      <c r="W712">
        <v>29.3</v>
      </c>
      <c r="X712" t="str">
        <v>Videos</v>
      </c>
      <c r="Y712" t="str">
        <v>Food</v>
      </c>
      <c r="Z712" t="str">
        <v>Public</v>
      </c>
      <c r="AA712" t="str">
        <v>Yes</v>
      </c>
      <c r="AB712" t="str">
        <v>No</v>
      </c>
      <c r="AC712">
        <v>4</v>
      </c>
      <c r="AD712" t="str">
        <v>Premium</v>
      </c>
      <c r="AE712">
        <v>1.06</v>
      </c>
      <c r="AF712" s="14">
        <f t="shared" si="11"/>
        <v>1.5818935729094679</v>
      </c>
    </row>
    <row r="713" spans="1:32" x14ac:dyDescent="0.2">
      <c r="A713">
        <v>712</v>
      </c>
      <c r="B713" cm="1">
        <f t="array" ref="B713:AE713">_xlfn.XLOOKUP($A713,Instagram_Usage_Lifestyle_Mini_!$A:$A,Instagram_Usage_Lifestyle_Mini_!$AC:$BF)</f>
        <v>58</v>
      </c>
      <c r="C713">
        <v>2</v>
      </c>
      <c r="D713">
        <v>0</v>
      </c>
      <c r="E713">
        <v>81</v>
      </c>
      <c r="F713">
        <v>58</v>
      </c>
      <c r="G713">
        <v>66</v>
      </c>
      <c r="H713">
        <v>16</v>
      </c>
      <c r="I713">
        <v>18</v>
      </c>
      <c r="J713">
        <v>21</v>
      </c>
      <c r="K713">
        <v>10</v>
      </c>
      <c r="L713">
        <v>3</v>
      </c>
      <c r="M713">
        <v>25</v>
      </c>
      <c r="N713">
        <v>17</v>
      </c>
      <c r="O713">
        <v>8</v>
      </c>
      <c r="P713">
        <v>17</v>
      </c>
      <c r="Q713">
        <v>510</v>
      </c>
      <c r="R713">
        <v>744</v>
      </c>
      <c r="S713" t="str">
        <v>No</v>
      </c>
      <c r="T713">
        <v>0.69</v>
      </c>
      <c r="U713">
        <v>2021</v>
      </c>
      <c r="V713">
        <v>45799</v>
      </c>
      <c r="W713">
        <v>29</v>
      </c>
      <c r="X713" t="str">
        <v>Reels</v>
      </c>
      <c r="Y713" t="str">
        <v>Art</v>
      </c>
      <c r="Z713" t="str">
        <v>Public</v>
      </c>
      <c r="AA713" t="str">
        <v>No</v>
      </c>
      <c r="AB713" t="str">
        <v>No</v>
      </c>
      <c r="AC713">
        <v>3</v>
      </c>
      <c r="AD713" t="str">
        <v>Free</v>
      </c>
      <c r="AE713">
        <v>1.66</v>
      </c>
      <c r="AF713" s="14">
        <f t="shared" si="11"/>
        <v>0.68548387096774188</v>
      </c>
    </row>
    <row r="714" spans="1:32" x14ac:dyDescent="0.2">
      <c r="A714">
        <v>713</v>
      </c>
      <c r="B714" cm="1">
        <f t="array" ref="B714:AE714">_xlfn.XLOOKUP($A714,Instagram_Usage_Lifestyle_Mini_!$A:$A,Instagram_Usage_Lifestyle_Mini_!$AC:$BF)</f>
        <v>309</v>
      </c>
      <c r="C714">
        <v>9</v>
      </c>
      <c r="D714">
        <v>5</v>
      </c>
      <c r="E714">
        <v>221</v>
      </c>
      <c r="F714">
        <v>150</v>
      </c>
      <c r="G714">
        <v>181</v>
      </c>
      <c r="H714">
        <v>57</v>
      </c>
      <c r="I714">
        <v>39</v>
      </c>
      <c r="J714">
        <v>54</v>
      </c>
      <c r="K714">
        <v>20</v>
      </c>
      <c r="L714">
        <v>11</v>
      </c>
      <c r="M714">
        <v>136</v>
      </c>
      <c r="N714">
        <v>77</v>
      </c>
      <c r="O714">
        <v>68</v>
      </c>
      <c r="P714">
        <v>76</v>
      </c>
      <c r="Q714">
        <v>459</v>
      </c>
      <c r="R714">
        <v>473</v>
      </c>
      <c r="S714" t="str">
        <v>No</v>
      </c>
      <c r="T714">
        <v>0.62</v>
      </c>
      <c r="U714">
        <v>2024</v>
      </c>
      <c r="V714">
        <v>45661</v>
      </c>
      <c r="W714">
        <v>34.299999999999997</v>
      </c>
      <c r="X714" t="str">
        <v>Live</v>
      </c>
      <c r="Y714" t="str">
        <v>Food</v>
      </c>
      <c r="Z714" t="str">
        <v>Private</v>
      </c>
      <c r="AA714" t="str">
        <v>Yes</v>
      </c>
      <c r="AB714" t="str">
        <v>No</v>
      </c>
      <c r="AC714">
        <v>2</v>
      </c>
      <c r="AD714" t="str">
        <v>Free</v>
      </c>
      <c r="AE714">
        <v>1</v>
      </c>
      <c r="AF714" s="14">
        <f t="shared" si="11"/>
        <v>0.97040169133192389</v>
      </c>
    </row>
    <row r="715" spans="1:32" x14ac:dyDescent="0.2">
      <c r="A715">
        <v>714</v>
      </c>
      <c r="B715" cm="1">
        <f t="array" ref="B715:AE715">_xlfn.XLOOKUP($A715,Instagram_Usage_Lifestyle_Mini_!$A:$A,Instagram_Usage_Lifestyle_Mini_!$AC:$BF)</f>
        <v>38</v>
      </c>
      <c r="C715">
        <v>3</v>
      </c>
      <c r="D715">
        <v>8</v>
      </c>
      <c r="E715">
        <v>177</v>
      </c>
      <c r="F715">
        <v>46</v>
      </c>
      <c r="G715">
        <v>49</v>
      </c>
      <c r="H715">
        <v>6</v>
      </c>
      <c r="I715">
        <v>17</v>
      </c>
      <c r="J715">
        <v>19</v>
      </c>
      <c r="K715">
        <v>7</v>
      </c>
      <c r="L715">
        <v>2</v>
      </c>
      <c r="M715">
        <v>15</v>
      </c>
      <c r="N715">
        <v>9</v>
      </c>
      <c r="O715">
        <v>6</v>
      </c>
      <c r="P715">
        <v>11</v>
      </c>
      <c r="Q715">
        <v>1831</v>
      </c>
      <c r="R715">
        <v>1405</v>
      </c>
      <c r="S715" t="str">
        <v>No</v>
      </c>
      <c r="T715">
        <v>0.59</v>
      </c>
      <c r="U715">
        <v>2015</v>
      </c>
      <c r="V715">
        <v>45843</v>
      </c>
      <c r="W715">
        <v>12.7</v>
      </c>
      <c r="X715" t="str">
        <v>Videos</v>
      </c>
      <c r="Y715" t="str">
        <v>Tech</v>
      </c>
      <c r="Z715" t="str">
        <v>Public</v>
      </c>
      <c r="AA715" t="str">
        <v>Yes</v>
      </c>
      <c r="AB715" t="str">
        <v>No</v>
      </c>
      <c r="AC715">
        <v>0</v>
      </c>
      <c r="AD715" t="str">
        <v>Premium</v>
      </c>
      <c r="AE715">
        <v>2.1800000000000002</v>
      </c>
      <c r="AF715" s="14">
        <f t="shared" si="11"/>
        <v>1.3032028469750889</v>
      </c>
    </row>
    <row r="716" spans="1:32" x14ac:dyDescent="0.2">
      <c r="A716">
        <v>715</v>
      </c>
      <c r="B716" cm="1">
        <f t="array" ref="B716:AE716">_xlfn.XLOOKUP($A716,Instagram_Usage_Lifestyle_Mini_!$A:$A,Instagram_Usage_Lifestyle_Mini_!$AC:$BF)</f>
        <v>175</v>
      </c>
      <c r="C716">
        <v>6</v>
      </c>
      <c r="D716">
        <v>3</v>
      </c>
      <c r="E716">
        <v>137</v>
      </c>
      <c r="F716">
        <v>114</v>
      </c>
      <c r="G716">
        <v>116</v>
      </c>
      <c r="H716">
        <v>22</v>
      </c>
      <c r="I716">
        <v>17</v>
      </c>
      <c r="J716">
        <v>36</v>
      </c>
      <c r="K716">
        <v>21</v>
      </c>
      <c r="L716">
        <v>3</v>
      </c>
      <c r="M716">
        <v>72</v>
      </c>
      <c r="N716">
        <v>26</v>
      </c>
      <c r="O716">
        <v>38</v>
      </c>
      <c r="P716">
        <v>39</v>
      </c>
      <c r="Q716">
        <v>306</v>
      </c>
      <c r="R716">
        <v>179</v>
      </c>
      <c r="S716" t="str">
        <v>No</v>
      </c>
      <c r="T716">
        <v>0.7</v>
      </c>
      <c r="U716">
        <v>2020</v>
      </c>
      <c r="V716">
        <v>45797</v>
      </c>
      <c r="W716">
        <v>29.2</v>
      </c>
      <c r="X716" t="str">
        <v>Reels</v>
      </c>
      <c r="Y716" t="str">
        <v>Music</v>
      </c>
      <c r="Z716" t="str">
        <v>Private</v>
      </c>
      <c r="AA716" t="str">
        <v>No</v>
      </c>
      <c r="AB716" t="str">
        <v>Yes</v>
      </c>
      <c r="AC716">
        <v>0</v>
      </c>
      <c r="AD716" t="str">
        <v>Free</v>
      </c>
      <c r="AE716">
        <v>0.96</v>
      </c>
      <c r="AF716" s="14">
        <f t="shared" si="11"/>
        <v>1.7094972067039107</v>
      </c>
    </row>
    <row r="717" spans="1:32" x14ac:dyDescent="0.2">
      <c r="A717">
        <v>716</v>
      </c>
      <c r="B717" cm="1">
        <f t="array" ref="B717:AE717">_xlfn.XLOOKUP($A717,Instagram_Usage_Lifestyle_Mini_!$A:$A,Instagram_Usage_Lifestyle_Mini_!$AC:$BF)</f>
        <v>20</v>
      </c>
      <c r="C717">
        <v>1</v>
      </c>
      <c r="D717">
        <v>5</v>
      </c>
      <c r="E717">
        <v>55</v>
      </c>
      <c r="F717">
        <v>28</v>
      </c>
      <c r="G717">
        <v>28</v>
      </c>
      <c r="H717">
        <v>6</v>
      </c>
      <c r="I717">
        <v>17</v>
      </c>
      <c r="J717">
        <v>15</v>
      </c>
      <c r="K717">
        <v>7</v>
      </c>
      <c r="L717">
        <v>0</v>
      </c>
      <c r="M717">
        <v>9</v>
      </c>
      <c r="N717">
        <v>4</v>
      </c>
      <c r="O717">
        <v>2</v>
      </c>
      <c r="P717">
        <v>8</v>
      </c>
      <c r="Q717">
        <v>867</v>
      </c>
      <c r="R717">
        <v>714</v>
      </c>
      <c r="S717" t="str">
        <v>No</v>
      </c>
      <c r="T717">
        <v>0.98</v>
      </c>
      <c r="U717">
        <v>2022</v>
      </c>
      <c r="V717">
        <v>45752</v>
      </c>
      <c r="W717">
        <v>20</v>
      </c>
      <c r="X717" t="str">
        <v>Videos</v>
      </c>
      <c r="Y717" t="str">
        <v>Other</v>
      </c>
      <c r="Z717" t="str">
        <v>Private</v>
      </c>
      <c r="AA717" t="str">
        <v>No</v>
      </c>
      <c r="AB717" t="str">
        <v>Yes</v>
      </c>
      <c r="AC717">
        <v>0</v>
      </c>
      <c r="AD717" t="str">
        <v>Free</v>
      </c>
      <c r="AE717">
        <v>2.62</v>
      </c>
      <c r="AF717" s="14">
        <f t="shared" si="11"/>
        <v>1.2142857142857142</v>
      </c>
    </row>
    <row r="718" spans="1:32" x14ac:dyDescent="0.2">
      <c r="A718">
        <v>717</v>
      </c>
      <c r="B718" cm="1">
        <f t="array" ref="B718:AE718">_xlfn.XLOOKUP($A718,Instagram_Usage_Lifestyle_Mini_!$A:$A,Instagram_Usage_Lifestyle_Mini_!$AC:$BF)</f>
        <v>195</v>
      </c>
      <c r="C718">
        <v>13</v>
      </c>
      <c r="D718">
        <v>4</v>
      </c>
      <c r="E718">
        <v>238</v>
      </c>
      <c r="F718">
        <v>104</v>
      </c>
      <c r="G718">
        <v>153</v>
      </c>
      <c r="H718">
        <v>37</v>
      </c>
      <c r="I718">
        <v>30</v>
      </c>
      <c r="J718">
        <v>28</v>
      </c>
      <c r="K718">
        <v>20</v>
      </c>
      <c r="L718">
        <v>3</v>
      </c>
      <c r="M718">
        <v>84</v>
      </c>
      <c r="N718">
        <v>38</v>
      </c>
      <c r="O718">
        <v>31</v>
      </c>
      <c r="P718">
        <v>54</v>
      </c>
      <c r="Q718">
        <v>324</v>
      </c>
      <c r="R718">
        <v>221</v>
      </c>
      <c r="S718" t="str">
        <v>No</v>
      </c>
      <c r="T718">
        <v>0.28999999999999998</v>
      </c>
      <c r="U718">
        <v>2014</v>
      </c>
      <c r="V718">
        <v>45800</v>
      </c>
      <c r="W718">
        <v>15</v>
      </c>
      <c r="X718" t="str">
        <v>Videos</v>
      </c>
      <c r="Y718" t="str">
        <v>Art</v>
      </c>
      <c r="Z718" t="str">
        <v>Private</v>
      </c>
      <c r="AA718" t="str">
        <v>No</v>
      </c>
      <c r="AB718" t="str">
        <v>Yes</v>
      </c>
      <c r="AC718">
        <v>4</v>
      </c>
      <c r="AD718" t="str">
        <v>Premium</v>
      </c>
      <c r="AE718">
        <v>1.22</v>
      </c>
      <c r="AF718" s="14">
        <f t="shared" si="11"/>
        <v>1.4660633484162895</v>
      </c>
    </row>
    <row r="719" spans="1:32" x14ac:dyDescent="0.2">
      <c r="A719">
        <v>718</v>
      </c>
      <c r="B719" cm="1">
        <f t="array" ref="B719:AE719">_xlfn.XLOOKUP($A719,Instagram_Usage_Lifestyle_Mini_!$A:$A,Instagram_Usage_Lifestyle_Mini_!$AC:$BF)</f>
        <v>148</v>
      </c>
      <c r="C719">
        <v>15</v>
      </c>
      <c r="D719">
        <v>7</v>
      </c>
      <c r="E719">
        <v>188</v>
      </c>
      <c r="F719">
        <v>95</v>
      </c>
      <c r="G719">
        <v>97</v>
      </c>
      <c r="H719">
        <v>27</v>
      </c>
      <c r="I719">
        <v>23</v>
      </c>
      <c r="J719">
        <v>26</v>
      </c>
      <c r="K719">
        <v>13</v>
      </c>
      <c r="L719">
        <v>8</v>
      </c>
      <c r="M719">
        <v>84</v>
      </c>
      <c r="N719">
        <v>31</v>
      </c>
      <c r="O719">
        <v>23</v>
      </c>
      <c r="P719">
        <v>40</v>
      </c>
      <c r="Q719">
        <v>557</v>
      </c>
      <c r="R719">
        <v>1299</v>
      </c>
      <c r="S719" t="str">
        <v>No</v>
      </c>
      <c r="T719">
        <v>0.78</v>
      </c>
      <c r="U719">
        <v>2017</v>
      </c>
      <c r="V719">
        <v>45989</v>
      </c>
      <c r="W719">
        <v>9.9</v>
      </c>
      <c r="X719" t="str">
        <v>Photos</v>
      </c>
      <c r="Y719" t="str">
        <v>Tech</v>
      </c>
      <c r="Z719" t="str">
        <v>Private</v>
      </c>
      <c r="AA719" t="str">
        <v>Yes</v>
      </c>
      <c r="AB719" t="str">
        <v>Yes</v>
      </c>
      <c r="AC719">
        <v>4</v>
      </c>
      <c r="AD719" t="str">
        <v>Free</v>
      </c>
      <c r="AE719">
        <v>1.1499999999999999</v>
      </c>
      <c r="AF719" s="14">
        <f t="shared" si="11"/>
        <v>0.42879137798306388</v>
      </c>
    </row>
    <row r="720" spans="1:32" x14ac:dyDescent="0.2">
      <c r="A720">
        <v>719</v>
      </c>
      <c r="B720" cm="1">
        <f t="array" ref="B720:AE720">_xlfn.XLOOKUP($A720,Instagram_Usage_Lifestyle_Mini_!$A:$A,Instagram_Usage_Lifestyle_Mini_!$AC:$BF)</f>
        <v>285</v>
      </c>
      <c r="C720">
        <v>10</v>
      </c>
      <c r="D720">
        <v>5</v>
      </c>
      <c r="E720">
        <v>209</v>
      </c>
      <c r="F720">
        <v>150</v>
      </c>
      <c r="G720">
        <v>165</v>
      </c>
      <c r="H720">
        <v>42</v>
      </c>
      <c r="I720">
        <v>42</v>
      </c>
      <c r="J720">
        <v>31</v>
      </c>
      <c r="K720">
        <v>17</v>
      </c>
      <c r="L720">
        <v>10</v>
      </c>
      <c r="M720">
        <v>155</v>
      </c>
      <c r="N720">
        <v>75</v>
      </c>
      <c r="O720">
        <v>65</v>
      </c>
      <c r="P720">
        <v>112</v>
      </c>
      <c r="Q720">
        <v>503</v>
      </c>
      <c r="R720">
        <v>296</v>
      </c>
      <c r="S720" t="str">
        <v>No</v>
      </c>
      <c r="T720">
        <v>0.77</v>
      </c>
      <c r="U720">
        <v>2019</v>
      </c>
      <c r="V720">
        <v>45845</v>
      </c>
      <c r="W720">
        <v>28.5</v>
      </c>
      <c r="X720" t="str">
        <v>Mixed</v>
      </c>
      <c r="Y720" t="str">
        <v>Fashion</v>
      </c>
      <c r="Z720" t="str">
        <v>Friends_only</v>
      </c>
      <c r="AA720" t="str">
        <v>Yes</v>
      </c>
      <c r="AB720" t="str">
        <v>Yes</v>
      </c>
      <c r="AC720">
        <v>3</v>
      </c>
      <c r="AD720" t="str">
        <v>Free</v>
      </c>
      <c r="AE720">
        <v>0.92</v>
      </c>
      <c r="AF720" s="14">
        <f t="shared" si="11"/>
        <v>1.6993243243243243</v>
      </c>
    </row>
    <row r="721" spans="1:32" x14ac:dyDescent="0.2">
      <c r="A721">
        <v>720</v>
      </c>
      <c r="B721" cm="1">
        <f t="array" ref="B721:AE721">_xlfn.XLOOKUP($A721,Instagram_Usage_Lifestyle_Mini_!$A:$A,Instagram_Usage_Lifestyle_Mini_!$AC:$BF)</f>
        <v>200</v>
      </c>
      <c r="C721">
        <v>14</v>
      </c>
      <c r="D721">
        <v>1</v>
      </c>
      <c r="E721">
        <v>169</v>
      </c>
      <c r="F721">
        <v>124</v>
      </c>
      <c r="G721">
        <v>123</v>
      </c>
      <c r="H721">
        <v>32</v>
      </c>
      <c r="I721">
        <v>30</v>
      </c>
      <c r="J721">
        <v>35</v>
      </c>
      <c r="K721">
        <v>19</v>
      </c>
      <c r="L721">
        <v>5</v>
      </c>
      <c r="M721">
        <v>114</v>
      </c>
      <c r="N721">
        <v>47</v>
      </c>
      <c r="O721">
        <v>47</v>
      </c>
      <c r="P721">
        <v>64</v>
      </c>
      <c r="Q721">
        <v>1652</v>
      </c>
      <c r="R721">
        <v>3507</v>
      </c>
      <c r="S721" t="str">
        <v>No</v>
      </c>
      <c r="T721">
        <v>0.66</v>
      </c>
      <c r="U721">
        <v>2021</v>
      </c>
      <c r="V721">
        <v>45964</v>
      </c>
      <c r="W721">
        <v>14.3</v>
      </c>
      <c r="X721" t="str">
        <v>Photos</v>
      </c>
      <c r="Y721" t="str">
        <v>Tech</v>
      </c>
      <c r="Z721" t="str">
        <v>Friends_only</v>
      </c>
      <c r="AA721" t="str">
        <v>Yes</v>
      </c>
      <c r="AB721" t="str">
        <v>No</v>
      </c>
      <c r="AC721">
        <v>4</v>
      </c>
      <c r="AD721" t="str">
        <v>Free</v>
      </c>
      <c r="AE721">
        <v>0.95</v>
      </c>
      <c r="AF721" s="14">
        <f t="shared" si="11"/>
        <v>0.47105788423153694</v>
      </c>
    </row>
    <row r="722" spans="1:32" x14ac:dyDescent="0.2">
      <c r="A722">
        <v>721</v>
      </c>
      <c r="B722" cm="1">
        <f t="array" ref="B722:AE722">_xlfn.XLOOKUP($A722,Instagram_Usage_Lifestyle_Mini_!$A:$A,Instagram_Usage_Lifestyle_Mini_!$AC:$BF)</f>
        <v>108</v>
      </c>
      <c r="C722">
        <v>6</v>
      </c>
      <c r="D722">
        <v>7</v>
      </c>
      <c r="E722">
        <v>174</v>
      </c>
      <c r="F722">
        <v>82</v>
      </c>
      <c r="G722">
        <v>90</v>
      </c>
      <c r="H722">
        <v>18</v>
      </c>
      <c r="I722">
        <v>15</v>
      </c>
      <c r="J722">
        <v>26</v>
      </c>
      <c r="K722">
        <v>19</v>
      </c>
      <c r="L722">
        <v>2</v>
      </c>
      <c r="M722">
        <v>55</v>
      </c>
      <c r="N722">
        <v>17</v>
      </c>
      <c r="O722">
        <v>18</v>
      </c>
      <c r="P722">
        <v>29</v>
      </c>
      <c r="Q722">
        <v>1543</v>
      </c>
      <c r="R722">
        <v>2841</v>
      </c>
      <c r="S722" t="str">
        <v>No</v>
      </c>
      <c r="T722">
        <v>0.98</v>
      </c>
      <c r="U722">
        <v>2014</v>
      </c>
      <c r="V722">
        <v>45832</v>
      </c>
      <c r="W722">
        <v>18</v>
      </c>
      <c r="X722" t="str">
        <v>Reels</v>
      </c>
      <c r="Y722" t="str">
        <v>Other</v>
      </c>
      <c r="Z722" t="str">
        <v>Friends_only</v>
      </c>
      <c r="AA722" t="str">
        <v>Yes</v>
      </c>
      <c r="AB722" t="str">
        <v>No</v>
      </c>
      <c r="AC722">
        <v>2</v>
      </c>
      <c r="AD722" t="str">
        <v>Free</v>
      </c>
      <c r="AE722">
        <v>1.35</v>
      </c>
      <c r="AF722" s="14">
        <f t="shared" si="11"/>
        <v>0.54311862020415347</v>
      </c>
    </row>
    <row r="723" spans="1:32" x14ac:dyDescent="0.2">
      <c r="A723">
        <v>722</v>
      </c>
      <c r="B723" cm="1">
        <f t="array" ref="B723:AE723">_xlfn.XLOOKUP($A723,Instagram_Usage_Lifestyle_Mini_!$A:$A,Instagram_Usage_Lifestyle_Mini_!$AC:$BF)</f>
        <v>133</v>
      </c>
      <c r="C723">
        <v>6</v>
      </c>
      <c r="D723">
        <v>2</v>
      </c>
      <c r="E723">
        <v>120</v>
      </c>
      <c r="F723">
        <v>80</v>
      </c>
      <c r="G723">
        <v>108</v>
      </c>
      <c r="H723">
        <v>36</v>
      </c>
      <c r="I723">
        <v>26</v>
      </c>
      <c r="J723">
        <v>25</v>
      </c>
      <c r="K723">
        <v>19</v>
      </c>
      <c r="L723">
        <v>5</v>
      </c>
      <c r="M723">
        <v>57</v>
      </c>
      <c r="N723">
        <v>39</v>
      </c>
      <c r="O723">
        <v>23</v>
      </c>
      <c r="P723">
        <v>31</v>
      </c>
      <c r="Q723">
        <v>592</v>
      </c>
      <c r="R723">
        <v>725</v>
      </c>
      <c r="S723" t="str">
        <v>No</v>
      </c>
      <c r="T723">
        <v>0.64</v>
      </c>
      <c r="U723">
        <v>2020</v>
      </c>
      <c r="V723">
        <v>45683</v>
      </c>
      <c r="W723">
        <v>22.2</v>
      </c>
      <c r="X723" t="str">
        <v>Reels</v>
      </c>
      <c r="Y723" t="str">
        <v>Food</v>
      </c>
      <c r="Z723" t="str">
        <v>Public</v>
      </c>
      <c r="AA723" t="str">
        <v>No</v>
      </c>
      <c r="AB723" t="str">
        <v>No</v>
      </c>
      <c r="AC723">
        <v>0</v>
      </c>
      <c r="AD723" t="str">
        <v>Free</v>
      </c>
      <c r="AE723">
        <v>1.39</v>
      </c>
      <c r="AF723" s="14">
        <f t="shared" si="11"/>
        <v>0.81655172413793109</v>
      </c>
    </row>
    <row r="724" spans="1:32" x14ac:dyDescent="0.2">
      <c r="A724">
        <v>723</v>
      </c>
      <c r="B724" cm="1">
        <f t="array" ref="B724:AE724">_xlfn.XLOOKUP($A724,Instagram_Usage_Lifestyle_Mini_!$A:$A,Instagram_Usage_Lifestyle_Mini_!$AC:$BF)</f>
        <v>249</v>
      </c>
      <c r="C724">
        <v>12</v>
      </c>
      <c r="D724">
        <v>10</v>
      </c>
      <c r="E724">
        <v>275</v>
      </c>
      <c r="F724">
        <v>114</v>
      </c>
      <c r="G724">
        <v>148</v>
      </c>
      <c r="H724">
        <v>38</v>
      </c>
      <c r="I724">
        <v>31</v>
      </c>
      <c r="J724">
        <v>42</v>
      </c>
      <c r="K724">
        <v>30</v>
      </c>
      <c r="L724">
        <v>7</v>
      </c>
      <c r="M724">
        <v>141</v>
      </c>
      <c r="N724">
        <v>66</v>
      </c>
      <c r="O724">
        <v>26</v>
      </c>
      <c r="P724">
        <v>59</v>
      </c>
      <c r="Q724">
        <v>3628</v>
      </c>
      <c r="R724">
        <v>3549</v>
      </c>
      <c r="S724" t="str">
        <v>No</v>
      </c>
      <c r="T724">
        <v>0.16</v>
      </c>
      <c r="U724">
        <v>2022</v>
      </c>
      <c r="V724">
        <v>45744</v>
      </c>
      <c r="W724">
        <v>20.8</v>
      </c>
      <c r="X724" t="str">
        <v>Photos</v>
      </c>
      <c r="Y724" t="str">
        <v>Art</v>
      </c>
      <c r="Z724" t="str">
        <v>Friends_only</v>
      </c>
      <c r="AA724" t="str">
        <v>Yes</v>
      </c>
      <c r="AB724" t="str">
        <v>No</v>
      </c>
      <c r="AC724">
        <v>0</v>
      </c>
      <c r="AD724" t="str">
        <v>Free</v>
      </c>
      <c r="AE724">
        <v>1.02</v>
      </c>
      <c r="AF724" s="14">
        <f t="shared" si="11"/>
        <v>1.0222597914905607</v>
      </c>
    </row>
    <row r="725" spans="1:32" x14ac:dyDescent="0.2">
      <c r="A725">
        <v>724</v>
      </c>
      <c r="B725" cm="1">
        <f t="array" ref="B725:AE725">_xlfn.XLOOKUP($A725,Instagram_Usage_Lifestyle_Mini_!$A:$A,Instagram_Usage_Lifestyle_Mini_!$AC:$BF)</f>
        <v>97</v>
      </c>
      <c r="C725">
        <v>8</v>
      </c>
      <c r="D725">
        <v>3</v>
      </c>
      <c r="E725">
        <v>102</v>
      </c>
      <c r="F725">
        <v>51</v>
      </c>
      <c r="G725">
        <v>79</v>
      </c>
      <c r="H725">
        <v>23</v>
      </c>
      <c r="I725">
        <v>23</v>
      </c>
      <c r="J725">
        <v>17</v>
      </c>
      <c r="K725">
        <v>11</v>
      </c>
      <c r="L725">
        <v>5</v>
      </c>
      <c r="M725">
        <v>40</v>
      </c>
      <c r="N725">
        <v>29</v>
      </c>
      <c r="O725">
        <v>23</v>
      </c>
      <c r="P725">
        <v>27</v>
      </c>
      <c r="Q725">
        <v>1181</v>
      </c>
      <c r="R725">
        <v>941</v>
      </c>
      <c r="S725" t="str">
        <v>No</v>
      </c>
      <c r="T725">
        <v>0.26</v>
      </c>
      <c r="U725">
        <v>2015</v>
      </c>
      <c r="V725">
        <v>45903</v>
      </c>
      <c r="W725">
        <v>12.1</v>
      </c>
      <c r="X725" t="str">
        <v>Photos</v>
      </c>
      <c r="Y725" t="str">
        <v>Food</v>
      </c>
      <c r="Z725" t="str">
        <v>Private</v>
      </c>
      <c r="AA725" t="str">
        <v>Yes</v>
      </c>
      <c r="AB725" t="str">
        <v>No</v>
      </c>
      <c r="AC725">
        <v>2</v>
      </c>
      <c r="AD725" t="str">
        <v>Free</v>
      </c>
      <c r="AE725">
        <v>1.37</v>
      </c>
      <c r="AF725" s="14">
        <f t="shared" si="11"/>
        <v>1.255047821466525</v>
      </c>
    </row>
    <row r="726" spans="1:32" x14ac:dyDescent="0.2">
      <c r="A726">
        <v>725</v>
      </c>
      <c r="B726" cm="1">
        <f t="array" ref="B726:AE726">_xlfn.XLOOKUP($A726,Instagram_Usage_Lifestyle_Mini_!$A:$A,Instagram_Usage_Lifestyle_Mini_!$AC:$BF)</f>
        <v>194</v>
      </c>
      <c r="C726">
        <v>6</v>
      </c>
      <c r="D726">
        <v>6</v>
      </c>
      <c r="E726">
        <v>172</v>
      </c>
      <c r="F726">
        <v>111</v>
      </c>
      <c r="G726">
        <v>128</v>
      </c>
      <c r="H726">
        <v>31</v>
      </c>
      <c r="I726">
        <v>23</v>
      </c>
      <c r="J726">
        <v>36</v>
      </c>
      <c r="K726">
        <v>19</v>
      </c>
      <c r="L726">
        <v>8</v>
      </c>
      <c r="M726">
        <v>98</v>
      </c>
      <c r="N726">
        <v>52</v>
      </c>
      <c r="O726">
        <v>29</v>
      </c>
      <c r="P726">
        <v>77</v>
      </c>
      <c r="Q726">
        <v>323</v>
      </c>
      <c r="R726">
        <v>282</v>
      </c>
      <c r="S726" t="str">
        <v>Yes</v>
      </c>
      <c r="T726">
        <v>0.03</v>
      </c>
      <c r="U726">
        <v>2010</v>
      </c>
      <c r="V726">
        <v>46024</v>
      </c>
      <c r="W726">
        <v>32.299999999999997</v>
      </c>
      <c r="X726" t="str">
        <v>Mixed</v>
      </c>
      <c r="Y726" t="str">
        <v>Music</v>
      </c>
      <c r="Z726" t="str">
        <v>Friends_only</v>
      </c>
      <c r="AA726" t="str">
        <v>Yes</v>
      </c>
      <c r="AB726" t="str">
        <v>No</v>
      </c>
      <c r="AC726">
        <v>2</v>
      </c>
      <c r="AD726" t="str">
        <v>Free</v>
      </c>
      <c r="AE726">
        <v>1.07</v>
      </c>
      <c r="AF726" s="14">
        <f t="shared" si="11"/>
        <v>1.1453900709219857</v>
      </c>
    </row>
    <row r="727" spans="1:32" x14ac:dyDescent="0.2">
      <c r="A727">
        <v>726</v>
      </c>
      <c r="B727" cm="1">
        <f t="array" ref="B727:AE727">_xlfn.XLOOKUP($A727,Instagram_Usage_Lifestyle_Mini_!$A:$A,Instagram_Usage_Lifestyle_Mini_!$AC:$BF)</f>
        <v>36</v>
      </c>
      <c r="C727">
        <v>3</v>
      </c>
      <c r="D727">
        <v>3</v>
      </c>
      <c r="E727">
        <v>69</v>
      </c>
      <c r="F727">
        <v>35</v>
      </c>
      <c r="G727">
        <v>36</v>
      </c>
      <c r="H727">
        <v>15</v>
      </c>
      <c r="I727">
        <v>14</v>
      </c>
      <c r="J727">
        <v>11</v>
      </c>
      <c r="K727">
        <v>8</v>
      </c>
      <c r="L727">
        <v>2</v>
      </c>
      <c r="M727">
        <v>20</v>
      </c>
      <c r="N727">
        <v>10</v>
      </c>
      <c r="O727">
        <v>6</v>
      </c>
      <c r="P727">
        <v>8</v>
      </c>
      <c r="Q727">
        <v>1231</v>
      </c>
      <c r="R727">
        <v>551</v>
      </c>
      <c r="S727" t="str">
        <v>No</v>
      </c>
      <c r="T727">
        <v>0.52</v>
      </c>
      <c r="U727">
        <v>2019</v>
      </c>
      <c r="V727">
        <v>45693</v>
      </c>
      <c r="W727">
        <v>12</v>
      </c>
      <c r="X727" t="str">
        <v>Reels</v>
      </c>
      <c r="Y727" t="str">
        <v>Music</v>
      </c>
      <c r="Z727" t="str">
        <v>Public</v>
      </c>
      <c r="AA727" t="str">
        <v>No</v>
      </c>
      <c r="AB727" t="str">
        <v>Yes</v>
      </c>
      <c r="AC727">
        <v>3</v>
      </c>
      <c r="AD727" t="str">
        <v>Free</v>
      </c>
      <c r="AE727">
        <v>2.0299999999999998</v>
      </c>
      <c r="AF727" s="14">
        <f t="shared" si="11"/>
        <v>2.2341197822141559</v>
      </c>
    </row>
    <row r="728" spans="1:32" x14ac:dyDescent="0.2">
      <c r="A728">
        <v>727</v>
      </c>
      <c r="B728" cm="1">
        <f t="array" ref="B728:AE728">_xlfn.XLOOKUP($A728,Instagram_Usage_Lifestyle_Mini_!$A:$A,Instagram_Usage_Lifestyle_Mini_!$AC:$BF)</f>
        <v>296</v>
      </c>
      <c r="C728">
        <v>20</v>
      </c>
      <c r="D728">
        <v>7</v>
      </c>
      <c r="E728">
        <v>220</v>
      </c>
      <c r="F728">
        <v>150</v>
      </c>
      <c r="G728">
        <v>151</v>
      </c>
      <c r="H728">
        <v>57</v>
      </c>
      <c r="I728">
        <v>40</v>
      </c>
      <c r="J728">
        <v>41</v>
      </c>
      <c r="K728">
        <v>38</v>
      </c>
      <c r="L728">
        <v>2</v>
      </c>
      <c r="M728">
        <v>161</v>
      </c>
      <c r="N728">
        <v>88</v>
      </c>
      <c r="O728">
        <v>48</v>
      </c>
      <c r="P728">
        <v>107</v>
      </c>
      <c r="Q728">
        <v>2525</v>
      </c>
      <c r="R728">
        <v>1206</v>
      </c>
      <c r="S728" t="str">
        <v>Yes</v>
      </c>
      <c r="T728">
        <v>0.1</v>
      </c>
      <c r="U728">
        <v>2014</v>
      </c>
      <c r="V728">
        <v>45825</v>
      </c>
      <c r="W728">
        <v>14.8</v>
      </c>
      <c r="X728" t="str">
        <v>Live</v>
      </c>
      <c r="Y728" t="str">
        <v>Fashion</v>
      </c>
      <c r="Z728" t="str">
        <v>Private</v>
      </c>
      <c r="AA728" t="str">
        <v>No</v>
      </c>
      <c r="AB728" t="str">
        <v>No</v>
      </c>
      <c r="AC728">
        <v>5</v>
      </c>
      <c r="AD728" t="str">
        <v>Free</v>
      </c>
      <c r="AE728">
        <v>0.96</v>
      </c>
      <c r="AF728" s="14">
        <f t="shared" si="11"/>
        <v>2.0936981757877282</v>
      </c>
    </row>
    <row r="729" spans="1:32" x14ac:dyDescent="0.2">
      <c r="A729">
        <v>728</v>
      </c>
      <c r="B729" cm="1">
        <f t="array" ref="B729:AE729">_xlfn.XLOOKUP($A729,Instagram_Usage_Lifestyle_Mini_!$A:$A,Instagram_Usage_Lifestyle_Mini_!$AC:$BF)</f>
        <v>126</v>
      </c>
      <c r="C729">
        <v>11</v>
      </c>
      <c r="D729">
        <v>2</v>
      </c>
      <c r="E729">
        <v>131</v>
      </c>
      <c r="F729">
        <v>74</v>
      </c>
      <c r="G729">
        <v>101</v>
      </c>
      <c r="H729">
        <v>23</v>
      </c>
      <c r="I729">
        <v>27</v>
      </c>
      <c r="J729">
        <v>27</v>
      </c>
      <c r="K729">
        <v>17</v>
      </c>
      <c r="L729">
        <v>1</v>
      </c>
      <c r="M729">
        <v>66</v>
      </c>
      <c r="N729">
        <v>26</v>
      </c>
      <c r="O729">
        <v>19</v>
      </c>
      <c r="P729">
        <v>50</v>
      </c>
      <c r="Q729">
        <v>4328</v>
      </c>
      <c r="R729">
        <v>5774</v>
      </c>
      <c r="S729" t="str">
        <v>Yes</v>
      </c>
      <c r="T729">
        <v>0.64</v>
      </c>
      <c r="U729">
        <v>2013</v>
      </c>
      <c r="V729">
        <v>45699</v>
      </c>
      <c r="W729">
        <v>11.5</v>
      </c>
      <c r="X729" t="str">
        <v>Stories</v>
      </c>
      <c r="Y729" t="str">
        <v>Art</v>
      </c>
      <c r="Z729" t="str">
        <v>Private</v>
      </c>
      <c r="AA729" t="str">
        <v>Yes</v>
      </c>
      <c r="AB729" t="str">
        <v>No</v>
      </c>
      <c r="AC729">
        <v>3</v>
      </c>
      <c r="AD729" t="str">
        <v>Free</v>
      </c>
      <c r="AE729">
        <v>1.2</v>
      </c>
      <c r="AF729" s="14">
        <f t="shared" si="11"/>
        <v>0.74956702459300317</v>
      </c>
    </row>
    <row r="730" spans="1:32" x14ac:dyDescent="0.2">
      <c r="A730">
        <v>729</v>
      </c>
      <c r="B730" cm="1">
        <f t="array" ref="B730:AE730">_xlfn.XLOOKUP($A730,Instagram_Usage_Lifestyle_Mini_!$A:$A,Instagram_Usage_Lifestyle_Mini_!$AC:$BF)</f>
        <v>5</v>
      </c>
      <c r="C730">
        <v>1</v>
      </c>
      <c r="D730">
        <v>7</v>
      </c>
      <c r="E730">
        <v>141</v>
      </c>
      <c r="F730">
        <v>36</v>
      </c>
      <c r="G730">
        <v>28</v>
      </c>
      <c r="H730">
        <v>5</v>
      </c>
      <c r="I730">
        <v>11</v>
      </c>
      <c r="J730">
        <v>12</v>
      </c>
      <c r="K730">
        <v>5</v>
      </c>
      <c r="L730">
        <v>1</v>
      </c>
      <c r="M730">
        <v>2</v>
      </c>
      <c r="N730">
        <v>1</v>
      </c>
      <c r="O730">
        <v>1</v>
      </c>
      <c r="P730">
        <v>1</v>
      </c>
      <c r="Q730">
        <v>91</v>
      </c>
      <c r="R730">
        <v>82</v>
      </c>
      <c r="S730" t="str">
        <v>Yes</v>
      </c>
      <c r="T730">
        <v>0.64</v>
      </c>
      <c r="U730">
        <v>2012</v>
      </c>
      <c r="V730">
        <v>45997</v>
      </c>
      <c r="W730">
        <v>5</v>
      </c>
      <c r="X730" t="str">
        <v>Photos</v>
      </c>
      <c r="Y730" t="str">
        <v>Fitness</v>
      </c>
      <c r="Z730" t="str">
        <v>Friends_only</v>
      </c>
      <c r="AA730" t="str">
        <v>Yes</v>
      </c>
      <c r="AB730" t="str">
        <v>Yes</v>
      </c>
      <c r="AC730">
        <v>1</v>
      </c>
      <c r="AD730" t="str">
        <v>Premium</v>
      </c>
      <c r="AE730">
        <v>9.83</v>
      </c>
      <c r="AF730" s="14">
        <f t="shared" si="11"/>
        <v>1.1097560975609757</v>
      </c>
    </row>
    <row r="731" spans="1:32" x14ac:dyDescent="0.2">
      <c r="A731">
        <v>730</v>
      </c>
      <c r="B731" cm="1">
        <f t="array" ref="B731:AE731">_xlfn.XLOOKUP($A731,Instagram_Usage_Lifestyle_Mini_!$A:$A,Instagram_Usage_Lifestyle_Mini_!$AC:$BF)</f>
        <v>81</v>
      </c>
      <c r="C731">
        <v>5</v>
      </c>
      <c r="D731">
        <v>4</v>
      </c>
      <c r="E731">
        <v>77</v>
      </c>
      <c r="F731">
        <v>52</v>
      </c>
      <c r="G731">
        <v>57</v>
      </c>
      <c r="H731">
        <v>17</v>
      </c>
      <c r="I731">
        <v>21</v>
      </c>
      <c r="J731">
        <v>19</v>
      </c>
      <c r="K731">
        <v>8</v>
      </c>
      <c r="L731">
        <v>3</v>
      </c>
      <c r="M731">
        <v>45</v>
      </c>
      <c r="N731">
        <v>9</v>
      </c>
      <c r="O731">
        <v>20</v>
      </c>
      <c r="P731">
        <v>31</v>
      </c>
      <c r="Q731">
        <v>1742</v>
      </c>
      <c r="R731">
        <v>2199</v>
      </c>
      <c r="S731" t="str">
        <v>No</v>
      </c>
      <c r="T731">
        <v>0.24</v>
      </c>
      <c r="U731">
        <v>2023</v>
      </c>
      <c r="V731">
        <v>45733</v>
      </c>
      <c r="W731">
        <v>16.2</v>
      </c>
      <c r="X731" t="str">
        <v>Stories</v>
      </c>
      <c r="Y731" t="str">
        <v>Music</v>
      </c>
      <c r="Z731" t="str">
        <v>Private</v>
      </c>
      <c r="AA731" t="str">
        <v>Yes</v>
      </c>
      <c r="AB731" t="str">
        <v>Yes</v>
      </c>
      <c r="AC731">
        <v>1</v>
      </c>
      <c r="AD731" t="str">
        <v>Free</v>
      </c>
      <c r="AE731">
        <v>1.26</v>
      </c>
      <c r="AF731" s="14">
        <f t="shared" si="11"/>
        <v>0.79217826284674853</v>
      </c>
    </row>
    <row r="732" spans="1:32" x14ac:dyDescent="0.2">
      <c r="A732">
        <v>731</v>
      </c>
      <c r="B732" cm="1">
        <f t="array" ref="B732:AE732">_xlfn.XLOOKUP($A732,Instagram_Usage_Lifestyle_Mini_!$A:$A,Instagram_Usage_Lifestyle_Mini_!$AC:$BF)</f>
        <v>222</v>
      </c>
      <c r="C732">
        <v>22</v>
      </c>
      <c r="D732">
        <v>6</v>
      </c>
      <c r="E732">
        <v>163</v>
      </c>
      <c r="F732">
        <v>120</v>
      </c>
      <c r="G732">
        <v>124</v>
      </c>
      <c r="H732">
        <v>34</v>
      </c>
      <c r="I732">
        <v>38</v>
      </c>
      <c r="J732">
        <v>32</v>
      </c>
      <c r="K732">
        <v>20</v>
      </c>
      <c r="L732">
        <v>3</v>
      </c>
      <c r="M732">
        <v>100</v>
      </c>
      <c r="N732">
        <v>37</v>
      </c>
      <c r="O732">
        <v>23</v>
      </c>
      <c r="P732">
        <v>78</v>
      </c>
      <c r="Q732">
        <v>1127</v>
      </c>
      <c r="R732">
        <v>488</v>
      </c>
      <c r="S732" t="str">
        <v>No</v>
      </c>
      <c r="T732">
        <v>0.9</v>
      </c>
      <c r="U732">
        <v>2022</v>
      </c>
      <c r="V732">
        <v>45931</v>
      </c>
      <c r="W732">
        <v>10.1</v>
      </c>
      <c r="X732" t="str">
        <v>Live</v>
      </c>
      <c r="Y732" t="str">
        <v>Travel</v>
      </c>
      <c r="Z732" t="str">
        <v>Public</v>
      </c>
      <c r="AA732" t="str">
        <v>Yes</v>
      </c>
      <c r="AB732" t="str">
        <v>Yes</v>
      </c>
      <c r="AC732">
        <v>1</v>
      </c>
      <c r="AD732" t="str">
        <v>Free</v>
      </c>
      <c r="AE732">
        <v>0.94</v>
      </c>
      <c r="AF732" s="14">
        <f t="shared" si="11"/>
        <v>2.3094262295081966</v>
      </c>
    </row>
    <row r="733" spans="1:32" x14ac:dyDescent="0.2">
      <c r="A733">
        <v>732</v>
      </c>
      <c r="B733" cm="1">
        <f t="array" ref="B733:AE733">_xlfn.XLOOKUP($A733,Instagram_Usage_Lifestyle_Mini_!$A:$A,Instagram_Usage_Lifestyle_Mini_!$AC:$BF)</f>
        <v>5</v>
      </c>
      <c r="C733">
        <v>1</v>
      </c>
      <c r="D733">
        <v>1</v>
      </c>
      <c r="E733">
        <v>44</v>
      </c>
      <c r="F733">
        <v>41</v>
      </c>
      <c r="G733">
        <v>28</v>
      </c>
      <c r="H733">
        <v>5</v>
      </c>
      <c r="I733">
        <v>11</v>
      </c>
      <c r="J733">
        <v>4</v>
      </c>
      <c r="K733">
        <v>6</v>
      </c>
      <c r="L733">
        <v>1</v>
      </c>
      <c r="M733">
        <v>3</v>
      </c>
      <c r="N733">
        <v>1</v>
      </c>
      <c r="O733">
        <v>1</v>
      </c>
      <c r="P733">
        <v>1</v>
      </c>
      <c r="Q733">
        <v>459</v>
      </c>
      <c r="R733">
        <v>652</v>
      </c>
      <c r="S733" t="str">
        <v>No</v>
      </c>
      <c r="T733">
        <v>0.02</v>
      </c>
      <c r="U733">
        <v>2012</v>
      </c>
      <c r="V733">
        <v>45962</v>
      </c>
      <c r="W733">
        <v>5</v>
      </c>
      <c r="X733" t="str">
        <v>Live</v>
      </c>
      <c r="Y733" t="str">
        <v>Tech</v>
      </c>
      <c r="Z733" t="str">
        <v>Friends_only</v>
      </c>
      <c r="AA733" t="str">
        <v>Yes</v>
      </c>
      <c r="AB733" t="str">
        <v>No</v>
      </c>
      <c r="AC733">
        <v>1</v>
      </c>
      <c r="AD733" t="str">
        <v>Free</v>
      </c>
      <c r="AE733">
        <v>6.83</v>
      </c>
      <c r="AF733" s="14">
        <f t="shared" si="11"/>
        <v>0.70398773006134974</v>
      </c>
    </row>
    <row r="734" spans="1:32" x14ac:dyDescent="0.2">
      <c r="A734">
        <v>733</v>
      </c>
      <c r="B734" cm="1">
        <f t="array" ref="B734:AE734">_xlfn.XLOOKUP($A734,Instagram_Usage_Lifestyle_Mini_!$A:$A,Instagram_Usage_Lifestyle_Mini_!$AC:$BF)</f>
        <v>168</v>
      </c>
      <c r="C734">
        <v>6</v>
      </c>
      <c r="D734">
        <v>9</v>
      </c>
      <c r="E734">
        <v>198</v>
      </c>
      <c r="F734">
        <v>94</v>
      </c>
      <c r="G734">
        <v>114</v>
      </c>
      <c r="H734">
        <v>27</v>
      </c>
      <c r="I734">
        <v>26</v>
      </c>
      <c r="J734">
        <v>26</v>
      </c>
      <c r="K734">
        <v>14</v>
      </c>
      <c r="L734">
        <v>3</v>
      </c>
      <c r="M734">
        <v>84</v>
      </c>
      <c r="N734">
        <v>17</v>
      </c>
      <c r="O734">
        <v>40</v>
      </c>
      <c r="P734">
        <v>58</v>
      </c>
      <c r="Q734">
        <v>1168</v>
      </c>
      <c r="R734">
        <v>2339</v>
      </c>
      <c r="S734" t="str">
        <v>Yes</v>
      </c>
      <c r="T734">
        <v>0.64</v>
      </c>
      <c r="U734">
        <v>2025</v>
      </c>
      <c r="V734">
        <v>45696</v>
      </c>
      <c r="W734">
        <v>28</v>
      </c>
      <c r="X734" t="str">
        <v>Photos</v>
      </c>
      <c r="Y734" t="str">
        <v>Other</v>
      </c>
      <c r="Z734" t="str">
        <v>Friends_only</v>
      </c>
      <c r="AA734" t="str">
        <v>No</v>
      </c>
      <c r="AB734" t="str">
        <v>Yes</v>
      </c>
      <c r="AC734">
        <v>2</v>
      </c>
      <c r="AD734" t="str">
        <v>Free</v>
      </c>
      <c r="AE734">
        <v>1.1499999999999999</v>
      </c>
      <c r="AF734" s="14">
        <f t="shared" si="11"/>
        <v>0.49935870029927321</v>
      </c>
    </row>
    <row r="735" spans="1:32" x14ac:dyDescent="0.2">
      <c r="A735">
        <v>734</v>
      </c>
      <c r="B735" cm="1">
        <f t="array" ref="B735:AE735">_xlfn.XLOOKUP($A735,Instagram_Usage_Lifestyle_Mini_!$A:$A,Instagram_Usage_Lifestyle_Mini_!$AC:$BF)</f>
        <v>218</v>
      </c>
      <c r="C735">
        <v>9</v>
      </c>
      <c r="D735">
        <v>6</v>
      </c>
      <c r="E735">
        <v>169</v>
      </c>
      <c r="F735">
        <v>122</v>
      </c>
      <c r="G735">
        <v>140</v>
      </c>
      <c r="H735">
        <v>45</v>
      </c>
      <c r="I735">
        <v>30</v>
      </c>
      <c r="J735">
        <v>29</v>
      </c>
      <c r="K735">
        <v>22</v>
      </c>
      <c r="L735">
        <v>4</v>
      </c>
      <c r="M735">
        <v>119</v>
      </c>
      <c r="N735">
        <v>41</v>
      </c>
      <c r="O735">
        <v>24</v>
      </c>
      <c r="P735">
        <v>52</v>
      </c>
      <c r="Q735">
        <v>322</v>
      </c>
      <c r="R735">
        <v>399</v>
      </c>
      <c r="S735" t="str">
        <v>No</v>
      </c>
      <c r="T735">
        <v>0.94</v>
      </c>
      <c r="U735">
        <v>2012</v>
      </c>
      <c r="V735">
        <v>45837</v>
      </c>
      <c r="W735">
        <v>24.2</v>
      </c>
      <c r="X735" t="str">
        <v>Stories</v>
      </c>
      <c r="Y735" t="str">
        <v>Other</v>
      </c>
      <c r="Z735" t="str">
        <v>Friends_only</v>
      </c>
      <c r="AA735" t="str">
        <v>Yes</v>
      </c>
      <c r="AB735" t="str">
        <v>No</v>
      </c>
      <c r="AC735">
        <v>3</v>
      </c>
      <c r="AD735" t="str">
        <v>Free</v>
      </c>
      <c r="AE735">
        <v>1.1299999999999999</v>
      </c>
      <c r="AF735" s="14">
        <f t="shared" si="11"/>
        <v>0.80701754385964908</v>
      </c>
    </row>
    <row r="736" spans="1:32" x14ac:dyDescent="0.2">
      <c r="A736">
        <v>735</v>
      </c>
      <c r="B736" cm="1">
        <f t="array" ref="B736:AE736">_xlfn.XLOOKUP($A736,Instagram_Usage_Lifestyle_Mini_!$A:$A,Instagram_Usage_Lifestyle_Mini_!$AC:$BF)</f>
        <v>173</v>
      </c>
      <c r="C736">
        <v>20</v>
      </c>
      <c r="D736">
        <v>3</v>
      </c>
      <c r="E736">
        <v>230</v>
      </c>
      <c r="F736">
        <v>97</v>
      </c>
      <c r="G736">
        <v>113</v>
      </c>
      <c r="H736">
        <v>39</v>
      </c>
      <c r="I736">
        <v>20</v>
      </c>
      <c r="J736">
        <v>25</v>
      </c>
      <c r="K736">
        <v>22</v>
      </c>
      <c r="L736">
        <v>3</v>
      </c>
      <c r="M736">
        <v>74</v>
      </c>
      <c r="N736">
        <v>24</v>
      </c>
      <c r="O736">
        <v>41</v>
      </c>
      <c r="P736">
        <v>44</v>
      </c>
      <c r="Q736">
        <v>408</v>
      </c>
      <c r="R736">
        <v>367</v>
      </c>
      <c r="S736" t="str">
        <v>No</v>
      </c>
      <c r="T736">
        <v>0.74</v>
      </c>
      <c r="U736">
        <v>2017</v>
      </c>
      <c r="V736">
        <v>45994</v>
      </c>
      <c r="W736">
        <v>8.6</v>
      </c>
      <c r="X736" t="str">
        <v>Stories</v>
      </c>
      <c r="Y736" t="str">
        <v>Fashion</v>
      </c>
      <c r="Z736" t="str">
        <v>Public</v>
      </c>
      <c r="AA736" t="str">
        <v>No</v>
      </c>
      <c r="AB736" t="str">
        <v>Yes</v>
      </c>
      <c r="AC736">
        <v>4</v>
      </c>
      <c r="AD736" t="str">
        <v>Free</v>
      </c>
      <c r="AE736">
        <v>1.1499999999999999</v>
      </c>
      <c r="AF736" s="14">
        <f t="shared" si="11"/>
        <v>1.111716621253406</v>
      </c>
    </row>
    <row r="737" spans="1:32" x14ac:dyDescent="0.2">
      <c r="A737">
        <v>736</v>
      </c>
      <c r="B737" cm="1">
        <f t="array" ref="B737:AE737">_xlfn.XLOOKUP($A737,Instagram_Usage_Lifestyle_Mini_!$A:$A,Instagram_Usage_Lifestyle_Mini_!$AC:$BF)</f>
        <v>57</v>
      </c>
      <c r="C737">
        <v>5</v>
      </c>
      <c r="D737">
        <v>1</v>
      </c>
      <c r="E737">
        <v>67</v>
      </c>
      <c r="F737">
        <v>45</v>
      </c>
      <c r="G737">
        <v>46</v>
      </c>
      <c r="H737">
        <v>12</v>
      </c>
      <c r="I737">
        <v>20</v>
      </c>
      <c r="J737">
        <v>16</v>
      </c>
      <c r="K737">
        <v>10</v>
      </c>
      <c r="L737">
        <v>5</v>
      </c>
      <c r="M737">
        <v>32</v>
      </c>
      <c r="N737">
        <v>12</v>
      </c>
      <c r="O737">
        <v>11</v>
      </c>
      <c r="P737">
        <v>20</v>
      </c>
      <c r="Q737">
        <v>610</v>
      </c>
      <c r="R737">
        <v>1513</v>
      </c>
      <c r="S737" t="str">
        <v>No</v>
      </c>
      <c r="T737">
        <v>0.31</v>
      </c>
      <c r="U737">
        <v>2021</v>
      </c>
      <c r="V737">
        <v>45773</v>
      </c>
      <c r="W737">
        <v>11.4</v>
      </c>
      <c r="X737" t="str">
        <v>Videos</v>
      </c>
      <c r="Y737" t="str">
        <v>Other</v>
      </c>
      <c r="Z737" t="str">
        <v>Friends_only</v>
      </c>
      <c r="AA737" t="str">
        <v>No</v>
      </c>
      <c r="AB737" t="str">
        <v>Yes</v>
      </c>
      <c r="AC737">
        <v>1</v>
      </c>
      <c r="AD737" t="str">
        <v>Free</v>
      </c>
      <c r="AE737">
        <v>1.26</v>
      </c>
      <c r="AF737" s="14">
        <f t="shared" si="11"/>
        <v>0.40317250495703899</v>
      </c>
    </row>
    <row r="738" spans="1:32" x14ac:dyDescent="0.2">
      <c r="A738">
        <v>737</v>
      </c>
      <c r="B738" cm="1">
        <f t="array" ref="B738:AE738">_xlfn.XLOOKUP($A738,Instagram_Usage_Lifestyle_Mini_!$A:$A,Instagram_Usage_Lifestyle_Mini_!$AC:$BF)</f>
        <v>115</v>
      </c>
      <c r="C738">
        <v>12</v>
      </c>
      <c r="D738">
        <v>3</v>
      </c>
      <c r="E738">
        <v>111</v>
      </c>
      <c r="F738">
        <v>98</v>
      </c>
      <c r="G738">
        <v>69</v>
      </c>
      <c r="H738">
        <v>27</v>
      </c>
      <c r="I738">
        <v>25</v>
      </c>
      <c r="J738">
        <v>28</v>
      </c>
      <c r="K738">
        <v>10</v>
      </c>
      <c r="L738">
        <v>4</v>
      </c>
      <c r="M738">
        <v>67</v>
      </c>
      <c r="N738">
        <v>30</v>
      </c>
      <c r="O738">
        <v>21</v>
      </c>
      <c r="P738">
        <v>31</v>
      </c>
      <c r="Q738">
        <v>131</v>
      </c>
      <c r="R738">
        <v>269</v>
      </c>
      <c r="S738" t="str">
        <v>Yes</v>
      </c>
      <c r="T738">
        <v>0.12</v>
      </c>
      <c r="U738">
        <v>2013</v>
      </c>
      <c r="V738">
        <v>45700</v>
      </c>
      <c r="W738">
        <v>9.6</v>
      </c>
      <c r="X738" t="str">
        <v>Reels</v>
      </c>
      <c r="Y738" t="str">
        <v>Other</v>
      </c>
      <c r="Z738" t="str">
        <v>Private</v>
      </c>
      <c r="AA738" t="str">
        <v>Yes</v>
      </c>
      <c r="AB738" t="str">
        <v>No</v>
      </c>
      <c r="AC738">
        <v>5</v>
      </c>
      <c r="AD738" t="str">
        <v>Free</v>
      </c>
      <c r="AE738">
        <v>1.1399999999999999</v>
      </c>
      <c r="AF738" s="14">
        <f t="shared" si="11"/>
        <v>0.48698884758364314</v>
      </c>
    </row>
    <row r="739" spans="1:32" x14ac:dyDescent="0.2">
      <c r="A739">
        <v>738</v>
      </c>
      <c r="B739" cm="1">
        <f t="array" ref="B739:AE739">_xlfn.XLOOKUP($A739,Instagram_Usage_Lifestyle_Mini_!$A:$A,Instagram_Usage_Lifestyle_Mini_!$AC:$BF)</f>
        <v>259</v>
      </c>
      <c r="C739">
        <v>16</v>
      </c>
      <c r="D739">
        <v>5</v>
      </c>
      <c r="E739">
        <v>184</v>
      </c>
      <c r="F739">
        <v>130</v>
      </c>
      <c r="G739">
        <v>163</v>
      </c>
      <c r="H739">
        <v>51</v>
      </c>
      <c r="I739">
        <v>27</v>
      </c>
      <c r="J739">
        <v>47</v>
      </c>
      <c r="K739">
        <v>22</v>
      </c>
      <c r="L739">
        <v>5</v>
      </c>
      <c r="M739">
        <v>107</v>
      </c>
      <c r="N739">
        <v>67</v>
      </c>
      <c r="O739">
        <v>55</v>
      </c>
      <c r="P739">
        <v>102</v>
      </c>
      <c r="Q739">
        <v>699</v>
      </c>
      <c r="R739">
        <v>890</v>
      </c>
      <c r="S739" t="str">
        <v>Yes</v>
      </c>
      <c r="T739">
        <v>0.16</v>
      </c>
      <c r="U739">
        <v>2015</v>
      </c>
      <c r="V739">
        <v>45772</v>
      </c>
      <c r="W739">
        <v>16.2</v>
      </c>
      <c r="X739" t="str">
        <v>Stories</v>
      </c>
      <c r="Y739" t="str">
        <v>Music</v>
      </c>
      <c r="Z739" t="str">
        <v>Public</v>
      </c>
      <c r="AA739" t="str">
        <v>No</v>
      </c>
      <c r="AB739" t="str">
        <v>Yes</v>
      </c>
      <c r="AC739">
        <v>1</v>
      </c>
      <c r="AD739" t="str">
        <v>Free</v>
      </c>
      <c r="AE739">
        <v>1.08</v>
      </c>
      <c r="AF739" s="14">
        <f t="shared" si="11"/>
        <v>0.78539325842696628</v>
      </c>
    </row>
    <row r="740" spans="1:32" x14ac:dyDescent="0.2">
      <c r="A740">
        <v>739</v>
      </c>
      <c r="B740" cm="1">
        <f t="array" ref="B740:AE740">_xlfn.XLOOKUP($A740,Instagram_Usage_Lifestyle_Mini_!$A:$A,Instagram_Usage_Lifestyle_Mini_!$AC:$BF)</f>
        <v>248</v>
      </c>
      <c r="C740">
        <v>8</v>
      </c>
      <c r="D740">
        <v>6</v>
      </c>
      <c r="E740">
        <v>213</v>
      </c>
      <c r="F740">
        <v>120</v>
      </c>
      <c r="G740">
        <v>157</v>
      </c>
      <c r="H740">
        <v>53</v>
      </c>
      <c r="I740">
        <v>43</v>
      </c>
      <c r="J740">
        <v>36</v>
      </c>
      <c r="K740">
        <v>27</v>
      </c>
      <c r="L740">
        <v>6</v>
      </c>
      <c r="M740">
        <v>140</v>
      </c>
      <c r="N740">
        <v>36</v>
      </c>
      <c r="O740">
        <v>39</v>
      </c>
      <c r="P740">
        <v>75</v>
      </c>
      <c r="Q740">
        <v>1269</v>
      </c>
      <c r="R740">
        <v>1228</v>
      </c>
      <c r="S740" t="str">
        <v>No</v>
      </c>
      <c r="T740">
        <v>0.65</v>
      </c>
      <c r="U740">
        <v>2016</v>
      </c>
      <c r="V740">
        <v>45978</v>
      </c>
      <c r="W740">
        <v>31</v>
      </c>
      <c r="X740" t="str">
        <v>Videos</v>
      </c>
      <c r="Y740" t="str">
        <v>Fashion</v>
      </c>
      <c r="Z740" t="str">
        <v>Public</v>
      </c>
      <c r="AA740" t="str">
        <v>Yes</v>
      </c>
      <c r="AB740" t="str">
        <v>No</v>
      </c>
      <c r="AC740">
        <v>2</v>
      </c>
      <c r="AD740" t="str">
        <v>Free</v>
      </c>
      <c r="AE740">
        <v>1.1299999999999999</v>
      </c>
      <c r="AF740" s="14">
        <f t="shared" si="11"/>
        <v>1.033387622149837</v>
      </c>
    </row>
    <row r="741" spans="1:32" x14ac:dyDescent="0.2">
      <c r="A741">
        <v>740</v>
      </c>
      <c r="B741" cm="1">
        <f t="array" ref="B741:AE741">_xlfn.XLOOKUP($A741,Instagram_Usage_Lifestyle_Mini_!$A:$A,Instagram_Usage_Lifestyle_Mini_!$AC:$BF)</f>
        <v>113</v>
      </c>
      <c r="C741">
        <v>4</v>
      </c>
      <c r="D741">
        <v>6</v>
      </c>
      <c r="E741">
        <v>174</v>
      </c>
      <c r="F741">
        <v>78</v>
      </c>
      <c r="G741">
        <v>80</v>
      </c>
      <c r="H741">
        <v>17</v>
      </c>
      <c r="I741">
        <v>16</v>
      </c>
      <c r="J741">
        <v>15</v>
      </c>
      <c r="K741">
        <v>12</v>
      </c>
      <c r="L741">
        <v>3</v>
      </c>
      <c r="M741">
        <v>46</v>
      </c>
      <c r="N741">
        <v>31</v>
      </c>
      <c r="O741">
        <v>15</v>
      </c>
      <c r="P741">
        <v>38</v>
      </c>
      <c r="Q741">
        <v>894</v>
      </c>
      <c r="R741">
        <v>1985</v>
      </c>
      <c r="S741" t="str">
        <v>No</v>
      </c>
      <c r="T741">
        <v>0.18</v>
      </c>
      <c r="U741">
        <v>2020</v>
      </c>
      <c r="V741">
        <v>45973</v>
      </c>
      <c r="W741">
        <v>28.2</v>
      </c>
      <c r="X741" t="str">
        <v>Stories</v>
      </c>
      <c r="Y741" t="str">
        <v>Music</v>
      </c>
      <c r="Z741" t="str">
        <v>Friends_only</v>
      </c>
      <c r="AA741" t="str">
        <v>Yes</v>
      </c>
      <c r="AB741" t="str">
        <v>Yes</v>
      </c>
      <c r="AC741">
        <v>2</v>
      </c>
      <c r="AD741" t="str">
        <v>Free</v>
      </c>
      <c r="AE741">
        <v>1.1599999999999999</v>
      </c>
      <c r="AF741" s="14">
        <f t="shared" si="11"/>
        <v>0.4503778337531486</v>
      </c>
    </row>
    <row r="742" spans="1:32" x14ac:dyDescent="0.2">
      <c r="A742">
        <v>741</v>
      </c>
      <c r="B742" cm="1">
        <f t="array" ref="B742:AE742">_xlfn.XLOOKUP($A742,Instagram_Usage_Lifestyle_Mini_!$A:$A,Instagram_Usage_Lifestyle_Mini_!$AC:$BF)</f>
        <v>118</v>
      </c>
      <c r="C742">
        <v>4</v>
      </c>
      <c r="D742">
        <v>3</v>
      </c>
      <c r="E742">
        <v>98</v>
      </c>
      <c r="F742">
        <v>66</v>
      </c>
      <c r="G742">
        <v>88</v>
      </c>
      <c r="H742">
        <v>21</v>
      </c>
      <c r="I742">
        <v>18</v>
      </c>
      <c r="J742">
        <v>27</v>
      </c>
      <c r="K742">
        <v>16</v>
      </c>
      <c r="L742">
        <v>3</v>
      </c>
      <c r="M742">
        <v>64</v>
      </c>
      <c r="N742">
        <v>22</v>
      </c>
      <c r="O742">
        <v>17</v>
      </c>
      <c r="P742">
        <v>29</v>
      </c>
      <c r="Q742">
        <v>434</v>
      </c>
      <c r="R742">
        <v>209</v>
      </c>
      <c r="S742" t="str">
        <v>No</v>
      </c>
      <c r="T742">
        <v>0.62</v>
      </c>
      <c r="U742">
        <v>2021</v>
      </c>
      <c r="V742">
        <v>45799</v>
      </c>
      <c r="W742">
        <v>29.5</v>
      </c>
      <c r="X742" t="str">
        <v>Photos</v>
      </c>
      <c r="Y742" t="str">
        <v>Music</v>
      </c>
      <c r="Z742" t="str">
        <v>Friends_only</v>
      </c>
      <c r="AA742" t="str">
        <v>Yes</v>
      </c>
      <c r="AB742" t="str">
        <v>No</v>
      </c>
      <c r="AC742">
        <v>1</v>
      </c>
      <c r="AD742" t="str">
        <v>Free</v>
      </c>
      <c r="AE742">
        <v>1.17</v>
      </c>
      <c r="AF742" s="14">
        <f t="shared" si="11"/>
        <v>2.0765550239234449</v>
      </c>
    </row>
    <row r="743" spans="1:32" x14ac:dyDescent="0.2">
      <c r="A743">
        <v>742</v>
      </c>
      <c r="B743" cm="1">
        <f t="array" ref="B743:AE743">_xlfn.XLOOKUP($A743,Instagram_Usage_Lifestyle_Mini_!$A:$A,Instagram_Usage_Lifestyle_Mini_!$AC:$BF)</f>
        <v>271</v>
      </c>
      <c r="C743">
        <v>29</v>
      </c>
      <c r="D743">
        <v>8</v>
      </c>
      <c r="E743">
        <v>202</v>
      </c>
      <c r="F743">
        <v>147</v>
      </c>
      <c r="G743">
        <v>168</v>
      </c>
      <c r="H743">
        <v>52</v>
      </c>
      <c r="I743">
        <v>32</v>
      </c>
      <c r="J743">
        <v>24</v>
      </c>
      <c r="K743">
        <v>18</v>
      </c>
      <c r="L743">
        <v>6</v>
      </c>
      <c r="M743">
        <v>131</v>
      </c>
      <c r="N743">
        <v>49</v>
      </c>
      <c r="O743">
        <v>48</v>
      </c>
      <c r="P743">
        <v>68</v>
      </c>
      <c r="Q743">
        <v>1515</v>
      </c>
      <c r="R743">
        <v>2952</v>
      </c>
      <c r="S743" t="str">
        <v>No</v>
      </c>
      <c r="T743">
        <v>0.39</v>
      </c>
      <c r="U743">
        <v>2025</v>
      </c>
      <c r="V743">
        <v>45815</v>
      </c>
      <c r="W743">
        <v>9.3000000000000007</v>
      </c>
      <c r="X743" t="str">
        <v>Videos</v>
      </c>
      <c r="Y743" t="str">
        <v>Food</v>
      </c>
      <c r="Z743" t="str">
        <v>Private</v>
      </c>
      <c r="AA743" t="str">
        <v>No</v>
      </c>
      <c r="AB743" t="str">
        <v>No</v>
      </c>
      <c r="AC743">
        <v>3</v>
      </c>
      <c r="AD743" t="str">
        <v>Free</v>
      </c>
      <c r="AE743">
        <v>1.0900000000000001</v>
      </c>
      <c r="AF743" s="14">
        <f t="shared" si="11"/>
        <v>0.51321138211382111</v>
      </c>
    </row>
    <row r="744" spans="1:32" x14ac:dyDescent="0.2">
      <c r="A744">
        <v>743</v>
      </c>
      <c r="B744" cm="1">
        <f t="array" ref="B744:AE744">_xlfn.XLOOKUP($A744,Instagram_Usage_Lifestyle_Mini_!$A:$A,Instagram_Usage_Lifestyle_Mini_!$AC:$BF)</f>
        <v>121</v>
      </c>
      <c r="C744">
        <v>13</v>
      </c>
      <c r="D744">
        <v>8</v>
      </c>
      <c r="E744">
        <v>209</v>
      </c>
      <c r="F744">
        <v>73</v>
      </c>
      <c r="G744">
        <v>88</v>
      </c>
      <c r="H744">
        <v>31</v>
      </c>
      <c r="I744">
        <v>17</v>
      </c>
      <c r="J744">
        <v>29</v>
      </c>
      <c r="K744">
        <v>20</v>
      </c>
      <c r="L744">
        <v>2</v>
      </c>
      <c r="M744">
        <v>58</v>
      </c>
      <c r="N744">
        <v>18</v>
      </c>
      <c r="O744">
        <v>25</v>
      </c>
      <c r="P744">
        <v>45</v>
      </c>
      <c r="Q744">
        <v>561</v>
      </c>
      <c r="R744">
        <v>660</v>
      </c>
      <c r="S744" t="str">
        <v>Yes</v>
      </c>
      <c r="T744">
        <v>0.18</v>
      </c>
      <c r="U744">
        <v>2020</v>
      </c>
      <c r="V744">
        <v>45784</v>
      </c>
      <c r="W744">
        <v>9.3000000000000007</v>
      </c>
      <c r="X744" t="str">
        <v>Mixed</v>
      </c>
      <c r="Y744" t="str">
        <v>Tech</v>
      </c>
      <c r="Z744" t="str">
        <v>Public</v>
      </c>
      <c r="AA744" t="str">
        <v>Yes</v>
      </c>
      <c r="AB744" t="str">
        <v>No</v>
      </c>
      <c r="AC744">
        <v>2</v>
      </c>
      <c r="AD744" t="str">
        <v>Free</v>
      </c>
      <c r="AE744">
        <v>1.43</v>
      </c>
      <c r="AF744" s="14">
        <f t="shared" si="11"/>
        <v>0.85</v>
      </c>
    </row>
    <row r="745" spans="1:32" x14ac:dyDescent="0.2">
      <c r="A745">
        <v>744</v>
      </c>
      <c r="B745" cm="1">
        <f t="array" ref="B745:AE745">_xlfn.XLOOKUP($A745,Instagram_Usage_Lifestyle_Mini_!$A:$A,Instagram_Usage_Lifestyle_Mini_!$AC:$BF)</f>
        <v>441</v>
      </c>
      <c r="C745">
        <v>23</v>
      </c>
      <c r="D745">
        <v>12</v>
      </c>
      <c r="E745">
        <v>300</v>
      </c>
      <c r="F745">
        <v>150</v>
      </c>
      <c r="G745">
        <v>245</v>
      </c>
      <c r="H745">
        <v>72</v>
      </c>
      <c r="I745">
        <v>45</v>
      </c>
      <c r="J745">
        <v>61</v>
      </c>
      <c r="K745">
        <v>33</v>
      </c>
      <c r="L745">
        <v>8</v>
      </c>
      <c r="M745">
        <v>213</v>
      </c>
      <c r="N745">
        <v>130</v>
      </c>
      <c r="O745">
        <v>58</v>
      </c>
      <c r="P745">
        <v>107</v>
      </c>
      <c r="Q745">
        <v>444</v>
      </c>
      <c r="R745">
        <v>1014</v>
      </c>
      <c r="S745" t="str">
        <v>No</v>
      </c>
      <c r="T745">
        <v>0.98</v>
      </c>
      <c r="U745">
        <v>2025</v>
      </c>
      <c r="V745">
        <v>45906</v>
      </c>
      <c r="W745">
        <v>19.2</v>
      </c>
      <c r="X745" t="str">
        <v>Photos</v>
      </c>
      <c r="Y745" t="str">
        <v>Other</v>
      </c>
      <c r="Z745" t="str">
        <v>Friends_only</v>
      </c>
      <c r="AA745" t="str">
        <v>Yes</v>
      </c>
      <c r="AB745" t="str">
        <v>No</v>
      </c>
      <c r="AC745">
        <v>1</v>
      </c>
      <c r="AD745" t="str">
        <v>Free</v>
      </c>
      <c r="AE745">
        <v>0.96</v>
      </c>
      <c r="AF745" s="14">
        <f t="shared" si="11"/>
        <v>0.43786982248520712</v>
      </c>
    </row>
    <row r="746" spans="1:32" x14ac:dyDescent="0.2">
      <c r="A746">
        <v>745</v>
      </c>
      <c r="B746" cm="1">
        <f t="array" ref="B746:AE746">_xlfn.XLOOKUP($A746,Instagram_Usage_Lifestyle_Mini_!$A:$A,Instagram_Usage_Lifestyle_Mini_!$AC:$BF)</f>
        <v>140</v>
      </c>
      <c r="C746">
        <v>5</v>
      </c>
      <c r="D746">
        <v>4</v>
      </c>
      <c r="E746">
        <v>222</v>
      </c>
      <c r="F746">
        <v>82</v>
      </c>
      <c r="G746">
        <v>92</v>
      </c>
      <c r="H746">
        <v>22</v>
      </c>
      <c r="I746">
        <v>32</v>
      </c>
      <c r="J746">
        <v>18</v>
      </c>
      <c r="K746">
        <v>17</v>
      </c>
      <c r="L746">
        <v>4</v>
      </c>
      <c r="M746">
        <v>65</v>
      </c>
      <c r="N746">
        <v>16</v>
      </c>
      <c r="O746">
        <v>27</v>
      </c>
      <c r="P746">
        <v>32</v>
      </c>
      <c r="Q746">
        <v>416</v>
      </c>
      <c r="R746">
        <v>454</v>
      </c>
      <c r="S746" t="str">
        <v>No</v>
      </c>
      <c r="T746">
        <v>0.45</v>
      </c>
      <c r="U746">
        <v>2022</v>
      </c>
      <c r="V746">
        <v>45836</v>
      </c>
      <c r="W746">
        <v>28</v>
      </c>
      <c r="X746" t="str">
        <v>Videos</v>
      </c>
      <c r="Y746" t="str">
        <v>Fashion</v>
      </c>
      <c r="Z746" t="str">
        <v>Friends_only</v>
      </c>
      <c r="AA746" t="str">
        <v>Yes</v>
      </c>
      <c r="AB746" t="str">
        <v>No</v>
      </c>
      <c r="AC746">
        <v>1</v>
      </c>
      <c r="AD746" t="str">
        <v>Premium</v>
      </c>
      <c r="AE746">
        <v>1.05</v>
      </c>
      <c r="AF746" s="14">
        <f t="shared" si="11"/>
        <v>0.91629955947136565</v>
      </c>
    </row>
    <row r="747" spans="1:32" x14ac:dyDescent="0.2">
      <c r="A747">
        <v>746</v>
      </c>
      <c r="B747" cm="1">
        <f t="array" ref="B747:AE747">_xlfn.XLOOKUP($A747,Instagram_Usage_Lifestyle_Mini_!$A:$A,Instagram_Usage_Lifestyle_Mini_!$AC:$BF)</f>
        <v>78</v>
      </c>
      <c r="C747">
        <v>2</v>
      </c>
      <c r="D747">
        <v>2</v>
      </c>
      <c r="E747">
        <v>92</v>
      </c>
      <c r="F747">
        <v>51</v>
      </c>
      <c r="G747">
        <v>54</v>
      </c>
      <c r="H747">
        <v>13</v>
      </c>
      <c r="I747">
        <v>18</v>
      </c>
      <c r="J747">
        <v>14</v>
      </c>
      <c r="K747">
        <v>12</v>
      </c>
      <c r="L747">
        <v>6</v>
      </c>
      <c r="M747">
        <v>39</v>
      </c>
      <c r="N747">
        <v>23</v>
      </c>
      <c r="O747">
        <v>18</v>
      </c>
      <c r="P747">
        <v>16</v>
      </c>
      <c r="Q747">
        <v>4540</v>
      </c>
      <c r="R747">
        <v>9193</v>
      </c>
      <c r="S747" t="str">
        <v>No</v>
      </c>
      <c r="T747">
        <v>0.56999999999999995</v>
      </c>
      <c r="U747">
        <v>2019</v>
      </c>
      <c r="V747">
        <v>45879</v>
      </c>
      <c r="W747">
        <v>39</v>
      </c>
      <c r="X747" t="str">
        <v>Live</v>
      </c>
      <c r="Y747" t="str">
        <v>Food</v>
      </c>
      <c r="Z747" t="str">
        <v>Private</v>
      </c>
      <c r="AA747" t="str">
        <v>Yes</v>
      </c>
      <c r="AB747" t="str">
        <v>No</v>
      </c>
      <c r="AC747">
        <v>4</v>
      </c>
      <c r="AD747" t="str">
        <v>Free</v>
      </c>
      <c r="AE747">
        <v>1.0900000000000001</v>
      </c>
      <c r="AF747" s="14">
        <f t="shared" si="11"/>
        <v>0.49385401936255846</v>
      </c>
    </row>
    <row r="748" spans="1:32" x14ac:dyDescent="0.2">
      <c r="A748">
        <v>747</v>
      </c>
      <c r="B748" cm="1">
        <f t="array" ref="B748:AE748">_xlfn.XLOOKUP($A748,Instagram_Usage_Lifestyle_Mini_!$A:$A,Instagram_Usage_Lifestyle_Mini_!$AC:$BF)</f>
        <v>81</v>
      </c>
      <c r="C748">
        <v>3</v>
      </c>
      <c r="D748">
        <v>2</v>
      </c>
      <c r="E748">
        <v>89</v>
      </c>
      <c r="F748">
        <v>62</v>
      </c>
      <c r="G748">
        <v>65</v>
      </c>
      <c r="H748">
        <v>22</v>
      </c>
      <c r="I748">
        <v>19</v>
      </c>
      <c r="J748">
        <v>18</v>
      </c>
      <c r="K748">
        <v>15</v>
      </c>
      <c r="L748">
        <v>2</v>
      </c>
      <c r="M748">
        <v>36</v>
      </c>
      <c r="N748">
        <v>9</v>
      </c>
      <c r="O748">
        <v>15</v>
      </c>
      <c r="P748">
        <v>30</v>
      </c>
      <c r="Q748">
        <v>453</v>
      </c>
      <c r="R748">
        <v>386</v>
      </c>
      <c r="S748" t="str">
        <v>No</v>
      </c>
      <c r="T748">
        <v>0.61</v>
      </c>
      <c r="U748">
        <v>2025</v>
      </c>
      <c r="V748">
        <v>45804</v>
      </c>
      <c r="W748">
        <v>27</v>
      </c>
      <c r="X748" t="str">
        <v>Mixed</v>
      </c>
      <c r="Y748" t="str">
        <v>Tech</v>
      </c>
      <c r="Z748" t="str">
        <v>Friends_only</v>
      </c>
      <c r="AA748" t="str">
        <v>Yes</v>
      </c>
      <c r="AB748" t="str">
        <v>No</v>
      </c>
      <c r="AC748">
        <v>0</v>
      </c>
      <c r="AD748" t="str">
        <v>Free</v>
      </c>
      <c r="AE748">
        <v>1.4</v>
      </c>
      <c r="AF748" s="14">
        <f t="shared" si="11"/>
        <v>1.1735751295336787</v>
      </c>
    </row>
    <row r="749" spans="1:32" x14ac:dyDescent="0.2">
      <c r="A749">
        <v>748</v>
      </c>
      <c r="B749" cm="1">
        <f t="array" ref="B749:AE749">_xlfn.XLOOKUP($A749,Instagram_Usage_Lifestyle_Mini_!$A:$A,Instagram_Usage_Lifestyle_Mini_!$AC:$BF)</f>
        <v>184</v>
      </c>
      <c r="C749">
        <v>9</v>
      </c>
      <c r="D749">
        <v>5</v>
      </c>
      <c r="E749">
        <v>154</v>
      </c>
      <c r="F749">
        <v>122</v>
      </c>
      <c r="G749">
        <v>113</v>
      </c>
      <c r="H749">
        <v>34</v>
      </c>
      <c r="I749">
        <v>25</v>
      </c>
      <c r="J749">
        <v>30</v>
      </c>
      <c r="K749">
        <v>23</v>
      </c>
      <c r="L749">
        <v>3</v>
      </c>
      <c r="M749">
        <v>91</v>
      </c>
      <c r="N749">
        <v>24</v>
      </c>
      <c r="O749">
        <v>23</v>
      </c>
      <c r="P749">
        <v>69</v>
      </c>
      <c r="Q749">
        <v>282</v>
      </c>
      <c r="R749">
        <v>689</v>
      </c>
      <c r="S749" t="str">
        <v>No</v>
      </c>
      <c r="T749">
        <v>0.84</v>
      </c>
      <c r="U749">
        <v>2015</v>
      </c>
      <c r="V749">
        <v>45659</v>
      </c>
      <c r="W749">
        <v>20.399999999999999</v>
      </c>
      <c r="X749" t="str">
        <v>Videos</v>
      </c>
      <c r="Y749" t="str">
        <v>Food</v>
      </c>
      <c r="Z749" t="str">
        <v>Public</v>
      </c>
      <c r="AA749" t="str">
        <v>Yes</v>
      </c>
      <c r="AB749" t="str">
        <v>Yes</v>
      </c>
      <c r="AC749">
        <v>1</v>
      </c>
      <c r="AD749" t="str">
        <v>Free</v>
      </c>
      <c r="AE749">
        <v>1.06</v>
      </c>
      <c r="AF749" s="14">
        <f t="shared" si="11"/>
        <v>0.409288824383164</v>
      </c>
    </row>
    <row r="750" spans="1:32" x14ac:dyDescent="0.2">
      <c r="A750">
        <v>749</v>
      </c>
      <c r="B750" cm="1">
        <f t="array" ref="B750:AE750">_xlfn.XLOOKUP($A750,Instagram_Usage_Lifestyle_Mini_!$A:$A,Instagram_Usage_Lifestyle_Mini_!$AC:$BF)</f>
        <v>415</v>
      </c>
      <c r="C750">
        <v>15</v>
      </c>
      <c r="D750">
        <v>8</v>
      </c>
      <c r="E750">
        <v>300</v>
      </c>
      <c r="F750">
        <v>150</v>
      </c>
      <c r="G750">
        <v>231</v>
      </c>
      <c r="H750">
        <v>64</v>
      </c>
      <c r="I750">
        <v>56</v>
      </c>
      <c r="J750">
        <v>71</v>
      </c>
      <c r="K750">
        <v>38</v>
      </c>
      <c r="L750">
        <v>7</v>
      </c>
      <c r="M750">
        <v>172</v>
      </c>
      <c r="N750">
        <v>97</v>
      </c>
      <c r="O750">
        <v>89</v>
      </c>
      <c r="P750">
        <v>155</v>
      </c>
      <c r="Q750">
        <v>254</v>
      </c>
      <c r="R750">
        <v>257</v>
      </c>
      <c r="S750" t="str">
        <v>No</v>
      </c>
      <c r="T750">
        <v>0.94</v>
      </c>
      <c r="U750">
        <v>2018</v>
      </c>
      <c r="V750">
        <v>45818</v>
      </c>
      <c r="W750">
        <v>27.7</v>
      </c>
      <c r="X750" t="str">
        <v>Mixed</v>
      </c>
      <c r="Y750" t="str">
        <v>Fitness</v>
      </c>
      <c r="Z750" t="str">
        <v>Friends_only</v>
      </c>
      <c r="AA750" t="str">
        <v>No</v>
      </c>
      <c r="AB750" t="str">
        <v>No</v>
      </c>
      <c r="AC750">
        <v>1</v>
      </c>
      <c r="AD750" t="str">
        <v>Free</v>
      </c>
      <c r="AE750">
        <v>0.92</v>
      </c>
      <c r="AF750" s="14">
        <f t="shared" si="11"/>
        <v>0.98832684824902728</v>
      </c>
    </row>
    <row r="751" spans="1:32" x14ac:dyDescent="0.2">
      <c r="A751">
        <v>750</v>
      </c>
      <c r="B751" cm="1">
        <f t="array" ref="B751:AE751">_xlfn.XLOOKUP($A751,Instagram_Usage_Lifestyle_Mini_!$A:$A,Instagram_Usage_Lifestyle_Mini_!$AC:$BF)</f>
        <v>146</v>
      </c>
      <c r="C751">
        <v>5</v>
      </c>
      <c r="D751">
        <v>2</v>
      </c>
      <c r="E751">
        <v>136</v>
      </c>
      <c r="F751">
        <v>95</v>
      </c>
      <c r="G751">
        <v>106</v>
      </c>
      <c r="H751">
        <v>26</v>
      </c>
      <c r="I751">
        <v>20</v>
      </c>
      <c r="J751">
        <v>24</v>
      </c>
      <c r="K751">
        <v>14</v>
      </c>
      <c r="L751">
        <v>3</v>
      </c>
      <c r="M751">
        <v>84</v>
      </c>
      <c r="N751">
        <v>20</v>
      </c>
      <c r="O751">
        <v>21</v>
      </c>
      <c r="P751">
        <v>51</v>
      </c>
      <c r="Q751">
        <v>1136</v>
      </c>
      <c r="R751">
        <v>1429</v>
      </c>
      <c r="S751" t="str">
        <v>No</v>
      </c>
      <c r="T751">
        <v>0.09</v>
      </c>
      <c r="U751">
        <v>2014</v>
      </c>
      <c r="V751">
        <v>45742</v>
      </c>
      <c r="W751">
        <v>29.2</v>
      </c>
      <c r="X751" t="str">
        <v>Photos</v>
      </c>
      <c r="Y751" t="str">
        <v>Music</v>
      </c>
      <c r="Z751" t="str">
        <v>Private</v>
      </c>
      <c r="AA751" t="str">
        <v>Yes</v>
      </c>
      <c r="AB751" t="str">
        <v>No</v>
      </c>
      <c r="AC751">
        <v>3</v>
      </c>
      <c r="AD751" t="str">
        <v>Premium</v>
      </c>
      <c r="AE751">
        <v>1.1200000000000001</v>
      </c>
      <c r="AF751" s="14">
        <f t="shared" si="11"/>
        <v>0.79496151154653605</v>
      </c>
    </row>
    <row r="752" spans="1:32" x14ac:dyDescent="0.2">
      <c r="A752">
        <v>751</v>
      </c>
      <c r="B752" cm="1">
        <f t="array" ref="B752:AE752">_xlfn.XLOOKUP($A752,Instagram_Usage_Lifestyle_Mini_!$A:$A,Instagram_Usage_Lifestyle_Mini_!$AC:$BF)</f>
        <v>323</v>
      </c>
      <c r="C752">
        <v>10</v>
      </c>
      <c r="D752">
        <v>11</v>
      </c>
      <c r="E752">
        <v>253</v>
      </c>
      <c r="F752">
        <v>147</v>
      </c>
      <c r="G752">
        <v>195</v>
      </c>
      <c r="H752">
        <v>57</v>
      </c>
      <c r="I752">
        <v>45</v>
      </c>
      <c r="J752">
        <v>45</v>
      </c>
      <c r="K752">
        <v>21</v>
      </c>
      <c r="L752">
        <v>6</v>
      </c>
      <c r="M752">
        <v>142</v>
      </c>
      <c r="N752">
        <v>51</v>
      </c>
      <c r="O752">
        <v>74</v>
      </c>
      <c r="P752">
        <v>89</v>
      </c>
      <c r="Q752">
        <v>1765</v>
      </c>
      <c r="R752">
        <v>3131</v>
      </c>
      <c r="S752" t="str">
        <v>No</v>
      </c>
      <c r="T752">
        <v>0.3</v>
      </c>
      <c r="U752">
        <v>2024</v>
      </c>
      <c r="V752">
        <v>46004</v>
      </c>
      <c r="W752">
        <v>32.299999999999997</v>
      </c>
      <c r="X752" t="str">
        <v>Photos</v>
      </c>
      <c r="Y752" t="str">
        <v>Travel</v>
      </c>
      <c r="Z752" t="str">
        <v>Private</v>
      </c>
      <c r="AA752" t="str">
        <v>Yes</v>
      </c>
      <c r="AB752" t="str">
        <v>Yes</v>
      </c>
      <c r="AC752">
        <v>2</v>
      </c>
      <c r="AD752" t="str">
        <v>Free</v>
      </c>
      <c r="AE752">
        <v>1.06</v>
      </c>
      <c r="AF752" s="14">
        <f t="shared" si="11"/>
        <v>0.56371766208878948</v>
      </c>
    </row>
    <row r="753" spans="1:32" x14ac:dyDescent="0.2">
      <c r="A753">
        <v>752</v>
      </c>
      <c r="B753" cm="1">
        <f t="array" ref="B753:AE753">_xlfn.XLOOKUP($A753,Instagram_Usage_Lifestyle_Mini_!$A:$A,Instagram_Usage_Lifestyle_Mini_!$AC:$BF)</f>
        <v>147</v>
      </c>
      <c r="C753">
        <v>8</v>
      </c>
      <c r="D753">
        <v>7</v>
      </c>
      <c r="E753">
        <v>199</v>
      </c>
      <c r="F753">
        <v>86</v>
      </c>
      <c r="G753">
        <v>92</v>
      </c>
      <c r="H753">
        <v>17</v>
      </c>
      <c r="I753">
        <v>19</v>
      </c>
      <c r="J753">
        <v>25</v>
      </c>
      <c r="K753">
        <v>15</v>
      </c>
      <c r="L753">
        <v>4</v>
      </c>
      <c r="M753">
        <v>87</v>
      </c>
      <c r="N753">
        <v>41</v>
      </c>
      <c r="O753">
        <v>27</v>
      </c>
      <c r="P753">
        <v>30</v>
      </c>
      <c r="Q753">
        <v>426</v>
      </c>
      <c r="R753">
        <v>1003</v>
      </c>
      <c r="S753" t="str">
        <v>No</v>
      </c>
      <c r="T753">
        <v>0.85</v>
      </c>
      <c r="U753">
        <v>2021</v>
      </c>
      <c r="V753">
        <v>45999</v>
      </c>
      <c r="W753">
        <v>18.399999999999999</v>
      </c>
      <c r="X753" t="str">
        <v>Reels</v>
      </c>
      <c r="Y753" t="str">
        <v>Fitness</v>
      </c>
      <c r="Z753" t="str">
        <v>Public</v>
      </c>
      <c r="AA753" t="str">
        <v>Yes</v>
      </c>
      <c r="AB753" t="str">
        <v>Yes</v>
      </c>
      <c r="AC753">
        <v>0</v>
      </c>
      <c r="AD753" t="str">
        <v>Free</v>
      </c>
      <c r="AE753">
        <v>0.99</v>
      </c>
      <c r="AF753" s="14">
        <f t="shared" si="11"/>
        <v>0.42472582253240282</v>
      </c>
    </row>
    <row r="754" spans="1:32" x14ac:dyDescent="0.2">
      <c r="A754">
        <v>753</v>
      </c>
      <c r="B754" cm="1">
        <f t="array" ref="B754:AE754">_xlfn.XLOOKUP($A754,Instagram_Usage_Lifestyle_Mini_!$A:$A,Instagram_Usage_Lifestyle_Mini_!$AC:$BF)</f>
        <v>319</v>
      </c>
      <c r="C754">
        <v>26</v>
      </c>
      <c r="D754">
        <v>10</v>
      </c>
      <c r="E754">
        <v>240</v>
      </c>
      <c r="F754">
        <v>150</v>
      </c>
      <c r="G754">
        <v>181</v>
      </c>
      <c r="H754">
        <v>57</v>
      </c>
      <c r="I754">
        <v>47</v>
      </c>
      <c r="J754">
        <v>51</v>
      </c>
      <c r="K754">
        <v>26</v>
      </c>
      <c r="L754">
        <v>11</v>
      </c>
      <c r="M754">
        <v>147</v>
      </c>
      <c r="N754">
        <v>38</v>
      </c>
      <c r="O754">
        <v>53</v>
      </c>
      <c r="P754">
        <v>82</v>
      </c>
      <c r="Q754">
        <v>809</v>
      </c>
      <c r="R754">
        <v>524</v>
      </c>
      <c r="S754" t="str">
        <v>No</v>
      </c>
      <c r="T754">
        <v>0.87</v>
      </c>
      <c r="U754">
        <v>2011</v>
      </c>
      <c r="V754">
        <v>45697</v>
      </c>
      <c r="W754">
        <v>12.3</v>
      </c>
      <c r="X754" t="str">
        <v>Photos</v>
      </c>
      <c r="Y754" t="str">
        <v>Art</v>
      </c>
      <c r="Z754" t="str">
        <v>Friends_only</v>
      </c>
      <c r="AA754" t="str">
        <v>Yes</v>
      </c>
      <c r="AB754" t="str">
        <v>No</v>
      </c>
      <c r="AC754">
        <v>2</v>
      </c>
      <c r="AD754" t="str">
        <v>Free</v>
      </c>
      <c r="AE754">
        <v>1.02</v>
      </c>
      <c r="AF754" s="14">
        <f t="shared" si="11"/>
        <v>1.5438931297709924</v>
      </c>
    </row>
    <row r="755" spans="1:32" x14ac:dyDescent="0.2">
      <c r="A755">
        <v>754</v>
      </c>
      <c r="B755" cm="1">
        <f t="array" ref="B755:AE755">_xlfn.XLOOKUP($A755,Instagram_Usage_Lifestyle_Mini_!$A:$A,Instagram_Usage_Lifestyle_Mini_!$AC:$BF)</f>
        <v>128</v>
      </c>
      <c r="C755">
        <v>6</v>
      </c>
      <c r="D755">
        <v>1</v>
      </c>
      <c r="E755">
        <v>109</v>
      </c>
      <c r="F755">
        <v>82</v>
      </c>
      <c r="G755">
        <v>102</v>
      </c>
      <c r="H755">
        <v>19</v>
      </c>
      <c r="I755">
        <v>27</v>
      </c>
      <c r="J755">
        <v>34</v>
      </c>
      <c r="K755">
        <v>16</v>
      </c>
      <c r="L755">
        <v>3</v>
      </c>
      <c r="M755">
        <v>58</v>
      </c>
      <c r="N755">
        <v>18</v>
      </c>
      <c r="O755">
        <v>13</v>
      </c>
      <c r="P755">
        <v>39</v>
      </c>
      <c r="Q755">
        <v>361</v>
      </c>
      <c r="R755">
        <v>206</v>
      </c>
      <c r="S755" t="str">
        <v>Yes</v>
      </c>
      <c r="T755">
        <v>0.77</v>
      </c>
      <c r="U755">
        <v>2022</v>
      </c>
      <c r="V755">
        <v>45882</v>
      </c>
      <c r="W755">
        <v>21.3</v>
      </c>
      <c r="X755" t="str">
        <v>Mixed</v>
      </c>
      <c r="Y755" t="str">
        <v>Tech</v>
      </c>
      <c r="Z755" t="str">
        <v>Public</v>
      </c>
      <c r="AA755" t="str">
        <v>Yes</v>
      </c>
      <c r="AB755" t="str">
        <v>Yes</v>
      </c>
      <c r="AC755">
        <v>2</v>
      </c>
      <c r="AD755" t="str">
        <v>Premium</v>
      </c>
      <c r="AE755">
        <v>1.1100000000000001</v>
      </c>
      <c r="AF755" s="14">
        <f t="shared" si="11"/>
        <v>1.7524271844660195</v>
      </c>
    </row>
    <row r="756" spans="1:32" x14ac:dyDescent="0.2">
      <c r="A756">
        <v>755</v>
      </c>
      <c r="B756" cm="1">
        <f t="array" ref="B756:AE756">_xlfn.XLOOKUP($A756,Instagram_Usage_Lifestyle_Mini_!$A:$A,Instagram_Usage_Lifestyle_Mini_!$AC:$BF)</f>
        <v>220</v>
      </c>
      <c r="C756">
        <v>10</v>
      </c>
      <c r="D756">
        <v>9</v>
      </c>
      <c r="E756">
        <v>197</v>
      </c>
      <c r="F756">
        <v>134</v>
      </c>
      <c r="G756">
        <v>140</v>
      </c>
      <c r="H756">
        <v>50</v>
      </c>
      <c r="I756">
        <v>34</v>
      </c>
      <c r="J756">
        <v>39</v>
      </c>
      <c r="K756">
        <v>24</v>
      </c>
      <c r="L756">
        <v>6</v>
      </c>
      <c r="M756">
        <v>102</v>
      </c>
      <c r="N756">
        <v>39</v>
      </c>
      <c r="O756">
        <v>50</v>
      </c>
      <c r="P756">
        <v>80</v>
      </c>
      <c r="Q756">
        <v>1717</v>
      </c>
      <c r="R756">
        <v>1731</v>
      </c>
      <c r="S756" t="str">
        <v>Yes</v>
      </c>
      <c r="T756">
        <v>0.48</v>
      </c>
      <c r="U756">
        <v>2014</v>
      </c>
      <c r="V756">
        <v>45777</v>
      </c>
      <c r="W756">
        <v>22</v>
      </c>
      <c r="X756" t="str">
        <v>Photos</v>
      </c>
      <c r="Y756" t="str">
        <v>Music</v>
      </c>
      <c r="Z756" t="str">
        <v>Public</v>
      </c>
      <c r="AA756" t="str">
        <v>Yes</v>
      </c>
      <c r="AB756" t="str">
        <v>No</v>
      </c>
      <c r="AC756">
        <v>3</v>
      </c>
      <c r="AD756" t="str">
        <v>Free</v>
      </c>
      <c r="AE756">
        <v>1.21</v>
      </c>
      <c r="AF756" s="14">
        <f t="shared" si="11"/>
        <v>0.99191218948584636</v>
      </c>
    </row>
    <row r="757" spans="1:32" x14ac:dyDescent="0.2">
      <c r="A757">
        <v>756</v>
      </c>
      <c r="B757" cm="1">
        <f t="array" ref="B757:AE757">_xlfn.XLOOKUP($A757,Instagram_Usage_Lifestyle_Mini_!$A:$A,Instagram_Usage_Lifestyle_Mini_!$AC:$BF)</f>
        <v>145</v>
      </c>
      <c r="C757">
        <v>6</v>
      </c>
      <c r="D757">
        <v>3</v>
      </c>
      <c r="E757">
        <v>123</v>
      </c>
      <c r="F757">
        <v>74</v>
      </c>
      <c r="G757">
        <v>81</v>
      </c>
      <c r="H757">
        <v>30</v>
      </c>
      <c r="I757">
        <v>29</v>
      </c>
      <c r="J757">
        <v>30</v>
      </c>
      <c r="K757">
        <v>16</v>
      </c>
      <c r="L757">
        <v>6</v>
      </c>
      <c r="M757">
        <v>79</v>
      </c>
      <c r="N757">
        <v>37</v>
      </c>
      <c r="O757">
        <v>34</v>
      </c>
      <c r="P757">
        <v>57</v>
      </c>
      <c r="Q757">
        <v>2604</v>
      </c>
      <c r="R757">
        <v>5166</v>
      </c>
      <c r="S757" t="str">
        <v>Yes</v>
      </c>
      <c r="T757">
        <v>0.71</v>
      </c>
      <c r="U757">
        <v>2021</v>
      </c>
      <c r="V757">
        <v>45825</v>
      </c>
      <c r="W757">
        <v>24.2</v>
      </c>
      <c r="X757" t="str">
        <v>Stories</v>
      </c>
      <c r="Y757" t="str">
        <v>Other</v>
      </c>
      <c r="Z757" t="str">
        <v>Friends_only</v>
      </c>
      <c r="AA757" t="str">
        <v>No</v>
      </c>
      <c r="AB757" t="str">
        <v>No</v>
      </c>
      <c r="AC757">
        <v>3</v>
      </c>
      <c r="AD757" t="str">
        <v>Business</v>
      </c>
      <c r="AE757">
        <v>1.03</v>
      </c>
      <c r="AF757" s="14">
        <f t="shared" si="11"/>
        <v>0.50406504065040647</v>
      </c>
    </row>
    <row r="758" spans="1:32" x14ac:dyDescent="0.2">
      <c r="A758">
        <v>757</v>
      </c>
      <c r="B758" cm="1">
        <f t="array" ref="B758:AE758">_xlfn.XLOOKUP($A758,Instagram_Usage_Lifestyle_Mini_!$A:$A,Instagram_Usage_Lifestyle_Mini_!$AC:$BF)</f>
        <v>67</v>
      </c>
      <c r="C758">
        <v>2</v>
      </c>
      <c r="D758">
        <v>0</v>
      </c>
      <c r="E758">
        <v>83</v>
      </c>
      <c r="F758">
        <v>44</v>
      </c>
      <c r="G758">
        <v>50</v>
      </c>
      <c r="H758">
        <v>21</v>
      </c>
      <c r="I758">
        <v>11</v>
      </c>
      <c r="J758">
        <v>18</v>
      </c>
      <c r="K758">
        <v>9</v>
      </c>
      <c r="L758">
        <v>3</v>
      </c>
      <c r="M758">
        <v>35</v>
      </c>
      <c r="N758">
        <v>13</v>
      </c>
      <c r="O758">
        <v>15</v>
      </c>
      <c r="P758">
        <v>15</v>
      </c>
      <c r="Q758">
        <v>548</v>
      </c>
      <c r="R758">
        <v>1312</v>
      </c>
      <c r="S758" t="str">
        <v>No</v>
      </c>
      <c r="T758">
        <v>0.01</v>
      </c>
      <c r="U758">
        <v>2020</v>
      </c>
      <c r="V758">
        <v>45756</v>
      </c>
      <c r="W758">
        <v>33.5</v>
      </c>
      <c r="X758" t="str">
        <v>Mixed</v>
      </c>
      <c r="Y758" t="str">
        <v>Food</v>
      </c>
      <c r="Z758" t="str">
        <v>Friends_only</v>
      </c>
      <c r="AA758" t="str">
        <v>No</v>
      </c>
      <c r="AB758" t="str">
        <v>No</v>
      </c>
      <c r="AC758">
        <v>0</v>
      </c>
      <c r="AD758" t="str">
        <v>Free</v>
      </c>
      <c r="AE758">
        <v>1.35</v>
      </c>
      <c r="AF758" s="14">
        <f t="shared" si="11"/>
        <v>0.41768292682926828</v>
      </c>
    </row>
    <row r="759" spans="1:32" x14ac:dyDescent="0.2">
      <c r="A759">
        <v>758</v>
      </c>
      <c r="B759" cm="1">
        <f t="array" ref="B759:AE759">_xlfn.XLOOKUP($A759,Instagram_Usage_Lifestyle_Mini_!$A:$A,Instagram_Usage_Lifestyle_Mini_!$AC:$BF)</f>
        <v>291</v>
      </c>
      <c r="C759">
        <v>10</v>
      </c>
      <c r="D759">
        <v>5</v>
      </c>
      <c r="E759">
        <v>212</v>
      </c>
      <c r="F759">
        <v>140</v>
      </c>
      <c r="G759">
        <v>168</v>
      </c>
      <c r="H759">
        <v>52</v>
      </c>
      <c r="I759">
        <v>21</v>
      </c>
      <c r="J759">
        <v>51</v>
      </c>
      <c r="K759">
        <v>16</v>
      </c>
      <c r="L759">
        <v>9</v>
      </c>
      <c r="M759">
        <v>143</v>
      </c>
      <c r="N759">
        <v>43</v>
      </c>
      <c r="O759">
        <v>66</v>
      </c>
      <c r="P759">
        <v>101</v>
      </c>
      <c r="Q759">
        <v>2959</v>
      </c>
      <c r="R759">
        <v>2134</v>
      </c>
      <c r="S759" t="str">
        <v>Yes</v>
      </c>
      <c r="T759">
        <v>0.37</v>
      </c>
      <c r="U759">
        <v>2019</v>
      </c>
      <c r="V759">
        <v>45813</v>
      </c>
      <c r="W759">
        <v>29.1</v>
      </c>
      <c r="X759" t="str">
        <v>Live</v>
      </c>
      <c r="Y759" t="str">
        <v>Art</v>
      </c>
      <c r="Z759" t="str">
        <v>Public</v>
      </c>
      <c r="AA759" t="str">
        <v>No</v>
      </c>
      <c r="AB759" t="str">
        <v>No</v>
      </c>
      <c r="AC759">
        <v>3</v>
      </c>
      <c r="AD759" t="str">
        <v>Free</v>
      </c>
      <c r="AE759">
        <v>0.98</v>
      </c>
      <c r="AF759" s="14">
        <f t="shared" si="11"/>
        <v>1.3865979381443299</v>
      </c>
    </row>
    <row r="760" spans="1:32" x14ac:dyDescent="0.2">
      <c r="A760">
        <v>759</v>
      </c>
      <c r="B760" cm="1">
        <f t="array" ref="B760:AE760">_xlfn.XLOOKUP($A760,Instagram_Usage_Lifestyle_Mini_!$A:$A,Instagram_Usage_Lifestyle_Mini_!$AC:$BF)</f>
        <v>17</v>
      </c>
      <c r="C760">
        <v>1</v>
      </c>
      <c r="D760">
        <v>3</v>
      </c>
      <c r="E760">
        <v>136</v>
      </c>
      <c r="F760">
        <v>30</v>
      </c>
      <c r="G760">
        <v>46</v>
      </c>
      <c r="H760">
        <v>6</v>
      </c>
      <c r="I760">
        <v>16</v>
      </c>
      <c r="J760">
        <v>3</v>
      </c>
      <c r="K760">
        <v>9</v>
      </c>
      <c r="L760">
        <v>3</v>
      </c>
      <c r="M760">
        <v>7</v>
      </c>
      <c r="N760">
        <v>4</v>
      </c>
      <c r="O760">
        <v>3</v>
      </c>
      <c r="P760">
        <v>6</v>
      </c>
      <c r="Q760">
        <v>1245</v>
      </c>
      <c r="R760">
        <v>1876</v>
      </c>
      <c r="S760" t="str">
        <v>No</v>
      </c>
      <c r="T760">
        <v>0.96</v>
      </c>
      <c r="U760">
        <v>2023</v>
      </c>
      <c r="V760">
        <v>45979</v>
      </c>
      <c r="W760">
        <v>17</v>
      </c>
      <c r="X760" t="str">
        <v>Stories</v>
      </c>
      <c r="Y760" t="str">
        <v>Music</v>
      </c>
      <c r="Z760" t="str">
        <v>Public</v>
      </c>
      <c r="AA760" t="str">
        <v>Yes</v>
      </c>
      <c r="AB760" t="str">
        <v>No</v>
      </c>
      <c r="AC760">
        <v>0</v>
      </c>
      <c r="AD760" t="str">
        <v>Free</v>
      </c>
      <c r="AE760">
        <v>3.72</v>
      </c>
      <c r="AF760" s="14">
        <f t="shared" si="11"/>
        <v>0.6636460554371002</v>
      </c>
    </row>
    <row r="761" spans="1:32" x14ac:dyDescent="0.2">
      <c r="A761">
        <v>760</v>
      </c>
      <c r="B761" cm="1">
        <f t="array" ref="B761:AE761">_xlfn.XLOOKUP($A761,Instagram_Usage_Lifestyle_Mini_!$A:$A,Instagram_Usage_Lifestyle_Mini_!$AC:$BF)</f>
        <v>338</v>
      </c>
      <c r="C761">
        <v>23</v>
      </c>
      <c r="D761">
        <v>8</v>
      </c>
      <c r="E761">
        <v>244</v>
      </c>
      <c r="F761">
        <v>150</v>
      </c>
      <c r="G761">
        <v>183</v>
      </c>
      <c r="H761">
        <v>59</v>
      </c>
      <c r="I761">
        <v>45</v>
      </c>
      <c r="J761">
        <v>56</v>
      </c>
      <c r="K761">
        <v>31</v>
      </c>
      <c r="L761">
        <v>7</v>
      </c>
      <c r="M761">
        <v>160</v>
      </c>
      <c r="N761">
        <v>76</v>
      </c>
      <c r="O761">
        <v>49</v>
      </c>
      <c r="P761">
        <v>74</v>
      </c>
      <c r="Q761">
        <v>2459</v>
      </c>
      <c r="R761">
        <v>4931</v>
      </c>
      <c r="S761" t="str">
        <v>No</v>
      </c>
      <c r="T761">
        <v>0.37</v>
      </c>
      <c r="U761">
        <v>2022</v>
      </c>
      <c r="V761">
        <v>45669</v>
      </c>
      <c r="W761">
        <v>14.7</v>
      </c>
      <c r="X761" t="str">
        <v>Live</v>
      </c>
      <c r="Y761" t="str">
        <v>Other</v>
      </c>
      <c r="Z761" t="str">
        <v>Public</v>
      </c>
      <c r="AA761" t="str">
        <v>No</v>
      </c>
      <c r="AB761" t="str">
        <v>No</v>
      </c>
      <c r="AC761">
        <v>1</v>
      </c>
      <c r="AD761" t="str">
        <v>Premium</v>
      </c>
      <c r="AE761">
        <v>0.96</v>
      </c>
      <c r="AF761" s="14">
        <f t="shared" si="11"/>
        <v>0.49868180896369907</v>
      </c>
    </row>
    <row r="762" spans="1:32" x14ac:dyDescent="0.2">
      <c r="A762">
        <v>761</v>
      </c>
      <c r="B762" cm="1">
        <f t="array" ref="B762:AE762">_xlfn.XLOOKUP($A762,Instagram_Usage_Lifestyle_Mini_!$A:$A,Instagram_Usage_Lifestyle_Mini_!$AC:$BF)</f>
        <v>304</v>
      </c>
      <c r="C762">
        <v>13</v>
      </c>
      <c r="D762">
        <v>20</v>
      </c>
      <c r="E762">
        <v>300</v>
      </c>
      <c r="F762">
        <v>140</v>
      </c>
      <c r="G762">
        <v>163</v>
      </c>
      <c r="H762">
        <v>52</v>
      </c>
      <c r="I762">
        <v>44</v>
      </c>
      <c r="J762">
        <v>37</v>
      </c>
      <c r="K762">
        <v>27</v>
      </c>
      <c r="L762">
        <v>2</v>
      </c>
      <c r="M762">
        <v>160</v>
      </c>
      <c r="N762">
        <v>46</v>
      </c>
      <c r="O762">
        <v>68</v>
      </c>
      <c r="P762">
        <v>92</v>
      </c>
      <c r="Q762">
        <v>1132</v>
      </c>
      <c r="R762">
        <v>2139</v>
      </c>
      <c r="S762" t="str">
        <v>No</v>
      </c>
      <c r="T762">
        <v>0.56000000000000005</v>
      </c>
      <c r="U762">
        <v>2022</v>
      </c>
      <c r="V762">
        <v>45739</v>
      </c>
      <c r="W762">
        <v>23.4</v>
      </c>
      <c r="X762" t="str">
        <v>Live</v>
      </c>
      <c r="Y762" t="str">
        <v>Music</v>
      </c>
      <c r="Z762" t="str">
        <v>Friends_only</v>
      </c>
      <c r="AA762" t="str">
        <v>No</v>
      </c>
      <c r="AB762" t="str">
        <v>No</v>
      </c>
      <c r="AC762">
        <v>2</v>
      </c>
      <c r="AD762" t="str">
        <v>Free</v>
      </c>
      <c r="AE762">
        <v>1.07</v>
      </c>
      <c r="AF762" s="14">
        <f t="shared" si="11"/>
        <v>0.52921926133707342</v>
      </c>
    </row>
    <row r="763" spans="1:32" x14ac:dyDescent="0.2">
      <c r="A763">
        <v>762</v>
      </c>
      <c r="B763" cm="1">
        <f t="array" ref="B763:AE763">_xlfn.XLOOKUP($A763,Instagram_Usage_Lifestyle_Mini_!$A:$A,Instagram_Usage_Lifestyle_Mini_!$AC:$BF)</f>
        <v>153</v>
      </c>
      <c r="C763">
        <v>9</v>
      </c>
      <c r="D763">
        <v>4</v>
      </c>
      <c r="E763">
        <v>142</v>
      </c>
      <c r="F763">
        <v>99</v>
      </c>
      <c r="G763">
        <v>101</v>
      </c>
      <c r="H763">
        <v>30</v>
      </c>
      <c r="I763">
        <v>30</v>
      </c>
      <c r="J763">
        <v>21</v>
      </c>
      <c r="K763">
        <v>16</v>
      </c>
      <c r="L763">
        <v>3</v>
      </c>
      <c r="M763">
        <v>91</v>
      </c>
      <c r="N763">
        <v>21</v>
      </c>
      <c r="O763">
        <v>18</v>
      </c>
      <c r="P763">
        <v>58</v>
      </c>
      <c r="Q763">
        <v>216</v>
      </c>
      <c r="R763">
        <v>383</v>
      </c>
      <c r="S763" t="str">
        <v>No</v>
      </c>
      <c r="T763">
        <v>0.74</v>
      </c>
      <c r="U763">
        <v>2025</v>
      </c>
      <c r="V763">
        <v>45669</v>
      </c>
      <c r="W763">
        <v>17</v>
      </c>
      <c r="X763" t="str">
        <v>Live</v>
      </c>
      <c r="Y763" t="str">
        <v>Art</v>
      </c>
      <c r="Z763" t="str">
        <v>Friends_only</v>
      </c>
      <c r="AA763" t="str">
        <v>Yes</v>
      </c>
      <c r="AB763" t="str">
        <v>No</v>
      </c>
      <c r="AC763">
        <v>2</v>
      </c>
      <c r="AD763" t="str">
        <v>Free</v>
      </c>
      <c r="AE763">
        <v>1.1200000000000001</v>
      </c>
      <c r="AF763" s="14">
        <f t="shared" si="11"/>
        <v>0.56396866840731075</v>
      </c>
    </row>
    <row r="764" spans="1:32" x14ac:dyDescent="0.2">
      <c r="A764">
        <v>763</v>
      </c>
      <c r="B764" cm="1">
        <f t="array" ref="B764:AE764">_xlfn.XLOOKUP($A764,Instagram_Usage_Lifestyle_Mini_!$A:$A,Instagram_Usage_Lifestyle_Mini_!$AC:$BF)</f>
        <v>75</v>
      </c>
      <c r="C764">
        <v>4</v>
      </c>
      <c r="D764">
        <v>1</v>
      </c>
      <c r="E764">
        <v>92</v>
      </c>
      <c r="F764">
        <v>64</v>
      </c>
      <c r="G764">
        <v>53</v>
      </c>
      <c r="H764">
        <v>23</v>
      </c>
      <c r="I764">
        <v>25</v>
      </c>
      <c r="J764">
        <v>14</v>
      </c>
      <c r="K764">
        <v>14</v>
      </c>
      <c r="L764">
        <v>0</v>
      </c>
      <c r="M764">
        <v>39</v>
      </c>
      <c r="N764">
        <v>18</v>
      </c>
      <c r="O764">
        <v>9</v>
      </c>
      <c r="P764">
        <v>21</v>
      </c>
      <c r="Q764">
        <v>888</v>
      </c>
      <c r="R764">
        <v>1439</v>
      </c>
      <c r="S764" t="str">
        <v>No</v>
      </c>
      <c r="T764">
        <v>0.72</v>
      </c>
      <c r="U764">
        <v>2018</v>
      </c>
      <c r="V764">
        <v>45971</v>
      </c>
      <c r="W764">
        <v>18.8</v>
      </c>
      <c r="X764" t="str">
        <v>Reels</v>
      </c>
      <c r="Y764" t="str">
        <v>Fitness</v>
      </c>
      <c r="Z764" t="str">
        <v>Friends_only</v>
      </c>
      <c r="AA764" t="str">
        <v>Yes</v>
      </c>
      <c r="AB764" t="str">
        <v>No</v>
      </c>
      <c r="AC764">
        <v>1</v>
      </c>
      <c r="AD764" t="str">
        <v>Business</v>
      </c>
      <c r="AE764">
        <v>1.34</v>
      </c>
      <c r="AF764" s="14">
        <f t="shared" si="11"/>
        <v>0.61709520500347459</v>
      </c>
    </row>
    <row r="765" spans="1:32" x14ac:dyDescent="0.2">
      <c r="A765">
        <v>764</v>
      </c>
      <c r="B765" cm="1">
        <f t="array" ref="B765:AE765">_xlfn.XLOOKUP($A765,Instagram_Usage_Lifestyle_Mini_!$A:$A,Instagram_Usage_Lifestyle_Mini_!$AC:$BF)</f>
        <v>194</v>
      </c>
      <c r="C765">
        <v>6</v>
      </c>
      <c r="D765">
        <v>1</v>
      </c>
      <c r="E765">
        <v>146</v>
      </c>
      <c r="F765">
        <v>95</v>
      </c>
      <c r="G765">
        <v>117</v>
      </c>
      <c r="H765">
        <v>37</v>
      </c>
      <c r="I765">
        <v>34</v>
      </c>
      <c r="J765">
        <v>30</v>
      </c>
      <c r="K765">
        <v>13</v>
      </c>
      <c r="L765">
        <v>8</v>
      </c>
      <c r="M765">
        <v>92</v>
      </c>
      <c r="N765">
        <v>41</v>
      </c>
      <c r="O765">
        <v>35</v>
      </c>
      <c r="P765">
        <v>59</v>
      </c>
      <c r="Q765">
        <v>1102</v>
      </c>
      <c r="R765">
        <v>2308</v>
      </c>
      <c r="S765" t="str">
        <v>No</v>
      </c>
      <c r="T765">
        <v>0.6</v>
      </c>
      <c r="U765">
        <v>2019</v>
      </c>
      <c r="V765">
        <v>45682</v>
      </c>
      <c r="W765">
        <v>32.299999999999997</v>
      </c>
      <c r="X765" t="str">
        <v>Photos</v>
      </c>
      <c r="Y765" t="str">
        <v>Art</v>
      </c>
      <c r="Z765" t="str">
        <v>Public</v>
      </c>
      <c r="AA765" t="str">
        <v>Yes</v>
      </c>
      <c r="AB765" t="str">
        <v>No</v>
      </c>
      <c r="AC765">
        <v>0</v>
      </c>
      <c r="AD765" t="str">
        <v>Free</v>
      </c>
      <c r="AE765">
        <v>0.99</v>
      </c>
      <c r="AF765" s="14">
        <f t="shared" si="11"/>
        <v>0.47746967071057195</v>
      </c>
    </row>
    <row r="766" spans="1:32" x14ac:dyDescent="0.2">
      <c r="A766">
        <v>765</v>
      </c>
      <c r="B766" cm="1">
        <f t="array" ref="B766:AE766">_xlfn.XLOOKUP($A766,Instagram_Usage_Lifestyle_Mini_!$A:$A,Instagram_Usage_Lifestyle_Mini_!$AC:$BF)</f>
        <v>269</v>
      </c>
      <c r="C766">
        <v>11</v>
      </c>
      <c r="D766">
        <v>8</v>
      </c>
      <c r="E766">
        <v>181</v>
      </c>
      <c r="F766">
        <v>150</v>
      </c>
      <c r="G766">
        <v>159</v>
      </c>
      <c r="H766">
        <v>48</v>
      </c>
      <c r="I766">
        <v>41</v>
      </c>
      <c r="J766">
        <v>40</v>
      </c>
      <c r="K766">
        <v>22</v>
      </c>
      <c r="L766">
        <v>6</v>
      </c>
      <c r="M766">
        <v>143</v>
      </c>
      <c r="N766">
        <v>76</v>
      </c>
      <c r="O766">
        <v>40</v>
      </c>
      <c r="P766">
        <v>55</v>
      </c>
      <c r="Q766">
        <v>2356</v>
      </c>
      <c r="R766">
        <v>2518</v>
      </c>
      <c r="S766" t="str">
        <v>Yes</v>
      </c>
      <c r="T766">
        <v>0.81</v>
      </c>
      <c r="U766">
        <v>2023</v>
      </c>
      <c r="V766">
        <v>45691</v>
      </c>
      <c r="W766">
        <v>24.5</v>
      </c>
      <c r="X766" t="str">
        <v>Live</v>
      </c>
      <c r="Y766" t="str">
        <v>Food</v>
      </c>
      <c r="Z766" t="str">
        <v>Friends_only</v>
      </c>
      <c r="AA766" t="str">
        <v>Yes</v>
      </c>
      <c r="AB766" t="str">
        <v>Yes</v>
      </c>
      <c r="AC766">
        <v>0</v>
      </c>
      <c r="AD766" t="str">
        <v>Free</v>
      </c>
      <c r="AE766">
        <v>1.03</v>
      </c>
      <c r="AF766" s="14">
        <f t="shared" si="11"/>
        <v>0.93566322478157271</v>
      </c>
    </row>
    <row r="767" spans="1:32" x14ac:dyDescent="0.2">
      <c r="A767">
        <v>766</v>
      </c>
      <c r="B767" cm="1">
        <f t="array" ref="B767:AE767">_xlfn.XLOOKUP($A767,Instagram_Usage_Lifestyle_Mini_!$A:$A,Instagram_Usage_Lifestyle_Mini_!$AC:$BF)</f>
        <v>321</v>
      </c>
      <c r="C767">
        <v>17</v>
      </c>
      <c r="D767">
        <v>9</v>
      </c>
      <c r="E767">
        <v>231</v>
      </c>
      <c r="F767">
        <v>150</v>
      </c>
      <c r="G767">
        <v>178</v>
      </c>
      <c r="H767">
        <v>58</v>
      </c>
      <c r="I767">
        <v>43</v>
      </c>
      <c r="J767">
        <v>43</v>
      </c>
      <c r="K767">
        <v>30</v>
      </c>
      <c r="L767">
        <v>6</v>
      </c>
      <c r="M767">
        <v>179</v>
      </c>
      <c r="N767">
        <v>81</v>
      </c>
      <c r="O767">
        <v>68</v>
      </c>
      <c r="P767">
        <v>118</v>
      </c>
      <c r="Q767">
        <v>1864</v>
      </c>
      <c r="R767">
        <v>1265</v>
      </c>
      <c r="S767" t="str">
        <v>No</v>
      </c>
      <c r="T767">
        <v>0.91</v>
      </c>
      <c r="U767">
        <v>2025</v>
      </c>
      <c r="V767">
        <v>45806</v>
      </c>
      <c r="W767">
        <v>18.899999999999999</v>
      </c>
      <c r="X767" t="str">
        <v>Photos</v>
      </c>
      <c r="Y767" t="str">
        <v>Music</v>
      </c>
      <c r="Z767" t="str">
        <v>Public</v>
      </c>
      <c r="AA767" t="str">
        <v>Yes</v>
      </c>
      <c r="AB767" t="str">
        <v>Yes</v>
      </c>
      <c r="AC767">
        <v>0</v>
      </c>
      <c r="AD767" t="str">
        <v>Business</v>
      </c>
      <c r="AE767">
        <v>1</v>
      </c>
      <c r="AF767" s="14">
        <f t="shared" si="11"/>
        <v>1.4735177865612648</v>
      </c>
    </row>
    <row r="768" spans="1:32" x14ac:dyDescent="0.2">
      <c r="A768">
        <v>767</v>
      </c>
      <c r="B768" cm="1">
        <f t="array" ref="B768:AE768">_xlfn.XLOOKUP($A768,Instagram_Usage_Lifestyle_Mini_!$A:$A,Instagram_Usage_Lifestyle_Mini_!$AC:$BF)</f>
        <v>372</v>
      </c>
      <c r="C768">
        <v>15</v>
      </c>
      <c r="D768">
        <v>4</v>
      </c>
      <c r="E768">
        <v>288</v>
      </c>
      <c r="F768">
        <v>150</v>
      </c>
      <c r="G768">
        <v>212</v>
      </c>
      <c r="H768">
        <v>80</v>
      </c>
      <c r="I768">
        <v>40</v>
      </c>
      <c r="J768">
        <v>55</v>
      </c>
      <c r="K768">
        <v>42</v>
      </c>
      <c r="L768">
        <v>10</v>
      </c>
      <c r="M768">
        <v>166</v>
      </c>
      <c r="N768">
        <v>39</v>
      </c>
      <c r="O768">
        <v>72</v>
      </c>
      <c r="P768">
        <v>146</v>
      </c>
      <c r="Q768">
        <v>456</v>
      </c>
      <c r="R768">
        <v>925</v>
      </c>
      <c r="S768" t="str">
        <v>No</v>
      </c>
      <c r="T768">
        <v>0.38</v>
      </c>
      <c r="U768">
        <v>2021</v>
      </c>
      <c r="V768">
        <v>45914</v>
      </c>
      <c r="W768">
        <v>24.8</v>
      </c>
      <c r="X768" t="str">
        <v>Live</v>
      </c>
      <c r="Y768" t="str">
        <v>Music</v>
      </c>
      <c r="Z768" t="str">
        <v>Private</v>
      </c>
      <c r="AA768" t="str">
        <v>Yes</v>
      </c>
      <c r="AB768" t="str">
        <v>Yes</v>
      </c>
      <c r="AC768">
        <v>1</v>
      </c>
      <c r="AD768" t="str">
        <v>Free</v>
      </c>
      <c r="AE768">
        <v>1.03</v>
      </c>
      <c r="AF768" s="14">
        <f t="shared" si="11"/>
        <v>0.49297297297297299</v>
      </c>
    </row>
    <row r="769" spans="1:32" x14ac:dyDescent="0.2">
      <c r="A769">
        <v>768</v>
      </c>
      <c r="B769" cm="1">
        <f t="array" ref="B769:AE769">_xlfn.XLOOKUP($A769,Instagram_Usage_Lifestyle_Mini_!$A:$A,Instagram_Usage_Lifestyle_Mini_!$AC:$BF)</f>
        <v>251</v>
      </c>
      <c r="C769">
        <v>9</v>
      </c>
      <c r="D769">
        <v>2</v>
      </c>
      <c r="E769">
        <v>201</v>
      </c>
      <c r="F769">
        <v>122</v>
      </c>
      <c r="G769">
        <v>137</v>
      </c>
      <c r="H769">
        <v>55</v>
      </c>
      <c r="I769">
        <v>28</v>
      </c>
      <c r="J769">
        <v>32</v>
      </c>
      <c r="K769">
        <v>22</v>
      </c>
      <c r="L769">
        <v>5</v>
      </c>
      <c r="M769">
        <v>132</v>
      </c>
      <c r="N769">
        <v>64</v>
      </c>
      <c r="O769">
        <v>46</v>
      </c>
      <c r="P769">
        <v>78</v>
      </c>
      <c r="Q769">
        <v>5245</v>
      </c>
      <c r="R769">
        <v>10000</v>
      </c>
      <c r="S769" t="str">
        <v>No</v>
      </c>
      <c r="T769">
        <v>0.71</v>
      </c>
      <c r="U769">
        <v>2025</v>
      </c>
      <c r="V769">
        <v>45713</v>
      </c>
      <c r="W769">
        <v>27.9</v>
      </c>
      <c r="X769" t="str">
        <v>Mixed</v>
      </c>
      <c r="Y769" t="str">
        <v>Food</v>
      </c>
      <c r="Z769" t="str">
        <v>Friends_only</v>
      </c>
      <c r="AA769" t="str">
        <v>No</v>
      </c>
      <c r="AB769" t="str">
        <v>Yes</v>
      </c>
      <c r="AC769">
        <v>3</v>
      </c>
      <c r="AD769" t="str">
        <v>Premium</v>
      </c>
      <c r="AE769">
        <v>1</v>
      </c>
      <c r="AF769" s="14">
        <f t="shared" si="11"/>
        <v>0.52449999999999997</v>
      </c>
    </row>
    <row r="770" spans="1:32" x14ac:dyDescent="0.2">
      <c r="A770">
        <v>769</v>
      </c>
      <c r="B770" cm="1">
        <f t="array" ref="B770:AE770">_xlfn.XLOOKUP($A770,Instagram_Usage_Lifestyle_Mini_!$A:$A,Instagram_Usage_Lifestyle_Mini_!$AC:$BF)</f>
        <v>218</v>
      </c>
      <c r="C770">
        <v>7</v>
      </c>
      <c r="D770">
        <v>2</v>
      </c>
      <c r="E770">
        <v>157</v>
      </c>
      <c r="F770">
        <v>115</v>
      </c>
      <c r="G770">
        <v>136</v>
      </c>
      <c r="H770">
        <v>41</v>
      </c>
      <c r="I770">
        <v>30</v>
      </c>
      <c r="J770">
        <v>27</v>
      </c>
      <c r="K770">
        <v>19</v>
      </c>
      <c r="L770">
        <v>6</v>
      </c>
      <c r="M770">
        <v>91</v>
      </c>
      <c r="N770">
        <v>57</v>
      </c>
      <c r="O770">
        <v>34</v>
      </c>
      <c r="P770">
        <v>79</v>
      </c>
      <c r="Q770">
        <v>431</v>
      </c>
      <c r="R770">
        <v>577</v>
      </c>
      <c r="S770" t="str">
        <v>No</v>
      </c>
      <c r="T770">
        <v>0.59</v>
      </c>
      <c r="U770">
        <v>2010</v>
      </c>
      <c r="V770">
        <v>45788</v>
      </c>
      <c r="W770">
        <v>31.1</v>
      </c>
      <c r="X770" t="str">
        <v>Live</v>
      </c>
      <c r="Y770" t="str">
        <v>Tech</v>
      </c>
      <c r="Z770" t="str">
        <v>Public</v>
      </c>
      <c r="AA770" t="str">
        <v>Yes</v>
      </c>
      <c r="AB770" t="str">
        <v>No</v>
      </c>
      <c r="AC770">
        <v>1</v>
      </c>
      <c r="AD770" t="str">
        <v>Free</v>
      </c>
      <c r="AE770">
        <v>1.02</v>
      </c>
      <c r="AF770" s="14">
        <f t="shared" si="11"/>
        <v>0.7469670710571924</v>
      </c>
    </row>
    <row r="771" spans="1:32" x14ac:dyDescent="0.2">
      <c r="A771">
        <v>770</v>
      </c>
      <c r="B771" cm="1">
        <f t="array" ref="B771:AE771">_xlfn.XLOOKUP($A771,Instagram_Usage_Lifestyle_Mini_!$A:$A,Instagram_Usage_Lifestyle_Mini_!$AC:$BF)</f>
        <v>316</v>
      </c>
      <c r="C771">
        <v>13</v>
      </c>
      <c r="D771">
        <v>5</v>
      </c>
      <c r="E771">
        <v>232</v>
      </c>
      <c r="F771">
        <v>150</v>
      </c>
      <c r="G771">
        <v>225</v>
      </c>
      <c r="H771">
        <v>41</v>
      </c>
      <c r="I771">
        <v>41</v>
      </c>
      <c r="J771">
        <v>41</v>
      </c>
      <c r="K771">
        <v>38</v>
      </c>
      <c r="L771">
        <v>5</v>
      </c>
      <c r="M771">
        <v>161</v>
      </c>
      <c r="N771">
        <v>91</v>
      </c>
      <c r="O771">
        <v>38</v>
      </c>
      <c r="P771">
        <v>65</v>
      </c>
      <c r="Q771">
        <v>211</v>
      </c>
      <c r="R771">
        <v>147</v>
      </c>
      <c r="S771" t="str">
        <v>Yes</v>
      </c>
      <c r="T771">
        <v>0.98</v>
      </c>
      <c r="U771">
        <v>2020</v>
      </c>
      <c r="V771">
        <v>45892</v>
      </c>
      <c r="W771">
        <v>24.3</v>
      </c>
      <c r="X771" t="str">
        <v>Mixed</v>
      </c>
      <c r="Y771" t="str">
        <v>Tech</v>
      </c>
      <c r="Z771" t="str">
        <v>Public</v>
      </c>
      <c r="AA771" t="str">
        <v>Yes</v>
      </c>
      <c r="AB771" t="str">
        <v>Yes</v>
      </c>
      <c r="AC771">
        <v>3</v>
      </c>
      <c r="AD771" t="str">
        <v>Free</v>
      </c>
      <c r="AE771">
        <v>1.02</v>
      </c>
      <c r="AF771" s="14">
        <f t="shared" ref="AF771:AF834" si="12">IF(R771=0,0,Q771/R771)</f>
        <v>1.435374149659864</v>
      </c>
    </row>
    <row r="772" spans="1:32" x14ac:dyDescent="0.2">
      <c r="A772">
        <v>771</v>
      </c>
      <c r="B772" cm="1">
        <f t="array" ref="B772:AE772">_xlfn.XLOOKUP($A772,Instagram_Usage_Lifestyle_Mini_!$A:$A,Instagram_Usage_Lifestyle_Mini_!$AC:$BF)</f>
        <v>272</v>
      </c>
      <c r="C772">
        <v>10</v>
      </c>
      <c r="D772">
        <v>6</v>
      </c>
      <c r="E772">
        <v>294</v>
      </c>
      <c r="F772">
        <v>126</v>
      </c>
      <c r="G772">
        <v>155</v>
      </c>
      <c r="H772">
        <v>50</v>
      </c>
      <c r="I772">
        <v>34</v>
      </c>
      <c r="J772">
        <v>43</v>
      </c>
      <c r="K772">
        <v>21</v>
      </c>
      <c r="L772">
        <v>10</v>
      </c>
      <c r="M772">
        <v>154</v>
      </c>
      <c r="N772">
        <v>64</v>
      </c>
      <c r="O772">
        <v>29</v>
      </c>
      <c r="P772">
        <v>108</v>
      </c>
      <c r="Q772">
        <v>1521</v>
      </c>
      <c r="R772">
        <v>2757</v>
      </c>
      <c r="S772" t="str">
        <v>No</v>
      </c>
      <c r="T772">
        <v>0.06</v>
      </c>
      <c r="U772">
        <v>2021</v>
      </c>
      <c r="V772">
        <v>45699</v>
      </c>
      <c r="W772">
        <v>27.2</v>
      </c>
      <c r="X772" t="str">
        <v>Live</v>
      </c>
      <c r="Y772" t="str">
        <v>Food</v>
      </c>
      <c r="Z772" t="str">
        <v>Friends_only</v>
      </c>
      <c r="AA772" t="str">
        <v>Yes</v>
      </c>
      <c r="AB772" t="str">
        <v>Yes</v>
      </c>
      <c r="AC772">
        <v>3</v>
      </c>
      <c r="AD772" t="str">
        <v>Premium</v>
      </c>
      <c r="AE772">
        <v>1</v>
      </c>
      <c r="AF772" s="14">
        <f t="shared" si="12"/>
        <v>0.55168661588683354</v>
      </c>
    </row>
    <row r="773" spans="1:32" x14ac:dyDescent="0.2">
      <c r="A773">
        <v>772</v>
      </c>
      <c r="B773" cm="1">
        <f t="array" ref="B773:AE773">_xlfn.XLOOKUP($A773,Instagram_Usage_Lifestyle_Mini_!$A:$A,Instagram_Usage_Lifestyle_Mini_!$AC:$BF)</f>
        <v>342</v>
      </c>
      <c r="C773">
        <v>11</v>
      </c>
      <c r="D773">
        <v>3</v>
      </c>
      <c r="E773">
        <v>295</v>
      </c>
      <c r="F773">
        <v>150</v>
      </c>
      <c r="G773">
        <v>211</v>
      </c>
      <c r="H773">
        <v>46</v>
      </c>
      <c r="I773">
        <v>50</v>
      </c>
      <c r="J773">
        <v>46</v>
      </c>
      <c r="K773">
        <v>43</v>
      </c>
      <c r="L773">
        <v>12</v>
      </c>
      <c r="M773">
        <v>145</v>
      </c>
      <c r="N773">
        <v>54</v>
      </c>
      <c r="O773">
        <v>74</v>
      </c>
      <c r="P773">
        <v>128</v>
      </c>
      <c r="Q773">
        <v>15800</v>
      </c>
      <c r="R773">
        <v>10000</v>
      </c>
      <c r="S773" t="str">
        <v>Yes</v>
      </c>
      <c r="T773">
        <v>0.4</v>
      </c>
      <c r="U773">
        <v>2015</v>
      </c>
      <c r="V773">
        <v>45739</v>
      </c>
      <c r="W773">
        <v>31.1</v>
      </c>
      <c r="X773" t="str">
        <v>Live</v>
      </c>
      <c r="Y773" t="str">
        <v>Other</v>
      </c>
      <c r="Z773" t="str">
        <v>Public</v>
      </c>
      <c r="AA773" t="str">
        <v>No</v>
      </c>
      <c r="AB773" t="str">
        <v>No</v>
      </c>
      <c r="AC773">
        <v>2</v>
      </c>
      <c r="AD773" t="str">
        <v>Free</v>
      </c>
      <c r="AE773">
        <v>0.91</v>
      </c>
      <c r="AF773" s="14">
        <f t="shared" si="12"/>
        <v>1.58</v>
      </c>
    </row>
    <row r="774" spans="1:32" x14ac:dyDescent="0.2">
      <c r="A774">
        <v>773</v>
      </c>
      <c r="B774" cm="1">
        <f t="array" ref="B774:AE774">_xlfn.XLOOKUP($A774,Instagram_Usage_Lifestyle_Mini_!$A:$A,Instagram_Usage_Lifestyle_Mini_!$AC:$BF)</f>
        <v>154</v>
      </c>
      <c r="C774">
        <v>7</v>
      </c>
      <c r="D774">
        <v>3</v>
      </c>
      <c r="E774">
        <v>129</v>
      </c>
      <c r="F774">
        <v>103</v>
      </c>
      <c r="G774">
        <v>108</v>
      </c>
      <c r="H774">
        <v>26</v>
      </c>
      <c r="I774">
        <v>39</v>
      </c>
      <c r="J774">
        <v>26</v>
      </c>
      <c r="K774">
        <v>17</v>
      </c>
      <c r="L774">
        <v>5</v>
      </c>
      <c r="M774">
        <v>84</v>
      </c>
      <c r="N774">
        <v>22</v>
      </c>
      <c r="O774">
        <v>27</v>
      </c>
      <c r="P774">
        <v>42</v>
      </c>
      <c r="Q774">
        <v>2075</v>
      </c>
      <c r="R774">
        <v>1470</v>
      </c>
      <c r="S774" t="str">
        <v>No</v>
      </c>
      <c r="T774">
        <v>0.17</v>
      </c>
      <c r="U774">
        <v>2023</v>
      </c>
      <c r="V774">
        <v>45975</v>
      </c>
      <c r="W774">
        <v>22</v>
      </c>
      <c r="X774" t="str">
        <v>Stories</v>
      </c>
      <c r="Y774" t="str">
        <v>Travel</v>
      </c>
      <c r="Z774" t="str">
        <v>Private</v>
      </c>
      <c r="AA774" t="str">
        <v>Yes</v>
      </c>
      <c r="AB774" t="str">
        <v>Yes</v>
      </c>
      <c r="AC774">
        <v>1</v>
      </c>
      <c r="AD774" t="str">
        <v>Free</v>
      </c>
      <c r="AE774">
        <v>1.0900000000000001</v>
      </c>
      <c r="AF774" s="14">
        <f t="shared" si="12"/>
        <v>1.41156462585034</v>
      </c>
    </row>
    <row r="775" spans="1:32" x14ac:dyDescent="0.2">
      <c r="A775">
        <v>774</v>
      </c>
      <c r="B775" cm="1">
        <f t="array" ref="B775:AE775">_xlfn.XLOOKUP($A775,Instagram_Usage_Lifestyle_Mini_!$A:$A,Instagram_Usage_Lifestyle_Mini_!$AC:$BF)</f>
        <v>120</v>
      </c>
      <c r="C775">
        <v>4</v>
      </c>
      <c r="D775">
        <v>14</v>
      </c>
      <c r="E775">
        <v>218</v>
      </c>
      <c r="F775">
        <v>83</v>
      </c>
      <c r="G775">
        <v>88</v>
      </c>
      <c r="H775">
        <v>23</v>
      </c>
      <c r="I775">
        <v>25</v>
      </c>
      <c r="J775">
        <v>21</v>
      </c>
      <c r="K775">
        <v>19</v>
      </c>
      <c r="L775">
        <v>6</v>
      </c>
      <c r="M775">
        <v>72</v>
      </c>
      <c r="N775">
        <v>17</v>
      </c>
      <c r="O775">
        <v>16</v>
      </c>
      <c r="P775">
        <v>30</v>
      </c>
      <c r="Q775">
        <v>1313</v>
      </c>
      <c r="R775">
        <v>2088</v>
      </c>
      <c r="S775" t="str">
        <v>No</v>
      </c>
      <c r="T775">
        <v>0.56000000000000005</v>
      </c>
      <c r="U775">
        <v>2010</v>
      </c>
      <c r="V775">
        <v>45780</v>
      </c>
      <c r="W775">
        <v>30</v>
      </c>
      <c r="X775" t="str">
        <v>Mixed</v>
      </c>
      <c r="Y775" t="str">
        <v>Fashion</v>
      </c>
      <c r="Z775" t="str">
        <v>Private</v>
      </c>
      <c r="AA775" t="str">
        <v>No</v>
      </c>
      <c r="AB775" t="str">
        <v>Yes</v>
      </c>
      <c r="AC775">
        <v>1</v>
      </c>
      <c r="AD775" t="str">
        <v>Free</v>
      </c>
      <c r="AE775">
        <v>1.45</v>
      </c>
      <c r="AF775" s="14">
        <f t="shared" si="12"/>
        <v>0.62883141762452111</v>
      </c>
    </row>
    <row r="776" spans="1:32" x14ac:dyDescent="0.2">
      <c r="A776">
        <v>775</v>
      </c>
      <c r="B776" cm="1">
        <f t="array" ref="B776:AE776">_xlfn.XLOOKUP($A776,Instagram_Usage_Lifestyle_Mini_!$A:$A,Instagram_Usage_Lifestyle_Mini_!$AC:$BF)</f>
        <v>126</v>
      </c>
      <c r="C776">
        <v>9</v>
      </c>
      <c r="D776">
        <v>3</v>
      </c>
      <c r="E776">
        <v>114</v>
      </c>
      <c r="F776">
        <v>84</v>
      </c>
      <c r="G776">
        <v>74</v>
      </c>
      <c r="H776">
        <v>33</v>
      </c>
      <c r="I776">
        <v>25</v>
      </c>
      <c r="J776">
        <v>25</v>
      </c>
      <c r="K776">
        <v>10</v>
      </c>
      <c r="L776">
        <v>1</v>
      </c>
      <c r="M776">
        <v>55</v>
      </c>
      <c r="N776">
        <v>37</v>
      </c>
      <c r="O776">
        <v>27</v>
      </c>
      <c r="P776">
        <v>48</v>
      </c>
      <c r="Q776">
        <v>184</v>
      </c>
      <c r="R776">
        <v>255</v>
      </c>
      <c r="S776" t="str">
        <v>Yes</v>
      </c>
      <c r="T776">
        <v>0.3</v>
      </c>
      <c r="U776">
        <v>2023</v>
      </c>
      <c r="V776">
        <v>45752</v>
      </c>
      <c r="W776">
        <v>14</v>
      </c>
      <c r="X776" t="str">
        <v>Videos</v>
      </c>
      <c r="Y776" t="str">
        <v>Tech</v>
      </c>
      <c r="Z776" t="str">
        <v>Public</v>
      </c>
      <c r="AA776" t="str">
        <v>Yes</v>
      </c>
      <c r="AB776" t="str">
        <v>Yes</v>
      </c>
      <c r="AC776">
        <v>4</v>
      </c>
      <c r="AD776" t="str">
        <v>Free</v>
      </c>
      <c r="AE776">
        <v>1.17</v>
      </c>
      <c r="AF776" s="14">
        <f t="shared" si="12"/>
        <v>0.72156862745098038</v>
      </c>
    </row>
    <row r="777" spans="1:32" x14ac:dyDescent="0.2">
      <c r="A777">
        <v>776</v>
      </c>
      <c r="B777" cm="1">
        <f t="array" ref="B777:AE777">_xlfn.XLOOKUP($A777,Instagram_Usage_Lifestyle_Mini_!$A:$A,Instagram_Usage_Lifestyle_Mini_!$AC:$BF)</f>
        <v>178</v>
      </c>
      <c r="C777">
        <v>7</v>
      </c>
      <c r="D777">
        <v>12</v>
      </c>
      <c r="E777">
        <v>222</v>
      </c>
      <c r="F777">
        <v>92</v>
      </c>
      <c r="G777">
        <v>124</v>
      </c>
      <c r="H777">
        <v>28</v>
      </c>
      <c r="I777">
        <v>33</v>
      </c>
      <c r="J777">
        <v>21</v>
      </c>
      <c r="K777">
        <v>18</v>
      </c>
      <c r="L777">
        <v>5</v>
      </c>
      <c r="M777">
        <v>98</v>
      </c>
      <c r="N777">
        <v>24</v>
      </c>
      <c r="O777">
        <v>24</v>
      </c>
      <c r="P777">
        <v>54</v>
      </c>
      <c r="Q777">
        <v>316</v>
      </c>
      <c r="R777">
        <v>554</v>
      </c>
      <c r="S777" t="str">
        <v>No</v>
      </c>
      <c r="T777">
        <v>0.87</v>
      </c>
      <c r="U777">
        <v>2022</v>
      </c>
      <c r="V777">
        <v>45808</v>
      </c>
      <c r="W777">
        <v>25.4</v>
      </c>
      <c r="X777" t="str">
        <v>Reels</v>
      </c>
      <c r="Y777" t="str">
        <v>Music</v>
      </c>
      <c r="Z777" t="str">
        <v>Public</v>
      </c>
      <c r="AA777" t="str">
        <v>No</v>
      </c>
      <c r="AB777" t="str">
        <v>No</v>
      </c>
      <c r="AC777">
        <v>5</v>
      </c>
      <c r="AD777" t="str">
        <v>Free</v>
      </c>
      <c r="AE777">
        <v>1.21</v>
      </c>
      <c r="AF777" s="14">
        <f t="shared" si="12"/>
        <v>0.5703971119133574</v>
      </c>
    </row>
    <row r="778" spans="1:32" x14ac:dyDescent="0.2">
      <c r="A778">
        <v>777</v>
      </c>
      <c r="B778" cm="1">
        <f t="array" ref="B778:AE778">_xlfn.XLOOKUP($A778,Instagram_Usage_Lifestyle_Mini_!$A:$A,Instagram_Usage_Lifestyle_Mini_!$AC:$BF)</f>
        <v>31</v>
      </c>
      <c r="C778">
        <v>1</v>
      </c>
      <c r="D778">
        <v>3</v>
      </c>
      <c r="E778">
        <v>134</v>
      </c>
      <c r="F778">
        <v>29</v>
      </c>
      <c r="G778">
        <v>35</v>
      </c>
      <c r="H778">
        <v>14</v>
      </c>
      <c r="I778">
        <v>11</v>
      </c>
      <c r="J778">
        <v>10</v>
      </c>
      <c r="K778">
        <v>8</v>
      </c>
      <c r="L778">
        <v>2</v>
      </c>
      <c r="M778">
        <v>15</v>
      </c>
      <c r="N778">
        <v>3</v>
      </c>
      <c r="O778">
        <v>5</v>
      </c>
      <c r="P778">
        <v>9</v>
      </c>
      <c r="Q778">
        <v>675</v>
      </c>
      <c r="R778">
        <v>653</v>
      </c>
      <c r="S778" t="str">
        <v>No</v>
      </c>
      <c r="T778">
        <v>0.79</v>
      </c>
      <c r="U778">
        <v>2020</v>
      </c>
      <c r="V778">
        <v>45938</v>
      </c>
      <c r="W778">
        <v>31</v>
      </c>
      <c r="X778" t="str">
        <v>Mixed</v>
      </c>
      <c r="Y778" t="str">
        <v>Tech</v>
      </c>
      <c r="Z778" t="str">
        <v>Friends_only</v>
      </c>
      <c r="AA778" t="str">
        <v>Yes</v>
      </c>
      <c r="AB778" t="str">
        <v>Yes</v>
      </c>
      <c r="AC778">
        <v>2</v>
      </c>
      <c r="AD778" t="str">
        <v>Free</v>
      </c>
      <c r="AE778">
        <v>2.25</v>
      </c>
      <c r="AF778" s="14">
        <f t="shared" si="12"/>
        <v>1.0336906584992342</v>
      </c>
    </row>
    <row r="779" spans="1:32" x14ac:dyDescent="0.2">
      <c r="A779">
        <v>778</v>
      </c>
      <c r="B779" cm="1">
        <f t="array" ref="B779:AE779">_xlfn.XLOOKUP($A779,Instagram_Usage_Lifestyle_Mini_!$A:$A,Instagram_Usage_Lifestyle_Mini_!$AC:$BF)</f>
        <v>108</v>
      </c>
      <c r="C779">
        <v>5</v>
      </c>
      <c r="D779">
        <v>3</v>
      </c>
      <c r="E779">
        <v>98</v>
      </c>
      <c r="F779">
        <v>72</v>
      </c>
      <c r="G779">
        <v>76</v>
      </c>
      <c r="H779">
        <v>20</v>
      </c>
      <c r="I779">
        <v>24</v>
      </c>
      <c r="J779">
        <v>19</v>
      </c>
      <c r="K779">
        <v>9</v>
      </c>
      <c r="L779">
        <v>5</v>
      </c>
      <c r="M779">
        <v>62</v>
      </c>
      <c r="N779">
        <v>14</v>
      </c>
      <c r="O779">
        <v>13</v>
      </c>
      <c r="P779">
        <v>33</v>
      </c>
      <c r="Q779">
        <v>358</v>
      </c>
      <c r="R779">
        <v>845</v>
      </c>
      <c r="S779" t="str">
        <v>No</v>
      </c>
      <c r="T779">
        <v>0.69</v>
      </c>
      <c r="U779">
        <v>2010</v>
      </c>
      <c r="V779">
        <v>45981</v>
      </c>
      <c r="W779">
        <v>21.6</v>
      </c>
      <c r="X779" t="str">
        <v>Photos</v>
      </c>
      <c r="Y779" t="str">
        <v>Music</v>
      </c>
      <c r="Z779" t="str">
        <v>Friends_only</v>
      </c>
      <c r="AA779" t="str">
        <v>No</v>
      </c>
      <c r="AB779" t="str">
        <v>No</v>
      </c>
      <c r="AC779">
        <v>1</v>
      </c>
      <c r="AD779" t="str">
        <v>Free</v>
      </c>
      <c r="AE779">
        <v>1.1499999999999999</v>
      </c>
      <c r="AF779" s="14">
        <f t="shared" si="12"/>
        <v>0.42366863905325441</v>
      </c>
    </row>
    <row r="780" spans="1:32" x14ac:dyDescent="0.2">
      <c r="A780">
        <v>779</v>
      </c>
      <c r="B780" cm="1">
        <f t="array" ref="B780:AE780">_xlfn.XLOOKUP($A780,Instagram_Usage_Lifestyle_Mini_!$A:$A,Instagram_Usage_Lifestyle_Mini_!$AC:$BF)</f>
        <v>124</v>
      </c>
      <c r="C780">
        <v>5</v>
      </c>
      <c r="D780">
        <v>11</v>
      </c>
      <c r="E780">
        <v>181</v>
      </c>
      <c r="F780">
        <v>90</v>
      </c>
      <c r="G780">
        <v>102</v>
      </c>
      <c r="H780">
        <v>24</v>
      </c>
      <c r="I780">
        <v>12</v>
      </c>
      <c r="J780">
        <v>23</v>
      </c>
      <c r="K780">
        <v>14</v>
      </c>
      <c r="L780">
        <v>2</v>
      </c>
      <c r="M780">
        <v>74</v>
      </c>
      <c r="N780">
        <v>24</v>
      </c>
      <c r="O780">
        <v>20</v>
      </c>
      <c r="P780">
        <v>38</v>
      </c>
      <c r="Q780">
        <v>1736</v>
      </c>
      <c r="R780">
        <v>4332</v>
      </c>
      <c r="S780" t="str">
        <v>No</v>
      </c>
      <c r="T780">
        <v>0.41</v>
      </c>
      <c r="U780">
        <v>2016</v>
      </c>
      <c r="V780">
        <v>45959</v>
      </c>
      <c r="W780">
        <v>24.8</v>
      </c>
      <c r="X780" t="str">
        <v>Stories</v>
      </c>
      <c r="Y780" t="str">
        <v>Food</v>
      </c>
      <c r="Z780" t="str">
        <v>Public</v>
      </c>
      <c r="AA780" t="str">
        <v>No</v>
      </c>
      <c r="AB780" t="str">
        <v>Yes</v>
      </c>
      <c r="AC780">
        <v>3</v>
      </c>
      <c r="AD780" t="str">
        <v>Free</v>
      </c>
      <c r="AE780">
        <v>1.46</v>
      </c>
      <c r="AF780" s="14">
        <f t="shared" si="12"/>
        <v>0.40073868882733149</v>
      </c>
    </row>
    <row r="781" spans="1:32" x14ac:dyDescent="0.2">
      <c r="A781">
        <v>780</v>
      </c>
      <c r="B781" cm="1">
        <f t="array" ref="B781:AE781">_xlfn.XLOOKUP($A781,Instagram_Usage_Lifestyle_Mini_!$A:$A,Instagram_Usage_Lifestyle_Mini_!$AC:$BF)</f>
        <v>80</v>
      </c>
      <c r="C781">
        <v>3</v>
      </c>
      <c r="D781">
        <v>6</v>
      </c>
      <c r="E781">
        <v>187</v>
      </c>
      <c r="F781">
        <v>55</v>
      </c>
      <c r="G781">
        <v>61</v>
      </c>
      <c r="H781">
        <v>9</v>
      </c>
      <c r="I781">
        <v>19</v>
      </c>
      <c r="J781">
        <v>14</v>
      </c>
      <c r="K781">
        <v>15</v>
      </c>
      <c r="L781">
        <v>0</v>
      </c>
      <c r="M781">
        <v>47</v>
      </c>
      <c r="N781">
        <v>11</v>
      </c>
      <c r="O781">
        <v>9</v>
      </c>
      <c r="P781">
        <v>26</v>
      </c>
      <c r="Q781">
        <v>1799</v>
      </c>
      <c r="R781">
        <v>795</v>
      </c>
      <c r="S781" t="str">
        <v>Yes</v>
      </c>
      <c r="T781">
        <v>0.73</v>
      </c>
      <c r="U781">
        <v>2011</v>
      </c>
      <c r="V781">
        <v>45966</v>
      </c>
      <c r="W781">
        <v>26.7</v>
      </c>
      <c r="X781" t="str">
        <v>Mixed</v>
      </c>
      <c r="Y781" t="str">
        <v>Tech</v>
      </c>
      <c r="Z781" t="str">
        <v>Friends_only</v>
      </c>
      <c r="AA781" t="str">
        <v>Yes</v>
      </c>
      <c r="AB781" t="str">
        <v>No</v>
      </c>
      <c r="AC781">
        <v>2</v>
      </c>
      <c r="AD781" t="str">
        <v>Free</v>
      </c>
      <c r="AE781">
        <v>1.2</v>
      </c>
      <c r="AF781" s="14">
        <f t="shared" si="12"/>
        <v>2.2628930817610065</v>
      </c>
    </row>
    <row r="782" spans="1:32" x14ac:dyDescent="0.2">
      <c r="A782">
        <v>781</v>
      </c>
      <c r="B782" cm="1">
        <f t="array" ref="B782:AE782">_xlfn.XLOOKUP($A782,Instagram_Usage_Lifestyle_Mini_!$A:$A,Instagram_Usage_Lifestyle_Mini_!$AC:$BF)</f>
        <v>142</v>
      </c>
      <c r="C782">
        <v>16</v>
      </c>
      <c r="D782">
        <v>7</v>
      </c>
      <c r="E782">
        <v>198</v>
      </c>
      <c r="F782">
        <v>93</v>
      </c>
      <c r="G782">
        <v>107</v>
      </c>
      <c r="H782">
        <v>23</v>
      </c>
      <c r="I782">
        <v>21</v>
      </c>
      <c r="J782">
        <v>22</v>
      </c>
      <c r="K782">
        <v>15</v>
      </c>
      <c r="L782">
        <v>4</v>
      </c>
      <c r="M782">
        <v>66</v>
      </c>
      <c r="N782">
        <v>31</v>
      </c>
      <c r="O782">
        <v>22</v>
      </c>
      <c r="P782">
        <v>38</v>
      </c>
      <c r="Q782">
        <v>255</v>
      </c>
      <c r="R782">
        <v>338</v>
      </c>
      <c r="S782" t="str">
        <v>Yes</v>
      </c>
      <c r="T782">
        <v>0.48</v>
      </c>
      <c r="U782">
        <v>2020</v>
      </c>
      <c r="V782">
        <v>45678</v>
      </c>
      <c r="W782">
        <v>8.9</v>
      </c>
      <c r="X782" t="str">
        <v>Videos</v>
      </c>
      <c r="Y782" t="str">
        <v>Other</v>
      </c>
      <c r="Z782" t="str">
        <v>Friends_only</v>
      </c>
      <c r="AA782" t="str">
        <v>No</v>
      </c>
      <c r="AB782" t="str">
        <v>Yes</v>
      </c>
      <c r="AC782">
        <v>1</v>
      </c>
      <c r="AD782" t="str">
        <v>Free</v>
      </c>
      <c r="AE782">
        <v>1.22</v>
      </c>
      <c r="AF782" s="14">
        <f t="shared" si="12"/>
        <v>0.75443786982248517</v>
      </c>
    </row>
    <row r="783" spans="1:32" x14ac:dyDescent="0.2">
      <c r="A783">
        <v>782</v>
      </c>
      <c r="B783" cm="1">
        <f t="array" ref="B783:AE783">_xlfn.XLOOKUP($A783,Instagram_Usage_Lifestyle_Mini_!$A:$A,Instagram_Usage_Lifestyle_Mini_!$AC:$BF)</f>
        <v>287</v>
      </c>
      <c r="C783">
        <v>21</v>
      </c>
      <c r="D783">
        <v>6</v>
      </c>
      <c r="E783">
        <v>206</v>
      </c>
      <c r="F783">
        <v>136</v>
      </c>
      <c r="G783">
        <v>171</v>
      </c>
      <c r="H783">
        <v>51</v>
      </c>
      <c r="I783">
        <v>33</v>
      </c>
      <c r="J783">
        <v>37</v>
      </c>
      <c r="K783">
        <v>29</v>
      </c>
      <c r="L783">
        <v>8</v>
      </c>
      <c r="M783">
        <v>155</v>
      </c>
      <c r="N783">
        <v>44</v>
      </c>
      <c r="O783">
        <v>65</v>
      </c>
      <c r="P783">
        <v>112</v>
      </c>
      <c r="Q783">
        <v>684</v>
      </c>
      <c r="R783">
        <v>1271</v>
      </c>
      <c r="S783" t="str">
        <v>No</v>
      </c>
      <c r="T783">
        <v>0.83</v>
      </c>
      <c r="U783">
        <v>2021</v>
      </c>
      <c r="V783">
        <v>45938</v>
      </c>
      <c r="W783">
        <v>13.7</v>
      </c>
      <c r="X783" t="str">
        <v>Mixed</v>
      </c>
      <c r="Y783" t="str">
        <v>Fitness</v>
      </c>
      <c r="Z783" t="str">
        <v>Private</v>
      </c>
      <c r="AA783" t="str">
        <v>Yes</v>
      </c>
      <c r="AB783" t="str">
        <v>No</v>
      </c>
      <c r="AC783">
        <v>2</v>
      </c>
      <c r="AD783" t="str">
        <v>Free</v>
      </c>
      <c r="AE783">
        <v>1.01</v>
      </c>
      <c r="AF783" s="14">
        <f t="shared" si="12"/>
        <v>0.53815892997639658</v>
      </c>
    </row>
    <row r="784" spans="1:32" x14ac:dyDescent="0.2">
      <c r="A784">
        <v>783</v>
      </c>
      <c r="B784" cm="1">
        <f t="array" ref="B784:AE784">_xlfn.XLOOKUP($A784,Instagram_Usage_Lifestyle_Mini_!$A:$A,Instagram_Usage_Lifestyle_Mini_!$AC:$BF)</f>
        <v>274</v>
      </c>
      <c r="C784">
        <v>13</v>
      </c>
      <c r="D784">
        <v>13</v>
      </c>
      <c r="E784">
        <v>289</v>
      </c>
      <c r="F784">
        <v>141</v>
      </c>
      <c r="G784">
        <v>174</v>
      </c>
      <c r="H784">
        <v>50</v>
      </c>
      <c r="I784">
        <v>47</v>
      </c>
      <c r="J784">
        <v>37</v>
      </c>
      <c r="K784">
        <v>39</v>
      </c>
      <c r="L784">
        <v>6</v>
      </c>
      <c r="M784">
        <v>133</v>
      </c>
      <c r="N784">
        <v>35</v>
      </c>
      <c r="O784">
        <v>58</v>
      </c>
      <c r="P784">
        <v>61</v>
      </c>
      <c r="Q784">
        <v>857</v>
      </c>
      <c r="R784">
        <v>1124</v>
      </c>
      <c r="S784" t="str">
        <v>No</v>
      </c>
      <c r="T784">
        <v>0.19</v>
      </c>
      <c r="U784">
        <v>2011</v>
      </c>
      <c r="V784">
        <v>45811</v>
      </c>
      <c r="W784">
        <v>21.1</v>
      </c>
      <c r="X784" t="str">
        <v>Stories</v>
      </c>
      <c r="Y784" t="str">
        <v>Music</v>
      </c>
      <c r="Z784" t="str">
        <v>Public</v>
      </c>
      <c r="AA784" t="str">
        <v>Yes</v>
      </c>
      <c r="AB784" t="str">
        <v>Yes</v>
      </c>
      <c r="AC784">
        <v>2</v>
      </c>
      <c r="AD784" t="str">
        <v>Premium</v>
      </c>
      <c r="AE784">
        <v>1.1399999999999999</v>
      </c>
      <c r="AF784" s="14">
        <f t="shared" si="12"/>
        <v>0.76245551601423489</v>
      </c>
    </row>
    <row r="785" spans="1:32" x14ac:dyDescent="0.2">
      <c r="A785">
        <v>784</v>
      </c>
      <c r="B785" cm="1">
        <f t="array" ref="B785:AE785">_xlfn.XLOOKUP($A785,Instagram_Usage_Lifestyle_Mini_!$A:$A,Instagram_Usage_Lifestyle_Mini_!$AC:$BF)</f>
        <v>114</v>
      </c>
      <c r="C785">
        <v>4</v>
      </c>
      <c r="D785">
        <v>10</v>
      </c>
      <c r="E785">
        <v>192</v>
      </c>
      <c r="F785">
        <v>97</v>
      </c>
      <c r="G785">
        <v>82</v>
      </c>
      <c r="H785">
        <v>24</v>
      </c>
      <c r="I785">
        <v>21</v>
      </c>
      <c r="J785">
        <v>14</v>
      </c>
      <c r="K785">
        <v>5</v>
      </c>
      <c r="L785">
        <v>1</v>
      </c>
      <c r="M785">
        <v>51</v>
      </c>
      <c r="N785">
        <v>17</v>
      </c>
      <c r="O785">
        <v>17</v>
      </c>
      <c r="P785">
        <v>34</v>
      </c>
      <c r="Q785">
        <v>4980</v>
      </c>
      <c r="R785">
        <v>10000</v>
      </c>
      <c r="S785" t="str">
        <v>No</v>
      </c>
      <c r="T785">
        <v>1</v>
      </c>
      <c r="U785">
        <v>2022</v>
      </c>
      <c r="V785">
        <v>45660</v>
      </c>
      <c r="W785">
        <v>28.5</v>
      </c>
      <c r="X785" t="str">
        <v>Reels</v>
      </c>
      <c r="Y785" t="str">
        <v>Music</v>
      </c>
      <c r="Z785" t="str">
        <v>Public</v>
      </c>
      <c r="AA785" t="str">
        <v>Yes</v>
      </c>
      <c r="AB785" t="str">
        <v>No</v>
      </c>
      <c r="AC785">
        <v>1</v>
      </c>
      <c r="AD785" t="str">
        <v>Free</v>
      </c>
      <c r="AE785">
        <v>1.39</v>
      </c>
      <c r="AF785" s="14">
        <f t="shared" si="12"/>
        <v>0.498</v>
      </c>
    </row>
    <row r="786" spans="1:32" x14ac:dyDescent="0.2">
      <c r="A786">
        <v>785</v>
      </c>
      <c r="B786" cm="1">
        <f t="array" ref="B786:AE786">_xlfn.XLOOKUP($A786,Instagram_Usage_Lifestyle_Mini_!$A:$A,Instagram_Usage_Lifestyle_Mini_!$AC:$BF)</f>
        <v>156</v>
      </c>
      <c r="C786">
        <v>8</v>
      </c>
      <c r="D786">
        <v>5</v>
      </c>
      <c r="E786">
        <v>134</v>
      </c>
      <c r="F786">
        <v>111</v>
      </c>
      <c r="G786">
        <v>109</v>
      </c>
      <c r="H786">
        <v>20</v>
      </c>
      <c r="I786">
        <v>33</v>
      </c>
      <c r="J786">
        <v>27</v>
      </c>
      <c r="K786">
        <v>14</v>
      </c>
      <c r="L786">
        <v>5</v>
      </c>
      <c r="M786">
        <v>90</v>
      </c>
      <c r="N786">
        <v>40</v>
      </c>
      <c r="O786">
        <v>28</v>
      </c>
      <c r="P786">
        <v>62</v>
      </c>
      <c r="Q786">
        <v>3366</v>
      </c>
      <c r="R786">
        <v>8148</v>
      </c>
      <c r="S786" t="str">
        <v>No</v>
      </c>
      <c r="T786">
        <v>0.91</v>
      </c>
      <c r="U786">
        <v>2010</v>
      </c>
      <c r="V786">
        <v>45666</v>
      </c>
      <c r="W786">
        <v>19.5</v>
      </c>
      <c r="X786" t="str">
        <v>Live</v>
      </c>
      <c r="Y786" t="str">
        <v>Music</v>
      </c>
      <c r="Z786" t="str">
        <v>Friends_only</v>
      </c>
      <c r="AA786" t="str">
        <v>Yes</v>
      </c>
      <c r="AB786" t="str">
        <v>No</v>
      </c>
      <c r="AC786">
        <v>1</v>
      </c>
      <c r="AD786" t="str">
        <v>Free</v>
      </c>
      <c r="AE786">
        <v>1.04</v>
      </c>
      <c r="AF786" s="14">
        <f t="shared" si="12"/>
        <v>0.41310751104565535</v>
      </c>
    </row>
    <row r="787" spans="1:32" x14ac:dyDescent="0.2">
      <c r="A787">
        <v>786</v>
      </c>
      <c r="B787" cm="1">
        <f t="array" ref="B787:AE787">_xlfn.XLOOKUP($A787,Instagram_Usage_Lifestyle_Mini_!$A:$A,Instagram_Usage_Lifestyle_Mini_!$AC:$BF)</f>
        <v>266</v>
      </c>
      <c r="C787">
        <v>13</v>
      </c>
      <c r="D787">
        <v>13</v>
      </c>
      <c r="E787">
        <v>291</v>
      </c>
      <c r="F787">
        <v>138</v>
      </c>
      <c r="G787">
        <v>145</v>
      </c>
      <c r="H787">
        <v>46</v>
      </c>
      <c r="I787">
        <v>53</v>
      </c>
      <c r="J787">
        <v>33</v>
      </c>
      <c r="K787">
        <v>27</v>
      </c>
      <c r="L787">
        <v>11</v>
      </c>
      <c r="M787">
        <v>123</v>
      </c>
      <c r="N787">
        <v>31</v>
      </c>
      <c r="O787">
        <v>29</v>
      </c>
      <c r="P787">
        <v>59</v>
      </c>
      <c r="Q787">
        <v>710</v>
      </c>
      <c r="R787">
        <v>714</v>
      </c>
      <c r="S787" t="str">
        <v>No</v>
      </c>
      <c r="T787">
        <v>0.53</v>
      </c>
      <c r="U787">
        <v>2018</v>
      </c>
      <c r="V787">
        <v>45697</v>
      </c>
      <c r="W787">
        <v>20.5</v>
      </c>
      <c r="X787" t="str">
        <v>Stories</v>
      </c>
      <c r="Y787" t="str">
        <v>Other</v>
      </c>
      <c r="Z787" t="str">
        <v>Public</v>
      </c>
      <c r="AA787" t="str">
        <v>Yes</v>
      </c>
      <c r="AB787" t="str">
        <v>No</v>
      </c>
      <c r="AC787">
        <v>2</v>
      </c>
      <c r="AD787" t="str">
        <v>Business</v>
      </c>
      <c r="AE787">
        <v>1.03</v>
      </c>
      <c r="AF787" s="14">
        <f t="shared" si="12"/>
        <v>0.99439775910364148</v>
      </c>
    </row>
    <row r="788" spans="1:32" x14ac:dyDescent="0.2">
      <c r="A788">
        <v>787</v>
      </c>
      <c r="B788" cm="1">
        <f t="array" ref="B788:AE788">_xlfn.XLOOKUP($A788,Instagram_Usage_Lifestyle_Mini_!$A:$A,Instagram_Usage_Lifestyle_Mini_!$AC:$BF)</f>
        <v>114</v>
      </c>
      <c r="C788">
        <v>4</v>
      </c>
      <c r="D788">
        <v>3</v>
      </c>
      <c r="E788">
        <v>104</v>
      </c>
      <c r="F788">
        <v>69</v>
      </c>
      <c r="G788">
        <v>75</v>
      </c>
      <c r="H788">
        <v>18</v>
      </c>
      <c r="I788">
        <v>21</v>
      </c>
      <c r="J788">
        <v>19</v>
      </c>
      <c r="K788">
        <v>17</v>
      </c>
      <c r="L788">
        <v>3</v>
      </c>
      <c r="M788">
        <v>66</v>
      </c>
      <c r="N788">
        <v>27</v>
      </c>
      <c r="O788">
        <v>24</v>
      </c>
      <c r="P788">
        <v>44</v>
      </c>
      <c r="Q788">
        <v>1933</v>
      </c>
      <c r="R788">
        <v>935</v>
      </c>
      <c r="S788" t="str">
        <v>No</v>
      </c>
      <c r="T788">
        <v>0.93</v>
      </c>
      <c r="U788">
        <v>2013</v>
      </c>
      <c r="V788">
        <v>45748</v>
      </c>
      <c r="W788">
        <v>28.5</v>
      </c>
      <c r="X788" t="str">
        <v>Mixed</v>
      </c>
      <c r="Y788" t="str">
        <v>Fashion</v>
      </c>
      <c r="Z788" t="str">
        <v>Friends_only</v>
      </c>
      <c r="AA788" t="str">
        <v>No</v>
      </c>
      <c r="AB788" t="str">
        <v>Yes</v>
      </c>
      <c r="AC788">
        <v>0</v>
      </c>
      <c r="AD788" t="str">
        <v>Free</v>
      </c>
      <c r="AE788">
        <v>1.04</v>
      </c>
      <c r="AF788" s="14">
        <f t="shared" si="12"/>
        <v>2.067379679144385</v>
      </c>
    </row>
    <row r="789" spans="1:32" x14ac:dyDescent="0.2">
      <c r="A789">
        <v>788</v>
      </c>
      <c r="B789" cm="1">
        <f t="array" ref="B789:AE789">_xlfn.XLOOKUP($A789,Instagram_Usage_Lifestyle_Mini_!$A:$A,Instagram_Usage_Lifestyle_Mini_!$AC:$BF)</f>
        <v>8</v>
      </c>
      <c r="C789">
        <v>1</v>
      </c>
      <c r="D789">
        <v>3</v>
      </c>
      <c r="E789">
        <v>44</v>
      </c>
      <c r="F789">
        <v>29</v>
      </c>
      <c r="G789">
        <v>28</v>
      </c>
      <c r="H789">
        <v>9</v>
      </c>
      <c r="I789">
        <v>13</v>
      </c>
      <c r="J789">
        <v>10</v>
      </c>
      <c r="K789">
        <v>7</v>
      </c>
      <c r="L789">
        <v>1</v>
      </c>
      <c r="M789">
        <v>4</v>
      </c>
      <c r="N789">
        <v>2</v>
      </c>
      <c r="O789">
        <v>1</v>
      </c>
      <c r="P789">
        <v>3</v>
      </c>
      <c r="Q789">
        <v>2819</v>
      </c>
      <c r="R789">
        <v>3422</v>
      </c>
      <c r="S789" t="str">
        <v>Yes</v>
      </c>
      <c r="T789">
        <v>0.25</v>
      </c>
      <c r="U789">
        <v>2016</v>
      </c>
      <c r="V789">
        <v>45946</v>
      </c>
      <c r="W789">
        <v>8</v>
      </c>
      <c r="X789" t="str">
        <v>Reels</v>
      </c>
      <c r="Y789" t="str">
        <v>Fitness</v>
      </c>
      <c r="Z789" t="str">
        <v>Private</v>
      </c>
      <c r="AA789" t="str">
        <v>Yes</v>
      </c>
      <c r="AB789" t="str">
        <v>Yes</v>
      </c>
      <c r="AC789">
        <v>2</v>
      </c>
      <c r="AD789" t="str">
        <v>Free</v>
      </c>
      <c r="AE789">
        <v>6.11</v>
      </c>
      <c r="AF789" s="14">
        <f t="shared" si="12"/>
        <v>0.82378725891291638</v>
      </c>
    </row>
    <row r="790" spans="1:32" x14ac:dyDescent="0.2">
      <c r="A790">
        <v>789</v>
      </c>
      <c r="B790" cm="1">
        <f t="array" ref="B790:AE790">_xlfn.XLOOKUP($A790,Instagram_Usage_Lifestyle_Mini_!$A:$A,Instagram_Usage_Lifestyle_Mini_!$AC:$BF)</f>
        <v>208</v>
      </c>
      <c r="C790">
        <v>7</v>
      </c>
      <c r="D790">
        <v>11</v>
      </c>
      <c r="E790">
        <v>151</v>
      </c>
      <c r="F790">
        <v>121</v>
      </c>
      <c r="G790">
        <v>151</v>
      </c>
      <c r="H790">
        <v>29</v>
      </c>
      <c r="I790">
        <v>30</v>
      </c>
      <c r="J790">
        <v>29</v>
      </c>
      <c r="K790">
        <v>18</v>
      </c>
      <c r="L790">
        <v>9</v>
      </c>
      <c r="M790">
        <v>114</v>
      </c>
      <c r="N790">
        <v>50</v>
      </c>
      <c r="O790">
        <v>51</v>
      </c>
      <c r="P790">
        <v>54</v>
      </c>
      <c r="Q790">
        <v>1279</v>
      </c>
      <c r="R790">
        <v>1101</v>
      </c>
      <c r="S790" t="str">
        <v>No</v>
      </c>
      <c r="T790">
        <v>0.18</v>
      </c>
      <c r="U790">
        <v>2012</v>
      </c>
      <c r="V790">
        <v>45885</v>
      </c>
      <c r="W790">
        <v>29.7</v>
      </c>
      <c r="X790" t="str">
        <v>Videos</v>
      </c>
      <c r="Y790" t="str">
        <v>Other</v>
      </c>
      <c r="Z790" t="str">
        <v>Private</v>
      </c>
      <c r="AA790" t="str">
        <v>No</v>
      </c>
      <c r="AB790" t="str">
        <v>Yes</v>
      </c>
      <c r="AC790">
        <v>5</v>
      </c>
      <c r="AD790" t="str">
        <v>Free</v>
      </c>
      <c r="AE790">
        <v>1.1599999999999999</v>
      </c>
      <c r="AF790" s="14">
        <f t="shared" si="12"/>
        <v>1.1616712079927338</v>
      </c>
    </row>
    <row r="791" spans="1:32" x14ac:dyDescent="0.2">
      <c r="A791">
        <v>790</v>
      </c>
      <c r="B791" cm="1">
        <f t="array" ref="B791:AE791">_xlfn.XLOOKUP($A791,Instagram_Usage_Lifestyle_Mini_!$A:$A,Instagram_Usage_Lifestyle_Mini_!$AC:$BF)</f>
        <v>137</v>
      </c>
      <c r="C791">
        <v>9</v>
      </c>
      <c r="D791">
        <v>8</v>
      </c>
      <c r="E791">
        <v>182</v>
      </c>
      <c r="F791">
        <v>101</v>
      </c>
      <c r="G791">
        <v>88</v>
      </c>
      <c r="H791">
        <v>23</v>
      </c>
      <c r="I791">
        <v>20</v>
      </c>
      <c r="J791">
        <v>32</v>
      </c>
      <c r="K791">
        <v>16</v>
      </c>
      <c r="L791">
        <v>6</v>
      </c>
      <c r="M791">
        <v>75</v>
      </c>
      <c r="N791">
        <v>22</v>
      </c>
      <c r="O791">
        <v>21</v>
      </c>
      <c r="P791">
        <v>50</v>
      </c>
      <c r="Q791">
        <v>1618</v>
      </c>
      <c r="R791">
        <v>1768</v>
      </c>
      <c r="S791" t="str">
        <v>No</v>
      </c>
      <c r="T791">
        <v>0.03</v>
      </c>
      <c r="U791">
        <v>2021</v>
      </c>
      <c r="V791">
        <v>45945</v>
      </c>
      <c r="W791">
        <v>15.2</v>
      </c>
      <c r="X791" t="str">
        <v>Stories</v>
      </c>
      <c r="Y791" t="str">
        <v>Food</v>
      </c>
      <c r="Z791" t="str">
        <v>Friends_only</v>
      </c>
      <c r="AA791" t="str">
        <v>Yes</v>
      </c>
      <c r="AB791" t="str">
        <v>No</v>
      </c>
      <c r="AC791">
        <v>4</v>
      </c>
      <c r="AD791" t="str">
        <v>Premium</v>
      </c>
      <c r="AE791">
        <v>1.1399999999999999</v>
      </c>
      <c r="AF791" s="14">
        <f t="shared" si="12"/>
        <v>0.91515837104072395</v>
      </c>
    </row>
    <row r="792" spans="1:32" x14ac:dyDescent="0.2">
      <c r="A792">
        <v>791</v>
      </c>
      <c r="B792" cm="1">
        <f t="array" ref="B792:AE792">_xlfn.XLOOKUP($A792,Instagram_Usage_Lifestyle_Mini_!$A:$A,Instagram_Usage_Lifestyle_Mini_!$AC:$BF)</f>
        <v>61</v>
      </c>
      <c r="C792">
        <v>2</v>
      </c>
      <c r="D792">
        <v>7</v>
      </c>
      <c r="E792">
        <v>91</v>
      </c>
      <c r="F792">
        <v>55</v>
      </c>
      <c r="G792">
        <v>59</v>
      </c>
      <c r="H792">
        <v>17</v>
      </c>
      <c r="I792">
        <v>19</v>
      </c>
      <c r="J792">
        <v>22</v>
      </c>
      <c r="K792">
        <v>10</v>
      </c>
      <c r="L792">
        <v>4</v>
      </c>
      <c r="M792">
        <v>28</v>
      </c>
      <c r="N792">
        <v>9</v>
      </c>
      <c r="O792">
        <v>8</v>
      </c>
      <c r="P792">
        <v>16</v>
      </c>
      <c r="Q792">
        <v>1623</v>
      </c>
      <c r="R792">
        <v>1229</v>
      </c>
      <c r="S792" t="str">
        <v>No</v>
      </c>
      <c r="T792">
        <v>0.1</v>
      </c>
      <c r="U792">
        <v>2025</v>
      </c>
      <c r="V792">
        <v>45992</v>
      </c>
      <c r="W792">
        <v>30.5</v>
      </c>
      <c r="X792" t="str">
        <v>Videos</v>
      </c>
      <c r="Y792" t="str">
        <v>Food</v>
      </c>
      <c r="Z792" t="str">
        <v>Friends_only</v>
      </c>
      <c r="AA792" t="str">
        <v>Yes</v>
      </c>
      <c r="AB792" t="str">
        <v>No</v>
      </c>
      <c r="AC792">
        <v>1</v>
      </c>
      <c r="AD792" t="str">
        <v>Free</v>
      </c>
      <c r="AE792">
        <v>1.84</v>
      </c>
      <c r="AF792" s="14">
        <f t="shared" si="12"/>
        <v>1.3205858421480878</v>
      </c>
    </row>
    <row r="793" spans="1:32" x14ac:dyDescent="0.2">
      <c r="A793">
        <v>792</v>
      </c>
      <c r="B793" cm="1">
        <f t="array" ref="B793:AE793">_xlfn.XLOOKUP($A793,Instagram_Usage_Lifestyle_Mini_!$A:$A,Instagram_Usage_Lifestyle_Mini_!$AC:$BF)</f>
        <v>236</v>
      </c>
      <c r="C793">
        <v>19</v>
      </c>
      <c r="D793">
        <v>6</v>
      </c>
      <c r="E793">
        <v>180</v>
      </c>
      <c r="F793">
        <v>138</v>
      </c>
      <c r="G793">
        <v>135</v>
      </c>
      <c r="H793">
        <v>43</v>
      </c>
      <c r="I793">
        <v>29</v>
      </c>
      <c r="J793">
        <v>32</v>
      </c>
      <c r="K793">
        <v>18</v>
      </c>
      <c r="L793">
        <v>5</v>
      </c>
      <c r="M793">
        <v>134</v>
      </c>
      <c r="N793">
        <v>60</v>
      </c>
      <c r="O793">
        <v>51</v>
      </c>
      <c r="P793">
        <v>65</v>
      </c>
      <c r="Q793">
        <v>1349</v>
      </c>
      <c r="R793">
        <v>1763</v>
      </c>
      <c r="S793" t="str">
        <v>No</v>
      </c>
      <c r="T793">
        <v>0.59</v>
      </c>
      <c r="U793">
        <v>2017</v>
      </c>
      <c r="V793">
        <v>45751</v>
      </c>
      <c r="W793">
        <v>12.4</v>
      </c>
      <c r="X793" t="str">
        <v>Mixed</v>
      </c>
      <c r="Y793" t="str">
        <v>Food</v>
      </c>
      <c r="Z793" t="str">
        <v>Public</v>
      </c>
      <c r="AA793" t="str">
        <v>Yes</v>
      </c>
      <c r="AB793" t="str">
        <v>Yes</v>
      </c>
      <c r="AC793">
        <v>1</v>
      </c>
      <c r="AD793" t="str">
        <v>Free</v>
      </c>
      <c r="AE793">
        <v>1.01</v>
      </c>
      <c r="AF793" s="14">
        <f t="shared" si="12"/>
        <v>0.76517300056721493</v>
      </c>
    </row>
    <row r="794" spans="1:32" x14ac:dyDescent="0.2">
      <c r="A794">
        <v>793</v>
      </c>
      <c r="B794" cm="1">
        <f t="array" ref="B794:AE794">_xlfn.XLOOKUP($A794,Instagram_Usage_Lifestyle_Mini_!$A:$A,Instagram_Usage_Lifestyle_Mini_!$AC:$BF)</f>
        <v>70</v>
      </c>
      <c r="C794">
        <v>7</v>
      </c>
      <c r="D794">
        <v>3</v>
      </c>
      <c r="E794">
        <v>85</v>
      </c>
      <c r="F794">
        <v>58</v>
      </c>
      <c r="G794">
        <v>58</v>
      </c>
      <c r="H794">
        <v>14</v>
      </c>
      <c r="I794">
        <v>19</v>
      </c>
      <c r="J794">
        <v>12</v>
      </c>
      <c r="K794">
        <v>13</v>
      </c>
      <c r="L794">
        <v>2</v>
      </c>
      <c r="M794">
        <v>36</v>
      </c>
      <c r="N794">
        <v>11</v>
      </c>
      <c r="O794">
        <v>10</v>
      </c>
      <c r="P794">
        <v>24</v>
      </c>
      <c r="Q794">
        <v>5192</v>
      </c>
      <c r="R794">
        <v>10000</v>
      </c>
      <c r="S794" t="str">
        <v>No</v>
      </c>
      <c r="T794">
        <v>0.12</v>
      </c>
      <c r="U794">
        <v>2023</v>
      </c>
      <c r="V794">
        <v>46010</v>
      </c>
      <c r="W794">
        <v>10</v>
      </c>
      <c r="X794" t="str">
        <v>Videos</v>
      </c>
      <c r="Y794" t="str">
        <v>Travel</v>
      </c>
      <c r="Z794" t="str">
        <v>Public</v>
      </c>
      <c r="AA794" t="str">
        <v>Yes</v>
      </c>
      <c r="AB794" t="str">
        <v>No</v>
      </c>
      <c r="AC794">
        <v>1</v>
      </c>
      <c r="AD794" t="str">
        <v>Free</v>
      </c>
      <c r="AE794">
        <v>1.34</v>
      </c>
      <c r="AF794" s="14">
        <f t="shared" si="12"/>
        <v>0.51919999999999999</v>
      </c>
    </row>
    <row r="795" spans="1:32" x14ac:dyDescent="0.2">
      <c r="A795">
        <v>794</v>
      </c>
      <c r="B795" cm="1">
        <f t="array" ref="B795:AE795">_xlfn.XLOOKUP($A795,Instagram_Usage_Lifestyle_Mini_!$A:$A,Instagram_Usage_Lifestyle_Mini_!$AC:$BF)</f>
        <v>188</v>
      </c>
      <c r="C795">
        <v>19</v>
      </c>
      <c r="D795">
        <v>14</v>
      </c>
      <c r="E795">
        <v>205</v>
      </c>
      <c r="F795">
        <v>96</v>
      </c>
      <c r="G795">
        <v>117</v>
      </c>
      <c r="H795">
        <v>33</v>
      </c>
      <c r="I795">
        <v>22</v>
      </c>
      <c r="J795">
        <v>34</v>
      </c>
      <c r="K795">
        <v>15</v>
      </c>
      <c r="L795">
        <v>8</v>
      </c>
      <c r="M795">
        <v>103</v>
      </c>
      <c r="N795">
        <v>28</v>
      </c>
      <c r="O795">
        <v>23</v>
      </c>
      <c r="P795">
        <v>47</v>
      </c>
      <c r="Q795">
        <v>3278</v>
      </c>
      <c r="R795">
        <v>4125</v>
      </c>
      <c r="S795" t="str">
        <v>Yes</v>
      </c>
      <c r="T795">
        <v>0.48</v>
      </c>
      <c r="U795">
        <v>2017</v>
      </c>
      <c r="V795">
        <v>45843</v>
      </c>
      <c r="W795">
        <v>9.9</v>
      </c>
      <c r="X795" t="str">
        <v>Live</v>
      </c>
      <c r="Y795" t="str">
        <v>Food</v>
      </c>
      <c r="Z795" t="str">
        <v>Public</v>
      </c>
      <c r="AA795" t="str">
        <v>Yes</v>
      </c>
      <c r="AB795" t="str">
        <v>No</v>
      </c>
      <c r="AC795">
        <v>3</v>
      </c>
      <c r="AD795" t="str">
        <v>Free</v>
      </c>
      <c r="AE795">
        <v>1.19</v>
      </c>
      <c r="AF795" s="14">
        <f t="shared" si="12"/>
        <v>0.79466666666666663</v>
      </c>
    </row>
    <row r="796" spans="1:32" x14ac:dyDescent="0.2">
      <c r="A796">
        <v>795</v>
      </c>
      <c r="B796" cm="1">
        <f t="array" ref="B796:AE796">_xlfn.XLOOKUP($A796,Instagram_Usage_Lifestyle_Mini_!$A:$A,Instagram_Usage_Lifestyle_Mini_!$AC:$BF)</f>
        <v>273</v>
      </c>
      <c r="C796">
        <v>33</v>
      </c>
      <c r="D796">
        <v>4</v>
      </c>
      <c r="E796">
        <v>208</v>
      </c>
      <c r="F796">
        <v>120</v>
      </c>
      <c r="G796">
        <v>162</v>
      </c>
      <c r="H796">
        <v>45</v>
      </c>
      <c r="I796">
        <v>42</v>
      </c>
      <c r="J796">
        <v>49</v>
      </c>
      <c r="K796">
        <v>29</v>
      </c>
      <c r="L796">
        <v>9</v>
      </c>
      <c r="M796">
        <v>115</v>
      </c>
      <c r="N796">
        <v>80</v>
      </c>
      <c r="O796">
        <v>45</v>
      </c>
      <c r="P796">
        <v>83</v>
      </c>
      <c r="Q796">
        <v>151</v>
      </c>
      <c r="R796">
        <v>155</v>
      </c>
      <c r="S796" t="str">
        <v>No</v>
      </c>
      <c r="T796">
        <v>0.56000000000000005</v>
      </c>
      <c r="U796">
        <v>2017</v>
      </c>
      <c r="V796">
        <v>45915</v>
      </c>
      <c r="W796">
        <v>8.3000000000000007</v>
      </c>
      <c r="X796" t="str">
        <v>Videos</v>
      </c>
      <c r="Y796" t="str">
        <v>Fitness</v>
      </c>
      <c r="Z796" t="str">
        <v>Friends_only</v>
      </c>
      <c r="AA796" t="str">
        <v>Yes</v>
      </c>
      <c r="AB796" t="str">
        <v>No</v>
      </c>
      <c r="AC796">
        <v>3</v>
      </c>
      <c r="AD796" t="str">
        <v>Free</v>
      </c>
      <c r="AE796">
        <v>0.96</v>
      </c>
      <c r="AF796" s="14">
        <f t="shared" si="12"/>
        <v>0.97419354838709682</v>
      </c>
    </row>
    <row r="797" spans="1:32" x14ac:dyDescent="0.2">
      <c r="A797">
        <v>796</v>
      </c>
      <c r="B797" cm="1">
        <f t="array" ref="B797:AE797">_xlfn.XLOOKUP($A797,Instagram_Usage_Lifestyle_Mini_!$A:$A,Instagram_Usage_Lifestyle_Mini_!$AC:$BF)</f>
        <v>262</v>
      </c>
      <c r="C797">
        <v>18</v>
      </c>
      <c r="D797">
        <v>8</v>
      </c>
      <c r="E797">
        <v>213</v>
      </c>
      <c r="F797">
        <v>123</v>
      </c>
      <c r="G797">
        <v>152</v>
      </c>
      <c r="H797">
        <v>53</v>
      </c>
      <c r="I797">
        <v>40</v>
      </c>
      <c r="J797">
        <v>45</v>
      </c>
      <c r="K797">
        <v>24</v>
      </c>
      <c r="L797">
        <v>9</v>
      </c>
      <c r="M797">
        <v>127</v>
      </c>
      <c r="N797">
        <v>52</v>
      </c>
      <c r="O797">
        <v>56</v>
      </c>
      <c r="P797">
        <v>88</v>
      </c>
      <c r="Q797">
        <v>368</v>
      </c>
      <c r="R797">
        <v>805</v>
      </c>
      <c r="S797" t="str">
        <v>No</v>
      </c>
      <c r="T797">
        <v>0.04</v>
      </c>
      <c r="U797">
        <v>2012</v>
      </c>
      <c r="V797">
        <v>45874</v>
      </c>
      <c r="W797">
        <v>14.6</v>
      </c>
      <c r="X797" t="str">
        <v>Videos</v>
      </c>
      <c r="Y797" t="str">
        <v>Fitness</v>
      </c>
      <c r="Z797" t="str">
        <v>Private</v>
      </c>
      <c r="AA797" t="str">
        <v>Yes</v>
      </c>
      <c r="AB797" t="str">
        <v>Yes</v>
      </c>
      <c r="AC797">
        <v>2</v>
      </c>
      <c r="AD797" t="str">
        <v>Free</v>
      </c>
      <c r="AE797">
        <v>1.07</v>
      </c>
      <c r="AF797" s="14">
        <f t="shared" si="12"/>
        <v>0.45714285714285713</v>
      </c>
    </row>
    <row r="798" spans="1:32" x14ac:dyDescent="0.2">
      <c r="A798">
        <v>797</v>
      </c>
      <c r="B798" cm="1">
        <f t="array" ref="B798:AE798">_xlfn.XLOOKUP($A798,Instagram_Usage_Lifestyle_Mini_!$A:$A,Instagram_Usage_Lifestyle_Mini_!$AC:$BF)</f>
        <v>53</v>
      </c>
      <c r="C798">
        <v>3</v>
      </c>
      <c r="D798">
        <v>5</v>
      </c>
      <c r="E798">
        <v>69</v>
      </c>
      <c r="F798">
        <v>57</v>
      </c>
      <c r="G798">
        <v>49</v>
      </c>
      <c r="H798">
        <v>13</v>
      </c>
      <c r="I798">
        <v>11</v>
      </c>
      <c r="J798">
        <v>10</v>
      </c>
      <c r="K798">
        <v>8</v>
      </c>
      <c r="L798">
        <v>4</v>
      </c>
      <c r="M798">
        <v>27</v>
      </c>
      <c r="N798">
        <v>10</v>
      </c>
      <c r="O798">
        <v>6</v>
      </c>
      <c r="P798">
        <v>14</v>
      </c>
      <c r="Q798">
        <v>504</v>
      </c>
      <c r="R798">
        <v>546</v>
      </c>
      <c r="S798" t="str">
        <v>No</v>
      </c>
      <c r="T798">
        <v>0.13</v>
      </c>
      <c r="U798">
        <v>2018</v>
      </c>
      <c r="V798">
        <v>45950</v>
      </c>
      <c r="W798">
        <v>17.7</v>
      </c>
      <c r="X798" t="str">
        <v>Reels</v>
      </c>
      <c r="Y798" t="str">
        <v>Art</v>
      </c>
      <c r="Z798" t="str">
        <v>Public</v>
      </c>
      <c r="AA798" t="str">
        <v>Yes</v>
      </c>
      <c r="AB798" t="str">
        <v>No</v>
      </c>
      <c r="AC798">
        <v>4</v>
      </c>
      <c r="AD798" t="str">
        <v>Premium</v>
      </c>
      <c r="AE798">
        <v>1.67</v>
      </c>
      <c r="AF798" s="14">
        <f t="shared" si="12"/>
        <v>0.92307692307692313</v>
      </c>
    </row>
    <row r="799" spans="1:32" x14ac:dyDescent="0.2">
      <c r="A799">
        <v>798</v>
      </c>
      <c r="B799" cm="1">
        <f t="array" ref="B799:AE799">_xlfn.XLOOKUP($A799,Instagram_Usage_Lifestyle_Mini_!$A:$A,Instagram_Usage_Lifestyle_Mini_!$AC:$BF)</f>
        <v>82</v>
      </c>
      <c r="C799">
        <v>3</v>
      </c>
      <c r="D799">
        <v>2</v>
      </c>
      <c r="E799">
        <v>86</v>
      </c>
      <c r="F799">
        <v>69</v>
      </c>
      <c r="G799">
        <v>63</v>
      </c>
      <c r="H799">
        <v>23</v>
      </c>
      <c r="I799">
        <v>16</v>
      </c>
      <c r="J799">
        <v>18</v>
      </c>
      <c r="K799">
        <v>11</v>
      </c>
      <c r="L799">
        <v>4</v>
      </c>
      <c r="M799">
        <v>44</v>
      </c>
      <c r="N799">
        <v>18</v>
      </c>
      <c r="O799">
        <v>8</v>
      </c>
      <c r="P799">
        <v>30</v>
      </c>
      <c r="Q799">
        <v>261</v>
      </c>
      <c r="R799">
        <v>265</v>
      </c>
      <c r="S799" t="str">
        <v>Yes</v>
      </c>
      <c r="T799">
        <v>0.84</v>
      </c>
      <c r="U799">
        <v>2019</v>
      </c>
      <c r="V799">
        <v>45658</v>
      </c>
      <c r="W799">
        <v>27.3</v>
      </c>
      <c r="X799" t="str">
        <v>Stories</v>
      </c>
      <c r="Y799" t="str">
        <v>Music</v>
      </c>
      <c r="Z799" t="str">
        <v>Private</v>
      </c>
      <c r="AA799" t="str">
        <v>Yes</v>
      </c>
      <c r="AB799" t="str">
        <v>Yes</v>
      </c>
      <c r="AC799">
        <v>0</v>
      </c>
      <c r="AD799" t="str">
        <v>Free</v>
      </c>
      <c r="AE799">
        <v>1.39</v>
      </c>
      <c r="AF799" s="14">
        <f t="shared" si="12"/>
        <v>0.98490566037735849</v>
      </c>
    </row>
    <row r="800" spans="1:32" x14ac:dyDescent="0.2">
      <c r="A800">
        <v>799</v>
      </c>
      <c r="B800" cm="1">
        <f t="array" ref="B800:AE800">_xlfn.XLOOKUP($A800,Instagram_Usage_Lifestyle_Mini_!$A:$A,Instagram_Usage_Lifestyle_Mini_!$AC:$BF)</f>
        <v>119</v>
      </c>
      <c r="C800">
        <v>5</v>
      </c>
      <c r="D800">
        <v>4</v>
      </c>
      <c r="E800">
        <v>115</v>
      </c>
      <c r="F800">
        <v>83</v>
      </c>
      <c r="G800">
        <v>82</v>
      </c>
      <c r="H800">
        <v>26</v>
      </c>
      <c r="I800">
        <v>34</v>
      </c>
      <c r="J800">
        <v>22</v>
      </c>
      <c r="K800">
        <v>22</v>
      </c>
      <c r="L800">
        <v>6</v>
      </c>
      <c r="M800">
        <v>69</v>
      </c>
      <c r="N800">
        <v>19</v>
      </c>
      <c r="O800">
        <v>19</v>
      </c>
      <c r="P800">
        <v>36</v>
      </c>
      <c r="Q800">
        <v>2551</v>
      </c>
      <c r="R800">
        <v>5933</v>
      </c>
      <c r="S800" t="str">
        <v>No</v>
      </c>
      <c r="T800">
        <v>0.46</v>
      </c>
      <c r="U800">
        <v>2021</v>
      </c>
      <c r="V800">
        <v>45745</v>
      </c>
      <c r="W800">
        <v>23.8</v>
      </c>
      <c r="X800" t="str">
        <v>Reels</v>
      </c>
      <c r="Y800" t="str">
        <v>Other</v>
      </c>
      <c r="Z800" t="str">
        <v>Public</v>
      </c>
      <c r="AA800" t="str">
        <v>Yes</v>
      </c>
      <c r="AB800" t="str">
        <v>No</v>
      </c>
      <c r="AC800">
        <v>1</v>
      </c>
      <c r="AD800" t="str">
        <v>Free</v>
      </c>
      <c r="AE800">
        <v>1.22</v>
      </c>
      <c r="AF800" s="14">
        <f t="shared" si="12"/>
        <v>0.42996797572897355</v>
      </c>
    </row>
    <row r="801" spans="1:32" x14ac:dyDescent="0.2">
      <c r="A801">
        <v>800</v>
      </c>
      <c r="B801" cm="1">
        <f t="array" ref="B801:AE801">_xlfn.XLOOKUP($A801,Instagram_Usage_Lifestyle_Mini_!$A:$A,Instagram_Usage_Lifestyle_Mini_!$AC:$BF)</f>
        <v>71</v>
      </c>
      <c r="C801">
        <v>5</v>
      </c>
      <c r="D801">
        <v>6</v>
      </c>
      <c r="E801">
        <v>71</v>
      </c>
      <c r="F801">
        <v>60</v>
      </c>
      <c r="G801">
        <v>65</v>
      </c>
      <c r="H801">
        <v>13</v>
      </c>
      <c r="I801">
        <v>18</v>
      </c>
      <c r="J801">
        <v>18</v>
      </c>
      <c r="K801">
        <v>11</v>
      </c>
      <c r="L801">
        <v>3</v>
      </c>
      <c r="M801">
        <v>35</v>
      </c>
      <c r="N801">
        <v>13</v>
      </c>
      <c r="O801">
        <v>13</v>
      </c>
      <c r="P801">
        <v>18</v>
      </c>
      <c r="Q801">
        <v>1690</v>
      </c>
      <c r="R801">
        <v>2900</v>
      </c>
      <c r="S801" t="str">
        <v>Yes</v>
      </c>
      <c r="T801">
        <v>0.8</v>
      </c>
      <c r="U801">
        <v>2022</v>
      </c>
      <c r="V801">
        <v>45801</v>
      </c>
      <c r="W801">
        <v>14.2</v>
      </c>
      <c r="X801" t="str">
        <v>Photos</v>
      </c>
      <c r="Y801" t="str">
        <v>Fitness</v>
      </c>
      <c r="Z801" t="str">
        <v>Friends_only</v>
      </c>
      <c r="AA801" t="str">
        <v>No</v>
      </c>
      <c r="AB801" t="str">
        <v>No</v>
      </c>
      <c r="AC801">
        <v>3</v>
      </c>
      <c r="AD801" t="str">
        <v>Free</v>
      </c>
      <c r="AE801">
        <v>1.51</v>
      </c>
      <c r="AF801" s="14">
        <f t="shared" si="12"/>
        <v>0.58275862068965523</v>
      </c>
    </row>
    <row r="802" spans="1:32" x14ac:dyDescent="0.2">
      <c r="A802">
        <v>801</v>
      </c>
      <c r="B802" cm="1">
        <f t="array" ref="B802:AE802">_xlfn.XLOOKUP($A802,Instagram_Usage_Lifestyle_Mini_!$A:$A,Instagram_Usage_Lifestyle_Mini_!$AC:$BF)</f>
        <v>152</v>
      </c>
      <c r="C802">
        <v>5</v>
      </c>
      <c r="D802">
        <v>3</v>
      </c>
      <c r="E802">
        <v>134</v>
      </c>
      <c r="F802">
        <v>83</v>
      </c>
      <c r="G802">
        <v>95</v>
      </c>
      <c r="H802">
        <v>32</v>
      </c>
      <c r="I802">
        <v>25</v>
      </c>
      <c r="J802">
        <v>27</v>
      </c>
      <c r="K802">
        <v>23</v>
      </c>
      <c r="L802">
        <v>4</v>
      </c>
      <c r="M802">
        <v>66</v>
      </c>
      <c r="N802">
        <v>23</v>
      </c>
      <c r="O802">
        <v>38</v>
      </c>
      <c r="P802">
        <v>57</v>
      </c>
      <c r="Q802">
        <v>4047</v>
      </c>
      <c r="R802">
        <v>2024</v>
      </c>
      <c r="S802" t="str">
        <v>No</v>
      </c>
      <c r="T802">
        <v>0.16</v>
      </c>
      <c r="U802">
        <v>2012</v>
      </c>
      <c r="V802">
        <v>45752</v>
      </c>
      <c r="W802">
        <v>30.4</v>
      </c>
      <c r="X802" t="str">
        <v>Live</v>
      </c>
      <c r="Y802" t="str">
        <v>Food</v>
      </c>
      <c r="Z802" t="str">
        <v>Private</v>
      </c>
      <c r="AA802" t="str">
        <v>Yes</v>
      </c>
      <c r="AB802" t="str">
        <v>Yes</v>
      </c>
      <c r="AC802">
        <v>5</v>
      </c>
      <c r="AD802" t="str">
        <v>Free</v>
      </c>
      <c r="AE802">
        <v>1.1000000000000001</v>
      </c>
      <c r="AF802" s="14">
        <f t="shared" si="12"/>
        <v>1.9995059288537549</v>
      </c>
    </row>
    <row r="803" spans="1:32" x14ac:dyDescent="0.2">
      <c r="A803">
        <v>802</v>
      </c>
      <c r="B803" cm="1">
        <f t="array" ref="B803:AE803">_xlfn.XLOOKUP($A803,Instagram_Usage_Lifestyle_Mini_!$A:$A,Instagram_Usage_Lifestyle_Mini_!$AC:$BF)</f>
        <v>90</v>
      </c>
      <c r="C803">
        <v>5</v>
      </c>
      <c r="D803">
        <v>1</v>
      </c>
      <c r="E803">
        <v>188</v>
      </c>
      <c r="F803">
        <v>69</v>
      </c>
      <c r="G803">
        <v>62</v>
      </c>
      <c r="H803">
        <v>19</v>
      </c>
      <c r="I803">
        <v>20</v>
      </c>
      <c r="J803">
        <v>15</v>
      </c>
      <c r="K803">
        <v>9</v>
      </c>
      <c r="L803">
        <v>2</v>
      </c>
      <c r="M803">
        <v>52</v>
      </c>
      <c r="N803">
        <v>15</v>
      </c>
      <c r="O803">
        <v>15</v>
      </c>
      <c r="P803">
        <v>23</v>
      </c>
      <c r="Q803">
        <v>966</v>
      </c>
      <c r="R803">
        <v>660</v>
      </c>
      <c r="S803" t="str">
        <v>No</v>
      </c>
      <c r="T803">
        <v>0.67</v>
      </c>
      <c r="U803">
        <v>2024</v>
      </c>
      <c r="V803">
        <v>45673</v>
      </c>
      <c r="W803">
        <v>18</v>
      </c>
      <c r="X803" t="str">
        <v>Mixed</v>
      </c>
      <c r="Y803" t="str">
        <v>Fashion</v>
      </c>
      <c r="Z803" t="str">
        <v>Public</v>
      </c>
      <c r="AA803" t="str">
        <v>No</v>
      </c>
      <c r="AB803" t="str">
        <v>Yes</v>
      </c>
      <c r="AC803">
        <v>3</v>
      </c>
      <c r="AD803" t="str">
        <v>Free</v>
      </c>
      <c r="AE803">
        <v>1.1299999999999999</v>
      </c>
      <c r="AF803" s="14">
        <f t="shared" si="12"/>
        <v>1.4636363636363636</v>
      </c>
    </row>
    <row r="804" spans="1:32" x14ac:dyDescent="0.2">
      <c r="A804">
        <v>803</v>
      </c>
      <c r="B804" cm="1">
        <f t="array" ref="B804:AE804">_xlfn.XLOOKUP($A804,Instagram_Usage_Lifestyle_Mini_!$A:$A,Instagram_Usage_Lifestyle_Mini_!$AC:$BF)</f>
        <v>277</v>
      </c>
      <c r="C804">
        <v>19</v>
      </c>
      <c r="D804">
        <v>13</v>
      </c>
      <c r="E804">
        <v>271</v>
      </c>
      <c r="F804">
        <v>150</v>
      </c>
      <c r="G804">
        <v>182</v>
      </c>
      <c r="H804">
        <v>58</v>
      </c>
      <c r="I804">
        <v>31</v>
      </c>
      <c r="J804">
        <v>46</v>
      </c>
      <c r="K804">
        <v>31</v>
      </c>
      <c r="L804">
        <v>3</v>
      </c>
      <c r="M804">
        <v>145</v>
      </c>
      <c r="N804">
        <v>66</v>
      </c>
      <c r="O804">
        <v>52</v>
      </c>
      <c r="P804">
        <v>68</v>
      </c>
      <c r="Q804">
        <v>2647</v>
      </c>
      <c r="R804">
        <v>4278</v>
      </c>
      <c r="S804" t="str">
        <v>No</v>
      </c>
      <c r="T804">
        <v>0.22</v>
      </c>
      <c r="U804">
        <v>2016</v>
      </c>
      <c r="V804">
        <v>45812</v>
      </c>
      <c r="W804">
        <v>14.6</v>
      </c>
      <c r="X804" t="str">
        <v>Reels</v>
      </c>
      <c r="Y804" t="str">
        <v>Art</v>
      </c>
      <c r="Z804" t="str">
        <v>Public</v>
      </c>
      <c r="AA804" t="str">
        <v>Yes</v>
      </c>
      <c r="AB804" t="str">
        <v>No</v>
      </c>
      <c r="AC804">
        <v>1</v>
      </c>
      <c r="AD804" t="str">
        <v>Free</v>
      </c>
      <c r="AE804">
        <v>1.21</v>
      </c>
      <c r="AF804" s="14">
        <f t="shared" si="12"/>
        <v>0.61874707807386631</v>
      </c>
    </row>
    <row r="805" spans="1:32" x14ac:dyDescent="0.2">
      <c r="A805">
        <v>804</v>
      </c>
      <c r="B805" cm="1">
        <f t="array" ref="B805:AE805">_xlfn.XLOOKUP($A805,Instagram_Usage_Lifestyle_Mini_!$A:$A,Instagram_Usage_Lifestyle_Mini_!$AC:$BF)</f>
        <v>406</v>
      </c>
      <c r="C805">
        <v>13</v>
      </c>
      <c r="D805">
        <v>7</v>
      </c>
      <c r="E805">
        <v>265</v>
      </c>
      <c r="F805">
        <v>150</v>
      </c>
      <c r="G805">
        <v>235</v>
      </c>
      <c r="H805">
        <v>76</v>
      </c>
      <c r="I805">
        <v>55</v>
      </c>
      <c r="J805">
        <v>54</v>
      </c>
      <c r="K805">
        <v>46</v>
      </c>
      <c r="L805">
        <v>13</v>
      </c>
      <c r="M805">
        <v>171</v>
      </c>
      <c r="N805">
        <v>74</v>
      </c>
      <c r="O805">
        <v>48</v>
      </c>
      <c r="P805">
        <v>110</v>
      </c>
      <c r="Q805">
        <v>713</v>
      </c>
      <c r="R805">
        <v>1594</v>
      </c>
      <c r="S805" t="str">
        <v>Yes</v>
      </c>
      <c r="T805">
        <v>0.33</v>
      </c>
      <c r="U805">
        <v>2016</v>
      </c>
      <c r="V805">
        <v>45702</v>
      </c>
      <c r="W805">
        <v>31.2</v>
      </c>
      <c r="X805" t="str">
        <v>Mixed</v>
      </c>
      <c r="Y805" t="str">
        <v>Travel</v>
      </c>
      <c r="Z805" t="str">
        <v>Private</v>
      </c>
      <c r="AA805" t="str">
        <v>Yes</v>
      </c>
      <c r="AB805" t="str">
        <v>No</v>
      </c>
      <c r="AC805">
        <v>1</v>
      </c>
      <c r="AD805" t="str">
        <v>Free</v>
      </c>
      <c r="AE805">
        <v>1</v>
      </c>
      <c r="AF805" s="14">
        <f t="shared" si="12"/>
        <v>0.44730238393977417</v>
      </c>
    </row>
    <row r="806" spans="1:32" x14ac:dyDescent="0.2">
      <c r="A806">
        <v>805</v>
      </c>
      <c r="B806" cm="1">
        <f t="array" ref="B806:AE806">_xlfn.XLOOKUP($A806,Instagram_Usage_Lifestyle_Mini_!$A:$A,Instagram_Usage_Lifestyle_Mini_!$AC:$BF)</f>
        <v>225</v>
      </c>
      <c r="C806">
        <v>12</v>
      </c>
      <c r="D806">
        <v>9</v>
      </c>
      <c r="E806">
        <v>176</v>
      </c>
      <c r="F806">
        <v>121</v>
      </c>
      <c r="G806">
        <v>140</v>
      </c>
      <c r="H806">
        <v>43</v>
      </c>
      <c r="I806">
        <v>32</v>
      </c>
      <c r="J806">
        <v>31</v>
      </c>
      <c r="K806">
        <v>23</v>
      </c>
      <c r="L806">
        <v>5</v>
      </c>
      <c r="M806">
        <v>121</v>
      </c>
      <c r="N806">
        <v>33</v>
      </c>
      <c r="O806">
        <v>34</v>
      </c>
      <c r="P806">
        <v>85</v>
      </c>
      <c r="Q806">
        <v>346</v>
      </c>
      <c r="R806">
        <v>749</v>
      </c>
      <c r="S806" t="str">
        <v>No</v>
      </c>
      <c r="T806">
        <v>0.05</v>
      </c>
      <c r="U806">
        <v>2023</v>
      </c>
      <c r="V806">
        <v>45778</v>
      </c>
      <c r="W806">
        <v>18.8</v>
      </c>
      <c r="X806" t="str">
        <v>Live</v>
      </c>
      <c r="Y806" t="str">
        <v>Other</v>
      </c>
      <c r="Z806" t="str">
        <v>Public</v>
      </c>
      <c r="AA806" t="str">
        <v>Yes</v>
      </c>
      <c r="AB806" t="str">
        <v>Yes</v>
      </c>
      <c r="AC806">
        <v>3</v>
      </c>
      <c r="AD806" t="str">
        <v>Business</v>
      </c>
      <c r="AE806">
        <v>1.1200000000000001</v>
      </c>
      <c r="AF806" s="14">
        <f t="shared" si="12"/>
        <v>0.46194926568758343</v>
      </c>
    </row>
    <row r="807" spans="1:32" x14ac:dyDescent="0.2">
      <c r="A807">
        <v>806</v>
      </c>
      <c r="B807" cm="1">
        <f t="array" ref="B807:AE807">_xlfn.XLOOKUP($A807,Instagram_Usage_Lifestyle_Mini_!$A:$A,Instagram_Usage_Lifestyle_Mini_!$AC:$BF)</f>
        <v>127</v>
      </c>
      <c r="C807">
        <v>5</v>
      </c>
      <c r="D807">
        <v>2</v>
      </c>
      <c r="E807">
        <v>106</v>
      </c>
      <c r="F807">
        <v>76</v>
      </c>
      <c r="G807">
        <v>92</v>
      </c>
      <c r="H807">
        <v>20</v>
      </c>
      <c r="I807">
        <v>30</v>
      </c>
      <c r="J807">
        <v>22</v>
      </c>
      <c r="K807">
        <v>9</v>
      </c>
      <c r="L807">
        <v>1</v>
      </c>
      <c r="M807">
        <v>67</v>
      </c>
      <c r="N807">
        <v>16</v>
      </c>
      <c r="O807">
        <v>28</v>
      </c>
      <c r="P807">
        <v>31</v>
      </c>
      <c r="Q807">
        <v>884</v>
      </c>
      <c r="R807">
        <v>392</v>
      </c>
      <c r="S807" t="str">
        <v>No</v>
      </c>
      <c r="T807">
        <v>0.02</v>
      </c>
      <c r="U807">
        <v>2013</v>
      </c>
      <c r="V807">
        <v>45932</v>
      </c>
      <c r="W807">
        <v>25.4</v>
      </c>
      <c r="X807" t="str">
        <v>Mixed</v>
      </c>
      <c r="Y807" t="str">
        <v>Travel</v>
      </c>
      <c r="Z807" t="str">
        <v>Friends_only</v>
      </c>
      <c r="AA807" t="str">
        <v>No</v>
      </c>
      <c r="AB807" t="str">
        <v>No</v>
      </c>
      <c r="AC807">
        <v>5</v>
      </c>
      <c r="AD807" t="str">
        <v>Business</v>
      </c>
      <c r="AE807">
        <v>1.08</v>
      </c>
      <c r="AF807" s="14">
        <f t="shared" si="12"/>
        <v>2.2551020408163267</v>
      </c>
    </row>
    <row r="808" spans="1:32" x14ac:dyDescent="0.2">
      <c r="A808">
        <v>807</v>
      </c>
      <c r="B808" cm="1">
        <f t="array" ref="B808:AE808">_xlfn.XLOOKUP($A808,Instagram_Usage_Lifestyle_Mini_!$A:$A,Instagram_Usage_Lifestyle_Mini_!$AC:$BF)</f>
        <v>48</v>
      </c>
      <c r="C808">
        <v>2</v>
      </c>
      <c r="D808">
        <v>2</v>
      </c>
      <c r="E808">
        <v>163</v>
      </c>
      <c r="F808">
        <v>57</v>
      </c>
      <c r="G808">
        <v>54</v>
      </c>
      <c r="H808">
        <v>16</v>
      </c>
      <c r="I808">
        <v>12</v>
      </c>
      <c r="J808">
        <v>12</v>
      </c>
      <c r="K808">
        <v>4</v>
      </c>
      <c r="L808">
        <v>4</v>
      </c>
      <c r="M808">
        <v>26</v>
      </c>
      <c r="N808">
        <v>13</v>
      </c>
      <c r="O808">
        <v>12</v>
      </c>
      <c r="P808">
        <v>10</v>
      </c>
      <c r="Q808">
        <v>7186</v>
      </c>
      <c r="R808">
        <v>10000</v>
      </c>
      <c r="S808" t="str">
        <v>Yes</v>
      </c>
      <c r="T808">
        <v>0.51</v>
      </c>
      <c r="U808">
        <v>2018</v>
      </c>
      <c r="V808">
        <v>45683</v>
      </c>
      <c r="W808">
        <v>24</v>
      </c>
      <c r="X808" t="str">
        <v>Mixed</v>
      </c>
      <c r="Y808" t="str">
        <v>Music</v>
      </c>
      <c r="Z808" t="str">
        <v>Private</v>
      </c>
      <c r="AA808" t="str">
        <v>No</v>
      </c>
      <c r="AB808" t="str">
        <v>Yes</v>
      </c>
      <c r="AC808">
        <v>1</v>
      </c>
      <c r="AD808" t="str">
        <v>Free</v>
      </c>
      <c r="AE808">
        <v>1.88</v>
      </c>
      <c r="AF808" s="14">
        <f t="shared" si="12"/>
        <v>0.71860000000000002</v>
      </c>
    </row>
    <row r="809" spans="1:32" x14ac:dyDescent="0.2">
      <c r="A809">
        <v>808</v>
      </c>
      <c r="B809" cm="1">
        <f t="array" ref="B809:AE809">_xlfn.XLOOKUP($A809,Instagram_Usage_Lifestyle_Mini_!$A:$A,Instagram_Usage_Lifestyle_Mini_!$AC:$BF)</f>
        <v>78</v>
      </c>
      <c r="C809">
        <v>2</v>
      </c>
      <c r="D809">
        <v>1</v>
      </c>
      <c r="E809">
        <v>81</v>
      </c>
      <c r="F809">
        <v>53</v>
      </c>
      <c r="G809">
        <v>70</v>
      </c>
      <c r="H809">
        <v>13</v>
      </c>
      <c r="I809">
        <v>10</v>
      </c>
      <c r="J809">
        <v>24</v>
      </c>
      <c r="K809">
        <v>14</v>
      </c>
      <c r="L809">
        <v>5</v>
      </c>
      <c r="M809">
        <v>37</v>
      </c>
      <c r="N809">
        <v>13</v>
      </c>
      <c r="O809">
        <v>15</v>
      </c>
      <c r="P809">
        <v>18</v>
      </c>
      <c r="Q809">
        <v>259</v>
      </c>
      <c r="R809">
        <v>594</v>
      </c>
      <c r="S809" t="str">
        <v>No</v>
      </c>
      <c r="T809">
        <v>0.8</v>
      </c>
      <c r="U809">
        <v>2016</v>
      </c>
      <c r="V809">
        <v>45811</v>
      </c>
      <c r="W809">
        <v>39</v>
      </c>
      <c r="X809" t="str">
        <v>Reels</v>
      </c>
      <c r="Y809" t="str">
        <v>Fashion</v>
      </c>
      <c r="Z809" t="str">
        <v>Private</v>
      </c>
      <c r="AA809" t="str">
        <v>No</v>
      </c>
      <c r="AB809" t="str">
        <v>Yes</v>
      </c>
      <c r="AC809">
        <v>3</v>
      </c>
      <c r="AD809" t="str">
        <v>Free</v>
      </c>
      <c r="AE809">
        <v>1.25</v>
      </c>
      <c r="AF809" s="14">
        <f t="shared" si="12"/>
        <v>0.43602693602693604</v>
      </c>
    </row>
    <row r="810" spans="1:32" x14ac:dyDescent="0.2">
      <c r="A810">
        <v>809</v>
      </c>
      <c r="B810" cm="1">
        <f t="array" ref="B810:AE810">_xlfn.XLOOKUP($A810,Instagram_Usage_Lifestyle_Mini_!$A:$A,Instagram_Usage_Lifestyle_Mini_!$AC:$BF)</f>
        <v>139</v>
      </c>
      <c r="C810">
        <v>5</v>
      </c>
      <c r="D810">
        <v>2</v>
      </c>
      <c r="E810">
        <v>132</v>
      </c>
      <c r="F810">
        <v>84</v>
      </c>
      <c r="G810">
        <v>98</v>
      </c>
      <c r="H810">
        <v>28</v>
      </c>
      <c r="I810">
        <v>29</v>
      </c>
      <c r="J810">
        <v>33</v>
      </c>
      <c r="K810">
        <v>13</v>
      </c>
      <c r="L810">
        <v>4</v>
      </c>
      <c r="M810">
        <v>74</v>
      </c>
      <c r="N810">
        <v>27</v>
      </c>
      <c r="O810">
        <v>16</v>
      </c>
      <c r="P810">
        <v>32</v>
      </c>
      <c r="Q810">
        <v>475</v>
      </c>
      <c r="R810">
        <v>1055</v>
      </c>
      <c r="S810" t="str">
        <v>No</v>
      </c>
      <c r="T810">
        <v>0.37</v>
      </c>
      <c r="U810">
        <v>2016</v>
      </c>
      <c r="V810">
        <v>45837</v>
      </c>
      <c r="W810">
        <v>27.8</v>
      </c>
      <c r="X810" t="str">
        <v>Videos</v>
      </c>
      <c r="Y810" t="str">
        <v>Fashion</v>
      </c>
      <c r="Z810" t="str">
        <v>Private</v>
      </c>
      <c r="AA810" t="str">
        <v>No</v>
      </c>
      <c r="AB810" t="str">
        <v>No</v>
      </c>
      <c r="AC810">
        <v>3</v>
      </c>
      <c r="AD810" t="str">
        <v>Premium</v>
      </c>
      <c r="AE810">
        <v>1.1399999999999999</v>
      </c>
      <c r="AF810" s="14">
        <f t="shared" si="12"/>
        <v>0.45023696682464454</v>
      </c>
    </row>
    <row r="811" spans="1:32" x14ac:dyDescent="0.2">
      <c r="A811">
        <v>810</v>
      </c>
      <c r="B811" cm="1">
        <f t="array" ref="B811:AE811">_xlfn.XLOOKUP($A811,Instagram_Usage_Lifestyle_Mini_!$A:$A,Instagram_Usage_Lifestyle_Mini_!$AC:$BF)</f>
        <v>280</v>
      </c>
      <c r="C811">
        <v>31</v>
      </c>
      <c r="D811">
        <v>3</v>
      </c>
      <c r="E811">
        <v>216</v>
      </c>
      <c r="F811">
        <v>127</v>
      </c>
      <c r="G811">
        <v>181</v>
      </c>
      <c r="H811">
        <v>42</v>
      </c>
      <c r="I811">
        <v>41</v>
      </c>
      <c r="J811">
        <v>39</v>
      </c>
      <c r="K811">
        <v>30</v>
      </c>
      <c r="L811">
        <v>4</v>
      </c>
      <c r="M811">
        <v>114</v>
      </c>
      <c r="N811">
        <v>51</v>
      </c>
      <c r="O811">
        <v>30</v>
      </c>
      <c r="P811">
        <v>57</v>
      </c>
      <c r="Q811">
        <v>1385</v>
      </c>
      <c r="R811">
        <v>2006</v>
      </c>
      <c r="S811" t="str">
        <v>No</v>
      </c>
      <c r="T811">
        <v>0.19</v>
      </c>
      <c r="U811">
        <v>2014</v>
      </c>
      <c r="V811">
        <v>45690</v>
      </c>
      <c r="W811">
        <v>9</v>
      </c>
      <c r="X811" t="str">
        <v>Stories</v>
      </c>
      <c r="Y811" t="str">
        <v>Music</v>
      </c>
      <c r="Z811" t="str">
        <v>Friends_only</v>
      </c>
      <c r="AA811" t="str">
        <v>Yes</v>
      </c>
      <c r="AB811" t="str">
        <v>Yes</v>
      </c>
      <c r="AC811">
        <v>4</v>
      </c>
      <c r="AD811" t="str">
        <v>Free</v>
      </c>
      <c r="AE811">
        <v>0.98</v>
      </c>
      <c r="AF811" s="14">
        <f t="shared" si="12"/>
        <v>0.69042871385842475</v>
      </c>
    </row>
    <row r="812" spans="1:32" x14ac:dyDescent="0.2">
      <c r="A812">
        <v>811</v>
      </c>
      <c r="B812" cm="1">
        <f t="array" ref="B812:AE812">_xlfn.XLOOKUP($A812,Instagram_Usage_Lifestyle_Mini_!$A:$A,Instagram_Usage_Lifestyle_Mini_!$AC:$BF)</f>
        <v>233</v>
      </c>
      <c r="C812">
        <v>8</v>
      </c>
      <c r="D812">
        <v>10</v>
      </c>
      <c r="E812">
        <v>275</v>
      </c>
      <c r="F812">
        <v>113</v>
      </c>
      <c r="G812">
        <v>130</v>
      </c>
      <c r="H812">
        <v>41</v>
      </c>
      <c r="I812">
        <v>33</v>
      </c>
      <c r="J812">
        <v>35</v>
      </c>
      <c r="K812">
        <v>23</v>
      </c>
      <c r="L812">
        <v>3</v>
      </c>
      <c r="M812">
        <v>128</v>
      </c>
      <c r="N812">
        <v>53</v>
      </c>
      <c r="O812">
        <v>30</v>
      </c>
      <c r="P812">
        <v>50</v>
      </c>
      <c r="Q812">
        <v>637</v>
      </c>
      <c r="R812">
        <v>1263</v>
      </c>
      <c r="S812" t="str">
        <v>No</v>
      </c>
      <c r="T812">
        <v>0.51</v>
      </c>
      <c r="U812">
        <v>2017</v>
      </c>
      <c r="V812">
        <v>45775</v>
      </c>
      <c r="W812">
        <v>29.1</v>
      </c>
      <c r="X812" t="str">
        <v>Videos</v>
      </c>
      <c r="Y812" t="str">
        <v>Fashion</v>
      </c>
      <c r="Z812" t="str">
        <v>Private</v>
      </c>
      <c r="AA812" t="str">
        <v>Yes</v>
      </c>
      <c r="AB812" t="str">
        <v>No</v>
      </c>
      <c r="AC812">
        <v>2</v>
      </c>
      <c r="AD812" t="str">
        <v>Free</v>
      </c>
      <c r="AE812">
        <v>1.03</v>
      </c>
      <c r="AF812" s="14">
        <f t="shared" si="12"/>
        <v>0.50435471100554241</v>
      </c>
    </row>
    <row r="813" spans="1:32" x14ac:dyDescent="0.2">
      <c r="A813">
        <v>812</v>
      </c>
      <c r="B813" cm="1">
        <f t="array" ref="B813:AE813">_xlfn.XLOOKUP($A813,Instagram_Usage_Lifestyle_Mini_!$A:$A,Instagram_Usage_Lifestyle_Mini_!$AC:$BF)</f>
        <v>64</v>
      </c>
      <c r="C813">
        <v>3</v>
      </c>
      <c r="D813">
        <v>1</v>
      </c>
      <c r="E813">
        <v>66</v>
      </c>
      <c r="F813">
        <v>40</v>
      </c>
      <c r="G813">
        <v>61</v>
      </c>
      <c r="H813">
        <v>10</v>
      </c>
      <c r="I813">
        <v>24</v>
      </c>
      <c r="J813">
        <v>22</v>
      </c>
      <c r="K813">
        <v>11</v>
      </c>
      <c r="L813">
        <v>2</v>
      </c>
      <c r="M813">
        <v>26</v>
      </c>
      <c r="N813">
        <v>17</v>
      </c>
      <c r="O813">
        <v>14</v>
      </c>
      <c r="P813">
        <v>20</v>
      </c>
      <c r="Q813">
        <v>316</v>
      </c>
      <c r="R813">
        <v>257</v>
      </c>
      <c r="S813" t="str">
        <v>Yes</v>
      </c>
      <c r="T813">
        <v>0.87</v>
      </c>
      <c r="U813">
        <v>2013</v>
      </c>
      <c r="V813">
        <v>45811</v>
      </c>
      <c r="W813">
        <v>21.3</v>
      </c>
      <c r="X813" t="str">
        <v>Videos</v>
      </c>
      <c r="Y813" t="str">
        <v>Other</v>
      </c>
      <c r="Z813" t="str">
        <v>Friends_only</v>
      </c>
      <c r="AA813" t="str">
        <v>Yes</v>
      </c>
      <c r="AB813" t="str">
        <v>No</v>
      </c>
      <c r="AC813">
        <v>2</v>
      </c>
      <c r="AD813" t="str">
        <v>Free</v>
      </c>
      <c r="AE813">
        <v>1.29</v>
      </c>
      <c r="AF813" s="14">
        <f t="shared" si="12"/>
        <v>1.2295719844357977</v>
      </c>
    </row>
    <row r="814" spans="1:32" x14ac:dyDescent="0.2">
      <c r="A814">
        <v>813</v>
      </c>
      <c r="B814" cm="1">
        <f t="array" ref="B814:AE814">_xlfn.XLOOKUP($A814,Instagram_Usage_Lifestyle_Mini_!$A:$A,Instagram_Usage_Lifestyle_Mini_!$AC:$BF)</f>
        <v>5</v>
      </c>
      <c r="C814">
        <v>1</v>
      </c>
      <c r="D814">
        <v>3</v>
      </c>
      <c r="E814">
        <v>45</v>
      </c>
      <c r="F814">
        <v>24</v>
      </c>
      <c r="G814">
        <v>24</v>
      </c>
      <c r="H814">
        <v>7</v>
      </c>
      <c r="I814">
        <v>8</v>
      </c>
      <c r="J814">
        <v>6</v>
      </c>
      <c r="K814">
        <v>6</v>
      </c>
      <c r="L814">
        <v>1</v>
      </c>
      <c r="M814">
        <v>2</v>
      </c>
      <c r="N814">
        <v>1</v>
      </c>
      <c r="O814">
        <v>1</v>
      </c>
      <c r="P814">
        <v>2</v>
      </c>
      <c r="Q814">
        <v>289</v>
      </c>
      <c r="R814">
        <v>140</v>
      </c>
      <c r="S814" t="str">
        <v>No</v>
      </c>
      <c r="T814">
        <v>0.37</v>
      </c>
      <c r="U814">
        <v>2024</v>
      </c>
      <c r="V814">
        <v>46025</v>
      </c>
      <c r="W814">
        <v>5</v>
      </c>
      <c r="X814" t="str">
        <v>Videos</v>
      </c>
      <c r="Y814" t="str">
        <v>Art</v>
      </c>
      <c r="Z814" t="str">
        <v>Public</v>
      </c>
      <c r="AA814" t="str">
        <v>Yes</v>
      </c>
      <c r="AB814" t="str">
        <v>No</v>
      </c>
      <c r="AC814">
        <v>5</v>
      </c>
      <c r="AD814" t="str">
        <v>Free</v>
      </c>
      <c r="AE814">
        <v>7.83</v>
      </c>
      <c r="AF814" s="14">
        <f t="shared" si="12"/>
        <v>2.0642857142857145</v>
      </c>
    </row>
    <row r="815" spans="1:32" x14ac:dyDescent="0.2">
      <c r="A815">
        <v>814</v>
      </c>
      <c r="B815" cm="1">
        <f t="array" ref="B815:AE815">_xlfn.XLOOKUP($A815,Instagram_Usage_Lifestyle_Mini_!$A:$A,Instagram_Usage_Lifestyle_Mini_!$AC:$BF)</f>
        <v>117</v>
      </c>
      <c r="C815">
        <v>5</v>
      </c>
      <c r="D815">
        <v>11</v>
      </c>
      <c r="E815">
        <v>183</v>
      </c>
      <c r="F815">
        <v>71</v>
      </c>
      <c r="G815">
        <v>77</v>
      </c>
      <c r="H815">
        <v>24</v>
      </c>
      <c r="I815">
        <v>19</v>
      </c>
      <c r="J815">
        <v>18</v>
      </c>
      <c r="K815">
        <v>15</v>
      </c>
      <c r="L815">
        <v>1</v>
      </c>
      <c r="M815">
        <v>62</v>
      </c>
      <c r="N815">
        <v>14</v>
      </c>
      <c r="O815">
        <v>12</v>
      </c>
      <c r="P815">
        <v>30</v>
      </c>
      <c r="Q815">
        <v>2573</v>
      </c>
      <c r="R815">
        <v>2283</v>
      </c>
      <c r="S815" t="str">
        <v>No</v>
      </c>
      <c r="T815">
        <v>0.35</v>
      </c>
      <c r="U815">
        <v>2018</v>
      </c>
      <c r="V815">
        <v>45846</v>
      </c>
      <c r="W815">
        <v>23.4</v>
      </c>
      <c r="X815" t="str">
        <v>Videos</v>
      </c>
      <c r="Y815" t="str">
        <v>Fashion</v>
      </c>
      <c r="Z815" t="str">
        <v>Friends_only</v>
      </c>
      <c r="AA815" t="str">
        <v>Yes</v>
      </c>
      <c r="AB815" t="str">
        <v>No</v>
      </c>
      <c r="AC815">
        <v>3</v>
      </c>
      <c r="AD815" t="str">
        <v>Free</v>
      </c>
      <c r="AE815">
        <v>1.34</v>
      </c>
      <c r="AF815" s="14">
        <f t="shared" si="12"/>
        <v>1.1270258431887867</v>
      </c>
    </row>
    <row r="816" spans="1:32" x14ac:dyDescent="0.2">
      <c r="A816">
        <v>815</v>
      </c>
      <c r="B816" cm="1">
        <f t="array" ref="B816:AE816">_xlfn.XLOOKUP($A816,Instagram_Usage_Lifestyle_Mini_!$A:$A,Instagram_Usage_Lifestyle_Mini_!$AC:$BF)</f>
        <v>190</v>
      </c>
      <c r="C816">
        <v>14</v>
      </c>
      <c r="D816">
        <v>4</v>
      </c>
      <c r="E816">
        <v>148</v>
      </c>
      <c r="F816">
        <v>100</v>
      </c>
      <c r="G816">
        <v>117</v>
      </c>
      <c r="H816">
        <v>30</v>
      </c>
      <c r="I816">
        <v>35</v>
      </c>
      <c r="J816">
        <v>37</v>
      </c>
      <c r="K816">
        <v>19</v>
      </c>
      <c r="L816">
        <v>4</v>
      </c>
      <c r="M816">
        <v>106</v>
      </c>
      <c r="N816">
        <v>34</v>
      </c>
      <c r="O816">
        <v>45</v>
      </c>
      <c r="P816">
        <v>62</v>
      </c>
      <c r="Q816">
        <v>3963</v>
      </c>
      <c r="R816">
        <v>2132</v>
      </c>
      <c r="S816" t="str">
        <v>No</v>
      </c>
      <c r="T816">
        <v>0.9</v>
      </c>
      <c r="U816">
        <v>2018</v>
      </c>
      <c r="V816">
        <v>45855</v>
      </c>
      <c r="W816">
        <v>13.6</v>
      </c>
      <c r="X816" t="str">
        <v>Photos</v>
      </c>
      <c r="Y816" t="str">
        <v>Fashion</v>
      </c>
      <c r="Z816" t="str">
        <v>Friends_only</v>
      </c>
      <c r="AA816" t="str">
        <v>Yes</v>
      </c>
      <c r="AB816" t="str">
        <v>No</v>
      </c>
      <c r="AC816">
        <v>1</v>
      </c>
      <c r="AD816" t="str">
        <v>Free</v>
      </c>
      <c r="AE816">
        <v>0.99</v>
      </c>
      <c r="AF816" s="14">
        <f t="shared" si="12"/>
        <v>1.8588180112570356</v>
      </c>
    </row>
    <row r="817" spans="1:32" x14ac:dyDescent="0.2">
      <c r="A817">
        <v>816</v>
      </c>
      <c r="B817" cm="1">
        <f t="array" ref="B817:AE817">_xlfn.XLOOKUP($A817,Instagram_Usage_Lifestyle_Mini_!$A:$A,Instagram_Usage_Lifestyle_Mini_!$AC:$BF)</f>
        <v>336</v>
      </c>
      <c r="C817">
        <v>13</v>
      </c>
      <c r="D817">
        <v>5</v>
      </c>
      <c r="E817">
        <v>231</v>
      </c>
      <c r="F817">
        <v>132</v>
      </c>
      <c r="G817">
        <v>194</v>
      </c>
      <c r="H817">
        <v>56</v>
      </c>
      <c r="I817">
        <v>60</v>
      </c>
      <c r="J817">
        <v>43</v>
      </c>
      <c r="K817">
        <v>43</v>
      </c>
      <c r="L817">
        <v>11</v>
      </c>
      <c r="M817">
        <v>200</v>
      </c>
      <c r="N817">
        <v>81</v>
      </c>
      <c r="O817">
        <v>52</v>
      </c>
      <c r="P817">
        <v>112</v>
      </c>
      <c r="Q817">
        <v>7996</v>
      </c>
      <c r="R817">
        <v>10000</v>
      </c>
      <c r="S817" t="str">
        <v>No</v>
      </c>
      <c r="T817">
        <v>0.4</v>
      </c>
      <c r="U817">
        <v>2012</v>
      </c>
      <c r="V817">
        <v>45691</v>
      </c>
      <c r="W817">
        <v>25.8</v>
      </c>
      <c r="X817" t="str">
        <v>Photos</v>
      </c>
      <c r="Y817" t="str">
        <v>Food</v>
      </c>
      <c r="Z817" t="str">
        <v>Private</v>
      </c>
      <c r="AA817" t="str">
        <v>No</v>
      </c>
      <c r="AB817" t="str">
        <v>Yes</v>
      </c>
      <c r="AC817">
        <v>1</v>
      </c>
      <c r="AD817" t="str">
        <v>Free</v>
      </c>
      <c r="AE817">
        <v>0.95</v>
      </c>
      <c r="AF817" s="14">
        <f t="shared" si="12"/>
        <v>0.79959999999999998</v>
      </c>
    </row>
    <row r="818" spans="1:32" x14ac:dyDescent="0.2">
      <c r="A818">
        <v>817</v>
      </c>
      <c r="B818" cm="1">
        <f t="array" ref="B818:AE818">_xlfn.XLOOKUP($A818,Instagram_Usage_Lifestyle_Mini_!$A:$A,Instagram_Usage_Lifestyle_Mini_!$AC:$BF)</f>
        <v>159</v>
      </c>
      <c r="C818">
        <v>9</v>
      </c>
      <c r="D818">
        <v>7</v>
      </c>
      <c r="E818">
        <v>207</v>
      </c>
      <c r="F818">
        <v>90</v>
      </c>
      <c r="G818">
        <v>106</v>
      </c>
      <c r="H818">
        <v>35</v>
      </c>
      <c r="I818">
        <v>30</v>
      </c>
      <c r="J818">
        <v>29</v>
      </c>
      <c r="K818">
        <v>20</v>
      </c>
      <c r="L818">
        <v>7</v>
      </c>
      <c r="M818">
        <v>82</v>
      </c>
      <c r="N818">
        <v>30</v>
      </c>
      <c r="O818">
        <v>30</v>
      </c>
      <c r="P818">
        <v>42</v>
      </c>
      <c r="Q818">
        <v>292</v>
      </c>
      <c r="R818">
        <v>626</v>
      </c>
      <c r="S818" t="str">
        <v>No</v>
      </c>
      <c r="T818">
        <v>0.6</v>
      </c>
      <c r="U818">
        <v>2012</v>
      </c>
      <c r="V818">
        <v>45777</v>
      </c>
      <c r="W818">
        <v>17.7</v>
      </c>
      <c r="X818" t="str">
        <v>Stories</v>
      </c>
      <c r="Y818" t="str">
        <v>Travel</v>
      </c>
      <c r="Z818" t="str">
        <v>Private</v>
      </c>
      <c r="AA818" t="str">
        <v>Yes</v>
      </c>
      <c r="AB818" t="str">
        <v>Yes</v>
      </c>
      <c r="AC818">
        <v>0</v>
      </c>
      <c r="AD818" t="str">
        <v>Free</v>
      </c>
      <c r="AE818">
        <v>1.23</v>
      </c>
      <c r="AF818" s="14">
        <f t="shared" si="12"/>
        <v>0.46645367412140576</v>
      </c>
    </row>
    <row r="819" spans="1:32" x14ac:dyDescent="0.2">
      <c r="A819">
        <v>818</v>
      </c>
      <c r="B819" cm="1">
        <f t="array" ref="B819:AE819">_xlfn.XLOOKUP($A819,Instagram_Usage_Lifestyle_Mini_!$A:$A,Instagram_Usage_Lifestyle_Mini_!$AC:$BF)</f>
        <v>71</v>
      </c>
      <c r="C819">
        <v>3</v>
      </c>
      <c r="D819">
        <v>0</v>
      </c>
      <c r="E819">
        <v>65</v>
      </c>
      <c r="F819">
        <v>44</v>
      </c>
      <c r="G819">
        <v>66</v>
      </c>
      <c r="H819">
        <v>26</v>
      </c>
      <c r="I819">
        <v>23</v>
      </c>
      <c r="J819">
        <v>16</v>
      </c>
      <c r="K819">
        <v>14</v>
      </c>
      <c r="L819">
        <v>1</v>
      </c>
      <c r="M819">
        <v>32</v>
      </c>
      <c r="N819">
        <v>14</v>
      </c>
      <c r="O819">
        <v>11</v>
      </c>
      <c r="P819">
        <v>20</v>
      </c>
      <c r="Q819">
        <v>1543</v>
      </c>
      <c r="R819">
        <v>2481</v>
      </c>
      <c r="S819" t="str">
        <v>Yes</v>
      </c>
      <c r="T819">
        <v>0.95</v>
      </c>
      <c r="U819">
        <v>2023</v>
      </c>
      <c r="V819">
        <v>45717</v>
      </c>
      <c r="W819">
        <v>23.7</v>
      </c>
      <c r="X819" t="str">
        <v>Videos</v>
      </c>
      <c r="Y819" t="str">
        <v>Travel</v>
      </c>
      <c r="Z819" t="str">
        <v>Friends_only</v>
      </c>
      <c r="AA819" t="str">
        <v>Yes</v>
      </c>
      <c r="AB819" t="str">
        <v>No</v>
      </c>
      <c r="AC819">
        <v>2</v>
      </c>
      <c r="AD819" t="str">
        <v>Free</v>
      </c>
      <c r="AE819">
        <v>1.64</v>
      </c>
      <c r="AF819" s="14">
        <f t="shared" si="12"/>
        <v>0.62192664248286977</v>
      </c>
    </row>
    <row r="820" spans="1:32" x14ac:dyDescent="0.2">
      <c r="A820">
        <v>819</v>
      </c>
      <c r="B820" cm="1">
        <f t="array" ref="B820:AE820">_xlfn.XLOOKUP($A820,Instagram_Usage_Lifestyle_Mini_!$A:$A,Instagram_Usage_Lifestyle_Mini_!$AC:$BF)</f>
        <v>301</v>
      </c>
      <c r="C820">
        <v>18</v>
      </c>
      <c r="D820">
        <v>9</v>
      </c>
      <c r="E820">
        <v>229</v>
      </c>
      <c r="F820">
        <v>150</v>
      </c>
      <c r="G820">
        <v>187</v>
      </c>
      <c r="H820">
        <v>50</v>
      </c>
      <c r="I820">
        <v>30</v>
      </c>
      <c r="J820">
        <v>46</v>
      </c>
      <c r="K820">
        <v>22</v>
      </c>
      <c r="L820">
        <v>12</v>
      </c>
      <c r="M820">
        <v>178</v>
      </c>
      <c r="N820">
        <v>48</v>
      </c>
      <c r="O820">
        <v>51</v>
      </c>
      <c r="P820">
        <v>80</v>
      </c>
      <c r="Q820">
        <v>1581</v>
      </c>
      <c r="R820">
        <v>758</v>
      </c>
      <c r="S820" t="str">
        <v>No</v>
      </c>
      <c r="T820">
        <v>0.31</v>
      </c>
      <c r="U820">
        <v>2017</v>
      </c>
      <c r="V820">
        <v>45974</v>
      </c>
      <c r="W820">
        <v>16.7</v>
      </c>
      <c r="X820" t="str">
        <v>Live</v>
      </c>
      <c r="Y820" t="str">
        <v>Other</v>
      </c>
      <c r="Z820" t="str">
        <v>Friends_only</v>
      </c>
      <c r="AA820" t="str">
        <v>Yes</v>
      </c>
      <c r="AB820" t="str">
        <v>No</v>
      </c>
      <c r="AC820">
        <v>3</v>
      </c>
      <c r="AD820" t="str">
        <v>Free</v>
      </c>
      <c r="AE820">
        <v>1.04</v>
      </c>
      <c r="AF820" s="14">
        <f t="shared" si="12"/>
        <v>2.0857519788918206</v>
      </c>
    </row>
    <row r="821" spans="1:32" x14ac:dyDescent="0.2">
      <c r="A821">
        <v>820</v>
      </c>
      <c r="B821" cm="1">
        <f t="array" ref="B821:AE821">_xlfn.XLOOKUP($A821,Instagram_Usage_Lifestyle_Mini_!$A:$A,Instagram_Usage_Lifestyle_Mini_!$AC:$BF)</f>
        <v>247</v>
      </c>
      <c r="C821">
        <v>22</v>
      </c>
      <c r="D821">
        <v>13</v>
      </c>
      <c r="E821">
        <v>265</v>
      </c>
      <c r="F821">
        <v>114</v>
      </c>
      <c r="G821">
        <v>141</v>
      </c>
      <c r="H821">
        <v>32</v>
      </c>
      <c r="I821">
        <v>33</v>
      </c>
      <c r="J821">
        <v>36</v>
      </c>
      <c r="K821">
        <v>29</v>
      </c>
      <c r="L821">
        <v>9</v>
      </c>
      <c r="M821">
        <v>132</v>
      </c>
      <c r="N821">
        <v>58</v>
      </c>
      <c r="O821">
        <v>36</v>
      </c>
      <c r="P821">
        <v>86</v>
      </c>
      <c r="Q821">
        <v>2333</v>
      </c>
      <c r="R821">
        <v>5285</v>
      </c>
      <c r="S821" t="str">
        <v>No</v>
      </c>
      <c r="T821">
        <v>0.39</v>
      </c>
      <c r="U821">
        <v>2018</v>
      </c>
      <c r="V821">
        <v>45919</v>
      </c>
      <c r="W821">
        <v>11.2</v>
      </c>
      <c r="X821" t="str">
        <v>Photos</v>
      </c>
      <c r="Y821" t="str">
        <v>Art</v>
      </c>
      <c r="Z821" t="str">
        <v>Public</v>
      </c>
      <c r="AA821" t="str">
        <v>Yes</v>
      </c>
      <c r="AB821" t="str">
        <v>No</v>
      </c>
      <c r="AC821">
        <v>1</v>
      </c>
      <c r="AD821" t="str">
        <v>Premium</v>
      </c>
      <c r="AE821">
        <v>0.98</v>
      </c>
      <c r="AF821" s="14">
        <f t="shared" si="12"/>
        <v>0.44143803216650901</v>
      </c>
    </row>
    <row r="822" spans="1:32" x14ac:dyDescent="0.2">
      <c r="A822">
        <v>821</v>
      </c>
      <c r="B822" cm="1">
        <f t="array" ref="B822:AE822">_xlfn.XLOOKUP($A822,Instagram_Usage_Lifestyle_Mini_!$A:$A,Instagram_Usage_Lifestyle_Mini_!$AC:$BF)</f>
        <v>439</v>
      </c>
      <c r="C822">
        <v>32</v>
      </c>
      <c r="D822">
        <v>9</v>
      </c>
      <c r="E822">
        <v>300</v>
      </c>
      <c r="F822">
        <v>150</v>
      </c>
      <c r="G822">
        <v>269</v>
      </c>
      <c r="H822">
        <v>67</v>
      </c>
      <c r="I822">
        <v>61</v>
      </c>
      <c r="J822">
        <v>48</v>
      </c>
      <c r="K822">
        <v>47</v>
      </c>
      <c r="L822">
        <v>10</v>
      </c>
      <c r="M822">
        <v>196</v>
      </c>
      <c r="N822">
        <v>57</v>
      </c>
      <c r="O822">
        <v>99</v>
      </c>
      <c r="P822">
        <v>95</v>
      </c>
      <c r="Q822">
        <v>376</v>
      </c>
      <c r="R822">
        <v>418</v>
      </c>
      <c r="S822" t="str">
        <v>No</v>
      </c>
      <c r="T822">
        <v>0.11</v>
      </c>
      <c r="U822">
        <v>2015</v>
      </c>
      <c r="V822">
        <v>45845</v>
      </c>
      <c r="W822">
        <v>13.7</v>
      </c>
      <c r="X822" t="str">
        <v>Reels</v>
      </c>
      <c r="Y822" t="str">
        <v>Other</v>
      </c>
      <c r="Z822" t="str">
        <v>Friends_only</v>
      </c>
      <c r="AA822" t="str">
        <v>No</v>
      </c>
      <c r="AB822" t="str">
        <v>No</v>
      </c>
      <c r="AC822">
        <v>1</v>
      </c>
      <c r="AD822" t="str">
        <v>Free</v>
      </c>
      <c r="AE822">
        <v>0.98</v>
      </c>
      <c r="AF822" s="14">
        <f t="shared" si="12"/>
        <v>0.8995215311004785</v>
      </c>
    </row>
    <row r="823" spans="1:32" x14ac:dyDescent="0.2">
      <c r="A823">
        <v>822</v>
      </c>
      <c r="B823" cm="1">
        <f t="array" ref="B823:AE823">_xlfn.XLOOKUP($A823,Instagram_Usage_Lifestyle_Mini_!$A:$A,Instagram_Usage_Lifestyle_Mini_!$AC:$BF)</f>
        <v>84</v>
      </c>
      <c r="C823">
        <v>2</v>
      </c>
      <c r="D823">
        <v>3</v>
      </c>
      <c r="E823">
        <v>84</v>
      </c>
      <c r="F823">
        <v>65</v>
      </c>
      <c r="G823">
        <v>73</v>
      </c>
      <c r="H823">
        <v>17</v>
      </c>
      <c r="I823">
        <v>11</v>
      </c>
      <c r="J823">
        <v>17</v>
      </c>
      <c r="K823">
        <v>17</v>
      </c>
      <c r="L823">
        <v>3</v>
      </c>
      <c r="M823">
        <v>42</v>
      </c>
      <c r="N823">
        <v>20</v>
      </c>
      <c r="O823">
        <v>20</v>
      </c>
      <c r="P823">
        <v>30</v>
      </c>
      <c r="Q823">
        <v>761</v>
      </c>
      <c r="R823">
        <v>1485</v>
      </c>
      <c r="S823" t="str">
        <v>No</v>
      </c>
      <c r="T823">
        <v>0.44</v>
      </c>
      <c r="U823">
        <v>2018</v>
      </c>
      <c r="V823">
        <v>45737</v>
      </c>
      <c r="W823">
        <v>42</v>
      </c>
      <c r="X823" t="str">
        <v>Reels</v>
      </c>
      <c r="Y823" t="str">
        <v>Other</v>
      </c>
      <c r="Z823" t="str">
        <v>Public</v>
      </c>
      <c r="AA823" t="str">
        <v>Yes</v>
      </c>
      <c r="AB823" t="str">
        <v>No</v>
      </c>
      <c r="AC823">
        <v>2</v>
      </c>
      <c r="AD823" t="str">
        <v>Free</v>
      </c>
      <c r="AE823">
        <v>1.36</v>
      </c>
      <c r="AF823" s="14">
        <f t="shared" si="12"/>
        <v>0.5124579124579125</v>
      </c>
    </row>
    <row r="824" spans="1:32" x14ac:dyDescent="0.2">
      <c r="A824">
        <v>823</v>
      </c>
      <c r="B824" cm="1">
        <f t="array" ref="B824:AE824">_xlfn.XLOOKUP($A824,Instagram_Usage_Lifestyle_Mini_!$A:$A,Instagram_Usage_Lifestyle_Mini_!$AC:$BF)</f>
        <v>83</v>
      </c>
      <c r="C824">
        <v>2</v>
      </c>
      <c r="D824">
        <v>4</v>
      </c>
      <c r="E824">
        <v>91</v>
      </c>
      <c r="F824">
        <v>65</v>
      </c>
      <c r="G824">
        <v>64</v>
      </c>
      <c r="H824">
        <v>28</v>
      </c>
      <c r="I824">
        <v>10</v>
      </c>
      <c r="J824">
        <v>18</v>
      </c>
      <c r="K824">
        <v>5</v>
      </c>
      <c r="L824">
        <v>0</v>
      </c>
      <c r="M824">
        <v>46</v>
      </c>
      <c r="N824">
        <v>9</v>
      </c>
      <c r="O824">
        <v>15</v>
      </c>
      <c r="P824">
        <v>19</v>
      </c>
      <c r="Q824">
        <v>4628</v>
      </c>
      <c r="R824">
        <v>10000</v>
      </c>
      <c r="S824" t="str">
        <v>No</v>
      </c>
      <c r="T824">
        <v>0.66</v>
      </c>
      <c r="U824">
        <v>2010</v>
      </c>
      <c r="V824">
        <v>45743</v>
      </c>
      <c r="W824">
        <v>41.5</v>
      </c>
      <c r="X824" t="str">
        <v>Reels</v>
      </c>
      <c r="Y824" t="str">
        <v>Fitness</v>
      </c>
      <c r="Z824" t="str">
        <v>Friends_only</v>
      </c>
      <c r="AA824" t="str">
        <v>Yes</v>
      </c>
      <c r="AB824" t="str">
        <v>Yes</v>
      </c>
      <c r="AC824">
        <v>4</v>
      </c>
      <c r="AD824" t="str">
        <v>Free</v>
      </c>
      <c r="AE824">
        <v>1.57</v>
      </c>
      <c r="AF824" s="14">
        <f t="shared" si="12"/>
        <v>0.46279999999999999</v>
      </c>
    </row>
    <row r="825" spans="1:32" x14ac:dyDescent="0.2">
      <c r="A825">
        <v>824</v>
      </c>
      <c r="B825" cm="1">
        <f t="array" ref="B825:AE825">_xlfn.XLOOKUP($A825,Instagram_Usage_Lifestyle_Mini_!$A:$A,Instagram_Usage_Lifestyle_Mini_!$AC:$BF)</f>
        <v>79</v>
      </c>
      <c r="C825">
        <v>4</v>
      </c>
      <c r="D825">
        <v>2</v>
      </c>
      <c r="E825">
        <v>91</v>
      </c>
      <c r="F825">
        <v>57</v>
      </c>
      <c r="G825">
        <v>54</v>
      </c>
      <c r="H825">
        <v>17</v>
      </c>
      <c r="I825">
        <v>19</v>
      </c>
      <c r="J825">
        <v>20</v>
      </c>
      <c r="K825">
        <v>8</v>
      </c>
      <c r="L825">
        <v>6</v>
      </c>
      <c r="M825">
        <v>37</v>
      </c>
      <c r="N825">
        <v>11</v>
      </c>
      <c r="O825">
        <v>15</v>
      </c>
      <c r="P825">
        <v>21</v>
      </c>
      <c r="Q825">
        <v>658</v>
      </c>
      <c r="R825">
        <v>1543</v>
      </c>
      <c r="S825" t="str">
        <v>No</v>
      </c>
      <c r="T825">
        <v>0.74</v>
      </c>
      <c r="U825">
        <v>2017</v>
      </c>
      <c r="V825">
        <v>45716</v>
      </c>
      <c r="W825">
        <v>19.8</v>
      </c>
      <c r="X825" t="str">
        <v>Mixed</v>
      </c>
      <c r="Y825" t="str">
        <v>Travel</v>
      </c>
      <c r="Z825" t="str">
        <v>Public</v>
      </c>
      <c r="AA825" t="str">
        <v>No</v>
      </c>
      <c r="AB825" t="str">
        <v>Yes</v>
      </c>
      <c r="AC825">
        <v>1</v>
      </c>
      <c r="AD825" t="str">
        <v>Free</v>
      </c>
      <c r="AE825">
        <v>1.18</v>
      </c>
      <c r="AF825" s="14">
        <f t="shared" si="12"/>
        <v>0.42644199611147116</v>
      </c>
    </row>
    <row r="826" spans="1:32" x14ac:dyDescent="0.2">
      <c r="A826">
        <v>825</v>
      </c>
      <c r="B826" cm="1">
        <f t="array" ref="B826:AE826">_xlfn.XLOOKUP($A826,Instagram_Usage_Lifestyle_Mini_!$A:$A,Instagram_Usage_Lifestyle_Mini_!$AC:$BF)</f>
        <v>70</v>
      </c>
      <c r="C826">
        <v>4</v>
      </c>
      <c r="D826">
        <v>9</v>
      </c>
      <c r="E826">
        <v>187</v>
      </c>
      <c r="F826">
        <v>51</v>
      </c>
      <c r="G826">
        <v>65</v>
      </c>
      <c r="H826">
        <v>15</v>
      </c>
      <c r="I826">
        <v>14</v>
      </c>
      <c r="J826">
        <v>20</v>
      </c>
      <c r="K826">
        <v>15</v>
      </c>
      <c r="L826">
        <v>2</v>
      </c>
      <c r="M826">
        <v>38</v>
      </c>
      <c r="N826">
        <v>14</v>
      </c>
      <c r="O826">
        <v>8</v>
      </c>
      <c r="P826">
        <v>28</v>
      </c>
      <c r="Q826">
        <v>5639</v>
      </c>
      <c r="R826">
        <v>6776</v>
      </c>
      <c r="S826" t="str">
        <v>No</v>
      </c>
      <c r="T826">
        <v>0.03</v>
      </c>
      <c r="U826">
        <v>2022</v>
      </c>
      <c r="V826">
        <v>45859</v>
      </c>
      <c r="W826">
        <v>17.5</v>
      </c>
      <c r="X826" t="str">
        <v>Reels</v>
      </c>
      <c r="Y826" t="str">
        <v>Music</v>
      </c>
      <c r="Z826" t="str">
        <v>Private</v>
      </c>
      <c r="AA826" t="str">
        <v>No</v>
      </c>
      <c r="AB826" t="str">
        <v>No</v>
      </c>
      <c r="AC826">
        <v>1</v>
      </c>
      <c r="AD826" t="str">
        <v>Business</v>
      </c>
      <c r="AE826">
        <v>1.72</v>
      </c>
      <c r="AF826" s="14">
        <f t="shared" si="12"/>
        <v>0.83220188902007086</v>
      </c>
    </row>
    <row r="827" spans="1:32" x14ac:dyDescent="0.2">
      <c r="A827">
        <v>826</v>
      </c>
      <c r="B827" cm="1">
        <f t="array" ref="B827:AE827">_xlfn.XLOOKUP($A827,Instagram_Usage_Lifestyle_Mini_!$A:$A,Instagram_Usage_Lifestyle_Mini_!$AC:$BF)</f>
        <v>127</v>
      </c>
      <c r="C827">
        <v>4</v>
      </c>
      <c r="D827">
        <v>3</v>
      </c>
      <c r="E827">
        <v>107</v>
      </c>
      <c r="F827">
        <v>84</v>
      </c>
      <c r="G827">
        <v>92</v>
      </c>
      <c r="H827">
        <v>26</v>
      </c>
      <c r="I827">
        <v>18</v>
      </c>
      <c r="J827">
        <v>26</v>
      </c>
      <c r="K827">
        <v>14</v>
      </c>
      <c r="L827">
        <v>2</v>
      </c>
      <c r="M827">
        <v>60</v>
      </c>
      <c r="N827">
        <v>37</v>
      </c>
      <c r="O827">
        <v>24</v>
      </c>
      <c r="P827">
        <v>37</v>
      </c>
      <c r="Q827">
        <v>191</v>
      </c>
      <c r="R827">
        <v>133</v>
      </c>
      <c r="S827" t="str">
        <v>Yes</v>
      </c>
      <c r="T827">
        <v>7.0000000000000007E-2</v>
      </c>
      <c r="U827">
        <v>2021</v>
      </c>
      <c r="V827">
        <v>45806</v>
      </c>
      <c r="W827">
        <v>31.8</v>
      </c>
      <c r="X827" t="str">
        <v>Reels</v>
      </c>
      <c r="Y827" t="str">
        <v>Tech</v>
      </c>
      <c r="Z827" t="str">
        <v>Public</v>
      </c>
      <c r="AA827" t="str">
        <v>No</v>
      </c>
      <c r="AB827" t="str">
        <v>No</v>
      </c>
      <c r="AC827">
        <v>3</v>
      </c>
      <c r="AD827" t="str">
        <v>Premium</v>
      </c>
      <c r="AE827">
        <v>1.2</v>
      </c>
      <c r="AF827" s="14">
        <f t="shared" si="12"/>
        <v>1.4360902255639099</v>
      </c>
    </row>
    <row r="828" spans="1:32" x14ac:dyDescent="0.2">
      <c r="A828">
        <v>827</v>
      </c>
      <c r="B828" cm="1">
        <f t="array" ref="B828:AE828">_xlfn.XLOOKUP($A828,Instagram_Usage_Lifestyle_Mini_!$A:$A,Instagram_Usage_Lifestyle_Mini_!$AC:$BF)</f>
        <v>378</v>
      </c>
      <c r="C828">
        <v>15</v>
      </c>
      <c r="D828">
        <v>12</v>
      </c>
      <c r="E828">
        <v>300</v>
      </c>
      <c r="F828">
        <v>150</v>
      </c>
      <c r="G828">
        <v>236</v>
      </c>
      <c r="H828">
        <v>65</v>
      </c>
      <c r="I828">
        <v>50</v>
      </c>
      <c r="J828">
        <v>56</v>
      </c>
      <c r="K828">
        <v>32</v>
      </c>
      <c r="L828">
        <v>10</v>
      </c>
      <c r="M828">
        <v>222</v>
      </c>
      <c r="N828">
        <v>67</v>
      </c>
      <c r="O828">
        <v>93</v>
      </c>
      <c r="P828">
        <v>121</v>
      </c>
      <c r="Q828">
        <v>1240</v>
      </c>
      <c r="R828">
        <v>2501</v>
      </c>
      <c r="S828" t="str">
        <v>No</v>
      </c>
      <c r="T828">
        <v>0.04</v>
      </c>
      <c r="U828">
        <v>2022</v>
      </c>
      <c r="V828">
        <v>45865</v>
      </c>
      <c r="W828">
        <v>25.2</v>
      </c>
      <c r="X828" t="str">
        <v>Mixed</v>
      </c>
      <c r="Y828" t="str">
        <v>Fitness</v>
      </c>
      <c r="Z828" t="str">
        <v>Private</v>
      </c>
      <c r="AA828" t="str">
        <v>Yes</v>
      </c>
      <c r="AB828" t="str">
        <v>Yes</v>
      </c>
      <c r="AC828">
        <v>1</v>
      </c>
      <c r="AD828" t="str">
        <v>Free</v>
      </c>
      <c r="AE828">
        <v>1.06</v>
      </c>
      <c r="AF828" s="14">
        <f t="shared" si="12"/>
        <v>0.49580167932826869</v>
      </c>
    </row>
    <row r="829" spans="1:32" x14ac:dyDescent="0.2">
      <c r="A829">
        <v>828</v>
      </c>
      <c r="B829" cm="1">
        <f t="array" ref="B829:AE829">_xlfn.XLOOKUP($A829,Instagram_Usage_Lifestyle_Mini_!$A:$A,Instagram_Usage_Lifestyle_Mini_!$AC:$BF)</f>
        <v>130</v>
      </c>
      <c r="C829">
        <v>7</v>
      </c>
      <c r="D829">
        <v>0</v>
      </c>
      <c r="E829">
        <v>128</v>
      </c>
      <c r="F829">
        <v>97</v>
      </c>
      <c r="G829">
        <v>92</v>
      </c>
      <c r="H829">
        <v>29</v>
      </c>
      <c r="I829">
        <v>26</v>
      </c>
      <c r="J829">
        <v>39</v>
      </c>
      <c r="K829">
        <v>7</v>
      </c>
      <c r="L829">
        <v>4</v>
      </c>
      <c r="M829">
        <v>62</v>
      </c>
      <c r="N829">
        <v>26</v>
      </c>
      <c r="O829">
        <v>22</v>
      </c>
      <c r="P829">
        <v>41</v>
      </c>
      <c r="Q829">
        <v>1248</v>
      </c>
      <c r="R829">
        <v>1308</v>
      </c>
      <c r="S829" t="str">
        <v>No</v>
      </c>
      <c r="T829">
        <v>0.64</v>
      </c>
      <c r="U829">
        <v>2020</v>
      </c>
      <c r="V829">
        <v>45830</v>
      </c>
      <c r="W829">
        <v>18.600000000000001</v>
      </c>
      <c r="X829" t="str">
        <v>Photos</v>
      </c>
      <c r="Y829" t="str">
        <v>Art</v>
      </c>
      <c r="Z829" t="str">
        <v>Private</v>
      </c>
      <c r="AA829" t="str">
        <v>Yes</v>
      </c>
      <c r="AB829" t="str">
        <v>No</v>
      </c>
      <c r="AC829">
        <v>1</v>
      </c>
      <c r="AD829" t="str">
        <v>Free</v>
      </c>
      <c r="AE829">
        <v>1.1499999999999999</v>
      </c>
      <c r="AF829" s="14">
        <f t="shared" si="12"/>
        <v>0.95412844036697253</v>
      </c>
    </row>
    <row r="830" spans="1:32" x14ac:dyDescent="0.2">
      <c r="A830">
        <v>829</v>
      </c>
      <c r="B830" cm="1">
        <f t="array" ref="B830:AE830">_xlfn.XLOOKUP($A830,Instagram_Usage_Lifestyle_Mini_!$A:$A,Instagram_Usage_Lifestyle_Mini_!$AC:$BF)</f>
        <v>199</v>
      </c>
      <c r="C830">
        <v>7</v>
      </c>
      <c r="D830">
        <v>6</v>
      </c>
      <c r="E830">
        <v>165</v>
      </c>
      <c r="F830">
        <v>110</v>
      </c>
      <c r="G830">
        <v>119</v>
      </c>
      <c r="H830">
        <v>35</v>
      </c>
      <c r="I830">
        <v>33</v>
      </c>
      <c r="J830">
        <v>41</v>
      </c>
      <c r="K830">
        <v>23</v>
      </c>
      <c r="L830">
        <v>5</v>
      </c>
      <c r="M830">
        <v>96</v>
      </c>
      <c r="N830">
        <v>50</v>
      </c>
      <c r="O830">
        <v>38</v>
      </c>
      <c r="P830">
        <v>52</v>
      </c>
      <c r="Q830">
        <v>910</v>
      </c>
      <c r="R830">
        <v>900</v>
      </c>
      <c r="S830" t="str">
        <v>No</v>
      </c>
      <c r="T830">
        <v>0.57999999999999996</v>
      </c>
      <c r="U830">
        <v>2012</v>
      </c>
      <c r="V830">
        <v>45759</v>
      </c>
      <c r="W830">
        <v>28.4</v>
      </c>
      <c r="X830" t="str">
        <v>Photos</v>
      </c>
      <c r="Y830" t="str">
        <v>Food</v>
      </c>
      <c r="Z830" t="str">
        <v>Public</v>
      </c>
      <c r="AA830" t="str">
        <v>Yes</v>
      </c>
      <c r="AB830" t="str">
        <v>Yes</v>
      </c>
      <c r="AC830">
        <v>2</v>
      </c>
      <c r="AD830" t="str">
        <v>Free</v>
      </c>
      <c r="AE830">
        <v>1.03</v>
      </c>
      <c r="AF830" s="14">
        <f t="shared" si="12"/>
        <v>1.0111111111111111</v>
      </c>
    </row>
    <row r="831" spans="1:32" x14ac:dyDescent="0.2">
      <c r="A831">
        <v>830</v>
      </c>
      <c r="B831" cm="1">
        <f t="array" ref="B831:AE831">_xlfn.XLOOKUP($A831,Instagram_Usage_Lifestyle_Mini_!$A:$A,Instagram_Usage_Lifestyle_Mini_!$AC:$BF)</f>
        <v>5</v>
      </c>
      <c r="C831">
        <v>1</v>
      </c>
      <c r="D831">
        <v>1</v>
      </c>
      <c r="E831">
        <v>38</v>
      </c>
      <c r="F831">
        <v>37</v>
      </c>
      <c r="G831">
        <v>25</v>
      </c>
      <c r="H831">
        <v>8</v>
      </c>
      <c r="I831">
        <v>12</v>
      </c>
      <c r="J831">
        <v>4</v>
      </c>
      <c r="K831">
        <v>10</v>
      </c>
      <c r="L831">
        <v>1</v>
      </c>
      <c r="M831">
        <v>3</v>
      </c>
      <c r="N831">
        <v>1</v>
      </c>
      <c r="O831">
        <v>1</v>
      </c>
      <c r="P831">
        <v>2</v>
      </c>
      <c r="Q831">
        <v>675</v>
      </c>
      <c r="R831">
        <v>783</v>
      </c>
      <c r="S831" t="str">
        <v>No</v>
      </c>
      <c r="T831">
        <v>0.92</v>
      </c>
      <c r="U831">
        <v>2017</v>
      </c>
      <c r="V831">
        <v>45695</v>
      </c>
      <c r="W831">
        <v>5</v>
      </c>
      <c r="X831" t="str">
        <v>Videos</v>
      </c>
      <c r="Y831" t="str">
        <v>Tech</v>
      </c>
      <c r="Z831" t="str">
        <v>Public</v>
      </c>
      <c r="AA831" t="str">
        <v>Yes</v>
      </c>
      <c r="AB831" t="str">
        <v>No</v>
      </c>
      <c r="AC831">
        <v>2</v>
      </c>
      <c r="AD831" t="str">
        <v>Free</v>
      </c>
      <c r="AE831">
        <v>7.33</v>
      </c>
      <c r="AF831" s="14">
        <f t="shared" si="12"/>
        <v>0.86206896551724133</v>
      </c>
    </row>
    <row r="832" spans="1:32" x14ac:dyDescent="0.2">
      <c r="A832">
        <v>831</v>
      </c>
      <c r="B832" cm="1">
        <f t="array" ref="B832:AE832">_xlfn.XLOOKUP($A832,Instagram_Usage_Lifestyle_Mini_!$A:$A,Instagram_Usage_Lifestyle_Mini_!$AC:$BF)</f>
        <v>256</v>
      </c>
      <c r="C832">
        <v>7</v>
      </c>
      <c r="D832">
        <v>3</v>
      </c>
      <c r="E832">
        <v>198</v>
      </c>
      <c r="F832">
        <v>149</v>
      </c>
      <c r="G832">
        <v>138</v>
      </c>
      <c r="H832">
        <v>54</v>
      </c>
      <c r="I832">
        <v>40</v>
      </c>
      <c r="J832">
        <v>40</v>
      </c>
      <c r="K832">
        <v>30</v>
      </c>
      <c r="L832">
        <v>5</v>
      </c>
      <c r="M832">
        <v>148</v>
      </c>
      <c r="N832">
        <v>52</v>
      </c>
      <c r="O832">
        <v>58</v>
      </c>
      <c r="P832">
        <v>97</v>
      </c>
      <c r="Q832">
        <v>364</v>
      </c>
      <c r="R832">
        <v>472</v>
      </c>
      <c r="S832" t="str">
        <v>No</v>
      </c>
      <c r="T832">
        <v>0.27</v>
      </c>
      <c r="U832">
        <v>2010</v>
      </c>
      <c r="V832">
        <v>45732</v>
      </c>
      <c r="W832">
        <v>36.6</v>
      </c>
      <c r="X832" t="str">
        <v>Reels</v>
      </c>
      <c r="Y832" t="str">
        <v>Other</v>
      </c>
      <c r="Z832" t="str">
        <v>Private</v>
      </c>
      <c r="AA832" t="str">
        <v>Yes</v>
      </c>
      <c r="AB832" t="str">
        <v>Yes</v>
      </c>
      <c r="AC832">
        <v>3</v>
      </c>
      <c r="AD832" t="str">
        <v>Free</v>
      </c>
      <c r="AE832">
        <v>0.99</v>
      </c>
      <c r="AF832" s="14">
        <f t="shared" si="12"/>
        <v>0.77118644067796616</v>
      </c>
    </row>
    <row r="833" spans="1:32" x14ac:dyDescent="0.2">
      <c r="A833">
        <v>832</v>
      </c>
      <c r="B833" cm="1">
        <f t="array" ref="B833:AE833">_xlfn.XLOOKUP($A833,Instagram_Usage_Lifestyle_Mini_!$A:$A,Instagram_Usage_Lifestyle_Mini_!$AC:$BF)</f>
        <v>224</v>
      </c>
      <c r="C833">
        <v>18</v>
      </c>
      <c r="D833">
        <v>15</v>
      </c>
      <c r="E833">
        <v>257</v>
      </c>
      <c r="F833">
        <v>121</v>
      </c>
      <c r="G833">
        <v>133</v>
      </c>
      <c r="H833">
        <v>42</v>
      </c>
      <c r="I833">
        <v>33</v>
      </c>
      <c r="J833">
        <v>32</v>
      </c>
      <c r="K833">
        <v>26</v>
      </c>
      <c r="L833">
        <v>12</v>
      </c>
      <c r="M833">
        <v>116</v>
      </c>
      <c r="N833">
        <v>58</v>
      </c>
      <c r="O833">
        <v>37</v>
      </c>
      <c r="P833">
        <v>50</v>
      </c>
      <c r="Q833">
        <v>2657</v>
      </c>
      <c r="R833">
        <v>4268</v>
      </c>
      <c r="S833" t="str">
        <v>No</v>
      </c>
      <c r="T833">
        <v>0.34</v>
      </c>
      <c r="U833">
        <v>2011</v>
      </c>
      <c r="V833">
        <v>45810</v>
      </c>
      <c r="W833">
        <v>12.4</v>
      </c>
      <c r="X833" t="str">
        <v>Live</v>
      </c>
      <c r="Y833" t="str">
        <v>Other</v>
      </c>
      <c r="Z833" t="str">
        <v>Public</v>
      </c>
      <c r="AA833" t="str">
        <v>Yes</v>
      </c>
      <c r="AB833" t="str">
        <v>No</v>
      </c>
      <c r="AC833">
        <v>2</v>
      </c>
      <c r="AD833" t="str">
        <v>Premium</v>
      </c>
      <c r="AE833">
        <v>1.1599999999999999</v>
      </c>
      <c r="AF833" s="14">
        <f t="shared" si="12"/>
        <v>0.62253983130271795</v>
      </c>
    </row>
    <row r="834" spans="1:32" x14ac:dyDescent="0.2">
      <c r="A834">
        <v>833</v>
      </c>
      <c r="B834" cm="1">
        <f t="array" ref="B834:AE834">_xlfn.XLOOKUP($A834,Instagram_Usage_Lifestyle_Mini_!$A:$A,Instagram_Usage_Lifestyle_Mini_!$AC:$BF)</f>
        <v>175</v>
      </c>
      <c r="C834">
        <v>6</v>
      </c>
      <c r="D834">
        <v>6</v>
      </c>
      <c r="E834">
        <v>152</v>
      </c>
      <c r="F834">
        <v>97</v>
      </c>
      <c r="G834">
        <v>112</v>
      </c>
      <c r="H834">
        <v>38</v>
      </c>
      <c r="I834">
        <v>21</v>
      </c>
      <c r="J834">
        <v>22</v>
      </c>
      <c r="K834">
        <v>14</v>
      </c>
      <c r="L834">
        <v>3</v>
      </c>
      <c r="M834">
        <v>78</v>
      </c>
      <c r="N834">
        <v>43</v>
      </c>
      <c r="O834">
        <v>33</v>
      </c>
      <c r="P834">
        <v>44</v>
      </c>
      <c r="Q834">
        <v>1410</v>
      </c>
      <c r="R834">
        <v>2227</v>
      </c>
      <c r="S834" t="str">
        <v>Yes</v>
      </c>
      <c r="T834">
        <v>0.99</v>
      </c>
      <c r="U834">
        <v>2023</v>
      </c>
      <c r="V834">
        <v>45899</v>
      </c>
      <c r="W834">
        <v>29.2</v>
      </c>
      <c r="X834" t="str">
        <v>Reels</v>
      </c>
      <c r="Y834" t="str">
        <v>Food</v>
      </c>
      <c r="Z834" t="str">
        <v>Public</v>
      </c>
      <c r="AA834" t="str">
        <v>Yes</v>
      </c>
      <c r="AB834" t="str">
        <v>Yes</v>
      </c>
      <c r="AC834">
        <v>1</v>
      </c>
      <c r="AD834" t="str">
        <v>Free</v>
      </c>
      <c r="AE834">
        <v>1.17</v>
      </c>
      <c r="AF834" s="14">
        <f t="shared" si="12"/>
        <v>0.63313875168387967</v>
      </c>
    </row>
    <row r="835" spans="1:32" x14ac:dyDescent="0.2">
      <c r="A835">
        <v>834</v>
      </c>
      <c r="B835" cm="1">
        <f t="array" ref="B835:AE835">_xlfn.XLOOKUP($A835,Instagram_Usage_Lifestyle_Mini_!$A:$A,Instagram_Usage_Lifestyle_Mini_!$AC:$BF)</f>
        <v>43</v>
      </c>
      <c r="C835">
        <v>1</v>
      </c>
      <c r="D835">
        <v>1</v>
      </c>
      <c r="E835">
        <v>63</v>
      </c>
      <c r="F835">
        <v>41</v>
      </c>
      <c r="G835">
        <v>45</v>
      </c>
      <c r="H835">
        <v>7</v>
      </c>
      <c r="I835">
        <v>14</v>
      </c>
      <c r="J835">
        <v>15</v>
      </c>
      <c r="K835">
        <v>10</v>
      </c>
      <c r="L835">
        <v>1</v>
      </c>
      <c r="M835">
        <v>17</v>
      </c>
      <c r="N835">
        <v>10</v>
      </c>
      <c r="O835">
        <v>7</v>
      </c>
      <c r="P835">
        <v>9</v>
      </c>
      <c r="Q835">
        <v>238</v>
      </c>
      <c r="R835">
        <v>488</v>
      </c>
      <c r="S835" t="str">
        <v>No</v>
      </c>
      <c r="T835">
        <v>0.3</v>
      </c>
      <c r="U835">
        <v>2014</v>
      </c>
      <c r="V835">
        <v>45983</v>
      </c>
      <c r="W835">
        <v>43</v>
      </c>
      <c r="X835" t="str">
        <v>Stories</v>
      </c>
      <c r="Y835" t="str">
        <v>Food</v>
      </c>
      <c r="Z835" t="str">
        <v>Public</v>
      </c>
      <c r="AA835" t="str">
        <v>Yes</v>
      </c>
      <c r="AB835" t="str">
        <v>No</v>
      </c>
      <c r="AC835">
        <v>1</v>
      </c>
      <c r="AD835" t="str">
        <v>Free</v>
      </c>
      <c r="AE835">
        <v>1.41</v>
      </c>
      <c r="AF835" s="14">
        <f t="shared" ref="AF835:AF898" si="13">IF(R835=0,0,Q835/R835)</f>
        <v>0.48770491803278687</v>
      </c>
    </row>
    <row r="836" spans="1:32" x14ac:dyDescent="0.2">
      <c r="A836">
        <v>835</v>
      </c>
      <c r="B836" cm="1">
        <f t="array" ref="B836:AE836">_xlfn.XLOOKUP($A836,Instagram_Usage_Lifestyle_Mini_!$A:$A,Instagram_Usage_Lifestyle_Mini_!$AC:$BF)</f>
        <v>117</v>
      </c>
      <c r="C836">
        <v>6</v>
      </c>
      <c r="D836">
        <v>2</v>
      </c>
      <c r="E836">
        <v>112</v>
      </c>
      <c r="F836">
        <v>84</v>
      </c>
      <c r="G836">
        <v>75</v>
      </c>
      <c r="H836">
        <v>12</v>
      </c>
      <c r="I836">
        <v>27</v>
      </c>
      <c r="J836">
        <v>25</v>
      </c>
      <c r="K836">
        <v>7</v>
      </c>
      <c r="L836">
        <v>3</v>
      </c>
      <c r="M836">
        <v>66</v>
      </c>
      <c r="N836">
        <v>14</v>
      </c>
      <c r="O836">
        <v>14</v>
      </c>
      <c r="P836">
        <v>32</v>
      </c>
      <c r="Q836">
        <v>9587</v>
      </c>
      <c r="R836">
        <v>10000</v>
      </c>
      <c r="S836" t="str">
        <v>No</v>
      </c>
      <c r="T836">
        <v>0.77</v>
      </c>
      <c r="U836">
        <v>2020</v>
      </c>
      <c r="V836">
        <v>45702</v>
      </c>
      <c r="W836">
        <v>19.5</v>
      </c>
      <c r="X836" t="str">
        <v>Photos</v>
      </c>
      <c r="Y836" t="str">
        <v>Travel</v>
      </c>
      <c r="Z836" t="str">
        <v>Friends_only</v>
      </c>
      <c r="AA836" t="str">
        <v>Yes</v>
      </c>
      <c r="AB836" t="str">
        <v>No</v>
      </c>
      <c r="AC836">
        <v>4</v>
      </c>
      <c r="AD836" t="str">
        <v>Free</v>
      </c>
      <c r="AE836">
        <v>0.89</v>
      </c>
      <c r="AF836" s="14">
        <f t="shared" si="13"/>
        <v>0.9587</v>
      </c>
    </row>
    <row r="837" spans="1:32" x14ac:dyDescent="0.2">
      <c r="A837">
        <v>836</v>
      </c>
      <c r="B837" cm="1">
        <f t="array" ref="B837:AE837">_xlfn.XLOOKUP($A837,Instagram_Usage_Lifestyle_Mini_!$A:$A,Instagram_Usage_Lifestyle_Mini_!$AC:$BF)</f>
        <v>249</v>
      </c>
      <c r="C837">
        <v>20</v>
      </c>
      <c r="D837">
        <v>14</v>
      </c>
      <c r="E837">
        <v>187</v>
      </c>
      <c r="F837">
        <v>129</v>
      </c>
      <c r="G837">
        <v>144</v>
      </c>
      <c r="H837">
        <v>49</v>
      </c>
      <c r="I837">
        <v>28</v>
      </c>
      <c r="J837">
        <v>44</v>
      </c>
      <c r="K837">
        <v>33</v>
      </c>
      <c r="L837">
        <v>7</v>
      </c>
      <c r="M837">
        <v>106</v>
      </c>
      <c r="N837">
        <v>74</v>
      </c>
      <c r="O837">
        <v>35</v>
      </c>
      <c r="P837">
        <v>68</v>
      </c>
      <c r="Q837">
        <v>886</v>
      </c>
      <c r="R837">
        <v>1802</v>
      </c>
      <c r="S837" t="str">
        <v>Yes</v>
      </c>
      <c r="T837">
        <v>0.09</v>
      </c>
      <c r="U837">
        <v>2021</v>
      </c>
      <c r="V837">
        <v>45751</v>
      </c>
      <c r="W837">
        <v>12.4</v>
      </c>
      <c r="X837" t="str">
        <v>Videos</v>
      </c>
      <c r="Y837" t="str">
        <v>Fashion</v>
      </c>
      <c r="Z837" t="str">
        <v>Private</v>
      </c>
      <c r="AA837" t="str">
        <v>Yes</v>
      </c>
      <c r="AB837" t="str">
        <v>No</v>
      </c>
      <c r="AC837">
        <v>3</v>
      </c>
      <c r="AD837" t="str">
        <v>Free</v>
      </c>
      <c r="AE837">
        <v>1.1399999999999999</v>
      </c>
      <c r="AF837" s="14">
        <f t="shared" si="13"/>
        <v>0.49167591564927859</v>
      </c>
    </row>
    <row r="838" spans="1:32" x14ac:dyDescent="0.2">
      <c r="A838">
        <v>837</v>
      </c>
      <c r="B838" cm="1">
        <f t="array" ref="B838:AE838">_xlfn.XLOOKUP($A838,Instagram_Usage_Lifestyle_Mini_!$A:$A,Instagram_Usage_Lifestyle_Mini_!$AC:$BF)</f>
        <v>338</v>
      </c>
      <c r="C838">
        <v>41</v>
      </c>
      <c r="D838">
        <v>4</v>
      </c>
      <c r="E838">
        <v>222</v>
      </c>
      <c r="F838">
        <v>150</v>
      </c>
      <c r="G838">
        <v>183</v>
      </c>
      <c r="H838">
        <v>54</v>
      </c>
      <c r="I838">
        <v>42</v>
      </c>
      <c r="J838">
        <v>57</v>
      </c>
      <c r="K838">
        <v>28</v>
      </c>
      <c r="L838">
        <v>10</v>
      </c>
      <c r="M838">
        <v>177</v>
      </c>
      <c r="N838">
        <v>61</v>
      </c>
      <c r="O838">
        <v>58</v>
      </c>
      <c r="P838">
        <v>95</v>
      </c>
      <c r="Q838">
        <v>3632</v>
      </c>
      <c r="R838">
        <v>4820</v>
      </c>
      <c r="S838" t="str">
        <v>Yes</v>
      </c>
      <c r="T838">
        <v>0.96</v>
      </c>
      <c r="U838">
        <v>2020</v>
      </c>
      <c r="V838">
        <v>45711</v>
      </c>
      <c r="W838">
        <v>8.1999999999999993</v>
      </c>
      <c r="X838" t="str">
        <v>Photos</v>
      </c>
      <c r="Y838" t="str">
        <v>Food</v>
      </c>
      <c r="Z838" t="str">
        <v>Friends_only</v>
      </c>
      <c r="AA838" t="str">
        <v>Yes</v>
      </c>
      <c r="AB838" t="str">
        <v>Yes</v>
      </c>
      <c r="AC838">
        <v>5</v>
      </c>
      <c r="AD838" t="str">
        <v>Premium</v>
      </c>
      <c r="AE838">
        <v>0.89</v>
      </c>
      <c r="AF838" s="14">
        <f t="shared" si="13"/>
        <v>0.75352697095435683</v>
      </c>
    </row>
    <row r="839" spans="1:32" x14ac:dyDescent="0.2">
      <c r="A839">
        <v>838</v>
      </c>
      <c r="B839" cm="1">
        <f t="array" ref="B839:AE839">_xlfn.XLOOKUP($A839,Instagram_Usage_Lifestyle_Mini_!$A:$A,Instagram_Usage_Lifestyle_Mini_!$AC:$BF)</f>
        <v>34</v>
      </c>
      <c r="C839">
        <v>3</v>
      </c>
      <c r="D839">
        <v>3</v>
      </c>
      <c r="E839">
        <v>53</v>
      </c>
      <c r="F839">
        <v>46</v>
      </c>
      <c r="G839">
        <v>44</v>
      </c>
      <c r="H839">
        <v>11</v>
      </c>
      <c r="I839">
        <v>13</v>
      </c>
      <c r="J839">
        <v>9</v>
      </c>
      <c r="K839">
        <v>3</v>
      </c>
      <c r="L839">
        <v>4</v>
      </c>
      <c r="M839">
        <v>14</v>
      </c>
      <c r="N839">
        <v>8</v>
      </c>
      <c r="O839">
        <v>6</v>
      </c>
      <c r="P839">
        <v>10</v>
      </c>
      <c r="Q839">
        <v>1178</v>
      </c>
      <c r="R839">
        <v>1152</v>
      </c>
      <c r="S839" t="str">
        <v>Yes</v>
      </c>
      <c r="T839">
        <v>0.69</v>
      </c>
      <c r="U839">
        <v>2025</v>
      </c>
      <c r="V839">
        <v>45841</v>
      </c>
      <c r="W839">
        <v>11.3</v>
      </c>
      <c r="X839" t="str">
        <v>Reels</v>
      </c>
      <c r="Y839" t="str">
        <v>Fashion</v>
      </c>
      <c r="Z839" t="str">
        <v>Friends_only</v>
      </c>
      <c r="AA839" t="str">
        <v>Yes</v>
      </c>
      <c r="AB839" t="str">
        <v>Yes</v>
      </c>
      <c r="AC839">
        <v>3</v>
      </c>
      <c r="AD839" t="str">
        <v>Free</v>
      </c>
      <c r="AE839">
        <v>2.14</v>
      </c>
      <c r="AF839" s="14">
        <f t="shared" si="13"/>
        <v>1.0225694444444444</v>
      </c>
    </row>
    <row r="840" spans="1:32" x14ac:dyDescent="0.2">
      <c r="A840">
        <v>839</v>
      </c>
      <c r="B840" cm="1">
        <f t="array" ref="B840:AE840">_xlfn.XLOOKUP($A840,Instagram_Usage_Lifestyle_Mini_!$A:$A,Instagram_Usage_Lifestyle_Mini_!$AC:$BF)</f>
        <v>201</v>
      </c>
      <c r="C840">
        <v>11</v>
      </c>
      <c r="D840">
        <v>9</v>
      </c>
      <c r="E840">
        <v>247</v>
      </c>
      <c r="F840">
        <v>100</v>
      </c>
      <c r="G840">
        <v>139</v>
      </c>
      <c r="H840">
        <v>35</v>
      </c>
      <c r="I840">
        <v>26</v>
      </c>
      <c r="J840">
        <v>33</v>
      </c>
      <c r="K840">
        <v>21</v>
      </c>
      <c r="L840">
        <v>3</v>
      </c>
      <c r="M840">
        <v>82</v>
      </c>
      <c r="N840">
        <v>47</v>
      </c>
      <c r="O840">
        <v>47</v>
      </c>
      <c r="P840">
        <v>43</v>
      </c>
      <c r="Q840">
        <v>2176</v>
      </c>
      <c r="R840">
        <v>4871</v>
      </c>
      <c r="S840" t="str">
        <v>Yes</v>
      </c>
      <c r="T840">
        <v>0.76</v>
      </c>
      <c r="U840">
        <v>2025</v>
      </c>
      <c r="V840">
        <v>46015</v>
      </c>
      <c r="W840">
        <v>18.3</v>
      </c>
      <c r="X840" t="str">
        <v>Videos</v>
      </c>
      <c r="Y840" t="str">
        <v>Other</v>
      </c>
      <c r="Z840" t="str">
        <v>Public</v>
      </c>
      <c r="AA840" t="str">
        <v>Yes</v>
      </c>
      <c r="AB840" t="str">
        <v>No</v>
      </c>
      <c r="AC840">
        <v>0</v>
      </c>
      <c r="AD840" t="str">
        <v>Premium</v>
      </c>
      <c r="AE840">
        <v>1.17</v>
      </c>
      <c r="AF840" s="14">
        <f t="shared" si="13"/>
        <v>0.4467255183740505</v>
      </c>
    </row>
    <row r="841" spans="1:32" x14ac:dyDescent="0.2">
      <c r="A841">
        <v>840</v>
      </c>
      <c r="B841" cm="1">
        <f t="array" ref="B841:AE841">_xlfn.XLOOKUP($A841,Instagram_Usage_Lifestyle_Mini_!$A:$A,Instagram_Usage_Lifestyle_Mini_!$AC:$BF)</f>
        <v>82</v>
      </c>
      <c r="C841">
        <v>9</v>
      </c>
      <c r="D841">
        <v>4</v>
      </c>
      <c r="E841">
        <v>89</v>
      </c>
      <c r="F841">
        <v>63</v>
      </c>
      <c r="G841">
        <v>55</v>
      </c>
      <c r="H841">
        <v>22</v>
      </c>
      <c r="I841">
        <v>13</v>
      </c>
      <c r="J841">
        <v>14</v>
      </c>
      <c r="K841">
        <v>16</v>
      </c>
      <c r="L841">
        <v>6</v>
      </c>
      <c r="M841">
        <v>48</v>
      </c>
      <c r="N841">
        <v>14</v>
      </c>
      <c r="O841">
        <v>11</v>
      </c>
      <c r="P841">
        <v>21</v>
      </c>
      <c r="Q841">
        <v>420</v>
      </c>
      <c r="R841">
        <v>883</v>
      </c>
      <c r="S841" t="str">
        <v>Yes</v>
      </c>
      <c r="T841">
        <v>0.73</v>
      </c>
      <c r="U841">
        <v>2019</v>
      </c>
      <c r="V841">
        <v>45937</v>
      </c>
      <c r="W841">
        <v>9.1</v>
      </c>
      <c r="X841" t="str">
        <v>Photos</v>
      </c>
      <c r="Y841" t="str">
        <v>Fashion</v>
      </c>
      <c r="Z841" t="str">
        <v>Private</v>
      </c>
      <c r="AA841" t="str">
        <v>Yes</v>
      </c>
      <c r="AB841" t="str">
        <v>Yes</v>
      </c>
      <c r="AC841">
        <v>2</v>
      </c>
      <c r="AD841" t="str">
        <v>Free</v>
      </c>
      <c r="AE841">
        <v>1.34</v>
      </c>
      <c r="AF841" s="14">
        <f t="shared" si="13"/>
        <v>0.47565118912797283</v>
      </c>
    </row>
    <row r="842" spans="1:32" x14ac:dyDescent="0.2">
      <c r="A842">
        <v>841</v>
      </c>
      <c r="B842" cm="1">
        <f t="array" ref="B842:AE842">_xlfn.XLOOKUP($A842,Instagram_Usage_Lifestyle_Mini_!$A:$A,Instagram_Usage_Lifestyle_Mini_!$AC:$BF)</f>
        <v>225</v>
      </c>
      <c r="C842">
        <v>13</v>
      </c>
      <c r="D842">
        <v>8</v>
      </c>
      <c r="E842">
        <v>171</v>
      </c>
      <c r="F842">
        <v>134</v>
      </c>
      <c r="G842">
        <v>141</v>
      </c>
      <c r="H842">
        <v>40</v>
      </c>
      <c r="I842">
        <v>27</v>
      </c>
      <c r="J842">
        <v>50</v>
      </c>
      <c r="K842">
        <v>24</v>
      </c>
      <c r="L842">
        <v>4</v>
      </c>
      <c r="M842">
        <v>116</v>
      </c>
      <c r="N842">
        <v>33</v>
      </c>
      <c r="O842">
        <v>28</v>
      </c>
      <c r="P842">
        <v>84</v>
      </c>
      <c r="Q842">
        <v>2668</v>
      </c>
      <c r="R842">
        <v>5701</v>
      </c>
      <c r="S842" t="str">
        <v>No</v>
      </c>
      <c r="T842">
        <v>0.43</v>
      </c>
      <c r="U842">
        <v>2010</v>
      </c>
      <c r="V842">
        <v>45782</v>
      </c>
      <c r="W842">
        <v>17.3</v>
      </c>
      <c r="X842" t="str">
        <v>Mixed</v>
      </c>
      <c r="Y842" t="str">
        <v>Art</v>
      </c>
      <c r="Z842" t="str">
        <v>Public</v>
      </c>
      <c r="AA842" t="str">
        <v>Yes</v>
      </c>
      <c r="AB842" t="str">
        <v>Yes</v>
      </c>
      <c r="AC842">
        <v>2</v>
      </c>
      <c r="AD842" t="str">
        <v>Free</v>
      </c>
      <c r="AE842">
        <v>1.08</v>
      </c>
      <c r="AF842" s="14">
        <f t="shared" si="13"/>
        <v>0.46798807226802314</v>
      </c>
    </row>
    <row r="843" spans="1:32" x14ac:dyDescent="0.2">
      <c r="A843">
        <v>842</v>
      </c>
      <c r="B843" cm="1">
        <f t="array" ref="B843:AE843">_xlfn.XLOOKUP($A843,Instagram_Usage_Lifestyle_Mini_!$A:$A,Instagram_Usage_Lifestyle_Mini_!$AC:$BF)</f>
        <v>209</v>
      </c>
      <c r="C843">
        <v>19</v>
      </c>
      <c r="D843">
        <v>11</v>
      </c>
      <c r="E843">
        <v>163</v>
      </c>
      <c r="F843">
        <v>112</v>
      </c>
      <c r="G843">
        <v>130</v>
      </c>
      <c r="H843">
        <v>39</v>
      </c>
      <c r="I843">
        <v>32</v>
      </c>
      <c r="J843">
        <v>45</v>
      </c>
      <c r="K843">
        <v>19</v>
      </c>
      <c r="L843">
        <v>3</v>
      </c>
      <c r="M843">
        <v>108</v>
      </c>
      <c r="N843">
        <v>49</v>
      </c>
      <c r="O843">
        <v>50</v>
      </c>
      <c r="P843">
        <v>71</v>
      </c>
      <c r="Q843">
        <v>8085</v>
      </c>
      <c r="R843">
        <v>10000</v>
      </c>
      <c r="S843" t="str">
        <v>No</v>
      </c>
      <c r="T843">
        <v>0.95</v>
      </c>
      <c r="U843">
        <v>2012</v>
      </c>
      <c r="V843">
        <v>45948</v>
      </c>
      <c r="W843">
        <v>11</v>
      </c>
      <c r="X843" t="str">
        <v>Mixed</v>
      </c>
      <c r="Y843" t="str">
        <v>Other</v>
      </c>
      <c r="Z843" t="str">
        <v>Friends_only</v>
      </c>
      <c r="AA843" t="str">
        <v>Yes</v>
      </c>
      <c r="AB843" t="str">
        <v>No</v>
      </c>
      <c r="AC843">
        <v>2</v>
      </c>
      <c r="AD843" t="str">
        <v>Free</v>
      </c>
      <c r="AE843">
        <v>1.1499999999999999</v>
      </c>
      <c r="AF843" s="14">
        <f t="shared" si="13"/>
        <v>0.8085</v>
      </c>
    </row>
    <row r="844" spans="1:32" x14ac:dyDescent="0.2">
      <c r="A844">
        <v>843</v>
      </c>
      <c r="B844" cm="1">
        <f t="array" ref="B844:AE844">_xlfn.XLOOKUP($A844,Instagram_Usage_Lifestyle_Mini_!$A:$A,Instagram_Usage_Lifestyle_Mini_!$AC:$BF)</f>
        <v>130</v>
      </c>
      <c r="C844">
        <v>8</v>
      </c>
      <c r="D844">
        <v>2</v>
      </c>
      <c r="E844">
        <v>112</v>
      </c>
      <c r="F844">
        <v>80</v>
      </c>
      <c r="G844">
        <v>85</v>
      </c>
      <c r="H844">
        <v>13</v>
      </c>
      <c r="I844">
        <v>23</v>
      </c>
      <c r="J844">
        <v>17</v>
      </c>
      <c r="K844">
        <v>12</v>
      </c>
      <c r="L844">
        <v>9</v>
      </c>
      <c r="M844">
        <v>54</v>
      </c>
      <c r="N844">
        <v>23</v>
      </c>
      <c r="O844">
        <v>25</v>
      </c>
      <c r="P844">
        <v>49</v>
      </c>
      <c r="Q844">
        <v>642</v>
      </c>
      <c r="R844">
        <v>899</v>
      </c>
      <c r="S844" t="str">
        <v>No</v>
      </c>
      <c r="T844">
        <v>0.98</v>
      </c>
      <c r="U844">
        <v>2016</v>
      </c>
      <c r="V844">
        <v>45988</v>
      </c>
      <c r="W844">
        <v>16.2</v>
      </c>
      <c r="X844" t="str">
        <v>Stories</v>
      </c>
      <c r="Y844" t="str">
        <v>Art</v>
      </c>
      <c r="Z844" t="str">
        <v>Friends_only</v>
      </c>
      <c r="AA844" t="str">
        <v>Yes</v>
      </c>
      <c r="AB844" t="str">
        <v>No</v>
      </c>
      <c r="AC844">
        <v>1</v>
      </c>
      <c r="AD844" t="str">
        <v>Business</v>
      </c>
      <c r="AE844">
        <v>0.89</v>
      </c>
      <c r="AF844" s="14">
        <f t="shared" si="13"/>
        <v>0.71412680756395996</v>
      </c>
    </row>
    <row r="845" spans="1:32" x14ac:dyDescent="0.2">
      <c r="A845">
        <v>844</v>
      </c>
      <c r="B845" cm="1">
        <f t="array" ref="B845:AE845">_xlfn.XLOOKUP($A845,Instagram_Usage_Lifestyle_Mini_!$A:$A,Instagram_Usage_Lifestyle_Mini_!$AC:$BF)</f>
        <v>143</v>
      </c>
      <c r="C845">
        <v>9</v>
      </c>
      <c r="D845">
        <v>10</v>
      </c>
      <c r="E845">
        <v>211</v>
      </c>
      <c r="F845">
        <v>102</v>
      </c>
      <c r="G845">
        <v>95</v>
      </c>
      <c r="H845">
        <v>27</v>
      </c>
      <c r="I845">
        <v>16</v>
      </c>
      <c r="J845">
        <v>25</v>
      </c>
      <c r="K845">
        <v>19</v>
      </c>
      <c r="L845">
        <v>2</v>
      </c>
      <c r="M845">
        <v>58</v>
      </c>
      <c r="N845">
        <v>22</v>
      </c>
      <c r="O845">
        <v>19</v>
      </c>
      <c r="P845">
        <v>49</v>
      </c>
      <c r="Q845">
        <v>1176</v>
      </c>
      <c r="R845">
        <v>717</v>
      </c>
      <c r="S845" t="str">
        <v>Yes</v>
      </c>
      <c r="T845">
        <v>0.17</v>
      </c>
      <c r="U845">
        <v>2024</v>
      </c>
      <c r="V845">
        <v>45676</v>
      </c>
      <c r="W845">
        <v>15.9</v>
      </c>
      <c r="X845" t="str">
        <v>Stories</v>
      </c>
      <c r="Y845" t="str">
        <v>Music</v>
      </c>
      <c r="Z845" t="str">
        <v>Friends_only</v>
      </c>
      <c r="AA845" t="str">
        <v>Yes</v>
      </c>
      <c r="AB845" t="str">
        <v>Yes</v>
      </c>
      <c r="AC845">
        <v>5</v>
      </c>
      <c r="AD845" t="str">
        <v>Free</v>
      </c>
      <c r="AE845">
        <v>1.24</v>
      </c>
      <c r="AF845" s="14">
        <f t="shared" si="13"/>
        <v>1.6401673640167365</v>
      </c>
    </row>
    <row r="846" spans="1:32" x14ac:dyDescent="0.2">
      <c r="A846">
        <v>845</v>
      </c>
      <c r="B846" cm="1">
        <f t="array" ref="B846:AE846">_xlfn.XLOOKUP($A846,Instagram_Usage_Lifestyle_Mini_!$A:$A,Instagram_Usage_Lifestyle_Mini_!$AC:$BF)</f>
        <v>310</v>
      </c>
      <c r="C846">
        <v>23</v>
      </c>
      <c r="D846">
        <v>4</v>
      </c>
      <c r="E846">
        <v>229</v>
      </c>
      <c r="F846">
        <v>144</v>
      </c>
      <c r="G846">
        <v>189</v>
      </c>
      <c r="H846">
        <v>56</v>
      </c>
      <c r="I846">
        <v>34</v>
      </c>
      <c r="J846">
        <v>39</v>
      </c>
      <c r="K846">
        <v>29</v>
      </c>
      <c r="L846">
        <v>4</v>
      </c>
      <c r="M846">
        <v>165</v>
      </c>
      <c r="N846">
        <v>54</v>
      </c>
      <c r="O846">
        <v>64</v>
      </c>
      <c r="P846">
        <v>85</v>
      </c>
      <c r="Q846">
        <v>245</v>
      </c>
      <c r="R846">
        <v>251</v>
      </c>
      <c r="S846" t="str">
        <v>No</v>
      </c>
      <c r="T846">
        <v>0.33</v>
      </c>
      <c r="U846">
        <v>2016</v>
      </c>
      <c r="V846">
        <v>45949</v>
      </c>
      <c r="W846">
        <v>13.5</v>
      </c>
      <c r="X846" t="str">
        <v>Videos</v>
      </c>
      <c r="Y846" t="str">
        <v>Other</v>
      </c>
      <c r="Z846" t="str">
        <v>Private</v>
      </c>
      <c r="AA846" t="str">
        <v>No</v>
      </c>
      <c r="AB846" t="str">
        <v>Yes</v>
      </c>
      <c r="AC846">
        <v>5</v>
      </c>
      <c r="AD846" t="str">
        <v>Free</v>
      </c>
      <c r="AE846">
        <v>1.01</v>
      </c>
      <c r="AF846" s="14">
        <f t="shared" si="13"/>
        <v>0.9760956175298805</v>
      </c>
    </row>
    <row r="847" spans="1:32" x14ac:dyDescent="0.2">
      <c r="A847">
        <v>846</v>
      </c>
      <c r="B847" cm="1">
        <f t="array" ref="B847:AE847">_xlfn.XLOOKUP($A847,Instagram_Usage_Lifestyle_Mini_!$A:$A,Instagram_Usage_Lifestyle_Mini_!$AC:$BF)</f>
        <v>82</v>
      </c>
      <c r="C847">
        <v>7</v>
      </c>
      <c r="D847">
        <v>3</v>
      </c>
      <c r="E847">
        <v>89</v>
      </c>
      <c r="F847">
        <v>76</v>
      </c>
      <c r="G847">
        <v>54</v>
      </c>
      <c r="H847">
        <v>18</v>
      </c>
      <c r="I847">
        <v>21</v>
      </c>
      <c r="J847">
        <v>20</v>
      </c>
      <c r="K847">
        <v>11</v>
      </c>
      <c r="L847">
        <v>3</v>
      </c>
      <c r="M847">
        <v>42</v>
      </c>
      <c r="N847">
        <v>14</v>
      </c>
      <c r="O847">
        <v>20</v>
      </c>
      <c r="P847">
        <v>24</v>
      </c>
      <c r="Q847">
        <v>313</v>
      </c>
      <c r="R847">
        <v>335</v>
      </c>
      <c r="S847" t="str">
        <v>No</v>
      </c>
      <c r="T847">
        <v>0.49</v>
      </c>
      <c r="U847">
        <v>2010</v>
      </c>
      <c r="V847">
        <v>45827</v>
      </c>
      <c r="W847">
        <v>11.7</v>
      </c>
      <c r="X847" t="str">
        <v>Photos</v>
      </c>
      <c r="Y847" t="str">
        <v>Other</v>
      </c>
      <c r="Z847" t="str">
        <v>Public</v>
      </c>
      <c r="AA847" t="str">
        <v>No</v>
      </c>
      <c r="AB847" t="str">
        <v>No</v>
      </c>
      <c r="AC847">
        <v>1</v>
      </c>
      <c r="AD847" t="str">
        <v>Free</v>
      </c>
      <c r="AE847">
        <v>1.19</v>
      </c>
      <c r="AF847" s="14">
        <f t="shared" si="13"/>
        <v>0.93432835820895521</v>
      </c>
    </row>
    <row r="848" spans="1:32" x14ac:dyDescent="0.2">
      <c r="A848">
        <v>847</v>
      </c>
      <c r="B848" cm="1">
        <f t="array" ref="B848:AE848">_xlfn.XLOOKUP($A848,Instagram_Usage_Lifestyle_Mini_!$A:$A,Instagram_Usage_Lifestyle_Mini_!$AC:$BF)</f>
        <v>369</v>
      </c>
      <c r="C848">
        <v>32</v>
      </c>
      <c r="D848">
        <v>16</v>
      </c>
      <c r="E848">
        <v>300</v>
      </c>
      <c r="F848">
        <v>150</v>
      </c>
      <c r="G848">
        <v>196</v>
      </c>
      <c r="H848">
        <v>50</v>
      </c>
      <c r="I848">
        <v>45</v>
      </c>
      <c r="J848">
        <v>51</v>
      </c>
      <c r="K848">
        <v>27</v>
      </c>
      <c r="L848">
        <v>8</v>
      </c>
      <c r="M848">
        <v>161</v>
      </c>
      <c r="N848">
        <v>90</v>
      </c>
      <c r="O848">
        <v>43</v>
      </c>
      <c r="P848">
        <v>108</v>
      </c>
      <c r="Q848">
        <v>3733</v>
      </c>
      <c r="R848">
        <v>9027</v>
      </c>
      <c r="S848" t="str">
        <v>No</v>
      </c>
      <c r="T848">
        <v>0.21</v>
      </c>
      <c r="U848">
        <v>2011</v>
      </c>
      <c r="V848">
        <v>45905</v>
      </c>
      <c r="W848">
        <v>11.5</v>
      </c>
      <c r="X848" t="str">
        <v>Videos</v>
      </c>
      <c r="Y848" t="str">
        <v>Fitness</v>
      </c>
      <c r="Z848" t="str">
        <v>Private</v>
      </c>
      <c r="AA848" t="str">
        <v>No</v>
      </c>
      <c r="AB848" t="str">
        <v>No</v>
      </c>
      <c r="AC848">
        <v>3</v>
      </c>
      <c r="AD848" t="str">
        <v>Business</v>
      </c>
      <c r="AE848">
        <v>0.93</v>
      </c>
      <c r="AF848" s="14">
        <f t="shared" si="13"/>
        <v>0.41353716627894094</v>
      </c>
    </row>
    <row r="849" spans="1:32" x14ac:dyDescent="0.2">
      <c r="A849">
        <v>848</v>
      </c>
      <c r="B849" cm="1">
        <f t="array" ref="B849:AE849">_xlfn.XLOOKUP($A849,Instagram_Usage_Lifestyle_Mini_!$A:$A,Instagram_Usage_Lifestyle_Mini_!$AC:$BF)</f>
        <v>260</v>
      </c>
      <c r="C849">
        <v>14</v>
      </c>
      <c r="D849">
        <v>10</v>
      </c>
      <c r="E849">
        <v>214</v>
      </c>
      <c r="F849">
        <v>136</v>
      </c>
      <c r="G849">
        <v>155</v>
      </c>
      <c r="H849">
        <v>44</v>
      </c>
      <c r="I849">
        <v>42</v>
      </c>
      <c r="J849">
        <v>27</v>
      </c>
      <c r="K849">
        <v>20</v>
      </c>
      <c r="L849">
        <v>4</v>
      </c>
      <c r="M849">
        <v>141</v>
      </c>
      <c r="N849">
        <v>36</v>
      </c>
      <c r="O849">
        <v>48</v>
      </c>
      <c r="P849">
        <v>95</v>
      </c>
      <c r="Q849">
        <v>4973</v>
      </c>
      <c r="R849">
        <v>3304</v>
      </c>
      <c r="S849" t="str">
        <v>Yes</v>
      </c>
      <c r="T849">
        <v>0.92</v>
      </c>
      <c r="U849">
        <v>2025</v>
      </c>
      <c r="V849">
        <v>45752</v>
      </c>
      <c r="W849">
        <v>18.600000000000001</v>
      </c>
      <c r="X849" t="str">
        <v>Stories</v>
      </c>
      <c r="Y849" t="str">
        <v>Fitness</v>
      </c>
      <c r="Z849" t="str">
        <v>Public</v>
      </c>
      <c r="AA849" t="str">
        <v>No</v>
      </c>
      <c r="AB849" t="str">
        <v>No</v>
      </c>
      <c r="AC849">
        <v>3</v>
      </c>
      <c r="AD849" t="str">
        <v>Business</v>
      </c>
      <c r="AE849">
        <v>1.05</v>
      </c>
      <c r="AF849" s="14">
        <f t="shared" si="13"/>
        <v>1.5051452784503632</v>
      </c>
    </row>
    <row r="850" spans="1:32" x14ac:dyDescent="0.2">
      <c r="A850">
        <v>849</v>
      </c>
      <c r="B850" cm="1">
        <f t="array" ref="B850:AE850">_xlfn.XLOOKUP($A850,Instagram_Usage_Lifestyle_Mini_!$A:$A,Instagram_Usage_Lifestyle_Mini_!$AC:$BF)</f>
        <v>160</v>
      </c>
      <c r="C850">
        <v>5</v>
      </c>
      <c r="D850">
        <v>2</v>
      </c>
      <c r="E850">
        <v>214</v>
      </c>
      <c r="F850">
        <v>86</v>
      </c>
      <c r="G850">
        <v>115</v>
      </c>
      <c r="H850">
        <v>33</v>
      </c>
      <c r="I850">
        <v>22</v>
      </c>
      <c r="J850">
        <v>27</v>
      </c>
      <c r="K850">
        <v>8</v>
      </c>
      <c r="L850">
        <v>4</v>
      </c>
      <c r="M850">
        <v>76</v>
      </c>
      <c r="N850">
        <v>48</v>
      </c>
      <c r="O850">
        <v>23</v>
      </c>
      <c r="P850">
        <v>63</v>
      </c>
      <c r="Q850">
        <v>3877</v>
      </c>
      <c r="R850">
        <v>4140</v>
      </c>
      <c r="S850" t="str">
        <v>No</v>
      </c>
      <c r="T850">
        <v>0.54</v>
      </c>
      <c r="U850">
        <v>2024</v>
      </c>
      <c r="V850">
        <v>45859</v>
      </c>
      <c r="W850">
        <v>32</v>
      </c>
      <c r="X850" t="str">
        <v>Live</v>
      </c>
      <c r="Y850" t="str">
        <v>Music</v>
      </c>
      <c r="Z850" t="str">
        <v>Private</v>
      </c>
      <c r="AA850" t="str">
        <v>No</v>
      </c>
      <c r="AB850" t="str">
        <v>No</v>
      </c>
      <c r="AC850">
        <v>3</v>
      </c>
      <c r="AD850" t="str">
        <v>Free</v>
      </c>
      <c r="AE850">
        <v>1.1599999999999999</v>
      </c>
      <c r="AF850" s="14">
        <f t="shared" si="13"/>
        <v>0.93647342995169081</v>
      </c>
    </row>
    <row r="851" spans="1:32" x14ac:dyDescent="0.2">
      <c r="A851">
        <v>850</v>
      </c>
      <c r="B851" cm="1">
        <f t="array" ref="B851:AE851">_xlfn.XLOOKUP($A851,Instagram_Usage_Lifestyle_Mini_!$A:$A,Instagram_Usage_Lifestyle_Mini_!$AC:$BF)</f>
        <v>219</v>
      </c>
      <c r="C851">
        <v>10</v>
      </c>
      <c r="D851">
        <v>10</v>
      </c>
      <c r="E851">
        <v>274</v>
      </c>
      <c r="F851">
        <v>111</v>
      </c>
      <c r="G851">
        <v>136</v>
      </c>
      <c r="H851">
        <v>40</v>
      </c>
      <c r="I851">
        <v>32</v>
      </c>
      <c r="J851">
        <v>34</v>
      </c>
      <c r="K851">
        <v>17</v>
      </c>
      <c r="L851">
        <v>7</v>
      </c>
      <c r="M851">
        <v>115</v>
      </c>
      <c r="N851">
        <v>53</v>
      </c>
      <c r="O851">
        <v>45</v>
      </c>
      <c r="P851">
        <v>72</v>
      </c>
      <c r="Q851">
        <v>10070</v>
      </c>
      <c r="R851">
        <v>10000</v>
      </c>
      <c r="S851" t="str">
        <v>No</v>
      </c>
      <c r="T851">
        <v>0.09</v>
      </c>
      <c r="U851">
        <v>2023</v>
      </c>
      <c r="V851">
        <v>45798</v>
      </c>
      <c r="W851">
        <v>21.9</v>
      </c>
      <c r="X851" t="str">
        <v>Videos</v>
      </c>
      <c r="Y851" t="str">
        <v>Fashion</v>
      </c>
      <c r="Z851" t="str">
        <v>Public</v>
      </c>
      <c r="AA851" t="str">
        <v>Yes</v>
      </c>
      <c r="AB851" t="str">
        <v>Yes</v>
      </c>
      <c r="AC851">
        <v>1</v>
      </c>
      <c r="AD851" t="str">
        <v>Free</v>
      </c>
      <c r="AE851">
        <v>1.1200000000000001</v>
      </c>
      <c r="AF851" s="14">
        <f t="shared" si="13"/>
        <v>1.0069999999999999</v>
      </c>
    </row>
    <row r="852" spans="1:32" x14ac:dyDescent="0.2">
      <c r="A852">
        <v>851</v>
      </c>
      <c r="B852" cm="1">
        <f t="array" ref="B852:AE852">_xlfn.XLOOKUP($A852,Instagram_Usage_Lifestyle_Mini_!$A:$A,Instagram_Usage_Lifestyle_Mini_!$AC:$BF)</f>
        <v>5</v>
      </c>
      <c r="C852">
        <v>1</v>
      </c>
      <c r="D852">
        <v>4</v>
      </c>
      <c r="E852">
        <v>54</v>
      </c>
      <c r="F852">
        <v>28</v>
      </c>
      <c r="G852">
        <v>27</v>
      </c>
      <c r="H852">
        <v>6</v>
      </c>
      <c r="I852">
        <v>11</v>
      </c>
      <c r="J852">
        <v>5</v>
      </c>
      <c r="K852">
        <v>3</v>
      </c>
      <c r="L852">
        <v>2</v>
      </c>
      <c r="M852">
        <v>2</v>
      </c>
      <c r="N852">
        <v>1</v>
      </c>
      <c r="O852">
        <v>1</v>
      </c>
      <c r="P852">
        <v>1</v>
      </c>
      <c r="Q852">
        <v>109</v>
      </c>
      <c r="R852">
        <v>89</v>
      </c>
      <c r="S852" t="str">
        <v>Yes</v>
      </c>
      <c r="T852">
        <v>0.22</v>
      </c>
      <c r="U852">
        <v>2025</v>
      </c>
      <c r="V852">
        <v>45757</v>
      </c>
      <c r="W852">
        <v>5</v>
      </c>
      <c r="X852" t="str">
        <v>Photos</v>
      </c>
      <c r="Y852" t="str">
        <v>Food</v>
      </c>
      <c r="Z852" t="str">
        <v>Public</v>
      </c>
      <c r="AA852" t="str">
        <v>Yes</v>
      </c>
      <c r="AB852" t="str">
        <v>No</v>
      </c>
      <c r="AC852">
        <v>1</v>
      </c>
      <c r="AD852" t="str">
        <v>Free</v>
      </c>
      <c r="AE852">
        <v>8.5</v>
      </c>
      <c r="AF852" s="14">
        <f t="shared" si="13"/>
        <v>1.2247191011235956</v>
      </c>
    </row>
    <row r="853" spans="1:32" x14ac:dyDescent="0.2">
      <c r="A853">
        <v>852</v>
      </c>
      <c r="B853" cm="1">
        <f t="array" ref="B853:AE853">_xlfn.XLOOKUP($A853,Instagram_Usage_Lifestyle_Mini_!$A:$A,Instagram_Usage_Lifestyle_Mini_!$AC:$BF)</f>
        <v>107</v>
      </c>
      <c r="C853">
        <v>4</v>
      </c>
      <c r="D853">
        <v>9</v>
      </c>
      <c r="E853">
        <v>187</v>
      </c>
      <c r="F853">
        <v>72</v>
      </c>
      <c r="G853">
        <v>83</v>
      </c>
      <c r="H853">
        <v>21</v>
      </c>
      <c r="I853">
        <v>17</v>
      </c>
      <c r="J853">
        <v>31</v>
      </c>
      <c r="K853">
        <v>5</v>
      </c>
      <c r="L853">
        <v>5</v>
      </c>
      <c r="M853">
        <v>48</v>
      </c>
      <c r="N853">
        <v>30</v>
      </c>
      <c r="O853">
        <v>25</v>
      </c>
      <c r="P853">
        <v>31</v>
      </c>
      <c r="Q853">
        <v>2051</v>
      </c>
      <c r="R853">
        <v>3130</v>
      </c>
      <c r="S853" t="str">
        <v>Yes</v>
      </c>
      <c r="T853">
        <v>0.54</v>
      </c>
      <c r="U853">
        <v>2012</v>
      </c>
      <c r="V853">
        <v>45924</v>
      </c>
      <c r="W853">
        <v>26.8</v>
      </c>
      <c r="X853" t="str">
        <v>Mixed</v>
      </c>
      <c r="Y853" t="str">
        <v>Tech</v>
      </c>
      <c r="Z853" t="str">
        <v>Public</v>
      </c>
      <c r="AA853" t="str">
        <v>No</v>
      </c>
      <c r="AB853" t="str">
        <v>Yes</v>
      </c>
      <c r="AC853">
        <v>1</v>
      </c>
      <c r="AD853" t="str">
        <v>Free</v>
      </c>
      <c r="AE853">
        <v>1.41</v>
      </c>
      <c r="AF853" s="14">
        <f t="shared" si="13"/>
        <v>0.65527156549520771</v>
      </c>
    </row>
    <row r="854" spans="1:32" x14ac:dyDescent="0.2">
      <c r="A854">
        <v>853</v>
      </c>
      <c r="B854" cm="1">
        <f t="array" ref="B854:AE854">_xlfn.XLOOKUP($A854,Instagram_Usage_Lifestyle_Mini_!$A:$A,Instagram_Usage_Lifestyle_Mini_!$AC:$BF)</f>
        <v>5</v>
      </c>
      <c r="C854">
        <v>1</v>
      </c>
      <c r="D854">
        <v>3</v>
      </c>
      <c r="E854">
        <v>40</v>
      </c>
      <c r="F854">
        <v>31</v>
      </c>
      <c r="G854">
        <v>23</v>
      </c>
      <c r="H854">
        <v>10</v>
      </c>
      <c r="I854">
        <v>14</v>
      </c>
      <c r="J854">
        <v>13</v>
      </c>
      <c r="K854">
        <v>4</v>
      </c>
      <c r="L854">
        <v>1</v>
      </c>
      <c r="M854">
        <v>2</v>
      </c>
      <c r="N854">
        <v>1</v>
      </c>
      <c r="O854">
        <v>1</v>
      </c>
      <c r="P854">
        <v>1</v>
      </c>
      <c r="Q854">
        <v>1117</v>
      </c>
      <c r="R854">
        <v>2495</v>
      </c>
      <c r="S854" t="str">
        <v>No</v>
      </c>
      <c r="T854">
        <v>0.55000000000000004</v>
      </c>
      <c r="U854">
        <v>2010</v>
      </c>
      <c r="V854">
        <v>45806</v>
      </c>
      <c r="W854">
        <v>5</v>
      </c>
      <c r="X854" t="str">
        <v>Videos</v>
      </c>
      <c r="Y854" t="str">
        <v>Tech</v>
      </c>
      <c r="Z854" t="str">
        <v>Public</v>
      </c>
      <c r="AA854" t="str">
        <v>No</v>
      </c>
      <c r="AB854" t="str">
        <v>Yes</v>
      </c>
      <c r="AC854">
        <v>0</v>
      </c>
      <c r="AD854" t="str">
        <v>Free</v>
      </c>
      <c r="AE854">
        <v>8.67</v>
      </c>
      <c r="AF854" s="14">
        <f t="shared" si="13"/>
        <v>0.44769539078156312</v>
      </c>
    </row>
    <row r="855" spans="1:32" x14ac:dyDescent="0.2">
      <c r="A855">
        <v>854</v>
      </c>
      <c r="B855" cm="1">
        <f t="array" ref="B855:AE855">_xlfn.XLOOKUP($A855,Instagram_Usage_Lifestyle_Mini_!$A:$A,Instagram_Usage_Lifestyle_Mini_!$AC:$BF)</f>
        <v>244</v>
      </c>
      <c r="C855">
        <v>8</v>
      </c>
      <c r="D855">
        <v>11</v>
      </c>
      <c r="E855">
        <v>248</v>
      </c>
      <c r="F855">
        <v>128</v>
      </c>
      <c r="G855">
        <v>144</v>
      </c>
      <c r="H855">
        <v>36</v>
      </c>
      <c r="I855">
        <v>32</v>
      </c>
      <c r="J855">
        <v>30</v>
      </c>
      <c r="K855">
        <v>27</v>
      </c>
      <c r="L855">
        <v>5</v>
      </c>
      <c r="M855">
        <v>134</v>
      </c>
      <c r="N855">
        <v>69</v>
      </c>
      <c r="O855">
        <v>53</v>
      </c>
      <c r="P855">
        <v>68</v>
      </c>
      <c r="Q855">
        <v>386</v>
      </c>
      <c r="R855">
        <v>252</v>
      </c>
      <c r="S855" t="str">
        <v>No</v>
      </c>
      <c r="T855">
        <v>0.43</v>
      </c>
      <c r="U855">
        <v>2012</v>
      </c>
      <c r="V855">
        <v>45919</v>
      </c>
      <c r="W855">
        <v>30.5</v>
      </c>
      <c r="X855" t="str">
        <v>Stories</v>
      </c>
      <c r="Y855" t="str">
        <v>Music</v>
      </c>
      <c r="Z855" t="str">
        <v>Public</v>
      </c>
      <c r="AA855" t="str">
        <v>Yes</v>
      </c>
      <c r="AB855" t="str">
        <v>Yes</v>
      </c>
      <c r="AC855">
        <v>2</v>
      </c>
      <c r="AD855" t="str">
        <v>Free</v>
      </c>
      <c r="AE855">
        <v>1.02</v>
      </c>
      <c r="AF855" s="14">
        <f t="shared" si="13"/>
        <v>1.5317460317460319</v>
      </c>
    </row>
    <row r="856" spans="1:32" x14ac:dyDescent="0.2">
      <c r="A856">
        <v>855</v>
      </c>
      <c r="B856" cm="1">
        <f t="array" ref="B856:AE856">_xlfn.XLOOKUP($A856,Instagram_Usage_Lifestyle_Mini_!$A:$A,Instagram_Usage_Lifestyle_Mini_!$AC:$BF)</f>
        <v>65</v>
      </c>
      <c r="C856">
        <v>5</v>
      </c>
      <c r="D856">
        <v>1</v>
      </c>
      <c r="E856">
        <v>79</v>
      </c>
      <c r="F856">
        <v>65</v>
      </c>
      <c r="G856">
        <v>62</v>
      </c>
      <c r="H856">
        <v>19</v>
      </c>
      <c r="I856">
        <v>17</v>
      </c>
      <c r="J856">
        <v>20</v>
      </c>
      <c r="K856">
        <v>9</v>
      </c>
      <c r="L856">
        <v>5</v>
      </c>
      <c r="M856">
        <v>36</v>
      </c>
      <c r="N856">
        <v>12</v>
      </c>
      <c r="O856">
        <v>12</v>
      </c>
      <c r="P856">
        <v>21</v>
      </c>
      <c r="Q856">
        <v>183</v>
      </c>
      <c r="R856">
        <v>440</v>
      </c>
      <c r="S856" t="str">
        <v>No</v>
      </c>
      <c r="T856">
        <v>0.65</v>
      </c>
      <c r="U856">
        <v>2025</v>
      </c>
      <c r="V856">
        <v>45935</v>
      </c>
      <c r="W856">
        <v>13</v>
      </c>
      <c r="X856" t="str">
        <v>Mixed</v>
      </c>
      <c r="Y856" t="str">
        <v>Music</v>
      </c>
      <c r="Z856" t="str">
        <v>Friends_only</v>
      </c>
      <c r="AA856" t="str">
        <v>Yes</v>
      </c>
      <c r="AB856" t="str">
        <v>No</v>
      </c>
      <c r="AC856">
        <v>3</v>
      </c>
      <c r="AD856" t="str">
        <v>Premium</v>
      </c>
      <c r="AE856">
        <v>1.56</v>
      </c>
      <c r="AF856" s="14">
        <f t="shared" si="13"/>
        <v>0.41590909090909089</v>
      </c>
    </row>
    <row r="857" spans="1:32" x14ac:dyDescent="0.2">
      <c r="A857">
        <v>856</v>
      </c>
      <c r="B857" cm="1">
        <f t="array" ref="B857:AE857">_xlfn.XLOOKUP($A857,Instagram_Usage_Lifestyle_Mini_!$A:$A,Instagram_Usage_Lifestyle_Mini_!$AC:$BF)</f>
        <v>101</v>
      </c>
      <c r="C857">
        <v>3</v>
      </c>
      <c r="D857">
        <v>3</v>
      </c>
      <c r="E857">
        <v>116</v>
      </c>
      <c r="F857">
        <v>80</v>
      </c>
      <c r="G857">
        <v>72</v>
      </c>
      <c r="H857">
        <v>18</v>
      </c>
      <c r="I857">
        <v>21</v>
      </c>
      <c r="J857">
        <v>18</v>
      </c>
      <c r="K857">
        <v>8</v>
      </c>
      <c r="L857">
        <v>3</v>
      </c>
      <c r="M857">
        <v>57</v>
      </c>
      <c r="N857">
        <v>19</v>
      </c>
      <c r="O857">
        <v>13</v>
      </c>
      <c r="P857">
        <v>31</v>
      </c>
      <c r="Q857">
        <v>223</v>
      </c>
      <c r="R857">
        <v>414</v>
      </c>
      <c r="S857" t="str">
        <v>Yes</v>
      </c>
      <c r="T857">
        <v>0.28999999999999998</v>
      </c>
      <c r="U857">
        <v>2011</v>
      </c>
      <c r="V857">
        <v>45959</v>
      </c>
      <c r="W857">
        <v>33.700000000000003</v>
      </c>
      <c r="X857" t="str">
        <v>Videos</v>
      </c>
      <c r="Y857" t="str">
        <v>Food</v>
      </c>
      <c r="Z857" t="str">
        <v>Public</v>
      </c>
      <c r="AA857" t="str">
        <v>Yes</v>
      </c>
      <c r="AB857" t="str">
        <v>Yes</v>
      </c>
      <c r="AC857">
        <v>3</v>
      </c>
      <c r="AD857" t="str">
        <v>Free</v>
      </c>
      <c r="AE857">
        <v>1.1499999999999999</v>
      </c>
      <c r="AF857" s="14">
        <f t="shared" si="13"/>
        <v>0.53864734299516903</v>
      </c>
    </row>
    <row r="858" spans="1:32" x14ac:dyDescent="0.2">
      <c r="A858">
        <v>857</v>
      </c>
      <c r="B858" cm="1">
        <f t="array" ref="B858:AE858">_xlfn.XLOOKUP($A858,Instagram_Usage_Lifestyle_Mini_!$A:$A,Instagram_Usage_Lifestyle_Mini_!$AC:$BF)</f>
        <v>266</v>
      </c>
      <c r="C858">
        <v>8</v>
      </c>
      <c r="D858">
        <v>2</v>
      </c>
      <c r="E858">
        <v>188</v>
      </c>
      <c r="F858">
        <v>148</v>
      </c>
      <c r="G858">
        <v>142</v>
      </c>
      <c r="H858">
        <v>54</v>
      </c>
      <c r="I858">
        <v>40</v>
      </c>
      <c r="J858">
        <v>39</v>
      </c>
      <c r="K858">
        <v>32</v>
      </c>
      <c r="L858">
        <v>6</v>
      </c>
      <c r="M858">
        <v>148</v>
      </c>
      <c r="N858">
        <v>44</v>
      </c>
      <c r="O858">
        <v>58</v>
      </c>
      <c r="P858">
        <v>76</v>
      </c>
      <c r="Q858">
        <v>2616</v>
      </c>
      <c r="R858">
        <v>3241</v>
      </c>
      <c r="S858" t="str">
        <v>No</v>
      </c>
      <c r="T858">
        <v>0.4</v>
      </c>
      <c r="U858">
        <v>2023</v>
      </c>
      <c r="V858">
        <v>45941</v>
      </c>
      <c r="W858">
        <v>33.200000000000003</v>
      </c>
      <c r="X858" t="str">
        <v>Mixed</v>
      </c>
      <c r="Y858" t="str">
        <v>Art</v>
      </c>
      <c r="Z858" t="str">
        <v>Private</v>
      </c>
      <c r="AA858" t="str">
        <v>Yes</v>
      </c>
      <c r="AB858" t="str">
        <v>No</v>
      </c>
      <c r="AC858">
        <v>4</v>
      </c>
      <c r="AD858" t="str">
        <v>Free</v>
      </c>
      <c r="AE858">
        <v>0.96</v>
      </c>
      <c r="AF858" s="14">
        <f t="shared" si="13"/>
        <v>0.80715828448009874</v>
      </c>
    </row>
    <row r="859" spans="1:32" x14ac:dyDescent="0.2">
      <c r="A859">
        <v>858</v>
      </c>
      <c r="B859" cm="1">
        <f t="array" ref="B859:AE859">_xlfn.XLOOKUP($A859,Instagram_Usage_Lifestyle_Mini_!$A:$A,Instagram_Usage_Lifestyle_Mini_!$AC:$BF)</f>
        <v>112</v>
      </c>
      <c r="C859">
        <v>8</v>
      </c>
      <c r="D859">
        <v>1</v>
      </c>
      <c r="E859">
        <v>115</v>
      </c>
      <c r="F859">
        <v>79</v>
      </c>
      <c r="G859">
        <v>63</v>
      </c>
      <c r="H859">
        <v>21</v>
      </c>
      <c r="I859">
        <v>23</v>
      </c>
      <c r="J859">
        <v>25</v>
      </c>
      <c r="K859">
        <v>8</v>
      </c>
      <c r="L859">
        <v>4</v>
      </c>
      <c r="M859">
        <v>64</v>
      </c>
      <c r="N859">
        <v>29</v>
      </c>
      <c r="O859">
        <v>28</v>
      </c>
      <c r="P859">
        <v>41</v>
      </c>
      <c r="Q859">
        <v>379</v>
      </c>
      <c r="R859">
        <v>426</v>
      </c>
      <c r="S859" t="str">
        <v>No</v>
      </c>
      <c r="T859">
        <v>0.21</v>
      </c>
      <c r="U859">
        <v>2012</v>
      </c>
      <c r="V859">
        <v>45890</v>
      </c>
      <c r="W859">
        <v>14</v>
      </c>
      <c r="X859" t="str">
        <v>Live</v>
      </c>
      <c r="Y859" t="str">
        <v>Tech</v>
      </c>
      <c r="Z859" t="str">
        <v>Public</v>
      </c>
      <c r="AA859" t="str">
        <v>Yes</v>
      </c>
      <c r="AB859" t="str">
        <v>No</v>
      </c>
      <c r="AC859">
        <v>5</v>
      </c>
      <c r="AD859" t="str">
        <v>Free</v>
      </c>
      <c r="AE859">
        <v>0.96</v>
      </c>
      <c r="AF859" s="14">
        <f t="shared" si="13"/>
        <v>0.88967136150234738</v>
      </c>
    </row>
    <row r="860" spans="1:32" x14ac:dyDescent="0.2">
      <c r="A860">
        <v>859</v>
      </c>
      <c r="B860" cm="1">
        <f t="array" ref="B860:AE860">_xlfn.XLOOKUP($A860,Instagram_Usage_Lifestyle_Mini_!$A:$A,Instagram_Usage_Lifestyle_Mini_!$AC:$BF)</f>
        <v>5</v>
      </c>
      <c r="C860">
        <v>1</v>
      </c>
      <c r="D860">
        <v>3</v>
      </c>
      <c r="E860">
        <v>38</v>
      </c>
      <c r="F860">
        <v>40</v>
      </c>
      <c r="G860">
        <v>22</v>
      </c>
      <c r="H860">
        <v>6</v>
      </c>
      <c r="I860">
        <v>14</v>
      </c>
      <c r="J860">
        <v>7</v>
      </c>
      <c r="K860">
        <v>8</v>
      </c>
      <c r="L860">
        <v>2</v>
      </c>
      <c r="M860">
        <v>3</v>
      </c>
      <c r="N860">
        <v>1</v>
      </c>
      <c r="O860">
        <v>1</v>
      </c>
      <c r="P860">
        <v>1</v>
      </c>
      <c r="Q860">
        <v>1011</v>
      </c>
      <c r="R860">
        <v>2201</v>
      </c>
      <c r="S860" t="str">
        <v>No</v>
      </c>
      <c r="T860">
        <v>0.37</v>
      </c>
      <c r="U860">
        <v>2019</v>
      </c>
      <c r="V860">
        <v>45764</v>
      </c>
      <c r="W860">
        <v>5</v>
      </c>
      <c r="X860" t="str">
        <v>Reels</v>
      </c>
      <c r="Y860" t="str">
        <v>Tech</v>
      </c>
      <c r="Z860" t="str">
        <v>Public</v>
      </c>
      <c r="AA860" t="str">
        <v>No</v>
      </c>
      <c r="AB860" t="str">
        <v>Yes</v>
      </c>
      <c r="AC860">
        <v>1</v>
      </c>
      <c r="AD860" t="str">
        <v>Free</v>
      </c>
      <c r="AE860">
        <v>7.17</v>
      </c>
      <c r="AF860" s="14">
        <f t="shared" si="13"/>
        <v>0.45933666515220356</v>
      </c>
    </row>
    <row r="861" spans="1:32" x14ac:dyDescent="0.2">
      <c r="A861">
        <v>860</v>
      </c>
      <c r="B861" cm="1">
        <f t="array" ref="B861:AE861">_xlfn.XLOOKUP($A861,Instagram_Usage_Lifestyle_Mini_!$A:$A,Instagram_Usage_Lifestyle_Mini_!$AC:$BF)</f>
        <v>197</v>
      </c>
      <c r="C861">
        <v>6</v>
      </c>
      <c r="D861">
        <v>6</v>
      </c>
      <c r="E861">
        <v>243</v>
      </c>
      <c r="F861">
        <v>120</v>
      </c>
      <c r="G861">
        <v>110</v>
      </c>
      <c r="H861">
        <v>38</v>
      </c>
      <c r="I861">
        <v>39</v>
      </c>
      <c r="J861">
        <v>39</v>
      </c>
      <c r="K861">
        <v>15</v>
      </c>
      <c r="L861">
        <v>3</v>
      </c>
      <c r="M861">
        <v>88</v>
      </c>
      <c r="N861">
        <v>29</v>
      </c>
      <c r="O861">
        <v>20</v>
      </c>
      <c r="P861">
        <v>71</v>
      </c>
      <c r="Q861">
        <v>1644</v>
      </c>
      <c r="R861">
        <v>4109</v>
      </c>
      <c r="S861" t="str">
        <v>No</v>
      </c>
      <c r="T861">
        <v>0.03</v>
      </c>
      <c r="U861">
        <v>2010</v>
      </c>
      <c r="V861">
        <v>45805</v>
      </c>
      <c r="W861">
        <v>32.799999999999997</v>
      </c>
      <c r="X861" t="str">
        <v>Photos</v>
      </c>
      <c r="Y861" t="str">
        <v>Tech</v>
      </c>
      <c r="Z861" t="str">
        <v>Friends_only</v>
      </c>
      <c r="AA861" t="str">
        <v>No</v>
      </c>
      <c r="AB861" t="str">
        <v>Yes</v>
      </c>
      <c r="AC861">
        <v>3</v>
      </c>
      <c r="AD861" t="str">
        <v>Free</v>
      </c>
      <c r="AE861">
        <v>1.03</v>
      </c>
      <c r="AF861" s="14">
        <f t="shared" si="13"/>
        <v>0.40009734728644442</v>
      </c>
    </row>
    <row r="862" spans="1:32" x14ac:dyDescent="0.2">
      <c r="A862">
        <v>861</v>
      </c>
      <c r="B862" cm="1">
        <f t="array" ref="B862:AE862">_xlfn.XLOOKUP($A862,Instagram_Usage_Lifestyle_Mini_!$A:$A,Instagram_Usage_Lifestyle_Mini_!$AC:$BF)</f>
        <v>302</v>
      </c>
      <c r="C862">
        <v>9</v>
      </c>
      <c r="D862">
        <v>12</v>
      </c>
      <c r="E862">
        <v>300</v>
      </c>
      <c r="F862">
        <v>142</v>
      </c>
      <c r="G862">
        <v>182</v>
      </c>
      <c r="H862">
        <v>45</v>
      </c>
      <c r="I862">
        <v>34</v>
      </c>
      <c r="J862">
        <v>66</v>
      </c>
      <c r="K862">
        <v>30</v>
      </c>
      <c r="L862">
        <v>7</v>
      </c>
      <c r="M862">
        <v>123</v>
      </c>
      <c r="N862">
        <v>83</v>
      </c>
      <c r="O862">
        <v>50</v>
      </c>
      <c r="P862">
        <v>70</v>
      </c>
      <c r="Q862">
        <v>619</v>
      </c>
      <c r="R862">
        <v>1408</v>
      </c>
      <c r="S862" t="str">
        <v>No</v>
      </c>
      <c r="T862">
        <v>0.42</v>
      </c>
      <c r="U862">
        <v>2024</v>
      </c>
      <c r="V862">
        <v>45757</v>
      </c>
      <c r="W862">
        <v>33.6</v>
      </c>
      <c r="X862" t="str">
        <v>Live</v>
      </c>
      <c r="Y862" t="str">
        <v>Fitness</v>
      </c>
      <c r="Z862" t="str">
        <v>Public</v>
      </c>
      <c r="AA862" t="str">
        <v>Yes</v>
      </c>
      <c r="AB862" t="str">
        <v>No</v>
      </c>
      <c r="AC862">
        <v>2</v>
      </c>
      <c r="AD862" t="str">
        <v>Free</v>
      </c>
      <c r="AE862">
        <v>1.02</v>
      </c>
      <c r="AF862" s="14">
        <f t="shared" si="13"/>
        <v>0.43963068181818182</v>
      </c>
    </row>
    <row r="863" spans="1:32" x14ac:dyDescent="0.2">
      <c r="A863">
        <v>862</v>
      </c>
      <c r="B863" cm="1">
        <f t="array" ref="B863:AE863">_xlfn.XLOOKUP($A863,Instagram_Usage_Lifestyle_Mini_!$A:$A,Instagram_Usage_Lifestyle_Mini_!$AC:$BF)</f>
        <v>188</v>
      </c>
      <c r="C863">
        <v>21</v>
      </c>
      <c r="D863">
        <v>4</v>
      </c>
      <c r="E863">
        <v>144</v>
      </c>
      <c r="F863">
        <v>98</v>
      </c>
      <c r="G863">
        <v>119</v>
      </c>
      <c r="H863">
        <v>33</v>
      </c>
      <c r="I863">
        <v>26</v>
      </c>
      <c r="J863">
        <v>34</v>
      </c>
      <c r="K863">
        <v>20</v>
      </c>
      <c r="L863">
        <v>9</v>
      </c>
      <c r="M863">
        <v>94</v>
      </c>
      <c r="N863">
        <v>26</v>
      </c>
      <c r="O863">
        <v>34</v>
      </c>
      <c r="P863">
        <v>74</v>
      </c>
      <c r="Q863">
        <v>364</v>
      </c>
      <c r="R863">
        <v>824</v>
      </c>
      <c r="S863" t="str">
        <v>No</v>
      </c>
      <c r="T863">
        <v>0.04</v>
      </c>
      <c r="U863">
        <v>2019</v>
      </c>
      <c r="V863">
        <v>46020</v>
      </c>
      <c r="W863">
        <v>9</v>
      </c>
      <c r="X863" t="str">
        <v>Mixed</v>
      </c>
      <c r="Y863" t="str">
        <v>Music</v>
      </c>
      <c r="Z863" t="str">
        <v>Private</v>
      </c>
      <c r="AA863" t="str">
        <v>No</v>
      </c>
      <c r="AB863" t="str">
        <v>No</v>
      </c>
      <c r="AC863">
        <v>2</v>
      </c>
      <c r="AD863" t="str">
        <v>Premium</v>
      </c>
      <c r="AE863">
        <v>1.04</v>
      </c>
      <c r="AF863" s="14">
        <f t="shared" si="13"/>
        <v>0.44174757281553401</v>
      </c>
    </row>
    <row r="864" spans="1:32" x14ac:dyDescent="0.2">
      <c r="A864">
        <v>863</v>
      </c>
      <c r="B864" cm="1">
        <f t="array" ref="B864:AE864">_xlfn.XLOOKUP($A864,Instagram_Usage_Lifestyle_Mini_!$A:$A,Instagram_Usage_Lifestyle_Mini_!$AC:$BF)</f>
        <v>291</v>
      </c>
      <c r="C864">
        <v>21</v>
      </c>
      <c r="D864">
        <v>6</v>
      </c>
      <c r="E864">
        <v>300</v>
      </c>
      <c r="F864">
        <v>150</v>
      </c>
      <c r="G864">
        <v>181</v>
      </c>
      <c r="H864">
        <v>55</v>
      </c>
      <c r="I864">
        <v>33</v>
      </c>
      <c r="J864">
        <v>56</v>
      </c>
      <c r="K864">
        <v>24</v>
      </c>
      <c r="L864">
        <v>6</v>
      </c>
      <c r="M864">
        <v>117</v>
      </c>
      <c r="N864">
        <v>30</v>
      </c>
      <c r="O864">
        <v>53</v>
      </c>
      <c r="P864">
        <v>88</v>
      </c>
      <c r="Q864">
        <v>495</v>
      </c>
      <c r="R864">
        <v>1012</v>
      </c>
      <c r="S864" t="str">
        <v>No</v>
      </c>
      <c r="T864">
        <v>0</v>
      </c>
      <c r="U864">
        <v>2015</v>
      </c>
      <c r="V864">
        <v>45746</v>
      </c>
      <c r="W864">
        <v>13.9</v>
      </c>
      <c r="X864" t="str">
        <v>Stories</v>
      </c>
      <c r="Y864" t="str">
        <v>Fashion</v>
      </c>
      <c r="Z864" t="str">
        <v>Public</v>
      </c>
      <c r="AA864" t="str">
        <v>Yes</v>
      </c>
      <c r="AB864" t="str">
        <v>No</v>
      </c>
      <c r="AC864">
        <v>3</v>
      </c>
      <c r="AD864" t="str">
        <v>Free</v>
      </c>
      <c r="AE864">
        <v>1.06</v>
      </c>
      <c r="AF864" s="14">
        <f t="shared" si="13"/>
        <v>0.4891304347826087</v>
      </c>
    </row>
    <row r="865" spans="1:32" x14ac:dyDescent="0.2">
      <c r="A865">
        <v>864</v>
      </c>
      <c r="B865" cm="1">
        <f t="array" ref="B865:AE865">_xlfn.XLOOKUP($A865,Instagram_Usage_Lifestyle_Mini_!$A:$A,Instagram_Usage_Lifestyle_Mini_!$AC:$BF)</f>
        <v>352</v>
      </c>
      <c r="C865">
        <v>11</v>
      </c>
      <c r="D865">
        <v>6</v>
      </c>
      <c r="E865">
        <v>237</v>
      </c>
      <c r="F865">
        <v>150</v>
      </c>
      <c r="G865">
        <v>217</v>
      </c>
      <c r="H865">
        <v>49</v>
      </c>
      <c r="I865">
        <v>39</v>
      </c>
      <c r="J865">
        <v>56</v>
      </c>
      <c r="K865">
        <v>33</v>
      </c>
      <c r="L865">
        <v>10</v>
      </c>
      <c r="M865">
        <v>193</v>
      </c>
      <c r="N865">
        <v>71</v>
      </c>
      <c r="O865">
        <v>41</v>
      </c>
      <c r="P865">
        <v>102</v>
      </c>
      <c r="Q865">
        <v>1498</v>
      </c>
      <c r="R865">
        <v>1771</v>
      </c>
      <c r="S865" t="str">
        <v>No</v>
      </c>
      <c r="T865">
        <v>0.85</v>
      </c>
      <c r="U865">
        <v>2010</v>
      </c>
      <c r="V865">
        <v>46012</v>
      </c>
      <c r="W865">
        <v>32</v>
      </c>
      <c r="X865" t="str">
        <v>Live</v>
      </c>
      <c r="Y865" t="str">
        <v>Tech</v>
      </c>
      <c r="Z865" t="str">
        <v>Public</v>
      </c>
      <c r="AA865" t="str">
        <v>No</v>
      </c>
      <c r="AB865" t="str">
        <v>No</v>
      </c>
      <c r="AC865">
        <v>5</v>
      </c>
      <c r="AD865" t="str">
        <v>Free</v>
      </c>
      <c r="AE865">
        <v>0.94</v>
      </c>
      <c r="AF865" s="14">
        <f t="shared" si="13"/>
        <v>0.8458498023715415</v>
      </c>
    </row>
    <row r="866" spans="1:32" x14ac:dyDescent="0.2">
      <c r="A866">
        <v>865</v>
      </c>
      <c r="B866" cm="1">
        <f t="array" ref="B866:AE866">_xlfn.XLOOKUP($A866,Instagram_Usage_Lifestyle_Mini_!$A:$A,Instagram_Usage_Lifestyle_Mini_!$AC:$BF)</f>
        <v>113</v>
      </c>
      <c r="C866">
        <v>7</v>
      </c>
      <c r="D866">
        <v>3</v>
      </c>
      <c r="E866">
        <v>204</v>
      </c>
      <c r="F866">
        <v>77</v>
      </c>
      <c r="G866">
        <v>97</v>
      </c>
      <c r="H866">
        <v>28</v>
      </c>
      <c r="I866">
        <v>23</v>
      </c>
      <c r="J866">
        <v>23</v>
      </c>
      <c r="K866">
        <v>10</v>
      </c>
      <c r="L866">
        <v>5</v>
      </c>
      <c r="M866">
        <v>51</v>
      </c>
      <c r="N866">
        <v>25</v>
      </c>
      <c r="O866">
        <v>20</v>
      </c>
      <c r="P866">
        <v>34</v>
      </c>
      <c r="Q866">
        <v>7002</v>
      </c>
      <c r="R866">
        <v>3565</v>
      </c>
      <c r="S866" t="str">
        <v>No</v>
      </c>
      <c r="T866">
        <v>0.21</v>
      </c>
      <c r="U866">
        <v>2016</v>
      </c>
      <c r="V866">
        <v>45682</v>
      </c>
      <c r="W866">
        <v>16.100000000000001</v>
      </c>
      <c r="X866" t="str">
        <v>Stories</v>
      </c>
      <c r="Y866" t="str">
        <v>Fashion</v>
      </c>
      <c r="Z866" t="str">
        <v>Public</v>
      </c>
      <c r="AA866" t="str">
        <v>Yes</v>
      </c>
      <c r="AB866" t="str">
        <v>No</v>
      </c>
      <c r="AC866">
        <v>3</v>
      </c>
      <c r="AD866" t="str">
        <v>Free</v>
      </c>
      <c r="AE866">
        <v>1.42</v>
      </c>
      <c r="AF866" s="14">
        <f t="shared" si="13"/>
        <v>1.9640953716690042</v>
      </c>
    </row>
    <row r="867" spans="1:32" x14ac:dyDescent="0.2">
      <c r="A867">
        <v>866</v>
      </c>
      <c r="B867" cm="1">
        <f t="array" ref="B867:AE867">_xlfn.XLOOKUP($A867,Instagram_Usage_Lifestyle_Mini_!$A:$A,Instagram_Usage_Lifestyle_Mini_!$AC:$BF)</f>
        <v>161</v>
      </c>
      <c r="C867">
        <v>16</v>
      </c>
      <c r="D867">
        <v>13</v>
      </c>
      <c r="E867">
        <v>216</v>
      </c>
      <c r="F867">
        <v>92</v>
      </c>
      <c r="G867">
        <v>122</v>
      </c>
      <c r="H867">
        <v>38</v>
      </c>
      <c r="I867">
        <v>20</v>
      </c>
      <c r="J867">
        <v>27</v>
      </c>
      <c r="K867">
        <v>16</v>
      </c>
      <c r="L867">
        <v>9</v>
      </c>
      <c r="M867">
        <v>94</v>
      </c>
      <c r="N867">
        <v>23</v>
      </c>
      <c r="O867">
        <v>20</v>
      </c>
      <c r="P867">
        <v>43</v>
      </c>
      <c r="Q867">
        <v>218</v>
      </c>
      <c r="R867">
        <v>317</v>
      </c>
      <c r="S867" t="str">
        <v>Yes</v>
      </c>
      <c r="T867">
        <v>0.84</v>
      </c>
      <c r="U867">
        <v>2018</v>
      </c>
      <c r="V867">
        <v>45806</v>
      </c>
      <c r="W867">
        <v>10.1</v>
      </c>
      <c r="X867" t="str">
        <v>Stories</v>
      </c>
      <c r="Y867" t="str">
        <v>Fashion</v>
      </c>
      <c r="Z867" t="str">
        <v>Public</v>
      </c>
      <c r="AA867" t="str">
        <v>Yes</v>
      </c>
      <c r="AB867" t="str">
        <v>No</v>
      </c>
      <c r="AC867">
        <v>3</v>
      </c>
      <c r="AD867" t="str">
        <v>Premium</v>
      </c>
      <c r="AE867">
        <v>1.46</v>
      </c>
      <c r="AF867" s="14">
        <f t="shared" si="13"/>
        <v>0.68769716088328081</v>
      </c>
    </row>
    <row r="868" spans="1:32" x14ac:dyDescent="0.2">
      <c r="A868">
        <v>867</v>
      </c>
      <c r="B868" cm="1">
        <f t="array" ref="B868:AE868">_xlfn.XLOOKUP($A868,Instagram_Usage_Lifestyle_Mini_!$A:$A,Instagram_Usage_Lifestyle_Mini_!$AC:$BF)</f>
        <v>220</v>
      </c>
      <c r="C868">
        <v>18</v>
      </c>
      <c r="D868">
        <v>5</v>
      </c>
      <c r="E868">
        <v>170</v>
      </c>
      <c r="F868">
        <v>117</v>
      </c>
      <c r="G868">
        <v>133</v>
      </c>
      <c r="H868">
        <v>37</v>
      </c>
      <c r="I868">
        <v>27</v>
      </c>
      <c r="J868">
        <v>38</v>
      </c>
      <c r="K868">
        <v>22</v>
      </c>
      <c r="L868">
        <v>4</v>
      </c>
      <c r="M868">
        <v>99</v>
      </c>
      <c r="N868">
        <v>38</v>
      </c>
      <c r="O868">
        <v>50</v>
      </c>
      <c r="P868">
        <v>73</v>
      </c>
      <c r="Q868">
        <v>1621</v>
      </c>
      <c r="R868">
        <v>3821</v>
      </c>
      <c r="S868" t="str">
        <v>No</v>
      </c>
      <c r="T868">
        <v>0.49</v>
      </c>
      <c r="U868">
        <v>2023</v>
      </c>
      <c r="V868">
        <v>45779</v>
      </c>
      <c r="W868">
        <v>12.2</v>
      </c>
      <c r="X868" t="str">
        <v>Mixed</v>
      </c>
      <c r="Y868" t="str">
        <v>Other</v>
      </c>
      <c r="Z868" t="str">
        <v>Friends_only</v>
      </c>
      <c r="AA868" t="str">
        <v>Yes</v>
      </c>
      <c r="AB868" t="str">
        <v>No</v>
      </c>
      <c r="AC868">
        <v>4</v>
      </c>
      <c r="AD868" t="str">
        <v>Premium</v>
      </c>
      <c r="AE868">
        <v>1</v>
      </c>
      <c r="AF868" s="14">
        <f t="shared" si="13"/>
        <v>0.42423449358806598</v>
      </c>
    </row>
    <row r="869" spans="1:32" x14ac:dyDescent="0.2">
      <c r="A869">
        <v>868</v>
      </c>
      <c r="B869" cm="1">
        <f t="array" ref="B869:AE869">_xlfn.XLOOKUP($A869,Instagram_Usage_Lifestyle_Mini_!$A:$A,Instagram_Usage_Lifestyle_Mini_!$AC:$BF)</f>
        <v>102</v>
      </c>
      <c r="C869">
        <v>3</v>
      </c>
      <c r="D869">
        <v>5</v>
      </c>
      <c r="E869">
        <v>195</v>
      </c>
      <c r="F869">
        <v>71</v>
      </c>
      <c r="G869">
        <v>81</v>
      </c>
      <c r="H869">
        <v>22</v>
      </c>
      <c r="I869">
        <v>22</v>
      </c>
      <c r="J869">
        <v>16</v>
      </c>
      <c r="K869">
        <v>10</v>
      </c>
      <c r="L869">
        <v>1</v>
      </c>
      <c r="M869">
        <v>52</v>
      </c>
      <c r="N869">
        <v>28</v>
      </c>
      <c r="O869">
        <v>11</v>
      </c>
      <c r="P869">
        <v>23</v>
      </c>
      <c r="Q869">
        <v>761</v>
      </c>
      <c r="R869">
        <v>1589</v>
      </c>
      <c r="S869" t="str">
        <v>Yes</v>
      </c>
      <c r="T869">
        <v>0.5</v>
      </c>
      <c r="U869">
        <v>2014</v>
      </c>
      <c r="V869">
        <v>45745</v>
      </c>
      <c r="W869">
        <v>34</v>
      </c>
      <c r="X869" t="str">
        <v>Stories</v>
      </c>
      <c r="Y869" t="str">
        <v>Other</v>
      </c>
      <c r="Z869" t="str">
        <v>Public</v>
      </c>
      <c r="AA869" t="str">
        <v>Yes</v>
      </c>
      <c r="AB869" t="str">
        <v>No</v>
      </c>
      <c r="AC869">
        <v>3</v>
      </c>
      <c r="AD869" t="str">
        <v>Free</v>
      </c>
      <c r="AE869">
        <v>1.36</v>
      </c>
      <c r="AF869" s="14">
        <f t="shared" si="13"/>
        <v>0.47891755821271242</v>
      </c>
    </row>
    <row r="870" spans="1:32" x14ac:dyDescent="0.2">
      <c r="A870">
        <v>869</v>
      </c>
      <c r="B870" cm="1">
        <f t="array" ref="B870:AE870">_xlfn.XLOOKUP($A870,Instagram_Usage_Lifestyle_Mini_!$A:$A,Instagram_Usage_Lifestyle_Mini_!$AC:$BF)</f>
        <v>307</v>
      </c>
      <c r="C870">
        <v>10</v>
      </c>
      <c r="D870">
        <v>5</v>
      </c>
      <c r="E870">
        <v>231</v>
      </c>
      <c r="F870">
        <v>150</v>
      </c>
      <c r="G870">
        <v>170</v>
      </c>
      <c r="H870">
        <v>47</v>
      </c>
      <c r="I870">
        <v>35</v>
      </c>
      <c r="J870">
        <v>51</v>
      </c>
      <c r="K870">
        <v>28</v>
      </c>
      <c r="L870">
        <v>5</v>
      </c>
      <c r="M870">
        <v>184</v>
      </c>
      <c r="N870">
        <v>90</v>
      </c>
      <c r="O870">
        <v>67</v>
      </c>
      <c r="P870">
        <v>102</v>
      </c>
      <c r="Q870">
        <v>1454</v>
      </c>
      <c r="R870">
        <v>3298</v>
      </c>
      <c r="S870" t="str">
        <v>Yes</v>
      </c>
      <c r="T870">
        <v>0.39</v>
      </c>
      <c r="U870">
        <v>2025</v>
      </c>
      <c r="V870">
        <v>45756</v>
      </c>
      <c r="W870">
        <v>30.7</v>
      </c>
      <c r="X870" t="str">
        <v>Videos</v>
      </c>
      <c r="Y870" t="str">
        <v>Art</v>
      </c>
      <c r="Z870" t="str">
        <v>Friends_only</v>
      </c>
      <c r="AA870" t="str">
        <v>Yes</v>
      </c>
      <c r="AB870" t="str">
        <v>No</v>
      </c>
      <c r="AC870">
        <v>3</v>
      </c>
      <c r="AD870" t="str">
        <v>Free</v>
      </c>
      <c r="AE870">
        <v>0.91</v>
      </c>
      <c r="AF870" s="14">
        <f t="shared" si="13"/>
        <v>0.44087325651910247</v>
      </c>
    </row>
    <row r="871" spans="1:32" x14ac:dyDescent="0.2">
      <c r="A871">
        <v>870</v>
      </c>
      <c r="B871" cm="1">
        <f t="array" ref="B871:AE871">_xlfn.XLOOKUP($A871,Instagram_Usage_Lifestyle_Mini_!$A:$A,Instagram_Usage_Lifestyle_Mini_!$AC:$BF)</f>
        <v>239</v>
      </c>
      <c r="C871">
        <v>9</v>
      </c>
      <c r="D871">
        <v>5</v>
      </c>
      <c r="E871">
        <v>177</v>
      </c>
      <c r="F871">
        <v>124</v>
      </c>
      <c r="G871">
        <v>125</v>
      </c>
      <c r="H871">
        <v>36</v>
      </c>
      <c r="I871">
        <v>25</v>
      </c>
      <c r="J871">
        <v>36</v>
      </c>
      <c r="K871">
        <v>20</v>
      </c>
      <c r="L871">
        <v>4</v>
      </c>
      <c r="M871">
        <v>111</v>
      </c>
      <c r="N871">
        <v>42</v>
      </c>
      <c r="O871">
        <v>26</v>
      </c>
      <c r="P871">
        <v>87</v>
      </c>
      <c r="Q871">
        <v>958</v>
      </c>
      <c r="R871">
        <v>818</v>
      </c>
      <c r="S871" t="str">
        <v>No</v>
      </c>
      <c r="T871">
        <v>0.98</v>
      </c>
      <c r="U871">
        <v>2018</v>
      </c>
      <c r="V871">
        <v>45732</v>
      </c>
      <c r="W871">
        <v>26.6</v>
      </c>
      <c r="X871" t="str">
        <v>Photos</v>
      </c>
      <c r="Y871" t="str">
        <v>Art</v>
      </c>
      <c r="Z871" t="str">
        <v>Public</v>
      </c>
      <c r="AA871" t="str">
        <v>Yes</v>
      </c>
      <c r="AB871" t="str">
        <v>No</v>
      </c>
      <c r="AC871">
        <v>2</v>
      </c>
      <c r="AD871" t="str">
        <v>Free</v>
      </c>
      <c r="AE871">
        <v>0.88</v>
      </c>
      <c r="AF871" s="14">
        <f t="shared" si="13"/>
        <v>1.1711491442542787</v>
      </c>
    </row>
    <row r="872" spans="1:32" x14ac:dyDescent="0.2">
      <c r="A872">
        <v>871</v>
      </c>
      <c r="B872" cm="1">
        <f t="array" ref="B872:AE872">_xlfn.XLOOKUP($A872,Instagram_Usage_Lifestyle_Mini_!$A:$A,Instagram_Usage_Lifestyle_Mini_!$AC:$BF)</f>
        <v>276</v>
      </c>
      <c r="C872">
        <v>14</v>
      </c>
      <c r="D872">
        <v>11</v>
      </c>
      <c r="E872">
        <v>300</v>
      </c>
      <c r="F872">
        <v>137</v>
      </c>
      <c r="G872">
        <v>165</v>
      </c>
      <c r="H872">
        <v>55</v>
      </c>
      <c r="I872">
        <v>35</v>
      </c>
      <c r="J872">
        <v>35</v>
      </c>
      <c r="K872">
        <v>19</v>
      </c>
      <c r="L872">
        <v>8</v>
      </c>
      <c r="M872">
        <v>159</v>
      </c>
      <c r="N872">
        <v>46</v>
      </c>
      <c r="O872">
        <v>61</v>
      </c>
      <c r="P872">
        <v>96</v>
      </c>
      <c r="Q872">
        <v>428</v>
      </c>
      <c r="R872">
        <v>340</v>
      </c>
      <c r="S872" t="str">
        <v>No</v>
      </c>
      <c r="T872">
        <v>0.38</v>
      </c>
      <c r="U872">
        <v>2024</v>
      </c>
      <c r="V872">
        <v>45694</v>
      </c>
      <c r="W872">
        <v>19.7</v>
      </c>
      <c r="X872" t="str">
        <v>Stories</v>
      </c>
      <c r="Y872" t="str">
        <v>Other</v>
      </c>
      <c r="Z872" t="str">
        <v>Public</v>
      </c>
      <c r="AA872" t="str">
        <v>Yes</v>
      </c>
      <c r="AB872" t="str">
        <v>No</v>
      </c>
      <c r="AC872">
        <v>3</v>
      </c>
      <c r="AD872" t="str">
        <v>Free</v>
      </c>
      <c r="AE872">
        <v>1.1100000000000001</v>
      </c>
      <c r="AF872" s="14">
        <f t="shared" si="13"/>
        <v>1.2588235294117647</v>
      </c>
    </row>
    <row r="873" spans="1:32" x14ac:dyDescent="0.2">
      <c r="A873">
        <v>872</v>
      </c>
      <c r="B873" cm="1">
        <f t="array" ref="B873:AE873">_xlfn.XLOOKUP($A873,Instagram_Usage_Lifestyle_Mini_!$A:$A,Instagram_Usage_Lifestyle_Mini_!$AC:$BF)</f>
        <v>308</v>
      </c>
      <c r="C873">
        <v>29</v>
      </c>
      <c r="D873">
        <v>7</v>
      </c>
      <c r="E873">
        <v>288</v>
      </c>
      <c r="F873">
        <v>150</v>
      </c>
      <c r="G873">
        <v>171</v>
      </c>
      <c r="H873">
        <v>42</v>
      </c>
      <c r="I873">
        <v>48</v>
      </c>
      <c r="J873">
        <v>36</v>
      </c>
      <c r="K873">
        <v>33</v>
      </c>
      <c r="L873">
        <v>7</v>
      </c>
      <c r="M873">
        <v>184</v>
      </c>
      <c r="N873">
        <v>66</v>
      </c>
      <c r="O873">
        <v>58</v>
      </c>
      <c r="P873">
        <v>84</v>
      </c>
      <c r="Q873">
        <v>2272</v>
      </c>
      <c r="R873">
        <v>3753</v>
      </c>
      <c r="S873" t="str">
        <v>Yes</v>
      </c>
      <c r="T873">
        <v>0.63</v>
      </c>
      <c r="U873">
        <v>2021</v>
      </c>
      <c r="V873">
        <v>45830</v>
      </c>
      <c r="W873">
        <v>10.6</v>
      </c>
      <c r="X873" t="str">
        <v>Reels</v>
      </c>
      <c r="Y873" t="str">
        <v>Art</v>
      </c>
      <c r="Z873" t="str">
        <v>Public</v>
      </c>
      <c r="AA873" t="str">
        <v>No</v>
      </c>
      <c r="AB873" t="str">
        <v>No</v>
      </c>
      <c r="AC873">
        <v>4</v>
      </c>
      <c r="AD873" t="str">
        <v>Business</v>
      </c>
      <c r="AE873">
        <v>0.89</v>
      </c>
      <c r="AF873" s="14">
        <f t="shared" si="13"/>
        <v>0.60538236077804419</v>
      </c>
    </row>
    <row r="874" spans="1:32" x14ac:dyDescent="0.2">
      <c r="A874">
        <v>873</v>
      </c>
      <c r="B874" cm="1">
        <f t="array" ref="B874:AE874">_xlfn.XLOOKUP($A874,Instagram_Usage_Lifestyle_Mini_!$A:$A,Instagram_Usage_Lifestyle_Mini_!$AC:$BF)</f>
        <v>206</v>
      </c>
      <c r="C874">
        <v>6</v>
      </c>
      <c r="D874">
        <v>13</v>
      </c>
      <c r="E874">
        <v>245</v>
      </c>
      <c r="F874">
        <v>119</v>
      </c>
      <c r="G874">
        <v>117</v>
      </c>
      <c r="H874">
        <v>39</v>
      </c>
      <c r="I874">
        <v>35</v>
      </c>
      <c r="J874">
        <v>24</v>
      </c>
      <c r="K874">
        <v>19</v>
      </c>
      <c r="L874">
        <v>2</v>
      </c>
      <c r="M874">
        <v>97</v>
      </c>
      <c r="N874">
        <v>27</v>
      </c>
      <c r="O874">
        <v>31</v>
      </c>
      <c r="P874">
        <v>72</v>
      </c>
      <c r="Q874">
        <v>7439</v>
      </c>
      <c r="R874">
        <v>10000</v>
      </c>
      <c r="S874" t="str">
        <v>No</v>
      </c>
      <c r="T874">
        <v>0.01</v>
      </c>
      <c r="U874">
        <v>2014</v>
      </c>
      <c r="V874">
        <v>45834</v>
      </c>
      <c r="W874">
        <v>34.299999999999997</v>
      </c>
      <c r="X874" t="str">
        <v>Live</v>
      </c>
      <c r="Y874" t="str">
        <v>Food</v>
      </c>
      <c r="Z874" t="str">
        <v>Public</v>
      </c>
      <c r="AA874" t="str">
        <v>Yes</v>
      </c>
      <c r="AB874" t="str">
        <v>No</v>
      </c>
      <c r="AC874">
        <v>0</v>
      </c>
      <c r="AD874" t="str">
        <v>Premium</v>
      </c>
      <c r="AE874">
        <v>1.1299999999999999</v>
      </c>
      <c r="AF874" s="14">
        <f t="shared" si="13"/>
        <v>0.74390000000000001</v>
      </c>
    </row>
    <row r="875" spans="1:32" x14ac:dyDescent="0.2">
      <c r="A875">
        <v>874</v>
      </c>
      <c r="B875" cm="1">
        <f t="array" ref="B875:AE875">_xlfn.XLOOKUP($A875,Instagram_Usage_Lifestyle_Mini_!$A:$A,Instagram_Usage_Lifestyle_Mini_!$AC:$BF)</f>
        <v>157</v>
      </c>
      <c r="C875">
        <v>6</v>
      </c>
      <c r="D875">
        <v>3</v>
      </c>
      <c r="E875">
        <v>133</v>
      </c>
      <c r="F875">
        <v>77</v>
      </c>
      <c r="G875">
        <v>108</v>
      </c>
      <c r="H875">
        <v>36</v>
      </c>
      <c r="I875">
        <v>30</v>
      </c>
      <c r="J875">
        <v>29</v>
      </c>
      <c r="K875">
        <v>14</v>
      </c>
      <c r="L875">
        <v>2</v>
      </c>
      <c r="M875">
        <v>67</v>
      </c>
      <c r="N875">
        <v>43</v>
      </c>
      <c r="O875">
        <v>26</v>
      </c>
      <c r="P875">
        <v>49</v>
      </c>
      <c r="Q875">
        <v>1845</v>
      </c>
      <c r="R875">
        <v>1821</v>
      </c>
      <c r="S875" t="str">
        <v>No</v>
      </c>
      <c r="T875">
        <v>0.37</v>
      </c>
      <c r="U875">
        <v>2022</v>
      </c>
      <c r="V875">
        <v>46017</v>
      </c>
      <c r="W875">
        <v>26.2</v>
      </c>
      <c r="X875" t="str">
        <v>Photos</v>
      </c>
      <c r="Y875" t="str">
        <v>Fashion</v>
      </c>
      <c r="Z875" t="str">
        <v>Friends_only</v>
      </c>
      <c r="AA875" t="str">
        <v>Yes</v>
      </c>
      <c r="AB875" t="str">
        <v>No</v>
      </c>
      <c r="AC875">
        <v>0</v>
      </c>
      <c r="AD875" t="str">
        <v>Premium</v>
      </c>
      <c r="AE875">
        <v>1.2</v>
      </c>
      <c r="AF875" s="14">
        <f t="shared" si="13"/>
        <v>1.0131795716639209</v>
      </c>
    </row>
    <row r="876" spans="1:32" x14ac:dyDescent="0.2">
      <c r="A876">
        <v>875</v>
      </c>
      <c r="B876" cm="1">
        <f t="array" ref="B876:AE876">_xlfn.XLOOKUP($A876,Instagram_Usage_Lifestyle_Mini_!$A:$A,Instagram_Usage_Lifestyle_Mini_!$AC:$BF)</f>
        <v>109</v>
      </c>
      <c r="C876">
        <v>4</v>
      </c>
      <c r="D876">
        <v>2</v>
      </c>
      <c r="E876">
        <v>117</v>
      </c>
      <c r="F876">
        <v>76</v>
      </c>
      <c r="G876">
        <v>65</v>
      </c>
      <c r="H876">
        <v>30</v>
      </c>
      <c r="I876">
        <v>21</v>
      </c>
      <c r="J876">
        <v>23</v>
      </c>
      <c r="K876">
        <v>16</v>
      </c>
      <c r="L876">
        <v>2</v>
      </c>
      <c r="M876">
        <v>45</v>
      </c>
      <c r="N876">
        <v>31</v>
      </c>
      <c r="O876">
        <v>23</v>
      </c>
      <c r="P876">
        <v>30</v>
      </c>
      <c r="Q876">
        <v>2288</v>
      </c>
      <c r="R876">
        <v>3964</v>
      </c>
      <c r="S876" t="str">
        <v>No</v>
      </c>
      <c r="T876">
        <v>0.41</v>
      </c>
      <c r="U876">
        <v>2023</v>
      </c>
      <c r="V876">
        <v>45984</v>
      </c>
      <c r="W876">
        <v>27.2</v>
      </c>
      <c r="X876" t="str">
        <v>Live</v>
      </c>
      <c r="Y876" t="str">
        <v>Fashion</v>
      </c>
      <c r="Z876" t="str">
        <v>Private</v>
      </c>
      <c r="AA876" t="str">
        <v>Yes</v>
      </c>
      <c r="AB876" t="str">
        <v>Yes</v>
      </c>
      <c r="AC876">
        <v>2</v>
      </c>
      <c r="AD876" t="str">
        <v>Free</v>
      </c>
      <c r="AE876">
        <v>1.19</v>
      </c>
      <c r="AF876" s="14">
        <f t="shared" si="13"/>
        <v>0.57719475277497478</v>
      </c>
    </row>
    <row r="877" spans="1:32" x14ac:dyDescent="0.2">
      <c r="A877">
        <v>876</v>
      </c>
      <c r="B877" cm="1">
        <f t="array" ref="B877:AE877">_xlfn.XLOOKUP($A877,Instagram_Usage_Lifestyle_Mini_!$A:$A,Instagram_Usage_Lifestyle_Mini_!$AC:$BF)</f>
        <v>382</v>
      </c>
      <c r="C877">
        <v>13</v>
      </c>
      <c r="D877">
        <v>7</v>
      </c>
      <c r="E877">
        <v>238</v>
      </c>
      <c r="F877">
        <v>150</v>
      </c>
      <c r="G877">
        <v>219</v>
      </c>
      <c r="H877">
        <v>50</v>
      </c>
      <c r="I877">
        <v>49</v>
      </c>
      <c r="J877">
        <v>58</v>
      </c>
      <c r="K877">
        <v>41</v>
      </c>
      <c r="L877">
        <v>4</v>
      </c>
      <c r="M877">
        <v>180</v>
      </c>
      <c r="N877">
        <v>111</v>
      </c>
      <c r="O877">
        <v>63</v>
      </c>
      <c r="P877">
        <v>107</v>
      </c>
      <c r="Q877">
        <v>213</v>
      </c>
      <c r="R877">
        <v>93</v>
      </c>
      <c r="S877" t="str">
        <v>No</v>
      </c>
      <c r="T877">
        <v>0.36</v>
      </c>
      <c r="U877">
        <v>2015</v>
      </c>
      <c r="V877">
        <v>45691</v>
      </c>
      <c r="W877">
        <v>29.4</v>
      </c>
      <c r="X877" t="str">
        <v>Mixed</v>
      </c>
      <c r="Y877" t="str">
        <v>Music</v>
      </c>
      <c r="Z877" t="str">
        <v>Private</v>
      </c>
      <c r="AA877" t="str">
        <v>Yes</v>
      </c>
      <c r="AB877" t="str">
        <v>No</v>
      </c>
      <c r="AC877">
        <v>2</v>
      </c>
      <c r="AD877" t="str">
        <v>Free</v>
      </c>
      <c r="AE877">
        <v>0.89</v>
      </c>
      <c r="AF877" s="14">
        <f t="shared" si="13"/>
        <v>2.2903225806451615</v>
      </c>
    </row>
    <row r="878" spans="1:32" x14ac:dyDescent="0.2">
      <c r="A878">
        <v>877</v>
      </c>
      <c r="B878" cm="1">
        <f t="array" ref="B878:AE878">_xlfn.XLOOKUP($A878,Instagram_Usage_Lifestyle_Mini_!$A:$A,Instagram_Usage_Lifestyle_Mini_!$AC:$BF)</f>
        <v>206</v>
      </c>
      <c r="C878">
        <v>6</v>
      </c>
      <c r="D878">
        <v>4</v>
      </c>
      <c r="E878">
        <v>156</v>
      </c>
      <c r="F878">
        <v>136</v>
      </c>
      <c r="G878">
        <v>136</v>
      </c>
      <c r="H878">
        <v>41</v>
      </c>
      <c r="I878">
        <v>33</v>
      </c>
      <c r="J878">
        <v>47</v>
      </c>
      <c r="K878">
        <v>19</v>
      </c>
      <c r="L878">
        <v>4</v>
      </c>
      <c r="M878">
        <v>101</v>
      </c>
      <c r="N878">
        <v>25</v>
      </c>
      <c r="O878">
        <v>22</v>
      </c>
      <c r="P878">
        <v>50</v>
      </c>
      <c r="Q878">
        <v>226</v>
      </c>
      <c r="R878">
        <v>465</v>
      </c>
      <c r="S878" t="str">
        <v>No</v>
      </c>
      <c r="T878">
        <v>0.18</v>
      </c>
      <c r="U878">
        <v>2020</v>
      </c>
      <c r="V878">
        <v>45909</v>
      </c>
      <c r="W878">
        <v>34.299999999999997</v>
      </c>
      <c r="X878" t="str">
        <v>Live</v>
      </c>
      <c r="Y878" t="str">
        <v>Music</v>
      </c>
      <c r="Z878" t="str">
        <v>Friends_only</v>
      </c>
      <c r="AA878" t="str">
        <v>No</v>
      </c>
      <c r="AB878" t="str">
        <v>No</v>
      </c>
      <c r="AC878">
        <v>0</v>
      </c>
      <c r="AD878" t="str">
        <v>Business</v>
      </c>
      <c r="AE878">
        <v>1.1100000000000001</v>
      </c>
      <c r="AF878" s="14">
        <f t="shared" si="13"/>
        <v>0.48602150537634409</v>
      </c>
    </row>
    <row r="879" spans="1:32" x14ac:dyDescent="0.2">
      <c r="A879">
        <v>878</v>
      </c>
      <c r="B879" cm="1">
        <f t="array" ref="B879:AE879">_xlfn.XLOOKUP($A879,Instagram_Usage_Lifestyle_Mini_!$A:$A,Instagram_Usage_Lifestyle_Mini_!$AC:$BF)</f>
        <v>318</v>
      </c>
      <c r="C879">
        <v>12</v>
      </c>
      <c r="D879">
        <v>10</v>
      </c>
      <c r="E879">
        <v>223</v>
      </c>
      <c r="F879">
        <v>150</v>
      </c>
      <c r="G879">
        <v>179</v>
      </c>
      <c r="H879">
        <v>51</v>
      </c>
      <c r="I879">
        <v>46</v>
      </c>
      <c r="J879">
        <v>50</v>
      </c>
      <c r="K879">
        <v>31</v>
      </c>
      <c r="L879">
        <v>12</v>
      </c>
      <c r="M879">
        <v>157</v>
      </c>
      <c r="N879">
        <v>88</v>
      </c>
      <c r="O879">
        <v>48</v>
      </c>
      <c r="P879">
        <v>115</v>
      </c>
      <c r="Q879">
        <v>1539</v>
      </c>
      <c r="R879">
        <v>2967</v>
      </c>
      <c r="S879" t="str">
        <v>No</v>
      </c>
      <c r="T879">
        <v>0.28000000000000003</v>
      </c>
      <c r="U879">
        <v>2024</v>
      </c>
      <c r="V879">
        <v>45825</v>
      </c>
      <c r="W879">
        <v>26.5</v>
      </c>
      <c r="X879" t="str">
        <v>Mixed</v>
      </c>
      <c r="Y879" t="str">
        <v>Music</v>
      </c>
      <c r="Z879" t="str">
        <v>Friends_only</v>
      </c>
      <c r="AA879" t="str">
        <v>Yes</v>
      </c>
      <c r="AB879" t="str">
        <v>No</v>
      </c>
      <c r="AC879">
        <v>0</v>
      </c>
      <c r="AD879" t="str">
        <v>Free</v>
      </c>
      <c r="AE879">
        <v>0.97</v>
      </c>
      <c r="AF879" s="14">
        <f t="shared" si="13"/>
        <v>0.51870576339737107</v>
      </c>
    </row>
    <row r="880" spans="1:32" x14ac:dyDescent="0.2">
      <c r="A880">
        <v>879</v>
      </c>
      <c r="B880" cm="1">
        <f t="array" ref="B880:AE880">_xlfn.XLOOKUP($A880,Instagram_Usage_Lifestyle_Mini_!$A:$A,Instagram_Usage_Lifestyle_Mini_!$AC:$BF)</f>
        <v>5</v>
      </c>
      <c r="C880">
        <v>1</v>
      </c>
      <c r="D880">
        <v>5</v>
      </c>
      <c r="E880">
        <v>40</v>
      </c>
      <c r="F880">
        <v>34</v>
      </c>
      <c r="G880">
        <v>34</v>
      </c>
      <c r="H880">
        <v>9</v>
      </c>
      <c r="I880">
        <v>8</v>
      </c>
      <c r="J880">
        <v>7</v>
      </c>
      <c r="K880">
        <v>4</v>
      </c>
      <c r="L880">
        <v>0</v>
      </c>
      <c r="M880">
        <v>3</v>
      </c>
      <c r="N880">
        <v>1</v>
      </c>
      <c r="O880">
        <v>1</v>
      </c>
      <c r="P880">
        <v>1</v>
      </c>
      <c r="Q880">
        <v>1370</v>
      </c>
      <c r="R880">
        <v>2631</v>
      </c>
      <c r="S880" t="str">
        <v>No</v>
      </c>
      <c r="T880">
        <v>0.94</v>
      </c>
      <c r="U880">
        <v>2020</v>
      </c>
      <c r="V880">
        <v>45743</v>
      </c>
      <c r="W880">
        <v>5</v>
      </c>
      <c r="X880" t="str">
        <v>Mixed</v>
      </c>
      <c r="Y880" t="str">
        <v>Other</v>
      </c>
      <c r="Z880" t="str">
        <v>Private</v>
      </c>
      <c r="AA880" t="str">
        <v>Yes</v>
      </c>
      <c r="AB880" t="str">
        <v>No</v>
      </c>
      <c r="AC880">
        <v>3</v>
      </c>
      <c r="AD880" t="str">
        <v>Premium</v>
      </c>
      <c r="AE880">
        <v>11.17</v>
      </c>
      <c r="AF880" s="14">
        <f t="shared" si="13"/>
        <v>0.52071455720258453</v>
      </c>
    </row>
    <row r="881" spans="1:32" x14ac:dyDescent="0.2">
      <c r="A881">
        <v>880</v>
      </c>
      <c r="B881" cm="1">
        <f t="array" ref="B881:AE881">_xlfn.XLOOKUP($A881,Instagram_Usage_Lifestyle_Mini_!$A:$A,Instagram_Usage_Lifestyle_Mini_!$AC:$BF)</f>
        <v>93</v>
      </c>
      <c r="C881">
        <v>3</v>
      </c>
      <c r="D881">
        <v>11</v>
      </c>
      <c r="E881">
        <v>168</v>
      </c>
      <c r="F881">
        <v>61</v>
      </c>
      <c r="G881">
        <v>71</v>
      </c>
      <c r="H881">
        <v>10</v>
      </c>
      <c r="I881">
        <v>25</v>
      </c>
      <c r="J881">
        <v>17</v>
      </c>
      <c r="K881">
        <v>14</v>
      </c>
      <c r="L881">
        <v>2</v>
      </c>
      <c r="M881">
        <v>50</v>
      </c>
      <c r="N881">
        <v>17</v>
      </c>
      <c r="O881">
        <v>14</v>
      </c>
      <c r="P881">
        <v>26</v>
      </c>
      <c r="Q881">
        <v>1830</v>
      </c>
      <c r="R881">
        <v>3703</v>
      </c>
      <c r="S881" t="str">
        <v>No</v>
      </c>
      <c r="T881">
        <v>0.34</v>
      </c>
      <c r="U881">
        <v>2018</v>
      </c>
      <c r="V881">
        <v>46012</v>
      </c>
      <c r="W881">
        <v>31</v>
      </c>
      <c r="X881" t="str">
        <v>Live</v>
      </c>
      <c r="Y881" t="str">
        <v>Fitness</v>
      </c>
      <c r="Z881" t="str">
        <v>Public</v>
      </c>
      <c r="AA881" t="str">
        <v>Yes</v>
      </c>
      <c r="AB881" t="str">
        <v>Yes</v>
      </c>
      <c r="AC881">
        <v>1</v>
      </c>
      <c r="AD881" t="str">
        <v>Free</v>
      </c>
      <c r="AE881">
        <v>1.32</v>
      </c>
      <c r="AF881" s="14">
        <f t="shared" si="13"/>
        <v>0.49419389684039966</v>
      </c>
    </row>
    <row r="882" spans="1:32" x14ac:dyDescent="0.2">
      <c r="A882">
        <v>881</v>
      </c>
      <c r="B882" cm="1">
        <f t="array" ref="B882:AE882">_xlfn.XLOOKUP($A882,Instagram_Usage_Lifestyle_Mini_!$A:$A,Instagram_Usage_Lifestyle_Mini_!$AC:$BF)</f>
        <v>29</v>
      </c>
      <c r="C882">
        <v>1</v>
      </c>
      <c r="D882">
        <v>3</v>
      </c>
      <c r="E882">
        <v>61</v>
      </c>
      <c r="F882">
        <v>32</v>
      </c>
      <c r="G882">
        <v>41</v>
      </c>
      <c r="H882">
        <v>9</v>
      </c>
      <c r="I882">
        <v>15</v>
      </c>
      <c r="J882">
        <v>12</v>
      </c>
      <c r="K882">
        <v>6</v>
      </c>
      <c r="L882">
        <v>0</v>
      </c>
      <c r="M882">
        <v>13</v>
      </c>
      <c r="N882">
        <v>7</v>
      </c>
      <c r="O882">
        <v>6</v>
      </c>
      <c r="P882">
        <v>9</v>
      </c>
      <c r="Q882">
        <v>1283</v>
      </c>
      <c r="R882">
        <v>2683</v>
      </c>
      <c r="S882" t="str">
        <v>Yes</v>
      </c>
      <c r="T882">
        <v>0.8</v>
      </c>
      <c r="U882">
        <v>2013</v>
      </c>
      <c r="V882">
        <v>45934</v>
      </c>
      <c r="W882">
        <v>29</v>
      </c>
      <c r="X882" t="str">
        <v>Live</v>
      </c>
      <c r="Y882" t="str">
        <v>Music</v>
      </c>
      <c r="Z882" t="str">
        <v>Friends_only</v>
      </c>
      <c r="AA882" t="str">
        <v>No</v>
      </c>
      <c r="AB882" t="str">
        <v>No</v>
      </c>
      <c r="AC882">
        <v>3</v>
      </c>
      <c r="AD882" t="str">
        <v>Free</v>
      </c>
      <c r="AE882">
        <v>2.27</v>
      </c>
      <c r="AF882" s="14">
        <f t="shared" si="13"/>
        <v>0.47819604919865821</v>
      </c>
    </row>
    <row r="883" spans="1:32" x14ac:dyDescent="0.2">
      <c r="A883">
        <v>882</v>
      </c>
      <c r="B883" cm="1">
        <f t="array" ref="B883:AE883">_xlfn.XLOOKUP($A883,Instagram_Usage_Lifestyle_Mini_!$A:$A,Instagram_Usage_Lifestyle_Mini_!$AC:$BF)</f>
        <v>49</v>
      </c>
      <c r="C883">
        <v>5</v>
      </c>
      <c r="D883">
        <v>8</v>
      </c>
      <c r="E883">
        <v>68</v>
      </c>
      <c r="F883">
        <v>50</v>
      </c>
      <c r="G883">
        <v>34</v>
      </c>
      <c r="H883">
        <v>16</v>
      </c>
      <c r="I883">
        <v>18</v>
      </c>
      <c r="J883">
        <v>18</v>
      </c>
      <c r="K883">
        <v>9</v>
      </c>
      <c r="L883">
        <v>0</v>
      </c>
      <c r="M883">
        <v>23</v>
      </c>
      <c r="N883">
        <v>11</v>
      </c>
      <c r="O883">
        <v>8</v>
      </c>
      <c r="P883">
        <v>17</v>
      </c>
      <c r="Q883">
        <v>410</v>
      </c>
      <c r="R883">
        <v>516</v>
      </c>
      <c r="S883" t="str">
        <v>No</v>
      </c>
      <c r="T883">
        <v>0.96</v>
      </c>
      <c r="U883">
        <v>2017</v>
      </c>
      <c r="V883">
        <v>45905</v>
      </c>
      <c r="W883">
        <v>9.8000000000000007</v>
      </c>
      <c r="X883" t="str">
        <v>Stories</v>
      </c>
      <c r="Y883" t="str">
        <v>Fitness</v>
      </c>
      <c r="Z883" t="str">
        <v>Friends_only</v>
      </c>
      <c r="AA883" t="str">
        <v>Yes</v>
      </c>
      <c r="AB883" t="str">
        <v>No</v>
      </c>
      <c r="AC883">
        <v>1</v>
      </c>
      <c r="AD883" t="str">
        <v>Free</v>
      </c>
      <c r="AE883">
        <v>1.8</v>
      </c>
      <c r="AF883" s="14">
        <f t="shared" si="13"/>
        <v>0.79457364341085268</v>
      </c>
    </row>
    <row r="884" spans="1:32" x14ac:dyDescent="0.2">
      <c r="A884">
        <v>883</v>
      </c>
      <c r="B884" cm="1">
        <f t="array" ref="B884:AE884">_xlfn.XLOOKUP($A884,Instagram_Usage_Lifestyle_Mini_!$A:$A,Instagram_Usage_Lifestyle_Mini_!$AC:$BF)</f>
        <v>5</v>
      </c>
      <c r="C884">
        <v>1</v>
      </c>
      <c r="D884">
        <v>0</v>
      </c>
      <c r="E884">
        <v>50</v>
      </c>
      <c r="F884">
        <v>37</v>
      </c>
      <c r="G884">
        <v>30</v>
      </c>
      <c r="H884">
        <v>7</v>
      </c>
      <c r="I884">
        <v>8</v>
      </c>
      <c r="J884">
        <v>5</v>
      </c>
      <c r="K884">
        <v>3</v>
      </c>
      <c r="L884">
        <v>0</v>
      </c>
      <c r="M884">
        <v>2</v>
      </c>
      <c r="N884">
        <v>1</v>
      </c>
      <c r="O884">
        <v>1</v>
      </c>
      <c r="P884">
        <v>2</v>
      </c>
      <c r="Q884">
        <v>1863</v>
      </c>
      <c r="R884">
        <v>3582</v>
      </c>
      <c r="S884" t="str">
        <v>No</v>
      </c>
      <c r="T884">
        <v>0.53</v>
      </c>
      <c r="U884">
        <v>2022</v>
      </c>
      <c r="V884">
        <v>45829</v>
      </c>
      <c r="W884">
        <v>5</v>
      </c>
      <c r="X884" t="str">
        <v>Reels</v>
      </c>
      <c r="Y884" t="str">
        <v>Music</v>
      </c>
      <c r="Z884" t="str">
        <v>Friends_only</v>
      </c>
      <c r="AA884" t="str">
        <v>No</v>
      </c>
      <c r="AB884" t="str">
        <v>No</v>
      </c>
      <c r="AC884">
        <v>3</v>
      </c>
      <c r="AD884" t="str">
        <v>Premium</v>
      </c>
      <c r="AE884">
        <v>7.33</v>
      </c>
      <c r="AF884" s="14">
        <f t="shared" si="13"/>
        <v>0.52010050251256279</v>
      </c>
    </row>
    <row r="885" spans="1:32" x14ac:dyDescent="0.2">
      <c r="A885">
        <v>884</v>
      </c>
      <c r="B885" cm="1">
        <f t="array" ref="B885:AE885">_xlfn.XLOOKUP($A885,Instagram_Usage_Lifestyle_Mini_!$A:$A,Instagram_Usage_Lifestyle_Mini_!$AC:$BF)</f>
        <v>31</v>
      </c>
      <c r="C885">
        <v>3</v>
      </c>
      <c r="D885">
        <v>6</v>
      </c>
      <c r="E885">
        <v>126</v>
      </c>
      <c r="F885">
        <v>48</v>
      </c>
      <c r="G885">
        <v>52</v>
      </c>
      <c r="H885">
        <v>9</v>
      </c>
      <c r="I885">
        <v>15</v>
      </c>
      <c r="J885">
        <v>9</v>
      </c>
      <c r="K885">
        <v>9</v>
      </c>
      <c r="L885">
        <v>0</v>
      </c>
      <c r="M885">
        <v>16</v>
      </c>
      <c r="N885">
        <v>5</v>
      </c>
      <c r="O885">
        <v>5</v>
      </c>
      <c r="P885">
        <v>12</v>
      </c>
      <c r="Q885">
        <v>415</v>
      </c>
      <c r="R885">
        <v>357</v>
      </c>
      <c r="S885" t="str">
        <v>No</v>
      </c>
      <c r="T885">
        <v>0.98</v>
      </c>
      <c r="U885">
        <v>2020</v>
      </c>
      <c r="V885">
        <v>45729</v>
      </c>
      <c r="W885">
        <v>10.3</v>
      </c>
      <c r="X885" t="str">
        <v>Mixed</v>
      </c>
      <c r="Y885" t="str">
        <v>Other</v>
      </c>
      <c r="Z885" t="str">
        <v>Friends_only</v>
      </c>
      <c r="AA885" t="str">
        <v>Yes</v>
      </c>
      <c r="AB885" t="str">
        <v>No</v>
      </c>
      <c r="AC885">
        <v>3</v>
      </c>
      <c r="AD885" t="str">
        <v>Premium</v>
      </c>
      <c r="AE885">
        <v>2.75</v>
      </c>
      <c r="AF885" s="14">
        <f t="shared" si="13"/>
        <v>1.1624649859943978</v>
      </c>
    </row>
    <row r="886" spans="1:32" x14ac:dyDescent="0.2">
      <c r="A886">
        <v>885</v>
      </c>
      <c r="B886" cm="1">
        <f t="array" ref="B886:AE886">_xlfn.XLOOKUP($A886,Instagram_Usage_Lifestyle_Mini_!$A:$A,Instagram_Usage_Lifestyle_Mini_!$AC:$BF)</f>
        <v>256</v>
      </c>
      <c r="C886">
        <v>7</v>
      </c>
      <c r="D886">
        <v>7</v>
      </c>
      <c r="E886">
        <v>201</v>
      </c>
      <c r="F886">
        <v>120</v>
      </c>
      <c r="G886">
        <v>155</v>
      </c>
      <c r="H886">
        <v>54</v>
      </c>
      <c r="I886">
        <v>28</v>
      </c>
      <c r="J886">
        <v>39</v>
      </c>
      <c r="K886">
        <v>29</v>
      </c>
      <c r="L886">
        <v>9</v>
      </c>
      <c r="M886">
        <v>114</v>
      </c>
      <c r="N886">
        <v>48</v>
      </c>
      <c r="O886">
        <v>44</v>
      </c>
      <c r="P886">
        <v>63</v>
      </c>
      <c r="Q886">
        <v>2061</v>
      </c>
      <c r="R886">
        <v>2371</v>
      </c>
      <c r="S886" t="str">
        <v>Yes</v>
      </c>
      <c r="T886">
        <v>0.6</v>
      </c>
      <c r="U886">
        <v>2019</v>
      </c>
      <c r="V886">
        <v>46005</v>
      </c>
      <c r="W886">
        <v>36.6</v>
      </c>
      <c r="X886" t="str">
        <v>Mixed</v>
      </c>
      <c r="Y886" t="str">
        <v>Art</v>
      </c>
      <c r="Z886" t="str">
        <v>Private</v>
      </c>
      <c r="AA886" t="str">
        <v>Yes</v>
      </c>
      <c r="AB886" t="str">
        <v>Yes</v>
      </c>
      <c r="AC886">
        <v>0</v>
      </c>
      <c r="AD886" t="str">
        <v>Premium</v>
      </c>
      <c r="AE886">
        <v>1.1100000000000001</v>
      </c>
      <c r="AF886" s="14">
        <f t="shared" si="13"/>
        <v>0.86925347954449594</v>
      </c>
    </row>
    <row r="887" spans="1:32" x14ac:dyDescent="0.2">
      <c r="A887">
        <v>886</v>
      </c>
      <c r="B887" cm="1">
        <f t="array" ref="B887:AE887">_xlfn.XLOOKUP($A887,Instagram_Usage_Lifestyle_Mini_!$A:$A,Instagram_Usage_Lifestyle_Mini_!$AC:$BF)</f>
        <v>238</v>
      </c>
      <c r="C887">
        <v>8</v>
      </c>
      <c r="D887">
        <v>11</v>
      </c>
      <c r="E887">
        <v>272</v>
      </c>
      <c r="F887">
        <v>129</v>
      </c>
      <c r="G887">
        <v>132</v>
      </c>
      <c r="H887">
        <v>42</v>
      </c>
      <c r="I887">
        <v>30</v>
      </c>
      <c r="J887">
        <v>32</v>
      </c>
      <c r="K887">
        <v>21</v>
      </c>
      <c r="L887">
        <v>8</v>
      </c>
      <c r="M887">
        <v>96</v>
      </c>
      <c r="N887">
        <v>43</v>
      </c>
      <c r="O887">
        <v>35</v>
      </c>
      <c r="P887">
        <v>54</v>
      </c>
      <c r="Q887">
        <v>6085</v>
      </c>
      <c r="R887">
        <v>10000</v>
      </c>
      <c r="S887" t="str">
        <v>No</v>
      </c>
      <c r="T887">
        <v>0.28000000000000003</v>
      </c>
      <c r="U887">
        <v>2022</v>
      </c>
      <c r="V887">
        <v>45860</v>
      </c>
      <c r="W887">
        <v>29.8</v>
      </c>
      <c r="X887" t="str">
        <v>Mixed</v>
      </c>
      <c r="Y887" t="str">
        <v>Fashion</v>
      </c>
      <c r="Z887" t="str">
        <v>Friends_only</v>
      </c>
      <c r="AA887" t="str">
        <v>Yes</v>
      </c>
      <c r="AB887" t="str">
        <v>No</v>
      </c>
      <c r="AC887">
        <v>1</v>
      </c>
      <c r="AD887" t="str">
        <v>Free</v>
      </c>
      <c r="AE887">
        <v>1.04</v>
      </c>
      <c r="AF887" s="14">
        <f t="shared" si="13"/>
        <v>0.60850000000000004</v>
      </c>
    </row>
    <row r="888" spans="1:32" x14ac:dyDescent="0.2">
      <c r="A888">
        <v>887</v>
      </c>
      <c r="B888" cm="1">
        <f t="array" ref="B888:AE888">_xlfn.XLOOKUP($A888,Instagram_Usage_Lifestyle_Mini_!$A:$A,Instagram_Usage_Lifestyle_Mini_!$AC:$BF)</f>
        <v>428</v>
      </c>
      <c r="C888">
        <v>13</v>
      </c>
      <c r="D888">
        <v>13</v>
      </c>
      <c r="E888">
        <v>300</v>
      </c>
      <c r="F888">
        <v>150</v>
      </c>
      <c r="G888">
        <v>244</v>
      </c>
      <c r="H888">
        <v>72</v>
      </c>
      <c r="I888">
        <v>53</v>
      </c>
      <c r="J888">
        <v>54</v>
      </c>
      <c r="K888">
        <v>37</v>
      </c>
      <c r="L888">
        <v>10</v>
      </c>
      <c r="M888">
        <v>227</v>
      </c>
      <c r="N888">
        <v>67</v>
      </c>
      <c r="O888">
        <v>70</v>
      </c>
      <c r="P888">
        <v>117</v>
      </c>
      <c r="Q888">
        <v>810</v>
      </c>
      <c r="R888">
        <v>709</v>
      </c>
      <c r="S888" t="str">
        <v>No</v>
      </c>
      <c r="T888">
        <v>0.7</v>
      </c>
      <c r="U888">
        <v>2017</v>
      </c>
      <c r="V888">
        <v>45927</v>
      </c>
      <c r="W888">
        <v>32.9</v>
      </c>
      <c r="X888" t="str">
        <v>Videos</v>
      </c>
      <c r="Y888" t="str">
        <v>Food</v>
      </c>
      <c r="Z888" t="str">
        <v>Public</v>
      </c>
      <c r="AA888" t="str">
        <v>Yes</v>
      </c>
      <c r="AB888" t="str">
        <v>No</v>
      </c>
      <c r="AC888">
        <v>2</v>
      </c>
      <c r="AD888" t="str">
        <v>Free</v>
      </c>
      <c r="AE888">
        <v>1</v>
      </c>
      <c r="AF888" s="14">
        <f t="shared" si="13"/>
        <v>1.1424541607898449</v>
      </c>
    </row>
    <row r="889" spans="1:32" x14ac:dyDescent="0.2">
      <c r="A889">
        <v>888</v>
      </c>
      <c r="B889" cm="1">
        <f t="array" ref="B889:AE889">_xlfn.XLOOKUP($A889,Instagram_Usage_Lifestyle_Mini_!$A:$A,Instagram_Usage_Lifestyle_Mini_!$AC:$BF)</f>
        <v>167</v>
      </c>
      <c r="C889">
        <v>8</v>
      </c>
      <c r="D889">
        <v>3</v>
      </c>
      <c r="E889">
        <v>150</v>
      </c>
      <c r="F889">
        <v>107</v>
      </c>
      <c r="G889">
        <v>94</v>
      </c>
      <c r="H889">
        <v>39</v>
      </c>
      <c r="I889">
        <v>36</v>
      </c>
      <c r="J889">
        <v>31</v>
      </c>
      <c r="K889">
        <v>14</v>
      </c>
      <c r="L889">
        <v>4</v>
      </c>
      <c r="M889">
        <v>77</v>
      </c>
      <c r="N889">
        <v>18</v>
      </c>
      <c r="O889">
        <v>27</v>
      </c>
      <c r="P889">
        <v>36</v>
      </c>
      <c r="Q889">
        <v>997</v>
      </c>
      <c r="R889">
        <v>1252</v>
      </c>
      <c r="S889" t="str">
        <v>No</v>
      </c>
      <c r="T889">
        <v>7.0000000000000007E-2</v>
      </c>
      <c r="U889">
        <v>2017</v>
      </c>
      <c r="V889">
        <v>45933</v>
      </c>
      <c r="W889">
        <v>20.9</v>
      </c>
      <c r="X889" t="str">
        <v>Live</v>
      </c>
      <c r="Y889" t="str">
        <v>Art</v>
      </c>
      <c r="Z889" t="str">
        <v>Friends_only</v>
      </c>
      <c r="AA889" t="str">
        <v>Yes</v>
      </c>
      <c r="AB889" t="str">
        <v>No</v>
      </c>
      <c r="AC889">
        <v>1</v>
      </c>
      <c r="AD889" t="str">
        <v>Business</v>
      </c>
      <c r="AE889">
        <v>1.08</v>
      </c>
      <c r="AF889" s="14">
        <f t="shared" si="13"/>
        <v>0.79632587859424919</v>
      </c>
    </row>
    <row r="890" spans="1:32" x14ac:dyDescent="0.2">
      <c r="A890">
        <v>889</v>
      </c>
      <c r="B890" cm="1">
        <f t="array" ref="B890:AE890">_xlfn.XLOOKUP($A890,Instagram_Usage_Lifestyle_Mini_!$A:$A,Instagram_Usage_Lifestyle_Mini_!$AC:$BF)</f>
        <v>155</v>
      </c>
      <c r="C890">
        <v>8</v>
      </c>
      <c r="D890">
        <v>9</v>
      </c>
      <c r="E890">
        <v>193</v>
      </c>
      <c r="F890">
        <v>86</v>
      </c>
      <c r="G890">
        <v>108</v>
      </c>
      <c r="H890">
        <v>28</v>
      </c>
      <c r="I890">
        <v>23</v>
      </c>
      <c r="J890">
        <v>25</v>
      </c>
      <c r="K890">
        <v>21</v>
      </c>
      <c r="L890">
        <v>3</v>
      </c>
      <c r="M890">
        <v>89</v>
      </c>
      <c r="N890">
        <v>44</v>
      </c>
      <c r="O890">
        <v>30</v>
      </c>
      <c r="P890">
        <v>38</v>
      </c>
      <c r="Q890">
        <v>1763</v>
      </c>
      <c r="R890">
        <v>3338</v>
      </c>
      <c r="S890" t="str">
        <v>No</v>
      </c>
      <c r="T890">
        <v>0.41</v>
      </c>
      <c r="U890">
        <v>2014</v>
      </c>
      <c r="V890">
        <v>45891</v>
      </c>
      <c r="W890">
        <v>19.399999999999999</v>
      </c>
      <c r="X890" t="str">
        <v>Reels</v>
      </c>
      <c r="Y890" t="str">
        <v>Food</v>
      </c>
      <c r="Z890" t="str">
        <v>Private</v>
      </c>
      <c r="AA890" t="str">
        <v>Yes</v>
      </c>
      <c r="AB890" t="str">
        <v>No</v>
      </c>
      <c r="AC890">
        <v>1</v>
      </c>
      <c r="AD890" t="str">
        <v>Premium</v>
      </c>
      <c r="AE890">
        <v>1.22</v>
      </c>
      <c r="AF890" s="14">
        <f t="shared" si="13"/>
        <v>0.52816057519472737</v>
      </c>
    </row>
    <row r="891" spans="1:32" x14ac:dyDescent="0.2">
      <c r="A891">
        <v>890</v>
      </c>
      <c r="B891" cm="1">
        <f t="array" ref="B891:AE891">_xlfn.XLOOKUP($A891,Instagram_Usage_Lifestyle_Mini_!$A:$A,Instagram_Usage_Lifestyle_Mini_!$AC:$BF)</f>
        <v>220</v>
      </c>
      <c r="C891">
        <v>10</v>
      </c>
      <c r="D891">
        <v>8</v>
      </c>
      <c r="E891">
        <v>174</v>
      </c>
      <c r="F891">
        <v>133</v>
      </c>
      <c r="G891">
        <v>135</v>
      </c>
      <c r="H891">
        <v>49</v>
      </c>
      <c r="I891">
        <v>30</v>
      </c>
      <c r="J891">
        <v>32</v>
      </c>
      <c r="K891">
        <v>31</v>
      </c>
      <c r="L891">
        <v>7</v>
      </c>
      <c r="M891">
        <v>110</v>
      </c>
      <c r="N891">
        <v>62</v>
      </c>
      <c r="O891">
        <v>53</v>
      </c>
      <c r="P891">
        <v>60</v>
      </c>
      <c r="Q891">
        <v>550</v>
      </c>
      <c r="R891">
        <v>505</v>
      </c>
      <c r="S891" t="str">
        <v>No</v>
      </c>
      <c r="T891">
        <v>0.28999999999999998</v>
      </c>
      <c r="U891">
        <v>2021</v>
      </c>
      <c r="V891">
        <v>46017</v>
      </c>
      <c r="W891">
        <v>22</v>
      </c>
      <c r="X891" t="str">
        <v>Photos</v>
      </c>
      <c r="Y891" t="str">
        <v>Food</v>
      </c>
      <c r="Z891" t="str">
        <v>Private</v>
      </c>
      <c r="AA891" t="str">
        <v>No</v>
      </c>
      <c r="AB891" t="str">
        <v>Yes</v>
      </c>
      <c r="AC891">
        <v>2</v>
      </c>
      <c r="AD891" t="str">
        <v>Free</v>
      </c>
      <c r="AE891">
        <v>1.1599999999999999</v>
      </c>
      <c r="AF891" s="14">
        <f t="shared" si="13"/>
        <v>1.0891089108910892</v>
      </c>
    </row>
    <row r="892" spans="1:32" x14ac:dyDescent="0.2">
      <c r="A892">
        <v>891</v>
      </c>
      <c r="B892" cm="1">
        <f t="array" ref="B892:AE892">_xlfn.XLOOKUP($A892,Instagram_Usage_Lifestyle_Mini_!$A:$A,Instagram_Usage_Lifestyle_Mini_!$AC:$BF)</f>
        <v>250</v>
      </c>
      <c r="C892">
        <v>26</v>
      </c>
      <c r="D892">
        <v>11</v>
      </c>
      <c r="E892">
        <v>191</v>
      </c>
      <c r="F892">
        <v>126</v>
      </c>
      <c r="G892">
        <v>128</v>
      </c>
      <c r="H892">
        <v>40</v>
      </c>
      <c r="I892">
        <v>17</v>
      </c>
      <c r="J892">
        <v>49</v>
      </c>
      <c r="K892">
        <v>35</v>
      </c>
      <c r="L892">
        <v>5</v>
      </c>
      <c r="M892">
        <v>104</v>
      </c>
      <c r="N892">
        <v>48</v>
      </c>
      <c r="O892">
        <v>58</v>
      </c>
      <c r="P892">
        <v>70</v>
      </c>
      <c r="Q892">
        <v>3333</v>
      </c>
      <c r="R892">
        <v>5479</v>
      </c>
      <c r="S892" t="str">
        <v>No</v>
      </c>
      <c r="T892">
        <v>0.16</v>
      </c>
      <c r="U892">
        <v>2020</v>
      </c>
      <c r="V892">
        <v>45687</v>
      </c>
      <c r="W892">
        <v>9.6</v>
      </c>
      <c r="X892" t="str">
        <v>Mixed</v>
      </c>
      <c r="Y892" t="str">
        <v>Food</v>
      </c>
      <c r="Z892" t="str">
        <v>Friends_only</v>
      </c>
      <c r="AA892" t="str">
        <v>Yes</v>
      </c>
      <c r="AB892" t="str">
        <v>No</v>
      </c>
      <c r="AC892">
        <v>2</v>
      </c>
      <c r="AD892" t="str">
        <v>Premium</v>
      </c>
      <c r="AE892">
        <v>0.96</v>
      </c>
      <c r="AF892" s="14">
        <f t="shared" si="13"/>
        <v>0.60832268662164624</v>
      </c>
    </row>
    <row r="893" spans="1:32" x14ac:dyDescent="0.2">
      <c r="A893">
        <v>892</v>
      </c>
      <c r="B893" cm="1">
        <f t="array" ref="B893:AE893">_xlfn.XLOOKUP($A893,Instagram_Usage_Lifestyle_Mini_!$A:$A,Instagram_Usage_Lifestyle_Mini_!$AC:$BF)</f>
        <v>315</v>
      </c>
      <c r="C893">
        <v>12</v>
      </c>
      <c r="D893">
        <v>5</v>
      </c>
      <c r="E893">
        <v>300</v>
      </c>
      <c r="F893">
        <v>150</v>
      </c>
      <c r="G893">
        <v>189</v>
      </c>
      <c r="H893">
        <v>53</v>
      </c>
      <c r="I893">
        <v>40</v>
      </c>
      <c r="J893">
        <v>43</v>
      </c>
      <c r="K893">
        <v>31</v>
      </c>
      <c r="L893">
        <v>8</v>
      </c>
      <c r="M893">
        <v>127</v>
      </c>
      <c r="N893">
        <v>63</v>
      </c>
      <c r="O893">
        <v>76</v>
      </c>
      <c r="P893">
        <v>79</v>
      </c>
      <c r="Q893">
        <v>2041</v>
      </c>
      <c r="R893">
        <v>1007</v>
      </c>
      <c r="S893" t="str">
        <v>No</v>
      </c>
      <c r="T893">
        <v>0.42</v>
      </c>
      <c r="U893">
        <v>2013</v>
      </c>
      <c r="V893">
        <v>45817</v>
      </c>
      <c r="W893">
        <v>26.2</v>
      </c>
      <c r="X893" t="str">
        <v>Stories</v>
      </c>
      <c r="Y893" t="str">
        <v>Travel</v>
      </c>
      <c r="Z893" t="str">
        <v>Private</v>
      </c>
      <c r="AA893" t="str">
        <v>Yes</v>
      </c>
      <c r="AB893" t="str">
        <v>No</v>
      </c>
      <c r="AC893">
        <v>1</v>
      </c>
      <c r="AD893" t="str">
        <v>Free</v>
      </c>
      <c r="AE893">
        <v>0.98</v>
      </c>
      <c r="AF893" s="14">
        <f t="shared" si="13"/>
        <v>2.0268123138033762</v>
      </c>
    </row>
    <row r="894" spans="1:32" x14ac:dyDescent="0.2">
      <c r="A894">
        <v>893</v>
      </c>
      <c r="B894" cm="1">
        <f t="array" ref="B894:AE894">_xlfn.XLOOKUP($A894,Instagram_Usage_Lifestyle_Mini_!$A:$A,Instagram_Usage_Lifestyle_Mini_!$AC:$BF)</f>
        <v>227</v>
      </c>
      <c r="C894">
        <v>17</v>
      </c>
      <c r="D894">
        <v>5</v>
      </c>
      <c r="E894">
        <v>179</v>
      </c>
      <c r="F894">
        <v>121</v>
      </c>
      <c r="G894">
        <v>138</v>
      </c>
      <c r="H894">
        <v>43</v>
      </c>
      <c r="I894">
        <v>48</v>
      </c>
      <c r="J894">
        <v>34</v>
      </c>
      <c r="K894">
        <v>20</v>
      </c>
      <c r="L894">
        <v>6</v>
      </c>
      <c r="M894">
        <v>100</v>
      </c>
      <c r="N894">
        <v>58</v>
      </c>
      <c r="O894">
        <v>44</v>
      </c>
      <c r="P894">
        <v>89</v>
      </c>
      <c r="Q894">
        <v>689</v>
      </c>
      <c r="R894">
        <v>1430</v>
      </c>
      <c r="S894" t="str">
        <v>No</v>
      </c>
      <c r="T894">
        <v>0.69</v>
      </c>
      <c r="U894">
        <v>2025</v>
      </c>
      <c r="V894">
        <v>45800</v>
      </c>
      <c r="W894">
        <v>13.4</v>
      </c>
      <c r="X894" t="str">
        <v>Videos</v>
      </c>
      <c r="Y894" t="str">
        <v>Fashion</v>
      </c>
      <c r="Z894" t="str">
        <v>Private</v>
      </c>
      <c r="AA894" t="str">
        <v>Yes</v>
      </c>
      <c r="AB894" t="str">
        <v>No</v>
      </c>
      <c r="AC894">
        <v>4</v>
      </c>
      <c r="AD894" t="str">
        <v>Free</v>
      </c>
      <c r="AE894">
        <v>1.05</v>
      </c>
      <c r="AF894" s="14">
        <f t="shared" si="13"/>
        <v>0.48181818181818181</v>
      </c>
    </row>
    <row r="895" spans="1:32" x14ac:dyDescent="0.2">
      <c r="A895">
        <v>894</v>
      </c>
      <c r="B895" cm="1">
        <f t="array" ref="B895:AE895">_xlfn.XLOOKUP($A895,Instagram_Usage_Lifestyle_Mini_!$A:$A,Instagram_Usage_Lifestyle_Mini_!$AC:$BF)</f>
        <v>25</v>
      </c>
      <c r="C895">
        <v>2</v>
      </c>
      <c r="D895">
        <v>7</v>
      </c>
      <c r="E895">
        <v>51</v>
      </c>
      <c r="F895">
        <v>38</v>
      </c>
      <c r="G895">
        <v>36</v>
      </c>
      <c r="H895">
        <v>8</v>
      </c>
      <c r="I895">
        <v>13</v>
      </c>
      <c r="J895">
        <v>14</v>
      </c>
      <c r="K895">
        <v>14</v>
      </c>
      <c r="L895">
        <v>3</v>
      </c>
      <c r="M895">
        <v>13</v>
      </c>
      <c r="N895">
        <v>6</v>
      </c>
      <c r="O895">
        <v>4</v>
      </c>
      <c r="P895">
        <v>10</v>
      </c>
      <c r="Q895">
        <v>777</v>
      </c>
      <c r="R895">
        <v>854</v>
      </c>
      <c r="S895" t="str">
        <v>No</v>
      </c>
      <c r="T895">
        <v>0.65</v>
      </c>
      <c r="U895">
        <v>2014</v>
      </c>
      <c r="V895">
        <v>45913</v>
      </c>
      <c r="W895">
        <v>12.5</v>
      </c>
      <c r="X895" t="str">
        <v>Stories</v>
      </c>
      <c r="Y895" t="str">
        <v>Music</v>
      </c>
      <c r="Z895" t="str">
        <v>Friends_only</v>
      </c>
      <c r="AA895" t="str">
        <v>Yes</v>
      </c>
      <c r="AB895" t="str">
        <v>No</v>
      </c>
      <c r="AC895">
        <v>2</v>
      </c>
      <c r="AD895" t="str">
        <v>Free</v>
      </c>
      <c r="AE895">
        <v>2.81</v>
      </c>
      <c r="AF895" s="14">
        <f t="shared" si="13"/>
        <v>0.9098360655737705</v>
      </c>
    </row>
    <row r="896" spans="1:32" x14ac:dyDescent="0.2">
      <c r="A896">
        <v>895</v>
      </c>
      <c r="B896" cm="1">
        <f t="array" ref="B896:AE896">_xlfn.XLOOKUP($A896,Instagram_Usage_Lifestyle_Mini_!$A:$A,Instagram_Usage_Lifestyle_Mini_!$AC:$BF)</f>
        <v>144</v>
      </c>
      <c r="C896">
        <v>13</v>
      </c>
      <c r="D896">
        <v>3</v>
      </c>
      <c r="E896">
        <v>149</v>
      </c>
      <c r="F896">
        <v>73</v>
      </c>
      <c r="G896">
        <v>108</v>
      </c>
      <c r="H896">
        <v>25</v>
      </c>
      <c r="I896">
        <v>24</v>
      </c>
      <c r="J896">
        <v>25</v>
      </c>
      <c r="K896">
        <v>23</v>
      </c>
      <c r="L896">
        <v>4</v>
      </c>
      <c r="M896">
        <v>82</v>
      </c>
      <c r="N896">
        <v>15</v>
      </c>
      <c r="O896">
        <v>35</v>
      </c>
      <c r="P896">
        <v>41</v>
      </c>
      <c r="Q896">
        <v>411</v>
      </c>
      <c r="R896">
        <v>796</v>
      </c>
      <c r="S896" t="str">
        <v>No</v>
      </c>
      <c r="T896">
        <v>0.84</v>
      </c>
      <c r="U896">
        <v>2010</v>
      </c>
      <c r="V896">
        <v>45692</v>
      </c>
      <c r="W896">
        <v>11.1</v>
      </c>
      <c r="X896" t="str">
        <v>Mixed</v>
      </c>
      <c r="Y896" t="str">
        <v>Tech</v>
      </c>
      <c r="Z896" t="str">
        <v>Private</v>
      </c>
      <c r="AA896" t="str">
        <v>Yes</v>
      </c>
      <c r="AB896" t="str">
        <v>Yes</v>
      </c>
      <c r="AC896">
        <v>2</v>
      </c>
      <c r="AD896" t="str">
        <v>Premium</v>
      </c>
      <c r="AE896">
        <v>1.1499999999999999</v>
      </c>
      <c r="AF896" s="14">
        <f t="shared" si="13"/>
        <v>0.51633165829145733</v>
      </c>
    </row>
    <row r="897" spans="1:32" x14ac:dyDescent="0.2">
      <c r="A897">
        <v>896</v>
      </c>
      <c r="B897" cm="1">
        <f t="array" ref="B897:AE897">_xlfn.XLOOKUP($A897,Instagram_Usage_Lifestyle_Mini_!$A:$A,Instagram_Usage_Lifestyle_Mini_!$AC:$BF)</f>
        <v>310</v>
      </c>
      <c r="C897">
        <v>16</v>
      </c>
      <c r="D897">
        <v>4</v>
      </c>
      <c r="E897">
        <v>300</v>
      </c>
      <c r="F897">
        <v>147</v>
      </c>
      <c r="G897">
        <v>178</v>
      </c>
      <c r="H897">
        <v>48</v>
      </c>
      <c r="I897">
        <v>43</v>
      </c>
      <c r="J897">
        <v>43</v>
      </c>
      <c r="K897">
        <v>30</v>
      </c>
      <c r="L897">
        <v>8</v>
      </c>
      <c r="M897">
        <v>159</v>
      </c>
      <c r="N897">
        <v>71</v>
      </c>
      <c r="O897">
        <v>50</v>
      </c>
      <c r="P897">
        <v>83</v>
      </c>
      <c r="Q897">
        <v>1494</v>
      </c>
      <c r="R897">
        <v>3389</v>
      </c>
      <c r="S897" t="str">
        <v>No</v>
      </c>
      <c r="T897">
        <v>0.08</v>
      </c>
      <c r="U897">
        <v>2012</v>
      </c>
      <c r="V897">
        <v>45740</v>
      </c>
      <c r="W897">
        <v>19.399999999999999</v>
      </c>
      <c r="X897" t="str">
        <v>Live</v>
      </c>
      <c r="Y897" t="str">
        <v>Food</v>
      </c>
      <c r="Z897" t="str">
        <v>Friends_only</v>
      </c>
      <c r="AA897" t="str">
        <v>Yes</v>
      </c>
      <c r="AB897" t="str">
        <v>No</v>
      </c>
      <c r="AC897">
        <v>4</v>
      </c>
      <c r="AD897" t="str">
        <v>Free</v>
      </c>
      <c r="AE897">
        <v>0.92</v>
      </c>
      <c r="AF897" s="14">
        <f t="shared" si="13"/>
        <v>0.4408380053113013</v>
      </c>
    </row>
    <row r="898" spans="1:32" x14ac:dyDescent="0.2">
      <c r="A898">
        <v>897</v>
      </c>
      <c r="B898" cm="1">
        <f t="array" ref="B898:AE898">_xlfn.XLOOKUP($A898,Instagram_Usage_Lifestyle_Mini_!$A:$A,Instagram_Usage_Lifestyle_Mini_!$AC:$BF)</f>
        <v>214</v>
      </c>
      <c r="C898">
        <v>11</v>
      </c>
      <c r="D898">
        <v>7</v>
      </c>
      <c r="E898">
        <v>172</v>
      </c>
      <c r="F898">
        <v>137</v>
      </c>
      <c r="G898">
        <v>134</v>
      </c>
      <c r="H898">
        <v>39</v>
      </c>
      <c r="I898">
        <v>30</v>
      </c>
      <c r="J898">
        <v>44</v>
      </c>
      <c r="K898">
        <v>24</v>
      </c>
      <c r="L898">
        <v>7</v>
      </c>
      <c r="M898">
        <v>114</v>
      </c>
      <c r="N898">
        <v>35</v>
      </c>
      <c r="O898">
        <v>36</v>
      </c>
      <c r="P898">
        <v>50</v>
      </c>
      <c r="Q898">
        <v>613</v>
      </c>
      <c r="R898">
        <v>991</v>
      </c>
      <c r="S898" t="str">
        <v>No</v>
      </c>
      <c r="T898">
        <v>0.69</v>
      </c>
      <c r="U898">
        <v>2024</v>
      </c>
      <c r="V898">
        <v>45772</v>
      </c>
      <c r="W898">
        <v>19.5</v>
      </c>
      <c r="X898" t="str">
        <v>Stories</v>
      </c>
      <c r="Y898" t="str">
        <v>Food</v>
      </c>
      <c r="Z898" t="str">
        <v>Friends_only</v>
      </c>
      <c r="AA898" t="str">
        <v>Yes</v>
      </c>
      <c r="AB898" t="str">
        <v>Yes</v>
      </c>
      <c r="AC898">
        <v>2</v>
      </c>
      <c r="AD898" t="str">
        <v>Premium</v>
      </c>
      <c r="AE898">
        <v>1.08</v>
      </c>
      <c r="AF898" s="14">
        <f t="shared" si="13"/>
        <v>0.6185671039354188</v>
      </c>
    </row>
    <row r="899" spans="1:32" x14ac:dyDescent="0.2">
      <c r="A899">
        <v>898</v>
      </c>
      <c r="B899" cm="1">
        <f t="array" ref="B899:AE899">_xlfn.XLOOKUP($A899,Instagram_Usage_Lifestyle_Mini_!$A:$A,Instagram_Usage_Lifestyle_Mini_!$AC:$BF)</f>
        <v>340</v>
      </c>
      <c r="C899">
        <v>29</v>
      </c>
      <c r="D899">
        <v>5</v>
      </c>
      <c r="E899">
        <v>259</v>
      </c>
      <c r="F899">
        <v>150</v>
      </c>
      <c r="G899">
        <v>198</v>
      </c>
      <c r="H899">
        <v>64</v>
      </c>
      <c r="I899">
        <v>56</v>
      </c>
      <c r="J899">
        <v>50</v>
      </c>
      <c r="K899">
        <v>32</v>
      </c>
      <c r="L899">
        <v>6</v>
      </c>
      <c r="M899">
        <v>146</v>
      </c>
      <c r="N899">
        <v>47</v>
      </c>
      <c r="O899">
        <v>78</v>
      </c>
      <c r="P899">
        <v>122</v>
      </c>
      <c r="Q899">
        <v>2812</v>
      </c>
      <c r="R899">
        <v>3401</v>
      </c>
      <c r="S899" t="str">
        <v>No</v>
      </c>
      <c r="T899">
        <v>7.0000000000000007E-2</v>
      </c>
      <c r="U899">
        <v>2011</v>
      </c>
      <c r="V899">
        <v>45978</v>
      </c>
      <c r="W899">
        <v>11.7</v>
      </c>
      <c r="X899" t="str">
        <v>Reels</v>
      </c>
      <c r="Y899" t="str">
        <v>Art</v>
      </c>
      <c r="Z899" t="str">
        <v>Friends_only</v>
      </c>
      <c r="AA899" t="str">
        <v>Yes</v>
      </c>
      <c r="AB899" t="str">
        <v>No</v>
      </c>
      <c r="AC899">
        <v>0</v>
      </c>
      <c r="AD899" t="str">
        <v>Free</v>
      </c>
      <c r="AE899">
        <v>1</v>
      </c>
      <c r="AF899" s="14">
        <f t="shared" ref="AF899:AF962" si="14">IF(R899=0,0,Q899/R899)</f>
        <v>0.82681564245810057</v>
      </c>
    </row>
    <row r="900" spans="1:32" x14ac:dyDescent="0.2">
      <c r="A900">
        <v>899</v>
      </c>
      <c r="B900" cm="1">
        <f t="array" ref="B900:AE900">_xlfn.XLOOKUP($A900,Instagram_Usage_Lifestyle_Mini_!$A:$A,Instagram_Usage_Lifestyle_Mini_!$AC:$BF)</f>
        <v>34</v>
      </c>
      <c r="C900">
        <v>2</v>
      </c>
      <c r="D900">
        <v>3</v>
      </c>
      <c r="E900">
        <v>116</v>
      </c>
      <c r="F900">
        <v>54</v>
      </c>
      <c r="G900">
        <v>35</v>
      </c>
      <c r="H900">
        <v>8</v>
      </c>
      <c r="I900">
        <v>15</v>
      </c>
      <c r="J900">
        <v>16</v>
      </c>
      <c r="K900">
        <v>14</v>
      </c>
      <c r="L900">
        <v>1</v>
      </c>
      <c r="M900">
        <v>17</v>
      </c>
      <c r="N900">
        <v>10</v>
      </c>
      <c r="O900">
        <v>4</v>
      </c>
      <c r="P900">
        <v>10</v>
      </c>
      <c r="Q900">
        <v>860</v>
      </c>
      <c r="R900">
        <v>765</v>
      </c>
      <c r="S900" t="str">
        <v>No</v>
      </c>
      <c r="T900">
        <v>0.85</v>
      </c>
      <c r="U900">
        <v>2018</v>
      </c>
      <c r="V900">
        <v>45819</v>
      </c>
      <c r="W900">
        <v>17</v>
      </c>
      <c r="X900" t="str">
        <v>Videos</v>
      </c>
      <c r="Y900" t="str">
        <v>Art</v>
      </c>
      <c r="Z900" t="str">
        <v>Private</v>
      </c>
      <c r="AA900" t="str">
        <v>No</v>
      </c>
      <c r="AB900" t="str">
        <v>Yes</v>
      </c>
      <c r="AC900">
        <v>2</v>
      </c>
      <c r="AD900" t="str">
        <v>Free</v>
      </c>
      <c r="AE900">
        <v>1.71</v>
      </c>
      <c r="AF900" s="14">
        <f t="shared" si="14"/>
        <v>1.1241830065359477</v>
      </c>
    </row>
    <row r="901" spans="1:32" x14ac:dyDescent="0.2">
      <c r="A901">
        <v>900</v>
      </c>
      <c r="B901" cm="1">
        <f t="array" ref="B901:AE901">_xlfn.XLOOKUP($A901,Instagram_Usage_Lifestyle_Mini_!$A:$A,Instagram_Usage_Lifestyle_Mini_!$AC:$BF)</f>
        <v>284</v>
      </c>
      <c r="C901">
        <v>16</v>
      </c>
      <c r="D901">
        <v>15</v>
      </c>
      <c r="E901">
        <v>297</v>
      </c>
      <c r="F901">
        <v>139</v>
      </c>
      <c r="G901">
        <v>184</v>
      </c>
      <c r="H901">
        <v>47</v>
      </c>
      <c r="I901">
        <v>41</v>
      </c>
      <c r="J901">
        <v>40</v>
      </c>
      <c r="K901">
        <v>27</v>
      </c>
      <c r="L901">
        <v>3</v>
      </c>
      <c r="M901">
        <v>130</v>
      </c>
      <c r="N901">
        <v>44</v>
      </c>
      <c r="O901">
        <v>68</v>
      </c>
      <c r="P901">
        <v>99</v>
      </c>
      <c r="Q901">
        <v>1716</v>
      </c>
      <c r="R901">
        <v>3815</v>
      </c>
      <c r="S901" t="str">
        <v>Yes</v>
      </c>
      <c r="T901">
        <v>0.03</v>
      </c>
      <c r="U901">
        <v>2011</v>
      </c>
      <c r="V901">
        <v>45959</v>
      </c>
      <c r="W901">
        <v>17.8</v>
      </c>
      <c r="X901" t="str">
        <v>Live</v>
      </c>
      <c r="Y901" t="str">
        <v>Art</v>
      </c>
      <c r="Z901" t="str">
        <v>Private</v>
      </c>
      <c r="AA901" t="str">
        <v>No</v>
      </c>
      <c r="AB901" t="str">
        <v>Yes</v>
      </c>
      <c r="AC901">
        <v>3</v>
      </c>
      <c r="AD901" t="str">
        <v>Free</v>
      </c>
      <c r="AE901">
        <v>1.1299999999999999</v>
      </c>
      <c r="AF901" s="14">
        <f t="shared" si="14"/>
        <v>0.44980340760157272</v>
      </c>
    </row>
    <row r="902" spans="1:32" x14ac:dyDescent="0.2">
      <c r="A902">
        <v>901</v>
      </c>
      <c r="B902" cm="1">
        <f t="array" ref="B902:AE902">_xlfn.XLOOKUP($A902,Instagram_Usage_Lifestyle_Mini_!$A:$A,Instagram_Usage_Lifestyle_Mini_!$AC:$BF)</f>
        <v>378</v>
      </c>
      <c r="C902">
        <v>15</v>
      </c>
      <c r="D902">
        <v>12</v>
      </c>
      <c r="E902">
        <v>300</v>
      </c>
      <c r="F902">
        <v>150</v>
      </c>
      <c r="G902">
        <v>212</v>
      </c>
      <c r="H902">
        <v>61</v>
      </c>
      <c r="I902">
        <v>37</v>
      </c>
      <c r="J902">
        <v>58</v>
      </c>
      <c r="K902">
        <v>41</v>
      </c>
      <c r="L902">
        <v>7</v>
      </c>
      <c r="M902">
        <v>221</v>
      </c>
      <c r="N902">
        <v>98</v>
      </c>
      <c r="O902">
        <v>46</v>
      </c>
      <c r="P902">
        <v>126</v>
      </c>
      <c r="Q902">
        <v>875</v>
      </c>
      <c r="R902">
        <v>1112</v>
      </c>
      <c r="S902" t="str">
        <v>No</v>
      </c>
      <c r="T902">
        <v>0.32</v>
      </c>
      <c r="U902">
        <v>2018</v>
      </c>
      <c r="V902">
        <v>45873</v>
      </c>
      <c r="W902">
        <v>25.2</v>
      </c>
      <c r="X902" t="str">
        <v>Live</v>
      </c>
      <c r="Y902" t="str">
        <v>Fitness</v>
      </c>
      <c r="Z902" t="str">
        <v>Public</v>
      </c>
      <c r="AA902" t="str">
        <v>Yes</v>
      </c>
      <c r="AB902" t="str">
        <v>Yes</v>
      </c>
      <c r="AC902">
        <v>2</v>
      </c>
      <c r="AD902" t="str">
        <v>Free</v>
      </c>
      <c r="AE902">
        <v>0.98</v>
      </c>
      <c r="AF902" s="14">
        <f t="shared" si="14"/>
        <v>0.78687050359712229</v>
      </c>
    </row>
    <row r="903" spans="1:32" x14ac:dyDescent="0.2">
      <c r="A903">
        <v>902</v>
      </c>
      <c r="B903" cm="1">
        <f t="array" ref="B903:AE903">_xlfn.XLOOKUP($A903,Instagram_Usage_Lifestyle_Mini_!$A:$A,Instagram_Usage_Lifestyle_Mini_!$AC:$BF)</f>
        <v>49</v>
      </c>
      <c r="C903">
        <v>2</v>
      </c>
      <c r="D903">
        <v>2</v>
      </c>
      <c r="E903">
        <v>67</v>
      </c>
      <c r="F903">
        <v>45</v>
      </c>
      <c r="G903">
        <v>65</v>
      </c>
      <c r="H903">
        <v>10</v>
      </c>
      <c r="I903">
        <v>16</v>
      </c>
      <c r="J903">
        <v>15</v>
      </c>
      <c r="K903">
        <v>13</v>
      </c>
      <c r="L903">
        <v>2</v>
      </c>
      <c r="M903">
        <v>29</v>
      </c>
      <c r="N903">
        <v>13</v>
      </c>
      <c r="O903">
        <v>11</v>
      </c>
      <c r="P903">
        <v>11</v>
      </c>
      <c r="Q903">
        <v>1293</v>
      </c>
      <c r="R903">
        <v>2408</v>
      </c>
      <c r="S903" t="str">
        <v>No</v>
      </c>
      <c r="T903">
        <v>0.62</v>
      </c>
      <c r="U903">
        <v>2021</v>
      </c>
      <c r="V903">
        <v>45757</v>
      </c>
      <c r="W903">
        <v>24.5</v>
      </c>
      <c r="X903" t="str">
        <v>Photos</v>
      </c>
      <c r="Y903" t="str">
        <v>Art</v>
      </c>
      <c r="Z903" t="str">
        <v>Friends_only</v>
      </c>
      <c r="AA903" t="str">
        <v>Yes</v>
      </c>
      <c r="AB903" t="str">
        <v>No</v>
      </c>
      <c r="AC903">
        <v>2</v>
      </c>
      <c r="AD903" t="str">
        <v>Free</v>
      </c>
      <c r="AE903">
        <v>1.82</v>
      </c>
      <c r="AF903" s="14">
        <f t="shared" si="14"/>
        <v>0.53696013289036548</v>
      </c>
    </row>
    <row r="904" spans="1:32" x14ac:dyDescent="0.2">
      <c r="A904">
        <v>903</v>
      </c>
      <c r="B904" cm="1">
        <f t="array" ref="B904:AE904">_xlfn.XLOOKUP($A904,Instagram_Usage_Lifestyle_Mini_!$A:$A,Instagram_Usage_Lifestyle_Mini_!$AC:$BF)</f>
        <v>97</v>
      </c>
      <c r="C904">
        <v>11</v>
      </c>
      <c r="D904">
        <v>0</v>
      </c>
      <c r="E904">
        <v>95</v>
      </c>
      <c r="F904">
        <v>56</v>
      </c>
      <c r="G904">
        <v>70</v>
      </c>
      <c r="H904">
        <v>27</v>
      </c>
      <c r="I904">
        <v>19</v>
      </c>
      <c r="J904">
        <v>20</v>
      </c>
      <c r="K904">
        <v>13</v>
      </c>
      <c r="L904">
        <v>4</v>
      </c>
      <c r="M904">
        <v>39</v>
      </c>
      <c r="N904">
        <v>17</v>
      </c>
      <c r="O904">
        <v>11</v>
      </c>
      <c r="P904">
        <v>30</v>
      </c>
      <c r="Q904">
        <v>603</v>
      </c>
      <c r="R904">
        <v>1211</v>
      </c>
      <c r="S904" t="str">
        <v>Yes</v>
      </c>
      <c r="T904">
        <v>0.26</v>
      </c>
      <c r="U904">
        <v>2021</v>
      </c>
      <c r="V904">
        <v>45860</v>
      </c>
      <c r="W904">
        <v>8.8000000000000007</v>
      </c>
      <c r="X904" t="str">
        <v>Videos</v>
      </c>
      <c r="Y904" t="str">
        <v>Tech</v>
      </c>
      <c r="Z904" t="str">
        <v>Friends_only</v>
      </c>
      <c r="AA904" t="str">
        <v>Yes</v>
      </c>
      <c r="AB904" t="str">
        <v>Yes</v>
      </c>
      <c r="AC904">
        <v>2</v>
      </c>
      <c r="AD904" t="str">
        <v>Premium</v>
      </c>
      <c r="AE904">
        <v>1.27</v>
      </c>
      <c r="AF904" s="14">
        <f t="shared" si="14"/>
        <v>0.49793559042113955</v>
      </c>
    </row>
    <row r="905" spans="1:32" x14ac:dyDescent="0.2">
      <c r="A905">
        <v>904</v>
      </c>
      <c r="B905" cm="1">
        <f t="array" ref="B905:AE905">_xlfn.XLOOKUP($A905,Instagram_Usage_Lifestyle_Mini_!$A:$A,Instagram_Usage_Lifestyle_Mini_!$AC:$BF)</f>
        <v>287</v>
      </c>
      <c r="C905">
        <v>16</v>
      </c>
      <c r="D905">
        <v>6</v>
      </c>
      <c r="E905">
        <v>217</v>
      </c>
      <c r="F905">
        <v>150</v>
      </c>
      <c r="G905">
        <v>187</v>
      </c>
      <c r="H905">
        <v>46</v>
      </c>
      <c r="I905">
        <v>39</v>
      </c>
      <c r="J905">
        <v>53</v>
      </c>
      <c r="K905">
        <v>27</v>
      </c>
      <c r="L905">
        <v>10</v>
      </c>
      <c r="M905">
        <v>135</v>
      </c>
      <c r="N905">
        <v>74</v>
      </c>
      <c r="O905">
        <v>44</v>
      </c>
      <c r="P905">
        <v>80</v>
      </c>
      <c r="Q905">
        <v>1391</v>
      </c>
      <c r="R905">
        <v>1228</v>
      </c>
      <c r="S905" t="str">
        <v>No</v>
      </c>
      <c r="T905">
        <v>0.9</v>
      </c>
      <c r="U905">
        <v>2017</v>
      </c>
      <c r="V905">
        <v>46011</v>
      </c>
      <c r="W905">
        <v>17.899999999999999</v>
      </c>
      <c r="X905" t="str">
        <v>Mixed</v>
      </c>
      <c r="Y905" t="str">
        <v>Fashion</v>
      </c>
      <c r="Z905" t="str">
        <v>Public</v>
      </c>
      <c r="AA905" t="str">
        <v>Yes</v>
      </c>
      <c r="AB905" t="str">
        <v>Yes</v>
      </c>
      <c r="AC905">
        <v>5</v>
      </c>
      <c r="AD905" t="str">
        <v>Free</v>
      </c>
      <c r="AE905">
        <v>1.03</v>
      </c>
      <c r="AF905" s="14">
        <f t="shared" si="14"/>
        <v>1.1327361563517915</v>
      </c>
    </row>
    <row r="906" spans="1:32" x14ac:dyDescent="0.2">
      <c r="A906">
        <v>905</v>
      </c>
      <c r="B906" cm="1">
        <f t="array" ref="B906:AE906">_xlfn.XLOOKUP($A906,Instagram_Usage_Lifestyle_Mini_!$A:$A,Instagram_Usage_Lifestyle_Mini_!$AC:$BF)</f>
        <v>262</v>
      </c>
      <c r="C906">
        <v>9</v>
      </c>
      <c r="D906">
        <v>6</v>
      </c>
      <c r="E906">
        <v>217</v>
      </c>
      <c r="F906">
        <v>123</v>
      </c>
      <c r="G906">
        <v>152</v>
      </c>
      <c r="H906">
        <v>35</v>
      </c>
      <c r="I906">
        <v>41</v>
      </c>
      <c r="J906">
        <v>45</v>
      </c>
      <c r="K906">
        <v>29</v>
      </c>
      <c r="L906">
        <v>4</v>
      </c>
      <c r="M906">
        <v>123</v>
      </c>
      <c r="N906">
        <v>53</v>
      </c>
      <c r="O906">
        <v>38</v>
      </c>
      <c r="P906">
        <v>81</v>
      </c>
      <c r="Q906">
        <v>709</v>
      </c>
      <c r="R906">
        <v>709</v>
      </c>
      <c r="S906" t="str">
        <v>No</v>
      </c>
      <c r="T906">
        <v>0.22</v>
      </c>
      <c r="U906">
        <v>2014</v>
      </c>
      <c r="V906">
        <v>45715</v>
      </c>
      <c r="W906">
        <v>29.1</v>
      </c>
      <c r="X906" t="str">
        <v>Stories</v>
      </c>
      <c r="Y906" t="str">
        <v>Other</v>
      </c>
      <c r="Z906" t="str">
        <v>Public</v>
      </c>
      <c r="AA906" t="str">
        <v>Yes</v>
      </c>
      <c r="AB906" t="str">
        <v>No</v>
      </c>
      <c r="AC906">
        <v>3</v>
      </c>
      <c r="AD906" t="str">
        <v>Free</v>
      </c>
      <c r="AE906">
        <v>0.91</v>
      </c>
      <c r="AF906" s="14">
        <f t="shared" si="14"/>
        <v>1</v>
      </c>
    </row>
    <row r="907" spans="1:32" x14ac:dyDescent="0.2">
      <c r="A907">
        <v>906</v>
      </c>
      <c r="B907" cm="1">
        <f t="array" ref="B907:AE907">_xlfn.XLOOKUP($A907,Instagram_Usage_Lifestyle_Mini_!$A:$A,Instagram_Usage_Lifestyle_Mini_!$AC:$BF)</f>
        <v>179</v>
      </c>
      <c r="C907">
        <v>18</v>
      </c>
      <c r="D907">
        <v>8</v>
      </c>
      <c r="E907">
        <v>135</v>
      </c>
      <c r="F907">
        <v>126</v>
      </c>
      <c r="G907">
        <v>99</v>
      </c>
      <c r="H907">
        <v>36</v>
      </c>
      <c r="I907">
        <v>32</v>
      </c>
      <c r="J907">
        <v>40</v>
      </c>
      <c r="K907">
        <v>15</v>
      </c>
      <c r="L907">
        <v>8</v>
      </c>
      <c r="M907">
        <v>107</v>
      </c>
      <c r="N907">
        <v>19</v>
      </c>
      <c r="O907">
        <v>44</v>
      </c>
      <c r="P907">
        <v>37</v>
      </c>
      <c r="Q907">
        <v>586</v>
      </c>
      <c r="R907">
        <v>645</v>
      </c>
      <c r="S907" t="str">
        <v>No</v>
      </c>
      <c r="T907">
        <v>0.49</v>
      </c>
      <c r="U907">
        <v>2014</v>
      </c>
      <c r="V907">
        <v>45974</v>
      </c>
      <c r="W907">
        <v>9.9</v>
      </c>
      <c r="X907" t="str">
        <v>Live</v>
      </c>
      <c r="Y907" t="str">
        <v>Travel</v>
      </c>
      <c r="Z907" t="str">
        <v>Friends_only</v>
      </c>
      <c r="AA907" t="str">
        <v>Yes</v>
      </c>
      <c r="AB907" t="str">
        <v>Yes</v>
      </c>
      <c r="AC907">
        <v>3</v>
      </c>
      <c r="AD907" t="str">
        <v>Free</v>
      </c>
      <c r="AE907">
        <v>1.08</v>
      </c>
      <c r="AF907" s="14">
        <f t="shared" si="14"/>
        <v>0.90852713178294575</v>
      </c>
    </row>
    <row r="908" spans="1:32" x14ac:dyDescent="0.2">
      <c r="A908">
        <v>907</v>
      </c>
      <c r="B908" cm="1">
        <f t="array" ref="B908:AE908">_xlfn.XLOOKUP($A908,Instagram_Usage_Lifestyle_Mini_!$A:$A,Instagram_Usage_Lifestyle_Mini_!$AC:$BF)</f>
        <v>241</v>
      </c>
      <c r="C908">
        <v>27</v>
      </c>
      <c r="D908">
        <v>10</v>
      </c>
      <c r="E908">
        <v>183</v>
      </c>
      <c r="F908">
        <v>130</v>
      </c>
      <c r="G908">
        <v>149</v>
      </c>
      <c r="H908">
        <v>43</v>
      </c>
      <c r="I908">
        <v>24</v>
      </c>
      <c r="J908">
        <v>38</v>
      </c>
      <c r="K908">
        <v>26</v>
      </c>
      <c r="L908">
        <v>4</v>
      </c>
      <c r="M908">
        <v>120</v>
      </c>
      <c r="N908">
        <v>25</v>
      </c>
      <c r="O908">
        <v>57</v>
      </c>
      <c r="P908">
        <v>69</v>
      </c>
      <c r="Q908">
        <v>1601</v>
      </c>
      <c r="R908">
        <v>1348</v>
      </c>
      <c r="S908" t="str">
        <v>No</v>
      </c>
      <c r="T908">
        <v>0.49</v>
      </c>
      <c r="U908">
        <v>2013</v>
      </c>
      <c r="V908">
        <v>45978</v>
      </c>
      <c r="W908">
        <v>8.9</v>
      </c>
      <c r="X908" t="str">
        <v>Videos</v>
      </c>
      <c r="Y908" t="str">
        <v>Music</v>
      </c>
      <c r="Z908" t="str">
        <v>Public</v>
      </c>
      <c r="AA908" t="str">
        <v>Yes</v>
      </c>
      <c r="AB908" t="str">
        <v>Yes</v>
      </c>
      <c r="AC908">
        <v>1</v>
      </c>
      <c r="AD908" t="str">
        <v>Free</v>
      </c>
      <c r="AE908">
        <v>1.1000000000000001</v>
      </c>
      <c r="AF908" s="14">
        <f t="shared" si="14"/>
        <v>1.1876854599406528</v>
      </c>
    </row>
    <row r="909" spans="1:32" x14ac:dyDescent="0.2">
      <c r="A909">
        <v>908</v>
      </c>
      <c r="B909" cm="1">
        <f t="array" ref="B909:AE909">_xlfn.XLOOKUP($A909,Instagram_Usage_Lifestyle_Mini_!$A:$A,Instagram_Usage_Lifestyle_Mini_!$AC:$BF)</f>
        <v>27</v>
      </c>
      <c r="C909">
        <v>3</v>
      </c>
      <c r="D909">
        <v>5</v>
      </c>
      <c r="E909">
        <v>55</v>
      </c>
      <c r="F909">
        <v>32</v>
      </c>
      <c r="G909">
        <v>46</v>
      </c>
      <c r="H909">
        <v>2</v>
      </c>
      <c r="I909">
        <v>18</v>
      </c>
      <c r="J909">
        <v>11</v>
      </c>
      <c r="K909">
        <v>9</v>
      </c>
      <c r="L909">
        <v>0</v>
      </c>
      <c r="M909">
        <v>12</v>
      </c>
      <c r="N909">
        <v>5</v>
      </c>
      <c r="O909">
        <v>4</v>
      </c>
      <c r="P909">
        <v>9</v>
      </c>
      <c r="Q909">
        <v>621</v>
      </c>
      <c r="R909">
        <v>1238</v>
      </c>
      <c r="S909" t="str">
        <v>Yes</v>
      </c>
      <c r="T909">
        <v>0.85</v>
      </c>
      <c r="U909">
        <v>2024</v>
      </c>
      <c r="V909">
        <v>45883</v>
      </c>
      <c r="W909">
        <v>9</v>
      </c>
      <c r="X909" t="str">
        <v>Live</v>
      </c>
      <c r="Y909" t="str">
        <v>Food</v>
      </c>
      <c r="Z909" t="str">
        <v>Friends_only</v>
      </c>
      <c r="AA909" t="str">
        <v>Yes</v>
      </c>
      <c r="AB909" t="str">
        <v>No</v>
      </c>
      <c r="AC909">
        <v>4</v>
      </c>
      <c r="AD909" t="str">
        <v>Free</v>
      </c>
      <c r="AE909">
        <v>2.3199999999999998</v>
      </c>
      <c r="AF909" s="14">
        <f t="shared" si="14"/>
        <v>0.50161550888529882</v>
      </c>
    </row>
    <row r="910" spans="1:32" x14ac:dyDescent="0.2">
      <c r="A910">
        <v>909</v>
      </c>
      <c r="B910" cm="1">
        <f t="array" ref="B910:AE910">_xlfn.XLOOKUP($A910,Instagram_Usage_Lifestyle_Mini_!$A:$A,Instagram_Usage_Lifestyle_Mini_!$AC:$BF)</f>
        <v>96</v>
      </c>
      <c r="C910">
        <v>6</v>
      </c>
      <c r="D910">
        <v>3</v>
      </c>
      <c r="E910">
        <v>112</v>
      </c>
      <c r="F910">
        <v>62</v>
      </c>
      <c r="G910">
        <v>73</v>
      </c>
      <c r="H910">
        <v>23</v>
      </c>
      <c r="I910">
        <v>31</v>
      </c>
      <c r="J910">
        <v>11</v>
      </c>
      <c r="K910">
        <v>9</v>
      </c>
      <c r="L910">
        <v>3</v>
      </c>
      <c r="M910">
        <v>46</v>
      </c>
      <c r="N910">
        <v>29</v>
      </c>
      <c r="O910">
        <v>22</v>
      </c>
      <c r="P910">
        <v>27</v>
      </c>
      <c r="Q910">
        <v>335</v>
      </c>
      <c r="R910">
        <v>650</v>
      </c>
      <c r="S910" t="str">
        <v>No</v>
      </c>
      <c r="T910">
        <v>0.95</v>
      </c>
      <c r="U910">
        <v>2018</v>
      </c>
      <c r="V910">
        <v>45773</v>
      </c>
      <c r="W910">
        <v>16</v>
      </c>
      <c r="X910" t="str">
        <v>Live</v>
      </c>
      <c r="Y910" t="str">
        <v>Tech</v>
      </c>
      <c r="Z910" t="str">
        <v>Public</v>
      </c>
      <c r="AA910" t="str">
        <v>No</v>
      </c>
      <c r="AB910" t="str">
        <v>Yes</v>
      </c>
      <c r="AC910">
        <v>2</v>
      </c>
      <c r="AD910" t="str">
        <v>Free</v>
      </c>
      <c r="AE910">
        <v>1.32</v>
      </c>
      <c r="AF910" s="14">
        <f t="shared" si="14"/>
        <v>0.51538461538461533</v>
      </c>
    </row>
    <row r="911" spans="1:32" x14ac:dyDescent="0.2">
      <c r="A911">
        <v>910</v>
      </c>
      <c r="B911" cm="1">
        <f t="array" ref="B911:AE911">_xlfn.XLOOKUP($A911,Instagram_Usage_Lifestyle_Mini_!$A:$A,Instagram_Usage_Lifestyle_Mini_!$AC:$BF)</f>
        <v>65</v>
      </c>
      <c r="C911">
        <v>2</v>
      </c>
      <c r="D911">
        <v>4</v>
      </c>
      <c r="E911">
        <v>77</v>
      </c>
      <c r="F911">
        <v>62</v>
      </c>
      <c r="G911">
        <v>51</v>
      </c>
      <c r="H911">
        <v>16</v>
      </c>
      <c r="I911">
        <v>16</v>
      </c>
      <c r="J911">
        <v>19</v>
      </c>
      <c r="K911">
        <v>7</v>
      </c>
      <c r="L911">
        <v>3</v>
      </c>
      <c r="M911">
        <v>31</v>
      </c>
      <c r="N911">
        <v>7</v>
      </c>
      <c r="O911">
        <v>16</v>
      </c>
      <c r="P911">
        <v>25</v>
      </c>
      <c r="Q911">
        <v>2584</v>
      </c>
      <c r="R911">
        <v>5082</v>
      </c>
      <c r="S911" t="str">
        <v>Yes</v>
      </c>
      <c r="T911">
        <v>0.79</v>
      </c>
      <c r="U911">
        <v>2016</v>
      </c>
      <c r="V911">
        <v>45917</v>
      </c>
      <c r="W911">
        <v>32.5</v>
      </c>
      <c r="X911" t="str">
        <v>Mixed</v>
      </c>
      <c r="Y911" t="str">
        <v>Travel</v>
      </c>
      <c r="Z911" t="str">
        <v>Private</v>
      </c>
      <c r="AA911" t="str">
        <v>No</v>
      </c>
      <c r="AB911" t="str">
        <v>No</v>
      </c>
      <c r="AC911">
        <v>1</v>
      </c>
      <c r="AD911" t="str">
        <v>Free</v>
      </c>
      <c r="AE911">
        <v>1.44</v>
      </c>
      <c r="AF911" s="14">
        <f t="shared" si="14"/>
        <v>0.50846123573396296</v>
      </c>
    </row>
    <row r="912" spans="1:32" x14ac:dyDescent="0.2">
      <c r="A912">
        <v>911</v>
      </c>
      <c r="B912" cm="1">
        <f t="array" ref="B912:AE912">_xlfn.XLOOKUP($A912,Instagram_Usage_Lifestyle_Mini_!$A:$A,Instagram_Usage_Lifestyle_Mini_!$AC:$BF)</f>
        <v>155</v>
      </c>
      <c r="C912">
        <v>7</v>
      </c>
      <c r="D912">
        <v>2</v>
      </c>
      <c r="E912">
        <v>195</v>
      </c>
      <c r="F912">
        <v>87</v>
      </c>
      <c r="G912">
        <v>124</v>
      </c>
      <c r="H912">
        <v>31</v>
      </c>
      <c r="I912">
        <v>27</v>
      </c>
      <c r="J912">
        <v>28</v>
      </c>
      <c r="K912">
        <v>16</v>
      </c>
      <c r="L912">
        <v>5</v>
      </c>
      <c r="M912">
        <v>79</v>
      </c>
      <c r="N912">
        <v>28</v>
      </c>
      <c r="O912">
        <v>37</v>
      </c>
      <c r="P912">
        <v>61</v>
      </c>
      <c r="Q912">
        <v>4827</v>
      </c>
      <c r="R912">
        <v>3977</v>
      </c>
      <c r="S912" t="str">
        <v>No</v>
      </c>
      <c r="T912">
        <v>0.51</v>
      </c>
      <c r="U912">
        <v>2024</v>
      </c>
      <c r="V912">
        <v>45992</v>
      </c>
      <c r="W912">
        <v>22.1</v>
      </c>
      <c r="X912" t="str">
        <v>Stories</v>
      </c>
      <c r="Y912" t="str">
        <v>Fitness</v>
      </c>
      <c r="Z912" t="str">
        <v>Public</v>
      </c>
      <c r="AA912" t="str">
        <v>Yes</v>
      </c>
      <c r="AB912" t="str">
        <v>Yes</v>
      </c>
      <c r="AC912">
        <v>1</v>
      </c>
      <c r="AD912" t="str">
        <v>Business</v>
      </c>
      <c r="AE912">
        <v>1.23</v>
      </c>
      <c r="AF912" s="14">
        <f t="shared" si="14"/>
        <v>1.2137289414131254</v>
      </c>
    </row>
    <row r="913" spans="1:32" x14ac:dyDescent="0.2">
      <c r="A913">
        <v>912</v>
      </c>
      <c r="B913" cm="1">
        <f t="array" ref="B913:AE913">_xlfn.XLOOKUP($A913,Instagram_Usage_Lifestyle_Mini_!$A:$A,Instagram_Usage_Lifestyle_Mini_!$AC:$BF)</f>
        <v>359</v>
      </c>
      <c r="C913">
        <v>11</v>
      </c>
      <c r="D913">
        <v>10</v>
      </c>
      <c r="E913">
        <v>250</v>
      </c>
      <c r="F913">
        <v>150</v>
      </c>
      <c r="G913">
        <v>185</v>
      </c>
      <c r="H913">
        <v>51</v>
      </c>
      <c r="I913">
        <v>42</v>
      </c>
      <c r="J913">
        <v>38</v>
      </c>
      <c r="K913">
        <v>37</v>
      </c>
      <c r="L913">
        <v>7</v>
      </c>
      <c r="M913">
        <v>172</v>
      </c>
      <c r="N913">
        <v>93</v>
      </c>
      <c r="O913">
        <v>78</v>
      </c>
      <c r="P913">
        <v>77</v>
      </c>
      <c r="Q913">
        <v>1074</v>
      </c>
      <c r="R913">
        <v>1536</v>
      </c>
      <c r="S913" t="str">
        <v>No</v>
      </c>
      <c r="T913">
        <v>0.91</v>
      </c>
      <c r="U913">
        <v>2013</v>
      </c>
      <c r="V913">
        <v>45710</v>
      </c>
      <c r="W913">
        <v>32.6</v>
      </c>
      <c r="X913" t="str">
        <v>Reels</v>
      </c>
      <c r="Y913" t="str">
        <v>Fashion</v>
      </c>
      <c r="Z913" t="str">
        <v>Private</v>
      </c>
      <c r="AA913" t="str">
        <v>No</v>
      </c>
      <c r="AB913" t="str">
        <v>Yes</v>
      </c>
      <c r="AC913">
        <v>2</v>
      </c>
      <c r="AD913" t="str">
        <v>Premium</v>
      </c>
      <c r="AE913">
        <v>0.88</v>
      </c>
      <c r="AF913" s="14">
        <f t="shared" si="14"/>
        <v>0.69921875</v>
      </c>
    </row>
    <row r="914" spans="1:32" x14ac:dyDescent="0.2">
      <c r="A914">
        <v>913</v>
      </c>
      <c r="B914" cm="1">
        <f t="array" ref="B914:AE914">_xlfn.XLOOKUP($A914,Instagram_Usage_Lifestyle_Mini_!$A:$A,Instagram_Usage_Lifestyle_Mini_!$AC:$BF)</f>
        <v>129</v>
      </c>
      <c r="C914">
        <v>4</v>
      </c>
      <c r="D914">
        <v>3</v>
      </c>
      <c r="E914">
        <v>109</v>
      </c>
      <c r="F914">
        <v>88</v>
      </c>
      <c r="G914">
        <v>87</v>
      </c>
      <c r="H914">
        <v>31</v>
      </c>
      <c r="I914">
        <v>16</v>
      </c>
      <c r="J914">
        <v>28</v>
      </c>
      <c r="K914">
        <v>16</v>
      </c>
      <c r="L914">
        <v>2</v>
      </c>
      <c r="M914">
        <v>53</v>
      </c>
      <c r="N914">
        <v>25</v>
      </c>
      <c r="O914">
        <v>17</v>
      </c>
      <c r="P914">
        <v>41</v>
      </c>
      <c r="Q914">
        <v>3045</v>
      </c>
      <c r="R914">
        <v>1914</v>
      </c>
      <c r="S914" t="str">
        <v>No</v>
      </c>
      <c r="T914">
        <v>0.05</v>
      </c>
      <c r="U914">
        <v>2012</v>
      </c>
      <c r="V914">
        <v>46018</v>
      </c>
      <c r="W914">
        <v>32.200000000000003</v>
      </c>
      <c r="X914" t="str">
        <v>Live</v>
      </c>
      <c r="Y914" t="str">
        <v>Fitness</v>
      </c>
      <c r="Z914" t="str">
        <v>Private</v>
      </c>
      <c r="AA914" t="str">
        <v>No</v>
      </c>
      <c r="AB914" t="str">
        <v>No</v>
      </c>
      <c r="AC914">
        <v>4</v>
      </c>
      <c r="AD914" t="str">
        <v>Free</v>
      </c>
      <c r="AE914">
        <v>1.22</v>
      </c>
      <c r="AF914" s="14">
        <f t="shared" si="14"/>
        <v>1.5909090909090908</v>
      </c>
    </row>
    <row r="915" spans="1:32" x14ac:dyDescent="0.2">
      <c r="A915">
        <v>914</v>
      </c>
      <c r="B915" cm="1">
        <f t="array" ref="B915:AE915">_xlfn.XLOOKUP($A915,Instagram_Usage_Lifestyle_Mini_!$A:$A,Instagram_Usage_Lifestyle_Mini_!$AC:$BF)</f>
        <v>153</v>
      </c>
      <c r="C915">
        <v>19</v>
      </c>
      <c r="D915">
        <v>3</v>
      </c>
      <c r="E915">
        <v>121</v>
      </c>
      <c r="F915">
        <v>91</v>
      </c>
      <c r="G915">
        <v>106</v>
      </c>
      <c r="H915">
        <v>25</v>
      </c>
      <c r="I915">
        <v>23</v>
      </c>
      <c r="J915">
        <v>26</v>
      </c>
      <c r="K915">
        <v>20</v>
      </c>
      <c r="L915">
        <v>3</v>
      </c>
      <c r="M915">
        <v>88</v>
      </c>
      <c r="N915">
        <v>39</v>
      </c>
      <c r="O915">
        <v>33</v>
      </c>
      <c r="P915">
        <v>38</v>
      </c>
      <c r="Q915">
        <v>445</v>
      </c>
      <c r="R915">
        <v>1057</v>
      </c>
      <c r="S915" t="str">
        <v>No</v>
      </c>
      <c r="T915">
        <v>0.96</v>
      </c>
      <c r="U915">
        <v>2016</v>
      </c>
      <c r="V915">
        <v>45782</v>
      </c>
      <c r="W915">
        <v>8.1</v>
      </c>
      <c r="X915" t="str">
        <v>Photos</v>
      </c>
      <c r="Y915" t="str">
        <v>Fashion</v>
      </c>
      <c r="Z915" t="str">
        <v>Friends_only</v>
      </c>
      <c r="AA915" t="str">
        <v>No</v>
      </c>
      <c r="AB915" t="str">
        <v>No</v>
      </c>
      <c r="AC915">
        <v>3</v>
      </c>
      <c r="AD915" t="str">
        <v>Free</v>
      </c>
      <c r="AE915">
        <v>1.07</v>
      </c>
      <c r="AF915" s="14">
        <f t="shared" si="14"/>
        <v>0.42100283822138129</v>
      </c>
    </row>
    <row r="916" spans="1:32" x14ac:dyDescent="0.2">
      <c r="A916">
        <v>915</v>
      </c>
      <c r="B916" cm="1">
        <f t="array" ref="B916:AE916">_xlfn.XLOOKUP($A916,Instagram_Usage_Lifestyle_Mini_!$A:$A,Instagram_Usage_Lifestyle_Mini_!$AC:$BF)</f>
        <v>178</v>
      </c>
      <c r="C916">
        <v>9</v>
      </c>
      <c r="D916">
        <v>2</v>
      </c>
      <c r="E916">
        <v>144</v>
      </c>
      <c r="F916">
        <v>133</v>
      </c>
      <c r="G916">
        <v>97</v>
      </c>
      <c r="H916">
        <v>31</v>
      </c>
      <c r="I916">
        <v>23</v>
      </c>
      <c r="J916">
        <v>23</v>
      </c>
      <c r="K916">
        <v>25</v>
      </c>
      <c r="L916">
        <v>4</v>
      </c>
      <c r="M916">
        <v>104</v>
      </c>
      <c r="N916">
        <v>21</v>
      </c>
      <c r="O916">
        <v>38</v>
      </c>
      <c r="P916">
        <v>42</v>
      </c>
      <c r="Q916">
        <v>81</v>
      </c>
      <c r="R916">
        <v>69</v>
      </c>
      <c r="S916" t="str">
        <v>No</v>
      </c>
      <c r="T916">
        <v>0.9</v>
      </c>
      <c r="U916">
        <v>2020</v>
      </c>
      <c r="V916">
        <v>45757</v>
      </c>
      <c r="W916">
        <v>19.8</v>
      </c>
      <c r="X916" t="str">
        <v>Mixed</v>
      </c>
      <c r="Y916" t="str">
        <v>Fashion</v>
      </c>
      <c r="Z916" t="str">
        <v>Private</v>
      </c>
      <c r="AA916" t="str">
        <v>No</v>
      </c>
      <c r="AB916" t="str">
        <v>No</v>
      </c>
      <c r="AC916">
        <v>4</v>
      </c>
      <c r="AD916" t="str">
        <v>Premium</v>
      </c>
      <c r="AE916">
        <v>0.92</v>
      </c>
      <c r="AF916" s="14">
        <f t="shared" si="14"/>
        <v>1.173913043478261</v>
      </c>
    </row>
    <row r="917" spans="1:32" x14ac:dyDescent="0.2">
      <c r="A917">
        <v>916</v>
      </c>
      <c r="B917" cm="1">
        <f t="array" ref="B917:AE917">_xlfn.XLOOKUP($A917,Instagram_Usage_Lifestyle_Mini_!$A:$A,Instagram_Usage_Lifestyle_Mini_!$AC:$BF)</f>
        <v>21</v>
      </c>
      <c r="C917">
        <v>1</v>
      </c>
      <c r="D917">
        <v>2</v>
      </c>
      <c r="E917">
        <v>49</v>
      </c>
      <c r="F917">
        <v>51</v>
      </c>
      <c r="G917">
        <v>39</v>
      </c>
      <c r="H917">
        <v>8</v>
      </c>
      <c r="I917">
        <v>6</v>
      </c>
      <c r="J917">
        <v>15</v>
      </c>
      <c r="K917">
        <v>7</v>
      </c>
      <c r="L917">
        <v>0</v>
      </c>
      <c r="M917">
        <v>11</v>
      </c>
      <c r="N917">
        <v>4</v>
      </c>
      <c r="O917">
        <v>4</v>
      </c>
      <c r="P917">
        <v>4</v>
      </c>
      <c r="Q917">
        <v>508</v>
      </c>
      <c r="R917">
        <v>374</v>
      </c>
      <c r="S917" t="str">
        <v>Yes</v>
      </c>
      <c r="T917">
        <v>0.68</v>
      </c>
      <c r="U917">
        <v>2024</v>
      </c>
      <c r="V917">
        <v>45823</v>
      </c>
      <c r="W917">
        <v>21</v>
      </c>
      <c r="X917" t="str">
        <v>Stories</v>
      </c>
      <c r="Y917" t="str">
        <v>Art</v>
      </c>
      <c r="Z917" t="str">
        <v>Friends_only</v>
      </c>
      <c r="AA917" t="str">
        <v>Yes</v>
      </c>
      <c r="AB917" t="str">
        <v>Yes</v>
      </c>
      <c r="AC917">
        <v>0</v>
      </c>
      <c r="AD917" t="str">
        <v>Premium</v>
      </c>
      <c r="AE917">
        <v>2.77</v>
      </c>
      <c r="AF917" s="14">
        <f t="shared" si="14"/>
        <v>1.358288770053476</v>
      </c>
    </row>
    <row r="918" spans="1:32" x14ac:dyDescent="0.2">
      <c r="A918">
        <v>917</v>
      </c>
      <c r="B918" cm="1">
        <f t="array" ref="B918:AE918">_xlfn.XLOOKUP($A918,Instagram_Usage_Lifestyle_Mini_!$A:$A,Instagram_Usage_Lifestyle_Mini_!$AC:$BF)</f>
        <v>300</v>
      </c>
      <c r="C918">
        <v>20</v>
      </c>
      <c r="D918">
        <v>8</v>
      </c>
      <c r="E918">
        <v>209</v>
      </c>
      <c r="F918">
        <v>150</v>
      </c>
      <c r="G918">
        <v>167</v>
      </c>
      <c r="H918">
        <v>51</v>
      </c>
      <c r="I918">
        <v>33</v>
      </c>
      <c r="J918">
        <v>51</v>
      </c>
      <c r="K918">
        <v>25</v>
      </c>
      <c r="L918">
        <v>5</v>
      </c>
      <c r="M918">
        <v>176</v>
      </c>
      <c r="N918">
        <v>68</v>
      </c>
      <c r="O918">
        <v>71</v>
      </c>
      <c r="P918">
        <v>99</v>
      </c>
      <c r="Q918">
        <v>1224</v>
      </c>
      <c r="R918">
        <v>2709</v>
      </c>
      <c r="S918" t="str">
        <v>No</v>
      </c>
      <c r="T918">
        <v>0.79</v>
      </c>
      <c r="U918">
        <v>2014</v>
      </c>
      <c r="V918">
        <v>45744</v>
      </c>
      <c r="W918">
        <v>15</v>
      </c>
      <c r="X918" t="str">
        <v>Reels</v>
      </c>
      <c r="Y918" t="str">
        <v>Other</v>
      </c>
      <c r="Z918" t="str">
        <v>Private</v>
      </c>
      <c r="AA918" t="str">
        <v>Yes</v>
      </c>
      <c r="AB918" t="str">
        <v>No</v>
      </c>
      <c r="AC918">
        <v>2</v>
      </c>
      <c r="AD918" t="str">
        <v>Free</v>
      </c>
      <c r="AE918">
        <v>0.97</v>
      </c>
      <c r="AF918" s="14">
        <f t="shared" si="14"/>
        <v>0.45182724252491696</v>
      </c>
    </row>
    <row r="919" spans="1:32" x14ac:dyDescent="0.2">
      <c r="A919">
        <v>918</v>
      </c>
      <c r="B919" cm="1">
        <f t="array" ref="B919:AE919">_xlfn.XLOOKUP($A919,Instagram_Usage_Lifestyle_Mini_!$A:$A,Instagram_Usage_Lifestyle_Mini_!$AC:$BF)</f>
        <v>248</v>
      </c>
      <c r="C919">
        <v>23</v>
      </c>
      <c r="D919">
        <v>7</v>
      </c>
      <c r="E919">
        <v>185</v>
      </c>
      <c r="F919">
        <v>131</v>
      </c>
      <c r="G919">
        <v>165</v>
      </c>
      <c r="H919">
        <v>41</v>
      </c>
      <c r="I919">
        <v>28</v>
      </c>
      <c r="J919">
        <v>43</v>
      </c>
      <c r="K919">
        <v>22</v>
      </c>
      <c r="L919">
        <v>4</v>
      </c>
      <c r="M919">
        <v>123</v>
      </c>
      <c r="N919">
        <v>31</v>
      </c>
      <c r="O919">
        <v>37</v>
      </c>
      <c r="P919">
        <v>51</v>
      </c>
      <c r="Q919">
        <v>653</v>
      </c>
      <c r="R919">
        <v>416</v>
      </c>
      <c r="S919" t="str">
        <v>Yes</v>
      </c>
      <c r="T919">
        <v>0.74</v>
      </c>
      <c r="U919">
        <v>2014</v>
      </c>
      <c r="V919">
        <v>45968</v>
      </c>
      <c r="W919">
        <v>10.8</v>
      </c>
      <c r="X919" t="str">
        <v>Mixed</v>
      </c>
      <c r="Y919" t="str">
        <v>Fashion</v>
      </c>
      <c r="Z919" t="str">
        <v>Public</v>
      </c>
      <c r="AA919" t="str">
        <v>No</v>
      </c>
      <c r="AB919" t="str">
        <v>No</v>
      </c>
      <c r="AC919">
        <v>3</v>
      </c>
      <c r="AD919" t="str">
        <v>Free</v>
      </c>
      <c r="AE919">
        <v>1.08</v>
      </c>
      <c r="AF919" s="14">
        <f t="shared" si="14"/>
        <v>1.5697115384615385</v>
      </c>
    </row>
    <row r="920" spans="1:32" x14ac:dyDescent="0.2">
      <c r="A920">
        <v>919</v>
      </c>
      <c r="B920" cm="1">
        <f t="array" ref="B920:AE920">_xlfn.XLOOKUP($A920,Instagram_Usage_Lifestyle_Mini_!$A:$A,Instagram_Usage_Lifestyle_Mini_!$AC:$BF)</f>
        <v>64</v>
      </c>
      <c r="C920">
        <v>4</v>
      </c>
      <c r="D920">
        <v>2</v>
      </c>
      <c r="E920">
        <v>171</v>
      </c>
      <c r="F920">
        <v>48</v>
      </c>
      <c r="G920">
        <v>51</v>
      </c>
      <c r="H920">
        <v>18</v>
      </c>
      <c r="I920">
        <v>19</v>
      </c>
      <c r="J920">
        <v>21</v>
      </c>
      <c r="K920">
        <v>6</v>
      </c>
      <c r="L920">
        <v>1</v>
      </c>
      <c r="M920">
        <v>34</v>
      </c>
      <c r="N920">
        <v>8</v>
      </c>
      <c r="O920">
        <v>9</v>
      </c>
      <c r="P920">
        <v>18</v>
      </c>
      <c r="Q920">
        <v>716</v>
      </c>
      <c r="R920">
        <v>983</v>
      </c>
      <c r="S920" t="str">
        <v>No</v>
      </c>
      <c r="T920">
        <v>0.14000000000000001</v>
      </c>
      <c r="U920">
        <v>2020</v>
      </c>
      <c r="V920">
        <v>45986</v>
      </c>
      <c r="W920">
        <v>16</v>
      </c>
      <c r="X920" t="str">
        <v>Reels</v>
      </c>
      <c r="Y920" t="str">
        <v>Fitness</v>
      </c>
      <c r="Z920" t="str">
        <v>Public</v>
      </c>
      <c r="AA920" t="str">
        <v>Yes</v>
      </c>
      <c r="AB920" t="str">
        <v>No</v>
      </c>
      <c r="AC920">
        <v>3</v>
      </c>
      <c r="AD920" t="str">
        <v>Free</v>
      </c>
      <c r="AE920">
        <v>1.43</v>
      </c>
      <c r="AF920" s="14">
        <f t="shared" si="14"/>
        <v>0.728382502543235</v>
      </c>
    </row>
    <row r="921" spans="1:32" x14ac:dyDescent="0.2">
      <c r="A921">
        <v>920</v>
      </c>
      <c r="B921" cm="1">
        <f t="array" ref="B921:AE921">_xlfn.XLOOKUP($A921,Instagram_Usage_Lifestyle_Mini_!$A:$A,Instagram_Usage_Lifestyle_Mini_!$AC:$BF)</f>
        <v>141</v>
      </c>
      <c r="C921">
        <v>9</v>
      </c>
      <c r="D921">
        <v>2</v>
      </c>
      <c r="E921">
        <v>126</v>
      </c>
      <c r="F921">
        <v>94</v>
      </c>
      <c r="G921">
        <v>100</v>
      </c>
      <c r="H921">
        <v>30</v>
      </c>
      <c r="I921">
        <v>20</v>
      </c>
      <c r="J921">
        <v>18</v>
      </c>
      <c r="K921">
        <v>20</v>
      </c>
      <c r="L921">
        <v>3</v>
      </c>
      <c r="M921">
        <v>67</v>
      </c>
      <c r="N921">
        <v>28</v>
      </c>
      <c r="O921">
        <v>32</v>
      </c>
      <c r="P921">
        <v>33</v>
      </c>
      <c r="Q921">
        <v>1298</v>
      </c>
      <c r="R921">
        <v>2806</v>
      </c>
      <c r="S921" t="str">
        <v>No</v>
      </c>
      <c r="T921">
        <v>0.62</v>
      </c>
      <c r="U921">
        <v>2019</v>
      </c>
      <c r="V921">
        <v>45681</v>
      </c>
      <c r="W921">
        <v>15.7</v>
      </c>
      <c r="X921" t="str">
        <v>Stories</v>
      </c>
      <c r="Y921" t="str">
        <v>Fitness</v>
      </c>
      <c r="Z921" t="str">
        <v>Friends_only</v>
      </c>
      <c r="AA921" t="str">
        <v>No</v>
      </c>
      <c r="AB921" t="str">
        <v>Yes</v>
      </c>
      <c r="AC921">
        <v>2</v>
      </c>
      <c r="AD921" t="str">
        <v>Business</v>
      </c>
      <c r="AE921">
        <v>1.17</v>
      </c>
      <c r="AF921" s="14">
        <f t="shared" si="14"/>
        <v>0.46258018531717748</v>
      </c>
    </row>
    <row r="922" spans="1:32" x14ac:dyDescent="0.2">
      <c r="A922">
        <v>921</v>
      </c>
      <c r="B922" cm="1">
        <f t="array" ref="B922:AE922">_xlfn.XLOOKUP($A922,Instagram_Usage_Lifestyle_Mini_!$A:$A,Instagram_Usage_Lifestyle_Mini_!$AC:$BF)</f>
        <v>236</v>
      </c>
      <c r="C922">
        <v>22</v>
      </c>
      <c r="D922">
        <v>9</v>
      </c>
      <c r="E922">
        <v>205</v>
      </c>
      <c r="F922">
        <v>121</v>
      </c>
      <c r="G922">
        <v>133</v>
      </c>
      <c r="H922">
        <v>32</v>
      </c>
      <c r="I922">
        <v>27</v>
      </c>
      <c r="J922">
        <v>33</v>
      </c>
      <c r="K922">
        <v>23</v>
      </c>
      <c r="L922">
        <v>4</v>
      </c>
      <c r="M922">
        <v>137</v>
      </c>
      <c r="N922">
        <v>40</v>
      </c>
      <c r="O922">
        <v>26</v>
      </c>
      <c r="P922">
        <v>52</v>
      </c>
      <c r="Q922">
        <v>1240</v>
      </c>
      <c r="R922">
        <v>3082</v>
      </c>
      <c r="S922" t="str">
        <v>No</v>
      </c>
      <c r="T922">
        <v>0.35</v>
      </c>
      <c r="U922">
        <v>2012</v>
      </c>
      <c r="V922">
        <v>46018</v>
      </c>
      <c r="W922">
        <v>10.7</v>
      </c>
      <c r="X922" t="str">
        <v>Reels</v>
      </c>
      <c r="Y922" t="str">
        <v>Music</v>
      </c>
      <c r="Z922" t="str">
        <v>Private</v>
      </c>
      <c r="AA922" t="str">
        <v>No</v>
      </c>
      <c r="AB922" t="str">
        <v>Yes</v>
      </c>
      <c r="AC922">
        <v>4</v>
      </c>
      <c r="AD922" t="str">
        <v>Premium</v>
      </c>
      <c r="AE922">
        <v>0.95</v>
      </c>
      <c r="AF922" s="14">
        <f t="shared" si="14"/>
        <v>0.40233614536015572</v>
      </c>
    </row>
    <row r="923" spans="1:32" x14ac:dyDescent="0.2">
      <c r="A923">
        <v>922</v>
      </c>
      <c r="B923" cm="1">
        <f t="array" ref="B923:AE923">_xlfn.XLOOKUP($A923,Instagram_Usage_Lifestyle_Mini_!$A:$A,Instagram_Usage_Lifestyle_Mini_!$AC:$BF)</f>
        <v>172</v>
      </c>
      <c r="C923">
        <v>11</v>
      </c>
      <c r="D923">
        <v>2</v>
      </c>
      <c r="E923">
        <v>148</v>
      </c>
      <c r="F923">
        <v>103</v>
      </c>
      <c r="G923">
        <v>113</v>
      </c>
      <c r="H923">
        <v>27</v>
      </c>
      <c r="I923">
        <v>22</v>
      </c>
      <c r="J923">
        <v>30</v>
      </c>
      <c r="K923">
        <v>26</v>
      </c>
      <c r="L923">
        <v>6</v>
      </c>
      <c r="M923">
        <v>93</v>
      </c>
      <c r="N923">
        <v>23</v>
      </c>
      <c r="O923">
        <v>23</v>
      </c>
      <c r="P923">
        <v>63</v>
      </c>
      <c r="Q923">
        <v>1546</v>
      </c>
      <c r="R923">
        <v>748</v>
      </c>
      <c r="S923" t="str">
        <v>No</v>
      </c>
      <c r="T923">
        <v>0.98</v>
      </c>
      <c r="U923">
        <v>2023</v>
      </c>
      <c r="V923">
        <v>45996</v>
      </c>
      <c r="W923">
        <v>15.6</v>
      </c>
      <c r="X923" t="str">
        <v>Live</v>
      </c>
      <c r="Y923" t="str">
        <v>Food</v>
      </c>
      <c r="Z923" t="str">
        <v>Friends_only</v>
      </c>
      <c r="AA923" t="str">
        <v>Yes</v>
      </c>
      <c r="AB923" t="str">
        <v>Yes</v>
      </c>
      <c r="AC923">
        <v>5</v>
      </c>
      <c r="AD923" t="str">
        <v>Free</v>
      </c>
      <c r="AE923">
        <v>1</v>
      </c>
      <c r="AF923" s="14">
        <f t="shared" si="14"/>
        <v>2.0668449197860963</v>
      </c>
    </row>
    <row r="924" spans="1:32" x14ac:dyDescent="0.2">
      <c r="A924">
        <v>923</v>
      </c>
      <c r="B924" cm="1">
        <f t="array" ref="B924:AE924">_xlfn.XLOOKUP($A924,Instagram_Usage_Lifestyle_Mini_!$A:$A,Instagram_Usage_Lifestyle_Mini_!$AC:$BF)</f>
        <v>5</v>
      </c>
      <c r="C924">
        <v>1</v>
      </c>
      <c r="D924">
        <v>6</v>
      </c>
      <c r="E924">
        <v>126</v>
      </c>
      <c r="F924">
        <v>38</v>
      </c>
      <c r="G924">
        <v>29</v>
      </c>
      <c r="H924">
        <v>4</v>
      </c>
      <c r="I924">
        <v>16</v>
      </c>
      <c r="J924">
        <v>8</v>
      </c>
      <c r="K924">
        <v>3</v>
      </c>
      <c r="L924">
        <v>1</v>
      </c>
      <c r="M924">
        <v>3</v>
      </c>
      <c r="N924">
        <v>1</v>
      </c>
      <c r="O924">
        <v>1</v>
      </c>
      <c r="P924">
        <v>2</v>
      </c>
      <c r="Q924">
        <v>186</v>
      </c>
      <c r="R924">
        <v>376</v>
      </c>
      <c r="S924" t="str">
        <v>No</v>
      </c>
      <c r="T924">
        <v>0.87</v>
      </c>
      <c r="U924">
        <v>2025</v>
      </c>
      <c r="V924">
        <v>45785</v>
      </c>
      <c r="W924">
        <v>5</v>
      </c>
      <c r="X924" t="str">
        <v>Reels</v>
      </c>
      <c r="Y924" t="str">
        <v>Fashion</v>
      </c>
      <c r="Z924" t="str">
        <v>Public</v>
      </c>
      <c r="AA924" t="str">
        <v>Yes</v>
      </c>
      <c r="AB924" t="str">
        <v>No</v>
      </c>
      <c r="AC924">
        <v>3</v>
      </c>
      <c r="AD924" t="str">
        <v>Free</v>
      </c>
      <c r="AE924">
        <v>9.17</v>
      </c>
      <c r="AF924" s="14">
        <f t="shared" si="14"/>
        <v>0.49468085106382981</v>
      </c>
    </row>
    <row r="925" spans="1:32" x14ac:dyDescent="0.2">
      <c r="A925">
        <v>924</v>
      </c>
      <c r="B925" cm="1">
        <f t="array" ref="B925:AE925">_xlfn.XLOOKUP($A925,Instagram_Usage_Lifestyle_Mini_!$A:$A,Instagram_Usage_Lifestyle_Mini_!$AC:$BF)</f>
        <v>330</v>
      </c>
      <c r="C925">
        <v>10</v>
      </c>
      <c r="D925">
        <v>12</v>
      </c>
      <c r="E925">
        <v>300</v>
      </c>
      <c r="F925">
        <v>150</v>
      </c>
      <c r="G925">
        <v>199</v>
      </c>
      <c r="H925">
        <v>57</v>
      </c>
      <c r="I925">
        <v>39</v>
      </c>
      <c r="J925">
        <v>51</v>
      </c>
      <c r="K925">
        <v>29</v>
      </c>
      <c r="L925">
        <v>4</v>
      </c>
      <c r="M925">
        <v>172</v>
      </c>
      <c r="N925">
        <v>45</v>
      </c>
      <c r="O925">
        <v>68</v>
      </c>
      <c r="P925">
        <v>107</v>
      </c>
      <c r="Q925">
        <v>17987</v>
      </c>
      <c r="R925">
        <v>10000</v>
      </c>
      <c r="S925" t="str">
        <v>No</v>
      </c>
      <c r="T925">
        <v>0.16</v>
      </c>
      <c r="U925">
        <v>2025</v>
      </c>
      <c r="V925">
        <v>45774</v>
      </c>
      <c r="W925">
        <v>33</v>
      </c>
      <c r="X925" t="str">
        <v>Reels</v>
      </c>
      <c r="Y925" t="str">
        <v>Fashion</v>
      </c>
      <c r="Z925" t="str">
        <v>Private</v>
      </c>
      <c r="AA925" t="str">
        <v>No</v>
      </c>
      <c r="AB925" t="str">
        <v>No</v>
      </c>
      <c r="AC925">
        <v>5</v>
      </c>
      <c r="AD925" t="str">
        <v>Free</v>
      </c>
      <c r="AE925">
        <v>1.05</v>
      </c>
      <c r="AF925" s="14">
        <f t="shared" si="14"/>
        <v>1.7987</v>
      </c>
    </row>
    <row r="926" spans="1:32" x14ac:dyDescent="0.2">
      <c r="A926">
        <v>925</v>
      </c>
      <c r="B926" cm="1">
        <f t="array" ref="B926:AE926">_xlfn.XLOOKUP($A926,Instagram_Usage_Lifestyle_Mini_!$A:$A,Instagram_Usage_Lifestyle_Mini_!$AC:$BF)</f>
        <v>446</v>
      </c>
      <c r="C926">
        <v>39</v>
      </c>
      <c r="D926">
        <v>9</v>
      </c>
      <c r="E926">
        <v>292</v>
      </c>
      <c r="F926">
        <v>150</v>
      </c>
      <c r="G926">
        <v>270</v>
      </c>
      <c r="H926">
        <v>80</v>
      </c>
      <c r="I926">
        <v>48</v>
      </c>
      <c r="J926">
        <v>61</v>
      </c>
      <c r="K926">
        <v>50</v>
      </c>
      <c r="L926">
        <v>7</v>
      </c>
      <c r="M926">
        <v>203</v>
      </c>
      <c r="N926">
        <v>71</v>
      </c>
      <c r="O926">
        <v>75</v>
      </c>
      <c r="P926">
        <v>114</v>
      </c>
      <c r="Q926">
        <v>3704</v>
      </c>
      <c r="R926">
        <v>2022</v>
      </c>
      <c r="S926" t="str">
        <v>Yes</v>
      </c>
      <c r="T926">
        <v>0.79</v>
      </c>
      <c r="U926">
        <v>2015</v>
      </c>
      <c r="V926">
        <v>45778</v>
      </c>
      <c r="W926">
        <v>11.4</v>
      </c>
      <c r="X926" t="str">
        <v>Photos</v>
      </c>
      <c r="Y926" t="str">
        <v>Tech</v>
      </c>
      <c r="Z926" t="str">
        <v>Public</v>
      </c>
      <c r="AA926" t="str">
        <v>Yes</v>
      </c>
      <c r="AB926" t="str">
        <v>No</v>
      </c>
      <c r="AC926">
        <v>0</v>
      </c>
      <c r="AD926" t="str">
        <v>Free</v>
      </c>
      <c r="AE926">
        <v>1.02</v>
      </c>
      <c r="AF926" s="14">
        <f t="shared" si="14"/>
        <v>1.8318496538081108</v>
      </c>
    </row>
    <row r="927" spans="1:32" x14ac:dyDescent="0.2">
      <c r="A927">
        <v>926</v>
      </c>
      <c r="B927" cm="1">
        <f t="array" ref="B927:AE927">_xlfn.XLOOKUP($A927,Instagram_Usage_Lifestyle_Mini_!$A:$A,Instagram_Usage_Lifestyle_Mini_!$AC:$BF)</f>
        <v>77</v>
      </c>
      <c r="C927">
        <v>2</v>
      </c>
      <c r="D927">
        <v>5</v>
      </c>
      <c r="E927">
        <v>166</v>
      </c>
      <c r="F927">
        <v>45</v>
      </c>
      <c r="G927">
        <v>55</v>
      </c>
      <c r="H927">
        <v>12</v>
      </c>
      <c r="I927">
        <v>16</v>
      </c>
      <c r="J927">
        <v>23</v>
      </c>
      <c r="K927">
        <v>16</v>
      </c>
      <c r="L927">
        <v>2</v>
      </c>
      <c r="M927">
        <v>35</v>
      </c>
      <c r="N927">
        <v>8</v>
      </c>
      <c r="O927">
        <v>11</v>
      </c>
      <c r="P927">
        <v>25</v>
      </c>
      <c r="Q927">
        <v>3032</v>
      </c>
      <c r="R927">
        <v>1361</v>
      </c>
      <c r="S927" t="str">
        <v>No</v>
      </c>
      <c r="T927">
        <v>0.97</v>
      </c>
      <c r="U927">
        <v>2018</v>
      </c>
      <c r="V927">
        <v>45685</v>
      </c>
      <c r="W927">
        <v>38.5</v>
      </c>
      <c r="X927" t="str">
        <v>Live</v>
      </c>
      <c r="Y927" t="str">
        <v>Art</v>
      </c>
      <c r="Z927" t="str">
        <v>Public</v>
      </c>
      <c r="AA927" t="str">
        <v>Yes</v>
      </c>
      <c r="AB927" t="str">
        <v>No</v>
      </c>
      <c r="AC927">
        <v>1</v>
      </c>
      <c r="AD927" t="str">
        <v>Free</v>
      </c>
      <c r="AE927">
        <v>1.21</v>
      </c>
      <c r="AF927" s="14">
        <f t="shared" si="14"/>
        <v>2.2277736958119032</v>
      </c>
    </row>
    <row r="928" spans="1:32" x14ac:dyDescent="0.2">
      <c r="A928">
        <v>927</v>
      </c>
      <c r="B928" cm="1">
        <f t="array" ref="B928:AE928">_xlfn.XLOOKUP($A928,Instagram_Usage_Lifestyle_Mini_!$A:$A,Instagram_Usage_Lifestyle_Mini_!$AC:$BF)</f>
        <v>138</v>
      </c>
      <c r="C928">
        <v>4</v>
      </c>
      <c r="D928">
        <v>8</v>
      </c>
      <c r="E928">
        <v>188</v>
      </c>
      <c r="F928">
        <v>83</v>
      </c>
      <c r="G928">
        <v>101</v>
      </c>
      <c r="H928">
        <v>30</v>
      </c>
      <c r="I928">
        <v>25</v>
      </c>
      <c r="J928">
        <v>19</v>
      </c>
      <c r="K928">
        <v>20</v>
      </c>
      <c r="L928">
        <v>4</v>
      </c>
      <c r="M928">
        <v>68</v>
      </c>
      <c r="N928">
        <v>30</v>
      </c>
      <c r="O928">
        <v>30</v>
      </c>
      <c r="P928">
        <v>36</v>
      </c>
      <c r="Q928">
        <v>326</v>
      </c>
      <c r="R928">
        <v>200</v>
      </c>
      <c r="S928" t="str">
        <v>Yes</v>
      </c>
      <c r="T928">
        <v>0.49</v>
      </c>
      <c r="U928">
        <v>2022</v>
      </c>
      <c r="V928">
        <v>45932</v>
      </c>
      <c r="W928">
        <v>34.5</v>
      </c>
      <c r="X928" t="str">
        <v>Videos</v>
      </c>
      <c r="Y928" t="str">
        <v>Music</v>
      </c>
      <c r="Z928" t="str">
        <v>Private</v>
      </c>
      <c r="AA928" t="str">
        <v>No</v>
      </c>
      <c r="AB928" t="str">
        <v>No</v>
      </c>
      <c r="AC928">
        <v>1</v>
      </c>
      <c r="AD928" t="str">
        <v>Business</v>
      </c>
      <c r="AE928">
        <v>1.33</v>
      </c>
      <c r="AF928" s="14">
        <f t="shared" si="14"/>
        <v>1.63</v>
      </c>
    </row>
    <row r="929" spans="1:32" x14ac:dyDescent="0.2">
      <c r="A929">
        <v>928</v>
      </c>
      <c r="B929" cm="1">
        <f t="array" ref="B929:AE929">_xlfn.XLOOKUP($A929,Instagram_Usage_Lifestyle_Mini_!$A:$A,Instagram_Usage_Lifestyle_Mini_!$AC:$BF)</f>
        <v>107</v>
      </c>
      <c r="C929">
        <v>4</v>
      </c>
      <c r="D929">
        <v>3</v>
      </c>
      <c r="E929">
        <v>172</v>
      </c>
      <c r="F929">
        <v>66</v>
      </c>
      <c r="G929">
        <v>61</v>
      </c>
      <c r="H929">
        <v>25</v>
      </c>
      <c r="I929">
        <v>25</v>
      </c>
      <c r="J929">
        <v>11</v>
      </c>
      <c r="K929">
        <v>10</v>
      </c>
      <c r="L929">
        <v>2</v>
      </c>
      <c r="M929">
        <v>58</v>
      </c>
      <c r="N929">
        <v>23</v>
      </c>
      <c r="O929">
        <v>14</v>
      </c>
      <c r="P929">
        <v>22</v>
      </c>
      <c r="Q929">
        <v>144</v>
      </c>
      <c r="R929">
        <v>310</v>
      </c>
      <c r="S929" t="str">
        <v>No</v>
      </c>
      <c r="T929">
        <v>0.08</v>
      </c>
      <c r="U929">
        <v>2023</v>
      </c>
      <c r="V929">
        <v>45768</v>
      </c>
      <c r="W929">
        <v>26.8</v>
      </c>
      <c r="X929" t="str">
        <v>Videos</v>
      </c>
      <c r="Y929" t="str">
        <v>Other</v>
      </c>
      <c r="Z929" t="str">
        <v>Private</v>
      </c>
      <c r="AA929" t="str">
        <v>Yes</v>
      </c>
      <c r="AB929" t="str">
        <v>No</v>
      </c>
      <c r="AC929">
        <v>2</v>
      </c>
      <c r="AD929" t="str">
        <v>Premium</v>
      </c>
      <c r="AE929">
        <v>1.1100000000000001</v>
      </c>
      <c r="AF929" s="14">
        <f t="shared" si="14"/>
        <v>0.46451612903225808</v>
      </c>
    </row>
    <row r="930" spans="1:32" x14ac:dyDescent="0.2">
      <c r="A930">
        <v>929</v>
      </c>
      <c r="B930" cm="1">
        <f t="array" ref="B930:AE930">_xlfn.XLOOKUP($A930,Instagram_Usage_Lifestyle_Mini_!$A:$A,Instagram_Usage_Lifestyle_Mini_!$AC:$BF)</f>
        <v>302</v>
      </c>
      <c r="C930">
        <v>11</v>
      </c>
      <c r="D930">
        <v>10</v>
      </c>
      <c r="E930">
        <v>300</v>
      </c>
      <c r="F930">
        <v>150</v>
      </c>
      <c r="G930">
        <v>164</v>
      </c>
      <c r="H930">
        <v>56</v>
      </c>
      <c r="I930">
        <v>40</v>
      </c>
      <c r="J930">
        <v>48</v>
      </c>
      <c r="K930">
        <v>39</v>
      </c>
      <c r="L930">
        <v>10</v>
      </c>
      <c r="M930">
        <v>124</v>
      </c>
      <c r="N930">
        <v>60</v>
      </c>
      <c r="O930">
        <v>39</v>
      </c>
      <c r="P930">
        <v>68</v>
      </c>
      <c r="Q930">
        <v>19238</v>
      </c>
      <c r="R930">
        <v>10000</v>
      </c>
      <c r="S930" t="str">
        <v>Yes</v>
      </c>
      <c r="T930">
        <v>0.67</v>
      </c>
      <c r="U930">
        <v>2023</v>
      </c>
      <c r="V930">
        <v>45918</v>
      </c>
      <c r="W930">
        <v>27.5</v>
      </c>
      <c r="X930" t="str">
        <v>Stories</v>
      </c>
      <c r="Y930" t="str">
        <v>Art</v>
      </c>
      <c r="Z930" t="str">
        <v>Friends_only</v>
      </c>
      <c r="AA930" t="str">
        <v>Yes</v>
      </c>
      <c r="AB930" t="str">
        <v>No</v>
      </c>
      <c r="AC930">
        <v>5</v>
      </c>
      <c r="AD930" t="str">
        <v>Free</v>
      </c>
      <c r="AE930">
        <v>1.01</v>
      </c>
      <c r="AF930" s="14">
        <f t="shared" si="14"/>
        <v>1.9238</v>
      </c>
    </row>
    <row r="931" spans="1:32" x14ac:dyDescent="0.2">
      <c r="A931">
        <v>930</v>
      </c>
      <c r="B931" cm="1">
        <f t="array" ref="B931:AE931">_xlfn.XLOOKUP($A931,Instagram_Usage_Lifestyle_Mini_!$A:$A,Instagram_Usage_Lifestyle_Mini_!$AC:$BF)</f>
        <v>5</v>
      </c>
      <c r="C931">
        <v>1</v>
      </c>
      <c r="D931">
        <v>1</v>
      </c>
      <c r="E931">
        <v>135</v>
      </c>
      <c r="F931">
        <v>33</v>
      </c>
      <c r="G931">
        <v>32</v>
      </c>
      <c r="H931">
        <v>7</v>
      </c>
      <c r="I931">
        <v>5</v>
      </c>
      <c r="J931">
        <v>6</v>
      </c>
      <c r="K931">
        <v>8</v>
      </c>
      <c r="L931">
        <v>1</v>
      </c>
      <c r="M931">
        <v>2</v>
      </c>
      <c r="N931">
        <v>1</v>
      </c>
      <c r="O931">
        <v>1</v>
      </c>
      <c r="P931">
        <v>2</v>
      </c>
      <c r="Q931">
        <v>255</v>
      </c>
      <c r="R931">
        <v>170</v>
      </c>
      <c r="S931" t="str">
        <v>No</v>
      </c>
      <c r="T931">
        <v>0.28999999999999998</v>
      </c>
      <c r="U931">
        <v>2025</v>
      </c>
      <c r="V931">
        <v>45822</v>
      </c>
      <c r="W931">
        <v>5</v>
      </c>
      <c r="X931" t="str">
        <v>Stories</v>
      </c>
      <c r="Y931" t="str">
        <v>Other</v>
      </c>
      <c r="Z931" t="str">
        <v>Private</v>
      </c>
      <c r="AA931" t="str">
        <v>Yes</v>
      </c>
      <c r="AB931" t="str">
        <v>No</v>
      </c>
      <c r="AC931">
        <v>3</v>
      </c>
      <c r="AD931" t="str">
        <v>Free</v>
      </c>
      <c r="AE931">
        <v>8.17</v>
      </c>
      <c r="AF931" s="14">
        <f t="shared" si="14"/>
        <v>1.5</v>
      </c>
    </row>
    <row r="932" spans="1:32" x14ac:dyDescent="0.2">
      <c r="A932">
        <v>931</v>
      </c>
      <c r="B932" cm="1">
        <f t="array" ref="B932:AE932">_xlfn.XLOOKUP($A932,Instagram_Usage_Lifestyle_Mini_!$A:$A,Instagram_Usage_Lifestyle_Mini_!$AC:$BF)</f>
        <v>113</v>
      </c>
      <c r="C932">
        <v>6</v>
      </c>
      <c r="D932">
        <v>0</v>
      </c>
      <c r="E932">
        <v>123</v>
      </c>
      <c r="F932">
        <v>82</v>
      </c>
      <c r="G932">
        <v>97</v>
      </c>
      <c r="H932">
        <v>22</v>
      </c>
      <c r="I932">
        <v>18</v>
      </c>
      <c r="J932">
        <v>17</v>
      </c>
      <c r="K932">
        <v>11</v>
      </c>
      <c r="L932">
        <v>4</v>
      </c>
      <c r="M932">
        <v>48</v>
      </c>
      <c r="N932">
        <v>27</v>
      </c>
      <c r="O932">
        <v>15</v>
      </c>
      <c r="P932">
        <v>38</v>
      </c>
      <c r="Q932">
        <v>1221</v>
      </c>
      <c r="R932">
        <v>495</v>
      </c>
      <c r="S932" t="str">
        <v>No</v>
      </c>
      <c r="T932">
        <v>0.56000000000000005</v>
      </c>
      <c r="U932">
        <v>2011</v>
      </c>
      <c r="V932">
        <v>45797</v>
      </c>
      <c r="W932">
        <v>18.8</v>
      </c>
      <c r="X932" t="str">
        <v>Videos</v>
      </c>
      <c r="Y932" t="str">
        <v>Food</v>
      </c>
      <c r="Z932" t="str">
        <v>Private</v>
      </c>
      <c r="AA932" t="str">
        <v>Yes</v>
      </c>
      <c r="AB932" t="str">
        <v>Yes</v>
      </c>
      <c r="AC932">
        <v>1</v>
      </c>
      <c r="AD932" t="str">
        <v>Free</v>
      </c>
      <c r="AE932">
        <v>1.24</v>
      </c>
      <c r="AF932" s="14">
        <f t="shared" si="14"/>
        <v>2.4666666666666668</v>
      </c>
    </row>
    <row r="933" spans="1:32" x14ac:dyDescent="0.2">
      <c r="A933">
        <v>932</v>
      </c>
      <c r="B933" cm="1">
        <f t="array" ref="B933:AE933">_xlfn.XLOOKUP($A933,Instagram_Usage_Lifestyle_Mini_!$A:$A,Instagram_Usage_Lifestyle_Mini_!$AC:$BF)</f>
        <v>249</v>
      </c>
      <c r="C933">
        <v>8</v>
      </c>
      <c r="D933">
        <v>7</v>
      </c>
      <c r="E933">
        <v>199</v>
      </c>
      <c r="F933">
        <v>145</v>
      </c>
      <c r="G933">
        <v>147</v>
      </c>
      <c r="H933">
        <v>38</v>
      </c>
      <c r="I933">
        <v>38</v>
      </c>
      <c r="J933">
        <v>41</v>
      </c>
      <c r="K933">
        <v>31</v>
      </c>
      <c r="L933">
        <v>5</v>
      </c>
      <c r="M933">
        <v>129</v>
      </c>
      <c r="N933">
        <v>54</v>
      </c>
      <c r="O933">
        <v>47</v>
      </c>
      <c r="P933">
        <v>73</v>
      </c>
      <c r="Q933">
        <v>1919</v>
      </c>
      <c r="R933">
        <v>3288</v>
      </c>
      <c r="S933" t="str">
        <v>No</v>
      </c>
      <c r="T933">
        <v>0.69</v>
      </c>
      <c r="U933">
        <v>2020</v>
      </c>
      <c r="V933">
        <v>45680</v>
      </c>
      <c r="W933">
        <v>31.1</v>
      </c>
      <c r="X933" t="str">
        <v>Mixed</v>
      </c>
      <c r="Y933" t="str">
        <v>Tech</v>
      </c>
      <c r="Z933" t="str">
        <v>Friends_only</v>
      </c>
      <c r="AA933" t="str">
        <v>No</v>
      </c>
      <c r="AB933" t="str">
        <v>Yes</v>
      </c>
      <c r="AC933">
        <v>5</v>
      </c>
      <c r="AD933" t="str">
        <v>Business</v>
      </c>
      <c r="AE933">
        <v>0.98</v>
      </c>
      <c r="AF933" s="14">
        <f t="shared" si="14"/>
        <v>0.58363746958637475</v>
      </c>
    </row>
    <row r="934" spans="1:32" x14ac:dyDescent="0.2">
      <c r="A934">
        <v>933</v>
      </c>
      <c r="B934" cm="1">
        <f t="array" ref="B934:AE934">_xlfn.XLOOKUP($A934,Instagram_Usage_Lifestyle_Mini_!$A:$A,Instagram_Usage_Lifestyle_Mini_!$AC:$BF)</f>
        <v>22</v>
      </c>
      <c r="C934">
        <v>1</v>
      </c>
      <c r="D934">
        <v>6</v>
      </c>
      <c r="E934">
        <v>118</v>
      </c>
      <c r="F934">
        <v>40</v>
      </c>
      <c r="G934">
        <v>45</v>
      </c>
      <c r="H934">
        <v>10</v>
      </c>
      <c r="I934">
        <v>11</v>
      </c>
      <c r="J934">
        <v>15</v>
      </c>
      <c r="K934">
        <v>7</v>
      </c>
      <c r="L934">
        <v>2</v>
      </c>
      <c r="M934">
        <v>11</v>
      </c>
      <c r="N934">
        <v>4</v>
      </c>
      <c r="O934">
        <v>3</v>
      </c>
      <c r="P934">
        <v>5</v>
      </c>
      <c r="Q934">
        <v>743</v>
      </c>
      <c r="R934">
        <v>573</v>
      </c>
      <c r="S934" t="str">
        <v>No</v>
      </c>
      <c r="T934">
        <v>0.04</v>
      </c>
      <c r="U934">
        <v>2014</v>
      </c>
      <c r="V934">
        <v>45775</v>
      </c>
      <c r="W934">
        <v>22</v>
      </c>
      <c r="X934" t="str">
        <v>Photos</v>
      </c>
      <c r="Y934" t="str">
        <v>Art</v>
      </c>
      <c r="Z934" t="str">
        <v>Friends_only</v>
      </c>
      <c r="AA934" t="str">
        <v>No</v>
      </c>
      <c r="AB934" t="str">
        <v>Yes</v>
      </c>
      <c r="AC934">
        <v>1</v>
      </c>
      <c r="AD934" t="str">
        <v>Free</v>
      </c>
      <c r="AE934">
        <v>3.61</v>
      </c>
      <c r="AF934" s="14">
        <f t="shared" si="14"/>
        <v>1.2966841186736475</v>
      </c>
    </row>
    <row r="935" spans="1:32" x14ac:dyDescent="0.2">
      <c r="A935">
        <v>934</v>
      </c>
      <c r="B935" cm="1">
        <f t="array" ref="B935:AE935">_xlfn.XLOOKUP($A935,Instagram_Usage_Lifestyle_Mini_!$A:$A,Instagram_Usage_Lifestyle_Mini_!$AC:$BF)</f>
        <v>246</v>
      </c>
      <c r="C935">
        <v>10</v>
      </c>
      <c r="D935">
        <v>8</v>
      </c>
      <c r="E935">
        <v>191</v>
      </c>
      <c r="F935">
        <v>131</v>
      </c>
      <c r="G935">
        <v>148</v>
      </c>
      <c r="H935">
        <v>43</v>
      </c>
      <c r="I935">
        <v>34</v>
      </c>
      <c r="J935">
        <v>37</v>
      </c>
      <c r="K935">
        <v>17</v>
      </c>
      <c r="L935">
        <v>8</v>
      </c>
      <c r="M935">
        <v>119</v>
      </c>
      <c r="N935">
        <v>26</v>
      </c>
      <c r="O935">
        <v>41</v>
      </c>
      <c r="P935">
        <v>55</v>
      </c>
      <c r="Q935">
        <v>1027</v>
      </c>
      <c r="R935">
        <v>2151</v>
      </c>
      <c r="S935" t="str">
        <v>No</v>
      </c>
      <c r="T935">
        <v>0.47</v>
      </c>
      <c r="U935">
        <v>2011</v>
      </c>
      <c r="V935">
        <v>46008</v>
      </c>
      <c r="W935">
        <v>24.6</v>
      </c>
      <c r="X935" t="str">
        <v>Reels</v>
      </c>
      <c r="Y935" t="str">
        <v>Fitness</v>
      </c>
      <c r="Z935" t="str">
        <v>Friends_only</v>
      </c>
      <c r="AA935" t="str">
        <v>No</v>
      </c>
      <c r="AB935" t="str">
        <v>No</v>
      </c>
      <c r="AC935">
        <v>2</v>
      </c>
      <c r="AD935" t="str">
        <v>Premium</v>
      </c>
      <c r="AE935">
        <v>1.04</v>
      </c>
      <c r="AF935" s="14">
        <f t="shared" si="14"/>
        <v>0.47745234774523476</v>
      </c>
    </row>
    <row r="936" spans="1:32" x14ac:dyDescent="0.2">
      <c r="A936">
        <v>935</v>
      </c>
      <c r="B936" cm="1">
        <f t="array" ref="B936:AE936">_xlfn.XLOOKUP($A936,Instagram_Usage_Lifestyle_Mini_!$A:$A,Instagram_Usage_Lifestyle_Mini_!$AC:$BF)</f>
        <v>235</v>
      </c>
      <c r="C936">
        <v>15</v>
      </c>
      <c r="D936">
        <v>12</v>
      </c>
      <c r="E936">
        <v>256</v>
      </c>
      <c r="F936">
        <v>129</v>
      </c>
      <c r="G936">
        <v>132</v>
      </c>
      <c r="H936">
        <v>45</v>
      </c>
      <c r="I936">
        <v>33</v>
      </c>
      <c r="J936">
        <v>37</v>
      </c>
      <c r="K936">
        <v>20</v>
      </c>
      <c r="L936">
        <v>4</v>
      </c>
      <c r="M936">
        <v>96</v>
      </c>
      <c r="N936">
        <v>63</v>
      </c>
      <c r="O936">
        <v>52</v>
      </c>
      <c r="P936">
        <v>73</v>
      </c>
      <c r="Q936">
        <v>630</v>
      </c>
      <c r="R936">
        <v>1456</v>
      </c>
      <c r="S936" t="str">
        <v>No</v>
      </c>
      <c r="T936">
        <v>0.01</v>
      </c>
      <c r="U936">
        <v>2022</v>
      </c>
      <c r="V936">
        <v>45813</v>
      </c>
      <c r="W936">
        <v>15.7</v>
      </c>
      <c r="X936" t="str">
        <v>Videos</v>
      </c>
      <c r="Y936" t="str">
        <v>Music</v>
      </c>
      <c r="Z936" t="str">
        <v>Friends_only</v>
      </c>
      <c r="AA936" t="str">
        <v>No</v>
      </c>
      <c r="AB936" t="str">
        <v>No</v>
      </c>
      <c r="AC936">
        <v>1</v>
      </c>
      <c r="AD936" t="str">
        <v>Free</v>
      </c>
      <c r="AE936">
        <v>1.0900000000000001</v>
      </c>
      <c r="AF936" s="14">
        <f t="shared" si="14"/>
        <v>0.43269230769230771</v>
      </c>
    </row>
    <row r="937" spans="1:32" x14ac:dyDescent="0.2">
      <c r="A937">
        <v>936</v>
      </c>
      <c r="B937" cm="1">
        <f t="array" ref="B937:AE937">_xlfn.XLOOKUP($A937,Instagram_Usage_Lifestyle_Mini_!$A:$A,Instagram_Usage_Lifestyle_Mini_!$AC:$BF)</f>
        <v>149</v>
      </c>
      <c r="C937">
        <v>4</v>
      </c>
      <c r="D937">
        <v>4</v>
      </c>
      <c r="E937">
        <v>137</v>
      </c>
      <c r="F937">
        <v>86</v>
      </c>
      <c r="G937">
        <v>99</v>
      </c>
      <c r="H937">
        <v>31</v>
      </c>
      <c r="I937">
        <v>25</v>
      </c>
      <c r="J937">
        <v>33</v>
      </c>
      <c r="K937">
        <v>16</v>
      </c>
      <c r="L937">
        <v>1</v>
      </c>
      <c r="M937">
        <v>60</v>
      </c>
      <c r="N937">
        <v>29</v>
      </c>
      <c r="O937">
        <v>32</v>
      </c>
      <c r="P937">
        <v>55</v>
      </c>
      <c r="Q937">
        <v>936</v>
      </c>
      <c r="R937">
        <v>711</v>
      </c>
      <c r="S937" t="str">
        <v>Yes</v>
      </c>
      <c r="T937">
        <v>0.43</v>
      </c>
      <c r="U937">
        <v>2017</v>
      </c>
      <c r="V937">
        <v>45717</v>
      </c>
      <c r="W937">
        <v>37.200000000000003</v>
      </c>
      <c r="X937" t="str">
        <v>Reels</v>
      </c>
      <c r="Y937" t="str">
        <v>Food</v>
      </c>
      <c r="Z937" t="str">
        <v>Private</v>
      </c>
      <c r="AA937" t="str">
        <v>No</v>
      </c>
      <c r="AB937" t="str">
        <v>Yes</v>
      </c>
      <c r="AC937">
        <v>3</v>
      </c>
      <c r="AD937" t="str">
        <v>Free</v>
      </c>
      <c r="AE937">
        <v>1.1499999999999999</v>
      </c>
      <c r="AF937" s="14">
        <f t="shared" si="14"/>
        <v>1.3164556962025316</v>
      </c>
    </row>
    <row r="938" spans="1:32" x14ac:dyDescent="0.2">
      <c r="A938">
        <v>937</v>
      </c>
      <c r="B938" cm="1">
        <f t="array" ref="B938:AE938">_xlfn.XLOOKUP($A938,Instagram_Usage_Lifestyle_Mini_!$A:$A,Instagram_Usage_Lifestyle_Mini_!$AC:$BF)</f>
        <v>148</v>
      </c>
      <c r="C938">
        <v>5</v>
      </c>
      <c r="D938">
        <v>5</v>
      </c>
      <c r="E938">
        <v>226</v>
      </c>
      <c r="F938">
        <v>104</v>
      </c>
      <c r="G938">
        <v>110</v>
      </c>
      <c r="H938">
        <v>29</v>
      </c>
      <c r="I938">
        <v>22</v>
      </c>
      <c r="J938">
        <v>30</v>
      </c>
      <c r="K938">
        <v>17</v>
      </c>
      <c r="L938">
        <v>4</v>
      </c>
      <c r="M938">
        <v>72</v>
      </c>
      <c r="N938">
        <v>29</v>
      </c>
      <c r="O938">
        <v>21</v>
      </c>
      <c r="P938">
        <v>31</v>
      </c>
      <c r="Q938">
        <v>417</v>
      </c>
      <c r="R938">
        <v>194</v>
      </c>
      <c r="S938" t="str">
        <v>No</v>
      </c>
      <c r="T938">
        <v>0.52</v>
      </c>
      <c r="U938">
        <v>2014</v>
      </c>
      <c r="V938">
        <v>45731</v>
      </c>
      <c r="W938">
        <v>29.6</v>
      </c>
      <c r="X938" t="str">
        <v>Live</v>
      </c>
      <c r="Y938" t="str">
        <v>Music</v>
      </c>
      <c r="Z938" t="str">
        <v>Public</v>
      </c>
      <c r="AA938" t="str">
        <v>Yes</v>
      </c>
      <c r="AB938" t="str">
        <v>No</v>
      </c>
      <c r="AC938">
        <v>1</v>
      </c>
      <c r="AD938" t="str">
        <v>Free</v>
      </c>
      <c r="AE938">
        <v>1.23</v>
      </c>
      <c r="AF938" s="14">
        <f t="shared" si="14"/>
        <v>2.1494845360824741</v>
      </c>
    </row>
    <row r="939" spans="1:32" x14ac:dyDescent="0.2">
      <c r="A939">
        <v>938</v>
      </c>
      <c r="B939" cm="1">
        <f t="array" ref="B939:AE939">_xlfn.XLOOKUP($A939,Instagram_Usage_Lifestyle_Mini_!$A:$A,Instagram_Usage_Lifestyle_Mini_!$AC:$BF)</f>
        <v>321</v>
      </c>
      <c r="C939">
        <v>14</v>
      </c>
      <c r="D939">
        <v>9</v>
      </c>
      <c r="E939">
        <v>300</v>
      </c>
      <c r="F939">
        <v>150</v>
      </c>
      <c r="G939">
        <v>184</v>
      </c>
      <c r="H939">
        <v>65</v>
      </c>
      <c r="I939">
        <v>34</v>
      </c>
      <c r="J939">
        <v>45</v>
      </c>
      <c r="K939">
        <v>26</v>
      </c>
      <c r="L939">
        <v>9</v>
      </c>
      <c r="M939">
        <v>185</v>
      </c>
      <c r="N939">
        <v>94</v>
      </c>
      <c r="O939">
        <v>41</v>
      </c>
      <c r="P939">
        <v>106</v>
      </c>
      <c r="Q939">
        <v>1792</v>
      </c>
      <c r="R939">
        <v>4052</v>
      </c>
      <c r="S939" t="str">
        <v>No</v>
      </c>
      <c r="T939">
        <v>0.81</v>
      </c>
      <c r="U939">
        <v>2025</v>
      </c>
      <c r="V939">
        <v>45939</v>
      </c>
      <c r="W939">
        <v>22.9</v>
      </c>
      <c r="X939" t="str">
        <v>Live</v>
      </c>
      <c r="Y939" t="str">
        <v>Fashion</v>
      </c>
      <c r="Z939" t="str">
        <v>Private</v>
      </c>
      <c r="AA939" t="str">
        <v>Yes</v>
      </c>
      <c r="AB939" t="str">
        <v>No</v>
      </c>
      <c r="AC939">
        <v>1</v>
      </c>
      <c r="AD939" t="str">
        <v>Free</v>
      </c>
      <c r="AE939">
        <v>1.06</v>
      </c>
      <c r="AF939" s="14">
        <f t="shared" si="14"/>
        <v>0.44225074037512341</v>
      </c>
    </row>
    <row r="940" spans="1:32" x14ac:dyDescent="0.2">
      <c r="A940">
        <v>939</v>
      </c>
      <c r="B940" cm="1">
        <f t="array" ref="B940:AE940">_xlfn.XLOOKUP($A940,Instagram_Usage_Lifestyle_Mini_!$A:$A,Instagram_Usage_Lifestyle_Mini_!$AC:$BF)</f>
        <v>151</v>
      </c>
      <c r="C940">
        <v>6</v>
      </c>
      <c r="D940">
        <v>0</v>
      </c>
      <c r="E940">
        <v>123</v>
      </c>
      <c r="F940">
        <v>96</v>
      </c>
      <c r="G940">
        <v>103</v>
      </c>
      <c r="H940">
        <v>26</v>
      </c>
      <c r="I940">
        <v>28</v>
      </c>
      <c r="J940">
        <v>34</v>
      </c>
      <c r="K940">
        <v>21</v>
      </c>
      <c r="L940">
        <v>5</v>
      </c>
      <c r="M940">
        <v>85</v>
      </c>
      <c r="N940">
        <v>35</v>
      </c>
      <c r="O940">
        <v>16</v>
      </c>
      <c r="P940">
        <v>32</v>
      </c>
      <c r="Q940">
        <v>1182</v>
      </c>
      <c r="R940">
        <v>2631</v>
      </c>
      <c r="S940" t="str">
        <v>No</v>
      </c>
      <c r="T940">
        <v>0.02</v>
      </c>
      <c r="U940">
        <v>2012</v>
      </c>
      <c r="V940">
        <v>45877</v>
      </c>
      <c r="W940">
        <v>25.2</v>
      </c>
      <c r="X940" t="str">
        <v>Photos</v>
      </c>
      <c r="Y940" t="str">
        <v>Fashion</v>
      </c>
      <c r="Z940" t="str">
        <v>Friends_only</v>
      </c>
      <c r="AA940" t="str">
        <v>No</v>
      </c>
      <c r="AB940" t="str">
        <v>Yes</v>
      </c>
      <c r="AC940">
        <v>2</v>
      </c>
      <c r="AD940" t="str">
        <v>Free</v>
      </c>
      <c r="AE940">
        <v>1.02</v>
      </c>
      <c r="AF940" s="14">
        <f t="shared" si="14"/>
        <v>0.44925883694412772</v>
      </c>
    </row>
    <row r="941" spans="1:32" x14ac:dyDescent="0.2">
      <c r="A941">
        <v>940</v>
      </c>
      <c r="B941" cm="1">
        <f t="array" ref="B941:AE941">_xlfn.XLOOKUP($A941,Instagram_Usage_Lifestyle_Mini_!$A:$A,Instagram_Usage_Lifestyle_Mini_!$AC:$BF)</f>
        <v>201</v>
      </c>
      <c r="C941">
        <v>9</v>
      </c>
      <c r="D941">
        <v>9</v>
      </c>
      <c r="E941">
        <v>185</v>
      </c>
      <c r="F941">
        <v>110</v>
      </c>
      <c r="G941">
        <v>129</v>
      </c>
      <c r="H941">
        <v>35</v>
      </c>
      <c r="I941">
        <v>32</v>
      </c>
      <c r="J941">
        <v>38</v>
      </c>
      <c r="K941">
        <v>21</v>
      </c>
      <c r="L941">
        <v>6</v>
      </c>
      <c r="M941">
        <v>98</v>
      </c>
      <c r="N941">
        <v>59</v>
      </c>
      <c r="O941">
        <v>43</v>
      </c>
      <c r="P941">
        <v>45</v>
      </c>
      <c r="Q941">
        <v>14966</v>
      </c>
      <c r="R941">
        <v>10000</v>
      </c>
      <c r="S941" t="str">
        <v>No</v>
      </c>
      <c r="T941">
        <v>0.8</v>
      </c>
      <c r="U941">
        <v>2013</v>
      </c>
      <c r="V941">
        <v>45801</v>
      </c>
      <c r="W941">
        <v>22.3</v>
      </c>
      <c r="X941" t="str">
        <v>Reels</v>
      </c>
      <c r="Y941" t="str">
        <v>Food</v>
      </c>
      <c r="Z941" t="str">
        <v>Public</v>
      </c>
      <c r="AA941" t="str">
        <v>Yes</v>
      </c>
      <c r="AB941" t="str">
        <v>Yes</v>
      </c>
      <c r="AC941">
        <v>3</v>
      </c>
      <c r="AD941" t="str">
        <v>Free</v>
      </c>
      <c r="AE941">
        <v>1.1200000000000001</v>
      </c>
      <c r="AF941" s="14">
        <f t="shared" si="14"/>
        <v>1.4965999999999999</v>
      </c>
    </row>
    <row r="942" spans="1:32" x14ac:dyDescent="0.2">
      <c r="A942">
        <v>941</v>
      </c>
      <c r="B942" cm="1">
        <f t="array" ref="B942:AE942">_xlfn.XLOOKUP($A942,Instagram_Usage_Lifestyle_Mini_!$A:$A,Instagram_Usage_Lifestyle_Mini_!$AC:$BF)</f>
        <v>146</v>
      </c>
      <c r="C942">
        <v>5</v>
      </c>
      <c r="D942">
        <v>1</v>
      </c>
      <c r="E942">
        <v>134</v>
      </c>
      <c r="F942">
        <v>81</v>
      </c>
      <c r="G942">
        <v>101</v>
      </c>
      <c r="H942">
        <v>23</v>
      </c>
      <c r="I942">
        <v>21</v>
      </c>
      <c r="J942">
        <v>27</v>
      </c>
      <c r="K942">
        <v>21</v>
      </c>
      <c r="L942">
        <v>5</v>
      </c>
      <c r="M942">
        <v>66</v>
      </c>
      <c r="N942">
        <v>41</v>
      </c>
      <c r="O942">
        <v>15</v>
      </c>
      <c r="P942">
        <v>40</v>
      </c>
      <c r="Q942">
        <v>1191</v>
      </c>
      <c r="R942">
        <v>1641</v>
      </c>
      <c r="S942" t="str">
        <v>No</v>
      </c>
      <c r="T942">
        <v>0.09</v>
      </c>
      <c r="U942">
        <v>2015</v>
      </c>
      <c r="V942">
        <v>45761</v>
      </c>
      <c r="W942">
        <v>29.2</v>
      </c>
      <c r="X942" t="str">
        <v>Stories</v>
      </c>
      <c r="Y942" t="str">
        <v>Other</v>
      </c>
      <c r="Z942" t="str">
        <v>Private</v>
      </c>
      <c r="AA942" t="str">
        <v>Yes</v>
      </c>
      <c r="AB942" t="str">
        <v>No</v>
      </c>
      <c r="AC942">
        <v>2</v>
      </c>
      <c r="AD942" t="str">
        <v>Free</v>
      </c>
      <c r="AE942">
        <v>1.02</v>
      </c>
      <c r="AF942" s="14">
        <f t="shared" si="14"/>
        <v>0.72577696526508229</v>
      </c>
    </row>
    <row r="943" spans="1:32" x14ac:dyDescent="0.2">
      <c r="A943">
        <v>942</v>
      </c>
      <c r="B943" cm="1">
        <f t="array" ref="B943:AE943">_xlfn.XLOOKUP($A943,Instagram_Usage_Lifestyle_Mini_!$A:$A,Instagram_Usage_Lifestyle_Mini_!$AC:$BF)</f>
        <v>282</v>
      </c>
      <c r="C943">
        <v>15</v>
      </c>
      <c r="D943">
        <v>14</v>
      </c>
      <c r="E943">
        <v>285</v>
      </c>
      <c r="F943">
        <v>128</v>
      </c>
      <c r="G943">
        <v>183</v>
      </c>
      <c r="H943">
        <v>50</v>
      </c>
      <c r="I943">
        <v>46</v>
      </c>
      <c r="J943">
        <v>42</v>
      </c>
      <c r="K943">
        <v>30</v>
      </c>
      <c r="L943">
        <v>9</v>
      </c>
      <c r="M943">
        <v>168</v>
      </c>
      <c r="N943">
        <v>37</v>
      </c>
      <c r="O943">
        <v>53</v>
      </c>
      <c r="P943">
        <v>74</v>
      </c>
      <c r="Q943">
        <v>6816</v>
      </c>
      <c r="R943">
        <v>9352</v>
      </c>
      <c r="S943" t="str">
        <v>Yes</v>
      </c>
      <c r="T943">
        <v>0.7</v>
      </c>
      <c r="U943">
        <v>2013</v>
      </c>
      <c r="V943">
        <v>45867</v>
      </c>
      <c r="W943">
        <v>18.8</v>
      </c>
      <c r="X943" t="str">
        <v>Live</v>
      </c>
      <c r="Y943" t="str">
        <v>Fashion</v>
      </c>
      <c r="Z943" t="str">
        <v>Public</v>
      </c>
      <c r="AA943" t="str">
        <v>No</v>
      </c>
      <c r="AB943" t="str">
        <v>Yes</v>
      </c>
      <c r="AC943">
        <v>1</v>
      </c>
      <c r="AD943" t="str">
        <v>Free</v>
      </c>
      <c r="AE943">
        <v>1.1499999999999999</v>
      </c>
      <c r="AF943" s="14">
        <f t="shared" si="14"/>
        <v>0.72882805816937557</v>
      </c>
    </row>
    <row r="944" spans="1:32" x14ac:dyDescent="0.2">
      <c r="A944">
        <v>943</v>
      </c>
      <c r="B944" cm="1">
        <f t="array" ref="B944:AE944">_xlfn.XLOOKUP($A944,Instagram_Usage_Lifestyle_Mini_!$A:$A,Instagram_Usage_Lifestyle_Mini_!$AC:$BF)</f>
        <v>298</v>
      </c>
      <c r="C944">
        <v>12</v>
      </c>
      <c r="D944">
        <v>6</v>
      </c>
      <c r="E944">
        <v>228</v>
      </c>
      <c r="F944">
        <v>139</v>
      </c>
      <c r="G944">
        <v>182</v>
      </c>
      <c r="H944">
        <v>44</v>
      </c>
      <c r="I944">
        <v>30</v>
      </c>
      <c r="J944">
        <v>38</v>
      </c>
      <c r="K944">
        <v>22</v>
      </c>
      <c r="L944">
        <v>6</v>
      </c>
      <c r="M944">
        <v>148</v>
      </c>
      <c r="N944">
        <v>41</v>
      </c>
      <c r="O944">
        <v>51</v>
      </c>
      <c r="P944">
        <v>90</v>
      </c>
      <c r="Q944">
        <v>1914</v>
      </c>
      <c r="R944">
        <v>3310</v>
      </c>
      <c r="S944" t="str">
        <v>No</v>
      </c>
      <c r="T944">
        <v>0.87</v>
      </c>
      <c r="U944">
        <v>2016</v>
      </c>
      <c r="V944">
        <v>45753</v>
      </c>
      <c r="W944">
        <v>24.8</v>
      </c>
      <c r="X944" t="str">
        <v>Reels</v>
      </c>
      <c r="Y944" t="str">
        <v>Music</v>
      </c>
      <c r="Z944" t="str">
        <v>Public</v>
      </c>
      <c r="AA944" t="str">
        <v>Yes</v>
      </c>
      <c r="AB944" t="str">
        <v>No</v>
      </c>
      <c r="AC944">
        <v>0</v>
      </c>
      <c r="AD944" t="str">
        <v>Free</v>
      </c>
      <c r="AE944">
        <v>0.96</v>
      </c>
      <c r="AF944" s="14">
        <f t="shared" si="14"/>
        <v>0.57824773413897279</v>
      </c>
    </row>
    <row r="945" spans="1:32" x14ac:dyDescent="0.2">
      <c r="A945">
        <v>944</v>
      </c>
      <c r="B945" cm="1">
        <f t="array" ref="B945:AE945">_xlfn.XLOOKUP($A945,Instagram_Usage_Lifestyle_Mini_!$A:$A,Instagram_Usage_Lifestyle_Mini_!$AC:$BF)</f>
        <v>400</v>
      </c>
      <c r="C945">
        <v>31</v>
      </c>
      <c r="D945">
        <v>8</v>
      </c>
      <c r="E945">
        <v>262</v>
      </c>
      <c r="F945">
        <v>150</v>
      </c>
      <c r="G945">
        <v>209</v>
      </c>
      <c r="H945">
        <v>70</v>
      </c>
      <c r="I945">
        <v>64</v>
      </c>
      <c r="J945">
        <v>58</v>
      </c>
      <c r="K945">
        <v>39</v>
      </c>
      <c r="L945">
        <v>4</v>
      </c>
      <c r="M945">
        <v>190</v>
      </c>
      <c r="N945">
        <v>120</v>
      </c>
      <c r="O945">
        <v>81</v>
      </c>
      <c r="P945">
        <v>127</v>
      </c>
      <c r="Q945">
        <v>218</v>
      </c>
      <c r="R945">
        <v>383</v>
      </c>
      <c r="S945" t="str">
        <v>No</v>
      </c>
      <c r="T945">
        <v>0.01</v>
      </c>
      <c r="U945">
        <v>2024</v>
      </c>
      <c r="V945">
        <v>45963</v>
      </c>
      <c r="W945">
        <v>12.9</v>
      </c>
      <c r="X945" t="str">
        <v>Photos</v>
      </c>
      <c r="Y945" t="str">
        <v>Music</v>
      </c>
      <c r="Z945" t="str">
        <v>Public</v>
      </c>
      <c r="AA945" t="str">
        <v>Yes</v>
      </c>
      <c r="AB945" t="str">
        <v>No</v>
      </c>
      <c r="AC945">
        <v>3</v>
      </c>
      <c r="AD945" t="str">
        <v>Premium</v>
      </c>
      <c r="AE945">
        <v>0.93</v>
      </c>
      <c r="AF945" s="14">
        <f t="shared" si="14"/>
        <v>0.56919060052219317</v>
      </c>
    </row>
    <row r="946" spans="1:32" x14ac:dyDescent="0.2">
      <c r="A946">
        <v>945</v>
      </c>
      <c r="B946" cm="1">
        <f t="array" ref="B946:AE946">_xlfn.XLOOKUP($A946,Instagram_Usage_Lifestyle_Mini_!$A:$A,Instagram_Usage_Lifestyle_Mini_!$AC:$BF)</f>
        <v>244</v>
      </c>
      <c r="C946">
        <v>9</v>
      </c>
      <c r="D946">
        <v>8</v>
      </c>
      <c r="E946">
        <v>170</v>
      </c>
      <c r="F946">
        <v>129</v>
      </c>
      <c r="G946">
        <v>154</v>
      </c>
      <c r="H946">
        <v>55</v>
      </c>
      <c r="I946">
        <v>34</v>
      </c>
      <c r="J946">
        <v>37</v>
      </c>
      <c r="K946">
        <v>18</v>
      </c>
      <c r="L946">
        <v>10</v>
      </c>
      <c r="M946">
        <v>111</v>
      </c>
      <c r="N946">
        <v>70</v>
      </c>
      <c r="O946">
        <v>49</v>
      </c>
      <c r="P946">
        <v>69</v>
      </c>
      <c r="Q946">
        <v>1610</v>
      </c>
      <c r="R946">
        <v>2166</v>
      </c>
      <c r="S946" t="str">
        <v>No</v>
      </c>
      <c r="T946">
        <v>0.13</v>
      </c>
      <c r="U946">
        <v>2024</v>
      </c>
      <c r="V946">
        <v>45874</v>
      </c>
      <c r="W946">
        <v>27.1</v>
      </c>
      <c r="X946" t="str">
        <v>Videos</v>
      </c>
      <c r="Y946" t="str">
        <v>Fitness</v>
      </c>
      <c r="Z946" t="str">
        <v>Public</v>
      </c>
      <c r="AA946" t="str">
        <v>Yes</v>
      </c>
      <c r="AB946" t="str">
        <v>No</v>
      </c>
      <c r="AC946">
        <v>2</v>
      </c>
      <c r="AD946" t="str">
        <v>Free</v>
      </c>
      <c r="AE946">
        <v>1.18</v>
      </c>
      <c r="AF946" s="14">
        <f t="shared" si="14"/>
        <v>0.74330563250230841</v>
      </c>
    </row>
    <row r="947" spans="1:32" x14ac:dyDescent="0.2">
      <c r="A947">
        <v>946</v>
      </c>
      <c r="B947" cm="1">
        <f t="array" ref="B947:AE947">_xlfn.XLOOKUP($A947,Instagram_Usage_Lifestyle_Mini_!$A:$A,Instagram_Usage_Lifestyle_Mini_!$AC:$BF)</f>
        <v>134</v>
      </c>
      <c r="C947">
        <v>4</v>
      </c>
      <c r="D947">
        <v>1</v>
      </c>
      <c r="E947">
        <v>203</v>
      </c>
      <c r="F947">
        <v>83</v>
      </c>
      <c r="G947">
        <v>93</v>
      </c>
      <c r="H947">
        <v>33</v>
      </c>
      <c r="I947">
        <v>30</v>
      </c>
      <c r="J947">
        <v>22</v>
      </c>
      <c r="K947">
        <v>9</v>
      </c>
      <c r="L947">
        <v>4</v>
      </c>
      <c r="M947">
        <v>77</v>
      </c>
      <c r="N947">
        <v>20</v>
      </c>
      <c r="O947">
        <v>21</v>
      </c>
      <c r="P947">
        <v>43</v>
      </c>
      <c r="Q947">
        <v>4331</v>
      </c>
      <c r="R947">
        <v>1739</v>
      </c>
      <c r="S947" t="str">
        <v>Yes</v>
      </c>
      <c r="T947">
        <v>0.03</v>
      </c>
      <c r="U947">
        <v>2024</v>
      </c>
      <c r="V947">
        <v>45913</v>
      </c>
      <c r="W947">
        <v>33.5</v>
      </c>
      <c r="X947" t="str">
        <v>Live</v>
      </c>
      <c r="Y947" t="str">
        <v>Other</v>
      </c>
      <c r="Z947" t="str">
        <v>Public</v>
      </c>
      <c r="AA947" t="str">
        <v>No</v>
      </c>
      <c r="AB947" t="str">
        <v>No</v>
      </c>
      <c r="AC947">
        <v>3</v>
      </c>
      <c r="AD947" t="str">
        <v>Free</v>
      </c>
      <c r="AE947">
        <v>1.2</v>
      </c>
      <c r="AF947" s="14">
        <f t="shared" si="14"/>
        <v>2.4905117883841288</v>
      </c>
    </row>
    <row r="948" spans="1:32" x14ac:dyDescent="0.2">
      <c r="A948">
        <v>947</v>
      </c>
      <c r="B948" cm="1">
        <f t="array" ref="B948:AE948">_xlfn.XLOOKUP($A948,Instagram_Usage_Lifestyle_Mini_!$A:$A,Instagram_Usage_Lifestyle_Mini_!$AC:$BF)</f>
        <v>16</v>
      </c>
      <c r="C948">
        <v>1</v>
      </c>
      <c r="D948">
        <v>1</v>
      </c>
      <c r="E948">
        <v>49</v>
      </c>
      <c r="F948">
        <v>45</v>
      </c>
      <c r="G948">
        <v>28</v>
      </c>
      <c r="H948">
        <v>8</v>
      </c>
      <c r="I948">
        <v>11</v>
      </c>
      <c r="J948">
        <v>9</v>
      </c>
      <c r="K948">
        <v>9</v>
      </c>
      <c r="L948">
        <v>3</v>
      </c>
      <c r="M948">
        <v>9</v>
      </c>
      <c r="N948">
        <v>2</v>
      </c>
      <c r="O948">
        <v>2</v>
      </c>
      <c r="P948">
        <v>5</v>
      </c>
      <c r="Q948">
        <v>2660</v>
      </c>
      <c r="R948">
        <v>4980</v>
      </c>
      <c r="S948" t="str">
        <v>No</v>
      </c>
      <c r="T948">
        <v>0.81</v>
      </c>
      <c r="U948">
        <v>2016</v>
      </c>
      <c r="V948">
        <v>45789</v>
      </c>
      <c r="W948">
        <v>16</v>
      </c>
      <c r="X948" t="str">
        <v>Stories</v>
      </c>
      <c r="Y948" t="str">
        <v>Travel</v>
      </c>
      <c r="Z948" t="str">
        <v>Public</v>
      </c>
      <c r="AA948" t="str">
        <v>No</v>
      </c>
      <c r="AB948" t="str">
        <v>No</v>
      </c>
      <c r="AC948">
        <v>4</v>
      </c>
      <c r="AD948" t="str">
        <v>Premium</v>
      </c>
      <c r="AE948">
        <v>2.76</v>
      </c>
      <c r="AF948" s="14">
        <f t="shared" si="14"/>
        <v>0.53413654618473894</v>
      </c>
    </row>
    <row r="949" spans="1:32" x14ac:dyDescent="0.2">
      <c r="A949">
        <v>948</v>
      </c>
      <c r="B949" cm="1">
        <f t="array" ref="B949:AE949">_xlfn.XLOOKUP($A949,Instagram_Usage_Lifestyle_Mini_!$A:$A,Instagram_Usage_Lifestyle_Mini_!$AC:$BF)</f>
        <v>71</v>
      </c>
      <c r="C949">
        <v>2</v>
      </c>
      <c r="D949">
        <v>6</v>
      </c>
      <c r="E949">
        <v>168</v>
      </c>
      <c r="F949">
        <v>62</v>
      </c>
      <c r="G949">
        <v>53</v>
      </c>
      <c r="H949">
        <v>20</v>
      </c>
      <c r="I949">
        <v>17</v>
      </c>
      <c r="J949">
        <v>18</v>
      </c>
      <c r="K949">
        <v>12</v>
      </c>
      <c r="L949">
        <v>1</v>
      </c>
      <c r="M949">
        <v>37</v>
      </c>
      <c r="N949">
        <v>20</v>
      </c>
      <c r="O949">
        <v>14</v>
      </c>
      <c r="P949">
        <v>24</v>
      </c>
      <c r="Q949">
        <v>1276</v>
      </c>
      <c r="R949">
        <v>2729</v>
      </c>
      <c r="S949" t="str">
        <v>No</v>
      </c>
      <c r="T949">
        <v>0.34</v>
      </c>
      <c r="U949">
        <v>2022</v>
      </c>
      <c r="V949">
        <v>45761</v>
      </c>
      <c r="W949">
        <v>35.5</v>
      </c>
      <c r="X949" t="str">
        <v>Videos</v>
      </c>
      <c r="Y949" t="str">
        <v>Other</v>
      </c>
      <c r="Z949" t="str">
        <v>Friends_only</v>
      </c>
      <c r="AA949" t="str">
        <v>No</v>
      </c>
      <c r="AB949" t="str">
        <v>No</v>
      </c>
      <c r="AC949">
        <v>5</v>
      </c>
      <c r="AD949" t="str">
        <v>Premium</v>
      </c>
      <c r="AE949">
        <v>1.54</v>
      </c>
      <c r="AF949" s="14">
        <f t="shared" si="14"/>
        <v>0.4675705386588494</v>
      </c>
    </row>
    <row r="950" spans="1:32" x14ac:dyDescent="0.2">
      <c r="A950">
        <v>949</v>
      </c>
      <c r="B950" cm="1">
        <f t="array" ref="B950:AE950">_xlfn.XLOOKUP($A950,Instagram_Usage_Lifestyle_Mini_!$A:$A,Instagram_Usage_Lifestyle_Mini_!$AC:$BF)</f>
        <v>200</v>
      </c>
      <c r="C950">
        <v>17</v>
      </c>
      <c r="D950">
        <v>5</v>
      </c>
      <c r="E950">
        <v>201</v>
      </c>
      <c r="F950">
        <v>115</v>
      </c>
      <c r="G950">
        <v>115</v>
      </c>
      <c r="H950">
        <v>33</v>
      </c>
      <c r="I950">
        <v>25</v>
      </c>
      <c r="J950">
        <v>35</v>
      </c>
      <c r="K950">
        <v>16</v>
      </c>
      <c r="L950">
        <v>4</v>
      </c>
      <c r="M950">
        <v>89</v>
      </c>
      <c r="N950">
        <v>30</v>
      </c>
      <c r="O950">
        <v>46</v>
      </c>
      <c r="P950">
        <v>47</v>
      </c>
      <c r="Q950">
        <v>532</v>
      </c>
      <c r="R950">
        <v>996</v>
      </c>
      <c r="S950" t="str">
        <v>No</v>
      </c>
      <c r="T950">
        <v>0.67</v>
      </c>
      <c r="U950">
        <v>2024</v>
      </c>
      <c r="V950">
        <v>45932</v>
      </c>
      <c r="W950">
        <v>11.8</v>
      </c>
      <c r="X950" t="str">
        <v>Mixed</v>
      </c>
      <c r="Y950" t="str">
        <v>Food</v>
      </c>
      <c r="Z950" t="str">
        <v>Friends_only</v>
      </c>
      <c r="AA950" t="str">
        <v>No</v>
      </c>
      <c r="AB950" t="str">
        <v>Yes</v>
      </c>
      <c r="AC950">
        <v>4</v>
      </c>
      <c r="AD950" t="str">
        <v>Free</v>
      </c>
      <c r="AE950">
        <v>0.98</v>
      </c>
      <c r="AF950" s="14">
        <f t="shared" si="14"/>
        <v>0.53413654618473894</v>
      </c>
    </row>
    <row r="951" spans="1:32" x14ac:dyDescent="0.2">
      <c r="A951">
        <v>950</v>
      </c>
      <c r="B951" cm="1">
        <f t="array" ref="B951:AE951">_xlfn.XLOOKUP($A951,Instagram_Usage_Lifestyle_Mini_!$A:$A,Instagram_Usage_Lifestyle_Mini_!$AC:$BF)</f>
        <v>273</v>
      </c>
      <c r="C951">
        <v>14</v>
      </c>
      <c r="D951">
        <v>9</v>
      </c>
      <c r="E951">
        <v>284</v>
      </c>
      <c r="F951">
        <v>144</v>
      </c>
      <c r="G951">
        <v>159</v>
      </c>
      <c r="H951">
        <v>48</v>
      </c>
      <c r="I951">
        <v>46</v>
      </c>
      <c r="J951">
        <v>40</v>
      </c>
      <c r="K951">
        <v>17</v>
      </c>
      <c r="L951">
        <v>8</v>
      </c>
      <c r="M951">
        <v>125</v>
      </c>
      <c r="N951">
        <v>39</v>
      </c>
      <c r="O951">
        <v>32</v>
      </c>
      <c r="P951">
        <v>104</v>
      </c>
      <c r="Q951">
        <v>315</v>
      </c>
      <c r="R951">
        <v>438</v>
      </c>
      <c r="S951" t="str">
        <v>Yes</v>
      </c>
      <c r="T951">
        <v>0.1</v>
      </c>
      <c r="U951">
        <v>2023</v>
      </c>
      <c r="V951">
        <v>45761</v>
      </c>
      <c r="W951">
        <v>19.5</v>
      </c>
      <c r="X951" t="str">
        <v>Mixed</v>
      </c>
      <c r="Y951" t="str">
        <v>Art</v>
      </c>
      <c r="Z951" t="str">
        <v>Friends_only</v>
      </c>
      <c r="AA951" t="str">
        <v>Yes</v>
      </c>
      <c r="AB951" t="str">
        <v>Yes</v>
      </c>
      <c r="AC951">
        <v>0</v>
      </c>
      <c r="AD951" t="str">
        <v>Business</v>
      </c>
      <c r="AE951">
        <v>1.03</v>
      </c>
      <c r="AF951" s="14">
        <f t="shared" si="14"/>
        <v>0.71917808219178081</v>
      </c>
    </row>
    <row r="952" spans="1:32" x14ac:dyDescent="0.2">
      <c r="A952">
        <v>951</v>
      </c>
      <c r="B952" cm="1">
        <f t="array" ref="B952:AE952">_xlfn.XLOOKUP($A952,Instagram_Usage_Lifestyle_Mini_!$A:$A,Instagram_Usage_Lifestyle_Mini_!$AC:$BF)</f>
        <v>451</v>
      </c>
      <c r="C952">
        <v>18</v>
      </c>
      <c r="D952">
        <v>19</v>
      </c>
      <c r="E952">
        <v>300</v>
      </c>
      <c r="F952">
        <v>150</v>
      </c>
      <c r="G952">
        <v>252</v>
      </c>
      <c r="H952">
        <v>73</v>
      </c>
      <c r="I952">
        <v>54</v>
      </c>
      <c r="J952">
        <v>56</v>
      </c>
      <c r="K952">
        <v>42</v>
      </c>
      <c r="L952">
        <v>14</v>
      </c>
      <c r="M952">
        <v>201</v>
      </c>
      <c r="N952">
        <v>58</v>
      </c>
      <c r="O952">
        <v>49</v>
      </c>
      <c r="P952">
        <v>172</v>
      </c>
      <c r="Q952">
        <v>1698</v>
      </c>
      <c r="R952">
        <v>3318</v>
      </c>
      <c r="S952" t="str">
        <v>No</v>
      </c>
      <c r="T952">
        <v>0.75</v>
      </c>
      <c r="U952">
        <v>2017</v>
      </c>
      <c r="V952">
        <v>45971</v>
      </c>
      <c r="W952">
        <v>25.1</v>
      </c>
      <c r="X952" t="str">
        <v>Reels</v>
      </c>
      <c r="Y952" t="str">
        <v>Tech</v>
      </c>
      <c r="Z952" t="str">
        <v>Friends_only</v>
      </c>
      <c r="AA952" t="str">
        <v>Yes</v>
      </c>
      <c r="AB952" t="str">
        <v>No</v>
      </c>
      <c r="AC952">
        <v>1</v>
      </c>
      <c r="AD952" t="str">
        <v>Free</v>
      </c>
      <c r="AE952">
        <v>1.01</v>
      </c>
      <c r="AF952" s="14">
        <f t="shared" si="14"/>
        <v>0.51175406871609408</v>
      </c>
    </row>
    <row r="953" spans="1:32" x14ac:dyDescent="0.2">
      <c r="A953">
        <v>952</v>
      </c>
      <c r="B953" cm="1">
        <f t="array" ref="B953:AE953">_xlfn.XLOOKUP($A953,Instagram_Usage_Lifestyle_Mini_!$A:$A,Instagram_Usage_Lifestyle_Mini_!$AC:$BF)</f>
        <v>77</v>
      </c>
      <c r="C953">
        <v>3</v>
      </c>
      <c r="D953">
        <v>2</v>
      </c>
      <c r="E953">
        <v>70</v>
      </c>
      <c r="F953">
        <v>51</v>
      </c>
      <c r="G953">
        <v>74</v>
      </c>
      <c r="H953">
        <v>17</v>
      </c>
      <c r="I953">
        <v>22</v>
      </c>
      <c r="J953">
        <v>17</v>
      </c>
      <c r="K953">
        <v>14</v>
      </c>
      <c r="L953">
        <v>3</v>
      </c>
      <c r="M953">
        <v>45</v>
      </c>
      <c r="N953">
        <v>10</v>
      </c>
      <c r="O953">
        <v>15</v>
      </c>
      <c r="P953">
        <v>28</v>
      </c>
      <c r="Q953">
        <v>531</v>
      </c>
      <c r="R953">
        <v>1051</v>
      </c>
      <c r="S953" t="str">
        <v>No</v>
      </c>
      <c r="T953">
        <v>0.41</v>
      </c>
      <c r="U953">
        <v>2024</v>
      </c>
      <c r="V953">
        <v>45793</v>
      </c>
      <c r="W953">
        <v>25.7</v>
      </c>
      <c r="X953" t="str">
        <v>Reels</v>
      </c>
      <c r="Y953" t="str">
        <v>Tech</v>
      </c>
      <c r="Z953" t="str">
        <v>Private</v>
      </c>
      <c r="AA953" t="str">
        <v>Yes</v>
      </c>
      <c r="AB953" t="str">
        <v>Yes</v>
      </c>
      <c r="AC953">
        <v>0</v>
      </c>
      <c r="AD953" t="str">
        <v>Free</v>
      </c>
      <c r="AE953">
        <v>1.46</v>
      </c>
      <c r="AF953" s="14">
        <f t="shared" si="14"/>
        <v>0.50523311132255</v>
      </c>
    </row>
    <row r="954" spans="1:32" x14ac:dyDescent="0.2">
      <c r="A954">
        <v>953</v>
      </c>
      <c r="B954" cm="1">
        <f t="array" ref="B954:AE954">_xlfn.XLOOKUP($A954,Instagram_Usage_Lifestyle_Mini_!$A:$A,Instagram_Usage_Lifestyle_Mini_!$AC:$BF)</f>
        <v>5</v>
      </c>
      <c r="C954">
        <v>1</v>
      </c>
      <c r="D954">
        <v>6</v>
      </c>
      <c r="E954">
        <v>134</v>
      </c>
      <c r="F954">
        <v>36</v>
      </c>
      <c r="G954">
        <v>25</v>
      </c>
      <c r="H954">
        <v>5</v>
      </c>
      <c r="I954">
        <v>13</v>
      </c>
      <c r="J954">
        <v>8</v>
      </c>
      <c r="K954">
        <v>0</v>
      </c>
      <c r="L954">
        <v>0</v>
      </c>
      <c r="M954">
        <v>3</v>
      </c>
      <c r="N954">
        <v>1</v>
      </c>
      <c r="O954">
        <v>1</v>
      </c>
      <c r="P954">
        <v>1</v>
      </c>
      <c r="Q954">
        <v>749</v>
      </c>
      <c r="R954">
        <v>1172</v>
      </c>
      <c r="S954" t="str">
        <v>No</v>
      </c>
      <c r="T954">
        <v>0.51</v>
      </c>
      <c r="U954">
        <v>2011</v>
      </c>
      <c r="V954">
        <v>45817</v>
      </c>
      <c r="W954">
        <v>5</v>
      </c>
      <c r="X954" t="str">
        <v>Stories</v>
      </c>
      <c r="Y954" t="str">
        <v>Fashion</v>
      </c>
      <c r="Z954" t="str">
        <v>Public</v>
      </c>
      <c r="AA954" t="str">
        <v>Yes</v>
      </c>
      <c r="AB954" t="str">
        <v>Yes</v>
      </c>
      <c r="AC954">
        <v>4</v>
      </c>
      <c r="AD954" t="str">
        <v>Free</v>
      </c>
      <c r="AE954">
        <v>8.83</v>
      </c>
      <c r="AF954" s="14">
        <f t="shared" si="14"/>
        <v>0.63907849829351537</v>
      </c>
    </row>
    <row r="955" spans="1:32" x14ac:dyDescent="0.2">
      <c r="A955">
        <v>954</v>
      </c>
      <c r="B955" cm="1">
        <f t="array" ref="B955:AE955">_xlfn.XLOOKUP($A955,Instagram_Usage_Lifestyle_Mini_!$A:$A,Instagram_Usage_Lifestyle_Mini_!$AC:$BF)</f>
        <v>220</v>
      </c>
      <c r="C955">
        <v>15</v>
      </c>
      <c r="D955">
        <v>4</v>
      </c>
      <c r="E955">
        <v>158</v>
      </c>
      <c r="F955">
        <v>118</v>
      </c>
      <c r="G955">
        <v>144</v>
      </c>
      <c r="H955">
        <v>26</v>
      </c>
      <c r="I955">
        <v>29</v>
      </c>
      <c r="J955">
        <v>38</v>
      </c>
      <c r="K955">
        <v>29</v>
      </c>
      <c r="L955">
        <v>8</v>
      </c>
      <c r="M955">
        <v>109</v>
      </c>
      <c r="N955">
        <v>42</v>
      </c>
      <c r="O955">
        <v>27</v>
      </c>
      <c r="P955">
        <v>45</v>
      </c>
      <c r="Q955">
        <v>1824</v>
      </c>
      <c r="R955">
        <v>4112</v>
      </c>
      <c r="S955" t="str">
        <v>No</v>
      </c>
      <c r="T955">
        <v>0.04</v>
      </c>
      <c r="U955">
        <v>2024</v>
      </c>
      <c r="V955">
        <v>45857</v>
      </c>
      <c r="W955">
        <v>14.7</v>
      </c>
      <c r="X955" t="str">
        <v>Videos</v>
      </c>
      <c r="Y955" t="str">
        <v>Art</v>
      </c>
      <c r="Z955" t="str">
        <v>Private</v>
      </c>
      <c r="AA955" t="str">
        <v>Yes</v>
      </c>
      <c r="AB955" t="str">
        <v>No</v>
      </c>
      <c r="AC955">
        <v>1</v>
      </c>
      <c r="AD955" t="str">
        <v>Free</v>
      </c>
      <c r="AE955">
        <v>0.94</v>
      </c>
      <c r="AF955" s="14">
        <f t="shared" si="14"/>
        <v>0.44357976653696496</v>
      </c>
    </row>
    <row r="956" spans="1:32" x14ac:dyDescent="0.2">
      <c r="A956">
        <v>955</v>
      </c>
      <c r="B956" cm="1">
        <f t="array" ref="B956:AE956">_xlfn.XLOOKUP($A956,Instagram_Usage_Lifestyle_Mini_!$A:$A,Instagram_Usage_Lifestyle_Mini_!$AC:$BF)</f>
        <v>254</v>
      </c>
      <c r="C956">
        <v>18</v>
      </c>
      <c r="D956">
        <v>10</v>
      </c>
      <c r="E956">
        <v>267</v>
      </c>
      <c r="F956">
        <v>142</v>
      </c>
      <c r="G956">
        <v>149</v>
      </c>
      <c r="H956">
        <v>37</v>
      </c>
      <c r="I956">
        <v>28</v>
      </c>
      <c r="J956">
        <v>37</v>
      </c>
      <c r="K956">
        <v>29</v>
      </c>
      <c r="L956">
        <v>5</v>
      </c>
      <c r="M956">
        <v>106</v>
      </c>
      <c r="N956">
        <v>60</v>
      </c>
      <c r="O956">
        <v>62</v>
      </c>
      <c r="P956">
        <v>82</v>
      </c>
      <c r="Q956">
        <v>5019</v>
      </c>
      <c r="R956">
        <v>9542</v>
      </c>
      <c r="S956" t="str">
        <v>No</v>
      </c>
      <c r="T956">
        <v>0.79</v>
      </c>
      <c r="U956">
        <v>2010</v>
      </c>
      <c r="V956">
        <v>45965</v>
      </c>
      <c r="W956">
        <v>14.1</v>
      </c>
      <c r="X956" t="str">
        <v>Reels</v>
      </c>
      <c r="Y956" t="str">
        <v>Food</v>
      </c>
      <c r="Z956" t="str">
        <v>Friends_only</v>
      </c>
      <c r="AA956" t="str">
        <v>No</v>
      </c>
      <c r="AB956" t="str">
        <v>Yes</v>
      </c>
      <c r="AC956">
        <v>2</v>
      </c>
      <c r="AD956" t="str">
        <v>Premium</v>
      </c>
      <c r="AE956">
        <v>0.99</v>
      </c>
      <c r="AF956" s="14">
        <f t="shared" si="14"/>
        <v>0.52599035841542652</v>
      </c>
    </row>
    <row r="957" spans="1:32" x14ac:dyDescent="0.2">
      <c r="A957">
        <v>956</v>
      </c>
      <c r="B957" cm="1">
        <f t="array" ref="B957:AE957">_xlfn.XLOOKUP($A957,Instagram_Usage_Lifestyle_Mini_!$A:$A,Instagram_Usage_Lifestyle_Mini_!$AC:$BF)</f>
        <v>234</v>
      </c>
      <c r="C957">
        <v>7</v>
      </c>
      <c r="D957">
        <v>3</v>
      </c>
      <c r="E957">
        <v>174</v>
      </c>
      <c r="F957">
        <v>122</v>
      </c>
      <c r="G957">
        <v>146</v>
      </c>
      <c r="H957">
        <v>39</v>
      </c>
      <c r="I957">
        <v>37</v>
      </c>
      <c r="J957">
        <v>32</v>
      </c>
      <c r="K957">
        <v>20</v>
      </c>
      <c r="L957">
        <v>6</v>
      </c>
      <c r="M957">
        <v>94</v>
      </c>
      <c r="N957">
        <v>52</v>
      </c>
      <c r="O957">
        <v>26</v>
      </c>
      <c r="P957">
        <v>68</v>
      </c>
      <c r="Q957">
        <v>3133</v>
      </c>
      <c r="R957">
        <v>4335</v>
      </c>
      <c r="S957" t="str">
        <v>No</v>
      </c>
      <c r="T957">
        <v>0.74</v>
      </c>
      <c r="U957">
        <v>2023</v>
      </c>
      <c r="V957">
        <v>45814</v>
      </c>
      <c r="W957">
        <v>33.4</v>
      </c>
      <c r="X957" t="str">
        <v>Videos</v>
      </c>
      <c r="Y957" t="str">
        <v>Other</v>
      </c>
      <c r="Z957" t="str">
        <v>Private</v>
      </c>
      <c r="AA957" t="str">
        <v>Yes</v>
      </c>
      <c r="AB957" t="str">
        <v>No</v>
      </c>
      <c r="AC957">
        <v>1</v>
      </c>
      <c r="AD957" t="str">
        <v>Free</v>
      </c>
      <c r="AE957">
        <v>0.99</v>
      </c>
      <c r="AF957" s="14">
        <f t="shared" si="14"/>
        <v>0.72272202998846602</v>
      </c>
    </row>
    <row r="958" spans="1:32" x14ac:dyDescent="0.2">
      <c r="A958">
        <v>957</v>
      </c>
      <c r="B958" cm="1">
        <f t="array" ref="B958:AE958">_xlfn.XLOOKUP($A958,Instagram_Usage_Lifestyle_Mini_!$A:$A,Instagram_Usage_Lifestyle_Mini_!$AC:$BF)</f>
        <v>134</v>
      </c>
      <c r="C958">
        <v>16</v>
      </c>
      <c r="D958">
        <v>11</v>
      </c>
      <c r="E958">
        <v>196</v>
      </c>
      <c r="F958">
        <v>88</v>
      </c>
      <c r="G958">
        <v>96</v>
      </c>
      <c r="H958">
        <v>30</v>
      </c>
      <c r="I958">
        <v>21</v>
      </c>
      <c r="J958">
        <v>22</v>
      </c>
      <c r="K958">
        <v>12</v>
      </c>
      <c r="L958">
        <v>3</v>
      </c>
      <c r="M958">
        <v>80</v>
      </c>
      <c r="N958">
        <v>40</v>
      </c>
      <c r="O958">
        <v>14</v>
      </c>
      <c r="P958">
        <v>46</v>
      </c>
      <c r="Q958">
        <v>560</v>
      </c>
      <c r="R958">
        <v>846</v>
      </c>
      <c r="S958" t="str">
        <v>Yes</v>
      </c>
      <c r="T958">
        <v>0.51</v>
      </c>
      <c r="U958">
        <v>2019</v>
      </c>
      <c r="V958">
        <v>45850</v>
      </c>
      <c r="W958">
        <v>8.4</v>
      </c>
      <c r="X958" t="str">
        <v>Mixed</v>
      </c>
      <c r="Y958" t="str">
        <v>Fashion</v>
      </c>
      <c r="Z958" t="str">
        <v>Private</v>
      </c>
      <c r="AA958" t="str">
        <v>No</v>
      </c>
      <c r="AB958" t="str">
        <v>Yes</v>
      </c>
      <c r="AC958">
        <v>1</v>
      </c>
      <c r="AD958" t="str">
        <v>Free</v>
      </c>
      <c r="AE958">
        <v>1.4</v>
      </c>
      <c r="AF958" s="14">
        <f t="shared" si="14"/>
        <v>0.66193853427895977</v>
      </c>
    </row>
    <row r="959" spans="1:32" x14ac:dyDescent="0.2">
      <c r="A959">
        <v>958</v>
      </c>
      <c r="B959" cm="1">
        <f t="array" ref="B959:AE959">_xlfn.XLOOKUP($A959,Instagram_Usage_Lifestyle_Mini_!$A:$A,Instagram_Usage_Lifestyle_Mini_!$AC:$BF)</f>
        <v>234</v>
      </c>
      <c r="C959">
        <v>14</v>
      </c>
      <c r="D959">
        <v>7</v>
      </c>
      <c r="E959">
        <v>189</v>
      </c>
      <c r="F959">
        <v>135</v>
      </c>
      <c r="G959">
        <v>152</v>
      </c>
      <c r="H959">
        <v>47</v>
      </c>
      <c r="I959">
        <v>35</v>
      </c>
      <c r="J959">
        <v>23</v>
      </c>
      <c r="K959">
        <v>28</v>
      </c>
      <c r="L959">
        <v>7</v>
      </c>
      <c r="M959">
        <v>96</v>
      </c>
      <c r="N959">
        <v>37</v>
      </c>
      <c r="O959">
        <v>24</v>
      </c>
      <c r="P959">
        <v>59</v>
      </c>
      <c r="Q959">
        <v>10696</v>
      </c>
      <c r="R959">
        <v>10000</v>
      </c>
      <c r="S959" t="str">
        <v>No</v>
      </c>
      <c r="T959">
        <v>0.56999999999999995</v>
      </c>
      <c r="U959">
        <v>2025</v>
      </c>
      <c r="V959">
        <v>45715</v>
      </c>
      <c r="W959">
        <v>16.7</v>
      </c>
      <c r="X959" t="str">
        <v>Stories</v>
      </c>
      <c r="Y959" t="str">
        <v>Food</v>
      </c>
      <c r="Z959" t="str">
        <v>Friends_only</v>
      </c>
      <c r="AA959" t="str">
        <v>No</v>
      </c>
      <c r="AB959" t="str">
        <v>No</v>
      </c>
      <c r="AC959">
        <v>2</v>
      </c>
      <c r="AD959" t="str">
        <v>Free</v>
      </c>
      <c r="AE959">
        <v>1.1399999999999999</v>
      </c>
      <c r="AF959" s="14">
        <f t="shared" si="14"/>
        <v>1.0696000000000001</v>
      </c>
    </row>
    <row r="960" spans="1:32" x14ac:dyDescent="0.2">
      <c r="A960">
        <v>959</v>
      </c>
      <c r="B960" cm="1">
        <f t="array" ref="B960:AE960">_xlfn.XLOOKUP($A960,Instagram_Usage_Lifestyle_Mini_!$A:$A,Instagram_Usage_Lifestyle_Mini_!$AC:$BF)</f>
        <v>209</v>
      </c>
      <c r="C960">
        <v>8</v>
      </c>
      <c r="D960">
        <v>5</v>
      </c>
      <c r="E960">
        <v>154</v>
      </c>
      <c r="F960">
        <v>122</v>
      </c>
      <c r="G960">
        <v>117</v>
      </c>
      <c r="H960">
        <v>36</v>
      </c>
      <c r="I960">
        <v>29</v>
      </c>
      <c r="J960">
        <v>24</v>
      </c>
      <c r="K960">
        <v>17</v>
      </c>
      <c r="L960">
        <v>3</v>
      </c>
      <c r="M960">
        <v>110</v>
      </c>
      <c r="N960">
        <v>55</v>
      </c>
      <c r="O960">
        <v>29</v>
      </c>
      <c r="P960">
        <v>56</v>
      </c>
      <c r="Q960">
        <v>1569</v>
      </c>
      <c r="R960">
        <v>1320</v>
      </c>
      <c r="S960" t="str">
        <v>No</v>
      </c>
      <c r="T960">
        <v>0.4</v>
      </c>
      <c r="U960">
        <v>2022</v>
      </c>
      <c r="V960">
        <v>45963</v>
      </c>
      <c r="W960">
        <v>26.1</v>
      </c>
      <c r="X960" t="str">
        <v>Mixed</v>
      </c>
      <c r="Y960" t="str">
        <v>Music</v>
      </c>
      <c r="Z960" t="str">
        <v>Private</v>
      </c>
      <c r="AA960" t="str">
        <v>No</v>
      </c>
      <c r="AB960" t="str">
        <v>No</v>
      </c>
      <c r="AC960">
        <v>1</v>
      </c>
      <c r="AD960" t="str">
        <v>Free</v>
      </c>
      <c r="AE960">
        <v>0.97</v>
      </c>
      <c r="AF960" s="14">
        <f t="shared" si="14"/>
        <v>1.1886363636363637</v>
      </c>
    </row>
    <row r="961" spans="1:32" x14ac:dyDescent="0.2">
      <c r="A961">
        <v>960</v>
      </c>
      <c r="B961" cm="1">
        <f t="array" ref="B961:AE961">_xlfn.XLOOKUP($A961,Instagram_Usage_Lifestyle_Mini_!$A:$A,Instagram_Usage_Lifestyle_Mini_!$AC:$BF)</f>
        <v>76</v>
      </c>
      <c r="C961">
        <v>3</v>
      </c>
      <c r="D961">
        <v>5</v>
      </c>
      <c r="E961">
        <v>100</v>
      </c>
      <c r="F961">
        <v>65</v>
      </c>
      <c r="G961">
        <v>76</v>
      </c>
      <c r="H961">
        <v>11</v>
      </c>
      <c r="I961">
        <v>16</v>
      </c>
      <c r="J961">
        <v>19</v>
      </c>
      <c r="K961">
        <v>13</v>
      </c>
      <c r="L961">
        <v>3</v>
      </c>
      <c r="M961">
        <v>43</v>
      </c>
      <c r="N961">
        <v>13</v>
      </c>
      <c r="O961">
        <v>8</v>
      </c>
      <c r="P961">
        <v>19</v>
      </c>
      <c r="Q961">
        <v>930</v>
      </c>
      <c r="R961">
        <v>1295</v>
      </c>
      <c r="S961" t="str">
        <v>No</v>
      </c>
      <c r="T961">
        <v>0.05</v>
      </c>
      <c r="U961">
        <v>2021</v>
      </c>
      <c r="V961">
        <v>45906</v>
      </c>
      <c r="W961">
        <v>25.3</v>
      </c>
      <c r="X961" t="str">
        <v>Photos</v>
      </c>
      <c r="Y961" t="str">
        <v>Fitness</v>
      </c>
      <c r="Z961" t="str">
        <v>Friends_only</v>
      </c>
      <c r="AA961" t="str">
        <v>Yes</v>
      </c>
      <c r="AB961" t="str">
        <v>No</v>
      </c>
      <c r="AC961">
        <v>1</v>
      </c>
      <c r="AD961" t="str">
        <v>Premium</v>
      </c>
      <c r="AE961">
        <v>1.47</v>
      </c>
      <c r="AF961" s="14">
        <f t="shared" si="14"/>
        <v>0.71814671814671815</v>
      </c>
    </row>
    <row r="962" spans="1:32" x14ac:dyDescent="0.2">
      <c r="A962">
        <v>961</v>
      </c>
      <c r="B962" cm="1">
        <f t="array" ref="B962:AE962">_xlfn.XLOOKUP($A962,Instagram_Usage_Lifestyle_Mini_!$A:$A,Instagram_Usage_Lifestyle_Mini_!$AC:$BF)</f>
        <v>324</v>
      </c>
      <c r="C962">
        <v>19</v>
      </c>
      <c r="D962">
        <v>6</v>
      </c>
      <c r="E962">
        <v>225</v>
      </c>
      <c r="F962">
        <v>137</v>
      </c>
      <c r="G962">
        <v>191</v>
      </c>
      <c r="H962">
        <v>62</v>
      </c>
      <c r="I962">
        <v>41</v>
      </c>
      <c r="J962">
        <v>42</v>
      </c>
      <c r="K962">
        <v>36</v>
      </c>
      <c r="L962">
        <v>4</v>
      </c>
      <c r="M962">
        <v>189</v>
      </c>
      <c r="N962">
        <v>48</v>
      </c>
      <c r="O962">
        <v>59</v>
      </c>
      <c r="P962">
        <v>104</v>
      </c>
      <c r="Q962">
        <v>1903</v>
      </c>
      <c r="R962">
        <v>3471</v>
      </c>
      <c r="S962" t="str">
        <v>No</v>
      </c>
      <c r="T962">
        <v>0.74</v>
      </c>
      <c r="U962">
        <v>2014</v>
      </c>
      <c r="V962">
        <v>45692</v>
      </c>
      <c r="W962">
        <v>17.100000000000001</v>
      </c>
      <c r="X962" t="str">
        <v>Mixed</v>
      </c>
      <c r="Y962" t="str">
        <v>Tech</v>
      </c>
      <c r="Z962" t="str">
        <v>Friends_only</v>
      </c>
      <c r="AA962" t="str">
        <v>Yes</v>
      </c>
      <c r="AB962" t="str">
        <v>No</v>
      </c>
      <c r="AC962">
        <v>4</v>
      </c>
      <c r="AD962" t="str">
        <v>Free</v>
      </c>
      <c r="AE962">
        <v>1.02</v>
      </c>
      <c r="AF962" s="14">
        <f t="shared" si="14"/>
        <v>0.5482569864592336</v>
      </c>
    </row>
    <row r="963" spans="1:32" x14ac:dyDescent="0.2">
      <c r="A963">
        <v>962</v>
      </c>
      <c r="B963" cm="1">
        <f t="array" ref="B963:AE963">_xlfn.XLOOKUP($A963,Instagram_Usage_Lifestyle_Mini_!$A:$A,Instagram_Usage_Lifestyle_Mini_!$AC:$BF)</f>
        <v>148</v>
      </c>
      <c r="C963">
        <v>5</v>
      </c>
      <c r="D963">
        <v>3</v>
      </c>
      <c r="E963">
        <v>130</v>
      </c>
      <c r="F963">
        <v>76</v>
      </c>
      <c r="G963">
        <v>102</v>
      </c>
      <c r="H963">
        <v>22</v>
      </c>
      <c r="I963">
        <v>31</v>
      </c>
      <c r="J963">
        <v>24</v>
      </c>
      <c r="K963">
        <v>24</v>
      </c>
      <c r="L963">
        <v>4</v>
      </c>
      <c r="M963">
        <v>67</v>
      </c>
      <c r="N963">
        <v>32</v>
      </c>
      <c r="O963">
        <v>17</v>
      </c>
      <c r="P963">
        <v>40</v>
      </c>
      <c r="Q963">
        <v>2624</v>
      </c>
      <c r="R963">
        <v>3459</v>
      </c>
      <c r="S963" t="str">
        <v>No</v>
      </c>
      <c r="T963">
        <v>0.74</v>
      </c>
      <c r="U963">
        <v>2020</v>
      </c>
      <c r="V963">
        <v>45969</v>
      </c>
      <c r="W963">
        <v>29.6</v>
      </c>
      <c r="X963" t="str">
        <v>Reels</v>
      </c>
      <c r="Y963" t="str">
        <v>Art</v>
      </c>
      <c r="Z963" t="str">
        <v>Private</v>
      </c>
      <c r="AA963" t="str">
        <v>No</v>
      </c>
      <c r="AB963" t="str">
        <v>Yes</v>
      </c>
      <c r="AC963">
        <v>0</v>
      </c>
      <c r="AD963" t="str">
        <v>Free</v>
      </c>
      <c r="AE963">
        <v>1.04</v>
      </c>
      <c r="AF963" s="14">
        <f t="shared" ref="AF963:AF1001" si="15">IF(R963=0,0,Q963/R963)</f>
        <v>0.75860075166233021</v>
      </c>
    </row>
    <row r="964" spans="1:32" x14ac:dyDescent="0.2">
      <c r="A964">
        <v>963</v>
      </c>
      <c r="B964" cm="1">
        <f t="array" ref="B964:AE964">_xlfn.XLOOKUP($A964,Instagram_Usage_Lifestyle_Mini_!$A:$A,Instagram_Usage_Lifestyle_Mini_!$AC:$BF)</f>
        <v>172</v>
      </c>
      <c r="C964">
        <v>21</v>
      </c>
      <c r="D964">
        <v>5</v>
      </c>
      <c r="E964">
        <v>151</v>
      </c>
      <c r="F964">
        <v>108</v>
      </c>
      <c r="G964">
        <v>107</v>
      </c>
      <c r="H964">
        <v>28</v>
      </c>
      <c r="I964">
        <v>18</v>
      </c>
      <c r="J964">
        <v>29</v>
      </c>
      <c r="K964">
        <v>18</v>
      </c>
      <c r="L964">
        <v>6</v>
      </c>
      <c r="M964">
        <v>98</v>
      </c>
      <c r="N964">
        <v>45</v>
      </c>
      <c r="O964">
        <v>27</v>
      </c>
      <c r="P964">
        <v>48</v>
      </c>
      <c r="Q964">
        <v>3167</v>
      </c>
      <c r="R964">
        <v>6227</v>
      </c>
      <c r="S964" t="str">
        <v>No</v>
      </c>
      <c r="T964">
        <v>0.95</v>
      </c>
      <c r="U964">
        <v>2021</v>
      </c>
      <c r="V964">
        <v>45826</v>
      </c>
      <c r="W964">
        <v>8.1999999999999993</v>
      </c>
      <c r="X964" t="str">
        <v>Reels</v>
      </c>
      <c r="Y964" t="str">
        <v>Food</v>
      </c>
      <c r="Z964" t="str">
        <v>Public</v>
      </c>
      <c r="AA964" t="str">
        <v>No</v>
      </c>
      <c r="AB964" t="str">
        <v>No</v>
      </c>
      <c r="AC964">
        <v>3</v>
      </c>
      <c r="AD964" t="str">
        <v>Free</v>
      </c>
      <c r="AE964">
        <v>1.03</v>
      </c>
      <c r="AF964" s="14">
        <f t="shared" si="15"/>
        <v>0.50859161715111612</v>
      </c>
    </row>
    <row r="965" spans="1:32" x14ac:dyDescent="0.2">
      <c r="A965">
        <v>964</v>
      </c>
      <c r="B965" cm="1">
        <f t="array" ref="B965:AE965">_xlfn.XLOOKUP($A965,Instagram_Usage_Lifestyle_Mini_!$A:$A,Instagram_Usage_Lifestyle_Mini_!$AC:$BF)</f>
        <v>102</v>
      </c>
      <c r="C965">
        <v>5</v>
      </c>
      <c r="D965">
        <v>6</v>
      </c>
      <c r="E965">
        <v>83</v>
      </c>
      <c r="F965">
        <v>72</v>
      </c>
      <c r="G965">
        <v>84</v>
      </c>
      <c r="H965">
        <v>15</v>
      </c>
      <c r="I965">
        <v>26</v>
      </c>
      <c r="J965">
        <v>27</v>
      </c>
      <c r="K965">
        <v>15</v>
      </c>
      <c r="L965">
        <v>5</v>
      </c>
      <c r="M965">
        <v>55</v>
      </c>
      <c r="N965">
        <v>26</v>
      </c>
      <c r="O965">
        <v>23</v>
      </c>
      <c r="P965">
        <v>24</v>
      </c>
      <c r="Q965">
        <v>277</v>
      </c>
      <c r="R965">
        <v>323</v>
      </c>
      <c r="S965" t="str">
        <v>No</v>
      </c>
      <c r="T965">
        <v>0.45</v>
      </c>
      <c r="U965">
        <v>2014</v>
      </c>
      <c r="V965">
        <v>45703</v>
      </c>
      <c r="W965">
        <v>20.399999999999999</v>
      </c>
      <c r="X965" t="str">
        <v>Mixed</v>
      </c>
      <c r="Y965" t="str">
        <v>Art</v>
      </c>
      <c r="Z965" t="str">
        <v>Public</v>
      </c>
      <c r="AA965" t="str">
        <v>Yes</v>
      </c>
      <c r="AB965" t="str">
        <v>No</v>
      </c>
      <c r="AC965">
        <v>0</v>
      </c>
      <c r="AD965" t="str">
        <v>Premium</v>
      </c>
      <c r="AE965">
        <v>1.28</v>
      </c>
      <c r="AF965" s="14">
        <f t="shared" si="15"/>
        <v>0.85758513931888547</v>
      </c>
    </row>
    <row r="966" spans="1:32" x14ac:dyDescent="0.2">
      <c r="A966">
        <v>965</v>
      </c>
      <c r="B966" cm="1">
        <f t="array" ref="B966:AE966">_xlfn.XLOOKUP($A966,Instagram_Usage_Lifestyle_Mini_!$A:$A,Instagram_Usage_Lifestyle_Mini_!$AC:$BF)</f>
        <v>128</v>
      </c>
      <c r="C966">
        <v>6</v>
      </c>
      <c r="D966">
        <v>8</v>
      </c>
      <c r="E966">
        <v>182</v>
      </c>
      <c r="F966">
        <v>70</v>
      </c>
      <c r="G966">
        <v>99</v>
      </c>
      <c r="H966">
        <v>30</v>
      </c>
      <c r="I966">
        <v>18</v>
      </c>
      <c r="J966">
        <v>19</v>
      </c>
      <c r="K966">
        <v>16</v>
      </c>
      <c r="L966">
        <v>2</v>
      </c>
      <c r="M966">
        <v>53</v>
      </c>
      <c r="N966">
        <v>34</v>
      </c>
      <c r="O966">
        <v>16</v>
      </c>
      <c r="P966">
        <v>44</v>
      </c>
      <c r="Q966">
        <v>2032</v>
      </c>
      <c r="R966">
        <v>3012</v>
      </c>
      <c r="S966" t="str">
        <v>No</v>
      </c>
      <c r="T966">
        <v>0.73</v>
      </c>
      <c r="U966">
        <v>2015</v>
      </c>
      <c r="V966">
        <v>45755</v>
      </c>
      <c r="W966">
        <v>21.3</v>
      </c>
      <c r="X966" t="str">
        <v>Reels</v>
      </c>
      <c r="Y966" t="str">
        <v>Other</v>
      </c>
      <c r="Z966" t="str">
        <v>Private</v>
      </c>
      <c r="AA966" t="str">
        <v>Yes</v>
      </c>
      <c r="AB966" t="str">
        <v>Yes</v>
      </c>
      <c r="AC966">
        <v>3</v>
      </c>
      <c r="AD966" t="str">
        <v>Free</v>
      </c>
      <c r="AE966">
        <v>1.42</v>
      </c>
      <c r="AF966" s="14">
        <f t="shared" si="15"/>
        <v>0.67463479415670646</v>
      </c>
    </row>
    <row r="967" spans="1:32" x14ac:dyDescent="0.2">
      <c r="A967">
        <v>966</v>
      </c>
      <c r="B967" cm="1">
        <f t="array" ref="B967:AE967">_xlfn.XLOOKUP($A967,Instagram_Usage_Lifestyle_Mini_!$A:$A,Instagram_Usage_Lifestyle_Mini_!$AC:$BF)</f>
        <v>303</v>
      </c>
      <c r="C967">
        <v>33</v>
      </c>
      <c r="D967">
        <v>7</v>
      </c>
      <c r="E967">
        <v>229</v>
      </c>
      <c r="F967">
        <v>150</v>
      </c>
      <c r="G967">
        <v>193</v>
      </c>
      <c r="H967">
        <v>63</v>
      </c>
      <c r="I967">
        <v>41</v>
      </c>
      <c r="J967">
        <v>38</v>
      </c>
      <c r="K967">
        <v>28</v>
      </c>
      <c r="L967">
        <v>8</v>
      </c>
      <c r="M967">
        <v>137</v>
      </c>
      <c r="N967">
        <v>34</v>
      </c>
      <c r="O967">
        <v>58</v>
      </c>
      <c r="P967">
        <v>115</v>
      </c>
      <c r="Q967">
        <v>4048</v>
      </c>
      <c r="R967">
        <v>3632</v>
      </c>
      <c r="S967" t="str">
        <v>Yes</v>
      </c>
      <c r="T967">
        <v>0.98</v>
      </c>
      <c r="U967">
        <v>2023</v>
      </c>
      <c r="V967">
        <v>45695</v>
      </c>
      <c r="W967">
        <v>9.1999999999999993</v>
      </c>
      <c r="X967" t="str">
        <v>Videos</v>
      </c>
      <c r="Y967" t="str">
        <v>Fashion</v>
      </c>
      <c r="Z967" t="str">
        <v>Private</v>
      </c>
      <c r="AA967" t="str">
        <v>Yes</v>
      </c>
      <c r="AB967" t="str">
        <v>Yes</v>
      </c>
      <c r="AC967">
        <v>1</v>
      </c>
      <c r="AD967" t="str">
        <v>Free</v>
      </c>
      <c r="AE967">
        <v>1.1200000000000001</v>
      </c>
      <c r="AF967" s="14">
        <f t="shared" si="15"/>
        <v>1.1145374449339207</v>
      </c>
    </row>
    <row r="968" spans="1:32" x14ac:dyDescent="0.2">
      <c r="A968">
        <v>967</v>
      </c>
      <c r="B968" cm="1">
        <f t="array" ref="B968:AE968">_xlfn.XLOOKUP($A968,Instagram_Usage_Lifestyle_Mini_!$A:$A,Instagram_Usage_Lifestyle_Mini_!$AC:$BF)</f>
        <v>91</v>
      </c>
      <c r="C968">
        <v>4</v>
      </c>
      <c r="D968">
        <v>3</v>
      </c>
      <c r="E968">
        <v>79</v>
      </c>
      <c r="F968">
        <v>74</v>
      </c>
      <c r="G968">
        <v>56</v>
      </c>
      <c r="H968">
        <v>24</v>
      </c>
      <c r="I968">
        <v>21</v>
      </c>
      <c r="J968">
        <v>22</v>
      </c>
      <c r="K968">
        <v>12</v>
      </c>
      <c r="L968">
        <v>1</v>
      </c>
      <c r="M968">
        <v>51</v>
      </c>
      <c r="N968">
        <v>18</v>
      </c>
      <c r="O968">
        <v>12</v>
      </c>
      <c r="P968">
        <v>36</v>
      </c>
      <c r="Q968">
        <v>677</v>
      </c>
      <c r="R968">
        <v>516</v>
      </c>
      <c r="S968" t="str">
        <v>Yes</v>
      </c>
      <c r="T968">
        <v>0.84</v>
      </c>
      <c r="U968">
        <v>2023</v>
      </c>
      <c r="V968">
        <v>45702</v>
      </c>
      <c r="W968">
        <v>22.8</v>
      </c>
      <c r="X968" t="str">
        <v>Videos</v>
      </c>
      <c r="Y968" t="str">
        <v>Fashion</v>
      </c>
      <c r="Z968" t="str">
        <v>Friends_only</v>
      </c>
      <c r="AA968" t="str">
        <v>Yes</v>
      </c>
      <c r="AB968" t="str">
        <v>Yes</v>
      </c>
      <c r="AC968">
        <v>1</v>
      </c>
      <c r="AD968" t="str">
        <v>Free</v>
      </c>
      <c r="AE968">
        <v>1.23</v>
      </c>
      <c r="AF968" s="14">
        <f t="shared" si="15"/>
        <v>1.3120155038759691</v>
      </c>
    </row>
    <row r="969" spans="1:32" x14ac:dyDescent="0.2">
      <c r="A969">
        <v>968</v>
      </c>
      <c r="B969" cm="1">
        <f t="array" ref="B969:AE969">_xlfn.XLOOKUP($A969,Instagram_Usage_Lifestyle_Mini_!$A:$A,Instagram_Usage_Lifestyle_Mini_!$AC:$BF)</f>
        <v>107</v>
      </c>
      <c r="C969">
        <v>5</v>
      </c>
      <c r="D969">
        <v>4</v>
      </c>
      <c r="E969">
        <v>97</v>
      </c>
      <c r="F969">
        <v>63</v>
      </c>
      <c r="G969">
        <v>75</v>
      </c>
      <c r="H969">
        <v>18</v>
      </c>
      <c r="I969">
        <v>16</v>
      </c>
      <c r="J969">
        <v>22</v>
      </c>
      <c r="K969">
        <v>9</v>
      </c>
      <c r="L969">
        <v>6</v>
      </c>
      <c r="M969">
        <v>63</v>
      </c>
      <c r="N969">
        <v>12</v>
      </c>
      <c r="O969">
        <v>19</v>
      </c>
      <c r="P969">
        <v>35</v>
      </c>
      <c r="Q969">
        <v>341</v>
      </c>
      <c r="R969">
        <v>814</v>
      </c>
      <c r="S969" t="str">
        <v>No</v>
      </c>
      <c r="T969">
        <v>0.91</v>
      </c>
      <c r="U969">
        <v>2012</v>
      </c>
      <c r="V969">
        <v>45826</v>
      </c>
      <c r="W969">
        <v>21.4</v>
      </c>
      <c r="X969" t="str">
        <v>Live</v>
      </c>
      <c r="Y969" t="str">
        <v>Fashion</v>
      </c>
      <c r="Z969" t="str">
        <v>Friends_only</v>
      </c>
      <c r="AA969" t="str">
        <v>Yes</v>
      </c>
      <c r="AB969" t="str">
        <v>Yes</v>
      </c>
      <c r="AC969">
        <v>3</v>
      </c>
      <c r="AD969" t="str">
        <v>Free</v>
      </c>
      <c r="AE969">
        <v>1.1399999999999999</v>
      </c>
      <c r="AF969" s="14">
        <f t="shared" si="15"/>
        <v>0.41891891891891891</v>
      </c>
    </row>
    <row r="970" spans="1:32" x14ac:dyDescent="0.2">
      <c r="A970">
        <v>969</v>
      </c>
      <c r="B970" cm="1">
        <f t="array" ref="B970:AE970">_xlfn.XLOOKUP($A970,Instagram_Usage_Lifestyle_Mini_!$A:$A,Instagram_Usage_Lifestyle_Mini_!$AC:$BF)</f>
        <v>64</v>
      </c>
      <c r="C970">
        <v>6</v>
      </c>
      <c r="D970">
        <v>1</v>
      </c>
      <c r="E970">
        <v>85</v>
      </c>
      <c r="F970">
        <v>67</v>
      </c>
      <c r="G970">
        <v>50</v>
      </c>
      <c r="H970">
        <v>9</v>
      </c>
      <c r="I970">
        <v>25</v>
      </c>
      <c r="J970">
        <v>18</v>
      </c>
      <c r="K970">
        <v>11</v>
      </c>
      <c r="L970">
        <v>6</v>
      </c>
      <c r="M970">
        <v>26</v>
      </c>
      <c r="N970">
        <v>14</v>
      </c>
      <c r="O970">
        <v>16</v>
      </c>
      <c r="P970">
        <v>21</v>
      </c>
      <c r="Q970">
        <v>826</v>
      </c>
      <c r="R970">
        <v>1813</v>
      </c>
      <c r="S970" t="str">
        <v>No</v>
      </c>
      <c r="T970">
        <v>0.76</v>
      </c>
      <c r="U970">
        <v>2013</v>
      </c>
      <c r="V970">
        <v>46021</v>
      </c>
      <c r="W970">
        <v>10.7</v>
      </c>
      <c r="X970" t="str">
        <v>Photos</v>
      </c>
      <c r="Y970" t="str">
        <v>Art</v>
      </c>
      <c r="Z970" t="str">
        <v>Private</v>
      </c>
      <c r="AA970" t="str">
        <v>Yes</v>
      </c>
      <c r="AB970" t="str">
        <v>No</v>
      </c>
      <c r="AC970">
        <v>2</v>
      </c>
      <c r="AD970" t="str">
        <v>Free</v>
      </c>
      <c r="AE970">
        <v>1.0900000000000001</v>
      </c>
      <c r="AF970" s="14">
        <f t="shared" si="15"/>
        <v>0.45559845559845558</v>
      </c>
    </row>
    <row r="971" spans="1:32" x14ac:dyDescent="0.2">
      <c r="A971">
        <v>970</v>
      </c>
      <c r="B971" cm="1">
        <f t="array" ref="B971:AE971">_xlfn.XLOOKUP($A971,Instagram_Usage_Lifestyle_Mini_!$A:$A,Instagram_Usage_Lifestyle_Mini_!$AC:$BF)</f>
        <v>169</v>
      </c>
      <c r="C971">
        <v>11</v>
      </c>
      <c r="D971">
        <v>5</v>
      </c>
      <c r="E971">
        <v>132</v>
      </c>
      <c r="F971">
        <v>94</v>
      </c>
      <c r="G971">
        <v>96</v>
      </c>
      <c r="H971">
        <v>27</v>
      </c>
      <c r="I971">
        <v>33</v>
      </c>
      <c r="J971">
        <v>28</v>
      </c>
      <c r="K971">
        <v>16</v>
      </c>
      <c r="L971">
        <v>3</v>
      </c>
      <c r="M971">
        <v>86</v>
      </c>
      <c r="N971">
        <v>34</v>
      </c>
      <c r="O971">
        <v>17</v>
      </c>
      <c r="P971">
        <v>38</v>
      </c>
      <c r="Q971">
        <v>524</v>
      </c>
      <c r="R971">
        <v>1001</v>
      </c>
      <c r="S971" t="str">
        <v>No</v>
      </c>
      <c r="T971">
        <v>0.41</v>
      </c>
      <c r="U971">
        <v>2023</v>
      </c>
      <c r="V971">
        <v>45833</v>
      </c>
      <c r="W971">
        <v>15.4</v>
      </c>
      <c r="X971" t="str">
        <v>Reels</v>
      </c>
      <c r="Y971" t="str">
        <v>Other</v>
      </c>
      <c r="Z971" t="str">
        <v>Private</v>
      </c>
      <c r="AA971" t="str">
        <v>No</v>
      </c>
      <c r="AB971" t="str">
        <v>No</v>
      </c>
      <c r="AC971">
        <v>2</v>
      </c>
      <c r="AD971" t="str">
        <v>Business</v>
      </c>
      <c r="AE971">
        <v>0.97</v>
      </c>
      <c r="AF971" s="14">
        <f t="shared" si="15"/>
        <v>0.52347652347652351</v>
      </c>
    </row>
    <row r="972" spans="1:32" x14ac:dyDescent="0.2">
      <c r="A972">
        <v>971</v>
      </c>
      <c r="B972" cm="1">
        <f t="array" ref="B972:AE972">_xlfn.XLOOKUP($A972,Instagram_Usage_Lifestyle_Mini_!$A:$A,Instagram_Usage_Lifestyle_Mini_!$AC:$BF)</f>
        <v>298</v>
      </c>
      <c r="C972">
        <v>28</v>
      </c>
      <c r="D972">
        <v>15</v>
      </c>
      <c r="E972">
        <v>300</v>
      </c>
      <c r="F972">
        <v>150</v>
      </c>
      <c r="G972">
        <v>187</v>
      </c>
      <c r="H972">
        <v>45</v>
      </c>
      <c r="I972">
        <v>45</v>
      </c>
      <c r="J972">
        <v>42</v>
      </c>
      <c r="K972">
        <v>26</v>
      </c>
      <c r="L972">
        <v>7</v>
      </c>
      <c r="M972">
        <v>131</v>
      </c>
      <c r="N972">
        <v>47</v>
      </c>
      <c r="O972">
        <v>69</v>
      </c>
      <c r="P972">
        <v>72</v>
      </c>
      <c r="Q972">
        <v>8528</v>
      </c>
      <c r="R972">
        <v>10000</v>
      </c>
      <c r="S972" t="str">
        <v>No</v>
      </c>
      <c r="T972">
        <v>0.19</v>
      </c>
      <c r="U972">
        <v>2024</v>
      </c>
      <c r="V972">
        <v>45998</v>
      </c>
      <c r="W972">
        <v>10.6</v>
      </c>
      <c r="X972" t="str">
        <v>Live</v>
      </c>
      <c r="Y972" t="str">
        <v>Travel</v>
      </c>
      <c r="Z972" t="str">
        <v>Friends_only</v>
      </c>
      <c r="AA972" t="str">
        <v>Yes</v>
      </c>
      <c r="AB972" t="str">
        <v>No</v>
      </c>
      <c r="AC972">
        <v>0</v>
      </c>
      <c r="AD972" t="str">
        <v>Free</v>
      </c>
      <c r="AE972">
        <v>1.08</v>
      </c>
      <c r="AF972" s="14">
        <f t="shared" si="15"/>
        <v>0.8528</v>
      </c>
    </row>
    <row r="973" spans="1:32" x14ac:dyDescent="0.2">
      <c r="A973">
        <v>972</v>
      </c>
      <c r="B973" cm="1">
        <f t="array" ref="B973:AE973">_xlfn.XLOOKUP($A973,Instagram_Usage_Lifestyle_Mini_!$A:$A,Instagram_Usage_Lifestyle_Mini_!$AC:$BF)</f>
        <v>405</v>
      </c>
      <c r="C973">
        <v>14</v>
      </c>
      <c r="D973">
        <v>21</v>
      </c>
      <c r="E973">
        <v>300</v>
      </c>
      <c r="F973">
        <v>150</v>
      </c>
      <c r="G973">
        <v>245</v>
      </c>
      <c r="H973">
        <v>59</v>
      </c>
      <c r="I973">
        <v>51</v>
      </c>
      <c r="J973">
        <v>58</v>
      </c>
      <c r="K973">
        <v>30</v>
      </c>
      <c r="L973">
        <v>10</v>
      </c>
      <c r="M973">
        <v>182</v>
      </c>
      <c r="N973">
        <v>88</v>
      </c>
      <c r="O973">
        <v>62</v>
      </c>
      <c r="P973">
        <v>120</v>
      </c>
      <c r="Q973">
        <v>2569</v>
      </c>
      <c r="R973">
        <v>1814</v>
      </c>
      <c r="S973" t="str">
        <v>No</v>
      </c>
      <c r="T973">
        <v>0.77</v>
      </c>
      <c r="U973">
        <v>2019</v>
      </c>
      <c r="V973">
        <v>45866</v>
      </c>
      <c r="W973">
        <v>28.9</v>
      </c>
      <c r="X973" t="str">
        <v>Stories</v>
      </c>
      <c r="Y973" t="str">
        <v>Tech</v>
      </c>
      <c r="Z973" t="str">
        <v>Private</v>
      </c>
      <c r="AA973" t="str">
        <v>No</v>
      </c>
      <c r="AB973" t="str">
        <v>Yes</v>
      </c>
      <c r="AC973">
        <v>1</v>
      </c>
      <c r="AD973" t="str">
        <v>Free</v>
      </c>
      <c r="AE973">
        <v>1.05</v>
      </c>
      <c r="AF973" s="14">
        <f t="shared" si="15"/>
        <v>1.4162072767364939</v>
      </c>
    </row>
    <row r="974" spans="1:32" x14ac:dyDescent="0.2">
      <c r="A974">
        <v>973</v>
      </c>
      <c r="B974" cm="1">
        <f t="array" ref="B974:AE974">_xlfn.XLOOKUP($A974,Instagram_Usage_Lifestyle_Mini_!$A:$A,Instagram_Usage_Lifestyle_Mini_!$AC:$BF)</f>
        <v>87</v>
      </c>
      <c r="C974">
        <v>10</v>
      </c>
      <c r="D974">
        <v>10</v>
      </c>
      <c r="E974">
        <v>158</v>
      </c>
      <c r="F974">
        <v>67</v>
      </c>
      <c r="G974">
        <v>66</v>
      </c>
      <c r="H974">
        <v>26</v>
      </c>
      <c r="I974">
        <v>27</v>
      </c>
      <c r="J974">
        <v>11</v>
      </c>
      <c r="K974">
        <v>12</v>
      </c>
      <c r="L974">
        <v>1</v>
      </c>
      <c r="M974">
        <v>48</v>
      </c>
      <c r="N974">
        <v>14</v>
      </c>
      <c r="O974">
        <v>13</v>
      </c>
      <c r="P974">
        <v>24</v>
      </c>
      <c r="Q974">
        <v>1200</v>
      </c>
      <c r="R974">
        <v>683</v>
      </c>
      <c r="S974" t="str">
        <v>No</v>
      </c>
      <c r="T974">
        <v>0.28999999999999998</v>
      </c>
      <c r="U974">
        <v>2015</v>
      </c>
      <c r="V974">
        <v>45794</v>
      </c>
      <c r="W974">
        <v>8.6999999999999993</v>
      </c>
      <c r="X974" t="str">
        <v>Photos</v>
      </c>
      <c r="Y974" t="str">
        <v>Food</v>
      </c>
      <c r="Z974" t="str">
        <v>Friends_only</v>
      </c>
      <c r="AA974" t="str">
        <v>Yes</v>
      </c>
      <c r="AB974" t="str">
        <v>Yes</v>
      </c>
      <c r="AC974">
        <v>1</v>
      </c>
      <c r="AD974" t="str">
        <v>Free</v>
      </c>
      <c r="AE974">
        <v>1.68</v>
      </c>
      <c r="AF974" s="14">
        <f t="shared" si="15"/>
        <v>1.7569546120058566</v>
      </c>
    </row>
    <row r="975" spans="1:32" x14ac:dyDescent="0.2">
      <c r="A975">
        <v>974</v>
      </c>
      <c r="B975" cm="1">
        <f t="array" ref="B975:AE975">_xlfn.XLOOKUP($A975,Instagram_Usage_Lifestyle_Mini_!$A:$A,Instagram_Usage_Lifestyle_Mini_!$AC:$BF)</f>
        <v>120</v>
      </c>
      <c r="C975">
        <v>5</v>
      </c>
      <c r="D975">
        <v>2</v>
      </c>
      <c r="E975">
        <v>112</v>
      </c>
      <c r="F975">
        <v>82</v>
      </c>
      <c r="G975">
        <v>84</v>
      </c>
      <c r="H975">
        <v>25</v>
      </c>
      <c r="I975">
        <v>22</v>
      </c>
      <c r="J975">
        <v>30</v>
      </c>
      <c r="K975">
        <v>12</v>
      </c>
      <c r="L975">
        <v>3</v>
      </c>
      <c r="M975">
        <v>57</v>
      </c>
      <c r="N975">
        <v>17</v>
      </c>
      <c r="O975">
        <v>21</v>
      </c>
      <c r="P975">
        <v>26</v>
      </c>
      <c r="Q975">
        <v>1087</v>
      </c>
      <c r="R975">
        <v>2248</v>
      </c>
      <c r="S975" t="str">
        <v>No</v>
      </c>
      <c r="T975">
        <v>0.64</v>
      </c>
      <c r="U975">
        <v>2024</v>
      </c>
      <c r="V975">
        <v>45778</v>
      </c>
      <c r="W975">
        <v>24</v>
      </c>
      <c r="X975" t="str">
        <v>Mixed</v>
      </c>
      <c r="Y975" t="str">
        <v>Travel</v>
      </c>
      <c r="Z975" t="str">
        <v>Friends_only</v>
      </c>
      <c r="AA975" t="str">
        <v>Yes</v>
      </c>
      <c r="AB975" t="str">
        <v>Yes</v>
      </c>
      <c r="AC975">
        <v>2</v>
      </c>
      <c r="AD975" t="str">
        <v>Free</v>
      </c>
      <c r="AE975">
        <v>1.1599999999999999</v>
      </c>
      <c r="AF975" s="14">
        <f t="shared" si="15"/>
        <v>0.4835409252669039</v>
      </c>
    </row>
    <row r="976" spans="1:32" x14ac:dyDescent="0.2">
      <c r="A976">
        <v>975</v>
      </c>
      <c r="B976" cm="1">
        <f t="array" ref="B976:AE976">_xlfn.XLOOKUP($A976,Instagram_Usage_Lifestyle_Mini_!$A:$A,Instagram_Usage_Lifestyle_Mini_!$AC:$BF)</f>
        <v>356</v>
      </c>
      <c r="C976">
        <v>10</v>
      </c>
      <c r="D976">
        <v>8</v>
      </c>
      <c r="E976">
        <v>300</v>
      </c>
      <c r="F976">
        <v>150</v>
      </c>
      <c r="G976">
        <v>183</v>
      </c>
      <c r="H976">
        <v>42</v>
      </c>
      <c r="I976">
        <v>52</v>
      </c>
      <c r="J976">
        <v>61</v>
      </c>
      <c r="K976">
        <v>40</v>
      </c>
      <c r="L976">
        <v>5</v>
      </c>
      <c r="M976">
        <v>178</v>
      </c>
      <c r="N976">
        <v>66</v>
      </c>
      <c r="O976">
        <v>88</v>
      </c>
      <c r="P976">
        <v>88</v>
      </c>
      <c r="Q976">
        <v>2185</v>
      </c>
      <c r="R976">
        <v>2910</v>
      </c>
      <c r="S976" t="str">
        <v>No</v>
      </c>
      <c r="T976">
        <v>0.56999999999999995</v>
      </c>
      <c r="U976">
        <v>2012</v>
      </c>
      <c r="V976">
        <v>45935</v>
      </c>
      <c r="W976">
        <v>35.6</v>
      </c>
      <c r="X976" t="str">
        <v>Mixed</v>
      </c>
      <c r="Y976" t="str">
        <v>Music</v>
      </c>
      <c r="Z976" t="str">
        <v>Public</v>
      </c>
      <c r="AA976" t="str">
        <v>Yes</v>
      </c>
      <c r="AB976" t="str">
        <v>Yes</v>
      </c>
      <c r="AC976">
        <v>4</v>
      </c>
      <c r="AD976" t="str">
        <v>Premium</v>
      </c>
      <c r="AE976">
        <v>0.82</v>
      </c>
      <c r="AF976" s="14">
        <f t="shared" si="15"/>
        <v>0.75085910652920962</v>
      </c>
    </row>
    <row r="977" spans="1:32" x14ac:dyDescent="0.2">
      <c r="A977">
        <v>976</v>
      </c>
      <c r="B977" cm="1">
        <f t="array" ref="B977:AE977">_xlfn.XLOOKUP($A977,Instagram_Usage_Lifestyle_Mini_!$A:$A,Instagram_Usage_Lifestyle_Mini_!$AC:$BF)</f>
        <v>156</v>
      </c>
      <c r="C977">
        <v>6</v>
      </c>
      <c r="D977">
        <v>1</v>
      </c>
      <c r="E977">
        <v>132</v>
      </c>
      <c r="F977">
        <v>75</v>
      </c>
      <c r="G977">
        <v>103</v>
      </c>
      <c r="H977">
        <v>28</v>
      </c>
      <c r="I977">
        <v>34</v>
      </c>
      <c r="J977">
        <v>19</v>
      </c>
      <c r="K977">
        <v>13</v>
      </c>
      <c r="L977">
        <v>7</v>
      </c>
      <c r="M977">
        <v>65</v>
      </c>
      <c r="N977">
        <v>33</v>
      </c>
      <c r="O977">
        <v>18</v>
      </c>
      <c r="P977">
        <v>51</v>
      </c>
      <c r="Q977">
        <v>357</v>
      </c>
      <c r="R977">
        <v>463</v>
      </c>
      <c r="S977" t="str">
        <v>No</v>
      </c>
      <c r="T977">
        <v>0.56999999999999995</v>
      </c>
      <c r="U977">
        <v>2017</v>
      </c>
      <c r="V977">
        <v>45935</v>
      </c>
      <c r="W977">
        <v>26</v>
      </c>
      <c r="X977" t="str">
        <v>Photos</v>
      </c>
      <c r="Y977" t="str">
        <v>Food</v>
      </c>
      <c r="Z977" t="str">
        <v>Private</v>
      </c>
      <c r="AA977" t="str">
        <v>No</v>
      </c>
      <c r="AB977" t="str">
        <v>No</v>
      </c>
      <c r="AC977">
        <v>4</v>
      </c>
      <c r="AD977" t="str">
        <v>Free</v>
      </c>
      <c r="AE977">
        <v>1.03</v>
      </c>
      <c r="AF977" s="14">
        <f t="shared" si="15"/>
        <v>0.7710583153347732</v>
      </c>
    </row>
    <row r="978" spans="1:32" x14ac:dyDescent="0.2">
      <c r="A978">
        <v>977</v>
      </c>
      <c r="B978" cm="1">
        <f t="array" ref="B978:AE978">_xlfn.XLOOKUP($A978,Instagram_Usage_Lifestyle_Mini_!$A:$A,Instagram_Usage_Lifestyle_Mini_!$AC:$BF)</f>
        <v>49</v>
      </c>
      <c r="C978">
        <v>4</v>
      </c>
      <c r="D978">
        <v>4</v>
      </c>
      <c r="E978">
        <v>69</v>
      </c>
      <c r="F978">
        <v>56</v>
      </c>
      <c r="G978">
        <v>62</v>
      </c>
      <c r="H978">
        <v>14</v>
      </c>
      <c r="I978">
        <v>10</v>
      </c>
      <c r="J978">
        <v>6</v>
      </c>
      <c r="K978">
        <v>11</v>
      </c>
      <c r="L978">
        <v>5</v>
      </c>
      <c r="M978">
        <v>21</v>
      </c>
      <c r="N978">
        <v>7</v>
      </c>
      <c r="O978">
        <v>10</v>
      </c>
      <c r="P978">
        <v>11</v>
      </c>
      <c r="Q978">
        <v>8547</v>
      </c>
      <c r="R978">
        <v>4702</v>
      </c>
      <c r="S978" t="str">
        <v>No</v>
      </c>
      <c r="T978">
        <v>0.37</v>
      </c>
      <c r="U978">
        <v>2014</v>
      </c>
      <c r="V978">
        <v>45801</v>
      </c>
      <c r="W978">
        <v>12.2</v>
      </c>
      <c r="X978" t="str">
        <v>Photos</v>
      </c>
      <c r="Y978" t="str">
        <v>Music</v>
      </c>
      <c r="Z978" t="str">
        <v>Friends_only</v>
      </c>
      <c r="AA978" t="str">
        <v>Yes</v>
      </c>
      <c r="AB978" t="str">
        <v>No</v>
      </c>
      <c r="AC978">
        <v>4</v>
      </c>
      <c r="AD978" t="str">
        <v>Free</v>
      </c>
      <c r="AE978">
        <v>2.04</v>
      </c>
      <c r="AF978" s="14">
        <f t="shared" si="15"/>
        <v>1.8177371331348362</v>
      </c>
    </row>
    <row r="979" spans="1:32" x14ac:dyDescent="0.2">
      <c r="A979">
        <v>978</v>
      </c>
      <c r="B979" cm="1">
        <f t="array" ref="B979:AE979">_xlfn.XLOOKUP($A979,Instagram_Usage_Lifestyle_Mini_!$A:$A,Instagram_Usage_Lifestyle_Mini_!$AC:$BF)</f>
        <v>30</v>
      </c>
      <c r="C979">
        <v>1</v>
      </c>
      <c r="D979">
        <v>3</v>
      </c>
      <c r="E979">
        <v>54</v>
      </c>
      <c r="F979">
        <v>47</v>
      </c>
      <c r="G979">
        <v>39</v>
      </c>
      <c r="H979">
        <v>11</v>
      </c>
      <c r="I979">
        <v>10</v>
      </c>
      <c r="J979">
        <v>12</v>
      </c>
      <c r="K979">
        <v>8</v>
      </c>
      <c r="L979">
        <v>3</v>
      </c>
      <c r="M979">
        <v>16</v>
      </c>
      <c r="N979">
        <v>7</v>
      </c>
      <c r="O979">
        <v>5</v>
      </c>
      <c r="P979">
        <v>8</v>
      </c>
      <c r="Q979">
        <v>1097</v>
      </c>
      <c r="R979">
        <v>1027</v>
      </c>
      <c r="S979" t="str">
        <v>No</v>
      </c>
      <c r="T979">
        <v>0.95</v>
      </c>
      <c r="U979">
        <v>2022</v>
      </c>
      <c r="V979">
        <v>46006</v>
      </c>
      <c r="W979">
        <v>30</v>
      </c>
      <c r="X979" t="str">
        <v>Live</v>
      </c>
      <c r="Y979" t="str">
        <v>Other</v>
      </c>
      <c r="Z979" t="str">
        <v>Private</v>
      </c>
      <c r="AA979" t="str">
        <v>Yes</v>
      </c>
      <c r="AB979" t="str">
        <v>Yes</v>
      </c>
      <c r="AC979">
        <v>3</v>
      </c>
      <c r="AD979" t="str">
        <v>Free</v>
      </c>
      <c r="AE979">
        <v>2.2599999999999998</v>
      </c>
      <c r="AF979" s="14">
        <f t="shared" si="15"/>
        <v>1.068159688412853</v>
      </c>
    </row>
    <row r="980" spans="1:32" x14ac:dyDescent="0.2">
      <c r="A980">
        <v>979</v>
      </c>
      <c r="B980" cm="1">
        <f t="array" ref="B980:AE980">_xlfn.XLOOKUP($A980,Instagram_Usage_Lifestyle_Mini_!$A:$A,Instagram_Usage_Lifestyle_Mini_!$AC:$BF)</f>
        <v>368</v>
      </c>
      <c r="C980">
        <v>26</v>
      </c>
      <c r="D980">
        <v>10</v>
      </c>
      <c r="E980">
        <v>245</v>
      </c>
      <c r="F980">
        <v>150</v>
      </c>
      <c r="G980">
        <v>235</v>
      </c>
      <c r="H980">
        <v>67</v>
      </c>
      <c r="I980">
        <v>46</v>
      </c>
      <c r="J980">
        <v>36</v>
      </c>
      <c r="K980">
        <v>31</v>
      </c>
      <c r="L980">
        <v>8</v>
      </c>
      <c r="M980">
        <v>190</v>
      </c>
      <c r="N980">
        <v>108</v>
      </c>
      <c r="O980">
        <v>86</v>
      </c>
      <c r="P980">
        <v>125</v>
      </c>
      <c r="Q980">
        <v>243</v>
      </c>
      <c r="R980">
        <v>477</v>
      </c>
      <c r="S980" t="str">
        <v>Yes</v>
      </c>
      <c r="T980">
        <v>0.48</v>
      </c>
      <c r="U980">
        <v>2022</v>
      </c>
      <c r="V980">
        <v>45857</v>
      </c>
      <c r="W980">
        <v>14.2</v>
      </c>
      <c r="X980" t="str">
        <v>Videos</v>
      </c>
      <c r="Y980" t="str">
        <v>Food</v>
      </c>
      <c r="Z980" t="str">
        <v>Private</v>
      </c>
      <c r="AA980" t="str">
        <v>Yes</v>
      </c>
      <c r="AB980" t="str">
        <v>No</v>
      </c>
      <c r="AC980">
        <v>1</v>
      </c>
      <c r="AD980" t="str">
        <v>Free</v>
      </c>
      <c r="AE980">
        <v>1.08</v>
      </c>
      <c r="AF980" s="14">
        <f t="shared" si="15"/>
        <v>0.50943396226415094</v>
      </c>
    </row>
    <row r="981" spans="1:32" x14ac:dyDescent="0.2">
      <c r="A981">
        <v>980</v>
      </c>
      <c r="B981" cm="1">
        <f t="array" ref="B981:AE981">_xlfn.XLOOKUP($A981,Instagram_Usage_Lifestyle_Mini_!$A:$A,Instagram_Usage_Lifestyle_Mini_!$AC:$BF)</f>
        <v>135</v>
      </c>
      <c r="C981">
        <v>7</v>
      </c>
      <c r="D981">
        <v>3</v>
      </c>
      <c r="E981">
        <v>221</v>
      </c>
      <c r="F981">
        <v>84</v>
      </c>
      <c r="G981">
        <v>93</v>
      </c>
      <c r="H981">
        <v>35</v>
      </c>
      <c r="I981">
        <v>28</v>
      </c>
      <c r="J981">
        <v>25</v>
      </c>
      <c r="K981">
        <v>16</v>
      </c>
      <c r="L981">
        <v>1</v>
      </c>
      <c r="M981">
        <v>65</v>
      </c>
      <c r="N981">
        <v>14</v>
      </c>
      <c r="O981">
        <v>33</v>
      </c>
      <c r="P981">
        <v>37</v>
      </c>
      <c r="Q981">
        <v>4009</v>
      </c>
      <c r="R981">
        <v>6611</v>
      </c>
      <c r="S981" t="str">
        <v>No</v>
      </c>
      <c r="T981">
        <v>0.44</v>
      </c>
      <c r="U981">
        <v>2019</v>
      </c>
      <c r="V981">
        <v>45968</v>
      </c>
      <c r="W981">
        <v>19.3</v>
      </c>
      <c r="X981" t="str">
        <v>Reels</v>
      </c>
      <c r="Y981" t="str">
        <v>Art</v>
      </c>
      <c r="Z981" t="str">
        <v>Friends_only</v>
      </c>
      <c r="AA981" t="str">
        <v>Yes</v>
      </c>
      <c r="AB981" t="str">
        <v>Yes</v>
      </c>
      <c r="AC981">
        <v>1</v>
      </c>
      <c r="AD981" t="str">
        <v>Free</v>
      </c>
      <c r="AE981">
        <v>1.26</v>
      </c>
      <c r="AF981" s="14">
        <f t="shared" si="15"/>
        <v>0.60641355316896084</v>
      </c>
    </row>
    <row r="982" spans="1:32" x14ac:dyDescent="0.2">
      <c r="A982">
        <v>981</v>
      </c>
      <c r="B982" cm="1">
        <f t="array" ref="B982:AE982">_xlfn.XLOOKUP($A982,Instagram_Usage_Lifestyle_Mini_!$A:$A,Instagram_Usage_Lifestyle_Mini_!$AC:$BF)</f>
        <v>124</v>
      </c>
      <c r="C982">
        <v>5</v>
      </c>
      <c r="D982">
        <v>3</v>
      </c>
      <c r="E982">
        <v>115</v>
      </c>
      <c r="F982">
        <v>89</v>
      </c>
      <c r="G982">
        <v>87</v>
      </c>
      <c r="H982">
        <v>33</v>
      </c>
      <c r="I982">
        <v>26</v>
      </c>
      <c r="J982">
        <v>23</v>
      </c>
      <c r="K982">
        <v>13</v>
      </c>
      <c r="L982">
        <v>6</v>
      </c>
      <c r="M982">
        <v>61</v>
      </c>
      <c r="N982">
        <v>32</v>
      </c>
      <c r="O982">
        <v>29</v>
      </c>
      <c r="P982">
        <v>33</v>
      </c>
      <c r="Q982">
        <v>1125</v>
      </c>
      <c r="R982">
        <v>1811</v>
      </c>
      <c r="S982" t="str">
        <v>No</v>
      </c>
      <c r="T982">
        <v>0.39</v>
      </c>
      <c r="U982">
        <v>2011</v>
      </c>
      <c r="V982">
        <v>45742</v>
      </c>
      <c r="W982">
        <v>24.8</v>
      </c>
      <c r="X982" t="str">
        <v>Live</v>
      </c>
      <c r="Y982" t="str">
        <v>Food</v>
      </c>
      <c r="Z982" t="str">
        <v>Friends_only</v>
      </c>
      <c r="AA982" t="str">
        <v>Yes</v>
      </c>
      <c r="AB982" t="str">
        <v>No</v>
      </c>
      <c r="AC982">
        <v>3</v>
      </c>
      <c r="AD982" t="str">
        <v>Free</v>
      </c>
      <c r="AE982">
        <v>1.3</v>
      </c>
      <c r="AF982" s="14">
        <f t="shared" si="15"/>
        <v>0.62120375483158474</v>
      </c>
    </row>
    <row r="983" spans="1:32" x14ac:dyDescent="0.2">
      <c r="A983">
        <v>982</v>
      </c>
      <c r="B983" cm="1">
        <f t="array" ref="B983:AE983">_xlfn.XLOOKUP($A983,Instagram_Usage_Lifestyle_Mini_!$A:$A,Instagram_Usage_Lifestyle_Mini_!$AC:$BF)</f>
        <v>296</v>
      </c>
      <c r="C983">
        <v>25</v>
      </c>
      <c r="D983">
        <v>6</v>
      </c>
      <c r="E983">
        <v>229</v>
      </c>
      <c r="F983">
        <v>148</v>
      </c>
      <c r="G983">
        <v>171</v>
      </c>
      <c r="H983">
        <v>42</v>
      </c>
      <c r="I983">
        <v>38</v>
      </c>
      <c r="J983">
        <v>44</v>
      </c>
      <c r="K983">
        <v>34</v>
      </c>
      <c r="L983">
        <v>6</v>
      </c>
      <c r="M983">
        <v>175</v>
      </c>
      <c r="N983">
        <v>87</v>
      </c>
      <c r="O983">
        <v>40</v>
      </c>
      <c r="P983">
        <v>104</v>
      </c>
      <c r="Q983">
        <v>2109</v>
      </c>
      <c r="R983">
        <v>2462</v>
      </c>
      <c r="S983" t="str">
        <v>Yes</v>
      </c>
      <c r="T983">
        <v>0.89</v>
      </c>
      <c r="U983">
        <v>2012</v>
      </c>
      <c r="V983">
        <v>45954</v>
      </c>
      <c r="W983">
        <v>11.8</v>
      </c>
      <c r="X983" t="str">
        <v>Stories</v>
      </c>
      <c r="Y983" t="str">
        <v>Other</v>
      </c>
      <c r="Z983" t="str">
        <v>Public</v>
      </c>
      <c r="AA983" t="str">
        <v>Yes</v>
      </c>
      <c r="AB983" t="str">
        <v>Yes</v>
      </c>
      <c r="AC983">
        <v>5</v>
      </c>
      <c r="AD983" t="str">
        <v>Premium</v>
      </c>
      <c r="AE983">
        <v>0.92</v>
      </c>
      <c r="AF983" s="14">
        <f t="shared" si="15"/>
        <v>0.85662063363119412</v>
      </c>
    </row>
    <row r="984" spans="1:32" x14ac:dyDescent="0.2">
      <c r="A984">
        <v>983</v>
      </c>
      <c r="B984" cm="1">
        <f t="array" ref="B984:AE984">_xlfn.XLOOKUP($A984,Instagram_Usage_Lifestyle_Mini_!$A:$A,Instagram_Usage_Lifestyle_Mini_!$AC:$BF)</f>
        <v>254</v>
      </c>
      <c r="C984">
        <v>8</v>
      </c>
      <c r="D984">
        <v>10</v>
      </c>
      <c r="E984">
        <v>193</v>
      </c>
      <c r="F984">
        <v>113</v>
      </c>
      <c r="G984">
        <v>152</v>
      </c>
      <c r="H984">
        <v>41</v>
      </c>
      <c r="I984">
        <v>29</v>
      </c>
      <c r="J984">
        <v>39</v>
      </c>
      <c r="K984">
        <v>24</v>
      </c>
      <c r="L984">
        <v>6</v>
      </c>
      <c r="M984">
        <v>139</v>
      </c>
      <c r="N984">
        <v>41</v>
      </c>
      <c r="O984">
        <v>44</v>
      </c>
      <c r="P984">
        <v>66</v>
      </c>
      <c r="Q984">
        <v>1405</v>
      </c>
      <c r="R984">
        <v>2923</v>
      </c>
      <c r="S984" t="str">
        <v>Yes</v>
      </c>
      <c r="T984">
        <v>0.22</v>
      </c>
      <c r="U984">
        <v>2020</v>
      </c>
      <c r="V984">
        <v>45772</v>
      </c>
      <c r="W984">
        <v>31.8</v>
      </c>
      <c r="X984" t="str">
        <v>Stories</v>
      </c>
      <c r="Y984" t="str">
        <v>Art</v>
      </c>
      <c r="Z984" t="str">
        <v>Friends_only</v>
      </c>
      <c r="AA984" t="str">
        <v>Yes</v>
      </c>
      <c r="AB984" t="str">
        <v>No</v>
      </c>
      <c r="AC984">
        <v>0</v>
      </c>
      <c r="AD984" t="str">
        <v>Free</v>
      </c>
      <c r="AE984">
        <v>1.04</v>
      </c>
      <c r="AF984" s="14">
        <f t="shared" si="15"/>
        <v>0.48067054396168318</v>
      </c>
    </row>
    <row r="985" spans="1:32" x14ac:dyDescent="0.2">
      <c r="A985">
        <v>984</v>
      </c>
      <c r="B985" cm="1">
        <f t="array" ref="B985:AE985">_xlfn.XLOOKUP($A985,Instagram_Usage_Lifestyle_Mini_!$A:$A,Instagram_Usage_Lifestyle_Mini_!$AC:$BF)</f>
        <v>354</v>
      </c>
      <c r="C985">
        <v>13</v>
      </c>
      <c r="D985">
        <v>8</v>
      </c>
      <c r="E985">
        <v>300</v>
      </c>
      <c r="F985">
        <v>150</v>
      </c>
      <c r="G985">
        <v>200</v>
      </c>
      <c r="H985">
        <v>63</v>
      </c>
      <c r="I985">
        <v>53</v>
      </c>
      <c r="J985">
        <v>65</v>
      </c>
      <c r="K985">
        <v>40</v>
      </c>
      <c r="L985">
        <v>13</v>
      </c>
      <c r="M985">
        <v>209</v>
      </c>
      <c r="N985">
        <v>68</v>
      </c>
      <c r="O985">
        <v>81</v>
      </c>
      <c r="P985">
        <v>100</v>
      </c>
      <c r="Q985">
        <v>448</v>
      </c>
      <c r="R985">
        <v>189</v>
      </c>
      <c r="S985" t="str">
        <v>No</v>
      </c>
      <c r="T985">
        <v>0.83</v>
      </c>
      <c r="U985">
        <v>2011</v>
      </c>
      <c r="V985">
        <v>45735</v>
      </c>
      <c r="W985">
        <v>27.2</v>
      </c>
      <c r="X985" t="str">
        <v>Videos</v>
      </c>
      <c r="Y985" t="str">
        <v>Tech</v>
      </c>
      <c r="Z985" t="str">
        <v>Friends_only</v>
      </c>
      <c r="AA985" t="str">
        <v>No</v>
      </c>
      <c r="AB985" t="str">
        <v>No</v>
      </c>
      <c r="AC985">
        <v>1</v>
      </c>
      <c r="AD985" t="str">
        <v>Free</v>
      </c>
      <c r="AE985">
        <v>0.99</v>
      </c>
      <c r="AF985" s="14">
        <f t="shared" si="15"/>
        <v>2.3703703703703702</v>
      </c>
    </row>
    <row r="986" spans="1:32" x14ac:dyDescent="0.2">
      <c r="A986">
        <v>985</v>
      </c>
      <c r="B986" cm="1">
        <f t="array" ref="B986:AE986">_xlfn.XLOOKUP($A986,Instagram_Usage_Lifestyle_Mini_!$A:$A,Instagram_Usage_Lifestyle_Mini_!$AC:$BF)</f>
        <v>50</v>
      </c>
      <c r="C986">
        <v>2</v>
      </c>
      <c r="D986">
        <v>3</v>
      </c>
      <c r="E986">
        <v>72</v>
      </c>
      <c r="F986">
        <v>52</v>
      </c>
      <c r="G986">
        <v>59</v>
      </c>
      <c r="H986">
        <v>20</v>
      </c>
      <c r="I986">
        <v>16</v>
      </c>
      <c r="J986">
        <v>16</v>
      </c>
      <c r="K986">
        <v>10</v>
      </c>
      <c r="L986">
        <v>1</v>
      </c>
      <c r="M986">
        <v>28</v>
      </c>
      <c r="N986">
        <v>12</v>
      </c>
      <c r="O986">
        <v>9</v>
      </c>
      <c r="P986">
        <v>15</v>
      </c>
      <c r="Q986">
        <v>307</v>
      </c>
      <c r="R986">
        <v>737</v>
      </c>
      <c r="S986" t="str">
        <v>No</v>
      </c>
      <c r="T986">
        <v>0.08</v>
      </c>
      <c r="U986">
        <v>2010</v>
      </c>
      <c r="V986">
        <v>45686</v>
      </c>
      <c r="W986">
        <v>25</v>
      </c>
      <c r="X986" t="str">
        <v>Mixed</v>
      </c>
      <c r="Y986" t="str">
        <v>Fashion</v>
      </c>
      <c r="Z986" t="str">
        <v>Public</v>
      </c>
      <c r="AA986" t="str">
        <v>No</v>
      </c>
      <c r="AB986" t="str">
        <v>No</v>
      </c>
      <c r="AC986">
        <v>1</v>
      </c>
      <c r="AD986" t="str">
        <v>Premium</v>
      </c>
      <c r="AE986">
        <v>2.12</v>
      </c>
      <c r="AF986" s="14">
        <f t="shared" si="15"/>
        <v>0.41655359565807326</v>
      </c>
    </row>
    <row r="987" spans="1:32" x14ac:dyDescent="0.2">
      <c r="A987">
        <v>986</v>
      </c>
      <c r="B987" cm="1">
        <f t="array" ref="B987:AE987">_xlfn.XLOOKUP($A987,Instagram_Usage_Lifestyle_Mini_!$A:$A,Instagram_Usage_Lifestyle_Mini_!$AC:$BF)</f>
        <v>189</v>
      </c>
      <c r="C987">
        <v>6</v>
      </c>
      <c r="D987">
        <v>0</v>
      </c>
      <c r="E987">
        <v>130</v>
      </c>
      <c r="F987">
        <v>122</v>
      </c>
      <c r="G987">
        <v>144</v>
      </c>
      <c r="H987">
        <v>27</v>
      </c>
      <c r="I987">
        <v>33</v>
      </c>
      <c r="J987">
        <v>41</v>
      </c>
      <c r="K987">
        <v>25</v>
      </c>
      <c r="L987">
        <v>2</v>
      </c>
      <c r="M987">
        <v>95</v>
      </c>
      <c r="N987">
        <v>28</v>
      </c>
      <c r="O987">
        <v>24</v>
      </c>
      <c r="P987">
        <v>56</v>
      </c>
      <c r="Q987">
        <v>154</v>
      </c>
      <c r="R987">
        <v>145</v>
      </c>
      <c r="S987" t="str">
        <v>No</v>
      </c>
      <c r="T987">
        <v>0.74</v>
      </c>
      <c r="U987">
        <v>2015</v>
      </c>
      <c r="V987">
        <v>45758</v>
      </c>
      <c r="W987">
        <v>31.5</v>
      </c>
      <c r="X987" t="str">
        <v>Photos</v>
      </c>
      <c r="Y987" t="str">
        <v>Fashion</v>
      </c>
      <c r="Z987" t="str">
        <v>Private</v>
      </c>
      <c r="AA987" t="str">
        <v>No</v>
      </c>
      <c r="AB987" t="str">
        <v>No</v>
      </c>
      <c r="AC987">
        <v>4</v>
      </c>
      <c r="AD987" t="str">
        <v>Free</v>
      </c>
      <c r="AE987">
        <v>1.04</v>
      </c>
      <c r="AF987" s="14">
        <f t="shared" si="15"/>
        <v>1.0620689655172413</v>
      </c>
    </row>
    <row r="988" spans="1:32" x14ac:dyDescent="0.2">
      <c r="A988">
        <v>987</v>
      </c>
      <c r="B988" cm="1">
        <f t="array" ref="B988:AE988">_xlfn.XLOOKUP($A988,Instagram_Usage_Lifestyle_Mini_!$A:$A,Instagram_Usage_Lifestyle_Mini_!$AC:$BF)</f>
        <v>207</v>
      </c>
      <c r="C988">
        <v>11</v>
      </c>
      <c r="D988">
        <v>3</v>
      </c>
      <c r="E988">
        <v>191</v>
      </c>
      <c r="F988">
        <v>90</v>
      </c>
      <c r="G988">
        <v>105</v>
      </c>
      <c r="H988">
        <v>38</v>
      </c>
      <c r="I988">
        <v>42</v>
      </c>
      <c r="J988">
        <v>31</v>
      </c>
      <c r="K988">
        <v>24</v>
      </c>
      <c r="L988">
        <v>7</v>
      </c>
      <c r="M988">
        <v>84</v>
      </c>
      <c r="N988">
        <v>24</v>
      </c>
      <c r="O988">
        <v>21</v>
      </c>
      <c r="P988">
        <v>56</v>
      </c>
      <c r="Q988">
        <v>1101</v>
      </c>
      <c r="R988">
        <v>1786</v>
      </c>
      <c r="S988" t="str">
        <v>No</v>
      </c>
      <c r="T988">
        <v>0.17</v>
      </c>
      <c r="U988">
        <v>2025</v>
      </c>
      <c r="V988">
        <v>45855</v>
      </c>
      <c r="W988">
        <v>18.8</v>
      </c>
      <c r="X988" t="str">
        <v>Live</v>
      </c>
      <c r="Y988" t="str">
        <v>Fashion</v>
      </c>
      <c r="Z988" t="str">
        <v>Friends_only</v>
      </c>
      <c r="AA988" t="str">
        <v>No</v>
      </c>
      <c r="AB988" t="str">
        <v>No</v>
      </c>
      <c r="AC988">
        <v>2</v>
      </c>
      <c r="AD988" t="str">
        <v>Free</v>
      </c>
      <c r="AE988">
        <v>0.91</v>
      </c>
      <c r="AF988" s="14">
        <f t="shared" si="15"/>
        <v>0.61646136618141101</v>
      </c>
    </row>
    <row r="989" spans="1:32" x14ac:dyDescent="0.2">
      <c r="A989">
        <v>988</v>
      </c>
      <c r="B989" cm="1">
        <f t="array" ref="B989:AE989">_xlfn.XLOOKUP($A989,Instagram_Usage_Lifestyle_Mini_!$A:$A,Instagram_Usage_Lifestyle_Mini_!$AC:$BF)</f>
        <v>204</v>
      </c>
      <c r="C989">
        <v>14</v>
      </c>
      <c r="D989">
        <v>5</v>
      </c>
      <c r="E989">
        <v>142</v>
      </c>
      <c r="F989">
        <v>128</v>
      </c>
      <c r="G989">
        <v>115</v>
      </c>
      <c r="H989">
        <v>25</v>
      </c>
      <c r="I989">
        <v>20</v>
      </c>
      <c r="J989">
        <v>36</v>
      </c>
      <c r="K989">
        <v>22</v>
      </c>
      <c r="L989">
        <v>3</v>
      </c>
      <c r="M989">
        <v>94</v>
      </c>
      <c r="N989">
        <v>58</v>
      </c>
      <c r="O989">
        <v>34</v>
      </c>
      <c r="P989">
        <v>68</v>
      </c>
      <c r="Q989">
        <v>738</v>
      </c>
      <c r="R989">
        <v>1739</v>
      </c>
      <c r="S989" t="str">
        <v>No</v>
      </c>
      <c r="T989">
        <v>0.08</v>
      </c>
      <c r="U989">
        <v>2018</v>
      </c>
      <c r="V989">
        <v>45734</v>
      </c>
      <c r="W989">
        <v>14.6</v>
      </c>
      <c r="X989" t="str">
        <v>Videos</v>
      </c>
      <c r="Y989" t="str">
        <v>Music</v>
      </c>
      <c r="Z989" t="str">
        <v>Public</v>
      </c>
      <c r="AA989" t="str">
        <v>No</v>
      </c>
      <c r="AB989" t="str">
        <v>No</v>
      </c>
      <c r="AC989">
        <v>0</v>
      </c>
      <c r="AD989" t="str">
        <v>Premium</v>
      </c>
      <c r="AE989">
        <v>0.88</v>
      </c>
      <c r="AF989" s="14">
        <f t="shared" si="15"/>
        <v>0.4243818286371478</v>
      </c>
    </row>
    <row r="990" spans="1:32" x14ac:dyDescent="0.2">
      <c r="A990">
        <v>989</v>
      </c>
      <c r="B990" cm="1">
        <f t="array" ref="B990:AE990">_xlfn.XLOOKUP($A990,Instagram_Usage_Lifestyle_Mini_!$A:$A,Instagram_Usage_Lifestyle_Mini_!$AC:$BF)</f>
        <v>162</v>
      </c>
      <c r="C990">
        <v>7</v>
      </c>
      <c r="D990">
        <v>4</v>
      </c>
      <c r="E990">
        <v>134</v>
      </c>
      <c r="F990">
        <v>85</v>
      </c>
      <c r="G990">
        <v>110</v>
      </c>
      <c r="H990">
        <v>33</v>
      </c>
      <c r="I990">
        <v>21</v>
      </c>
      <c r="J990">
        <v>28</v>
      </c>
      <c r="K990">
        <v>12</v>
      </c>
      <c r="L990">
        <v>6</v>
      </c>
      <c r="M990">
        <v>67</v>
      </c>
      <c r="N990">
        <v>23</v>
      </c>
      <c r="O990">
        <v>35</v>
      </c>
      <c r="P990">
        <v>42</v>
      </c>
      <c r="Q990">
        <v>775</v>
      </c>
      <c r="R990">
        <v>607</v>
      </c>
      <c r="S990" t="str">
        <v>No</v>
      </c>
      <c r="T990">
        <v>0.68</v>
      </c>
      <c r="U990">
        <v>2018</v>
      </c>
      <c r="V990">
        <v>45861</v>
      </c>
      <c r="W990">
        <v>23.1</v>
      </c>
      <c r="X990" t="str">
        <v>Mixed</v>
      </c>
      <c r="Y990" t="str">
        <v>Travel</v>
      </c>
      <c r="Z990" t="str">
        <v>Public</v>
      </c>
      <c r="AA990" t="str">
        <v>Yes</v>
      </c>
      <c r="AB990" t="str">
        <v>Yes</v>
      </c>
      <c r="AC990">
        <v>3</v>
      </c>
      <c r="AD990" t="str">
        <v>Free</v>
      </c>
      <c r="AE990">
        <v>1.1499999999999999</v>
      </c>
      <c r="AF990" s="14">
        <f t="shared" si="15"/>
        <v>1.2767710049423393</v>
      </c>
    </row>
    <row r="991" spans="1:32" x14ac:dyDescent="0.2">
      <c r="A991">
        <v>990</v>
      </c>
      <c r="B991" cm="1">
        <f t="array" ref="B991:AE991">_xlfn.XLOOKUP($A991,Instagram_Usage_Lifestyle_Mini_!$A:$A,Instagram_Usage_Lifestyle_Mini_!$AC:$BF)</f>
        <v>123</v>
      </c>
      <c r="C991">
        <v>7</v>
      </c>
      <c r="D991">
        <v>4</v>
      </c>
      <c r="E991">
        <v>112</v>
      </c>
      <c r="F991">
        <v>81</v>
      </c>
      <c r="G991">
        <v>85</v>
      </c>
      <c r="H991">
        <v>27</v>
      </c>
      <c r="I991">
        <v>16</v>
      </c>
      <c r="J991">
        <v>18</v>
      </c>
      <c r="K991">
        <v>13</v>
      </c>
      <c r="L991">
        <v>3</v>
      </c>
      <c r="M991">
        <v>70</v>
      </c>
      <c r="N991">
        <v>17</v>
      </c>
      <c r="O991">
        <v>15</v>
      </c>
      <c r="P991">
        <v>38</v>
      </c>
      <c r="Q991">
        <v>1569</v>
      </c>
      <c r="R991">
        <v>3021</v>
      </c>
      <c r="S991" t="str">
        <v>No</v>
      </c>
      <c r="T991">
        <v>0.15</v>
      </c>
      <c r="U991">
        <v>2024</v>
      </c>
      <c r="V991">
        <v>45684</v>
      </c>
      <c r="W991">
        <v>17.600000000000001</v>
      </c>
      <c r="X991" t="str">
        <v>Stories</v>
      </c>
      <c r="Y991" t="str">
        <v>Tech</v>
      </c>
      <c r="Z991" t="str">
        <v>Public</v>
      </c>
      <c r="AA991" t="str">
        <v>Yes</v>
      </c>
      <c r="AB991" t="str">
        <v>Yes</v>
      </c>
      <c r="AC991">
        <v>2</v>
      </c>
      <c r="AD991" t="str">
        <v>Premium</v>
      </c>
      <c r="AE991">
        <v>1.22</v>
      </c>
      <c r="AF991" s="14">
        <f t="shared" si="15"/>
        <v>0.51936444885799404</v>
      </c>
    </row>
    <row r="992" spans="1:32" x14ac:dyDescent="0.2">
      <c r="A992">
        <v>991</v>
      </c>
      <c r="B992" cm="1">
        <f t="array" ref="B992:AE992">_xlfn.XLOOKUP($A992,Instagram_Usage_Lifestyle_Mini_!$A:$A,Instagram_Usage_Lifestyle_Mini_!$AC:$BF)</f>
        <v>266</v>
      </c>
      <c r="C992">
        <v>24</v>
      </c>
      <c r="D992">
        <v>9</v>
      </c>
      <c r="E992">
        <v>214</v>
      </c>
      <c r="F992">
        <v>134</v>
      </c>
      <c r="G992">
        <v>177</v>
      </c>
      <c r="H992">
        <v>46</v>
      </c>
      <c r="I992">
        <v>44</v>
      </c>
      <c r="J992">
        <v>36</v>
      </c>
      <c r="K992">
        <v>22</v>
      </c>
      <c r="L992">
        <v>6</v>
      </c>
      <c r="M992">
        <v>150</v>
      </c>
      <c r="N992">
        <v>34</v>
      </c>
      <c r="O992">
        <v>49</v>
      </c>
      <c r="P992">
        <v>92</v>
      </c>
      <c r="Q992">
        <v>4370</v>
      </c>
      <c r="R992">
        <v>2564</v>
      </c>
      <c r="S992" t="str">
        <v>No</v>
      </c>
      <c r="T992">
        <v>0.83</v>
      </c>
      <c r="U992">
        <v>2025</v>
      </c>
      <c r="V992">
        <v>45658</v>
      </c>
      <c r="W992">
        <v>11.1</v>
      </c>
      <c r="X992" t="str">
        <v>Videos</v>
      </c>
      <c r="Y992" t="str">
        <v>Music</v>
      </c>
      <c r="Z992" t="str">
        <v>Friends_only</v>
      </c>
      <c r="AA992" t="str">
        <v>No</v>
      </c>
      <c r="AB992" t="str">
        <v>No</v>
      </c>
      <c r="AC992">
        <v>1</v>
      </c>
      <c r="AD992" t="str">
        <v>Free</v>
      </c>
      <c r="AE992">
        <v>1.1100000000000001</v>
      </c>
      <c r="AF992" s="14">
        <f t="shared" si="15"/>
        <v>1.704368174726989</v>
      </c>
    </row>
    <row r="993" spans="1:32" x14ac:dyDescent="0.2">
      <c r="A993">
        <v>992</v>
      </c>
      <c r="B993" cm="1">
        <f t="array" ref="B993:AE993">_xlfn.XLOOKUP($A993,Instagram_Usage_Lifestyle_Mini_!$A:$A,Instagram_Usage_Lifestyle_Mini_!$AC:$BF)</f>
        <v>128</v>
      </c>
      <c r="C993">
        <v>7</v>
      </c>
      <c r="D993">
        <v>1</v>
      </c>
      <c r="E993">
        <v>195</v>
      </c>
      <c r="F993">
        <v>66</v>
      </c>
      <c r="G993">
        <v>90</v>
      </c>
      <c r="H993">
        <v>29</v>
      </c>
      <c r="I993">
        <v>24</v>
      </c>
      <c r="J993">
        <v>27</v>
      </c>
      <c r="K993">
        <v>18</v>
      </c>
      <c r="L993">
        <v>1</v>
      </c>
      <c r="M993">
        <v>58</v>
      </c>
      <c r="N993">
        <v>22</v>
      </c>
      <c r="O993">
        <v>21</v>
      </c>
      <c r="P993">
        <v>48</v>
      </c>
      <c r="Q993">
        <v>528</v>
      </c>
      <c r="R993">
        <v>553</v>
      </c>
      <c r="S993" t="str">
        <v>Yes</v>
      </c>
      <c r="T993">
        <v>0.74</v>
      </c>
      <c r="U993">
        <v>2013</v>
      </c>
      <c r="V993">
        <v>45772</v>
      </c>
      <c r="W993">
        <v>18.3</v>
      </c>
      <c r="X993" t="str">
        <v>Stories</v>
      </c>
      <c r="Y993" t="str">
        <v>Travel</v>
      </c>
      <c r="Z993" t="str">
        <v>Friends_only</v>
      </c>
      <c r="AA993" t="str">
        <v>No</v>
      </c>
      <c r="AB993" t="str">
        <v>Yes</v>
      </c>
      <c r="AC993">
        <v>0</v>
      </c>
      <c r="AD993" t="str">
        <v>Premium</v>
      </c>
      <c r="AE993">
        <v>1.17</v>
      </c>
      <c r="AF993" s="14">
        <f t="shared" si="15"/>
        <v>0.9547920433996383</v>
      </c>
    </row>
    <row r="994" spans="1:32" x14ac:dyDescent="0.2">
      <c r="A994">
        <v>993</v>
      </c>
      <c r="B994" cm="1">
        <f t="array" ref="B994:AE994">_xlfn.XLOOKUP($A994,Instagram_Usage_Lifestyle_Mini_!$A:$A,Instagram_Usage_Lifestyle_Mini_!$AC:$BF)</f>
        <v>139</v>
      </c>
      <c r="C994">
        <v>6</v>
      </c>
      <c r="D994">
        <v>5</v>
      </c>
      <c r="E994">
        <v>128</v>
      </c>
      <c r="F994">
        <v>95</v>
      </c>
      <c r="G994">
        <v>99</v>
      </c>
      <c r="H994">
        <v>33</v>
      </c>
      <c r="I994">
        <v>20</v>
      </c>
      <c r="J994">
        <v>25</v>
      </c>
      <c r="K994">
        <v>16</v>
      </c>
      <c r="L994">
        <v>6</v>
      </c>
      <c r="M994">
        <v>80</v>
      </c>
      <c r="N994">
        <v>20</v>
      </c>
      <c r="O994">
        <v>20</v>
      </c>
      <c r="P994">
        <v>30</v>
      </c>
      <c r="Q994">
        <v>104</v>
      </c>
      <c r="R994">
        <v>235</v>
      </c>
      <c r="S994" t="str">
        <v>No</v>
      </c>
      <c r="T994">
        <v>0.3</v>
      </c>
      <c r="U994">
        <v>2012</v>
      </c>
      <c r="V994">
        <v>45865</v>
      </c>
      <c r="W994">
        <v>23.2</v>
      </c>
      <c r="X994" t="str">
        <v>Stories</v>
      </c>
      <c r="Y994" t="str">
        <v>Food</v>
      </c>
      <c r="Z994" t="str">
        <v>Private</v>
      </c>
      <c r="AA994" t="str">
        <v>Yes</v>
      </c>
      <c r="AB994" t="str">
        <v>No</v>
      </c>
      <c r="AC994">
        <v>1</v>
      </c>
      <c r="AD994" t="str">
        <v>Free</v>
      </c>
      <c r="AE994">
        <v>1.29</v>
      </c>
      <c r="AF994" s="14">
        <f t="shared" si="15"/>
        <v>0.44255319148936167</v>
      </c>
    </row>
    <row r="995" spans="1:32" x14ac:dyDescent="0.2">
      <c r="A995">
        <v>994</v>
      </c>
      <c r="B995" cm="1">
        <f t="array" ref="B995:AE995">_xlfn.XLOOKUP($A995,Instagram_Usage_Lifestyle_Mini_!$A:$A,Instagram_Usage_Lifestyle_Mini_!$AC:$BF)</f>
        <v>94</v>
      </c>
      <c r="C995">
        <v>3</v>
      </c>
      <c r="D995">
        <v>5</v>
      </c>
      <c r="E995">
        <v>91</v>
      </c>
      <c r="F995">
        <v>71</v>
      </c>
      <c r="G995">
        <v>61</v>
      </c>
      <c r="H995">
        <v>19</v>
      </c>
      <c r="I995">
        <v>16</v>
      </c>
      <c r="J995">
        <v>17</v>
      </c>
      <c r="K995">
        <v>10</v>
      </c>
      <c r="L995">
        <v>2</v>
      </c>
      <c r="M995">
        <v>45</v>
      </c>
      <c r="N995">
        <v>20</v>
      </c>
      <c r="O995">
        <v>18</v>
      </c>
      <c r="P995">
        <v>20</v>
      </c>
      <c r="Q995">
        <v>4713</v>
      </c>
      <c r="R995">
        <v>4837</v>
      </c>
      <c r="S995" t="str">
        <v>No</v>
      </c>
      <c r="T995">
        <v>0.18</v>
      </c>
      <c r="U995">
        <v>2023</v>
      </c>
      <c r="V995">
        <v>45896</v>
      </c>
      <c r="W995">
        <v>31.3</v>
      </c>
      <c r="X995" t="str">
        <v>Photos</v>
      </c>
      <c r="Y995" t="str">
        <v>Fitness</v>
      </c>
      <c r="Z995" t="str">
        <v>Private</v>
      </c>
      <c r="AA995" t="str">
        <v>Yes</v>
      </c>
      <c r="AB995" t="str">
        <v>Yes</v>
      </c>
      <c r="AC995">
        <v>1</v>
      </c>
      <c r="AD995" t="str">
        <v>Free</v>
      </c>
      <c r="AE995">
        <v>1.2</v>
      </c>
      <c r="AF995" s="14">
        <f t="shared" si="15"/>
        <v>0.97436427537729997</v>
      </c>
    </row>
    <row r="996" spans="1:32" x14ac:dyDescent="0.2">
      <c r="A996">
        <v>995</v>
      </c>
      <c r="B996" cm="1">
        <f t="array" ref="B996:AE996">_xlfn.XLOOKUP($A996,Instagram_Usage_Lifestyle_Mini_!$A:$A,Instagram_Usage_Lifestyle_Mini_!$AC:$BF)</f>
        <v>290</v>
      </c>
      <c r="C996">
        <v>8</v>
      </c>
      <c r="D996">
        <v>11</v>
      </c>
      <c r="E996">
        <v>300</v>
      </c>
      <c r="F996">
        <v>132</v>
      </c>
      <c r="G996">
        <v>170</v>
      </c>
      <c r="H996">
        <v>59</v>
      </c>
      <c r="I996">
        <v>39</v>
      </c>
      <c r="J996">
        <v>38</v>
      </c>
      <c r="K996">
        <v>48</v>
      </c>
      <c r="L996">
        <v>12</v>
      </c>
      <c r="M996">
        <v>171</v>
      </c>
      <c r="N996">
        <v>48</v>
      </c>
      <c r="O996">
        <v>67</v>
      </c>
      <c r="P996">
        <v>85</v>
      </c>
      <c r="Q996">
        <v>510</v>
      </c>
      <c r="R996">
        <v>438</v>
      </c>
      <c r="S996" t="str">
        <v>Yes</v>
      </c>
      <c r="T996">
        <v>0.69</v>
      </c>
      <c r="U996">
        <v>2010</v>
      </c>
      <c r="V996">
        <v>45845</v>
      </c>
      <c r="W996">
        <v>36.200000000000003</v>
      </c>
      <c r="X996" t="str">
        <v>Photos</v>
      </c>
      <c r="Y996" t="str">
        <v>Food</v>
      </c>
      <c r="Z996" t="str">
        <v>Private</v>
      </c>
      <c r="AA996" t="str">
        <v>Yes</v>
      </c>
      <c r="AB996" t="str">
        <v>No</v>
      </c>
      <c r="AC996">
        <v>1</v>
      </c>
      <c r="AD996" t="str">
        <v>Free</v>
      </c>
      <c r="AE996">
        <v>1.1000000000000001</v>
      </c>
      <c r="AF996" s="14">
        <f t="shared" si="15"/>
        <v>1.1643835616438356</v>
      </c>
    </row>
    <row r="997" spans="1:32" x14ac:dyDescent="0.2">
      <c r="A997">
        <v>996</v>
      </c>
      <c r="B997" cm="1">
        <f t="array" ref="B997:AE997">_xlfn.XLOOKUP($A997,Instagram_Usage_Lifestyle_Mini_!$A:$A,Instagram_Usage_Lifestyle_Mini_!$AC:$BF)</f>
        <v>395</v>
      </c>
      <c r="C997">
        <v>20</v>
      </c>
      <c r="D997">
        <v>12</v>
      </c>
      <c r="E997">
        <v>300</v>
      </c>
      <c r="F997">
        <v>150</v>
      </c>
      <c r="G997">
        <v>207</v>
      </c>
      <c r="H997">
        <v>64</v>
      </c>
      <c r="I997">
        <v>48</v>
      </c>
      <c r="J997">
        <v>78</v>
      </c>
      <c r="K997">
        <v>30</v>
      </c>
      <c r="L997">
        <v>12</v>
      </c>
      <c r="M997">
        <v>231</v>
      </c>
      <c r="N997">
        <v>54</v>
      </c>
      <c r="O997">
        <v>89</v>
      </c>
      <c r="P997">
        <v>143</v>
      </c>
      <c r="Q997">
        <v>6115</v>
      </c>
      <c r="R997">
        <v>10000</v>
      </c>
      <c r="S997" t="str">
        <v>Yes</v>
      </c>
      <c r="T997">
        <v>0.47</v>
      </c>
      <c r="U997">
        <v>2013</v>
      </c>
      <c r="V997">
        <v>45815</v>
      </c>
      <c r="W997">
        <v>19.8</v>
      </c>
      <c r="X997" t="str">
        <v>Videos</v>
      </c>
      <c r="Y997" t="str">
        <v>Fashion</v>
      </c>
      <c r="Z997" t="str">
        <v>Private</v>
      </c>
      <c r="AA997" t="str">
        <v>No</v>
      </c>
      <c r="AB997" t="str">
        <v>No</v>
      </c>
      <c r="AC997">
        <v>0</v>
      </c>
      <c r="AD997" t="str">
        <v>Premium</v>
      </c>
      <c r="AE997">
        <v>0.94</v>
      </c>
      <c r="AF997" s="14">
        <f t="shared" si="15"/>
        <v>0.61150000000000004</v>
      </c>
    </row>
    <row r="998" spans="1:32" x14ac:dyDescent="0.2">
      <c r="A998">
        <v>997</v>
      </c>
      <c r="B998" cm="1">
        <f t="array" ref="B998:AE998">_xlfn.XLOOKUP($A998,Instagram_Usage_Lifestyle_Mini_!$A:$A,Instagram_Usage_Lifestyle_Mini_!$AC:$BF)</f>
        <v>72</v>
      </c>
      <c r="C998">
        <v>3</v>
      </c>
      <c r="D998">
        <v>2</v>
      </c>
      <c r="E998">
        <v>71</v>
      </c>
      <c r="F998">
        <v>54</v>
      </c>
      <c r="G998">
        <v>58</v>
      </c>
      <c r="H998">
        <v>19</v>
      </c>
      <c r="I998">
        <v>16</v>
      </c>
      <c r="J998">
        <v>18</v>
      </c>
      <c r="K998">
        <v>11</v>
      </c>
      <c r="L998">
        <v>4</v>
      </c>
      <c r="M998">
        <v>32</v>
      </c>
      <c r="N998">
        <v>18</v>
      </c>
      <c r="O998">
        <v>16</v>
      </c>
      <c r="P998">
        <v>16</v>
      </c>
      <c r="Q998">
        <v>213</v>
      </c>
      <c r="R998">
        <v>240</v>
      </c>
      <c r="S998" t="str">
        <v>No</v>
      </c>
      <c r="T998">
        <v>0.39</v>
      </c>
      <c r="U998">
        <v>2017</v>
      </c>
      <c r="V998">
        <v>45714</v>
      </c>
      <c r="W998">
        <v>24</v>
      </c>
      <c r="X998" t="str">
        <v>Mixed</v>
      </c>
      <c r="Y998" t="str">
        <v>Other</v>
      </c>
      <c r="Z998" t="str">
        <v>Friends_only</v>
      </c>
      <c r="AA998" t="str">
        <v>No</v>
      </c>
      <c r="AB998" t="str">
        <v>No</v>
      </c>
      <c r="AC998">
        <v>3</v>
      </c>
      <c r="AD998" t="str">
        <v>Business</v>
      </c>
      <c r="AE998">
        <v>1.4</v>
      </c>
      <c r="AF998" s="14">
        <f t="shared" si="15"/>
        <v>0.88749999999999996</v>
      </c>
    </row>
    <row r="999" spans="1:32" x14ac:dyDescent="0.2">
      <c r="A999">
        <v>998</v>
      </c>
      <c r="B999" cm="1">
        <f t="array" ref="B999:AE999">_xlfn.XLOOKUP($A999,Instagram_Usage_Lifestyle_Mini_!$A:$A,Instagram_Usage_Lifestyle_Mini_!$AC:$BF)</f>
        <v>58</v>
      </c>
      <c r="C999">
        <v>3</v>
      </c>
      <c r="D999">
        <v>4</v>
      </c>
      <c r="E999">
        <v>70</v>
      </c>
      <c r="F999">
        <v>55</v>
      </c>
      <c r="G999">
        <v>42</v>
      </c>
      <c r="H999">
        <v>12</v>
      </c>
      <c r="I999">
        <v>24</v>
      </c>
      <c r="J999">
        <v>15</v>
      </c>
      <c r="K999">
        <v>9</v>
      </c>
      <c r="L999">
        <v>0</v>
      </c>
      <c r="M999">
        <v>33</v>
      </c>
      <c r="N999">
        <v>11</v>
      </c>
      <c r="O999">
        <v>12</v>
      </c>
      <c r="P999">
        <v>17</v>
      </c>
      <c r="Q999">
        <v>1179</v>
      </c>
      <c r="R999">
        <v>1704</v>
      </c>
      <c r="S999" t="str">
        <v>Yes</v>
      </c>
      <c r="T999">
        <v>0.36</v>
      </c>
      <c r="U999">
        <v>2010</v>
      </c>
      <c r="V999">
        <v>45754</v>
      </c>
      <c r="W999">
        <v>19.3</v>
      </c>
      <c r="X999" t="str">
        <v>Stories</v>
      </c>
      <c r="Y999" t="str">
        <v>Fitness</v>
      </c>
      <c r="Z999" t="str">
        <v>Friends_only</v>
      </c>
      <c r="AA999" t="str">
        <v>Yes</v>
      </c>
      <c r="AB999" t="str">
        <v>No</v>
      </c>
      <c r="AC999">
        <v>1</v>
      </c>
      <c r="AD999" t="str">
        <v>Free</v>
      </c>
      <c r="AE999">
        <v>1.32</v>
      </c>
      <c r="AF999" s="14">
        <f t="shared" si="15"/>
        <v>0.69190140845070425</v>
      </c>
    </row>
    <row r="1000" spans="1:32" x14ac:dyDescent="0.2">
      <c r="A1000">
        <v>999</v>
      </c>
      <c r="B1000" cm="1">
        <f t="array" ref="B1000:AE1000">_xlfn.XLOOKUP($A1000,Instagram_Usage_Lifestyle_Mini_!$A:$A,Instagram_Usage_Lifestyle_Mini_!$AC:$BF)</f>
        <v>224</v>
      </c>
      <c r="C1000">
        <v>7</v>
      </c>
      <c r="D1000">
        <v>8</v>
      </c>
      <c r="E1000">
        <v>171</v>
      </c>
      <c r="F1000">
        <v>120</v>
      </c>
      <c r="G1000">
        <v>145</v>
      </c>
      <c r="H1000">
        <v>44</v>
      </c>
      <c r="I1000">
        <v>39</v>
      </c>
      <c r="J1000">
        <v>37</v>
      </c>
      <c r="K1000">
        <v>22</v>
      </c>
      <c r="L1000">
        <v>5</v>
      </c>
      <c r="M1000">
        <v>127</v>
      </c>
      <c r="N1000">
        <v>43</v>
      </c>
      <c r="O1000">
        <v>38</v>
      </c>
      <c r="P1000">
        <v>82</v>
      </c>
      <c r="Q1000">
        <v>2304</v>
      </c>
      <c r="R1000">
        <v>1829</v>
      </c>
      <c r="S1000" t="str">
        <v>Yes</v>
      </c>
      <c r="T1000">
        <v>0.25</v>
      </c>
      <c r="U1000">
        <v>2018</v>
      </c>
      <c r="V1000">
        <v>45991</v>
      </c>
      <c r="W1000">
        <v>32</v>
      </c>
      <c r="X1000" t="str">
        <v>Videos</v>
      </c>
      <c r="Y1000" t="str">
        <v>Tech</v>
      </c>
      <c r="Z1000" t="str">
        <v>Friends_only</v>
      </c>
      <c r="AA1000" t="str">
        <v>No</v>
      </c>
      <c r="AB1000" t="str">
        <v>No</v>
      </c>
      <c r="AC1000">
        <v>2</v>
      </c>
      <c r="AD1000" t="str">
        <v>Premium</v>
      </c>
      <c r="AE1000">
        <v>1.1399999999999999</v>
      </c>
      <c r="AF1000" s="14">
        <f t="shared" si="15"/>
        <v>1.2597047566976489</v>
      </c>
    </row>
    <row r="1001" spans="1:32" x14ac:dyDescent="0.2">
      <c r="A1001">
        <v>1000</v>
      </c>
      <c r="B1001">
        <v>72</v>
      </c>
      <c r="C1001">
        <v>8</v>
      </c>
      <c r="D1001">
        <v>5</v>
      </c>
      <c r="E1001">
        <v>131</v>
      </c>
      <c r="F1001">
        <v>67</v>
      </c>
      <c r="G1001">
        <v>60</v>
      </c>
      <c r="H1001">
        <v>12</v>
      </c>
      <c r="I1001">
        <v>7</v>
      </c>
      <c r="J1001">
        <v>18</v>
      </c>
      <c r="K1001">
        <v>13</v>
      </c>
      <c r="L1001">
        <v>5</v>
      </c>
      <c r="M1001">
        <v>35</v>
      </c>
      <c r="N1001">
        <v>10</v>
      </c>
      <c r="O1001">
        <v>10</v>
      </c>
      <c r="P1001">
        <v>19</v>
      </c>
      <c r="Q1001">
        <v>518</v>
      </c>
      <c r="R1001">
        <v>1065</v>
      </c>
      <c r="S1001" t="s">
        <v>13</v>
      </c>
      <c r="T1001">
        <v>0.59</v>
      </c>
      <c r="U1001">
        <v>2023</v>
      </c>
      <c r="V1001" s="1">
        <v>45897</v>
      </c>
      <c r="W1001">
        <v>9</v>
      </c>
      <c r="X1001" t="s">
        <v>10</v>
      </c>
      <c r="Y1001" t="s">
        <v>11</v>
      </c>
      <c r="Z1001" t="s">
        <v>21</v>
      </c>
      <c r="AA1001" t="s">
        <v>7</v>
      </c>
      <c r="AB1001" t="s">
        <v>7</v>
      </c>
      <c r="AC1001">
        <v>2</v>
      </c>
      <c r="AD1001" t="s">
        <v>14</v>
      </c>
      <c r="AE1001">
        <v>1.36</v>
      </c>
      <c r="AF1001" s="14">
        <f t="shared" si="15"/>
        <v>0.48638497652582158</v>
      </c>
    </row>
  </sheetData>
  <autoFilter ref="A1:AF1001" xr:uid="{22A5AC17-25D1-0C45-8D2B-18103CD45F1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Instagram_Usage_Lifestyle_Mini_</vt:lpstr>
      <vt:lpstr>User_Background_Details</vt:lpstr>
      <vt:lpstr>User_BG_Chart</vt:lpstr>
      <vt:lpstr>User_Lifestyle_Health</vt:lpstr>
      <vt:lpstr>User_LifeStyle_Health_Chart</vt:lpstr>
      <vt:lpstr>Daily_Weekly_Habits</vt:lpstr>
      <vt:lpstr>Daily_Weekly_Habits_Chart</vt:lpstr>
      <vt:lpstr>InstagramUsage_and_Engagement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mtmuthu.ece@gmail.com</dc:creator>
  <cp:lastModifiedBy>mtmuthu.ece@gmail.com</cp:lastModifiedBy>
  <dcterms:created xsi:type="dcterms:W3CDTF">2026-01-13T07:28:28Z</dcterms:created>
  <dcterms:modified xsi:type="dcterms:W3CDTF">2026-01-29T06:52:49Z</dcterms:modified>
</cp:coreProperties>
</file>